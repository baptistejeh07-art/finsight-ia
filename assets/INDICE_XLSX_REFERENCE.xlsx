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0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3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8EC345DF-E8EF-4419-B5DA-544F64C196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VALUE" sheetId="2" r:id="rId2"/>
    <sheet name="GROWTH" sheetId="3" r:id="rId3"/>
    <sheet name="QUALITY" sheetId="4" r:id="rId4"/>
    <sheet name="MOMENTUM" sheetId="5" r:id="rId5"/>
    <sheet name="PAR SECTEUR" sheetId="6" r:id="rId6"/>
    <sheet name="SECTOR OVERVIEW" sheetId="7" r:id="rId7"/>
    <sheet name="TECHNOLOGY" sheetId="8" r:id="rId8"/>
    <sheet name="CONSUMER DISC." sheetId="9" r:id="rId9"/>
    <sheet name="FINANCIALS" sheetId="10" r:id="rId10"/>
    <sheet name="INDUSTRIALS" sheetId="11" state="hidden" r:id="rId11"/>
    <sheet name="HEALTHCARE" sheetId="12" r:id="rId12"/>
    <sheet name="ENERGY" sheetId="13" r:id="rId13"/>
    <sheet name="MATERIALS" sheetId="14" r:id="rId14"/>
    <sheet name="REAL ESTATE" sheetId="15" r:id="rId15"/>
    <sheet name="CONSUMER DEF." sheetId="16" r:id="rId16"/>
    <sheet name="DONNÉES BRUTES" sheetId="17" state="hidden" r:id="rId17"/>
  </sheets>
  <definedNames>
    <definedName name="_xlnm.Print_Area" localSheetId="0">DASHBOARD!$A$1:$N$30</definedName>
    <definedName name="_xlnm.Print_Area" localSheetId="5">'PAR SECTEUR'!$A$1:$K$35</definedName>
    <definedName name="_xlnm.Print_Area" localSheetId="6">'SECTOR OVERVIEW'!$A$1:$L$50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6" l="1" a="1"/>
  <c r="C25" i="16" s="1"/>
  <c r="D25" i="16" a="1"/>
  <c r="D25" i="16" s="1"/>
  <c r="E25" i="16" a="1"/>
  <c r="E25" i="16" s="1"/>
  <c r="F25" i="16" a="1"/>
  <c r="F25" i="16" s="1"/>
  <c r="G25" i="16" a="1"/>
  <c r="G25" i="16"/>
  <c r="H25" i="16" a="1"/>
  <c r="H25" i="16" s="1"/>
  <c r="I25" i="16" a="1"/>
  <c r="I25" i="16"/>
  <c r="J25" i="16" a="1"/>
  <c r="J25" i="16" s="1"/>
  <c r="K25" i="16" a="1"/>
  <c r="K25" i="16" s="1"/>
  <c r="L25" i="16" a="1"/>
  <c r="L25" i="16" s="1"/>
  <c r="M25" i="16" a="1"/>
  <c r="M25" i="16" s="1"/>
  <c r="N25" i="16" a="1"/>
  <c r="N25" i="16" s="1"/>
  <c r="O25" i="16" a="1"/>
  <c r="O25" i="16" s="1"/>
  <c r="P25" i="16" a="1"/>
  <c r="P25" i="16"/>
  <c r="Q25" i="16" a="1"/>
  <c r="Q25" i="16" s="1"/>
  <c r="C24" i="16" a="1"/>
  <c r="C24" i="16" s="1"/>
  <c r="D24" i="16" a="1"/>
  <c r="D24" i="16"/>
  <c r="E24" i="16" a="1"/>
  <c r="E24" i="16"/>
  <c r="F24" i="16" a="1"/>
  <c r="F24" i="16" s="1"/>
  <c r="G24" i="16" a="1"/>
  <c r="G24" i="16" s="1"/>
  <c r="H24" i="16" a="1"/>
  <c r="H24" i="16"/>
  <c r="I24" i="16" a="1"/>
  <c r="I24" i="16" s="1"/>
  <c r="J24" i="16" a="1"/>
  <c r="J24" i="16" s="1"/>
  <c r="K24" i="16" a="1"/>
  <c r="K24" i="16" s="1"/>
  <c r="L24" i="16" a="1"/>
  <c r="L24" i="16" s="1"/>
  <c r="M24" i="16" a="1"/>
  <c r="M24" i="16"/>
  <c r="N24" i="16" a="1"/>
  <c r="N24" i="16" s="1"/>
  <c r="O24" i="16" a="1"/>
  <c r="O24" i="16"/>
  <c r="P24" i="16" a="1"/>
  <c r="P24" i="16" s="1"/>
  <c r="Q24" i="16" a="1"/>
  <c r="Q24" i="16" s="1"/>
  <c r="C23" i="16" a="1"/>
  <c r="C23" i="16" s="1"/>
  <c r="D23" i="16" a="1"/>
  <c r="D23" i="16" s="1"/>
  <c r="E23" i="16" a="1"/>
  <c r="E23" i="16"/>
  <c r="F23" i="16" a="1"/>
  <c r="F23" i="16"/>
  <c r="G23" i="16" a="1"/>
  <c r="G23" i="16" s="1"/>
  <c r="H23" i="16" a="1"/>
  <c r="H23" i="16" s="1"/>
  <c r="I23" i="16" a="1"/>
  <c r="I23" i="16" s="1"/>
  <c r="J23" i="16" a="1"/>
  <c r="J23" i="16" s="1"/>
  <c r="K23" i="16" a="1"/>
  <c r="K23" i="16" s="1"/>
  <c r="L23" i="16" a="1"/>
  <c r="L23" i="16" s="1"/>
  <c r="M23" i="16" a="1"/>
  <c r="M23" i="16" s="1"/>
  <c r="N23" i="16" a="1"/>
  <c r="N23" i="16" s="1"/>
  <c r="O23" i="16" a="1"/>
  <c r="O23" i="16" s="1"/>
  <c r="P23" i="16" a="1"/>
  <c r="P23" i="16" s="1"/>
  <c r="Q23" i="16" a="1"/>
  <c r="Q23" i="16"/>
  <c r="C22" i="16" a="1"/>
  <c r="C22" i="16"/>
  <c r="D22" i="16" a="1"/>
  <c r="D22" i="16"/>
  <c r="E22" i="16" a="1"/>
  <c r="E22" i="16"/>
  <c r="F22" i="16" a="1"/>
  <c r="F22" i="16" s="1"/>
  <c r="G22" i="16" a="1"/>
  <c r="G22" i="16" s="1"/>
  <c r="H22" i="16" a="1"/>
  <c r="H22" i="16" s="1"/>
  <c r="I22" i="16" a="1"/>
  <c r="I22" i="16" s="1"/>
  <c r="J22" i="16" a="1"/>
  <c r="J22" i="16" s="1"/>
  <c r="K22" i="16" a="1"/>
  <c r="K22" i="16" s="1"/>
  <c r="L22" i="16" a="1"/>
  <c r="L22" i="16" s="1"/>
  <c r="M22" i="16" a="1"/>
  <c r="M22" i="16" s="1"/>
  <c r="N22" i="16" a="1"/>
  <c r="N22" i="16" s="1"/>
  <c r="O22" i="16" a="1"/>
  <c r="O22" i="16" s="1"/>
  <c r="P22" i="16" a="1"/>
  <c r="P22" i="16" s="1"/>
  <c r="Q22" i="16" a="1"/>
  <c r="Q22" i="16" s="1"/>
  <c r="C21" i="16" a="1"/>
  <c r="C21" i="16" s="1"/>
  <c r="D21" i="16" a="1"/>
  <c r="D21" i="16" s="1"/>
  <c r="E21" i="16" a="1"/>
  <c r="E21" i="16" s="1"/>
  <c r="F21" i="16" a="1"/>
  <c r="F21" i="16" s="1"/>
  <c r="G21" i="16" a="1"/>
  <c r="G21" i="16" s="1"/>
  <c r="H21" i="16" a="1"/>
  <c r="H21" i="16"/>
  <c r="I21" i="16" a="1"/>
  <c r="I21" i="16" s="1"/>
  <c r="J21" i="16" a="1"/>
  <c r="J21" i="16" s="1"/>
  <c r="K21" i="16" a="1"/>
  <c r="K21" i="16"/>
  <c r="L21" i="16" a="1"/>
  <c r="L21" i="16" s="1"/>
  <c r="M21" i="16" a="1"/>
  <c r="M21" i="16" s="1"/>
  <c r="N21" i="16" a="1"/>
  <c r="N21" i="16" s="1"/>
  <c r="O21" i="16" a="1"/>
  <c r="O21" i="16" s="1"/>
  <c r="P21" i="16" a="1"/>
  <c r="P21" i="16" s="1"/>
  <c r="Q21" i="16" a="1"/>
  <c r="Q21" i="16" s="1"/>
  <c r="C20" i="16" a="1"/>
  <c r="C20" i="16" s="1"/>
  <c r="D20" i="16" a="1"/>
  <c r="D20" i="16"/>
  <c r="E20" i="16" a="1"/>
  <c r="E20" i="16" s="1"/>
  <c r="F20" i="16" a="1"/>
  <c r="F20" i="16" s="1"/>
  <c r="G20" i="16" a="1"/>
  <c r="G20" i="16"/>
  <c r="H20" i="16" a="1"/>
  <c r="H20" i="16" s="1"/>
  <c r="I20" i="16" a="1"/>
  <c r="I20" i="16" s="1"/>
  <c r="J20" i="16" a="1"/>
  <c r="J20" i="16" s="1"/>
  <c r="K20" i="16" a="1"/>
  <c r="K20" i="16" s="1"/>
  <c r="L20" i="16" a="1"/>
  <c r="L20" i="16" s="1"/>
  <c r="M20" i="16" a="1"/>
  <c r="M20" i="16" s="1"/>
  <c r="N20" i="16" a="1"/>
  <c r="N20" i="16"/>
  <c r="O20" i="16" a="1"/>
  <c r="O20" i="16" s="1"/>
  <c r="P20" i="16" a="1"/>
  <c r="P20" i="16" s="1"/>
  <c r="Q20" i="16" a="1"/>
  <c r="Q20" i="16"/>
  <c r="C19" i="16" a="1"/>
  <c r="C19" i="16" s="1"/>
  <c r="D19" i="16" a="1"/>
  <c r="D19" i="16" s="1"/>
  <c r="E19" i="16" a="1"/>
  <c r="E19" i="16" s="1"/>
  <c r="F19" i="16" a="1"/>
  <c r="F19" i="16"/>
  <c r="G19" i="16" a="1"/>
  <c r="G19" i="16" s="1"/>
  <c r="H19" i="16" a="1"/>
  <c r="H19" i="16" s="1"/>
  <c r="I19" i="16" a="1"/>
  <c r="I19" i="16" s="1"/>
  <c r="J19" i="16" a="1"/>
  <c r="J19" i="16" s="1"/>
  <c r="K19" i="16" a="1"/>
  <c r="K19" i="16" s="1"/>
  <c r="L19" i="16" a="1"/>
  <c r="L19" i="16" s="1"/>
  <c r="M19" i="16" a="1"/>
  <c r="M19" i="16" s="1"/>
  <c r="N19" i="16" a="1"/>
  <c r="N19" i="16"/>
  <c r="O19" i="16" a="1"/>
  <c r="O19" i="16"/>
  <c r="P19" i="16" a="1"/>
  <c r="P19" i="16" s="1"/>
  <c r="Q19" i="16" a="1"/>
  <c r="Q19" i="16" s="1"/>
  <c r="C18" i="16" a="1"/>
  <c r="C18" i="16" s="1"/>
  <c r="D18" i="16" a="1"/>
  <c r="D18" i="16" s="1"/>
  <c r="E18" i="16" a="1"/>
  <c r="E18" i="16" s="1"/>
  <c r="F18" i="16" a="1"/>
  <c r="F18" i="16" s="1"/>
  <c r="G18" i="16" a="1"/>
  <c r="G18" i="16"/>
  <c r="H18" i="16" a="1"/>
  <c r="H18" i="16" s="1"/>
  <c r="I18" i="16" a="1"/>
  <c r="I18" i="16"/>
  <c r="J18" i="16" a="1"/>
  <c r="J18" i="16" s="1"/>
  <c r="K18" i="16" a="1"/>
  <c r="K18" i="16" s="1"/>
  <c r="L18" i="16" a="1"/>
  <c r="L18" i="16" s="1"/>
  <c r="M18" i="16" a="1"/>
  <c r="M18" i="16" s="1"/>
  <c r="N18" i="16" a="1"/>
  <c r="N18" i="16" s="1"/>
  <c r="O18" i="16" a="1"/>
  <c r="O18" i="16"/>
  <c r="P18" i="16" a="1"/>
  <c r="P18" i="16" s="1"/>
  <c r="Q18" i="16" a="1"/>
  <c r="Q18" i="16" s="1"/>
  <c r="C17" i="16" a="1"/>
  <c r="C17" i="16" s="1"/>
  <c r="D17" i="16" a="1"/>
  <c r="D17" i="16" s="1"/>
  <c r="E17" i="16" a="1"/>
  <c r="E17" i="16" s="1"/>
  <c r="F17" i="16" a="1"/>
  <c r="F17" i="16" s="1"/>
  <c r="G17" i="16" a="1"/>
  <c r="G17" i="16" s="1"/>
  <c r="H17" i="16" a="1"/>
  <c r="H17" i="16" s="1"/>
  <c r="I17" i="16" a="1"/>
  <c r="I17" i="16" s="1"/>
  <c r="J17" i="16" a="1"/>
  <c r="J17" i="16" s="1"/>
  <c r="K17" i="16" a="1"/>
  <c r="K17" i="16" s="1"/>
  <c r="L17" i="16" a="1"/>
  <c r="L17" i="16" s="1"/>
  <c r="M17" i="16" a="1"/>
  <c r="M17" i="16"/>
  <c r="N17" i="16" a="1"/>
  <c r="N17" i="16" s="1"/>
  <c r="O17" i="16" a="1"/>
  <c r="O17" i="16" s="1"/>
  <c r="P17" i="16" a="1"/>
  <c r="P17" i="16" s="1"/>
  <c r="Q17" i="16" a="1"/>
  <c r="Q17" i="16" s="1"/>
  <c r="C16" i="16" a="1"/>
  <c r="C16" i="16" s="1"/>
  <c r="D16" i="16" a="1"/>
  <c r="D16" i="16"/>
  <c r="E16" i="16" a="1"/>
  <c r="E16" i="16" s="1"/>
  <c r="F16" i="16" a="1"/>
  <c r="F16" i="16" s="1"/>
  <c r="G16" i="16" a="1"/>
  <c r="G16" i="16" s="1"/>
  <c r="H16" i="16" a="1"/>
  <c r="H16" i="16" s="1"/>
  <c r="I16" i="16" a="1"/>
  <c r="I16" i="16" s="1"/>
  <c r="J16" i="16" a="1"/>
  <c r="J16" i="16"/>
  <c r="K16" i="16" a="1"/>
  <c r="K16" i="16"/>
  <c r="L16" i="16" a="1"/>
  <c r="L16" i="16" s="1"/>
  <c r="M16" i="16" a="1"/>
  <c r="M16" i="16" s="1"/>
  <c r="N16" i="16" a="1"/>
  <c r="N16" i="16"/>
  <c r="O16" i="16" a="1"/>
  <c r="O16" i="16" s="1"/>
  <c r="P16" i="16" a="1"/>
  <c r="P16" i="16" s="1"/>
  <c r="Q16" i="16" a="1"/>
  <c r="Q16" i="16" s="1"/>
  <c r="C15" i="16" a="1"/>
  <c r="C15" i="16" s="1"/>
  <c r="D15" i="16" a="1"/>
  <c r="D15" i="16" s="1"/>
  <c r="E15" i="16" a="1"/>
  <c r="E15" i="16" s="1"/>
  <c r="F15" i="16" a="1"/>
  <c r="F15" i="16" s="1"/>
  <c r="G15" i="16" a="1"/>
  <c r="G15" i="16" s="1"/>
  <c r="H15" i="16" a="1"/>
  <c r="H15" i="16" s="1"/>
  <c r="I15" i="16" a="1"/>
  <c r="I15" i="16" s="1"/>
  <c r="J15" i="16" a="1"/>
  <c r="J15" i="16" s="1"/>
  <c r="K15" i="16" a="1"/>
  <c r="K15" i="16"/>
  <c r="L15" i="16" a="1"/>
  <c r="L15" i="16" s="1"/>
  <c r="M15" i="16" a="1"/>
  <c r="M15" i="16" s="1"/>
  <c r="N15" i="16" a="1"/>
  <c r="N15" i="16" s="1"/>
  <c r="O15" i="16" a="1"/>
  <c r="O15" i="16" s="1"/>
  <c r="P15" i="16" a="1"/>
  <c r="P15" i="16" s="1"/>
  <c r="Q15" i="16" a="1"/>
  <c r="Q15" i="16" s="1"/>
  <c r="C14" i="16" a="1"/>
  <c r="C14" i="16" s="1"/>
  <c r="D14" i="16" a="1"/>
  <c r="D14" i="16"/>
  <c r="E14" i="16" a="1"/>
  <c r="E14" i="16"/>
  <c r="F14" i="16" a="1"/>
  <c r="F14" i="16" s="1"/>
  <c r="G14" i="16" a="1"/>
  <c r="G14" i="16" s="1"/>
  <c r="H14" i="16" a="1"/>
  <c r="H14" i="16" s="1"/>
  <c r="I14" i="16" a="1"/>
  <c r="I14" i="16" s="1"/>
  <c r="J14" i="16" a="1"/>
  <c r="J14" i="16" s="1"/>
  <c r="K14" i="16" a="1"/>
  <c r="K14" i="16" s="1"/>
  <c r="L14" i="16" a="1"/>
  <c r="L14" i="16" s="1"/>
  <c r="M14" i="16" a="1"/>
  <c r="M14" i="16" s="1"/>
  <c r="N14" i="16" a="1"/>
  <c r="N14" i="16" s="1"/>
  <c r="O14" i="16" a="1"/>
  <c r="O14" i="16" s="1"/>
  <c r="P14" i="16" a="1"/>
  <c r="P14" i="16"/>
  <c r="C13" i="16" a="1"/>
  <c r="C13" i="16" s="1"/>
  <c r="D13" i="16" a="1"/>
  <c r="D13" i="16" s="1"/>
  <c r="E13" i="16" a="1"/>
  <c r="E13" i="16" s="1"/>
  <c r="F13" i="16" a="1"/>
  <c r="F13" i="16" s="1"/>
  <c r="G13" i="16" a="1"/>
  <c r="G13" i="16" s="1"/>
  <c r="H13" i="16" a="1"/>
  <c r="H13" i="16" s="1"/>
  <c r="I13" i="16" a="1"/>
  <c r="I13" i="16" s="1"/>
  <c r="J13" i="16" a="1"/>
  <c r="J13" i="16" s="1"/>
  <c r="K13" i="16" a="1"/>
  <c r="K13" i="16" s="1"/>
  <c r="L13" i="16" a="1"/>
  <c r="L13" i="16" s="1"/>
  <c r="M13" i="16" a="1"/>
  <c r="M13" i="16" s="1"/>
  <c r="N13" i="16" a="1"/>
  <c r="N13" i="16" s="1"/>
  <c r="O13" i="16" a="1"/>
  <c r="O13" i="16"/>
  <c r="P13" i="16" a="1"/>
  <c r="P13" i="16" s="1"/>
  <c r="Q13" i="16" a="1"/>
  <c r="Q13" i="16"/>
  <c r="C12" i="16" a="1"/>
  <c r="C12" i="16" s="1"/>
  <c r="D12" i="16" a="1"/>
  <c r="D12" i="16" s="1"/>
  <c r="S30" i="16" s="1"/>
  <c r="E12" i="16" a="1"/>
  <c r="E12" i="16" s="1"/>
  <c r="F12" i="16" a="1"/>
  <c r="F12" i="16" s="1"/>
  <c r="G12" i="16" a="1"/>
  <c r="G12" i="16" s="1"/>
  <c r="H12" i="16" a="1"/>
  <c r="H12" i="16"/>
  <c r="I12" i="16" a="1"/>
  <c r="I12" i="16"/>
  <c r="J12" i="16" a="1"/>
  <c r="J12" i="16" s="1"/>
  <c r="K12" i="16" a="1"/>
  <c r="K12" i="16" s="1"/>
  <c r="L12" i="16" a="1"/>
  <c r="L12" i="16" s="1"/>
  <c r="M12" i="16" a="1"/>
  <c r="M12" i="16" s="1"/>
  <c r="N12" i="16" a="1"/>
  <c r="N12" i="16" s="1"/>
  <c r="O12" i="16" a="1"/>
  <c r="O12" i="16" s="1"/>
  <c r="P12" i="16" a="1"/>
  <c r="P12" i="16"/>
  <c r="Q12" i="16" a="1"/>
  <c r="Q12" i="16" s="1"/>
  <c r="C11" i="16" a="1"/>
  <c r="C11" i="16"/>
  <c r="D11" i="16" a="1"/>
  <c r="D11" i="16" s="1"/>
  <c r="E11" i="16" a="1"/>
  <c r="E11" i="16" s="1"/>
  <c r="F11" i="16" a="1"/>
  <c r="F11" i="16" s="1"/>
  <c r="G11" i="16" a="1"/>
  <c r="G11" i="16" s="1"/>
  <c r="H11" i="16" a="1"/>
  <c r="H11" i="16" s="1"/>
  <c r="I11" i="16" a="1"/>
  <c r="I11" i="16" s="1"/>
  <c r="J11" i="16" a="1"/>
  <c r="J11" i="16" s="1"/>
  <c r="K11" i="16" a="1"/>
  <c r="K11" i="16" s="1"/>
  <c r="L11" i="16" a="1"/>
  <c r="L11" i="16" s="1"/>
  <c r="M11" i="16" a="1"/>
  <c r="M11" i="16" s="1"/>
  <c r="N11" i="16" a="1"/>
  <c r="N11" i="16" s="1"/>
  <c r="O11" i="16" a="1"/>
  <c r="O11" i="16" s="1"/>
  <c r="P11" i="16" a="1"/>
  <c r="P11" i="16" s="1"/>
  <c r="Q11" i="16" a="1"/>
  <c r="Q11" i="16"/>
  <c r="H5" i="16" a="1"/>
  <c r="H5" i="16" s="1"/>
  <c r="N5" i="16" a="1"/>
  <c r="N5" i="16" s="1"/>
  <c r="C25" i="15" a="1"/>
  <c r="C25" i="15" s="1"/>
  <c r="D25" i="15" a="1"/>
  <c r="D25" i="15"/>
  <c r="E25" i="15" a="1"/>
  <c r="E25" i="15" s="1"/>
  <c r="F25" i="15" a="1"/>
  <c r="F25" i="15" s="1"/>
  <c r="G25" i="15" a="1"/>
  <c r="G25" i="15" s="1"/>
  <c r="H25" i="15" a="1"/>
  <c r="H25" i="15" s="1"/>
  <c r="I25" i="15" a="1"/>
  <c r="I25" i="15" s="1"/>
  <c r="J25" i="15" a="1"/>
  <c r="J25" i="15" s="1"/>
  <c r="K25" i="15" a="1"/>
  <c r="K25" i="15" s="1"/>
  <c r="L25" i="15" a="1"/>
  <c r="L25" i="15" s="1"/>
  <c r="M25" i="15" a="1"/>
  <c r="M25" i="15" s="1"/>
  <c r="N25" i="15" a="1"/>
  <c r="N25" i="15" s="1"/>
  <c r="O25" i="15" a="1"/>
  <c r="O25" i="15" s="1"/>
  <c r="P25" i="15" a="1"/>
  <c r="P25" i="15" s="1"/>
  <c r="Q25" i="15" a="1"/>
  <c r="Q25" i="15" s="1"/>
  <c r="C24" i="15" a="1"/>
  <c r="C24" i="15"/>
  <c r="D24" i="15" a="1"/>
  <c r="D24" i="15"/>
  <c r="E24" i="15" a="1"/>
  <c r="E24" i="15" s="1"/>
  <c r="F24" i="15" a="1"/>
  <c r="F24" i="15"/>
  <c r="G24" i="15" a="1"/>
  <c r="G24" i="15" s="1"/>
  <c r="H24" i="15" a="1"/>
  <c r="H24" i="15" s="1"/>
  <c r="I24" i="15" a="1"/>
  <c r="I24" i="15" s="1"/>
  <c r="J24" i="15" a="1"/>
  <c r="J24" i="15" s="1"/>
  <c r="K24" i="15" a="1"/>
  <c r="K24" i="15" s="1"/>
  <c r="L24" i="15" a="1"/>
  <c r="L24" i="15" s="1"/>
  <c r="M24" i="15" a="1"/>
  <c r="M24" i="15"/>
  <c r="N24" i="15" a="1"/>
  <c r="N24" i="15" s="1"/>
  <c r="O24" i="15" a="1"/>
  <c r="O24" i="15" s="1"/>
  <c r="P24" i="15" a="1"/>
  <c r="P24" i="15" s="1"/>
  <c r="Q24" i="15" a="1"/>
  <c r="Q24" i="15" s="1"/>
  <c r="C23" i="15" a="1"/>
  <c r="C23" i="15" s="1"/>
  <c r="D23" i="15" a="1"/>
  <c r="D23" i="15" s="1"/>
  <c r="E23" i="15" a="1"/>
  <c r="E23" i="15" s="1"/>
  <c r="F23" i="15" a="1"/>
  <c r="F23" i="15" s="1"/>
  <c r="G23" i="15" a="1"/>
  <c r="G23" i="15" s="1"/>
  <c r="H23" i="15" a="1"/>
  <c r="H23" i="15" s="1"/>
  <c r="I23" i="15" a="1"/>
  <c r="I23" i="15" s="1"/>
  <c r="J23" i="15" a="1"/>
  <c r="J23" i="15" s="1"/>
  <c r="K23" i="15" a="1"/>
  <c r="K23" i="15" s="1"/>
  <c r="L23" i="15" a="1"/>
  <c r="L23" i="15" s="1"/>
  <c r="M23" i="15" a="1"/>
  <c r="M23" i="15" s="1"/>
  <c r="N23" i="15" a="1"/>
  <c r="N23" i="15" s="1"/>
  <c r="O23" i="15" a="1"/>
  <c r="O23" i="15" s="1"/>
  <c r="P23" i="15" a="1"/>
  <c r="P23" i="15"/>
  <c r="Q23" i="15" a="1"/>
  <c r="Q23" i="15" s="1"/>
  <c r="C22" i="15" a="1"/>
  <c r="C22" i="15" s="1"/>
  <c r="D22" i="15" a="1"/>
  <c r="D22" i="15" s="1"/>
  <c r="E22" i="15" a="1"/>
  <c r="E22" i="15" s="1"/>
  <c r="F22" i="15" a="1"/>
  <c r="F22" i="15" s="1"/>
  <c r="G22" i="15" a="1"/>
  <c r="G22" i="15" s="1"/>
  <c r="H22" i="15" a="1"/>
  <c r="H22" i="15" s="1"/>
  <c r="I22" i="15" a="1"/>
  <c r="I22" i="15" s="1"/>
  <c r="J22" i="15" a="1"/>
  <c r="J22" i="15" s="1"/>
  <c r="K22" i="15" a="1"/>
  <c r="K22" i="15" s="1"/>
  <c r="L22" i="15" a="1"/>
  <c r="L22" i="15" s="1"/>
  <c r="M22" i="15" a="1"/>
  <c r="M22" i="15" s="1"/>
  <c r="N22" i="15" a="1"/>
  <c r="N22" i="15" s="1"/>
  <c r="O22" i="15" a="1"/>
  <c r="O22" i="15" s="1"/>
  <c r="P22" i="15" a="1"/>
  <c r="P22" i="15"/>
  <c r="Q22" i="15" a="1"/>
  <c r="Q22" i="15" s="1"/>
  <c r="C21" i="15" a="1"/>
  <c r="C21" i="15" s="1"/>
  <c r="D21" i="15" a="1"/>
  <c r="D21" i="15" s="1"/>
  <c r="E21" i="15" a="1"/>
  <c r="E21" i="15" s="1"/>
  <c r="F21" i="15" a="1"/>
  <c r="F21" i="15"/>
  <c r="G21" i="15" a="1"/>
  <c r="G21" i="15"/>
  <c r="H21" i="15" a="1"/>
  <c r="H21" i="15" s="1"/>
  <c r="I21" i="15" a="1"/>
  <c r="I21" i="15" s="1"/>
  <c r="J21" i="15" a="1"/>
  <c r="J21" i="15" s="1"/>
  <c r="K21" i="15" a="1"/>
  <c r="K21" i="15" s="1"/>
  <c r="L21" i="15" a="1"/>
  <c r="L21" i="15" s="1"/>
  <c r="M21" i="15" a="1"/>
  <c r="M21" i="15" s="1"/>
  <c r="N21" i="15" a="1"/>
  <c r="N21" i="15"/>
  <c r="O21" i="15" a="1"/>
  <c r="O21" i="15" s="1"/>
  <c r="P21" i="15" a="1"/>
  <c r="P21" i="15" s="1"/>
  <c r="Q21" i="15" a="1"/>
  <c r="Q21" i="15"/>
  <c r="C20" i="15" a="1"/>
  <c r="C20" i="15" s="1"/>
  <c r="D20" i="15" a="1"/>
  <c r="D20" i="15" s="1"/>
  <c r="E20" i="15" a="1"/>
  <c r="E20" i="15" s="1"/>
  <c r="F20" i="15" a="1"/>
  <c r="F20" i="15" s="1"/>
  <c r="G20" i="15" a="1"/>
  <c r="G20" i="15" s="1"/>
  <c r="H20" i="15" a="1"/>
  <c r="H20" i="15"/>
  <c r="I20" i="15" a="1"/>
  <c r="I20" i="15" s="1"/>
  <c r="J20" i="15" a="1"/>
  <c r="J20" i="15" s="1"/>
  <c r="K20" i="15" a="1"/>
  <c r="K20" i="15" s="1"/>
  <c r="L20" i="15" a="1"/>
  <c r="L20" i="15"/>
  <c r="M20" i="15" a="1"/>
  <c r="M20" i="15" s="1"/>
  <c r="N20" i="15" a="1"/>
  <c r="N20" i="15" s="1"/>
  <c r="O20" i="15" a="1"/>
  <c r="O20" i="15" s="1"/>
  <c r="P20" i="15" a="1"/>
  <c r="P20" i="15" s="1"/>
  <c r="Q20" i="15" a="1"/>
  <c r="Q20" i="15" s="1"/>
  <c r="C19" i="15" a="1"/>
  <c r="C19" i="15" s="1"/>
  <c r="D19" i="15" a="1"/>
  <c r="D19" i="15"/>
  <c r="E19" i="15" a="1"/>
  <c r="E19" i="15" s="1"/>
  <c r="F19" i="15" a="1"/>
  <c r="F19" i="15" s="1"/>
  <c r="G19" i="15" a="1"/>
  <c r="G19" i="15" s="1"/>
  <c r="H19" i="15" a="1"/>
  <c r="H19" i="15" s="1"/>
  <c r="I19" i="15" a="1"/>
  <c r="I19" i="15" s="1"/>
  <c r="J19" i="15" a="1"/>
  <c r="J19" i="15" s="1"/>
  <c r="K19" i="15" a="1"/>
  <c r="K19" i="15" s="1"/>
  <c r="L19" i="15" a="1"/>
  <c r="L19" i="15" s="1"/>
  <c r="M19" i="15" a="1"/>
  <c r="M19" i="15"/>
  <c r="N19" i="15" a="1"/>
  <c r="N19" i="15" s="1"/>
  <c r="O19" i="15" a="1"/>
  <c r="O19" i="15" s="1"/>
  <c r="P19" i="15" a="1"/>
  <c r="P19" i="15" s="1"/>
  <c r="Q19" i="15" a="1"/>
  <c r="Q19" i="15" s="1"/>
  <c r="C18" i="15" a="1"/>
  <c r="C18" i="15" s="1"/>
  <c r="D18" i="15" a="1"/>
  <c r="D18" i="15" s="1"/>
  <c r="E18" i="15" a="1"/>
  <c r="E18" i="15"/>
  <c r="F18" i="15" a="1"/>
  <c r="F18" i="15"/>
  <c r="G18" i="15" a="1"/>
  <c r="G18" i="15" s="1"/>
  <c r="H18" i="15" a="1"/>
  <c r="H18" i="15"/>
  <c r="I18" i="15" a="1"/>
  <c r="I18" i="15" s="1"/>
  <c r="J18" i="15" a="1"/>
  <c r="J18" i="15" s="1"/>
  <c r="K18" i="15" a="1"/>
  <c r="K18" i="15" s="1"/>
  <c r="L18" i="15" a="1"/>
  <c r="L18" i="15" s="1"/>
  <c r="M18" i="15" a="1"/>
  <c r="M18" i="15" s="1"/>
  <c r="N18" i="15" a="1"/>
  <c r="N18" i="15" s="1"/>
  <c r="O18" i="15" a="1"/>
  <c r="O18" i="15" s="1"/>
  <c r="P18" i="15" a="1"/>
  <c r="P18" i="15" s="1"/>
  <c r="Q18" i="15" a="1"/>
  <c r="Q18" i="15" s="1"/>
  <c r="C17" i="15" a="1"/>
  <c r="C17" i="15" s="1"/>
  <c r="D17" i="15" a="1"/>
  <c r="D17" i="15" s="1"/>
  <c r="E17" i="15" a="1"/>
  <c r="E17" i="15"/>
  <c r="F17" i="15" a="1"/>
  <c r="F17" i="15"/>
  <c r="G17" i="15" a="1"/>
  <c r="G17" i="15"/>
  <c r="H17" i="15" a="1"/>
  <c r="H17" i="15" s="1"/>
  <c r="I17" i="15" a="1"/>
  <c r="I17" i="15" s="1"/>
  <c r="J17" i="15" a="1"/>
  <c r="J17" i="15" s="1"/>
  <c r="K17" i="15" a="1"/>
  <c r="K17" i="15"/>
  <c r="L17" i="15" a="1"/>
  <c r="L17" i="15" s="1"/>
  <c r="M17" i="15" a="1"/>
  <c r="M17" i="15" s="1"/>
  <c r="N17" i="15" a="1"/>
  <c r="N17" i="15" s="1"/>
  <c r="O17" i="15" a="1"/>
  <c r="O17" i="15" s="1"/>
  <c r="P17" i="15" a="1"/>
  <c r="P17" i="15"/>
  <c r="Q17" i="15" a="1"/>
  <c r="Q17" i="15" s="1"/>
  <c r="C16" i="15" a="1"/>
  <c r="C16" i="15" s="1"/>
  <c r="D16" i="15" a="1"/>
  <c r="D16" i="15" s="1"/>
  <c r="E16" i="15" a="1"/>
  <c r="E16" i="15" s="1"/>
  <c r="F16" i="15" a="1"/>
  <c r="F16" i="15" s="1"/>
  <c r="G16" i="15" a="1"/>
  <c r="G16" i="15" s="1"/>
  <c r="H16" i="15" a="1"/>
  <c r="H16" i="15" s="1"/>
  <c r="I16" i="15" a="1"/>
  <c r="I16" i="15" s="1"/>
  <c r="J16" i="15" a="1"/>
  <c r="J16" i="15" s="1"/>
  <c r="K16" i="15" a="1"/>
  <c r="K16" i="15" s="1"/>
  <c r="L16" i="15" a="1"/>
  <c r="L16" i="15"/>
  <c r="M16" i="15" a="1"/>
  <c r="M16" i="15" s="1"/>
  <c r="N16" i="15" a="1"/>
  <c r="N16" i="15" s="1"/>
  <c r="O16" i="15" a="1"/>
  <c r="O16" i="15"/>
  <c r="P16" i="15" a="1"/>
  <c r="P16" i="15" s="1"/>
  <c r="Q16" i="15" a="1"/>
  <c r="Q16" i="15"/>
  <c r="C15" i="15" a="1"/>
  <c r="C15" i="15"/>
  <c r="D15" i="15" a="1"/>
  <c r="D15" i="15" s="1"/>
  <c r="E15" i="15" a="1"/>
  <c r="E15" i="15" s="1"/>
  <c r="F15" i="15" a="1"/>
  <c r="F15" i="15" s="1"/>
  <c r="G15" i="15" a="1"/>
  <c r="G15" i="15" s="1"/>
  <c r="H15" i="15" a="1"/>
  <c r="H15" i="15" s="1"/>
  <c r="I15" i="15" a="1"/>
  <c r="I15" i="15"/>
  <c r="J15" i="15" a="1"/>
  <c r="J15" i="15"/>
  <c r="K15" i="15" a="1"/>
  <c r="K15" i="15" s="1"/>
  <c r="L15" i="15" a="1"/>
  <c r="L15" i="15" s="1"/>
  <c r="M15" i="15" a="1"/>
  <c r="M15" i="15" s="1"/>
  <c r="N15" i="15" a="1"/>
  <c r="N15" i="15" s="1"/>
  <c r="O15" i="15" a="1"/>
  <c r="O15" i="15" s="1"/>
  <c r="P15" i="15" a="1"/>
  <c r="P15" i="15"/>
  <c r="Q15" i="15" a="1"/>
  <c r="Q15" i="15"/>
  <c r="C14" i="15" a="1"/>
  <c r="C14" i="15"/>
  <c r="D14" i="15" a="1"/>
  <c r="D14" i="15"/>
  <c r="E14" i="15" a="1"/>
  <c r="E14" i="15" s="1"/>
  <c r="F14" i="15" a="1"/>
  <c r="F14" i="15" s="1"/>
  <c r="G14" i="15" a="1"/>
  <c r="G14" i="15" s="1"/>
  <c r="H14" i="15" a="1"/>
  <c r="H14" i="15" s="1"/>
  <c r="I14" i="15" a="1"/>
  <c r="I14" i="15" s="1"/>
  <c r="J14" i="15" a="1"/>
  <c r="J14" i="15" s="1"/>
  <c r="K14" i="15" a="1"/>
  <c r="K14" i="15" s="1"/>
  <c r="L14" i="15" a="1"/>
  <c r="L14" i="15" s="1"/>
  <c r="M14" i="15" a="1"/>
  <c r="M14" i="15"/>
  <c r="N14" i="15" a="1"/>
  <c r="N14" i="15" s="1"/>
  <c r="O14" i="15" a="1"/>
  <c r="O14" i="15"/>
  <c r="P14" i="15" a="1"/>
  <c r="P14" i="15" s="1"/>
  <c r="Q14" i="15" a="1"/>
  <c r="Q14" i="15" s="1"/>
  <c r="C13" i="15" a="1"/>
  <c r="C13" i="15" s="1"/>
  <c r="D13" i="15" a="1"/>
  <c r="D13" i="15" s="1"/>
  <c r="E13" i="15" a="1"/>
  <c r="E13" i="15" s="1"/>
  <c r="F13" i="15" a="1"/>
  <c r="F13" i="15"/>
  <c r="G13" i="15" a="1"/>
  <c r="G13" i="15" s="1"/>
  <c r="H13" i="15" a="1"/>
  <c r="H13" i="15" s="1"/>
  <c r="I13" i="15" a="1"/>
  <c r="I13" i="15" s="1"/>
  <c r="J13" i="15" a="1"/>
  <c r="J13" i="15" s="1"/>
  <c r="K13" i="15" a="1"/>
  <c r="K13" i="15" s="1"/>
  <c r="L13" i="15" a="1"/>
  <c r="L13" i="15"/>
  <c r="M13" i="15" a="1"/>
  <c r="M13" i="15" s="1"/>
  <c r="N13" i="15" a="1"/>
  <c r="N13" i="15" s="1"/>
  <c r="O13" i="15" a="1"/>
  <c r="O13" i="15"/>
  <c r="P13" i="15" a="1"/>
  <c r="P13" i="15" s="1"/>
  <c r="Q13" i="15" a="1"/>
  <c r="Q13" i="15"/>
  <c r="C12" i="15" a="1"/>
  <c r="C12" i="15" s="1"/>
  <c r="D12" i="15" a="1"/>
  <c r="D12" i="15" s="1"/>
  <c r="E12" i="15" a="1"/>
  <c r="E12" i="15"/>
  <c r="F12" i="15" a="1"/>
  <c r="F12" i="15" s="1"/>
  <c r="G12" i="15" a="1"/>
  <c r="G12" i="15" s="1"/>
  <c r="H12" i="15" a="1"/>
  <c r="H12" i="15" s="1"/>
  <c r="I12" i="15" a="1"/>
  <c r="I12" i="15"/>
  <c r="J12" i="15" a="1"/>
  <c r="J12" i="15" s="1"/>
  <c r="K12" i="15" a="1"/>
  <c r="K12" i="15"/>
  <c r="L12" i="15" a="1"/>
  <c r="L12" i="15"/>
  <c r="M12" i="15" a="1"/>
  <c r="M12" i="15" s="1"/>
  <c r="N12" i="15" a="1"/>
  <c r="N12" i="15"/>
  <c r="O12" i="15" a="1"/>
  <c r="O12" i="15"/>
  <c r="P12" i="15" a="1"/>
  <c r="P12" i="15" s="1"/>
  <c r="Q12" i="15" a="1"/>
  <c r="Q12" i="15" s="1"/>
  <c r="C11" i="15" a="1"/>
  <c r="C11" i="15" s="1"/>
  <c r="D11" i="15" a="1"/>
  <c r="D11" i="15" s="1"/>
  <c r="E11" i="15" a="1"/>
  <c r="E11" i="15"/>
  <c r="F11" i="15" a="1"/>
  <c r="F11" i="15"/>
  <c r="G11" i="15" a="1"/>
  <c r="G11" i="15" s="1"/>
  <c r="H11" i="15" a="1"/>
  <c r="H11" i="15" s="1"/>
  <c r="I11" i="15" a="1"/>
  <c r="I11" i="15" s="1"/>
  <c r="J11" i="15" a="1"/>
  <c r="J11" i="15" s="1"/>
  <c r="K11" i="15" a="1"/>
  <c r="K11" i="15" s="1"/>
  <c r="L11" i="15" a="1"/>
  <c r="L11" i="15" s="1"/>
  <c r="M11" i="15" a="1"/>
  <c r="M11" i="15"/>
  <c r="N11" i="15" a="1"/>
  <c r="N11" i="15"/>
  <c r="O11" i="15" a="1"/>
  <c r="O11" i="15"/>
  <c r="P11" i="15" a="1"/>
  <c r="P11" i="15" s="1"/>
  <c r="H5" i="15" a="1"/>
  <c r="H5" i="15" s="1"/>
  <c r="N5" i="15" a="1"/>
  <c r="N5" i="15" s="1"/>
  <c r="C25" i="14" a="1"/>
  <c r="C25" i="14" s="1"/>
  <c r="D25" i="14" a="1"/>
  <c r="D25" i="14" s="1"/>
  <c r="E25" i="14" a="1"/>
  <c r="E25" i="14" s="1"/>
  <c r="F25" i="14" a="1"/>
  <c r="F25" i="14" s="1"/>
  <c r="G25" i="14" a="1"/>
  <c r="G25" i="14" s="1"/>
  <c r="H25" i="14" a="1"/>
  <c r="H25" i="14"/>
  <c r="I25" i="14" a="1"/>
  <c r="I25" i="14" s="1"/>
  <c r="J25" i="14" a="1"/>
  <c r="J25" i="14"/>
  <c r="K25" i="14" a="1"/>
  <c r="K25" i="14" s="1"/>
  <c r="L25" i="14" a="1"/>
  <c r="L25" i="14" s="1"/>
  <c r="M25" i="14" a="1"/>
  <c r="M25" i="14" s="1"/>
  <c r="N25" i="14" a="1"/>
  <c r="N25" i="14" s="1"/>
  <c r="O25" i="14" a="1"/>
  <c r="O25" i="14" s="1"/>
  <c r="P25" i="14" a="1"/>
  <c r="P25" i="14" s="1"/>
  <c r="Q25" i="14" a="1"/>
  <c r="Q25" i="14" s="1"/>
  <c r="C24" i="14" a="1"/>
  <c r="C24" i="14"/>
  <c r="D24" i="14" a="1"/>
  <c r="D24" i="14" s="1"/>
  <c r="E24" i="14" a="1"/>
  <c r="E24" i="14" s="1"/>
  <c r="F24" i="14" a="1"/>
  <c r="F24" i="14" s="1"/>
  <c r="G24" i="14" a="1"/>
  <c r="G24" i="14" s="1"/>
  <c r="H24" i="14" a="1"/>
  <c r="H24" i="14"/>
  <c r="I24" i="14" a="1"/>
  <c r="I24" i="14"/>
  <c r="J24" i="14" a="1"/>
  <c r="J24" i="14" s="1"/>
  <c r="K24" i="14" a="1"/>
  <c r="K24" i="14" s="1"/>
  <c r="L24" i="14" a="1"/>
  <c r="L24" i="14"/>
  <c r="M24" i="14" a="1"/>
  <c r="M24" i="14" s="1"/>
  <c r="N24" i="14" a="1"/>
  <c r="N24" i="14" s="1"/>
  <c r="O24" i="14" a="1"/>
  <c r="O24" i="14" s="1"/>
  <c r="P24" i="14" a="1"/>
  <c r="P24" i="14" s="1"/>
  <c r="Q24" i="14" a="1"/>
  <c r="Q24" i="14" s="1"/>
  <c r="C23" i="14" a="1"/>
  <c r="C23" i="14" s="1"/>
  <c r="D23" i="14" a="1"/>
  <c r="D23" i="14" s="1"/>
  <c r="E23" i="14" a="1"/>
  <c r="E23" i="14" s="1"/>
  <c r="F23" i="14" a="1"/>
  <c r="F23" i="14" s="1"/>
  <c r="G23" i="14" a="1"/>
  <c r="G23" i="14"/>
  <c r="H23" i="14" a="1"/>
  <c r="H23" i="14"/>
  <c r="I23" i="14" a="1"/>
  <c r="I23" i="14" s="1"/>
  <c r="J23" i="14" a="1"/>
  <c r="J23" i="14"/>
  <c r="K23" i="14" a="1"/>
  <c r="K23" i="14" s="1"/>
  <c r="L23" i="14" a="1"/>
  <c r="L23" i="14" s="1"/>
  <c r="M23" i="14" a="1"/>
  <c r="M23" i="14" s="1"/>
  <c r="N23" i="14" a="1"/>
  <c r="N23" i="14" s="1"/>
  <c r="O23" i="14" a="1"/>
  <c r="O23" i="14" s="1"/>
  <c r="P23" i="14" a="1"/>
  <c r="P23" i="14"/>
  <c r="Q23" i="14" a="1"/>
  <c r="Q23" i="14"/>
  <c r="C22" i="14" a="1"/>
  <c r="C22" i="14" s="1"/>
  <c r="D22" i="14" a="1"/>
  <c r="D22" i="14" s="1"/>
  <c r="E22" i="14" a="1"/>
  <c r="E22" i="14" s="1"/>
  <c r="F22" i="14" a="1"/>
  <c r="F22" i="14" s="1"/>
  <c r="G22" i="14" a="1"/>
  <c r="G22" i="14" s="1"/>
  <c r="H22" i="14" a="1"/>
  <c r="H22" i="14" s="1"/>
  <c r="I22" i="14" a="1"/>
  <c r="I22" i="14"/>
  <c r="J22" i="14" a="1"/>
  <c r="J22" i="14"/>
  <c r="K22" i="14" a="1"/>
  <c r="K22" i="14" s="1"/>
  <c r="L22" i="14" a="1"/>
  <c r="L22" i="14" s="1"/>
  <c r="M22" i="14" a="1"/>
  <c r="M22" i="14" s="1"/>
  <c r="N22" i="14" a="1"/>
  <c r="N22" i="14" s="1"/>
  <c r="O22" i="14" a="1"/>
  <c r="O22" i="14" s="1"/>
  <c r="P22" i="14" a="1"/>
  <c r="P22" i="14" s="1"/>
  <c r="Q22" i="14" a="1"/>
  <c r="Q22" i="14" s="1"/>
  <c r="C21" i="14" a="1"/>
  <c r="C21" i="14" s="1"/>
  <c r="D21" i="14" a="1"/>
  <c r="D21" i="14" s="1"/>
  <c r="E21" i="14" a="1"/>
  <c r="E21" i="14"/>
  <c r="F21" i="14" a="1"/>
  <c r="F21" i="14" s="1"/>
  <c r="G21" i="14" a="1"/>
  <c r="G21" i="14"/>
  <c r="H21" i="14" a="1"/>
  <c r="H21" i="14"/>
  <c r="I21" i="14" a="1"/>
  <c r="I21" i="14"/>
  <c r="J21" i="14" a="1"/>
  <c r="J21" i="14" s="1"/>
  <c r="K21" i="14" a="1"/>
  <c r="K21" i="14" s="1"/>
  <c r="L21" i="14" a="1"/>
  <c r="L21" i="14" s="1"/>
  <c r="M21" i="14" a="1"/>
  <c r="M21" i="14"/>
  <c r="N21" i="14" a="1"/>
  <c r="N21" i="14" s="1"/>
  <c r="O21" i="14" a="1"/>
  <c r="O21" i="14" s="1"/>
  <c r="P21" i="14" a="1"/>
  <c r="P21" i="14" s="1"/>
  <c r="Q21" i="14" a="1"/>
  <c r="Q21" i="14" s="1"/>
  <c r="C20" i="14" a="1"/>
  <c r="C20" i="14"/>
  <c r="D20" i="14" a="1"/>
  <c r="D20" i="14"/>
  <c r="E20" i="14" a="1"/>
  <c r="E20" i="14" s="1"/>
  <c r="F20" i="14" a="1"/>
  <c r="F20" i="14"/>
  <c r="G20" i="14" a="1"/>
  <c r="G20" i="14"/>
  <c r="H20" i="14" a="1"/>
  <c r="H20" i="14" s="1"/>
  <c r="I20" i="14" a="1"/>
  <c r="I20" i="14" s="1"/>
  <c r="J20" i="14" a="1"/>
  <c r="J20" i="14" s="1"/>
  <c r="K20" i="14" a="1"/>
  <c r="K20" i="14"/>
  <c r="L20" i="14" a="1"/>
  <c r="L20" i="14" s="1"/>
  <c r="M20" i="14" a="1"/>
  <c r="M20" i="14" s="1"/>
  <c r="N20" i="14" a="1"/>
  <c r="N20" i="14" s="1"/>
  <c r="O20" i="14" a="1"/>
  <c r="O20" i="14" s="1"/>
  <c r="P20" i="14" a="1"/>
  <c r="P20" i="14" s="1"/>
  <c r="Q20" i="14" a="1"/>
  <c r="Q20" i="14" s="1"/>
  <c r="C19" i="14" a="1"/>
  <c r="C19" i="14"/>
  <c r="D19" i="14" a="1"/>
  <c r="D19" i="14" s="1"/>
  <c r="E19" i="14" a="1"/>
  <c r="E19" i="14"/>
  <c r="F19" i="14" a="1"/>
  <c r="F19" i="14"/>
  <c r="G19" i="14" a="1"/>
  <c r="G19" i="14"/>
  <c r="H19" i="14" a="1"/>
  <c r="H19" i="14" s="1"/>
  <c r="I19" i="14" a="1"/>
  <c r="I19" i="14" s="1"/>
  <c r="J19" i="14" a="1"/>
  <c r="J19" i="14" s="1"/>
  <c r="K19" i="14" a="1"/>
  <c r="K19" i="14" s="1"/>
  <c r="L19" i="14" a="1"/>
  <c r="L19" i="14"/>
  <c r="M19" i="14" a="1"/>
  <c r="M19" i="14" s="1"/>
  <c r="N19" i="14" a="1"/>
  <c r="N19" i="14" s="1"/>
  <c r="O19" i="14" a="1"/>
  <c r="O19" i="14" s="1"/>
  <c r="P19" i="14" a="1"/>
  <c r="P19" i="14"/>
  <c r="Q19" i="14" a="1"/>
  <c r="Q19" i="14"/>
  <c r="C18" i="14" a="1"/>
  <c r="C18" i="14" s="1"/>
  <c r="D18" i="14" a="1"/>
  <c r="D18" i="14" s="1"/>
  <c r="E18" i="14" a="1"/>
  <c r="E18" i="14" s="1"/>
  <c r="F18" i="14" a="1"/>
  <c r="F18" i="14" s="1"/>
  <c r="G18" i="14" a="1"/>
  <c r="G18" i="14" s="1"/>
  <c r="H18" i="14" a="1"/>
  <c r="H18" i="14" s="1"/>
  <c r="I18" i="14" a="1"/>
  <c r="I18" i="14" s="1"/>
  <c r="J18" i="14" a="1"/>
  <c r="J18" i="14"/>
  <c r="K18" i="14" a="1"/>
  <c r="K18" i="14" s="1"/>
  <c r="L18" i="14" a="1"/>
  <c r="L18" i="14" s="1"/>
  <c r="M18" i="14" a="1"/>
  <c r="M18" i="14"/>
  <c r="N18" i="14" a="1"/>
  <c r="N18" i="14" s="1"/>
  <c r="O18" i="14" a="1"/>
  <c r="O18" i="14" s="1"/>
  <c r="P18" i="14" a="1"/>
  <c r="P18" i="14" s="1"/>
  <c r="Q18" i="14" a="1"/>
  <c r="Q18" i="14"/>
  <c r="C17" i="14" a="1"/>
  <c r="C17" i="14" s="1"/>
  <c r="D17" i="14" a="1"/>
  <c r="D17" i="14"/>
  <c r="E17" i="14" a="1"/>
  <c r="E17" i="14"/>
  <c r="F17" i="14" a="1"/>
  <c r="F17" i="14" s="1"/>
  <c r="G17" i="14" a="1"/>
  <c r="G17" i="14" s="1"/>
  <c r="H17" i="14" a="1"/>
  <c r="H17" i="14" s="1"/>
  <c r="I17" i="14" a="1"/>
  <c r="I17" i="14" s="1"/>
  <c r="J17" i="14" a="1"/>
  <c r="J17" i="14" s="1"/>
  <c r="K17" i="14" a="1"/>
  <c r="K17" i="14" s="1"/>
  <c r="L17" i="14" a="1"/>
  <c r="L17" i="14" s="1"/>
  <c r="M17" i="14" a="1"/>
  <c r="M17" i="14" s="1"/>
  <c r="N17" i="14" a="1"/>
  <c r="N17" i="14" s="1"/>
  <c r="O17" i="14" a="1"/>
  <c r="O17" i="14"/>
  <c r="P17" i="14" a="1"/>
  <c r="P17" i="14"/>
  <c r="Q17" i="14" a="1"/>
  <c r="Q17" i="14"/>
  <c r="C16" i="14" a="1"/>
  <c r="C16" i="14" s="1"/>
  <c r="D16" i="14" a="1"/>
  <c r="D16" i="14" s="1"/>
  <c r="E16" i="14" a="1"/>
  <c r="E16" i="14" s="1"/>
  <c r="F16" i="14" a="1"/>
  <c r="F16" i="14" s="1"/>
  <c r="G16" i="14" a="1"/>
  <c r="G16" i="14" s="1"/>
  <c r="H16" i="14" a="1"/>
  <c r="H16" i="14" s="1"/>
  <c r="I16" i="14" a="1"/>
  <c r="I16" i="14" s="1"/>
  <c r="J16" i="14" a="1"/>
  <c r="J16" i="14" s="1"/>
  <c r="K16" i="14" a="1"/>
  <c r="K16" i="14" s="1"/>
  <c r="L16" i="14" a="1"/>
  <c r="L16" i="14"/>
  <c r="M16" i="14" a="1"/>
  <c r="M16" i="14" s="1"/>
  <c r="N16" i="14" a="1"/>
  <c r="N16" i="14" s="1"/>
  <c r="O16" i="14" a="1"/>
  <c r="O16" i="14" s="1"/>
  <c r="P16" i="14" a="1"/>
  <c r="P16" i="14" s="1"/>
  <c r="Q16" i="14" a="1"/>
  <c r="Q16" i="14"/>
  <c r="C15" i="14" a="1"/>
  <c r="C15" i="14" s="1"/>
  <c r="D15" i="14" a="1"/>
  <c r="D15" i="14"/>
  <c r="E15" i="14" a="1"/>
  <c r="E15" i="14" s="1"/>
  <c r="F15" i="14" a="1"/>
  <c r="F15" i="14" s="1"/>
  <c r="G15" i="14" a="1"/>
  <c r="G15" i="14" s="1"/>
  <c r="H15" i="14" a="1"/>
  <c r="H15" i="14" s="1"/>
  <c r="I15" i="14" a="1"/>
  <c r="I15" i="14"/>
  <c r="J15" i="14" a="1"/>
  <c r="J15" i="14"/>
  <c r="K15" i="14" a="1"/>
  <c r="K15" i="14" s="1"/>
  <c r="L15" i="14" a="1"/>
  <c r="L15" i="14"/>
  <c r="M15" i="14" a="1"/>
  <c r="M15" i="14" s="1"/>
  <c r="N15" i="14" a="1"/>
  <c r="N15" i="14" s="1"/>
  <c r="O15" i="14" a="1"/>
  <c r="O15" i="14" s="1"/>
  <c r="P15" i="14" a="1"/>
  <c r="P15" i="14" s="1"/>
  <c r="Q15" i="14" a="1"/>
  <c r="Q15" i="14"/>
  <c r="C14" i="14" a="1"/>
  <c r="C14" i="14" s="1"/>
  <c r="D14" i="14" a="1"/>
  <c r="D14" i="14" s="1"/>
  <c r="E14" i="14" a="1"/>
  <c r="E14" i="14" s="1"/>
  <c r="F14" i="14" a="1"/>
  <c r="F14" i="14" s="1"/>
  <c r="G14" i="14" a="1"/>
  <c r="G14" i="14" s="1"/>
  <c r="H14" i="14" a="1"/>
  <c r="H14" i="14" s="1"/>
  <c r="I14" i="14" a="1"/>
  <c r="I14" i="14" s="1"/>
  <c r="J14" i="14" a="1"/>
  <c r="J14" i="14"/>
  <c r="K14" i="14" a="1"/>
  <c r="K14" i="14" s="1"/>
  <c r="L14" i="14" a="1"/>
  <c r="L14" i="14" s="1"/>
  <c r="M14" i="14" a="1"/>
  <c r="M14" i="14" s="1"/>
  <c r="N14" i="14" a="1"/>
  <c r="N14" i="14"/>
  <c r="O14" i="14" a="1"/>
  <c r="O14" i="14"/>
  <c r="P14" i="14" a="1"/>
  <c r="P14" i="14" s="1"/>
  <c r="Q14" i="14" a="1"/>
  <c r="Q14" i="14" s="1"/>
  <c r="C13" i="14" a="1"/>
  <c r="C13" i="14" s="1"/>
  <c r="D13" i="14" a="1"/>
  <c r="D13" i="14" s="1"/>
  <c r="E13" i="14" a="1"/>
  <c r="E13" i="14" s="1"/>
  <c r="F13" i="14" a="1"/>
  <c r="F13" i="14" s="1"/>
  <c r="G13" i="14" a="1"/>
  <c r="G13" i="14"/>
  <c r="H13" i="14" a="1"/>
  <c r="H13" i="14" s="1"/>
  <c r="I13" i="14" a="1"/>
  <c r="I13" i="14" s="1"/>
  <c r="J13" i="14" a="1"/>
  <c r="J13" i="14" s="1"/>
  <c r="K13" i="14" a="1"/>
  <c r="K13" i="14" s="1"/>
  <c r="L13" i="14" a="1"/>
  <c r="L13" i="14" s="1"/>
  <c r="M13" i="14" a="1"/>
  <c r="M13" i="14" s="1"/>
  <c r="N13" i="14" a="1"/>
  <c r="N13" i="14" s="1"/>
  <c r="O13" i="14" a="1"/>
  <c r="O13" i="14" s="1"/>
  <c r="P13" i="14" a="1"/>
  <c r="P13" i="14"/>
  <c r="Q13" i="14" a="1"/>
  <c r="Q13" i="14" s="1"/>
  <c r="C12" i="14" a="1"/>
  <c r="C12" i="14" s="1"/>
  <c r="D12" i="14" a="1"/>
  <c r="D12" i="14" s="1"/>
  <c r="E12" i="14" a="1"/>
  <c r="E12" i="14"/>
  <c r="F12" i="14" a="1"/>
  <c r="F12" i="14" s="1"/>
  <c r="G12" i="14" a="1"/>
  <c r="G12" i="14" s="1"/>
  <c r="H12" i="14" a="1"/>
  <c r="H12" i="14" s="1"/>
  <c r="I12" i="14" a="1"/>
  <c r="I12" i="14" s="1"/>
  <c r="J12" i="14" a="1"/>
  <c r="J12" i="14" s="1"/>
  <c r="K12" i="14" a="1"/>
  <c r="K12" i="14" s="1"/>
  <c r="L12" i="14" a="1"/>
  <c r="L12" i="14" s="1"/>
  <c r="M12" i="14" a="1"/>
  <c r="M12" i="14" s="1"/>
  <c r="N12" i="14" a="1"/>
  <c r="N12" i="14" s="1"/>
  <c r="O12" i="14" a="1"/>
  <c r="O12" i="14" s="1"/>
  <c r="P12" i="14" a="1"/>
  <c r="P12" i="14"/>
  <c r="Q12" i="14" a="1"/>
  <c r="Q12" i="14" s="1"/>
  <c r="C11" i="14" a="1"/>
  <c r="C11" i="14" s="1"/>
  <c r="D11" i="14" a="1"/>
  <c r="D11" i="14" s="1"/>
  <c r="E11" i="14" a="1"/>
  <c r="E11" i="14" s="1"/>
  <c r="F11" i="14" a="1"/>
  <c r="F11" i="14" s="1"/>
  <c r="G11" i="14" a="1"/>
  <c r="G11" i="14" s="1"/>
  <c r="V29" i="14" s="1"/>
  <c r="H11" i="14" a="1"/>
  <c r="H11" i="14" s="1"/>
  <c r="I11" i="14" a="1"/>
  <c r="I11" i="14" s="1"/>
  <c r="J11" i="14" a="1"/>
  <c r="J11" i="14" s="1"/>
  <c r="K11" i="14" a="1"/>
  <c r="K11" i="14" s="1"/>
  <c r="L11" i="14" a="1"/>
  <c r="L11" i="14" s="1"/>
  <c r="M11" i="14" a="1"/>
  <c r="M11" i="14" s="1"/>
  <c r="N11" i="14" a="1"/>
  <c r="N11" i="14" s="1"/>
  <c r="O11" i="14" a="1"/>
  <c r="O11" i="14" s="1"/>
  <c r="P11" i="14" a="1"/>
  <c r="P11" i="14" s="1"/>
  <c r="Q11" i="14" a="1"/>
  <c r="Q11" i="14" s="1"/>
  <c r="H5" i="14" a="1"/>
  <c r="H5" i="14" s="1"/>
  <c r="N5" i="14" a="1"/>
  <c r="N5" i="14" s="1"/>
  <c r="C25" i="13" a="1"/>
  <c r="C25" i="13" s="1"/>
  <c r="D25" i="13" a="1"/>
  <c r="D25" i="13" s="1"/>
  <c r="E25" i="13" a="1"/>
  <c r="E25" i="13" s="1"/>
  <c r="F25" i="13" a="1"/>
  <c r="F25" i="13" s="1"/>
  <c r="G25" i="13" a="1"/>
  <c r="G25" i="13" s="1"/>
  <c r="H25" i="13" a="1"/>
  <c r="H25" i="13" s="1"/>
  <c r="I25" i="13" a="1"/>
  <c r="I25" i="13" s="1"/>
  <c r="J25" i="13" a="1"/>
  <c r="J25" i="13"/>
  <c r="K25" i="13" a="1"/>
  <c r="K25" i="13" s="1"/>
  <c r="L25" i="13" a="1"/>
  <c r="L25" i="13" s="1"/>
  <c r="M25" i="13" a="1"/>
  <c r="M25" i="13" s="1"/>
  <c r="N25" i="13" a="1"/>
  <c r="N25" i="13" s="1"/>
  <c r="O25" i="13" a="1"/>
  <c r="O25" i="13" s="1"/>
  <c r="P25" i="13" a="1"/>
  <c r="P25" i="13" s="1"/>
  <c r="Q25" i="13" a="1"/>
  <c r="Q25" i="13" s="1"/>
  <c r="C24" i="13" a="1"/>
  <c r="C24" i="13"/>
  <c r="D24" i="13" a="1"/>
  <c r="D24" i="13" s="1"/>
  <c r="E24" i="13" a="1"/>
  <c r="E24" i="13" s="1"/>
  <c r="F24" i="13" a="1"/>
  <c r="F24" i="13" s="1"/>
  <c r="G24" i="13" a="1"/>
  <c r="G24" i="13" s="1"/>
  <c r="H24" i="13" a="1"/>
  <c r="H24" i="13"/>
  <c r="I24" i="13" a="1"/>
  <c r="I24" i="13" s="1"/>
  <c r="J24" i="13" a="1"/>
  <c r="J24" i="13" s="1"/>
  <c r="K24" i="13" a="1"/>
  <c r="K24" i="13" s="1"/>
  <c r="L24" i="13" a="1"/>
  <c r="L24" i="13" s="1"/>
  <c r="M24" i="13" a="1"/>
  <c r="M24" i="13" s="1"/>
  <c r="N24" i="13" a="1"/>
  <c r="N24" i="13" s="1"/>
  <c r="O24" i="13" a="1"/>
  <c r="O24" i="13" s="1"/>
  <c r="P24" i="13" a="1"/>
  <c r="P24" i="13" s="1"/>
  <c r="Q24" i="13" a="1"/>
  <c r="Q24" i="13" s="1"/>
  <c r="C23" i="13" a="1"/>
  <c r="C23" i="13"/>
  <c r="D23" i="13" a="1"/>
  <c r="D23" i="13" s="1"/>
  <c r="E23" i="13" a="1"/>
  <c r="E23" i="13" s="1"/>
  <c r="F23" i="13" a="1"/>
  <c r="F23" i="13" s="1"/>
  <c r="G23" i="13" a="1"/>
  <c r="G23" i="13" s="1"/>
  <c r="H23" i="13" a="1"/>
  <c r="H23" i="13" s="1"/>
  <c r="I23" i="13" a="1"/>
  <c r="I23" i="13" s="1"/>
  <c r="J23" i="13" a="1"/>
  <c r="J23" i="13" s="1"/>
  <c r="K23" i="13" a="1"/>
  <c r="K23" i="13" s="1"/>
  <c r="L23" i="13" a="1"/>
  <c r="L23" i="13" s="1"/>
  <c r="M23" i="13" a="1"/>
  <c r="M23" i="13" s="1"/>
  <c r="N23" i="13" a="1"/>
  <c r="N23" i="13" s="1"/>
  <c r="O23" i="13" a="1"/>
  <c r="O23" i="13" s="1"/>
  <c r="P23" i="13" a="1"/>
  <c r="P23" i="13" s="1"/>
  <c r="Q23" i="13" a="1"/>
  <c r="Q23" i="13" s="1"/>
  <c r="C22" i="13" a="1"/>
  <c r="C22" i="13" s="1"/>
  <c r="D22" i="13" a="1"/>
  <c r="D22" i="13" s="1"/>
  <c r="E22" i="13" a="1"/>
  <c r="E22" i="13" s="1"/>
  <c r="F22" i="13" a="1"/>
  <c r="F22" i="13" s="1"/>
  <c r="G22" i="13" a="1"/>
  <c r="G22" i="13" s="1"/>
  <c r="H22" i="13" a="1"/>
  <c r="H22" i="13" s="1"/>
  <c r="I22" i="13" a="1"/>
  <c r="I22" i="13" s="1"/>
  <c r="J22" i="13" a="1"/>
  <c r="J22" i="13" s="1"/>
  <c r="K22" i="13" a="1"/>
  <c r="K22" i="13" s="1"/>
  <c r="L22" i="13" a="1"/>
  <c r="L22" i="13" s="1"/>
  <c r="M22" i="13" a="1"/>
  <c r="M22" i="13" s="1"/>
  <c r="N22" i="13" a="1"/>
  <c r="N22" i="13" s="1"/>
  <c r="O22" i="13" a="1"/>
  <c r="O22" i="13" s="1"/>
  <c r="P22" i="13" a="1"/>
  <c r="P22" i="13" s="1"/>
  <c r="Q22" i="13" a="1"/>
  <c r="Q22" i="13" s="1"/>
  <c r="C21" i="13" a="1"/>
  <c r="C21" i="13" s="1"/>
  <c r="D21" i="13" a="1"/>
  <c r="D21" i="13" s="1"/>
  <c r="E21" i="13" a="1"/>
  <c r="E21" i="13" s="1"/>
  <c r="F21" i="13" a="1"/>
  <c r="F21" i="13"/>
  <c r="G21" i="13" a="1"/>
  <c r="G21" i="13" s="1"/>
  <c r="H21" i="13" a="1"/>
  <c r="H21" i="13" s="1"/>
  <c r="I21" i="13" a="1"/>
  <c r="I21" i="13" s="1"/>
  <c r="J21" i="13" a="1"/>
  <c r="J21" i="13" s="1"/>
  <c r="K21" i="13" a="1"/>
  <c r="K21" i="13" s="1"/>
  <c r="L21" i="13" a="1"/>
  <c r="L21" i="13"/>
  <c r="M21" i="13" a="1"/>
  <c r="M21" i="13" s="1"/>
  <c r="N21" i="13" a="1"/>
  <c r="N21" i="13" s="1"/>
  <c r="O21" i="13" a="1"/>
  <c r="O21" i="13" s="1"/>
  <c r="P21" i="13" a="1"/>
  <c r="P21" i="13" s="1"/>
  <c r="Q21" i="13" a="1"/>
  <c r="Q21" i="13" s="1"/>
  <c r="C20" i="13" a="1"/>
  <c r="C20" i="13" s="1"/>
  <c r="D20" i="13" a="1"/>
  <c r="D20" i="13" s="1"/>
  <c r="E20" i="13" a="1"/>
  <c r="E20" i="13"/>
  <c r="F20" i="13" a="1"/>
  <c r="F20" i="13" s="1"/>
  <c r="G20" i="13" a="1"/>
  <c r="G20" i="13" s="1"/>
  <c r="H20" i="13" a="1"/>
  <c r="H20" i="13" s="1"/>
  <c r="I20" i="13" a="1"/>
  <c r="I20" i="13" s="1"/>
  <c r="J20" i="13" a="1"/>
  <c r="J20" i="13" s="1"/>
  <c r="K20" i="13" a="1"/>
  <c r="K20" i="13" s="1"/>
  <c r="L20" i="13" a="1"/>
  <c r="L20" i="13" s="1"/>
  <c r="M20" i="13" a="1"/>
  <c r="M20" i="13" s="1"/>
  <c r="N20" i="13" a="1"/>
  <c r="N20" i="13" s="1"/>
  <c r="O20" i="13" a="1"/>
  <c r="O20" i="13" s="1"/>
  <c r="P20" i="13" a="1"/>
  <c r="P20" i="13" s="1"/>
  <c r="Q20" i="13" a="1"/>
  <c r="Q20" i="13" s="1"/>
  <c r="C19" i="13" a="1"/>
  <c r="C19" i="13" s="1"/>
  <c r="D19" i="13" a="1"/>
  <c r="D19" i="13" s="1"/>
  <c r="E19" i="13" a="1"/>
  <c r="E19" i="13" s="1"/>
  <c r="F19" i="13" a="1"/>
  <c r="F19" i="13"/>
  <c r="G19" i="13" a="1"/>
  <c r="G19" i="13" s="1"/>
  <c r="H19" i="13" a="1"/>
  <c r="H19" i="13" s="1"/>
  <c r="I19" i="13" a="1"/>
  <c r="I19" i="13" s="1"/>
  <c r="J19" i="13" a="1"/>
  <c r="J19" i="13" s="1"/>
  <c r="K19" i="13" a="1"/>
  <c r="K19" i="13" s="1"/>
  <c r="L19" i="13" a="1"/>
  <c r="L19" i="13" s="1"/>
  <c r="M19" i="13" a="1"/>
  <c r="M19" i="13" s="1"/>
  <c r="N19" i="13" a="1"/>
  <c r="N19" i="13" s="1"/>
  <c r="O19" i="13" a="1"/>
  <c r="O19" i="13" s="1"/>
  <c r="P19" i="13" a="1"/>
  <c r="P19" i="13" s="1"/>
  <c r="Q19" i="13" a="1"/>
  <c r="Q19" i="13"/>
  <c r="C18" i="13" a="1"/>
  <c r="C18" i="13" s="1"/>
  <c r="D18" i="13" a="1"/>
  <c r="D18" i="13" s="1"/>
  <c r="E18" i="13" a="1"/>
  <c r="E18" i="13" s="1"/>
  <c r="F18" i="13" a="1"/>
  <c r="F18" i="13" s="1"/>
  <c r="G18" i="13" a="1"/>
  <c r="G18" i="13" s="1"/>
  <c r="H18" i="13" a="1"/>
  <c r="H18" i="13" s="1"/>
  <c r="I18" i="13" a="1"/>
  <c r="I18" i="13" s="1"/>
  <c r="J18" i="13" a="1"/>
  <c r="J18" i="13"/>
  <c r="K18" i="13" a="1"/>
  <c r="K18" i="13" s="1"/>
  <c r="L18" i="13" a="1"/>
  <c r="L18" i="13" s="1"/>
  <c r="M18" i="13" a="1"/>
  <c r="M18" i="13" s="1"/>
  <c r="N18" i="13" a="1"/>
  <c r="N18" i="13" s="1"/>
  <c r="O18" i="13" a="1"/>
  <c r="O18" i="13" s="1"/>
  <c r="P18" i="13" a="1"/>
  <c r="P18" i="13" s="1"/>
  <c r="Q18" i="13" a="1"/>
  <c r="Q18" i="13" s="1"/>
  <c r="C17" i="13" a="1"/>
  <c r="C17" i="13" s="1"/>
  <c r="D17" i="13" a="1"/>
  <c r="D17" i="13" s="1"/>
  <c r="E17" i="13" a="1"/>
  <c r="E17" i="13" s="1"/>
  <c r="F17" i="13" a="1"/>
  <c r="F17" i="13" s="1"/>
  <c r="G17" i="13" a="1"/>
  <c r="G17" i="13" s="1"/>
  <c r="H17" i="13" a="1"/>
  <c r="H17" i="13" s="1"/>
  <c r="I17" i="13" a="1"/>
  <c r="I17" i="13" s="1"/>
  <c r="J17" i="13" a="1"/>
  <c r="J17" i="13" s="1"/>
  <c r="K17" i="13" a="1"/>
  <c r="K17" i="13" s="1"/>
  <c r="L17" i="13" a="1"/>
  <c r="L17" i="13" s="1"/>
  <c r="M17" i="13" a="1"/>
  <c r="M17" i="13" s="1"/>
  <c r="N17" i="13" a="1"/>
  <c r="N17" i="13" s="1"/>
  <c r="O17" i="13" a="1"/>
  <c r="O17" i="13" s="1"/>
  <c r="P17" i="13" a="1"/>
  <c r="P17" i="13" s="1"/>
  <c r="Q17" i="13" a="1"/>
  <c r="Q17" i="13" s="1"/>
  <c r="C16" i="13" a="1"/>
  <c r="C16" i="13" s="1"/>
  <c r="D16" i="13" a="1"/>
  <c r="D16" i="13" s="1"/>
  <c r="E16" i="13" a="1"/>
  <c r="E16" i="13" s="1"/>
  <c r="F16" i="13" a="1"/>
  <c r="F16" i="13" s="1"/>
  <c r="G16" i="13" a="1"/>
  <c r="G16" i="13" s="1"/>
  <c r="H16" i="13" a="1"/>
  <c r="H16" i="13" s="1"/>
  <c r="I16" i="13" a="1"/>
  <c r="I16" i="13" s="1"/>
  <c r="J16" i="13" a="1"/>
  <c r="J16" i="13"/>
  <c r="K16" i="13" a="1"/>
  <c r="K16" i="13" s="1"/>
  <c r="L16" i="13" a="1"/>
  <c r="L16" i="13" s="1"/>
  <c r="M16" i="13" a="1"/>
  <c r="M16" i="13" s="1"/>
  <c r="N16" i="13" a="1"/>
  <c r="N16" i="13" s="1"/>
  <c r="O16" i="13" a="1"/>
  <c r="O16" i="13" s="1"/>
  <c r="P16" i="13" a="1"/>
  <c r="P16" i="13" s="1"/>
  <c r="Q16" i="13" a="1"/>
  <c r="Q16" i="13" s="1"/>
  <c r="C15" i="13" a="1"/>
  <c r="C15" i="13" s="1"/>
  <c r="D15" i="13" a="1"/>
  <c r="D15" i="13" s="1"/>
  <c r="E15" i="13" a="1"/>
  <c r="E15" i="13" s="1"/>
  <c r="F15" i="13" a="1"/>
  <c r="F15" i="13"/>
  <c r="G15" i="13" a="1"/>
  <c r="G15" i="13"/>
  <c r="H15" i="13" a="1"/>
  <c r="H15" i="13" s="1"/>
  <c r="I15" i="13" a="1"/>
  <c r="I15" i="13" s="1"/>
  <c r="J15" i="13" a="1"/>
  <c r="J15" i="13" s="1"/>
  <c r="K15" i="13" a="1"/>
  <c r="K15" i="13" s="1"/>
  <c r="L15" i="13" a="1"/>
  <c r="L15" i="13" s="1"/>
  <c r="M15" i="13" a="1"/>
  <c r="M15" i="13" s="1"/>
  <c r="N15" i="13" a="1"/>
  <c r="N15" i="13" s="1"/>
  <c r="O15" i="13" a="1"/>
  <c r="O15" i="13" s="1"/>
  <c r="P15" i="13" a="1"/>
  <c r="P15" i="13" s="1"/>
  <c r="Q15" i="13" a="1"/>
  <c r="Q15" i="13" s="1"/>
  <c r="C14" i="13" a="1"/>
  <c r="C14" i="13" s="1"/>
  <c r="D14" i="13" a="1"/>
  <c r="D14" i="13" s="1"/>
  <c r="E14" i="13" a="1"/>
  <c r="E14" i="13"/>
  <c r="F14" i="13" a="1"/>
  <c r="F14" i="13" s="1"/>
  <c r="G14" i="13" a="1"/>
  <c r="G14" i="13" s="1"/>
  <c r="H14" i="13" a="1"/>
  <c r="H14" i="13" s="1"/>
  <c r="I14" i="13" a="1"/>
  <c r="I14" i="13" s="1"/>
  <c r="J14" i="13" a="1"/>
  <c r="J14" i="13" s="1"/>
  <c r="K14" i="13" a="1"/>
  <c r="K14" i="13" s="1"/>
  <c r="L14" i="13" a="1"/>
  <c r="L14" i="13" s="1"/>
  <c r="M14" i="13" a="1"/>
  <c r="M14" i="13" s="1"/>
  <c r="N14" i="13" a="1"/>
  <c r="N14" i="13" s="1"/>
  <c r="O14" i="13" a="1"/>
  <c r="O14" i="13" s="1"/>
  <c r="P14" i="13" a="1"/>
  <c r="P14" i="13" s="1"/>
  <c r="Q14" i="13" a="1"/>
  <c r="Q14" i="13" s="1"/>
  <c r="C13" i="13" a="1"/>
  <c r="C13" i="13"/>
  <c r="D13" i="13" a="1"/>
  <c r="D13" i="13" s="1"/>
  <c r="E13" i="13" a="1"/>
  <c r="E13" i="13" s="1"/>
  <c r="F13" i="13" a="1"/>
  <c r="F13" i="13" s="1"/>
  <c r="G13" i="13" a="1"/>
  <c r="G13" i="13"/>
  <c r="H13" i="13" a="1"/>
  <c r="H13" i="13" s="1"/>
  <c r="I13" i="13" a="1"/>
  <c r="I13" i="13" s="1"/>
  <c r="J13" i="13" a="1"/>
  <c r="J13" i="13" s="1"/>
  <c r="K13" i="13" a="1"/>
  <c r="K13" i="13" s="1"/>
  <c r="L13" i="13" a="1"/>
  <c r="L13" i="13" s="1"/>
  <c r="M13" i="13" a="1"/>
  <c r="M13" i="13" s="1"/>
  <c r="N13" i="13" a="1"/>
  <c r="N13" i="13" s="1"/>
  <c r="O13" i="13" a="1"/>
  <c r="O13" i="13" s="1"/>
  <c r="P13" i="13" a="1"/>
  <c r="P13" i="13" s="1"/>
  <c r="Q13" i="13" a="1"/>
  <c r="Q13" i="13" s="1"/>
  <c r="C12" i="13" a="1"/>
  <c r="C12" i="13"/>
  <c r="D12" i="13" a="1"/>
  <c r="D12" i="13" s="1"/>
  <c r="E12" i="13" a="1"/>
  <c r="E12" i="13"/>
  <c r="F12" i="13" a="1"/>
  <c r="F12" i="13" s="1"/>
  <c r="G12" i="13" a="1"/>
  <c r="G12" i="13" s="1"/>
  <c r="H12" i="13" a="1"/>
  <c r="H12" i="13" s="1"/>
  <c r="I12" i="13" a="1"/>
  <c r="I12" i="13" s="1"/>
  <c r="J12" i="13" a="1"/>
  <c r="J12" i="13" s="1"/>
  <c r="K12" i="13" a="1"/>
  <c r="K12" i="13" s="1"/>
  <c r="L12" i="13" a="1"/>
  <c r="L12" i="13" s="1"/>
  <c r="M12" i="13" a="1"/>
  <c r="M12" i="13" s="1"/>
  <c r="N12" i="13" a="1"/>
  <c r="N12" i="13" s="1"/>
  <c r="O12" i="13" a="1"/>
  <c r="O12" i="13" s="1"/>
  <c r="P12" i="13" a="1"/>
  <c r="P12" i="13" s="1"/>
  <c r="Q12" i="13" a="1"/>
  <c r="Q12" i="13"/>
  <c r="C11" i="13" a="1"/>
  <c r="C11" i="13" s="1"/>
  <c r="D11" i="13" a="1"/>
  <c r="D11" i="13"/>
  <c r="E11" i="13" a="1"/>
  <c r="E11" i="13"/>
  <c r="F11" i="13" a="1"/>
  <c r="F11" i="13" s="1"/>
  <c r="U29" i="13" s="1"/>
  <c r="G11" i="13" a="1"/>
  <c r="G11" i="13" s="1"/>
  <c r="H11" i="13" a="1"/>
  <c r="H11" i="13" s="1"/>
  <c r="I11" i="13" a="1"/>
  <c r="I11" i="13" s="1"/>
  <c r="J11" i="13" a="1"/>
  <c r="J11" i="13" s="1"/>
  <c r="K11" i="13" a="1"/>
  <c r="K11" i="13" s="1"/>
  <c r="L11" i="13" a="1"/>
  <c r="L11" i="13" s="1"/>
  <c r="M11" i="13" a="1"/>
  <c r="M11" i="13" s="1"/>
  <c r="N11" i="13" a="1"/>
  <c r="N11" i="13" s="1"/>
  <c r="O11" i="13" a="1"/>
  <c r="O11" i="13" s="1"/>
  <c r="P11" i="13" a="1"/>
  <c r="P11" i="13" s="1"/>
  <c r="Q11" i="13" a="1"/>
  <c r="Q11" i="13" s="1"/>
  <c r="H5" i="13" a="1"/>
  <c r="H5" i="13" s="1"/>
  <c r="N5" i="13" a="1"/>
  <c r="N5" i="13"/>
  <c r="C25" i="12" a="1"/>
  <c r="C25" i="12"/>
  <c r="D25" i="12" a="1"/>
  <c r="D25" i="12" s="1"/>
  <c r="E25" i="12" a="1"/>
  <c r="E25" i="12" s="1"/>
  <c r="F25" i="12" a="1"/>
  <c r="F25" i="12" s="1"/>
  <c r="G25" i="12" a="1"/>
  <c r="G25" i="12" s="1"/>
  <c r="H25" i="12" a="1"/>
  <c r="H25" i="12" s="1"/>
  <c r="I25" i="12" a="1"/>
  <c r="I25" i="12" s="1"/>
  <c r="J25" i="12" a="1"/>
  <c r="J25" i="12" s="1"/>
  <c r="K25" i="12" a="1"/>
  <c r="K25" i="12" s="1"/>
  <c r="L25" i="12" a="1"/>
  <c r="L25" i="12" s="1"/>
  <c r="M25" i="12" a="1"/>
  <c r="M25" i="12"/>
  <c r="N25" i="12" a="1"/>
  <c r="N25" i="12"/>
  <c r="O25" i="12" a="1"/>
  <c r="O25" i="12" s="1"/>
  <c r="P25" i="12" a="1"/>
  <c r="P25" i="12"/>
  <c r="Q25" i="12" a="1"/>
  <c r="Q25" i="12" s="1"/>
  <c r="C24" i="12" a="1"/>
  <c r="C24" i="12" s="1"/>
  <c r="D24" i="12" a="1"/>
  <c r="D24" i="12"/>
  <c r="E24" i="12" a="1"/>
  <c r="E24" i="12" s="1"/>
  <c r="F24" i="12" a="1"/>
  <c r="F24" i="12"/>
  <c r="G24" i="12" a="1"/>
  <c r="G24" i="12" s="1"/>
  <c r="H24" i="12" a="1"/>
  <c r="H24" i="12" s="1"/>
  <c r="I24" i="12" a="1"/>
  <c r="I24" i="12" s="1"/>
  <c r="J24" i="12" a="1"/>
  <c r="J24" i="12" s="1"/>
  <c r="K24" i="12" a="1"/>
  <c r="K24" i="12" s="1"/>
  <c r="L24" i="12" a="1"/>
  <c r="L24" i="12" s="1"/>
  <c r="M24" i="12" a="1"/>
  <c r="M24" i="12" s="1"/>
  <c r="N24" i="12" a="1"/>
  <c r="N24" i="12" s="1"/>
  <c r="O24" i="12" a="1"/>
  <c r="O24" i="12" s="1"/>
  <c r="P24" i="12" a="1"/>
  <c r="P24" i="12"/>
  <c r="Q24" i="12" a="1"/>
  <c r="Q24" i="12" s="1"/>
  <c r="C23" i="12" a="1"/>
  <c r="C23" i="12" s="1"/>
  <c r="D23" i="12" a="1"/>
  <c r="D23" i="12" s="1"/>
  <c r="E23" i="12" a="1"/>
  <c r="E23" i="12" s="1"/>
  <c r="F23" i="12" a="1"/>
  <c r="F23" i="12" s="1"/>
  <c r="G23" i="12" a="1"/>
  <c r="G23" i="12" s="1"/>
  <c r="H23" i="12" a="1"/>
  <c r="H23" i="12" s="1"/>
  <c r="I23" i="12" a="1"/>
  <c r="I23" i="12" s="1"/>
  <c r="J23" i="12" a="1"/>
  <c r="J23" i="12" s="1"/>
  <c r="K23" i="12" a="1"/>
  <c r="K23" i="12" s="1"/>
  <c r="L23" i="12" a="1"/>
  <c r="L23" i="12"/>
  <c r="M23" i="12" a="1"/>
  <c r="M23" i="12" s="1"/>
  <c r="N23" i="12" a="1"/>
  <c r="N23" i="12" s="1"/>
  <c r="O23" i="12" a="1"/>
  <c r="O23" i="12"/>
  <c r="P23" i="12" a="1"/>
  <c r="P23" i="12" s="1"/>
  <c r="Q23" i="12" a="1"/>
  <c r="Q23" i="12" s="1"/>
  <c r="C22" i="12" a="1"/>
  <c r="C22" i="12" s="1"/>
  <c r="D22" i="12" a="1"/>
  <c r="D22" i="12" s="1"/>
  <c r="E22" i="12" a="1"/>
  <c r="E22" i="12" s="1"/>
  <c r="F22" i="12" a="1"/>
  <c r="F22" i="12" s="1"/>
  <c r="G22" i="12" a="1"/>
  <c r="G22" i="12" s="1"/>
  <c r="H22" i="12" a="1"/>
  <c r="H22" i="12" s="1"/>
  <c r="I22" i="12" a="1"/>
  <c r="I22" i="12"/>
  <c r="J22" i="12" a="1"/>
  <c r="J22" i="12"/>
  <c r="K22" i="12" a="1"/>
  <c r="K22" i="12" s="1"/>
  <c r="L22" i="12" a="1"/>
  <c r="L22" i="12"/>
  <c r="M22" i="12" a="1"/>
  <c r="M22" i="12"/>
  <c r="N22" i="12" a="1"/>
  <c r="N22" i="12" s="1"/>
  <c r="O22" i="12" a="1"/>
  <c r="O22" i="12" s="1"/>
  <c r="P22" i="12" a="1"/>
  <c r="P22" i="12" s="1"/>
  <c r="Q22" i="12" a="1"/>
  <c r="Q22" i="12" s="1"/>
  <c r="C21" i="12" a="1"/>
  <c r="C21" i="12" s="1"/>
  <c r="D21" i="12" a="1"/>
  <c r="D21" i="12"/>
  <c r="E21" i="12" a="1"/>
  <c r="E21" i="12" s="1"/>
  <c r="F21" i="12" a="1"/>
  <c r="F21" i="12" s="1"/>
  <c r="G21" i="12" a="1"/>
  <c r="G21" i="12" s="1"/>
  <c r="H21" i="12" a="1"/>
  <c r="H21" i="12" s="1"/>
  <c r="I21" i="12" a="1"/>
  <c r="I21" i="12"/>
  <c r="J21" i="12" a="1"/>
  <c r="J21" i="12" s="1"/>
  <c r="K21" i="12" a="1"/>
  <c r="K21" i="12"/>
  <c r="L21" i="12" a="1"/>
  <c r="L21" i="12" s="1"/>
  <c r="M21" i="12" a="1"/>
  <c r="M21" i="12"/>
  <c r="N21" i="12" a="1"/>
  <c r="N21" i="12" s="1"/>
  <c r="O21" i="12" a="1"/>
  <c r="O21" i="12" s="1"/>
  <c r="P21" i="12" a="1"/>
  <c r="P21" i="12" s="1"/>
  <c r="Q21" i="12" a="1"/>
  <c r="Q21" i="12" s="1"/>
  <c r="C20" i="12" a="1"/>
  <c r="C20" i="12" s="1"/>
  <c r="D20" i="12" a="1"/>
  <c r="D20" i="12" s="1"/>
  <c r="E20" i="12" a="1"/>
  <c r="E20" i="12" s="1"/>
  <c r="F20" i="12" a="1"/>
  <c r="F20" i="12" s="1"/>
  <c r="G20" i="12" a="1"/>
  <c r="G20" i="12"/>
  <c r="H20" i="12" a="1"/>
  <c r="H20" i="12" s="1"/>
  <c r="I20" i="12" a="1"/>
  <c r="I20" i="12"/>
  <c r="J20" i="12" a="1"/>
  <c r="J20" i="12"/>
  <c r="K20" i="12" a="1"/>
  <c r="K20" i="12" s="1"/>
  <c r="L20" i="12" a="1"/>
  <c r="L20" i="12" s="1"/>
  <c r="M20" i="12" a="1"/>
  <c r="M20" i="12" s="1"/>
  <c r="N20" i="12" a="1"/>
  <c r="N20" i="12"/>
  <c r="O20" i="12" a="1"/>
  <c r="O20" i="12" s="1"/>
  <c r="P20" i="12" a="1"/>
  <c r="P20" i="12" s="1"/>
  <c r="Q20" i="12" a="1"/>
  <c r="Q20" i="12" s="1"/>
  <c r="C19" i="12" a="1"/>
  <c r="C19" i="12" s="1"/>
  <c r="D19" i="12" a="1"/>
  <c r="D19" i="12" s="1"/>
  <c r="E19" i="12" a="1"/>
  <c r="E19" i="12" s="1"/>
  <c r="F19" i="12" a="1"/>
  <c r="F19" i="12"/>
  <c r="G19" i="12" a="1"/>
  <c r="G19" i="12" s="1"/>
  <c r="H19" i="12" a="1"/>
  <c r="H19" i="12" s="1"/>
  <c r="I19" i="12" a="1"/>
  <c r="I19" i="12" s="1"/>
  <c r="J19" i="12" a="1"/>
  <c r="J19" i="12" s="1"/>
  <c r="K19" i="12" a="1"/>
  <c r="K19" i="12"/>
  <c r="L19" i="12" a="1"/>
  <c r="L19" i="12" s="1"/>
  <c r="M19" i="12" a="1"/>
  <c r="M19" i="12" s="1"/>
  <c r="N19" i="12" a="1"/>
  <c r="N19" i="12" s="1"/>
  <c r="O19" i="12" a="1"/>
  <c r="O19" i="12" s="1"/>
  <c r="P19" i="12" a="1"/>
  <c r="P19" i="12" s="1"/>
  <c r="Q19" i="12" a="1"/>
  <c r="Q19" i="12" s="1"/>
  <c r="C18" i="12" a="1"/>
  <c r="C18" i="12" s="1"/>
  <c r="D18" i="12" a="1"/>
  <c r="D18" i="12" s="1"/>
  <c r="E18" i="12" a="1"/>
  <c r="E18" i="12" s="1"/>
  <c r="F18" i="12" a="1"/>
  <c r="F18" i="12" s="1"/>
  <c r="G18" i="12" a="1"/>
  <c r="G18" i="12"/>
  <c r="H18" i="12" a="1"/>
  <c r="H18" i="12" s="1"/>
  <c r="I18" i="12" a="1"/>
  <c r="I18" i="12"/>
  <c r="J18" i="12" a="1"/>
  <c r="J18" i="12"/>
  <c r="K18" i="12" a="1"/>
  <c r="K18" i="12" s="1"/>
  <c r="L18" i="12" a="1"/>
  <c r="L18" i="12" s="1"/>
  <c r="M18" i="12" a="1"/>
  <c r="M18" i="12" s="1"/>
  <c r="N18" i="12" a="1"/>
  <c r="N18" i="12" s="1"/>
  <c r="O18" i="12" a="1"/>
  <c r="O18" i="12"/>
  <c r="P18" i="12" a="1"/>
  <c r="P18" i="12" s="1"/>
  <c r="Q18" i="12" a="1"/>
  <c r="Q18" i="12" s="1"/>
  <c r="C17" i="12" a="1"/>
  <c r="C17" i="12" s="1"/>
  <c r="D17" i="12" a="1"/>
  <c r="D17" i="12" s="1"/>
  <c r="E17" i="12" a="1"/>
  <c r="E17" i="12" s="1"/>
  <c r="F17" i="12" a="1"/>
  <c r="F17" i="12"/>
  <c r="G17" i="12" a="1"/>
  <c r="G17" i="12" s="1"/>
  <c r="H17" i="12" a="1"/>
  <c r="H17" i="12" s="1"/>
  <c r="I17" i="12" a="1"/>
  <c r="I17" i="12" s="1"/>
  <c r="J17" i="12" a="1"/>
  <c r="J17" i="12" s="1"/>
  <c r="K17" i="12" a="1"/>
  <c r="K17" i="12" s="1"/>
  <c r="L17" i="12" a="1"/>
  <c r="L17" i="12"/>
  <c r="M17" i="12" a="1"/>
  <c r="M17" i="12" s="1"/>
  <c r="N17" i="12" a="1"/>
  <c r="N17" i="12" s="1"/>
  <c r="O17" i="12" a="1"/>
  <c r="O17" i="12"/>
  <c r="P17" i="12" a="1"/>
  <c r="P17" i="12" s="1"/>
  <c r="Q17" i="12" a="1"/>
  <c r="Q17" i="12" s="1"/>
  <c r="C16" i="12" a="1"/>
  <c r="C16" i="12" s="1"/>
  <c r="D16" i="12" a="1"/>
  <c r="D16" i="12" s="1"/>
  <c r="E16" i="12" a="1"/>
  <c r="E16" i="12" s="1"/>
  <c r="F16" i="12" a="1"/>
  <c r="F16" i="12" s="1"/>
  <c r="G16" i="12" a="1"/>
  <c r="G16" i="12"/>
  <c r="H16" i="12" a="1"/>
  <c r="H16" i="12"/>
  <c r="I16" i="12" a="1"/>
  <c r="I16" i="12" s="1"/>
  <c r="J16" i="12" a="1"/>
  <c r="J16" i="12" s="1"/>
  <c r="K16" i="12" a="1"/>
  <c r="K16" i="12" s="1"/>
  <c r="L16" i="12" a="1"/>
  <c r="L16" i="12" s="1"/>
  <c r="M16" i="12" a="1"/>
  <c r="M16" i="12" s="1"/>
  <c r="N16" i="12" a="1"/>
  <c r="N16" i="12" s="1"/>
  <c r="O16" i="12" a="1"/>
  <c r="O16" i="12"/>
  <c r="P16" i="12" a="1"/>
  <c r="P16" i="12" s="1"/>
  <c r="Q16" i="12" a="1"/>
  <c r="Q16" i="12"/>
  <c r="C15" i="12" a="1"/>
  <c r="C15" i="12" s="1"/>
  <c r="D15" i="12" a="1"/>
  <c r="D15" i="12"/>
  <c r="E15" i="12" a="1"/>
  <c r="E15" i="12" s="1"/>
  <c r="F15" i="12" a="1"/>
  <c r="F15" i="12" s="1"/>
  <c r="G15" i="12" a="1"/>
  <c r="G15" i="12"/>
  <c r="H15" i="12" a="1"/>
  <c r="H15" i="12" s="1"/>
  <c r="I15" i="12" a="1"/>
  <c r="I15" i="12" s="1"/>
  <c r="J15" i="12" a="1"/>
  <c r="J15" i="12" s="1"/>
  <c r="K15" i="12" a="1"/>
  <c r="K15" i="12"/>
  <c r="L15" i="12" a="1"/>
  <c r="L15" i="12" s="1"/>
  <c r="M15" i="12" a="1"/>
  <c r="M15" i="12" s="1"/>
  <c r="N15" i="12" a="1"/>
  <c r="N15" i="12" s="1"/>
  <c r="O15" i="12" a="1"/>
  <c r="O15" i="12" s="1"/>
  <c r="P15" i="12" a="1"/>
  <c r="P15" i="12" s="1"/>
  <c r="Q15" i="12" a="1"/>
  <c r="Q15" i="12" s="1"/>
  <c r="C14" i="12" a="1"/>
  <c r="C14" i="12"/>
  <c r="D14" i="12" a="1"/>
  <c r="D14" i="12"/>
  <c r="E14" i="12" a="1"/>
  <c r="E14" i="12" s="1"/>
  <c r="F14" i="12" a="1"/>
  <c r="F14" i="12"/>
  <c r="G14" i="12" a="1"/>
  <c r="G14" i="12" s="1"/>
  <c r="H14" i="12" a="1"/>
  <c r="H14" i="12" s="1"/>
  <c r="I14" i="12" a="1"/>
  <c r="I14" i="12" s="1"/>
  <c r="J14" i="12" a="1"/>
  <c r="J14" i="12" s="1"/>
  <c r="K14" i="12" a="1"/>
  <c r="K14" i="12" s="1"/>
  <c r="L14" i="12" a="1"/>
  <c r="L14" i="12" s="1"/>
  <c r="M14" i="12" a="1"/>
  <c r="M14" i="12" s="1"/>
  <c r="N14" i="12" a="1"/>
  <c r="N14" i="12" s="1"/>
  <c r="O14" i="12" a="1"/>
  <c r="O14" i="12" s="1"/>
  <c r="P14" i="12" a="1"/>
  <c r="P14" i="12" s="1"/>
  <c r="C13" i="12" a="1"/>
  <c r="C13" i="12" s="1"/>
  <c r="D13" i="12" a="1"/>
  <c r="D13" i="12"/>
  <c r="E13" i="12" a="1"/>
  <c r="E13" i="12" s="1"/>
  <c r="T31" i="12" s="1"/>
  <c r="F13" i="12" a="1"/>
  <c r="F13" i="12" s="1"/>
  <c r="G13" i="12" a="1"/>
  <c r="G13" i="12" s="1"/>
  <c r="H13" i="12" a="1"/>
  <c r="H13" i="12" s="1"/>
  <c r="I13" i="12" a="1"/>
  <c r="I13" i="12" s="1"/>
  <c r="J13" i="12" a="1"/>
  <c r="J13" i="12" s="1"/>
  <c r="K13" i="12" a="1"/>
  <c r="K13" i="12" s="1"/>
  <c r="L13" i="12" a="1"/>
  <c r="L13" i="12"/>
  <c r="M13" i="12" a="1"/>
  <c r="M13" i="12" s="1"/>
  <c r="N13" i="12" a="1"/>
  <c r="N13" i="12" s="1"/>
  <c r="O13" i="12" a="1"/>
  <c r="O13" i="12" s="1"/>
  <c r="P13" i="12" a="1"/>
  <c r="P13" i="12" s="1"/>
  <c r="Q13" i="12" a="1"/>
  <c r="Q13" i="12" s="1"/>
  <c r="C12" i="12" a="1"/>
  <c r="C12" i="12" s="1"/>
  <c r="D12" i="12" a="1"/>
  <c r="D12" i="12" s="1"/>
  <c r="S30" i="12" s="1"/>
  <c r="E12" i="12" a="1"/>
  <c r="E12" i="12" s="1"/>
  <c r="T30" i="12" s="1"/>
  <c r="F12" i="12" a="1"/>
  <c r="F12" i="12" s="1"/>
  <c r="G12" i="12" a="1"/>
  <c r="G12" i="12" s="1"/>
  <c r="H12" i="12" a="1"/>
  <c r="H12" i="12" s="1"/>
  <c r="I12" i="12" a="1"/>
  <c r="I12" i="12" s="1"/>
  <c r="J12" i="12" a="1"/>
  <c r="J12" i="12" s="1"/>
  <c r="K12" i="12" a="1"/>
  <c r="K12" i="12" s="1"/>
  <c r="L12" i="12" a="1"/>
  <c r="L12" i="12"/>
  <c r="M12" i="12" a="1"/>
  <c r="M12" i="12" s="1"/>
  <c r="N12" i="12" a="1"/>
  <c r="N12" i="12" s="1"/>
  <c r="O12" i="12" a="1"/>
  <c r="O12" i="12" s="1"/>
  <c r="P12" i="12" a="1"/>
  <c r="P12" i="12" s="1"/>
  <c r="Q12" i="12" a="1"/>
  <c r="Q12" i="12" s="1"/>
  <c r="C11" i="12" a="1"/>
  <c r="C11" i="12" s="1"/>
  <c r="D11" i="12" a="1"/>
  <c r="D11" i="12" s="1"/>
  <c r="E11" i="12" a="1"/>
  <c r="E11" i="12" s="1"/>
  <c r="F11" i="12" a="1"/>
  <c r="F11" i="12" s="1"/>
  <c r="G11" i="12" a="1"/>
  <c r="G11" i="12" s="1"/>
  <c r="V29" i="12" s="1"/>
  <c r="H11" i="12" a="1"/>
  <c r="H11" i="12"/>
  <c r="I11" i="12" a="1"/>
  <c r="I11" i="12" s="1"/>
  <c r="J11" i="12" a="1"/>
  <c r="J11" i="12"/>
  <c r="K11" i="12" a="1"/>
  <c r="K11" i="12" s="1"/>
  <c r="L11" i="12" a="1"/>
  <c r="L11" i="12" s="1"/>
  <c r="M11" i="12" a="1"/>
  <c r="M11" i="12" s="1"/>
  <c r="N11" i="12" a="1"/>
  <c r="N11" i="12" s="1"/>
  <c r="O11" i="12" a="1"/>
  <c r="O11" i="12" s="1"/>
  <c r="P11" i="12" a="1"/>
  <c r="P11" i="12"/>
  <c r="Q11" i="12" a="1"/>
  <c r="Q11" i="12" s="1"/>
  <c r="H5" i="12" a="1"/>
  <c r="H5" i="12" s="1"/>
  <c r="N5" i="12" a="1"/>
  <c r="N5" i="12" s="1"/>
  <c r="J32" i="11" a="1"/>
  <c r="J32" i="11" s="1"/>
  <c r="P32" i="11" a="1"/>
  <c r="P32" i="11" s="1"/>
  <c r="C30" i="11" a="1"/>
  <c r="C30" i="11" s="1"/>
  <c r="D30" i="11" a="1"/>
  <c r="D30" i="11" s="1"/>
  <c r="E30" i="11" a="1"/>
  <c r="E30" i="11" s="1"/>
  <c r="F30" i="11" a="1"/>
  <c r="F30" i="11" s="1"/>
  <c r="G30" i="11" a="1"/>
  <c r="G30" i="11" s="1"/>
  <c r="H30" i="11" a="1"/>
  <c r="H30" i="11" s="1"/>
  <c r="I30" i="11" a="1"/>
  <c r="I30" i="11" s="1"/>
  <c r="J30" i="11" a="1"/>
  <c r="J30" i="11" s="1"/>
  <c r="K30" i="11" a="1"/>
  <c r="K30" i="11"/>
  <c r="L30" i="11" a="1"/>
  <c r="L30" i="11"/>
  <c r="M30" i="11" a="1"/>
  <c r="M30" i="11" s="1"/>
  <c r="N30" i="11" a="1"/>
  <c r="N30" i="11" s="1"/>
  <c r="O30" i="11" a="1"/>
  <c r="O30" i="11" s="1"/>
  <c r="P30" i="11" a="1"/>
  <c r="P30" i="11" s="1"/>
  <c r="Q30" i="11" a="1"/>
  <c r="Q30" i="11"/>
  <c r="C29" i="11" a="1"/>
  <c r="C29" i="11" s="1"/>
  <c r="D29" i="11" a="1"/>
  <c r="D29" i="11"/>
  <c r="E29" i="11" a="1"/>
  <c r="E29" i="11" s="1"/>
  <c r="F29" i="11" a="1"/>
  <c r="F29" i="11" s="1"/>
  <c r="G29" i="11" a="1"/>
  <c r="G29" i="11" s="1"/>
  <c r="H29" i="11" a="1"/>
  <c r="H29" i="11" s="1"/>
  <c r="I29" i="11" a="1"/>
  <c r="I29" i="11" s="1"/>
  <c r="J29" i="11" a="1"/>
  <c r="J29" i="11" s="1"/>
  <c r="K29" i="11" a="1"/>
  <c r="K29" i="11" s="1"/>
  <c r="L29" i="11" a="1"/>
  <c r="L29" i="11" s="1"/>
  <c r="M29" i="11" a="1"/>
  <c r="M29" i="11" s="1"/>
  <c r="N29" i="11" a="1"/>
  <c r="N29" i="11" s="1"/>
  <c r="O29" i="11" a="1"/>
  <c r="O29" i="11"/>
  <c r="P29" i="11" a="1"/>
  <c r="P29" i="11" s="1"/>
  <c r="Q29" i="11" a="1"/>
  <c r="Q29" i="11" s="1"/>
  <c r="C28" i="11" a="1"/>
  <c r="C28" i="11" s="1"/>
  <c r="D28" i="11" a="1"/>
  <c r="D28" i="11" s="1"/>
  <c r="E28" i="11" a="1"/>
  <c r="E28" i="11" s="1"/>
  <c r="F28" i="11" a="1"/>
  <c r="F28" i="11" s="1"/>
  <c r="G28" i="11" a="1"/>
  <c r="G28" i="11" s="1"/>
  <c r="H28" i="11" a="1"/>
  <c r="H28" i="11"/>
  <c r="I28" i="11" a="1"/>
  <c r="I28" i="11" s="1"/>
  <c r="J28" i="11" a="1"/>
  <c r="J28" i="11" s="1"/>
  <c r="K28" i="11" a="1"/>
  <c r="K28" i="11"/>
  <c r="L28" i="11" a="1"/>
  <c r="L28" i="11" s="1"/>
  <c r="M28" i="11" a="1"/>
  <c r="M28" i="11" s="1"/>
  <c r="N28" i="11" a="1"/>
  <c r="N28" i="11"/>
  <c r="O28" i="11" a="1"/>
  <c r="O28" i="11" s="1"/>
  <c r="P28" i="11" a="1"/>
  <c r="P28" i="11" s="1"/>
  <c r="Q28" i="11" a="1"/>
  <c r="Q28" i="11" s="1"/>
  <c r="C27" i="11" a="1"/>
  <c r="C27" i="11" s="1"/>
  <c r="D27" i="11" a="1"/>
  <c r="D27" i="11" s="1"/>
  <c r="E27" i="11" a="1"/>
  <c r="E27" i="11" s="1"/>
  <c r="F27" i="11" a="1"/>
  <c r="F27" i="11" s="1"/>
  <c r="G27" i="11" a="1"/>
  <c r="G27" i="11"/>
  <c r="H27" i="11" a="1"/>
  <c r="H27" i="11" s="1"/>
  <c r="I27" i="11" a="1"/>
  <c r="I27" i="11" s="1"/>
  <c r="J27" i="11" a="1"/>
  <c r="J27" i="11" s="1"/>
  <c r="K27" i="11" a="1"/>
  <c r="K27" i="11" s="1"/>
  <c r="L27" i="11" a="1"/>
  <c r="L27" i="11"/>
  <c r="M27" i="11" a="1"/>
  <c r="M27" i="11" s="1"/>
  <c r="N27" i="11" a="1"/>
  <c r="N27" i="11" s="1"/>
  <c r="O27" i="11" a="1"/>
  <c r="O27" i="11" s="1"/>
  <c r="P27" i="11" a="1"/>
  <c r="P27" i="11" s="1"/>
  <c r="Q27" i="11" a="1"/>
  <c r="Q27" i="11" s="1"/>
  <c r="C26" i="11" a="1"/>
  <c r="C26" i="11" s="1"/>
  <c r="D26" i="11" a="1"/>
  <c r="D26" i="11"/>
  <c r="E26" i="11" a="1"/>
  <c r="E26" i="11"/>
  <c r="F26" i="11" a="1"/>
  <c r="F26" i="11" s="1"/>
  <c r="G26" i="11" a="1"/>
  <c r="G26" i="11" s="1"/>
  <c r="H26" i="11" a="1"/>
  <c r="H26" i="11" s="1"/>
  <c r="I26" i="11" a="1"/>
  <c r="I26" i="11" s="1"/>
  <c r="J26" i="11" a="1"/>
  <c r="J26" i="11" s="1"/>
  <c r="K26" i="11" a="1"/>
  <c r="K26" i="11" s="1"/>
  <c r="L26" i="11" a="1"/>
  <c r="L26" i="11"/>
  <c r="M26" i="11" a="1"/>
  <c r="M26" i="11" s="1"/>
  <c r="N26" i="11" a="1"/>
  <c r="N26" i="11" s="1"/>
  <c r="O26" i="11" a="1"/>
  <c r="O26" i="11"/>
  <c r="P26" i="11" a="1"/>
  <c r="P26" i="11" s="1"/>
  <c r="Q26" i="11" a="1"/>
  <c r="Q26" i="11" s="1"/>
  <c r="C25" i="11" a="1"/>
  <c r="C25" i="11" s="1"/>
  <c r="D25" i="11" a="1"/>
  <c r="D25" i="11" s="1"/>
  <c r="E25" i="11" a="1"/>
  <c r="E25" i="11" s="1"/>
  <c r="F25" i="11" a="1"/>
  <c r="F25" i="11"/>
  <c r="G25" i="11" a="1"/>
  <c r="G25" i="11" s="1"/>
  <c r="H25" i="11" a="1"/>
  <c r="H25" i="11" s="1"/>
  <c r="I25" i="11" a="1"/>
  <c r="I25" i="11" s="1"/>
  <c r="J25" i="11" a="1"/>
  <c r="J25" i="11" s="1"/>
  <c r="K25" i="11" a="1"/>
  <c r="K25" i="11" s="1"/>
  <c r="L25" i="11" a="1"/>
  <c r="L25" i="11" s="1"/>
  <c r="M25" i="11" a="1"/>
  <c r="M25" i="11" s="1"/>
  <c r="N25" i="11" a="1"/>
  <c r="N25" i="11" s="1"/>
  <c r="O25" i="11" a="1"/>
  <c r="O25" i="11"/>
  <c r="P25" i="11" a="1"/>
  <c r="P25" i="11" s="1"/>
  <c r="Q25" i="11" a="1"/>
  <c r="Q25" i="11" s="1"/>
  <c r="C24" i="11" a="1"/>
  <c r="C24" i="11" s="1"/>
  <c r="D24" i="11" a="1"/>
  <c r="D24" i="11" s="1"/>
  <c r="E24" i="11" a="1"/>
  <c r="E24" i="11"/>
  <c r="F24" i="11" a="1"/>
  <c r="F24" i="11"/>
  <c r="G24" i="11" a="1"/>
  <c r="G24" i="11" s="1"/>
  <c r="H24" i="11" a="1"/>
  <c r="H24" i="11" s="1"/>
  <c r="I24" i="11" a="1"/>
  <c r="I24" i="11" s="1"/>
  <c r="J24" i="11" a="1"/>
  <c r="J24" i="11"/>
  <c r="K24" i="11" a="1"/>
  <c r="K24" i="11" s="1"/>
  <c r="L24" i="11" a="1"/>
  <c r="L24" i="11" s="1"/>
  <c r="M24" i="11" a="1"/>
  <c r="M24" i="11"/>
  <c r="N24" i="11" a="1"/>
  <c r="N24" i="11"/>
  <c r="O24" i="11" a="1"/>
  <c r="O24" i="11" s="1"/>
  <c r="P24" i="11" a="1"/>
  <c r="P24" i="11"/>
  <c r="Q24" i="11" a="1"/>
  <c r="Q24" i="11" s="1"/>
  <c r="C23" i="11" a="1"/>
  <c r="C23" i="11"/>
  <c r="D23" i="11" a="1"/>
  <c r="D23" i="11"/>
  <c r="E23" i="11" a="1"/>
  <c r="E23" i="11" s="1"/>
  <c r="F23" i="11" a="1"/>
  <c r="F23" i="11"/>
  <c r="G23" i="11" a="1"/>
  <c r="G23" i="11" s="1"/>
  <c r="H23" i="11" a="1"/>
  <c r="H23" i="11" s="1"/>
  <c r="I23" i="11" a="1"/>
  <c r="I23" i="11"/>
  <c r="J23" i="11" a="1"/>
  <c r="J23" i="11" s="1"/>
  <c r="K23" i="11" a="1"/>
  <c r="K23" i="11" s="1"/>
  <c r="L23" i="11" a="1"/>
  <c r="L23" i="11" s="1"/>
  <c r="M23" i="11" a="1"/>
  <c r="M23" i="11" s="1"/>
  <c r="N23" i="11" a="1"/>
  <c r="N23" i="11" s="1"/>
  <c r="O23" i="11" a="1"/>
  <c r="O23" i="11" s="1"/>
  <c r="P23" i="11" a="1"/>
  <c r="P23" i="11" s="1"/>
  <c r="Q23" i="11" a="1"/>
  <c r="Q23" i="11" s="1"/>
  <c r="C22" i="11" a="1"/>
  <c r="C22" i="11" s="1"/>
  <c r="D22" i="11" a="1"/>
  <c r="D22" i="11" s="1"/>
  <c r="E22" i="11" a="1"/>
  <c r="E22" i="11" s="1"/>
  <c r="F22" i="11" a="1"/>
  <c r="F22" i="11" s="1"/>
  <c r="G22" i="11" a="1"/>
  <c r="G22" i="11" s="1"/>
  <c r="H22" i="11" a="1"/>
  <c r="H22" i="11" s="1"/>
  <c r="I22" i="11" a="1"/>
  <c r="I22" i="11" s="1"/>
  <c r="J22" i="11" a="1"/>
  <c r="J22" i="11" s="1"/>
  <c r="K22" i="11" a="1"/>
  <c r="K22" i="11" s="1"/>
  <c r="L22" i="11" a="1"/>
  <c r="L22" i="11" s="1"/>
  <c r="M22" i="11" a="1"/>
  <c r="M22" i="11" s="1"/>
  <c r="N22" i="11" a="1"/>
  <c r="N22" i="11" s="1"/>
  <c r="O22" i="11" a="1"/>
  <c r="O22" i="11"/>
  <c r="P22" i="11" a="1"/>
  <c r="P22" i="11"/>
  <c r="Q22" i="11" a="1"/>
  <c r="Q22" i="11"/>
  <c r="C21" i="11" a="1"/>
  <c r="C21" i="11" s="1"/>
  <c r="D21" i="11" a="1"/>
  <c r="D21" i="11" s="1"/>
  <c r="E21" i="11" a="1"/>
  <c r="E21" i="11" s="1"/>
  <c r="F21" i="11" a="1"/>
  <c r="F21" i="11" s="1"/>
  <c r="X39" i="11" s="1"/>
  <c r="G21" i="11" a="1"/>
  <c r="G21" i="11" s="1"/>
  <c r="Y39" i="11" s="1"/>
  <c r="H21" i="11" a="1"/>
  <c r="H21" i="11"/>
  <c r="I21" i="11" a="1"/>
  <c r="I21" i="11" s="1"/>
  <c r="J21" i="11" a="1"/>
  <c r="J21" i="11"/>
  <c r="K21" i="11" a="1"/>
  <c r="K21" i="11" s="1"/>
  <c r="L21" i="11" a="1"/>
  <c r="L21" i="11" s="1"/>
  <c r="M21" i="11" a="1"/>
  <c r="M21" i="11" s="1"/>
  <c r="N21" i="11" a="1"/>
  <c r="N21" i="11" s="1"/>
  <c r="O21" i="11" a="1"/>
  <c r="O21" i="11"/>
  <c r="P21" i="11" a="1"/>
  <c r="P21" i="11"/>
  <c r="Q21" i="11" a="1"/>
  <c r="Q21" i="11" s="1"/>
  <c r="C20" i="11" a="1"/>
  <c r="C20" i="11"/>
  <c r="D20" i="11" a="1"/>
  <c r="D20" i="11" s="1"/>
  <c r="E20" i="11" a="1"/>
  <c r="E20" i="11"/>
  <c r="F20" i="11" a="1"/>
  <c r="F20" i="11" s="1"/>
  <c r="G20" i="11" a="1"/>
  <c r="G20" i="11" s="1"/>
  <c r="Y38" i="11" s="1"/>
  <c r="H20" i="11" a="1"/>
  <c r="H20" i="11" s="1"/>
  <c r="Z38" i="11" s="1"/>
  <c r="I20" i="11" a="1"/>
  <c r="I20" i="11" s="1"/>
  <c r="J20" i="11" a="1"/>
  <c r="J20" i="11"/>
  <c r="K20" i="11" a="1"/>
  <c r="K20" i="11" s="1"/>
  <c r="L20" i="11" a="1"/>
  <c r="L20" i="11"/>
  <c r="M20" i="11" a="1"/>
  <c r="M20" i="11" s="1"/>
  <c r="N20" i="11" a="1"/>
  <c r="N20" i="11" s="1"/>
  <c r="O20" i="11" a="1"/>
  <c r="O20" i="11"/>
  <c r="P20" i="11" a="1"/>
  <c r="P20" i="11" s="1"/>
  <c r="Q20" i="11" a="1"/>
  <c r="Q20" i="11" s="1"/>
  <c r="C19" i="11" a="1"/>
  <c r="C19" i="11" s="1"/>
  <c r="D19" i="11" a="1"/>
  <c r="D19" i="11" s="1"/>
  <c r="E19" i="11" a="1"/>
  <c r="E19" i="11" s="1"/>
  <c r="T37" i="11" s="1"/>
  <c r="F19" i="11" a="1"/>
  <c r="F19" i="11" s="1"/>
  <c r="G19" i="11" a="1"/>
  <c r="G19" i="11" s="1"/>
  <c r="H19" i="11" a="1"/>
  <c r="H19" i="11" s="1"/>
  <c r="Z37" i="11" s="1"/>
  <c r="I19" i="11" a="1"/>
  <c r="I19" i="11" s="1"/>
  <c r="J19" i="11" a="1"/>
  <c r="J19" i="11" s="1"/>
  <c r="K19" i="11" a="1"/>
  <c r="K19" i="11"/>
  <c r="L19" i="11" a="1"/>
  <c r="L19" i="11"/>
  <c r="M19" i="11" a="1"/>
  <c r="M19" i="11" s="1"/>
  <c r="N19" i="11" a="1"/>
  <c r="N19" i="11" s="1"/>
  <c r="O19" i="11" a="1"/>
  <c r="O19" i="11" s="1"/>
  <c r="P19" i="11" a="1"/>
  <c r="P19" i="11" s="1"/>
  <c r="Q19" i="11" a="1"/>
  <c r="Q19" i="11" s="1"/>
  <c r="C18" i="11" a="1"/>
  <c r="C18" i="11" s="1"/>
  <c r="D18" i="11" a="1"/>
  <c r="D18" i="11" s="1"/>
  <c r="E18" i="11" a="1"/>
  <c r="E18" i="11" s="1"/>
  <c r="F18" i="11" a="1"/>
  <c r="F18" i="11"/>
  <c r="G18" i="11" a="1"/>
  <c r="G18" i="11" s="1"/>
  <c r="H18" i="11" a="1"/>
  <c r="H18" i="11" s="1"/>
  <c r="Z36" i="11" s="1"/>
  <c r="I18" i="11" a="1"/>
  <c r="I18" i="11" s="1"/>
  <c r="J18" i="11" a="1"/>
  <c r="J18" i="11" s="1"/>
  <c r="K18" i="11" a="1"/>
  <c r="K18" i="11" s="1"/>
  <c r="L18" i="11" a="1"/>
  <c r="L18" i="11" s="1"/>
  <c r="M18" i="11" a="1"/>
  <c r="M18" i="11" s="1"/>
  <c r="N18" i="11" a="1"/>
  <c r="N18" i="11" s="1"/>
  <c r="O18" i="11" a="1"/>
  <c r="O18" i="11" s="1"/>
  <c r="P18" i="11" a="1"/>
  <c r="P18" i="11" s="1"/>
  <c r="Q18" i="11" a="1"/>
  <c r="Q18" i="11" s="1"/>
  <c r="C17" i="11" a="1"/>
  <c r="C17" i="11" s="1"/>
  <c r="D17" i="11" a="1"/>
  <c r="D17" i="11"/>
  <c r="S35" i="11" s="1"/>
  <c r="E17" i="11" a="1"/>
  <c r="E17" i="11" s="1"/>
  <c r="F17" i="11" a="1"/>
  <c r="F17" i="11" s="1"/>
  <c r="X35" i="11" s="1"/>
  <c r="G17" i="11" a="1"/>
  <c r="G17" i="11" s="1"/>
  <c r="H17" i="11" a="1"/>
  <c r="H17" i="11" s="1"/>
  <c r="I17" i="11" a="1"/>
  <c r="I17" i="11" s="1"/>
  <c r="J17" i="11" a="1"/>
  <c r="J17" i="11"/>
  <c r="K17" i="11" a="1"/>
  <c r="K17" i="11" s="1"/>
  <c r="L17" i="11" a="1"/>
  <c r="L17" i="11"/>
  <c r="M17" i="11" a="1"/>
  <c r="M17" i="11" s="1"/>
  <c r="N17" i="11" a="1"/>
  <c r="N17" i="11" s="1"/>
  <c r="O17" i="11" a="1"/>
  <c r="O17" i="11" s="1"/>
  <c r="P17" i="11" a="1"/>
  <c r="P17" i="11" s="1"/>
  <c r="Q17" i="11" a="1"/>
  <c r="Q17" i="11" s="1"/>
  <c r="C16" i="11" a="1"/>
  <c r="C16" i="11" s="1"/>
  <c r="D16" i="11" a="1"/>
  <c r="D16" i="11" s="1"/>
  <c r="E16" i="11" a="1"/>
  <c r="E16" i="11" s="1"/>
  <c r="F16" i="11" a="1"/>
  <c r="F16" i="11" s="1"/>
  <c r="X34" i="11" s="1"/>
  <c r="G16" i="11" a="1"/>
  <c r="G16" i="11" s="1"/>
  <c r="H16" i="11" a="1"/>
  <c r="H16" i="11" s="1"/>
  <c r="Z34" i="11" s="1"/>
  <c r="I16" i="11" a="1"/>
  <c r="I16" i="11"/>
  <c r="J16" i="11" a="1"/>
  <c r="J16" i="11" s="1"/>
  <c r="K16" i="11" a="1"/>
  <c r="K16" i="11" s="1"/>
  <c r="L16" i="11" a="1"/>
  <c r="L16" i="11" s="1"/>
  <c r="M16" i="11" a="1"/>
  <c r="M16" i="11" s="1"/>
  <c r="N16" i="11" a="1"/>
  <c r="N16" i="11" s="1"/>
  <c r="O16" i="11" a="1"/>
  <c r="O16" i="11"/>
  <c r="P16" i="11" a="1"/>
  <c r="P16" i="11" s="1"/>
  <c r="Q16" i="11" a="1"/>
  <c r="Q16" i="11"/>
  <c r="C15" i="11" a="1"/>
  <c r="C15" i="11"/>
  <c r="D15" i="11" a="1"/>
  <c r="D15" i="11" s="1"/>
  <c r="S33" i="11" s="1"/>
  <c r="E15" i="11" a="1"/>
  <c r="E15" i="11" s="1"/>
  <c r="F15" i="11" a="1"/>
  <c r="F15" i="11" s="1"/>
  <c r="G15" i="11" a="1"/>
  <c r="G15" i="11" s="1"/>
  <c r="H15" i="11" a="1"/>
  <c r="H15" i="11" s="1"/>
  <c r="Z33" i="11" s="1"/>
  <c r="I15" i="11" a="1"/>
  <c r="I15" i="11" s="1"/>
  <c r="J15" i="11" a="1"/>
  <c r="J15" i="11" s="1"/>
  <c r="K15" i="11" a="1"/>
  <c r="K15" i="11" s="1"/>
  <c r="L15" i="11" a="1"/>
  <c r="L15" i="11"/>
  <c r="M15" i="11" a="1"/>
  <c r="M15" i="11" s="1"/>
  <c r="N15" i="11" a="1"/>
  <c r="N15" i="11" s="1"/>
  <c r="O15" i="11" a="1"/>
  <c r="O15" i="11" s="1"/>
  <c r="P15" i="11" a="1"/>
  <c r="P15" i="11" s="1"/>
  <c r="Q15" i="11" a="1"/>
  <c r="Q15" i="11" s="1"/>
  <c r="C14" i="11" a="1"/>
  <c r="C14" i="11" s="1"/>
  <c r="D14" i="11" a="1"/>
  <c r="D14" i="11"/>
  <c r="E14" i="11" a="1"/>
  <c r="E14" i="11" s="1"/>
  <c r="F14" i="11" a="1"/>
  <c r="F14" i="11" s="1"/>
  <c r="G14" i="11" a="1"/>
  <c r="G14" i="11" s="1"/>
  <c r="H14" i="11" a="1"/>
  <c r="H14" i="11" s="1"/>
  <c r="I14" i="11" a="1"/>
  <c r="I14" i="11"/>
  <c r="J14" i="11" a="1"/>
  <c r="J14" i="11" s="1"/>
  <c r="K14" i="11" a="1"/>
  <c r="K14" i="11" s="1"/>
  <c r="L14" i="11" a="1"/>
  <c r="L14" i="11" s="1"/>
  <c r="M14" i="11" a="1"/>
  <c r="M14" i="11" s="1"/>
  <c r="N14" i="11" a="1"/>
  <c r="N14" i="11" s="1"/>
  <c r="O14" i="11" a="1"/>
  <c r="O14" i="11"/>
  <c r="P14" i="11" a="1"/>
  <c r="P14" i="11" s="1"/>
  <c r="Q14" i="11" a="1"/>
  <c r="Q14" i="11" s="1"/>
  <c r="C13" i="11" a="1"/>
  <c r="C13" i="11"/>
  <c r="D13" i="11" a="1"/>
  <c r="D13" i="11" s="1"/>
  <c r="E13" i="11" a="1"/>
  <c r="E13" i="11" s="1"/>
  <c r="T31" i="11" s="1"/>
  <c r="F13" i="11" a="1"/>
  <c r="F13" i="11" s="1"/>
  <c r="G13" i="11" a="1"/>
  <c r="G13" i="11" s="1"/>
  <c r="H13" i="11" a="1"/>
  <c r="H13" i="11" s="1"/>
  <c r="Z31" i="11" s="1"/>
  <c r="I13" i="11" a="1"/>
  <c r="I13" i="11" s="1"/>
  <c r="J13" i="11" a="1"/>
  <c r="J13" i="11"/>
  <c r="K13" i="11" a="1"/>
  <c r="K13" i="11" s="1"/>
  <c r="L13" i="11" a="1"/>
  <c r="L13" i="11"/>
  <c r="M13" i="11" a="1"/>
  <c r="M13" i="11" s="1"/>
  <c r="N13" i="11" a="1"/>
  <c r="N13" i="11"/>
  <c r="O13" i="11" a="1"/>
  <c r="O13" i="11" s="1"/>
  <c r="P13" i="11" a="1"/>
  <c r="P13" i="11" s="1"/>
  <c r="Q13" i="11" a="1"/>
  <c r="Q13" i="11" s="1"/>
  <c r="C12" i="11" a="1"/>
  <c r="C12" i="11" s="1"/>
  <c r="D12" i="11" a="1"/>
  <c r="D12" i="11" s="1"/>
  <c r="E12" i="11" a="1"/>
  <c r="E12" i="11"/>
  <c r="F12" i="11" a="1"/>
  <c r="F12" i="11" s="1"/>
  <c r="G12" i="11" a="1"/>
  <c r="G12" i="11" s="1"/>
  <c r="H12" i="11" a="1"/>
  <c r="H12" i="11" s="1"/>
  <c r="I12" i="11" a="1"/>
  <c r="I12" i="11"/>
  <c r="J12" i="11" a="1"/>
  <c r="J12" i="11" s="1"/>
  <c r="K12" i="11" a="1"/>
  <c r="K12" i="11" s="1"/>
  <c r="L12" i="11" a="1"/>
  <c r="L12" i="11" s="1"/>
  <c r="M12" i="11" a="1"/>
  <c r="M12" i="11" s="1"/>
  <c r="N12" i="11" a="1"/>
  <c r="N12" i="11" s="1"/>
  <c r="O12" i="11" a="1"/>
  <c r="O12" i="11" s="1"/>
  <c r="P12" i="11" a="1"/>
  <c r="P12" i="11" s="1"/>
  <c r="Q12" i="11" a="1"/>
  <c r="Q12" i="11" s="1"/>
  <c r="C11" i="11" a="1"/>
  <c r="C11" i="11" s="1"/>
  <c r="D11" i="11" a="1"/>
  <c r="D11" i="11" s="1"/>
  <c r="E11" i="11" a="1"/>
  <c r="E11" i="11"/>
  <c r="F11" i="11" a="1"/>
  <c r="F11" i="11" s="1"/>
  <c r="G11" i="11" a="1"/>
  <c r="G11" i="11" s="1"/>
  <c r="H11" i="11" a="1"/>
  <c r="H11" i="11" s="1"/>
  <c r="I11" i="11" a="1"/>
  <c r="I11" i="11" s="1"/>
  <c r="J11" i="11" a="1"/>
  <c r="J11" i="11" s="1"/>
  <c r="K11" i="11" a="1"/>
  <c r="K11" i="11" s="1"/>
  <c r="L11" i="11" a="1"/>
  <c r="L11" i="11" s="1"/>
  <c r="M11" i="11" a="1"/>
  <c r="M11" i="11" s="1"/>
  <c r="N11" i="11" a="1"/>
  <c r="N11" i="11" s="1"/>
  <c r="O11" i="11" a="1"/>
  <c r="O11" i="11" s="1"/>
  <c r="P11" i="11" a="1"/>
  <c r="P11" i="11" s="1"/>
  <c r="Q11" i="11" a="1"/>
  <c r="Q11" i="11"/>
  <c r="B8" i="11" a="1"/>
  <c r="B8" i="11" s="1"/>
  <c r="B5" i="11" a="1"/>
  <c r="B5" i="11" s="1"/>
  <c r="N5" i="11" a="1"/>
  <c r="N5" i="11" s="1"/>
  <c r="A1" i="11" a="1"/>
  <c r="A1" i="11"/>
  <c r="C25" i="10" a="1"/>
  <c r="C25" i="10" s="1"/>
  <c r="D25" i="10" a="1"/>
  <c r="D25" i="10" s="1"/>
  <c r="E25" i="10" a="1"/>
  <c r="E25" i="10"/>
  <c r="F25" i="10" a="1"/>
  <c r="F25" i="10" s="1"/>
  <c r="G25" i="10" a="1"/>
  <c r="G25" i="10" s="1"/>
  <c r="H25" i="10" a="1"/>
  <c r="H25" i="10" s="1"/>
  <c r="I25" i="10" a="1"/>
  <c r="I25" i="10"/>
  <c r="J25" i="10" a="1"/>
  <c r="J25" i="10" s="1"/>
  <c r="K25" i="10" a="1"/>
  <c r="K25" i="10" s="1"/>
  <c r="L25" i="10" a="1"/>
  <c r="L25" i="10" s="1"/>
  <c r="M25" i="10" a="1"/>
  <c r="M25" i="10"/>
  <c r="N25" i="10" a="1"/>
  <c r="N25" i="10"/>
  <c r="O25" i="10" a="1"/>
  <c r="O25" i="10" s="1"/>
  <c r="P25" i="10" a="1"/>
  <c r="P25" i="10" s="1"/>
  <c r="Q25" i="10" a="1"/>
  <c r="Q25" i="10"/>
  <c r="C24" i="10" a="1"/>
  <c r="C24" i="10" s="1"/>
  <c r="D24" i="10" a="1"/>
  <c r="D24" i="10" s="1"/>
  <c r="E24" i="10" a="1"/>
  <c r="E24" i="10" s="1"/>
  <c r="F24" i="10" a="1"/>
  <c r="F24" i="10"/>
  <c r="G24" i="10" a="1"/>
  <c r="G24" i="10" s="1"/>
  <c r="H24" i="10" a="1"/>
  <c r="H24" i="10"/>
  <c r="I24" i="10" a="1"/>
  <c r="I24" i="10" s="1"/>
  <c r="J24" i="10" a="1"/>
  <c r="J24" i="10" s="1"/>
  <c r="K24" i="10" a="1"/>
  <c r="K24" i="10" s="1"/>
  <c r="L24" i="10" a="1"/>
  <c r="L24" i="10" s="1"/>
  <c r="M24" i="10" a="1"/>
  <c r="M24" i="10" s="1"/>
  <c r="N24" i="10" a="1"/>
  <c r="N24" i="10" s="1"/>
  <c r="O24" i="10" a="1"/>
  <c r="O24" i="10"/>
  <c r="P24" i="10" a="1"/>
  <c r="P24" i="10"/>
  <c r="Q24" i="10" a="1"/>
  <c r="Q24" i="10" s="1"/>
  <c r="C23" i="10" a="1"/>
  <c r="C23" i="10" s="1"/>
  <c r="D23" i="10" a="1"/>
  <c r="D23" i="10" s="1"/>
  <c r="E23" i="10" a="1"/>
  <c r="E23" i="10"/>
  <c r="F23" i="10" a="1"/>
  <c r="F23" i="10" s="1"/>
  <c r="G23" i="10" a="1"/>
  <c r="G23" i="10"/>
  <c r="H23" i="10" a="1"/>
  <c r="H23" i="10" s="1"/>
  <c r="I23" i="10" a="1"/>
  <c r="I23" i="10" s="1"/>
  <c r="J23" i="10" a="1"/>
  <c r="J23" i="10"/>
  <c r="K23" i="10" a="1"/>
  <c r="K23" i="10"/>
  <c r="L23" i="10" a="1"/>
  <c r="L23" i="10" s="1"/>
  <c r="M23" i="10" a="1"/>
  <c r="M23" i="10" s="1"/>
  <c r="N23" i="10" a="1"/>
  <c r="N23" i="10" s="1"/>
  <c r="O23" i="10" a="1"/>
  <c r="O23" i="10"/>
  <c r="P23" i="10" a="1"/>
  <c r="P23" i="10" s="1"/>
  <c r="Q23" i="10" a="1"/>
  <c r="Q23" i="10" s="1"/>
  <c r="C22" i="10" a="1"/>
  <c r="C22" i="10"/>
  <c r="D22" i="10" a="1"/>
  <c r="D22" i="10" s="1"/>
  <c r="E22" i="10" a="1"/>
  <c r="E22" i="10" s="1"/>
  <c r="F22" i="10" a="1"/>
  <c r="F22" i="10" s="1"/>
  <c r="G22" i="10" a="1"/>
  <c r="G22" i="10" s="1"/>
  <c r="H22" i="10" a="1"/>
  <c r="H22" i="10" s="1"/>
  <c r="I22" i="10" a="1"/>
  <c r="I22" i="10" s="1"/>
  <c r="J22" i="10" a="1"/>
  <c r="J22" i="10" s="1"/>
  <c r="K22" i="10" a="1"/>
  <c r="K22" i="10" s="1"/>
  <c r="L22" i="10" a="1"/>
  <c r="L22" i="10" s="1"/>
  <c r="M22" i="10" a="1"/>
  <c r="M22" i="10"/>
  <c r="N22" i="10" a="1"/>
  <c r="N22" i="10"/>
  <c r="O22" i="10" a="1"/>
  <c r="O22" i="10" s="1"/>
  <c r="P22" i="10" a="1"/>
  <c r="P22" i="10" s="1"/>
  <c r="Q22" i="10" a="1"/>
  <c r="Q22" i="10" s="1"/>
  <c r="C21" i="10" a="1"/>
  <c r="C21" i="10" s="1"/>
  <c r="D21" i="10" a="1"/>
  <c r="D21" i="10" s="1"/>
  <c r="E21" i="10" a="1"/>
  <c r="E21" i="10"/>
  <c r="F21" i="10" a="1"/>
  <c r="F21" i="10" s="1"/>
  <c r="G21" i="10" a="1"/>
  <c r="G21" i="10" s="1"/>
  <c r="H21" i="10" a="1"/>
  <c r="H21" i="10" s="1"/>
  <c r="I21" i="10" a="1"/>
  <c r="I21" i="10" s="1"/>
  <c r="J21" i="10" a="1"/>
  <c r="J21" i="10" s="1"/>
  <c r="K21" i="10" a="1"/>
  <c r="K21" i="10" s="1"/>
  <c r="L21" i="10" a="1"/>
  <c r="L21" i="10" s="1"/>
  <c r="M21" i="10" a="1"/>
  <c r="M21" i="10"/>
  <c r="N21" i="10" a="1"/>
  <c r="N21" i="10" s="1"/>
  <c r="O21" i="10" a="1"/>
  <c r="O21" i="10"/>
  <c r="P21" i="10" a="1"/>
  <c r="P21" i="10" s="1"/>
  <c r="Q21" i="10" a="1"/>
  <c r="Q21" i="10" s="1"/>
  <c r="C20" i="10" a="1"/>
  <c r="C20" i="10"/>
  <c r="D20" i="10" a="1"/>
  <c r="D20" i="10"/>
  <c r="E20" i="10" a="1"/>
  <c r="E20" i="10" s="1"/>
  <c r="F20" i="10" a="1"/>
  <c r="F20" i="10" s="1"/>
  <c r="G20" i="10" a="1"/>
  <c r="G20" i="10" s="1"/>
  <c r="H20" i="10" a="1"/>
  <c r="H20" i="10" s="1"/>
  <c r="I20" i="10" a="1"/>
  <c r="I20" i="10" s="1"/>
  <c r="J20" i="10" a="1"/>
  <c r="J20" i="10" s="1"/>
  <c r="K20" i="10" a="1"/>
  <c r="K20" i="10"/>
  <c r="L20" i="10" a="1"/>
  <c r="L20" i="10"/>
  <c r="M20" i="10" a="1"/>
  <c r="M20" i="10" s="1"/>
  <c r="N20" i="10" a="1"/>
  <c r="N20" i="10" s="1"/>
  <c r="O20" i="10" a="1"/>
  <c r="O20" i="10" s="1"/>
  <c r="P20" i="10" a="1"/>
  <c r="P20" i="10" s="1"/>
  <c r="Q20" i="10" a="1"/>
  <c r="Q20" i="10" s="1"/>
  <c r="C19" i="10" a="1"/>
  <c r="C19" i="10"/>
  <c r="D19" i="10" a="1"/>
  <c r="D19" i="10" s="1"/>
  <c r="E19" i="10" a="1"/>
  <c r="E19" i="10" s="1"/>
  <c r="F19" i="10" a="1"/>
  <c r="F19" i="10" s="1"/>
  <c r="G19" i="10" a="1"/>
  <c r="G19" i="10"/>
  <c r="H19" i="10" a="1"/>
  <c r="H19" i="10" s="1"/>
  <c r="I19" i="10" a="1"/>
  <c r="I19" i="10" s="1"/>
  <c r="J19" i="10" a="1"/>
  <c r="J19" i="10" s="1"/>
  <c r="K19" i="10" a="1"/>
  <c r="K19" i="10" s="1"/>
  <c r="L19" i="10" a="1"/>
  <c r="L19" i="10" s="1"/>
  <c r="M19" i="10" a="1"/>
  <c r="M19" i="10" s="1"/>
  <c r="N19" i="10" a="1"/>
  <c r="N19" i="10" s="1"/>
  <c r="O19" i="10" a="1"/>
  <c r="O19" i="10" s="1"/>
  <c r="P19" i="10" a="1"/>
  <c r="P19" i="10"/>
  <c r="Q19" i="10" a="1"/>
  <c r="Q19" i="10"/>
  <c r="C18" i="10" a="1"/>
  <c r="C18" i="10" s="1"/>
  <c r="D18" i="10" a="1"/>
  <c r="D18" i="10" s="1"/>
  <c r="E18" i="10" a="1"/>
  <c r="E18" i="10" s="1"/>
  <c r="F18" i="10" a="1"/>
  <c r="F18" i="10" s="1"/>
  <c r="G18" i="10" a="1"/>
  <c r="G18" i="10" s="1"/>
  <c r="H18" i="10" a="1"/>
  <c r="H18" i="10"/>
  <c r="I18" i="10" a="1"/>
  <c r="I18" i="10" s="1"/>
  <c r="J18" i="10" a="1"/>
  <c r="J18" i="10" s="1"/>
  <c r="K18" i="10" a="1"/>
  <c r="K18" i="10" s="1"/>
  <c r="L18" i="10" a="1"/>
  <c r="L18" i="10" s="1"/>
  <c r="M18" i="10" a="1"/>
  <c r="M18" i="10" s="1"/>
  <c r="N18" i="10" a="1"/>
  <c r="N18" i="10" s="1"/>
  <c r="O18" i="10" a="1"/>
  <c r="O18" i="10" s="1"/>
  <c r="P18" i="10" a="1"/>
  <c r="P18" i="10"/>
  <c r="Q18" i="10" a="1"/>
  <c r="Q18" i="10" s="1"/>
  <c r="C17" i="10" a="1"/>
  <c r="C17" i="10" s="1"/>
  <c r="D17" i="10" a="1"/>
  <c r="D17" i="10" s="1"/>
  <c r="E17" i="10" a="1"/>
  <c r="E17" i="10" s="1"/>
  <c r="F17" i="10" a="1"/>
  <c r="F17" i="10" s="1"/>
  <c r="G17" i="10" a="1"/>
  <c r="G17" i="10"/>
  <c r="H17" i="10" a="1"/>
  <c r="H17" i="10" s="1"/>
  <c r="I17" i="10" a="1"/>
  <c r="I17" i="10" s="1"/>
  <c r="J17" i="10" a="1"/>
  <c r="J17" i="10" s="1"/>
  <c r="K17" i="10" a="1"/>
  <c r="K17" i="10" s="1"/>
  <c r="L17" i="10" a="1"/>
  <c r="L17" i="10"/>
  <c r="M17" i="10" a="1"/>
  <c r="M17" i="10" s="1"/>
  <c r="N17" i="10" a="1"/>
  <c r="N17" i="10"/>
  <c r="O17" i="10" a="1"/>
  <c r="O17" i="10"/>
  <c r="P17" i="10" a="1"/>
  <c r="P17" i="10" s="1"/>
  <c r="Q17" i="10" a="1"/>
  <c r="Q17" i="10" s="1"/>
  <c r="C16" i="10" a="1"/>
  <c r="C16" i="10" s="1"/>
  <c r="D16" i="10" a="1"/>
  <c r="D16" i="10" s="1"/>
  <c r="E16" i="10" a="1"/>
  <c r="E16" i="10" s="1"/>
  <c r="F16" i="10" a="1"/>
  <c r="F16" i="10"/>
  <c r="G16" i="10" a="1"/>
  <c r="G16" i="10" s="1"/>
  <c r="H16" i="10" a="1"/>
  <c r="H16" i="10"/>
  <c r="I16" i="10" a="1"/>
  <c r="I16" i="10" s="1"/>
  <c r="J16" i="10" a="1"/>
  <c r="J16" i="10" s="1"/>
  <c r="K16" i="10" a="1"/>
  <c r="K16" i="10" s="1"/>
  <c r="L16" i="10" a="1"/>
  <c r="L16" i="10" s="1"/>
  <c r="M16" i="10" a="1"/>
  <c r="M16" i="10" s="1"/>
  <c r="N16" i="10" a="1"/>
  <c r="N16" i="10" s="1"/>
  <c r="O16" i="10" a="1"/>
  <c r="O16" i="10"/>
  <c r="P16" i="10" a="1"/>
  <c r="P16" i="10" s="1"/>
  <c r="Q16" i="10" a="1"/>
  <c r="Q16" i="10" s="1"/>
  <c r="C15" i="10" a="1"/>
  <c r="C15" i="10" s="1"/>
  <c r="D15" i="10" a="1"/>
  <c r="D15" i="10" s="1"/>
  <c r="E15" i="10" a="1"/>
  <c r="E15" i="10"/>
  <c r="F15" i="10" a="1"/>
  <c r="F15" i="10" s="1"/>
  <c r="G15" i="10" a="1"/>
  <c r="G15" i="10" s="1"/>
  <c r="H15" i="10" a="1"/>
  <c r="H15" i="10" s="1"/>
  <c r="I15" i="10" a="1"/>
  <c r="I15" i="10" s="1"/>
  <c r="J15" i="10" a="1"/>
  <c r="J15" i="10" s="1"/>
  <c r="K15" i="10" a="1"/>
  <c r="K15" i="10" s="1"/>
  <c r="L15" i="10" a="1"/>
  <c r="L15" i="10" s="1"/>
  <c r="M15" i="10" a="1"/>
  <c r="M15" i="10"/>
  <c r="N15" i="10" a="1"/>
  <c r="N15" i="10" s="1"/>
  <c r="O15" i="10" a="1"/>
  <c r="O15" i="10" s="1"/>
  <c r="P15" i="10" a="1"/>
  <c r="P15" i="10" s="1"/>
  <c r="Q15" i="10" a="1"/>
  <c r="Q15" i="10" s="1"/>
  <c r="C14" i="10" a="1"/>
  <c r="C14" i="10" s="1"/>
  <c r="D14" i="10" a="1"/>
  <c r="D14" i="10"/>
  <c r="S32" i="10" s="1"/>
  <c r="E14" i="10" a="1"/>
  <c r="E14" i="10"/>
  <c r="F14" i="10" a="1"/>
  <c r="F14" i="10" s="1"/>
  <c r="G14" i="10" a="1"/>
  <c r="G14" i="10" s="1"/>
  <c r="H14" i="10" a="1"/>
  <c r="H14" i="10"/>
  <c r="I14" i="10" a="1"/>
  <c r="I14" i="10" s="1"/>
  <c r="J14" i="10" a="1"/>
  <c r="J14" i="10" s="1"/>
  <c r="K14" i="10" a="1"/>
  <c r="K14" i="10" s="1"/>
  <c r="L14" i="10" a="1"/>
  <c r="L14" i="10" s="1"/>
  <c r="M14" i="10" a="1"/>
  <c r="M14" i="10" s="1"/>
  <c r="N14" i="10" a="1"/>
  <c r="N14" i="10" s="1"/>
  <c r="O14" i="10" a="1"/>
  <c r="O14" i="10" s="1"/>
  <c r="P14" i="10" a="1"/>
  <c r="P14" i="10"/>
  <c r="Q14" i="10" a="1"/>
  <c r="Q14" i="10" s="1"/>
  <c r="C13" i="10" a="1"/>
  <c r="C13" i="10"/>
  <c r="D13" i="10" a="1"/>
  <c r="D13" i="10" s="1"/>
  <c r="S31" i="10" s="1"/>
  <c r="E13" i="10" a="1"/>
  <c r="E13" i="10" s="1"/>
  <c r="T31" i="10" s="1"/>
  <c r="F13" i="10" a="1"/>
  <c r="F13" i="10" s="1"/>
  <c r="G13" i="10" a="1"/>
  <c r="G13" i="10"/>
  <c r="H13" i="10" a="1"/>
  <c r="H13" i="10" s="1"/>
  <c r="I13" i="10" a="1"/>
  <c r="I13" i="10" s="1"/>
  <c r="J13" i="10" a="1"/>
  <c r="J13" i="10"/>
  <c r="K13" i="10" a="1"/>
  <c r="K13" i="10"/>
  <c r="L13" i="10" a="1"/>
  <c r="L13" i="10" s="1"/>
  <c r="M13" i="10" a="1"/>
  <c r="M13" i="10" s="1"/>
  <c r="N13" i="10" a="1"/>
  <c r="N13" i="10" s="1"/>
  <c r="O13" i="10" a="1"/>
  <c r="O13" i="10" s="1"/>
  <c r="P13" i="10" a="1"/>
  <c r="P13" i="10" s="1"/>
  <c r="Q13" i="10" a="1"/>
  <c r="Q13" i="10" s="1"/>
  <c r="C12" i="10" a="1"/>
  <c r="C12" i="10" s="1"/>
  <c r="D12" i="10" a="1"/>
  <c r="D12" i="10"/>
  <c r="E12" i="10" a="1"/>
  <c r="E12" i="10" s="1"/>
  <c r="T30" i="10" s="1"/>
  <c r="F12" i="10" a="1"/>
  <c r="F12" i="10" s="1"/>
  <c r="G12" i="10" a="1"/>
  <c r="G12" i="10" s="1"/>
  <c r="H12" i="10" a="1"/>
  <c r="H12" i="10" s="1"/>
  <c r="I12" i="10" a="1"/>
  <c r="I12" i="10" s="1"/>
  <c r="J12" i="10" a="1"/>
  <c r="J12" i="10" s="1"/>
  <c r="K12" i="10" a="1"/>
  <c r="K12" i="10"/>
  <c r="L12" i="10" a="1"/>
  <c r="L12" i="10" s="1"/>
  <c r="M12" i="10" a="1"/>
  <c r="M12" i="10" s="1"/>
  <c r="N12" i="10" a="1"/>
  <c r="N12" i="10" s="1"/>
  <c r="O12" i="10" a="1"/>
  <c r="O12" i="10" s="1"/>
  <c r="P12" i="10" a="1"/>
  <c r="P12" i="10"/>
  <c r="Q12" i="10" a="1"/>
  <c r="Q12" i="10" s="1"/>
  <c r="C11" i="10" a="1"/>
  <c r="C11" i="10" s="1"/>
  <c r="D11" i="10" a="1"/>
  <c r="D11" i="10" s="1"/>
  <c r="E11" i="10" a="1"/>
  <c r="E11" i="10" s="1"/>
  <c r="T29" i="10" s="1"/>
  <c r="F11" i="10" a="1"/>
  <c r="F11" i="10" s="1"/>
  <c r="G11" i="10" a="1"/>
  <c r="G11" i="10" s="1"/>
  <c r="Y29" i="10" s="1"/>
  <c r="H11" i="10" a="1"/>
  <c r="H11" i="10" s="1"/>
  <c r="I11" i="10" a="1"/>
  <c r="I11" i="10" s="1"/>
  <c r="J11" i="10" a="1"/>
  <c r="J11" i="10"/>
  <c r="K11" i="10" a="1"/>
  <c r="K11" i="10" s="1"/>
  <c r="L11" i="10" a="1"/>
  <c r="L11" i="10" s="1"/>
  <c r="M11" i="10" a="1"/>
  <c r="M11" i="10" s="1"/>
  <c r="N11" i="10" a="1"/>
  <c r="N11" i="10" s="1"/>
  <c r="O11" i="10" a="1"/>
  <c r="O11" i="10"/>
  <c r="P11" i="10" a="1"/>
  <c r="P11" i="10"/>
  <c r="Q11" i="10" a="1"/>
  <c r="Q11" i="10" s="1"/>
  <c r="H5" i="10" a="1"/>
  <c r="H5" i="10" s="1"/>
  <c r="N5" i="10" a="1"/>
  <c r="N5" i="10"/>
  <c r="C25" i="9" a="1"/>
  <c r="C25" i="9"/>
  <c r="D25" i="9" a="1"/>
  <c r="D25" i="9" s="1"/>
  <c r="E25" i="9" a="1"/>
  <c r="E25" i="9"/>
  <c r="F25" i="9" a="1"/>
  <c r="F25" i="9"/>
  <c r="G25" i="9" a="1"/>
  <c r="G25" i="9"/>
  <c r="H25" i="9" a="1"/>
  <c r="H25" i="9" s="1"/>
  <c r="I25" i="9" a="1"/>
  <c r="I25" i="9" s="1"/>
  <c r="J25" i="9" a="1"/>
  <c r="J25" i="9"/>
  <c r="K25" i="9" a="1"/>
  <c r="K25" i="9" s="1"/>
  <c r="L25" i="9" a="1"/>
  <c r="L25" i="9" s="1"/>
  <c r="M25" i="9" a="1"/>
  <c r="M25" i="9"/>
  <c r="N25" i="9" a="1"/>
  <c r="N25" i="9"/>
  <c r="O25" i="9" a="1"/>
  <c r="O25" i="9" s="1"/>
  <c r="P25" i="9" a="1"/>
  <c r="P25" i="9" s="1"/>
  <c r="Q25" i="9" a="1"/>
  <c r="Q25" i="9" s="1"/>
  <c r="C24" i="9" a="1"/>
  <c r="C24" i="9" s="1"/>
  <c r="D24" i="9" a="1"/>
  <c r="D24" i="9" s="1"/>
  <c r="E24" i="9" a="1"/>
  <c r="E24" i="9"/>
  <c r="F24" i="9" a="1"/>
  <c r="F24" i="9" s="1"/>
  <c r="G24" i="9" a="1"/>
  <c r="G24" i="9" s="1"/>
  <c r="H24" i="9" a="1"/>
  <c r="H24" i="9" s="1"/>
  <c r="I24" i="9" a="1"/>
  <c r="I24" i="9" s="1"/>
  <c r="J24" i="9" a="1"/>
  <c r="J24" i="9" s="1"/>
  <c r="K24" i="9" a="1"/>
  <c r="K24" i="9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Q24" i="9" a="1"/>
  <c r="Q24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I23" i="9" a="1"/>
  <c r="I23" i="9" s="1"/>
  <c r="J23" i="9" a="1"/>
  <c r="J23" i="9"/>
  <c r="K23" i="9" a="1"/>
  <c r="K23" i="9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Q23" i="9" a="1"/>
  <c r="Q23" i="9" s="1"/>
  <c r="C22" i="9" a="1"/>
  <c r="C22" i="9" s="1"/>
  <c r="D22" i="9" a="1"/>
  <c r="D22" i="9"/>
  <c r="E22" i="9" a="1"/>
  <c r="E22" i="9" s="1"/>
  <c r="F22" i="9" a="1"/>
  <c r="F22" i="9" s="1"/>
  <c r="G22" i="9" a="1"/>
  <c r="G22" i="9" s="1"/>
  <c r="H22" i="9" a="1"/>
  <c r="H22" i="9" s="1"/>
  <c r="I22" i="9" a="1"/>
  <c r="I22" i="9" s="1"/>
  <c r="J22" i="9" a="1"/>
  <c r="J22" i="9" s="1"/>
  <c r="K22" i="9" a="1"/>
  <c r="K22" i="9" s="1"/>
  <c r="L22" i="9" a="1"/>
  <c r="L22" i="9" s="1"/>
  <c r="M22" i="9" a="1"/>
  <c r="M22" i="9"/>
  <c r="N22" i="9" a="1"/>
  <c r="N22" i="9" s="1"/>
  <c r="O22" i="9" a="1"/>
  <c r="O22" i="9" s="1"/>
  <c r="P22" i="9" a="1"/>
  <c r="P22" i="9" s="1"/>
  <c r="Q22" i="9" a="1"/>
  <c r="Q22" i="9" s="1"/>
  <c r="C21" i="9" a="1"/>
  <c r="C21" i="9" s="1"/>
  <c r="D21" i="9" a="1"/>
  <c r="D21" i="9" s="1"/>
  <c r="E21" i="9" a="1"/>
  <c r="E21" i="9" s="1"/>
  <c r="F21" i="9" a="1"/>
  <c r="F21" i="9"/>
  <c r="G21" i="9" a="1"/>
  <c r="G21" i="9" s="1"/>
  <c r="H21" i="9" a="1"/>
  <c r="H21" i="9" s="1"/>
  <c r="I21" i="9" a="1"/>
  <c r="I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Q21" i="9" a="1"/>
  <c r="Q21" i="9"/>
  <c r="C20" i="9" a="1"/>
  <c r="C20" i="9" s="1"/>
  <c r="D20" i="9" a="1"/>
  <c r="D20" i="9" s="1"/>
  <c r="E20" i="9" a="1"/>
  <c r="E20" i="9" s="1"/>
  <c r="F20" i="9" a="1"/>
  <c r="F20" i="9" s="1"/>
  <c r="G20" i="9" a="1"/>
  <c r="G20" i="9"/>
  <c r="H20" i="9" a="1"/>
  <c r="H20" i="9"/>
  <c r="I20" i="9" a="1"/>
  <c r="I20" i="9" s="1"/>
  <c r="J20" i="9" a="1"/>
  <c r="J20" i="9" s="1"/>
  <c r="K20" i="9" a="1"/>
  <c r="K20" i="9" s="1"/>
  <c r="L20" i="9" a="1"/>
  <c r="L20" i="9" s="1"/>
  <c r="M20" i="9" a="1"/>
  <c r="M20" i="9" s="1"/>
  <c r="N20" i="9" a="1"/>
  <c r="N20" i="9"/>
  <c r="O20" i="9" a="1"/>
  <c r="O20" i="9" s="1"/>
  <c r="P20" i="9" a="1"/>
  <c r="P20" i="9" s="1"/>
  <c r="Q20" i="9" a="1"/>
  <c r="Q20" i="9" s="1"/>
  <c r="C19" i="9" a="1"/>
  <c r="C19" i="9" s="1"/>
  <c r="D19" i="9" a="1"/>
  <c r="D19" i="9" s="1"/>
  <c r="E19" i="9" a="1"/>
  <c r="E19" i="9" s="1"/>
  <c r="F19" i="9" a="1"/>
  <c r="F19" i="9" s="1"/>
  <c r="G19" i="9" a="1"/>
  <c r="G19" i="9"/>
  <c r="H19" i="9" a="1"/>
  <c r="H19" i="9"/>
  <c r="I19" i="9" a="1"/>
  <c r="I19" i="9" s="1"/>
  <c r="J19" i="9" a="1"/>
  <c r="J19" i="9" s="1"/>
  <c r="K19" i="9" a="1"/>
  <c r="K19" i="9"/>
  <c r="L19" i="9" a="1"/>
  <c r="L19" i="9" s="1"/>
  <c r="M19" i="9" a="1"/>
  <c r="M19" i="9" s="1"/>
  <c r="N19" i="9" a="1"/>
  <c r="N19" i="9" s="1"/>
  <c r="O19" i="9" a="1"/>
  <c r="O19" i="9"/>
  <c r="P19" i="9" a="1"/>
  <c r="P19" i="9" s="1"/>
  <c r="Q19" i="9" a="1"/>
  <c r="Q19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I18" i="9" a="1"/>
  <c r="I18" i="9" s="1"/>
  <c r="J18" i="9" a="1"/>
  <c r="J18" i="9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Q18" i="9" a="1"/>
  <c r="Q18" i="9" s="1"/>
  <c r="C17" i="9" a="1"/>
  <c r="C17" i="9" s="1"/>
  <c r="D17" i="9" a="1"/>
  <c r="D17" i="9" s="1"/>
  <c r="E17" i="9" a="1"/>
  <c r="E17" i="9" s="1"/>
  <c r="F17" i="9" a="1"/>
  <c r="F17" i="9"/>
  <c r="G17" i="9" a="1"/>
  <c r="G17" i="9" s="1"/>
  <c r="H17" i="9" a="1"/>
  <c r="H17" i="9" s="1"/>
  <c r="I17" i="9" a="1"/>
  <c r="I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Q17" i="9" a="1"/>
  <c r="Q17" i="9" s="1"/>
  <c r="C16" i="9" a="1"/>
  <c r="C16" i="9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I16" i="9" a="1"/>
  <c r="I16" i="9" s="1"/>
  <c r="J16" i="9" a="1"/>
  <c r="J16" i="9" s="1"/>
  <c r="K16" i="9" a="1"/>
  <c r="K16" i="9"/>
  <c r="L16" i="9" a="1"/>
  <c r="L16" i="9"/>
  <c r="M16" i="9" a="1"/>
  <c r="M16" i="9" s="1"/>
  <c r="N16" i="9" a="1"/>
  <c r="N16" i="9" s="1"/>
  <c r="O16" i="9" a="1"/>
  <c r="O16" i="9" s="1"/>
  <c r="P16" i="9" a="1"/>
  <c r="P16" i="9" s="1"/>
  <c r="Q16" i="9" a="1"/>
  <c r="Q16" i="9" s="1"/>
  <c r="C15" i="9" a="1"/>
  <c r="C15" i="9" s="1"/>
  <c r="D15" i="9" a="1"/>
  <c r="D15" i="9" s="1"/>
  <c r="E15" i="9" a="1"/>
  <c r="E15" i="9" s="1"/>
  <c r="F15" i="9" a="1"/>
  <c r="F15" i="9"/>
  <c r="G15" i="9" a="1"/>
  <c r="G15" i="9" s="1"/>
  <c r="H15" i="9" a="1"/>
  <c r="H15" i="9" s="1"/>
  <c r="I15" i="9" a="1"/>
  <c r="I15" i="9" s="1"/>
  <c r="J15" i="9" a="1"/>
  <c r="J15" i="9" s="1"/>
  <c r="K15" i="9" a="1"/>
  <c r="K15" i="9" s="1"/>
  <c r="L15" i="9" a="1"/>
  <c r="L15" i="9" s="1"/>
  <c r="M15" i="9" a="1"/>
  <c r="M15" i="9" s="1"/>
  <c r="N15" i="9" a="1"/>
  <c r="N15" i="9"/>
  <c r="O15" i="9" a="1"/>
  <c r="O15" i="9" s="1"/>
  <c r="P15" i="9" a="1"/>
  <c r="P15" i="9" s="1"/>
  <c r="Q15" i="9" a="1"/>
  <c r="Q15" i="9" s="1"/>
  <c r="C14" i="9" a="1"/>
  <c r="C14" i="9"/>
  <c r="D14" i="9" a="1"/>
  <c r="D14" i="9" s="1"/>
  <c r="E14" i="9" a="1"/>
  <c r="E14" i="9" s="1"/>
  <c r="T32" i="9" s="1"/>
  <c r="F14" i="9" a="1"/>
  <c r="F14" i="9" s="1"/>
  <c r="G14" i="9" a="1"/>
  <c r="G14" i="9" s="1"/>
  <c r="H14" i="9" a="1"/>
  <c r="H14" i="9" s="1"/>
  <c r="I14" i="9" a="1"/>
  <c r="I14" i="9"/>
  <c r="J14" i="9" a="1"/>
  <c r="J14" i="9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Q14" i="9" a="1"/>
  <c r="Q14" i="9" s="1"/>
  <c r="C13" i="9" a="1"/>
  <c r="C13" i="9" s="1"/>
  <c r="D13" i="9" a="1"/>
  <c r="D13" i="9" s="1"/>
  <c r="S31" i="9" s="1"/>
  <c r="E13" i="9" a="1"/>
  <c r="E13" i="9" s="1"/>
  <c r="T31" i="9" s="1"/>
  <c r="F13" i="9" a="1"/>
  <c r="F13" i="9" s="1"/>
  <c r="U31" i="9" s="1"/>
  <c r="G13" i="9" a="1"/>
  <c r="G13" i="9" s="1"/>
  <c r="H13" i="9" a="1"/>
  <c r="H13" i="9" s="1"/>
  <c r="I13" i="9" a="1"/>
  <c r="I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/>
  <c r="P13" i="9" a="1"/>
  <c r="P13" i="9"/>
  <c r="Q13" i="9" a="1"/>
  <c r="Q13" i="9" s="1"/>
  <c r="C12" i="9" a="1"/>
  <c r="C12" i="9" s="1"/>
  <c r="D12" i="9" a="1"/>
  <c r="D12" i="9" s="1"/>
  <c r="S30" i="9" s="1"/>
  <c r="E12" i="9" a="1"/>
  <c r="E12" i="9" s="1"/>
  <c r="T30" i="9" s="1"/>
  <c r="F12" i="9" a="1"/>
  <c r="F12" i="9" s="1"/>
  <c r="G12" i="9" a="1"/>
  <c r="G12" i="9" s="1"/>
  <c r="H12" i="9" a="1"/>
  <c r="H12" i="9" s="1"/>
  <c r="I12" i="9" a="1"/>
  <c r="I12" i="9" s="1"/>
  <c r="J12" i="9" a="1"/>
  <c r="J12" i="9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Q12" i="9" a="1"/>
  <c r="Q12" i="9" s="1"/>
  <c r="C11" i="9" a="1"/>
  <c r="C11" i="9" s="1"/>
  <c r="D11" i="9" a="1"/>
  <c r="D11" i="9" s="1"/>
  <c r="S29" i="9" s="1"/>
  <c r="E11" i="9" a="1"/>
  <c r="E11" i="9"/>
  <c r="F11" i="9" a="1"/>
  <c r="F11" i="9" s="1"/>
  <c r="U29" i="9" s="1"/>
  <c r="G11" i="9" a="1"/>
  <c r="G11" i="9" s="1"/>
  <c r="H11" i="9" a="1"/>
  <c r="H11" i="9" s="1"/>
  <c r="I11" i="9" a="1"/>
  <c r="I11" i="9" s="1"/>
  <c r="J11" i="9" a="1"/>
  <c r="J11" i="9" s="1"/>
  <c r="K11" i="9" a="1"/>
  <c r="K11" i="9" s="1"/>
  <c r="L11" i="9" a="1"/>
  <c r="L11" i="9" s="1"/>
  <c r="M11" i="9" a="1"/>
  <c r="M11" i="9" s="1"/>
  <c r="N11" i="9" a="1"/>
  <c r="N11" i="9"/>
  <c r="O11" i="9" a="1"/>
  <c r="O11" i="9" s="1"/>
  <c r="P11" i="9" a="1"/>
  <c r="P11" i="9" s="1"/>
  <c r="Q11" i="9" a="1"/>
  <c r="Q11" i="9" s="1"/>
  <c r="H5" i="9" a="1"/>
  <c r="H5" i="9" s="1"/>
  <c r="N5" i="9" a="1"/>
  <c r="N5" i="9" s="1"/>
  <c r="C25" i="8" a="1"/>
  <c r="C25" i="8" s="1"/>
  <c r="D25" i="8" a="1"/>
  <c r="D25" i="8" s="1"/>
  <c r="E25" i="8" a="1"/>
  <c r="E25" i="8" s="1"/>
  <c r="F25" i="8" a="1"/>
  <c r="F25" i="8"/>
  <c r="G25" i="8" a="1"/>
  <c r="G25" i="8" s="1"/>
  <c r="H25" i="8" a="1"/>
  <c r="H25" i="8" s="1"/>
  <c r="I25" i="8" a="1"/>
  <c r="I25" i="8" s="1"/>
  <c r="J25" i="8" a="1"/>
  <c r="J25" i="8" s="1"/>
  <c r="K25" i="8" a="1"/>
  <c r="K25" i="8"/>
  <c r="L25" i="8" a="1"/>
  <c r="L25" i="8" s="1"/>
  <c r="M25" i="8" a="1"/>
  <c r="M25" i="8" s="1"/>
  <c r="N25" i="8" a="1"/>
  <c r="N25" i="8"/>
  <c r="O25" i="8" a="1"/>
  <c r="O25" i="8" s="1"/>
  <c r="P25" i="8" a="1"/>
  <c r="P25" i="8"/>
  <c r="Q25" i="8" a="1"/>
  <c r="Q25" i="8"/>
  <c r="C24" i="8" a="1"/>
  <c r="C24" i="8"/>
  <c r="D24" i="8" a="1"/>
  <c r="D24" i="8" s="1"/>
  <c r="E24" i="8" a="1"/>
  <c r="E24" i="8" s="1"/>
  <c r="F24" i="8" a="1"/>
  <c r="F24" i="8" s="1"/>
  <c r="G24" i="8" a="1"/>
  <c r="G24" i="8" s="1"/>
  <c r="H24" i="8" a="1"/>
  <c r="H24" i="8" s="1"/>
  <c r="I24" i="8" a="1"/>
  <c r="I24" i="8"/>
  <c r="J24" i="8" a="1"/>
  <c r="J24" i="8"/>
  <c r="K24" i="8" a="1"/>
  <c r="K24" i="8" s="1"/>
  <c r="L24" i="8" a="1"/>
  <c r="L24" i="8"/>
  <c r="M24" i="8" a="1"/>
  <c r="M24" i="8" s="1"/>
  <c r="N24" i="8" a="1"/>
  <c r="N24" i="8" s="1"/>
  <c r="O24" i="8" a="1"/>
  <c r="O24" i="8" s="1"/>
  <c r="P24" i="8" a="1"/>
  <c r="P24" i="8" s="1"/>
  <c r="Q24" i="8" a="1"/>
  <c r="Q24" i="8"/>
  <c r="C23" i="8" a="1"/>
  <c r="C23" i="8" s="1"/>
  <c r="D23" i="8" a="1"/>
  <c r="D23" i="8" s="1"/>
  <c r="E23" i="8" a="1"/>
  <c r="E23" i="8" s="1"/>
  <c r="F23" i="8" a="1"/>
  <c r="F23" i="8" s="1"/>
  <c r="G23" i="8" a="1"/>
  <c r="G23" i="8"/>
  <c r="H23" i="8" a="1"/>
  <c r="H23" i="8"/>
  <c r="I23" i="8" a="1"/>
  <c r="I23" i="8" s="1"/>
  <c r="J23" i="8" a="1"/>
  <c r="J23" i="8" s="1"/>
  <c r="K23" i="8" a="1"/>
  <c r="K23" i="8" s="1"/>
  <c r="L23" i="8" a="1"/>
  <c r="L23" i="8" s="1"/>
  <c r="M23" i="8" a="1"/>
  <c r="M23" i="8" s="1"/>
  <c r="N23" i="8" a="1"/>
  <c r="N23" i="8"/>
  <c r="O23" i="8" a="1"/>
  <c r="O23" i="8" s="1"/>
  <c r="P23" i="8" a="1"/>
  <c r="P23" i="8"/>
  <c r="Q23" i="8" a="1"/>
  <c r="Q23" i="8" s="1"/>
  <c r="C22" i="8" a="1"/>
  <c r="C22" i="8" s="1"/>
  <c r="D22" i="8" a="1"/>
  <c r="D22" i="8" s="1"/>
  <c r="E22" i="8" a="1"/>
  <c r="E22" i="8" s="1"/>
  <c r="F22" i="8" a="1"/>
  <c r="F22" i="8"/>
  <c r="G22" i="8" a="1"/>
  <c r="G22" i="8"/>
  <c r="H22" i="8" a="1"/>
  <c r="H22" i="8"/>
  <c r="I22" i="8" a="1"/>
  <c r="I22" i="8" s="1"/>
  <c r="J22" i="8" a="1"/>
  <c r="J22" i="8"/>
  <c r="K22" i="8" a="1"/>
  <c r="K22" i="8" s="1"/>
  <c r="L22" i="8" a="1"/>
  <c r="L22" i="8" s="1"/>
  <c r="M22" i="8" a="1"/>
  <c r="M22" i="8"/>
  <c r="N22" i="8" a="1"/>
  <c r="N22" i="8" s="1"/>
  <c r="O22" i="8" a="1"/>
  <c r="O22" i="8" s="1"/>
  <c r="P22" i="8" a="1"/>
  <c r="P22" i="8" s="1"/>
  <c r="Q22" i="8" a="1"/>
  <c r="Q22" i="8" s="1"/>
  <c r="C21" i="8" a="1"/>
  <c r="C21" i="8" s="1"/>
  <c r="D21" i="8" a="1"/>
  <c r="D21" i="8" s="1"/>
  <c r="E21" i="8" a="1"/>
  <c r="E21" i="8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/>
  <c r="O21" i="8" a="1"/>
  <c r="O21" i="8" s="1"/>
  <c r="P21" i="8" a="1"/>
  <c r="P21" i="8" s="1"/>
  <c r="Q21" i="8" a="1"/>
  <c r="Q21" i="8" s="1"/>
  <c r="C20" i="8" a="1"/>
  <c r="C20" i="8" s="1"/>
  <c r="D20" i="8" a="1"/>
  <c r="D20" i="8"/>
  <c r="E20" i="8" a="1"/>
  <c r="E20" i="8" s="1"/>
  <c r="F20" i="8" a="1"/>
  <c r="F20" i="8" s="1"/>
  <c r="G20" i="8" a="1"/>
  <c r="G20" i="8" s="1"/>
  <c r="H20" i="8" a="1"/>
  <c r="H20" i="8" s="1"/>
  <c r="I20" i="8" a="1"/>
  <c r="I20" i="8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C19" i="8" a="1"/>
  <c r="C19" i="8" s="1"/>
  <c r="D19" i="8" a="1"/>
  <c r="D19" i="8"/>
  <c r="E19" i="8" a="1"/>
  <c r="E19" i="8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/>
  <c r="O19" i="8" a="1"/>
  <c r="O19" i="8" s="1"/>
  <c r="P19" i="8" a="1"/>
  <c r="P19" i="8" s="1"/>
  <c r="Q19" i="8" a="1"/>
  <c r="Q19" i="8" s="1"/>
  <c r="C18" i="8" a="1"/>
  <c r="C18" i="8"/>
  <c r="D18" i="8" a="1"/>
  <c r="D18" i="8"/>
  <c r="E18" i="8" a="1"/>
  <c r="E18" i="8" s="1"/>
  <c r="F18" i="8" a="1"/>
  <c r="F18" i="8" s="1"/>
  <c r="G18" i="8" a="1"/>
  <c r="G18" i="8" s="1"/>
  <c r="H18" i="8" a="1"/>
  <c r="H18" i="8" s="1"/>
  <c r="I18" i="8" a="1"/>
  <c r="I18" i="8"/>
  <c r="J18" i="8" a="1"/>
  <c r="J18" i="8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C17" i="8" a="1"/>
  <c r="C17" i="8"/>
  <c r="D17" i="8" a="1"/>
  <c r="D17" i="8" s="1"/>
  <c r="E17" i="8" a="1"/>
  <c r="E17" i="8"/>
  <c r="F17" i="8" a="1"/>
  <c r="F17" i="8" s="1"/>
  <c r="G17" i="8" a="1"/>
  <c r="G17" i="8" s="1"/>
  <c r="H17" i="8" a="1"/>
  <c r="H17" i="8" s="1"/>
  <c r="I17" i="8" a="1"/>
  <c r="I17" i="8" s="1"/>
  <c r="J17" i="8" a="1"/>
  <c r="J17" i="8"/>
  <c r="K17" i="8" a="1"/>
  <c r="K17" i="8" s="1"/>
  <c r="L17" i="8" a="1"/>
  <c r="L17" i="8" s="1"/>
  <c r="M17" i="8" a="1"/>
  <c r="M17" i="8"/>
  <c r="N17" i="8" a="1"/>
  <c r="N17" i="8" s="1"/>
  <c r="O17" i="8" a="1"/>
  <c r="O17" i="8"/>
  <c r="P17" i="8" a="1"/>
  <c r="P17" i="8" s="1"/>
  <c r="Q17" i="8" a="1"/>
  <c r="Q17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/>
  <c r="O16" i="8" a="1"/>
  <c r="O16" i="8"/>
  <c r="P16" i="8" a="1"/>
  <c r="P16" i="8" s="1"/>
  <c r="Q16" i="8" a="1"/>
  <c r="Q16" i="8" s="1"/>
  <c r="C15" i="8" a="1"/>
  <c r="C15" i="8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/>
  <c r="L15" i="8" a="1"/>
  <c r="L15" i="8" s="1"/>
  <c r="M15" i="8" a="1"/>
  <c r="M15" i="8" s="1"/>
  <c r="N15" i="8" a="1"/>
  <c r="N15" i="8" s="1"/>
  <c r="O15" i="8" a="1"/>
  <c r="O15" i="8" s="1"/>
  <c r="P15" i="8" a="1"/>
  <c r="P15" i="8" s="1"/>
  <c r="Q15" i="8" a="1"/>
  <c r="Q15" i="8" s="1"/>
  <c r="C14" i="8" a="1"/>
  <c r="C14" i="8" s="1"/>
  <c r="D14" i="8" a="1"/>
  <c r="D14" i="8" s="1"/>
  <c r="S32" i="8" s="1"/>
  <c r="E14" i="8" a="1"/>
  <c r="E14" i="8" s="1"/>
  <c r="T32" i="8" s="1"/>
  <c r="F14" i="8" a="1"/>
  <c r="F14" i="8"/>
  <c r="X32" i="8" s="1"/>
  <c r="G14" i="8" a="1"/>
  <c r="G14" i="8" s="1"/>
  <c r="H14" i="8" a="1"/>
  <c r="H14" i="8" s="1"/>
  <c r="Z32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N14" i="8" a="1"/>
  <c r="N14" i="8" s="1"/>
  <c r="O14" i="8" a="1"/>
  <c r="O14" i="8" s="1"/>
  <c r="P14" i="8" a="1"/>
  <c r="P14" i="8"/>
  <c r="Q14" i="8" a="1"/>
  <c r="Q14" i="8"/>
  <c r="C13" i="8" a="1"/>
  <c r="C13" i="8"/>
  <c r="D13" i="8" a="1"/>
  <c r="D13" i="8" s="1"/>
  <c r="S31" i="8" s="1"/>
  <c r="E13" i="8" a="1"/>
  <c r="E13" i="8" s="1"/>
  <c r="T31" i="8" s="1"/>
  <c r="F13" i="8" a="1"/>
  <c r="F13" i="8" s="1"/>
  <c r="G13" i="8" a="1"/>
  <c r="G13" i="8" s="1"/>
  <c r="Y31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M13" i="8" a="1"/>
  <c r="M13" i="8" s="1"/>
  <c r="N13" i="8" a="1"/>
  <c r="N13" i="8" s="1"/>
  <c r="O13" i="8" a="1"/>
  <c r="O13" i="8" s="1"/>
  <c r="P13" i="8" a="1"/>
  <c r="P13" i="8" s="1"/>
  <c r="Q13" i="8" a="1"/>
  <c r="Q13" i="8" s="1"/>
  <c r="C12" i="8" a="1"/>
  <c r="C12" i="8"/>
  <c r="D12" i="8" a="1"/>
  <c r="D12" i="8"/>
  <c r="S30" i="8" s="1"/>
  <c r="E12" i="8" a="1"/>
  <c r="E12" i="8"/>
  <c r="F12" i="8" a="1"/>
  <c r="F12" i="8" s="1"/>
  <c r="U30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L12" i="8" a="1"/>
  <c r="L12" i="8" s="1"/>
  <c r="M12" i="8" a="1"/>
  <c r="M12" i="8" s="1"/>
  <c r="N12" i="8" a="1"/>
  <c r="N12" i="8"/>
  <c r="O12" i="8" a="1"/>
  <c r="O12" i="8" s="1"/>
  <c r="P12" i="8" a="1"/>
  <c r="P12" i="8" s="1"/>
  <c r="Q12" i="8" a="1"/>
  <c r="Q12" i="8"/>
  <c r="C11" i="8" a="1"/>
  <c r="C11" i="8"/>
  <c r="D11" i="8" a="1"/>
  <c r="D11" i="8"/>
  <c r="S29" i="8" s="1"/>
  <c r="E11" i="8" a="1"/>
  <c r="E11" i="8" s="1"/>
  <c r="F11" i="8" a="1"/>
  <c r="F11" i="8" s="1"/>
  <c r="G11" i="8" a="1"/>
  <c r="G11" i="8"/>
  <c r="V29" i="8" s="1"/>
  <c r="H11" i="8" a="1"/>
  <c r="H11" i="8" s="1"/>
  <c r="I11" i="8" a="1"/>
  <c r="I11" i="8" s="1"/>
  <c r="J11" i="8" a="1"/>
  <c r="J11" i="8" s="1"/>
  <c r="K11" i="8" a="1"/>
  <c r="K11" i="8"/>
  <c r="L11" i="8" a="1"/>
  <c r="L11" i="8" s="1"/>
  <c r="M11" i="8" a="1"/>
  <c r="M11" i="8" s="1"/>
  <c r="N11" i="8" a="1"/>
  <c r="N11" i="8" s="1"/>
  <c r="O11" i="8" a="1"/>
  <c r="O11" i="8" s="1"/>
  <c r="P11" i="8" a="1"/>
  <c r="P11" i="8"/>
  <c r="Q11" i="8" a="1"/>
  <c r="Q11" i="8" s="1"/>
  <c r="H5" i="8" a="1"/>
  <c r="H5" i="8" s="1"/>
  <c r="N5" i="8" a="1"/>
  <c r="N5" i="8" s="1"/>
  <c r="B1" i="16"/>
  <c r="B8" i="16"/>
  <c r="S29" i="16"/>
  <c r="T29" i="16"/>
  <c r="U29" i="16"/>
  <c r="V29" i="16"/>
  <c r="W29" i="16"/>
  <c r="X29" i="16"/>
  <c r="Y29" i="16"/>
  <c r="Z29" i="16"/>
  <c r="T30" i="16"/>
  <c r="U30" i="16"/>
  <c r="V30" i="16"/>
  <c r="W30" i="16"/>
  <c r="X30" i="16"/>
  <c r="Y30" i="16"/>
  <c r="Z30" i="16"/>
  <c r="S31" i="16"/>
  <c r="T31" i="16"/>
  <c r="U31" i="16"/>
  <c r="V31" i="16"/>
  <c r="W31" i="16"/>
  <c r="X31" i="16"/>
  <c r="Y31" i="16"/>
  <c r="Z31" i="16"/>
  <c r="B1" i="15"/>
  <c r="B8" i="15"/>
  <c r="S29" i="15"/>
  <c r="T29" i="15"/>
  <c r="U29" i="15"/>
  <c r="V29" i="15"/>
  <c r="W29" i="15"/>
  <c r="X29" i="15"/>
  <c r="Y29" i="15"/>
  <c r="Z29" i="15"/>
  <c r="B1" i="14"/>
  <c r="B8" i="14"/>
  <c r="S29" i="14"/>
  <c r="T29" i="14"/>
  <c r="U29" i="14"/>
  <c r="W29" i="14"/>
  <c r="X29" i="14"/>
  <c r="Y29" i="14"/>
  <c r="Z29" i="14"/>
  <c r="S30" i="14"/>
  <c r="T30" i="14"/>
  <c r="V30" i="14"/>
  <c r="W30" i="14"/>
  <c r="Y30" i="14"/>
  <c r="Z30" i="14"/>
  <c r="B1" i="13"/>
  <c r="B8" i="13"/>
  <c r="S29" i="13"/>
  <c r="T29" i="13"/>
  <c r="V29" i="13"/>
  <c r="W29" i="13"/>
  <c r="X29" i="13"/>
  <c r="Y29" i="13"/>
  <c r="Z29" i="13"/>
  <c r="B1" i="12"/>
  <c r="B8" i="12"/>
  <c r="S29" i="12"/>
  <c r="T29" i="12"/>
  <c r="W29" i="12"/>
  <c r="Y29" i="12"/>
  <c r="Z29" i="12"/>
  <c r="U30" i="12"/>
  <c r="V30" i="12"/>
  <c r="X30" i="12"/>
  <c r="Y30" i="12"/>
  <c r="S31" i="12"/>
  <c r="U31" i="12"/>
  <c r="V31" i="12"/>
  <c r="W31" i="12"/>
  <c r="X31" i="12"/>
  <c r="Y31" i="12"/>
  <c r="Z31" i="12"/>
  <c r="S31" i="11"/>
  <c r="U31" i="11"/>
  <c r="W31" i="11"/>
  <c r="X31" i="11"/>
  <c r="T33" i="11"/>
  <c r="U33" i="11"/>
  <c r="V33" i="11"/>
  <c r="X33" i="11"/>
  <c r="Y33" i="11"/>
  <c r="T34" i="11"/>
  <c r="Y34" i="11"/>
  <c r="T35" i="11"/>
  <c r="Y35" i="11"/>
  <c r="Z35" i="11"/>
  <c r="S36" i="11"/>
  <c r="T36" i="11"/>
  <c r="W36" i="11"/>
  <c r="X36" i="11"/>
  <c r="Y36" i="11"/>
  <c r="S37" i="11"/>
  <c r="W37" i="11"/>
  <c r="X37" i="11"/>
  <c r="Y37" i="11"/>
  <c r="S38" i="11"/>
  <c r="T38" i="11"/>
  <c r="W38" i="11"/>
  <c r="X38" i="11"/>
  <c r="T39" i="11"/>
  <c r="Z39" i="11"/>
  <c r="B1" i="10"/>
  <c r="B8" i="10"/>
  <c r="S29" i="10"/>
  <c r="V29" i="10"/>
  <c r="S30" i="10"/>
  <c r="W30" i="10"/>
  <c r="Z30" i="10"/>
  <c r="U31" i="10"/>
  <c r="V31" i="10"/>
  <c r="X31" i="10"/>
  <c r="Y31" i="10"/>
  <c r="T32" i="10"/>
  <c r="V32" i="10"/>
  <c r="W32" i="10"/>
  <c r="Y32" i="10"/>
  <c r="Z32" i="10"/>
  <c r="B1" i="9"/>
  <c r="B8" i="9"/>
  <c r="T29" i="9"/>
  <c r="W29" i="9"/>
  <c r="Z29" i="9"/>
  <c r="S32" i="9"/>
  <c r="V32" i="9"/>
  <c r="Y32" i="9"/>
  <c r="B1" i="8"/>
  <c r="B8" i="8"/>
  <c r="T29" i="8"/>
  <c r="T30" i="8"/>
  <c r="X30" i="8"/>
  <c r="V31" i="8"/>
  <c r="U32" i="8"/>
  <c r="W32" i="8"/>
  <c r="K19" i="7"/>
  <c r="J19" i="7"/>
  <c r="I19" i="7" a="1"/>
  <c r="I19" i="7" s="1"/>
  <c r="F19" i="7"/>
  <c r="E19" i="7"/>
  <c r="D19" i="7"/>
  <c r="C19" i="7"/>
  <c r="B19" i="7"/>
  <c r="K18" i="7"/>
  <c r="J18" i="7"/>
  <c r="I18" i="7" a="1"/>
  <c r="I18" i="7" s="1"/>
  <c r="F18" i="7"/>
  <c r="D18" i="7"/>
  <c r="C18" i="7"/>
  <c r="B18" i="7"/>
  <c r="K17" i="7"/>
  <c r="J17" i="7"/>
  <c r="I17" i="7" a="1"/>
  <c r="I17" i="7"/>
  <c r="F17" i="7"/>
  <c r="D17" i="7"/>
  <c r="C17" i="7"/>
  <c r="B17" i="7"/>
  <c r="K16" i="7"/>
  <c r="J16" i="7"/>
  <c r="I16" i="7" a="1"/>
  <c r="I16" i="7" s="1"/>
  <c r="F16" i="7"/>
  <c r="E16" i="7"/>
  <c r="D16" i="7"/>
  <c r="C16" i="7"/>
  <c r="B16" i="7"/>
  <c r="K15" i="7"/>
  <c r="J15" i="7"/>
  <c r="I15" i="7" a="1"/>
  <c r="I15" i="7" s="1"/>
  <c r="F15" i="7"/>
  <c r="E15" i="7"/>
  <c r="D15" i="7"/>
  <c r="C15" i="7"/>
  <c r="B15" i="7"/>
  <c r="K14" i="7"/>
  <c r="J14" i="7"/>
  <c r="I14" i="7" a="1"/>
  <c r="I14" i="7" s="1"/>
  <c r="F14" i="7"/>
  <c r="E14" i="7"/>
  <c r="D14" i="7"/>
  <c r="C14" i="7"/>
  <c r="B14" i="7"/>
  <c r="K13" i="7"/>
  <c r="J13" i="7"/>
  <c r="I13" i="7" a="1"/>
  <c r="I13" i="7" s="1"/>
  <c r="F13" i="7"/>
  <c r="E13" i="7"/>
  <c r="D13" i="7"/>
  <c r="C13" i="7"/>
  <c r="B13" i="7"/>
  <c r="K12" i="7"/>
  <c r="J12" i="7"/>
  <c r="I12" i="7" a="1"/>
  <c r="I12" i="7" s="1"/>
  <c r="F12" i="7"/>
  <c r="E12" i="7"/>
  <c r="D12" i="7"/>
  <c r="C12" i="7"/>
  <c r="B12" i="7"/>
  <c r="K11" i="7"/>
  <c r="J11" i="7"/>
  <c r="I11" i="7" a="1"/>
  <c r="I11" i="7" s="1"/>
  <c r="F11" i="7"/>
  <c r="E11" i="7"/>
  <c r="D11" i="7"/>
  <c r="C11" i="7"/>
  <c r="B11" i="7"/>
  <c r="K10" i="7"/>
  <c r="J10" i="7"/>
  <c r="I10" i="7" a="1"/>
  <c r="I10" i="7" s="1"/>
  <c r="F10" i="7"/>
  <c r="E10" i="7"/>
  <c r="D10" i="7"/>
  <c r="C10" i="7"/>
  <c r="B10" i="7"/>
  <c r="K9" i="7"/>
  <c r="J9" i="7"/>
  <c r="I9" i="7" a="1"/>
  <c r="I9" i="7"/>
  <c r="F9" i="7"/>
  <c r="E9" i="7"/>
  <c r="D9" i="7"/>
  <c r="C9" i="7"/>
  <c r="B9" i="7"/>
  <c r="K8" i="7"/>
  <c r="J8" i="7"/>
  <c r="I8" i="7" a="1"/>
  <c r="I8" i="7" s="1"/>
  <c r="F8" i="7"/>
  <c r="E8" i="7"/>
  <c r="D8" i="7"/>
  <c r="C8" i="7"/>
  <c r="B8" i="7"/>
  <c r="P11" i="5"/>
  <c r="O11" i="5"/>
  <c r="P10" i="5"/>
  <c r="O10" i="5"/>
  <c r="P9" i="5"/>
  <c r="O9" i="5"/>
  <c r="P8" i="5"/>
  <c r="O8" i="5"/>
  <c r="P7" i="5"/>
  <c r="O7" i="5"/>
  <c r="P6" i="5"/>
  <c r="O6" i="5"/>
  <c r="P5" i="5"/>
  <c r="O5" i="5"/>
  <c r="P4" i="5"/>
  <c r="O4" i="5"/>
  <c r="P3" i="5"/>
  <c r="O3" i="5"/>
  <c r="P2" i="5"/>
  <c r="O2" i="5"/>
  <c r="R11" i="4"/>
  <c r="Q11" i="4"/>
  <c r="P11" i="4"/>
  <c r="O11" i="4"/>
  <c r="R10" i="4"/>
  <c r="Q10" i="4"/>
  <c r="P10" i="4"/>
  <c r="O10" i="4"/>
  <c r="R9" i="4"/>
  <c r="Q9" i="4"/>
  <c r="P9" i="4"/>
  <c r="O9" i="4"/>
  <c r="R8" i="4"/>
  <c r="Q8" i="4"/>
  <c r="P8" i="4"/>
  <c r="O8" i="4"/>
  <c r="R7" i="4"/>
  <c r="Q7" i="4"/>
  <c r="P7" i="4"/>
  <c r="O7" i="4"/>
  <c r="R6" i="4"/>
  <c r="Q6" i="4"/>
  <c r="P6" i="4"/>
  <c r="O6" i="4"/>
  <c r="R5" i="4"/>
  <c r="Q5" i="4"/>
  <c r="P5" i="4"/>
  <c r="O5" i="4"/>
  <c r="R4" i="4"/>
  <c r="Q4" i="4"/>
  <c r="P4" i="4"/>
  <c r="O4" i="4"/>
  <c r="R3" i="4"/>
  <c r="Q3" i="4"/>
  <c r="P3" i="4"/>
  <c r="O3" i="4"/>
  <c r="R2" i="4"/>
  <c r="Q2" i="4"/>
  <c r="P2" i="4"/>
  <c r="O2" i="4"/>
  <c r="P11" i="3"/>
  <c r="O11" i="3"/>
  <c r="P10" i="3"/>
  <c r="O10" i="3"/>
  <c r="P9" i="3"/>
  <c r="O9" i="3"/>
  <c r="P8" i="3"/>
  <c r="O8" i="3"/>
  <c r="P7" i="3"/>
  <c r="O7" i="3"/>
  <c r="P6" i="3"/>
  <c r="O6" i="3"/>
  <c r="P5" i="3"/>
  <c r="O5" i="3"/>
  <c r="P4" i="3"/>
  <c r="O4" i="3"/>
  <c r="P3" i="3"/>
  <c r="O3" i="3"/>
  <c r="P2" i="3"/>
  <c r="O2" i="3"/>
  <c r="R25" i="1" a="1"/>
  <c r="R25" i="1"/>
  <c r="N25" i="1" a="1"/>
  <c r="N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F25" i="1" a="1"/>
  <c r="F25" i="1"/>
  <c r="E25" i="1" a="1"/>
  <c r="E25" i="1" s="1"/>
  <c r="D25" i="1" a="1"/>
  <c r="D25" i="1"/>
  <c r="C25" i="1" a="1"/>
  <c r="C25" i="1" s="1"/>
  <c r="R24" i="1" a="1"/>
  <c r="R24" i="1" s="1"/>
  <c r="N24" i="1" a="1"/>
  <c r="N24" i="1" s="1"/>
  <c r="L24" i="1" a="1"/>
  <c r="L24" i="1" s="1"/>
  <c r="K24" i="1" a="1"/>
  <c r="K24" i="1" s="1"/>
  <c r="J24" i="1" a="1"/>
  <c r="J24" i="1" s="1"/>
  <c r="I24" i="1" a="1"/>
  <c r="I24" i="1" s="1"/>
  <c r="H24" i="1" a="1"/>
  <c r="H24" i="1"/>
  <c r="F24" i="1" a="1"/>
  <c r="F24" i="1" s="1"/>
  <c r="E24" i="1" a="1"/>
  <c r="E24" i="1" s="1"/>
  <c r="D24" i="1" a="1"/>
  <c r="D24" i="1" s="1"/>
  <c r="C24" i="1" a="1"/>
  <c r="C24" i="1" s="1"/>
  <c r="R23" i="1" a="1"/>
  <c r="R23" i="1"/>
  <c r="N23" i="1" a="1"/>
  <c r="N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F23" i="1" a="1"/>
  <c r="F23" i="1" s="1"/>
  <c r="E23" i="1" a="1"/>
  <c r="E23" i="1" s="1"/>
  <c r="D23" i="1" a="1"/>
  <c r="D23" i="1" s="1"/>
  <c r="C23" i="1" a="1"/>
  <c r="C23" i="1" s="1"/>
  <c r="R22" i="1" a="1"/>
  <c r="R22" i="1" s="1"/>
  <c r="N22" i="1" a="1"/>
  <c r="N22" i="1" s="1"/>
  <c r="L22" i="1" a="1"/>
  <c r="L22" i="1" s="1"/>
  <c r="K22" i="1" a="1"/>
  <c r="K22" i="1" s="1"/>
  <c r="J22" i="1" a="1"/>
  <c r="J22" i="1"/>
  <c r="I22" i="1" a="1"/>
  <c r="I22" i="1"/>
  <c r="H22" i="1" a="1"/>
  <c r="H22" i="1" s="1"/>
  <c r="F22" i="1" a="1"/>
  <c r="F22" i="1" s="1"/>
  <c r="E22" i="1" a="1"/>
  <c r="E22" i="1" s="1"/>
  <c r="D22" i="1" a="1"/>
  <c r="D22" i="1" s="1"/>
  <c r="C22" i="1" a="1"/>
  <c r="C22" i="1"/>
  <c r="R21" i="1" a="1"/>
  <c r="R21" i="1" s="1"/>
  <c r="N21" i="1" a="1"/>
  <c r="N21" i="1" s="1"/>
  <c r="L21" i="1" a="1"/>
  <c r="L21" i="1" s="1"/>
  <c r="K21" i="1" a="1"/>
  <c r="K21" i="1"/>
  <c r="J21" i="1" a="1"/>
  <c r="J21" i="1" s="1"/>
  <c r="I21" i="1" a="1"/>
  <c r="I21" i="1" s="1"/>
  <c r="H21" i="1" a="1"/>
  <c r="H21" i="1" s="1"/>
  <c r="F21" i="1" a="1"/>
  <c r="F21" i="1" s="1"/>
  <c r="E21" i="1" a="1"/>
  <c r="E21" i="1" s="1"/>
  <c r="D21" i="1" a="1"/>
  <c r="D21" i="1" s="1"/>
  <c r="C21" i="1" a="1"/>
  <c r="C21" i="1" s="1"/>
  <c r="R20" i="1" a="1"/>
  <c r="R20" i="1" s="1"/>
  <c r="N20" i="1" a="1"/>
  <c r="N20" i="1" s="1"/>
  <c r="L20" i="1" a="1"/>
  <c r="L20" i="1" s="1"/>
  <c r="K20" i="1" a="1"/>
  <c r="K20" i="1" s="1"/>
  <c r="J20" i="1" a="1"/>
  <c r="J20" i="1"/>
  <c r="I20" i="1" a="1"/>
  <c r="I20" i="1" s="1"/>
  <c r="H20" i="1" a="1"/>
  <c r="H20" i="1"/>
  <c r="F20" i="1" a="1"/>
  <c r="F20" i="1"/>
  <c r="E20" i="1" a="1"/>
  <c r="E20" i="1" s="1"/>
  <c r="D20" i="1" a="1"/>
  <c r="D20" i="1" s="1"/>
  <c r="C20" i="1" a="1"/>
  <c r="C20" i="1" s="1"/>
  <c r="R19" i="1" a="1"/>
  <c r="R19" i="1"/>
  <c r="N19" i="1" a="1"/>
  <c r="N19" i="1" s="1"/>
  <c r="L19" i="1" a="1"/>
  <c r="L19" i="1" s="1"/>
  <c r="K19" i="1" a="1"/>
  <c r="K19" i="1" s="1"/>
  <c r="J19" i="1" a="1"/>
  <c r="J19" i="1" s="1"/>
  <c r="I19" i="1" a="1"/>
  <c r="I19" i="1" s="1"/>
  <c r="H19" i="1" a="1"/>
  <c r="H19" i="1" s="1"/>
  <c r="F19" i="1" a="1"/>
  <c r="F19" i="1" s="1"/>
  <c r="E19" i="1" a="1"/>
  <c r="E19" i="1" s="1"/>
  <c r="D19" i="1" a="1"/>
  <c r="D19" i="1" s="1"/>
  <c r="C19" i="1" a="1"/>
  <c r="C19" i="1" s="1"/>
  <c r="R18" i="1" a="1"/>
  <c r="R18" i="1"/>
  <c r="N18" i="1" a="1"/>
  <c r="N18" i="1" s="1"/>
  <c r="L18" i="1" a="1"/>
  <c r="L18" i="1" s="1"/>
  <c r="K18" i="1" a="1"/>
  <c r="K18" i="1" s="1"/>
  <c r="J18" i="1" a="1"/>
  <c r="J18" i="1" s="1"/>
  <c r="I18" i="1" a="1"/>
  <c r="I18" i="1" s="1"/>
  <c r="H18" i="1" a="1"/>
  <c r="H18" i="1" s="1"/>
  <c r="F18" i="1" a="1"/>
  <c r="F18" i="1" s="1"/>
  <c r="E18" i="1" a="1"/>
  <c r="E18" i="1" s="1"/>
  <c r="D18" i="1" a="1"/>
  <c r="D18" i="1" s="1"/>
  <c r="C18" i="1" a="1"/>
  <c r="C18" i="1" s="1"/>
  <c r="R17" i="1" a="1"/>
  <c r="R17" i="1" s="1"/>
  <c r="N17" i="1" a="1"/>
  <c r="N17" i="1" s="1"/>
  <c r="L17" i="1" a="1"/>
  <c r="L17" i="1" s="1"/>
  <c r="K17" i="1" a="1"/>
  <c r="K17" i="1"/>
  <c r="J17" i="1" a="1"/>
  <c r="J17" i="1" s="1"/>
  <c r="I17" i="1" a="1"/>
  <c r="I17" i="1" s="1"/>
  <c r="H17" i="1" a="1"/>
  <c r="H17" i="1" s="1"/>
  <c r="F17" i="1" a="1"/>
  <c r="F17" i="1" s="1"/>
  <c r="E17" i="1" a="1"/>
  <c r="E17" i="1" s="1"/>
  <c r="D17" i="1" a="1"/>
  <c r="D17" i="1"/>
  <c r="C17" i="1" a="1"/>
  <c r="C17" i="1" s="1"/>
  <c r="R16" i="1" a="1"/>
  <c r="R16" i="1" s="1"/>
  <c r="N16" i="1" a="1"/>
  <c r="N16" i="1"/>
  <c r="L16" i="1" a="1"/>
  <c r="L16" i="1" s="1"/>
  <c r="K16" i="1" a="1"/>
  <c r="K16" i="1" s="1"/>
  <c r="J16" i="1" a="1"/>
  <c r="J16" i="1" s="1"/>
  <c r="I16" i="1" a="1"/>
  <c r="I16" i="1" s="1"/>
  <c r="H16" i="1" a="1"/>
  <c r="H16" i="1" s="1"/>
  <c r="F16" i="1" a="1"/>
  <c r="F16" i="1" s="1"/>
  <c r="E16" i="1" a="1"/>
  <c r="E16" i="1"/>
  <c r="D16" i="1" a="1"/>
  <c r="D16" i="1" s="1"/>
  <c r="C16" i="1" a="1"/>
  <c r="C16" i="1" s="1"/>
  <c r="X12" i="1" a="1"/>
  <c r="X12" i="1" s="1"/>
  <c r="W12" i="1" a="1"/>
  <c r="W12" i="1"/>
  <c r="V12" i="1" a="1"/>
  <c r="V12" i="1" s="1"/>
  <c r="U12" i="1" a="1"/>
  <c r="U12" i="1" s="1"/>
  <c r="R12" i="1" a="1"/>
  <c r="R12" i="1" s="1"/>
  <c r="Q12" i="1" a="1"/>
  <c r="Q12" i="1"/>
  <c r="P12" i="1" a="1"/>
  <c r="P12" i="1" s="1"/>
  <c r="O12" i="1" a="1"/>
  <c r="O12" i="1" s="1"/>
  <c r="L12" i="1" a="1"/>
  <c r="L12" i="1" s="1"/>
  <c r="K12" i="1" a="1"/>
  <c r="K12" i="1" s="1"/>
  <c r="J12" i="1" a="1"/>
  <c r="J12" i="1" s="1"/>
  <c r="I12" i="1" a="1"/>
  <c r="I12" i="1" s="1"/>
  <c r="F12" i="1" a="1"/>
  <c r="F12" i="1" s="1"/>
  <c r="E12" i="1" a="1"/>
  <c r="E12" i="1" s="1"/>
  <c r="D12" i="1" a="1"/>
  <c r="D12" i="1" s="1"/>
  <c r="C12" i="1" a="1"/>
  <c r="C12" i="1" s="1"/>
  <c r="X11" i="1" a="1"/>
  <c r="X11" i="1"/>
  <c r="W11" i="1" a="1"/>
  <c r="W11" i="1"/>
  <c r="V11" i="1" a="1"/>
  <c r="V11" i="1"/>
  <c r="U11" i="1" a="1"/>
  <c r="U11" i="1" s="1"/>
  <c r="R11" i="1" a="1"/>
  <c r="R11" i="1" s="1"/>
  <c r="Q11" i="1" a="1"/>
  <c r="Q11" i="1" s="1"/>
  <c r="P11" i="1" a="1"/>
  <c r="P11" i="1" s="1"/>
  <c r="O11" i="1" a="1"/>
  <c r="O11" i="1" s="1"/>
  <c r="L11" i="1" a="1"/>
  <c r="L11" i="1" s="1"/>
  <c r="K11" i="1" a="1"/>
  <c r="K11" i="1"/>
  <c r="J11" i="1" a="1"/>
  <c r="J11" i="1"/>
  <c r="I11" i="1" a="1"/>
  <c r="I11" i="1" s="1"/>
  <c r="F11" i="1" a="1"/>
  <c r="F11" i="1"/>
  <c r="E11" i="1" a="1"/>
  <c r="E11" i="1" s="1"/>
  <c r="D11" i="1" a="1"/>
  <c r="D11" i="1" s="1"/>
  <c r="C11" i="1" a="1"/>
  <c r="C11" i="1" s="1"/>
  <c r="X10" i="1" a="1"/>
  <c r="X10" i="1" s="1"/>
  <c r="W10" i="1" a="1"/>
  <c r="W10" i="1" s="1"/>
  <c r="V10" i="1" a="1"/>
  <c r="V10" i="1" s="1"/>
  <c r="U10" i="1" a="1"/>
  <c r="U10" i="1" s="1"/>
  <c r="R10" i="1" a="1"/>
  <c r="R10" i="1" s="1"/>
  <c r="Q10" i="1" a="1"/>
  <c r="Q10" i="1" s="1"/>
  <c r="P10" i="1" a="1"/>
  <c r="P10" i="1" s="1"/>
  <c r="O10" i="1" a="1"/>
  <c r="O10" i="1"/>
  <c r="L10" i="1" a="1"/>
  <c r="L10" i="1" s="1"/>
  <c r="K10" i="1" a="1"/>
  <c r="K10" i="1" s="1"/>
  <c r="J10" i="1" a="1"/>
  <c r="J10" i="1" s="1"/>
  <c r="I10" i="1" a="1"/>
  <c r="I10" i="1" s="1"/>
  <c r="F10" i="1" a="1"/>
  <c r="F10" i="1" s="1"/>
  <c r="E10" i="1" a="1"/>
  <c r="E10" i="1" s="1"/>
  <c r="D10" i="1" a="1"/>
  <c r="D10" i="1"/>
  <c r="C10" i="1" a="1"/>
  <c r="C10" i="1" s="1"/>
  <c r="X9" i="1" a="1"/>
  <c r="X9" i="1" s="1"/>
  <c r="W9" i="1" a="1"/>
  <c r="W9" i="1" s="1"/>
  <c r="V9" i="1" a="1"/>
  <c r="V9" i="1" s="1"/>
  <c r="U9" i="1" a="1"/>
  <c r="U9" i="1" s="1"/>
  <c r="R9" i="1" a="1"/>
  <c r="R9" i="1" s="1"/>
  <c r="Q9" i="1" a="1"/>
  <c r="Q9" i="1" s="1"/>
  <c r="P9" i="1" a="1"/>
  <c r="P9" i="1"/>
  <c r="O9" i="1" a="1"/>
  <c r="O9" i="1" s="1"/>
  <c r="L9" i="1" a="1"/>
  <c r="L9" i="1" s="1"/>
  <c r="K9" i="1" a="1"/>
  <c r="K9" i="1"/>
  <c r="J9" i="1" a="1"/>
  <c r="J9" i="1" s="1"/>
  <c r="I9" i="1" a="1"/>
  <c r="I9" i="1" s="1"/>
  <c r="F9" i="1" a="1"/>
  <c r="F9" i="1" s="1"/>
  <c r="E9" i="1" a="1"/>
  <c r="E9" i="1" s="1"/>
  <c r="D9" i="1" a="1"/>
  <c r="D9" i="1" s="1"/>
  <c r="C9" i="1" a="1"/>
  <c r="C9" i="1" s="1"/>
  <c r="X8" i="1" a="1"/>
  <c r="X8" i="1" s="1"/>
  <c r="W8" i="1" a="1"/>
  <c r="W8" i="1" s="1"/>
  <c r="V8" i="1" a="1"/>
  <c r="V8" i="1" s="1"/>
  <c r="U8" i="1" a="1"/>
  <c r="U8" i="1" s="1"/>
  <c r="R8" i="1" a="1"/>
  <c r="R8" i="1" s="1"/>
  <c r="Q8" i="1" a="1"/>
  <c r="Q8" i="1" s="1"/>
  <c r="P8" i="1" a="1"/>
  <c r="P8" i="1"/>
  <c r="O8" i="1" a="1"/>
  <c r="O8" i="1" s="1"/>
  <c r="L8" i="1" a="1"/>
  <c r="L8" i="1" s="1"/>
  <c r="K8" i="1" a="1"/>
  <c r="K8" i="1" s="1"/>
  <c r="J8" i="1" a="1"/>
  <c r="J8" i="1" s="1"/>
  <c r="I8" i="1" a="1"/>
  <c r="I8" i="1" s="1"/>
  <c r="F8" i="1" a="1"/>
  <c r="F8" i="1" s="1"/>
  <c r="E8" i="1" a="1"/>
  <c r="E8" i="1"/>
  <c r="D8" i="1" a="1"/>
  <c r="D8" i="1"/>
  <c r="C8" i="1" a="1"/>
  <c r="C8" i="1"/>
  <c r="P3" i="1"/>
  <c r="J3" i="1" a="1"/>
  <c r="J3" i="1" s="1"/>
  <c r="D3" i="1"/>
  <c r="P16" i="2"/>
  <c r="O16" i="2"/>
  <c r="P15" i="2"/>
  <c r="O15" i="2"/>
  <c r="P14" i="2"/>
  <c r="O14" i="2"/>
  <c r="P13" i="2"/>
  <c r="O13" i="2"/>
  <c r="P12" i="2"/>
  <c r="O12" i="2"/>
  <c r="P11" i="2"/>
  <c r="O11" i="2"/>
  <c r="P10" i="2"/>
  <c r="O10" i="2"/>
  <c r="P9" i="2"/>
  <c r="O9" i="2"/>
  <c r="P8" i="2"/>
  <c r="O8" i="2"/>
  <c r="P7" i="2"/>
  <c r="O7" i="2"/>
  <c r="P6" i="2"/>
  <c r="O6" i="2"/>
  <c r="P5" i="2"/>
  <c r="O5" i="2"/>
  <c r="P4" i="2"/>
  <c r="O4" i="2"/>
  <c r="P3" i="2"/>
  <c r="O3" i="2"/>
  <c r="P2" i="2"/>
  <c r="O2" i="2"/>
  <c r="W31" i="8" l="1"/>
  <c r="Z31" i="8"/>
  <c r="V30" i="9"/>
  <c r="Y30" i="9"/>
  <c r="S39" i="11"/>
  <c r="W39" i="11"/>
  <c r="W30" i="8"/>
  <c r="Z30" i="8"/>
  <c r="W31" i="9"/>
  <c r="Z31" i="9"/>
  <c r="U30" i="9"/>
  <c r="X30" i="9"/>
  <c r="Y31" i="9"/>
  <c r="V31" i="9"/>
  <c r="Z31" i="10"/>
  <c r="W31" i="10"/>
  <c r="U31" i="8"/>
  <c r="X31" i="8"/>
  <c r="S34" i="11"/>
  <c r="W34" i="11"/>
  <c r="Y32" i="8"/>
  <c r="V32" i="8"/>
  <c r="W29" i="10"/>
  <c r="Z29" i="10"/>
  <c r="U32" i="10"/>
  <c r="X32" i="10"/>
  <c r="W30" i="12"/>
  <c r="Z30" i="12"/>
  <c r="W29" i="8"/>
  <c r="Z29" i="8"/>
  <c r="Z30" i="9"/>
  <c r="W30" i="9"/>
  <c r="W33" i="11"/>
  <c r="W35" i="11"/>
  <c r="Y29" i="8"/>
  <c r="U29" i="8"/>
  <c r="X29" i="8"/>
  <c r="V30" i="8"/>
  <c r="Y30" i="8"/>
  <c r="Y30" i="10"/>
  <c r="V30" i="10"/>
  <c r="U30" i="10"/>
  <c r="X30" i="10"/>
  <c r="U29" i="10"/>
  <c r="X29" i="10"/>
  <c r="Z32" i="9"/>
  <c r="W32" i="9"/>
  <c r="U30" i="14"/>
  <c r="X30" i="14"/>
  <c r="V31" i="11"/>
  <c r="Y31" i="11"/>
  <c r="X32" i="9"/>
  <c r="U32" i="9"/>
  <c r="X29" i="12"/>
  <c r="U29" i="12"/>
  <c r="V29" i="9"/>
  <c r="Y29" i="9"/>
  <c r="X31" i="9"/>
  <c r="X29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<sst xmlns="http://schemas.openxmlformats.org/spreadsheetml/2006/main" count="1982" uniqueCount="712">
  <si>
    <t>FinSight IA  ·  Analyse VALUE  ·  Euro Stoxx 50</t>
  </si>
  <si>
    <t>Société</t>
  </si>
  <si>
    <t>Score Global</t>
  </si>
  <si>
    <t>Signal</t>
  </si>
  <si>
    <t>Usage confidentiel  ·  Calculs Python/yfinance</t>
  </si>
  <si>
    <t>Rang</t>
  </si>
  <si>
    <t>Ticker</t>
  </si>
  <si>
    <t>Secteur</t>
  </si>
  <si>
    <t>Score</t>
  </si>
  <si>
    <t>EV/EBITDA</t>
  </si>
  <si>
    <t>EV/Revenue</t>
  </si>
  <si>
    <t>P/E</t>
  </si>
  <si>
    <t>Marge Brute</t>
  </si>
  <si>
    <t>Marge EBITDA</t>
  </si>
  <si>
    <t>Altman Z</t>
  </si>
  <si>
    <t>FCF Yield</t>
  </si>
  <si>
    <t>Décote DCF estimée</t>
  </si>
  <si>
    <t>SAP.DE</t>
  </si>
  <si>
    <t>SAP SE</t>
  </si>
  <si>
    <t>Technologie</t>
  </si>
  <si>
    <t>74/100</t>
  </si>
  <si>
    <t>72.9%</t>
  </si>
  <si>
    <t>32.8%</t>
  </si>
  <si>
    <t>+5.2%</t>
  </si>
  <si>
    <t>-41.3 %</t>
  </si>
  <si>
    <t>PRX.AS</t>
  </si>
  <si>
    <t>Prosus N.V.</t>
  </si>
  <si>
    <t>Conso. Cycl.</t>
  </si>
  <si>
    <t>72/100</t>
  </si>
  <si>
    <t>42.5%</t>
  </si>
  <si>
    <t>—</t>
  </si>
  <si>
    <t>+2.0%</t>
  </si>
  <si>
    <t>+82.6 %</t>
  </si>
  <si>
    <t>SAN.PA</t>
  </si>
  <si>
    <t>Sanofi</t>
  </si>
  <si>
    <t>Santé</t>
  </si>
  <si>
    <t>68/100</t>
  </si>
  <si>
    <t>72.1%</t>
  </si>
  <si>
    <t>26.7%</t>
  </si>
  <si>
    <t>+7.5%</t>
  </si>
  <si>
    <t>+7.5 %</t>
  </si>
  <si>
    <t>OR.PA</t>
  </si>
  <si>
    <t>L'Oréal S.A.</t>
  </si>
  <si>
    <t>Conso. Déf.</t>
  </si>
  <si>
    <t>66/100</t>
  </si>
  <si>
    <t>74.3%</t>
  </si>
  <si>
    <t>24.3%</t>
  </si>
  <si>
    <t>+3.7%</t>
  </si>
  <si>
    <t>-57.4 %</t>
  </si>
  <si>
    <t>TEF.MC</t>
  </si>
  <si>
    <t>Telefónica, S.A.</t>
  </si>
  <si>
    <t>Télécoms</t>
  </si>
  <si>
    <t>60/100</t>
  </si>
  <si>
    <t>69.6%</t>
  </si>
  <si>
    <t>29.9%</t>
  </si>
  <si>
    <t>+24.0%</t>
  </si>
  <si>
    <t>RMS.PA</t>
  </si>
  <si>
    <t>Hermès International Société en commandite par actions</t>
  </si>
  <si>
    <t>71.1%</t>
  </si>
  <si>
    <t>46.8%</t>
  </si>
  <si>
    <t>+2.9%</t>
  </si>
  <si>
    <t>-67.2 %</t>
  </si>
  <si>
    <t>TTE.PA</t>
  </si>
  <si>
    <t>TotalEnergies SE</t>
  </si>
  <si>
    <t>Énergie</t>
  </si>
  <si>
    <t>59/100</t>
  </si>
  <si>
    <t>36.0%</t>
  </si>
  <si>
    <t>18.0%</t>
  </si>
  <si>
    <t>+9.5%</t>
  </si>
  <si>
    <t>-16.1 %</t>
  </si>
  <si>
    <t>SIE.DE</t>
  </si>
  <si>
    <t>Siemens Aktiengesellschaft</t>
  </si>
  <si>
    <t>Industrie</t>
  </si>
  <si>
    <t>56/100</t>
  </si>
  <si>
    <t>38.5%</t>
  </si>
  <si>
    <t>20.1%</t>
  </si>
  <si>
    <t>+6.2%</t>
  </si>
  <si>
    <t>-26.7 %</t>
  </si>
  <si>
    <t>VOW3.DE</t>
  </si>
  <si>
    <t>Volkswagen AG</t>
  </si>
  <si>
    <t>15.9%</t>
  </si>
  <si>
    <t>15.5%</t>
  </si>
  <si>
    <t>-50.9%</t>
  </si>
  <si>
    <t>+433.3 %</t>
  </si>
  <si>
    <t>PHIA.AS</t>
  </si>
  <si>
    <t>Koninklijke Philips N.V.</t>
  </si>
  <si>
    <t>53/100</t>
  </si>
  <si>
    <t>45.2%</t>
  </si>
  <si>
    <t>14.6%</t>
  </si>
  <si>
    <t>+2.2%</t>
  </si>
  <si>
    <t>-48.3 %</t>
  </si>
  <si>
    <t>RWE.DE</t>
  </si>
  <si>
    <t>RWE Aktiengesellschaft</t>
  </si>
  <si>
    <t>Serv. Publ.</t>
  </si>
  <si>
    <t>39.1%</t>
  </si>
  <si>
    <t>-12.0%</t>
  </si>
  <si>
    <t>-0.5 %</t>
  </si>
  <si>
    <t>SAN.MC</t>
  </si>
  <si>
    <t>Banco Santander, S.A.</t>
  </si>
  <si>
    <t>Finance</t>
  </si>
  <si>
    <t>48/100</t>
  </si>
  <si>
    <t>-14.8%</t>
  </si>
  <si>
    <t>+24.6 %</t>
  </si>
  <si>
    <t>SU.PA</t>
  </si>
  <si>
    <t>Schneider Electric S.E.</t>
  </si>
  <si>
    <t>39/100</t>
  </si>
  <si>
    <t>42.1%</t>
  </si>
  <si>
    <t>20.9%</t>
  </si>
  <si>
    <t>+3.1%</t>
  </si>
  <si>
    <t>-62.0 %</t>
  </si>
  <si>
    <t>RIO.L</t>
  </si>
  <si>
    <t>Rio Tinto Group</t>
  </si>
  <si>
    <t>Matériaux</t>
  </si>
  <si>
    <t>38/100</t>
  </si>
  <si>
    <t>57.4%</t>
  </si>
  <si>
    <t>39.9%</t>
  </si>
  <si>
    <t>+0.0%</t>
  </si>
  <si>
    <t>-98.6 %</t>
  </si>
  <si>
    <t>GSK.L</t>
  </si>
  <si>
    <t>GSK plc</t>
  </si>
  <si>
    <t>33/100</t>
  </si>
  <si>
    <t>72.4%</t>
  </si>
  <si>
    <t>31.8%</t>
  </si>
  <si>
    <t>+0.1%</t>
  </si>
  <si>
    <t>-99.1 %</t>
  </si>
  <si>
    <t>FinSight IA  ·  Tableau de Bord — Screening Euro Stoxx 50</t>
  </si>
  <si>
    <t>Confidentiel  ·  Usage interne</t>
  </si>
  <si>
    <t>12/04/2026</t>
  </si>
  <si>
    <t>SOCIÉTÉS ANALYSÉES</t>
  </si>
  <si>
    <t>SECTEURS COUVERTS</t>
  </si>
  <si>
    <t>MEILLEUR SCORE GLOBAL</t>
  </si>
  <si>
    <t>DATE D'ANALYSE</t>
  </si>
  <si>
    <t>TOP 5  ·  Classements par Facteur d'Investissement</t>
  </si>
  <si>
    <t>#</t>
  </si>
  <si>
    <t>Mét.</t>
  </si>
  <si>
    <t>TOP 10  GLOBAL  ·  Score Composite  ·  Value / Growth / Quality / Momentum</t>
  </si>
  <si>
    <t>Growth</t>
  </si>
  <si>
    <t>Quality</t>
  </si>
  <si>
    <t>Momentum</t>
  </si>
  <si>
    <t>Mg.EBITDA</t>
  </si>
  <si>
    <t>Croiss.</t>
  </si>
  <si>
    <t>Next Earn.</t>
  </si>
  <si>
    <t>FinSight IA  ·  Données issues de Supabase/Python  ·  Scores calculés sur métriques Value, Growth, Quality, Momentum  ·  Usage confidentiel</t>
  </si>
  <si>
    <t>FinSight IA  ·  Analyse GROWTH  ·  Euro Stoxx 50</t>
  </si>
  <si>
    <t>Score Gr</t>
  </si>
  <si>
    <t>Croissance Rev. YoY</t>
  </si>
  <si>
    <t>Marge Nette</t>
  </si>
  <si>
    <t>ROE</t>
  </si>
  <si>
    <t>Croissance EPS</t>
  </si>
  <si>
    <t>Révisions Analystes</t>
  </si>
  <si>
    <t>ASML.AS</t>
  </si>
  <si>
    <t>ASML Holding N.V.</t>
  </si>
  <si>
    <t>92/100</t>
  </si>
  <si>
    <t>+15.6%</t>
  </si>
  <si>
    <t>38.4%</t>
  </si>
  <si>
    <t>29.4%</t>
  </si>
  <si>
    <t>+49.0%</t>
  </si>
  <si>
    <t>+26.9%</t>
  </si>
  <si>
    <t>Surpondérer</t>
  </si>
  <si>
    <t>AZN.L</t>
  </si>
  <si>
    <t>AstraZeneca PLC</t>
  </si>
  <si>
    <t>87/100</t>
  </si>
  <si>
    <t>+8.6%</t>
  </si>
  <si>
    <t>33.2%</t>
  </si>
  <si>
    <t>17.4%</t>
  </si>
  <si>
    <t>+21.0%</t>
  </si>
  <si>
    <t>+53.9%</t>
  </si>
  <si>
    <t>81/100</t>
  </si>
  <si>
    <t>+5.5%</t>
  </si>
  <si>
    <t>28.3%</t>
  </si>
  <si>
    <t>+1.8%</t>
  </si>
  <si>
    <t>Neutre</t>
  </si>
  <si>
    <t>78/100</t>
  </si>
  <si>
    <t>+4.1%</t>
  </si>
  <si>
    <t>17.5%</t>
  </si>
  <si>
    <t>+34.9%</t>
  </si>
  <si>
    <t>+54.7%</t>
  </si>
  <si>
    <t>+7.7%</t>
  </si>
  <si>
    <t>19.5%</t>
  </si>
  <si>
    <t>+16.1%</t>
  </si>
  <si>
    <t>+5.0%</t>
  </si>
  <si>
    <t>77/100</t>
  </si>
  <si>
    <t>+7.4%</t>
  </si>
  <si>
    <t>17.3%</t>
  </si>
  <si>
    <t>+16.0%</t>
  </si>
  <si>
    <t>-5.6%</t>
  </si>
  <si>
    <t>MUV2.DE</t>
  </si>
  <si>
    <t>Münchener Rückversicherungs-Gesellschaft Aktiengesellschaft in München</t>
  </si>
  <si>
    <t>71/100</t>
  </si>
  <si>
    <t>+6.6%</t>
  </si>
  <si>
    <t>22.2%</t>
  </si>
  <si>
    <t>13.4%</t>
  </si>
  <si>
    <t>+17.4%</t>
  </si>
  <si>
    <t>+23.4%</t>
  </si>
  <si>
    <t>67/100</t>
  </si>
  <si>
    <t>16.7%</t>
  </si>
  <si>
    <t>+10.9%</t>
  </si>
  <si>
    <t>+40.5%</t>
  </si>
  <si>
    <t>ITX.MC</t>
  </si>
  <si>
    <t>Industria de Diseño Textil, S.A.</t>
  </si>
  <si>
    <t>+3.2%</t>
  </si>
  <si>
    <t>29.2%</t>
  </si>
  <si>
    <t>15.6%</t>
  </si>
  <si>
    <t>+30.5%</t>
  </si>
  <si>
    <t>+6.0%</t>
  </si>
  <si>
    <t>+12.9%</t>
  </si>
  <si>
    <t>+24.2%</t>
  </si>
  <si>
    <t>+95.0%</t>
  </si>
  <si>
    <t>GLE.PA</t>
  </si>
  <si>
    <t>Société Générale Société anonyme</t>
  </si>
  <si>
    <t>65/100</t>
  </si>
  <si>
    <t>+0.2%</t>
  </si>
  <si>
    <t>98.1%</t>
  </si>
  <si>
    <t>11.4%</t>
  </si>
  <si>
    <t>+42.9%</t>
  </si>
  <si>
    <t>DTE.DE</t>
  </si>
  <si>
    <t>Deutsche Telekom AG</t>
  </si>
  <si>
    <t>63/100</t>
  </si>
  <si>
    <t>+2.8%</t>
  </si>
  <si>
    <t>42.2%</t>
  </si>
  <si>
    <t>8.1%</t>
  </si>
  <si>
    <t>+15.5%</t>
  </si>
  <si>
    <t>-14.3%</t>
  </si>
  <si>
    <t>AIR.PA</t>
  </si>
  <si>
    <t>Airbus SE</t>
  </si>
  <si>
    <t>62/100</t>
  </si>
  <si>
    <t>+6.1%</t>
  </si>
  <si>
    <t>14.0%</t>
  </si>
  <si>
    <t>7.1%</t>
  </si>
  <si>
    <t>+20.0%</t>
  </si>
  <si>
    <t>ADS.DE</t>
  </si>
  <si>
    <t>adidas AG</t>
  </si>
  <si>
    <t>61/100</t>
  </si>
  <si>
    <t>+4.8%</t>
  </si>
  <si>
    <t>12.8%</t>
  </si>
  <si>
    <t>5.4%</t>
  </si>
  <si>
    <t>+23.2%</t>
  </si>
  <si>
    <t>+75.4%</t>
  </si>
  <si>
    <t>10.4%</t>
  </si>
  <si>
    <t>+17.2%</t>
  </si>
  <si>
    <t>-6.2%</t>
  </si>
  <si>
    <t>FinSight IA  ·  Analyse QUALITY  ·  Euro Stoxx 50</t>
  </si>
  <si>
    <t>Score Qual</t>
  </si>
  <si>
    <t>Beneish M</t>
  </si>
  <si>
    <t>Altman Z-Score</t>
  </si>
  <si>
    <t>Signal Z</t>
  </si>
  <si>
    <t>Signal M</t>
  </si>
  <si>
    <t>Interest Coverage</t>
  </si>
  <si>
    <t>Current Ratio</t>
  </si>
  <si>
    <t>99/100</t>
  </si>
  <si>
    <t>Sain</t>
  </si>
  <si>
    <t>Ok</t>
  </si>
  <si>
    <t>86/100</t>
  </si>
  <si>
    <t>83/100</t>
  </si>
  <si>
    <t>Risque</t>
  </si>
  <si>
    <t>80/100</t>
  </si>
  <si>
    <t>+17.5%</t>
  </si>
  <si>
    <t>MC.PA</t>
  </si>
  <si>
    <t>LVMH Moët Hennessy - Louis Vuitton, Société Européenne</t>
  </si>
  <si>
    <t>69/100</t>
  </si>
  <si>
    <t>Zone grise</t>
  </si>
  <si>
    <t>32.0%</t>
  </si>
  <si>
    <t>+9.1%</t>
  </si>
  <si>
    <t>SHEL.L</t>
  </si>
  <si>
    <t>Shell plc</t>
  </si>
  <si>
    <t>21.2%</t>
  </si>
  <si>
    <t>+10.2%</t>
  </si>
  <si>
    <t>IFX.DE</t>
  </si>
  <si>
    <t>Infineon Technologies AG</t>
  </si>
  <si>
    <t>24.0%</t>
  </si>
  <si>
    <t>AI.PA</t>
  </si>
  <si>
    <t>L'Air Liquide S.A.</t>
  </si>
  <si>
    <t>58/100</t>
  </si>
  <si>
    <t>27.9%</t>
  </si>
  <si>
    <t>+13.4%</t>
  </si>
  <si>
    <t>NOKIA.HE</t>
  </si>
  <si>
    <t>Nokia Oyj</t>
  </si>
  <si>
    <t>57/100</t>
  </si>
  <si>
    <t>11.3%</t>
  </si>
  <si>
    <t>52/100</t>
  </si>
  <si>
    <t>50/100</t>
  </si>
  <si>
    <t>FinSight IA  ·  Analyse MOMENTUM  ·  Euro Stoxx 50</t>
  </si>
  <si>
    <t>Score Mom</t>
  </si>
  <si>
    <t>Momentum 52W</t>
  </si>
  <si>
    <t>Cours actuel (€)</t>
  </si>
  <si>
    <t>Mkt Cap (Mds€)</t>
  </si>
  <si>
    <t>Next Earnings</t>
  </si>
  <si>
    <t>ENI.MI</t>
  </si>
  <si>
    <t>Eni S.p.A.</t>
  </si>
  <si>
    <t>100/100</t>
  </si>
  <si>
    <t>+96.8%</t>
  </si>
  <si>
    <t>2026-04-24</t>
  </si>
  <si>
    <t>98/100</t>
  </si>
  <si>
    <t>+95.3%</t>
  </si>
  <si>
    <t>2026-04-15</t>
  </si>
  <si>
    <t>96/100</t>
  </si>
  <si>
    <t>+84.1%</t>
  </si>
  <si>
    <t>2026-05-13</t>
  </si>
  <si>
    <t>94/100</t>
  </si>
  <si>
    <t>+81.1%</t>
  </si>
  <si>
    <t>2026-04-23</t>
  </si>
  <si>
    <t>91/100</t>
  </si>
  <si>
    <t>+66.9%</t>
  </si>
  <si>
    <t>KER.PA</t>
  </si>
  <si>
    <t>Kering SA</t>
  </si>
  <si>
    <t>89/100</t>
  </si>
  <si>
    <t>+64.6%</t>
  </si>
  <si>
    <t>BAYN.DE</t>
  </si>
  <si>
    <t>Bayer Aktiengesellschaft</t>
  </si>
  <si>
    <t>+62.2%</t>
  </si>
  <si>
    <t>2026-05-12</t>
  </si>
  <si>
    <t>85/100</t>
  </si>
  <si>
    <t>+61.3%</t>
  </si>
  <si>
    <t>2026-04-29</t>
  </si>
  <si>
    <t>BP.L</t>
  </si>
  <si>
    <t>BP p.l.c.</t>
  </si>
  <si>
    <t>+59.7%</t>
  </si>
  <si>
    <t>2026-04-28</t>
  </si>
  <si>
    <t>+54.4%</t>
  </si>
  <si>
    <t>2026-04-30</t>
  </si>
  <si>
    <t>HSBA.L</t>
  </si>
  <si>
    <t>HSBC Holdings plc</t>
  </si>
  <si>
    <t>79/100</t>
  </si>
  <si>
    <t>+53.6%</t>
  </si>
  <si>
    <t>2026-05-05</t>
  </si>
  <si>
    <t>ENGI.PA</t>
  </si>
  <si>
    <t>Engie SA</t>
  </si>
  <si>
    <t>+53.4%</t>
  </si>
  <si>
    <t>2026-05-07</t>
  </si>
  <si>
    <t>+51.5%</t>
  </si>
  <si>
    <t>+44.5%</t>
  </si>
  <si>
    <t>70/100</t>
  </si>
  <si>
    <t>+42.1%</t>
  </si>
  <si>
    <t>FinSight IA  ·  Euro Stoxx 50 — Vue Macro Sectorielle</t>
  </si>
  <si>
    <t>Usage confidentiel  ·  Calculs Python/NumPy depuis cache Supabase</t>
  </si>
  <si>
    <t>Scoring composite Value / Growth / Quality / Momentum  ·  Métriques médianes par secteur  ·  Usage confidentiel</t>
  </si>
  <si>
    <t>SCORECARD SECTORIELLE  ·  Score composite, metriques medianes, signal d'investissement — Euro Stoxx 50</t>
  </si>
  <si>
    <t># Soc.</t>
  </si>
  <si>
    <t xml:space="preserve">  Score (indicateur)  </t>
  </si>
  <si>
    <t>Top Société</t>
  </si>
  <si>
    <t>Mg. EBITDA</t>
  </si>
  <si>
    <t>Croiss. Rev.</t>
  </si>
  <si>
    <t>██████░░░░</t>
  </si>
  <si>
    <t>█████░░░░░</t>
  </si>
  <si>
    <t>████░░░░░░</t>
  </si>
  <si>
    <t>Siemens Aktiengesell</t>
  </si>
  <si>
    <t>Negatif</t>
  </si>
  <si>
    <t>RWE Aktiengesellscha</t>
  </si>
  <si>
    <t>Mg EBITDA Méd.</t>
  </si>
  <si>
    <t>Hermès International</t>
  </si>
  <si>
    <t>Financials</t>
  </si>
  <si>
    <t>Real Estate</t>
  </si>
  <si>
    <t>Consumer Disc.</t>
  </si>
  <si>
    <t>███░░░░░░░</t>
  </si>
  <si>
    <t>Société Générale Soc</t>
  </si>
  <si>
    <t>Healthcare</t>
  </si>
  <si>
    <t>Euro Stoxx 50 — Total</t>
  </si>
  <si>
    <t>mediane</t>
  </si>
  <si>
    <t>Materials</t>
  </si>
  <si>
    <t>COMPOSITION DÉTAIL  ·  Nb sociétés, score moyen, orientation — données pour allocation</t>
  </si>
  <si>
    <t>Consumer Staples</t>
  </si>
  <si>
    <t>Mg EBITDA %</t>
  </si>
  <si>
    <t>Nb Soc.</t>
  </si>
  <si>
    <t>Score Moyen</t>
  </si>
  <si>
    <t>Score (barre)</t>
  </si>
  <si>
    <t>Orientation</t>
  </si>
  <si>
    <t>→ Neutre</t>
  </si>
  <si>
    <t>46/100</t>
  </si>
  <si>
    <t>41/100</t>
  </si>
  <si>
    <t>↓ Negatif</t>
  </si>
  <si>
    <t>40/100</t>
  </si>
  <si>
    <t>37/100</t>
  </si>
  <si>
    <t>34/100</t>
  </si>
  <si>
    <t>Comm. Services</t>
  </si>
  <si>
    <t>Energy</t>
  </si>
  <si>
    <t>Utilities</t>
  </si>
  <si>
    <t>FinSight IA  ·  CAC 40 — Analyse Sectorielle</t>
  </si>
  <si>
    <t>Mg EBITDA</t>
  </si>
  <si>
    <t>Screening quantitatif  ·  Scores composites Value / Growth / Quality / Momentum  ·  Usage confidentiel  ·  Calculs Python/NumPy</t>
  </si>
  <si>
    <t>SCORECARD SECTORIELLE  ·  Score FinSight composite, métriques médianes, signal d'investissement</t>
  </si>
  <si>
    <t>Industrials</t>
  </si>
  <si>
    <t>Score /100</t>
  </si>
  <si>
    <t>Mg. EBITDA Méd.</t>
  </si>
  <si>
    <t>Score Gr. Méd.</t>
  </si>
  <si>
    <t>Altman Z Méd.</t>
  </si>
  <si>
    <t>Tendance</t>
  </si>
  <si>
    <t>27.2%</t>
  </si>
  <si>
    <t>23</t>
  </si>
  <si>
    <t>66</t>
  </si>
  <si>
    <t>Technology</t>
  </si>
  <si>
    <t>16.1%</t>
  </si>
  <si>
    <t>59</t>
  </si>
  <si>
    <t>103.4%</t>
  </si>
  <si>
    <t>55</t>
  </si>
  <si>
    <t>23.2%</t>
  </si>
  <si>
    <t>72</t>
  </si>
  <si>
    <t>15.7%</t>
  </si>
  <si>
    <t>31</t>
  </si>
  <si>
    <t>22.7%</t>
  </si>
  <si>
    <t>19.8%</t>
  </si>
  <si>
    <t>50</t>
  </si>
  <si>
    <t>█████░░░░░  50</t>
  </si>
  <si>
    <t>████░░░░░░  36</t>
  </si>
  <si>
    <t>19.6%</t>
  </si>
  <si>
    <t>45</t>
  </si>
  <si>
    <t>20.0%</t>
  </si>
  <si>
    <t>49</t>
  </si>
  <si>
    <t>Zoom sectoriel  ·  Ratios clés  ·  Score FinSight  ·  Usage confidentiel</t>
  </si>
  <si>
    <t>Sociétés</t>
  </si>
  <si>
    <t>Score moyen</t>
  </si>
  <si>
    <t>Meilleure société</t>
  </si>
  <si>
    <t>Score Growth Méd.</t>
  </si>
  <si>
    <t>Gr.</t>
  </si>
  <si>
    <t>Qual.</t>
  </si>
  <si>
    <t>Mom.</t>
  </si>
  <si>
    <t>Mg. Brute</t>
  </si>
  <si>
    <t>Mg. Nette</t>
  </si>
  <si>
    <t>Curr. R.</t>
  </si>
  <si>
    <t>ND/EBITDA</t>
  </si>
  <si>
    <t>MÉDIANE SECTEUR</t>
  </si>
  <si>
    <t>FinSight IA  ·  Scores composites calculés sur métriques Value/Growth/Quality/Momentum  ·  Ne constitue pas un conseil en investissement  ·  Usage confidentiel</t>
  </si>
  <si>
    <t>FinSight IA  ·  Euro Stoxx 50  ·  Données brutes</t>
  </si>
  <si>
    <t>Cours</t>
  </si>
  <si>
    <t>Mkt Cap</t>
  </si>
  <si>
    <t>EV</t>
  </si>
  <si>
    <t>Rev LTM</t>
  </si>
  <si>
    <t>EBITDA LTM</t>
  </si>
  <si>
    <t>EV/Rev</t>
  </si>
  <si>
    <t>EPS</t>
  </si>
  <si>
    <t>Mg Brute</t>
  </si>
  <si>
    <t>Mg Nette</t>
  </si>
  <si>
    <t>Cro Rev</t>
  </si>
  <si>
    <t>ROA</t>
  </si>
  <si>
    <t>Current R</t>
  </si>
  <si>
    <t>Mom 52W</t>
  </si>
  <si>
    <t>Score Val</t>
  </si>
  <si>
    <t>Next Earn</t>
  </si>
  <si>
    <t>32.7</t>
  </si>
  <si>
    <t>12.6</t>
  </si>
  <si>
    <t>52.8%</t>
  </si>
  <si>
    <t>+19.0%</t>
  </si>
  <si>
    <t>-0.7x</t>
  </si>
  <si>
    <t>57.6</t>
  </si>
  <si>
    <t>23.0</t>
  </si>
  <si>
    <t>+7.8%</t>
  </si>
  <si>
    <t>0.7x</t>
  </si>
  <si>
    <t>DSY.PA</t>
  </si>
  <si>
    <t>16.0</t>
  </si>
  <si>
    <t>7.5</t>
  </si>
  <si>
    <t>+18.6%</t>
  </si>
  <si>
    <t>-1.6x</t>
  </si>
  <si>
    <t>-26.8%</t>
  </si>
  <si>
    <t>ERF.PA</t>
  </si>
  <si>
    <t>36.8</t>
  </si>
  <si>
    <t>12.1</t>
  </si>
  <si>
    <t>-0.2x</t>
  </si>
  <si>
    <t>-47.1%</t>
  </si>
  <si>
    <t>58.7</t>
  </si>
  <si>
    <t>19.5</t>
  </si>
  <si>
    <t>81.9%</t>
  </si>
  <si>
    <t>+9.0%</t>
  </si>
  <si>
    <t>1.1x</t>
  </si>
  <si>
    <t>ALO.PA</t>
  </si>
  <si>
    <t>17.6</t>
  </si>
  <si>
    <t>6.9</t>
  </si>
  <si>
    <t>17.8%</t>
  </si>
  <si>
    <t>-27.2%</t>
  </si>
  <si>
    <t>0.9x</t>
  </si>
  <si>
    <t>URW.PA</t>
  </si>
  <si>
    <t>39.9</t>
  </si>
  <si>
    <t>11.7</t>
  </si>
  <si>
    <t>58.3%</t>
  </si>
  <si>
    <t>-0.5x</t>
  </si>
  <si>
    <t>+15.1%</t>
  </si>
  <si>
    <t>2026-06-03</t>
  </si>
  <si>
    <t>10.4</t>
  </si>
  <si>
    <t>+9.4%</t>
  </si>
  <si>
    <t>1.3x</t>
  </si>
  <si>
    <t>SAF.PA</t>
  </si>
  <si>
    <t>6.2</t>
  </si>
  <si>
    <t>13.4</t>
  </si>
  <si>
    <t>+17.0%</t>
  </si>
  <si>
    <t>-7.8%</t>
  </si>
  <si>
    <t>ACA.PA</t>
  </si>
  <si>
    <t>44.0</t>
  </si>
  <si>
    <t>10.7</t>
  </si>
  <si>
    <t>13.9%</t>
  </si>
  <si>
    <t>+1.3%</t>
  </si>
  <si>
    <t>+9.9%</t>
  </si>
  <si>
    <t>0.0x</t>
  </si>
  <si>
    <t>-1.9%</t>
  </si>
  <si>
    <t>EL.PA</t>
  </si>
  <si>
    <t>46.7</t>
  </si>
  <si>
    <t>12.5</t>
  </si>
  <si>
    <t>-4.3%</t>
  </si>
  <si>
    <t>78.9</t>
  </si>
  <si>
    <t>15.9</t>
  </si>
  <si>
    <t>12.2%</t>
  </si>
  <si>
    <t>+3.9%</t>
  </si>
  <si>
    <t>+5.8%</t>
  </si>
  <si>
    <t>2.4x</t>
  </si>
  <si>
    <t>+10.6%</t>
  </si>
  <si>
    <t>LR.PA</t>
  </si>
  <si>
    <t>17.8</t>
  </si>
  <si>
    <t>2.6</t>
  </si>
  <si>
    <t>5.0%</t>
  </si>
  <si>
    <t>-1.0%</t>
  </si>
  <si>
    <t>+8.2%</t>
  </si>
  <si>
    <t>+3.3%</t>
  </si>
  <si>
    <t>1.6x</t>
  </si>
  <si>
    <t>+24.7%</t>
  </si>
  <si>
    <t>2026-05-06</t>
  </si>
  <si>
    <t>BNP.PA</t>
  </si>
  <si>
    <t>52.6</t>
  </si>
  <si>
    <t>51.6</t>
  </si>
  <si>
    <t>+0.4%</t>
  </si>
  <si>
    <t>CA.PA</t>
  </si>
  <si>
    <t>266.9</t>
  </si>
  <si>
    <t>56.7</t>
  </si>
  <si>
    <t>6.7%</t>
  </si>
  <si>
    <t>-6.1%</t>
  </si>
  <si>
    <t>0.3x</t>
  </si>
  <si>
    <t>+39.7%</t>
  </si>
  <si>
    <t>EN.PA</t>
  </si>
  <si>
    <t>40.1</t>
  </si>
  <si>
    <t>8.4</t>
  </si>
  <si>
    <t>+6.7%</t>
  </si>
  <si>
    <t>+19.7%</t>
  </si>
  <si>
    <t>19.9</t>
  </si>
  <si>
    <t>2.2</t>
  </si>
  <si>
    <t>43.5%</t>
  </si>
  <si>
    <t>3.3%</t>
  </si>
  <si>
    <t>+3.5%</t>
  </si>
  <si>
    <t>+1.7%</t>
  </si>
  <si>
    <t>-0.9x</t>
  </si>
  <si>
    <t>26.9</t>
  </si>
  <si>
    <t>64.2%</t>
  </si>
  <si>
    <t>13.1%</t>
  </si>
  <si>
    <t>-0.4%</t>
  </si>
  <si>
    <t>+6.8%</t>
  </si>
  <si>
    <t>1.2x</t>
  </si>
  <si>
    <t>80.8</t>
  </si>
  <si>
    <t>25.9</t>
  </si>
  <si>
    <t>66.2%</t>
  </si>
  <si>
    <t>13.5%</t>
  </si>
  <si>
    <t>-4.6%</t>
  </si>
  <si>
    <t>0.4x</t>
  </si>
  <si>
    <t>+1.9%</t>
  </si>
  <si>
    <t>CAP.PA</t>
  </si>
  <si>
    <t>60.7</t>
  </si>
  <si>
    <t>81.4</t>
  </si>
  <si>
    <t>-1.3%</t>
  </si>
  <si>
    <t>+13.7%</t>
  </si>
  <si>
    <t>+0.8%</t>
  </si>
  <si>
    <t>1.8x</t>
  </si>
  <si>
    <t>BN.PA</t>
  </si>
  <si>
    <t>IBE.MC</t>
  </si>
  <si>
    <t>Iberdrola, S.A.</t>
  </si>
  <si>
    <t>44.1</t>
  </si>
  <si>
    <t>16.5</t>
  </si>
  <si>
    <t>57.2%</t>
  </si>
  <si>
    <t>37.4%</t>
  </si>
  <si>
    <t>14.3%</t>
  </si>
  <si>
    <t>-1.5%</t>
  </si>
  <si>
    <t>+12.6%</t>
  </si>
  <si>
    <t>3.1x</t>
  </si>
  <si>
    <t>+31.4%</t>
  </si>
  <si>
    <t>RI.PA</t>
  </si>
  <si>
    <t>7.2%</t>
  </si>
  <si>
    <t>VIV.PA</t>
  </si>
  <si>
    <t>41.3</t>
  </si>
  <si>
    <t>12.3</t>
  </si>
  <si>
    <t>-0.1%</t>
  </si>
  <si>
    <t>+1.6%</t>
  </si>
  <si>
    <t>-0.3%</t>
  </si>
  <si>
    <t>+-0.0%</t>
  </si>
  <si>
    <t>2.3x</t>
  </si>
  <si>
    <t>-12.1%</t>
  </si>
  <si>
    <t>2026-05-14</t>
  </si>
  <si>
    <t>HO.PA</t>
  </si>
  <si>
    <t>14.7</t>
  </si>
  <si>
    <t>3.5</t>
  </si>
  <si>
    <t>39.2%</t>
  </si>
  <si>
    <t>6.9%</t>
  </si>
  <si>
    <t>-2.0%</t>
  </si>
  <si>
    <t>+25.9%</t>
  </si>
  <si>
    <t>DG.PA</t>
  </si>
  <si>
    <t>66.2</t>
  </si>
  <si>
    <t>97.1</t>
  </si>
  <si>
    <t>33.7%</t>
  </si>
  <si>
    <t>-1.7%</t>
  </si>
  <si>
    <t>+11.2%</t>
  </si>
  <si>
    <t>+0.7%</t>
  </si>
  <si>
    <t>Sous-pondérer</t>
  </si>
  <si>
    <t>189.3</t>
  </si>
  <si>
    <t>30.7</t>
  </si>
  <si>
    <t>17.7%</t>
  </si>
  <si>
    <t>16.2%</t>
  </si>
  <si>
    <t>0.0%</t>
  </si>
  <si>
    <t>BVI.PA</t>
  </si>
  <si>
    <t>3.7</t>
  </si>
  <si>
    <t>72.6%</t>
  </si>
  <si>
    <t>25.0%</t>
  </si>
  <si>
    <t>0.5%</t>
  </si>
  <si>
    <t>-13.0%</t>
  </si>
  <si>
    <t>+0.5%</t>
  </si>
  <si>
    <t>2.2x</t>
  </si>
  <si>
    <t>ML.PA</t>
  </si>
  <si>
    <t>24.8</t>
  </si>
  <si>
    <t>3.2</t>
  </si>
  <si>
    <t>51.6%</t>
  </si>
  <si>
    <t>-36.6%</t>
  </si>
  <si>
    <t>PUB.PA</t>
  </si>
  <si>
    <t>73.4</t>
  </si>
  <si>
    <t>10.2</t>
  </si>
  <si>
    <t>14.9%</t>
  </si>
  <si>
    <t>+4.6%</t>
  </si>
  <si>
    <t>SGO.PA</t>
  </si>
  <si>
    <t>118.3</t>
  </si>
  <si>
    <t>50.0</t>
  </si>
  <si>
    <t>61.1%</t>
  </si>
  <si>
    <t>1.9x</t>
  </si>
  <si>
    <t>-3.9%</t>
  </si>
  <si>
    <t>MT.AS</t>
  </si>
  <si>
    <t>42.3</t>
  </si>
  <si>
    <t>9.4</t>
  </si>
  <si>
    <t>-0.3x</t>
  </si>
  <si>
    <t>-0.5%</t>
  </si>
  <si>
    <t>ABI.BR</t>
  </si>
  <si>
    <t>Anheuser-Busch InBev SA/NV</t>
  </si>
  <si>
    <t>59.3</t>
  </si>
  <si>
    <t>21.0</t>
  </si>
  <si>
    <t>55.9%</t>
  </si>
  <si>
    <t>35.4%</t>
  </si>
  <si>
    <t>11.5%</t>
  </si>
  <si>
    <t>-0.7%</t>
  </si>
  <si>
    <t>2.8x</t>
  </si>
  <si>
    <t>VIE.PA</t>
  </si>
  <si>
    <t>BAS.DE</t>
  </si>
  <si>
    <t>BASF SE</t>
  </si>
  <si>
    <t>59.7</t>
  </si>
  <si>
    <t>7.6</t>
  </si>
  <si>
    <t>24.1%</t>
  </si>
  <si>
    <t>12.7%</t>
  </si>
  <si>
    <t>2.7%</t>
  </si>
  <si>
    <t>-2.9%</t>
  </si>
  <si>
    <t>+4.9%</t>
  </si>
  <si>
    <t>+2.1%</t>
  </si>
  <si>
    <t>2.5x</t>
  </si>
  <si>
    <t>+35.9%</t>
  </si>
  <si>
    <t>ORA.PA</t>
  </si>
  <si>
    <t>ULVR.L</t>
  </si>
  <si>
    <t>Unilever PLC</t>
  </si>
  <si>
    <t>50.5</t>
  </si>
  <si>
    <t>11.1</t>
  </si>
  <si>
    <t>46.9%</t>
  </si>
  <si>
    <t>22.1%</t>
  </si>
  <si>
    <t>18.7%</t>
  </si>
  <si>
    <t>-3.8%</t>
  </si>
  <si>
    <t>+61.0%</t>
  </si>
  <si>
    <t>2.0x</t>
  </si>
  <si>
    <t>RNO.PA</t>
  </si>
  <si>
    <t>EssilorLuxottica Société anonyme</t>
  </si>
  <si>
    <t>28.5</t>
  </si>
  <si>
    <t>6.6</t>
  </si>
  <si>
    <t>60.6%</t>
  </si>
  <si>
    <t>+3.6%</t>
  </si>
  <si>
    <t>-17.3%</t>
  </si>
  <si>
    <t>STMPA.PA</t>
  </si>
  <si>
    <t>Vinci SA</t>
  </si>
  <si>
    <t>75.7</t>
  </si>
  <si>
    <t>13.7</t>
  </si>
  <si>
    <t>60.0%</t>
  </si>
  <si>
    <t>6.5%</t>
  </si>
  <si>
    <t>+4.0%</t>
  </si>
  <si>
    <t>+15.9%</t>
  </si>
  <si>
    <t>+8.8%</t>
  </si>
  <si>
    <t>STLAM.MI</t>
  </si>
  <si>
    <t>321.9</t>
  </si>
  <si>
    <t>2.3%</t>
  </si>
  <si>
    <t>-0.8%</t>
  </si>
  <si>
    <t>+1.1%</t>
  </si>
  <si>
    <t>3.0x</t>
  </si>
  <si>
    <t>WLN.PA</t>
  </si>
  <si>
    <t>71.9</t>
  </si>
  <si>
    <t>14.4</t>
  </si>
  <si>
    <t>5.3%</t>
  </si>
  <si>
    <t>-2.5%</t>
  </si>
  <si>
    <t>+11.6%</t>
  </si>
  <si>
    <t>+2.3%</t>
  </si>
  <si>
    <t>AD.AS</t>
  </si>
  <si>
    <t>Koninklijke Ahold Delhaize N.V.</t>
  </si>
  <si>
    <t>92.3</t>
  </si>
  <si>
    <t>7.3</t>
  </si>
  <si>
    <t>26.5%</t>
  </si>
  <si>
    <t>7.9%</t>
  </si>
  <si>
    <t>2.5%</t>
  </si>
  <si>
    <t>+3.4%</t>
  </si>
  <si>
    <t>+13.8%</t>
  </si>
  <si>
    <t>BNP Paribas SA</t>
  </si>
  <si>
    <t>68.8</t>
  </si>
  <si>
    <t>74.8</t>
  </si>
  <si>
    <t>+4.5%</t>
  </si>
  <si>
    <t>+9.7%</t>
  </si>
  <si>
    <t>1.0x</t>
  </si>
  <si>
    <t>+28.9%</t>
  </si>
  <si>
    <t>47/100</t>
  </si>
  <si>
    <t>{=IFERROR(IF(1</t>
  </si>
  <si>
    <t>{=IFERROR(IF(2</t>
  </si>
  <si>
    <t>{=IFERROR(IF(4</t>
  </si>
  <si>
    <t>42/100</t>
  </si>
  <si>
    <t>44/100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</si>
</sst>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8" x14ac:knownFonts="1">
    <font>
      <sz val="11"/>
      <color theme="1"/>
      <name val="Calibri"/>
      <family val="2"/>
      <scheme val="minor"/>
    </font>
    <font>
      <sz val="8"/>
      <color rgb="FF0D0D0D"/>
      <name val="Calibri"/>
      <family val="2"/>
    </font>
    <font>
      <b/>
      <sz val="7"/>
      <color rgb="FFFFFFFF"/>
      <name val="Calibri"/>
      <family val="2"/>
    </font>
    <font>
      <sz val="7"/>
      <color rgb="FF0D0D0D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rgb="FF6B7A99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8"/>
      <color rgb="FF0D0D0D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2E5FA3"/>
      <name val="Calibri"/>
      <family val="2"/>
      <scheme val="minor"/>
    </font>
    <font>
      <i/>
      <sz val="8"/>
      <color rgb="FF8BA8C8"/>
      <name val="Calibri"/>
      <family val="2"/>
      <scheme val="minor"/>
    </font>
    <font>
      <b/>
      <sz val="20"/>
      <color rgb="FF0A2342"/>
      <name val="Calibri"/>
      <family val="2"/>
      <scheme val="minor"/>
    </font>
    <font>
      <sz val="7.5"/>
      <color rgb="FF6E7B8B"/>
      <name val="Calibri"/>
      <family val="2"/>
      <scheme val="minor"/>
    </font>
    <font>
      <b/>
      <sz val="14"/>
      <color rgb="FF0A2342"/>
      <name val="Calibri"/>
      <family val="2"/>
      <scheme val="minor"/>
    </font>
    <font>
      <b/>
      <sz val="9"/>
      <color rgb="FF1A3A5C"/>
      <name val="Calibri"/>
      <family val="2"/>
      <scheme val="minor"/>
    </font>
    <font>
      <sz val="7.5"/>
      <color rgb="FF111827"/>
      <name val="Calibri"/>
      <family val="2"/>
      <scheme val="minor"/>
    </font>
    <font>
      <b/>
      <sz val="7.5"/>
      <color rgb="FF1F5C99"/>
      <name val="Calibri"/>
      <family val="2"/>
      <scheme val="minor"/>
    </font>
    <font>
      <i/>
      <sz val="7"/>
      <color rgb="FF6E7B8B"/>
      <name val="Calibri"/>
      <family val="2"/>
      <scheme val="minor"/>
    </font>
    <font>
      <b/>
      <sz val="7.5"/>
      <color rgb="FF0D5C34"/>
      <name val="Calibri"/>
      <family val="2"/>
      <scheme val="minor"/>
    </font>
    <font>
      <sz val="7.5"/>
      <color rgb="FF0D6B3A"/>
      <name val="Calibri"/>
      <family val="2"/>
      <scheme val="minor"/>
    </font>
    <font>
      <sz val="7.5"/>
      <color rgb="FFB91C1C"/>
      <name val="Calibri"/>
      <family val="2"/>
      <scheme val="minor"/>
    </font>
    <font>
      <b/>
      <sz val="7.5"/>
      <color rgb="FF0A3D6B"/>
      <name val="Calibri"/>
      <family val="2"/>
      <scheme val="minor"/>
    </font>
    <font>
      <b/>
      <sz val="7.5"/>
      <color rgb="FF7A1A1A"/>
      <name val="Calibri"/>
      <family val="2"/>
      <scheme val="minor"/>
    </font>
    <font>
      <b/>
      <sz val="7.5"/>
      <color rgb="FF0A2342"/>
      <name val="Calibri"/>
      <family val="2"/>
      <scheme val="minor"/>
    </font>
    <font>
      <b/>
      <sz val="7.5"/>
      <color rgb="FF0D6B3A"/>
      <name val="Calibri"/>
      <family val="2"/>
      <scheme val="minor"/>
    </font>
    <font>
      <sz val="7.5"/>
      <color rgb="FF1F5C99"/>
      <name val="Calibri"/>
      <family val="2"/>
      <scheme val="minor"/>
    </font>
    <font>
      <b/>
      <sz val="8"/>
      <color rgb="FF0D5C34"/>
      <name val="Calibri"/>
      <family val="2"/>
      <scheme val="minor"/>
    </font>
    <font>
      <sz val="8"/>
      <color rgb="FF111827"/>
      <name val="Calibri"/>
      <family val="2"/>
      <scheme val="minor"/>
    </font>
    <font>
      <b/>
      <sz val="8"/>
      <color rgb="FF1F5C99"/>
      <name val="Calibri"/>
      <family val="2"/>
      <scheme val="minor"/>
    </font>
    <font>
      <b/>
      <sz val="8"/>
      <color rgb="FF7A1A1A"/>
      <name val="Calibri"/>
      <family val="2"/>
      <scheme val="minor"/>
    </font>
    <font>
      <b/>
      <i/>
      <sz val="8"/>
      <color rgb="FFFFFFFF"/>
      <name val="Calibri"/>
      <family val="2"/>
      <scheme val="minor"/>
    </font>
    <font>
      <sz val="8"/>
      <color rgb="FF1F5C99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rgb="FF7A9CC4"/>
      <name val="Calibri"/>
      <family val="2"/>
      <scheme val="minor"/>
    </font>
    <font>
      <sz val="8"/>
      <color rgb="FF5A6478"/>
      <name val="Calibri"/>
      <family val="2"/>
      <scheme val="minor"/>
    </font>
    <font>
      <i/>
      <sz val="8"/>
      <color rgb="FF5A6478"/>
      <name val="Calibri"/>
      <family val="2"/>
      <scheme val="minor"/>
    </font>
    <font>
      <b/>
      <sz val="8"/>
      <color rgb="FF0A2342"/>
      <name val="Calibri"/>
      <family val="2"/>
      <scheme val="minor"/>
    </font>
    <font>
      <b/>
      <sz val="8"/>
      <color rgb="FFB91C1C"/>
      <name val="Calibri"/>
      <family val="2"/>
      <scheme val="minor"/>
    </font>
    <font>
      <sz val="8"/>
      <color rgb="FFB91C1C"/>
      <name val="Calibri"/>
      <family val="2"/>
      <scheme val="minor"/>
    </font>
    <font>
      <i/>
      <sz val="8"/>
      <color rgb="FF111827"/>
      <name val="Calibri"/>
      <family val="2"/>
      <scheme val="minor"/>
    </font>
    <font>
      <b/>
      <sz val="8"/>
      <color rgb="FF0D6B3A"/>
      <name val="Calibri"/>
      <family val="2"/>
      <scheme val="minor"/>
    </font>
    <font>
      <sz val="8"/>
      <color rgb="FF0D6B3A"/>
      <name val="Calibri"/>
      <family val="2"/>
      <scheme val="minor"/>
    </font>
    <font>
      <i/>
      <sz val="7"/>
      <color rgb="FF5A6478"/>
      <name val="Calibri"/>
      <family val="2"/>
      <scheme val="minor"/>
    </font>
    <font>
      <i/>
      <sz val="7.5"/>
      <color rgb="FF5A6478"/>
      <name val="Calibri"/>
      <family val="2"/>
      <scheme val="minor"/>
    </font>
    <font>
      <b/>
      <sz val="7.5"/>
      <color rgb="FFFFFFFF"/>
      <name val="Calibri"/>
      <family val="2"/>
      <scheme val="minor"/>
    </font>
    <font>
      <b/>
      <sz val="7.5"/>
      <color rgb="FFB91C1C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6"/>
      <color rgb="FF0D6B3A"/>
      <name val="Calibri"/>
      <family val="2"/>
      <scheme val="minor"/>
    </font>
    <font>
      <b/>
      <i/>
      <sz val="9"/>
      <color rgb="FF7A9CC4"/>
      <name val="Calibri"/>
      <family val="2"/>
      <scheme val="minor"/>
    </font>
    <font>
      <sz val="8"/>
      <color rgb="FF6B7280"/>
      <name val="Calibri"/>
      <family val="2"/>
      <scheme val="minor"/>
    </font>
    <font>
      <sz val="8"/>
      <color rgb="FF0B1F3A"/>
      <name val="Calibri"/>
      <family val="2"/>
      <scheme val="minor"/>
    </font>
    <font>
      <b/>
      <sz val="8"/>
      <color rgb="FF0B1F3A"/>
      <name val="Calibri"/>
      <family val="2"/>
      <scheme val="minor"/>
    </font>
    <font>
      <i/>
      <sz val="8"/>
      <color rgb="FF0B1F3A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22"/>
      <color rgb="FF0B1F3A"/>
      <name val="Calibri"/>
      <family val="2"/>
      <scheme val="minor"/>
    </font>
    <font>
      <sz val="7.5"/>
      <color rgb="FF6B7280"/>
      <name val="Calibri"/>
      <family val="2"/>
      <scheme val="minor"/>
    </font>
    <font>
      <b/>
      <sz val="11"/>
      <color rgb="FF0B1F3A"/>
      <name val="Calibri"/>
      <family val="2"/>
      <scheme val="minor"/>
    </font>
    <font>
      <b/>
      <sz val="16"/>
      <color rgb="FF0B1F3A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b/>
      <sz val="22"/>
      <color rgb="FF16A34A"/>
      <name val="Calibri"/>
      <family val="2"/>
      <scheme val="minor"/>
    </font>
    <font>
      <b/>
      <sz val="22"/>
      <color rgb="FF7C3AED"/>
      <name val="Calibri"/>
      <family val="2"/>
      <scheme val="minor"/>
    </font>
    <font>
      <b/>
      <sz val="22"/>
      <color rgb="FFD97706"/>
      <name val="Calibri"/>
      <family val="2"/>
      <scheme val="minor"/>
    </font>
    <font>
      <b/>
      <sz val="22"/>
      <color rgb="FF0D9488"/>
      <name val="Calibri"/>
      <family val="2"/>
      <scheme val="minor"/>
    </font>
    <font>
      <b/>
      <sz val="22"/>
      <color rgb="FF0369A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3"/>
      <color rgb="FF000000"/>
      <name val="Calibri"/>
      <family val="2"/>
      <scheme val="minor"/>
    </font>
    <font>
      <i/>
      <sz val="7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12355B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B45309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8FA"/>
      </patternFill>
    </fill>
    <fill>
      <patternFill patternType="solid">
        <fgColor rgb="FF888888"/>
      </patternFill>
    </fill>
    <fill>
      <patternFill patternType="solid">
        <fgColor rgb="FF1B3A6B"/>
        <bgColor indexed="64"/>
      </patternFill>
    </fill>
    <fill>
      <patternFill patternType="solid">
        <fgColor rgb="FFF2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0A2342"/>
        <bgColor indexed="64"/>
      </patternFill>
    </fill>
    <fill>
      <patternFill patternType="solid">
        <fgColor rgb="FF2A5F9E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D8DFE8"/>
        <bgColor indexed="64"/>
      </patternFill>
    </fill>
    <fill>
      <patternFill patternType="solid">
        <fgColor rgb="FF7B4F00"/>
        <bgColor indexed="64"/>
      </patternFill>
    </fill>
    <fill>
      <patternFill patternType="solid">
        <fgColor rgb="FF0D5C34"/>
        <bgColor indexed="64"/>
      </patternFill>
    </fill>
    <fill>
      <patternFill patternType="solid">
        <fgColor rgb="FF0A3D6B"/>
        <bgColor indexed="64"/>
      </patternFill>
    </fill>
    <fill>
      <patternFill patternType="solid">
        <fgColor rgb="FF7A1A1A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1A3A5C"/>
        <bgColor indexed="64"/>
      </patternFill>
    </fill>
    <fill>
      <patternFill patternType="solid">
        <fgColor rgb="FFE8F0FB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FBE9E9"/>
        <bgColor indexed="64"/>
      </patternFill>
    </fill>
    <fill>
      <patternFill patternType="solid">
        <fgColor rgb="FF1F5C99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EAF0FB"/>
        <bgColor indexed="64"/>
      </patternFill>
    </fill>
    <fill>
      <patternFill patternType="solid">
        <fgColor rgb="FF0B1F3A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7C2D12"/>
        <bgColor indexed="64"/>
      </patternFill>
    </fill>
    <fill>
      <patternFill patternType="solid">
        <fgColor rgb="FF14532D"/>
        <bgColor indexed="64"/>
      </patternFill>
    </fill>
    <fill>
      <patternFill patternType="solid">
        <fgColor rgb="FF4C1D95"/>
        <bgColor indexed="64"/>
      </patternFill>
    </fill>
    <fill>
      <patternFill patternType="solid">
        <fgColor rgb="FF78350F"/>
        <bgColor indexed="64"/>
      </patternFill>
    </fill>
    <fill>
      <patternFill patternType="solid">
        <fgColor rgb="FF134E4A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DE2EE"/>
      </left>
      <right style="thin">
        <color rgb="FFDDE2EE"/>
      </right>
      <top/>
      <bottom style="thin">
        <color rgb="FFDDE2EE"/>
      </bottom>
      <diagonal/>
    </border>
    <border>
      <left/>
      <right/>
      <top/>
      <bottom style="medium">
        <color rgb="FF4A6FA5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medium">
        <color rgb="FFDDE2EE"/>
      </bottom>
      <diagonal/>
    </border>
    <border>
      <left style="thin">
        <color rgb="FFDDE2EE"/>
      </left>
      <right style="thin">
        <color rgb="FFDDE2EE"/>
      </right>
      <top style="medium">
        <color rgb="FFDDE2EE"/>
      </top>
      <bottom style="thin">
        <color rgb="FFDDE2EE"/>
      </bottom>
      <diagonal/>
    </border>
    <border>
      <left/>
      <right/>
      <top/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1F5C99"/>
      </bottom>
      <diagonal/>
    </border>
    <border>
      <left style="thin">
        <color rgb="FFD0D5DD"/>
      </left>
      <right/>
      <top style="thin">
        <color rgb="FFD0D5DD"/>
      </top>
      <bottom style="medium">
        <color rgb="FFD0D5DD"/>
      </bottom>
      <diagonal/>
    </border>
    <border>
      <left/>
      <right/>
      <top style="thin">
        <color rgb="FFD0D5DD"/>
      </top>
      <bottom style="medium">
        <color rgb="FFD0D5DD"/>
      </bottom>
      <diagonal/>
    </border>
    <border>
      <left/>
      <right style="thin">
        <color rgb="FFD0D5DD"/>
      </right>
      <top style="thin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medium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medium">
        <color rgb="FFD0D5DD"/>
      </bottom>
      <diagonal/>
    </border>
    <border>
      <left style="thin">
        <color rgb="FFD0D5DD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E8ECF2"/>
      </right>
      <top style="medium">
        <color rgb="FFD0D5DD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medium">
        <color rgb="FFD0D5DD"/>
      </top>
      <bottom style="thin">
        <color rgb="FFD0D5DD"/>
      </bottom>
      <diagonal/>
    </border>
    <border>
      <left/>
      <right/>
      <top/>
      <bottom style="medium">
        <color rgb="FF2A5F9E"/>
      </bottom>
      <diagonal/>
    </border>
    <border>
      <left/>
      <right/>
      <top style="medium">
        <color rgb="FF0A2342"/>
      </top>
      <bottom/>
      <diagonal/>
    </border>
    <border>
      <left style="thin">
        <color rgb="FFE8ECF2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D0D5DD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E8ECF2"/>
      </bottom>
      <diagonal/>
    </border>
    <border>
      <left style="thin">
        <color rgb="FFE8ECF2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thin">
        <color rgb="FFE8ECF2"/>
      </left>
      <right style="thin">
        <color rgb="FFD0D5DD"/>
      </right>
      <top style="thin">
        <color rgb="FFE8ECF2"/>
      </top>
      <bottom style="thin">
        <color rgb="FFD0D5DD"/>
      </bottom>
      <diagonal/>
    </border>
    <border>
      <left/>
      <right style="thin">
        <color rgb="FFE8ECF2"/>
      </right>
      <top style="thin">
        <color rgb="FFD0D5DD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 style="thin">
        <color rgb="FFD0D5DD"/>
      </bottom>
      <diagonal/>
    </border>
    <border>
      <left style="medium">
        <color rgb="FF1F5C99"/>
      </left>
      <right style="thin">
        <color rgb="FFE8ECF2"/>
      </right>
      <top style="thin">
        <color rgb="FFD0D5DD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E8ECF2"/>
      </bottom>
      <diagonal/>
    </border>
    <border>
      <left style="medium">
        <color rgb="FF1F5C99"/>
      </left>
      <right style="thin">
        <color rgb="FFE8ECF2"/>
      </right>
      <top style="thin">
        <color rgb="FFE8ECF2"/>
      </top>
      <bottom style="thin">
        <color rgb="FFD0D5DD"/>
      </bottom>
      <diagonal/>
    </border>
    <border>
      <left/>
      <right style="thin">
        <color rgb="FF12355B"/>
      </right>
      <top/>
      <bottom/>
      <diagonal/>
    </border>
    <border>
      <left style="thin">
        <color rgb="FF12355B"/>
      </left>
      <right style="thin">
        <color rgb="FFD1D9E6"/>
      </right>
      <top style="thin">
        <color rgb="FF12355B"/>
      </top>
      <bottom style="thin">
        <color rgb="FF1B4F8A"/>
      </bottom>
      <diagonal/>
    </border>
    <border>
      <left style="thin">
        <color rgb="FFD1D9E6"/>
      </left>
      <right style="thin">
        <color rgb="FFD1D9E6"/>
      </right>
      <top style="thin">
        <color rgb="FF12355B"/>
      </top>
      <bottom style="thin">
        <color rgb="FF1B4F8A"/>
      </bottom>
      <diagonal/>
    </border>
    <border>
      <left style="thin">
        <color rgb="FFD1D9E6"/>
      </left>
      <right style="thin">
        <color rgb="FF12355B"/>
      </right>
      <top style="thin">
        <color rgb="FF12355B"/>
      </top>
      <bottom style="thin">
        <color rgb="FF1B4F8A"/>
      </bottom>
      <diagonal/>
    </border>
    <border>
      <left style="thin">
        <color rgb="FF12355B"/>
      </left>
      <right style="thin">
        <color rgb="FFD1D9E6"/>
      </right>
      <top/>
      <bottom/>
      <diagonal/>
    </border>
    <border>
      <left style="thin">
        <color rgb="FFD1D9E6"/>
      </left>
      <right style="thin">
        <color rgb="FFD1D9E6"/>
      </right>
      <top/>
      <bottom/>
      <diagonal/>
    </border>
    <border>
      <left style="thin">
        <color rgb="FFD1D9E6"/>
      </left>
      <right style="thin">
        <color rgb="FF12355B"/>
      </right>
      <top/>
      <bottom/>
      <diagonal/>
    </border>
    <border>
      <left style="thin">
        <color rgb="FF12355B"/>
      </left>
      <right style="thin">
        <color rgb="FFD1D9E6"/>
      </right>
      <top style="thin">
        <color rgb="FFD1D9E6"/>
      </top>
      <bottom/>
      <diagonal/>
    </border>
    <border>
      <left style="thin">
        <color rgb="FFD1D9E6"/>
      </left>
      <right style="thin">
        <color rgb="FFD1D9E6"/>
      </right>
      <top style="thin">
        <color rgb="FFD1D9E6"/>
      </top>
      <bottom/>
      <diagonal/>
    </border>
    <border>
      <left style="thin">
        <color rgb="FFD1D9E6"/>
      </left>
      <right style="thin">
        <color rgb="FF12355B"/>
      </right>
      <top style="thin">
        <color rgb="FFD1D9E6"/>
      </top>
      <bottom/>
      <diagonal/>
    </border>
    <border>
      <left style="thin">
        <color rgb="FF12355B"/>
      </left>
      <right style="thin">
        <color rgb="FFD1D9E6"/>
      </right>
      <top style="thin">
        <color rgb="FFD1D9E6"/>
      </top>
      <bottom style="thin">
        <color rgb="FFD1D9E6"/>
      </bottom>
      <diagonal/>
    </border>
    <border>
      <left style="thin">
        <color rgb="FFD1D9E6"/>
      </left>
      <right style="thin">
        <color rgb="FFD1D9E6"/>
      </right>
      <top style="thin">
        <color rgb="FFD1D9E6"/>
      </top>
      <bottom style="thin">
        <color rgb="FFD1D9E6"/>
      </bottom>
      <diagonal/>
    </border>
    <border>
      <left style="thin">
        <color rgb="FFD1D9E6"/>
      </left>
      <right style="thin">
        <color rgb="FF12355B"/>
      </right>
      <top style="thin">
        <color rgb="FFD1D9E6"/>
      </top>
      <bottom style="thin">
        <color rgb="FFD1D9E6"/>
      </bottom>
      <diagonal/>
    </border>
    <border>
      <left style="thin">
        <color rgb="FF12355B"/>
      </left>
      <right style="thin">
        <color rgb="FFD1D9E6"/>
      </right>
      <top style="thin">
        <color rgb="FF12355B"/>
      </top>
      <bottom/>
      <diagonal/>
    </border>
    <border>
      <left style="thin">
        <color rgb="FFD1D9E6"/>
      </left>
      <right style="thin">
        <color rgb="FFD1D9E6"/>
      </right>
      <top style="thin">
        <color rgb="FF12355B"/>
      </top>
      <bottom/>
      <diagonal/>
    </border>
    <border>
      <left style="thin">
        <color rgb="FFD1D9E6"/>
      </left>
      <right style="thin">
        <color rgb="FF12355B"/>
      </right>
      <top style="thin">
        <color rgb="FF12355B"/>
      </top>
      <bottom/>
      <diagonal/>
    </border>
    <border>
      <left style="thin">
        <color rgb="FF12355B"/>
      </left>
      <right style="thin">
        <color rgb="FFD1D9E6"/>
      </right>
      <top style="thin">
        <color rgb="FF1B4F8A"/>
      </top>
      <bottom/>
      <diagonal/>
    </border>
    <border>
      <left style="thin">
        <color rgb="FFD1D9E6"/>
      </left>
      <right style="thin">
        <color rgb="FFD1D9E6"/>
      </right>
      <top style="thin">
        <color rgb="FF1B4F8A"/>
      </top>
      <bottom/>
      <diagonal/>
    </border>
    <border>
      <left style="thin">
        <color rgb="FFD1D9E6"/>
      </left>
      <right style="thin">
        <color rgb="FF12355B"/>
      </right>
      <top style="thin">
        <color rgb="FF1B4F8A"/>
      </top>
      <bottom/>
      <diagonal/>
    </border>
    <border>
      <left style="medium">
        <color rgb="FF1F5C99"/>
      </left>
      <right/>
      <top style="thin">
        <color rgb="FFE8ECF2"/>
      </top>
      <bottom style="thin">
        <color rgb="FFE8ECF2"/>
      </bottom>
      <diagonal/>
    </border>
    <border>
      <left/>
      <right style="thin">
        <color rgb="FFE8ECF2"/>
      </right>
      <top style="thin">
        <color rgb="FFE8ECF2"/>
      </top>
      <bottom/>
      <diagonal/>
    </border>
    <border>
      <left style="thin">
        <color rgb="FFE8ECF2"/>
      </left>
      <right style="thin">
        <color rgb="FFE8ECF2"/>
      </right>
      <top style="thin">
        <color rgb="FFE8ECF2"/>
      </top>
      <bottom/>
      <diagonal/>
    </border>
    <border>
      <left style="thin">
        <color rgb="FFE8ECF2"/>
      </left>
      <right style="thin">
        <color rgb="FFD0D5DD"/>
      </right>
      <top style="thin">
        <color rgb="FFE8ECF2"/>
      </top>
      <bottom/>
      <diagonal/>
    </border>
    <border>
      <left/>
      <right style="thin">
        <color rgb="FFE8ECF2"/>
      </right>
      <top/>
      <bottom style="thin">
        <color rgb="FFE8ECF2"/>
      </bottom>
      <diagonal/>
    </border>
    <border>
      <left style="thin">
        <color rgb="FFE8ECF2"/>
      </left>
      <right style="thin">
        <color rgb="FFE8ECF2"/>
      </right>
      <top/>
      <bottom style="thin">
        <color rgb="FFE8ECF2"/>
      </bottom>
      <diagonal/>
    </border>
    <border>
      <left style="thin">
        <color rgb="FFE8ECF2"/>
      </left>
      <right style="thin">
        <color rgb="FFD0D5DD"/>
      </right>
      <top/>
      <bottom style="thin">
        <color rgb="FFE8ECF2"/>
      </bottom>
      <diagonal/>
    </border>
    <border>
      <left style="medium">
        <color rgb="FF0D5C34"/>
      </left>
      <right/>
      <top style="thin">
        <color rgb="FFD0D5DD"/>
      </top>
      <bottom style="medium">
        <color rgb="FFD0D5DD"/>
      </bottom>
      <diagonal/>
    </border>
    <border>
      <left style="medium">
        <color rgb="FF0D5C34"/>
      </left>
      <right/>
      <top style="medium">
        <color rgb="FFD0D5DD"/>
      </top>
      <bottom style="medium">
        <color rgb="FFD0D5DD"/>
      </bottom>
      <diagonal/>
    </border>
    <border>
      <left style="medium">
        <color rgb="FF0D5C34"/>
      </left>
      <right/>
      <top style="medium">
        <color rgb="FFD0D5DD"/>
      </top>
      <bottom style="thin">
        <color rgb="FFD0D5DD"/>
      </bottom>
      <diagonal/>
    </border>
    <border>
      <left style="medium">
        <color rgb="FF1F5C99"/>
      </left>
      <right/>
      <top style="thin">
        <color rgb="FFD0D5DD"/>
      </top>
      <bottom style="medium">
        <color rgb="FFD0D5DD"/>
      </bottom>
      <diagonal/>
    </border>
    <border>
      <left style="medium">
        <color rgb="FF7A1A1A"/>
      </left>
      <right/>
      <top style="thin">
        <color rgb="FFD0D5DD"/>
      </top>
      <bottom style="medium">
        <color rgb="FFD0D5DD"/>
      </bottom>
      <diagonal/>
    </border>
    <border>
      <left style="thin">
        <color rgb="FF12355B"/>
      </left>
      <right style="thin">
        <color rgb="FFD1D9E6"/>
      </right>
      <top style="medium">
        <color rgb="FFD1D9E6"/>
      </top>
      <bottom/>
      <diagonal/>
    </border>
    <border>
      <left style="thin">
        <color rgb="FFD1D9E6"/>
      </left>
      <right style="thin">
        <color rgb="FFD1D9E6"/>
      </right>
      <top style="medium">
        <color rgb="FFD1D9E6"/>
      </top>
      <bottom/>
      <diagonal/>
    </border>
    <border>
      <left style="thin">
        <color rgb="FFD1D9E6"/>
      </left>
      <right style="thin">
        <color rgb="FF12355B"/>
      </right>
      <top style="medium">
        <color rgb="FFD1D9E6"/>
      </top>
      <bottom/>
      <diagonal/>
    </border>
    <border>
      <left style="thin">
        <color rgb="FFD0D5DD"/>
      </left>
      <right style="thin">
        <color rgb="FF12355B"/>
      </right>
      <top/>
      <bottom/>
      <diagonal/>
    </border>
    <border>
      <left/>
      <right style="thin">
        <color rgb="FFD0D5DD"/>
      </right>
      <top/>
      <bottom/>
      <diagonal/>
    </border>
  </borders>
  <cellStyleXfs count="1">
    <xf numFmtId="0" fontId="0" fillId="0" borderId="0"/>
  </cellStyleXfs>
  <cellXfs count="446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6" fillId="6" borderId="0" xfId="0" applyFont="1" applyFill="1"/>
    <xf numFmtId="0" fontId="5" fillId="5" borderId="4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left"/>
    </xf>
    <xf numFmtId="0" fontId="8" fillId="7" borderId="5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left"/>
    </xf>
    <xf numFmtId="0" fontId="8" fillId="6" borderId="5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right" vertical="center"/>
    </xf>
    <xf numFmtId="0" fontId="0" fillId="10" borderId="0" xfId="0" applyFill="1"/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14" fillId="11" borderId="0" xfId="0" applyFont="1" applyFill="1" applyAlignment="1">
      <alignment horizontal="left"/>
    </xf>
    <xf numFmtId="0" fontId="0" fillId="11" borderId="7" xfId="0" applyFill="1" applyBorder="1" applyAlignment="1">
      <alignment horizontal="left" vertical="center"/>
    </xf>
    <xf numFmtId="0" fontId="13" fillId="11" borderId="7" xfId="0" applyFont="1" applyFill="1" applyBorder="1" applyAlignment="1">
      <alignment horizontal="left" vertical="top"/>
    </xf>
    <xf numFmtId="0" fontId="0" fillId="12" borderId="7" xfId="0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16" fillId="7" borderId="0" xfId="0" applyFont="1" applyFill="1" applyAlignment="1">
      <alignment horizontal="center"/>
    </xf>
    <xf numFmtId="0" fontId="16" fillId="17" borderId="0" xfId="0" applyFont="1" applyFill="1" applyAlignment="1">
      <alignment horizontal="center"/>
    </xf>
    <xf numFmtId="0" fontId="15" fillId="7" borderId="0" xfId="0" applyFont="1" applyFill="1" applyAlignment="1">
      <alignment horizontal="left" vertical="center"/>
    </xf>
    <xf numFmtId="0" fontId="9" fillId="13" borderId="11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left" vertical="center"/>
    </xf>
    <xf numFmtId="0" fontId="9" fillId="13" borderId="13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center"/>
    </xf>
    <xf numFmtId="0" fontId="16" fillId="7" borderId="12" xfId="0" applyFont="1" applyFill="1" applyBorder="1" applyAlignment="1">
      <alignment horizontal="left"/>
    </xf>
    <xf numFmtId="0" fontId="16" fillId="7" borderId="13" xfId="0" applyFont="1" applyFill="1" applyBorder="1" applyAlignment="1">
      <alignment horizontal="center"/>
    </xf>
    <xf numFmtId="0" fontId="16" fillId="17" borderId="11" xfId="0" applyFont="1" applyFill="1" applyBorder="1" applyAlignment="1">
      <alignment horizontal="center"/>
    </xf>
    <xf numFmtId="0" fontId="16" fillId="17" borderId="12" xfId="0" applyFont="1" applyFill="1" applyBorder="1" applyAlignment="1">
      <alignment horizontal="center"/>
    </xf>
    <xf numFmtId="0" fontId="16" fillId="17" borderId="12" xfId="0" applyFont="1" applyFill="1" applyBorder="1" applyAlignment="1">
      <alignment horizontal="left"/>
    </xf>
    <xf numFmtId="0" fontId="16" fillId="17" borderId="13" xfId="0" applyFont="1" applyFill="1" applyBorder="1" applyAlignment="1">
      <alignment horizontal="center"/>
    </xf>
    <xf numFmtId="0" fontId="9" fillId="14" borderId="11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/>
    </xf>
    <xf numFmtId="0" fontId="9" fillId="14" borderId="12" xfId="0" applyFont="1" applyFill="1" applyBorder="1" applyAlignment="1">
      <alignment horizontal="left"/>
    </xf>
    <xf numFmtId="0" fontId="9" fillId="14" borderId="13" xfId="0" applyFont="1" applyFill="1" applyBorder="1" applyAlignment="1">
      <alignment horizontal="center"/>
    </xf>
    <xf numFmtId="0" fontId="9" fillId="15" borderId="11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center"/>
    </xf>
    <xf numFmtId="0" fontId="9" fillId="15" borderId="12" xfId="0" applyFont="1" applyFill="1" applyBorder="1" applyAlignment="1">
      <alignment horizontal="left"/>
    </xf>
    <xf numFmtId="0" fontId="9" fillId="15" borderId="13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/>
    </xf>
    <xf numFmtId="0" fontId="9" fillId="16" borderId="12" xfId="0" applyFont="1" applyFill="1" applyBorder="1" applyAlignment="1">
      <alignment horizontal="left"/>
    </xf>
    <xf numFmtId="0" fontId="9" fillId="16" borderId="13" xfId="0" applyFont="1" applyFill="1" applyBorder="1" applyAlignment="1">
      <alignment horizontal="center"/>
    </xf>
    <xf numFmtId="0" fontId="7" fillId="18" borderId="0" xfId="0" applyFont="1" applyFill="1" applyAlignment="1">
      <alignment horizontal="left" vertical="center"/>
    </xf>
    <xf numFmtId="0" fontId="0" fillId="19" borderId="0" xfId="0" applyFill="1"/>
    <xf numFmtId="0" fontId="18" fillId="17" borderId="0" xfId="0" applyFont="1" applyFill="1" applyAlignment="1">
      <alignment horizontal="left" vertical="center"/>
    </xf>
    <xf numFmtId="0" fontId="19" fillId="7" borderId="12" xfId="0" applyFont="1" applyFill="1" applyBorder="1" applyAlignment="1">
      <alignment horizontal="center"/>
    </xf>
    <xf numFmtId="10" fontId="20" fillId="7" borderId="13" xfId="0" applyNumberFormat="1" applyFont="1" applyFill="1" applyBorder="1" applyAlignment="1">
      <alignment horizontal="center"/>
    </xf>
    <xf numFmtId="0" fontId="19" fillId="17" borderId="12" xfId="0" applyFont="1" applyFill="1" applyBorder="1" applyAlignment="1">
      <alignment horizontal="center"/>
    </xf>
    <xf numFmtId="10" fontId="20" fillId="17" borderId="13" xfId="0" applyNumberFormat="1" applyFont="1" applyFill="1" applyBorder="1" applyAlignment="1">
      <alignment horizontal="center"/>
    </xf>
    <xf numFmtId="10" fontId="21" fillId="17" borderId="13" xfId="0" applyNumberFormat="1" applyFont="1" applyFill="1" applyBorder="1" applyAlignment="1">
      <alignment horizontal="center"/>
    </xf>
    <xf numFmtId="0" fontId="22" fillId="7" borderId="12" xfId="0" applyFont="1" applyFill="1" applyBorder="1" applyAlignment="1">
      <alignment horizontal="center"/>
    </xf>
    <xf numFmtId="0" fontId="22" fillId="17" borderId="12" xfId="0" applyFont="1" applyFill="1" applyBorder="1" applyAlignment="1">
      <alignment horizontal="center"/>
    </xf>
    <xf numFmtId="0" fontId="23" fillId="7" borderId="12" xfId="0" applyFont="1" applyFill="1" applyBorder="1" applyAlignment="1">
      <alignment horizontal="center"/>
    </xf>
    <xf numFmtId="0" fontId="23" fillId="17" borderId="12" xfId="0" applyFont="1" applyFill="1" applyBorder="1" applyAlignment="1">
      <alignment horizontal="center"/>
    </xf>
    <xf numFmtId="0" fontId="0" fillId="19" borderId="14" xfId="0" applyFill="1" applyBorder="1"/>
    <xf numFmtId="0" fontId="17" fillId="19" borderId="15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left"/>
    </xf>
    <xf numFmtId="0" fontId="0" fillId="19" borderId="16" xfId="0" applyFill="1" applyBorder="1"/>
    <xf numFmtId="0" fontId="17" fillId="19" borderId="17" xfId="0" applyFont="1" applyFill="1" applyBorder="1" applyAlignment="1">
      <alignment horizontal="center"/>
    </xf>
    <xf numFmtId="0" fontId="16" fillId="7" borderId="18" xfId="0" applyFont="1" applyFill="1" applyBorder="1" applyAlignment="1">
      <alignment horizontal="center"/>
    </xf>
    <xf numFmtId="0" fontId="16" fillId="7" borderId="19" xfId="0" applyFont="1" applyFill="1" applyBorder="1" applyAlignment="1">
      <alignment horizontal="center"/>
    </xf>
    <xf numFmtId="0" fontId="16" fillId="7" borderId="19" xfId="0" applyFont="1" applyFill="1" applyBorder="1" applyAlignment="1">
      <alignment horizontal="left"/>
    </xf>
    <xf numFmtId="0" fontId="24" fillId="7" borderId="19" xfId="0" applyFont="1" applyFill="1" applyBorder="1" applyAlignment="1">
      <alignment horizontal="center"/>
    </xf>
    <xf numFmtId="10" fontId="16" fillId="7" borderId="19" xfId="0" applyNumberFormat="1" applyFont="1" applyFill="1" applyBorder="1" applyAlignment="1">
      <alignment horizontal="center"/>
    </xf>
    <xf numFmtId="10" fontId="20" fillId="7" borderId="19" xfId="0" applyNumberFormat="1" applyFont="1" applyFill="1" applyBorder="1" applyAlignment="1">
      <alignment horizontal="center"/>
    </xf>
    <xf numFmtId="0" fontId="25" fillId="7" borderId="20" xfId="0" applyFont="1" applyFill="1" applyBorder="1" applyAlignment="1">
      <alignment horizontal="center"/>
    </xf>
    <xf numFmtId="0" fontId="16" fillId="17" borderId="18" xfId="0" applyFont="1" applyFill="1" applyBorder="1" applyAlignment="1">
      <alignment horizontal="center"/>
    </xf>
    <xf numFmtId="0" fontId="16" fillId="17" borderId="19" xfId="0" applyFont="1" applyFill="1" applyBorder="1" applyAlignment="1">
      <alignment horizontal="center"/>
    </xf>
    <xf numFmtId="0" fontId="16" fillId="17" borderId="19" xfId="0" applyFont="1" applyFill="1" applyBorder="1" applyAlignment="1">
      <alignment horizontal="left"/>
    </xf>
    <xf numFmtId="0" fontId="24" fillId="17" borderId="19" xfId="0" applyFont="1" applyFill="1" applyBorder="1" applyAlignment="1">
      <alignment horizontal="center"/>
    </xf>
    <xf numFmtId="10" fontId="16" fillId="17" borderId="19" xfId="0" applyNumberFormat="1" applyFont="1" applyFill="1" applyBorder="1" applyAlignment="1">
      <alignment horizontal="center"/>
    </xf>
    <xf numFmtId="10" fontId="21" fillId="17" borderId="19" xfId="0" applyNumberFormat="1" applyFont="1" applyFill="1" applyBorder="1" applyAlignment="1">
      <alignment horizontal="center"/>
    </xf>
    <xf numFmtId="0" fontId="26" fillId="17" borderId="20" xfId="0" applyFont="1" applyFill="1" applyBorder="1" applyAlignment="1">
      <alignment horizontal="center"/>
    </xf>
    <xf numFmtId="14" fontId="16" fillId="7" borderId="19" xfId="0" applyNumberFormat="1" applyFont="1" applyFill="1" applyBorder="1" applyAlignment="1">
      <alignment horizontal="center"/>
    </xf>
    <xf numFmtId="0" fontId="26" fillId="7" borderId="20" xfId="0" applyFont="1" applyFill="1" applyBorder="1" applyAlignment="1">
      <alignment horizontal="center"/>
    </xf>
    <xf numFmtId="10" fontId="20" fillId="17" borderId="19" xfId="0" applyNumberFormat="1" applyFont="1" applyFill="1" applyBorder="1" applyAlignment="1">
      <alignment horizontal="center"/>
    </xf>
    <xf numFmtId="14" fontId="16" fillId="17" borderId="19" xfId="0" applyNumberFormat="1" applyFont="1" applyFill="1" applyBorder="1" applyAlignment="1">
      <alignment horizontal="center"/>
    </xf>
    <xf numFmtId="0" fontId="16" fillId="17" borderId="21" xfId="0" applyFont="1" applyFill="1" applyBorder="1" applyAlignment="1">
      <alignment horizontal="center"/>
    </xf>
    <xf numFmtId="0" fontId="16" fillId="17" borderId="22" xfId="0" applyFont="1" applyFill="1" applyBorder="1" applyAlignment="1">
      <alignment horizontal="center"/>
    </xf>
    <xf numFmtId="0" fontId="16" fillId="17" borderId="22" xfId="0" applyFont="1" applyFill="1" applyBorder="1" applyAlignment="1">
      <alignment horizontal="left"/>
    </xf>
    <xf numFmtId="0" fontId="24" fillId="17" borderId="22" xfId="0" applyFont="1" applyFill="1" applyBorder="1" applyAlignment="1">
      <alignment horizontal="center"/>
    </xf>
    <xf numFmtId="10" fontId="20" fillId="17" borderId="22" xfId="0" applyNumberFormat="1" applyFont="1" applyFill="1" applyBorder="1" applyAlignment="1">
      <alignment horizontal="center"/>
    </xf>
    <xf numFmtId="14" fontId="16" fillId="17" borderId="22" xfId="0" applyNumberFormat="1" applyFont="1" applyFill="1" applyBorder="1" applyAlignment="1">
      <alignment horizontal="center"/>
    </xf>
    <xf numFmtId="0" fontId="26" fillId="17" borderId="23" xfId="0" applyFont="1" applyFill="1" applyBorder="1" applyAlignment="1">
      <alignment horizontal="center"/>
    </xf>
    <xf numFmtId="0" fontId="5" fillId="9" borderId="24" xfId="0" applyFont="1" applyFill="1" applyBorder="1" applyAlignment="1">
      <alignment horizontal="left" vertical="center"/>
    </xf>
    <xf numFmtId="0" fontId="28" fillId="7" borderId="0" xfId="0" applyFont="1" applyFill="1" applyAlignment="1">
      <alignment horizontal="center" vertical="center"/>
    </xf>
    <xf numFmtId="0" fontId="28" fillId="17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left"/>
    </xf>
    <xf numFmtId="0" fontId="29" fillId="19" borderId="0" xfId="0" applyFont="1" applyFill="1" applyAlignment="1">
      <alignment horizontal="center"/>
    </xf>
    <xf numFmtId="0" fontId="29" fillId="19" borderId="8" xfId="0" applyFont="1" applyFill="1" applyBorder="1" applyAlignment="1">
      <alignment horizontal="center"/>
    </xf>
    <xf numFmtId="0" fontId="29" fillId="19" borderId="9" xfId="0" applyFont="1" applyFill="1" applyBorder="1" applyAlignment="1">
      <alignment horizontal="center"/>
    </xf>
    <xf numFmtId="0" fontId="29" fillId="19" borderId="10" xfId="0" applyFont="1" applyFill="1" applyBorder="1" applyAlignment="1">
      <alignment horizontal="center"/>
    </xf>
    <xf numFmtId="0" fontId="31" fillId="18" borderId="0" xfId="0" applyFont="1" applyFill="1" applyAlignment="1">
      <alignment horizontal="center"/>
    </xf>
    <xf numFmtId="0" fontId="31" fillId="18" borderId="0" xfId="0" applyFont="1" applyFill="1"/>
    <xf numFmtId="0" fontId="31" fillId="18" borderId="3" xfId="0" applyFont="1" applyFill="1" applyBorder="1" applyAlignment="1">
      <alignment horizontal="center" vertical="center"/>
    </xf>
    <xf numFmtId="0" fontId="0" fillId="22" borderId="0" xfId="0" applyFill="1"/>
    <xf numFmtId="0" fontId="36" fillId="17" borderId="7" xfId="0" applyFont="1" applyFill="1" applyBorder="1" applyAlignment="1">
      <alignment horizontal="left" vertical="center"/>
    </xf>
    <xf numFmtId="0" fontId="7" fillId="23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center" vertical="center"/>
    </xf>
    <xf numFmtId="0" fontId="33" fillId="9" borderId="25" xfId="0" applyFont="1" applyFill="1" applyBorder="1" applyAlignment="1">
      <alignment horizontal="left" vertical="center"/>
    </xf>
    <xf numFmtId="0" fontId="34" fillId="9" borderId="25" xfId="0" applyFont="1" applyFill="1" applyBorder="1" applyAlignment="1">
      <alignment horizontal="right" vertical="center"/>
    </xf>
    <xf numFmtId="0" fontId="44" fillId="11" borderId="7" xfId="0" applyFont="1" applyFill="1" applyBorder="1" applyAlignment="1">
      <alignment vertical="center"/>
    </xf>
    <xf numFmtId="0" fontId="17" fillId="19" borderId="26" xfId="0" applyFont="1" applyFill="1" applyBorder="1" applyAlignment="1">
      <alignment horizontal="center" vertical="center"/>
    </xf>
    <xf numFmtId="0" fontId="17" fillId="19" borderId="26" xfId="0" applyFont="1" applyFill="1" applyBorder="1" applyAlignment="1">
      <alignment horizontal="left" vertical="center"/>
    </xf>
    <xf numFmtId="0" fontId="16" fillId="7" borderId="28" xfId="0" applyFont="1" applyFill="1" applyBorder="1" applyAlignment="1">
      <alignment horizontal="center" vertical="center"/>
    </xf>
    <xf numFmtId="0" fontId="16" fillId="7" borderId="28" xfId="0" applyFont="1" applyFill="1" applyBorder="1" applyAlignment="1">
      <alignment horizontal="left" vertical="center"/>
    </xf>
    <xf numFmtId="0" fontId="17" fillId="7" borderId="28" xfId="0" applyFont="1" applyFill="1" applyBorder="1" applyAlignment="1">
      <alignment horizontal="center" vertical="center"/>
    </xf>
    <xf numFmtId="0" fontId="16" fillId="7" borderId="29" xfId="0" applyFont="1" applyFill="1" applyBorder="1" applyAlignment="1">
      <alignment horizontal="center" vertical="center"/>
    </xf>
    <xf numFmtId="0" fontId="16" fillId="17" borderId="28" xfId="0" applyFont="1" applyFill="1" applyBorder="1" applyAlignment="1">
      <alignment horizontal="center" vertical="center"/>
    </xf>
    <xf numFmtId="0" fontId="16" fillId="17" borderId="28" xfId="0" applyFont="1" applyFill="1" applyBorder="1" applyAlignment="1">
      <alignment horizontal="left" vertical="center"/>
    </xf>
    <xf numFmtId="0" fontId="17" fillId="17" borderId="28" xfId="0" applyFont="1" applyFill="1" applyBorder="1" applyAlignment="1">
      <alignment horizontal="center" vertical="center"/>
    </xf>
    <xf numFmtId="0" fontId="16" fillId="17" borderId="29" xfId="0" applyFont="1" applyFill="1" applyBorder="1" applyAlignment="1">
      <alignment horizontal="center" vertical="center"/>
    </xf>
    <xf numFmtId="0" fontId="17" fillId="19" borderId="32" xfId="0" applyFont="1" applyFill="1" applyBorder="1" applyAlignment="1">
      <alignment horizontal="center" vertical="center"/>
    </xf>
    <xf numFmtId="0" fontId="16" fillId="7" borderId="33" xfId="0" applyFont="1" applyFill="1" applyBorder="1" applyAlignment="1">
      <alignment horizontal="center" vertical="center"/>
    </xf>
    <xf numFmtId="0" fontId="16" fillId="17" borderId="33" xfId="0" applyFont="1" applyFill="1" applyBorder="1" applyAlignment="1">
      <alignment horizontal="center" vertical="center"/>
    </xf>
    <xf numFmtId="0" fontId="17" fillId="19" borderId="35" xfId="0" applyFont="1" applyFill="1" applyBorder="1" applyAlignment="1">
      <alignment horizontal="center" vertical="center"/>
    </xf>
    <xf numFmtId="0" fontId="16" fillId="7" borderId="36" xfId="0" applyFont="1" applyFill="1" applyBorder="1" applyAlignment="1">
      <alignment horizontal="center" vertical="center"/>
    </xf>
    <xf numFmtId="0" fontId="16" fillId="17" borderId="36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center" vertical="center"/>
    </xf>
    <xf numFmtId="0" fontId="45" fillId="23" borderId="36" xfId="0" applyFont="1" applyFill="1" applyBorder="1" applyAlignment="1">
      <alignment horizontal="center" vertical="center"/>
    </xf>
    <xf numFmtId="0" fontId="45" fillId="23" borderId="33" xfId="0" applyFont="1" applyFill="1" applyBorder="1" applyAlignment="1">
      <alignment horizontal="center" vertical="center"/>
    </xf>
    <xf numFmtId="0" fontId="45" fillId="23" borderId="28" xfId="0" applyFont="1" applyFill="1" applyBorder="1" applyAlignment="1">
      <alignment horizontal="left" vertical="center"/>
    </xf>
    <xf numFmtId="0" fontId="20" fillId="17" borderId="28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0" fontId="21" fillId="17" borderId="29" xfId="0" applyFont="1" applyFill="1" applyBorder="1" applyAlignment="1">
      <alignment horizontal="center" vertical="center"/>
    </xf>
    <xf numFmtId="0" fontId="21" fillId="17" borderId="28" xfId="0" applyFont="1" applyFill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6" fillId="7" borderId="30" xfId="0" applyFont="1" applyFill="1" applyBorder="1" applyAlignment="1">
      <alignment horizontal="left" vertical="center"/>
    </xf>
    <xf numFmtId="0" fontId="17" fillId="7" borderId="30" xfId="0" applyFont="1" applyFill="1" applyBorder="1" applyAlignment="1">
      <alignment horizontal="center" vertical="center"/>
    </xf>
    <xf numFmtId="0" fontId="16" fillId="7" borderId="31" xfId="0" applyFont="1" applyFill="1" applyBorder="1" applyAlignment="1">
      <alignment horizontal="center" vertical="center"/>
    </xf>
    <xf numFmtId="0" fontId="16" fillId="7" borderId="34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0" fontId="25" fillId="7" borderId="28" xfId="0" applyFont="1" applyFill="1" applyBorder="1" applyAlignment="1">
      <alignment horizontal="center" vertical="center"/>
    </xf>
    <xf numFmtId="0" fontId="25" fillId="17" borderId="28" xfId="0" applyFont="1" applyFill="1" applyBorder="1" applyAlignment="1">
      <alignment horizontal="center" vertical="center"/>
    </xf>
    <xf numFmtId="0" fontId="21" fillId="23" borderId="29" xfId="0" applyFont="1" applyFill="1" applyBorder="1" applyAlignment="1">
      <alignment horizontal="center" vertical="center"/>
    </xf>
    <xf numFmtId="0" fontId="46" fillId="23" borderId="28" xfId="0" applyFont="1" applyFill="1" applyBorder="1" applyAlignment="1">
      <alignment horizontal="center" vertical="center"/>
    </xf>
    <xf numFmtId="0" fontId="47" fillId="9" borderId="24" xfId="0" applyFont="1" applyFill="1" applyBorder="1" applyAlignment="1">
      <alignment horizontal="left" vertical="center"/>
    </xf>
    <xf numFmtId="0" fontId="44" fillId="11" borderId="7" xfId="0" applyFont="1" applyFill="1" applyBorder="1" applyAlignment="1">
      <alignment horizontal="left" vertical="center"/>
    </xf>
    <xf numFmtId="0" fontId="49" fillId="9" borderId="24" xfId="0" applyFont="1" applyFill="1" applyBorder="1" applyAlignment="1">
      <alignment horizontal="right" vertical="center"/>
    </xf>
    <xf numFmtId="0" fontId="29" fillId="19" borderId="0" xfId="0" applyFont="1" applyFill="1" applyAlignment="1">
      <alignment horizontal="center" vertical="center"/>
    </xf>
    <xf numFmtId="0" fontId="4" fillId="0" borderId="0" xfId="0" applyFont="1"/>
    <xf numFmtId="0" fontId="50" fillId="7" borderId="0" xfId="0" applyFont="1" applyFill="1" applyAlignment="1">
      <alignment horizontal="center" vertical="center"/>
    </xf>
    <xf numFmtId="0" fontId="51" fillId="7" borderId="0" xfId="0" applyFont="1" applyFill="1" applyAlignment="1">
      <alignment vertical="center"/>
    </xf>
    <xf numFmtId="0" fontId="52" fillId="7" borderId="0" xfId="0" applyFont="1" applyFill="1" applyAlignment="1">
      <alignment horizontal="center" vertical="center"/>
    </xf>
    <xf numFmtId="0" fontId="51" fillId="7" borderId="0" xfId="0" applyFont="1" applyFill="1" applyAlignment="1">
      <alignment horizontal="center" vertical="center"/>
    </xf>
    <xf numFmtId="0" fontId="51" fillId="17" borderId="0" xfId="0" applyFont="1" applyFill="1" applyAlignment="1">
      <alignment vertical="center"/>
    </xf>
    <xf numFmtId="0" fontId="50" fillId="17" borderId="0" xfId="0" applyFont="1" applyFill="1" applyAlignment="1">
      <alignment horizontal="center" vertical="center"/>
    </xf>
    <xf numFmtId="0" fontId="53" fillId="7" borderId="0" xfId="0" applyFont="1" applyFill="1" applyAlignment="1">
      <alignment vertical="center"/>
    </xf>
    <xf numFmtId="0" fontId="55" fillId="24" borderId="0" xfId="0" applyFont="1" applyFill="1" applyAlignment="1">
      <alignment horizontal="center" vertical="center"/>
    </xf>
    <xf numFmtId="0" fontId="56" fillId="24" borderId="0" xfId="0" applyFont="1" applyFill="1" applyAlignment="1">
      <alignment vertical="top"/>
    </xf>
    <xf numFmtId="0" fontId="56" fillId="24" borderId="0" xfId="0" applyFont="1" applyFill="1" applyAlignment="1">
      <alignment horizontal="center" vertical="top"/>
    </xf>
    <xf numFmtId="0" fontId="57" fillId="24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left" vertical="top"/>
    </xf>
    <xf numFmtId="0" fontId="48" fillId="24" borderId="0" xfId="0" applyFont="1" applyFill="1" applyAlignment="1">
      <alignment horizontal="center" vertical="center"/>
    </xf>
    <xf numFmtId="0" fontId="59" fillId="24" borderId="0" xfId="0" applyFont="1" applyFill="1" applyAlignment="1">
      <alignment horizontal="center" vertical="center"/>
    </xf>
    <xf numFmtId="0" fontId="0" fillId="24" borderId="0" xfId="0" applyFill="1" applyAlignment="1">
      <alignment vertical="center"/>
    </xf>
    <xf numFmtId="0" fontId="61" fillId="24" borderId="0" xfId="0" applyFont="1" applyFill="1" applyAlignment="1">
      <alignment horizontal="center" vertical="center"/>
    </xf>
    <xf numFmtId="0" fontId="62" fillId="24" borderId="0" xfId="0" applyFont="1" applyFill="1" applyAlignment="1">
      <alignment horizontal="center" vertical="center"/>
    </xf>
    <xf numFmtId="0" fontId="63" fillId="24" borderId="0" xfId="0" applyFont="1" applyFill="1" applyAlignment="1">
      <alignment horizontal="center" vertical="center"/>
    </xf>
    <xf numFmtId="0" fontId="64" fillId="24" borderId="0" xfId="0" applyFont="1" applyFill="1" applyAlignment="1">
      <alignment horizontal="center" vertical="center"/>
    </xf>
    <xf numFmtId="0" fontId="65" fillId="24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0" fontId="0" fillId="11" borderId="0" xfId="0" applyFill="1" applyAlignment="1">
      <alignment horizontal="center" vertical="center"/>
    </xf>
    <xf numFmtId="4" fontId="0" fillId="0" borderId="0" xfId="0" applyNumberFormat="1"/>
    <xf numFmtId="0" fontId="66" fillId="24" borderId="0" xfId="0" applyFont="1" applyFill="1" applyAlignment="1">
      <alignment vertical="center"/>
    </xf>
    <xf numFmtId="0" fontId="67" fillId="24" borderId="0" xfId="0" applyFont="1" applyFill="1" applyAlignment="1">
      <alignment horizontal="center" vertical="center"/>
    </xf>
    <xf numFmtId="0" fontId="58" fillId="24" borderId="26" xfId="0" applyFont="1" applyFill="1" applyBorder="1" applyAlignment="1">
      <alignment horizontal="center" vertical="center"/>
    </xf>
    <xf numFmtId="0" fontId="48" fillId="24" borderId="26" xfId="0" applyFont="1" applyFill="1" applyBorder="1" applyAlignment="1">
      <alignment horizontal="center" vertical="center"/>
    </xf>
    <xf numFmtId="0" fontId="67" fillId="24" borderId="27" xfId="0" applyFont="1" applyFill="1" applyBorder="1" applyAlignment="1">
      <alignment horizontal="center" vertical="center"/>
    </xf>
    <xf numFmtId="0" fontId="56" fillId="24" borderId="28" xfId="0" applyFont="1" applyFill="1" applyBorder="1" applyAlignment="1">
      <alignment horizontal="center" vertical="center"/>
    </xf>
    <xf numFmtId="0" fontId="56" fillId="24" borderId="29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top"/>
    </xf>
    <xf numFmtId="0" fontId="12" fillId="11" borderId="0" xfId="0" applyFont="1" applyFill="1"/>
    <xf numFmtId="0" fontId="13" fillId="11" borderId="7" xfId="0" applyFont="1" applyFill="1" applyBorder="1" applyAlignment="1">
      <alignment vertical="top"/>
    </xf>
    <xf numFmtId="49" fontId="14" fillId="11" borderId="0" xfId="0" applyNumberFormat="1" applyFont="1" applyFill="1" applyAlignment="1">
      <alignment horizontal="center"/>
    </xf>
    <xf numFmtId="0" fontId="35" fillId="17" borderId="7" xfId="0" applyFont="1" applyFill="1" applyBorder="1" applyAlignment="1">
      <alignment horizontal="left" vertical="center"/>
    </xf>
    <xf numFmtId="0" fontId="7" fillId="33" borderId="0" xfId="0" applyFont="1" applyFill="1" applyAlignment="1">
      <alignment horizontal="left" vertical="center"/>
    </xf>
    <xf numFmtId="0" fontId="0" fillId="33" borderId="0" xfId="0" applyFill="1"/>
    <xf numFmtId="1" fontId="0" fillId="33" borderId="0" xfId="0" applyNumberFormat="1" applyFill="1"/>
    <xf numFmtId="49" fontId="0" fillId="33" borderId="0" xfId="0" applyNumberFormat="1" applyFill="1"/>
    <xf numFmtId="0" fontId="4" fillId="33" borderId="0" xfId="0" applyFont="1" applyFill="1"/>
    <xf numFmtId="0" fontId="37" fillId="33" borderId="0" xfId="0" applyFont="1" applyFill="1" applyAlignment="1">
      <alignment horizontal="center"/>
    </xf>
    <xf numFmtId="0" fontId="54" fillId="27" borderId="0" xfId="0" applyFont="1" applyFill="1" applyAlignment="1">
      <alignment horizontal="left" vertical="center" indent="1"/>
    </xf>
    <xf numFmtId="0" fontId="0" fillId="0" borderId="0" xfId="0"/>
    <xf numFmtId="0" fontId="5" fillId="25" borderId="0" xfId="0" applyFont="1" applyFill="1" applyAlignment="1">
      <alignment horizontal="left" vertical="center" indent="1"/>
    </xf>
    <xf numFmtId="0" fontId="60" fillId="25" borderId="0" xfId="0" applyFont="1" applyFill="1" applyAlignment="1">
      <alignment horizontal="left" vertical="center" indent="1"/>
    </xf>
    <xf numFmtId="0" fontId="54" fillId="28" borderId="0" xfId="0" applyFont="1" applyFill="1" applyAlignment="1">
      <alignment horizontal="left" vertical="center" indent="1"/>
    </xf>
    <xf numFmtId="0" fontId="54" fillId="29" borderId="0" xfId="0" applyFont="1" applyFill="1" applyAlignment="1">
      <alignment horizontal="left" vertical="center" indent="1"/>
    </xf>
    <xf numFmtId="0" fontId="54" fillId="30" borderId="0" xfId="0" applyFont="1" applyFill="1" applyAlignment="1">
      <alignment horizontal="left" vertical="center" indent="1"/>
    </xf>
    <xf numFmtId="0" fontId="54" fillId="31" borderId="0" xfId="0" applyFont="1" applyFill="1" applyAlignment="1">
      <alignment horizontal="left" vertical="center" indent="1"/>
    </xf>
    <xf numFmtId="0" fontId="54" fillId="32" borderId="0" xfId="0" applyFont="1" applyFill="1" applyAlignment="1">
      <alignment horizontal="left" vertical="center" indent="1"/>
    </xf>
    <xf numFmtId="10" fontId="58" fillId="24" borderId="0" xfId="0" applyNumberFormat="1" applyFont="1" applyFill="1" applyAlignment="1">
      <alignment horizontal="center" vertical="center"/>
    </xf>
    <xf numFmtId="164" fontId="58" fillId="24" borderId="0" xfId="0" applyNumberFormat="1" applyFont="1" applyFill="1" applyAlignment="1">
      <alignment horizontal="center" vertical="center"/>
    </xf>
    <xf numFmtId="0" fontId="69" fillId="19" borderId="0" xfId="0" applyFont="1" applyFill="1"/>
    <xf numFmtId="0" fontId="43" fillId="0" borderId="0" xfId="0" applyFont="1" applyFill="1" applyAlignment="1">
      <alignment horizontal="left" vertical="center"/>
    </xf>
    <xf numFmtId="0" fontId="68" fillId="0" borderId="0" xfId="0" applyFont="1" applyFill="1" applyAlignment="1">
      <alignment horizontal="left" vertical="center"/>
    </xf>
    <xf numFmtId="0" fontId="4" fillId="0" borderId="0" xfId="0" applyFont="1" applyFill="1"/>
    <xf numFmtId="0" fontId="75" fillId="0" borderId="0" xfId="0" applyFont="1" applyFill="1"/>
    <xf numFmtId="0" fontId="76" fillId="0" borderId="0" xfId="0" applyFont="1" applyFill="1" applyAlignment="1">
      <alignment vertical="center"/>
    </xf>
    <xf numFmtId="0" fontId="73" fillId="0" borderId="0" xfId="0" applyFont="1" applyFill="1" applyAlignment="1">
      <alignment vertical="center"/>
    </xf>
    <xf numFmtId="0" fontId="0" fillId="0" borderId="0" xfId="0" applyFill="1"/>
    <xf numFmtId="0" fontId="77" fillId="0" borderId="0" xfId="0" applyFont="1" applyFill="1" applyAlignment="1">
      <alignment vertical="center"/>
    </xf>
    <xf numFmtId="0" fontId="70" fillId="0" borderId="0" xfId="0" applyFont="1" applyFill="1" applyAlignment="1">
      <alignment vertical="center"/>
    </xf>
    <xf numFmtId="0" fontId="77" fillId="0" borderId="0" xfId="0" applyFont="1" applyFill="1"/>
    <xf numFmtId="0" fontId="70" fillId="0" borderId="0" xfId="0" applyFont="1" applyFill="1"/>
    <xf numFmtId="0" fontId="7" fillId="0" borderId="0" xfId="0" applyFont="1" applyFill="1" applyAlignment="1">
      <alignment horizontal="left" vertical="center"/>
    </xf>
    <xf numFmtId="0" fontId="29" fillId="19" borderId="39" xfId="0" applyFont="1" applyFill="1" applyBorder="1" applyAlignment="1">
      <alignment horizontal="left" vertical="center"/>
    </xf>
    <xf numFmtId="0" fontId="29" fillId="19" borderId="40" xfId="0" applyFont="1" applyFill="1" applyBorder="1" applyAlignment="1">
      <alignment horizontal="center" vertical="center"/>
    </xf>
    <xf numFmtId="0" fontId="29" fillId="19" borderId="40" xfId="0" applyFont="1" applyFill="1" applyBorder="1" applyAlignment="1">
      <alignment horizontal="left" vertical="center"/>
    </xf>
    <xf numFmtId="0" fontId="29" fillId="19" borderId="41" xfId="0" applyFont="1" applyFill="1" applyBorder="1" applyAlignment="1">
      <alignment horizontal="center" vertical="center"/>
    </xf>
    <xf numFmtId="0" fontId="51" fillId="17" borderId="42" xfId="0" applyFont="1" applyFill="1" applyBorder="1" applyAlignment="1">
      <alignment vertical="center"/>
    </xf>
    <xf numFmtId="0" fontId="50" fillId="17" borderId="43" xfId="0" applyFont="1" applyFill="1" applyBorder="1" applyAlignment="1">
      <alignment horizontal="center" vertical="center"/>
    </xf>
    <xf numFmtId="0" fontId="52" fillId="17" borderId="43" xfId="0" applyFont="1" applyFill="1" applyBorder="1" applyAlignment="1">
      <alignment horizontal="center" vertical="center"/>
    </xf>
    <xf numFmtId="0" fontId="51" fillId="17" borderId="43" xfId="0" applyFont="1" applyFill="1" applyBorder="1" applyAlignment="1">
      <alignment horizontal="center" vertical="center"/>
    </xf>
    <xf numFmtId="0" fontId="53" fillId="17" borderId="43" xfId="0" applyFont="1" applyFill="1" applyBorder="1" applyAlignment="1">
      <alignment vertical="center"/>
    </xf>
    <xf numFmtId="0" fontId="42" fillId="17" borderId="43" xfId="0" applyFont="1" applyFill="1" applyBorder="1" applyAlignment="1">
      <alignment horizontal="center" vertical="center"/>
    </xf>
    <xf numFmtId="0" fontId="50" fillId="17" borderId="44" xfId="0" applyFont="1" applyFill="1" applyBorder="1" applyAlignment="1">
      <alignment horizontal="center" vertical="center"/>
    </xf>
    <xf numFmtId="0" fontId="51" fillId="7" borderId="45" xfId="0" applyFont="1" applyFill="1" applyBorder="1" applyAlignment="1">
      <alignment vertical="center"/>
    </xf>
    <xf numFmtId="0" fontId="50" fillId="7" borderId="46" xfId="0" applyFont="1" applyFill="1" applyBorder="1" applyAlignment="1">
      <alignment horizontal="center" vertical="center"/>
    </xf>
    <xf numFmtId="0" fontId="52" fillId="7" borderId="46" xfId="0" applyFont="1" applyFill="1" applyBorder="1" applyAlignment="1">
      <alignment horizontal="center" vertical="center"/>
    </xf>
    <xf numFmtId="0" fontId="51" fillId="7" borderId="46" xfId="0" applyFont="1" applyFill="1" applyBorder="1" applyAlignment="1">
      <alignment horizontal="center" vertical="center"/>
    </xf>
    <xf numFmtId="0" fontId="53" fillId="7" borderId="46" xfId="0" applyFont="1" applyFill="1" applyBorder="1" applyAlignment="1">
      <alignment vertical="center"/>
    </xf>
    <xf numFmtId="0" fontId="42" fillId="7" borderId="4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1" fillId="17" borderId="45" xfId="0" applyFont="1" applyFill="1" applyBorder="1" applyAlignment="1">
      <alignment vertical="center"/>
    </xf>
    <xf numFmtId="0" fontId="50" fillId="17" borderId="46" xfId="0" applyFont="1" applyFill="1" applyBorder="1" applyAlignment="1">
      <alignment horizontal="center" vertical="center"/>
    </xf>
    <xf numFmtId="0" fontId="52" fillId="17" borderId="46" xfId="0" applyFont="1" applyFill="1" applyBorder="1" applyAlignment="1">
      <alignment horizontal="center" vertical="center"/>
    </xf>
    <xf numFmtId="0" fontId="51" fillId="17" borderId="46" xfId="0" applyFont="1" applyFill="1" applyBorder="1" applyAlignment="1">
      <alignment horizontal="center" vertical="center"/>
    </xf>
    <xf numFmtId="0" fontId="53" fillId="17" borderId="46" xfId="0" applyFont="1" applyFill="1" applyBorder="1" applyAlignment="1">
      <alignment vertical="center"/>
    </xf>
    <xf numFmtId="0" fontId="42" fillId="17" borderId="46" xfId="0" applyFont="1" applyFill="1" applyBorder="1" applyAlignment="1">
      <alignment horizontal="center" vertical="center"/>
    </xf>
    <xf numFmtId="0" fontId="50" fillId="17" borderId="47" xfId="0" applyFont="1" applyFill="1" applyBorder="1" applyAlignment="1">
      <alignment horizontal="center" vertical="center"/>
    </xf>
    <xf numFmtId="0" fontId="51" fillId="17" borderId="48" xfId="0" applyFont="1" applyFill="1" applyBorder="1" applyAlignment="1">
      <alignment vertical="center"/>
    </xf>
    <xf numFmtId="0" fontId="50" fillId="17" borderId="49" xfId="0" applyFont="1" applyFill="1" applyBorder="1" applyAlignment="1">
      <alignment horizontal="center" vertical="center"/>
    </xf>
    <xf numFmtId="0" fontId="52" fillId="17" borderId="49" xfId="0" applyFont="1" applyFill="1" applyBorder="1" applyAlignment="1">
      <alignment horizontal="center" vertical="center"/>
    </xf>
    <xf numFmtId="0" fontId="51" fillId="17" borderId="49" xfId="0" applyFont="1" applyFill="1" applyBorder="1" applyAlignment="1">
      <alignment horizontal="center" vertical="center"/>
    </xf>
    <xf numFmtId="0" fontId="53" fillId="17" borderId="49" xfId="0" applyFont="1" applyFill="1" applyBorder="1" applyAlignment="1">
      <alignment vertical="center"/>
    </xf>
    <xf numFmtId="0" fontId="42" fillId="17" borderId="49" xfId="0" applyFont="1" applyFill="1" applyBorder="1" applyAlignment="1">
      <alignment horizontal="center" vertical="center"/>
    </xf>
    <xf numFmtId="0" fontId="50" fillId="17" borderId="50" xfId="0" applyFont="1" applyFill="1" applyBorder="1" applyAlignment="1">
      <alignment horizontal="center" vertical="center"/>
    </xf>
    <xf numFmtId="0" fontId="45" fillId="26" borderId="51" xfId="0" applyFont="1" applyFill="1" applyBorder="1"/>
    <xf numFmtId="0" fontId="45" fillId="26" borderId="52" xfId="0" applyFont="1" applyFill="1" applyBorder="1"/>
    <xf numFmtId="0" fontId="45" fillId="26" borderId="53" xfId="0" applyFont="1" applyFill="1" applyBorder="1"/>
    <xf numFmtId="0" fontId="45" fillId="31" borderId="51" xfId="0" applyFont="1" applyFill="1" applyBorder="1" applyAlignment="1">
      <alignment horizontal="center" vertical="center"/>
    </xf>
    <xf numFmtId="0" fontId="45" fillId="31" borderId="52" xfId="0" applyFont="1" applyFill="1" applyBorder="1" applyAlignment="1">
      <alignment horizontal="left" vertical="center"/>
    </xf>
    <xf numFmtId="0" fontId="45" fillId="31" borderId="52" xfId="0" applyFont="1" applyFill="1" applyBorder="1" applyAlignment="1">
      <alignment horizontal="center" vertical="center"/>
    </xf>
    <xf numFmtId="0" fontId="45" fillId="31" borderId="53" xfId="0" applyFont="1" applyFill="1" applyBorder="1" applyAlignment="1">
      <alignment horizontal="center" vertical="center"/>
    </xf>
    <xf numFmtId="0" fontId="45" fillId="28" borderId="51" xfId="0" applyFont="1" applyFill="1" applyBorder="1" applyAlignment="1">
      <alignment horizontal="center" vertical="center"/>
    </xf>
    <xf numFmtId="0" fontId="45" fillId="28" borderId="52" xfId="0" applyFont="1" applyFill="1" applyBorder="1" applyAlignment="1">
      <alignment horizontal="left" vertical="center"/>
    </xf>
    <xf numFmtId="0" fontId="45" fillId="28" borderId="52" xfId="0" applyFont="1" applyFill="1" applyBorder="1" applyAlignment="1">
      <alignment horizontal="center" vertical="center"/>
    </xf>
    <xf numFmtId="0" fontId="45" fillId="28" borderId="53" xfId="0" applyFont="1" applyFill="1" applyBorder="1" applyAlignment="1">
      <alignment horizontal="center" vertical="center"/>
    </xf>
    <xf numFmtId="0" fontId="16" fillId="7" borderId="57" xfId="0" applyFont="1" applyFill="1" applyBorder="1" applyAlignment="1">
      <alignment horizontal="center" vertical="center"/>
    </xf>
    <xf numFmtId="0" fontId="16" fillId="17" borderId="57" xfId="0" applyFont="1" applyFill="1" applyBorder="1" applyAlignment="1">
      <alignment horizontal="center" vertical="center"/>
    </xf>
    <xf numFmtId="0" fontId="16" fillId="17" borderId="58" xfId="0" applyFont="1" applyFill="1" applyBorder="1" applyAlignment="1">
      <alignment horizontal="center" vertical="center"/>
    </xf>
    <xf numFmtId="0" fontId="16" fillId="17" borderId="59" xfId="0" applyFont="1" applyFill="1" applyBorder="1" applyAlignment="1">
      <alignment horizontal="left" vertical="center"/>
    </xf>
    <xf numFmtId="0" fontId="17" fillId="17" borderId="59" xfId="0" applyFont="1" applyFill="1" applyBorder="1" applyAlignment="1">
      <alignment horizontal="center" vertical="center"/>
    </xf>
    <xf numFmtId="0" fontId="16" fillId="17" borderId="59" xfId="0" applyFont="1" applyFill="1" applyBorder="1" applyAlignment="1">
      <alignment horizontal="center" vertical="center"/>
    </xf>
    <xf numFmtId="0" fontId="20" fillId="17" borderId="59" xfId="0" applyFont="1" applyFill="1" applyBorder="1" applyAlignment="1">
      <alignment horizontal="center" vertical="center"/>
    </xf>
    <xf numFmtId="0" fontId="26" fillId="17" borderId="60" xfId="0" applyFont="1" applyFill="1" applyBorder="1" applyAlignment="1">
      <alignment horizontal="center" vertical="center"/>
    </xf>
    <xf numFmtId="0" fontId="16" fillId="17" borderId="61" xfId="0" applyFont="1" applyFill="1" applyBorder="1" applyAlignment="1">
      <alignment horizontal="center" vertical="center"/>
    </xf>
    <xf numFmtId="0" fontId="16" fillId="17" borderId="62" xfId="0" applyFont="1" applyFill="1" applyBorder="1" applyAlignment="1">
      <alignment horizontal="left" vertical="center"/>
    </xf>
    <xf numFmtId="0" fontId="17" fillId="17" borderId="62" xfId="0" applyFont="1" applyFill="1" applyBorder="1" applyAlignment="1">
      <alignment horizontal="center" vertical="center"/>
    </xf>
    <xf numFmtId="0" fontId="16" fillId="17" borderId="62" xfId="0" applyFont="1" applyFill="1" applyBorder="1" applyAlignment="1">
      <alignment horizontal="center" vertical="center"/>
    </xf>
    <xf numFmtId="0" fontId="20" fillId="17" borderId="62" xfId="0" applyFont="1" applyFill="1" applyBorder="1" applyAlignment="1">
      <alignment horizontal="center" vertical="center"/>
    </xf>
    <xf numFmtId="0" fontId="21" fillId="17" borderId="63" xfId="0" applyFont="1" applyFill="1" applyBorder="1" applyAlignment="1">
      <alignment horizontal="center" vertical="center"/>
    </xf>
    <xf numFmtId="0" fontId="16" fillId="7" borderId="53" xfId="0" applyFont="1" applyFill="1" applyBorder="1" applyAlignment="1">
      <alignment horizontal="center" vertical="center"/>
    </xf>
    <xf numFmtId="0" fontId="16" fillId="7" borderId="51" xfId="0" applyFont="1" applyFill="1" applyBorder="1" applyAlignment="1">
      <alignment horizontal="center" vertical="center"/>
    </xf>
    <xf numFmtId="0" fontId="16" fillId="7" borderId="52" xfId="0" applyFont="1" applyFill="1" applyBorder="1" applyAlignment="1">
      <alignment horizontal="left" vertical="center"/>
    </xf>
    <xf numFmtId="0" fontId="17" fillId="7" borderId="52" xfId="0" applyFont="1" applyFill="1" applyBorder="1" applyAlignment="1">
      <alignment horizontal="center" vertical="center"/>
    </xf>
    <xf numFmtId="0" fontId="16" fillId="7" borderId="52" xfId="0" applyFont="1" applyFill="1" applyBorder="1" applyAlignment="1">
      <alignment horizontal="center" vertical="center"/>
    </xf>
    <xf numFmtId="0" fontId="20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/>
    </xf>
    <xf numFmtId="0" fontId="16" fillId="7" borderId="45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left" vertical="center"/>
    </xf>
    <xf numFmtId="0" fontId="17" fillId="7" borderId="46" xfId="0" applyFont="1" applyFill="1" applyBorder="1" applyAlignment="1">
      <alignment horizontal="center" vertical="center"/>
    </xf>
    <xf numFmtId="0" fontId="16" fillId="7" borderId="46" xfId="0" applyFont="1" applyFill="1" applyBorder="1" applyAlignment="1">
      <alignment horizontal="center" vertical="center"/>
    </xf>
    <xf numFmtId="0" fontId="20" fillId="7" borderId="46" xfId="0" applyFont="1" applyFill="1" applyBorder="1" applyAlignment="1">
      <alignment horizontal="center" vertical="center"/>
    </xf>
    <xf numFmtId="0" fontId="26" fillId="7" borderId="46" xfId="0" applyFont="1" applyFill="1" applyBorder="1" applyAlignment="1">
      <alignment horizontal="center" vertical="center"/>
    </xf>
    <xf numFmtId="0" fontId="16" fillId="17" borderId="48" xfId="0" applyFont="1" applyFill="1" applyBorder="1" applyAlignment="1">
      <alignment horizontal="center" vertical="center"/>
    </xf>
    <xf numFmtId="0" fontId="16" fillId="17" borderId="49" xfId="0" applyFont="1" applyFill="1" applyBorder="1" applyAlignment="1">
      <alignment horizontal="left" vertical="center"/>
    </xf>
    <xf numFmtId="0" fontId="17" fillId="17" borderId="49" xfId="0" applyFont="1" applyFill="1" applyBorder="1" applyAlignment="1">
      <alignment horizontal="center" vertical="center"/>
    </xf>
    <xf numFmtId="0" fontId="16" fillId="17" borderId="49" xfId="0" applyFont="1" applyFill="1" applyBorder="1" applyAlignment="1">
      <alignment horizontal="center" vertical="center"/>
    </xf>
    <xf numFmtId="0" fontId="20" fillId="17" borderId="49" xfId="0" applyFont="1" applyFill="1" applyBorder="1" applyAlignment="1">
      <alignment horizontal="center" vertical="center"/>
    </xf>
    <xf numFmtId="0" fontId="26" fillId="17" borderId="49" xfId="0" applyFont="1" applyFill="1" applyBorder="1" applyAlignment="1">
      <alignment horizontal="center" vertical="center"/>
    </xf>
    <xf numFmtId="0" fontId="16" fillId="17" borderId="45" xfId="0" applyFont="1" applyFill="1" applyBorder="1" applyAlignment="1">
      <alignment horizontal="center" vertical="center"/>
    </xf>
    <xf numFmtId="0" fontId="16" fillId="17" borderId="46" xfId="0" applyFont="1" applyFill="1" applyBorder="1" applyAlignment="1">
      <alignment horizontal="left" vertical="center"/>
    </xf>
    <xf numFmtId="0" fontId="17" fillId="17" borderId="46" xfId="0" applyFont="1" applyFill="1" applyBorder="1" applyAlignment="1">
      <alignment horizontal="center" vertical="center"/>
    </xf>
    <xf numFmtId="0" fontId="16" fillId="17" borderId="46" xfId="0" applyFont="1" applyFill="1" applyBorder="1" applyAlignment="1">
      <alignment horizontal="center" vertical="center"/>
    </xf>
    <xf numFmtId="0" fontId="20" fillId="17" borderId="46" xfId="0" applyFont="1" applyFill="1" applyBorder="1" applyAlignment="1">
      <alignment horizontal="center" vertical="center"/>
    </xf>
    <xf numFmtId="0" fontId="26" fillId="17" borderId="46" xfId="0" applyFont="1" applyFill="1" applyBorder="1" applyAlignment="1">
      <alignment horizontal="center" vertical="center"/>
    </xf>
    <xf numFmtId="0" fontId="45" fillId="29" borderId="51" xfId="0" applyFont="1" applyFill="1" applyBorder="1" applyAlignment="1">
      <alignment horizontal="center" vertical="center"/>
    </xf>
    <xf numFmtId="0" fontId="45" fillId="29" borderId="52" xfId="0" applyFont="1" applyFill="1" applyBorder="1" applyAlignment="1">
      <alignment horizontal="left" vertical="center"/>
    </xf>
    <xf numFmtId="0" fontId="45" fillId="29" borderId="52" xfId="0" applyFont="1" applyFill="1" applyBorder="1" applyAlignment="1">
      <alignment horizontal="center" vertical="center"/>
    </xf>
    <xf numFmtId="0" fontId="45" fillId="29" borderId="53" xfId="0" applyFont="1" applyFill="1" applyBorder="1" applyAlignment="1">
      <alignment horizontal="center" vertical="center"/>
    </xf>
    <xf numFmtId="0" fontId="45" fillId="30" borderId="51" xfId="0" applyFont="1" applyFill="1" applyBorder="1" applyAlignment="1">
      <alignment horizontal="center" vertical="center"/>
    </xf>
    <xf numFmtId="0" fontId="45" fillId="30" borderId="52" xfId="0" applyFont="1" applyFill="1" applyBorder="1" applyAlignment="1">
      <alignment horizontal="left" vertical="center"/>
    </xf>
    <xf numFmtId="0" fontId="45" fillId="30" borderId="52" xfId="0" applyFont="1" applyFill="1" applyBorder="1" applyAlignment="1">
      <alignment horizontal="center" vertical="center"/>
    </xf>
    <xf numFmtId="0" fontId="45" fillId="30" borderId="53" xfId="0" applyFont="1" applyFill="1" applyBorder="1" applyAlignment="1">
      <alignment horizontal="center" vertical="center"/>
    </xf>
    <xf numFmtId="0" fontId="45" fillId="32" borderId="51" xfId="0" applyFont="1" applyFill="1" applyBorder="1" applyAlignment="1">
      <alignment horizontal="center" vertical="center"/>
    </xf>
    <xf numFmtId="0" fontId="45" fillId="32" borderId="52" xfId="0" applyFont="1" applyFill="1" applyBorder="1" applyAlignment="1">
      <alignment horizontal="left" vertical="center"/>
    </xf>
    <xf numFmtId="0" fontId="45" fillId="32" borderId="52" xfId="0" applyFont="1" applyFill="1" applyBorder="1" applyAlignment="1">
      <alignment horizontal="center" vertical="center"/>
    </xf>
    <xf numFmtId="0" fontId="45" fillId="32" borderId="53" xfId="0" applyFont="1" applyFill="1" applyBorder="1" applyAlignment="1">
      <alignment horizontal="center" vertical="center"/>
    </xf>
    <xf numFmtId="0" fontId="27" fillId="20" borderId="64" xfId="0" applyFont="1" applyFill="1" applyBorder="1" applyAlignment="1">
      <alignment horizontal="center" vertical="center"/>
    </xf>
    <xf numFmtId="0" fontId="28" fillId="7" borderId="65" xfId="0" applyFont="1" applyFill="1" applyBorder="1" applyAlignment="1">
      <alignment horizontal="center" vertical="center"/>
    </xf>
    <xf numFmtId="0" fontId="28" fillId="17" borderId="65" xfId="0" applyFont="1" applyFill="1" applyBorder="1" applyAlignment="1">
      <alignment horizontal="center" vertical="center"/>
    </xf>
    <xf numFmtId="0" fontId="28" fillId="7" borderId="66" xfId="0" applyFont="1" applyFill="1" applyBorder="1" applyAlignment="1">
      <alignment horizontal="center" vertical="center"/>
    </xf>
    <xf numFmtId="0" fontId="4" fillId="0" borderId="52" xfId="0" applyFont="1" applyBorder="1"/>
    <xf numFmtId="0" fontId="4" fillId="0" borderId="53" xfId="0" applyFont="1" applyBorder="1"/>
    <xf numFmtId="0" fontId="27" fillId="20" borderId="51" xfId="0" applyFont="1" applyFill="1" applyBorder="1" applyAlignment="1">
      <alignment horizontal="center" vertical="center"/>
    </xf>
    <xf numFmtId="0" fontId="27" fillId="20" borderId="52" xfId="0" applyFont="1" applyFill="1" applyBorder="1" applyAlignment="1">
      <alignment horizontal="left" vertical="center"/>
    </xf>
    <xf numFmtId="0" fontId="27" fillId="20" borderId="52" xfId="0" applyFont="1" applyFill="1" applyBorder="1" applyAlignment="1">
      <alignment horizontal="center" vertical="center"/>
    </xf>
    <xf numFmtId="0" fontId="28" fillId="7" borderId="54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left" vertical="center"/>
    </xf>
    <xf numFmtId="0" fontId="27" fillId="7" borderId="55" xfId="0" applyFont="1" applyFill="1" applyBorder="1" applyAlignment="1">
      <alignment horizontal="center" vertical="center"/>
    </xf>
    <xf numFmtId="0" fontId="28" fillId="7" borderId="55" xfId="0" applyFont="1" applyFill="1" applyBorder="1" applyAlignment="1">
      <alignment horizontal="center" vertical="center"/>
    </xf>
    <xf numFmtId="0" fontId="28" fillId="17" borderId="49" xfId="0" applyFont="1" applyFill="1" applyBorder="1" applyAlignment="1">
      <alignment horizontal="center" vertical="center"/>
    </xf>
    <xf numFmtId="0" fontId="28" fillId="17" borderId="45" xfId="0" applyFont="1" applyFill="1" applyBorder="1" applyAlignment="1">
      <alignment horizontal="center" vertical="center"/>
    </xf>
    <xf numFmtId="0" fontId="28" fillId="17" borderId="46" xfId="0" applyFont="1" applyFill="1" applyBorder="1" applyAlignment="1">
      <alignment horizontal="left" vertical="center"/>
    </xf>
    <xf numFmtId="0" fontId="27" fillId="17" borderId="46" xfId="0" applyFont="1" applyFill="1" applyBorder="1" applyAlignment="1">
      <alignment horizontal="center" vertical="center"/>
    </xf>
    <xf numFmtId="0" fontId="28" fillId="17" borderId="46" xfId="0" applyFont="1" applyFill="1" applyBorder="1" applyAlignment="1">
      <alignment horizontal="center" vertical="center"/>
    </xf>
    <xf numFmtId="0" fontId="28" fillId="7" borderId="48" xfId="0" applyFont="1" applyFill="1" applyBorder="1" applyAlignment="1">
      <alignment horizontal="center" vertical="center"/>
    </xf>
    <xf numFmtId="0" fontId="28" fillId="7" borderId="49" xfId="0" applyFont="1" applyFill="1" applyBorder="1" applyAlignment="1">
      <alignment horizontal="left" vertical="center"/>
    </xf>
    <xf numFmtId="0" fontId="27" fillId="7" borderId="49" xfId="0" applyFont="1" applyFill="1" applyBorder="1" applyAlignment="1">
      <alignment horizontal="center" vertical="center"/>
    </xf>
    <xf numFmtId="0" fontId="28" fillId="7" borderId="49" xfId="0" applyFont="1" applyFill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/>
    </xf>
    <xf numFmtId="0" fontId="28" fillId="7" borderId="46" xfId="0" applyFont="1" applyFill="1" applyBorder="1" applyAlignment="1">
      <alignment horizontal="left" vertical="center"/>
    </xf>
    <xf numFmtId="0" fontId="27" fillId="7" borderId="46" xfId="0" applyFont="1" applyFill="1" applyBorder="1" applyAlignment="1">
      <alignment horizontal="center" vertical="center"/>
    </xf>
    <xf numFmtId="0" fontId="28" fillId="7" borderId="46" xfId="0" applyFont="1" applyFill="1" applyBorder="1" applyAlignment="1">
      <alignment horizontal="center" vertical="center"/>
    </xf>
    <xf numFmtId="0" fontId="0" fillId="0" borderId="52" xfId="0" applyBorder="1"/>
    <xf numFmtId="0" fontId="29" fillId="19" borderId="67" xfId="0" applyFont="1" applyFill="1" applyBorder="1" applyAlignment="1">
      <alignment horizontal="center" vertical="center"/>
    </xf>
    <xf numFmtId="0" fontId="29" fillId="19" borderId="51" xfId="0" applyFont="1" applyFill="1" applyBorder="1" applyAlignment="1">
      <alignment horizontal="center" vertical="center"/>
    </xf>
    <xf numFmtId="0" fontId="29" fillId="19" borderId="52" xfId="0" applyFont="1" applyFill="1" applyBorder="1" applyAlignment="1">
      <alignment horizontal="left" vertical="center"/>
    </xf>
    <xf numFmtId="0" fontId="29" fillId="19" borderId="52" xfId="0" applyFont="1" applyFill="1" applyBorder="1" applyAlignment="1">
      <alignment horizontal="center" vertical="center"/>
    </xf>
    <xf numFmtId="0" fontId="30" fillId="21" borderId="68" xfId="0" applyFont="1" applyFill="1" applyBorder="1" applyAlignment="1">
      <alignment horizontal="center" vertical="center"/>
    </xf>
    <xf numFmtId="0" fontId="30" fillId="21" borderId="51" xfId="0" applyFont="1" applyFill="1" applyBorder="1" applyAlignment="1">
      <alignment horizontal="center" vertical="center"/>
    </xf>
    <xf numFmtId="0" fontId="30" fillId="21" borderId="52" xfId="0" applyFont="1" applyFill="1" applyBorder="1" applyAlignment="1">
      <alignment horizontal="left" vertical="center"/>
    </xf>
    <xf numFmtId="0" fontId="30" fillId="21" borderId="52" xfId="0" applyFont="1" applyFill="1" applyBorder="1" applyAlignment="1">
      <alignment horizontal="center" vertical="center"/>
    </xf>
    <xf numFmtId="0" fontId="29" fillId="19" borderId="51" xfId="0" applyFont="1" applyFill="1" applyBorder="1" applyAlignment="1">
      <alignment horizontal="left" vertical="center"/>
    </xf>
    <xf numFmtId="0" fontId="29" fillId="19" borderId="53" xfId="0" applyFont="1" applyFill="1" applyBorder="1" applyAlignment="1">
      <alignment horizontal="center" vertical="center"/>
    </xf>
    <xf numFmtId="0" fontId="37" fillId="7" borderId="54" xfId="0" applyFont="1" applyFill="1" applyBorder="1" applyAlignment="1">
      <alignment horizontal="left" vertical="center"/>
    </xf>
    <xf numFmtId="0" fontId="38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left" vertical="center"/>
    </xf>
    <xf numFmtId="0" fontId="40" fillId="7" borderId="55" xfId="0" applyFont="1" applyFill="1" applyBorder="1" applyAlignment="1">
      <alignment horizontal="left" vertical="center"/>
    </xf>
    <xf numFmtId="10" fontId="28" fillId="7" borderId="55" xfId="0" applyNumberFormat="1" applyFont="1" applyFill="1" applyBorder="1" applyAlignment="1">
      <alignment horizontal="center" vertical="center"/>
    </xf>
    <xf numFmtId="10" fontId="39" fillId="7" borderId="55" xfId="0" applyNumberFormat="1" applyFont="1" applyFill="1" applyBorder="1" applyAlignment="1">
      <alignment horizontal="center" vertical="center"/>
    </xf>
    <xf numFmtId="0" fontId="74" fillId="7" borderId="56" xfId="0" applyFont="1" applyFill="1" applyBorder="1" applyAlignment="1">
      <alignment horizontal="center" vertical="center"/>
    </xf>
    <xf numFmtId="0" fontId="37" fillId="17" borderId="48" xfId="0" applyFont="1" applyFill="1" applyBorder="1" applyAlignment="1">
      <alignment horizontal="left" vertical="center"/>
    </xf>
    <xf numFmtId="0" fontId="37" fillId="17" borderId="45" xfId="0" applyFont="1" applyFill="1" applyBorder="1" applyAlignment="1">
      <alignment horizontal="left" vertical="center"/>
    </xf>
    <xf numFmtId="0" fontId="38" fillId="17" borderId="46" xfId="0" applyFont="1" applyFill="1" applyBorder="1" applyAlignment="1">
      <alignment horizontal="center" vertical="center"/>
    </xf>
    <xf numFmtId="0" fontId="39" fillId="17" borderId="46" xfId="0" applyFont="1" applyFill="1" applyBorder="1" applyAlignment="1">
      <alignment horizontal="left" vertical="center"/>
    </xf>
    <xf numFmtId="0" fontId="40" fillId="17" borderId="46" xfId="0" applyFont="1" applyFill="1" applyBorder="1" applyAlignment="1">
      <alignment horizontal="left" vertical="center"/>
    </xf>
    <xf numFmtId="10" fontId="28" fillId="17" borderId="46" xfId="0" applyNumberFormat="1" applyFont="1" applyFill="1" applyBorder="1" applyAlignment="1">
      <alignment horizontal="center" vertical="center"/>
    </xf>
    <xf numFmtId="10" fontId="39" fillId="17" borderId="46" xfId="0" applyNumberFormat="1" applyFont="1" applyFill="1" applyBorder="1" applyAlignment="1">
      <alignment horizontal="center" vertical="center"/>
    </xf>
    <xf numFmtId="0" fontId="74" fillId="17" borderId="47" xfId="0" applyFont="1" applyFill="1" applyBorder="1" applyAlignment="1">
      <alignment horizontal="center" vertical="center"/>
    </xf>
    <xf numFmtId="0" fontId="37" fillId="7" borderId="45" xfId="0" applyFont="1" applyFill="1" applyBorder="1" applyAlignment="1">
      <alignment horizontal="left" vertical="center"/>
    </xf>
    <xf numFmtId="0" fontId="38" fillId="7" borderId="46" xfId="0" applyFont="1" applyFill="1" applyBorder="1" applyAlignment="1">
      <alignment horizontal="center" vertical="center"/>
    </xf>
    <xf numFmtId="0" fontId="39" fillId="7" borderId="46" xfId="0" applyFont="1" applyFill="1" applyBorder="1" applyAlignment="1">
      <alignment horizontal="left" vertical="center"/>
    </xf>
    <xf numFmtId="0" fontId="40" fillId="7" borderId="46" xfId="0" applyFont="1" applyFill="1" applyBorder="1" applyAlignment="1">
      <alignment horizontal="left" vertical="center"/>
    </xf>
    <xf numFmtId="10" fontId="28" fillId="7" borderId="46" xfId="0" applyNumberFormat="1" applyFont="1" applyFill="1" applyBorder="1" applyAlignment="1">
      <alignment horizontal="center" vertical="center"/>
    </xf>
    <xf numFmtId="10" fontId="39" fillId="7" borderId="46" xfId="0" applyNumberFormat="1" applyFont="1" applyFill="1" applyBorder="1" applyAlignment="1">
      <alignment horizontal="center" vertical="center"/>
    </xf>
    <xf numFmtId="0" fontId="74" fillId="7" borderId="47" xfId="0" applyFont="1" applyFill="1" applyBorder="1" applyAlignment="1">
      <alignment horizontal="center" vertical="center"/>
    </xf>
    <xf numFmtId="0" fontId="39" fillId="17" borderId="50" xfId="0" applyFont="1" applyFill="1" applyBorder="1" applyAlignment="1">
      <alignment horizontal="center" vertical="center"/>
    </xf>
    <xf numFmtId="0" fontId="41" fillId="17" borderId="46" xfId="0" applyFont="1" applyFill="1" applyBorder="1" applyAlignment="1">
      <alignment horizontal="center" vertical="center"/>
    </xf>
    <xf numFmtId="0" fontId="42" fillId="17" borderId="46" xfId="0" applyFont="1" applyFill="1" applyBorder="1" applyAlignment="1">
      <alignment horizontal="left" vertical="center"/>
    </xf>
    <xf numFmtId="10" fontId="42" fillId="17" borderId="46" xfId="0" applyNumberFormat="1" applyFont="1" applyFill="1" applyBorder="1" applyAlignment="1">
      <alignment horizontal="center" vertical="center"/>
    </xf>
    <xf numFmtId="0" fontId="39" fillId="17" borderId="47" xfId="0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left" vertical="center"/>
    </xf>
    <xf numFmtId="10" fontId="42" fillId="7" borderId="46" xfId="0" applyNumberFormat="1" applyFont="1" applyFill="1" applyBorder="1" applyAlignment="1">
      <alignment horizontal="center" vertical="center"/>
    </xf>
    <xf numFmtId="0" fontId="39" fillId="7" borderId="47" xfId="0" applyFont="1" applyFill="1" applyBorder="1" applyAlignment="1">
      <alignment horizontal="center" vertical="center"/>
    </xf>
    <xf numFmtId="0" fontId="29" fillId="17" borderId="46" xfId="0" applyFont="1" applyFill="1" applyBorder="1" applyAlignment="1">
      <alignment horizontal="center" vertical="center"/>
    </xf>
    <xf numFmtId="0" fontId="32" fillId="17" borderId="46" xfId="0" applyFont="1" applyFill="1" applyBorder="1" applyAlignment="1">
      <alignment horizontal="left" vertical="center"/>
    </xf>
    <xf numFmtId="0" fontId="39" fillId="7" borderId="46" xfId="0" applyFont="1" applyFill="1" applyBorder="1" applyAlignment="1">
      <alignment horizontal="center" vertical="center"/>
    </xf>
    <xf numFmtId="0" fontId="37" fillId="17" borderId="69" xfId="0" applyFont="1" applyFill="1" applyBorder="1" applyAlignment="1">
      <alignment horizontal="left" vertical="center"/>
    </xf>
    <xf numFmtId="0" fontId="28" fillId="17" borderId="70" xfId="0" applyFont="1" applyFill="1" applyBorder="1" applyAlignment="1">
      <alignment horizontal="center" vertical="center"/>
    </xf>
    <xf numFmtId="0" fontId="29" fillId="17" borderId="70" xfId="0" applyFont="1" applyFill="1" applyBorder="1" applyAlignment="1">
      <alignment horizontal="center" vertical="center"/>
    </xf>
    <xf numFmtId="0" fontId="32" fillId="17" borderId="70" xfId="0" applyFont="1" applyFill="1" applyBorder="1" applyAlignment="1">
      <alignment horizontal="left" vertical="center"/>
    </xf>
    <xf numFmtId="0" fontId="40" fillId="17" borderId="70" xfId="0" applyFont="1" applyFill="1" applyBorder="1" applyAlignment="1">
      <alignment horizontal="left" vertical="center"/>
    </xf>
    <xf numFmtId="10" fontId="28" fillId="17" borderId="70" xfId="0" applyNumberFormat="1" applyFont="1" applyFill="1" applyBorder="1" applyAlignment="1">
      <alignment horizontal="center" vertical="center"/>
    </xf>
    <xf numFmtId="10" fontId="42" fillId="17" borderId="70" xfId="0" applyNumberFormat="1" applyFont="1" applyFill="1" applyBorder="1" applyAlignment="1">
      <alignment horizontal="center" vertical="center"/>
    </xf>
    <xf numFmtId="0" fontId="39" fillId="17" borderId="71" xfId="0" applyFont="1" applyFill="1" applyBorder="1" applyAlignment="1">
      <alignment horizontal="center" vertical="center"/>
    </xf>
    <xf numFmtId="0" fontId="38" fillId="17" borderId="47" xfId="0" applyFont="1" applyFill="1" applyBorder="1" applyAlignment="1">
      <alignment horizontal="center" vertical="center"/>
    </xf>
    <xf numFmtId="0" fontId="38" fillId="7" borderId="47" xfId="0" applyFont="1" applyFill="1" applyBorder="1" applyAlignment="1">
      <alignment horizontal="center" vertical="center"/>
    </xf>
    <xf numFmtId="0" fontId="71" fillId="7" borderId="46" xfId="0" applyFont="1" applyFill="1" applyBorder="1" applyAlignment="1">
      <alignment horizontal="center" vertical="center"/>
    </xf>
    <xf numFmtId="0" fontId="69" fillId="7" borderId="46" xfId="0" applyFont="1" applyFill="1" applyBorder="1" applyAlignment="1">
      <alignment horizontal="left" vertical="center"/>
    </xf>
    <xf numFmtId="0" fontId="71" fillId="17" borderId="49" xfId="0" applyFont="1" applyFill="1" applyBorder="1" applyAlignment="1">
      <alignment horizontal="center" vertical="center"/>
    </xf>
    <xf numFmtId="0" fontId="69" fillId="17" borderId="49" xfId="0" applyFont="1" applyFill="1" applyBorder="1" applyAlignment="1">
      <alignment horizontal="left" vertical="center"/>
    </xf>
    <xf numFmtId="0" fontId="0" fillId="7" borderId="54" xfId="0" applyFill="1" applyBorder="1"/>
    <xf numFmtId="0" fontId="0" fillId="7" borderId="55" xfId="0" applyFill="1" applyBorder="1"/>
    <xf numFmtId="0" fontId="0" fillId="7" borderId="56" xfId="0" applyFill="1" applyBorder="1"/>
    <xf numFmtId="0" fontId="0" fillId="17" borderId="45" xfId="0" applyFill="1" applyBorder="1"/>
    <xf numFmtId="0" fontId="0" fillId="17" borderId="46" xfId="0" applyFill="1" applyBorder="1"/>
    <xf numFmtId="0" fontId="0" fillId="17" borderId="47" xfId="0" applyFill="1" applyBorder="1"/>
    <xf numFmtId="0" fontId="0" fillId="7" borderId="45" xfId="0" applyFill="1" applyBorder="1"/>
    <xf numFmtId="0" fontId="0" fillId="7" borderId="46" xfId="0" applyFill="1" applyBorder="1"/>
    <xf numFmtId="0" fontId="0" fillId="7" borderId="47" xfId="0" applyFill="1" applyBorder="1"/>
    <xf numFmtId="0" fontId="0" fillId="17" borderId="48" xfId="0" applyFill="1" applyBorder="1"/>
    <xf numFmtId="0" fontId="0" fillId="17" borderId="49" xfId="0" applyFill="1" applyBorder="1"/>
    <xf numFmtId="0" fontId="0" fillId="17" borderId="50" xfId="0" applyFill="1" applyBorder="1"/>
    <xf numFmtId="0" fontId="0" fillId="7" borderId="48" xfId="0" applyFill="1" applyBorder="1"/>
    <xf numFmtId="0" fontId="0" fillId="7" borderId="49" xfId="0" applyFill="1" applyBorder="1"/>
    <xf numFmtId="0" fontId="0" fillId="7" borderId="50" xfId="0" applyFill="1" applyBorder="1"/>
    <xf numFmtId="0" fontId="16" fillId="7" borderId="54" xfId="0" applyFont="1" applyFill="1" applyBorder="1" applyAlignment="1">
      <alignment horizontal="center" vertical="center"/>
    </xf>
    <xf numFmtId="0" fontId="16" fillId="7" borderId="55" xfId="0" applyFont="1" applyFill="1" applyBorder="1" applyAlignment="1">
      <alignment horizontal="left" vertical="center"/>
    </xf>
    <xf numFmtId="0" fontId="17" fillId="7" borderId="55" xfId="0" applyFont="1" applyFill="1" applyBorder="1" applyAlignment="1">
      <alignment horizontal="center" vertical="center"/>
    </xf>
    <xf numFmtId="0" fontId="16" fillId="7" borderId="55" xfId="0" applyFont="1" applyFill="1" applyBorder="1" applyAlignment="1">
      <alignment horizontal="center" vertical="center"/>
    </xf>
    <xf numFmtId="0" fontId="20" fillId="7" borderId="55" xfId="0" applyFont="1" applyFill="1" applyBorder="1" applyAlignment="1">
      <alignment horizontal="center" vertical="center"/>
    </xf>
    <xf numFmtId="0" fontId="26" fillId="7" borderId="55" xfId="0" applyFont="1" applyFill="1" applyBorder="1" applyAlignment="1">
      <alignment horizontal="center" vertical="center"/>
    </xf>
    <xf numFmtId="0" fontId="4" fillId="7" borderId="55" xfId="0" applyFont="1" applyFill="1" applyBorder="1"/>
    <xf numFmtId="0" fontId="4" fillId="7" borderId="56" xfId="0" applyFont="1" applyFill="1" applyBorder="1"/>
    <xf numFmtId="0" fontId="4" fillId="17" borderId="46" xfId="0" applyFont="1" applyFill="1" applyBorder="1"/>
    <xf numFmtId="0" fontId="4" fillId="17" borderId="47" xfId="0" applyFont="1" applyFill="1" applyBorder="1"/>
    <xf numFmtId="0" fontId="4" fillId="7" borderId="46" xfId="0" applyFont="1" applyFill="1" applyBorder="1"/>
    <xf numFmtId="0" fontId="4" fillId="7" borderId="47" xfId="0" applyFont="1" applyFill="1" applyBorder="1"/>
    <xf numFmtId="0" fontId="4" fillId="7" borderId="49" xfId="0" applyFont="1" applyFill="1" applyBorder="1"/>
    <xf numFmtId="0" fontId="4" fillId="7" borderId="50" xfId="0" applyFont="1" applyFill="1" applyBorder="1"/>
    <xf numFmtId="0" fontId="72" fillId="7" borderId="48" xfId="0" applyFont="1" applyFill="1" applyBorder="1" applyAlignment="1">
      <alignment horizontal="left" vertical="center"/>
    </xf>
    <xf numFmtId="0" fontId="72" fillId="7" borderId="49" xfId="0" applyFont="1" applyFill="1" applyBorder="1" applyAlignment="1">
      <alignment horizontal="center" vertical="center"/>
    </xf>
    <xf numFmtId="0" fontId="72" fillId="7" borderId="50" xfId="0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0" fillId="0" borderId="38" xfId="0" applyFill="1" applyBorder="1"/>
    <xf numFmtId="0" fontId="28" fillId="0" borderId="38" xfId="0" applyFont="1" applyFill="1" applyBorder="1" applyAlignment="1">
      <alignment horizontal="center" vertical="center"/>
    </xf>
    <xf numFmtId="0" fontId="28" fillId="0" borderId="72" xfId="0" applyFont="1" applyFill="1" applyBorder="1" applyAlignment="1">
      <alignment horizontal="center" vertical="center"/>
    </xf>
    <xf numFmtId="0" fontId="29" fillId="0" borderId="72" xfId="0" applyFont="1" applyFill="1" applyBorder="1" applyAlignment="1">
      <alignment horizontal="center" vertical="center"/>
    </xf>
    <xf numFmtId="0" fontId="0" fillId="19" borderId="0" xfId="0" applyFill="1" applyBorder="1"/>
    <xf numFmtId="0" fontId="29" fillId="19" borderId="38" xfId="0" applyFont="1" applyFill="1" applyBorder="1" applyAlignment="1">
      <alignment horizontal="center" vertical="center"/>
    </xf>
    <xf numFmtId="0" fontId="0" fillId="0" borderId="72" xfId="0" applyFill="1" applyBorder="1"/>
    <xf numFmtId="0" fontId="0" fillId="0" borderId="7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Sociétés — Score Global FinSight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Global /100</c:v>
          </c:tx>
          <c:spPr>
            <a:solidFill>
              <a:srgbClr val="1E3A5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VALUE!$O$2:$O$16</c:f>
              <c:strCache>
                <c:ptCount val="15"/>
                <c:pt idx="0">
                  <c:v>SAP SE</c:v>
                </c:pt>
                <c:pt idx="1">
                  <c:v>Prosus N.V.</c:v>
                </c:pt>
                <c:pt idx="2">
                  <c:v>Sanofi</c:v>
                </c:pt>
                <c:pt idx="3">
                  <c:v>L'Oréal S.A.</c:v>
                </c:pt>
                <c:pt idx="4">
                  <c:v>Telefónica, S.A.</c:v>
                </c:pt>
                <c:pt idx="5">
                  <c:v>Hermès International</c:v>
                </c:pt>
                <c:pt idx="6">
                  <c:v>TotalEnergies SE</c:v>
                </c:pt>
                <c:pt idx="7">
                  <c:v>Siemens Aktiengesell</c:v>
                </c:pt>
                <c:pt idx="8">
                  <c:v>Volkswagen AG</c:v>
                </c:pt>
                <c:pt idx="9">
                  <c:v>Koninklijke Philips </c:v>
                </c:pt>
                <c:pt idx="10">
                  <c:v>RWE Aktiengesellscha</c:v>
                </c:pt>
                <c:pt idx="11">
                  <c:v>Banco Santander, S.A</c:v>
                </c:pt>
                <c:pt idx="12">
                  <c:v>Schneider Electric S</c:v>
                </c:pt>
                <c:pt idx="13">
                  <c:v>Rio Tinto Group</c:v>
                </c:pt>
                <c:pt idx="14">
                  <c:v>GSK plc</c:v>
                </c:pt>
              </c:strCache>
            </c:strRef>
          </c:cat>
          <c:val>
            <c:numRef>
              <c:f>VALUE!$P$2:$P$16</c:f>
              <c:numCache>
                <c:formatCode>General</c:formatCode>
                <c:ptCount val="15"/>
                <c:pt idx="0">
                  <c:v>74</c:v>
                </c:pt>
                <c:pt idx="1">
                  <c:v>72</c:v>
                </c:pt>
                <c:pt idx="2">
                  <c:v>68</c:v>
                </c:pt>
                <c:pt idx="3">
                  <c:v>66</c:v>
                </c:pt>
                <c:pt idx="4">
                  <c:v>60</c:v>
                </c:pt>
                <c:pt idx="5">
                  <c:v>60</c:v>
                </c:pt>
                <c:pt idx="6">
                  <c:v>59</c:v>
                </c:pt>
                <c:pt idx="7">
                  <c:v>56</c:v>
                </c:pt>
                <c:pt idx="8">
                  <c:v>56</c:v>
                </c:pt>
                <c:pt idx="9">
                  <c:v>53</c:v>
                </c:pt>
                <c:pt idx="10">
                  <c:v>53</c:v>
                </c:pt>
                <c:pt idx="11">
                  <c:v>48</c:v>
                </c:pt>
                <c:pt idx="12">
                  <c:v>39</c:v>
                </c:pt>
                <c:pt idx="13">
                  <c:v>38</c:v>
                </c:pt>
                <c:pt idx="1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5-4D37-9BB4-83AE457D01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61023"/>
        <c:axId val="361262463"/>
      </c:barChart>
      <c:catAx>
        <c:axId val="3612610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2463"/>
        <c:crosses val="autoZero"/>
        <c:auto val="1"/>
        <c:lblAlgn val="ctr"/>
        <c:lblOffset val="100"/>
        <c:noMultiLvlLbl val="0"/>
      </c:catAx>
      <c:valAx>
        <c:axId val="36126246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10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Croissance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GROWTH!$P$1</c:f>
              <c:strCache>
                <c:ptCount val="1"/>
                <c:pt idx="0">
                  <c:v>Score Gr</c:v>
                </c:pt>
              </c:strCache>
            </c:strRef>
          </c:tx>
          <c:spPr>
            <a:solidFill>
              <a:srgbClr val="2D8A6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GROWTH!$O$2:$O$11</c:f>
              <c:strCache>
                <c:ptCount val="10"/>
                <c:pt idx="0">
                  <c:v>ASML Holding N.V.</c:v>
                </c:pt>
                <c:pt idx="1">
                  <c:v>AstraZeneca PLC</c:v>
                </c:pt>
                <c:pt idx="2">
                  <c:v>Hermès Internation</c:v>
                </c:pt>
                <c:pt idx="3">
                  <c:v>GSK plc</c:v>
                </c:pt>
                <c:pt idx="4">
                  <c:v>SAP SE</c:v>
                </c:pt>
                <c:pt idx="5">
                  <c:v>Rio Tinto Group</c:v>
                </c:pt>
                <c:pt idx="6">
                  <c:v>Münchener Rückvers</c:v>
                </c:pt>
                <c:pt idx="7">
                  <c:v>Sanofi</c:v>
                </c:pt>
                <c:pt idx="8">
                  <c:v>Industria de Diseñ</c:v>
                </c:pt>
                <c:pt idx="9">
                  <c:v>Prosus N.V.</c:v>
                </c:pt>
              </c:strCache>
            </c:strRef>
          </c:cat>
          <c:val>
            <c:numRef>
              <c:f>GROWTH!$P$2:$P$11</c:f>
              <c:numCache>
                <c:formatCode>General</c:formatCode>
                <c:ptCount val="10"/>
                <c:pt idx="0">
                  <c:v>92</c:v>
                </c:pt>
                <c:pt idx="1">
                  <c:v>87</c:v>
                </c:pt>
                <c:pt idx="2">
                  <c:v>81</c:v>
                </c:pt>
                <c:pt idx="3">
                  <c:v>78</c:v>
                </c:pt>
                <c:pt idx="4">
                  <c:v>78</c:v>
                </c:pt>
                <c:pt idx="5">
                  <c:v>77</c:v>
                </c:pt>
                <c:pt idx="6">
                  <c:v>71</c:v>
                </c:pt>
                <c:pt idx="7">
                  <c:v>67</c:v>
                </c:pt>
                <c:pt idx="8">
                  <c:v>67</c:v>
                </c:pt>
                <c:pt idx="9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EF-4311-804A-10ABB881F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65823"/>
        <c:axId val="361266303"/>
      </c:barChart>
      <c:catAx>
        <c:axId val="36126582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6303"/>
        <c:crosses val="autoZero"/>
        <c:auto val="1"/>
        <c:lblAlgn val="ctr"/>
        <c:lblOffset val="100"/>
        <c:noMultiLvlLbl val="0"/>
      </c:catAx>
      <c:valAx>
        <c:axId val="36126630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658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Qualité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QUALITY!$P$1</c:f>
              <c:strCache>
                <c:ptCount val="1"/>
                <c:pt idx="0">
                  <c:v>Score Qual</c:v>
                </c:pt>
              </c:strCache>
            </c:strRef>
          </c:tx>
          <c:spPr>
            <a:solidFill>
              <a:srgbClr val="8E7BB5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QUALITY!$O$2:$O$11</c:f>
              <c:strCache>
                <c:ptCount val="10"/>
                <c:pt idx="0">
                  <c:v>Hermès Internat</c:v>
                </c:pt>
                <c:pt idx="1">
                  <c:v>ASML Holding N.</c:v>
                </c:pt>
                <c:pt idx="2">
                  <c:v>Industria de Di</c:v>
                </c:pt>
                <c:pt idx="3">
                  <c:v>SAP SE</c:v>
                </c:pt>
                <c:pt idx="4">
                  <c:v>Rio Tinto Group</c:v>
                </c:pt>
                <c:pt idx="5">
                  <c:v>L'Oréal S.A.</c:v>
                </c:pt>
                <c:pt idx="6">
                  <c:v>LVMH Moët Henne</c:v>
                </c:pt>
                <c:pt idx="7">
                  <c:v>RWE Aktiengesel</c:v>
                </c:pt>
                <c:pt idx="8">
                  <c:v>Shell plc</c:v>
                </c:pt>
                <c:pt idx="9">
                  <c:v>Prosus N.V.</c:v>
                </c:pt>
              </c:strCache>
            </c:strRef>
          </c:cat>
          <c:val>
            <c:numRef>
              <c:f>QUALITY!$P$2:$P$11</c:f>
              <c:numCache>
                <c:formatCode>General</c:formatCode>
                <c:ptCount val="10"/>
                <c:pt idx="0">
                  <c:v>99</c:v>
                </c:pt>
                <c:pt idx="1">
                  <c:v>86</c:v>
                </c:pt>
                <c:pt idx="2">
                  <c:v>83</c:v>
                </c:pt>
                <c:pt idx="3">
                  <c:v>80</c:v>
                </c:pt>
                <c:pt idx="4">
                  <c:v>78</c:v>
                </c:pt>
                <c:pt idx="5">
                  <c:v>72</c:v>
                </c:pt>
                <c:pt idx="6">
                  <c:v>69</c:v>
                </c:pt>
                <c:pt idx="7">
                  <c:v>66</c:v>
                </c:pt>
                <c:pt idx="8">
                  <c:v>61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DB-4F49-AB43-8A2DBF876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1298192"/>
        <c:axId val="651296752"/>
      </c:barChart>
      <c:catAx>
        <c:axId val="6512981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96752"/>
        <c:crosses val="autoZero"/>
        <c:auto val="1"/>
        <c:lblAlgn val="ctr"/>
        <c:lblOffset val="100"/>
        <c:noMultiLvlLbl val="0"/>
      </c:catAx>
      <c:valAx>
        <c:axId val="651296752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98192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Sociétés — Score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MOMENTUM!$P$1</c:f>
              <c:strCache>
                <c:ptCount val="1"/>
                <c:pt idx="0">
                  <c:v>Score Mom</c:v>
                </c:pt>
              </c:strCache>
            </c:strRef>
          </c:tx>
          <c:spPr>
            <a:solidFill>
              <a:srgbClr val="C8A95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MOMENTUM!$O$2:$O$11</c:f>
              <c:strCache>
                <c:ptCount val="10"/>
                <c:pt idx="0">
                  <c:v>Eni S.p.A.</c:v>
                </c:pt>
                <c:pt idx="1">
                  <c:v>ASML Holding N.V.</c:v>
                </c:pt>
                <c:pt idx="2">
                  <c:v>RWE Aktiengesellsc</c:v>
                </c:pt>
                <c:pt idx="3">
                  <c:v>Nokia Oyj</c:v>
                </c:pt>
                <c:pt idx="4">
                  <c:v>Rio Tinto Group</c:v>
                </c:pt>
                <c:pt idx="5">
                  <c:v>Kering SA</c:v>
                </c:pt>
                <c:pt idx="6">
                  <c:v>Bayer Aktiengesell</c:v>
                </c:pt>
                <c:pt idx="7">
                  <c:v>TotalEnergies SE</c:v>
                </c:pt>
                <c:pt idx="8">
                  <c:v>BP p.l.c.</c:v>
                </c:pt>
                <c:pt idx="9">
                  <c:v>Société Générale S</c:v>
                </c:pt>
              </c:strCache>
            </c:strRef>
          </c:cat>
          <c:val>
            <c:numRef>
              <c:f>MOMENTUM!$P$2:$P$11</c:f>
              <c:numCache>
                <c:formatCode>General</c:formatCode>
                <c:ptCount val="10"/>
                <c:pt idx="0">
                  <c:v>100</c:v>
                </c:pt>
                <c:pt idx="1">
                  <c:v>98</c:v>
                </c:pt>
                <c:pt idx="2">
                  <c:v>96</c:v>
                </c:pt>
                <c:pt idx="3">
                  <c:v>94</c:v>
                </c:pt>
                <c:pt idx="4">
                  <c:v>91</c:v>
                </c:pt>
                <c:pt idx="5">
                  <c:v>89</c:v>
                </c:pt>
                <c:pt idx="6">
                  <c:v>87</c:v>
                </c:pt>
                <c:pt idx="7">
                  <c:v>85</c:v>
                </c:pt>
                <c:pt idx="8">
                  <c:v>83</c:v>
                </c:pt>
                <c:pt idx="9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2-470C-A9DC-B98E097D1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71583"/>
        <c:axId val="361270143"/>
      </c:barChart>
      <c:catAx>
        <c:axId val="3612715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70143"/>
        <c:crosses val="autoZero"/>
        <c:auto val="1"/>
        <c:lblAlgn val="ctr"/>
        <c:lblOffset val="100"/>
        <c:noMultiLvlLbl val="0"/>
      </c:catAx>
      <c:valAx>
        <c:axId val="36127014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7158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par Secteur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/100</c:v>
          </c:tx>
          <c:spPr>
            <a:solidFill>
              <a:srgbClr val="1E3A5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 SECTEUR'!$L$2:$L$11</c:f>
              <c:strCache>
                <c:ptCount val="10"/>
                <c:pt idx="0">
                  <c:v>Technologie</c:v>
                </c:pt>
                <c:pt idx="1">
                  <c:v>Matériaux</c:v>
                </c:pt>
                <c:pt idx="2">
                  <c:v>Santé</c:v>
                </c:pt>
                <c:pt idx="3">
                  <c:v>Industrie</c:v>
                </c:pt>
                <c:pt idx="4">
                  <c:v>Serv. Publ.</c:v>
                </c:pt>
                <c:pt idx="5">
                  <c:v>Conso. Déf.</c:v>
                </c:pt>
                <c:pt idx="6">
                  <c:v>Conso. Cycl.</c:v>
                </c:pt>
                <c:pt idx="7">
                  <c:v>Télécoms</c:v>
                </c:pt>
                <c:pt idx="8">
                  <c:v>Énergie</c:v>
                </c:pt>
                <c:pt idx="9">
                  <c:v>Finance</c:v>
                </c:pt>
              </c:strCache>
            </c:strRef>
          </c:cat>
          <c:val>
            <c:numRef>
              <c:f>'PAR SECTEUR'!$M$2:$M$11</c:f>
              <c:numCache>
                <c:formatCode>General</c:formatCode>
                <c:ptCount val="10"/>
                <c:pt idx="0">
                  <c:v>56</c:v>
                </c:pt>
                <c:pt idx="1">
                  <c:v>50</c:v>
                </c:pt>
                <c:pt idx="2">
                  <c:v>46</c:v>
                </c:pt>
                <c:pt idx="3">
                  <c:v>41</c:v>
                </c:pt>
                <c:pt idx="4">
                  <c:v>40</c:v>
                </c:pt>
                <c:pt idx="5">
                  <c:v>40</c:v>
                </c:pt>
                <c:pt idx="6">
                  <c:v>38</c:v>
                </c:pt>
                <c:pt idx="7">
                  <c:v>38</c:v>
                </c:pt>
                <c:pt idx="8">
                  <c:v>37</c:v>
                </c:pt>
                <c:pt idx="9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A-49B1-B9CA-A916E979B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50943"/>
        <c:axId val="361245663"/>
      </c:barChart>
      <c:catAx>
        <c:axId val="3612509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5663"/>
        <c:crosses val="autoZero"/>
        <c:auto val="1"/>
        <c:lblAlgn val="ctr"/>
        <c:lblOffset val="100"/>
        <c:noMultiLvlLbl val="0"/>
      </c:catAx>
      <c:valAx>
        <c:axId val="36124566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094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Marge EBITDA Médiane par Secteur (%)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Mg EBITDA %</c:v>
          </c:tx>
          <c:spPr>
            <a:solidFill>
              <a:srgbClr val="C8A951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'PAR SECTEUR'!$L$14:$L$22</c:f>
              <c:strCache>
                <c:ptCount val="6"/>
                <c:pt idx="0">
                  <c:v>Financials</c:v>
                </c:pt>
                <c:pt idx="1">
                  <c:v>Real Estate</c:v>
                </c:pt>
                <c:pt idx="2">
                  <c:v>Consumer Disc.</c:v>
                </c:pt>
                <c:pt idx="3">
                  <c:v>Healthcare</c:v>
                </c:pt>
                <c:pt idx="4">
                  <c:v>Materials</c:v>
                </c:pt>
                <c:pt idx="5">
                  <c:v>Consumer Staples</c:v>
                </c:pt>
              </c:strCache>
            </c:strRef>
          </c:cat>
          <c:val>
            <c:numRef>
              <c:f>'PAR SECTEUR'!$M$14:$M$22</c:f>
              <c:numCache>
                <c:formatCode>General</c:formatCode>
                <c:ptCount val="9"/>
                <c:pt idx="0">
                  <c:v>103.4</c:v>
                </c:pt>
                <c:pt idx="1">
                  <c:v>89.1</c:v>
                </c:pt>
                <c:pt idx="2">
                  <c:v>28.3</c:v>
                </c:pt>
                <c:pt idx="3">
                  <c:v>23.2</c:v>
                </c:pt>
                <c:pt idx="4">
                  <c:v>22.7</c:v>
                </c:pt>
                <c:pt idx="5">
                  <c:v>16.100000000000001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2-45CB-AE9E-B3FBAF472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249023"/>
        <c:axId val="361252383"/>
      </c:barChart>
      <c:catAx>
        <c:axId val="36124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2383"/>
        <c:crosses val="autoZero"/>
        <c:auto val="1"/>
        <c:lblAlgn val="ctr"/>
        <c:lblOffset val="100"/>
        <c:noMultiLvlLbl val="0"/>
      </c:catAx>
      <c:valAx>
        <c:axId val="36125238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90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Composition CAC 40 par Secteur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'PAR SECTEUR'!$I$25</c:f>
              <c:strCache>
                <c:ptCount val="1"/>
                <c:pt idx="0">
                  <c:v>24,9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E3A5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CAE-4A2C-B749-C4CDBE05A249}"/>
              </c:ext>
            </c:extLst>
          </c:dPt>
          <c:dPt>
            <c:idx val="1"/>
            <c:bubble3D val="0"/>
            <c:spPr>
              <a:solidFill>
                <a:srgbClr val="2E6DA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CAE-4A2C-B749-C4CDBE05A249}"/>
              </c:ext>
            </c:extLst>
          </c:dPt>
          <c:dPt>
            <c:idx val="2"/>
            <c:bubble3D val="0"/>
            <c:spPr>
              <a:solidFill>
                <a:srgbClr val="4A9BD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CAE-4A2C-B749-C4CDBE05A249}"/>
              </c:ext>
            </c:extLst>
          </c:dPt>
          <c:dPt>
            <c:idx val="3"/>
            <c:bubble3D val="0"/>
            <c:spPr>
              <a:solidFill>
                <a:srgbClr val="C8A95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CAE-4A2C-B749-C4CDBE05A249}"/>
              </c:ext>
            </c:extLst>
          </c:dPt>
          <c:dPt>
            <c:idx val="4"/>
            <c:bubble3D val="0"/>
            <c:spPr>
              <a:solidFill>
                <a:srgbClr val="E8C97A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CAE-4A2C-B749-C4CDBE05A249}"/>
              </c:ext>
            </c:extLst>
          </c:dPt>
          <c:dPt>
            <c:idx val="5"/>
            <c:bubble3D val="0"/>
            <c:spPr>
              <a:solidFill>
                <a:srgbClr val="2D8A6E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CAE-4A2C-B749-C4CDBE05A249}"/>
              </c:ext>
            </c:extLst>
          </c:dPt>
          <c:dPt>
            <c:idx val="6"/>
            <c:bubble3D val="0"/>
            <c:spPr>
              <a:solidFill>
                <a:srgbClr val="47B39C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CAE-4A2C-B749-C4CDBE05A249}"/>
              </c:ext>
            </c:extLst>
          </c:dPt>
          <c:dPt>
            <c:idx val="7"/>
            <c:bubble3D val="0"/>
            <c:spPr>
              <a:solidFill>
                <a:srgbClr val="8E7BB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CAE-4A2C-B749-C4CDBE05A249}"/>
              </c:ext>
            </c:extLst>
          </c:dPt>
          <c:dPt>
            <c:idx val="8"/>
            <c:bubble3D val="0"/>
            <c:spPr>
              <a:solidFill>
                <a:srgbClr val="B5A8D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CAE-4A2C-B749-C4CDBE05A249}"/>
              </c:ext>
            </c:extLst>
          </c:dPt>
          <c:dPt>
            <c:idx val="9"/>
            <c:bubble3D val="0"/>
            <c:spPr>
              <a:solidFill>
                <a:srgbClr val="D4626B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CAE-4A2C-B749-C4CDBE05A24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'PAR SECTEUR'!$L$26:$L$35</c:f>
              <c:strCache>
                <c:ptCount val="10"/>
                <c:pt idx="5">
                  <c:v>Healthcare</c:v>
                </c:pt>
                <c:pt idx="6">
                  <c:v>Comm. Services</c:v>
                </c:pt>
                <c:pt idx="7">
                  <c:v>Materials</c:v>
                </c:pt>
                <c:pt idx="8">
                  <c:v>Real Estate</c:v>
                </c:pt>
                <c:pt idx="9">
                  <c:v>Energy</c:v>
                </c:pt>
              </c:strCache>
            </c:strRef>
          </c:cat>
          <c:val>
            <c:numRef>
              <c:f>'PAR SECTEUR'!$M$26:$M$35</c:f>
              <c:numCache>
                <c:formatCode>General</c:formatCode>
                <c:ptCount val="10"/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CAE-4A2C-B749-C4CDBE05A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Composite FinSight — CAC 40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 /100</c:v>
          </c:tx>
          <c:spPr>
            <a:solidFill>
              <a:srgbClr val="1E3A5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'SECTOR OVERVIEW'!$O$2:$O$12</c:f>
              <c:strCache>
                <c:ptCount val="11"/>
                <c:pt idx="0">
                  <c:v>Healthcare</c:v>
                </c:pt>
                <c:pt idx="1">
                  <c:v>Real Estate</c:v>
                </c:pt>
                <c:pt idx="2">
                  <c:v>Consumer Staples</c:v>
                </c:pt>
                <c:pt idx="3">
                  <c:v>Financials</c:v>
                </c:pt>
                <c:pt idx="4">
                  <c:v>Industrials</c:v>
                </c:pt>
                <c:pt idx="5">
                  <c:v>Materials</c:v>
                </c:pt>
                <c:pt idx="6">
                  <c:v>Utilities</c:v>
                </c:pt>
                <c:pt idx="7">
                  <c:v>Technology</c:v>
                </c:pt>
                <c:pt idx="8">
                  <c:v>Consumer Disc.</c:v>
                </c:pt>
                <c:pt idx="9">
                  <c:v>Comm. Services</c:v>
                </c:pt>
                <c:pt idx="10">
                  <c:v>Energy</c:v>
                </c:pt>
              </c:strCache>
            </c:strRef>
          </c:cat>
          <c:val>
            <c:numRef>
              <c:f>'SECTOR OVERVIEW'!$P$2:$P$12</c:f>
              <c:numCache>
                <c:formatCode>General</c:formatCode>
                <c:ptCount val="11"/>
                <c:pt idx="0">
                  <c:v>69</c:v>
                </c:pt>
                <c:pt idx="1">
                  <c:v>69</c:v>
                </c:pt>
                <c:pt idx="2">
                  <c:v>56</c:v>
                </c:pt>
                <c:pt idx="3">
                  <c:v>55</c:v>
                </c:pt>
                <c:pt idx="4">
                  <c:v>54</c:v>
                </c:pt>
                <c:pt idx="5">
                  <c:v>54</c:v>
                </c:pt>
                <c:pt idx="6">
                  <c:v>46</c:v>
                </c:pt>
                <c:pt idx="7">
                  <c:v>36</c:v>
                </c:pt>
                <c:pt idx="8">
                  <c:v>41</c:v>
                </c:pt>
                <c:pt idx="9">
                  <c:v>38</c:v>
                </c:pt>
                <c:pt idx="1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DB-4450-90FA-4F912DD7F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1258143"/>
        <c:axId val="361246623"/>
      </c:barChart>
      <c:catAx>
        <c:axId val="3612581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46623"/>
        <c:crosses val="autoZero"/>
        <c:auto val="1"/>
        <c:lblAlgn val="ctr"/>
        <c:lblOffset val="100"/>
        <c:noMultiLvlLbl val="0"/>
      </c:catAx>
      <c:valAx>
        <c:axId val="361246623"/>
        <c:scaling>
          <c:orientation val="minMax"/>
          <c:max val="1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25814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TECHNOLOGY!$S$29:$S$32</c:f>
              <c:strCache>
                <c:ptCount val="4"/>
                <c:pt idx="0">
                  <c:v>ASML Holding N</c:v>
                </c:pt>
                <c:pt idx="1">
                  <c:v>SAP SE</c:v>
                </c:pt>
                <c:pt idx="2">
                  <c:v>Nokia Oyj</c:v>
                </c:pt>
                <c:pt idx="3">
                  <c:v>Infineon Techn</c:v>
                </c:pt>
              </c:strCache>
            </c:strRef>
          </c:cat>
          <c:val>
            <c:numRef>
              <c:f>TECHNOLOGY!$T$29:$T$32</c:f>
              <c:numCache>
                <c:formatCode>General</c:formatCode>
                <c:ptCount val="4"/>
                <c:pt idx="0">
                  <c:v>75</c:v>
                </c:pt>
                <c:pt idx="1">
                  <c:v>62</c:v>
                </c:pt>
                <c:pt idx="2">
                  <c:v>46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2-44FF-B104-2F4790855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351023"/>
        <c:axId val="103349583"/>
      </c:barChart>
      <c:catAx>
        <c:axId val="1033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49583"/>
        <c:crosses val="autoZero"/>
        <c:auto val="1"/>
        <c:lblAlgn val="ctr"/>
        <c:lblOffset val="100"/>
        <c:noMultiLvlLbl val="0"/>
      </c:catAx>
      <c:valAx>
        <c:axId val="10334958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510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TECHNOLOGY!$S$29:$S$32</c:f>
              <c:strCache>
                <c:ptCount val="4"/>
                <c:pt idx="0">
                  <c:v>ASML Holding N</c:v>
                </c:pt>
                <c:pt idx="1">
                  <c:v>SAP SE</c:v>
                </c:pt>
                <c:pt idx="2">
                  <c:v>Nokia Oyj</c:v>
                </c:pt>
                <c:pt idx="3">
                  <c:v>Infineon Techn</c:v>
                </c:pt>
              </c:strCache>
            </c:strRef>
          </c:cat>
          <c:val>
            <c:numRef>
              <c:f>TECHNOLOGY!$U$29:$U$32</c:f>
              <c:numCache>
                <c:formatCode>General</c:formatCode>
                <c:ptCount val="4"/>
                <c:pt idx="0">
                  <c:v>92</c:v>
                </c:pt>
                <c:pt idx="1">
                  <c:v>78</c:v>
                </c:pt>
                <c:pt idx="2">
                  <c:v>29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A5-48FF-80D5-53C72A1D9AA0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TECHNOLOGY!$S$29:$S$32</c:f>
              <c:strCache>
                <c:ptCount val="4"/>
                <c:pt idx="0">
                  <c:v>ASML Holding N</c:v>
                </c:pt>
                <c:pt idx="1">
                  <c:v>SAP SE</c:v>
                </c:pt>
                <c:pt idx="2">
                  <c:v>Nokia Oyj</c:v>
                </c:pt>
                <c:pt idx="3">
                  <c:v>Infineon Techn</c:v>
                </c:pt>
              </c:strCache>
            </c:strRef>
          </c:cat>
          <c:val>
            <c:numRef>
              <c:f>TECHNOLOGY!$V$29:$V$32</c:f>
              <c:numCache>
                <c:formatCode>General</c:formatCode>
                <c:ptCount val="4"/>
                <c:pt idx="0">
                  <c:v>86</c:v>
                </c:pt>
                <c:pt idx="1">
                  <c:v>80</c:v>
                </c:pt>
                <c:pt idx="2">
                  <c:v>57</c:v>
                </c:pt>
                <c:pt idx="3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A5-48FF-80D5-53C72A1D9AA0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TECHNOLOGY!$S$29:$S$32</c:f>
              <c:strCache>
                <c:ptCount val="4"/>
                <c:pt idx="0">
                  <c:v>ASML Holding N</c:v>
                </c:pt>
                <c:pt idx="1">
                  <c:v>SAP SE</c:v>
                </c:pt>
                <c:pt idx="2">
                  <c:v>Nokia Oyj</c:v>
                </c:pt>
                <c:pt idx="3">
                  <c:v>Infineon Techn</c:v>
                </c:pt>
              </c:strCache>
            </c:strRef>
          </c:cat>
          <c:val>
            <c:numRef>
              <c:f>TECHNOLOGY!$W$29:$W$32</c:f>
              <c:numCache>
                <c:formatCode>General</c:formatCode>
                <c:ptCount val="4"/>
                <c:pt idx="0">
                  <c:v>98</c:v>
                </c:pt>
                <c:pt idx="1">
                  <c:v>0</c:v>
                </c:pt>
                <c:pt idx="2">
                  <c:v>94</c:v>
                </c:pt>
                <c:pt idx="3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A5-48FF-80D5-53C72A1D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715855"/>
        <c:axId val="651260752"/>
      </c:barChart>
      <c:catAx>
        <c:axId val="3587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60752"/>
        <c:crosses val="autoZero"/>
        <c:auto val="1"/>
        <c:lblAlgn val="ctr"/>
        <c:lblOffset val="100"/>
        <c:noMultiLvlLbl val="0"/>
      </c:catAx>
      <c:valAx>
        <c:axId val="651260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7158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Industria de D</c:v>
                </c:pt>
                <c:pt idx="2">
                  <c:v>Prosus N.V.</c:v>
                </c:pt>
                <c:pt idx="3">
                  <c:v>LVMH Moët Henn</c:v>
                </c:pt>
              </c:strCache>
            </c:strRef>
          </c:cat>
          <c:val>
            <c:numRef>
              <c:f>'CONSUMER DISC.'!$T$29:$T$32</c:f>
              <c:numCache>
                <c:formatCode>General</c:formatCode>
                <c:ptCount val="4"/>
                <c:pt idx="0">
                  <c:v>65</c:v>
                </c:pt>
                <c:pt idx="1">
                  <c:v>58</c:v>
                </c:pt>
                <c:pt idx="2">
                  <c:v>56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5-4958-BDB6-BE68E9C44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351023"/>
        <c:axId val="103349583"/>
      </c:barChart>
      <c:catAx>
        <c:axId val="10335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49583"/>
        <c:crosses val="autoZero"/>
        <c:auto val="1"/>
        <c:lblAlgn val="ctr"/>
        <c:lblOffset val="100"/>
        <c:noMultiLvlLbl val="0"/>
      </c:catAx>
      <c:valAx>
        <c:axId val="103349583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3351023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Industria de D</c:v>
                </c:pt>
                <c:pt idx="2">
                  <c:v>Prosus N.V.</c:v>
                </c:pt>
                <c:pt idx="3">
                  <c:v>LVMH Moët Henn</c:v>
                </c:pt>
              </c:strCache>
            </c:strRef>
          </c:cat>
          <c:val>
            <c:numRef>
              <c:f>'CONSUMER DISC.'!$U$29:$U$32</c:f>
              <c:numCache>
                <c:formatCode>General</c:formatCode>
                <c:ptCount val="4"/>
                <c:pt idx="0">
                  <c:v>81</c:v>
                </c:pt>
                <c:pt idx="1">
                  <c:v>67</c:v>
                </c:pt>
                <c:pt idx="2">
                  <c:v>66</c:v>
                </c:pt>
                <c:pt idx="3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D-4BB2-9B0C-81A53B5CDC4E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Industria de D</c:v>
                </c:pt>
                <c:pt idx="2">
                  <c:v>Prosus N.V.</c:v>
                </c:pt>
                <c:pt idx="3">
                  <c:v>LVMH Moët Henn</c:v>
                </c:pt>
              </c:strCache>
            </c:strRef>
          </c:cat>
          <c:val>
            <c:numRef>
              <c:f>'CONSUMER DISC.'!$V$29:$V$32</c:f>
              <c:numCache>
                <c:formatCode>General</c:formatCode>
                <c:ptCount val="4"/>
                <c:pt idx="0">
                  <c:v>99</c:v>
                </c:pt>
                <c:pt idx="1">
                  <c:v>83</c:v>
                </c:pt>
                <c:pt idx="2">
                  <c:v>59</c:v>
                </c:pt>
                <c:pt idx="3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D-4BB2-9B0C-81A53B5CDC4E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'CONSUMER DISC.'!$S$29:$S$32</c:f>
              <c:strCache>
                <c:ptCount val="4"/>
                <c:pt idx="0">
                  <c:v>Hermès Interna</c:v>
                </c:pt>
                <c:pt idx="1">
                  <c:v>Industria de D</c:v>
                </c:pt>
                <c:pt idx="2">
                  <c:v>Prosus N.V.</c:v>
                </c:pt>
                <c:pt idx="3">
                  <c:v>LVMH Moët Henn</c:v>
                </c:pt>
              </c:strCache>
            </c:strRef>
          </c:cat>
          <c:val>
            <c:numRef>
              <c:f>'CONSUMER DISC.'!$W$29:$W$32</c:f>
              <c:numCache>
                <c:formatCode>General</c:formatCode>
                <c:ptCount val="4"/>
                <c:pt idx="0">
                  <c:v>4</c:v>
                </c:pt>
                <c:pt idx="1">
                  <c:v>51</c:v>
                </c:pt>
                <c:pt idx="2">
                  <c:v>15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D-4BB2-9B0C-81A53B5CD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8715855"/>
        <c:axId val="651260752"/>
      </c:barChart>
      <c:catAx>
        <c:axId val="35871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60752"/>
        <c:crosses val="autoZero"/>
        <c:auto val="1"/>
        <c:lblAlgn val="ctr"/>
        <c:lblOffset val="100"/>
        <c:noMultiLvlLbl val="0"/>
      </c:catAx>
      <c:valAx>
        <c:axId val="65126075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871585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FINANCIALS!$S$29:$S$32</c:f>
              <c:strCache>
                <c:ptCount val="4"/>
                <c:pt idx="0">
                  <c:v>Société Généra</c:v>
                </c:pt>
                <c:pt idx="1">
                  <c:v>Banco Santande</c:v>
                </c:pt>
                <c:pt idx="2">
                  <c:v>HSBC Holdings </c:v>
                </c:pt>
                <c:pt idx="3">
                  <c:v>Münchener Rück</c:v>
                </c:pt>
              </c:strCache>
            </c:strRef>
          </c:cat>
          <c:val>
            <c:numRef>
              <c:f>FINANCIALS!$T$29:$T$32</c:f>
              <c:numCache>
                <c:formatCode>General</c:formatCode>
                <c:ptCount val="4"/>
                <c:pt idx="0">
                  <c:v>47</c:v>
                </c:pt>
                <c:pt idx="1">
                  <c:v>41</c:v>
                </c:pt>
                <c:pt idx="2">
                  <c:v>39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28-4268-B388-60475C614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64608"/>
        <c:axId val="1291967968"/>
      </c:barChart>
      <c:catAx>
        <c:axId val="1291964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7968"/>
        <c:crosses val="autoZero"/>
        <c:auto val="1"/>
        <c:lblAlgn val="ctr"/>
        <c:lblOffset val="100"/>
        <c:noMultiLvlLbl val="0"/>
      </c:catAx>
      <c:valAx>
        <c:axId val="129196796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460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FINANCIALS!$S$29:$S$32</c:f>
              <c:strCache>
                <c:ptCount val="4"/>
                <c:pt idx="0">
                  <c:v>Société Généra</c:v>
                </c:pt>
                <c:pt idx="1">
                  <c:v>Banco Santande</c:v>
                </c:pt>
                <c:pt idx="2">
                  <c:v>HSBC Holdings </c:v>
                </c:pt>
                <c:pt idx="3">
                  <c:v>Münchener Rück</c:v>
                </c:pt>
              </c:strCache>
            </c:strRef>
          </c:cat>
          <c:val>
            <c:numRef>
              <c:f>FINANCIALS!$U$29:$U$32</c:f>
              <c:numCache>
                <c:formatCode>General</c:formatCode>
                <c:ptCount val="4"/>
                <c:pt idx="0">
                  <c:v>65</c:v>
                </c:pt>
                <c:pt idx="1">
                  <c:v>34</c:v>
                </c:pt>
                <c:pt idx="2">
                  <c:v>35</c:v>
                </c:pt>
                <c:pt idx="3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0-4E7D-B6CD-8AAEDCA00C6C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FINANCIALS!$S$29:$S$32</c:f>
              <c:strCache>
                <c:ptCount val="4"/>
                <c:pt idx="0">
                  <c:v>Société Généra</c:v>
                </c:pt>
                <c:pt idx="1">
                  <c:v>Banco Santande</c:v>
                </c:pt>
                <c:pt idx="2">
                  <c:v>HSBC Holdings </c:v>
                </c:pt>
                <c:pt idx="3">
                  <c:v>Münchener Rück</c:v>
                </c:pt>
              </c:strCache>
            </c:strRef>
          </c:cat>
          <c:val>
            <c:numRef>
              <c:f>FINANCIALS!$V$29:$V$32</c:f>
              <c:numCache>
                <c:formatCode>General</c:formatCode>
                <c:ptCount val="4"/>
                <c:pt idx="0">
                  <c:v>47</c:v>
                </c:pt>
                <c:pt idx="1">
                  <c:v>17</c:v>
                </c:pt>
                <c:pt idx="2">
                  <c:v>32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0-4E7D-B6CD-8AAEDCA00C6C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FINANCIALS!$S$29:$S$32</c:f>
              <c:strCache>
                <c:ptCount val="4"/>
                <c:pt idx="0">
                  <c:v>Société Généra</c:v>
                </c:pt>
                <c:pt idx="1">
                  <c:v>Banco Santande</c:v>
                </c:pt>
                <c:pt idx="2">
                  <c:v>HSBC Holdings </c:v>
                </c:pt>
                <c:pt idx="3">
                  <c:v>Münchener Rück</c:v>
                </c:pt>
              </c:strCache>
            </c:strRef>
          </c:cat>
          <c:val>
            <c:numRef>
              <c:f>FINANCIALS!$W$29:$W$32</c:f>
              <c:numCache>
                <c:formatCode>General</c:formatCode>
                <c:ptCount val="4"/>
                <c:pt idx="0">
                  <c:v>81</c:v>
                </c:pt>
                <c:pt idx="1">
                  <c:v>74</c:v>
                </c:pt>
                <c:pt idx="2">
                  <c:v>79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0-4E7D-B6CD-8AAEDCA0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77568"/>
        <c:axId val="1291969408"/>
      </c:barChart>
      <c:catAx>
        <c:axId val="129197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69408"/>
        <c:crosses val="autoZero"/>
        <c:auto val="1"/>
        <c:lblAlgn val="ctr"/>
        <c:lblOffset val="100"/>
        <c:noMultiLvlLbl val="0"/>
      </c:catAx>
      <c:valAx>
        <c:axId val="12919694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775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INDUSTRIALS!$S$29:$S$33</c:f>
              <c:strCache>
                <c:ptCount val="4"/>
                <c:pt idx="0">
                  <c:v>{=IFERROR(IF(1</c:v>
                </c:pt>
                <c:pt idx="1">
                  <c:v>{=IFERROR(IF(2</c:v>
                </c:pt>
                <c:pt idx="2">
                  <c:v>Airbus SE</c:v>
                </c:pt>
                <c:pt idx="3">
                  <c:v>{=IFERROR(IF(4</c:v>
                </c:pt>
              </c:strCache>
            </c:strRef>
          </c:cat>
          <c:val>
            <c:numRef>
              <c:f>INDUSTRIALS!$T$29:$T$33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4-431C-865E-DE1C496D3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10208"/>
        <c:axId val="1292010688"/>
      </c:barChart>
      <c:catAx>
        <c:axId val="1292010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0688"/>
        <c:crosses val="autoZero"/>
        <c:auto val="1"/>
        <c:lblAlgn val="ctr"/>
        <c:lblOffset val="100"/>
        <c:noMultiLvlLbl val="0"/>
      </c:catAx>
      <c:valAx>
        <c:axId val="12920106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020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INDUSTRIALS!$S$29:$S$33</c:f>
              <c:strCache>
                <c:ptCount val="4"/>
                <c:pt idx="0">
                  <c:v>{=IFERROR(IF(1</c:v>
                </c:pt>
                <c:pt idx="1">
                  <c:v>{=IFERROR(IF(2</c:v>
                </c:pt>
                <c:pt idx="2">
                  <c:v>Airbus SE</c:v>
                </c:pt>
                <c:pt idx="3">
                  <c:v>{=IFERROR(IF(4</c:v>
                </c:pt>
              </c:strCache>
            </c:strRef>
          </c:cat>
          <c:val>
            <c:numRef>
              <c:f>INDUSTRIALS!$U$29:$U$33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C-4540-B856-B3AC58D30614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INDUSTRIALS!$S$29:$S$33</c:f>
              <c:strCache>
                <c:ptCount val="4"/>
                <c:pt idx="0">
                  <c:v>{=IFERROR(IF(1</c:v>
                </c:pt>
                <c:pt idx="1">
                  <c:v>{=IFERROR(IF(2</c:v>
                </c:pt>
                <c:pt idx="2">
                  <c:v>Airbus SE</c:v>
                </c:pt>
                <c:pt idx="3">
                  <c:v>{=IFERROR(IF(4</c:v>
                </c:pt>
              </c:strCache>
            </c:strRef>
          </c:cat>
          <c:val>
            <c:numRef>
              <c:f>INDUSTRIALS!$V$29:$V$33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2C-4540-B856-B3AC58D30614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INDUSTRIALS!$S$29:$S$33</c:f>
              <c:strCache>
                <c:ptCount val="4"/>
                <c:pt idx="0">
                  <c:v>{=IFERROR(IF(1</c:v>
                </c:pt>
                <c:pt idx="1">
                  <c:v>{=IFERROR(IF(2</c:v>
                </c:pt>
                <c:pt idx="2">
                  <c:v>Airbus SE</c:v>
                </c:pt>
                <c:pt idx="3">
                  <c:v>{=IFERROR(IF(4</c:v>
                </c:pt>
              </c:strCache>
            </c:strRef>
          </c:cat>
          <c:val>
            <c:numRef>
              <c:f>INDUSTRIALS!$W$29:$W$33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2C-4540-B856-B3AC58D306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12128"/>
        <c:axId val="1292021248"/>
      </c:barChart>
      <c:catAx>
        <c:axId val="129201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21248"/>
        <c:crosses val="autoZero"/>
        <c:auto val="1"/>
        <c:lblAlgn val="ctr"/>
        <c:lblOffset val="100"/>
        <c:noMultiLvlLbl val="0"/>
      </c:catAx>
      <c:valAx>
        <c:axId val="12920212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121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HEALTHCARE!$S$29:$S$31</c:f>
              <c:strCache>
                <c:ptCount val="3"/>
                <c:pt idx="0">
                  <c:v>AstraZeneca PL</c:v>
                </c:pt>
                <c:pt idx="1">
                  <c:v>GSK plc</c:v>
                </c:pt>
                <c:pt idx="2">
                  <c:v>Sanofi</c:v>
                </c:pt>
              </c:strCache>
            </c:strRef>
          </c:cat>
          <c:val>
            <c:numRef>
              <c:f>HEALTHCARE!$T$29:$T$31</c:f>
              <c:numCache>
                <c:formatCode>General</c:formatCode>
                <c:ptCount val="3"/>
                <c:pt idx="0">
                  <c:v>60</c:v>
                </c:pt>
                <c:pt idx="1">
                  <c:v>56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29-4937-9D46-AA9B0C708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80448"/>
        <c:axId val="1291980928"/>
      </c:barChart>
      <c:catAx>
        <c:axId val="12919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928"/>
        <c:crosses val="autoZero"/>
        <c:auto val="1"/>
        <c:lblAlgn val="ctr"/>
        <c:lblOffset val="100"/>
        <c:noMultiLvlLbl val="0"/>
      </c:catAx>
      <c:valAx>
        <c:axId val="129198092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4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HEALTHCARE!$S$29:$S$31</c:f>
              <c:strCache>
                <c:ptCount val="3"/>
                <c:pt idx="0">
                  <c:v>AstraZeneca PL</c:v>
                </c:pt>
                <c:pt idx="1">
                  <c:v>GSK plc</c:v>
                </c:pt>
                <c:pt idx="2">
                  <c:v>Sanofi</c:v>
                </c:pt>
              </c:strCache>
            </c:strRef>
          </c:cat>
          <c:val>
            <c:numRef>
              <c:f>HEALTHCARE!$U$29:$U$31</c:f>
              <c:numCache>
                <c:formatCode>General</c:formatCode>
                <c:ptCount val="3"/>
                <c:pt idx="0">
                  <c:v>87</c:v>
                </c:pt>
                <c:pt idx="1">
                  <c:v>78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F7-41D6-BBF5-FD74CEC612FE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HEALTHCARE!$S$29:$S$31</c:f>
              <c:strCache>
                <c:ptCount val="3"/>
                <c:pt idx="0">
                  <c:v>AstraZeneca PL</c:v>
                </c:pt>
                <c:pt idx="1">
                  <c:v>GSK plc</c:v>
                </c:pt>
                <c:pt idx="2">
                  <c:v>Sanofi</c:v>
                </c:pt>
              </c:strCache>
            </c:strRef>
          </c:cat>
          <c:val>
            <c:numRef>
              <c:f>HEALTHCARE!$V$29:$V$31</c:f>
              <c:numCache>
                <c:formatCode>General</c:formatCode>
                <c:ptCount val="3"/>
                <c:pt idx="0">
                  <c:v>50</c:v>
                </c:pt>
                <c:pt idx="1">
                  <c:v>41</c:v>
                </c:pt>
                <c:pt idx="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F7-41D6-BBF5-FD74CEC612FE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HEALTHCARE!$S$29:$S$31</c:f>
              <c:strCache>
                <c:ptCount val="3"/>
                <c:pt idx="0">
                  <c:v>AstraZeneca PL</c:v>
                </c:pt>
                <c:pt idx="1">
                  <c:v>GSK plc</c:v>
                </c:pt>
                <c:pt idx="2">
                  <c:v>Sanofi</c:v>
                </c:pt>
              </c:strCache>
            </c:strRef>
          </c:cat>
          <c:val>
            <c:numRef>
              <c:f>HEALTHCARE!$W$29:$W$31</c:f>
              <c:numCache>
                <c:formatCode>General</c:formatCode>
                <c:ptCount val="3"/>
                <c:pt idx="0">
                  <c:v>70</c:v>
                </c:pt>
                <c:pt idx="1">
                  <c:v>72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F7-41D6-BBF5-FD74CEC61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87168"/>
        <c:axId val="1291983328"/>
      </c:barChart>
      <c:catAx>
        <c:axId val="12919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3328"/>
        <c:crosses val="autoZero"/>
        <c:auto val="1"/>
        <c:lblAlgn val="ctr"/>
        <c:lblOffset val="100"/>
        <c:noMultiLvlLbl val="0"/>
      </c:catAx>
      <c:valAx>
        <c:axId val="12919833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71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ENERGY!$S$29</c:f>
              <c:strCache>
                <c:ptCount val="1"/>
                <c:pt idx="0">
                  <c:v>Shell plc</c:v>
                </c:pt>
              </c:strCache>
            </c:strRef>
          </c:cat>
          <c:val>
            <c:numRef>
              <c:f>ENERGY!$T$29</c:f>
              <c:numCache>
                <c:formatCode>General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46-4EBB-9EB8-C8A0F697A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84288"/>
        <c:axId val="1291991008"/>
      </c:barChart>
      <c:catAx>
        <c:axId val="1291984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1008"/>
        <c:crosses val="autoZero"/>
        <c:auto val="1"/>
        <c:lblAlgn val="ctr"/>
        <c:lblOffset val="100"/>
        <c:noMultiLvlLbl val="0"/>
      </c:catAx>
      <c:valAx>
        <c:axId val="129199100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428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ENERGY!$S$29</c:f>
              <c:strCache>
                <c:ptCount val="1"/>
                <c:pt idx="0">
                  <c:v>Shell plc</c:v>
                </c:pt>
              </c:strCache>
            </c:strRef>
          </c:cat>
          <c:val>
            <c:numRef>
              <c:f>ENERGY!$U$29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F-4D47-94B4-F22FA7D6F346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ENERGY!$S$29</c:f>
              <c:strCache>
                <c:ptCount val="1"/>
                <c:pt idx="0">
                  <c:v>Shell plc</c:v>
                </c:pt>
              </c:strCache>
            </c:strRef>
          </c:cat>
          <c:val>
            <c:numRef>
              <c:f>ENERGY!$V$29</c:f>
              <c:numCache>
                <c:formatCode>General</c:formatCode>
                <c:ptCount val="1"/>
                <c:pt idx="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5F-4D47-94B4-F22FA7D6F346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ENERGY!$S$29</c:f>
              <c:strCache>
                <c:ptCount val="1"/>
                <c:pt idx="0">
                  <c:v>Shell plc</c:v>
                </c:pt>
              </c:strCache>
            </c:strRef>
          </c:cat>
          <c:val>
            <c:numRef>
              <c:f>ENERGY!$W$29</c:f>
              <c:numCache>
                <c:formatCode>General</c:formatCode>
                <c:ptCount val="1"/>
                <c:pt idx="0">
                  <c:v>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5F-4D47-94B4-F22FA7D6F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87648"/>
        <c:axId val="1291988128"/>
      </c:barChart>
      <c:catAx>
        <c:axId val="129198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8128"/>
        <c:crosses val="autoZero"/>
        <c:auto val="1"/>
        <c:lblAlgn val="ctr"/>
        <c:lblOffset val="100"/>
        <c:noMultiLvlLbl val="0"/>
      </c:catAx>
      <c:valAx>
        <c:axId val="12919881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76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MATERIALS!$S$29:$S$30</c:f>
              <c:strCache>
                <c:ptCount val="2"/>
                <c:pt idx="0">
                  <c:v>Rio Tinto Grou</c:v>
                </c:pt>
                <c:pt idx="1">
                  <c:v>L'Air Liquide </c:v>
                </c:pt>
              </c:strCache>
            </c:strRef>
          </c:cat>
          <c:val>
            <c:numRef>
              <c:f>MATERIALS!$T$29:$T$30</c:f>
              <c:numCache>
                <c:formatCode>General</c:formatCode>
                <c:ptCount val="2"/>
                <c:pt idx="0">
                  <c:v>70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C-40FB-B1E1-4471A3DBC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05408"/>
        <c:axId val="1292001088"/>
      </c:barChart>
      <c:catAx>
        <c:axId val="1292005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1088"/>
        <c:crosses val="autoZero"/>
        <c:auto val="1"/>
        <c:lblAlgn val="ctr"/>
        <c:lblOffset val="100"/>
        <c:noMultiLvlLbl val="0"/>
      </c:catAx>
      <c:valAx>
        <c:axId val="12920010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540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MATERIALS!$S$29:$S$30</c:f>
              <c:strCache>
                <c:ptCount val="2"/>
                <c:pt idx="0">
                  <c:v>Rio Tinto Grou</c:v>
                </c:pt>
                <c:pt idx="1">
                  <c:v>L'Air Liquide </c:v>
                </c:pt>
              </c:strCache>
            </c:strRef>
          </c:cat>
          <c:val>
            <c:numRef>
              <c:f>MATERIALS!$U$29:$U$30</c:f>
              <c:numCache>
                <c:formatCode>General</c:formatCode>
                <c:ptCount val="2"/>
                <c:pt idx="0">
                  <c:v>77</c:v>
                </c:pt>
                <c:pt idx="1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D-4B37-A58F-AA3DB0B3EDB2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MATERIALS!$S$29:$S$30</c:f>
              <c:strCache>
                <c:ptCount val="2"/>
                <c:pt idx="0">
                  <c:v>Rio Tinto Grou</c:v>
                </c:pt>
                <c:pt idx="1">
                  <c:v>L'Air Liquide </c:v>
                </c:pt>
              </c:strCache>
            </c:strRef>
          </c:cat>
          <c:val>
            <c:numRef>
              <c:f>MATERIALS!$V$29:$V$30</c:f>
              <c:numCache>
                <c:formatCode>General</c:formatCode>
                <c:ptCount val="2"/>
                <c:pt idx="0">
                  <c:v>78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D-4B37-A58F-AA3DB0B3EDB2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MATERIALS!$S$29:$S$30</c:f>
              <c:strCache>
                <c:ptCount val="2"/>
                <c:pt idx="0">
                  <c:v>Rio Tinto Grou</c:v>
                </c:pt>
                <c:pt idx="1">
                  <c:v>L'Air Liquide </c:v>
                </c:pt>
              </c:strCache>
            </c:strRef>
          </c:cat>
          <c:val>
            <c:numRef>
              <c:f>MATERIALS!$W$29:$W$30</c:f>
              <c:numCache>
                <c:formatCode>General</c:formatCode>
                <c:ptCount val="2"/>
                <c:pt idx="0">
                  <c:v>91</c:v>
                </c:pt>
                <c:pt idx="1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D-4B37-A58F-AA3DB0B3E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04448"/>
        <c:axId val="1292003008"/>
      </c:barChart>
      <c:catAx>
        <c:axId val="129200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3008"/>
        <c:crosses val="autoZero"/>
        <c:auto val="1"/>
        <c:lblAlgn val="ctr"/>
        <c:lblOffset val="100"/>
        <c:noMultiLvlLbl val="0"/>
      </c:catAx>
      <c:valAx>
        <c:axId val="129200300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44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'REAL ESTATE'!$S$29</c:f>
              <c:strCache>
                <c:ptCount val="1"/>
                <c:pt idx="0">
                  <c:v>RWE Aktiengese</c:v>
                </c:pt>
              </c:strCache>
            </c:strRef>
          </c:cat>
          <c:val>
            <c:numRef>
              <c:f>'REAL ESTATE'!$T$29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34-4D86-BAEC-9275B3CDA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2008768"/>
        <c:axId val="1291993888"/>
      </c:barChart>
      <c:catAx>
        <c:axId val="1292008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3888"/>
        <c:crosses val="autoZero"/>
        <c:auto val="1"/>
        <c:lblAlgn val="ctr"/>
        <c:lblOffset val="100"/>
        <c:noMultiLvlLbl val="0"/>
      </c:catAx>
      <c:valAx>
        <c:axId val="129199388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876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'REAL ESTATE'!$S$29</c:f>
              <c:strCache>
                <c:ptCount val="1"/>
                <c:pt idx="0">
                  <c:v>RWE Aktiengese</c:v>
                </c:pt>
              </c:strCache>
            </c:strRef>
          </c:cat>
          <c:val>
            <c:numRef>
              <c:f>'REAL ESTATE'!$U$29</c:f>
              <c:numCache>
                <c:formatCode>General</c:formatCode>
                <c:ptCount val="1"/>
                <c:pt idx="0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B7-4F25-8E89-AABB17F1FACC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'REAL ESTATE'!$S$29</c:f>
              <c:strCache>
                <c:ptCount val="1"/>
                <c:pt idx="0">
                  <c:v>RWE Aktiengese</c:v>
                </c:pt>
              </c:strCache>
            </c:strRef>
          </c:cat>
          <c:val>
            <c:numRef>
              <c:f>'REAL ESTATE'!$V$29</c:f>
              <c:numCache>
                <c:formatCode>General</c:formatCode>
                <c:ptCount val="1"/>
                <c:pt idx="0">
                  <c:v>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B7-4F25-8E89-AABB17F1FACC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'REAL ESTATE'!$S$29</c:f>
              <c:strCache>
                <c:ptCount val="1"/>
                <c:pt idx="0">
                  <c:v>RWE Aktiengese</c:v>
                </c:pt>
              </c:strCache>
            </c:strRef>
          </c:cat>
          <c:val>
            <c:numRef>
              <c:f>'REAL ESTATE'!$W$29</c:f>
              <c:numCache>
                <c:formatCode>General</c:formatCode>
                <c:ptCount val="1"/>
                <c:pt idx="0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B7-4F25-8E89-AABB17F1F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2002528"/>
        <c:axId val="1291999648"/>
      </c:barChart>
      <c:catAx>
        <c:axId val="129200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99648"/>
        <c:crosses val="autoZero"/>
        <c:auto val="1"/>
        <c:lblAlgn val="ctr"/>
        <c:lblOffset val="100"/>
        <c:noMultiLvlLbl val="0"/>
      </c:catAx>
      <c:valAx>
        <c:axId val="129199964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20025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/100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Score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'CONSUMER DEF.'!$S$29:$S$31</c:f>
              <c:strCache>
                <c:ptCount val="3"/>
                <c:pt idx="0">
                  <c:v>L'Oréal S.A.</c:v>
                </c:pt>
                <c:pt idx="1">
                  <c:v>Unilever PLC</c:v>
                </c:pt>
                <c:pt idx="2">
                  <c:v>Anheuser-Busch</c:v>
                </c:pt>
              </c:strCache>
            </c:strRef>
          </c:cat>
          <c:val>
            <c:numRef>
              <c:f>'CONSUMER DEF.'!$T$29:$T$31</c:f>
              <c:numCache>
                <c:formatCode>General</c:formatCode>
                <c:ptCount val="3"/>
                <c:pt idx="0">
                  <c:v>56</c:v>
                </c:pt>
                <c:pt idx="1">
                  <c:v>36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B-43B9-803B-3E75892A4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980448"/>
        <c:axId val="1291980928"/>
      </c:barChart>
      <c:catAx>
        <c:axId val="129198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928"/>
        <c:crosses val="autoZero"/>
        <c:auto val="1"/>
        <c:lblAlgn val="ctr"/>
        <c:lblOffset val="100"/>
        <c:noMultiLvlLbl val="0"/>
      </c:catAx>
      <c:valAx>
        <c:axId val="1291980928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0448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Growth · Quality · Momentum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Growth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0"/>
          <c:cat>
            <c:strRef>
              <c:f>'CONSUMER DEF.'!$S$29:$S$31</c:f>
              <c:strCache>
                <c:ptCount val="3"/>
                <c:pt idx="0">
                  <c:v>L'Oréal S.A.</c:v>
                </c:pt>
                <c:pt idx="1">
                  <c:v>Unilever PLC</c:v>
                </c:pt>
                <c:pt idx="2">
                  <c:v>Anheuser-Busch</c:v>
                </c:pt>
              </c:strCache>
            </c:strRef>
          </c:cat>
          <c:val>
            <c:numRef>
              <c:f>'CONSUMER DEF.'!$U$29:$U$31</c:f>
              <c:numCache>
                <c:formatCode>General</c:formatCode>
                <c:ptCount val="3"/>
                <c:pt idx="0">
                  <c:v>57</c:v>
                </c:pt>
                <c:pt idx="1">
                  <c:v>52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B-48BE-97FF-EC8E6E9727E7}"/>
            </c:ext>
          </c:extLst>
        </c:ser>
        <c:ser>
          <c:idx val="1"/>
          <c:order val="1"/>
          <c:tx>
            <c:v>Quality</c:v>
          </c:tx>
          <c:spPr>
            <a:solidFill>
              <a:srgbClr val="1F3864"/>
            </a:solidFill>
            <a:ln>
              <a:noFill/>
              <a:prstDash val="solid"/>
            </a:ln>
          </c:spPr>
          <c:invertIfNegative val="0"/>
          <c:cat>
            <c:strRef>
              <c:f>'CONSUMER DEF.'!$S$29:$S$31</c:f>
              <c:strCache>
                <c:ptCount val="3"/>
                <c:pt idx="0">
                  <c:v>L'Oréal S.A.</c:v>
                </c:pt>
                <c:pt idx="1">
                  <c:v>Unilever PLC</c:v>
                </c:pt>
                <c:pt idx="2">
                  <c:v>Anheuser-Busch</c:v>
                </c:pt>
              </c:strCache>
            </c:strRef>
          </c:cat>
          <c:val>
            <c:numRef>
              <c:f>'CONSUMER DEF.'!$V$29:$V$31</c:f>
              <c:numCache>
                <c:formatCode>General</c:formatCode>
                <c:ptCount val="3"/>
                <c:pt idx="0">
                  <c:v>72</c:v>
                </c:pt>
                <c:pt idx="1">
                  <c:v>43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0B-48BE-97FF-EC8E6E9727E7}"/>
            </c:ext>
          </c:extLst>
        </c:ser>
        <c:ser>
          <c:idx val="2"/>
          <c:order val="2"/>
          <c:tx>
            <c:v>Momentum</c:v>
          </c:tx>
          <c:spPr>
            <a:solidFill>
              <a:srgbClr val="E26B0A"/>
            </a:solidFill>
            <a:ln>
              <a:noFill/>
              <a:prstDash val="solid"/>
            </a:ln>
          </c:spPr>
          <c:invertIfNegative val="0"/>
          <c:cat>
            <c:strRef>
              <c:f>'CONSUMER DEF.'!$S$29:$S$31</c:f>
              <c:strCache>
                <c:ptCount val="3"/>
                <c:pt idx="0">
                  <c:v>L'Oréal S.A.</c:v>
                </c:pt>
                <c:pt idx="1">
                  <c:v>Unilever PLC</c:v>
                </c:pt>
                <c:pt idx="2">
                  <c:v>Anheuser-Busch</c:v>
                </c:pt>
              </c:strCache>
            </c:strRef>
          </c:cat>
          <c:val>
            <c:numRef>
              <c:f>'CONSUMER DEF.'!$W$29:$W$31</c:f>
              <c:numCache>
                <c:formatCode>General</c:formatCode>
                <c:ptCount val="3"/>
                <c:pt idx="0">
                  <c:v>21</c:v>
                </c:pt>
                <c:pt idx="1">
                  <c:v>11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0B-48BE-97FF-EC8E6E972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1987168"/>
        <c:axId val="1291983328"/>
      </c:barChart>
      <c:catAx>
        <c:axId val="12919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3328"/>
        <c:crosses val="autoZero"/>
        <c:auto val="1"/>
        <c:lblAlgn val="ctr"/>
        <c:lblOffset val="100"/>
        <c:noMultiLvlLbl val="0"/>
      </c:catAx>
      <c:valAx>
        <c:axId val="1291983328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919871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Score Global vs Marge EBITDA — CAC 40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'DONNÉES BRUTES'!$AH$1</c:f>
              <c:strCache>
                <c:ptCount val="1"/>
                <c:pt idx="0">
                  <c:v>Mg EBITDA</c:v>
                </c:pt>
              </c:strCache>
            </c:strRef>
          </c:tx>
          <c:spPr>
            <a:ln w="19050" cap="rnd">
              <a:solidFill>
                <a:srgbClr val="1E3A5F"/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'DONNÉES BRUTES'!$AG$2:$AG$39</c:f>
              <c:numCache>
                <c:formatCode>General</c:formatCode>
                <c:ptCount val="38"/>
                <c:pt idx="0">
                  <c:v>75</c:v>
                </c:pt>
                <c:pt idx="1">
                  <c:v>74</c:v>
                </c:pt>
                <c:pt idx="2">
                  <c:v>72</c:v>
                </c:pt>
                <c:pt idx="3">
                  <c:v>72</c:v>
                </c:pt>
                <c:pt idx="4">
                  <c:v>72</c:v>
                </c:pt>
                <c:pt idx="5">
                  <c:v>70</c:v>
                </c:pt>
                <c:pt idx="6">
                  <c:v>69</c:v>
                </c:pt>
                <c:pt idx="7">
                  <c:v>68</c:v>
                </c:pt>
                <c:pt idx="8">
                  <c:v>68</c:v>
                </c:pt>
                <c:pt idx="9">
                  <c:v>65</c:v>
                </c:pt>
                <c:pt idx="10">
                  <c:v>64</c:v>
                </c:pt>
                <c:pt idx="11">
                  <c:v>64</c:v>
                </c:pt>
                <c:pt idx="12">
                  <c:v>64</c:v>
                </c:pt>
                <c:pt idx="13">
                  <c:v>62</c:v>
                </c:pt>
                <c:pt idx="14">
                  <c:v>58</c:v>
                </c:pt>
                <c:pt idx="15">
                  <c:v>57</c:v>
                </c:pt>
                <c:pt idx="16">
                  <c:v>57</c:v>
                </c:pt>
                <c:pt idx="17">
                  <c:v>55</c:v>
                </c:pt>
                <c:pt idx="18">
                  <c:v>54</c:v>
                </c:pt>
                <c:pt idx="19">
                  <c:v>53</c:v>
                </c:pt>
                <c:pt idx="20">
                  <c:v>52</c:v>
                </c:pt>
                <c:pt idx="21">
                  <c:v>51</c:v>
                </c:pt>
                <c:pt idx="22">
                  <c:v>51</c:v>
                </c:pt>
                <c:pt idx="23">
                  <c:v>48</c:v>
                </c:pt>
                <c:pt idx="24">
                  <c:v>47</c:v>
                </c:pt>
                <c:pt idx="25">
                  <c:v>46</c:v>
                </c:pt>
                <c:pt idx="26">
                  <c:v>46</c:v>
                </c:pt>
                <c:pt idx="27">
                  <c:v>40</c:v>
                </c:pt>
                <c:pt idx="28">
                  <c:v>39</c:v>
                </c:pt>
                <c:pt idx="29">
                  <c:v>37</c:v>
                </c:pt>
                <c:pt idx="30">
                  <c:v>33</c:v>
                </c:pt>
                <c:pt idx="31">
                  <c:v>29</c:v>
                </c:pt>
                <c:pt idx="32">
                  <c:v>29</c:v>
                </c:pt>
                <c:pt idx="33">
                  <c:v>23</c:v>
                </c:pt>
                <c:pt idx="34">
                  <c:v>18</c:v>
                </c:pt>
                <c:pt idx="35">
                  <c:v>17</c:v>
                </c:pt>
                <c:pt idx="36">
                  <c:v>5</c:v>
                </c:pt>
                <c:pt idx="37">
                  <c:v>2</c:v>
                </c:pt>
              </c:numCache>
            </c:numRef>
          </c:xVal>
          <c:yVal>
            <c:numRef>
              <c:f>'DONNÉES BRUTES'!$AH$2:$AH$39</c:f>
              <c:numCache>
                <c:formatCode>General</c:formatCode>
                <c:ptCount val="38"/>
                <c:pt idx="0">
                  <c:v>46.8</c:v>
                </c:pt>
                <c:pt idx="1">
                  <c:v>27.9</c:v>
                </c:pt>
                <c:pt idx="2">
                  <c:v>30.4</c:v>
                </c:pt>
                <c:pt idx="3">
                  <c:v>21</c:v>
                </c:pt>
                <c:pt idx="4">
                  <c:v>26.7</c:v>
                </c:pt>
                <c:pt idx="5">
                  <c:v>6.8</c:v>
                </c:pt>
                <c:pt idx="6">
                  <c:v>89.1</c:v>
                </c:pt>
                <c:pt idx="7">
                  <c:v>14</c:v>
                </c:pt>
                <c:pt idx="8">
                  <c:v>39.200000000000003</c:v>
                </c:pt>
                <c:pt idx="9">
                  <c:v>192.6</c:v>
                </c:pt>
                <c:pt idx="10">
                  <c:v>23.2</c:v>
                </c:pt>
                <c:pt idx="11">
                  <c:v>24.3</c:v>
                </c:pt>
                <c:pt idx="12">
                  <c:v>23.9</c:v>
                </c:pt>
                <c:pt idx="13">
                  <c:v>108.7</c:v>
                </c:pt>
                <c:pt idx="14">
                  <c:v>5.6</c:v>
                </c:pt>
                <c:pt idx="15">
                  <c:v>12.8</c:v>
                </c:pt>
                <c:pt idx="16">
                  <c:v>20.9</c:v>
                </c:pt>
                <c:pt idx="17">
                  <c:v>25</c:v>
                </c:pt>
                <c:pt idx="18">
                  <c:v>32</c:v>
                </c:pt>
                <c:pt idx="19">
                  <c:v>13.6</c:v>
                </c:pt>
                <c:pt idx="20">
                  <c:v>16.100000000000001</c:v>
                </c:pt>
                <c:pt idx="21">
                  <c:v>29.1</c:v>
                </c:pt>
                <c:pt idx="22">
                  <c:v>54.4</c:v>
                </c:pt>
                <c:pt idx="23">
                  <c:v>15.4</c:v>
                </c:pt>
                <c:pt idx="24">
                  <c:v>18</c:v>
                </c:pt>
                <c:pt idx="25">
                  <c:v>20</c:v>
                </c:pt>
                <c:pt idx="26">
                  <c:v>19.600000000000001</c:v>
                </c:pt>
                <c:pt idx="27">
                  <c:v>17.899999999999999</c:v>
                </c:pt>
                <c:pt idx="28">
                  <c:v>17.899999999999999</c:v>
                </c:pt>
                <c:pt idx="29">
                  <c:v>16.2</c:v>
                </c:pt>
                <c:pt idx="30">
                  <c:v>11.6</c:v>
                </c:pt>
                <c:pt idx="31">
                  <c:v>98.1</c:v>
                </c:pt>
                <c:pt idx="32">
                  <c:v>14.1</c:v>
                </c:pt>
                <c:pt idx="33">
                  <c:v>21.6</c:v>
                </c:pt>
                <c:pt idx="34">
                  <c:v>-9.6999999999999993</c:v>
                </c:pt>
                <c:pt idx="35">
                  <c:v>19.600000000000001</c:v>
                </c:pt>
                <c:pt idx="36">
                  <c:v>-11.8</c:v>
                </c:pt>
                <c:pt idx="37">
                  <c:v>-112.2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4D-4C68-B0C3-93FE2283C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1301552"/>
        <c:axId val="651285232"/>
      </c:scatterChart>
      <c:valAx>
        <c:axId val="651301552"/>
        <c:scaling>
          <c:orientation val="minMax"/>
          <c:max val="1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Score Global /100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285232"/>
        <c:crosses val="autoZero"/>
        <c:crossBetween val="midCat"/>
      </c:valAx>
      <c:valAx>
        <c:axId val="65128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Marge EBITDA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51301552"/>
        <c:crosses val="autoZero"/>
        <c:crossBetween val="midCat"/>
      </c:valAx>
    </c:plotArea>
    <c:plotVisOnly val="1"/>
    <c:dispBlanksAs val="gap"/>
    <c:showDLblsOverMax val="1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43094</xdr:colOff>
      <xdr:row>0</xdr:row>
      <xdr:rowOff>273316</xdr:rowOff>
    </xdr:from>
    <xdr:to>
      <xdr:col>25</xdr:col>
      <xdr:colOff>323022</xdr:colOff>
      <xdr:row>18</xdr:row>
      <xdr:rowOff>138725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37465</xdr:colOff>
      <xdr:row>1</xdr:row>
      <xdr:rowOff>157269</xdr:rowOff>
    </xdr:from>
    <xdr:to>
      <xdr:col>25</xdr:col>
      <xdr:colOff>0</xdr:colOff>
      <xdr:row>18</xdr:row>
      <xdr:rowOff>10373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27456</xdr:colOff>
      <xdr:row>0</xdr:row>
      <xdr:rowOff>401084</xdr:rowOff>
    </xdr:from>
    <xdr:to>
      <xdr:col>24</xdr:col>
      <xdr:colOff>251012</xdr:colOff>
      <xdr:row>16</xdr:row>
      <xdr:rowOff>63811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26458</xdr:colOff>
      <xdr:row>1</xdr:row>
      <xdr:rowOff>7830</xdr:rowOff>
    </xdr:from>
    <xdr:to>
      <xdr:col>21</xdr:col>
      <xdr:colOff>406400</xdr:colOff>
      <xdr:row>16</xdr:row>
      <xdr:rowOff>88474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33022</xdr:colOff>
      <xdr:row>4</xdr:row>
      <xdr:rowOff>100752</xdr:rowOff>
    </xdr:from>
    <xdr:to>
      <xdr:col>26</xdr:col>
      <xdr:colOff>270934</xdr:colOff>
      <xdr:row>17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29211</xdr:colOff>
      <xdr:row>18</xdr:row>
      <xdr:rowOff>44660</xdr:rowOff>
    </xdr:from>
    <xdr:to>
      <xdr:col>26</xdr:col>
      <xdr:colOff>313267</xdr:colOff>
      <xdr:row>32</xdr:row>
      <xdr:rowOff>20743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69</xdr:row>
      <xdr:rowOff>106679</xdr:rowOff>
    </xdr:from>
    <xdr:to>
      <xdr:col>9</xdr:col>
      <xdr:colOff>908685</xdr:colOff>
      <xdr:row>87</xdr:row>
      <xdr:rowOff>106679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109193</xdr:colOff>
      <xdr:row>4</xdr:row>
      <xdr:rowOff>26639</xdr:rowOff>
    </xdr:from>
    <xdr:to>
      <xdr:col>22</xdr:col>
      <xdr:colOff>64851</xdr:colOff>
      <xdr:row>17</xdr:row>
      <xdr:rowOff>178510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43814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16</xdr:row>
      <xdr:rowOff>69850</xdr:rowOff>
    </xdr:from>
    <xdr:to>
      <xdr:col>25</xdr:col>
      <xdr:colOff>121284</xdr:colOff>
      <xdr:row>31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43814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17</xdr:row>
      <xdr:rowOff>35560</xdr:rowOff>
    </xdr:from>
    <xdr:to>
      <xdr:col>25</xdr:col>
      <xdr:colOff>121284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16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318551</xdr:colOff>
      <xdr:row>15</xdr:row>
      <xdr:rowOff>138237</xdr:rowOff>
    </xdr:from>
    <xdr:to>
      <xdr:col>24</xdr:col>
      <xdr:colOff>302648</xdr:colOff>
      <xdr:row>31</xdr:row>
      <xdr:rowOff>52760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341491</xdr:colOff>
      <xdr:row>0</xdr:row>
      <xdr:rowOff>115958</xdr:rowOff>
    </xdr:from>
    <xdr:to>
      <xdr:col>23</xdr:col>
      <xdr:colOff>66260</xdr:colOff>
      <xdr:row>15</xdr:row>
      <xdr:rowOff>13998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145415</xdr:colOff>
      <xdr:row>15</xdr:row>
      <xdr:rowOff>140334</xdr:rowOff>
    </xdr:from>
    <xdr:to>
      <xdr:col>25</xdr:col>
      <xdr:colOff>96520</xdr:colOff>
      <xdr:row>31</xdr:row>
      <xdr:rowOff>51434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428625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121284</xdr:colOff>
      <xdr:row>31</xdr:row>
      <xdr:rowOff>51434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461010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145414</xdr:colOff>
      <xdr:row>15</xdr:row>
      <xdr:rowOff>140334</xdr:rowOff>
    </xdr:from>
    <xdr:to>
      <xdr:col>25</xdr:col>
      <xdr:colOff>109854</xdr:colOff>
      <xdr:row>31</xdr:row>
      <xdr:rowOff>51434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145415</xdr:colOff>
      <xdr:row>0</xdr:row>
      <xdr:rowOff>114300</xdr:rowOff>
    </xdr:from>
    <xdr:to>
      <xdr:col>23</xdr:col>
      <xdr:colOff>447675</xdr:colOff>
      <xdr:row>15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318551</xdr:colOff>
      <xdr:row>15</xdr:row>
      <xdr:rowOff>138237</xdr:rowOff>
    </xdr:from>
    <xdr:to>
      <xdr:col>24</xdr:col>
      <xdr:colOff>302648</xdr:colOff>
      <xdr:row>31</xdr:row>
      <xdr:rowOff>52760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341491</xdr:colOff>
      <xdr:row>0</xdr:row>
      <xdr:rowOff>115958</xdr:rowOff>
    </xdr:from>
    <xdr:to>
      <xdr:col>23</xdr:col>
      <xdr:colOff>66260</xdr:colOff>
      <xdr:row>15</xdr:row>
      <xdr:rowOff>13998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560070</xdr:colOff>
      <xdr:row>43</xdr:row>
      <xdr:rowOff>78104</xdr:rowOff>
    </xdr:from>
    <xdr:to>
      <xdr:col>40</xdr:col>
      <xdr:colOff>521970</xdr:colOff>
      <xdr:row>60</xdr:row>
      <xdr:rowOff>78104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A41A23-EDD5-442E-AAF4-4A51AF85FF5D}">
  <we:reference id="wa200009404" version="1.0.0.8" store="fr-FR" storeType="OMEX"/>
  <we:alternateReferences>
    <we:reference id="wa200009404" version="1.0.0.8" store="" storeType="OMEX"/>
  </we:alternateReferences>
  <we:properties>
    <we:property name="claude.fileId" value="&quot;f8b30713-ec4f-4e75-9058-01601c4cb6bd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"/>
  <sheetViews>
    <sheetView showGridLines="0" tabSelected="1" zoomScale="79" zoomScaleNormal="100" workbookViewId="0">
      <selection activeCell="P27" sqref="P27"/>
    </sheetView>
  </sheetViews>
  <sheetFormatPr baseColWidth="10" defaultColWidth="8.88671875" defaultRowHeight="14.4" x14ac:dyDescent="0.3"/>
  <cols>
    <col min="1" max="1" width="0.6640625" customWidth="1"/>
    <col min="2" max="2" width="17.109375" customWidth="1"/>
    <col min="3" max="3" width="9.109375" customWidth="1"/>
    <col min="4" max="4" width="24.6640625" customWidth="1"/>
    <col min="5" max="5" width="14.33203125" customWidth="1"/>
    <col min="6" max="6" width="9.109375" customWidth="1"/>
    <col min="7" max="7" width="0.6640625" customWidth="1"/>
    <col min="8" max="8" width="17.109375" customWidth="1"/>
    <col min="9" max="9" width="8.5546875" customWidth="1"/>
    <col min="10" max="11" width="9.88671875" customWidth="1"/>
    <col min="12" max="12" width="9.109375" customWidth="1"/>
    <col min="13" max="13" width="0.6640625" customWidth="1"/>
    <col min="14" max="14" width="12.44140625" customWidth="1"/>
    <col min="15" max="15" width="9.109375" customWidth="1"/>
    <col min="16" max="16" width="21" customWidth="1"/>
    <col min="17" max="17" width="9.109375" customWidth="1"/>
    <col min="18" max="18" width="10.44140625" customWidth="1"/>
    <col min="19" max="19" width="0.6640625" customWidth="1"/>
    <col min="20" max="20" width="5.33203125" customWidth="1"/>
    <col min="21" max="21" width="9.88671875" customWidth="1"/>
    <col min="22" max="22" width="24.6640625" customWidth="1"/>
    <col min="23" max="24" width="9.88671875" customWidth="1"/>
  </cols>
  <sheetData>
    <row r="1" spans="1:24" ht="32.1" customHeight="1" x14ac:dyDescent="0.3">
      <c r="A1" s="20" t="s">
        <v>125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1" t="s">
        <v>126</v>
      </c>
      <c r="S1" s="21"/>
      <c r="T1" s="21"/>
      <c r="U1" s="21"/>
      <c r="V1" s="21"/>
      <c r="W1" s="21"/>
      <c r="X1" s="21"/>
    </row>
    <row r="2" spans="1:24" ht="3" customHeight="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</row>
    <row r="3" spans="1:24" ht="20.100000000000001" customHeight="1" x14ac:dyDescent="0.5">
      <c r="A3" s="24"/>
      <c r="B3" s="24"/>
      <c r="C3" s="24"/>
      <c r="D3" s="181">
        <f>COUNTA('DONNÉES BRUTES'!A:A)-2</f>
        <v>40</v>
      </c>
      <c r="E3" s="24"/>
      <c r="F3" s="24"/>
      <c r="G3" s="25"/>
      <c r="H3" s="182"/>
      <c r="I3" s="182"/>
      <c r="J3" s="192">
        <f t="array" ref="J3">COUNTA(_xlfn.UNIQUE(_xlfn._xlws.FILTER('DONNÉES BRUTES'!C3:C42,'DONNÉES BRUTES'!C3:C42&lt;&gt;"")))</f>
        <v>10</v>
      </c>
      <c r="K3" s="182"/>
      <c r="L3" s="182"/>
      <c r="M3" s="25"/>
      <c r="N3" s="24"/>
      <c r="O3" s="24"/>
      <c r="P3" s="26" t="str">
        <f>_xlfn.XLOOKUP(MAX('DONNÉES BRUTES'!AB3:AB42),'DONNÉES BRUTES'!AB3:AB42,'DONNÉES BRUTES'!A3:A42)&amp;" — "&amp;MAX('DONNÉES BRUTES'!AB3:AB42)&amp;"/100"</f>
        <v>ASML.AS — 75/100</v>
      </c>
      <c r="Q3" s="24"/>
      <c r="R3" s="24"/>
      <c r="S3" s="25"/>
      <c r="T3" s="24"/>
      <c r="U3" s="24"/>
      <c r="V3" s="194" t="s">
        <v>127</v>
      </c>
      <c r="W3" s="24"/>
      <c r="X3" s="24"/>
    </row>
    <row r="4" spans="1:24" ht="14.1" customHeight="1" x14ac:dyDescent="0.3">
      <c r="A4" s="27"/>
      <c r="B4" s="27"/>
      <c r="C4" s="27"/>
      <c r="D4" s="191" t="s">
        <v>128</v>
      </c>
      <c r="E4" s="27"/>
      <c r="F4" s="27"/>
      <c r="G4" s="29"/>
      <c r="H4" s="27"/>
      <c r="I4" s="27"/>
      <c r="J4" s="193" t="s">
        <v>129</v>
      </c>
      <c r="K4" s="27"/>
      <c r="L4" s="27"/>
      <c r="M4" s="29"/>
      <c r="N4" s="27"/>
      <c r="O4" s="27"/>
      <c r="P4" s="28" t="s">
        <v>130</v>
      </c>
      <c r="Q4" s="27"/>
      <c r="R4" s="27"/>
      <c r="S4" s="29"/>
      <c r="T4" s="27"/>
      <c r="U4" s="27"/>
      <c r="V4" s="191" t="s">
        <v>131</v>
      </c>
      <c r="W4" s="27"/>
      <c r="X4" s="27"/>
    </row>
    <row r="5" spans="1:24" ht="8.1" customHeight="1" x14ac:dyDescent="0.3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</row>
    <row r="6" spans="1:24" ht="20.100000000000001" customHeight="1" x14ac:dyDescent="0.3">
      <c r="A6" s="30"/>
      <c r="B6" s="34" t="s">
        <v>132</v>
      </c>
      <c r="C6" s="30"/>
      <c r="D6" s="30"/>
      <c r="E6" s="30"/>
      <c r="F6" s="30"/>
      <c r="G6" s="31"/>
      <c r="H6" s="30"/>
      <c r="I6" s="30"/>
      <c r="J6" s="30"/>
      <c r="K6" s="30"/>
      <c r="L6" s="30"/>
      <c r="M6" s="31"/>
      <c r="N6" s="30"/>
      <c r="O6" s="30"/>
      <c r="P6" s="30"/>
      <c r="Q6" s="30"/>
      <c r="R6" s="30"/>
      <c r="S6" s="31"/>
      <c r="T6" s="30"/>
      <c r="U6" s="30"/>
      <c r="V6" s="30"/>
      <c r="W6" s="30"/>
      <c r="X6" s="30"/>
    </row>
    <row r="7" spans="1:24" ht="18" customHeight="1" x14ac:dyDescent="0.3">
      <c r="B7" s="35" t="s">
        <v>133</v>
      </c>
      <c r="C7" s="36" t="s">
        <v>6</v>
      </c>
      <c r="D7" s="37" t="s">
        <v>1</v>
      </c>
      <c r="E7" s="36" t="s">
        <v>8</v>
      </c>
      <c r="F7" s="38" t="s">
        <v>134</v>
      </c>
      <c r="H7" s="47" t="s">
        <v>133</v>
      </c>
      <c r="I7" s="48" t="s">
        <v>6</v>
      </c>
      <c r="J7" s="49" t="s">
        <v>1</v>
      </c>
      <c r="K7" s="48" t="s">
        <v>8</v>
      </c>
      <c r="L7" s="50" t="s">
        <v>134</v>
      </c>
      <c r="N7" s="51" t="s">
        <v>133</v>
      </c>
      <c r="O7" s="52" t="s">
        <v>6</v>
      </c>
      <c r="P7" s="53" t="s">
        <v>1</v>
      </c>
      <c r="Q7" s="52" t="s">
        <v>8</v>
      </c>
      <c r="R7" s="54" t="s">
        <v>134</v>
      </c>
      <c r="T7" s="55" t="s">
        <v>133</v>
      </c>
      <c r="U7" s="56" t="s">
        <v>6</v>
      </c>
      <c r="V7" s="57" t="s">
        <v>1</v>
      </c>
      <c r="W7" s="56" t="s">
        <v>8</v>
      </c>
      <c r="X7" s="58" t="s">
        <v>134</v>
      </c>
    </row>
    <row r="8" spans="1:24" ht="15.9" customHeight="1" x14ac:dyDescent="0.3">
      <c r="B8" s="39">
        <v>1</v>
      </c>
      <c r="C8" s="40" t="str">
        <f t="array" ref="C8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>ASML.AS</v>
      </c>
      <c r="D8" s="41" t="str">
        <f t="array" ref="D8">IFERROR(LEFT(INDEX('DONNÉES BRUTES'!B$3:B$42,MATCH(_xlfn.AGGREGATE(14,6,'DONNÉES BRUTES'!AB$3:AB$42*1000+(40-ROW('DONNÉES BRUTES'!AB$3:AB$42)+ROW('DONNÉES BRUTES'!AB$3)),1),'DONNÉES BRUTES'!AB$3:AB$42*1000+(40-ROW('DONNÉES BRUTES'!AB$3:AB$42)+ROW('DONNÉES BRUTES'!AB$3)),0)),18),"—")</f>
        <v>ASML Holding N.V.</v>
      </c>
      <c r="E8" s="40" t="str">
        <f t="array" ref="E8">IFERROR(INT(_xlfn.AGGREGATE(14,6,'DONNÉES BRUTES'!AB$3:AB$42*1000+(40-ROW('DONNÉES BRUTES'!AB$3:AB$42)+ROW('DONNÉES BRUTES'!AB$3)),1)/1000)&amp;"/100","—")</f>
        <v>75/100</v>
      </c>
      <c r="F8" s="42" t="str">
        <f t="array" ref="F8">IFERROR(INDEX('DONNÉES BRUTES'!I$3:I$42,MATCH(_xlfn.AGGREGATE(14,6,'DONNÉES BRUTES'!AB$3:AB$42*1000+(40-ROW('DONNÉES BRUTES'!AB$3:AB$42)+ROW('DONNÉES BRUTES'!AB$3)),1),'DONNÉES BRUTES'!AB$3:AB$42*1000+(40-ROW('DONNÉES BRUTES'!AB$3:AB$42)+ROW('DONNÉES BRUTES'!AB$3)),0)),"—")</f>
        <v>—</v>
      </c>
      <c r="H8" s="39">
        <v>1</v>
      </c>
      <c r="I8" s="40" t="str">
        <f t="array" ref="I8">IFERROR(INDEX('DONNÉES BRUTES'!A$3:A$42,MATCH(_xlfn.AGGREGATE(14,6,'DONNÉES BRUTES'!Y$3:Y$42*1000+(40-ROW('DONNÉES BRUTES'!Y$3:Y$42)+ROW('DONNÉES BRUTES'!Y$3)),1),'DONNÉES BRUTES'!Y$3:Y$42*1000+(40-ROW('DONNÉES BRUTES'!Y$3:Y$42)+ROW('DONNÉES BRUTES'!Y$3)),0)),"—")</f>
        <v>ASML.AS</v>
      </c>
      <c r="J8" s="41" t="str">
        <f t="array" ref="J8">IFERROR(LEFT(INDEX('DONNÉES BRUTES'!B$3:B$42,MATCH(_xlfn.AGGREGATE(14,6,'DONNÉES BRUTES'!Y$3:Y$42*1000+(40-ROW('DONNÉES BRUTES'!Y$3:Y$42)+ROW('DONNÉES BRUTES'!Y$3)),1),'DONNÉES BRUTES'!Y$3:Y$42*1000+(40-ROW('DONNÉES BRUTES'!Y$3:Y$42)+ROW('DONNÉES BRUTES'!Y$3)),0)),18),"—")</f>
        <v>ASML Holding N.V.</v>
      </c>
      <c r="K8" s="62" t="str">
        <f t="array" ref="K8">IFERROR(INT(_xlfn.AGGREGATE(14,6,'DONNÉES BRUTES'!Y$3:Y$42*1000+(40-ROW('DONNÉES BRUTES'!Y$3:Y$42)+ROW('DONNÉES BRUTES'!Y$3)),1)/1000)&amp;"/100","—")</f>
        <v>92/100</v>
      </c>
      <c r="L8" s="63" t="str">
        <f t="array" ref="L8">IFERROR(INDEX('DONNÉES BRUTES'!P$3:P$42,MATCH(_xlfn.AGGREGATE(14,6,'DONNÉES BRUTES'!Y$3:Y$42*1000+(40-ROW('DONNÉES BRUTES'!Y$3:Y$42)+ROW('DONNÉES BRUTES'!Y$3)),1),'DONNÉES BRUTES'!Y$3:Y$42*1000+(40-ROW('DONNÉES BRUTES'!Y$3:Y$42)+ROW('DONNÉES BRUTES'!Y$3)),0)),"—")</f>
        <v>+15.6%</v>
      </c>
      <c r="N8" s="39">
        <v>1</v>
      </c>
      <c r="O8" s="40" t="str">
        <f t="array" ref="O8">IFERROR(INDEX('DONNÉES BRUTES'!A$3:A$42,MATCH(_xlfn.AGGREGATE(14,6,'DONNÉES BRUTES'!Z$3:Z$42*1000+(40-ROW('DONNÉES BRUTES'!Z$3:Z$42)+ROW('DONNÉES BRUTES'!Z$3)),1),'DONNÉES BRUTES'!Z$3:Z$42*1000+(40-ROW('DONNÉES BRUTES'!Z$3:Z$42)+ROW('DONNÉES BRUTES'!Z$3)),0)),"—")</f>
        <v>RMS.PA</v>
      </c>
      <c r="P8" s="41" t="str">
        <f t="array" ref="P8">IFERROR(LEFT(INDEX('DONNÉES BRUTES'!B$3:B$42,MATCH(_xlfn.AGGREGATE(14,6,'DONNÉES BRUTES'!Z$3:Z$42*1000+(40-ROW('DONNÉES BRUTES'!Z$3:Z$42)+ROW('DONNÉES BRUTES'!Z$3)),1),'DONNÉES BRUTES'!Z$3:Z$42*1000+(40-ROW('DONNÉES BRUTES'!Z$3:Z$42)+ROW('DONNÉES BRUTES'!Z$3)),0)),18),"—")</f>
        <v>Hermès Internation</v>
      </c>
      <c r="Q8" s="67" t="str">
        <f t="array" ref="Q8">IFERROR(INT(_xlfn.AGGREGATE(14,6,'DONNÉES BRUTES'!Z$3:Z$42*1000+(40-ROW('DONNÉES BRUTES'!Z$3:Z$42)+ROW('DONNÉES BRUTES'!Z$3)),1)/1000)&amp;"/100","—")</f>
        <v>99/100</v>
      </c>
      <c r="R8" s="42">
        <f t="array" ref="R8">IFERROR(INDEX('DONNÉES BRUTES'!U$3:U$42,MATCH(_xlfn.AGGREGATE(14,6,'DONNÉES BRUTES'!Z$3:Z$42*1000+(40-ROW('DONNÉES BRUTES'!Z$3:Z$42)+ROW('DONNÉES BRUTES'!Z$3)),1),'DONNÉES BRUTES'!Z$3:Z$42*1000+(40-ROW('DONNÉES BRUTES'!Z$3:Z$42)+ROW('DONNÉES BRUTES'!Z$3)),0)),"—")</f>
        <v>9.4700000000000006</v>
      </c>
      <c r="T8" s="39">
        <v>1</v>
      </c>
      <c r="U8" s="40" t="str">
        <f t="array" ref="U8">IFERROR(INDEX('DONNÉES BRUTES'!A$3:A$42,MATCH(_xlfn.AGGREGATE(14,6,'DONNÉES BRUTES'!AA$3:AA$42*1000+(40-ROW('DONNÉES BRUTES'!AA$3:AA$42)+ROW('DONNÉES BRUTES'!AA$3)),1),'DONNÉES BRUTES'!AA$3:AA$42*1000+(40-ROW('DONNÉES BRUTES'!AA$3:AA$42)+ROW('DONNÉES BRUTES'!AA$3)),0)),"—")</f>
        <v>ASML.AS</v>
      </c>
      <c r="V8" s="41" t="str">
        <f t="array" ref="V8">IFERROR(LEFT(INDEX('DONNÉES BRUTES'!B$3:B$42,MATCH(_xlfn.AGGREGATE(14,6,'DONNÉES BRUTES'!AA$3:AA$42*1000+(40-ROW('DONNÉES BRUTES'!AA$3:AA$42)+ROW('DONNÉES BRUTES'!AA$3)),1),'DONNÉES BRUTES'!AA$3:AA$42*1000+(40-ROW('DONNÉES BRUTES'!AA$3:AA$42)+ROW('DONNÉES BRUTES'!AA$3)),0)),18),"—")</f>
        <v>ASML Holding N.V.</v>
      </c>
      <c r="W8" s="69" t="str">
        <f t="array" ref="W8">IFERROR(INT(_xlfn.AGGREGATE(14,6,'DONNÉES BRUTES'!AA$3:AA$42*1000+(40-ROW('DONNÉES BRUTES'!AA$3:AA$42)+ROW('DONNÉES BRUTES'!AA$3)),1)/1000)&amp;"/100","—")</f>
        <v>98/100</v>
      </c>
      <c r="X8" s="42" t="str">
        <f t="array" ref="X8">IFERROR(INDEX('DONNÉES BRUTES'!P$3:P$42,MATCH(_xlfn.AGGREGATE(14,6,'DONNÉES BRUTES'!AA$3:AA$42*1000+(40-ROW('DONNÉES BRUTES'!AA$3:AA$42)+ROW('DONNÉES BRUTES'!AA$3)),1),'DONNÉES BRUTES'!AA$3:AA$42*1000+(40-ROW('DONNÉES BRUTES'!AA$3:AA$42)+ROW('DONNÉES BRUTES'!AA$3)),0)),"—")</f>
        <v>+15.6%</v>
      </c>
    </row>
    <row r="9" spans="1:24" ht="15.9" customHeight="1" x14ac:dyDescent="0.3">
      <c r="B9" s="43">
        <v>2</v>
      </c>
      <c r="C9" s="44" t="str">
        <f t="array" ref="C9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>RIO.L</v>
      </c>
      <c r="D9" s="45" t="str">
        <f t="array" ref="D9">IFERROR(LEFT(INDEX('DONNÉES BRUTES'!B$3:B$42,MATCH(_xlfn.AGGREGATE(14,6,'DONNÉES BRUTES'!AB$3:AB$42*1000+(40-ROW('DONNÉES BRUTES'!AB$3:AB$42)+ROW('DONNÉES BRUTES'!AB$3)),2),'DONNÉES BRUTES'!AB$3:AB$42*1000+(40-ROW('DONNÉES BRUTES'!AB$3:AB$42)+ROW('DONNÉES BRUTES'!AB$3)),0)),18),"—")</f>
        <v>Rio Tinto Group</v>
      </c>
      <c r="E9" s="44" t="str">
        <f t="array" ref="E9">IFERROR(INT(_xlfn.AGGREGATE(14,6,'DONNÉES BRUTES'!AB$3:AB$42*1000+(40-ROW('DONNÉES BRUTES'!AB$3:AB$42)+ROW('DONNÉES BRUTES'!AB$3)),2)/1000)&amp;"/100","—")</f>
        <v>70/100</v>
      </c>
      <c r="F9" s="46">
        <f t="array" ref="F9">IFERROR(INDEX('DONNÉES BRUTES'!I$3:I$42,MATCH(_xlfn.AGGREGATE(14,6,'DONNÉES BRUTES'!AB$3:AB$42*1000+(40-ROW('DONNÉES BRUTES'!AB$3:AB$42)+ROW('DONNÉES BRUTES'!AB$3)),2),'DONNÉES BRUTES'!AB$3:AB$42*1000+(40-ROW('DONNÉES BRUTES'!AB$3:AB$42)+ROW('DONNÉES BRUTES'!AB$3)),0)),"—")</f>
        <v>401.8</v>
      </c>
      <c r="H9" s="43">
        <v>2</v>
      </c>
      <c r="I9" s="44" t="str">
        <f t="array" ref="I9">IFERROR(INDEX('DONNÉES BRUTES'!A$3:A$42,MATCH(_xlfn.AGGREGATE(14,6,'DONNÉES BRUTES'!Y$3:Y$42*1000+(40-ROW('DONNÉES BRUTES'!Y$3:Y$42)+ROW('DONNÉES BRUTES'!Y$3)),2),'DONNÉES BRUTES'!Y$3:Y$42*1000+(40-ROW('DONNÉES BRUTES'!Y$3:Y$42)+ROW('DONNÉES BRUTES'!Y$3)),0)),"—")</f>
        <v>AZN.L</v>
      </c>
      <c r="J9" s="45" t="str">
        <f t="array" ref="J9">IFERROR(LEFT(INDEX('DONNÉES BRUTES'!B$3:B$42,MATCH(_xlfn.AGGREGATE(14,6,'DONNÉES BRUTES'!Y$3:Y$42*1000+(40-ROW('DONNÉES BRUTES'!Y$3:Y$42)+ROW('DONNÉES BRUTES'!Y$3)),2),'DONNÉES BRUTES'!Y$3:Y$42*1000+(40-ROW('DONNÉES BRUTES'!Y$3:Y$42)+ROW('DONNÉES BRUTES'!Y$3)),0)),18),"—")</f>
        <v>AstraZeneca PLC</v>
      </c>
      <c r="K9" s="64" t="str">
        <f t="array" ref="K9">IFERROR(INT(_xlfn.AGGREGATE(14,6,'DONNÉES BRUTES'!Y$3:Y$42*1000+(40-ROW('DONNÉES BRUTES'!Y$3:Y$42)+ROW('DONNÉES BRUTES'!Y$3)),2)/1000)&amp;"/100","—")</f>
        <v>87/100</v>
      </c>
      <c r="L9" s="65" t="str">
        <f t="array" ref="L9">IFERROR(INDEX('DONNÉES BRUTES'!P$3:P$42,MATCH(_xlfn.AGGREGATE(14,6,'DONNÉES BRUTES'!Y$3:Y$42*1000+(40-ROW('DONNÉES BRUTES'!Y$3:Y$42)+ROW('DONNÉES BRUTES'!Y$3)),2),'DONNÉES BRUTES'!Y$3:Y$42*1000+(40-ROW('DONNÉES BRUTES'!Y$3:Y$42)+ROW('DONNÉES BRUTES'!Y$3)),0)),"—")</f>
        <v>+8.6%</v>
      </c>
      <c r="N9" s="43">
        <v>2</v>
      </c>
      <c r="O9" s="44" t="str">
        <f t="array" ref="O9">IFERROR(INDEX('DONNÉES BRUTES'!A$3:A$42,MATCH(_xlfn.AGGREGATE(14,6,'DONNÉES BRUTES'!Z$3:Z$42*1000+(40-ROW('DONNÉES BRUTES'!Z$3:Z$42)+ROW('DONNÉES BRUTES'!Z$3)),2),'DONNÉES BRUTES'!Z$3:Z$42*1000+(40-ROW('DONNÉES BRUTES'!Z$3:Z$42)+ROW('DONNÉES BRUTES'!Z$3)),0)),"—")</f>
        <v>ASML.AS</v>
      </c>
      <c r="P9" s="45" t="str">
        <f t="array" ref="P9">IFERROR(LEFT(INDEX('DONNÉES BRUTES'!B$3:B$42,MATCH(_xlfn.AGGREGATE(14,6,'DONNÉES BRUTES'!Z$3:Z$42*1000+(40-ROW('DONNÉES BRUTES'!Z$3:Z$42)+ROW('DONNÉES BRUTES'!Z$3)),2),'DONNÉES BRUTES'!Z$3:Z$42*1000+(40-ROW('DONNÉES BRUTES'!Z$3:Z$42)+ROW('DONNÉES BRUTES'!Z$3)),0)),18),"—")</f>
        <v>ASML Holding N.V.</v>
      </c>
      <c r="Q9" s="68" t="str">
        <f t="array" ref="Q9">IFERROR(INT(_xlfn.AGGREGATE(14,6,'DONNÉES BRUTES'!Z$3:Z$42*1000+(40-ROW('DONNÉES BRUTES'!Z$3:Z$42)+ROW('DONNÉES BRUTES'!Z$3)),2)/1000)&amp;"/100","—")</f>
        <v>86/100</v>
      </c>
      <c r="R9" s="46">
        <f t="array" ref="R9">IFERROR(INDEX('DONNÉES BRUTES'!U$3:U$42,MATCH(_xlfn.AGGREGATE(14,6,'DONNÉES BRUTES'!Z$3:Z$42*1000+(40-ROW('DONNÉES BRUTES'!Z$3:Z$42)+ROW('DONNÉES BRUTES'!Z$3)),2),'DONNÉES BRUTES'!Z$3:Z$42*1000+(40-ROW('DONNÉES BRUTES'!Z$3:Z$42)+ROW('DONNÉES BRUTES'!Z$3)),0)),"—")</f>
        <v>4.1500000000000004</v>
      </c>
      <c r="T9" s="43">
        <v>2</v>
      </c>
      <c r="U9" s="44" t="str">
        <f t="array" ref="U9">IFERROR(INDEX('DONNÉES BRUTES'!A$3:A$42,MATCH(_xlfn.AGGREGATE(14,6,'DONNÉES BRUTES'!AA$3:AA$42*1000+(40-ROW('DONNÉES BRUTES'!AA$3:AA$42)+ROW('DONNÉES BRUTES'!AA$3)),2),'DONNÉES BRUTES'!AA$3:AA$42*1000+(40-ROW('DONNÉES BRUTES'!AA$3:AA$42)+ROW('DONNÉES BRUTES'!AA$3)),0)),"—")</f>
        <v>RWE.DE</v>
      </c>
      <c r="V9" s="45" t="str">
        <f t="array" ref="V9">IFERROR(LEFT(INDEX('DONNÉES BRUTES'!B$3:B$42,MATCH(_xlfn.AGGREGATE(14,6,'DONNÉES BRUTES'!AA$3:AA$42*1000+(40-ROW('DONNÉES BRUTES'!AA$3:AA$42)+ROW('DONNÉES BRUTES'!AA$3)),2),'DONNÉES BRUTES'!AA$3:AA$42*1000+(40-ROW('DONNÉES BRUTES'!AA$3:AA$42)+ROW('DONNÉES BRUTES'!AA$3)),0)),18),"—")</f>
        <v>RWE Aktiengesellsc</v>
      </c>
      <c r="W9" s="70" t="str">
        <f t="array" ref="W9">IFERROR(INT(_xlfn.AGGREGATE(14,6,'DONNÉES BRUTES'!AA$3:AA$42*1000+(40-ROW('DONNÉES BRUTES'!AA$3:AA$42)+ROW('DONNÉES BRUTES'!AA$3)),2)/1000)&amp;"/100","—")</f>
        <v>96/100</v>
      </c>
      <c r="X9" s="46" t="str">
        <f t="array" ref="X9">IFERROR(INDEX('DONNÉES BRUTES'!P$3:P$42,MATCH(_xlfn.AGGREGATE(14,6,'DONNÉES BRUTES'!AA$3:AA$42*1000+(40-ROW('DONNÉES BRUTES'!AA$3:AA$42)+ROW('DONNÉES BRUTES'!AA$3)),2),'DONNÉES BRUTES'!AA$3:AA$42*1000+(40-ROW('DONNÉES BRUTES'!AA$3:AA$42)+ROW('DONNÉES BRUTES'!AA$3)),0)),"—")</f>
        <v>-27.2%</v>
      </c>
    </row>
    <row r="10" spans="1:24" ht="15.9" customHeight="1" x14ac:dyDescent="0.3">
      <c r="B10" s="39">
        <v>3</v>
      </c>
      <c r="C10" s="40" t="str">
        <f t="array" ref="C10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>RMS.PA</v>
      </c>
      <c r="D10" s="41" t="str">
        <f t="array" ref="D10">IFERROR(LEFT(INDEX('DONNÉES BRUTES'!B$3:B$42,MATCH(_xlfn.AGGREGATE(14,6,'DONNÉES BRUTES'!AB$3:AB$42*1000+(40-ROW('DONNÉES BRUTES'!AB$3:AB$42)+ROW('DONNÉES BRUTES'!AB$3)),3),'DONNÉES BRUTES'!AB$3:AB$42*1000+(40-ROW('DONNÉES BRUTES'!AB$3:AB$42)+ROW('DONNÉES BRUTES'!AB$3)),0)),18),"—")</f>
        <v>Hermès Internation</v>
      </c>
      <c r="E10" s="40" t="str">
        <f t="array" ref="E10">IFERROR(INT(_xlfn.AGGREGATE(14,6,'DONNÉES BRUTES'!AB$3:AB$42*1000+(40-ROW('DONNÉES BRUTES'!AB$3:AB$42)+ROW('DONNÉES BRUTES'!AB$3)),3)/1000)&amp;"/100","—")</f>
        <v>65/100</v>
      </c>
      <c r="F10" s="42">
        <f t="array" ref="F10">IFERROR(INDEX('DONNÉES BRUTES'!I$3:I$42,MATCH(_xlfn.AGGREGATE(14,6,'DONNÉES BRUTES'!AB$3:AB$42*1000+(40-ROW('DONNÉES BRUTES'!AB$3:AB$42)+ROW('DONNÉES BRUTES'!AB$3)),3),'DONNÉES BRUTES'!AB$3:AB$42*1000+(40-ROW('DONNÉES BRUTES'!AB$3:AB$42)+ROW('DONNÉES BRUTES'!AB$3)),0)),"—")</f>
        <v>22.9</v>
      </c>
      <c r="H10" s="39">
        <v>3</v>
      </c>
      <c r="I10" s="40" t="str">
        <f t="array" ref="I10">IFERROR(INDEX('DONNÉES BRUTES'!A$3:A$42,MATCH(_xlfn.AGGREGATE(14,6,'DONNÉES BRUTES'!Y$3:Y$42*1000+(40-ROW('DONNÉES BRUTES'!Y$3:Y$42)+ROW('DONNÉES BRUTES'!Y$3)),3),'DONNÉES BRUTES'!Y$3:Y$42*1000+(40-ROW('DONNÉES BRUTES'!Y$3:Y$42)+ROW('DONNÉES BRUTES'!Y$3)),0)),"—")</f>
        <v>RMS.PA</v>
      </c>
      <c r="J10" s="41" t="str">
        <f t="array" ref="J10">IFERROR(LEFT(INDEX('DONNÉES BRUTES'!B$3:B$42,MATCH(_xlfn.AGGREGATE(14,6,'DONNÉES BRUTES'!Y$3:Y$42*1000+(40-ROW('DONNÉES BRUTES'!Y$3:Y$42)+ROW('DONNÉES BRUTES'!Y$3)),3),'DONNÉES BRUTES'!Y$3:Y$42*1000+(40-ROW('DONNÉES BRUTES'!Y$3:Y$42)+ROW('DONNÉES BRUTES'!Y$3)),0)),18),"—")</f>
        <v>Hermès Internation</v>
      </c>
      <c r="K10" s="62" t="str">
        <f t="array" ref="K10">IFERROR(INT(_xlfn.AGGREGATE(14,6,'DONNÉES BRUTES'!Y$3:Y$42*1000+(40-ROW('DONNÉES BRUTES'!Y$3:Y$42)+ROW('DONNÉES BRUTES'!Y$3)),3)/1000)&amp;"/100","—")</f>
        <v>81/100</v>
      </c>
      <c r="L10" s="63" t="str">
        <f t="array" ref="L10">IFERROR(INDEX('DONNÉES BRUTES'!P$3:P$42,MATCH(_xlfn.AGGREGATE(14,6,'DONNÉES BRUTES'!Y$3:Y$42*1000+(40-ROW('DONNÉES BRUTES'!Y$3:Y$42)+ROW('DONNÉES BRUTES'!Y$3)),3),'DONNÉES BRUTES'!Y$3:Y$42*1000+(40-ROW('DONNÉES BRUTES'!Y$3:Y$42)+ROW('DONNÉES BRUTES'!Y$3)),0)),"—")</f>
        <v>+5.5%</v>
      </c>
      <c r="N10" s="39">
        <v>3</v>
      </c>
      <c r="O10" s="40" t="str">
        <f t="array" ref="O10">IFERROR(INDEX('DONNÉES BRUTES'!A$3:A$42,MATCH(_xlfn.AGGREGATE(14,6,'DONNÉES BRUTES'!Z$3:Z$42*1000+(40-ROW('DONNÉES BRUTES'!Z$3:Z$42)+ROW('DONNÉES BRUTES'!Z$3)),3),'DONNÉES BRUTES'!Z$3:Z$42*1000+(40-ROW('DONNÉES BRUTES'!Z$3:Z$42)+ROW('DONNÉES BRUTES'!Z$3)),0)),"—")</f>
        <v>ITX.MC</v>
      </c>
      <c r="P10" s="41" t="str">
        <f t="array" ref="P10">IFERROR(LEFT(INDEX('DONNÉES BRUTES'!B$3:B$42,MATCH(_xlfn.AGGREGATE(14,6,'DONNÉES BRUTES'!Z$3:Z$42*1000+(40-ROW('DONNÉES BRUTES'!Z$3:Z$42)+ROW('DONNÉES BRUTES'!Z$3)),3),'DONNÉES BRUTES'!Z$3:Z$42*1000+(40-ROW('DONNÉES BRUTES'!Z$3:Z$42)+ROW('DONNÉES BRUTES'!Z$3)),0)),18),"—")</f>
        <v>Industria de Diseñ</v>
      </c>
      <c r="Q10" s="67" t="str">
        <f t="array" ref="Q10">IFERROR(INT(_xlfn.AGGREGATE(14,6,'DONNÉES BRUTES'!Z$3:Z$42*1000+(40-ROW('DONNÉES BRUTES'!Z$3:Z$42)+ROW('DONNÉES BRUTES'!Z$3)),3)/1000)&amp;"/100","—")</f>
        <v>83/100</v>
      </c>
      <c r="R10" s="42">
        <f t="array" ref="R10">IFERROR(INDEX('DONNÉES BRUTES'!U$3:U$42,MATCH(_xlfn.AGGREGATE(14,6,'DONNÉES BRUTES'!Z$3:Z$42*1000+(40-ROW('DONNÉES BRUTES'!Z$3:Z$42)+ROW('DONNÉES BRUTES'!Z$3)),3),'DONNÉES BRUTES'!Z$3:Z$42*1000+(40-ROW('DONNÉES BRUTES'!Z$3:Z$42)+ROW('DONNÉES BRUTES'!Z$3)),0)),"—")</f>
        <v>4.57</v>
      </c>
      <c r="T10" s="39">
        <v>3</v>
      </c>
      <c r="U10" s="40" t="str">
        <f t="array" ref="U10">IFERROR(INDEX('DONNÉES BRUTES'!A$3:A$42,MATCH(_xlfn.AGGREGATE(14,6,'DONNÉES BRUTES'!AA$3:AA$42*1000+(40-ROW('DONNÉES BRUTES'!AA$3:AA$42)+ROW('DONNÉES BRUTES'!AA$3)),3),'DONNÉES BRUTES'!AA$3:AA$42*1000+(40-ROW('DONNÉES BRUTES'!AA$3:AA$42)+ROW('DONNÉES BRUTES'!AA$3)),0)),"—")</f>
        <v>NOKIA.HE</v>
      </c>
      <c r="V10" s="41" t="str">
        <f t="array" ref="V10">IFERROR(LEFT(INDEX('DONNÉES BRUTES'!B$3:B$42,MATCH(_xlfn.AGGREGATE(14,6,'DONNÉES BRUTES'!AA$3:AA$42*1000+(40-ROW('DONNÉES BRUTES'!AA$3:AA$42)+ROW('DONNÉES BRUTES'!AA$3)),3),'DONNÉES BRUTES'!AA$3:AA$42*1000+(40-ROW('DONNÉES BRUTES'!AA$3:AA$42)+ROW('DONNÉES BRUTES'!AA$3)),0)),18),"—")</f>
        <v>Nokia Oyj</v>
      </c>
      <c r="W10" s="69" t="str">
        <f t="array" ref="W10">IFERROR(INT(_xlfn.AGGREGATE(14,6,'DONNÉES BRUTES'!AA$3:AA$42*1000+(40-ROW('DONNÉES BRUTES'!AA$3:AA$42)+ROW('DONNÉES BRUTES'!AA$3)),3)/1000)&amp;"/100","—")</f>
        <v>94/100</v>
      </c>
      <c r="X10" s="42" t="str">
        <f t="array" ref="X10">IFERROR(INDEX('DONNÉES BRUTES'!P$3:P$42,MATCH(_xlfn.AGGREGATE(14,6,'DONNÉES BRUTES'!AA$3:AA$42*1000+(40-ROW('DONNÉES BRUTES'!AA$3:AA$42)+ROW('DONNÉES BRUTES'!AA$3)),3),'DONNÉES BRUTES'!AA$3:AA$42*1000+(40-ROW('DONNÉES BRUTES'!AA$3:AA$42)+ROW('DONNÉES BRUTES'!AA$3)),0)),"—")</f>
        <v>+3.5%</v>
      </c>
    </row>
    <row r="11" spans="1:24" ht="15.9" customHeight="1" x14ac:dyDescent="0.3">
      <c r="B11" s="43">
        <v>4</v>
      </c>
      <c r="C11" s="44" t="str">
        <f t="array" ref="C11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>SAP.DE</v>
      </c>
      <c r="D11" s="45" t="str">
        <f t="array" ref="D11">IFERROR(LEFT(INDEX('DONNÉES BRUTES'!B$3:B$42,MATCH(_xlfn.AGGREGATE(14,6,'DONNÉES BRUTES'!AB$3:AB$42*1000+(40-ROW('DONNÉES BRUTES'!AB$3:AB$42)+ROW('DONNÉES BRUTES'!AB$3)),4),'DONNÉES BRUTES'!AB$3:AB$42*1000+(40-ROW('DONNÉES BRUTES'!AB$3:AB$42)+ROW('DONNÉES BRUTES'!AB$3)),0)),18),"—")</f>
        <v>SAP SE</v>
      </c>
      <c r="E11" s="44" t="str">
        <f t="array" ref="E11">IFERROR(INT(_xlfn.AGGREGATE(14,6,'DONNÉES BRUTES'!AB$3:AB$42*1000+(40-ROW('DONNÉES BRUTES'!AB$3:AB$42)+ROW('DONNÉES BRUTES'!AB$3)),4)/1000)&amp;"/100","—")</f>
        <v>62/100</v>
      </c>
      <c r="F11" s="46">
        <f t="array" ref="F11">IFERROR(INDEX('DONNÉES BRUTES'!I$3:I$42,MATCH(_xlfn.AGGREGATE(14,6,'DONNÉES BRUTES'!AB$3:AB$42*1000+(40-ROW('DONNÉES BRUTES'!AB$3:AB$42)+ROW('DONNÉES BRUTES'!AB$3)),4),'DONNÉES BRUTES'!AB$3:AB$42*1000+(40-ROW('DONNÉES BRUTES'!AB$3:AB$42)+ROW('DONNÉES BRUTES'!AB$3)),0)),"—")</f>
        <v>13.3</v>
      </c>
      <c r="H11" s="43">
        <v>4</v>
      </c>
      <c r="I11" s="44" t="str">
        <f t="array" ref="I11">IFERROR(INDEX('DONNÉES BRUTES'!A$3:A$42,MATCH(_xlfn.AGGREGATE(14,6,'DONNÉES BRUTES'!Y$3:Y$42*1000+(40-ROW('DONNÉES BRUTES'!Y$3:Y$42)+ROW('DONNÉES BRUTES'!Y$3)),4),'DONNÉES BRUTES'!Y$3:Y$42*1000+(40-ROW('DONNÉES BRUTES'!Y$3:Y$42)+ROW('DONNÉES BRUTES'!Y$3)),0)),"—")</f>
        <v>SAP.DE</v>
      </c>
      <c r="J11" s="45" t="str">
        <f t="array" ref="J11">IFERROR(LEFT(INDEX('DONNÉES BRUTES'!B$3:B$42,MATCH(_xlfn.AGGREGATE(14,6,'DONNÉES BRUTES'!Y$3:Y$42*1000+(40-ROW('DONNÉES BRUTES'!Y$3:Y$42)+ROW('DONNÉES BRUTES'!Y$3)),4),'DONNÉES BRUTES'!Y$3:Y$42*1000+(40-ROW('DONNÉES BRUTES'!Y$3:Y$42)+ROW('DONNÉES BRUTES'!Y$3)),0)),18),"—")</f>
        <v>SAP SE</v>
      </c>
      <c r="K11" s="64" t="str">
        <f t="array" ref="K11">IFERROR(INT(_xlfn.AGGREGATE(14,6,'DONNÉES BRUTES'!Y$3:Y$42*1000+(40-ROW('DONNÉES BRUTES'!Y$3:Y$42)+ROW('DONNÉES BRUTES'!Y$3)),4)/1000)&amp;"/100","—")</f>
        <v>78/100</v>
      </c>
      <c r="L11" s="66" t="str">
        <f t="array" ref="L11">IFERROR(INDEX('DONNÉES BRUTES'!P$3:P$42,MATCH(_xlfn.AGGREGATE(14,6,'DONNÉES BRUTES'!Y$3:Y$42*1000+(40-ROW('DONNÉES BRUTES'!Y$3:Y$42)+ROW('DONNÉES BRUTES'!Y$3)),4),'DONNÉES BRUTES'!Y$3:Y$42*1000+(40-ROW('DONNÉES BRUTES'!Y$3:Y$42)+ROW('DONNÉES BRUTES'!Y$3)),0)),"—")</f>
        <v>+7.7%</v>
      </c>
      <c r="N11" s="43">
        <v>4</v>
      </c>
      <c r="O11" s="44" t="str">
        <f t="array" ref="O11">IFERROR(INDEX('DONNÉES BRUTES'!A$3:A$42,MATCH(_xlfn.AGGREGATE(14,6,'DONNÉES BRUTES'!Z$3:Z$42*1000+(40-ROW('DONNÉES BRUTES'!Z$3:Z$42)+ROW('DONNÉES BRUTES'!Z$3)),4),'DONNÉES BRUTES'!Z$3:Z$42*1000+(40-ROW('DONNÉES BRUTES'!Z$3:Z$42)+ROW('DONNÉES BRUTES'!Z$3)),0)),"—")</f>
        <v>SAP.DE</v>
      </c>
      <c r="P11" s="45" t="str">
        <f t="array" ref="P11">IFERROR(LEFT(INDEX('DONNÉES BRUTES'!B$3:B$42,MATCH(_xlfn.AGGREGATE(14,6,'DONNÉES BRUTES'!Z$3:Z$42*1000+(40-ROW('DONNÉES BRUTES'!Z$3:Z$42)+ROW('DONNÉES BRUTES'!Z$3)),4),'DONNÉES BRUTES'!Z$3:Z$42*1000+(40-ROW('DONNÉES BRUTES'!Z$3:Z$42)+ROW('DONNÉES BRUTES'!Z$3)),0)),18),"—")</f>
        <v>SAP SE</v>
      </c>
      <c r="Q11" s="68" t="str">
        <f t="array" ref="Q11">IFERROR(INT(_xlfn.AGGREGATE(14,6,'DONNÉES BRUTES'!Z$3:Z$42*1000+(40-ROW('DONNÉES BRUTES'!Z$3:Z$42)+ROW('DONNÉES BRUTES'!Z$3)),4)/1000)&amp;"/100","—")</f>
        <v>80/100</v>
      </c>
      <c r="R11" s="46">
        <f t="array" ref="R11">IFERROR(INDEX('DONNÉES BRUTES'!U$3:U$42,MATCH(_xlfn.AGGREGATE(14,6,'DONNÉES BRUTES'!Z$3:Z$42*1000+(40-ROW('DONNÉES BRUTES'!Z$3:Z$42)+ROW('DONNÉES BRUTES'!Z$3)),4),'DONNÉES BRUTES'!Z$3:Z$42*1000+(40-ROW('DONNÉES BRUTES'!Z$3:Z$42)+ROW('DONNÉES BRUTES'!Z$3)),0)),"—")</f>
        <v>5.34</v>
      </c>
      <c r="T11" s="43">
        <v>4</v>
      </c>
      <c r="U11" s="44" t="str">
        <f t="array" ref="U11">IFERROR(INDEX('DONNÉES BRUTES'!A$3:A$42,MATCH(_xlfn.AGGREGATE(14,6,'DONNÉES BRUTES'!AA$3:AA$42*1000+(40-ROW('DONNÉES BRUTES'!AA$3:AA$42)+ROW('DONNÉES BRUTES'!AA$3)),4),'DONNÉES BRUTES'!AA$3:AA$42*1000+(40-ROW('DONNÉES BRUTES'!AA$3:AA$42)+ROW('DONNÉES BRUTES'!AA$3)),0)),"—")</f>
        <v>RIO.L</v>
      </c>
      <c r="V11" s="45" t="str">
        <f t="array" ref="V11">IFERROR(LEFT(INDEX('DONNÉES BRUTES'!B$3:B$42,MATCH(_xlfn.AGGREGATE(14,6,'DONNÉES BRUTES'!AA$3:AA$42*1000+(40-ROW('DONNÉES BRUTES'!AA$3:AA$42)+ROW('DONNÉES BRUTES'!AA$3)),4),'DONNÉES BRUTES'!AA$3:AA$42*1000+(40-ROW('DONNÉES BRUTES'!AA$3:AA$42)+ROW('DONNÉES BRUTES'!AA$3)),0)),18),"—")</f>
        <v>Rio Tinto Group</v>
      </c>
      <c r="W11" s="70" t="str">
        <f t="array" ref="W11">IFERROR(INT(_xlfn.AGGREGATE(14,6,'DONNÉES BRUTES'!AA$3:AA$42*1000+(40-ROW('DONNÉES BRUTES'!AA$3:AA$42)+ROW('DONNÉES BRUTES'!AA$3)),4)/1000)&amp;"/100","—")</f>
        <v>91/100</v>
      </c>
      <c r="X11" s="46" t="str">
        <f t="array" ref="X11">IFERROR(INDEX('DONNÉES BRUTES'!P$3:P$42,MATCH(_xlfn.AGGREGATE(14,6,'DONNÉES BRUTES'!AA$3:AA$42*1000+(40-ROW('DONNÉES BRUTES'!AA$3:AA$42)+ROW('DONNÉES BRUTES'!AA$3)),4),'DONNÉES BRUTES'!AA$3:AA$42*1000+(40-ROW('DONNÉES BRUTES'!AA$3:AA$42)+ROW('DONNÉES BRUTES'!AA$3)),0)),"—")</f>
        <v>+7.4%</v>
      </c>
    </row>
    <row r="12" spans="1:24" ht="15.9" customHeight="1" x14ac:dyDescent="0.3">
      <c r="B12" s="39">
        <v>5</v>
      </c>
      <c r="C12" s="40" t="str">
        <f t="array" ref="C12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>AZN.L</v>
      </c>
      <c r="D12" s="41" t="str">
        <f t="array" ref="D12">IFERROR(LEFT(INDEX('DONNÉES BRUTES'!B$3:B$42,MATCH(_xlfn.AGGREGATE(14,6,'DONNÉES BRUTES'!AB$3:AB$42*1000+(40-ROW('DONNÉES BRUTES'!AB$3:AB$42)+ROW('DONNÉES BRUTES'!AB$3)),5),'DONNÉES BRUTES'!AB$3:AB$42*1000+(40-ROW('DONNÉES BRUTES'!AB$3:AB$42)+ROW('DONNÉES BRUTES'!AB$3)),0)),18),"—")</f>
        <v>AstraZeneca PLC</v>
      </c>
      <c r="E12" s="40" t="str">
        <f t="array" ref="E12">IFERROR(INT(_xlfn.AGGREGATE(14,6,'DONNÉES BRUTES'!AB$3:AB$42*1000+(40-ROW('DONNÉES BRUTES'!AB$3:AB$42)+ROW('DONNÉES BRUTES'!AB$3)),5)/1000)&amp;"/100","—")</f>
        <v>60/100</v>
      </c>
      <c r="F12" s="42">
        <f t="array" ref="F12">IFERROR(INDEX('DONNÉES BRUTES'!I$3:I$42,MATCH(_xlfn.AGGREGATE(14,6,'DONNÉES BRUTES'!AB$3:AB$42*1000+(40-ROW('DONNÉES BRUTES'!AB$3:AB$42)+ROW('DONNÉES BRUTES'!AB$3)),5),'DONNÉES BRUTES'!AB$3:AB$42*1000+(40-ROW('DONNÉES BRUTES'!AB$3:AB$42)+ROW('DONNÉES BRUTES'!AB$3)),0)),"—")</f>
        <v>1211.7</v>
      </c>
      <c r="H12" s="39">
        <v>5</v>
      </c>
      <c r="I12" s="40" t="str">
        <f t="array" ref="I12">IFERROR(INDEX('DONNÉES BRUTES'!A$3:A$42,MATCH(_xlfn.AGGREGATE(14,6,'DONNÉES BRUTES'!Y$3:Y$42*1000+(40-ROW('DONNÉES BRUTES'!Y$3:Y$42)+ROW('DONNÉES BRUTES'!Y$3)),5),'DONNÉES BRUTES'!Y$3:Y$42*1000+(40-ROW('DONNÉES BRUTES'!Y$3:Y$42)+ROW('DONNÉES BRUTES'!Y$3)),0)),"—")</f>
        <v>GSK.L</v>
      </c>
      <c r="J12" s="41" t="str">
        <f t="array" ref="J12">IFERROR(LEFT(INDEX('DONNÉES BRUTES'!B$3:B$42,MATCH(_xlfn.AGGREGATE(14,6,'DONNÉES BRUTES'!Y$3:Y$42*1000+(40-ROW('DONNÉES BRUTES'!Y$3:Y$42)+ROW('DONNÉES BRUTES'!Y$3)),5),'DONNÉES BRUTES'!Y$3:Y$42*1000+(40-ROW('DONNÉES BRUTES'!Y$3:Y$42)+ROW('DONNÉES BRUTES'!Y$3)),0)),18),"—")</f>
        <v>GSK plc</v>
      </c>
      <c r="K12" s="62" t="str">
        <f t="array" ref="K12">IFERROR(INT(_xlfn.AGGREGATE(14,6,'DONNÉES BRUTES'!Y$3:Y$42*1000+(40-ROW('DONNÉES BRUTES'!Y$3:Y$42)+ROW('DONNÉES BRUTES'!Y$3)),5)/1000)&amp;"/100","—")</f>
        <v>78/100</v>
      </c>
      <c r="L12" s="63" t="str">
        <f t="array" ref="L12">IFERROR(INDEX('DONNÉES BRUTES'!P$3:P$42,MATCH(_xlfn.AGGREGATE(14,6,'DONNÉES BRUTES'!Y$3:Y$42*1000+(40-ROW('DONNÉES BRUTES'!Y$3:Y$42)+ROW('DONNÉES BRUTES'!Y$3)),5),'DONNÉES BRUTES'!Y$3:Y$42*1000+(40-ROW('DONNÉES BRUTES'!Y$3:Y$42)+ROW('DONNÉES BRUTES'!Y$3)),0)),"—")</f>
        <v>+4.1%</v>
      </c>
      <c r="N12" s="39">
        <v>5</v>
      </c>
      <c r="O12" s="40" t="str">
        <f t="array" ref="O12">IFERROR(INDEX('DONNÉES BRUTES'!A$3:A$42,MATCH(_xlfn.AGGREGATE(14,6,'DONNÉES BRUTES'!Z$3:Z$42*1000+(40-ROW('DONNÉES BRUTES'!Z$3:Z$42)+ROW('DONNÉES BRUTES'!Z$3)),5),'DONNÉES BRUTES'!Z$3:Z$42*1000+(40-ROW('DONNÉES BRUTES'!Z$3:Z$42)+ROW('DONNÉES BRUTES'!Z$3)),0)),"—")</f>
        <v>RIO.L</v>
      </c>
      <c r="P12" s="41" t="str">
        <f t="array" ref="P12">IFERROR(LEFT(INDEX('DONNÉES BRUTES'!B$3:B$42,MATCH(_xlfn.AGGREGATE(14,6,'DONNÉES BRUTES'!Z$3:Z$42*1000+(40-ROW('DONNÉES BRUTES'!Z$3:Z$42)+ROW('DONNÉES BRUTES'!Z$3)),5),'DONNÉES BRUTES'!Z$3:Z$42*1000+(40-ROW('DONNÉES BRUTES'!Z$3:Z$42)+ROW('DONNÉES BRUTES'!Z$3)),0)),18),"—")</f>
        <v>Rio Tinto Group</v>
      </c>
      <c r="Q12" s="67" t="str">
        <f t="array" ref="Q12">IFERROR(INT(_xlfn.AGGREGATE(14,6,'DONNÉES BRUTES'!Z$3:Z$42*1000+(40-ROW('DONNÉES BRUTES'!Z$3:Z$42)+ROW('DONNÉES BRUTES'!Z$3)),5)/1000)&amp;"/100","—")</f>
        <v>78/100</v>
      </c>
      <c r="R12" s="42">
        <f t="array" ref="R12">IFERROR(INDEX('DONNÉES BRUTES'!U$3:U$42,MATCH(_xlfn.AGGREGATE(14,6,'DONNÉES BRUTES'!Z$3:Z$42*1000+(40-ROW('DONNÉES BRUTES'!Z$3:Z$42)+ROW('DONNÉES BRUTES'!Z$3)),5),'DONNÉES BRUTES'!Z$3:Z$42*1000+(40-ROW('DONNÉES BRUTES'!Z$3:Z$42)+ROW('DONNÉES BRUTES'!Z$3)),0)),"—")</f>
        <v>3.45</v>
      </c>
      <c r="T12" s="39">
        <v>5</v>
      </c>
      <c r="U12" s="40" t="str">
        <f t="array" ref="U12">IFERROR(INDEX('DONNÉES BRUTES'!A$3:A$42,MATCH(_xlfn.AGGREGATE(14,6,'DONNÉES BRUTES'!AA$3:AA$42*1000+(40-ROW('DONNÉES BRUTES'!AA$3:AA$42)+ROW('DONNÉES BRUTES'!AA$3)),5),'DONNÉES BRUTES'!AA$3:AA$42*1000+(40-ROW('DONNÉES BRUTES'!AA$3:AA$42)+ROW('DONNÉES BRUTES'!AA$3)),0)),"—")</f>
        <v>KER.PA</v>
      </c>
      <c r="V12" s="41" t="str">
        <f t="array" ref="V12">IFERROR(LEFT(INDEX('DONNÉES BRUTES'!B$3:B$42,MATCH(_xlfn.AGGREGATE(14,6,'DONNÉES BRUTES'!AA$3:AA$42*1000+(40-ROW('DONNÉES BRUTES'!AA$3:AA$42)+ROW('DONNÉES BRUTES'!AA$3)),5),'DONNÉES BRUTES'!AA$3:AA$42*1000+(40-ROW('DONNÉES BRUTES'!AA$3:AA$42)+ROW('DONNÉES BRUTES'!AA$3)),0)),18),"—")</f>
        <v>Kering SA</v>
      </c>
      <c r="W12" s="69" t="str">
        <f t="array" ref="W12">IFERROR(INT(_xlfn.AGGREGATE(14,6,'DONNÉES BRUTES'!AA$3:AA$42*1000+(40-ROW('DONNÉES BRUTES'!AA$3:AA$42)+ROW('DONNÉES BRUTES'!AA$3)),5)/1000)&amp;"/100","—")</f>
        <v>89/100</v>
      </c>
      <c r="X12" s="42" t="str">
        <f t="array" ref="X12">IFERROR(INDEX('DONNÉES BRUTES'!P$3:P$42,MATCH(_xlfn.AGGREGATE(14,6,'DONNÉES BRUTES'!AA$3:AA$42*1000+(40-ROW('DONNÉES BRUTES'!AA$3:AA$42)+ROW('DONNÉES BRUTES'!AA$3)),5),'DONNÉES BRUTES'!AA$3:AA$42*1000+(40-ROW('DONNÉES BRUTES'!AA$3:AA$42)+ROW('DONNÉES BRUTES'!AA$3)),0)),"—")</f>
        <v>-13.0%</v>
      </c>
    </row>
    <row r="13" spans="1:24" ht="8.1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</row>
    <row r="14" spans="1:24" ht="20.100000000000001" customHeight="1" x14ac:dyDescent="0.3">
      <c r="A14" s="59"/>
      <c r="B14" s="59" t="s">
        <v>135</v>
      </c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</row>
    <row r="15" spans="1:24" ht="18" customHeight="1" thickBot="1" x14ac:dyDescent="0.35">
      <c r="A15" s="445"/>
      <c r="B15" s="72" t="s">
        <v>133</v>
      </c>
      <c r="C15" s="73" t="s">
        <v>6</v>
      </c>
      <c r="D15" s="74" t="s">
        <v>1</v>
      </c>
      <c r="E15" s="74" t="s">
        <v>7</v>
      </c>
      <c r="F15" s="73" t="s">
        <v>8</v>
      </c>
      <c r="G15" s="75"/>
      <c r="H15" s="73" t="s">
        <v>136</v>
      </c>
      <c r="I15" s="73" t="s">
        <v>137</v>
      </c>
      <c r="J15" s="73" t="s">
        <v>138</v>
      </c>
      <c r="K15" s="73" t="s">
        <v>139</v>
      </c>
      <c r="L15" s="73" t="s">
        <v>140</v>
      </c>
      <c r="M15" s="75"/>
      <c r="N15" s="73" t="s">
        <v>141</v>
      </c>
      <c r="O15" s="75"/>
      <c r="P15" s="75"/>
      <c r="Q15" s="75"/>
      <c r="R15" s="76" t="s">
        <v>3</v>
      </c>
      <c r="S15" s="71"/>
      <c r="T15" s="71"/>
      <c r="U15" s="71"/>
      <c r="V15" s="71"/>
      <c r="W15" s="71"/>
      <c r="X15" s="71"/>
    </row>
    <row r="16" spans="1:24" ht="15.9" customHeight="1" thickBot="1" x14ac:dyDescent="0.35">
      <c r="A16" s="32"/>
      <c r="B16" s="77">
        <v>1</v>
      </c>
      <c r="C16" s="78" t="str">
        <f t="array" ref="C16">IFERROR(INDEX('DONNÉES BRUTES'!A$3:A$42,MATCH(_xlfn.AGGREGATE(14,6,'DONNÉES BRUTES'!AB$3:AB$42*1000+(40-ROW('DONNÉES BRUTES'!AB$3:AB$42)+ROW('DONNÉES BRUTES'!AB$3)),1),'DONNÉES BRUTES'!AB$3:AB$42*1000+(40-ROW('DONNÉES BRUTES'!AB$3:AB$42)+ROW('DONNÉES BRUTES'!AB$3)),0)),"—")</f>
        <v>ASML.AS</v>
      </c>
      <c r="D16" s="79" t="str">
        <f t="array" ref="D16">IFERROR(LEFT(IFERROR(INDEX('DONNÉES BRUTES'!B$3:B$42,MATCH(_xlfn.AGGREGATE(14,6,'DONNÉES BRUTES'!AB$3:AB$42*1000+(40-ROW('DONNÉES BRUTES'!AB$3:AB$42)+ROW('DONNÉES BRUTES'!AB$3)),1),'DONNÉES BRUTES'!AB$3:AB$42*1000+(40-ROW('DONNÉES BRUTES'!AB$3:AB$42)+ROW('DONNÉES BRUTES'!AB$3)),0)),"—"),18),"—")</f>
        <v>ASML Holding N.V.</v>
      </c>
      <c r="E16" s="79" t="str">
        <f t="array" ref="E16">IFERROR(INDEX('DONNÉES BRUTES'!C$3:C$42,MATCH(_xlfn.AGGREGATE(14,6,'DONNÉES BRUTES'!AB$3:AB$42*1000+(40-ROW('DONNÉES BRUTES'!AB$3:AB$42)+ROW('DONNÉES BRUTES'!AB$3)),1),'DONNÉES BRUTES'!AB$3:AB$42*1000+(40-ROW('DONNÉES BRUTES'!AB$3:AB$42)+ROW('DONNÉES BRUTES'!AB$3)),0)),"—")</f>
        <v>Technologie</v>
      </c>
      <c r="F16" s="80" t="str">
        <f t="array" ref="F16">IFERROR(INT(_xlfn.AGGREGATE(14,6,'DONNÉES BRUTES'!AB$3:AB$42*1000+(40-ROW('DONNÉES BRUTES'!AB$3:AB$42)+ROW('DONNÉES BRUTES'!AB$3)),1)/1000)&amp;"/100","—")</f>
        <v>75/100</v>
      </c>
      <c r="G16" s="78"/>
      <c r="H16" s="78">
        <f t="array" ref="H16">IFERROR(INDEX('DONNÉES BRUTES'!Y$3:Y$42,MATCH(_xlfn.AGGREGATE(14,6,'DONNÉES BRUTES'!AB$3:AB$42*1000+(40-ROW('DONNÉES BRUTES'!AB$3:AB$42)+ROW('DONNÉES BRUTES'!AB$3)),1),'DONNÉES BRUTES'!AB$3:AB$42*1000+(40-ROW('DONNÉES BRUTES'!AB$3:AB$42)+ROW('DONNÉES BRUTES'!AB$3)),0)),"—")</f>
        <v>92</v>
      </c>
      <c r="I16" s="78">
        <f t="array" ref="I16">IFERROR(INDEX('DONNÉES BRUTES'!Z$3:Z$42,MATCH(_xlfn.AGGREGATE(14,6,'DONNÉES BRUTES'!AB$3:AB$42*1000+(40-ROW('DONNÉES BRUTES'!AB$3:AB$42)+ROW('DONNÉES BRUTES'!AB$3)),1),'DONNÉES BRUTES'!AB$3:AB$42*1000+(40-ROW('DONNÉES BRUTES'!AB$3:AB$42)+ROW('DONNÉES BRUTES'!AB$3)),0)),"—")</f>
        <v>86</v>
      </c>
      <c r="J16" s="78">
        <f t="array" ref="J16">IFERROR(INDEX('DONNÉES BRUTES'!AA$3:AA$42,MATCH(_xlfn.AGGREGATE(14,6,'DONNÉES BRUTES'!AB$3:AB$42*1000+(40-ROW('DONNÉES BRUTES'!AB$3:AB$42)+ROW('DONNÉES BRUTES'!AB$3)),1),'DONNÉES BRUTES'!AB$3:AB$42*1000+(40-ROW('DONNÉES BRUTES'!AB$3:AB$42)+ROW('DONNÉES BRUTES'!AB$3)),0)),"—")</f>
        <v>98</v>
      </c>
      <c r="K16" s="81" t="str">
        <f t="array" ref="K16">IFERROR(INDEX('DONNÉES BRUTES'!N$3:N$42,MATCH(_xlfn.AGGREGATE(14,6,'DONNÉES BRUTES'!AB$3:AB$42*1000+(40-ROW('DONNÉES BRUTES'!AB$3:AB$42)+ROW('DONNÉES BRUTES'!AB$3)),1),'DONNÉES BRUTES'!AB$3:AB$42*1000+(40-ROW('DONNÉES BRUTES'!AB$3:AB$42)+ROW('DONNÉES BRUTES'!AB$3)),0)),"—")</f>
        <v>38.4%</v>
      </c>
      <c r="L16" s="82" t="str">
        <f t="array" ref="L16">IFERROR(INDEX('DONNÉES BRUTES'!P$3:P$42,MATCH(_xlfn.AGGREGATE(14,6,'DONNÉES BRUTES'!AB$3:AB$42*1000+(40-ROW('DONNÉES BRUTES'!AB$3:AB$42)+ROW('DONNÉES BRUTES'!AB$3)),1),'DONNÉES BRUTES'!AB$3:AB$42*1000+(40-ROW('DONNÉES BRUTES'!AB$3:AB$42)+ROW('DONNÉES BRUTES'!AB$3)),0)),"—")</f>
        <v>+15.6%</v>
      </c>
      <c r="M16" s="78"/>
      <c r="N16" s="78" t="str">
        <f t="array" ref="N16">IFERROR(INDEX('DONNÉES BRUTES'!AC$3:AC$42,MATCH(_xlfn.AGGREGATE(14,6,'DONNÉES BRUTES'!AB$3:AB$42*1000+(40-ROW('DONNÉES BRUTES'!AB$3:AB$42)+ROW('DONNÉES BRUTES'!AB$3)),1),'DONNÉES BRUTES'!AB$3:AB$42*1000+(40-ROW('DONNÉES BRUTES'!AB$3:AB$42)+ROW('DONNÉES BRUTES'!AB$3)),0)),"—")</f>
        <v>2026-04-15</v>
      </c>
      <c r="O16" s="78"/>
      <c r="P16" s="78"/>
      <c r="Q16" s="78"/>
      <c r="R16" s="83" t="str">
        <f t="array" ref="R16">IFERROR(INDEX('DONNÉES BRUTES'!AD$3:AD$42,MATCH(_xlfn.AGGREGATE(14,6,'DONNÉES BRUTES'!AB$3:AB$42*1000+(40-ROW('DONNÉES BRUTES'!AB$3:AB$42)+ROW('DONNÉES BRUTES'!AB$3)),1),'DONNÉES BRUTES'!AB$3:AB$42*1000+(40-ROW('DONNÉES BRUTES'!AB$3:AB$42)+ROW('DONNÉES BRUTES'!AB$3)),0)),"—")</f>
        <v>Surpondérer</v>
      </c>
      <c r="S16" s="32"/>
      <c r="T16" s="32"/>
      <c r="U16" s="32"/>
      <c r="V16" s="32"/>
      <c r="W16" s="32"/>
      <c r="X16" s="32"/>
    </row>
    <row r="17" spans="1:24" ht="15.9" customHeight="1" thickBot="1" x14ac:dyDescent="0.35">
      <c r="A17" s="33"/>
      <c r="B17" s="84">
        <v>2</v>
      </c>
      <c r="C17" s="85" t="str">
        <f t="array" ref="C17">IFERROR(INDEX('DONNÉES BRUTES'!A$3:A$42,MATCH(_xlfn.AGGREGATE(14,6,'DONNÉES BRUTES'!AB$3:AB$42*1000+(40-ROW('DONNÉES BRUTES'!AB$3:AB$42)+ROW('DONNÉES BRUTES'!AB$3)),2),'DONNÉES BRUTES'!AB$3:AB$42*1000+(40-ROW('DONNÉES BRUTES'!AB$3:AB$42)+ROW('DONNÉES BRUTES'!AB$3)),0)),"—")</f>
        <v>RIO.L</v>
      </c>
      <c r="D17" s="86" t="str">
        <f t="array" ref="D17">IFERROR(LEFT(IFERROR(INDEX('DONNÉES BRUTES'!B$3:B$42,MATCH(_xlfn.AGGREGATE(14,6,'DONNÉES BRUTES'!AB$3:AB$42*1000+(40-ROW('DONNÉES BRUTES'!AB$3:AB$42)+ROW('DONNÉES BRUTES'!AB$3)),2),'DONNÉES BRUTES'!AB$3:AB$42*1000+(40-ROW('DONNÉES BRUTES'!AB$3:AB$42)+ROW('DONNÉES BRUTES'!AB$3)),0)),"—"),18),"—")</f>
        <v>Rio Tinto Group</v>
      </c>
      <c r="E17" s="86" t="str">
        <f t="array" ref="E17">IFERROR(INDEX('DONNÉES BRUTES'!C$3:C$42,MATCH(_xlfn.AGGREGATE(14,6,'DONNÉES BRUTES'!AB$3:AB$42*1000+(40-ROW('DONNÉES BRUTES'!AB$3:AB$42)+ROW('DONNÉES BRUTES'!AB$3)),2),'DONNÉES BRUTES'!AB$3:AB$42*1000+(40-ROW('DONNÉES BRUTES'!AB$3:AB$42)+ROW('DONNÉES BRUTES'!AB$3)),0)),"—")</f>
        <v>Matériaux</v>
      </c>
      <c r="F17" s="87" t="str">
        <f t="array" ref="F17">IFERROR(INT(_xlfn.AGGREGATE(14,6,'DONNÉES BRUTES'!AB$3:AB$42*1000+(40-ROW('DONNÉES BRUTES'!AB$3:AB$42)+ROW('DONNÉES BRUTES'!AB$3)),2)/1000)&amp;"/100","—")</f>
        <v>70/100</v>
      </c>
      <c r="G17" s="85"/>
      <c r="H17" s="85">
        <f t="array" ref="H17">IFERROR(INDEX('DONNÉES BRUTES'!Y$3:Y$42,MATCH(_xlfn.AGGREGATE(14,6,'DONNÉES BRUTES'!AB$3:AB$42*1000+(40-ROW('DONNÉES BRUTES'!AB$3:AB$42)+ROW('DONNÉES BRUTES'!AB$3)),2),'DONNÉES BRUTES'!AB$3:AB$42*1000+(40-ROW('DONNÉES BRUTES'!AB$3:AB$42)+ROW('DONNÉES BRUTES'!AB$3)),0)),"—")</f>
        <v>77</v>
      </c>
      <c r="I17" s="85">
        <f t="array" ref="I17">IFERROR(INDEX('DONNÉES BRUTES'!Z$3:Z$42,MATCH(_xlfn.AGGREGATE(14,6,'DONNÉES BRUTES'!AB$3:AB$42*1000+(40-ROW('DONNÉES BRUTES'!AB$3:AB$42)+ROW('DONNÉES BRUTES'!AB$3)),2),'DONNÉES BRUTES'!AB$3:AB$42*1000+(40-ROW('DONNÉES BRUTES'!AB$3:AB$42)+ROW('DONNÉES BRUTES'!AB$3)),0)),"—")</f>
        <v>78</v>
      </c>
      <c r="J17" s="85">
        <f t="array" ref="J17">IFERROR(INDEX('DONNÉES BRUTES'!AA$3:AA$42,MATCH(_xlfn.AGGREGATE(14,6,'DONNÉES BRUTES'!AB$3:AB$42*1000+(40-ROW('DONNÉES BRUTES'!AB$3:AB$42)+ROW('DONNÉES BRUTES'!AB$3)),2),'DONNÉES BRUTES'!AB$3:AB$42*1000+(40-ROW('DONNÉES BRUTES'!AB$3:AB$42)+ROW('DONNÉES BRUTES'!AB$3)),0)),"—")</f>
        <v>91</v>
      </c>
      <c r="K17" s="88" t="str">
        <f t="array" ref="K17">IFERROR(INDEX('DONNÉES BRUTES'!N$3:N$42,MATCH(_xlfn.AGGREGATE(14,6,'DONNÉES BRUTES'!AB$3:AB$42*1000+(40-ROW('DONNÉES BRUTES'!AB$3:AB$42)+ROW('DONNÉES BRUTES'!AB$3)),2),'DONNÉES BRUTES'!AB$3:AB$42*1000+(40-ROW('DONNÉES BRUTES'!AB$3:AB$42)+ROW('DONNÉES BRUTES'!AB$3)),0)),"—")</f>
        <v>39.9%</v>
      </c>
      <c r="L17" s="89" t="str">
        <f t="array" ref="L17">IFERROR(INDEX('DONNÉES BRUTES'!P$3:P$42,MATCH(_xlfn.AGGREGATE(14,6,'DONNÉES BRUTES'!AB$3:AB$42*1000+(40-ROW('DONNÉES BRUTES'!AB$3:AB$42)+ROW('DONNÉES BRUTES'!AB$3)),2),'DONNÉES BRUTES'!AB$3:AB$42*1000+(40-ROW('DONNÉES BRUTES'!AB$3:AB$42)+ROW('DONNÉES BRUTES'!AB$3)),0)),"—")</f>
        <v>+7.4%</v>
      </c>
      <c r="M17" s="85"/>
      <c r="N17" s="85" t="str">
        <f t="array" ref="N17">IFERROR(INDEX('DONNÉES BRUTES'!AC$3:AC$42,MATCH(_xlfn.AGGREGATE(14,6,'DONNÉES BRUTES'!AB$3:AB$42*1000+(40-ROW('DONNÉES BRUTES'!AB$3:AB$42)+ROW('DONNÉES BRUTES'!AB$3)),2),'DONNÉES BRUTES'!AB$3:AB$42*1000+(40-ROW('DONNÉES BRUTES'!AB$3:AB$42)+ROW('DONNÉES BRUTES'!AB$3)),0)),"—")</f>
        <v>—</v>
      </c>
      <c r="O17" s="85"/>
      <c r="P17" s="85"/>
      <c r="Q17" s="85"/>
      <c r="R17" s="90" t="str">
        <f t="array" ref="R17">IFERROR(INDEX('DONNÉES BRUTES'!AD$3:AD$42,MATCH(_xlfn.AGGREGATE(14,6,'DONNÉES BRUTES'!AB$3:AB$42*1000+(40-ROW('DONNÉES BRUTES'!AB$3:AB$42)+ROW('DONNÉES BRUTES'!AB$3)),2),'DONNÉES BRUTES'!AB$3:AB$42*1000+(40-ROW('DONNÉES BRUTES'!AB$3:AB$42)+ROW('DONNÉES BRUTES'!AB$3)),0)),"—")</f>
        <v>Surpondérer</v>
      </c>
      <c r="S17" s="33"/>
      <c r="T17" s="33"/>
      <c r="U17" s="33"/>
      <c r="V17" s="33"/>
      <c r="W17" s="33"/>
      <c r="X17" s="33"/>
    </row>
    <row r="18" spans="1:24" ht="15.9" customHeight="1" thickBot="1" x14ac:dyDescent="0.35">
      <c r="A18" s="32"/>
      <c r="B18" s="77">
        <v>3</v>
      </c>
      <c r="C18" s="78" t="str">
        <f t="array" ref="C18">IFERROR(INDEX('DONNÉES BRUTES'!A$3:A$42,MATCH(_xlfn.AGGREGATE(14,6,'DONNÉES BRUTES'!AB$3:AB$42*1000+(40-ROW('DONNÉES BRUTES'!AB$3:AB$42)+ROW('DONNÉES BRUTES'!AB$3)),3),'DONNÉES BRUTES'!AB$3:AB$42*1000+(40-ROW('DONNÉES BRUTES'!AB$3:AB$42)+ROW('DONNÉES BRUTES'!AB$3)),0)),"—")</f>
        <v>RMS.PA</v>
      </c>
      <c r="D18" s="79" t="str">
        <f t="array" ref="D18">IFERROR(LEFT(IFERROR(INDEX('DONNÉES BRUTES'!B$3:B$42,MATCH(_xlfn.AGGREGATE(14,6,'DONNÉES BRUTES'!AB$3:AB$42*1000+(40-ROW('DONNÉES BRUTES'!AB$3:AB$42)+ROW('DONNÉES BRUTES'!AB$3)),3),'DONNÉES BRUTES'!AB$3:AB$42*1000+(40-ROW('DONNÉES BRUTES'!AB$3:AB$42)+ROW('DONNÉES BRUTES'!AB$3)),0)),"—"),18),"—")</f>
        <v>Hermès Internation</v>
      </c>
      <c r="E18" s="79" t="str">
        <f t="array" ref="E18">IFERROR(INDEX('DONNÉES BRUTES'!C$3:C$42,MATCH(_xlfn.AGGREGATE(14,6,'DONNÉES BRUTES'!AB$3:AB$42*1000+(40-ROW('DONNÉES BRUTES'!AB$3:AB$42)+ROW('DONNÉES BRUTES'!AB$3)),3),'DONNÉES BRUTES'!AB$3:AB$42*1000+(40-ROW('DONNÉES BRUTES'!AB$3:AB$42)+ROW('DONNÉES BRUTES'!AB$3)),0)),"—")</f>
        <v>Conso. Cycl.</v>
      </c>
      <c r="F18" s="80" t="str">
        <f t="array" ref="F18">IFERROR(INT(_xlfn.AGGREGATE(14,6,'DONNÉES BRUTES'!AB$3:AB$42*1000+(40-ROW('DONNÉES BRUTES'!AB$3:AB$42)+ROW('DONNÉES BRUTES'!AB$3)),3)/1000)&amp;"/100","—")</f>
        <v>65/100</v>
      </c>
      <c r="G18" s="78"/>
      <c r="H18" s="78">
        <f t="array" ref="H18">IFERROR(INDEX('DONNÉES BRUTES'!Y$3:Y$42,MATCH(_xlfn.AGGREGATE(14,6,'DONNÉES BRUTES'!AB$3:AB$42*1000+(40-ROW('DONNÉES BRUTES'!AB$3:AB$42)+ROW('DONNÉES BRUTES'!AB$3)),3),'DONNÉES BRUTES'!AB$3:AB$42*1000+(40-ROW('DONNÉES BRUTES'!AB$3:AB$42)+ROW('DONNÉES BRUTES'!AB$3)),0)),"—")</f>
        <v>81</v>
      </c>
      <c r="I18" s="78">
        <f t="array" ref="I18">IFERROR(INDEX('DONNÉES BRUTES'!Z$3:Z$42,MATCH(_xlfn.AGGREGATE(14,6,'DONNÉES BRUTES'!AB$3:AB$42*1000+(40-ROW('DONNÉES BRUTES'!AB$3:AB$42)+ROW('DONNÉES BRUTES'!AB$3)),3),'DONNÉES BRUTES'!AB$3:AB$42*1000+(40-ROW('DONNÉES BRUTES'!AB$3:AB$42)+ROW('DONNÉES BRUTES'!AB$3)),0)),"—")</f>
        <v>99</v>
      </c>
      <c r="J18" s="78">
        <f t="array" ref="J18">IFERROR(INDEX('DONNÉES BRUTES'!AA$3:AA$42,MATCH(_xlfn.AGGREGATE(14,6,'DONNÉES BRUTES'!AB$3:AB$42*1000+(40-ROW('DONNÉES BRUTES'!AB$3:AB$42)+ROW('DONNÉES BRUTES'!AB$3)),3),'DONNÉES BRUTES'!AB$3:AB$42*1000+(40-ROW('DONNÉES BRUTES'!AB$3:AB$42)+ROW('DONNÉES BRUTES'!AB$3)),0)),"—")</f>
        <v>4</v>
      </c>
      <c r="K18" s="81" t="str">
        <f t="array" ref="K18">IFERROR(INDEX('DONNÉES BRUTES'!N$3:N$42,MATCH(_xlfn.AGGREGATE(14,6,'DONNÉES BRUTES'!AB$3:AB$42*1000+(40-ROW('DONNÉES BRUTES'!AB$3:AB$42)+ROW('DONNÉES BRUTES'!AB$3)),3),'DONNÉES BRUTES'!AB$3:AB$42*1000+(40-ROW('DONNÉES BRUTES'!AB$3:AB$42)+ROW('DONNÉES BRUTES'!AB$3)),0)),"—")</f>
        <v>46.8%</v>
      </c>
      <c r="L18" s="82" t="str">
        <f t="array" ref="L18">IFERROR(INDEX('DONNÉES BRUTES'!P$3:P$42,MATCH(_xlfn.AGGREGATE(14,6,'DONNÉES BRUTES'!AB$3:AB$42*1000+(40-ROW('DONNÉES BRUTES'!AB$3:AB$42)+ROW('DONNÉES BRUTES'!AB$3)),3),'DONNÉES BRUTES'!AB$3:AB$42*1000+(40-ROW('DONNÉES BRUTES'!AB$3:AB$42)+ROW('DONNÉES BRUTES'!AB$3)),0)),"—")</f>
        <v>+5.5%</v>
      </c>
      <c r="M18" s="78"/>
      <c r="N18" s="91" t="str">
        <f t="array" ref="N18">IFERROR(INDEX('DONNÉES BRUTES'!AC$3:AC$42,MATCH(_xlfn.AGGREGATE(14,6,'DONNÉES BRUTES'!AB$3:AB$42*1000+(40-ROW('DONNÉES BRUTES'!AB$3:AB$42)+ROW('DONNÉES BRUTES'!AB$3)),3),'DONNÉES BRUTES'!AB$3:AB$42*1000+(40-ROW('DONNÉES BRUTES'!AB$3:AB$42)+ROW('DONNÉES BRUTES'!AB$3)),0)),"—")</f>
        <v>—</v>
      </c>
      <c r="O18" s="78"/>
      <c r="P18" s="78"/>
      <c r="Q18" s="78"/>
      <c r="R18" s="92" t="str">
        <f t="array" ref="R18">IFERROR(INDEX('DONNÉES BRUTES'!AD$3:AD$42,MATCH(_xlfn.AGGREGATE(14,6,'DONNÉES BRUTES'!AB$3:AB$42*1000+(40-ROW('DONNÉES BRUTES'!AB$3:AB$42)+ROW('DONNÉES BRUTES'!AB$3)),3),'DONNÉES BRUTES'!AB$3:AB$42*1000+(40-ROW('DONNÉES BRUTES'!AB$3:AB$42)+ROW('DONNÉES BRUTES'!AB$3)),0)),"—")</f>
        <v>Surpondérer</v>
      </c>
      <c r="S18" s="32"/>
      <c r="T18" s="32"/>
      <c r="U18" s="32"/>
      <c r="V18" s="32"/>
      <c r="W18" s="32"/>
      <c r="X18" s="32"/>
    </row>
    <row r="19" spans="1:24" ht="15.9" customHeight="1" thickBot="1" x14ac:dyDescent="0.35">
      <c r="A19" s="33"/>
      <c r="B19" s="84">
        <v>4</v>
      </c>
      <c r="C19" s="85" t="str">
        <f t="array" ref="C19">IFERROR(INDEX('DONNÉES BRUTES'!A$3:A$42,MATCH(_xlfn.AGGREGATE(14,6,'DONNÉES BRUTES'!AB$3:AB$42*1000+(40-ROW('DONNÉES BRUTES'!AB$3:AB$42)+ROW('DONNÉES BRUTES'!AB$3)),4),'DONNÉES BRUTES'!AB$3:AB$42*1000+(40-ROW('DONNÉES BRUTES'!AB$3:AB$42)+ROW('DONNÉES BRUTES'!AB$3)),0)),"—")</f>
        <v>SAP.DE</v>
      </c>
      <c r="D19" s="86" t="str">
        <f t="array" ref="D19">IFERROR(LEFT(IFERROR(INDEX('DONNÉES BRUTES'!B$3:B$42,MATCH(_xlfn.AGGREGATE(14,6,'DONNÉES BRUTES'!AB$3:AB$42*1000+(40-ROW('DONNÉES BRUTES'!AB$3:AB$42)+ROW('DONNÉES BRUTES'!AB$3)),4),'DONNÉES BRUTES'!AB$3:AB$42*1000+(40-ROW('DONNÉES BRUTES'!AB$3:AB$42)+ROW('DONNÉES BRUTES'!AB$3)),0)),"—"),18),"—")</f>
        <v>SAP SE</v>
      </c>
      <c r="E19" s="86" t="str">
        <f t="array" ref="E19">IFERROR(INDEX('DONNÉES BRUTES'!C$3:C$42,MATCH(_xlfn.AGGREGATE(14,6,'DONNÉES BRUTES'!AB$3:AB$42*1000+(40-ROW('DONNÉES BRUTES'!AB$3:AB$42)+ROW('DONNÉES BRUTES'!AB$3)),4),'DONNÉES BRUTES'!AB$3:AB$42*1000+(40-ROW('DONNÉES BRUTES'!AB$3:AB$42)+ROW('DONNÉES BRUTES'!AB$3)),0)),"—")</f>
        <v>Technologie</v>
      </c>
      <c r="F19" s="87" t="str">
        <f t="array" ref="F19">IFERROR(INT(_xlfn.AGGREGATE(14,6,'DONNÉES BRUTES'!AB$3:AB$42*1000+(40-ROW('DONNÉES BRUTES'!AB$3:AB$42)+ROW('DONNÉES BRUTES'!AB$3)),4)/1000)&amp;"/100","—")</f>
        <v>62/100</v>
      </c>
      <c r="G19" s="85"/>
      <c r="H19" s="85">
        <f t="array" ref="H19">IFERROR(INDEX('DONNÉES BRUTES'!Y$3:Y$42,MATCH(_xlfn.AGGREGATE(14,6,'DONNÉES BRUTES'!AB$3:AB$42*1000+(40-ROW('DONNÉES BRUTES'!AB$3:AB$42)+ROW('DONNÉES BRUTES'!AB$3)),4),'DONNÉES BRUTES'!AB$3:AB$42*1000+(40-ROW('DONNÉES BRUTES'!AB$3:AB$42)+ROW('DONNÉES BRUTES'!AB$3)),0)),"—")</f>
        <v>78</v>
      </c>
      <c r="I19" s="85">
        <f t="array" ref="I19">IFERROR(INDEX('DONNÉES BRUTES'!Z$3:Z$42,MATCH(_xlfn.AGGREGATE(14,6,'DONNÉES BRUTES'!AB$3:AB$42*1000+(40-ROW('DONNÉES BRUTES'!AB$3:AB$42)+ROW('DONNÉES BRUTES'!AB$3)),4),'DONNÉES BRUTES'!AB$3:AB$42*1000+(40-ROW('DONNÉES BRUTES'!AB$3:AB$42)+ROW('DONNÉES BRUTES'!AB$3)),0)),"—")</f>
        <v>80</v>
      </c>
      <c r="J19" s="85">
        <f t="array" ref="J19">IFERROR(INDEX('DONNÉES BRUTES'!AA$3:AA$42,MATCH(_xlfn.AGGREGATE(14,6,'DONNÉES BRUTES'!AB$3:AB$42*1000+(40-ROW('DONNÉES BRUTES'!AB$3:AB$42)+ROW('DONNÉES BRUTES'!AB$3)),4),'DONNÉES BRUTES'!AB$3:AB$42*1000+(40-ROW('DONNÉES BRUTES'!AB$3:AB$42)+ROW('DONNÉES BRUTES'!AB$3)),0)),"—")</f>
        <v>0</v>
      </c>
      <c r="K19" s="88" t="str">
        <f t="array" ref="K19">IFERROR(INDEX('DONNÉES BRUTES'!N$3:N$42,MATCH(_xlfn.AGGREGATE(14,6,'DONNÉES BRUTES'!AB$3:AB$42*1000+(40-ROW('DONNÉES BRUTES'!AB$3:AB$42)+ROW('DONNÉES BRUTES'!AB$3)),4),'DONNÉES BRUTES'!AB$3:AB$42*1000+(40-ROW('DONNÉES BRUTES'!AB$3:AB$42)+ROW('DONNÉES BRUTES'!AB$3)),0)),"—")</f>
        <v>32.8%</v>
      </c>
      <c r="L19" s="93" t="str">
        <f t="array" ref="L19">IFERROR(INDEX('DONNÉES BRUTES'!P$3:P$42,MATCH(_xlfn.AGGREGATE(14,6,'DONNÉES BRUTES'!AB$3:AB$42*1000+(40-ROW('DONNÉES BRUTES'!AB$3:AB$42)+ROW('DONNÉES BRUTES'!AB$3)),4),'DONNÉES BRUTES'!AB$3:AB$42*1000+(40-ROW('DONNÉES BRUTES'!AB$3:AB$42)+ROW('DONNÉES BRUTES'!AB$3)),0)),"—")</f>
        <v>+7.7%</v>
      </c>
      <c r="M19" s="85"/>
      <c r="N19" s="85" t="str">
        <f t="array" ref="N19">IFERROR(INDEX('DONNÉES BRUTES'!AC$3:AC$42,MATCH(_xlfn.AGGREGATE(14,6,'DONNÉES BRUTES'!AB$3:AB$42*1000+(40-ROW('DONNÉES BRUTES'!AB$3:AB$42)+ROW('DONNÉES BRUTES'!AB$3)),4),'DONNÉES BRUTES'!AB$3:AB$42*1000+(40-ROW('DONNÉES BRUTES'!AB$3:AB$42)+ROW('DONNÉES BRUTES'!AB$3)),0)),"—")</f>
        <v>2026-04-23</v>
      </c>
      <c r="O19" s="85"/>
      <c r="P19" s="85"/>
      <c r="Q19" s="85"/>
      <c r="R19" s="90" t="str">
        <f t="array" ref="R19">IFERROR(INDEX('DONNÉES BRUTES'!AD$3:AD$42,MATCH(_xlfn.AGGREGATE(14,6,'DONNÉES BRUTES'!AB$3:AB$42*1000+(40-ROW('DONNÉES BRUTES'!AB$3:AB$42)+ROW('DONNÉES BRUTES'!AB$3)),4),'DONNÉES BRUTES'!AB$3:AB$42*1000+(40-ROW('DONNÉES BRUTES'!AB$3:AB$42)+ROW('DONNÉES BRUTES'!AB$3)),0)),"—")</f>
        <v>Surpondérer</v>
      </c>
      <c r="S19" s="33"/>
      <c r="T19" s="33"/>
      <c r="U19" s="33"/>
      <c r="V19" s="33"/>
      <c r="W19" s="33"/>
      <c r="X19" s="33"/>
    </row>
    <row r="20" spans="1:24" ht="15.9" customHeight="1" thickBot="1" x14ac:dyDescent="0.35">
      <c r="A20" s="32"/>
      <c r="B20" s="77">
        <v>5</v>
      </c>
      <c r="C20" s="78" t="str">
        <f t="array" ref="C20">IFERROR(INDEX('DONNÉES BRUTES'!A$3:A$42,MATCH(_xlfn.AGGREGATE(14,6,'DONNÉES BRUTES'!AB$3:AB$42*1000+(40-ROW('DONNÉES BRUTES'!AB$3:AB$42)+ROW('DONNÉES BRUTES'!AB$3)),5),'DONNÉES BRUTES'!AB$3:AB$42*1000+(40-ROW('DONNÉES BRUTES'!AB$3:AB$42)+ROW('DONNÉES BRUTES'!AB$3)),0)),"—")</f>
        <v>AZN.L</v>
      </c>
      <c r="D20" s="79" t="str">
        <f t="array" ref="D20">IFERROR(LEFT(IFERROR(INDEX('DONNÉES BRUTES'!B$3:B$42,MATCH(_xlfn.AGGREGATE(14,6,'DONNÉES BRUTES'!AB$3:AB$42*1000+(40-ROW('DONNÉES BRUTES'!AB$3:AB$42)+ROW('DONNÉES BRUTES'!AB$3)),5),'DONNÉES BRUTES'!AB$3:AB$42*1000+(40-ROW('DONNÉES BRUTES'!AB$3:AB$42)+ROW('DONNÉES BRUTES'!AB$3)),0)),"—"),18),"—")</f>
        <v>AstraZeneca PLC</v>
      </c>
      <c r="E20" s="79" t="str">
        <f t="array" ref="E20">IFERROR(INDEX('DONNÉES BRUTES'!C$3:C$42,MATCH(_xlfn.AGGREGATE(14,6,'DONNÉES BRUTES'!AB$3:AB$42*1000+(40-ROW('DONNÉES BRUTES'!AB$3:AB$42)+ROW('DONNÉES BRUTES'!AB$3)),5),'DONNÉES BRUTES'!AB$3:AB$42*1000+(40-ROW('DONNÉES BRUTES'!AB$3:AB$42)+ROW('DONNÉES BRUTES'!AB$3)),0)),"—")</f>
        <v>Santé</v>
      </c>
      <c r="F20" s="80" t="str">
        <f t="array" ref="F20">IFERROR(INT(_xlfn.AGGREGATE(14,6,'DONNÉES BRUTES'!AB$3:AB$42*1000+(40-ROW('DONNÉES BRUTES'!AB$3:AB$42)+ROW('DONNÉES BRUTES'!AB$3)),5)/1000)&amp;"/100","—")</f>
        <v>60/100</v>
      </c>
      <c r="G20" s="78"/>
      <c r="H20" s="78">
        <f t="array" ref="H20">IFERROR(INDEX('DONNÉES BRUTES'!Y$3:Y$42,MATCH(_xlfn.AGGREGATE(14,6,'DONNÉES BRUTES'!AB$3:AB$42*1000+(40-ROW('DONNÉES BRUTES'!AB$3:AB$42)+ROW('DONNÉES BRUTES'!AB$3)),5),'DONNÉES BRUTES'!AB$3:AB$42*1000+(40-ROW('DONNÉES BRUTES'!AB$3:AB$42)+ROW('DONNÉES BRUTES'!AB$3)),0)),"—")</f>
        <v>87</v>
      </c>
      <c r="I20" s="78">
        <f t="array" ref="I20">IFERROR(INDEX('DONNÉES BRUTES'!Z$3:Z$42,MATCH(_xlfn.AGGREGATE(14,6,'DONNÉES BRUTES'!AB$3:AB$42*1000+(40-ROW('DONNÉES BRUTES'!AB$3:AB$42)+ROW('DONNÉES BRUTES'!AB$3)),5),'DONNÉES BRUTES'!AB$3:AB$42*1000+(40-ROW('DONNÉES BRUTES'!AB$3:AB$42)+ROW('DONNÉES BRUTES'!AB$3)),0)),"—")</f>
        <v>50</v>
      </c>
      <c r="J20" s="78">
        <f t="array" ref="J20">IFERROR(INDEX('DONNÉES BRUTES'!AA$3:AA$42,MATCH(_xlfn.AGGREGATE(14,6,'DONNÉES BRUTES'!AB$3:AB$42*1000+(40-ROW('DONNÉES BRUTES'!AB$3:AB$42)+ROW('DONNÉES BRUTES'!AB$3)),5),'DONNÉES BRUTES'!AB$3:AB$42*1000+(40-ROW('DONNÉES BRUTES'!AB$3:AB$42)+ROW('DONNÉES BRUTES'!AB$3)),0)),"—")</f>
        <v>70</v>
      </c>
      <c r="K20" s="81" t="str">
        <f t="array" ref="K20">IFERROR(INDEX('DONNÉES BRUTES'!N$3:N$42,MATCH(_xlfn.AGGREGATE(14,6,'DONNÉES BRUTES'!AB$3:AB$42*1000+(40-ROW('DONNÉES BRUTES'!AB$3:AB$42)+ROW('DONNÉES BRUTES'!AB$3)),5),'DONNÉES BRUTES'!AB$3:AB$42*1000+(40-ROW('DONNÉES BRUTES'!AB$3:AB$42)+ROW('DONNÉES BRUTES'!AB$3)),0)),"—")</f>
        <v>33.2%</v>
      </c>
      <c r="L20" s="82" t="str">
        <f t="array" ref="L20">IFERROR(INDEX('DONNÉES BRUTES'!P$3:P$42,MATCH(_xlfn.AGGREGATE(14,6,'DONNÉES BRUTES'!AB$3:AB$42*1000+(40-ROW('DONNÉES BRUTES'!AB$3:AB$42)+ROW('DONNÉES BRUTES'!AB$3)),5),'DONNÉES BRUTES'!AB$3:AB$42*1000+(40-ROW('DONNÉES BRUTES'!AB$3:AB$42)+ROW('DONNÉES BRUTES'!AB$3)),0)),"—")</f>
        <v>+8.6%</v>
      </c>
      <c r="M20" s="78"/>
      <c r="N20" s="91" t="str">
        <f t="array" ref="N20">IFERROR(INDEX('DONNÉES BRUTES'!AC$3:AC$42,MATCH(_xlfn.AGGREGATE(14,6,'DONNÉES BRUTES'!AB$3:AB$42*1000+(40-ROW('DONNÉES BRUTES'!AB$3:AB$42)+ROW('DONNÉES BRUTES'!AB$3)),5),'DONNÉES BRUTES'!AB$3:AB$42*1000+(40-ROW('DONNÉES BRUTES'!AB$3:AB$42)+ROW('DONNÉES BRUTES'!AB$3)),0)),"—")</f>
        <v>2026-04-29</v>
      </c>
      <c r="O20" s="78"/>
      <c r="P20" s="78"/>
      <c r="Q20" s="78"/>
      <c r="R20" s="92" t="str">
        <f t="array" ref="R20">IFERROR(INDEX('DONNÉES BRUTES'!AD$3:AD$42,MATCH(_xlfn.AGGREGATE(14,6,'DONNÉES BRUTES'!AB$3:AB$42*1000+(40-ROW('DONNÉES BRUTES'!AB$3:AB$42)+ROW('DONNÉES BRUTES'!AB$3)),5),'DONNÉES BRUTES'!AB$3:AB$42*1000+(40-ROW('DONNÉES BRUTES'!AB$3:AB$42)+ROW('DONNÉES BRUTES'!AB$3)),0)),"—")</f>
        <v>Surpondérer</v>
      </c>
      <c r="S20" s="32"/>
      <c r="T20" s="32"/>
      <c r="U20" s="32"/>
      <c r="V20" s="32"/>
      <c r="W20" s="32"/>
      <c r="X20" s="32"/>
    </row>
    <row r="21" spans="1:24" ht="15.9" customHeight="1" thickBot="1" x14ac:dyDescent="0.35">
      <c r="A21" s="33"/>
      <c r="B21" s="84">
        <v>6</v>
      </c>
      <c r="C21" s="85" t="str">
        <f t="array" ref="C21">IFERROR(INDEX('DONNÉES BRUTES'!A$3:A$42,MATCH(_xlfn.AGGREGATE(14,6,'DONNÉES BRUTES'!AB$3:AB$42*1000+(40-ROW('DONNÉES BRUTES'!AB$3:AB$42)+ROW('DONNÉES BRUTES'!AB$3)),6),'DONNÉES BRUTES'!AB$3:AB$42*1000+(40-ROW('DONNÉES BRUTES'!AB$3:AB$42)+ROW('DONNÉES BRUTES'!AB$3)),0)),"—")</f>
        <v>RWE.DE</v>
      </c>
      <c r="D21" s="86" t="str">
        <f t="array" ref="D21">IFERROR(LEFT(IFERROR(INDEX('DONNÉES BRUTES'!B$3:B$42,MATCH(_xlfn.AGGREGATE(14,6,'DONNÉES BRUTES'!AB$3:AB$42*1000+(40-ROW('DONNÉES BRUTES'!AB$3:AB$42)+ROW('DONNÉES BRUTES'!AB$3)),6),'DONNÉES BRUTES'!AB$3:AB$42*1000+(40-ROW('DONNÉES BRUTES'!AB$3:AB$42)+ROW('DONNÉES BRUTES'!AB$3)),0)),"—"),18),"—")</f>
        <v>RWE Aktiengesellsc</v>
      </c>
      <c r="E21" s="86" t="str">
        <f t="array" ref="E21">IFERROR(INDEX('DONNÉES BRUTES'!C$3:C$42,MATCH(_xlfn.AGGREGATE(14,6,'DONNÉES BRUTES'!AB$3:AB$42*1000+(40-ROW('DONNÉES BRUTES'!AB$3:AB$42)+ROW('DONNÉES BRUTES'!AB$3)),6),'DONNÉES BRUTES'!AB$3:AB$42*1000+(40-ROW('DONNÉES BRUTES'!AB$3:AB$42)+ROW('DONNÉES BRUTES'!AB$3)),0)),"—")</f>
        <v>Serv. Publ.</v>
      </c>
      <c r="F21" s="87" t="str">
        <f t="array" ref="F21">IFERROR(INT(_xlfn.AGGREGATE(14,6,'DONNÉES BRUTES'!AB$3:AB$42*1000+(40-ROW('DONNÉES BRUTES'!AB$3:AB$42)+ROW('DONNÉES BRUTES'!AB$3)),6)/1000)&amp;"/100","—")</f>
        <v>60/100</v>
      </c>
      <c r="G21" s="85"/>
      <c r="H21" s="85">
        <f t="array" ref="H21">IFERROR(INDEX('DONNÉES BRUTES'!Y$3:Y$42,MATCH(_xlfn.AGGREGATE(14,6,'DONNÉES BRUTES'!AB$3:AB$42*1000+(40-ROW('DONNÉES BRUTES'!AB$3:AB$42)+ROW('DONNÉES BRUTES'!AB$3)),6),'DONNÉES BRUTES'!AB$3:AB$42*1000+(40-ROW('DONNÉES BRUTES'!AB$3:AB$42)+ROW('DONNÉES BRUTES'!AB$3)),0)),"—")</f>
        <v>37</v>
      </c>
      <c r="I21" s="85">
        <f t="array" ref="I21">IFERROR(INDEX('DONNÉES BRUTES'!Z$3:Z$42,MATCH(_xlfn.AGGREGATE(14,6,'DONNÉES BRUTES'!AB$3:AB$42*1000+(40-ROW('DONNÉES BRUTES'!AB$3:AB$42)+ROW('DONNÉES BRUTES'!AB$3)),6),'DONNÉES BRUTES'!AB$3:AB$42*1000+(40-ROW('DONNÉES BRUTES'!AB$3:AB$42)+ROW('DONNÉES BRUTES'!AB$3)),0)),"—")</f>
        <v>66</v>
      </c>
      <c r="J21" s="85">
        <f t="array" ref="J21">IFERROR(INDEX('DONNÉES BRUTES'!AA$3:AA$42,MATCH(_xlfn.AGGREGATE(14,6,'DONNÉES BRUTES'!AB$3:AB$42*1000+(40-ROW('DONNÉES BRUTES'!AB$3:AB$42)+ROW('DONNÉES BRUTES'!AB$3)),6),'DONNÉES BRUTES'!AB$3:AB$42*1000+(40-ROW('DONNÉES BRUTES'!AB$3:AB$42)+ROW('DONNÉES BRUTES'!AB$3)),0)),"—")</f>
        <v>96</v>
      </c>
      <c r="K21" s="88" t="str">
        <f t="array" ref="K21">IFERROR(INDEX('DONNÉES BRUTES'!N$3:N$42,MATCH(_xlfn.AGGREGATE(14,6,'DONNÉES BRUTES'!AB$3:AB$42*1000+(40-ROW('DONNÉES BRUTES'!AB$3:AB$42)+ROW('DONNÉES BRUTES'!AB$3)),6),'DONNÉES BRUTES'!AB$3:AB$42*1000+(40-ROW('DONNÉES BRUTES'!AB$3:AB$42)+ROW('DONNÉES BRUTES'!AB$3)),0)),"—")</f>
        <v>39.1%</v>
      </c>
      <c r="L21" s="93" t="str">
        <f t="array" ref="L21">IFERROR(INDEX('DONNÉES BRUTES'!P$3:P$42,MATCH(_xlfn.AGGREGATE(14,6,'DONNÉES BRUTES'!AB$3:AB$42*1000+(40-ROW('DONNÉES BRUTES'!AB$3:AB$42)+ROW('DONNÉES BRUTES'!AB$3)),6),'DONNÉES BRUTES'!AB$3:AB$42*1000+(40-ROW('DONNÉES BRUTES'!AB$3:AB$42)+ROW('DONNÉES BRUTES'!AB$3)),0)),"—")</f>
        <v>-27.2%</v>
      </c>
      <c r="M21" s="85"/>
      <c r="N21" s="94" t="str">
        <f t="array" ref="N21">IFERROR(INDEX('DONNÉES BRUTES'!AC$3:AC$42,MATCH(_xlfn.AGGREGATE(14,6,'DONNÉES BRUTES'!AB$3:AB$42*1000+(40-ROW('DONNÉES BRUTES'!AB$3:AB$42)+ROW('DONNÉES BRUTES'!AB$3)),6),'DONNÉES BRUTES'!AB$3:AB$42*1000+(40-ROW('DONNÉES BRUTES'!AB$3:AB$42)+ROW('DONNÉES BRUTES'!AB$3)),0)),"—")</f>
        <v>2026-05-13</v>
      </c>
      <c r="O21" s="85"/>
      <c r="P21" s="85"/>
      <c r="Q21" s="85"/>
      <c r="R21" s="90" t="str">
        <f t="array" ref="R21">IFERROR(INDEX('DONNÉES BRUTES'!AD$3:AD$42,MATCH(_xlfn.AGGREGATE(14,6,'DONNÉES BRUTES'!AB$3:AB$42*1000+(40-ROW('DONNÉES BRUTES'!AB$3:AB$42)+ROW('DONNÉES BRUTES'!AB$3)),6),'DONNÉES BRUTES'!AB$3:AB$42*1000+(40-ROW('DONNÉES BRUTES'!AB$3:AB$42)+ROW('DONNÉES BRUTES'!AB$3)),0)),"—")</f>
        <v>Surpondérer</v>
      </c>
      <c r="S21" s="33"/>
      <c r="T21" s="33"/>
      <c r="U21" s="33"/>
      <c r="V21" s="33"/>
      <c r="W21" s="33"/>
      <c r="X21" s="33"/>
    </row>
    <row r="22" spans="1:24" ht="15.9" customHeight="1" thickBot="1" x14ac:dyDescent="0.35">
      <c r="A22" s="32"/>
      <c r="B22" s="77">
        <v>7</v>
      </c>
      <c r="C22" s="78" t="str">
        <f t="array" ref="C22">IFERROR(INDEX('DONNÉES BRUTES'!A$3:A$42,MATCH(_xlfn.AGGREGATE(14,6,'DONNÉES BRUTES'!AB$3:AB$42*1000+(40-ROW('DONNÉES BRUTES'!AB$3:AB$42)+ROW('DONNÉES BRUTES'!AB$3)),7),'DONNÉES BRUTES'!AB$3:AB$42*1000+(40-ROW('DONNÉES BRUTES'!AB$3:AB$42)+ROW('DONNÉES BRUTES'!AB$3)),0)),"—")</f>
        <v>ITX.MC</v>
      </c>
      <c r="D22" s="79" t="str">
        <f t="array" ref="D22">IFERROR(LEFT(IFERROR(INDEX('DONNÉES BRUTES'!B$3:B$42,MATCH(_xlfn.AGGREGATE(14,6,'DONNÉES BRUTES'!AB$3:AB$42*1000+(40-ROW('DONNÉES BRUTES'!AB$3:AB$42)+ROW('DONNÉES BRUTES'!AB$3)),7),'DONNÉES BRUTES'!AB$3:AB$42*1000+(40-ROW('DONNÉES BRUTES'!AB$3:AB$42)+ROW('DONNÉES BRUTES'!AB$3)),0)),"—"),18),"—")</f>
        <v>Industria de Diseñ</v>
      </c>
      <c r="E22" s="79" t="str">
        <f t="array" ref="E22">IFERROR(INDEX('DONNÉES BRUTES'!C$3:C$42,MATCH(_xlfn.AGGREGATE(14,6,'DONNÉES BRUTES'!AB$3:AB$42*1000+(40-ROW('DONNÉES BRUTES'!AB$3:AB$42)+ROW('DONNÉES BRUTES'!AB$3)),7),'DONNÉES BRUTES'!AB$3:AB$42*1000+(40-ROW('DONNÉES BRUTES'!AB$3:AB$42)+ROW('DONNÉES BRUTES'!AB$3)),0)),"—")</f>
        <v>Conso. Cycl.</v>
      </c>
      <c r="F22" s="80" t="str">
        <f t="array" ref="F22">IFERROR(INT(_xlfn.AGGREGATE(14,6,'DONNÉES BRUTES'!AB$3:AB$42*1000+(40-ROW('DONNÉES BRUTES'!AB$3:AB$42)+ROW('DONNÉES BRUTES'!AB$3)),7)/1000)&amp;"/100","—")</f>
        <v>58/100</v>
      </c>
      <c r="G22" s="78"/>
      <c r="H22" s="78">
        <f t="array" ref="H22">IFERROR(INDEX('DONNÉES BRUTES'!Y$3:Y$42,MATCH(_xlfn.AGGREGATE(14,6,'DONNÉES BRUTES'!AB$3:AB$42*1000+(40-ROW('DONNÉES BRUTES'!AB$3:AB$42)+ROW('DONNÉES BRUTES'!AB$3)),7),'DONNÉES BRUTES'!AB$3:AB$42*1000+(40-ROW('DONNÉES BRUTES'!AB$3:AB$42)+ROW('DONNÉES BRUTES'!AB$3)),0)),"—")</f>
        <v>67</v>
      </c>
      <c r="I22" s="78">
        <f t="array" ref="I22">IFERROR(INDEX('DONNÉES BRUTES'!Z$3:Z$42,MATCH(_xlfn.AGGREGATE(14,6,'DONNÉES BRUTES'!AB$3:AB$42*1000+(40-ROW('DONNÉES BRUTES'!AB$3:AB$42)+ROW('DONNÉES BRUTES'!AB$3)),7),'DONNÉES BRUTES'!AB$3:AB$42*1000+(40-ROW('DONNÉES BRUTES'!AB$3:AB$42)+ROW('DONNÉES BRUTES'!AB$3)),0)),"—")</f>
        <v>83</v>
      </c>
      <c r="J22" s="78">
        <f t="array" ref="J22">IFERROR(INDEX('DONNÉES BRUTES'!AA$3:AA$42,MATCH(_xlfn.AGGREGATE(14,6,'DONNÉES BRUTES'!AB$3:AB$42*1000+(40-ROW('DONNÉES BRUTES'!AB$3:AB$42)+ROW('DONNÉES BRUTES'!AB$3)),7),'DONNÉES BRUTES'!AB$3:AB$42*1000+(40-ROW('DONNÉES BRUTES'!AB$3:AB$42)+ROW('DONNÉES BRUTES'!AB$3)),0)),"—")</f>
        <v>51</v>
      </c>
      <c r="K22" s="81" t="str">
        <f t="array" ref="K22">IFERROR(INDEX('DONNÉES BRUTES'!N$3:N$42,MATCH(_xlfn.AGGREGATE(14,6,'DONNÉES BRUTES'!AB$3:AB$42*1000+(40-ROW('DONNÉES BRUTES'!AB$3:AB$42)+ROW('DONNÉES BRUTES'!AB$3)),7),'DONNÉES BRUTES'!AB$3:AB$42*1000+(40-ROW('DONNÉES BRUTES'!AB$3:AB$42)+ROW('DONNÉES BRUTES'!AB$3)),0)),"—")</f>
        <v>29.2%</v>
      </c>
      <c r="L22" s="81" t="str">
        <f t="array" ref="L22">IFERROR(INDEX('DONNÉES BRUTES'!P$3:P$42,MATCH(_xlfn.AGGREGATE(14,6,'DONNÉES BRUTES'!AB$3:AB$42*1000+(40-ROW('DONNÉES BRUTES'!AB$3:AB$42)+ROW('DONNÉES BRUTES'!AB$3)),7),'DONNÉES BRUTES'!AB$3:AB$42*1000+(40-ROW('DONNÉES BRUTES'!AB$3:AB$42)+ROW('DONNÉES BRUTES'!AB$3)),0)),"—")</f>
        <v>+3.2%</v>
      </c>
      <c r="M22" s="78"/>
      <c r="N22" s="78" t="str">
        <f t="array" ref="N22">IFERROR(INDEX('DONNÉES BRUTES'!AC$3:AC$42,MATCH(_xlfn.AGGREGATE(14,6,'DONNÉES BRUTES'!AB$3:AB$42*1000+(40-ROW('DONNÉES BRUTES'!AB$3:AB$42)+ROW('DONNÉES BRUTES'!AB$3)),7),'DONNÉES BRUTES'!AB$3:AB$42*1000+(40-ROW('DONNÉES BRUTES'!AB$3:AB$42)+ROW('DONNÉES BRUTES'!AB$3)),0)),"—")</f>
        <v>2026-06-03</v>
      </c>
      <c r="O22" s="78"/>
      <c r="P22" s="78"/>
      <c r="Q22" s="78"/>
      <c r="R22" s="92" t="str">
        <f t="array" ref="R22">IFERROR(INDEX('DONNÉES BRUTES'!AD$3:AD$42,MATCH(_xlfn.AGGREGATE(14,6,'DONNÉES BRUTES'!AB$3:AB$42*1000+(40-ROW('DONNÉES BRUTES'!AB$3:AB$42)+ROW('DONNÉES BRUTES'!AB$3)),7),'DONNÉES BRUTES'!AB$3:AB$42*1000+(40-ROW('DONNÉES BRUTES'!AB$3:AB$42)+ROW('DONNÉES BRUTES'!AB$3)),0)),"—")</f>
        <v>Neutre</v>
      </c>
      <c r="S22" s="32"/>
      <c r="T22" s="32"/>
      <c r="U22" s="32"/>
      <c r="V22" s="32"/>
      <c r="W22" s="32"/>
      <c r="X22" s="32"/>
    </row>
    <row r="23" spans="1:24" ht="15.9" customHeight="1" thickBot="1" x14ac:dyDescent="0.35">
      <c r="A23" s="33"/>
      <c r="B23" s="84">
        <v>8</v>
      </c>
      <c r="C23" s="85" t="str">
        <f t="array" ref="C23">IFERROR(INDEX('DONNÉES BRUTES'!A$3:A$42,MATCH(_xlfn.AGGREGATE(14,6,'DONNÉES BRUTES'!AB$3:AB$42*1000+(40-ROW('DONNÉES BRUTES'!AB$3:AB$42)+ROW('DONNÉES BRUTES'!AB$3)),8),'DONNÉES BRUTES'!AB$3:AB$42*1000+(40-ROW('DONNÉES BRUTES'!AB$3:AB$42)+ROW('DONNÉES BRUTES'!AB$3)),0)),"—")</f>
        <v>GSK.L</v>
      </c>
      <c r="D23" s="86" t="str">
        <f t="array" ref="D23">IFERROR(LEFT(IFERROR(INDEX('DONNÉES BRUTES'!B$3:B$42,MATCH(_xlfn.AGGREGATE(14,6,'DONNÉES BRUTES'!AB$3:AB$42*1000+(40-ROW('DONNÉES BRUTES'!AB$3:AB$42)+ROW('DONNÉES BRUTES'!AB$3)),8),'DONNÉES BRUTES'!AB$3:AB$42*1000+(40-ROW('DONNÉES BRUTES'!AB$3:AB$42)+ROW('DONNÉES BRUTES'!AB$3)),0)),"—"),18),"—")</f>
        <v>GSK plc</v>
      </c>
      <c r="E23" s="86" t="str">
        <f t="array" ref="E23">IFERROR(INDEX('DONNÉES BRUTES'!C$3:C$42,MATCH(_xlfn.AGGREGATE(14,6,'DONNÉES BRUTES'!AB$3:AB$42*1000+(40-ROW('DONNÉES BRUTES'!AB$3:AB$42)+ROW('DONNÉES BRUTES'!AB$3)),8),'DONNÉES BRUTES'!AB$3:AB$42*1000+(40-ROW('DONNÉES BRUTES'!AB$3:AB$42)+ROW('DONNÉES BRUTES'!AB$3)),0)),"—")</f>
        <v>Santé</v>
      </c>
      <c r="F23" s="87" t="str">
        <f t="array" ref="F23">IFERROR(INT(_xlfn.AGGREGATE(14,6,'DONNÉES BRUTES'!AB$3:AB$42*1000+(40-ROW('DONNÉES BRUTES'!AB$3:AB$42)+ROW('DONNÉES BRUTES'!AB$3)),8)/1000)&amp;"/100","—")</f>
        <v>56/100</v>
      </c>
      <c r="G23" s="85"/>
      <c r="H23" s="85">
        <f t="array" ref="H23">IFERROR(INDEX('DONNÉES BRUTES'!Y$3:Y$42,MATCH(_xlfn.AGGREGATE(14,6,'DONNÉES BRUTES'!AB$3:AB$42*1000+(40-ROW('DONNÉES BRUTES'!AB$3:AB$42)+ROW('DONNÉES BRUTES'!AB$3)),8),'DONNÉES BRUTES'!AB$3:AB$42*1000+(40-ROW('DONNÉES BRUTES'!AB$3:AB$42)+ROW('DONNÉES BRUTES'!AB$3)),0)),"—")</f>
        <v>78</v>
      </c>
      <c r="I23" s="85">
        <f t="array" ref="I23">IFERROR(INDEX('DONNÉES BRUTES'!Z$3:Z$42,MATCH(_xlfn.AGGREGATE(14,6,'DONNÉES BRUTES'!AB$3:AB$42*1000+(40-ROW('DONNÉES BRUTES'!AB$3:AB$42)+ROW('DONNÉES BRUTES'!AB$3)),8),'DONNÉES BRUTES'!AB$3:AB$42*1000+(40-ROW('DONNÉES BRUTES'!AB$3:AB$42)+ROW('DONNÉES BRUTES'!AB$3)),0)),"—")</f>
        <v>41</v>
      </c>
      <c r="J23" s="85">
        <f t="array" ref="J23">IFERROR(INDEX('DONNÉES BRUTES'!AA$3:AA$42,MATCH(_xlfn.AGGREGATE(14,6,'DONNÉES BRUTES'!AB$3:AB$42*1000+(40-ROW('DONNÉES BRUTES'!AB$3:AB$42)+ROW('DONNÉES BRUTES'!AB$3)),8),'DONNÉES BRUTES'!AB$3:AB$42*1000+(40-ROW('DONNÉES BRUTES'!AB$3:AB$42)+ROW('DONNÉES BRUTES'!AB$3)),0)),"—")</f>
        <v>72</v>
      </c>
      <c r="K23" s="88" t="str">
        <f t="array" ref="K23">IFERROR(INDEX('DONNÉES BRUTES'!N$3:N$42,MATCH(_xlfn.AGGREGATE(14,6,'DONNÉES BRUTES'!AB$3:AB$42*1000+(40-ROW('DONNÉES BRUTES'!AB$3:AB$42)+ROW('DONNÉES BRUTES'!AB$3)),8),'DONNÉES BRUTES'!AB$3:AB$42*1000+(40-ROW('DONNÉES BRUTES'!AB$3:AB$42)+ROW('DONNÉES BRUTES'!AB$3)),0)),"—")</f>
        <v>31.8%</v>
      </c>
      <c r="L23" s="93" t="str">
        <f t="array" ref="L23">IFERROR(INDEX('DONNÉES BRUTES'!P$3:P$42,MATCH(_xlfn.AGGREGATE(14,6,'DONNÉES BRUTES'!AB$3:AB$42*1000+(40-ROW('DONNÉES BRUTES'!AB$3:AB$42)+ROW('DONNÉES BRUTES'!AB$3)),8),'DONNÉES BRUTES'!AB$3:AB$42*1000+(40-ROW('DONNÉES BRUTES'!AB$3:AB$42)+ROW('DONNÉES BRUTES'!AB$3)),0)),"—")</f>
        <v>+4.1%</v>
      </c>
      <c r="M23" s="85"/>
      <c r="N23" s="94" t="str">
        <f t="array" ref="N23">IFERROR(INDEX('DONNÉES BRUTES'!AC$3:AC$42,MATCH(_xlfn.AGGREGATE(14,6,'DONNÉES BRUTES'!AB$3:AB$42*1000+(40-ROW('DONNÉES BRUTES'!AB$3:AB$42)+ROW('DONNÉES BRUTES'!AB$3)),8),'DONNÉES BRUTES'!AB$3:AB$42*1000+(40-ROW('DONNÉES BRUTES'!AB$3:AB$42)+ROW('DONNÉES BRUTES'!AB$3)),0)),"—")</f>
        <v>2026-04-29</v>
      </c>
      <c r="O23" s="85"/>
      <c r="P23" s="85"/>
      <c r="Q23" s="85"/>
      <c r="R23" s="90" t="str">
        <f t="array" ref="R23">IFERROR(INDEX('DONNÉES BRUTES'!AD$3:AD$42,MATCH(_xlfn.AGGREGATE(14,6,'DONNÉES BRUTES'!AB$3:AB$42*1000+(40-ROW('DONNÉES BRUTES'!AB$3:AB$42)+ROW('DONNÉES BRUTES'!AB$3)),8),'DONNÉES BRUTES'!AB$3:AB$42*1000+(40-ROW('DONNÉES BRUTES'!AB$3:AB$42)+ROW('DONNÉES BRUTES'!AB$3)),0)),"—")</f>
        <v>Neutre</v>
      </c>
      <c r="S23" s="33"/>
      <c r="T23" s="33"/>
      <c r="U23" s="33"/>
      <c r="V23" s="33"/>
      <c r="W23" s="33"/>
      <c r="X23" s="33"/>
    </row>
    <row r="24" spans="1:24" ht="15.9" customHeight="1" thickBot="1" x14ac:dyDescent="0.35">
      <c r="A24" s="32"/>
      <c r="B24" s="77">
        <v>9</v>
      </c>
      <c r="C24" s="78" t="str">
        <f t="array" ref="C24">IFERROR(INDEX('DONNÉES BRUTES'!A$3:A$42,MATCH(_xlfn.AGGREGATE(14,6,'DONNÉES BRUTES'!AB$3:AB$42*1000+(40-ROW('DONNÉES BRUTES'!AB$3:AB$42)+ROW('DONNÉES BRUTES'!AB$3)),9),'DONNÉES BRUTES'!AB$3:AB$42*1000+(40-ROW('DONNÉES BRUTES'!AB$3:AB$42)+ROW('DONNÉES BRUTES'!AB$3)),0)),"—")</f>
        <v>PRX.AS</v>
      </c>
      <c r="D24" s="79" t="str">
        <f t="array" ref="D24">IFERROR(LEFT(IFERROR(INDEX('DONNÉES BRUTES'!B$3:B$42,MATCH(_xlfn.AGGREGATE(14,6,'DONNÉES BRUTES'!AB$3:AB$42*1000+(40-ROW('DONNÉES BRUTES'!AB$3:AB$42)+ROW('DONNÉES BRUTES'!AB$3)),9),'DONNÉES BRUTES'!AB$3:AB$42*1000+(40-ROW('DONNÉES BRUTES'!AB$3:AB$42)+ROW('DONNÉES BRUTES'!AB$3)),0)),"—"),18),"—")</f>
        <v>Prosus N.V.</v>
      </c>
      <c r="E24" s="79" t="str">
        <f t="array" ref="E24">IFERROR(INDEX('DONNÉES BRUTES'!C$3:C$42,MATCH(_xlfn.AGGREGATE(14,6,'DONNÉES BRUTES'!AB$3:AB$42*1000+(40-ROW('DONNÉES BRUTES'!AB$3:AB$42)+ROW('DONNÉES BRUTES'!AB$3)),9),'DONNÉES BRUTES'!AB$3:AB$42*1000+(40-ROW('DONNÉES BRUTES'!AB$3:AB$42)+ROW('DONNÉES BRUTES'!AB$3)),0)),"—")</f>
        <v>Conso. Cycl.</v>
      </c>
      <c r="F24" s="80" t="str">
        <f t="array" ref="F24">IFERROR(INT(_xlfn.AGGREGATE(14,6,'DONNÉES BRUTES'!AB$3:AB$42*1000+(40-ROW('DONNÉES BRUTES'!AB$3:AB$42)+ROW('DONNÉES BRUTES'!AB$3)),9)/1000)&amp;"/100","—")</f>
        <v>56/100</v>
      </c>
      <c r="G24" s="78"/>
      <c r="H24" s="78">
        <f t="array" ref="H24">IFERROR(INDEX('DONNÉES BRUTES'!Y$3:Y$42,MATCH(_xlfn.AGGREGATE(14,6,'DONNÉES BRUTES'!AB$3:AB$42*1000+(40-ROW('DONNÉES BRUTES'!AB$3:AB$42)+ROW('DONNÉES BRUTES'!AB$3)),9),'DONNÉES BRUTES'!AB$3:AB$42*1000+(40-ROW('DONNÉES BRUTES'!AB$3:AB$42)+ROW('DONNÉES BRUTES'!AB$3)),0)),"—")</f>
        <v>66</v>
      </c>
      <c r="I24" s="78">
        <f t="array" ref="I24">IFERROR(INDEX('DONNÉES BRUTES'!Z$3:Z$42,MATCH(_xlfn.AGGREGATE(14,6,'DONNÉES BRUTES'!AB$3:AB$42*1000+(40-ROW('DONNÉES BRUTES'!AB$3:AB$42)+ROW('DONNÉES BRUTES'!AB$3)),9),'DONNÉES BRUTES'!AB$3:AB$42*1000+(40-ROW('DONNÉES BRUTES'!AB$3:AB$42)+ROW('DONNÉES BRUTES'!AB$3)),0)),"—")</f>
        <v>59</v>
      </c>
      <c r="J24" s="78">
        <f t="array" ref="J24">IFERROR(INDEX('DONNÉES BRUTES'!AA$3:AA$42,MATCH(_xlfn.AGGREGATE(14,6,'DONNÉES BRUTES'!AB$3:AB$42*1000+(40-ROW('DONNÉES BRUTES'!AB$3:AB$42)+ROW('DONNÉES BRUTES'!AB$3)),9),'DONNÉES BRUTES'!AB$3:AB$42*1000+(40-ROW('DONNÉES BRUTES'!AB$3:AB$42)+ROW('DONNÉES BRUTES'!AB$3)),0)),"—")</f>
        <v>15</v>
      </c>
      <c r="K24" s="81" t="str">
        <f t="array" ref="K24">IFERROR(INDEX('DONNÉES BRUTES'!N$3:N$42,MATCH(_xlfn.AGGREGATE(14,6,'DONNÉES BRUTES'!AB$3:AB$42*1000+(40-ROW('DONNÉES BRUTES'!AB$3:AB$42)+ROW('DONNÉES BRUTES'!AB$3)),9),'DONNÉES BRUTES'!AB$3:AB$42*1000+(40-ROW('DONNÉES BRUTES'!AB$3:AB$42)+ROW('DONNÉES BRUTES'!AB$3)),0)),"—")</f>
        <v>—</v>
      </c>
      <c r="L24" s="82" t="str">
        <f t="array" ref="L24">IFERROR(INDEX('DONNÉES BRUTES'!P$3:P$42,MATCH(_xlfn.AGGREGATE(14,6,'DONNÉES BRUTES'!AB$3:AB$42*1000+(40-ROW('DONNÉES BRUTES'!AB$3:AB$42)+ROW('DONNÉES BRUTES'!AB$3)),9),'DONNÉES BRUTES'!AB$3:AB$42*1000+(40-ROW('DONNÉES BRUTES'!AB$3:AB$42)+ROW('DONNÉES BRUTES'!AB$3)),0)),"—")</f>
        <v>+12.9%</v>
      </c>
      <c r="M24" s="78"/>
      <c r="N24" s="78" t="str">
        <f t="array" ref="N24">IFERROR(INDEX('DONNÉES BRUTES'!AC$3:AC$42,MATCH(_xlfn.AGGREGATE(14,6,'DONNÉES BRUTES'!AB$3:AB$42*1000+(40-ROW('DONNÉES BRUTES'!AB$3:AB$42)+ROW('DONNÉES BRUTES'!AB$3)),9),'DONNÉES BRUTES'!AB$3:AB$42*1000+(40-ROW('DONNÉES BRUTES'!AB$3:AB$42)+ROW('DONNÉES BRUTES'!AB$3)),0)),"—")</f>
        <v>—</v>
      </c>
      <c r="O24" s="78"/>
      <c r="P24" s="78"/>
      <c r="Q24" s="78"/>
      <c r="R24" s="92" t="str">
        <f t="array" ref="R24">IFERROR(INDEX('DONNÉES BRUTES'!AD$3:AD$42,MATCH(_xlfn.AGGREGATE(14,6,'DONNÉES BRUTES'!AB$3:AB$42*1000+(40-ROW('DONNÉES BRUTES'!AB$3:AB$42)+ROW('DONNÉES BRUTES'!AB$3)),9),'DONNÉES BRUTES'!AB$3:AB$42*1000+(40-ROW('DONNÉES BRUTES'!AB$3:AB$42)+ROW('DONNÉES BRUTES'!AB$3)),0)),"—")</f>
        <v>Neutre</v>
      </c>
      <c r="S24" s="32"/>
      <c r="T24" s="32"/>
      <c r="U24" s="32"/>
      <c r="V24" s="32"/>
      <c r="W24" s="32"/>
      <c r="X24" s="32"/>
    </row>
    <row r="25" spans="1:24" ht="15.9" customHeight="1" x14ac:dyDescent="0.3">
      <c r="A25" s="33"/>
      <c r="B25" s="95">
        <v>10</v>
      </c>
      <c r="C25" s="96" t="str">
        <f t="array" ref="C25">IFERROR(INDEX('DONNÉES BRUTES'!A$3:A$42,MATCH(_xlfn.AGGREGATE(14,6,'DONNÉES BRUTES'!AB$3:AB$42*1000+(40-ROW('DONNÉES BRUTES'!AB$3:AB$42)+ROW('DONNÉES BRUTES'!AB$3)),10),'DONNÉES BRUTES'!AB$3:AB$42*1000+(40-ROW('DONNÉES BRUTES'!AB$3:AB$42)+ROW('DONNÉES BRUTES'!AB$3)),0)),"—")</f>
        <v>OR.PA</v>
      </c>
      <c r="D25" s="97" t="str">
        <f t="array" ref="D25">IFERROR(LEFT(IFERROR(INDEX('DONNÉES BRUTES'!B$3:B$42,MATCH(_xlfn.AGGREGATE(14,6,'DONNÉES BRUTES'!AB$3:AB$42*1000+(40-ROW('DONNÉES BRUTES'!AB$3:AB$42)+ROW('DONNÉES BRUTES'!AB$3)),10),'DONNÉES BRUTES'!AB$3:AB$42*1000+(40-ROW('DONNÉES BRUTES'!AB$3:AB$42)+ROW('DONNÉES BRUTES'!AB$3)),0)),"—"),18),"—")</f>
        <v>L'Oréal S.A.</v>
      </c>
      <c r="E25" s="97" t="str">
        <f t="array" ref="E25">IFERROR(INDEX('DONNÉES BRUTES'!C$3:C$42,MATCH(_xlfn.AGGREGATE(14,6,'DONNÉES BRUTES'!AB$3:AB$42*1000+(40-ROW('DONNÉES BRUTES'!AB$3:AB$42)+ROW('DONNÉES BRUTES'!AB$3)),10),'DONNÉES BRUTES'!AB$3:AB$42*1000+(40-ROW('DONNÉES BRUTES'!AB$3:AB$42)+ROW('DONNÉES BRUTES'!AB$3)),0)),"—")</f>
        <v>Conso. Déf.</v>
      </c>
      <c r="F25" s="98" t="str">
        <f t="array" ref="F25">IFERROR(INT(_xlfn.AGGREGATE(14,6,'DONNÉES BRUTES'!AB$3:AB$42*1000+(40-ROW('DONNÉES BRUTES'!AB$3:AB$42)+ROW('DONNÉES BRUTES'!AB$3)),10)/1000)&amp;"/100","—")</f>
        <v>56/100</v>
      </c>
      <c r="G25" s="96"/>
      <c r="H25" s="96">
        <f t="array" ref="H25">IFERROR(INDEX('DONNÉES BRUTES'!Y$3:Y$42,MATCH(_xlfn.AGGREGATE(14,6,'DONNÉES BRUTES'!AB$3:AB$42*1000+(40-ROW('DONNÉES BRUTES'!AB$3:AB$42)+ROW('DONNÉES BRUTES'!AB$3)),10),'DONNÉES BRUTES'!AB$3:AB$42*1000+(40-ROW('DONNÉES BRUTES'!AB$3:AB$42)+ROW('DONNÉES BRUTES'!AB$3)),0)),"—")</f>
        <v>57</v>
      </c>
      <c r="I25" s="96">
        <f t="array" ref="I25">IFERROR(INDEX('DONNÉES BRUTES'!Z$3:Z$42,MATCH(_xlfn.AGGREGATE(14,6,'DONNÉES BRUTES'!AB$3:AB$42*1000+(40-ROW('DONNÉES BRUTES'!AB$3:AB$42)+ROW('DONNÉES BRUTES'!AB$3)),10),'DONNÉES BRUTES'!AB$3:AB$42*1000+(40-ROW('DONNÉES BRUTES'!AB$3:AB$42)+ROW('DONNÉES BRUTES'!AB$3)),0)),"—")</f>
        <v>72</v>
      </c>
      <c r="J25" s="96">
        <f t="array" ref="J25">IFERROR(INDEX('DONNÉES BRUTES'!AA$3:AA$42,MATCH(_xlfn.AGGREGATE(14,6,'DONNÉES BRUTES'!AB$3:AB$42*1000+(40-ROW('DONNÉES BRUTES'!AB$3:AB$42)+ROW('DONNÉES BRUTES'!AB$3)),10),'DONNÉES BRUTES'!AB$3:AB$42*1000+(40-ROW('DONNÉES BRUTES'!AB$3:AB$42)+ROW('DONNÉES BRUTES'!AB$3)),0)),"—")</f>
        <v>21</v>
      </c>
      <c r="K25" s="96" t="str">
        <f t="array" ref="K25">IFERROR(INDEX('DONNÉES BRUTES'!N$3:N$42,MATCH(_xlfn.AGGREGATE(14,6,'DONNÉES BRUTES'!AB$3:AB$42*1000+(40-ROW('DONNÉES BRUTES'!AB$3:AB$42)+ROW('DONNÉES BRUTES'!AB$3)),10),'DONNÉES BRUTES'!AB$3:AB$42*1000+(40-ROW('DONNÉES BRUTES'!AB$3:AB$42)+ROW('DONNÉES BRUTES'!AB$3)),0)),"—")</f>
        <v>24.3%</v>
      </c>
      <c r="L25" s="99" t="str">
        <f t="array" ref="L25">IFERROR(INDEX('DONNÉES BRUTES'!P$3:P$42,MATCH(_xlfn.AGGREGATE(14,6,'DONNÉES BRUTES'!AB$3:AB$42*1000+(40-ROW('DONNÉES BRUTES'!AB$3:AB$42)+ROW('DONNÉES BRUTES'!AB$3)),10),'DONNÉES BRUTES'!AB$3:AB$42*1000+(40-ROW('DONNÉES BRUTES'!AB$3:AB$42)+ROW('DONNÉES BRUTES'!AB$3)),0)),"—")</f>
        <v>+1.3%</v>
      </c>
      <c r="M25" s="96"/>
      <c r="N25" s="100" t="str">
        <f t="array" ref="N25">IFERROR(INDEX('DONNÉES BRUTES'!AC$3:AC$42,MATCH(_xlfn.AGGREGATE(14,6,'DONNÉES BRUTES'!AB$3:AB$42*1000+(40-ROW('DONNÉES BRUTES'!AB$3:AB$42)+ROW('DONNÉES BRUTES'!AB$3)),10),'DONNÉES BRUTES'!AB$3:AB$42*1000+(40-ROW('DONNÉES BRUTES'!AB$3:AB$42)+ROW('DONNÉES BRUTES'!AB$3)),0)),"—")</f>
        <v>—</v>
      </c>
      <c r="O25" s="96"/>
      <c r="P25" s="96"/>
      <c r="Q25" s="96"/>
      <c r="R25" s="101" t="str">
        <f t="array" ref="R25">IFERROR(INDEX('DONNÉES BRUTES'!AD$3:AD$42,MATCH(_xlfn.AGGREGATE(14,6,'DONNÉES BRUTES'!AB$3:AB$42*1000+(40-ROW('DONNÉES BRUTES'!AB$3:AB$42)+ROW('DONNÉES BRUTES'!AB$3)),10),'DONNÉES BRUTES'!AB$3:AB$42*1000+(40-ROW('DONNÉES BRUTES'!AB$3:AB$42)+ROW('DONNÉES BRUTES'!AB$3)),0)),"—")</f>
        <v>Neutre</v>
      </c>
      <c r="S25" s="33"/>
      <c r="T25" s="33"/>
      <c r="U25" s="33"/>
      <c r="V25" s="33"/>
      <c r="W25" s="33"/>
      <c r="X25" s="33"/>
    </row>
    <row r="26" spans="1:24" ht="14.1" customHeight="1" x14ac:dyDescent="0.3">
      <c r="A26" s="61"/>
      <c r="B26" s="61" t="s">
        <v>142</v>
      </c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</row>
    <row r="27" spans="1:24" ht="18" customHeight="1" x14ac:dyDescent="0.3"/>
    <row r="28" spans="1:24" ht="18" customHeight="1" x14ac:dyDescent="0.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4"/>
  <sheetViews>
    <sheetView showGridLines="0" topLeftCell="D1" zoomScale="92" zoomScaleNormal="100" workbookViewId="0">
      <selection activeCell="V16" sqref="V16"/>
    </sheetView>
  </sheetViews>
  <sheetFormatPr baseColWidth="10" defaultColWidth="8.88671875" defaultRowHeight="14.4" x14ac:dyDescent="0.3"/>
  <cols>
    <col min="1" max="1" width="5.33203125" customWidth="1"/>
    <col min="2" max="2" width="9.109375" customWidth="1"/>
    <col min="3" max="3" width="26.6640625" customWidth="1"/>
    <col min="4" max="4" width="15.33203125" customWidth="1"/>
    <col min="5" max="5" width="9.109375" customWidth="1"/>
    <col min="6" max="6" width="10.44140625" customWidth="1"/>
    <col min="7" max="7" width="12.44140625" customWidth="1"/>
    <col min="8" max="8" width="10.44140625" customWidth="1"/>
    <col min="9" max="10" width="12.44140625" customWidth="1"/>
    <col min="11" max="11" width="10.44140625" customWidth="1"/>
    <col min="12" max="12" width="12.44140625" customWidth="1"/>
    <col min="13" max="13" width="18.6640625" bestFit="1" customWidth="1"/>
    <col min="14" max="18" width="8.88671875" style="160" customWidth="1"/>
  </cols>
  <sheetData>
    <row r="1" spans="1:17" ht="32.1" customHeight="1" thickBot="1" x14ac:dyDescent="0.35">
      <c r="A1" s="102" t="s">
        <v>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O1" s="160" t="s">
        <v>1</v>
      </c>
      <c r="P1" s="160" t="s">
        <v>2</v>
      </c>
      <c r="Q1" s="160" t="s">
        <v>3</v>
      </c>
    </row>
    <row r="2" spans="1:17" ht="14.25" customHeight="1" x14ac:dyDescent="0.3">
      <c r="A2" s="22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s="160" t="str">
        <f t="shared" ref="O2:O16" si="0">IF(B4&lt;&gt;"—",LEFT(C4,20),"—")</f>
        <v>SAP SE</v>
      </c>
      <c r="P2" s="160">
        <f t="shared" ref="P2:P16" si="1">IF(E4&lt;&gt;"—",VALUE(LEFT(E4,FIND("/",E4)-1)),"")</f>
        <v>74</v>
      </c>
    </row>
    <row r="3" spans="1:17" ht="18" customHeight="1" thickBot="1" x14ac:dyDescent="0.35">
      <c r="A3" s="320" t="s">
        <v>5</v>
      </c>
      <c r="B3" s="326" t="s">
        <v>6</v>
      </c>
      <c r="C3" s="327" t="s">
        <v>1</v>
      </c>
      <c r="D3" s="327" t="s">
        <v>7</v>
      </c>
      <c r="E3" s="328" t="s">
        <v>8</v>
      </c>
      <c r="F3" s="328" t="s">
        <v>9</v>
      </c>
      <c r="G3" s="328" t="s">
        <v>10</v>
      </c>
      <c r="H3" s="328" t="s">
        <v>11</v>
      </c>
      <c r="I3" s="328" t="s">
        <v>12</v>
      </c>
      <c r="J3" s="328" t="s">
        <v>13</v>
      </c>
      <c r="K3" s="328" t="s">
        <v>14</v>
      </c>
      <c r="L3" s="328" t="s">
        <v>15</v>
      </c>
      <c r="M3" s="328" t="s">
        <v>16</v>
      </c>
      <c r="N3" s="324"/>
      <c r="O3" s="324" t="str">
        <f t="shared" si="0"/>
        <v>Prosus N.V.</v>
      </c>
      <c r="P3" s="324">
        <f t="shared" si="1"/>
        <v>72</v>
      </c>
      <c r="Q3" s="325"/>
    </row>
    <row r="4" spans="1:17" ht="15.9" customHeight="1" thickBot="1" x14ac:dyDescent="0.35">
      <c r="A4" s="321">
        <v>1</v>
      </c>
      <c r="B4" s="329" t="s">
        <v>17</v>
      </c>
      <c r="C4" s="330" t="s">
        <v>18</v>
      </c>
      <c r="D4" s="330" t="s">
        <v>19</v>
      </c>
      <c r="E4" s="331" t="s">
        <v>20</v>
      </c>
      <c r="F4" s="332">
        <v>13.3</v>
      </c>
      <c r="G4" s="332">
        <v>4.4000000000000004</v>
      </c>
      <c r="H4" s="332">
        <v>22.7</v>
      </c>
      <c r="I4" s="332" t="s">
        <v>21</v>
      </c>
      <c r="J4" s="332" t="s">
        <v>22</v>
      </c>
      <c r="K4" s="332">
        <v>5.34</v>
      </c>
      <c r="L4" s="332" t="s">
        <v>23</v>
      </c>
      <c r="M4" s="332" t="s">
        <v>24</v>
      </c>
      <c r="N4" s="426"/>
      <c r="O4" s="426" t="str">
        <f t="shared" si="0"/>
        <v>Sanofi</v>
      </c>
      <c r="P4" s="426">
        <f t="shared" si="1"/>
        <v>68</v>
      </c>
      <c r="Q4" s="427"/>
    </row>
    <row r="5" spans="1:17" ht="15.9" customHeight="1" thickBot="1" x14ac:dyDescent="0.35">
      <c r="A5" s="322">
        <v>2</v>
      </c>
      <c r="B5" s="334" t="s">
        <v>25</v>
      </c>
      <c r="C5" s="335" t="s">
        <v>26</v>
      </c>
      <c r="D5" s="335" t="s">
        <v>27</v>
      </c>
      <c r="E5" s="336" t="s">
        <v>28</v>
      </c>
      <c r="F5" s="337">
        <v>7.4</v>
      </c>
      <c r="G5" s="337">
        <v>16</v>
      </c>
      <c r="H5" s="337">
        <v>7.3</v>
      </c>
      <c r="I5" s="337" t="s">
        <v>29</v>
      </c>
      <c r="J5" s="337" t="s">
        <v>30</v>
      </c>
      <c r="K5" s="337">
        <v>8.7200000000000006</v>
      </c>
      <c r="L5" s="337" t="s">
        <v>31</v>
      </c>
      <c r="M5" s="337" t="s">
        <v>32</v>
      </c>
      <c r="N5" s="428"/>
      <c r="O5" s="428" t="str">
        <f t="shared" si="0"/>
        <v>L'Oréal S.A.</v>
      </c>
      <c r="P5" s="428">
        <f t="shared" si="1"/>
        <v>66</v>
      </c>
      <c r="Q5" s="429"/>
    </row>
    <row r="6" spans="1:17" ht="15.9" customHeight="1" thickBot="1" x14ac:dyDescent="0.35">
      <c r="A6" s="321">
        <v>3</v>
      </c>
      <c r="B6" s="342" t="s">
        <v>33</v>
      </c>
      <c r="C6" s="343" t="s">
        <v>34</v>
      </c>
      <c r="D6" s="343" t="s">
        <v>35</v>
      </c>
      <c r="E6" s="344" t="s">
        <v>36</v>
      </c>
      <c r="F6" s="345">
        <v>8.6</v>
      </c>
      <c r="G6" s="345">
        <v>2.2999999999999998</v>
      </c>
      <c r="H6" s="345">
        <v>12.4</v>
      </c>
      <c r="I6" s="345" t="s">
        <v>37</v>
      </c>
      <c r="J6" s="345" t="s">
        <v>38</v>
      </c>
      <c r="K6" s="345" t="s">
        <v>30</v>
      </c>
      <c r="L6" s="345" t="s">
        <v>39</v>
      </c>
      <c r="M6" s="345" t="s">
        <v>40</v>
      </c>
      <c r="N6" s="430"/>
      <c r="O6" s="430" t="str">
        <f t="shared" si="0"/>
        <v>Telefónica, S.A.</v>
      </c>
      <c r="P6" s="430">
        <f t="shared" si="1"/>
        <v>60</v>
      </c>
      <c r="Q6" s="431"/>
    </row>
    <row r="7" spans="1:17" ht="15.9" customHeight="1" thickBot="1" x14ac:dyDescent="0.35">
      <c r="A7" s="322">
        <v>4</v>
      </c>
      <c r="B7" s="334" t="s">
        <v>41</v>
      </c>
      <c r="C7" s="335" t="s">
        <v>42</v>
      </c>
      <c r="D7" s="335" t="s">
        <v>43</v>
      </c>
      <c r="E7" s="336" t="s">
        <v>44</v>
      </c>
      <c r="F7" s="337">
        <v>17.899999999999999</v>
      </c>
      <c r="G7" s="337">
        <v>4.4000000000000004</v>
      </c>
      <c r="H7" s="337">
        <v>31.3</v>
      </c>
      <c r="I7" s="337" t="s">
        <v>45</v>
      </c>
      <c r="J7" s="337" t="s">
        <v>46</v>
      </c>
      <c r="K7" s="337">
        <v>3.38</v>
      </c>
      <c r="L7" s="337" t="s">
        <v>47</v>
      </c>
      <c r="M7" s="337" t="s">
        <v>48</v>
      </c>
      <c r="N7" s="428"/>
      <c r="O7" s="428" t="str">
        <f t="shared" si="0"/>
        <v>Hermès International</v>
      </c>
      <c r="P7" s="428">
        <f t="shared" si="1"/>
        <v>60</v>
      </c>
      <c r="Q7" s="429"/>
    </row>
    <row r="8" spans="1:17" ht="15.9" customHeight="1" thickBot="1" x14ac:dyDescent="0.35">
      <c r="A8" s="321">
        <v>5</v>
      </c>
      <c r="B8" s="342" t="s">
        <v>49</v>
      </c>
      <c r="C8" s="343" t="s">
        <v>50</v>
      </c>
      <c r="D8" s="343" t="s">
        <v>51</v>
      </c>
      <c r="E8" s="344" t="s">
        <v>52</v>
      </c>
      <c r="F8" s="345">
        <v>4.0999999999999996</v>
      </c>
      <c r="G8" s="345">
        <v>1.2</v>
      </c>
      <c r="H8" s="345" t="s">
        <v>30</v>
      </c>
      <c r="I8" s="345" t="s">
        <v>53</v>
      </c>
      <c r="J8" s="345" t="s">
        <v>54</v>
      </c>
      <c r="K8" s="345">
        <v>1.01</v>
      </c>
      <c r="L8" s="345" t="s">
        <v>55</v>
      </c>
      <c r="M8" s="345" t="s">
        <v>30</v>
      </c>
      <c r="N8" s="430"/>
      <c r="O8" s="430" t="str">
        <f t="shared" si="0"/>
        <v>TotalEnergies SE</v>
      </c>
      <c r="P8" s="430">
        <f t="shared" si="1"/>
        <v>59</v>
      </c>
      <c r="Q8" s="431"/>
    </row>
    <row r="9" spans="1:17" ht="15.9" customHeight="1" thickBot="1" x14ac:dyDescent="0.35">
      <c r="A9" s="322">
        <v>6</v>
      </c>
      <c r="B9" s="334" t="s">
        <v>56</v>
      </c>
      <c r="C9" s="335" t="s">
        <v>57</v>
      </c>
      <c r="D9" s="335" t="s">
        <v>27</v>
      </c>
      <c r="E9" s="336" t="s">
        <v>52</v>
      </c>
      <c r="F9" s="337">
        <v>22.9</v>
      </c>
      <c r="G9" s="337">
        <v>10.8</v>
      </c>
      <c r="H9" s="337">
        <v>40.700000000000003</v>
      </c>
      <c r="I9" s="337" t="s">
        <v>58</v>
      </c>
      <c r="J9" s="337" t="s">
        <v>59</v>
      </c>
      <c r="K9" s="337">
        <v>9.4700000000000006</v>
      </c>
      <c r="L9" s="337" t="s">
        <v>60</v>
      </c>
      <c r="M9" s="337" t="s">
        <v>61</v>
      </c>
      <c r="N9" s="428"/>
      <c r="O9" s="428" t="str">
        <f t="shared" si="0"/>
        <v>Siemens Aktiengesell</v>
      </c>
      <c r="P9" s="428">
        <f t="shared" si="1"/>
        <v>56</v>
      </c>
      <c r="Q9" s="429"/>
    </row>
    <row r="10" spans="1:17" ht="15.9" customHeight="1" thickBot="1" x14ac:dyDescent="0.35">
      <c r="A10" s="321">
        <v>7</v>
      </c>
      <c r="B10" s="342" t="s">
        <v>62</v>
      </c>
      <c r="C10" s="343" t="s">
        <v>63</v>
      </c>
      <c r="D10" s="343" t="s">
        <v>64</v>
      </c>
      <c r="E10" s="344" t="s">
        <v>65</v>
      </c>
      <c r="F10" s="345">
        <v>6.2</v>
      </c>
      <c r="G10" s="345">
        <v>1.1000000000000001</v>
      </c>
      <c r="H10" s="345">
        <v>15.9</v>
      </c>
      <c r="I10" s="345" t="s">
        <v>66</v>
      </c>
      <c r="J10" s="345" t="s">
        <v>67</v>
      </c>
      <c r="K10" s="345" t="s">
        <v>30</v>
      </c>
      <c r="L10" s="345" t="s">
        <v>68</v>
      </c>
      <c r="M10" s="345" t="s">
        <v>69</v>
      </c>
      <c r="N10" s="430"/>
      <c r="O10" s="430" t="str">
        <f t="shared" si="0"/>
        <v>Volkswagen AG</v>
      </c>
      <c r="P10" s="430">
        <f t="shared" si="1"/>
        <v>56</v>
      </c>
      <c r="Q10" s="431"/>
    </row>
    <row r="11" spans="1:17" ht="15.9" customHeight="1" thickBot="1" x14ac:dyDescent="0.35">
      <c r="A11" s="322">
        <v>8</v>
      </c>
      <c r="B11" s="334" t="s">
        <v>70</v>
      </c>
      <c r="C11" s="335" t="s">
        <v>71</v>
      </c>
      <c r="D11" s="335" t="s">
        <v>72</v>
      </c>
      <c r="E11" s="336" t="s">
        <v>73</v>
      </c>
      <c r="F11" s="337">
        <v>13.4</v>
      </c>
      <c r="G11" s="337">
        <v>2.7</v>
      </c>
      <c r="H11" s="337">
        <v>18.2</v>
      </c>
      <c r="I11" s="337" t="s">
        <v>74</v>
      </c>
      <c r="J11" s="337" t="s">
        <v>75</v>
      </c>
      <c r="K11" s="337">
        <v>2.83</v>
      </c>
      <c r="L11" s="337" t="s">
        <v>76</v>
      </c>
      <c r="M11" s="337" t="s">
        <v>77</v>
      </c>
      <c r="N11" s="428"/>
      <c r="O11" s="428" t="str">
        <f t="shared" si="0"/>
        <v xml:space="preserve">Koninklijke Philips </v>
      </c>
      <c r="P11" s="428">
        <f t="shared" si="1"/>
        <v>53</v>
      </c>
      <c r="Q11" s="429"/>
    </row>
    <row r="12" spans="1:17" ht="15.9" customHeight="1" thickBot="1" x14ac:dyDescent="0.35">
      <c r="A12" s="321">
        <v>9</v>
      </c>
      <c r="B12" s="342" t="s">
        <v>78</v>
      </c>
      <c r="C12" s="343" t="s">
        <v>79</v>
      </c>
      <c r="D12" s="343" t="s">
        <v>27</v>
      </c>
      <c r="E12" s="344" t="s">
        <v>73</v>
      </c>
      <c r="F12" s="345">
        <v>3.4</v>
      </c>
      <c r="G12" s="345">
        <v>0.5</v>
      </c>
      <c r="H12" s="345">
        <v>2.5</v>
      </c>
      <c r="I12" s="345" t="s">
        <v>80</v>
      </c>
      <c r="J12" s="345" t="s">
        <v>81</v>
      </c>
      <c r="K12" s="345">
        <v>1.61</v>
      </c>
      <c r="L12" s="345" t="s">
        <v>82</v>
      </c>
      <c r="M12" s="345" t="s">
        <v>83</v>
      </c>
      <c r="N12" s="430"/>
      <c r="O12" s="430" t="str">
        <f t="shared" si="0"/>
        <v>RWE Aktiengesellscha</v>
      </c>
      <c r="P12" s="430">
        <f t="shared" si="1"/>
        <v>53</v>
      </c>
      <c r="Q12" s="431"/>
    </row>
    <row r="13" spans="1:17" ht="15.9" customHeight="1" thickBot="1" x14ac:dyDescent="0.35">
      <c r="A13" s="322">
        <v>10</v>
      </c>
      <c r="B13" s="334" t="s">
        <v>84</v>
      </c>
      <c r="C13" s="335" t="s">
        <v>85</v>
      </c>
      <c r="D13" s="335" t="s">
        <v>35</v>
      </c>
      <c r="E13" s="336" t="s">
        <v>86</v>
      </c>
      <c r="F13" s="337">
        <v>10.4</v>
      </c>
      <c r="G13" s="337">
        <v>1.5</v>
      </c>
      <c r="H13" s="337">
        <v>25.8</v>
      </c>
      <c r="I13" s="337" t="s">
        <v>87</v>
      </c>
      <c r="J13" s="337" t="s">
        <v>88</v>
      </c>
      <c r="K13" s="337">
        <v>2.11</v>
      </c>
      <c r="L13" s="337" t="s">
        <v>89</v>
      </c>
      <c r="M13" s="337" t="s">
        <v>90</v>
      </c>
      <c r="N13" s="428"/>
      <c r="O13" s="428" t="str">
        <f t="shared" si="0"/>
        <v>Banco Santander, S.A</v>
      </c>
      <c r="P13" s="428">
        <f t="shared" si="1"/>
        <v>48</v>
      </c>
      <c r="Q13" s="429"/>
    </row>
    <row r="14" spans="1:17" ht="15.9" customHeight="1" thickBot="1" x14ac:dyDescent="0.35">
      <c r="A14" s="321">
        <v>11</v>
      </c>
      <c r="B14" s="342" t="s">
        <v>91</v>
      </c>
      <c r="C14" s="343" t="s">
        <v>92</v>
      </c>
      <c r="D14" s="343" t="s">
        <v>93</v>
      </c>
      <c r="E14" s="344" t="s">
        <v>86</v>
      </c>
      <c r="F14" s="345">
        <v>7.1</v>
      </c>
      <c r="G14" s="345">
        <v>2.8</v>
      </c>
      <c r="H14" s="345">
        <v>13.4</v>
      </c>
      <c r="I14" s="345" t="s">
        <v>22</v>
      </c>
      <c r="J14" s="345" t="s">
        <v>94</v>
      </c>
      <c r="K14" s="345">
        <v>2.35</v>
      </c>
      <c r="L14" s="345" t="s">
        <v>95</v>
      </c>
      <c r="M14" s="345" t="s">
        <v>96</v>
      </c>
      <c r="N14" s="430"/>
      <c r="O14" s="430" t="str">
        <f t="shared" si="0"/>
        <v>Schneider Electric S</v>
      </c>
      <c r="P14" s="430">
        <f t="shared" si="1"/>
        <v>39</v>
      </c>
      <c r="Q14" s="431"/>
    </row>
    <row r="15" spans="1:17" ht="15.9" customHeight="1" thickBot="1" x14ac:dyDescent="0.35">
      <c r="A15" s="322">
        <v>12</v>
      </c>
      <c r="B15" s="334" t="s">
        <v>97</v>
      </c>
      <c r="C15" s="335" t="s">
        <v>98</v>
      </c>
      <c r="D15" s="335" t="s">
        <v>99</v>
      </c>
      <c r="E15" s="336" t="s">
        <v>100</v>
      </c>
      <c r="F15" s="337">
        <v>3.6</v>
      </c>
      <c r="G15" s="337">
        <v>4.9000000000000004</v>
      </c>
      <c r="H15" s="337">
        <v>10.7</v>
      </c>
      <c r="I15" s="337" t="s">
        <v>30</v>
      </c>
      <c r="J15" s="337" t="s">
        <v>30</v>
      </c>
      <c r="K15" s="337" t="s">
        <v>30</v>
      </c>
      <c r="L15" s="337" t="s">
        <v>101</v>
      </c>
      <c r="M15" s="337" t="s">
        <v>102</v>
      </c>
      <c r="N15" s="428"/>
      <c r="O15" s="428" t="str">
        <f t="shared" si="0"/>
        <v>Rio Tinto Group</v>
      </c>
      <c r="P15" s="428">
        <f t="shared" si="1"/>
        <v>38</v>
      </c>
      <c r="Q15" s="429"/>
    </row>
    <row r="16" spans="1:17" ht="15.9" customHeight="1" thickBot="1" x14ac:dyDescent="0.35">
      <c r="A16" s="321">
        <v>13</v>
      </c>
      <c r="B16" s="342" t="s">
        <v>103</v>
      </c>
      <c r="C16" s="343" t="s">
        <v>104</v>
      </c>
      <c r="D16" s="343" t="s">
        <v>72</v>
      </c>
      <c r="E16" s="344" t="s">
        <v>105</v>
      </c>
      <c r="F16" s="345">
        <v>19.100000000000001</v>
      </c>
      <c r="G16" s="345">
        <v>4</v>
      </c>
      <c r="H16" s="345">
        <v>35.1</v>
      </c>
      <c r="I16" s="345" t="s">
        <v>106</v>
      </c>
      <c r="J16" s="345" t="s">
        <v>107</v>
      </c>
      <c r="K16" s="345" t="s">
        <v>30</v>
      </c>
      <c r="L16" s="345" t="s">
        <v>108</v>
      </c>
      <c r="M16" s="345" t="s">
        <v>109</v>
      </c>
      <c r="N16" s="430"/>
      <c r="O16" s="430" t="str">
        <f t="shared" si="0"/>
        <v>GSK plc</v>
      </c>
      <c r="P16" s="430">
        <f t="shared" si="1"/>
        <v>33</v>
      </c>
      <c r="Q16" s="431"/>
    </row>
    <row r="17" spans="1:17" ht="15.9" customHeight="1" thickBot="1" x14ac:dyDescent="0.35">
      <c r="A17" s="322">
        <v>14</v>
      </c>
      <c r="B17" s="334" t="s">
        <v>110</v>
      </c>
      <c r="C17" s="335" t="s">
        <v>111</v>
      </c>
      <c r="D17" s="335" t="s">
        <v>112</v>
      </c>
      <c r="E17" s="336" t="s">
        <v>113</v>
      </c>
      <c r="F17" s="337">
        <v>401.8</v>
      </c>
      <c r="G17" s="337">
        <v>160.1</v>
      </c>
      <c r="H17" s="337">
        <v>925.1</v>
      </c>
      <c r="I17" s="337" t="s">
        <v>114</v>
      </c>
      <c r="J17" s="337" t="s">
        <v>115</v>
      </c>
      <c r="K17" s="337">
        <v>3.45</v>
      </c>
      <c r="L17" s="337" t="s">
        <v>116</v>
      </c>
      <c r="M17" s="337" t="s">
        <v>117</v>
      </c>
      <c r="N17" s="428"/>
      <c r="O17" s="428"/>
      <c r="P17" s="428"/>
      <c r="Q17" s="429"/>
    </row>
    <row r="18" spans="1:17" ht="15.9" customHeight="1" x14ac:dyDescent="0.3">
      <c r="A18" s="323">
        <v>15</v>
      </c>
      <c r="B18" s="338" t="s">
        <v>118</v>
      </c>
      <c r="C18" s="339" t="s">
        <v>119</v>
      </c>
      <c r="D18" s="339" t="s">
        <v>35</v>
      </c>
      <c r="E18" s="340" t="s">
        <v>120</v>
      </c>
      <c r="F18" s="341">
        <v>837.4</v>
      </c>
      <c r="G18" s="341">
        <v>266.60000000000002</v>
      </c>
      <c r="H18" s="341">
        <v>1521.7</v>
      </c>
      <c r="I18" s="341" t="s">
        <v>121</v>
      </c>
      <c r="J18" s="341" t="s">
        <v>122</v>
      </c>
      <c r="K18" s="341">
        <v>1.4</v>
      </c>
      <c r="L18" s="341" t="s">
        <v>123</v>
      </c>
      <c r="M18" s="341" t="s">
        <v>124</v>
      </c>
      <c r="N18" s="432"/>
      <c r="O18" s="432"/>
      <c r="P18" s="432"/>
      <c r="Q18" s="433"/>
    </row>
    <row r="19" spans="1:17" ht="15.9" customHeight="1" x14ac:dyDescent="0.3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</row>
    <row r="20" spans="1:17" ht="6" customHeight="1" x14ac:dyDescent="0.3">
      <c r="A20" s="108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9"/>
    </row>
    <row r="21" spans="1:17" ht="15.9" customHeight="1" x14ac:dyDescent="0.3">
      <c r="A21" s="110"/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</row>
    <row r="22" spans="1:17" ht="15.9" customHeight="1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</row>
    <row r="23" spans="1:17" ht="13.95" customHeight="1" x14ac:dyDescent="0.3"/>
    <row r="24" spans="1:17" ht="13.95" customHeight="1" x14ac:dyDescent="0.3"/>
    <row r="25" spans="1:17" ht="13.95" customHeight="1" x14ac:dyDescent="0.3"/>
    <row r="26" spans="1:17" ht="13.95" customHeight="1" x14ac:dyDescent="0.3"/>
    <row r="27" spans="1:17" ht="13.95" customHeight="1" x14ac:dyDescent="0.3"/>
    <row r="28" spans="1:17" ht="13.95" customHeight="1" x14ac:dyDescent="0.3"/>
    <row r="29" spans="1:17" ht="13.95" customHeight="1" x14ac:dyDescent="0.3"/>
    <row r="30" spans="1:17" ht="13.95" customHeight="1" x14ac:dyDescent="0.3"/>
    <row r="31" spans="1:17" ht="13.95" customHeight="1" x14ac:dyDescent="0.3"/>
    <row r="32" spans="1:17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4" ht="16.2" customHeight="1" x14ac:dyDescent="0.3"/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4"/>
  <sheetViews>
    <sheetView showGridLines="0" zoomScale="83" zoomScaleNormal="100" workbookViewId="0">
      <selection activeCell="H13" sqref="G13:H13"/>
    </sheetView>
  </sheetViews>
  <sheetFormatPr baseColWidth="10" defaultColWidth="8.88671875" defaultRowHeight="14.4" x14ac:dyDescent="0.3"/>
  <cols>
    <col min="1" max="1" width="5.33203125" customWidth="1"/>
    <col min="2" max="2" width="9.109375" customWidth="1"/>
    <col min="3" max="3" width="26.6640625" customWidth="1"/>
    <col min="4" max="4" width="15.33203125" customWidth="1"/>
    <col min="5" max="5" width="9.109375" customWidth="1"/>
    <col min="6" max="8" width="12.44140625" customWidth="1"/>
    <col min="9" max="9" width="10.44140625" customWidth="1"/>
    <col min="10" max="12" width="12.44140625" customWidth="1"/>
    <col min="14" max="16" width="8.88671875" style="160" customWidth="1"/>
  </cols>
  <sheetData>
    <row r="1" spans="1:16" ht="32.1" customHeight="1" thickBot="1" x14ac:dyDescent="0.35">
      <c r="A1" s="102" t="s">
        <v>143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O1" s="160" t="s">
        <v>1</v>
      </c>
      <c r="P1" s="160" t="s">
        <v>144</v>
      </c>
    </row>
    <row r="2" spans="1:16" x14ac:dyDescent="0.3">
      <c r="A2" s="22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O2" s="160" t="str">
        <f t="shared" ref="O2:O11" si="0">IF(B4&lt;&gt;"—",LEFT(C4,18),"—")</f>
        <v>ASML Holding N.V.</v>
      </c>
      <c r="P2" s="160">
        <f t="shared" ref="P2:P11" si="1">IF(E4&lt;&gt;"—",VALUE(LEFT(E4,FIND("/",E4)-1)),"")</f>
        <v>92</v>
      </c>
    </row>
    <row r="3" spans="1:16" ht="18" customHeight="1" thickBot="1" x14ac:dyDescent="0.35">
      <c r="A3" s="320" t="s">
        <v>5</v>
      </c>
      <c r="B3" s="326" t="s">
        <v>6</v>
      </c>
      <c r="C3" s="327" t="s">
        <v>1</v>
      </c>
      <c r="D3" s="327" t="s">
        <v>7</v>
      </c>
      <c r="E3" s="328" t="s">
        <v>8</v>
      </c>
      <c r="F3" s="328" t="s">
        <v>145</v>
      </c>
      <c r="G3" s="328" t="s">
        <v>13</v>
      </c>
      <c r="H3" s="328" t="s">
        <v>146</v>
      </c>
      <c r="I3" s="328" t="s">
        <v>147</v>
      </c>
      <c r="J3" s="328" t="s">
        <v>148</v>
      </c>
      <c r="K3" s="328" t="s">
        <v>149</v>
      </c>
      <c r="L3" s="328" t="s">
        <v>3</v>
      </c>
      <c r="M3" s="346"/>
      <c r="N3" s="324"/>
      <c r="O3" s="324" t="str">
        <f t="shared" si="0"/>
        <v>AstraZeneca PLC</v>
      </c>
      <c r="P3" s="325">
        <f t="shared" si="1"/>
        <v>87</v>
      </c>
    </row>
    <row r="4" spans="1:16" ht="15.9" customHeight="1" thickBot="1" x14ac:dyDescent="0.35">
      <c r="A4" s="321">
        <v>1</v>
      </c>
      <c r="B4" s="329" t="s">
        <v>150</v>
      </c>
      <c r="C4" s="330" t="s">
        <v>151</v>
      </c>
      <c r="D4" s="330" t="s">
        <v>19</v>
      </c>
      <c r="E4" s="331" t="s">
        <v>152</v>
      </c>
      <c r="F4" s="332" t="s">
        <v>153</v>
      </c>
      <c r="G4" s="332" t="s">
        <v>154</v>
      </c>
      <c r="H4" s="332" t="s">
        <v>155</v>
      </c>
      <c r="I4" s="332" t="s">
        <v>156</v>
      </c>
      <c r="J4" s="332" t="s">
        <v>157</v>
      </c>
      <c r="K4" s="332" t="s">
        <v>30</v>
      </c>
      <c r="L4" s="332" t="s">
        <v>158</v>
      </c>
      <c r="M4" s="406"/>
      <c r="N4" s="426"/>
      <c r="O4" s="426" t="str">
        <f t="shared" si="0"/>
        <v>Hermès Internation</v>
      </c>
      <c r="P4" s="427">
        <f t="shared" si="1"/>
        <v>81</v>
      </c>
    </row>
    <row r="5" spans="1:16" ht="15.9" customHeight="1" thickBot="1" x14ac:dyDescent="0.35">
      <c r="A5" s="322">
        <v>2</v>
      </c>
      <c r="B5" s="334" t="s">
        <v>159</v>
      </c>
      <c r="C5" s="335" t="s">
        <v>160</v>
      </c>
      <c r="D5" s="335" t="s">
        <v>35</v>
      </c>
      <c r="E5" s="336" t="s">
        <v>161</v>
      </c>
      <c r="F5" s="337" t="s">
        <v>162</v>
      </c>
      <c r="G5" s="337" t="s">
        <v>163</v>
      </c>
      <c r="H5" s="337" t="s">
        <v>164</v>
      </c>
      <c r="I5" s="337" t="s">
        <v>165</v>
      </c>
      <c r="J5" s="337" t="s">
        <v>166</v>
      </c>
      <c r="K5" s="337" t="s">
        <v>30</v>
      </c>
      <c r="L5" s="337" t="s">
        <v>158</v>
      </c>
      <c r="M5" s="409"/>
      <c r="N5" s="428"/>
      <c r="O5" s="428" t="str">
        <f t="shared" si="0"/>
        <v>GSK plc</v>
      </c>
      <c r="P5" s="429">
        <f t="shared" si="1"/>
        <v>78</v>
      </c>
    </row>
    <row r="6" spans="1:16" ht="15.9" customHeight="1" thickBot="1" x14ac:dyDescent="0.35">
      <c r="A6" s="321">
        <v>3</v>
      </c>
      <c r="B6" s="342" t="s">
        <v>56</v>
      </c>
      <c r="C6" s="343" t="s">
        <v>57</v>
      </c>
      <c r="D6" s="343" t="s">
        <v>27</v>
      </c>
      <c r="E6" s="344" t="s">
        <v>167</v>
      </c>
      <c r="F6" s="345" t="s">
        <v>168</v>
      </c>
      <c r="G6" s="345" t="s">
        <v>59</v>
      </c>
      <c r="H6" s="345" t="s">
        <v>169</v>
      </c>
      <c r="I6" s="345" t="s">
        <v>55</v>
      </c>
      <c r="J6" s="345" t="s">
        <v>170</v>
      </c>
      <c r="K6" s="345" t="s">
        <v>30</v>
      </c>
      <c r="L6" s="345" t="s">
        <v>171</v>
      </c>
      <c r="M6" s="412"/>
      <c r="N6" s="430"/>
      <c r="O6" s="430" t="str">
        <f t="shared" si="0"/>
        <v>SAP SE</v>
      </c>
      <c r="P6" s="431">
        <f t="shared" si="1"/>
        <v>78</v>
      </c>
    </row>
    <row r="7" spans="1:16" ht="15.9" customHeight="1" thickBot="1" x14ac:dyDescent="0.35">
      <c r="A7" s="322">
        <v>4</v>
      </c>
      <c r="B7" s="334" t="s">
        <v>118</v>
      </c>
      <c r="C7" s="335" t="s">
        <v>119</v>
      </c>
      <c r="D7" s="335" t="s">
        <v>35</v>
      </c>
      <c r="E7" s="336" t="s">
        <v>172</v>
      </c>
      <c r="F7" s="337" t="s">
        <v>173</v>
      </c>
      <c r="G7" s="337" t="s">
        <v>122</v>
      </c>
      <c r="H7" s="337" t="s">
        <v>174</v>
      </c>
      <c r="I7" s="337" t="s">
        <v>175</v>
      </c>
      <c r="J7" s="337" t="s">
        <v>176</v>
      </c>
      <c r="K7" s="337" t="s">
        <v>30</v>
      </c>
      <c r="L7" s="337" t="s">
        <v>158</v>
      </c>
      <c r="M7" s="409"/>
      <c r="N7" s="428"/>
      <c r="O7" s="428" t="str">
        <f t="shared" si="0"/>
        <v>Rio Tinto Group</v>
      </c>
      <c r="P7" s="429">
        <f t="shared" si="1"/>
        <v>77</v>
      </c>
    </row>
    <row r="8" spans="1:16" ht="15.9" customHeight="1" thickBot="1" x14ac:dyDescent="0.35">
      <c r="A8" s="321">
        <v>5</v>
      </c>
      <c r="B8" s="342" t="s">
        <v>17</v>
      </c>
      <c r="C8" s="343" t="s">
        <v>18</v>
      </c>
      <c r="D8" s="343" t="s">
        <v>19</v>
      </c>
      <c r="E8" s="344" t="s">
        <v>172</v>
      </c>
      <c r="F8" s="345" t="s">
        <v>177</v>
      </c>
      <c r="G8" s="345" t="s">
        <v>22</v>
      </c>
      <c r="H8" s="345" t="s">
        <v>178</v>
      </c>
      <c r="I8" s="345" t="s">
        <v>179</v>
      </c>
      <c r="J8" s="345" t="s">
        <v>180</v>
      </c>
      <c r="K8" s="345" t="s">
        <v>30</v>
      </c>
      <c r="L8" s="345" t="s">
        <v>158</v>
      </c>
      <c r="M8" s="412"/>
      <c r="N8" s="430"/>
      <c r="O8" s="430" t="str">
        <f t="shared" si="0"/>
        <v>Münchener Rückvers</v>
      </c>
      <c r="P8" s="431">
        <f t="shared" si="1"/>
        <v>71</v>
      </c>
    </row>
    <row r="9" spans="1:16" ht="15.9" customHeight="1" thickBot="1" x14ac:dyDescent="0.35">
      <c r="A9" s="322">
        <v>6</v>
      </c>
      <c r="B9" s="334" t="s">
        <v>110</v>
      </c>
      <c r="C9" s="335" t="s">
        <v>111</v>
      </c>
      <c r="D9" s="335" t="s">
        <v>112</v>
      </c>
      <c r="E9" s="336" t="s">
        <v>181</v>
      </c>
      <c r="F9" s="337" t="s">
        <v>182</v>
      </c>
      <c r="G9" s="337" t="s">
        <v>115</v>
      </c>
      <c r="H9" s="337" t="s">
        <v>183</v>
      </c>
      <c r="I9" s="337" t="s">
        <v>184</v>
      </c>
      <c r="J9" s="337" t="s">
        <v>185</v>
      </c>
      <c r="K9" s="337" t="s">
        <v>30</v>
      </c>
      <c r="L9" s="337" t="s">
        <v>158</v>
      </c>
      <c r="M9" s="409"/>
      <c r="N9" s="428"/>
      <c r="O9" s="428" t="str">
        <f t="shared" si="0"/>
        <v>Sanofi</v>
      </c>
      <c r="P9" s="429">
        <f t="shared" si="1"/>
        <v>67</v>
      </c>
    </row>
    <row r="10" spans="1:16" ht="15.9" customHeight="1" thickBot="1" x14ac:dyDescent="0.35">
      <c r="A10" s="321">
        <v>7</v>
      </c>
      <c r="B10" s="342" t="s">
        <v>186</v>
      </c>
      <c r="C10" s="343" t="s">
        <v>187</v>
      </c>
      <c r="D10" s="343" t="s">
        <v>99</v>
      </c>
      <c r="E10" s="344" t="s">
        <v>188</v>
      </c>
      <c r="F10" s="345" t="s">
        <v>189</v>
      </c>
      <c r="G10" s="345" t="s">
        <v>190</v>
      </c>
      <c r="H10" s="345" t="s">
        <v>191</v>
      </c>
      <c r="I10" s="345" t="s">
        <v>192</v>
      </c>
      <c r="J10" s="345" t="s">
        <v>193</v>
      </c>
      <c r="K10" s="345" t="s">
        <v>30</v>
      </c>
      <c r="L10" s="345" t="s">
        <v>171</v>
      </c>
      <c r="M10" s="412"/>
      <c r="N10" s="430"/>
      <c r="O10" s="430" t="str">
        <f t="shared" si="0"/>
        <v>Industria de Diseñ</v>
      </c>
      <c r="P10" s="431">
        <f t="shared" si="1"/>
        <v>67</v>
      </c>
    </row>
    <row r="11" spans="1:16" ht="15.9" customHeight="1" thickBot="1" x14ac:dyDescent="0.35">
      <c r="A11" s="322">
        <v>8</v>
      </c>
      <c r="B11" s="334" t="s">
        <v>33</v>
      </c>
      <c r="C11" s="335" t="s">
        <v>34</v>
      </c>
      <c r="D11" s="335" t="s">
        <v>35</v>
      </c>
      <c r="E11" s="336" t="s">
        <v>194</v>
      </c>
      <c r="F11" s="337" t="s">
        <v>168</v>
      </c>
      <c r="G11" s="337" t="s">
        <v>38</v>
      </c>
      <c r="H11" s="337" t="s">
        <v>195</v>
      </c>
      <c r="I11" s="337" t="s">
        <v>196</v>
      </c>
      <c r="J11" s="337" t="s">
        <v>197</v>
      </c>
      <c r="K11" s="337" t="s">
        <v>30</v>
      </c>
      <c r="L11" s="337" t="s">
        <v>158</v>
      </c>
      <c r="M11" s="409"/>
      <c r="N11" s="428"/>
      <c r="O11" s="428" t="str">
        <f t="shared" si="0"/>
        <v>Prosus N.V.</v>
      </c>
      <c r="P11" s="429">
        <f t="shared" si="1"/>
        <v>66</v>
      </c>
    </row>
    <row r="12" spans="1:16" ht="15.9" customHeight="1" thickBot="1" x14ac:dyDescent="0.35">
      <c r="A12" s="321">
        <v>9</v>
      </c>
      <c r="B12" s="342" t="s">
        <v>198</v>
      </c>
      <c r="C12" s="343" t="s">
        <v>199</v>
      </c>
      <c r="D12" s="343" t="s">
        <v>27</v>
      </c>
      <c r="E12" s="344" t="s">
        <v>194</v>
      </c>
      <c r="F12" s="345" t="s">
        <v>200</v>
      </c>
      <c r="G12" s="345" t="s">
        <v>201</v>
      </c>
      <c r="H12" s="345" t="s">
        <v>202</v>
      </c>
      <c r="I12" s="345" t="s">
        <v>203</v>
      </c>
      <c r="J12" s="345" t="s">
        <v>204</v>
      </c>
      <c r="K12" s="345" t="s">
        <v>30</v>
      </c>
      <c r="L12" s="345" t="s">
        <v>158</v>
      </c>
      <c r="M12" s="412"/>
      <c r="N12" s="430"/>
      <c r="O12" s="430"/>
      <c r="P12" s="431"/>
    </row>
    <row r="13" spans="1:16" ht="15.9" customHeight="1" thickBot="1" x14ac:dyDescent="0.35">
      <c r="A13" s="322">
        <v>10</v>
      </c>
      <c r="B13" s="334" t="s">
        <v>25</v>
      </c>
      <c r="C13" s="335" t="s">
        <v>26</v>
      </c>
      <c r="D13" s="335" t="s">
        <v>27</v>
      </c>
      <c r="E13" s="336" t="s">
        <v>44</v>
      </c>
      <c r="F13" s="337" t="s">
        <v>205</v>
      </c>
      <c r="G13" s="337" t="s">
        <v>30</v>
      </c>
      <c r="H13" s="337" t="s">
        <v>30</v>
      </c>
      <c r="I13" s="337" t="s">
        <v>206</v>
      </c>
      <c r="J13" s="337" t="s">
        <v>207</v>
      </c>
      <c r="K13" s="337" t="s">
        <v>30</v>
      </c>
      <c r="L13" s="337" t="s">
        <v>171</v>
      </c>
      <c r="M13" s="409"/>
      <c r="N13" s="428"/>
      <c r="O13" s="428"/>
      <c r="P13" s="429"/>
    </row>
    <row r="14" spans="1:16" ht="15.9" customHeight="1" thickBot="1" x14ac:dyDescent="0.35">
      <c r="A14" s="321">
        <v>11</v>
      </c>
      <c r="B14" s="342" t="s">
        <v>208</v>
      </c>
      <c r="C14" s="343" t="s">
        <v>209</v>
      </c>
      <c r="D14" s="343" t="s">
        <v>99</v>
      </c>
      <c r="E14" s="344" t="s">
        <v>210</v>
      </c>
      <c r="F14" s="345" t="s">
        <v>211</v>
      </c>
      <c r="G14" s="345" t="s">
        <v>212</v>
      </c>
      <c r="H14" s="345" t="s">
        <v>213</v>
      </c>
      <c r="I14" s="345" t="s">
        <v>162</v>
      </c>
      <c r="J14" s="345" t="s">
        <v>214</v>
      </c>
      <c r="K14" s="345" t="s">
        <v>30</v>
      </c>
      <c r="L14" s="345" t="s">
        <v>171</v>
      </c>
      <c r="M14" s="412"/>
      <c r="N14" s="430"/>
      <c r="O14" s="430"/>
      <c r="P14" s="431"/>
    </row>
    <row r="15" spans="1:16" ht="15.9" customHeight="1" thickBot="1" x14ac:dyDescent="0.35">
      <c r="A15" s="322">
        <v>12</v>
      </c>
      <c r="B15" s="334" t="s">
        <v>215</v>
      </c>
      <c r="C15" s="335" t="s">
        <v>216</v>
      </c>
      <c r="D15" s="335" t="s">
        <v>51</v>
      </c>
      <c r="E15" s="336" t="s">
        <v>217</v>
      </c>
      <c r="F15" s="337" t="s">
        <v>218</v>
      </c>
      <c r="G15" s="337" t="s">
        <v>219</v>
      </c>
      <c r="H15" s="337" t="s">
        <v>220</v>
      </c>
      <c r="I15" s="337" t="s">
        <v>221</v>
      </c>
      <c r="J15" s="337" t="s">
        <v>222</v>
      </c>
      <c r="K15" s="337" t="s">
        <v>30</v>
      </c>
      <c r="L15" s="337" t="s">
        <v>171</v>
      </c>
      <c r="M15" s="409"/>
      <c r="N15" s="428"/>
      <c r="O15" s="428"/>
      <c r="P15" s="429"/>
    </row>
    <row r="16" spans="1:16" ht="15.9" customHeight="1" thickBot="1" x14ac:dyDescent="0.35">
      <c r="A16" s="321">
        <v>13</v>
      </c>
      <c r="B16" s="342" t="s">
        <v>223</v>
      </c>
      <c r="C16" s="343" t="s">
        <v>224</v>
      </c>
      <c r="D16" s="343" t="s">
        <v>72</v>
      </c>
      <c r="E16" s="344" t="s">
        <v>225</v>
      </c>
      <c r="F16" s="345" t="s">
        <v>226</v>
      </c>
      <c r="G16" s="345" t="s">
        <v>227</v>
      </c>
      <c r="H16" s="345" t="s">
        <v>228</v>
      </c>
      <c r="I16" s="345" t="s">
        <v>229</v>
      </c>
      <c r="J16" s="345" t="s">
        <v>193</v>
      </c>
      <c r="K16" s="345" t="s">
        <v>30</v>
      </c>
      <c r="L16" s="345" t="s">
        <v>171</v>
      </c>
      <c r="M16" s="412"/>
      <c r="N16" s="430"/>
      <c r="O16" s="430"/>
      <c r="P16" s="431"/>
    </row>
    <row r="17" spans="1:16" ht="15.9" customHeight="1" thickBot="1" x14ac:dyDescent="0.35">
      <c r="A17" s="322">
        <v>14</v>
      </c>
      <c r="B17" s="334" t="s">
        <v>230</v>
      </c>
      <c r="C17" s="335" t="s">
        <v>231</v>
      </c>
      <c r="D17" s="335" t="s">
        <v>27</v>
      </c>
      <c r="E17" s="336" t="s">
        <v>232</v>
      </c>
      <c r="F17" s="337" t="s">
        <v>233</v>
      </c>
      <c r="G17" s="337" t="s">
        <v>234</v>
      </c>
      <c r="H17" s="337" t="s">
        <v>235</v>
      </c>
      <c r="I17" s="337" t="s">
        <v>236</v>
      </c>
      <c r="J17" s="337" t="s">
        <v>237</v>
      </c>
      <c r="K17" s="337" t="s">
        <v>30</v>
      </c>
      <c r="L17" s="337" t="s">
        <v>171</v>
      </c>
      <c r="M17" s="409"/>
      <c r="N17" s="428"/>
      <c r="O17" s="428"/>
      <c r="P17" s="429"/>
    </row>
    <row r="18" spans="1:16" ht="15.9" customHeight="1" x14ac:dyDescent="0.3">
      <c r="A18" s="323">
        <v>15</v>
      </c>
      <c r="B18" s="338" t="s">
        <v>103</v>
      </c>
      <c r="C18" s="339" t="s">
        <v>104</v>
      </c>
      <c r="D18" s="339" t="s">
        <v>72</v>
      </c>
      <c r="E18" s="340" t="s">
        <v>52</v>
      </c>
      <c r="F18" s="341" t="s">
        <v>23</v>
      </c>
      <c r="G18" s="341" t="s">
        <v>107</v>
      </c>
      <c r="H18" s="341" t="s">
        <v>238</v>
      </c>
      <c r="I18" s="341" t="s">
        <v>239</v>
      </c>
      <c r="J18" s="341" t="s">
        <v>240</v>
      </c>
      <c r="K18" s="341" t="s">
        <v>30</v>
      </c>
      <c r="L18" s="341" t="s">
        <v>171</v>
      </c>
      <c r="M18" s="418"/>
      <c r="N18" s="432"/>
      <c r="O18" s="432"/>
      <c r="P18" s="433"/>
    </row>
    <row r="19" spans="1:16" ht="15.9" customHeight="1" x14ac:dyDescent="0.3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</row>
    <row r="20" spans="1:16" ht="6" customHeight="1" x14ac:dyDescent="0.3">
      <c r="A20" s="108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9"/>
    </row>
    <row r="21" spans="1:16" ht="15.9" customHeight="1" x14ac:dyDescent="0.3">
      <c r="A21" s="110"/>
      <c r="B21" s="110"/>
      <c r="C21" s="111"/>
      <c r="D21" s="111"/>
      <c r="E21" s="111"/>
      <c r="F21" s="111"/>
      <c r="G21" s="111"/>
      <c r="H21" s="111"/>
      <c r="I21" s="111"/>
      <c r="J21" s="111"/>
      <c r="K21" s="111"/>
      <c r="L21" s="111"/>
    </row>
    <row r="22" spans="1:16" ht="15.9" customHeight="1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</row>
    <row r="23" spans="1:16" ht="13.95" customHeight="1" x14ac:dyDescent="0.3"/>
    <row r="24" spans="1:16" ht="13.95" customHeight="1" x14ac:dyDescent="0.3"/>
    <row r="25" spans="1:16" ht="13.95" customHeight="1" x14ac:dyDescent="0.3"/>
    <row r="26" spans="1:16" ht="13.95" customHeight="1" x14ac:dyDescent="0.3"/>
    <row r="27" spans="1:16" ht="13.95" customHeight="1" x14ac:dyDescent="0.3"/>
    <row r="28" spans="1:16" ht="13.95" customHeight="1" x14ac:dyDescent="0.3"/>
    <row r="29" spans="1:16" ht="13.95" customHeight="1" x14ac:dyDescent="0.3"/>
    <row r="30" spans="1:16" ht="13.95" customHeight="1" x14ac:dyDescent="0.3"/>
    <row r="31" spans="1:16" ht="13.95" customHeight="1" x14ac:dyDescent="0.3"/>
    <row r="32" spans="1:16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4" ht="16.2" customHeight="1" x14ac:dyDescent="0.3"/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4"/>
  <sheetViews>
    <sheetView showGridLines="0" zoomScale="85" workbookViewId="0">
      <selection activeCell="R23" sqref="R23"/>
    </sheetView>
  </sheetViews>
  <sheetFormatPr baseColWidth="10" defaultColWidth="8.88671875" defaultRowHeight="14.4" x14ac:dyDescent="0.3"/>
  <cols>
    <col min="1" max="1" width="5.33203125" customWidth="1"/>
    <col min="2" max="2" width="9.109375" customWidth="1"/>
    <col min="3" max="3" width="26.6640625" customWidth="1"/>
    <col min="4" max="4" width="15.33203125" customWidth="1"/>
    <col min="5" max="5" width="9.109375" customWidth="1"/>
    <col min="6" max="7" width="10.44140625" customWidth="1"/>
    <col min="8" max="8" width="12.44140625" customWidth="1"/>
    <col min="9" max="9" width="10.44140625" customWidth="1"/>
    <col min="10" max="10" width="12.44140625" customWidth="1"/>
    <col min="11" max="11" width="10.44140625" customWidth="1"/>
    <col min="12" max="13" width="12.44140625" customWidth="1"/>
    <col min="15" max="19" width="8.88671875" style="160" customWidth="1"/>
  </cols>
  <sheetData>
    <row r="1" spans="1:18" ht="32.1" customHeight="1" thickBot="1" x14ac:dyDescent="0.35">
      <c r="A1" s="102" t="s">
        <v>241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O1" s="160" t="s">
        <v>1</v>
      </c>
      <c r="P1" s="160" t="s">
        <v>242</v>
      </c>
      <c r="Q1" s="160" t="s">
        <v>14</v>
      </c>
      <c r="R1" s="160" t="s">
        <v>243</v>
      </c>
    </row>
    <row r="2" spans="1:18" x14ac:dyDescent="0.3">
      <c r="A2" s="22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s="160" t="str">
        <f t="shared" ref="O2:O11" si="0">IF(B4&lt;&gt;"—",LEFT(C4,15),"—")</f>
        <v>Hermès Internat</v>
      </c>
      <c r="P2" s="160">
        <f t="shared" ref="P2:P11" si="1">IF(E4&lt;&gt;"—",VALUE(LEFT(E4,FIND("/",E4)-1)),"")</f>
        <v>99</v>
      </c>
      <c r="Q2" s="160">
        <f t="shared" ref="Q2:Q11" si="2">IF(F4&lt;&gt;"—",F4,"")</f>
        <v>9.4700000000000006</v>
      </c>
      <c r="R2" s="160">
        <f t="shared" ref="R2:R11" si="3">IF(H4&lt;&gt;"—",H4,"")</f>
        <v>-3.21</v>
      </c>
    </row>
    <row r="3" spans="1:18" ht="18" customHeight="1" thickBot="1" x14ac:dyDescent="0.35">
      <c r="A3" s="347" t="s">
        <v>5</v>
      </c>
      <c r="B3" s="348" t="s">
        <v>6</v>
      </c>
      <c r="C3" s="349" t="s">
        <v>1</v>
      </c>
      <c r="D3" s="349" t="s">
        <v>7</v>
      </c>
      <c r="E3" s="350" t="s">
        <v>8</v>
      </c>
      <c r="F3" s="350" t="s">
        <v>244</v>
      </c>
      <c r="G3" s="350" t="s">
        <v>245</v>
      </c>
      <c r="H3" s="350" t="s">
        <v>243</v>
      </c>
      <c r="I3" s="350" t="s">
        <v>246</v>
      </c>
      <c r="J3" s="350" t="s">
        <v>13</v>
      </c>
      <c r="K3" s="350" t="s">
        <v>147</v>
      </c>
      <c r="L3" s="350" t="s">
        <v>247</v>
      </c>
      <c r="M3" s="350" t="s">
        <v>248</v>
      </c>
      <c r="N3" s="346"/>
      <c r="O3" s="324" t="str">
        <f t="shared" si="0"/>
        <v>ASML Holding N.</v>
      </c>
      <c r="P3" s="324">
        <f t="shared" si="1"/>
        <v>86</v>
      </c>
      <c r="Q3" s="324">
        <f t="shared" si="2"/>
        <v>4.1500000000000004</v>
      </c>
      <c r="R3" s="325">
        <f t="shared" si="3"/>
        <v>-3.3</v>
      </c>
    </row>
    <row r="4" spans="1:18" ht="15.9" customHeight="1" thickBot="1" x14ac:dyDescent="0.35">
      <c r="A4" s="321">
        <v>1</v>
      </c>
      <c r="B4" s="329" t="s">
        <v>56</v>
      </c>
      <c r="C4" s="330" t="s">
        <v>57</v>
      </c>
      <c r="D4" s="330" t="s">
        <v>27</v>
      </c>
      <c r="E4" s="331" t="s">
        <v>249</v>
      </c>
      <c r="F4" s="332">
        <v>9.4700000000000006</v>
      </c>
      <c r="G4" s="332" t="s">
        <v>250</v>
      </c>
      <c r="H4" s="332">
        <v>-3.21</v>
      </c>
      <c r="I4" s="332" t="s">
        <v>251</v>
      </c>
      <c r="J4" s="332" t="s">
        <v>59</v>
      </c>
      <c r="K4" s="332" t="s">
        <v>55</v>
      </c>
      <c r="L4" s="332" t="s">
        <v>30</v>
      </c>
      <c r="M4" s="332">
        <v>4.99</v>
      </c>
      <c r="N4" s="406"/>
      <c r="O4" s="426" t="str">
        <f t="shared" si="0"/>
        <v>Industria de Di</v>
      </c>
      <c r="P4" s="426">
        <f t="shared" si="1"/>
        <v>83</v>
      </c>
      <c r="Q4" s="426">
        <f t="shared" si="2"/>
        <v>4.57</v>
      </c>
      <c r="R4" s="427">
        <f t="shared" si="3"/>
        <v>-1.62</v>
      </c>
    </row>
    <row r="5" spans="1:18" ht="15.9" customHeight="1" thickBot="1" x14ac:dyDescent="0.35">
      <c r="A5" s="322">
        <v>2</v>
      </c>
      <c r="B5" s="334" t="s">
        <v>150</v>
      </c>
      <c r="C5" s="335" t="s">
        <v>151</v>
      </c>
      <c r="D5" s="335" t="s">
        <v>19</v>
      </c>
      <c r="E5" s="336" t="s">
        <v>252</v>
      </c>
      <c r="F5" s="337">
        <v>4.1500000000000004</v>
      </c>
      <c r="G5" s="337" t="s">
        <v>250</v>
      </c>
      <c r="H5" s="337">
        <v>-3.3</v>
      </c>
      <c r="I5" s="337" t="s">
        <v>251</v>
      </c>
      <c r="J5" s="337" t="s">
        <v>154</v>
      </c>
      <c r="K5" s="337" t="s">
        <v>156</v>
      </c>
      <c r="L5" s="337">
        <v>97</v>
      </c>
      <c r="M5" s="337">
        <v>1.26</v>
      </c>
      <c r="N5" s="409"/>
      <c r="O5" s="428" t="str">
        <f t="shared" si="0"/>
        <v>SAP SE</v>
      </c>
      <c r="P5" s="428">
        <f t="shared" si="1"/>
        <v>80</v>
      </c>
      <c r="Q5" s="428">
        <f t="shared" si="2"/>
        <v>5.34</v>
      </c>
      <c r="R5" s="429">
        <f t="shared" si="3"/>
        <v>-3.14</v>
      </c>
    </row>
    <row r="6" spans="1:18" ht="15.9" customHeight="1" thickBot="1" x14ac:dyDescent="0.35">
      <c r="A6" s="321">
        <v>3</v>
      </c>
      <c r="B6" s="342" t="s">
        <v>198</v>
      </c>
      <c r="C6" s="343" t="s">
        <v>199</v>
      </c>
      <c r="D6" s="343" t="s">
        <v>27</v>
      </c>
      <c r="E6" s="344" t="s">
        <v>253</v>
      </c>
      <c r="F6" s="345">
        <v>4.57</v>
      </c>
      <c r="G6" s="345" t="s">
        <v>250</v>
      </c>
      <c r="H6" s="345">
        <v>-1.62</v>
      </c>
      <c r="I6" s="345" t="s">
        <v>254</v>
      </c>
      <c r="J6" s="345" t="s">
        <v>201</v>
      </c>
      <c r="K6" s="345" t="s">
        <v>203</v>
      </c>
      <c r="L6" s="345">
        <v>23</v>
      </c>
      <c r="M6" s="345">
        <v>1.54</v>
      </c>
      <c r="N6" s="412"/>
      <c r="O6" s="430" t="str">
        <f t="shared" si="0"/>
        <v>Rio Tinto Group</v>
      </c>
      <c r="P6" s="430">
        <f t="shared" si="1"/>
        <v>78</v>
      </c>
      <c r="Q6" s="430">
        <f t="shared" si="2"/>
        <v>3.45</v>
      </c>
      <c r="R6" s="431">
        <f t="shared" si="3"/>
        <v>-2.93</v>
      </c>
    </row>
    <row r="7" spans="1:18" ht="15.9" customHeight="1" thickBot="1" x14ac:dyDescent="0.35">
      <c r="A7" s="322">
        <v>4</v>
      </c>
      <c r="B7" s="334" t="s">
        <v>17</v>
      </c>
      <c r="C7" s="335" t="s">
        <v>18</v>
      </c>
      <c r="D7" s="335" t="s">
        <v>19</v>
      </c>
      <c r="E7" s="336" t="s">
        <v>255</v>
      </c>
      <c r="F7" s="337">
        <v>5.34</v>
      </c>
      <c r="G7" s="337" t="s">
        <v>250</v>
      </c>
      <c r="H7" s="337">
        <v>-3.14</v>
      </c>
      <c r="I7" s="337" t="s">
        <v>251</v>
      </c>
      <c r="J7" s="337" t="s">
        <v>22</v>
      </c>
      <c r="K7" s="337" t="s">
        <v>179</v>
      </c>
      <c r="L7" s="337">
        <v>22</v>
      </c>
      <c r="M7" s="337">
        <v>1.1599999999999999</v>
      </c>
      <c r="N7" s="409"/>
      <c r="O7" s="428" t="str">
        <f t="shared" si="0"/>
        <v>L'Oréal S.A.</v>
      </c>
      <c r="P7" s="428">
        <f t="shared" si="1"/>
        <v>72</v>
      </c>
      <c r="Q7" s="428">
        <f t="shared" si="2"/>
        <v>3.38</v>
      </c>
      <c r="R7" s="429">
        <f t="shared" si="3"/>
        <v>-3.16</v>
      </c>
    </row>
    <row r="8" spans="1:18" ht="15.9" customHeight="1" thickBot="1" x14ac:dyDescent="0.35">
      <c r="A8" s="321">
        <v>5</v>
      </c>
      <c r="B8" s="342" t="s">
        <v>110</v>
      </c>
      <c r="C8" s="343" t="s">
        <v>111</v>
      </c>
      <c r="D8" s="343" t="s">
        <v>112</v>
      </c>
      <c r="E8" s="344" t="s">
        <v>172</v>
      </c>
      <c r="F8" s="345">
        <v>3.45</v>
      </c>
      <c r="G8" s="345" t="s">
        <v>250</v>
      </c>
      <c r="H8" s="345">
        <v>-2.93</v>
      </c>
      <c r="I8" s="345" t="s">
        <v>251</v>
      </c>
      <c r="J8" s="345" t="s">
        <v>115</v>
      </c>
      <c r="K8" s="345" t="s">
        <v>184</v>
      </c>
      <c r="L8" s="345">
        <v>9</v>
      </c>
      <c r="M8" s="345">
        <v>1.44</v>
      </c>
      <c r="N8" s="412"/>
      <c r="O8" s="430" t="str">
        <f t="shared" si="0"/>
        <v>LVMH Moët Henne</v>
      </c>
      <c r="P8" s="430">
        <f t="shared" si="1"/>
        <v>69</v>
      </c>
      <c r="Q8" s="430">
        <f t="shared" si="2"/>
        <v>2.88</v>
      </c>
      <c r="R8" s="431">
        <f t="shared" si="3"/>
        <v>-3.19</v>
      </c>
    </row>
    <row r="9" spans="1:18" ht="15.9" customHeight="1" thickBot="1" x14ac:dyDescent="0.35">
      <c r="A9" s="322">
        <v>6</v>
      </c>
      <c r="B9" s="334" t="s">
        <v>41</v>
      </c>
      <c r="C9" s="335" t="s">
        <v>42</v>
      </c>
      <c r="D9" s="335" t="s">
        <v>43</v>
      </c>
      <c r="E9" s="336" t="s">
        <v>28</v>
      </c>
      <c r="F9" s="337">
        <v>3.38</v>
      </c>
      <c r="G9" s="337" t="s">
        <v>250</v>
      </c>
      <c r="H9" s="337">
        <v>-3.16</v>
      </c>
      <c r="I9" s="337" t="s">
        <v>251</v>
      </c>
      <c r="J9" s="337" t="s">
        <v>46</v>
      </c>
      <c r="K9" s="337" t="s">
        <v>256</v>
      </c>
      <c r="L9" s="337">
        <v>24</v>
      </c>
      <c r="M9" s="337">
        <v>1.44</v>
      </c>
      <c r="N9" s="409"/>
      <c r="O9" s="428" t="str">
        <f t="shared" si="0"/>
        <v>RWE Aktiengesel</v>
      </c>
      <c r="P9" s="428">
        <f t="shared" si="1"/>
        <v>66</v>
      </c>
      <c r="Q9" s="428">
        <f t="shared" si="2"/>
        <v>2.35</v>
      </c>
      <c r="R9" s="429">
        <f t="shared" si="3"/>
        <v>-3.22</v>
      </c>
    </row>
    <row r="10" spans="1:18" ht="15.9" customHeight="1" thickBot="1" x14ac:dyDescent="0.35">
      <c r="A10" s="321">
        <v>7</v>
      </c>
      <c r="B10" s="342" t="s">
        <v>257</v>
      </c>
      <c r="C10" s="343" t="s">
        <v>258</v>
      </c>
      <c r="D10" s="343" t="s">
        <v>27</v>
      </c>
      <c r="E10" s="344" t="s">
        <v>259</v>
      </c>
      <c r="F10" s="345">
        <v>2.88</v>
      </c>
      <c r="G10" s="345" t="s">
        <v>260</v>
      </c>
      <c r="H10" s="345">
        <v>-3.19</v>
      </c>
      <c r="I10" s="345" t="s">
        <v>251</v>
      </c>
      <c r="J10" s="345" t="s">
        <v>261</v>
      </c>
      <c r="K10" s="345" t="s">
        <v>179</v>
      </c>
      <c r="L10" s="345">
        <v>16</v>
      </c>
      <c r="M10" s="345">
        <v>1.58</v>
      </c>
      <c r="N10" s="412"/>
      <c r="O10" s="430" t="str">
        <f t="shared" si="0"/>
        <v>Shell plc</v>
      </c>
      <c r="P10" s="430">
        <f t="shared" si="1"/>
        <v>61</v>
      </c>
      <c r="Q10" s="430">
        <f t="shared" si="2"/>
        <v>3.35</v>
      </c>
      <c r="R10" s="431">
        <f t="shared" si="3"/>
        <v>-3.05</v>
      </c>
    </row>
    <row r="11" spans="1:18" ht="15.9" customHeight="1" thickBot="1" x14ac:dyDescent="0.35">
      <c r="A11" s="322">
        <v>8</v>
      </c>
      <c r="B11" s="334" t="s">
        <v>91</v>
      </c>
      <c r="C11" s="335" t="s">
        <v>92</v>
      </c>
      <c r="D11" s="335" t="s">
        <v>93</v>
      </c>
      <c r="E11" s="336" t="s">
        <v>44</v>
      </c>
      <c r="F11" s="337">
        <v>2.35</v>
      </c>
      <c r="G11" s="337" t="s">
        <v>260</v>
      </c>
      <c r="H11" s="337">
        <v>-3.22</v>
      </c>
      <c r="I11" s="337" t="s">
        <v>251</v>
      </c>
      <c r="J11" s="337" t="s">
        <v>94</v>
      </c>
      <c r="K11" s="337" t="s">
        <v>262</v>
      </c>
      <c r="L11" s="337">
        <v>7</v>
      </c>
      <c r="M11" s="337">
        <v>1.5</v>
      </c>
      <c r="N11" s="409"/>
      <c r="O11" s="428" t="str">
        <f t="shared" si="0"/>
        <v>Prosus N.V.</v>
      </c>
      <c r="P11" s="428">
        <f t="shared" si="1"/>
        <v>59</v>
      </c>
      <c r="Q11" s="428">
        <f t="shared" si="2"/>
        <v>8.7200000000000006</v>
      </c>
      <c r="R11" s="429">
        <f t="shared" si="3"/>
        <v>-3.26</v>
      </c>
    </row>
    <row r="12" spans="1:18" ht="15.9" customHeight="1" thickBot="1" x14ac:dyDescent="0.35">
      <c r="A12" s="321">
        <v>9</v>
      </c>
      <c r="B12" s="342" t="s">
        <v>263</v>
      </c>
      <c r="C12" s="343" t="s">
        <v>264</v>
      </c>
      <c r="D12" s="343" t="s">
        <v>64</v>
      </c>
      <c r="E12" s="344" t="s">
        <v>232</v>
      </c>
      <c r="F12" s="345">
        <v>3.35</v>
      </c>
      <c r="G12" s="345" t="s">
        <v>250</v>
      </c>
      <c r="H12" s="345">
        <v>-3.05</v>
      </c>
      <c r="I12" s="345" t="s">
        <v>251</v>
      </c>
      <c r="J12" s="345" t="s">
        <v>265</v>
      </c>
      <c r="K12" s="345" t="s">
        <v>266</v>
      </c>
      <c r="L12" s="345">
        <v>7</v>
      </c>
      <c r="M12" s="345">
        <v>1.3</v>
      </c>
      <c r="N12" s="412"/>
      <c r="O12" s="430"/>
      <c r="P12" s="430"/>
      <c r="Q12" s="430"/>
      <c r="R12" s="431"/>
    </row>
    <row r="13" spans="1:18" ht="15.9" customHeight="1" thickBot="1" x14ac:dyDescent="0.35">
      <c r="A13" s="322">
        <v>10</v>
      </c>
      <c r="B13" s="334" t="s">
        <v>25</v>
      </c>
      <c r="C13" s="335" t="s">
        <v>26</v>
      </c>
      <c r="D13" s="335" t="s">
        <v>27</v>
      </c>
      <c r="E13" s="336" t="s">
        <v>65</v>
      </c>
      <c r="F13" s="337">
        <v>8.7200000000000006</v>
      </c>
      <c r="G13" s="337" t="s">
        <v>250</v>
      </c>
      <c r="H13" s="337">
        <v>-3.26</v>
      </c>
      <c r="I13" s="337" t="s">
        <v>251</v>
      </c>
      <c r="J13" s="337" t="s">
        <v>30</v>
      </c>
      <c r="K13" s="337" t="s">
        <v>206</v>
      </c>
      <c r="L13" s="337">
        <v>24</v>
      </c>
      <c r="M13" s="337">
        <v>3.54</v>
      </c>
      <c r="N13" s="409"/>
      <c r="O13" s="428"/>
      <c r="P13" s="428"/>
      <c r="Q13" s="428"/>
      <c r="R13" s="429"/>
    </row>
    <row r="14" spans="1:18" ht="15.9" customHeight="1" thickBot="1" x14ac:dyDescent="0.35">
      <c r="A14" s="321">
        <v>11</v>
      </c>
      <c r="B14" s="342" t="s">
        <v>267</v>
      </c>
      <c r="C14" s="343" t="s">
        <v>268</v>
      </c>
      <c r="D14" s="343" t="s">
        <v>19</v>
      </c>
      <c r="E14" s="344" t="s">
        <v>65</v>
      </c>
      <c r="F14" s="345">
        <v>3.37</v>
      </c>
      <c r="G14" s="345" t="s">
        <v>250</v>
      </c>
      <c r="H14" s="345">
        <v>-2.99</v>
      </c>
      <c r="I14" s="345" t="s">
        <v>251</v>
      </c>
      <c r="J14" s="345" t="s">
        <v>269</v>
      </c>
      <c r="K14" s="345" t="s">
        <v>204</v>
      </c>
      <c r="L14" s="345">
        <v>7</v>
      </c>
      <c r="M14" s="345">
        <v>1.7</v>
      </c>
      <c r="N14" s="412"/>
      <c r="O14" s="430"/>
      <c r="P14" s="430"/>
      <c r="Q14" s="430"/>
      <c r="R14" s="431"/>
    </row>
    <row r="15" spans="1:18" ht="15.9" customHeight="1" thickBot="1" x14ac:dyDescent="0.35">
      <c r="A15" s="322">
        <v>12</v>
      </c>
      <c r="B15" s="334" t="s">
        <v>270</v>
      </c>
      <c r="C15" s="335" t="s">
        <v>271</v>
      </c>
      <c r="D15" s="335" t="s">
        <v>112</v>
      </c>
      <c r="E15" s="336" t="s">
        <v>272</v>
      </c>
      <c r="F15" s="337">
        <v>3.26</v>
      </c>
      <c r="G15" s="337" t="s">
        <v>250</v>
      </c>
      <c r="H15" s="337">
        <v>-3.19</v>
      </c>
      <c r="I15" s="337" t="s">
        <v>251</v>
      </c>
      <c r="J15" s="337" t="s">
        <v>273</v>
      </c>
      <c r="K15" s="337" t="s">
        <v>274</v>
      </c>
      <c r="L15" s="337">
        <v>60</v>
      </c>
      <c r="M15" s="337">
        <v>1.17</v>
      </c>
      <c r="N15" s="409"/>
      <c r="O15" s="428"/>
      <c r="P15" s="428"/>
      <c r="Q15" s="428"/>
      <c r="R15" s="429"/>
    </row>
    <row r="16" spans="1:18" ht="15.9" customHeight="1" thickBot="1" x14ac:dyDescent="0.35">
      <c r="A16" s="321">
        <v>13</v>
      </c>
      <c r="B16" s="342" t="s">
        <v>275</v>
      </c>
      <c r="C16" s="343" t="s">
        <v>276</v>
      </c>
      <c r="D16" s="343" t="s">
        <v>19</v>
      </c>
      <c r="E16" s="344" t="s">
        <v>277</v>
      </c>
      <c r="F16" s="345">
        <v>2.7</v>
      </c>
      <c r="G16" s="345" t="s">
        <v>260</v>
      </c>
      <c r="H16" s="345">
        <v>-3.05</v>
      </c>
      <c r="I16" s="345" t="s">
        <v>251</v>
      </c>
      <c r="J16" s="345" t="s">
        <v>278</v>
      </c>
      <c r="K16" s="345" t="s">
        <v>108</v>
      </c>
      <c r="L16" s="345">
        <v>5</v>
      </c>
      <c r="M16" s="345">
        <v>1.58</v>
      </c>
      <c r="N16" s="412"/>
      <c r="O16" s="430"/>
      <c r="P16" s="430"/>
      <c r="Q16" s="430"/>
      <c r="R16" s="431"/>
    </row>
    <row r="17" spans="1:18" ht="15.9" customHeight="1" thickBot="1" x14ac:dyDescent="0.35">
      <c r="A17" s="322">
        <v>14</v>
      </c>
      <c r="B17" s="334" t="s">
        <v>230</v>
      </c>
      <c r="C17" s="335" t="s">
        <v>231</v>
      </c>
      <c r="D17" s="335" t="s">
        <v>27</v>
      </c>
      <c r="E17" s="336" t="s">
        <v>279</v>
      </c>
      <c r="F17" s="337">
        <v>2.97</v>
      </c>
      <c r="G17" s="337" t="s">
        <v>250</v>
      </c>
      <c r="H17" s="337">
        <v>-3.04</v>
      </c>
      <c r="I17" s="337" t="s">
        <v>251</v>
      </c>
      <c r="J17" s="337" t="s">
        <v>234</v>
      </c>
      <c r="K17" s="337" t="s">
        <v>236</v>
      </c>
      <c r="L17" s="337">
        <v>9</v>
      </c>
      <c r="M17" s="337">
        <v>1.32</v>
      </c>
      <c r="N17" s="409"/>
      <c r="O17" s="428"/>
      <c r="P17" s="428"/>
      <c r="Q17" s="428"/>
      <c r="R17" s="429"/>
    </row>
    <row r="18" spans="1:18" ht="15.9" customHeight="1" x14ac:dyDescent="0.3">
      <c r="A18" s="323">
        <v>15</v>
      </c>
      <c r="B18" s="338" t="s">
        <v>159</v>
      </c>
      <c r="C18" s="339" t="s">
        <v>160</v>
      </c>
      <c r="D18" s="339" t="s">
        <v>35</v>
      </c>
      <c r="E18" s="340" t="s">
        <v>280</v>
      </c>
      <c r="F18" s="341">
        <v>1.81</v>
      </c>
      <c r="G18" s="341" t="s">
        <v>260</v>
      </c>
      <c r="H18" s="341">
        <v>-2.92</v>
      </c>
      <c r="I18" s="341" t="s">
        <v>251</v>
      </c>
      <c r="J18" s="341" t="s">
        <v>163</v>
      </c>
      <c r="K18" s="341" t="s">
        <v>165</v>
      </c>
      <c r="L18" s="341">
        <v>9</v>
      </c>
      <c r="M18" s="341">
        <v>0.94</v>
      </c>
      <c r="N18" s="418"/>
      <c r="O18" s="432"/>
      <c r="P18" s="432"/>
      <c r="Q18" s="432"/>
      <c r="R18" s="433"/>
    </row>
    <row r="19" spans="1:18" ht="15.9" customHeight="1" x14ac:dyDescent="0.3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</row>
    <row r="20" spans="1:18" ht="6" customHeight="1" x14ac:dyDescent="0.3">
      <c r="A20" s="108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9"/>
    </row>
    <row r="21" spans="1:18" ht="15.9" customHeight="1" x14ac:dyDescent="0.3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</row>
    <row r="22" spans="1:18" ht="15.9" customHeight="1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</row>
    <row r="23" spans="1:18" ht="13.95" customHeight="1" x14ac:dyDescent="0.3"/>
    <row r="24" spans="1:18" ht="13.95" customHeight="1" x14ac:dyDescent="0.3"/>
    <row r="25" spans="1:18" ht="13.95" customHeight="1" x14ac:dyDescent="0.3"/>
    <row r="26" spans="1:18" ht="13.95" customHeight="1" x14ac:dyDescent="0.3"/>
    <row r="27" spans="1:18" ht="13.95" customHeight="1" x14ac:dyDescent="0.3"/>
    <row r="28" spans="1:18" ht="13.95" customHeight="1" x14ac:dyDescent="0.3"/>
    <row r="29" spans="1:18" ht="13.95" customHeight="1" x14ac:dyDescent="0.3"/>
    <row r="30" spans="1:18" ht="13.95" customHeight="1" x14ac:dyDescent="0.3"/>
    <row r="31" spans="1:18" ht="13.95" customHeight="1" x14ac:dyDescent="0.3"/>
    <row r="32" spans="1:18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4" ht="16.2" customHeight="1" x14ac:dyDescent="0.3"/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4"/>
  <sheetViews>
    <sheetView showGridLines="0" zoomScale="90" workbookViewId="0">
      <selection activeCell="A2" sqref="A2"/>
    </sheetView>
  </sheetViews>
  <sheetFormatPr baseColWidth="10" defaultColWidth="8.88671875" defaultRowHeight="14.4" x14ac:dyDescent="0.3"/>
  <cols>
    <col min="1" max="1" width="5.33203125" customWidth="1"/>
    <col min="2" max="2" width="9.109375" customWidth="1"/>
    <col min="3" max="3" width="26.6640625" customWidth="1"/>
    <col min="4" max="4" width="15.33203125" customWidth="1"/>
    <col min="5" max="5" width="9.109375" customWidth="1"/>
    <col min="6" max="9" width="12.44140625" customWidth="1"/>
    <col min="10" max="10" width="15.33203125" customWidth="1"/>
    <col min="11" max="11" width="12.44140625" customWidth="1"/>
    <col min="15" max="16" width="8.88671875" style="160" customWidth="1"/>
  </cols>
  <sheetData>
    <row r="1" spans="1:18" ht="32.1" customHeight="1" thickBot="1" x14ac:dyDescent="0.35">
      <c r="A1" s="102" t="s">
        <v>281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O1" s="160" t="s">
        <v>1</v>
      </c>
      <c r="P1" s="160" t="s">
        <v>282</v>
      </c>
    </row>
    <row r="2" spans="1:18" x14ac:dyDescent="0.3">
      <c r="A2" s="22" t="s">
        <v>4</v>
      </c>
      <c r="B2" s="22"/>
      <c r="C2" s="22"/>
      <c r="D2" s="22"/>
      <c r="E2" s="22"/>
      <c r="F2" s="22"/>
      <c r="G2" s="22"/>
      <c r="H2" s="22"/>
      <c r="I2" s="22"/>
      <c r="J2" s="22"/>
      <c r="K2" s="22"/>
      <c r="O2" s="160" t="str">
        <f t="shared" ref="O2:O11" si="0">IF(B4&lt;&gt;"—",LEFT(C4,18),"—")</f>
        <v>Eni S.p.A.</v>
      </c>
      <c r="P2" s="160">
        <f t="shared" ref="P2:P11" si="1">IF(E4&lt;&gt;"—",VALUE(LEFT(E4,FIND("/",E4)-1)),"")</f>
        <v>100</v>
      </c>
    </row>
    <row r="3" spans="1:18" ht="18" customHeight="1" thickBot="1" x14ac:dyDescent="0.35">
      <c r="A3" s="351" t="s">
        <v>5</v>
      </c>
      <c r="B3" s="352" t="s">
        <v>6</v>
      </c>
      <c r="C3" s="353" t="s">
        <v>1</v>
      </c>
      <c r="D3" s="353" t="s">
        <v>7</v>
      </c>
      <c r="E3" s="354" t="s">
        <v>8</v>
      </c>
      <c r="F3" s="354" t="s">
        <v>283</v>
      </c>
      <c r="G3" s="354" t="s">
        <v>284</v>
      </c>
      <c r="H3" s="354" t="s">
        <v>285</v>
      </c>
      <c r="I3" s="354" t="s">
        <v>2</v>
      </c>
      <c r="J3" s="354" t="s">
        <v>286</v>
      </c>
      <c r="K3" s="354" t="s">
        <v>3</v>
      </c>
      <c r="L3" s="346"/>
      <c r="M3" s="346"/>
      <c r="N3" s="346"/>
      <c r="O3" s="324" t="str">
        <f t="shared" si="0"/>
        <v>ASML Holding N.V.</v>
      </c>
      <c r="P3" s="325">
        <f t="shared" si="1"/>
        <v>98</v>
      </c>
    </row>
    <row r="4" spans="1:18" ht="15.9" customHeight="1" thickBot="1" x14ac:dyDescent="0.35">
      <c r="A4" s="321">
        <v>1</v>
      </c>
      <c r="B4" s="329" t="s">
        <v>287</v>
      </c>
      <c r="C4" s="330" t="s">
        <v>288</v>
      </c>
      <c r="D4" s="330" t="s">
        <v>64</v>
      </c>
      <c r="E4" s="331" t="s">
        <v>289</v>
      </c>
      <c r="F4" s="332" t="s">
        <v>290</v>
      </c>
      <c r="G4" s="332">
        <v>23.95</v>
      </c>
      <c r="H4" s="332" t="s">
        <v>30</v>
      </c>
      <c r="I4" s="332">
        <v>22</v>
      </c>
      <c r="J4" s="332" t="s">
        <v>291</v>
      </c>
      <c r="K4" s="332" t="s">
        <v>171</v>
      </c>
      <c r="L4" s="406"/>
      <c r="M4" s="406"/>
      <c r="N4" s="406"/>
      <c r="O4" s="426" t="str">
        <f t="shared" si="0"/>
        <v>RWE Aktiengesellsc</v>
      </c>
      <c r="P4" s="427">
        <f t="shared" si="1"/>
        <v>96</v>
      </c>
    </row>
    <row r="5" spans="1:18" ht="15.9" customHeight="1" thickBot="1" x14ac:dyDescent="0.35">
      <c r="A5" s="322">
        <v>2</v>
      </c>
      <c r="B5" s="334" t="s">
        <v>150</v>
      </c>
      <c r="C5" s="335" t="s">
        <v>151</v>
      </c>
      <c r="D5" s="335" t="s">
        <v>19</v>
      </c>
      <c r="E5" s="336" t="s">
        <v>292</v>
      </c>
      <c r="F5" s="337" t="s">
        <v>293</v>
      </c>
      <c r="G5" s="337">
        <v>1270</v>
      </c>
      <c r="H5" s="337" t="s">
        <v>30</v>
      </c>
      <c r="I5" s="337">
        <v>75</v>
      </c>
      <c r="J5" s="337" t="s">
        <v>294</v>
      </c>
      <c r="K5" s="337" t="s">
        <v>158</v>
      </c>
      <c r="L5" s="409"/>
      <c r="M5" s="409"/>
      <c r="N5" s="409"/>
      <c r="O5" s="428" t="str">
        <f t="shared" si="0"/>
        <v>Nokia Oyj</v>
      </c>
      <c r="P5" s="429">
        <f t="shared" si="1"/>
        <v>94</v>
      </c>
    </row>
    <row r="6" spans="1:18" ht="15.9" customHeight="1" thickBot="1" x14ac:dyDescent="0.35">
      <c r="A6" s="321">
        <v>3</v>
      </c>
      <c r="B6" s="342" t="s">
        <v>91</v>
      </c>
      <c r="C6" s="343" t="s">
        <v>92</v>
      </c>
      <c r="D6" s="343" t="s">
        <v>93</v>
      </c>
      <c r="E6" s="344" t="s">
        <v>295</v>
      </c>
      <c r="F6" s="345" t="s">
        <v>296</v>
      </c>
      <c r="G6" s="345">
        <v>59.04</v>
      </c>
      <c r="H6" s="345">
        <v>42.1</v>
      </c>
      <c r="I6" s="345">
        <v>60</v>
      </c>
      <c r="J6" s="345" t="s">
        <v>297</v>
      </c>
      <c r="K6" s="345" t="s">
        <v>171</v>
      </c>
      <c r="L6" s="412"/>
      <c r="M6" s="412"/>
      <c r="N6" s="412"/>
      <c r="O6" s="430" t="str">
        <f t="shared" si="0"/>
        <v>Rio Tinto Group</v>
      </c>
      <c r="P6" s="431">
        <f t="shared" si="1"/>
        <v>91</v>
      </c>
    </row>
    <row r="7" spans="1:18" ht="15.9" customHeight="1" thickBot="1" x14ac:dyDescent="0.35">
      <c r="A7" s="322">
        <v>4</v>
      </c>
      <c r="B7" s="334" t="s">
        <v>275</v>
      </c>
      <c r="C7" s="335" t="s">
        <v>276</v>
      </c>
      <c r="D7" s="335" t="s">
        <v>19</v>
      </c>
      <c r="E7" s="336" t="s">
        <v>298</v>
      </c>
      <c r="F7" s="337" t="s">
        <v>299</v>
      </c>
      <c r="G7" s="337">
        <v>8.0299999999999994</v>
      </c>
      <c r="H7" s="337" t="s">
        <v>30</v>
      </c>
      <c r="I7" s="337">
        <v>46</v>
      </c>
      <c r="J7" s="337" t="s">
        <v>300</v>
      </c>
      <c r="K7" s="337" t="s">
        <v>171</v>
      </c>
      <c r="L7" s="409"/>
      <c r="M7" s="409"/>
      <c r="N7" s="409"/>
      <c r="O7" s="428" t="str">
        <f t="shared" si="0"/>
        <v>Kering SA</v>
      </c>
      <c r="P7" s="429">
        <f t="shared" si="1"/>
        <v>89</v>
      </c>
    </row>
    <row r="8" spans="1:18" ht="15.9" customHeight="1" thickBot="1" x14ac:dyDescent="0.35">
      <c r="A8" s="321">
        <v>5</v>
      </c>
      <c r="B8" s="342" t="s">
        <v>110</v>
      </c>
      <c r="C8" s="343" t="s">
        <v>111</v>
      </c>
      <c r="D8" s="343" t="s">
        <v>112</v>
      </c>
      <c r="E8" s="344" t="s">
        <v>301</v>
      </c>
      <c r="F8" s="345" t="s">
        <v>302</v>
      </c>
      <c r="G8" s="345">
        <v>7345</v>
      </c>
      <c r="H8" s="345">
        <v>9214.1</v>
      </c>
      <c r="I8" s="345">
        <v>70</v>
      </c>
      <c r="J8" s="345" t="s">
        <v>30</v>
      </c>
      <c r="K8" s="345" t="s">
        <v>158</v>
      </c>
      <c r="L8" s="412"/>
      <c r="M8" s="412"/>
      <c r="N8" s="412"/>
      <c r="O8" s="430" t="str">
        <f t="shared" si="0"/>
        <v>Bayer Aktiengesell</v>
      </c>
      <c r="P8" s="431">
        <f t="shared" si="1"/>
        <v>87</v>
      </c>
    </row>
    <row r="9" spans="1:18" ht="15.9" customHeight="1" thickBot="1" x14ac:dyDescent="0.35">
      <c r="A9" s="322">
        <v>6</v>
      </c>
      <c r="B9" s="334" t="s">
        <v>303</v>
      </c>
      <c r="C9" s="335" t="s">
        <v>304</v>
      </c>
      <c r="D9" s="335" t="s">
        <v>27</v>
      </c>
      <c r="E9" s="336" t="s">
        <v>305</v>
      </c>
      <c r="F9" s="337" t="s">
        <v>306</v>
      </c>
      <c r="G9" s="337">
        <v>276.45</v>
      </c>
      <c r="H9" s="337" t="s">
        <v>30</v>
      </c>
      <c r="I9" s="337">
        <v>37</v>
      </c>
      <c r="J9" s="337" t="s">
        <v>30</v>
      </c>
      <c r="K9" s="337" t="s">
        <v>158</v>
      </c>
      <c r="L9" s="409"/>
      <c r="M9" s="409"/>
      <c r="N9" s="409"/>
      <c r="O9" s="428" t="str">
        <f t="shared" si="0"/>
        <v>TotalEnergies SE</v>
      </c>
      <c r="P9" s="429">
        <f t="shared" si="1"/>
        <v>85</v>
      </c>
    </row>
    <row r="10" spans="1:18" ht="15.9" customHeight="1" thickBot="1" x14ac:dyDescent="0.35">
      <c r="A10" s="321">
        <v>7</v>
      </c>
      <c r="B10" s="342" t="s">
        <v>307</v>
      </c>
      <c r="C10" s="343" t="s">
        <v>308</v>
      </c>
      <c r="D10" s="343" t="s">
        <v>35</v>
      </c>
      <c r="E10" s="344" t="s">
        <v>161</v>
      </c>
      <c r="F10" s="345" t="s">
        <v>309</v>
      </c>
      <c r="G10" s="345">
        <v>40.119999999999997</v>
      </c>
      <c r="H10" s="345" t="s">
        <v>30</v>
      </c>
      <c r="I10" s="345">
        <v>25</v>
      </c>
      <c r="J10" s="345" t="s">
        <v>310</v>
      </c>
      <c r="K10" s="345" t="s">
        <v>171</v>
      </c>
      <c r="L10" s="412"/>
      <c r="M10" s="412"/>
      <c r="N10" s="412"/>
      <c r="O10" s="430" t="str">
        <f t="shared" si="0"/>
        <v>BP p.l.c.</v>
      </c>
      <c r="P10" s="431">
        <f t="shared" si="1"/>
        <v>83</v>
      </c>
    </row>
    <row r="11" spans="1:18" ht="15.9" customHeight="1" thickBot="1" x14ac:dyDescent="0.35">
      <c r="A11" s="322">
        <v>8</v>
      </c>
      <c r="B11" s="334" t="s">
        <v>62</v>
      </c>
      <c r="C11" s="335" t="s">
        <v>63</v>
      </c>
      <c r="D11" s="335" t="s">
        <v>64</v>
      </c>
      <c r="E11" s="336" t="s">
        <v>311</v>
      </c>
      <c r="F11" s="337" t="s">
        <v>312</v>
      </c>
      <c r="G11" s="337">
        <v>78.61</v>
      </c>
      <c r="H11" s="337">
        <v>167.7</v>
      </c>
      <c r="I11" s="337">
        <v>40</v>
      </c>
      <c r="J11" s="337" t="s">
        <v>313</v>
      </c>
      <c r="K11" s="337" t="s">
        <v>158</v>
      </c>
      <c r="L11" s="409"/>
      <c r="M11" s="409"/>
      <c r="N11" s="409"/>
      <c r="O11" s="428" t="str">
        <f t="shared" si="0"/>
        <v>Société Générale S</v>
      </c>
      <c r="P11" s="429">
        <f t="shared" si="1"/>
        <v>81</v>
      </c>
    </row>
    <row r="12" spans="1:18" ht="15.9" customHeight="1" thickBot="1" x14ac:dyDescent="0.35">
      <c r="A12" s="321">
        <v>9</v>
      </c>
      <c r="B12" s="342" t="s">
        <v>314</v>
      </c>
      <c r="C12" s="343" t="s">
        <v>315</v>
      </c>
      <c r="D12" s="343" t="s">
        <v>64</v>
      </c>
      <c r="E12" s="344" t="s">
        <v>253</v>
      </c>
      <c r="F12" s="345" t="s">
        <v>316</v>
      </c>
      <c r="G12" s="345">
        <v>574.1</v>
      </c>
      <c r="H12" s="345">
        <v>8869.1</v>
      </c>
      <c r="I12" s="345">
        <v>38</v>
      </c>
      <c r="J12" s="345" t="s">
        <v>317</v>
      </c>
      <c r="K12" s="345" t="s">
        <v>171</v>
      </c>
      <c r="L12" s="412"/>
      <c r="M12" s="412"/>
      <c r="N12" s="412"/>
      <c r="O12" s="430"/>
      <c r="P12" s="431"/>
    </row>
    <row r="13" spans="1:18" ht="15.9" customHeight="1" thickBot="1" x14ac:dyDescent="0.35">
      <c r="A13" s="322">
        <v>10</v>
      </c>
      <c r="B13" s="334" t="s">
        <v>208</v>
      </c>
      <c r="C13" s="335" t="s">
        <v>209</v>
      </c>
      <c r="D13" s="335" t="s">
        <v>99</v>
      </c>
      <c r="E13" s="336" t="s">
        <v>167</v>
      </c>
      <c r="F13" s="337" t="s">
        <v>318</v>
      </c>
      <c r="G13" s="337">
        <v>71.400000000000006</v>
      </c>
      <c r="H13" s="337" t="s">
        <v>30</v>
      </c>
      <c r="I13" s="337">
        <v>47</v>
      </c>
      <c r="J13" s="337" t="s">
        <v>319</v>
      </c>
      <c r="K13" s="337" t="s">
        <v>171</v>
      </c>
      <c r="L13" s="409"/>
      <c r="M13" s="409"/>
      <c r="N13" s="409"/>
      <c r="O13" s="428"/>
      <c r="P13" s="429"/>
    </row>
    <row r="14" spans="1:18" ht="15.9" customHeight="1" thickBot="1" x14ac:dyDescent="0.35">
      <c r="A14" s="321">
        <v>11</v>
      </c>
      <c r="B14" s="342" t="s">
        <v>320</v>
      </c>
      <c r="C14" s="343" t="s">
        <v>321</v>
      </c>
      <c r="D14" s="343" t="s">
        <v>99</v>
      </c>
      <c r="E14" s="344" t="s">
        <v>322</v>
      </c>
      <c r="F14" s="345" t="s">
        <v>323</v>
      </c>
      <c r="G14" s="345">
        <v>1340.2</v>
      </c>
      <c r="H14" s="345">
        <v>22982</v>
      </c>
      <c r="I14" s="345">
        <v>39</v>
      </c>
      <c r="J14" s="345" t="s">
        <v>324</v>
      </c>
      <c r="K14" s="345" t="s">
        <v>171</v>
      </c>
      <c r="L14" s="412"/>
      <c r="M14" s="412"/>
      <c r="N14" s="412"/>
      <c r="O14" s="430"/>
      <c r="P14" s="431"/>
    </row>
    <row r="15" spans="1:18" ht="15.9" customHeight="1" thickBot="1" x14ac:dyDescent="0.35">
      <c r="A15" s="322">
        <v>12</v>
      </c>
      <c r="B15" s="334" t="s">
        <v>325</v>
      </c>
      <c r="C15" s="335" t="s">
        <v>326</v>
      </c>
      <c r="D15" s="335" t="s">
        <v>93</v>
      </c>
      <c r="E15" s="336" t="s">
        <v>181</v>
      </c>
      <c r="F15" s="337" t="s">
        <v>327</v>
      </c>
      <c r="G15" s="337">
        <v>29.13</v>
      </c>
      <c r="H15" s="337" t="s">
        <v>30</v>
      </c>
      <c r="I15" s="337">
        <v>31</v>
      </c>
      <c r="J15" s="337" t="s">
        <v>328</v>
      </c>
      <c r="K15" s="337" t="s">
        <v>171</v>
      </c>
      <c r="L15" s="409"/>
      <c r="M15" s="409"/>
      <c r="N15" s="409"/>
      <c r="O15" s="428"/>
      <c r="P15" s="429"/>
      <c r="R15" s="160"/>
    </row>
    <row r="16" spans="1:18" ht="15.9" customHeight="1" thickBot="1" x14ac:dyDescent="0.35">
      <c r="A16" s="321">
        <v>13</v>
      </c>
      <c r="B16" s="342" t="s">
        <v>97</v>
      </c>
      <c r="C16" s="343" t="s">
        <v>98</v>
      </c>
      <c r="D16" s="343" t="s">
        <v>99</v>
      </c>
      <c r="E16" s="344" t="s">
        <v>20</v>
      </c>
      <c r="F16" s="345" t="s">
        <v>329</v>
      </c>
      <c r="G16" s="345">
        <v>10.52</v>
      </c>
      <c r="H16" s="345">
        <v>151.6</v>
      </c>
      <c r="I16" s="345">
        <v>41</v>
      </c>
      <c r="J16" s="345" t="s">
        <v>313</v>
      </c>
      <c r="K16" s="345" t="s">
        <v>158</v>
      </c>
      <c r="L16" s="412"/>
      <c r="M16" s="412"/>
      <c r="N16" s="412"/>
      <c r="O16" s="430"/>
      <c r="P16" s="431"/>
    </row>
    <row r="17" spans="1:16" ht="15.9" customHeight="1" thickBot="1" x14ac:dyDescent="0.35">
      <c r="A17" s="322">
        <v>14</v>
      </c>
      <c r="B17" s="334" t="s">
        <v>118</v>
      </c>
      <c r="C17" s="335" t="s">
        <v>119</v>
      </c>
      <c r="D17" s="335" t="s">
        <v>35</v>
      </c>
      <c r="E17" s="336" t="s">
        <v>28</v>
      </c>
      <c r="F17" s="337" t="s">
        <v>330</v>
      </c>
      <c r="G17" s="337">
        <v>2176</v>
      </c>
      <c r="H17" s="337">
        <v>8695</v>
      </c>
      <c r="I17" s="337">
        <v>56</v>
      </c>
      <c r="J17" s="337" t="s">
        <v>313</v>
      </c>
      <c r="K17" s="337" t="s">
        <v>158</v>
      </c>
      <c r="L17" s="409"/>
      <c r="M17" s="409"/>
      <c r="N17" s="409"/>
      <c r="O17" s="428"/>
      <c r="P17" s="429"/>
    </row>
    <row r="18" spans="1:16" ht="15.9" customHeight="1" x14ac:dyDescent="0.3">
      <c r="A18" s="323">
        <v>15</v>
      </c>
      <c r="B18" s="338" t="s">
        <v>159</v>
      </c>
      <c r="C18" s="339" t="s">
        <v>160</v>
      </c>
      <c r="D18" s="339" t="s">
        <v>35</v>
      </c>
      <c r="E18" s="340" t="s">
        <v>331</v>
      </c>
      <c r="F18" s="341" t="s">
        <v>332</v>
      </c>
      <c r="G18" s="341">
        <v>15230</v>
      </c>
      <c r="H18" s="341">
        <v>23619.200000000001</v>
      </c>
      <c r="I18" s="341">
        <v>60</v>
      </c>
      <c r="J18" s="341" t="s">
        <v>313</v>
      </c>
      <c r="K18" s="341" t="s">
        <v>158</v>
      </c>
      <c r="L18" s="418"/>
      <c r="M18" s="418"/>
      <c r="N18" s="418"/>
      <c r="O18" s="432"/>
      <c r="P18" s="433"/>
    </row>
    <row r="19" spans="1:16" ht="15.9" customHeight="1" x14ac:dyDescent="0.3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</row>
    <row r="20" spans="1:16" ht="6" customHeight="1" x14ac:dyDescent="0.3">
      <c r="A20" s="108"/>
      <c r="B20" s="107"/>
      <c r="C20" s="107"/>
      <c r="D20" s="107"/>
      <c r="E20" s="107"/>
      <c r="F20" s="107"/>
      <c r="G20" s="107"/>
      <c r="H20" s="107"/>
      <c r="I20" s="107"/>
      <c r="J20" s="107"/>
      <c r="K20" s="109"/>
    </row>
    <row r="21" spans="1:16" ht="15.9" customHeight="1" x14ac:dyDescent="0.3">
      <c r="A21" s="110"/>
      <c r="B21" s="110"/>
      <c r="C21" s="111"/>
      <c r="D21" s="111"/>
      <c r="E21" s="111"/>
      <c r="F21" s="111"/>
      <c r="G21" s="111"/>
      <c r="H21" s="111"/>
      <c r="I21" s="111"/>
      <c r="J21" s="111"/>
      <c r="K21" s="111"/>
    </row>
    <row r="22" spans="1:16" ht="15.9" customHeight="1" x14ac:dyDescent="0.3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</row>
    <row r="23" spans="1:16" ht="13.95" customHeight="1" x14ac:dyDescent="0.3"/>
    <row r="24" spans="1:16" ht="13.95" customHeight="1" x14ac:dyDescent="0.3"/>
    <row r="25" spans="1:16" ht="13.95" customHeight="1" x14ac:dyDescent="0.3"/>
    <row r="26" spans="1:16" ht="13.95" customHeight="1" x14ac:dyDescent="0.3"/>
    <row r="27" spans="1:16" ht="13.95" customHeight="1" x14ac:dyDescent="0.3"/>
    <row r="28" spans="1:16" ht="13.95" customHeight="1" x14ac:dyDescent="0.3"/>
    <row r="29" spans="1:16" ht="13.95" customHeight="1" x14ac:dyDescent="0.3"/>
    <row r="30" spans="1:16" ht="13.95" customHeight="1" x14ac:dyDescent="0.3"/>
    <row r="31" spans="1:16" ht="13.95" customHeight="1" x14ac:dyDescent="0.3"/>
    <row r="32" spans="1:16" ht="13.95" customHeight="1" x14ac:dyDescent="0.3"/>
    <row r="33" ht="13.95" customHeight="1" x14ac:dyDescent="0.3"/>
    <row r="34" ht="13.95" customHeight="1" x14ac:dyDescent="0.3"/>
    <row r="35" ht="13.95" customHeight="1" x14ac:dyDescent="0.3"/>
    <row r="36" ht="13.95" customHeight="1" x14ac:dyDescent="0.3"/>
    <row r="37" ht="13.95" customHeight="1" x14ac:dyDescent="0.3"/>
    <row r="38" ht="13.95" customHeight="1" x14ac:dyDescent="0.3"/>
    <row r="39" ht="13.95" customHeight="1" x14ac:dyDescent="0.3"/>
    <row r="40" ht="13.95" customHeight="1" x14ac:dyDescent="0.3"/>
    <row r="41" ht="13.95" customHeight="1" x14ac:dyDescent="0.3"/>
    <row r="42" ht="13.95" customHeight="1" x14ac:dyDescent="0.3"/>
    <row r="44" ht="16.2" customHeight="1" x14ac:dyDescent="0.3"/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3"/>
  <sheetViews>
    <sheetView showGridLines="0" zoomScale="84" workbookViewId="0">
      <selection activeCell="I24" sqref="I24"/>
    </sheetView>
  </sheetViews>
  <sheetFormatPr baseColWidth="10" defaultColWidth="8.88671875" defaultRowHeight="14.4" x14ac:dyDescent="0.3"/>
  <cols>
    <col min="1" max="1" width="1.109375" style="220" customWidth="1"/>
    <col min="2" max="2" width="17.109375" style="220" customWidth="1"/>
    <col min="3" max="3" width="7.33203125" style="220" customWidth="1"/>
    <col min="4" max="4" width="9.5546875" style="220" customWidth="1"/>
    <col min="5" max="5" width="10.44140625" style="220" customWidth="1"/>
    <col min="6" max="6" width="24.6640625" style="220" customWidth="1"/>
    <col min="7" max="9" width="12.44140625" style="220" customWidth="1"/>
    <col min="10" max="10" width="13.6640625" style="220" customWidth="1"/>
    <col min="11" max="12" width="1.109375" style="216" customWidth="1"/>
    <col min="13" max="13" width="10.44140625" style="160" customWidth="1"/>
    <col min="14" max="16" width="1.109375" customWidth="1"/>
  </cols>
  <sheetData>
    <row r="1" spans="1:13" ht="32.1" customHeight="1" thickBot="1" x14ac:dyDescent="0.35">
      <c r="A1" s="156"/>
      <c r="B1" s="156" t="s">
        <v>333</v>
      </c>
      <c r="C1" s="156"/>
      <c r="D1" s="156"/>
      <c r="E1" s="156"/>
      <c r="F1" s="156"/>
      <c r="G1" s="156"/>
      <c r="H1" s="158" t="s">
        <v>127</v>
      </c>
      <c r="I1" s="158"/>
      <c r="J1" s="158"/>
      <c r="K1" s="160"/>
      <c r="L1" s="160" t="s">
        <v>7</v>
      </c>
      <c r="M1" s="160" t="s">
        <v>8</v>
      </c>
    </row>
    <row r="2" spans="1:13" x14ac:dyDescent="0.3">
      <c r="A2" s="22" t="s">
        <v>334</v>
      </c>
      <c r="B2" s="113"/>
      <c r="C2" s="113"/>
      <c r="D2" s="113"/>
      <c r="E2" s="113"/>
      <c r="F2" s="113"/>
      <c r="G2" s="113"/>
      <c r="H2" s="113"/>
      <c r="I2" s="113"/>
      <c r="J2" s="113"/>
      <c r="K2" s="160"/>
      <c r="L2" s="160" t="s">
        <v>19</v>
      </c>
      <c r="M2" s="160">
        <v>56</v>
      </c>
    </row>
    <row r="3" spans="1:13" ht="15.9" customHeight="1" x14ac:dyDescent="0.3">
      <c r="A3" s="157"/>
      <c r="B3" s="157" t="s">
        <v>335</v>
      </c>
      <c r="C3" s="157"/>
      <c r="D3" s="157"/>
      <c r="E3" s="157"/>
      <c r="F3" s="157"/>
      <c r="G3" s="157"/>
      <c r="H3" s="157"/>
      <c r="I3" s="157"/>
      <c r="J3" s="157"/>
      <c r="K3" s="160"/>
      <c r="L3" s="160" t="s">
        <v>112</v>
      </c>
      <c r="M3" s="160">
        <v>50</v>
      </c>
    </row>
    <row r="4" spans="1:13" ht="8.1" customHeight="1" x14ac:dyDescent="0.3">
      <c r="A4" s="5"/>
      <c r="B4" s="213"/>
      <c r="C4" s="213"/>
      <c r="D4" s="213"/>
      <c r="E4" s="213"/>
      <c r="F4" s="213"/>
      <c r="G4" s="213"/>
      <c r="H4" s="213"/>
      <c r="I4" s="213"/>
      <c r="J4" s="213"/>
      <c r="K4" s="224"/>
      <c r="L4" s="224" t="s">
        <v>35</v>
      </c>
      <c r="M4" s="160">
        <v>46</v>
      </c>
    </row>
    <row r="5" spans="1:13" ht="20.100000000000001" customHeight="1" x14ac:dyDescent="0.3">
      <c r="A5" s="115"/>
      <c r="B5" s="115" t="s">
        <v>336</v>
      </c>
      <c r="C5" s="115"/>
      <c r="D5" s="115"/>
      <c r="E5" s="115"/>
      <c r="F5" s="115"/>
      <c r="G5" s="115"/>
      <c r="H5" s="115"/>
      <c r="I5" s="115"/>
      <c r="J5" s="115"/>
      <c r="K5" s="225"/>
      <c r="L5" s="225" t="s">
        <v>72</v>
      </c>
      <c r="M5" s="160">
        <v>41</v>
      </c>
    </row>
    <row r="6" spans="1:13" ht="5.0999999999999996" customHeight="1" x14ac:dyDescent="0.3">
      <c r="A6" s="442"/>
      <c r="B6" s="60"/>
      <c r="C6" s="60"/>
      <c r="D6" s="60"/>
      <c r="E6" s="60"/>
      <c r="F6" s="60"/>
      <c r="G6" s="60"/>
      <c r="H6" s="60"/>
      <c r="I6" s="60"/>
      <c r="J6" s="60"/>
      <c r="L6" s="216" t="s">
        <v>93</v>
      </c>
      <c r="M6" s="160">
        <v>40</v>
      </c>
    </row>
    <row r="7" spans="1:13" ht="20.100000000000001" customHeight="1" x14ac:dyDescent="0.3">
      <c r="A7" s="441"/>
      <c r="B7" s="355" t="s">
        <v>7</v>
      </c>
      <c r="C7" s="350" t="s">
        <v>337</v>
      </c>
      <c r="D7" s="350" t="s">
        <v>8</v>
      </c>
      <c r="E7" s="349" t="s">
        <v>338</v>
      </c>
      <c r="F7" s="349" t="s">
        <v>339</v>
      </c>
      <c r="G7" s="350" t="s">
        <v>340</v>
      </c>
      <c r="H7" s="350" t="s">
        <v>341</v>
      </c>
      <c r="I7" s="350" t="s">
        <v>14</v>
      </c>
      <c r="J7" s="356" t="s">
        <v>3</v>
      </c>
      <c r="K7" s="160"/>
      <c r="L7" s="160" t="s">
        <v>43</v>
      </c>
      <c r="M7" s="160">
        <v>40</v>
      </c>
    </row>
    <row r="8" spans="1:13" ht="20.100000000000001" customHeight="1" x14ac:dyDescent="0.3">
      <c r="A8" s="440"/>
      <c r="B8" s="357" t="s">
        <v>19</v>
      </c>
      <c r="C8" s="332">
        <v>4</v>
      </c>
      <c r="D8" s="358">
        <v>56</v>
      </c>
      <c r="E8" s="359" t="s">
        <v>342</v>
      </c>
      <c r="F8" s="360" t="s">
        <v>151</v>
      </c>
      <c r="G8" s="361">
        <v>0.28399999999999997</v>
      </c>
      <c r="H8" s="362">
        <v>5.6000000000000001E-2</v>
      </c>
      <c r="I8" s="332">
        <v>3.76</v>
      </c>
      <c r="J8" s="363" t="s">
        <v>171</v>
      </c>
      <c r="K8" s="160"/>
      <c r="L8" s="160" t="s">
        <v>27</v>
      </c>
      <c r="M8" s="160">
        <v>38</v>
      </c>
    </row>
    <row r="9" spans="1:13" ht="20.100000000000001" customHeight="1" x14ac:dyDescent="0.3">
      <c r="A9" s="440"/>
      <c r="B9" s="365" t="s">
        <v>112</v>
      </c>
      <c r="C9" s="337">
        <v>3</v>
      </c>
      <c r="D9" s="366">
        <v>50</v>
      </c>
      <c r="E9" s="367" t="s">
        <v>343</v>
      </c>
      <c r="F9" s="368" t="s">
        <v>111</v>
      </c>
      <c r="G9" s="369">
        <v>0.27900000000000003</v>
      </c>
      <c r="H9" s="370">
        <v>-4.0000000000000001E-3</v>
      </c>
      <c r="I9" s="337">
        <v>3.45</v>
      </c>
      <c r="J9" s="371" t="s">
        <v>171</v>
      </c>
      <c r="K9" s="160"/>
      <c r="L9" s="160" t="s">
        <v>51</v>
      </c>
      <c r="M9" s="160">
        <v>38</v>
      </c>
    </row>
    <row r="10" spans="1:13" ht="20.100000000000001" customHeight="1" x14ac:dyDescent="0.3">
      <c r="A10" s="440"/>
      <c r="B10" s="372" t="s">
        <v>35</v>
      </c>
      <c r="C10" s="345">
        <v>6</v>
      </c>
      <c r="D10" s="373">
        <v>46</v>
      </c>
      <c r="E10" s="374" t="s">
        <v>343</v>
      </c>
      <c r="F10" s="375" t="s">
        <v>160</v>
      </c>
      <c r="G10" s="376">
        <v>0.249</v>
      </c>
      <c r="H10" s="377">
        <v>4.8000000000000001E-2</v>
      </c>
      <c r="I10" s="345">
        <v>1.96</v>
      </c>
      <c r="J10" s="378" t="s">
        <v>171</v>
      </c>
      <c r="K10" s="160"/>
      <c r="L10" s="160" t="s">
        <v>64</v>
      </c>
      <c r="M10" s="160">
        <v>37</v>
      </c>
    </row>
    <row r="11" spans="1:13" ht="20.100000000000001" customHeight="1" x14ac:dyDescent="0.3">
      <c r="A11" s="440"/>
      <c r="B11" s="365" t="s">
        <v>72</v>
      </c>
      <c r="C11" s="337">
        <v>4</v>
      </c>
      <c r="D11" s="380">
        <v>41</v>
      </c>
      <c r="E11" s="381" t="s">
        <v>344</v>
      </c>
      <c r="F11" s="368" t="s">
        <v>345</v>
      </c>
      <c r="G11" s="369">
        <v>0.191</v>
      </c>
      <c r="H11" s="382">
        <v>4.5999999999999999E-2</v>
      </c>
      <c r="I11" s="337">
        <v>1.64</v>
      </c>
      <c r="J11" s="383" t="s">
        <v>346</v>
      </c>
      <c r="K11" s="160"/>
      <c r="L11" s="160" t="s">
        <v>99</v>
      </c>
      <c r="M11" s="160">
        <v>34</v>
      </c>
    </row>
    <row r="12" spans="1:13" ht="20.100000000000001" customHeight="1" x14ac:dyDescent="0.3">
      <c r="A12" s="440"/>
      <c r="B12" s="372" t="s">
        <v>93</v>
      </c>
      <c r="C12" s="345">
        <v>4</v>
      </c>
      <c r="D12" s="384">
        <v>40</v>
      </c>
      <c r="E12" s="385" t="s">
        <v>344</v>
      </c>
      <c r="F12" s="375" t="s">
        <v>347</v>
      </c>
      <c r="G12" s="376">
        <v>0.28699999999999998</v>
      </c>
      <c r="H12" s="386">
        <v>-2.1999999999999999E-2</v>
      </c>
      <c r="I12" s="345">
        <v>1.32</v>
      </c>
      <c r="J12" s="387" t="s">
        <v>346</v>
      </c>
      <c r="K12" s="160"/>
      <c r="L12" s="160"/>
    </row>
    <row r="13" spans="1:13" ht="20.100000000000001" customHeight="1" x14ac:dyDescent="0.3">
      <c r="A13" s="440"/>
      <c r="B13" s="365" t="s">
        <v>43</v>
      </c>
      <c r="C13" s="337">
        <v>4</v>
      </c>
      <c r="D13" s="388">
        <v>40</v>
      </c>
      <c r="E13" s="389" t="s">
        <v>344</v>
      </c>
      <c r="F13" s="368" t="s">
        <v>42</v>
      </c>
      <c r="G13" s="369">
        <v>0.23200000000000001</v>
      </c>
      <c r="H13" s="370">
        <v>3.0000000000000001E-3</v>
      </c>
      <c r="I13" s="337">
        <v>2.86</v>
      </c>
      <c r="J13" s="383" t="s">
        <v>346</v>
      </c>
      <c r="K13" s="160"/>
      <c r="L13" s="160" t="s">
        <v>7</v>
      </c>
      <c r="M13" s="160" t="s">
        <v>348</v>
      </c>
    </row>
    <row r="14" spans="1:13" ht="20.100000000000001" customHeight="1" x14ac:dyDescent="0.3">
      <c r="A14" s="440"/>
      <c r="B14" s="372" t="s">
        <v>27</v>
      </c>
      <c r="C14" s="345">
        <v>10</v>
      </c>
      <c r="D14" s="384">
        <v>38</v>
      </c>
      <c r="E14" s="385" t="s">
        <v>344</v>
      </c>
      <c r="F14" s="375" t="s">
        <v>349</v>
      </c>
      <c r="G14" s="376">
        <v>0.155</v>
      </c>
      <c r="H14" s="386">
        <v>-1.4999999999999999E-2</v>
      </c>
      <c r="I14" s="345">
        <v>2.92</v>
      </c>
      <c r="J14" s="387" t="s">
        <v>346</v>
      </c>
      <c r="K14" s="160"/>
      <c r="L14" s="160" t="s">
        <v>350</v>
      </c>
      <c r="M14" s="160">
        <v>103.4</v>
      </c>
    </row>
    <row r="15" spans="1:13" ht="20.100000000000001" customHeight="1" x14ac:dyDescent="0.3">
      <c r="A15" s="439"/>
      <c r="B15" s="365" t="s">
        <v>51</v>
      </c>
      <c r="C15" s="337">
        <v>2</v>
      </c>
      <c r="D15" s="388">
        <v>38</v>
      </c>
      <c r="E15" s="389" t="s">
        <v>344</v>
      </c>
      <c r="F15" s="368" t="s">
        <v>50</v>
      </c>
      <c r="G15" s="369">
        <v>0.36099999999999999</v>
      </c>
      <c r="H15" s="382">
        <v>2.1999999999999999E-2</v>
      </c>
      <c r="I15" s="337">
        <v>1.01</v>
      </c>
      <c r="J15" s="383" t="s">
        <v>346</v>
      </c>
      <c r="K15" s="160"/>
      <c r="L15" s="160" t="s">
        <v>351</v>
      </c>
      <c r="M15" s="160">
        <v>89.1</v>
      </c>
    </row>
    <row r="16" spans="1:13" ht="15" customHeight="1" thickBot="1" x14ac:dyDescent="0.35">
      <c r="A16" s="438"/>
      <c r="B16" s="372" t="s">
        <v>64</v>
      </c>
      <c r="C16" s="345">
        <v>4</v>
      </c>
      <c r="D16" s="384">
        <v>37</v>
      </c>
      <c r="E16" s="385" t="s">
        <v>344</v>
      </c>
      <c r="F16" s="343" t="s">
        <v>264</v>
      </c>
      <c r="G16" s="345">
        <v>0.18</v>
      </c>
      <c r="H16" s="390">
        <v>-0.03</v>
      </c>
      <c r="I16" s="345">
        <v>2.2999999999999998</v>
      </c>
      <c r="J16" s="387" t="s">
        <v>346</v>
      </c>
      <c r="K16" s="160"/>
      <c r="L16" s="160" t="s">
        <v>352</v>
      </c>
      <c r="M16" s="160">
        <v>28.3</v>
      </c>
    </row>
    <row r="17" spans="1:13" ht="20.100000000000001" customHeight="1" x14ac:dyDescent="0.3">
      <c r="A17" s="437"/>
      <c r="B17" s="391" t="s">
        <v>99</v>
      </c>
      <c r="C17" s="392">
        <v>7</v>
      </c>
      <c r="D17" s="393">
        <v>34</v>
      </c>
      <c r="E17" s="394" t="s">
        <v>353</v>
      </c>
      <c r="F17" s="395" t="s">
        <v>354</v>
      </c>
      <c r="G17" s="396">
        <v>0.222</v>
      </c>
      <c r="H17" s="397">
        <v>2E-3</v>
      </c>
      <c r="I17" s="392" t="s">
        <v>30</v>
      </c>
      <c r="J17" s="398" t="s">
        <v>346</v>
      </c>
      <c r="K17" s="160"/>
      <c r="L17" s="160" t="s">
        <v>355</v>
      </c>
      <c r="M17" s="160">
        <v>23.2</v>
      </c>
    </row>
    <row r="18" spans="1:13" ht="15.9" customHeight="1" x14ac:dyDescent="0.3">
      <c r="A18" s="5"/>
      <c r="B18" s="434" t="s">
        <v>356</v>
      </c>
      <c r="C18" s="435">
        <v>48</v>
      </c>
      <c r="D18" s="435">
        <v>42</v>
      </c>
      <c r="E18" s="435"/>
      <c r="F18" s="435" t="s">
        <v>357</v>
      </c>
      <c r="G18" s="435">
        <v>0.24099999999999999</v>
      </c>
      <c r="H18" s="435">
        <v>3.0000000000000001E-3</v>
      </c>
      <c r="I18" s="435"/>
      <c r="J18" s="436"/>
      <c r="K18" s="160"/>
      <c r="L18" s="160" t="s">
        <v>358</v>
      </c>
      <c r="M18" s="160">
        <v>22.7</v>
      </c>
    </row>
    <row r="19" spans="1:13" ht="12.75" customHeight="1" x14ac:dyDescent="0.3">
      <c r="A19" s="115"/>
      <c r="B19" s="115" t="s">
        <v>359</v>
      </c>
      <c r="C19" s="115"/>
      <c r="D19" s="115"/>
      <c r="E19" s="115"/>
      <c r="F19" s="115"/>
      <c r="G19" s="115"/>
      <c r="H19" s="115"/>
      <c r="I19" s="115"/>
      <c r="J19" s="115"/>
      <c r="K19" s="225">
        <v>4</v>
      </c>
      <c r="L19" s="225" t="s">
        <v>360</v>
      </c>
      <c r="M19" s="160">
        <v>16.100000000000001</v>
      </c>
    </row>
    <row r="20" spans="1:13" ht="9" customHeight="1" x14ac:dyDescent="0.3">
      <c r="A20" s="442"/>
      <c r="B20" s="213"/>
      <c r="C20" s="213"/>
      <c r="D20" s="213"/>
      <c r="E20" s="213"/>
      <c r="F20" s="213"/>
      <c r="G20" s="223"/>
      <c r="H20" s="224" t="s">
        <v>7</v>
      </c>
      <c r="I20" s="224" t="s">
        <v>361</v>
      </c>
      <c r="J20"/>
      <c r="K20" s="160"/>
      <c r="L20" s="160"/>
    </row>
    <row r="21" spans="1:13" ht="9" customHeight="1" x14ac:dyDescent="0.3">
      <c r="A21" s="443"/>
      <c r="B21" s="355" t="s">
        <v>7</v>
      </c>
      <c r="C21" s="350" t="s">
        <v>362</v>
      </c>
      <c r="D21" s="350" t="s">
        <v>363</v>
      </c>
      <c r="E21" s="349" t="s">
        <v>364</v>
      </c>
      <c r="F21" s="356" t="s">
        <v>365</v>
      </c>
      <c r="G21" s="217"/>
      <c r="H21" s="216" t="s">
        <v>51</v>
      </c>
      <c r="I21" s="216">
        <v>36.1</v>
      </c>
      <c r="J21"/>
      <c r="K21" s="160"/>
      <c r="L21" s="160"/>
    </row>
    <row r="22" spans="1:13" ht="17.100000000000001" customHeight="1" x14ac:dyDescent="0.3">
      <c r="A22" s="439"/>
      <c r="B22" s="357" t="s">
        <v>19</v>
      </c>
      <c r="C22" s="332">
        <v>4</v>
      </c>
      <c r="D22" s="358" t="s">
        <v>73</v>
      </c>
      <c r="E22" s="359" t="s">
        <v>342</v>
      </c>
      <c r="F22" s="363" t="s">
        <v>366</v>
      </c>
      <c r="G22" s="221"/>
      <c r="H22" s="222" t="s">
        <v>93</v>
      </c>
      <c r="I22" s="222">
        <v>28.7</v>
      </c>
      <c r="J22"/>
      <c r="K22" s="160"/>
      <c r="L22" s="160"/>
    </row>
    <row r="23" spans="1:13" ht="17.100000000000001" customHeight="1" x14ac:dyDescent="0.3">
      <c r="A23" s="439"/>
      <c r="B23" s="365" t="s">
        <v>112</v>
      </c>
      <c r="C23" s="337">
        <v>3</v>
      </c>
      <c r="D23" s="366" t="s">
        <v>280</v>
      </c>
      <c r="E23" s="367" t="s">
        <v>343</v>
      </c>
      <c r="F23" s="371" t="s">
        <v>366</v>
      </c>
      <c r="G23" s="221"/>
      <c r="H23" s="222" t="s">
        <v>19</v>
      </c>
      <c r="I23" s="222">
        <v>28.4</v>
      </c>
      <c r="J23"/>
      <c r="K23" s="160"/>
      <c r="L23" s="160"/>
    </row>
    <row r="24" spans="1:13" ht="17.100000000000001" customHeight="1" x14ac:dyDescent="0.3">
      <c r="A24" s="440"/>
      <c r="B24" s="372" t="s">
        <v>35</v>
      </c>
      <c r="C24" s="345">
        <v>6</v>
      </c>
      <c r="D24" s="373" t="s">
        <v>367</v>
      </c>
      <c r="E24" s="374" t="s">
        <v>343</v>
      </c>
      <c r="F24" s="378" t="s">
        <v>366</v>
      </c>
      <c r="G24" s="221"/>
      <c r="H24" s="222" t="s">
        <v>112</v>
      </c>
      <c r="I24" s="222">
        <v>27.9</v>
      </c>
      <c r="J24"/>
      <c r="K24" s="160"/>
      <c r="L24" s="160"/>
    </row>
    <row r="25" spans="1:13" ht="17.100000000000001" customHeight="1" x14ac:dyDescent="0.3">
      <c r="A25" s="440"/>
      <c r="B25" s="365" t="s">
        <v>72</v>
      </c>
      <c r="C25" s="337">
        <v>4</v>
      </c>
      <c r="D25" s="380" t="s">
        <v>368</v>
      </c>
      <c r="E25" s="381" t="s">
        <v>344</v>
      </c>
      <c r="F25" s="399" t="s">
        <v>369</v>
      </c>
      <c r="G25" s="221"/>
      <c r="H25" s="222" t="s">
        <v>35</v>
      </c>
      <c r="I25" s="222">
        <v>24.9</v>
      </c>
      <c r="J25"/>
      <c r="K25" s="160"/>
      <c r="L25" s="160"/>
    </row>
    <row r="26" spans="1:13" ht="17.100000000000001" customHeight="1" x14ac:dyDescent="0.3">
      <c r="A26" s="440"/>
      <c r="B26" s="372" t="s">
        <v>93</v>
      </c>
      <c r="C26" s="345">
        <v>4</v>
      </c>
      <c r="D26" s="384" t="s">
        <v>370</v>
      </c>
      <c r="E26" s="385" t="s">
        <v>344</v>
      </c>
      <c r="F26" s="387" t="s">
        <v>369</v>
      </c>
      <c r="G26" s="221"/>
      <c r="H26" s="222" t="s">
        <v>43</v>
      </c>
      <c r="I26" s="222">
        <v>23.2</v>
      </c>
      <c r="J26"/>
      <c r="K26" s="160"/>
      <c r="L26" s="160"/>
    </row>
    <row r="27" spans="1:13" ht="17.100000000000001" customHeight="1" x14ac:dyDescent="0.3">
      <c r="A27" s="440"/>
      <c r="B27" s="365" t="s">
        <v>43</v>
      </c>
      <c r="C27" s="337">
        <v>4</v>
      </c>
      <c r="D27" s="388" t="s">
        <v>370</v>
      </c>
      <c r="E27" s="389" t="s">
        <v>344</v>
      </c>
      <c r="F27" s="399" t="s">
        <v>369</v>
      </c>
      <c r="G27" s="221"/>
      <c r="H27" s="222" t="s">
        <v>99</v>
      </c>
      <c r="I27" s="222">
        <v>22.2</v>
      </c>
      <c r="J27"/>
      <c r="K27" s="160"/>
      <c r="L27" s="160"/>
    </row>
    <row r="28" spans="1:13" ht="17.100000000000001" customHeight="1" x14ac:dyDescent="0.3">
      <c r="A28" s="440"/>
      <c r="B28" s="372" t="s">
        <v>27</v>
      </c>
      <c r="C28" s="345">
        <v>10</v>
      </c>
      <c r="D28" s="384" t="s">
        <v>113</v>
      </c>
      <c r="E28" s="385" t="s">
        <v>344</v>
      </c>
      <c r="F28" s="400" t="s">
        <v>369</v>
      </c>
      <c r="G28" s="221"/>
      <c r="H28" s="222" t="s">
        <v>72</v>
      </c>
      <c r="I28" s="222">
        <v>19.100000000000001</v>
      </c>
      <c r="J28"/>
      <c r="K28" s="160"/>
      <c r="L28" s="160"/>
    </row>
    <row r="29" spans="1:13" ht="17.100000000000001" customHeight="1" x14ac:dyDescent="0.3">
      <c r="A29" s="440"/>
      <c r="B29" s="365" t="s">
        <v>51</v>
      </c>
      <c r="C29" s="337">
        <v>2</v>
      </c>
      <c r="D29" s="388" t="s">
        <v>113</v>
      </c>
      <c r="E29" s="389" t="s">
        <v>344</v>
      </c>
      <c r="F29" s="383" t="s">
        <v>369</v>
      </c>
      <c r="G29" s="221"/>
      <c r="H29" s="222" t="s">
        <v>64</v>
      </c>
      <c r="I29" s="222">
        <v>18</v>
      </c>
      <c r="J29"/>
      <c r="K29" s="160"/>
      <c r="L29" s="160"/>
    </row>
    <row r="30" spans="1:13" ht="18" customHeight="1" x14ac:dyDescent="0.3">
      <c r="A30" s="444"/>
      <c r="B30" s="372" t="s">
        <v>64</v>
      </c>
      <c r="C30" s="345">
        <v>4</v>
      </c>
      <c r="D30" s="401" t="s">
        <v>371</v>
      </c>
      <c r="E30" s="402" t="s">
        <v>344</v>
      </c>
      <c r="F30" s="387" t="s">
        <v>369</v>
      </c>
      <c r="G30" s="221"/>
      <c r="H30" s="222" t="s">
        <v>27</v>
      </c>
      <c r="I30" s="222">
        <v>15.5</v>
      </c>
      <c r="J30"/>
      <c r="K30" s="160"/>
      <c r="L30" s="160"/>
    </row>
    <row r="31" spans="1:13" ht="9.9" customHeight="1" x14ac:dyDescent="0.3">
      <c r="B31" s="364" t="s">
        <v>99</v>
      </c>
      <c r="C31" s="333">
        <v>7</v>
      </c>
      <c r="D31" s="403" t="s">
        <v>372</v>
      </c>
      <c r="E31" s="404" t="s">
        <v>353</v>
      </c>
      <c r="F31" s="379" t="s">
        <v>369</v>
      </c>
      <c r="G31" s="221"/>
      <c r="H31" s="221"/>
      <c r="I31" s="221"/>
      <c r="J31"/>
      <c r="K31" s="160"/>
      <c r="L31" s="160" t="s">
        <v>355</v>
      </c>
      <c r="M31" s="160">
        <v>3</v>
      </c>
    </row>
    <row r="32" spans="1:13" ht="14.1" customHeight="1" x14ac:dyDescent="0.3">
      <c r="A32" s="214"/>
      <c r="B32" s="214"/>
      <c r="C32" s="214"/>
      <c r="D32" s="214"/>
      <c r="E32" s="214"/>
      <c r="F32" s="214"/>
      <c r="G32" s="214"/>
      <c r="H32" s="215"/>
      <c r="I32" s="215"/>
      <c r="J32" s="214"/>
      <c r="L32" s="216" t="s">
        <v>373</v>
      </c>
      <c r="M32" s="160">
        <v>3</v>
      </c>
    </row>
    <row r="33" spans="1:13" x14ac:dyDescent="0.3">
      <c r="A33" s="217"/>
      <c r="D33" s="218"/>
      <c r="E33" s="218"/>
      <c r="F33" s="218"/>
      <c r="G33" s="218"/>
      <c r="H33" s="219" t="s">
        <v>7</v>
      </c>
      <c r="I33" s="219" t="s">
        <v>362</v>
      </c>
      <c r="L33" s="216" t="s">
        <v>358</v>
      </c>
      <c r="M33" s="160">
        <v>2</v>
      </c>
    </row>
    <row r="34" spans="1:13" x14ac:dyDescent="0.3">
      <c r="A34" s="217"/>
      <c r="D34" s="221"/>
      <c r="E34" s="221"/>
      <c r="F34" s="221"/>
      <c r="G34" s="221"/>
      <c r="H34" s="222" t="s">
        <v>27</v>
      </c>
      <c r="I34" s="222">
        <v>10</v>
      </c>
      <c r="L34" s="216" t="s">
        <v>351</v>
      </c>
      <c r="M34" s="160">
        <v>1</v>
      </c>
    </row>
    <row r="35" spans="1:13" x14ac:dyDescent="0.3">
      <c r="A35" s="217"/>
      <c r="D35" s="221"/>
      <c r="E35" s="221"/>
      <c r="F35" s="221"/>
      <c r="G35" s="221"/>
      <c r="H35" s="222" t="s">
        <v>99</v>
      </c>
      <c r="I35" s="222">
        <v>7</v>
      </c>
      <c r="L35" s="216" t="s">
        <v>374</v>
      </c>
      <c r="M35" s="160">
        <v>1</v>
      </c>
    </row>
    <row r="36" spans="1:13" x14ac:dyDescent="0.3">
      <c r="A36" s="217"/>
      <c r="D36" s="221"/>
      <c r="E36" s="221"/>
      <c r="F36" s="221"/>
      <c r="G36" s="221"/>
      <c r="H36" s="222" t="s">
        <v>35</v>
      </c>
      <c r="I36" s="222">
        <v>6</v>
      </c>
      <c r="L36" s="216" t="s">
        <v>375</v>
      </c>
      <c r="M36" s="160">
        <v>1</v>
      </c>
    </row>
    <row r="37" spans="1:13" x14ac:dyDescent="0.3">
      <c r="A37" s="217"/>
      <c r="D37" s="221"/>
      <c r="E37" s="221"/>
      <c r="F37" s="221"/>
      <c r="G37" s="221"/>
      <c r="H37" s="222" t="s">
        <v>19</v>
      </c>
      <c r="I37" s="222">
        <v>4</v>
      </c>
    </row>
    <row r="38" spans="1:13" x14ac:dyDescent="0.3">
      <c r="A38" s="217"/>
      <c r="D38" s="221"/>
      <c r="E38" s="221"/>
      <c r="F38" s="221"/>
      <c r="G38" s="221"/>
      <c r="H38" s="222" t="s">
        <v>64</v>
      </c>
      <c r="I38" s="222">
        <v>4</v>
      </c>
    </row>
    <row r="39" spans="1:13" x14ac:dyDescent="0.3">
      <c r="A39" s="217"/>
      <c r="D39" s="221"/>
      <c r="E39" s="221"/>
      <c r="F39" s="221"/>
      <c r="G39" s="221"/>
      <c r="H39" s="222" t="s">
        <v>72</v>
      </c>
      <c r="I39" s="222">
        <v>4</v>
      </c>
    </row>
    <row r="40" spans="1:13" x14ac:dyDescent="0.3">
      <c r="A40" s="217"/>
      <c r="D40" s="221"/>
      <c r="E40" s="221"/>
      <c r="F40" s="221"/>
      <c r="G40" s="221"/>
      <c r="H40" s="222" t="s">
        <v>93</v>
      </c>
      <c r="I40" s="222">
        <v>4</v>
      </c>
    </row>
    <row r="41" spans="1:13" x14ac:dyDescent="0.3">
      <c r="A41" s="217"/>
      <c r="D41" s="221"/>
      <c r="E41" s="221"/>
      <c r="F41" s="221"/>
      <c r="G41" s="221"/>
      <c r="H41" s="222" t="s">
        <v>43</v>
      </c>
      <c r="I41" s="222">
        <v>4</v>
      </c>
    </row>
    <row r="42" spans="1:13" x14ac:dyDescent="0.3">
      <c r="A42" s="217"/>
      <c r="D42" s="221"/>
      <c r="E42" s="221"/>
      <c r="F42" s="221"/>
      <c r="G42" s="221"/>
      <c r="H42" s="222" t="s">
        <v>112</v>
      </c>
      <c r="I42" s="222">
        <v>3</v>
      </c>
    </row>
    <row r="43" spans="1:13" x14ac:dyDescent="0.3">
      <c r="A43" s="217"/>
      <c r="D43" s="221"/>
      <c r="E43" s="221"/>
      <c r="F43" s="221"/>
      <c r="G43" s="221"/>
      <c r="H43" s="222" t="s">
        <v>51</v>
      </c>
      <c r="I43" s="222">
        <v>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2"/>
  <sheetViews>
    <sheetView showGridLines="0" zoomScale="94" workbookViewId="0">
      <selection activeCell="A22" sqref="A22"/>
    </sheetView>
  </sheetViews>
  <sheetFormatPr baseColWidth="10" defaultRowHeight="14.4" x14ac:dyDescent="0.3"/>
  <cols>
    <col min="1" max="1" width="1.5546875" customWidth="1"/>
    <col min="2" max="2" width="17.109375" customWidth="1"/>
    <col min="3" max="3" width="7.5546875" customWidth="1"/>
    <col min="4" max="4" width="9.109375" customWidth="1"/>
    <col min="5" max="5" width="22.88671875" customWidth="1"/>
    <col min="6" max="6" width="24.6640625" customWidth="1"/>
    <col min="7" max="9" width="12.44140625" customWidth="1"/>
    <col min="10" max="10" width="13.33203125" customWidth="1"/>
    <col min="11" max="11" width="12.44140625" customWidth="1"/>
    <col min="12" max="12" width="1.5546875" customWidth="1"/>
    <col min="13" max="13" width="13" hidden="1" customWidth="1"/>
    <col min="15" max="18" width="11.44140625" style="160" customWidth="1"/>
  </cols>
  <sheetData>
    <row r="1" spans="1:17" ht="38.1" customHeight="1" x14ac:dyDescent="0.3">
      <c r="A1" s="117"/>
      <c r="B1" s="117" t="s">
        <v>376</v>
      </c>
      <c r="C1" s="117"/>
      <c r="D1" s="117"/>
      <c r="E1" s="117"/>
      <c r="F1" s="117"/>
      <c r="G1" s="117"/>
      <c r="H1" s="117"/>
      <c r="I1" s="117"/>
      <c r="J1" s="118" t="s">
        <v>127</v>
      </c>
      <c r="K1" s="118"/>
      <c r="L1" s="118"/>
      <c r="M1" t="s">
        <v>27</v>
      </c>
      <c r="O1" s="160" t="s">
        <v>7</v>
      </c>
      <c r="P1" s="160" t="s">
        <v>8</v>
      </c>
      <c r="Q1" s="160" t="s">
        <v>377</v>
      </c>
    </row>
    <row r="2" spans="1:17" x14ac:dyDescent="0.3">
      <c r="A2" s="22" t="s">
        <v>334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t="s">
        <v>43</v>
      </c>
      <c r="O2" s="160" t="s">
        <v>355</v>
      </c>
      <c r="P2" s="160">
        <v>69</v>
      </c>
      <c r="Q2" s="160">
        <v>23.2</v>
      </c>
    </row>
    <row r="3" spans="1:17" ht="20.100000000000001" customHeight="1" x14ac:dyDescent="0.3">
      <c r="A3" s="114"/>
      <c r="B3" s="195" t="s">
        <v>378</v>
      </c>
      <c r="C3" s="114"/>
      <c r="D3" s="114"/>
      <c r="E3" s="114"/>
      <c r="F3" s="114"/>
      <c r="G3" s="114"/>
      <c r="H3" s="114"/>
      <c r="I3" s="114"/>
      <c r="J3" s="114"/>
      <c r="K3" s="114"/>
      <c r="L3" s="114"/>
      <c r="M3" t="s">
        <v>99</v>
      </c>
      <c r="O3" s="160" t="s">
        <v>351</v>
      </c>
      <c r="P3" s="160">
        <v>69</v>
      </c>
      <c r="Q3" s="160">
        <v>89.1</v>
      </c>
    </row>
    <row r="4" spans="1:17" ht="8.1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t="s">
        <v>72</v>
      </c>
      <c r="O4" s="160" t="s">
        <v>360</v>
      </c>
      <c r="P4" s="160">
        <v>56</v>
      </c>
      <c r="Q4" s="160">
        <v>16.100000000000001</v>
      </c>
    </row>
    <row r="5" spans="1:17" ht="27.9" customHeight="1" x14ac:dyDescent="0.3">
      <c r="A5" s="115"/>
      <c r="B5" s="115" t="s">
        <v>379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t="s">
        <v>112</v>
      </c>
      <c r="O5" s="160" t="s">
        <v>350</v>
      </c>
      <c r="P5" s="160">
        <v>55</v>
      </c>
      <c r="Q5" s="160">
        <v>103.4</v>
      </c>
    </row>
    <row r="6" spans="1:17" ht="5.0999999999999996" customHeight="1" x14ac:dyDescent="0.3">
      <c r="A6" s="60"/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t="s">
        <v>35</v>
      </c>
      <c r="O6" s="160" t="s">
        <v>380</v>
      </c>
      <c r="P6" s="160">
        <v>54</v>
      </c>
      <c r="Q6" s="160">
        <v>15.7</v>
      </c>
    </row>
    <row r="7" spans="1:17" ht="20.100000000000001" customHeight="1" x14ac:dyDescent="0.3">
      <c r="A7" s="159"/>
      <c r="B7" s="226" t="s">
        <v>7</v>
      </c>
      <c r="C7" s="227" t="s">
        <v>337</v>
      </c>
      <c r="D7" s="227" t="s">
        <v>381</v>
      </c>
      <c r="E7" s="227" t="s">
        <v>364</v>
      </c>
      <c r="F7" s="228" t="s">
        <v>339</v>
      </c>
      <c r="G7" s="227" t="s">
        <v>382</v>
      </c>
      <c r="H7" s="227" t="s">
        <v>383</v>
      </c>
      <c r="I7" s="227" t="s">
        <v>384</v>
      </c>
      <c r="J7" s="227" t="s">
        <v>3</v>
      </c>
      <c r="K7" s="229" t="s">
        <v>385</v>
      </c>
      <c r="L7" s="159"/>
      <c r="M7" s="159" t="s">
        <v>93</v>
      </c>
      <c r="O7" s="160" t="s">
        <v>358</v>
      </c>
      <c r="P7" s="160">
        <v>54</v>
      </c>
      <c r="Q7" s="160">
        <v>22.7</v>
      </c>
    </row>
    <row r="8" spans="1:17" ht="18" customHeight="1" x14ac:dyDescent="0.3">
      <c r="A8" s="103"/>
      <c r="B8" s="230" t="str">
        <f>IFERROR(INDEX('SECTOR OVERVIEW'!M$1:M$21,1),"")</f>
        <v>Conso. Cycl.</v>
      </c>
      <c r="C8" s="231">
        <f>IFERROR(IF(ISNUMBER(MATCH(INDEX('SECTOR OVERVIEW'!M$1:M$21,1),'DONNÉES BRUTES'!C$3:C$42,0)),COUNTIF('DONNÉES BRUTES'!C$3:C$42,INDEX('SECTOR OVERVIEW'!M$1:M$21,1)),""),"")</f>
        <v>7</v>
      </c>
      <c r="D8" s="232">
        <f>IFERROR(IF(ISNUMBER(MATCH(INDEX('SECTOR OVERVIEW'!M$1:M$21,1),'DONNÉES BRUTES'!C$3:C$42,0)),ROUND(AVERAGEIF('DONNÉES BRUTES'!C$3:C$42,INDEX('SECTOR OVERVIEW'!M$1:M$21,1),'DONNÉES BRUTES'!AB$3:AB$42),0),""),"")</f>
        <v>47</v>
      </c>
      <c r="E8" s="233" t="str">
        <f>IFERROR(IF(ISNUMBER(MATCH(INDEX('SECTOR OVERVIEW'!M$1:M$21,1),'DONNÉES BRUTES'!C$3:C$42,0)),REPT("█",ROUND(AVERAGEIF('DONNÉES BRUTES'!C$3:C$42,INDEX('SECTOR OVERVIEW'!M$1:M$21,1),'DONNÉES BRUTES'!AB$3:AB$42)/10,0))&amp;REPT("░",10-ROUND(AVERAGEIF('DONNÉES BRUTES'!C$3:C$42,INDEX('SECTOR OVERVIEW'!M$1:M$21,1),'DONNÉES BRUTES'!AB$3:AB$42)/10,0))&amp;"  "&amp;ROUND(AVERAGEIF('DONNÉES BRUTES'!C$3:C$42,INDEX('SECTOR OVERVIEW'!M$1:M$21,1),'DONNÉES BRUTES'!AB$3:AB$42),0),""),"")</f>
        <v>█████░░░░░  47</v>
      </c>
      <c r="F8" s="234" t="str">
        <f>IFERROR(IF(ISNUMBER(MATCH(INDEX('SECTOR OVERVIEW'!M$1:M$21,1),'DONNÉES BRUTES'!C$3:C$42,0)),_xlfn.XLOOKUP(_xlfn.MAXIFS('DONNÉES BRUTES'!AB$3:AB$42,'DONNÉES BRUTES'!C$3:C$42,INDEX('SECTOR OVERVIEW'!M$1:M$21,1)),'DONNÉES BRUTES'!AB$3:AB$42,'DONNÉES BRUTES'!B$3:B$42),"—"),"—")</f>
        <v>Hermès International Société en commandite par actions</v>
      </c>
      <c r="G8" s="233" t="s">
        <v>386</v>
      </c>
      <c r="H8" s="235" t="s">
        <v>387</v>
      </c>
      <c r="I8" s="233">
        <f t="array" ref="I8">IFERROR(IF(ISNUMBER(MATCH(INDEX('SECTOR OVERVIEW'!M$1:M$21,1),'DONNÉES BRUTES'!C$3:C$42,0)),ROUND(MEDIAN(IF('DONNÉES BRUTES'!C$3:C$42=INDEX('SECTOR OVERVIEW'!M$1:M$21,1),IF(ISNUMBER('DONNÉES BRUTES'!U$3:U$42),'DONNÉES BRUTES'!U$3:U$42))),2),"—"),"—")</f>
        <v>3.77</v>
      </c>
      <c r="J8" s="233" t="str">
        <f>IFERROR(IF(ISNUMBER(MATCH(INDEX('SECTOR OVERVIEW'!M$1:M$21,1),'DONNÉES BRUTES'!C$3:C$42,0)),IF(COUNTIFS('DONNÉES BRUTES'!C$3:C$42,INDEX('SECTOR OVERVIEW'!M$1:M$21,1),'DONNÉES BRUTES'!AD$3:AD$42,"Surpondérer")&gt;0,"Surpondérer",IF(COUNTIFS('DONNÉES BRUTES'!C$3:C$42,INDEX('SECTOR OVERVIEW'!M$1:M$21,1),'DONNÉES BRUTES'!AD$3:AD$42,"Neutre")&gt;=COUNTIFS('DONNÉES BRUTES'!C$3:C$42,INDEX('SECTOR OVERVIEW'!M$1:M$21,1),'DONNÉES BRUTES'!AD$3:AD$42,"Sous-pondérer"),"Neutre","Sous-pondérer")),"—"),"—")</f>
        <v>Surpondérer</v>
      </c>
      <c r="K8" s="236" t="str">
        <f>IFERROR(IF(ISNUMBER(MATCH(INDEX('SECTOR OVERVIEW'!M$1:M$21,1),'DONNÉES BRUTES'!C$3:C$42,0)),IF(AVERAGEIF('DONNÉES BRUTES'!C$3:C$42,INDEX('SECTOR OVERVIEW'!M$1:M$21,1),'DONNÉES BRUTES'!AB$3:AB$42)&gt;=65,"↑ Positif",IF(AVERAGEIF('DONNÉES BRUTES'!C$3:C$42,INDEX('SECTOR OVERVIEW'!M$1:M$21,1),'DONNÉES BRUTES'!AB$3:AB$42)&gt;=50,"→ Neutre","↓ Négatif")),"—"),"—")</f>
        <v>↓ Négatif</v>
      </c>
      <c r="L8" s="165"/>
      <c r="M8" t="s">
        <v>19</v>
      </c>
      <c r="O8" s="160" t="s">
        <v>375</v>
      </c>
      <c r="P8" s="160">
        <v>46</v>
      </c>
      <c r="Q8" s="160">
        <v>20</v>
      </c>
    </row>
    <row r="9" spans="1:17" ht="18" customHeight="1" x14ac:dyDescent="0.3">
      <c r="A9" s="104"/>
      <c r="B9" s="237" t="str">
        <f>IFERROR(INDEX('SECTOR OVERVIEW'!M$1:M$21,2),"")</f>
        <v>Conso. Déf.</v>
      </c>
      <c r="C9" s="238">
        <f>IFERROR(IF(ISNUMBER(MATCH(INDEX('SECTOR OVERVIEW'!M$1:M$21,2),'DONNÉES BRUTES'!C$3:C$42,0)),COUNTIF('DONNÉES BRUTES'!C$3:C$42,INDEX('SECTOR OVERVIEW'!M$1:M$21,2)),""),"")</f>
        <v>4</v>
      </c>
      <c r="D9" s="239">
        <f>IFERROR(IF(ISNUMBER(MATCH(INDEX('SECTOR OVERVIEW'!M$1:M$21,2),'DONNÉES BRUTES'!C$3:C$42,0)),ROUND(AVERAGEIF('DONNÉES BRUTES'!C$3:C$42,INDEX('SECTOR OVERVIEW'!M$1:M$21,2),'DONNÉES BRUTES'!AB$3:AB$42),0),""),"")</f>
        <v>40</v>
      </c>
      <c r="E9" s="240" t="str">
        <f>IFERROR(IF(ISNUMBER(MATCH(INDEX('SECTOR OVERVIEW'!M$1:M$21,2),'DONNÉES BRUTES'!C$3:C$42,0)),REPT("█",ROUND(AVERAGEIF('DONNÉES BRUTES'!C$3:C$42,INDEX('SECTOR OVERVIEW'!M$1:M$21,2),'DONNÉES BRUTES'!AB$3:AB$42)/10,0))&amp;REPT("░",10-ROUND(AVERAGEIF('DONNÉES BRUTES'!C$3:C$42,INDEX('SECTOR OVERVIEW'!M$1:M$21,2),'DONNÉES BRUTES'!AB$3:AB$42)/10,0))&amp;"  "&amp;ROUND(AVERAGEIF('DONNÉES BRUTES'!C$3:C$42,INDEX('SECTOR OVERVIEW'!M$1:M$21,2),'DONNÉES BRUTES'!AB$3:AB$42),0),""),"")</f>
        <v>████░░░░░░  40</v>
      </c>
      <c r="F9" s="241" t="str">
        <f>IFERROR(IF(ISNUMBER(MATCH(INDEX('SECTOR OVERVIEW'!M$1:M$21,2),'DONNÉES BRUTES'!C$3:C$42,0)),_xlfn.XLOOKUP(_xlfn.MAXIFS('DONNÉES BRUTES'!AB$3:AB$42,'DONNÉES BRUTES'!C$3:C$42,INDEX('SECTOR OVERVIEW'!M$1:M$21,2)),'DONNÉES BRUTES'!AB$3:AB$42,'DONNÉES BRUTES'!B$3:B$42),"—"),"—")</f>
        <v>GSK plc</v>
      </c>
      <c r="G9" s="240" t="s">
        <v>169</v>
      </c>
      <c r="H9" s="242" t="s">
        <v>388</v>
      </c>
      <c r="I9" s="240">
        <f t="array" ref="I9">IFERROR(IF(ISNUMBER(MATCH(INDEX('SECTOR OVERVIEW'!M$1:M$21,2),'DONNÉES BRUTES'!C$3:C$42,0)),ROUND(MEDIAN(IF('DONNÉES BRUTES'!C$3:C$42=INDEX('SECTOR OVERVIEW'!M$1:M$21,2),IF(ISNUMBER('DONNÉES BRUTES'!U$3:U$42),'DONNÉES BRUTES'!U$3:U$42))),2),"—"),"—")</f>
        <v>2.86</v>
      </c>
      <c r="J9" s="240" t="str">
        <f>IFERROR(IF(ISNUMBER(MATCH(INDEX('SECTOR OVERVIEW'!M$1:M$21,2),'DONNÉES BRUTES'!C$3:C$42,0)),IF(COUNTIFS('DONNÉES BRUTES'!C$3:C$42,INDEX('SECTOR OVERVIEW'!M$1:M$21,2),'DONNÉES BRUTES'!AD$3:AD$42,"Surpondérer")&gt;0,"Surpondérer",IF(COUNTIFS('DONNÉES BRUTES'!C$3:C$42,INDEX('SECTOR OVERVIEW'!M$1:M$21,2),'DONNÉES BRUTES'!AD$3:AD$42,"Neutre")&gt;=COUNTIFS('DONNÉES BRUTES'!C$3:C$42,INDEX('SECTOR OVERVIEW'!M$1:M$21,2),'DONNÉES BRUTES'!AD$3:AD$42,"Sous-pondérer"),"Neutre","Sous-pondérer")),"—"),"—")</f>
        <v>Sous-pondérer</v>
      </c>
      <c r="K9" s="243" t="str">
        <f>IFERROR(IF(ISNUMBER(MATCH(INDEX('SECTOR OVERVIEW'!M$1:M$21,2),'DONNÉES BRUTES'!C$3:C$42,0)),IF(AVERAGEIF('DONNÉES BRUTES'!C$3:C$42,INDEX('SECTOR OVERVIEW'!M$1:M$21,2),'DONNÉES BRUTES'!AB$3:AB$42)&gt;=65,"↑ Positif",IF(AVERAGEIF('DONNÉES BRUTES'!C$3:C$42,INDEX('SECTOR OVERVIEW'!M$1:M$21,2),'DONNÉES BRUTES'!AB$3:AB$42)&gt;=50,"→ Neutre","↓ Négatif")),"—"),"—")</f>
        <v>↓ Négatif</v>
      </c>
      <c r="L9" s="162"/>
      <c r="M9" t="s">
        <v>51</v>
      </c>
      <c r="O9" s="160" t="s">
        <v>389</v>
      </c>
      <c r="P9" s="160">
        <v>36</v>
      </c>
      <c r="Q9" s="160">
        <v>19.600000000000001</v>
      </c>
    </row>
    <row r="10" spans="1:17" ht="18" customHeight="1" x14ac:dyDescent="0.3">
      <c r="A10" s="103"/>
      <c r="B10" s="244" t="str">
        <f>IFERROR(INDEX('SECTOR OVERVIEW'!M$1:M$21,3),"")</f>
        <v>Finance</v>
      </c>
      <c r="C10" s="245">
        <f>IFERROR(IF(ISNUMBER(MATCH(INDEX('SECTOR OVERVIEW'!M$1:M$21,3),'DONNÉES BRUTES'!C$3:C$42,0)),COUNTIF('DONNÉES BRUTES'!C$3:C$42,INDEX('SECTOR OVERVIEW'!M$1:M$21,3)),""),"")</f>
        <v>5</v>
      </c>
      <c r="D10" s="246">
        <f>IFERROR(IF(ISNUMBER(MATCH(INDEX('SECTOR OVERVIEW'!M$1:M$21,3),'DONNÉES BRUTES'!C$3:C$42,0)),ROUND(AVERAGEIF('DONNÉES BRUTES'!C$3:C$42,INDEX('SECTOR OVERVIEW'!M$1:M$21,3),'DONNÉES BRUTES'!AB$3:AB$42),0),""),"")</f>
        <v>38</v>
      </c>
      <c r="E10" s="247" t="str">
        <f>IFERROR(IF(ISNUMBER(MATCH(INDEX('SECTOR OVERVIEW'!M$1:M$21,3),'DONNÉES BRUTES'!C$3:C$42,0)),REPT("█",ROUND(AVERAGEIF('DONNÉES BRUTES'!C$3:C$42,INDEX('SECTOR OVERVIEW'!M$1:M$21,3),'DONNÉES BRUTES'!AB$3:AB$42)/10,0))&amp;REPT("░",10-ROUND(AVERAGEIF('DONNÉES BRUTES'!C$3:C$42,INDEX('SECTOR OVERVIEW'!M$1:M$21,3),'DONNÉES BRUTES'!AB$3:AB$42)/10,0))&amp;"  "&amp;ROUND(AVERAGEIF('DONNÉES BRUTES'!C$3:C$42,INDEX('SECTOR OVERVIEW'!M$1:M$21,3),'DONNÉES BRUTES'!AB$3:AB$42),0),""),"")</f>
        <v>████░░░░░░  38</v>
      </c>
      <c r="F10" s="248" t="str">
        <f>IFERROR(IF(ISNUMBER(MATCH(INDEX('SECTOR OVERVIEW'!M$1:M$21,3),'DONNÉES BRUTES'!C$3:C$42,0)),_xlfn.XLOOKUP(_xlfn.MAXIFS('DONNÉES BRUTES'!AB$3:AB$42,'DONNÉES BRUTES'!C$3:C$42,INDEX('SECTOR OVERVIEW'!M$1:M$21,3)),'DONNÉES BRUTES'!AB$3:AB$42,'DONNÉES BRUTES'!B$3:B$42),"—"),"—")</f>
        <v>Koninklijke Philips N.V.</v>
      </c>
      <c r="G10" s="247" t="s">
        <v>390</v>
      </c>
      <c r="H10" s="249" t="s">
        <v>391</v>
      </c>
      <c r="I10" s="247" t="str">
        <f t="array" ref="I10">IFERROR(IF(ISNUMBER(MATCH(INDEX('SECTOR OVERVIEW'!M$1:M$21,3),'DONNÉES BRUTES'!C$3:C$42,0)),ROUND(MEDIAN(IF('DONNÉES BRUTES'!C$3:C$42=INDEX('SECTOR OVERVIEW'!M$1:M$21,3),IF(ISNUMBER('DONNÉES BRUTES'!U$3:U$42),'DONNÉES BRUTES'!U$3:U$42))),2),"—"),"—")</f>
        <v>—</v>
      </c>
      <c r="J10" s="247" t="str">
        <f>IFERROR(IF(ISNUMBER(MATCH(INDEX('SECTOR OVERVIEW'!M$1:M$21,3),'DONNÉES BRUTES'!C$3:C$42,0)),IF(COUNTIFS('DONNÉES BRUTES'!C$3:C$42,INDEX('SECTOR OVERVIEW'!M$1:M$21,3),'DONNÉES BRUTES'!AD$3:AD$42,"Surpondérer")&gt;0,"Surpondérer",IF(COUNTIFS('DONNÉES BRUTES'!C$3:C$42,INDEX('SECTOR OVERVIEW'!M$1:M$21,3),'DONNÉES BRUTES'!AD$3:AD$42,"Neutre")&gt;=COUNTIFS('DONNÉES BRUTES'!C$3:C$42,INDEX('SECTOR OVERVIEW'!M$1:M$21,3),'DONNÉES BRUTES'!AD$3:AD$42,"Sous-pondérer"),"Neutre","Sous-pondérer")),"—"),"—")</f>
        <v>Sous-pondérer</v>
      </c>
      <c r="K10" s="250" t="str">
        <f>IFERROR(IF(ISNUMBER(MATCH(INDEX('SECTOR OVERVIEW'!M$1:M$21,3),'DONNÉES BRUTES'!C$3:C$42,0)),IF(AVERAGEIF('DONNÉES BRUTES'!C$3:C$42,INDEX('SECTOR OVERVIEW'!M$1:M$21,3),'DONNÉES BRUTES'!AB$3:AB$42)&gt;=65,"↑ Positif",IF(AVERAGEIF('DONNÉES BRUTES'!C$3:C$42,INDEX('SECTOR OVERVIEW'!M$1:M$21,3),'DONNÉES BRUTES'!AB$3:AB$42)&gt;=50,"→ Neutre","↓ Négatif")),"—"),"—")</f>
        <v>↓ Négatif</v>
      </c>
      <c r="L10" s="165"/>
      <c r="M10" t="s">
        <v>64</v>
      </c>
      <c r="O10" s="160" t="s">
        <v>352</v>
      </c>
      <c r="P10" s="160">
        <v>41</v>
      </c>
      <c r="Q10" s="160">
        <v>28.3</v>
      </c>
    </row>
    <row r="11" spans="1:17" ht="18" customHeight="1" x14ac:dyDescent="0.3">
      <c r="A11" s="104"/>
      <c r="B11" s="237" t="str">
        <f>IFERROR(INDEX('SECTOR OVERVIEW'!M$1:M$21,4),"")</f>
        <v>Industrie</v>
      </c>
      <c r="C11" s="238">
        <f>IFERROR(IF(ISNUMBER(MATCH(INDEX('SECTOR OVERVIEW'!M$1:M$21,4),'DONNÉES BRUTES'!C$3:C$42,0)),COUNTIF('DONNÉES BRUTES'!C$3:C$42,INDEX('SECTOR OVERVIEW'!M$1:M$21,4)),""),"")</f>
        <v>4</v>
      </c>
      <c r="D11" s="239">
        <f>IFERROR(IF(ISNUMBER(MATCH(INDEX('SECTOR OVERVIEW'!M$1:M$21,4),'DONNÉES BRUTES'!C$3:C$42,0)),ROUND(AVERAGEIF('DONNÉES BRUTES'!C$3:C$42,INDEX('SECTOR OVERVIEW'!M$1:M$21,4),'DONNÉES BRUTES'!AB$3:AB$42),0),""),"")</f>
        <v>41</v>
      </c>
      <c r="E11" s="240" t="str">
        <f>IFERROR(IF(ISNUMBER(MATCH(INDEX('SECTOR OVERVIEW'!M$1:M$21,4),'DONNÉES BRUTES'!C$3:C$42,0)),REPT("█",ROUND(AVERAGEIF('DONNÉES BRUTES'!C$3:C$42,INDEX('SECTOR OVERVIEW'!M$1:M$21,4),'DONNÉES BRUTES'!AB$3:AB$42)/10,0))&amp;REPT("░",10-ROUND(AVERAGEIF('DONNÉES BRUTES'!C$3:C$42,INDEX('SECTOR OVERVIEW'!M$1:M$21,4),'DONNÉES BRUTES'!AB$3:AB$42)/10,0))&amp;"  "&amp;ROUND(AVERAGEIF('DONNÉES BRUTES'!C$3:C$42,INDEX('SECTOR OVERVIEW'!M$1:M$21,4),'DONNÉES BRUTES'!AB$3:AB$42),0),""),"")</f>
        <v>████░░░░░░  41</v>
      </c>
      <c r="F11" s="241" t="str">
        <f>IFERROR(IF(ISNUMBER(MATCH(INDEX('SECTOR OVERVIEW'!M$1:M$21,4),'DONNÉES BRUTES'!C$3:C$42,0)),_xlfn.XLOOKUP(_xlfn.MAXIFS('DONNÉES BRUTES'!AB$3:AB$42,'DONNÉES BRUTES'!C$3:C$42,INDEX('SECTOR OVERVIEW'!M$1:M$21,4)),'DONNÉES BRUTES'!AB$3:AB$42,'DONNÉES BRUTES'!B$3:B$42),"—"),"—")</f>
        <v>Siemens Aktiengesellschaft</v>
      </c>
      <c r="G11" s="240" t="s">
        <v>30</v>
      </c>
      <c r="H11" s="242" t="s">
        <v>30</v>
      </c>
      <c r="I11" s="240">
        <f t="array" ref="I11">IFERROR(IF(ISNUMBER(MATCH(INDEX('SECTOR OVERVIEW'!M$1:M$21,4),'DONNÉES BRUTES'!C$3:C$42,0)),ROUND(MEDIAN(IF('DONNÉES BRUTES'!C$3:C$42=INDEX('SECTOR OVERVIEW'!M$1:M$21,4),IF(ISNUMBER('DONNÉES BRUTES'!U$3:U$42),'DONNÉES BRUTES'!U$3:U$42))),2),"—"),"—")</f>
        <v>1.64</v>
      </c>
      <c r="J11" s="240" t="str">
        <f>IFERROR(IF(ISNUMBER(MATCH(INDEX('SECTOR OVERVIEW'!M$1:M$21,4),'DONNÉES BRUTES'!C$3:C$42,0)),IF(COUNTIFS('DONNÉES BRUTES'!C$3:C$42,INDEX('SECTOR OVERVIEW'!M$1:M$21,4),'DONNÉES BRUTES'!AD$3:AD$42,"Surpondérer")&gt;0,"Surpondérer",IF(COUNTIFS('DONNÉES BRUTES'!C$3:C$42,INDEX('SECTOR OVERVIEW'!M$1:M$21,4),'DONNÉES BRUTES'!AD$3:AD$42,"Neutre")&gt;=COUNTIFS('DONNÉES BRUTES'!C$3:C$42,INDEX('SECTOR OVERVIEW'!M$1:M$21,4),'DONNÉES BRUTES'!AD$3:AD$42,"Sous-pondérer"),"Neutre","Sous-pondérer")),"—"),"—")</f>
        <v>Neutre</v>
      </c>
      <c r="K11" s="243" t="str">
        <f>IFERROR(IF(ISNUMBER(MATCH(INDEX('SECTOR OVERVIEW'!M$1:M$21,4),'DONNÉES BRUTES'!C$3:C$42,0)),IF(AVERAGEIF('DONNÉES BRUTES'!C$3:C$42,INDEX('SECTOR OVERVIEW'!M$1:M$21,4),'DONNÉES BRUTES'!AB$3:AB$42)&gt;=65,"↑ Positif",IF(AVERAGEIF('DONNÉES BRUTES'!C$3:C$42,INDEX('SECTOR OVERVIEW'!M$1:M$21,4),'DONNÉES BRUTES'!AB$3:AB$42)&gt;=50,"→ Neutre","↓ Négatif")),"—"),"—")</f>
        <v>↓ Négatif</v>
      </c>
      <c r="L11" s="162"/>
      <c r="O11" s="160" t="s">
        <v>373</v>
      </c>
      <c r="P11" s="160">
        <v>38</v>
      </c>
      <c r="Q11" s="160">
        <v>27.2</v>
      </c>
    </row>
    <row r="12" spans="1:17" ht="18" customHeight="1" x14ac:dyDescent="0.3">
      <c r="A12" s="103"/>
      <c r="B12" s="244" t="str">
        <f>IFERROR(INDEX('SECTOR OVERVIEW'!M$1:M$21,5),"")</f>
        <v>Matériaux</v>
      </c>
      <c r="C12" s="245">
        <f>IFERROR(IF(ISNUMBER(MATCH(INDEX('SECTOR OVERVIEW'!M$1:M$21,5),'DONNÉES BRUTES'!C$3:C$42,0)),COUNTIF('DONNÉES BRUTES'!C$3:C$42,INDEX('SECTOR OVERVIEW'!M$1:M$21,5)),""),"")</f>
        <v>3</v>
      </c>
      <c r="D12" s="246">
        <f>IFERROR(IF(ISNUMBER(MATCH(INDEX('SECTOR OVERVIEW'!M$1:M$21,5),'DONNÉES BRUTES'!C$3:C$42,0)),ROUND(AVERAGEIF('DONNÉES BRUTES'!C$3:C$42,INDEX('SECTOR OVERVIEW'!M$1:M$21,5),'DONNÉES BRUTES'!AB$3:AB$42),0),""),"")</f>
        <v>50</v>
      </c>
      <c r="E12" s="247" t="str">
        <f>IFERROR(IF(ISNUMBER(MATCH(INDEX('SECTOR OVERVIEW'!M$1:M$21,5),'DONNÉES BRUTES'!C$3:C$42,0)),REPT("█",ROUND(AVERAGEIF('DONNÉES BRUTES'!C$3:C$42,INDEX('SECTOR OVERVIEW'!M$1:M$21,5),'DONNÉES BRUTES'!AB$3:AB$42)/10,0))&amp;REPT("░",10-ROUND(AVERAGEIF('DONNÉES BRUTES'!C$3:C$42,INDEX('SECTOR OVERVIEW'!M$1:M$21,5),'DONNÉES BRUTES'!AB$3:AB$42)/10,0))&amp;"  "&amp;ROUND(AVERAGEIF('DONNÉES BRUTES'!C$3:C$42,INDEX('SECTOR OVERVIEW'!M$1:M$21,5),'DONNÉES BRUTES'!AB$3:AB$42),0),""),"")</f>
        <v>█████░░░░░  50</v>
      </c>
      <c r="F12" s="248" t="str">
        <f>IFERROR(IF(ISNUMBER(MATCH(INDEX('SECTOR OVERVIEW'!M$1:M$21,5),'DONNÉES BRUTES'!C$3:C$42,0)),_xlfn.XLOOKUP(_xlfn.MAXIFS('DONNÉES BRUTES'!AB$3:AB$42,'DONNÉES BRUTES'!C$3:C$42,INDEX('SECTOR OVERVIEW'!M$1:M$21,5)),'DONNÉES BRUTES'!AB$3:AB$42,'DONNÉES BRUTES'!B$3:B$42),"—"),"—")</f>
        <v>Rio Tinto Group</v>
      </c>
      <c r="G12" s="247" t="s">
        <v>392</v>
      </c>
      <c r="H12" s="249" t="s">
        <v>393</v>
      </c>
      <c r="I12" s="247">
        <f t="array" ref="I12">IFERROR(IF(ISNUMBER(MATCH(INDEX('SECTOR OVERVIEW'!M$1:M$21,5),'DONNÉES BRUTES'!C$3:C$42,0)),ROUND(MEDIAN(IF('DONNÉES BRUTES'!C$3:C$42=INDEX('SECTOR OVERVIEW'!M$1:M$21,5),IF(ISNUMBER('DONNÉES BRUTES'!U$3:U$42),'DONNÉES BRUTES'!U$3:U$42))),2),"—"),"—")</f>
        <v>3.45</v>
      </c>
      <c r="J12" s="247" t="str">
        <f>IFERROR(IF(ISNUMBER(MATCH(INDEX('SECTOR OVERVIEW'!M$1:M$21,5),'DONNÉES BRUTES'!C$3:C$42,0)),IF(COUNTIFS('DONNÉES BRUTES'!C$3:C$42,INDEX('SECTOR OVERVIEW'!M$1:M$21,5),'DONNÉES BRUTES'!AD$3:AD$42,"Surpondérer")&gt;0,"Surpondérer",IF(COUNTIFS('DONNÉES BRUTES'!C$3:C$42,INDEX('SECTOR OVERVIEW'!M$1:M$21,5),'DONNÉES BRUTES'!AD$3:AD$42,"Neutre")&gt;=COUNTIFS('DONNÉES BRUTES'!C$3:C$42,INDEX('SECTOR OVERVIEW'!M$1:M$21,5),'DONNÉES BRUTES'!AD$3:AD$42,"Sous-pondérer"),"Neutre","Sous-pondérer")),"—"),"—")</f>
        <v>Surpondérer</v>
      </c>
      <c r="K12" s="250" t="str">
        <f>IFERROR(IF(ISNUMBER(MATCH(INDEX('SECTOR OVERVIEW'!M$1:M$21,5),'DONNÉES BRUTES'!C$3:C$42,0)),IF(AVERAGEIF('DONNÉES BRUTES'!C$3:C$42,INDEX('SECTOR OVERVIEW'!M$1:M$21,5),'DONNÉES BRUTES'!AB$3:AB$42)&gt;=65,"↑ Positif",IF(AVERAGEIF('DONNÉES BRUTES'!C$3:C$42,INDEX('SECTOR OVERVIEW'!M$1:M$21,5),'DONNÉES BRUTES'!AB$3:AB$42)&gt;=50,"→ Neutre","↓ Négatif")),"—"),"—")</f>
        <v>→ Neutre</v>
      </c>
      <c r="L12" s="165"/>
      <c r="O12" s="160" t="s">
        <v>374</v>
      </c>
      <c r="P12" s="160">
        <v>18</v>
      </c>
      <c r="Q12" s="160">
        <v>0</v>
      </c>
    </row>
    <row r="13" spans="1:17" ht="18" customHeight="1" x14ac:dyDescent="0.3">
      <c r="A13" s="104"/>
      <c r="B13" s="237" t="str">
        <f>IFERROR(INDEX('SECTOR OVERVIEW'!M$1:M$21,6),"")</f>
        <v>Santé</v>
      </c>
      <c r="C13" s="238">
        <f>IFERROR(IF(ISNUMBER(MATCH(INDEX('SECTOR OVERVIEW'!M$1:M$21,6),'DONNÉES BRUTES'!C$3:C$42,0)),COUNTIF('DONNÉES BRUTES'!C$3:C$42,INDEX('SECTOR OVERVIEW'!M$1:M$21,6)),""),"")</f>
        <v>5</v>
      </c>
      <c r="D13" s="239">
        <f>IFERROR(IF(ISNUMBER(MATCH(INDEX('SECTOR OVERVIEW'!M$1:M$21,6),'DONNÉES BRUTES'!C$3:C$42,0)),ROUND(AVERAGEIF('DONNÉES BRUTES'!C$3:C$42,INDEX('SECTOR OVERVIEW'!M$1:M$21,6),'DONNÉES BRUTES'!AB$3:AB$42),0),""),"")</f>
        <v>50</v>
      </c>
      <c r="E13" s="240" t="str">
        <f>IFERROR(IF(ISNUMBER(MATCH(INDEX('SECTOR OVERVIEW'!M$1:M$21,6),'DONNÉES BRUTES'!C$3:C$42,0)),REPT("█",ROUND(AVERAGEIF('DONNÉES BRUTES'!C$3:C$42,INDEX('SECTOR OVERVIEW'!M$1:M$21,6),'DONNÉES BRUTES'!AB$3:AB$42)/10,0))&amp;REPT("░",10-ROUND(AVERAGEIF('DONNÉES BRUTES'!C$3:C$42,INDEX('SECTOR OVERVIEW'!M$1:M$21,6),'DONNÉES BRUTES'!AB$3:AB$42)/10,0))&amp;"  "&amp;ROUND(AVERAGEIF('DONNÉES BRUTES'!C$3:C$42,INDEX('SECTOR OVERVIEW'!M$1:M$21,6),'DONNÉES BRUTES'!AB$3:AB$42),0),""),"")</f>
        <v>█████░░░░░  50</v>
      </c>
      <c r="F13" s="241" t="str">
        <f>IFERROR(IF(ISNUMBER(MATCH(INDEX('SECTOR OVERVIEW'!M$1:M$21,6),'DONNÉES BRUTES'!C$3:C$42,0)),_xlfn.XLOOKUP(_xlfn.MAXIFS('DONNÉES BRUTES'!AB$3:AB$42,'DONNÉES BRUTES'!C$3:C$42,INDEX('SECTOR OVERVIEW'!M$1:M$21,6)),'DONNÉES BRUTES'!AB$3:AB$42,'DONNÉES BRUTES'!B$3:B$42),"—"),"—")</f>
        <v>AstraZeneca PLC</v>
      </c>
      <c r="G13" s="240" t="s">
        <v>394</v>
      </c>
      <c r="H13" s="242" t="s">
        <v>395</v>
      </c>
      <c r="I13" s="240">
        <f t="array" ref="I13">IFERROR(IF(ISNUMBER(MATCH(INDEX('SECTOR OVERVIEW'!M$1:M$21,6),'DONNÉES BRUTES'!C$3:C$42,0)),ROUND(MEDIAN(IF('DONNÉES BRUTES'!C$3:C$42=INDEX('SECTOR OVERVIEW'!M$1:M$21,6),IF(ISNUMBER('DONNÉES BRUTES'!U$3:U$42),'DONNÉES BRUTES'!U$3:U$42))),2),"—"),"—")</f>
        <v>1.96</v>
      </c>
      <c r="J13" s="240" t="str">
        <f>IFERROR(IF(ISNUMBER(MATCH(INDEX('SECTOR OVERVIEW'!M$1:M$21,6),'DONNÉES BRUTES'!C$3:C$42,0)),IF(COUNTIFS('DONNÉES BRUTES'!C$3:C$42,INDEX('SECTOR OVERVIEW'!M$1:M$21,6),'DONNÉES BRUTES'!AD$3:AD$42,"Surpondérer")&gt;0,"Surpondérer",IF(COUNTIFS('DONNÉES BRUTES'!C$3:C$42,INDEX('SECTOR OVERVIEW'!M$1:M$21,6),'DONNÉES BRUTES'!AD$3:AD$42,"Neutre")&gt;=COUNTIFS('DONNÉES BRUTES'!C$3:C$42,INDEX('SECTOR OVERVIEW'!M$1:M$21,6),'DONNÉES BRUTES'!AD$3:AD$42,"Sous-pondérer"),"Neutre","Sous-pondérer")),"—"),"—")</f>
        <v>Surpondérer</v>
      </c>
      <c r="K13" s="243" t="str">
        <f>IFERROR(IF(ISNUMBER(MATCH(INDEX('SECTOR OVERVIEW'!M$1:M$21,6),'DONNÉES BRUTES'!C$3:C$42,0)),IF(AVERAGEIF('DONNÉES BRUTES'!C$3:C$42,INDEX('SECTOR OVERVIEW'!M$1:M$21,6),'DONNÉES BRUTES'!AB$3:AB$42)&gt;=65,"↑ Positif",IF(AVERAGEIF('DONNÉES BRUTES'!C$3:C$42,INDEX('SECTOR OVERVIEW'!M$1:M$21,6),'DONNÉES BRUTES'!AB$3:AB$42)&gt;=50,"→ Neutre","↓ Négatif")),"—"),"—")</f>
        <v>↓ Négatif</v>
      </c>
      <c r="L13" s="162"/>
    </row>
    <row r="14" spans="1:17" ht="18" customHeight="1" x14ac:dyDescent="0.3">
      <c r="A14" s="103"/>
      <c r="B14" s="244" t="str">
        <f>IFERROR(INDEX('SECTOR OVERVIEW'!M$1:M$21,7),"")</f>
        <v>Serv. Publ.</v>
      </c>
      <c r="C14" s="245">
        <f>IFERROR(IF(ISNUMBER(MATCH(INDEX('SECTOR OVERVIEW'!M$1:M$21,7),'DONNÉES BRUTES'!C$3:C$42,0)),COUNTIF('DONNÉES BRUTES'!C$3:C$42,INDEX('SECTOR OVERVIEW'!M$1:M$21,7)),""),"")</f>
        <v>3</v>
      </c>
      <c r="D14" s="246">
        <f>IFERROR(IF(ISNUMBER(MATCH(INDEX('SECTOR OVERVIEW'!M$1:M$21,7),'DONNÉES BRUTES'!C$3:C$42,0)),ROUND(AVERAGEIF('DONNÉES BRUTES'!C$3:C$42,INDEX('SECTOR OVERVIEW'!M$1:M$21,7),'DONNÉES BRUTES'!AB$3:AB$42),0),""),"")</f>
        <v>44</v>
      </c>
      <c r="E14" s="247" t="str">
        <f>IFERROR(IF(ISNUMBER(MATCH(INDEX('SECTOR OVERVIEW'!M$1:M$21,7),'DONNÉES BRUTES'!C$3:C$42,0)),REPT("█",ROUND(AVERAGEIF('DONNÉES BRUTES'!C$3:C$42,INDEX('SECTOR OVERVIEW'!M$1:M$21,7),'DONNÉES BRUTES'!AB$3:AB$42)/10,0))&amp;REPT("░",10-ROUND(AVERAGEIF('DONNÉES BRUTES'!C$3:C$42,INDEX('SECTOR OVERVIEW'!M$1:M$21,7),'DONNÉES BRUTES'!AB$3:AB$42)/10,0))&amp;"  "&amp;ROUND(AVERAGEIF('DONNÉES BRUTES'!C$3:C$42,INDEX('SECTOR OVERVIEW'!M$1:M$21,7),'DONNÉES BRUTES'!AB$3:AB$42),0),""),"")</f>
        <v>████░░░░░░  44</v>
      </c>
      <c r="F14" s="248" t="str">
        <f>IFERROR(IF(ISNUMBER(MATCH(INDEX('SECTOR OVERVIEW'!M$1:M$21,7),'DONNÉES BRUTES'!C$3:C$42,0)),_xlfn.XLOOKUP(_xlfn.MAXIFS('DONNÉES BRUTES'!AB$3:AB$42,'DONNÉES BRUTES'!C$3:C$42,INDEX('SECTOR OVERVIEW'!M$1:M$21,7)),'DONNÉES BRUTES'!AB$3:AB$42,'DONNÉES BRUTES'!B$3:B$42),"—"),"—")</f>
        <v>AstraZeneca PLC</v>
      </c>
      <c r="G14" s="247" t="s">
        <v>396</v>
      </c>
      <c r="H14" s="249" t="s">
        <v>397</v>
      </c>
      <c r="I14" s="247">
        <f t="array" ref="I14">IFERROR(IF(ISNUMBER(MATCH(INDEX('SECTOR OVERVIEW'!M$1:M$21,7),'DONNÉES BRUTES'!C$3:C$42,0)),ROUND(MEDIAN(IF('DONNÉES BRUTES'!C$3:C$42=INDEX('SECTOR OVERVIEW'!M$1:M$21,7),IF(ISNUMBER('DONNÉES BRUTES'!U$3:U$42),'DONNÉES BRUTES'!U$3:U$42))),2),"—"),"—")</f>
        <v>1.84</v>
      </c>
      <c r="J14" s="247" t="str">
        <f>IFERROR(IF(ISNUMBER(MATCH(INDEX('SECTOR OVERVIEW'!M$1:M$21,7),'DONNÉES BRUTES'!C$3:C$42,0)),IF(COUNTIFS('DONNÉES BRUTES'!C$3:C$42,INDEX('SECTOR OVERVIEW'!M$1:M$21,7),'DONNÉES BRUTES'!AD$3:AD$42,"Surpondérer")&gt;0,"Surpondérer",IF(COUNTIFS('DONNÉES BRUTES'!C$3:C$42,INDEX('SECTOR OVERVIEW'!M$1:M$21,7),'DONNÉES BRUTES'!AD$3:AD$42,"Neutre")&gt;=COUNTIFS('DONNÉES BRUTES'!C$3:C$42,INDEX('SECTOR OVERVIEW'!M$1:M$21,7),'DONNÉES BRUTES'!AD$3:AD$42,"Sous-pondérer"),"Neutre","Sous-pondérer")),"—"),"—")</f>
        <v>Surpondérer</v>
      </c>
      <c r="K14" s="250" t="str">
        <f>IFERROR(IF(ISNUMBER(MATCH(INDEX('SECTOR OVERVIEW'!M$1:M$21,7),'DONNÉES BRUTES'!C$3:C$42,0)),IF(AVERAGEIF('DONNÉES BRUTES'!C$3:C$42,INDEX('SECTOR OVERVIEW'!M$1:M$21,7),'DONNÉES BRUTES'!AB$3:AB$42)&gt;=65,"↑ Positif",IF(AVERAGEIF('DONNÉES BRUTES'!C$3:C$42,INDEX('SECTOR OVERVIEW'!M$1:M$21,7),'DONNÉES BRUTES'!AB$3:AB$42)&gt;=50,"→ Neutre","↓ Négatif")),"—"),"—")</f>
        <v>↓ Négatif</v>
      </c>
      <c r="L14" s="165"/>
    </row>
    <row r="15" spans="1:17" ht="18" customHeight="1" x14ac:dyDescent="0.3">
      <c r="A15" s="104"/>
      <c r="B15" s="237" t="str">
        <f>IFERROR(INDEX('SECTOR OVERVIEW'!M$1:M$21,8),"")</f>
        <v>Technologie</v>
      </c>
      <c r="C15" s="238">
        <f>IFERROR(IF(ISNUMBER(MATCH(INDEX('SECTOR OVERVIEW'!M$1:M$21,8),'DONNÉES BRUTES'!C$3:C$42,0)),COUNTIF('DONNÉES BRUTES'!C$3:C$42,INDEX('SECTOR OVERVIEW'!M$1:M$21,8)),""),"")</f>
        <v>4</v>
      </c>
      <c r="D15" s="239">
        <f>IFERROR(IF(ISNUMBER(MATCH(INDEX('SECTOR OVERVIEW'!M$1:M$21,8),'DONNÉES BRUTES'!C$3:C$42,0)),ROUND(AVERAGEIF('DONNÉES BRUTES'!C$3:C$42,INDEX('SECTOR OVERVIEW'!M$1:M$21,8),'DONNÉES BRUTES'!AB$3:AB$42),0),""),"")</f>
        <v>56</v>
      </c>
      <c r="E15" s="240" t="str">
        <f>IFERROR(IF(ISNUMBER(MATCH(INDEX('SECTOR OVERVIEW'!M$1:M$21,8),'DONNÉES BRUTES'!C$3:C$42,0)),REPT("█",ROUND(AVERAGEIF('DONNÉES BRUTES'!C$3:C$42,INDEX('SECTOR OVERVIEW'!M$1:M$21,8),'DONNÉES BRUTES'!AB$3:AB$42)/10,0))&amp;REPT("░",10-ROUND(AVERAGEIF('DONNÉES BRUTES'!C$3:C$42,INDEX('SECTOR OVERVIEW'!M$1:M$21,8),'DONNÉES BRUTES'!AB$3:AB$42)/10,0))&amp;"  "&amp;ROUND(AVERAGEIF('DONNÉES BRUTES'!C$3:C$42,INDEX('SECTOR OVERVIEW'!M$1:M$21,8),'DONNÉES BRUTES'!AB$3:AB$42),0),""),"")</f>
        <v>██████░░░░  56</v>
      </c>
      <c r="F15" s="241" t="str">
        <f>IFERROR(IF(ISNUMBER(MATCH(INDEX('SECTOR OVERVIEW'!M$1:M$21,8),'DONNÉES BRUTES'!C$3:C$42,0)),_xlfn.XLOOKUP(_xlfn.MAXIFS('DONNÉES BRUTES'!AB$3:AB$42,'DONNÉES BRUTES'!C$3:C$42,INDEX('SECTOR OVERVIEW'!M$1:M$21,8)),'DONNÉES BRUTES'!AB$3:AB$42,'DONNÉES BRUTES'!B$3:B$42),"—"),"—")</f>
        <v>ASML Holding N.V.</v>
      </c>
      <c r="G15" s="240" t="s">
        <v>398</v>
      </c>
      <c r="H15" s="242" t="s">
        <v>388</v>
      </c>
      <c r="I15" s="240">
        <f t="array" ref="I15">IFERROR(IF(ISNUMBER(MATCH(INDEX('SECTOR OVERVIEW'!M$1:M$21,8),'DONNÉES BRUTES'!C$3:C$42,0)),ROUND(MEDIAN(IF('DONNÉES BRUTES'!C$3:C$42=INDEX('SECTOR OVERVIEW'!M$1:M$21,8),IF(ISNUMBER('DONNÉES BRUTES'!U$3:U$42),'DONNÉES BRUTES'!U$3:U$42))),2),"—"),"—")</f>
        <v>3.76</v>
      </c>
      <c r="J15" s="240" t="str">
        <f>IFERROR(IF(ISNUMBER(MATCH(INDEX('SECTOR OVERVIEW'!M$1:M$21,8),'DONNÉES BRUTES'!C$3:C$42,0)),IF(COUNTIFS('DONNÉES BRUTES'!C$3:C$42,INDEX('SECTOR OVERVIEW'!M$1:M$21,8),'DONNÉES BRUTES'!AD$3:AD$42,"Surpondérer")&gt;0,"Surpondérer",IF(COUNTIFS('DONNÉES BRUTES'!C$3:C$42,INDEX('SECTOR OVERVIEW'!M$1:M$21,8),'DONNÉES BRUTES'!AD$3:AD$42,"Neutre")&gt;=COUNTIFS('DONNÉES BRUTES'!C$3:C$42,INDEX('SECTOR OVERVIEW'!M$1:M$21,8),'DONNÉES BRUTES'!AD$3:AD$42,"Sous-pondérer"),"Neutre","Sous-pondérer")),"—"),"—")</f>
        <v>Surpondérer</v>
      </c>
      <c r="K15" s="243" t="str">
        <f>IFERROR(IF(ISNUMBER(MATCH(INDEX('SECTOR OVERVIEW'!M$1:M$21,8),'DONNÉES BRUTES'!C$3:C$42,0)),IF(AVERAGEIF('DONNÉES BRUTES'!C$3:C$42,INDEX('SECTOR OVERVIEW'!M$1:M$21,8),'DONNÉES BRUTES'!AB$3:AB$42)&gt;=65,"↑ Positif",IF(AVERAGEIF('DONNÉES BRUTES'!C$3:C$42,INDEX('SECTOR OVERVIEW'!M$1:M$21,8),'DONNÉES BRUTES'!AB$3:AB$42)&gt;=50,"→ Neutre","↓ Négatif")),"—"),"—")</f>
        <v>→ Neutre</v>
      </c>
      <c r="L15" s="162"/>
    </row>
    <row r="16" spans="1:17" ht="18" customHeight="1" x14ac:dyDescent="0.3">
      <c r="A16" s="5"/>
      <c r="B16" s="244" t="str">
        <f>IFERROR(INDEX('SECTOR OVERVIEW'!M$1:M$21,9),"")</f>
        <v>Télécoms</v>
      </c>
      <c r="C16" s="245">
        <f>IFERROR(IF(ISNUMBER(MATCH(INDEX('SECTOR OVERVIEW'!M$1:M$21,9),'DONNÉES BRUTES'!C$3:C$42,0)),COUNTIF('DONNÉES BRUTES'!C$3:C$42,INDEX('SECTOR OVERVIEW'!M$1:M$21,9)),""),"")</f>
        <v>2</v>
      </c>
      <c r="D16" s="246">
        <f>IFERROR(IF(ISNUMBER(MATCH(INDEX('SECTOR OVERVIEW'!M$1:M$21,9),'DONNÉES BRUTES'!C$3:C$42,0)),ROUND(AVERAGEIF('DONNÉES BRUTES'!C$3:C$42,INDEX('SECTOR OVERVIEW'!M$1:M$21,9),'DONNÉES BRUTES'!AB$3:AB$42),0),""),"")</f>
        <v>39</v>
      </c>
      <c r="E16" s="247" t="str">
        <f>IFERROR(IF(ISNUMBER(MATCH(INDEX('SECTOR OVERVIEW'!M$1:M$21,9),'DONNÉES BRUTES'!C$3:C$42,0)),REPT("█",ROUND(AVERAGEIF('DONNÉES BRUTES'!C$3:C$42,INDEX('SECTOR OVERVIEW'!M$1:M$21,9),'DONNÉES BRUTES'!AB$3:AB$42)/10,0))&amp;REPT("░",10-ROUND(AVERAGEIF('DONNÉES BRUTES'!C$3:C$42,INDEX('SECTOR OVERVIEW'!M$1:M$21,9),'DONNÉES BRUTES'!AB$3:AB$42)/10,0))&amp;"  "&amp;ROUND(AVERAGEIF('DONNÉES BRUTES'!C$3:C$42,INDEX('SECTOR OVERVIEW'!M$1:M$21,9),'DONNÉES BRUTES'!AB$3:AB$42),0),""),"")</f>
        <v>████░░░░░░  39</v>
      </c>
      <c r="F16" s="248" t="str">
        <f>IFERROR(IF(ISNUMBER(MATCH(INDEX('SECTOR OVERVIEW'!M$1:M$21,9),'DONNÉES BRUTES'!C$3:C$42,0)),_xlfn.XLOOKUP(_xlfn.MAXIFS('DONNÉES BRUTES'!AB$3:AB$42,'DONNÉES BRUTES'!C$3:C$42,INDEX('SECTOR OVERVIEW'!M$1:M$21,9)),'DONNÉES BRUTES'!AB$3:AB$42,'DONNÉES BRUTES'!B$3:B$42),"—"),"—")</f>
        <v>TotalEnergies SE</v>
      </c>
      <c r="G16" s="247" t="s">
        <v>399</v>
      </c>
      <c r="H16" s="249" t="s">
        <v>400</v>
      </c>
      <c r="I16" s="247">
        <f t="array" ref="I16">IFERROR(IF(ISNUMBER(MATCH(INDEX('SECTOR OVERVIEW'!M$1:M$21,9),'DONNÉES BRUTES'!C$3:C$42,0)),ROUND(MEDIAN(IF('DONNÉES BRUTES'!C$3:C$42=INDEX('SECTOR OVERVIEW'!M$1:M$21,9),IF(ISNUMBER('DONNÉES BRUTES'!U$3:U$42),'DONNÉES BRUTES'!U$3:U$42))),2),"—"),"—")</f>
        <v>1.01</v>
      </c>
      <c r="J16" s="247" t="str">
        <f>IFERROR(IF(ISNUMBER(MATCH(INDEX('SECTOR OVERVIEW'!M$1:M$21,9),'DONNÉES BRUTES'!C$3:C$42,0)),IF(COUNTIFS('DONNÉES BRUTES'!C$3:C$42,INDEX('SECTOR OVERVIEW'!M$1:M$21,9),'DONNÉES BRUTES'!AD$3:AD$42,"Surpondérer")&gt;0,"Surpondérer",IF(COUNTIFS('DONNÉES BRUTES'!C$3:C$42,INDEX('SECTOR OVERVIEW'!M$1:M$21,9),'DONNÉES BRUTES'!AD$3:AD$42,"Neutre")&gt;=COUNTIFS('DONNÉES BRUTES'!C$3:C$42,INDEX('SECTOR OVERVIEW'!M$1:M$21,9),'DONNÉES BRUTES'!AD$3:AD$42,"Sous-pondérer"),"Neutre","Sous-pondérer")),"—"),"—")</f>
        <v>Neutre</v>
      </c>
      <c r="K16" s="250" t="str">
        <f>IFERROR(IF(ISNUMBER(MATCH(INDEX('SECTOR OVERVIEW'!M$1:M$21,9),'DONNÉES BRUTES'!C$3:C$42,0)),IF(AVERAGEIF('DONNÉES BRUTES'!C$3:C$42,INDEX('SECTOR OVERVIEW'!M$1:M$21,9),'DONNÉES BRUTES'!AB$3:AB$42)&gt;=65,"↑ Positif",IF(AVERAGEIF('DONNÉES BRUTES'!C$3:C$42,INDEX('SECTOR OVERVIEW'!M$1:M$21,9),'DONNÉES BRUTES'!AB$3:AB$42)&gt;=50,"→ Neutre","↓ Négatif")),"—"),"—")</f>
        <v>↓ Négatif</v>
      </c>
      <c r="L16" s="165"/>
    </row>
    <row r="17" spans="1:18" ht="18" customHeight="1" x14ac:dyDescent="0.3">
      <c r="A17" s="201"/>
      <c r="B17" s="237" t="str">
        <f>COUNTA('DONNÉES BRUTES'!A3:A42)&amp;" sociétés — CAC 40"</f>
        <v>40 sociétés — CAC 40</v>
      </c>
      <c r="C17" s="238">
        <f>COUNTA('DONNÉES BRUTES'!A3:A42)</f>
        <v>40</v>
      </c>
      <c r="D17" s="239">
        <f>ROUND(AVERAGE('DONNÉES BRUTES'!AB3:AB42),0)</f>
        <v>45</v>
      </c>
      <c r="E17" s="240" t="s">
        <v>401</v>
      </c>
      <c r="F17" s="241" t="str">
        <f>IFERROR(_xlfn.XLOOKUP(MAX('DONNÉES BRUTES'!AB$3:AB$42),'DONNÉES BRUTES'!AB$3:AB$42,'DONNÉES BRUTES'!B$3:B$42),"—")</f>
        <v>ASML Holding N.V.</v>
      </c>
      <c r="G17" s="240" t="s">
        <v>399</v>
      </c>
      <c r="H17" s="242" t="s">
        <v>400</v>
      </c>
      <c r="I17" s="240">
        <f t="array" ref="I17">IFERROR(IF(ISNUMBER(MATCH(INDEX('SECTOR OVERVIEW'!M$1:M$21,10),'DONNÉES BRUTES'!C$3:C$42,0)),ROUND(MEDIAN(IF('DONNÉES BRUTES'!C$3:C$42=INDEX('SECTOR OVERVIEW'!M$1:M$21,10),IF(ISNUMBER('DONNÉES BRUTES'!U$3:U$42),'DONNÉES BRUTES'!U$3:U$42))),2),"—"),"—")</f>
        <v>2.2999999999999998</v>
      </c>
      <c r="J17" s="240" t="str">
        <f>IFERROR(IF(ISNUMBER(MATCH(INDEX('SECTOR OVERVIEW'!M$1:M$21,10),'DONNÉES BRUTES'!C$3:C$42,0)),IF(COUNTIFS('DONNÉES BRUTES'!C$3:C$42,INDEX('SECTOR OVERVIEW'!M$1:M$21,10),'DONNÉES BRUTES'!AD$3:AD$42,"Surpondérer")&gt;0,"Surpondérer",IF(COUNTIFS('DONNÉES BRUTES'!C$3:C$42,INDEX('SECTOR OVERVIEW'!M$1:M$21,10),'DONNÉES BRUTES'!AD$3:AD$42,"Neutre")&gt;=COUNTIFS('DONNÉES BRUTES'!C$3:C$42,INDEX('SECTOR OVERVIEW'!M$1:M$21,10),'DONNÉES BRUTES'!AD$3:AD$42,"Sous-pondérer"),"Neutre","Sous-pondérer")),"—"),"—")</f>
        <v>Neutre</v>
      </c>
      <c r="K17" s="243" t="str">
        <f>IFERROR(IF(ISNUMBER(MATCH(INDEX('SECTOR OVERVIEW'!M$1:M$21,10),'DONNÉES BRUTES'!C$3:C$42,0)),IF(AVERAGEIF('DONNÉES BRUTES'!C$3:C$42,INDEX('SECTOR OVERVIEW'!M$1:M$21,10),'DONNÉES BRUTES'!AB$3:AB$42)&gt;=65,"↑ Positif",IF(AVERAGEIF('DONNÉES BRUTES'!C$3:C$42,INDEX('SECTOR OVERVIEW'!M$1:M$21,10),'DONNÉES BRUTES'!AB$3:AB$42)&gt;=50,"→ Neutre","↓ Négatif")),"—"),"—")</f>
        <v>↓ Négatif</v>
      </c>
      <c r="L17" s="161"/>
    </row>
    <row r="18" spans="1:18" ht="18" customHeight="1" x14ac:dyDescent="0.3">
      <c r="A18" s="201"/>
      <c r="B18" s="251" t="str">
        <f>IFERROR(INDEX('SECTOR OVERVIEW'!M$1:M$20,10),"")</f>
        <v>Énergie</v>
      </c>
      <c r="C18" s="252">
        <f>IFERROR(IF(ISNUMBER(MATCH(INDEX('SECTOR OVERVIEW'!M$1:M$20,10),'DONNÉES BRUTES'!C$3:C$42,0)),COUNTIF('DONNÉES BRUTES'!C$3:C$42,INDEX('SECTOR OVERVIEW'!M$1:M$20,10)),""),"")</f>
        <v>3</v>
      </c>
      <c r="D18" s="253">
        <f>IFERROR(IF(ISNUMBER(MATCH(INDEX('SECTOR OVERVIEW'!M$1:M$20,10),'DONNÉES BRUTES'!C$3:C$42,0)),ROUND(AVERAGEIF('DONNÉES BRUTES'!C$3:C$42,INDEX('SECTOR OVERVIEW'!M$1:M$20,10),'DONNÉES BRUTES'!AB$3:AB$42),0),""),"")</f>
        <v>42</v>
      </c>
      <c r="E18" s="254" t="s">
        <v>402</v>
      </c>
      <c r="F18" s="255" t="str">
        <f>IFERROR(_xlfn.XLOOKUP(_xlfn.MAXIFS('DONNÉES BRUTES'!AB$3:AB$42,'DONNÉES BRUTES'!C$3:C$42,INDEX('SECTOR OVERVIEW'!M$1:M$20,10)),'DONNÉES BRUTES'!AB$3:AB$42,'DONNÉES BRUTES'!B$3:B$42),"—")</f>
        <v>Koninklijke Philips N.V.</v>
      </c>
      <c r="G18" s="254" t="s">
        <v>403</v>
      </c>
      <c r="H18" s="256" t="s">
        <v>404</v>
      </c>
      <c r="I18" s="254">
        <f t="array" ref="I18">IFERROR(ROUND(MEDIAN(IF('DONNÉES BRUTES'!C$3:C$42=INDEX('SECTOR OVERVIEW'!M$1:M$20,10),IF(ISNUMBER('DONNÉES BRUTES'!U$3:U$42),'DONNÉES BRUTES'!U$3:U$42))),2),"—")</f>
        <v>2.2999999999999998</v>
      </c>
      <c r="J18" s="254" t="str">
        <f>IFERROR(IF(ISNUMBER(MATCH(INDEX('SECTOR OVERVIEW'!M$1:M$20,10),'DONNÉES BRUTES'!C$3:C$42,0)),IF(COUNTIFS('DONNÉES BRUTES'!C$3:C$42,INDEX('SECTOR OVERVIEW'!M$1:M$20,10),'DONNÉES BRUTES'!AD$3:AD$42,"Surpondérer")&gt;0,"Surpondérer",IF(COUNTIFS('DONNÉES BRUTES'!C$3:C$42,INDEX('SECTOR OVERVIEW'!M$1:M$20,10),'DONNÉES BRUTES'!AD$3:AD$42,"Neutre")&gt;=COUNTIFS('DONNÉES BRUTES'!C$3:C$42,INDEX('SECTOR OVERVIEW'!M$1:M$20,10),'DONNÉES BRUTES'!AD$3:AD$42,"Sous-pondérer"),"Neutre","Sous-pondérer")),"—"),"—")</f>
        <v>Neutre</v>
      </c>
      <c r="K18" s="257" t="str">
        <f>IFERROR(IF(AVERAGEIF('DONNÉES BRUTES'!C$3:C$42,INDEX('SECTOR OVERVIEW'!M$1:M$20,10),'DONNÉES BRUTES'!AB$3:AB$42)&gt;=65,"↑ Positif",IF(AVERAGEIF('DONNÉES BRUTES'!C$3:C$42,INDEX('SECTOR OVERVIEW'!M$1:M$20,10),'DONNÉES BRUTES'!AB$3:AB$42)&gt;=50,"→ Neutre","↓ Négatif")),"—")</f>
        <v>↓ Négatif</v>
      </c>
      <c r="L18" s="166"/>
    </row>
    <row r="19" spans="1:18" ht="18" customHeight="1" x14ac:dyDescent="0.3">
      <c r="A19" s="5"/>
      <c r="B19" s="162">
        <f>IFERROR(INDEX('SECTOR OVERVIEW'!M$1:M$21,11),"")</f>
        <v>0</v>
      </c>
      <c r="C19" s="161" t="str">
        <f>IFERROR(IF(ISNUMBER(MATCH(INDEX('SECTOR OVERVIEW'!M$1:M$21,11),'DONNÉES BRUTES'!C$3:C$42,0)),COUNTIF('DONNÉES BRUTES'!C$3:C$42,INDEX('SECTOR OVERVIEW'!M$1:M$21,11)),""),"")</f>
        <v/>
      </c>
      <c r="D19" s="163" t="str">
        <f>IFERROR(IF(ISNUMBER(MATCH(INDEX('SECTOR OVERVIEW'!M$1:M$21,11),'DONNÉES BRUTES'!C$3:C$42,0)),ROUND(AVERAGEIF('DONNÉES BRUTES'!C$3:C$42,INDEX('SECTOR OVERVIEW'!M$1:M$21,11),'DONNÉES BRUTES'!AB$3:AB$42),0),""),"")</f>
        <v/>
      </c>
      <c r="E19" s="164" t="str">
        <f>IFERROR(IF(ISNUMBER(MATCH(INDEX('SECTOR OVERVIEW'!M$1:M$21,11),'DONNÉES BRUTES'!C$3:C$42,0)),REPT("█",ROUND(AVERAGEIF('DONNÉES BRUTES'!C$3:C$42,INDEX('SECTOR OVERVIEW'!M$1:M$21,11),'DONNÉES BRUTES'!AB$3:AB$42)/10,0))&amp;REPT("░",10-ROUND(AVERAGEIF('DONNÉES BRUTES'!C$3:C$42,INDEX('SECTOR OVERVIEW'!M$1:M$21,11),'DONNÉES BRUTES'!AB$3:AB$42)/10,0))&amp;"  "&amp;ROUND(AVERAGEIF('DONNÉES BRUTES'!C$3:C$42,INDEX('SECTOR OVERVIEW'!M$1:M$21,11),'DONNÉES BRUTES'!AB$3:AB$42),0),""),"")</f>
        <v/>
      </c>
      <c r="F19" s="167" t="str">
        <f>IFERROR(IF(ISNUMBER(MATCH(INDEX('SECTOR OVERVIEW'!M$1:M$21,11),'DONNÉES BRUTES'!C$3:C$42,0)),_xlfn.XLOOKUP(_xlfn.MAXIFS('DONNÉES BRUTES'!AB$3:AB$42,'DONNÉES BRUTES'!C$3:C$42,INDEX('SECTOR OVERVIEW'!M$1:M$21,11)),'DONNÉES BRUTES'!AB$3:AB$42,'DONNÉES BRUTES'!B$3:B$42),"—"),"—")</f>
        <v>—</v>
      </c>
      <c r="G19" s="164" t="s">
        <v>405</v>
      </c>
      <c r="H19" s="116" t="s">
        <v>406</v>
      </c>
      <c r="I19" s="164" t="str">
        <f t="array" ref="I19">IFERROR(IF(ISNUMBER(MATCH(INDEX('SECTOR OVERVIEW'!M$1:M$21,11),'DONNÉES BRUTES'!C$3:C$42,0)),ROUND(MEDIAN(IF('DONNÉES BRUTES'!C$3:C$42=INDEX('SECTOR OVERVIEW'!M$1:M$21,11),IF(ISNUMBER('DONNÉES BRUTES'!U$3:U$42),'DONNÉES BRUTES'!U$3:U$42))),2),"—"),"—")</f>
        <v>—</v>
      </c>
      <c r="J19" s="164" t="str">
        <f>IFERROR(IF(ISNUMBER(MATCH(INDEX('SECTOR OVERVIEW'!M$1:M$21,11),'DONNÉES BRUTES'!C$3:C$42,0)),IF(COUNTIFS('DONNÉES BRUTES'!C$3:C$42,INDEX('SECTOR OVERVIEW'!M$1:M$21,11),'DONNÉES BRUTES'!AD$3:AD$42,"Surpondérer")&gt;0,"Surpondérer",IF(COUNTIFS('DONNÉES BRUTES'!C$3:C$42,INDEX('SECTOR OVERVIEW'!M$1:M$21,11),'DONNÉES BRUTES'!AD$3:AD$42,"Neutre")&gt;=COUNTIFS('DONNÉES BRUTES'!C$3:C$42,INDEX('SECTOR OVERVIEW'!M$1:M$21,11),'DONNÉES BRUTES'!AD$3:AD$42,"Sous-pondérer"),"Neutre","Sous-pondérer")),"—"),"—")</f>
        <v>—</v>
      </c>
      <c r="K19" s="161" t="str">
        <f>IFERROR(IF(ISNUMBER(MATCH(INDEX('SECTOR OVERVIEW'!M$1:M$21,11),'DONNÉES BRUTES'!C$3:C$42,0)),IF(AVERAGEIF('DONNÉES BRUTES'!C$3:C$42,INDEX('SECTOR OVERVIEW'!M$1:M$21,11),'DONNÉES BRUTES'!AB$3:AB$42)&gt;=65,"↑ Positif",IF(AVERAGEIF('DONNÉES BRUTES'!C$3:C$42,INDEX('SECTOR OVERVIEW'!M$1:M$21,11),'DONNÉES BRUTES'!AB$3:AB$42)&gt;=50,"→ Neutre","↓ Négatif")),"—"),"—")</f>
        <v>—</v>
      </c>
      <c r="L19" s="161"/>
    </row>
    <row r="20" spans="1:18" ht="20.100000000000001" customHeight="1" x14ac:dyDescent="0.3">
      <c r="A20" s="196"/>
    </row>
    <row r="21" spans="1:18" s="197" customFormat="1" ht="5.0999999999999996" customHeight="1" x14ac:dyDescent="0.3">
      <c r="D21" s="198"/>
      <c r="E21" s="199"/>
      <c r="G21" s="199"/>
      <c r="H21" s="199"/>
      <c r="O21" s="200"/>
      <c r="P21" s="200"/>
      <c r="Q21" s="200"/>
      <c r="R21" s="200"/>
    </row>
    <row r="22" spans="1:18" ht="18" customHeight="1" x14ac:dyDescent="0.3"/>
    <row r="23" spans="1:18" ht="15.9" customHeight="1" x14ac:dyDescent="0.3"/>
    <row r="24" spans="1:18" ht="15.9" customHeight="1" x14ac:dyDescent="0.3"/>
    <row r="25" spans="1:18" ht="15.9" customHeight="1" x14ac:dyDescent="0.3"/>
    <row r="26" spans="1:18" ht="15.9" customHeight="1" x14ac:dyDescent="0.3"/>
    <row r="27" spans="1:18" ht="15.9" customHeight="1" x14ac:dyDescent="0.3"/>
    <row r="28" spans="1:18" ht="15.9" customHeight="1" x14ac:dyDescent="0.3"/>
    <row r="29" spans="1:18" ht="15.9" customHeight="1" x14ac:dyDescent="0.3"/>
    <row r="30" spans="1:18" ht="15.9" customHeight="1" x14ac:dyDescent="0.3"/>
    <row r="31" spans="1:18" ht="9.9" customHeight="1" x14ac:dyDescent="0.3"/>
    <row r="32" spans="1:18" ht="14.1" customHeight="1" x14ac:dyDescent="0.3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2"/>
  <sheetViews>
    <sheetView showGridLines="0" zoomScale="90" workbookViewId="0">
      <selection activeCell="M5" sqref="M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8.8867187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.109375" bestFit="1" customWidth="1"/>
  </cols>
  <sheetData>
    <row r="1" spans="2:17" ht="30" customHeight="1" x14ac:dyDescent="0.3">
      <c r="B1" s="204" t="str">
        <f>"FinSight IA  ·  Technology  ·  CAC 40  ·  "&amp;COUNTIF('DONNÉES BRUTES'!C$3:C$42,"Technologie")&amp;" sociétés  ·  12/04/2026"</f>
        <v>FinSight IA  ·  Technology  ·  CAC 40  ·  4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2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5"/>
      <c r="C5" s="168">
        <v>4</v>
      </c>
      <c r="D5" s="175"/>
      <c r="E5" s="175" t="s">
        <v>73</v>
      </c>
      <c r="F5" s="175"/>
      <c r="G5" s="175"/>
      <c r="H5" s="175" t="str" cm="1">
        <f t="array" ref="H5">IFERROR(INDEX('DONNÉES BRUTES'!B$3:B$42,MATCH(LARGE(IF('DONNÉES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BRUTES'!A$3))/1000,0),0)),"—")</f>
        <v>ASML Holding N.V.</v>
      </c>
      <c r="I5" s="175"/>
      <c r="J5" s="175"/>
      <c r="K5" s="175"/>
      <c r="L5" s="212">
        <v>0.22700000000000001</v>
      </c>
      <c r="M5" s="175"/>
      <c r="N5" s="173" cm="1">
        <f t="array" ref="N5">IFERROR(ROUND(MEDIAN(IF('DONNÉES BRUTES'!C$3:C$42="Technologie",IF(ISNUMBER('DONNÉES BRUTES'!Y$3:Y$42),'DONNÉES BRUTES'!Y$3:Y$42))),0),"—")</f>
        <v>55</v>
      </c>
      <c r="O5" s="175"/>
      <c r="P5" s="185" t="s">
        <v>158</v>
      </c>
      <c r="Q5" s="175"/>
    </row>
    <row r="6" spans="2:17" ht="15.9" customHeight="1" x14ac:dyDescent="0.3">
      <c r="B6" s="175"/>
      <c r="C6" s="169" t="s">
        <v>408</v>
      </c>
      <c r="D6" s="169"/>
      <c r="E6" s="169" t="s">
        <v>409</v>
      </c>
      <c r="F6" s="169"/>
      <c r="G6" s="169"/>
      <c r="H6" s="169" t="s">
        <v>410</v>
      </c>
      <c r="I6" s="169"/>
      <c r="J6" s="169"/>
      <c r="K6" s="175"/>
      <c r="L6" s="170" t="s">
        <v>382</v>
      </c>
      <c r="M6" s="175"/>
      <c r="N6" s="170" t="s">
        <v>411</v>
      </c>
      <c r="O6" s="175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"&amp;UPPER("Technologie")&amp;"  ·  "&amp;COUNTIF('DONNÉES BRUTES'!C$3:C$42,"Technologie")&amp;" sociétés  ·  Triée par Score Global"</f>
        <v>ANALYSE DÉTAILLÉE  ·  TECHNOLOGIE  ·  4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258" t="s">
        <v>133</v>
      </c>
      <c r="C10" s="259" t="s">
        <v>6</v>
      </c>
      <c r="D10" s="259" t="s">
        <v>1</v>
      </c>
      <c r="E10" s="259" t="s">
        <v>8</v>
      </c>
      <c r="F10" s="259" t="s">
        <v>412</v>
      </c>
      <c r="G10" s="259" t="s">
        <v>413</v>
      </c>
      <c r="H10" s="259" t="s">
        <v>414</v>
      </c>
      <c r="I10" s="259" t="s">
        <v>415</v>
      </c>
      <c r="J10" s="259" t="s">
        <v>340</v>
      </c>
      <c r="K10" s="259" t="s">
        <v>416</v>
      </c>
      <c r="L10" s="259" t="s">
        <v>341</v>
      </c>
      <c r="M10" s="259" t="s">
        <v>147</v>
      </c>
      <c r="N10" s="259" t="s">
        <v>417</v>
      </c>
      <c r="O10" s="259" t="s">
        <v>418</v>
      </c>
      <c r="P10" s="259" t="s">
        <v>14</v>
      </c>
      <c r="Q10" s="260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BRUTES'!C$3:C$42,"Technologie"),"",INDEX('DONNÉES BRUTES'!A$3:A$42,MATCH(LARGE(IF('DONNÉES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ASML.AS</v>
      </c>
      <c r="D11" s="406" t="str" cm="1">
        <f t="array" ref="D11">IFERROR(IF(1&gt;COUNTIF('DONNÉES BRUTES'!C$3:C$42,"Technologie"),"",INDEX('DONNÉES BRUTES'!B$3:B$42,MATCH(LARGE(IF('DONNÉES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ASML Holding N.V.</v>
      </c>
      <c r="E11" s="406" t="str" cm="1">
        <f t="array" ref="E11">IFERROR(IF(1&gt;COUNTIF('DONNÉES BRUTES'!C$3:C$42,"Technologie"),"",INT(LARGE(IF('DONNÉES BRUTES'!C$3:C$42="Technologie",'DONNÉES BRUTES'!AB$3:AB$42+(ROW('DONNÉES BRUTES'!A$3:A$42)-ROW('DONNÉES BRUTES'!A$3))/1000,0),1))&amp;"/100"),"—")</f>
        <v>75/100</v>
      </c>
      <c r="F11" s="406" cm="1">
        <f t="array" ref="F11">IFERROR(IF(1&gt;COUNTIF('DONNÉES BRUTES'!C$3:C$42,"Technologie"),"",INDEX('DONNÉES BRUTES'!Y$3:Y$42,MATCH(LARGE(IF('DONNÉES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92</v>
      </c>
      <c r="G11" s="406" cm="1">
        <f t="array" ref="G11">IFERROR(IF(1&gt;COUNTIF('DONNÉES BRUTES'!C$3:C$42,"Technologie"),"",INDEX('DONNÉES BRUTES'!Z$3:Z$42,MATCH(LARGE(IF('DONNÉES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86</v>
      </c>
      <c r="H11" s="406" cm="1">
        <f t="array" ref="H11">IFERROR(IF(1&gt;COUNTIF('DONNÉES BRUTES'!C$3:C$42,"Technologie"),"",INDEX('DONNÉES BRUTES'!AA$3:AA$42,MATCH(LARGE(IF('DONNÉES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98</v>
      </c>
      <c r="I11" s="406" t="str" cm="1">
        <f t="array" ref="I11">IFERROR(IF(1&gt;COUNTIF('DONNÉES BRUTES'!C$3:C$42,"Technologie"),"",INDEX('DONNÉES BRUTES'!M$3:M$42,MATCH(LARGE(IF('DONNÉES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52.8%</v>
      </c>
      <c r="J11" s="406" t="str" cm="1">
        <f t="array" ref="J11">IFERROR(IF(1&gt;COUNTIF('DONNÉES BRUTES'!C$3:C$42,"Technologie"),"",INDEX('DONNÉES BRUTES'!N$3:N$42,MATCH(LARGE(IF('DONNÉES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38.4%</v>
      </c>
      <c r="K11" s="406" t="str" cm="1">
        <f t="array" ref="K11">IFERROR(IF(1&gt;COUNTIF('DONNÉES BRUTES'!C$3:C$42,"Technologie"),"",INDEX('DONNÉES BRUTES'!O$3:O$42,MATCH(LARGE(IF('DONNÉES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29.4%</v>
      </c>
      <c r="L11" s="406" t="str" cm="1">
        <f t="array" ref="L11">IFERROR(IF(1&gt;COUNTIF('DONNÉES BRUTES'!C$3:C$42,"Technologie"),"",INDEX('DONNÉES BRUTES'!P$3:P$42,MATCH(LARGE(IF('DONNÉES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+15.6%</v>
      </c>
      <c r="M11" s="406" t="str" cm="1">
        <f t="array" ref="M11">IFERROR(IF(1&gt;COUNTIF('DONNÉES BRUTES'!C$3:C$42,"Technologie"),"",INDEX('DONNÉES BRUTES'!Q$3:Q$42,MATCH(LARGE(IF('DONNÉES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+49.0%</v>
      </c>
      <c r="N11" s="406" cm="1">
        <f t="array" ref="N11">IFERROR(IF(1&gt;COUNTIF('DONNÉES BRUTES'!C$3:C$42,"Technologie"),"",INDEX('DONNÉES BRUTES'!S$3:S$42,MATCH(LARGE(IF('DONNÉES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1.26</v>
      </c>
      <c r="O11" s="406" t="str" cm="1">
        <f t="array" ref="O11">IFERROR(IF(1&gt;COUNTIF('DONNÉES BRUTES'!C$3:C$42,"Technologie"),"",INDEX('DONNÉES BRUTES'!T$3:T$42,MATCH(LARGE(IF('DONNÉES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-0.7x</v>
      </c>
      <c r="P11" s="406" cm="1">
        <f t="array" ref="P11">IFERROR(IF(1&gt;COUNTIF('DONNÉES BRUTES'!C$3:C$42,"Technologie"),"",INDEX('DONNÉES BRUTES'!U$3:U$42,MATCH(LARGE(IF('DONNÉES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4.1500000000000004</v>
      </c>
      <c r="Q11" s="407" t="str" cm="1">
        <f t="array" ref="Q11">IFERROR(IF(1&gt;COUNTIF('DONNÉES BRUTES'!C$3:C$42,"Technologie"),"",INDEX('DONNÉES BRUTES'!AD$3:AD$42,MATCH(LARGE(IF('DONNÉES BRUTES'!C$3:C$42="Technologie",'DONNÉES BRUTES'!AB$3:AB$42+(ROW('DONNÉES BRUTES'!A$3:A$42)-ROW('DONNÉES BRUTES'!A$3))/1000,0),1),IF('DONNÉES BRUTES'!C$3:C$42="Technologie",'DONNÉES BRUTES'!AB$3:AB$42+(ROW('DONNÉES BRUTES'!A$3:A$42)-ROW('DONNÉES BRUTES'!A$3))/1000,0),0))),"—")</f>
        <v>Surpondérer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BRUTES'!C$3:C$42,"Technologie"),"",INDEX('DONNÉES BRUTES'!A$3:A$42,MATCH(LARGE(IF('DONNÉES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SAP.DE</v>
      </c>
      <c r="D12" s="409" t="str" cm="1">
        <f t="array" ref="D12">IFERROR(IF(2&gt;COUNTIF('DONNÉES BRUTES'!C$3:C$42,"Technologie"),"",INDEX('DONNÉES BRUTES'!B$3:B$42,MATCH(LARGE(IF('DONNÉES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SAP SE</v>
      </c>
      <c r="E12" s="409" t="str" cm="1">
        <f t="array" ref="E12">IFERROR(IF(2&gt;COUNTIF('DONNÉES BRUTES'!C$3:C$42,"Technologie"),"",INT(LARGE(IF('DONNÉES BRUTES'!C$3:C$42="Technologie",'DONNÉES BRUTES'!AB$3:AB$42+(ROW('DONNÉES BRUTES'!A$3:A$42)-ROW('DONNÉES BRUTES'!A$3))/1000,0),2))&amp;"/100"),"—")</f>
        <v>62/100</v>
      </c>
      <c r="F12" s="409" cm="1">
        <f t="array" ref="F12">IFERROR(IF(2&gt;COUNTIF('DONNÉES BRUTES'!C$3:C$42,"Technologie"),"",INDEX('DONNÉES BRUTES'!Y$3:Y$42,MATCH(LARGE(IF('DONNÉES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78</v>
      </c>
      <c r="G12" s="409" cm="1">
        <f t="array" ref="G12">IFERROR(IF(2&gt;COUNTIF('DONNÉES BRUTES'!C$3:C$42,"Technologie"),"",INDEX('DONNÉES BRUTES'!Z$3:Z$42,MATCH(LARGE(IF('DONNÉES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80</v>
      </c>
      <c r="H12" s="409" cm="1">
        <f t="array" ref="H12">IFERROR(IF(2&gt;COUNTIF('DONNÉES BRUTES'!C$3:C$42,"Technologie"),"",INDEX('DONNÉES BRUTES'!AA$3:AA$42,MATCH(LARGE(IF('DONNÉES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0</v>
      </c>
      <c r="I12" s="409" t="str" cm="1">
        <f t="array" ref="I12">IFERROR(IF(2&gt;COUNTIF('DONNÉES BRUTES'!C$3:C$42,"Technologie"),"",INDEX('DONNÉES BRUTES'!M$3:M$42,MATCH(LARGE(IF('DONNÉES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72.9%</v>
      </c>
      <c r="J12" s="409" t="str" cm="1">
        <f t="array" ref="J12">IFERROR(IF(2&gt;COUNTIF('DONNÉES BRUTES'!C$3:C$42,"Technologie"),"",INDEX('DONNÉES BRUTES'!N$3:N$42,MATCH(LARGE(IF('DONNÉES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32.8%</v>
      </c>
      <c r="K12" s="409" t="str" cm="1">
        <f t="array" ref="K12">IFERROR(IF(2&gt;COUNTIF('DONNÉES BRUTES'!C$3:C$42,"Technologie"),"",INDEX('DONNÉES BRUTES'!O$3:O$42,MATCH(LARGE(IF('DONNÉES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19.5%</v>
      </c>
      <c r="L12" s="409" t="str" cm="1">
        <f t="array" ref="L12">IFERROR(IF(2&gt;COUNTIF('DONNÉES BRUTES'!C$3:C$42,"Technologie"),"",INDEX('DONNÉES BRUTES'!P$3:P$42,MATCH(LARGE(IF('DONNÉES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+7.7%</v>
      </c>
      <c r="M12" s="409" t="str" cm="1">
        <f t="array" ref="M12">IFERROR(IF(2&gt;COUNTIF('DONNÉES BRUTES'!C$3:C$42,"Technologie"),"",INDEX('DONNÉES BRUTES'!Q$3:Q$42,MATCH(LARGE(IF('DONNÉES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+16.1%</v>
      </c>
      <c r="N12" s="409" cm="1">
        <f t="array" ref="N12">IFERROR(IF(2&gt;COUNTIF('DONNÉES BRUTES'!C$3:C$42,"Technologie"),"",INDEX('DONNÉES BRUTES'!S$3:S$42,MATCH(LARGE(IF('DONNÉES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1.1599999999999999</v>
      </c>
      <c r="O12" s="409" t="str" cm="1">
        <f t="array" ref="O12">IFERROR(IF(2&gt;COUNTIF('DONNÉES BRUTES'!C$3:C$42,"Technologie"),"",INDEX('DONNÉES BRUTES'!T$3:T$42,MATCH(LARGE(IF('DONNÉES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-0.2x</v>
      </c>
      <c r="P12" s="409" cm="1">
        <f t="array" ref="P12">IFERROR(IF(2&gt;COUNTIF('DONNÉES BRUTES'!C$3:C$42,"Technologie"),"",INDEX('DONNÉES BRUTES'!U$3:U$42,MATCH(LARGE(IF('DONNÉES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5.34</v>
      </c>
      <c r="Q12" s="410" t="str" cm="1">
        <f t="array" ref="Q12">IFERROR(IF(2&gt;COUNTIF('DONNÉES BRUTES'!C$3:C$42,"Technologie"),"",INDEX('DONNÉES BRUTES'!AD$3:AD$42,MATCH(LARGE(IF('DONNÉES BRUTES'!C$3:C$42="Technologie",'DONNÉES BRUTES'!AB$3:AB$42+(ROW('DONNÉES BRUTES'!A$3:A$42)-ROW('DONNÉES BRUTES'!A$3))/1000,0),2),IF('DONNÉES BRUTES'!C$3:C$42="Technologie",'DONNÉES BRUTES'!AB$3:AB$42+(ROW('DONNÉES BRUTES'!A$3:A$42)-ROW('DONNÉES BRUTES'!A$3))/1000,0),0))),"—")</f>
        <v>Surpondérer</v>
      </c>
    </row>
    <row r="13" spans="2:17" ht="15.9" customHeight="1" x14ac:dyDescent="0.3">
      <c r="B13" s="411">
        <v>3</v>
      </c>
      <c r="C13" s="412" t="str" cm="1">
        <f t="array" ref="C13">IFERROR(IF(3&gt;COUNTIF('DONNÉES BRUTES'!C$3:C$42,"Technologie"),"",INDEX('DONNÉES BRUTES'!A$3:A$42,MATCH(LARGE(IF('DONNÉES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NOKIA.HE</v>
      </c>
      <c r="D13" s="412" t="str" cm="1">
        <f t="array" ref="D13">IFERROR(IF(3&gt;COUNTIF('DONNÉES BRUTES'!C$3:C$42,"Technologie"),"",INDEX('DONNÉES BRUTES'!B$3:B$42,MATCH(LARGE(IF('DONNÉES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Nokia Oyj</v>
      </c>
      <c r="E13" s="412" t="str" cm="1">
        <f t="array" ref="E13">IFERROR(IF(3&gt;COUNTIF('DONNÉES BRUTES'!C$3:C$42,"Technologie"),"",INT(LARGE(IF('DONNÉES BRUTES'!C$3:C$42="Technologie",'DONNÉES BRUTES'!AB$3:AB$42+(ROW('DONNÉES BRUTES'!A$3:A$42)-ROW('DONNÉES BRUTES'!A$3))/1000,0),3))&amp;"/100"),"—")</f>
        <v>46/100</v>
      </c>
      <c r="F13" s="412" cm="1">
        <f t="array" ref="F13">IFERROR(IF(3&gt;COUNTIF('DONNÉES BRUTES'!C$3:C$42,"Technologie"),"",INDEX('DONNÉES BRUTES'!Y$3:Y$42,MATCH(LARGE(IF('DONNÉES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29</v>
      </c>
      <c r="G13" s="412" cm="1">
        <f t="array" ref="G13">IFERROR(IF(3&gt;COUNTIF('DONNÉES BRUTES'!C$3:C$42,"Technologie"),"",INDEX('DONNÉES BRUTES'!Z$3:Z$42,MATCH(LARGE(IF('DONNÉES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57</v>
      </c>
      <c r="H13" s="412" cm="1">
        <f t="array" ref="H13">IFERROR(IF(3&gt;COUNTIF('DONNÉES BRUTES'!C$3:C$42,"Technologie"),"",INDEX('DONNÉES BRUTES'!AA$3:AA$42,MATCH(LARGE(IF('DONNÉES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94</v>
      </c>
      <c r="I13" s="412" t="str" cm="1">
        <f t="array" ref="I13">IFERROR(IF(3&gt;COUNTIF('DONNÉES BRUTES'!C$3:C$42,"Technologie"),"",INDEX('DONNÉES BRUTES'!M$3:M$42,MATCH(LARGE(IF('DONNÉES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43.5%</v>
      </c>
      <c r="J13" s="412" t="str" cm="1">
        <f t="array" ref="J13">IFERROR(IF(3&gt;COUNTIF('DONNÉES BRUTES'!C$3:C$42,"Technologie"),"",INDEX('DONNÉES BRUTES'!N$3:N$42,MATCH(LARGE(IF('DONNÉES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11.3%</v>
      </c>
      <c r="K13" s="412" t="str" cm="1">
        <f t="array" ref="K13">IFERROR(IF(3&gt;COUNTIF('DONNÉES BRUTES'!C$3:C$42,"Technologie"),"",INDEX('DONNÉES BRUTES'!O$3:O$42,MATCH(LARGE(IF('DONNÉES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3.3%</v>
      </c>
      <c r="L13" s="412" t="str" cm="1">
        <f t="array" ref="L13">IFERROR(IF(3&gt;COUNTIF('DONNÉES BRUTES'!C$3:C$42,"Technologie"),"",INDEX('DONNÉES BRUTES'!P$3:P$42,MATCH(LARGE(IF('DONNÉES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+3.5%</v>
      </c>
      <c r="M13" s="412" t="str" cm="1">
        <f t="array" ref="M13">IFERROR(IF(3&gt;COUNTIF('DONNÉES BRUTES'!C$3:C$42,"Technologie"),"",INDEX('DONNÉES BRUTES'!Q$3:Q$42,MATCH(LARGE(IF('DONNÉES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+3.1%</v>
      </c>
      <c r="N13" s="412" cm="1">
        <f t="array" ref="N13">IFERROR(IF(3&gt;COUNTIF('DONNÉES BRUTES'!C$3:C$42,"Technologie"),"",INDEX('DONNÉES BRUTES'!S$3:S$42,MATCH(LARGE(IF('DONNÉES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1.58</v>
      </c>
      <c r="O13" s="412" t="str" cm="1">
        <f t="array" ref="O13">IFERROR(IF(3&gt;COUNTIF('DONNÉES BRUTES'!C$3:C$42,"Technologie"),"",INDEX('DONNÉES BRUTES'!T$3:T$42,MATCH(LARGE(IF('DONNÉES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-0.9x</v>
      </c>
      <c r="P13" s="412" cm="1">
        <f t="array" ref="P13">IFERROR(IF(3&gt;COUNTIF('DONNÉES BRUTES'!C$3:C$42,"Technologie"),"",INDEX('DONNÉES BRUTES'!U$3:U$42,MATCH(LARGE(IF('DONNÉES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2.7</v>
      </c>
      <c r="Q13" s="413" t="str" cm="1">
        <f t="array" ref="Q13">IFERROR(IF(3&gt;COUNTIF('DONNÉES BRUTES'!C$3:C$42,"Technologie"),"",INDEX('DONNÉES BRUTES'!AD$3:AD$42,MATCH(LARGE(IF('DONNÉES BRUTES'!C$3:C$42="Technologie",'DONNÉES BRUTES'!AB$3:AB$42+(ROW('DONNÉES BRUTES'!A$3:A$42)-ROW('DONNÉES BRUTES'!A$3))/1000,0),3),IF('DONNÉES BRUTES'!C$3:C$42="Technologie",'DONNÉES BRUTES'!AB$3:AB$42+(ROW('DONNÉES BRUTES'!A$3:A$42)-ROW('DONNÉES BRUTES'!A$3))/1000,0),0))),"—")</f>
        <v>Neutre</v>
      </c>
    </row>
    <row r="14" spans="2:17" ht="15.9" customHeight="1" x14ac:dyDescent="0.3">
      <c r="B14" s="414">
        <v>4</v>
      </c>
      <c r="C14" s="415" t="str" cm="1">
        <f t="array" ref="C14">IFERROR(IF(4&gt;COUNTIF('DONNÉES BRUTES'!C$3:C$42,"Technologie"),"",INDEX('DONNÉES BRUTES'!A$3:A$42,MATCH(LARGE(IF('DONNÉES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IFX.DE</v>
      </c>
      <c r="D14" s="415" t="str" cm="1">
        <f t="array" ref="D14">IFERROR(IF(4&gt;COUNTIF('DONNÉES BRUTES'!C$3:C$42,"Technologie"),"",INDEX('DONNÉES BRUTES'!B$3:B$42,MATCH(LARGE(IF('DONNÉES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Infineon Technologies AG</v>
      </c>
      <c r="E14" s="415" t="str" cm="1">
        <f t="array" ref="E14">IFERROR(IF(4&gt;COUNTIF('DONNÉES BRUTES'!C$3:C$42,"Technologie"),"",INT(LARGE(IF('DONNÉES BRUTES'!C$3:C$42="Technologie",'DONNÉES BRUTES'!AB$3:AB$42+(ROW('DONNÉES BRUTES'!A$3:A$42)-ROW('DONNÉES BRUTES'!A$3))/1000,0),4))&amp;"/100"),"—")</f>
        <v>40/100</v>
      </c>
      <c r="F14" s="415" cm="1">
        <f t="array" ref="F14">IFERROR(IF(4&gt;COUNTIF('DONNÉES BRUTES'!C$3:C$42,"Technologie"),"",INDEX('DONNÉES BRUTES'!Y$3:Y$42,MATCH(LARGE(IF('DONNÉES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32</v>
      </c>
      <c r="G14" s="415" cm="1">
        <f t="array" ref="G14">IFERROR(IF(4&gt;COUNTIF('DONNÉES BRUTES'!C$3:C$42,"Technologie"),"",INDEX('DONNÉES BRUTES'!Z$3:Z$42,MATCH(LARGE(IF('DONNÉES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59</v>
      </c>
      <c r="H14" s="415" cm="1">
        <f t="array" ref="H14">IFERROR(IF(4&gt;COUNTIF('DONNÉES BRUTES'!C$3:C$42,"Technologie"),"",INDEX('DONNÉES BRUTES'!AA$3:AA$42,MATCH(LARGE(IF('DONNÉES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57</v>
      </c>
      <c r="I14" s="415" t="str" cm="1">
        <f t="array" ref="I14">IFERROR(IF(4&gt;COUNTIF('DONNÉES BRUTES'!C$3:C$42,"Technologie"),"",INDEX('DONNÉES BRUTES'!M$3:M$42,MATCH(LARGE(IF('DONNÉES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39.2%</v>
      </c>
      <c r="J14" s="415" t="str" cm="1">
        <f t="array" ref="J14">IFERROR(IF(4&gt;COUNTIF('DONNÉES BRUTES'!C$3:C$42,"Technologie"),"",INDEX('DONNÉES BRUTES'!N$3:N$42,MATCH(LARGE(IF('DONNÉES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24.0%</v>
      </c>
      <c r="K14" s="415" t="str" cm="1">
        <f t="array" ref="K14">IFERROR(IF(4&gt;COUNTIF('DONNÉES BRUTES'!C$3:C$42,"Technologie"),"",INDEX('DONNÉES BRUTES'!O$3:O$42,MATCH(LARGE(IF('DONNÉES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6.9%</v>
      </c>
      <c r="L14" s="415" t="str" cm="1">
        <f t="array" ref="L14">IFERROR(IF(4&gt;COUNTIF('DONNÉES BRUTES'!C$3:C$42,"Technologie"),"",INDEX('DONNÉES BRUTES'!P$3:P$42,MATCH(LARGE(IF('DONNÉES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-2.0%</v>
      </c>
      <c r="M14" s="415" t="str" cm="1">
        <f t="array" ref="M14">IFERROR(IF(4&gt;COUNTIF('DONNÉES BRUTES'!C$3:C$42,"Technologie"),"",INDEX('DONNÉES BRUTES'!Q$3:Q$42,MATCH(LARGE(IF('DONNÉES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+6.0%</v>
      </c>
      <c r="N14" s="415" cm="1">
        <f t="array" ref="N14">IFERROR(IF(4&gt;COUNTIF('DONNÉES BRUTES'!C$3:C$42,"Technologie"),"",INDEX('DONNÉES BRUTES'!S$3:S$42,MATCH(LARGE(IF('DONNÉES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1.7</v>
      </c>
      <c r="O14" s="415" t="str" cm="1">
        <f t="array" ref="O14">IFERROR(IF(4&gt;COUNTIF('DONNÉES BRUTES'!C$3:C$42,"Technologie"),"",INDEX('DONNÉES BRUTES'!T$3:T$42,MATCH(LARGE(IF('DONNÉES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1.6x</v>
      </c>
      <c r="P14" s="415" cm="1">
        <f t="array" ref="P14">IFERROR(IF(4&gt;COUNTIF('DONNÉES BRUTES'!C$3:C$42,"Technologie"),"",INDEX('DONNÉES BRUTES'!U$3:U$42,MATCH(LARGE(IF('DONNÉES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3.37</v>
      </c>
      <c r="Q14" s="416" t="str" cm="1">
        <f t="array" ref="Q14">IFERROR(IF(4&gt;COUNTIF('DONNÉES BRUTES'!C$3:C$42,"Technologie"),"",INDEX('DONNÉES BRUTES'!AD$3:AD$42,MATCH(LARGE(IF('DONNÉES BRUTES'!C$3:C$42="Technologie",'DONNÉES BRUTES'!AB$3:AB$42+(ROW('DONNÉES BRUTES'!A$3:A$42)-ROW('DONNÉES BRUTES'!A$3))/1000,0),4),IF('DONNÉES BRUTES'!C$3:C$42="Technologie",'DONNÉES BRUTES'!AB$3:AB$42+(ROW('DONNÉES BRUTES'!A$3:A$42)-ROW('DONNÉES BRUTES'!A$3))/1000,0),0))),"—")</f>
        <v>Neutre</v>
      </c>
    </row>
    <row r="15" spans="2:17" ht="15.9" customHeight="1" x14ac:dyDescent="0.3">
      <c r="C15" t="str" cm="1">
        <f t="array" ref="C15">IFERROR(IF(5&gt;COUNTIF('DONNÉES BRUTES'!C$3:C$42,"Technologie"),"",INDEX('DONNÉES BRUTES'!A$3:A$42,MATCH(LARGE(IF('DONNÉES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D15" t="str" cm="1">
        <f t="array" ref="D15">IFERROR(IF(5&gt;COUNTIF('DONNÉES BRUTES'!C$3:C$42,"Technologie"),"",INDEX('DONNÉES BRUTES'!B$3:B$42,MATCH(LARGE(IF('DONNÉES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E15" t="str" cm="1">
        <f t="array" ref="E15">IFERROR(IF(5&gt;COUNTIF('DONNÉES BRUTES'!C$3:C$42,"Technologie"),"",INT(LARGE(IF('DONNÉES BRUTES'!C$3:C$42="Technologie",'DONNÉES BRUTES'!AB$3:AB$42+(ROW('DONNÉES BRUTES'!A$3:A$42)-ROW('DONNÉES BRUTES'!A$3))/1000,0),5))&amp;"/100"),"—")</f>
        <v/>
      </c>
      <c r="F15" t="str" cm="1">
        <f t="array" ref="F15">IFERROR(IF(5&gt;COUNTIF('DONNÉES BRUTES'!C$3:C$42,"Technologie"),"",INDEX('DONNÉES BRUTES'!Y$3:Y$42,MATCH(LARGE(IF('DONNÉES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G15" t="str" cm="1">
        <f t="array" ref="G15">IFERROR(IF(5&gt;COUNTIF('DONNÉES BRUTES'!C$3:C$42,"Technologie"),"",INDEX('DONNÉES BRUTES'!Z$3:Z$42,MATCH(LARGE(IF('DONNÉES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H15" t="str" cm="1">
        <f t="array" ref="H15">IFERROR(IF(5&gt;COUNTIF('DONNÉES BRUTES'!C$3:C$42,"Technologie"),"",INDEX('DONNÉES BRUTES'!AA$3:AA$42,MATCH(LARGE(IF('DONNÉES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I15" t="str" cm="1">
        <f t="array" ref="I15">IFERROR(IF(5&gt;COUNTIF('DONNÉES BRUTES'!C$3:C$42,"Technologie"),"",INDEX('DONNÉES BRUTES'!M$3:M$42,MATCH(LARGE(IF('DONNÉES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J15" t="str" cm="1">
        <f t="array" ref="J15">IFERROR(IF(5&gt;COUNTIF('DONNÉES BRUTES'!C$3:C$42,"Technologie"),"",INDEX('DONNÉES BRUTES'!N$3:N$42,MATCH(LARGE(IF('DONNÉES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K15" t="str" cm="1">
        <f t="array" ref="K15">IFERROR(IF(5&gt;COUNTIF('DONNÉES BRUTES'!C$3:C$42,"Technologie"),"",INDEX('DONNÉES BRUTES'!O$3:O$42,MATCH(LARGE(IF('DONNÉES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L15" t="str" cm="1">
        <f t="array" ref="L15">IFERROR(IF(5&gt;COUNTIF('DONNÉES BRUTES'!C$3:C$42,"Technologie"),"",INDEX('DONNÉES BRUTES'!P$3:P$42,MATCH(LARGE(IF('DONNÉES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M15" t="str" cm="1">
        <f t="array" ref="M15">IFERROR(IF(5&gt;COUNTIF('DONNÉES BRUTES'!C$3:C$42,"Technologie"),"",INDEX('DONNÉES BRUTES'!Q$3:Q$42,MATCH(LARGE(IF('DONNÉES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N15" t="str" cm="1">
        <f t="array" ref="N15">IFERROR(IF(5&gt;COUNTIF('DONNÉES BRUTES'!C$3:C$42,"Technologie"),"",INDEX('DONNÉES BRUTES'!S$3:S$42,MATCH(LARGE(IF('DONNÉES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O15" t="str" cm="1">
        <f t="array" ref="O15">IFERROR(IF(5&gt;COUNTIF('DONNÉES BRUTES'!C$3:C$42,"Technologie"),"",INDEX('DONNÉES BRUTES'!T$3:T$42,MATCH(LARGE(IF('DONNÉES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P15" t="str" cm="1">
        <f t="array" ref="P15">IFERROR(IF(5&gt;COUNTIF('DONNÉES BRUTES'!C$3:C$42,"Technologie"),"",INDEX('DONNÉES BRUTES'!U$3:U$42,MATCH(LARGE(IF('DONNÉES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  <c r="Q15" t="str" cm="1">
        <f t="array" ref="Q15">IFERROR(IF(5&gt;COUNTIF('DONNÉES BRUTES'!C$3:C$42,"Technologie"),"",INDEX('DONNÉES BRUTES'!AD$3:AD$42,MATCH(LARGE(IF('DONNÉES BRUTES'!C$3:C$42="Technologie",'DONNÉES BRUTES'!AB$3:AB$42+(ROW('DONNÉES BRUTES'!A$3:A$42)-ROW('DONNÉES BRUTES'!A$3))/1000,0),5),IF('DONNÉES BRUTES'!C$3:C$42="Technologie",'DONNÉES BRUTES'!AB$3:AB$42+(ROW('DONNÉES BRUTES'!A$3:A$42)-ROW('DONNÉES BRUTES'!A$3))/1000,0),0))),"—")</f>
        <v/>
      </c>
    </row>
    <row r="16" spans="2:17" ht="15.9" customHeight="1" x14ac:dyDescent="0.3">
      <c r="C16" t="str" cm="1">
        <f t="array" ref="C16">IFERROR(IF(6&gt;COUNTIF('DONNÉES BRUTES'!C$3:C$42,"Technologie"),"",INDEX('DONNÉES BRUTES'!A$3:A$42,MATCH(LARGE(IF('DONNÉES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D16" t="str" cm="1">
        <f t="array" ref="D16">IFERROR(IF(6&gt;COUNTIF('DONNÉES BRUTES'!C$3:C$42,"Technologie"),"",INDEX('DONNÉES BRUTES'!B$3:B$42,MATCH(LARGE(IF('DONNÉES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E16" t="str" cm="1">
        <f t="array" ref="E16">IFERROR(IF(6&gt;COUNTIF('DONNÉES BRUTES'!C$3:C$42,"Technologie"),"",INT(LARGE(IF('DONNÉES BRUTES'!C$3:C$42="Technologie",'DONNÉES BRUTES'!AB$3:AB$42+(ROW('DONNÉES BRUTES'!A$3:A$42)-ROW('DONNÉES BRUTES'!A$3))/1000,0),6))&amp;"/100"),"—")</f>
        <v/>
      </c>
      <c r="F16" t="str" cm="1">
        <f t="array" ref="F16">IFERROR(IF(6&gt;COUNTIF('DONNÉES BRUTES'!C$3:C$42,"Technologie"),"",INDEX('DONNÉES BRUTES'!Y$3:Y$42,MATCH(LARGE(IF('DONNÉES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G16" t="str" cm="1">
        <f t="array" ref="G16">IFERROR(IF(6&gt;COUNTIF('DONNÉES BRUTES'!C$3:C$42,"Technologie"),"",INDEX('DONNÉES BRUTES'!Z$3:Z$42,MATCH(LARGE(IF('DONNÉES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H16" t="str" cm="1">
        <f t="array" ref="H16">IFERROR(IF(6&gt;COUNTIF('DONNÉES BRUTES'!C$3:C$42,"Technologie"),"",INDEX('DONNÉES BRUTES'!AA$3:AA$42,MATCH(LARGE(IF('DONNÉES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I16" t="str" cm="1">
        <f t="array" ref="I16">IFERROR(IF(6&gt;COUNTIF('DONNÉES BRUTES'!C$3:C$42,"Technologie"),"",INDEX('DONNÉES BRUTES'!M$3:M$42,MATCH(LARGE(IF('DONNÉES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J16" t="str" cm="1">
        <f t="array" ref="J16">IFERROR(IF(6&gt;COUNTIF('DONNÉES BRUTES'!C$3:C$42,"Technologie"),"",INDEX('DONNÉES BRUTES'!N$3:N$42,MATCH(LARGE(IF('DONNÉES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K16" t="str" cm="1">
        <f t="array" ref="K16">IFERROR(IF(6&gt;COUNTIF('DONNÉES BRUTES'!C$3:C$42,"Technologie"),"",INDEX('DONNÉES BRUTES'!O$3:O$42,MATCH(LARGE(IF('DONNÉES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L16" t="str" cm="1">
        <f t="array" ref="L16">IFERROR(IF(6&gt;COUNTIF('DONNÉES BRUTES'!C$3:C$42,"Technologie"),"",INDEX('DONNÉES BRUTES'!P$3:P$42,MATCH(LARGE(IF('DONNÉES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M16" t="str" cm="1">
        <f t="array" ref="M16">IFERROR(IF(6&gt;COUNTIF('DONNÉES BRUTES'!C$3:C$42,"Technologie"),"",INDEX('DONNÉES BRUTES'!Q$3:Q$42,MATCH(LARGE(IF('DONNÉES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N16" t="str" cm="1">
        <f t="array" ref="N16">IFERROR(IF(6&gt;COUNTIF('DONNÉES BRUTES'!C$3:C$42,"Technologie"),"",INDEX('DONNÉES BRUTES'!S$3:S$42,MATCH(LARGE(IF('DONNÉES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O16" t="str" cm="1">
        <f t="array" ref="O16">IFERROR(IF(6&gt;COUNTIF('DONNÉES BRUTES'!C$3:C$42,"Technologie"),"",INDEX('DONNÉES BRUTES'!T$3:T$42,MATCH(LARGE(IF('DONNÉES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P16" t="str" cm="1">
        <f t="array" ref="P16">IFERROR(IF(6&gt;COUNTIF('DONNÉES BRUTES'!C$3:C$42,"Technologie"),"",INDEX('DONNÉES BRUTES'!U$3:U$42,MATCH(LARGE(IF('DONNÉES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  <c r="Q16" t="str" cm="1">
        <f t="array" ref="Q16">IFERROR(IF(6&gt;COUNTIF('DONNÉES BRUTES'!C$3:C$42,"Technologie"),"",INDEX('DONNÉES BRUTES'!AD$3:AD$42,MATCH(LARGE(IF('DONNÉES BRUTES'!C$3:C$42="Technologie",'DONNÉES BRUTES'!AB$3:AB$42+(ROW('DONNÉES BRUTES'!A$3:A$42)-ROW('DONNÉES BRUTES'!A$3))/1000,0),6),IF('DONNÉES BRUTES'!C$3:C$42="Technologie",'DONNÉES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BRUTES'!C$3:C$42,"Technologie"),"",INDEX('DONNÉES BRUTES'!A$3:A$42,MATCH(LARGE(IF('DONNÉES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D17" t="str" cm="1">
        <f t="array" ref="D17">IFERROR(IF(7&gt;COUNTIF('DONNÉES BRUTES'!C$3:C$42,"Technologie"),"",INDEX('DONNÉES BRUTES'!B$3:B$42,MATCH(LARGE(IF('DONNÉES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E17" t="str" cm="1">
        <f t="array" ref="E17">IFERROR(IF(7&gt;COUNTIF('DONNÉES BRUTES'!C$3:C$42,"Technologie"),"",INT(LARGE(IF('DONNÉES BRUTES'!C$3:C$42="Technologie",'DONNÉES BRUTES'!AB$3:AB$42+(ROW('DONNÉES BRUTES'!A$3:A$42)-ROW('DONNÉES BRUTES'!A$3))/1000,0),7))&amp;"/100"),"—")</f>
        <v/>
      </c>
      <c r="F17" t="str" cm="1">
        <f t="array" ref="F17">IFERROR(IF(7&gt;COUNTIF('DONNÉES BRUTES'!C$3:C$42,"Technologie"),"",INDEX('DONNÉES BRUTES'!Y$3:Y$42,MATCH(LARGE(IF('DONNÉES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G17" t="str" cm="1">
        <f t="array" ref="G17">IFERROR(IF(7&gt;COUNTIF('DONNÉES BRUTES'!C$3:C$42,"Technologie"),"",INDEX('DONNÉES BRUTES'!Z$3:Z$42,MATCH(LARGE(IF('DONNÉES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H17" t="str" cm="1">
        <f t="array" ref="H17">IFERROR(IF(7&gt;COUNTIF('DONNÉES BRUTES'!C$3:C$42,"Technologie"),"",INDEX('DONNÉES BRUTES'!AA$3:AA$42,MATCH(LARGE(IF('DONNÉES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I17" t="str" cm="1">
        <f t="array" ref="I17">IFERROR(IF(7&gt;COUNTIF('DONNÉES BRUTES'!C$3:C$42,"Technologie"),"",INDEX('DONNÉES BRUTES'!M$3:M$42,MATCH(LARGE(IF('DONNÉES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J17" t="str" cm="1">
        <f t="array" ref="J17">IFERROR(IF(7&gt;COUNTIF('DONNÉES BRUTES'!C$3:C$42,"Technologie"),"",INDEX('DONNÉES BRUTES'!N$3:N$42,MATCH(LARGE(IF('DONNÉES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K17" t="str" cm="1">
        <f t="array" ref="K17">IFERROR(IF(7&gt;COUNTIF('DONNÉES BRUTES'!C$3:C$42,"Technologie"),"",INDEX('DONNÉES BRUTES'!O$3:O$42,MATCH(LARGE(IF('DONNÉES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L17" t="str" cm="1">
        <f t="array" ref="L17">IFERROR(IF(7&gt;COUNTIF('DONNÉES BRUTES'!C$3:C$42,"Technologie"),"",INDEX('DONNÉES BRUTES'!P$3:P$42,MATCH(LARGE(IF('DONNÉES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M17" t="str" cm="1">
        <f t="array" ref="M17">IFERROR(IF(7&gt;COUNTIF('DONNÉES BRUTES'!C$3:C$42,"Technologie"),"",INDEX('DONNÉES BRUTES'!Q$3:Q$42,MATCH(LARGE(IF('DONNÉES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N17" t="str" cm="1">
        <f t="array" ref="N17">IFERROR(IF(7&gt;COUNTIF('DONNÉES BRUTES'!C$3:C$42,"Technologie"),"",INDEX('DONNÉES BRUTES'!S$3:S$42,MATCH(LARGE(IF('DONNÉES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O17" t="str" cm="1">
        <f t="array" ref="O17">IFERROR(IF(7&gt;COUNTIF('DONNÉES BRUTES'!C$3:C$42,"Technologie"),"",INDEX('DONNÉES BRUTES'!T$3:T$42,MATCH(LARGE(IF('DONNÉES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P17" t="str" cm="1">
        <f t="array" ref="P17">IFERROR(IF(7&gt;COUNTIF('DONNÉES BRUTES'!C$3:C$42,"Technologie"),"",INDEX('DONNÉES BRUTES'!U$3:U$42,MATCH(LARGE(IF('DONNÉES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  <c r="Q17" t="str" cm="1">
        <f t="array" ref="Q17">IFERROR(IF(7&gt;COUNTIF('DONNÉES BRUTES'!C$3:C$42,"Technologie"),"",INDEX('DONNÉES BRUTES'!AD$3:AD$42,MATCH(LARGE(IF('DONNÉES BRUTES'!C$3:C$42="Technologie",'DONNÉES BRUTES'!AB$3:AB$42+(ROW('DONNÉES BRUTES'!A$3:A$42)-ROW('DONNÉES BRUTES'!A$3))/1000,0),7),IF('DONNÉES BRUTES'!C$3:C$42="Technologie",'DONNÉES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BRUTES'!C$3:C$42,"Technologie"),"",INDEX('DONNÉES BRUTES'!A$3:A$42,MATCH(LARGE(IF('DONNÉES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D18" t="str" cm="1">
        <f t="array" ref="D18">IFERROR(IF(8&gt;COUNTIF('DONNÉES BRUTES'!C$3:C$42,"Technologie"),"",INDEX('DONNÉES BRUTES'!B$3:B$42,MATCH(LARGE(IF('DONNÉES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E18" t="str" cm="1">
        <f t="array" ref="E18">IFERROR(IF(8&gt;COUNTIF('DONNÉES BRUTES'!C$3:C$42,"Technologie"),"",INT(LARGE(IF('DONNÉES BRUTES'!C$3:C$42="Technologie",'DONNÉES BRUTES'!AB$3:AB$42+(ROW('DONNÉES BRUTES'!A$3:A$42)-ROW('DONNÉES BRUTES'!A$3))/1000,0),8))&amp;"/100"),"—")</f>
        <v/>
      </c>
      <c r="F18" t="str" cm="1">
        <f t="array" ref="F18">IFERROR(IF(8&gt;COUNTIF('DONNÉES BRUTES'!C$3:C$42,"Technologie"),"",INDEX('DONNÉES BRUTES'!Y$3:Y$42,MATCH(LARGE(IF('DONNÉES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G18" t="str" cm="1">
        <f t="array" ref="G18">IFERROR(IF(8&gt;COUNTIF('DONNÉES BRUTES'!C$3:C$42,"Technologie"),"",INDEX('DONNÉES BRUTES'!Z$3:Z$42,MATCH(LARGE(IF('DONNÉES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H18" t="str" cm="1">
        <f t="array" ref="H18">IFERROR(IF(8&gt;COUNTIF('DONNÉES BRUTES'!C$3:C$42,"Technologie"),"",INDEX('DONNÉES BRUTES'!AA$3:AA$42,MATCH(LARGE(IF('DONNÉES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I18" t="str" cm="1">
        <f t="array" ref="I18">IFERROR(IF(8&gt;COUNTIF('DONNÉES BRUTES'!C$3:C$42,"Technologie"),"",INDEX('DONNÉES BRUTES'!M$3:M$42,MATCH(LARGE(IF('DONNÉES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J18" t="str" cm="1">
        <f t="array" ref="J18">IFERROR(IF(8&gt;COUNTIF('DONNÉES BRUTES'!C$3:C$42,"Technologie"),"",INDEX('DONNÉES BRUTES'!N$3:N$42,MATCH(LARGE(IF('DONNÉES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K18" t="str" cm="1">
        <f t="array" ref="K18">IFERROR(IF(8&gt;COUNTIF('DONNÉES BRUTES'!C$3:C$42,"Technologie"),"",INDEX('DONNÉES BRUTES'!O$3:O$42,MATCH(LARGE(IF('DONNÉES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L18" t="str" cm="1">
        <f t="array" ref="L18">IFERROR(IF(8&gt;COUNTIF('DONNÉES BRUTES'!C$3:C$42,"Technologie"),"",INDEX('DONNÉES BRUTES'!P$3:P$42,MATCH(LARGE(IF('DONNÉES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M18" t="str" cm="1">
        <f t="array" ref="M18">IFERROR(IF(8&gt;COUNTIF('DONNÉES BRUTES'!C$3:C$42,"Technologie"),"",INDEX('DONNÉES BRUTES'!Q$3:Q$42,MATCH(LARGE(IF('DONNÉES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N18" t="str" cm="1">
        <f t="array" ref="N18">IFERROR(IF(8&gt;COUNTIF('DONNÉES BRUTES'!C$3:C$42,"Technologie"),"",INDEX('DONNÉES BRUTES'!S$3:S$42,MATCH(LARGE(IF('DONNÉES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O18" t="str" cm="1">
        <f t="array" ref="O18">IFERROR(IF(8&gt;COUNTIF('DONNÉES BRUTES'!C$3:C$42,"Technologie"),"",INDEX('DONNÉES BRUTES'!T$3:T$42,MATCH(LARGE(IF('DONNÉES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P18" t="str" cm="1">
        <f t="array" ref="P18">IFERROR(IF(8&gt;COUNTIF('DONNÉES BRUTES'!C$3:C$42,"Technologie"),"",INDEX('DONNÉES BRUTES'!U$3:U$42,MATCH(LARGE(IF('DONNÉES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  <c r="Q18" t="str" cm="1">
        <f t="array" ref="Q18">IFERROR(IF(8&gt;COUNTIF('DONNÉES BRUTES'!C$3:C$42,"Technologie"),"",INDEX('DONNÉES BRUTES'!AD$3:AD$42,MATCH(LARGE(IF('DONNÉES BRUTES'!C$3:C$42="Technologie",'DONNÉES BRUTES'!AB$3:AB$42+(ROW('DONNÉES BRUTES'!A$3:A$42)-ROW('DONNÉES BRUTES'!A$3))/1000,0),8),IF('DONNÉES BRUTES'!C$3:C$42="Technologie",'DONNÉES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BRUTES'!C$3:C$42,"Technologie"),"",INDEX('DONNÉES BRUTES'!A$3:A$42,MATCH(LARGE(IF('DONNÉES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D19" t="str" cm="1">
        <f t="array" ref="D19">IFERROR(IF(9&gt;COUNTIF('DONNÉES BRUTES'!C$3:C$42,"Technologie"),"",INDEX('DONNÉES BRUTES'!B$3:B$42,MATCH(LARGE(IF('DONNÉES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E19" t="str" cm="1">
        <f t="array" ref="E19">IFERROR(IF(9&gt;COUNTIF('DONNÉES BRUTES'!C$3:C$42,"Technologie"),"",INT(LARGE(IF('DONNÉES BRUTES'!C$3:C$42="Technologie",'DONNÉES BRUTES'!AB$3:AB$42+(ROW('DONNÉES BRUTES'!A$3:A$42)-ROW('DONNÉES BRUTES'!A$3))/1000,0),9))&amp;"/100"),"—")</f>
        <v/>
      </c>
      <c r="F19" t="str" cm="1">
        <f t="array" ref="F19">IFERROR(IF(9&gt;COUNTIF('DONNÉES BRUTES'!C$3:C$42,"Technologie"),"",INDEX('DONNÉES BRUTES'!Y$3:Y$42,MATCH(LARGE(IF('DONNÉES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G19" t="str" cm="1">
        <f t="array" ref="G19">IFERROR(IF(9&gt;COUNTIF('DONNÉES BRUTES'!C$3:C$42,"Technologie"),"",INDEX('DONNÉES BRUTES'!Z$3:Z$42,MATCH(LARGE(IF('DONNÉES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H19" t="str" cm="1">
        <f t="array" ref="H19">IFERROR(IF(9&gt;COUNTIF('DONNÉES BRUTES'!C$3:C$42,"Technologie"),"",INDEX('DONNÉES BRUTES'!AA$3:AA$42,MATCH(LARGE(IF('DONNÉES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I19" t="str" cm="1">
        <f t="array" ref="I19">IFERROR(IF(9&gt;COUNTIF('DONNÉES BRUTES'!C$3:C$42,"Technologie"),"",INDEX('DONNÉES BRUTES'!M$3:M$42,MATCH(LARGE(IF('DONNÉES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J19" t="str" cm="1">
        <f t="array" ref="J19">IFERROR(IF(9&gt;COUNTIF('DONNÉES BRUTES'!C$3:C$42,"Technologie"),"",INDEX('DONNÉES BRUTES'!N$3:N$42,MATCH(LARGE(IF('DONNÉES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K19" t="str" cm="1">
        <f t="array" ref="K19">IFERROR(IF(9&gt;COUNTIF('DONNÉES BRUTES'!C$3:C$42,"Technologie"),"",INDEX('DONNÉES BRUTES'!O$3:O$42,MATCH(LARGE(IF('DONNÉES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L19" t="str" cm="1">
        <f t="array" ref="L19">IFERROR(IF(9&gt;COUNTIF('DONNÉES BRUTES'!C$3:C$42,"Technologie"),"",INDEX('DONNÉES BRUTES'!P$3:P$42,MATCH(LARGE(IF('DONNÉES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M19" t="str" cm="1">
        <f t="array" ref="M19">IFERROR(IF(9&gt;COUNTIF('DONNÉES BRUTES'!C$3:C$42,"Technologie"),"",INDEX('DONNÉES BRUTES'!Q$3:Q$42,MATCH(LARGE(IF('DONNÉES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N19" t="str" cm="1">
        <f t="array" ref="N19">IFERROR(IF(9&gt;COUNTIF('DONNÉES BRUTES'!C$3:C$42,"Technologie"),"",INDEX('DONNÉES BRUTES'!S$3:S$42,MATCH(LARGE(IF('DONNÉES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O19" t="str" cm="1">
        <f t="array" ref="O19">IFERROR(IF(9&gt;COUNTIF('DONNÉES BRUTES'!C$3:C$42,"Technologie"),"",INDEX('DONNÉES BRUTES'!T$3:T$42,MATCH(LARGE(IF('DONNÉES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P19" t="str" cm="1">
        <f t="array" ref="P19">IFERROR(IF(9&gt;COUNTIF('DONNÉES BRUTES'!C$3:C$42,"Technologie"),"",INDEX('DONNÉES BRUTES'!U$3:U$42,MATCH(LARGE(IF('DONNÉES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  <c r="Q19" t="str" cm="1">
        <f t="array" ref="Q19">IFERROR(IF(9&gt;COUNTIF('DONNÉES BRUTES'!C$3:C$42,"Technologie"),"",INDEX('DONNÉES BRUTES'!AD$3:AD$42,MATCH(LARGE(IF('DONNÉES BRUTES'!C$3:C$42="Technologie",'DONNÉES BRUTES'!AB$3:AB$42+(ROW('DONNÉES BRUTES'!A$3:A$42)-ROW('DONNÉES BRUTES'!A$3))/1000,0),9),IF('DONNÉES BRUTES'!C$3:C$42="Technologie",'DONNÉES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BRUTES'!C$3:C$42,"Technologie"),"",INDEX('DONNÉES BRUTES'!A$3:A$42,MATCH(LARGE(IF('DONNÉES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D20" t="str" cm="1">
        <f t="array" ref="D20">IFERROR(IF(10&gt;COUNTIF('DONNÉES BRUTES'!C$3:C$42,"Technologie"),"",INDEX('DONNÉES BRUTES'!B$3:B$42,MATCH(LARGE(IF('DONNÉES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E20" t="str" cm="1">
        <f t="array" ref="E20">IFERROR(IF(10&gt;COUNTIF('DONNÉES BRUTES'!C$3:C$42,"Technologie"),"",INT(LARGE(IF('DONNÉES BRUTES'!C$3:C$42="Technologie",'DONNÉES BRUTES'!AB$3:AB$42+(ROW('DONNÉES BRUTES'!A$3:A$42)-ROW('DONNÉES BRUTES'!A$3))/1000,0),10))&amp;"/100"),"—")</f>
        <v/>
      </c>
      <c r="F20" t="str" cm="1">
        <f t="array" ref="F20">IFERROR(IF(10&gt;COUNTIF('DONNÉES BRUTES'!C$3:C$42,"Technologie"),"",INDEX('DONNÉES BRUTES'!Y$3:Y$42,MATCH(LARGE(IF('DONNÉES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G20" t="str" cm="1">
        <f t="array" ref="G20">IFERROR(IF(10&gt;COUNTIF('DONNÉES BRUTES'!C$3:C$42,"Technologie"),"",INDEX('DONNÉES BRUTES'!Z$3:Z$42,MATCH(LARGE(IF('DONNÉES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H20" t="str" cm="1">
        <f t="array" ref="H20">IFERROR(IF(10&gt;COUNTIF('DONNÉES BRUTES'!C$3:C$42,"Technologie"),"",INDEX('DONNÉES BRUTES'!AA$3:AA$42,MATCH(LARGE(IF('DONNÉES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I20" t="str" cm="1">
        <f t="array" ref="I20">IFERROR(IF(10&gt;COUNTIF('DONNÉES BRUTES'!C$3:C$42,"Technologie"),"",INDEX('DONNÉES BRUTES'!M$3:M$42,MATCH(LARGE(IF('DONNÉES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J20" t="str" cm="1">
        <f t="array" ref="J20">IFERROR(IF(10&gt;COUNTIF('DONNÉES BRUTES'!C$3:C$42,"Technologie"),"",INDEX('DONNÉES BRUTES'!N$3:N$42,MATCH(LARGE(IF('DONNÉES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K20" t="str" cm="1">
        <f t="array" ref="K20">IFERROR(IF(10&gt;COUNTIF('DONNÉES BRUTES'!C$3:C$42,"Technologie"),"",INDEX('DONNÉES BRUTES'!O$3:O$42,MATCH(LARGE(IF('DONNÉES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L20" t="str" cm="1">
        <f t="array" ref="L20">IFERROR(IF(10&gt;COUNTIF('DONNÉES BRUTES'!C$3:C$42,"Technologie"),"",INDEX('DONNÉES BRUTES'!P$3:P$42,MATCH(LARGE(IF('DONNÉES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M20" t="str" cm="1">
        <f t="array" ref="M20">IFERROR(IF(10&gt;COUNTIF('DONNÉES BRUTES'!C$3:C$42,"Technologie"),"",INDEX('DONNÉES BRUTES'!Q$3:Q$42,MATCH(LARGE(IF('DONNÉES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N20" t="str" cm="1">
        <f t="array" ref="N20">IFERROR(IF(10&gt;COUNTIF('DONNÉES BRUTES'!C$3:C$42,"Technologie"),"",INDEX('DONNÉES BRUTES'!S$3:S$42,MATCH(LARGE(IF('DONNÉES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O20" t="str" cm="1">
        <f t="array" ref="O20">IFERROR(IF(10&gt;COUNTIF('DONNÉES BRUTES'!C$3:C$42,"Technologie"),"",INDEX('DONNÉES BRUTES'!T$3:T$42,MATCH(LARGE(IF('DONNÉES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P20" t="str" cm="1">
        <f t="array" ref="P20">IFERROR(IF(10&gt;COUNTIF('DONNÉES BRUTES'!C$3:C$42,"Technologie"),"",INDEX('DONNÉES BRUTES'!U$3:U$42,MATCH(LARGE(IF('DONNÉES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  <c r="Q20" t="str" cm="1">
        <f t="array" ref="Q20">IFERROR(IF(10&gt;COUNTIF('DONNÉES BRUTES'!C$3:C$42,"Technologie"),"",INDEX('DONNÉES BRUTES'!AD$3:AD$42,MATCH(LARGE(IF('DONNÉES BRUTES'!C$3:C$42="Technologie",'DONNÉES BRUTES'!AB$3:AB$42+(ROW('DONNÉES BRUTES'!A$3:A$42)-ROW('DONNÉES BRUTES'!A$3))/1000,0),10),IF('DONNÉES BRUTES'!C$3:C$42="Technologie",'DONNÉES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BRUTES'!C$3:C$42,"Technologie"),"",INDEX('DONNÉES BRUTES'!A$3:A$42,MATCH(LARGE(IF('DONNÉES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D21" t="str" cm="1">
        <f t="array" ref="D21">IFERROR(IF(11&gt;COUNTIF('DONNÉES BRUTES'!C$3:C$42,"Technologie"),"",INDEX('DONNÉES BRUTES'!B$3:B$42,MATCH(LARGE(IF('DONNÉES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E21" t="str" cm="1">
        <f t="array" ref="E21">IFERROR(IF(11&gt;COUNTIF('DONNÉES BRUTES'!C$3:C$42,"Technologie"),"",INT(LARGE(IF('DONNÉES BRUTES'!C$3:C$42="Technologie",'DONNÉES BRUTES'!AB$3:AB$42+(ROW('DONNÉES BRUTES'!A$3:A$42)-ROW('DONNÉES BRUTES'!A$3))/1000,0),11))&amp;"/100"),"—")</f>
        <v/>
      </c>
      <c r="F21" t="str" cm="1">
        <f t="array" ref="F21">IFERROR(IF(11&gt;COUNTIF('DONNÉES BRUTES'!C$3:C$42,"Technologie"),"",INDEX('DONNÉES BRUTES'!Y$3:Y$42,MATCH(LARGE(IF('DONNÉES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G21" t="str" cm="1">
        <f t="array" ref="G21">IFERROR(IF(11&gt;COUNTIF('DONNÉES BRUTES'!C$3:C$42,"Technologie"),"",INDEX('DONNÉES BRUTES'!Z$3:Z$42,MATCH(LARGE(IF('DONNÉES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H21" t="str" cm="1">
        <f t="array" ref="H21">IFERROR(IF(11&gt;COUNTIF('DONNÉES BRUTES'!C$3:C$42,"Technologie"),"",INDEX('DONNÉES BRUTES'!AA$3:AA$42,MATCH(LARGE(IF('DONNÉES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I21" t="str" cm="1">
        <f t="array" ref="I21">IFERROR(IF(11&gt;COUNTIF('DONNÉES BRUTES'!C$3:C$42,"Technologie"),"",INDEX('DONNÉES BRUTES'!M$3:M$42,MATCH(LARGE(IF('DONNÉES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J21" t="str" cm="1">
        <f t="array" ref="J21">IFERROR(IF(11&gt;COUNTIF('DONNÉES BRUTES'!C$3:C$42,"Technologie"),"",INDEX('DONNÉES BRUTES'!N$3:N$42,MATCH(LARGE(IF('DONNÉES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K21" t="str" cm="1">
        <f t="array" ref="K21">IFERROR(IF(11&gt;COUNTIF('DONNÉES BRUTES'!C$3:C$42,"Technologie"),"",INDEX('DONNÉES BRUTES'!O$3:O$42,MATCH(LARGE(IF('DONNÉES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L21" t="str" cm="1">
        <f t="array" ref="L21">IFERROR(IF(11&gt;COUNTIF('DONNÉES BRUTES'!C$3:C$42,"Technologie"),"",INDEX('DONNÉES BRUTES'!P$3:P$42,MATCH(LARGE(IF('DONNÉES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M21" t="str" cm="1">
        <f t="array" ref="M21">IFERROR(IF(11&gt;COUNTIF('DONNÉES BRUTES'!C$3:C$42,"Technologie"),"",INDEX('DONNÉES BRUTES'!Q$3:Q$42,MATCH(LARGE(IF('DONNÉES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N21" t="str" cm="1">
        <f t="array" ref="N21">IFERROR(IF(11&gt;COUNTIF('DONNÉES BRUTES'!C$3:C$42,"Technologie"),"",INDEX('DONNÉES BRUTES'!S$3:S$42,MATCH(LARGE(IF('DONNÉES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O21" t="str" cm="1">
        <f t="array" ref="O21">IFERROR(IF(11&gt;COUNTIF('DONNÉES BRUTES'!C$3:C$42,"Technologie"),"",INDEX('DONNÉES BRUTES'!T$3:T$42,MATCH(LARGE(IF('DONNÉES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P21" t="str" cm="1">
        <f t="array" ref="P21">IFERROR(IF(11&gt;COUNTIF('DONNÉES BRUTES'!C$3:C$42,"Technologie"),"",INDEX('DONNÉES BRUTES'!U$3:U$42,MATCH(LARGE(IF('DONNÉES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  <c r="Q21" t="str" cm="1">
        <f t="array" ref="Q21">IFERROR(IF(11&gt;COUNTIF('DONNÉES BRUTES'!C$3:C$42,"Technologie"),"",INDEX('DONNÉES BRUTES'!AD$3:AD$42,MATCH(LARGE(IF('DONNÉES BRUTES'!C$3:C$42="Technologie",'DONNÉES BRUTES'!AB$3:AB$42+(ROW('DONNÉES BRUTES'!A$3:A$42)-ROW('DONNÉES BRUTES'!A$3))/1000,0),11),IF('DONNÉES BRUTES'!C$3:C$42="Technologie",'DONNÉES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BRUTES'!C$3:C$42,"Technologie"),"",INDEX('DONNÉES BRUTES'!A$3:A$42,MATCH(LARGE(IF('DONNÉES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D22" t="str" cm="1">
        <f t="array" ref="D22">IFERROR(IF(12&gt;COUNTIF('DONNÉES BRUTES'!C$3:C$42,"Technologie"),"",INDEX('DONNÉES BRUTES'!B$3:B$42,MATCH(LARGE(IF('DONNÉES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E22" t="str" cm="1">
        <f t="array" ref="E22">IFERROR(IF(12&gt;COUNTIF('DONNÉES BRUTES'!C$3:C$42,"Technologie"),"",INT(LARGE(IF('DONNÉES BRUTES'!C$3:C$42="Technologie",'DONNÉES BRUTES'!AB$3:AB$42+(ROW('DONNÉES BRUTES'!A$3:A$42)-ROW('DONNÉES BRUTES'!A$3))/1000,0),12))&amp;"/100"),"—")</f>
        <v/>
      </c>
      <c r="F22" t="str" cm="1">
        <f t="array" ref="F22">IFERROR(IF(12&gt;COUNTIF('DONNÉES BRUTES'!C$3:C$42,"Technologie"),"",INDEX('DONNÉES BRUTES'!Y$3:Y$42,MATCH(LARGE(IF('DONNÉES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G22" t="str" cm="1">
        <f t="array" ref="G22">IFERROR(IF(12&gt;COUNTIF('DONNÉES BRUTES'!C$3:C$42,"Technologie"),"",INDEX('DONNÉES BRUTES'!Z$3:Z$42,MATCH(LARGE(IF('DONNÉES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H22" t="str" cm="1">
        <f t="array" ref="H22">IFERROR(IF(12&gt;COUNTIF('DONNÉES BRUTES'!C$3:C$42,"Technologie"),"",INDEX('DONNÉES BRUTES'!AA$3:AA$42,MATCH(LARGE(IF('DONNÉES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I22" t="str" cm="1">
        <f t="array" ref="I22">IFERROR(IF(12&gt;COUNTIF('DONNÉES BRUTES'!C$3:C$42,"Technologie"),"",INDEX('DONNÉES BRUTES'!M$3:M$42,MATCH(LARGE(IF('DONNÉES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J22" t="str" cm="1">
        <f t="array" ref="J22">IFERROR(IF(12&gt;COUNTIF('DONNÉES BRUTES'!C$3:C$42,"Technologie"),"",INDEX('DONNÉES BRUTES'!N$3:N$42,MATCH(LARGE(IF('DONNÉES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K22" t="str" cm="1">
        <f t="array" ref="K22">IFERROR(IF(12&gt;COUNTIF('DONNÉES BRUTES'!C$3:C$42,"Technologie"),"",INDEX('DONNÉES BRUTES'!O$3:O$42,MATCH(LARGE(IF('DONNÉES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L22" t="str" cm="1">
        <f t="array" ref="L22">IFERROR(IF(12&gt;COUNTIF('DONNÉES BRUTES'!C$3:C$42,"Technologie"),"",INDEX('DONNÉES BRUTES'!P$3:P$42,MATCH(LARGE(IF('DONNÉES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M22" t="str" cm="1">
        <f t="array" ref="M22">IFERROR(IF(12&gt;COUNTIF('DONNÉES BRUTES'!C$3:C$42,"Technologie"),"",INDEX('DONNÉES BRUTES'!Q$3:Q$42,MATCH(LARGE(IF('DONNÉES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N22" t="str" cm="1">
        <f t="array" ref="N22">IFERROR(IF(12&gt;COUNTIF('DONNÉES BRUTES'!C$3:C$42,"Technologie"),"",INDEX('DONNÉES BRUTES'!S$3:S$42,MATCH(LARGE(IF('DONNÉES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O22" t="str" cm="1">
        <f t="array" ref="O22">IFERROR(IF(12&gt;COUNTIF('DONNÉES BRUTES'!C$3:C$42,"Technologie"),"",INDEX('DONNÉES BRUTES'!T$3:T$42,MATCH(LARGE(IF('DONNÉES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P22" t="str" cm="1">
        <f t="array" ref="P22">IFERROR(IF(12&gt;COUNTIF('DONNÉES BRUTES'!C$3:C$42,"Technologie"),"",INDEX('DONNÉES BRUTES'!U$3:U$42,MATCH(LARGE(IF('DONNÉES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  <c r="Q22" t="str" cm="1">
        <f t="array" ref="Q22">IFERROR(IF(12&gt;COUNTIF('DONNÉES BRUTES'!C$3:C$42,"Technologie"),"",INDEX('DONNÉES BRUTES'!AD$3:AD$42,MATCH(LARGE(IF('DONNÉES BRUTES'!C$3:C$42="Technologie",'DONNÉES BRUTES'!AB$3:AB$42+(ROW('DONNÉES BRUTES'!A$3:A$42)-ROW('DONNÉES BRUTES'!A$3))/1000,0),12),IF('DONNÉES BRUTES'!C$3:C$42="Technologie",'DONNÉES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BRUTES'!C$3:C$42,"Technologie"),"",INDEX('DONNÉES BRUTES'!A$3:A$42,MATCH(LARGE(IF('DONNÉES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D23" t="str" cm="1">
        <f t="array" ref="D23">IFERROR(IF(13&gt;COUNTIF('DONNÉES BRUTES'!C$3:C$42,"Technologie"),"",INDEX('DONNÉES BRUTES'!B$3:B$42,MATCH(LARGE(IF('DONNÉES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E23" t="str" cm="1">
        <f t="array" ref="E23">IFERROR(IF(13&gt;COUNTIF('DONNÉES BRUTES'!C$3:C$42,"Technologie"),"",INT(LARGE(IF('DONNÉES BRUTES'!C$3:C$42="Technologie",'DONNÉES BRUTES'!AB$3:AB$42+(ROW('DONNÉES BRUTES'!A$3:A$42)-ROW('DONNÉES BRUTES'!A$3))/1000,0),13))&amp;"/100"),"—")</f>
        <v/>
      </c>
      <c r="F23" t="str" cm="1">
        <f t="array" ref="F23">IFERROR(IF(13&gt;COUNTIF('DONNÉES BRUTES'!C$3:C$42,"Technologie"),"",INDEX('DONNÉES BRUTES'!Y$3:Y$42,MATCH(LARGE(IF('DONNÉES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G23" t="str" cm="1">
        <f t="array" ref="G23">IFERROR(IF(13&gt;COUNTIF('DONNÉES BRUTES'!C$3:C$42,"Technologie"),"",INDEX('DONNÉES BRUTES'!Z$3:Z$42,MATCH(LARGE(IF('DONNÉES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H23" t="str" cm="1">
        <f t="array" ref="H23">IFERROR(IF(13&gt;COUNTIF('DONNÉES BRUTES'!C$3:C$42,"Technologie"),"",INDEX('DONNÉES BRUTES'!AA$3:AA$42,MATCH(LARGE(IF('DONNÉES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I23" t="str" cm="1">
        <f t="array" ref="I23">IFERROR(IF(13&gt;COUNTIF('DONNÉES BRUTES'!C$3:C$42,"Technologie"),"",INDEX('DONNÉES BRUTES'!M$3:M$42,MATCH(LARGE(IF('DONNÉES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J23" t="str" cm="1">
        <f t="array" ref="J23">IFERROR(IF(13&gt;COUNTIF('DONNÉES BRUTES'!C$3:C$42,"Technologie"),"",INDEX('DONNÉES BRUTES'!N$3:N$42,MATCH(LARGE(IF('DONNÉES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K23" t="str" cm="1">
        <f t="array" ref="K23">IFERROR(IF(13&gt;COUNTIF('DONNÉES BRUTES'!C$3:C$42,"Technologie"),"",INDEX('DONNÉES BRUTES'!O$3:O$42,MATCH(LARGE(IF('DONNÉES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L23" t="str" cm="1">
        <f t="array" ref="L23">IFERROR(IF(13&gt;COUNTIF('DONNÉES BRUTES'!C$3:C$42,"Technologie"),"",INDEX('DONNÉES BRUTES'!P$3:P$42,MATCH(LARGE(IF('DONNÉES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M23" t="str" cm="1">
        <f t="array" ref="M23">IFERROR(IF(13&gt;COUNTIF('DONNÉES BRUTES'!C$3:C$42,"Technologie"),"",INDEX('DONNÉES BRUTES'!Q$3:Q$42,MATCH(LARGE(IF('DONNÉES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N23" t="str" cm="1">
        <f t="array" ref="N23">IFERROR(IF(13&gt;COUNTIF('DONNÉES BRUTES'!C$3:C$42,"Technologie"),"",INDEX('DONNÉES BRUTES'!S$3:S$42,MATCH(LARGE(IF('DONNÉES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O23" t="str" cm="1">
        <f t="array" ref="O23">IFERROR(IF(13&gt;COUNTIF('DONNÉES BRUTES'!C$3:C$42,"Technologie"),"",INDEX('DONNÉES BRUTES'!T$3:T$42,MATCH(LARGE(IF('DONNÉES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P23" t="str" cm="1">
        <f t="array" ref="P23">IFERROR(IF(13&gt;COUNTIF('DONNÉES BRUTES'!C$3:C$42,"Technologie"),"",INDEX('DONNÉES BRUTES'!U$3:U$42,MATCH(LARGE(IF('DONNÉES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  <c r="Q23" t="str" cm="1">
        <f t="array" ref="Q23">IFERROR(IF(13&gt;COUNTIF('DONNÉES BRUTES'!C$3:C$42,"Technologie"),"",INDEX('DONNÉES BRUTES'!AD$3:AD$42,MATCH(LARGE(IF('DONNÉES BRUTES'!C$3:C$42="Technologie",'DONNÉES BRUTES'!AB$3:AB$42+(ROW('DONNÉES BRUTES'!A$3:A$42)-ROW('DONNÉES BRUTES'!A$3))/1000,0),13),IF('DONNÉES BRUTES'!C$3:C$42="Technologie",'DONNÉES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BRUTES'!C$3:C$42,"Technologie"),"",INDEX('DONNÉES BRUTES'!A$3:A$42,MATCH(LARGE(IF('DONNÉES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D24" t="str" cm="1">
        <f t="array" ref="D24">IFERROR(IF(14&gt;COUNTIF('DONNÉES BRUTES'!C$3:C$42,"Technologie"),"",INDEX('DONNÉES BRUTES'!B$3:B$42,MATCH(LARGE(IF('DONNÉES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E24" t="str" cm="1">
        <f t="array" ref="E24">IFERROR(IF(14&gt;COUNTIF('DONNÉES BRUTES'!C$3:C$42,"Technologie"),"",INT(LARGE(IF('DONNÉES BRUTES'!C$3:C$42="Technologie",'DONNÉES BRUTES'!AB$3:AB$42+(ROW('DONNÉES BRUTES'!A$3:A$42)-ROW('DONNÉES BRUTES'!A$3))/1000,0),14))&amp;"/100"),"—")</f>
        <v/>
      </c>
      <c r="F24" t="str" cm="1">
        <f t="array" ref="F24">IFERROR(IF(14&gt;COUNTIF('DONNÉES BRUTES'!C$3:C$42,"Technologie"),"",INDEX('DONNÉES BRUTES'!Y$3:Y$42,MATCH(LARGE(IF('DONNÉES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G24" t="str" cm="1">
        <f t="array" ref="G24">IFERROR(IF(14&gt;COUNTIF('DONNÉES BRUTES'!C$3:C$42,"Technologie"),"",INDEX('DONNÉES BRUTES'!Z$3:Z$42,MATCH(LARGE(IF('DONNÉES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H24" t="str" cm="1">
        <f t="array" ref="H24">IFERROR(IF(14&gt;COUNTIF('DONNÉES BRUTES'!C$3:C$42,"Technologie"),"",INDEX('DONNÉES BRUTES'!AA$3:AA$42,MATCH(LARGE(IF('DONNÉES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I24" t="str" cm="1">
        <f t="array" ref="I24">IFERROR(IF(14&gt;COUNTIF('DONNÉES BRUTES'!C$3:C$42,"Technologie"),"",INDEX('DONNÉES BRUTES'!M$3:M$42,MATCH(LARGE(IF('DONNÉES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J24" t="str" cm="1">
        <f t="array" ref="J24">IFERROR(IF(14&gt;COUNTIF('DONNÉES BRUTES'!C$3:C$42,"Technologie"),"",INDEX('DONNÉES BRUTES'!N$3:N$42,MATCH(LARGE(IF('DONNÉES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K24" t="str" cm="1">
        <f t="array" ref="K24">IFERROR(IF(14&gt;COUNTIF('DONNÉES BRUTES'!C$3:C$42,"Technologie"),"",INDEX('DONNÉES BRUTES'!O$3:O$42,MATCH(LARGE(IF('DONNÉES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L24" t="str" cm="1">
        <f t="array" ref="L24">IFERROR(IF(14&gt;COUNTIF('DONNÉES BRUTES'!C$3:C$42,"Technologie"),"",INDEX('DONNÉES BRUTES'!P$3:P$42,MATCH(LARGE(IF('DONNÉES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M24" t="str" cm="1">
        <f t="array" ref="M24">IFERROR(IF(14&gt;COUNTIF('DONNÉES BRUTES'!C$3:C$42,"Technologie"),"",INDEX('DONNÉES BRUTES'!Q$3:Q$42,MATCH(LARGE(IF('DONNÉES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N24" t="str" cm="1">
        <f t="array" ref="N24">IFERROR(IF(14&gt;COUNTIF('DONNÉES BRUTES'!C$3:C$42,"Technologie"),"",INDEX('DONNÉES BRUTES'!S$3:S$42,MATCH(LARGE(IF('DONNÉES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O24" t="str" cm="1">
        <f t="array" ref="O24">IFERROR(IF(14&gt;COUNTIF('DONNÉES BRUTES'!C$3:C$42,"Technologie"),"",INDEX('DONNÉES BRUTES'!T$3:T$42,MATCH(LARGE(IF('DONNÉES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P24" t="str" cm="1">
        <f t="array" ref="P24">IFERROR(IF(14&gt;COUNTIF('DONNÉES BRUTES'!C$3:C$42,"Technologie"),"",INDEX('DONNÉES BRUTES'!U$3:U$42,MATCH(LARGE(IF('DONNÉES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  <c r="Q24" t="str" cm="1">
        <f t="array" ref="Q24">IFERROR(IF(14&gt;COUNTIF('DONNÉES BRUTES'!C$3:C$42,"Technologie"),"",INDEX('DONNÉES BRUTES'!AD$3:AD$42,MATCH(LARGE(IF('DONNÉES BRUTES'!C$3:C$42="Technologie",'DONNÉES BRUTES'!AB$3:AB$42+(ROW('DONNÉES BRUTES'!A$3:A$42)-ROW('DONNÉES BRUTES'!A$3))/1000,0),14),IF('DONNÉES BRUTES'!C$3:C$42="Technologie",'DONNÉES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BRUTES'!C$3:C$42,"Technologie"),"",INDEX('DONNÉES BRUTES'!A$3:A$42,MATCH(LARGE(IF('DONNÉES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D25" t="str" cm="1">
        <f t="array" ref="D25">IFERROR(IF(15&gt;COUNTIF('DONNÉES BRUTES'!C$3:C$42,"Technologie"),"",INDEX('DONNÉES BRUTES'!B$3:B$42,MATCH(LARGE(IF('DONNÉES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E25" t="str" cm="1">
        <f t="array" ref="E25">IFERROR(IF(15&gt;COUNTIF('DONNÉES BRUTES'!C$3:C$42,"Technologie"),"",INT(LARGE(IF('DONNÉES BRUTES'!C$3:C$42="Technologie",'DONNÉES BRUTES'!AB$3:AB$42+(ROW('DONNÉES BRUTES'!A$3:A$42)-ROW('DONNÉES BRUTES'!A$3))/1000,0),15))&amp;"/100"),"—")</f>
        <v/>
      </c>
      <c r="F25" t="str" cm="1">
        <f t="array" ref="F25">IFERROR(IF(15&gt;COUNTIF('DONNÉES BRUTES'!C$3:C$42,"Technologie"),"",INDEX('DONNÉES BRUTES'!Y$3:Y$42,MATCH(LARGE(IF('DONNÉES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G25" t="str" cm="1">
        <f t="array" ref="G25">IFERROR(IF(15&gt;COUNTIF('DONNÉES BRUTES'!C$3:C$42,"Technologie"),"",INDEX('DONNÉES BRUTES'!Z$3:Z$42,MATCH(LARGE(IF('DONNÉES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H25" t="str" cm="1">
        <f t="array" ref="H25">IFERROR(IF(15&gt;COUNTIF('DONNÉES BRUTES'!C$3:C$42,"Technologie"),"",INDEX('DONNÉES BRUTES'!AA$3:AA$42,MATCH(LARGE(IF('DONNÉES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I25" t="str" cm="1">
        <f t="array" ref="I25">IFERROR(IF(15&gt;COUNTIF('DONNÉES BRUTES'!C$3:C$42,"Technologie"),"",INDEX('DONNÉES BRUTES'!M$3:M$42,MATCH(LARGE(IF('DONNÉES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J25" t="str" cm="1">
        <f t="array" ref="J25">IFERROR(IF(15&gt;COUNTIF('DONNÉES BRUTES'!C$3:C$42,"Technologie"),"",INDEX('DONNÉES BRUTES'!N$3:N$42,MATCH(LARGE(IF('DONNÉES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K25" t="str" cm="1">
        <f t="array" ref="K25">IFERROR(IF(15&gt;COUNTIF('DONNÉES BRUTES'!C$3:C$42,"Technologie"),"",INDEX('DONNÉES BRUTES'!O$3:O$42,MATCH(LARGE(IF('DONNÉES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L25" t="str" cm="1">
        <f t="array" ref="L25">IFERROR(IF(15&gt;COUNTIF('DONNÉES BRUTES'!C$3:C$42,"Technologie"),"",INDEX('DONNÉES BRUTES'!P$3:P$42,MATCH(LARGE(IF('DONNÉES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M25" t="str" cm="1">
        <f t="array" ref="M25">IFERROR(IF(15&gt;COUNTIF('DONNÉES BRUTES'!C$3:C$42,"Technologie"),"",INDEX('DONNÉES BRUTES'!Q$3:Q$42,MATCH(LARGE(IF('DONNÉES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N25" t="str" cm="1">
        <f t="array" ref="N25">IFERROR(IF(15&gt;COUNTIF('DONNÉES BRUTES'!C$3:C$42,"Technologie"),"",INDEX('DONNÉES BRUTES'!S$3:S$42,MATCH(LARGE(IF('DONNÉES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O25" t="str" cm="1">
        <f t="array" ref="O25">IFERROR(IF(15&gt;COUNTIF('DONNÉES BRUTES'!C$3:C$42,"Technologie"),"",INDEX('DONNÉES BRUTES'!T$3:T$42,MATCH(LARGE(IF('DONNÉES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P25" t="str" cm="1">
        <f t="array" ref="P25">IFERROR(IF(15&gt;COUNTIF('DONNÉES BRUTES'!C$3:C$42,"Technologie"),"",INDEX('DONNÉES BRUTES'!U$3:U$42,MATCH(LARGE(IF('DONNÉES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  <c r="Q25" t="str" cm="1">
        <f t="array" ref="Q25">IFERROR(IF(15&gt;COUNTIF('DONNÉES BRUTES'!C$3:C$42,"Technologie"),"",INDEX('DONNÉES BRUTES'!AD$3:AD$42,MATCH(LARGE(IF('DONNÉES BRUTES'!C$3:C$42="Technologie",'DONNÉES BRUTES'!AB$3:AB$42+(ROW('DONNÉES BRUTES'!A$3:A$42)-ROW('DONNÉES BRUTES'!A$3))/1000,0),15),IF('DONNÉES BRUTES'!C$3:C$42="Technologie",'DONNÉES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s="160" t="s">
        <v>136</v>
      </c>
      <c r="V28" s="160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ASML Holding N</v>
      </c>
      <c r="T29" s="160">
        <f>IF(E11="","",IFERROR(VALUE(LEFT(E11,FIND("/",E11)-1)),0))</f>
        <v>75</v>
      </c>
      <c r="U29" s="160">
        <f t="shared" ref="U29:W32" si="0">IF(ISNUMBER(F11),F11,0)</f>
        <v>92</v>
      </c>
      <c r="V29" s="160">
        <f t="shared" si="0"/>
        <v>86</v>
      </c>
      <c r="W29" s="160">
        <f t="shared" si="0"/>
        <v>98</v>
      </c>
      <c r="X29" s="160">
        <f t="shared" ref="X29:Z32" si="1">IF(ISNUMBER(F11),F11,"")</f>
        <v>92</v>
      </c>
      <c r="Y29" s="160">
        <f t="shared" si="1"/>
        <v>86</v>
      </c>
      <c r="Z29" s="160">
        <f t="shared" si="1"/>
        <v>98</v>
      </c>
      <c r="AA29" s="160">
        <v>100</v>
      </c>
      <c r="AB29" s="160">
        <v>74</v>
      </c>
    </row>
    <row r="30" spans="3:28" ht="15.9" customHeight="1" x14ac:dyDescent="0.3">
      <c r="S30" s="160" t="str">
        <f>IF(D12="","",LEFT(D12,14))</f>
        <v>SAP SE</v>
      </c>
      <c r="T30" s="160">
        <f>IF(E12="","",IFERROR(VALUE(LEFT(E12,FIND("/",E12)-1)),0))</f>
        <v>62</v>
      </c>
      <c r="U30" s="160">
        <f t="shared" si="0"/>
        <v>78</v>
      </c>
      <c r="V30" s="160">
        <f t="shared" si="0"/>
        <v>80</v>
      </c>
      <c r="W30" s="160">
        <f t="shared" si="0"/>
        <v>0</v>
      </c>
      <c r="X30" s="160">
        <f t="shared" si="1"/>
        <v>78</v>
      </c>
      <c r="Y30" s="160">
        <f t="shared" si="1"/>
        <v>80</v>
      </c>
      <c r="Z30" s="160">
        <f t="shared" si="1"/>
        <v>0</v>
      </c>
      <c r="AA30" s="160">
        <v>36</v>
      </c>
      <c r="AB30" s="160">
        <v>87</v>
      </c>
    </row>
    <row r="31" spans="3:28" ht="15.9" customHeight="1" x14ac:dyDescent="0.3">
      <c r="S31" s="160" t="str">
        <f>IF(D13="","",LEFT(D13,14))</f>
        <v>Nokia Oyj</v>
      </c>
      <c r="T31" s="160">
        <f>IF(E13="","",IFERROR(VALUE(LEFT(E13,FIND("/",E13)-1)),0))</f>
        <v>46</v>
      </c>
      <c r="U31" s="160">
        <f t="shared" si="0"/>
        <v>29</v>
      </c>
      <c r="V31" s="160">
        <f t="shared" si="0"/>
        <v>57</v>
      </c>
      <c r="W31" s="160">
        <f t="shared" si="0"/>
        <v>94</v>
      </c>
      <c r="X31" s="160">
        <f t="shared" si="1"/>
        <v>29</v>
      </c>
      <c r="Y31" s="160">
        <f t="shared" si="1"/>
        <v>57</v>
      </c>
      <c r="Z31" s="160">
        <f t="shared" si="1"/>
        <v>94</v>
      </c>
      <c r="AA31" s="160">
        <v>44</v>
      </c>
      <c r="AB31" s="160">
        <v>0</v>
      </c>
    </row>
    <row r="32" spans="3:28" x14ac:dyDescent="0.3">
      <c r="S32" s="160" t="str">
        <f>IF(D14="","",LEFT(D14,14))</f>
        <v>Infineon Techn</v>
      </c>
      <c r="T32" s="160">
        <f>IF(E14="","",IFERROR(VALUE(LEFT(E14,FIND("/",E14)-1)),0))</f>
        <v>40</v>
      </c>
      <c r="U32" s="160">
        <f t="shared" si="0"/>
        <v>32</v>
      </c>
      <c r="V32" s="160">
        <f t="shared" si="0"/>
        <v>59</v>
      </c>
      <c r="W32" s="160">
        <f t="shared" si="0"/>
        <v>57</v>
      </c>
      <c r="X32" s="160">
        <f t="shared" si="1"/>
        <v>32</v>
      </c>
      <c r="Y32" s="160">
        <f t="shared" si="1"/>
        <v>59</v>
      </c>
      <c r="Z32" s="160">
        <f t="shared" si="1"/>
        <v>57</v>
      </c>
      <c r="AA32" s="160">
        <v>0</v>
      </c>
      <c r="AB32" s="160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B32"/>
  <sheetViews>
    <sheetView showGridLines="0" zoomScaleNormal="100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.109375" bestFit="1" customWidth="1"/>
  </cols>
  <sheetData>
    <row r="1" spans="2:17" ht="30" customHeight="1" x14ac:dyDescent="0.3">
      <c r="B1" s="204" t="str">
        <f>"FinSight IA  ·  Consumer Disc.  ·  CAC 40  ·  "&amp;COUNTIF('DONNÉES BRUTES'!C$3:C$42,"Conso. Cycl.")&amp;" sociétés  ·  12/04/2026"</f>
        <v>FinSight IA  ·  Consumer Disc.  ·  CAC 40  ·  7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2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0" customHeight="1" x14ac:dyDescent="0.3">
      <c r="B5" s="175"/>
      <c r="C5" s="168">
        <v>7</v>
      </c>
      <c r="D5" s="175"/>
      <c r="E5" s="175" t="s">
        <v>706</v>
      </c>
      <c r="F5" s="175"/>
      <c r="G5" s="175"/>
      <c r="H5" s="184" t="str" cm="1">
        <f t="array" ref="H5">LEFT(IFERROR(INDEX('DONNÉES BRUTES'!B$3:B$42,MATCH(LARGE(IF('DONNÉES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BRUTES'!A$3))/1000,0),0)),"—"),18)</f>
        <v>Hermès Internation</v>
      </c>
      <c r="I5" s="175"/>
      <c r="J5" s="175"/>
      <c r="K5" s="175"/>
      <c r="L5" s="211">
        <v>0.27200000000000002</v>
      </c>
      <c r="M5" s="175"/>
      <c r="N5" s="173" cm="1">
        <f t="array" ref="N5">IFERROR(ROUND(MEDIAN(IF('DONNÉES BRUTES'!C$3:C$42="Conso. Cycl.",IF(ISNUMBER('DONNÉES BRUTES'!Y$3:Y$42),'DONNÉES BRUTES'!Y$3:Y$42))),0),"—")</f>
        <v>61</v>
      </c>
      <c r="O5" s="175"/>
      <c r="P5" s="185" t="s">
        <v>158</v>
      </c>
      <c r="Q5" s="175"/>
    </row>
    <row r="6" spans="2:17" ht="15" customHeight="1" x14ac:dyDescent="0.3">
      <c r="B6" s="175"/>
      <c r="C6" s="169" t="s">
        <v>408</v>
      </c>
      <c r="D6" s="169"/>
      <c r="E6" s="169" t="s">
        <v>409</v>
      </c>
      <c r="F6" s="169"/>
      <c r="G6" s="169"/>
      <c r="H6" s="169" t="s">
        <v>410</v>
      </c>
      <c r="I6" s="169"/>
      <c r="J6" s="169"/>
      <c r="K6" s="175"/>
      <c r="L6" s="170" t="s">
        <v>382</v>
      </c>
      <c r="M6" s="175"/>
      <c r="N6" s="170" t="s">
        <v>411</v>
      </c>
      <c r="O6" s="175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"&amp;UPPER("Conso. Cycl.")&amp;"  ·  "&amp;COUNTIF('DONNÉES BRUTES'!C$3:C$42,"Conso. Cycl.")&amp;" sociétés  ·  Triée par Score Global"</f>
        <v>ANALYSE DÉTAILLÉE  ·  CONSO. CYCL.  ·  7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258" t="s">
        <v>133</v>
      </c>
      <c r="C10" s="259" t="s">
        <v>6</v>
      </c>
      <c r="D10" s="259" t="s">
        <v>1</v>
      </c>
      <c r="E10" s="259" t="s">
        <v>8</v>
      </c>
      <c r="F10" s="259" t="s">
        <v>412</v>
      </c>
      <c r="G10" s="259" t="s">
        <v>413</v>
      </c>
      <c r="H10" s="259" t="s">
        <v>414</v>
      </c>
      <c r="I10" s="259" t="s">
        <v>415</v>
      </c>
      <c r="J10" s="259" t="s">
        <v>340</v>
      </c>
      <c r="K10" s="259" t="s">
        <v>416</v>
      </c>
      <c r="L10" s="259" t="s">
        <v>341</v>
      </c>
      <c r="M10" s="259" t="s">
        <v>147</v>
      </c>
      <c r="N10" s="259" t="s">
        <v>417</v>
      </c>
      <c r="O10" s="259" t="s">
        <v>418</v>
      </c>
      <c r="P10" s="259" t="s">
        <v>14</v>
      </c>
      <c r="Q10" s="260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BRUTES'!C$3:C$42,"Conso. Cycl."),"",INDEX('DONNÉES BRUTES'!A$3:A$42,MATCH(LARGE(IF('DONNÉES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RMS.PA</v>
      </c>
      <c r="D11" s="406" t="str" cm="1">
        <f t="array" ref="D11">IFERROR(IF(1&gt;COUNTIF('DONNÉES BRUTES'!C$3:C$42,"Conso. Cycl."),"",INDEX('DONNÉES BRUTES'!B$3:B$42,MATCH(LARGE(IF('DONNÉES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Hermès International Société en commandite par actions</v>
      </c>
      <c r="E11" s="406" t="str" cm="1">
        <f t="array" ref="E11">IFERROR(IF(1&gt;COUNTIF('DONNÉES BRUTES'!C$3:C$42,"Conso. Cycl."),"",INT(LARGE(IF('DONNÉES BRUTES'!C$3:C$42="Conso. Cycl.",'DONNÉES BRUTES'!AB$3:AB$42+(ROW('DONNÉES BRUTES'!A$3:A$42)-ROW('DONNÉES BRUTES'!A$3))/1000,0),1))&amp;"/100"),"—")</f>
        <v>65/100</v>
      </c>
      <c r="F11" s="406" cm="1">
        <f t="array" ref="F11">IFERROR(IF(1&gt;COUNTIF('DONNÉES BRUTES'!C$3:C$42,"Conso. Cycl."),"",INDEX('DONNÉES BRUTES'!Y$3:Y$42,MATCH(LARGE(IF('DONNÉES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81</v>
      </c>
      <c r="G11" s="406" cm="1">
        <f t="array" ref="G11">IFERROR(IF(1&gt;COUNTIF('DONNÉES BRUTES'!C$3:C$42,"Conso. Cycl."),"",INDEX('DONNÉES BRUTES'!Z$3:Z$42,MATCH(LARGE(IF('DONNÉES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99</v>
      </c>
      <c r="H11" s="406" cm="1">
        <f t="array" ref="H11">IFERROR(IF(1&gt;COUNTIF('DONNÉES BRUTES'!C$3:C$42,"Conso. Cycl."),"",INDEX('DONNÉES BRUTES'!AA$3:AA$42,MATCH(LARGE(IF('DONNÉES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4</v>
      </c>
      <c r="I11" s="406" t="str" cm="1">
        <f t="array" ref="I11">IFERROR(IF(1&gt;COUNTIF('DONNÉES BRUTES'!C$3:C$42,"Conso. Cycl."),"",INDEX('DONNÉES BRUTES'!M$3:M$42,MATCH(LARGE(IF('DONNÉES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71.1%</v>
      </c>
      <c r="J11" s="406" t="str" cm="1">
        <f t="array" ref="J11">IFERROR(IF(1&gt;COUNTIF('DONNÉES BRUTES'!C$3:C$42,"Conso. Cycl."),"",INDEX('DONNÉES BRUTES'!N$3:N$42,MATCH(LARGE(IF('DONNÉES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46.8%</v>
      </c>
      <c r="K11" s="406" t="str" cm="1">
        <f t="array" ref="K11">IFERROR(IF(1&gt;COUNTIF('DONNÉES BRUTES'!C$3:C$42,"Conso. Cycl."),"",INDEX('DONNÉES BRUTES'!O$3:O$42,MATCH(LARGE(IF('DONNÉES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28.3%</v>
      </c>
      <c r="L11" s="406" t="str" cm="1">
        <f t="array" ref="L11">IFERROR(IF(1&gt;COUNTIF('DONNÉES BRUTES'!C$3:C$42,"Conso. Cycl."),"",INDEX('DONNÉES BRUTES'!P$3:P$42,MATCH(LARGE(IF('DONNÉES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+5.5%</v>
      </c>
      <c r="M11" s="406" t="str" cm="1">
        <f t="array" ref="M11">IFERROR(IF(1&gt;COUNTIF('DONNÉES BRUTES'!C$3:C$42,"Conso. Cycl."),"",INDEX('DONNÉES BRUTES'!Q$3:Q$42,MATCH(LARGE(IF('DONNÉES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+24.0%</v>
      </c>
      <c r="N11" s="406" cm="1">
        <f t="array" ref="N11">IFERROR(IF(1&gt;COUNTIF('DONNÉES BRUTES'!C$3:C$42,"Conso. Cycl."),"",INDEX('DONNÉES BRUTES'!S$3:S$42,MATCH(LARGE(IF('DONNÉES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4.99</v>
      </c>
      <c r="O11" s="406" t="str" cm="1">
        <f t="array" ref="O11">IFERROR(IF(1&gt;COUNTIF('DONNÉES BRUTES'!C$3:C$42,"Conso. Cycl."),"",INDEX('DONNÉES BRUTES'!T$3:T$42,MATCH(LARGE(IF('DONNÉES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-1.6x</v>
      </c>
      <c r="P11" s="406" cm="1">
        <f t="array" ref="P11">IFERROR(IF(1&gt;COUNTIF('DONNÉES BRUTES'!C$3:C$42,"Conso. Cycl."),"",INDEX('DONNÉES BRUTES'!U$3:U$42,MATCH(LARGE(IF('DONNÉES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9.4700000000000006</v>
      </c>
      <c r="Q11" s="407" t="str" cm="1">
        <f t="array" ref="Q11">IFERROR(IF(1&gt;COUNTIF('DONNÉES BRUTES'!C$3:C$42,"Conso. Cycl."),"",INDEX('DONNÉES BRUTES'!AD$3:AD$42,MATCH(LARGE(IF('DONNÉES BRUTES'!C$3:C$42="Conso. Cycl.",'DONNÉES BRUTES'!AB$3:AB$42+(ROW('DONNÉES BRUTES'!A$3:A$42)-ROW('DONNÉES BRUTES'!A$3))/1000,0),1),IF('DONNÉES BRUTES'!C$3:C$42="Conso. Cycl.",'DONNÉES BRUTES'!AB$3:AB$42+(ROW('DONNÉES BRUTES'!A$3:A$42)-ROW('DONNÉES BRUTES'!A$3))/1000,0),0))),"—")</f>
        <v>Surpondérer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BRUTES'!C$3:C$42,"Conso. Cycl."),"",INDEX('DONNÉES BRUTES'!A$3:A$42,MATCH(LARGE(IF('DONNÉES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ITX.MC</v>
      </c>
      <c r="D12" s="409" t="str" cm="1">
        <f t="array" ref="D12">IFERROR(IF(2&gt;COUNTIF('DONNÉES BRUTES'!C$3:C$42,"Conso. Cycl."),"",INDEX('DONNÉES BRUTES'!B$3:B$42,MATCH(LARGE(IF('DONNÉES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Industria de Diseño Textil, S.A.</v>
      </c>
      <c r="E12" s="409" t="str" cm="1">
        <f t="array" ref="E12">IFERROR(IF(2&gt;COUNTIF('DONNÉES BRUTES'!C$3:C$42,"Conso. Cycl."),"",INT(LARGE(IF('DONNÉES BRUTES'!C$3:C$42="Conso. Cycl.",'DONNÉES BRUTES'!AB$3:AB$42+(ROW('DONNÉES BRUTES'!A$3:A$42)-ROW('DONNÉES BRUTES'!A$3))/1000,0),2))&amp;"/100"),"—")</f>
        <v>58/100</v>
      </c>
      <c r="F12" s="409" cm="1">
        <f t="array" ref="F12">IFERROR(IF(2&gt;COUNTIF('DONNÉES BRUTES'!C$3:C$42,"Conso. Cycl."),"",INDEX('DONNÉES BRUTES'!Y$3:Y$42,MATCH(LARGE(IF('DONNÉES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67</v>
      </c>
      <c r="G12" s="409" cm="1">
        <f t="array" ref="G12">IFERROR(IF(2&gt;COUNTIF('DONNÉES BRUTES'!C$3:C$42,"Conso. Cycl."),"",INDEX('DONNÉES BRUTES'!Z$3:Z$42,MATCH(LARGE(IF('DONNÉES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83</v>
      </c>
      <c r="H12" s="409" cm="1">
        <f t="array" ref="H12">IFERROR(IF(2&gt;COUNTIF('DONNÉES BRUTES'!C$3:C$42,"Conso. Cycl."),"",INDEX('DONNÉES BRUTES'!AA$3:AA$42,MATCH(LARGE(IF('DONNÉES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51</v>
      </c>
      <c r="I12" s="409" t="str" cm="1">
        <f t="array" ref="I12">IFERROR(IF(2&gt;COUNTIF('DONNÉES BRUTES'!C$3:C$42,"Conso. Cycl."),"",INDEX('DONNÉES BRUTES'!M$3:M$42,MATCH(LARGE(IF('DONNÉES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58.3%</v>
      </c>
      <c r="J12" s="409" t="str" cm="1">
        <f t="array" ref="J12">IFERROR(IF(2&gt;COUNTIF('DONNÉES BRUTES'!C$3:C$42,"Conso. Cycl."),"",INDEX('DONNÉES BRUTES'!N$3:N$42,MATCH(LARGE(IF('DONNÉES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29.2%</v>
      </c>
      <c r="K12" s="409" t="str" cm="1">
        <f t="array" ref="K12">IFERROR(IF(2&gt;COUNTIF('DONNÉES BRUTES'!C$3:C$42,"Conso. Cycl."),"",INDEX('DONNÉES BRUTES'!O$3:O$42,MATCH(LARGE(IF('DONNÉES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15.6%</v>
      </c>
      <c r="L12" s="409" t="str" cm="1">
        <f t="array" ref="L12">IFERROR(IF(2&gt;COUNTIF('DONNÉES BRUTES'!C$3:C$42,"Conso. Cycl."),"",INDEX('DONNÉES BRUTES'!P$3:P$42,MATCH(LARGE(IF('DONNÉES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+3.2%</v>
      </c>
      <c r="M12" s="409" t="str" cm="1">
        <f t="array" ref="M12">IFERROR(IF(2&gt;COUNTIF('DONNÉES BRUTES'!C$3:C$42,"Conso. Cycl."),"",INDEX('DONNÉES BRUTES'!Q$3:Q$42,MATCH(LARGE(IF('DONNÉES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+30.5%</v>
      </c>
      <c r="N12" s="409" cm="1">
        <f t="array" ref="N12">IFERROR(IF(2&gt;COUNTIF('DONNÉES BRUTES'!C$3:C$42,"Conso. Cycl."),"",INDEX('DONNÉES BRUTES'!S$3:S$42,MATCH(LARGE(IF('DONNÉES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1.54</v>
      </c>
      <c r="O12" s="409" t="str" cm="1">
        <f t="array" ref="O12">IFERROR(IF(2&gt;COUNTIF('DONNÉES BRUTES'!C$3:C$42,"Conso. Cycl."),"",INDEX('DONNÉES BRUTES'!T$3:T$42,MATCH(LARGE(IF('DONNÉES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-0.5x</v>
      </c>
      <c r="P12" s="409" cm="1">
        <f t="array" ref="P12">IFERROR(IF(2&gt;COUNTIF('DONNÉES BRUTES'!C$3:C$42,"Conso. Cycl."),"",INDEX('DONNÉES BRUTES'!U$3:U$42,MATCH(LARGE(IF('DONNÉES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4.57</v>
      </c>
      <c r="Q12" s="410" t="str" cm="1">
        <f t="array" ref="Q12">IFERROR(IF(2&gt;COUNTIF('DONNÉES BRUTES'!C$3:C$42,"Conso. Cycl."),"",INDEX('DONNÉES BRUTES'!AD$3:AD$42,MATCH(LARGE(IF('DONNÉES BRUTES'!C$3:C$42="Conso. Cycl.",'DONNÉES BRUTES'!AB$3:AB$42+(ROW('DONNÉES BRUTES'!A$3:A$42)-ROW('DONNÉES BRUTES'!A$3))/1000,0),2),IF('DONNÉES BRUTES'!C$3:C$42="Conso. Cycl.",'DONNÉES BRUTES'!AB$3:AB$42+(ROW('DONNÉES BRUTES'!A$3:A$42)-ROW('DONNÉES BRUTES'!A$3))/1000,0),0))),"—")</f>
        <v>Neutre</v>
      </c>
    </row>
    <row r="13" spans="2:17" ht="15.9" customHeight="1" x14ac:dyDescent="0.3">
      <c r="B13" s="411">
        <v>3</v>
      </c>
      <c r="C13" s="412" t="str" cm="1">
        <f t="array" ref="C13">IFERROR(IF(3&gt;COUNTIF('DONNÉES BRUTES'!C$3:C$42,"Conso. Cycl."),"",INDEX('DONNÉES BRUTES'!A$3:A$42,MATCH(LARGE(IF('DONNÉES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PRX.AS</v>
      </c>
      <c r="D13" s="412" t="str" cm="1">
        <f t="array" ref="D13">IFERROR(IF(3&gt;COUNTIF('DONNÉES BRUTES'!C$3:C$42,"Conso. Cycl."),"",INDEX('DONNÉES BRUTES'!B$3:B$42,MATCH(LARGE(IF('DONNÉES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Prosus N.V.</v>
      </c>
      <c r="E13" s="412" t="str" cm="1">
        <f t="array" ref="E13">IFERROR(IF(3&gt;COUNTIF('DONNÉES BRUTES'!C$3:C$42,"Conso. Cycl."),"",INT(LARGE(IF('DONNÉES BRUTES'!C$3:C$42="Conso. Cycl.",'DONNÉES BRUTES'!AB$3:AB$42+(ROW('DONNÉES BRUTES'!A$3:A$42)-ROW('DONNÉES BRUTES'!A$3))/1000,0),3))&amp;"/100"),"—")</f>
        <v>56/100</v>
      </c>
      <c r="F13" s="412" cm="1">
        <f t="array" ref="F13">IFERROR(IF(3&gt;COUNTIF('DONNÉES BRUTES'!C$3:C$42,"Conso. Cycl."),"",INDEX('DONNÉES BRUTES'!Y$3:Y$42,MATCH(LARGE(IF('DONNÉES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66</v>
      </c>
      <c r="G13" s="412" cm="1">
        <f t="array" ref="G13">IFERROR(IF(3&gt;COUNTIF('DONNÉES BRUTES'!C$3:C$42,"Conso. Cycl."),"",INDEX('DONNÉES BRUTES'!Z$3:Z$42,MATCH(LARGE(IF('DONNÉES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59</v>
      </c>
      <c r="H13" s="412" cm="1">
        <f t="array" ref="H13">IFERROR(IF(3&gt;COUNTIF('DONNÉES BRUTES'!C$3:C$42,"Conso. Cycl."),"",INDEX('DONNÉES BRUTES'!AA$3:AA$42,MATCH(LARGE(IF('DONNÉES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15</v>
      </c>
      <c r="I13" s="412" t="str" cm="1">
        <f t="array" ref="I13">IFERROR(IF(3&gt;COUNTIF('DONNÉES BRUTES'!C$3:C$42,"Conso. Cycl."),"",INDEX('DONNÉES BRUTES'!M$3:M$42,MATCH(LARGE(IF('DONNÉES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42.5%</v>
      </c>
      <c r="J13" s="412" t="str" cm="1">
        <f t="array" ref="J13">IFERROR(IF(3&gt;COUNTIF('DONNÉES BRUTES'!C$3:C$42,"Conso. Cycl."),"",INDEX('DONNÉES BRUTES'!N$3:N$42,MATCH(LARGE(IF('DONNÉES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—</v>
      </c>
      <c r="K13" s="412" t="str" cm="1">
        <f t="array" ref="K13">IFERROR(IF(3&gt;COUNTIF('DONNÉES BRUTES'!C$3:C$42,"Conso. Cycl."),"",INDEX('DONNÉES BRUTES'!O$3:O$42,MATCH(LARGE(IF('DONNÉES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—</v>
      </c>
      <c r="L13" s="412" t="str" cm="1">
        <f t="array" ref="L13">IFERROR(IF(3&gt;COUNTIF('DONNÉES BRUTES'!C$3:C$42,"Conso. Cycl."),"",INDEX('DONNÉES BRUTES'!P$3:P$42,MATCH(LARGE(IF('DONNÉES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+12.9%</v>
      </c>
      <c r="M13" s="412" t="str" cm="1">
        <f t="array" ref="M13">IFERROR(IF(3&gt;COUNTIF('DONNÉES BRUTES'!C$3:C$42,"Conso. Cycl."),"",INDEX('DONNÉES BRUTES'!Q$3:Q$42,MATCH(LARGE(IF('DONNÉES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+24.2%</v>
      </c>
      <c r="N13" s="412" cm="1">
        <f t="array" ref="N13">IFERROR(IF(3&gt;COUNTIF('DONNÉES BRUTES'!C$3:C$42,"Conso. Cycl."),"",INDEX('DONNÉES BRUTES'!S$3:S$42,MATCH(LARGE(IF('DONNÉES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3.54</v>
      </c>
      <c r="O13" s="412" t="str" cm="1">
        <f t="array" ref="O13">IFERROR(IF(3&gt;COUNTIF('DONNÉES BRUTES'!C$3:C$42,"Conso. Cycl."),"",INDEX('DONNÉES BRUTES'!T$3:T$42,MATCH(LARGE(IF('DONNÉES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0.7x</v>
      </c>
      <c r="P13" s="412" cm="1">
        <f t="array" ref="P13">IFERROR(IF(3&gt;COUNTIF('DONNÉES BRUTES'!C$3:C$42,"Conso. Cycl."),"",INDEX('DONNÉES BRUTES'!U$3:U$42,MATCH(LARGE(IF('DONNÉES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8.7200000000000006</v>
      </c>
      <c r="Q13" s="413" t="str" cm="1">
        <f t="array" ref="Q13">IFERROR(IF(3&gt;COUNTIF('DONNÉES BRUTES'!C$3:C$42,"Conso. Cycl."),"",INDEX('DONNÉES BRUTES'!AD$3:AD$42,MATCH(LARGE(IF('DONNÉES BRUTES'!C$3:C$42="Conso. Cycl.",'DONNÉES BRUTES'!AB$3:AB$42+(ROW('DONNÉES BRUTES'!A$3:A$42)-ROW('DONNÉES BRUTES'!A$3))/1000,0),3),IF('DONNÉES BRUTES'!C$3:C$42="Conso. Cycl.",'DONNÉES BRUTES'!AB$3:AB$42+(ROW('DONNÉES BRUTES'!A$3:A$42)-ROW('DONNÉES BRUTES'!A$3))/1000,0),0))),"—")</f>
        <v>Neutre</v>
      </c>
    </row>
    <row r="14" spans="2:17" ht="15.9" customHeight="1" x14ac:dyDescent="0.3">
      <c r="B14" s="408">
        <v>4</v>
      </c>
      <c r="C14" s="409" t="str" cm="1">
        <f t="array" ref="C14">IFERROR(IF(4&gt;COUNTIF('DONNÉES BRUTES'!C$3:C$42,"Conso. Cycl."),"",INDEX('DONNÉES BRUTES'!A$3:A$42,MATCH(LARGE(IF('DONNÉES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MC.PA</v>
      </c>
      <c r="D14" s="409" t="str" cm="1">
        <f t="array" ref="D14">IFERROR(IF(4&gt;COUNTIF('DONNÉES BRUTES'!C$3:C$42,"Conso. Cycl."),"",INDEX('DONNÉES BRUTES'!B$3:B$42,MATCH(LARGE(IF('DONNÉES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LVMH Moët Hennessy - Louis Vuitton, Société Européenne</v>
      </c>
      <c r="E14" s="409" t="str" cm="1">
        <f t="array" ref="E14">IFERROR(IF(4&gt;COUNTIF('DONNÉES BRUTES'!C$3:C$42,"Conso. Cycl."),"",INT(LARGE(IF('DONNÉES BRUTES'!C$3:C$42="Conso. Cycl.",'DONNÉES BRUTES'!AB$3:AB$42+(ROW('DONNÉES BRUTES'!A$3:A$42)-ROW('DONNÉES BRUTES'!A$3))/1000,0),4))&amp;"/100"),"—")</f>
        <v>42/100</v>
      </c>
      <c r="F14" s="409" cm="1">
        <f t="array" ref="F14">IFERROR(IF(4&gt;COUNTIF('DONNÉES BRUTES'!C$3:C$42,"Conso. Cycl."),"",INDEX('DONNÉES BRUTES'!Y$3:Y$42,MATCH(LARGE(IF('DONNÉES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44</v>
      </c>
      <c r="G14" s="409" cm="1">
        <f t="array" ref="G14">IFERROR(IF(4&gt;COUNTIF('DONNÉES BRUTES'!C$3:C$42,"Conso. Cycl."),"",INDEX('DONNÉES BRUTES'!Z$3:Z$42,MATCH(LARGE(IF('DONNÉES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69</v>
      </c>
      <c r="H14" s="409" cm="1">
        <f t="array" ref="H14">IFERROR(IF(4&gt;COUNTIF('DONNÉES BRUTES'!C$3:C$42,"Conso. Cycl."),"",INDEX('DONNÉES BRUTES'!AA$3:AA$42,MATCH(LARGE(IF('DONNÉES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28</v>
      </c>
      <c r="I14" s="409" t="str" cm="1">
        <f t="array" ref="I14">IFERROR(IF(4&gt;COUNTIF('DONNÉES BRUTES'!C$3:C$42,"Conso. Cycl."),"",INDEX('DONNÉES BRUTES'!M$3:M$42,MATCH(LARGE(IF('DONNÉES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66.2%</v>
      </c>
      <c r="J14" s="409" t="str" cm="1">
        <f t="array" ref="J14">IFERROR(IF(4&gt;COUNTIF('DONNÉES BRUTES'!C$3:C$42,"Conso. Cycl."),"",INDEX('DONNÉES BRUTES'!N$3:N$42,MATCH(LARGE(IF('DONNÉES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32.0%</v>
      </c>
      <c r="K14" s="409" t="str" cm="1">
        <f t="array" ref="K14">IFERROR(IF(4&gt;COUNTIF('DONNÉES BRUTES'!C$3:C$42,"Conso. Cycl."),"",INDEX('DONNÉES BRUTES'!O$3:O$42,MATCH(LARGE(IF('DONNÉES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13.5%</v>
      </c>
      <c r="L14" s="409" t="str" cm="1">
        <f t="array" ref="L14">IFERROR(IF(4&gt;COUNTIF('DONNÉES BRUTES'!C$3:C$42,"Conso. Cycl."),"",INDEX('DONNÉES BRUTES'!P$3:P$42,MATCH(LARGE(IF('DONNÉES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-4.6%</v>
      </c>
      <c r="M14" s="409" t="str" cm="1">
        <f t="array" ref="M14">IFERROR(IF(4&gt;COUNTIF('DONNÉES BRUTES'!C$3:C$42,"Conso. Cycl."),"",INDEX('DONNÉES BRUTES'!Q$3:Q$42,MATCH(LARGE(IF('DONNÉES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+16.1%</v>
      </c>
      <c r="N14" s="409" cm="1">
        <f t="array" ref="N14">IFERROR(IF(4&gt;COUNTIF('DONNÉES BRUTES'!C$3:C$42,"Conso. Cycl."),"",INDEX('DONNÉES BRUTES'!S$3:S$42,MATCH(LARGE(IF('DONNÉES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1.58</v>
      </c>
      <c r="O14" s="409" t="str" cm="1">
        <f t="array" ref="O14">IFERROR(IF(4&gt;COUNTIF('DONNÉES BRUTES'!C$3:C$42,"Conso. Cycl."),"",INDEX('DONNÉES BRUTES'!T$3:T$42,MATCH(LARGE(IF('DONNÉES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0.4x</v>
      </c>
      <c r="P14" s="409" cm="1">
        <f t="array" ref="P14">IFERROR(IF(4&gt;COUNTIF('DONNÉES BRUTES'!C$3:C$42,"Conso. Cycl."),"",INDEX('DONNÉES BRUTES'!U$3:U$42,MATCH(LARGE(IF('DONNÉES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2.88</v>
      </c>
      <c r="Q14" s="410" t="str" cm="1">
        <f t="array" ref="Q14">IFERROR(IF(4&gt;COUNTIF('DONNÉES BRUTES'!C$3:C$42,"Conso. Cycl."),"",INDEX('DONNÉES BRUTES'!AD$3:AD$42,MATCH(LARGE(IF('DONNÉES BRUTES'!C$3:C$42="Conso. Cycl.",'DONNÉES BRUTES'!AB$3:AB$42+(ROW('DONNÉES BRUTES'!A$3:A$42)-ROW('DONNÉES BRUTES'!A$3))/1000,0),4),IF('DONNÉES BRUTES'!C$3:C$42="Conso. Cycl.",'DONNÉES BRUTES'!AB$3:AB$42+(ROW('DONNÉES BRUTES'!A$3:A$42)-ROW('DONNÉES BRUTES'!A$3))/1000,0),0))),"—")</f>
        <v>Neutre</v>
      </c>
    </row>
    <row r="15" spans="2:17" ht="15.9" customHeight="1" x14ac:dyDescent="0.3">
      <c r="B15" s="411">
        <v>5</v>
      </c>
      <c r="C15" s="412" t="str" cm="1">
        <f t="array" ref="C15">IFERROR(IF(5&gt;COUNTIF('DONNÉES BRUTES'!C$3:C$42,"Conso. Cycl."),"",INDEX('DONNÉES BRUTES'!A$3:A$42,MATCH(LARGE(IF('DONNÉES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ADS.DE</v>
      </c>
      <c r="D15" s="412" t="str" cm="1">
        <f t="array" ref="D15">IFERROR(IF(5&gt;COUNTIF('DONNÉES BRUTES'!C$3:C$42,"Conso. Cycl."),"",INDEX('DONNÉES BRUTES'!B$3:B$42,MATCH(LARGE(IF('DONNÉES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adidas AG</v>
      </c>
      <c r="E15" s="412" t="str" cm="1">
        <f t="array" ref="E15">IFERROR(IF(5&gt;COUNTIF('DONNÉES BRUTES'!C$3:C$42,"Conso. Cycl."),"",INT(LARGE(IF('DONNÉES BRUTES'!C$3:C$42="Conso. Cycl.",'DONNÉES BRUTES'!AB$3:AB$42+(ROW('DONNÉES BRUTES'!A$3:A$42)-ROW('DONNÉES BRUTES'!A$3))/1000,0),5))&amp;"/100"),"—")</f>
        <v>37/100</v>
      </c>
      <c r="F15" s="412" cm="1">
        <f t="array" ref="F15">IFERROR(IF(5&gt;COUNTIF('DONNÉES BRUTES'!C$3:C$42,"Conso. Cycl."),"",INDEX('DONNÉES BRUTES'!Y$3:Y$42,MATCH(LARGE(IF('DONNÉES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61</v>
      </c>
      <c r="G15" s="412" cm="1">
        <f t="array" ref="G15">IFERROR(IF(5&gt;COUNTIF('DONNÉES BRUTES'!C$3:C$42,"Conso. Cycl."),"",INDEX('DONNÉES BRUTES'!Z$3:Z$42,MATCH(LARGE(IF('DONNÉES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52</v>
      </c>
      <c r="H15" s="412" cm="1">
        <f t="array" ref="H15">IFERROR(IF(5&gt;COUNTIF('DONNÉES BRUTES'!C$3:C$42,"Conso. Cycl."),"",INDEX('DONNÉES BRUTES'!AA$3:AA$42,MATCH(LARGE(IF('DONNÉES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2</v>
      </c>
      <c r="I15" s="412" t="str" cm="1">
        <f t="array" ref="I15">IFERROR(IF(5&gt;COUNTIF('DONNÉES BRUTES'!C$3:C$42,"Conso. Cycl."),"",INDEX('DONNÉES BRUTES'!M$3:M$42,MATCH(LARGE(IF('DONNÉES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51.6%</v>
      </c>
      <c r="J15" s="412" t="str" cm="1">
        <f t="array" ref="J15">IFERROR(IF(5&gt;COUNTIF('DONNÉES BRUTES'!C$3:C$42,"Conso. Cycl."),"",INDEX('DONNÉES BRUTES'!N$3:N$42,MATCH(LARGE(IF('DONNÉES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12.8%</v>
      </c>
      <c r="K15" s="412" t="str" cm="1">
        <f t="array" ref="K15">IFERROR(IF(5&gt;COUNTIF('DONNÉES BRUTES'!C$3:C$42,"Conso. Cycl."),"",INDEX('DONNÉES BRUTES'!O$3:O$42,MATCH(LARGE(IF('DONNÉES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5.4%</v>
      </c>
      <c r="L15" s="412" t="str" cm="1">
        <f t="array" ref="L15">IFERROR(IF(5&gt;COUNTIF('DONNÉES BRUTES'!C$3:C$42,"Conso. Cycl."),"",INDEX('DONNÉES BRUTES'!P$3:P$42,MATCH(LARGE(IF('DONNÉES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+4.8%</v>
      </c>
      <c r="M15" s="412" t="str" cm="1">
        <f t="array" ref="M15">IFERROR(IF(5&gt;COUNTIF('DONNÉES BRUTES'!C$3:C$42,"Conso. Cycl."),"",INDEX('DONNÉES BRUTES'!Q$3:Q$42,MATCH(LARGE(IF('DONNÉES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+23.2%</v>
      </c>
      <c r="N15" s="412" cm="1">
        <f t="array" ref="N15">IFERROR(IF(5&gt;COUNTIF('DONNÉES BRUTES'!C$3:C$42,"Conso. Cycl."),"",INDEX('DONNÉES BRUTES'!S$3:S$42,MATCH(LARGE(IF('DONNÉES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1.32</v>
      </c>
      <c r="O15" s="412" t="str" cm="1">
        <f t="array" ref="O15">IFERROR(IF(5&gt;COUNTIF('DONNÉES BRUTES'!C$3:C$42,"Conso. Cycl."),"",INDEX('DONNÉES BRUTES'!T$3:T$42,MATCH(LARGE(IF('DONNÉES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0.4x</v>
      </c>
      <c r="P15" s="412" cm="1">
        <f t="array" ref="P15">IFERROR(IF(5&gt;COUNTIF('DONNÉES BRUTES'!C$3:C$42,"Conso. Cycl."),"",INDEX('DONNÉES BRUTES'!U$3:U$42,MATCH(LARGE(IF('DONNÉES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2.97</v>
      </c>
      <c r="Q15" s="413" t="str" cm="1">
        <f t="array" ref="Q15">IFERROR(IF(5&gt;COUNTIF('DONNÉES BRUTES'!C$3:C$42,"Conso. Cycl."),"",INDEX('DONNÉES BRUTES'!AD$3:AD$42,MATCH(LARGE(IF('DONNÉES BRUTES'!C$3:C$42="Conso. Cycl.",'DONNÉES BRUTES'!AB$3:AB$42+(ROW('DONNÉES BRUTES'!A$3:A$42)-ROW('DONNÉES BRUTES'!A$3))/1000,0),5),IF('DONNÉES BRUTES'!C$3:C$42="Conso. Cycl.",'DONNÉES BRUTES'!AB$3:AB$42+(ROW('DONNÉES BRUTES'!A$3:A$42)-ROW('DONNÉES BRUTES'!A$3))/1000,0),0))),"—")</f>
        <v>Sous-pondérer</v>
      </c>
    </row>
    <row r="16" spans="2:17" ht="15.9" customHeight="1" x14ac:dyDescent="0.3">
      <c r="B16" s="408">
        <v>6</v>
      </c>
      <c r="C16" s="409" t="str" cm="1">
        <f t="array" ref="C16">IFERROR(IF(6&gt;COUNTIF('DONNÉES BRUTES'!C$3:C$42,"Conso. Cycl."),"",INDEX('DONNÉES BRUTES'!A$3:A$42,MATCH(LARGE(IF('DONNÉES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KER.PA</v>
      </c>
      <c r="D16" s="409" t="str" cm="1">
        <f t="array" ref="D16">IFERROR(IF(6&gt;COUNTIF('DONNÉES BRUTES'!C$3:C$42,"Conso. Cycl."),"",INDEX('DONNÉES BRUTES'!B$3:B$42,MATCH(LARGE(IF('DONNÉES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Kering SA</v>
      </c>
      <c r="E16" s="409" t="str" cm="1">
        <f t="array" ref="E16">IFERROR(IF(6&gt;COUNTIF('DONNÉES BRUTES'!C$3:C$42,"Conso. Cycl."),"",INT(LARGE(IF('DONNÉES BRUTES'!C$3:C$42="Conso. Cycl.",'DONNÉES BRUTES'!AB$3:AB$42+(ROW('DONNÉES BRUTES'!A$3:A$42)-ROW('DONNÉES BRUTES'!A$3))/1000,0),6))&amp;"/100"),"—")</f>
        <v>37/100</v>
      </c>
      <c r="F16" s="409" cm="1">
        <f t="array" ref="F16">IFERROR(IF(6&gt;COUNTIF('DONNÉES BRUTES'!C$3:C$42,"Conso. Cycl."),"",INDEX('DONNÉES BRUTES'!Y$3:Y$42,MATCH(LARGE(IF('DONNÉES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21</v>
      </c>
      <c r="G16" s="409" cm="1">
        <f t="array" ref="G16">IFERROR(IF(6&gt;COUNTIF('DONNÉES BRUTES'!C$3:C$42,"Conso. Cycl."),"",INDEX('DONNÉES BRUTES'!Z$3:Z$42,MATCH(LARGE(IF('DONNÉES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33</v>
      </c>
      <c r="H16" s="409" cm="1">
        <f t="array" ref="H16">IFERROR(IF(6&gt;COUNTIF('DONNÉES BRUTES'!C$3:C$42,"Conso. Cycl."),"",INDEX('DONNÉES BRUTES'!AA$3:AA$42,MATCH(LARGE(IF('DONNÉES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89</v>
      </c>
      <c r="I16" s="409" t="str" cm="1">
        <f t="array" ref="I16">IFERROR(IF(6&gt;COUNTIF('DONNÉES BRUTES'!C$3:C$42,"Conso. Cycl."),"",INDEX('DONNÉES BRUTES'!M$3:M$42,MATCH(LARGE(IF('DONNÉES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72.6%</v>
      </c>
      <c r="J16" s="409" t="str" cm="1">
        <f t="array" ref="J16">IFERROR(IF(6&gt;COUNTIF('DONNÉES BRUTES'!C$3:C$42,"Conso. Cycl."),"",INDEX('DONNÉES BRUTES'!N$3:N$42,MATCH(LARGE(IF('DONNÉES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25.0%</v>
      </c>
      <c r="K16" s="409" t="str" cm="1">
        <f t="array" ref="K16">IFERROR(IF(6&gt;COUNTIF('DONNÉES BRUTES'!C$3:C$42,"Conso. Cycl."),"",INDEX('DONNÉES BRUTES'!O$3:O$42,MATCH(LARGE(IF('DONNÉES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0.5%</v>
      </c>
      <c r="L16" s="409" t="str" cm="1">
        <f t="array" ref="L16">IFERROR(IF(6&gt;COUNTIF('DONNÉES BRUTES'!C$3:C$42,"Conso. Cycl."),"",INDEX('DONNÉES BRUTES'!P$3:P$42,MATCH(LARGE(IF('DONNÉES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-13.0%</v>
      </c>
      <c r="M16" s="409" t="str" cm="1">
        <f t="array" ref="M16">IFERROR(IF(6&gt;COUNTIF('DONNÉES BRUTES'!C$3:C$42,"Conso. Cycl."),"",INDEX('DONNÉES BRUTES'!Q$3:Q$42,MATCH(LARGE(IF('DONNÉES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+0.5%</v>
      </c>
      <c r="N16" s="409" cm="1">
        <f t="array" ref="N16">IFERROR(IF(6&gt;COUNTIF('DONNÉES BRUTES'!C$3:C$42,"Conso. Cycl."),"",INDEX('DONNÉES BRUTES'!S$3:S$42,MATCH(LARGE(IF('DONNÉES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1.99</v>
      </c>
      <c r="O16" s="409" t="str" cm="1">
        <f t="array" ref="O16">IFERROR(IF(6&gt;COUNTIF('DONNÉES BRUTES'!C$3:C$42,"Conso. Cycl."),"",INDEX('DONNÉES BRUTES'!T$3:T$42,MATCH(LARGE(IF('DONNÉES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2.2x</v>
      </c>
      <c r="P16" s="409" t="str" cm="1">
        <f t="array" ref="P16">IFERROR(IF(6&gt;COUNTIF('DONNÉES BRUTES'!C$3:C$42,"Conso. Cycl."),"",INDEX('DONNÉES BRUTES'!U$3:U$42,MATCH(LARGE(IF('DONNÉES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—</v>
      </c>
      <c r="Q16" s="410" t="str" cm="1">
        <f t="array" ref="Q16">IFERROR(IF(6&gt;COUNTIF('DONNÉES BRUTES'!C$3:C$42,"Conso. Cycl."),"",INDEX('DONNÉES BRUTES'!AD$3:AD$42,MATCH(LARGE(IF('DONNÉES BRUTES'!C$3:C$42="Conso. Cycl.",'DONNÉES BRUTES'!AB$3:AB$42+(ROW('DONNÉES BRUTES'!A$3:A$42)-ROW('DONNÉES BRUTES'!A$3))/1000,0),6),IF('DONNÉES BRUTES'!C$3:C$42="Conso. Cycl.",'DONNÉES BRUTES'!AB$3:AB$42+(ROW('DONNÉES BRUTES'!A$3:A$42)-ROW('DONNÉES BRUTES'!A$3))/1000,0),0))),"—")</f>
        <v>Sous-pondérer</v>
      </c>
    </row>
    <row r="17" spans="2:28" ht="15.9" customHeight="1" x14ac:dyDescent="0.3">
      <c r="B17" s="417">
        <v>7</v>
      </c>
      <c r="C17" s="418" t="str" cm="1">
        <f t="array" ref="C17">IFERROR(IF(7&gt;COUNTIF('DONNÉES BRUTES'!C$3:C$42,"Conso. Cycl."),"",INDEX('DONNÉES BRUTES'!A$3:A$42,MATCH(LARGE(IF('DONNÉES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VOW3.DE</v>
      </c>
      <c r="D17" s="418" t="str" cm="1">
        <f t="array" ref="D17">IFERROR(IF(7&gt;COUNTIF('DONNÉES BRUTES'!C$3:C$42,"Conso. Cycl."),"",INDEX('DONNÉES BRUTES'!B$3:B$42,MATCH(LARGE(IF('DONNÉES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Volkswagen AG</v>
      </c>
      <c r="E17" s="418" t="str" cm="1">
        <f t="array" ref="E17">IFERROR(IF(7&gt;COUNTIF('DONNÉES BRUTES'!C$3:C$42,"Conso. Cycl."),"",INT(LARGE(IF('DONNÉES BRUTES'!C$3:C$42="Conso. Cycl.",'DONNÉES BRUTES'!AB$3:AB$42+(ROW('DONNÉES BRUTES'!A$3:A$42)-ROW('DONNÉES BRUTES'!A$3))/1000,0),7))&amp;"/100"),"—")</f>
        <v>33/100</v>
      </c>
      <c r="F17" s="418" cm="1">
        <f t="array" ref="F17">IFERROR(IF(7&gt;COUNTIF('DONNÉES BRUTES'!C$3:C$42,"Conso. Cycl."),"",INDEX('DONNÉES BRUTES'!Y$3:Y$42,MATCH(LARGE(IF('DONNÉES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31</v>
      </c>
      <c r="G17" s="418" cm="1">
        <f t="array" ref="G17">IFERROR(IF(7&gt;COUNTIF('DONNÉES BRUTES'!C$3:C$42,"Conso. Cycl."),"",INDEX('DONNÉES BRUTES'!Z$3:Z$42,MATCH(LARGE(IF('DONNÉES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22</v>
      </c>
      <c r="H17" s="418" cm="1">
        <f t="array" ref="H17">IFERROR(IF(7&gt;COUNTIF('DONNÉES BRUTES'!C$3:C$42,"Conso. Cycl."),"",INDEX('DONNÉES BRUTES'!AA$3:AA$42,MATCH(LARGE(IF('DONNÉES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23</v>
      </c>
      <c r="I17" s="418" t="str" cm="1">
        <f t="array" ref="I17">IFERROR(IF(7&gt;COUNTIF('DONNÉES BRUTES'!C$3:C$42,"Conso. Cycl."),"",INDEX('DONNÉES BRUTES'!M$3:M$42,MATCH(LARGE(IF('DONNÉES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15.9%</v>
      </c>
      <c r="J17" s="418" t="str" cm="1">
        <f t="array" ref="J17">IFERROR(IF(7&gt;COUNTIF('DONNÉES BRUTES'!C$3:C$42,"Conso. Cycl."),"",INDEX('DONNÉES BRUTES'!N$3:N$42,MATCH(LARGE(IF('DONNÉES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15.5%</v>
      </c>
      <c r="K17" s="418" t="str" cm="1">
        <f t="array" ref="K17">IFERROR(IF(7&gt;COUNTIF('DONNÉES BRUTES'!C$3:C$42,"Conso. Cycl."),"",INDEX('DONNÉES BRUTES'!O$3:O$42,MATCH(LARGE(IF('DONNÉES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2.3%</v>
      </c>
      <c r="L17" s="418" t="str" cm="1">
        <f t="array" ref="L17">IFERROR(IF(7&gt;COUNTIF('DONNÉES BRUTES'!C$3:C$42,"Conso. Cycl."),"",INDEX('DONNÉES BRUTES'!P$3:P$42,MATCH(LARGE(IF('DONNÉES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-0.8%</v>
      </c>
      <c r="M17" s="418" t="str" cm="1">
        <f t="array" ref="M17">IFERROR(IF(7&gt;COUNTIF('DONNÉES BRUTES'!C$3:C$42,"Conso. Cycl."),"",INDEX('DONNÉES BRUTES'!Q$3:Q$42,MATCH(LARGE(IF('DONNÉES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+3.9%</v>
      </c>
      <c r="N17" s="418" cm="1">
        <f t="array" ref="N17">IFERROR(IF(7&gt;COUNTIF('DONNÉES BRUTES'!C$3:C$42,"Conso. Cycl."),"",INDEX('DONNÉES BRUTES'!S$3:S$42,MATCH(LARGE(IF('DONNÉES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1.0900000000000001</v>
      </c>
      <c r="O17" s="418" t="str" cm="1">
        <f t="array" ref="O17">IFERROR(IF(7&gt;COUNTIF('DONNÉES BRUTES'!C$3:C$42,"Conso. Cycl."),"",INDEX('DONNÉES BRUTES'!T$3:T$42,MATCH(LARGE(IF('DONNÉES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3.0x</v>
      </c>
      <c r="P17" s="418" cm="1">
        <f t="array" ref="P17">IFERROR(IF(7&gt;COUNTIF('DONNÉES BRUTES'!C$3:C$42,"Conso. Cycl."),"",INDEX('DONNÉES BRUTES'!U$3:U$42,MATCH(LARGE(IF('DONNÉES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1.61</v>
      </c>
      <c r="Q17" s="419" t="str" cm="1">
        <f t="array" ref="Q17">IFERROR(IF(7&gt;COUNTIF('DONNÉES BRUTES'!C$3:C$42,"Conso. Cycl."),"",INDEX('DONNÉES BRUTES'!AD$3:AD$42,MATCH(LARGE(IF('DONNÉES BRUTES'!C$3:C$42="Conso. Cycl.",'DONNÉES BRUTES'!AB$3:AB$42+(ROW('DONNÉES BRUTES'!A$3:A$42)-ROW('DONNÉES BRUTES'!A$3))/1000,0),7),IF('DONNÉES BRUTES'!C$3:C$42="Conso. Cycl.",'DONNÉES BRUTES'!AB$3:AB$42+(ROW('DONNÉES BRUTES'!A$3:A$42)-ROW('DONNÉES BRUTES'!A$3))/1000,0),0))),"—")</f>
        <v>Sous-pondérer</v>
      </c>
    </row>
    <row r="18" spans="2:28" ht="15.9" customHeight="1" x14ac:dyDescent="0.3">
      <c r="C18" t="str" cm="1">
        <f t="array" ref="C18">IFERROR(IF(8&gt;COUNTIF('DONNÉES BRUTES'!C$3:C$42,"Conso. Cycl."),"",INDEX('DONNÉES BRUTES'!A$3:A$42,MATCH(LARGE(IF('DONNÉES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D18" t="str" cm="1">
        <f t="array" ref="D18">IFERROR(IF(8&gt;COUNTIF('DONNÉES BRUTES'!C$3:C$42,"Conso. Cycl."),"",INDEX('DONNÉES BRUTES'!B$3:B$42,MATCH(LARGE(IF('DONNÉES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E18" t="str" cm="1">
        <f t="array" ref="E18">IFERROR(IF(8&gt;COUNTIF('DONNÉES BRUTES'!C$3:C$42,"Conso. Cycl."),"",INT(LARGE(IF('DONNÉES BRUTES'!C$3:C$42="Conso. Cycl.",'DONNÉES BRUTES'!AB$3:AB$42+(ROW('DONNÉES BRUTES'!A$3:A$42)-ROW('DONNÉES BRUTES'!A$3))/1000,0),8))&amp;"/100"),"—")</f>
        <v/>
      </c>
      <c r="F18" t="str" cm="1">
        <f t="array" ref="F18">IFERROR(IF(8&gt;COUNTIF('DONNÉES BRUTES'!C$3:C$42,"Conso. Cycl."),"",INDEX('DONNÉES BRUTES'!Y$3:Y$42,MATCH(LARGE(IF('DONNÉES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G18" t="str" cm="1">
        <f t="array" ref="G18">IFERROR(IF(8&gt;COUNTIF('DONNÉES BRUTES'!C$3:C$42,"Conso. Cycl."),"",INDEX('DONNÉES BRUTES'!Z$3:Z$42,MATCH(LARGE(IF('DONNÉES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H18" t="str" cm="1">
        <f t="array" ref="H18">IFERROR(IF(8&gt;COUNTIF('DONNÉES BRUTES'!C$3:C$42,"Conso. Cycl."),"",INDEX('DONNÉES BRUTES'!AA$3:AA$42,MATCH(LARGE(IF('DONNÉES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I18" t="str" cm="1">
        <f t="array" ref="I18">IFERROR(IF(8&gt;COUNTIF('DONNÉES BRUTES'!C$3:C$42,"Conso. Cycl."),"",INDEX('DONNÉES BRUTES'!M$3:M$42,MATCH(LARGE(IF('DONNÉES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J18" t="str" cm="1">
        <f t="array" ref="J18">IFERROR(IF(8&gt;COUNTIF('DONNÉES BRUTES'!C$3:C$42,"Conso. Cycl."),"",INDEX('DONNÉES BRUTES'!N$3:N$42,MATCH(LARGE(IF('DONNÉES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K18" t="str" cm="1">
        <f t="array" ref="K18">IFERROR(IF(8&gt;COUNTIF('DONNÉES BRUTES'!C$3:C$42,"Conso. Cycl."),"",INDEX('DONNÉES BRUTES'!O$3:O$42,MATCH(LARGE(IF('DONNÉES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L18" t="str" cm="1">
        <f t="array" ref="L18">IFERROR(IF(8&gt;COUNTIF('DONNÉES BRUTES'!C$3:C$42,"Conso. Cycl."),"",INDEX('DONNÉES BRUTES'!P$3:P$42,MATCH(LARGE(IF('DONNÉES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M18" t="str" cm="1">
        <f t="array" ref="M18">IFERROR(IF(8&gt;COUNTIF('DONNÉES BRUTES'!C$3:C$42,"Conso. Cycl."),"",INDEX('DONNÉES BRUTES'!Q$3:Q$42,MATCH(LARGE(IF('DONNÉES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N18" t="str" cm="1">
        <f t="array" ref="N18">IFERROR(IF(8&gt;COUNTIF('DONNÉES BRUTES'!C$3:C$42,"Conso. Cycl."),"",INDEX('DONNÉES BRUTES'!S$3:S$42,MATCH(LARGE(IF('DONNÉES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O18" t="str" cm="1">
        <f t="array" ref="O18">IFERROR(IF(8&gt;COUNTIF('DONNÉES BRUTES'!C$3:C$42,"Conso. Cycl."),"",INDEX('DONNÉES BRUTES'!T$3:T$42,MATCH(LARGE(IF('DONNÉES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P18" t="str" cm="1">
        <f t="array" ref="P18">IFERROR(IF(8&gt;COUNTIF('DONNÉES BRUTES'!C$3:C$42,"Conso. Cycl."),"",INDEX('DONNÉES BRUTES'!U$3:U$42,MATCH(LARGE(IF('DONNÉES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  <c r="Q18" t="str" cm="1">
        <f t="array" ref="Q18">IFERROR(IF(8&gt;COUNTIF('DONNÉES BRUTES'!C$3:C$42,"Conso. Cycl."),"",INDEX('DONNÉES BRUTES'!AD$3:AD$42,MATCH(LARGE(IF('DONNÉES BRUTES'!C$3:C$42="Conso. Cycl.",'DONNÉES BRUTES'!AB$3:AB$42+(ROW('DONNÉES BRUTES'!A$3:A$42)-ROW('DONNÉES BRUTES'!A$3))/1000,0),8),IF('DONNÉES BRUTES'!C$3:C$42="Conso. Cycl.",'DONNÉES BRUTES'!AB$3:AB$42+(ROW('DONNÉES BRUTES'!A$3:A$42)-ROW('DONNÉES BRUTES'!A$3))/1000,0),0))),"—")</f>
        <v/>
      </c>
    </row>
    <row r="19" spans="2:28" ht="15.9" customHeight="1" x14ac:dyDescent="0.3">
      <c r="C19" t="str" cm="1">
        <f t="array" ref="C19">IFERROR(IF(9&gt;COUNTIF('DONNÉES BRUTES'!C$3:C$42,"Conso. Cycl."),"",INDEX('DONNÉES BRUTES'!A$3:A$42,MATCH(LARGE(IF('DONNÉES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D19" t="str" cm="1">
        <f t="array" ref="D19">IFERROR(IF(9&gt;COUNTIF('DONNÉES BRUTES'!C$3:C$42,"Conso. Cycl."),"",INDEX('DONNÉES BRUTES'!B$3:B$42,MATCH(LARGE(IF('DONNÉES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E19" t="str" cm="1">
        <f t="array" ref="E19">IFERROR(IF(9&gt;COUNTIF('DONNÉES BRUTES'!C$3:C$42,"Conso. Cycl."),"",INT(LARGE(IF('DONNÉES BRUTES'!C$3:C$42="Conso. Cycl.",'DONNÉES BRUTES'!AB$3:AB$42+(ROW('DONNÉES BRUTES'!A$3:A$42)-ROW('DONNÉES BRUTES'!A$3))/1000,0),9))&amp;"/100"),"—")</f>
        <v/>
      </c>
      <c r="F19" t="str" cm="1">
        <f t="array" ref="F19">IFERROR(IF(9&gt;COUNTIF('DONNÉES BRUTES'!C$3:C$42,"Conso. Cycl."),"",INDEX('DONNÉES BRUTES'!Y$3:Y$42,MATCH(LARGE(IF('DONNÉES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G19" t="str" cm="1">
        <f t="array" ref="G19">IFERROR(IF(9&gt;COUNTIF('DONNÉES BRUTES'!C$3:C$42,"Conso. Cycl."),"",INDEX('DONNÉES BRUTES'!Z$3:Z$42,MATCH(LARGE(IF('DONNÉES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H19" t="str" cm="1">
        <f t="array" ref="H19">IFERROR(IF(9&gt;COUNTIF('DONNÉES BRUTES'!C$3:C$42,"Conso. Cycl."),"",INDEX('DONNÉES BRUTES'!AA$3:AA$42,MATCH(LARGE(IF('DONNÉES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I19" t="str" cm="1">
        <f t="array" ref="I19">IFERROR(IF(9&gt;COUNTIF('DONNÉES BRUTES'!C$3:C$42,"Conso. Cycl."),"",INDEX('DONNÉES BRUTES'!M$3:M$42,MATCH(LARGE(IF('DONNÉES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J19" t="str" cm="1">
        <f t="array" ref="J19">IFERROR(IF(9&gt;COUNTIF('DONNÉES BRUTES'!C$3:C$42,"Conso. Cycl."),"",INDEX('DONNÉES BRUTES'!N$3:N$42,MATCH(LARGE(IF('DONNÉES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K19" t="str" cm="1">
        <f t="array" ref="K19">IFERROR(IF(9&gt;COUNTIF('DONNÉES BRUTES'!C$3:C$42,"Conso. Cycl."),"",INDEX('DONNÉES BRUTES'!O$3:O$42,MATCH(LARGE(IF('DONNÉES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L19" t="str" cm="1">
        <f t="array" ref="L19">IFERROR(IF(9&gt;COUNTIF('DONNÉES BRUTES'!C$3:C$42,"Conso. Cycl."),"",INDEX('DONNÉES BRUTES'!P$3:P$42,MATCH(LARGE(IF('DONNÉES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M19" t="str" cm="1">
        <f t="array" ref="M19">IFERROR(IF(9&gt;COUNTIF('DONNÉES BRUTES'!C$3:C$42,"Conso. Cycl."),"",INDEX('DONNÉES BRUTES'!Q$3:Q$42,MATCH(LARGE(IF('DONNÉES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N19" t="str" cm="1">
        <f t="array" ref="N19">IFERROR(IF(9&gt;COUNTIF('DONNÉES BRUTES'!C$3:C$42,"Conso. Cycl."),"",INDEX('DONNÉES BRUTES'!S$3:S$42,MATCH(LARGE(IF('DONNÉES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O19" t="str" cm="1">
        <f t="array" ref="O19">IFERROR(IF(9&gt;COUNTIF('DONNÉES BRUTES'!C$3:C$42,"Conso. Cycl."),"",INDEX('DONNÉES BRUTES'!T$3:T$42,MATCH(LARGE(IF('DONNÉES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P19" t="str" cm="1">
        <f t="array" ref="P19">IFERROR(IF(9&gt;COUNTIF('DONNÉES BRUTES'!C$3:C$42,"Conso. Cycl."),"",INDEX('DONNÉES BRUTES'!U$3:U$42,MATCH(LARGE(IF('DONNÉES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  <c r="Q19" t="str" cm="1">
        <f t="array" ref="Q19">IFERROR(IF(9&gt;COUNTIF('DONNÉES BRUTES'!C$3:C$42,"Conso. Cycl."),"",INDEX('DONNÉES BRUTES'!AD$3:AD$42,MATCH(LARGE(IF('DONNÉES BRUTES'!C$3:C$42="Conso. Cycl.",'DONNÉES BRUTES'!AB$3:AB$42+(ROW('DONNÉES BRUTES'!A$3:A$42)-ROW('DONNÉES BRUTES'!A$3))/1000,0),9),IF('DONNÉES BRUTES'!C$3:C$42="Conso. Cycl.",'DONNÉES BRUTES'!AB$3:AB$42+(ROW('DONNÉES BRUTES'!A$3:A$42)-ROW('DONNÉES BRUTES'!A$3))/1000,0),0))),"—")</f>
        <v/>
      </c>
    </row>
    <row r="20" spans="2:28" ht="15.9" customHeight="1" x14ac:dyDescent="0.3">
      <c r="C20" t="str" cm="1">
        <f t="array" ref="C20">IFERROR(IF(10&gt;COUNTIF('DONNÉES BRUTES'!C$3:C$42,"Conso. Cycl."),"",INDEX('DONNÉES BRUTES'!A$3:A$42,MATCH(LARGE(IF('DONNÉES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D20" t="str" cm="1">
        <f t="array" ref="D20">IFERROR(IF(10&gt;COUNTIF('DONNÉES BRUTES'!C$3:C$42,"Conso. Cycl."),"",INDEX('DONNÉES BRUTES'!B$3:B$42,MATCH(LARGE(IF('DONNÉES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E20" t="str" cm="1">
        <f t="array" ref="E20">IFERROR(IF(10&gt;COUNTIF('DONNÉES BRUTES'!C$3:C$42,"Conso. Cycl."),"",INT(LARGE(IF('DONNÉES BRUTES'!C$3:C$42="Conso. Cycl.",'DONNÉES BRUTES'!AB$3:AB$42+(ROW('DONNÉES BRUTES'!A$3:A$42)-ROW('DONNÉES BRUTES'!A$3))/1000,0),10))&amp;"/100"),"—")</f>
        <v/>
      </c>
      <c r="F20" t="str" cm="1">
        <f t="array" ref="F20">IFERROR(IF(10&gt;COUNTIF('DONNÉES BRUTES'!C$3:C$42,"Conso. Cycl."),"",INDEX('DONNÉES BRUTES'!Y$3:Y$42,MATCH(LARGE(IF('DONNÉES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G20" t="str" cm="1">
        <f t="array" ref="G20">IFERROR(IF(10&gt;COUNTIF('DONNÉES BRUTES'!C$3:C$42,"Conso. Cycl."),"",INDEX('DONNÉES BRUTES'!Z$3:Z$42,MATCH(LARGE(IF('DONNÉES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H20" t="str" cm="1">
        <f t="array" ref="H20">IFERROR(IF(10&gt;COUNTIF('DONNÉES BRUTES'!C$3:C$42,"Conso. Cycl."),"",INDEX('DONNÉES BRUTES'!AA$3:AA$42,MATCH(LARGE(IF('DONNÉES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I20" t="str" cm="1">
        <f t="array" ref="I20">IFERROR(IF(10&gt;COUNTIF('DONNÉES BRUTES'!C$3:C$42,"Conso. Cycl."),"",INDEX('DONNÉES BRUTES'!M$3:M$42,MATCH(LARGE(IF('DONNÉES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J20" t="str" cm="1">
        <f t="array" ref="J20">IFERROR(IF(10&gt;COUNTIF('DONNÉES BRUTES'!C$3:C$42,"Conso. Cycl."),"",INDEX('DONNÉES BRUTES'!N$3:N$42,MATCH(LARGE(IF('DONNÉES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K20" t="str" cm="1">
        <f t="array" ref="K20">IFERROR(IF(10&gt;COUNTIF('DONNÉES BRUTES'!C$3:C$42,"Conso. Cycl."),"",INDEX('DONNÉES BRUTES'!O$3:O$42,MATCH(LARGE(IF('DONNÉES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L20" t="str" cm="1">
        <f t="array" ref="L20">IFERROR(IF(10&gt;COUNTIF('DONNÉES BRUTES'!C$3:C$42,"Conso. Cycl."),"",INDEX('DONNÉES BRUTES'!P$3:P$42,MATCH(LARGE(IF('DONNÉES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M20" t="str" cm="1">
        <f t="array" ref="M20">IFERROR(IF(10&gt;COUNTIF('DONNÉES BRUTES'!C$3:C$42,"Conso. Cycl."),"",INDEX('DONNÉES BRUTES'!Q$3:Q$42,MATCH(LARGE(IF('DONNÉES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N20" t="str" cm="1">
        <f t="array" ref="N20">IFERROR(IF(10&gt;COUNTIF('DONNÉES BRUTES'!C$3:C$42,"Conso. Cycl."),"",INDEX('DONNÉES BRUTES'!S$3:S$42,MATCH(LARGE(IF('DONNÉES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O20" t="str" cm="1">
        <f t="array" ref="O20">IFERROR(IF(10&gt;COUNTIF('DONNÉES BRUTES'!C$3:C$42,"Conso. Cycl."),"",INDEX('DONNÉES BRUTES'!T$3:T$42,MATCH(LARGE(IF('DONNÉES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P20" t="str" cm="1">
        <f t="array" ref="P20">IFERROR(IF(10&gt;COUNTIF('DONNÉES BRUTES'!C$3:C$42,"Conso. Cycl."),"",INDEX('DONNÉES BRUTES'!U$3:U$42,MATCH(LARGE(IF('DONNÉES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  <c r="Q20" t="str" cm="1">
        <f t="array" ref="Q20">IFERROR(IF(10&gt;COUNTIF('DONNÉES BRUTES'!C$3:C$42,"Conso. Cycl."),"",INDEX('DONNÉES BRUTES'!AD$3:AD$42,MATCH(LARGE(IF('DONNÉES BRUTES'!C$3:C$42="Conso. Cycl.",'DONNÉES BRUTES'!AB$3:AB$42+(ROW('DONNÉES BRUTES'!A$3:A$42)-ROW('DONNÉES BRUTES'!A$3))/1000,0),10),IF('DONNÉES BRUTES'!C$3:C$42="Conso. Cycl.",'DONNÉES BRUTES'!AB$3:AB$42+(ROW('DONNÉES BRUTES'!A$3:A$42)-ROW('DONNÉES BRUTES'!A$3))/1000,0),0))),"—")</f>
        <v/>
      </c>
    </row>
    <row r="21" spans="2:28" ht="15.9" customHeight="1" x14ac:dyDescent="0.3">
      <c r="C21" t="str" cm="1">
        <f t="array" ref="C21">IFERROR(IF(11&gt;COUNTIF('DONNÉES BRUTES'!C$3:C$42,"Conso. Cycl."),"",INDEX('DONNÉES BRUTES'!A$3:A$42,MATCH(LARGE(IF('DONNÉES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D21" t="str" cm="1">
        <f t="array" ref="D21">IFERROR(IF(11&gt;COUNTIF('DONNÉES BRUTES'!C$3:C$42,"Conso. Cycl."),"",INDEX('DONNÉES BRUTES'!B$3:B$42,MATCH(LARGE(IF('DONNÉES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E21" t="str" cm="1">
        <f t="array" ref="E21">IFERROR(IF(11&gt;COUNTIF('DONNÉES BRUTES'!C$3:C$42,"Conso. Cycl."),"",INT(LARGE(IF('DONNÉES BRUTES'!C$3:C$42="Conso. Cycl.",'DONNÉES BRUTES'!AB$3:AB$42+(ROW('DONNÉES BRUTES'!A$3:A$42)-ROW('DONNÉES BRUTES'!A$3))/1000,0),11))&amp;"/100"),"—")</f>
        <v/>
      </c>
      <c r="F21" t="str" cm="1">
        <f t="array" ref="F21">IFERROR(IF(11&gt;COUNTIF('DONNÉES BRUTES'!C$3:C$42,"Conso. Cycl."),"",INDEX('DONNÉES BRUTES'!Y$3:Y$42,MATCH(LARGE(IF('DONNÉES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G21" t="str" cm="1">
        <f t="array" ref="G21">IFERROR(IF(11&gt;COUNTIF('DONNÉES BRUTES'!C$3:C$42,"Conso. Cycl."),"",INDEX('DONNÉES BRUTES'!Z$3:Z$42,MATCH(LARGE(IF('DONNÉES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H21" t="str" cm="1">
        <f t="array" ref="H21">IFERROR(IF(11&gt;COUNTIF('DONNÉES BRUTES'!C$3:C$42,"Conso. Cycl."),"",INDEX('DONNÉES BRUTES'!AA$3:AA$42,MATCH(LARGE(IF('DONNÉES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I21" t="str" cm="1">
        <f t="array" ref="I21">IFERROR(IF(11&gt;COUNTIF('DONNÉES BRUTES'!C$3:C$42,"Conso. Cycl."),"",INDEX('DONNÉES BRUTES'!M$3:M$42,MATCH(LARGE(IF('DONNÉES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J21" t="str" cm="1">
        <f t="array" ref="J21">IFERROR(IF(11&gt;COUNTIF('DONNÉES BRUTES'!C$3:C$42,"Conso. Cycl."),"",INDEX('DONNÉES BRUTES'!N$3:N$42,MATCH(LARGE(IF('DONNÉES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K21" t="str" cm="1">
        <f t="array" ref="K21">IFERROR(IF(11&gt;COUNTIF('DONNÉES BRUTES'!C$3:C$42,"Conso. Cycl."),"",INDEX('DONNÉES BRUTES'!O$3:O$42,MATCH(LARGE(IF('DONNÉES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L21" t="str" cm="1">
        <f t="array" ref="L21">IFERROR(IF(11&gt;COUNTIF('DONNÉES BRUTES'!C$3:C$42,"Conso. Cycl."),"",INDEX('DONNÉES BRUTES'!P$3:P$42,MATCH(LARGE(IF('DONNÉES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M21" t="str" cm="1">
        <f t="array" ref="M21">IFERROR(IF(11&gt;COUNTIF('DONNÉES BRUTES'!C$3:C$42,"Conso. Cycl."),"",INDEX('DONNÉES BRUTES'!Q$3:Q$42,MATCH(LARGE(IF('DONNÉES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N21" t="str" cm="1">
        <f t="array" ref="N21">IFERROR(IF(11&gt;COUNTIF('DONNÉES BRUTES'!C$3:C$42,"Conso. Cycl."),"",INDEX('DONNÉES BRUTES'!S$3:S$42,MATCH(LARGE(IF('DONNÉES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O21" t="str" cm="1">
        <f t="array" ref="O21">IFERROR(IF(11&gt;COUNTIF('DONNÉES BRUTES'!C$3:C$42,"Conso. Cycl."),"",INDEX('DONNÉES BRUTES'!T$3:T$42,MATCH(LARGE(IF('DONNÉES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P21" t="str" cm="1">
        <f t="array" ref="P21">IFERROR(IF(11&gt;COUNTIF('DONNÉES BRUTES'!C$3:C$42,"Conso. Cycl."),"",INDEX('DONNÉES BRUTES'!U$3:U$42,MATCH(LARGE(IF('DONNÉES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  <c r="Q21" t="str" cm="1">
        <f t="array" ref="Q21">IFERROR(IF(11&gt;COUNTIF('DONNÉES BRUTES'!C$3:C$42,"Conso. Cycl."),"",INDEX('DONNÉES BRUTES'!AD$3:AD$42,MATCH(LARGE(IF('DONNÉES BRUTES'!C$3:C$42="Conso. Cycl.",'DONNÉES BRUTES'!AB$3:AB$42+(ROW('DONNÉES BRUTES'!A$3:A$42)-ROW('DONNÉES BRUTES'!A$3))/1000,0),11),IF('DONNÉES BRUTES'!C$3:C$42="Conso. Cycl.",'DONNÉES BRUTES'!AB$3:AB$42+(ROW('DONNÉES BRUTES'!A$3:A$42)-ROW('DONNÉES BRUTES'!A$3))/1000,0),0))),"—")</f>
        <v/>
      </c>
    </row>
    <row r="22" spans="2:28" ht="15.9" customHeight="1" x14ac:dyDescent="0.3">
      <c r="C22" t="str" cm="1">
        <f t="array" ref="C22">IFERROR(IF(12&gt;COUNTIF('DONNÉES BRUTES'!C$3:C$42,"Conso. Cycl."),"",INDEX('DONNÉES BRUTES'!A$3:A$42,MATCH(LARGE(IF('DONNÉES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D22" t="str" cm="1">
        <f t="array" ref="D22">IFERROR(IF(12&gt;COUNTIF('DONNÉES BRUTES'!C$3:C$42,"Conso. Cycl."),"",INDEX('DONNÉES BRUTES'!B$3:B$42,MATCH(LARGE(IF('DONNÉES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E22" t="str" cm="1">
        <f t="array" ref="E22">IFERROR(IF(12&gt;COUNTIF('DONNÉES BRUTES'!C$3:C$42,"Conso. Cycl."),"",INT(LARGE(IF('DONNÉES BRUTES'!C$3:C$42="Conso. Cycl.",'DONNÉES BRUTES'!AB$3:AB$42+(ROW('DONNÉES BRUTES'!A$3:A$42)-ROW('DONNÉES BRUTES'!A$3))/1000,0),12))&amp;"/100"),"—")</f>
        <v/>
      </c>
      <c r="F22" t="str" cm="1">
        <f t="array" ref="F22">IFERROR(IF(12&gt;COUNTIF('DONNÉES BRUTES'!C$3:C$42,"Conso. Cycl."),"",INDEX('DONNÉES BRUTES'!Y$3:Y$42,MATCH(LARGE(IF('DONNÉES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G22" t="str" cm="1">
        <f t="array" ref="G22">IFERROR(IF(12&gt;COUNTIF('DONNÉES BRUTES'!C$3:C$42,"Conso. Cycl."),"",INDEX('DONNÉES BRUTES'!Z$3:Z$42,MATCH(LARGE(IF('DONNÉES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H22" t="str" cm="1">
        <f t="array" ref="H22">IFERROR(IF(12&gt;COUNTIF('DONNÉES BRUTES'!C$3:C$42,"Conso. Cycl."),"",INDEX('DONNÉES BRUTES'!AA$3:AA$42,MATCH(LARGE(IF('DONNÉES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I22" t="str" cm="1">
        <f t="array" ref="I22">IFERROR(IF(12&gt;COUNTIF('DONNÉES BRUTES'!C$3:C$42,"Conso. Cycl."),"",INDEX('DONNÉES BRUTES'!M$3:M$42,MATCH(LARGE(IF('DONNÉES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J22" t="str" cm="1">
        <f t="array" ref="J22">IFERROR(IF(12&gt;COUNTIF('DONNÉES BRUTES'!C$3:C$42,"Conso. Cycl."),"",INDEX('DONNÉES BRUTES'!N$3:N$42,MATCH(LARGE(IF('DONNÉES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K22" t="str" cm="1">
        <f t="array" ref="K22">IFERROR(IF(12&gt;COUNTIF('DONNÉES BRUTES'!C$3:C$42,"Conso. Cycl."),"",INDEX('DONNÉES BRUTES'!O$3:O$42,MATCH(LARGE(IF('DONNÉES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L22" t="str" cm="1">
        <f t="array" ref="L22">IFERROR(IF(12&gt;COUNTIF('DONNÉES BRUTES'!C$3:C$42,"Conso. Cycl."),"",INDEX('DONNÉES BRUTES'!P$3:P$42,MATCH(LARGE(IF('DONNÉES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M22" t="str" cm="1">
        <f t="array" ref="M22">IFERROR(IF(12&gt;COUNTIF('DONNÉES BRUTES'!C$3:C$42,"Conso. Cycl."),"",INDEX('DONNÉES BRUTES'!Q$3:Q$42,MATCH(LARGE(IF('DONNÉES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N22" t="str" cm="1">
        <f t="array" ref="N22">IFERROR(IF(12&gt;COUNTIF('DONNÉES BRUTES'!C$3:C$42,"Conso. Cycl."),"",INDEX('DONNÉES BRUTES'!S$3:S$42,MATCH(LARGE(IF('DONNÉES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O22" t="str" cm="1">
        <f t="array" ref="O22">IFERROR(IF(12&gt;COUNTIF('DONNÉES BRUTES'!C$3:C$42,"Conso. Cycl."),"",INDEX('DONNÉES BRUTES'!T$3:T$42,MATCH(LARGE(IF('DONNÉES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P22" t="str" cm="1">
        <f t="array" ref="P22">IFERROR(IF(12&gt;COUNTIF('DONNÉES BRUTES'!C$3:C$42,"Conso. Cycl."),"",INDEX('DONNÉES BRUTES'!U$3:U$42,MATCH(LARGE(IF('DONNÉES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  <c r="Q22" t="str" cm="1">
        <f t="array" ref="Q22">IFERROR(IF(12&gt;COUNTIF('DONNÉES BRUTES'!C$3:C$42,"Conso. Cycl."),"",INDEX('DONNÉES BRUTES'!AD$3:AD$42,MATCH(LARGE(IF('DONNÉES BRUTES'!C$3:C$42="Conso. Cycl.",'DONNÉES BRUTES'!AB$3:AB$42+(ROW('DONNÉES BRUTES'!A$3:A$42)-ROW('DONNÉES BRUTES'!A$3))/1000,0),12),IF('DONNÉES BRUTES'!C$3:C$42="Conso. Cycl.",'DONNÉES BRUTES'!AB$3:AB$42+(ROW('DONNÉES BRUTES'!A$3:A$42)-ROW('DONNÉES BRUTES'!A$3))/1000,0),0))),"—")</f>
        <v/>
      </c>
    </row>
    <row r="23" spans="2:28" ht="15.9" customHeight="1" x14ac:dyDescent="0.3">
      <c r="C23" t="str" cm="1">
        <f t="array" ref="C23">IFERROR(IF(13&gt;COUNTIF('DONNÉES BRUTES'!C$3:C$42,"Conso. Cycl."),"",INDEX('DONNÉES BRUTES'!A$3:A$42,MATCH(LARGE(IF('DONNÉES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D23" t="str" cm="1">
        <f t="array" ref="D23">IFERROR(IF(13&gt;COUNTIF('DONNÉES BRUTES'!C$3:C$42,"Conso. Cycl."),"",INDEX('DONNÉES BRUTES'!B$3:B$42,MATCH(LARGE(IF('DONNÉES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E23" t="str" cm="1">
        <f t="array" ref="E23">IFERROR(IF(13&gt;COUNTIF('DONNÉES BRUTES'!C$3:C$42,"Conso. Cycl."),"",INT(LARGE(IF('DONNÉES BRUTES'!C$3:C$42="Conso. Cycl.",'DONNÉES BRUTES'!AB$3:AB$42+(ROW('DONNÉES BRUTES'!A$3:A$42)-ROW('DONNÉES BRUTES'!A$3))/1000,0),13))&amp;"/100"),"—")</f>
        <v/>
      </c>
      <c r="F23" t="str" cm="1">
        <f t="array" ref="F23">IFERROR(IF(13&gt;COUNTIF('DONNÉES BRUTES'!C$3:C$42,"Conso. Cycl."),"",INDEX('DONNÉES BRUTES'!Y$3:Y$42,MATCH(LARGE(IF('DONNÉES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G23" t="str" cm="1">
        <f t="array" ref="G23">IFERROR(IF(13&gt;COUNTIF('DONNÉES BRUTES'!C$3:C$42,"Conso. Cycl."),"",INDEX('DONNÉES BRUTES'!Z$3:Z$42,MATCH(LARGE(IF('DONNÉES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H23" t="str" cm="1">
        <f t="array" ref="H23">IFERROR(IF(13&gt;COUNTIF('DONNÉES BRUTES'!C$3:C$42,"Conso. Cycl."),"",INDEX('DONNÉES BRUTES'!AA$3:AA$42,MATCH(LARGE(IF('DONNÉES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I23" t="str" cm="1">
        <f t="array" ref="I23">IFERROR(IF(13&gt;COUNTIF('DONNÉES BRUTES'!C$3:C$42,"Conso. Cycl."),"",INDEX('DONNÉES BRUTES'!M$3:M$42,MATCH(LARGE(IF('DONNÉES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J23" t="str" cm="1">
        <f t="array" ref="J23">IFERROR(IF(13&gt;COUNTIF('DONNÉES BRUTES'!C$3:C$42,"Conso. Cycl."),"",INDEX('DONNÉES BRUTES'!N$3:N$42,MATCH(LARGE(IF('DONNÉES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K23" t="str" cm="1">
        <f t="array" ref="K23">IFERROR(IF(13&gt;COUNTIF('DONNÉES BRUTES'!C$3:C$42,"Conso. Cycl."),"",INDEX('DONNÉES BRUTES'!O$3:O$42,MATCH(LARGE(IF('DONNÉES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L23" t="str" cm="1">
        <f t="array" ref="L23">IFERROR(IF(13&gt;COUNTIF('DONNÉES BRUTES'!C$3:C$42,"Conso. Cycl."),"",INDEX('DONNÉES BRUTES'!P$3:P$42,MATCH(LARGE(IF('DONNÉES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M23" t="str" cm="1">
        <f t="array" ref="M23">IFERROR(IF(13&gt;COUNTIF('DONNÉES BRUTES'!C$3:C$42,"Conso. Cycl."),"",INDEX('DONNÉES BRUTES'!Q$3:Q$42,MATCH(LARGE(IF('DONNÉES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N23" t="str" cm="1">
        <f t="array" ref="N23">IFERROR(IF(13&gt;COUNTIF('DONNÉES BRUTES'!C$3:C$42,"Conso. Cycl."),"",INDEX('DONNÉES BRUTES'!S$3:S$42,MATCH(LARGE(IF('DONNÉES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O23" t="str" cm="1">
        <f t="array" ref="O23">IFERROR(IF(13&gt;COUNTIF('DONNÉES BRUTES'!C$3:C$42,"Conso. Cycl."),"",INDEX('DONNÉES BRUTES'!T$3:T$42,MATCH(LARGE(IF('DONNÉES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P23" t="str" cm="1">
        <f t="array" ref="P23">IFERROR(IF(13&gt;COUNTIF('DONNÉES BRUTES'!C$3:C$42,"Conso. Cycl."),"",INDEX('DONNÉES BRUTES'!U$3:U$42,MATCH(LARGE(IF('DONNÉES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  <c r="Q23" t="str" cm="1">
        <f t="array" ref="Q23">IFERROR(IF(13&gt;COUNTIF('DONNÉES BRUTES'!C$3:C$42,"Conso. Cycl."),"",INDEX('DONNÉES BRUTES'!AD$3:AD$42,MATCH(LARGE(IF('DONNÉES BRUTES'!C$3:C$42="Conso. Cycl.",'DONNÉES BRUTES'!AB$3:AB$42+(ROW('DONNÉES BRUTES'!A$3:A$42)-ROW('DONNÉES BRUTES'!A$3))/1000,0),13),IF('DONNÉES BRUTES'!C$3:C$42="Conso. Cycl.",'DONNÉES BRUTES'!AB$3:AB$42+(ROW('DONNÉES BRUTES'!A$3:A$42)-ROW('DONNÉES BRUTES'!A$3))/1000,0),0))),"—")</f>
        <v/>
      </c>
    </row>
    <row r="24" spans="2:28" ht="15.9" customHeight="1" x14ac:dyDescent="0.3">
      <c r="C24" t="str" cm="1">
        <f t="array" ref="C24">IFERROR(IF(14&gt;COUNTIF('DONNÉES BRUTES'!C$3:C$42,"Conso. Cycl."),"",INDEX('DONNÉES BRUTES'!A$3:A$42,MATCH(LARGE(IF('DONNÉES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D24" t="str" cm="1">
        <f t="array" ref="D24">IFERROR(IF(14&gt;COUNTIF('DONNÉES BRUTES'!C$3:C$42,"Conso. Cycl."),"",INDEX('DONNÉES BRUTES'!B$3:B$42,MATCH(LARGE(IF('DONNÉES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E24" t="str" cm="1">
        <f t="array" ref="E24">IFERROR(IF(14&gt;COUNTIF('DONNÉES BRUTES'!C$3:C$42,"Conso. Cycl."),"",INT(LARGE(IF('DONNÉES BRUTES'!C$3:C$42="Conso. Cycl.",'DONNÉES BRUTES'!AB$3:AB$42+(ROW('DONNÉES BRUTES'!A$3:A$42)-ROW('DONNÉES BRUTES'!A$3))/1000,0),14))&amp;"/100"),"—")</f>
        <v/>
      </c>
      <c r="F24" t="str" cm="1">
        <f t="array" ref="F24">IFERROR(IF(14&gt;COUNTIF('DONNÉES BRUTES'!C$3:C$42,"Conso. Cycl."),"",INDEX('DONNÉES BRUTES'!Y$3:Y$42,MATCH(LARGE(IF('DONNÉES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G24" t="str" cm="1">
        <f t="array" ref="G24">IFERROR(IF(14&gt;COUNTIF('DONNÉES BRUTES'!C$3:C$42,"Conso. Cycl."),"",INDEX('DONNÉES BRUTES'!Z$3:Z$42,MATCH(LARGE(IF('DONNÉES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H24" t="str" cm="1">
        <f t="array" ref="H24">IFERROR(IF(14&gt;COUNTIF('DONNÉES BRUTES'!C$3:C$42,"Conso. Cycl."),"",INDEX('DONNÉES BRUTES'!AA$3:AA$42,MATCH(LARGE(IF('DONNÉES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I24" t="str" cm="1">
        <f t="array" ref="I24">IFERROR(IF(14&gt;COUNTIF('DONNÉES BRUTES'!C$3:C$42,"Conso. Cycl."),"",INDEX('DONNÉES BRUTES'!M$3:M$42,MATCH(LARGE(IF('DONNÉES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J24" t="str" cm="1">
        <f t="array" ref="J24">IFERROR(IF(14&gt;COUNTIF('DONNÉES BRUTES'!C$3:C$42,"Conso. Cycl."),"",INDEX('DONNÉES BRUTES'!N$3:N$42,MATCH(LARGE(IF('DONNÉES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K24" t="str" cm="1">
        <f t="array" ref="K24">IFERROR(IF(14&gt;COUNTIF('DONNÉES BRUTES'!C$3:C$42,"Conso. Cycl."),"",INDEX('DONNÉES BRUTES'!O$3:O$42,MATCH(LARGE(IF('DONNÉES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L24" t="str" cm="1">
        <f t="array" ref="L24">IFERROR(IF(14&gt;COUNTIF('DONNÉES BRUTES'!C$3:C$42,"Conso. Cycl."),"",INDEX('DONNÉES BRUTES'!P$3:P$42,MATCH(LARGE(IF('DONNÉES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M24" t="str" cm="1">
        <f t="array" ref="M24">IFERROR(IF(14&gt;COUNTIF('DONNÉES BRUTES'!C$3:C$42,"Conso. Cycl."),"",INDEX('DONNÉES BRUTES'!Q$3:Q$42,MATCH(LARGE(IF('DONNÉES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N24" t="str" cm="1">
        <f t="array" ref="N24">IFERROR(IF(14&gt;COUNTIF('DONNÉES BRUTES'!C$3:C$42,"Conso. Cycl."),"",INDEX('DONNÉES BRUTES'!S$3:S$42,MATCH(LARGE(IF('DONNÉES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O24" t="str" cm="1">
        <f t="array" ref="O24">IFERROR(IF(14&gt;COUNTIF('DONNÉES BRUTES'!C$3:C$42,"Conso. Cycl."),"",INDEX('DONNÉES BRUTES'!T$3:T$42,MATCH(LARGE(IF('DONNÉES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P24" t="str" cm="1">
        <f t="array" ref="P24">IFERROR(IF(14&gt;COUNTIF('DONNÉES BRUTES'!C$3:C$42,"Conso. Cycl."),"",INDEX('DONNÉES BRUTES'!U$3:U$42,MATCH(LARGE(IF('DONNÉES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  <c r="Q24" t="str" cm="1">
        <f t="array" ref="Q24">IFERROR(IF(14&gt;COUNTIF('DONNÉES BRUTES'!C$3:C$42,"Conso. Cycl."),"",INDEX('DONNÉES BRUTES'!AD$3:AD$42,MATCH(LARGE(IF('DONNÉES BRUTES'!C$3:C$42="Conso. Cycl.",'DONNÉES BRUTES'!AB$3:AB$42+(ROW('DONNÉES BRUTES'!A$3:A$42)-ROW('DONNÉES BRUTES'!A$3))/1000,0),14),IF('DONNÉES BRUTES'!C$3:C$42="Conso. Cycl.",'DONNÉES BRUTES'!AB$3:AB$42+(ROW('DONNÉES BRUTES'!A$3:A$42)-ROW('DONNÉES BRUTES'!A$3))/1000,0),0))),"—")</f>
        <v/>
      </c>
    </row>
    <row r="25" spans="2:28" ht="15.9" customHeight="1" x14ac:dyDescent="0.3">
      <c r="C25" t="str" cm="1">
        <f t="array" ref="C25">IFERROR(IF(15&gt;COUNTIF('DONNÉES BRUTES'!C$3:C$42,"Conso. Cycl."),"",INDEX('DONNÉES BRUTES'!A$3:A$42,MATCH(LARGE(IF('DONNÉES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D25" t="str" cm="1">
        <f t="array" ref="D25">IFERROR(IF(15&gt;COUNTIF('DONNÉES BRUTES'!C$3:C$42,"Conso. Cycl."),"",INDEX('DONNÉES BRUTES'!B$3:B$42,MATCH(LARGE(IF('DONNÉES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E25" t="str" cm="1">
        <f t="array" ref="E25">IFERROR(IF(15&gt;COUNTIF('DONNÉES BRUTES'!C$3:C$42,"Conso. Cycl."),"",INT(LARGE(IF('DONNÉES BRUTES'!C$3:C$42="Conso. Cycl.",'DONNÉES BRUTES'!AB$3:AB$42+(ROW('DONNÉES BRUTES'!A$3:A$42)-ROW('DONNÉES BRUTES'!A$3))/1000,0),15))&amp;"/100"),"—")</f>
        <v/>
      </c>
      <c r="F25" t="str" cm="1">
        <f t="array" ref="F25">IFERROR(IF(15&gt;COUNTIF('DONNÉES BRUTES'!C$3:C$42,"Conso. Cycl."),"",INDEX('DONNÉES BRUTES'!Y$3:Y$42,MATCH(LARGE(IF('DONNÉES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G25" t="str" cm="1">
        <f t="array" ref="G25">IFERROR(IF(15&gt;COUNTIF('DONNÉES BRUTES'!C$3:C$42,"Conso. Cycl."),"",INDEX('DONNÉES BRUTES'!Z$3:Z$42,MATCH(LARGE(IF('DONNÉES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H25" t="str" cm="1">
        <f t="array" ref="H25">IFERROR(IF(15&gt;COUNTIF('DONNÉES BRUTES'!C$3:C$42,"Conso. Cycl."),"",INDEX('DONNÉES BRUTES'!AA$3:AA$42,MATCH(LARGE(IF('DONNÉES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I25" t="str" cm="1">
        <f t="array" ref="I25">IFERROR(IF(15&gt;COUNTIF('DONNÉES BRUTES'!C$3:C$42,"Conso. Cycl."),"",INDEX('DONNÉES BRUTES'!M$3:M$42,MATCH(LARGE(IF('DONNÉES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J25" t="str" cm="1">
        <f t="array" ref="J25">IFERROR(IF(15&gt;COUNTIF('DONNÉES BRUTES'!C$3:C$42,"Conso. Cycl."),"",INDEX('DONNÉES BRUTES'!N$3:N$42,MATCH(LARGE(IF('DONNÉES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K25" t="str" cm="1">
        <f t="array" ref="K25">IFERROR(IF(15&gt;COUNTIF('DONNÉES BRUTES'!C$3:C$42,"Conso. Cycl."),"",INDEX('DONNÉES BRUTES'!O$3:O$42,MATCH(LARGE(IF('DONNÉES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L25" t="str" cm="1">
        <f t="array" ref="L25">IFERROR(IF(15&gt;COUNTIF('DONNÉES BRUTES'!C$3:C$42,"Conso. Cycl."),"",INDEX('DONNÉES BRUTES'!P$3:P$42,MATCH(LARGE(IF('DONNÉES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M25" t="str" cm="1">
        <f t="array" ref="M25">IFERROR(IF(15&gt;COUNTIF('DONNÉES BRUTES'!C$3:C$42,"Conso. Cycl."),"",INDEX('DONNÉES BRUTES'!Q$3:Q$42,MATCH(LARGE(IF('DONNÉES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N25" t="str" cm="1">
        <f t="array" ref="N25">IFERROR(IF(15&gt;COUNTIF('DONNÉES BRUTES'!C$3:C$42,"Conso. Cycl."),"",INDEX('DONNÉES BRUTES'!S$3:S$42,MATCH(LARGE(IF('DONNÉES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O25" t="str" cm="1">
        <f t="array" ref="O25">IFERROR(IF(15&gt;COUNTIF('DONNÉES BRUTES'!C$3:C$42,"Conso. Cycl."),"",INDEX('DONNÉES BRUTES'!T$3:T$42,MATCH(LARGE(IF('DONNÉES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P25" t="str" cm="1">
        <f t="array" ref="P25">IFERROR(IF(15&gt;COUNTIF('DONNÉES BRUTES'!C$3:C$42,"Conso. Cycl."),"",INDEX('DONNÉES BRUTES'!U$3:U$42,MATCH(LARGE(IF('DONNÉES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  <c r="Q25" t="str" cm="1">
        <f t="array" ref="Q25">IFERROR(IF(15&gt;COUNTIF('DONNÉES BRUTES'!C$3:C$42,"Conso. Cycl."),"",INDEX('DONNÉES BRUTES'!AD$3:AD$42,MATCH(LARGE(IF('DONNÉES BRUTES'!C$3:C$42="Conso. Cycl.",'DONNÉES BRUTES'!AB$3:AB$42+(ROW('DONNÉES BRUTES'!A$3:A$42)-ROW('DONNÉES BRUTES'!A$3))/1000,0),15),IF('DONNÉES BRUTES'!C$3:C$42="Conso. Cycl.",'DONNÉES BRUTES'!AB$3:AB$42+(ROW('DONNÉES BRUTES'!A$3:A$42)-ROW('DONNÉES BRUTES'!A$3))/1000,0),0))),"—")</f>
        <v/>
      </c>
    </row>
    <row r="26" spans="2:28" ht="15.9" customHeight="1" x14ac:dyDescent="0.3"/>
    <row r="27" spans="2:28" ht="15.9" customHeight="1" x14ac:dyDescent="0.3"/>
    <row r="28" spans="2:28" ht="15.9" customHeight="1" x14ac:dyDescent="0.3">
      <c r="S28" s="160" t="s">
        <v>1</v>
      </c>
      <c r="T28" s="160" t="s">
        <v>8</v>
      </c>
      <c r="U28" s="160" t="s">
        <v>136</v>
      </c>
      <c r="V28" s="160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2:28" ht="15.9" customHeight="1" x14ac:dyDescent="0.3">
      <c r="S29" s="160" t="str">
        <f>IF(D11="","",LEFT(D11,14))</f>
        <v>Hermès Interna</v>
      </c>
      <c r="T29" s="160">
        <f>IF(E11="","",IFERROR(VALUE(LEFT(E11,FIND("/",E11)-1)),0))</f>
        <v>65</v>
      </c>
      <c r="U29" s="160">
        <f t="shared" ref="U29:W32" si="0">IF(ISNUMBER(F11),F11,0)</f>
        <v>81</v>
      </c>
      <c r="V29" s="160">
        <f t="shared" si="0"/>
        <v>99</v>
      </c>
      <c r="W29" s="160">
        <f t="shared" si="0"/>
        <v>4</v>
      </c>
      <c r="X29" s="160">
        <f t="shared" ref="X29:Z32" si="1">IF(ISNUMBER(F11),F11,"")</f>
        <v>81</v>
      </c>
      <c r="Y29" s="160">
        <f t="shared" si="1"/>
        <v>99</v>
      </c>
      <c r="Z29" s="160">
        <f t="shared" si="1"/>
        <v>4</v>
      </c>
      <c r="AA29" s="160">
        <v>100</v>
      </c>
      <c r="AB29" s="160">
        <v>74</v>
      </c>
    </row>
    <row r="30" spans="2:28" ht="15.9" customHeight="1" x14ac:dyDescent="0.3">
      <c r="S30" s="160" t="str">
        <f>IF(D12="","",LEFT(D12,14))</f>
        <v>Industria de D</v>
      </c>
      <c r="T30" s="160">
        <f>IF(E12="","",IFERROR(VALUE(LEFT(E12,FIND("/",E12)-1)),0))</f>
        <v>58</v>
      </c>
      <c r="U30" s="160">
        <f t="shared" si="0"/>
        <v>67</v>
      </c>
      <c r="V30" s="160">
        <f t="shared" si="0"/>
        <v>83</v>
      </c>
      <c r="W30" s="160">
        <f t="shared" si="0"/>
        <v>51</v>
      </c>
      <c r="X30" s="160">
        <f t="shared" si="1"/>
        <v>67</v>
      </c>
      <c r="Y30" s="160">
        <f t="shared" si="1"/>
        <v>83</v>
      </c>
      <c r="Z30" s="160">
        <f t="shared" si="1"/>
        <v>51</v>
      </c>
      <c r="AA30" s="160">
        <v>36</v>
      </c>
      <c r="AB30" s="160">
        <v>87</v>
      </c>
    </row>
    <row r="31" spans="2:28" ht="15.9" customHeight="1" x14ac:dyDescent="0.3">
      <c r="S31" s="160" t="str">
        <f>IF(D13="","",LEFT(D13,14))</f>
        <v>Prosus N.V.</v>
      </c>
      <c r="T31" s="160">
        <f>IF(E13="","",IFERROR(VALUE(LEFT(E13,FIND("/",E13)-1)),0))</f>
        <v>56</v>
      </c>
      <c r="U31" s="160">
        <f t="shared" si="0"/>
        <v>66</v>
      </c>
      <c r="V31" s="160">
        <f t="shared" si="0"/>
        <v>59</v>
      </c>
      <c r="W31" s="160">
        <f t="shared" si="0"/>
        <v>15</v>
      </c>
      <c r="X31" s="160">
        <f t="shared" si="1"/>
        <v>66</v>
      </c>
      <c r="Y31" s="160">
        <f t="shared" si="1"/>
        <v>59</v>
      </c>
      <c r="Z31" s="160">
        <f t="shared" si="1"/>
        <v>15</v>
      </c>
      <c r="AA31" s="160">
        <v>44</v>
      </c>
      <c r="AB31" s="160">
        <v>0</v>
      </c>
    </row>
    <row r="32" spans="2:28" x14ac:dyDescent="0.3">
      <c r="S32" s="160" t="str">
        <f>IF(D14="","",LEFT(D14,14))</f>
        <v>LVMH Moët Henn</v>
      </c>
      <c r="T32" s="160">
        <f>IF(E14="","",IFERROR(VALUE(LEFT(E14,FIND("/",E14)-1)),0))</f>
        <v>42</v>
      </c>
      <c r="U32" s="160">
        <f t="shared" si="0"/>
        <v>44</v>
      </c>
      <c r="V32" s="160">
        <f t="shared" si="0"/>
        <v>69</v>
      </c>
      <c r="W32" s="160">
        <f t="shared" si="0"/>
        <v>28</v>
      </c>
      <c r="X32" s="160">
        <f t="shared" si="1"/>
        <v>44</v>
      </c>
      <c r="Y32" s="160">
        <f t="shared" si="1"/>
        <v>69</v>
      </c>
      <c r="Z32" s="160">
        <f t="shared" si="1"/>
        <v>28</v>
      </c>
      <c r="AA32" s="160">
        <v>0</v>
      </c>
      <c r="AB32" s="160">
        <v>5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B32"/>
  <sheetViews>
    <sheetView showGridLines="0" zoomScale="97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.109375" bestFit="1" customWidth="1"/>
  </cols>
  <sheetData>
    <row r="1" spans="2:17" ht="30" customHeight="1" x14ac:dyDescent="0.3">
      <c r="B1" s="204" t="str">
        <f>"FinSight IA  ·  Financials  ·  CAC 40  ·  "&amp;COUNTIF('DONNÉES BRUTES'!C$3:C$42,"Finance")&amp;" sociétés  ·  12/04/2026"</f>
        <v>FinSight IA  ·  Financials  ·  CAC 40  ·  5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6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6"/>
      <c r="C5" s="168">
        <v>5</v>
      </c>
      <c r="D5" s="176"/>
      <c r="E5" s="175" t="s">
        <v>113</v>
      </c>
      <c r="F5" s="175"/>
      <c r="G5" s="175"/>
      <c r="H5" s="171" t="str" cm="1">
        <f t="array" ref="H5">IFERROR(INDEX('DONNÉES BRUTES'!B$3:B$42,MATCH(LARGE(IF('DONNÉES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BRUTES'!A$3))/1000,0),0)),"—")</f>
        <v>Société Générale Société anonyme</v>
      </c>
      <c r="I5" s="175"/>
      <c r="J5" s="175"/>
      <c r="K5" s="176"/>
      <c r="L5" s="211">
        <v>0.161</v>
      </c>
      <c r="M5" s="176"/>
      <c r="N5" s="173" cm="1">
        <f t="array" ref="N5">IFERROR(ROUND(MEDIAN(IF('DONNÉES BRUTES'!C$3:C$42="Finance",IF(ISNUMBER('DONNÉES BRUTES'!Y$3:Y$42),'DONNÉES BRUTES'!Y$3:Y$42))),0),"—")</f>
        <v>40</v>
      </c>
      <c r="O5" s="176"/>
      <c r="P5" s="185" t="s">
        <v>593</v>
      </c>
      <c r="Q5" s="175"/>
    </row>
    <row r="6" spans="2:17" ht="15.9" customHeight="1" x14ac:dyDescent="0.3">
      <c r="B6" s="176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76"/>
      <c r="L6" s="170" t="s">
        <v>382</v>
      </c>
      <c r="M6" s="176"/>
      <c r="N6" s="170" t="s">
        <v>411</v>
      </c>
      <c r="O6" s="176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"&amp;UPPER("Finance")&amp;"  ·  "&amp;COUNTIF('DONNÉES BRUTES'!C$3:C$42,"Finance")&amp;" sociétés  ·  Triée par Score Global"</f>
        <v>ANALYSE DÉTAILLÉE  ·  FINANCE  ·  5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265" t="s">
        <v>133</v>
      </c>
      <c r="C10" s="266" t="s">
        <v>6</v>
      </c>
      <c r="D10" s="266" t="s">
        <v>1</v>
      </c>
      <c r="E10" s="267" t="s">
        <v>8</v>
      </c>
      <c r="F10" s="267" t="s">
        <v>412</v>
      </c>
      <c r="G10" s="267" t="s">
        <v>413</v>
      </c>
      <c r="H10" s="267" t="s">
        <v>414</v>
      </c>
      <c r="I10" s="267" t="s">
        <v>415</v>
      </c>
      <c r="J10" s="267" t="s">
        <v>340</v>
      </c>
      <c r="K10" s="267" t="s">
        <v>416</v>
      </c>
      <c r="L10" s="267" t="s">
        <v>341</v>
      </c>
      <c r="M10" s="267" t="s">
        <v>147</v>
      </c>
      <c r="N10" s="267" t="s">
        <v>417</v>
      </c>
      <c r="O10" s="267" t="s">
        <v>418</v>
      </c>
      <c r="P10" s="267" t="s">
        <v>14</v>
      </c>
      <c r="Q10" s="268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BRUTES'!C$3:C$42,"Finance"),"",INDEX('DONNÉES BRUTES'!A$3:A$42,MATCH(LARGE(IF('DONNÉES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GLE.PA</v>
      </c>
      <c r="D11" s="406" t="str" cm="1">
        <f t="array" ref="D11">IFERROR(IF(1&gt;COUNTIF('DONNÉES BRUTES'!C$3:C$42,"Finance"),"",INDEX('DONNÉES BRUTES'!B$3:B$42,MATCH(LARGE(IF('DONNÉES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Société Générale Société anonyme</v>
      </c>
      <c r="E11" s="406" t="str" cm="1">
        <f t="array" ref="E11">IFERROR(IF(1&gt;COUNTIF('DONNÉES BRUTES'!C$3:C$42,"Finance"),"",INT(LARGE(IF('DONNÉES BRUTES'!C$3:C$42="Finance",'DONNÉES BRUTES'!AB$3:AB$42+(ROW('DONNÉES BRUTES'!A$3:A$42)-ROW('DONNÉES BRUTES'!A$3))/1000,0),1))&amp;"/100"),"—")</f>
        <v>47/100</v>
      </c>
      <c r="F11" s="406" cm="1">
        <f t="array" ref="F11">IFERROR(IF(1&gt;COUNTIF('DONNÉES BRUTES'!C$3:C$42,"Finance"),"",INDEX('DONNÉES BRUTES'!Y$3:Y$42,MATCH(LARGE(IF('DONNÉES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65</v>
      </c>
      <c r="G11" s="406" cm="1">
        <f t="array" ref="G11">IFERROR(IF(1&gt;COUNTIF('DONNÉES BRUTES'!C$3:C$42,"Finance"),"",INDEX('DONNÉES BRUTES'!Z$3:Z$42,MATCH(LARGE(IF('DONNÉES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47</v>
      </c>
      <c r="H11" s="406" cm="1">
        <f t="array" ref="H11">IFERROR(IF(1&gt;COUNTIF('DONNÉES BRUTES'!C$3:C$42,"Finance"),"",INDEX('DONNÉES BRUTES'!AA$3:AA$42,MATCH(LARGE(IF('DONNÉES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81</v>
      </c>
      <c r="I11" s="406" t="str" cm="1">
        <f t="array" ref="I11">IFERROR(IF(1&gt;COUNTIF('DONNÉES BRUTES'!C$3:C$42,"Finance"),"",INDEX('DONNÉES BRUTES'!M$3:M$42,MATCH(LARGE(IF('DONNÉES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—</v>
      </c>
      <c r="J11" s="406" t="str" cm="1">
        <f t="array" ref="J11">IFERROR(IF(1&gt;COUNTIF('DONNÉES BRUTES'!C$3:C$42,"Finance"),"",INDEX('DONNÉES BRUTES'!N$3:N$42,MATCH(LARGE(IF('DONNÉES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98.1%</v>
      </c>
      <c r="K11" s="406" t="str" cm="1">
        <f t="array" ref="K11">IFERROR(IF(1&gt;COUNTIF('DONNÉES BRUTES'!C$3:C$42,"Finance"),"",INDEX('DONNÉES BRUTES'!O$3:O$42,MATCH(LARGE(IF('DONNÉES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11.4%</v>
      </c>
      <c r="L11" s="406" t="str" cm="1">
        <f t="array" ref="L11">IFERROR(IF(1&gt;COUNTIF('DONNÉES BRUTES'!C$3:C$42,"Finance"),"",INDEX('DONNÉES BRUTES'!P$3:P$42,MATCH(LARGE(IF('DONNÉES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+0.2%</v>
      </c>
      <c r="M11" s="406" t="str" cm="1">
        <f t="array" ref="M11">IFERROR(IF(1&gt;COUNTIF('DONNÉES BRUTES'!C$3:C$42,"Finance"),"",INDEX('DONNÉES BRUTES'!Q$3:Q$42,MATCH(LARGE(IF('DONNÉES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+8.6%</v>
      </c>
      <c r="N11" s="406" t="str" cm="1">
        <f t="array" ref="N11">IFERROR(IF(1&gt;COUNTIF('DONNÉES BRUTES'!C$3:C$42,"Finance"),"",INDEX('DONNÉES BRUTES'!S$3:S$42,MATCH(LARGE(IF('DONNÉES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—</v>
      </c>
      <c r="O11" s="406" t="str" cm="1">
        <f t="array" ref="O11">IFERROR(IF(1&gt;COUNTIF('DONNÉES BRUTES'!C$3:C$42,"Finance"),"",INDEX('DONNÉES BRUTES'!T$3:T$42,MATCH(LARGE(IF('DONNÉES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-0.5x</v>
      </c>
      <c r="P11" s="406" t="str" cm="1">
        <f t="array" ref="P11">IFERROR(IF(1&gt;COUNTIF('DONNÉES BRUTES'!C$3:C$42,"Finance"),"",INDEX('DONNÉES BRUTES'!U$3:U$42,MATCH(LARGE(IF('DONNÉES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—</v>
      </c>
      <c r="Q11" s="407" t="str" cm="1">
        <f t="array" ref="Q11">IFERROR(IF(1&gt;COUNTIF('DONNÉES BRUTES'!C$3:C$42,"Finance"),"",INDEX('DONNÉES BRUTES'!AD$3:AD$42,MATCH(LARGE(IF('DONNÉES BRUTES'!C$3:C$42="Finance",'DONNÉES BRUTES'!AB$3:AB$42+(ROW('DONNÉES BRUTES'!A$3:A$42)-ROW('DONNÉES BRUTES'!A$3))/1000,0),1),IF('DONNÉES BRUTES'!C$3:C$42="Finance",'DONNÉES BRUTES'!AB$3:AB$42+(ROW('DONNÉES BRUTES'!A$3:A$42)-ROW('DONNÉES BRUTES'!A$3))/1000,0),0))),"—")</f>
        <v>Neutre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BRUTES'!C$3:C$42,"Finance"),"",INDEX('DONNÉES BRUTES'!A$3:A$42,MATCH(LARGE(IF('DONNÉES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SAN.MC</v>
      </c>
      <c r="D12" s="409" t="str" cm="1">
        <f t="array" ref="D12">IFERROR(IF(2&gt;COUNTIF('DONNÉES BRUTES'!C$3:C$42,"Finance"),"",INDEX('DONNÉES BRUTES'!B$3:B$42,MATCH(LARGE(IF('DONNÉES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Banco Santander, S.A.</v>
      </c>
      <c r="E12" s="409" t="str" cm="1">
        <f t="array" ref="E12">IFERROR(IF(2&gt;COUNTIF('DONNÉES BRUTES'!C$3:C$42,"Finance"),"",INT(LARGE(IF('DONNÉES BRUTES'!C$3:C$42="Finance",'DONNÉES BRUTES'!AB$3:AB$42+(ROW('DONNÉES BRUTES'!A$3:A$42)-ROW('DONNÉES BRUTES'!A$3))/1000,0),2))&amp;"/100"),"—")</f>
        <v>41/100</v>
      </c>
      <c r="F12" s="409" cm="1">
        <f t="array" ref="F12">IFERROR(IF(2&gt;COUNTIF('DONNÉES BRUTES'!C$3:C$42,"Finance"),"",INDEX('DONNÉES BRUTES'!Y$3:Y$42,MATCH(LARGE(IF('DONNÉES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34</v>
      </c>
      <c r="G12" s="409" cm="1">
        <f t="array" ref="G12">IFERROR(IF(2&gt;COUNTIF('DONNÉES BRUTES'!C$3:C$42,"Finance"),"",INDEX('DONNÉES BRUTES'!Z$3:Z$42,MATCH(LARGE(IF('DONNÉES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17</v>
      </c>
      <c r="H12" s="409" cm="1">
        <f t="array" ref="H12">IFERROR(IF(2&gt;COUNTIF('DONNÉES BRUTES'!C$3:C$42,"Finance"),"",INDEX('DONNÉES BRUTES'!AA$3:AA$42,MATCH(LARGE(IF('DONNÉES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74</v>
      </c>
      <c r="I12" s="409" t="str" cm="1">
        <f t="array" ref="I12">IFERROR(IF(2&gt;COUNTIF('DONNÉES BRUTES'!C$3:C$42,"Finance"),"",INDEX('DONNÉES BRUTES'!M$3:M$42,MATCH(LARGE(IF('DONNÉES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—</v>
      </c>
      <c r="J12" s="409" t="str" cm="1">
        <f t="array" ref="J12">IFERROR(IF(2&gt;COUNTIF('DONNÉES BRUTES'!C$3:C$42,"Finance"),"",INDEX('DONNÉES BRUTES'!N$3:N$42,MATCH(LARGE(IF('DONNÉES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—</v>
      </c>
      <c r="K12" s="409" t="str" cm="1">
        <f t="array" ref="K12">IFERROR(IF(2&gt;COUNTIF('DONNÉES BRUTES'!C$3:C$42,"Finance"),"",INDEX('DONNÉES BRUTES'!O$3:O$42,MATCH(LARGE(IF('DONNÉES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23.2%</v>
      </c>
      <c r="L12" s="409" t="str" cm="1">
        <f t="array" ref="L12">IFERROR(IF(2&gt;COUNTIF('DONNÉES BRUTES'!C$3:C$42,"Finance"),"",INDEX('DONNÉES BRUTES'!P$3:P$42,MATCH(LARGE(IF('DONNÉES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-1.3%</v>
      </c>
      <c r="M12" s="409" t="str" cm="1">
        <f t="array" ref="M12">IFERROR(IF(2&gt;COUNTIF('DONNÉES BRUTES'!C$3:C$42,"Finance"),"",INDEX('DONNÉES BRUTES'!Q$3:Q$42,MATCH(LARGE(IF('DONNÉES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+13.7%</v>
      </c>
      <c r="N12" s="409" t="str" cm="1">
        <f t="array" ref="N12">IFERROR(IF(2&gt;COUNTIF('DONNÉES BRUTES'!C$3:C$42,"Finance"),"",INDEX('DONNÉES BRUTES'!S$3:S$42,MATCH(LARGE(IF('DONNÉES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—</v>
      </c>
      <c r="O12" s="409" t="str" cm="1">
        <f t="array" ref="O12">IFERROR(IF(2&gt;COUNTIF('DONNÉES BRUTES'!C$3:C$42,"Finance"),"",INDEX('DONNÉES BRUTES'!T$3:T$42,MATCH(LARGE(IF('DONNÉES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1.8x</v>
      </c>
      <c r="P12" s="409" t="str" cm="1">
        <f t="array" ref="P12">IFERROR(IF(2&gt;COUNTIF('DONNÉES BRUTES'!C$3:C$42,"Finance"),"",INDEX('DONNÉES BRUTES'!U$3:U$42,MATCH(LARGE(IF('DONNÉES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—</v>
      </c>
      <c r="Q12" s="410" t="str" cm="1">
        <f t="array" ref="Q12">IFERROR(IF(2&gt;COUNTIF('DONNÉES BRUTES'!C$3:C$42,"Finance"),"",INDEX('DONNÉES BRUTES'!AD$3:AD$42,MATCH(LARGE(IF('DONNÉES BRUTES'!C$3:C$42="Finance",'DONNÉES BRUTES'!AB$3:AB$42+(ROW('DONNÉES BRUTES'!A$3:A$42)-ROW('DONNÉES BRUTES'!A$3))/1000,0),2),IF('DONNÉES BRUTES'!C$3:C$42="Finance",'DONNÉES BRUTES'!AB$3:AB$42+(ROW('DONNÉES BRUTES'!A$3:A$42)-ROW('DONNÉES BRUTES'!A$3))/1000,0),0))),"—")</f>
        <v>Neutre</v>
      </c>
    </row>
    <row r="13" spans="2:17" ht="15.9" customHeight="1" x14ac:dyDescent="0.3">
      <c r="B13" s="411">
        <v>3</v>
      </c>
      <c r="C13" s="412" t="str" cm="1">
        <f t="array" ref="C13">IFERROR(IF(3&gt;COUNTIF('DONNÉES BRUTES'!C$3:C$42,"Finance"),"",INDEX('DONNÉES BRUTES'!A$3:A$42,MATCH(LARGE(IF('DONNÉES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HSBA.L</v>
      </c>
      <c r="D13" s="412" t="str" cm="1">
        <f t="array" ref="D13">IFERROR(IF(3&gt;COUNTIF('DONNÉES BRUTES'!C$3:C$42,"Finance"),"",INDEX('DONNÉES BRUTES'!B$3:B$42,MATCH(LARGE(IF('DONNÉES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HSBC Holdings plc</v>
      </c>
      <c r="E13" s="412" t="str" cm="1">
        <f t="array" ref="E13">IFERROR(IF(3&gt;COUNTIF('DONNÉES BRUTES'!C$3:C$42,"Finance"),"",INT(LARGE(IF('DONNÉES BRUTES'!C$3:C$42="Finance",'DONNÉES BRUTES'!AB$3:AB$42+(ROW('DONNÉES BRUTES'!A$3:A$42)-ROW('DONNÉES BRUTES'!A$3))/1000,0),3))&amp;"/100"),"—")</f>
        <v>39/100</v>
      </c>
      <c r="F13" s="412" cm="1">
        <f t="array" ref="F13">IFERROR(IF(3&gt;COUNTIF('DONNÉES BRUTES'!C$3:C$42,"Finance"),"",INDEX('DONNÉES BRUTES'!Y$3:Y$42,MATCH(LARGE(IF('DONNÉES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35</v>
      </c>
      <c r="G13" s="412" cm="1">
        <f t="array" ref="G13">IFERROR(IF(3&gt;COUNTIF('DONNÉES BRUTES'!C$3:C$42,"Finance"),"",INDEX('DONNÉES BRUTES'!Z$3:Z$42,MATCH(LARGE(IF('DONNÉES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32</v>
      </c>
      <c r="H13" s="412" cm="1">
        <f t="array" ref="H13">IFERROR(IF(3&gt;COUNTIF('DONNÉES BRUTES'!C$3:C$42,"Finance"),"",INDEX('DONNÉES BRUTES'!AA$3:AA$42,MATCH(LARGE(IF('DONNÉES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79</v>
      </c>
      <c r="I13" s="412" t="str" cm="1">
        <f t="array" ref="I13">IFERROR(IF(3&gt;COUNTIF('DONNÉES BRUTES'!C$3:C$42,"Finance"),"",INDEX('DONNÉES BRUTES'!M$3:M$42,MATCH(LARGE(IF('DONNÉES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—</v>
      </c>
      <c r="J13" s="412" t="str" cm="1">
        <f t="array" ref="J13">IFERROR(IF(3&gt;COUNTIF('DONNÉES BRUTES'!C$3:C$42,"Finance"),"",INDEX('DONNÉES BRUTES'!N$3:N$42,MATCH(LARGE(IF('DONNÉES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—</v>
      </c>
      <c r="K13" s="412" t="str" cm="1">
        <f t="array" ref="K13">IFERROR(IF(3&gt;COUNTIF('DONNÉES BRUTES'!C$3:C$42,"Finance"),"",INDEX('DONNÉES BRUTES'!O$3:O$42,MATCH(LARGE(IF('DONNÉES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33.7%</v>
      </c>
      <c r="L13" s="412" t="str" cm="1">
        <f t="array" ref="L13">IFERROR(IF(3&gt;COUNTIF('DONNÉES BRUTES'!C$3:C$42,"Finance"),"",INDEX('DONNÉES BRUTES'!P$3:P$42,MATCH(LARGE(IF('DONNÉES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-1.7%</v>
      </c>
      <c r="M13" s="412" t="str" cm="1">
        <f t="array" ref="M13">IFERROR(IF(3&gt;COUNTIF('DONNÉES BRUTES'!C$3:C$42,"Finance"),"",INDEX('DONNÉES BRUTES'!Q$3:Q$42,MATCH(LARGE(IF('DONNÉES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+11.2%</v>
      </c>
      <c r="N13" s="412" t="str" cm="1">
        <f t="array" ref="N13">IFERROR(IF(3&gt;COUNTIF('DONNÉES BRUTES'!C$3:C$42,"Finance"),"",INDEX('DONNÉES BRUTES'!S$3:S$42,MATCH(LARGE(IF('DONNÉES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—</v>
      </c>
      <c r="O13" s="412" t="str" cm="1">
        <f t="array" ref="O13">IFERROR(IF(3&gt;COUNTIF('DONNÉES BRUTES'!C$3:C$42,"Finance"),"",INDEX('DONNÉES BRUTES'!T$3:T$42,MATCH(LARGE(IF('DONNÉES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-0.5x</v>
      </c>
      <c r="P13" s="412" t="str" cm="1">
        <f t="array" ref="P13">IFERROR(IF(3&gt;COUNTIF('DONNÉES BRUTES'!C$3:C$42,"Finance"),"",INDEX('DONNÉES BRUTES'!U$3:U$42,MATCH(LARGE(IF('DONNÉES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—</v>
      </c>
      <c r="Q13" s="413" t="str" cm="1">
        <f t="array" ref="Q13">IFERROR(IF(3&gt;COUNTIF('DONNÉES BRUTES'!C$3:C$42,"Finance"),"",INDEX('DONNÉES BRUTES'!AD$3:AD$42,MATCH(LARGE(IF('DONNÉES BRUTES'!C$3:C$42="Finance",'DONNÉES BRUTES'!AB$3:AB$42+(ROW('DONNÉES BRUTES'!A$3:A$42)-ROW('DONNÉES BRUTES'!A$3))/1000,0),3),IF('DONNÉES BRUTES'!C$3:C$42="Finance",'DONNÉES BRUTES'!AB$3:AB$42+(ROW('DONNÉES BRUTES'!A$3:A$42)-ROW('DONNÉES BRUTES'!A$3))/1000,0),0))),"—")</f>
        <v>Sous-pondérer</v>
      </c>
    </row>
    <row r="14" spans="2:17" ht="15.9" customHeight="1" x14ac:dyDescent="0.3">
      <c r="B14" s="408">
        <v>4</v>
      </c>
      <c r="C14" s="409" t="str" cm="1">
        <f t="array" ref="C14">IFERROR(IF(4&gt;COUNTIF('DONNÉES BRUTES'!C$3:C$42,"Finance"),"",INDEX('DONNÉES BRUTES'!A$3:A$42,MATCH(LARGE(IF('DONNÉES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MUV2.DE</v>
      </c>
      <c r="D14" s="409" t="str" cm="1">
        <f t="array" ref="D14">IFERROR(IF(4&gt;COUNTIF('DONNÉES BRUTES'!C$3:C$42,"Finance"),"",INDEX('DONNÉES BRUTES'!B$3:B$42,MATCH(LARGE(IF('DONNÉES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Münchener Rückversicherungs-Gesellschaft Aktiengesellschaft in München</v>
      </c>
      <c r="E14" s="409" t="str" cm="1">
        <f t="array" ref="E14">IFERROR(IF(4&gt;COUNTIF('DONNÉES BRUTES'!C$3:C$42,"Finance"),"",INT(LARGE(IF('DONNÉES BRUTES'!C$3:C$42="Finance",'DONNÉES BRUTES'!AB$3:AB$42+(ROW('DONNÉES BRUTES'!A$3:A$42)-ROW('DONNÉES BRUTES'!A$3))/1000,0),4))&amp;"/100"),"—")</f>
        <v>36/100</v>
      </c>
      <c r="F14" s="409" cm="1">
        <f t="array" ref="F14">IFERROR(IF(4&gt;COUNTIF('DONNÉES BRUTES'!C$3:C$42,"Finance"),"",INDEX('DONNÉES BRUTES'!Y$3:Y$42,MATCH(LARGE(IF('DONNÉES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71</v>
      </c>
      <c r="G14" s="409" cm="1">
        <f t="array" ref="G14">IFERROR(IF(4&gt;COUNTIF('DONNÉES BRUTES'!C$3:C$42,"Finance"),"",INDEX('DONNÉES BRUTES'!Z$3:Z$42,MATCH(LARGE(IF('DONNÉES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37</v>
      </c>
      <c r="H14" s="409" cm="1">
        <f t="array" ref="H14">IFERROR(IF(4&gt;COUNTIF('DONNÉES BRUTES'!C$3:C$42,"Finance"),"",INDEX('DONNÉES BRUTES'!AA$3:AA$42,MATCH(LARGE(IF('DONNÉES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26</v>
      </c>
      <c r="I14" s="409" t="str" cm="1">
        <f t="array" ref="I14">IFERROR(IF(4&gt;COUNTIF('DONNÉES BRUTES'!C$3:C$42,"Finance"),"",INDEX('DONNÉES BRUTES'!M$3:M$42,MATCH(LARGE(IF('DONNÉES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—</v>
      </c>
      <c r="J14" s="409" t="str" cm="1">
        <f t="array" ref="J14">IFERROR(IF(4&gt;COUNTIF('DONNÉES BRUTES'!C$3:C$42,"Finance"),"",INDEX('DONNÉES BRUTES'!N$3:N$42,MATCH(LARGE(IF('DONNÉES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22.2%</v>
      </c>
      <c r="K14" s="409" t="str" cm="1">
        <f t="array" ref="K14">IFERROR(IF(4&gt;COUNTIF('DONNÉES BRUTES'!C$3:C$42,"Finance"),"",INDEX('DONNÉES BRUTES'!O$3:O$42,MATCH(LARGE(IF('DONNÉES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13.4%</v>
      </c>
      <c r="L14" s="409" t="str" cm="1">
        <f t="array" ref="L14">IFERROR(IF(4&gt;COUNTIF('DONNÉES BRUTES'!C$3:C$42,"Finance"),"",INDEX('DONNÉES BRUTES'!P$3:P$42,MATCH(LARGE(IF('DONNÉES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+6.6%</v>
      </c>
      <c r="M14" s="409" t="str" cm="1">
        <f t="array" ref="M14">IFERROR(IF(4&gt;COUNTIF('DONNÉES BRUTES'!C$3:C$42,"Finance"),"",INDEX('DONNÉES BRUTES'!Q$3:Q$42,MATCH(LARGE(IF('DONNÉES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+17.4%</v>
      </c>
      <c r="N14" s="409" t="str" cm="1">
        <f t="array" ref="N14">IFERROR(IF(4&gt;COUNTIF('DONNÉES BRUTES'!C$3:C$42,"Finance"),"",INDEX('DONNÉES BRUTES'!S$3:S$42,MATCH(LARGE(IF('DONNÉES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—</v>
      </c>
      <c r="O14" s="409" t="str" cm="1">
        <f t="array" ref="O14">IFERROR(IF(4&gt;COUNTIF('DONNÉES BRUTES'!C$3:C$42,"Finance"),"",INDEX('DONNÉES BRUTES'!T$3:T$42,MATCH(LARGE(IF('DONNÉES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-0.3x</v>
      </c>
      <c r="P14" s="409" t="str" cm="1">
        <f t="array" ref="P14">IFERROR(IF(4&gt;COUNTIF('DONNÉES BRUTES'!C$3:C$42,"Finance"),"",INDEX('DONNÉES BRUTES'!U$3:U$42,MATCH(LARGE(IF('DONNÉES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—</v>
      </c>
      <c r="Q14" s="410" t="str" cm="1">
        <f t="array" ref="Q14">IFERROR(IF(4&gt;COUNTIF('DONNÉES BRUTES'!C$3:C$42,"Finance"),"",INDEX('DONNÉES BRUTES'!AD$3:AD$42,MATCH(LARGE(IF('DONNÉES BRUTES'!C$3:C$42="Finance",'DONNÉES BRUTES'!AB$3:AB$42+(ROW('DONNÉES BRUTES'!A$3:A$42)-ROW('DONNÉES BRUTES'!A$3))/1000,0),4),IF('DONNÉES BRUTES'!C$3:C$42="Finance",'DONNÉES BRUTES'!AB$3:AB$42+(ROW('DONNÉES BRUTES'!A$3:A$42)-ROW('DONNÉES BRUTES'!A$3))/1000,0),0))),"—")</f>
        <v>Sous-pondérer</v>
      </c>
    </row>
    <row r="15" spans="2:17" ht="15.9" customHeight="1" x14ac:dyDescent="0.3">
      <c r="B15" s="417">
        <v>5</v>
      </c>
      <c r="C15" s="418" t="str" cm="1">
        <f t="array" ref="C15">IFERROR(IF(5&gt;COUNTIF('DONNÉES BRUTES'!C$3:C$42,"Finance"),"",INDEX('DONNÉES BRUTES'!A$3:A$42,MATCH(LARGE(IF('DONNÉES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BNP.PA</v>
      </c>
      <c r="D15" s="418" t="str" cm="1">
        <f t="array" ref="D15">IFERROR(IF(5&gt;COUNTIF('DONNÉES BRUTES'!C$3:C$42,"Finance"),"",INDEX('DONNÉES BRUTES'!B$3:B$42,MATCH(LARGE(IF('DONNÉES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BNP Paribas SA</v>
      </c>
      <c r="E15" s="418" t="str" cm="1">
        <f t="array" ref="E15">IFERROR(IF(5&gt;COUNTIF('DONNÉES BRUTES'!C$3:C$42,"Finance"),"",INT(LARGE(IF('DONNÉES BRUTES'!C$3:C$42="Finance",'DONNÉES BRUTES'!AB$3:AB$42+(ROW('DONNÉES BRUTES'!A$3:A$42)-ROW('DONNÉES BRUTES'!A$3))/1000,0),5))&amp;"/100"),"—")</f>
        <v>29/100</v>
      </c>
      <c r="F15" s="418" cm="1">
        <f t="array" ref="F15">IFERROR(IF(5&gt;COUNTIF('DONNÉES BRUTES'!C$3:C$42,"Finance"),"",INDEX('DONNÉES BRUTES'!Y$3:Y$42,MATCH(LARGE(IF('DONNÉES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40</v>
      </c>
      <c r="G15" s="418" cm="1">
        <f t="array" ref="G15">IFERROR(IF(5&gt;COUNTIF('DONNÉES BRUTES'!C$3:C$42,"Finance"),"",INDEX('DONNÉES BRUTES'!Z$3:Z$42,MATCH(LARGE(IF('DONNÉES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21</v>
      </c>
      <c r="H15" s="418" cm="1">
        <f t="array" ref="H15">IFERROR(IF(5&gt;COUNTIF('DONNÉES BRUTES'!C$3:C$42,"Finance"),"",INDEX('DONNÉES BRUTES'!AA$3:AA$42,MATCH(LARGE(IF('DONNÉES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60</v>
      </c>
      <c r="I15" s="418" t="str" cm="1">
        <f t="array" ref="I15">IFERROR(IF(5&gt;COUNTIF('DONNÉES BRUTES'!C$3:C$42,"Finance"),"",INDEX('DONNÉES BRUTES'!M$3:M$42,MATCH(LARGE(IF('DONNÉES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—</v>
      </c>
      <c r="J15" s="418" t="str" cm="1">
        <f t="array" ref="J15">IFERROR(IF(5&gt;COUNTIF('DONNÉES BRUTES'!C$3:C$42,"Finance"),"",INDEX('DONNÉES BRUTES'!N$3:N$42,MATCH(LARGE(IF('DONNÉES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—</v>
      </c>
      <c r="K15" s="418" t="str" cm="1">
        <f t="array" ref="K15">IFERROR(IF(5&gt;COUNTIF('DONNÉES BRUTES'!C$3:C$42,"Finance"),"",INDEX('DONNÉES BRUTES'!O$3:O$42,MATCH(LARGE(IF('DONNÉES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17.8%</v>
      </c>
      <c r="L15" s="418" t="str" cm="1">
        <f t="array" ref="L15">IFERROR(IF(5&gt;COUNTIF('DONNÉES BRUTES'!C$3:C$42,"Finance"),"",INDEX('DONNÉES BRUTES'!P$3:P$42,MATCH(LARGE(IF('DONNÉES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+4.5%</v>
      </c>
      <c r="M15" s="418" t="str" cm="1">
        <f t="array" ref="M15">IFERROR(IF(5&gt;COUNTIF('DONNÉES BRUTES'!C$3:C$42,"Finance"),"",INDEX('DONNÉES BRUTES'!Q$3:Q$42,MATCH(LARGE(IF('DONNÉES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+9.7%</v>
      </c>
      <c r="N15" s="418" t="str" cm="1">
        <f t="array" ref="N15">IFERROR(IF(5&gt;COUNTIF('DONNÉES BRUTES'!C$3:C$42,"Finance"),"",INDEX('DONNÉES BRUTES'!S$3:S$42,MATCH(LARGE(IF('DONNÉES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—</v>
      </c>
      <c r="O15" s="418" t="str" cm="1">
        <f t="array" ref="O15">IFERROR(IF(5&gt;COUNTIF('DONNÉES BRUTES'!C$3:C$42,"Finance"),"",INDEX('DONNÉES BRUTES'!T$3:T$42,MATCH(LARGE(IF('DONNÉES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1.0x</v>
      </c>
      <c r="P15" s="418" t="str" cm="1">
        <f t="array" ref="P15">IFERROR(IF(5&gt;COUNTIF('DONNÉES BRUTES'!C$3:C$42,"Finance"),"",INDEX('DONNÉES BRUTES'!U$3:U$42,MATCH(LARGE(IF('DONNÉES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—</v>
      </c>
      <c r="Q15" s="419" t="str" cm="1">
        <f t="array" ref="Q15">IFERROR(IF(5&gt;COUNTIF('DONNÉES BRUTES'!C$3:C$42,"Finance"),"",INDEX('DONNÉES BRUTES'!AD$3:AD$42,MATCH(LARGE(IF('DONNÉES BRUTES'!C$3:C$42="Finance",'DONNÉES BRUTES'!AB$3:AB$42+(ROW('DONNÉES BRUTES'!A$3:A$42)-ROW('DONNÉES BRUTES'!A$3))/1000,0),5),IF('DONNÉES BRUTES'!C$3:C$42="Finance",'DONNÉES BRUTES'!AB$3:AB$42+(ROW('DONNÉES BRUTES'!A$3:A$42)-ROW('DONNÉES BRUTES'!A$3))/1000,0),0))),"—")</f>
        <v>Sous-pondérer</v>
      </c>
    </row>
    <row r="16" spans="2:17" ht="15.9" customHeight="1" x14ac:dyDescent="0.3">
      <c r="C16" t="str" cm="1">
        <f t="array" ref="C16">IFERROR(IF(6&gt;COUNTIF('DONNÉES BRUTES'!C$3:C$42,"Finance"),"",INDEX('DONNÉES BRUTES'!A$3:A$42,MATCH(LARGE(IF('DONNÉES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D16" t="str" cm="1">
        <f t="array" ref="D16">IFERROR(IF(6&gt;COUNTIF('DONNÉES BRUTES'!C$3:C$42,"Finance"),"",INDEX('DONNÉES BRUTES'!B$3:B$42,MATCH(LARGE(IF('DONNÉES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E16" t="str" cm="1">
        <f t="array" ref="E16">IFERROR(IF(6&gt;COUNTIF('DONNÉES BRUTES'!C$3:C$42,"Finance"),"",INT(LARGE(IF('DONNÉES BRUTES'!C$3:C$42="Finance",'DONNÉES BRUTES'!AB$3:AB$42+(ROW('DONNÉES BRUTES'!A$3:A$42)-ROW('DONNÉES BRUTES'!A$3))/1000,0),6))&amp;"/100"),"—")</f>
        <v/>
      </c>
      <c r="F16" t="str" cm="1">
        <f t="array" ref="F16">IFERROR(IF(6&gt;COUNTIF('DONNÉES BRUTES'!C$3:C$42,"Finance"),"",INDEX('DONNÉES BRUTES'!Y$3:Y$42,MATCH(LARGE(IF('DONNÉES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G16" t="str" cm="1">
        <f t="array" ref="G16">IFERROR(IF(6&gt;COUNTIF('DONNÉES BRUTES'!C$3:C$42,"Finance"),"",INDEX('DONNÉES BRUTES'!Z$3:Z$42,MATCH(LARGE(IF('DONNÉES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H16" t="str" cm="1">
        <f t="array" ref="H16">IFERROR(IF(6&gt;COUNTIF('DONNÉES BRUTES'!C$3:C$42,"Finance"),"",INDEX('DONNÉES BRUTES'!AA$3:AA$42,MATCH(LARGE(IF('DONNÉES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I16" t="str" cm="1">
        <f t="array" ref="I16">IFERROR(IF(6&gt;COUNTIF('DONNÉES BRUTES'!C$3:C$42,"Finance"),"",INDEX('DONNÉES BRUTES'!M$3:M$42,MATCH(LARGE(IF('DONNÉES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J16" t="str" cm="1">
        <f t="array" ref="J16">IFERROR(IF(6&gt;COUNTIF('DONNÉES BRUTES'!C$3:C$42,"Finance"),"",INDEX('DONNÉES BRUTES'!N$3:N$42,MATCH(LARGE(IF('DONNÉES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K16" t="str" cm="1">
        <f t="array" ref="K16">IFERROR(IF(6&gt;COUNTIF('DONNÉES BRUTES'!C$3:C$42,"Finance"),"",INDEX('DONNÉES BRUTES'!O$3:O$42,MATCH(LARGE(IF('DONNÉES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L16" t="str" cm="1">
        <f t="array" ref="L16">IFERROR(IF(6&gt;COUNTIF('DONNÉES BRUTES'!C$3:C$42,"Finance"),"",INDEX('DONNÉES BRUTES'!P$3:P$42,MATCH(LARGE(IF('DONNÉES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M16" t="str" cm="1">
        <f t="array" ref="M16">IFERROR(IF(6&gt;COUNTIF('DONNÉES BRUTES'!C$3:C$42,"Finance"),"",INDEX('DONNÉES BRUTES'!Q$3:Q$42,MATCH(LARGE(IF('DONNÉES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N16" t="str" cm="1">
        <f t="array" ref="N16">IFERROR(IF(6&gt;COUNTIF('DONNÉES BRUTES'!C$3:C$42,"Finance"),"",INDEX('DONNÉES BRUTES'!S$3:S$42,MATCH(LARGE(IF('DONNÉES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O16" t="str" cm="1">
        <f t="array" ref="O16">IFERROR(IF(6&gt;COUNTIF('DONNÉES BRUTES'!C$3:C$42,"Finance"),"",INDEX('DONNÉES BRUTES'!T$3:T$42,MATCH(LARGE(IF('DONNÉES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P16" t="str" cm="1">
        <f t="array" ref="P16">IFERROR(IF(6&gt;COUNTIF('DONNÉES BRUTES'!C$3:C$42,"Finance"),"",INDEX('DONNÉES BRUTES'!U$3:U$42,MATCH(LARGE(IF('DONNÉES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  <c r="Q16" t="str" cm="1">
        <f t="array" ref="Q16">IFERROR(IF(6&gt;COUNTIF('DONNÉES BRUTES'!C$3:C$42,"Finance"),"",INDEX('DONNÉES BRUTES'!AD$3:AD$42,MATCH(LARGE(IF('DONNÉES BRUTES'!C$3:C$42="Finance",'DONNÉES BRUTES'!AB$3:AB$42+(ROW('DONNÉES BRUTES'!A$3:A$42)-ROW('DONNÉES BRUTES'!A$3))/1000,0),6),IF('DONNÉES BRUTES'!C$3:C$42="Finance",'DONNÉES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BRUTES'!C$3:C$42,"Finance"),"",INDEX('DONNÉES BRUTES'!A$3:A$42,MATCH(LARGE(IF('DONNÉES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D17" t="str" cm="1">
        <f t="array" ref="D17">IFERROR(IF(7&gt;COUNTIF('DONNÉES BRUTES'!C$3:C$42,"Finance"),"",INDEX('DONNÉES BRUTES'!B$3:B$42,MATCH(LARGE(IF('DONNÉES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E17" t="str" cm="1">
        <f t="array" ref="E17">IFERROR(IF(7&gt;COUNTIF('DONNÉES BRUTES'!C$3:C$42,"Finance"),"",INT(LARGE(IF('DONNÉES BRUTES'!C$3:C$42="Finance",'DONNÉES BRUTES'!AB$3:AB$42+(ROW('DONNÉES BRUTES'!A$3:A$42)-ROW('DONNÉES BRUTES'!A$3))/1000,0),7))&amp;"/100"),"—")</f>
        <v/>
      </c>
      <c r="F17" t="str" cm="1">
        <f t="array" ref="F17">IFERROR(IF(7&gt;COUNTIF('DONNÉES BRUTES'!C$3:C$42,"Finance"),"",INDEX('DONNÉES BRUTES'!Y$3:Y$42,MATCH(LARGE(IF('DONNÉES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G17" t="str" cm="1">
        <f t="array" ref="G17">IFERROR(IF(7&gt;COUNTIF('DONNÉES BRUTES'!C$3:C$42,"Finance"),"",INDEX('DONNÉES BRUTES'!Z$3:Z$42,MATCH(LARGE(IF('DONNÉES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H17" t="str" cm="1">
        <f t="array" ref="H17">IFERROR(IF(7&gt;COUNTIF('DONNÉES BRUTES'!C$3:C$42,"Finance"),"",INDEX('DONNÉES BRUTES'!AA$3:AA$42,MATCH(LARGE(IF('DONNÉES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I17" t="str" cm="1">
        <f t="array" ref="I17">IFERROR(IF(7&gt;COUNTIF('DONNÉES BRUTES'!C$3:C$42,"Finance"),"",INDEX('DONNÉES BRUTES'!M$3:M$42,MATCH(LARGE(IF('DONNÉES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J17" t="str" cm="1">
        <f t="array" ref="J17">IFERROR(IF(7&gt;COUNTIF('DONNÉES BRUTES'!C$3:C$42,"Finance"),"",INDEX('DONNÉES BRUTES'!N$3:N$42,MATCH(LARGE(IF('DONNÉES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K17" t="str" cm="1">
        <f t="array" ref="K17">IFERROR(IF(7&gt;COUNTIF('DONNÉES BRUTES'!C$3:C$42,"Finance"),"",INDEX('DONNÉES BRUTES'!O$3:O$42,MATCH(LARGE(IF('DONNÉES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L17" t="str" cm="1">
        <f t="array" ref="L17">IFERROR(IF(7&gt;COUNTIF('DONNÉES BRUTES'!C$3:C$42,"Finance"),"",INDEX('DONNÉES BRUTES'!P$3:P$42,MATCH(LARGE(IF('DONNÉES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M17" t="str" cm="1">
        <f t="array" ref="M17">IFERROR(IF(7&gt;COUNTIF('DONNÉES BRUTES'!C$3:C$42,"Finance"),"",INDEX('DONNÉES BRUTES'!Q$3:Q$42,MATCH(LARGE(IF('DONNÉES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N17" t="str" cm="1">
        <f t="array" ref="N17">IFERROR(IF(7&gt;COUNTIF('DONNÉES BRUTES'!C$3:C$42,"Finance"),"",INDEX('DONNÉES BRUTES'!S$3:S$42,MATCH(LARGE(IF('DONNÉES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O17" t="str" cm="1">
        <f t="array" ref="O17">IFERROR(IF(7&gt;COUNTIF('DONNÉES BRUTES'!C$3:C$42,"Finance"),"",INDEX('DONNÉES BRUTES'!T$3:T$42,MATCH(LARGE(IF('DONNÉES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P17" t="str" cm="1">
        <f t="array" ref="P17">IFERROR(IF(7&gt;COUNTIF('DONNÉES BRUTES'!C$3:C$42,"Finance"),"",INDEX('DONNÉES BRUTES'!U$3:U$42,MATCH(LARGE(IF('DONNÉES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  <c r="Q17" t="str" cm="1">
        <f t="array" ref="Q17">IFERROR(IF(7&gt;COUNTIF('DONNÉES BRUTES'!C$3:C$42,"Finance"),"",INDEX('DONNÉES BRUTES'!AD$3:AD$42,MATCH(LARGE(IF('DONNÉES BRUTES'!C$3:C$42="Finance",'DONNÉES BRUTES'!AB$3:AB$42+(ROW('DONNÉES BRUTES'!A$3:A$42)-ROW('DONNÉES BRUTES'!A$3))/1000,0),7),IF('DONNÉES BRUTES'!C$3:C$42="Finance",'DONNÉES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BRUTES'!C$3:C$42,"Finance"),"",INDEX('DONNÉES BRUTES'!A$3:A$42,MATCH(LARGE(IF('DONNÉES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D18" t="str" cm="1">
        <f t="array" ref="D18">IFERROR(IF(8&gt;COUNTIF('DONNÉES BRUTES'!C$3:C$42,"Finance"),"",INDEX('DONNÉES BRUTES'!B$3:B$42,MATCH(LARGE(IF('DONNÉES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E18" t="str" cm="1">
        <f t="array" ref="E18">IFERROR(IF(8&gt;COUNTIF('DONNÉES BRUTES'!C$3:C$42,"Finance"),"",INT(LARGE(IF('DONNÉES BRUTES'!C$3:C$42="Finance",'DONNÉES BRUTES'!AB$3:AB$42+(ROW('DONNÉES BRUTES'!A$3:A$42)-ROW('DONNÉES BRUTES'!A$3))/1000,0),8))&amp;"/100"),"—")</f>
        <v/>
      </c>
      <c r="F18" t="str" cm="1">
        <f t="array" ref="F18">IFERROR(IF(8&gt;COUNTIF('DONNÉES BRUTES'!C$3:C$42,"Finance"),"",INDEX('DONNÉES BRUTES'!Y$3:Y$42,MATCH(LARGE(IF('DONNÉES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G18" t="str" cm="1">
        <f t="array" ref="G18">IFERROR(IF(8&gt;COUNTIF('DONNÉES BRUTES'!C$3:C$42,"Finance"),"",INDEX('DONNÉES BRUTES'!Z$3:Z$42,MATCH(LARGE(IF('DONNÉES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H18" t="str" cm="1">
        <f t="array" ref="H18">IFERROR(IF(8&gt;COUNTIF('DONNÉES BRUTES'!C$3:C$42,"Finance"),"",INDEX('DONNÉES BRUTES'!AA$3:AA$42,MATCH(LARGE(IF('DONNÉES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I18" t="str" cm="1">
        <f t="array" ref="I18">IFERROR(IF(8&gt;COUNTIF('DONNÉES BRUTES'!C$3:C$42,"Finance"),"",INDEX('DONNÉES BRUTES'!M$3:M$42,MATCH(LARGE(IF('DONNÉES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J18" t="str" cm="1">
        <f t="array" ref="J18">IFERROR(IF(8&gt;COUNTIF('DONNÉES BRUTES'!C$3:C$42,"Finance"),"",INDEX('DONNÉES BRUTES'!N$3:N$42,MATCH(LARGE(IF('DONNÉES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K18" t="str" cm="1">
        <f t="array" ref="K18">IFERROR(IF(8&gt;COUNTIF('DONNÉES BRUTES'!C$3:C$42,"Finance"),"",INDEX('DONNÉES BRUTES'!O$3:O$42,MATCH(LARGE(IF('DONNÉES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L18" t="str" cm="1">
        <f t="array" ref="L18">IFERROR(IF(8&gt;COUNTIF('DONNÉES BRUTES'!C$3:C$42,"Finance"),"",INDEX('DONNÉES BRUTES'!P$3:P$42,MATCH(LARGE(IF('DONNÉES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M18" t="str" cm="1">
        <f t="array" ref="M18">IFERROR(IF(8&gt;COUNTIF('DONNÉES BRUTES'!C$3:C$42,"Finance"),"",INDEX('DONNÉES BRUTES'!Q$3:Q$42,MATCH(LARGE(IF('DONNÉES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N18" t="str" cm="1">
        <f t="array" ref="N18">IFERROR(IF(8&gt;COUNTIF('DONNÉES BRUTES'!C$3:C$42,"Finance"),"",INDEX('DONNÉES BRUTES'!S$3:S$42,MATCH(LARGE(IF('DONNÉES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O18" t="str" cm="1">
        <f t="array" ref="O18">IFERROR(IF(8&gt;COUNTIF('DONNÉES BRUTES'!C$3:C$42,"Finance"),"",INDEX('DONNÉES BRUTES'!T$3:T$42,MATCH(LARGE(IF('DONNÉES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P18" t="str" cm="1">
        <f t="array" ref="P18">IFERROR(IF(8&gt;COUNTIF('DONNÉES BRUTES'!C$3:C$42,"Finance"),"",INDEX('DONNÉES BRUTES'!U$3:U$42,MATCH(LARGE(IF('DONNÉES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  <c r="Q18" t="str" cm="1">
        <f t="array" ref="Q18">IFERROR(IF(8&gt;COUNTIF('DONNÉES BRUTES'!C$3:C$42,"Finance"),"",INDEX('DONNÉES BRUTES'!AD$3:AD$42,MATCH(LARGE(IF('DONNÉES BRUTES'!C$3:C$42="Finance",'DONNÉES BRUTES'!AB$3:AB$42+(ROW('DONNÉES BRUTES'!A$3:A$42)-ROW('DONNÉES BRUTES'!A$3))/1000,0),8),IF('DONNÉES BRUTES'!C$3:C$42="Finance",'DONNÉES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BRUTES'!C$3:C$42,"Finance"),"",INDEX('DONNÉES BRUTES'!A$3:A$42,MATCH(LARGE(IF('DONNÉES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D19" t="str" cm="1">
        <f t="array" ref="D19">IFERROR(IF(9&gt;COUNTIF('DONNÉES BRUTES'!C$3:C$42,"Finance"),"",INDEX('DONNÉES BRUTES'!B$3:B$42,MATCH(LARGE(IF('DONNÉES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E19" t="str" cm="1">
        <f t="array" ref="E19">IFERROR(IF(9&gt;COUNTIF('DONNÉES BRUTES'!C$3:C$42,"Finance"),"",INT(LARGE(IF('DONNÉES BRUTES'!C$3:C$42="Finance",'DONNÉES BRUTES'!AB$3:AB$42+(ROW('DONNÉES BRUTES'!A$3:A$42)-ROW('DONNÉES BRUTES'!A$3))/1000,0),9))&amp;"/100"),"—")</f>
        <v/>
      </c>
      <c r="F19" t="str" cm="1">
        <f t="array" ref="F19">IFERROR(IF(9&gt;COUNTIF('DONNÉES BRUTES'!C$3:C$42,"Finance"),"",INDEX('DONNÉES BRUTES'!Y$3:Y$42,MATCH(LARGE(IF('DONNÉES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G19" t="str" cm="1">
        <f t="array" ref="G19">IFERROR(IF(9&gt;COUNTIF('DONNÉES BRUTES'!C$3:C$42,"Finance"),"",INDEX('DONNÉES BRUTES'!Z$3:Z$42,MATCH(LARGE(IF('DONNÉES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H19" t="str" cm="1">
        <f t="array" ref="H19">IFERROR(IF(9&gt;COUNTIF('DONNÉES BRUTES'!C$3:C$42,"Finance"),"",INDEX('DONNÉES BRUTES'!AA$3:AA$42,MATCH(LARGE(IF('DONNÉES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I19" t="str" cm="1">
        <f t="array" ref="I19">IFERROR(IF(9&gt;COUNTIF('DONNÉES BRUTES'!C$3:C$42,"Finance"),"",INDEX('DONNÉES BRUTES'!M$3:M$42,MATCH(LARGE(IF('DONNÉES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J19" t="str" cm="1">
        <f t="array" ref="J19">IFERROR(IF(9&gt;COUNTIF('DONNÉES BRUTES'!C$3:C$42,"Finance"),"",INDEX('DONNÉES BRUTES'!N$3:N$42,MATCH(LARGE(IF('DONNÉES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K19" t="str" cm="1">
        <f t="array" ref="K19">IFERROR(IF(9&gt;COUNTIF('DONNÉES BRUTES'!C$3:C$42,"Finance"),"",INDEX('DONNÉES BRUTES'!O$3:O$42,MATCH(LARGE(IF('DONNÉES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L19" t="str" cm="1">
        <f t="array" ref="L19">IFERROR(IF(9&gt;COUNTIF('DONNÉES BRUTES'!C$3:C$42,"Finance"),"",INDEX('DONNÉES BRUTES'!P$3:P$42,MATCH(LARGE(IF('DONNÉES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M19" t="str" cm="1">
        <f t="array" ref="M19">IFERROR(IF(9&gt;COUNTIF('DONNÉES BRUTES'!C$3:C$42,"Finance"),"",INDEX('DONNÉES BRUTES'!Q$3:Q$42,MATCH(LARGE(IF('DONNÉES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N19" t="str" cm="1">
        <f t="array" ref="N19">IFERROR(IF(9&gt;COUNTIF('DONNÉES BRUTES'!C$3:C$42,"Finance"),"",INDEX('DONNÉES BRUTES'!S$3:S$42,MATCH(LARGE(IF('DONNÉES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O19" t="str" cm="1">
        <f t="array" ref="O19">IFERROR(IF(9&gt;COUNTIF('DONNÉES BRUTES'!C$3:C$42,"Finance"),"",INDEX('DONNÉES BRUTES'!T$3:T$42,MATCH(LARGE(IF('DONNÉES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P19" t="str" cm="1">
        <f t="array" ref="P19">IFERROR(IF(9&gt;COUNTIF('DONNÉES BRUTES'!C$3:C$42,"Finance"),"",INDEX('DONNÉES BRUTES'!U$3:U$42,MATCH(LARGE(IF('DONNÉES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  <c r="Q19" t="str" cm="1">
        <f t="array" ref="Q19">IFERROR(IF(9&gt;COUNTIF('DONNÉES BRUTES'!C$3:C$42,"Finance"),"",INDEX('DONNÉES BRUTES'!AD$3:AD$42,MATCH(LARGE(IF('DONNÉES BRUTES'!C$3:C$42="Finance",'DONNÉES BRUTES'!AB$3:AB$42+(ROW('DONNÉES BRUTES'!A$3:A$42)-ROW('DONNÉES BRUTES'!A$3))/1000,0),9),IF('DONNÉES BRUTES'!C$3:C$42="Finance",'DONNÉES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BRUTES'!C$3:C$42,"Finance"),"",INDEX('DONNÉES BRUTES'!A$3:A$42,MATCH(LARGE(IF('DONNÉES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D20" t="str" cm="1">
        <f t="array" ref="D20">IFERROR(IF(10&gt;COUNTIF('DONNÉES BRUTES'!C$3:C$42,"Finance"),"",INDEX('DONNÉES BRUTES'!B$3:B$42,MATCH(LARGE(IF('DONNÉES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E20" t="str" cm="1">
        <f t="array" ref="E20">IFERROR(IF(10&gt;COUNTIF('DONNÉES BRUTES'!C$3:C$42,"Finance"),"",INT(LARGE(IF('DONNÉES BRUTES'!C$3:C$42="Finance",'DONNÉES BRUTES'!AB$3:AB$42+(ROW('DONNÉES BRUTES'!A$3:A$42)-ROW('DONNÉES BRUTES'!A$3))/1000,0),10))&amp;"/100"),"—")</f>
        <v/>
      </c>
      <c r="F20" t="str" cm="1">
        <f t="array" ref="F20">IFERROR(IF(10&gt;COUNTIF('DONNÉES BRUTES'!C$3:C$42,"Finance"),"",INDEX('DONNÉES BRUTES'!Y$3:Y$42,MATCH(LARGE(IF('DONNÉES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G20" t="str" cm="1">
        <f t="array" ref="G20">IFERROR(IF(10&gt;COUNTIF('DONNÉES BRUTES'!C$3:C$42,"Finance"),"",INDEX('DONNÉES BRUTES'!Z$3:Z$42,MATCH(LARGE(IF('DONNÉES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H20" t="str" cm="1">
        <f t="array" ref="H20">IFERROR(IF(10&gt;COUNTIF('DONNÉES BRUTES'!C$3:C$42,"Finance"),"",INDEX('DONNÉES BRUTES'!AA$3:AA$42,MATCH(LARGE(IF('DONNÉES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I20" t="str" cm="1">
        <f t="array" ref="I20">IFERROR(IF(10&gt;COUNTIF('DONNÉES BRUTES'!C$3:C$42,"Finance"),"",INDEX('DONNÉES BRUTES'!M$3:M$42,MATCH(LARGE(IF('DONNÉES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J20" t="str" cm="1">
        <f t="array" ref="J20">IFERROR(IF(10&gt;COUNTIF('DONNÉES BRUTES'!C$3:C$42,"Finance"),"",INDEX('DONNÉES BRUTES'!N$3:N$42,MATCH(LARGE(IF('DONNÉES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K20" t="str" cm="1">
        <f t="array" ref="K20">IFERROR(IF(10&gt;COUNTIF('DONNÉES BRUTES'!C$3:C$42,"Finance"),"",INDEX('DONNÉES BRUTES'!O$3:O$42,MATCH(LARGE(IF('DONNÉES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L20" t="str" cm="1">
        <f t="array" ref="L20">IFERROR(IF(10&gt;COUNTIF('DONNÉES BRUTES'!C$3:C$42,"Finance"),"",INDEX('DONNÉES BRUTES'!P$3:P$42,MATCH(LARGE(IF('DONNÉES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M20" t="str" cm="1">
        <f t="array" ref="M20">IFERROR(IF(10&gt;COUNTIF('DONNÉES BRUTES'!C$3:C$42,"Finance"),"",INDEX('DONNÉES BRUTES'!Q$3:Q$42,MATCH(LARGE(IF('DONNÉES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N20" t="str" cm="1">
        <f t="array" ref="N20">IFERROR(IF(10&gt;COUNTIF('DONNÉES BRUTES'!C$3:C$42,"Finance"),"",INDEX('DONNÉES BRUTES'!S$3:S$42,MATCH(LARGE(IF('DONNÉES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O20" t="str" cm="1">
        <f t="array" ref="O20">IFERROR(IF(10&gt;COUNTIF('DONNÉES BRUTES'!C$3:C$42,"Finance"),"",INDEX('DONNÉES BRUTES'!T$3:T$42,MATCH(LARGE(IF('DONNÉES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P20" t="str" cm="1">
        <f t="array" ref="P20">IFERROR(IF(10&gt;COUNTIF('DONNÉES BRUTES'!C$3:C$42,"Finance"),"",INDEX('DONNÉES BRUTES'!U$3:U$42,MATCH(LARGE(IF('DONNÉES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  <c r="Q20" t="str" cm="1">
        <f t="array" ref="Q20">IFERROR(IF(10&gt;COUNTIF('DONNÉES BRUTES'!C$3:C$42,"Finance"),"",INDEX('DONNÉES BRUTES'!AD$3:AD$42,MATCH(LARGE(IF('DONNÉES BRUTES'!C$3:C$42="Finance",'DONNÉES BRUTES'!AB$3:AB$42+(ROW('DONNÉES BRUTES'!A$3:A$42)-ROW('DONNÉES BRUTES'!A$3))/1000,0),10),IF('DONNÉES BRUTES'!C$3:C$42="Finance",'DONNÉES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BRUTES'!C$3:C$42,"Finance"),"",INDEX('DONNÉES BRUTES'!A$3:A$42,MATCH(LARGE(IF('DONNÉES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D21" t="str" cm="1">
        <f t="array" ref="D21">IFERROR(IF(11&gt;COUNTIF('DONNÉES BRUTES'!C$3:C$42,"Finance"),"",INDEX('DONNÉES BRUTES'!B$3:B$42,MATCH(LARGE(IF('DONNÉES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E21" t="str" cm="1">
        <f t="array" ref="E21">IFERROR(IF(11&gt;COUNTIF('DONNÉES BRUTES'!C$3:C$42,"Finance"),"",INT(LARGE(IF('DONNÉES BRUTES'!C$3:C$42="Finance",'DONNÉES BRUTES'!AB$3:AB$42+(ROW('DONNÉES BRUTES'!A$3:A$42)-ROW('DONNÉES BRUTES'!A$3))/1000,0),11))&amp;"/100"),"—")</f>
        <v/>
      </c>
      <c r="F21" t="str" cm="1">
        <f t="array" ref="F21">IFERROR(IF(11&gt;COUNTIF('DONNÉES BRUTES'!C$3:C$42,"Finance"),"",INDEX('DONNÉES BRUTES'!Y$3:Y$42,MATCH(LARGE(IF('DONNÉES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G21" t="str" cm="1">
        <f t="array" ref="G21">IFERROR(IF(11&gt;COUNTIF('DONNÉES BRUTES'!C$3:C$42,"Finance"),"",INDEX('DONNÉES BRUTES'!Z$3:Z$42,MATCH(LARGE(IF('DONNÉES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H21" t="str" cm="1">
        <f t="array" ref="H21">IFERROR(IF(11&gt;COUNTIF('DONNÉES BRUTES'!C$3:C$42,"Finance"),"",INDEX('DONNÉES BRUTES'!AA$3:AA$42,MATCH(LARGE(IF('DONNÉES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I21" t="str" cm="1">
        <f t="array" ref="I21">IFERROR(IF(11&gt;COUNTIF('DONNÉES BRUTES'!C$3:C$42,"Finance"),"",INDEX('DONNÉES BRUTES'!M$3:M$42,MATCH(LARGE(IF('DONNÉES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J21" t="str" cm="1">
        <f t="array" ref="J21">IFERROR(IF(11&gt;COUNTIF('DONNÉES BRUTES'!C$3:C$42,"Finance"),"",INDEX('DONNÉES BRUTES'!N$3:N$42,MATCH(LARGE(IF('DONNÉES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K21" t="str" cm="1">
        <f t="array" ref="K21">IFERROR(IF(11&gt;COUNTIF('DONNÉES BRUTES'!C$3:C$42,"Finance"),"",INDEX('DONNÉES BRUTES'!O$3:O$42,MATCH(LARGE(IF('DONNÉES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L21" t="str" cm="1">
        <f t="array" ref="L21">IFERROR(IF(11&gt;COUNTIF('DONNÉES BRUTES'!C$3:C$42,"Finance"),"",INDEX('DONNÉES BRUTES'!P$3:P$42,MATCH(LARGE(IF('DONNÉES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M21" t="str" cm="1">
        <f t="array" ref="M21">IFERROR(IF(11&gt;COUNTIF('DONNÉES BRUTES'!C$3:C$42,"Finance"),"",INDEX('DONNÉES BRUTES'!Q$3:Q$42,MATCH(LARGE(IF('DONNÉES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N21" t="str" cm="1">
        <f t="array" ref="N21">IFERROR(IF(11&gt;COUNTIF('DONNÉES BRUTES'!C$3:C$42,"Finance"),"",INDEX('DONNÉES BRUTES'!S$3:S$42,MATCH(LARGE(IF('DONNÉES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O21" t="str" cm="1">
        <f t="array" ref="O21">IFERROR(IF(11&gt;COUNTIF('DONNÉES BRUTES'!C$3:C$42,"Finance"),"",INDEX('DONNÉES BRUTES'!T$3:T$42,MATCH(LARGE(IF('DONNÉES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P21" t="str" cm="1">
        <f t="array" ref="P21">IFERROR(IF(11&gt;COUNTIF('DONNÉES BRUTES'!C$3:C$42,"Finance"),"",INDEX('DONNÉES BRUTES'!U$3:U$42,MATCH(LARGE(IF('DONNÉES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  <c r="Q21" t="str" cm="1">
        <f t="array" ref="Q21">IFERROR(IF(11&gt;COUNTIF('DONNÉES BRUTES'!C$3:C$42,"Finance"),"",INDEX('DONNÉES BRUTES'!AD$3:AD$42,MATCH(LARGE(IF('DONNÉES BRUTES'!C$3:C$42="Finance",'DONNÉES BRUTES'!AB$3:AB$42+(ROW('DONNÉES BRUTES'!A$3:A$42)-ROW('DONNÉES BRUTES'!A$3))/1000,0),11),IF('DONNÉES BRUTES'!C$3:C$42="Finance",'DONNÉES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BRUTES'!C$3:C$42,"Finance"),"",INDEX('DONNÉES BRUTES'!A$3:A$42,MATCH(LARGE(IF('DONNÉES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D22" t="str" cm="1">
        <f t="array" ref="D22">IFERROR(IF(12&gt;COUNTIF('DONNÉES BRUTES'!C$3:C$42,"Finance"),"",INDEX('DONNÉES BRUTES'!B$3:B$42,MATCH(LARGE(IF('DONNÉES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E22" t="str" cm="1">
        <f t="array" ref="E22">IFERROR(IF(12&gt;COUNTIF('DONNÉES BRUTES'!C$3:C$42,"Finance"),"",INT(LARGE(IF('DONNÉES BRUTES'!C$3:C$42="Finance",'DONNÉES BRUTES'!AB$3:AB$42+(ROW('DONNÉES BRUTES'!A$3:A$42)-ROW('DONNÉES BRUTES'!A$3))/1000,0),12))&amp;"/100"),"—")</f>
        <v/>
      </c>
      <c r="F22" t="str" cm="1">
        <f t="array" ref="F22">IFERROR(IF(12&gt;COUNTIF('DONNÉES BRUTES'!C$3:C$42,"Finance"),"",INDEX('DONNÉES BRUTES'!Y$3:Y$42,MATCH(LARGE(IF('DONNÉES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G22" t="str" cm="1">
        <f t="array" ref="G22">IFERROR(IF(12&gt;COUNTIF('DONNÉES BRUTES'!C$3:C$42,"Finance"),"",INDEX('DONNÉES BRUTES'!Z$3:Z$42,MATCH(LARGE(IF('DONNÉES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H22" t="str" cm="1">
        <f t="array" ref="H22">IFERROR(IF(12&gt;COUNTIF('DONNÉES BRUTES'!C$3:C$42,"Finance"),"",INDEX('DONNÉES BRUTES'!AA$3:AA$42,MATCH(LARGE(IF('DONNÉES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I22" t="str" cm="1">
        <f t="array" ref="I22">IFERROR(IF(12&gt;COUNTIF('DONNÉES BRUTES'!C$3:C$42,"Finance"),"",INDEX('DONNÉES BRUTES'!M$3:M$42,MATCH(LARGE(IF('DONNÉES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J22" t="str" cm="1">
        <f t="array" ref="J22">IFERROR(IF(12&gt;COUNTIF('DONNÉES BRUTES'!C$3:C$42,"Finance"),"",INDEX('DONNÉES BRUTES'!N$3:N$42,MATCH(LARGE(IF('DONNÉES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K22" t="str" cm="1">
        <f t="array" ref="K22">IFERROR(IF(12&gt;COUNTIF('DONNÉES BRUTES'!C$3:C$42,"Finance"),"",INDEX('DONNÉES BRUTES'!O$3:O$42,MATCH(LARGE(IF('DONNÉES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L22" t="str" cm="1">
        <f t="array" ref="L22">IFERROR(IF(12&gt;COUNTIF('DONNÉES BRUTES'!C$3:C$42,"Finance"),"",INDEX('DONNÉES BRUTES'!P$3:P$42,MATCH(LARGE(IF('DONNÉES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M22" t="str" cm="1">
        <f t="array" ref="M22">IFERROR(IF(12&gt;COUNTIF('DONNÉES BRUTES'!C$3:C$42,"Finance"),"",INDEX('DONNÉES BRUTES'!Q$3:Q$42,MATCH(LARGE(IF('DONNÉES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N22" t="str" cm="1">
        <f t="array" ref="N22">IFERROR(IF(12&gt;COUNTIF('DONNÉES BRUTES'!C$3:C$42,"Finance"),"",INDEX('DONNÉES BRUTES'!S$3:S$42,MATCH(LARGE(IF('DONNÉES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O22" t="str" cm="1">
        <f t="array" ref="O22">IFERROR(IF(12&gt;COUNTIF('DONNÉES BRUTES'!C$3:C$42,"Finance"),"",INDEX('DONNÉES BRUTES'!T$3:T$42,MATCH(LARGE(IF('DONNÉES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P22" t="str" cm="1">
        <f t="array" ref="P22">IFERROR(IF(12&gt;COUNTIF('DONNÉES BRUTES'!C$3:C$42,"Finance"),"",INDEX('DONNÉES BRUTES'!U$3:U$42,MATCH(LARGE(IF('DONNÉES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  <c r="Q22" t="str" cm="1">
        <f t="array" ref="Q22">IFERROR(IF(12&gt;COUNTIF('DONNÉES BRUTES'!C$3:C$42,"Finance"),"",INDEX('DONNÉES BRUTES'!AD$3:AD$42,MATCH(LARGE(IF('DONNÉES BRUTES'!C$3:C$42="Finance",'DONNÉES BRUTES'!AB$3:AB$42+(ROW('DONNÉES BRUTES'!A$3:A$42)-ROW('DONNÉES BRUTES'!A$3))/1000,0),12),IF('DONNÉES BRUTES'!C$3:C$42="Finance",'DONNÉES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BRUTES'!C$3:C$42,"Finance"),"",INDEX('DONNÉES BRUTES'!A$3:A$42,MATCH(LARGE(IF('DONNÉES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D23" t="str" cm="1">
        <f t="array" ref="D23">IFERROR(IF(13&gt;COUNTIF('DONNÉES BRUTES'!C$3:C$42,"Finance"),"",INDEX('DONNÉES BRUTES'!B$3:B$42,MATCH(LARGE(IF('DONNÉES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E23" t="str" cm="1">
        <f t="array" ref="E23">IFERROR(IF(13&gt;COUNTIF('DONNÉES BRUTES'!C$3:C$42,"Finance"),"",INT(LARGE(IF('DONNÉES BRUTES'!C$3:C$42="Finance",'DONNÉES BRUTES'!AB$3:AB$42+(ROW('DONNÉES BRUTES'!A$3:A$42)-ROW('DONNÉES BRUTES'!A$3))/1000,0),13))&amp;"/100"),"—")</f>
        <v/>
      </c>
      <c r="F23" t="str" cm="1">
        <f t="array" ref="F23">IFERROR(IF(13&gt;COUNTIF('DONNÉES BRUTES'!C$3:C$42,"Finance"),"",INDEX('DONNÉES BRUTES'!Y$3:Y$42,MATCH(LARGE(IF('DONNÉES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G23" t="str" cm="1">
        <f t="array" ref="G23">IFERROR(IF(13&gt;COUNTIF('DONNÉES BRUTES'!C$3:C$42,"Finance"),"",INDEX('DONNÉES BRUTES'!Z$3:Z$42,MATCH(LARGE(IF('DONNÉES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H23" t="str" cm="1">
        <f t="array" ref="H23">IFERROR(IF(13&gt;COUNTIF('DONNÉES BRUTES'!C$3:C$42,"Finance"),"",INDEX('DONNÉES BRUTES'!AA$3:AA$42,MATCH(LARGE(IF('DONNÉES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I23" t="str" cm="1">
        <f t="array" ref="I23">IFERROR(IF(13&gt;COUNTIF('DONNÉES BRUTES'!C$3:C$42,"Finance"),"",INDEX('DONNÉES BRUTES'!M$3:M$42,MATCH(LARGE(IF('DONNÉES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J23" t="str" cm="1">
        <f t="array" ref="J23">IFERROR(IF(13&gt;COUNTIF('DONNÉES BRUTES'!C$3:C$42,"Finance"),"",INDEX('DONNÉES BRUTES'!N$3:N$42,MATCH(LARGE(IF('DONNÉES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K23" t="str" cm="1">
        <f t="array" ref="K23">IFERROR(IF(13&gt;COUNTIF('DONNÉES BRUTES'!C$3:C$42,"Finance"),"",INDEX('DONNÉES BRUTES'!O$3:O$42,MATCH(LARGE(IF('DONNÉES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L23" t="str" cm="1">
        <f t="array" ref="L23">IFERROR(IF(13&gt;COUNTIF('DONNÉES BRUTES'!C$3:C$42,"Finance"),"",INDEX('DONNÉES BRUTES'!P$3:P$42,MATCH(LARGE(IF('DONNÉES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M23" t="str" cm="1">
        <f t="array" ref="M23">IFERROR(IF(13&gt;COUNTIF('DONNÉES BRUTES'!C$3:C$42,"Finance"),"",INDEX('DONNÉES BRUTES'!Q$3:Q$42,MATCH(LARGE(IF('DONNÉES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N23" t="str" cm="1">
        <f t="array" ref="N23">IFERROR(IF(13&gt;COUNTIF('DONNÉES BRUTES'!C$3:C$42,"Finance"),"",INDEX('DONNÉES BRUTES'!S$3:S$42,MATCH(LARGE(IF('DONNÉES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O23" t="str" cm="1">
        <f t="array" ref="O23">IFERROR(IF(13&gt;COUNTIF('DONNÉES BRUTES'!C$3:C$42,"Finance"),"",INDEX('DONNÉES BRUTES'!T$3:T$42,MATCH(LARGE(IF('DONNÉES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P23" t="str" cm="1">
        <f t="array" ref="P23">IFERROR(IF(13&gt;COUNTIF('DONNÉES BRUTES'!C$3:C$42,"Finance"),"",INDEX('DONNÉES BRUTES'!U$3:U$42,MATCH(LARGE(IF('DONNÉES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  <c r="Q23" t="str" cm="1">
        <f t="array" ref="Q23">IFERROR(IF(13&gt;COUNTIF('DONNÉES BRUTES'!C$3:C$42,"Finance"),"",INDEX('DONNÉES BRUTES'!AD$3:AD$42,MATCH(LARGE(IF('DONNÉES BRUTES'!C$3:C$42="Finance",'DONNÉES BRUTES'!AB$3:AB$42+(ROW('DONNÉES BRUTES'!A$3:A$42)-ROW('DONNÉES BRUTES'!A$3))/1000,0),13),IF('DONNÉES BRUTES'!C$3:C$42="Finance",'DONNÉES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BRUTES'!C$3:C$42,"Finance"),"",INDEX('DONNÉES BRUTES'!A$3:A$42,MATCH(LARGE(IF('DONNÉES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D24" t="str" cm="1">
        <f t="array" ref="D24">IFERROR(IF(14&gt;COUNTIF('DONNÉES BRUTES'!C$3:C$42,"Finance"),"",INDEX('DONNÉES BRUTES'!B$3:B$42,MATCH(LARGE(IF('DONNÉES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E24" t="str" cm="1">
        <f t="array" ref="E24">IFERROR(IF(14&gt;COUNTIF('DONNÉES BRUTES'!C$3:C$42,"Finance"),"",INT(LARGE(IF('DONNÉES BRUTES'!C$3:C$42="Finance",'DONNÉES BRUTES'!AB$3:AB$42+(ROW('DONNÉES BRUTES'!A$3:A$42)-ROW('DONNÉES BRUTES'!A$3))/1000,0),14))&amp;"/100"),"—")</f>
        <v/>
      </c>
      <c r="F24" t="str" cm="1">
        <f t="array" ref="F24">IFERROR(IF(14&gt;COUNTIF('DONNÉES BRUTES'!C$3:C$42,"Finance"),"",INDEX('DONNÉES BRUTES'!Y$3:Y$42,MATCH(LARGE(IF('DONNÉES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G24" t="str" cm="1">
        <f t="array" ref="G24">IFERROR(IF(14&gt;COUNTIF('DONNÉES BRUTES'!C$3:C$42,"Finance"),"",INDEX('DONNÉES BRUTES'!Z$3:Z$42,MATCH(LARGE(IF('DONNÉES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H24" t="str" cm="1">
        <f t="array" ref="H24">IFERROR(IF(14&gt;COUNTIF('DONNÉES BRUTES'!C$3:C$42,"Finance"),"",INDEX('DONNÉES BRUTES'!AA$3:AA$42,MATCH(LARGE(IF('DONNÉES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I24" t="str" cm="1">
        <f t="array" ref="I24">IFERROR(IF(14&gt;COUNTIF('DONNÉES BRUTES'!C$3:C$42,"Finance"),"",INDEX('DONNÉES BRUTES'!M$3:M$42,MATCH(LARGE(IF('DONNÉES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J24" t="str" cm="1">
        <f t="array" ref="J24">IFERROR(IF(14&gt;COUNTIF('DONNÉES BRUTES'!C$3:C$42,"Finance"),"",INDEX('DONNÉES BRUTES'!N$3:N$42,MATCH(LARGE(IF('DONNÉES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K24" t="str" cm="1">
        <f t="array" ref="K24">IFERROR(IF(14&gt;COUNTIF('DONNÉES BRUTES'!C$3:C$42,"Finance"),"",INDEX('DONNÉES BRUTES'!O$3:O$42,MATCH(LARGE(IF('DONNÉES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L24" t="str" cm="1">
        <f t="array" ref="L24">IFERROR(IF(14&gt;COUNTIF('DONNÉES BRUTES'!C$3:C$42,"Finance"),"",INDEX('DONNÉES BRUTES'!P$3:P$42,MATCH(LARGE(IF('DONNÉES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M24" t="str" cm="1">
        <f t="array" ref="M24">IFERROR(IF(14&gt;COUNTIF('DONNÉES BRUTES'!C$3:C$42,"Finance"),"",INDEX('DONNÉES BRUTES'!Q$3:Q$42,MATCH(LARGE(IF('DONNÉES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N24" t="str" cm="1">
        <f t="array" ref="N24">IFERROR(IF(14&gt;COUNTIF('DONNÉES BRUTES'!C$3:C$42,"Finance"),"",INDEX('DONNÉES BRUTES'!S$3:S$42,MATCH(LARGE(IF('DONNÉES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O24" t="str" cm="1">
        <f t="array" ref="O24">IFERROR(IF(14&gt;COUNTIF('DONNÉES BRUTES'!C$3:C$42,"Finance"),"",INDEX('DONNÉES BRUTES'!T$3:T$42,MATCH(LARGE(IF('DONNÉES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P24" t="str" cm="1">
        <f t="array" ref="P24">IFERROR(IF(14&gt;COUNTIF('DONNÉES BRUTES'!C$3:C$42,"Finance"),"",INDEX('DONNÉES BRUTES'!U$3:U$42,MATCH(LARGE(IF('DONNÉES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  <c r="Q24" t="str" cm="1">
        <f t="array" ref="Q24">IFERROR(IF(14&gt;COUNTIF('DONNÉES BRUTES'!C$3:C$42,"Finance"),"",INDEX('DONNÉES BRUTES'!AD$3:AD$42,MATCH(LARGE(IF('DONNÉES BRUTES'!C$3:C$42="Finance",'DONNÉES BRUTES'!AB$3:AB$42+(ROW('DONNÉES BRUTES'!A$3:A$42)-ROW('DONNÉES BRUTES'!A$3))/1000,0),14),IF('DONNÉES BRUTES'!C$3:C$42="Finance",'DONNÉES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BRUTES'!C$3:C$42,"Finance"),"",INDEX('DONNÉES BRUTES'!A$3:A$42,MATCH(LARGE(IF('DONNÉES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D25" t="str" cm="1">
        <f t="array" ref="D25">IFERROR(IF(15&gt;COUNTIF('DONNÉES BRUTES'!C$3:C$42,"Finance"),"",INDEX('DONNÉES BRUTES'!B$3:B$42,MATCH(LARGE(IF('DONNÉES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E25" t="str" cm="1">
        <f t="array" ref="E25">IFERROR(IF(15&gt;COUNTIF('DONNÉES BRUTES'!C$3:C$42,"Finance"),"",INT(LARGE(IF('DONNÉES BRUTES'!C$3:C$42="Finance",'DONNÉES BRUTES'!AB$3:AB$42+(ROW('DONNÉES BRUTES'!A$3:A$42)-ROW('DONNÉES BRUTES'!A$3))/1000,0),15))&amp;"/100"),"—")</f>
        <v/>
      </c>
      <c r="F25" t="str" cm="1">
        <f t="array" ref="F25">IFERROR(IF(15&gt;COUNTIF('DONNÉES BRUTES'!C$3:C$42,"Finance"),"",INDEX('DONNÉES BRUTES'!Y$3:Y$42,MATCH(LARGE(IF('DONNÉES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G25" t="str" cm="1">
        <f t="array" ref="G25">IFERROR(IF(15&gt;COUNTIF('DONNÉES BRUTES'!C$3:C$42,"Finance"),"",INDEX('DONNÉES BRUTES'!Z$3:Z$42,MATCH(LARGE(IF('DONNÉES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H25" t="str" cm="1">
        <f t="array" ref="H25">IFERROR(IF(15&gt;COUNTIF('DONNÉES BRUTES'!C$3:C$42,"Finance"),"",INDEX('DONNÉES BRUTES'!AA$3:AA$42,MATCH(LARGE(IF('DONNÉES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I25" t="str" cm="1">
        <f t="array" ref="I25">IFERROR(IF(15&gt;COUNTIF('DONNÉES BRUTES'!C$3:C$42,"Finance"),"",INDEX('DONNÉES BRUTES'!M$3:M$42,MATCH(LARGE(IF('DONNÉES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J25" t="str" cm="1">
        <f t="array" ref="J25">IFERROR(IF(15&gt;COUNTIF('DONNÉES BRUTES'!C$3:C$42,"Finance"),"",INDEX('DONNÉES BRUTES'!N$3:N$42,MATCH(LARGE(IF('DONNÉES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K25" t="str" cm="1">
        <f t="array" ref="K25">IFERROR(IF(15&gt;COUNTIF('DONNÉES BRUTES'!C$3:C$42,"Finance"),"",INDEX('DONNÉES BRUTES'!O$3:O$42,MATCH(LARGE(IF('DONNÉES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L25" t="str" cm="1">
        <f t="array" ref="L25">IFERROR(IF(15&gt;COUNTIF('DONNÉES BRUTES'!C$3:C$42,"Finance"),"",INDEX('DONNÉES BRUTES'!P$3:P$42,MATCH(LARGE(IF('DONNÉES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M25" t="str" cm="1">
        <f t="array" ref="M25">IFERROR(IF(15&gt;COUNTIF('DONNÉES BRUTES'!C$3:C$42,"Finance"),"",INDEX('DONNÉES BRUTES'!Q$3:Q$42,MATCH(LARGE(IF('DONNÉES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N25" t="str" cm="1">
        <f t="array" ref="N25">IFERROR(IF(15&gt;COUNTIF('DONNÉES BRUTES'!C$3:C$42,"Finance"),"",INDEX('DONNÉES BRUTES'!S$3:S$42,MATCH(LARGE(IF('DONNÉES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O25" t="str" cm="1">
        <f t="array" ref="O25">IFERROR(IF(15&gt;COUNTIF('DONNÉES BRUTES'!C$3:C$42,"Finance"),"",INDEX('DONNÉES BRUTES'!T$3:T$42,MATCH(LARGE(IF('DONNÉES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P25" t="str" cm="1">
        <f t="array" ref="P25">IFERROR(IF(15&gt;COUNTIF('DONNÉES BRUTES'!C$3:C$42,"Finance"),"",INDEX('DONNÉES BRUTES'!U$3:U$42,MATCH(LARGE(IF('DONNÉES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  <c r="Q25" t="str" cm="1">
        <f t="array" ref="Q25">IFERROR(IF(15&gt;COUNTIF('DONNÉES BRUTES'!C$3:C$42,"Finance"),"",INDEX('DONNÉES BRUTES'!AD$3:AD$42,MATCH(LARGE(IF('DONNÉES BRUTES'!C$3:C$42="Finance",'DONNÉES BRUTES'!AB$3:AB$42+(ROW('DONNÉES BRUTES'!A$3:A$42)-ROW('DONNÉES BRUTES'!A$3))/1000,0),15),IF('DONNÉES BRUTES'!C$3:C$42="Finance",'DONNÉES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t="s">
        <v>1</v>
      </c>
      <c r="T28" t="s">
        <v>8</v>
      </c>
      <c r="U28" t="s">
        <v>136</v>
      </c>
      <c r="V28" t="s">
        <v>137</v>
      </c>
      <c r="W28" t="s">
        <v>138</v>
      </c>
      <c r="Y28" t="s">
        <v>1</v>
      </c>
      <c r="Z28" t="s">
        <v>136</v>
      </c>
      <c r="AA28" t="s">
        <v>137</v>
      </c>
      <c r="AB28" t="s">
        <v>138</v>
      </c>
    </row>
    <row r="29" spans="3:28" ht="15.9" customHeight="1" x14ac:dyDescent="0.3">
      <c r="S29" t="str">
        <f>IF(D11="","",LEFT(D11,14))</f>
        <v>Société Généra</v>
      </c>
      <c r="T29">
        <f>IF(E11="","",IFERROR(VALUE(LEFT(E11,FIND("/",E11)-1)),0))</f>
        <v>47</v>
      </c>
      <c r="U29">
        <f t="shared" ref="U29:W32" si="0">IF(ISNUMBER(F11),F11,0)</f>
        <v>65</v>
      </c>
      <c r="V29">
        <f t="shared" si="0"/>
        <v>47</v>
      </c>
      <c r="W29">
        <f t="shared" si="0"/>
        <v>81</v>
      </c>
      <c r="X29">
        <f t="shared" ref="X29:Z32" si="1">IF(ISNUMBER(F11),F11,"")</f>
        <v>65</v>
      </c>
      <c r="Y29">
        <f t="shared" si="1"/>
        <v>47</v>
      </c>
      <c r="Z29">
        <f t="shared" si="1"/>
        <v>81</v>
      </c>
      <c r="AA29">
        <v>92</v>
      </c>
      <c r="AB29">
        <v>82</v>
      </c>
    </row>
    <row r="30" spans="3:28" ht="15.9" customHeight="1" x14ac:dyDescent="0.3">
      <c r="S30" t="str">
        <f>IF(D12="","",LEFT(D12,14))</f>
        <v>Banco Santande</v>
      </c>
      <c r="T30">
        <f>IF(E12="","",IFERROR(VALUE(LEFT(E12,FIND("/",E12)-1)),0))</f>
        <v>41</v>
      </c>
      <c r="U30">
        <f t="shared" si="0"/>
        <v>34</v>
      </c>
      <c r="V30">
        <f t="shared" si="0"/>
        <v>17</v>
      </c>
      <c r="W30">
        <f t="shared" si="0"/>
        <v>74</v>
      </c>
      <c r="X30">
        <f t="shared" si="1"/>
        <v>34</v>
      </c>
      <c r="Y30">
        <f t="shared" si="1"/>
        <v>17</v>
      </c>
      <c r="Z30">
        <f t="shared" si="1"/>
        <v>74</v>
      </c>
      <c r="AA30">
        <v>28</v>
      </c>
      <c r="AB30">
        <v>92</v>
      </c>
    </row>
    <row r="31" spans="3:28" ht="15.9" customHeight="1" x14ac:dyDescent="0.3">
      <c r="S31" t="str">
        <f>IF(D13="","",LEFT(D13,14))</f>
        <v xml:space="preserve">HSBC Holdings </v>
      </c>
      <c r="T31">
        <f>IF(E13="","",IFERROR(VALUE(LEFT(E13,FIND("/",E13)-1)),0))</f>
        <v>39</v>
      </c>
      <c r="U31">
        <f t="shared" si="0"/>
        <v>35</v>
      </c>
      <c r="V31">
        <f t="shared" si="0"/>
        <v>32</v>
      </c>
      <c r="W31">
        <f t="shared" si="0"/>
        <v>79</v>
      </c>
      <c r="X31">
        <f t="shared" si="1"/>
        <v>35</v>
      </c>
      <c r="Y31">
        <f t="shared" si="1"/>
        <v>32</v>
      </c>
      <c r="Z31">
        <f t="shared" si="1"/>
        <v>79</v>
      </c>
      <c r="AA31">
        <v>64</v>
      </c>
      <c r="AB31">
        <v>95</v>
      </c>
    </row>
    <row r="32" spans="3:28" x14ac:dyDescent="0.3">
      <c r="S32" t="str">
        <f>IF(D14="","",LEFT(D14,14))</f>
        <v>Münchener Rück</v>
      </c>
      <c r="T32">
        <f>IF(E14="","",IFERROR(VALUE(LEFT(E14,FIND("/",E14)-1)),0))</f>
        <v>36</v>
      </c>
      <c r="U32">
        <f t="shared" si="0"/>
        <v>71</v>
      </c>
      <c r="V32">
        <f t="shared" si="0"/>
        <v>37</v>
      </c>
      <c r="W32">
        <f t="shared" si="0"/>
        <v>26</v>
      </c>
      <c r="X32">
        <f t="shared" si="1"/>
        <v>71</v>
      </c>
      <c r="Y32">
        <f t="shared" si="1"/>
        <v>37</v>
      </c>
      <c r="Z32">
        <f t="shared" si="1"/>
        <v>26</v>
      </c>
      <c r="AA32">
        <v>46</v>
      </c>
      <c r="AB32">
        <v>26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39"/>
  <sheetViews>
    <sheetView showGridLines="0" zoomScale="90" workbookViewId="0">
      <selection activeCell="J25" sqref="J2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3" width="8" customWidth="1"/>
    <col min="14" max="14" width="6.44140625" customWidth="1"/>
    <col min="15" max="15" width="7.33203125" customWidth="1"/>
    <col min="16" max="17" width="6.44140625" customWidth="1"/>
  </cols>
  <sheetData>
    <row r="1" spans="1:17" ht="32.1" customHeight="1" thickBot="1" x14ac:dyDescent="0.35">
      <c r="A1" s="102" t="str" cm="1">
        <f t="array" ref="A1">"FinSight IA  ·  Industrials  ·  CAC 40  ·  "&amp;COUNTA(_xlfn._xlws.FILTER('DONNÉES BRUTES'!A$3:A$42,'DONNÉES BRUTES'!C$3:C$42="Industrie"))&amp;" sociétés  ·  22/03/2026"</f>
        <v>FinSight IA  ·  Industrials  ·  CAC 40  ·  4 sociétés  ·  22/03/2026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</row>
    <row r="2" spans="1:17" ht="3.9" customHeight="1" x14ac:dyDescent="0.3">
      <c r="A2" s="113" t="s">
        <v>407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</row>
    <row r="3" spans="1:17" ht="15.9" customHeight="1" x14ac:dyDescent="0.3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</row>
    <row r="4" spans="1:17" ht="6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7" ht="18" customHeight="1" x14ac:dyDescent="0.3">
      <c r="A5" s="133"/>
      <c r="B5" s="130" cm="1">
        <f t="array" ref="B5">COUNTA(_xlfn._xlws.FILTER('DONNÉES BRUTES'!A$3:A$42,'DONNÉES BRUTES'!C$3:C$42="Industrie"))</f>
        <v>4</v>
      </c>
      <c r="C5" s="121"/>
      <c r="D5" s="121"/>
      <c r="E5" s="120" t="s">
        <v>368</v>
      </c>
      <c r="F5" s="120"/>
      <c r="G5" s="120"/>
      <c r="H5" s="120" t="s">
        <v>71</v>
      </c>
      <c r="I5" s="120"/>
      <c r="J5" s="120"/>
      <c r="L5" s="186" t="s">
        <v>30</v>
      </c>
      <c r="N5" s="187" cm="1">
        <f t="array" ref="N5">IFERROR(ROUND(MEDIAN(IF('DONNÉES BRUTES'!C$3:C$42="Industrie",IF(ISNUMBER('DONNÉES BRUTES'!Y$3:Y$42),'DONNÉES BRUTES'!Y$3:Y$42))),0),"—")</f>
        <v>57</v>
      </c>
      <c r="P5" s="188" t="s">
        <v>171</v>
      </c>
    </row>
    <row r="6" spans="1:17" ht="15.9" customHeight="1" x14ac:dyDescent="0.3">
      <c r="A6" s="137"/>
      <c r="B6" s="138" t="s">
        <v>408</v>
      </c>
      <c r="C6" s="139"/>
      <c r="D6" s="139"/>
      <c r="E6" s="136" t="s">
        <v>409</v>
      </c>
      <c r="F6" s="136"/>
      <c r="G6" s="136"/>
      <c r="H6" s="136" t="s">
        <v>410</v>
      </c>
      <c r="I6" s="136"/>
      <c r="J6" s="136"/>
      <c r="L6" s="189" t="s">
        <v>382</v>
      </c>
      <c r="N6" s="189" t="s">
        <v>411</v>
      </c>
      <c r="P6" s="190" t="s">
        <v>3</v>
      </c>
    </row>
    <row r="7" spans="1:17" ht="15.9" customHeight="1" x14ac:dyDescent="0.3">
      <c r="A7" s="135"/>
      <c r="B7" s="132"/>
      <c r="C7" s="127"/>
      <c r="D7" s="127"/>
      <c r="E7" s="128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9"/>
    </row>
    <row r="8" spans="1:17" ht="15.9" customHeight="1" x14ac:dyDescent="0.3">
      <c r="A8" s="134"/>
      <c r="B8" s="131" t="str" cm="1">
        <f t="array" ref="B8">"ANALYSE DÉTAILLÉE  ·  "&amp;UPPER("Industrie")&amp;"  ·  "&amp;COUNTA(_xlfn._xlws.FILTER('DONNÉES BRUTES'!A$3:A$42,'DONNÉES BRUTES'!C$3:C$42="Industrie"))&amp;" sociétés  ·  Triée par Score Global"</f>
        <v>ANALYSE DÉTAILLÉE  ·  INDUSTRIE  ·  4 sociétés  ·  Triée par Score Global</v>
      </c>
      <c r="C8" s="123"/>
      <c r="D8" s="123"/>
      <c r="E8" s="124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5"/>
    </row>
    <row r="9" spans="1:17" ht="15.9" customHeight="1" x14ac:dyDescent="0.3">
      <c r="A9" s="135"/>
      <c r="B9" s="271"/>
      <c r="C9" s="272"/>
      <c r="D9" s="272"/>
      <c r="E9" s="273"/>
      <c r="F9" s="274"/>
      <c r="G9" s="274"/>
      <c r="H9" s="274"/>
      <c r="I9" s="274"/>
      <c r="J9" s="274"/>
      <c r="K9" s="274"/>
      <c r="L9" s="274"/>
      <c r="M9" s="274"/>
      <c r="N9" s="274"/>
      <c r="O9" s="275"/>
      <c r="P9" s="276"/>
    </row>
    <row r="10" spans="1:17" ht="15.9" customHeight="1" x14ac:dyDescent="0.3">
      <c r="A10" s="269"/>
      <c r="B10" s="284" t="s">
        <v>133</v>
      </c>
      <c r="C10" s="285" t="s">
        <v>6</v>
      </c>
      <c r="D10" s="285" t="s">
        <v>1</v>
      </c>
      <c r="E10" s="286" t="s">
        <v>8</v>
      </c>
      <c r="F10" s="287" t="s">
        <v>412</v>
      </c>
      <c r="G10" s="287" t="s">
        <v>413</v>
      </c>
      <c r="H10" s="287" t="s">
        <v>414</v>
      </c>
      <c r="I10" s="287" t="s">
        <v>415</v>
      </c>
      <c r="J10" s="287" t="s">
        <v>340</v>
      </c>
      <c r="K10" s="287" t="s">
        <v>416</v>
      </c>
      <c r="L10" s="287" t="s">
        <v>341</v>
      </c>
      <c r="M10" s="287" t="s">
        <v>147</v>
      </c>
      <c r="N10" s="287" t="s">
        <v>417</v>
      </c>
      <c r="O10" s="288" t="s">
        <v>418</v>
      </c>
      <c r="P10" s="289" t="s">
        <v>14</v>
      </c>
      <c r="Q10" s="283" t="s">
        <v>3</v>
      </c>
    </row>
    <row r="11" spans="1:17" ht="15.9" customHeight="1" x14ac:dyDescent="0.3">
      <c r="A11" s="270"/>
      <c r="B11" s="420">
        <v>1</v>
      </c>
      <c r="C11" s="421" t="str" cm="1">
        <f t="array" ref="C11">IFERROR(IF(1&gt;COUNTIF('DONNÉES BRUTES'!C$3:C$42,"Industrie"),"",INDEX('DONNÉES BRUTES'!A$3:A$42,MATCH(LARGE(IF('DONNÉES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SIE.DE</v>
      </c>
      <c r="D11" s="421" t="str" cm="1">
        <f t="array" ref="D11">IFERROR(IF(1&gt;COUNTIF('DONNÉES BRUTES'!C$3:C$42,"Industrie"),"",INDEX('DONNÉES BRUTES'!B$3:B$42,MATCH(LARGE(IF('DONNÉES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Siemens Aktiengesellschaft</v>
      </c>
      <c r="E11" s="422" t="str" cm="1">
        <f t="array" ref="E11">IFERROR(IF(1&gt;COUNTIF('DONNÉES BRUTES'!C$3:C$42,"Industrie"),"",INT(LARGE(IF('DONNÉES BRUTES'!C$3:C$42="Industrie",'DONNÉES BRUTES'!AB$3:AB$42+(ROW('DONNÉES BRUTES'!A$3:A$42)-ROW('DONNÉES BRUTES'!A$3))/1000,0),1))&amp;"/100"),"—")</f>
        <v>48/100</v>
      </c>
      <c r="F11" s="423" cm="1">
        <f t="array" ref="F11">IFERROR(IF(1&gt;COUNTIF('DONNÉES BRUTES'!C$3:C$42,"Industrie"),"",INDEX('DONNÉES BRUTES'!Y$3:Y$42,MATCH(LARGE(IF('DONNÉES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48</v>
      </c>
      <c r="G11" s="423" cm="1">
        <f t="array" ref="G11">IFERROR(IF(1&gt;COUNTIF('DONNÉES BRUTES'!C$3:C$42,"Industrie"),"",INDEX('DONNÉES BRUTES'!Z$3:Z$42,MATCH(LARGE(IF('DONNÉES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46</v>
      </c>
      <c r="H11" s="423" cm="1">
        <f t="array" ref="H11">IFERROR(IF(1&gt;COUNTIF('DONNÉES BRUTES'!C$3:C$42,"Industrie"),"",INDEX('DONNÉES BRUTES'!AA$3:AA$42,MATCH(LARGE(IF('DONNÉES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40</v>
      </c>
      <c r="I11" s="423" t="str" cm="1">
        <f t="array" ref="I11">IFERROR(IF(1&gt;COUNTIF('DONNÉES BRUTES'!C$3:C$42,"Industrie"),"",INDEX('DONNÉES BRUTES'!M$3:M$42,MATCH(LARGE(IF('DONNÉES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38.5%</v>
      </c>
      <c r="J11" s="423" t="str" cm="1">
        <f t="array" ref="J11">IFERROR(IF(1&gt;COUNTIF('DONNÉES BRUTES'!C$3:C$42,"Industrie"),"",INDEX('DONNÉES BRUTES'!N$3:N$42,MATCH(LARGE(IF('DONNÉES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20.1%</v>
      </c>
      <c r="K11" s="423" t="str" cm="1">
        <f t="array" ref="K11">IFERROR(IF(1&gt;COUNTIF('DONNÉES BRUTES'!C$3:C$42,"Industrie"),"",INDEX('DONNÉES BRUTES'!O$3:O$42,MATCH(LARGE(IF('DONNÉES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12.2%</v>
      </c>
      <c r="L11" s="423" t="str" cm="1">
        <f t="array" ref="L11">IFERROR(IF(1&gt;COUNTIF('DONNÉES BRUTES'!C$3:C$42,"Industrie"),"",INDEX('DONNÉES BRUTES'!P$3:P$42,MATCH(LARGE(IF('DONNÉES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+3.9%</v>
      </c>
      <c r="M11" s="423" t="str" cm="1">
        <f t="array" ref="M11">IFERROR(IF(1&gt;COUNTIF('DONNÉES BRUTES'!C$3:C$42,"Industrie"),"",INDEX('DONNÉES BRUTES'!Q$3:Q$42,MATCH(LARGE(IF('DONNÉES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+15.5%</v>
      </c>
      <c r="N11" s="423" cm="1">
        <f t="array" ref="N11">IFERROR(IF(1&gt;COUNTIF('DONNÉES BRUTES'!C$3:C$42,"Industrie"),"",INDEX('DONNÉES BRUTES'!S$3:S$42,MATCH(LARGE(IF('DONNÉES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1.37</v>
      </c>
      <c r="O11" s="424" t="str" cm="1">
        <f t="array" ref="O11">IFERROR(IF(1&gt;COUNTIF('DONNÉES BRUTES'!C$3:C$42,"Industrie"),"",INDEX('DONNÉES BRUTES'!T$3:T$42,MATCH(LARGE(IF('DONNÉES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2.4x</v>
      </c>
      <c r="P11" s="425" cm="1">
        <f t="array" ref="P11">IFERROR(IF(1&gt;COUNTIF('DONNÉES BRUTES'!C$3:C$42,"Industrie"),"",INDEX('DONNÉES BRUTES'!U$3:U$42,MATCH(LARGE(IF('DONNÉES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2.83</v>
      </c>
      <c r="Q11" s="407" t="str" cm="1">
        <f t="array" ref="Q11">IFERROR(IF(1&gt;COUNTIF('DONNÉES BRUTES'!C$3:C$42,"Industrie"),"",INDEX('DONNÉES BRUTES'!AD$3:AD$42,MATCH(LARGE(IF('DONNÉES BRUTES'!C$3:C$42="Industrie",'DONNÉES BRUTES'!AB$3:AB$42+(ROW('DONNÉES BRUTES'!A$3:A$42)-ROW('DONNÉES BRUTES'!A$3))/1000,0),1),IF('DONNÉES BRUTES'!C$3:C$42="Industrie",'DONNÉES BRUTES'!AB$3:AB$42+(ROW('DONNÉES BRUTES'!A$3:A$42)-ROW('DONNÉES BRUTES'!A$3))/1000,0),0))),"—")</f>
        <v>Neutre</v>
      </c>
    </row>
    <row r="12" spans="1:17" ht="15.9" customHeight="1" x14ac:dyDescent="0.3">
      <c r="A12" s="269"/>
      <c r="B12" s="302">
        <v>2</v>
      </c>
      <c r="C12" s="303" t="str" cm="1">
        <f t="array" ref="C12">IFERROR(IF(2&gt;COUNTIF('DONNÉES BRUTES'!C$3:C$42,"Industrie"),"",INDEX('DONNÉES BRUTES'!A$3:A$42,MATCH(LARGE(IF('DONNÉES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SU.PA</v>
      </c>
      <c r="D12" s="303" t="str" cm="1">
        <f t="array" ref="D12">IFERROR(IF(2&gt;COUNTIF('DONNÉES BRUTES'!C$3:C$42,"Industrie"),"",INDEX('DONNÉES BRUTES'!B$3:B$42,MATCH(LARGE(IF('DONNÉES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Schneider Electric S.E.</v>
      </c>
      <c r="E12" s="304" t="str" cm="1">
        <f t="array" ref="E12">IFERROR(IF(2&gt;COUNTIF('DONNÉES BRUTES'!C$3:C$42,"Industrie"),"",INT(LARGE(IF('DONNÉES BRUTES'!C$3:C$42="Industrie",'DONNÉES BRUTES'!AB$3:AB$42+(ROW('DONNÉES BRUTES'!A$3:A$42)-ROW('DONNÉES BRUTES'!A$3))/1000,0),2))&amp;"/100"),"—")</f>
        <v>46/100</v>
      </c>
      <c r="F12" s="305" cm="1">
        <f t="array" ref="F12">IFERROR(IF(2&gt;COUNTIF('DONNÉES BRUTES'!C$3:C$42,"Industrie"),"",INDEX('DONNÉES BRUTES'!Y$3:Y$42,MATCH(LARGE(IF('DONNÉES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60</v>
      </c>
      <c r="G12" s="305" cm="1">
        <f t="array" ref="G12">IFERROR(IF(2&gt;COUNTIF('DONNÉES BRUTES'!C$3:C$42,"Industrie"),"",INDEX('DONNÉES BRUTES'!Z$3:Z$42,MATCH(LARGE(IF('DONNÉES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31</v>
      </c>
      <c r="H12" s="305" cm="1">
        <f t="array" ref="H12">IFERROR(IF(2&gt;COUNTIF('DONNÉES BRUTES'!C$3:C$42,"Industrie"),"",INDEX('DONNÉES BRUTES'!AA$3:AA$42,MATCH(LARGE(IF('DONNÉES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53</v>
      </c>
      <c r="I12" s="305" t="str" cm="1">
        <f t="array" ref="I12">IFERROR(IF(2&gt;COUNTIF('DONNÉES BRUTES'!C$3:C$42,"Industrie"),"",INDEX('DONNÉES BRUTES'!M$3:M$42,MATCH(LARGE(IF('DONNÉES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42.1%</v>
      </c>
      <c r="J12" s="305" t="str" cm="1">
        <f t="array" ref="J12">IFERROR(IF(2&gt;COUNTIF('DONNÉES BRUTES'!C$3:C$42,"Industrie"),"",INDEX('DONNÉES BRUTES'!N$3:N$42,MATCH(LARGE(IF('DONNÉES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20.9%</v>
      </c>
      <c r="K12" s="305" t="str" cm="1">
        <f t="array" ref="K12">IFERROR(IF(2&gt;COUNTIF('DONNÉES BRUTES'!C$3:C$42,"Industrie"),"",INDEX('DONNÉES BRUTES'!O$3:O$42,MATCH(LARGE(IF('DONNÉES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10.4%</v>
      </c>
      <c r="L12" s="305" t="str" cm="1">
        <f t="array" ref="L12">IFERROR(IF(2&gt;COUNTIF('DONNÉES BRUTES'!C$3:C$42,"Industrie"),"",INDEX('DONNÉES BRUTES'!P$3:P$42,MATCH(LARGE(IF('DONNÉES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+5.2%</v>
      </c>
      <c r="M12" s="305" t="str" cm="1">
        <f t="array" ref="M12">IFERROR(IF(2&gt;COUNTIF('DONNÉES BRUTES'!C$3:C$42,"Industrie"),"",INDEX('DONNÉES BRUTES'!Q$3:Q$42,MATCH(LARGE(IF('DONNÉES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+17.2%</v>
      </c>
      <c r="N12" s="305" cm="1">
        <f t="array" ref="N12">IFERROR(IF(2&gt;COUNTIF('DONNÉES BRUTES'!C$3:C$42,"Industrie"),"",INDEX('DONNÉES BRUTES'!S$3:S$42,MATCH(LARGE(IF('DONNÉES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1.19</v>
      </c>
      <c r="O12" s="306" t="str" cm="1">
        <f t="array" ref="O12">IFERROR(IF(2&gt;COUNTIF('DONNÉES BRUTES'!C$3:C$42,"Industrie"),"",INDEX('DONNÉES BRUTES'!T$3:T$42,MATCH(LARGE(IF('DONNÉES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1.6x</v>
      </c>
      <c r="P12" s="307" t="str" cm="1">
        <f t="array" ref="P12">IFERROR(IF(2&gt;COUNTIF('DONNÉES BRUTES'!C$3:C$42,"Industrie"),"",INDEX('DONNÉES BRUTES'!U$3:U$42,MATCH(LARGE(IF('DONNÉES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—</v>
      </c>
      <c r="Q12" s="410" t="str" cm="1">
        <f t="array" ref="Q12">IFERROR(IF(2&gt;COUNTIF('DONNÉES BRUTES'!C$3:C$42,"Industrie"),"",INDEX('DONNÉES BRUTES'!AD$3:AD$42,MATCH(LARGE(IF('DONNÉES BRUTES'!C$3:C$42="Industrie",'DONNÉES BRUTES'!AB$3:AB$42+(ROW('DONNÉES BRUTES'!A$3:A$42)-ROW('DONNÉES BRUTES'!A$3))/1000,0),2),IF('DONNÉES BRUTES'!C$3:C$42="Industrie",'DONNÉES BRUTES'!AB$3:AB$42+(ROW('DONNÉES BRUTES'!A$3:A$42)-ROW('DONNÉES BRUTES'!A$3))/1000,0),0))),"—")</f>
        <v>Neutre</v>
      </c>
    </row>
    <row r="13" spans="1:17" ht="15.9" customHeight="1" x14ac:dyDescent="0.3">
      <c r="A13" s="270"/>
      <c r="B13" s="290">
        <v>3</v>
      </c>
      <c r="C13" s="291" t="str" cm="1">
        <f t="array" ref="C13">IFERROR(IF(3&gt;COUNTIF('DONNÉES BRUTES'!C$3:C$42,"Industrie"),"",INDEX('DONNÉES BRUTES'!A$3:A$42,MATCH(LARGE(IF('DONNÉES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AIR.PA</v>
      </c>
      <c r="D13" s="291" t="str" cm="1">
        <f t="array" ref="D13">IFERROR(IF(3&gt;COUNTIF('DONNÉES BRUTES'!C$3:C$42,"Industrie"),"",INDEX('DONNÉES BRUTES'!B$3:B$42,MATCH(LARGE(IF('DONNÉES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Airbus SE</v>
      </c>
      <c r="E13" s="292" t="str" cm="1">
        <f t="array" ref="E13">IFERROR(IF(3&gt;COUNTIF('DONNÉES BRUTES'!C$3:C$42,"Industrie"),"",INT(LARGE(IF('DONNÉES BRUTES'!C$3:C$42="Industrie",'DONNÉES BRUTES'!AB$3:AB$42+(ROW('DONNÉES BRUTES'!A$3:A$42)-ROW('DONNÉES BRUTES'!A$3))/1000,0),3))&amp;"/100"),"—")</f>
        <v>37/100</v>
      </c>
      <c r="F13" s="293" cm="1">
        <f t="array" ref="F13">IFERROR(IF(3&gt;COUNTIF('DONNÉES BRUTES'!C$3:C$42,"Industrie"),"",INDEX('DONNÉES BRUTES'!Y$3:Y$42,MATCH(LARGE(IF('DONNÉES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62</v>
      </c>
      <c r="G13" s="293" cm="1">
        <f t="array" ref="G13">IFERROR(IF(3&gt;COUNTIF('DONNÉES BRUTES'!C$3:C$42,"Industrie"),"",INDEX('DONNÉES BRUTES'!Z$3:Z$42,MATCH(LARGE(IF('DONNÉES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45</v>
      </c>
      <c r="H13" s="293" cm="1">
        <f t="array" ref="H13">IFERROR(IF(3&gt;COUNTIF('DONNÉES BRUTES'!C$3:C$42,"Industrie"),"",INDEX('DONNÉES BRUTES'!AA$3:AA$42,MATCH(LARGE(IF('DONNÉES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32</v>
      </c>
      <c r="I13" s="293" t="str" cm="1">
        <f t="array" ref="I13">IFERROR(IF(3&gt;COUNTIF('DONNÉES BRUTES'!C$3:C$42,"Industrie"),"",INDEX('DONNÉES BRUTES'!M$3:M$42,MATCH(LARGE(IF('DONNÉES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14.9%</v>
      </c>
      <c r="J13" s="293" t="str" cm="1">
        <f t="array" ref="J13">IFERROR(IF(3&gt;COUNTIF('DONNÉES BRUTES'!C$3:C$42,"Industrie"),"",INDEX('DONNÉES BRUTES'!N$3:N$42,MATCH(LARGE(IF('DONNÉES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14.0%</v>
      </c>
      <c r="K13" s="293" t="str" cm="1">
        <f t="array" ref="K13">IFERROR(IF(3&gt;COUNTIF('DONNÉES BRUTES'!C$3:C$42,"Industrie"),"",INDEX('DONNÉES BRUTES'!O$3:O$42,MATCH(LARGE(IF('DONNÉES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7.1%</v>
      </c>
      <c r="L13" s="293" t="str" cm="1">
        <f t="array" ref="L13">IFERROR(IF(3&gt;COUNTIF('DONNÉES BRUTES'!C$3:C$42,"Industrie"),"",INDEX('DONNÉES BRUTES'!P$3:P$42,MATCH(LARGE(IF('DONNÉES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+6.1%</v>
      </c>
      <c r="M13" s="293" t="str" cm="1">
        <f t="array" ref="M13">IFERROR(IF(3&gt;COUNTIF('DONNÉES BRUTES'!C$3:C$42,"Industrie"),"",INDEX('DONNÉES BRUTES'!Q$3:Q$42,MATCH(LARGE(IF('DONNÉES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+20.0%</v>
      </c>
      <c r="N13" s="293" cm="1">
        <f t="array" ref="N13">IFERROR(IF(3&gt;COUNTIF('DONNÉES BRUTES'!C$3:C$42,"Industrie"),"",INDEX('DONNÉES BRUTES'!S$3:S$42,MATCH(LARGE(IF('DONNÉES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1.1599999999999999</v>
      </c>
      <c r="O13" s="294" t="str" cm="1">
        <f t="array" ref="O13">IFERROR(IF(3&gt;COUNTIF('DONNÉES BRUTES'!C$3:C$42,"Industrie"),"",INDEX('DONNÉES BRUTES'!T$3:T$42,MATCH(LARGE(IF('DONNÉES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-0.5x</v>
      </c>
      <c r="P13" s="295" cm="1">
        <f t="array" ref="P13">IFERROR(IF(3&gt;COUNTIF('DONNÉES BRUTES'!C$3:C$42,"Industrie"),"",INDEX('DONNÉES BRUTES'!U$3:U$42,MATCH(LARGE(IF('DONNÉES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1.64</v>
      </c>
      <c r="Q13" s="413" t="str" cm="1">
        <f t="array" ref="Q13">IFERROR(IF(3&gt;COUNTIF('DONNÉES BRUTES'!C$3:C$42,"Industrie"),"",INDEX('DONNÉES BRUTES'!AD$3:AD$42,MATCH(LARGE(IF('DONNÉES BRUTES'!C$3:C$42="Industrie",'DONNÉES BRUTES'!AB$3:AB$42+(ROW('DONNÉES BRUTES'!A$3:A$42)-ROW('DONNÉES BRUTES'!A$3))/1000,0),3),IF('DONNÉES BRUTES'!C$3:C$42="Industrie",'DONNÉES BRUTES'!AB$3:AB$42+(ROW('DONNÉES BRUTES'!A$3:A$42)-ROW('DONNÉES BRUTES'!A$3))/1000,0),0))),"—")</f>
        <v>Sous-pondérer</v>
      </c>
    </row>
    <row r="14" spans="1:17" ht="15.9" customHeight="1" x14ac:dyDescent="0.3">
      <c r="A14" s="269"/>
      <c r="B14" s="296">
        <v>4</v>
      </c>
      <c r="C14" s="297" t="str" cm="1">
        <f t="array" ref="C14">IFERROR(IF(4&gt;COUNTIF('DONNÉES BRUTES'!C$3:C$42,"Industrie"),"",INDEX('DONNÉES BRUTES'!A$3:A$42,MATCH(LARGE(IF('DONNÉES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DG.PA</v>
      </c>
      <c r="D14" s="297" t="str" cm="1">
        <f t="array" ref="D14">IFERROR(IF(4&gt;COUNTIF('DONNÉES BRUTES'!C$3:C$42,"Industrie"),"",INDEX('DONNÉES BRUTES'!B$3:B$42,MATCH(LARGE(IF('DONNÉES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Vinci SA</v>
      </c>
      <c r="E14" s="298" t="str" cm="1">
        <f t="array" ref="E14">IFERROR(IF(4&gt;COUNTIF('DONNÉES BRUTES'!C$3:C$42,"Industrie"),"",INT(LARGE(IF('DONNÉES BRUTES'!C$3:C$42="Industrie",'DONNÉES BRUTES'!AB$3:AB$42+(ROW('DONNÉES BRUTES'!A$3:A$42)-ROW('DONNÉES BRUTES'!A$3))/1000,0),4))&amp;"/100"),"—")</f>
        <v>33/100</v>
      </c>
      <c r="F14" s="299" cm="1">
        <f t="array" ref="F14">IFERROR(IF(4&gt;COUNTIF('DONNÉES BRUTES'!C$3:C$42,"Industrie"),"",INDEX('DONNÉES BRUTES'!Y$3:Y$42,MATCH(LARGE(IF('DONNÉES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53</v>
      </c>
      <c r="G14" s="299" cm="1">
        <f t="array" ref="G14">IFERROR(IF(4&gt;COUNTIF('DONNÉES BRUTES'!C$3:C$42,"Industrie"),"",INDEX('DONNÉES BRUTES'!Z$3:Z$42,MATCH(LARGE(IF('DONNÉES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23</v>
      </c>
      <c r="H14" s="299" cm="1">
        <f t="array" ref="H14">IFERROR(IF(4&gt;COUNTIF('DONNÉES BRUTES'!C$3:C$42,"Industrie"),"",INDEX('DONNÉES BRUTES'!AA$3:AA$42,MATCH(LARGE(IF('DONNÉES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38</v>
      </c>
      <c r="I14" s="299" t="str" cm="1">
        <f t="array" ref="I14">IFERROR(IF(4&gt;COUNTIF('DONNÉES BRUTES'!C$3:C$42,"Industrie"),"",INDEX('DONNÉES BRUTES'!M$3:M$42,MATCH(LARGE(IF('DONNÉES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60.0%</v>
      </c>
      <c r="J14" s="299" t="str" cm="1">
        <f t="array" ref="J14">IFERROR(IF(4&gt;COUNTIF('DONNÉES BRUTES'!C$3:C$42,"Industrie"),"",INDEX('DONNÉES BRUTES'!N$3:N$42,MATCH(LARGE(IF('DONNÉES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18.0%</v>
      </c>
      <c r="K14" s="299" t="str" cm="1">
        <f t="array" ref="K14">IFERROR(IF(4&gt;COUNTIF('DONNÉES BRUTES'!C$3:C$42,"Industrie"),"",INDEX('DONNÉES BRUTES'!O$3:O$42,MATCH(LARGE(IF('DONNÉES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6.5%</v>
      </c>
      <c r="L14" s="299" t="str" cm="1">
        <f t="array" ref="L14">IFERROR(IF(4&gt;COUNTIF('DONNÉES BRUTES'!C$3:C$42,"Industrie"),"",INDEX('DONNÉES BRUTES'!P$3:P$42,MATCH(LARGE(IF('DONNÉES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+4.0%</v>
      </c>
      <c r="M14" s="299" t="str" cm="1">
        <f t="array" ref="M14">IFERROR(IF(4&gt;COUNTIF('DONNÉES BRUTES'!C$3:C$42,"Industrie"),"",INDEX('DONNÉES BRUTES'!Q$3:Q$42,MATCH(LARGE(IF('DONNÉES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+15.9%</v>
      </c>
      <c r="N14" s="299" cm="1">
        <f t="array" ref="N14">IFERROR(IF(4&gt;COUNTIF('DONNÉES BRUTES'!C$3:C$42,"Industrie"),"",INDEX('DONNÉES BRUTES'!S$3:S$42,MATCH(LARGE(IF('DONNÉES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0.85</v>
      </c>
      <c r="O14" s="300" t="str" cm="1">
        <f t="array" ref="O14">IFERROR(IF(4&gt;COUNTIF('DONNÉES BRUTES'!C$3:C$42,"Industrie"),"",INDEX('DONNÉES BRUTES'!T$3:T$42,MATCH(LARGE(IF('DONNÉES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1.3x</v>
      </c>
      <c r="P14" s="301" cm="1">
        <f t="array" ref="P14">IFERROR(IF(4&gt;COUNTIF('DONNÉES BRUTES'!C$3:C$42,"Industrie"),"",INDEX('DONNÉES BRUTES'!U$3:U$42,MATCH(LARGE(IF('DONNÉES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0.5</v>
      </c>
      <c r="Q14" s="416" t="str" cm="1">
        <f t="array" ref="Q14">IFERROR(IF(4&gt;COUNTIF('DONNÉES BRUTES'!C$3:C$42,"Industrie"),"",INDEX('DONNÉES BRUTES'!AD$3:AD$42,MATCH(LARGE(IF('DONNÉES BRUTES'!C$3:C$42="Industrie",'DONNÉES BRUTES'!AB$3:AB$42+(ROW('DONNÉES BRUTES'!A$3:A$42)-ROW('DONNÉES BRUTES'!A$3))/1000,0),4),IF('DONNÉES BRUTES'!C$3:C$42="Industrie",'DONNÉES BRUTES'!AB$3:AB$42+(ROW('DONNÉES BRUTES'!A$3:A$42)-ROW('DONNÉES BRUTES'!A$3))/1000,0),0))),"—")</f>
        <v>Sous-pondérer</v>
      </c>
    </row>
    <row r="15" spans="1:17" ht="15.9" customHeight="1" x14ac:dyDescent="0.3">
      <c r="A15" s="135"/>
      <c r="B15" s="277"/>
      <c r="C15" s="278" t="str" cm="1">
        <f t="array" ref="C15">IFERROR(IF(5&gt;COUNTIF('DONNÉES BRUTES'!C$3:C$42,"Industrie"),"",INDEX('DONNÉES BRUTES'!A$3:A$42,MATCH(LARGE(IF('DONNÉES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D15" s="278" t="str" cm="1">
        <f t="array" ref="D15">IFERROR(IF(5&gt;COUNTIF('DONNÉES BRUTES'!C$3:C$42,"Industrie"),"",INDEX('DONNÉES BRUTES'!B$3:B$42,MATCH(LARGE(IF('DONNÉES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E15" s="279" t="str" cm="1">
        <f t="array" ref="E15">IFERROR(IF(5&gt;COUNTIF('DONNÉES BRUTES'!C$3:C$42,"Industrie"),"",INT(LARGE(IF('DONNÉES BRUTES'!C$3:C$42="Industrie",'DONNÉES BRUTES'!AB$3:AB$42+(ROW('DONNÉES BRUTES'!A$3:A$42)-ROW('DONNÉES BRUTES'!A$3))/1000,0),5))&amp;"/100"),"—")</f>
        <v/>
      </c>
      <c r="F15" s="280" t="str" cm="1">
        <f t="array" ref="F15">IFERROR(IF(5&gt;COUNTIF('DONNÉES BRUTES'!C$3:C$42,"Industrie"),"",INDEX('DONNÉES BRUTES'!Y$3:Y$42,MATCH(LARGE(IF('DONNÉES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G15" s="280" t="str" cm="1">
        <f t="array" ref="G15">IFERROR(IF(5&gt;COUNTIF('DONNÉES BRUTES'!C$3:C$42,"Industrie"),"",INDEX('DONNÉES BRUTES'!Z$3:Z$42,MATCH(LARGE(IF('DONNÉES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H15" s="280" t="str" cm="1">
        <f t="array" ref="H15">IFERROR(IF(5&gt;COUNTIF('DONNÉES BRUTES'!C$3:C$42,"Industrie"),"",INDEX('DONNÉES BRUTES'!AA$3:AA$42,MATCH(LARGE(IF('DONNÉES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I15" s="280" t="str" cm="1">
        <f t="array" ref="I15">IFERROR(IF(5&gt;COUNTIF('DONNÉES BRUTES'!C$3:C$42,"Industrie"),"",INDEX('DONNÉES BRUTES'!M$3:M$42,MATCH(LARGE(IF('DONNÉES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J15" s="280" t="str" cm="1">
        <f t="array" ref="J15">IFERROR(IF(5&gt;COUNTIF('DONNÉES BRUTES'!C$3:C$42,"Industrie"),"",INDEX('DONNÉES BRUTES'!N$3:N$42,MATCH(LARGE(IF('DONNÉES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K15" s="280" t="str" cm="1">
        <f t="array" ref="K15">IFERROR(IF(5&gt;COUNTIF('DONNÉES BRUTES'!C$3:C$42,"Industrie"),"",INDEX('DONNÉES BRUTES'!O$3:O$42,MATCH(LARGE(IF('DONNÉES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L15" s="280" t="str" cm="1">
        <f t="array" ref="L15">IFERROR(IF(5&gt;COUNTIF('DONNÉES BRUTES'!C$3:C$42,"Industrie"),"",INDEX('DONNÉES BRUTES'!P$3:P$42,MATCH(LARGE(IF('DONNÉES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M15" s="280" t="str" cm="1">
        <f t="array" ref="M15">IFERROR(IF(5&gt;COUNTIF('DONNÉES BRUTES'!C$3:C$42,"Industrie"),"",INDEX('DONNÉES BRUTES'!Q$3:Q$42,MATCH(LARGE(IF('DONNÉES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N15" s="280" t="str" cm="1">
        <f t="array" ref="N15">IFERROR(IF(5&gt;COUNTIF('DONNÉES BRUTES'!C$3:C$42,"Industrie"),"",INDEX('DONNÉES BRUTES'!S$3:S$42,MATCH(LARGE(IF('DONNÉES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O15" s="281" t="str" cm="1">
        <f t="array" ref="O15">IFERROR(IF(5&gt;COUNTIF('DONNÉES BRUTES'!C$3:C$42,"Industrie"),"",INDEX('DONNÉES BRUTES'!T$3:T$42,MATCH(LARGE(IF('DONNÉES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P15" s="282" t="str" cm="1">
        <f t="array" ref="P15">IFERROR(IF(5&gt;COUNTIF('DONNÉES BRUTES'!C$3:C$42,"Industrie"),"",INDEX('DONNÉES BRUTES'!U$3:U$42,MATCH(LARGE(IF('DONNÉES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  <c r="Q15" t="str" cm="1">
        <f t="array" ref="Q15">IFERROR(IF(5&gt;COUNTIF('DONNÉES BRUTES'!C$3:C$42,"Industrie"),"",INDEX('DONNÉES BRUTES'!AD$3:AD$42,MATCH(LARGE(IF('DONNÉES BRUTES'!C$3:C$42="Industrie",'DONNÉES BRUTES'!AB$3:AB$42+(ROW('DONNÉES BRUTES'!A$3:A$42)-ROW('DONNÉES BRUTES'!A$3))/1000,0),5),IF('DONNÉES BRUTES'!C$3:C$42="Industrie",'DONNÉES BRUTES'!AB$3:AB$42+(ROW('DONNÉES BRUTES'!A$3:A$42)-ROW('DONNÉES BRUTES'!A$3))/1000,0),0))),"—")</f>
        <v/>
      </c>
    </row>
    <row r="16" spans="1:17" ht="15.9" customHeight="1" x14ac:dyDescent="0.3">
      <c r="A16" s="134"/>
      <c r="B16" s="131"/>
      <c r="C16" s="123" t="str" cm="1">
        <f t="array" ref="C16">IFERROR(IF(6&gt;COUNTIF('DONNÉES BRUTES'!C$3:C$42,"Industrie"),"",INDEX('DONNÉES BRUTES'!A$3:A$42,MATCH(LARGE(IF('DONNÉES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D16" s="123" t="str" cm="1">
        <f t="array" ref="D16">IFERROR(IF(6&gt;COUNTIF('DONNÉES BRUTES'!C$3:C$42,"Industrie"),"",INDEX('DONNÉES BRUTES'!B$3:B$42,MATCH(LARGE(IF('DONNÉES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E16" s="124" t="str" cm="1">
        <f t="array" ref="E16">IFERROR(IF(6&gt;COUNTIF('DONNÉES BRUTES'!C$3:C$42,"Industrie"),"",INT(LARGE(IF('DONNÉES BRUTES'!C$3:C$42="Industrie",'DONNÉES BRUTES'!AB$3:AB$42+(ROW('DONNÉES BRUTES'!A$3:A$42)-ROW('DONNÉES BRUTES'!A$3))/1000,0),6))&amp;"/100"),"—")</f>
        <v/>
      </c>
      <c r="F16" s="122" t="str" cm="1">
        <f t="array" ref="F16">IFERROR(IF(6&gt;COUNTIF('DONNÉES BRUTES'!C$3:C$42,"Industrie"),"",INDEX('DONNÉES BRUTES'!Y$3:Y$42,MATCH(LARGE(IF('DONNÉES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G16" s="122" t="str" cm="1">
        <f t="array" ref="G16">IFERROR(IF(6&gt;COUNTIF('DONNÉES BRUTES'!C$3:C$42,"Industrie"),"",INDEX('DONNÉES BRUTES'!Z$3:Z$42,MATCH(LARGE(IF('DONNÉES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H16" s="122" t="str" cm="1">
        <f t="array" ref="H16">IFERROR(IF(6&gt;COUNTIF('DONNÉES BRUTES'!C$3:C$42,"Industrie"),"",INDEX('DONNÉES BRUTES'!AA$3:AA$42,MATCH(LARGE(IF('DONNÉES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I16" s="122" t="str" cm="1">
        <f t="array" ref="I16">IFERROR(IF(6&gt;COUNTIF('DONNÉES BRUTES'!C$3:C$42,"Industrie"),"",INDEX('DONNÉES BRUTES'!M$3:M$42,MATCH(LARGE(IF('DONNÉES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J16" s="122" t="str" cm="1">
        <f t="array" ref="J16">IFERROR(IF(6&gt;COUNTIF('DONNÉES BRUTES'!C$3:C$42,"Industrie"),"",INDEX('DONNÉES BRUTES'!N$3:N$42,MATCH(LARGE(IF('DONNÉES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K16" s="122" t="str" cm="1">
        <f t="array" ref="K16">IFERROR(IF(6&gt;COUNTIF('DONNÉES BRUTES'!C$3:C$42,"Industrie"),"",INDEX('DONNÉES BRUTES'!O$3:O$42,MATCH(LARGE(IF('DONNÉES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L16" s="122" t="str" cm="1">
        <f t="array" ref="L16">IFERROR(IF(6&gt;COUNTIF('DONNÉES BRUTES'!C$3:C$42,"Industrie"),"",INDEX('DONNÉES BRUTES'!P$3:P$42,MATCH(LARGE(IF('DONNÉES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M16" s="122" t="str" cm="1">
        <f t="array" ref="M16">IFERROR(IF(6&gt;COUNTIF('DONNÉES BRUTES'!C$3:C$42,"Industrie"),"",INDEX('DONNÉES BRUTES'!Q$3:Q$42,MATCH(LARGE(IF('DONNÉES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N16" s="122" t="str" cm="1">
        <f t="array" ref="N16">IFERROR(IF(6&gt;COUNTIF('DONNÉES BRUTES'!C$3:C$42,"Industrie"),"",INDEX('DONNÉES BRUTES'!S$3:S$42,MATCH(LARGE(IF('DONNÉES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O16" s="142" t="str" cm="1">
        <f t="array" ref="O16">IFERROR(IF(6&gt;COUNTIF('DONNÉES BRUTES'!C$3:C$42,"Industrie"),"",INDEX('DONNÉES BRUTES'!T$3:T$42,MATCH(LARGE(IF('DONNÉES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P16" s="141" t="str" cm="1">
        <f t="array" ref="P16">IFERROR(IF(6&gt;COUNTIF('DONNÉES BRUTES'!C$3:C$42,"Industrie"),"",INDEX('DONNÉES BRUTES'!U$3:U$42,MATCH(LARGE(IF('DONNÉES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  <c r="Q16" t="str" cm="1">
        <f t="array" ref="Q16">IFERROR(IF(6&gt;COUNTIF('DONNÉES BRUTES'!C$3:C$42,"Industrie"),"",INDEX('DONNÉES BRUTES'!AD$3:AD$42,MATCH(LARGE(IF('DONNÉES BRUTES'!C$3:C$42="Industrie",'DONNÉES BRUTES'!AB$3:AB$42+(ROW('DONNÉES BRUTES'!A$3:A$42)-ROW('DONNÉES BRUTES'!A$3))/1000,0),6),IF('DONNÉES BRUTES'!C$3:C$42="Industrie",'DONNÉES BRUTES'!AB$3:AB$42+(ROW('DONNÉES BRUTES'!A$3:A$42)-ROW('DONNÉES BRUTES'!A$3))/1000,0),0))),"—")</f>
        <v/>
      </c>
    </row>
    <row r="17" spans="1:26" ht="15.9" customHeight="1" x14ac:dyDescent="0.3">
      <c r="A17" s="135"/>
      <c r="B17" s="132"/>
      <c r="C17" s="127" t="str" cm="1">
        <f t="array" ref="C17">IFERROR(IF(7&gt;COUNTIF('DONNÉES BRUTES'!C$3:C$42,"Industrie"),"",INDEX('DONNÉES BRUTES'!A$3:A$42,MATCH(LARGE(IF('DONNÉES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D17" s="127" t="str" cm="1">
        <f t="array" ref="D17">IFERROR(IF(7&gt;COUNTIF('DONNÉES BRUTES'!C$3:C$42,"Industrie"),"",INDEX('DONNÉES BRUTES'!B$3:B$42,MATCH(LARGE(IF('DONNÉES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E17" s="128" t="str" cm="1">
        <f t="array" ref="E17">IFERROR(IF(7&gt;COUNTIF('DONNÉES BRUTES'!C$3:C$42,"Industrie"),"",INT(LARGE(IF('DONNÉES BRUTES'!C$3:C$42="Industrie",'DONNÉES BRUTES'!AB$3:AB$42+(ROW('DONNÉES BRUTES'!A$3:A$42)-ROW('DONNÉES BRUTES'!A$3))/1000,0),7))&amp;"/100"),"—")</f>
        <v/>
      </c>
      <c r="F17" s="126" t="str" cm="1">
        <f t="array" ref="F17">IFERROR(IF(7&gt;COUNTIF('DONNÉES BRUTES'!C$3:C$42,"Industrie"),"",INDEX('DONNÉES BRUTES'!Y$3:Y$42,MATCH(LARGE(IF('DONNÉES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G17" s="126" t="str" cm="1">
        <f t="array" ref="G17">IFERROR(IF(7&gt;COUNTIF('DONNÉES BRUTES'!C$3:C$42,"Industrie"),"",INDEX('DONNÉES BRUTES'!Z$3:Z$42,MATCH(LARGE(IF('DONNÉES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H17" s="126" t="str" cm="1">
        <f t="array" ref="H17">IFERROR(IF(7&gt;COUNTIF('DONNÉES BRUTES'!C$3:C$42,"Industrie"),"",INDEX('DONNÉES BRUTES'!AA$3:AA$42,MATCH(LARGE(IF('DONNÉES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I17" s="126" t="str" cm="1">
        <f t="array" ref="I17">IFERROR(IF(7&gt;COUNTIF('DONNÉES BRUTES'!C$3:C$42,"Industrie"),"",INDEX('DONNÉES BRUTES'!M$3:M$42,MATCH(LARGE(IF('DONNÉES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J17" s="126" t="str" cm="1">
        <f t="array" ref="J17">IFERROR(IF(7&gt;COUNTIF('DONNÉES BRUTES'!C$3:C$42,"Industrie"),"",INDEX('DONNÉES BRUTES'!N$3:N$42,MATCH(LARGE(IF('DONNÉES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K17" s="126" t="str" cm="1">
        <f t="array" ref="K17">IFERROR(IF(7&gt;COUNTIF('DONNÉES BRUTES'!C$3:C$42,"Industrie"),"",INDEX('DONNÉES BRUTES'!O$3:O$42,MATCH(LARGE(IF('DONNÉES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L17" s="126" t="str" cm="1">
        <f t="array" ref="L17">IFERROR(IF(7&gt;COUNTIF('DONNÉES BRUTES'!C$3:C$42,"Industrie"),"",INDEX('DONNÉES BRUTES'!P$3:P$42,MATCH(LARGE(IF('DONNÉES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M17" s="126" t="str" cm="1">
        <f t="array" ref="M17">IFERROR(IF(7&gt;COUNTIF('DONNÉES BRUTES'!C$3:C$42,"Industrie"),"",INDEX('DONNÉES BRUTES'!Q$3:Q$42,MATCH(LARGE(IF('DONNÉES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N17" s="126" t="str" cm="1">
        <f t="array" ref="N17">IFERROR(IF(7&gt;COUNTIF('DONNÉES BRUTES'!C$3:C$42,"Industrie"),"",INDEX('DONNÉES BRUTES'!S$3:S$42,MATCH(LARGE(IF('DONNÉES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O17" s="126" t="str" cm="1">
        <f t="array" ref="O17">IFERROR(IF(7&gt;COUNTIF('DONNÉES BRUTES'!C$3:C$42,"Industrie"),"",INDEX('DONNÉES BRUTES'!T$3:T$42,MATCH(LARGE(IF('DONNÉES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P17" s="129" t="str" cm="1">
        <f t="array" ref="P17">IFERROR(IF(7&gt;COUNTIF('DONNÉES BRUTES'!C$3:C$42,"Industrie"),"",INDEX('DONNÉES BRUTES'!U$3:U$42,MATCH(LARGE(IF('DONNÉES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  <c r="Q17" t="str" cm="1">
        <f t="array" ref="Q17">IFERROR(IF(7&gt;COUNTIF('DONNÉES BRUTES'!C$3:C$42,"Industrie"),"",INDEX('DONNÉES BRUTES'!AD$3:AD$42,MATCH(LARGE(IF('DONNÉES BRUTES'!C$3:C$42="Industrie",'DONNÉES BRUTES'!AB$3:AB$42+(ROW('DONNÉES BRUTES'!A$3:A$42)-ROW('DONNÉES BRUTES'!A$3))/1000,0),7),IF('DONNÉES BRUTES'!C$3:C$42="Industrie",'DONNÉES BRUTES'!AB$3:AB$42+(ROW('DONNÉES BRUTES'!A$3:A$42)-ROW('DONNÉES BRUTES'!A$3))/1000,0),0))),"—")</f>
        <v/>
      </c>
    </row>
    <row r="18" spans="1:26" ht="15.9" customHeight="1" x14ac:dyDescent="0.3">
      <c r="A18" s="137"/>
      <c r="B18" s="138"/>
      <c r="C18" s="139" t="str" cm="1">
        <f t="array" ref="C18">IFERROR(IF(8&gt;COUNTIF('DONNÉES BRUTES'!C$3:C$42,"Industrie"),"",INDEX('DONNÉES BRUTES'!A$3:A$42,MATCH(LARGE(IF('DONNÉES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D18" s="139" t="str" cm="1">
        <f t="array" ref="D18">IFERROR(IF(8&gt;COUNTIF('DONNÉES BRUTES'!C$3:C$42,"Industrie"),"",INDEX('DONNÉES BRUTES'!B$3:B$42,MATCH(LARGE(IF('DONNÉES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E18" s="136" t="str" cm="1">
        <f t="array" ref="E18">IFERROR(IF(8&gt;COUNTIF('DONNÉES BRUTES'!C$3:C$42,"Industrie"),"",INT(LARGE(IF('DONNÉES BRUTES'!C$3:C$42="Industrie",'DONNÉES BRUTES'!AB$3:AB$42+(ROW('DONNÉES BRUTES'!A$3:A$42)-ROW('DONNÉES BRUTES'!A$3))/1000,0),8))&amp;"/100"),"—")</f>
        <v/>
      </c>
      <c r="F18" s="136" t="str" cm="1">
        <f t="array" ref="F18">IFERROR(IF(8&gt;COUNTIF('DONNÉES BRUTES'!C$3:C$42,"Industrie"),"",INDEX('DONNÉES BRUTES'!Y$3:Y$42,MATCH(LARGE(IF('DONNÉES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G18" s="136" t="str" cm="1">
        <f t="array" ref="G18">IFERROR(IF(8&gt;COUNTIF('DONNÉES BRUTES'!C$3:C$42,"Industrie"),"",INDEX('DONNÉES BRUTES'!Z$3:Z$42,MATCH(LARGE(IF('DONNÉES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H18" s="136" t="str" cm="1">
        <f t="array" ref="H18">IFERROR(IF(8&gt;COUNTIF('DONNÉES BRUTES'!C$3:C$42,"Industrie"),"",INDEX('DONNÉES BRUTES'!AA$3:AA$42,MATCH(LARGE(IF('DONNÉES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I18" s="136" t="str" cm="1">
        <f t="array" ref="I18">IFERROR(IF(8&gt;COUNTIF('DONNÉES BRUTES'!C$3:C$42,"Industrie"),"",INDEX('DONNÉES BRUTES'!M$3:M$42,MATCH(LARGE(IF('DONNÉES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J18" s="136" t="str" cm="1">
        <f t="array" ref="J18">IFERROR(IF(8&gt;COUNTIF('DONNÉES BRUTES'!C$3:C$42,"Industrie"),"",INDEX('DONNÉES BRUTES'!N$3:N$42,MATCH(LARGE(IF('DONNÉES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K18" s="136" t="str" cm="1">
        <f t="array" ref="K18">IFERROR(IF(8&gt;COUNTIF('DONNÉES BRUTES'!C$3:C$42,"Industrie"),"",INDEX('DONNÉES BRUTES'!O$3:O$42,MATCH(LARGE(IF('DONNÉES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L18" s="136" t="str" cm="1">
        <f t="array" ref="L18">IFERROR(IF(8&gt;COUNTIF('DONNÉES BRUTES'!C$3:C$42,"Industrie"),"",INDEX('DONNÉES BRUTES'!P$3:P$42,MATCH(LARGE(IF('DONNÉES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M18" s="136" t="str" cm="1">
        <f t="array" ref="M18">IFERROR(IF(8&gt;COUNTIF('DONNÉES BRUTES'!C$3:C$42,"Industrie"),"",INDEX('DONNÉES BRUTES'!Q$3:Q$42,MATCH(LARGE(IF('DONNÉES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N18" s="136" t="str" cm="1">
        <f t="array" ref="N18">IFERROR(IF(8&gt;COUNTIF('DONNÉES BRUTES'!C$3:C$42,"Industrie"),"",INDEX('DONNÉES BRUTES'!S$3:S$42,MATCH(LARGE(IF('DONNÉES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O18" s="155" t="str" cm="1">
        <f t="array" ref="O18">IFERROR(IF(8&gt;COUNTIF('DONNÉES BRUTES'!C$3:C$42,"Industrie"),"",INDEX('DONNÉES BRUTES'!T$3:T$42,MATCH(LARGE(IF('DONNÉES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P18" s="154" t="str" cm="1">
        <f t="array" ref="P18">IFERROR(IF(8&gt;COUNTIF('DONNÉES BRUTES'!C$3:C$42,"Industrie"),"",INDEX('DONNÉES BRUTES'!U$3:U$42,MATCH(LARGE(IF('DONNÉES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  <c r="Q18" t="str" cm="1">
        <f t="array" ref="Q18">IFERROR(IF(8&gt;COUNTIF('DONNÉES BRUTES'!C$3:C$42,"Industrie"),"",INDEX('DONNÉES BRUTES'!AD$3:AD$42,MATCH(LARGE(IF('DONNÉES BRUTES'!C$3:C$42="Industrie",'DONNÉES BRUTES'!AB$3:AB$42+(ROW('DONNÉES BRUTES'!A$3:A$42)-ROW('DONNÉES BRUTES'!A$3))/1000,0),8),IF('DONNÉES BRUTES'!C$3:C$42="Industrie",'DONNÉES BRUTES'!AB$3:AB$42+(ROW('DONNÉES BRUTES'!A$3:A$42)-ROW('DONNÉES BRUTES'!A$3))/1000,0),0))),"—")</f>
        <v/>
      </c>
    </row>
    <row r="19" spans="1:26" ht="15.9" customHeight="1" x14ac:dyDescent="0.3">
      <c r="A19" s="135"/>
      <c r="B19" s="132"/>
      <c r="C19" s="127" t="str" cm="1">
        <f t="array" ref="C19">IFERROR(IF(9&gt;COUNTIF('DONNÉES BRUTES'!C$3:C$42,"Industrie"),"",INDEX('DONNÉES BRUTES'!A$3:A$42,MATCH(LARGE(IF('DONNÉES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D19" s="127" t="str" cm="1">
        <f t="array" ref="D19">IFERROR(IF(9&gt;COUNTIF('DONNÉES BRUTES'!C$3:C$42,"Industrie"),"",INDEX('DONNÉES BRUTES'!B$3:B$42,MATCH(LARGE(IF('DONNÉES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E19" s="128" t="str" cm="1">
        <f t="array" ref="E19">IFERROR(IF(9&gt;COUNTIF('DONNÉES BRUTES'!C$3:C$42,"Industrie"),"",INT(LARGE(IF('DONNÉES BRUTES'!C$3:C$42="Industrie",'DONNÉES BRUTES'!AB$3:AB$42+(ROW('DONNÉES BRUTES'!A$3:A$42)-ROW('DONNÉES BRUTES'!A$3))/1000,0),9))&amp;"/100"),"—")</f>
        <v/>
      </c>
      <c r="F19" s="126" t="str" cm="1">
        <f t="array" ref="F19">IFERROR(IF(9&gt;COUNTIF('DONNÉES BRUTES'!C$3:C$42,"Industrie"),"",INDEX('DONNÉES BRUTES'!Y$3:Y$42,MATCH(LARGE(IF('DONNÉES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G19" s="126" t="str" cm="1">
        <f t="array" ref="G19">IFERROR(IF(9&gt;COUNTIF('DONNÉES BRUTES'!C$3:C$42,"Industrie"),"",INDEX('DONNÉES BRUTES'!Z$3:Z$42,MATCH(LARGE(IF('DONNÉES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H19" s="126" t="str" cm="1">
        <f t="array" ref="H19">IFERROR(IF(9&gt;COUNTIF('DONNÉES BRUTES'!C$3:C$42,"Industrie"),"",INDEX('DONNÉES BRUTES'!AA$3:AA$42,MATCH(LARGE(IF('DONNÉES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I19" s="126" t="str" cm="1">
        <f t="array" ref="I19">IFERROR(IF(9&gt;COUNTIF('DONNÉES BRUTES'!C$3:C$42,"Industrie"),"",INDEX('DONNÉES BRUTES'!M$3:M$42,MATCH(LARGE(IF('DONNÉES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J19" s="126" t="str" cm="1">
        <f t="array" ref="J19">IFERROR(IF(9&gt;COUNTIF('DONNÉES BRUTES'!C$3:C$42,"Industrie"),"",INDEX('DONNÉES BRUTES'!N$3:N$42,MATCH(LARGE(IF('DONNÉES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K19" s="126" t="str" cm="1">
        <f t="array" ref="K19">IFERROR(IF(9&gt;COUNTIF('DONNÉES BRUTES'!C$3:C$42,"Industrie"),"",INDEX('DONNÉES BRUTES'!O$3:O$42,MATCH(LARGE(IF('DONNÉES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L19" s="126" t="str" cm="1">
        <f t="array" ref="L19">IFERROR(IF(9&gt;COUNTIF('DONNÉES BRUTES'!C$3:C$42,"Industrie"),"",INDEX('DONNÉES BRUTES'!P$3:P$42,MATCH(LARGE(IF('DONNÉES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M19" s="126" t="str" cm="1">
        <f t="array" ref="M19">IFERROR(IF(9&gt;COUNTIF('DONNÉES BRUTES'!C$3:C$42,"Industrie"),"",INDEX('DONNÉES BRUTES'!Q$3:Q$42,MATCH(LARGE(IF('DONNÉES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N19" s="126" t="str" cm="1">
        <f t="array" ref="N19">IFERROR(IF(9&gt;COUNTIF('DONNÉES BRUTES'!C$3:C$42,"Industrie"),"",INDEX('DONNÉES BRUTES'!S$3:S$42,MATCH(LARGE(IF('DONNÉES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O19" s="144" t="str" cm="1">
        <f t="array" ref="O19">IFERROR(IF(9&gt;COUNTIF('DONNÉES BRUTES'!C$3:C$42,"Industrie"),"",INDEX('DONNÉES BRUTES'!T$3:T$42,MATCH(LARGE(IF('DONNÉES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P19" s="143" t="str" cm="1">
        <f t="array" ref="P19">IFERROR(IF(9&gt;COUNTIF('DONNÉES BRUTES'!C$3:C$42,"Industrie"),"",INDEX('DONNÉES BRUTES'!U$3:U$42,MATCH(LARGE(IF('DONNÉES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  <c r="Q19" t="str" cm="1">
        <f t="array" ref="Q19">IFERROR(IF(9&gt;COUNTIF('DONNÉES BRUTES'!C$3:C$42,"Industrie"),"",INDEX('DONNÉES BRUTES'!AD$3:AD$42,MATCH(LARGE(IF('DONNÉES BRUTES'!C$3:C$42="Industrie",'DONNÉES BRUTES'!AB$3:AB$42+(ROW('DONNÉES BRUTES'!A$3:A$42)-ROW('DONNÉES BRUTES'!A$3))/1000,0),9),IF('DONNÉES BRUTES'!C$3:C$42="Industrie",'DONNÉES BRUTES'!AB$3:AB$42+(ROW('DONNÉES BRUTES'!A$3:A$42)-ROW('DONNÉES BRUTES'!A$3))/1000,0),0))),"—")</f>
        <v/>
      </c>
    </row>
    <row r="20" spans="1:26" ht="15.9" customHeight="1" x14ac:dyDescent="0.3">
      <c r="A20" s="134"/>
      <c r="B20" s="131"/>
      <c r="C20" s="123" t="str" cm="1">
        <f t="array" ref="C20">IFERROR(IF(10&gt;COUNTIF('DONNÉES BRUTES'!C$3:C$42,"Industrie"),"",INDEX('DONNÉES BRUTES'!A$3:A$42,MATCH(LARGE(IF('DONNÉES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D20" s="123" t="str" cm="1">
        <f t="array" ref="D20">IFERROR(IF(10&gt;COUNTIF('DONNÉES BRUTES'!C$3:C$42,"Industrie"),"",INDEX('DONNÉES BRUTES'!B$3:B$42,MATCH(LARGE(IF('DONNÉES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E20" s="124" t="str" cm="1">
        <f t="array" ref="E20">IFERROR(IF(10&gt;COUNTIF('DONNÉES BRUTES'!C$3:C$42,"Industrie"),"",INT(LARGE(IF('DONNÉES BRUTES'!C$3:C$42="Industrie",'DONNÉES BRUTES'!AB$3:AB$42+(ROW('DONNÉES BRUTES'!A$3:A$42)-ROW('DONNÉES BRUTES'!A$3))/1000,0),10))&amp;"/100"),"—")</f>
        <v/>
      </c>
      <c r="F20" s="122" t="str" cm="1">
        <f t="array" ref="F20">IFERROR(IF(10&gt;COUNTIF('DONNÉES BRUTES'!C$3:C$42,"Industrie"),"",INDEX('DONNÉES BRUTES'!Y$3:Y$42,MATCH(LARGE(IF('DONNÉES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G20" s="122" t="str" cm="1">
        <f t="array" ref="G20">IFERROR(IF(10&gt;COUNTIF('DONNÉES BRUTES'!C$3:C$42,"Industrie"),"",INDEX('DONNÉES BRUTES'!Z$3:Z$42,MATCH(LARGE(IF('DONNÉES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H20" s="122" t="str" cm="1">
        <f t="array" ref="H20">IFERROR(IF(10&gt;COUNTIF('DONNÉES BRUTES'!C$3:C$42,"Industrie"),"",INDEX('DONNÉES BRUTES'!AA$3:AA$42,MATCH(LARGE(IF('DONNÉES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I20" s="122" t="str" cm="1">
        <f t="array" ref="I20">IFERROR(IF(10&gt;COUNTIF('DONNÉES BRUTES'!C$3:C$42,"Industrie"),"",INDEX('DONNÉES BRUTES'!M$3:M$42,MATCH(LARGE(IF('DONNÉES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J20" s="122" t="str" cm="1">
        <f t="array" ref="J20">IFERROR(IF(10&gt;COUNTIF('DONNÉES BRUTES'!C$3:C$42,"Industrie"),"",INDEX('DONNÉES BRUTES'!N$3:N$42,MATCH(LARGE(IF('DONNÉES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K20" s="122" t="str" cm="1">
        <f t="array" ref="K20">IFERROR(IF(10&gt;COUNTIF('DONNÉES BRUTES'!C$3:C$42,"Industrie"),"",INDEX('DONNÉES BRUTES'!O$3:O$42,MATCH(LARGE(IF('DONNÉES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L20" s="122" t="str" cm="1">
        <f t="array" ref="L20">IFERROR(IF(10&gt;COUNTIF('DONNÉES BRUTES'!C$3:C$42,"Industrie"),"",INDEX('DONNÉES BRUTES'!P$3:P$42,MATCH(LARGE(IF('DONNÉES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M20" s="122" t="str" cm="1">
        <f t="array" ref="M20">IFERROR(IF(10&gt;COUNTIF('DONNÉES BRUTES'!C$3:C$42,"Industrie"),"",INDEX('DONNÉES BRUTES'!Q$3:Q$42,MATCH(LARGE(IF('DONNÉES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N20" s="122" t="str" cm="1">
        <f t="array" ref="N20">IFERROR(IF(10&gt;COUNTIF('DONNÉES BRUTES'!C$3:C$42,"Industrie"),"",INDEX('DONNÉES BRUTES'!S$3:S$42,MATCH(LARGE(IF('DONNÉES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O20" s="122" t="str" cm="1">
        <f t="array" ref="O20">IFERROR(IF(10&gt;COUNTIF('DONNÉES BRUTES'!C$3:C$42,"Industrie"),"",INDEX('DONNÉES BRUTES'!T$3:T$42,MATCH(LARGE(IF('DONNÉES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P20" s="125" t="str" cm="1">
        <f t="array" ref="P20">IFERROR(IF(10&gt;COUNTIF('DONNÉES BRUTES'!C$3:C$42,"Industrie"),"",INDEX('DONNÉES BRUTES'!U$3:U$42,MATCH(LARGE(IF('DONNÉES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  <c r="Q20" t="str" cm="1">
        <f t="array" ref="Q20">IFERROR(IF(10&gt;COUNTIF('DONNÉES BRUTES'!C$3:C$42,"Industrie"),"",INDEX('DONNÉES BRUTES'!AD$3:AD$42,MATCH(LARGE(IF('DONNÉES BRUTES'!C$3:C$42="Industrie",'DONNÉES BRUTES'!AB$3:AB$42+(ROW('DONNÉES BRUTES'!A$3:A$42)-ROW('DONNÉES BRUTES'!A$3))/1000,0),10),IF('DONNÉES BRUTES'!C$3:C$42="Industrie",'DONNÉES BRUTES'!AB$3:AB$42+(ROW('DONNÉES BRUTES'!A$3:A$42)-ROW('DONNÉES BRUTES'!A$3))/1000,0),0))),"—")</f>
        <v/>
      </c>
    </row>
    <row r="21" spans="1:26" ht="15.9" customHeight="1" x14ac:dyDescent="0.3">
      <c r="A21" s="135"/>
      <c r="B21" s="132"/>
      <c r="C21" s="127" t="str" cm="1">
        <f t="array" ref="C21">IFERROR(IF(11&gt;COUNTIF('DONNÉES BRUTES'!C$3:C$42,"Industrie"),"",INDEX('DONNÉES BRUTES'!A$3:A$42,MATCH(LARGE(IF('DONNÉES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D21" s="127" t="str" cm="1">
        <f t="array" ref="D21">IFERROR(IF(11&gt;COUNTIF('DONNÉES BRUTES'!C$3:C$42,"Industrie"),"",INDEX('DONNÉES BRUTES'!B$3:B$42,MATCH(LARGE(IF('DONNÉES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E21" s="128" t="str" cm="1">
        <f t="array" ref="E21">IFERROR(IF(11&gt;COUNTIF('DONNÉES BRUTES'!C$3:C$42,"Industrie"),"",INT(LARGE(IF('DONNÉES BRUTES'!C$3:C$42="Industrie",'DONNÉES BRUTES'!AB$3:AB$42+(ROW('DONNÉES BRUTES'!A$3:A$42)-ROW('DONNÉES BRUTES'!A$3))/1000,0),11))&amp;"/100"),"—")</f>
        <v/>
      </c>
      <c r="F21" s="126" t="str" cm="1">
        <f t="array" ref="F21">IFERROR(IF(11&gt;COUNTIF('DONNÉES BRUTES'!C$3:C$42,"Industrie"),"",INDEX('DONNÉES BRUTES'!Y$3:Y$42,MATCH(LARGE(IF('DONNÉES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G21" s="126" t="str" cm="1">
        <f t="array" ref="G21">IFERROR(IF(11&gt;COUNTIF('DONNÉES BRUTES'!C$3:C$42,"Industrie"),"",INDEX('DONNÉES BRUTES'!Z$3:Z$42,MATCH(LARGE(IF('DONNÉES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H21" s="126" t="str" cm="1">
        <f t="array" ref="H21">IFERROR(IF(11&gt;COUNTIF('DONNÉES BRUTES'!C$3:C$42,"Industrie"),"",INDEX('DONNÉES BRUTES'!AA$3:AA$42,MATCH(LARGE(IF('DONNÉES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I21" s="126" t="str" cm="1">
        <f t="array" ref="I21">IFERROR(IF(11&gt;COUNTIF('DONNÉES BRUTES'!C$3:C$42,"Industrie"),"",INDEX('DONNÉES BRUTES'!M$3:M$42,MATCH(LARGE(IF('DONNÉES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J21" s="126" t="str" cm="1">
        <f t="array" ref="J21">IFERROR(IF(11&gt;COUNTIF('DONNÉES BRUTES'!C$3:C$42,"Industrie"),"",INDEX('DONNÉES BRUTES'!N$3:N$42,MATCH(LARGE(IF('DONNÉES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K21" s="126" t="str" cm="1">
        <f t="array" ref="K21">IFERROR(IF(11&gt;COUNTIF('DONNÉES BRUTES'!C$3:C$42,"Industrie"),"",INDEX('DONNÉES BRUTES'!O$3:O$42,MATCH(LARGE(IF('DONNÉES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L21" s="126" t="str" cm="1">
        <f t="array" ref="L21">IFERROR(IF(11&gt;COUNTIF('DONNÉES BRUTES'!C$3:C$42,"Industrie"),"",INDEX('DONNÉES BRUTES'!P$3:P$42,MATCH(LARGE(IF('DONNÉES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M21" s="126" t="str" cm="1">
        <f t="array" ref="M21">IFERROR(IF(11&gt;COUNTIF('DONNÉES BRUTES'!C$3:C$42,"Industrie"),"",INDEX('DONNÉES BRUTES'!Q$3:Q$42,MATCH(LARGE(IF('DONNÉES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N21" s="126" t="str" cm="1">
        <f t="array" ref="N21">IFERROR(IF(11&gt;COUNTIF('DONNÉES BRUTES'!C$3:C$42,"Industrie"),"",INDEX('DONNÉES BRUTES'!S$3:S$42,MATCH(LARGE(IF('DONNÉES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O21" s="126" t="str" cm="1">
        <f t="array" ref="O21">IFERROR(IF(11&gt;COUNTIF('DONNÉES BRUTES'!C$3:C$42,"Industrie"),"",INDEX('DONNÉES BRUTES'!T$3:T$42,MATCH(LARGE(IF('DONNÉES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P21" s="129" t="str" cm="1">
        <f t="array" ref="P21">IFERROR(IF(11&gt;COUNTIF('DONNÉES BRUTES'!C$3:C$42,"Industrie"),"",INDEX('DONNÉES BRUTES'!U$3:U$42,MATCH(LARGE(IF('DONNÉES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  <c r="Q21" t="str" cm="1">
        <f t="array" ref="Q21">IFERROR(IF(11&gt;COUNTIF('DONNÉES BRUTES'!C$3:C$42,"Industrie"),"",INDEX('DONNÉES BRUTES'!AD$3:AD$42,MATCH(LARGE(IF('DONNÉES BRUTES'!C$3:C$42="Industrie",'DONNÉES BRUTES'!AB$3:AB$42+(ROW('DONNÉES BRUTES'!A$3:A$42)-ROW('DONNÉES BRUTES'!A$3))/1000,0),11),IF('DONNÉES BRUTES'!C$3:C$42="Industrie",'DONNÉES BRUTES'!AB$3:AB$42+(ROW('DONNÉES BRUTES'!A$3:A$42)-ROW('DONNÉES BRUTES'!A$3))/1000,0),0))),"—")</f>
        <v/>
      </c>
    </row>
    <row r="22" spans="1:26" ht="15.9" customHeight="1" x14ac:dyDescent="0.3">
      <c r="A22" s="134"/>
      <c r="B22" s="131"/>
      <c r="C22" s="123" t="str" cm="1">
        <f t="array" ref="C22">IFERROR(IF(12&gt;COUNTIF('DONNÉES BRUTES'!C$3:C$42,"Industrie"),"",INDEX('DONNÉES BRUTES'!A$3:A$42,MATCH(LARGE(IF('DONNÉES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D22" s="123" t="str" cm="1">
        <f t="array" ref="D22">IFERROR(IF(12&gt;COUNTIF('DONNÉES BRUTES'!C$3:C$42,"Industrie"),"",INDEX('DONNÉES BRUTES'!B$3:B$42,MATCH(LARGE(IF('DONNÉES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E22" s="124" t="str" cm="1">
        <f t="array" ref="E22">IFERROR(IF(12&gt;COUNTIF('DONNÉES BRUTES'!C$3:C$42,"Industrie"),"",INT(LARGE(IF('DONNÉES BRUTES'!C$3:C$42="Industrie",'DONNÉES BRUTES'!AB$3:AB$42+(ROW('DONNÉES BRUTES'!A$3:A$42)-ROW('DONNÉES BRUTES'!A$3))/1000,0),12))&amp;"/100"),"—")</f>
        <v/>
      </c>
      <c r="F22" s="122" t="str" cm="1">
        <f t="array" ref="F22">IFERROR(IF(12&gt;COUNTIF('DONNÉES BRUTES'!C$3:C$42,"Industrie"),"",INDEX('DONNÉES BRUTES'!Y$3:Y$42,MATCH(LARGE(IF('DONNÉES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G22" s="122" t="str" cm="1">
        <f t="array" ref="G22">IFERROR(IF(12&gt;COUNTIF('DONNÉES BRUTES'!C$3:C$42,"Industrie"),"",INDEX('DONNÉES BRUTES'!Z$3:Z$42,MATCH(LARGE(IF('DONNÉES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H22" s="122" t="str" cm="1">
        <f t="array" ref="H22">IFERROR(IF(12&gt;COUNTIF('DONNÉES BRUTES'!C$3:C$42,"Industrie"),"",INDEX('DONNÉES BRUTES'!AA$3:AA$42,MATCH(LARGE(IF('DONNÉES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I22" s="122" t="str" cm="1">
        <f t="array" ref="I22">IFERROR(IF(12&gt;COUNTIF('DONNÉES BRUTES'!C$3:C$42,"Industrie"),"",INDEX('DONNÉES BRUTES'!M$3:M$42,MATCH(LARGE(IF('DONNÉES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J22" s="122" t="str" cm="1">
        <f t="array" ref="J22">IFERROR(IF(12&gt;COUNTIF('DONNÉES BRUTES'!C$3:C$42,"Industrie"),"",INDEX('DONNÉES BRUTES'!N$3:N$42,MATCH(LARGE(IF('DONNÉES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K22" s="122" t="str" cm="1">
        <f t="array" ref="K22">IFERROR(IF(12&gt;COUNTIF('DONNÉES BRUTES'!C$3:C$42,"Industrie"),"",INDEX('DONNÉES BRUTES'!O$3:O$42,MATCH(LARGE(IF('DONNÉES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L22" s="122" t="str" cm="1">
        <f t="array" ref="L22">IFERROR(IF(12&gt;COUNTIF('DONNÉES BRUTES'!C$3:C$42,"Industrie"),"",INDEX('DONNÉES BRUTES'!P$3:P$42,MATCH(LARGE(IF('DONNÉES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M22" s="122" t="str" cm="1">
        <f t="array" ref="M22">IFERROR(IF(12&gt;COUNTIF('DONNÉES BRUTES'!C$3:C$42,"Industrie"),"",INDEX('DONNÉES BRUTES'!Q$3:Q$42,MATCH(LARGE(IF('DONNÉES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N22" s="122" t="str" cm="1">
        <f t="array" ref="N22">IFERROR(IF(12&gt;COUNTIF('DONNÉES BRUTES'!C$3:C$42,"Industrie"),"",INDEX('DONNÉES BRUTES'!S$3:S$42,MATCH(LARGE(IF('DONNÉES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O22" s="122" t="str" cm="1">
        <f t="array" ref="O22">IFERROR(IF(12&gt;COUNTIF('DONNÉES BRUTES'!C$3:C$42,"Industrie"),"",INDEX('DONNÉES BRUTES'!T$3:T$42,MATCH(LARGE(IF('DONNÉES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P22" s="125" t="str" cm="1">
        <f t="array" ref="P22">IFERROR(IF(12&gt;COUNTIF('DONNÉES BRUTES'!C$3:C$42,"Industrie"),"",INDEX('DONNÉES BRUTES'!U$3:U$42,MATCH(LARGE(IF('DONNÉES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  <c r="Q22" t="str" cm="1">
        <f t="array" ref="Q22">IFERROR(IF(12&gt;COUNTIF('DONNÉES BRUTES'!C$3:C$42,"Industrie"),"",INDEX('DONNÉES BRUTES'!AD$3:AD$42,MATCH(LARGE(IF('DONNÉES BRUTES'!C$3:C$42="Industrie",'DONNÉES BRUTES'!AB$3:AB$42+(ROW('DONNÉES BRUTES'!A$3:A$42)-ROW('DONNÉES BRUTES'!A$3))/1000,0),12),IF('DONNÉES BRUTES'!C$3:C$42="Industrie",'DONNÉES BRUTES'!AB$3:AB$42+(ROW('DONNÉES BRUTES'!A$3:A$42)-ROW('DONNÉES BRUTES'!A$3))/1000,0),0))),"—")</f>
        <v/>
      </c>
    </row>
    <row r="23" spans="1:26" ht="15.9" customHeight="1" x14ac:dyDescent="0.3">
      <c r="A23" s="135"/>
      <c r="B23" s="132"/>
      <c r="C23" s="127" t="str" cm="1">
        <f t="array" ref="C23">IFERROR(IF(13&gt;COUNTIF('DONNÉES BRUTES'!C$3:C$42,"Industrie"),"",INDEX('DONNÉES BRUTES'!A$3:A$42,MATCH(LARGE(IF('DONNÉES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D23" s="127" t="str" cm="1">
        <f t="array" ref="D23">IFERROR(IF(13&gt;COUNTIF('DONNÉES BRUTES'!C$3:C$42,"Industrie"),"",INDEX('DONNÉES BRUTES'!B$3:B$42,MATCH(LARGE(IF('DONNÉES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E23" s="128" t="str" cm="1">
        <f t="array" ref="E23">IFERROR(IF(13&gt;COUNTIF('DONNÉES BRUTES'!C$3:C$42,"Industrie"),"",INT(LARGE(IF('DONNÉES BRUTES'!C$3:C$42="Industrie",'DONNÉES BRUTES'!AB$3:AB$42+(ROW('DONNÉES BRUTES'!A$3:A$42)-ROW('DONNÉES BRUTES'!A$3))/1000,0),13))&amp;"/100"),"—")</f>
        <v/>
      </c>
      <c r="F23" s="126" t="str" cm="1">
        <f t="array" ref="F23">IFERROR(IF(13&gt;COUNTIF('DONNÉES BRUTES'!C$3:C$42,"Industrie"),"",INDEX('DONNÉES BRUTES'!Y$3:Y$42,MATCH(LARGE(IF('DONNÉES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G23" s="126" t="str" cm="1">
        <f t="array" ref="G23">IFERROR(IF(13&gt;COUNTIF('DONNÉES BRUTES'!C$3:C$42,"Industrie"),"",INDEX('DONNÉES BRUTES'!Z$3:Z$42,MATCH(LARGE(IF('DONNÉES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H23" s="126" t="str" cm="1">
        <f t="array" ref="H23">IFERROR(IF(13&gt;COUNTIF('DONNÉES BRUTES'!C$3:C$42,"Industrie"),"",INDEX('DONNÉES BRUTES'!AA$3:AA$42,MATCH(LARGE(IF('DONNÉES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I23" s="126" t="str" cm="1">
        <f t="array" ref="I23">IFERROR(IF(13&gt;COUNTIF('DONNÉES BRUTES'!C$3:C$42,"Industrie"),"",INDEX('DONNÉES BRUTES'!M$3:M$42,MATCH(LARGE(IF('DONNÉES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J23" s="126" t="str" cm="1">
        <f t="array" ref="J23">IFERROR(IF(13&gt;COUNTIF('DONNÉES BRUTES'!C$3:C$42,"Industrie"),"",INDEX('DONNÉES BRUTES'!N$3:N$42,MATCH(LARGE(IF('DONNÉES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K23" s="126" t="str" cm="1">
        <f t="array" ref="K23">IFERROR(IF(13&gt;COUNTIF('DONNÉES BRUTES'!C$3:C$42,"Industrie"),"",INDEX('DONNÉES BRUTES'!O$3:O$42,MATCH(LARGE(IF('DONNÉES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L23" s="126" t="str" cm="1">
        <f t="array" ref="L23">IFERROR(IF(13&gt;COUNTIF('DONNÉES BRUTES'!C$3:C$42,"Industrie"),"",INDEX('DONNÉES BRUTES'!P$3:P$42,MATCH(LARGE(IF('DONNÉES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M23" s="126" t="str" cm="1">
        <f t="array" ref="M23">IFERROR(IF(13&gt;COUNTIF('DONNÉES BRUTES'!C$3:C$42,"Industrie"),"",INDEX('DONNÉES BRUTES'!Q$3:Q$42,MATCH(LARGE(IF('DONNÉES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N23" s="126" t="str" cm="1">
        <f t="array" ref="N23">IFERROR(IF(13&gt;COUNTIF('DONNÉES BRUTES'!C$3:C$42,"Industrie"),"",INDEX('DONNÉES BRUTES'!S$3:S$42,MATCH(LARGE(IF('DONNÉES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O23" s="126" t="str" cm="1">
        <f t="array" ref="O23">IFERROR(IF(13&gt;COUNTIF('DONNÉES BRUTES'!C$3:C$42,"Industrie"),"",INDEX('DONNÉES BRUTES'!T$3:T$42,MATCH(LARGE(IF('DONNÉES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P23" s="129" t="str" cm="1">
        <f t="array" ref="P23">IFERROR(IF(13&gt;COUNTIF('DONNÉES BRUTES'!C$3:C$42,"Industrie"),"",INDEX('DONNÉES BRUTES'!U$3:U$42,MATCH(LARGE(IF('DONNÉES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  <c r="Q23" t="str" cm="1">
        <f t="array" ref="Q23">IFERROR(IF(13&gt;COUNTIF('DONNÉES BRUTES'!C$3:C$42,"Industrie"),"",INDEX('DONNÉES BRUTES'!AD$3:AD$42,MATCH(LARGE(IF('DONNÉES BRUTES'!C$3:C$42="Industrie",'DONNÉES BRUTES'!AB$3:AB$42+(ROW('DONNÉES BRUTES'!A$3:A$42)-ROW('DONNÉES BRUTES'!A$3))/1000,0),13),IF('DONNÉES BRUTES'!C$3:C$42="Industrie",'DONNÉES BRUTES'!AB$3:AB$42+(ROW('DONNÉES BRUTES'!A$3:A$42)-ROW('DONNÉES BRUTES'!A$3))/1000,0),0))),"—")</f>
        <v/>
      </c>
    </row>
    <row r="24" spans="1:26" ht="15.9" customHeight="1" x14ac:dyDescent="0.3">
      <c r="A24" s="134"/>
      <c r="B24" s="131"/>
      <c r="C24" s="123" t="str" cm="1">
        <f t="array" ref="C24">IFERROR(IF(14&gt;COUNTIF('DONNÉES BRUTES'!C$3:C$42,"Industrie"),"",INDEX('DONNÉES BRUTES'!A$3:A$42,MATCH(LARGE(IF('DONNÉES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D24" s="123" t="str" cm="1">
        <f t="array" ref="D24">IFERROR(IF(14&gt;COUNTIF('DONNÉES BRUTES'!C$3:C$42,"Industrie"),"",INDEX('DONNÉES BRUTES'!B$3:B$42,MATCH(LARGE(IF('DONNÉES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E24" s="152" t="str" cm="1">
        <f t="array" ref="E24">IFERROR(IF(14&gt;COUNTIF('DONNÉES BRUTES'!C$3:C$42,"Industrie"),"",INT(LARGE(IF('DONNÉES BRUTES'!C$3:C$42="Industrie",'DONNÉES BRUTES'!AB$3:AB$42+(ROW('DONNÉES BRUTES'!A$3:A$42)-ROW('DONNÉES BRUTES'!A$3))/1000,0),14))&amp;"/100"),"—")</f>
        <v/>
      </c>
      <c r="F24" s="142" t="str" cm="1">
        <f t="array" ref="F24">IFERROR(IF(14&gt;COUNTIF('DONNÉES BRUTES'!C$3:C$42,"Industrie"),"",INDEX('DONNÉES BRUTES'!Y$3:Y$42,MATCH(LARGE(IF('DONNÉES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G24" s="142" t="str" cm="1">
        <f t="array" ref="G24">IFERROR(IF(14&gt;COUNTIF('DONNÉES BRUTES'!C$3:C$42,"Industrie"),"",INDEX('DONNÉES BRUTES'!Z$3:Z$42,MATCH(LARGE(IF('DONNÉES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H24" s="142" t="str" cm="1">
        <f t="array" ref="H24">IFERROR(IF(14&gt;COUNTIF('DONNÉES BRUTES'!C$3:C$42,"Industrie"),"",INDEX('DONNÉES BRUTES'!AA$3:AA$42,MATCH(LARGE(IF('DONNÉES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I24" s="142" t="str" cm="1">
        <f t="array" ref="I24">IFERROR(IF(14&gt;COUNTIF('DONNÉES BRUTES'!C$3:C$42,"Industrie"),"",INDEX('DONNÉES BRUTES'!M$3:M$42,MATCH(LARGE(IF('DONNÉES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J24" s="142" t="str" cm="1">
        <f t="array" ref="J24">IFERROR(IF(14&gt;COUNTIF('DONNÉES BRUTES'!C$3:C$42,"Industrie"),"",INDEX('DONNÉES BRUTES'!N$3:N$42,MATCH(LARGE(IF('DONNÉES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K24" s="145" t="str" cm="1">
        <f t="array" ref="K24">IFERROR(IF(14&gt;COUNTIF('DONNÉES BRUTES'!C$3:C$42,"Industrie"),"",INDEX('DONNÉES BRUTES'!O$3:O$42,MATCH(LARGE(IF('DONNÉES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L24" s="145" t="str" cm="1">
        <f t="array" ref="L24">IFERROR(IF(14&gt;COUNTIF('DONNÉES BRUTES'!C$3:C$42,"Industrie"),"",INDEX('DONNÉES BRUTES'!P$3:P$42,MATCH(LARGE(IF('DONNÉES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M24" s="142" t="str" cm="1">
        <f t="array" ref="M24">IFERROR(IF(14&gt;COUNTIF('DONNÉES BRUTES'!C$3:C$42,"Industrie"),"",INDEX('DONNÉES BRUTES'!Q$3:Q$42,MATCH(LARGE(IF('DONNÉES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N24" s="122" t="str" cm="1">
        <f t="array" ref="N24">IFERROR(IF(14&gt;COUNTIF('DONNÉES BRUTES'!C$3:C$42,"Industrie"),"",INDEX('DONNÉES BRUTES'!S$3:S$42,MATCH(LARGE(IF('DONNÉES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O24" s="122" t="str" cm="1">
        <f t="array" ref="O24">IFERROR(IF(14&gt;COUNTIF('DONNÉES BRUTES'!C$3:C$42,"Industrie"),"",INDEX('DONNÉES BRUTES'!T$3:T$42,MATCH(LARGE(IF('DONNÉES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P24" s="125" t="str" cm="1">
        <f t="array" ref="P24">IFERROR(IF(14&gt;COUNTIF('DONNÉES BRUTES'!C$3:C$42,"Industrie"),"",INDEX('DONNÉES BRUTES'!U$3:U$42,MATCH(LARGE(IF('DONNÉES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  <c r="Q24" t="str" cm="1">
        <f t="array" ref="Q24">IFERROR(IF(14&gt;COUNTIF('DONNÉES BRUTES'!C$3:C$42,"Industrie"),"",INDEX('DONNÉES BRUTES'!AD$3:AD$42,MATCH(LARGE(IF('DONNÉES BRUTES'!C$3:C$42="Industrie",'DONNÉES BRUTES'!AB$3:AB$42+(ROW('DONNÉES BRUTES'!A$3:A$42)-ROW('DONNÉES BRUTES'!A$3))/1000,0),14),IF('DONNÉES BRUTES'!C$3:C$42="Industrie",'DONNÉES BRUTES'!AB$3:AB$42+(ROW('DONNÉES BRUTES'!A$3:A$42)-ROW('DONNÉES BRUTES'!A$3))/1000,0),0))),"—")</f>
        <v/>
      </c>
    </row>
    <row r="25" spans="1:26" ht="15.9" customHeight="1" x14ac:dyDescent="0.3">
      <c r="A25" s="135"/>
      <c r="B25" s="132"/>
      <c r="C25" s="127" t="str" cm="1">
        <f t="array" ref="C25">IFERROR(IF(15&gt;COUNTIF('DONNÉES BRUTES'!C$3:C$42,"Industrie"),"",INDEX('DONNÉES BRUTES'!A$3:A$42,MATCH(LARGE(IF('DONNÉES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D25" s="127" t="str" cm="1">
        <f t="array" ref="D25">IFERROR(IF(15&gt;COUNTIF('DONNÉES BRUTES'!C$3:C$42,"Industrie"),"",INDEX('DONNÉES BRUTES'!B$3:B$42,MATCH(LARGE(IF('DONNÉES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E25" s="153" t="str" cm="1">
        <f t="array" ref="E25">IFERROR(IF(15&gt;COUNTIF('DONNÉES BRUTES'!C$3:C$42,"Industrie"),"",INT(LARGE(IF('DONNÉES BRUTES'!C$3:C$42="Industrie",'DONNÉES BRUTES'!AB$3:AB$42+(ROW('DONNÉES BRUTES'!A$3:A$42)-ROW('DONNÉES BRUTES'!A$3))/1000,0),15))&amp;"/100"),"—")</f>
        <v/>
      </c>
      <c r="F25" s="140" t="str" cm="1">
        <f t="array" ref="F25">IFERROR(IF(15&gt;COUNTIF('DONNÉES BRUTES'!C$3:C$42,"Industrie"),"",INDEX('DONNÉES BRUTES'!Y$3:Y$42,MATCH(LARGE(IF('DONNÉES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G25" s="140" t="str" cm="1">
        <f t="array" ref="G25">IFERROR(IF(15&gt;COUNTIF('DONNÉES BRUTES'!C$3:C$42,"Industrie"),"",INDEX('DONNÉES BRUTES'!Z$3:Z$42,MATCH(LARGE(IF('DONNÉES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H25" s="140" t="str" cm="1">
        <f t="array" ref="H25">IFERROR(IF(15&gt;COUNTIF('DONNÉES BRUTES'!C$3:C$42,"Industrie"),"",INDEX('DONNÉES BRUTES'!AA$3:AA$42,MATCH(LARGE(IF('DONNÉES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I25" s="140" t="str" cm="1">
        <f t="array" ref="I25">IFERROR(IF(15&gt;COUNTIF('DONNÉES BRUTES'!C$3:C$42,"Industrie"),"",INDEX('DONNÉES BRUTES'!M$3:M$42,MATCH(LARGE(IF('DONNÉES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J25" s="140" t="str" cm="1">
        <f t="array" ref="J25">IFERROR(IF(15&gt;COUNTIF('DONNÉES BRUTES'!C$3:C$42,"Industrie"),"",INDEX('DONNÉES BRUTES'!N$3:N$42,MATCH(LARGE(IF('DONNÉES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K25" s="140" t="str" cm="1">
        <f t="array" ref="K25">IFERROR(IF(15&gt;COUNTIF('DONNÉES BRUTES'!C$3:C$42,"Industrie"),"",INDEX('DONNÉES BRUTES'!O$3:O$42,MATCH(LARGE(IF('DONNÉES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L25" s="140" t="str" cm="1">
        <f t="array" ref="L25">IFERROR(IF(15&gt;COUNTIF('DONNÉES BRUTES'!C$3:C$42,"Industrie"),"",INDEX('DONNÉES BRUTES'!P$3:P$42,MATCH(LARGE(IF('DONNÉES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M25" s="140" t="str" cm="1">
        <f t="array" ref="M25">IFERROR(IF(15&gt;COUNTIF('DONNÉES BRUTES'!C$3:C$42,"Industrie"),"",INDEX('DONNÉES BRUTES'!Q$3:Q$42,MATCH(LARGE(IF('DONNÉES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N25" s="126" t="str" cm="1">
        <f t="array" ref="N25">IFERROR(IF(15&gt;COUNTIF('DONNÉES BRUTES'!C$3:C$42,"Industrie"),"",INDEX('DONNÉES BRUTES'!S$3:S$42,MATCH(LARGE(IF('DONNÉES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O25" s="126" t="str" cm="1">
        <f t="array" ref="O25">IFERROR(IF(15&gt;COUNTIF('DONNÉES BRUTES'!C$3:C$42,"Industrie"),"",INDEX('DONNÉES BRUTES'!T$3:T$42,MATCH(LARGE(IF('DONNÉES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P25" s="129" t="str" cm="1">
        <f t="array" ref="P25">IFERROR(IF(15&gt;COUNTIF('DONNÉES BRUTES'!C$3:C$42,"Industrie"),"",INDEX('DONNÉES BRUTES'!U$3:U$42,MATCH(LARGE(IF('DONNÉES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  <c r="Q25" t="str" cm="1">
        <f t="array" ref="Q25">IFERROR(IF(15&gt;COUNTIF('DONNÉES BRUTES'!C$3:C$42,"Industrie"),"",INDEX('DONNÉES BRUTES'!AD$3:AD$42,MATCH(LARGE(IF('DONNÉES BRUTES'!C$3:C$42="Industrie",'DONNÉES BRUTES'!AB$3:AB$42+(ROW('DONNÉES BRUTES'!A$3:A$42)-ROW('DONNÉES BRUTES'!A$3))/1000,0),15),IF('DONNÉES BRUTES'!C$3:C$42="Industrie",'DONNÉES BRUTES'!AB$3:AB$42+(ROW('DONNÉES BRUTES'!A$3:A$42)-ROW('DONNÉES BRUTES'!A$3))/1000,0),0))),"—")</f>
        <v/>
      </c>
    </row>
    <row r="26" spans="1:26" ht="15.9" customHeight="1" x14ac:dyDescent="0.3">
      <c r="A26" s="134"/>
      <c r="B26" s="131"/>
      <c r="C26" s="123" t="str" cm="1">
        <f t="array" ref="C26">IFERROR(IF(16&gt;COUNTIF('DONNÉES BRUTES'!C$3:C$42,"Industrie"),"",INDEX('DONNÉES BRUTES'!A$3:A$42,MATCH(LARGE(IF('DONNÉES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D26" s="123" t="str" cm="1">
        <f t="array" ref="D26">IFERROR(IF(16&gt;COUNTIF('DONNÉES BRUTES'!C$3:C$42,"Industrie"),"",INDEX('DONNÉES BRUTES'!B$3:B$42,MATCH(LARGE(IF('DONNÉES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E26" s="124" t="str" cm="1">
        <f t="array" ref="E26">IFERROR(IF(16&gt;COUNTIF('DONNÉES BRUTES'!C$3:C$42,"Industrie"),"",INT(LARGE(IF('DONNÉES BRUTES'!C$3:C$42="Industrie",'DONNÉES BRUTES'!AB$3:AB$42+(ROW('DONNÉES BRUTES'!A$3:A$42)-ROW('DONNÉES BRUTES'!A$3))/1000,0),16))&amp;"/100"),"—")</f>
        <v/>
      </c>
      <c r="F26" s="122" t="str" cm="1">
        <f t="array" ref="F26">IFERROR(IF(16&gt;COUNTIF('DONNÉES BRUTES'!C$3:C$42,"Industrie"),"",INDEX('DONNÉES BRUTES'!Y$3:Y$42,MATCH(LARGE(IF('DONNÉES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G26" s="122" t="str" cm="1">
        <f t="array" ref="G26">IFERROR(IF(16&gt;COUNTIF('DONNÉES BRUTES'!C$3:C$42,"Industrie"),"",INDEX('DONNÉES BRUTES'!Z$3:Z$42,MATCH(LARGE(IF('DONNÉES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H26" s="122" t="str" cm="1">
        <f t="array" ref="H26">IFERROR(IF(16&gt;COUNTIF('DONNÉES BRUTES'!C$3:C$42,"Industrie"),"",INDEX('DONNÉES BRUTES'!AA$3:AA$42,MATCH(LARGE(IF('DONNÉES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I26" s="122" t="str" cm="1">
        <f t="array" ref="I26">IFERROR(IF(16&gt;COUNTIF('DONNÉES BRUTES'!C$3:C$42,"Industrie"),"",INDEX('DONNÉES BRUTES'!M$3:M$42,MATCH(LARGE(IF('DONNÉES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J26" s="122" t="str" cm="1">
        <f t="array" ref="J26">IFERROR(IF(16&gt;COUNTIF('DONNÉES BRUTES'!C$3:C$42,"Industrie"),"",INDEX('DONNÉES BRUTES'!N$3:N$42,MATCH(LARGE(IF('DONNÉES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K26" s="122" t="str" cm="1">
        <f t="array" ref="K26">IFERROR(IF(16&gt;COUNTIF('DONNÉES BRUTES'!C$3:C$42,"Industrie"),"",INDEX('DONNÉES BRUTES'!O$3:O$42,MATCH(LARGE(IF('DONNÉES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L26" s="122" t="str" cm="1">
        <f t="array" ref="L26">IFERROR(IF(16&gt;COUNTIF('DONNÉES BRUTES'!C$3:C$42,"Industrie"),"",INDEX('DONNÉES BRUTES'!P$3:P$42,MATCH(LARGE(IF('DONNÉES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M26" s="122" t="str" cm="1">
        <f t="array" ref="M26">IFERROR(IF(16&gt;COUNTIF('DONNÉES BRUTES'!C$3:C$42,"Industrie"),"",INDEX('DONNÉES BRUTES'!Q$3:Q$42,MATCH(LARGE(IF('DONNÉES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N26" s="122" t="str" cm="1">
        <f t="array" ref="N26">IFERROR(IF(16&gt;COUNTIF('DONNÉES BRUTES'!C$3:C$42,"Industrie"),"",INDEX('DONNÉES BRUTES'!S$3:S$42,MATCH(LARGE(IF('DONNÉES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O26" s="122" t="str" cm="1">
        <f t="array" ref="O26">IFERROR(IF(16&gt;COUNTIF('DONNÉES BRUTES'!C$3:C$42,"Industrie"),"",INDEX('DONNÉES BRUTES'!T$3:T$42,MATCH(LARGE(IF('DONNÉES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P26" s="125" t="str" cm="1">
        <f t="array" ref="P26">IFERROR(IF(16&gt;COUNTIF('DONNÉES BRUTES'!C$3:C$42,"Industrie"),"",INDEX('DONNÉES BRUTES'!U$3:U$42,MATCH(LARGE(IF('DONNÉES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  <c r="Q26" t="str" cm="1">
        <f t="array" ref="Q26">IFERROR(IF(16&gt;COUNTIF('DONNÉES BRUTES'!C$3:C$42,"Industrie"),"",INDEX('DONNÉES BRUTES'!AD$3:AD$42,MATCH(LARGE(IF('DONNÉES BRUTES'!C$3:C$42="Industrie",'DONNÉES BRUTES'!AB$3:AB$42+(ROW('DONNÉES BRUTES'!A$3:A$42)-ROW('DONNÉES BRUTES'!A$3))/1000,0),16),IF('DONNÉES BRUTES'!C$3:C$42="Industrie",'DONNÉES BRUTES'!AB$3:AB$42+(ROW('DONNÉES BRUTES'!A$3:A$42)-ROW('DONNÉES BRUTES'!A$3))/1000,0),0))),"—")</f>
        <v/>
      </c>
    </row>
    <row r="27" spans="1:26" ht="15.9" customHeight="1" x14ac:dyDescent="0.3">
      <c r="A27" s="135"/>
      <c r="B27" s="132"/>
      <c r="C27" s="127" t="str" cm="1">
        <f t="array" ref="C27">IFERROR(IF(17&gt;COUNTIF('DONNÉES BRUTES'!C$3:C$42,"Industrie"),"",INDEX('DONNÉES BRUTES'!A$3:A$42,MATCH(LARGE(IF('DONNÉES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D27" s="127" t="str" cm="1">
        <f t="array" ref="D27">IFERROR(IF(17&gt;COUNTIF('DONNÉES BRUTES'!C$3:C$42,"Industrie"),"",INDEX('DONNÉES BRUTES'!B$3:B$42,MATCH(LARGE(IF('DONNÉES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E27" s="128" t="str" cm="1">
        <f t="array" ref="E27">IFERROR(IF(17&gt;COUNTIF('DONNÉES BRUTES'!C$3:C$42,"Industrie"),"",INT(LARGE(IF('DONNÉES BRUTES'!C$3:C$42="Industrie",'DONNÉES BRUTES'!AB$3:AB$42+(ROW('DONNÉES BRUTES'!A$3:A$42)-ROW('DONNÉES BRUTES'!A$3))/1000,0),17))&amp;"/100"),"—")</f>
        <v/>
      </c>
      <c r="F27" s="126" t="str" cm="1">
        <f t="array" ref="F27">IFERROR(IF(17&gt;COUNTIF('DONNÉES BRUTES'!C$3:C$42,"Industrie"),"",INDEX('DONNÉES BRUTES'!Y$3:Y$42,MATCH(LARGE(IF('DONNÉES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G27" s="126" t="str" cm="1">
        <f t="array" ref="G27">IFERROR(IF(17&gt;COUNTIF('DONNÉES BRUTES'!C$3:C$42,"Industrie"),"",INDEX('DONNÉES BRUTES'!Z$3:Z$42,MATCH(LARGE(IF('DONNÉES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H27" s="126" t="str" cm="1">
        <f t="array" ref="H27">IFERROR(IF(17&gt;COUNTIF('DONNÉES BRUTES'!C$3:C$42,"Industrie"),"",INDEX('DONNÉES BRUTES'!AA$3:AA$42,MATCH(LARGE(IF('DONNÉES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I27" s="126" t="str" cm="1">
        <f t="array" ref="I27">IFERROR(IF(17&gt;COUNTIF('DONNÉES BRUTES'!C$3:C$42,"Industrie"),"",INDEX('DONNÉES BRUTES'!M$3:M$42,MATCH(LARGE(IF('DONNÉES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J27" s="126" t="str" cm="1">
        <f t="array" ref="J27">IFERROR(IF(17&gt;COUNTIF('DONNÉES BRUTES'!C$3:C$42,"Industrie"),"",INDEX('DONNÉES BRUTES'!N$3:N$42,MATCH(LARGE(IF('DONNÉES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K27" s="126" t="str" cm="1">
        <f t="array" ref="K27">IFERROR(IF(17&gt;COUNTIF('DONNÉES BRUTES'!C$3:C$42,"Industrie"),"",INDEX('DONNÉES BRUTES'!O$3:O$42,MATCH(LARGE(IF('DONNÉES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L27" s="126" t="str" cm="1">
        <f t="array" ref="L27">IFERROR(IF(17&gt;COUNTIF('DONNÉES BRUTES'!C$3:C$42,"Industrie"),"",INDEX('DONNÉES BRUTES'!P$3:P$42,MATCH(LARGE(IF('DONNÉES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M27" s="126" t="str" cm="1">
        <f t="array" ref="M27">IFERROR(IF(17&gt;COUNTIF('DONNÉES BRUTES'!C$3:C$42,"Industrie"),"",INDEX('DONNÉES BRUTES'!Q$3:Q$42,MATCH(LARGE(IF('DONNÉES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N27" s="126" t="str" cm="1">
        <f t="array" ref="N27">IFERROR(IF(17&gt;COUNTIF('DONNÉES BRUTES'!C$3:C$42,"Industrie"),"",INDEX('DONNÉES BRUTES'!S$3:S$42,MATCH(LARGE(IF('DONNÉES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O27" s="126" t="str" cm="1">
        <f t="array" ref="O27">IFERROR(IF(17&gt;COUNTIF('DONNÉES BRUTES'!C$3:C$42,"Industrie"),"",INDEX('DONNÉES BRUTES'!T$3:T$42,MATCH(LARGE(IF('DONNÉES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P27" s="129" t="str" cm="1">
        <f t="array" ref="P27">IFERROR(IF(17&gt;COUNTIF('DONNÉES BRUTES'!C$3:C$42,"Industrie"),"",INDEX('DONNÉES BRUTES'!U$3:U$42,MATCH(LARGE(IF('DONNÉES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  <c r="Q27" t="str" cm="1">
        <f t="array" ref="Q27">IFERROR(IF(17&gt;COUNTIF('DONNÉES BRUTES'!C$3:C$42,"Industrie"),"",INDEX('DONNÉES BRUTES'!AD$3:AD$42,MATCH(LARGE(IF('DONNÉES BRUTES'!C$3:C$42="Industrie",'DONNÉES BRUTES'!AB$3:AB$42+(ROW('DONNÉES BRUTES'!A$3:A$42)-ROW('DONNÉES BRUTES'!A$3))/1000,0),17),IF('DONNÉES BRUTES'!C$3:C$42="Industrie",'DONNÉES BRUTES'!AB$3:AB$42+(ROW('DONNÉES BRUTES'!A$3:A$42)-ROW('DONNÉES BRUTES'!A$3))/1000,0),0))),"—")</f>
        <v/>
      </c>
    </row>
    <row r="28" spans="1:26" ht="15.9" customHeight="1" x14ac:dyDescent="0.3">
      <c r="A28" s="134"/>
      <c r="B28" s="131"/>
      <c r="C28" s="123" t="str" cm="1">
        <f t="array" ref="C28">IFERROR(IF(18&gt;COUNTIF('DONNÉES BRUTES'!C$3:C$42,"Industrie"),"",INDEX('DONNÉES BRUTES'!A$3:A$42,MATCH(LARGE(IF('DONNÉES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D28" s="123" t="str" cm="1">
        <f t="array" ref="D28">IFERROR(IF(18&gt;COUNTIF('DONNÉES BRUTES'!C$3:C$42,"Industrie"),"",INDEX('DONNÉES BRUTES'!B$3:B$42,MATCH(LARGE(IF('DONNÉES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E28" s="124" t="str" cm="1">
        <f t="array" ref="E28">IFERROR(IF(18&gt;COUNTIF('DONNÉES BRUTES'!C$3:C$42,"Industrie"),"",INT(LARGE(IF('DONNÉES BRUTES'!C$3:C$42="Industrie",'DONNÉES BRUTES'!AB$3:AB$42+(ROW('DONNÉES BRUTES'!A$3:A$42)-ROW('DONNÉES BRUTES'!A$3))/1000,0),18))&amp;"/100"),"—")</f>
        <v/>
      </c>
      <c r="F28" s="122" t="str" cm="1">
        <f t="array" ref="F28">IFERROR(IF(18&gt;COUNTIF('DONNÉES BRUTES'!C$3:C$42,"Industrie"),"",INDEX('DONNÉES BRUTES'!Y$3:Y$42,MATCH(LARGE(IF('DONNÉES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G28" s="122" t="str" cm="1">
        <f t="array" ref="G28">IFERROR(IF(18&gt;COUNTIF('DONNÉES BRUTES'!C$3:C$42,"Industrie"),"",INDEX('DONNÉES BRUTES'!Z$3:Z$42,MATCH(LARGE(IF('DONNÉES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H28" s="122" t="str" cm="1">
        <f t="array" ref="H28">IFERROR(IF(18&gt;COUNTIF('DONNÉES BRUTES'!C$3:C$42,"Industrie"),"",INDEX('DONNÉES BRUTES'!AA$3:AA$42,MATCH(LARGE(IF('DONNÉES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I28" s="122" t="str" cm="1">
        <f t="array" ref="I28">IFERROR(IF(18&gt;COUNTIF('DONNÉES BRUTES'!C$3:C$42,"Industrie"),"",INDEX('DONNÉES BRUTES'!M$3:M$42,MATCH(LARGE(IF('DONNÉES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J28" s="122" t="str" cm="1">
        <f t="array" ref="J28">IFERROR(IF(18&gt;COUNTIF('DONNÉES BRUTES'!C$3:C$42,"Industrie"),"",INDEX('DONNÉES BRUTES'!N$3:N$42,MATCH(LARGE(IF('DONNÉES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K28" s="122" t="str" cm="1">
        <f t="array" ref="K28">IFERROR(IF(18&gt;COUNTIF('DONNÉES BRUTES'!C$3:C$42,"Industrie"),"",INDEX('DONNÉES BRUTES'!O$3:O$42,MATCH(LARGE(IF('DONNÉES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L28" s="122" t="str" cm="1">
        <f t="array" ref="L28">IFERROR(IF(18&gt;COUNTIF('DONNÉES BRUTES'!C$3:C$42,"Industrie"),"",INDEX('DONNÉES BRUTES'!P$3:P$42,MATCH(LARGE(IF('DONNÉES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M28" s="122" t="str" cm="1">
        <f t="array" ref="M28">IFERROR(IF(18&gt;COUNTIF('DONNÉES BRUTES'!C$3:C$42,"Industrie"),"",INDEX('DONNÉES BRUTES'!Q$3:Q$42,MATCH(LARGE(IF('DONNÉES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N28" s="122" t="str" cm="1">
        <f t="array" ref="N28">IFERROR(IF(18&gt;COUNTIF('DONNÉES BRUTES'!C$3:C$42,"Industrie"),"",INDEX('DONNÉES BRUTES'!S$3:S$42,MATCH(LARGE(IF('DONNÉES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O28" s="122" t="str" cm="1">
        <f t="array" ref="O28">IFERROR(IF(18&gt;COUNTIF('DONNÉES BRUTES'!C$3:C$42,"Industrie"),"",INDEX('DONNÉES BRUTES'!T$3:T$42,MATCH(LARGE(IF('DONNÉES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P28" s="125" t="str" cm="1">
        <f t="array" ref="P28">IFERROR(IF(18&gt;COUNTIF('DONNÉES BRUTES'!C$3:C$42,"Industrie"),"",INDEX('DONNÉES BRUTES'!U$3:U$42,MATCH(LARGE(IF('DONNÉES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Q28" t="str" cm="1">
        <f t="array" ref="Q28">IFERROR(IF(18&gt;COUNTIF('DONNÉES BRUTES'!C$3:C$42,"Industrie"),"",INDEX('DONNÉES BRUTES'!AD$3:AD$42,MATCH(LARGE(IF('DONNÉES BRUTES'!C$3:C$42="Industrie",'DONNÉES BRUTES'!AB$3:AB$42+(ROW('DONNÉES BRUTES'!A$3:A$42)-ROW('DONNÉES BRUTES'!A$3))/1000,0),18),IF('DONNÉES BRUTES'!C$3:C$42="Industrie",'DONNÉES BRUTES'!AB$3:AB$42+(ROW('DONNÉES BRUTES'!A$3:A$42)-ROW('DONNÉES BRUTES'!A$3))/1000,0),0))),"—")</f>
        <v/>
      </c>
      <c r="S28" t="s">
        <v>1</v>
      </c>
      <c r="T28" t="s">
        <v>8</v>
      </c>
      <c r="U28" t="s">
        <v>136</v>
      </c>
      <c r="V28" t="s">
        <v>137</v>
      </c>
      <c r="W28" t="s">
        <v>138</v>
      </c>
      <c r="X28" t="s">
        <v>136</v>
      </c>
      <c r="Y28" t="s">
        <v>137</v>
      </c>
      <c r="Z28" t="s">
        <v>138</v>
      </c>
    </row>
    <row r="29" spans="1:26" ht="15.9" customHeight="1" x14ac:dyDescent="0.3">
      <c r="A29" s="135"/>
      <c r="B29" s="132"/>
      <c r="C29" s="127" t="str" cm="1">
        <f t="array" ref="C29">IFERROR(IF(19&gt;COUNTIF('DONNÉES BRUTES'!C$3:C$42,"Industrie"),"",INDEX('DONNÉES BRUTES'!A$3:A$42,MATCH(LARGE(IF('DONNÉES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D29" s="127" t="str" cm="1">
        <f t="array" ref="D29">IFERROR(IF(19&gt;COUNTIF('DONNÉES BRUTES'!C$3:C$42,"Industrie"),"",INDEX('DONNÉES BRUTES'!B$3:B$42,MATCH(LARGE(IF('DONNÉES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E29" s="128" t="str" cm="1">
        <f t="array" ref="E29">IFERROR(IF(19&gt;COUNTIF('DONNÉES BRUTES'!C$3:C$42,"Industrie"),"",INT(LARGE(IF('DONNÉES BRUTES'!C$3:C$42="Industrie",'DONNÉES BRUTES'!AB$3:AB$42+(ROW('DONNÉES BRUTES'!A$3:A$42)-ROW('DONNÉES BRUTES'!A$3))/1000,0),19))&amp;"/100"),"—")</f>
        <v/>
      </c>
      <c r="F29" s="126" t="str" cm="1">
        <f t="array" ref="F29">IFERROR(IF(19&gt;COUNTIF('DONNÉES BRUTES'!C$3:C$42,"Industrie"),"",INDEX('DONNÉES BRUTES'!Y$3:Y$42,MATCH(LARGE(IF('DONNÉES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G29" s="126" t="str" cm="1">
        <f t="array" ref="G29">IFERROR(IF(19&gt;COUNTIF('DONNÉES BRUTES'!C$3:C$42,"Industrie"),"",INDEX('DONNÉES BRUTES'!Z$3:Z$42,MATCH(LARGE(IF('DONNÉES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H29" s="126" t="str" cm="1">
        <f t="array" ref="H29">IFERROR(IF(19&gt;COUNTIF('DONNÉES BRUTES'!C$3:C$42,"Industrie"),"",INDEX('DONNÉES BRUTES'!AA$3:AA$42,MATCH(LARGE(IF('DONNÉES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I29" s="126" t="str" cm="1">
        <f t="array" ref="I29">IFERROR(IF(19&gt;COUNTIF('DONNÉES BRUTES'!C$3:C$42,"Industrie"),"",INDEX('DONNÉES BRUTES'!M$3:M$42,MATCH(LARGE(IF('DONNÉES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J29" s="126" t="str" cm="1">
        <f t="array" ref="J29">IFERROR(IF(19&gt;COUNTIF('DONNÉES BRUTES'!C$3:C$42,"Industrie"),"",INDEX('DONNÉES BRUTES'!N$3:N$42,MATCH(LARGE(IF('DONNÉES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K29" s="126" t="str" cm="1">
        <f t="array" ref="K29">IFERROR(IF(19&gt;COUNTIF('DONNÉES BRUTES'!C$3:C$42,"Industrie"),"",INDEX('DONNÉES BRUTES'!O$3:O$42,MATCH(LARGE(IF('DONNÉES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L29" s="126" t="str" cm="1">
        <f t="array" ref="L29">IFERROR(IF(19&gt;COUNTIF('DONNÉES BRUTES'!C$3:C$42,"Industrie"),"",INDEX('DONNÉES BRUTES'!P$3:P$42,MATCH(LARGE(IF('DONNÉES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M29" s="126" t="str" cm="1">
        <f t="array" ref="M29">IFERROR(IF(19&gt;COUNTIF('DONNÉES BRUTES'!C$3:C$42,"Industrie"),"",INDEX('DONNÉES BRUTES'!Q$3:Q$42,MATCH(LARGE(IF('DONNÉES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N29" s="126" t="str" cm="1">
        <f t="array" ref="N29">IFERROR(IF(19&gt;COUNTIF('DONNÉES BRUTES'!C$3:C$42,"Industrie"),"",INDEX('DONNÉES BRUTES'!S$3:S$42,MATCH(LARGE(IF('DONNÉES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O29" s="126" t="str" cm="1">
        <f t="array" ref="O29">IFERROR(IF(19&gt;COUNTIF('DONNÉES BRUTES'!C$3:C$42,"Industrie"),"",INDEX('DONNÉES BRUTES'!T$3:T$42,MATCH(LARGE(IF('DONNÉES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P29" s="129" t="str" cm="1">
        <f t="array" ref="P29">IFERROR(IF(19&gt;COUNTIF('DONNÉES BRUTES'!C$3:C$42,"Industrie"),"",INDEX('DONNÉES BRUTES'!U$3:U$42,MATCH(LARGE(IF('DONNÉES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Q29" t="str" cm="1">
        <f t="array" ref="Q29">IFERROR(IF(19&gt;COUNTIF('DONNÉES BRUTES'!C$3:C$42,"Industrie"),"",INDEX('DONNÉES BRUTES'!AD$3:AD$42,MATCH(LARGE(IF('DONNÉES BRUTES'!C$3:C$42="Industrie",'DONNÉES BRUTES'!AB$3:AB$42+(ROW('DONNÉES BRUTES'!A$3:A$42)-ROW('DONNÉES BRUTES'!A$3))/1000,0),19),IF('DONNÉES BRUTES'!C$3:C$42="Industrie",'DONNÉES BRUTES'!AB$3:AB$42+(ROW('DONNÉES BRUTES'!A$3:A$42)-ROW('DONNÉES BRUTES'!A$3))/1000,0),0))),"—")</f>
        <v/>
      </c>
      <c r="S29" t="s">
        <v>707</v>
      </c>
      <c r="T29">
        <v>0</v>
      </c>
      <c r="U29">
        <v>0</v>
      </c>
      <c r="V29">
        <v>0</v>
      </c>
      <c r="W29">
        <v>0</v>
      </c>
    </row>
    <row r="30" spans="1:26" ht="15.9" customHeight="1" x14ac:dyDescent="0.3">
      <c r="A30" s="151"/>
      <c r="B30" s="150"/>
      <c r="C30" s="147" t="str" cm="1">
        <f t="array" ref="C30">IFERROR(IF(20&gt;COUNTIF('DONNÉES BRUTES'!C$3:C$42,"Industrie"),"",INDEX('DONNÉES BRUTES'!A$3:A$42,MATCH(LARGE(IF('DONNÉES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D30" s="147" t="str" cm="1">
        <f t="array" ref="D30">IFERROR(IF(20&gt;COUNTIF('DONNÉES BRUTES'!C$3:C$42,"Industrie"),"",INDEX('DONNÉES BRUTES'!B$3:B$42,MATCH(LARGE(IF('DONNÉES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E30" s="148" t="str" cm="1">
        <f t="array" ref="E30">IFERROR(IF(20&gt;COUNTIF('DONNÉES BRUTES'!C$3:C$42,"Industrie"),"",INT(LARGE(IF('DONNÉES BRUTES'!C$3:C$42="Industrie",'DONNÉES BRUTES'!AB$3:AB$42+(ROW('DONNÉES BRUTES'!A$3:A$42)-ROW('DONNÉES BRUTES'!A$3))/1000,0),20))&amp;"/100"),"—")</f>
        <v/>
      </c>
      <c r="F30" s="146" t="str" cm="1">
        <f t="array" ref="F30">IFERROR(IF(20&gt;COUNTIF('DONNÉES BRUTES'!C$3:C$42,"Industrie"),"",INDEX('DONNÉES BRUTES'!Y$3:Y$42,MATCH(LARGE(IF('DONNÉES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G30" s="146" t="str" cm="1">
        <f t="array" ref="G30">IFERROR(IF(20&gt;COUNTIF('DONNÉES BRUTES'!C$3:C$42,"Industrie"),"",INDEX('DONNÉES BRUTES'!Z$3:Z$42,MATCH(LARGE(IF('DONNÉES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H30" s="146" t="str" cm="1">
        <f t="array" ref="H30">IFERROR(IF(20&gt;COUNTIF('DONNÉES BRUTES'!C$3:C$42,"Industrie"),"",INDEX('DONNÉES BRUTES'!AA$3:AA$42,MATCH(LARGE(IF('DONNÉES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I30" s="146" t="str" cm="1">
        <f t="array" ref="I30">IFERROR(IF(20&gt;COUNTIF('DONNÉES BRUTES'!C$3:C$42,"Industrie"),"",INDEX('DONNÉES BRUTES'!M$3:M$42,MATCH(LARGE(IF('DONNÉES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J30" s="146" t="str" cm="1">
        <f t="array" ref="J30">IFERROR(IF(20&gt;COUNTIF('DONNÉES BRUTES'!C$3:C$42,"Industrie"),"",INDEX('DONNÉES BRUTES'!N$3:N$42,MATCH(LARGE(IF('DONNÉES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K30" s="146" t="str" cm="1">
        <f t="array" ref="K30">IFERROR(IF(20&gt;COUNTIF('DONNÉES BRUTES'!C$3:C$42,"Industrie"),"",INDEX('DONNÉES BRUTES'!O$3:O$42,MATCH(LARGE(IF('DONNÉES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L30" s="146" t="str" cm="1">
        <f t="array" ref="L30">IFERROR(IF(20&gt;COUNTIF('DONNÉES BRUTES'!C$3:C$42,"Industrie"),"",INDEX('DONNÉES BRUTES'!P$3:P$42,MATCH(LARGE(IF('DONNÉES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M30" s="146" t="str" cm="1">
        <f t="array" ref="M30">IFERROR(IF(20&gt;COUNTIF('DONNÉES BRUTES'!C$3:C$42,"Industrie"),"",INDEX('DONNÉES BRUTES'!Q$3:Q$42,MATCH(LARGE(IF('DONNÉES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N30" s="146" t="str" cm="1">
        <f t="array" ref="N30">IFERROR(IF(20&gt;COUNTIF('DONNÉES BRUTES'!C$3:C$42,"Industrie"),"",INDEX('DONNÉES BRUTES'!S$3:S$42,MATCH(LARGE(IF('DONNÉES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O30" s="146" t="str" cm="1">
        <f t="array" ref="O30">IFERROR(IF(20&gt;COUNTIF('DONNÉES BRUTES'!C$3:C$42,"Industrie"),"",INDEX('DONNÉES BRUTES'!T$3:T$42,MATCH(LARGE(IF('DONNÉES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P30" s="149" t="str" cm="1">
        <f t="array" ref="P30">IFERROR(IF(20&gt;COUNTIF('DONNÉES BRUTES'!C$3:C$42,"Industrie"),"",INDEX('DONNÉES BRUTES'!U$3:U$42,MATCH(LARGE(IF('DONNÉES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Q30" t="str" cm="1">
        <f t="array" ref="Q30">IFERROR(IF(20&gt;COUNTIF('DONNÉES BRUTES'!C$3:C$42,"Industrie"),"",INDEX('DONNÉES BRUTES'!AD$3:AD$42,MATCH(LARGE(IF('DONNÉES BRUTES'!C$3:C$42="Industrie",'DONNÉES BRUTES'!AB$3:AB$42+(ROW('DONNÉES BRUTES'!A$3:A$42)-ROW('DONNÉES BRUTES'!A$3))/1000,0),20),IF('DONNÉES BRUTES'!C$3:C$42="Industrie",'DONNÉES BRUTES'!AB$3:AB$42+(ROW('DONNÉES BRUTES'!A$3:A$42)-ROW('DONNÉES BRUTES'!A$3))/1000,0),0))),"—")</f>
        <v/>
      </c>
      <c r="S30" t="s">
        <v>708</v>
      </c>
      <c r="T30">
        <v>0</v>
      </c>
      <c r="U30">
        <v>0</v>
      </c>
      <c r="V30">
        <v>0</v>
      </c>
      <c r="W30">
        <v>0</v>
      </c>
    </row>
    <row r="31" spans="1:26" x14ac:dyDescent="0.3">
      <c r="S31" t="str">
        <f>IF(D13="","",LEFT(D13,14))</f>
        <v>Airbus SE</v>
      </c>
      <c r="T31">
        <f>IF(E13="","",IFERROR(VALUE(LEFT(E13,FIND("/",E13)-1)),0))</f>
        <v>37</v>
      </c>
      <c r="U31">
        <f t="shared" ref="U29:W33" si="0">IF(ISNUMBER(F13),F13,0)</f>
        <v>62</v>
      </c>
      <c r="V31">
        <f t="shared" si="0"/>
        <v>45</v>
      </c>
      <c r="W31">
        <f t="shared" si="0"/>
        <v>32</v>
      </c>
      <c r="X31">
        <f t="shared" ref="X29:X39" si="1">IF(ISNUMBER(F13),F13,"")</f>
        <v>62</v>
      </c>
      <c r="Y31">
        <f t="shared" ref="Y29:Y39" si="2">IF(ISNUMBER(G13),G13,"")</f>
        <v>45</v>
      </c>
      <c r="Z31">
        <f t="shared" ref="Z29:Z39" si="3">IF(ISNUMBER(H13),H13,"")</f>
        <v>32</v>
      </c>
    </row>
    <row r="32" spans="1:26" x14ac:dyDescent="0.3">
      <c r="B32" t="s">
        <v>419</v>
      </c>
      <c r="E32" t="s">
        <v>368</v>
      </c>
      <c r="J32" t="str" cm="1">
        <f t="array" ref="J32">IFERROR(TEXT(MEDIAN(IF('DONNÉES BRUTES'!C$3:C$42="Industrie",IF(ISNUMBER('DONNÉES BRUTES'!N$3:N$42),'DONNÉES BRUTES'!N$3:N$42))),"0.0%"),"—")</f>
        <v>—</v>
      </c>
      <c r="P32" t="str" cm="1">
        <f t="array" ref="P32">IFERROR(TEXT(MEDIAN(IF('DONNÉES BRUTES'!C$3:C$42="Industrie",IF(ISNUMBER('DONNÉES BRUTES'!U$3:U$42),'DONNÉES BRUTES'!U$3:U$42))),"0.00"),"—")</f>
        <v>0.02</v>
      </c>
      <c r="S32" t="s">
        <v>709</v>
      </c>
      <c r="T32">
        <v>0</v>
      </c>
      <c r="U32">
        <v>0</v>
      </c>
      <c r="V32">
        <v>0</v>
      </c>
      <c r="W32">
        <v>0</v>
      </c>
    </row>
    <row r="33" spans="2:26" x14ac:dyDescent="0.3">
      <c r="B33" t="s">
        <v>420</v>
      </c>
      <c r="S33" t="str">
        <f>IF(D15="","",LEFT(D15,14))</f>
        <v/>
      </c>
      <c r="T33" t="str">
        <f>IF(E15="","",IFERROR(VALUE(LEFT(E15,FIND("/",E15)-1)),0))</f>
        <v/>
      </c>
      <c r="U33">
        <f t="shared" si="0"/>
        <v>0</v>
      </c>
      <c r="V33">
        <f t="shared" si="0"/>
        <v>0</v>
      </c>
      <c r="W33">
        <f t="shared" si="0"/>
        <v>0</v>
      </c>
      <c r="X33" t="str">
        <f t="shared" si="1"/>
        <v/>
      </c>
      <c r="Y33" t="str">
        <f t="shared" si="2"/>
        <v/>
      </c>
      <c r="Z33" t="str">
        <f t="shared" si="3"/>
        <v/>
      </c>
    </row>
    <row r="34" spans="2:26" x14ac:dyDescent="0.3">
      <c r="S34" t="str">
        <f t="shared" ref="S34:S39" si="4">IF(D16="","",LEFT(D16,12))</f>
        <v/>
      </c>
      <c r="T34" t="str">
        <f t="shared" ref="T34:T39" si="5">IF(E16="","",IFERROR(VALUE(LEFT(E16,FIND("/",E16)-1)),""))</f>
        <v/>
      </c>
      <c r="W34" t="str">
        <f t="shared" ref="W34:W39" si="6">IF(D16="","",LEFT(D16,12))</f>
        <v/>
      </c>
      <c r="X34" t="str">
        <f t="shared" si="1"/>
        <v/>
      </c>
      <c r="Y34" t="str">
        <f t="shared" si="2"/>
        <v/>
      </c>
      <c r="Z34" t="str">
        <f t="shared" si="3"/>
        <v/>
      </c>
    </row>
    <row r="35" spans="2:26" x14ac:dyDescent="0.3">
      <c r="S35" t="str">
        <f t="shared" si="4"/>
        <v/>
      </c>
      <c r="T35" t="str">
        <f t="shared" si="5"/>
        <v/>
      </c>
      <c r="W35" t="str">
        <f t="shared" si="6"/>
        <v/>
      </c>
      <c r="X35" t="str">
        <f t="shared" si="1"/>
        <v/>
      </c>
      <c r="Y35" t="str">
        <f t="shared" si="2"/>
        <v/>
      </c>
      <c r="Z35" t="str">
        <f t="shared" si="3"/>
        <v/>
      </c>
    </row>
    <row r="36" spans="2:26" x14ac:dyDescent="0.3">
      <c r="S36" t="str">
        <f t="shared" si="4"/>
        <v/>
      </c>
      <c r="T36" t="str">
        <f t="shared" si="5"/>
        <v/>
      </c>
      <c r="W36" t="str">
        <f t="shared" si="6"/>
        <v/>
      </c>
      <c r="X36" t="str">
        <f t="shared" si="1"/>
        <v/>
      </c>
      <c r="Y36" t="str">
        <f t="shared" si="2"/>
        <v/>
      </c>
      <c r="Z36" t="str">
        <f t="shared" si="3"/>
        <v/>
      </c>
    </row>
    <row r="37" spans="2:26" x14ac:dyDescent="0.3">
      <c r="S37" t="str">
        <f t="shared" si="4"/>
        <v/>
      </c>
      <c r="T37" t="str">
        <f t="shared" si="5"/>
        <v/>
      </c>
      <c r="W37" t="str">
        <f t="shared" si="6"/>
        <v/>
      </c>
      <c r="X37" t="str">
        <f t="shared" si="1"/>
        <v/>
      </c>
      <c r="Y37" t="str">
        <f t="shared" si="2"/>
        <v/>
      </c>
      <c r="Z37" t="str">
        <f t="shared" si="3"/>
        <v/>
      </c>
    </row>
    <row r="38" spans="2:26" x14ac:dyDescent="0.3">
      <c r="S38" t="str">
        <f t="shared" si="4"/>
        <v/>
      </c>
      <c r="T38" t="str">
        <f t="shared" si="5"/>
        <v/>
      </c>
      <c r="W38" t="str">
        <f t="shared" si="6"/>
        <v/>
      </c>
      <c r="X38" t="str">
        <f t="shared" si="1"/>
        <v/>
      </c>
      <c r="Y38" t="str">
        <f t="shared" si="2"/>
        <v/>
      </c>
      <c r="Z38" t="str">
        <f t="shared" si="3"/>
        <v/>
      </c>
    </row>
    <row r="39" spans="2:26" x14ac:dyDescent="0.3">
      <c r="S39" t="str">
        <f t="shared" si="4"/>
        <v/>
      </c>
      <c r="T39" t="str">
        <f t="shared" si="5"/>
        <v/>
      </c>
      <c r="W39" t="str">
        <f t="shared" si="6"/>
        <v/>
      </c>
      <c r="X39" t="str">
        <f t="shared" si="1"/>
        <v/>
      </c>
      <c r="Y39" t="str">
        <f t="shared" si="2"/>
        <v/>
      </c>
      <c r="Z39" t="str">
        <f t="shared" si="3"/>
        <v/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B31"/>
  <sheetViews>
    <sheetView showGridLines="0" zoomScaleNormal="100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" bestFit="1" customWidth="1"/>
  </cols>
  <sheetData>
    <row r="1" spans="2:17" ht="30" customHeight="1" x14ac:dyDescent="0.3">
      <c r="B1" s="204" t="str">
        <f>"FinSight IA  ·  Healthcare  ·  CAC 40  ·  "&amp;COUNTIF('DONNÉES BRUTES'!C$3:C$42,"Santé")&amp;" sociétés  ·  12/04/2026"</f>
        <v>FinSight IA  ·  Healthcare  ·  CAC 40  ·  5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7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7"/>
      <c r="C5" s="168">
        <v>5</v>
      </c>
      <c r="D5" s="177"/>
      <c r="E5" s="175" t="s">
        <v>280</v>
      </c>
      <c r="F5" s="175"/>
      <c r="G5" s="175"/>
      <c r="H5" s="171" t="str" cm="1">
        <f t="array" ref="H5">IFERROR(INDEX('DONNÉES BRUTES'!B$3:B$42,MATCH(LARGE(IF('DONNÉES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BRUTES'!A$3))/1000,0),0)),"—")</f>
        <v>AstraZeneca PLC</v>
      </c>
      <c r="I5" s="175"/>
      <c r="J5" s="175"/>
      <c r="K5" s="175"/>
      <c r="L5" s="211">
        <v>0.23200000000000001</v>
      </c>
      <c r="M5" s="175"/>
      <c r="N5" s="173" cm="1">
        <f t="array" ref="N5">IFERROR(ROUND(MEDIAN(IF('DONNÉES BRUTES'!C$3:C$42="Santé",IF(ISNUMBER('DONNÉES BRUTES'!Y$3:Y$42),'DONNÉES BRUTES'!Y$3:Y$42))),0),"—")</f>
        <v>67</v>
      </c>
      <c r="O5" s="175"/>
      <c r="P5" s="174" t="s">
        <v>158</v>
      </c>
      <c r="Q5" s="175"/>
    </row>
    <row r="6" spans="2:17" ht="15.9" customHeight="1" x14ac:dyDescent="0.3">
      <c r="B6" s="177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70"/>
      <c r="L6" s="169" t="s">
        <v>382</v>
      </c>
      <c r="M6" s="170"/>
      <c r="N6" s="169" t="s">
        <v>411</v>
      </c>
      <c r="O6" s="170"/>
      <c r="P6" s="169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"&amp;UPPER("Santé")&amp;"  ·  "&amp;COUNTIF('DONNÉES BRUTES'!C$3:C$42,"Santé")&amp;" sociétés  ·  Triée par Score Global"</f>
        <v>ANALYSE DÉTAILLÉE  ·  SANTÉ  ·  5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308" t="s">
        <v>133</v>
      </c>
      <c r="C10" s="309" t="s">
        <v>6</v>
      </c>
      <c r="D10" s="309" t="s">
        <v>1</v>
      </c>
      <c r="E10" s="310" t="s">
        <v>8</v>
      </c>
      <c r="F10" s="310" t="s">
        <v>412</v>
      </c>
      <c r="G10" s="310" t="s">
        <v>413</v>
      </c>
      <c r="H10" s="310" t="s">
        <v>414</v>
      </c>
      <c r="I10" s="310" t="s">
        <v>415</v>
      </c>
      <c r="J10" s="310" t="s">
        <v>340</v>
      </c>
      <c r="K10" s="310" t="s">
        <v>416</v>
      </c>
      <c r="L10" s="310" t="s">
        <v>341</v>
      </c>
      <c r="M10" s="310" t="s">
        <v>147</v>
      </c>
      <c r="N10" s="310" t="s">
        <v>417</v>
      </c>
      <c r="O10" s="310" t="s">
        <v>418</v>
      </c>
      <c r="P10" s="310" t="s">
        <v>14</v>
      </c>
      <c r="Q10" s="311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BRUTES'!C$3:C$42,"Santé"),"",INDEX('DONNÉES BRUTES'!A$3:A$42,MATCH(LARGE(IF('DONNÉES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AZN.L</v>
      </c>
      <c r="D11" s="406" t="str" cm="1">
        <f t="array" ref="D11">IFERROR(IF(1&gt;COUNTIF('DONNÉES BRUTES'!C$3:C$42,"Santé"),"",INDEX('DONNÉES BRUTES'!B$3:B$42,MATCH(LARGE(IF('DONNÉES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AstraZeneca PLC</v>
      </c>
      <c r="E11" s="406" t="str" cm="1">
        <f t="array" ref="E11">IFERROR(IF(1&gt;COUNTIF('DONNÉES BRUTES'!C$3:C$42,"Santé"),"",INT(LARGE(IF('DONNÉES BRUTES'!C$3:C$42="Santé",'DONNÉES BRUTES'!AB$3:AB$42+(ROW('DONNÉES BRUTES'!A$3:A$42)-ROW('DONNÉES BRUTES'!A$3))/1000,0),1))&amp;"/100"),"—")</f>
        <v>60/100</v>
      </c>
      <c r="F11" s="406" cm="1">
        <f t="array" ref="F11">IFERROR(IF(1&gt;COUNTIF('DONNÉES BRUTES'!C$3:C$42,"Santé"),"",INDEX('DONNÉES BRUTES'!Y$3:Y$42,MATCH(LARGE(IF('DONNÉES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87</v>
      </c>
      <c r="G11" s="406" cm="1">
        <f t="array" ref="G11">IFERROR(IF(1&gt;COUNTIF('DONNÉES BRUTES'!C$3:C$42,"Santé"),"",INDEX('DONNÉES BRUTES'!Z$3:Z$42,MATCH(LARGE(IF('DONNÉES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50</v>
      </c>
      <c r="H11" s="406" cm="1">
        <f t="array" ref="H11">IFERROR(IF(1&gt;COUNTIF('DONNÉES BRUTES'!C$3:C$42,"Santé"),"",INDEX('DONNÉES BRUTES'!AA$3:AA$42,MATCH(LARGE(IF('DONNÉES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70</v>
      </c>
      <c r="I11" s="406" t="str" cm="1">
        <f t="array" ref="I11">IFERROR(IF(1&gt;COUNTIF('DONNÉES BRUTES'!C$3:C$42,"Santé"),"",INDEX('DONNÉES BRUTES'!M$3:M$42,MATCH(LARGE(IF('DONNÉES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81.9%</v>
      </c>
      <c r="J11" s="406" t="str" cm="1">
        <f t="array" ref="J11">IFERROR(IF(1&gt;COUNTIF('DONNÉES BRUTES'!C$3:C$42,"Santé"),"",INDEX('DONNÉES BRUTES'!N$3:N$42,MATCH(LARGE(IF('DONNÉES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33.2%</v>
      </c>
      <c r="K11" s="406" t="str" cm="1">
        <f t="array" ref="K11">IFERROR(IF(1&gt;COUNTIF('DONNÉES BRUTES'!C$3:C$42,"Santé"),"",INDEX('DONNÉES BRUTES'!O$3:O$42,MATCH(LARGE(IF('DONNÉES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17.4%</v>
      </c>
      <c r="L11" s="406" t="str" cm="1">
        <f t="array" ref="L11">IFERROR(IF(1&gt;COUNTIF('DONNÉES BRUTES'!C$3:C$42,"Santé"),"",INDEX('DONNÉES BRUTES'!P$3:P$42,MATCH(LARGE(IF('DONNÉES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+8.6%</v>
      </c>
      <c r="M11" s="406" t="str" cm="1">
        <f t="array" ref="M11">IFERROR(IF(1&gt;COUNTIF('DONNÉES BRUTES'!C$3:C$42,"Santé"),"",INDEX('DONNÉES BRUTES'!Q$3:Q$42,MATCH(LARGE(IF('DONNÉES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+21.0%</v>
      </c>
      <c r="N11" s="406" cm="1">
        <f t="array" ref="N11">IFERROR(IF(1&gt;COUNTIF('DONNÉES BRUTES'!C$3:C$42,"Santé"),"",INDEX('DONNÉES BRUTES'!S$3:S$42,MATCH(LARGE(IF('DONNÉES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0.94</v>
      </c>
      <c r="O11" s="406" t="str" cm="1">
        <f t="array" ref="O11">IFERROR(IF(1&gt;COUNTIF('DONNÉES BRUTES'!C$3:C$42,"Santé"),"",INDEX('DONNÉES BRUTES'!T$3:T$42,MATCH(LARGE(IF('DONNÉES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1.1x</v>
      </c>
      <c r="P11" s="406" cm="1">
        <f t="array" ref="P11">IFERROR(IF(1&gt;COUNTIF('DONNÉES BRUTES'!C$3:C$42,"Santé"),"",INDEX('DONNÉES BRUTES'!U$3:U$42,MATCH(LARGE(IF('DONNÉES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1.81</v>
      </c>
      <c r="Q11" s="407" t="str" cm="1">
        <f t="array" ref="Q11">IFERROR(IF(1&gt;COUNTIF('DONNÉES BRUTES'!C$3:C$42,"Santé"),"",INDEX('DONNÉES BRUTES'!AD$3:AD$42,MATCH(LARGE(IF('DONNÉES BRUTES'!C$3:C$42="Santé",'DONNÉES BRUTES'!AB$3:AB$42+(ROW('DONNÉES BRUTES'!A$3:A$42)-ROW('DONNÉES BRUTES'!A$3))/1000,0),1),IF('DONNÉES BRUTES'!C$3:C$42="Santé",'DONNÉES BRUTES'!AB$3:AB$42+(ROW('DONNÉES BRUTES'!A$3:A$42)-ROW('DONNÉES BRUTES'!A$3))/1000,0),0))),"—")</f>
        <v>Surpondérer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BRUTES'!C$3:C$42,"Santé"),"",INDEX('DONNÉES BRUTES'!A$3:A$42,MATCH(LARGE(IF('DONNÉES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GSK.L</v>
      </c>
      <c r="D12" s="409" t="str" cm="1">
        <f t="array" ref="D12">IFERROR(IF(2&gt;COUNTIF('DONNÉES BRUTES'!C$3:C$42,"Santé"),"",INDEX('DONNÉES BRUTES'!B$3:B$42,MATCH(LARGE(IF('DONNÉES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GSK plc</v>
      </c>
      <c r="E12" s="409" t="str" cm="1">
        <f t="array" ref="E12">IFERROR(IF(2&gt;COUNTIF('DONNÉES BRUTES'!C$3:C$42,"Santé"),"",INT(LARGE(IF('DONNÉES BRUTES'!C$3:C$42="Santé",'DONNÉES BRUTES'!AB$3:AB$42+(ROW('DONNÉES BRUTES'!A$3:A$42)-ROW('DONNÉES BRUTES'!A$3))/1000,0),2))&amp;"/100"),"—")</f>
        <v>56/100</v>
      </c>
      <c r="F12" s="409" cm="1">
        <f t="array" ref="F12">IFERROR(IF(2&gt;COUNTIF('DONNÉES BRUTES'!C$3:C$42,"Santé"),"",INDEX('DONNÉES BRUTES'!Y$3:Y$42,MATCH(LARGE(IF('DONNÉES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78</v>
      </c>
      <c r="G12" s="409" cm="1">
        <f t="array" ref="G12">IFERROR(IF(2&gt;COUNTIF('DONNÉES BRUTES'!C$3:C$42,"Santé"),"",INDEX('DONNÉES BRUTES'!Z$3:Z$42,MATCH(LARGE(IF('DONNÉES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41</v>
      </c>
      <c r="H12" s="409" cm="1">
        <f t="array" ref="H12">IFERROR(IF(2&gt;COUNTIF('DONNÉES BRUTES'!C$3:C$42,"Santé"),"",INDEX('DONNÉES BRUTES'!AA$3:AA$42,MATCH(LARGE(IF('DONNÉES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72</v>
      </c>
      <c r="I12" s="409" t="str" cm="1">
        <f t="array" ref="I12">IFERROR(IF(2&gt;COUNTIF('DONNÉES BRUTES'!C$3:C$42,"Santé"),"",INDEX('DONNÉES BRUTES'!M$3:M$42,MATCH(LARGE(IF('DONNÉES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72.4%</v>
      </c>
      <c r="J12" s="409" t="str" cm="1">
        <f t="array" ref="J12">IFERROR(IF(2&gt;COUNTIF('DONNÉES BRUTES'!C$3:C$42,"Santé"),"",INDEX('DONNÉES BRUTES'!N$3:N$42,MATCH(LARGE(IF('DONNÉES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31.8%</v>
      </c>
      <c r="K12" s="409" t="str" cm="1">
        <f t="array" ref="K12">IFERROR(IF(2&gt;COUNTIF('DONNÉES BRUTES'!C$3:C$42,"Santé"),"",INDEX('DONNÉES BRUTES'!O$3:O$42,MATCH(LARGE(IF('DONNÉES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17.5%</v>
      </c>
      <c r="L12" s="409" t="str" cm="1">
        <f t="array" ref="L12">IFERROR(IF(2&gt;COUNTIF('DONNÉES BRUTES'!C$3:C$42,"Santé"),"",INDEX('DONNÉES BRUTES'!P$3:P$42,MATCH(LARGE(IF('DONNÉES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+4.1%</v>
      </c>
      <c r="M12" s="409" t="str" cm="1">
        <f t="array" ref="M12">IFERROR(IF(2&gt;COUNTIF('DONNÉES BRUTES'!C$3:C$42,"Santé"),"",INDEX('DONNÉES BRUTES'!Q$3:Q$42,MATCH(LARGE(IF('DONNÉES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+34.9%</v>
      </c>
      <c r="N12" s="409" cm="1">
        <f t="array" ref="N12">IFERROR(IF(2&gt;COUNTIF('DONNÉES BRUTES'!C$3:C$42,"Santé"),"",INDEX('DONNÉES BRUTES'!S$3:S$42,MATCH(LARGE(IF('DONNÉES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0.82</v>
      </c>
      <c r="O12" s="409" t="str" cm="1">
        <f t="array" ref="O12">IFERROR(IF(2&gt;COUNTIF('DONNÉES BRUTES'!C$3:C$42,"Santé"),"",INDEX('DONNÉES BRUTES'!T$3:T$42,MATCH(LARGE(IF('DONNÉES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1.3x</v>
      </c>
      <c r="P12" s="409" cm="1">
        <f t="array" ref="P12">IFERROR(IF(2&gt;COUNTIF('DONNÉES BRUTES'!C$3:C$42,"Santé"),"",INDEX('DONNÉES BRUTES'!U$3:U$42,MATCH(LARGE(IF('DONNÉES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1.4</v>
      </c>
      <c r="Q12" s="410" t="str" cm="1">
        <f t="array" ref="Q12">IFERROR(IF(2&gt;COUNTIF('DONNÉES BRUTES'!C$3:C$42,"Santé"),"",INDEX('DONNÉES BRUTES'!AD$3:AD$42,MATCH(LARGE(IF('DONNÉES BRUTES'!C$3:C$42="Santé",'DONNÉES BRUTES'!AB$3:AB$42+(ROW('DONNÉES BRUTES'!A$3:A$42)-ROW('DONNÉES BRUTES'!A$3))/1000,0),2),IF('DONNÉES BRUTES'!C$3:C$42="Santé",'DONNÉES BRUTES'!AB$3:AB$42+(ROW('DONNÉES BRUTES'!A$3:A$42)-ROW('DONNÉES BRUTES'!A$3))/1000,0),0))),"—")</f>
        <v>Neutre</v>
      </c>
    </row>
    <row r="13" spans="2:17" ht="15.9" customHeight="1" x14ac:dyDescent="0.3">
      <c r="B13" s="411">
        <v>3</v>
      </c>
      <c r="C13" s="412" t="str" cm="1">
        <f t="array" ref="C13">IFERROR(IF(3&gt;COUNTIF('DONNÉES BRUTES'!C$3:C$42,"Santé"),"",INDEX('DONNÉES BRUTES'!A$3:A$42,MATCH(LARGE(IF('DONNÉES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SAN.PA</v>
      </c>
      <c r="D13" s="412" t="str" cm="1">
        <f t="array" ref="D13">IFERROR(IF(3&gt;COUNTIF('DONNÉES BRUTES'!C$3:C$42,"Santé"),"",INDEX('DONNÉES BRUTES'!B$3:B$42,MATCH(LARGE(IF('DONNÉES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Sanofi</v>
      </c>
      <c r="E13" s="412" t="str" cm="1">
        <f t="array" ref="E13">IFERROR(IF(3&gt;COUNTIF('DONNÉES BRUTES'!C$3:C$42,"Santé"),"",INT(LARGE(IF('DONNÉES BRUTES'!C$3:C$42="Santé",'DONNÉES BRUTES'!AB$3:AB$42+(ROW('DONNÉES BRUTES'!A$3:A$42)-ROW('DONNÉES BRUTES'!A$3))/1000,0),3))&amp;"/100"),"—")</f>
        <v>50/100</v>
      </c>
      <c r="F13" s="412" cm="1">
        <f t="array" ref="F13">IFERROR(IF(3&gt;COUNTIF('DONNÉES BRUTES'!C$3:C$42,"Santé"),"",INDEX('DONNÉES BRUTES'!Y$3:Y$42,MATCH(LARGE(IF('DONNÉES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67</v>
      </c>
      <c r="G13" s="412" cm="1">
        <f t="array" ref="G13">IFERROR(IF(3&gt;COUNTIF('DONNÉES BRUTES'!C$3:C$42,"Santé"),"",INDEX('DONNÉES BRUTES'!Z$3:Z$42,MATCH(LARGE(IF('DONNÉES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39</v>
      </c>
      <c r="H13" s="412" cm="1">
        <f t="array" ref="H13">IFERROR(IF(3&gt;COUNTIF('DONNÉES BRUTES'!C$3:C$42,"Santé"),"",INDEX('DONNÉES BRUTES'!AA$3:AA$42,MATCH(LARGE(IF('DONNÉES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17</v>
      </c>
      <c r="I13" s="412" t="str" cm="1">
        <f t="array" ref="I13">IFERROR(IF(3&gt;COUNTIF('DONNÉES BRUTES'!C$3:C$42,"Santé"),"",INDEX('DONNÉES BRUTES'!M$3:M$42,MATCH(LARGE(IF('DONNÉES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72.1%</v>
      </c>
      <c r="J13" s="412" t="str" cm="1">
        <f t="array" ref="J13">IFERROR(IF(3&gt;COUNTIF('DONNÉES BRUTES'!C$3:C$42,"Santé"),"",INDEX('DONNÉES BRUTES'!N$3:N$42,MATCH(LARGE(IF('DONNÉES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26.7%</v>
      </c>
      <c r="K13" s="412" t="str" cm="1">
        <f t="array" ref="K13">IFERROR(IF(3&gt;COUNTIF('DONNÉES BRUTES'!C$3:C$42,"Santé"),"",INDEX('DONNÉES BRUTES'!O$3:O$42,MATCH(LARGE(IF('DONNÉES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16.7%</v>
      </c>
      <c r="L13" s="412" t="str" cm="1">
        <f t="array" ref="L13">IFERROR(IF(3&gt;COUNTIF('DONNÉES BRUTES'!C$3:C$42,"Santé"),"",INDEX('DONNÉES BRUTES'!P$3:P$42,MATCH(LARGE(IF('DONNÉES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+5.5%</v>
      </c>
      <c r="M13" s="412" t="str" cm="1">
        <f t="array" ref="M13">IFERROR(IF(3&gt;COUNTIF('DONNÉES BRUTES'!C$3:C$42,"Santé"),"",INDEX('DONNÉES BRUTES'!Q$3:Q$42,MATCH(LARGE(IF('DONNÉES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+10.9%</v>
      </c>
      <c r="N13" s="412" cm="1">
        <f t="array" ref="N13">IFERROR(IF(3&gt;COUNTIF('DONNÉES BRUTES'!C$3:C$42,"Santé"),"",INDEX('DONNÉES BRUTES'!S$3:S$42,MATCH(LARGE(IF('DONNÉES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1.0900000000000001</v>
      </c>
      <c r="O13" s="412" t="str" cm="1">
        <f t="array" ref="O13">IFERROR(IF(3&gt;COUNTIF('DONNÉES BRUTES'!C$3:C$42,"Santé"),"",INDEX('DONNÉES BRUTES'!T$3:T$42,MATCH(LARGE(IF('DONNÉES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0.9x</v>
      </c>
      <c r="P13" s="412" t="str" cm="1">
        <f t="array" ref="P13">IFERROR(IF(3&gt;COUNTIF('DONNÉES BRUTES'!C$3:C$42,"Santé"),"",INDEX('DONNÉES BRUTES'!U$3:U$42,MATCH(LARGE(IF('DONNÉES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—</v>
      </c>
      <c r="Q13" s="413" t="str" cm="1">
        <f t="array" ref="Q13">IFERROR(IF(3&gt;COUNTIF('DONNÉES BRUTES'!C$3:C$42,"Santé"),"",INDEX('DONNÉES BRUTES'!AD$3:AD$42,MATCH(LARGE(IF('DONNÉES BRUTES'!C$3:C$42="Santé",'DONNÉES BRUTES'!AB$3:AB$42+(ROW('DONNÉES BRUTES'!A$3:A$42)-ROW('DONNÉES BRUTES'!A$3))/1000,0),3),IF('DONNÉES BRUTES'!C$3:C$42="Santé",'DONNÉES BRUTES'!AB$3:AB$42+(ROW('DONNÉES BRUTES'!A$3:A$42)-ROW('DONNÉES BRUTES'!A$3))/1000,0),0))),"—")</f>
        <v>Neutre</v>
      </c>
    </row>
    <row r="14" spans="2:17" ht="15.9" customHeight="1" x14ac:dyDescent="0.3">
      <c r="B14" s="408">
        <v>4</v>
      </c>
      <c r="C14" s="409" t="str" cm="1">
        <f t="array" ref="C14">IFERROR(IF(4&gt;COUNTIF('DONNÉES BRUTES'!C$3:C$42,"Santé"),"",INDEX('DONNÉES BRUTES'!A$3:A$42,MATCH(LARGE(IF('DONNÉES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PHIA.AS</v>
      </c>
      <c r="D14" s="409" t="str" cm="1">
        <f t="array" ref="D14">IFERROR(IF(4&gt;COUNTIF('DONNÉES BRUTES'!C$3:C$42,"Santé"),"",INDEX('DONNÉES BRUTES'!B$3:B$42,MATCH(LARGE(IF('DONNÉES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Koninklijke Philips N.V.</v>
      </c>
      <c r="E14" s="409" t="str" cm="1">
        <f t="array" ref="E14">IFERROR(IF(4&gt;COUNTIF('DONNÉES BRUTES'!C$3:C$42,"Santé"),"",INT(LARGE(IF('DONNÉES BRUTES'!C$3:C$42="Santé",'DONNÉES BRUTES'!AB$3:AB$42+(ROW('DONNÉES BRUTES'!A$3:A$42)-ROW('DONNÉES BRUTES'!A$3))/1000,0),4))&amp;"/100"),"—")</f>
        <v>47/100</v>
      </c>
      <c r="F14" s="409" cm="1">
        <f t="array" ref="F14">IFERROR(IF(4&gt;COUNTIF('DONNÉES BRUTES'!C$3:C$42,"Santé"),"",INDEX('DONNÉES BRUTES'!Y$3:Y$42,MATCH(LARGE(IF('DONNÉES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42</v>
      </c>
      <c r="G14" s="409" cm="1">
        <f t="array" ref="G14">IFERROR(IF(4&gt;COUNTIF('DONNÉES BRUTES'!C$3:C$42,"Santé"),"",INDEX('DONNÉES BRUTES'!Z$3:Z$42,MATCH(LARGE(IF('DONNÉES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39</v>
      </c>
      <c r="H14" s="409" cm="1">
        <f t="array" ref="H14">IFERROR(IF(4&gt;COUNTIF('DONNÉES BRUTES'!C$3:C$42,"Santé"),"",INDEX('DONNÉES BRUTES'!AA$3:AA$42,MATCH(LARGE(IF('DONNÉES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55</v>
      </c>
      <c r="I14" s="409" t="str" cm="1">
        <f t="array" ref="I14">IFERROR(IF(4&gt;COUNTIF('DONNÉES BRUTES'!C$3:C$42,"Santé"),"",INDEX('DONNÉES BRUTES'!M$3:M$42,MATCH(LARGE(IF('DONNÉES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45.2%</v>
      </c>
      <c r="J14" s="409" t="str" cm="1">
        <f t="array" ref="J14">IFERROR(IF(4&gt;COUNTIF('DONNÉES BRUTES'!C$3:C$42,"Santé"),"",INDEX('DONNÉES BRUTES'!N$3:N$42,MATCH(LARGE(IF('DONNÉES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14.6%</v>
      </c>
      <c r="K14" s="409" t="str" cm="1">
        <f t="array" ref="K14">IFERROR(IF(4&gt;COUNTIF('DONNÉES BRUTES'!C$3:C$42,"Santé"),"",INDEX('DONNÉES BRUTES'!O$3:O$42,MATCH(LARGE(IF('DONNÉES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5.0%</v>
      </c>
      <c r="L14" s="409" t="str" cm="1">
        <f t="array" ref="L14">IFERROR(IF(4&gt;COUNTIF('DONNÉES BRUTES'!C$3:C$42,"Santé"),"",INDEX('DONNÉES BRUTES'!P$3:P$42,MATCH(LARGE(IF('DONNÉES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-1.0%</v>
      </c>
      <c r="M14" s="409" t="str" cm="1">
        <f t="array" ref="M14">IFERROR(IF(4&gt;COUNTIF('DONNÉES BRUTES'!C$3:C$42,"Santé"),"",INDEX('DONNÉES BRUTES'!Q$3:Q$42,MATCH(LARGE(IF('DONNÉES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+8.2%</v>
      </c>
      <c r="N14" s="409" cm="1">
        <f t="array" ref="N14">IFERROR(IF(4&gt;COUNTIF('DONNÉES BRUTES'!C$3:C$42,"Santé"),"",INDEX('DONNÉES BRUTES'!S$3:S$42,MATCH(LARGE(IF('DONNÉES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1.32</v>
      </c>
      <c r="O14" s="409" t="str" cm="1">
        <f t="array" ref="O14">IFERROR(IF(4&gt;COUNTIF('DONNÉES BRUTES'!C$3:C$42,"Santé"),"",INDEX('DONNÉES BRUTES'!T$3:T$42,MATCH(LARGE(IF('DONNÉES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1.6x</v>
      </c>
      <c r="P14" s="409" cm="1">
        <f t="array" ref="P14">IFERROR(IF(4&gt;COUNTIF('DONNÉES BRUTES'!C$3:C$42,"Santé"),"",INDEX('DONNÉES BRUTES'!U$3:U$42,MATCH(LARGE(IF('DONNÉES BRUTES'!C$3:C$42="Santé",'DONNÉES BRUTES'!AB$3:AB$42+(ROW('DONNÉES BRUTES'!A$3:A$42)-ROW('DONNÉES BRUTES'!A$3))/1000,0),4),IF('DONNÉES BRUTES'!C$3:C$42="Santé",'DONNÉES BRUTES'!AB$3:AB$42+(ROW('DONNÉES BRUTES'!A$3:A$42)-ROW('DONNÉES BRUTES'!A$3))/1000,0),0))),"—")</f>
        <v>2.11</v>
      </c>
      <c r="Q14" s="410"/>
    </row>
    <row r="15" spans="2:17" ht="15.9" customHeight="1" x14ac:dyDescent="0.3">
      <c r="B15" s="417">
        <v>5</v>
      </c>
      <c r="C15" s="418" t="str" cm="1">
        <f t="array" ref="C15">IFERROR(IF(5&gt;COUNTIF('DONNÉES BRUTES'!C$3:C$42,"Santé"),"",INDEX('DONNÉES BRUTES'!A$3:A$42,MATCH(LARGE(IF('DONNÉES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EL.PA</v>
      </c>
      <c r="D15" s="418" t="str" cm="1">
        <f t="array" ref="D15">IFERROR(IF(5&gt;COUNTIF('DONNÉES BRUTES'!C$3:C$42,"Santé"),"",INDEX('DONNÉES BRUTES'!B$3:B$42,MATCH(LARGE(IF('DONNÉES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EssilorLuxottica Société anonyme</v>
      </c>
      <c r="E15" s="418" t="str" cm="1">
        <f t="array" ref="E15">IFERROR(IF(5&gt;COUNTIF('DONNÉES BRUTES'!C$3:C$42,"Santé"),"",INT(LARGE(IF('DONNÉES BRUTES'!C$3:C$42="Santé",'DONNÉES BRUTES'!AB$3:AB$42+(ROW('DONNÉES BRUTES'!A$3:A$42)-ROW('DONNÉES BRUTES'!A$3))/1000,0),5))&amp;"/100"),"—")</f>
        <v>35/100</v>
      </c>
      <c r="F15" s="418" cm="1">
        <f t="array" ref="F15">IFERROR(IF(5&gt;COUNTIF('DONNÉES BRUTES'!C$3:C$42,"Santé"),"",INDEX('DONNÉES BRUTES'!Y$3:Y$42,MATCH(LARGE(IF('DONNÉES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58</v>
      </c>
      <c r="G15" s="418" cm="1">
        <f t="array" ref="G15">IFERROR(IF(5&gt;COUNTIF('DONNÉES BRUTES'!C$3:C$42,"Santé"),"",INDEX('DONNÉES BRUTES'!Z$3:Z$42,MATCH(LARGE(IF('DONNÉES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45</v>
      </c>
      <c r="H15" s="418" cm="1">
        <f t="array" ref="H15">IFERROR(IF(5&gt;COUNTIF('DONNÉES BRUTES'!C$3:C$42,"Santé"),"",INDEX('DONNÉES BRUTES'!AA$3:AA$42,MATCH(LARGE(IF('DONNÉES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9</v>
      </c>
      <c r="I15" s="418" t="str" cm="1">
        <f t="array" ref="I15">IFERROR(IF(5&gt;COUNTIF('DONNÉES BRUTES'!C$3:C$42,"Santé"),"",INDEX('DONNÉES BRUTES'!M$3:M$42,MATCH(LARGE(IF('DONNÉES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60.6%</v>
      </c>
      <c r="J15" s="418" t="str" cm="1">
        <f t="array" ref="J15">IFERROR(IF(5&gt;COUNTIF('DONNÉES BRUTES'!C$3:C$42,"Santé"),"",INDEX('DONNÉES BRUTES'!N$3:N$42,MATCH(LARGE(IF('DONNÉES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23.2%</v>
      </c>
      <c r="K15" s="418" t="str" cm="1">
        <f t="array" ref="K15">IFERROR(IF(5&gt;COUNTIF('DONNÉES BRUTES'!C$3:C$42,"Santé"),"",INDEX('DONNÉES BRUTES'!O$3:O$42,MATCH(LARGE(IF('DONNÉES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8.1%</v>
      </c>
      <c r="L15" s="418" t="str" cm="1">
        <f t="array" ref="L15">IFERROR(IF(5&gt;COUNTIF('DONNÉES BRUTES'!C$3:C$42,"Santé"),"",INDEX('DONNÉES BRUTES'!P$3:P$42,MATCH(LARGE(IF('DONNÉES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+7.5%</v>
      </c>
      <c r="M15" s="418" t="str" cm="1">
        <f t="array" ref="M15">IFERROR(IF(5&gt;COUNTIF('DONNÉES BRUTES'!C$3:C$42,"Santé"),"",INDEX('DONNÉES BRUTES'!Q$3:Q$42,MATCH(LARGE(IF('DONNÉES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+6.0%</v>
      </c>
      <c r="N15" s="418" cm="1">
        <f t="array" ref="N15">IFERROR(IF(5&gt;COUNTIF('DONNÉES BRUTES'!C$3:C$42,"Santé"),"",INDEX('DONNÉES BRUTES'!S$3:S$42,MATCH(LARGE(IF('DONNÉES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1.1000000000000001</v>
      </c>
      <c r="O15" s="418" t="str" cm="1">
        <f t="array" ref="O15">IFERROR(IF(5&gt;COUNTIF('DONNÉES BRUTES'!C$3:C$42,"Santé"),"",INDEX('DONNÉES BRUTES'!T$3:T$42,MATCH(LARGE(IF('DONNÉES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1.1x</v>
      </c>
      <c r="P15" s="418" cm="1">
        <f t="array" ref="P15">IFERROR(IF(5&gt;COUNTIF('DONNÉES BRUTES'!C$3:C$42,"Santé"),"",INDEX('DONNÉES BRUTES'!U$3:U$42,MATCH(LARGE(IF('DONNÉES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2.27</v>
      </c>
      <c r="Q15" s="419" t="str" cm="1">
        <f t="array" ref="Q15">IFERROR(IF(5&gt;COUNTIF('DONNÉES BRUTES'!C$3:C$42,"Santé"),"",INDEX('DONNÉES BRUTES'!AD$3:AD$42,MATCH(LARGE(IF('DONNÉES BRUTES'!C$3:C$42="Santé",'DONNÉES BRUTES'!AB$3:AB$42+(ROW('DONNÉES BRUTES'!A$3:A$42)-ROW('DONNÉES BRUTES'!A$3))/1000,0),5),IF('DONNÉES BRUTES'!C$3:C$42="Santé",'DONNÉES BRUTES'!AB$3:AB$42+(ROW('DONNÉES BRUTES'!A$3:A$42)-ROW('DONNÉES BRUTES'!A$3))/1000,0),0))),"—")</f>
        <v>Sous-pondérer</v>
      </c>
    </row>
    <row r="16" spans="2:17" ht="15.9" customHeight="1" x14ac:dyDescent="0.3">
      <c r="C16" t="str" cm="1">
        <f t="array" ref="C16">IFERROR(IF(6&gt;COUNTIF('DONNÉES BRUTES'!C$3:C$42,"Santé"),"",INDEX('DONNÉES BRUTES'!A$3:A$42,MATCH(LARGE(IF('DONNÉES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D16" t="str" cm="1">
        <f t="array" ref="D16">IFERROR(IF(6&gt;COUNTIF('DONNÉES BRUTES'!C$3:C$42,"Santé"),"",INDEX('DONNÉES BRUTES'!B$3:B$42,MATCH(LARGE(IF('DONNÉES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E16" t="str" cm="1">
        <f t="array" ref="E16">IFERROR(IF(6&gt;COUNTIF('DONNÉES BRUTES'!C$3:C$42,"Santé"),"",INT(LARGE(IF('DONNÉES BRUTES'!C$3:C$42="Santé",'DONNÉES BRUTES'!AB$3:AB$42+(ROW('DONNÉES BRUTES'!A$3:A$42)-ROW('DONNÉES BRUTES'!A$3))/1000,0),6))&amp;"/100"),"—")</f>
        <v/>
      </c>
      <c r="F16" t="str" cm="1">
        <f t="array" ref="F16">IFERROR(IF(6&gt;COUNTIF('DONNÉES BRUTES'!C$3:C$42,"Santé"),"",INDEX('DONNÉES BRUTES'!Y$3:Y$42,MATCH(LARGE(IF('DONNÉES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G16" t="str" cm="1">
        <f t="array" ref="G16">IFERROR(IF(6&gt;COUNTIF('DONNÉES BRUTES'!C$3:C$42,"Santé"),"",INDEX('DONNÉES BRUTES'!Z$3:Z$42,MATCH(LARGE(IF('DONNÉES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H16" t="str" cm="1">
        <f t="array" ref="H16">IFERROR(IF(6&gt;COUNTIF('DONNÉES BRUTES'!C$3:C$42,"Santé"),"",INDEX('DONNÉES BRUTES'!AA$3:AA$42,MATCH(LARGE(IF('DONNÉES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I16" t="str" cm="1">
        <f t="array" ref="I16">IFERROR(IF(6&gt;COUNTIF('DONNÉES BRUTES'!C$3:C$42,"Santé"),"",INDEX('DONNÉES BRUTES'!M$3:M$42,MATCH(LARGE(IF('DONNÉES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J16" t="str" cm="1">
        <f t="array" ref="J16">IFERROR(IF(6&gt;COUNTIF('DONNÉES BRUTES'!C$3:C$42,"Santé"),"",INDEX('DONNÉES BRUTES'!N$3:N$42,MATCH(LARGE(IF('DONNÉES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K16" t="str" cm="1">
        <f t="array" ref="K16">IFERROR(IF(6&gt;COUNTIF('DONNÉES BRUTES'!C$3:C$42,"Santé"),"",INDEX('DONNÉES BRUTES'!O$3:O$42,MATCH(LARGE(IF('DONNÉES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L16" t="str" cm="1">
        <f t="array" ref="L16">IFERROR(IF(6&gt;COUNTIF('DONNÉES BRUTES'!C$3:C$42,"Santé"),"",INDEX('DONNÉES BRUTES'!P$3:P$42,MATCH(LARGE(IF('DONNÉES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M16" t="str" cm="1">
        <f t="array" ref="M16">IFERROR(IF(6&gt;COUNTIF('DONNÉES BRUTES'!C$3:C$42,"Santé"),"",INDEX('DONNÉES BRUTES'!Q$3:Q$42,MATCH(LARGE(IF('DONNÉES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N16" t="str" cm="1">
        <f t="array" ref="N16">IFERROR(IF(6&gt;COUNTIF('DONNÉES BRUTES'!C$3:C$42,"Santé"),"",INDEX('DONNÉES BRUTES'!S$3:S$42,MATCH(LARGE(IF('DONNÉES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O16" t="str" cm="1">
        <f t="array" ref="O16">IFERROR(IF(6&gt;COUNTIF('DONNÉES BRUTES'!C$3:C$42,"Santé"),"",INDEX('DONNÉES BRUTES'!T$3:T$42,MATCH(LARGE(IF('DONNÉES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P16" t="str" cm="1">
        <f t="array" ref="P16">IFERROR(IF(6&gt;COUNTIF('DONNÉES BRUTES'!C$3:C$42,"Santé"),"",INDEX('DONNÉES BRUTES'!U$3:U$42,MATCH(LARGE(IF('DONNÉES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  <c r="Q16" t="str" cm="1">
        <f t="array" ref="Q16">IFERROR(IF(6&gt;COUNTIF('DONNÉES BRUTES'!C$3:C$42,"Santé"),"",INDEX('DONNÉES BRUTES'!AD$3:AD$42,MATCH(LARGE(IF('DONNÉES BRUTES'!C$3:C$42="Santé",'DONNÉES BRUTES'!AB$3:AB$42+(ROW('DONNÉES BRUTES'!A$3:A$42)-ROW('DONNÉES BRUTES'!A$3))/1000,0),6),IF('DONNÉES BRUTES'!C$3:C$42="Santé",'DONNÉES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BRUTES'!C$3:C$42,"Santé"),"",INDEX('DONNÉES BRUTES'!A$3:A$42,MATCH(LARGE(IF('DONNÉES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D17" t="str" cm="1">
        <f t="array" ref="D17">IFERROR(IF(7&gt;COUNTIF('DONNÉES BRUTES'!C$3:C$42,"Santé"),"",INDEX('DONNÉES BRUTES'!B$3:B$42,MATCH(LARGE(IF('DONNÉES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E17" t="str" cm="1">
        <f t="array" ref="E17">IFERROR(IF(7&gt;COUNTIF('DONNÉES BRUTES'!C$3:C$42,"Santé"),"",INT(LARGE(IF('DONNÉES BRUTES'!C$3:C$42="Santé",'DONNÉES BRUTES'!AB$3:AB$42+(ROW('DONNÉES BRUTES'!A$3:A$42)-ROW('DONNÉES BRUTES'!A$3))/1000,0),7))&amp;"/100"),"—")</f>
        <v/>
      </c>
      <c r="F17" t="str" cm="1">
        <f t="array" ref="F17">IFERROR(IF(7&gt;COUNTIF('DONNÉES BRUTES'!C$3:C$42,"Santé"),"",INDEX('DONNÉES BRUTES'!Y$3:Y$42,MATCH(LARGE(IF('DONNÉES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G17" t="str" cm="1">
        <f t="array" ref="G17">IFERROR(IF(7&gt;COUNTIF('DONNÉES BRUTES'!C$3:C$42,"Santé"),"",INDEX('DONNÉES BRUTES'!Z$3:Z$42,MATCH(LARGE(IF('DONNÉES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H17" t="str" cm="1">
        <f t="array" ref="H17">IFERROR(IF(7&gt;COUNTIF('DONNÉES BRUTES'!C$3:C$42,"Santé"),"",INDEX('DONNÉES BRUTES'!AA$3:AA$42,MATCH(LARGE(IF('DONNÉES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I17" t="str" cm="1">
        <f t="array" ref="I17">IFERROR(IF(7&gt;COUNTIF('DONNÉES BRUTES'!C$3:C$42,"Santé"),"",INDEX('DONNÉES BRUTES'!M$3:M$42,MATCH(LARGE(IF('DONNÉES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J17" t="str" cm="1">
        <f t="array" ref="J17">IFERROR(IF(7&gt;COUNTIF('DONNÉES BRUTES'!C$3:C$42,"Santé"),"",INDEX('DONNÉES BRUTES'!N$3:N$42,MATCH(LARGE(IF('DONNÉES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K17" t="str" cm="1">
        <f t="array" ref="K17">IFERROR(IF(7&gt;COUNTIF('DONNÉES BRUTES'!C$3:C$42,"Santé"),"",INDEX('DONNÉES BRUTES'!O$3:O$42,MATCH(LARGE(IF('DONNÉES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L17" t="str" cm="1">
        <f t="array" ref="L17">IFERROR(IF(7&gt;COUNTIF('DONNÉES BRUTES'!C$3:C$42,"Santé"),"",INDEX('DONNÉES BRUTES'!P$3:P$42,MATCH(LARGE(IF('DONNÉES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M17" t="str" cm="1">
        <f t="array" ref="M17">IFERROR(IF(7&gt;COUNTIF('DONNÉES BRUTES'!C$3:C$42,"Santé"),"",INDEX('DONNÉES BRUTES'!Q$3:Q$42,MATCH(LARGE(IF('DONNÉES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N17" t="str" cm="1">
        <f t="array" ref="N17">IFERROR(IF(7&gt;COUNTIF('DONNÉES BRUTES'!C$3:C$42,"Santé"),"",INDEX('DONNÉES BRUTES'!S$3:S$42,MATCH(LARGE(IF('DONNÉES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O17" t="str" cm="1">
        <f t="array" ref="O17">IFERROR(IF(7&gt;COUNTIF('DONNÉES BRUTES'!C$3:C$42,"Santé"),"",INDEX('DONNÉES BRUTES'!T$3:T$42,MATCH(LARGE(IF('DONNÉES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P17" t="str" cm="1">
        <f t="array" ref="P17">IFERROR(IF(7&gt;COUNTIF('DONNÉES BRUTES'!C$3:C$42,"Santé"),"",INDEX('DONNÉES BRUTES'!U$3:U$42,MATCH(LARGE(IF('DONNÉES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  <c r="Q17" t="str" cm="1">
        <f t="array" ref="Q17">IFERROR(IF(7&gt;COUNTIF('DONNÉES BRUTES'!C$3:C$42,"Santé"),"",INDEX('DONNÉES BRUTES'!AD$3:AD$42,MATCH(LARGE(IF('DONNÉES BRUTES'!C$3:C$42="Santé",'DONNÉES BRUTES'!AB$3:AB$42+(ROW('DONNÉES BRUTES'!A$3:A$42)-ROW('DONNÉES BRUTES'!A$3))/1000,0),7),IF('DONNÉES BRUTES'!C$3:C$42="Santé",'DONNÉES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BRUTES'!C$3:C$42,"Santé"),"",INDEX('DONNÉES BRUTES'!A$3:A$42,MATCH(LARGE(IF('DONNÉES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D18" t="str" cm="1">
        <f t="array" ref="D18">IFERROR(IF(8&gt;COUNTIF('DONNÉES BRUTES'!C$3:C$42,"Santé"),"",INDEX('DONNÉES BRUTES'!B$3:B$42,MATCH(LARGE(IF('DONNÉES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E18" t="str" cm="1">
        <f t="array" ref="E18">IFERROR(IF(8&gt;COUNTIF('DONNÉES BRUTES'!C$3:C$42,"Santé"),"",INT(LARGE(IF('DONNÉES BRUTES'!C$3:C$42="Santé",'DONNÉES BRUTES'!AB$3:AB$42+(ROW('DONNÉES BRUTES'!A$3:A$42)-ROW('DONNÉES BRUTES'!A$3))/1000,0),8))&amp;"/100"),"—")</f>
        <v/>
      </c>
      <c r="F18" t="str" cm="1">
        <f t="array" ref="F18">IFERROR(IF(8&gt;COUNTIF('DONNÉES BRUTES'!C$3:C$42,"Santé"),"",INDEX('DONNÉES BRUTES'!Y$3:Y$42,MATCH(LARGE(IF('DONNÉES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G18" t="str" cm="1">
        <f t="array" ref="G18">IFERROR(IF(8&gt;COUNTIF('DONNÉES BRUTES'!C$3:C$42,"Santé"),"",INDEX('DONNÉES BRUTES'!Z$3:Z$42,MATCH(LARGE(IF('DONNÉES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H18" t="str" cm="1">
        <f t="array" ref="H18">IFERROR(IF(8&gt;COUNTIF('DONNÉES BRUTES'!C$3:C$42,"Santé"),"",INDEX('DONNÉES BRUTES'!AA$3:AA$42,MATCH(LARGE(IF('DONNÉES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I18" t="str" cm="1">
        <f t="array" ref="I18">IFERROR(IF(8&gt;COUNTIF('DONNÉES BRUTES'!C$3:C$42,"Santé"),"",INDEX('DONNÉES BRUTES'!M$3:M$42,MATCH(LARGE(IF('DONNÉES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J18" t="str" cm="1">
        <f t="array" ref="J18">IFERROR(IF(8&gt;COUNTIF('DONNÉES BRUTES'!C$3:C$42,"Santé"),"",INDEX('DONNÉES BRUTES'!N$3:N$42,MATCH(LARGE(IF('DONNÉES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K18" t="str" cm="1">
        <f t="array" ref="K18">IFERROR(IF(8&gt;COUNTIF('DONNÉES BRUTES'!C$3:C$42,"Santé"),"",INDEX('DONNÉES BRUTES'!O$3:O$42,MATCH(LARGE(IF('DONNÉES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L18" t="str" cm="1">
        <f t="array" ref="L18">IFERROR(IF(8&gt;COUNTIF('DONNÉES BRUTES'!C$3:C$42,"Santé"),"",INDEX('DONNÉES BRUTES'!P$3:P$42,MATCH(LARGE(IF('DONNÉES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M18" t="str" cm="1">
        <f t="array" ref="M18">IFERROR(IF(8&gt;COUNTIF('DONNÉES BRUTES'!C$3:C$42,"Santé"),"",INDEX('DONNÉES BRUTES'!Q$3:Q$42,MATCH(LARGE(IF('DONNÉES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N18" t="str" cm="1">
        <f t="array" ref="N18">IFERROR(IF(8&gt;COUNTIF('DONNÉES BRUTES'!C$3:C$42,"Santé"),"",INDEX('DONNÉES BRUTES'!S$3:S$42,MATCH(LARGE(IF('DONNÉES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O18" t="str" cm="1">
        <f t="array" ref="O18">IFERROR(IF(8&gt;COUNTIF('DONNÉES BRUTES'!C$3:C$42,"Santé"),"",INDEX('DONNÉES BRUTES'!T$3:T$42,MATCH(LARGE(IF('DONNÉES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P18" t="str" cm="1">
        <f t="array" ref="P18">IFERROR(IF(8&gt;COUNTIF('DONNÉES BRUTES'!C$3:C$42,"Santé"),"",INDEX('DONNÉES BRUTES'!U$3:U$42,MATCH(LARGE(IF('DONNÉES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  <c r="Q18" t="str" cm="1">
        <f t="array" ref="Q18">IFERROR(IF(8&gt;COUNTIF('DONNÉES BRUTES'!C$3:C$42,"Santé"),"",INDEX('DONNÉES BRUTES'!AD$3:AD$42,MATCH(LARGE(IF('DONNÉES BRUTES'!C$3:C$42="Santé",'DONNÉES BRUTES'!AB$3:AB$42+(ROW('DONNÉES BRUTES'!A$3:A$42)-ROW('DONNÉES BRUTES'!A$3))/1000,0),8),IF('DONNÉES BRUTES'!C$3:C$42="Santé",'DONNÉES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BRUTES'!C$3:C$42,"Santé"),"",INDEX('DONNÉES BRUTES'!A$3:A$42,MATCH(LARGE(IF('DONNÉES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D19" t="str" cm="1">
        <f t="array" ref="D19">IFERROR(IF(9&gt;COUNTIF('DONNÉES BRUTES'!C$3:C$42,"Santé"),"",INDEX('DONNÉES BRUTES'!B$3:B$42,MATCH(LARGE(IF('DONNÉES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E19" t="str" cm="1">
        <f t="array" ref="E19">IFERROR(IF(9&gt;COUNTIF('DONNÉES BRUTES'!C$3:C$42,"Santé"),"",INT(LARGE(IF('DONNÉES BRUTES'!C$3:C$42="Santé",'DONNÉES BRUTES'!AB$3:AB$42+(ROW('DONNÉES BRUTES'!A$3:A$42)-ROW('DONNÉES BRUTES'!A$3))/1000,0),9))&amp;"/100"),"—")</f>
        <v/>
      </c>
      <c r="F19" t="str" cm="1">
        <f t="array" ref="F19">IFERROR(IF(9&gt;COUNTIF('DONNÉES BRUTES'!C$3:C$42,"Santé"),"",INDEX('DONNÉES BRUTES'!Y$3:Y$42,MATCH(LARGE(IF('DONNÉES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G19" t="str" cm="1">
        <f t="array" ref="G19">IFERROR(IF(9&gt;COUNTIF('DONNÉES BRUTES'!C$3:C$42,"Santé"),"",INDEX('DONNÉES BRUTES'!Z$3:Z$42,MATCH(LARGE(IF('DONNÉES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H19" t="str" cm="1">
        <f t="array" ref="H19">IFERROR(IF(9&gt;COUNTIF('DONNÉES BRUTES'!C$3:C$42,"Santé"),"",INDEX('DONNÉES BRUTES'!AA$3:AA$42,MATCH(LARGE(IF('DONNÉES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I19" t="str" cm="1">
        <f t="array" ref="I19">IFERROR(IF(9&gt;COUNTIF('DONNÉES BRUTES'!C$3:C$42,"Santé"),"",INDEX('DONNÉES BRUTES'!M$3:M$42,MATCH(LARGE(IF('DONNÉES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J19" t="str" cm="1">
        <f t="array" ref="J19">IFERROR(IF(9&gt;COUNTIF('DONNÉES BRUTES'!C$3:C$42,"Santé"),"",INDEX('DONNÉES BRUTES'!N$3:N$42,MATCH(LARGE(IF('DONNÉES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K19" t="str" cm="1">
        <f t="array" ref="K19">IFERROR(IF(9&gt;COUNTIF('DONNÉES BRUTES'!C$3:C$42,"Santé"),"",INDEX('DONNÉES BRUTES'!O$3:O$42,MATCH(LARGE(IF('DONNÉES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L19" t="str" cm="1">
        <f t="array" ref="L19">IFERROR(IF(9&gt;COUNTIF('DONNÉES BRUTES'!C$3:C$42,"Santé"),"",INDEX('DONNÉES BRUTES'!P$3:P$42,MATCH(LARGE(IF('DONNÉES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M19" t="str" cm="1">
        <f t="array" ref="M19">IFERROR(IF(9&gt;COUNTIF('DONNÉES BRUTES'!C$3:C$42,"Santé"),"",INDEX('DONNÉES BRUTES'!Q$3:Q$42,MATCH(LARGE(IF('DONNÉES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N19" t="str" cm="1">
        <f t="array" ref="N19">IFERROR(IF(9&gt;COUNTIF('DONNÉES BRUTES'!C$3:C$42,"Santé"),"",INDEX('DONNÉES BRUTES'!S$3:S$42,MATCH(LARGE(IF('DONNÉES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O19" t="str" cm="1">
        <f t="array" ref="O19">IFERROR(IF(9&gt;COUNTIF('DONNÉES BRUTES'!C$3:C$42,"Santé"),"",INDEX('DONNÉES BRUTES'!T$3:T$42,MATCH(LARGE(IF('DONNÉES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P19" t="str" cm="1">
        <f t="array" ref="P19">IFERROR(IF(9&gt;COUNTIF('DONNÉES BRUTES'!C$3:C$42,"Santé"),"",INDEX('DONNÉES BRUTES'!U$3:U$42,MATCH(LARGE(IF('DONNÉES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  <c r="Q19" t="str" cm="1">
        <f t="array" ref="Q19">IFERROR(IF(9&gt;COUNTIF('DONNÉES BRUTES'!C$3:C$42,"Santé"),"",INDEX('DONNÉES BRUTES'!AD$3:AD$42,MATCH(LARGE(IF('DONNÉES BRUTES'!C$3:C$42="Santé",'DONNÉES BRUTES'!AB$3:AB$42+(ROW('DONNÉES BRUTES'!A$3:A$42)-ROW('DONNÉES BRUTES'!A$3))/1000,0),9),IF('DONNÉES BRUTES'!C$3:C$42="Santé",'DONNÉES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BRUTES'!C$3:C$42,"Santé"),"",INDEX('DONNÉES BRUTES'!A$3:A$42,MATCH(LARGE(IF('DONNÉES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D20" t="str" cm="1">
        <f t="array" ref="D20">IFERROR(IF(10&gt;COUNTIF('DONNÉES BRUTES'!C$3:C$42,"Santé"),"",INDEX('DONNÉES BRUTES'!B$3:B$42,MATCH(LARGE(IF('DONNÉES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E20" t="str" cm="1">
        <f t="array" ref="E20">IFERROR(IF(10&gt;COUNTIF('DONNÉES BRUTES'!C$3:C$42,"Santé"),"",INT(LARGE(IF('DONNÉES BRUTES'!C$3:C$42="Santé",'DONNÉES BRUTES'!AB$3:AB$42+(ROW('DONNÉES BRUTES'!A$3:A$42)-ROW('DONNÉES BRUTES'!A$3))/1000,0),10))&amp;"/100"),"—")</f>
        <v/>
      </c>
      <c r="F20" t="str" cm="1">
        <f t="array" ref="F20">IFERROR(IF(10&gt;COUNTIF('DONNÉES BRUTES'!C$3:C$42,"Santé"),"",INDEX('DONNÉES BRUTES'!Y$3:Y$42,MATCH(LARGE(IF('DONNÉES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G20" t="str" cm="1">
        <f t="array" ref="G20">IFERROR(IF(10&gt;COUNTIF('DONNÉES BRUTES'!C$3:C$42,"Santé"),"",INDEX('DONNÉES BRUTES'!Z$3:Z$42,MATCH(LARGE(IF('DONNÉES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H20" t="str" cm="1">
        <f t="array" ref="H20">IFERROR(IF(10&gt;COUNTIF('DONNÉES BRUTES'!C$3:C$42,"Santé"),"",INDEX('DONNÉES BRUTES'!AA$3:AA$42,MATCH(LARGE(IF('DONNÉES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I20" t="str" cm="1">
        <f t="array" ref="I20">IFERROR(IF(10&gt;COUNTIF('DONNÉES BRUTES'!C$3:C$42,"Santé"),"",INDEX('DONNÉES BRUTES'!M$3:M$42,MATCH(LARGE(IF('DONNÉES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J20" t="str" cm="1">
        <f t="array" ref="J20">IFERROR(IF(10&gt;COUNTIF('DONNÉES BRUTES'!C$3:C$42,"Santé"),"",INDEX('DONNÉES BRUTES'!N$3:N$42,MATCH(LARGE(IF('DONNÉES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K20" t="str" cm="1">
        <f t="array" ref="K20">IFERROR(IF(10&gt;COUNTIF('DONNÉES BRUTES'!C$3:C$42,"Santé"),"",INDEX('DONNÉES BRUTES'!O$3:O$42,MATCH(LARGE(IF('DONNÉES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L20" t="str" cm="1">
        <f t="array" ref="L20">IFERROR(IF(10&gt;COUNTIF('DONNÉES BRUTES'!C$3:C$42,"Santé"),"",INDEX('DONNÉES BRUTES'!P$3:P$42,MATCH(LARGE(IF('DONNÉES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M20" t="str" cm="1">
        <f t="array" ref="M20">IFERROR(IF(10&gt;COUNTIF('DONNÉES BRUTES'!C$3:C$42,"Santé"),"",INDEX('DONNÉES BRUTES'!Q$3:Q$42,MATCH(LARGE(IF('DONNÉES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N20" t="str" cm="1">
        <f t="array" ref="N20">IFERROR(IF(10&gt;COUNTIF('DONNÉES BRUTES'!C$3:C$42,"Santé"),"",INDEX('DONNÉES BRUTES'!S$3:S$42,MATCH(LARGE(IF('DONNÉES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O20" t="str" cm="1">
        <f t="array" ref="O20">IFERROR(IF(10&gt;COUNTIF('DONNÉES BRUTES'!C$3:C$42,"Santé"),"",INDEX('DONNÉES BRUTES'!T$3:T$42,MATCH(LARGE(IF('DONNÉES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P20" t="str" cm="1">
        <f t="array" ref="P20">IFERROR(IF(10&gt;COUNTIF('DONNÉES BRUTES'!C$3:C$42,"Santé"),"",INDEX('DONNÉES BRUTES'!U$3:U$42,MATCH(LARGE(IF('DONNÉES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  <c r="Q20" t="str" cm="1">
        <f t="array" ref="Q20">IFERROR(IF(10&gt;COUNTIF('DONNÉES BRUTES'!C$3:C$42,"Santé"),"",INDEX('DONNÉES BRUTES'!AD$3:AD$42,MATCH(LARGE(IF('DONNÉES BRUTES'!C$3:C$42="Santé",'DONNÉES BRUTES'!AB$3:AB$42+(ROW('DONNÉES BRUTES'!A$3:A$42)-ROW('DONNÉES BRUTES'!A$3))/1000,0),10),IF('DONNÉES BRUTES'!C$3:C$42="Santé",'DONNÉES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BRUTES'!C$3:C$42,"Santé"),"",INDEX('DONNÉES BRUTES'!A$3:A$42,MATCH(LARGE(IF('DONNÉES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D21" t="str" cm="1">
        <f t="array" ref="D21">IFERROR(IF(11&gt;COUNTIF('DONNÉES BRUTES'!C$3:C$42,"Santé"),"",INDEX('DONNÉES BRUTES'!B$3:B$42,MATCH(LARGE(IF('DONNÉES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E21" t="str" cm="1">
        <f t="array" ref="E21">IFERROR(IF(11&gt;COUNTIF('DONNÉES BRUTES'!C$3:C$42,"Santé"),"",INT(LARGE(IF('DONNÉES BRUTES'!C$3:C$42="Santé",'DONNÉES BRUTES'!AB$3:AB$42+(ROW('DONNÉES BRUTES'!A$3:A$42)-ROW('DONNÉES BRUTES'!A$3))/1000,0),11))&amp;"/100"),"—")</f>
        <v/>
      </c>
      <c r="F21" t="str" cm="1">
        <f t="array" ref="F21">IFERROR(IF(11&gt;COUNTIF('DONNÉES BRUTES'!C$3:C$42,"Santé"),"",INDEX('DONNÉES BRUTES'!Y$3:Y$42,MATCH(LARGE(IF('DONNÉES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G21" t="str" cm="1">
        <f t="array" ref="G21">IFERROR(IF(11&gt;COUNTIF('DONNÉES BRUTES'!C$3:C$42,"Santé"),"",INDEX('DONNÉES BRUTES'!Z$3:Z$42,MATCH(LARGE(IF('DONNÉES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H21" t="str" cm="1">
        <f t="array" ref="H21">IFERROR(IF(11&gt;COUNTIF('DONNÉES BRUTES'!C$3:C$42,"Santé"),"",INDEX('DONNÉES BRUTES'!AA$3:AA$42,MATCH(LARGE(IF('DONNÉES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I21" t="str" cm="1">
        <f t="array" ref="I21">IFERROR(IF(11&gt;COUNTIF('DONNÉES BRUTES'!C$3:C$42,"Santé"),"",INDEX('DONNÉES BRUTES'!M$3:M$42,MATCH(LARGE(IF('DONNÉES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J21" t="str" cm="1">
        <f t="array" ref="J21">IFERROR(IF(11&gt;COUNTIF('DONNÉES BRUTES'!C$3:C$42,"Santé"),"",INDEX('DONNÉES BRUTES'!N$3:N$42,MATCH(LARGE(IF('DONNÉES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K21" t="str" cm="1">
        <f t="array" ref="K21">IFERROR(IF(11&gt;COUNTIF('DONNÉES BRUTES'!C$3:C$42,"Santé"),"",INDEX('DONNÉES BRUTES'!O$3:O$42,MATCH(LARGE(IF('DONNÉES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L21" t="str" cm="1">
        <f t="array" ref="L21">IFERROR(IF(11&gt;COUNTIF('DONNÉES BRUTES'!C$3:C$42,"Santé"),"",INDEX('DONNÉES BRUTES'!P$3:P$42,MATCH(LARGE(IF('DONNÉES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M21" t="str" cm="1">
        <f t="array" ref="M21">IFERROR(IF(11&gt;COUNTIF('DONNÉES BRUTES'!C$3:C$42,"Santé"),"",INDEX('DONNÉES BRUTES'!Q$3:Q$42,MATCH(LARGE(IF('DONNÉES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N21" t="str" cm="1">
        <f t="array" ref="N21">IFERROR(IF(11&gt;COUNTIF('DONNÉES BRUTES'!C$3:C$42,"Santé"),"",INDEX('DONNÉES BRUTES'!S$3:S$42,MATCH(LARGE(IF('DONNÉES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O21" t="str" cm="1">
        <f t="array" ref="O21">IFERROR(IF(11&gt;COUNTIF('DONNÉES BRUTES'!C$3:C$42,"Santé"),"",INDEX('DONNÉES BRUTES'!T$3:T$42,MATCH(LARGE(IF('DONNÉES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P21" t="str" cm="1">
        <f t="array" ref="P21">IFERROR(IF(11&gt;COUNTIF('DONNÉES BRUTES'!C$3:C$42,"Santé"),"",INDEX('DONNÉES BRUTES'!U$3:U$42,MATCH(LARGE(IF('DONNÉES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  <c r="Q21" t="str" cm="1">
        <f t="array" ref="Q21">IFERROR(IF(11&gt;COUNTIF('DONNÉES BRUTES'!C$3:C$42,"Santé"),"",INDEX('DONNÉES BRUTES'!AD$3:AD$42,MATCH(LARGE(IF('DONNÉES BRUTES'!C$3:C$42="Santé",'DONNÉES BRUTES'!AB$3:AB$42+(ROW('DONNÉES BRUTES'!A$3:A$42)-ROW('DONNÉES BRUTES'!A$3))/1000,0),11),IF('DONNÉES BRUTES'!C$3:C$42="Santé",'DONNÉES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BRUTES'!C$3:C$42,"Santé"),"",INDEX('DONNÉES BRUTES'!A$3:A$42,MATCH(LARGE(IF('DONNÉES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D22" t="str" cm="1">
        <f t="array" ref="D22">IFERROR(IF(12&gt;COUNTIF('DONNÉES BRUTES'!C$3:C$42,"Santé"),"",INDEX('DONNÉES BRUTES'!B$3:B$42,MATCH(LARGE(IF('DONNÉES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E22" t="str" cm="1">
        <f t="array" ref="E22">IFERROR(IF(12&gt;COUNTIF('DONNÉES BRUTES'!C$3:C$42,"Santé"),"",INT(LARGE(IF('DONNÉES BRUTES'!C$3:C$42="Santé",'DONNÉES BRUTES'!AB$3:AB$42+(ROW('DONNÉES BRUTES'!A$3:A$42)-ROW('DONNÉES BRUTES'!A$3))/1000,0),12))&amp;"/100"),"—")</f>
        <v/>
      </c>
      <c r="F22" t="str" cm="1">
        <f t="array" ref="F22">IFERROR(IF(12&gt;COUNTIF('DONNÉES BRUTES'!C$3:C$42,"Santé"),"",INDEX('DONNÉES BRUTES'!Y$3:Y$42,MATCH(LARGE(IF('DONNÉES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G22" t="str" cm="1">
        <f t="array" ref="G22">IFERROR(IF(12&gt;COUNTIF('DONNÉES BRUTES'!C$3:C$42,"Santé"),"",INDEX('DONNÉES BRUTES'!Z$3:Z$42,MATCH(LARGE(IF('DONNÉES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H22" t="str" cm="1">
        <f t="array" ref="H22">IFERROR(IF(12&gt;COUNTIF('DONNÉES BRUTES'!C$3:C$42,"Santé"),"",INDEX('DONNÉES BRUTES'!AA$3:AA$42,MATCH(LARGE(IF('DONNÉES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I22" t="str" cm="1">
        <f t="array" ref="I22">IFERROR(IF(12&gt;COUNTIF('DONNÉES BRUTES'!C$3:C$42,"Santé"),"",INDEX('DONNÉES BRUTES'!M$3:M$42,MATCH(LARGE(IF('DONNÉES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J22" t="str" cm="1">
        <f t="array" ref="J22">IFERROR(IF(12&gt;COUNTIF('DONNÉES BRUTES'!C$3:C$42,"Santé"),"",INDEX('DONNÉES BRUTES'!N$3:N$42,MATCH(LARGE(IF('DONNÉES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K22" t="str" cm="1">
        <f t="array" ref="K22">IFERROR(IF(12&gt;COUNTIF('DONNÉES BRUTES'!C$3:C$42,"Santé"),"",INDEX('DONNÉES BRUTES'!O$3:O$42,MATCH(LARGE(IF('DONNÉES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L22" t="str" cm="1">
        <f t="array" ref="L22">IFERROR(IF(12&gt;COUNTIF('DONNÉES BRUTES'!C$3:C$42,"Santé"),"",INDEX('DONNÉES BRUTES'!P$3:P$42,MATCH(LARGE(IF('DONNÉES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M22" t="str" cm="1">
        <f t="array" ref="M22">IFERROR(IF(12&gt;COUNTIF('DONNÉES BRUTES'!C$3:C$42,"Santé"),"",INDEX('DONNÉES BRUTES'!Q$3:Q$42,MATCH(LARGE(IF('DONNÉES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N22" t="str" cm="1">
        <f t="array" ref="N22">IFERROR(IF(12&gt;COUNTIF('DONNÉES BRUTES'!C$3:C$42,"Santé"),"",INDEX('DONNÉES BRUTES'!S$3:S$42,MATCH(LARGE(IF('DONNÉES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O22" t="str" cm="1">
        <f t="array" ref="O22">IFERROR(IF(12&gt;COUNTIF('DONNÉES BRUTES'!C$3:C$42,"Santé"),"",INDEX('DONNÉES BRUTES'!T$3:T$42,MATCH(LARGE(IF('DONNÉES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P22" t="str" cm="1">
        <f t="array" ref="P22">IFERROR(IF(12&gt;COUNTIF('DONNÉES BRUTES'!C$3:C$42,"Santé"),"",INDEX('DONNÉES BRUTES'!U$3:U$42,MATCH(LARGE(IF('DONNÉES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  <c r="Q22" t="str" cm="1">
        <f t="array" ref="Q22">IFERROR(IF(12&gt;COUNTIF('DONNÉES BRUTES'!C$3:C$42,"Santé"),"",INDEX('DONNÉES BRUTES'!AD$3:AD$42,MATCH(LARGE(IF('DONNÉES BRUTES'!C$3:C$42="Santé",'DONNÉES BRUTES'!AB$3:AB$42+(ROW('DONNÉES BRUTES'!A$3:A$42)-ROW('DONNÉES BRUTES'!A$3))/1000,0),12),IF('DONNÉES BRUTES'!C$3:C$42="Santé",'DONNÉES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BRUTES'!C$3:C$42,"Santé"),"",INDEX('DONNÉES BRUTES'!A$3:A$42,MATCH(LARGE(IF('DONNÉES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D23" t="str" cm="1">
        <f t="array" ref="D23">IFERROR(IF(13&gt;COUNTIF('DONNÉES BRUTES'!C$3:C$42,"Santé"),"",INDEX('DONNÉES BRUTES'!B$3:B$42,MATCH(LARGE(IF('DONNÉES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E23" t="str" cm="1">
        <f t="array" ref="E23">IFERROR(IF(13&gt;COUNTIF('DONNÉES BRUTES'!C$3:C$42,"Santé"),"",INT(LARGE(IF('DONNÉES BRUTES'!C$3:C$42="Santé",'DONNÉES BRUTES'!AB$3:AB$42+(ROW('DONNÉES BRUTES'!A$3:A$42)-ROW('DONNÉES BRUTES'!A$3))/1000,0),13))&amp;"/100"),"—")</f>
        <v/>
      </c>
      <c r="F23" t="str" cm="1">
        <f t="array" ref="F23">IFERROR(IF(13&gt;COUNTIF('DONNÉES BRUTES'!C$3:C$42,"Santé"),"",INDEX('DONNÉES BRUTES'!Y$3:Y$42,MATCH(LARGE(IF('DONNÉES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G23" t="str" cm="1">
        <f t="array" ref="G23">IFERROR(IF(13&gt;COUNTIF('DONNÉES BRUTES'!C$3:C$42,"Santé"),"",INDEX('DONNÉES BRUTES'!Z$3:Z$42,MATCH(LARGE(IF('DONNÉES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H23" t="str" cm="1">
        <f t="array" ref="H23">IFERROR(IF(13&gt;COUNTIF('DONNÉES BRUTES'!C$3:C$42,"Santé"),"",INDEX('DONNÉES BRUTES'!AA$3:AA$42,MATCH(LARGE(IF('DONNÉES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I23" t="str" cm="1">
        <f t="array" ref="I23">IFERROR(IF(13&gt;COUNTIF('DONNÉES BRUTES'!C$3:C$42,"Santé"),"",INDEX('DONNÉES BRUTES'!M$3:M$42,MATCH(LARGE(IF('DONNÉES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J23" t="str" cm="1">
        <f t="array" ref="J23">IFERROR(IF(13&gt;COUNTIF('DONNÉES BRUTES'!C$3:C$42,"Santé"),"",INDEX('DONNÉES BRUTES'!N$3:N$42,MATCH(LARGE(IF('DONNÉES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K23" t="str" cm="1">
        <f t="array" ref="K23">IFERROR(IF(13&gt;COUNTIF('DONNÉES BRUTES'!C$3:C$42,"Santé"),"",INDEX('DONNÉES BRUTES'!O$3:O$42,MATCH(LARGE(IF('DONNÉES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L23" t="str" cm="1">
        <f t="array" ref="L23">IFERROR(IF(13&gt;COUNTIF('DONNÉES BRUTES'!C$3:C$42,"Santé"),"",INDEX('DONNÉES BRUTES'!P$3:P$42,MATCH(LARGE(IF('DONNÉES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M23" t="str" cm="1">
        <f t="array" ref="M23">IFERROR(IF(13&gt;COUNTIF('DONNÉES BRUTES'!C$3:C$42,"Santé"),"",INDEX('DONNÉES BRUTES'!Q$3:Q$42,MATCH(LARGE(IF('DONNÉES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N23" t="str" cm="1">
        <f t="array" ref="N23">IFERROR(IF(13&gt;COUNTIF('DONNÉES BRUTES'!C$3:C$42,"Santé"),"",INDEX('DONNÉES BRUTES'!S$3:S$42,MATCH(LARGE(IF('DONNÉES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O23" t="str" cm="1">
        <f t="array" ref="O23">IFERROR(IF(13&gt;COUNTIF('DONNÉES BRUTES'!C$3:C$42,"Santé"),"",INDEX('DONNÉES BRUTES'!T$3:T$42,MATCH(LARGE(IF('DONNÉES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P23" t="str" cm="1">
        <f t="array" ref="P23">IFERROR(IF(13&gt;COUNTIF('DONNÉES BRUTES'!C$3:C$42,"Santé"),"",INDEX('DONNÉES BRUTES'!U$3:U$42,MATCH(LARGE(IF('DONNÉES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  <c r="Q23" t="str" cm="1">
        <f t="array" ref="Q23">IFERROR(IF(13&gt;COUNTIF('DONNÉES BRUTES'!C$3:C$42,"Santé"),"",INDEX('DONNÉES BRUTES'!AD$3:AD$42,MATCH(LARGE(IF('DONNÉES BRUTES'!C$3:C$42="Santé",'DONNÉES BRUTES'!AB$3:AB$42+(ROW('DONNÉES BRUTES'!A$3:A$42)-ROW('DONNÉES BRUTES'!A$3))/1000,0),13),IF('DONNÉES BRUTES'!C$3:C$42="Santé",'DONNÉES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BRUTES'!C$3:C$42,"Santé"),"",INDEX('DONNÉES BRUTES'!A$3:A$42,MATCH(LARGE(IF('DONNÉES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D24" t="str" cm="1">
        <f t="array" ref="D24">IFERROR(IF(14&gt;COUNTIF('DONNÉES BRUTES'!C$3:C$42,"Santé"),"",INDEX('DONNÉES BRUTES'!B$3:B$42,MATCH(LARGE(IF('DONNÉES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E24" t="str" cm="1">
        <f t="array" ref="E24">IFERROR(IF(14&gt;COUNTIF('DONNÉES BRUTES'!C$3:C$42,"Santé"),"",INT(LARGE(IF('DONNÉES BRUTES'!C$3:C$42="Santé",'DONNÉES BRUTES'!AB$3:AB$42+(ROW('DONNÉES BRUTES'!A$3:A$42)-ROW('DONNÉES BRUTES'!A$3))/1000,0),14))&amp;"/100"),"—")</f>
        <v/>
      </c>
      <c r="F24" t="str" cm="1">
        <f t="array" ref="F24">IFERROR(IF(14&gt;COUNTIF('DONNÉES BRUTES'!C$3:C$42,"Santé"),"",INDEX('DONNÉES BRUTES'!Y$3:Y$42,MATCH(LARGE(IF('DONNÉES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G24" t="str" cm="1">
        <f t="array" ref="G24">IFERROR(IF(14&gt;COUNTIF('DONNÉES BRUTES'!C$3:C$42,"Santé"),"",INDEX('DONNÉES BRUTES'!Z$3:Z$42,MATCH(LARGE(IF('DONNÉES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H24" t="str" cm="1">
        <f t="array" ref="H24">IFERROR(IF(14&gt;COUNTIF('DONNÉES BRUTES'!C$3:C$42,"Santé"),"",INDEX('DONNÉES BRUTES'!AA$3:AA$42,MATCH(LARGE(IF('DONNÉES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I24" t="str" cm="1">
        <f t="array" ref="I24">IFERROR(IF(14&gt;COUNTIF('DONNÉES BRUTES'!C$3:C$42,"Santé"),"",INDEX('DONNÉES BRUTES'!M$3:M$42,MATCH(LARGE(IF('DONNÉES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J24" t="str" cm="1">
        <f t="array" ref="J24">IFERROR(IF(14&gt;COUNTIF('DONNÉES BRUTES'!C$3:C$42,"Santé"),"",INDEX('DONNÉES BRUTES'!N$3:N$42,MATCH(LARGE(IF('DONNÉES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K24" t="str" cm="1">
        <f t="array" ref="K24">IFERROR(IF(14&gt;COUNTIF('DONNÉES BRUTES'!C$3:C$42,"Santé"),"",INDEX('DONNÉES BRUTES'!O$3:O$42,MATCH(LARGE(IF('DONNÉES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L24" t="str" cm="1">
        <f t="array" ref="L24">IFERROR(IF(14&gt;COUNTIF('DONNÉES BRUTES'!C$3:C$42,"Santé"),"",INDEX('DONNÉES BRUTES'!P$3:P$42,MATCH(LARGE(IF('DONNÉES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M24" t="str" cm="1">
        <f t="array" ref="M24">IFERROR(IF(14&gt;COUNTIF('DONNÉES BRUTES'!C$3:C$42,"Santé"),"",INDEX('DONNÉES BRUTES'!Q$3:Q$42,MATCH(LARGE(IF('DONNÉES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N24" t="str" cm="1">
        <f t="array" ref="N24">IFERROR(IF(14&gt;COUNTIF('DONNÉES BRUTES'!C$3:C$42,"Santé"),"",INDEX('DONNÉES BRUTES'!S$3:S$42,MATCH(LARGE(IF('DONNÉES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O24" t="str" cm="1">
        <f t="array" ref="O24">IFERROR(IF(14&gt;COUNTIF('DONNÉES BRUTES'!C$3:C$42,"Santé"),"",INDEX('DONNÉES BRUTES'!T$3:T$42,MATCH(LARGE(IF('DONNÉES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P24" t="str" cm="1">
        <f t="array" ref="P24">IFERROR(IF(14&gt;COUNTIF('DONNÉES BRUTES'!C$3:C$42,"Santé"),"",INDEX('DONNÉES BRUTES'!U$3:U$42,MATCH(LARGE(IF('DONNÉES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  <c r="Q24" t="str" cm="1">
        <f t="array" ref="Q24">IFERROR(IF(14&gt;COUNTIF('DONNÉES BRUTES'!C$3:C$42,"Santé"),"",INDEX('DONNÉES BRUTES'!AD$3:AD$42,MATCH(LARGE(IF('DONNÉES BRUTES'!C$3:C$42="Santé",'DONNÉES BRUTES'!AB$3:AB$42+(ROW('DONNÉES BRUTES'!A$3:A$42)-ROW('DONNÉES BRUTES'!A$3))/1000,0),14),IF('DONNÉES BRUTES'!C$3:C$42="Santé",'DONNÉES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BRUTES'!C$3:C$42,"Santé"),"",INDEX('DONNÉES BRUTES'!A$3:A$42,MATCH(LARGE(IF('DONNÉES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D25" t="str" cm="1">
        <f t="array" ref="D25">IFERROR(IF(15&gt;COUNTIF('DONNÉES BRUTES'!C$3:C$42,"Santé"),"",INDEX('DONNÉES BRUTES'!B$3:B$42,MATCH(LARGE(IF('DONNÉES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E25" t="str" cm="1">
        <f t="array" ref="E25">IFERROR(IF(15&gt;COUNTIF('DONNÉES BRUTES'!C$3:C$42,"Santé"),"",INT(LARGE(IF('DONNÉES BRUTES'!C$3:C$42="Santé",'DONNÉES BRUTES'!AB$3:AB$42+(ROW('DONNÉES BRUTES'!A$3:A$42)-ROW('DONNÉES BRUTES'!A$3))/1000,0),15))&amp;"/100"),"—")</f>
        <v/>
      </c>
      <c r="F25" t="str" cm="1">
        <f t="array" ref="F25">IFERROR(IF(15&gt;COUNTIF('DONNÉES BRUTES'!C$3:C$42,"Santé"),"",INDEX('DONNÉES BRUTES'!Y$3:Y$42,MATCH(LARGE(IF('DONNÉES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G25" t="str" cm="1">
        <f t="array" ref="G25">IFERROR(IF(15&gt;COUNTIF('DONNÉES BRUTES'!C$3:C$42,"Santé"),"",INDEX('DONNÉES BRUTES'!Z$3:Z$42,MATCH(LARGE(IF('DONNÉES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H25" t="str" cm="1">
        <f t="array" ref="H25">IFERROR(IF(15&gt;COUNTIF('DONNÉES BRUTES'!C$3:C$42,"Santé"),"",INDEX('DONNÉES BRUTES'!AA$3:AA$42,MATCH(LARGE(IF('DONNÉES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I25" t="str" cm="1">
        <f t="array" ref="I25">IFERROR(IF(15&gt;COUNTIF('DONNÉES BRUTES'!C$3:C$42,"Santé"),"",INDEX('DONNÉES BRUTES'!M$3:M$42,MATCH(LARGE(IF('DONNÉES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J25" t="str" cm="1">
        <f t="array" ref="J25">IFERROR(IF(15&gt;COUNTIF('DONNÉES BRUTES'!C$3:C$42,"Santé"),"",INDEX('DONNÉES BRUTES'!N$3:N$42,MATCH(LARGE(IF('DONNÉES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K25" t="str" cm="1">
        <f t="array" ref="K25">IFERROR(IF(15&gt;COUNTIF('DONNÉES BRUTES'!C$3:C$42,"Santé"),"",INDEX('DONNÉES BRUTES'!O$3:O$42,MATCH(LARGE(IF('DONNÉES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L25" t="str" cm="1">
        <f t="array" ref="L25">IFERROR(IF(15&gt;COUNTIF('DONNÉES BRUTES'!C$3:C$42,"Santé"),"",INDEX('DONNÉES BRUTES'!P$3:P$42,MATCH(LARGE(IF('DONNÉES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M25" t="str" cm="1">
        <f t="array" ref="M25">IFERROR(IF(15&gt;COUNTIF('DONNÉES BRUTES'!C$3:C$42,"Santé"),"",INDEX('DONNÉES BRUTES'!Q$3:Q$42,MATCH(LARGE(IF('DONNÉES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N25" t="str" cm="1">
        <f t="array" ref="N25">IFERROR(IF(15&gt;COUNTIF('DONNÉES BRUTES'!C$3:C$42,"Santé"),"",INDEX('DONNÉES BRUTES'!S$3:S$42,MATCH(LARGE(IF('DONNÉES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O25" t="str" cm="1">
        <f t="array" ref="O25">IFERROR(IF(15&gt;COUNTIF('DONNÉES BRUTES'!C$3:C$42,"Santé"),"",INDEX('DONNÉES BRUTES'!T$3:T$42,MATCH(LARGE(IF('DONNÉES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P25" t="str" cm="1">
        <f t="array" ref="P25">IFERROR(IF(15&gt;COUNTIF('DONNÉES BRUTES'!C$3:C$42,"Santé"),"",INDEX('DONNÉES BRUTES'!U$3:U$42,MATCH(LARGE(IF('DONNÉES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  <c r="Q25" t="str" cm="1">
        <f t="array" ref="Q25">IFERROR(IF(15&gt;COUNTIF('DONNÉES BRUTES'!C$3:C$42,"Santé"),"",INDEX('DONNÉES BRUTES'!AD$3:AD$42,MATCH(LARGE(IF('DONNÉES BRUTES'!C$3:C$42="Santé",'DONNÉES BRUTES'!AB$3:AB$42+(ROW('DONNÉES BRUTES'!A$3:A$42)-ROW('DONNÉES BRUTES'!A$3))/1000,0),15),IF('DONNÉES BRUTES'!C$3:C$42="Santé",'DONNÉES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t="s">
        <v>136</v>
      </c>
      <c r="V28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AstraZeneca PL</v>
      </c>
      <c r="T29" s="160">
        <f>IF(E11="","",IFERROR(VALUE(LEFT(E11,FIND("/",E11)-1)),0))</f>
        <v>60</v>
      </c>
      <c r="U29" s="160">
        <f t="shared" ref="U29:W31" si="0">IF(ISNUMBER(F11),F11,0)</f>
        <v>87</v>
      </c>
      <c r="V29" s="160">
        <f t="shared" si="0"/>
        <v>50</v>
      </c>
      <c r="W29" s="160">
        <f t="shared" si="0"/>
        <v>70</v>
      </c>
      <c r="X29" s="160">
        <f t="shared" ref="X29:Z31" si="1">IF(ISNUMBER(F11),F11,"")</f>
        <v>87</v>
      </c>
      <c r="Y29" s="160">
        <f t="shared" si="1"/>
        <v>50</v>
      </c>
      <c r="Z29" s="160">
        <f t="shared" si="1"/>
        <v>70</v>
      </c>
      <c r="AA29" s="160">
        <v>97</v>
      </c>
      <c r="AB29" s="160">
        <v>31</v>
      </c>
    </row>
    <row r="30" spans="3:28" ht="15.9" customHeight="1" x14ac:dyDescent="0.3">
      <c r="S30" s="160" t="str">
        <f>IF(D12="","",LEFT(D12,14))</f>
        <v>GSK plc</v>
      </c>
      <c r="T30" s="160">
        <f>IF(E12="","",IFERROR(VALUE(LEFT(E12,FIND("/",E12)-1)),0))</f>
        <v>56</v>
      </c>
      <c r="U30" s="160">
        <f t="shared" si="0"/>
        <v>78</v>
      </c>
      <c r="V30" s="160">
        <f t="shared" si="0"/>
        <v>41</v>
      </c>
      <c r="W30" s="160">
        <f t="shared" si="0"/>
        <v>72</v>
      </c>
      <c r="X30" s="160">
        <f t="shared" si="1"/>
        <v>78</v>
      </c>
      <c r="Y30" s="160">
        <f t="shared" si="1"/>
        <v>41</v>
      </c>
      <c r="Z30" s="160">
        <f t="shared" si="1"/>
        <v>72</v>
      </c>
      <c r="AA30" s="160">
        <v>72</v>
      </c>
      <c r="AB30" s="160">
        <v>67</v>
      </c>
    </row>
    <row r="31" spans="3:28" x14ac:dyDescent="0.3">
      <c r="S31" s="160" t="str">
        <f>IF(D13="","",LEFT(D13,14))</f>
        <v>Sanofi</v>
      </c>
      <c r="T31" s="160">
        <f>IF(E13="","",IFERROR(VALUE(LEFT(E13,FIND("/",E13)-1)),0))</f>
        <v>50</v>
      </c>
      <c r="U31" s="160">
        <f t="shared" si="0"/>
        <v>67</v>
      </c>
      <c r="V31" s="160">
        <f t="shared" si="0"/>
        <v>39</v>
      </c>
      <c r="W31" s="160">
        <f t="shared" si="0"/>
        <v>17</v>
      </c>
      <c r="X31" s="160">
        <f t="shared" si="1"/>
        <v>67</v>
      </c>
      <c r="Y31" s="160">
        <f t="shared" si="1"/>
        <v>39</v>
      </c>
      <c r="Z31" s="160">
        <f t="shared" si="1"/>
        <v>17</v>
      </c>
      <c r="AA31" s="160">
        <v>62</v>
      </c>
      <c r="AB31" s="160">
        <v>69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AB36"/>
  <sheetViews>
    <sheetView showGridLines="0" topLeftCell="B1" zoomScaleNormal="100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.109375" bestFit="1" customWidth="1"/>
    <col min="20" max="23" width="9" bestFit="1" customWidth="1"/>
  </cols>
  <sheetData>
    <row r="1" spans="2:17" ht="30" customHeight="1" x14ac:dyDescent="0.3">
      <c r="B1" s="204" t="str">
        <f>"FinSight IA  ·  Energy  ·  CAC 40  ·  "&amp;COUNTIF('DONNÉES BRUTES'!C$3:C$42,"Énergie")&amp;" sociétés  ·  12/04/2026"</f>
        <v>FinSight IA  ·  Energy  ·  CAC 40  ·  3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8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8"/>
      <c r="C5" s="168">
        <v>3</v>
      </c>
      <c r="D5" s="178"/>
      <c r="E5" s="175" t="s">
        <v>710</v>
      </c>
      <c r="F5" s="175"/>
      <c r="G5" s="175"/>
      <c r="H5" s="171" t="str" cm="1">
        <f t="array" ref="H5">IFERROR(INDEX('DONNÉES BRUTES'!B$3:B$42,MATCH(LARGE(IF('DONNÉES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BRUTES'!A$3))/1000,0),0)),"—")</f>
        <v>Shell plc</v>
      </c>
      <c r="I5" s="175"/>
      <c r="J5" s="175"/>
      <c r="K5" s="175"/>
      <c r="L5" s="211">
        <v>0.19600000000000001</v>
      </c>
      <c r="M5" s="175"/>
      <c r="N5" s="173" cm="1">
        <f t="array" ref="N5">IFERROR(ROUND(MEDIAN(IF('DONNÉES BRUTES'!C$3:C$42="Énergie",IF(ISNUMBER('DONNÉES BRUTES'!Y$3:Y$42),'DONNÉES BRUTES'!Y$3:Y$42))),0),"—")</f>
        <v>28</v>
      </c>
      <c r="O5" s="175"/>
      <c r="P5" s="185" t="s">
        <v>171</v>
      </c>
      <c r="Q5" s="175"/>
    </row>
    <row r="6" spans="2:17" ht="15.9" customHeight="1" x14ac:dyDescent="0.3">
      <c r="B6" s="170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69"/>
      <c r="L6" s="170" t="s">
        <v>382</v>
      </c>
      <c r="M6" s="169"/>
      <c r="N6" s="170" t="s">
        <v>411</v>
      </c>
      <c r="O6" s="169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"&amp;UPPER("Énergie")&amp;"  ·  "&amp;COUNTIF('DONNÉES BRUTES'!C$3:C$42,"Énergie")&amp;" sociétés  ·  Triée par Score Global"</f>
        <v>ANALYSE DÉTAILLÉE  ·  ÉNERGIE  ·  3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312" t="s">
        <v>133</v>
      </c>
      <c r="C10" s="313" t="s">
        <v>6</v>
      </c>
      <c r="D10" s="313" t="s">
        <v>1</v>
      </c>
      <c r="E10" s="314" t="s">
        <v>8</v>
      </c>
      <c r="F10" s="314" t="s">
        <v>412</v>
      </c>
      <c r="G10" s="314" t="s">
        <v>413</v>
      </c>
      <c r="H10" s="314" t="s">
        <v>414</v>
      </c>
      <c r="I10" s="314" t="s">
        <v>415</v>
      </c>
      <c r="J10" s="314" t="s">
        <v>340</v>
      </c>
      <c r="K10" s="314" t="s">
        <v>416</v>
      </c>
      <c r="L10" s="314" t="s">
        <v>341</v>
      </c>
      <c r="M10" s="314" t="s">
        <v>147</v>
      </c>
      <c r="N10" s="314" t="s">
        <v>417</v>
      </c>
      <c r="O10" s="314" t="s">
        <v>418</v>
      </c>
      <c r="P10" s="314" t="s">
        <v>14</v>
      </c>
      <c r="Q10" s="315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BRUTES'!C$3:C$42,"Énergie"),"",INDEX('DONNÉES BRUTES'!A$3:A$42,MATCH(LARGE(IF('DONNÉES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SHEL.L</v>
      </c>
      <c r="D11" s="406" t="str" cm="1">
        <f t="array" ref="D11">IFERROR(IF(1&gt;COUNTIF('DONNÉES BRUTES'!C$3:C$42,"Énergie"),"",INDEX('DONNÉES BRUTES'!B$3:B$42,MATCH(LARGE(IF('DONNÉES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Shell plc</v>
      </c>
      <c r="E11" s="406" t="str" cm="1">
        <f t="array" ref="E11">IFERROR(IF(1&gt;COUNTIF('DONNÉES BRUTES'!C$3:C$42,"Énergie"),"",INT(LARGE(IF('DONNÉES BRUTES'!C$3:C$42="Énergie",'DONNÉES BRUTES'!AB$3:AB$42+(ROW('DONNÉES BRUTES'!A$3:A$42)-ROW('DONNÉES BRUTES'!A$3))/1000,0),1))&amp;"/100"),"—")</f>
        <v>47/100</v>
      </c>
      <c r="F11" s="406" cm="1">
        <f t="array" ref="F11">IFERROR(IF(1&gt;COUNTIF('DONNÉES BRUTES'!C$3:C$42,"Énergie"),"",INDEX('DONNÉES BRUTES'!Y$3:Y$42,MATCH(LARGE(IF('DONNÉES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40</v>
      </c>
      <c r="G11" s="406" cm="1">
        <f t="array" ref="G11">IFERROR(IF(1&gt;COUNTIF('DONNÉES BRUTES'!C$3:C$42,"Énergie"),"",INDEX('DONNÉES BRUTES'!Z$3:Z$42,MATCH(LARGE(IF('DONNÉES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61</v>
      </c>
      <c r="H11" s="406" cm="1">
        <f t="array" ref="H11">IFERROR(IF(1&gt;COUNTIF('DONNÉES BRUTES'!C$3:C$42,"Énergie"),"",INDEX('DONNÉES BRUTES'!AA$3:AA$42,MATCH(LARGE(IF('DONNÉES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68</v>
      </c>
      <c r="I11" s="406" t="str" cm="1">
        <f t="array" ref="I11">IFERROR(IF(1&gt;COUNTIF('DONNÉES BRUTES'!C$3:C$42,"Énergie"),"",INDEX('DONNÉES BRUTES'!M$3:M$42,MATCH(LARGE(IF('DONNÉES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15.9%</v>
      </c>
      <c r="J11" s="406" t="str" cm="1">
        <f t="array" ref="J11">IFERROR(IF(1&gt;COUNTIF('DONNÉES BRUTES'!C$3:C$42,"Énergie"),"",INDEX('DONNÉES BRUTES'!N$3:N$42,MATCH(LARGE(IF('DONNÉES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21.2%</v>
      </c>
      <c r="K11" s="406" t="str" cm="1">
        <f t="array" ref="K11">IFERROR(IF(1&gt;COUNTIF('DONNÉES BRUTES'!C$3:C$42,"Énergie"),"",INDEX('DONNÉES BRUTES'!O$3:O$42,MATCH(LARGE(IF('DONNÉES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6.7%</v>
      </c>
      <c r="L11" s="406" t="str" cm="1">
        <f t="array" ref="L11">IFERROR(IF(1&gt;COUNTIF('DONNÉES BRUTES'!C$3:C$42,"Énergie"),"",INDEX('DONNÉES BRUTES'!P$3:P$42,MATCH(LARGE(IF('DONNÉES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-6.1%</v>
      </c>
      <c r="M11" s="406" t="str" cm="1">
        <f t="array" ref="M11">IFERROR(IF(1&gt;COUNTIF('DONNÉES BRUTES'!C$3:C$42,"Énergie"),"",INDEX('DONNÉES BRUTES'!Q$3:Q$42,MATCH(LARGE(IF('DONNÉES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+10.2%</v>
      </c>
      <c r="N11" s="406" cm="1">
        <f t="array" ref="N11">IFERROR(IF(1&gt;COUNTIF('DONNÉES BRUTES'!C$3:C$42,"Énergie"),"",INDEX('DONNÉES BRUTES'!S$3:S$42,MATCH(LARGE(IF('DONNÉES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1.3</v>
      </c>
      <c r="O11" s="406" t="str" cm="1">
        <f t="array" ref="O11">IFERROR(IF(1&gt;COUNTIF('DONNÉES BRUTES'!C$3:C$42,"Énergie"),"",INDEX('DONNÉES BRUTES'!T$3:T$42,MATCH(LARGE(IF('DONNÉES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0.3x</v>
      </c>
      <c r="P11" s="406" cm="1">
        <f t="array" ref="P11">IFERROR(IF(1&gt;COUNTIF('DONNÉES BRUTES'!C$3:C$42,"Énergie"),"",INDEX('DONNÉES BRUTES'!U$3:U$42,MATCH(LARGE(IF('DONNÉES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3.35</v>
      </c>
      <c r="Q11" s="407" t="str" cm="1">
        <f t="array" ref="Q11">IFERROR(IF(1&gt;COUNTIF('DONNÉES BRUTES'!C$3:C$42,"Énergie"),"",INDEX('DONNÉES BRUTES'!AD$3:AD$42,MATCH(LARGE(IF('DONNÉES BRUTES'!C$3:C$42="Énergie",'DONNÉES BRUTES'!AB$3:AB$42+(ROW('DONNÉES BRUTES'!A$3:A$42)-ROW('DONNÉES BRUTES'!A$3))/1000,0),1),IF('DONNÉES BRUTES'!C$3:C$42="Énergie",'DONNÉES BRUTES'!AB$3:AB$42+(ROW('DONNÉES BRUTES'!A$3:A$42)-ROW('DONNÉES BRUTES'!A$3))/1000,0),0))),"—")</f>
        <v>Neutre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BRUTES'!C$3:C$42,"Énergie"),"",INDEX('DONNÉES BRUTES'!A$3:A$42,MATCH(LARGE(IF('DONNÉES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TTE.PA</v>
      </c>
      <c r="D12" s="409" t="str" cm="1">
        <f t="array" ref="D12">IFERROR(IF(2&gt;COUNTIF('DONNÉES BRUTES'!C$3:C$42,"Énergie"),"",INDEX('DONNÉES BRUTES'!B$3:B$42,MATCH(LARGE(IF('DONNÉES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TotalEnergies SE</v>
      </c>
      <c r="E12" s="409" t="str" cm="1">
        <f t="array" ref="E12">IFERROR(IF(2&gt;COUNTIF('DONNÉES BRUTES'!C$3:C$42,"Énergie"),"",INT(LARGE(IF('DONNÉES BRUTES'!C$3:C$42="Énergie",'DONNÉES BRUTES'!AB$3:AB$42+(ROW('DONNÉES BRUTES'!A$3:A$42)-ROW('DONNÉES BRUTES'!A$3))/1000,0),2))&amp;"/100"),"—")</f>
        <v>40/100</v>
      </c>
      <c r="F12" s="409" cm="1">
        <f t="array" ref="F12">IFERROR(IF(2&gt;COUNTIF('DONNÉES BRUTES'!C$3:C$42,"Énergie"),"",INDEX('DONNÉES BRUTES'!Y$3:Y$42,MATCH(LARGE(IF('DONNÉES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14</v>
      </c>
      <c r="G12" s="409" cm="1">
        <f t="array" ref="G12">IFERROR(IF(2&gt;COUNTIF('DONNÉES BRUTES'!C$3:C$42,"Énergie"),"",INDEX('DONNÉES BRUTES'!Z$3:Z$42,MATCH(LARGE(IF('DONNÉES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17</v>
      </c>
      <c r="H12" s="409" cm="1">
        <f t="array" ref="H12">IFERROR(IF(2&gt;COUNTIF('DONNÉES BRUTES'!C$3:C$42,"Énergie"),"",INDEX('DONNÉES BRUTES'!AA$3:AA$42,MATCH(LARGE(IF('DONNÉES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85</v>
      </c>
      <c r="I12" s="409" t="str" cm="1">
        <f t="array" ref="I12">IFERROR(IF(2&gt;COUNTIF('DONNÉES BRUTES'!C$3:C$42,"Énergie"),"",INDEX('DONNÉES BRUTES'!M$3:M$42,MATCH(LARGE(IF('DONNÉES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36.0%</v>
      </c>
      <c r="J12" s="409" t="str" cm="1">
        <f t="array" ref="J12">IFERROR(IF(2&gt;COUNTIF('DONNÉES BRUTES'!C$3:C$42,"Énergie"),"",INDEX('DONNÉES BRUTES'!N$3:N$42,MATCH(LARGE(IF('DONNÉES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18.0%</v>
      </c>
      <c r="K12" s="409" t="str" cm="1">
        <f t="array" ref="K12">IFERROR(IF(2&gt;COUNTIF('DONNÉES BRUTES'!C$3:C$42,"Énergie"),"",INDEX('DONNÉES BRUTES'!O$3:O$42,MATCH(LARGE(IF('DONNÉES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7.2%</v>
      </c>
      <c r="L12" s="409" t="str" cm="1">
        <f t="array" ref="L12">IFERROR(IF(2&gt;COUNTIF('DONNÉES BRUTES'!C$3:C$42,"Énergie"),"",INDEX('DONNÉES BRUTES'!P$3:P$42,MATCH(LARGE(IF('DONNÉES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—</v>
      </c>
      <c r="M12" s="409" t="str" cm="1">
        <f t="array" ref="M12">IFERROR(IF(2&gt;COUNTIF('DONNÉES BRUTES'!C$3:C$42,"Énergie"),"",INDEX('DONNÉES BRUTES'!Q$3:Q$42,MATCH(LARGE(IF('DONNÉES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—</v>
      </c>
      <c r="N12" s="409" cm="1">
        <f t="array" ref="N12">IFERROR(IF(2&gt;COUNTIF('DONNÉES BRUTES'!C$3:C$42,"Énergie"),"",INDEX('DONNÉES BRUTES'!S$3:S$42,MATCH(LARGE(IF('DONNÉES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1.1000000000000001</v>
      </c>
      <c r="O12" s="409" t="str" cm="1">
        <f t="array" ref="O12">IFERROR(IF(2&gt;COUNTIF('DONNÉES BRUTES'!C$3:C$42,"Énergie"),"",INDEX('DONNÉES BRUTES'!T$3:T$42,MATCH(LARGE(IF('DONNÉES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—</v>
      </c>
      <c r="P12" s="409" t="str" cm="1">
        <f t="array" ref="P12">IFERROR(IF(2&gt;COUNTIF('DONNÉES BRUTES'!C$3:C$42,"Énergie"),"",INDEX('DONNÉES BRUTES'!U$3:U$42,MATCH(LARGE(IF('DONNÉES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—</v>
      </c>
      <c r="Q12" s="410" t="str" cm="1">
        <f t="array" ref="Q12">IFERROR(IF(2&gt;COUNTIF('DONNÉES BRUTES'!C$3:C$42,"Énergie"),"",INDEX('DONNÉES BRUTES'!AD$3:AD$42,MATCH(LARGE(IF('DONNÉES BRUTES'!C$3:C$42="Énergie",'DONNÉES BRUTES'!AB$3:AB$42+(ROW('DONNÉES BRUTES'!A$3:A$42)-ROW('DONNÉES BRUTES'!A$3))/1000,0),2),IF('DONNÉES BRUTES'!C$3:C$42="Énergie",'DONNÉES BRUTES'!AB$3:AB$42+(ROW('DONNÉES BRUTES'!A$3:A$42)-ROW('DONNÉES BRUTES'!A$3))/1000,0),0))),"—")</f>
        <v>Neutre</v>
      </c>
    </row>
    <row r="13" spans="2:17" ht="15.9" customHeight="1" x14ac:dyDescent="0.3">
      <c r="B13" s="417">
        <v>3</v>
      </c>
      <c r="C13" s="418" t="str" cm="1">
        <f t="array" ref="C13">IFERROR(IF(3&gt;COUNTIF('DONNÉES BRUTES'!C$3:C$42,"Énergie"),"",INDEX('DONNÉES BRUTES'!A$3:A$42,MATCH(LARGE(IF('DONNÉES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BP.L</v>
      </c>
      <c r="D13" s="418" t="str" cm="1">
        <f t="array" ref="D13">IFERROR(IF(3&gt;COUNTIF('DONNÉES BRUTES'!C$3:C$42,"Énergie"),"",INDEX('DONNÉES BRUTES'!B$3:B$42,MATCH(LARGE(IF('DONNÉES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BP p.l.c.</v>
      </c>
      <c r="E13" s="418" t="str" cm="1">
        <f t="array" ref="E13">IFERROR(IF(3&gt;COUNTIF('DONNÉES BRUTES'!C$3:C$42,"Énergie"),"",INT(LARGE(IF('DONNÉES BRUTES'!C$3:C$42="Énergie",'DONNÉES BRUTES'!AB$3:AB$42+(ROW('DONNÉES BRUTES'!A$3:A$42)-ROW('DONNÉES BRUTES'!A$3))/1000,0),3))&amp;"/100"),"—")</f>
        <v>38/100</v>
      </c>
      <c r="F13" s="418" cm="1">
        <f t="array" ref="F13">IFERROR(IF(3&gt;COUNTIF('DONNÉES BRUTES'!C$3:C$42,"Énergie"),"",INDEX('DONNÉES BRUTES'!Y$3:Y$42,MATCH(LARGE(IF('DONNÉES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28</v>
      </c>
      <c r="G13" s="418" cm="1">
        <f t="array" ref="G13">IFERROR(IF(3&gt;COUNTIF('DONNÉES BRUTES'!C$3:C$42,"Énergie"),"",INDEX('DONNÉES BRUTES'!Z$3:Z$42,MATCH(LARGE(IF('DONNÉES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34</v>
      </c>
      <c r="H13" s="418" cm="1">
        <f t="array" ref="H13">IFERROR(IF(3&gt;COUNTIF('DONNÉES BRUTES'!C$3:C$42,"Énergie"),"",INDEX('DONNÉES BRUTES'!AA$3:AA$42,MATCH(LARGE(IF('DONNÉES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83</v>
      </c>
      <c r="I13" s="418" t="str" cm="1">
        <f t="array" ref="I13">IFERROR(IF(3&gt;COUNTIF('DONNÉES BRUTES'!C$3:C$42,"Énergie"),"",INDEX('DONNÉES BRUTES'!M$3:M$42,MATCH(LARGE(IF('DONNÉES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17.7%</v>
      </c>
      <c r="J13" s="418" t="str" cm="1">
        <f t="array" ref="J13">IFERROR(IF(3&gt;COUNTIF('DONNÉES BRUTES'!C$3:C$42,"Énergie"),"",INDEX('DONNÉES BRUTES'!N$3:N$42,MATCH(LARGE(IF('DONNÉES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16.2%</v>
      </c>
      <c r="K13" s="418" t="str" cm="1">
        <f t="array" ref="K13">IFERROR(IF(3&gt;COUNTIF('DONNÉES BRUTES'!C$3:C$42,"Énergie"),"",INDEX('DONNÉES BRUTES'!O$3:O$42,MATCH(LARGE(IF('DONNÉES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0.0%</v>
      </c>
      <c r="L13" s="418" t="str" cm="1">
        <f t="array" ref="L13">IFERROR(IF(3&gt;COUNTIF('DONNÉES BRUTES'!C$3:C$42,"Énergie"),"",INDEX('DONNÉES BRUTES'!P$3:P$42,MATCH(LARGE(IF('DONNÉES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+0.1%</v>
      </c>
      <c r="M13" s="418" t="str" cm="1">
        <f t="array" ref="M13">IFERROR(IF(3&gt;COUNTIF('DONNÉES BRUTES'!C$3:C$42,"Énergie"),"",INDEX('DONNÉES BRUTES'!Q$3:Q$42,MATCH(LARGE(IF('DONNÉES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+0.1%</v>
      </c>
      <c r="N13" s="418" cm="1">
        <f t="array" ref="N13">IFERROR(IF(3&gt;COUNTIF('DONNÉES BRUTES'!C$3:C$42,"Énergie"),"",INDEX('DONNÉES BRUTES'!S$3:S$42,MATCH(LARGE(IF('DONNÉES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1.26</v>
      </c>
      <c r="O13" s="418" t="str" cm="1">
        <f t="array" ref="O13">IFERROR(IF(3&gt;COUNTIF('DONNÉES BRUTES'!C$3:C$42,"Énergie"),"",INDEX('DONNÉES BRUTES'!T$3:T$42,MATCH(LARGE(IF('DONNÉES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0.9x</v>
      </c>
      <c r="P13" s="418" cm="1">
        <f t="array" ref="P13">IFERROR(IF(3&gt;COUNTIF('DONNÉES BRUTES'!C$3:C$42,"Énergie"),"",INDEX('DONNÉES BRUTES'!U$3:U$42,MATCH(LARGE(IF('DONNÉES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1.25</v>
      </c>
      <c r="Q13" s="419" t="str" cm="1">
        <f t="array" ref="Q13">IFERROR(IF(3&gt;COUNTIF('DONNÉES BRUTES'!C$3:C$42,"Énergie"),"",INDEX('DONNÉES BRUTES'!AD$3:AD$42,MATCH(LARGE(IF('DONNÉES BRUTES'!C$3:C$42="Énergie",'DONNÉES BRUTES'!AB$3:AB$42+(ROW('DONNÉES BRUTES'!A$3:A$42)-ROW('DONNÉES BRUTES'!A$3))/1000,0),3),IF('DONNÉES BRUTES'!C$3:C$42="Énergie",'DONNÉES BRUTES'!AB$3:AB$42+(ROW('DONNÉES BRUTES'!A$3:A$42)-ROW('DONNÉES BRUTES'!A$3))/1000,0),0))),"—")</f>
        <v>Sous-pondérer</v>
      </c>
    </row>
    <row r="14" spans="2:17" ht="15.9" customHeight="1" x14ac:dyDescent="0.3">
      <c r="C14" t="str" cm="1">
        <f t="array" ref="C14">IFERROR(IF(4&gt;COUNTIF('DONNÉES BRUTES'!C$3:C$42,"Énergie"),"",INDEX('DONNÉES BRUTES'!A$3:A$42,MATCH(LARGE(IF('DONNÉES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D14" t="str" cm="1">
        <f t="array" ref="D14">IFERROR(IF(4&gt;COUNTIF('DONNÉES BRUTES'!C$3:C$42,"Énergie"),"",INDEX('DONNÉES BRUTES'!B$3:B$42,MATCH(LARGE(IF('DONNÉES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E14" t="str" cm="1">
        <f t="array" ref="E14">IFERROR(IF(4&gt;COUNTIF('DONNÉES BRUTES'!C$3:C$42,"Énergie"),"",INT(LARGE(IF('DONNÉES BRUTES'!C$3:C$42="Énergie",'DONNÉES BRUTES'!AB$3:AB$42+(ROW('DONNÉES BRUTES'!A$3:A$42)-ROW('DONNÉES BRUTES'!A$3))/1000,0),4))&amp;"/100"),"—")</f>
        <v/>
      </c>
      <c r="F14" t="str" cm="1">
        <f t="array" ref="F14">IFERROR(IF(4&gt;COUNTIF('DONNÉES BRUTES'!C$3:C$42,"Énergie"),"",INDEX('DONNÉES BRUTES'!Y$3:Y$42,MATCH(LARGE(IF('DONNÉES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G14" t="str" cm="1">
        <f t="array" ref="G14">IFERROR(IF(4&gt;COUNTIF('DONNÉES BRUTES'!C$3:C$42,"Énergie"),"",INDEX('DONNÉES BRUTES'!Z$3:Z$42,MATCH(LARGE(IF('DONNÉES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H14" t="str" cm="1">
        <f t="array" ref="H14">IFERROR(IF(4&gt;COUNTIF('DONNÉES BRUTES'!C$3:C$42,"Énergie"),"",INDEX('DONNÉES BRUTES'!AA$3:AA$42,MATCH(LARGE(IF('DONNÉES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I14" t="str" cm="1">
        <f t="array" ref="I14">IFERROR(IF(4&gt;COUNTIF('DONNÉES BRUTES'!C$3:C$42,"Énergie"),"",INDEX('DONNÉES BRUTES'!M$3:M$42,MATCH(LARGE(IF('DONNÉES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J14" t="str" cm="1">
        <f t="array" ref="J14">IFERROR(IF(4&gt;COUNTIF('DONNÉES BRUTES'!C$3:C$42,"Énergie"),"",INDEX('DONNÉES BRUTES'!N$3:N$42,MATCH(LARGE(IF('DONNÉES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K14" t="str" cm="1">
        <f t="array" ref="K14">IFERROR(IF(4&gt;COUNTIF('DONNÉES BRUTES'!C$3:C$42,"Énergie"),"",INDEX('DONNÉES BRUTES'!O$3:O$42,MATCH(LARGE(IF('DONNÉES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L14" t="str" cm="1">
        <f t="array" ref="L14">IFERROR(IF(4&gt;COUNTIF('DONNÉES BRUTES'!C$3:C$42,"Énergie"),"",INDEX('DONNÉES BRUTES'!P$3:P$42,MATCH(LARGE(IF('DONNÉES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M14" t="str" cm="1">
        <f t="array" ref="M14">IFERROR(IF(4&gt;COUNTIF('DONNÉES BRUTES'!C$3:C$42,"Énergie"),"",INDEX('DONNÉES BRUTES'!Q$3:Q$42,MATCH(LARGE(IF('DONNÉES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N14" t="str" cm="1">
        <f t="array" ref="N14">IFERROR(IF(4&gt;COUNTIF('DONNÉES BRUTES'!C$3:C$42,"Énergie"),"",INDEX('DONNÉES BRUTES'!S$3:S$42,MATCH(LARGE(IF('DONNÉES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O14" t="str" cm="1">
        <f t="array" ref="O14">IFERROR(IF(4&gt;COUNTIF('DONNÉES BRUTES'!C$3:C$42,"Énergie"),"",INDEX('DONNÉES BRUTES'!T$3:T$42,MATCH(LARGE(IF('DONNÉES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P14" t="str" cm="1">
        <f t="array" ref="P14">IFERROR(IF(4&gt;COUNTIF('DONNÉES BRUTES'!C$3:C$42,"Énergie"),"",INDEX('DONNÉES BRUTES'!U$3:U$42,MATCH(LARGE(IF('DONNÉES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  <c r="Q14" t="str" cm="1">
        <f t="array" ref="Q14">IFERROR(IF(4&gt;COUNTIF('DONNÉES BRUTES'!C$3:C$42,"Énergie"),"",INDEX('DONNÉES BRUTES'!AD$3:AD$42,MATCH(LARGE(IF('DONNÉES BRUTES'!C$3:C$42="Énergie",'DONNÉES BRUTES'!AB$3:AB$42+(ROW('DONNÉES BRUTES'!A$3:A$42)-ROW('DONNÉES BRUTES'!A$3))/1000,0),4),IF('DONNÉES BRUTES'!C$3:C$42="Énergie",'DONNÉES BRUTES'!AB$3:AB$42+(ROW('DONNÉES BRUTES'!A$3:A$42)-ROW('DONNÉES BRUTES'!A$3))/1000,0),0))),"—")</f>
        <v/>
      </c>
    </row>
    <row r="15" spans="2:17" ht="15.9" customHeight="1" x14ac:dyDescent="0.3">
      <c r="C15" t="str" cm="1">
        <f t="array" ref="C15">IFERROR(IF(5&gt;COUNTIF('DONNÉES BRUTES'!C$3:C$42,"Énergie"),"",INDEX('DONNÉES BRUTES'!A$3:A$42,MATCH(LARGE(IF('DONNÉES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D15" t="str" cm="1">
        <f t="array" ref="D15">IFERROR(IF(5&gt;COUNTIF('DONNÉES BRUTES'!C$3:C$42,"Énergie"),"",INDEX('DONNÉES BRUTES'!B$3:B$42,MATCH(LARGE(IF('DONNÉES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E15" t="str" cm="1">
        <f t="array" ref="E15">IFERROR(IF(5&gt;COUNTIF('DONNÉES BRUTES'!C$3:C$42,"Énergie"),"",INT(LARGE(IF('DONNÉES BRUTES'!C$3:C$42="Énergie",'DONNÉES BRUTES'!AB$3:AB$42+(ROW('DONNÉES BRUTES'!A$3:A$42)-ROW('DONNÉES BRUTES'!A$3))/1000,0),5))&amp;"/100"),"—")</f>
        <v/>
      </c>
      <c r="F15" t="str" cm="1">
        <f t="array" ref="F15">IFERROR(IF(5&gt;COUNTIF('DONNÉES BRUTES'!C$3:C$42,"Énergie"),"",INDEX('DONNÉES BRUTES'!Y$3:Y$42,MATCH(LARGE(IF('DONNÉES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G15" t="str" cm="1">
        <f t="array" ref="G15">IFERROR(IF(5&gt;COUNTIF('DONNÉES BRUTES'!C$3:C$42,"Énergie"),"",INDEX('DONNÉES BRUTES'!Z$3:Z$42,MATCH(LARGE(IF('DONNÉES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H15" t="str" cm="1">
        <f t="array" ref="H15">IFERROR(IF(5&gt;COUNTIF('DONNÉES BRUTES'!C$3:C$42,"Énergie"),"",INDEX('DONNÉES BRUTES'!AA$3:AA$42,MATCH(LARGE(IF('DONNÉES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I15" t="str" cm="1">
        <f t="array" ref="I15">IFERROR(IF(5&gt;COUNTIF('DONNÉES BRUTES'!C$3:C$42,"Énergie"),"",INDEX('DONNÉES BRUTES'!M$3:M$42,MATCH(LARGE(IF('DONNÉES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J15" t="str" cm="1">
        <f t="array" ref="J15">IFERROR(IF(5&gt;COUNTIF('DONNÉES BRUTES'!C$3:C$42,"Énergie"),"",INDEX('DONNÉES BRUTES'!N$3:N$42,MATCH(LARGE(IF('DONNÉES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K15" t="str" cm="1">
        <f t="array" ref="K15">IFERROR(IF(5&gt;COUNTIF('DONNÉES BRUTES'!C$3:C$42,"Énergie"),"",INDEX('DONNÉES BRUTES'!O$3:O$42,MATCH(LARGE(IF('DONNÉES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L15" t="str" cm="1">
        <f t="array" ref="L15">IFERROR(IF(5&gt;COUNTIF('DONNÉES BRUTES'!C$3:C$42,"Énergie"),"",INDEX('DONNÉES BRUTES'!P$3:P$42,MATCH(LARGE(IF('DONNÉES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M15" t="str" cm="1">
        <f t="array" ref="M15">IFERROR(IF(5&gt;COUNTIF('DONNÉES BRUTES'!C$3:C$42,"Énergie"),"",INDEX('DONNÉES BRUTES'!Q$3:Q$42,MATCH(LARGE(IF('DONNÉES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N15" t="str" cm="1">
        <f t="array" ref="N15">IFERROR(IF(5&gt;COUNTIF('DONNÉES BRUTES'!C$3:C$42,"Énergie"),"",INDEX('DONNÉES BRUTES'!S$3:S$42,MATCH(LARGE(IF('DONNÉES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O15" t="str" cm="1">
        <f t="array" ref="O15">IFERROR(IF(5&gt;COUNTIF('DONNÉES BRUTES'!C$3:C$42,"Énergie"),"",INDEX('DONNÉES BRUTES'!T$3:T$42,MATCH(LARGE(IF('DONNÉES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P15" t="str" cm="1">
        <f t="array" ref="P15">IFERROR(IF(5&gt;COUNTIF('DONNÉES BRUTES'!C$3:C$42,"Énergie"),"",INDEX('DONNÉES BRUTES'!U$3:U$42,MATCH(LARGE(IF('DONNÉES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  <c r="Q15" t="str" cm="1">
        <f t="array" ref="Q15">IFERROR(IF(5&gt;COUNTIF('DONNÉES BRUTES'!C$3:C$42,"Énergie"),"",INDEX('DONNÉES BRUTES'!AD$3:AD$42,MATCH(LARGE(IF('DONNÉES BRUTES'!C$3:C$42="Énergie",'DONNÉES BRUTES'!AB$3:AB$42+(ROW('DONNÉES BRUTES'!A$3:A$42)-ROW('DONNÉES BRUTES'!A$3))/1000,0),5),IF('DONNÉES BRUTES'!C$3:C$42="Énergie",'DONNÉES BRUTES'!AB$3:AB$42+(ROW('DONNÉES BRUTES'!A$3:A$42)-ROW('DONNÉES BRUTES'!A$3))/1000,0),0))),"—")</f>
        <v/>
      </c>
    </row>
    <row r="16" spans="2:17" ht="15.9" customHeight="1" x14ac:dyDescent="0.3">
      <c r="C16" t="str" cm="1">
        <f t="array" ref="C16">IFERROR(IF(6&gt;COUNTIF('DONNÉES BRUTES'!C$3:C$42,"Énergie"),"",INDEX('DONNÉES BRUTES'!A$3:A$42,MATCH(LARGE(IF('DONNÉES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D16" t="str" cm="1">
        <f t="array" ref="D16">IFERROR(IF(6&gt;COUNTIF('DONNÉES BRUTES'!C$3:C$42,"Énergie"),"",INDEX('DONNÉES BRUTES'!B$3:B$42,MATCH(LARGE(IF('DONNÉES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E16" t="str" cm="1">
        <f t="array" ref="E16">IFERROR(IF(6&gt;COUNTIF('DONNÉES BRUTES'!C$3:C$42,"Énergie"),"",INT(LARGE(IF('DONNÉES BRUTES'!C$3:C$42="Énergie",'DONNÉES BRUTES'!AB$3:AB$42+(ROW('DONNÉES BRUTES'!A$3:A$42)-ROW('DONNÉES BRUTES'!A$3))/1000,0),6))&amp;"/100"),"—")</f>
        <v/>
      </c>
      <c r="F16" t="str" cm="1">
        <f t="array" ref="F16">IFERROR(IF(6&gt;COUNTIF('DONNÉES BRUTES'!C$3:C$42,"Énergie"),"",INDEX('DONNÉES BRUTES'!Y$3:Y$42,MATCH(LARGE(IF('DONNÉES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G16" t="str" cm="1">
        <f t="array" ref="G16">IFERROR(IF(6&gt;COUNTIF('DONNÉES BRUTES'!C$3:C$42,"Énergie"),"",INDEX('DONNÉES BRUTES'!Z$3:Z$42,MATCH(LARGE(IF('DONNÉES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H16" t="str" cm="1">
        <f t="array" ref="H16">IFERROR(IF(6&gt;COUNTIF('DONNÉES BRUTES'!C$3:C$42,"Énergie"),"",INDEX('DONNÉES BRUTES'!AA$3:AA$42,MATCH(LARGE(IF('DONNÉES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I16" t="str" cm="1">
        <f t="array" ref="I16">IFERROR(IF(6&gt;COUNTIF('DONNÉES BRUTES'!C$3:C$42,"Énergie"),"",INDEX('DONNÉES BRUTES'!M$3:M$42,MATCH(LARGE(IF('DONNÉES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J16" t="str" cm="1">
        <f t="array" ref="J16">IFERROR(IF(6&gt;COUNTIF('DONNÉES BRUTES'!C$3:C$42,"Énergie"),"",INDEX('DONNÉES BRUTES'!N$3:N$42,MATCH(LARGE(IF('DONNÉES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K16" t="str" cm="1">
        <f t="array" ref="K16">IFERROR(IF(6&gt;COUNTIF('DONNÉES BRUTES'!C$3:C$42,"Énergie"),"",INDEX('DONNÉES BRUTES'!O$3:O$42,MATCH(LARGE(IF('DONNÉES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L16" t="str" cm="1">
        <f t="array" ref="L16">IFERROR(IF(6&gt;COUNTIF('DONNÉES BRUTES'!C$3:C$42,"Énergie"),"",INDEX('DONNÉES BRUTES'!P$3:P$42,MATCH(LARGE(IF('DONNÉES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M16" t="str" cm="1">
        <f t="array" ref="M16">IFERROR(IF(6&gt;COUNTIF('DONNÉES BRUTES'!C$3:C$42,"Énergie"),"",INDEX('DONNÉES BRUTES'!Q$3:Q$42,MATCH(LARGE(IF('DONNÉES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N16" t="str" cm="1">
        <f t="array" ref="N16">IFERROR(IF(6&gt;COUNTIF('DONNÉES BRUTES'!C$3:C$42,"Énergie"),"",INDEX('DONNÉES BRUTES'!S$3:S$42,MATCH(LARGE(IF('DONNÉES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O16" t="str" cm="1">
        <f t="array" ref="O16">IFERROR(IF(6&gt;COUNTIF('DONNÉES BRUTES'!C$3:C$42,"Énergie"),"",INDEX('DONNÉES BRUTES'!T$3:T$42,MATCH(LARGE(IF('DONNÉES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P16" t="str" cm="1">
        <f t="array" ref="P16">IFERROR(IF(6&gt;COUNTIF('DONNÉES BRUTES'!C$3:C$42,"Énergie"),"",INDEX('DONNÉES BRUTES'!U$3:U$42,MATCH(LARGE(IF('DONNÉES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  <c r="Q16" t="str" cm="1">
        <f t="array" ref="Q16">IFERROR(IF(6&gt;COUNTIF('DONNÉES BRUTES'!C$3:C$42,"Énergie"),"",INDEX('DONNÉES BRUTES'!AD$3:AD$42,MATCH(LARGE(IF('DONNÉES BRUTES'!C$3:C$42="Énergie",'DONNÉES BRUTES'!AB$3:AB$42+(ROW('DONNÉES BRUTES'!A$3:A$42)-ROW('DONNÉES BRUTES'!A$3))/1000,0),6),IF('DONNÉES BRUTES'!C$3:C$42="Énergie",'DONNÉES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BRUTES'!C$3:C$42,"Énergie"),"",INDEX('DONNÉES BRUTES'!A$3:A$42,MATCH(LARGE(IF('DONNÉES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D17" t="str" cm="1">
        <f t="array" ref="D17">IFERROR(IF(7&gt;COUNTIF('DONNÉES BRUTES'!C$3:C$42,"Énergie"),"",INDEX('DONNÉES BRUTES'!B$3:B$42,MATCH(LARGE(IF('DONNÉES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E17" t="str" cm="1">
        <f t="array" ref="E17">IFERROR(IF(7&gt;COUNTIF('DONNÉES BRUTES'!C$3:C$42,"Énergie"),"",INT(LARGE(IF('DONNÉES BRUTES'!C$3:C$42="Énergie",'DONNÉES BRUTES'!AB$3:AB$42+(ROW('DONNÉES BRUTES'!A$3:A$42)-ROW('DONNÉES BRUTES'!A$3))/1000,0),7))&amp;"/100"),"—")</f>
        <v/>
      </c>
      <c r="F17" t="str" cm="1">
        <f t="array" ref="F17">IFERROR(IF(7&gt;COUNTIF('DONNÉES BRUTES'!C$3:C$42,"Énergie"),"",INDEX('DONNÉES BRUTES'!Y$3:Y$42,MATCH(LARGE(IF('DONNÉES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G17" t="str" cm="1">
        <f t="array" ref="G17">IFERROR(IF(7&gt;COUNTIF('DONNÉES BRUTES'!C$3:C$42,"Énergie"),"",INDEX('DONNÉES BRUTES'!Z$3:Z$42,MATCH(LARGE(IF('DONNÉES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H17" t="str" cm="1">
        <f t="array" ref="H17">IFERROR(IF(7&gt;COUNTIF('DONNÉES BRUTES'!C$3:C$42,"Énergie"),"",INDEX('DONNÉES BRUTES'!AA$3:AA$42,MATCH(LARGE(IF('DONNÉES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I17" t="str" cm="1">
        <f t="array" ref="I17">IFERROR(IF(7&gt;COUNTIF('DONNÉES BRUTES'!C$3:C$42,"Énergie"),"",INDEX('DONNÉES BRUTES'!M$3:M$42,MATCH(LARGE(IF('DONNÉES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J17" t="str" cm="1">
        <f t="array" ref="J17">IFERROR(IF(7&gt;COUNTIF('DONNÉES BRUTES'!C$3:C$42,"Énergie"),"",INDEX('DONNÉES BRUTES'!N$3:N$42,MATCH(LARGE(IF('DONNÉES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K17" t="str" cm="1">
        <f t="array" ref="K17">IFERROR(IF(7&gt;COUNTIF('DONNÉES BRUTES'!C$3:C$42,"Énergie"),"",INDEX('DONNÉES BRUTES'!O$3:O$42,MATCH(LARGE(IF('DONNÉES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L17" t="str" cm="1">
        <f t="array" ref="L17">IFERROR(IF(7&gt;COUNTIF('DONNÉES BRUTES'!C$3:C$42,"Énergie"),"",INDEX('DONNÉES BRUTES'!P$3:P$42,MATCH(LARGE(IF('DONNÉES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M17" t="str" cm="1">
        <f t="array" ref="M17">IFERROR(IF(7&gt;COUNTIF('DONNÉES BRUTES'!C$3:C$42,"Énergie"),"",INDEX('DONNÉES BRUTES'!Q$3:Q$42,MATCH(LARGE(IF('DONNÉES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N17" t="str" cm="1">
        <f t="array" ref="N17">IFERROR(IF(7&gt;COUNTIF('DONNÉES BRUTES'!C$3:C$42,"Énergie"),"",INDEX('DONNÉES BRUTES'!S$3:S$42,MATCH(LARGE(IF('DONNÉES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O17" t="str" cm="1">
        <f t="array" ref="O17">IFERROR(IF(7&gt;COUNTIF('DONNÉES BRUTES'!C$3:C$42,"Énergie"),"",INDEX('DONNÉES BRUTES'!T$3:T$42,MATCH(LARGE(IF('DONNÉES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P17" t="str" cm="1">
        <f t="array" ref="P17">IFERROR(IF(7&gt;COUNTIF('DONNÉES BRUTES'!C$3:C$42,"Énergie"),"",INDEX('DONNÉES BRUTES'!U$3:U$42,MATCH(LARGE(IF('DONNÉES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  <c r="Q17" t="str" cm="1">
        <f t="array" ref="Q17">IFERROR(IF(7&gt;COUNTIF('DONNÉES BRUTES'!C$3:C$42,"Énergie"),"",INDEX('DONNÉES BRUTES'!AD$3:AD$42,MATCH(LARGE(IF('DONNÉES BRUTES'!C$3:C$42="Énergie",'DONNÉES BRUTES'!AB$3:AB$42+(ROW('DONNÉES BRUTES'!A$3:A$42)-ROW('DONNÉES BRUTES'!A$3))/1000,0),7),IF('DONNÉES BRUTES'!C$3:C$42="Énergie",'DONNÉES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BRUTES'!C$3:C$42,"Énergie"),"",INDEX('DONNÉES BRUTES'!A$3:A$42,MATCH(LARGE(IF('DONNÉES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D18" t="str" cm="1">
        <f t="array" ref="D18">IFERROR(IF(8&gt;COUNTIF('DONNÉES BRUTES'!C$3:C$42,"Énergie"),"",INDEX('DONNÉES BRUTES'!B$3:B$42,MATCH(LARGE(IF('DONNÉES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E18" t="str" cm="1">
        <f t="array" ref="E18">IFERROR(IF(8&gt;COUNTIF('DONNÉES BRUTES'!C$3:C$42,"Énergie"),"",INT(LARGE(IF('DONNÉES BRUTES'!C$3:C$42="Énergie",'DONNÉES BRUTES'!AB$3:AB$42+(ROW('DONNÉES BRUTES'!A$3:A$42)-ROW('DONNÉES BRUTES'!A$3))/1000,0),8))&amp;"/100"),"—")</f>
        <v/>
      </c>
      <c r="F18" t="str" cm="1">
        <f t="array" ref="F18">IFERROR(IF(8&gt;COUNTIF('DONNÉES BRUTES'!C$3:C$42,"Énergie"),"",INDEX('DONNÉES BRUTES'!Y$3:Y$42,MATCH(LARGE(IF('DONNÉES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G18" t="str" cm="1">
        <f t="array" ref="G18">IFERROR(IF(8&gt;COUNTIF('DONNÉES BRUTES'!C$3:C$42,"Énergie"),"",INDEX('DONNÉES BRUTES'!Z$3:Z$42,MATCH(LARGE(IF('DONNÉES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H18" t="str" cm="1">
        <f t="array" ref="H18">IFERROR(IF(8&gt;COUNTIF('DONNÉES BRUTES'!C$3:C$42,"Énergie"),"",INDEX('DONNÉES BRUTES'!AA$3:AA$42,MATCH(LARGE(IF('DONNÉES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I18" t="str" cm="1">
        <f t="array" ref="I18">IFERROR(IF(8&gt;COUNTIF('DONNÉES BRUTES'!C$3:C$42,"Énergie"),"",INDEX('DONNÉES BRUTES'!M$3:M$42,MATCH(LARGE(IF('DONNÉES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J18" t="str" cm="1">
        <f t="array" ref="J18">IFERROR(IF(8&gt;COUNTIF('DONNÉES BRUTES'!C$3:C$42,"Énergie"),"",INDEX('DONNÉES BRUTES'!N$3:N$42,MATCH(LARGE(IF('DONNÉES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K18" t="str" cm="1">
        <f t="array" ref="K18">IFERROR(IF(8&gt;COUNTIF('DONNÉES BRUTES'!C$3:C$42,"Énergie"),"",INDEX('DONNÉES BRUTES'!O$3:O$42,MATCH(LARGE(IF('DONNÉES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L18" t="str" cm="1">
        <f t="array" ref="L18">IFERROR(IF(8&gt;COUNTIF('DONNÉES BRUTES'!C$3:C$42,"Énergie"),"",INDEX('DONNÉES BRUTES'!P$3:P$42,MATCH(LARGE(IF('DONNÉES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M18" t="str" cm="1">
        <f t="array" ref="M18">IFERROR(IF(8&gt;COUNTIF('DONNÉES BRUTES'!C$3:C$42,"Énergie"),"",INDEX('DONNÉES BRUTES'!Q$3:Q$42,MATCH(LARGE(IF('DONNÉES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N18" t="str" cm="1">
        <f t="array" ref="N18">IFERROR(IF(8&gt;COUNTIF('DONNÉES BRUTES'!C$3:C$42,"Énergie"),"",INDEX('DONNÉES BRUTES'!S$3:S$42,MATCH(LARGE(IF('DONNÉES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O18" t="str" cm="1">
        <f t="array" ref="O18">IFERROR(IF(8&gt;COUNTIF('DONNÉES BRUTES'!C$3:C$42,"Énergie"),"",INDEX('DONNÉES BRUTES'!T$3:T$42,MATCH(LARGE(IF('DONNÉES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P18" t="str" cm="1">
        <f t="array" ref="P18">IFERROR(IF(8&gt;COUNTIF('DONNÉES BRUTES'!C$3:C$42,"Énergie"),"",INDEX('DONNÉES BRUTES'!U$3:U$42,MATCH(LARGE(IF('DONNÉES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  <c r="Q18" t="str" cm="1">
        <f t="array" ref="Q18">IFERROR(IF(8&gt;COUNTIF('DONNÉES BRUTES'!C$3:C$42,"Énergie"),"",INDEX('DONNÉES BRUTES'!AD$3:AD$42,MATCH(LARGE(IF('DONNÉES BRUTES'!C$3:C$42="Énergie",'DONNÉES BRUTES'!AB$3:AB$42+(ROW('DONNÉES BRUTES'!A$3:A$42)-ROW('DONNÉES BRUTES'!A$3))/1000,0),8),IF('DONNÉES BRUTES'!C$3:C$42="Énergie",'DONNÉES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BRUTES'!C$3:C$42,"Énergie"),"",INDEX('DONNÉES BRUTES'!A$3:A$42,MATCH(LARGE(IF('DONNÉES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D19" t="str" cm="1">
        <f t="array" ref="D19">IFERROR(IF(9&gt;COUNTIF('DONNÉES BRUTES'!C$3:C$42,"Énergie"),"",INDEX('DONNÉES BRUTES'!B$3:B$42,MATCH(LARGE(IF('DONNÉES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E19" t="str" cm="1">
        <f t="array" ref="E19">IFERROR(IF(9&gt;COUNTIF('DONNÉES BRUTES'!C$3:C$42,"Énergie"),"",INT(LARGE(IF('DONNÉES BRUTES'!C$3:C$42="Énergie",'DONNÉES BRUTES'!AB$3:AB$42+(ROW('DONNÉES BRUTES'!A$3:A$42)-ROW('DONNÉES BRUTES'!A$3))/1000,0),9))&amp;"/100"),"—")</f>
        <v/>
      </c>
      <c r="F19" t="str" cm="1">
        <f t="array" ref="F19">IFERROR(IF(9&gt;COUNTIF('DONNÉES BRUTES'!C$3:C$42,"Énergie"),"",INDEX('DONNÉES BRUTES'!Y$3:Y$42,MATCH(LARGE(IF('DONNÉES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G19" t="str" cm="1">
        <f t="array" ref="G19">IFERROR(IF(9&gt;COUNTIF('DONNÉES BRUTES'!C$3:C$42,"Énergie"),"",INDEX('DONNÉES BRUTES'!Z$3:Z$42,MATCH(LARGE(IF('DONNÉES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H19" t="str" cm="1">
        <f t="array" ref="H19">IFERROR(IF(9&gt;COUNTIF('DONNÉES BRUTES'!C$3:C$42,"Énergie"),"",INDEX('DONNÉES BRUTES'!AA$3:AA$42,MATCH(LARGE(IF('DONNÉES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I19" t="str" cm="1">
        <f t="array" ref="I19">IFERROR(IF(9&gt;COUNTIF('DONNÉES BRUTES'!C$3:C$42,"Énergie"),"",INDEX('DONNÉES BRUTES'!M$3:M$42,MATCH(LARGE(IF('DONNÉES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J19" t="str" cm="1">
        <f t="array" ref="J19">IFERROR(IF(9&gt;COUNTIF('DONNÉES BRUTES'!C$3:C$42,"Énergie"),"",INDEX('DONNÉES BRUTES'!N$3:N$42,MATCH(LARGE(IF('DONNÉES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K19" t="str" cm="1">
        <f t="array" ref="K19">IFERROR(IF(9&gt;COUNTIF('DONNÉES BRUTES'!C$3:C$42,"Énergie"),"",INDEX('DONNÉES BRUTES'!O$3:O$42,MATCH(LARGE(IF('DONNÉES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L19" t="str" cm="1">
        <f t="array" ref="L19">IFERROR(IF(9&gt;COUNTIF('DONNÉES BRUTES'!C$3:C$42,"Énergie"),"",INDEX('DONNÉES BRUTES'!P$3:P$42,MATCH(LARGE(IF('DONNÉES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M19" t="str" cm="1">
        <f t="array" ref="M19">IFERROR(IF(9&gt;COUNTIF('DONNÉES BRUTES'!C$3:C$42,"Énergie"),"",INDEX('DONNÉES BRUTES'!Q$3:Q$42,MATCH(LARGE(IF('DONNÉES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N19" t="str" cm="1">
        <f t="array" ref="N19">IFERROR(IF(9&gt;COUNTIF('DONNÉES BRUTES'!C$3:C$42,"Énergie"),"",INDEX('DONNÉES BRUTES'!S$3:S$42,MATCH(LARGE(IF('DONNÉES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O19" t="str" cm="1">
        <f t="array" ref="O19">IFERROR(IF(9&gt;COUNTIF('DONNÉES BRUTES'!C$3:C$42,"Énergie"),"",INDEX('DONNÉES BRUTES'!T$3:T$42,MATCH(LARGE(IF('DONNÉES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P19" t="str" cm="1">
        <f t="array" ref="P19">IFERROR(IF(9&gt;COUNTIF('DONNÉES BRUTES'!C$3:C$42,"Énergie"),"",INDEX('DONNÉES BRUTES'!U$3:U$42,MATCH(LARGE(IF('DONNÉES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  <c r="Q19" t="str" cm="1">
        <f t="array" ref="Q19">IFERROR(IF(9&gt;COUNTIF('DONNÉES BRUTES'!C$3:C$42,"Énergie"),"",INDEX('DONNÉES BRUTES'!AD$3:AD$42,MATCH(LARGE(IF('DONNÉES BRUTES'!C$3:C$42="Énergie",'DONNÉES BRUTES'!AB$3:AB$42+(ROW('DONNÉES BRUTES'!A$3:A$42)-ROW('DONNÉES BRUTES'!A$3))/1000,0),9),IF('DONNÉES BRUTES'!C$3:C$42="Énergie",'DONNÉES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BRUTES'!C$3:C$42,"Énergie"),"",INDEX('DONNÉES BRUTES'!A$3:A$42,MATCH(LARGE(IF('DONNÉES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D20" t="str" cm="1">
        <f t="array" ref="D20">IFERROR(IF(10&gt;COUNTIF('DONNÉES BRUTES'!C$3:C$42,"Énergie"),"",INDEX('DONNÉES BRUTES'!B$3:B$42,MATCH(LARGE(IF('DONNÉES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E20" t="str" cm="1">
        <f t="array" ref="E20">IFERROR(IF(10&gt;COUNTIF('DONNÉES BRUTES'!C$3:C$42,"Énergie"),"",INT(LARGE(IF('DONNÉES BRUTES'!C$3:C$42="Énergie",'DONNÉES BRUTES'!AB$3:AB$42+(ROW('DONNÉES BRUTES'!A$3:A$42)-ROW('DONNÉES BRUTES'!A$3))/1000,0),10))&amp;"/100"),"—")</f>
        <v/>
      </c>
      <c r="F20" t="str" cm="1">
        <f t="array" ref="F20">IFERROR(IF(10&gt;COUNTIF('DONNÉES BRUTES'!C$3:C$42,"Énergie"),"",INDEX('DONNÉES BRUTES'!Y$3:Y$42,MATCH(LARGE(IF('DONNÉES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G20" t="str" cm="1">
        <f t="array" ref="G20">IFERROR(IF(10&gt;COUNTIF('DONNÉES BRUTES'!C$3:C$42,"Énergie"),"",INDEX('DONNÉES BRUTES'!Z$3:Z$42,MATCH(LARGE(IF('DONNÉES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H20" t="str" cm="1">
        <f t="array" ref="H20">IFERROR(IF(10&gt;COUNTIF('DONNÉES BRUTES'!C$3:C$42,"Énergie"),"",INDEX('DONNÉES BRUTES'!AA$3:AA$42,MATCH(LARGE(IF('DONNÉES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I20" t="str" cm="1">
        <f t="array" ref="I20">IFERROR(IF(10&gt;COUNTIF('DONNÉES BRUTES'!C$3:C$42,"Énergie"),"",INDEX('DONNÉES BRUTES'!M$3:M$42,MATCH(LARGE(IF('DONNÉES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J20" t="str" cm="1">
        <f t="array" ref="J20">IFERROR(IF(10&gt;COUNTIF('DONNÉES BRUTES'!C$3:C$42,"Énergie"),"",INDEX('DONNÉES BRUTES'!N$3:N$42,MATCH(LARGE(IF('DONNÉES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K20" t="str" cm="1">
        <f t="array" ref="K20">IFERROR(IF(10&gt;COUNTIF('DONNÉES BRUTES'!C$3:C$42,"Énergie"),"",INDEX('DONNÉES BRUTES'!O$3:O$42,MATCH(LARGE(IF('DONNÉES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L20" t="str" cm="1">
        <f t="array" ref="L20">IFERROR(IF(10&gt;COUNTIF('DONNÉES BRUTES'!C$3:C$42,"Énergie"),"",INDEX('DONNÉES BRUTES'!P$3:P$42,MATCH(LARGE(IF('DONNÉES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M20" t="str" cm="1">
        <f t="array" ref="M20">IFERROR(IF(10&gt;COUNTIF('DONNÉES BRUTES'!C$3:C$42,"Énergie"),"",INDEX('DONNÉES BRUTES'!Q$3:Q$42,MATCH(LARGE(IF('DONNÉES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N20" t="str" cm="1">
        <f t="array" ref="N20">IFERROR(IF(10&gt;COUNTIF('DONNÉES BRUTES'!C$3:C$42,"Énergie"),"",INDEX('DONNÉES BRUTES'!S$3:S$42,MATCH(LARGE(IF('DONNÉES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O20" t="str" cm="1">
        <f t="array" ref="O20">IFERROR(IF(10&gt;COUNTIF('DONNÉES BRUTES'!C$3:C$42,"Énergie"),"",INDEX('DONNÉES BRUTES'!T$3:T$42,MATCH(LARGE(IF('DONNÉES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P20" t="str" cm="1">
        <f t="array" ref="P20">IFERROR(IF(10&gt;COUNTIF('DONNÉES BRUTES'!C$3:C$42,"Énergie"),"",INDEX('DONNÉES BRUTES'!U$3:U$42,MATCH(LARGE(IF('DONNÉES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  <c r="Q20" t="str" cm="1">
        <f t="array" ref="Q20">IFERROR(IF(10&gt;COUNTIF('DONNÉES BRUTES'!C$3:C$42,"Énergie"),"",INDEX('DONNÉES BRUTES'!AD$3:AD$42,MATCH(LARGE(IF('DONNÉES BRUTES'!C$3:C$42="Énergie",'DONNÉES BRUTES'!AB$3:AB$42+(ROW('DONNÉES BRUTES'!A$3:A$42)-ROW('DONNÉES BRUTES'!A$3))/1000,0),10),IF('DONNÉES BRUTES'!C$3:C$42="Énergie",'DONNÉES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BRUTES'!C$3:C$42,"Énergie"),"",INDEX('DONNÉES BRUTES'!A$3:A$42,MATCH(LARGE(IF('DONNÉES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D21" t="str" cm="1">
        <f t="array" ref="D21">IFERROR(IF(11&gt;COUNTIF('DONNÉES BRUTES'!C$3:C$42,"Énergie"),"",INDEX('DONNÉES BRUTES'!B$3:B$42,MATCH(LARGE(IF('DONNÉES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E21" t="str" cm="1">
        <f t="array" ref="E21">IFERROR(IF(11&gt;COUNTIF('DONNÉES BRUTES'!C$3:C$42,"Énergie"),"",INT(LARGE(IF('DONNÉES BRUTES'!C$3:C$42="Énergie",'DONNÉES BRUTES'!AB$3:AB$42+(ROW('DONNÉES BRUTES'!A$3:A$42)-ROW('DONNÉES BRUTES'!A$3))/1000,0),11))&amp;"/100"),"—")</f>
        <v/>
      </c>
      <c r="F21" t="str" cm="1">
        <f t="array" ref="F21">IFERROR(IF(11&gt;COUNTIF('DONNÉES BRUTES'!C$3:C$42,"Énergie"),"",INDEX('DONNÉES BRUTES'!Y$3:Y$42,MATCH(LARGE(IF('DONNÉES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G21" t="str" cm="1">
        <f t="array" ref="G21">IFERROR(IF(11&gt;COUNTIF('DONNÉES BRUTES'!C$3:C$42,"Énergie"),"",INDEX('DONNÉES BRUTES'!Z$3:Z$42,MATCH(LARGE(IF('DONNÉES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H21" t="str" cm="1">
        <f t="array" ref="H21">IFERROR(IF(11&gt;COUNTIF('DONNÉES BRUTES'!C$3:C$42,"Énergie"),"",INDEX('DONNÉES BRUTES'!AA$3:AA$42,MATCH(LARGE(IF('DONNÉES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I21" t="str" cm="1">
        <f t="array" ref="I21">IFERROR(IF(11&gt;COUNTIF('DONNÉES BRUTES'!C$3:C$42,"Énergie"),"",INDEX('DONNÉES BRUTES'!M$3:M$42,MATCH(LARGE(IF('DONNÉES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J21" t="str" cm="1">
        <f t="array" ref="J21">IFERROR(IF(11&gt;COUNTIF('DONNÉES BRUTES'!C$3:C$42,"Énergie"),"",INDEX('DONNÉES BRUTES'!N$3:N$42,MATCH(LARGE(IF('DONNÉES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K21" t="str" cm="1">
        <f t="array" ref="K21">IFERROR(IF(11&gt;COUNTIF('DONNÉES BRUTES'!C$3:C$42,"Énergie"),"",INDEX('DONNÉES BRUTES'!O$3:O$42,MATCH(LARGE(IF('DONNÉES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L21" t="str" cm="1">
        <f t="array" ref="L21">IFERROR(IF(11&gt;COUNTIF('DONNÉES BRUTES'!C$3:C$42,"Énergie"),"",INDEX('DONNÉES BRUTES'!P$3:P$42,MATCH(LARGE(IF('DONNÉES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M21" t="str" cm="1">
        <f t="array" ref="M21">IFERROR(IF(11&gt;COUNTIF('DONNÉES BRUTES'!C$3:C$42,"Énergie"),"",INDEX('DONNÉES BRUTES'!Q$3:Q$42,MATCH(LARGE(IF('DONNÉES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N21" t="str" cm="1">
        <f t="array" ref="N21">IFERROR(IF(11&gt;COUNTIF('DONNÉES BRUTES'!C$3:C$42,"Énergie"),"",INDEX('DONNÉES BRUTES'!S$3:S$42,MATCH(LARGE(IF('DONNÉES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O21" t="str" cm="1">
        <f t="array" ref="O21">IFERROR(IF(11&gt;COUNTIF('DONNÉES BRUTES'!C$3:C$42,"Énergie"),"",INDEX('DONNÉES BRUTES'!T$3:T$42,MATCH(LARGE(IF('DONNÉES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P21" t="str" cm="1">
        <f t="array" ref="P21">IFERROR(IF(11&gt;COUNTIF('DONNÉES BRUTES'!C$3:C$42,"Énergie"),"",INDEX('DONNÉES BRUTES'!U$3:U$42,MATCH(LARGE(IF('DONNÉES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  <c r="Q21" t="str" cm="1">
        <f t="array" ref="Q21">IFERROR(IF(11&gt;COUNTIF('DONNÉES BRUTES'!C$3:C$42,"Énergie"),"",INDEX('DONNÉES BRUTES'!AD$3:AD$42,MATCH(LARGE(IF('DONNÉES BRUTES'!C$3:C$42="Énergie",'DONNÉES BRUTES'!AB$3:AB$42+(ROW('DONNÉES BRUTES'!A$3:A$42)-ROW('DONNÉES BRUTES'!A$3))/1000,0),11),IF('DONNÉES BRUTES'!C$3:C$42="Énergie",'DONNÉES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BRUTES'!C$3:C$42,"Énergie"),"",INDEX('DONNÉES BRUTES'!A$3:A$42,MATCH(LARGE(IF('DONNÉES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D22" t="str" cm="1">
        <f t="array" ref="D22">IFERROR(IF(12&gt;COUNTIF('DONNÉES BRUTES'!C$3:C$42,"Énergie"),"",INDEX('DONNÉES BRUTES'!B$3:B$42,MATCH(LARGE(IF('DONNÉES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E22" t="str" cm="1">
        <f t="array" ref="E22">IFERROR(IF(12&gt;COUNTIF('DONNÉES BRUTES'!C$3:C$42,"Énergie"),"",INT(LARGE(IF('DONNÉES BRUTES'!C$3:C$42="Énergie",'DONNÉES BRUTES'!AB$3:AB$42+(ROW('DONNÉES BRUTES'!A$3:A$42)-ROW('DONNÉES BRUTES'!A$3))/1000,0),12))&amp;"/100"),"—")</f>
        <v/>
      </c>
      <c r="F22" t="str" cm="1">
        <f t="array" ref="F22">IFERROR(IF(12&gt;COUNTIF('DONNÉES BRUTES'!C$3:C$42,"Énergie"),"",INDEX('DONNÉES BRUTES'!Y$3:Y$42,MATCH(LARGE(IF('DONNÉES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G22" t="str" cm="1">
        <f t="array" ref="G22">IFERROR(IF(12&gt;COUNTIF('DONNÉES BRUTES'!C$3:C$42,"Énergie"),"",INDEX('DONNÉES BRUTES'!Z$3:Z$42,MATCH(LARGE(IF('DONNÉES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H22" t="str" cm="1">
        <f t="array" ref="H22">IFERROR(IF(12&gt;COUNTIF('DONNÉES BRUTES'!C$3:C$42,"Énergie"),"",INDEX('DONNÉES BRUTES'!AA$3:AA$42,MATCH(LARGE(IF('DONNÉES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I22" t="str" cm="1">
        <f t="array" ref="I22">IFERROR(IF(12&gt;COUNTIF('DONNÉES BRUTES'!C$3:C$42,"Énergie"),"",INDEX('DONNÉES BRUTES'!M$3:M$42,MATCH(LARGE(IF('DONNÉES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J22" t="str" cm="1">
        <f t="array" ref="J22">IFERROR(IF(12&gt;COUNTIF('DONNÉES BRUTES'!C$3:C$42,"Énergie"),"",INDEX('DONNÉES BRUTES'!N$3:N$42,MATCH(LARGE(IF('DONNÉES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K22" t="str" cm="1">
        <f t="array" ref="K22">IFERROR(IF(12&gt;COUNTIF('DONNÉES BRUTES'!C$3:C$42,"Énergie"),"",INDEX('DONNÉES BRUTES'!O$3:O$42,MATCH(LARGE(IF('DONNÉES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L22" t="str" cm="1">
        <f t="array" ref="L22">IFERROR(IF(12&gt;COUNTIF('DONNÉES BRUTES'!C$3:C$42,"Énergie"),"",INDEX('DONNÉES BRUTES'!P$3:P$42,MATCH(LARGE(IF('DONNÉES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M22" t="str" cm="1">
        <f t="array" ref="M22">IFERROR(IF(12&gt;COUNTIF('DONNÉES BRUTES'!C$3:C$42,"Énergie"),"",INDEX('DONNÉES BRUTES'!Q$3:Q$42,MATCH(LARGE(IF('DONNÉES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N22" t="str" cm="1">
        <f t="array" ref="N22">IFERROR(IF(12&gt;COUNTIF('DONNÉES BRUTES'!C$3:C$42,"Énergie"),"",INDEX('DONNÉES BRUTES'!S$3:S$42,MATCH(LARGE(IF('DONNÉES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O22" t="str" cm="1">
        <f t="array" ref="O22">IFERROR(IF(12&gt;COUNTIF('DONNÉES BRUTES'!C$3:C$42,"Énergie"),"",INDEX('DONNÉES BRUTES'!T$3:T$42,MATCH(LARGE(IF('DONNÉES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P22" t="str" cm="1">
        <f t="array" ref="P22">IFERROR(IF(12&gt;COUNTIF('DONNÉES BRUTES'!C$3:C$42,"Énergie"),"",INDEX('DONNÉES BRUTES'!U$3:U$42,MATCH(LARGE(IF('DONNÉES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  <c r="Q22" t="str" cm="1">
        <f t="array" ref="Q22">IFERROR(IF(12&gt;COUNTIF('DONNÉES BRUTES'!C$3:C$42,"Énergie"),"",INDEX('DONNÉES BRUTES'!AD$3:AD$42,MATCH(LARGE(IF('DONNÉES BRUTES'!C$3:C$42="Énergie",'DONNÉES BRUTES'!AB$3:AB$42+(ROW('DONNÉES BRUTES'!A$3:A$42)-ROW('DONNÉES BRUTES'!A$3))/1000,0),12),IF('DONNÉES BRUTES'!C$3:C$42="Énergie",'DONNÉES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BRUTES'!C$3:C$42,"Énergie"),"",INDEX('DONNÉES BRUTES'!A$3:A$42,MATCH(LARGE(IF('DONNÉES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D23" t="str" cm="1">
        <f t="array" ref="D23">IFERROR(IF(13&gt;COUNTIF('DONNÉES BRUTES'!C$3:C$42,"Énergie"),"",INDEX('DONNÉES BRUTES'!B$3:B$42,MATCH(LARGE(IF('DONNÉES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E23" t="str" cm="1">
        <f t="array" ref="E23">IFERROR(IF(13&gt;COUNTIF('DONNÉES BRUTES'!C$3:C$42,"Énergie"),"",INT(LARGE(IF('DONNÉES BRUTES'!C$3:C$42="Énergie",'DONNÉES BRUTES'!AB$3:AB$42+(ROW('DONNÉES BRUTES'!A$3:A$42)-ROW('DONNÉES BRUTES'!A$3))/1000,0),13))&amp;"/100"),"—")</f>
        <v/>
      </c>
      <c r="F23" t="str" cm="1">
        <f t="array" ref="F23">IFERROR(IF(13&gt;COUNTIF('DONNÉES BRUTES'!C$3:C$42,"Énergie"),"",INDEX('DONNÉES BRUTES'!Y$3:Y$42,MATCH(LARGE(IF('DONNÉES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G23" t="str" cm="1">
        <f t="array" ref="G23">IFERROR(IF(13&gt;COUNTIF('DONNÉES BRUTES'!C$3:C$42,"Énergie"),"",INDEX('DONNÉES BRUTES'!Z$3:Z$42,MATCH(LARGE(IF('DONNÉES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H23" t="str" cm="1">
        <f t="array" ref="H23">IFERROR(IF(13&gt;COUNTIF('DONNÉES BRUTES'!C$3:C$42,"Énergie"),"",INDEX('DONNÉES BRUTES'!AA$3:AA$42,MATCH(LARGE(IF('DONNÉES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I23" t="str" cm="1">
        <f t="array" ref="I23">IFERROR(IF(13&gt;COUNTIF('DONNÉES BRUTES'!C$3:C$42,"Énergie"),"",INDEX('DONNÉES BRUTES'!M$3:M$42,MATCH(LARGE(IF('DONNÉES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J23" t="str" cm="1">
        <f t="array" ref="J23">IFERROR(IF(13&gt;COUNTIF('DONNÉES BRUTES'!C$3:C$42,"Énergie"),"",INDEX('DONNÉES BRUTES'!N$3:N$42,MATCH(LARGE(IF('DONNÉES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K23" t="str" cm="1">
        <f t="array" ref="K23">IFERROR(IF(13&gt;COUNTIF('DONNÉES BRUTES'!C$3:C$42,"Énergie"),"",INDEX('DONNÉES BRUTES'!O$3:O$42,MATCH(LARGE(IF('DONNÉES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L23" t="str" cm="1">
        <f t="array" ref="L23">IFERROR(IF(13&gt;COUNTIF('DONNÉES BRUTES'!C$3:C$42,"Énergie"),"",INDEX('DONNÉES BRUTES'!P$3:P$42,MATCH(LARGE(IF('DONNÉES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M23" t="str" cm="1">
        <f t="array" ref="M23">IFERROR(IF(13&gt;COUNTIF('DONNÉES BRUTES'!C$3:C$42,"Énergie"),"",INDEX('DONNÉES BRUTES'!Q$3:Q$42,MATCH(LARGE(IF('DONNÉES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N23" t="str" cm="1">
        <f t="array" ref="N23">IFERROR(IF(13&gt;COUNTIF('DONNÉES BRUTES'!C$3:C$42,"Énergie"),"",INDEX('DONNÉES BRUTES'!S$3:S$42,MATCH(LARGE(IF('DONNÉES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O23" t="str" cm="1">
        <f t="array" ref="O23">IFERROR(IF(13&gt;COUNTIF('DONNÉES BRUTES'!C$3:C$42,"Énergie"),"",INDEX('DONNÉES BRUTES'!T$3:T$42,MATCH(LARGE(IF('DONNÉES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P23" t="str" cm="1">
        <f t="array" ref="P23">IFERROR(IF(13&gt;COUNTIF('DONNÉES BRUTES'!C$3:C$42,"Énergie"),"",INDEX('DONNÉES BRUTES'!U$3:U$42,MATCH(LARGE(IF('DONNÉES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  <c r="Q23" t="str" cm="1">
        <f t="array" ref="Q23">IFERROR(IF(13&gt;COUNTIF('DONNÉES BRUTES'!C$3:C$42,"Énergie"),"",INDEX('DONNÉES BRUTES'!AD$3:AD$42,MATCH(LARGE(IF('DONNÉES BRUTES'!C$3:C$42="Énergie",'DONNÉES BRUTES'!AB$3:AB$42+(ROW('DONNÉES BRUTES'!A$3:A$42)-ROW('DONNÉES BRUTES'!A$3))/1000,0),13),IF('DONNÉES BRUTES'!C$3:C$42="Énergie",'DONNÉES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BRUTES'!C$3:C$42,"Énergie"),"",INDEX('DONNÉES BRUTES'!A$3:A$42,MATCH(LARGE(IF('DONNÉES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D24" t="str" cm="1">
        <f t="array" ref="D24">IFERROR(IF(14&gt;COUNTIF('DONNÉES BRUTES'!C$3:C$42,"Énergie"),"",INDEX('DONNÉES BRUTES'!B$3:B$42,MATCH(LARGE(IF('DONNÉES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E24" t="str" cm="1">
        <f t="array" ref="E24">IFERROR(IF(14&gt;COUNTIF('DONNÉES BRUTES'!C$3:C$42,"Énergie"),"",INT(LARGE(IF('DONNÉES BRUTES'!C$3:C$42="Énergie",'DONNÉES BRUTES'!AB$3:AB$42+(ROW('DONNÉES BRUTES'!A$3:A$42)-ROW('DONNÉES BRUTES'!A$3))/1000,0),14))&amp;"/100"),"—")</f>
        <v/>
      </c>
      <c r="F24" t="str" cm="1">
        <f t="array" ref="F24">IFERROR(IF(14&gt;COUNTIF('DONNÉES BRUTES'!C$3:C$42,"Énergie"),"",INDEX('DONNÉES BRUTES'!Y$3:Y$42,MATCH(LARGE(IF('DONNÉES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G24" t="str" cm="1">
        <f t="array" ref="G24">IFERROR(IF(14&gt;COUNTIF('DONNÉES BRUTES'!C$3:C$42,"Énergie"),"",INDEX('DONNÉES BRUTES'!Z$3:Z$42,MATCH(LARGE(IF('DONNÉES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H24" t="str" cm="1">
        <f t="array" ref="H24">IFERROR(IF(14&gt;COUNTIF('DONNÉES BRUTES'!C$3:C$42,"Énergie"),"",INDEX('DONNÉES BRUTES'!AA$3:AA$42,MATCH(LARGE(IF('DONNÉES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I24" t="str" cm="1">
        <f t="array" ref="I24">IFERROR(IF(14&gt;COUNTIF('DONNÉES BRUTES'!C$3:C$42,"Énergie"),"",INDEX('DONNÉES BRUTES'!M$3:M$42,MATCH(LARGE(IF('DONNÉES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J24" t="str" cm="1">
        <f t="array" ref="J24">IFERROR(IF(14&gt;COUNTIF('DONNÉES BRUTES'!C$3:C$42,"Énergie"),"",INDEX('DONNÉES BRUTES'!N$3:N$42,MATCH(LARGE(IF('DONNÉES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K24" t="str" cm="1">
        <f t="array" ref="K24">IFERROR(IF(14&gt;COUNTIF('DONNÉES BRUTES'!C$3:C$42,"Énergie"),"",INDEX('DONNÉES BRUTES'!O$3:O$42,MATCH(LARGE(IF('DONNÉES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L24" t="str" cm="1">
        <f t="array" ref="L24">IFERROR(IF(14&gt;COUNTIF('DONNÉES BRUTES'!C$3:C$42,"Énergie"),"",INDEX('DONNÉES BRUTES'!P$3:P$42,MATCH(LARGE(IF('DONNÉES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M24" t="str" cm="1">
        <f t="array" ref="M24">IFERROR(IF(14&gt;COUNTIF('DONNÉES BRUTES'!C$3:C$42,"Énergie"),"",INDEX('DONNÉES BRUTES'!Q$3:Q$42,MATCH(LARGE(IF('DONNÉES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N24" t="str" cm="1">
        <f t="array" ref="N24">IFERROR(IF(14&gt;COUNTIF('DONNÉES BRUTES'!C$3:C$42,"Énergie"),"",INDEX('DONNÉES BRUTES'!S$3:S$42,MATCH(LARGE(IF('DONNÉES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O24" t="str" cm="1">
        <f t="array" ref="O24">IFERROR(IF(14&gt;COUNTIF('DONNÉES BRUTES'!C$3:C$42,"Énergie"),"",INDEX('DONNÉES BRUTES'!T$3:T$42,MATCH(LARGE(IF('DONNÉES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P24" t="str" cm="1">
        <f t="array" ref="P24">IFERROR(IF(14&gt;COUNTIF('DONNÉES BRUTES'!C$3:C$42,"Énergie"),"",INDEX('DONNÉES BRUTES'!U$3:U$42,MATCH(LARGE(IF('DONNÉES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  <c r="Q24" t="str" cm="1">
        <f t="array" ref="Q24">IFERROR(IF(14&gt;COUNTIF('DONNÉES BRUTES'!C$3:C$42,"Énergie"),"",INDEX('DONNÉES BRUTES'!AD$3:AD$42,MATCH(LARGE(IF('DONNÉES BRUTES'!C$3:C$42="Énergie",'DONNÉES BRUTES'!AB$3:AB$42+(ROW('DONNÉES BRUTES'!A$3:A$42)-ROW('DONNÉES BRUTES'!A$3))/1000,0),14),IF('DONNÉES BRUTES'!C$3:C$42="Énergie",'DONNÉES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BRUTES'!C$3:C$42,"Énergie"),"",INDEX('DONNÉES BRUTES'!A$3:A$42,MATCH(LARGE(IF('DONNÉES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D25" t="str" cm="1">
        <f t="array" ref="D25">IFERROR(IF(15&gt;COUNTIF('DONNÉES BRUTES'!C$3:C$42,"Énergie"),"",INDEX('DONNÉES BRUTES'!B$3:B$42,MATCH(LARGE(IF('DONNÉES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E25" t="str" cm="1">
        <f t="array" ref="E25">IFERROR(IF(15&gt;COUNTIF('DONNÉES BRUTES'!C$3:C$42,"Énergie"),"",INT(LARGE(IF('DONNÉES BRUTES'!C$3:C$42="Énergie",'DONNÉES BRUTES'!AB$3:AB$42+(ROW('DONNÉES BRUTES'!A$3:A$42)-ROW('DONNÉES BRUTES'!A$3))/1000,0),15))&amp;"/100"),"—")</f>
        <v/>
      </c>
      <c r="F25" t="str" cm="1">
        <f t="array" ref="F25">IFERROR(IF(15&gt;COUNTIF('DONNÉES BRUTES'!C$3:C$42,"Énergie"),"",INDEX('DONNÉES BRUTES'!Y$3:Y$42,MATCH(LARGE(IF('DONNÉES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G25" t="str" cm="1">
        <f t="array" ref="G25">IFERROR(IF(15&gt;COUNTIF('DONNÉES BRUTES'!C$3:C$42,"Énergie"),"",INDEX('DONNÉES BRUTES'!Z$3:Z$42,MATCH(LARGE(IF('DONNÉES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H25" t="str" cm="1">
        <f t="array" ref="H25">IFERROR(IF(15&gt;COUNTIF('DONNÉES BRUTES'!C$3:C$42,"Énergie"),"",INDEX('DONNÉES BRUTES'!AA$3:AA$42,MATCH(LARGE(IF('DONNÉES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I25" t="str" cm="1">
        <f t="array" ref="I25">IFERROR(IF(15&gt;COUNTIF('DONNÉES BRUTES'!C$3:C$42,"Énergie"),"",INDEX('DONNÉES BRUTES'!M$3:M$42,MATCH(LARGE(IF('DONNÉES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J25" t="str" cm="1">
        <f t="array" ref="J25">IFERROR(IF(15&gt;COUNTIF('DONNÉES BRUTES'!C$3:C$42,"Énergie"),"",INDEX('DONNÉES BRUTES'!N$3:N$42,MATCH(LARGE(IF('DONNÉES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K25" t="str" cm="1">
        <f t="array" ref="K25">IFERROR(IF(15&gt;COUNTIF('DONNÉES BRUTES'!C$3:C$42,"Énergie"),"",INDEX('DONNÉES BRUTES'!O$3:O$42,MATCH(LARGE(IF('DONNÉES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L25" t="str" cm="1">
        <f t="array" ref="L25">IFERROR(IF(15&gt;COUNTIF('DONNÉES BRUTES'!C$3:C$42,"Énergie"),"",INDEX('DONNÉES BRUTES'!P$3:P$42,MATCH(LARGE(IF('DONNÉES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M25" t="str" cm="1">
        <f t="array" ref="M25">IFERROR(IF(15&gt;COUNTIF('DONNÉES BRUTES'!C$3:C$42,"Énergie"),"",INDEX('DONNÉES BRUTES'!Q$3:Q$42,MATCH(LARGE(IF('DONNÉES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N25" t="str" cm="1">
        <f t="array" ref="N25">IFERROR(IF(15&gt;COUNTIF('DONNÉES BRUTES'!C$3:C$42,"Énergie"),"",INDEX('DONNÉES BRUTES'!S$3:S$42,MATCH(LARGE(IF('DONNÉES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O25" t="str" cm="1">
        <f t="array" ref="O25">IFERROR(IF(15&gt;COUNTIF('DONNÉES BRUTES'!C$3:C$42,"Énergie"),"",INDEX('DONNÉES BRUTES'!T$3:T$42,MATCH(LARGE(IF('DONNÉES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P25" t="str" cm="1">
        <f t="array" ref="P25">IFERROR(IF(15&gt;COUNTIF('DONNÉES BRUTES'!C$3:C$42,"Énergie"),"",INDEX('DONNÉES BRUTES'!U$3:U$42,MATCH(LARGE(IF('DONNÉES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  <c r="Q25" t="str" cm="1">
        <f t="array" ref="Q25">IFERROR(IF(15&gt;COUNTIF('DONNÉES BRUTES'!C$3:C$42,"Énergie"),"",INDEX('DONNÉES BRUTES'!AD$3:AD$42,MATCH(LARGE(IF('DONNÉES BRUTES'!C$3:C$42="Énergie",'DONNÉES BRUTES'!AB$3:AB$42+(ROW('DONNÉES BRUTES'!A$3:A$42)-ROW('DONNÉES BRUTES'!A$3))/1000,0),15),IF('DONNÉES BRUTES'!C$3:C$42="Énergie",'DONNÉES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s="160" t="s">
        <v>136</v>
      </c>
      <c r="V28" s="160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Shell plc</v>
      </c>
      <c r="T29" s="160">
        <f>IF(E11="","",IFERROR(VALUE(LEFT(E11,FIND("/",E11)-1)),0))</f>
        <v>47</v>
      </c>
      <c r="U29" s="160">
        <f>IF(ISNUMBER(F11),F11,0)</f>
        <v>40</v>
      </c>
      <c r="V29" s="160">
        <f>IF(ISNUMBER(G11),G11,0)</f>
        <v>61</v>
      </c>
      <c r="W29" s="160">
        <f>IF(ISNUMBER(H11),H11,0)</f>
        <v>68</v>
      </c>
      <c r="X29" s="160">
        <f>IF(ISNUMBER(F11),F11,"")</f>
        <v>40</v>
      </c>
      <c r="Y29" s="160">
        <f>IF(ISNUMBER(G11),G11,"")</f>
        <v>61</v>
      </c>
      <c r="Z29" s="160">
        <f>IF(ISNUMBER(H11),H11,"")</f>
        <v>68</v>
      </c>
      <c r="AA29" s="160">
        <v>8</v>
      </c>
      <c r="AB29" s="160">
        <v>28</v>
      </c>
    </row>
    <row r="30" spans="3:28" ht="15.9" customHeight="1" x14ac:dyDescent="0.3"/>
    <row r="36" spans="19:19" x14ac:dyDescent="0.3">
      <c r="S36" s="183"/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AB30"/>
  <sheetViews>
    <sheetView showGridLines="0" topLeftCell="D1" zoomScale="90" workbookViewId="0">
      <selection activeCell="M11" sqref="M11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9" width="8.88671875" bestFit="1" customWidth="1"/>
    <col min="10" max="10" width="10.6640625" bestFit="1" customWidth="1"/>
    <col min="11" max="11" width="8.88671875" bestFit="1" customWidth="1"/>
    <col min="12" max="12" width="10.6640625" bestFit="1" customWidth="1"/>
    <col min="13" max="13" width="8" customWidth="1"/>
    <col min="14" max="14" width="7.33203125" bestFit="1" customWidth="1"/>
    <col min="15" max="15" width="10.109375" bestFit="1" customWidth="1"/>
    <col min="16" max="16" width="8.109375" bestFit="1" customWidth="1"/>
    <col min="17" max="17" width="14.109375" bestFit="1" customWidth="1"/>
  </cols>
  <sheetData>
    <row r="1" spans="2:17" ht="30" customHeight="1" x14ac:dyDescent="0.3">
      <c r="B1" s="204" t="str">
        <f>"FinSight IA  ·  Materials  ·  CAC 40  ·  "&amp;COUNTIF('DONNÉES BRUTES'!C$3:C$42,"Matériaux")&amp;" sociétés  ·  12/04/2026"</f>
        <v>FinSight IA  ·  Materials  ·  CAC 40  ·  3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9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9"/>
      <c r="C5" s="168">
        <v>3</v>
      </c>
      <c r="D5" s="179"/>
      <c r="E5" s="175" t="s">
        <v>280</v>
      </c>
      <c r="F5" s="175"/>
      <c r="G5" s="175"/>
      <c r="H5" s="171" t="str" cm="1">
        <f t="array" ref="H5">IFERROR(INDEX('DONNÉES BRUTES'!B$3:B$42,MATCH(LARGE(IF('DONNÉES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BRUTES'!A$3))/1000,0),0)),"—")</f>
        <v>Rio Tinto Group</v>
      </c>
      <c r="I5" s="175"/>
      <c r="J5" s="175"/>
      <c r="K5" s="179"/>
      <c r="L5" s="212">
        <v>1.034</v>
      </c>
      <c r="M5" s="179"/>
      <c r="N5" s="173" cm="1">
        <f t="array" ref="N5">IFERROR(ROUND(MEDIAN(IF('DONNÉES BRUTES'!C$3:C$42="Matériaux",IF(ISNUMBER('DONNÉES BRUTES'!Y$3:Y$42),'DONNÉES BRUTES'!Y$3:Y$42))),0),"—")</f>
        <v>54</v>
      </c>
      <c r="O5" s="179"/>
      <c r="P5" s="185" t="s">
        <v>158</v>
      </c>
      <c r="Q5" s="175"/>
    </row>
    <row r="6" spans="2:17" ht="15.9" customHeight="1" x14ac:dyDescent="0.3">
      <c r="B6" s="170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70"/>
      <c r="L6" s="170" t="s">
        <v>382</v>
      </c>
      <c r="M6" s="170"/>
      <c r="N6" s="170" t="s">
        <v>411</v>
      </c>
      <c r="O6" s="170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"&amp;UPPER("Matériaux")&amp;"  ·  "&amp;COUNTIF('DONNÉES BRUTES'!C$3:C$42,"Matériaux")&amp;" sociétés  ·  Triée par Score Global"</f>
        <v>ANALYSE DÉTAILLÉE  ·  MATÉRIAUX  ·  3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261" t="s">
        <v>133</v>
      </c>
      <c r="C10" s="262" t="s">
        <v>6</v>
      </c>
      <c r="D10" s="262" t="s">
        <v>1</v>
      </c>
      <c r="E10" s="263" t="s">
        <v>8</v>
      </c>
      <c r="F10" s="263" t="s">
        <v>412</v>
      </c>
      <c r="G10" s="263" t="s">
        <v>413</v>
      </c>
      <c r="H10" s="263" t="s">
        <v>414</v>
      </c>
      <c r="I10" s="263" t="s">
        <v>415</v>
      </c>
      <c r="J10" s="263" t="s">
        <v>340</v>
      </c>
      <c r="K10" s="263" t="s">
        <v>416</v>
      </c>
      <c r="L10" s="263" t="s">
        <v>341</v>
      </c>
      <c r="M10" s="263" t="s">
        <v>147</v>
      </c>
      <c r="N10" s="263" t="s">
        <v>417</v>
      </c>
      <c r="O10" s="263" t="s">
        <v>418</v>
      </c>
      <c r="P10" s="263" t="s">
        <v>14</v>
      </c>
      <c r="Q10" s="264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BRUTES'!C$3:C$42,"Matériaux"),"",INDEX('DONNÉES BRUTES'!A$3:A$42,MATCH(LARGE(IF('DONNÉES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RIO.L</v>
      </c>
      <c r="D11" s="406" t="str" cm="1">
        <f t="array" ref="D11">IFERROR(IF(1&gt;COUNTIF('DONNÉES BRUTES'!C$3:C$42,"Matériaux"),"",INDEX('DONNÉES BRUTES'!B$3:B$42,MATCH(LARGE(IF('DONNÉES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Rio Tinto Group</v>
      </c>
      <c r="E11" s="406" t="str" cm="1">
        <f t="array" ref="E11">IFERROR(IF(1&gt;COUNTIF('DONNÉES BRUTES'!C$3:C$42,"Matériaux"),"",INT(LARGE(IF('DONNÉES BRUTES'!C$3:C$42="Matériaux",'DONNÉES BRUTES'!AB$3:AB$42+(ROW('DONNÉES BRUTES'!A$3:A$42)-ROW('DONNÉES BRUTES'!A$3))/1000,0),1))&amp;"/100"),"—")</f>
        <v>70/100</v>
      </c>
      <c r="F11" s="406" cm="1">
        <f t="array" ref="F11">IFERROR(IF(1&gt;COUNTIF('DONNÉES BRUTES'!C$3:C$42,"Matériaux"),"",INDEX('DONNÉES BRUTES'!Y$3:Y$42,MATCH(LARGE(IF('DONNÉES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77</v>
      </c>
      <c r="G11" s="406" cm="1">
        <f t="array" ref="G11">IFERROR(IF(1&gt;COUNTIF('DONNÉES BRUTES'!C$3:C$42,"Matériaux"),"",INDEX('DONNÉES BRUTES'!Z$3:Z$42,MATCH(LARGE(IF('DONNÉES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78</v>
      </c>
      <c r="H11" s="406" cm="1">
        <f t="array" ref="H11">IFERROR(IF(1&gt;COUNTIF('DONNÉES BRUTES'!C$3:C$42,"Matériaux"),"",INDEX('DONNÉES BRUTES'!AA$3:AA$42,MATCH(LARGE(IF('DONNÉES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91</v>
      </c>
      <c r="I11" s="406" t="str" cm="1">
        <f t="array" ref="I11">IFERROR(IF(1&gt;COUNTIF('DONNÉES BRUTES'!C$3:C$42,"Matériaux"),"",INDEX('DONNÉES BRUTES'!M$3:M$42,MATCH(LARGE(IF('DONNÉES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57.4%</v>
      </c>
      <c r="J11" s="406" t="str" cm="1">
        <f t="array" ref="J11">IFERROR(IF(1&gt;COUNTIF('DONNÉES BRUTES'!C$3:C$42,"Matériaux"),"",INDEX('DONNÉES BRUTES'!N$3:N$42,MATCH(LARGE(IF('DONNÉES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39.9%</v>
      </c>
      <c r="K11" s="406" t="str" cm="1">
        <f t="array" ref="K11">IFERROR(IF(1&gt;COUNTIF('DONNÉES BRUTES'!C$3:C$42,"Matériaux"),"",INDEX('DONNÉES BRUTES'!O$3:O$42,MATCH(LARGE(IF('DONNÉES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17.3%</v>
      </c>
      <c r="L11" s="406" t="str" cm="1">
        <f t="array" ref="L11">IFERROR(IF(1&gt;COUNTIF('DONNÉES BRUTES'!C$3:C$42,"Matériaux"),"",INDEX('DONNÉES BRUTES'!P$3:P$42,MATCH(LARGE(IF('DONNÉES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+7.4%</v>
      </c>
      <c r="M11" s="406" t="str" cm="1">
        <f t="array" ref="M11">IFERROR(IF(1&gt;COUNTIF('DONNÉES BRUTES'!C$3:C$42,"Matériaux"),"",INDEX('DONNÉES BRUTES'!Q$3:Q$42,MATCH(LARGE(IF('DONNÉES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+16.0%</v>
      </c>
      <c r="N11" s="406" cm="1">
        <f t="array" ref="N11">IFERROR(IF(1&gt;COUNTIF('DONNÉES BRUTES'!C$3:C$42,"Matériaux"),"",INDEX('DONNÉES BRUTES'!S$3:S$42,MATCH(LARGE(IF('DONNÉES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1.44</v>
      </c>
      <c r="O11" s="406" t="str" cm="1">
        <f t="array" ref="O11">IFERROR(IF(1&gt;COUNTIF('DONNÉES BRUTES'!C$3:C$42,"Matériaux"),"",INDEX('DONNÉES BRUTES'!T$3:T$42,MATCH(LARGE(IF('DONNÉES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0.7x</v>
      </c>
      <c r="P11" s="406" cm="1">
        <f t="array" ref="P11">IFERROR(IF(1&gt;COUNTIF('DONNÉES BRUTES'!C$3:C$42,"Matériaux"),"",INDEX('DONNÉES BRUTES'!U$3:U$42,MATCH(LARGE(IF('DONNÉES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3.45</v>
      </c>
      <c r="Q11" s="407" t="str" cm="1">
        <f t="array" ref="Q11">IFERROR(IF(1&gt;COUNTIF('DONNÉES BRUTES'!C$3:C$42,"Matériaux"),"",INDEX('DONNÉES BRUTES'!AD$3:AD$42,MATCH(LARGE(IF('DONNÉES BRUTES'!C$3:C$42="Matériaux",'DONNÉES BRUTES'!AB$3:AB$42+(ROW('DONNÉES BRUTES'!A$3:A$42)-ROW('DONNÉES BRUTES'!A$3))/1000,0),1),IF('DONNÉES BRUTES'!C$3:C$42="Matériaux",'DONNÉES BRUTES'!AB$3:AB$42+(ROW('DONNÉES BRUTES'!A$3:A$42)-ROW('DONNÉES BRUTES'!A$3))/1000,0),0))),"—")</f>
        <v>Surpondérer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BRUTES'!C$3:C$42,"Matériaux"),"",INDEX('DONNÉES BRUTES'!A$3:A$42,MATCH(LARGE(IF('DONNÉES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AI.PA</v>
      </c>
      <c r="D12" s="409" t="str" cm="1">
        <f t="array" ref="D12">IFERROR(IF(2&gt;COUNTIF('DONNÉES BRUTES'!C$3:C$42,"Matériaux"),"",INDEX('DONNÉES BRUTES'!B$3:B$42,MATCH(LARGE(IF('DONNÉES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L'Air Liquide S.A.</v>
      </c>
      <c r="E12" s="409" t="str" cm="1">
        <f t="array" ref="E12">IFERROR(IF(2&gt;COUNTIF('DONNÉES BRUTES'!C$3:C$42,"Matériaux"),"",INT(LARGE(IF('DONNÉES BRUTES'!C$3:C$42="Matériaux",'DONNÉES BRUTES'!AB$3:AB$42+(ROW('DONNÉES BRUTES'!A$3:A$42)-ROW('DONNÉES BRUTES'!A$3))/1000,0),2))&amp;"/100"),"—")</f>
        <v>44/100</v>
      </c>
      <c r="F12" s="409" cm="1">
        <f t="array" ref="F12">IFERROR(IF(2&gt;COUNTIF('DONNÉES BRUTES'!C$3:C$42,"Matériaux"),"",INDEX('DONNÉES BRUTES'!Y$3:Y$42,MATCH(LARGE(IF('DONNÉES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54</v>
      </c>
      <c r="G12" s="409" cm="1">
        <f t="array" ref="G12">IFERROR(IF(2&gt;COUNTIF('DONNÉES BRUTES'!C$3:C$42,"Matériaux"),"",INDEX('DONNÉES BRUTES'!Z$3:Z$42,MATCH(LARGE(IF('DONNÉES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58</v>
      </c>
      <c r="H12" s="409" cm="1">
        <f t="array" ref="H12">IFERROR(IF(2&gt;COUNTIF('DONNÉES BRUTES'!C$3:C$42,"Matériaux"),"",INDEX('DONNÉES BRUTES'!AA$3:AA$42,MATCH(LARGE(IF('DONNÉES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34</v>
      </c>
      <c r="I12" s="409" t="str" cm="1">
        <f t="array" ref="I12">IFERROR(IF(2&gt;COUNTIF('DONNÉES BRUTES'!C$3:C$42,"Matériaux"),"",INDEX('DONNÉES BRUTES'!M$3:M$42,MATCH(LARGE(IF('DONNÉES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64.2%</v>
      </c>
      <c r="J12" s="409" t="str" cm="1">
        <f t="array" ref="J12">IFERROR(IF(2&gt;COUNTIF('DONNÉES BRUTES'!C$3:C$42,"Matériaux"),"",INDEX('DONNÉES BRUTES'!N$3:N$42,MATCH(LARGE(IF('DONNÉES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27.9%</v>
      </c>
      <c r="K12" s="409" t="str" cm="1">
        <f t="array" ref="K12">IFERROR(IF(2&gt;COUNTIF('DONNÉES BRUTES'!C$3:C$42,"Matériaux"),"",INDEX('DONNÉES BRUTES'!O$3:O$42,MATCH(LARGE(IF('DONNÉES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13.1%</v>
      </c>
      <c r="L12" s="409" t="str" cm="1">
        <f t="array" ref="L12">IFERROR(IF(2&gt;COUNTIF('DONNÉES BRUTES'!C$3:C$42,"Matériaux"),"",INDEX('DONNÉES BRUTES'!P$3:P$42,MATCH(LARGE(IF('DONNÉES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-0.4%</v>
      </c>
      <c r="M12" s="409" t="str" cm="1">
        <f t="array" ref="M12">IFERROR(IF(2&gt;COUNTIF('DONNÉES BRUTES'!C$3:C$42,"Matériaux"),"",INDEX('DONNÉES BRUTES'!Q$3:Q$42,MATCH(LARGE(IF('DONNÉES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+13.4%</v>
      </c>
      <c r="N12" s="409" cm="1">
        <f t="array" ref="N12">IFERROR(IF(2&gt;COUNTIF('DONNÉES BRUTES'!C$3:C$42,"Matériaux"),"",INDEX('DONNÉES BRUTES'!S$3:S$42,MATCH(LARGE(IF('DONNÉES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1.17</v>
      </c>
      <c r="O12" s="409" t="str" cm="1">
        <f t="array" ref="O12">IFERROR(IF(2&gt;COUNTIF('DONNÉES BRUTES'!C$3:C$42,"Matériaux"),"",INDEX('DONNÉES BRUTES'!T$3:T$42,MATCH(LARGE(IF('DONNÉES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1.2x</v>
      </c>
      <c r="P12" s="409" cm="1">
        <f t="array" ref="P12">IFERROR(IF(2&gt;COUNTIF('DONNÉES BRUTES'!C$3:C$42,"Matériaux"),"",INDEX('DONNÉES BRUTES'!U$3:U$42,MATCH(LARGE(IF('DONNÉES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3.26</v>
      </c>
      <c r="Q12" s="410" t="str" cm="1">
        <f t="array" ref="Q12">IFERROR(IF(2&gt;COUNTIF('DONNÉES BRUTES'!C$3:C$42,"Matériaux"),"",INDEX('DONNÉES BRUTES'!AD$3:AD$42,MATCH(LARGE(IF('DONNÉES BRUTES'!C$3:C$42="Matériaux",'DONNÉES BRUTES'!AB$3:AB$42+(ROW('DONNÉES BRUTES'!A$3:A$42)-ROW('DONNÉES BRUTES'!A$3))/1000,0),2),IF('DONNÉES BRUTES'!C$3:C$42="Matériaux",'DONNÉES BRUTES'!AB$3:AB$42+(ROW('DONNÉES BRUTES'!A$3:A$42)-ROW('DONNÉES BRUTES'!A$3))/1000,0),0))),"—")</f>
        <v>Neutre</v>
      </c>
    </row>
    <row r="13" spans="2:17" ht="15.9" customHeight="1" x14ac:dyDescent="0.3">
      <c r="B13" s="417">
        <v>3</v>
      </c>
      <c r="C13" s="418" t="str" cm="1">
        <f t="array" ref="C13">IFERROR(IF(3&gt;COUNTIF('DONNÉES BRUTES'!C$3:C$42,"Matériaux"),"",INDEX('DONNÉES BRUTES'!A$3:A$42,MATCH(LARGE(IF('DONNÉES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BAS.DE</v>
      </c>
      <c r="D13" s="418" t="str" cm="1">
        <f t="array" ref="D13">IFERROR(IF(3&gt;COUNTIF('DONNÉES BRUTES'!C$3:C$42,"Matériaux"),"",INDEX('DONNÉES BRUTES'!B$3:B$42,MATCH(LARGE(IF('DONNÉES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BASF SE</v>
      </c>
      <c r="E13" s="418" t="str" cm="1">
        <f t="array" ref="E13">IFERROR(IF(3&gt;COUNTIF('DONNÉES BRUTES'!C$3:C$42,"Matériaux"),"",INT(LARGE(IF('DONNÉES BRUTES'!C$3:C$42="Matériaux",'DONNÉES BRUTES'!AB$3:AB$42+(ROW('DONNÉES BRUTES'!A$3:A$42)-ROW('DONNÉES BRUTES'!A$3))/1000,0),3))&amp;"/100"),"—")</f>
        <v>36/100</v>
      </c>
      <c r="F13" s="418" cm="1">
        <f t="array" ref="F13">IFERROR(IF(3&gt;COUNTIF('DONNÉES BRUTES'!C$3:C$42,"Matériaux"),"",INDEX('DONNÉES BRUTES'!Y$3:Y$42,MATCH(LARGE(IF('DONNÉES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24</v>
      </c>
      <c r="G13" s="418" cm="1">
        <f t="array" ref="G13">IFERROR(IF(3&gt;COUNTIF('DONNÉES BRUTES'!C$3:C$42,"Matériaux"),"",INDEX('DONNÉES BRUTES'!Z$3:Z$42,MATCH(LARGE(IF('DONNÉES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47</v>
      </c>
      <c r="H13" s="418" cm="1">
        <f t="array" ref="H13">IFERROR(IF(3&gt;COUNTIF('DONNÉES BRUTES'!C$3:C$42,"Matériaux"),"",INDEX('DONNÉES BRUTES'!AA$3:AA$42,MATCH(LARGE(IF('DONNÉES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66</v>
      </c>
      <c r="I13" s="418" t="str" cm="1">
        <f t="array" ref="I13">IFERROR(IF(3&gt;COUNTIF('DONNÉES BRUTES'!C$3:C$42,"Matériaux"),"",INDEX('DONNÉES BRUTES'!M$3:M$42,MATCH(LARGE(IF('DONNÉES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24.1%</v>
      </c>
      <c r="J13" s="418" t="str" cm="1">
        <f t="array" ref="J13">IFERROR(IF(3&gt;COUNTIF('DONNÉES BRUTES'!C$3:C$42,"Matériaux"),"",INDEX('DONNÉES BRUTES'!N$3:N$42,MATCH(LARGE(IF('DONNÉES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12.7%</v>
      </c>
      <c r="K13" s="418" t="str" cm="1">
        <f t="array" ref="K13">IFERROR(IF(3&gt;COUNTIF('DONNÉES BRUTES'!C$3:C$42,"Matériaux"),"",INDEX('DONNÉES BRUTES'!O$3:O$42,MATCH(LARGE(IF('DONNÉES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2.7%</v>
      </c>
      <c r="L13" s="418" t="str" cm="1">
        <f t="array" ref="L13">IFERROR(IF(3&gt;COUNTIF('DONNÉES BRUTES'!C$3:C$42,"Matériaux"),"",INDEX('DONNÉES BRUTES'!P$3:P$42,MATCH(LARGE(IF('DONNÉES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-2.9%</v>
      </c>
      <c r="M13" s="418" t="str" cm="1">
        <f t="array" ref="M13">IFERROR(IF(3&gt;COUNTIF('DONNÉES BRUTES'!C$3:C$42,"Matériaux"),"",INDEX('DONNÉES BRUTES'!Q$3:Q$42,MATCH(LARGE(IF('DONNÉES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+4.9%</v>
      </c>
      <c r="N13" s="418" cm="1">
        <f t="array" ref="N13">IFERROR(IF(3&gt;COUNTIF('DONNÉES BRUTES'!C$3:C$42,"Matériaux"),"",INDEX('DONNÉES BRUTES'!S$3:S$42,MATCH(LARGE(IF('DONNÉES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1.93</v>
      </c>
      <c r="O13" s="418" t="str" cm="1">
        <f t="array" ref="O13">IFERROR(IF(3&gt;COUNTIF('DONNÉES BRUTES'!C$3:C$42,"Matériaux"),"",INDEX('DONNÉES BRUTES'!T$3:T$42,MATCH(LARGE(IF('DONNÉES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2.5x</v>
      </c>
      <c r="P13" s="418" cm="1">
        <f t="array" ref="P13">IFERROR(IF(3&gt;COUNTIF('DONNÉES BRUTES'!C$3:C$42,"Matériaux"),"",INDEX('DONNÉES BRUTES'!U$3:U$42,MATCH(LARGE(IF('DONNÉES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3.73</v>
      </c>
      <c r="Q13" s="419" t="str" cm="1">
        <f t="array" ref="Q13">IFERROR(IF(3&gt;COUNTIF('DONNÉES BRUTES'!C$3:C$42,"Matériaux"),"",INDEX('DONNÉES BRUTES'!AD$3:AD$42,MATCH(LARGE(IF('DONNÉES BRUTES'!C$3:C$42="Matériaux",'DONNÉES BRUTES'!AB$3:AB$42+(ROW('DONNÉES BRUTES'!A$3:A$42)-ROW('DONNÉES BRUTES'!A$3))/1000,0),3),IF('DONNÉES BRUTES'!C$3:C$42="Matériaux",'DONNÉES BRUTES'!AB$3:AB$42+(ROW('DONNÉES BRUTES'!A$3:A$42)-ROW('DONNÉES BRUTES'!A$3))/1000,0),0))),"—")</f>
        <v>Sous-pondérer</v>
      </c>
    </row>
    <row r="14" spans="2:17" ht="15.9" customHeight="1" x14ac:dyDescent="0.3">
      <c r="C14" t="str" cm="1">
        <f t="array" ref="C14">IFERROR(IF(4&gt;COUNTIF('DONNÉES BRUTES'!C$3:C$42,"Matériaux"),"",INDEX('DONNÉES BRUTES'!A$3:A$42,MATCH(LARGE(IF('DONNÉES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D14" t="str" cm="1">
        <f t="array" ref="D14">IFERROR(IF(4&gt;COUNTIF('DONNÉES BRUTES'!C$3:C$42,"Matériaux"),"",INDEX('DONNÉES BRUTES'!B$3:B$42,MATCH(LARGE(IF('DONNÉES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E14" t="str" cm="1">
        <f t="array" ref="E14">IFERROR(IF(4&gt;COUNTIF('DONNÉES BRUTES'!C$3:C$42,"Matériaux"),"",INT(LARGE(IF('DONNÉES BRUTES'!C$3:C$42="Matériaux",'DONNÉES BRUTES'!AB$3:AB$42+(ROW('DONNÉES BRUTES'!A$3:A$42)-ROW('DONNÉES BRUTES'!A$3))/1000,0),4))&amp;"/100"),"—")</f>
        <v/>
      </c>
      <c r="F14" t="str" cm="1">
        <f t="array" ref="F14">IFERROR(IF(4&gt;COUNTIF('DONNÉES BRUTES'!C$3:C$42,"Matériaux"),"",INDEX('DONNÉES BRUTES'!Y$3:Y$42,MATCH(LARGE(IF('DONNÉES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G14" t="str" cm="1">
        <f t="array" ref="G14">IFERROR(IF(4&gt;COUNTIF('DONNÉES BRUTES'!C$3:C$42,"Matériaux"),"",INDEX('DONNÉES BRUTES'!Z$3:Z$42,MATCH(LARGE(IF('DONNÉES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H14" t="str" cm="1">
        <f t="array" ref="H14">IFERROR(IF(4&gt;COUNTIF('DONNÉES BRUTES'!C$3:C$42,"Matériaux"),"",INDEX('DONNÉES BRUTES'!AA$3:AA$42,MATCH(LARGE(IF('DONNÉES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I14" t="str" cm="1">
        <f t="array" ref="I14">IFERROR(IF(4&gt;COUNTIF('DONNÉES BRUTES'!C$3:C$42,"Matériaux"),"",INDEX('DONNÉES BRUTES'!M$3:M$42,MATCH(LARGE(IF('DONNÉES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J14" t="str" cm="1">
        <f t="array" ref="J14">IFERROR(IF(4&gt;COUNTIF('DONNÉES BRUTES'!C$3:C$42,"Matériaux"),"",INDEX('DONNÉES BRUTES'!N$3:N$42,MATCH(LARGE(IF('DONNÉES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K14" t="str" cm="1">
        <f t="array" ref="K14">IFERROR(IF(4&gt;COUNTIF('DONNÉES BRUTES'!C$3:C$42,"Matériaux"),"",INDEX('DONNÉES BRUTES'!O$3:O$42,MATCH(LARGE(IF('DONNÉES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L14" t="str" cm="1">
        <f t="array" ref="L14">IFERROR(IF(4&gt;COUNTIF('DONNÉES BRUTES'!C$3:C$42,"Matériaux"),"",INDEX('DONNÉES BRUTES'!P$3:P$42,MATCH(LARGE(IF('DONNÉES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M14" t="str" cm="1">
        <f t="array" ref="M14">IFERROR(IF(4&gt;COUNTIF('DONNÉES BRUTES'!C$3:C$42,"Matériaux"),"",INDEX('DONNÉES BRUTES'!Q$3:Q$42,MATCH(LARGE(IF('DONNÉES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N14" t="str" cm="1">
        <f t="array" ref="N14">IFERROR(IF(4&gt;COUNTIF('DONNÉES BRUTES'!C$3:C$42,"Matériaux"),"",INDEX('DONNÉES BRUTES'!S$3:S$42,MATCH(LARGE(IF('DONNÉES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O14" t="str" cm="1">
        <f t="array" ref="O14">IFERROR(IF(4&gt;COUNTIF('DONNÉES BRUTES'!C$3:C$42,"Matériaux"),"",INDEX('DONNÉES BRUTES'!T$3:T$42,MATCH(LARGE(IF('DONNÉES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P14" t="str" cm="1">
        <f t="array" ref="P14">IFERROR(IF(4&gt;COUNTIF('DONNÉES BRUTES'!C$3:C$42,"Matériaux"),"",INDEX('DONNÉES BRUTES'!U$3:U$42,MATCH(LARGE(IF('DONNÉES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  <c r="Q14" t="str" cm="1">
        <f t="array" ref="Q14">IFERROR(IF(4&gt;COUNTIF('DONNÉES BRUTES'!C$3:C$42,"Matériaux"),"",INDEX('DONNÉES BRUTES'!AD$3:AD$42,MATCH(LARGE(IF('DONNÉES BRUTES'!C$3:C$42="Matériaux",'DONNÉES BRUTES'!AB$3:AB$42+(ROW('DONNÉES BRUTES'!A$3:A$42)-ROW('DONNÉES BRUTES'!A$3))/1000,0),4),IF('DONNÉES BRUTES'!C$3:C$42="Matériaux",'DONNÉES BRUTES'!AB$3:AB$42+(ROW('DONNÉES BRUTES'!A$3:A$42)-ROW('DONNÉES BRUTES'!A$3))/1000,0),0))),"—")</f>
        <v/>
      </c>
    </row>
    <row r="15" spans="2:17" ht="15.9" customHeight="1" x14ac:dyDescent="0.3">
      <c r="C15" t="str" cm="1">
        <f t="array" ref="C15">IFERROR(IF(5&gt;COUNTIF('DONNÉES BRUTES'!C$3:C$42,"Matériaux"),"",INDEX('DONNÉES BRUTES'!A$3:A$42,MATCH(LARGE(IF('DONNÉES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D15" t="str" cm="1">
        <f t="array" ref="D15">IFERROR(IF(5&gt;COUNTIF('DONNÉES BRUTES'!C$3:C$42,"Matériaux"),"",INDEX('DONNÉES BRUTES'!B$3:B$42,MATCH(LARGE(IF('DONNÉES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E15" t="str" cm="1">
        <f t="array" ref="E15">IFERROR(IF(5&gt;COUNTIF('DONNÉES BRUTES'!C$3:C$42,"Matériaux"),"",INT(LARGE(IF('DONNÉES BRUTES'!C$3:C$42="Matériaux",'DONNÉES BRUTES'!AB$3:AB$42+(ROW('DONNÉES BRUTES'!A$3:A$42)-ROW('DONNÉES BRUTES'!A$3))/1000,0),5))&amp;"/100"),"—")</f>
        <v/>
      </c>
      <c r="F15" t="str" cm="1">
        <f t="array" ref="F15">IFERROR(IF(5&gt;COUNTIF('DONNÉES BRUTES'!C$3:C$42,"Matériaux"),"",INDEX('DONNÉES BRUTES'!Y$3:Y$42,MATCH(LARGE(IF('DONNÉES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G15" t="str" cm="1">
        <f t="array" ref="G15">IFERROR(IF(5&gt;COUNTIF('DONNÉES BRUTES'!C$3:C$42,"Matériaux"),"",INDEX('DONNÉES BRUTES'!Z$3:Z$42,MATCH(LARGE(IF('DONNÉES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H15" t="str" cm="1">
        <f t="array" ref="H15">IFERROR(IF(5&gt;COUNTIF('DONNÉES BRUTES'!C$3:C$42,"Matériaux"),"",INDEX('DONNÉES BRUTES'!AA$3:AA$42,MATCH(LARGE(IF('DONNÉES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I15" t="str" cm="1">
        <f t="array" ref="I15">IFERROR(IF(5&gt;COUNTIF('DONNÉES BRUTES'!C$3:C$42,"Matériaux"),"",INDEX('DONNÉES BRUTES'!M$3:M$42,MATCH(LARGE(IF('DONNÉES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J15" t="str" cm="1">
        <f t="array" ref="J15">IFERROR(IF(5&gt;COUNTIF('DONNÉES BRUTES'!C$3:C$42,"Matériaux"),"",INDEX('DONNÉES BRUTES'!N$3:N$42,MATCH(LARGE(IF('DONNÉES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K15" t="str" cm="1">
        <f t="array" ref="K15">IFERROR(IF(5&gt;COUNTIF('DONNÉES BRUTES'!C$3:C$42,"Matériaux"),"",INDEX('DONNÉES BRUTES'!O$3:O$42,MATCH(LARGE(IF('DONNÉES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L15" t="str" cm="1">
        <f t="array" ref="L15">IFERROR(IF(5&gt;COUNTIF('DONNÉES BRUTES'!C$3:C$42,"Matériaux"),"",INDEX('DONNÉES BRUTES'!P$3:P$42,MATCH(LARGE(IF('DONNÉES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M15" t="str" cm="1">
        <f t="array" ref="M15">IFERROR(IF(5&gt;COUNTIF('DONNÉES BRUTES'!C$3:C$42,"Matériaux"),"",INDEX('DONNÉES BRUTES'!Q$3:Q$42,MATCH(LARGE(IF('DONNÉES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N15" t="str" cm="1">
        <f t="array" ref="N15">IFERROR(IF(5&gt;COUNTIF('DONNÉES BRUTES'!C$3:C$42,"Matériaux"),"",INDEX('DONNÉES BRUTES'!S$3:S$42,MATCH(LARGE(IF('DONNÉES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O15" t="str" cm="1">
        <f t="array" ref="O15">IFERROR(IF(5&gt;COUNTIF('DONNÉES BRUTES'!C$3:C$42,"Matériaux"),"",INDEX('DONNÉES BRUTES'!T$3:T$42,MATCH(LARGE(IF('DONNÉES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P15" t="str" cm="1">
        <f t="array" ref="P15">IFERROR(IF(5&gt;COUNTIF('DONNÉES BRUTES'!C$3:C$42,"Matériaux"),"",INDEX('DONNÉES BRUTES'!U$3:U$42,MATCH(LARGE(IF('DONNÉES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  <c r="Q15" t="str" cm="1">
        <f t="array" ref="Q15">IFERROR(IF(5&gt;COUNTIF('DONNÉES BRUTES'!C$3:C$42,"Matériaux"),"",INDEX('DONNÉES BRUTES'!AD$3:AD$42,MATCH(LARGE(IF('DONNÉES BRUTES'!C$3:C$42="Matériaux",'DONNÉES BRUTES'!AB$3:AB$42+(ROW('DONNÉES BRUTES'!A$3:A$42)-ROW('DONNÉES BRUTES'!A$3))/1000,0),5),IF('DONNÉES BRUTES'!C$3:C$42="Matériaux",'DONNÉES BRUTES'!AB$3:AB$42+(ROW('DONNÉES BRUTES'!A$3:A$42)-ROW('DONNÉES BRUTES'!A$3))/1000,0),0))),"—")</f>
        <v/>
      </c>
    </row>
    <row r="16" spans="2:17" ht="15.9" customHeight="1" x14ac:dyDescent="0.3">
      <c r="C16" t="str" cm="1">
        <f t="array" ref="C16">IFERROR(IF(6&gt;COUNTIF('DONNÉES BRUTES'!C$3:C$42,"Matériaux"),"",INDEX('DONNÉES BRUTES'!A$3:A$42,MATCH(LARGE(IF('DONNÉES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D16" t="str" cm="1">
        <f t="array" ref="D16">IFERROR(IF(6&gt;COUNTIF('DONNÉES BRUTES'!C$3:C$42,"Matériaux"),"",INDEX('DONNÉES BRUTES'!B$3:B$42,MATCH(LARGE(IF('DONNÉES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E16" t="str" cm="1">
        <f t="array" ref="E16">IFERROR(IF(6&gt;COUNTIF('DONNÉES BRUTES'!C$3:C$42,"Matériaux"),"",INT(LARGE(IF('DONNÉES BRUTES'!C$3:C$42="Matériaux",'DONNÉES BRUTES'!AB$3:AB$42+(ROW('DONNÉES BRUTES'!A$3:A$42)-ROW('DONNÉES BRUTES'!A$3))/1000,0),6))&amp;"/100"),"—")</f>
        <v/>
      </c>
      <c r="F16" t="str" cm="1">
        <f t="array" ref="F16">IFERROR(IF(6&gt;COUNTIF('DONNÉES BRUTES'!C$3:C$42,"Matériaux"),"",INDEX('DONNÉES BRUTES'!Y$3:Y$42,MATCH(LARGE(IF('DONNÉES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G16" t="str" cm="1">
        <f t="array" ref="G16">IFERROR(IF(6&gt;COUNTIF('DONNÉES BRUTES'!C$3:C$42,"Matériaux"),"",INDEX('DONNÉES BRUTES'!Z$3:Z$42,MATCH(LARGE(IF('DONNÉES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H16" t="str" cm="1">
        <f t="array" ref="H16">IFERROR(IF(6&gt;COUNTIF('DONNÉES BRUTES'!C$3:C$42,"Matériaux"),"",INDEX('DONNÉES BRUTES'!AA$3:AA$42,MATCH(LARGE(IF('DONNÉES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I16" t="str" cm="1">
        <f t="array" ref="I16">IFERROR(IF(6&gt;COUNTIF('DONNÉES BRUTES'!C$3:C$42,"Matériaux"),"",INDEX('DONNÉES BRUTES'!M$3:M$42,MATCH(LARGE(IF('DONNÉES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J16" t="str" cm="1">
        <f t="array" ref="J16">IFERROR(IF(6&gt;COUNTIF('DONNÉES BRUTES'!C$3:C$42,"Matériaux"),"",INDEX('DONNÉES BRUTES'!N$3:N$42,MATCH(LARGE(IF('DONNÉES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K16" t="str" cm="1">
        <f t="array" ref="K16">IFERROR(IF(6&gt;COUNTIF('DONNÉES BRUTES'!C$3:C$42,"Matériaux"),"",INDEX('DONNÉES BRUTES'!O$3:O$42,MATCH(LARGE(IF('DONNÉES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L16" t="str" cm="1">
        <f t="array" ref="L16">IFERROR(IF(6&gt;COUNTIF('DONNÉES BRUTES'!C$3:C$42,"Matériaux"),"",INDEX('DONNÉES BRUTES'!P$3:P$42,MATCH(LARGE(IF('DONNÉES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M16" t="str" cm="1">
        <f t="array" ref="M16">IFERROR(IF(6&gt;COUNTIF('DONNÉES BRUTES'!C$3:C$42,"Matériaux"),"",INDEX('DONNÉES BRUTES'!Q$3:Q$42,MATCH(LARGE(IF('DONNÉES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N16" t="str" cm="1">
        <f t="array" ref="N16">IFERROR(IF(6&gt;COUNTIF('DONNÉES BRUTES'!C$3:C$42,"Matériaux"),"",INDEX('DONNÉES BRUTES'!S$3:S$42,MATCH(LARGE(IF('DONNÉES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O16" t="str" cm="1">
        <f t="array" ref="O16">IFERROR(IF(6&gt;COUNTIF('DONNÉES BRUTES'!C$3:C$42,"Matériaux"),"",INDEX('DONNÉES BRUTES'!T$3:T$42,MATCH(LARGE(IF('DONNÉES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P16" t="str" cm="1">
        <f t="array" ref="P16">IFERROR(IF(6&gt;COUNTIF('DONNÉES BRUTES'!C$3:C$42,"Matériaux"),"",INDEX('DONNÉES BRUTES'!U$3:U$42,MATCH(LARGE(IF('DONNÉES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  <c r="Q16" t="str" cm="1">
        <f t="array" ref="Q16">IFERROR(IF(6&gt;COUNTIF('DONNÉES BRUTES'!C$3:C$42,"Matériaux"),"",INDEX('DONNÉES BRUTES'!AD$3:AD$42,MATCH(LARGE(IF('DONNÉES BRUTES'!C$3:C$42="Matériaux",'DONNÉES BRUTES'!AB$3:AB$42+(ROW('DONNÉES BRUTES'!A$3:A$42)-ROW('DONNÉES BRUTES'!A$3))/1000,0),6),IF('DONNÉES BRUTES'!C$3:C$42="Matériaux",'DONNÉES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BRUTES'!C$3:C$42,"Matériaux"),"",INDEX('DONNÉES BRUTES'!A$3:A$42,MATCH(LARGE(IF('DONNÉES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D17" t="str" cm="1">
        <f t="array" ref="D17">IFERROR(IF(7&gt;COUNTIF('DONNÉES BRUTES'!C$3:C$42,"Matériaux"),"",INDEX('DONNÉES BRUTES'!B$3:B$42,MATCH(LARGE(IF('DONNÉES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E17" t="str" cm="1">
        <f t="array" ref="E17">IFERROR(IF(7&gt;COUNTIF('DONNÉES BRUTES'!C$3:C$42,"Matériaux"),"",INT(LARGE(IF('DONNÉES BRUTES'!C$3:C$42="Matériaux",'DONNÉES BRUTES'!AB$3:AB$42+(ROW('DONNÉES BRUTES'!A$3:A$42)-ROW('DONNÉES BRUTES'!A$3))/1000,0),7))&amp;"/100"),"—")</f>
        <v/>
      </c>
      <c r="F17" t="str" cm="1">
        <f t="array" ref="F17">IFERROR(IF(7&gt;COUNTIF('DONNÉES BRUTES'!C$3:C$42,"Matériaux"),"",INDEX('DONNÉES BRUTES'!Y$3:Y$42,MATCH(LARGE(IF('DONNÉES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G17" t="str" cm="1">
        <f t="array" ref="G17">IFERROR(IF(7&gt;COUNTIF('DONNÉES BRUTES'!C$3:C$42,"Matériaux"),"",INDEX('DONNÉES BRUTES'!Z$3:Z$42,MATCH(LARGE(IF('DONNÉES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H17" t="str" cm="1">
        <f t="array" ref="H17">IFERROR(IF(7&gt;COUNTIF('DONNÉES BRUTES'!C$3:C$42,"Matériaux"),"",INDEX('DONNÉES BRUTES'!AA$3:AA$42,MATCH(LARGE(IF('DONNÉES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I17" t="str" cm="1">
        <f t="array" ref="I17">IFERROR(IF(7&gt;COUNTIF('DONNÉES BRUTES'!C$3:C$42,"Matériaux"),"",INDEX('DONNÉES BRUTES'!M$3:M$42,MATCH(LARGE(IF('DONNÉES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J17" t="str" cm="1">
        <f t="array" ref="J17">IFERROR(IF(7&gt;COUNTIF('DONNÉES BRUTES'!C$3:C$42,"Matériaux"),"",INDEX('DONNÉES BRUTES'!N$3:N$42,MATCH(LARGE(IF('DONNÉES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K17" t="str" cm="1">
        <f t="array" ref="K17">IFERROR(IF(7&gt;COUNTIF('DONNÉES BRUTES'!C$3:C$42,"Matériaux"),"",INDEX('DONNÉES BRUTES'!O$3:O$42,MATCH(LARGE(IF('DONNÉES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L17" t="str" cm="1">
        <f t="array" ref="L17">IFERROR(IF(7&gt;COUNTIF('DONNÉES BRUTES'!C$3:C$42,"Matériaux"),"",INDEX('DONNÉES BRUTES'!P$3:P$42,MATCH(LARGE(IF('DONNÉES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M17" t="str" cm="1">
        <f t="array" ref="M17">IFERROR(IF(7&gt;COUNTIF('DONNÉES BRUTES'!C$3:C$42,"Matériaux"),"",INDEX('DONNÉES BRUTES'!Q$3:Q$42,MATCH(LARGE(IF('DONNÉES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N17" t="str" cm="1">
        <f t="array" ref="N17">IFERROR(IF(7&gt;COUNTIF('DONNÉES BRUTES'!C$3:C$42,"Matériaux"),"",INDEX('DONNÉES BRUTES'!S$3:S$42,MATCH(LARGE(IF('DONNÉES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O17" t="str" cm="1">
        <f t="array" ref="O17">IFERROR(IF(7&gt;COUNTIF('DONNÉES BRUTES'!C$3:C$42,"Matériaux"),"",INDEX('DONNÉES BRUTES'!T$3:T$42,MATCH(LARGE(IF('DONNÉES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P17" t="str" cm="1">
        <f t="array" ref="P17">IFERROR(IF(7&gt;COUNTIF('DONNÉES BRUTES'!C$3:C$42,"Matériaux"),"",INDEX('DONNÉES BRUTES'!U$3:U$42,MATCH(LARGE(IF('DONNÉES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  <c r="Q17" t="str" cm="1">
        <f t="array" ref="Q17">IFERROR(IF(7&gt;COUNTIF('DONNÉES BRUTES'!C$3:C$42,"Matériaux"),"",INDEX('DONNÉES BRUTES'!AD$3:AD$42,MATCH(LARGE(IF('DONNÉES BRUTES'!C$3:C$42="Matériaux",'DONNÉES BRUTES'!AB$3:AB$42+(ROW('DONNÉES BRUTES'!A$3:A$42)-ROW('DONNÉES BRUTES'!A$3))/1000,0),7),IF('DONNÉES BRUTES'!C$3:C$42="Matériaux",'DONNÉES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BRUTES'!C$3:C$42,"Matériaux"),"",INDEX('DONNÉES BRUTES'!A$3:A$42,MATCH(LARGE(IF('DONNÉES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D18" t="str" cm="1">
        <f t="array" ref="D18">IFERROR(IF(8&gt;COUNTIF('DONNÉES BRUTES'!C$3:C$42,"Matériaux"),"",INDEX('DONNÉES BRUTES'!B$3:B$42,MATCH(LARGE(IF('DONNÉES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E18" t="str" cm="1">
        <f t="array" ref="E18">IFERROR(IF(8&gt;COUNTIF('DONNÉES BRUTES'!C$3:C$42,"Matériaux"),"",INT(LARGE(IF('DONNÉES BRUTES'!C$3:C$42="Matériaux",'DONNÉES BRUTES'!AB$3:AB$42+(ROW('DONNÉES BRUTES'!A$3:A$42)-ROW('DONNÉES BRUTES'!A$3))/1000,0),8))&amp;"/100"),"—")</f>
        <v/>
      </c>
      <c r="F18" t="str" cm="1">
        <f t="array" ref="F18">IFERROR(IF(8&gt;COUNTIF('DONNÉES BRUTES'!C$3:C$42,"Matériaux"),"",INDEX('DONNÉES BRUTES'!Y$3:Y$42,MATCH(LARGE(IF('DONNÉES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G18" t="str" cm="1">
        <f t="array" ref="G18">IFERROR(IF(8&gt;COUNTIF('DONNÉES BRUTES'!C$3:C$42,"Matériaux"),"",INDEX('DONNÉES BRUTES'!Z$3:Z$42,MATCH(LARGE(IF('DONNÉES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H18" t="str" cm="1">
        <f t="array" ref="H18">IFERROR(IF(8&gt;COUNTIF('DONNÉES BRUTES'!C$3:C$42,"Matériaux"),"",INDEX('DONNÉES BRUTES'!AA$3:AA$42,MATCH(LARGE(IF('DONNÉES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I18" t="str" cm="1">
        <f t="array" ref="I18">IFERROR(IF(8&gt;COUNTIF('DONNÉES BRUTES'!C$3:C$42,"Matériaux"),"",INDEX('DONNÉES BRUTES'!M$3:M$42,MATCH(LARGE(IF('DONNÉES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J18" t="str" cm="1">
        <f t="array" ref="J18">IFERROR(IF(8&gt;COUNTIF('DONNÉES BRUTES'!C$3:C$42,"Matériaux"),"",INDEX('DONNÉES BRUTES'!N$3:N$42,MATCH(LARGE(IF('DONNÉES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K18" t="str" cm="1">
        <f t="array" ref="K18">IFERROR(IF(8&gt;COUNTIF('DONNÉES BRUTES'!C$3:C$42,"Matériaux"),"",INDEX('DONNÉES BRUTES'!O$3:O$42,MATCH(LARGE(IF('DONNÉES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L18" t="str" cm="1">
        <f t="array" ref="L18">IFERROR(IF(8&gt;COUNTIF('DONNÉES BRUTES'!C$3:C$42,"Matériaux"),"",INDEX('DONNÉES BRUTES'!P$3:P$42,MATCH(LARGE(IF('DONNÉES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M18" t="str" cm="1">
        <f t="array" ref="M18">IFERROR(IF(8&gt;COUNTIF('DONNÉES BRUTES'!C$3:C$42,"Matériaux"),"",INDEX('DONNÉES BRUTES'!Q$3:Q$42,MATCH(LARGE(IF('DONNÉES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N18" t="str" cm="1">
        <f t="array" ref="N18">IFERROR(IF(8&gt;COUNTIF('DONNÉES BRUTES'!C$3:C$42,"Matériaux"),"",INDEX('DONNÉES BRUTES'!S$3:S$42,MATCH(LARGE(IF('DONNÉES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O18" t="str" cm="1">
        <f t="array" ref="O18">IFERROR(IF(8&gt;COUNTIF('DONNÉES BRUTES'!C$3:C$42,"Matériaux"),"",INDEX('DONNÉES BRUTES'!T$3:T$42,MATCH(LARGE(IF('DONNÉES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P18" t="str" cm="1">
        <f t="array" ref="P18">IFERROR(IF(8&gt;COUNTIF('DONNÉES BRUTES'!C$3:C$42,"Matériaux"),"",INDEX('DONNÉES BRUTES'!U$3:U$42,MATCH(LARGE(IF('DONNÉES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  <c r="Q18" t="str" cm="1">
        <f t="array" ref="Q18">IFERROR(IF(8&gt;COUNTIF('DONNÉES BRUTES'!C$3:C$42,"Matériaux"),"",INDEX('DONNÉES BRUTES'!AD$3:AD$42,MATCH(LARGE(IF('DONNÉES BRUTES'!C$3:C$42="Matériaux",'DONNÉES BRUTES'!AB$3:AB$42+(ROW('DONNÉES BRUTES'!A$3:A$42)-ROW('DONNÉES BRUTES'!A$3))/1000,0),8),IF('DONNÉES BRUTES'!C$3:C$42="Matériaux",'DONNÉES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BRUTES'!C$3:C$42,"Matériaux"),"",INDEX('DONNÉES BRUTES'!A$3:A$42,MATCH(LARGE(IF('DONNÉES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D19" t="str" cm="1">
        <f t="array" ref="D19">IFERROR(IF(9&gt;COUNTIF('DONNÉES BRUTES'!C$3:C$42,"Matériaux"),"",INDEX('DONNÉES BRUTES'!B$3:B$42,MATCH(LARGE(IF('DONNÉES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E19" t="str" cm="1">
        <f t="array" ref="E19">IFERROR(IF(9&gt;COUNTIF('DONNÉES BRUTES'!C$3:C$42,"Matériaux"),"",INT(LARGE(IF('DONNÉES BRUTES'!C$3:C$42="Matériaux",'DONNÉES BRUTES'!AB$3:AB$42+(ROW('DONNÉES BRUTES'!A$3:A$42)-ROW('DONNÉES BRUTES'!A$3))/1000,0),9))&amp;"/100"),"—")</f>
        <v/>
      </c>
      <c r="F19" t="str" cm="1">
        <f t="array" ref="F19">IFERROR(IF(9&gt;COUNTIF('DONNÉES BRUTES'!C$3:C$42,"Matériaux"),"",INDEX('DONNÉES BRUTES'!Y$3:Y$42,MATCH(LARGE(IF('DONNÉES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G19" t="str" cm="1">
        <f t="array" ref="G19">IFERROR(IF(9&gt;COUNTIF('DONNÉES BRUTES'!C$3:C$42,"Matériaux"),"",INDEX('DONNÉES BRUTES'!Z$3:Z$42,MATCH(LARGE(IF('DONNÉES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H19" t="str" cm="1">
        <f t="array" ref="H19">IFERROR(IF(9&gt;COUNTIF('DONNÉES BRUTES'!C$3:C$42,"Matériaux"),"",INDEX('DONNÉES BRUTES'!AA$3:AA$42,MATCH(LARGE(IF('DONNÉES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I19" t="str" cm="1">
        <f t="array" ref="I19">IFERROR(IF(9&gt;COUNTIF('DONNÉES BRUTES'!C$3:C$42,"Matériaux"),"",INDEX('DONNÉES BRUTES'!M$3:M$42,MATCH(LARGE(IF('DONNÉES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J19" t="str" cm="1">
        <f t="array" ref="J19">IFERROR(IF(9&gt;COUNTIF('DONNÉES BRUTES'!C$3:C$42,"Matériaux"),"",INDEX('DONNÉES BRUTES'!N$3:N$42,MATCH(LARGE(IF('DONNÉES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K19" t="str" cm="1">
        <f t="array" ref="K19">IFERROR(IF(9&gt;COUNTIF('DONNÉES BRUTES'!C$3:C$42,"Matériaux"),"",INDEX('DONNÉES BRUTES'!O$3:O$42,MATCH(LARGE(IF('DONNÉES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L19" t="str" cm="1">
        <f t="array" ref="L19">IFERROR(IF(9&gt;COUNTIF('DONNÉES BRUTES'!C$3:C$42,"Matériaux"),"",INDEX('DONNÉES BRUTES'!P$3:P$42,MATCH(LARGE(IF('DONNÉES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M19" t="str" cm="1">
        <f t="array" ref="M19">IFERROR(IF(9&gt;COUNTIF('DONNÉES BRUTES'!C$3:C$42,"Matériaux"),"",INDEX('DONNÉES BRUTES'!Q$3:Q$42,MATCH(LARGE(IF('DONNÉES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N19" t="str" cm="1">
        <f t="array" ref="N19">IFERROR(IF(9&gt;COUNTIF('DONNÉES BRUTES'!C$3:C$42,"Matériaux"),"",INDEX('DONNÉES BRUTES'!S$3:S$42,MATCH(LARGE(IF('DONNÉES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O19" t="str" cm="1">
        <f t="array" ref="O19">IFERROR(IF(9&gt;COUNTIF('DONNÉES BRUTES'!C$3:C$42,"Matériaux"),"",INDEX('DONNÉES BRUTES'!T$3:T$42,MATCH(LARGE(IF('DONNÉES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P19" t="str" cm="1">
        <f t="array" ref="P19">IFERROR(IF(9&gt;COUNTIF('DONNÉES BRUTES'!C$3:C$42,"Matériaux"),"",INDEX('DONNÉES BRUTES'!U$3:U$42,MATCH(LARGE(IF('DONNÉES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  <c r="Q19" t="str" cm="1">
        <f t="array" ref="Q19">IFERROR(IF(9&gt;COUNTIF('DONNÉES BRUTES'!C$3:C$42,"Matériaux"),"",INDEX('DONNÉES BRUTES'!AD$3:AD$42,MATCH(LARGE(IF('DONNÉES BRUTES'!C$3:C$42="Matériaux",'DONNÉES BRUTES'!AB$3:AB$42+(ROW('DONNÉES BRUTES'!A$3:A$42)-ROW('DONNÉES BRUTES'!A$3))/1000,0),9),IF('DONNÉES BRUTES'!C$3:C$42="Matériaux",'DONNÉES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BRUTES'!C$3:C$42,"Matériaux"),"",INDEX('DONNÉES BRUTES'!A$3:A$42,MATCH(LARGE(IF('DONNÉES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D20" t="str" cm="1">
        <f t="array" ref="D20">IFERROR(IF(10&gt;COUNTIF('DONNÉES BRUTES'!C$3:C$42,"Matériaux"),"",INDEX('DONNÉES BRUTES'!B$3:B$42,MATCH(LARGE(IF('DONNÉES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E20" t="str" cm="1">
        <f t="array" ref="E20">IFERROR(IF(10&gt;COUNTIF('DONNÉES BRUTES'!C$3:C$42,"Matériaux"),"",INT(LARGE(IF('DONNÉES BRUTES'!C$3:C$42="Matériaux",'DONNÉES BRUTES'!AB$3:AB$42+(ROW('DONNÉES BRUTES'!A$3:A$42)-ROW('DONNÉES BRUTES'!A$3))/1000,0),10))&amp;"/100"),"—")</f>
        <v/>
      </c>
      <c r="F20" t="str" cm="1">
        <f t="array" ref="F20">IFERROR(IF(10&gt;COUNTIF('DONNÉES BRUTES'!C$3:C$42,"Matériaux"),"",INDEX('DONNÉES BRUTES'!Y$3:Y$42,MATCH(LARGE(IF('DONNÉES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G20" t="str" cm="1">
        <f t="array" ref="G20">IFERROR(IF(10&gt;COUNTIF('DONNÉES BRUTES'!C$3:C$42,"Matériaux"),"",INDEX('DONNÉES BRUTES'!Z$3:Z$42,MATCH(LARGE(IF('DONNÉES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H20" t="str" cm="1">
        <f t="array" ref="H20">IFERROR(IF(10&gt;COUNTIF('DONNÉES BRUTES'!C$3:C$42,"Matériaux"),"",INDEX('DONNÉES BRUTES'!AA$3:AA$42,MATCH(LARGE(IF('DONNÉES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I20" t="str" cm="1">
        <f t="array" ref="I20">IFERROR(IF(10&gt;COUNTIF('DONNÉES BRUTES'!C$3:C$42,"Matériaux"),"",INDEX('DONNÉES BRUTES'!M$3:M$42,MATCH(LARGE(IF('DONNÉES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J20" t="str" cm="1">
        <f t="array" ref="J20">IFERROR(IF(10&gt;COUNTIF('DONNÉES BRUTES'!C$3:C$42,"Matériaux"),"",INDEX('DONNÉES BRUTES'!N$3:N$42,MATCH(LARGE(IF('DONNÉES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K20" t="str" cm="1">
        <f t="array" ref="K20">IFERROR(IF(10&gt;COUNTIF('DONNÉES BRUTES'!C$3:C$42,"Matériaux"),"",INDEX('DONNÉES BRUTES'!O$3:O$42,MATCH(LARGE(IF('DONNÉES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L20" t="str" cm="1">
        <f t="array" ref="L20">IFERROR(IF(10&gt;COUNTIF('DONNÉES BRUTES'!C$3:C$42,"Matériaux"),"",INDEX('DONNÉES BRUTES'!P$3:P$42,MATCH(LARGE(IF('DONNÉES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M20" t="str" cm="1">
        <f t="array" ref="M20">IFERROR(IF(10&gt;COUNTIF('DONNÉES BRUTES'!C$3:C$42,"Matériaux"),"",INDEX('DONNÉES BRUTES'!Q$3:Q$42,MATCH(LARGE(IF('DONNÉES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N20" t="str" cm="1">
        <f t="array" ref="N20">IFERROR(IF(10&gt;COUNTIF('DONNÉES BRUTES'!C$3:C$42,"Matériaux"),"",INDEX('DONNÉES BRUTES'!S$3:S$42,MATCH(LARGE(IF('DONNÉES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O20" t="str" cm="1">
        <f t="array" ref="O20">IFERROR(IF(10&gt;COUNTIF('DONNÉES BRUTES'!C$3:C$42,"Matériaux"),"",INDEX('DONNÉES BRUTES'!T$3:T$42,MATCH(LARGE(IF('DONNÉES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P20" t="str" cm="1">
        <f t="array" ref="P20">IFERROR(IF(10&gt;COUNTIF('DONNÉES BRUTES'!C$3:C$42,"Matériaux"),"",INDEX('DONNÉES BRUTES'!U$3:U$42,MATCH(LARGE(IF('DONNÉES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  <c r="Q20" t="str" cm="1">
        <f t="array" ref="Q20">IFERROR(IF(10&gt;COUNTIF('DONNÉES BRUTES'!C$3:C$42,"Matériaux"),"",INDEX('DONNÉES BRUTES'!AD$3:AD$42,MATCH(LARGE(IF('DONNÉES BRUTES'!C$3:C$42="Matériaux",'DONNÉES BRUTES'!AB$3:AB$42+(ROW('DONNÉES BRUTES'!A$3:A$42)-ROW('DONNÉES BRUTES'!A$3))/1000,0),10),IF('DONNÉES BRUTES'!C$3:C$42="Matériaux",'DONNÉES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BRUTES'!C$3:C$42,"Matériaux"),"",INDEX('DONNÉES BRUTES'!A$3:A$42,MATCH(LARGE(IF('DONNÉES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D21" t="str" cm="1">
        <f t="array" ref="D21">IFERROR(IF(11&gt;COUNTIF('DONNÉES BRUTES'!C$3:C$42,"Matériaux"),"",INDEX('DONNÉES BRUTES'!B$3:B$42,MATCH(LARGE(IF('DONNÉES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E21" t="str" cm="1">
        <f t="array" ref="E21">IFERROR(IF(11&gt;COUNTIF('DONNÉES BRUTES'!C$3:C$42,"Matériaux"),"",INT(LARGE(IF('DONNÉES BRUTES'!C$3:C$42="Matériaux",'DONNÉES BRUTES'!AB$3:AB$42+(ROW('DONNÉES BRUTES'!A$3:A$42)-ROW('DONNÉES BRUTES'!A$3))/1000,0),11))&amp;"/100"),"—")</f>
        <v/>
      </c>
      <c r="F21" t="str" cm="1">
        <f t="array" ref="F21">IFERROR(IF(11&gt;COUNTIF('DONNÉES BRUTES'!C$3:C$42,"Matériaux"),"",INDEX('DONNÉES BRUTES'!Y$3:Y$42,MATCH(LARGE(IF('DONNÉES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G21" t="str" cm="1">
        <f t="array" ref="G21">IFERROR(IF(11&gt;COUNTIF('DONNÉES BRUTES'!C$3:C$42,"Matériaux"),"",INDEX('DONNÉES BRUTES'!Z$3:Z$42,MATCH(LARGE(IF('DONNÉES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H21" t="str" cm="1">
        <f t="array" ref="H21">IFERROR(IF(11&gt;COUNTIF('DONNÉES BRUTES'!C$3:C$42,"Matériaux"),"",INDEX('DONNÉES BRUTES'!AA$3:AA$42,MATCH(LARGE(IF('DONNÉES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I21" t="str" cm="1">
        <f t="array" ref="I21">IFERROR(IF(11&gt;COUNTIF('DONNÉES BRUTES'!C$3:C$42,"Matériaux"),"",INDEX('DONNÉES BRUTES'!M$3:M$42,MATCH(LARGE(IF('DONNÉES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J21" t="str" cm="1">
        <f t="array" ref="J21">IFERROR(IF(11&gt;COUNTIF('DONNÉES BRUTES'!C$3:C$42,"Matériaux"),"",INDEX('DONNÉES BRUTES'!N$3:N$42,MATCH(LARGE(IF('DONNÉES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K21" t="str" cm="1">
        <f t="array" ref="K21">IFERROR(IF(11&gt;COUNTIF('DONNÉES BRUTES'!C$3:C$42,"Matériaux"),"",INDEX('DONNÉES BRUTES'!O$3:O$42,MATCH(LARGE(IF('DONNÉES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L21" t="str" cm="1">
        <f t="array" ref="L21">IFERROR(IF(11&gt;COUNTIF('DONNÉES BRUTES'!C$3:C$42,"Matériaux"),"",INDEX('DONNÉES BRUTES'!P$3:P$42,MATCH(LARGE(IF('DONNÉES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M21" t="str" cm="1">
        <f t="array" ref="M21">IFERROR(IF(11&gt;COUNTIF('DONNÉES BRUTES'!C$3:C$42,"Matériaux"),"",INDEX('DONNÉES BRUTES'!Q$3:Q$42,MATCH(LARGE(IF('DONNÉES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N21" t="str" cm="1">
        <f t="array" ref="N21">IFERROR(IF(11&gt;COUNTIF('DONNÉES BRUTES'!C$3:C$42,"Matériaux"),"",INDEX('DONNÉES BRUTES'!S$3:S$42,MATCH(LARGE(IF('DONNÉES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O21" t="str" cm="1">
        <f t="array" ref="O21">IFERROR(IF(11&gt;COUNTIF('DONNÉES BRUTES'!C$3:C$42,"Matériaux"),"",INDEX('DONNÉES BRUTES'!T$3:T$42,MATCH(LARGE(IF('DONNÉES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P21" t="str" cm="1">
        <f t="array" ref="P21">IFERROR(IF(11&gt;COUNTIF('DONNÉES BRUTES'!C$3:C$42,"Matériaux"),"",INDEX('DONNÉES BRUTES'!U$3:U$42,MATCH(LARGE(IF('DONNÉES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  <c r="Q21" t="str" cm="1">
        <f t="array" ref="Q21">IFERROR(IF(11&gt;COUNTIF('DONNÉES BRUTES'!C$3:C$42,"Matériaux"),"",INDEX('DONNÉES BRUTES'!AD$3:AD$42,MATCH(LARGE(IF('DONNÉES BRUTES'!C$3:C$42="Matériaux",'DONNÉES BRUTES'!AB$3:AB$42+(ROW('DONNÉES BRUTES'!A$3:A$42)-ROW('DONNÉES BRUTES'!A$3))/1000,0),11),IF('DONNÉES BRUTES'!C$3:C$42="Matériaux",'DONNÉES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BRUTES'!C$3:C$42,"Matériaux"),"",INDEX('DONNÉES BRUTES'!A$3:A$42,MATCH(LARGE(IF('DONNÉES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D22" t="str" cm="1">
        <f t="array" ref="D22">IFERROR(IF(12&gt;COUNTIF('DONNÉES BRUTES'!C$3:C$42,"Matériaux"),"",INDEX('DONNÉES BRUTES'!B$3:B$42,MATCH(LARGE(IF('DONNÉES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E22" t="str" cm="1">
        <f t="array" ref="E22">IFERROR(IF(12&gt;COUNTIF('DONNÉES BRUTES'!C$3:C$42,"Matériaux"),"",INT(LARGE(IF('DONNÉES BRUTES'!C$3:C$42="Matériaux",'DONNÉES BRUTES'!AB$3:AB$42+(ROW('DONNÉES BRUTES'!A$3:A$42)-ROW('DONNÉES BRUTES'!A$3))/1000,0),12))&amp;"/100"),"—")</f>
        <v/>
      </c>
      <c r="F22" t="str" cm="1">
        <f t="array" ref="F22">IFERROR(IF(12&gt;COUNTIF('DONNÉES BRUTES'!C$3:C$42,"Matériaux"),"",INDEX('DONNÉES BRUTES'!Y$3:Y$42,MATCH(LARGE(IF('DONNÉES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G22" t="str" cm="1">
        <f t="array" ref="G22">IFERROR(IF(12&gt;COUNTIF('DONNÉES BRUTES'!C$3:C$42,"Matériaux"),"",INDEX('DONNÉES BRUTES'!Z$3:Z$42,MATCH(LARGE(IF('DONNÉES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H22" t="str" cm="1">
        <f t="array" ref="H22">IFERROR(IF(12&gt;COUNTIF('DONNÉES BRUTES'!C$3:C$42,"Matériaux"),"",INDEX('DONNÉES BRUTES'!AA$3:AA$42,MATCH(LARGE(IF('DONNÉES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I22" t="str" cm="1">
        <f t="array" ref="I22">IFERROR(IF(12&gt;COUNTIF('DONNÉES BRUTES'!C$3:C$42,"Matériaux"),"",INDEX('DONNÉES BRUTES'!M$3:M$42,MATCH(LARGE(IF('DONNÉES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J22" t="str" cm="1">
        <f t="array" ref="J22">IFERROR(IF(12&gt;COUNTIF('DONNÉES BRUTES'!C$3:C$42,"Matériaux"),"",INDEX('DONNÉES BRUTES'!N$3:N$42,MATCH(LARGE(IF('DONNÉES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K22" t="str" cm="1">
        <f t="array" ref="K22">IFERROR(IF(12&gt;COUNTIF('DONNÉES BRUTES'!C$3:C$42,"Matériaux"),"",INDEX('DONNÉES BRUTES'!O$3:O$42,MATCH(LARGE(IF('DONNÉES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L22" t="str" cm="1">
        <f t="array" ref="L22">IFERROR(IF(12&gt;COUNTIF('DONNÉES BRUTES'!C$3:C$42,"Matériaux"),"",INDEX('DONNÉES BRUTES'!P$3:P$42,MATCH(LARGE(IF('DONNÉES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M22" t="str" cm="1">
        <f t="array" ref="M22">IFERROR(IF(12&gt;COUNTIF('DONNÉES BRUTES'!C$3:C$42,"Matériaux"),"",INDEX('DONNÉES BRUTES'!Q$3:Q$42,MATCH(LARGE(IF('DONNÉES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N22" t="str" cm="1">
        <f t="array" ref="N22">IFERROR(IF(12&gt;COUNTIF('DONNÉES BRUTES'!C$3:C$42,"Matériaux"),"",INDEX('DONNÉES BRUTES'!S$3:S$42,MATCH(LARGE(IF('DONNÉES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O22" t="str" cm="1">
        <f t="array" ref="O22">IFERROR(IF(12&gt;COUNTIF('DONNÉES BRUTES'!C$3:C$42,"Matériaux"),"",INDEX('DONNÉES BRUTES'!T$3:T$42,MATCH(LARGE(IF('DONNÉES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P22" t="str" cm="1">
        <f t="array" ref="P22">IFERROR(IF(12&gt;COUNTIF('DONNÉES BRUTES'!C$3:C$42,"Matériaux"),"",INDEX('DONNÉES BRUTES'!U$3:U$42,MATCH(LARGE(IF('DONNÉES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  <c r="Q22" t="str" cm="1">
        <f t="array" ref="Q22">IFERROR(IF(12&gt;COUNTIF('DONNÉES BRUTES'!C$3:C$42,"Matériaux"),"",INDEX('DONNÉES BRUTES'!AD$3:AD$42,MATCH(LARGE(IF('DONNÉES BRUTES'!C$3:C$42="Matériaux",'DONNÉES BRUTES'!AB$3:AB$42+(ROW('DONNÉES BRUTES'!A$3:A$42)-ROW('DONNÉES BRUTES'!A$3))/1000,0),12),IF('DONNÉES BRUTES'!C$3:C$42="Matériaux",'DONNÉES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BRUTES'!C$3:C$42,"Matériaux"),"",INDEX('DONNÉES BRUTES'!A$3:A$42,MATCH(LARGE(IF('DONNÉES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D23" t="str" cm="1">
        <f t="array" ref="D23">IFERROR(IF(13&gt;COUNTIF('DONNÉES BRUTES'!C$3:C$42,"Matériaux"),"",INDEX('DONNÉES BRUTES'!B$3:B$42,MATCH(LARGE(IF('DONNÉES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E23" t="str" cm="1">
        <f t="array" ref="E23">IFERROR(IF(13&gt;COUNTIF('DONNÉES BRUTES'!C$3:C$42,"Matériaux"),"",INT(LARGE(IF('DONNÉES BRUTES'!C$3:C$42="Matériaux",'DONNÉES BRUTES'!AB$3:AB$42+(ROW('DONNÉES BRUTES'!A$3:A$42)-ROW('DONNÉES BRUTES'!A$3))/1000,0),13))&amp;"/100"),"—")</f>
        <v/>
      </c>
      <c r="F23" t="str" cm="1">
        <f t="array" ref="F23">IFERROR(IF(13&gt;COUNTIF('DONNÉES BRUTES'!C$3:C$42,"Matériaux"),"",INDEX('DONNÉES BRUTES'!Y$3:Y$42,MATCH(LARGE(IF('DONNÉES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G23" t="str" cm="1">
        <f t="array" ref="G23">IFERROR(IF(13&gt;COUNTIF('DONNÉES BRUTES'!C$3:C$42,"Matériaux"),"",INDEX('DONNÉES BRUTES'!Z$3:Z$42,MATCH(LARGE(IF('DONNÉES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H23" t="str" cm="1">
        <f t="array" ref="H23">IFERROR(IF(13&gt;COUNTIF('DONNÉES BRUTES'!C$3:C$42,"Matériaux"),"",INDEX('DONNÉES BRUTES'!AA$3:AA$42,MATCH(LARGE(IF('DONNÉES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I23" t="str" cm="1">
        <f t="array" ref="I23">IFERROR(IF(13&gt;COUNTIF('DONNÉES BRUTES'!C$3:C$42,"Matériaux"),"",INDEX('DONNÉES BRUTES'!M$3:M$42,MATCH(LARGE(IF('DONNÉES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J23" t="str" cm="1">
        <f t="array" ref="J23">IFERROR(IF(13&gt;COUNTIF('DONNÉES BRUTES'!C$3:C$42,"Matériaux"),"",INDEX('DONNÉES BRUTES'!N$3:N$42,MATCH(LARGE(IF('DONNÉES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K23" t="str" cm="1">
        <f t="array" ref="K23">IFERROR(IF(13&gt;COUNTIF('DONNÉES BRUTES'!C$3:C$42,"Matériaux"),"",INDEX('DONNÉES BRUTES'!O$3:O$42,MATCH(LARGE(IF('DONNÉES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L23" t="str" cm="1">
        <f t="array" ref="L23">IFERROR(IF(13&gt;COUNTIF('DONNÉES BRUTES'!C$3:C$42,"Matériaux"),"",INDEX('DONNÉES BRUTES'!P$3:P$42,MATCH(LARGE(IF('DONNÉES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M23" t="str" cm="1">
        <f t="array" ref="M23">IFERROR(IF(13&gt;COUNTIF('DONNÉES BRUTES'!C$3:C$42,"Matériaux"),"",INDEX('DONNÉES BRUTES'!Q$3:Q$42,MATCH(LARGE(IF('DONNÉES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N23" t="str" cm="1">
        <f t="array" ref="N23">IFERROR(IF(13&gt;COUNTIF('DONNÉES BRUTES'!C$3:C$42,"Matériaux"),"",INDEX('DONNÉES BRUTES'!S$3:S$42,MATCH(LARGE(IF('DONNÉES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O23" t="str" cm="1">
        <f t="array" ref="O23">IFERROR(IF(13&gt;COUNTIF('DONNÉES BRUTES'!C$3:C$42,"Matériaux"),"",INDEX('DONNÉES BRUTES'!T$3:T$42,MATCH(LARGE(IF('DONNÉES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P23" t="str" cm="1">
        <f t="array" ref="P23">IFERROR(IF(13&gt;COUNTIF('DONNÉES BRUTES'!C$3:C$42,"Matériaux"),"",INDEX('DONNÉES BRUTES'!U$3:U$42,MATCH(LARGE(IF('DONNÉES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  <c r="Q23" t="str" cm="1">
        <f t="array" ref="Q23">IFERROR(IF(13&gt;COUNTIF('DONNÉES BRUTES'!C$3:C$42,"Matériaux"),"",INDEX('DONNÉES BRUTES'!AD$3:AD$42,MATCH(LARGE(IF('DONNÉES BRUTES'!C$3:C$42="Matériaux",'DONNÉES BRUTES'!AB$3:AB$42+(ROW('DONNÉES BRUTES'!A$3:A$42)-ROW('DONNÉES BRUTES'!A$3))/1000,0),13),IF('DONNÉES BRUTES'!C$3:C$42="Matériaux",'DONNÉES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BRUTES'!C$3:C$42,"Matériaux"),"",INDEX('DONNÉES BRUTES'!A$3:A$42,MATCH(LARGE(IF('DONNÉES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D24" t="str" cm="1">
        <f t="array" ref="D24">IFERROR(IF(14&gt;COUNTIF('DONNÉES BRUTES'!C$3:C$42,"Matériaux"),"",INDEX('DONNÉES BRUTES'!B$3:B$42,MATCH(LARGE(IF('DONNÉES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E24" t="str" cm="1">
        <f t="array" ref="E24">IFERROR(IF(14&gt;COUNTIF('DONNÉES BRUTES'!C$3:C$42,"Matériaux"),"",INT(LARGE(IF('DONNÉES BRUTES'!C$3:C$42="Matériaux",'DONNÉES BRUTES'!AB$3:AB$42+(ROW('DONNÉES BRUTES'!A$3:A$42)-ROW('DONNÉES BRUTES'!A$3))/1000,0),14))&amp;"/100"),"—")</f>
        <v/>
      </c>
      <c r="F24" t="str" cm="1">
        <f t="array" ref="F24">IFERROR(IF(14&gt;COUNTIF('DONNÉES BRUTES'!C$3:C$42,"Matériaux"),"",INDEX('DONNÉES BRUTES'!Y$3:Y$42,MATCH(LARGE(IF('DONNÉES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G24" t="str" cm="1">
        <f t="array" ref="G24">IFERROR(IF(14&gt;COUNTIF('DONNÉES BRUTES'!C$3:C$42,"Matériaux"),"",INDEX('DONNÉES BRUTES'!Z$3:Z$42,MATCH(LARGE(IF('DONNÉES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H24" t="str" cm="1">
        <f t="array" ref="H24">IFERROR(IF(14&gt;COUNTIF('DONNÉES BRUTES'!C$3:C$42,"Matériaux"),"",INDEX('DONNÉES BRUTES'!AA$3:AA$42,MATCH(LARGE(IF('DONNÉES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I24" t="str" cm="1">
        <f t="array" ref="I24">IFERROR(IF(14&gt;COUNTIF('DONNÉES BRUTES'!C$3:C$42,"Matériaux"),"",INDEX('DONNÉES BRUTES'!M$3:M$42,MATCH(LARGE(IF('DONNÉES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J24" t="str" cm="1">
        <f t="array" ref="J24">IFERROR(IF(14&gt;COUNTIF('DONNÉES BRUTES'!C$3:C$42,"Matériaux"),"",INDEX('DONNÉES BRUTES'!N$3:N$42,MATCH(LARGE(IF('DONNÉES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K24" t="str" cm="1">
        <f t="array" ref="K24">IFERROR(IF(14&gt;COUNTIF('DONNÉES BRUTES'!C$3:C$42,"Matériaux"),"",INDEX('DONNÉES BRUTES'!O$3:O$42,MATCH(LARGE(IF('DONNÉES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L24" t="str" cm="1">
        <f t="array" ref="L24">IFERROR(IF(14&gt;COUNTIF('DONNÉES BRUTES'!C$3:C$42,"Matériaux"),"",INDEX('DONNÉES BRUTES'!P$3:P$42,MATCH(LARGE(IF('DONNÉES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M24" t="str" cm="1">
        <f t="array" ref="M24">IFERROR(IF(14&gt;COUNTIF('DONNÉES BRUTES'!C$3:C$42,"Matériaux"),"",INDEX('DONNÉES BRUTES'!Q$3:Q$42,MATCH(LARGE(IF('DONNÉES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N24" t="str" cm="1">
        <f t="array" ref="N24">IFERROR(IF(14&gt;COUNTIF('DONNÉES BRUTES'!C$3:C$42,"Matériaux"),"",INDEX('DONNÉES BRUTES'!S$3:S$42,MATCH(LARGE(IF('DONNÉES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O24" t="str" cm="1">
        <f t="array" ref="O24">IFERROR(IF(14&gt;COUNTIF('DONNÉES BRUTES'!C$3:C$42,"Matériaux"),"",INDEX('DONNÉES BRUTES'!T$3:T$42,MATCH(LARGE(IF('DONNÉES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P24" t="str" cm="1">
        <f t="array" ref="P24">IFERROR(IF(14&gt;COUNTIF('DONNÉES BRUTES'!C$3:C$42,"Matériaux"),"",INDEX('DONNÉES BRUTES'!U$3:U$42,MATCH(LARGE(IF('DONNÉES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  <c r="Q24" t="str" cm="1">
        <f t="array" ref="Q24">IFERROR(IF(14&gt;COUNTIF('DONNÉES BRUTES'!C$3:C$42,"Matériaux"),"",INDEX('DONNÉES BRUTES'!AD$3:AD$42,MATCH(LARGE(IF('DONNÉES BRUTES'!C$3:C$42="Matériaux",'DONNÉES BRUTES'!AB$3:AB$42+(ROW('DONNÉES BRUTES'!A$3:A$42)-ROW('DONNÉES BRUTES'!A$3))/1000,0),14),IF('DONNÉES BRUTES'!C$3:C$42="Matériaux",'DONNÉES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BRUTES'!C$3:C$42,"Matériaux"),"",INDEX('DONNÉES BRUTES'!A$3:A$42,MATCH(LARGE(IF('DONNÉES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D25" t="str" cm="1">
        <f t="array" ref="D25">IFERROR(IF(15&gt;COUNTIF('DONNÉES BRUTES'!C$3:C$42,"Matériaux"),"",INDEX('DONNÉES BRUTES'!B$3:B$42,MATCH(LARGE(IF('DONNÉES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E25" t="str" cm="1">
        <f t="array" ref="E25">IFERROR(IF(15&gt;COUNTIF('DONNÉES BRUTES'!C$3:C$42,"Matériaux"),"",INT(LARGE(IF('DONNÉES BRUTES'!C$3:C$42="Matériaux",'DONNÉES BRUTES'!AB$3:AB$42+(ROW('DONNÉES BRUTES'!A$3:A$42)-ROW('DONNÉES BRUTES'!A$3))/1000,0),15))&amp;"/100"),"—")</f>
        <v/>
      </c>
      <c r="F25" t="str" cm="1">
        <f t="array" ref="F25">IFERROR(IF(15&gt;COUNTIF('DONNÉES BRUTES'!C$3:C$42,"Matériaux"),"",INDEX('DONNÉES BRUTES'!Y$3:Y$42,MATCH(LARGE(IF('DONNÉES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G25" t="str" cm="1">
        <f t="array" ref="G25">IFERROR(IF(15&gt;COUNTIF('DONNÉES BRUTES'!C$3:C$42,"Matériaux"),"",INDEX('DONNÉES BRUTES'!Z$3:Z$42,MATCH(LARGE(IF('DONNÉES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H25" t="str" cm="1">
        <f t="array" ref="H25">IFERROR(IF(15&gt;COUNTIF('DONNÉES BRUTES'!C$3:C$42,"Matériaux"),"",INDEX('DONNÉES BRUTES'!AA$3:AA$42,MATCH(LARGE(IF('DONNÉES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I25" t="str" cm="1">
        <f t="array" ref="I25">IFERROR(IF(15&gt;COUNTIF('DONNÉES BRUTES'!C$3:C$42,"Matériaux"),"",INDEX('DONNÉES BRUTES'!M$3:M$42,MATCH(LARGE(IF('DONNÉES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J25" t="str" cm="1">
        <f t="array" ref="J25">IFERROR(IF(15&gt;COUNTIF('DONNÉES BRUTES'!C$3:C$42,"Matériaux"),"",INDEX('DONNÉES BRUTES'!N$3:N$42,MATCH(LARGE(IF('DONNÉES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K25" t="str" cm="1">
        <f t="array" ref="K25">IFERROR(IF(15&gt;COUNTIF('DONNÉES BRUTES'!C$3:C$42,"Matériaux"),"",INDEX('DONNÉES BRUTES'!O$3:O$42,MATCH(LARGE(IF('DONNÉES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L25" t="str" cm="1">
        <f t="array" ref="L25">IFERROR(IF(15&gt;COUNTIF('DONNÉES BRUTES'!C$3:C$42,"Matériaux"),"",INDEX('DONNÉES BRUTES'!P$3:P$42,MATCH(LARGE(IF('DONNÉES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M25" t="str" cm="1">
        <f t="array" ref="M25">IFERROR(IF(15&gt;COUNTIF('DONNÉES BRUTES'!C$3:C$42,"Matériaux"),"",INDEX('DONNÉES BRUTES'!Q$3:Q$42,MATCH(LARGE(IF('DONNÉES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N25" t="str" cm="1">
        <f t="array" ref="N25">IFERROR(IF(15&gt;COUNTIF('DONNÉES BRUTES'!C$3:C$42,"Matériaux"),"",INDEX('DONNÉES BRUTES'!S$3:S$42,MATCH(LARGE(IF('DONNÉES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O25" t="str" cm="1">
        <f t="array" ref="O25">IFERROR(IF(15&gt;COUNTIF('DONNÉES BRUTES'!C$3:C$42,"Matériaux"),"",INDEX('DONNÉES BRUTES'!T$3:T$42,MATCH(LARGE(IF('DONNÉES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P25" t="str" cm="1">
        <f t="array" ref="P25">IFERROR(IF(15&gt;COUNTIF('DONNÉES BRUTES'!C$3:C$42,"Matériaux"),"",INDEX('DONNÉES BRUTES'!U$3:U$42,MATCH(LARGE(IF('DONNÉES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  <c r="Q25" t="str" cm="1">
        <f t="array" ref="Q25">IFERROR(IF(15&gt;COUNTIF('DONNÉES BRUTES'!C$3:C$42,"Matériaux"),"",INDEX('DONNÉES BRUTES'!AD$3:AD$42,MATCH(LARGE(IF('DONNÉES BRUTES'!C$3:C$42="Matériaux",'DONNÉES BRUTES'!AB$3:AB$42+(ROW('DONNÉES BRUTES'!A$3:A$42)-ROW('DONNÉES BRUTES'!A$3))/1000,0),15),IF('DONNÉES BRUTES'!C$3:C$42="Matériaux",'DONNÉES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t="s">
        <v>136</v>
      </c>
      <c r="V28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Rio Tinto Grou</v>
      </c>
      <c r="T29" s="160">
        <f>IF(E11="","",IFERROR(VALUE(LEFT(E11,FIND("/",E11)-1)),0))</f>
        <v>70</v>
      </c>
      <c r="U29">
        <f t="shared" ref="U29:W30" si="0">IF(ISNUMBER(F11),F11,0)</f>
        <v>77</v>
      </c>
      <c r="V29">
        <f t="shared" si="0"/>
        <v>78</v>
      </c>
      <c r="W29" s="160">
        <f t="shared" si="0"/>
        <v>91</v>
      </c>
      <c r="X29" s="160">
        <f t="shared" ref="X29:Z30" si="1">IF(ISNUMBER(F11),F11,"")</f>
        <v>77</v>
      </c>
      <c r="Y29" s="160">
        <f t="shared" si="1"/>
        <v>78</v>
      </c>
      <c r="Z29" s="160">
        <f t="shared" si="1"/>
        <v>91</v>
      </c>
      <c r="AA29" s="160">
        <v>77</v>
      </c>
      <c r="AB29" s="160">
        <v>90</v>
      </c>
    </row>
    <row r="30" spans="3:28" ht="15.9" customHeight="1" x14ac:dyDescent="0.3">
      <c r="S30" s="160" t="str">
        <f>IF(D12="","",LEFT(D12,14))</f>
        <v xml:space="preserve">L'Air Liquide </v>
      </c>
      <c r="T30" s="160">
        <f>IF(E12="","",IFERROR(VALUE(LEFT(E12,FIND("/",E12)-1)),0))</f>
        <v>44</v>
      </c>
      <c r="U30">
        <f t="shared" si="0"/>
        <v>54</v>
      </c>
      <c r="V30">
        <f t="shared" si="0"/>
        <v>58</v>
      </c>
      <c r="W30" s="160">
        <f t="shared" si="0"/>
        <v>34</v>
      </c>
      <c r="X30" s="160">
        <f t="shared" si="1"/>
        <v>54</v>
      </c>
      <c r="Y30" s="160">
        <f t="shared" si="1"/>
        <v>58</v>
      </c>
      <c r="Z30" s="160">
        <f t="shared" si="1"/>
        <v>34</v>
      </c>
      <c r="AA30" s="160">
        <v>13</v>
      </c>
      <c r="AB30" s="160">
        <v>8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B30"/>
  <sheetViews>
    <sheetView showGridLines="0" zoomScaleNormal="100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" bestFit="1" customWidth="1"/>
    <col min="20" max="21" width="9" bestFit="1" customWidth="1"/>
  </cols>
  <sheetData>
    <row r="1" spans="2:17" ht="30" customHeight="1" x14ac:dyDescent="0.3">
      <c r="B1" s="204" t="str">
        <f>"FinSight IA  ·  Real estate  ·  CAC 40  ·  "&amp;COUNTIF('DONNÉES BRUTES'!C$3:C$42,"Serv. Publ.")&amp;" sociétés  ·  12/04/2026"</f>
        <v>FinSight IA  ·  Real estate  ·  CAC 40  ·  3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10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80"/>
      <c r="C5" s="168">
        <v>3</v>
      </c>
      <c r="D5" s="180"/>
      <c r="E5" s="175" t="s">
        <v>711</v>
      </c>
      <c r="F5" s="175"/>
      <c r="G5" s="175"/>
      <c r="H5" s="171" t="str" cm="1">
        <f t="array" ref="H5">IFERROR(INDEX('DONNÉES BRUTES'!B$3:B$42,MATCH(LARGE(IF('DONNÉES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BRUTES'!A$3))/1000,0),0)),"—")</f>
        <v>RWE Aktiengesellschaft</v>
      </c>
      <c r="I5" s="175"/>
      <c r="J5" s="175"/>
      <c r="K5" s="180"/>
      <c r="L5" s="211">
        <v>0.157</v>
      </c>
      <c r="M5" s="180"/>
      <c r="N5" s="173" cm="1">
        <f t="array" ref="N5">IFERROR(ROUND(MEDIAN(IF('DONNÉES BRUTES'!C$3:C$42="Serv. Publ.",IF(ISNUMBER('DONNÉES BRUTES'!Y$3:Y$42),'DONNÉES BRUTES'!Y$3:Y$42))),0),"—")</f>
        <v>37</v>
      </c>
      <c r="O5" s="180"/>
      <c r="P5" s="185" t="s">
        <v>158</v>
      </c>
      <c r="Q5" s="175"/>
    </row>
    <row r="6" spans="2:17" ht="15.9" customHeight="1" x14ac:dyDescent="0.3">
      <c r="B6" s="170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70"/>
      <c r="L6" s="170" t="s">
        <v>382</v>
      </c>
      <c r="M6" s="170"/>
      <c r="N6" s="170" t="s">
        <v>411</v>
      </c>
      <c r="O6" s="170"/>
      <c r="P6" s="170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"&amp;UPPER("Real estate")&amp;"  ·  "&amp;COUNTIF('DONNÉES BRUTES'!C$3:C$42,"Serv. Publ.")&amp;" sociétés  ·  Triée par Score Global"</f>
        <v>ANALYSE DÉTAILLÉE  ·  REAL ESTATE  ·  3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316" t="s">
        <v>133</v>
      </c>
      <c r="C10" s="317" t="s">
        <v>6</v>
      </c>
      <c r="D10" s="317" t="s">
        <v>1</v>
      </c>
      <c r="E10" s="318" t="s">
        <v>8</v>
      </c>
      <c r="F10" s="318" t="s">
        <v>412</v>
      </c>
      <c r="G10" s="318" t="s">
        <v>413</v>
      </c>
      <c r="H10" s="318" t="s">
        <v>414</v>
      </c>
      <c r="I10" s="318" t="s">
        <v>415</v>
      </c>
      <c r="J10" s="318" t="s">
        <v>340</v>
      </c>
      <c r="K10" s="318" t="s">
        <v>416</v>
      </c>
      <c r="L10" s="318" t="s">
        <v>341</v>
      </c>
      <c r="M10" s="318" t="s">
        <v>147</v>
      </c>
      <c r="N10" s="318" t="s">
        <v>417</v>
      </c>
      <c r="O10" s="318" t="s">
        <v>418</v>
      </c>
      <c r="P10" s="318" t="s">
        <v>14</v>
      </c>
      <c r="Q10" s="319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BRUTES'!C$3:C$42,"Serv. Publ."),"",INDEX('DONNÉES BRUTES'!A$3:A$42,MATCH(LARGE(IF('DONNÉES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RWE.DE</v>
      </c>
      <c r="D11" s="406" t="str" cm="1">
        <f t="array" ref="D11">IFERROR(IF(1&gt;COUNTIF('DONNÉES BRUTES'!C$3:C$42,"Serv. Publ."),"",INDEX('DONNÉES BRUTES'!B$3:B$42,MATCH(LARGE(IF('DONNÉES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RWE Aktiengesellschaft</v>
      </c>
      <c r="E11" s="406" t="str" cm="1">
        <f t="array" ref="E11">IFERROR(IF(1&gt;COUNTIF('DONNÉES BRUTES'!C$3:C$42,"Serv. Publ."),"",INT(LARGE(IF('DONNÉES BRUTES'!C$3:C$42="Serv. Publ.",'DONNÉES BRUTES'!AB$3:AB$42+(ROW('DONNÉES BRUTES'!A$3:A$42)-ROW('DONNÉES BRUTES'!A$3))/1000,0),1))&amp;"/100"),"—")</f>
        <v>60/100</v>
      </c>
      <c r="F11" s="406" cm="1">
        <f t="array" ref="F11">IFERROR(IF(1&gt;COUNTIF('DONNÉES BRUTES'!C$3:C$42,"Serv. Publ."),"",INDEX('DONNÉES BRUTES'!Y$3:Y$42,MATCH(LARGE(IF('DONNÉES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37</v>
      </c>
      <c r="G11" s="406" cm="1">
        <f t="array" ref="G11">IFERROR(IF(1&gt;COUNTIF('DONNÉES BRUTES'!C$3:C$42,"Serv. Publ."),"",INDEX('DONNÉES BRUTES'!Z$3:Z$42,MATCH(LARGE(IF('DONNÉES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66</v>
      </c>
      <c r="H11" s="406" cm="1">
        <f t="array" ref="H11">IFERROR(IF(1&gt;COUNTIF('DONNÉES BRUTES'!C$3:C$42,"Serv. Publ."),"",INDEX('DONNÉES BRUTES'!AA$3:AA$42,MATCH(LARGE(IF('DONNÉES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96</v>
      </c>
      <c r="I11" s="406" t="str" cm="1">
        <f t="array" ref="I11">IFERROR(IF(1&gt;COUNTIF('DONNÉES BRUTES'!C$3:C$42,"Serv. Publ."),"",INDEX('DONNÉES BRUTES'!M$3:M$42,MATCH(LARGE(IF('DONNÉES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32.8%</v>
      </c>
      <c r="J11" s="406" t="str" cm="1">
        <f t="array" ref="J11">IFERROR(IF(1&gt;COUNTIF('DONNÉES BRUTES'!C$3:C$42,"Serv. Publ."),"",INDEX('DONNÉES BRUTES'!N$3:N$42,MATCH(LARGE(IF('DONNÉES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39.1%</v>
      </c>
      <c r="K11" s="406" t="str" cm="1">
        <f t="array" ref="K11">IFERROR(IF(1&gt;COUNTIF('DONNÉES BRUTES'!C$3:C$42,"Serv. Publ."),"",INDEX('DONNÉES BRUTES'!O$3:O$42,MATCH(LARGE(IF('DONNÉES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17.8%</v>
      </c>
      <c r="L11" s="406" t="str" cm="1">
        <f t="array" ref="L11">IFERROR(IF(1&gt;COUNTIF('DONNÉES BRUTES'!C$3:C$42,"Serv. Publ."),"",INDEX('DONNÉES BRUTES'!P$3:P$42,MATCH(LARGE(IF('DONNÉES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-27.2%</v>
      </c>
      <c r="M11" s="406" t="str" cm="1">
        <f t="array" ref="M11">IFERROR(IF(1&gt;COUNTIF('DONNÉES BRUTES'!C$3:C$42,"Serv. Publ."),"",INDEX('DONNÉES BRUTES'!Q$3:Q$42,MATCH(LARGE(IF('DONNÉES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+9.1%</v>
      </c>
      <c r="N11" s="406" cm="1">
        <f t="array" ref="N11">IFERROR(IF(1&gt;COUNTIF('DONNÉES BRUTES'!C$3:C$42,"Serv. Publ."),"",INDEX('DONNÉES BRUTES'!S$3:S$42,MATCH(LARGE(IF('DONNÉES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1.5</v>
      </c>
      <c r="O11" s="406" t="str" cm="1">
        <f t="array" ref="O11">IFERROR(IF(1&gt;COUNTIF('DONNÉES BRUTES'!C$3:C$42,"Serv. Publ."),"",INDEX('DONNÉES BRUTES'!T$3:T$42,MATCH(LARGE(IF('DONNÉES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0.9x</v>
      </c>
      <c r="P11" s="406" cm="1">
        <f t="array" ref="P11">IFERROR(IF(1&gt;COUNTIF('DONNÉES BRUTES'!C$3:C$42,"Serv. Publ."),"",INDEX('DONNÉES BRUTES'!U$3:U$42,MATCH(LARGE(IF('DONNÉES BRUTES'!C$3:C$42="Serv. Publ.",'DONNÉES BRUTES'!AB$3:AB$42+(ROW('DONNÉES BRUTES'!A$3:A$42)-ROW('DONNÉES BRUTES'!A$3))/1000,0),1),IF('DONNÉES BRUTES'!C$3:C$42="Serv. Publ.",'DONNÉES BRUTES'!AB$3:AB$42+(ROW('DONNÉES BRUTES'!A$3:A$42)-ROW('DONNÉES BRUTES'!A$3))/1000,0),0))),"—")</f>
        <v>2.35</v>
      </c>
      <c r="Q11" s="407" t="s">
        <v>171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BRUTES'!C$3:C$42,"Serv. Publ."),"",INDEX('DONNÉES BRUTES'!A$3:A$42,MATCH(LARGE(IF('DONNÉES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IBE.MC</v>
      </c>
      <c r="D12" s="409" t="str" cm="1">
        <f t="array" ref="D12">IFERROR(IF(2&gt;COUNTIF('DONNÉES BRUTES'!C$3:C$42,"Serv. Publ."),"",INDEX('DONNÉES BRUTES'!B$3:B$42,MATCH(LARGE(IF('DONNÉES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Iberdrola, S.A.</v>
      </c>
      <c r="E12" s="409" t="str" cm="1">
        <f t="array" ref="E12">IFERROR(IF(2&gt;COUNTIF('DONNÉES BRUTES'!C$3:C$42,"Serv. Publ."),"",INT(LARGE(IF('DONNÉES BRUTES'!C$3:C$42="Serv. Publ.",'DONNÉES BRUTES'!AB$3:AB$42+(ROW('DONNÉES BRUTES'!A$3:A$42)-ROW('DONNÉES BRUTES'!A$3))/1000,0),2))&amp;"/100"),"—")</f>
        <v>41/100</v>
      </c>
      <c r="F12" s="409" cm="1">
        <f t="array" ref="F12">IFERROR(IF(2&gt;COUNTIF('DONNÉES BRUTES'!C$3:C$42,"Serv. Publ."),"",INDEX('DONNÉES BRUTES'!Y$3:Y$42,MATCH(LARGE(IF('DONNÉES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56</v>
      </c>
      <c r="G12" s="409" cm="1">
        <f t="array" ref="G12">IFERROR(IF(2&gt;COUNTIF('DONNÉES BRUTES'!C$3:C$42,"Serv. Publ."),"",INDEX('DONNÉES BRUTES'!Z$3:Z$42,MATCH(LARGE(IF('DONNÉES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34</v>
      </c>
      <c r="H12" s="409" cm="1">
        <f t="array" ref="H12">IFERROR(IF(2&gt;COUNTIF('DONNÉES BRUTES'!C$3:C$42,"Serv. Publ."),"",INDEX('DONNÉES BRUTES'!AA$3:AA$42,MATCH(LARGE(IF('DONNÉES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62</v>
      </c>
      <c r="I12" s="409" t="str" cm="1">
        <f t="array" ref="I12">IFERROR(IF(2&gt;COUNTIF('DONNÉES BRUTES'!C$3:C$42,"Serv. Publ."),"",INDEX('DONNÉES BRUTES'!M$3:M$42,MATCH(LARGE(IF('DONNÉES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57.2%</v>
      </c>
      <c r="J12" s="409" t="str" cm="1">
        <f t="array" ref="J12">IFERROR(IF(2&gt;COUNTIF('DONNÉES BRUTES'!C$3:C$42,"Serv. Publ."),"",INDEX('DONNÉES BRUTES'!N$3:N$42,MATCH(LARGE(IF('DONNÉES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37.4%</v>
      </c>
      <c r="K12" s="409" t="str" cm="1">
        <f t="array" ref="K12">IFERROR(IF(2&gt;COUNTIF('DONNÉES BRUTES'!C$3:C$42,"Serv. Publ."),"",INDEX('DONNÉES BRUTES'!O$3:O$42,MATCH(LARGE(IF('DONNÉES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14.3%</v>
      </c>
      <c r="L12" s="409" t="str" cm="1">
        <f t="array" ref="L12">IFERROR(IF(2&gt;COUNTIF('DONNÉES BRUTES'!C$3:C$42,"Serv. Publ."),"",INDEX('DONNÉES BRUTES'!P$3:P$42,MATCH(LARGE(IF('DONNÉES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-1.5%</v>
      </c>
      <c r="M12" s="409" t="str" cm="1">
        <f t="array" ref="M12">IFERROR(IF(2&gt;COUNTIF('DONNÉES BRUTES'!C$3:C$42,"Serv. Publ."),"",INDEX('DONNÉES BRUTES'!Q$3:Q$42,MATCH(LARGE(IF('DONNÉES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+12.6%</v>
      </c>
      <c r="N12" s="409" cm="1">
        <f t="array" ref="N12">IFERROR(IF(2&gt;COUNTIF('DONNÉES BRUTES'!C$3:C$42,"Serv. Publ."),"",INDEX('DONNÉES BRUTES'!S$3:S$42,MATCH(LARGE(IF('DONNÉES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0.87</v>
      </c>
      <c r="O12" s="409" t="str" cm="1">
        <f t="array" ref="O12">IFERROR(IF(2&gt;COUNTIF('DONNÉES BRUTES'!C$3:C$42,"Serv. Publ."),"",INDEX('DONNÉES BRUTES'!T$3:T$42,MATCH(LARGE(IF('DONNÉES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3.1x</v>
      </c>
      <c r="P12" s="409" cm="1">
        <f t="array" ref="P12">IFERROR(IF(2&gt;COUNTIF('DONNÉES BRUTES'!C$3:C$42,"Serv. Publ."),"",INDEX('DONNÉES BRUTES'!U$3:U$42,MATCH(LARGE(IF('DONNÉES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1.32</v>
      </c>
      <c r="Q12" s="410" t="str" cm="1">
        <f t="array" ref="Q12">IFERROR(IF(2&gt;COUNTIF('DONNÉES BRUTES'!C$3:C$42,"Serv. Publ."),"",INDEX('DONNÉES BRUTES'!AD$3:AD$42,MATCH(LARGE(IF('DONNÉES BRUTES'!C$3:C$42="Serv. Publ.",'DONNÉES BRUTES'!AB$3:AB$42+(ROW('DONNÉES BRUTES'!A$3:A$42)-ROW('DONNÉES BRUTES'!A$3))/1000,0),2),IF('DONNÉES BRUTES'!C$3:C$42="Serv. Publ.",'DONNÉES BRUTES'!AB$3:AB$42+(ROW('DONNÉES BRUTES'!A$3:A$42)-ROW('DONNÉES BRUTES'!A$3))/1000,0),0))),"—")</f>
        <v>Neutre</v>
      </c>
    </row>
    <row r="13" spans="2:17" ht="15.9" customHeight="1" x14ac:dyDescent="0.3">
      <c r="B13" s="417">
        <v>3</v>
      </c>
      <c r="C13" s="418" t="str" cm="1">
        <f t="array" ref="C13">IFERROR(IF(3&gt;COUNTIF('DONNÉES BRUTES'!C$3:C$42,"Serv. Publ."),"",INDEX('DONNÉES BRUTES'!A$3:A$42,MATCH(LARGE(IF('DONNÉES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ENGI.PA</v>
      </c>
      <c r="D13" s="418" t="str" cm="1">
        <f t="array" ref="D13">IFERROR(IF(3&gt;COUNTIF('DONNÉES BRUTES'!C$3:C$42,"Serv. Publ."),"",INDEX('DONNÉES BRUTES'!B$3:B$42,MATCH(LARGE(IF('DONNÉES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Engie SA</v>
      </c>
      <c r="E13" s="418" t="str" cm="1">
        <f t="array" ref="E13">IFERROR(IF(3&gt;COUNTIF('DONNÉES BRUTES'!C$3:C$42,"Serv. Publ."),"",INT(LARGE(IF('DONNÉES BRUTES'!C$3:C$42="Serv. Publ.",'DONNÉES BRUTES'!AB$3:AB$42+(ROW('DONNÉES BRUTES'!A$3:A$42)-ROW('DONNÉES BRUTES'!A$3))/1000,0),3))&amp;"/100"),"—")</f>
        <v>31/100</v>
      </c>
      <c r="F13" s="418" cm="1">
        <f t="array" ref="F13">IFERROR(IF(3&gt;COUNTIF('DONNÉES BRUTES'!C$3:C$42,"Serv. Publ."),"",INDEX('DONNÉES BRUTES'!Y$3:Y$42,MATCH(LARGE(IF('DONNÉES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32</v>
      </c>
      <c r="G13" s="418" cm="1">
        <f t="array" ref="G13">IFERROR(IF(3&gt;COUNTIF('DONNÉES BRUTES'!C$3:C$42,"Serv. Publ."),"",INDEX('DONNÉES BRUTES'!Z$3:Z$42,MATCH(LARGE(IF('DONNÉES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19</v>
      </c>
      <c r="H13" s="418" cm="1">
        <f t="array" ref="H13">IFERROR(IF(3&gt;COUNTIF('DONNÉES BRUTES'!C$3:C$42,"Serv. Publ."),"",INDEX('DONNÉES BRUTES'!AA$3:AA$42,MATCH(LARGE(IF('DONNÉES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77</v>
      </c>
      <c r="I13" s="418" t="str" cm="1">
        <f t="array" ref="I13">IFERROR(IF(3&gt;COUNTIF('DONNÉES BRUTES'!C$3:C$42,"Serv. Publ."),"",INDEX('DONNÉES BRUTES'!M$3:M$42,MATCH(LARGE(IF('DONNÉES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31.8%</v>
      </c>
      <c r="J13" s="418" t="str" cm="1">
        <f t="array" ref="J13">IFERROR(IF(3&gt;COUNTIF('DONNÉES BRUTES'!C$3:C$42,"Serv. Publ."),"",INDEX('DONNÉES BRUTES'!N$3:N$42,MATCH(LARGE(IF('DONNÉES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20.0%</v>
      </c>
      <c r="K13" s="418" t="str" cm="1">
        <f t="array" ref="K13">IFERROR(IF(3&gt;COUNTIF('DONNÉES BRUTES'!C$3:C$42,"Serv. Publ."),"",INDEX('DONNÉES BRUTES'!O$3:O$42,MATCH(LARGE(IF('DONNÉES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5.3%</v>
      </c>
      <c r="L13" s="418" t="str" cm="1">
        <f t="array" ref="L13">IFERROR(IF(3&gt;COUNTIF('DONNÉES BRUTES'!C$3:C$42,"Serv. Publ."),"",INDEX('DONNÉES BRUTES'!P$3:P$42,MATCH(LARGE(IF('DONNÉES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-2.5%</v>
      </c>
      <c r="M13" s="418" t="str" cm="1">
        <f t="array" ref="M13">IFERROR(IF(3&gt;COUNTIF('DONNÉES BRUTES'!C$3:C$42,"Serv. Publ."),"",INDEX('DONNÉES BRUTES'!Q$3:Q$42,MATCH(LARGE(IF('DONNÉES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+11.6%</v>
      </c>
      <c r="N13" s="418" cm="1">
        <f t="array" ref="N13">IFERROR(IF(3&gt;COUNTIF('DONNÉES BRUTES'!C$3:C$42,"Serv. Publ."),"",INDEX('DONNÉES BRUTES'!S$3:S$42,MATCH(LARGE(IF('DONNÉES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1.08</v>
      </c>
      <c r="O13" s="418" t="str" cm="1">
        <f t="array" ref="O13">IFERROR(IF(3&gt;COUNTIF('DONNÉES BRUTES'!C$3:C$42,"Serv. Publ."),"",INDEX('DONNÉES BRUTES'!T$3:T$42,MATCH(LARGE(IF('DONNÉES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2.5x</v>
      </c>
      <c r="P13" s="418" t="str" cm="1">
        <f t="array" ref="P13">IFERROR(IF(3&gt;COUNTIF('DONNÉES BRUTES'!C$3:C$42,"Serv. Publ."),"",INDEX('DONNÉES BRUTES'!U$3:U$42,MATCH(LARGE(IF('DONNÉES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—</v>
      </c>
      <c r="Q13" s="419" t="str" cm="1">
        <f t="array" ref="Q13">IFERROR(IF(3&gt;COUNTIF('DONNÉES BRUTES'!C$3:C$42,"Serv. Publ."),"",INDEX('DONNÉES BRUTES'!AD$3:AD$42,MATCH(LARGE(IF('DONNÉES BRUTES'!C$3:C$42="Serv. Publ.",'DONNÉES BRUTES'!AB$3:AB$42+(ROW('DONNÉES BRUTES'!A$3:A$42)-ROW('DONNÉES BRUTES'!A$3))/1000,0),3),IF('DONNÉES BRUTES'!C$3:C$42="Serv. Publ.",'DONNÉES BRUTES'!AB$3:AB$42+(ROW('DONNÉES BRUTES'!A$3:A$42)-ROW('DONNÉES BRUTES'!A$3))/1000,0),0))),"—")</f>
        <v>Sous-pondérer</v>
      </c>
    </row>
    <row r="14" spans="2:17" ht="15.9" customHeight="1" x14ac:dyDescent="0.3">
      <c r="C14" t="str" cm="1">
        <f t="array" ref="C14">IFERROR(IF(4&gt;COUNTIF('DONNÉES BRUTES'!C$3:C$42,"Serv. Publ."),"",INDEX('DONNÉES BRUTES'!A$3:A$42,MATCH(LARGE(IF('DONNÉES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D14" t="str" cm="1">
        <f t="array" ref="D14">IFERROR(IF(4&gt;COUNTIF('DONNÉES BRUTES'!C$3:C$42,"Serv. Publ."),"",INDEX('DONNÉES BRUTES'!B$3:B$42,MATCH(LARGE(IF('DONNÉES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E14" t="str" cm="1">
        <f t="array" ref="E14">IFERROR(IF(4&gt;COUNTIF('DONNÉES BRUTES'!C$3:C$42,"Serv. Publ."),"",INT(LARGE(IF('DONNÉES BRUTES'!C$3:C$42="Serv. Publ.",'DONNÉES BRUTES'!AB$3:AB$42+(ROW('DONNÉES BRUTES'!A$3:A$42)-ROW('DONNÉES BRUTES'!A$3))/1000,0),4))&amp;"/100"),"—")</f>
        <v/>
      </c>
      <c r="F14" t="str" cm="1">
        <f t="array" ref="F14">IFERROR(IF(4&gt;COUNTIF('DONNÉES BRUTES'!C$3:C$42,"Serv. Publ."),"",INDEX('DONNÉES BRUTES'!Y$3:Y$42,MATCH(LARGE(IF('DONNÉES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G14" t="str" cm="1">
        <f t="array" ref="G14">IFERROR(IF(4&gt;COUNTIF('DONNÉES BRUTES'!C$3:C$42,"Serv. Publ."),"",INDEX('DONNÉES BRUTES'!Z$3:Z$42,MATCH(LARGE(IF('DONNÉES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H14" t="str" cm="1">
        <f t="array" ref="H14">IFERROR(IF(4&gt;COUNTIF('DONNÉES BRUTES'!C$3:C$42,"Serv. Publ."),"",INDEX('DONNÉES BRUTES'!AA$3:AA$42,MATCH(LARGE(IF('DONNÉES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I14" t="str" cm="1">
        <f t="array" ref="I14">IFERROR(IF(4&gt;COUNTIF('DONNÉES BRUTES'!C$3:C$42,"Serv. Publ."),"",INDEX('DONNÉES BRUTES'!M$3:M$42,MATCH(LARGE(IF('DONNÉES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J14" t="str" cm="1">
        <f t="array" ref="J14">IFERROR(IF(4&gt;COUNTIF('DONNÉES BRUTES'!C$3:C$42,"Serv. Publ."),"",INDEX('DONNÉES BRUTES'!N$3:N$42,MATCH(LARGE(IF('DONNÉES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K14" t="str" cm="1">
        <f t="array" ref="K14">IFERROR(IF(4&gt;COUNTIF('DONNÉES BRUTES'!C$3:C$42,"Serv. Publ."),"",INDEX('DONNÉES BRUTES'!O$3:O$42,MATCH(LARGE(IF('DONNÉES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L14" t="str" cm="1">
        <f t="array" ref="L14">IFERROR(IF(4&gt;COUNTIF('DONNÉES BRUTES'!C$3:C$42,"Serv. Publ."),"",INDEX('DONNÉES BRUTES'!P$3:P$42,MATCH(LARGE(IF('DONNÉES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M14" t="str" cm="1">
        <f t="array" ref="M14">IFERROR(IF(4&gt;COUNTIF('DONNÉES BRUTES'!C$3:C$42,"Serv. Publ."),"",INDEX('DONNÉES BRUTES'!Q$3:Q$42,MATCH(LARGE(IF('DONNÉES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N14" t="str" cm="1">
        <f t="array" ref="N14">IFERROR(IF(4&gt;COUNTIF('DONNÉES BRUTES'!C$3:C$42,"Serv. Publ."),"",INDEX('DONNÉES BRUTES'!S$3:S$42,MATCH(LARGE(IF('DONNÉES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O14" t="str" cm="1">
        <f t="array" ref="O14">IFERROR(IF(4&gt;COUNTIF('DONNÉES BRUTES'!C$3:C$42,"Serv. Publ."),"",INDEX('DONNÉES BRUTES'!T$3:T$42,MATCH(LARGE(IF('DONNÉES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P14" t="str" cm="1">
        <f t="array" ref="P14">IFERROR(IF(4&gt;COUNTIF('DONNÉES BRUTES'!C$3:C$42,"Serv. Publ."),"",INDEX('DONNÉES BRUTES'!U$3:U$42,MATCH(LARGE(IF('DONNÉES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  <c r="Q14" t="str" cm="1">
        <f t="array" ref="Q14">IFERROR(IF(4&gt;COUNTIF('DONNÉES BRUTES'!C$3:C$42,"Serv. Publ."),"",INDEX('DONNÉES BRUTES'!AD$3:AD$42,MATCH(LARGE(IF('DONNÉES BRUTES'!C$3:C$42="Serv. Publ.",'DONNÉES BRUTES'!AB$3:AB$42+(ROW('DONNÉES BRUTES'!A$3:A$42)-ROW('DONNÉES BRUTES'!A$3))/1000,0),4),IF('DONNÉES BRUTES'!C$3:C$42="Serv. Publ.",'DONNÉES BRUTES'!AB$3:AB$42+(ROW('DONNÉES BRUTES'!A$3:A$42)-ROW('DONNÉES BRUTES'!A$3))/1000,0),0))),"—")</f>
        <v/>
      </c>
    </row>
    <row r="15" spans="2:17" ht="15.9" customHeight="1" x14ac:dyDescent="0.3">
      <c r="C15" t="str" cm="1">
        <f t="array" ref="C15">IFERROR(IF(5&gt;COUNTIF('DONNÉES BRUTES'!C$3:C$42,"Serv. Publ."),"",INDEX('DONNÉES BRUTES'!A$3:A$42,MATCH(LARGE(IF('DONNÉES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D15" t="str" cm="1">
        <f t="array" ref="D15">IFERROR(IF(5&gt;COUNTIF('DONNÉES BRUTES'!C$3:C$42,"Serv. Publ."),"",INDEX('DONNÉES BRUTES'!B$3:B$42,MATCH(LARGE(IF('DONNÉES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E15" t="str" cm="1">
        <f t="array" ref="E15">IFERROR(IF(5&gt;COUNTIF('DONNÉES BRUTES'!C$3:C$42,"Serv. Publ."),"",INT(LARGE(IF('DONNÉES BRUTES'!C$3:C$42="Serv. Publ.",'DONNÉES BRUTES'!AB$3:AB$42+(ROW('DONNÉES BRUTES'!A$3:A$42)-ROW('DONNÉES BRUTES'!A$3))/1000,0),5))&amp;"/100"),"—")</f>
        <v/>
      </c>
      <c r="F15" t="str" cm="1">
        <f t="array" ref="F15">IFERROR(IF(5&gt;COUNTIF('DONNÉES BRUTES'!C$3:C$42,"Serv. Publ."),"",INDEX('DONNÉES BRUTES'!Y$3:Y$42,MATCH(LARGE(IF('DONNÉES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G15" t="str" cm="1">
        <f t="array" ref="G15">IFERROR(IF(5&gt;COUNTIF('DONNÉES BRUTES'!C$3:C$42,"Serv. Publ."),"",INDEX('DONNÉES BRUTES'!Z$3:Z$42,MATCH(LARGE(IF('DONNÉES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H15" t="str" cm="1">
        <f t="array" ref="H15">IFERROR(IF(5&gt;COUNTIF('DONNÉES BRUTES'!C$3:C$42,"Serv. Publ."),"",INDEX('DONNÉES BRUTES'!AA$3:AA$42,MATCH(LARGE(IF('DONNÉES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I15" t="str" cm="1">
        <f t="array" ref="I15">IFERROR(IF(5&gt;COUNTIF('DONNÉES BRUTES'!C$3:C$42,"Serv. Publ."),"",INDEX('DONNÉES BRUTES'!M$3:M$42,MATCH(LARGE(IF('DONNÉES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J15" t="str" cm="1">
        <f t="array" ref="J15">IFERROR(IF(5&gt;COUNTIF('DONNÉES BRUTES'!C$3:C$42,"Serv. Publ."),"",INDEX('DONNÉES BRUTES'!N$3:N$42,MATCH(LARGE(IF('DONNÉES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K15" t="str" cm="1">
        <f t="array" ref="K15">IFERROR(IF(5&gt;COUNTIF('DONNÉES BRUTES'!C$3:C$42,"Serv. Publ."),"",INDEX('DONNÉES BRUTES'!O$3:O$42,MATCH(LARGE(IF('DONNÉES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L15" t="str" cm="1">
        <f t="array" ref="L15">IFERROR(IF(5&gt;COUNTIF('DONNÉES BRUTES'!C$3:C$42,"Serv. Publ."),"",INDEX('DONNÉES BRUTES'!P$3:P$42,MATCH(LARGE(IF('DONNÉES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M15" t="str" cm="1">
        <f t="array" ref="M15">IFERROR(IF(5&gt;COUNTIF('DONNÉES BRUTES'!C$3:C$42,"Serv. Publ."),"",INDEX('DONNÉES BRUTES'!Q$3:Q$42,MATCH(LARGE(IF('DONNÉES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N15" t="str" cm="1">
        <f t="array" ref="N15">IFERROR(IF(5&gt;COUNTIF('DONNÉES BRUTES'!C$3:C$42,"Serv. Publ."),"",INDEX('DONNÉES BRUTES'!S$3:S$42,MATCH(LARGE(IF('DONNÉES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O15" t="str" cm="1">
        <f t="array" ref="O15">IFERROR(IF(5&gt;COUNTIF('DONNÉES BRUTES'!C$3:C$42,"Serv. Publ."),"",INDEX('DONNÉES BRUTES'!T$3:T$42,MATCH(LARGE(IF('DONNÉES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P15" t="str" cm="1">
        <f t="array" ref="P15">IFERROR(IF(5&gt;COUNTIF('DONNÉES BRUTES'!C$3:C$42,"Serv. Publ."),"",INDEX('DONNÉES BRUTES'!U$3:U$42,MATCH(LARGE(IF('DONNÉES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  <c r="Q15" t="str" cm="1">
        <f t="array" ref="Q15">IFERROR(IF(5&gt;COUNTIF('DONNÉES BRUTES'!C$3:C$42,"Serv. Publ."),"",INDEX('DONNÉES BRUTES'!AD$3:AD$42,MATCH(LARGE(IF('DONNÉES BRUTES'!C$3:C$42="Serv. Publ.",'DONNÉES BRUTES'!AB$3:AB$42+(ROW('DONNÉES BRUTES'!A$3:A$42)-ROW('DONNÉES BRUTES'!A$3))/1000,0),5),IF('DONNÉES BRUTES'!C$3:C$42="Serv. Publ.",'DONNÉES BRUTES'!AB$3:AB$42+(ROW('DONNÉES BRUTES'!A$3:A$42)-ROW('DONNÉES BRUTES'!A$3))/1000,0),0))),"—")</f>
        <v/>
      </c>
    </row>
    <row r="16" spans="2:17" ht="15.9" customHeight="1" x14ac:dyDescent="0.3">
      <c r="C16" t="str" cm="1">
        <f t="array" ref="C16">IFERROR(IF(6&gt;COUNTIF('DONNÉES BRUTES'!C$3:C$42,"Serv. Publ."),"",INDEX('DONNÉES BRUTES'!A$3:A$42,MATCH(LARGE(IF('DONNÉES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D16" t="str" cm="1">
        <f t="array" ref="D16">IFERROR(IF(6&gt;COUNTIF('DONNÉES BRUTES'!C$3:C$42,"Serv. Publ."),"",INDEX('DONNÉES BRUTES'!B$3:B$42,MATCH(LARGE(IF('DONNÉES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E16" t="str" cm="1">
        <f t="array" ref="E16">IFERROR(IF(6&gt;COUNTIF('DONNÉES BRUTES'!C$3:C$42,"Serv. Publ."),"",INT(LARGE(IF('DONNÉES BRUTES'!C$3:C$42="Serv. Publ.",'DONNÉES BRUTES'!AB$3:AB$42+(ROW('DONNÉES BRUTES'!A$3:A$42)-ROW('DONNÉES BRUTES'!A$3))/1000,0),6))&amp;"/100"),"—")</f>
        <v/>
      </c>
      <c r="F16" t="str" cm="1">
        <f t="array" ref="F16">IFERROR(IF(6&gt;COUNTIF('DONNÉES BRUTES'!C$3:C$42,"Serv. Publ."),"",INDEX('DONNÉES BRUTES'!Y$3:Y$42,MATCH(LARGE(IF('DONNÉES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G16" t="str" cm="1">
        <f t="array" ref="G16">IFERROR(IF(6&gt;COUNTIF('DONNÉES BRUTES'!C$3:C$42,"Serv. Publ."),"",INDEX('DONNÉES BRUTES'!Z$3:Z$42,MATCH(LARGE(IF('DONNÉES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H16" t="str" cm="1">
        <f t="array" ref="H16">IFERROR(IF(6&gt;COUNTIF('DONNÉES BRUTES'!C$3:C$42,"Serv. Publ."),"",INDEX('DONNÉES BRUTES'!AA$3:AA$42,MATCH(LARGE(IF('DONNÉES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I16" t="str" cm="1">
        <f t="array" ref="I16">IFERROR(IF(6&gt;COUNTIF('DONNÉES BRUTES'!C$3:C$42,"Serv. Publ."),"",INDEX('DONNÉES BRUTES'!M$3:M$42,MATCH(LARGE(IF('DONNÉES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J16" t="str" cm="1">
        <f t="array" ref="J16">IFERROR(IF(6&gt;COUNTIF('DONNÉES BRUTES'!C$3:C$42,"Serv. Publ."),"",INDEX('DONNÉES BRUTES'!N$3:N$42,MATCH(LARGE(IF('DONNÉES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K16" t="str" cm="1">
        <f t="array" ref="K16">IFERROR(IF(6&gt;COUNTIF('DONNÉES BRUTES'!C$3:C$42,"Serv. Publ."),"",INDEX('DONNÉES BRUTES'!O$3:O$42,MATCH(LARGE(IF('DONNÉES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L16" t="str" cm="1">
        <f t="array" ref="L16">IFERROR(IF(6&gt;COUNTIF('DONNÉES BRUTES'!C$3:C$42,"Serv. Publ."),"",INDEX('DONNÉES BRUTES'!P$3:P$42,MATCH(LARGE(IF('DONNÉES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M16" t="str" cm="1">
        <f t="array" ref="M16">IFERROR(IF(6&gt;COUNTIF('DONNÉES BRUTES'!C$3:C$42,"Serv. Publ."),"",INDEX('DONNÉES BRUTES'!Q$3:Q$42,MATCH(LARGE(IF('DONNÉES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N16" t="str" cm="1">
        <f t="array" ref="N16">IFERROR(IF(6&gt;COUNTIF('DONNÉES BRUTES'!C$3:C$42,"Serv. Publ."),"",INDEX('DONNÉES BRUTES'!S$3:S$42,MATCH(LARGE(IF('DONNÉES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O16" t="str" cm="1">
        <f t="array" ref="O16">IFERROR(IF(6&gt;COUNTIF('DONNÉES BRUTES'!C$3:C$42,"Serv. Publ."),"",INDEX('DONNÉES BRUTES'!T$3:T$42,MATCH(LARGE(IF('DONNÉES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P16" t="str" cm="1">
        <f t="array" ref="P16">IFERROR(IF(6&gt;COUNTIF('DONNÉES BRUTES'!C$3:C$42,"Serv. Publ."),"",INDEX('DONNÉES BRUTES'!U$3:U$42,MATCH(LARGE(IF('DONNÉES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  <c r="Q16" t="str" cm="1">
        <f t="array" ref="Q16">IFERROR(IF(6&gt;COUNTIF('DONNÉES BRUTES'!C$3:C$42,"Serv. Publ."),"",INDEX('DONNÉES BRUTES'!AD$3:AD$42,MATCH(LARGE(IF('DONNÉES BRUTES'!C$3:C$42="Serv. Publ.",'DONNÉES BRUTES'!AB$3:AB$42+(ROW('DONNÉES BRUTES'!A$3:A$42)-ROW('DONNÉES BRUTES'!A$3))/1000,0),6),IF('DONNÉES BRUTES'!C$3:C$42="Serv. Publ.",'DONNÉES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BRUTES'!C$3:C$42,"Serv. Publ."),"",INDEX('DONNÉES BRUTES'!A$3:A$42,MATCH(LARGE(IF('DONNÉES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D17" t="str" cm="1">
        <f t="array" ref="D17">IFERROR(IF(7&gt;COUNTIF('DONNÉES BRUTES'!C$3:C$42,"Serv. Publ."),"",INDEX('DONNÉES BRUTES'!B$3:B$42,MATCH(LARGE(IF('DONNÉES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E17" t="str" cm="1">
        <f t="array" ref="E17">IFERROR(IF(7&gt;COUNTIF('DONNÉES BRUTES'!C$3:C$42,"Serv. Publ."),"",INT(LARGE(IF('DONNÉES BRUTES'!C$3:C$42="Serv. Publ.",'DONNÉES BRUTES'!AB$3:AB$42+(ROW('DONNÉES BRUTES'!A$3:A$42)-ROW('DONNÉES BRUTES'!A$3))/1000,0),7))&amp;"/100"),"—")</f>
        <v/>
      </c>
      <c r="F17" t="str" cm="1">
        <f t="array" ref="F17">IFERROR(IF(7&gt;COUNTIF('DONNÉES BRUTES'!C$3:C$42,"Serv. Publ."),"",INDEX('DONNÉES BRUTES'!Y$3:Y$42,MATCH(LARGE(IF('DONNÉES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G17" t="str" cm="1">
        <f t="array" ref="G17">IFERROR(IF(7&gt;COUNTIF('DONNÉES BRUTES'!C$3:C$42,"Serv. Publ."),"",INDEX('DONNÉES BRUTES'!Z$3:Z$42,MATCH(LARGE(IF('DONNÉES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H17" t="str" cm="1">
        <f t="array" ref="H17">IFERROR(IF(7&gt;COUNTIF('DONNÉES BRUTES'!C$3:C$42,"Serv. Publ."),"",INDEX('DONNÉES BRUTES'!AA$3:AA$42,MATCH(LARGE(IF('DONNÉES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I17" t="str" cm="1">
        <f t="array" ref="I17">IFERROR(IF(7&gt;COUNTIF('DONNÉES BRUTES'!C$3:C$42,"Serv. Publ."),"",INDEX('DONNÉES BRUTES'!M$3:M$42,MATCH(LARGE(IF('DONNÉES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J17" t="str" cm="1">
        <f t="array" ref="J17">IFERROR(IF(7&gt;COUNTIF('DONNÉES BRUTES'!C$3:C$42,"Serv. Publ."),"",INDEX('DONNÉES BRUTES'!N$3:N$42,MATCH(LARGE(IF('DONNÉES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K17" t="str" cm="1">
        <f t="array" ref="K17">IFERROR(IF(7&gt;COUNTIF('DONNÉES BRUTES'!C$3:C$42,"Serv. Publ."),"",INDEX('DONNÉES BRUTES'!O$3:O$42,MATCH(LARGE(IF('DONNÉES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L17" t="str" cm="1">
        <f t="array" ref="L17">IFERROR(IF(7&gt;COUNTIF('DONNÉES BRUTES'!C$3:C$42,"Serv. Publ."),"",INDEX('DONNÉES BRUTES'!P$3:P$42,MATCH(LARGE(IF('DONNÉES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M17" t="str" cm="1">
        <f t="array" ref="M17">IFERROR(IF(7&gt;COUNTIF('DONNÉES BRUTES'!C$3:C$42,"Serv. Publ."),"",INDEX('DONNÉES BRUTES'!Q$3:Q$42,MATCH(LARGE(IF('DONNÉES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N17" t="str" cm="1">
        <f t="array" ref="N17">IFERROR(IF(7&gt;COUNTIF('DONNÉES BRUTES'!C$3:C$42,"Serv. Publ."),"",INDEX('DONNÉES BRUTES'!S$3:S$42,MATCH(LARGE(IF('DONNÉES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O17" t="str" cm="1">
        <f t="array" ref="O17">IFERROR(IF(7&gt;COUNTIF('DONNÉES BRUTES'!C$3:C$42,"Serv. Publ."),"",INDEX('DONNÉES BRUTES'!T$3:T$42,MATCH(LARGE(IF('DONNÉES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P17" t="str" cm="1">
        <f t="array" ref="P17">IFERROR(IF(7&gt;COUNTIF('DONNÉES BRUTES'!C$3:C$42,"Serv. Publ."),"",INDEX('DONNÉES BRUTES'!U$3:U$42,MATCH(LARGE(IF('DONNÉES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  <c r="Q17" t="str" cm="1">
        <f t="array" ref="Q17">IFERROR(IF(7&gt;COUNTIF('DONNÉES BRUTES'!C$3:C$42,"Serv. Publ."),"",INDEX('DONNÉES BRUTES'!AD$3:AD$42,MATCH(LARGE(IF('DONNÉES BRUTES'!C$3:C$42="Serv. Publ.",'DONNÉES BRUTES'!AB$3:AB$42+(ROW('DONNÉES BRUTES'!A$3:A$42)-ROW('DONNÉES BRUTES'!A$3))/1000,0),7),IF('DONNÉES BRUTES'!C$3:C$42="Serv. Publ.",'DONNÉES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BRUTES'!C$3:C$42,"Serv. Publ."),"",INDEX('DONNÉES BRUTES'!A$3:A$42,MATCH(LARGE(IF('DONNÉES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D18" t="str" cm="1">
        <f t="array" ref="D18">IFERROR(IF(8&gt;COUNTIF('DONNÉES BRUTES'!C$3:C$42,"Serv. Publ."),"",INDEX('DONNÉES BRUTES'!B$3:B$42,MATCH(LARGE(IF('DONNÉES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E18" t="str" cm="1">
        <f t="array" ref="E18">IFERROR(IF(8&gt;COUNTIF('DONNÉES BRUTES'!C$3:C$42,"Serv. Publ."),"",INT(LARGE(IF('DONNÉES BRUTES'!C$3:C$42="Serv. Publ.",'DONNÉES BRUTES'!AB$3:AB$42+(ROW('DONNÉES BRUTES'!A$3:A$42)-ROW('DONNÉES BRUTES'!A$3))/1000,0),8))&amp;"/100"),"—")</f>
        <v/>
      </c>
      <c r="F18" t="str" cm="1">
        <f t="array" ref="F18">IFERROR(IF(8&gt;COUNTIF('DONNÉES BRUTES'!C$3:C$42,"Serv. Publ."),"",INDEX('DONNÉES BRUTES'!Y$3:Y$42,MATCH(LARGE(IF('DONNÉES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G18" t="str" cm="1">
        <f t="array" ref="G18">IFERROR(IF(8&gt;COUNTIF('DONNÉES BRUTES'!C$3:C$42,"Serv. Publ."),"",INDEX('DONNÉES BRUTES'!Z$3:Z$42,MATCH(LARGE(IF('DONNÉES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H18" t="str" cm="1">
        <f t="array" ref="H18">IFERROR(IF(8&gt;COUNTIF('DONNÉES BRUTES'!C$3:C$42,"Serv. Publ."),"",INDEX('DONNÉES BRUTES'!AA$3:AA$42,MATCH(LARGE(IF('DONNÉES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I18" t="str" cm="1">
        <f t="array" ref="I18">IFERROR(IF(8&gt;COUNTIF('DONNÉES BRUTES'!C$3:C$42,"Serv. Publ."),"",INDEX('DONNÉES BRUTES'!M$3:M$42,MATCH(LARGE(IF('DONNÉES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J18" t="str" cm="1">
        <f t="array" ref="J18">IFERROR(IF(8&gt;COUNTIF('DONNÉES BRUTES'!C$3:C$42,"Serv. Publ."),"",INDEX('DONNÉES BRUTES'!N$3:N$42,MATCH(LARGE(IF('DONNÉES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K18" t="str" cm="1">
        <f t="array" ref="K18">IFERROR(IF(8&gt;COUNTIF('DONNÉES BRUTES'!C$3:C$42,"Serv. Publ."),"",INDEX('DONNÉES BRUTES'!O$3:O$42,MATCH(LARGE(IF('DONNÉES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L18" t="str" cm="1">
        <f t="array" ref="L18">IFERROR(IF(8&gt;COUNTIF('DONNÉES BRUTES'!C$3:C$42,"Serv. Publ."),"",INDEX('DONNÉES BRUTES'!P$3:P$42,MATCH(LARGE(IF('DONNÉES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M18" t="str" cm="1">
        <f t="array" ref="M18">IFERROR(IF(8&gt;COUNTIF('DONNÉES BRUTES'!C$3:C$42,"Serv. Publ."),"",INDEX('DONNÉES BRUTES'!Q$3:Q$42,MATCH(LARGE(IF('DONNÉES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N18" t="str" cm="1">
        <f t="array" ref="N18">IFERROR(IF(8&gt;COUNTIF('DONNÉES BRUTES'!C$3:C$42,"Serv. Publ."),"",INDEX('DONNÉES BRUTES'!S$3:S$42,MATCH(LARGE(IF('DONNÉES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O18" t="str" cm="1">
        <f t="array" ref="O18">IFERROR(IF(8&gt;COUNTIF('DONNÉES BRUTES'!C$3:C$42,"Serv. Publ."),"",INDEX('DONNÉES BRUTES'!T$3:T$42,MATCH(LARGE(IF('DONNÉES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P18" t="str" cm="1">
        <f t="array" ref="P18">IFERROR(IF(8&gt;COUNTIF('DONNÉES BRUTES'!C$3:C$42,"Serv. Publ."),"",INDEX('DONNÉES BRUTES'!U$3:U$42,MATCH(LARGE(IF('DONNÉES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  <c r="Q18" t="str" cm="1">
        <f t="array" ref="Q18">IFERROR(IF(8&gt;COUNTIF('DONNÉES BRUTES'!C$3:C$42,"Serv. Publ."),"",INDEX('DONNÉES BRUTES'!AD$3:AD$42,MATCH(LARGE(IF('DONNÉES BRUTES'!C$3:C$42="Serv. Publ.",'DONNÉES BRUTES'!AB$3:AB$42+(ROW('DONNÉES BRUTES'!A$3:A$42)-ROW('DONNÉES BRUTES'!A$3))/1000,0),8),IF('DONNÉES BRUTES'!C$3:C$42="Serv. Publ.",'DONNÉES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BRUTES'!C$3:C$42,"Serv. Publ."),"",INDEX('DONNÉES BRUTES'!A$3:A$42,MATCH(LARGE(IF('DONNÉES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D19" t="str" cm="1">
        <f t="array" ref="D19">IFERROR(IF(9&gt;COUNTIF('DONNÉES BRUTES'!C$3:C$42,"Serv. Publ."),"",INDEX('DONNÉES BRUTES'!B$3:B$42,MATCH(LARGE(IF('DONNÉES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E19" t="str" cm="1">
        <f t="array" ref="E19">IFERROR(IF(9&gt;COUNTIF('DONNÉES BRUTES'!C$3:C$42,"Serv. Publ."),"",INT(LARGE(IF('DONNÉES BRUTES'!C$3:C$42="Serv. Publ.",'DONNÉES BRUTES'!AB$3:AB$42+(ROW('DONNÉES BRUTES'!A$3:A$42)-ROW('DONNÉES BRUTES'!A$3))/1000,0),9))&amp;"/100"),"—")</f>
        <v/>
      </c>
      <c r="F19" t="str" cm="1">
        <f t="array" ref="F19">IFERROR(IF(9&gt;COUNTIF('DONNÉES BRUTES'!C$3:C$42,"Serv. Publ."),"",INDEX('DONNÉES BRUTES'!Y$3:Y$42,MATCH(LARGE(IF('DONNÉES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G19" t="str" cm="1">
        <f t="array" ref="G19">IFERROR(IF(9&gt;COUNTIF('DONNÉES BRUTES'!C$3:C$42,"Serv. Publ."),"",INDEX('DONNÉES BRUTES'!Z$3:Z$42,MATCH(LARGE(IF('DONNÉES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H19" t="str" cm="1">
        <f t="array" ref="H19">IFERROR(IF(9&gt;COUNTIF('DONNÉES BRUTES'!C$3:C$42,"Serv. Publ."),"",INDEX('DONNÉES BRUTES'!AA$3:AA$42,MATCH(LARGE(IF('DONNÉES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I19" t="str" cm="1">
        <f t="array" ref="I19">IFERROR(IF(9&gt;COUNTIF('DONNÉES BRUTES'!C$3:C$42,"Serv. Publ."),"",INDEX('DONNÉES BRUTES'!M$3:M$42,MATCH(LARGE(IF('DONNÉES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J19" t="str" cm="1">
        <f t="array" ref="J19">IFERROR(IF(9&gt;COUNTIF('DONNÉES BRUTES'!C$3:C$42,"Serv. Publ."),"",INDEX('DONNÉES BRUTES'!N$3:N$42,MATCH(LARGE(IF('DONNÉES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K19" t="str" cm="1">
        <f t="array" ref="K19">IFERROR(IF(9&gt;COUNTIF('DONNÉES BRUTES'!C$3:C$42,"Serv. Publ."),"",INDEX('DONNÉES BRUTES'!O$3:O$42,MATCH(LARGE(IF('DONNÉES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L19" t="str" cm="1">
        <f t="array" ref="L19">IFERROR(IF(9&gt;COUNTIF('DONNÉES BRUTES'!C$3:C$42,"Serv. Publ."),"",INDEX('DONNÉES BRUTES'!P$3:P$42,MATCH(LARGE(IF('DONNÉES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M19" t="str" cm="1">
        <f t="array" ref="M19">IFERROR(IF(9&gt;COUNTIF('DONNÉES BRUTES'!C$3:C$42,"Serv. Publ."),"",INDEX('DONNÉES BRUTES'!Q$3:Q$42,MATCH(LARGE(IF('DONNÉES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N19" t="str" cm="1">
        <f t="array" ref="N19">IFERROR(IF(9&gt;COUNTIF('DONNÉES BRUTES'!C$3:C$42,"Serv. Publ."),"",INDEX('DONNÉES BRUTES'!S$3:S$42,MATCH(LARGE(IF('DONNÉES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O19" t="str" cm="1">
        <f t="array" ref="O19">IFERROR(IF(9&gt;COUNTIF('DONNÉES BRUTES'!C$3:C$42,"Serv. Publ."),"",INDEX('DONNÉES BRUTES'!T$3:T$42,MATCH(LARGE(IF('DONNÉES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P19" t="str" cm="1">
        <f t="array" ref="P19">IFERROR(IF(9&gt;COUNTIF('DONNÉES BRUTES'!C$3:C$42,"Serv. Publ."),"",INDEX('DONNÉES BRUTES'!U$3:U$42,MATCH(LARGE(IF('DONNÉES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  <c r="Q19" t="str" cm="1">
        <f t="array" ref="Q19">IFERROR(IF(9&gt;COUNTIF('DONNÉES BRUTES'!C$3:C$42,"Serv. Publ."),"",INDEX('DONNÉES BRUTES'!AD$3:AD$42,MATCH(LARGE(IF('DONNÉES BRUTES'!C$3:C$42="Serv. Publ.",'DONNÉES BRUTES'!AB$3:AB$42+(ROW('DONNÉES BRUTES'!A$3:A$42)-ROW('DONNÉES BRUTES'!A$3))/1000,0),9),IF('DONNÉES BRUTES'!C$3:C$42="Serv. Publ.",'DONNÉES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BRUTES'!C$3:C$42,"Serv. Publ."),"",INDEX('DONNÉES BRUTES'!A$3:A$42,MATCH(LARGE(IF('DONNÉES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D20" t="str" cm="1">
        <f t="array" ref="D20">IFERROR(IF(10&gt;COUNTIF('DONNÉES BRUTES'!C$3:C$42,"Serv. Publ."),"",INDEX('DONNÉES BRUTES'!B$3:B$42,MATCH(LARGE(IF('DONNÉES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E20" t="str" cm="1">
        <f t="array" ref="E20">IFERROR(IF(10&gt;COUNTIF('DONNÉES BRUTES'!C$3:C$42,"Serv. Publ."),"",INT(LARGE(IF('DONNÉES BRUTES'!C$3:C$42="Serv. Publ.",'DONNÉES BRUTES'!AB$3:AB$42+(ROW('DONNÉES BRUTES'!A$3:A$42)-ROW('DONNÉES BRUTES'!A$3))/1000,0),10))&amp;"/100"),"—")</f>
        <v/>
      </c>
      <c r="F20" t="str" cm="1">
        <f t="array" ref="F20">IFERROR(IF(10&gt;COUNTIF('DONNÉES BRUTES'!C$3:C$42,"Serv. Publ."),"",INDEX('DONNÉES BRUTES'!Y$3:Y$42,MATCH(LARGE(IF('DONNÉES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G20" t="str" cm="1">
        <f t="array" ref="G20">IFERROR(IF(10&gt;COUNTIF('DONNÉES BRUTES'!C$3:C$42,"Serv. Publ."),"",INDEX('DONNÉES BRUTES'!Z$3:Z$42,MATCH(LARGE(IF('DONNÉES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H20" t="str" cm="1">
        <f t="array" ref="H20">IFERROR(IF(10&gt;COUNTIF('DONNÉES BRUTES'!C$3:C$42,"Serv. Publ."),"",INDEX('DONNÉES BRUTES'!AA$3:AA$42,MATCH(LARGE(IF('DONNÉES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I20" t="str" cm="1">
        <f t="array" ref="I20">IFERROR(IF(10&gt;COUNTIF('DONNÉES BRUTES'!C$3:C$42,"Serv. Publ."),"",INDEX('DONNÉES BRUTES'!M$3:M$42,MATCH(LARGE(IF('DONNÉES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J20" t="str" cm="1">
        <f t="array" ref="J20">IFERROR(IF(10&gt;COUNTIF('DONNÉES BRUTES'!C$3:C$42,"Serv. Publ."),"",INDEX('DONNÉES BRUTES'!N$3:N$42,MATCH(LARGE(IF('DONNÉES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K20" t="str" cm="1">
        <f t="array" ref="K20">IFERROR(IF(10&gt;COUNTIF('DONNÉES BRUTES'!C$3:C$42,"Serv. Publ."),"",INDEX('DONNÉES BRUTES'!O$3:O$42,MATCH(LARGE(IF('DONNÉES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L20" t="str" cm="1">
        <f t="array" ref="L20">IFERROR(IF(10&gt;COUNTIF('DONNÉES BRUTES'!C$3:C$42,"Serv. Publ."),"",INDEX('DONNÉES BRUTES'!P$3:P$42,MATCH(LARGE(IF('DONNÉES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M20" t="str" cm="1">
        <f t="array" ref="M20">IFERROR(IF(10&gt;COUNTIF('DONNÉES BRUTES'!C$3:C$42,"Serv. Publ."),"",INDEX('DONNÉES BRUTES'!Q$3:Q$42,MATCH(LARGE(IF('DONNÉES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N20" t="str" cm="1">
        <f t="array" ref="N20">IFERROR(IF(10&gt;COUNTIF('DONNÉES BRUTES'!C$3:C$42,"Serv. Publ."),"",INDEX('DONNÉES BRUTES'!S$3:S$42,MATCH(LARGE(IF('DONNÉES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O20" t="str" cm="1">
        <f t="array" ref="O20">IFERROR(IF(10&gt;COUNTIF('DONNÉES BRUTES'!C$3:C$42,"Serv. Publ."),"",INDEX('DONNÉES BRUTES'!T$3:T$42,MATCH(LARGE(IF('DONNÉES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P20" t="str" cm="1">
        <f t="array" ref="P20">IFERROR(IF(10&gt;COUNTIF('DONNÉES BRUTES'!C$3:C$42,"Serv. Publ."),"",INDEX('DONNÉES BRUTES'!U$3:U$42,MATCH(LARGE(IF('DONNÉES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  <c r="Q20" t="str" cm="1">
        <f t="array" ref="Q20">IFERROR(IF(10&gt;COUNTIF('DONNÉES BRUTES'!C$3:C$42,"Serv. Publ."),"",INDEX('DONNÉES BRUTES'!AD$3:AD$42,MATCH(LARGE(IF('DONNÉES BRUTES'!C$3:C$42="Serv. Publ.",'DONNÉES BRUTES'!AB$3:AB$42+(ROW('DONNÉES BRUTES'!A$3:A$42)-ROW('DONNÉES BRUTES'!A$3))/1000,0),10),IF('DONNÉES BRUTES'!C$3:C$42="Serv. Publ.",'DONNÉES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BRUTES'!C$3:C$42,"Serv. Publ."),"",INDEX('DONNÉES BRUTES'!A$3:A$42,MATCH(LARGE(IF('DONNÉES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D21" t="str" cm="1">
        <f t="array" ref="D21">IFERROR(IF(11&gt;COUNTIF('DONNÉES BRUTES'!C$3:C$42,"Serv. Publ."),"",INDEX('DONNÉES BRUTES'!B$3:B$42,MATCH(LARGE(IF('DONNÉES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E21" t="str" cm="1">
        <f t="array" ref="E21">IFERROR(IF(11&gt;COUNTIF('DONNÉES BRUTES'!C$3:C$42,"Serv. Publ."),"",INT(LARGE(IF('DONNÉES BRUTES'!C$3:C$42="Serv. Publ.",'DONNÉES BRUTES'!AB$3:AB$42+(ROW('DONNÉES BRUTES'!A$3:A$42)-ROW('DONNÉES BRUTES'!A$3))/1000,0),11))&amp;"/100"),"—")</f>
        <v/>
      </c>
      <c r="F21" t="str" cm="1">
        <f t="array" ref="F21">IFERROR(IF(11&gt;COUNTIF('DONNÉES BRUTES'!C$3:C$42,"Serv. Publ."),"",INDEX('DONNÉES BRUTES'!Y$3:Y$42,MATCH(LARGE(IF('DONNÉES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G21" t="str" cm="1">
        <f t="array" ref="G21">IFERROR(IF(11&gt;COUNTIF('DONNÉES BRUTES'!C$3:C$42,"Serv. Publ."),"",INDEX('DONNÉES BRUTES'!Z$3:Z$42,MATCH(LARGE(IF('DONNÉES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H21" t="str" cm="1">
        <f t="array" ref="H21">IFERROR(IF(11&gt;COUNTIF('DONNÉES BRUTES'!C$3:C$42,"Serv. Publ."),"",INDEX('DONNÉES BRUTES'!AA$3:AA$42,MATCH(LARGE(IF('DONNÉES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I21" t="str" cm="1">
        <f t="array" ref="I21">IFERROR(IF(11&gt;COUNTIF('DONNÉES BRUTES'!C$3:C$42,"Serv. Publ."),"",INDEX('DONNÉES BRUTES'!M$3:M$42,MATCH(LARGE(IF('DONNÉES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J21" t="str" cm="1">
        <f t="array" ref="J21">IFERROR(IF(11&gt;COUNTIF('DONNÉES BRUTES'!C$3:C$42,"Serv. Publ."),"",INDEX('DONNÉES BRUTES'!N$3:N$42,MATCH(LARGE(IF('DONNÉES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K21" t="str" cm="1">
        <f t="array" ref="K21">IFERROR(IF(11&gt;COUNTIF('DONNÉES BRUTES'!C$3:C$42,"Serv. Publ."),"",INDEX('DONNÉES BRUTES'!O$3:O$42,MATCH(LARGE(IF('DONNÉES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L21" t="str" cm="1">
        <f t="array" ref="L21">IFERROR(IF(11&gt;COUNTIF('DONNÉES BRUTES'!C$3:C$42,"Serv. Publ."),"",INDEX('DONNÉES BRUTES'!P$3:P$42,MATCH(LARGE(IF('DONNÉES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M21" t="str" cm="1">
        <f t="array" ref="M21">IFERROR(IF(11&gt;COUNTIF('DONNÉES BRUTES'!C$3:C$42,"Serv. Publ."),"",INDEX('DONNÉES BRUTES'!Q$3:Q$42,MATCH(LARGE(IF('DONNÉES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N21" t="str" cm="1">
        <f t="array" ref="N21">IFERROR(IF(11&gt;COUNTIF('DONNÉES BRUTES'!C$3:C$42,"Serv. Publ."),"",INDEX('DONNÉES BRUTES'!S$3:S$42,MATCH(LARGE(IF('DONNÉES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O21" t="str" cm="1">
        <f t="array" ref="O21">IFERROR(IF(11&gt;COUNTIF('DONNÉES BRUTES'!C$3:C$42,"Serv. Publ."),"",INDEX('DONNÉES BRUTES'!T$3:T$42,MATCH(LARGE(IF('DONNÉES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P21" t="str" cm="1">
        <f t="array" ref="P21">IFERROR(IF(11&gt;COUNTIF('DONNÉES BRUTES'!C$3:C$42,"Serv. Publ."),"",INDEX('DONNÉES BRUTES'!U$3:U$42,MATCH(LARGE(IF('DONNÉES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  <c r="Q21" t="str" cm="1">
        <f t="array" ref="Q21">IFERROR(IF(11&gt;COUNTIF('DONNÉES BRUTES'!C$3:C$42,"Serv. Publ."),"",INDEX('DONNÉES BRUTES'!AD$3:AD$42,MATCH(LARGE(IF('DONNÉES BRUTES'!C$3:C$42="Serv. Publ.",'DONNÉES BRUTES'!AB$3:AB$42+(ROW('DONNÉES BRUTES'!A$3:A$42)-ROW('DONNÉES BRUTES'!A$3))/1000,0),11),IF('DONNÉES BRUTES'!C$3:C$42="Serv. Publ.",'DONNÉES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BRUTES'!C$3:C$42,"Serv. Publ."),"",INDEX('DONNÉES BRUTES'!A$3:A$42,MATCH(LARGE(IF('DONNÉES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D22" t="str" cm="1">
        <f t="array" ref="D22">IFERROR(IF(12&gt;COUNTIF('DONNÉES BRUTES'!C$3:C$42,"Serv. Publ."),"",INDEX('DONNÉES BRUTES'!B$3:B$42,MATCH(LARGE(IF('DONNÉES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E22" t="str" cm="1">
        <f t="array" ref="E22">IFERROR(IF(12&gt;COUNTIF('DONNÉES BRUTES'!C$3:C$42,"Serv. Publ."),"",INT(LARGE(IF('DONNÉES BRUTES'!C$3:C$42="Serv. Publ.",'DONNÉES BRUTES'!AB$3:AB$42+(ROW('DONNÉES BRUTES'!A$3:A$42)-ROW('DONNÉES BRUTES'!A$3))/1000,0),12))&amp;"/100"),"—")</f>
        <v/>
      </c>
      <c r="F22" t="str" cm="1">
        <f t="array" ref="F22">IFERROR(IF(12&gt;COUNTIF('DONNÉES BRUTES'!C$3:C$42,"Serv. Publ."),"",INDEX('DONNÉES BRUTES'!Y$3:Y$42,MATCH(LARGE(IF('DONNÉES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G22" t="str" cm="1">
        <f t="array" ref="G22">IFERROR(IF(12&gt;COUNTIF('DONNÉES BRUTES'!C$3:C$42,"Serv. Publ."),"",INDEX('DONNÉES BRUTES'!Z$3:Z$42,MATCH(LARGE(IF('DONNÉES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H22" t="str" cm="1">
        <f t="array" ref="H22">IFERROR(IF(12&gt;COUNTIF('DONNÉES BRUTES'!C$3:C$42,"Serv. Publ."),"",INDEX('DONNÉES BRUTES'!AA$3:AA$42,MATCH(LARGE(IF('DONNÉES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I22" t="str" cm="1">
        <f t="array" ref="I22">IFERROR(IF(12&gt;COUNTIF('DONNÉES BRUTES'!C$3:C$42,"Serv. Publ."),"",INDEX('DONNÉES BRUTES'!M$3:M$42,MATCH(LARGE(IF('DONNÉES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J22" t="str" cm="1">
        <f t="array" ref="J22">IFERROR(IF(12&gt;COUNTIF('DONNÉES BRUTES'!C$3:C$42,"Serv. Publ."),"",INDEX('DONNÉES BRUTES'!N$3:N$42,MATCH(LARGE(IF('DONNÉES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K22" t="str" cm="1">
        <f t="array" ref="K22">IFERROR(IF(12&gt;COUNTIF('DONNÉES BRUTES'!C$3:C$42,"Serv. Publ."),"",INDEX('DONNÉES BRUTES'!O$3:O$42,MATCH(LARGE(IF('DONNÉES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L22" t="str" cm="1">
        <f t="array" ref="L22">IFERROR(IF(12&gt;COUNTIF('DONNÉES BRUTES'!C$3:C$42,"Serv. Publ."),"",INDEX('DONNÉES BRUTES'!P$3:P$42,MATCH(LARGE(IF('DONNÉES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M22" t="str" cm="1">
        <f t="array" ref="M22">IFERROR(IF(12&gt;COUNTIF('DONNÉES BRUTES'!C$3:C$42,"Serv. Publ."),"",INDEX('DONNÉES BRUTES'!Q$3:Q$42,MATCH(LARGE(IF('DONNÉES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N22" t="str" cm="1">
        <f t="array" ref="N22">IFERROR(IF(12&gt;COUNTIF('DONNÉES BRUTES'!C$3:C$42,"Serv. Publ."),"",INDEX('DONNÉES BRUTES'!S$3:S$42,MATCH(LARGE(IF('DONNÉES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O22" t="str" cm="1">
        <f t="array" ref="O22">IFERROR(IF(12&gt;COUNTIF('DONNÉES BRUTES'!C$3:C$42,"Serv. Publ."),"",INDEX('DONNÉES BRUTES'!T$3:T$42,MATCH(LARGE(IF('DONNÉES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P22" t="str" cm="1">
        <f t="array" ref="P22">IFERROR(IF(12&gt;COUNTIF('DONNÉES BRUTES'!C$3:C$42,"Serv. Publ."),"",INDEX('DONNÉES BRUTES'!U$3:U$42,MATCH(LARGE(IF('DONNÉES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  <c r="Q22" t="str" cm="1">
        <f t="array" ref="Q22">IFERROR(IF(12&gt;COUNTIF('DONNÉES BRUTES'!C$3:C$42,"Serv. Publ."),"",INDEX('DONNÉES BRUTES'!AD$3:AD$42,MATCH(LARGE(IF('DONNÉES BRUTES'!C$3:C$42="Serv. Publ.",'DONNÉES BRUTES'!AB$3:AB$42+(ROW('DONNÉES BRUTES'!A$3:A$42)-ROW('DONNÉES BRUTES'!A$3))/1000,0),12),IF('DONNÉES BRUTES'!C$3:C$42="Serv. Publ.",'DONNÉES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BRUTES'!C$3:C$42,"Serv. Publ."),"",INDEX('DONNÉES BRUTES'!A$3:A$42,MATCH(LARGE(IF('DONNÉES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D23" t="str" cm="1">
        <f t="array" ref="D23">IFERROR(IF(13&gt;COUNTIF('DONNÉES BRUTES'!C$3:C$42,"Serv. Publ."),"",INDEX('DONNÉES BRUTES'!B$3:B$42,MATCH(LARGE(IF('DONNÉES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E23" t="str" cm="1">
        <f t="array" ref="E23">IFERROR(IF(13&gt;COUNTIF('DONNÉES BRUTES'!C$3:C$42,"Serv. Publ."),"",INT(LARGE(IF('DONNÉES BRUTES'!C$3:C$42="Serv. Publ.",'DONNÉES BRUTES'!AB$3:AB$42+(ROW('DONNÉES BRUTES'!A$3:A$42)-ROW('DONNÉES BRUTES'!A$3))/1000,0),13))&amp;"/100"),"—")</f>
        <v/>
      </c>
      <c r="F23" t="str" cm="1">
        <f t="array" ref="F23">IFERROR(IF(13&gt;COUNTIF('DONNÉES BRUTES'!C$3:C$42,"Serv. Publ."),"",INDEX('DONNÉES BRUTES'!Y$3:Y$42,MATCH(LARGE(IF('DONNÉES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G23" t="str" cm="1">
        <f t="array" ref="G23">IFERROR(IF(13&gt;COUNTIF('DONNÉES BRUTES'!C$3:C$42,"Serv. Publ."),"",INDEX('DONNÉES BRUTES'!Z$3:Z$42,MATCH(LARGE(IF('DONNÉES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H23" t="str" cm="1">
        <f t="array" ref="H23">IFERROR(IF(13&gt;COUNTIF('DONNÉES BRUTES'!C$3:C$42,"Serv. Publ."),"",INDEX('DONNÉES BRUTES'!AA$3:AA$42,MATCH(LARGE(IF('DONNÉES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I23" t="str" cm="1">
        <f t="array" ref="I23">IFERROR(IF(13&gt;COUNTIF('DONNÉES BRUTES'!C$3:C$42,"Serv. Publ."),"",INDEX('DONNÉES BRUTES'!M$3:M$42,MATCH(LARGE(IF('DONNÉES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J23" t="str" cm="1">
        <f t="array" ref="J23">IFERROR(IF(13&gt;COUNTIF('DONNÉES BRUTES'!C$3:C$42,"Serv. Publ."),"",INDEX('DONNÉES BRUTES'!N$3:N$42,MATCH(LARGE(IF('DONNÉES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K23" t="str" cm="1">
        <f t="array" ref="K23">IFERROR(IF(13&gt;COUNTIF('DONNÉES BRUTES'!C$3:C$42,"Serv. Publ."),"",INDEX('DONNÉES BRUTES'!O$3:O$42,MATCH(LARGE(IF('DONNÉES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L23" t="str" cm="1">
        <f t="array" ref="L23">IFERROR(IF(13&gt;COUNTIF('DONNÉES BRUTES'!C$3:C$42,"Serv. Publ."),"",INDEX('DONNÉES BRUTES'!P$3:P$42,MATCH(LARGE(IF('DONNÉES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M23" t="str" cm="1">
        <f t="array" ref="M23">IFERROR(IF(13&gt;COUNTIF('DONNÉES BRUTES'!C$3:C$42,"Serv. Publ."),"",INDEX('DONNÉES BRUTES'!Q$3:Q$42,MATCH(LARGE(IF('DONNÉES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N23" t="str" cm="1">
        <f t="array" ref="N23">IFERROR(IF(13&gt;COUNTIF('DONNÉES BRUTES'!C$3:C$42,"Serv. Publ."),"",INDEX('DONNÉES BRUTES'!S$3:S$42,MATCH(LARGE(IF('DONNÉES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O23" t="str" cm="1">
        <f t="array" ref="O23">IFERROR(IF(13&gt;COUNTIF('DONNÉES BRUTES'!C$3:C$42,"Serv. Publ."),"",INDEX('DONNÉES BRUTES'!T$3:T$42,MATCH(LARGE(IF('DONNÉES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P23" t="str" cm="1">
        <f t="array" ref="P23">IFERROR(IF(13&gt;COUNTIF('DONNÉES BRUTES'!C$3:C$42,"Serv. Publ."),"",INDEX('DONNÉES BRUTES'!U$3:U$42,MATCH(LARGE(IF('DONNÉES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  <c r="Q23" t="str" cm="1">
        <f t="array" ref="Q23">IFERROR(IF(13&gt;COUNTIF('DONNÉES BRUTES'!C$3:C$42,"Serv. Publ."),"",INDEX('DONNÉES BRUTES'!AD$3:AD$42,MATCH(LARGE(IF('DONNÉES BRUTES'!C$3:C$42="Serv. Publ.",'DONNÉES BRUTES'!AB$3:AB$42+(ROW('DONNÉES BRUTES'!A$3:A$42)-ROW('DONNÉES BRUTES'!A$3))/1000,0),13),IF('DONNÉES BRUTES'!C$3:C$42="Serv. Publ.",'DONNÉES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BRUTES'!C$3:C$42,"Serv. Publ."),"",INDEX('DONNÉES BRUTES'!A$3:A$42,MATCH(LARGE(IF('DONNÉES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D24" t="str" cm="1">
        <f t="array" ref="D24">IFERROR(IF(14&gt;COUNTIF('DONNÉES BRUTES'!C$3:C$42,"Serv. Publ."),"",INDEX('DONNÉES BRUTES'!B$3:B$42,MATCH(LARGE(IF('DONNÉES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E24" t="str" cm="1">
        <f t="array" ref="E24">IFERROR(IF(14&gt;COUNTIF('DONNÉES BRUTES'!C$3:C$42,"Serv. Publ."),"",INT(LARGE(IF('DONNÉES BRUTES'!C$3:C$42="Serv. Publ.",'DONNÉES BRUTES'!AB$3:AB$42+(ROW('DONNÉES BRUTES'!A$3:A$42)-ROW('DONNÉES BRUTES'!A$3))/1000,0),14))&amp;"/100"),"—")</f>
        <v/>
      </c>
      <c r="F24" t="str" cm="1">
        <f t="array" ref="F24">IFERROR(IF(14&gt;COUNTIF('DONNÉES BRUTES'!C$3:C$42,"Serv. Publ."),"",INDEX('DONNÉES BRUTES'!Y$3:Y$42,MATCH(LARGE(IF('DONNÉES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G24" t="str" cm="1">
        <f t="array" ref="G24">IFERROR(IF(14&gt;COUNTIF('DONNÉES BRUTES'!C$3:C$42,"Serv. Publ."),"",INDEX('DONNÉES BRUTES'!Z$3:Z$42,MATCH(LARGE(IF('DONNÉES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H24" t="str" cm="1">
        <f t="array" ref="H24">IFERROR(IF(14&gt;COUNTIF('DONNÉES BRUTES'!C$3:C$42,"Serv. Publ."),"",INDEX('DONNÉES BRUTES'!AA$3:AA$42,MATCH(LARGE(IF('DONNÉES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I24" t="str" cm="1">
        <f t="array" ref="I24">IFERROR(IF(14&gt;COUNTIF('DONNÉES BRUTES'!C$3:C$42,"Serv. Publ."),"",INDEX('DONNÉES BRUTES'!M$3:M$42,MATCH(LARGE(IF('DONNÉES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J24" t="str" cm="1">
        <f t="array" ref="J24">IFERROR(IF(14&gt;COUNTIF('DONNÉES BRUTES'!C$3:C$42,"Serv. Publ."),"",INDEX('DONNÉES BRUTES'!N$3:N$42,MATCH(LARGE(IF('DONNÉES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K24" t="str" cm="1">
        <f t="array" ref="K24">IFERROR(IF(14&gt;COUNTIF('DONNÉES BRUTES'!C$3:C$42,"Serv. Publ."),"",INDEX('DONNÉES BRUTES'!O$3:O$42,MATCH(LARGE(IF('DONNÉES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L24" t="str" cm="1">
        <f t="array" ref="L24">IFERROR(IF(14&gt;COUNTIF('DONNÉES BRUTES'!C$3:C$42,"Serv. Publ."),"",INDEX('DONNÉES BRUTES'!P$3:P$42,MATCH(LARGE(IF('DONNÉES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M24" t="str" cm="1">
        <f t="array" ref="M24">IFERROR(IF(14&gt;COUNTIF('DONNÉES BRUTES'!C$3:C$42,"Serv. Publ."),"",INDEX('DONNÉES BRUTES'!Q$3:Q$42,MATCH(LARGE(IF('DONNÉES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N24" t="str" cm="1">
        <f t="array" ref="N24">IFERROR(IF(14&gt;COUNTIF('DONNÉES BRUTES'!C$3:C$42,"Serv. Publ."),"",INDEX('DONNÉES BRUTES'!S$3:S$42,MATCH(LARGE(IF('DONNÉES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O24" t="str" cm="1">
        <f t="array" ref="O24">IFERROR(IF(14&gt;COUNTIF('DONNÉES BRUTES'!C$3:C$42,"Serv. Publ."),"",INDEX('DONNÉES BRUTES'!T$3:T$42,MATCH(LARGE(IF('DONNÉES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P24" t="str" cm="1">
        <f t="array" ref="P24">IFERROR(IF(14&gt;COUNTIF('DONNÉES BRUTES'!C$3:C$42,"Serv. Publ."),"",INDEX('DONNÉES BRUTES'!U$3:U$42,MATCH(LARGE(IF('DONNÉES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  <c r="Q24" t="str" cm="1">
        <f t="array" ref="Q24">IFERROR(IF(14&gt;COUNTIF('DONNÉES BRUTES'!C$3:C$42,"Serv. Publ."),"",INDEX('DONNÉES BRUTES'!AD$3:AD$42,MATCH(LARGE(IF('DONNÉES BRUTES'!C$3:C$42="Serv. Publ.",'DONNÉES BRUTES'!AB$3:AB$42+(ROW('DONNÉES BRUTES'!A$3:A$42)-ROW('DONNÉES BRUTES'!A$3))/1000,0),14),IF('DONNÉES BRUTES'!C$3:C$42="Serv. Publ.",'DONNÉES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BRUTES'!C$3:C$42,"Serv. Publ."),"",INDEX('DONNÉES BRUTES'!A$3:A$42,MATCH(LARGE(IF('DONNÉES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D25" t="str" cm="1">
        <f t="array" ref="D25">IFERROR(IF(15&gt;COUNTIF('DONNÉES BRUTES'!C$3:C$42,"Serv. Publ."),"",INDEX('DONNÉES BRUTES'!B$3:B$42,MATCH(LARGE(IF('DONNÉES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E25" t="str" cm="1">
        <f t="array" ref="E25">IFERROR(IF(15&gt;COUNTIF('DONNÉES BRUTES'!C$3:C$42,"Serv. Publ."),"",INT(LARGE(IF('DONNÉES BRUTES'!C$3:C$42="Serv. Publ.",'DONNÉES BRUTES'!AB$3:AB$42+(ROW('DONNÉES BRUTES'!A$3:A$42)-ROW('DONNÉES BRUTES'!A$3))/1000,0),15))&amp;"/100"),"—")</f>
        <v/>
      </c>
      <c r="F25" t="str" cm="1">
        <f t="array" ref="F25">IFERROR(IF(15&gt;COUNTIF('DONNÉES BRUTES'!C$3:C$42,"Serv. Publ."),"",INDEX('DONNÉES BRUTES'!Y$3:Y$42,MATCH(LARGE(IF('DONNÉES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G25" t="str" cm="1">
        <f t="array" ref="G25">IFERROR(IF(15&gt;COUNTIF('DONNÉES BRUTES'!C$3:C$42,"Serv. Publ."),"",INDEX('DONNÉES BRUTES'!Z$3:Z$42,MATCH(LARGE(IF('DONNÉES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H25" t="str" cm="1">
        <f t="array" ref="H25">IFERROR(IF(15&gt;COUNTIF('DONNÉES BRUTES'!C$3:C$42,"Serv. Publ."),"",INDEX('DONNÉES BRUTES'!AA$3:AA$42,MATCH(LARGE(IF('DONNÉES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I25" t="str" cm="1">
        <f t="array" ref="I25">IFERROR(IF(15&gt;COUNTIF('DONNÉES BRUTES'!C$3:C$42,"Serv. Publ."),"",INDEX('DONNÉES BRUTES'!M$3:M$42,MATCH(LARGE(IF('DONNÉES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J25" t="str" cm="1">
        <f t="array" ref="J25">IFERROR(IF(15&gt;COUNTIF('DONNÉES BRUTES'!C$3:C$42,"Serv. Publ."),"",INDEX('DONNÉES BRUTES'!N$3:N$42,MATCH(LARGE(IF('DONNÉES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K25" t="str" cm="1">
        <f t="array" ref="K25">IFERROR(IF(15&gt;COUNTIF('DONNÉES BRUTES'!C$3:C$42,"Serv. Publ."),"",INDEX('DONNÉES BRUTES'!O$3:O$42,MATCH(LARGE(IF('DONNÉES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L25" t="str" cm="1">
        <f t="array" ref="L25">IFERROR(IF(15&gt;COUNTIF('DONNÉES BRUTES'!C$3:C$42,"Serv. Publ."),"",INDEX('DONNÉES BRUTES'!P$3:P$42,MATCH(LARGE(IF('DONNÉES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M25" t="str" cm="1">
        <f t="array" ref="M25">IFERROR(IF(15&gt;COUNTIF('DONNÉES BRUTES'!C$3:C$42,"Serv. Publ."),"",INDEX('DONNÉES BRUTES'!Q$3:Q$42,MATCH(LARGE(IF('DONNÉES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N25" t="str" cm="1">
        <f t="array" ref="N25">IFERROR(IF(15&gt;COUNTIF('DONNÉES BRUTES'!C$3:C$42,"Serv. Publ."),"",INDEX('DONNÉES BRUTES'!S$3:S$42,MATCH(LARGE(IF('DONNÉES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O25" t="str" cm="1">
        <f t="array" ref="O25">IFERROR(IF(15&gt;COUNTIF('DONNÉES BRUTES'!C$3:C$42,"Serv. Publ."),"",INDEX('DONNÉES BRUTES'!T$3:T$42,MATCH(LARGE(IF('DONNÉES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P25" t="str" cm="1">
        <f t="array" ref="P25">IFERROR(IF(15&gt;COUNTIF('DONNÉES BRUTES'!C$3:C$42,"Serv. Publ."),"",INDEX('DONNÉES BRUTES'!U$3:U$42,MATCH(LARGE(IF('DONNÉES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  <c r="Q25" t="str" cm="1">
        <f t="array" ref="Q25">IFERROR(IF(15&gt;COUNTIF('DONNÉES BRUTES'!C$3:C$42,"Serv. Publ."),"",INDEX('DONNÉES BRUTES'!AD$3:AD$42,MATCH(LARGE(IF('DONNÉES BRUTES'!C$3:C$42="Serv. Publ.",'DONNÉES BRUTES'!AB$3:AB$42+(ROW('DONNÉES BRUTES'!A$3:A$42)-ROW('DONNÉES BRUTES'!A$3))/1000,0),15),IF('DONNÉES BRUTES'!C$3:C$42="Serv. Publ.",'DONNÉES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s="160" t="s">
        <v>136</v>
      </c>
      <c r="V28" s="160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RWE Aktiengese</v>
      </c>
      <c r="T29" s="160">
        <f>IF(E11="","",IFERROR(VALUE(LEFT(E11,FIND("/",E11)-1)),0))</f>
        <v>60</v>
      </c>
      <c r="U29" s="160">
        <f>IF(ISNUMBER(F11),F11,0)</f>
        <v>37</v>
      </c>
      <c r="V29" s="160">
        <f>IF(ISNUMBER(G11),G11,0)</f>
        <v>66</v>
      </c>
      <c r="W29" s="160">
        <f>IF(ISNUMBER(H11),H11,0)</f>
        <v>96</v>
      </c>
      <c r="X29" s="160">
        <f>IF(ISNUMBER(F11),F11,"")</f>
        <v>37</v>
      </c>
      <c r="Y29" s="160">
        <f>IF(ISNUMBER(G11),G11,"")</f>
        <v>66</v>
      </c>
      <c r="Z29" s="160">
        <f>IF(ISNUMBER(H11),H11,"")</f>
        <v>96</v>
      </c>
      <c r="AA29" s="160">
        <v>95</v>
      </c>
      <c r="AB29" s="160">
        <v>21</v>
      </c>
    </row>
    <row r="30" spans="3:28" ht="15.9" customHeight="1" x14ac:dyDescent="0.3"/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AB31"/>
  <sheetViews>
    <sheetView showGridLines="0" zoomScaleNormal="100" workbookViewId="0">
      <selection activeCell="L5" sqref="L5"/>
    </sheetView>
  </sheetViews>
  <sheetFormatPr baseColWidth="10" defaultColWidth="8.88671875" defaultRowHeight="14.4" x14ac:dyDescent="0.3"/>
  <cols>
    <col min="1" max="1" width="1.5546875" customWidth="1"/>
    <col min="2" max="2" width="5.33203125" customWidth="1"/>
    <col min="3" max="3" width="10.44140625" customWidth="1"/>
    <col min="4" max="4" width="21.88671875" customWidth="1"/>
    <col min="5" max="5" width="10.44140625" customWidth="1"/>
    <col min="6" max="8" width="5.33203125" customWidth="1"/>
    <col min="9" max="10" width="8" customWidth="1"/>
    <col min="11" max="11" width="7.33203125" customWidth="1"/>
    <col min="12" max="12" width="10.44140625" bestFit="1" customWidth="1"/>
    <col min="13" max="13" width="8" customWidth="1"/>
    <col min="14" max="14" width="6.44140625" customWidth="1"/>
    <col min="15" max="15" width="7.33203125" customWidth="1"/>
    <col min="16" max="16" width="6.44140625" customWidth="1"/>
    <col min="17" max="17" width="14" bestFit="1" customWidth="1"/>
  </cols>
  <sheetData>
    <row r="1" spans="2:17" ht="30" customHeight="1" x14ac:dyDescent="0.3">
      <c r="B1" s="204" t="str">
        <f>"FinSight IA  ·  Consumer Defensive  ·  CAC 40  ·  "&amp;COUNTIF('DONNÉES BRUTES'!C$3:C$42,"Conso. Déf.")&amp;" sociétés  ·  12/04/2026"</f>
        <v>FinSight IA  ·  Consumer Defensive  ·  CAC 40  ·  4 sociétés  ·  12/04/2026</v>
      </c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  <c r="O1" s="203"/>
      <c r="P1" s="203"/>
      <c r="Q1" s="203"/>
    </row>
    <row r="2" spans="2:17" ht="18" customHeight="1" x14ac:dyDescent="0.3">
      <c r="B2" s="207" t="s">
        <v>407</v>
      </c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</row>
    <row r="3" spans="2:17" ht="8.1" customHeight="1" x14ac:dyDescent="0.3"/>
    <row r="4" spans="2:17" ht="8.1" customHeight="1" x14ac:dyDescent="0.3"/>
    <row r="5" spans="2:17" ht="39.9" customHeight="1" x14ac:dyDescent="0.3">
      <c r="B5" s="177"/>
      <c r="C5" s="168">
        <v>4</v>
      </c>
      <c r="D5" s="177"/>
      <c r="E5" s="175" t="s">
        <v>370</v>
      </c>
      <c r="F5" s="175"/>
      <c r="G5" s="175"/>
      <c r="H5" s="171" t="str" cm="1">
        <f t="array" ref="H5">IFERROR(INDEX('DONNÉES BRUTES'!B$3:B$42,MATCH(LARGE(IF('DONNÉES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BRUTES'!A$3))/1000,0),0)),"—")</f>
        <v>L'Oréal S.A.</v>
      </c>
      <c r="I5" s="175"/>
      <c r="J5" s="175"/>
      <c r="K5" s="175"/>
      <c r="L5" s="211">
        <v>0.28299999999999997</v>
      </c>
      <c r="M5" s="175"/>
      <c r="N5" s="173" cm="1">
        <f t="array" ref="N5">IFERROR(ROUND(MEDIAN(IF('DONNÉES BRUTES'!C$3:C$42="Conso. Déf.",IF(ISNUMBER('DONNÉES BRUTES'!Y$3:Y$42),'DONNÉES BRUTES'!Y$3:Y$42))),0),"—")</f>
        <v>53</v>
      </c>
      <c r="O5" s="175"/>
      <c r="P5" s="174" t="s">
        <v>593</v>
      </c>
      <c r="Q5" s="175"/>
    </row>
    <row r="6" spans="2:17" ht="15.9" customHeight="1" x14ac:dyDescent="0.3">
      <c r="B6" s="177"/>
      <c r="C6" s="170" t="s">
        <v>408</v>
      </c>
      <c r="D6" s="170"/>
      <c r="E6" s="169" t="s">
        <v>409</v>
      </c>
      <c r="F6" s="169"/>
      <c r="G6" s="169"/>
      <c r="H6" s="172" t="s">
        <v>410</v>
      </c>
      <c r="I6" s="169"/>
      <c r="J6" s="169"/>
      <c r="K6" s="170"/>
      <c r="L6" s="169" t="s">
        <v>382</v>
      </c>
      <c r="M6" s="170"/>
      <c r="N6" s="169" t="s">
        <v>411</v>
      </c>
      <c r="O6" s="170"/>
      <c r="P6" s="169" t="s">
        <v>3</v>
      </c>
      <c r="Q6" s="169"/>
    </row>
    <row r="7" spans="2:17" ht="8.1" customHeight="1" x14ac:dyDescent="0.3"/>
    <row r="8" spans="2:17" ht="21.9" customHeight="1" x14ac:dyDescent="0.3">
      <c r="B8" s="205" t="str">
        <f>"ANALYSE DÉTAILLÉE  ·  "&amp;UPPER("Conso. Déf.")&amp;"  ·  "&amp;COUNTIF('DONNÉES BRUTES'!C$3:C$42,"Conso. Déf.")&amp;" sociétés  ·  Triée par Score Global"</f>
        <v>ANALYSE DÉTAILLÉE  ·  CONSO. DÉF.  ·  4 sociétés  ·  Triée par Score Global</v>
      </c>
      <c r="C8" s="203"/>
      <c r="D8" s="203"/>
      <c r="E8" s="203"/>
      <c r="F8" s="203"/>
      <c r="G8" s="203"/>
      <c r="H8" s="203"/>
      <c r="I8" s="203"/>
      <c r="J8" s="203"/>
      <c r="K8" s="203"/>
      <c r="L8" s="203"/>
      <c r="M8" s="203"/>
      <c r="N8" s="203"/>
      <c r="O8" s="203"/>
      <c r="P8" s="203"/>
      <c r="Q8" s="203"/>
    </row>
    <row r="9" spans="2:17" ht="6" customHeight="1" x14ac:dyDescent="0.3"/>
    <row r="10" spans="2:17" ht="20.100000000000001" customHeight="1" x14ac:dyDescent="0.3">
      <c r="B10" s="308" t="s">
        <v>133</v>
      </c>
      <c r="C10" s="309" t="s">
        <v>6</v>
      </c>
      <c r="D10" s="309" t="s">
        <v>1</v>
      </c>
      <c r="E10" s="310" t="s">
        <v>8</v>
      </c>
      <c r="F10" s="310" t="s">
        <v>412</v>
      </c>
      <c r="G10" s="310" t="s">
        <v>413</v>
      </c>
      <c r="H10" s="310" t="s">
        <v>414</v>
      </c>
      <c r="I10" s="310" t="s">
        <v>415</v>
      </c>
      <c r="J10" s="310" t="s">
        <v>340</v>
      </c>
      <c r="K10" s="310" t="s">
        <v>416</v>
      </c>
      <c r="L10" s="310" t="s">
        <v>341</v>
      </c>
      <c r="M10" s="310" t="s">
        <v>147</v>
      </c>
      <c r="N10" s="310" t="s">
        <v>417</v>
      </c>
      <c r="O10" s="310" t="s">
        <v>418</v>
      </c>
      <c r="P10" s="310" t="s">
        <v>14</v>
      </c>
      <c r="Q10" s="311" t="s">
        <v>3</v>
      </c>
    </row>
    <row r="11" spans="2:17" ht="18" customHeight="1" x14ac:dyDescent="0.3">
      <c r="B11" s="405">
        <v>1</v>
      </c>
      <c r="C11" s="406" t="str" cm="1">
        <f t="array" ref="C11">IFERROR(IF(1&gt;COUNTIF('DONNÉES BRUTES'!C$3:C$42,"Conso. Déf."),"",INDEX('DONNÉES BRUTES'!A$3:A$42,MATCH(LARGE(IF('DONNÉES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OR.PA</v>
      </c>
      <c r="D11" s="406" t="str" cm="1">
        <f t="array" ref="D11">IFERROR(IF(1&gt;COUNTIF('DONNÉES BRUTES'!C$3:C$42,"Conso. Déf."),"",INDEX('DONNÉES BRUTES'!B$3:B$42,MATCH(LARGE(IF('DONNÉES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L'Oréal S.A.</v>
      </c>
      <c r="E11" s="406" t="str" cm="1">
        <f t="array" ref="E11">IFERROR(IF(1&gt;COUNTIF('DONNÉES BRUTES'!C$3:C$42,"Conso. Déf."),"",INT(LARGE(IF('DONNÉES BRUTES'!C$3:C$42="Conso. Déf.",'DONNÉES BRUTES'!AB$3:AB$42+(ROW('DONNÉES BRUTES'!A$3:A$42)-ROW('DONNÉES BRUTES'!A$3))/1000,0),1))&amp;"/100"),"—")</f>
        <v>56/100</v>
      </c>
      <c r="F11" s="406" cm="1">
        <f t="array" ref="F11">IFERROR(IF(1&gt;COUNTIF('DONNÉES BRUTES'!C$3:C$42,"Conso. Déf."),"",INDEX('DONNÉES BRUTES'!Y$3:Y$42,MATCH(LARGE(IF('DONNÉES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57</v>
      </c>
      <c r="G11" s="406" cm="1">
        <f t="array" ref="G11">IFERROR(IF(1&gt;COUNTIF('DONNÉES BRUTES'!C$3:C$42,"Conso. Déf."),"",INDEX('DONNÉES BRUTES'!Z$3:Z$42,MATCH(LARGE(IF('DONNÉES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72</v>
      </c>
      <c r="H11" s="406" cm="1">
        <f t="array" ref="H11">IFERROR(IF(1&gt;COUNTIF('DONNÉES BRUTES'!C$3:C$42,"Conso. Déf."),"",INDEX('DONNÉES BRUTES'!AA$3:AA$42,MATCH(LARGE(IF('DONNÉES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21</v>
      </c>
      <c r="I11" s="406" t="str" cm="1">
        <f t="array" ref="I11">IFERROR(IF(1&gt;COUNTIF('DONNÉES BRUTES'!C$3:C$42,"Conso. Déf."),"",INDEX('DONNÉES BRUTES'!M$3:M$42,MATCH(LARGE(IF('DONNÉES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74.3%</v>
      </c>
      <c r="J11" s="406" t="str" cm="1">
        <f t="array" ref="J11">IFERROR(IF(1&gt;COUNTIF('DONNÉES BRUTES'!C$3:C$42,"Conso. Déf."),"",INDEX('DONNÉES BRUTES'!N$3:N$42,MATCH(LARGE(IF('DONNÉES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24.3%</v>
      </c>
      <c r="K11" s="406" t="str" cm="1">
        <f t="array" ref="K11">IFERROR(IF(1&gt;COUNTIF('DONNÉES BRUTES'!C$3:C$42,"Conso. Déf."),"",INDEX('DONNÉES BRUTES'!O$3:O$42,MATCH(LARGE(IF('DONNÉES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13.9%</v>
      </c>
      <c r="L11" s="406" t="str" cm="1">
        <f t="array" ref="L11">IFERROR(IF(1&gt;COUNTIF('DONNÉES BRUTES'!C$3:C$42,"Conso. Déf."),"",INDEX('DONNÉES BRUTES'!P$3:P$42,MATCH(LARGE(IF('DONNÉES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+1.3%</v>
      </c>
      <c r="M11" s="406" t="str" cm="1">
        <f t="array" ref="M11">IFERROR(IF(1&gt;COUNTIF('DONNÉES BRUTES'!C$3:C$42,"Conso. Déf."),"",INDEX('DONNÉES BRUTES'!Q$3:Q$42,MATCH(LARGE(IF('DONNÉES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+17.5%</v>
      </c>
      <c r="N11" s="406" cm="1">
        <f t="array" ref="N11">IFERROR(IF(1&gt;COUNTIF('DONNÉES BRUTES'!C$3:C$42,"Conso. Déf."),"",INDEX('DONNÉES BRUTES'!S$3:S$42,MATCH(LARGE(IF('DONNÉES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1.44</v>
      </c>
      <c r="O11" s="406" t="str" cm="1">
        <f t="array" ref="O11">IFERROR(IF(1&gt;COUNTIF('DONNÉES BRUTES'!C$3:C$42,"Conso. Déf."),"",INDEX('DONNÉES BRUTES'!T$3:T$42,MATCH(LARGE(IF('DONNÉES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0.0x</v>
      </c>
      <c r="P11" s="406" cm="1">
        <f t="array" ref="P11">IFERROR(IF(1&gt;COUNTIF('DONNÉES BRUTES'!C$3:C$42,"Conso. Déf."),"",INDEX('DONNÉES BRUTES'!U$3:U$42,MATCH(LARGE(IF('DONNÉES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3.38</v>
      </c>
      <c r="Q11" s="407" t="str" cm="1">
        <f t="array" ref="Q11">IFERROR(IF(1&gt;COUNTIF('DONNÉES BRUTES'!C$3:C$42,"Conso. Déf."),"",INDEX('DONNÉES BRUTES'!AD$3:AD$42,MATCH(LARGE(IF('DONNÉES BRUTES'!C$3:C$42="Conso. Déf.",'DONNÉES BRUTES'!AB$3:AB$42+(ROW('DONNÉES BRUTES'!A$3:A$42)-ROW('DONNÉES BRUTES'!A$3))/1000,0),1),IF('DONNÉES BRUTES'!C$3:C$42="Conso. Déf.",'DONNÉES BRUTES'!AB$3:AB$42+(ROW('DONNÉES BRUTES'!A$3:A$42)-ROW('DONNÉES BRUTES'!A$3))/1000,0),0))),"—")</f>
        <v>Neutre</v>
      </c>
    </row>
    <row r="12" spans="2:17" ht="15.9" customHeight="1" x14ac:dyDescent="0.3">
      <c r="B12" s="408">
        <v>2</v>
      </c>
      <c r="C12" s="409" t="str" cm="1">
        <f t="array" ref="C12">IFERROR(IF(2&gt;COUNTIF('DONNÉES BRUTES'!C$3:C$42,"Conso. Déf."),"",INDEX('DONNÉES BRUTES'!A$3:A$42,MATCH(LARGE(IF('DONNÉES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ULVR.L</v>
      </c>
      <c r="D12" s="409" t="str" cm="1">
        <f t="array" ref="D12">IFERROR(IF(2&gt;COUNTIF('DONNÉES BRUTES'!C$3:C$42,"Conso. Déf."),"",INDEX('DONNÉES BRUTES'!B$3:B$42,MATCH(LARGE(IF('DONNÉES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Unilever PLC</v>
      </c>
      <c r="E12" s="409" t="str" cm="1">
        <f t="array" ref="E12">IFERROR(IF(2&gt;COUNTIF('DONNÉES BRUTES'!C$3:C$42,"Conso. Déf."),"",INT(LARGE(IF('DONNÉES BRUTES'!C$3:C$42="Conso. Déf.",'DONNÉES BRUTES'!AB$3:AB$42+(ROW('DONNÉES BRUTES'!A$3:A$42)-ROW('DONNÉES BRUTES'!A$3))/1000,0),2))&amp;"/100"),"—")</f>
        <v>36/100</v>
      </c>
      <c r="F12" s="409" cm="1">
        <f t="array" ref="F12">IFERROR(IF(2&gt;COUNTIF('DONNÉES BRUTES'!C$3:C$42,"Conso. Déf."),"",INDEX('DONNÉES BRUTES'!Y$3:Y$42,MATCH(LARGE(IF('DONNÉES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52</v>
      </c>
      <c r="G12" s="409" cm="1">
        <f t="array" ref="G12">IFERROR(IF(2&gt;COUNTIF('DONNÉES BRUTES'!C$3:C$42,"Conso. Déf."),"",INDEX('DONNÉES BRUTES'!Z$3:Z$42,MATCH(LARGE(IF('DONNÉES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43</v>
      </c>
      <c r="H12" s="409" cm="1">
        <f t="array" ref="H12">IFERROR(IF(2&gt;COUNTIF('DONNÉES BRUTES'!C$3:C$42,"Conso. Déf."),"",INDEX('DONNÉES BRUTES'!AA$3:AA$42,MATCH(LARGE(IF('DONNÉES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11</v>
      </c>
      <c r="I12" s="409" t="str" cm="1">
        <f t="array" ref="I12">IFERROR(IF(2&gt;COUNTIF('DONNÉES BRUTES'!C$3:C$42,"Conso. Déf."),"",INDEX('DONNÉES BRUTES'!M$3:M$42,MATCH(LARGE(IF('DONNÉES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46.9%</v>
      </c>
      <c r="J12" s="409" t="str" cm="1">
        <f t="array" ref="J12">IFERROR(IF(2&gt;COUNTIF('DONNÉES BRUTES'!C$3:C$42,"Conso. Déf."),"",INDEX('DONNÉES BRUTES'!N$3:N$42,MATCH(LARGE(IF('DONNÉES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22.1%</v>
      </c>
      <c r="K12" s="409" t="str" cm="1">
        <f t="array" ref="K12">IFERROR(IF(2&gt;COUNTIF('DONNÉES BRUTES'!C$3:C$42,"Conso. Déf."),"",INDEX('DONNÉES BRUTES'!O$3:O$42,MATCH(LARGE(IF('DONNÉES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18.7%</v>
      </c>
      <c r="L12" s="409" t="str" cm="1">
        <f t="array" ref="L12">IFERROR(IF(2&gt;COUNTIF('DONNÉES BRUTES'!C$3:C$42,"Conso. Déf."),"",INDEX('DONNÉES BRUTES'!P$3:P$42,MATCH(LARGE(IF('DONNÉES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-3.8%</v>
      </c>
      <c r="M12" s="409" t="str" cm="1">
        <f t="array" ref="M12">IFERROR(IF(2&gt;COUNTIF('DONNÉES BRUTES'!C$3:C$42,"Conso. Déf."),"",INDEX('DONNÉES BRUTES'!Q$3:Q$42,MATCH(LARGE(IF('DONNÉES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+61.0%</v>
      </c>
      <c r="N12" s="409" cm="1">
        <f t="array" ref="N12">IFERROR(IF(2&gt;COUNTIF('DONNÉES BRUTES'!C$3:C$42,"Conso. Déf."),"",INDEX('DONNÉES BRUTES'!S$3:S$42,MATCH(LARGE(IF('DONNÉES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0.79</v>
      </c>
      <c r="O12" s="409" t="str" cm="1">
        <f t="array" ref="O12">IFERROR(IF(2&gt;COUNTIF('DONNÉES BRUTES'!C$3:C$42,"Conso. Déf."),"",INDEX('DONNÉES BRUTES'!T$3:T$42,MATCH(LARGE(IF('DONNÉES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2.0x</v>
      </c>
      <c r="P12" s="409" cm="1">
        <f t="array" ref="P12">IFERROR(IF(2&gt;COUNTIF('DONNÉES BRUTES'!C$3:C$42,"Conso. Déf."),"",INDEX('DONNÉES BRUTES'!U$3:U$42,MATCH(LARGE(IF('DONNÉES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2.86</v>
      </c>
      <c r="Q12" s="410" t="str" cm="1">
        <f t="array" ref="Q12">IFERROR(IF(2&gt;COUNTIF('DONNÉES BRUTES'!C$3:C$42,"Conso. Déf."),"",INDEX('DONNÉES BRUTES'!AD$3:AD$42,MATCH(LARGE(IF('DONNÉES BRUTES'!C$3:C$42="Conso. Déf.",'DONNÉES BRUTES'!AB$3:AB$42+(ROW('DONNÉES BRUTES'!A$3:A$42)-ROW('DONNÉES BRUTES'!A$3))/1000,0),2),IF('DONNÉES BRUTES'!C$3:C$42="Conso. Déf.",'DONNÉES BRUTES'!AB$3:AB$42+(ROW('DONNÉES BRUTES'!A$3:A$42)-ROW('DONNÉES BRUTES'!A$3))/1000,0),0))),"—")</f>
        <v>Sous-pondérer</v>
      </c>
    </row>
    <row r="13" spans="2:17" ht="15.9" customHeight="1" x14ac:dyDescent="0.3">
      <c r="B13" s="411">
        <v>3</v>
      </c>
      <c r="C13" s="412" t="str" cm="1">
        <f t="array" ref="C13">IFERROR(IF(3&gt;COUNTIF('DONNÉES BRUTES'!C$3:C$42,"Conso. Déf."),"",INDEX('DONNÉES BRUTES'!A$3:A$42,MATCH(LARGE(IF('DONNÉES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ABI.BR</v>
      </c>
      <c r="D13" s="412" t="str" cm="1">
        <f t="array" ref="D13">IFERROR(IF(3&gt;COUNTIF('DONNÉES BRUTES'!C$3:C$42,"Conso. Déf."),"",INDEX('DONNÉES BRUTES'!B$3:B$42,MATCH(LARGE(IF('DONNÉES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Anheuser-Busch InBev SA/NV</v>
      </c>
      <c r="E13" s="412" t="str" cm="1">
        <f t="array" ref="E13">IFERROR(IF(3&gt;COUNTIF('DONNÉES BRUTES'!C$3:C$42,"Conso. Déf."),"",INT(LARGE(IF('DONNÉES BRUTES'!C$3:C$42="Conso. Déf.",'DONNÉES BRUTES'!AB$3:AB$42+(ROW('DONNÉES BRUTES'!A$3:A$42)-ROW('DONNÉES BRUTES'!A$3))/1000,0),3))&amp;"/100"),"—")</f>
        <v>36/100</v>
      </c>
      <c r="F13" s="412" cm="1">
        <f t="array" ref="F13">IFERROR(IF(3&gt;COUNTIF('DONNÉES BRUTES'!C$3:C$42,"Conso. Déf."),"",INDEX('DONNÉES BRUTES'!Y$3:Y$42,MATCH(LARGE(IF('DONNÉES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54</v>
      </c>
      <c r="G13" s="412" cm="1">
        <f t="array" ref="G13">IFERROR(IF(3&gt;COUNTIF('DONNÉES BRUTES'!C$3:C$42,"Conso. Déf."),"",INDEX('DONNÉES BRUTES'!Z$3:Z$42,MATCH(LARGE(IF('DONNÉES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35</v>
      </c>
      <c r="H13" s="412" cm="1">
        <f t="array" ref="H13">IFERROR(IF(3&gt;COUNTIF('DONNÉES BRUTES'!C$3:C$42,"Conso. Déf."),"",INDEX('DONNÉES BRUTES'!AA$3:AA$42,MATCH(LARGE(IF('DONNÉES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36</v>
      </c>
      <c r="I13" s="412" t="str" cm="1">
        <f t="array" ref="I13">IFERROR(IF(3&gt;COUNTIF('DONNÉES BRUTES'!C$3:C$42,"Conso. Déf."),"",INDEX('DONNÉES BRUTES'!M$3:M$42,MATCH(LARGE(IF('DONNÉES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55.9%</v>
      </c>
      <c r="J13" s="412" t="str" cm="1">
        <f t="array" ref="J13">IFERROR(IF(3&gt;COUNTIF('DONNÉES BRUTES'!C$3:C$42,"Conso. Déf."),"",INDEX('DONNÉES BRUTES'!N$3:N$42,MATCH(LARGE(IF('DONNÉES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35.4%</v>
      </c>
      <c r="K13" s="412" t="str" cm="1">
        <f t="array" ref="K13">IFERROR(IF(3&gt;COUNTIF('DONNÉES BRUTES'!C$3:C$42,"Conso. Déf."),"",INDEX('DONNÉES BRUTES'!O$3:O$42,MATCH(LARGE(IF('DONNÉES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11.5%</v>
      </c>
      <c r="L13" s="412" t="str" cm="1">
        <f t="array" ref="L13">IFERROR(IF(3&gt;COUNTIF('DONNÉES BRUTES'!C$3:C$42,"Conso. Déf."),"",INDEX('DONNÉES BRUTES'!P$3:P$42,MATCH(LARGE(IF('DONNÉES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-0.7%</v>
      </c>
      <c r="M13" s="412" t="str" cm="1">
        <f t="array" ref="M13">IFERROR(IF(3&gt;COUNTIF('DONNÉES BRUTES'!C$3:C$42,"Conso. Déf."),"",INDEX('DONNÉES BRUTES'!Q$3:Q$42,MATCH(LARGE(IF('DONNÉES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+7.8%</v>
      </c>
      <c r="N13" s="412" cm="1">
        <f t="array" ref="N13">IFERROR(IF(3&gt;COUNTIF('DONNÉES BRUTES'!C$3:C$42,"Conso. Déf."),"",INDEX('DONNÉES BRUTES'!S$3:S$42,MATCH(LARGE(IF('DONNÉES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0.72</v>
      </c>
      <c r="O13" s="412" t="str" cm="1">
        <f t="array" ref="O13">IFERROR(IF(3&gt;COUNTIF('DONNÉES BRUTES'!C$3:C$42,"Conso. Déf."),"",INDEX('DONNÉES BRUTES'!T$3:T$42,MATCH(LARGE(IF('DONNÉES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2.8x</v>
      </c>
      <c r="P13" s="412" cm="1">
        <f t="array" ref="P13">IFERROR(IF(3&gt;COUNTIF('DONNÉES BRUTES'!C$3:C$42,"Conso. Déf."),"",INDEX('DONNÉES BRUTES'!U$3:U$42,MATCH(LARGE(IF('DONNÉES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1.68</v>
      </c>
      <c r="Q13" s="413" t="str" cm="1">
        <f t="array" ref="Q13">IFERROR(IF(3&gt;COUNTIF('DONNÉES BRUTES'!C$3:C$42,"Conso. Déf."),"",INDEX('DONNÉES BRUTES'!AD$3:AD$42,MATCH(LARGE(IF('DONNÉES BRUTES'!C$3:C$42="Conso. Déf.",'DONNÉES BRUTES'!AB$3:AB$42+(ROW('DONNÉES BRUTES'!A$3:A$42)-ROW('DONNÉES BRUTES'!A$3))/1000,0),3),IF('DONNÉES BRUTES'!C$3:C$42="Conso. Déf.",'DONNÉES BRUTES'!AB$3:AB$42+(ROW('DONNÉES BRUTES'!A$3:A$42)-ROW('DONNÉES BRUTES'!A$3))/1000,0),0))),"—")</f>
        <v>Sous-pondérer</v>
      </c>
    </row>
    <row r="14" spans="2:17" ht="15.9" customHeight="1" x14ac:dyDescent="0.3">
      <c r="B14" s="414">
        <v>4</v>
      </c>
      <c r="C14" s="415" t="str" cm="1">
        <f t="array" ref="C14">IFERROR(IF(4&gt;COUNTIF('DONNÉES BRUTES'!C$3:C$42,"Conso. Déf."),"",INDEX('DONNÉES BRUTES'!A$3:A$42,MATCH(LARGE(IF('DONNÉES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AD.AS</v>
      </c>
      <c r="D14" s="415" t="str" cm="1">
        <f t="array" ref="D14">IFERROR(IF(4&gt;COUNTIF('DONNÉES BRUTES'!C$3:C$42,"Conso. Déf."),"",INDEX('DONNÉES BRUTES'!B$3:B$42,MATCH(LARGE(IF('DONNÉES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Koninklijke Ahold Delhaize N.V.</v>
      </c>
      <c r="E14" s="415" t="str" cm="1">
        <f t="array" ref="E14">IFERROR(IF(4&gt;COUNTIF('DONNÉES BRUTES'!C$3:C$42,"Conso. Déf."),"",INT(LARGE(IF('DONNÉES BRUTES'!C$3:C$42="Conso. Déf.",'DONNÉES BRUTES'!AB$3:AB$42+(ROW('DONNÉES BRUTES'!A$3:A$42)-ROW('DONNÉES BRUTES'!A$3))/1000,0),4))&amp;"/100"),"—")</f>
        <v>30/100</v>
      </c>
      <c r="F14" s="415" cm="1">
        <f t="array" ref="F14">IFERROR(IF(4&gt;COUNTIF('DONNÉES BRUTES'!C$3:C$42,"Conso. Déf."),"",INDEX('DONNÉES BRUTES'!Y$3:Y$42,MATCH(LARGE(IF('DONNÉES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46</v>
      </c>
      <c r="G14" s="415" cm="1">
        <f t="array" ref="G14">IFERROR(IF(4&gt;COUNTIF('DONNÉES BRUTES'!C$3:C$42,"Conso. Déf."),"",INDEX('DONNÉES BRUTES'!Z$3:Z$42,MATCH(LARGE(IF('DONNÉES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20</v>
      </c>
      <c r="H14" s="415" cm="1">
        <f t="array" ref="H14">IFERROR(IF(4&gt;COUNTIF('DONNÉES BRUTES'!C$3:C$42,"Conso. Déf."),"",INDEX('DONNÉES BRUTES'!AA$3:AA$42,MATCH(LARGE(IF('DONNÉES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49</v>
      </c>
      <c r="I14" s="415" t="str" cm="1">
        <f t="array" ref="I14">IFERROR(IF(4&gt;COUNTIF('DONNÉES BRUTES'!C$3:C$42,"Conso. Déf."),"",INDEX('DONNÉES BRUTES'!M$3:M$42,MATCH(LARGE(IF('DONNÉES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26.5%</v>
      </c>
      <c r="J14" s="415" t="str" cm="1">
        <f t="array" ref="J14">IFERROR(IF(4&gt;COUNTIF('DONNÉES BRUTES'!C$3:C$42,"Conso. Déf."),"",INDEX('DONNÉES BRUTES'!N$3:N$42,MATCH(LARGE(IF('DONNÉES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7.9%</v>
      </c>
      <c r="K14" s="415" t="str" cm="1">
        <f t="array" ref="K14">IFERROR(IF(4&gt;COUNTIF('DONNÉES BRUTES'!C$3:C$42,"Conso. Déf."),"",INDEX('DONNÉES BRUTES'!O$3:O$42,MATCH(LARGE(IF('DONNÉES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2.5%</v>
      </c>
      <c r="L14" s="415" t="str" cm="1">
        <f t="array" ref="L14">IFERROR(IF(4&gt;COUNTIF('DONNÉES BRUTES'!C$3:C$42,"Conso. Déf."),"",INDEX('DONNÉES BRUTES'!P$3:P$42,MATCH(LARGE(IF('DONNÉES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+3.4%</v>
      </c>
      <c r="M14" s="415" t="str" cm="1">
        <f t="array" ref="M14">IFERROR(IF(4&gt;COUNTIF('DONNÉES BRUTES'!C$3:C$42,"Conso. Déf."),"",INDEX('DONNÉES BRUTES'!Q$3:Q$42,MATCH(LARGE(IF('DONNÉES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+15.9%</v>
      </c>
      <c r="N14" s="415" cm="1">
        <f t="array" ref="N14">IFERROR(IF(4&gt;COUNTIF('DONNÉES BRUTES'!C$3:C$42,"Conso. Déf."),"",INDEX('DONNÉES BRUTES'!S$3:S$42,MATCH(LARGE(IF('DONNÉES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0.71</v>
      </c>
      <c r="O14" s="415" t="str" cm="1">
        <f t="array" ref="O14">IFERROR(IF(4&gt;COUNTIF('DONNÉES BRUTES'!C$3:C$42,"Conso. Déf."),"",INDEX('DONNÉES BRUTES'!T$3:T$42,MATCH(LARGE(IF('DONNÉES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0.4x</v>
      </c>
      <c r="P14" s="415" t="str" cm="1">
        <f t="array" ref="P14">IFERROR(IF(4&gt;COUNTIF('DONNÉES BRUTES'!C$3:C$42,"Conso. Déf."),"",INDEX('DONNÉES BRUTES'!U$3:U$42,MATCH(LARGE(IF('DONNÉES BRUTES'!C$3:C$42="Conso. Déf.",'DONNÉES BRUTES'!AB$3:AB$42+(ROW('DONNÉES BRUTES'!A$3:A$42)-ROW('DONNÉES BRUTES'!A$3))/1000,0),4),IF('DONNÉES BRUTES'!C$3:C$42="Conso. Déf.",'DONNÉES BRUTES'!AB$3:AB$42+(ROW('DONNÉES BRUTES'!A$3:A$42)-ROW('DONNÉES BRUTES'!A$3))/1000,0),0))),"—")</f>
        <v>—</v>
      </c>
      <c r="Q14" s="416"/>
    </row>
    <row r="15" spans="2:17" ht="15.9" customHeight="1" x14ac:dyDescent="0.3">
      <c r="C15" t="str" cm="1">
        <f t="array" ref="C15">IFERROR(IF(5&gt;COUNTIF('DONNÉES BRUTES'!C$3:C$42,"Conso. Déf."),"",INDEX('DONNÉES BRUTES'!A$3:A$42,MATCH(LARGE(IF('DONNÉES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D15" t="str" cm="1">
        <f t="array" ref="D15">IFERROR(IF(5&gt;COUNTIF('DONNÉES BRUTES'!C$3:C$42,"Conso. Déf."),"",INDEX('DONNÉES BRUTES'!B$3:B$42,MATCH(LARGE(IF('DONNÉES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E15" t="str" cm="1">
        <f t="array" ref="E15">IFERROR(IF(5&gt;COUNTIF('DONNÉES BRUTES'!C$3:C$42,"Conso. Déf."),"",INT(LARGE(IF('DONNÉES BRUTES'!C$3:C$42="Conso. Déf.",'DONNÉES BRUTES'!AB$3:AB$42+(ROW('DONNÉES BRUTES'!A$3:A$42)-ROW('DONNÉES BRUTES'!A$3))/1000,0),5))&amp;"/100"),"—")</f>
        <v/>
      </c>
      <c r="F15" t="str" cm="1">
        <f t="array" ref="F15">IFERROR(IF(5&gt;COUNTIF('DONNÉES BRUTES'!C$3:C$42,"Conso. Déf."),"",INDEX('DONNÉES BRUTES'!Y$3:Y$42,MATCH(LARGE(IF('DONNÉES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G15" t="str" cm="1">
        <f t="array" ref="G15">IFERROR(IF(5&gt;COUNTIF('DONNÉES BRUTES'!C$3:C$42,"Conso. Déf."),"",INDEX('DONNÉES BRUTES'!Z$3:Z$42,MATCH(LARGE(IF('DONNÉES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H15" t="str" cm="1">
        <f t="array" ref="H15">IFERROR(IF(5&gt;COUNTIF('DONNÉES BRUTES'!C$3:C$42,"Conso. Déf."),"",INDEX('DONNÉES BRUTES'!AA$3:AA$42,MATCH(LARGE(IF('DONNÉES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I15" t="str" cm="1">
        <f t="array" ref="I15">IFERROR(IF(5&gt;COUNTIF('DONNÉES BRUTES'!C$3:C$42,"Conso. Déf."),"",INDEX('DONNÉES BRUTES'!M$3:M$42,MATCH(LARGE(IF('DONNÉES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J15" t="str" cm="1">
        <f t="array" ref="J15">IFERROR(IF(5&gt;COUNTIF('DONNÉES BRUTES'!C$3:C$42,"Conso. Déf."),"",INDEX('DONNÉES BRUTES'!N$3:N$42,MATCH(LARGE(IF('DONNÉES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K15" t="str" cm="1">
        <f t="array" ref="K15">IFERROR(IF(5&gt;COUNTIF('DONNÉES BRUTES'!C$3:C$42,"Conso. Déf."),"",INDEX('DONNÉES BRUTES'!O$3:O$42,MATCH(LARGE(IF('DONNÉES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L15" t="str" cm="1">
        <f t="array" ref="L15">IFERROR(IF(5&gt;COUNTIF('DONNÉES BRUTES'!C$3:C$42,"Conso. Déf."),"",INDEX('DONNÉES BRUTES'!P$3:P$42,MATCH(LARGE(IF('DONNÉES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M15" t="str" cm="1">
        <f t="array" ref="M15">IFERROR(IF(5&gt;COUNTIF('DONNÉES BRUTES'!C$3:C$42,"Conso. Déf."),"",INDEX('DONNÉES BRUTES'!Q$3:Q$42,MATCH(LARGE(IF('DONNÉES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N15" t="str" cm="1">
        <f t="array" ref="N15">IFERROR(IF(5&gt;COUNTIF('DONNÉES BRUTES'!C$3:C$42,"Conso. Déf."),"",INDEX('DONNÉES BRUTES'!S$3:S$42,MATCH(LARGE(IF('DONNÉES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O15" t="str" cm="1">
        <f t="array" ref="O15">IFERROR(IF(5&gt;COUNTIF('DONNÉES BRUTES'!C$3:C$42,"Conso. Déf."),"",INDEX('DONNÉES BRUTES'!T$3:T$42,MATCH(LARGE(IF('DONNÉES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P15" t="str" cm="1">
        <f t="array" ref="P15">IFERROR(IF(5&gt;COUNTIF('DONNÉES BRUTES'!C$3:C$42,"Conso. Déf."),"",INDEX('DONNÉES BRUTES'!U$3:U$42,MATCH(LARGE(IF('DONNÉES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  <c r="Q15" t="str" cm="1">
        <f t="array" ref="Q15">IFERROR(IF(5&gt;COUNTIF('DONNÉES BRUTES'!C$3:C$42,"Conso. Déf."),"",INDEX('DONNÉES BRUTES'!AD$3:AD$42,MATCH(LARGE(IF('DONNÉES BRUTES'!C$3:C$42="Conso. Déf.",'DONNÉES BRUTES'!AB$3:AB$42+(ROW('DONNÉES BRUTES'!A$3:A$42)-ROW('DONNÉES BRUTES'!A$3))/1000,0),5),IF('DONNÉES BRUTES'!C$3:C$42="Conso. Déf.",'DONNÉES BRUTES'!AB$3:AB$42+(ROW('DONNÉES BRUTES'!A$3:A$42)-ROW('DONNÉES BRUTES'!A$3))/1000,0),0))),"—")</f>
        <v/>
      </c>
    </row>
    <row r="16" spans="2:17" ht="15.9" customHeight="1" x14ac:dyDescent="0.3">
      <c r="C16" t="str" cm="1">
        <f t="array" ref="C16">IFERROR(IF(6&gt;COUNTIF('DONNÉES BRUTES'!C$3:C$42,"Conso. Déf."),"",INDEX('DONNÉES BRUTES'!A$3:A$42,MATCH(LARGE(IF('DONNÉES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D16" t="str" cm="1">
        <f t="array" ref="D16">IFERROR(IF(6&gt;COUNTIF('DONNÉES BRUTES'!C$3:C$42,"Conso. Déf."),"",INDEX('DONNÉES BRUTES'!B$3:B$42,MATCH(LARGE(IF('DONNÉES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E16" t="str" cm="1">
        <f t="array" ref="E16">IFERROR(IF(6&gt;COUNTIF('DONNÉES BRUTES'!C$3:C$42,"Conso. Déf."),"",INT(LARGE(IF('DONNÉES BRUTES'!C$3:C$42="Conso. Déf.",'DONNÉES BRUTES'!AB$3:AB$42+(ROW('DONNÉES BRUTES'!A$3:A$42)-ROW('DONNÉES BRUTES'!A$3))/1000,0),6))&amp;"/100"),"—")</f>
        <v/>
      </c>
      <c r="F16" t="str" cm="1">
        <f t="array" ref="F16">IFERROR(IF(6&gt;COUNTIF('DONNÉES BRUTES'!C$3:C$42,"Conso. Déf."),"",INDEX('DONNÉES BRUTES'!Y$3:Y$42,MATCH(LARGE(IF('DONNÉES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G16" t="str" cm="1">
        <f t="array" ref="G16">IFERROR(IF(6&gt;COUNTIF('DONNÉES BRUTES'!C$3:C$42,"Conso. Déf."),"",INDEX('DONNÉES BRUTES'!Z$3:Z$42,MATCH(LARGE(IF('DONNÉES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H16" t="str" cm="1">
        <f t="array" ref="H16">IFERROR(IF(6&gt;COUNTIF('DONNÉES BRUTES'!C$3:C$42,"Conso. Déf."),"",INDEX('DONNÉES BRUTES'!AA$3:AA$42,MATCH(LARGE(IF('DONNÉES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I16" t="str" cm="1">
        <f t="array" ref="I16">IFERROR(IF(6&gt;COUNTIF('DONNÉES BRUTES'!C$3:C$42,"Conso. Déf."),"",INDEX('DONNÉES BRUTES'!M$3:M$42,MATCH(LARGE(IF('DONNÉES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J16" t="str" cm="1">
        <f t="array" ref="J16">IFERROR(IF(6&gt;COUNTIF('DONNÉES BRUTES'!C$3:C$42,"Conso. Déf."),"",INDEX('DONNÉES BRUTES'!N$3:N$42,MATCH(LARGE(IF('DONNÉES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K16" t="str" cm="1">
        <f t="array" ref="K16">IFERROR(IF(6&gt;COUNTIF('DONNÉES BRUTES'!C$3:C$42,"Conso. Déf."),"",INDEX('DONNÉES BRUTES'!O$3:O$42,MATCH(LARGE(IF('DONNÉES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L16" t="str" cm="1">
        <f t="array" ref="L16">IFERROR(IF(6&gt;COUNTIF('DONNÉES BRUTES'!C$3:C$42,"Conso. Déf."),"",INDEX('DONNÉES BRUTES'!P$3:P$42,MATCH(LARGE(IF('DONNÉES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M16" t="str" cm="1">
        <f t="array" ref="M16">IFERROR(IF(6&gt;COUNTIF('DONNÉES BRUTES'!C$3:C$42,"Conso. Déf."),"",INDEX('DONNÉES BRUTES'!Q$3:Q$42,MATCH(LARGE(IF('DONNÉES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N16" t="str" cm="1">
        <f t="array" ref="N16">IFERROR(IF(6&gt;COUNTIF('DONNÉES BRUTES'!C$3:C$42,"Conso. Déf."),"",INDEX('DONNÉES BRUTES'!S$3:S$42,MATCH(LARGE(IF('DONNÉES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O16" t="str" cm="1">
        <f t="array" ref="O16">IFERROR(IF(6&gt;COUNTIF('DONNÉES BRUTES'!C$3:C$42,"Conso. Déf."),"",INDEX('DONNÉES BRUTES'!T$3:T$42,MATCH(LARGE(IF('DONNÉES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P16" t="str" cm="1">
        <f t="array" ref="P16">IFERROR(IF(6&gt;COUNTIF('DONNÉES BRUTES'!C$3:C$42,"Conso. Déf."),"",INDEX('DONNÉES BRUTES'!U$3:U$42,MATCH(LARGE(IF('DONNÉES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  <c r="Q16" t="str" cm="1">
        <f t="array" ref="Q16">IFERROR(IF(6&gt;COUNTIF('DONNÉES BRUTES'!C$3:C$42,"Conso. Déf."),"",INDEX('DONNÉES BRUTES'!AD$3:AD$42,MATCH(LARGE(IF('DONNÉES BRUTES'!C$3:C$42="Conso. Déf.",'DONNÉES BRUTES'!AB$3:AB$42+(ROW('DONNÉES BRUTES'!A$3:A$42)-ROW('DONNÉES BRUTES'!A$3))/1000,0),6),IF('DONNÉES BRUTES'!C$3:C$42="Conso. Déf.",'DONNÉES BRUTES'!AB$3:AB$42+(ROW('DONNÉES BRUTES'!A$3:A$42)-ROW('DONNÉES BRUTES'!A$3))/1000,0),0))),"—")</f>
        <v/>
      </c>
    </row>
    <row r="17" spans="3:28" ht="15.9" customHeight="1" x14ac:dyDescent="0.3">
      <c r="C17" t="str" cm="1">
        <f t="array" ref="C17">IFERROR(IF(7&gt;COUNTIF('DONNÉES BRUTES'!C$3:C$42,"Conso. Déf."),"",INDEX('DONNÉES BRUTES'!A$3:A$42,MATCH(LARGE(IF('DONNÉES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D17" t="str" cm="1">
        <f t="array" ref="D17">IFERROR(IF(7&gt;COUNTIF('DONNÉES BRUTES'!C$3:C$42,"Conso. Déf."),"",INDEX('DONNÉES BRUTES'!B$3:B$42,MATCH(LARGE(IF('DONNÉES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E17" t="str" cm="1">
        <f t="array" ref="E17">IFERROR(IF(7&gt;COUNTIF('DONNÉES BRUTES'!C$3:C$42,"Conso. Déf."),"",INT(LARGE(IF('DONNÉES BRUTES'!C$3:C$42="Conso. Déf.",'DONNÉES BRUTES'!AB$3:AB$42+(ROW('DONNÉES BRUTES'!A$3:A$42)-ROW('DONNÉES BRUTES'!A$3))/1000,0),7))&amp;"/100"),"—")</f>
        <v/>
      </c>
      <c r="F17" t="str" cm="1">
        <f t="array" ref="F17">IFERROR(IF(7&gt;COUNTIF('DONNÉES BRUTES'!C$3:C$42,"Conso. Déf."),"",INDEX('DONNÉES BRUTES'!Y$3:Y$42,MATCH(LARGE(IF('DONNÉES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G17" t="str" cm="1">
        <f t="array" ref="G17">IFERROR(IF(7&gt;COUNTIF('DONNÉES BRUTES'!C$3:C$42,"Conso. Déf."),"",INDEX('DONNÉES BRUTES'!Z$3:Z$42,MATCH(LARGE(IF('DONNÉES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H17" t="str" cm="1">
        <f t="array" ref="H17">IFERROR(IF(7&gt;COUNTIF('DONNÉES BRUTES'!C$3:C$42,"Conso. Déf."),"",INDEX('DONNÉES BRUTES'!AA$3:AA$42,MATCH(LARGE(IF('DONNÉES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I17" t="str" cm="1">
        <f t="array" ref="I17">IFERROR(IF(7&gt;COUNTIF('DONNÉES BRUTES'!C$3:C$42,"Conso. Déf."),"",INDEX('DONNÉES BRUTES'!M$3:M$42,MATCH(LARGE(IF('DONNÉES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J17" t="str" cm="1">
        <f t="array" ref="J17">IFERROR(IF(7&gt;COUNTIF('DONNÉES BRUTES'!C$3:C$42,"Conso. Déf."),"",INDEX('DONNÉES BRUTES'!N$3:N$42,MATCH(LARGE(IF('DONNÉES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K17" t="str" cm="1">
        <f t="array" ref="K17">IFERROR(IF(7&gt;COUNTIF('DONNÉES BRUTES'!C$3:C$42,"Conso. Déf."),"",INDEX('DONNÉES BRUTES'!O$3:O$42,MATCH(LARGE(IF('DONNÉES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L17" t="str" cm="1">
        <f t="array" ref="L17">IFERROR(IF(7&gt;COUNTIF('DONNÉES BRUTES'!C$3:C$42,"Conso. Déf."),"",INDEX('DONNÉES BRUTES'!P$3:P$42,MATCH(LARGE(IF('DONNÉES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M17" t="str" cm="1">
        <f t="array" ref="M17">IFERROR(IF(7&gt;COUNTIF('DONNÉES BRUTES'!C$3:C$42,"Conso. Déf."),"",INDEX('DONNÉES BRUTES'!Q$3:Q$42,MATCH(LARGE(IF('DONNÉES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N17" t="str" cm="1">
        <f t="array" ref="N17">IFERROR(IF(7&gt;COUNTIF('DONNÉES BRUTES'!C$3:C$42,"Conso. Déf."),"",INDEX('DONNÉES BRUTES'!S$3:S$42,MATCH(LARGE(IF('DONNÉES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O17" t="str" cm="1">
        <f t="array" ref="O17">IFERROR(IF(7&gt;COUNTIF('DONNÉES BRUTES'!C$3:C$42,"Conso. Déf."),"",INDEX('DONNÉES BRUTES'!T$3:T$42,MATCH(LARGE(IF('DONNÉES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P17" t="str" cm="1">
        <f t="array" ref="P17">IFERROR(IF(7&gt;COUNTIF('DONNÉES BRUTES'!C$3:C$42,"Conso. Déf."),"",INDEX('DONNÉES BRUTES'!U$3:U$42,MATCH(LARGE(IF('DONNÉES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  <c r="Q17" t="str" cm="1">
        <f t="array" ref="Q17">IFERROR(IF(7&gt;COUNTIF('DONNÉES BRUTES'!C$3:C$42,"Conso. Déf."),"",INDEX('DONNÉES BRUTES'!AD$3:AD$42,MATCH(LARGE(IF('DONNÉES BRUTES'!C$3:C$42="Conso. Déf.",'DONNÉES BRUTES'!AB$3:AB$42+(ROW('DONNÉES BRUTES'!A$3:A$42)-ROW('DONNÉES BRUTES'!A$3))/1000,0),7),IF('DONNÉES BRUTES'!C$3:C$42="Conso. Déf.",'DONNÉES BRUTES'!AB$3:AB$42+(ROW('DONNÉES BRUTES'!A$3:A$42)-ROW('DONNÉES BRUTES'!A$3))/1000,0),0))),"—")</f>
        <v/>
      </c>
    </row>
    <row r="18" spans="3:28" ht="15.9" customHeight="1" x14ac:dyDescent="0.3">
      <c r="C18" t="str" cm="1">
        <f t="array" ref="C18">IFERROR(IF(8&gt;COUNTIF('DONNÉES BRUTES'!C$3:C$42,"Conso. Déf."),"",INDEX('DONNÉES BRUTES'!A$3:A$42,MATCH(LARGE(IF('DONNÉES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D18" t="str" cm="1">
        <f t="array" ref="D18">IFERROR(IF(8&gt;COUNTIF('DONNÉES BRUTES'!C$3:C$42,"Conso. Déf."),"",INDEX('DONNÉES BRUTES'!B$3:B$42,MATCH(LARGE(IF('DONNÉES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E18" t="str" cm="1">
        <f t="array" ref="E18">IFERROR(IF(8&gt;COUNTIF('DONNÉES BRUTES'!C$3:C$42,"Conso. Déf."),"",INT(LARGE(IF('DONNÉES BRUTES'!C$3:C$42="Conso. Déf.",'DONNÉES BRUTES'!AB$3:AB$42+(ROW('DONNÉES BRUTES'!A$3:A$42)-ROW('DONNÉES BRUTES'!A$3))/1000,0),8))&amp;"/100"),"—")</f>
        <v/>
      </c>
      <c r="F18" t="str" cm="1">
        <f t="array" ref="F18">IFERROR(IF(8&gt;COUNTIF('DONNÉES BRUTES'!C$3:C$42,"Conso. Déf."),"",INDEX('DONNÉES BRUTES'!Y$3:Y$42,MATCH(LARGE(IF('DONNÉES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G18" t="str" cm="1">
        <f t="array" ref="G18">IFERROR(IF(8&gt;COUNTIF('DONNÉES BRUTES'!C$3:C$42,"Conso. Déf."),"",INDEX('DONNÉES BRUTES'!Z$3:Z$42,MATCH(LARGE(IF('DONNÉES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H18" t="str" cm="1">
        <f t="array" ref="H18">IFERROR(IF(8&gt;COUNTIF('DONNÉES BRUTES'!C$3:C$42,"Conso. Déf."),"",INDEX('DONNÉES BRUTES'!AA$3:AA$42,MATCH(LARGE(IF('DONNÉES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I18" t="str" cm="1">
        <f t="array" ref="I18">IFERROR(IF(8&gt;COUNTIF('DONNÉES BRUTES'!C$3:C$42,"Conso. Déf."),"",INDEX('DONNÉES BRUTES'!M$3:M$42,MATCH(LARGE(IF('DONNÉES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J18" t="str" cm="1">
        <f t="array" ref="J18">IFERROR(IF(8&gt;COUNTIF('DONNÉES BRUTES'!C$3:C$42,"Conso. Déf."),"",INDEX('DONNÉES BRUTES'!N$3:N$42,MATCH(LARGE(IF('DONNÉES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K18" t="str" cm="1">
        <f t="array" ref="K18">IFERROR(IF(8&gt;COUNTIF('DONNÉES BRUTES'!C$3:C$42,"Conso. Déf."),"",INDEX('DONNÉES BRUTES'!O$3:O$42,MATCH(LARGE(IF('DONNÉES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L18" t="str" cm="1">
        <f t="array" ref="L18">IFERROR(IF(8&gt;COUNTIF('DONNÉES BRUTES'!C$3:C$42,"Conso. Déf."),"",INDEX('DONNÉES BRUTES'!P$3:P$42,MATCH(LARGE(IF('DONNÉES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M18" t="str" cm="1">
        <f t="array" ref="M18">IFERROR(IF(8&gt;COUNTIF('DONNÉES BRUTES'!C$3:C$42,"Conso. Déf."),"",INDEX('DONNÉES BRUTES'!Q$3:Q$42,MATCH(LARGE(IF('DONNÉES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N18" t="str" cm="1">
        <f t="array" ref="N18">IFERROR(IF(8&gt;COUNTIF('DONNÉES BRUTES'!C$3:C$42,"Conso. Déf."),"",INDEX('DONNÉES BRUTES'!S$3:S$42,MATCH(LARGE(IF('DONNÉES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O18" t="str" cm="1">
        <f t="array" ref="O18">IFERROR(IF(8&gt;COUNTIF('DONNÉES BRUTES'!C$3:C$42,"Conso. Déf."),"",INDEX('DONNÉES BRUTES'!T$3:T$42,MATCH(LARGE(IF('DONNÉES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P18" t="str" cm="1">
        <f t="array" ref="P18">IFERROR(IF(8&gt;COUNTIF('DONNÉES BRUTES'!C$3:C$42,"Conso. Déf."),"",INDEX('DONNÉES BRUTES'!U$3:U$42,MATCH(LARGE(IF('DONNÉES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  <c r="Q18" t="str" cm="1">
        <f t="array" ref="Q18">IFERROR(IF(8&gt;COUNTIF('DONNÉES BRUTES'!C$3:C$42,"Conso. Déf."),"",INDEX('DONNÉES BRUTES'!AD$3:AD$42,MATCH(LARGE(IF('DONNÉES BRUTES'!C$3:C$42="Conso. Déf.",'DONNÉES BRUTES'!AB$3:AB$42+(ROW('DONNÉES BRUTES'!A$3:A$42)-ROW('DONNÉES BRUTES'!A$3))/1000,0),8),IF('DONNÉES BRUTES'!C$3:C$42="Conso. Déf.",'DONNÉES BRUTES'!AB$3:AB$42+(ROW('DONNÉES BRUTES'!A$3:A$42)-ROW('DONNÉES BRUTES'!A$3))/1000,0),0))),"—")</f>
        <v/>
      </c>
    </row>
    <row r="19" spans="3:28" ht="15.9" customHeight="1" x14ac:dyDescent="0.3">
      <c r="C19" t="str" cm="1">
        <f t="array" ref="C19">IFERROR(IF(9&gt;COUNTIF('DONNÉES BRUTES'!C$3:C$42,"Conso. Déf."),"",INDEX('DONNÉES BRUTES'!A$3:A$42,MATCH(LARGE(IF('DONNÉES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D19" t="str" cm="1">
        <f t="array" ref="D19">IFERROR(IF(9&gt;COUNTIF('DONNÉES BRUTES'!C$3:C$42,"Conso. Déf."),"",INDEX('DONNÉES BRUTES'!B$3:B$42,MATCH(LARGE(IF('DONNÉES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E19" t="str" cm="1">
        <f t="array" ref="E19">IFERROR(IF(9&gt;COUNTIF('DONNÉES BRUTES'!C$3:C$42,"Conso. Déf."),"",INT(LARGE(IF('DONNÉES BRUTES'!C$3:C$42="Conso. Déf.",'DONNÉES BRUTES'!AB$3:AB$42+(ROW('DONNÉES BRUTES'!A$3:A$42)-ROW('DONNÉES BRUTES'!A$3))/1000,0),9))&amp;"/100"),"—")</f>
        <v/>
      </c>
      <c r="F19" t="str" cm="1">
        <f t="array" ref="F19">IFERROR(IF(9&gt;COUNTIF('DONNÉES BRUTES'!C$3:C$42,"Conso. Déf."),"",INDEX('DONNÉES BRUTES'!Y$3:Y$42,MATCH(LARGE(IF('DONNÉES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G19" t="str" cm="1">
        <f t="array" ref="G19">IFERROR(IF(9&gt;COUNTIF('DONNÉES BRUTES'!C$3:C$42,"Conso. Déf."),"",INDEX('DONNÉES BRUTES'!Z$3:Z$42,MATCH(LARGE(IF('DONNÉES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H19" t="str" cm="1">
        <f t="array" ref="H19">IFERROR(IF(9&gt;COUNTIF('DONNÉES BRUTES'!C$3:C$42,"Conso. Déf."),"",INDEX('DONNÉES BRUTES'!AA$3:AA$42,MATCH(LARGE(IF('DONNÉES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I19" t="str" cm="1">
        <f t="array" ref="I19">IFERROR(IF(9&gt;COUNTIF('DONNÉES BRUTES'!C$3:C$42,"Conso. Déf."),"",INDEX('DONNÉES BRUTES'!M$3:M$42,MATCH(LARGE(IF('DONNÉES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J19" t="str" cm="1">
        <f t="array" ref="J19">IFERROR(IF(9&gt;COUNTIF('DONNÉES BRUTES'!C$3:C$42,"Conso. Déf."),"",INDEX('DONNÉES BRUTES'!N$3:N$42,MATCH(LARGE(IF('DONNÉES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K19" t="str" cm="1">
        <f t="array" ref="K19">IFERROR(IF(9&gt;COUNTIF('DONNÉES BRUTES'!C$3:C$42,"Conso. Déf."),"",INDEX('DONNÉES BRUTES'!O$3:O$42,MATCH(LARGE(IF('DONNÉES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L19" t="str" cm="1">
        <f t="array" ref="L19">IFERROR(IF(9&gt;COUNTIF('DONNÉES BRUTES'!C$3:C$42,"Conso. Déf."),"",INDEX('DONNÉES BRUTES'!P$3:P$42,MATCH(LARGE(IF('DONNÉES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M19" t="str" cm="1">
        <f t="array" ref="M19">IFERROR(IF(9&gt;COUNTIF('DONNÉES BRUTES'!C$3:C$42,"Conso. Déf."),"",INDEX('DONNÉES BRUTES'!Q$3:Q$42,MATCH(LARGE(IF('DONNÉES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N19" t="str" cm="1">
        <f t="array" ref="N19">IFERROR(IF(9&gt;COUNTIF('DONNÉES BRUTES'!C$3:C$42,"Conso. Déf."),"",INDEX('DONNÉES BRUTES'!S$3:S$42,MATCH(LARGE(IF('DONNÉES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O19" t="str" cm="1">
        <f t="array" ref="O19">IFERROR(IF(9&gt;COUNTIF('DONNÉES BRUTES'!C$3:C$42,"Conso. Déf."),"",INDEX('DONNÉES BRUTES'!T$3:T$42,MATCH(LARGE(IF('DONNÉES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P19" t="str" cm="1">
        <f t="array" ref="P19">IFERROR(IF(9&gt;COUNTIF('DONNÉES BRUTES'!C$3:C$42,"Conso. Déf."),"",INDEX('DONNÉES BRUTES'!U$3:U$42,MATCH(LARGE(IF('DONNÉES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  <c r="Q19" t="str" cm="1">
        <f t="array" ref="Q19">IFERROR(IF(9&gt;COUNTIF('DONNÉES BRUTES'!C$3:C$42,"Conso. Déf."),"",INDEX('DONNÉES BRUTES'!AD$3:AD$42,MATCH(LARGE(IF('DONNÉES BRUTES'!C$3:C$42="Conso. Déf.",'DONNÉES BRUTES'!AB$3:AB$42+(ROW('DONNÉES BRUTES'!A$3:A$42)-ROW('DONNÉES BRUTES'!A$3))/1000,0),9),IF('DONNÉES BRUTES'!C$3:C$42="Conso. Déf.",'DONNÉES BRUTES'!AB$3:AB$42+(ROW('DONNÉES BRUTES'!A$3:A$42)-ROW('DONNÉES BRUTES'!A$3))/1000,0),0))),"—")</f>
        <v/>
      </c>
    </row>
    <row r="20" spans="3:28" ht="15.9" customHeight="1" x14ac:dyDescent="0.3">
      <c r="C20" t="str" cm="1">
        <f t="array" ref="C20">IFERROR(IF(10&gt;COUNTIF('DONNÉES BRUTES'!C$3:C$42,"Conso. Déf."),"",INDEX('DONNÉES BRUTES'!A$3:A$42,MATCH(LARGE(IF('DONNÉES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D20" t="str" cm="1">
        <f t="array" ref="D20">IFERROR(IF(10&gt;COUNTIF('DONNÉES BRUTES'!C$3:C$42,"Conso. Déf."),"",INDEX('DONNÉES BRUTES'!B$3:B$42,MATCH(LARGE(IF('DONNÉES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E20" t="str" cm="1">
        <f t="array" ref="E20">IFERROR(IF(10&gt;COUNTIF('DONNÉES BRUTES'!C$3:C$42,"Conso. Déf."),"",INT(LARGE(IF('DONNÉES BRUTES'!C$3:C$42="Conso. Déf.",'DONNÉES BRUTES'!AB$3:AB$42+(ROW('DONNÉES BRUTES'!A$3:A$42)-ROW('DONNÉES BRUTES'!A$3))/1000,0),10))&amp;"/100"),"—")</f>
        <v/>
      </c>
      <c r="F20" t="str" cm="1">
        <f t="array" ref="F20">IFERROR(IF(10&gt;COUNTIF('DONNÉES BRUTES'!C$3:C$42,"Conso. Déf."),"",INDEX('DONNÉES BRUTES'!Y$3:Y$42,MATCH(LARGE(IF('DONNÉES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G20" t="str" cm="1">
        <f t="array" ref="G20">IFERROR(IF(10&gt;COUNTIF('DONNÉES BRUTES'!C$3:C$42,"Conso. Déf."),"",INDEX('DONNÉES BRUTES'!Z$3:Z$42,MATCH(LARGE(IF('DONNÉES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H20" t="str" cm="1">
        <f t="array" ref="H20">IFERROR(IF(10&gt;COUNTIF('DONNÉES BRUTES'!C$3:C$42,"Conso. Déf."),"",INDEX('DONNÉES BRUTES'!AA$3:AA$42,MATCH(LARGE(IF('DONNÉES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I20" t="str" cm="1">
        <f t="array" ref="I20">IFERROR(IF(10&gt;COUNTIF('DONNÉES BRUTES'!C$3:C$42,"Conso. Déf."),"",INDEX('DONNÉES BRUTES'!M$3:M$42,MATCH(LARGE(IF('DONNÉES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J20" t="str" cm="1">
        <f t="array" ref="J20">IFERROR(IF(10&gt;COUNTIF('DONNÉES BRUTES'!C$3:C$42,"Conso. Déf."),"",INDEX('DONNÉES BRUTES'!N$3:N$42,MATCH(LARGE(IF('DONNÉES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K20" t="str" cm="1">
        <f t="array" ref="K20">IFERROR(IF(10&gt;COUNTIF('DONNÉES BRUTES'!C$3:C$42,"Conso. Déf."),"",INDEX('DONNÉES BRUTES'!O$3:O$42,MATCH(LARGE(IF('DONNÉES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L20" t="str" cm="1">
        <f t="array" ref="L20">IFERROR(IF(10&gt;COUNTIF('DONNÉES BRUTES'!C$3:C$42,"Conso. Déf."),"",INDEX('DONNÉES BRUTES'!P$3:P$42,MATCH(LARGE(IF('DONNÉES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M20" t="str" cm="1">
        <f t="array" ref="M20">IFERROR(IF(10&gt;COUNTIF('DONNÉES BRUTES'!C$3:C$42,"Conso. Déf."),"",INDEX('DONNÉES BRUTES'!Q$3:Q$42,MATCH(LARGE(IF('DONNÉES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N20" t="str" cm="1">
        <f t="array" ref="N20">IFERROR(IF(10&gt;COUNTIF('DONNÉES BRUTES'!C$3:C$42,"Conso. Déf."),"",INDEX('DONNÉES BRUTES'!S$3:S$42,MATCH(LARGE(IF('DONNÉES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O20" t="str" cm="1">
        <f t="array" ref="O20">IFERROR(IF(10&gt;COUNTIF('DONNÉES BRUTES'!C$3:C$42,"Conso. Déf."),"",INDEX('DONNÉES BRUTES'!T$3:T$42,MATCH(LARGE(IF('DONNÉES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P20" t="str" cm="1">
        <f t="array" ref="P20">IFERROR(IF(10&gt;COUNTIF('DONNÉES BRUTES'!C$3:C$42,"Conso. Déf."),"",INDEX('DONNÉES BRUTES'!U$3:U$42,MATCH(LARGE(IF('DONNÉES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  <c r="Q20" t="str" cm="1">
        <f t="array" ref="Q20">IFERROR(IF(10&gt;COUNTIF('DONNÉES BRUTES'!C$3:C$42,"Conso. Déf."),"",INDEX('DONNÉES BRUTES'!AD$3:AD$42,MATCH(LARGE(IF('DONNÉES BRUTES'!C$3:C$42="Conso. Déf.",'DONNÉES BRUTES'!AB$3:AB$42+(ROW('DONNÉES BRUTES'!A$3:A$42)-ROW('DONNÉES BRUTES'!A$3))/1000,0),10),IF('DONNÉES BRUTES'!C$3:C$42="Conso. Déf.",'DONNÉES BRUTES'!AB$3:AB$42+(ROW('DONNÉES BRUTES'!A$3:A$42)-ROW('DONNÉES BRUTES'!A$3))/1000,0),0))),"—")</f>
        <v/>
      </c>
    </row>
    <row r="21" spans="3:28" ht="15.9" customHeight="1" x14ac:dyDescent="0.3">
      <c r="C21" t="str" cm="1">
        <f t="array" ref="C21">IFERROR(IF(11&gt;COUNTIF('DONNÉES BRUTES'!C$3:C$42,"Conso. Déf."),"",INDEX('DONNÉES BRUTES'!A$3:A$42,MATCH(LARGE(IF('DONNÉES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D21" t="str" cm="1">
        <f t="array" ref="D21">IFERROR(IF(11&gt;COUNTIF('DONNÉES BRUTES'!C$3:C$42,"Conso. Déf."),"",INDEX('DONNÉES BRUTES'!B$3:B$42,MATCH(LARGE(IF('DONNÉES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E21" t="str" cm="1">
        <f t="array" ref="E21">IFERROR(IF(11&gt;COUNTIF('DONNÉES BRUTES'!C$3:C$42,"Conso. Déf."),"",INT(LARGE(IF('DONNÉES BRUTES'!C$3:C$42="Conso. Déf.",'DONNÉES BRUTES'!AB$3:AB$42+(ROW('DONNÉES BRUTES'!A$3:A$42)-ROW('DONNÉES BRUTES'!A$3))/1000,0),11))&amp;"/100"),"—")</f>
        <v/>
      </c>
      <c r="F21" t="str" cm="1">
        <f t="array" ref="F21">IFERROR(IF(11&gt;COUNTIF('DONNÉES BRUTES'!C$3:C$42,"Conso. Déf."),"",INDEX('DONNÉES BRUTES'!Y$3:Y$42,MATCH(LARGE(IF('DONNÉES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G21" t="str" cm="1">
        <f t="array" ref="G21">IFERROR(IF(11&gt;COUNTIF('DONNÉES BRUTES'!C$3:C$42,"Conso. Déf."),"",INDEX('DONNÉES BRUTES'!Z$3:Z$42,MATCH(LARGE(IF('DONNÉES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H21" t="str" cm="1">
        <f t="array" ref="H21">IFERROR(IF(11&gt;COUNTIF('DONNÉES BRUTES'!C$3:C$42,"Conso. Déf."),"",INDEX('DONNÉES BRUTES'!AA$3:AA$42,MATCH(LARGE(IF('DONNÉES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I21" t="str" cm="1">
        <f t="array" ref="I21">IFERROR(IF(11&gt;COUNTIF('DONNÉES BRUTES'!C$3:C$42,"Conso. Déf."),"",INDEX('DONNÉES BRUTES'!M$3:M$42,MATCH(LARGE(IF('DONNÉES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J21" t="str" cm="1">
        <f t="array" ref="J21">IFERROR(IF(11&gt;COUNTIF('DONNÉES BRUTES'!C$3:C$42,"Conso. Déf."),"",INDEX('DONNÉES BRUTES'!N$3:N$42,MATCH(LARGE(IF('DONNÉES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K21" t="str" cm="1">
        <f t="array" ref="K21">IFERROR(IF(11&gt;COUNTIF('DONNÉES BRUTES'!C$3:C$42,"Conso. Déf."),"",INDEX('DONNÉES BRUTES'!O$3:O$42,MATCH(LARGE(IF('DONNÉES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L21" t="str" cm="1">
        <f t="array" ref="L21">IFERROR(IF(11&gt;COUNTIF('DONNÉES BRUTES'!C$3:C$42,"Conso. Déf."),"",INDEX('DONNÉES BRUTES'!P$3:P$42,MATCH(LARGE(IF('DONNÉES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M21" t="str" cm="1">
        <f t="array" ref="M21">IFERROR(IF(11&gt;COUNTIF('DONNÉES BRUTES'!C$3:C$42,"Conso. Déf."),"",INDEX('DONNÉES BRUTES'!Q$3:Q$42,MATCH(LARGE(IF('DONNÉES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N21" t="str" cm="1">
        <f t="array" ref="N21">IFERROR(IF(11&gt;COUNTIF('DONNÉES BRUTES'!C$3:C$42,"Conso. Déf."),"",INDEX('DONNÉES BRUTES'!S$3:S$42,MATCH(LARGE(IF('DONNÉES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O21" t="str" cm="1">
        <f t="array" ref="O21">IFERROR(IF(11&gt;COUNTIF('DONNÉES BRUTES'!C$3:C$42,"Conso. Déf."),"",INDEX('DONNÉES BRUTES'!T$3:T$42,MATCH(LARGE(IF('DONNÉES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P21" t="str" cm="1">
        <f t="array" ref="P21">IFERROR(IF(11&gt;COUNTIF('DONNÉES BRUTES'!C$3:C$42,"Conso. Déf."),"",INDEX('DONNÉES BRUTES'!U$3:U$42,MATCH(LARGE(IF('DONNÉES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  <c r="Q21" t="str" cm="1">
        <f t="array" ref="Q21">IFERROR(IF(11&gt;COUNTIF('DONNÉES BRUTES'!C$3:C$42,"Conso. Déf."),"",INDEX('DONNÉES BRUTES'!AD$3:AD$42,MATCH(LARGE(IF('DONNÉES BRUTES'!C$3:C$42="Conso. Déf.",'DONNÉES BRUTES'!AB$3:AB$42+(ROW('DONNÉES BRUTES'!A$3:A$42)-ROW('DONNÉES BRUTES'!A$3))/1000,0),11),IF('DONNÉES BRUTES'!C$3:C$42="Conso. Déf.",'DONNÉES BRUTES'!AB$3:AB$42+(ROW('DONNÉES BRUTES'!A$3:A$42)-ROW('DONNÉES BRUTES'!A$3))/1000,0),0))),"—")</f>
        <v/>
      </c>
    </row>
    <row r="22" spans="3:28" ht="15.9" customHeight="1" x14ac:dyDescent="0.3">
      <c r="C22" t="str" cm="1">
        <f t="array" ref="C22">IFERROR(IF(12&gt;COUNTIF('DONNÉES BRUTES'!C$3:C$42,"Conso. Déf."),"",INDEX('DONNÉES BRUTES'!A$3:A$42,MATCH(LARGE(IF('DONNÉES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D22" t="str" cm="1">
        <f t="array" ref="D22">IFERROR(IF(12&gt;COUNTIF('DONNÉES BRUTES'!C$3:C$42,"Conso. Déf."),"",INDEX('DONNÉES BRUTES'!B$3:B$42,MATCH(LARGE(IF('DONNÉES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E22" t="str" cm="1">
        <f t="array" ref="E22">IFERROR(IF(12&gt;COUNTIF('DONNÉES BRUTES'!C$3:C$42,"Conso. Déf."),"",INT(LARGE(IF('DONNÉES BRUTES'!C$3:C$42="Conso. Déf.",'DONNÉES BRUTES'!AB$3:AB$42+(ROW('DONNÉES BRUTES'!A$3:A$42)-ROW('DONNÉES BRUTES'!A$3))/1000,0),12))&amp;"/100"),"—")</f>
        <v/>
      </c>
      <c r="F22" t="str" cm="1">
        <f t="array" ref="F22">IFERROR(IF(12&gt;COUNTIF('DONNÉES BRUTES'!C$3:C$42,"Conso. Déf."),"",INDEX('DONNÉES BRUTES'!Y$3:Y$42,MATCH(LARGE(IF('DONNÉES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G22" t="str" cm="1">
        <f t="array" ref="G22">IFERROR(IF(12&gt;COUNTIF('DONNÉES BRUTES'!C$3:C$42,"Conso. Déf."),"",INDEX('DONNÉES BRUTES'!Z$3:Z$42,MATCH(LARGE(IF('DONNÉES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H22" t="str" cm="1">
        <f t="array" ref="H22">IFERROR(IF(12&gt;COUNTIF('DONNÉES BRUTES'!C$3:C$42,"Conso. Déf."),"",INDEX('DONNÉES BRUTES'!AA$3:AA$42,MATCH(LARGE(IF('DONNÉES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I22" t="str" cm="1">
        <f t="array" ref="I22">IFERROR(IF(12&gt;COUNTIF('DONNÉES BRUTES'!C$3:C$42,"Conso. Déf."),"",INDEX('DONNÉES BRUTES'!M$3:M$42,MATCH(LARGE(IF('DONNÉES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J22" t="str" cm="1">
        <f t="array" ref="J22">IFERROR(IF(12&gt;COUNTIF('DONNÉES BRUTES'!C$3:C$42,"Conso. Déf."),"",INDEX('DONNÉES BRUTES'!N$3:N$42,MATCH(LARGE(IF('DONNÉES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K22" t="str" cm="1">
        <f t="array" ref="K22">IFERROR(IF(12&gt;COUNTIF('DONNÉES BRUTES'!C$3:C$42,"Conso. Déf."),"",INDEX('DONNÉES BRUTES'!O$3:O$42,MATCH(LARGE(IF('DONNÉES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L22" t="str" cm="1">
        <f t="array" ref="L22">IFERROR(IF(12&gt;COUNTIF('DONNÉES BRUTES'!C$3:C$42,"Conso. Déf."),"",INDEX('DONNÉES BRUTES'!P$3:P$42,MATCH(LARGE(IF('DONNÉES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M22" t="str" cm="1">
        <f t="array" ref="M22">IFERROR(IF(12&gt;COUNTIF('DONNÉES BRUTES'!C$3:C$42,"Conso. Déf."),"",INDEX('DONNÉES BRUTES'!Q$3:Q$42,MATCH(LARGE(IF('DONNÉES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N22" t="str" cm="1">
        <f t="array" ref="N22">IFERROR(IF(12&gt;COUNTIF('DONNÉES BRUTES'!C$3:C$42,"Conso. Déf."),"",INDEX('DONNÉES BRUTES'!S$3:S$42,MATCH(LARGE(IF('DONNÉES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O22" t="str" cm="1">
        <f t="array" ref="O22">IFERROR(IF(12&gt;COUNTIF('DONNÉES BRUTES'!C$3:C$42,"Conso. Déf."),"",INDEX('DONNÉES BRUTES'!T$3:T$42,MATCH(LARGE(IF('DONNÉES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P22" t="str" cm="1">
        <f t="array" ref="P22">IFERROR(IF(12&gt;COUNTIF('DONNÉES BRUTES'!C$3:C$42,"Conso. Déf."),"",INDEX('DONNÉES BRUTES'!U$3:U$42,MATCH(LARGE(IF('DONNÉES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  <c r="Q22" t="str" cm="1">
        <f t="array" ref="Q22">IFERROR(IF(12&gt;COUNTIF('DONNÉES BRUTES'!C$3:C$42,"Conso. Déf."),"",INDEX('DONNÉES BRUTES'!AD$3:AD$42,MATCH(LARGE(IF('DONNÉES BRUTES'!C$3:C$42="Conso. Déf.",'DONNÉES BRUTES'!AB$3:AB$42+(ROW('DONNÉES BRUTES'!A$3:A$42)-ROW('DONNÉES BRUTES'!A$3))/1000,0),12),IF('DONNÉES BRUTES'!C$3:C$42="Conso. Déf.",'DONNÉES BRUTES'!AB$3:AB$42+(ROW('DONNÉES BRUTES'!A$3:A$42)-ROW('DONNÉES BRUTES'!A$3))/1000,0),0))),"—")</f>
        <v/>
      </c>
    </row>
    <row r="23" spans="3:28" ht="15.9" customHeight="1" x14ac:dyDescent="0.3">
      <c r="C23" t="str" cm="1">
        <f t="array" ref="C23">IFERROR(IF(13&gt;COUNTIF('DONNÉES BRUTES'!C$3:C$42,"Conso. Déf."),"",INDEX('DONNÉES BRUTES'!A$3:A$42,MATCH(LARGE(IF('DONNÉES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D23" t="str" cm="1">
        <f t="array" ref="D23">IFERROR(IF(13&gt;COUNTIF('DONNÉES BRUTES'!C$3:C$42,"Conso. Déf."),"",INDEX('DONNÉES BRUTES'!B$3:B$42,MATCH(LARGE(IF('DONNÉES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E23" t="str" cm="1">
        <f t="array" ref="E23">IFERROR(IF(13&gt;COUNTIF('DONNÉES BRUTES'!C$3:C$42,"Conso. Déf."),"",INT(LARGE(IF('DONNÉES BRUTES'!C$3:C$42="Conso. Déf.",'DONNÉES BRUTES'!AB$3:AB$42+(ROW('DONNÉES BRUTES'!A$3:A$42)-ROW('DONNÉES BRUTES'!A$3))/1000,0),13))&amp;"/100"),"—")</f>
        <v/>
      </c>
      <c r="F23" t="str" cm="1">
        <f t="array" ref="F23">IFERROR(IF(13&gt;COUNTIF('DONNÉES BRUTES'!C$3:C$42,"Conso. Déf."),"",INDEX('DONNÉES BRUTES'!Y$3:Y$42,MATCH(LARGE(IF('DONNÉES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G23" t="str" cm="1">
        <f t="array" ref="G23">IFERROR(IF(13&gt;COUNTIF('DONNÉES BRUTES'!C$3:C$42,"Conso. Déf."),"",INDEX('DONNÉES BRUTES'!Z$3:Z$42,MATCH(LARGE(IF('DONNÉES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H23" t="str" cm="1">
        <f t="array" ref="H23">IFERROR(IF(13&gt;COUNTIF('DONNÉES BRUTES'!C$3:C$42,"Conso. Déf."),"",INDEX('DONNÉES BRUTES'!AA$3:AA$42,MATCH(LARGE(IF('DONNÉES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I23" t="str" cm="1">
        <f t="array" ref="I23">IFERROR(IF(13&gt;COUNTIF('DONNÉES BRUTES'!C$3:C$42,"Conso. Déf."),"",INDEX('DONNÉES BRUTES'!M$3:M$42,MATCH(LARGE(IF('DONNÉES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J23" t="str" cm="1">
        <f t="array" ref="J23">IFERROR(IF(13&gt;COUNTIF('DONNÉES BRUTES'!C$3:C$42,"Conso. Déf."),"",INDEX('DONNÉES BRUTES'!N$3:N$42,MATCH(LARGE(IF('DONNÉES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K23" t="str" cm="1">
        <f t="array" ref="K23">IFERROR(IF(13&gt;COUNTIF('DONNÉES BRUTES'!C$3:C$42,"Conso. Déf."),"",INDEX('DONNÉES BRUTES'!O$3:O$42,MATCH(LARGE(IF('DONNÉES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L23" t="str" cm="1">
        <f t="array" ref="L23">IFERROR(IF(13&gt;COUNTIF('DONNÉES BRUTES'!C$3:C$42,"Conso. Déf."),"",INDEX('DONNÉES BRUTES'!P$3:P$42,MATCH(LARGE(IF('DONNÉES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M23" t="str" cm="1">
        <f t="array" ref="M23">IFERROR(IF(13&gt;COUNTIF('DONNÉES BRUTES'!C$3:C$42,"Conso. Déf."),"",INDEX('DONNÉES BRUTES'!Q$3:Q$42,MATCH(LARGE(IF('DONNÉES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N23" t="str" cm="1">
        <f t="array" ref="N23">IFERROR(IF(13&gt;COUNTIF('DONNÉES BRUTES'!C$3:C$42,"Conso. Déf."),"",INDEX('DONNÉES BRUTES'!S$3:S$42,MATCH(LARGE(IF('DONNÉES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O23" t="str" cm="1">
        <f t="array" ref="O23">IFERROR(IF(13&gt;COUNTIF('DONNÉES BRUTES'!C$3:C$42,"Conso. Déf."),"",INDEX('DONNÉES BRUTES'!T$3:T$42,MATCH(LARGE(IF('DONNÉES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P23" t="str" cm="1">
        <f t="array" ref="P23">IFERROR(IF(13&gt;COUNTIF('DONNÉES BRUTES'!C$3:C$42,"Conso. Déf."),"",INDEX('DONNÉES BRUTES'!U$3:U$42,MATCH(LARGE(IF('DONNÉES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  <c r="Q23" t="str" cm="1">
        <f t="array" ref="Q23">IFERROR(IF(13&gt;COUNTIF('DONNÉES BRUTES'!C$3:C$42,"Conso. Déf."),"",INDEX('DONNÉES BRUTES'!AD$3:AD$42,MATCH(LARGE(IF('DONNÉES BRUTES'!C$3:C$42="Conso. Déf.",'DONNÉES BRUTES'!AB$3:AB$42+(ROW('DONNÉES BRUTES'!A$3:A$42)-ROW('DONNÉES BRUTES'!A$3))/1000,0),13),IF('DONNÉES BRUTES'!C$3:C$42="Conso. Déf.",'DONNÉES BRUTES'!AB$3:AB$42+(ROW('DONNÉES BRUTES'!A$3:A$42)-ROW('DONNÉES BRUTES'!A$3))/1000,0),0))),"—")</f>
        <v/>
      </c>
    </row>
    <row r="24" spans="3:28" ht="15.9" customHeight="1" x14ac:dyDescent="0.3">
      <c r="C24" t="str" cm="1">
        <f t="array" ref="C24">IFERROR(IF(14&gt;COUNTIF('DONNÉES BRUTES'!C$3:C$42,"Conso. Déf."),"",INDEX('DONNÉES BRUTES'!A$3:A$42,MATCH(LARGE(IF('DONNÉES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D24" t="str" cm="1">
        <f t="array" ref="D24">IFERROR(IF(14&gt;COUNTIF('DONNÉES BRUTES'!C$3:C$42,"Conso. Déf."),"",INDEX('DONNÉES BRUTES'!B$3:B$42,MATCH(LARGE(IF('DONNÉES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E24" t="str" cm="1">
        <f t="array" ref="E24">IFERROR(IF(14&gt;COUNTIF('DONNÉES BRUTES'!C$3:C$42,"Conso. Déf."),"",INT(LARGE(IF('DONNÉES BRUTES'!C$3:C$42="Conso. Déf.",'DONNÉES BRUTES'!AB$3:AB$42+(ROW('DONNÉES BRUTES'!A$3:A$42)-ROW('DONNÉES BRUTES'!A$3))/1000,0),14))&amp;"/100"),"—")</f>
        <v/>
      </c>
      <c r="F24" t="str" cm="1">
        <f t="array" ref="F24">IFERROR(IF(14&gt;COUNTIF('DONNÉES BRUTES'!C$3:C$42,"Conso. Déf."),"",INDEX('DONNÉES BRUTES'!Y$3:Y$42,MATCH(LARGE(IF('DONNÉES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G24" t="str" cm="1">
        <f t="array" ref="G24">IFERROR(IF(14&gt;COUNTIF('DONNÉES BRUTES'!C$3:C$42,"Conso. Déf."),"",INDEX('DONNÉES BRUTES'!Z$3:Z$42,MATCH(LARGE(IF('DONNÉES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H24" t="str" cm="1">
        <f t="array" ref="H24">IFERROR(IF(14&gt;COUNTIF('DONNÉES BRUTES'!C$3:C$42,"Conso. Déf."),"",INDEX('DONNÉES BRUTES'!AA$3:AA$42,MATCH(LARGE(IF('DONNÉES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I24" t="str" cm="1">
        <f t="array" ref="I24">IFERROR(IF(14&gt;COUNTIF('DONNÉES BRUTES'!C$3:C$42,"Conso. Déf."),"",INDEX('DONNÉES BRUTES'!M$3:M$42,MATCH(LARGE(IF('DONNÉES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J24" t="str" cm="1">
        <f t="array" ref="J24">IFERROR(IF(14&gt;COUNTIF('DONNÉES BRUTES'!C$3:C$42,"Conso. Déf."),"",INDEX('DONNÉES BRUTES'!N$3:N$42,MATCH(LARGE(IF('DONNÉES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K24" t="str" cm="1">
        <f t="array" ref="K24">IFERROR(IF(14&gt;COUNTIF('DONNÉES BRUTES'!C$3:C$42,"Conso. Déf."),"",INDEX('DONNÉES BRUTES'!O$3:O$42,MATCH(LARGE(IF('DONNÉES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L24" t="str" cm="1">
        <f t="array" ref="L24">IFERROR(IF(14&gt;COUNTIF('DONNÉES BRUTES'!C$3:C$42,"Conso. Déf."),"",INDEX('DONNÉES BRUTES'!P$3:P$42,MATCH(LARGE(IF('DONNÉES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M24" t="str" cm="1">
        <f t="array" ref="M24">IFERROR(IF(14&gt;COUNTIF('DONNÉES BRUTES'!C$3:C$42,"Conso. Déf."),"",INDEX('DONNÉES BRUTES'!Q$3:Q$42,MATCH(LARGE(IF('DONNÉES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N24" t="str" cm="1">
        <f t="array" ref="N24">IFERROR(IF(14&gt;COUNTIF('DONNÉES BRUTES'!C$3:C$42,"Conso. Déf."),"",INDEX('DONNÉES BRUTES'!S$3:S$42,MATCH(LARGE(IF('DONNÉES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O24" t="str" cm="1">
        <f t="array" ref="O24">IFERROR(IF(14&gt;COUNTIF('DONNÉES BRUTES'!C$3:C$42,"Conso. Déf."),"",INDEX('DONNÉES BRUTES'!T$3:T$42,MATCH(LARGE(IF('DONNÉES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P24" t="str" cm="1">
        <f t="array" ref="P24">IFERROR(IF(14&gt;COUNTIF('DONNÉES BRUTES'!C$3:C$42,"Conso. Déf."),"",INDEX('DONNÉES BRUTES'!U$3:U$42,MATCH(LARGE(IF('DONNÉES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  <c r="Q24" t="str" cm="1">
        <f t="array" ref="Q24">IFERROR(IF(14&gt;COUNTIF('DONNÉES BRUTES'!C$3:C$42,"Conso. Déf."),"",INDEX('DONNÉES BRUTES'!AD$3:AD$42,MATCH(LARGE(IF('DONNÉES BRUTES'!C$3:C$42="Conso. Déf.",'DONNÉES BRUTES'!AB$3:AB$42+(ROW('DONNÉES BRUTES'!A$3:A$42)-ROW('DONNÉES BRUTES'!A$3))/1000,0),14),IF('DONNÉES BRUTES'!C$3:C$42="Conso. Déf.",'DONNÉES BRUTES'!AB$3:AB$42+(ROW('DONNÉES BRUTES'!A$3:A$42)-ROW('DONNÉES BRUTES'!A$3))/1000,0),0))),"—")</f>
        <v/>
      </c>
    </row>
    <row r="25" spans="3:28" ht="15.9" customHeight="1" x14ac:dyDescent="0.3">
      <c r="C25" t="str" cm="1">
        <f t="array" ref="C25">IFERROR(IF(15&gt;COUNTIF('DONNÉES BRUTES'!C$3:C$42,"Conso. Déf."),"",INDEX('DONNÉES BRUTES'!A$3:A$42,MATCH(LARGE(IF('DONNÉES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D25" t="str" cm="1">
        <f t="array" ref="D25">IFERROR(IF(15&gt;COUNTIF('DONNÉES BRUTES'!C$3:C$42,"Conso. Déf."),"",INDEX('DONNÉES BRUTES'!B$3:B$42,MATCH(LARGE(IF('DONNÉES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E25" t="str" cm="1">
        <f t="array" ref="E25">IFERROR(IF(15&gt;COUNTIF('DONNÉES BRUTES'!C$3:C$42,"Conso. Déf."),"",INT(LARGE(IF('DONNÉES BRUTES'!C$3:C$42="Conso. Déf.",'DONNÉES BRUTES'!AB$3:AB$42+(ROW('DONNÉES BRUTES'!A$3:A$42)-ROW('DONNÉES BRUTES'!A$3))/1000,0),15))&amp;"/100"),"—")</f>
        <v/>
      </c>
      <c r="F25" t="str" cm="1">
        <f t="array" ref="F25">IFERROR(IF(15&gt;COUNTIF('DONNÉES BRUTES'!C$3:C$42,"Conso. Déf."),"",INDEX('DONNÉES BRUTES'!Y$3:Y$42,MATCH(LARGE(IF('DONNÉES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G25" t="str" cm="1">
        <f t="array" ref="G25">IFERROR(IF(15&gt;COUNTIF('DONNÉES BRUTES'!C$3:C$42,"Conso. Déf."),"",INDEX('DONNÉES BRUTES'!Z$3:Z$42,MATCH(LARGE(IF('DONNÉES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H25" t="str" cm="1">
        <f t="array" ref="H25">IFERROR(IF(15&gt;COUNTIF('DONNÉES BRUTES'!C$3:C$42,"Conso. Déf."),"",INDEX('DONNÉES BRUTES'!AA$3:AA$42,MATCH(LARGE(IF('DONNÉES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I25" t="str" cm="1">
        <f t="array" ref="I25">IFERROR(IF(15&gt;COUNTIF('DONNÉES BRUTES'!C$3:C$42,"Conso. Déf."),"",INDEX('DONNÉES BRUTES'!M$3:M$42,MATCH(LARGE(IF('DONNÉES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J25" t="str" cm="1">
        <f t="array" ref="J25">IFERROR(IF(15&gt;COUNTIF('DONNÉES BRUTES'!C$3:C$42,"Conso. Déf."),"",INDEX('DONNÉES BRUTES'!N$3:N$42,MATCH(LARGE(IF('DONNÉES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K25" t="str" cm="1">
        <f t="array" ref="K25">IFERROR(IF(15&gt;COUNTIF('DONNÉES BRUTES'!C$3:C$42,"Conso. Déf."),"",INDEX('DONNÉES BRUTES'!O$3:O$42,MATCH(LARGE(IF('DONNÉES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L25" t="str" cm="1">
        <f t="array" ref="L25">IFERROR(IF(15&gt;COUNTIF('DONNÉES BRUTES'!C$3:C$42,"Conso. Déf."),"",INDEX('DONNÉES BRUTES'!P$3:P$42,MATCH(LARGE(IF('DONNÉES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M25" t="str" cm="1">
        <f t="array" ref="M25">IFERROR(IF(15&gt;COUNTIF('DONNÉES BRUTES'!C$3:C$42,"Conso. Déf."),"",INDEX('DONNÉES BRUTES'!Q$3:Q$42,MATCH(LARGE(IF('DONNÉES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N25" t="str" cm="1">
        <f t="array" ref="N25">IFERROR(IF(15&gt;COUNTIF('DONNÉES BRUTES'!C$3:C$42,"Conso. Déf."),"",INDEX('DONNÉES BRUTES'!S$3:S$42,MATCH(LARGE(IF('DONNÉES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O25" t="str" cm="1">
        <f t="array" ref="O25">IFERROR(IF(15&gt;COUNTIF('DONNÉES BRUTES'!C$3:C$42,"Conso. Déf."),"",INDEX('DONNÉES BRUTES'!T$3:T$42,MATCH(LARGE(IF('DONNÉES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P25" t="str" cm="1">
        <f t="array" ref="P25">IFERROR(IF(15&gt;COUNTIF('DONNÉES BRUTES'!C$3:C$42,"Conso. Déf."),"",INDEX('DONNÉES BRUTES'!U$3:U$42,MATCH(LARGE(IF('DONNÉES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  <c r="Q25" t="str" cm="1">
        <f t="array" ref="Q25">IFERROR(IF(15&gt;COUNTIF('DONNÉES BRUTES'!C$3:C$42,"Conso. Déf."),"",INDEX('DONNÉES BRUTES'!AD$3:AD$42,MATCH(LARGE(IF('DONNÉES BRUTES'!C$3:C$42="Conso. Déf.",'DONNÉES BRUTES'!AB$3:AB$42+(ROW('DONNÉES BRUTES'!A$3:A$42)-ROW('DONNÉES BRUTES'!A$3))/1000,0),15),IF('DONNÉES BRUTES'!C$3:C$42="Conso. Déf.",'DONNÉES BRUTES'!AB$3:AB$42+(ROW('DONNÉES BRUTES'!A$3:A$42)-ROW('DONNÉES BRUTES'!A$3))/1000,0),0))),"—")</f>
        <v/>
      </c>
    </row>
    <row r="26" spans="3:28" ht="15.9" customHeight="1" x14ac:dyDescent="0.3"/>
    <row r="27" spans="3:28" ht="15.9" customHeight="1" x14ac:dyDescent="0.3"/>
    <row r="28" spans="3:28" ht="15.9" customHeight="1" x14ac:dyDescent="0.3">
      <c r="S28" s="160" t="s">
        <v>1</v>
      </c>
      <c r="T28" s="160" t="s">
        <v>8</v>
      </c>
      <c r="U28" t="s">
        <v>136</v>
      </c>
      <c r="V28" t="s">
        <v>137</v>
      </c>
      <c r="W28" s="160" t="s">
        <v>138</v>
      </c>
      <c r="X28" s="160"/>
      <c r="Y28" s="160" t="s">
        <v>1</v>
      </c>
      <c r="Z28" s="160" t="s">
        <v>136</v>
      </c>
      <c r="AA28" s="160" t="s">
        <v>137</v>
      </c>
      <c r="AB28" s="160" t="s">
        <v>138</v>
      </c>
    </row>
    <row r="29" spans="3:28" ht="15.9" customHeight="1" x14ac:dyDescent="0.3">
      <c r="S29" s="160" t="str">
        <f>IF(D11="","",LEFT(D11,14))</f>
        <v>L'Oréal S.A.</v>
      </c>
      <c r="T29" s="160">
        <f>IF(E11="","",IFERROR(VALUE(LEFT(E11,FIND("/",E11)-1)),0))</f>
        <v>56</v>
      </c>
      <c r="U29" s="160">
        <f t="shared" ref="U29:W31" si="0">IF(ISNUMBER(F11),F11,0)</f>
        <v>57</v>
      </c>
      <c r="V29" s="160">
        <f t="shared" si="0"/>
        <v>72</v>
      </c>
      <c r="W29" s="160">
        <f t="shared" si="0"/>
        <v>21</v>
      </c>
      <c r="X29" s="160">
        <f t="shared" ref="X29:Z31" si="1">IF(ISNUMBER(F11),F11,"")</f>
        <v>57</v>
      </c>
      <c r="Y29" s="160">
        <f t="shared" si="1"/>
        <v>72</v>
      </c>
      <c r="Z29" s="160">
        <f t="shared" si="1"/>
        <v>21</v>
      </c>
      <c r="AA29" s="160">
        <v>97</v>
      </c>
      <c r="AB29" s="160">
        <v>31</v>
      </c>
    </row>
    <row r="30" spans="3:28" ht="15.9" customHeight="1" x14ac:dyDescent="0.3">
      <c r="S30" s="160" t="str">
        <f>IF(D12="","",LEFT(D12,14))</f>
        <v>Unilever PLC</v>
      </c>
      <c r="T30" s="160">
        <f>IF(E12="","",IFERROR(VALUE(LEFT(E12,FIND("/",E12)-1)),0))</f>
        <v>36</v>
      </c>
      <c r="U30" s="160">
        <f t="shared" si="0"/>
        <v>52</v>
      </c>
      <c r="V30" s="160">
        <f t="shared" si="0"/>
        <v>43</v>
      </c>
      <c r="W30" s="160">
        <f t="shared" si="0"/>
        <v>11</v>
      </c>
      <c r="X30" s="160">
        <f t="shared" si="1"/>
        <v>52</v>
      </c>
      <c r="Y30" s="160">
        <f t="shared" si="1"/>
        <v>43</v>
      </c>
      <c r="Z30" s="160">
        <f t="shared" si="1"/>
        <v>11</v>
      </c>
      <c r="AA30" s="160">
        <v>72</v>
      </c>
      <c r="AB30" s="160">
        <v>67</v>
      </c>
    </row>
    <row r="31" spans="3:28" x14ac:dyDescent="0.3">
      <c r="S31" s="160" t="str">
        <f>IF(D13="","",LEFT(D13,14))</f>
        <v>Anheuser-Busch</v>
      </c>
      <c r="T31" s="160">
        <f>IF(E13="","",IFERROR(VALUE(LEFT(E13,FIND("/",E13)-1)),0))</f>
        <v>36</v>
      </c>
      <c r="U31" s="160">
        <f t="shared" si="0"/>
        <v>54</v>
      </c>
      <c r="V31" s="160">
        <f t="shared" si="0"/>
        <v>35</v>
      </c>
      <c r="W31" s="160">
        <f t="shared" si="0"/>
        <v>36</v>
      </c>
      <c r="X31" s="160">
        <f t="shared" si="1"/>
        <v>54</v>
      </c>
      <c r="Y31" s="160">
        <f t="shared" si="1"/>
        <v>35</v>
      </c>
      <c r="Z31" s="160">
        <f t="shared" si="1"/>
        <v>36</v>
      </c>
      <c r="AA31" s="160">
        <v>62</v>
      </c>
      <c r="AB31" s="160">
        <v>69</v>
      </c>
    </row>
  </sheetData>
  <mergeCells count="3">
    <mergeCell ref="B2:Q2"/>
    <mergeCell ref="B1:Q1"/>
    <mergeCell ref="B8:Q8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H42"/>
  <sheetViews>
    <sheetView showGridLines="0" zoomScale="90" workbookViewId="0"/>
  </sheetViews>
  <sheetFormatPr baseColWidth="10" defaultColWidth="8.88671875" defaultRowHeight="14.4" x14ac:dyDescent="0.3"/>
  <cols>
    <col min="1" max="1" width="14.6640625" customWidth="1"/>
    <col min="2" max="2" width="25.88671875" customWidth="1"/>
    <col min="3" max="3" width="21.33203125" customWidth="1"/>
    <col min="4" max="4" width="13.88671875" customWidth="1"/>
    <col min="5" max="5" width="14.6640625" customWidth="1"/>
    <col min="6" max="6" width="13.88671875" customWidth="1"/>
    <col min="7" max="7" width="15.6640625" customWidth="1"/>
    <col min="8" max="8" width="17.5546875" customWidth="1"/>
    <col min="9" max="9" width="17" customWidth="1"/>
    <col min="10" max="10" width="14.109375" customWidth="1"/>
    <col min="11" max="12" width="12.5546875" customWidth="1"/>
    <col min="13" max="13" width="15.33203125" customWidth="1"/>
    <col min="14" max="14" width="16.6640625" customWidth="1"/>
    <col min="15" max="15" width="15.33203125" customWidth="1"/>
    <col min="16" max="16" width="14.109375" customWidth="1"/>
    <col min="17" max="18" width="12.5546875" customWidth="1"/>
    <col min="19" max="19" width="14.6640625" customWidth="1"/>
    <col min="20" max="20" width="17.5546875" customWidth="1"/>
    <col min="21" max="21" width="14.6640625" customWidth="1"/>
    <col min="22" max="22" width="16.33203125" customWidth="1"/>
    <col min="23" max="24" width="15.33203125" customWidth="1"/>
    <col min="25" max="25" width="14.109375" customWidth="1"/>
    <col min="26" max="27" width="15.88671875" customWidth="1"/>
    <col min="28" max="28" width="17.44140625" customWidth="1"/>
    <col min="29" max="29" width="17" customWidth="1"/>
    <col min="30" max="30" width="15.33203125" customWidth="1"/>
  </cols>
  <sheetData>
    <row r="1" spans="1:34" ht="28.2" customHeight="1" thickBot="1" x14ac:dyDescent="0.35">
      <c r="A1" s="7" t="s">
        <v>421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F1" t="s">
        <v>6</v>
      </c>
      <c r="AG1" t="s">
        <v>2</v>
      </c>
      <c r="AH1" t="s">
        <v>377</v>
      </c>
    </row>
    <row r="2" spans="1:34" x14ac:dyDescent="0.3">
      <c r="A2" s="6" t="s">
        <v>6</v>
      </c>
      <c r="B2" s="6" t="s">
        <v>1</v>
      </c>
      <c r="C2" s="6" t="s">
        <v>7</v>
      </c>
      <c r="D2" s="6" t="s">
        <v>422</v>
      </c>
      <c r="E2" s="6" t="s">
        <v>423</v>
      </c>
      <c r="F2" s="6" t="s">
        <v>424</v>
      </c>
      <c r="G2" s="6" t="s">
        <v>425</v>
      </c>
      <c r="H2" s="6" t="s">
        <v>426</v>
      </c>
      <c r="I2" s="6" t="s">
        <v>9</v>
      </c>
      <c r="J2" s="6" t="s">
        <v>427</v>
      </c>
      <c r="K2" s="6" t="s">
        <v>11</v>
      </c>
      <c r="L2" s="6" t="s">
        <v>428</v>
      </c>
      <c r="M2" s="6" t="s">
        <v>429</v>
      </c>
      <c r="N2" s="6" t="s">
        <v>377</v>
      </c>
      <c r="O2" s="6" t="s">
        <v>430</v>
      </c>
      <c r="P2" s="6" t="s">
        <v>431</v>
      </c>
      <c r="Q2" s="6" t="s">
        <v>147</v>
      </c>
      <c r="R2" s="6" t="s">
        <v>432</v>
      </c>
      <c r="S2" s="6" t="s">
        <v>433</v>
      </c>
      <c r="T2" s="6" t="s">
        <v>418</v>
      </c>
      <c r="U2" s="6" t="s">
        <v>14</v>
      </c>
      <c r="V2" s="6" t="s">
        <v>243</v>
      </c>
      <c r="W2" s="6" t="s">
        <v>434</v>
      </c>
      <c r="X2" s="6" t="s">
        <v>435</v>
      </c>
      <c r="Y2" s="6" t="s">
        <v>144</v>
      </c>
      <c r="Z2" s="6" t="s">
        <v>242</v>
      </c>
      <c r="AA2" s="1" t="s">
        <v>282</v>
      </c>
      <c r="AB2" s="1" t="s">
        <v>2</v>
      </c>
      <c r="AC2" s="1" t="s">
        <v>436</v>
      </c>
      <c r="AD2" s="1" t="s">
        <v>3</v>
      </c>
      <c r="AF2" t="s">
        <v>56</v>
      </c>
      <c r="AG2">
        <v>75</v>
      </c>
      <c r="AH2">
        <v>46.8</v>
      </c>
    </row>
    <row r="3" spans="1:34" ht="13.2" customHeight="1" thickBot="1" x14ac:dyDescent="0.35">
      <c r="A3" s="4" t="s">
        <v>150</v>
      </c>
      <c r="B3" s="4" t="s">
        <v>151</v>
      </c>
      <c r="C3" s="4" t="s">
        <v>19</v>
      </c>
      <c r="D3" s="4">
        <v>1270</v>
      </c>
      <c r="E3" s="4" t="s">
        <v>30</v>
      </c>
      <c r="F3" s="4" t="s">
        <v>30</v>
      </c>
      <c r="G3" s="4" t="s">
        <v>437</v>
      </c>
      <c r="H3" s="4" t="s">
        <v>438</v>
      </c>
      <c r="I3" s="4" t="s">
        <v>30</v>
      </c>
      <c r="J3" s="4" t="s">
        <v>30</v>
      </c>
      <c r="K3" s="4" t="s">
        <v>30</v>
      </c>
      <c r="L3" s="4" t="s">
        <v>30</v>
      </c>
      <c r="M3" s="4" t="s">
        <v>439</v>
      </c>
      <c r="N3" s="4" t="s">
        <v>154</v>
      </c>
      <c r="O3" s="4" t="s">
        <v>155</v>
      </c>
      <c r="P3" s="4" t="s">
        <v>153</v>
      </c>
      <c r="Q3" s="4" t="s">
        <v>156</v>
      </c>
      <c r="R3" s="4" t="s">
        <v>440</v>
      </c>
      <c r="S3" s="4">
        <v>1.26</v>
      </c>
      <c r="T3" s="4" t="s">
        <v>441</v>
      </c>
      <c r="U3" s="4">
        <v>4.1500000000000004</v>
      </c>
      <c r="V3" s="4">
        <v>-3.3</v>
      </c>
      <c r="W3" s="4" t="s">
        <v>293</v>
      </c>
      <c r="X3" s="4">
        <v>24</v>
      </c>
      <c r="Y3" s="4">
        <v>92</v>
      </c>
      <c r="Z3" s="4">
        <v>86</v>
      </c>
      <c r="AA3" s="2">
        <v>98</v>
      </c>
      <c r="AB3" s="2">
        <v>75</v>
      </c>
      <c r="AC3" s="2" t="s">
        <v>294</v>
      </c>
      <c r="AD3" s="2" t="s">
        <v>158</v>
      </c>
      <c r="AF3" t="s">
        <v>270</v>
      </c>
      <c r="AG3">
        <v>74</v>
      </c>
      <c r="AH3">
        <v>27.9</v>
      </c>
    </row>
    <row r="4" spans="1:34" ht="13.2" customHeight="1" thickBot="1" x14ac:dyDescent="0.35">
      <c r="A4" s="13" t="s">
        <v>110</v>
      </c>
      <c r="B4" s="13" t="s">
        <v>111</v>
      </c>
      <c r="C4" s="13" t="s">
        <v>112</v>
      </c>
      <c r="D4" s="13">
        <v>7345</v>
      </c>
      <c r="E4" s="13">
        <v>9214.1</v>
      </c>
      <c r="F4" s="13">
        <v>9229.1</v>
      </c>
      <c r="G4" s="13" t="s">
        <v>442</v>
      </c>
      <c r="H4" s="13" t="s">
        <v>443</v>
      </c>
      <c r="I4" s="13">
        <v>401.8</v>
      </c>
      <c r="J4" s="13">
        <v>160.1</v>
      </c>
      <c r="K4" s="13">
        <v>925.1</v>
      </c>
      <c r="L4" s="13">
        <v>7.94</v>
      </c>
      <c r="M4" s="13" t="s">
        <v>114</v>
      </c>
      <c r="N4" s="13" t="s">
        <v>115</v>
      </c>
      <c r="O4" s="13" t="s">
        <v>183</v>
      </c>
      <c r="P4" s="13" t="s">
        <v>182</v>
      </c>
      <c r="Q4" s="13" t="s">
        <v>184</v>
      </c>
      <c r="R4" s="13" t="s">
        <v>444</v>
      </c>
      <c r="S4" s="13">
        <v>1.44</v>
      </c>
      <c r="T4" s="13" t="s">
        <v>445</v>
      </c>
      <c r="U4" s="13">
        <v>3.45</v>
      </c>
      <c r="V4" s="13">
        <v>-2.93</v>
      </c>
      <c r="W4" s="13" t="s">
        <v>302</v>
      </c>
      <c r="X4" s="13">
        <v>38</v>
      </c>
      <c r="Y4" s="13">
        <v>77</v>
      </c>
      <c r="Z4" s="13">
        <v>78</v>
      </c>
      <c r="AA4" s="8">
        <v>91</v>
      </c>
      <c r="AB4" s="3">
        <v>70</v>
      </c>
      <c r="AC4" s="3" t="s">
        <v>30</v>
      </c>
      <c r="AD4" s="3" t="s">
        <v>158</v>
      </c>
      <c r="AF4" t="s">
        <v>446</v>
      </c>
      <c r="AG4">
        <v>72</v>
      </c>
      <c r="AH4">
        <v>30.4</v>
      </c>
    </row>
    <row r="5" spans="1:34" ht="15.9" customHeight="1" thickBot="1" x14ac:dyDescent="0.35">
      <c r="A5" s="14" t="s">
        <v>56</v>
      </c>
      <c r="B5" s="15" t="s">
        <v>57</v>
      </c>
      <c r="C5" s="14" t="s">
        <v>27</v>
      </c>
      <c r="D5" s="15">
        <v>1757.5</v>
      </c>
      <c r="E5" s="15">
        <v>184.2</v>
      </c>
      <c r="F5" s="15">
        <v>172</v>
      </c>
      <c r="G5" s="15" t="s">
        <v>447</v>
      </c>
      <c r="H5" s="15" t="s">
        <v>448</v>
      </c>
      <c r="I5" s="15">
        <v>22.9</v>
      </c>
      <c r="J5" s="15">
        <v>10.8</v>
      </c>
      <c r="K5" s="15">
        <v>40.700000000000003</v>
      </c>
      <c r="L5" s="15">
        <v>43.15</v>
      </c>
      <c r="M5" s="15" t="s">
        <v>58</v>
      </c>
      <c r="N5" s="15" t="s">
        <v>59</v>
      </c>
      <c r="O5" s="15" t="s">
        <v>169</v>
      </c>
      <c r="P5" s="15" t="s">
        <v>168</v>
      </c>
      <c r="Q5" s="15" t="s">
        <v>55</v>
      </c>
      <c r="R5" s="15" t="s">
        <v>449</v>
      </c>
      <c r="S5" s="15">
        <v>4.99</v>
      </c>
      <c r="T5" s="15" t="s">
        <v>450</v>
      </c>
      <c r="U5" s="15">
        <v>9.4700000000000006</v>
      </c>
      <c r="V5" s="15">
        <v>-3.21</v>
      </c>
      <c r="W5" s="15" t="s">
        <v>451</v>
      </c>
      <c r="X5" s="15">
        <v>60</v>
      </c>
      <c r="Y5" s="15">
        <v>81</v>
      </c>
      <c r="Z5" s="15">
        <v>99</v>
      </c>
      <c r="AA5" s="11">
        <v>4</v>
      </c>
      <c r="AB5" s="9">
        <v>65</v>
      </c>
      <c r="AC5" s="9" t="s">
        <v>30</v>
      </c>
      <c r="AD5" s="9" t="s">
        <v>158</v>
      </c>
      <c r="AF5" t="s">
        <v>452</v>
      </c>
      <c r="AG5">
        <v>72</v>
      </c>
      <c r="AH5">
        <v>21</v>
      </c>
    </row>
    <row r="6" spans="1:34" ht="15.9" customHeight="1" thickBot="1" x14ac:dyDescent="0.35">
      <c r="A6" s="16" t="s">
        <v>17</v>
      </c>
      <c r="B6" s="17" t="s">
        <v>18</v>
      </c>
      <c r="C6" s="16" t="s">
        <v>19</v>
      </c>
      <c r="D6" s="17">
        <v>139.38</v>
      </c>
      <c r="E6" s="17">
        <v>162.69999999999999</v>
      </c>
      <c r="F6" s="17">
        <v>160.30000000000001</v>
      </c>
      <c r="G6" s="17" t="s">
        <v>453</v>
      </c>
      <c r="H6" s="17" t="s">
        <v>454</v>
      </c>
      <c r="I6" s="17">
        <v>13.3</v>
      </c>
      <c r="J6" s="17">
        <v>4.4000000000000004</v>
      </c>
      <c r="K6" s="17">
        <v>22.7</v>
      </c>
      <c r="L6" s="17">
        <v>6.13</v>
      </c>
      <c r="M6" s="17" t="s">
        <v>21</v>
      </c>
      <c r="N6" s="17" t="s">
        <v>22</v>
      </c>
      <c r="O6" s="17" t="s">
        <v>178</v>
      </c>
      <c r="P6" s="17" t="s">
        <v>177</v>
      </c>
      <c r="Q6" s="17" t="s">
        <v>179</v>
      </c>
      <c r="R6" s="17" t="s">
        <v>266</v>
      </c>
      <c r="S6" s="17">
        <v>1.1599999999999999</v>
      </c>
      <c r="T6" s="17" t="s">
        <v>455</v>
      </c>
      <c r="U6" s="17">
        <v>5.34</v>
      </c>
      <c r="V6" s="17">
        <v>-3.14</v>
      </c>
      <c r="W6" s="17" t="s">
        <v>456</v>
      </c>
      <c r="X6" s="17">
        <v>74</v>
      </c>
      <c r="Y6" s="17">
        <v>78</v>
      </c>
      <c r="Z6" s="17">
        <v>80</v>
      </c>
      <c r="AA6" s="12">
        <v>0</v>
      </c>
      <c r="AB6" s="10">
        <v>62</v>
      </c>
      <c r="AC6" s="10" t="s">
        <v>300</v>
      </c>
      <c r="AD6" s="10" t="s">
        <v>158</v>
      </c>
      <c r="AF6" t="s">
        <v>33</v>
      </c>
      <c r="AG6">
        <v>72</v>
      </c>
      <c r="AH6">
        <v>26.7</v>
      </c>
    </row>
    <row r="7" spans="1:34" ht="15.9" customHeight="1" thickBot="1" x14ac:dyDescent="0.35">
      <c r="A7" s="14" t="s">
        <v>159</v>
      </c>
      <c r="B7" s="15" t="s">
        <v>160</v>
      </c>
      <c r="C7" s="14" t="s">
        <v>35</v>
      </c>
      <c r="D7" s="15">
        <v>15230</v>
      </c>
      <c r="E7" s="15">
        <v>23619.200000000001</v>
      </c>
      <c r="F7" s="15">
        <v>23640.799999999999</v>
      </c>
      <c r="G7" s="15" t="s">
        <v>457</v>
      </c>
      <c r="H7" s="15" t="s">
        <v>458</v>
      </c>
      <c r="I7" s="15">
        <v>1211.7</v>
      </c>
      <c r="J7" s="15">
        <v>402.5</v>
      </c>
      <c r="K7" s="15">
        <v>2311.1</v>
      </c>
      <c r="L7" s="15">
        <v>6.59</v>
      </c>
      <c r="M7" s="15" t="s">
        <v>459</v>
      </c>
      <c r="N7" s="15" t="s">
        <v>163</v>
      </c>
      <c r="O7" s="15" t="s">
        <v>164</v>
      </c>
      <c r="P7" s="15" t="s">
        <v>162</v>
      </c>
      <c r="Q7" s="15" t="s">
        <v>165</v>
      </c>
      <c r="R7" s="15" t="s">
        <v>460</v>
      </c>
      <c r="S7" s="15">
        <v>0.94</v>
      </c>
      <c r="T7" s="15" t="s">
        <v>461</v>
      </c>
      <c r="U7" s="15">
        <v>1.81</v>
      </c>
      <c r="V7" s="15">
        <v>-2.92</v>
      </c>
      <c r="W7" s="15" t="s">
        <v>332</v>
      </c>
      <c r="X7" s="15">
        <v>29</v>
      </c>
      <c r="Y7" s="15">
        <v>87</v>
      </c>
      <c r="Z7" s="15">
        <v>50</v>
      </c>
      <c r="AA7" s="11">
        <v>70</v>
      </c>
      <c r="AB7" s="9">
        <v>60</v>
      </c>
      <c r="AC7" s="9" t="s">
        <v>313</v>
      </c>
      <c r="AD7" s="9" t="s">
        <v>158</v>
      </c>
      <c r="AF7" t="s">
        <v>462</v>
      </c>
      <c r="AG7">
        <v>70</v>
      </c>
      <c r="AH7">
        <v>6.8</v>
      </c>
    </row>
    <row r="8" spans="1:34" ht="15.9" customHeight="1" thickBot="1" x14ac:dyDescent="0.35">
      <c r="A8" s="16" t="s">
        <v>91</v>
      </c>
      <c r="B8" s="17" t="s">
        <v>92</v>
      </c>
      <c r="C8" s="16" t="s">
        <v>93</v>
      </c>
      <c r="D8" s="17">
        <v>59.04</v>
      </c>
      <c r="E8" s="17">
        <v>42.1</v>
      </c>
      <c r="F8" s="17">
        <v>48.6</v>
      </c>
      <c r="G8" s="17" t="s">
        <v>463</v>
      </c>
      <c r="H8" s="17" t="s">
        <v>464</v>
      </c>
      <c r="I8" s="17">
        <v>7.1</v>
      </c>
      <c r="J8" s="17">
        <v>2.8</v>
      </c>
      <c r="K8" s="17">
        <v>13.4</v>
      </c>
      <c r="L8" s="17">
        <v>4.3899999999999997</v>
      </c>
      <c r="M8" s="17" t="s">
        <v>22</v>
      </c>
      <c r="N8" s="17" t="s">
        <v>94</v>
      </c>
      <c r="O8" s="17" t="s">
        <v>465</v>
      </c>
      <c r="P8" s="17" t="s">
        <v>466</v>
      </c>
      <c r="Q8" s="17" t="s">
        <v>262</v>
      </c>
      <c r="R8" s="17" t="s">
        <v>108</v>
      </c>
      <c r="S8" s="17">
        <v>1.5</v>
      </c>
      <c r="T8" s="17" t="s">
        <v>467</v>
      </c>
      <c r="U8" s="17">
        <v>2.35</v>
      </c>
      <c r="V8" s="17">
        <v>-3.22</v>
      </c>
      <c r="W8" s="17" t="s">
        <v>296</v>
      </c>
      <c r="X8" s="17">
        <v>53</v>
      </c>
      <c r="Y8" s="17">
        <v>37</v>
      </c>
      <c r="Z8" s="17">
        <v>66</v>
      </c>
      <c r="AA8" s="12">
        <v>96</v>
      </c>
      <c r="AB8" s="10">
        <v>60</v>
      </c>
      <c r="AC8" s="10" t="s">
        <v>297</v>
      </c>
      <c r="AD8" s="10" t="s">
        <v>158</v>
      </c>
      <c r="AF8" t="s">
        <v>468</v>
      </c>
      <c r="AG8">
        <v>69</v>
      </c>
      <c r="AH8">
        <v>89.1</v>
      </c>
    </row>
    <row r="9" spans="1:34" ht="15.9" customHeight="1" thickBot="1" x14ac:dyDescent="0.35">
      <c r="A9" s="14" t="s">
        <v>198</v>
      </c>
      <c r="B9" s="15" t="s">
        <v>199</v>
      </c>
      <c r="C9" s="14" t="s">
        <v>27</v>
      </c>
      <c r="D9" s="15">
        <v>54</v>
      </c>
      <c r="E9" s="15" t="s">
        <v>30</v>
      </c>
      <c r="F9" s="15" t="s">
        <v>30</v>
      </c>
      <c r="G9" s="15" t="s">
        <v>469</v>
      </c>
      <c r="H9" s="15" t="s">
        <v>470</v>
      </c>
      <c r="I9" s="15" t="s">
        <v>30</v>
      </c>
      <c r="J9" s="15" t="s">
        <v>30</v>
      </c>
      <c r="K9" s="15" t="s">
        <v>30</v>
      </c>
      <c r="L9" s="15" t="s">
        <v>30</v>
      </c>
      <c r="M9" s="15" t="s">
        <v>471</v>
      </c>
      <c r="N9" s="15" t="s">
        <v>201</v>
      </c>
      <c r="O9" s="15" t="s">
        <v>202</v>
      </c>
      <c r="P9" s="15" t="s">
        <v>200</v>
      </c>
      <c r="Q9" s="15" t="s">
        <v>203</v>
      </c>
      <c r="R9" s="15" t="s">
        <v>256</v>
      </c>
      <c r="S9" s="15">
        <v>1.54</v>
      </c>
      <c r="T9" s="15" t="s">
        <v>472</v>
      </c>
      <c r="U9" s="15">
        <v>4.57</v>
      </c>
      <c r="V9" s="15">
        <v>-1.62</v>
      </c>
      <c r="W9" s="15" t="s">
        <v>473</v>
      </c>
      <c r="X9" s="15">
        <v>26</v>
      </c>
      <c r="Y9" s="15">
        <v>67</v>
      </c>
      <c r="Z9" s="15">
        <v>83</v>
      </c>
      <c r="AA9" s="11">
        <v>51</v>
      </c>
      <c r="AB9" s="9">
        <v>58</v>
      </c>
      <c r="AC9" s="9" t="s">
        <v>474</v>
      </c>
      <c r="AD9" s="9" t="s">
        <v>171</v>
      </c>
      <c r="AF9" t="s">
        <v>223</v>
      </c>
      <c r="AG9">
        <v>68</v>
      </c>
      <c r="AH9">
        <v>14</v>
      </c>
    </row>
    <row r="10" spans="1:34" ht="15.9" customHeight="1" thickBot="1" x14ac:dyDescent="0.35">
      <c r="A10" s="16" t="s">
        <v>118</v>
      </c>
      <c r="B10" s="17" t="s">
        <v>119</v>
      </c>
      <c r="C10" s="16" t="s">
        <v>35</v>
      </c>
      <c r="D10" s="17">
        <v>2176</v>
      </c>
      <c r="E10" s="17">
        <v>8695</v>
      </c>
      <c r="F10" s="17">
        <v>8708.7000000000007</v>
      </c>
      <c r="G10" s="17" t="s">
        <v>437</v>
      </c>
      <c r="H10" s="17" t="s">
        <v>475</v>
      </c>
      <c r="I10" s="17">
        <v>837.4</v>
      </c>
      <c r="J10" s="17">
        <v>266.60000000000002</v>
      </c>
      <c r="K10" s="17">
        <v>1521.7</v>
      </c>
      <c r="L10" s="17">
        <v>1.43</v>
      </c>
      <c r="M10" s="17" t="s">
        <v>121</v>
      </c>
      <c r="N10" s="17" t="s">
        <v>122</v>
      </c>
      <c r="O10" s="17" t="s">
        <v>174</v>
      </c>
      <c r="P10" s="17" t="s">
        <v>173</v>
      </c>
      <c r="Q10" s="17" t="s">
        <v>175</v>
      </c>
      <c r="R10" s="17" t="s">
        <v>476</v>
      </c>
      <c r="S10" s="17">
        <v>0.82</v>
      </c>
      <c r="T10" s="17" t="s">
        <v>477</v>
      </c>
      <c r="U10" s="17">
        <v>1.4</v>
      </c>
      <c r="V10" s="17">
        <v>-3.01</v>
      </c>
      <c r="W10" s="17" t="s">
        <v>330</v>
      </c>
      <c r="X10" s="17">
        <v>33</v>
      </c>
      <c r="Y10" s="17">
        <v>78</v>
      </c>
      <c r="Z10" s="17">
        <v>41</v>
      </c>
      <c r="AA10" s="12">
        <v>72</v>
      </c>
      <c r="AB10" s="10">
        <v>56</v>
      </c>
      <c r="AC10" s="10" t="s">
        <v>313</v>
      </c>
      <c r="AD10" s="10" t="s">
        <v>171</v>
      </c>
      <c r="AF10" t="s">
        <v>478</v>
      </c>
      <c r="AG10">
        <v>68</v>
      </c>
      <c r="AH10">
        <v>39.200000000000003</v>
      </c>
    </row>
    <row r="11" spans="1:34" ht="15.9" customHeight="1" thickBot="1" x14ac:dyDescent="0.35">
      <c r="A11" s="14" t="s">
        <v>25</v>
      </c>
      <c r="B11" s="15" t="s">
        <v>26</v>
      </c>
      <c r="C11" s="14" t="s">
        <v>27</v>
      </c>
      <c r="D11" s="15">
        <v>41.55</v>
      </c>
      <c r="E11" s="15">
        <v>89.7</v>
      </c>
      <c r="F11" s="15">
        <v>98.9</v>
      </c>
      <c r="G11" s="15" t="s">
        <v>479</v>
      </c>
      <c r="H11" s="15" t="s">
        <v>480</v>
      </c>
      <c r="I11" s="15">
        <v>7.4</v>
      </c>
      <c r="J11" s="15">
        <v>16</v>
      </c>
      <c r="K11" s="15">
        <v>7.3</v>
      </c>
      <c r="L11" s="15">
        <v>5.73</v>
      </c>
      <c r="M11" s="15" t="s">
        <v>29</v>
      </c>
      <c r="N11" s="15" t="s">
        <v>30</v>
      </c>
      <c r="O11" s="15" t="s">
        <v>30</v>
      </c>
      <c r="P11" s="15" t="s">
        <v>205</v>
      </c>
      <c r="Q11" s="15" t="s">
        <v>206</v>
      </c>
      <c r="R11" s="15" t="s">
        <v>481</v>
      </c>
      <c r="S11" s="15">
        <v>3.54</v>
      </c>
      <c r="T11" s="15" t="s">
        <v>445</v>
      </c>
      <c r="U11" s="15">
        <v>8.7200000000000006</v>
      </c>
      <c r="V11" s="15">
        <v>-3.26</v>
      </c>
      <c r="W11" s="15" t="s">
        <v>482</v>
      </c>
      <c r="X11" s="15">
        <v>72</v>
      </c>
      <c r="Y11" s="15">
        <v>66</v>
      </c>
      <c r="Z11" s="15">
        <v>59</v>
      </c>
      <c r="AA11" s="11">
        <v>15</v>
      </c>
      <c r="AB11" s="9">
        <v>56</v>
      </c>
      <c r="AC11" s="9" t="s">
        <v>30</v>
      </c>
      <c r="AD11" s="9" t="s">
        <v>171</v>
      </c>
      <c r="AF11" t="s">
        <v>483</v>
      </c>
      <c r="AG11">
        <v>65</v>
      </c>
      <c r="AH11">
        <v>192.6</v>
      </c>
    </row>
    <row r="12" spans="1:34" ht="15.9" customHeight="1" thickBot="1" x14ac:dyDescent="0.35">
      <c r="A12" s="16" t="s">
        <v>41</v>
      </c>
      <c r="B12" s="17" t="s">
        <v>42</v>
      </c>
      <c r="C12" s="16" t="s">
        <v>43</v>
      </c>
      <c r="D12" s="17">
        <v>358.9</v>
      </c>
      <c r="E12" s="17">
        <v>191.6</v>
      </c>
      <c r="F12" s="17">
        <v>191.8</v>
      </c>
      <c r="G12" s="17" t="s">
        <v>484</v>
      </c>
      <c r="H12" s="17" t="s">
        <v>485</v>
      </c>
      <c r="I12" s="17">
        <v>17.899999999999999</v>
      </c>
      <c r="J12" s="17">
        <v>4.4000000000000004</v>
      </c>
      <c r="K12" s="17">
        <v>31.3</v>
      </c>
      <c r="L12" s="17">
        <v>11.48</v>
      </c>
      <c r="M12" s="17" t="s">
        <v>45</v>
      </c>
      <c r="N12" s="17" t="s">
        <v>46</v>
      </c>
      <c r="O12" s="17" t="s">
        <v>486</v>
      </c>
      <c r="P12" s="17" t="s">
        <v>487</v>
      </c>
      <c r="Q12" s="17" t="s">
        <v>256</v>
      </c>
      <c r="R12" s="17" t="s">
        <v>488</v>
      </c>
      <c r="S12" s="17">
        <v>1.44</v>
      </c>
      <c r="T12" s="17" t="s">
        <v>489</v>
      </c>
      <c r="U12" s="17">
        <v>3.38</v>
      </c>
      <c r="V12" s="17">
        <v>-3.16</v>
      </c>
      <c r="W12" s="17" t="s">
        <v>490</v>
      </c>
      <c r="X12" s="17">
        <v>66</v>
      </c>
      <c r="Y12" s="17">
        <v>57</v>
      </c>
      <c r="Z12" s="17">
        <v>72</v>
      </c>
      <c r="AA12" s="12">
        <v>21</v>
      </c>
      <c r="AB12" s="10">
        <v>56</v>
      </c>
      <c r="AC12" s="10" t="s">
        <v>30</v>
      </c>
      <c r="AD12" s="10" t="s">
        <v>171</v>
      </c>
      <c r="AF12" t="s">
        <v>491</v>
      </c>
      <c r="AG12">
        <v>64</v>
      </c>
      <c r="AH12">
        <v>23.2</v>
      </c>
    </row>
    <row r="13" spans="1:34" ht="15.9" customHeight="1" thickBot="1" x14ac:dyDescent="0.35">
      <c r="A13" s="14" t="s">
        <v>33</v>
      </c>
      <c r="B13" s="15" t="s">
        <v>34</v>
      </c>
      <c r="C13" s="14" t="s">
        <v>35</v>
      </c>
      <c r="D13" s="15">
        <v>80.19</v>
      </c>
      <c r="E13" s="15">
        <v>96.5</v>
      </c>
      <c r="F13" s="15">
        <v>107.4</v>
      </c>
      <c r="G13" s="15" t="s">
        <v>492</v>
      </c>
      <c r="H13" s="15" t="s">
        <v>493</v>
      </c>
      <c r="I13" s="15">
        <v>8.6</v>
      </c>
      <c r="J13" s="15">
        <v>2.2999999999999998</v>
      </c>
      <c r="K13" s="15">
        <v>12.4</v>
      </c>
      <c r="L13" s="15">
        <v>6.49</v>
      </c>
      <c r="M13" s="15" t="s">
        <v>37</v>
      </c>
      <c r="N13" s="15" t="s">
        <v>38</v>
      </c>
      <c r="O13" s="15" t="s">
        <v>195</v>
      </c>
      <c r="P13" s="15" t="s">
        <v>168</v>
      </c>
      <c r="Q13" s="15" t="s">
        <v>196</v>
      </c>
      <c r="R13" s="15" t="s">
        <v>76</v>
      </c>
      <c r="S13" s="15">
        <v>1.0900000000000001</v>
      </c>
      <c r="T13" s="15" t="s">
        <v>467</v>
      </c>
      <c r="U13" s="15" t="s">
        <v>30</v>
      </c>
      <c r="V13" s="15">
        <v>-3</v>
      </c>
      <c r="W13" s="15" t="s">
        <v>494</v>
      </c>
      <c r="X13" s="15">
        <v>68</v>
      </c>
      <c r="Y13" s="15">
        <v>67</v>
      </c>
      <c r="Z13" s="15">
        <v>39</v>
      </c>
      <c r="AA13" s="11">
        <v>17</v>
      </c>
      <c r="AB13" s="9">
        <v>50</v>
      </c>
      <c r="AC13" s="9" t="s">
        <v>300</v>
      </c>
      <c r="AD13" s="9" t="s">
        <v>171</v>
      </c>
      <c r="AF13" t="s">
        <v>41</v>
      </c>
      <c r="AG13">
        <v>64</v>
      </c>
      <c r="AH13">
        <v>24.3</v>
      </c>
    </row>
    <row r="14" spans="1:34" ht="15.9" customHeight="1" thickBot="1" x14ac:dyDescent="0.35">
      <c r="A14" s="16" t="s">
        <v>70</v>
      </c>
      <c r="B14" s="17" t="s">
        <v>71</v>
      </c>
      <c r="C14" s="16" t="s">
        <v>72</v>
      </c>
      <c r="D14" s="17">
        <v>229.45</v>
      </c>
      <c r="E14" s="17">
        <v>175</v>
      </c>
      <c r="F14" s="17">
        <v>213.3</v>
      </c>
      <c r="G14" s="17" t="s">
        <v>495</v>
      </c>
      <c r="H14" s="17" t="s">
        <v>496</v>
      </c>
      <c r="I14" s="17">
        <v>13.4</v>
      </c>
      <c r="J14" s="17">
        <v>2.7</v>
      </c>
      <c r="K14" s="17">
        <v>18.2</v>
      </c>
      <c r="L14" s="17">
        <v>12.61</v>
      </c>
      <c r="M14" s="17" t="s">
        <v>74</v>
      </c>
      <c r="N14" s="17" t="s">
        <v>75</v>
      </c>
      <c r="O14" s="17" t="s">
        <v>497</v>
      </c>
      <c r="P14" s="17" t="s">
        <v>498</v>
      </c>
      <c r="Q14" s="17" t="s">
        <v>221</v>
      </c>
      <c r="R14" s="17" t="s">
        <v>499</v>
      </c>
      <c r="S14" s="17">
        <v>1.37</v>
      </c>
      <c r="T14" s="17" t="s">
        <v>500</v>
      </c>
      <c r="U14" s="17">
        <v>2.83</v>
      </c>
      <c r="V14" s="17">
        <v>-3.07</v>
      </c>
      <c r="W14" s="17" t="s">
        <v>501</v>
      </c>
      <c r="X14" s="17">
        <v>56</v>
      </c>
      <c r="Y14" s="17">
        <v>48</v>
      </c>
      <c r="Z14" s="17">
        <v>46</v>
      </c>
      <c r="AA14" s="12">
        <v>40</v>
      </c>
      <c r="AB14" s="10">
        <v>48</v>
      </c>
      <c r="AC14" s="10" t="s">
        <v>297</v>
      </c>
      <c r="AD14" s="10" t="s">
        <v>171</v>
      </c>
      <c r="AF14" t="s">
        <v>502</v>
      </c>
      <c r="AG14">
        <v>64</v>
      </c>
      <c r="AH14">
        <v>23.9</v>
      </c>
    </row>
    <row r="15" spans="1:34" ht="15.9" customHeight="1" thickBot="1" x14ac:dyDescent="0.35">
      <c r="A15" s="14" t="s">
        <v>84</v>
      </c>
      <c r="B15" s="15" t="s">
        <v>85</v>
      </c>
      <c r="C15" s="14" t="s">
        <v>35</v>
      </c>
      <c r="D15" s="15">
        <v>24.27</v>
      </c>
      <c r="E15" s="15">
        <v>23.1</v>
      </c>
      <c r="F15" s="15">
        <v>27.1</v>
      </c>
      <c r="G15" s="15" t="s">
        <v>503</v>
      </c>
      <c r="H15" s="15" t="s">
        <v>504</v>
      </c>
      <c r="I15" s="15">
        <v>10.4</v>
      </c>
      <c r="J15" s="15">
        <v>1.5</v>
      </c>
      <c r="K15" s="15">
        <v>25.8</v>
      </c>
      <c r="L15" s="15">
        <v>0.94</v>
      </c>
      <c r="M15" s="15" t="s">
        <v>87</v>
      </c>
      <c r="N15" s="15" t="s">
        <v>88</v>
      </c>
      <c r="O15" s="15" t="s">
        <v>505</v>
      </c>
      <c r="P15" s="15" t="s">
        <v>506</v>
      </c>
      <c r="Q15" s="15" t="s">
        <v>507</v>
      </c>
      <c r="R15" s="15" t="s">
        <v>508</v>
      </c>
      <c r="S15" s="15">
        <v>1.32</v>
      </c>
      <c r="T15" s="15" t="s">
        <v>509</v>
      </c>
      <c r="U15" s="15">
        <v>2.11</v>
      </c>
      <c r="V15" s="15">
        <v>-3.18</v>
      </c>
      <c r="W15" s="15" t="s">
        <v>510</v>
      </c>
      <c r="X15" s="15">
        <v>53</v>
      </c>
      <c r="Y15" s="15">
        <v>42</v>
      </c>
      <c r="Z15" s="15">
        <v>39</v>
      </c>
      <c r="AA15" s="11">
        <v>55</v>
      </c>
      <c r="AB15" s="9">
        <v>47</v>
      </c>
      <c r="AC15" s="9" t="s">
        <v>511</v>
      </c>
      <c r="AD15" s="9" t="s">
        <v>171</v>
      </c>
      <c r="AF15" t="s">
        <v>512</v>
      </c>
      <c r="AG15">
        <v>62</v>
      </c>
      <c r="AH15">
        <v>108.7</v>
      </c>
    </row>
    <row r="16" spans="1:34" ht="15.9" customHeight="1" thickBot="1" x14ac:dyDescent="0.35">
      <c r="A16" s="16" t="s">
        <v>208</v>
      </c>
      <c r="B16" s="17" t="s">
        <v>209</v>
      </c>
      <c r="C16" s="16" t="s">
        <v>99</v>
      </c>
      <c r="D16" s="17">
        <v>71.400000000000006</v>
      </c>
      <c r="E16" s="17" t="s">
        <v>30</v>
      </c>
      <c r="F16" s="17" t="s">
        <v>30</v>
      </c>
      <c r="G16" s="17" t="s">
        <v>513</v>
      </c>
      <c r="H16" s="17" t="s">
        <v>514</v>
      </c>
      <c r="I16" s="17" t="s">
        <v>30</v>
      </c>
      <c r="J16" s="17" t="s">
        <v>30</v>
      </c>
      <c r="K16" s="17" t="s">
        <v>30</v>
      </c>
      <c r="L16" s="17" t="s">
        <v>30</v>
      </c>
      <c r="M16" s="17" t="s">
        <v>30</v>
      </c>
      <c r="N16" s="17" t="s">
        <v>212</v>
      </c>
      <c r="O16" s="17" t="s">
        <v>213</v>
      </c>
      <c r="P16" s="17" t="s">
        <v>211</v>
      </c>
      <c r="Q16" s="17" t="s">
        <v>162</v>
      </c>
      <c r="R16" s="17" t="s">
        <v>515</v>
      </c>
      <c r="S16" s="17" t="s">
        <v>30</v>
      </c>
      <c r="T16" s="17" t="s">
        <v>472</v>
      </c>
      <c r="U16" s="17" t="s">
        <v>30</v>
      </c>
      <c r="V16" s="17" t="s">
        <v>30</v>
      </c>
      <c r="W16" s="17" t="s">
        <v>318</v>
      </c>
      <c r="X16" s="17">
        <v>0</v>
      </c>
      <c r="Y16" s="17">
        <v>65</v>
      </c>
      <c r="Z16" s="17">
        <v>47</v>
      </c>
      <c r="AA16" s="12">
        <v>81</v>
      </c>
      <c r="AB16" s="10">
        <v>47</v>
      </c>
      <c r="AC16" s="10" t="s">
        <v>319</v>
      </c>
      <c r="AD16" s="10" t="s">
        <v>171</v>
      </c>
      <c r="AF16" t="s">
        <v>516</v>
      </c>
      <c r="AG16">
        <v>58</v>
      </c>
      <c r="AH16">
        <v>5.6</v>
      </c>
    </row>
    <row r="17" spans="1:34" ht="15.9" customHeight="1" thickBot="1" x14ac:dyDescent="0.35">
      <c r="A17" s="14" t="s">
        <v>263</v>
      </c>
      <c r="B17" s="15" t="s">
        <v>264</v>
      </c>
      <c r="C17" s="14" t="s">
        <v>64</v>
      </c>
      <c r="D17" s="15">
        <v>3420.5</v>
      </c>
      <c r="E17" s="15">
        <v>19152.3</v>
      </c>
      <c r="F17" s="15">
        <v>19169.3</v>
      </c>
      <c r="G17" s="15" t="s">
        <v>517</v>
      </c>
      <c r="H17" s="15" t="s">
        <v>518</v>
      </c>
      <c r="I17" s="15">
        <v>338.3</v>
      </c>
      <c r="J17" s="15">
        <v>71.8</v>
      </c>
      <c r="K17" s="15">
        <v>1072.3</v>
      </c>
      <c r="L17" s="15">
        <v>3.19</v>
      </c>
      <c r="M17" s="15" t="s">
        <v>80</v>
      </c>
      <c r="N17" s="15" t="s">
        <v>265</v>
      </c>
      <c r="O17" s="15" t="s">
        <v>519</v>
      </c>
      <c r="P17" s="15" t="s">
        <v>520</v>
      </c>
      <c r="Q17" s="15" t="s">
        <v>266</v>
      </c>
      <c r="R17" s="15" t="s">
        <v>233</v>
      </c>
      <c r="S17" s="15">
        <v>1.3</v>
      </c>
      <c r="T17" s="15" t="s">
        <v>521</v>
      </c>
      <c r="U17" s="15">
        <v>3.35</v>
      </c>
      <c r="V17" s="15">
        <v>-3.05</v>
      </c>
      <c r="W17" s="15" t="s">
        <v>522</v>
      </c>
      <c r="X17" s="15">
        <v>26</v>
      </c>
      <c r="Y17" s="15">
        <v>40</v>
      </c>
      <c r="Z17" s="15">
        <v>61</v>
      </c>
      <c r="AA17" s="11">
        <v>68</v>
      </c>
      <c r="AB17" s="9">
        <v>47</v>
      </c>
      <c r="AC17" s="9" t="s">
        <v>328</v>
      </c>
      <c r="AD17" s="9" t="s">
        <v>171</v>
      </c>
      <c r="AF17" t="s">
        <v>523</v>
      </c>
      <c r="AG17">
        <v>57</v>
      </c>
      <c r="AH17">
        <v>12.8</v>
      </c>
    </row>
    <row r="18" spans="1:34" ht="15.9" customHeight="1" thickBot="1" x14ac:dyDescent="0.35">
      <c r="A18" s="16" t="s">
        <v>103</v>
      </c>
      <c r="B18" s="17" t="s">
        <v>104</v>
      </c>
      <c r="C18" s="16" t="s">
        <v>72</v>
      </c>
      <c r="D18" s="17">
        <v>260.2</v>
      </c>
      <c r="E18" s="17">
        <v>146.19999999999999</v>
      </c>
      <c r="F18" s="17">
        <v>159.5</v>
      </c>
      <c r="G18" s="17" t="s">
        <v>524</v>
      </c>
      <c r="H18" s="17" t="s">
        <v>525</v>
      </c>
      <c r="I18" s="17">
        <v>19.100000000000001</v>
      </c>
      <c r="J18" s="17">
        <v>4</v>
      </c>
      <c r="K18" s="17">
        <v>35.1</v>
      </c>
      <c r="L18" s="17">
        <v>7.41</v>
      </c>
      <c r="M18" s="17" t="s">
        <v>106</v>
      </c>
      <c r="N18" s="17" t="s">
        <v>107</v>
      </c>
      <c r="O18" s="17" t="s">
        <v>238</v>
      </c>
      <c r="P18" s="17" t="s">
        <v>23</v>
      </c>
      <c r="Q18" s="17" t="s">
        <v>239</v>
      </c>
      <c r="R18" s="17" t="s">
        <v>526</v>
      </c>
      <c r="S18" s="17">
        <v>1.19</v>
      </c>
      <c r="T18" s="17" t="s">
        <v>509</v>
      </c>
      <c r="U18" s="17" t="s">
        <v>30</v>
      </c>
      <c r="V18" s="17">
        <v>-3.08</v>
      </c>
      <c r="W18" s="17" t="s">
        <v>527</v>
      </c>
      <c r="X18" s="17">
        <v>39</v>
      </c>
      <c r="Y18" s="17">
        <v>60</v>
      </c>
      <c r="Z18" s="17">
        <v>31</v>
      </c>
      <c r="AA18" s="12">
        <v>53</v>
      </c>
      <c r="AB18" s="10">
        <v>46</v>
      </c>
      <c r="AC18" s="10" t="s">
        <v>30</v>
      </c>
      <c r="AD18" s="10" t="s">
        <v>171</v>
      </c>
      <c r="AF18" t="s">
        <v>103</v>
      </c>
      <c r="AG18">
        <v>57</v>
      </c>
      <c r="AH18">
        <v>20.9</v>
      </c>
    </row>
    <row r="19" spans="1:34" ht="15.9" customHeight="1" thickBot="1" x14ac:dyDescent="0.35">
      <c r="A19" s="14" t="s">
        <v>275</v>
      </c>
      <c r="B19" s="15" t="s">
        <v>276</v>
      </c>
      <c r="C19" s="14" t="s">
        <v>19</v>
      </c>
      <c r="D19" s="15">
        <v>8.0299999999999994</v>
      </c>
      <c r="E19" s="15" t="s">
        <v>30</v>
      </c>
      <c r="F19" s="15" t="s">
        <v>30</v>
      </c>
      <c r="G19" s="15" t="s">
        <v>528</v>
      </c>
      <c r="H19" s="15" t="s">
        <v>529</v>
      </c>
      <c r="I19" s="15" t="s">
        <v>30</v>
      </c>
      <c r="J19" s="15" t="s">
        <v>30</v>
      </c>
      <c r="K19" s="15" t="s">
        <v>30</v>
      </c>
      <c r="L19" s="15" t="s">
        <v>30</v>
      </c>
      <c r="M19" s="15" t="s">
        <v>530</v>
      </c>
      <c r="N19" s="15" t="s">
        <v>278</v>
      </c>
      <c r="O19" s="15" t="s">
        <v>531</v>
      </c>
      <c r="P19" s="15" t="s">
        <v>532</v>
      </c>
      <c r="Q19" s="15" t="s">
        <v>108</v>
      </c>
      <c r="R19" s="15" t="s">
        <v>533</v>
      </c>
      <c r="S19" s="15">
        <v>1.58</v>
      </c>
      <c r="T19" s="15" t="s">
        <v>534</v>
      </c>
      <c r="U19" s="15">
        <v>2.7</v>
      </c>
      <c r="V19" s="15">
        <v>-3.05</v>
      </c>
      <c r="W19" s="15" t="s">
        <v>299</v>
      </c>
      <c r="X19" s="15">
        <v>16</v>
      </c>
      <c r="Y19" s="15">
        <v>29</v>
      </c>
      <c r="Z19" s="15">
        <v>57</v>
      </c>
      <c r="AA19" s="11">
        <v>94</v>
      </c>
      <c r="AB19" s="9">
        <v>46</v>
      </c>
      <c r="AC19" s="9" t="s">
        <v>300</v>
      </c>
      <c r="AD19" s="9" t="s">
        <v>171</v>
      </c>
      <c r="AF19" t="s">
        <v>303</v>
      </c>
      <c r="AG19">
        <v>55</v>
      </c>
      <c r="AH19">
        <v>25</v>
      </c>
    </row>
    <row r="20" spans="1:34" ht="15.9" customHeight="1" thickBot="1" x14ac:dyDescent="0.35">
      <c r="A20" s="16" t="s">
        <v>270</v>
      </c>
      <c r="B20" s="17" t="s">
        <v>271</v>
      </c>
      <c r="C20" s="16" t="s">
        <v>112</v>
      </c>
      <c r="D20" s="17">
        <v>188.54</v>
      </c>
      <c r="E20" s="17" t="s">
        <v>30</v>
      </c>
      <c r="F20" s="17" t="s">
        <v>30</v>
      </c>
      <c r="G20" s="17" t="s">
        <v>535</v>
      </c>
      <c r="H20" s="17" t="s">
        <v>448</v>
      </c>
      <c r="I20" s="17" t="s">
        <v>30</v>
      </c>
      <c r="J20" s="17" t="s">
        <v>30</v>
      </c>
      <c r="K20" s="17" t="s">
        <v>30</v>
      </c>
      <c r="L20" s="17" t="s">
        <v>30</v>
      </c>
      <c r="M20" s="17" t="s">
        <v>536</v>
      </c>
      <c r="N20" s="17" t="s">
        <v>273</v>
      </c>
      <c r="O20" s="17" t="s">
        <v>537</v>
      </c>
      <c r="P20" s="17" t="s">
        <v>538</v>
      </c>
      <c r="Q20" s="17" t="s">
        <v>274</v>
      </c>
      <c r="R20" s="17" t="s">
        <v>539</v>
      </c>
      <c r="S20" s="17">
        <v>1.17</v>
      </c>
      <c r="T20" s="17" t="s">
        <v>540</v>
      </c>
      <c r="U20" s="17">
        <v>3.26</v>
      </c>
      <c r="V20" s="17">
        <v>-3.19</v>
      </c>
      <c r="W20" s="17" t="s">
        <v>23</v>
      </c>
      <c r="X20" s="17">
        <v>25</v>
      </c>
      <c r="Y20" s="17">
        <v>54</v>
      </c>
      <c r="Z20" s="17">
        <v>58</v>
      </c>
      <c r="AA20" s="12">
        <v>34</v>
      </c>
      <c r="AB20" s="10">
        <v>44</v>
      </c>
      <c r="AC20" s="10" t="s">
        <v>30</v>
      </c>
      <c r="AD20" s="10" t="s">
        <v>171</v>
      </c>
      <c r="AF20" t="s">
        <v>257</v>
      </c>
      <c r="AG20">
        <v>54</v>
      </c>
      <c r="AH20">
        <v>32</v>
      </c>
    </row>
    <row r="21" spans="1:34" ht="15.9" customHeight="1" thickBot="1" x14ac:dyDescent="0.35">
      <c r="A21" s="14" t="s">
        <v>257</v>
      </c>
      <c r="B21" s="15" t="s">
        <v>258</v>
      </c>
      <c r="C21" s="14" t="s">
        <v>27</v>
      </c>
      <c r="D21" s="15">
        <v>483.3</v>
      </c>
      <c r="E21" s="15" t="s">
        <v>30</v>
      </c>
      <c r="F21" s="15" t="s">
        <v>30</v>
      </c>
      <c r="G21" s="15" t="s">
        <v>541</v>
      </c>
      <c r="H21" s="15" t="s">
        <v>542</v>
      </c>
      <c r="I21" s="15" t="s">
        <v>30</v>
      </c>
      <c r="J21" s="15" t="s">
        <v>30</v>
      </c>
      <c r="K21" s="15" t="s">
        <v>30</v>
      </c>
      <c r="L21" s="15" t="s">
        <v>30</v>
      </c>
      <c r="M21" s="15" t="s">
        <v>543</v>
      </c>
      <c r="N21" s="15" t="s">
        <v>261</v>
      </c>
      <c r="O21" s="15" t="s">
        <v>544</v>
      </c>
      <c r="P21" s="15" t="s">
        <v>545</v>
      </c>
      <c r="Q21" s="15" t="s">
        <v>179</v>
      </c>
      <c r="R21" s="15" t="s">
        <v>177</v>
      </c>
      <c r="S21" s="15">
        <v>1.58</v>
      </c>
      <c r="T21" s="15" t="s">
        <v>546</v>
      </c>
      <c r="U21" s="15">
        <v>2.88</v>
      </c>
      <c r="V21" s="15">
        <v>-3.19</v>
      </c>
      <c r="W21" s="15" t="s">
        <v>547</v>
      </c>
      <c r="X21" s="15">
        <v>25</v>
      </c>
      <c r="Y21" s="15">
        <v>44</v>
      </c>
      <c r="Z21" s="15">
        <v>69</v>
      </c>
      <c r="AA21" s="11">
        <v>28</v>
      </c>
      <c r="AB21" s="9">
        <v>42</v>
      </c>
      <c r="AC21" s="9" t="s">
        <v>30</v>
      </c>
      <c r="AD21" s="9" t="s">
        <v>171</v>
      </c>
      <c r="AF21" t="s">
        <v>548</v>
      </c>
      <c r="AG21">
        <v>53</v>
      </c>
      <c r="AH21">
        <v>13.6</v>
      </c>
    </row>
    <row r="22" spans="1:34" ht="15.9" customHeight="1" thickBot="1" x14ac:dyDescent="0.35">
      <c r="A22" s="16" t="s">
        <v>97</v>
      </c>
      <c r="B22" s="17" t="s">
        <v>98</v>
      </c>
      <c r="C22" s="16" t="s">
        <v>99</v>
      </c>
      <c r="D22" s="17">
        <v>10.52</v>
      </c>
      <c r="E22" s="17">
        <v>151.6</v>
      </c>
      <c r="F22" s="17">
        <v>296.60000000000002</v>
      </c>
      <c r="G22" s="17" t="s">
        <v>549</v>
      </c>
      <c r="H22" s="17" t="s">
        <v>550</v>
      </c>
      <c r="I22" s="17">
        <v>3.6</v>
      </c>
      <c r="J22" s="17">
        <v>4.9000000000000004</v>
      </c>
      <c r="K22" s="17">
        <v>10.7</v>
      </c>
      <c r="L22" s="17">
        <v>0.98</v>
      </c>
      <c r="M22" s="17" t="s">
        <v>30</v>
      </c>
      <c r="N22" s="17" t="s">
        <v>30</v>
      </c>
      <c r="O22" s="17" t="s">
        <v>394</v>
      </c>
      <c r="P22" s="17" t="s">
        <v>551</v>
      </c>
      <c r="Q22" s="17" t="s">
        <v>552</v>
      </c>
      <c r="R22" s="17" t="s">
        <v>553</v>
      </c>
      <c r="S22" s="17" t="s">
        <v>30</v>
      </c>
      <c r="T22" s="17" t="s">
        <v>554</v>
      </c>
      <c r="U22" s="17" t="s">
        <v>30</v>
      </c>
      <c r="V22" s="17" t="s">
        <v>30</v>
      </c>
      <c r="W22" s="17" t="s">
        <v>329</v>
      </c>
      <c r="X22" s="17">
        <v>48</v>
      </c>
      <c r="Y22" s="17">
        <v>34</v>
      </c>
      <c r="Z22" s="17">
        <v>17</v>
      </c>
      <c r="AA22" s="12">
        <v>74</v>
      </c>
      <c r="AB22" s="10">
        <v>41</v>
      </c>
      <c r="AC22" s="10" t="s">
        <v>313</v>
      </c>
      <c r="AD22" s="10" t="s">
        <v>171</v>
      </c>
      <c r="AF22" t="s">
        <v>555</v>
      </c>
      <c r="AG22">
        <v>52</v>
      </c>
      <c r="AH22">
        <v>16.100000000000001</v>
      </c>
    </row>
    <row r="23" spans="1:34" ht="15.9" customHeight="1" thickBot="1" x14ac:dyDescent="0.35">
      <c r="A23" s="14" t="s">
        <v>556</v>
      </c>
      <c r="B23" s="15" t="s">
        <v>557</v>
      </c>
      <c r="C23" s="14" t="s">
        <v>93</v>
      </c>
      <c r="D23" s="15">
        <v>20.32</v>
      </c>
      <c r="E23" s="15" t="s">
        <v>30</v>
      </c>
      <c r="F23" s="15" t="s">
        <v>30</v>
      </c>
      <c r="G23" s="15" t="s">
        <v>558</v>
      </c>
      <c r="H23" s="15" t="s">
        <v>559</v>
      </c>
      <c r="I23" s="15" t="s">
        <v>30</v>
      </c>
      <c r="J23" s="15" t="s">
        <v>30</v>
      </c>
      <c r="K23" s="15" t="s">
        <v>30</v>
      </c>
      <c r="L23" s="15" t="s">
        <v>30</v>
      </c>
      <c r="M23" s="15" t="s">
        <v>560</v>
      </c>
      <c r="N23" s="15" t="s">
        <v>561</v>
      </c>
      <c r="O23" s="15" t="s">
        <v>562</v>
      </c>
      <c r="P23" s="15" t="s">
        <v>563</v>
      </c>
      <c r="Q23" s="15" t="s">
        <v>564</v>
      </c>
      <c r="R23" s="15" t="s">
        <v>498</v>
      </c>
      <c r="S23" s="15">
        <v>0.87</v>
      </c>
      <c r="T23" s="15" t="s">
        <v>565</v>
      </c>
      <c r="U23" s="15">
        <v>1.32</v>
      </c>
      <c r="V23" s="15">
        <v>-3.11</v>
      </c>
      <c r="W23" s="15" t="s">
        <v>566</v>
      </c>
      <c r="X23" s="15">
        <v>14</v>
      </c>
      <c r="Y23" s="15">
        <v>56</v>
      </c>
      <c r="Z23" s="15">
        <v>34</v>
      </c>
      <c r="AA23" s="11">
        <v>62</v>
      </c>
      <c r="AB23" s="9">
        <v>41</v>
      </c>
      <c r="AC23" s="9" t="s">
        <v>319</v>
      </c>
      <c r="AD23" s="9" t="s">
        <v>171</v>
      </c>
      <c r="AF23" t="s">
        <v>567</v>
      </c>
      <c r="AG23">
        <v>51</v>
      </c>
      <c r="AH23">
        <v>29.1</v>
      </c>
    </row>
    <row r="24" spans="1:34" ht="15.9" customHeight="1" thickBot="1" x14ac:dyDescent="0.35">
      <c r="A24" s="16" t="s">
        <v>62</v>
      </c>
      <c r="B24" s="17" t="s">
        <v>63</v>
      </c>
      <c r="C24" s="16" t="s">
        <v>64</v>
      </c>
      <c r="D24" s="17">
        <v>78.61</v>
      </c>
      <c r="E24" s="17">
        <v>167.7</v>
      </c>
      <c r="F24" s="17">
        <v>192.8</v>
      </c>
      <c r="G24" s="17" t="s">
        <v>30</v>
      </c>
      <c r="H24" s="17" t="s">
        <v>30</v>
      </c>
      <c r="I24" s="17">
        <v>6.2</v>
      </c>
      <c r="J24" s="17">
        <v>1.1000000000000001</v>
      </c>
      <c r="K24" s="17">
        <v>15.9</v>
      </c>
      <c r="L24" s="17" t="s">
        <v>30</v>
      </c>
      <c r="M24" s="17" t="s">
        <v>66</v>
      </c>
      <c r="N24" s="17" t="s">
        <v>67</v>
      </c>
      <c r="O24" s="17" t="s">
        <v>568</v>
      </c>
      <c r="P24" s="17" t="s">
        <v>30</v>
      </c>
      <c r="Q24" s="17" t="s">
        <v>30</v>
      </c>
      <c r="R24" s="17" t="s">
        <v>30</v>
      </c>
      <c r="S24" s="17">
        <v>1.1000000000000001</v>
      </c>
      <c r="T24" s="17" t="s">
        <v>30</v>
      </c>
      <c r="U24" s="17" t="s">
        <v>30</v>
      </c>
      <c r="V24" s="17" t="s">
        <v>30</v>
      </c>
      <c r="W24" s="17" t="s">
        <v>312</v>
      </c>
      <c r="X24" s="17">
        <v>59</v>
      </c>
      <c r="Y24" s="17">
        <v>14</v>
      </c>
      <c r="Z24" s="17">
        <v>17</v>
      </c>
      <c r="AA24" s="12">
        <v>85</v>
      </c>
      <c r="AB24" s="10">
        <v>40</v>
      </c>
      <c r="AC24" s="10" t="s">
        <v>313</v>
      </c>
      <c r="AD24" s="10" t="s">
        <v>171</v>
      </c>
      <c r="AF24" t="s">
        <v>569</v>
      </c>
      <c r="AG24">
        <v>51</v>
      </c>
      <c r="AH24">
        <v>54.4</v>
      </c>
    </row>
    <row r="25" spans="1:34" ht="15.9" customHeight="1" thickBot="1" x14ac:dyDescent="0.35">
      <c r="A25" s="14" t="s">
        <v>49</v>
      </c>
      <c r="B25" s="15" t="s">
        <v>50</v>
      </c>
      <c r="C25" s="14" t="s">
        <v>51</v>
      </c>
      <c r="D25" s="15">
        <v>3.84</v>
      </c>
      <c r="E25" s="15">
        <v>21.7</v>
      </c>
      <c r="F25" s="15">
        <v>50.3</v>
      </c>
      <c r="G25" s="15" t="s">
        <v>570</v>
      </c>
      <c r="H25" s="15" t="s">
        <v>571</v>
      </c>
      <c r="I25" s="15">
        <v>4.0999999999999996</v>
      </c>
      <c r="J25" s="15">
        <v>1.2</v>
      </c>
      <c r="K25" s="15" t="s">
        <v>30</v>
      </c>
      <c r="L25" s="15">
        <v>-0.01</v>
      </c>
      <c r="M25" s="15" t="s">
        <v>53</v>
      </c>
      <c r="N25" s="15" t="s">
        <v>54</v>
      </c>
      <c r="O25" s="15" t="s">
        <v>572</v>
      </c>
      <c r="P25" s="15" t="s">
        <v>573</v>
      </c>
      <c r="Q25" s="15" t="s">
        <v>574</v>
      </c>
      <c r="R25" s="15" t="s">
        <v>575</v>
      </c>
      <c r="S25" s="15">
        <v>0.87</v>
      </c>
      <c r="T25" s="15" t="s">
        <v>576</v>
      </c>
      <c r="U25" s="15">
        <v>1.01</v>
      </c>
      <c r="V25" s="15">
        <v>-3.08</v>
      </c>
      <c r="W25" s="15" t="s">
        <v>577</v>
      </c>
      <c r="X25" s="15">
        <v>60</v>
      </c>
      <c r="Y25" s="15">
        <v>54</v>
      </c>
      <c r="Z25" s="15">
        <v>26</v>
      </c>
      <c r="AA25" s="11">
        <v>13</v>
      </c>
      <c r="AB25" s="9">
        <v>40</v>
      </c>
      <c r="AC25" s="9" t="s">
        <v>578</v>
      </c>
      <c r="AD25" s="9" t="s">
        <v>171</v>
      </c>
      <c r="AF25" t="s">
        <v>579</v>
      </c>
      <c r="AG25">
        <v>48</v>
      </c>
      <c r="AH25">
        <v>15.4</v>
      </c>
    </row>
    <row r="26" spans="1:34" ht="15.9" customHeight="1" thickBot="1" x14ac:dyDescent="0.35">
      <c r="A26" s="16" t="s">
        <v>267</v>
      </c>
      <c r="B26" s="17" t="s">
        <v>268</v>
      </c>
      <c r="C26" s="16" t="s">
        <v>19</v>
      </c>
      <c r="D26" s="17">
        <v>42.83</v>
      </c>
      <c r="E26" s="17" t="s">
        <v>30</v>
      </c>
      <c r="F26" s="17" t="s">
        <v>30</v>
      </c>
      <c r="G26" s="17" t="s">
        <v>580</v>
      </c>
      <c r="H26" s="17" t="s">
        <v>581</v>
      </c>
      <c r="I26" s="17" t="s">
        <v>30</v>
      </c>
      <c r="J26" s="17" t="s">
        <v>30</v>
      </c>
      <c r="K26" s="17" t="s">
        <v>30</v>
      </c>
      <c r="L26" s="17" t="s">
        <v>30</v>
      </c>
      <c r="M26" s="17" t="s">
        <v>582</v>
      </c>
      <c r="N26" s="17" t="s">
        <v>269</v>
      </c>
      <c r="O26" s="17" t="s">
        <v>583</v>
      </c>
      <c r="P26" s="17" t="s">
        <v>584</v>
      </c>
      <c r="Q26" s="17" t="s">
        <v>204</v>
      </c>
      <c r="R26" s="17" t="s">
        <v>508</v>
      </c>
      <c r="S26" s="17">
        <v>1.7</v>
      </c>
      <c r="T26" s="17" t="s">
        <v>509</v>
      </c>
      <c r="U26" s="17">
        <v>3.37</v>
      </c>
      <c r="V26" s="17">
        <v>-2.99</v>
      </c>
      <c r="W26" s="17" t="s">
        <v>585</v>
      </c>
      <c r="X26" s="17">
        <v>18</v>
      </c>
      <c r="Y26" s="17">
        <v>32</v>
      </c>
      <c r="Z26" s="17">
        <v>59</v>
      </c>
      <c r="AA26" s="12">
        <v>57</v>
      </c>
      <c r="AB26" s="10">
        <v>40</v>
      </c>
      <c r="AC26" s="10" t="s">
        <v>511</v>
      </c>
      <c r="AD26" s="10" t="s">
        <v>171</v>
      </c>
      <c r="AF26" t="s">
        <v>586</v>
      </c>
      <c r="AG26">
        <v>47</v>
      </c>
      <c r="AH26">
        <v>18</v>
      </c>
    </row>
    <row r="27" spans="1:34" ht="15.9" customHeight="1" thickBot="1" x14ac:dyDescent="0.35">
      <c r="A27" s="14" t="s">
        <v>320</v>
      </c>
      <c r="B27" s="15" t="s">
        <v>321</v>
      </c>
      <c r="C27" s="14" t="s">
        <v>99</v>
      </c>
      <c r="D27" s="15">
        <v>1340.2</v>
      </c>
      <c r="E27" s="15">
        <v>22982</v>
      </c>
      <c r="F27" s="15">
        <v>22930.400000000001</v>
      </c>
      <c r="G27" s="15" t="s">
        <v>587</v>
      </c>
      <c r="H27" s="15" t="s">
        <v>588</v>
      </c>
      <c r="I27" s="15">
        <v>236.2</v>
      </c>
      <c r="J27" s="15">
        <v>346.3</v>
      </c>
      <c r="K27" s="15">
        <v>1030.9000000000001</v>
      </c>
      <c r="L27" s="15">
        <v>1.3</v>
      </c>
      <c r="M27" s="15" t="s">
        <v>30</v>
      </c>
      <c r="N27" s="15" t="s">
        <v>30</v>
      </c>
      <c r="O27" s="15" t="s">
        <v>589</v>
      </c>
      <c r="P27" s="15" t="s">
        <v>590</v>
      </c>
      <c r="Q27" s="15" t="s">
        <v>591</v>
      </c>
      <c r="R27" s="15" t="s">
        <v>592</v>
      </c>
      <c r="S27" s="15" t="s">
        <v>30</v>
      </c>
      <c r="T27" s="15" t="s">
        <v>472</v>
      </c>
      <c r="U27" s="15" t="s">
        <v>30</v>
      </c>
      <c r="V27" s="15" t="s">
        <v>30</v>
      </c>
      <c r="W27" s="15" t="s">
        <v>323</v>
      </c>
      <c r="X27" s="15">
        <v>20</v>
      </c>
      <c r="Y27" s="15">
        <v>35</v>
      </c>
      <c r="Z27" s="15">
        <v>32</v>
      </c>
      <c r="AA27" s="11">
        <v>79</v>
      </c>
      <c r="AB27" s="9">
        <v>39</v>
      </c>
      <c r="AC27" s="9" t="s">
        <v>324</v>
      </c>
      <c r="AD27" s="9" t="s">
        <v>593</v>
      </c>
      <c r="AF27" t="s">
        <v>325</v>
      </c>
      <c r="AG27">
        <v>46</v>
      </c>
      <c r="AH27">
        <v>20</v>
      </c>
    </row>
    <row r="28" spans="1:34" ht="15.9" customHeight="1" thickBot="1" x14ac:dyDescent="0.35">
      <c r="A28" s="16" t="s">
        <v>314</v>
      </c>
      <c r="B28" s="17" t="s">
        <v>315</v>
      </c>
      <c r="C28" s="16" t="s">
        <v>64</v>
      </c>
      <c r="D28" s="17">
        <v>574.1</v>
      </c>
      <c r="E28" s="17">
        <v>8869.1</v>
      </c>
      <c r="F28" s="17">
        <v>8895.2999999999993</v>
      </c>
      <c r="G28" s="17" t="s">
        <v>594</v>
      </c>
      <c r="H28" s="17" t="s">
        <v>595</v>
      </c>
      <c r="I28" s="17">
        <v>289.7</v>
      </c>
      <c r="J28" s="17">
        <v>47</v>
      </c>
      <c r="K28" s="17" t="s">
        <v>30</v>
      </c>
      <c r="L28" s="17">
        <v>0</v>
      </c>
      <c r="M28" s="17" t="s">
        <v>596</v>
      </c>
      <c r="N28" s="17" t="s">
        <v>597</v>
      </c>
      <c r="O28" s="17" t="s">
        <v>598</v>
      </c>
      <c r="P28" s="17" t="s">
        <v>123</v>
      </c>
      <c r="Q28" s="17" t="s">
        <v>123</v>
      </c>
      <c r="R28" s="17" t="s">
        <v>116</v>
      </c>
      <c r="S28" s="17">
        <v>1.26</v>
      </c>
      <c r="T28" s="17" t="s">
        <v>467</v>
      </c>
      <c r="U28" s="17">
        <v>1.25</v>
      </c>
      <c r="V28" s="17">
        <v>-3.22</v>
      </c>
      <c r="W28" s="17" t="s">
        <v>316</v>
      </c>
      <c r="X28" s="17">
        <v>19</v>
      </c>
      <c r="Y28" s="17">
        <v>28</v>
      </c>
      <c r="Z28" s="17">
        <v>34</v>
      </c>
      <c r="AA28" s="12">
        <v>83</v>
      </c>
      <c r="AB28" s="10">
        <v>38</v>
      </c>
      <c r="AC28" s="10" t="s">
        <v>317</v>
      </c>
      <c r="AD28" s="10" t="s">
        <v>593</v>
      </c>
      <c r="AF28" t="s">
        <v>599</v>
      </c>
      <c r="AG28">
        <v>46</v>
      </c>
      <c r="AH28">
        <v>19.600000000000001</v>
      </c>
    </row>
    <row r="29" spans="1:34" ht="15.9" customHeight="1" thickBot="1" x14ac:dyDescent="0.35">
      <c r="A29" s="14" t="s">
        <v>303</v>
      </c>
      <c r="B29" s="15" t="s">
        <v>304</v>
      </c>
      <c r="C29" s="14" t="s">
        <v>27</v>
      </c>
      <c r="D29" s="15">
        <v>276.45</v>
      </c>
      <c r="E29" s="15" t="s">
        <v>30</v>
      </c>
      <c r="F29" s="15" t="s">
        <v>30</v>
      </c>
      <c r="G29" s="15" t="s">
        <v>580</v>
      </c>
      <c r="H29" s="15" t="s">
        <v>600</v>
      </c>
      <c r="I29" s="15" t="s">
        <v>30</v>
      </c>
      <c r="J29" s="15" t="s">
        <v>30</v>
      </c>
      <c r="K29" s="15" t="s">
        <v>30</v>
      </c>
      <c r="L29" s="15" t="s">
        <v>30</v>
      </c>
      <c r="M29" s="15" t="s">
        <v>601</v>
      </c>
      <c r="N29" s="15" t="s">
        <v>602</v>
      </c>
      <c r="O29" s="15" t="s">
        <v>603</v>
      </c>
      <c r="P29" s="15" t="s">
        <v>604</v>
      </c>
      <c r="Q29" s="15" t="s">
        <v>605</v>
      </c>
      <c r="R29" s="15" t="s">
        <v>211</v>
      </c>
      <c r="S29" s="15">
        <v>1.99</v>
      </c>
      <c r="T29" s="15" t="s">
        <v>606</v>
      </c>
      <c r="U29" s="15" t="s">
        <v>30</v>
      </c>
      <c r="V29" s="15">
        <v>-3.32</v>
      </c>
      <c r="W29" s="15" t="s">
        <v>306</v>
      </c>
      <c r="X29" s="15">
        <v>18</v>
      </c>
      <c r="Y29" s="15">
        <v>21</v>
      </c>
      <c r="Z29" s="15">
        <v>33</v>
      </c>
      <c r="AA29" s="11">
        <v>89</v>
      </c>
      <c r="AB29" s="9">
        <v>37</v>
      </c>
      <c r="AC29" s="9" t="s">
        <v>30</v>
      </c>
      <c r="AD29" s="9" t="s">
        <v>593</v>
      </c>
      <c r="AF29" t="s">
        <v>607</v>
      </c>
      <c r="AG29">
        <v>40</v>
      </c>
      <c r="AH29">
        <v>17.899999999999999</v>
      </c>
    </row>
    <row r="30" spans="1:34" ht="15.9" customHeight="1" thickBot="1" x14ac:dyDescent="0.35">
      <c r="A30" s="16" t="s">
        <v>230</v>
      </c>
      <c r="B30" s="17" t="s">
        <v>231</v>
      </c>
      <c r="C30" s="16" t="s">
        <v>27</v>
      </c>
      <c r="D30" s="17">
        <v>137.80000000000001</v>
      </c>
      <c r="E30" s="17" t="s">
        <v>30</v>
      </c>
      <c r="F30" s="17" t="s">
        <v>30</v>
      </c>
      <c r="G30" s="17" t="s">
        <v>608</v>
      </c>
      <c r="H30" s="17" t="s">
        <v>609</v>
      </c>
      <c r="I30" s="17" t="s">
        <v>30</v>
      </c>
      <c r="J30" s="17" t="s">
        <v>30</v>
      </c>
      <c r="K30" s="17" t="s">
        <v>30</v>
      </c>
      <c r="L30" s="17" t="s">
        <v>30</v>
      </c>
      <c r="M30" s="17" t="s">
        <v>610</v>
      </c>
      <c r="N30" s="17" t="s">
        <v>234</v>
      </c>
      <c r="O30" s="17" t="s">
        <v>235</v>
      </c>
      <c r="P30" s="17" t="s">
        <v>233</v>
      </c>
      <c r="Q30" s="17" t="s">
        <v>236</v>
      </c>
      <c r="R30" s="17" t="s">
        <v>189</v>
      </c>
      <c r="S30" s="17">
        <v>1.32</v>
      </c>
      <c r="T30" s="17" t="s">
        <v>546</v>
      </c>
      <c r="U30" s="17">
        <v>2.97</v>
      </c>
      <c r="V30" s="17">
        <v>-3.04</v>
      </c>
      <c r="W30" s="17" t="s">
        <v>611</v>
      </c>
      <c r="X30" s="17">
        <v>20</v>
      </c>
      <c r="Y30" s="17">
        <v>61</v>
      </c>
      <c r="Z30" s="17">
        <v>52</v>
      </c>
      <c r="AA30" s="12">
        <v>2</v>
      </c>
      <c r="AB30" s="10">
        <v>37</v>
      </c>
      <c r="AC30" s="10" t="s">
        <v>313</v>
      </c>
      <c r="AD30" s="10" t="s">
        <v>593</v>
      </c>
      <c r="AF30" t="s">
        <v>612</v>
      </c>
      <c r="AG30">
        <v>39</v>
      </c>
      <c r="AH30">
        <v>17.899999999999999</v>
      </c>
    </row>
    <row r="31" spans="1:34" ht="15.9" customHeight="1" thickBot="1" x14ac:dyDescent="0.35">
      <c r="A31" s="14" t="s">
        <v>223</v>
      </c>
      <c r="B31" s="15" t="s">
        <v>224</v>
      </c>
      <c r="C31" s="14" t="s">
        <v>72</v>
      </c>
      <c r="D31" s="15">
        <v>169.5</v>
      </c>
      <c r="E31" s="15" t="s">
        <v>30</v>
      </c>
      <c r="F31" s="15" t="s">
        <v>30</v>
      </c>
      <c r="G31" s="15" t="s">
        <v>613</v>
      </c>
      <c r="H31" s="15" t="s">
        <v>614</v>
      </c>
      <c r="I31" s="15" t="s">
        <v>30</v>
      </c>
      <c r="J31" s="15" t="s">
        <v>30</v>
      </c>
      <c r="K31" s="15" t="s">
        <v>30</v>
      </c>
      <c r="L31" s="15" t="s">
        <v>30</v>
      </c>
      <c r="M31" s="15" t="s">
        <v>615</v>
      </c>
      <c r="N31" s="15" t="s">
        <v>227</v>
      </c>
      <c r="O31" s="15" t="s">
        <v>228</v>
      </c>
      <c r="P31" s="15" t="s">
        <v>226</v>
      </c>
      <c r="Q31" s="15" t="s">
        <v>229</v>
      </c>
      <c r="R31" s="15" t="s">
        <v>498</v>
      </c>
      <c r="S31" s="15">
        <v>1.1599999999999999</v>
      </c>
      <c r="T31" s="15" t="s">
        <v>472</v>
      </c>
      <c r="U31" s="15">
        <v>1.64</v>
      </c>
      <c r="V31" s="15">
        <v>-3.06</v>
      </c>
      <c r="W31" s="15" t="s">
        <v>616</v>
      </c>
      <c r="X31" s="15">
        <v>4</v>
      </c>
      <c r="Y31" s="15">
        <v>62</v>
      </c>
      <c r="Z31" s="15">
        <v>45</v>
      </c>
      <c r="AA31" s="11">
        <v>32</v>
      </c>
      <c r="AB31" s="9">
        <v>37</v>
      </c>
      <c r="AC31" s="9" t="s">
        <v>317</v>
      </c>
      <c r="AD31" s="9" t="s">
        <v>593</v>
      </c>
      <c r="AF31" t="s">
        <v>617</v>
      </c>
      <c r="AG31">
        <v>37</v>
      </c>
      <c r="AH31">
        <v>16.2</v>
      </c>
    </row>
    <row r="32" spans="1:34" ht="15.9" customHeight="1" thickBot="1" x14ac:dyDescent="0.35">
      <c r="A32" s="16" t="s">
        <v>215</v>
      </c>
      <c r="B32" s="17" t="s">
        <v>216</v>
      </c>
      <c r="C32" s="16" t="s">
        <v>51</v>
      </c>
      <c r="D32" s="17">
        <v>30.99</v>
      </c>
      <c r="E32" s="17" t="s">
        <v>30</v>
      </c>
      <c r="F32" s="17" t="s">
        <v>30</v>
      </c>
      <c r="G32" s="17" t="s">
        <v>618</v>
      </c>
      <c r="H32" s="17" t="s">
        <v>619</v>
      </c>
      <c r="I32" s="17" t="s">
        <v>30</v>
      </c>
      <c r="J32" s="17" t="s">
        <v>30</v>
      </c>
      <c r="K32" s="17" t="s">
        <v>30</v>
      </c>
      <c r="L32" s="17" t="s">
        <v>30</v>
      </c>
      <c r="M32" s="17" t="s">
        <v>620</v>
      </c>
      <c r="N32" s="17" t="s">
        <v>219</v>
      </c>
      <c r="O32" s="17" t="s">
        <v>220</v>
      </c>
      <c r="P32" s="17" t="s">
        <v>218</v>
      </c>
      <c r="Q32" s="17" t="s">
        <v>221</v>
      </c>
      <c r="R32" s="17" t="s">
        <v>508</v>
      </c>
      <c r="S32" s="17">
        <v>1.1200000000000001</v>
      </c>
      <c r="T32" s="17" t="s">
        <v>621</v>
      </c>
      <c r="U32" s="17">
        <v>1.01</v>
      </c>
      <c r="V32" s="17">
        <v>-3.07</v>
      </c>
      <c r="W32" s="17" t="s">
        <v>622</v>
      </c>
      <c r="X32" s="17">
        <v>16</v>
      </c>
      <c r="Y32" s="17">
        <v>63</v>
      </c>
      <c r="Z32" s="17">
        <v>40</v>
      </c>
      <c r="AA32" s="12">
        <v>19</v>
      </c>
      <c r="AB32" s="10">
        <v>37</v>
      </c>
      <c r="AC32" s="10" t="s">
        <v>297</v>
      </c>
      <c r="AD32" s="10" t="s">
        <v>593</v>
      </c>
      <c r="AF32" t="s">
        <v>623</v>
      </c>
      <c r="AG32">
        <v>33</v>
      </c>
      <c r="AH32">
        <v>11.6</v>
      </c>
    </row>
    <row r="33" spans="1:34" ht="15.9" customHeight="1" thickBot="1" x14ac:dyDescent="0.35">
      <c r="A33" s="14" t="s">
        <v>186</v>
      </c>
      <c r="B33" s="15" t="s">
        <v>187</v>
      </c>
      <c r="C33" s="14" t="s">
        <v>99</v>
      </c>
      <c r="D33" s="15">
        <v>549.4</v>
      </c>
      <c r="E33" s="15" t="s">
        <v>30</v>
      </c>
      <c r="F33" s="15" t="s">
        <v>30</v>
      </c>
      <c r="G33" s="15" t="s">
        <v>624</v>
      </c>
      <c r="H33" s="15" t="s">
        <v>625</v>
      </c>
      <c r="I33" s="15" t="s">
        <v>30</v>
      </c>
      <c r="J33" s="15" t="s">
        <v>30</v>
      </c>
      <c r="K33" s="15" t="s">
        <v>30</v>
      </c>
      <c r="L33" s="15" t="s">
        <v>30</v>
      </c>
      <c r="M33" s="15" t="s">
        <v>30</v>
      </c>
      <c r="N33" s="15" t="s">
        <v>190</v>
      </c>
      <c r="O33" s="15" t="s">
        <v>191</v>
      </c>
      <c r="P33" s="15" t="s">
        <v>189</v>
      </c>
      <c r="Q33" s="15" t="s">
        <v>192</v>
      </c>
      <c r="R33" s="15" t="s">
        <v>31</v>
      </c>
      <c r="S33" s="15" t="s">
        <v>30</v>
      </c>
      <c r="T33" s="15" t="s">
        <v>626</v>
      </c>
      <c r="U33" s="15" t="s">
        <v>30</v>
      </c>
      <c r="V33" s="15" t="s">
        <v>30</v>
      </c>
      <c r="W33" s="15" t="s">
        <v>627</v>
      </c>
      <c r="X33" s="15">
        <v>0</v>
      </c>
      <c r="Y33" s="15">
        <v>71</v>
      </c>
      <c r="Z33" s="15">
        <v>37</v>
      </c>
      <c r="AA33" s="11">
        <v>26</v>
      </c>
      <c r="AB33" s="9">
        <v>36</v>
      </c>
      <c r="AC33" s="9" t="s">
        <v>310</v>
      </c>
      <c r="AD33" s="9" t="s">
        <v>593</v>
      </c>
      <c r="AF33" t="s">
        <v>208</v>
      </c>
      <c r="AG33">
        <v>29</v>
      </c>
      <c r="AH33">
        <v>98.1</v>
      </c>
    </row>
    <row r="34" spans="1:34" ht="15.9" customHeight="1" thickBot="1" x14ac:dyDescent="0.35">
      <c r="A34" s="16" t="s">
        <v>628</v>
      </c>
      <c r="B34" s="17" t="s">
        <v>629</v>
      </c>
      <c r="C34" s="16" t="s">
        <v>43</v>
      </c>
      <c r="D34" s="17">
        <v>64.44</v>
      </c>
      <c r="E34" s="17" t="s">
        <v>30</v>
      </c>
      <c r="F34" s="17" t="s">
        <v>30</v>
      </c>
      <c r="G34" s="17" t="s">
        <v>630</v>
      </c>
      <c r="H34" s="17" t="s">
        <v>631</v>
      </c>
      <c r="I34" s="17" t="s">
        <v>30</v>
      </c>
      <c r="J34" s="17" t="s">
        <v>30</v>
      </c>
      <c r="K34" s="17" t="s">
        <v>30</v>
      </c>
      <c r="L34" s="17" t="s">
        <v>30</v>
      </c>
      <c r="M34" s="17" t="s">
        <v>632</v>
      </c>
      <c r="N34" s="17" t="s">
        <v>633</v>
      </c>
      <c r="O34" s="17" t="s">
        <v>634</v>
      </c>
      <c r="P34" s="17" t="s">
        <v>635</v>
      </c>
      <c r="Q34" s="17" t="s">
        <v>444</v>
      </c>
      <c r="R34" s="17" t="s">
        <v>108</v>
      </c>
      <c r="S34" s="17">
        <v>0.72</v>
      </c>
      <c r="T34" s="17" t="s">
        <v>636</v>
      </c>
      <c r="U34" s="17">
        <v>1.68</v>
      </c>
      <c r="V34" s="17">
        <v>-3</v>
      </c>
      <c r="W34" s="17" t="s">
        <v>204</v>
      </c>
      <c r="X34" s="17">
        <v>16</v>
      </c>
      <c r="Y34" s="17">
        <v>54</v>
      </c>
      <c r="Z34" s="17">
        <v>35</v>
      </c>
      <c r="AA34" s="12">
        <v>36</v>
      </c>
      <c r="AB34" s="10">
        <v>36</v>
      </c>
      <c r="AC34" s="10" t="s">
        <v>324</v>
      </c>
      <c r="AD34" s="10" t="s">
        <v>593</v>
      </c>
      <c r="AF34" t="s">
        <v>637</v>
      </c>
      <c r="AG34">
        <v>29</v>
      </c>
      <c r="AH34">
        <v>14.1</v>
      </c>
    </row>
    <row r="35" spans="1:34" ht="15.9" customHeight="1" thickBot="1" x14ac:dyDescent="0.35">
      <c r="A35" s="14" t="s">
        <v>638</v>
      </c>
      <c r="B35" s="15" t="s">
        <v>639</v>
      </c>
      <c r="C35" s="14" t="s">
        <v>112</v>
      </c>
      <c r="D35" s="15">
        <v>54.7</v>
      </c>
      <c r="E35" s="15" t="s">
        <v>30</v>
      </c>
      <c r="F35" s="15" t="s">
        <v>30</v>
      </c>
      <c r="G35" s="15" t="s">
        <v>640</v>
      </c>
      <c r="H35" s="15" t="s">
        <v>641</v>
      </c>
      <c r="I35" s="15" t="s">
        <v>30</v>
      </c>
      <c r="J35" s="15" t="s">
        <v>30</v>
      </c>
      <c r="K35" s="15" t="s">
        <v>30</v>
      </c>
      <c r="L35" s="15" t="s">
        <v>30</v>
      </c>
      <c r="M35" s="15" t="s">
        <v>642</v>
      </c>
      <c r="N35" s="15" t="s">
        <v>643</v>
      </c>
      <c r="O35" s="15" t="s">
        <v>644</v>
      </c>
      <c r="P35" s="15" t="s">
        <v>645</v>
      </c>
      <c r="Q35" s="15" t="s">
        <v>646</v>
      </c>
      <c r="R35" s="15" t="s">
        <v>647</v>
      </c>
      <c r="S35" s="15">
        <v>1.93</v>
      </c>
      <c r="T35" s="15" t="s">
        <v>648</v>
      </c>
      <c r="U35" s="15">
        <v>3.73</v>
      </c>
      <c r="V35" s="15">
        <v>-3.28</v>
      </c>
      <c r="W35" s="15" t="s">
        <v>649</v>
      </c>
      <c r="X35" s="15">
        <v>16</v>
      </c>
      <c r="Y35" s="15">
        <v>24</v>
      </c>
      <c r="Z35" s="15">
        <v>47</v>
      </c>
      <c r="AA35" s="11">
        <v>66</v>
      </c>
      <c r="AB35" s="9">
        <v>36</v>
      </c>
      <c r="AC35" s="9" t="s">
        <v>319</v>
      </c>
      <c r="AD35" s="9" t="s">
        <v>593</v>
      </c>
      <c r="AF35" t="s">
        <v>650</v>
      </c>
      <c r="AG35">
        <v>23</v>
      </c>
      <c r="AH35">
        <v>21.6</v>
      </c>
    </row>
    <row r="36" spans="1:34" ht="15.9" customHeight="1" thickBot="1" x14ac:dyDescent="0.35">
      <c r="A36" s="16" t="s">
        <v>651</v>
      </c>
      <c r="B36" s="17" t="s">
        <v>652</v>
      </c>
      <c r="C36" s="16" t="s">
        <v>43</v>
      </c>
      <c r="D36" s="17">
        <v>4313</v>
      </c>
      <c r="E36" s="17">
        <v>9419.1</v>
      </c>
      <c r="F36" s="17">
        <v>9441.4</v>
      </c>
      <c r="G36" s="17" t="s">
        <v>653</v>
      </c>
      <c r="H36" s="17" t="s">
        <v>654</v>
      </c>
      <c r="I36" s="17">
        <v>847.5</v>
      </c>
      <c r="J36" s="17">
        <v>187</v>
      </c>
      <c r="K36" s="17">
        <v>993.8</v>
      </c>
      <c r="L36" s="17">
        <v>4.34</v>
      </c>
      <c r="M36" s="17" t="s">
        <v>655</v>
      </c>
      <c r="N36" s="17" t="s">
        <v>656</v>
      </c>
      <c r="O36" s="17" t="s">
        <v>657</v>
      </c>
      <c r="P36" s="17" t="s">
        <v>658</v>
      </c>
      <c r="Q36" s="17" t="s">
        <v>659</v>
      </c>
      <c r="R36" s="17" t="s">
        <v>274</v>
      </c>
      <c r="S36" s="17">
        <v>0.79</v>
      </c>
      <c r="T36" s="17" t="s">
        <v>660</v>
      </c>
      <c r="U36" s="17">
        <v>2.86</v>
      </c>
      <c r="V36" s="17">
        <v>-2.97</v>
      </c>
      <c r="W36" s="17" t="s">
        <v>222</v>
      </c>
      <c r="X36" s="17">
        <v>29</v>
      </c>
      <c r="Y36" s="17">
        <v>52</v>
      </c>
      <c r="Z36" s="17">
        <v>43</v>
      </c>
      <c r="AA36" s="12">
        <v>11</v>
      </c>
      <c r="AB36" s="10">
        <v>36</v>
      </c>
      <c r="AC36" s="10" t="s">
        <v>30</v>
      </c>
      <c r="AD36" s="10" t="s">
        <v>593</v>
      </c>
      <c r="AF36" t="s">
        <v>661</v>
      </c>
      <c r="AG36">
        <v>18</v>
      </c>
      <c r="AH36">
        <v>-9.6999999999999993</v>
      </c>
    </row>
    <row r="37" spans="1:34" ht="15.9" customHeight="1" thickBot="1" x14ac:dyDescent="0.35">
      <c r="A37" s="14" t="s">
        <v>491</v>
      </c>
      <c r="B37" s="15" t="s">
        <v>662</v>
      </c>
      <c r="C37" s="14" t="s">
        <v>35</v>
      </c>
      <c r="D37" s="15">
        <v>199.25</v>
      </c>
      <c r="E37" s="15" t="s">
        <v>30</v>
      </c>
      <c r="F37" s="15" t="s">
        <v>30</v>
      </c>
      <c r="G37" s="15" t="s">
        <v>663</v>
      </c>
      <c r="H37" s="15" t="s">
        <v>664</v>
      </c>
      <c r="I37" s="15" t="s">
        <v>30</v>
      </c>
      <c r="J37" s="15" t="s">
        <v>30</v>
      </c>
      <c r="K37" s="15" t="s">
        <v>30</v>
      </c>
      <c r="L37" s="15" t="s">
        <v>30</v>
      </c>
      <c r="M37" s="15" t="s">
        <v>665</v>
      </c>
      <c r="N37" s="15" t="s">
        <v>394</v>
      </c>
      <c r="O37" s="15" t="s">
        <v>220</v>
      </c>
      <c r="P37" s="15" t="s">
        <v>39</v>
      </c>
      <c r="Q37" s="15" t="s">
        <v>204</v>
      </c>
      <c r="R37" s="15" t="s">
        <v>666</v>
      </c>
      <c r="S37" s="15">
        <v>1.1000000000000001</v>
      </c>
      <c r="T37" s="15" t="s">
        <v>461</v>
      </c>
      <c r="U37" s="15">
        <v>2.27</v>
      </c>
      <c r="V37" s="15">
        <v>-2.99</v>
      </c>
      <c r="W37" s="15" t="s">
        <v>667</v>
      </c>
      <c r="X37" s="15">
        <v>20</v>
      </c>
      <c r="Y37" s="15">
        <v>58</v>
      </c>
      <c r="Z37" s="15">
        <v>45</v>
      </c>
      <c r="AA37" s="11">
        <v>9</v>
      </c>
      <c r="AB37" s="9">
        <v>35</v>
      </c>
      <c r="AC37" s="9" t="s">
        <v>30</v>
      </c>
      <c r="AD37" s="9" t="s">
        <v>593</v>
      </c>
      <c r="AF37" t="s">
        <v>668</v>
      </c>
      <c r="AG37">
        <v>17</v>
      </c>
      <c r="AH37">
        <v>19.600000000000001</v>
      </c>
    </row>
    <row r="38" spans="1:34" ht="15.9" customHeight="1" thickBot="1" x14ac:dyDescent="0.35">
      <c r="A38" s="16" t="s">
        <v>586</v>
      </c>
      <c r="B38" s="17" t="s">
        <v>669</v>
      </c>
      <c r="C38" s="16" t="s">
        <v>72</v>
      </c>
      <c r="D38" s="17">
        <v>135.65</v>
      </c>
      <c r="E38" s="17" t="s">
        <v>30</v>
      </c>
      <c r="F38" s="17" t="s">
        <v>30</v>
      </c>
      <c r="G38" s="17" t="s">
        <v>670</v>
      </c>
      <c r="H38" s="17" t="s">
        <v>671</v>
      </c>
      <c r="I38" s="17" t="s">
        <v>30</v>
      </c>
      <c r="J38" s="17" t="s">
        <v>30</v>
      </c>
      <c r="K38" s="17" t="s">
        <v>30</v>
      </c>
      <c r="L38" s="17" t="s">
        <v>30</v>
      </c>
      <c r="M38" s="17" t="s">
        <v>672</v>
      </c>
      <c r="N38" s="17" t="s">
        <v>67</v>
      </c>
      <c r="O38" s="17" t="s">
        <v>673</v>
      </c>
      <c r="P38" s="17" t="s">
        <v>674</v>
      </c>
      <c r="Q38" s="17" t="s">
        <v>675</v>
      </c>
      <c r="R38" s="17" t="s">
        <v>47</v>
      </c>
      <c r="S38" s="17">
        <v>0.85</v>
      </c>
      <c r="T38" s="17" t="s">
        <v>477</v>
      </c>
      <c r="U38" s="17">
        <v>0.5</v>
      </c>
      <c r="V38" s="17">
        <v>-2.17</v>
      </c>
      <c r="W38" s="17" t="s">
        <v>676</v>
      </c>
      <c r="X38" s="17">
        <v>15</v>
      </c>
      <c r="Y38" s="17">
        <v>53</v>
      </c>
      <c r="Z38" s="17">
        <v>23</v>
      </c>
      <c r="AA38" s="12">
        <v>38</v>
      </c>
      <c r="AB38" s="10">
        <v>33</v>
      </c>
      <c r="AC38" s="10" t="s">
        <v>30</v>
      </c>
      <c r="AD38" s="10" t="s">
        <v>593</v>
      </c>
      <c r="AF38" t="s">
        <v>677</v>
      </c>
      <c r="AG38">
        <v>5</v>
      </c>
      <c r="AH38">
        <v>-11.8</v>
      </c>
    </row>
    <row r="39" spans="1:34" ht="15.9" customHeight="1" thickBot="1" x14ac:dyDescent="0.35">
      <c r="A39" s="14" t="s">
        <v>78</v>
      </c>
      <c r="B39" s="15" t="s">
        <v>79</v>
      </c>
      <c r="C39" s="14" t="s">
        <v>27</v>
      </c>
      <c r="D39" s="15">
        <v>89.04</v>
      </c>
      <c r="E39" s="15">
        <v>18.399999999999999</v>
      </c>
      <c r="F39" s="15">
        <v>168.3</v>
      </c>
      <c r="G39" s="15" t="s">
        <v>678</v>
      </c>
      <c r="H39" s="15" t="s">
        <v>619</v>
      </c>
      <c r="I39" s="15">
        <v>3.4</v>
      </c>
      <c r="J39" s="15">
        <v>0.5</v>
      </c>
      <c r="K39" s="15">
        <v>2.5</v>
      </c>
      <c r="L39" s="15">
        <v>35.51</v>
      </c>
      <c r="M39" s="15" t="s">
        <v>80</v>
      </c>
      <c r="N39" s="15" t="s">
        <v>81</v>
      </c>
      <c r="O39" s="15" t="s">
        <v>679</v>
      </c>
      <c r="P39" s="15" t="s">
        <v>680</v>
      </c>
      <c r="Q39" s="15" t="s">
        <v>498</v>
      </c>
      <c r="R39" s="15" t="s">
        <v>681</v>
      </c>
      <c r="S39" s="15">
        <v>1.0900000000000001</v>
      </c>
      <c r="T39" s="15" t="s">
        <v>682</v>
      </c>
      <c r="U39" s="15">
        <v>1.61</v>
      </c>
      <c r="V39" s="15">
        <v>-2.99</v>
      </c>
      <c r="W39" s="15" t="s">
        <v>627</v>
      </c>
      <c r="X39" s="15">
        <v>56</v>
      </c>
      <c r="Y39" s="15">
        <v>31</v>
      </c>
      <c r="Z39" s="15">
        <v>22</v>
      </c>
      <c r="AA39" s="11">
        <v>23</v>
      </c>
      <c r="AB39" s="9">
        <v>33</v>
      </c>
      <c r="AC39" s="9" t="s">
        <v>319</v>
      </c>
      <c r="AD39" s="9" t="s">
        <v>593</v>
      </c>
      <c r="AF39" t="s">
        <v>683</v>
      </c>
      <c r="AG39">
        <v>2</v>
      </c>
      <c r="AH39">
        <v>-112.2</v>
      </c>
    </row>
    <row r="40" spans="1:34" ht="15.9" customHeight="1" thickBot="1" x14ac:dyDescent="0.35">
      <c r="A40" s="16" t="s">
        <v>325</v>
      </c>
      <c r="B40" s="17" t="s">
        <v>326</v>
      </c>
      <c r="C40" s="16" t="s">
        <v>93</v>
      </c>
      <c r="D40" s="17">
        <v>29.13</v>
      </c>
      <c r="E40" s="17" t="s">
        <v>30</v>
      </c>
      <c r="F40" s="17" t="s">
        <v>30</v>
      </c>
      <c r="G40" s="17" t="s">
        <v>684</v>
      </c>
      <c r="H40" s="17" t="s">
        <v>685</v>
      </c>
      <c r="I40" s="17" t="s">
        <v>30</v>
      </c>
      <c r="J40" s="17" t="s">
        <v>30</v>
      </c>
      <c r="K40" s="17" t="s">
        <v>30</v>
      </c>
      <c r="L40" s="17" t="s">
        <v>30</v>
      </c>
      <c r="M40" s="17" t="s">
        <v>122</v>
      </c>
      <c r="N40" s="17" t="s">
        <v>405</v>
      </c>
      <c r="O40" s="17" t="s">
        <v>686</v>
      </c>
      <c r="P40" s="17" t="s">
        <v>687</v>
      </c>
      <c r="Q40" s="17" t="s">
        <v>688</v>
      </c>
      <c r="R40" s="17" t="s">
        <v>689</v>
      </c>
      <c r="S40" s="17">
        <v>1.08</v>
      </c>
      <c r="T40" s="17" t="s">
        <v>648</v>
      </c>
      <c r="U40" s="17" t="s">
        <v>30</v>
      </c>
      <c r="V40" s="17">
        <v>-3.12</v>
      </c>
      <c r="W40" s="17" t="s">
        <v>327</v>
      </c>
      <c r="X40" s="17">
        <v>5</v>
      </c>
      <c r="Y40" s="17">
        <v>32</v>
      </c>
      <c r="Z40" s="17">
        <v>19</v>
      </c>
      <c r="AA40" s="12">
        <v>77</v>
      </c>
      <c r="AB40" s="10">
        <v>31</v>
      </c>
      <c r="AC40" s="10" t="s">
        <v>328</v>
      </c>
      <c r="AD40" s="10" t="s">
        <v>593</v>
      </c>
    </row>
    <row r="41" spans="1:34" ht="15.9" customHeight="1" thickBot="1" x14ac:dyDescent="0.35">
      <c r="A41" s="14" t="s">
        <v>690</v>
      </c>
      <c r="B41" s="15" t="s">
        <v>691</v>
      </c>
      <c r="C41" s="14" t="s">
        <v>43</v>
      </c>
      <c r="D41" s="15">
        <v>40.98</v>
      </c>
      <c r="E41" s="15" t="s">
        <v>30</v>
      </c>
      <c r="F41" s="15" t="s">
        <v>30</v>
      </c>
      <c r="G41" s="15" t="s">
        <v>692</v>
      </c>
      <c r="H41" s="15" t="s">
        <v>693</v>
      </c>
      <c r="I41" s="15" t="s">
        <v>30</v>
      </c>
      <c r="J41" s="15" t="s">
        <v>30</v>
      </c>
      <c r="K41" s="15" t="s">
        <v>30</v>
      </c>
      <c r="L41" s="15" t="s">
        <v>30</v>
      </c>
      <c r="M41" s="15" t="s">
        <v>694</v>
      </c>
      <c r="N41" s="15" t="s">
        <v>695</v>
      </c>
      <c r="O41" s="15" t="s">
        <v>696</v>
      </c>
      <c r="P41" s="15" t="s">
        <v>697</v>
      </c>
      <c r="Q41" s="15" t="s">
        <v>675</v>
      </c>
      <c r="R41" s="15" t="s">
        <v>616</v>
      </c>
      <c r="S41" s="15">
        <v>0.71</v>
      </c>
      <c r="T41" s="15" t="s">
        <v>546</v>
      </c>
      <c r="U41" s="15" t="s">
        <v>30</v>
      </c>
      <c r="V41" s="15">
        <v>-3.06</v>
      </c>
      <c r="W41" s="15" t="s">
        <v>698</v>
      </c>
      <c r="X41" s="15">
        <v>4</v>
      </c>
      <c r="Y41" s="15">
        <v>46</v>
      </c>
      <c r="Z41" s="15">
        <v>20</v>
      </c>
      <c r="AA41" s="11">
        <v>49</v>
      </c>
      <c r="AB41" s="9">
        <v>30</v>
      </c>
      <c r="AC41" s="9" t="s">
        <v>511</v>
      </c>
      <c r="AD41" s="9" t="s">
        <v>593</v>
      </c>
    </row>
    <row r="42" spans="1:34" ht="15.9" customHeight="1" x14ac:dyDescent="0.3">
      <c r="A42" s="18" t="s">
        <v>512</v>
      </c>
      <c r="B42" s="19" t="s">
        <v>699</v>
      </c>
      <c r="C42" s="18" t="s">
        <v>99</v>
      </c>
      <c r="D42" s="19">
        <v>90.33</v>
      </c>
      <c r="E42" s="19" t="s">
        <v>30</v>
      </c>
      <c r="F42" s="19" t="s">
        <v>30</v>
      </c>
      <c r="G42" s="19" t="s">
        <v>700</v>
      </c>
      <c r="H42" s="19" t="s">
        <v>701</v>
      </c>
      <c r="I42" s="19" t="s">
        <v>30</v>
      </c>
      <c r="J42" s="19" t="s">
        <v>30</v>
      </c>
      <c r="K42" s="19" t="s">
        <v>30</v>
      </c>
      <c r="L42" s="19" t="s">
        <v>30</v>
      </c>
      <c r="M42" s="19" t="s">
        <v>30</v>
      </c>
      <c r="N42" s="19" t="s">
        <v>30</v>
      </c>
      <c r="O42" s="19" t="s">
        <v>465</v>
      </c>
      <c r="P42" s="19" t="s">
        <v>702</v>
      </c>
      <c r="Q42" s="19" t="s">
        <v>703</v>
      </c>
      <c r="R42" s="19" t="s">
        <v>515</v>
      </c>
      <c r="S42" s="19" t="s">
        <v>30</v>
      </c>
      <c r="T42" s="19" t="s">
        <v>704</v>
      </c>
      <c r="U42" s="19" t="s">
        <v>30</v>
      </c>
      <c r="V42" s="19" t="s">
        <v>30</v>
      </c>
      <c r="W42" s="19" t="s">
        <v>705</v>
      </c>
      <c r="X42" s="19">
        <v>0</v>
      </c>
      <c r="Y42" s="19">
        <v>40</v>
      </c>
      <c r="Z42" s="19">
        <v>21</v>
      </c>
      <c r="AA42" s="12">
        <v>60</v>
      </c>
      <c r="AB42" s="10">
        <v>29</v>
      </c>
      <c r="AC42" s="10" t="s">
        <v>319</v>
      </c>
      <c r="AD42" s="10" t="s">
        <v>593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3</vt:i4>
      </vt:variant>
    </vt:vector>
  </HeadingPairs>
  <TitlesOfParts>
    <vt:vector size="20" baseType="lpstr">
      <vt:lpstr>DASHBOARD</vt:lpstr>
      <vt:lpstr>VALUE</vt:lpstr>
      <vt:lpstr>GROWTH</vt:lpstr>
      <vt:lpstr>QUALITY</vt:lpstr>
      <vt:lpstr>MOMENTUM</vt:lpstr>
      <vt:lpstr>PAR SECTEUR</vt:lpstr>
      <vt:lpstr>SECTOR OVERVIEW</vt:lpstr>
      <vt:lpstr>TECHNOLOGY</vt:lpstr>
      <vt:lpstr>CONSUMER DISC.</vt:lpstr>
      <vt:lpstr>FINANCIALS</vt:lpstr>
      <vt:lpstr>INDUSTRIALS</vt:lpstr>
      <vt:lpstr>HEALTHCARE</vt:lpstr>
      <vt:lpstr>ENERGY</vt:lpstr>
      <vt:lpstr>MATERIALS</vt:lpstr>
      <vt:lpstr>REAL ESTATE</vt:lpstr>
      <vt:lpstr>CONSUMER DEF.</vt:lpstr>
      <vt:lpstr>DONNÉES BRUTES</vt:lpstr>
      <vt:lpstr>DASHBOARD!Zone_d_impression</vt:lpstr>
      <vt:lpstr>'PAR SECTEUR'!Zone_d_impression</vt:lpstr>
      <vt:lpstr>'SECTOR OVERVIEW'!Zone_d_impression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jeh</cp:lastModifiedBy>
  <dcterms:created xsi:type="dcterms:W3CDTF">2026-03-22T08:37:34Z</dcterms:created>
  <dcterms:modified xsi:type="dcterms:W3CDTF">2026-04-12T15:47:11Z</dcterms:modified>
</cp:coreProperties>
</file>