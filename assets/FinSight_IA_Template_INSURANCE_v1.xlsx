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0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apti\Downloads\"/>
    </mc:Choice>
  </mc:AlternateContent>
  <xr:revisionPtr revIDLastSave="0" documentId="13_ncr:1_{CEF29E11-9D71-4DC8-8C1A-256500404012}" xr6:coauthVersionLast="47" xr6:coauthVersionMax="47" xr10:uidLastSave="{00000000-0000-0000-0000-000000000000}"/>
  <bookViews>
    <workbookView xWindow="-108" yWindow="-108" windowWidth="23256" windowHeight="13896" tabRatio="701" firstSheet="1" activeTab="6" xr2:uid="{00000000-000D-0000-FFFF-FFFF00000000}"/>
  </bookViews>
  <sheets>
    <sheet name="INPUT" sheetId="1" r:id="rId1"/>
    <sheet name="RATIOS" sheetId="2" r:id="rId2"/>
    <sheet name="VALUATION" sheetId="3" r:id="rId3"/>
    <sheet name="COMPARABLES" sheetId="4" r:id="rId4"/>
    <sheet name="SCENARIOS" sheetId="5" r:id="rId5"/>
    <sheet name="DASHBOARD" sheetId="6" r:id="rId6"/>
    <sheet name="DASHBOARD 2" sheetId="7" r:id="rId7"/>
    <sheet name="STOCK_DATA" sheetId="8" state="hidden" r:id="rId8"/>
    <sheet name="SECTOR_REF" sheetId="9" state="hidden" r:id="rId9"/>
  </sheets>
  <definedNames>
    <definedName name="_xlnm.Print_Area" localSheetId="3">COMPARABLES!$A$1:$L$45</definedName>
    <definedName name="_xlnm.Print_Area" localSheetId="5">DASHBOARD!$A$1:$N$95</definedName>
    <definedName name="_xlnm.Print_Area" localSheetId="6">'DASHBOARD 2'!$A$1:$P$107</definedName>
    <definedName name="_xlnm.Print_Area" localSheetId="0">INPUT!$A$1:$H$126</definedName>
    <definedName name="_xlnm.Print_Area" localSheetId="1">RATIOS!$A$1:$H$72</definedName>
    <definedName name="_xlnm.Print_Area" localSheetId="4">SCENARIOS!$A$1:$I$54</definedName>
    <definedName name="_xlnm.Print_Area" localSheetId="2">VALUATION!$A$1:$L$118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9" i="6" l="1"/>
  <c r="C108" i="6"/>
  <c r="C105" i="6"/>
  <c r="C104" i="6"/>
  <c r="C103" i="6"/>
  <c r="C102" i="6"/>
  <c r="C101" i="6"/>
  <c r="C100" i="6"/>
  <c r="D72" i="6"/>
  <c r="K6" i="7"/>
  <c r="E5" i="2"/>
  <c r="F5" i="2"/>
  <c r="G5" i="2"/>
  <c r="G76" i="2" s="1"/>
  <c r="H5" i="2"/>
  <c r="H76" i="2" s="1"/>
  <c r="D9" i="2"/>
  <c r="E9" i="2"/>
  <c r="F9" i="2"/>
  <c r="G9" i="2"/>
  <c r="H9" i="2"/>
  <c r="D10" i="2"/>
  <c r="E10" i="2"/>
  <c r="F10" i="2"/>
  <c r="G10" i="2"/>
  <c r="H10" i="2"/>
  <c r="D11" i="2"/>
  <c r="E11" i="2"/>
  <c r="F11" i="2"/>
  <c r="G11" i="2"/>
  <c r="H11" i="2"/>
  <c r="D12" i="2"/>
  <c r="E12" i="2"/>
  <c r="F12" i="2"/>
  <c r="G12" i="2"/>
  <c r="H12" i="2"/>
  <c r="D13" i="2"/>
  <c r="E13" i="2"/>
  <c r="F13" i="2"/>
  <c r="G13" i="2"/>
  <c r="H13" i="2"/>
  <c r="D14" i="2"/>
  <c r="E14" i="2"/>
  <c r="F14" i="2"/>
  <c r="G14" i="2"/>
  <c r="H14" i="2"/>
  <c r="E15" i="2"/>
  <c r="F15" i="2"/>
  <c r="G15" i="2"/>
  <c r="E19" i="2"/>
  <c r="E82" i="2" s="1"/>
  <c r="F19" i="2"/>
  <c r="F82" i="2" s="1"/>
  <c r="G19" i="2"/>
  <c r="H19" i="2"/>
  <c r="E20" i="2"/>
  <c r="E83" i="2" s="1"/>
  <c r="F20" i="2"/>
  <c r="F83" i="2" s="1"/>
  <c r="G20" i="2"/>
  <c r="G83" i="2" s="1"/>
  <c r="H20" i="2"/>
  <c r="H83" i="2" s="1"/>
  <c r="E21" i="2"/>
  <c r="F21" i="2"/>
  <c r="G21" i="2"/>
  <c r="H21" i="2"/>
  <c r="E22" i="2"/>
  <c r="E84" i="2" s="1"/>
  <c r="F22" i="2"/>
  <c r="G22" i="2"/>
  <c r="E23" i="2"/>
  <c r="E110" i="2" s="1"/>
  <c r="F23" i="2"/>
  <c r="F110" i="2" s="1"/>
  <c r="G23" i="2"/>
  <c r="G110" i="2" s="1"/>
  <c r="E24" i="2"/>
  <c r="E111" i="2" s="1"/>
  <c r="F24" i="2"/>
  <c r="F111" i="2" s="1"/>
  <c r="G24" i="2"/>
  <c r="G111" i="2" s="1"/>
  <c r="E25" i="2"/>
  <c r="F25" i="2"/>
  <c r="G25" i="2"/>
  <c r="H25" i="2"/>
  <c r="E29" i="2"/>
  <c r="F29" i="2"/>
  <c r="G29" i="2"/>
  <c r="H29" i="2"/>
  <c r="E30" i="2"/>
  <c r="F30" i="2"/>
  <c r="G30" i="2"/>
  <c r="H30" i="2"/>
  <c r="E31" i="2"/>
  <c r="F31" i="2"/>
  <c r="G31" i="2"/>
  <c r="H31" i="2"/>
  <c r="E32" i="2"/>
  <c r="F32" i="2"/>
  <c r="G32" i="2"/>
  <c r="H32" i="2"/>
  <c r="E33" i="2"/>
  <c r="F33" i="2"/>
  <c r="G33" i="2"/>
  <c r="H33" i="2"/>
  <c r="E34" i="2"/>
  <c r="F34" i="2"/>
  <c r="G34" i="2"/>
  <c r="H34" i="2"/>
  <c r="E35" i="2"/>
  <c r="F35" i="2"/>
  <c r="G35" i="2"/>
  <c r="H35" i="2"/>
  <c r="E36" i="2"/>
  <c r="F36" i="2"/>
  <c r="G36" i="2"/>
  <c r="H36" i="2"/>
  <c r="E40" i="2"/>
  <c r="F40" i="2"/>
  <c r="G40" i="2"/>
  <c r="H40" i="2"/>
  <c r="F44" i="2"/>
  <c r="G44" i="2"/>
  <c r="H44" i="2"/>
  <c r="F45" i="2"/>
  <c r="G45" i="2"/>
  <c r="H45" i="2"/>
  <c r="F46" i="2"/>
  <c r="G46" i="2"/>
  <c r="F47" i="2"/>
  <c r="G47" i="2"/>
  <c r="F48" i="2"/>
  <c r="G48" i="2"/>
  <c r="H48" i="2"/>
  <c r="E52" i="2"/>
  <c r="F52" i="2"/>
  <c r="G52" i="2"/>
  <c r="E53" i="2"/>
  <c r="E104" i="2" s="1"/>
  <c r="F53" i="2"/>
  <c r="G53" i="2"/>
  <c r="E54" i="2"/>
  <c r="F54" i="2"/>
  <c r="G54" i="2"/>
  <c r="E55" i="2"/>
  <c r="F55" i="2"/>
  <c r="G55" i="2"/>
  <c r="H55" i="2"/>
  <c r="E56" i="2"/>
  <c r="F56" i="2"/>
  <c r="G56" i="2"/>
  <c r="D60" i="2"/>
  <c r="E60" i="2"/>
  <c r="F60" i="2"/>
  <c r="G60" i="2"/>
  <c r="H60" i="2"/>
  <c r="D61" i="2"/>
  <c r="E61" i="2"/>
  <c r="F61" i="2"/>
  <c r="G61" i="2"/>
  <c r="H61" i="2"/>
  <c r="D62" i="2"/>
  <c r="E62" i="2"/>
  <c r="F62" i="2"/>
  <c r="G62" i="2"/>
  <c r="H62" i="2"/>
  <c r="D63" i="2"/>
  <c r="E63" i="2"/>
  <c r="F63" i="2"/>
  <c r="G63" i="2"/>
  <c r="H63" i="2"/>
  <c r="D64" i="2"/>
  <c r="E64" i="2"/>
  <c r="F64" i="2"/>
  <c r="G64" i="2"/>
  <c r="H64" i="2"/>
  <c r="E65" i="2"/>
  <c r="F65" i="2"/>
  <c r="G65" i="2"/>
  <c r="E66" i="2"/>
  <c r="F66" i="2"/>
  <c r="G66" i="2"/>
  <c r="D76" i="2"/>
  <c r="E76" i="2"/>
  <c r="F76" i="2"/>
  <c r="D77" i="2"/>
  <c r="E77" i="2"/>
  <c r="F77" i="2"/>
  <c r="R9" i="6" s="1"/>
  <c r="G77" i="2"/>
  <c r="H77" i="2"/>
  <c r="R11" i="6" s="1"/>
  <c r="D78" i="2"/>
  <c r="E78" i="2"/>
  <c r="F78" i="2"/>
  <c r="G78" i="2"/>
  <c r="H78" i="2"/>
  <c r="D79" i="2"/>
  <c r="E79" i="2"/>
  <c r="F79" i="2"/>
  <c r="G79" i="2"/>
  <c r="D80" i="2"/>
  <c r="E80" i="2"/>
  <c r="F80" i="2"/>
  <c r="S2" i="6" s="1"/>
  <c r="G80" i="2"/>
  <c r="G101" i="2" s="1"/>
  <c r="H80" i="2"/>
  <c r="H99" i="2" s="1"/>
  <c r="D82" i="2"/>
  <c r="G82" i="2"/>
  <c r="H82" i="2"/>
  <c r="D83" i="2"/>
  <c r="D84" i="2"/>
  <c r="F84" i="2"/>
  <c r="G84" i="2"/>
  <c r="D87" i="2"/>
  <c r="E87" i="2"/>
  <c r="E93" i="2" s="1"/>
  <c r="F87" i="2"/>
  <c r="F93" i="2" s="1"/>
  <c r="G87" i="2"/>
  <c r="G93" i="2" s="1"/>
  <c r="H87" i="2"/>
  <c r="D88" i="2"/>
  <c r="E88" i="2"/>
  <c r="F88" i="2"/>
  <c r="G88" i="2"/>
  <c r="H88" i="2"/>
  <c r="D89" i="2"/>
  <c r="E89" i="2"/>
  <c r="F89" i="2"/>
  <c r="F95" i="2" s="1"/>
  <c r="G89" i="2"/>
  <c r="G95" i="2" s="1"/>
  <c r="H89" i="2"/>
  <c r="H95" i="2" s="1"/>
  <c r="D90" i="2"/>
  <c r="E90" i="2"/>
  <c r="E96" i="2" s="1"/>
  <c r="F90" i="2"/>
  <c r="F96" i="2" s="1"/>
  <c r="G90" i="2"/>
  <c r="H90" i="2"/>
  <c r="H96" i="2" s="1"/>
  <c r="D93" i="2"/>
  <c r="H93" i="2"/>
  <c r="D94" i="2"/>
  <c r="E94" i="2"/>
  <c r="F94" i="2"/>
  <c r="G94" i="2"/>
  <c r="H94" i="2"/>
  <c r="D95" i="2"/>
  <c r="E95" i="2"/>
  <c r="D96" i="2"/>
  <c r="G96" i="2"/>
  <c r="G97" i="2"/>
  <c r="D99" i="2"/>
  <c r="E99" i="2"/>
  <c r="F99" i="2"/>
  <c r="G99" i="2"/>
  <c r="F104" i="2"/>
  <c r="G104" i="2"/>
  <c r="E105" i="2"/>
  <c r="F105" i="2"/>
  <c r="G105" i="2"/>
  <c r="H105" i="2"/>
  <c r="E106" i="2"/>
  <c r="F106" i="2"/>
  <c r="G106" i="2"/>
  <c r="E112" i="2"/>
  <c r="F112" i="2"/>
  <c r="G112" i="2"/>
  <c r="H112" i="2"/>
  <c r="C70" i="5"/>
  <c r="C69" i="5"/>
  <c r="C68" i="5"/>
  <c r="C101" i="3"/>
  <c r="C102" i="3"/>
  <c r="C103" i="3"/>
  <c r="C104" i="3"/>
  <c r="C105" i="3"/>
  <c r="E45" i="5"/>
  <c r="E44" i="5"/>
  <c r="D45" i="5"/>
  <c r="D44" i="5"/>
  <c r="F30" i="5"/>
  <c r="E30" i="5"/>
  <c r="D30" i="5"/>
  <c r="F21" i="5"/>
  <c r="E21" i="5"/>
  <c r="D21" i="5"/>
  <c r="F12" i="5"/>
  <c r="E12" i="5"/>
  <c r="D12" i="5"/>
  <c r="F11" i="5"/>
  <c r="E11" i="5"/>
  <c r="D11" i="5"/>
  <c r="D34" i="4"/>
  <c r="D31" i="4"/>
  <c r="G29" i="4"/>
  <c r="F29" i="4"/>
  <c r="E29" i="4"/>
  <c r="D29" i="4"/>
  <c r="D25" i="4"/>
  <c r="D24" i="4"/>
  <c r="D23" i="4"/>
  <c r="D22" i="4"/>
  <c r="J18" i="4" a="1"/>
  <c r="J18" i="4"/>
  <c r="J17" i="4" a="1"/>
  <c r="J17" i="4"/>
  <c r="J16" i="4" a="1"/>
  <c r="J16" i="4"/>
  <c r="J15" i="4"/>
  <c r="I18" i="4"/>
  <c r="I17" i="4"/>
  <c r="I16" i="4"/>
  <c r="I15" i="4"/>
  <c r="H18" i="4" a="1"/>
  <c r="H18" i="4" s="1"/>
  <c r="H17" i="4" a="1"/>
  <c r="H17" i="4" s="1"/>
  <c r="H16" i="4" a="1"/>
  <c r="H16" i="4" s="1"/>
  <c r="H15" i="4"/>
  <c r="D138" i="3"/>
  <c r="H9" i="4"/>
  <c r="I9" i="4"/>
  <c r="H13" i="4"/>
  <c r="C52" i="4" s="1"/>
  <c r="H12" i="4"/>
  <c r="H11" i="4"/>
  <c r="H10" i="4"/>
  <c r="C48" i="4"/>
  <c r="G9" i="4"/>
  <c r="F9" i="4"/>
  <c r="D48" i="4" s="1"/>
  <c r="E9" i="4"/>
  <c r="D172" i="3"/>
  <c r="D171" i="3"/>
  <c r="G166" i="3"/>
  <c r="F166" i="3"/>
  <c r="E166" i="3"/>
  <c r="D166" i="3"/>
  <c r="C166" i="3"/>
  <c r="G165" i="3"/>
  <c r="F165" i="3"/>
  <c r="E165" i="3"/>
  <c r="D165" i="3"/>
  <c r="C165" i="3"/>
  <c r="G164" i="3"/>
  <c r="F164" i="3"/>
  <c r="E164" i="3"/>
  <c r="D164" i="3"/>
  <c r="C164" i="3"/>
  <c r="G163" i="3"/>
  <c r="F163" i="3"/>
  <c r="E163" i="3"/>
  <c r="D163" i="3"/>
  <c r="C163" i="3"/>
  <c r="G162" i="3"/>
  <c r="F162" i="3"/>
  <c r="E162" i="3"/>
  <c r="D162" i="3"/>
  <c r="C162" i="3"/>
  <c r="D156" i="3"/>
  <c r="D150" i="3"/>
  <c r="D149" i="3"/>
  <c r="D148" i="3"/>
  <c r="D147" i="3"/>
  <c r="D143" i="3"/>
  <c r="D137" i="3"/>
  <c r="D136" i="3"/>
  <c r="F22" i="5" s="1"/>
  <c r="D133" i="3"/>
  <c r="D132" i="3"/>
  <c r="D131" i="3"/>
  <c r="D130" i="3"/>
  <c r="D141" i="1"/>
  <c r="D138" i="1"/>
  <c r="D137" i="1"/>
  <c r="D136" i="1"/>
  <c r="D135" i="1"/>
  <c r="G108" i="7"/>
  <c r="F108" i="7"/>
  <c r="E108" i="7"/>
  <c r="D108" i="7"/>
  <c r="C108" i="7"/>
  <c r="J107" i="7"/>
  <c r="G107" i="7"/>
  <c r="F107" i="7"/>
  <c r="E107" i="7"/>
  <c r="D107" i="7"/>
  <c r="C107" i="7"/>
  <c r="P106" i="7"/>
  <c r="J106" i="7"/>
  <c r="C106" i="7"/>
  <c r="P105" i="7"/>
  <c r="J105" i="7"/>
  <c r="P104" i="7"/>
  <c r="K104" i="7"/>
  <c r="Q92" i="7" s="1"/>
  <c r="J104" i="7"/>
  <c r="P103" i="7"/>
  <c r="W89" i="7"/>
  <c r="V89" i="7"/>
  <c r="X88" i="7"/>
  <c r="V88" i="7"/>
  <c r="X86" i="7"/>
  <c r="V85" i="7"/>
  <c r="T15" i="7"/>
  <c r="S15" i="7"/>
  <c r="R15" i="7"/>
  <c r="Q15" i="7"/>
  <c r="P15" i="7"/>
  <c r="T14" i="7"/>
  <c r="S14" i="7"/>
  <c r="R14" i="7"/>
  <c r="Q14" i="7"/>
  <c r="P14" i="7"/>
  <c r="T12" i="7"/>
  <c r="S12" i="7"/>
  <c r="R12" i="7"/>
  <c r="Q12" i="7"/>
  <c r="P12" i="7"/>
  <c r="D12" i="7"/>
  <c r="T11" i="7"/>
  <c r="S11" i="7"/>
  <c r="R11" i="7"/>
  <c r="Q11" i="7"/>
  <c r="P11" i="7"/>
  <c r="I11" i="7"/>
  <c r="D11" i="7"/>
  <c r="K10" i="7"/>
  <c r="J10" i="7" s="1"/>
  <c r="I10" i="7"/>
  <c r="D10" i="7"/>
  <c r="K9" i="7"/>
  <c r="J9" i="7"/>
  <c r="W88" i="7" s="1"/>
  <c r="I9" i="7"/>
  <c r="D9" i="7"/>
  <c r="P8" i="7"/>
  <c r="K8" i="7"/>
  <c r="X87" i="7" s="1"/>
  <c r="I8" i="7"/>
  <c r="V87" i="7" s="1"/>
  <c r="D8" i="7"/>
  <c r="S7" i="7"/>
  <c r="R7" i="7"/>
  <c r="Q7" i="7"/>
  <c r="P7" i="7"/>
  <c r="K7" i="7"/>
  <c r="I7" i="7"/>
  <c r="J7" i="7" s="1"/>
  <c r="W86" i="7" s="1"/>
  <c r="D7" i="7"/>
  <c r="I6" i="7"/>
  <c r="S5" i="7"/>
  <c r="R5" i="7"/>
  <c r="Q5" i="7"/>
  <c r="P5" i="7"/>
  <c r="D106" i="7" s="1"/>
  <c r="Q1" i="7"/>
  <c r="N95" i="6"/>
  <c r="M95" i="6"/>
  <c r="L95" i="6"/>
  <c r="K95" i="6"/>
  <c r="J95" i="6"/>
  <c r="N94" i="6"/>
  <c r="M94" i="6"/>
  <c r="L94" i="6"/>
  <c r="K94" i="6"/>
  <c r="J94" i="6"/>
  <c r="N93" i="6"/>
  <c r="M93" i="6"/>
  <c r="L93" i="6"/>
  <c r="K93" i="6"/>
  <c r="J93" i="6"/>
  <c r="N92" i="6"/>
  <c r="M92" i="6"/>
  <c r="L92" i="6"/>
  <c r="K92" i="6"/>
  <c r="J92" i="6"/>
  <c r="F92" i="6"/>
  <c r="E92" i="6"/>
  <c r="D92" i="6"/>
  <c r="N91" i="6"/>
  <c r="M91" i="6"/>
  <c r="L91" i="6"/>
  <c r="K91" i="6"/>
  <c r="J91" i="6"/>
  <c r="F91" i="6"/>
  <c r="E91" i="6"/>
  <c r="D91" i="6"/>
  <c r="H90" i="6"/>
  <c r="G90" i="6"/>
  <c r="J89" i="6"/>
  <c r="H89" i="6"/>
  <c r="G89" i="6"/>
  <c r="J88" i="6"/>
  <c r="J87" i="6"/>
  <c r="N86" i="6"/>
  <c r="M86" i="6"/>
  <c r="L86" i="6"/>
  <c r="K86" i="6"/>
  <c r="J86" i="6"/>
  <c r="F85" i="6"/>
  <c r="E85" i="6"/>
  <c r="D85" i="6"/>
  <c r="C85" i="6"/>
  <c r="F84" i="6"/>
  <c r="E84" i="6"/>
  <c r="D84" i="6"/>
  <c r="C84" i="6"/>
  <c r="G83" i="6"/>
  <c r="M82" i="6"/>
  <c r="L82" i="6"/>
  <c r="K82" i="6"/>
  <c r="J82" i="6"/>
  <c r="I82" i="6"/>
  <c r="G82" i="6"/>
  <c r="J70" i="6"/>
  <c r="E70" i="6"/>
  <c r="D70" i="6"/>
  <c r="K69" i="6"/>
  <c r="J69" i="6"/>
  <c r="J68" i="6"/>
  <c r="E68" i="6"/>
  <c r="D68" i="6"/>
  <c r="E66" i="6"/>
  <c r="D66" i="6"/>
  <c r="E65" i="6"/>
  <c r="D65" i="6"/>
  <c r="E64" i="6"/>
  <c r="D64" i="6"/>
  <c r="K63" i="6"/>
  <c r="J63" i="6"/>
  <c r="E62" i="6"/>
  <c r="D62" i="6"/>
  <c r="T60" i="6"/>
  <c r="S60" i="6"/>
  <c r="D63" i="6" s="1"/>
  <c r="D67" i="6" s="1"/>
  <c r="K60" i="6"/>
  <c r="J60" i="6"/>
  <c r="E60" i="6"/>
  <c r="D60" i="6"/>
  <c r="C55" i="6"/>
  <c r="J46" i="6"/>
  <c r="K46" i="6" s="1"/>
  <c r="I46" i="6"/>
  <c r="D46" i="6"/>
  <c r="C46" i="6"/>
  <c r="J44" i="6"/>
  <c r="I44" i="6"/>
  <c r="K44" i="6" s="1"/>
  <c r="L44" i="6" s="1"/>
  <c r="D44" i="6"/>
  <c r="C44" i="6"/>
  <c r="B4" i="6"/>
  <c r="G61" i="5"/>
  <c r="F61" i="5"/>
  <c r="E61" i="5"/>
  <c r="D61" i="5"/>
  <c r="C61" i="5"/>
  <c r="G56" i="5"/>
  <c r="F56" i="5"/>
  <c r="E56" i="5"/>
  <c r="D56" i="5"/>
  <c r="C56" i="5"/>
  <c r="H43" i="5"/>
  <c r="G43" i="5"/>
  <c r="F43" i="5"/>
  <c r="E43" i="5"/>
  <c r="D43" i="5"/>
  <c r="H37" i="5"/>
  <c r="G37" i="5"/>
  <c r="F37" i="5"/>
  <c r="E37" i="5"/>
  <c r="D37" i="5"/>
  <c r="B34" i="5"/>
  <c r="E32" i="5"/>
  <c r="D32" i="5"/>
  <c r="F26" i="5"/>
  <c r="E26" i="5"/>
  <c r="G16" i="5"/>
  <c r="F16" i="5"/>
  <c r="E16" i="5"/>
  <c r="D16" i="5"/>
  <c r="L15" i="5"/>
  <c r="K15" i="5"/>
  <c r="J15" i="5"/>
  <c r="I15" i="5"/>
  <c r="H15" i="5"/>
  <c r="G15" i="5"/>
  <c r="F15" i="5"/>
  <c r="E15" i="5"/>
  <c r="D15" i="5"/>
  <c r="D13" i="5"/>
  <c r="F8" i="5" a="1"/>
  <c r="F8" i="5"/>
  <c r="E8" i="5" a="1"/>
  <c r="E8" i="5" s="1"/>
  <c r="D8" i="5" a="1"/>
  <c r="D8" i="5"/>
  <c r="M5" i="5"/>
  <c r="L5" i="5"/>
  <c r="K5" i="5"/>
  <c r="J5" i="5"/>
  <c r="I5" i="5"/>
  <c r="H5" i="5"/>
  <c r="G5" i="5"/>
  <c r="F5" i="5"/>
  <c r="E5" i="5"/>
  <c r="K57" i="4"/>
  <c r="B57" i="4"/>
  <c r="K56" i="4"/>
  <c r="B56" i="4"/>
  <c r="K55" i="4"/>
  <c r="B53" i="4"/>
  <c r="B52" i="4"/>
  <c r="C51" i="4"/>
  <c r="B51" i="4"/>
  <c r="B50" i="4"/>
  <c r="B49" i="4"/>
  <c r="B48" i="4"/>
  <c r="G37" i="4"/>
  <c r="F37" i="4"/>
  <c r="E37" i="4"/>
  <c r="D37" i="4"/>
  <c r="D26" i="4"/>
  <c r="D21" i="4"/>
  <c r="G18" i="4"/>
  <c r="F18" i="4"/>
  <c r="E18" i="4"/>
  <c r="D18" i="4"/>
  <c r="G17" i="4"/>
  <c r="E17" i="4"/>
  <c r="D17" i="4"/>
  <c r="G16" i="4"/>
  <c r="E16" i="4"/>
  <c r="D16" i="4"/>
  <c r="G15" i="4"/>
  <c r="F15" i="4"/>
  <c r="E15" i="4"/>
  <c r="D15" i="4"/>
  <c r="E52" i="4"/>
  <c r="D52" i="4"/>
  <c r="E50" i="4"/>
  <c r="D50" i="4"/>
  <c r="C50" i="4"/>
  <c r="E49" i="4"/>
  <c r="D49" i="4"/>
  <c r="C49" i="4"/>
  <c r="G120" i="3"/>
  <c r="F120" i="3"/>
  <c r="E120" i="3"/>
  <c r="D120" i="3"/>
  <c r="C120" i="3"/>
  <c r="G112" i="3"/>
  <c r="F112" i="3"/>
  <c r="E112" i="3"/>
  <c r="D110" i="3"/>
  <c r="N95" i="3"/>
  <c r="D95" i="3"/>
  <c r="N93" i="3"/>
  <c r="D93" i="3"/>
  <c r="D90" i="3"/>
  <c r="N90" i="3" s="1"/>
  <c r="D89" i="3"/>
  <c r="N89" i="3" s="1"/>
  <c r="D76" i="3"/>
  <c r="D70" i="3"/>
  <c r="N70" i="3" s="1"/>
  <c r="N65" i="3"/>
  <c r="D65" i="3"/>
  <c r="N64" i="3"/>
  <c r="D64" i="3"/>
  <c r="N63" i="3"/>
  <c r="D63" i="3"/>
  <c r="D62" i="3"/>
  <c r="D66" i="3" s="1"/>
  <c r="D61" i="3"/>
  <c r="N61" i="3" s="1"/>
  <c r="D58" i="3"/>
  <c r="D59" i="3" s="1"/>
  <c r="N59" i="3" s="1"/>
  <c r="N57" i="3"/>
  <c r="D57" i="3"/>
  <c r="N56" i="3"/>
  <c r="D56" i="3"/>
  <c r="E51" i="3"/>
  <c r="H50" i="3"/>
  <c r="G50" i="3"/>
  <c r="F50" i="3"/>
  <c r="E50" i="3"/>
  <c r="H49" i="3"/>
  <c r="G49" i="3"/>
  <c r="F49" i="3"/>
  <c r="E42" i="3"/>
  <c r="D45" i="3" s="1"/>
  <c r="I38" i="3"/>
  <c r="F38" i="3"/>
  <c r="D38" i="3"/>
  <c r="I37" i="3"/>
  <c r="L37" i="3" s="1"/>
  <c r="D37" i="3"/>
  <c r="I34" i="3"/>
  <c r="D34" i="3"/>
  <c r="I33" i="3"/>
  <c r="D33" i="3"/>
  <c r="I32" i="3"/>
  <c r="D32" i="3"/>
  <c r="I31" i="3"/>
  <c r="D31" i="3"/>
  <c r="D29" i="3"/>
  <c r="H20" i="3"/>
  <c r="G20" i="3"/>
  <c r="F20" i="3"/>
  <c r="E20" i="3"/>
  <c r="D20" i="3"/>
  <c r="H17" i="3"/>
  <c r="G17" i="3"/>
  <c r="F17" i="3"/>
  <c r="E17" i="3"/>
  <c r="E49" i="3" s="1"/>
  <c r="D17" i="3"/>
  <c r="H14" i="3"/>
  <c r="G14" i="3"/>
  <c r="F14" i="3"/>
  <c r="E14" i="3"/>
  <c r="D14" i="3"/>
  <c r="H13" i="3"/>
  <c r="G13" i="3"/>
  <c r="F13" i="3"/>
  <c r="E13" i="3"/>
  <c r="D13" i="3"/>
  <c r="H11" i="3"/>
  <c r="H10" i="3"/>
  <c r="G10" i="3"/>
  <c r="G11" i="3" s="1"/>
  <c r="F10" i="3"/>
  <c r="E10" i="3"/>
  <c r="E11" i="3" s="1"/>
  <c r="D10" i="3"/>
  <c r="H9" i="3"/>
  <c r="G9" i="3"/>
  <c r="F9" i="3"/>
  <c r="E9" i="3"/>
  <c r="D9" i="3"/>
  <c r="D11" i="3" s="1"/>
  <c r="M5" i="3"/>
  <c r="L5" i="3"/>
  <c r="K5" i="3"/>
  <c r="J5" i="3"/>
  <c r="I5" i="3"/>
  <c r="H5" i="3"/>
  <c r="G5" i="3"/>
  <c r="F5" i="3"/>
  <c r="E5" i="3"/>
  <c r="D5" i="3"/>
  <c r="R5" i="6"/>
  <c r="R10" i="6"/>
  <c r="R8" i="6"/>
  <c r="F128" i="1"/>
  <c r="G128" i="1" s="1"/>
  <c r="D128" i="1"/>
  <c r="H108" i="1"/>
  <c r="D108" i="1"/>
  <c r="H98" i="1"/>
  <c r="H97" i="1"/>
  <c r="G97" i="1"/>
  <c r="G98" i="1" s="1"/>
  <c r="F97" i="1"/>
  <c r="F98" i="1" s="1"/>
  <c r="E97" i="1"/>
  <c r="E98" i="1" s="1"/>
  <c r="D97" i="1"/>
  <c r="D98" i="1" s="1"/>
  <c r="H86" i="1"/>
  <c r="G86" i="1"/>
  <c r="F86" i="1"/>
  <c r="E86" i="1"/>
  <c r="D86" i="1"/>
  <c r="H80" i="1"/>
  <c r="G80" i="1"/>
  <c r="F80" i="1"/>
  <c r="E80" i="1"/>
  <c r="D80" i="1"/>
  <c r="H70" i="1"/>
  <c r="H51" i="3" s="1"/>
  <c r="G70" i="1"/>
  <c r="G51" i="3" s="1"/>
  <c r="F70" i="1"/>
  <c r="F51" i="3" s="1"/>
  <c r="E70" i="1"/>
  <c r="D70" i="1"/>
  <c r="H60" i="1"/>
  <c r="G60" i="1"/>
  <c r="F60" i="1"/>
  <c r="E60" i="1"/>
  <c r="D60" i="1"/>
  <c r="G55" i="1"/>
  <c r="F55" i="1"/>
  <c r="E55" i="1"/>
  <c r="H51" i="1"/>
  <c r="G51" i="1"/>
  <c r="F51" i="1"/>
  <c r="E51" i="1"/>
  <c r="D51" i="1"/>
  <c r="D55" i="1" s="1"/>
  <c r="G44" i="1"/>
  <c r="F44" i="1"/>
  <c r="E44" i="1"/>
  <c r="H38" i="1"/>
  <c r="G38" i="1"/>
  <c r="F38" i="1"/>
  <c r="E38" i="1"/>
  <c r="D38" i="1"/>
  <c r="H13" i="1"/>
  <c r="G13" i="1"/>
  <c r="J48" i="6" s="1"/>
  <c r="F13" i="1"/>
  <c r="E13" i="1"/>
  <c r="D13" i="1"/>
  <c r="H11" i="1"/>
  <c r="G11" i="1"/>
  <c r="F11" i="1"/>
  <c r="E11" i="1"/>
  <c r="D11" i="1"/>
  <c r="D15" i="2" l="1"/>
  <c r="H97" i="2"/>
  <c r="T2" i="6"/>
  <c r="H101" i="2"/>
  <c r="D141" i="3"/>
  <c r="D142" i="3" s="1"/>
  <c r="D22" i="5"/>
  <c r="E22" i="5"/>
  <c r="D144" i="3"/>
  <c r="F16" i="4"/>
  <c r="F17" i="4"/>
  <c r="D17" i="1"/>
  <c r="D69" i="6"/>
  <c r="D71" i="6" s="1"/>
  <c r="F32" i="5"/>
  <c r="K68" i="6"/>
  <c r="H55" i="1"/>
  <c r="E17" i="1"/>
  <c r="I30" i="3"/>
  <c r="Q13" i="7"/>
  <c r="P13" i="7"/>
  <c r="K87" i="6"/>
  <c r="D17" i="5"/>
  <c r="H16" i="5"/>
  <c r="C58" i="5"/>
  <c r="D39" i="5"/>
  <c r="L87" i="6"/>
  <c r="E17" i="5"/>
  <c r="F17" i="1"/>
  <c r="R13" i="7"/>
  <c r="S13" i="7"/>
  <c r="G17" i="1"/>
  <c r="M87" i="6"/>
  <c r="F17" i="5"/>
  <c r="G17" i="5"/>
  <c r="N87" i="6"/>
  <c r="D30" i="3"/>
  <c r="T13" i="7"/>
  <c r="H17" i="1"/>
  <c r="E38" i="3"/>
  <c r="L38" i="3"/>
  <c r="K38" i="3"/>
  <c r="M38" i="3"/>
  <c r="D51" i="4"/>
  <c r="G110" i="3"/>
  <c r="F110" i="3"/>
  <c r="E110" i="3"/>
  <c r="J38" i="3"/>
  <c r="E51" i="4"/>
  <c r="F37" i="3"/>
  <c r="O98" i="3"/>
  <c r="P98" i="3"/>
  <c r="E113" i="3"/>
  <c r="Q98" i="3"/>
  <c r="D113" i="3"/>
  <c r="N99" i="3"/>
  <c r="D71" i="3"/>
  <c r="F113" i="3"/>
  <c r="G113" i="3"/>
  <c r="N66" i="3"/>
  <c r="E63" i="1"/>
  <c r="N62" i="3"/>
  <c r="M99" i="3"/>
  <c r="D38" i="5"/>
  <c r="C57" i="5"/>
  <c r="D26" i="5"/>
  <c r="L46" i="6"/>
  <c r="K62" i="6"/>
  <c r="H44" i="1"/>
  <c r="D44" i="1"/>
  <c r="V86" i="7"/>
  <c r="C59" i="5"/>
  <c r="D40" i="5"/>
  <c r="R3" i="6"/>
  <c r="M37" i="3"/>
  <c r="K37" i="3"/>
  <c r="J37" i="3"/>
  <c r="E37" i="3"/>
  <c r="F11" i="3"/>
  <c r="C53" i="4"/>
  <c r="K71" i="6"/>
  <c r="R4" i="6"/>
  <c r="X89" i="7"/>
  <c r="D48" i="6"/>
  <c r="I48" i="6"/>
  <c r="K48" i="6" s="1"/>
  <c r="L48" i="6" s="1"/>
  <c r="N58" i="3"/>
  <c r="L104" i="7"/>
  <c r="R92" i="7" s="1"/>
  <c r="E106" i="7"/>
  <c r="D63" i="1"/>
  <c r="J65" i="6"/>
  <c r="J71" i="6"/>
  <c r="F106" i="7"/>
  <c r="M103" i="7"/>
  <c r="S92" i="7" s="1"/>
  <c r="J8" i="7"/>
  <c r="W87" i="7" s="1"/>
  <c r="I29" i="3"/>
  <c r="I9" i="3" s="1"/>
  <c r="G106" i="7"/>
  <c r="N103" i="7"/>
  <c r="T92" i="7" s="1"/>
  <c r="D112" i="3"/>
  <c r="C48" i="6"/>
  <c r="F63" i="1"/>
  <c r="J62" i="6"/>
  <c r="G63" i="1"/>
  <c r="J72" i="6" s="1"/>
  <c r="E63" i="6"/>
  <c r="E67" i="6" s="1"/>
  <c r="D154" i="3" l="1"/>
  <c r="D155" i="3"/>
  <c r="D157" i="3" s="1"/>
  <c r="D153" i="3"/>
  <c r="E19" i="1"/>
  <c r="E22" i="1" s="1"/>
  <c r="E30" i="1"/>
  <c r="N78" i="3"/>
  <c r="J78" i="3"/>
  <c r="N71" i="3"/>
  <c r="M78" i="3"/>
  <c r="K78" i="3"/>
  <c r="L78" i="3"/>
  <c r="D78" i="3"/>
  <c r="D58" i="5"/>
  <c r="G30" i="1"/>
  <c r="G19" i="1"/>
  <c r="G22" i="1" s="1"/>
  <c r="D59" i="5"/>
  <c r="D53" i="4"/>
  <c r="F30" i="1"/>
  <c r="F19" i="1"/>
  <c r="F22" i="1" s="1"/>
  <c r="H63" i="1"/>
  <c r="K72" i="6" s="1"/>
  <c r="K70" i="6"/>
  <c r="E69" i="6"/>
  <c r="E71" i="6" s="1"/>
  <c r="E72" i="6"/>
  <c r="K65" i="6"/>
  <c r="H30" i="1"/>
  <c r="H19" i="1"/>
  <c r="H22" i="1" s="1"/>
  <c r="C124" i="3"/>
  <c r="I10" i="3"/>
  <c r="I11" i="3" s="1"/>
  <c r="I15" i="3" s="1"/>
  <c r="I17" i="3"/>
  <c r="I49" i="3" s="1"/>
  <c r="J9" i="3"/>
  <c r="C123" i="3"/>
  <c r="I14" i="3"/>
  <c r="I51" i="3"/>
  <c r="I50" i="3"/>
  <c r="I13" i="3"/>
  <c r="E39" i="5"/>
  <c r="I16" i="5"/>
  <c r="H17" i="5"/>
  <c r="D57" i="5"/>
  <c r="E38" i="5"/>
  <c r="E40" i="5"/>
  <c r="D19" i="1"/>
  <c r="D22" i="1" s="1"/>
  <c r="D30" i="1"/>
  <c r="I18" i="3" l="1"/>
  <c r="I20" i="3" s="1"/>
  <c r="J51" i="3"/>
  <c r="J13" i="3"/>
  <c r="D123" i="3"/>
  <c r="J14" i="3"/>
  <c r="K9" i="3"/>
  <c r="J17" i="3"/>
  <c r="J49" i="3" s="1"/>
  <c r="J10" i="3"/>
  <c r="J11" i="3" s="1"/>
  <c r="J50" i="3"/>
  <c r="D124" i="3"/>
  <c r="K105" i="7"/>
  <c r="Q93" i="7"/>
  <c r="E86" i="6"/>
  <c r="D18" i="5"/>
  <c r="R8" i="7"/>
  <c r="P17" i="7"/>
  <c r="E15" i="3"/>
  <c r="E18" i="3" s="1"/>
  <c r="K88" i="6"/>
  <c r="Q17" i="7"/>
  <c r="S96" i="7" s="1"/>
  <c r="E24" i="1"/>
  <c r="E23" i="3" s="1"/>
  <c r="E26" i="1"/>
  <c r="D15" i="3"/>
  <c r="Q8" i="7"/>
  <c r="D86" i="6"/>
  <c r="F39" i="5"/>
  <c r="E58" i="5"/>
  <c r="L88" i="6"/>
  <c r="R93" i="7"/>
  <c r="F86" i="6"/>
  <c r="S8" i="7"/>
  <c r="R17" i="7"/>
  <c r="T96" i="7" s="1"/>
  <c r="L105" i="7"/>
  <c r="E18" i="5"/>
  <c r="F15" i="3"/>
  <c r="F18" i="3" s="1"/>
  <c r="E59" i="5"/>
  <c r="F38" i="5"/>
  <c r="E62" i="5"/>
  <c r="E57" i="5"/>
  <c r="G24" i="1"/>
  <c r="G23" i="3" s="1"/>
  <c r="J16" i="5"/>
  <c r="I17" i="5"/>
  <c r="H24" i="1"/>
  <c r="H23" i="3" s="1"/>
  <c r="F18" i="5"/>
  <c r="S17" i="7"/>
  <c r="U96" i="7" s="1"/>
  <c r="G84" i="6"/>
  <c r="M88" i="6"/>
  <c r="S93" i="7"/>
  <c r="M104" i="7"/>
  <c r="G15" i="3"/>
  <c r="G18" i="3" s="1"/>
  <c r="D24" i="1"/>
  <c r="D23" i="3" s="1"/>
  <c r="D26" i="1"/>
  <c r="E34" i="4"/>
  <c r="G34" i="4"/>
  <c r="F34" i="4"/>
  <c r="F26" i="1"/>
  <c r="F24" i="1"/>
  <c r="F23" i="3" s="1"/>
  <c r="T93" i="7"/>
  <c r="N104" i="7"/>
  <c r="G21" i="5"/>
  <c r="T17" i="7"/>
  <c r="V96" i="7" s="1"/>
  <c r="H84" i="6"/>
  <c r="G18" i="5"/>
  <c r="E64" i="5"/>
  <c r="N88" i="6"/>
  <c r="H15" i="3"/>
  <c r="F40" i="5"/>
  <c r="I21" i="3" l="1"/>
  <c r="I23" i="3" s="1"/>
  <c r="I24" i="3" s="1"/>
  <c r="I44" i="3"/>
  <c r="I43" i="3"/>
  <c r="J15" i="3"/>
  <c r="J18" i="3" s="1"/>
  <c r="J43" i="3" s="1"/>
  <c r="J20" i="3"/>
  <c r="D69" i="1"/>
  <c r="D75" i="1" s="1"/>
  <c r="D87" i="6"/>
  <c r="E46" i="5"/>
  <c r="F63" i="5"/>
  <c r="F58" i="5"/>
  <c r="F21" i="3"/>
  <c r="F24" i="3" s="1"/>
  <c r="F44" i="3"/>
  <c r="F43" i="3"/>
  <c r="F45" i="3" s="1"/>
  <c r="F52" i="3" s="1"/>
  <c r="C63" i="5"/>
  <c r="E27" i="5"/>
  <c r="D63" i="5"/>
  <c r="H18" i="5"/>
  <c r="F44" i="5"/>
  <c r="G38" i="5"/>
  <c r="G40" i="5"/>
  <c r="F46" i="5"/>
  <c r="H26" i="1"/>
  <c r="C50" i="6" s="1"/>
  <c r="E21" i="3"/>
  <c r="E24" i="3" s="1"/>
  <c r="E43" i="3"/>
  <c r="E44" i="3"/>
  <c r="G39" i="5"/>
  <c r="F45" i="5"/>
  <c r="E123" i="3"/>
  <c r="K14" i="3"/>
  <c r="K17" i="3"/>
  <c r="K49" i="3" s="1"/>
  <c r="L9" i="3"/>
  <c r="K51" i="3"/>
  <c r="K50" i="3"/>
  <c r="K10" i="3"/>
  <c r="K11" i="3" s="1"/>
  <c r="E124" i="3"/>
  <c r="K13" i="3"/>
  <c r="J17" i="5"/>
  <c r="J18" i="5"/>
  <c r="K16" i="5"/>
  <c r="C64" i="5"/>
  <c r="F27" i="5"/>
  <c r="D64" i="5"/>
  <c r="D46" i="5"/>
  <c r="C62" i="5"/>
  <c r="D62" i="5"/>
  <c r="D27" i="5"/>
  <c r="F64" i="5"/>
  <c r="F59" i="5"/>
  <c r="G21" i="3"/>
  <c r="G24" i="3" s="1"/>
  <c r="G43" i="3"/>
  <c r="G44" i="3"/>
  <c r="E63" i="5"/>
  <c r="I45" i="3"/>
  <c r="I52" i="3" s="1"/>
  <c r="I18" i="5"/>
  <c r="G26" i="1"/>
  <c r="G111" i="3"/>
  <c r="E111" i="3"/>
  <c r="H18" i="3"/>
  <c r="F111" i="3"/>
  <c r="D18" i="3"/>
  <c r="D21" i="3" s="1"/>
  <c r="D24" i="3" s="1"/>
  <c r="D111" i="3"/>
  <c r="P19" i="7"/>
  <c r="E87" i="6"/>
  <c r="K89" i="6"/>
  <c r="D19" i="5"/>
  <c r="T8" i="6"/>
  <c r="K107" i="7"/>
  <c r="Q95" i="7"/>
  <c r="Q19" i="7"/>
  <c r="S98" i="7" s="1"/>
  <c r="E69" i="1"/>
  <c r="E75" i="1" s="1"/>
  <c r="F87" i="6"/>
  <c r="L89" i="6"/>
  <c r="L107" i="7"/>
  <c r="R19" i="7"/>
  <c r="T98" i="7" s="1"/>
  <c r="E19" i="5"/>
  <c r="F69" i="1"/>
  <c r="F75" i="1" s="1"/>
  <c r="S8" i="6"/>
  <c r="T9" i="6"/>
  <c r="F62" i="5"/>
  <c r="F57" i="5"/>
  <c r="H46" i="2" l="1"/>
  <c r="D65" i="2"/>
  <c r="K9" i="4"/>
  <c r="H56" i="2"/>
  <c r="D66" i="2"/>
  <c r="H66" i="2"/>
  <c r="H22" i="2"/>
  <c r="H84" i="2" s="1"/>
  <c r="H65" i="2"/>
  <c r="H24" i="2"/>
  <c r="H111" i="2" s="1"/>
  <c r="H79" i="2"/>
  <c r="H47" i="2"/>
  <c r="H23" i="2"/>
  <c r="H110" i="2" s="1"/>
  <c r="C52" i="6"/>
  <c r="K15" i="3"/>
  <c r="K18" i="3" s="1"/>
  <c r="K43" i="3" s="1"/>
  <c r="J21" i="3"/>
  <c r="J44" i="3"/>
  <c r="G44" i="5"/>
  <c r="H38" i="5"/>
  <c r="H44" i="5" s="1"/>
  <c r="E47" i="5" s="1"/>
  <c r="H20" i="5"/>
  <c r="H19" i="5"/>
  <c r="H21" i="5"/>
  <c r="F28" i="5"/>
  <c r="F29" i="5"/>
  <c r="E29" i="5"/>
  <c r="E28" i="5"/>
  <c r="L106" i="7"/>
  <c r="R18" i="7"/>
  <c r="T97" i="7" s="1"/>
  <c r="F89" i="1"/>
  <c r="F91" i="1" s="1"/>
  <c r="R94" i="7"/>
  <c r="E20" i="5"/>
  <c r="H43" i="3"/>
  <c r="H45" i="3" s="1"/>
  <c r="H52" i="3" s="1"/>
  <c r="H44" i="3"/>
  <c r="H21" i="3"/>
  <c r="H24" i="3" s="1"/>
  <c r="K17" i="5"/>
  <c r="K18" i="5"/>
  <c r="L16" i="5"/>
  <c r="J52" i="6"/>
  <c r="M106" i="7"/>
  <c r="M89" i="6"/>
  <c r="J50" i="6"/>
  <c r="S19" i="7"/>
  <c r="U98" i="7" s="1"/>
  <c r="F19" i="5"/>
  <c r="S10" i="6"/>
  <c r="S9" i="6"/>
  <c r="G85" i="6"/>
  <c r="G69" i="1"/>
  <c r="G75" i="1" s="1"/>
  <c r="T10" i="6"/>
  <c r="I21" i="5"/>
  <c r="I19" i="5"/>
  <c r="I20" i="5"/>
  <c r="H40" i="5"/>
  <c r="H46" i="5" s="1"/>
  <c r="G47" i="5" s="1"/>
  <c r="G46" i="5"/>
  <c r="G62" i="5"/>
  <c r="G57" i="5"/>
  <c r="L14" i="3"/>
  <c r="L10" i="3"/>
  <c r="L11" i="3" s="1"/>
  <c r="F123" i="3"/>
  <c r="L13" i="3"/>
  <c r="L51" i="3"/>
  <c r="L17" i="3"/>
  <c r="L49" i="3" s="1"/>
  <c r="L50" i="3"/>
  <c r="F124" i="3"/>
  <c r="M9" i="3"/>
  <c r="Q18" i="7"/>
  <c r="S97" i="7" s="1"/>
  <c r="K106" i="7"/>
  <c r="P18" i="7"/>
  <c r="Q94" i="7"/>
  <c r="D20" i="5"/>
  <c r="E89" i="1"/>
  <c r="E91" i="1" s="1"/>
  <c r="D79" i="3"/>
  <c r="C121" i="3"/>
  <c r="G45" i="3"/>
  <c r="G52" i="3" s="1"/>
  <c r="G45" i="5"/>
  <c r="H39" i="5"/>
  <c r="H45" i="5" s="1"/>
  <c r="F47" i="5" s="1"/>
  <c r="D89" i="1"/>
  <c r="D91" i="1" s="1"/>
  <c r="J19" i="5"/>
  <c r="J21" i="5"/>
  <c r="J20" i="5"/>
  <c r="G59" i="5"/>
  <c r="G64" i="5"/>
  <c r="E45" i="3"/>
  <c r="E52" i="3" s="1"/>
  <c r="D28" i="5"/>
  <c r="D29" i="5"/>
  <c r="N106" i="7"/>
  <c r="T11" i="6"/>
  <c r="I52" i="6"/>
  <c r="K52" i="6" s="1"/>
  <c r="D52" i="6"/>
  <c r="N89" i="6"/>
  <c r="I50" i="6"/>
  <c r="K50" i="6" s="1"/>
  <c r="G19" i="5"/>
  <c r="D50" i="6"/>
  <c r="T19" i="7"/>
  <c r="V98" i="7" s="1"/>
  <c r="C56" i="6"/>
  <c r="H85" i="6"/>
  <c r="S11" i="6"/>
  <c r="H69" i="1"/>
  <c r="H75" i="1" s="1"/>
  <c r="G58" i="5"/>
  <c r="G63" i="5"/>
  <c r="J45" i="3"/>
  <c r="J52" i="3" s="1"/>
  <c r="E48" i="4" l="1"/>
  <c r="K16" i="4"/>
  <c r="E30" i="4" s="1"/>
  <c r="E33" i="4" s="1"/>
  <c r="E35" i="4" s="1"/>
  <c r="E36" i="4" s="1"/>
  <c r="E38" i="4" s="1"/>
  <c r="K17" i="4"/>
  <c r="F30" i="4" s="1"/>
  <c r="F33" i="4" s="1"/>
  <c r="F35" i="4" s="1"/>
  <c r="F36" i="4" s="1"/>
  <c r="K18" i="4"/>
  <c r="G30" i="4" s="1"/>
  <c r="G33" i="4" s="1"/>
  <c r="G35" i="4" s="1"/>
  <c r="G36" i="4" s="1"/>
  <c r="K15" i="4"/>
  <c r="H106" i="2"/>
  <c r="H15" i="2"/>
  <c r="H52" i="2"/>
  <c r="H53" i="2"/>
  <c r="J23" i="3"/>
  <c r="J24" i="3" s="1"/>
  <c r="K20" i="3"/>
  <c r="K21" i="3" s="1"/>
  <c r="K23" i="3" s="1"/>
  <c r="K24" i="3" s="1"/>
  <c r="K44" i="3"/>
  <c r="L15" i="3"/>
  <c r="L18" i="3" s="1"/>
  <c r="L43" i="3"/>
  <c r="L20" i="3"/>
  <c r="L21" i="3" s="1"/>
  <c r="L44" i="3"/>
  <c r="L52" i="6"/>
  <c r="G89" i="1"/>
  <c r="G91" i="1" s="1"/>
  <c r="S94" i="7"/>
  <c r="S18" i="7"/>
  <c r="U97" i="7" s="1"/>
  <c r="M105" i="7"/>
  <c r="F20" i="5"/>
  <c r="J79" i="3"/>
  <c r="J81" i="3" s="1"/>
  <c r="D121" i="3"/>
  <c r="T18" i="7"/>
  <c r="V97" i="7" s="1"/>
  <c r="T94" i="7"/>
  <c r="N105" i="7"/>
  <c r="H89" i="1"/>
  <c r="H91" i="1" s="1"/>
  <c r="G20" i="5"/>
  <c r="L50" i="6"/>
  <c r="G123" i="3"/>
  <c r="M10" i="3"/>
  <c r="M11" i="3" s="1"/>
  <c r="M13" i="3"/>
  <c r="M51" i="3"/>
  <c r="M17" i="3"/>
  <c r="M49" i="3" s="1"/>
  <c r="M50" i="3"/>
  <c r="G124" i="3"/>
  <c r="M14" i="3"/>
  <c r="L18" i="5"/>
  <c r="L17" i="5"/>
  <c r="K21" i="5"/>
  <c r="K20" i="5"/>
  <c r="K19" i="5"/>
  <c r="K45" i="3"/>
  <c r="K52" i="3" s="1"/>
  <c r="H54" i="2" l="1"/>
  <c r="H104" i="2"/>
  <c r="D30" i="4"/>
  <c r="D33" i="4" s="1"/>
  <c r="D35" i="4" s="1"/>
  <c r="D36" i="4" s="1"/>
  <c r="E53" i="4"/>
  <c r="G38" i="4"/>
  <c r="E56" i="4"/>
  <c r="J56" i="4"/>
  <c r="E57" i="4"/>
  <c r="J57" i="4"/>
  <c r="J55" i="4"/>
  <c r="D57" i="4"/>
  <c r="D56" i="4"/>
  <c r="F38" i="4"/>
  <c r="M15" i="3"/>
  <c r="M18" i="3" s="1"/>
  <c r="M44" i="3" s="1"/>
  <c r="L45" i="3"/>
  <c r="L52" i="3" s="1"/>
  <c r="L79" i="3" s="1"/>
  <c r="L81" i="3" s="1"/>
  <c r="L23" i="3"/>
  <c r="L24" i="3"/>
  <c r="G31" i="4"/>
  <c r="F31" i="4"/>
  <c r="E31" i="4"/>
  <c r="K79" i="3"/>
  <c r="K81" i="3" s="1"/>
  <c r="E121" i="3"/>
  <c r="L19" i="5"/>
  <c r="L21" i="5"/>
  <c r="L20" i="5"/>
  <c r="D38" i="4" l="1"/>
  <c r="C57" i="4"/>
  <c r="C56" i="4"/>
  <c r="I55" i="4"/>
  <c r="I56" i="4"/>
  <c r="I57" i="4"/>
  <c r="F121" i="3"/>
  <c r="M43" i="3"/>
  <c r="M45" i="3" s="1"/>
  <c r="M52" i="3" s="1"/>
  <c r="M20" i="3"/>
  <c r="M21" i="3" s="1"/>
  <c r="M23" i="3"/>
  <c r="M24" i="3"/>
  <c r="M79" i="3"/>
  <c r="M81" i="3" s="1"/>
  <c r="D85" i="3" s="1"/>
  <c r="G121" i="3"/>
  <c r="D72" i="3"/>
  <c r="G103" i="3" l="1"/>
  <c r="O102" i="3" s="1"/>
  <c r="D102" i="3"/>
  <c r="N100" i="3" s="1"/>
  <c r="G104" i="3"/>
  <c r="P102" i="3" s="1"/>
  <c r="F114" i="3"/>
  <c r="E104" i="3"/>
  <c r="P100" i="3" s="1"/>
  <c r="H101" i="3"/>
  <c r="M104" i="3" s="1"/>
  <c r="E114" i="3"/>
  <c r="D104" i="3"/>
  <c r="P99" i="3" s="1"/>
  <c r="G101" i="3"/>
  <c r="M103" i="3" s="1"/>
  <c r="D114" i="3"/>
  <c r="F101" i="3"/>
  <c r="M102" i="3" s="1"/>
  <c r="H102" i="3"/>
  <c r="N104" i="3" s="1"/>
  <c r="F105" i="3"/>
  <c r="Q101" i="3" s="1"/>
  <c r="G102" i="3"/>
  <c r="N103" i="3" s="1"/>
  <c r="E105" i="3"/>
  <c r="Q100" i="3" s="1"/>
  <c r="F102" i="3"/>
  <c r="N102" i="3" s="1"/>
  <c r="D105" i="3"/>
  <c r="Q99" i="3" s="1"/>
  <c r="G114" i="3"/>
  <c r="H104" i="3"/>
  <c r="P103" i="3" s="1"/>
  <c r="E102" i="3"/>
  <c r="N101" i="3" s="1"/>
  <c r="F104" i="3"/>
  <c r="P101" i="3" s="1"/>
  <c r="H103" i="3"/>
  <c r="O103" i="3" s="1"/>
  <c r="E103" i="3"/>
  <c r="O100" i="3" s="1"/>
  <c r="D101" i="3"/>
  <c r="M100" i="3" s="1"/>
  <c r="F103" i="3"/>
  <c r="O101" i="3" s="1"/>
  <c r="E101" i="3"/>
  <c r="M101" i="3" s="1"/>
  <c r="N85" i="3"/>
  <c r="D103" i="3"/>
  <c r="O99" i="3" s="1"/>
  <c r="H105" i="3"/>
  <c r="Q103" i="3" s="1"/>
  <c r="G105" i="3"/>
  <c r="Q102" i="3" s="1"/>
  <c r="D73" i="3"/>
  <c r="N72" i="3"/>
  <c r="D74" i="3" l="1"/>
  <c r="N73" i="3"/>
  <c r="N80" i="3" l="1"/>
  <c r="N81" i="3" s="1"/>
  <c r="D86" i="3" s="1"/>
  <c r="N74" i="3"/>
  <c r="D75" i="3"/>
  <c r="N75" i="3" s="1"/>
  <c r="N86" i="3" l="1"/>
  <c r="D87" i="3"/>
  <c r="D91" i="3" l="1"/>
  <c r="D97" i="3"/>
  <c r="N87" i="3"/>
  <c r="N91" i="3" l="1"/>
  <c r="D94" i="3"/>
  <c r="M22" i="5" l="1"/>
  <c r="D96" i="3"/>
  <c r="N96" i="3" s="1"/>
  <c r="G48" i="5"/>
  <c r="F48" i="5"/>
  <c r="N94" i="3"/>
  <c r="E48" i="5"/>
  <c r="X85" i="7" l="1"/>
  <c r="J6" i="7"/>
  <c r="W85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E95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Baptiste jeh:
AAPL avg closing price FY2022 (~Sept 2022 close). Approximate historical value.</t>
        </r>
      </text>
    </comment>
    <comment ref="F95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Baptiste jeh:
AAPL avg closing price FY2023 (~Sept 2023 close). Approximate historical value.</t>
        </r>
      </text>
    </comment>
    <comment ref="G95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Baptiste jeh:
AAPL avg closing price FY2024 (~Sept 2024 close). Approximate historical value.</t>
        </r>
      </text>
    </comment>
    <comment ref="E96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Baptiste jeh:
AAPL diluted shares outstanding FY2022 (~16.2B). Approximate.</t>
        </r>
      </text>
    </comment>
    <comment ref="F96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Baptiste jeh:
AAPL diluted shares outstanding FY2023 (~15.8B). Approximate.</t>
        </r>
      </text>
    </comment>
    <comment ref="G96" authorId="0" shapeId="0" xr:uid="{00000000-0006-0000-0000-000006000000}">
      <text>
        <r>
          <rPr>
            <sz val="11"/>
            <color theme="1"/>
            <rFont val="Aptos Narrow"/>
            <family val="2"/>
            <scheme val="minor"/>
          </rPr>
          <t>Baptiste jeh:
AAPL diluted shares outstanding FY2024 (~15.4B). Approximate.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I29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Baptiste jeh:
Revenue Growth driver. Si D45=Yes : utilise D44 (Brent-Adjusted). Si No : utilise la moyenne historique RATIOS!F51:H51.</t>
        </r>
      </text>
    </comment>
    <comment ref="I30" authorId="0" shapeId="0" xr:uid="{00000000-0006-0000-0200-000002000000}">
      <text>
        <r>
          <rPr>
            <sz val="11"/>
            <color theme="1"/>
            <rFont val="Aptos Narrow"/>
            <family val="2"/>
            <scheme val="minor"/>
          </rPr>
          <t>Baptiste jeh:
Moyenne des Gross Margins historiques (toutes années disponibles)</t>
        </r>
      </text>
    </comment>
    <comment ref="I31" authorId="0" shapeId="0" xr:uid="{00000000-0006-0000-0200-000003000000}">
      <text>
        <r>
          <rPr>
            <sz val="11"/>
            <color theme="1"/>
            <rFont val="Aptos Narrow"/>
            <family val="2"/>
            <scheme val="minor"/>
          </rPr>
          <t>Baptiste jeh:
Moyenne SG&amp;A % du revenu (toutes années disponibles)</t>
        </r>
      </text>
    </comment>
    <comment ref="I32" authorId="0" shapeId="0" xr:uid="{00000000-0006-0000-0200-000004000000}">
      <text>
        <r>
          <rPr>
            <sz val="11"/>
            <color theme="1"/>
            <rFont val="Aptos Narrow"/>
            <family val="2"/>
            <scheme val="minor"/>
          </rPr>
          <t>Baptiste jeh:
Moyenne R&amp;D % du revenu (toutes années disponibles)</t>
        </r>
      </text>
    </comment>
    <comment ref="I33" authorId="0" shapeId="0" xr:uid="{00000000-0006-0000-0200-000005000000}">
      <text>
        <r>
          <rPr>
            <sz val="11"/>
            <color theme="1"/>
            <rFont val="Aptos Narrow"/>
            <family val="2"/>
            <scheme val="minor"/>
          </rPr>
          <t>Baptiste jeh:
Moyenne D&amp;A % du revenu (toutes années disponibles)</t>
        </r>
      </text>
    </comment>
    <comment ref="I34" authorId="0" shapeId="0" xr:uid="{00000000-0006-0000-0200-000006000000}">
      <text>
        <r>
          <rPr>
            <sz val="11"/>
            <color theme="1"/>
            <rFont val="Aptos Narrow"/>
            <family val="2"/>
            <scheme val="minor"/>
          </rPr>
          <t>Baptiste jeh:
Moyenne du taux d'imposition effectif (toutes années disponibles)</t>
        </r>
      </text>
    </comment>
    <comment ref="I37" authorId="0" shapeId="0" xr:uid="{00000000-0006-0000-0200-000007000000}">
      <text>
        <r>
          <rPr>
            <sz val="11"/>
            <color theme="1"/>
            <rFont val="Aptos Narrow"/>
            <family val="2"/>
            <scheme val="minor"/>
          </rPr>
          <t>Baptiste jeh:
Moyenne CapEx % du revenu (toutes années disponibles)</t>
        </r>
      </text>
    </comment>
    <comment ref="I38" authorId="0" shapeId="0" xr:uid="{00000000-0006-0000-0200-000008000000}">
      <text>
        <r>
          <rPr>
            <sz val="11"/>
            <color theme="1"/>
            <rFont val="Aptos Narrow"/>
            <family val="2"/>
            <scheme val="minor"/>
          </rPr>
          <t>Baptiste jeh:
Moyenne variation NWC % du revenu (toutes années disponibles)</t>
        </r>
      </text>
    </comment>
    <comment ref="D42" authorId="0" shapeId="0" xr:uid="{00000000-0006-0000-0200-000009000000}">
      <text>
        <r>
          <rPr>
            <sz val="11"/>
            <color theme="1"/>
            <rFont val="Aptos Narrow"/>
            <family val="2"/>
            <scheme val="minor"/>
          </rPr>
          <t>Baptiste jeh:
Saisir ici : 60 (Bear), 75 (Base) ou 90 (Bull). Ce prix pilote D44.</t>
        </r>
      </text>
    </comment>
    <comment ref="D43" authorId="0" shapeId="0" xr:uid="{00000000-0006-0000-0200-00000A000000}">
      <text>
        <r>
          <rPr>
            <sz val="11"/>
            <color theme="1"/>
            <rFont val="Aptos Narrow"/>
            <family val="2"/>
            <scheme val="minor"/>
          </rPr>
          <t>Baptiste jeh:
TTE : ~$1.7B revenus additionnels par $1/bbl Brent. Source : TTE Document de Référence 2024.</t>
        </r>
      </text>
    </comment>
    <comment ref="D44" authorId="0" shapeId="0" xr:uid="{00000000-0006-0000-0200-00000B000000}">
      <text>
        <r>
          <rPr>
            <sz val="11"/>
            <color theme="1"/>
            <rFont val="Aptos Narrow"/>
            <family val="2"/>
            <scheme val="minor"/>
          </rPr>
          <t>Baptiste jeh:
Prix Brent moyen LTM TTE ~70$/bbl. Base du calcul d'ajustement.</t>
        </r>
      </text>
    </comment>
    <comment ref="D45" authorId="0" shapeId="0" xr:uid="{00000000-0006-0000-0200-00000C000000}">
      <text>
        <r>
          <rPr>
            <sz val="11"/>
            <color theme="1"/>
            <rFont val="Aptos Narrow"/>
            <family val="2"/>
            <scheme val="minor"/>
          </rPr>
          <t>= (LTM Rev + (Brent actif - Brent réf.) × sensibilité) / LTM Rev - 1. Brent actif = E41 (calculé depuis D41 dropdown).</t>
        </r>
      </text>
    </comment>
    <comment ref="D46" authorId="0" shapeId="0" xr:uid="{00000000-0006-0000-0200-00000D000000}">
      <text>
        <r>
          <rPr>
            <sz val="11"/>
            <color theme="1"/>
            <rFont val="Aptos Narrow"/>
            <family val="2"/>
            <scheme val="minor"/>
          </rPr>
          <t>Baptiste jeh:
Yes : I29 utilise D44. No : I29 utilise la moyenne historique RATIOS!F51:H51.</t>
        </r>
      </text>
    </comment>
    <comment ref="D89" authorId="0" shapeId="0" xr:uid="{00000000-0006-0000-0200-00000E000000}">
      <text>
        <r>
          <rPr>
            <sz val="11"/>
            <color theme="1"/>
            <rFont val="Aptos Narrow"/>
            <family val="2"/>
            <scheme val="minor"/>
          </rPr>
          <t>Baptiste jeh:
Total Financial Debt = ST Debt (H48) + LT Debt (H54). Net Debt = D89 + D90.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F12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Baptiste jeh:
Sony FY2024 Revenue converted from JPY to USD at ~149 JPY/USD. Source: Sony Group IR. Original JPY figure ~13.1T yen.</t>
        </r>
      </text>
    </comment>
    <comment ref="G12" authorId="0" shapeId="0" xr:uid="{00000000-0006-0000-0300-000002000000}">
      <text>
        <r>
          <rPr>
            <sz val="11"/>
            <color theme="1"/>
            <rFont val="Aptos Narrow"/>
            <family val="2"/>
            <scheme val="minor"/>
          </rPr>
          <t>Baptiste jeh:
Sony FY2024 EBITDA converted from JPY to USD at ~149 JPY/USD. Approximate figure.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Baptiste jeh</author>
  </authors>
  <commentList>
    <comment ref="D71" authorId="0" shapeId="0" xr:uid="{00000000-0006-0000-0500-000001000000}">
      <text>
        <r>
          <rPr>
            <sz val="11"/>
            <color theme="1"/>
            <rFont val="Aptos Narrow"/>
            <family val="2"/>
            <scheme val="minor"/>
          </rPr>
          <t>Baptiste jeh:
Total Operating Expenses = SG&amp;A + R&amp;D + D&amp;A + Interest</t>
        </r>
      </text>
    </comment>
    <comment ref="D72" authorId="0" shapeId="0" xr:uid="{00000000-0006-0000-0500-000002000000}">
      <text>
        <r>
          <rPr>
            <sz val="11"/>
            <color theme="1"/>
            <rFont val="Aptos Narrow"/>
            <family val="2"/>
            <scheme val="minor"/>
          </rPr>
          <t>Baptiste jeh:
Total Expenses = COGS + All OpEx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<sst xmlns="http://schemas.openxmlformats.org/spreadsheetml/2006/main" count="953" uniqueCount="504">
  <si>
    <t>All figures in USD millions unless stated</t>
  </si>
  <si>
    <t>METRIC</t>
  </si>
  <si>
    <t>UNIT</t>
  </si>
  <si>
    <t>2025 (LTM)</t>
  </si>
  <si>
    <t xml:space="preserve"> </t>
  </si>
  <si>
    <t>INPUT</t>
  </si>
  <si>
    <t>Revenue</t>
  </si>
  <si>
    <t>($M)</t>
  </si>
  <si>
    <t>Gross Profit</t>
  </si>
  <si>
    <t>Research &amp; Development</t>
  </si>
  <si>
    <t>Depreciation &amp; Amortization</t>
  </si>
  <si>
    <t>EBIT (Operating Profit)</t>
  </si>
  <si>
    <t>Interest Expense</t>
  </si>
  <si>
    <t>Earnings Before Tax (EBT)</t>
  </si>
  <si>
    <t>Income Tax Expense</t>
  </si>
  <si>
    <t>Net Income</t>
  </si>
  <si>
    <t>Common Dividends</t>
  </si>
  <si>
    <t>EBITDA</t>
  </si>
  <si>
    <t>BALANCE SHEET</t>
  </si>
  <si>
    <t>Cash &amp; Cash Equivalents</t>
  </si>
  <si>
    <t>Total Current Assets</t>
  </si>
  <si>
    <t>Other Long-Term Assets</t>
  </si>
  <si>
    <t>Total Assets</t>
  </si>
  <si>
    <t>Short-Term Debt</t>
  </si>
  <si>
    <t>Total Current Liabilities</t>
  </si>
  <si>
    <t>Long-Term Debt</t>
  </si>
  <si>
    <t>Total Liabilities</t>
  </si>
  <si>
    <t>Common Equity (Paid-In Capital)</t>
  </si>
  <si>
    <t>Retained Earnings</t>
  </si>
  <si>
    <t>Total Shareholders Equity</t>
  </si>
  <si>
    <t>Total Liabilities &amp; Equity</t>
  </si>
  <si>
    <t>CASH FLOW STATEMENT</t>
  </si>
  <si>
    <t>Other Working Capital Changes</t>
  </si>
  <si>
    <t>Cash from Operating Activities</t>
  </si>
  <si>
    <t>Capital Expenditures (CapEx)</t>
  </si>
  <si>
    <t>Other Investing Activities</t>
  </si>
  <si>
    <t>Cash from Investing Activities</t>
  </si>
  <si>
    <t>Change in Long-Term Debt</t>
  </si>
  <si>
    <t>Change in Common Equity</t>
  </si>
  <si>
    <t>Dividends Paid</t>
  </si>
  <si>
    <t>Cash from Financing Activities</t>
  </si>
  <si>
    <t>Net Change in Cash</t>
  </si>
  <si>
    <t>Beginning Cash Balance</t>
  </si>
  <si>
    <t>Ending Cash Balance</t>
  </si>
  <si>
    <t>MARKET &amp; VALUATION DATA</t>
  </si>
  <si>
    <t>Share Price</t>
  </si>
  <si>
    <t>($)</t>
  </si>
  <si>
    <t>Shares Outstanding (Diluted)</t>
  </si>
  <si>
    <t>(M)</t>
  </si>
  <si>
    <t>Market Capitalization</t>
  </si>
  <si>
    <t>Enterprise Value (EV)</t>
  </si>
  <si>
    <t>Beta (Levered)</t>
  </si>
  <si>
    <t>(x)</t>
  </si>
  <si>
    <t>Risk-Free Rate</t>
  </si>
  <si>
    <t>(%)</t>
  </si>
  <si>
    <t>Equity Risk Premium (ERP)</t>
  </si>
  <si>
    <t>Cost of Equity (CAPM)</t>
  </si>
  <si>
    <t>Cost of Debt (Pre-Tax)</t>
  </si>
  <si>
    <t>Tax Rate</t>
  </si>
  <si>
    <t>After-Tax Cost of Debt</t>
  </si>
  <si>
    <t>Weight of Equity (%)</t>
  </si>
  <si>
    <t>Weight of Debt (%)</t>
  </si>
  <si>
    <t>WACC</t>
  </si>
  <si>
    <t>Terminal Growth Rate</t>
  </si>
  <si>
    <t>Days in Period</t>
  </si>
  <si>
    <t>(days)</t>
  </si>
  <si>
    <t>COMPANY INFORMATION</t>
  </si>
  <si>
    <t>Company Name</t>
  </si>
  <si>
    <t>(text)</t>
  </si>
  <si>
    <t>MetLife, Inc.</t>
  </si>
  <si>
    <t>Ticker Symbol</t>
  </si>
  <si>
    <t>MET</t>
  </si>
  <si>
    <t>Sector / Industry</t>
  </si>
  <si>
    <t>Financial Services</t>
  </si>
  <si>
    <t>Base Year (LTM)</t>
  </si>
  <si>
    <t>Currency</t>
  </si>
  <si>
    <t>USD</t>
  </si>
  <si>
    <t>Units</t>
  </si>
  <si>
    <t>M</t>
  </si>
  <si>
    <t>Analysis Date</t>
  </si>
  <si>
    <t>2026-04-16</t>
  </si>
  <si>
    <t>NOTE: All analytical sheets reference this INPUT sheet only. Enter data in the blue cells (columns D–H).</t>
  </si>
  <si>
    <t>© 2015 to 2024 FinSight</t>
  </si>
  <si>
    <t>This Excel model is for educational purposes only.</t>
  </si>
  <si>
    <t>https://finsight.com/</t>
  </si>
  <si>
    <t>FinSight</t>
  </si>
  <si>
    <t>RATIOS — Financial Ratio Analysis</t>
  </si>
  <si>
    <t>RATIOS</t>
  </si>
  <si>
    <t>Year</t>
  </si>
  <si>
    <t>–</t>
  </si>
  <si>
    <t>P/B (Price / Book Value)</t>
  </si>
  <si>
    <t>Gross Profit Margin</t>
  </si>
  <si>
    <t>EBITDA Margin</t>
  </si>
  <si>
    <t>EBIT (Operating) Margin</t>
  </si>
  <si>
    <t>Net Profit Margin</t>
  </si>
  <si>
    <t>Return on Equity (ROE)</t>
  </si>
  <si>
    <t>Return on Assets (ROA)</t>
  </si>
  <si>
    <t>Return on Invested Capital (ROIC)</t>
  </si>
  <si>
    <t>Current Ratio</t>
  </si>
  <si>
    <t>Quick Ratio</t>
  </si>
  <si>
    <t>Cash Ratio</t>
  </si>
  <si>
    <t>Debt / Equity Ratio</t>
  </si>
  <si>
    <t>Interest Coverage (EBIT/Interest)</t>
  </si>
  <si>
    <t>Debt / Total Assets</t>
  </si>
  <si>
    <t>Equity Ratio</t>
  </si>
  <si>
    <t>Asset Turnover</t>
  </si>
  <si>
    <t>GROWTH RATIOS</t>
  </si>
  <si>
    <t>Revenue Growth (YoY)</t>
  </si>
  <si>
    <t>EBITDA Growth (YoY)</t>
  </si>
  <si>
    <t>Net Income Growth (YoY)</t>
  </si>
  <si>
    <t>EPS Growth (YoY)</t>
  </si>
  <si>
    <t>Total Assets Growth (YoY)</t>
  </si>
  <si>
    <t>CASH FLOW RATIOS</t>
  </si>
  <si>
    <t>Operating Cash Flow Margin</t>
  </si>
  <si>
    <t>Free Cash Flow (FCF)</t>
  </si>
  <si>
    <t>FCF Margin</t>
  </si>
  <si>
    <t>CapEx / Revenue</t>
  </si>
  <si>
    <t>Dividend Payout Ratio</t>
  </si>
  <si>
    <t>n.d.</t>
  </si>
  <si>
    <t>CHART DATA</t>
  </si>
  <si>
    <t>Revenue ($M)</t>
  </si>
  <si>
    <t>EBITDA ($M)</t>
  </si>
  <si>
    <t>Net Income ($M)</t>
  </si>
  <si>
    <t>Cumul. Revenue ($M)</t>
  </si>
  <si>
    <t>SG&amp;A ($M)</t>
  </si>
  <si>
    <t>R&amp;D ($M)</t>
  </si>
  <si>
    <t>D&amp;A ($M)</t>
  </si>
  <si>
    <t>Interest ($M)</t>
  </si>
  <si>
    <t>FCF &amp; CapEx Trend ($M)</t>
  </si>
  <si>
    <t>Metric</t>
  </si>
  <si>
    <t>Free Cash Flow ($M)</t>
  </si>
  <si>
    <t>CapEx ($M)</t>
  </si>
  <si>
    <t>Cash from Operations ($M)</t>
  </si>
  <si>
    <t>Returns Chart Data</t>
  </si>
  <si>
    <t>DCF — Discounted Cash Flow Valuation</t>
  </si>
  <si>
    <t>(Units)</t>
  </si>
  <si>
    <t>Terminal</t>
  </si>
  <si>
    <t>INCOME STATEMENT</t>
  </si>
  <si>
    <t>Cost of Goods Sold</t>
  </si>
  <si>
    <t>SG&amp;A Expenses</t>
  </si>
  <si>
    <t>Income Taxes</t>
  </si>
  <si>
    <t>ASSUMPTIONS &amp; DRIVERS</t>
  </si>
  <si>
    <t>INCOME STATEMENT DRIVERS</t>
  </si>
  <si>
    <t>Revenue Growth Rate (YoY)</t>
  </si>
  <si>
    <t>Gross Margin</t>
  </si>
  <si>
    <t>SG&amp;A (% of Revenue)</t>
  </si>
  <si>
    <t>R&amp;D (% of Revenue)</t>
  </si>
  <si>
    <t>D&amp;A (% of Revenue)</t>
  </si>
  <si>
    <t>Effective Tax Rate</t>
  </si>
  <si>
    <t>BALANCE SHEET / CASH FLOW DRIVERS</t>
  </si>
  <si>
    <t>CapEx (% of Revenue)</t>
  </si>
  <si>
    <t>Change in NWC (% of Revenue Change)</t>
  </si>
  <si>
    <t>(+) Depreciation &amp; Amortization</t>
  </si>
  <si>
    <t>(-) Capital Expenditures (CapEx)</t>
  </si>
  <si>
    <t>(-) Change in Working Capital</t>
  </si>
  <si>
    <t>Unlevered Free Cash Flow (UFCF)</t>
  </si>
  <si>
    <t>WACC CALCULATION (Capital Asset Pricing Model)</t>
  </si>
  <si>
    <t>Risk-Free Rate (Rf)</t>
  </si>
  <si>
    <t>Target Equity Weight (We)</t>
  </si>
  <si>
    <t>Target Debt Weight (Wd)</t>
  </si>
  <si>
    <t>Pre-Tax Cost of Debt (Kd)</t>
  </si>
  <si>
    <t>TERMINAL VALUE &amp; ENTERPRISE VALUE</t>
  </si>
  <si>
    <t>Terminal Growth Rate (g)</t>
  </si>
  <si>
    <t>Year 5 UFCF</t>
  </si>
  <si>
    <t>Terminal Year UFCF (t+1)</t>
  </si>
  <si>
    <t>Terminal Value (Gordon Growth)</t>
  </si>
  <si>
    <t>Terminal EBITDA Multiple (Alt.)</t>
  </si>
  <si>
    <t>Discounting Period (Years)</t>
  </si>
  <si>
    <t>Discount Factor</t>
  </si>
  <si>
    <t>UFCF to Discount</t>
  </si>
  <si>
    <t>Terminal Value to Discount</t>
  </si>
  <si>
    <t>PV of UFCF + Terminal Value</t>
  </si>
  <si>
    <t>ENTERPRISE VALUE &amp; EQUITY VALUE</t>
  </si>
  <si>
    <t>Sum of PV of UFCFs (Years 1-5)</t>
  </si>
  <si>
    <t>PV of Terminal Value</t>
  </si>
  <si>
    <t>(-) Total Debt</t>
  </si>
  <si>
    <t>(+) Cash &amp; Cash Equivalents</t>
  </si>
  <si>
    <t>Equity Value</t>
  </si>
  <si>
    <t>Implied Share Price (DCF)</t>
  </si>
  <si>
    <t>Current Share Price</t>
  </si>
  <si>
    <t>Upside / (Downside)</t>
  </si>
  <si>
    <t>UFCF IRR (5-Year)</t>
  </si>
  <si>
    <t>SENSITIVITY ANALYSIS — Implied Share Price ($)</t>
  </si>
  <si>
    <t>Terminal Growth Rate →</t>
  </si>
  <si>
    <t>WACC ↓</t>
  </si>
  <si>
    <t>g=0%</t>
  </si>
  <si>
    <t>g=1%</t>
  </si>
  <si>
    <t>g=2%</t>
  </si>
  <si>
    <t>g=3% (Base)</t>
  </si>
  <si>
    <t>g=4%</t>
  </si>
  <si>
    <t>Yellow = Base Case (WACC = 10.4%, g = 3.0%)</t>
  </si>
  <si>
    <t>SCENARIO ANALYSIS — 3 SCENARIOS</t>
  </si>
  <si>
    <t>Pessimistic</t>
  </si>
  <si>
    <t>Realistic</t>
  </si>
  <si>
    <t>Optimistic</t>
  </si>
  <si>
    <t>Revenue Growth (Y1-Y5 avg.)</t>
  </si>
  <si>
    <t>Implied Share Price ($)</t>
  </si>
  <si>
    <t>UFCF Projection ($M)</t>
  </si>
  <si>
    <t>UFCF</t>
  </si>
  <si>
    <t>Revenue Projection ($M)</t>
  </si>
  <si>
    <t>COMPARABLES — Trading Comparables</t>
  </si>
  <si>
    <t>Share
Price</t>
  </si>
  <si>
    <t>Enterprise
Value</t>
  </si>
  <si>
    <t>Revenue
(LTM)</t>
  </si>
  <si>
    <t>Book Value
(LTM)</t>
  </si>
  <si>
    <t>P / E
(LTM)</t>
  </si>
  <si>
    <t>PEER COMPANIES</t>
  </si>
  <si>
    <t>TICKER</t>
  </si>
  <si>
    <t>(USD/sh)</t>
  </si>
  <si>
    <t>Mean</t>
  </si>
  <si>
    <t>Median</t>
  </si>
  <si>
    <t>Maximum</t>
  </si>
  <si>
    <t>Minimum</t>
  </si>
  <si>
    <t>TARGET COMPANY VALUATION (Based on Peer Multiples)</t>
  </si>
  <si>
    <t>TARGET COMPANY METRICS (from INPUT)</t>
  </si>
  <si>
    <t>Target: Net Debt</t>
  </si>
  <si>
    <t>Target: Shares Outstanding</t>
  </si>
  <si>
    <t>IMPLIED VALUATION</t>
  </si>
  <si>
    <t>Current Share Price ($)</t>
  </si>
  <si>
    <t>Implied Upside / (Downside)</t>
  </si>
  <si>
    <t>Company</t>
  </si>
  <si>
    <t>EV/EBITDA (x)</t>
  </si>
  <si>
    <t>EV/Revenue (x)</t>
  </si>
  <si>
    <t>P/E (x)</t>
  </si>
  <si>
    <t>Implied Share Price — Valuation Range ($)</t>
  </si>
  <si>
    <t>Method</t>
  </si>
  <si>
    <t>Low ($)</t>
  </si>
  <si>
    <t>High ($)</t>
  </si>
  <si>
    <t>Current ($)</t>
  </si>
  <si>
    <t>Median ($)</t>
  </si>
  <si>
    <t>EV/EBITDA</t>
  </si>
  <si>
    <t>EV/Revenue</t>
  </si>
  <si>
    <t>vé</t>
  </si>
  <si>
    <t>P/E</t>
  </si>
  <si>
    <t>SCENARIOS — Scenario Analysis</t>
  </si>
  <si>
    <t>All figures in USD millions unless stated | 3 scenarios: Pessimistic / Realistic (Base) / Optimistic</t>
  </si>
  <si>
    <t>▶  SELECT SCENARIO</t>
  </si>
  <si>
    <t>Revenue Growth Rate (Y1-Y5)</t>
  </si>
  <si>
    <t>▶ Secteur actif :</t>
  </si>
  <si>
    <t>SCENARIO RESULTS — DYNAMIC VIEW</t>
  </si>
  <si>
    <t>EBITDA (EBITDAX)</t>
  </si>
  <si>
    <t>Free Cash Flow (Est.)</t>
  </si>
  <si>
    <t>Implied Share Price</t>
  </si>
  <si>
    <t>SCENARIO SUMMARY COMPARISON</t>
  </si>
  <si>
    <t>Revenue (Year 5)</t>
  </si>
  <si>
    <t>EBITDA Margin (Year 5)</t>
  </si>
  <si>
    <t>Delta (Opt. vs Pess.)</t>
  </si>
  <si>
    <t>CHART DATA: Revenue by Scenario</t>
  </si>
  <si>
    <t>CHARTS: Revenue &amp; FCF by scenario (insert chart using Scenarios data above D16:I16, D25:I25, D34:I34 for Revenue)</t>
  </si>
  <si>
    <t>Chart Data: Revenue by Scenario</t>
  </si>
  <si>
    <t>Chart Data: EBITDA by Scenario</t>
  </si>
  <si>
    <t>Année</t>
  </si>
  <si>
    <t>Cumul Revenue</t>
  </si>
  <si>
    <t>Financial Performance</t>
  </si>
  <si>
    <t>Revenue &amp; Profitability</t>
  </si>
  <si>
    <t>Net Margin</t>
  </si>
  <si>
    <t>Cumulative revenue</t>
  </si>
  <si>
    <t>Performance Summary (Five-Year)</t>
  </si>
  <si>
    <t>Income Statement (LTM)</t>
  </si>
  <si>
    <t>5-Yr Avg</t>
  </si>
  <si>
    <t>Trend</t>
  </si>
  <si>
    <t>Actual</t>
  </si>
  <si>
    <t>Prev Year</t>
  </si>
  <si>
    <t>Variance</t>
  </si>
  <si>
    <t>Var %</t>
  </si>
  <si>
    <t>COGS</t>
  </si>
  <si>
    <t>Expenses</t>
  </si>
  <si>
    <t>Net Margin (%)</t>
  </si>
  <si>
    <t>MÉTRIQUES ASSURANCE (LTM)</t>
  </si>
  <si>
    <t>P/TBV</t>
  </si>
  <si>
    <t>Bmk : 1,0-1,5x • Prime si &gt;1,5x</t>
  </si>
  <si>
    <t>ROE</t>
  </si>
  <si>
    <t>Bmk : 10-15% stable • Reg Bâle-like</t>
  </si>
  <si>
    <t>P&amp;L Summary (LTM)</t>
  </si>
  <si>
    <t>Balance Sheet Summary (LTM)</t>
  </si>
  <si>
    <t>Assets</t>
  </si>
  <si>
    <t xml:space="preserve">  COGS</t>
  </si>
  <si>
    <t>Current Assets</t>
  </si>
  <si>
    <t>Non-current Assets</t>
  </si>
  <si>
    <t xml:space="preserve">  SG&amp;A</t>
  </si>
  <si>
    <t xml:space="preserve">  R&amp;D</t>
  </si>
  <si>
    <t xml:space="preserve">  D&amp;A</t>
  </si>
  <si>
    <t>Liabilities</t>
  </si>
  <si>
    <t xml:space="preserve">  Net Interest</t>
  </si>
  <si>
    <t>Current Liabilities</t>
  </si>
  <si>
    <t>EBT (Pre-Tax Income)</t>
  </si>
  <si>
    <t>Long-term Liabilities</t>
  </si>
  <si>
    <t xml:space="preserve">  Income Tax</t>
  </si>
  <si>
    <t>Shareholders' Equity</t>
  </si>
  <si>
    <t>SG&amp;A</t>
  </si>
  <si>
    <t>R&amp;D</t>
  </si>
  <si>
    <t>D&amp;A</t>
  </si>
  <si>
    <t>Interest</t>
  </si>
  <si>
    <t>Projected Business Performance</t>
  </si>
  <si>
    <t>Football Field Chart — Valuation Inputs</t>
  </si>
  <si>
    <t>Financial Data — Multi-Year</t>
  </si>
  <si>
    <t>All figures in USD Thousands unless stated</t>
  </si>
  <si>
    <t>Delta ($)</t>
  </si>
  <si>
    <t>Company Information</t>
  </si>
  <si>
    <t>52-Week Trading Range</t>
  </si>
  <si>
    <t>Consensus Research</t>
  </si>
  <si>
    <t>Revenue Growth (%)</t>
  </si>
  <si>
    <t>Precedent Transactions</t>
  </si>
  <si>
    <t>EBITDA Growth (%)</t>
  </si>
  <si>
    <t>Sector</t>
  </si>
  <si>
    <t>Sum-of-the-Parts</t>
  </si>
  <si>
    <t>Discounted Cash Flow</t>
  </si>
  <si>
    <t>Revenue — Products</t>
  </si>
  <si>
    <t>Cost of Revenue (COGS)</t>
  </si>
  <si>
    <t>Total Revenue</t>
  </si>
  <si>
    <t>Cash from Ops (CFO)</t>
  </si>
  <si>
    <t>Stock Chart: Trailing 52-Weeks</t>
  </si>
  <si>
    <t>Valuation Summary: Football Field Chart</t>
  </si>
  <si>
    <t>Other Financial Metrics ($ Millier)</t>
  </si>
  <si>
    <t>Total Revenue ($M)</t>
  </si>
  <si>
    <t>Low</t>
  </si>
  <si>
    <t>Delta</t>
  </si>
  <si>
    <t>High</t>
  </si>
  <si>
    <t>Precedent Trans.</t>
  </si>
  <si>
    <t>CFO</t>
  </si>
  <si>
    <t>CFO ($M)</t>
  </si>
  <si>
    <t>STOCK_DATA — Apple Inc. (AAPL) — Trailing 52 Weeks</t>
  </si>
  <si>
    <t>#</t>
  </si>
  <si>
    <t>Month</t>
  </si>
  <si>
    <t>Close Price ($)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</si>
  <si>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</si>
  <si>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</si>
  <si>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</si>
  <si>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</si>
  <si>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</si>
  <si>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</si>
  <si>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</si>
  <si>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</si>
  <si>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</si>
  <si>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</si>
  <si>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</si>
  <si>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</si>
  <si>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⚠️  Données simulées. Remplacer par données réelles (Bloomberg/FactSet) en colonne B (Mois) et C (Prix).</t>
  </si>
  <si>
    <t>Driver</t>
  </si>
  <si>
    <t>Pessimiste</t>
  </si>
  <si>
    <t>Realiste</t>
  </si>
  <si>
    <t>Optimiste</t>
  </si>
  <si>
    <t>Technologie / SaaS</t>
  </si>
  <si>
    <t>SG&amp;A (% Revenue)</t>
  </si>
  <si>
    <t>R&amp;D (% Revenue)</t>
  </si>
  <si>
    <t>CapEx (% Revenue)</t>
  </si>
  <si>
    <t>Change in NWC (% Rev Change)</t>
  </si>
  <si>
    <t>EV/EBITDA Exit Multiple</t>
  </si>
  <si>
    <t>Industrie / Manufacturing</t>
  </si>
  <si>
    <t>Consommation / Retail</t>
  </si>
  <si>
    <t>Luxe / Premium</t>
  </si>
  <si>
    <t>Energie / Utilities</t>
  </si>
  <si>
    <t>Sante / Pharma</t>
  </si>
  <si>
    <t>Energie / Oil &amp; Gas</t>
  </si>
  <si>
    <t>Gross Margin (after royalties)</t>
  </si>
  <si>
    <t>Production Cost (% Revenue)</t>
  </si>
  <si>
    <t>Exploration Expense (% Revenue)</t>
  </si>
  <si>
    <t>Assurance / Insurance</t>
  </si>
  <si>
    <t>INPUT — Raw Data (INSURANCE)</t>
  </si>
  <si>
    <t>Net Premiums Earned (NPE)</t>
  </si>
  <si>
    <t>Losses &amp; Loss Adjustment Expenses (LAE)</t>
  </si>
  <si>
    <t>Underwriting Income (NPE − Losses − Exp)</t>
  </si>
  <si>
    <t>Underwriting Expenses (Policy Acquisition + Other)</t>
  </si>
  <si>
    <t>Investment Income (Net)</t>
  </si>
  <si>
    <t>Other Income / (Charges)</t>
  </si>
  <si>
    <t>EBITDA (approx. — moins pertinent assurance)</t>
  </si>
  <si>
    <t>Premiums Receivable</t>
  </si>
  <si>
    <t>Reinsurance Recoverable</t>
  </si>
  <si>
    <t>Deferred Acquisition Costs (DAC)</t>
  </si>
  <si>
    <t>Invested Assets (Bonds + Equities + Other)</t>
  </si>
  <si>
    <t>Goodwill &amp; Intangible Assets</t>
  </si>
  <si>
    <t>Accounts Payable &amp; Accrued Expenses</t>
  </si>
  <si>
    <t>Unearned Premiums Reserve</t>
  </si>
  <si>
    <t>Loss &amp; LAE Reserves</t>
  </si>
  <si>
    <t>Change in Premiums Receivable</t>
  </si>
  <si>
    <t>Change in Loss Reserves</t>
  </si>
  <si>
    <t>Change in Unearned Premiums</t>
  </si>
  <si>
    <t>INSURANCE — DONNÉES TECHNIQUES (manuel ou filing)</t>
  </si>
  <si>
    <t>Net Premiums Written (NPW)</t>
  </si>
  <si>
    <t>Net Premiums Earned (NPE) — confirme B9</t>
  </si>
  <si>
    <t>Losses &amp; LAE Incurred</t>
  </si>
  <si>
    <t>Underwriting Expenses</t>
  </si>
  <si>
    <t>Combined Ratio = (Losses+Exp) / NPE</t>
  </si>
  <si>
    <t>Loss Ratio = Losses / NPE</t>
  </si>
  <si>
    <t>Expense Ratio = UW Expenses / NPE</t>
  </si>
  <si>
    <t>Underwriting Margin = 1 − Combined Ratio</t>
  </si>
  <si>
    <t>Investment Income (confirme B15)</t>
  </si>
  <si>
    <t>Avg. Invested Assets (for Inv. Yield calc.)</t>
  </si>
  <si>
    <t>Investment Yield = Inv. Income / Avg. Invested Assets</t>
  </si>
  <si>
    <t>Solvency II Ratio (Own Funds / SCR)</t>
  </si>
  <si>
    <t>Embedded Value / share (Life — si applicable)</t>
  </si>
  <si>
    <t>New Business Value (NBV) (Life — si applicable)</t>
  </si>
  <si>
    <t>RATIOS DE VALORISATION — ASSURANCE (P1 — Critiques)</t>
  </si>
  <si>
    <t>EV / Revenue (info. seulement)</t>
  </si>
  <si>
    <t>Dividend Yield</t>
  </si>
  <si>
    <t>Embedded Value / Share (Life)</t>
  </si>
  <si>
    <t>Justified P/B = (ROE − g) / (k − g)</t>
  </si>
  <si>
    <t>MÉTRIQUES OPÉRATIONNELLES — ASSURANCE (P1/P2)</t>
  </si>
  <si>
    <t>Combined Ratio</t>
  </si>
  <si>
    <t>Loss Ratio</t>
  </si>
  <si>
    <t>Expense Ratio</t>
  </si>
  <si>
    <t>Underwriting Margin (= 1 − Combined)</t>
  </si>
  <si>
    <t>Investment Yield</t>
  </si>
  <si>
    <t>ROE (Annualisé)</t>
  </si>
  <si>
    <t>ROA</t>
  </si>
  <si>
    <t>New Business Value Margin (Life)</t>
  </si>
  <si>
    <t>n.d. — source: rapport annuel</t>
  </si>
  <si>
    <t>PROFITABILITY RATIOS (contexte assurance — Gross Margin / EBITDA Margin non pertinents)</t>
  </si>
  <si>
    <t>Gross Profit Margin (⚠ non pertinent assurance)</t>
  </si>
  <si>
    <t>EBITDA Margin (⚠ non pertinent assurance)</t>
  </si>
  <si>
    <t>Net Debt / EBITDA (⚠ non pertinent assurance — voir Solvency II)</t>
  </si>
  <si>
    <t>RATIOS DE SOLVABILITÉ (contexte assurance)</t>
  </si>
  <si>
    <t>OPERATIONAL EFFICIENCY</t>
  </si>
  <si>
    <t>VALORISATION — ASSURANCE (P/B ancré ROE + DDM)</t>
  </si>
  <si>
    <t>DCF classique non applicable — voir modèle P/B ci-dessous. IS historique conservé pour référence.</t>
  </si>
  <si>
    <t>⚠  DCF / UFCF — NON APPLICABLE POUR UN ASSUREUR</t>
  </si>
  <si>
    <t>FREE CASH FLOW (pour mémoire — non utilisé dans valo assurance)</t>
  </si>
  <si>
    <t>VALORISATION ASSURANCE — MODÈLE P/B ANCRÉ ROE</t>
  </si>
  <si>
    <t>Modèle : Justified P/B = (ROE − g) / (k − g) | k = coût des fonds propres, g = croissance durable</t>
  </si>
  <si>
    <t>INPUTS — Coût des fonds propres (CAPM)</t>
  </si>
  <si>
    <t>Cost of Equity — k (CAPM)</t>
  </si>
  <si>
    <t>INPUTS — Paramètres de croissance &amp; rentabilité</t>
  </si>
  <si>
    <t>ROE durable (norm. sur 3-5 ans)</t>
  </si>
  <si>
    <t>Taux de croissance durable — g</t>
  </si>
  <si>
    <t>Book Value / share (TBV)</t>
  </si>
  <si>
    <t>VALORISATION P/B</t>
  </si>
  <si>
    <t>Implied Share Price — Méthode P/B</t>
  </si>
  <si>
    <t>Upside / (Downside) — P/B Method</t>
  </si>
  <si>
    <t>VALORISATION DDM — Gordon Growth (P&amp;C / Life)</t>
  </si>
  <si>
    <t>DPS (LTM — trailing dividends per share)</t>
  </si>
  <si>
    <t>Expected DPS Year 1 = DPS₀ × (1 + g)</t>
  </si>
  <si>
    <t>Gordon Growth Price = DPS₁ / (k − g)</t>
  </si>
  <si>
    <t>Upside / (Downside) — DDM</t>
  </si>
  <si>
    <t>SYNTHÈSE — Fourchette de valorisation</t>
  </si>
  <si>
    <t>Prix cible bas (DDM)</t>
  </si>
  <si>
    <t>Prix cible haut (P/B)</t>
  </si>
  <si>
    <t>Prix cible milieu (moyenne)</t>
  </si>
  <si>
    <t>Upside / (Downside) — Prix milieu</t>
  </si>
  <si>
    <t>SENSITIVITY TABLE — Implied P/B vs ROE &amp; Cost of Equity</t>
  </si>
  <si>
    <t>ROE →</t>
  </si>
  <si>
    <t>k ↓</t>
  </si>
  <si>
    <t>Note: Case jaune = base case approximatif (k=10%, ROE=10%). Ajuster g dans INPUT!H109.</t>
  </si>
  <si>
    <t>⚠  Pour assureurs Vie (Life Insurance) : utiliser Embedded Value (INPUT!D143) + New Business Value (INPUT!D144).</t>
  </si>
  <si>
    <t>Embedded Value / share (Life — méthode alternative)</t>
  </si>
  <si>
    <t>NBV Margin (New Business Value / NPE)</t>
  </si>
  <si>
    <t>COMPARABLES — ASSURANCE (P&amp;C / Life / Health)</t>
  </si>
  <si>
    <t>COMPARABLE TRADING ANALYSIS — ASSURANCE</t>
  </si>
  <si>
    <t>P / B
(LTM)</t>
  </si>
  <si>
    <t>Div
Yield</t>
  </si>
  <si>
    <t>Combined
Ratio *</t>
  </si>
  <si>
    <t>Prudential Financial</t>
  </si>
  <si>
    <t>PRU</t>
  </si>
  <si>
    <t>Aflac Incorporated</t>
  </si>
  <si>
    <t>AFL</t>
  </si>
  <si>
    <t>The Travelers Companies</t>
  </si>
  <si>
    <t>TRV</t>
  </si>
  <si>
    <t>The Allstate Corporation</t>
  </si>
  <si>
    <t>ALL</t>
  </si>
  <si>
    <t>* Combined Ratio : source rapports annuels. &lt; 100% = sous-jacent rentable. 94-98% = excellent (P&amp;C).</t>
  </si>
  <si>
    <t>* Solvency II Ratio : source SFCR filing (EU). &gt; 150% = cible. Non disponible pour assureurs US.</t>
  </si>
  <si>
    <t>Target: Book Value / Share (LTM)</t>
  </si>
  <si>
    <t>Target: Combined Ratio (LTM)</t>
  </si>
  <si>
    <t>Target: Dividend Yield</t>
  </si>
  <si>
    <t>P/B — Implied Equity Value / Share ($)</t>
  </si>
  <si>
    <t>P/E — Implied Share Price ($)</t>
  </si>
  <si>
    <t>DDM (Gordon) — Implied Share Price ($)</t>
  </si>
  <si>
    <t>Implied Share Price (Avg. of P/B + P/E + DDM)</t>
  </si>
  <si>
    <t>SCENARIOS — ASSURANCE</t>
  </si>
  <si>
    <t>DRIVER (ASSURANCE)</t>
  </si>
  <si>
    <t>NPE Growth Rate (Y1-Y5)</t>
  </si>
  <si>
    <t>Combined Ratio (Pessimiste / Base / Optimiste)</t>
  </si>
  <si>
    <t>Investment Yield (% sur actifs placés)</t>
  </si>
  <si>
    <t>Cost of Equity — k (taux d'actualisation)</t>
  </si>
  <si>
    <t>Investment Yield (Scenario)</t>
  </si>
  <si>
    <t>Implied Share Price (P/B Model)</t>
  </si>
  <si>
    <t>MÉTRIQUE (Année +5)</t>
  </si>
  <si>
    <t>Investment Income (Year 5)</t>
  </si>
  <si>
    <t>Net Income (est. Year 5)</t>
  </si>
  <si>
    <t>Investment Yield (Year 5)</t>
  </si>
  <si>
    <t>Combined Ratio (Scenario)</t>
  </si>
  <si>
    <t>Implied Share Price — P/B Model</t>
  </si>
  <si>
    <t>=D22</t>
  </si>
  <si>
    <t>=E22</t>
  </si>
  <si>
    <t>=F22</t>
  </si>
  <si>
    <t>CHART DATA: Investment Yield by Scenario</t>
  </si>
  <si>
    <t>Pessimistic (Combined Ratio)</t>
  </si>
  <si>
    <t>Realistic (Combined Ratio)</t>
  </si>
  <si>
    <t>P/TBV (Price / Tangible Book Value)</t>
  </si>
  <si>
    <t>CHART DATA: Combined Ratio par Scénario</t>
  </si>
  <si>
    <t>Scénario</t>
  </si>
  <si>
    <t>Pessimiste (Bear)</t>
  </si>
  <si>
    <t>Réaliste (Base)</t>
  </si>
  <si>
    <t>Optimiste (Bull)</t>
  </si>
  <si>
    <t>Seuil rentabilité (= 100%)</t>
  </si>
  <si>
    <t>CHART DATA — P/B vs Pairs Assurance</t>
  </si>
  <si>
    <t>Société</t>
  </si>
  <si>
    <t>P/B (x)</t>
  </si>
  <si>
    <t>MET (cible)</t>
  </si>
  <si>
    <t>Moyenne pairs</t>
  </si>
  <si>
    <t>CHART DATA — Valorisation Insurance</t>
  </si>
  <si>
    <t>DDM (Gordon Growth)</t>
  </si>
  <si>
    <t>Prix actuel (MET)</t>
  </si>
  <si>
    <t xml:space="preserve">P/B - MET vs Pairs </t>
  </si>
  <si>
    <t>Valorisation Insurance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</si>
</sst>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6" formatCode="#,##0\ &quot;€&quot;;[Red]\-#,##0\ &quot;€&quot;"/>
    <numFmt numFmtId="43" formatCode="_-* #,##0.00_-;\-* #,##0.00_-;_-* &quot;-&quot;??_-;_-@_-"/>
    <numFmt numFmtId="164" formatCode="_(#,##0_);\(#,##0\);_(&quot;–&quot;_);_(@_)"/>
    <numFmt numFmtId="165" formatCode="_(0_);\(0\);_(&quot;–&quot;_);_(@_)"/>
    <numFmt numFmtId="166" formatCode="_(0.000_);\(0.000\);_(&quot;–&quot;_);_(@_)"/>
    <numFmt numFmtId="167" formatCode="_(#,##0.0%_);\(#,##0.0%\);_(&quot;–&quot;_);_(@_)"/>
    <numFmt numFmtId="168" formatCode="_(#,##0.00_);\(#,##0.00\);_(&quot;–&quot;_);_(@_)"/>
    <numFmt numFmtId="169" formatCode="0.0%"/>
    <numFmt numFmtId="170" formatCode="_(* #,##0_);_(* \(#,##0\);_(* &quot;-&quot;??_);_(@_)"/>
    <numFmt numFmtId="171" formatCode="_(#,##0%_);\(#,##0%\);_(&quot;–&quot;_);_(@_)"/>
    <numFmt numFmtId="172" formatCode="&quot;€&quot;#,##0;\(&quot;€&quot;#,##0\);\-"/>
    <numFmt numFmtId="173" formatCode="0.0\x"/>
    <numFmt numFmtId="174" formatCode="&quot;€&quot;#,##0.00;\(&quot;€&quot;#,##0.00\);\-"/>
    <numFmt numFmtId="175" formatCode="_(0.0\x_);\(0.0\x\);_(&quot;–&quot;_);_(@_)"/>
    <numFmt numFmtId="176" formatCode="_(#,##0.0_);\(#,##0.0\);_(&quot;–&quot;_);_(@_)"/>
    <numFmt numFmtId="177" formatCode="&quot;€&quot;#,##0.00"/>
    <numFmt numFmtId="178" formatCode="0.000"/>
    <numFmt numFmtId="179" formatCode="&quot;€&quot;#,##0"/>
    <numFmt numFmtId="180" formatCode="&quot;€&quot;#,##0_);\(&quot;€&quot;#,##0\)"/>
    <numFmt numFmtId="181" formatCode="0.00\x"/>
    <numFmt numFmtId="182" formatCode=";;;"/>
    <numFmt numFmtId="183" formatCode="0.0"/>
    <numFmt numFmtId="184" formatCode="_(#,##0.0_);\(#,##0.0\);_(&quot;\u2013&quot;_);_(@_)"/>
    <numFmt numFmtId="186" formatCode="&quot;€&quot;#,##0;\(&quot;€&quot;#,##0\);"/>
    <numFmt numFmtId="187" formatCode="_(&quot;$&quot;* #,##0.00_);_(&quot;$&quot;* \(#,##0.00\);_(&quot;$&quot;* &quot;-&quot;??_);_(@_)"/>
  </numFmts>
  <fonts count="126" x14ac:knownFonts="1">
    <font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132E57"/>
      <name val="Open Sans"/>
      <family val="2"/>
    </font>
    <font>
      <sz val="9"/>
      <color rgb="FFFFFFFF"/>
      <name val="Open Sans"/>
      <family val="2"/>
    </font>
    <font>
      <sz val="10"/>
      <color theme="1"/>
      <name val="Open Sans"/>
      <family val="2"/>
    </font>
    <font>
      <b/>
      <sz val="10"/>
      <color rgb="FFFFFFFF"/>
      <name val="Open Sans"/>
      <family val="2"/>
    </font>
    <font>
      <b/>
      <sz val="10"/>
      <color rgb="FF3271D2"/>
      <name val="Open Sans"/>
      <family val="2"/>
    </font>
    <font>
      <sz val="10"/>
      <color rgb="FF3271D2"/>
      <name val="Open Sans"/>
      <family val="2"/>
    </font>
    <font>
      <b/>
      <sz val="10"/>
      <color theme="1"/>
      <name val="Open Sans"/>
      <family val="2"/>
    </font>
    <font>
      <i/>
      <sz val="10"/>
      <color rgb="FF595959"/>
      <name val="Open Sans"/>
      <family val="2"/>
    </font>
    <font>
      <sz val="10"/>
      <color rgb="FFFFFFFF"/>
      <name val="Open Sans"/>
      <family val="2"/>
    </font>
    <font>
      <b/>
      <sz val="10"/>
      <color rgb="FF000000"/>
      <name val="Open Sans"/>
      <family val="2"/>
    </font>
    <font>
      <sz val="9"/>
      <color rgb="FF000000"/>
      <name val="Open Sans"/>
      <family val="2"/>
    </font>
    <font>
      <i/>
      <sz val="10"/>
      <color rgb="FF3271D2"/>
      <name val="Open Sans"/>
      <family val="2"/>
    </font>
    <font>
      <b/>
      <sz val="10"/>
      <color rgb="FF1B3E70"/>
      <name val="Open Sans"/>
      <family val="2"/>
    </font>
    <font>
      <b/>
      <sz val="14"/>
      <color rgb="FF3271D2"/>
      <name val="Open Sans"/>
      <family val="2"/>
    </font>
    <font>
      <sz val="8"/>
      <color rgb="FF595959"/>
      <name val="Open Sans"/>
      <family val="2"/>
    </font>
    <font>
      <b/>
      <sz val="8"/>
      <color rgb="FF595959"/>
      <name val="Open Sans"/>
      <family val="2"/>
    </font>
    <font>
      <i/>
      <sz val="9"/>
      <color rgb="FF000000"/>
      <name val="Open Sans"/>
      <family val="2"/>
    </font>
    <font>
      <b/>
      <sz val="14"/>
      <color rgb="FF3271D2"/>
      <name val="Aptos Narrow"/>
      <family val="2"/>
      <scheme val="minor"/>
    </font>
    <font>
      <sz val="10"/>
      <color rgb="FF132E57"/>
      <name val="Open Sans"/>
      <family val="2"/>
    </font>
    <font>
      <i/>
      <sz val="9"/>
      <color rgb="FF595959"/>
      <name val="Open Sans"/>
      <family val="2"/>
    </font>
    <font>
      <sz val="9"/>
      <color rgb="FF132E57"/>
      <name val="Open Sans"/>
      <family val="2"/>
    </font>
    <font>
      <b/>
      <sz val="8"/>
      <color rgb="FF132E57"/>
      <name val="Open Sans"/>
      <family val="2"/>
    </font>
    <font>
      <b/>
      <sz val="11"/>
      <color rgb="FF132E57"/>
      <name val="Aptos Narrow"/>
      <family val="2"/>
      <scheme val="minor"/>
    </font>
    <font>
      <b/>
      <sz val="10"/>
      <color rgb="FF132E57"/>
      <name val="Aptos Narrow"/>
      <family val="2"/>
      <scheme val="minor"/>
    </font>
    <font>
      <b/>
      <sz val="9"/>
      <color rgb="FF132E57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8"/>
      <color rgb="FF595959"/>
      <name val="Open Sans"/>
      <family val="2"/>
    </font>
    <font>
      <b/>
      <sz val="10"/>
      <color rgb="FFFFFFFF"/>
      <name val="Open Sans"/>
      <family val="2"/>
    </font>
    <font>
      <b/>
      <sz val="18"/>
      <color rgb="FFFFFFFF"/>
      <name val="Open Sans"/>
      <family val="2"/>
    </font>
    <font>
      <sz val="10"/>
      <color rgb="FF3271D2"/>
      <name val="Open Sans"/>
      <family val="2"/>
    </font>
    <font>
      <b/>
      <sz val="10"/>
      <color rgb="FFFFFFFF"/>
      <name val="Aptos Narrow"/>
      <family val="2"/>
      <scheme val="minor"/>
    </font>
    <font>
      <b/>
      <sz val="12"/>
      <color rgb="FF000000"/>
      <name val="Open Sans"/>
      <family val="2"/>
    </font>
    <font>
      <sz val="8"/>
      <color rgb="FF000000"/>
      <name val="Open Sans"/>
      <family val="2"/>
    </font>
    <font>
      <sz val="14"/>
      <color rgb="FF000000"/>
      <name val="Open Sans"/>
      <family val="2"/>
    </font>
    <font>
      <sz val="10"/>
      <color rgb="FFFFFFFF"/>
      <name val="Open Sans"/>
      <family val="2"/>
    </font>
    <font>
      <b/>
      <sz val="14"/>
      <color rgb="FF3271D2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sz val="10"/>
      <color rgb="FF000000"/>
      <name val="Aptos Narrow"/>
      <family val="2"/>
      <scheme val="minor"/>
    </font>
    <font>
      <sz val="11"/>
      <name val="Open Sans"/>
      <family val="2"/>
    </font>
    <font>
      <u/>
      <sz val="10"/>
      <color theme="10"/>
      <name val="Arial"/>
      <family val="2"/>
    </font>
    <font>
      <sz val="11"/>
      <color theme="1"/>
      <name val="Open Sans"/>
      <family val="2"/>
    </font>
    <font>
      <sz val="10"/>
      <name val="Arial"/>
      <family val="2"/>
    </font>
    <font>
      <sz val="14"/>
      <color theme="1"/>
      <name val="Open Sans"/>
      <family val="2"/>
    </font>
    <font>
      <b/>
      <sz val="10"/>
      <color theme="1"/>
      <name val="Open Sans"/>
      <family val="2"/>
    </font>
    <font>
      <i/>
      <sz val="9"/>
      <color theme="1"/>
      <name val="Aptos Narrow"/>
      <family val="2"/>
      <scheme val="minor"/>
    </font>
    <font>
      <i/>
      <sz val="9"/>
      <color theme="1"/>
      <name val="Open Sans"/>
      <family val="2"/>
    </font>
    <font>
      <sz val="11"/>
      <color rgb="FFFFFFFF"/>
      <name val="Open Sans"/>
      <family val="2"/>
    </font>
    <font>
      <b/>
      <sz val="10"/>
      <color rgb="FF000000"/>
      <name val="Aptos Narrow"/>
      <family val="2"/>
      <scheme val="minor"/>
    </font>
    <font>
      <sz val="12"/>
      <color theme="1"/>
      <name val="Open Sans"/>
      <family val="2"/>
    </font>
    <font>
      <b/>
      <sz val="12"/>
      <color theme="1"/>
      <name val="Open Sans"/>
      <family val="2"/>
    </font>
    <font>
      <sz val="12"/>
      <color rgb="FF000000"/>
      <name val="Open Sans"/>
      <family val="2"/>
    </font>
    <font>
      <sz val="12"/>
      <color theme="0" tint="-0.499984740745262"/>
      <name val="Open Sans"/>
      <family val="2"/>
    </font>
    <font>
      <sz val="12"/>
      <color theme="1" tint="0.499984740745262"/>
      <name val="Open Sans"/>
      <family val="2"/>
    </font>
    <font>
      <i/>
      <sz val="9"/>
      <color rgb="FFA3A3A3"/>
      <name val="Aptos Narrow"/>
      <family val="2"/>
      <scheme val="minor"/>
    </font>
    <font>
      <sz val="11"/>
      <color rgb="FF141413"/>
      <name val="Segoe UI"/>
      <family val="2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theme="0"/>
      <name val="Open Sans"/>
      <family val="2"/>
    </font>
    <font>
      <sz val="12"/>
      <color theme="0"/>
      <name val="Open Sans"/>
      <family val="2"/>
    </font>
    <font>
      <b/>
      <sz val="11"/>
      <color theme="1"/>
      <name val="Open Sans"/>
      <family val="2"/>
    </font>
    <font>
      <i/>
      <sz val="10"/>
      <color rgb="FFFFFFFF"/>
      <name val="Open Sans"/>
      <family val="2"/>
    </font>
    <font>
      <i/>
      <sz val="10"/>
      <color theme="1"/>
      <name val="Open Sans"/>
      <family val="2"/>
    </font>
    <font>
      <b/>
      <i/>
      <sz val="14"/>
      <color rgb="FF3271D2"/>
      <name val="Open Sans"/>
      <family val="2"/>
    </font>
    <font>
      <b/>
      <sz val="10"/>
      <color rgb="FFCCCCCC"/>
      <name val="Open Sans"/>
      <family val="2"/>
    </font>
    <font>
      <sz val="10"/>
      <color rgb="FFAAAAAA"/>
      <name val="Open Sans"/>
      <family val="2"/>
    </font>
    <font>
      <b/>
      <sz val="9"/>
      <color rgb="FF132E57"/>
      <name val="Open Sans"/>
      <family val="2"/>
    </font>
    <font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"/>
      <color rgb="FFFFFFFF"/>
      <name val="Aptos Narrow"/>
      <family val="2"/>
      <scheme val="minor"/>
    </font>
    <font>
      <b/>
      <sz val="14"/>
      <color rgb="FFFFFFFF"/>
      <name val="Open Sans"/>
      <family val="2"/>
    </font>
    <font>
      <b/>
      <sz val="8"/>
      <color rgb="FFFFFFFF"/>
      <name val="Open Sans"/>
      <family val="2"/>
    </font>
    <font>
      <b/>
      <sz val="10"/>
      <color theme="1"/>
      <name val="Aptos Narrow"/>
      <family val="2"/>
      <scheme val="minor"/>
    </font>
    <font>
      <b/>
      <sz val="10"/>
      <color rgb="FF3271D2"/>
      <name val="Aptos Narrow"/>
      <family val="2"/>
      <scheme val="minor"/>
    </font>
    <font>
      <b/>
      <sz val="14"/>
      <color rgb="FFE7F2FF"/>
      <name val="Open Sans"/>
      <family val="2"/>
    </font>
    <font>
      <sz val="8"/>
      <color rgb="FFFFFFFF"/>
      <name val="Open Sans"/>
      <family val="2"/>
    </font>
    <font>
      <sz val="14"/>
      <color theme="0"/>
      <name val="Open Sans"/>
      <family val="2"/>
    </font>
    <font>
      <sz val="8"/>
      <color theme="0"/>
      <name val="Open Sans"/>
      <family val="2"/>
    </font>
    <font>
      <b/>
      <sz val="14"/>
      <color theme="0"/>
      <name val="Open Sans"/>
      <family val="2"/>
    </font>
    <font>
      <b/>
      <sz val="10"/>
      <color theme="0"/>
      <name val="Open Sans"/>
      <family val="2"/>
    </font>
    <font>
      <sz val="10"/>
      <color theme="0"/>
      <name val="Open Sans"/>
      <family val="2"/>
    </font>
    <font>
      <sz val="11"/>
      <color rgb="FF000000"/>
      <name val="Aptos Narrow"/>
      <family val="2"/>
      <scheme val="minor"/>
    </font>
    <font>
      <sz val="10"/>
      <name val="Open Sans"/>
      <family val="2"/>
    </font>
    <font>
      <b/>
      <sz val="11"/>
      <color rgb="FF000000"/>
      <name val="Aptos Narrow"/>
      <family val="2"/>
      <scheme val="minor"/>
    </font>
    <font>
      <b/>
      <sz val="10"/>
      <color rgb="FFD9E5F7"/>
      <name val="Open Sans"/>
      <family val="2"/>
    </font>
    <font>
      <sz val="11"/>
      <color rgb="FF000000"/>
      <name val="Open Sans"/>
      <family val="2"/>
    </font>
    <font>
      <sz val="11"/>
      <color rgb="FF1F2D3D"/>
      <name val="Open Sans"/>
      <family val="2"/>
    </font>
    <font>
      <b/>
      <sz val="10"/>
      <color rgb="FF1A1A2E"/>
      <name val="Open Sans"/>
      <family val="2"/>
    </font>
    <font>
      <sz val="10"/>
      <color rgb="FF1A1A2E"/>
      <name val="Open Sans"/>
      <family val="2"/>
    </font>
    <font>
      <sz val="11"/>
      <color rgb="FF1A1A2E"/>
      <name val="Open Sans"/>
      <family val="2"/>
    </font>
    <font>
      <sz val="10"/>
      <color rgb="FF555555"/>
      <name val="Open Sans"/>
      <family val="2"/>
    </font>
    <font>
      <sz val="10"/>
      <color rgb="FF1A1A2E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FFFF"/>
      <name val="Aptos Narrow"/>
      <family val="2"/>
      <scheme val="minor"/>
    </font>
    <font>
      <b/>
      <sz val="10"/>
      <color rgb="FF3271D2"/>
      <name val="Open Sans"/>
    </font>
    <font>
      <b/>
      <sz val="14"/>
      <color rgb="FF3271D2"/>
      <name val="Open Sans"/>
    </font>
    <font>
      <sz val="10"/>
      <color rgb="FF000000"/>
      <name val="Open Sans"/>
    </font>
    <font>
      <sz val="8"/>
      <color rgb="FF595959"/>
      <name val="Open Sans"/>
    </font>
    <font>
      <b/>
      <sz val="10"/>
      <color rgb="FF000000"/>
      <name val="Open Sans"/>
    </font>
    <font>
      <b/>
      <sz val="10"/>
      <color rgb="FF0000FF"/>
      <name val="Open Sans"/>
      <family val="2"/>
    </font>
    <font>
      <b/>
      <sz val="10"/>
      <color rgb="FF0000FF"/>
      <name val="Open Sans"/>
    </font>
    <font>
      <i/>
      <sz val="9"/>
      <color rgb="FF595959"/>
      <name val="Open Sans"/>
    </font>
    <font>
      <b/>
      <sz val="9"/>
      <color rgb="FF000000"/>
      <name val="Open Sans"/>
    </font>
    <font>
      <b/>
      <sz val="12"/>
      <color rgb="FF3271D2"/>
      <name val="Open Sans"/>
    </font>
    <font>
      <i/>
      <sz val="8"/>
      <color rgb="FF595959"/>
      <name val="Open Sans"/>
      <family val="2"/>
    </font>
    <font>
      <b/>
      <i/>
      <sz val="10"/>
      <color rgb="FF3271D2"/>
      <name val="Open Sans"/>
      <family val="2"/>
    </font>
    <font>
      <b/>
      <sz val="10"/>
      <name val="Open Sans"/>
      <family val="2"/>
    </font>
    <font>
      <sz val="12"/>
      <color rgb="FFE03C31"/>
      <name val="Open Sans"/>
      <family val="2"/>
    </font>
    <font>
      <sz val="12"/>
      <color rgb="FF00A652"/>
      <name val="Open Sans"/>
      <family val="2"/>
    </font>
    <font>
      <b/>
      <i/>
      <sz val="10"/>
      <name val="Open Sans"/>
      <family val="2"/>
    </font>
    <font>
      <sz val="11"/>
      <color rgb="FF0000FF"/>
      <name val="Aptos Narrow"/>
      <family val="2"/>
      <scheme val="minor"/>
    </font>
    <font>
      <sz val="1"/>
      <color rgb="FF000000"/>
      <name val="Aptos Narrow"/>
      <family val="2"/>
      <scheme val="minor"/>
    </font>
    <font>
      <i/>
      <sz val="10"/>
      <color rgb="FF000000"/>
      <name val="Open Sans"/>
      <family val="2"/>
    </font>
    <font>
      <b/>
      <sz val="8"/>
      <color rgb="FF0000FF"/>
      <name val="Open Sans"/>
      <family val="2"/>
    </font>
    <font>
      <b/>
      <sz val="8"/>
      <color rgb="FF000000"/>
      <name val="Open Sans"/>
      <family val="2"/>
    </font>
    <font>
      <b/>
      <sz val="14"/>
      <color rgb="FF000000"/>
      <name val="Open Sans"/>
      <family val="2"/>
    </font>
    <font>
      <sz val="9"/>
      <color rgb="FF000000"/>
      <name val="Aptos Narrow"/>
      <family val="2"/>
      <scheme val="minor"/>
    </font>
    <font>
      <sz val="8"/>
      <color rgb="FF0000FF"/>
      <name val="Open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double">
        <color rgb="FF000000"/>
      </bottom>
      <diagonal/>
    </border>
  </borders>
  <cellStyleXfs count="8">
    <xf numFmtId="0" fontId="0" fillId="0" borderId="0"/>
    <xf numFmtId="43" fontId="29" fillId="0" borderId="0"/>
    <xf numFmtId="0" fontId="29" fillId="0" borderId="0"/>
    <xf numFmtId="0" fontId="48" fillId="0" borderId="0"/>
    <xf numFmtId="0" fontId="50" fillId="0" borderId="0"/>
    <xf numFmtId="187" fontId="29" fillId="0" borderId="0"/>
    <xf numFmtId="9" fontId="29" fillId="0" borderId="0"/>
    <xf numFmtId="0" fontId="29" fillId="0" borderId="0"/>
  </cellStyleXfs>
  <cellXfs count="513">
    <xf numFmtId="0" fontId="0" fillId="0" borderId="0" xfId="0"/>
    <xf numFmtId="0" fontId="4" fillId="3" borderId="0" xfId="0" applyFont="1" applyFill="1"/>
    <xf numFmtId="0" fontId="5" fillId="4" borderId="0" xfId="0" applyFont="1" applyFill="1"/>
    <xf numFmtId="0" fontId="6" fillId="0" borderId="0" xfId="0" applyFont="1"/>
    <xf numFmtId="0" fontId="12" fillId="4" borderId="0" xfId="0" applyFont="1" applyFill="1"/>
    <xf numFmtId="0" fontId="7" fillId="6" borderId="0" xfId="0" applyFont="1" applyFill="1"/>
    <xf numFmtId="0" fontId="12" fillId="6" borderId="0" xfId="0" applyFont="1" applyFill="1"/>
    <xf numFmtId="0" fontId="17" fillId="2" borderId="0" xfId="0" applyFont="1" applyFill="1"/>
    <xf numFmtId="6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19" fillId="3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7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6" fillId="0" borderId="0" xfId="0" applyFont="1" applyAlignment="1">
      <alignment horizontal="left" indent="1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/>
    </xf>
    <xf numFmtId="0" fontId="17" fillId="2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7" fillId="6" borderId="0" xfId="0" applyFont="1" applyFill="1" applyAlignment="1">
      <alignment horizontal="lef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7" fillId="6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0" fontId="12" fillId="4" borderId="0" xfId="0" applyFont="1" applyFill="1" applyAlignment="1">
      <alignment horizontal="left"/>
    </xf>
    <xf numFmtId="0" fontId="12" fillId="4" borderId="0" xfId="0" applyFont="1" applyFill="1" applyAlignment="1">
      <alignment horizontal="right"/>
    </xf>
    <xf numFmtId="0" fontId="4" fillId="3" borderId="0" xfId="0" applyFont="1" applyFill="1" applyAlignment="1">
      <alignment horizontal="right" wrapText="1"/>
    </xf>
    <xf numFmtId="164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0" fontId="9" fillId="0" borderId="0" xfId="0" applyFont="1" applyAlignment="1">
      <alignment horizontal="left" indent="1"/>
    </xf>
    <xf numFmtId="0" fontId="15" fillId="0" borderId="0" xfId="0" applyFont="1" applyAlignment="1">
      <alignment horizontal="left"/>
    </xf>
    <xf numFmtId="49" fontId="18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17" fillId="2" borderId="0" xfId="0" applyFont="1" applyFill="1" applyAlignment="1">
      <alignment horizontal="center"/>
    </xf>
    <xf numFmtId="3" fontId="17" fillId="2" borderId="0" xfId="0" applyNumberFormat="1" applyFont="1" applyFill="1" applyAlignment="1">
      <alignment horizontal="right"/>
    </xf>
    <xf numFmtId="0" fontId="17" fillId="2" borderId="0" xfId="0" applyFont="1" applyFill="1" applyAlignment="1">
      <alignment horizontal="right" wrapText="1"/>
    </xf>
    <xf numFmtId="0" fontId="2" fillId="0" borderId="0" xfId="0" applyFont="1" applyAlignment="1">
      <alignment horizontal="left"/>
    </xf>
    <xf numFmtId="0" fontId="22" fillId="3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23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49" fontId="19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0" fontId="10" fillId="0" borderId="0" xfId="0" applyFont="1" applyAlignment="1">
      <alignment horizontal="left" indent="1"/>
    </xf>
    <xf numFmtId="0" fontId="3" fillId="7" borderId="0" xfId="0" applyFont="1" applyFill="1" applyAlignment="1">
      <alignment horizontal="right"/>
    </xf>
    <xf numFmtId="167" fontId="3" fillId="7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right"/>
    </xf>
    <xf numFmtId="0" fontId="13" fillId="7" borderId="0" xfId="0" applyFont="1" applyFill="1" applyAlignment="1">
      <alignment horizontal="right"/>
    </xf>
    <xf numFmtId="167" fontId="6" fillId="7" borderId="0" xfId="0" applyNumberFormat="1" applyFont="1" applyFill="1" applyAlignment="1">
      <alignment horizontal="right"/>
    </xf>
    <xf numFmtId="0" fontId="10" fillId="7" borderId="0" xfId="0" applyFont="1" applyFill="1" applyAlignment="1">
      <alignment horizontal="right"/>
    </xf>
    <xf numFmtId="0" fontId="13" fillId="0" borderId="0" xfId="0" applyFont="1" applyAlignment="1">
      <alignment horizontal="left" indent="1"/>
    </xf>
    <xf numFmtId="0" fontId="10" fillId="0" borderId="3" xfId="0" applyFont="1" applyBorder="1" applyAlignment="1">
      <alignment horizontal="right"/>
    </xf>
    <xf numFmtId="168" fontId="13" fillId="7" borderId="3" xfId="0" applyNumberFormat="1" applyFont="1" applyFill="1" applyBorder="1" applyAlignment="1">
      <alignment horizontal="right"/>
    </xf>
    <xf numFmtId="0" fontId="13" fillId="7" borderId="0" xfId="0" applyFont="1" applyFill="1" applyAlignment="1">
      <alignment horizontal="left" indent="1"/>
    </xf>
    <xf numFmtId="0" fontId="13" fillId="7" borderId="0" xfId="0" applyFont="1" applyFill="1"/>
    <xf numFmtId="0" fontId="13" fillId="7" borderId="0" xfId="0" applyFont="1" applyFill="1" applyAlignment="1">
      <alignment horizontal="left"/>
    </xf>
    <xf numFmtId="0" fontId="6" fillId="7" borderId="0" xfId="0" applyFont="1" applyFill="1"/>
    <xf numFmtId="0" fontId="3" fillId="7" borderId="0" xfId="0" applyFont="1" applyFill="1" applyAlignment="1">
      <alignment horizontal="left" indent="1"/>
    </xf>
    <xf numFmtId="6" fontId="3" fillId="7" borderId="0" xfId="0" applyNumberFormat="1" applyFont="1" applyFill="1"/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4" fillId="3" borderId="0" xfId="0" applyFont="1" applyFill="1" applyAlignment="1">
      <alignment horizontal="left"/>
    </xf>
    <xf numFmtId="0" fontId="16" fillId="7" borderId="0" xfId="0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4" fillId="3" borderId="0" xfId="0" applyFont="1" applyFill="1" applyAlignment="1">
      <alignment horizontal="left" indent="1"/>
    </xf>
    <xf numFmtId="0" fontId="25" fillId="3" borderId="0" xfId="0" applyFont="1" applyFill="1" applyAlignment="1">
      <alignment horizontal="center"/>
    </xf>
    <xf numFmtId="0" fontId="26" fillId="3" borderId="0" xfId="0" applyFont="1" applyFill="1"/>
    <xf numFmtId="0" fontId="0" fillId="7" borderId="0" xfId="0" applyFill="1"/>
    <xf numFmtId="0" fontId="27" fillId="3" borderId="0" xfId="0" applyFont="1" applyFill="1" applyAlignment="1">
      <alignment horizontal="left"/>
    </xf>
    <xf numFmtId="0" fontId="26" fillId="3" borderId="0" xfId="0" applyFont="1" applyFill="1" applyAlignment="1">
      <alignment horizontal="right"/>
    </xf>
    <xf numFmtId="0" fontId="28" fillId="3" borderId="0" xfId="0" applyFont="1" applyFill="1" applyAlignment="1">
      <alignment horizontal="left"/>
    </xf>
    <xf numFmtId="0" fontId="28" fillId="3" borderId="0" xfId="0" applyFont="1" applyFill="1" applyAlignment="1">
      <alignment horizontal="right"/>
    </xf>
    <xf numFmtId="0" fontId="21" fillId="0" borderId="0" xfId="0" applyFont="1" applyAlignment="1">
      <alignment horizontal="right"/>
    </xf>
    <xf numFmtId="0" fontId="31" fillId="0" borderId="0" xfId="0" applyFont="1"/>
    <xf numFmtId="0" fontId="30" fillId="0" borderId="0" xfId="0" applyFont="1"/>
    <xf numFmtId="0" fontId="26" fillId="0" borderId="0" xfId="0" applyFont="1"/>
    <xf numFmtId="0" fontId="32" fillId="0" borderId="0" xfId="0" applyFont="1" applyAlignment="1">
      <alignment horizontal="left"/>
    </xf>
    <xf numFmtId="0" fontId="33" fillId="7" borderId="0" xfId="0" applyFont="1" applyFill="1" applyAlignment="1">
      <alignment horizontal="right"/>
    </xf>
    <xf numFmtId="0" fontId="32" fillId="7" borderId="0" xfId="0" applyFont="1" applyFill="1" applyAlignment="1">
      <alignment horizontal="left"/>
    </xf>
    <xf numFmtId="0" fontId="34" fillId="7" borderId="0" xfId="0" applyFont="1" applyFill="1" applyAlignment="1">
      <alignment horizontal="center"/>
    </xf>
    <xf numFmtId="0" fontId="35" fillId="6" borderId="0" xfId="0" applyFont="1" applyFill="1" applyAlignment="1">
      <alignment horizontal="right"/>
    </xf>
    <xf numFmtId="0" fontId="36" fillId="6" borderId="0" xfId="0" applyFont="1" applyFill="1" applyAlignment="1">
      <alignment horizontal="left"/>
    </xf>
    <xf numFmtId="0" fontId="38" fillId="6" borderId="0" xfId="0" applyFont="1" applyFill="1" applyAlignment="1">
      <alignment horizontal="left"/>
    </xf>
    <xf numFmtId="0" fontId="17" fillId="7" borderId="0" xfId="0" applyFont="1" applyFill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3" fontId="17" fillId="0" borderId="0" xfId="0" applyNumberFormat="1" applyFont="1" applyAlignment="1">
      <alignment horizontal="right"/>
    </xf>
    <xf numFmtId="0" fontId="17" fillId="7" borderId="0" xfId="0" applyFont="1" applyFill="1"/>
    <xf numFmtId="0" fontId="41" fillId="7" borderId="0" xfId="0" applyFont="1" applyFill="1"/>
    <xf numFmtId="0" fontId="41" fillId="7" borderId="0" xfId="0" applyFont="1" applyFill="1" applyAlignment="1">
      <alignment horizontal="left"/>
    </xf>
    <xf numFmtId="0" fontId="41" fillId="7" borderId="0" xfId="0" applyFont="1" applyFill="1" applyAlignment="1">
      <alignment horizontal="right"/>
    </xf>
    <xf numFmtId="0" fontId="10" fillId="7" borderId="0" xfId="0" applyFont="1" applyFill="1" applyAlignment="1">
      <alignment horizontal="left" indent="1"/>
    </xf>
    <xf numFmtId="0" fontId="32" fillId="7" borderId="0" xfId="0" applyFont="1" applyFill="1"/>
    <xf numFmtId="0" fontId="32" fillId="7" borderId="0" xfId="0" applyFont="1" applyFill="1" applyAlignment="1">
      <alignment horizontal="left" indent="1"/>
    </xf>
    <xf numFmtId="164" fontId="32" fillId="7" borderId="0" xfId="0" applyNumberFormat="1" applyFont="1" applyFill="1" applyAlignment="1">
      <alignment horizontal="right"/>
    </xf>
    <xf numFmtId="0" fontId="32" fillId="7" borderId="0" xfId="0" applyFont="1" applyFill="1" applyAlignment="1">
      <alignment horizontal="right"/>
    </xf>
    <xf numFmtId="0" fontId="8" fillId="7" borderId="0" xfId="0" applyFont="1" applyFill="1" applyAlignment="1">
      <alignment horizontal="left"/>
    </xf>
    <xf numFmtId="0" fontId="17" fillId="7" borderId="0" xfId="0" applyFont="1" applyFill="1" applyAlignment="1">
      <alignment horizontal="center"/>
    </xf>
    <xf numFmtId="0" fontId="42" fillId="6" borderId="0" xfId="0" applyFont="1" applyFill="1" applyAlignment="1">
      <alignment horizontal="right"/>
    </xf>
    <xf numFmtId="0" fontId="43" fillId="2" borderId="0" xfId="0" applyFont="1" applyFill="1"/>
    <xf numFmtId="0" fontId="43" fillId="2" borderId="0" xfId="0" applyFont="1" applyFill="1" applyAlignment="1">
      <alignment horizontal="left"/>
    </xf>
    <xf numFmtId="169" fontId="32" fillId="7" borderId="0" xfId="0" applyNumberFormat="1" applyFont="1" applyFill="1" applyAlignment="1">
      <alignment horizontal="right"/>
    </xf>
    <xf numFmtId="3" fontId="32" fillId="7" borderId="0" xfId="0" applyNumberFormat="1" applyFont="1" applyFill="1" applyAlignment="1">
      <alignment horizontal="right"/>
    </xf>
    <xf numFmtId="3" fontId="3" fillId="7" borderId="0" xfId="0" applyNumberFormat="1" applyFont="1" applyFill="1" applyAlignment="1">
      <alignment horizontal="right"/>
    </xf>
    <xf numFmtId="0" fontId="0" fillId="2" borderId="0" xfId="0" applyFill="1"/>
    <xf numFmtId="0" fontId="47" fillId="0" borderId="0" xfId="2" applyFont="1"/>
    <xf numFmtId="0" fontId="49" fillId="0" borderId="0" xfId="2" applyFont="1"/>
    <xf numFmtId="0" fontId="44" fillId="0" borderId="0" xfId="2" applyFont="1"/>
    <xf numFmtId="37" fontId="51" fillId="0" borderId="0" xfId="2" applyNumberFormat="1" applyFont="1" applyAlignment="1">
      <alignment vertical="center"/>
    </xf>
    <xf numFmtId="0" fontId="42" fillId="6" borderId="0" xfId="0" applyFont="1" applyFill="1"/>
    <xf numFmtId="0" fontId="53" fillId="0" borderId="0" xfId="0" applyFont="1"/>
    <xf numFmtId="0" fontId="54" fillId="0" borderId="0" xfId="0" applyFont="1"/>
    <xf numFmtId="0" fontId="52" fillId="0" borderId="0" xfId="0" applyFont="1"/>
    <xf numFmtId="0" fontId="52" fillId="0" borderId="0" xfId="0" applyFont="1" applyAlignment="1">
      <alignment horizontal="left"/>
    </xf>
    <xf numFmtId="0" fontId="52" fillId="7" borderId="0" xfId="0" applyFont="1" applyFill="1" applyAlignment="1">
      <alignment horizontal="left"/>
    </xf>
    <xf numFmtId="0" fontId="44" fillId="7" borderId="0" xfId="0" applyFont="1" applyFill="1" applyAlignment="1">
      <alignment horizontal="left"/>
    </xf>
    <xf numFmtId="0" fontId="49" fillId="7" borderId="0" xfId="0" applyFont="1" applyFill="1"/>
    <xf numFmtId="0" fontId="44" fillId="0" borderId="0" xfId="0" applyFont="1"/>
    <xf numFmtId="0" fontId="44" fillId="2" borderId="0" xfId="0" applyFont="1" applyFill="1"/>
    <xf numFmtId="0" fontId="55" fillId="6" borderId="0" xfId="0" applyFont="1" applyFill="1"/>
    <xf numFmtId="0" fontId="51" fillId="0" borderId="0" xfId="0" applyFont="1"/>
    <xf numFmtId="0" fontId="54" fillId="7" borderId="0" xfId="0" applyFont="1" applyFill="1"/>
    <xf numFmtId="0" fontId="44" fillId="7" borderId="0" xfId="0" applyFont="1" applyFill="1" applyAlignment="1">
      <alignment horizontal="center"/>
    </xf>
    <xf numFmtId="0" fontId="52" fillId="0" borderId="0" xfId="0" applyFont="1" applyAlignment="1">
      <alignment horizontal="center"/>
    </xf>
    <xf numFmtId="170" fontId="57" fillId="0" borderId="0" xfId="1" applyNumberFormat="1" applyFont="1"/>
    <xf numFmtId="0" fontId="2" fillId="0" borderId="0" xfId="0" applyFont="1"/>
    <xf numFmtId="0" fontId="44" fillId="0" borderId="0" xfId="0" applyFont="1" applyAlignment="1">
      <alignment horizontal="left"/>
    </xf>
    <xf numFmtId="0" fontId="62" fillId="7" borderId="0" xfId="0" applyFont="1" applyFill="1"/>
    <xf numFmtId="0" fontId="46" fillId="0" borderId="0" xfId="0" applyFont="1" applyAlignment="1">
      <alignment horizontal="left"/>
    </xf>
    <xf numFmtId="0" fontId="63" fillId="0" borderId="0" xfId="0" applyFont="1"/>
    <xf numFmtId="0" fontId="44" fillId="7" borderId="8" xfId="0" applyFont="1" applyFill="1" applyBorder="1" applyAlignment="1">
      <alignment horizontal="right"/>
    </xf>
    <xf numFmtId="0" fontId="49" fillId="7" borderId="8" xfId="0" applyFont="1" applyFill="1" applyBorder="1"/>
    <xf numFmtId="0" fontId="44" fillId="7" borderId="9" xfId="0" applyFont="1" applyFill="1" applyBorder="1" applyAlignment="1">
      <alignment horizontal="center"/>
    </xf>
    <xf numFmtId="10" fontId="0" fillId="0" borderId="0" xfId="0" applyNumberFormat="1"/>
    <xf numFmtId="0" fontId="31" fillId="6" borderId="0" xfId="0" applyFont="1" applyFill="1"/>
    <xf numFmtId="0" fontId="30" fillId="3" borderId="0" xfId="0" applyFont="1" applyFill="1"/>
    <xf numFmtId="0" fontId="65" fillId="0" borderId="0" xfId="0" applyFont="1"/>
    <xf numFmtId="0" fontId="57" fillId="0" borderId="0" xfId="0" applyFont="1"/>
    <xf numFmtId="0" fontId="33" fillId="0" borderId="0" xfId="0" applyFont="1" applyAlignment="1">
      <alignment vertical="center"/>
    </xf>
    <xf numFmtId="0" fontId="59" fillId="0" borderId="0" xfId="0" applyFont="1"/>
    <xf numFmtId="0" fontId="33" fillId="0" borderId="0" xfId="0" applyFont="1"/>
    <xf numFmtId="0" fontId="58" fillId="0" borderId="0" xfId="0" applyFont="1" applyAlignment="1">
      <alignment horizontal="right"/>
    </xf>
    <xf numFmtId="37" fontId="57" fillId="0" borderId="0" xfId="0" applyNumberFormat="1" applyFont="1" applyAlignment="1">
      <alignment vertical="top"/>
    </xf>
    <xf numFmtId="0" fontId="60" fillId="0" borderId="0" xfId="0" applyFont="1" applyAlignment="1">
      <alignment horizontal="right"/>
    </xf>
    <xf numFmtId="170" fontId="61" fillId="0" borderId="0" xfId="0" applyNumberFormat="1" applyFont="1"/>
    <xf numFmtId="171" fontId="47" fillId="0" borderId="0" xfId="2" applyNumberFormat="1" applyFont="1" applyAlignment="1">
      <alignment horizontal="right"/>
    </xf>
    <xf numFmtId="0" fontId="32" fillId="0" borderId="0" xfId="0" applyFont="1" applyAlignment="1">
      <alignment vertical="center"/>
    </xf>
    <xf numFmtId="0" fontId="59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66" fillId="0" borderId="0" xfId="2" applyFont="1"/>
    <xf numFmtId="0" fontId="67" fillId="0" borderId="0" xfId="0" applyFont="1"/>
    <xf numFmtId="170" fontId="67" fillId="0" borderId="0" xfId="0" applyNumberFormat="1" applyFont="1"/>
    <xf numFmtId="43" fontId="0" fillId="0" borderId="0" xfId="1" applyFont="1"/>
    <xf numFmtId="0" fontId="55" fillId="0" borderId="0" xfId="0" applyFont="1"/>
    <xf numFmtId="0" fontId="32" fillId="7" borderId="6" xfId="0" applyFont="1" applyFill="1" applyBorder="1" applyAlignment="1">
      <alignment horizontal="centerContinuous"/>
    </xf>
    <xf numFmtId="0" fontId="49" fillId="7" borderId="6" xfId="0" applyFont="1" applyFill="1" applyBorder="1" applyAlignment="1">
      <alignment horizontal="centerContinuous"/>
    </xf>
    <xf numFmtId="0" fontId="33" fillId="7" borderId="6" xfId="0" applyFont="1" applyFill="1" applyBorder="1" applyAlignment="1">
      <alignment horizontal="centerContinuous"/>
    </xf>
    <xf numFmtId="0" fontId="68" fillId="7" borderId="6" xfId="0" applyFont="1" applyFill="1" applyBorder="1" applyAlignment="1">
      <alignment horizontal="centerContinuous"/>
    </xf>
    <xf numFmtId="43" fontId="49" fillId="7" borderId="0" xfId="1" applyFont="1" applyFill="1"/>
    <xf numFmtId="10" fontId="49" fillId="7" borderId="0" xfId="0" applyNumberFormat="1" applyFont="1" applyFill="1"/>
    <xf numFmtId="0" fontId="0" fillId="7" borderId="6" xfId="0" applyFill="1" applyBorder="1" applyAlignment="1">
      <alignment horizontal="centerContinuous"/>
    </xf>
    <xf numFmtId="0" fontId="69" fillId="0" borderId="0" xfId="0" applyFont="1"/>
    <xf numFmtId="0" fontId="70" fillId="0" borderId="0" xfId="0" applyFont="1"/>
    <xf numFmtId="0" fontId="71" fillId="0" borderId="0" xfId="0" applyFont="1"/>
    <xf numFmtId="0" fontId="64" fillId="0" borderId="0" xfId="0" applyFont="1"/>
    <xf numFmtId="169" fontId="9" fillId="0" borderId="0" xfId="0" applyNumberFormat="1" applyFont="1" applyAlignment="1">
      <alignment horizontal="right"/>
    </xf>
    <xf numFmtId="0" fontId="74" fillId="3" borderId="0" xfId="0" applyFont="1" applyFill="1" applyAlignment="1">
      <alignment horizontal="left"/>
    </xf>
    <xf numFmtId="0" fontId="66" fillId="7" borderId="0" xfId="0" applyFont="1" applyFill="1"/>
    <xf numFmtId="0" fontId="75" fillId="0" borderId="0" xfId="0" applyFont="1"/>
    <xf numFmtId="0" fontId="8" fillId="3" borderId="0" xfId="0" applyFont="1" applyFill="1" applyAlignment="1">
      <alignment horizontal="right"/>
    </xf>
    <xf numFmtId="0" fontId="18" fillId="7" borderId="0" xfId="0" applyFont="1" applyFill="1" applyAlignment="1">
      <alignment horizontal="center"/>
    </xf>
    <xf numFmtId="6" fontId="4" fillId="3" borderId="0" xfId="0" applyNumberFormat="1" applyFont="1" applyFill="1" applyAlignment="1">
      <alignment horizontal="left"/>
    </xf>
    <xf numFmtId="0" fontId="19" fillId="7" borderId="0" xfId="0" applyFont="1" applyFill="1" applyAlignment="1">
      <alignment horizontal="center"/>
    </xf>
    <xf numFmtId="0" fontId="17" fillId="2" borderId="0" xfId="0" applyFont="1" applyFill="1" applyAlignment="1">
      <alignment horizontal="left" indent="1"/>
    </xf>
    <xf numFmtId="3" fontId="4" fillId="3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left" indent="1"/>
    </xf>
    <xf numFmtId="1" fontId="4" fillId="3" borderId="0" xfId="0" applyNumberFormat="1" applyFont="1" applyFill="1" applyAlignment="1">
      <alignment horizontal="center"/>
    </xf>
    <xf numFmtId="6" fontId="3" fillId="3" borderId="0" xfId="0" applyNumberFormat="1" applyFont="1" applyFill="1"/>
    <xf numFmtId="0" fontId="13" fillId="0" borderId="0" xfId="0" applyFont="1" applyAlignment="1">
      <alignment horizontal="left"/>
    </xf>
    <xf numFmtId="0" fontId="12" fillId="0" borderId="0" xfId="0" applyFont="1"/>
    <xf numFmtId="0" fontId="4" fillId="0" borderId="0" xfId="0" applyFont="1"/>
    <xf numFmtId="172" fontId="6" fillId="0" borderId="0" xfId="0" applyNumberFormat="1" applyFont="1" applyAlignment="1">
      <alignment horizontal="right"/>
    </xf>
    <xf numFmtId="169" fontId="6" fillId="0" borderId="0" xfId="0" applyNumberFormat="1" applyFont="1" applyAlignment="1">
      <alignment horizontal="right"/>
    </xf>
    <xf numFmtId="169" fontId="6" fillId="7" borderId="0" xfId="0" applyNumberFormat="1" applyFont="1" applyFill="1" applyAlignment="1">
      <alignment horizontal="right"/>
    </xf>
    <xf numFmtId="169" fontId="30" fillId="0" borderId="0" xfId="0" applyNumberFormat="1" applyFont="1"/>
    <xf numFmtId="169" fontId="0" fillId="0" borderId="0" xfId="0" applyNumberFormat="1"/>
    <xf numFmtId="0" fontId="3" fillId="0" borderId="0" xfId="0" applyFont="1"/>
    <xf numFmtId="0" fontId="1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3" fontId="9" fillId="9" borderId="0" xfId="0" applyNumberFormat="1" applyFont="1" applyFill="1" applyAlignment="1">
      <alignment horizontal="right"/>
    </xf>
    <xf numFmtId="3" fontId="37" fillId="9" borderId="1" xfId="0" applyNumberFormat="1" applyFont="1" applyFill="1" applyBorder="1" applyAlignment="1">
      <alignment horizontal="right"/>
    </xf>
    <xf numFmtId="3" fontId="9" fillId="9" borderId="1" xfId="0" applyNumberFormat="1" applyFont="1" applyFill="1" applyBorder="1" applyAlignment="1">
      <alignment horizontal="right"/>
    </xf>
    <xf numFmtId="3" fontId="32" fillId="9" borderId="0" xfId="0" applyNumberFormat="1" applyFont="1" applyFill="1" applyAlignment="1">
      <alignment horizontal="right"/>
    </xf>
    <xf numFmtId="3" fontId="37" fillId="9" borderId="0" xfId="0" applyNumberFormat="1" applyFont="1" applyFill="1" applyAlignment="1">
      <alignment horizontal="right"/>
    </xf>
    <xf numFmtId="3" fontId="32" fillId="9" borderId="1" xfId="0" applyNumberFormat="1" applyFont="1" applyFill="1" applyBorder="1" applyAlignment="1">
      <alignment horizontal="right"/>
    </xf>
    <xf numFmtId="173" fontId="3" fillId="9" borderId="0" xfId="0" applyNumberFormat="1" applyFont="1" applyFill="1" applyAlignment="1">
      <alignment horizontal="right"/>
    </xf>
    <xf numFmtId="169" fontId="3" fillId="9" borderId="0" xfId="0" applyNumberFormat="1" applyFont="1" applyFill="1" applyAlignment="1">
      <alignment horizontal="right"/>
    </xf>
    <xf numFmtId="169" fontId="3" fillId="9" borderId="1" xfId="0" applyNumberFormat="1" applyFont="1" applyFill="1" applyBorder="1" applyAlignment="1">
      <alignment horizontal="right"/>
    </xf>
    <xf numFmtId="173" fontId="3" fillId="9" borderId="1" xfId="0" applyNumberFormat="1" applyFont="1" applyFill="1" applyBorder="1" applyAlignment="1">
      <alignment horizontal="right"/>
    </xf>
    <xf numFmtId="172" fontId="13" fillId="9" borderId="0" xfId="0" applyNumberFormat="1" applyFont="1" applyFill="1" applyAlignment="1">
      <alignment horizontal="right"/>
    </xf>
    <xf numFmtId="0" fontId="0" fillId="9" borderId="0" xfId="0" applyFill="1"/>
    <xf numFmtId="172" fontId="3" fillId="9" borderId="0" xfId="0" applyNumberFormat="1" applyFont="1" applyFill="1" applyAlignment="1">
      <alignment horizontal="right"/>
    </xf>
    <xf numFmtId="172" fontId="3" fillId="9" borderId="1" xfId="0" applyNumberFormat="1" applyFont="1" applyFill="1" applyBorder="1" applyAlignment="1">
      <alignment horizontal="right"/>
    </xf>
    <xf numFmtId="172" fontId="13" fillId="9" borderId="3" xfId="0" applyNumberFormat="1" applyFont="1" applyFill="1" applyBorder="1" applyAlignment="1">
      <alignment horizontal="right"/>
    </xf>
    <xf numFmtId="169" fontId="45" fillId="9" borderId="0" xfId="0" applyNumberFormat="1" applyFont="1" applyFill="1" applyAlignment="1">
      <alignment horizontal="right"/>
    </xf>
    <xf numFmtId="169" fontId="3" fillId="9" borderId="0" xfId="0" applyNumberFormat="1" applyFont="1" applyFill="1"/>
    <xf numFmtId="174" fontId="13" fillId="9" borderId="0" xfId="0" applyNumberFormat="1" applyFont="1" applyFill="1" applyAlignment="1">
      <alignment horizontal="right"/>
    </xf>
    <xf numFmtId="168" fontId="10" fillId="9" borderId="0" xfId="0" applyNumberFormat="1" applyFont="1" applyFill="1" applyAlignment="1">
      <alignment horizontal="right"/>
    </xf>
    <xf numFmtId="176" fontId="3" fillId="9" borderId="0" xfId="0" applyNumberFormat="1" applyFont="1" applyFill="1" applyAlignment="1">
      <alignment horizontal="right"/>
    </xf>
    <xf numFmtId="176" fontId="3" fillId="9" borderId="1" xfId="0" applyNumberFormat="1" applyFont="1" applyFill="1" applyBorder="1" applyAlignment="1">
      <alignment horizontal="right"/>
    </xf>
    <xf numFmtId="169" fontId="13" fillId="9" borderId="4" xfId="0" applyNumberFormat="1" applyFont="1" applyFill="1" applyBorder="1" applyAlignment="1">
      <alignment horizontal="right"/>
    </xf>
    <xf numFmtId="0" fontId="54" fillId="9" borderId="0" xfId="0" applyFont="1" applyFill="1" applyAlignment="1">
      <alignment horizontal="right"/>
    </xf>
    <xf numFmtId="10" fontId="32" fillId="9" borderId="0" xfId="0" applyNumberFormat="1" applyFont="1" applyFill="1"/>
    <xf numFmtId="43" fontId="46" fillId="9" borderId="2" xfId="1" applyFont="1" applyFill="1" applyBorder="1"/>
    <xf numFmtId="43" fontId="46" fillId="9" borderId="0" xfId="1" applyFont="1" applyFill="1"/>
    <xf numFmtId="0" fontId="56" fillId="9" borderId="7" xfId="0" applyFont="1" applyFill="1" applyBorder="1" applyAlignment="1">
      <alignment horizontal="right"/>
    </xf>
    <xf numFmtId="10" fontId="2" fillId="9" borderId="0" xfId="0" applyNumberFormat="1" applyFont="1" applyFill="1" applyAlignment="1">
      <alignment horizontal="right"/>
    </xf>
    <xf numFmtId="43" fontId="46" fillId="9" borderId="0" xfId="1" applyFont="1" applyFill="1" applyAlignment="1">
      <alignment horizontal="right"/>
    </xf>
    <xf numFmtId="177" fontId="0" fillId="9" borderId="0" xfId="0" applyNumberFormat="1" applyFill="1"/>
    <xf numFmtId="0" fontId="6" fillId="9" borderId="0" xfId="0" applyFont="1" applyFill="1"/>
    <xf numFmtId="0" fontId="66" fillId="0" borderId="0" xfId="0" applyFont="1"/>
    <xf numFmtId="1" fontId="76" fillId="0" borderId="0" xfId="0" applyNumberFormat="1" applyFont="1" applyAlignment="1">
      <alignment horizontal="left"/>
    </xf>
    <xf numFmtId="1" fontId="75" fillId="0" borderId="0" xfId="0" applyNumberFormat="1" applyFont="1"/>
    <xf numFmtId="1" fontId="75" fillId="0" borderId="0" xfId="0" applyNumberFormat="1" applyFont="1" applyAlignment="1">
      <alignment horizontal="right"/>
    </xf>
    <xf numFmtId="0" fontId="75" fillId="0" borderId="0" xfId="0" applyFont="1" applyAlignment="1">
      <alignment horizontal="right"/>
    </xf>
    <xf numFmtId="0" fontId="76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72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77" fillId="7" borderId="0" xfId="0" applyFont="1" applyFill="1"/>
    <xf numFmtId="0" fontId="77" fillId="7" borderId="0" xfId="0" applyFont="1" applyFill="1" applyAlignment="1">
      <alignment horizontal="left"/>
    </xf>
    <xf numFmtId="0" fontId="77" fillId="7" borderId="0" xfId="0" applyFont="1" applyFill="1" applyAlignment="1">
      <alignment horizontal="right"/>
    </xf>
    <xf numFmtId="0" fontId="80" fillId="0" borderId="0" xfId="0" applyFont="1" applyAlignment="1">
      <alignment horizontal="left"/>
    </xf>
    <xf numFmtId="0" fontId="81" fillId="2" borderId="0" xfId="0" applyFont="1" applyFill="1" applyAlignment="1">
      <alignment horizontal="left"/>
    </xf>
    <xf numFmtId="178" fontId="3" fillId="9" borderId="0" xfId="0" applyNumberFormat="1" applyFont="1" applyFill="1" applyAlignment="1">
      <alignment horizontal="right"/>
    </xf>
    <xf numFmtId="179" fontId="3" fillId="9" borderId="0" xfId="0" applyNumberFormat="1" applyFont="1" applyFill="1" applyAlignment="1">
      <alignment horizontal="right"/>
    </xf>
    <xf numFmtId="0" fontId="84" fillId="7" borderId="0" xfId="0" applyFont="1" applyFill="1"/>
    <xf numFmtId="0" fontId="85" fillId="0" borderId="0" xfId="0" applyFont="1" applyAlignment="1">
      <alignment horizontal="center"/>
    </xf>
    <xf numFmtId="0" fontId="83" fillId="0" borderId="0" xfId="0" applyFont="1" applyAlignment="1">
      <alignment horizontal="center"/>
    </xf>
    <xf numFmtId="0" fontId="83" fillId="7" borderId="0" xfId="0" applyFont="1" applyFill="1" applyAlignment="1">
      <alignment horizontal="center"/>
    </xf>
    <xf numFmtId="0" fontId="78" fillId="7" borderId="0" xfId="0" applyFont="1" applyFill="1" applyAlignment="1">
      <alignment horizontal="center"/>
    </xf>
    <xf numFmtId="180" fontId="79" fillId="7" borderId="0" xfId="0" applyNumberFormat="1" applyFont="1" applyFill="1" applyAlignment="1">
      <alignment horizontal="center"/>
    </xf>
    <xf numFmtId="0" fontId="82" fillId="2" borderId="0" xfId="0" applyFont="1" applyFill="1" applyAlignment="1">
      <alignment horizontal="right"/>
    </xf>
    <xf numFmtId="179" fontId="13" fillId="9" borderId="0" xfId="0" applyNumberFormat="1" applyFont="1" applyFill="1" applyAlignment="1">
      <alignment horizontal="right"/>
    </xf>
    <xf numFmtId="10" fontId="3" fillId="8" borderId="0" xfId="0" applyNumberFormat="1" applyFont="1" applyFill="1" applyAlignment="1">
      <alignment horizontal="right"/>
    </xf>
    <xf numFmtId="181" fontId="3" fillId="8" borderId="0" xfId="0" applyNumberFormat="1" applyFont="1" applyFill="1" applyAlignment="1">
      <alignment horizontal="right"/>
    </xf>
    <xf numFmtId="10" fontId="13" fillId="8" borderId="0" xfId="0" applyNumberFormat="1" applyFont="1" applyFill="1" applyAlignment="1">
      <alignment horizontal="right"/>
    </xf>
    <xf numFmtId="169" fontId="3" fillId="8" borderId="0" xfId="0" applyNumberFormat="1" applyFont="1" applyFill="1" applyAlignment="1">
      <alignment horizontal="right"/>
    </xf>
    <xf numFmtId="179" fontId="3" fillId="8" borderId="0" xfId="0" applyNumberFormat="1" applyFont="1" applyFill="1" applyAlignment="1">
      <alignment horizontal="right"/>
    </xf>
    <xf numFmtId="179" fontId="13" fillId="8" borderId="0" xfId="0" applyNumberFormat="1" applyFont="1" applyFill="1" applyAlignment="1">
      <alignment horizontal="right"/>
    </xf>
    <xf numFmtId="173" fontId="3" fillId="8" borderId="0" xfId="0" applyNumberFormat="1" applyFont="1" applyFill="1" applyAlignment="1">
      <alignment horizontal="right"/>
    </xf>
    <xf numFmtId="174" fontId="6" fillId="0" borderId="0" xfId="0" applyNumberFormat="1" applyFont="1" applyAlignment="1">
      <alignment horizontal="right"/>
    </xf>
    <xf numFmtId="0" fontId="17" fillId="10" borderId="0" xfId="0" applyFont="1" applyFill="1" applyAlignment="1">
      <alignment horizontal="right"/>
    </xf>
    <xf numFmtId="0" fontId="86" fillId="10" borderId="0" xfId="0" applyFont="1" applyFill="1" applyAlignment="1">
      <alignment horizontal="right"/>
    </xf>
    <xf numFmtId="0" fontId="88" fillId="10" borderId="0" xfId="0" applyFont="1" applyFill="1" applyAlignment="1">
      <alignment horizontal="right"/>
    </xf>
    <xf numFmtId="3" fontId="3" fillId="9" borderId="0" xfId="0" applyNumberFormat="1" applyFont="1" applyFill="1" applyAlignment="1">
      <alignment horizontal="right"/>
    </xf>
    <xf numFmtId="3" fontId="13" fillId="9" borderId="0" xfId="0" applyNumberFormat="1" applyFont="1" applyFill="1" applyAlignment="1">
      <alignment horizontal="right"/>
    </xf>
    <xf numFmtId="3" fontId="13" fillId="9" borderId="5" xfId="0" applyNumberFormat="1" applyFont="1" applyFill="1" applyBorder="1" applyAlignment="1">
      <alignment horizontal="right"/>
    </xf>
    <xf numFmtId="49" fontId="13" fillId="9" borderId="0" xfId="0" applyNumberFormat="1" applyFont="1" applyFill="1" applyAlignment="1">
      <alignment horizontal="right"/>
    </xf>
    <xf numFmtId="0" fontId="17" fillId="10" borderId="0" xfId="0" applyFont="1" applyFill="1"/>
    <xf numFmtId="0" fontId="86" fillId="10" borderId="0" xfId="0" applyFont="1" applyFill="1" applyAlignment="1">
      <alignment horizontal="left"/>
    </xf>
    <xf numFmtId="0" fontId="86" fillId="10" borderId="0" xfId="0" applyFont="1" applyFill="1"/>
    <xf numFmtId="3" fontId="46" fillId="9" borderId="0" xfId="0" applyNumberFormat="1" applyFont="1" applyFill="1"/>
    <xf numFmtId="3" fontId="89" fillId="9" borderId="0" xfId="0" applyNumberFormat="1" applyFont="1" applyFill="1"/>
    <xf numFmtId="169" fontId="91" fillId="9" borderId="0" xfId="0" applyNumberFormat="1" applyFont="1" applyFill="1"/>
    <xf numFmtId="49" fontId="91" fillId="9" borderId="0" xfId="0" applyNumberFormat="1" applyFont="1" applyFill="1"/>
    <xf numFmtId="182" fontId="18" fillId="0" borderId="0" xfId="0" applyNumberFormat="1" applyFont="1" applyAlignment="1">
      <alignment horizontal="center"/>
    </xf>
    <xf numFmtId="0" fontId="92" fillId="3" borderId="0" xfId="0" applyFont="1" applyFill="1" applyAlignment="1">
      <alignment horizontal="right"/>
    </xf>
    <xf numFmtId="0" fontId="94" fillId="7" borderId="0" xfId="0" applyFont="1" applyFill="1"/>
    <xf numFmtId="3" fontId="96" fillId="7" borderId="0" xfId="0" applyNumberFormat="1" applyFont="1" applyFill="1" applyAlignment="1">
      <alignment horizontal="right"/>
    </xf>
    <xf numFmtId="3" fontId="95" fillId="7" borderId="3" xfId="0" applyNumberFormat="1" applyFont="1" applyFill="1" applyBorder="1" applyAlignment="1">
      <alignment horizontal="right"/>
    </xf>
    <xf numFmtId="10" fontId="96" fillId="7" borderId="0" xfId="0" applyNumberFormat="1" applyFont="1" applyFill="1" applyAlignment="1">
      <alignment horizontal="right"/>
    </xf>
    <xf numFmtId="0" fontId="98" fillId="7" borderId="0" xfId="0" applyFont="1" applyFill="1" applyAlignment="1">
      <alignment horizontal="right"/>
    </xf>
    <xf numFmtId="0" fontId="47" fillId="7" borderId="0" xfId="0" applyFont="1" applyFill="1"/>
    <xf numFmtId="0" fontId="90" fillId="7" borderId="9" xfId="0" applyFont="1" applyFill="1" applyBorder="1" applyAlignment="1">
      <alignment horizontal="left"/>
    </xf>
    <xf numFmtId="0" fontId="90" fillId="7" borderId="0" xfId="0" applyFont="1" applyFill="1" applyAlignment="1">
      <alignment horizontal="left"/>
    </xf>
    <xf numFmtId="3" fontId="32" fillId="9" borderId="0" xfId="1" applyNumberFormat="1" applyFont="1" applyFill="1"/>
    <xf numFmtId="3" fontId="99" fillId="8" borderId="0" xfId="0" applyNumberFormat="1" applyFont="1" applyFill="1" applyAlignment="1">
      <alignment horizontal="right"/>
    </xf>
    <xf numFmtId="3" fontId="96" fillId="8" borderId="0" xfId="0" applyNumberFormat="1" applyFont="1" applyFill="1" applyAlignment="1">
      <alignment horizontal="right"/>
    </xf>
    <xf numFmtId="3" fontId="100" fillId="8" borderId="0" xfId="0" applyNumberFormat="1" applyFont="1" applyFill="1" applyAlignment="1">
      <alignment horizontal="right"/>
    </xf>
    <xf numFmtId="10" fontId="99" fillId="8" borderId="0" xfId="0" applyNumberFormat="1" applyFont="1" applyFill="1" applyAlignment="1">
      <alignment horizontal="right"/>
    </xf>
    <xf numFmtId="0" fontId="1" fillId="0" borderId="0" xfId="0" applyFont="1"/>
    <xf numFmtId="1" fontId="1" fillId="0" borderId="0" xfId="0" applyNumberFormat="1" applyFont="1"/>
    <xf numFmtId="3" fontId="9" fillId="0" borderId="0" xfId="0" applyNumberFormat="1" applyFont="1" applyAlignment="1">
      <alignment horizontal="right"/>
    </xf>
    <xf numFmtId="2" fontId="9" fillId="0" borderId="0" xfId="0" applyNumberFormat="1" applyFont="1" applyAlignment="1">
      <alignment horizontal="right"/>
    </xf>
    <xf numFmtId="10" fontId="9" fillId="0" borderId="0" xfId="0" applyNumberFormat="1" applyFont="1" applyAlignment="1">
      <alignment horizontal="right"/>
    </xf>
    <xf numFmtId="10" fontId="9" fillId="9" borderId="0" xfId="0" applyNumberFormat="1" applyFont="1" applyFill="1" applyAlignment="1">
      <alignment horizontal="right"/>
    </xf>
    <xf numFmtId="172" fontId="10" fillId="0" borderId="0" xfId="0" applyNumberFormat="1" applyFont="1" applyAlignment="1">
      <alignment horizontal="right"/>
    </xf>
    <xf numFmtId="168" fontId="9" fillId="8" borderId="0" xfId="0" applyNumberFormat="1" applyFont="1" applyFill="1" applyAlignment="1">
      <alignment horizontal="right"/>
    </xf>
    <xf numFmtId="175" fontId="3" fillId="8" borderId="0" xfId="0" applyNumberFormat="1" applyFont="1" applyFill="1" applyAlignment="1">
      <alignment horizontal="right"/>
    </xf>
    <xf numFmtId="175" fontId="3" fillId="8" borderId="1" xfId="0" applyNumberFormat="1" applyFont="1" applyFill="1" applyBorder="1" applyAlignment="1">
      <alignment horizontal="right"/>
    </xf>
    <xf numFmtId="0" fontId="1" fillId="7" borderId="0" xfId="0" applyFont="1" applyFill="1"/>
    <xf numFmtId="0" fontId="95" fillId="0" borderId="0" xfId="0" applyFont="1" applyAlignment="1">
      <alignment horizontal="center"/>
    </xf>
    <xf numFmtId="0" fontId="6" fillId="10" borderId="0" xfId="0" applyFont="1" applyFill="1"/>
    <xf numFmtId="0" fontId="4" fillId="10" borderId="0" xfId="0" applyFont="1" applyFill="1"/>
    <xf numFmtId="0" fontId="10" fillId="10" borderId="0" xfId="0" applyFont="1" applyFill="1"/>
    <xf numFmtId="0" fontId="0" fillId="10" borderId="0" xfId="0" applyFill="1"/>
    <xf numFmtId="0" fontId="12" fillId="10" borderId="0" xfId="0" applyFont="1" applyFill="1"/>
    <xf numFmtId="0" fontId="66" fillId="10" borderId="0" xfId="2" applyFont="1" applyFill="1"/>
    <xf numFmtId="0" fontId="49" fillId="10" borderId="0" xfId="2" applyFont="1" applyFill="1"/>
    <xf numFmtId="0" fontId="67" fillId="10" borderId="0" xfId="0" applyFont="1" applyFill="1"/>
    <xf numFmtId="0" fontId="47" fillId="10" borderId="0" xfId="2" applyFont="1" applyFill="1"/>
    <xf numFmtId="0" fontId="44" fillId="10" borderId="0" xfId="2" applyFont="1" applyFill="1"/>
    <xf numFmtId="0" fontId="55" fillId="7" borderId="0" xfId="2" applyFont="1" applyFill="1"/>
    <xf numFmtId="0" fontId="12" fillId="0" borderId="0" xfId="0" applyFont="1" applyAlignment="1">
      <alignment horizontal="right"/>
    </xf>
    <xf numFmtId="0" fontId="78" fillId="2" borderId="0" xfId="0" applyFont="1" applyFill="1"/>
    <xf numFmtId="0" fontId="7" fillId="3" borderId="0" xfId="0" applyFont="1" applyFill="1" applyAlignment="1">
      <alignment horizontal="left"/>
    </xf>
    <xf numFmtId="0" fontId="78" fillId="0" borderId="0" xfId="0" applyFont="1" applyAlignment="1">
      <alignment horizontal="right"/>
    </xf>
    <xf numFmtId="0" fontId="38" fillId="3" borderId="0" xfId="0" applyFont="1" applyFill="1" applyAlignment="1">
      <alignment horizontal="left"/>
    </xf>
    <xf numFmtId="180" fontId="18" fillId="0" borderId="0" xfId="0" applyNumberFormat="1" applyFont="1" applyAlignment="1">
      <alignment horizontal="center"/>
    </xf>
    <xf numFmtId="180" fontId="19" fillId="0" borderId="0" xfId="0" applyNumberFormat="1" applyFont="1" applyAlignment="1">
      <alignment horizontal="center"/>
    </xf>
    <xf numFmtId="180" fontId="19" fillId="7" borderId="0" xfId="0" applyNumberFormat="1" applyFont="1" applyFill="1" applyAlignment="1">
      <alignment horizontal="center"/>
    </xf>
    <xf numFmtId="180" fontId="40" fillId="7" borderId="0" xfId="0" applyNumberFormat="1" applyFont="1" applyFill="1" applyAlignment="1">
      <alignment horizontal="center"/>
    </xf>
    <xf numFmtId="180" fontId="85" fillId="7" borderId="0" xfId="0" applyNumberFormat="1" applyFont="1" applyFill="1" applyAlignment="1">
      <alignment horizontal="center"/>
    </xf>
    <xf numFmtId="0" fontId="102" fillId="2" borderId="0" xfId="0" applyFont="1" applyFill="1" applyAlignment="1">
      <alignment horizontal="left"/>
    </xf>
    <xf numFmtId="0" fontId="104" fillId="7" borderId="0" xfId="0" applyFont="1" applyFill="1" applyAlignment="1">
      <alignment horizontal="left"/>
    </xf>
    <xf numFmtId="0" fontId="105" fillId="7" borderId="0" xfId="0" applyFont="1" applyFill="1" applyAlignment="1">
      <alignment horizontal="center"/>
    </xf>
    <xf numFmtId="0" fontId="106" fillId="7" borderId="0" xfId="0" applyFont="1" applyFill="1" applyAlignment="1">
      <alignment horizontal="left"/>
    </xf>
    <xf numFmtId="0" fontId="104" fillId="7" borderId="0" xfId="0" applyFont="1" applyFill="1" applyAlignment="1">
      <alignment horizontal="left" indent="1"/>
    </xf>
    <xf numFmtId="0" fontId="103" fillId="2" borderId="0" xfId="0" applyFont="1" applyFill="1" applyAlignment="1">
      <alignment horizontal="left"/>
    </xf>
    <xf numFmtId="184" fontId="3" fillId="9" borderId="0" xfId="0" applyNumberFormat="1" applyFont="1" applyFill="1" applyAlignment="1">
      <alignment horizontal="right"/>
    </xf>
    <xf numFmtId="0" fontId="46" fillId="9" borderId="0" xfId="0" applyFont="1" applyFill="1" applyAlignment="1">
      <alignment horizontal="left"/>
    </xf>
    <xf numFmtId="1" fontId="3" fillId="9" borderId="0" xfId="0" applyNumberFormat="1" applyFont="1" applyFill="1"/>
    <xf numFmtId="0" fontId="109" fillId="7" borderId="0" xfId="0" applyFont="1" applyFill="1" applyAlignment="1">
      <alignment horizontal="left"/>
    </xf>
    <xf numFmtId="0" fontId="18" fillId="2" borderId="0" xfId="0" applyFont="1" applyFill="1" applyAlignment="1">
      <alignment horizontal="center"/>
    </xf>
    <xf numFmtId="0" fontId="49" fillId="2" borderId="0" xfId="0" applyFont="1" applyFill="1"/>
    <xf numFmtId="169" fontId="111" fillId="7" borderId="0" xfId="0" applyNumberFormat="1" applyFont="1" applyFill="1" applyAlignment="1">
      <alignment horizontal="left"/>
    </xf>
    <xf numFmtId="0" fontId="110" fillId="7" borderId="0" xfId="0" applyFont="1" applyFill="1" applyAlignment="1">
      <alignment horizontal="left"/>
    </xf>
    <xf numFmtId="0" fontId="107" fillId="9" borderId="0" xfId="0" applyFont="1" applyFill="1" applyAlignment="1">
      <alignment horizontal="right"/>
    </xf>
    <xf numFmtId="0" fontId="8" fillId="2" borderId="0" xfId="0" applyFont="1" applyFill="1" applyAlignment="1">
      <alignment horizontal="left" indent="1"/>
    </xf>
    <xf numFmtId="0" fontId="112" fillId="7" borderId="0" xfId="0" applyFont="1" applyFill="1" applyAlignment="1">
      <alignment horizontal="left"/>
    </xf>
    <xf numFmtId="172" fontId="104" fillId="9" borderId="0" xfId="0" applyNumberFormat="1" applyFont="1" applyFill="1" applyAlignment="1">
      <alignment horizontal="right"/>
    </xf>
    <xf numFmtId="172" fontId="106" fillId="9" borderId="0" xfId="0" applyNumberFormat="1" applyFont="1" applyFill="1" applyAlignment="1">
      <alignment horizontal="right"/>
    </xf>
    <xf numFmtId="0" fontId="113" fillId="2" borderId="0" xfId="0" applyFont="1" applyFill="1" applyAlignment="1">
      <alignment horizontal="left"/>
    </xf>
    <xf numFmtId="1" fontId="108" fillId="9" borderId="0" xfId="0" applyNumberFormat="1" applyFont="1" applyFill="1" applyAlignment="1">
      <alignment horizontal="right"/>
    </xf>
    <xf numFmtId="1" fontId="108" fillId="5" borderId="11" xfId="0" applyNumberFormat="1" applyFont="1" applyFill="1" applyBorder="1" applyAlignment="1">
      <alignment horizontal="right"/>
    </xf>
    <xf numFmtId="169" fontId="3" fillId="0" borderId="0" xfId="0" applyNumberFormat="1" applyFont="1"/>
    <xf numFmtId="169" fontId="45" fillId="0" borderId="0" xfId="0" applyNumberFormat="1" applyFont="1" applyAlignment="1">
      <alignment horizontal="right"/>
    </xf>
    <xf numFmtId="1" fontId="3" fillId="0" borderId="0" xfId="0" applyNumberFormat="1" applyFont="1" applyAlignment="1">
      <alignment horizontal="right"/>
    </xf>
    <xf numFmtId="0" fontId="32" fillId="7" borderId="0" xfId="0" applyFont="1" applyFill="1" applyAlignment="1">
      <alignment horizontal="centerContinuous"/>
    </xf>
    <xf numFmtId="172" fontId="13" fillId="0" borderId="0" xfId="0" applyNumberFormat="1" applyFont="1" applyAlignment="1">
      <alignment horizontal="right"/>
    </xf>
    <xf numFmtId="172" fontId="106" fillId="9" borderId="3" xfId="0" applyNumberFormat="1" applyFont="1" applyFill="1" applyBorder="1" applyAlignment="1">
      <alignment horizontal="right"/>
    </xf>
    <xf numFmtId="0" fontId="102" fillId="0" borderId="6" xfId="0" applyFont="1" applyBorder="1" applyAlignment="1">
      <alignment horizontal="centerContinuous"/>
    </xf>
    <xf numFmtId="2" fontId="106" fillId="7" borderId="0" xfId="0" applyNumberFormat="1" applyFont="1" applyFill="1" applyAlignment="1">
      <alignment horizontal="left"/>
    </xf>
    <xf numFmtId="0" fontId="54" fillId="9" borderId="0" xfId="0" applyFont="1" applyFill="1" applyAlignment="1">
      <alignment horizontal="left"/>
    </xf>
    <xf numFmtId="0" fontId="115" fillId="8" borderId="0" xfId="0" applyFont="1" applyFill="1" applyAlignment="1">
      <alignment horizontal="center"/>
    </xf>
    <xf numFmtId="0" fontId="116" fillId="8" borderId="0" xfId="0" applyFont="1" applyFill="1" applyAlignment="1">
      <alignment horizontal="center"/>
    </xf>
    <xf numFmtId="0" fontId="102" fillId="0" borderId="0" xfId="0" applyFont="1" applyAlignment="1">
      <alignment horizontal="centerContinuous"/>
    </xf>
    <xf numFmtId="0" fontId="114" fillId="0" borderId="0" xfId="0" applyFont="1" applyAlignment="1">
      <alignment horizontal="right"/>
    </xf>
    <xf numFmtId="0" fontId="93" fillId="7" borderId="0" xfId="0" applyFont="1" applyFill="1"/>
    <xf numFmtId="0" fontId="49" fillId="7" borderId="0" xfId="0" applyFont="1" applyFill="1" applyAlignment="1">
      <alignment horizontal="centerContinuous"/>
    </xf>
    <xf numFmtId="0" fontId="47" fillId="7" borderId="0" xfId="0" applyFont="1" applyFill="1" applyAlignment="1">
      <alignment horizontal="left"/>
    </xf>
    <xf numFmtId="0" fontId="46" fillId="0" borderId="0" xfId="0" applyFont="1"/>
    <xf numFmtId="172" fontId="13" fillId="7" borderId="0" xfId="0" applyNumberFormat="1" applyFont="1" applyFill="1" applyAlignment="1">
      <alignment horizontal="right"/>
    </xf>
    <xf numFmtId="172" fontId="3" fillId="9" borderId="14" xfId="0" applyNumberFormat="1" applyFont="1" applyFill="1" applyBorder="1" applyAlignment="1">
      <alignment horizontal="right"/>
    </xf>
    <xf numFmtId="172" fontId="13" fillId="9" borderId="7" xfId="0" applyNumberFormat="1" applyFont="1" applyFill="1" applyBorder="1" applyAlignment="1">
      <alignment horizontal="right"/>
    </xf>
    <xf numFmtId="0" fontId="114" fillId="10" borderId="0" xfId="0" applyFont="1" applyFill="1" applyAlignment="1">
      <alignment horizontal="right"/>
    </xf>
    <xf numFmtId="0" fontId="117" fillId="10" borderId="0" xfId="0" applyFont="1" applyFill="1" applyAlignment="1">
      <alignment horizontal="right"/>
    </xf>
    <xf numFmtId="172" fontId="13" fillId="9" borderId="15" xfId="0" applyNumberFormat="1" applyFont="1" applyFill="1" applyBorder="1" applyAlignment="1">
      <alignment horizontal="right"/>
    </xf>
    <xf numFmtId="0" fontId="97" fillId="0" borderId="0" xfId="0" applyFont="1"/>
    <xf numFmtId="3" fontId="97" fillId="0" borderId="0" xfId="0" applyNumberFormat="1" applyFont="1"/>
    <xf numFmtId="3" fontId="95" fillId="8" borderId="3" xfId="0" applyNumberFormat="1" applyFont="1" applyFill="1" applyBorder="1" applyAlignment="1">
      <alignment horizontal="right"/>
    </xf>
    <xf numFmtId="169" fontId="12" fillId="0" borderId="0" xfId="0" applyNumberFormat="1" applyFont="1" applyAlignment="1">
      <alignment horizontal="right"/>
    </xf>
    <xf numFmtId="0" fontId="101" fillId="0" borderId="0" xfId="0" applyFont="1" applyAlignment="1">
      <alignment horizontal="right"/>
    </xf>
    <xf numFmtId="10" fontId="1" fillId="0" borderId="0" xfId="0" applyNumberFormat="1" applyFont="1" applyAlignment="1">
      <alignment horizontal="right"/>
    </xf>
    <xf numFmtId="43" fontId="1" fillId="0" borderId="0" xfId="1" applyFont="1"/>
    <xf numFmtId="3" fontId="88" fillId="0" borderId="0" xfId="0" applyNumberFormat="1" applyFont="1" applyAlignment="1">
      <alignment horizontal="right"/>
    </xf>
    <xf numFmtId="1" fontId="88" fillId="0" borderId="0" xfId="0" applyNumberFormat="1" applyFont="1" applyAlignment="1">
      <alignment horizontal="right"/>
    </xf>
    <xf numFmtId="0" fontId="87" fillId="0" borderId="0" xfId="0" applyFont="1" applyAlignment="1">
      <alignment horizontal="right"/>
    </xf>
    <xf numFmtId="0" fontId="4" fillId="5" borderId="0" xfId="0" applyFont="1" applyFill="1" applyAlignment="1">
      <alignment horizontal="left"/>
    </xf>
    <xf numFmtId="169" fontId="88" fillId="0" borderId="0" xfId="0" applyNumberFormat="1" applyFont="1" applyFill="1" applyAlignment="1">
      <alignment horizontal="right"/>
    </xf>
    <xf numFmtId="169" fontId="3" fillId="0" borderId="0" xfId="0" applyNumberFormat="1" applyFont="1" applyFill="1" applyAlignment="1">
      <alignment horizontal="right"/>
    </xf>
    <xf numFmtId="169" fontId="3" fillId="0" borderId="0" xfId="0" applyNumberFormat="1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3" fontId="45" fillId="9" borderId="0" xfId="0" applyNumberFormat="1" applyFont="1" applyFill="1" applyAlignment="1">
      <alignment horizontal="right"/>
    </xf>
    <xf numFmtId="3" fontId="45" fillId="9" borderId="1" xfId="0" applyNumberFormat="1" applyFont="1" applyFill="1" applyBorder="1" applyAlignment="1">
      <alignment horizontal="right"/>
    </xf>
    <xf numFmtId="2" fontId="45" fillId="9" borderId="0" xfId="0" applyNumberFormat="1" applyFont="1" applyFill="1" applyAlignment="1">
      <alignment horizontal="right"/>
    </xf>
    <xf numFmtId="10" fontId="45" fillId="9" borderId="0" xfId="0" applyNumberFormat="1" applyFont="1" applyFill="1" applyAlignment="1">
      <alignment horizontal="right"/>
    </xf>
    <xf numFmtId="10" fontId="45" fillId="8" borderId="0" xfId="0" applyNumberFormat="1" applyFont="1" applyFill="1" applyAlignment="1">
      <alignment horizontal="right"/>
    </xf>
    <xf numFmtId="0" fontId="118" fillId="0" borderId="0" xfId="0" applyFont="1"/>
    <xf numFmtId="3" fontId="13" fillId="9" borderId="3" xfId="0" applyNumberFormat="1" applyFont="1" applyFill="1" applyBorder="1" applyAlignment="1">
      <alignment horizontal="right"/>
    </xf>
    <xf numFmtId="10" fontId="3" fillId="9" borderId="0" xfId="0" applyNumberFormat="1" applyFont="1" applyFill="1" applyAlignment="1">
      <alignment horizontal="right"/>
    </xf>
    <xf numFmtId="0" fontId="119" fillId="7" borderId="0" xfId="0" applyFont="1" applyFill="1" applyAlignment="1">
      <alignment horizontal="right"/>
    </xf>
    <xf numFmtId="0" fontId="89" fillId="0" borderId="0" xfId="0" applyFont="1" applyAlignment="1">
      <alignment horizontal="right"/>
    </xf>
    <xf numFmtId="0" fontId="13" fillId="3" borderId="0" xfId="0" applyFont="1" applyFill="1"/>
    <xf numFmtId="173" fontId="3" fillId="0" borderId="0" xfId="0" applyNumberFormat="1" applyFont="1" applyAlignment="1">
      <alignment horizontal="right"/>
    </xf>
    <xf numFmtId="173" fontId="120" fillId="9" borderId="0" xfId="0" applyNumberFormat="1" applyFont="1" applyFill="1" applyAlignment="1">
      <alignment horizontal="right"/>
    </xf>
    <xf numFmtId="183" fontId="3" fillId="9" borderId="0" xfId="0" applyNumberFormat="1" applyFont="1" applyFill="1" applyAlignment="1">
      <alignment horizontal="right"/>
    </xf>
    <xf numFmtId="169" fontId="3" fillId="0" borderId="0" xfId="0" applyNumberFormat="1" applyFont="1" applyAlignment="1">
      <alignment horizontal="right"/>
    </xf>
    <xf numFmtId="173" fontId="13" fillId="9" borderId="0" xfId="0" applyNumberFormat="1" applyFont="1" applyFill="1" applyAlignment="1">
      <alignment horizontal="right"/>
    </xf>
    <xf numFmtId="169" fontId="13" fillId="9" borderId="0" xfId="0" applyNumberFormat="1" applyFont="1" applyFill="1" applyAlignment="1">
      <alignment horizontal="right"/>
    </xf>
    <xf numFmtId="10" fontId="3" fillId="0" borderId="0" xfId="0" applyNumberFormat="1" applyFont="1" applyAlignment="1">
      <alignment horizontal="right"/>
    </xf>
    <xf numFmtId="0" fontId="56" fillId="3" borderId="0" xfId="0" applyFont="1" applyFill="1" applyAlignment="1">
      <alignment horizontal="left"/>
    </xf>
    <xf numFmtId="0" fontId="46" fillId="9" borderId="0" xfId="0" applyFont="1" applyFill="1" applyAlignment="1">
      <alignment horizontal="right"/>
    </xf>
    <xf numFmtId="10" fontId="89" fillId="9" borderId="0" xfId="0" applyNumberFormat="1" applyFont="1" applyFill="1" applyAlignment="1">
      <alignment horizontal="right"/>
    </xf>
    <xf numFmtId="0" fontId="89" fillId="9" borderId="0" xfId="0" applyFont="1" applyFill="1" applyAlignment="1">
      <alignment horizontal="right"/>
    </xf>
    <xf numFmtId="43" fontId="89" fillId="9" borderId="0" xfId="1" applyFont="1" applyFill="1" applyAlignment="1">
      <alignment horizontal="right"/>
    </xf>
    <xf numFmtId="0" fontId="89" fillId="0" borderId="0" xfId="0" applyFont="1"/>
    <xf numFmtId="172" fontId="89" fillId="8" borderId="0" xfId="0" applyNumberFormat="1" applyFont="1" applyFill="1" applyAlignment="1">
      <alignment horizontal="right"/>
    </xf>
    <xf numFmtId="0" fontId="89" fillId="8" borderId="0" xfId="0" applyFont="1" applyFill="1" applyAlignment="1">
      <alignment horizontal="right"/>
    </xf>
    <xf numFmtId="3" fontId="89" fillId="8" borderId="0" xfId="0" applyNumberFormat="1" applyFont="1" applyFill="1" applyAlignment="1">
      <alignment horizontal="right"/>
    </xf>
    <xf numFmtId="169" fontId="89" fillId="8" borderId="0" xfId="0" applyNumberFormat="1" applyFont="1" applyFill="1" applyAlignment="1">
      <alignment horizontal="right"/>
    </xf>
    <xf numFmtId="1" fontId="45" fillId="9" borderId="0" xfId="0" applyNumberFormat="1" applyFont="1" applyFill="1" applyAlignment="1">
      <alignment horizontal="right"/>
    </xf>
    <xf numFmtId="10" fontId="121" fillId="3" borderId="0" xfId="0" applyNumberFormat="1" applyFont="1" applyFill="1" applyAlignment="1">
      <alignment horizontal="center"/>
    </xf>
    <xf numFmtId="9" fontId="118" fillId="0" borderId="0" xfId="0" applyNumberFormat="1" applyFont="1"/>
    <xf numFmtId="9" fontId="118" fillId="0" borderId="0" xfId="0" applyNumberFormat="1" applyFont="1" applyAlignment="1">
      <alignment horizontal="right"/>
    </xf>
    <xf numFmtId="9" fontId="118" fillId="0" borderId="0" xfId="0" applyNumberFormat="1" applyFont="1" applyAlignment="1">
      <alignment horizontal="left"/>
    </xf>
    <xf numFmtId="0" fontId="13" fillId="3" borderId="0" xfId="0" applyFont="1" applyFill="1" applyAlignment="1">
      <alignment horizontal="right"/>
    </xf>
    <xf numFmtId="180" fontId="40" fillId="0" borderId="0" xfId="0" applyNumberFormat="1" applyFont="1" applyAlignment="1">
      <alignment horizontal="center"/>
    </xf>
    <xf numFmtId="180" fontId="122" fillId="0" borderId="0" xfId="0" applyNumberFormat="1" applyFont="1" applyAlignment="1">
      <alignment horizontal="center"/>
    </xf>
    <xf numFmtId="0" fontId="40" fillId="0" borderId="0" xfId="0" applyFont="1" applyAlignment="1">
      <alignment horizontal="center"/>
    </xf>
    <xf numFmtId="186" fontId="3" fillId="9" borderId="0" xfId="0" applyNumberFormat="1" applyFont="1" applyFill="1" applyAlignment="1">
      <alignment horizontal="right"/>
    </xf>
    <xf numFmtId="169" fontId="13" fillId="0" borderId="0" xfId="0" applyNumberFormat="1" applyFont="1" applyAlignment="1">
      <alignment horizontal="right"/>
    </xf>
    <xf numFmtId="186" fontId="13" fillId="9" borderId="0" xfId="0" applyNumberFormat="1" applyFont="1" applyFill="1" applyAlignment="1">
      <alignment horizontal="right"/>
    </xf>
    <xf numFmtId="0" fontId="122" fillId="0" borderId="0" xfId="0" applyFont="1" applyAlignment="1">
      <alignment horizontal="center"/>
    </xf>
    <xf numFmtId="180" fontId="122" fillId="7" borderId="0" xfId="0" applyNumberFormat="1" applyFont="1" applyFill="1" applyAlignment="1">
      <alignment horizontal="center"/>
    </xf>
    <xf numFmtId="172" fontId="13" fillId="0" borderId="0" xfId="0" applyNumberFormat="1" applyFont="1" applyFill="1" applyAlignment="1">
      <alignment horizontal="right"/>
    </xf>
    <xf numFmtId="0" fontId="40" fillId="7" borderId="0" xfId="0" applyFont="1" applyFill="1" applyAlignment="1">
      <alignment horizontal="center"/>
    </xf>
    <xf numFmtId="0" fontId="122" fillId="7" borderId="0" xfId="0" applyFont="1" applyFill="1" applyAlignment="1">
      <alignment horizontal="center"/>
    </xf>
    <xf numFmtId="0" fontId="123" fillId="10" borderId="0" xfId="0" applyFont="1" applyFill="1" applyAlignment="1">
      <alignment horizontal="right"/>
    </xf>
    <xf numFmtId="0" fontId="123" fillId="2" borderId="0" xfId="0" applyFont="1" applyFill="1" applyAlignment="1">
      <alignment horizontal="right"/>
    </xf>
    <xf numFmtId="179" fontId="13" fillId="10" borderId="0" xfId="0" applyNumberFormat="1" applyFont="1" applyFill="1" applyAlignment="1">
      <alignment horizontal="right"/>
    </xf>
    <xf numFmtId="0" fontId="122" fillId="3" borderId="0" xfId="0" applyFont="1" applyFill="1" applyAlignment="1">
      <alignment horizontal="center"/>
    </xf>
    <xf numFmtId="179" fontId="3" fillId="10" borderId="0" xfId="0" applyNumberFormat="1" applyFont="1" applyFill="1" applyAlignment="1">
      <alignment horizontal="right"/>
    </xf>
    <xf numFmtId="10" fontId="122" fillId="3" borderId="0" xfId="0" applyNumberFormat="1" applyFont="1" applyFill="1" applyAlignment="1">
      <alignment horizontal="center"/>
    </xf>
    <xf numFmtId="169" fontId="40" fillId="9" borderId="13" xfId="0" applyNumberFormat="1" applyFont="1" applyFill="1" applyBorder="1" applyAlignment="1">
      <alignment horizontal="center"/>
    </xf>
    <xf numFmtId="174" fontId="3" fillId="9" borderId="10" xfId="0" applyNumberFormat="1" applyFont="1" applyFill="1" applyBorder="1" applyAlignment="1">
      <alignment horizontal="right"/>
    </xf>
    <xf numFmtId="179" fontId="3" fillId="7" borderId="0" xfId="0" applyNumberFormat="1" applyFont="1" applyFill="1" applyAlignment="1">
      <alignment horizontal="right"/>
    </xf>
    <xf numFmtId="169" fontId="40" fillId="9" borderId="12" xfId="0" applyNumberFormat="1" applyFont="1" applyFill="1" applyBorder="1" applyAlignment="1">
      <alignment horizontal="center"/>
    </xf>
    <xf numFmtId="174" fontId="3" fillId="9" borderId="0" xfId="0" applyNumberFormat="1" applyFont="1" applyFill="1" applyAlignment="1">
      <alignment horizontal="right"/>
    </xf>
    <xf numFmtId="169" fontId="122" fillId="9" borderId="12" xfId="0" applyNumberFormat="1" applyFont="1" applyFill="1" applyBorder="1" applyAlignment="1">
      <alignment horizontal="center"/>
    </xf>
    <xf numFmtId="174" fontId="13" fillId="5" borderId="0" xfId="0" applyNumberFormat="1" applyFont="1" applyFill="1" applyAlignment="1">
      <alignment horizontal="right"/>
    </xf>
    <xf numFmtId="179" fontId="13" fillId="7" borderId="0" xfId="0" applyNumberFormat="1" applyFont="1" applyFill="1" applyAlignment="1">
      <alignment horizontal="right"/>
    </xf>
    <xf numFmtId="167" fontId="3" fillId="9" borderId="0" xfId="0" applyNumberFormat="1" applyFont="1" applyFill="1" applyAlignment="1">
      <alignment horizontal="right"/>
    </xf>
    <xf numFmtId="168" fontId="13" fillId="9" borderId="0" xfId="0" applyNumberFormat="1" applyFont="1" applyFill="1" applyAlignment="1">
      <alignment horizontal="right"/>
    </xf>
    <xf numFmtId="164" fontId="89" fillId="9" borderId="0" xfId="0" applyNumberFormat="1" applyFont="1" applyFill="1" applyAlignment="1">
      <alignment horizontal="right"/>
    </xf>
    <xf numFmtId="2" fontId="56" fillId="3" borderId="0" xfId="0" applyNumberFormat="1" applyFont="1" applyFill="1" applyAlignment="1">
      <alignment horizontal="left"/>
    </xf>
    <xf numFmtId="164" fontId="89" fillId="9" borderId="0" xfId="0" applyNumberFormat="1" applyFont="1" applyFill="1"/>
    <xf numFmtId="0" fontId="89" fillId="5" borderId="0" xfId="0" applyFont="1" applyFill="1" applyAlignment="1">
      <alignment horizontal="right"/>
    </xf>
    <xf numFmtId="168" fontId="45" fillId="8" borderId="0" xfId="0" applyNumberFormat="1" applyFont="1" applyFill="1" applyAlignment="1">
      <alignment horizontal="right"/>
    </xf>
    <xf numFmtId="164" fontId="45" fillId="8" borderId="0" xfId="0" applyNumberFormat="1" applyFont="1" applyFill="1" applyAlignment="1">
      <alignment horizontal="right"/>
    </xf>
    <xf numFmtId="175" fontId="45" fillId="8" borderId="0" xfId="0" applyNumberFormat="1" applyFont="1" applyFill="1" applyAlignment="1">
      <alignment horizontal="right"/>
    </xf>
    <xf numFmtId="168" fontId="45" fillId="8" borderId="1" xfId="0" applyNumberFormat="1" applyFont="1" applyFill="1" applyBorder="1" applyAlignment="1">
      <alignment horizontal="right"/>
    </xf>
    <xf numFmtId="164" fontId="45" fillId="8" borderId="1" xfId="0" applyNumberFormat="1" applyFont="1" applyFill="1" applyBorder="1" applyAlignment="1">
      <alignment horizontal="right"/>
    </xf>
    <xf numFmtId="175" fontId="45" fillId="8" borderId="1" xfId="0" applyNumberFormat="1" applyFont="1" applyFill="1" applyBorder="1" applyAlignment="1">
      <alignment horizontal="right"/>
    </xf>
    <xf numFmtId="164" fontId="3" fillId="8" borderId="0" xfId="0" applyNumberFormat="1" applyFont="1" applyFill="1" applyAlignment="1">
      <alignment horizontal="right"/>
    </xf>
    <xf numFmtId="164" fontId="3" fillId="9" borderId="0" xfId="0" applyNumberFormat="1" applyFont="1" applyFill="1" applyAlignment="1">
      <alignment horizontal="right"/>
    </xf>
    <xf numFmtId="175" fontId="3" fillId="9" borderId="0" xfId="0" applyNumberFormat="1" applyFont="1" applyFill="1" applyAlignment="1">
      <alignment horizontal="right"/>
    </xf>
    <xf numFmtId="168" fontId="3" fillId="9" borderId="0" xfId="0" applyNumberFormat="1" applyFont="1" applyFill="1" applyAlignment="1">
      <alignment horizontal="right"/>
    </xf>
    <xf numFmtId="164" fontId="3" fillId="9" borderId="2" xfId="0" applyNumberFormat="1" applyFont="1" applyFill="1" applyBorder="1" applyAlignment="1">
      <alignment horizontal="right"/>
    </xf>
    <xf numFmtId="175" fontId="3" fillId="9" borderId="2" xfId="0" applyNumberFormat="1" applyFont="1" applyFill="1" applyBorder="1" applyAlignment="1">
      <alignment horizontal="right"/>
    </xf>
    <xf numFmtId="168" fontId="3" fillId="9" borderId="2" xfId="0" applyNumberFormat="1" applyFont="1" applyFill="1" applyBorder="1" applyAlignment="1">
      <alignment horizontal="right"/>
    </xf>
    <xf numFmtId="164" fontId="3" fillId="9" borderId="3" xfId="0" applyNumberFormat="1" applyFont="1" applyFill="1" applyBorder="1" applyAlignment="1">
      <alignment horizontal="right"/>
    </xf>
    <xf numFmtId="175" fontId="3" fillId="9" borderId="3" xfId="0" applyNumberFormat="1" applyFont="1" applyFill="1" applyBorder="1" applyAlignment="1">
      <alignment horizontal="right"/>
    </xf>
    <xf numFmtId="168" fontId="3" fillId="9" borderId="3" xfId="0" applyNumberFormat="1" applyFont="1" applyFill="1" applyBorder="1" applyAlignment="1">
      <alignment horizontal="right"/>
    </xf>
    <xf numFmtId="176" fontId="13" fillId="9" borderId="3" xfId="0" applyNumberFormat="1" applyFont="1" applyFill="1" applyBorder="1" applyAlignment="1">
      <alignment horizontal="right"/>
    </xf>
    <xf numFmtId="168" fontId="13" fillId="9" borderId="3" xfId="0" applyNumberFormat="1" applyFont="1" applyFill="1" applyBorder="1" applyAlignment="1">
      <alignment horizontal="right"/>
    </xf>
    <xf numFmtId="0" fontId="124" fillId="9" borderId="0" xfId="0" applyFont="1" applyFill="1" applyAlignment="1">
      <alignment horizontal="left"/>
    </xf>
    <xf numFmtId="2" fontId="124" fillId="9" borderId="0" xfId="0" applyNumberFormat="1" applyFont="1" applyFill="1"/>
    <xf numFmtId="2" fontId="124" fillId="9" borderId="0" xfId="0" applyNumberFormat="1" applyFont="1" applyFill="1" applyAlignment="1">
      <alignment horizontal="right"/>
    </xf>
    <xf numFmtId="2" fontId="89" fillId="0" borderId="0" xfId="0" applyNumberFormat="1" applyFont="1" applyAlignment="1">
      <alignment horizontal="right"/>
    </xf>
    <xf numFmtId="3" fontId="89" fillId="0" borderId="0" xfId="0" applyNumberFormat="1" applyFont="1" applyAlignment="1">
      <alignment horizontal="right"/>
    </xf>
    <xf numFmtId="2" fontId="89" fillId="9" borderId="0" xfId="0" applyNumberFormat="1" applyFont="1" applyFill="1"/>
    <xf numFmtId="2" fontId="89" fillId="9" borderId="0" xfId="0" applyNumberFormat="1" applyFont="1" applyFill="1" applyAlignment="1">
      <alignment horizontal="right"/>
    </xf>
    <xf numFmtId="182" fontId="125" fillId="0" borderId="0" xfId="0" applyNumberFormat="1" applyFont="1" applyAlignment="1">
      <alignment horizontal="center"/>
    </xf>
    <xf numFmtId="0" fontId="13" fillId="3" borderId="0" xfId="0" applyFont="1" applyFill="1" applyAlignment="1">
      <alignment horizontal="left"/>
    </xf>
    <xf numFmtId="0" fontId="3" fillId="3" borderId="0" xfId="0" applyFont="1" applyFill="1" applyAlignment="1">
      <alignment horizontal="right"/>
    </xf>
    <xf numFmtId="49" fontId="13" fillId="3" borderId="0" xfId="0" applyNumberFormat="1" applyFont="1" applyFill="1" applyAlignment="1">
      <alignment horizontal="left"/>
    </xf>
    <xf numFmtId="6" fontId="13" fillId="3" borderId="0" xfId="0" applyNumberFormat="1" applyFont="1" applyFill="1" applyAlignment="1">
      <alignment horizontal="left"/>
    </xf>
    <xf numFmtId="3" fontId="3" fillId="9" borderId="5" xfId="0" applyNumberFormat="1" applyFont="1" applyFill="1" applyBorder="1" applyAlignment="1">
      <alignment horizontal="right"/>
    </xf>
    <xf numFmtId="3" fontId="13" fillId="3" borderId="0" xfId="0" applyNumberFormat="1" applyFont="1" applyFill="1" applyAlignment="1">
      <alignment horizontal="center"/>
    </xf>
    <xf numFmtId="0" fontId="13" fillId="3" borderId="0" xfId="0" applyFont="1" applyFill="1" applyAlignment="1">
      <alignment horizontal="left" indent="1"/>
    </xf>
    <xf numFmtId="49" fontId="13" fillId="8" borderId="3" xfId="0" applyNumberFormat="1" applyFont="1" applyFill="1" applyBorder="1" applyAlignment="1">
      <alignment horizontal="right"/>
    </xf>
    <xf numFmtId="1" fontId="13" fillId="3" borderId="0" xfId="0" applyNumberFormat="1" applyFont="1" applyFill="1" applyAlignment="1">
      <alignment horizontal="right"/>
    </xf>
    <xf numFmtId="164" fontId="3" fillId="9" borderId="0" xfId="0" applyNumberFormat="1" applyFont="1" applyFill="1"/>
    <xf numFmtId="0" fontId="55" fillId="0" borderId="0" xfId="0" applyFont="1" applyFill="1"/>
    <xf numFmtId="0" fontId="93" fillId="6" borderId="0" xfId="0" applyFont="1" applyFill="1"/>
    <xf numFmtId="0" fontId="3" fillId="9" borderId="0" xfId="0" applyFont="1" applyFill="1" applyAlignment="1">
      <alignment horizontal="right"/>
    </xf>
    <xf numFmtId="10" fontId="46" fillId="9" borderId="0" xfId="0" applyNumberFormat="1" applyFont="1" applyFill="1" applyAlignment="1">
      <alignment horizontal="right"/>
    </xf>
    <xf numFmtId="43" fontId="56" fillId="9" borderId="0" xfId="1" applyFont="1" applyFill="1"/>
    <xf numFmtId="14" fontId="3" fillId="9" borderId="0" xfId="0" applyNumberFormat="1" applyFont="1" applyFill="1" applyAlignment="1">
      <alignment horizontal="right"/>
    </xf>
    <xf numFmtId="43" fontId="46" fillId="9" borderId="2" xfId="1" applyFont="1" applyFill="1" applyBorder="1" applyAlignment="1">
      <alignment horizontal="right"/>
    </xf>
    <xf numFmtId="0" fontId="93" fillId="10" borderId="0" xfId="2" applyFont="1" applyFill="1"/>
    <xf numFmtId="0" fontId="93" fillId="7" borderId="0" xfId="2" applyFont="1" applyFill="1"/>
    <xf numFmtId="0" fontId="59" fillId="10" borderId="0" xfId="0" applyFont="1" applyFill="1"/>
    <xf numFmtId="0" fontId="13" fillId="7" borderId="6" xfId="0" applyFont="1" applyFill="1" applyBorder="1" applyAlignment="1">
      <alignment horizontal="centerContinuous"/>
    </xf>
    <xf numFmtId="0" fontId="114" fillId="3" borderId="0" xfId="0" applyFont="1" applyFill="1" applyAlignment="1">
      <alignment horizontal="right"/>
    </xf>
    <xf numFmtId="14" fontId="3" fillId="8" borderId="0" xfId="0" applyNumberFormat="1" applyFont="1" applyFill="1" applyAlignment="1">
      <alignment horizontal="right"/>
    </xf>
    <xf numFmtId="1" fontId="3" fillId="8" borderId="0" xfId="0" applyNumberFormat="1" applyFont="1" applyFill="1" applyAlignment="1">
      <alignment horizontal="right"/>
    </xf>
    <xf numFmtId="3" fontId="6" fillId="0" borderId="0" xfId="0" applyNumberFormat="1" applyFont="1" applyFill="1" applyAlignment="1">
      <alignment horizontal="right"/>
    </xf>
    <xf numFmtId="49" fontId="3" fillId="8" borderId="0" xfId="0" applyNumberFormat="1" applyFont="1" applyFill="1" applyAlignment="1">
      <alignment horizontal="right"/>
    </xf>
    <xf numFmtId="173" fontId="88" fillId="0" borderId="0" xfId="0" applyNumberFormat="1" applyFont="1" applyFill="1" applyAlignment="1">
      <alignment horizontal="right"/>
    </xf>
    <xf numFmtId="183" fontId="88" fillId="0" borderId="0" xfId="0" applyNumberFormat="1" applyFont="1" applyFill="1" applyAlignment="1">
      <alignment horizontal="right"/>
    </xf>
    <xf numFmtId="0" fontId="88" fillId="0" borderId="0" xfId="0" applyFont="1" applyAlignment="1">
      <alignment horizontal="right"/>
    </xf>
    <xf numFmtId="0" fontId="76" fillId="0" borderId="0" xfId="0" applyFont="1" applyAlignment="1">
      <alignment horizontal="right"/>
    </xf>
  </cellXfs>
  <cellStyles count="8">
    <cellStyle name="Comma 2" xfId="7" xr:uid="{00000000-0005-0000-0000-000007000000}"/>
    <cellStyle name="Currency 2" xfId="5" xr:uid="{00000000-0005-0000-0000-000005000000}"/>
    <cellStyle name="Hyperlink 2 2" xfId="3" xr:uid="{00000000-0005-0000-0000-000003000000}"/>
    <cellStyle name="Milliers" xfId="1" builtinId="3"/>
    <cellStyle name="Normal" xfId="0" builtinId="0"/>
    <cellStyle name="Normal 2" xfId="2" xr:uid="{00000000-0005-0000-0000-000002000000}"/>
    <cellStyle name="Normal 2 2" xfId="4" xr:uid="{00000000-0005-0000-0000-000004000000}"/>
    <cellStyle name="Percent 2" xfId="6" xr:uid="{00000000-0005-0000-0000-000006000000}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Flow: FCF, CFO &amp; CapEx ($M) — indicatif assurance</a:t>
            </a:r>
          </a:p>
        </c:rich>
      </c:tx>
      <c:layout>
        <c:manualLayout>
          <c:xMode val="edge"/>
          <c:yMode val="edge"/>
          <c:x val="0.23700261672234271"/>
          <c:y val="0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RATIOS!$B$104</c:f>
              <c:strCache>
                <c:ptCount val="1"/>
                <c:pt idx="0">
                  <c:v>Free Cash Flow ($M)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RATIOS!$C$103:$H$103</c:f>
              <c:numCache>
                <c:formatCode>General</c:formatCode>
                <c:ptCount val="6"/>
              </c:numCache>
            </c:numRef>
          </c:cat>
          <c:val>
            <c:numRef>
              <c:f>RATIOS!$C$104:$H$104</c:f>
              <c:numCache>
                <c:formatCode>General</c:formatCode>
                <c:ptCount val="6"/>
                <c:pt idx="2" formatCode="&quot;€&quot;#\ ##0;\(&quot;€&quot;#\ ##0\);\-">
                  <c:v>-114740</c:v>
                </c:pt>
                <c:pt idx="3" formatCode="&quot;€&quot;#\ ##0;\(&quot;€&quot;#\ ##0\);\-">
                  <c:v>-106079</c:v>
                </c:pt>
                <c:pt idx="4" formatCode="&quot;€&quot;#\ ##0;\(&quot;€&quot;#\ ##0\);\-">
                  <c:v>-80266</c:v>
                </c:pt>
                <c:pt idx="5" formatCode="&quot;€&quot;#\ ##0;\(&quot;€&quot;#\ ##0\);\-">
                  <c:v>-73982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65-4D1A-83BA-9DFB20643795}"/>
            </c:ext>
          </c:extLst>
        </c:ser>
        <c:ser>
          <c:idx val="1"/>
          <c:order val="1"/>
          <c:tx>
            <c:strRef>
              <c:f>RATIOS!$B$105</c:f>
              <c:strCache>
                <c:ptCount val="1"/>
                <c:pt idx="0">
                  <c:v>CapEx ($M)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numRef>
              <c:f>RATIOS!$C$103:$H$103</c:f>
              <c:numCache>
                <c:formatCode>General</c:formatCode>
                <c:ptCount val="6"/>
              </c:numCache>
            </c:numRef>
          </c:cat>
          <c:val>
            <c:numRef>
              <c:f>RATIOS!$C$105:$H$105</c:f>
              <c:numCache>
                <c:formatCode>General</c:formatCode>
                <c:ptCount val="6"/>
                <c:pt idx="2">
                  <c:v>15690</c:v>
                </c:pt>
                <c:pt idx="3">
                  <c:v>17722</c:v>
                </c:pt>
                <c:pt idx="4">
                  <c:v>14909</c:v>
                </c:pt>
                <c:pt idx="5">
                  <c:v>16953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65-4D1A-83BA-9DFB20643795}"/>
            </c:ext>
          </c:extLst>
        </c:ser>
        <c:ser>
          <c:idx val="2"/>
          <c:order val="2"/>
          <c:tx>
            <c:strRef>
              <c:f>RATIOS!$B$106</c:f>
              <c:strCache>
                <c:ptCount val="1"/>
                <c:pt idx="0">
                  <c:v>Cash from Operations ($M)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numRef>
              <c:f>RATIOS!$C$103:$H$103</c:f>
              <c:numCache>
                <c:formatCode>General</c:formatCode>
                <c:ptCount val="6"/>
              </c:numCache>
            </c:numRef>
          </c:cat>
          <c:val>
            <c:numRef>
              <c:f>RATIOS!$C$106:$H$106</c:f>
              <c:numCache>
                <c:formatCode>General</c:formatCode>
                <c:ptCount val="6"/>
                <c:pt idx="2" formatCode="#,##0">
                  <c:v>-99050</c:v>
                </c:pt>
                <c:pt idx="3" formatCode="#,##0">
                  <c:v>-88357</c:v>
                </c:pt>
                <c:pt idx="4" formatCode="#,##0">
                  <c:v>-65357</c:v>
                </c:pt>
                <c:pt idx="5" formatCode="#,##0">
                  <c:v>-57029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65-4D1A-83BA-9DFB20643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964032"/>
        <c:axId val="1926950112"/>
      </c:lineChart>
      <c:catAx>
        <c:axId val="192696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6950112"/>
        <c:crosses val="autoZero"/>
        <c:auto val="1"/>
        <c:lblAlgn val="ctr"/>
        <c:lblOffset val="100"/>
        <c:noMultiLvlLbl val="0"/>
      </c:catAx>
      <c:valAx>
        <c:axId val="19269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696403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Rentabilité : ROE &amp; ROA (%) — KPI P1 Assurance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RATIOS!$B$110</c:f>
              <c:strCache>
                <c:ptCount val="1"/>
                <c:pt idx="0">
                  <c:v>Return on Equity (ROE)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RATIOS!$C$109:$H$109</c:f>
              <c:numCache>
                <c:formatCode>General</c:formatCode>
                <c:ptCount val="6"/>
              </c:numCache>
            </c:numRef>
          </c:cat>
          <c:val>
            <c:numRef>
              <c:f>RATIOS!$C$110:$H$110</c:f>
              <c:numCache>
                <c:formatCode>General</c:formatCode>
                <c:ptCount val="6"/>
                <c:pt idx="2" formatCode="0.0%">
                  <c:v>-1.4100054083288265</c:v>
                </c:pt>
                <c:pt idx="3" formatCode="0.0%">
                  <c:v>-1.0049561260968476</c:v>
                </c:pt>
                <c:pt idx="4" formatCode="0.0%">
                  <c:v>-0.84972981459917052</c:v>
                </c:pt>
                <c:pt idx="5" formatCode="0.0%">
                  <c:v>-0.65614307931570759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69-4BDE-B5C2-7060CAD9E6A0}"/>
            </c:ext>
          </c:extLst>
        </c:ser>
        <c:ser>
          <c:idx val="1"/>
          <c:order val="1"/>
          <c:tx>
            <c:strRef>
              <c:f>RATIOS!$B$111</c:f>
              <c:strCache>
                <c:ptCount val="1"/>
                <c:pt idx="0">
                  <c:v>Return on Assets (ROA)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numRef>
              <c:f>RATIOS!$C$109:$H$109</c:f>
              <c:numCache>
                <c:formatCode>General</c:formatCode>
                <c:ptCount val="6"/>
              </c:numCache>
            </c:numRef>
          </c:cat>
          <c:val>
            <c:numRef>
              <c:f>RATIOS!$C$111:$H$111</c:f>
              <c:numCache>
                <c:formatCode>General</c:formatCode>
                <c:ptCount val="6"/>
                <c:pt idx="2" formatCode="0.0%">
                  <c:v>-1.4467412113981299</c:v>
                </c:pt>
                <c:pt idx="3" formatCode="0.0%">
                  <c:v>-0.92138653688575467</c:v>
                </c:pt>
                <c:pt idx="4" formatCode="0.0%">
                  <c:v>-0.81512162060396109</c:v>
                </c:pt>
                <c:pt idx="5" formatCode="0.0%">
                  <c:v>-0.50903899133302499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69-4BDE-B5C2-7060CAD9E6A0}"/>
            </c:ext>
          </c:extLst>
        </c:ser>
        <c:ser>
          <c:idx val="2"/>
          <c:order val="2"/>
          <c:tx>
            <c:strRef>
              <c:f>RATIOS!$B$112</c:f>
              <c:strCache>
                <c:ptCount val="1"/>
                <c:pt idx="0">
                  <c:v>Return on Invested Capital (ROIC)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numRef>
              <c:f>RATIOS!$C$109:$H$109</c:f>
              <c:numCache>
                <c:formatCode>General</c:formatCode>
                <c:ptCount val="6"/>
              </c:numCache>
            </c:numRef>
          </c:cat>
          <c:val>
            <c:numRef>
              <c:f>RATIOS!$C$112:$H$112</c:f>
              <c:numCache>
                <c:formatCode>General</c:formatCode>
                <c:ptCount val="6"/>
                <c:pt idx="2" formatCode="0.0%">
                  <c:v>-1.3994448972417524</c:v>
                </c:pt>
                <c:pt idx="3" formatCode="0.0%">
                  <c:v>-0.99450799209186436</c:v>
                </c:pt>
                <c:pt idx="4" formatCode="0.0%">
                  <c:v>-0.83901976474898277</c:v>
                </c:pt>
                <c:pt idx="5" formatCode="0.0%">
                  <c:v>-0.64610443623639191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69-4BDE-B5C2-7060CAD9E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9670816"/>
        <c:axId val="1919671296"/>
      </c:lineChart>
      <c:catAx>
        <c:axId val="191967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671296"/>
        <c:crosses val="autoZero"/>
        <c:auto val="1"/>
        <c:lblAlgn val="ctr"/>
        <c:lblOffset val="100"/>
        <c:noMultiLvlLbl val="0"/>
      </c:catAx>
      <c:valAx>
        <c:axId val="191967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67081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Sensibilité P/B Justifié — ROE vs Coût des FP (k)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k=7%</c:v>
          </c:tx>
          <c:spPr>
            <a:ln w="28575" cap="rnd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VALUATION!$B$162:$G$162</c:f>
              <c:numCache>
                <c:formatCode>General</c:formatCode>
                <c:ptCount val="6"/>
                <c:pt idx="0" formatCode="0%">
                  <c:v>7.0000000000000007E-2</c:v>
                </c:pt>
                <c:pt idx="1">
                  <c:v>0.77777777777777757</c:v>
                </c:pt>
                <c:pt idx="2">
                  <c:v>1.2222222222222221</c:v>
                </c:pt>
                <c:pt idx="3">
                  <c:v>1.6666666666666667</c:v>
                </c:pt>
                <c:pt idx="4">
                  <c:v>2.1111111111111107</c:v>
                </c:pt>
                <c:pt idx="5">
                  <c:v>2.5555555555555558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4-4B02-9A59-1173ED66B7E5}"/>
            </c:ext>
          </c:extLst>
        </c:ser>
        <c:ser>
          <c:idx val="1"/>
          <c:order val="1"/>
          <c:tx>
            <c:v>k=8%</c:v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VALUATION!$B$163:$G$163</c:f>
              <c:numCache>
                <c:formatCode>General</c:formatCode>
                <c:ptCount val="6"/>
                <c:pt idx="0" formatCode="0%">
                  <c:v>0.08</c:v>
                </c:pt>
                <c:pt idx="1">
                  <c:v>0.63636363636363624</c:v>
                </c:pt>
                <c:pt idx="2">
                  <c:v>1</c:v>
                </c:pt>
                <c:pt idx="3">
                  <c:v>1.3636363636363638</c:v>
                </c:pt>
                <c:pt idx="4">
                  <c:v>1.7272727272727273</c:v>
                </c:pt>
                <c:pt idx="5">
                  <c:v>2.0909090909090913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C4-4B02-9A59-1173ED66B7E5}"/>
            </c:ext>
          </c:extLst>
        </c:ser>
        <c:ser>
          <c:idx val="2"/>
          <c:order val="2"/>
          <c:tx>
            <c:v>k=9%</c:v>
          </c:tx>
          <c:spPr>
            <a:ln w="28575" cap="rnd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VALUATION!$B$164:$G$164</c:f>
              <c:numCache>
                <c:formatCode>General</c:formatCode>
                <c:ptCount val="6"/>
                <c:pt idx="0" formatCode="0%">
                  <c:v>0.09</c:v>
                </c:pt>
                <c:pt idx="1">
                  <c:v>0.53846153846153844</c:v>
                </c:pt>
                <c:pt idx="2">
                  <c:v>0.84615384615384615</c:v>
                </c:pt>
                <c:pt idx="3">
                  <c:v>1.153846153846154</c:v>
                </c:pt>
                <c:pt idx="4">
                  <c:v>1.4615384615384615</c:v>
                </c:pt>
                <c:pt idx="5">
                  <c:v>1.7692307692307694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C4-4B02-9A59-1173ED66B7E5}"/>
            </c:ext>
          </c:extLst>
        </c:ser>
        <c:ser>
          <c:idx val="3"/>
          <c:order val="3"/>
          <c:tx>
            <c:v>k=10% (base)</c:v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VALUATION!$B$165:$G$165</c:f>
              <c:numCache>
                <c:formatCode>General</c:formatCode>
                <c:ptCount val="6"/>
                <c:pt idx="0" formatCode="0%">
                  <c:v>0.1</c:v>
                </c:pt>
                <c:pt idx="1">
                  <c:v>0.46666666666666656</c:v>
                </c:pt>
                <c:pt idx="2">
                  <c:v>0.73333333333333328</c:v>
                </c:pt>
                <c:pt idx="3">
                  <c:v>1</c:v>
                </c:pt>
                <c:pt idx="4">
                  <c:v>1.2666666666666664</c:v>
                </c:pt>
                <c:pt idx="5">
                  <c:v>1.5333333333333334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C4-4B02-9A59-1173ED66B7E5}"/>
            </c:ext>
          </c:extLst>
        </c:ser>
        <c:ser>
          <c:idx val="4"/>
          <c:order val="4"/>
          <c:tx>
            <c:v>k=11%</c:v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VALUATION!$B$166:$G$166</c:f>
              <c:numCache>
                <c:formatCode>General</c:formatCode>
                <c:ptCount val="6"/>
                <c:pt idx="0" formatCode="0%">
                  <c:v>0.11</c:v>
                </c:pt>
                <c:pt idx="1">
                  <c:v>0.41176470588235292</c:v>
                </c:pt>
                <c:pt idx="2">
                  <c:v>0.6470588235294118</c:v>
                </c:pt>
                <c:pt idx="3">
                  <c:v>0.88235294117647078</c:v>
                </c:pt>
                <c:pt idx="4">
                  <c:v>1.1176470588235294</c:v>
                </c:pt>
                <c:pt idx="5">
                  <c:v>1.3529411764705885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C4-4B02-9A59-1173ED66B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6666512"/>
        <c:axId val="1836666992"/>
      </c:lineChart>
      <c:catAx>
        <c:axId val="18366665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666992"/>
        <c:crosses val="autoZero"/>
        <c:auto val="1"/>
        <c:lblAlgn val="ctr"/>
        <c:lblOffset val="100"/>
        <c:noMultiLvlLbl val="0"/>
      </c:catAx>
      <c:valAx>
        <c:axId val="1836666992"/>
        <c:scaling>
          <c:orientation val="minMax"/>
          <c:max val="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Justified P/B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66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Comparables Assurance — P/B &amp; P/E vs. Pairs (x)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COMPARABLES!$B$48</c:f>
              <c:strCache>
                <c:ptCount val="1"/>
                <c:pt idx="0">
                  <c:v>MetLife, Inc.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COMPARABLES!$C$48:$D$48</c:f>
              <c:numCache>
                <c:formatCode>0.00</c:formatCode>
                <c:ptCount val="2"/>
                <c:pt idx="0">
                  <c:v>0.65509222395023314</c:v>
                </c:pt>
                <c:pt idx="1">
                  <c:v>5.7036120660655144E-2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9D-431A-AF11-0BCC79FC3A56}"/>
            </c:ext>
          </c:extLst>
        </c:ser>
        <c:ser>
          <c:idx val="1"/>
          <c:order val="1"/>
          <c:tx>
            <c:strRef>
              <c:f>COMPARABLES!$B$49</c:f>
              <c:strCache>
                <c:ptCount val="1"/>
                <c:pt idx="0">
                  <c:v>Prudential Financial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COMPARABLES!$C$49:$D$49</c:f>
              <c:numCache>
                <c:formatCode>0.00</c:formatCode>
                <c:ptCount val="2"/>
                <c:pt idx="0">
                  <c:v>1.5082627972591698</c:v>
                </c:pt>
                <c:pt idx="1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9D-431A-AF11-0BCC79FC3A56}"/>
            </c:ext>
          </c:extLst>
        </c:ser>
        <c:ser>
          <c:idx val="2"/>
          <c:order val="2"/>
          <c:tx>
            <c:strRef>
              <c:f>COMPARABLES!$B$50</c:f>
              <c:strCache>
                <c:ptCount val="1"/>
                <c:pt idx="0">
                  <c:v>Aflac Incorporated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COMPARABLES!$C$50:$D$50</c:f>
              <c:numCache>
                <c:formatCode>0.00</c:formatCode>
                <c:ptCount val="2"/>
                <c:pt idx="0">
                  <c:v>3.2831215970961889</c:v>
                </c:pt>
                <c:pt idx="1">
                  <c:v>1.9E-2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9D-431A-AF11-0BCC79FC3A56}"/>
            </c:ext>
          </c:extLst>
        </c:ser>
        <c:ser>
          <c:idx val="3"/>
          <c:order val="3"/>
          <c:tx>
            <c:strRef>
              <c:f>COMPARABLES!$B$51</c:f>
              <c:strCache>
                <c:ptCount val="1"/>
                <c:pt idx="0">
                  <c:v>The Travelers Companies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COMPARABLES!$C$51:$D$51</c:f>
              <c:numCache>
                <c:formatCode>0.00</c:formatCode>
                <c:ptCount val="2"/>
                <c:pt idx="0">
                  <c:v>1.6465484722746133</c:v>
                </c:pt>
                <c:pt idx="1">
                  <c:v>2.1999999999999999E-2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9D-431A-AF11-0BCC79FC3A56}"/>
            </c:ext>
          </c:extLst>
        </c:ser>
        <c:ser>
          <c:idx val="4"/>
          <c:order val="4"/>
          <c:tx>
            <c:strRef>
              <c:f>COMPARABLES!$B$52</c:f>
              <c:strCache>
                <c:ptCount val="1"/>
                <c:pt idx="0">
                  <c:v>The Allstate Corporation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COMPARABLES!$C$52:$D$52</c:f>
              <c:numCache>
                <c:formatCode>0.00</c:formatCode>
                <c:ptCount val="2"/>
                <c:pt idx="0">
                  <c:v>2.7726008344923505</c:v>
                </c:pt>
                <c:pt idx="1">
                  <c:v>2.9000000000000001E-2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9D-431A-AF11-0BCC79FC3A56}"/>
            </c:ext>
          </c:extLst>
        </c:ser>
        <c:ser>
          <c:idx val="5"/>
          <c:order val="5"/>
          <c:tx>
            <c:strRef>
              <c:f>COMPARABLES!$B$53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COMPARABLES!$C$47:$D$47</c:f>
              <c:strCache>
                <c:ptCount val="2"/>
                <c:pt idx="0">
                  <c:v>EV/EBITDA (x)</c:v>
                </c:pt>
                <c:pt idx="1">
                  <c:v>EV/Revenue (x)</c:v>
                </c:pt>
              </c:strCache>
            </c:strRef>
          </c:cat>
          <c:val>
            <c:numRef>
              <c:f>COMPARABLES!$C$53:$D$53</c:f>
              <c:numCache>
                <c:formatCode>0.00</c:formatCode>
                <c:ptCount val="2"/>
                <c:pt idx="0">
                  <c:v>1.9731251850145113</c:v>
                </c:pt>
                <c:pt idx="1">
                  <c:v>3.4807224132131033E-2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C9D-431A-AF11-0BCC79FC3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64804656"/>
        <c:axId val="2064801296"/>
      </c:barChart>
      <c:catAx>
        <c:axId val="206480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1296"/>
        <c:crosses val="autoZero"/>
        <c:auto val="1"/>
        <c:lblAlgn val="ctr"/>
        <c:lblOffset val="100"/>
        <c:noMultiLvlLbl val="0"/>
      </c:catAx>
      <c:valAx>
        <c:axId val="20648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480465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Net Premiums Earned par Scénario ($M)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SCENARIOS!$B$57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SCENARIOS!$C$56:$G$56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SCENARIOS!$C$57:$G$57</c:f>
              <c:numCache>
                <c:formatCode>#,##0</c:formatCode>
                <c:ptCount val="5"/>
                <c:pt idx="0" formatCode="_(#\ ##0_);\(#\ ##0\);_(&quot;–&quot;_);_(@_)">
                  <c:v>81611.950720793931</c:v>
                </c:pt>
                <c:pt idx="1">
                  <c:v>88039.105671257275</c:v>
                </c:pt>
                <c:pt idx="2" formatCode="_(#\ ##0_);\(#\ ##0\);_(&quot;–&quot;_);_(@_)">
                  <c:v>94972.415913836929</c:v>
                </c:pt>
                <c:pt idx="3" formatCode="_(#\ ##0_);\(#\ ##0\);_(&quot;–&quot;_);_(@_)">
                  <c:v>102451.74250396284</c:v>
                </c:pt>
                <c:pt idx="4" formatCode="_(#\ ##0_);\(#\ ##0\);_(&quot;–&quot;_);_(@_)">
                  <c:v>110520.08565961992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6-46FA-A461-C834D2C2B40B}"/>
            </c:ext>
          </c:extLst>
        </c:ser>
        <c:ser>
          <c:idx val="1"/>
          <c:order val="1"/>
          <c:tx>
            <c:strRef>
              <c:f>SCENARIOS!$B$58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numRef>
              <c:f>SCENARIOS!$C$56:$G$56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SCENARIOS!$C$58:$G$58</c:f>
              <c:numCache>
                <c:formatCode>#,##0</c:formatCode>
                <c:ptCount val="5"/>
                <c:pt idx="0" formatCode="_(#\ ##0_);\(#\ ##0\);_(&quot;–&quot;_);_(@_)">
                  <c:v>81611.950720793931</c:v>
                </c:pt>
                <c:pt idx="1">
                  <c:v>88039.105671257275</c:v>
                </c:pt>
                <c:pt idx="2" formatCode="_(#\ ##0_);\(#\ ##0\);_(&quot;–&quot;_);_(@_)">
                  <c:v>94972.415913836929</c:v>
                </c:pt>
                <c:pt idx="3" formatCode="_(#\ ##0_);\(#\ ##0\);_(&quot;–&quot;_);_(@_)">
                  <c:v>102451.74250396284</c:v>
                </c:pt>
                <c:pt idx="4" formatCode="_(#\ ##0_);\(#\ ##0\);_(&quot;–&quot;_);_(@_)">
                  <c:v>110520.08565961992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6-46FA-A461-C834D2C2B40B}"/>
            </c:ext>
          </c:extLst>
        </c:ser>
        <c:ser>
          <c:idx val="2"/>
          <c:order val="2"/>
          <c:tx>
            <c:strRef>
              <c:f>SCENARIOS!$B$59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numRef>
              <c:f>SCENARIOS!$C$56:$G$56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SCENARIOS!$C$59:$G$59</c:f>
              <c:numCache>
                <c:formatCode>#,##0</c:formatCode>
                <c:ptCount val="5"/>
                <c:pt idx="0" formatCode="_(#\ ##0_);\(#\ ##0\);_(&quot;–&quot;_);_(@_)">
                  <c:v>81611.950720793931</c:v>
                </c:pt>
                <c:pt idx="1">
                  <c:v>88039.105671257275</c:v>
                </c:pt>
                <c:pt idx="2" formatCode="_(#\ ##0_);\(#\ ##0\);_(&quot;–&quot;_);_(@_)">
                  <c:v>94972.415913836929</c:v>
                </c:pt>
                <c:pt idx="3" formatCode="_(#\ ##0_);\(#\ ##0\);_(&quot;–&quot;_);_(@_)">
                  <c:v>102451.74250396284</c:v>
                </c:pt>
                <c:pt idx="4" formatCode="_(#\ ##0_);\(#\ ##0\);_(&quot;–&quot;_);_(@_)">
                  <c:v>110520.08565961992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6-46FA-A461-C834D2C2B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6618623"/>
        <c:axId val="766619103"/>
      </c:lineChart>
      <c:catAx>
        <c:axId val="76661862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9103"/>
        <c:crosses val="autoZero"/>
        <c:auto val="1"/>
        <c:lblAlgn val="ctr"/>
        <c:lblOffset val="100"/>
        <c:noMultiLvlLbl val="0"/>
      </c:catAx>
      <c:valAx>
        <c:axId val="76661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8623"/>
        <c:crosses val="autoZero"/>
        <c:crossBetween val="between"/>
        <c:majorUnit val="100000"/>
      </c:valAx>
    </c:plotArea>
    <c:legend>
      <c:legendPos val="b"/>
      <c:overlay val="0"/>
      <c:spPr>
        <a:solidFill>
          <a:srgbClr val="FFFFFF"/>
        </a:solidFill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Combined Ratio par Scénario — Assurance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SCENARIOS!$C$67</c:f>
              <c:strCache>
                <c:ptCount val="1"/>
                <c:pt idx="0">
                  <c:v>Combined Ratio</c:v>
                </c:pt>
              </c:strCache>
            </c:strRef>
          </c:tx>
          <c:spPr>
            <a:solidFill>
              <a:srgbClr val="D94E4E"/>
            </a:solidFill>
            <a:ln>
              <a:noFill/>
            </a:ln>
            <a:effectLst/>
          </c:spPr>
          <c:invertIfNegative val="0"/>
          <c:cat>
            <c:strRef>
              <c:f>SCENARIOS!$B$68:$B$71</c:f>
              <c:strCache>
                <c:ptCount val="4"/>
                <c:pt idx="0">
                  <c:v>Pessimiste (Bear)</c:v>
                </c:pt>
                <c:pt idx="1">
                  <c:v>Réaliste (Base)</c:v>
                </c:pt>
                <c:pt idx="2">
                  <c:v>Optimiste (Bull)</c:v>
                </c:pt>
                <c:pt idx="3">
                  <c:v>Seuil rentabilité (= 100%)</c:v>
                </c:pt>
              </c:strCache>
            </c:strRef>
          </c:cat>
          <c:val>
            <c:numRef>
              <c:f>SCENARIOS!$C$68:$C$71</c:f>
              <c:numCache>
                <c:formatCode>General</c:formatCode>
                <c:ptCount val="4"/>
                <c:pt idx="0">
                  <c:v>1.01</c:v>
                </c:pt>
                <c:pt idx="1">
                  <c:v>0.97499999999999998</c:v>
                </c:pt>
                <c:pt idx="2">
                  <c:v>0.94499999999999995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BD-468A-8B01-918C937205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6653552"/>
        <c:axId val="1836658832"/>
      </c:barChart>
      <c:catAx>
        <c:axId val="1836653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658832"/>
        <c:crosses val="autoZero"/>
        <c:auto val="1"/>
        <c:lblAlgn val="ctr"/>
        <c:lblOffset val="100"/>
        <c:noMultiLvlLbl val="0"/>
      </c:catAx>
      <c:valAx>
        <c:axId val="1836658832"/>
        <c:scaling>
          <c:orientation val="minMax"/>
          <c:max val="1.05"/>
          <c:min val="0.8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Combined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65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DASHBOARD!$R$7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271D2"/>
            </a:solidFill>
            <a:ln>
              <a:noFill/>
              <a:prstDash val="solid"/>
            </a:ln>
          </c:spPr>
          <c:invertIfNegative val="0"/>
          <c:cat>
            <c:strRef>
              <c:f>DASHBOARD!$Q$7:$Q$10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DASHBOARD!$R$8:$R$11</c:f>
              <c:numCache>
                <c:formatCode>General</c:formatCode>
                <c:ptCount val="4"/>
                <c:pt idx="0">
                  <c:v>67409</c:v>
                </c:pt>
                <c:pt idx="1">
                  <c:v>67934</c:v>
                </c:pt>
                <c:pt idx="2">
                  <c:v>70131</c:v>
                </c:pt>
                <c:pt idx="3">
                  <c:v>75654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BB-4B65-B317-2EAFC6BFF859}"/>
            </c:ext>
          </c:extLst>
        </c:ser>
        <c:ser>
          <c:idx val="1"/>
          <c:order val="1"/>
          <c:tx>
            <c:strRef>
              <c:f>DASHBOARD!$S$7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2E8B57"/>
            </a:solidFill>
            <a:ln>
              <a:noFill/>
              <a:prstDash val="solid"/>
            </a:ln>
          </c:spPr>
          <c:invertIfNegative val="0"/>
          <c:cat>
            <c:strRef>
              <c:f>DASHBOARD!$Q$7:$Q$10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DASHBOARD!$S$8:$S$11</c:f>
              <c:numCache>
                <c:formatCode>General</c:formatCode>
                <c:ptCount val="4"/>
                <c:pt idx="0">
                  <c:v>-74214</c:v>
                </c:pt>
                <c:pt idx="1">
                  <c:v>-64944</c:v>
                </c:pt>
                <c:pt idx="2">
                  <c:v>-64944</c:v>
                </c:pt>
                <c:pt idx="3">
                  <c:v>-50628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BB-4B65-B317-2EAFC6BFF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52320"/>
        <c:axId val="211469120"/>
      </c:barChart>
      <c:catAx>
        <c:axId val="21145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69120"/>
        <c:crosses val="autoZero"/>
        <c:auto val="1"/>
        <c:lblAlgn val="ctr"/>
        <c:lblOffset val="100"/>
        <c:noMultiLvlLbl val="0"/>
      </c:catAx>
      <c:valAx>
        <c:axId val="2114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@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523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LTM ($B)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DASHBOARD!$R$2</c:f>
              <c:strCache>
                <c:ptCount val="1"/>
                <c:pt idx="0">
                  <c:v>Cumul Revenue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numFmt formatCode="#,##0.00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RATIOS!$E$76:$H$76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RATIOS!$E$99:$H$99</c:f>
              <c:numCache>
                <c:formatCode>General</c:formatCode>
                <c:ptCount val="4"/>
                <c:pt idx="0">
                  <c:v>135.34299999999999</c:v>
                </c:pt>
                <c:pt idx="1">
                  <c:v>205.47399999999999</c:v>
                </c:pt>
                <c:pt idx="2">
                  <c:v>205.47399999999999</c:v>
                </c:pt>
                <c:pt idx="3">
                  <c:v>281.12799999999999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0A-4526-9662-6A92CABFC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896928"/>
        <c:axId val="457886848"/>
      </c:lineChart>
      <c:catAx>
        <c:axId val="45789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7886848"/>
        <c:crosses val="autoZero"/>
        <c:auto val="1"/>
        <c:lblAlgn val="ctr"/>
        <c:lblOffset val="100"/>
        <c:noMultiLvlLbl val="0"/>
      </c:catAx>
      <c:valAx>
        <c:axId val="457886848"/>
        <c:scaling>
          <c:orientation val="minMax"/>
        </c:scaling>
        <c:delete val="0"/>
        <c:axPos val="l"/>
        <c:numFmt formatCode="@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789692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P/B — MET vs Pairs Assurance (x)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DASHBOARD!$C$99</c:f>
              <c:strCache>
                <c:ptCount val="1"/>
                <c:pt idx="0">
                  <c:v>P/B (x)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DASHBOARD!$B$100:$B$105</c:f>
              <c:strCache>
                <c:ptCount val="6"/>
                <c:pt idx="0">
                  <c:v>MET (cible)</c:v>
                </c:pt>
                <c:pt idx="1">
                  <c:v>PRU</c:v>
                </c:pt>
                <c:pt idx="2">
                  <c:v>AFL</c:v>
                </c:pt>
                <c:pt idx="3">
                  <c:v>TRV</c:v>
                </c:pt>
                <c:pt idx="4">
                  <c:v>ALL</c:v>
                </c:pt>
                <c:pt idx="5">
                  <c:v>Moyenne pairs</c:v>
                </c:pt>
              </c:strCache>
            </c:strRef>
          </c:cat>
          <c:val>
            <c:numRef>
              <c:f>DASHBOARD!$C$100:$C$105</c:f>
              <c:numCache>
                <c:formatCode>General</c:formatCode>
                <c:ptCount val="6"/>
                <c:pt idx="0">
                  <c:v>0.65509222395023314</c:v>
                </c:pt>
                <c:pt idx="1">
                  <c:v>1.5082627972591698</c:v>
                </c:pt>
                <c:pt idx="2">
                  <c:v>3.2831215970961889</c:v>
                </c:pt>
                <c:pt idx="3">
                  <c:v>1.6465484722746133</c:v>
                </c:pt>
                <c:pt idx="4">
                  <c:v>2.7726008344923505</c:v>
                </c:pt>
                <c:pt idx="5">
                  <c:v>1.9731251850145113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2-4AEA-B0C8-675DA08C8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6650192"/>
        <c:axId val="1836661232"/>
      </c:barChart>
      <c:catAx>
        <c:axId val="1836650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661232"/>
        <c:crosses val="autoZero"/>
        <c:auto val="1"/>
        <c:lblAlgn val="ctr"/>
        <c:lblOffset val="100"/>
        <c:noMultiLvlLbl val="0"/>
      </c:catAx>
      <c:valAx>
        <c:axId val="1836661232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P/B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65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Valorisation Insurance — DDM vs Prix Actuel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DASHBOARD!$B$108</c:f>
              <c:strCache>
                <c:ptCount val="1"/>
                <c:pt idx="0">
                  <c:v>DDM (Gordon Growth)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dLbls>
            <c:dLbl>
              <c:idx val="0"/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CCD4-4AE1-81D9-DCA768C06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DASHBOARD!$C$108</c:f>
              <c:numCache>
                <c:formatCode>General</c:formatCode>
                <c:ptCount val="1"/>
                <c:pt idx="0">
                  <c:v>77.982897280466958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4-4AE1-81D9-DCA768C06610}"/>
            </c:ext>
          </c:extLst>
        </c:ser>
        <c:ser>
          <c:idx val="1"/>
          <c:order val="1"/>
          <c:tx>
            <c:strRef>
              <c:f>DASHBOARD!$B$109</c:f>
              <c:strCache>
                <c:ptCount val="1"/>
                <c:pt idx="0">
                  <c:v>Prix actuel (MET)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DASHBOARD!$C$109</c:f>
              <c:numCache>
                <c:formatCode>General</c:formatCode>
                <c:ptCount val="1"/>
                <c:pt idx="0">
                  <c:v>77.52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D4-4AE1-81D9-DCA768C06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6655952"/>
        <c:axId val="1836672752"/>
      </c:barChart>
      <c:catAx>
        <c:axId val="1836655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672752"/>
        <c:crosses val="autoZero"/>
        <c:auto val="1"/>
        <c:lblAlgn val="ctr"/>
        <c:lblOffset val="100"/>
        <c:noMultiLvlLbl val="0"/>
      </c:catAx>
      <c:valAx>
        <c:axId val="1836672752"/>
        <c:scaling>
          <c:orientation val="minMax"/>
          <c:max val="100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Prix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655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6062494852202461"/>
          <c:y val="3.4725376351076899E-2"/>
          <c:w val="0.80445997103692268"/>
          <c:h val="0.86844854735213683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ysClr val="window" lastClr="FFFFFF"/>
            </a:solidFill>
            <a:ln>
              <a:solidFill>
                <a:srgbClr val="FFFFFF"/>
              </a:solidFill>
              <a:prstDash val="solid"/>
            </a:ln>
          </c:spPr>
          <c:invertIfNegative val="0"/>
          <c:dLbls>
            <c:dLbl>
              <c:idx val="0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F1D-4C0D-9AB7-E9E4C88F6793}"/>
                </c:ext>
              </c:extLst>
            </c:dLbl>
            <c:dLbl>
              <c:idx val="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1D-4C0D-9AB7-E9E4C88F6793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F1D-4C0D-9AB7-E9E4C88F6793}"/>
                </c:ext>
              </c:extLst>
            </c:dLbl>
            <c:dLbl>
              <c:idx val="3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F1D-4C0D-9AB7-E9E4C88F6793}"/>
                </c:ext>
              </c:extLst>
            </c:dLbl>
            <c:dLbl>
              <c:idx val="4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F1D-4C0D-9AB7-E9E4C88F6793}"/>
                </c:ext>
              </c:extLst>
            </c:dLbl>
            <c:numFmt formatCode="#,##0.00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2'!$V$85:$V$89</c:f>
              <c:numCache>
                <c:formatCode>General</c:formatCode>
                <c:ptCount val="5"/>
                <c:pt idx="0">
                  <c:v>58.14</c:v>
                </c:pt>
                <c:pt idx="1">
                  <c:v>85.272000000000006</c:v>
                </c:pt>
                <c:pt idx="2">
                  <c:v>93.023999999999987</c:v>
                </c:pt>
                <c:pt idx="3">
                  <c:v>100.776</c:v>
                </c:pt>
                <c:pt idx="4">
                  <c:v>89.147999999999982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F1D-4C0D-9AB7-E9E4C88F6793}"/>
            </c:ext>
          </c:extLst>
        </c:ser>
        <c:ser>
          <c:idx val="1"/>
          <c:order val="1"/>
          <c:spPr>
            <a:solidFill>
              <a:srgbClr val="1B3E70"/>
            </a:solidFill>
            <a:ln>
              <a:noFill/>
              <a:prstDash val="solid"/>
            </a:ln>
          </c:spPr>
          <c:invertIfNegative val="0"/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2'!$W$85:$W$89</c:f>
              <c:numCache>
                <c:formatCode>General</c:formatCode>
                <c:ptCount val="5"/>
                <c:pt idx="0">
                  <c:v>54.263999999999996</c:v>
                </c:pt>
                <c:pt idx="1">
                  <c:v>38.759999999999991</c:v>
                </c:pt>
                <c:pt idx="2">
                  <c:v>42.63600000000001</c:v>
                </c:pt>
                <c:pt idx="3">
                  <c:v>42.63600000000001</c:v>
                </c:pt>
                <c:pt idx="4">
                  <c:v>42.63600000000001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F1D-4C0D-9AB7-E9E4C88F6793}"/>
            </c:ext>
          </c:extLst>
        </c:ser>
        <c:ser>
          <c:idx val="2"/>
          <c:order val="2"/>
          <c:spPr>
            <a:solidFill>
              <a:sysClr val="window" lastClr="FFFFFF"/>
            </a:solidFill>
            <a:ln>
              <a:noFill/>
              <a:prstDash val="solid"/>
            </a:ln>
          </c:spPr>
          <c:invertIfNegative val="0"/>
          <c:dLbls>
            <c:numFmt formatCode="#,##0.00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2'!$S$85:$S$89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2'!$X$85:$X$89</c:f>
              <c:numCache>
                <c:formatCode>General</c:formatCode>
                <c:ptCount val="5"/>
                <c:pt idx="0">
                  <c:v>112.404</c:v>
                </c:pt>
                <c:pt idx="1">
                  <c:v>124.032</c:v>
                </c:pt>
                <c:pt idx="2">
                  <c:v>135.66</c:v>
                </c:pt>
                <c:pt idx="3">
                  <c:v>143.41200000000001</c:v>
                </c:pt>
                <c:pt idx="4">
                  <c:v>131.78399999999999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F1D-4C0D-9AB7-E9E4C88F6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5"/>
        <c:overlap val="100"/>
        <c:axId val="1578284831"/>
        <c:axId val="1578285791"/>
      </c:barChart>
      <c:catAx>
        <c:axId val="1578284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5791"/>
        <c:crosses val="autoZero"/>
        <c:auto val="1"/>
        <c:lblAlgn val="ctr"/>
        <c:lblOffset val="100"/>
        <c:noMultiLvlLbl val="0"/>
      </c:catAx>
      <c:valAx>
        <c:axId val="1578285791"/>
        <c:scaling>
          <c:orientation val="minMax"/>
        </c:scaling>
        <c:delete val="0"/>
        <c:axPos val="b"/>
        <c:numFmt formatCode="@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4831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Net Premiums Earned — Historique &amp; Croissance ($M)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Total Revenue</c:v>
          </c:tx>
          <c:spPr>
            <a:solidFill>
              <a:schemeClr val="accent1"/>
            </a:solidFill>
            <a:ln w="254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2'!$C$106:$G$106</c:f>
              <c:strCache>
                <c:ptCount val="5"/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'DASHBOARD 2'!$C$108:$G$108</c:f>
              <c:numCache>
                <c:formatCode>General</c:formatCode>
                <c:ptCount val="5"/>
                <c:pt idx="0">
                  <c:v>0</c:v>
                </c:pt>
                <c:pt idx="1">
                  <c:v>67409</c:v>
                </c:pt>
                <c:pt idx="2">
                  <c:v>67934</c:v>
                </c:pt>
                <c:pt idx="3">
                  <c:v>70131</c:v>
                </c:pt>
                <c:pt idx="4">
                  <c:v>75654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7B-4382-940A-8190DD6FC44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2"/>
        <c:overlap val="100"/>
        <c:axId val="1595827455"/>
        <c:axId val="1595828895"/>
      </c:barChart>
      <c:lineChart>
        <c:grouping val="standard"/>
        <c:varyColors val="0"/>
        <c:ser>
          <c:idx val="1"/>
          <c:order val="1"/>
          <c:tx>
            <c:v>Revenue Growth (%)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numFmt formatCode="0.00%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36000" rIns="72000" bIns="108000" anchor="ctr" anchorCtr="1">
                <a:spAutoFit/>
              </a:bodyPr>
              <a:lstStyle/>
              <a:p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'DASHBOARD 2'!$C$106:$G$106</c:f>
              <c:strCache>
                <c:ptCount val="5"/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 (LTM)</c:v>
                </c:pt>
              </c:strCache>
            </c:strRef>
          </c:cat>
          <c:val>
            <c:numRef>
              <c:f>'DASHBOARD 2'!$C$107:$G$107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7.7882775297066775E-3</c:v>
                </c:pt>
                <c:pt idx="3">
                  <c:v>3.2340212559248682E-2</c:v>
                </c:pt>
                <c:pt idx="4">
                  <c:v>7.8752620096676162E-2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7B-4382-940A-8190DD6FC44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8833696"/>
        <c:axId val="1028832736"/>
      </c:lineChart>
      <c:catAx>
        <c:axId val="1595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8895"/>
        <c:crosses val="autoZero"/>
        <c:auto val="1"/>
        <c:lblAlgn val="ctr"/>
        <c:lblOffset val="100"/>
        <c:noMultiLvlLbl val="0"/>
      </c:catAx>
      <c:valAx>
        <c:axId val="159582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8E8E8"/>
              </a:solidFill>
              <a:prstDash val="solid"/>
              <a:round/>
            </a:ln>
          </c:spPr>
        </c:majorGridlines>
        <c:numFmt formatCode="@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7455"/>
        <c:crosses val="autoZero"/>
        <c:crossBetween val="between"/>
      </c:valAx>
      <c:catAx>
        <c:axId val="10288336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28832736"/>
        <c:crosses val="autoZero"/>
        <c:auto val="1"/>
        <c:lblAlgn val="ctr"/>
        <c:lblOffset val="100"/>
        <c:noMultiLvlLbl val="0"/>
      </c:catAx>
      <c:valAx>
        <c:axId val="1028832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2883369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INPUT!$D$115</c:f>
              <c:strCache>
                <c:ptCount val="1"/>
                <c:pt idx="0">
                  <c:v>MET</c:v>
                </c:pt>
              </c:strCache>
            </c:strRef>
          </c:tx>
          <c:spPr>
            <a:ln w="28575" cap="rnd">
              <a:solidFill>
                <a:srgbClr val="E8612C"/>
              </a:solidFill>
              <a:prstDash val="solid"/>
              <a:round/>
            </a:ln>
          </c:spPr>
          <c:marker>
            <c:symbol val="none"/>
          </c:marker>
          <c:cat>
            <c:strRef>
              <c:f>STOCK_DATA!$B$3:$B$15</c:f>
              <c:strCache>
                <c:ptCount val="12"/>
                <c:pt idx="0">
                  <c:v>May-25</c:v>
                </c:pt>
                <c:pt idx="1">
                  <c:v>Jun-25</c:v>
                </c:pt>
                <c:pt idx="2">
                  <c:v>Jul-25</c:v>
                </c:pt>
                <c:pt idx="3">
                  <c:v>Aug-25</c:v>
                </c:pt>
                <c:pt idx="4">
                  <c:v>Sep-25</c:v>
                </c:pt>
                <c:pt idx="5">
                  <c:v>Oct-25</c:v>
                </c:pt>
                <c:pt idx="6">
                  <c:v>Nov-25</c:v>
                </c:pt>
                <c:pt idx="7">
                  <c:v>Dec-25</c:v>
                </c:pt>
                <c:pt idx="8">
                  <c:v>Jan-26</c:v>
                </c:pt>
                <c:pt idx="9">
                  <c:v>Feb-26</c:v>
                </c:pt>
                <c:pt idx="10">
                  <c:v>Mar-26</c:v>
                </c:pt>
                <c:pt idx="11">
                  <c:v>Apr-26</c:v>
                </c:pt>
              </c:strCache>
            </c:strRef>
          </c:cat>
          <c:val>
            <c:numRef>
              <c:f>STOCK_DATA!$C$3:$C$15</c:f>
              <c:numCache>
                <c:formatCode>"€"#\ ##0.00</c:formatCode>
                <c:ptCount val="13"/>
                <c:pt idx="0">
                  <c:v>76.31</c:v>
                </c:pt>
                <c:pt idx="1">
                  <c:v>78.67</c:v>
                </c:pt>
                <c:pt idx="2">
                  <c:v>74.3</c:v>
                </c:pt>
                <c:pt idx="3">
                  <c:v>79.59</c:v>
                </c:pt>
                <c:pt idx="4">
                  <c:v>81.2</c:v>
                </c:pt>
                <c:pt idx="5">
                  <c:v>78.680000000000007</c:v>
                </c:pt>
                <c:pt idx="6">
                  <c:v>75.47</c:v>
                </c:pt>
                <c:pt idx="7">
                  <c:v>78.38</c:v>
                </c:pt>
                <c:pt idx="8">
                  <c:v>78.319999999999993</c:v>
                </c:pt>
                <c:pt idx="9">
                  <c:v>71.56</c:v>
                </c:pt>
                <c:pt idx="10">
                  <c:v>70.72</c:v>
                </c:pt>
                <c:pt idx="11">
                  <c:v>77.52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9E-4B95-B619-DAD8BE4B5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09328"/>
        <c:axId val="1116398288"/>
      </c:lineChart>
      <c:catAx>
        <c:axId val="11164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398288"/>
        <c:crosses val="autoZero"/>
        <c:auto val="1"/>
        <c:lblAlgn val="ctr"/>
        <c:lblOffset val="100"/>
        <c:tickLblSkip val="1"/>
        <c:noMultiLvlLbl val="0"/>
      </c:catAx>
      <c:valAx>
        <c:axId val="1116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c:spPr>
        </c:majorGridlines>
        <c:numFmt formatCode="&quot;€&quot;#\ 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40932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Résultat Assurance : UW Income, CFO &amp; Net Income ($M)</a:t>
            </a:r>
          </a:p>
        </c:rich>
      </c:tx>
      <c:overlay val="0"/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'DASHBOARD 2'!$R$96</c:f>
              <c:strCache>
                <c:ptCount val="1"/>
                <c:pt idx="0">
                  <c:v>EBITDA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2'!$S$96:$V$96</c:f>
              <c:numCache>
                <c:formatCode>General</c:formatCode>
                <c:ptCount val="4"/>
                <c:pt idx="0">
                  <c:v>-123625</c:v>
                </c:pt>
                <c:pt idx="1">
                  <c:v>-98784</c:v>
                </c:pt>
                <c:pt idx="2">
                  <c:v>-80478</c:v>
                </c:pt>
                <c:pt idx="3">
                  <c:v>-67530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65-48E5-9E81-7E7D486D0F1A}"/>
            </c:ext>
          </c:extLst>
        </c:ser>
        <c:ser>
          <c:idx val="1"/>
          <c:order val="1"/>
          <c:tx>
            <c:strRef>
              <c:f>'DASHBOARD 2'!$R$97</c:f>
              <c:strCache>
                <c:ptCount val="1"/>
                <c:pt idx="0">
                  <c:v>CFO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2'!$S$97:$V$97</c:f>
              <c:numCache>
                <c:formatCode>General</c:formatCode>
                <c:ptCount val="4"/>
                <c:pt idx="0">
                  <c:v>-99050</c:v>
                </c:pt>
                <c:pt idx="1">
                  <c:v>-88357</c:v>
                </c:pt>
                <c:pt idx="2">
                  <c:v>-65357</c:v>
                </c:pt>
                <c:pt idx="3">
                  <c:v>-57029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65-48E5-9E81-7E7D486D0F1A}"/>
            </c:ext>
          </c:extLst>
        </c:ser>
        <c:ser>
          <c:idx val="2"/>
          <c:order val="2"/>
          <c:tx>
            <c:strRef>
              <c:f>'DASHBOARD 2'!$R$98</c:f>
              <c:strCache>
                <c:ptCount val="1"/>
                <c:pt idx="0">
                  <c:v>Net Income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'DASHBOARD 2'!$S$95:$V$95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 (LTM)</c:v>
                </c:pt>
              </c:strCache>
            </c:strRef>
          </c:cat>
          <c:val>
            <c:numRef>
              <c:f>'DASHBOARD 2'!$S$98:$V$98</c:f>
              <c:numCache>
                <c:formatCode>General</c:formatCode>
                <c:ptCount val="4"/>
                <c:pt idx="0">
                  <c:v>-104284</c:v>
                </c:pt>
                <c:pt idx="1">
                  <c:v>-74214</c:v>
                </c:pt>
                <c:pt idx="2">
                  <c:v>-64944</c:v>
                </c:pt>
                <c:pt idx="3">
                  <c:v>-50628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65-48E5-9E81-7E7D486D0F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85920"/>
        <c:axId val="211486400"/>
      </c:lineChart>
      <c:catAx>
        <c:axId val="21148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86400"/>
        <c:crosses val="autoZero"/>
        <c:auto val="1"/>
        <c:lblAlgn val="ctr"/>
        <c:lblOffset val="100"/>
        <c:noMultiLvlLbl val="0"/>
      </c:catAx>
      <c:valAx>
        <c:axId val="211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@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4859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688731</xdr:colOff>
      <xdr:row>112</xdr:row>
      <xdr:rowOff>161193</xdr:rowOff>
    </xdr:from>
    <xdr:to>
      <xdr:col>9</xdr:col>
      <xdr:colOff>117231</xdr:colOff>
      <xdr:row>127</xdr:row>
      <xdr:rowOff>46893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112</xdr:row>
      <xdr:rowOff>161193</xdr:rowOff>
    </xdr:from>
    <xdr:to>
      <xdr:col>3</xdr:col>
      <xdr:colOff>419833</xdr:colOff>
      <xdr:row>127</xdr:row>
      <xdr:rowOff>46893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183</xdr:row>
      <xdr:rowOff>58419</xdr:rowOff>
    </xdr:from>
    <xdr:to>
      <xdr:col>5</xdr:col>
      <xdr:colOff>322580</xdr:colOff>
      <xdr:row>205</xdr:row>
      <xdr:rowOff>99059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A7CF503A-D8AA-13BF-67F1-836DDF8A49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816062</xdr:colOff>
      <xdr:row>45</xdr:row>
      <xdr:rowOff>116758</xdr:rowOff>
    </xdr:from>
    <xdr:to>
      <xdr:col>12</xdr:col>
      <xdr:colOff>39980</xdr:colOff>
      <xdr:row>60</xdr:row>
      <xdr:rowOff>46323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67</xdr:row>
      <xdr:rowOff>28575</xdr:rowOff>
    </xdr:from>
    <xdr:to>
      <xdr:col>3</xdr:col>
      <xdr:colOff>758825</xdr:colOff>
      <xdr:row>82</xdr:row>
      <xdr:rowOff>92075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566270</xdr:colOff>
      <xdr:row>65</xdr:row>
      <xdr:rowOff>4931</xdr:rowOff>
    </xdr:from>
    <xdr:to>
      <xdr:col>4</xdr:col>
      <xdr:colOff>421490</xdr:colOff>
      <xdr:row>83</xdr:row>
      <xdr:rowOff>131931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02A68B5-1D7F-99FC-ED2D-99BF636D21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25581</xdr:colOff>
      <xdr:row>7</xdr:row>
      <xdr:rowOff>113609</xdr:rowOff>
    </xdr:from>
    <xdr:to>
      <xdr:col>5</xdr:col>
      <xdr:colOff>1365213</xdr:colOff>
      <xdr:row>21</xdr:row>
      <xdr:rowOff>89647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168254</xdr:colOff>
      <xdr:row>24</xdr:row>
      <xdr:rowOff>83856</xdr:rowOff>
    </xdr:from>
    <xdr:to>
      <xdr:col>5</xdr:col>
      <xdr:colOff>1449369</xdr:colOff>
      <xdr:row>38</xdr:row>
      <xdr:rowOff>48633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75304</xdr:colOff>
      <xdr:row>7</xdr:row>
      <xdr:rowOff>103168</xdr:rowOff>
    </xdr:from>
    <xdr:to>
      <xdr:col>12</xdr:col>
      <xdr:colOff>295836</xdr:colOff>
      <xdr:row>21</xdr:row>
      <xdr:rowOff>134472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6A3B2D9A-3FC7-A87B-F85B-7853FDE5BC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57374</xdr:colOff>
      <xdr:row>24</xdr:row>
      <xdr:rowOff>103168</xdr:rowOff>
    </xdr:from>
    <xdr:to>
      <xdr:col>12</xdr:col>
      <xdr:colOff>116542</xdr:colOff>
      <xdr:row>38</xdr:row>
      <xdr:rowOff>44825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2EBE7D20-9529-7A86-2E4D-94F8858992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431889</xdr:colOff>
      <xdr:row>22</xdr:row>
      <xdr:rowOff>83548</xdr:rowOff>
    </xdr:from>
    <xdr:to>
      <xdr:col>14</xdr:col>
      <xdr:colOff>74295</xdr:colOff>
      <xdr:row>39</xdr:row>
      <xdr:rowOff>11669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28576</xdr:colOff>
      <xdr:row>42</xdr:row>
      <xdr:rowOff>171449</xdr:rowOff>
    </xdr:from>
    <xdr:to>
      <xdr:col>7</xdr:col>
      <xdr:colOff>56030</xdr:colOff>
      <xdr:row>59</xdr:row>
      <xdr:rowOff>56028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11205</xdr:colOff>
      <xdr:row>22</xdr:row>
      <xdr:rowOff>100853</xdr:rowOff>
    </xdr:from>
    <xdr:to>
      <xdr:col>6</xdr:col>
      <xdr:colOff>818029</xdr:colOff>
      <xdr:row>39</xdr:row>
      <xdr:rowOff>30629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419917</xdr:colOff>
      <xdr:row>22</xdr:row>
      <xdr:rowOff>58509</xdr:rowOff>
    </xdr:from>
    <xdr:to>
      <xdr:col>19</xdr:col>
      <xdr:colOff>639536</xdr:colOff>
      <xdr:row>39</xdr:row>
      <xdr:rowOff>68035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2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5EBDBCD-2C10-4BA1-AC87-2DEF5E362229}">
  <we:reference id="wa200009404" version="1.0.0.8" store="fr-FR" storeType="OMEX"/>
  <we:alternateReferences>
    <we:reference id="wa200009404" version="1.0.0.8" store="" storeType="OMEX"/>
  </we:alternateReferences>
  <we:properties>
    <we:property name="claude.fileId" value="&quot;bdd1f3f5-1493-4cf6-a65c-f842939673d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51"/>
  <sheetViews>
    <sheetView showGridLines="0" zoomScale="90" zoomScaleNormal="90" workbookViewId="0">
      <selection activeCell="D119" sqref="D119"/>
    </sheetView>
  </sheetViews>
  <sheetFormatPr baseColWidth="10" defaultRowHeight="14.4" x14ac:dyDescent="0.3"/>
  <cols>
    <col min="1" max="1" width="1.77734375" customWidth="1"/>
    <col min="2" max="2" width="50" style="19" customWidth="1"/>
    <col min="3" max="3" width="15.6640625" customWidth="1"/>
    <col min="4" max="4" width="17" style="21" bestFit="1" customWidth="1"/>
    <col min="5" max="8" width="13.33203125" style="21" customWidth="1"/>
  </cols>
  <sheetData>
    <row r="1" spans="1:8" ht="54.9" customHeight="1" x14ac:dyDescent="0.6">
      <c r="A1" s="5"/>
      <c r="B1" s="94" t="s">
        <v>85</v>
      </c>
      <c r="C1" s="5"/>
      <c r="D1" s="5"/>
      <c r="E1" s="5"/>
      <c r="F1" s="93"/>
      <c r="G1" s="5"/>
      <c r="H1" s="5"/>
    </row>
    <row r="2" spans="1:8" ht="15" customHeight="1" x14ac:dyDescent="0.35">
      <c r="A2" s="3"/>
      <c r="B2" s="14"/>
      <c r="C2" s="3"/>
      <c r="D2" s="22"/>
      <c r="E2" s="22"/>
      <c r="F2" s="22"/>
      <c r="G2" s="22"/>
      <c r="H2" s="22"/>
    </row>
    <row r="3" spans="1:8" ht="18" customHeight="1" x14ac:dyDescent="0.5">
      <c r="A3" s="101"/>
      <c r="B3" s="15" t="s">
        <v>358</v>
      </c>
      <c r="C3" s="7"/>
      <c r="D3" s="7"/>
      <c r="E3" s="23"/>
      <c r="F3" s="23"/>
      <c r="G3" s="23"/>
      <c r="H3" s="23"/>
    </row>
    <row r="4" spans="1:8" ht="15" customHeight="1" x14ac:dyDescent="0.35">
      <c r="A4" s="3"/>
      <c r="B4" s="12" t="s">
        <v>0</v>
      </c>
      <c r="C4" s="3"/>
      <c r="D4" s="22"/>
      <c r="E4" s="22"/>
      <c r="F4" s="22"/>
      <c r="G4" s="22"/>
      <c r="H4" s="22"/>
    </row>
    <row r="5" spans="1:8" ht="15" customHeight="1" x14ac:dyDescent="0.35">
      <c r="A5" s="198"/>
      <c r="B5" s="16" t="s">
        <v>1</v>
      </c>
      <c r="C5" s="1" t="s">
        <v>2</v>
      </c>
      <c r="D5" s="1"/>
      <c r="E5" s="504">
        <v>2022</v>
      </c>
      <c r="F5" s="504">
        <v>2023</v>
      </c>
      <c r="G5" s="504">
        <v>2024</v>
      </c>
      <c r="H5" s="24" t="s">
        <v>3</v>
      </c>
    </row>
    <row r="6" spans="1:8" ht="15" customHeight="1" x14ac:dyDescent="0.35">
      <c r="A6" s="3"/>
      <c r="B6" s="14"/>
      <c r="C6" s="3"/>
      <c r="D6" s="22"/>
      <c r="E6" s="22"/>
      <c r="F6" s="22"/>
      <c r="G6" s="22"/>
      <c r="H6" s="22"/>
    </row>
    <row r="7" spans="1:8" ht="18" customHeight="1" x14ac:dyDescent="0.5">
      <c r="A7" s="101" t="s">
        <v>4</v>
      </c>
      <c r="B7" s="15" t="s">
        <v>5</v>
      </c>
      <c r="C7" s="7"/>
      <c r="D7" s="23"/>
      <c r="E7" s="23"/>
      <c r="F7" s="23"/>
      <c r="G7" s="23"/>
      <c r="H7" s="23"/>
    </row>
    <row r="8" spans="1:8" ht="18" customHeight="1" x14ac:dyDescent="0.5">
      <c r="A8" s="101"/>
      <c r="B8" s="100"/>
      <c r="C8" s="101"/>
      <c r="D8" s="99"/>
      <c r="E8" s="99"/>
      <c r="F8" s="99"/>
      <c r="G8" s="99"/>
      <c r="H8" s="99"/>
    </row>
    <row r="9" spans="1:8" ht="15" customHeight="1" x14ac:dyDescent="0.35">
      <c r="A9" s="3"/>
      <c r="B9" s="17" t="s">
        <v>359</v>
      </c>
      <c r="C9" s="40" t="s">
        <v>7</v>
      </c>
      <c r="D9" s="207"/>
      <c r="E9" s="392">
        <v>67409</v>
      </c>
      <c r="F9" s="392">
        <v>67934</v>
      </c>
      <c r="G9" s="392">
        <v>70131</v>
      </c>
      <c r="H9" s="392">
        <v>75654</v>
      </c>
    </row>
    <row r="10" spans="1:8" ht="15" customHeight="1" x14ac:dyDescent="0.35">
      <c r="A10" s="3"/>
      <c r="B10" s="17" t="s">
        <v>360</v>
      </c>
      <c r="C10" s="40" t="s">
        <v>7</v>
      </c>
      <c r="D10" s="208"/>
      <c r="E10" s="393">
        <v>-182099</v>
      </c>
      <c r="F10" s="393">
        <v>-156572</v>
      </c>
      <c r="G10" s="393">
        <v>-140078</v>
      </c>
      <c r="H10" s="393">
        <v>-130497</v>
      </c>
    </row>
    <row r="11" spans="1:8" ht="15" customHeight="1" x14ac:dyDescent="0.35">
      <c r="A11" s="3"/>
      <c r="B11" s="49" t="s">
        <v>361</v>
      </c>
      <c r="C11" s="50" t="s">
        <v>7</v>
      </c>
      <c r="D11" s="274">
        <f>D9+D10</f>
        <v>0</v>
      </c>
      <c r="E11" s="274">
        <f>E9+E10</f>
        <v>-114690</v>
      </c>
      <c r="F11" s="274">
        <f>F9+F10</f>
        <v>-88638</v>
      </c>
      <c r="G11" s="274">
        <f>G9+G10</f>
        <v>-69947</v>
      </c>
      <c r="H11" s="274">
        <f>H9+H10</f>
        <v>-54843</v>
      </c>
    </row>
    <row r="12" spans="1:8" ht="15" customHeight="1" x14ac:dyDescent="0.35">
      <c r="A12" s="3"/>
      <c r="B12" s="49"/>
      <c r="C12" s="50"/>
      <c r="D12" s="51"/>
      <c r="E12" s="51"/>
      <c r="F12" s="51"/>
      <c r="G12" s="51"/>
      <c r="H12" s="51"/>
    </row>
    <row r="13" spans="1:8" ht="15" customHeight="1" x14ac:dyDescent="0.35">
      <c r="A13" s="3"/>
      <c r="B13" s="49"/>
      <c r="C13" s="50"/>
      <c r="D13" s="274">
        <f>SUM(D14:D16)</f>
        <v>0</v>
      </c>
      <c r="E13" s="274">
        <f>SUM(E14:E16)</f>
        <v>-9608</v>
      </c>
      <c r="F13" s="274">
        <f>SUM(F14:F16)</f>
        <v>-10864</v>
      </c>
      <c r="G13" s="274">
        <f>SUM(G14:G16)</f>
        <v>-11245</v>
      </c>
      <c r="H13" s="274">
        <f>SUM(H14:H16)</f>
        <v>-13440</v>
      </c>
    </row>
    <row r="14" spans="1:8" ht="15" customHeight="1" x14ac:dyDescent="0.35">
      <c r="A14" s="3"/>
      <c r="B14" s="17" t="s">
        <v>362</v>
      </c>
      <c r="C14" s="40" t="s">
        <v>7</v>
      </c>
      <c r="D14" s="207"/>
      <c r="E14" s="392">
        <v>-5860</v>
      </c>
      <c r="F14" s="392">
        <v>-6177</v>
      </c>
      <c r="G14" s="392">
        <v>-5991</v>
      </c>
      <c r="H14" s="392">
        <v>-6276</v>
      </c>
    </row>
    <row r="15" spans="1:8" ht="15" customHeight="1" x14ac:dyDescent="0.35">
      <c r="A15" s="3"/>
      <c r="B15" s="17" t="s">
        <v>363</v>
      </c>
      <c r="C15" s="40" t="s">
        <v>7</v>
      </c>
      <c r="D15" s="207"/>
      <c r="E15" s="392">
        <v>-3075</v>
      </c>
      <c r="F15" s="392">
        <v>-3969</v>
      </c>
      <c r="G15" s="392">
        <v>-4540</v>
      </c>
      <c r="H15" s="392">
        <v>-6411</v>
      </c>
    </row>
    <row r="16" spans="1:8" ht="15" customHeight="1" x14ac:dyDescent="0.35">
      <c r="A16" s="3"/>
      <c r="B16" s="17" t="s">
        <v>10</v>
      </c>
      <c r="C16" s="40" t="s">
        <v>7</v>
      </c>
      <c r="D16" s="209"/>
      <c r="E16" s="393">
        <v>-673</v>
      </c>
      <c r="F16" s="393">
        <v>-718</v>
      </c>
      <c r="G16" s="393">
        <v>-714</v>
      </c>
      <c r="H16" s="393">
        <v>-753</v>
      </c>
    </row>
    <row r="17" spans="1:8" ht="15" customHeight="1" x14ac:dyDescent="0.35">
      <c r="A17" s="3"/>
      <c r="B17" s="49" t="s">
        <v>11</v>
      </c>
      <c r="C17" s="50" t="s">
        <v>7</v>
      </c>
      <c r="D17" s="274">
        <f>D11+D13</f>
        <v>0</v>
      </c>
      <c r="E17" s="274">
        <f>E11+E13</f>
        <v>-124298</v>
      </c>
      <c r="F17" s="274">
        <f>F11+F13</f>
        <v>-99502</v>
      </c>
      <c r="G17" s="274">
        <f>G11+G13</f>
        <v>-81192</v>
      </c>
      <c r="H17" s="274">
        <f>H11+H13</f>
        <v>-68283</v>
      </c>
    </row>
    <row r="18" spans="1:8" ht="15" customHeight="1" x14ac:dyDescent="0.35">
      <c r="A18" s="3"/>
      <c r="B18" s="49"/>
      <c r="C18" s="50"/>
      <c r="D18" s="51"/>
      <c r="E18" s="51"/>
      <c r="F18" s="51"/>
      <c r="G18" s="51"/>
      <c r="H18" s="51"/>
    </row>
    <row r="19" spans="1:8" ht="15" customHeight="1" x14ac:dyDescent="0.35">
      <c r="A19" s="3"/>
      <c r="B19" s="49"/>
      <c r="C19" s="50"/>
      <c r="D19" s="274">
        <f>D17+D20+D21</f>
        <v>0</v>
      </c>
      <c r="E19" s="274">
        <f>E17+E20+E21</f>
        <v>-125236</v>
      </c>
      <c r="F19" s="274">
        <f>F17+F20+F21</f>
        <v>-100547</v>
      </c>
      <c r="G19" s="274">
        <f>G17+G20+G21</f>
        <v>-82229</v>
      </c>
      <c r="H19" s="274">
        <f>H17+H20+H21</f>
        <v>-69344</v>
      </c>
    </row>
    <row r="20" spans="1:8" ht="15" customHeight="1" x14ac:dyDescent="0.35">
      <c r="A20" s="3"/>
      <c r="B20" s="17" t="s">
        <v>12</v>
      </c>
      <c r="C20" s="40" t="s">
        <v>7</v>
      </c>
      <c r="D20" s="207"/>
      <c r="E20" s="392">
        <v>-938</v>
      </c>
      <c r="F20" s="392">
        <v>-1045</v>
      </c>
      <c r="G20" s="392">
        <v>-1037</v>
      </c>
      <c r="H20" s="392">
        <v>-1061</v>
      </c>
    </row>
    <row r="21" spans="1:8" ht="15" customHeight="1" x14ac:dyDescent="0.35">
      <c r="A21" s="3"/>
      <c r="B21" s="17" t="s">
        <v>364</v>
      </c>
      <c r="C21" s="40" t="s">
        <v>7</v>
      </c>
      <c r="D21" s="209"/>
      <c r="E21" s="393">
        <v>0</v>
      </c>
      <c r="F21" s="393">
        <v>0</v>
      </c>
      <c r="G21" s="393">
        <v>0</v>
      </c>
      <c r="H21" s="393">
        <v>0</v>
      </c>
    </row>
    <row r="22" spans="1:8" ht="15" customHeight="1" x14ac:dyDescent="0.35">
      <c r="A22" s="3"/>
      <c r="B22" s="49" t="s">
        <v>13</v>
      </c>
      <c r="C22" s="50" t="s">
        <v>7</v>
      </c>
      <c r="D22" s="274">
        <f>D19</f>
        <v>0</v>
      </c>
      <c r="E22" s="274">
        <f>E19</f>
        <v>-125236</v>
      </c>
      <c r="F22" s="274">
        <f>F19</f>
        <v>-100547</v>
      </c>
      <c r="G22" s="274">
        <f>G19</f>
        <v>-82229</v>
      </c>
      <c r="H22" s="274">
        <f>H19</f>
        <v>-69344</v>
      </c>
    </row>
    <row r="23" spans="1:8" ht="15" customHeight="1" x14ac:dyDescent="0.35">
      <c r="A23" s="3"/>
      <c r="B23" s="49"/>
      <c r="C23" s="50"/>
      <c r="D23" s="51"/>
      <c r="E23" s="51"/>
      <c r="F23" s="51"/>
      <c r="G23" s="51"/>
      <c r="H23" s="51"/>
    </row>
    <row r="24" spans="1:8" ht="15" customHeight="1" x14ac:dyDescent="0.35">
      <c r="A24" s="3"/>
      <c r="B24" s="49"/>
      <c r="C24" s="50"/>
      <c r="D24" s="274">
        <f>-ROUND(D22*0.21,0)</f>
        <v>0</v>
      </c>
      <c r="E24" s="274">
        <f>-ROUND(E22*E104,0)</f>
        <v>20952</v>
      </c>
      <c r="F24" s="274">
        <f>-ROUND(F22*F104,0)</f>
        <v>26333</v>
      </c>
      <c r="G24" s="274">
        <f>-ROUND(G22*G104,0)</f>
        <v>17285</v>
      </c>
      <c r="H24" s="274">
        <f>-ROUND(H22*H104,0)</f>
        <v>18716</v>
      </c>
    </row>
    <row r="25" spans="1:8" ht="15" customHeight="1" x14ac:dyDescent="0.35">
      <c r="A25" s="3"/>
      <c r="B25" s="17" t="s">
        <v>14</v>
      </c>
      <c r="C25" s="40" t="s">
        <v>7</v>
      </c>
      <c r="D25" s="207"/>
      <c r="E25" s="392">
        <v>-1062</v>
      </c>
      <c r="F25" s="392">
        <v>-560</v>
      </c>
      <c r="G25" s="392">
        <v>-1178</v>
      </c>
      <c r="H25" s="392">
        <v>-1258</v>
      </c>
    </row>
    <row r="26" spans="1:8" ht="15" customHeight="1" thickBot="1" x14ac:dyDescent="0.4">
      <c r="A26" s="3"/>
      <c r="B26" s="52" t="s">
        <v>15</v>
      </c>
      <c r="C26" s="50" t="s">
        <v>7</v>
      </c>
      <c r="D26" s="398">
        <f>D22+D24</f>
        <v>0</v>
      </c>
      <c r="E26" s="398">
        <f>E22+E24</f>
        <v>-104284</v>
      </c>
      <c r="F26" s="398">
        <f>F22+F24</f>
        <v>-74214</v>
      </c>
      <c r="G26" s="398">
        <f>G22+G24</f>
        <v>-64944</v>
      </c>
      <c r="H26" s="398">
        <f>H22+H24</f>
        <v>-50628</v>
      </c>
    </row>
    <row r="27" spans="1:8" ht="15" customHeight="1" x14ac:dyDescent="0.35">
      <c r="A27" s="3"/>
      <c r="B27" s="52"/>
      <c r="C27" s="50"/>
      <c r="D27" s="51"/>
      <c r="E27" s="51"/>
      <c r="F27" s="51"/>
      <c r="G27" s="51"/>
      <c r="H27" s="51"/>
    </row>
    <row r="28" spans="1:8" ht="15" customHeight="1" x14ac:dyDescent="0.35">
      <c r="A28" s="3"/>
      <c r="B28" s="52"/>
      <c r="C28" s="50"/>
    </row>
    <row r="29" spans="1:8" ht="15" customHeight="1" x14ac:dyDescent="0.35">
      <c r="A29" s="3"/>
      <c r="B29" s="17" t="s">
        <v>16</v>
      </c>
      <c r="C29" s="40" t="s">
        <v>7</v>
      </c>
      <c r="D29" s="207"/>
      <c r="E29" s="392">
        <v>-3326</v>
      </c>
      <c r="F29" s="392">
        <v>-3103</v>
      </c>
      <c r="G29" s="392">
        <v>-3207</v>
      </c>
      <c r="H29" s="392">
        <v>-2883</v>
      </c>
    </row>
    <row r="30" spans="1:8" ht="15" customHeight="1" x14ac:dyDescent="0.35">
      <c r="A30" s="3"/>
      <c r="B30" s="49" t="s">
        <v>365</v>
      </c>
      <c r="C30" s="50" t="s">
        <v>7</v>
      </c>
      <c r="D30" s="274">
        <f>D17-D16</f>
        <v>0</v>
      </c>
      <c r="E30" s="274">
        <f>E17-E16</f>
        <v>-123625</v>
      </c>
      <c r="F30" s="274">
        <f>F17-F16</f>
        <v>-98784</v>
      </c>
      <c r="G30" s="274">
        <f>G17-G16</f>
        <v>-80478</v>
      </c>
      <c r="H30" s="274">
        <f>H17-H16</f>
        <v>-67530</v>
      </c>
    </row>
    <row r="31" spans="1:8" ht="15" customHeight="1" x14ac:dyDescent="0.35">
      <c r="A31" s="3"/>
      <c r="B31" s="14"/>
      <c r="C31" s="9"/>
      <c r="D31" s="41"/>
      <c r="E31" s="41"/>
      <c r="F31" s="41"/>
      <c r="G31" s="41"/>
      <c r="H31" s="41"/>
    </row>
    <row r="32" spans="1:8" ht="18" customHeight="1" x14ac:dyDescent="0.5">
      <c r="A32" s="101" t="s">
        <v>4</v>
      </c>
      <c r="B32" s="47" t="s">
        <v>18</v>
      </c>
      <c r="C32" s="42"/>
      <c r="D32" s="7"/>
      <c r="E32" s="43"/>
      <c r="F32" s="43"/>
      <c r="G32" s="43"/>
      <c r="H32" s="43"/>
    </row>
    <row r="33" spans="1:8" ht="18" customHeight="1" x14ac:dyDescent="0.5">
      <c r="A33" s="101"/>
      <c r="B33" s="103"/>
      <c r="C33" s="102"/>
      <c r="D33" s="104"/>
      <c r="E33" s="104"/>
      <c r="F33" s="104"/>
      <c r="G33" s="104"/>
      <c r="H33" s="104"/>
    </row>
    <row r="34" spans="1:8" ht="15" customHeight="1" x14ac:dyDescent="0.35">
      <c r="A34" s="3"/>
      <c r="B34" s="17" t="s">
        <v>19</v>
      </c>
      <c r="C34" s="40" t="s">
        <v>7</v>
      </c>
      <c r="D34" s="210"/>
      <c r="E34" s="392">
        <v>20195</v>
      </c>
      <c r="F34" s="392">
        <v>20639</v>
      </c>
      <c r="G34" s="392">
        <v>20068</v>
      </c>
      <c r="H34" s="392">
        <v>22032</v>
      </c>
    </row>
    <row r="35" spans="1:8" ht="15" customHeight="1" x14ac:dyDescent="0.35">
      <c r="A35" s="3"/>
      <c r="B35" s="17" t="s">
        <v>366</v>
      </c>
      <c r="C35" s="40" t="s">
        <v>7</v>
      </c>
      <c r="D35" s="207"/>
      <c r="E35" s="392">
        <v>17364</v>
      </c>
      <c r="F35" s="392">
        <v>28971</v>
      </c>
      <c r="G35" s="392">
        <v>29761</v>
      </c>
      <c r="H35" s="392">
        <v>49059</v>
      </c>
    </row>
    <row r="36" spans="1:8" ht="15" customHeight="1" x14ac:dyDescent="0.35">
      <c r="A36" s="3"/>
      <c r="B36" s="17" t="s">
        <v>367</v>
      </c>
      <c r="C36" s="40" t="s">
        <v>7</v>
      </c>
      <c r="D36" s="207"/>
      <c r="E36" s="392">
        <v>22936</v>
      </c>
      <c r="F36" s="392">
        <v>19317</v>
      </c>
      <c r="G36" s="392">
        <v>18868</v>
      </c>
      <c r="H36" s="392">
        <v>16663</v>
      </c>
    </row>
    <row r="37" spans="1:8" ht="15" customHeight="1" x14ac:dyDescent="0.35">
      <c r="A37" s="3"/>
      <c r="B37" s="17" t="s">
        <v>368</v>
      </c>
      <c r="C37" s="40" t="s">
        <v>7</v>
      </c>
      <c r="D37" s="209"/>
      <c r="E37" s="393">
        <v>63</v>
      </c>
      <c r="F37" s="393">
        <v>60</v>
      </c>
      <c r="G37" s="393">
        <v>71</v>
      </c>
      <c r="H37" s="393">
        <v>105</v>
      </c>
    </row>
    <row r="38" spans="1:8" ht="15" customHeight="1" x14ac:dyDescent="0.35">
      <c r="A38" s="3"/>
      <c r="B38" s="49" t="s">
        <v>20</v>
      </c>
      <c r="C38" s="50" t="s">
        <v>7</v>
      </c>
      <c r="D38" s="274">
        <f>SUM(D34:D37)</f>
        <v>0</v>
      </c>
      <c r="E38" s="274">
        <f>SUM(E34:E37)</f>
        <v>60558</v>
      </c>
      <c r="F38" s="274">
        <f>SUM(F34:F37)</f>
        <v>68987</v>
      </c>
      <c r="G38" s="274">
        <f>SUM(G34:G37)</f>
        <v>68768</v>
      </c>
      <c r="H38" s="274">
        <f>SUM(H34:H37)</f>
        <v>87859</v>
      </c>
    </row>
    <row r="39" spans="1:8" ht="15" customHeight="1" x14ac:dyDescent="0.35">
      <c r="A39" s="3"/>
      <c r="B39" s="49"/>
      <c r="C39" s="50"/>
      <c r="D39" s="51"/>
      <c r="E39" s="51"/>
      <c r="F39" s="51"/>
      <c r="G39" s="51"/>
      <c r="H39" s="51"/>
    </row>
    <row r="40" spans="1:8" ht="15" customHeight="1" x14ac:dyDescent="0.35">
      <c r="A40" s="3"/>
      <c r="B40" s="49"/>
      <c r="C40" s="50"/>
      <c r="D40" s="51"/>
      <c r="E40" s="51"/>
      <c r="F40" s="51"/>
      <c r="G40" s="51"/>
      <c r="H40" s="51"/>
    </row>
    <row r="41" spans="1:8" ht="15" customHeight="1" x14ac:dyDescent="0.35">
      <c r="A41" s="3"/>
      <c r="B41" s="17" t="s">
        <v>369</v>
      </c>
      <c r="C41" s="40" t="s">
        <v>7</v>
      </c>
      <c r="D41" s="207"/>
      <c r="E41" s="392">
        <v>1926</v>
      </c>
      <c r="F41" s="392">
        <v>1993</v>
      </c>
      <c r="G41" s="392">
        <v>1851</v>
      </c>
      <c r="H41" s="392">
        <v>1698</v>
      </c>
    </row>
    <row r="42" spans="1:8" ht="15" customHeight="1" x14ac:dyDescent="0.35">
      <c r="A42" s="3"/>
      <c r="B42" s="17" t="s">
        <v>370</v>
      </c>
      <c r="C42" s="40" t="s">
        <v>7</v>
      </c>
      <c r="D42" s="207"/>
      <c r="E42" s="392">
        <v>9297</v>
      </c>
      <c r="F42" s="392">
        <v>9236</v>
      </c>
      <c r="G42" s="392">
        <v>8901</v>
      </c>
      <c r="H42" s="392">
        <v>9613</v>
      </c>
    </row>
    <row r="43" spans="1:8" ht="15" customHeight="1" x14ac:dyDescent="0.35">
      <c r="A43" s="3"/>
      <c r="B43" s="17" t="s">
        <v>21</v>
      </c>
      <c r="C43" s="40" t="s">
        <v>7</v>
      </c>
      <c r="D43" s="207"/>
      <c r="E43" s="392">
        <v>301</v>
      </c>
      <c r="F43" s="392">
        <v>330</v>
      </c>
      <c r="G43" s="392">
        <v>154</v>
      </c>
      <c r="H43" s="392">
        <v>288</v>
      </c>
    </row>
    <row r="44" spans="1:8" ht="15" customHeight="1" thickBot="1" x14ac:dyDescent="0.4">
      <c r="A44" s="3"/>
      <c r="B44" s="49" t="s">
        <v>22</v>
      </c>
      <c r="C44" s="50" t="s">
        <v>7</v>
      </c>
      <c r="D44" s="398">
        <f>D38+SUM(D41:D43)</f>
        <v>0</v>
      </c>
      <c r="E44" s="398">
        <f>E38+SUM(E41:E43)</f>
        <v>72082</v>
      </c>
      <c r="F44" s="398">
        <f>F38+SUM(F41:F43)</f>
        <v>80546</v>
      </c>
      <c r="G44" s="398">
        <f>G38+SUM(G41:G43)</f>
        <v>79674</v>
      </c>
      <c r="H44" s="398">
        <f>H38+SUM(H41:H43)</f>
        <v>99458</v>
      </c>
    </row>
    <row r="45" spans="1:8" ht="15" customHeight="1" x14ac:dyDescent="0.35">
      <c r="A45" s="3"/>
      <c r="B45" s="49"/>
      <c r="C45" s="50"/>
      <c r="D45" s="51"/>
      <c r="E45" s="51"/>
      <c r="F45" s="51"/>
      <c r="G45" s="51"/>
      <c r="H45" s="51"/>
    </row>
    <row r="46" spans="1:8" ht="15" customHeight="1" x14ac:dyDescent="0.35">
      <c r="A46" s="3"/>
      <c r="B46" s="49"/>
      <c r="C46" s="50"/>
      <c r="D46" s="51"/>
      <c r="E46" s="51"/>
      <c r="F46" s="51"/>
      <c r="G46" s="51"/>
      <c r="H46" s="51"/>
    </row>
    <row r="47" spans="1:8" ht="15" customHeight="1" x14ac:dyDescent="0.35">
      <c r="A47" s="3"/>
      <c r="B47" s="17" t="s">
        <v>371</v>
      </c>
      <c r="C47" s="40" t="s">
        <v>7</v>
      </c>
      <c r="D47" s="207"/>
      <c r="E47" s="392">
        <v>387</v>
      </c>
      <c r="F47" s="392">
        <v>386</v>
      </c>
      <c r="G47" s="392">
        <v>385</v>
      </c>
      <c r="H47" s="392">
        <v>356</v>
      </c>
    </row>
    <row r="48" spans="1:8" ht="15" customHeight="1" x14ac:dyDescent="0.35">
      <c r="A48" s="3"/>
      <c r="B48" s="17" t="s">
        <v>23</v>
      </c>
      <c r="C48" s="40" t="s">
        <v>7</v>
      </c>
      <c r="D48" s="207"/>
      <c r="E48" s="392">
        <v>175</v>
      </c>
      <c r="F48" s="392">
        <v>119</v>
      </c>
      <c r="G48" s="392">
        <v>465</v>
      </c>
      <c r="H48" s="392">
        <v>1561</v>
      </c>
    </row>
    <row r="49" spans="1:8" ht="15" customHeight="1" x14ac:dyDescent="0.35">
      <c r="A49" s="3"/>
      <c r="B49" s="17" t="s">
        <v>372</v>
      </c>
      <c r="C49" s="40" t="s">
        <v>7</v>
      </c>
      <c r="D49" s="207"/>
      <c r="E49" s="392">
        <v>14780</v>
      </c>
      <c r="F49" s="392">
        <v>13974</v>
      </c>
      <c r="G49" s="392">
        <v>12561</v>
      </c>
      <c r="H49" s="392">
        <v>10427</v>
      </c>
    </row>
    <row r="50" spans="1:8" ht="15" customHeight="1" x14ac:dyDescent="0.35">
      <c r="A50" s="3"/>
      <c r="B50" s="17" t="s">
        <v>373</v>
      </c>
      <c r="C50" s="40" t="s">
        <v>7</v>
      </c>
      <c r="D50" s="209"/>
      <c r="E50" s="393">
        <v>35841</v>
      </c>
      <c r="F50" s="393">
        <v>21070</v>
      </c>
      <c r="G50" s="393">
        <v>22285</v>
      </c>
      <c r="H50" s="393">
        <v>27890</v>
      </c>
    </row>
    <row r="51" spans="1:8" ht="15" customHeight="1" x14ac:dyDescent="0.35">
      <c r="A51" s="3"/>
      <c r="B51" s="49" t="s">
        <v>24</v>
      </c>
      <c r="C51" s="50" t="s">
        <v>7</v>
      </c>
      <c r="D51" s="274">
        <f>SUM(D47:D50)</f>
        <v>0</v>
      </c>
      <c r="E51" s="274">
        <f>SUM(E47:E50)</f>
        <v>51183</v>
      </c>
      <c r="F51" s="274">
        <f>SUM(F47:F50)</f>
        <v>35549</v>
      </c>
      <c r="G51" s="274">
        <f>SUM(G47:G50)</f>
        <v>35696</v>
      </c>
      <c r="H51" s="274">
        <f>SUM(H47:H50)</f>
        <v>40234</v>
      </c>
    </row>
    <row r="52" spans="1:8" ht="15" customHeight="1" x14ac:dyDescent="0.35">
      <c r="A52" s="3"/>
      <c r="B52" s="49"/>
      <c r="C52" s="50"/>
      <c r="D52" s="51"/>
      <c r="E52" s="51"/>
      <c r="F52" s="51"/>
      <c r="G52" s="51"/>
      <c r="H52" s="51"/>
    </row>
    <row r="53" spans="1:8" ht="15" customHeight="1" x14ac:dyDescent="0.35">
      <c r="A53" s="3"/>
      <c r="B53" s="49"/>
      <c r="C53" s="50"/>
      <c r="D53" s="51"/>
      <c r="E53" s="51"/>
      <c r="F53" s="51"/>
      <c r="G53" s="51"/>
      <c r="H53" s="51"/>
    </row>
    <row r="54" spans="1:8" ht="15" customHeight="1" x14ac:dyDescent="0.35">
      <c r="A54" s="3"/>
      <c r="B54" s="17" t="s">
        <v>25</v>
      </c>
      <c r="C54" s="40" t="s">
        <v>7</v>
      </c>
      <c r="D54" s="209"/>
      <c r="E54" s="393">
        <v>17749</v>
      </c>
      <c r="F54" s="393">
        <v>18677</v>
      </c>
      <c r="G54" s="393">
        <v>18244</v>
      </c>
      <c r="H54" s="393">
        <v>18616</v>
      </c>
    </row>
    <row r="55" spans="1:8" ht="15" customHeight="1" x14ac:dyDescent="0.35">
      <c r="A55" s="3"/>
      <c r="B55" s="52" t="s">
        <v>26</v>
      </c>
      <c r="C55" s="50" t="s">
        <v>7</v>
      </c>
      <c r="D55" s="274">
        <f>D51+D54</f>
        <v>0</v>
      </c>
      <c r="E55" s="274">
        <f>E51+E54</f>
        <v>68932</v>
      </c>
      <c r="F55" s="274">
        <f>F51+F54</f>
        <v>54226</v>
      </c>
      <c r="G55" s="274">
        <f>G51+G54</f>
        <v>53940</v>
      </c>
      <c r="H55" s="274">
        <f>H51+H54</f>
        <v>58850</v>
      </c>
    </row>
    <row r="56" spans="1:8" ht="15" customHeight="1" x14ac:dyDescent="0.35">
      <c r="A56" s="3"/>
      <c r="B56" s="52"/>
      <c r="C56" s="50"/>
      <c r="D56" s="51"/>
      <c r="E56" s="51"/>
      <c r="F56" s="51"/>
      <c r="G56" s="51"/>
      <c r="H56" s="51"/>
    </row>
    <row r="57" spans="1:8" ht="15" customHeight="1" x14ac:dyDescent="0.35">
      <c r="A57" s="3"/>
      <c r="B57" s="52"/>
      <c r="C57" s="50"/>
      <c r="D57" s="51"/>
      <c r="E57" s="51"/>
      <c r="F57" s="51"/>
      <c r="G57" s="51"/>
      <c r="H57" s="51"/>
    </row>
    <row r="58" spans="1:8" ht="15" customHeight="1" x14ac:dyDescent="0.35">
      <c r="A58" s="3"/>
      <c r="B58" s="17" t="s">
        <v>27</v>
      </c>
      <c r="C58" s="40" t="s">
        <v>7</v>
      </c>
      <c r="D58" s="207"/>
      <c r="E58" s="392">
        <v>33628</v>
      </c>
      <c r="F58" s="392">
        <v>33702</v>
      </c>
      <c r="G58" s="392">
        <v>33803</v>
      </c>
      <c r="H58" s="392">
        <v>32870</v>
      </c>
    </row>
    <row r="59" spans="1:8" ht="15" customHeight="1" x14ac:dyDescent="0.35">
      <c r="A59" s="3"/>
      <c r="B59" s="17" t="s">
        <v>28</v>
      </c>
      <c r="C59" s="40" t="s">
        <v>7</v>
      </c>
      <c r="D59" s="212"/>
      <c r="E59" s="393">
        <v>40332</v>
      </c>
      <c r="F59" s="393">
        <v>40146</v>
      </c>
      <c r="G59" s="393">
        <v>42626</v>
      </c>
      <c r="H59" s="393">
        <v>44290</v>
      </c>
    </row>
    <row r="60" spans="1:8" ht="15" customHeight="1" x14ac:dyDescent="0.35">
      <c r="A60" s="3"/>
      <c r="B60" s="52" t="s">
        <v>29</v>
      </c>
      <c r="C60" s="50" t="s">
        <v>7</v>
      </c>
      <c r="D60" s="274">
        <f>D58+D59</f>
        <v>0</v>
      </c>
      <c r="E60" s="274">
        <f>E58+E59</f>
        <v>73960</v>
      </c>
      <c r="F60" s="274">
        <f>F58+F59</f>
        <v>73848</v>
      </c>
      <c r="G60" s="274">
        <f>G58+G59</f>
        <v>76429</v>
      </c>
      <c r="H60" s="274">
        <f>H58+H59</f>
        <v>77160</v>
      </c>
    </row>
    <row r="61" spans="1:8" ht="15" customHeight="1" x14ac:dyDescent="0.35">
      <c r="A61" s="3"/>
      <c r="B61" s="52"/>
      <c r="C61" s="50"/>
      <c r="D61" s="51"/>
      <c r="E61" s="51"/>
      <c r="F61" s="51"/>
      <c r="G61" s="51"/>
      <c r="H61" s="51"/>
    </row>
    <row r="62" spans="1:8" ht="15" customHeight="1" x14ac:dyDescent="0.35">
      <c r="A62" s="3"/>
      <c r="B62" s="52"/>
      <c r="C62" s="50"/>
      <c r="D62" s="51"/>
      <c r="E62" s="51"/>
      <c r="F62" s="51"/>
      <c r="G62" s="51"/>
      <c r="H62" s="51"/>
    </row>
    <row r="63" spans="1:8" ht="15" customHeight="1" thickBot="1" x14ac:dyDescent="0.4">
      <c r="A63" s="3"/>
      <c r="B63" s="52" t="s">
        <v>30</v>
      </c>
      <c r="C63" s="50" t="s">
        <v>7</v>
      </c>
      <c r="D63" s="398">
        <f>D55+D60</f>
        <v>0</v>
      </c>
      <c r="E63" s="398">
        <f>E55+E60</f>
        <v>142892</v>
      </c>
      <c r="F63" s="398">
        <f>F55+F60</f>
        <v>128074</v>
      </c>
      <c r="G63" s="398">
        <f>G55+G60</f>
        <v>130369</v>
      </c>
      <c r="H63" s="398">
        <f>H55+H60</f>
        <v>136010</v>
      </c>
    </row>
    <row r="64" spans="1:8" ht="15" customHeight="1" x14ac:dyDescent="0.35">
      <c r="A64" s="3"/>
      <c r="B64" s="52"/>
      <c r="C64" s="50"/>
      <c r="D64" s="51"/>
      <c r="E64" s="51"/>
      <c r="F64" s="51"/>
      <c r="G64" s="51"/>
      <c r="H64" s="51"/>
    </row>
    <row r="65" spans="1:8" ht="15" customHeight="1" x14ac:dyDescent="0.35">
      <c r="A65" s="3"/>
      <c r="B65" s="52"/>
      <c r="C65" s="50"/>
      <c r="D65" s="51"/>
      <c r="E65" s="51"/>
      <c r="F65" s="51"/>
      <c r="G65" s="51"/>
      <c r="H65" s="51"/>
    </row>
    <row r="66" spans="1:8" ht="15" customHeight="1" x14ac:dyDescent="0.35">
      <c r="A66" s="3"/>
      <c r="B66" s="14"/>
      <c r="C66" s="9"/>
      <c r="D66" s="41"/>
      <c r="E66" s="41"/>
      <c r="F66" s="41"/>
      <c r="G66" s="41"/>
      <c r="H66" s="41"/>
    </row>
    <row r="67" spans="1:8" ht="18" customHeight="1" x14ac:dyDescent="0.5">
      <c r="A67" s="101"/>
      <c r="B67" s="47" t="s">
        <v>31</v>
      </c>
      <c r="C67" s="42"/>
      <c r="D67" s="7"/>
      <c r="E67" s="43"/>
      <c r="F67" s="43"/>
      <c r="G67" s="43"/>
      <c r="H67" s="43"/>
    </row>
    <row r="68" spans="1:8" ht="18" customHeight="1" x14ac:dyDescent="0.5">
      <c r="A68" s="101"/>
      <c r="B68" s="103"/>
      <c r="C68" s="102"/>
      <c r="D68" s="104"/>
      <c r="E68" s="104"/>
      <c r="F68" s="104"/>
      <c r="G68" s="104"/>
      <c r="H68" s="104"/>
    </row>
    <row r="69" spans="1:8" ht="15" customHeight="1" x14ac:dyDescent="0.35">
      <c r="A69" s="3"/>
      <c r="B69" s="17" t="s">
        <v>15</v>
      </c>
      <c r="C69" s="40" t="s">
        <v>7</v>
      </c>
      <c r="D69" s="273">
        <f>D26</f>
        <v>0</v>
      </c>
      <c r="E69" s="273">
        <f>E26</f>
        <v>-104284</v>
      </c>
      <c r="F69" s="273">
        <f>F26</f>
        <v>-74214</v>
      </c>
      <c r="G69" s="273">
        <f>G26</f>
        <v>-64944</v>
      </c>
      <c r="H69" s="273">
        <f>H26</f>
        <v>-50628</v>
      </c>
    </row>
    <row r="70" spans="1:8" ht="15" customHeight="1" x14ac:dyDescent="0.35">
      <c r="A70" s="3"/>
      <c r="B70" s="17" t="s">
        <v>10</v>
      </c>
      <c r="C70" s="40" t="s">
        <v>7</v>
      </c>
      <c r="D70" s="273">
        <f>-D16</f>
        <v>0</v>
      </c>
      <c r="E70" s="273">
        <f>-E16</f>
        <v>673</v>
      </c>
      <c r="F70" s="273">
        <f>-F16</f>
        <v>718</v>
      </c>
      <c r="G70" s="273">
        <f>-G16</f>
        <v>714</v>
      </c>
      <c r="H70" s="273">
        <f>-H16</f>
        <v>753</v>
      </c>
    </row>
    <row r="71" spans="1:8" ht="15" customHeight="1" x14ac:dyDescent="0.35">
      <c r="A71" s="3"/>
      <c r="B71" s="17" t="s">
        <v>374</v>
      </c>
      <c r="C71" s="40" t="s">
        <v>7</v>
      </c>
      <c r="D71" s="207"/>
      <c r="E71" s="392">
        <v>299</v>
      </c>
      <c r="F71" s="392">
        <v>-1952</v>
      </c>
      <c r="G71" s="392">
        <v>460</v>
      </c>
      <c r="H71" s="392">
        <v>-27</v>
      </c>
    </row>
    <row r="72" spans="1:8" ht="15" customHeight="1" x14ac:dyDescent="0.35">
      <c r="A72" s="3"/>
      <c r="B72" s="17" t="s">
        <v>375</v>
      </c>
      <c r="C72" s="40" t="s">
        <v>7</v>
      </c>
      <c r="D72" s="207"/>
      <c r="E72" s="392">
        <v>-3805</v>
      </c>
      <c r="F72" s="392">
        <v>3159</v>
      </c>
      <c r="G72" s="392">
        <v>-203</v>
      </c>
      <c r="H72" s="392">
        <v>2848</v>
      </c>
    </row>
    <row r="73" spans="1:8" ht="15" customHeight="1" x14ac:dyDescent="0.35">
      <c r="A73" s="3"/>
      <c r="B73" s="17" t="s">
        <v>376</v>
      </c>
      <c r="C73" s="40" t="s">
        <v>7</v>
      </c>
      <c r="D73" s="207"/>
      <c r="E73" s="392">
        <v>11791</v>
      </c>
      <c r="F73" s="392">
        <v>-12234</v>
      </c>
      <c r="G73" s="392">
        <v>2239</v>
      </c>
      <c r="H73" s="392">
        <v>-6236</v>
      </c>
    </row>
    <row r="74" spans="1:8" ht="15" customHeight="1" x14ac:dyDescent="0.35">
      <c r="A74" s="3"/>
      <c r="B74" s="17" t="s">
        <v>32</v>
      </c>
      <c r="C74" s="40" t="s">
        <v>7</v>
      </c>
      <c r="D74" s="207"/>
      <c r="E74" s="392">
        <v>-3724</v>
      </c>
      <c r="F74" s="392">
        <v>-3834</v>
      </c>
      <c r="G74" s="392">
        <v>-3623</v>
      </c>
      <c r="H74" s="392">
        <v>-3739</v>
      </c>
    </row>
    <row r="75" spans="1:8" ht="15" customHeight="1" thickBot="1" x14ac:dyDescent="0.4">
      <c r="A75" s="3"/>
      <c r="B75" s="49" t="s">
        <v>33</v>
      </c>
      <c r="C75" s="50" t="s">
        <v>7</v>
      </c>
      <c r="D75" s="398">
        <f>SUM(D69:D74)</f>
        <v>0</v>
      </c>
      <c r="E75" s="398">
        <f>SUM(E69:E74)</f>
        <v>-99050</v>
      </c>
      <c r="F75" s="398">
        <f>SUM(F69:F74)</f>
        <v>-88357</v>
      </c>
      <c r="G75" s="398">
        <f>SUM(G69:G74)</f>
        <v>-65357</v>
      </c>
      <c r="H75" s="398">
        <f>SUM(H69:H74)</f>
        <v>-57029</v>
      </c>
    </row>
    <row r="76" spans="1:8" ht="15" customHeight="1" x14ac:dyDescent="0.35">
      <c r="A76" s="3"/>
      <c r="B76" s="49"/>
      <c r="C76" s="50"/>
      <c r="D76" s="51"/>
      <c r="E76" s="51"/>
      <c r="F76" s="51"/>
      <c r="G76" s="51"/>
      <c r="H76" s="51"/>
    </row>
    <row r="77" spans="1:8" ht="15" customHeight="1" x14ac:dyDescent="0.35">
      <c r="A77" s="3"/>
      <c r="B77" s="49"/>
      <c r="C77" s="50"/>
      <c r="D77" s="51"/>
      <c r="E77" s="51"/>
      <c r="F77" s="51"/>
      <c r="G77" s="51"/>
      <c r="H77" s="51"/>
    </row>
    <row r="78" spans="1:8" ht="15" customHeight="1" x14ac:dyDescent="0.35">
      <c r="A78" s="3"/>
      <c r="B78" s="17" t="s">
        <v>34</v>
      </c>
      <c r="C78" s="40" t="s">
        <v>7</v>
      </c>
      <c r="D78" s="207"/>
      <c r="E78" s="392">
        <v>-15690</v>
      </c>
      <c r="F78" s="392">
        <v>-17722</v>
      </c>
      <c r="G78" s="392">
        <v>-14909</v>
      </c>
      <c r="H78" s="392">
        <v>-16953</v>
      </c>
    </row>
    <row r="79" spans="1:8" ht="15" customHeight="1" x14ac:dyDescent="0.35">
      <c r="A79" s="3"/>
      <c r="B79" s="17" t="s">
        <v>35</v>
      </c>
      <c r="C79" s="40" t="s">
        <v>7</v>
      </c>
      <c r="D79" s="207"/>
      <c r="E79" s="392">
        <v>-104644</v>
      </c>
      <c r="F79" s="392">
        <v>-84274</v>
      </c>
      <c r="G79" s="392">
        <v>-82138</v>
      </c>
      <c r="H79" s="392">
        <v>-97107</v>
      </c>
    </row>
    <row r="80" spans="1:8" ht="15" customHeight="1" thickBot="1" x14ac:dyDescent="0.4">
      <c r="A80" s="3"/>
      <c r="B80" s="52" t="s">
        <v>36</v>
      </c>
      <c r="C80" s="50" t="s">
        <v>7</v>
      </c>
      <c r="D80" s="398">
        <f>SUM(D78:D79)</f>
        <v>0</v>
      </c>
      <c r="E80" s="398">
        <f>SUM(E78:E79)</f>
        <v>-120334</v>
      </c>
      <c r="F80" s="398">
        <f>SUM(F78:F79)</f>
        <v>-101996</v>
      </c>
      <c r="G80" s="398">
        <f>SUM(G78:G79)</f>
        <v>-97047</v>
      </c>
      <c r="H80" s="398">
        <f>SUM(H78:H79)</f>
        <v>-114060</v>
      </c>
    </row>
    <row r="81" spans="1:8" ht="15" customHeight="1" x14ac:dyDescent="0.35">
      <c r="A81" s="3"/>
      <c r="B81" s="52"/>
      <c r="C81" s="50"/>
      <c r="D81" s="51"/>
      <c r="E81" s="51"/>
      <c r="F81" s="51"/>
      <c r="G81" s="51"/>
      <c r="H81" s="51"/>
    </row>
    <row r="82" spans="1:8" ht="15" customHeight="1" x14ac:dyDescent="0.35">
      <c r="A82" s="3"/>
      <c r="B82" s="52"/>
      <c r="C82" s="50"/>
      <c r="D82" s="51"/>
      <c r="E82" s="51"/>
      <c r="F82" s="51"/>
      <c r="G82" s="51"/>
      <c r="H82" s="51"/>
    </row>
    <row r="83" spans="1:8" ht="15" customHeight="1" x14ac:dyDescent="0.35">
      <c r="A83" s="3"/>
      <c r="B83" s="17" t="s">
        <v>37</v>
      </c>
      <c r="C83" s="40" t="s">
        <v>7</v>
      </c>
      <c r="D83" s="207"/>
      <c r="E83" s="392">
        <v>1013</v>
      </c>
      <c r="F83" s="392">
        <v>2671</v>
      </c>
      <c r="G83" s="392">
        <v>1853</v>
      </c>
      <c r="H83" s="392">
        <v>2182</v>
      </c>
    </row>
    <row r="84" spans="1:8" ht="15" customHeight="1" x14ac:dyDescent="0.35">
      <c r="A84" s="3"/>
      <c r="B84" s="17" t="s">
        <v>38</v>
      </c>
      <c r="C84" s="40" t="s">
        <v>7</v>
      </c>
      <c r="D84" s="207"/>
      <c r="E84" s="392">
        <v>-3326</v>
      </c>
      <c r="F84" s="392">
        <v>-3103</v>
      </c>
      <c r="G84" s="392">
        <v>-3207</v>
      </c>
      <c r="H84" s="392">
        <v>-2883</v>
      </c>
    </row>
    <row r="85" spans="1:8" ht="15" customHeight="1" x14ac:dyDescent="0.35">
      <c r="A85" s="3"/>
      <c r="B85" s="17" t="s">
        <v>39</v>
      </c>
      <c r="C85" s="40" t="s">
        <v>7</v>
      </c>
      <c r="D85" s="207"/>
      <c r="E85" s="392">
        <v>-3326</v>
      </c>
      <c r="F85" s="392">
        <v>-3103</v>
      </c>
      <c r="G85" s="392">
        <v>-3207</v>
      </c>
      <c r="H85" s="392">
        <v>-2883</v>
      </c>
    </row>
    <row r="86" spans="1:8" ht="15" customHeight="1" thickBot="1" x14ac:dyDescent="0.4">
      <c r="A86" s="3"/>
      <c r="B86" s="49" t="s">
        <v>40</v>
      </c>
      <c r="C86" s="50" t="s">
        <v>7</v>
      </c>
      <c r="D86" s="398">
        <f>SUM(D83:D85)</f>
        <v>0</v>
      </c>
      <c r="E86" s="398">
        <f>SUM(E83:E85)</f>
        <v>-5639</v>
      </c>
      <c r="F86" s="398">
        <f>SUM(F83:F85)</f>
        <v>-3535</v>
      </c>
      <c r="G86" s="398">
        <f>SUM(G83:G85)</f>
        <v>-4561</v>
      </c>
      <c r="H86" s="398">
        <f>SUM(H83:H85)</f>
        <v>-3584</v>
      </c>
    </row>
    <row r="87" spans="1:8" ht="15" customHeight="1" x14ac:dyDescent="0.35">
      <c r="A87" s="3"/>
      <c r="B87" s="49"/>
      <c r="C87" s="50"/>
      <c r="D87" s="51"/>
      <c r="E87" s="51"/>
      <c r="F87" s="51"/>
      <c r="G87" s="51"/>
      <c r="H87" s="51"/>
    </row>
    <row r="88" spans="1:8" ht="15" customHeight="1" x14ac:dyDescent="0.35">
      <c r="A88" s="3"/>
      <c r="B88" s="49"/>
      <c r="C88" s="50"/>
      <c r="D88" s="51"/>
      <c r="E88" s="51"/>
      <c r="F88" s="51"/>
      <c r="G88" s="51"/>
      <c r="H88" s="51"/>
    </row>
    <row r="89" spans="1:8" ht="15" customHeight="1" x14ac:dyDescent="0.35">
      <c r="A89" s="3"/>
      <c r="B89" s="52" t="s">
        <v>41</v>
      </c>
      <c r="C89" s="50" t="s">
        <v>7</v>
      </c>
      <c r="D89" s="274">
        <f>D75+D80+D86</f>
        <v>0</v>
      </c>
      <c r="E89" s="274">
        <f>E75+E80+E86</f>
        <v>-225023</v>
      </c>
      <c r="F89" s="274">
        <f>F75+F80+F86</f>
        <v>-193888</v>
      </c>
      <c r="G89" s="274">
        <f>G75+G80+G86</f>
        <v>-166965</v>
      </c>
      <c r="H89" s="274">
        <f>H75+H80+H86</f>
        <v>-174673</v>
      </c>
    </row>
    <row r="90" spans="1:8" ht="15" customHeight="1" x14ac:dyDescent="0.35">
      <c r="A90" s="3"/>
      <c r="B90" s="17" t="s">
        <v>42</v>
      </c>
      <c r="C90" s="40" t="s">
        <v>7</v>
      </c>
      <c r="D90" s="207"/>
      <c r="E90" s="392">
        <v>20116</v>
      </c>
      <c r="F90" s="392">
        <v>20195</v>
      </c>
      <c r="G90" s="392">
        <v>20639</v>
      </c>
      <c r="H90" s="392">
        <v>20068</v>
      </c>
    </row>
    <row r="91" spans="1:8" ht="15" customHeight="1" thickBot="1" x14ac:dyDescent="0.4">
      <c r="A91" s="3"/>
      <c r="B91" s="52" t="s">
        <v>43</v>
      </c>
      <c r="C91" s="50" t="s">
        <v>7</v>
      </c>
      <c r="D91" s="398">
        <f>D90+D89</f>
        <v>0</v>
      </c>
      <c r="E91" s="398">
        <f>E90+E89</f>
        <v>-204907</v>
      </c>
      <c r="F91" s="398">
        <f>F90+F89</f>
        <v>-173693</v>
      </c>
      <c r="G91" s="398">
        <f>G90+G89</f>
        <v>-146326</v>
      </c>
      <c r="H91" s="398">
        <f>H90+H89</f>
        <v>-154605</v>
      </c>
    </row>
    <row r="92" spans="1:8" ht="15" customHeight="1" x14ac:dyDescent="0.35">
      <c r="A92" s="3"/>
      <c r="B92" s="14"/>
      <c r="C92" s="9"/>
      <c r="D92" s="41"/>
      <c r="E92" s="41"/>
      <c r="F92" s="41"/>
      <c r="G92" s="41"/>
      <c r="H92" s="41"/>
    </row>
    <row r="93" spans="1:8" ht="18" customHeight="1" x14ac:dyDescent="0.5">
      <c r="A93" s="101"/>
      <c r="B93" s="47" t="s">
        <v>44</v>
      </c>
      <c r="C93" s="42"/>
      <c r="D93" s="7"/>
      <c r="E93" s="43"/>
      <c r="F93" s="43"/>
      <c r="G93" s="43"/>
      <c r="H93" s="43"/>
    </row>
    <row r="94" spans="1:8" ht="18" customHeight="1" x14ac:dyDescent="0.5">
      <c r="A94" s="101"/>
      <c r="B94" s="103"/>
      <c r="C94" s="102"/>
      <c r="D94" s="104"/>
      <c r="E94" s="104"/>
      <c r="F94" s="104"/>
      <c r="G94" s="104"/>
      <c r="H94" s="104"/>
    </row>
    <row r="95" spans="1:8" ht="15" customHeight="1" x14ac:dyDescent="0.35">
      <c r="A95" s="3"/>
      <c r="B95" s="17" t="s">
        <v>45</v>
      </c>
      <c r="C95" s="40" t="s">
        <v>46</v>
      </c>
      <c r="D95" s="207"/>
      <c r="E95" s="392">
        <v>130</v>
      </c>
      <c r="F95" s="392">
        <v>175</v>
      </c>
      <c r="G95" s="392">
        <v>226</v>
      </c>
      <c r="H95" s="392">
        <v>77.52</v>
      </c>
    </row>
    <row r="96" spans="1:8" ht="15" customHeight="1" x14ac:dyDescent="0.35">
      <c r="A96" s="3"/>
      <c r="B96" s="17" t="s">
        <v>47</v>
      </c>
      <c r="C96" s="40" t="s">
        <v>48</v>
      </c>
      <c r="D96" s="211"/>
      <c r="E96" s="392">
        <v>16215</v>
      </c>
      <c r="F96" s="392">
        <v>15813</v>
      </c>
      <c r="G96" s="392">
        <v>15408</v>
      </c>
      <c r="H96" s="392">
        <v>652.04999999999995</v>
      </c>
    </row>
    <row r="97" spans="1:8" ht="15" customHeight="1" x14ac:dyDescent="0.35">
      <c r="A97" s="3"/>
      <c r="B97" s="17" t="s">
        <v>49</v>
      </c>
      <c r="C97" s="40" t="s">
        <v>7</v>
      </c>
      <c r="D97" s="274">
        <f>D95*D96</f>
        <v>0</v>
      </c>
      <c r="E97" s="274">
        <f>E95*E96</f>
        <v>2107950</v>
      </c>
      <c r="F97" s="274">
        <f>F95*F96</f>
        <v>2767275</v>
      </c>
      <c r="G97" s="274">
        <f>G95*G96</f>
        <v>3482208</v>
      </c>
      <c r="H97" s="274">
        <f>H95*H96</f>
        <v>50546.915999999997</v>
      </c>
    </row>
    <row r="98" spans="1:8" ht="15" customHeight="1" x14ac:dyDescent="0.35">
      <c r="A98" s="3"/>
      <c r="B98" s="14" t="s">
        <v>50</v>
      </c>
      <c r="C98" s="40" t="s">
        <v>7</v>
      </c>
      <c r="D98" s="274">
        <f>D97+D54+D48-D34</f>
        <v>0</v>
      </c>
      <c r="E98" s="274">
        <f>E97+E54+E48-E34</f>
        <v>2105679</v>
      </c>
      <c r="F98" s="274">
        <f>F97+F54+F48-F34</f>
        <v>2765432</v>
      </c>
      <c r="G98" s="274">
        <f>G97+G54+G48-G34</f>
        <v>3480849</v>
      </c>
      <c r="H98" s="274">
        <f>H97+H54+H48-H34</f>
        <v>48691.915999999997</v>
      </c>
    </row>
    <row r="99" spans="1:8" ht="15" customHeight="1" x14ac:dyDescent="0.35">
      <c r="A99" s="3"/>
      <c r="B99" s="17" t="s">
        <v>51</v>
      </c>
      <c r="C99" s="40" t="s">
        <v>52</v>
      </c>
      <c r="D99" s="207"/>
      <c r="E99" s="302"/>
      <c r="F99" s="302"/>
      <c r="G99" s="302"/>
      <c r="H99" s="394">
        <v>0.73299999999999998</v>
      </c>
    </row>
    <row r="100" spans="1:8" ht="15" customHeight="1" x14ac:dyDescent="0.35">
      <c r="A100" s="3"/>
      <c r="B100" s="17" t="s">
        <v>53</v>
      </c>
      <c r="C100" s="40" t="s">
        <v>54</v>
      </c>
      <c r="D100" s="207"/>
      <c r="E100" s="303"/>
      <c r="F100" s="303"/>
      <c r="G100" s="303"/>
      <c r="H100" s="395">
        <v>4.2799999999999998E-2</v>
      </c>
    </row>
    <row r="101" spans="1:8" ht="15" customHeight="1" x14ac:dyDescent="0.35">
      <c r="A101" s="3"/>
      <c r="B101" s="17" t="s">
        <v>55</v>
      </c>
      <c r="C101" s="40" t="s">
        <v>54</v>
      </c>
      <c r="D101" s="207"/>
      <c r="E101" s="303"/>
      <c r="F101" s="303"/>
      <c r="G101" s="303"/>
      <c r="H101" s="395">
        <v>5.5E-2</v>
      </c>
    </row>
    <row r="102" spans="1:8" ht="15" customHeight="1" x14ac:dyDescent="0.35">
      <c r="A102" s="3"/>
      <c r="B102" s="17" t="s">
        <v>56</v>
      </c>
      <c r="C102" s="40" t="s">
        <v>54</v>
      </c>
      <c r="D102" s="392">
        <v>0.10829999999999999</v>
      </c>
      <c r="E102" s="395">
        <v>0.10829999999999999</v>
      </c>
      <c r="F102" s="395">
        <v>0.10630000000000001</v>
      </c>
      <c r="G102" s="395">
        <v>0.10630000000000001</v>
      </c>
      <c r="H102" s="395">
        <v>0.10630000000000001</v>
      </c>
    </row>
    <row r="103" spans="1:8" ht="15" customHeight="1" x14ac:dyDescent="0.35">
      <c r="A103" s="3"/>
      <c r="B103" s="17" t="s">
        <v>57</v>
      </c>
      <c r="C103" s="40" t="s">
        <v>54</v>
      </c>
      <c r="D103" s="207"/>
      <c r="E103" s="304"/>
      <c r="F103" s="304"/>
      <c r="G103" s="304"/>
      <c r="H103" s="395">
        <v>5.2600000000000001E-2</v>
      </c>
    </row>
    <row r="104" spans="1:8" ht="15" customHeight="1" x14ac:dyDescent="0.35">
      <c r="A104" s="3"/>
      <c r="B104" s="17" t="s">
        <v>58</v>
      </c>
      <c r="C104" s="40" t="s">
        <v>54</v>
      </c>
      <c r="D104" s="207"/>
      <c r="E104" s="396">
        <v>0.1673</v>
      </c>
      <c r="F104" s="396">
        <v>0.26190000000000002</v>
      </c>
      <c r="G104" s="396">
        <v>0.2102</v>
      </c>
      <c r="H104" s="395">
        <v>0.26989999999999997</v>
      </c>
    </row>
    <row r="105" spans="1:8" ht="15" customHeight="1" x14ac:dyDescent="0.35">
      <c r="A105" s="3"/>
      <c r="B105" s="17" t="s">
        <v>59</v>
      </c>
      <c r="C105" s="40" t="s">
        <v>54</v>
      </c>
      <c r="D105" s="392">
        <v>3.7900000000000003E-2</v>
      </c>
      <c r="E105" s="395">
        <v>3.7900000000000003E-2</v>
      </c>
      <c r="F105" s="395">
        <v>3.6299999999999999E-2</v>
      </c>
      <c r="G105" s="395">
        <v>3.6299999999999999E-2</v>
      </c>
      <c r="H105" s="395">
        <v>3.6299999999999999E-2</v>
      </c>
    </row>
    <row r="106" spans="1:8" ht="15" customHeight="1" x14ac:dyDescent="0.35">
      <c r="A106" s="3"/>
      <c r="B106" s="17" t="s">
        <v>60</v>
      </c>
      <c r="C106" s="40" t="s">
        <v>54</v>
      </c>
      <c r="D106" s="207"/>
      <c r="E106" s="303"/>
      <c r="F106" s="303"/>
      <c r="G106" s="303"/>
      <c r="H106" s="395">
        <v>0.7147</v>
      </c>
    </row>
    <row r="107" spans="1:8" ht="15" customHeight="1" x14ac:dyDescent="0.35">
      <c r="A107" s="3"/>
      <c r="B107" s="17" t="s">
        <v>61</v>
      </c>
      <c r="C107" s="40" t="s">
        <v>54</v>
      </c>
      <c r="D107" s="207"/>
      <c r="E107" s="303"/>
      <c r="F107" s="303"/>
      <c r="G107" s="303"/>
      <c r="H107" s="395">
        <v>0.2853</v>
      </c>
    </row>
    <row r="108" spans="1:8" ht="15" customHeight="1" x14ac:dyDescent="0.35">
      <c r="A108" s="3"/>
      <c r="B108" s="14" t="s">
        <v>62</v>
      </c>
      <c r="C108" s="40" t="s">
        <v>54</v>
      </c>
      <c r="D108" s="273">
        <f>D106*(D100+D99*D101)+D107*D103*(1-D104)</f>
        <v>0</v>
      </c>
      <c r="E108" s="303"/>
      <c r="F108" s="303"/>
      <c r="G108" s="303"/>
      <c r="H108" s="399">
        <f>H106*(H100+H99*H101)+H107*H103*(1-H104)</f>
        <v>7.0358740577999998E-2</v>
      </c>
    </row>
    <row r="109" spans="1:8" ht="15" customHeight="1" x14ac:dyDescent="0.35">
      <c r="A109" s="3"/>
      <c r="B109" s="17" t="s">
        <v>63</v>
      </c>
      <c r="C109" s="40" t="s">
        <v>54</v>
      </c>
      <c r="D109" s="207"/>
      <c r="E109" s="303"/>
      <c r="F109" s="303"/>
      <c r="G109" s="303"/>
      <c r="H109" s="395">
        <v>2.5000000000000001E-2</v>
      </c>
    </row>
    <row r="110" spans="1:8" ht="15" customHeight="1" x14ac:dyDescent="0.35">
      <c r="A110" s="3"/>
      <c r="B110" s="17" t="s">
        <v>64</v>
      </c>
      <c r="C110" s="40" t="s">
        <v>65</v>
      </c>
      <c r="D110" s="207"/>
      <c r="E110" s="301"/>
      <c r="F110" s="301"/>
      <c r="G110" s="301"/>
      <c r="H110" s="392">
        <v>365</v>
      </c>
    </row>
    <row r="111" spans="1:8" ht="15" customHeight="1" x14ac:dyDescent="0.35">
      <c r="A111" s="3"/>
      <c r="B111" s="14"/>
      <c r="C111" s="9"/>
      <c r="D111" s="41"/>
      <c r="E111" s="41"/>
      <c r="F111" s="41"/>
      <c r="G111" s="41"/>
      <c r="H111" s="41"/>
    </row>
    <row r="112" spans="1:8" ht="18" customHeight="1" x14ac:dyDescent="0.5">
      <c r="A112" s="101"/>
      <c r="B112" s="47" t="s">
        <v>66</v>
      </c>
      <c r="C112" s="42"/>
      <c r="D112" s="7"/>
      <c r="E112" s="43"/>
      <c r="F112" s="43"/>
      <c r="G112" s="43"/>
      <c r="H112" s="43"/>
    </row>
    <row r="113" spans="1:11" ht="18" customHeight="1" x14ac:dyDescent="0.5">
      <c r="A113" s="101"/>
      <c r="B113" s="103"/>
      <c r="C113" s="102"/>
      <c r="D113" s="104"/>
      <c r="E113" s="104"/>
      <c r="F113" s="104"/>
      <c r="G113" s="104"/>
      <c r="H113" s="104"/>
    </row>
    <row r="114" spans="1:11" ht="15" customHeight="1" x14ac:dyDescent="0.35">
      <c r="A114" s="3"/>
      <c r="B114" s="14" t="s">
        <v>67</v>
      </c>
      <c r="C114" s="40" t="s">
        <v>68</v>
      </c>
      <c r="D114" s="508" t="s">
        <v>69</v>
      </c>
      <c r="E114" s="41"/>
      <c r="F114" s="41"/>
      <c r="G114" s="41"/>
      <c r="H114" s="41"/>
    </row>
    <row r="115" spans="1:11" ht="15" customHeight="1" x14ac:dyDescent="0.35">
      <c r="A115" s="3"/>
      <c r="B115" s="14" t="s">
        <v>70</v>
      </c>
      <c r="C115" s="40" t="s">
        <v>68</v>
      </c>
      <c r="D115" s="508" t="s">
        <v>71</v>
      </c>
      <c r="E115" s="41"/>
      <c r="F115" s="41"/>
      <c r="G115" s="41"/>
      <c r="H115" s="41"/>
    </row>
    <row r="116" spans="1:11" ht="15" customHeight="1" x14ac:dyDescent="0.35">
      <c r="A116" s="3"/>
      <c r="B116" s="14" t="s">
        <v>72</v>
      </c>
      <c r="C116" s="40" t="s">
        <v>68</v>
      </c>
      <c r="D116" s="508" t="s">
        <v>73</v>
      </c>
      <c r="E116" s="41"/>
      <c r="F116" s="41"/>
      <c r="G116" s="41"/>
      <c r="H116" s="41"/>
    </row>
    <row r="117" spans="1:11" ht="15" customHeight="1" x14ac:dyDescent="0.35">
      <c r="A117" s="3"/>
      <c r="B117" s="70" t="s">
        <v>74</v>
      </c>
      <c r="C117" s="40" t="s">
        <v>68</v>
      </c>
      <c r="D117" s="506">
        <v>2025</v>
      </c>
      <c r="E117" s="41"/>
      <c r="F117" s="41"/>
      <c r="G117" s="41"/>
      <c r="H117" s="41"/>
    </row>
    <row r="118" spans="1:11" ht="15" customHeight="1" x14ac:dyDescent="0.35">
      <c r="A118" s="3"/>
      <c r="B118" s="14" t="s">
        <v>75</v>
      </c>
      <c r="C118" s="40" t="s">
        <v>68</v>
      </c>
      <c r="D118" s="508" t="s">
        <v>76</v>
      </c>
      <c r="E118" s="41"/>
      <c r="F118" s="41"/>
      <c r="G118" s="41"/>
      <c r="H118" s="41"/>
    </row>
    <row r="119" spans="1:11" ht="15" customHeight="1" x14ac:dyDescent="0.35">
      <c r="A119" s="3"/>
      <c r="B119" s="14" t="s">
        <v>77</v>
      </c>
      <c r="C119" s="40" t="s">
        <v>68</v>
      </c>
      <c r="D119" s="508" t="s">
        <v>78</v>
      </c>
      <c r="E119" s="41"/>
      <c r="F119" s="41"/>
      <c r="G119" s="41"/>
      <c r="H119" s="41"/>
    </row>
    <row r="120" spans="1:11" ht="15" customHeight="1" x14ac:dyDescent="0.35">
      <c r="A120" s="3"/>
      <c r="B120" s="14" t="s">
        <v>79</v>
      </c>
      <c r="C120" s="40" t="s">
        <v>68</v>
      </c>
      <c r="D120" s="505" t="s">
        <v>80</v>
      </c>
      <c r="E120" s="507"/>
      <c r="F120" s="507"/>
      <c r="G120" s="507"/>
      <c r="H120" s="507"/>
    </row>
    <row r="121" spans="1:11" ht="15" customHeight="1" x14ac:dyDescent="0.35">
      <c r="A121" s="3"/>
      <c r="B121" s="14"/>
      <c r="C121" s="9"/>
      <c r="D121" s="41"/>
      <c r="E121" s="41"/>
      <c r="F121" s="41"/>
      <c r="G121" s="41"/>
      <c r="H121" s="41"/>
    </row>
    <row r="122" spans="1:11" ht="15" customHeight="1" x14ac:dyDescent="0.35">
      <c r="A122" s="3"/>
      <c r="B122" s="48" t="s">
        <v>81</v>
      </c>
      <c r="C122" s="3"/>
      <c r="D122" s="22"/>
      <c r="E122" s="22"/>
      <c r="F122" s="22"/>
      <c r="G122" s="22"/>
      <c r="H122" s="22"/>
    </row>
    <row r="123" spans="1:11" ht="15" customHeight="1" x14ac:dyDescent="0.35">
      <c r="A123" s="3"/>
      <c r="B123" s="14"/>
      <c r="C123" s="3"/>
      <c r="D123" s="22"/>
      <c r="E123" s="22"/>
      <c r="F123" s="22"/>
      <c r="G123" s="22"/>
      <c r="H123" s="22"/>
    </row>
    <row r="124" spans="1:11" ht="15" customHeight="1" x14ac:dyDescent="0.35">
      <c r="A124" s="197"/>
      <c r="B124" s="31" t="s">
        <v>82</v>
      </c>
      <c r="C124" s="2"/>
      <c r="D124" s="25"/>
      <c r="E124" s="25"/>
      <c r="F124" s="25"/>
      <c r="G124" s="25"/>
      <c r="H124" s="25"/>
    </row>
    <row r="125" spans="1:11" ht="15" customHeight="1" x14ac:dyDescent="0.35">
      <c r="A125" s="197"/>
      <c r="B125" s="31" t="s">
        <v>83</v>
      </c>
      <c r="C125" s="2"/>
      <c r="D125" s="25"/>
      <c r="E125" s="25"/>
      <c r="F125" s="25"/>
      <c r="G125" s="25"/>
      <c r="H125" s="25"/>
    </row>
    <row r="126" spans="1:11" ht="15" customHeight="1" x14ac:dyDescent="0.35">
      <c r="A126" s="197"/>
      <c r="B126" s="31" t="s">
        <v>84</v>
      </c>
      <c r="C126" s="2"/>
      <c r="D126" s="25"/>
      <c r="E126" s="25"/>
      <c r="F126" s="25"/>
      <c r="G126" s="25"/>
      <c r="H126" s="25"/>
    </row>
    <row r="127" spans="1:11" ht="15" customHeight="1" x14ac:dyDescent="0.3">
      <c r="B127" s="45"/>
    </row>
    <row r="128" spans="1:11" ht="3" customHeight="1" x14ac:dyDescent="0.3">
      <c r="A128" s="247"/>
      <c r="B128" s="248"/>
      <c r="C128" s="247"/>
      <c r="D128" s="400">
        <f>IF(COUNTA(D9,D10,D14,D15,D16,D20,D21,D25)=8,1,0)+IF(COUNTA(E9,E10,E14,E15,E16,E20,E21,E25)=8,1,0)+IF(COUNTA(F9,F10,F14,F15,F16,F20,F21,F25)=8,1,0)+IF(COUNTA(G9,G10,G14,G15,G16,G20,G21,G25)=8,1,0)</f>
        <v>3</v>
      </c>
      <c r="E128" s="249"/>
      <c r="F128" s="400">
        <f>IF(D9&lt;&gt;"",1,0)+IF(E9&lt;&gt;"",1,0)+IF(F9&lt;&gt;"",1,0)+IF(G9&lt;&gt;"",1,0)+IF(H9&lt;&gt;"",1,0)</f>
        <v>4</v>
      </c>
      <c r="G128" s="400">
        <f>IF(NOT(ISBLANK(H9)),F128,IF(NOT(ISBLANK(G9)),F128,IF(NOT(ISBLANK(F9)),F128,IF(NOT(ISBLANK(E9)),F128,IF(NOT(ISBLANK(D9)),F128,0)))))</f>
        <v>4</v>
      </c>
      <c r="H128" s="249"/>
      <c r="I128" s="247"/>
      <c r="J128" s="247"/>
      <c r="K128" s="247"/>
    </row>
    <row r="129" spans="1:8" ht="15" customHeight="1" x14ac:dyDescent="0.3">
      <c r="B129" s="45"/>
    </row>
    <row r="130" spans="1:8" ht="15" customHeight="1" x14ac:dyDescent="0.3">
      <c r="A130" t="s">
        <v>4</v>
      </c>
      <c r="B130" s="243" t="s">
        <v>377</v>
      </c>
      <c r="C130" s="186"/>
      <c r="D130" s="242"/>
      <c r="E130" s="242"/>
      <c r="F130" s="242"/>
      <c r="G130" s="242"/>
      <c r="H130" s="242"/>
    </row>
    <row r="131" spans="1:8" ht="15" customHeight="1" x14ac:dyDescent="0.3">
      <c r="B131" s="243" t="s">
        <v>378</v>
      </c>
      <c r="C131" s="186" t="s">
        <v>7</v>
      </c>
      <c r="D131" s="242"/>
      <c r="E131" s="242"/>
      <c r="F131" s="242"/>
      <c r="G131" s="242"/>
      <c r="H131" s="242"/>
    </row>
    <row r="132" spans="1:8" ht="15" customHeight="1" x14ac:dyDescent="0.3">
      <c r="B132" s="243" t="s">
        <v>379</v>
      </c>
      <c r="C132" s="186" t="s">
        <v>7</v>
      </c>
      <c r="D132" s="242"/>
      <c r="E132" s="186">
        <v>2022</v>
      </c>
      <c r="F132" s="186">
        <v>2023</v>
      </c>
      <c r="G132" s="186">
        <v>2024</v>
      </c>
      <c r="H132" s="186" t="s">
        <v>3</v>
      </c>
    </row>
    <row r="133" spans="1:8" ht="15" customHeight="1" x14ac:dyDescent="0.3">
      <c r="B133" s="243" t="s">
        <v>380</v>
      </c>
      <c r="C133" s="186" t="s">
        <v>7</v>
      </c>
      <c r="D133" s="242"/>
      <c r="E133" s="242"/>
      <c r="F133" s="242"/>
      <c r="G133" s="242"/>
      <c r="H133" s="242"/>
    </row>
    <row r="134" spans="1:8" ht="15" customHeight="1" x14ac:dyDescent="0.3">
      <c r="B134" s="243" t="s">
        <v>381</v>
      </c>
      <c r="C134" s="186" t="s">
        <v>7</v>
      </c>
      <c r="D134" s="242"/>
      <c r="E134" s="242"/>
      <c r="F134" s="242"/>
      <c r="G134" s="242"/>
      <c r="H134" s="242"/>
    </row>
    <row r="135" spans="1:8" ht="15" customHeight="1" x14ac:dyDescent="0.3">
      <c r="B135" s="243" t="s">
        <v>382</v>
      </c>
      <c r="C135" s="186" t="s">
        <v>54</v>
      </c>
      <c r="D135" s="242" t="str">
        <f>IFERROR((D133+D134)/D132,"n.d.")</f>
        <v>n.d.</v>
      </c>
      <c r="E135" s="242"/>
      <c r="F135" s="242"/>
      <c r="G135" s="242"/>
      <c r="H135" s="242"/>
    </row>
    <row r="136" spans="1:8" ht="15" customHeight="1" x14ac:dyDescent="0.3">
      <c r="B136" s="243" t="s">
        <v>383</v>
      </c>
      <c r="C136" s="186" t="s">
        <v>54</v>
      </c>
      <c r="D136" s="242" t="str">
        <f>IFERROR(D133/D132,"n.d.")</f>
        <v>n.d.</v>
      </c>
      <c r="E136" s="242"/>
      <c r="F136" s="242"/>
      <c r="G136" s="242"/>
      <c r="H136" s="242"/>
    </row>
    <row r="137" spans="1:8" ht="15" customHeight="1" x14ac:dyDescent="0.3">
      <c r="B137" s="243" t="s">
        <v>384</v>
      </c>
      <c r="C137" s="186" t="s">
        <v>54</v>
      </c>
      <c r="D137" s="242" t="str">
        <f>IFERROR(D134/D132,"n.d.")</f>
        <v>n.d.</v>
      </c>
      <c r="E137" s="242"/>
      <c r="F137" s="242"/>
      <c r="G137" s="242"/>
      <c r="H137" s="242"/>
    </row>
    <row r="138" spans="1:8" ht="15" customHeight="1" x14ac:dyDescent="0.3">
      <c r="B138" s="243" t="s">
        <v>385</v>
      </c>
      <c r="C138" s="186" t="s">
        <v>54</v>
      </c>
      <c r="D138" s="242" t="str">
        <f>IFERROR(1-D135,"n.d.")</f>
        <v>n.d.</v>
      </c>
      <c r="E138" s="242"/>
      <c r="F138" s="242"/>
      <c r="G138" s="242"/>
      <c r="H138" s="242"/>
    </row>
    <row r="139" spans="1:8" ht="15" customHeight="1" x14ac:dyDescent="0.3">
      <c r="B139" s="243" t="s">
        <v>386</v>
      </c>
      <c r="C139" s="186" t="s">
        <v>7</v>
      </c>
      <c r="D139" s="242"/>
      <c r="E139" s="242"/>
      <c r="F139" s="242"/>
      <c r="G139" s="242"/>
      <c r="H139" s="242"/>
    </row>
    <row r="140" spans="1:8" ht="15" customHeight="1" x14ac:dyDescent="0.3">
      <c r="B140" s="243" t="s">
        <v>387</v>
      </c>
      <c r="C140" s="186" t="s">
        <v>7</v>
      </c>
      <c r="D140" s="242"/>
      <c r="E140" s="242"/>
      <c r="F140" s="242"/>
      <c r="G140" s="242"/>
      <c r="H140" s="242"/>
    </row>
    <row r="141" spans="1:8" ht="15" customHeight="1" x14ac:dyDescent="0.3">
      <c r="B141" s="243" t="s">
        <v>388</v>
      </c>
      <c r="C141" s="186" t="s">
        <v>54</v>
      </c>
      <c r="D141" s="242" t="str">
        <f>IFERROR(D139/D140,"n.d.")</f>
        <v>n.d.</v>
      </c>
      <c r="E141" s="242"/>
      <c r="F141" s="242"/>
      <c r="G141" s="242"/>
      <c r="H141" s="242"/>
    </row>
    <row r="142" spans="1:8" ht="15" customHeight="1" x14ac:dyDescent="0.3">
      <c r="B142" s="243" t="s">
        <v>389</v>
      </c>
      <c r="C142" s="186" t="s">
        <v>54</v>
      </c>
      <c r="D142" s="242"/>
      <c r="E142" s="242"/>
      <c r="F142" s="242"/>
      <c r="G142" s="242"/>
      <c r="H142" s="242"/>
    </row>
    <row r="143" spans="1:8" ht="15" customHeight="1" x14ac:dyDescent="0.3">
      <c r="B143" s="243" t="s">
        <v>390</v>
      </c>
      <c r="C143" s="186" t="s">
        <v>46</v>
      </c>
      <c r="D143" s="242"/>
      <c r="E143" s="242"/>
      <c r="F143" s="242"/>
      <c r="G143" s="242"/>
      <c r="H143" s="242"/>
    </row>
    <row r="144" spans="1:8" ht="15" customHeight="1" x14ac:dyDescent="0.3">
      <c r="B144" s="243" t="s">
        <v>391</v>
      </c>
      <c r="C144" s="186" t="s">
        <v>7</v>
      </c>
      <c r="D144" s="242"/>
      <c r="E144" s="242"/>
      <c r="F144" s="242"/>
      <c r="G144" s="242"/>
      <c r="H144" s="242"/>
    </row>
    <row r="145" spans="2:8" ht="15" customHeight="1" x14ac:dyDescent="0.3">
      <c r="B145" s="243"/>
      <c r="C145" s="186"/>
      <c r="D145" s="242"/>
      <c r="E145" s="242"/>
      <c r="F145" s="242"/>
      <c r="G145" s="242"/>
      <c r="H145" s="242"/>
    </row>
    <row r="146" spans="2:8" ht="15" customHeight="1" x14ac:dyDescent="0.3">
      <c r="B146" s="45"/>
    </row>
    <row r="147" spans="2:8" ht="15" customHeight="1" x14ac:dyDescent="0.3">
      <c r="B147" s="45"/>
    </row>
    <row r="148" spans="2:8" ht="15" customHeight="1" x14ac:dyDescent="0.3">
      <c r="B148" s="45"/>
    </row>
    <row r="149" spans="2:8" ht="15" customHeight="1" x14ac:dyDescent="0.3">
      <c r="B149" s="45"/>
    </row>
    <row r="150" spans="2:8" ht="15" customHeight="1" x14ac:dyDescent="0.3">
      <c r="B150" s="45"/>
    </row>
    <row r="151" spans="2:8" ht="15" customHeight="1" x14ac:dyDescent="0.3">
      <c r="B151" s="45"/>
    </row>
  </sheetData>
  <conditionalFormatting sqref="D1">
    <cfRule type="expression" dxfId="6" priority="2">
      <formula>$F$128&lt;4</formula>
    </cfRule>
  </conditionalFormatting>
  <conditionalFormatting sqref="D7">
    <cfRule type="expression" dxfId="4" priority="1">
      <formula>$F$128&lt;4</formula>
    </cfRule>
  </conditionalFormatting>
  <conditionalFormatting sqref="E1:E122">
    <cfRule type="expression" dxfId="3" priority="9">
      <formula>$F$128&lt;4</formula>
    </cfRule>
  </conditionalFormatting>
  <conditionalFormatting sqref="F1:F122">
    <cfRule type="expression" dxfId="2" priority="10">
      <formula>$F$128&lt;3</formula>
    </cfRule>
  </conditionalFormatting>
  <conditionalFormatting sqref="G1:G122">
    <cfRule type="expression" dxfId="1" priority="11">
      <formula>$F$128&lt;2</formula>
    </cfRule>
  </conditionalFormatting>
  <conditionalFormatting sqref="H1:H122">
    <cfRule type="expression" dxfId="0" priority="12">
      <formula>$F$128&lt;1</formula>
    </cfRule>
  </conditionalFormatting>
  <dataValidations count="1">
    <dataValidation type="list" allowBlank="1" showInputMessage="1" showErrorMessage="1" sqref="D116" xr:uid="{00000000-0002-0000-0000-000000000000}">
      <formula1>"Technologie / SaaS,Industrie / Manufacturing,Consommation / Retail,Luxe / Premium,Energie / Utilities,Sante / Pharma"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25"/>
  <sheetViews>
    <sheetView showGridLines="0" zoomScale="90" zoomScaleNormal="90" workbookViewId="0">
      <selection activeCell="D41" sqref="D41"/>
    </sheetView>
  </sheetViews>
  <sheetFormatPr baseColWidth="10" defaultRowHeight="14.4" x14ac:dyDescent="0.3"/>
  <cols>
    <col min="1" max="1" width="1.77734375" style="182" customWidth="1"/>
    <col min="2" max="2" width="49.5546875" style="19" customWidth="1"/>
    <col min="3" max="3" width="12.33203125" customWidth="1"/>
    <col min="4" max="8" width="13.33203125" style="21" customWidth="1"/>
  </cols>
  <sheetData>
    <row r="1" spans="1:8" ht="54.9" customHeight="1" x14ac:dyDescent="0.6">
      <c r="A1" s="5"/>
      <c r="B1" s="94" t="s">
        <v>85</v>
      </c>
      <c r="C1" s="5"/>
      <c r="D1" s="5"/>
      <c r="E1" s="29"/>
      <c r="F1" s="29"/>
      <c r="G1" s="29"/>
      <c r="H1" s="93" t="s">
        <v>86</v>
      </c>
    </row>
    <row r="2" spans="1:8" ht="15" customHeight="1" x14ac:dyDescent="0.35">
      <c r="A2" s="180"/>
      <c r="B2" s="14"/>
      <c r="C2" s="3"/>
      <c r="D2" s="322"/>
      <c r="E2" s="22"/>
      <c r="F2" s="22"/>
      <c r="G2" s="22"/>
      <c r="H2" s="22"/>
    </row>
    <row r="3" spans="1:8" ht="18" customHeight="1" x14ac:dyDescent="0.5">
      <c r="A3" s="7"/>
      <c r="B3" s="15" t="s">
        <v>87</v>
      </c>
      <c r="C3" s="7"/>
      <c r="D3" s="323"/>
      <c r="E3" s="23"/>
      <c r="F3" s="23"/>
      <c r="G3" s="23"/>
      <c r="H3" s="23"/>
    </row>
    <row r="4" spans="1:8" ht="15" customHeight="1" x14ac:dyDescent="0.35">
      <c r="A4" s="180"/>
      <c r="B4" s="13"/>
      <c r="C4" s="3"/>
      <c r="D4" s="322"/>
      <c r="E4" s="22"/>
      <c r="F4" s="22"/>
      <c r="G4" s="22"/>
      <c r="H4" s="22"/>
    </row>
    <row r="5" spans="1:8" ht="15" customHeight="1" x14ac:dyDescent="0.35">
      <c r="A5" s="16"/>
      <c r="B5" s="16" t="s">
        <v>88</v>
      </c>
      <c r="C5" s="16"/>
      <c r="D5" s="324"/>
      <c r="E5" s="402">
        <f>IF(INPUT!E5="","",INPUT!E5)</f>
        <v>2022</v>
      </c>
      <c r="F5" s="402">
        <f>IF(INPUT!F5="","",INPUT!F5)</f>
        <v>2023</v>
      </c>
      <c r="G5" s="402">
        <f>IF(INPUT!G5="","",INPUT!G5)</f>
        <v>2024</v>
      </c>
      <c r="H5" s="402" t="str">
        <f>IF(INPUT!H5="","",INPUT!H5)</f>
        <v>2025 (LTM)</v>
      </c>
    </row>
    <row r="6" spans="1:8" ht="15" customHeight="1" x14ac:dyDescent="0.35">
      <c r="A6" s="180"/>
      <c r="B6" s="14"/>
      <c r="C6" s="3"/>
      <c r="D6" s="322"/>
      <c r="E6" s="22"/>
      <c r="F6" s="22"/>
      <c r="G6" s="22"/>
      <c r="H6" s="22"/>
    </row>
    <row r="7" spans="1:8" ht="18" customHeight="1" x14ac:dyDescent="0.5">
      <c r="A7" s="42"/>
      <c r="B7" s="337" t="s">
        <v>392</v>
      </c>
      <c r="C7" s="7"/>
      <c r="D7" s="323"/>
      <c r="E7" s="23"/>
      <c r="F7" s="23"/>
      <c r="G7" s="23"/>
      <c r="H7" s="23"/>
    </row>
    <row r="8" spans="1:8" ht="18" customHeight="1" x14ac:dyDescent="0.5">
      <c r="A8" s="181"/>
      <c r="B8" s="100"/>
      <c r="C8" s="101"/>
      <c r="D8" s="325"/>
      <c r="E8" s="99"/>
      <c r="F8" s="99"/>
      <c r="G8" s="99"/>
      <c r="H8" s="99"/>
    </row>
    <row r="9" spans="1:8" ht="15" customHeight="1" x14ac:dyDescent="0.35">
      <c r="A9" s="180"/>
      <c r="B9" s="336" t="s">
        <v>90</v>
      </c>
      <c r="C9" s="334"/>
      <c r="D9" s="509">
        <f>IFERROR(INPUT!H97/INPUT!H60,"–")</f>
        <v>0.65509222395023325</v>
      </c>
      <c r="E9" s="404">
        <f>IFERROR(INPUT!E97/INPUT!E60,"–")</f>
        <v>28.501216873985939</v>
      </c>
      <c r="F9" s="404">
        <f>IFERROR(INPUT!F97/INPUT!F60,"–")</f>
        <v>37.47257881052974</v>
      </c>
      <c r="G9" s="404">
        <f>IFERROR(INPUT!G97/INPUT!G60,"–")</f>
        <v>45.561344515825148</v>
      </c>
      <c r="H9" s="213">
        <f>IFERROR(INPUT!H97/INPUT!H60,"–")</f>
        <v>0.65509222395023325</v>
      </c>
    </row>
    <row r="10" spans="1:8" ht="15" customHeight="1" x14ac:dyDescent="0.35">
      <c r="A10" s="180"/>
      <c r="B10" s="336" t="s">
        <v>487</v>
      </c>
      <c r="C10" s="334"/>
      <c r="D10" s="509">
        <f>IFERROR(INPUT!H97/(INPUT!H60-INPUT!H42),"–")</f>
        <v>0.74832214606126102</v>
      </c>
      <c r="E10" s="404">
        <f>IFERROR(INPUT!E97/(INPUT!E60-INPUT!E42),"–")</f>
        <v>32.599013346117566</v>
      </c>
      <c r="F10" s="404">
        <f>IFERROR(INPUT!F97/(INPUT!F60-INPUT!F42),"–")</f>
        <v>42.829118430013004</v>
      </c>
      <c r="G10" s="404">
        <f>IFERROR(INPUT!G97/(INPUT!G60-INPUT!G42),"–")</f>
        <v>51.566875962563678</v>
      </c>
      <c r="H10" s="213">
        <f>IFERROR(INPUT!H97/(INPUT!H60-INPUT!H42),"–")</f>
        <v>0.74832214606126102</v>
      </c>
    </row>
    <row r="11" spans="1:8" ht="15" customHeight="1" x14ac:dyDescent="0.35">
      <c r="A11" s="180"/>
      <c r="B11" s="336" t="s">
        <v>393</v>
      </c>
      <c r="C11" s="334"/>
      <c r="D11" s="509">
        <f>IFERROR(INPUT!H98/INPUT!H9,"–")</f>
        <v>0.64361323922066249</v>
      </c>
      <c r="E11" s="404">
        <f>IFERROR(INPUT!E98/INPUT!E9,"–")</f>
        <v>31.237357029476776</v>
      </c>
      <c r="F11" s="404">
        <f>IFERROR(INPUT!F98/INPUT!F9,"–")</f>
        <v>40.707627991874467</v>
      </c>
      <c r="G11" s="404">
        <f>IFERROR(INPUT!G98/INPUT!G9,"–")</f>
        <v>49.633528682037898</v>
      </c>
      <c r="H11" s="213">
        <f>IFERROR(INPUT!H98/INPUT!H9,"–")</f>
        <v>0.64361323922066249</v>
      </c>
    </row>
    <row r="12" spans="1:8" ht="15" customHeight="1" x14ac:dyDescent="0.35">
      <c r="A12" s="180"/>
      <c r="B12" s="336" t="s">
        <v>394</v>
      </c>
      <c r="C12" s="334"/>
      <c r="D12" s="509">
        <f>IFERROR(ABS(INPUT!H85)/INPUT!H97,"–")</f>
        <v>5.7036120660655144E-2</v>
      </c>
      <c r="E12" s="404">
        <f>IFERROR(ABS(INPUT!E85)/INPUT!E97,"–")</f>
        <v>1.5778362864394316E-3</v>
      </c>
      <c r="F12" s="404">
        <f>IFERROR(ABS(INPUT!F85)/INPUT!F97,"–")</f>
        <v>1.1213197098228402E-3</v>
      </c>
      <c r="G12" s="404">
        <f>IFERROR(ABS(INPUT!G85)/INPUT!G97,"–")</f>
        <v>9.2096738621012873E-4</v>
      </c>
      <c r="H12" s="213">
        <f>IFERROR(ABS(INPUT!H85)/INPUT!H97,"–")</f>
        <v>5.7036120660655144E-2</v>
      </c>
    </row>
    <row r="13" spans="1:8" ht="15" customHeight="1" x14ac:dyDescent="0.35">
      <c r="A13" s="180"/>
      <c r="B13" s="336" t="s">
        <v>389</v>
      </c>
      <c r="C13" s="334"/>
      <c r="D13" s="510" t="str">
        <f>IF(INPUT!D142&lt;&gt;"",INPUT!D142,"n.d. — saisir dans INPUT!D142")</f>
        <v>n.d. — saisir dans INPUT!D142</v>
      </c>
      <c r="E13" s="405" t="str">
        <f>IF(INPUT!E142&lt;&gt;"",INPUT!E142,"–")</f>
        <v>–</v>
      </c>
      <c r="F13" s="405" t="str">
        <f>IF(INPUT!F142&lt;&gt;"",INPUT!F142,"–")</f>
        <v>–</v>
      </c>
      <c r="G13" s="405" t="str">
        <f>IF(INPUT!G142&lt;&gt;"",INPUT!G142,"–")</f>
        <v>–</v>
      </c>
      <c r="H13" s="405" t="str">
        <f>IF(INPUT!H142&lt;&gt;"",INPUT!H142,"-")</f>
        <v>-</v>
      </c>
    </row>
    <row r="14" spans="1:8" ht="15" customHeight="1" x14ac:dyDescent="0.35">
      <c r="A14" s="180"/>
      <c r="B14" s="336" t="s">
        <v>395</v>
      </c>
      <c r="C14" s="334"/>
      <c r="D14" s="510" t="str">
        <f>IF(INPUT!D143&lt;&gt;"",INPUT!D143,"n.d. — saisir dans INPUT!D143")</f>
        <v>n.d. — saisir dans INPUT!D143</v>
      </c>
      <c r="E14" s="405" t="str">
        <f>IF(INPUT!E143&lt;&gt;"",INPUT!E143,"–")</f>
        <v>–</v>
      </c>
      <c r="F14" s="405" t="str">
        <f>IF(INPUT!F143&lt;&gt;"",INPUT!F143,"–")</f>
        <v>–</v>
      </c>
      <c r="G14" s="405" t="str">
        <f>IF(INPUT!G143&lt;&gt;"",INPUT!G143,"–")</f>
        <v>–</v>
      </c>
      <c r="H14" s="405" t="str">
        <f>IF(INPUT!H143&lt;&gt;"",INPUT!H143,"–")</f>
        <v>–</v>
      </c>
    </row>
    <row r="15" spans="1:8" ht="15" customHeight="1" x14ac:dyDescent="0.35">
      <c r="A15" s="180"/>
      <c r="B15" s="336" t="s">
        <v>396</v>
      </c>
      <c r="C15" s="334"/>
      <c r="D15" s="388">
        <f>IFERROR((VALUATION!D136-VALUATION!D137)/(VALUATION!D133-VALUATION!D137),"–")</f>
        <v>-21.207618811199126</v>
      </c>
      <c r="E15" s="215">
        <f>IFERROR((INPUT!E75+INPUT!E80)/INPUT!E97,"–")</f>
        <v>-0.10407457482388102</v>
      </c>
      <c r="F15" s="215">
        <f>IFERROR((INPUT!F75+INPUT!F80)/INPUT!F97,"–")</f>
        <v>-6.8787164268097681E-2</v>
      </c>
      <c r="G15" s="215">
        <f>IFERROR((INPUT!G75+INPUT!G80)/INPUT!G97,"–")</f>
        <v>-4.6638224942335438E-2</v>
      </c>
      <c r="H15" s="215">
        <f>IFERROR((INPUT!H75+INPUT!H80)/INPUT!H97,"–")</f>
        <v>-3.384756450818879</v>
      </c>
    </row>
    <row r="16" spans="1:8" ht="15" customHeight="1" x14ac:dyDescent="0.35">
      <c r="A16" s="180"/>
      <c r="B16" s="28"/>
      <c r="C16" s="9"/>
      <c r="D16" s="322"/>
      <c r="E16" s="30"/>
      <c r="F16" s="30"/>
      <c r="G16" s="30"/>
      <c r="H16" s="30"/>
    </row>
    <row r="17" spans="1:8" ht="18" customHeight="1" x14ac:dyDescent="0.5">
      <c r="A17" s="42"/>
      <c r="B17" s="47" t="s">
        <v>407</v>
      </c>
      <c r="C17" s="42"/>
      <c r="D17" s="323"/>
      <c r="E17" s="23"/>
      <c r="F17" s="23"/>
      <c r="G17" s="23"/>
      <c r="H17" s="23"/>
    </row>
    <row r="18" spans="1:8" ht="18" customHeight="1" x14ac:dyDescent="0.5">
      <c r="A18" s="181"/>
      <c r="B18" s="103"/>
      <c r="C18" s="102"/>
      <c r="D18" s="325"/>
      <c r="E18" s="99"/>
      <c r="F18" s="99"/>
      <c r="G18" s="99"/>
      <c r="H18" s="99"/>
    </row>
    <row r="19" spans="1:8" ht="15" customHeight="1" x14ac:dyDescent="0.35">
      <c r="A19" s="180"/>
      <c r="B19" s="27" t="s">
        <v>408</v>
      </c>
      <c r="C19" s="9"/>
      <c r="D19" s="406"/>
      <c r="E19" s="214">
        <f>IFERROR(INPUT!E11/INPUT!E9,"–")</f>
        <v>-1.7014048569182156</v>
      </c>
      <c r="F19" s="214">
        <f>IFERROR(INPUT!F11/INPUT!F9,"–")</f>
        <v>-1.3047663909088232</v>
      </c>
      <c r="G19" s="214">
        <f>IFERROR(INPUT!G11/INPUT!G9,"–")</f>
        <v>-0.99737633856639718</v>
      </c>
      <c r="H19" s="214">
        <f>IFERROR(INPUT!H11/INPUT!H9,"–")</f>
        <v>-0.72491870885875165</v>
      </c>
    </row>
    <row r="20" spans="1:8" ht="15" customHeight="1" x14ac:dyDescent="0.35">
      <c r="A20" s="180"/>
      <c r="B20" s="66" t="s">
        <v>409</v>
      </c>
      <c r="C20" s="9"/>
      <c r="D20" s="406"/>
      <c r="E20" s="214">
        <f>IFERROR(INPUT!E30/INPUT!E9,"–")</f>
        <v>-1.8339539230666528</v>
      </c>
      <c r="F20" s="214">
        <f>IFERROR(INPUT!F30/INPUT!F9,"–")</f>
        <v>-1.454117231430506</v>
      </c>
      <c r="G20" s="214">
        <f>IFERROR(INPUT!G30/INPUT!G9,"–")</f>
        <v>-1.1475381785515677</v>
      </c>
      <c r="H20" s="214">
        <f>IFERROR(INPUT!H30/INPUT!H9,"–")</f>
        <v>-0.89261638512173846</v>
      </c>
    </row>
    <row r="21" spans="1:8" ht="15" customHeight="1" x14ac:dyDescent="0.35">
      <c r="A21" s="180"/>
      <c r="B21" s="27" t="s">
        <v>93</v>
      </c>
      <c r="C21" s="9"/>
      <c r="D21" s="406"/>
      <c r="E21" s="214">
        <f>IFERROR(INPUT!E17/INPUT!E9,"–")</f>
        <v>-1.8439377531190198</v>
      </c>
      <c r="F21" s="214">
        <f>IFERROR(INPUT!F17/INPUT!F9,"–")</f>
        <v>-1.4646863131863279</v>
      </c>
      <c r="G21" s="214">
        <f>IFERROR(INPUT!G17/INPUT!G9,"–")</f>
        <v>-1.1577191256363093</v>
      </c>
      <c r="H21" s="214">
        <f>IFERROR(INPUT!H17/INPUT!H9,"–")</f>
        <v>-0.90256959314775165</v>
      </c>
    </row>
    <row r="22" spans="1:8" ht="15" customHeight="1" x14ac:dyDescent="0.35">
      <c r="A22" s="180"/>
      <c r="B22" s="27" t="s">
        <v>94</v>
      </c>
      <c r="C22" s="9"/>
      <c r="D22" s="406"/>
      <c r="E22" s="214">
        <f>IFERROR(INPUT!E26/INPUT!E9,"–")</f>
        <v>-1.5470337788722575</v>
      </c>
      <c r="F22" s="214">
        <f>IFERROR(INPUT!F26/INPUT!F9,"–")</f>
        <v>-1.0924426649395</v>
      </c>
      <c r="G22" s="214">
        <f>IFERROR(INPUT!G26/INPUT!G9,"–")</f>
        <v>-0.92603841382555507</v>
      </c>
      <c r="H22" s="214">
        <f>IFERROR(INPUT!H26/INPUT!H9,"–")</f>
        <v>-0.66920453644222377</v>
      </c>
    </row>
    <row r="23" spans="1:8" ht="15" customHeight="1" x14ac:dyDescent="0.35">
      <c r="A23" s="180"/>
      <c r="B23" s="27" t="s">
        <v>95</v>
      </c>
      <c r="C23" s="9"/>
      <c r="D23" s="406"/>
      <c r="E23" s="214">
        <f>IFERROR(INPUT!E26/INPUT!E60,"–")</f>
        <v>-1.4100054083288265</v>
      </c>
      <c r="F23" s="214">
        <f>IFERROR(INPUT!F26/INPUT!F60,"–")</f>
        <v>-1.0049561260968476</v>
      </c>
      <c r="G23" s="214">
        <f>IFERROR(INPUT!G26/INPUT!G60,"–")</f>
        <v>-0.84972981459917052</v>
      </c>
      <c r="H23" s="214">
        <f>IFERROR(INPUT!H26/INPUT!H60,"–")</f>
        <v>-0.65614307931570759</v>
      </c>
    </row>
    <row r="24" spans="1:8" ht="15" customHeight="1" x14ac:dyDescent="0.35">
      <c r="A24" s="180"/>
      <c r="B24" s="27" t="s">
        <v>96</v>
      </c>
      <c r="C24" s="9"/>
      <c r="D24" s="406"/>
      <c r="E24" s="214">
        <f>IFERROR(INPUT!E26/INPUT!E44,"–")</f>
        <v>-1.4467412113981299</v>
      </c>
      <c r="F24" s="214">
        <f>IFERROR(INPUT!F26/INPUT!F44,"–")</f>
        <v>-0.92138653688575467</v>
      </c>
      <c r="G24" s="214">
        <f>IFERROR(INPUT!G26/INPUT!G44,"–")</f>
        <v>-0.81512162060396109</v>
      </c>
      <c r="H24" s="214">
        <f>IFERROR(INPUT!H26/INPUT!H44,"–")</f>
        <v>-0.50903899133302499</v>
      </c>
    </row>
    <row r="25" spans="1:8" ht="15" customHeight="1" x14ac:dyDescent="0.35">
      <c r="A25" s="180"/>
      <c r="B25" s="27" t="s">
        <v>97</v>
      </c>
      <c r="C25" s="9"/>
      <c r="D25" s="406"/>
      <c r="E25" s="215">
        <f>IFERROR(INPUT!E17*(1-INPUT!E104)/(INPUT!E58+INPUT!E59),"–")</f>
        <v>-1.3994448972417524</v>
      </c>
      <c r="F25" s="215">
        <f>IFERROR(INPUT!F17*(1-INPUT!F104)/(INPUT!F58+INPUT!F59),"–")</f>
        <v>-0.99450799209186436</v>
      </c>
      <c r="G25" s="215">
        <f>IFERROR(INPUT!G17*(1-INPUT!G104)/(INPUT!G58+INPUT!G59),"–")</f>
        <v>-0.83901976474898277</v>
      </c>
      <c r="H25" s="215">
        <f>IFERROR(INPUT!H17*(1-INPUT!H104)/(INPUT!H58+INPUT!H59),"–")</f>
        <v>-0.64610443623639191</v>
      </c>
    </row>
    <row r="26" spans="1:8" ht="15" customHeight="1" x14ac:dyDescent="0.35">
      <c r="A26" s="180"/>
      <c r="B26" s="28"/>
      <c r="C26" s="9"/>
      <c r="D26" s="322"/>
      <c r="E26" s="30"/>
      <c r="F26" s="30"/>
      <c r="G26" s="30"/>
      <c r="H26" s="30"/>
    </row>
    <row r="27" spans="1:8" ht="18" customHeight="1" x14ac:dyDescent="0.5">
      <c r="A27" s="42"/>
      <c r="B27" s="47" t="s">
        <v>411</v>
      </c>
      <c r="C27" s="42"/>
      <c r="D27" s="323"/>
      <c r="E27" s="23"/>
      <c r="F27" s="23"/>
      <c r="G27" s="23"/>
      <c r="H27" s="23"/>
    </row>
    <row r="28" spans="1:8" ht="18" customHeight="1" x14ac:dyDescent="0.5">
      <c r="A28" s="181"/>
      <c r="B28" s="103"/>
      <c r="C28" s="102"/>
      <c r="D28" s="325"/>
      <c r="E28" s="99"/>
      <c r="F28" s="99"/>
      <c r="G28" s="99"/>
      <c r="H28" s="99"/>
    </row>
    <row r="29" spans="1:8" ht="15" customHeight="1" x14ac:dyDescent="0.35">
      <c r="A29" s="180"/>
      <c r="B29" s="27" t="s">
        <v>98</v>
      </c>
      <c r="C29" s="9"/>
      <c r="D29" s="403"/>
      <c r="E29" s="213">
        <f>IFERROR(INPUT!E38/INPUT!E51,"–")</f>
        <v>1.1831662856807925</v>
      </c>
      <c r="F29" s="213">
        <f>IFERROR(INPUT!F38/INPUT!F51,"–")</f>
        <v>1.9406171762918789</v>
      </c>
      <c r="G29" s="213">
        <f>IFERROR(INPUT!G38/INPUT!G51,"–")</f>
        <v>1.9264903630658898</v>
      </c>
      <c r="H29" s="213">
        <f>IFERROR(INPUT!H38/INPUT!H51,"–")</f>
        <v>2.1837003529353285</v>
      </c>
    </row>
    <row r="30" spans="1:8" ht="15" customHeight="1" x14ac:dyDescent="0.35">
      <c r="A30" s="180"/>
      <c r="B30" s="27" t="s">
        <v>99</v>
      </c>
      <c r="C30" s="9"/>
      <c r="D30" s="403"/>
      <c r="E30" s="213">
        <f>IFERROR((INPUT!E38-INPUT!E36)/INPUT!E51,"–")</f>
        <v>0.73504874665416253</v>
      </c>
      <c r="F30" s="213">
        <f>IFERROR((INPUT!F38-INPUT!F36)/INPUT!F51,"–")</f>
        <v>1.3972263636107907</v>
      </c>
      <c r="G30" s="213">
        <f>IFERROR((INPUT!G38-INPUT!G36)/INPUT!G51,"–")</f>
        <v>1.3979157328552219</v>
      </c>
      <c r="H30" s="213">
        <f>IFERROR((INPUT!H38-INPUT!H36)/INPUT!H51,"–")</f>
        <v>1.7695481433613363</v>
      </c>
    </row>
    <row r="31" spans="1:8" ht="15" customHeight="1" x14ac:dyDescent="0.35">
      <c r="A31" s="180"/>
      <c r="B31" s="27" t="s">
        <v>100</v>
      </c>
      <c r="C31" s="9"/>
      <c r="D31" s="403"/>
      <c r="E31" s="213">
        <f>IFERROR(INPUT!E34/INPUT!E51,"–")</f>
        <v>0.39456460152785106</v>
      </c>
      <c r="F31" s="213">
        <f>IFERROR(INPUT!F34/INPUT!F51,"–")</f>
        <v>0.58057891923823457</v>
      </c>
      <c r="G31" s="213">
        <f>IFERROR(INPUT!G34/INPUT!G51,"–")</f>
        <v>0.56219184222321827</v>
      </c>
      <c r="H31" s="213">
        <f>IFERROR(INPUT!H34/INPUT!H51,"–")</f>
        <v>0.54759656012327884</v>
      </c>
    </row>
    <row r="32" spans="1:8" ht="15" customHeight="1" x14ac:dyDescent="0.35">
      <c r="A32" s="180"/>
      <c r="B32" s="27" t="s">
        <v>101</v>
      </c>
      <c r="C32" s="9"/>
      <c r="D32" s="403"/>
      <c r="E32" s="213">
        <f>IFERROR((INPUT!E49+INPUT!E55)/INPUT!E60,"–")</f>
        <v>1.1318550567874526</v>
      </c>
      <c r="F32" s="213">
        <f>IFERROR((INPUT!F49+INPUT!F55)/INPUT!F60,"–")</f>
        <v>0.92351857870219911</v>
      </c>
      <c r="G32" s="213">
        <f>IFERROR((INPUT!G49+INPUT!G55)/INPUT!G60,"–")</f>
        <v>0.87010166298132907</v>
      </c>
      <c r="H32" s="213">
        <f>IFERROR((INPUT!H49+INPUT!H55)/INPUT!H60,"–")</f>
        <v>0.89783566614826338</v>
      </c>
    </row>
    <row r="33" spans="1:8" ht="15" customHeight="1" x14ac:dyDescent="0.35">
      <c r="A33" s="180"/>
      <c r="B33" s="27" t="s">
        <v>410</v>
      </c>
      <c r="C33" s="9"/>
      <c r="D33" s="403"/>
      <c r="E33" s="213">
        <f>IFERROR((INPUT!E49+INPUT!E55-INPUT!E34)/INPUT!E30,"–")</f>
        <v>-0.51378766430738121</v>
      </c>
      <c r="F33" s="213">
        <f>IFERROR((INPUT!F49+INPUT!F55-INPUT!F34)/INPUT!F30,"–")</f>
        <v>-0.48146460965338517</v>
      </c>
      <c r="G33" s="213">
        <f>IFERROR((INPUT!G49+INPUT!G55-INPUT!G34)/INPUT!G30,"–")</f>
        <v>-0.57696513332836308</v>
      </c>
      <c r="H33" s="213">
        <f>IFERROR((INPUT!H49+INPUT!H55-INPUT!H34)/INPUT!H30,"–")</f>
        <v>-0.6996149859321783</v>
      </c>
    </row>
    <row r="34" spans="1:8" ht="15" customHeight="1" x14ac:dyDescent="0.35">
      <c r="A34" s="180"/>
      <c r="B34" s="27" t="s">
        <v>102</v>
      </c>
      <c r="C34" s="9"/>
      <c r="D34" s="403"/>
      <c r="E34" s="213">
        <f>IFERROR(INPUT!E17/ABS(INPUT!E20),"–")</f>
        <v>-132.51385927505331</v>
      </c>
      <c r="F34" s="213">
        <f>IFERROR(INPUT!F17/ABS(INPUT!F20),"–")</f>
        <v>-95.217224880382773</v>
      </c>
      <c r="G34" s="213">
        <f>IFERROR(INPUT!G17/ABS(INPUT!G20),"–")</f>
        <v>-78.295081967213122</v>
      </c>
      <c r="H34" s="213">
        <f>IFERROR(INPUT!H17/ABS(INPUT!H20),"–")</f>
        <v>-64.357210179076347</v>
      </c>
    </row>
    <row r="35" spans="1:8" ht="15" customHeight="1" x14ac:dyDescent="0.35">
      <c r="A35" s="180"/>
      <c r="B35" s="27" t="s">
        <v>103</v>
      </c>
      <c r="C35" s="9"/>
      <c r="D35" s="403"/>
      <c r="E35" s="213">
        <f>IFERROR((INPUT!E49+INPUT!E55)/INPUT!E44,"–")</f>
        <v>1.1613440248605755</v>
      </c>
      <c r="F35" s="213">
        <f>IFERROR((INPUT!F49+INPUT!F55)/INPUT!F44,"–")</f>
        <v>0.84672112829935686</v>
      </c>
      <c r="G35" s="213">
        <f>IFERROR((INPUT!G49+INPUT!G55)/INPUT!G44,"–")</f>
        <v>0.83466375480081334</v>
      </c>
      <c r="H35" s="213">
        <f>IFERROR((INPUT!H49+INPUT!H55)/INPUT!H44,"–")</f>
        <v>0.696545275392628</v>
      </c>
    </row>
    <row r="36" spans="1:8" ht="15" customHeight="1" x14ac:dyDescent="0.35">
      <c r="A36" s="180"/>
      <c r="B36" s="27" t="s">
        <v>104</v>
      </c>
      <c r="C36" s="9"/>
      <c r="D36" s="403"/>
      <c r="E36" s="216">
        <f>IFERROR(INPUT!E60/INPUT!E44,"–")</f>
        <v>1.0260536611081823</v>
      </c>
      <c r="F36" s="216">
        <f>IFERROR(INPUT!F60/INPUT!F44,"–")</f>
        <v>0.91684254959898692</v>
      </c>
      <c r="G36" s="216">
        <f>IFERROR(INPUT!G60/INPUT!G44,"–")</f>
        <v>0.95927153149082511</v>
      </c>
      <c r="H36" s="216">
        <f>IFERROR(INPUT!H60/INPUT!H44,"–")</f>
        <v>0.7758048623539584</v>
      </c>
    </row>
    <row r="37" spans="1:8" ht="15" customHeight="1" x14ac:dyDescent="0.35">
      <c r="A37" s="180"/>
      <c r="B37" s="28"/>
      <c r="C37" s="9"/>
      <c r="D37" s="322"/>
      <c r="E37" s="30"/>
      <c r="F37" s="30"/>
      <c r="G37" s="30"/>
      <c r="H37" s="30"/>
    </row>
    <row r="38" spans="1:8" ht="18" customHeight="1" x14ac:dyDescent="0.5">
      <c r="A38" s="42"/>
      <c r="B38" s="47" t="s">
        <v>412</v>
      </c>
      <c r="C38" s="42"/>
      <c r="D38" s="323"/>
      <c r="E38" s="23"/>
      <c r="F38" s="23"/>
      <c r="G38" s="23"/>
      <c r="H38" s="23"/>
    </row>
    <row r="39" spans="1:8" ht="18" customHeight="1" x14ac:dyDescent="0.5">
      <c r="A39" s="181"/>
      <c r="B39" s="103"/>
      <c r="C39" s="102"/>
      <c r="D39" s="325"/>
      <c r="E39" s="99"/>
      <c r="F39" s="99"/>
      <c r="G39" s="99"/>
      <c r="H39" s="99"/>
    </row>
    <row r="40" spans="1:8" ht="15" customHeight="1" x14ac:dyDescent="0.35">
      <c r="A40" s="180"/>
      <c r="B40" s="27" t="s">
        <v>105</v>
      </c>
      <c r="C40" s="9"/>
      <c r="D40" s="403"/>
      <c r="E40" s="213">
        <f>IFERROR(INPUT!E9/INPUT!E44,"–")</f>
        <v>0.93517105518714794</v>
      </c>
      <c r="F40" s="213">
        <f>IFERROR(INPUT!F9/INPUT!F44,"–")</f>
        <v>0.84341866759367323</v>
      </c>
      <c r="G40" s="213">
        <f>IFERROR(INPUT!G9/INPUT!G44,"–")</f>
        <v>0.88022441448904287</v>
      </c>
      <c r="H40" s="213">
        <f>IFERROR(INPUT!H9/INPUT!H44,"–")</f>
        <v>0.76066279233445278</v>
      </c>
    </row>
    <row r="41" spans="1:8" ht="15" customHeight="1" x14ac:dyDescent="0.35">
      <c r="A41" s="180"/>
      <c r="B41" s="28"/>
      <c r="C41" s="9"/>
      <c r="D41" s="322"/>
      <c r="E41" s="30"/>
      <c r="F41" s="30"/>
      <c r="G41" s="30"/>
      <c r="H41" s="30"/>
    </row>
    <row r="42" spans="1:8" ht="18" customHeight="1" x14ac:dyDescent="0.5">
      <c r="A42" s="42"/>
      <c r="B42" s="47" t="s">
        <v>106</v>
      </c>
      <c r="C42" s="42"/>
      <c r="D42" s="323"/>
      <c r="E42" s="23"/>
      <c r="F42" s="23"/>
      <c r="G42" s="23"/>
      <c r="H42" s="23"/>
    </row>
    <row r="43" spans="1:8" ht="18" customHeight="1" x14ac:dyDescent="0.5">
      <c r="A43" s="181"/>
      <c r="B43" s="103"/>
      <c r="C43" s="102"/>
      <c r="D43" s="325"/>
      <c r="E43" s="99"/>
      <c r="F43" s="99"/>
      <c r="G43" s="99"/>
      <c r="H43" s="99"/>
    </row>
    <row r="44" spans="1:8" ht="15" customHeight="1" x14ac:dyDescent="0.35">
      <c r="A44" s="180"/>
      <c r="B44" s="27" t="s">
        <v>107</v>
      </c>
      <c r="C44" s="9"/>
      <c r="D44" s="380"/>
      <c r="E44" s="389"/>
      <c r="F44" s="214">
        <f>IFERROR(INPUT!F9/INPUT!E9-1,"–")</f>
        <v>7.7882775297066775E-3</v>
      </c>
      <c r="G44" s="214">
        <f>IFERROR(INPUT!G9/INPUT!F9-1,"–")</f>
        <v>3.2340212559248682E-2</v>
      </c>
      <c r="H44" s="214">
        <f>IFERROR(INPUT!H9/INPUT!G9-1,"–")</f>
        <v>7.8752620096676162E-2</v>
      </c>
    </row>
    <row r="45" spans="1:8" ht="15" customHeight="1" x14ac:dyDescent="0.35">
      <c r="A45" s="180"/>
      <c r="B45" s="27" t="s">
        <v>108</v>
      </c>
      <c r="C45" s="9"/>
      <c r="D45" s="380" t="s">
        <v>89</v>
      </c>
      <c r="E45" s="389"/>
      <c r="F45" s="214">
        <f>IFERROR(INPUT!F30/INPUT!E30-1,"–")</f>
        <v>-0.20093832153690594</v>
      </c>
      <c r="G45" s="214">
        <f>IFERROR(INPUT!G30/INPUT!F30-1,"–")</f>
        <v>-0.18531341107871724</v>
      </c>
      <c r="H45" s="214">
        <f>IFERROR(INPUT!H30/INPUT!G30-1,"–")</f>
        <v>-0.16088869007679119</v>
      </c>
    </row>
    <row r="46" spans="1:8" ht="15" customHeight="1" x14ac:dyDescent="0.35">
      <c r="A46" s="180"/>
      <c r="B46" s="27" t="s">
        <v>109</v>
      </c>
      <c r="C46" s="9"/>
      <c r="D46" s="380" t="s">
        <v>89</v>
      </c>
      <c r="E46" s="389"/>
      <c r="F46" s="214">
        <f>IFERROR(INPUT!F26/INPUT!E26-1,"–")</f>
        <v>-0.28834720570749106</v>
      </c>
      <c r="G46" s="214">
        <f>IFERROR(INPUT!G26/INPUT!F26-1,"–")</f>
        <v>-0.1249090468105748</v>
      </c>
      <c r="H46" s="214">
        <f>IFERROR(INPUT!H26/INPUT!G26-1,"–")</f>
        <v>-0.22043606799704363</v>
      </c>
    </row>
    <row r="47" spans="1:8" ht="15" customHeight="1" x14ac:dyDescent="0.35">
      <c r="A47" s="180"/>
      <c r="B47" s="27" t="s">
        <v>110</v>
      </c>
      <c r="C47" s="9"/>
      <c r="D47" s="380" t="s">
        <v>89</v>
      </c>
      <c r="E47" s="389"/>
      <c r="F47" s="214">
        <f>IFERROR((INPUT!F26/INPUT!F96)/(INPUT!E26/INPUT!E96)-1,"–")</f>
        <v>-0.27025548223278106</v>
      </c>
      <c r="G47" s="214">
        <f>IFERROR((INPUT!G26/INPUT!G96)/(INPUT!F26/INPUT!F96)-1,"–")</f>
        <v>-0.10190724021389019</v>
      </c>
      <c r="H47" s="214">
        <f>IFERROR((INPUT!H26/INPUT!H96)/(INPUT!G26/INPUT!G96)-1,"–")</f>
        <v>17.421165653403193</v>
      </c>
    </row>
    <row r="48" spans="1:8" ht="15" customHeight="1" x14ac:dyDescent="0.35">
      <c r="A48" s="180"/>
      <c r="B48" s="27" t="s">
        <v>111</v>
      </c>
      <c r="C48" s="9"/>
      <c r="D48" s="380" t="s">
        <v>89</v>
      </c>
      <c r="E48" s="390"/>
      <c r="F48" s="215">
        <f>IFERROR(INPUT!F44/INPUT!E44-1,"–")</f>
        <v>0.11742182514358657</v>
      </c>
      <c r="G48" s="215">
        <f>IFERROR(INPUT!G44/INPUT!F44-1,"–")</f>
        <v>-1.0826111787053394E-2</v>
      </c>
      <c r="H48" s="215">
        <f>IFERROR(INPUT!H44/INPUT!G44-1,"–")</f>
        <v>0.24831187087381079</v>
      </c>
    </row>
    <row r="49" spans="1:8" ht="15" customHeight="1" x14ac:dyDescent="0.35">
      <c r="A49" s="180"/>
      <c r="B49" s="28"/>
      <c r="C49" s="9"/>
      <c r="D49" s="322"/>
      <c r="E49" s="391"/>
      <c r="F49" s="30"/>
      <c r="G49" s="30"/>
      <c r="H49" s="30"/>
    </row>
    <row r="50" spans="1:8" ht="18" customHeight="1" x14ac:dyDescent="0.5">
      <c r="A50" s="42"/>
      <c r="B50" s="47" t="s">
        <v>112</v>
      </c>
      <c r="C50" s="42"/>
      <c r="D50" s="323"/>
      <c r="E50" s="23"/>
      <c r="F50" s="23"/>
      <c r="G50" s="23"/>
      <c r="H50" s="23"/>
    </row>
    <row r="51" spans="1:8" ht="18" customHeight="1" x14ac:dyDescent="0.5">
      <c r="A51" s="181"/>
      <c r="B51" s="103"/>
      <c r="C51" s="102"/>
      <c r="D51" s="325"/>
      <c r="E51" s="99"/>
      <c r="F51" s="99"/>
      <c r="G51" s="99"/>
      <c r="H51" s="99"/>
    </row>
    <row r="52" spans="1:8" ht="15" customHeight="1" x14ac:dyDescent="0.35">
      <c r="A52" s="180"/>
      <c r="B52" s="27" t="s">
        <v>113</v>
      </c>
      <c r="C52" s="9"/>
      <c r="D52" s="406"/>
      <c r="E52" s="214">
        <f>IFERROR(INPUT!E75/INPUT!E9,"–")</f>
        <v>-1.4693883606046669</v>
      </c>
      <c r="F52" s="214">
        <f>IFERROR(INPUT!F75/INPUT!F9,"–")</f>
        <v>-1.300630023257868</v>
      </c>
      <c r="G52" s="214">
        <f>IFERROR(INPUT!G75/INPUT!G9,"–")</f>
        <v>-0.93192739302163097</v>
      </c>
      <c r="H52" s="214">
        <f>IFERROR(INPUT!H75/INPUT!H9,"–")</f>
        <v>-0.75381341369920951</v>
      </c>
    </row>
    <row r="53" spans="1:8" ht="15" customHeight="1" x14ac:dyDescent="0.35">
      <c r="A53" s="180"/>
      <c r="B53" s="59" t="s">
        <v>114</v>
      </c>
      <c r="C53" s="11"/>
      <c r="D53" s="358"/>
      <c r="E53" s="217">
        <f>IFERROR(INPUT!E75+INPUT!E78,"–")</f>
        <v>-114740</v>
      </c>
      <c r="F53" s="217">
        <f>IFERROR(INPUT!F75+INPUT!F78,"–")</f>
        <v>-106079</v>
      </c>
      <c r="G53" s="217">
        <f>IFERROR(INPUT!G75+INPUT!G78,"–")</f>
        <v>-80266</v>
      </c>
      <c r="H53" s="217">
        <f>IFERROR(INPUT!H75+INPUT!H78,"–")</f>
        <v>-73982</v>
      </c>
    </row>
    <row r="54" spans="1:8" ht="15" customHeight="1" x14ac:dyDescent="0.35">
      <c r="A54" s="180"/>
      <c r="B54" s="27" t="s">
        <v>115</v>
      </c>
      <c r="C54" s="9"/>
      <c r="D54" s="406"/>
      <c r="E54" s="214">
        <f>IFERROR(E53/INPUT!E9,"–")</f>
        <v>-1.7021465976353305</v>
      </c>
      <c r="F54" s="214">
        <f>IFERROR(F53/INPUT!F9,"–")</f>
        <v>-1.5615008684900049</v>
      </c>
      <c r="G54" s="214">
        <f>IFERROR(G53/INPUT!G9,"–")</f>
        <v>-1.1445152642911123</v>
      </c>
      <c r="H54" s="214">
        <f>IFERROR(H53/INPUT!H9,"–")</f>
        <v>-0.97789938403785659</v>
      </c>
    </row>
    <row r="55" spans="1:8" ht="15" customHeight="1" x14ac:dyDescent="0.35">
      <c r="A55" s="180"/>
      <c r="B55" s="27" t="s">
        <v>116</v>
      </c>
      <c r="C55" s="9"/>
      <c r="D55" s="406"/>
      <c r="E55" s="214">
        <f>IFERROR(ABS(INPUT!E78)/INPUT!E9,"–")</f>
        <v>0.23275823703066356</v>
      </c>
      <c r="F55" s="214">
        <f>IFERROR(ABS(INPUT!F78)/INPUT!F9,"–")</f>
        <v>0.26087084523213705</v>
      </c>
      <c r="G55" s="214">
        <f>IFERROR(ABS(INPUT!G78)/INPUT!G9,"–")</f>
        <v>0.21258787126948139</v>
      </c>
      <c r="H55" s="214">
        <f>IFERROR(ABS(INPUT!H78)/INPUT!H9,"–")</f>
        <v>0.22408597033864699</v>
      </c>
    </row>
    <row r="56" spans="1:8" ht="15" customHeight="1" x14ac:dyDescent="0.35">
      <c r="A56" s="180"/>
      <c r="B56" s="27" t="s">
        <v>117</v>
      </c>
      <c r="C56" s="9"/>
      <c r="D56" s="406"/>
      <c r="E56" s="214">
        <f>IFERROR(ABS(INPUT!E85)/INPUT!E26,"–")</f>
        <v>-3.1893674964519968E-2</v>
      </c>
      <c r="F56" s="214">
        <f>IFERROR(ABS(INPUT!F85)/INPUT!F26,"–")</f>
        <v>-4.1811518042417874E-2</v>
      </c>
      <c r="G56" s="214">
        <f>IFERROR(ABS(INPUT!G85)/INPUT!G26,"–")</f>
        <v>-4.9381005173688097E-2</v>
      </c>
      <c r="H56" s="214">
        <f>IFERROR(ABS(INPUT!H85)/INPUT!H26,"–")</f>
        <v>-5.6944773643043373E-2</v>
      </c>
    </row>
    <row r="57" spans="1:8" ht="15" customHeight="1" x14ac:dyDescent="0.35">
      <c r="A57" s="180"/>
      <c r="B57" s="14"/>
      <c r="C57" s="9"/>
      <c r="D57" s="322"/>
      <c r="E57" s="22"/>
      <c r="F57" s="22"/>
      <c r="G57" s="22"/>
      <c r="H57" s="22"/>
    </row>
    <row r="58" spans="1:8" ht="15" customHeight="1" x14ac:dyDescent="0.35">
      <c r="A58" s="180"/>
      <c r="B58" s="332" t="s">
        <v>397</v>
      </c>
      <c r="C58" s="342"/>
      <c r="D58" s="332"/>
      <c r="E58" s="332"/>
      <c r="F58" s="332"/>
      <c r="G58" s="332"/>
      <c r="H58" s="332"/>
    </row>
    <row r="59" spans="1:8" ht="15" customHeight="1" x14ac:dyDescent="0.35">
      <c r="A59" s="180"/>
      <c r="B59" s="14"/>
      <c r="C59" s="9"/>
      <c r="D59" s="322"/>
      <c r="E59" s="22"/>
      <c r="F59" s="22"/>
      <c r="G59" s="22"/>
      <c r="H59" s="22"/>
    </row>
    <row r="60" spans="1:8" ht="15" customHeight="1" x14ac:dyDescent="0.35">
      <c r="A60" s="180"/>
      <c r="B60" s="333" t="s">
        <v>398</v>
      </c>
      <c r="C60" s="334"/>
      <c r="D60" s="511" t="str">
        <f>IF(INPUT!D135&lt;&gt;"–",INPUT!D135,"–")</f>
        <v>n.d.</v>
      </c>
      <c r="E60" s="213" t="str">
        <f>IF(INPUT!E135&lt;&gt;"",INPUT!E135,"–")</f>
        <v>–</v>
      </c>
      <c r="F60" s="213" t="str">
        <f>IF(INPUT!F135&lt;&gt;"",INPUT!F135,"–")</f>
        <v>–</v>
      </c>
      <c r="G60" s="213" t="str">
        <f>IF(INPUT!G135&lt;&gt;"",INPUT!G135,"–")</f>
        <v>–</v>
      </c>
      <c r="H60" s="407" t="str">
        <f>IF(INPUT!H135&lt;&gt;"",INPUT!H135,"–")</f>
        <v>–</v>
      </c>
    </row>
    <row r="61" spans="1:8" ht="15" customHeight="1" x14ac:dyDescent="0.35">
      <c r="A61" s="180"/>
      <c r="B61" s="333" t="s">
        <v>399</v>
      </c>
      <c r="C61" s="334"/>
      <c r="D61" s="511" t="str">
        <f>IF(INPUT!D136&lt;&gt;"–",INPUT!D136,"–")</f>
        <v>n.d.</v>
      </c>
      <c r="E61" s="213" t="str">
        <f>IF(INPUT!E136&lt;&gt;"",INPUT!E136,"–")</f>
        <v>–</v>
      </c>
      <c r="F61" s="213" t="str">
        <f>IF(INPUT!F136&lt;&gt;"",INPUT!F136,"–")</f>
        <v>–</v>
      </c>
      <c r="G61" s="213" t="str">
        <f>IF(INPUT!G136&lt;&gt;"",INPUT!G136,"–")</f>
        <v>–</v>
      </c>
      <c r="H61" s="407" t="str">
        <f>IF(INPUT!H136&lt;&gt;"",INPUT!H136,"–")</f>
        <v>–</v>
      </c>
    </row>
    <row r="62" spans="1:8" ht="15" customHeight="1" x14ac:dyDescent="0.35">
      <c r="A62" s="180"/>
      <c r="B62" s="333" t="s">
        <v>400</v>
      </c>
      <c r="C62" s="334"/>
      <c r="D62" s="511" t="str">
        <f>IF(INPUT!D137&lt;&gt;"–",INPUT!D137,"–")</f>
        <v>n.d.</v>
      </c>
      <c r="E62" s="273" t="str">
        <f>IF(INPUT!E137&lt;&gt;"",INPUT!E137,"–")</f>
        <v>–</v>
      </c>
      <c r="F62" s="273" t="str">
        <f>IF(INPUT!F137&lt;&gt;"",INPUT!F137,"–")</f>
        <v>–</v>
      </c>
      <c r="G62" s="273" t="str">
        <f>IF(INPUT!G137&lt;&gt;"",INPUT!G137,"–")</f>
        <v>–</v>
      </c>
      <c r="H62" s="274" t="str">
        <f>IF(INPUT!H137&lt;&gt;"",INPUT!H137,"–")</f>
        <v>–</v>
      </c>
    </row>
    <row r="63" spans="1:8" ht="15" customHeight="1" x14ac:dyDescent="0.35">
      <c r="A63" s="180"/>
      <c r="B63" s="333" t="s">
        <v>401</v>
      </c>
      <c r="C63" s="334"/>
      <c r="D63" s="511" t="str">
        <f>IF(INPUT!D138&lt;&gt;"–",INPUT!D138,"–")</f>
        <v>n.d.</v>
      </c>
      <c r="E63" s="273" t="str">
        <f>IF(INPUT!E138&lt;&gt;"",INPUT!E138,"–")</f>
        <v>–</v>
      </c>
      <c r="F63" s="273" t="str">
        <f>IF(INPUT!F138&lt;&gt;"",INPUT!F138,"–")</f>
        <v>–</v>
      </c>
      <c r="G63" s="273" t="str">
        <f>IF(INPUT!G138&lt;&gt;"",INPUT!G138,"–")</f>
        <v>–</v>
      </c>
      <c r="H63" s="274" t="str">
        <f>IF(INPUT!H138&lt;&gt;"",INPUT!H138,"–")</f>
        <v>–</v>
      </c>
    </row>
    <row r="64" spans="1:8" ht="15" customHeight="1" x14ac:dyDescent="0.35">
      <c r="A64" s="180"/>
      <c r="B64" s="333" t="s">
        <v>402</v>
      </c>
      <c r="C64" s="334"/>
      <c r="D64" s="511" t="str">
        <f>IF(INPUT!D141&lt;&gt;"–",INPUT!D141,"–")</f>
        <v>n.d.</v>
      </c>
      <c r="E64" s="214" t="str">
        <f>IF(INPUT!E141&lt;&gt;"",INPUT!E141,"–")</f>
        <v>–</v>
      </c>
      <c r="F64" s="214" t="str">
        <f>IF(INPUT!F141&lt;&gt;"",INPUT!F141,"–")</f>
        <v>–</v>
      </c>
      <c r="G64" s="214" t="str">
        <f>IF(INPUT!G141&lt;&gt;"",INPUT!G141,"–")</f>
        <v>–</v>
      </c>
      <c r="H64" s="408" t="str">
        <f>IF(INPUT!H141&lt;&gt;"",INPUT!H141,"–")</f>
        <v>–</v>
      </c>
    </row>
    <row r="65" spans="1:8" ht="15" customHeight="1" x14ac:dyDescent="0.35">
      <c r="A65" s="180"/>
      <c r="B65" s="333" t="s">
        <v>403</v>
      </c>
      <c r="C65" s="334"/>
      <c r="D65" s="511">
        <f>IFERROR(INPUT!H26/INPUT!H60,"–")</f>
        <v>-0.65614307931570759</v>
      </c>
      <c r="E65" s="214">
        <f>IFERROR(INPUT!E26/INPUT!E60,"–")</f>
        <v>-1.4100054083288265</v>
      </c>
      <c r="F65" s="214">
        <f>IFERROR(INPUT!F26/INPUT!F60,"–")</f>
        <v>-1.0049561260968476</v>
      </c>
      <c r="G65" s="214">
        <f>IFERROR(INPUT!G26/INPUT!G60,"–")</f>
        <v>-0.84972981459917052</v>
      </c>
      <c r="H65" s="408">
        <f>IFERROR(INPUT!H26/INPUT!H60,"–")</f>
        <v>-0.65614307931570759</v>
      </c>
    </row>
    <row r="66" spans="1:8" ht="15" customHeight="1" x14ac:dyDescent="0.35">
      <c r="A66" s="180"/>
      <c r="B66" s="14" t="s">
        <v>404</v>
      </c>
      <c r="C66" s="9"/>
      <c r="D66" s="511">
        <f>IFERROR(INPUT!H26/INPUT!H44,"–")</f>
        <v>-0.50903899133302499</v>
      </c>
      <c r="E66" s="409">
        <f>IFERROR(INPUT!E26/INPUT!E44,"–")</f>
        <v>-1.4467412113981299</v>
      </c>
      <c r="F66" s="409">
        <f>IFERROR(INPUT!F26/INPUT!F44,"–")</f>
        <v>-0.92138653688575467</v>
      </c>
      <c r="G66" s="409">
        <f>IFERROR(INPUT!G26/INPUT!G44,"–")</f>
        <v>-0.81512162060396109</v>
      </c>
      <c r="H66" s="409">
        <f>IFERROR(INPUT!H26/INPUT!H44,"–")</f>
        <v>-0.50903899133302499</v>
      </c>
    </row>
    <row r="67" spans="1:8" ht="15" customHeight="1" x14ac:dyDescent="0.35">
      <c r="A67" s="180"/>
      <c r="B67" s="14" t="s">
        <v>405</v>
      </c>
      <c r="C67" s="9"/>
      <c r="D67" s="511" t="s">
        <v>406</v>
      </c>
      <c r="E67" s="22"/>
      <c r="F67" s="22"/>
      <c r="G67" s="22"/>
      <c r="H67" s="22"/>
    </row>
    <row r="68" spans="1:8" ht="15" customHeight="1" x14ac:dyDescent="0.35">
      <c r="A68" s="180"/>
      <c r="B68" s="14"/>
      <c r="C68" s="9"/>
      <c r="D68" s="322"/>
      <c r="E68" s="22"/>
      <c r="F68" s="22"/>
      <c r="G68" s="22"/>
      <c r="H68" s="22"/>
    </row>
    <row r="69" spans="1:8" ht="15" customHeight="1" x14ac:dyDescent="0.35">
      <c r="A69" s="180"/>
      <c r="B69" s="14"/>
      <c r="C69" s="9"/>
      <c r="D69" s="322"/>
      <c r="E69" s="22"/>
      <c r="F69" s="22"/>
      <c r="G69" s="22"/>
      <c r="H69" s="22"/>
    </row>
    <row r="70" spans="1:8" ht="15" customHeight="1" x14ac:dyDescent="0.35">
      <c r="A70" s="179"/>
      <c r="B70" s="31" t="s">
        <v>82</v>
      </c>
      <c r="C70" s="2"/>
      <c r="D70" s="2"/>
      <c r="E70" s="76"/>
      <c r="F70" s="76"/>
      <c r="G70" s="76"/>
      <c r="H70" s="76"/>
    </row>
    <row r="71" spans="1:8" ht="15" customHeight="1" x14ac:dyDescent="0.35">
      <c r="A71" s="179"/>
      <c r="B71" s="31" t="s">
        <v>83</v>
      </c>
      <c r="C71" s="2"/>
      <c r="D71" s="2"/>
      <c r="E71" s="76"/>
      <c r="F71" s="76"/>
      <c r="G71" s="76"/>
      <c r="H71" s="76"/>
    </row>
    <row r="72" spans="1:8" ht="15" customHeight="1" x14ac:dyDescent="0.35">
      <c r="A72" s="179"/>
      <c r="B72" s="31" t="s">
        <v>84</v>
      </c>
      <c r="C72" s="2"/>
      <c r="D72" s="2"/>
      <c r="E72" s="76"/>
      <c r="F72" s="76"/>
      <c r="G72" s="76"/>
      <c r="H72" s="76"/>
    </row>
    <row r="73" spans="1:8" ht="15" customHeight="1" x14ac:dyDescent="0.3">
      <c r="B73" s="45"/>
      <c r="D73" s="205"/>
    </row>
    <row r="74" spans="1:8" ht="15" customHeight="1" x14ac:dyDescent="0.3">
      <c r="B74" s="45"/>
      <c r="D74" s="205"/>
    </row>
    <row r="75" spans="1:8" ht="15" customHeight="1" x14ac:dyDescent="0.3">
      <c r="B75" s="95" t="s">
        <v>119</v>
      </c>
      <c r="C75" s="97"/>
      <c r="D75" s="20"/>
      <c r="E75" s="98"/>
      <c r="F75" s="98"/>
      <c r="G75" s="98"/>
      <c r="H75" s="98"/>
    </row>
    <row r="76" spans="1:8" ht="15" customHeight="1" x14ac:dyDescent="0.3">
      <c r="B76" s="81" t="s">
        <v>88</v>
      </c>
      <c r="C76" s="81"/>
      <c r="D76" s="326" t="str">
        <f>IF(INPUT!D9="","",D5)</f>
        <v/>
      </c>
      <c r="E76" s="410">
        <f>IF(INPUT!E9="",NA(),E5)</f>
        <v>2022</v>
      </c>
      <c r="F76" s="410">
        <f>IF(INPUT!F9="",NA(),F5)</f>
        <v>2023</v>
      </c>
      <c r="G76" s="410">
        <f>IF(INPUT!G9="",NA(),G5)</f>
        <v>2024</v>
      </c>
      <c r="H76" s="410" t="str">
        <f>IF(INPUT!H9="",NA(),H5)</f>
        <v>2025 (LTM)</v>
      </c>
    </row>
    <row r="77" spans="1:8" ht="15" customHeight="1" x14ac:dyDescent="0.3">
      <c r="B77" s="45" t="s">
        <v>120</v>
      </c>
      <c r="D77" s="381" t="str">
        <f>IF(INPUT!D9="","",INPUT!D9)</f>
        <v/>
      </c>
      <c r="E77" s="411">
        <f>IF(INPUT!E9="",NA(),INPUT!E9)</f>
        <v>67409</v>
      </c>
      <c r="F77" s="411">
        <f>IF(INPUT!F9="",NA(),INPUT!F9)</f>
        <v>67934</v>
      </c>
      <c r="G77" s="411">
        <f>IF(INPUT!G9="",NA(),INPUT!G9)</f>
        <v>70131</v>
      </c>
      <c r="H77" s="411">
        <f>IF(INPUT!H9="",NA(),INPUT!H9)</f>
        <v>75654</v>
      </c>
    </row>
    <row r="78" spans="1:8" ht="15" customHeight="1" x14ac:dyDescent="0.3">
      <c r="B78" s="45" t="s">
        <v>121</v>
      </c>
      <c r="D78" s="512">
        <f>IF(INPUT!E9="",NA(),INPUT!E30)</f>
        <v>-123625</v>
      </c>
      <c r="E78" s="411">
        <f>IF(INPUT!F9="",NA(),INPUT!F30)</f>
        <v>-98784</v>
      </c>
      <c r="F78" s="411">
        <f>IF(INPUT!G9="",NA(),INPUT!G30)</f>
        <v>-80478</v>
      </c>
      <c r="G78" s="411">
        <f>IF(INPUT!G9="",NA(),INPUT!G30)</f>
        <v>-80478</v>
      </c>
      <c r="H78" s="411">
        <f>IF(INPUT!H9="",NA(),INPUT!H30)</f>
        <v>-67530</v>
      </c>
    </row>
    <row r="79" spans="1:8" ht="15" customHeight="1" x14ac:dyDescent="0.3">
      <c r="B79" s="45" t="s">
        <v>122</v>
      </c>
      <c r="D79" s="512">
        <f>IF(INPUT!E9="",NA(),INPUT!E26)</f>
        <v>-104284</v>
      </c>
      <c r="E79" s="411">
        <f>IF(INPUT!F9="",NA(),INPUT!F26)</f>
        <v>-74214</v>
      </c>
      <c r="F79" s="411">
        <f>IF(INPUT!G9="",NA(),INPUT!G26)</f>
        <v>-64944</v>
      </c>
      <c r="G79" s="411">
        <f>IF(INPUT!G9="",NA(),INPUT!G26)</f>
        <v>-64944</v>
      </c>
      <c r="H79" s="411">
        <f>IF(INPUT!H9="",NA(),INPUT!H26)</f>
        <v>-50628</v>
      </c>
    </row>
    <row r="80" spans="1:8" ht="15" customHeight="1" x14ac:dyDescent="0.35">
      <c r="B80" s="45" t="s">
        <v>123</v>
      </c>
      <c r="D80" s="512">
        <f>IF(INPUT!E9="",NA(),INPUT!D9+INPUT!E9)</f>
        <v>67409</v>
      </c>
      <c r="E80" s="411">
        <f>IF(INPUT!F9="",NA(),INPUT!D9+INPUT!E9+INPUT!F9)</f>
        <v>135343</v>
      </c>
      <c r="F80" s="411">
        <f>IF(INPUT!G9="",NA(),INPUT!D9+INPUT!E9+INPUT!F9+INPUT!G9)</f>
        <v>205474</v>
      </c>
      <c r="G80" s="253">
        <f>IF(INPUT!G9="",NA(),INPUT!D9+INPUT!E9+INPUT!F9+INPUT!G9)</f>
        <v>205474</v>
      </c>
      <c r="H80" s="411">
        <f>IF(INPUT!H9="",NA(),INPUT!D9+INPUT!E9+INPUT!F9+INPUT!G9+INPUT!H9)</f>
        <v>281128</v>
      </c>
    </row>
    <row r="81" spans="2:8" ht="15" customHeight="1" x14ac:dyDescent="0.3">
      <c r="B81" s="45"/>
      <c r="D81" s="205"/>
    </row>
    <row r="82" spans="2:8" ht="15" customHeight="1" x14ac:dyDescent="0.3">
      <c r="B82" s="45" t="s">
        <v>91</v>
      </c>
      <c r="D82" s="382" t="str">
        <f>IF(INPUT!D9="","",D19)</f>
        <v/>
      </c>
      <c r="E82" s="412">
        <f>IF(INPUT!E9="",NA(),E19)</f>
        <v>-1.7014048569182156</v>
      </c>
      <c r="F82" s="412">
        <f>IF(INPUT!F9="",NA(),F19)</f>
        <v>-1.3047663909088232</v>
      </c>
      <c r="G82" s="412">
        <f>IF(INPUT!G9="",NA(),G19)</f>
        <v>-0.99737633856639718</v>
      </c>
      <c r="H82" s="412">
        <f>IF(INPUT!H9="",NA(),H19)</f>
        <v>-0.72491870885875165</v>
      </c>
    </row>
    <row r="83" spans="2:8" ht="15" customHeight="1" x14ac:dyDescent="0.3">
      <c r="B83" s="45" t="s">
        <v>92</v>
      </c>
      <c r="D83" s="382" t="str">
        <f>IF(INPUT!D9="","",D20)</f>
        <v/>
      </c>
      <c r="E83" s="412">
        <f>IF(INPUT!E9="",NA(),E20)</f>
        <v>-1.8339539230666528</v>
      </c>
      <c r="F83" s="412">
        <f>IF(INPUT!F9="",NA(),F20)</f>
        <v>-1.454117231430506</v>
      </c>
      <c r="G83" s="412">
        <f>IF(INPUT!G9="",NA(),G20)</f>
        <v>-1.1475381785515677</v>
      </c>
      <c r="H83" s="412">
        <f>IF(INPUT!H9="",NA(),H20)</f>
        <v>-0.89261638512173846</v>
      </c>
    </row>
    <row r="84" spans="2:8" ht="15" customHeight="1" x14ac:dyDescent="0.3">
      <c r="B84" s="45" t="s">
        <v>94</v>
      </c>
      <c r="D84" s="382" t="str">
        <f>IF(INPUT!D9="","",D22)</f>
        <v/>
      </c>
      <c r="E84" s="412">
        <f>IF(INPUT!E9="",NA(),E22)</f>
        <v>-1.5470337788722575</v>
      </c>
      <c r="F84" s="412">
        <f>IF(INPUT!F9="",NA(),F22)</f>
        <v>-1.0924426649395</v>
      </c>
      <c r="G84" s="412">
        <f>IF(INPUT!G9="",NA(),G22)</f>
        <v>-0.92603841382555507</v>
      </c>
      <c r="H84" s="412">
        <f>IF(INPUT!H9="",NA(),H22)</f>
        <v>-0.66920453644222377</v>
      </c>
    </row>
    <row r="85" spans="2:8" ht="15" customHeight="1" x14ac:dyDescent="0.3">
      <c r="B85" s="45"/>
      <c r="D85" s="205"/>
    </row>
    <row r="86" spans="2:8" ht="15" customHeight="1" x14ac:dyDescent="0.3"/>
    <row r="87" spans="2:8" ht="15" customHeight="1" x14ac:dyDescent="0.3">
      <c r="B87" s="45" t="s">
        <v>124</v>
      </c>
      <c r="D87" s="299" t="str">
        <f>IF(INPUT!D9="","",ABS(INPUT!D14))</f>
        <v/>
      </c>
      <c r="E87" s="413">
        <f>IF(INPUT!E9="",NA(),ABS(INPUT!E14))</f>
        <v>5860</v>
      </c>
      <c r="F87" s="413">
        <f>IF(INPUT!F9="",NA(),ABS(INPUT!F14))</f>
        <v>6177</v>
      </c>
      <c r="G87" s="413">
        <f>IF(INPUT!G9="",NA(),ABS(INPUT!G14))</f>
        <v>5991</v>
      </c>
      <c r="H87" s="413">
        <f>IF(INPUT!H9="",NA(),ABS(INPUT!H14))</f>
        <v>6276</v>
      </c>
    </row>
    <row r="88" spans="2:8" ht="15" customHeight="1" x14ac:dyDescent="0.3">
      <c r="B88" s="45" t="s">
        <v>125</v>
      </c>
      <c r="D88" s="299" t="str">
        <f>IF(INPUT!D9="","",ABS(INPUT!D15))</f>
        <v/>
      </c>
      <c r="E88" s="413">
        <f>IF(INPUT!E9="",NA(),ABS(INPUT!E15))</f>
        <v>3075</v>
      </c>
      <c r="F88" s="413">
        <f>IF(INPUT!F9="",NA(),ABS(INPUT!F15))</f>
        <v>3969</v>
      </c>
      <c r="G88" s="413">
        <f>IF(INPUT!G9="",NA(),ABS(INPUT!G15))</f>
        <v>4540</v>
      </c>
      <c r="H88" s="413">
        <f>IF(INPUT!H9="",NA(),ABS(INPUT!H15))</f>
        <v>6411</v>
      </c>
    </row>
    <row r="89" spans="2:8" ht="15" customHeight="1" x14ac:dyDescent="0.3">
      <c r="B89" s="45" t="s">
        <v>126</v>
      </c>
      <c r="D89" s="299" t="str">
        <f>IF(INPUT!D9="","",ABS(INPUT!D16))</f>
        <v/>
      </c>
      <c r="E89" s="413">
        <f>IF(INPUT!E9="",NA(),ABS(INPUT!E16))</f>
        <v>673</v>
      </c>
      <c r="F89" s="413">
        <f>IF(INPUT!F9="",NA(),ABS(INPUT!F16))</f>
        <v>718</v>
      </c>
      <c r="G89" s="413">
        <f>IF(INPUT!G9="",NA(),ABS(INPUT!G16))</f>
        <v>714</v>
      </c>
      <c r="H89" s="413">
        <f>IF(INPUT!H9="",NA(),ABS(INPUT!H16))</f>
        <v>753</v>
      </c>
    </row>
    <row r="90" spans="2:8" ht="15" customHeight="1" x14ac:dyDescent="0.3">
      <c r="B90" s="45" t="s">
        <v>127</v>
      </c>
      <c r="D90" s="299" t="str">
        <f>IF(INPUT!D9="","",ABS(INPUT!D20))</f>
        <v/>
      </c>
      <c r="E90" s="413">
        <f>IF(INPUT!E9="",NA(),ABS(INPUT!E20))</f>
        <v>938</v>
      </c>
      <c r="F90" s="413">
        <f>IF(INPUT!F9="",NA(),ABS(INPUT!F20))</f>
        <v>1045</v>
      </c>
      <c r="G90" s="413">
        <f>IF(INPUT!G9="",NA(),ABS(INPUT!G20))</f>
        <v>1037</v>
      </c>
      <c r="H90" s="413">
        <f>IF(INPUT!H9="",NA(),ABS(INPUT!H20))</f>
        <v>1061</v>
      </c>
    </row>
    <row r="91" spans="2:8" ht="15" customHeight="1" x14ac:dyDescent="0.3">
      <c r="B91" s="45"/>
      <c r="D91" s="205"/>
    </row>
    <row r="92" spans="2:8" ht="15" customHeight="1" x14ac:dyDescent="0.3"/>
    <row r="93" spans="2:8" ht="15" customHeight="1" x14ac:dyDescent="0.3">
      <c r="B93" s="45" t="s">
        <v>124</v>
      </c>
      <c r="D93" s="383" t="str">
        <f>IF(INPUT!D9="","",D87/1000)</f>
        <v/>
      </c>
      <c r="E93" s="414">
        <f t="shared" ref="E93:H96" si="0">E87/1000</f>
        <v>5.86</v>
      </c>
      <c r="F93" s="414">
        <f t="shared" si="0"/>
        <v>6.1769999999999996</v>
      </c>
      <c r="G93" s="414">
        <f t="shared" si="0"/>
        <v>5.9909999999999997</v>
      </c>
      <c r="H93" s="414">
        <f t="shared" si="0"/>
        <v>6.2759999999999998</v>
      </c>
    </row>
    <row r="94" spans="2:8" ht="15" customHeight="1" x14ac:dyDescent="0.3">
      <c r="B94" s="45" t="s">
        <v>125</v>
      </c>
      <c r="D94" s="383" t="str">
        <f>IF(INPUT!D9="","",D88/1000)</f>
        <v/>
      </c>
      <c r="E94" s="414">
        <f t="shared" si="0"/>
        <v>3.0750000000000002</v>
      </c>
      <c r="F94" s="414">
        <f t="shared" si="0"/>
        <v>3.9689999999999999</v>
      </c>
      <c r="G94" s="414">
        <f t="shared" si="0"/>
        <v>4.54</v>
      </c>
      <c r="H94" s="414">
        <f t="shared" si="0"/>
        <v>6.4109999999999996</v>
      </c>
    </row>
    <row r="95" spans="2:8" ht="15" customHeight="1" x14ac:dyDescent="0.3">
      <c r="B95" s="45" t="s">
        <v>126</v>
      </c>
      <c r="D95" s="383" t="str">
        <f>IF(INPUT!D9="","",D89/1000)</f>
        <v/>
      </c>
      <c r="E95" s="414">
        <f t="shared" si="0"/>
        <v>0.67300000000000004</v>
      </c>
      <c r="F95" s="414">
        <f t="shared" si="0"/>
        <v>0.71799999999999997</v>
      </c>
      <c r="G95" s="414">
        <f t="shared" si="0"/>
        <v>0.71399999999999997</v>
      </c>
      <c r="H95" s="414">
        <f t="shared" si="0"/>
        <v>0.753</v>
      </c>
    </row>
    <row r="96" spans="2:8" ht="15" customHeight="1" x14ac:dyDescent="0.3">
      <c r="B96" s="45" t="s">
        <v>127</v>
      </c>
      <c r="D96" s="383" t="str">
        <f>IF(INPUT!D9="","",D90/1000)</f>
        <v/>
      </c>
      <c r="E96" s="414">
        <f t="shared" si="0"/>
        <v>0.93799999999999994</v>
      </c>
      <c r="F96" s="414">
        <f t="shared" si="0"/>
        <v>1.0449999999999999</v>
      </c>
      <c r="G96" s="414">
        <f t="shared" si="0"/>
        <v>1.0369999999999999</v>
      </c>
      <c r="H96" s="414">
        <f t="shared" si="0"/>
        <v>1.0609999999999999</v>
      </c>
    </row>
    <row r="97" spans="2:8" ht="15" customHeight="1" x14ac:dyDescent="0.3">
      <c r="B97" s="45"/>
      <c r="D97" s="205"/>
      <c r="G97" s="413">
        <f>G90/1000</f>
        <v>1.0369999999999999</v>
      </c>
      <c r="H97" s="413">
        <f>H90/1000</f>
        <v>1.0609999999999999</v>
      </c>
    </row>
    <row r="98" spans="2:8" ht="15" customHeight="1" x14ac:dyDescent="0.3">
      <c r="B98" s="45"/>
      <c r="D98" s="205"/>
    </row>
    <row r="99" spans="2:8" ht="15" customHeight="1" x14ac:dyDescent="0.3">
      <c r="B99" s="45" t="s">
        <v>123</v>
      </c>
      <c r="D99" s="186">
        <f>D80/1000</f>
        <v>67.409000000000006</v>
      </c>
      <c r="E99" s="413">
        <f>E80/1000</f>
        <v>135.34299999999999</v>
      </c>
      <c r="F99" s="413">
        <f>F80/1000</f>
        <v>205.47399999999999</v>
      </c>
      <c r="G99" s="413">
        <f>G80/1000</f>
        <v>205.47399999999999</v>
      </c>
      <c r="H99" s="413">
        <f>H80/1000</f>
        <v>281.12799999999999</v>
      </c>
    </row>
    <row r="100" spans="2:8" ht="15" customHeight="1" x14ac:dyDescent="0.3">
      <c r="B100" s="45"/>
      <c r="D100" s="205"/>
    </row>
    <row r="101" spans="2:8" ht="15" customHeight="1" x14ac:dyDescent="0.3">
      <c r="B101" s="45"/>
      <c r="D101" s="205"/>
      <c r="G101" s="413">
        <f>G80/1000</f>
        <v>205.47399999999999</v>
      </c>
      <c r="H101" s="413">
        <f>H80/1000</f>
        <v>281.12799999999999</v>
      </c>
    </row>
    <row r="102" spans="2:8" ht="15" customHeight="1" x14ac:dyDescent="0.3">
      <c r="B102" s="81" t="s">
        <v>128</v>
      </c>
      <c r="C102" s="81"/>
      <c r="D102" s="326"/>
      <c r="E102" s="81"/>
      <c r="F102" s="81"/>
      <c r="G102" s="81"/>
      <c r="H102" s="81"/>
    </row>
    <row r="103" spans="2:8" ht="15" customHeight="1" x14ac:dyDescent="0.3">
      <c r="B103" s="250" t="s">
        <v>129</v>
      </c>
    </row>
    <row r="104" spans="2:8" ht="15" customHeight="1" x14ac:dyDescent="0.3">
      <c r="B104" s="45" t="s">
        <v>130</v>
      </c>
      <c r="D104" s="205"/>
      <c r="E104" s="416">
        <f>E53</f>
        <v>-114740</v>
      </c>
      <c r="F104" s="416">
        <f>F53</f>
        <v>-106079</v>
      </c>
      <c r="G104" s="416">
        <f>G53</f>
        <v>-80266</v>
      </c>
      <c r="H104" s="416">
        <f>H53</f>
        <v>-73982</v>
      </c>
    </row>
    <row r="105" spans="2:8" ht="15" customHeight="1" x14ac:dyDescent="0.3">
      <c r="B105" s="45" t="s">
        <v>131</v>
      </c>
      <c r="D105" s="205"/>
      <c r="E105" s="417">
        <f>ABS(INPUT!E78)</f>
        <v>15690</v>
      </c>
      <c r="F105" s="417">
        <f>ABS(INPUT!F78)</f>
        <v>17722</v>
      </c>
      <c r="G105" s="417">
        <f>ABS(INPUT!G78)</f>
        <v>14909</v>
      </c>
      <c r="H105" s="417">
        <f>ABS(INPUT!H78)</f>
        <v>16953</v>
      </c>
    </row>
    <row r="106" spans="2:8" ht="15" customHeight="1" x14ac:dyDescent="0.3">
      <c r="B106" s="45" t="s">
        <v>132</v>
      </c>
      <c r="D106" s="205"/>
      <c r="E106" s="418">
        <f>INPUT!E75</f>
        <v>-99050</v>
      </c>
      <c r="F106" s="418">
        <f>INPUT!F75</f>
        <v>-88357</v>
      </c>
      <c r="G106" s="418">
        <f>INPUT!G75</f>
        <v>-65357</v>
      </c>
      <c r="H106" s="418">
        <f>INPUT!H75</f>
        <v>-57029</v>
      </c>
    </row>
    <row r="107" spans="2:8" ht="15" customHeight="1" x14ac:dyDescent="0.3">
      <c r="B107" s="45"/>
      <c r="D107" s="205"/>
    </row>
    <row r="108" spans="2:8" ht="15" customHeight="1" x14ac:dyDescent="0.3">
      <c r="B108" s="81" t="s">
        <v>133</v>
      </c>
      <c r="C108" s="81"/>
      <c r="D108" s="326"/>
      <c r="E108" s="81"/>
      <c r="F108" s="81"/>
      <c r="G108" s="81"/>
      <c r="H108" s="81"/>
    </row>
    <row r="109" spans="2:8" ht="15" customHeight="1" x14ac:dyDescent="0.3">
      <c r="B109" s="250" t="s">
        <v>129</v>
      </c>
    </row>
    <row r="110" spans="2:8" ht="15" customHeight="1" x14ac:dyDescent="0.3">
      <c r="B110" s="45" t="s">
        <v>95</v>
      </c>
      <c r="D110" s="205"/>
      <c r="E110" s="419">
        <f t="shared" ref="E110:H112" si="1">E23</f>
        <v>-1.4100054083288265</v>
      </c>
      <c r="F110" s="419">
        <f t="shared" si="1"/>
        <v>-1.0049561260968476</v>
      </c>
      <c r="G110" s="419">
        <f t="shared" si="1"/>
        <v>-0.84972981459917052</v>
      </c>
      <c r="H110" s="419">
        <f t="shared" si="1"/>
        <v>-0.65614307931570759</v>
      </c>
    </row>
    <row r="111" spans="2:8" ht="15" customHeight="1" x14ac:dyDescent="0.3">
      <c r="B111" s="45" t="s">
        <v>96</v>
      </c>
      <c r="D111" s="205"/>
      <c r="E111" s="419">
        <f t="shared" si="1"/>
        <v>-1.4467412113981299</v>
      </c>
      <c r="F111" s="419">
        <f t="shared" si="1"/>
        <v>-0.92138653688575467</v>
      </c>
      <c r="G111" s="419">
        <f t="shared" si="1"/>
        <v>-0.81512162060396109</v>
      </c>
      <c r="H111" s="419">
        <f t="shared" si="1"/>
        <v>-0.50903899133302499</v>
      </c>
    </row>
    <row r="112" spans="2:8" ht="15" customHeight="1" x14ac:dyDescent="0.3">
      <c r="B112" s="45" t="s">
        <v>97</v>
      </c>
      <c r="D112" s="205"/>
      <c r="E112" s="419">
        <f t="shared" si="1"/>
        <v>-1.3994448972417524</v>
      </c>
      <c r="F112" s="419">
        <f t="shared" si="1"/>
        <v>-0.99450799209186436</v>
      </c>
      <c r="G112" s="419">
        <f t="shared" si="1"/>
        <v>-0.83901976474898277</v>
      </c>
      <c r="H112" s="419">
        <f t="shared" si="1"/>
        <v>-0.64610443623639191</v>
      </c>
    </row>
    <row r="113" spans="2:2" ht="15" customHeight="1" x14ac:dyDescent="0.3">
      <c r="B113" s="45"/>
    </row>
    <row r="114" spans="2:2" ht="15" customHeight="1" x14ac:dyDescent="0.3">
      <c r="B114" s="45"/>
    </row>
    <row r="115" spans="2:2" ht="15" customHeight="1" x14ac:dyDescent="0.3">
      <c r="B115" s="45"/>
    </row>
    <row r="116" spans="2:2" ht="15" customHeight="1" x14ac:dyDescent="0.3">
      <c r="B116" s="45"/>
    </row>
    <row r="117" spans="2:2" ht="15" customHeight="1" x14ac:dyDescent="0.3">
      <c r="B117" s="45"/>
    </row>
    <row r="118" spans="2:2" ht="15" customHeight="1" x14ac:dyDescent="0.3">
      <c r="B118" s="45"/>
    </row>
    <row r="119" spans="2:2" ht="15" customHeight="1" x14ac:dyDescent="0.3">
      <c r="B119" s="45"/>
    </row>
    <row r="120" spans="2:2" ht="15" customHeight="1" x14ac:dyDescent="0.3">
      <c r="B120" s="45"/>
    </row>
    <row r="121" spans="2:2" ht="15" customHeight="1" x14ac:dyDescent="0.3">
      <c r="B121" s="45"/>
    </row>
    <row r="122" spans="2:2" ht="15" customHeight="1" x14ac:dyDescent="0.3">
      <c r="B122" s="45"/>
    </row>
    <row r="123" spans="2:2" ht="15" customHeight="1" x14ac:dyDescent="0.3">
      <c r="B123" s="45"/>
    </row>
    <row r="124" spans="2:2" ht="15" customHeight="1" x14ac:dyDescent="0.3">
      <c r="B124" s="45"/>
    </row>
    <row r="125" spans="2:2" ht="15" customHeight="1" x14ac:dyDescent="0.3">
      <c r="B125" s="45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172"/>
  <sheetViews>
    <sheetView showGridLines="0" zoomScale="90" zoomScaleNormal="90" workbookViewId="0">
      <selection activeCell="K19" sqref="K19"/>
    </sheetView>
  </sheetViews>
  <sheetFormatPr baseColWidth="10" defaultRowHeight="14.4" x14ac:dyDescent="0.3"/>
  <cols>
    <col min="1" max="1" width="1.77734375" customWidth="1"/>
    <col min="2" max="2" width="49.5546875" style="19" customWidth="1"/>
    <col min="3" max="3" width="10.88671875" customWidth="1"/>
    <col min="4" max="5" width="11" style="21" customWidth="1"/>
    <col min="6" max="6" width="11.6640625" style="21" bestFit="1" customWidth="1"/>
    <col min="7" max="14" width="11" style="21" customWidth="1"/>
  </cols>
  <sheetData>
    <row r="1" spans="1:14" ht="54.9" customHeight="1" x14ac:dyDescent="0.6">
      <c r="A1" s="6"/>
      <c r="B1" s="94" t="s">
        <v>85</v>
      </c>
      <c r="C1" s="5"/>
      <c r="D1" s="5"/>
      <c r="E1" s="29"/>
      <c r="F1" s="29"/>
      <c r="G1" s="29"/>
      <c r="H1" s="29"/>
      <c r="I1" s="29"/>
      <c r="J1" s="29"/>
      <c r="K1" s="93" t="s">
        <v>134</v>
      </c>
      <c r="L1" s="29"/>
      <c r="M1" s="29"/>
      <c r="N1" s="29"/>
    </row>
    <row r="2" spans="1:14" ht="15" customHeight="1" x14ac:dyDescent="0.35">
      <c r="A2" s="3"/>
      <c r="B2" s="14"/>
      <c r="C2" s="3"/>
      <c r="D2" s="3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ht="18" customHeight="1" x14ac:dyDescent="0.5">
      <c r="A3" s="7" t="s">
        <v>4</v>
      </c>
      <c r="B3" s="15" t="s">
        <v>413</v>
      </c>
      <c r="C3" s="7"/>
      <c r="D3" s="7"/>
      <c r="E3" s="23"/>
      <c r="F3" s="23"/>
      <c r="G3" s="23"/>
      <c r="H3" s="23"/>
      <c r="I3" s="23"/>
      <c r="J3" s="23"/>
      <c r="K3" s="23"/>
      <c r="L3" s="23"/>
      <c r="M3" s="23"/>
      <c r="N3" s="23"/>
    </row>
    <row r="4" spans="1:14" ht="15" customHeight="1" x14ac:dyDescent="0.35">
      <c r="A4" s="3" t="s">
        <v>4</v>
      </c>
      <c r="B4" s="12" t="s">
        <v>414</v>
      </c>
      <c r="C4" s="3"/>
      <c r="D4" s="3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5" customHeight="1" x14ac:dyDescent="0.35">
      <c r="A5" s="1" t="s">
        <v>4</v>
      </c>
      <c r="B5" s="16" t="s">
        <v>1</v>
      </c>
      <c r="C5" s="1" t="s">
        <v>135</v>
      </c>
      <c r="D5" s="1" t="str">
        <f>IF(INPUT!D5="","",INPUT!D5)</f>
        <v/>
      </c>
      <c r="E5" s="425">
        <f>IF(INPUT!E5="","",INPUT!E5)</f>
        <v>2022</v>
      </c>
      <c r="F5" s="425">
        <f>IF(INPUT!F5="","",INPUT!F5)</f>
        <v>2023</v>
      </c>
      <c r="G5" s="425">
        <f>IF(INPUT!G5="","",INPUT!G5)</f>
        <v>2024</v>
      </c>
      <c r="H5" s="425" t="str">
        <f>IF(INPUT!H5="","",INPUT!H5)</f>
        <v>2025 (LTM)</v>
      </c>
      <c r="I5" s="425" t="str">
        <f>TEXT(INPUT!D117+1,"0")&amp;"F"</f>
        <v>2026F</v>
      </c>
      <c r="J5" s="425" t="str">
        <f>TEXT(INPUT!D117+2,"0")&amp;"F"</f>
        <v>2027F</v>
      </c>
      <c r="K5" s="425" t="str">
        <f>TEXT(INPUT!D117+3,"0")&amp;"F"</f>
        <v>2028F</v>
      </c>
      <c r="L5" s="425" t="str">
        <f>TEXT(INPUT!D117+4,"0")&amp;"F"</f>
        <v>2029F</v>
      </c>
      <c r="M5" s="425" t="str">
        <f>TEXT(INPUT!D117+5,"0")&amp;"F"</f>
        <v>2030F</v>
      </c>
      <c r="N5" s="24" t="s">
        <v>136</v>
      </c>
    </row>
    <row r="6" spans="1:14" ht="15" customHeight="1" x14ac:dyDescent="0.35">
      <c r="A6" s="3"/>
      <c r="B6" s="14"/>
      <c r="C6" s="3"/>
      <c r="D6" s="3"/>
      <c r="E6" s="22"/>
      <c r="F6" s="22"/>
      <c r="G6" s="22"/>
      <c r="H6" s="22"/>
      <c r="I6" s="22"/>
      <c r="J6" s="22"/>
      <c r="K6" s="22"/>
      <c r="L6" s="22"/>
      <c r="M6" s="22"/>
      <c r="N6" s="22"/>
    </row>
    <row r="7" spans="1:14" ht="18" customHeight="1" x14ac:dyDescent="0.5">
      <c r="A7" s="7" t="s">
        <v>4</v>
      </c>
      <c r="B7" s="15" t="s">
        <v>137</v>
      </c>
      <c r="C7" s="7"/>
      <c r="D7" s="7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 ht="18" customHeight="1" x14ac:dyDescent="0.5">
      <c r="A8" s="106"/>
      <c r="B8" s="107"/>
      <c r="C8" s="106"/>
      <c r="D8" s="254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" customHeight="1" x14ac:dyDescent="0.35">
      <c r="A9" s="3"/>
      <c r="B9" s="17" t="s">
        <v>6</v>
      </c>
      <c r="C9" s="327"/>
      <c r="D9" s="426">
        <f>INPUT!D9</f>
        <v>0</v>
      </c>
      <c r="E9" s="219">
        <f>INPUT!E9</f>
        <v>67409</v>
      </c>
      <c r="F9" s="219">
        <f>INPUT!F9</f>
        <v>67934</v>
      </c>
      <c r="G9" s="219">
        <f>INPUT!G9</f>
        <v>70131</v>
      </c>
      <c r="H9" s="219">
        <f>IF(INPUT!H9&lt;&gt;"",INPUT!H9,INPUT!G9)</f>
        <v>75654</v>
      </c>
      <c r="I9" s="219">
        <f>H9*(1+$I$29)</f>
        <v>78651.943836661259</v>
      </c>
      <c r="J9" s="219">
        <f>I9*(1+$I$29)</f>
        <v>81768.687303847997</v>
      </c>
      <c r="K9" s="219">
        <f>J9*(1+$I$29)</f>
        <v>85008.938078882391</v>
      </c>
      <c r="L9" s="219">
        <f>K9*(1+$I$29)</f>
        <v>88377.590390388767</v>
      </c>
      <c r="M9" s="219">
        <f>L9*(1+$I$29)</f>
        <v>91879.732410768906</v>
      </c>
      <c r="N9" s="199"/>
    </row>
    <row r="10" spans="1:14" ht="15" customHeight="1" x14ac:dyDescent="0.35">
      <c r="A10" s="3"/>
      <c r="B10" s="17" t="s">
        <v>138</v>
      </c>
      <c r="C10" s="327"/>
      <c r="D10" s="426">
        <f>INPUT!D10</f>
        <v>0</v>
      </c>
      <c r="E10" s="220">
        <f>INPUT!E10</f>
        <v>-182099</v>
      </c>
      <c r="F10" s="220">
        <f>INPUT!F10</f>
        <v>-156572</v>
      </c>
      <c r="G10" s="220">
        <f>INPUT!G10</f>
        <v>-140078</v>
      </c>
      <c r="H10" s="220">
        <f>IF(INPUT!H10&lt;&gt;"",INPUT!H10,INPUT!G10)</f>
        <v>-130497</v>
      </c>
      <c r="I10" s="220">
        <f>-I9*(1-$I$30)</f>
        <v>-171627.71020859148</v>
      </c>
      <c r="J10" s="220">
        <f>-J9*(1-$I$30)</f>
        <v>-178428.80778466319</v>
      </c>
      <c r="K10" s="220">
        <f>-K9*(1-$I$30)</f>
        <v>-185499.4127041763</v>
      </c>
      <c r="L10" s="220">
        <f>-L9*(1-$I$30)</f>
        <v>-192850.20474452799</v>
      </c>
      <c r="M10" s="220">
        <f>-M9*(1-$I$30)</f>
        <v>-200492.28689104662</v>
      </c>
      <c r="N10" s="199"/>
    </row>
    <row r="11" spans="1:14" ht="15" customHeight="1" x14ac:dyDescent="0.35">
      <c r="A11" s="3"/>
      <c r="B11" s="52" t="s">
        <v>8</v>
      </c>
      <c r="C11" s="328"/>
      <c r="D11" s="427">
        <f t="shared" ref="D11:M11" si="0">SUM(D9:D10)</f>
        <v>0</v>
      </c>
      <c r="E11" s="217">
        <f t="shared" si="0"/>
        <v>-114690</v>
      </c>
      <c r="F11" s="217">
        <f t="shared" si="0"/>
        <v>-88638</v>
      </c>
      <c r="G11" s="217">
        <f t="shared" si="0"/>
        <v>-69947</v>
      </c>
      <c r="H11" s="217">
        <f t="shared" si="0"/>
        <v>-54843</v>
      </c>
      <c r="I11" s="217">
        <f t="shared" si="0"/>
        <v>-92975.766371930222</v>
      </c>
      <c r="J11" s="217">
        <f t="shared" si="0"/>
        <v>-96660.120480815196</v>
      </c>
      <c r="K11" s="217">
        <f t="shared" si="0"/>
        <v>-100490.47462529391</v>
      </c>
      <c r="L11" s="217">
        <f t="shared" si="0"/>
        <v>-104472.61435413922</v>
      </c>
      <c r="M11" s="217">
        <f t="shared" si="0"/>
        <v>-108612.55448027771</v>
      </c>
      <c r="N11" s="305"/>
    </row>
    <row r="12" spans="1:14" ht="15" customHeight="1" x14ac:dyDescent="0.35">
      <c r="A12" s="110"/>
      <c r="B12" s="111"/>
      <c r="C12" s="330"/>
      <c r="D12" s="331"/>
      <c r="E12" s="112"/>
      <c r="F12" s="112"/>
      <c r="G12" s="112"/>
      <c r="H12" s="112"/>
      <c r="I12" s="112"/>
      <c r="J12" s="112"/>
      <c r="K12" s="112"/>
      <c r="L12" s="113"/>
      <c r="M12" s="113"/>
      <c r="N12" s="113"/>
    </row>
    <row r="13" spans="1:14" ht="15" customHeight="1" x14ac:dyDescent="0.35">
      <c r="A13" s="3"/>
      <c r="B13" s="17" t="s">
        <v>139</v>
      </c>
      <c r="C13" s="327"/>
      <c r="D13" s="426">
        <f>INPUT!D14</f>
        <v>0</v>
      </c>
      <c r="E13" s="219">
        <f>INPUT!E14</f>
        <v>-5860</v>
      </c>
      <c r="F13" s="219">
        <f>INPUT!F14</f>
        <v>-6177</v>
      </c>
      <c r="G13" s="219">
        <f>INPUT!G14</f>
        <v>-5991</v>
      </c>
      <c r="H13" s="219">
        <f>IF(INPUT!H14&lt;&gt;"",INPUT!H14,INPUT!G14)</f>
        <v>-6276</v>
      </c>
      <c r="I13" s="219">
        <f>-I9*$I$31</f>
        <v>-6808.131208201843</v>
      </c>
      <c r="J13" s="219">
        <f>-J9*$I$31</f>
        <v>-7077.9172736420032</v>
      </c>
      <c r="K13" s="219">
        <f>-K9*$I$31</f>
        <v>-7358.3941614062087</v>
      </c>
      <c r="L13" s="219">
        <f>-L9*$I$31</f>
        <v>-7649.9855171033551</v>
      </c>
      <c r="M13" s="219">
        <f>-M9*$I$31</f>
        <v>-7953.131774162438</v>
      </c>
      <c r="N13" s="199"/>
    </row>
    <row r="14" spans="1:14" ht="15" customHeight="1" x14ac:dyDescent="0.35">
      <c r="A14" s="3"/>
      <c r="B14" s="17" t="s">
        <v>9</v>
      </c>
      <c r="C14" s="327"/>
      <c r="D14" s="426">
        <f>INPUT!D15</f>
        <v>0</v>
      </c>
      <c r="E14" s="220">
        <f>INPUT!E15</f>
        <v>-3075</v>
      </c>
      <c r="F14" s="220">
        <f>INPUT!F15</f>
        <v>-3969</v>
      </c>
      <c r="G14" s="220">
        <f>INPUT!G15</f>
        <v>-4540</v>
      </c>
      <c r="H14" s="220">
        <f>IF(INPUT!H15&lt;&gt;"",INPUT!H15,INPUT!G15)</f>
        <v>-6411</v>
      </c>
      <c r="I14" s="220">
        <f>-I9*$I$32</f>
        <v>-4984.9299035173353</v>
      </c>
      <c r="J14" s="220">
        <f>-J9*$I$32</f>
        <v>-5182.4679038932336</v>
      </c>
      <c r="K14" s="220">
        <f>-K9*$I$32</f>
        <v>-5387.83374986531</v>
      </c>
      <c r="L14" s="220">
        <f>-L9*$I$32</f>
        <v>-5601.3376357585103</v>
      </c>
      <c r="M14" s="220">
        <f>-M9*$I$32</f>
        <v>-5823.3020479796869</v>
      </c>
      <c r="N14" s="199"/>
    </row>
    <row r="15" spans="1:14" ht="15" customHeight="1" x14ac:dyDescent="0.35">
      <c r="A15" s="3"/>
      <c r="B15" s="52" t="s">
        <v>17</v>
      </c>
      <c r="C15" s="328"/>
      <c r="D15" s="427">
        <f>INPUT!D30</f>
        <v>0</v>
      </c>
      <c r="E15" s="217">
        <f>INPUT!E30</f>
        <v>-123625</v>
      </c>
      <c r="F15" s="217">
        <f>INPUT!F30</f>
        <v>-98784</v>
      </c>
      <c r="G15" s="217">
        <f>INPUT!G30</f>
        <v>-80478</v>
      </c>
      <c r="H15" s="217">
        <f>IF(INPUT!H30&lt;&gt;"",INPUT!H30,INPUT!G30)</f>
        <v>-67530</v>
      </c>
      <c r="I15" s="217">
        <f>I11+I13+I14</f>
        <v>-104768.82748364939</v>
      </c>
      <c r="J15" s="217">
        <f>J11+J13+J14</f>
        <v>-108920.50565835043</v>
      </c>
      <c r="K15" s="217">
        <f>K11+K13+K14</f>
        <v>-113236.70253656543</v>
      </c>
      <c r="L15" s="217">
        <f>L11+L13+L14</f>
        <v>-117723.93750700109</v>
      </c>
      <c r="M15" s="217">
        <f>M11+M13+M14</f>
        <v>-122388.98830241984</v>
      </c>
      <c r="N15" s="305"/>
    </row>
    <row r="16" spans="1:14" ht="15" customHeight="1" x14ac:dyDescent="0.35">
      <c r="A16" s="110"/>
      <c r="B16" s="111"/>
      <c r="C16" s="330"/>
      <c r="D16" s="331"/>
      <c r="E16" s="112"/>
      <c r="F16" s="112"/>
      <c r="G16" s="112"/>
      <c r="H16" s="112"/>
      <c r="I16" s="112"/>
      <c r="J16" s="112"/>
      <c r="K16" s="112"/>
      <c r="L16" s="113"/>
      <c r="M16" s="113"/>
      <c r="N16" s="113"/>
    </row>
    <row r="17" spans="1:14" ht="15" customHeight="1" x14ac:dyDescent="0.35">
      <c r="A17" s="3"/>
      <c r="B17" s="17" t="s">
        <v>10</v>
      </c>
      <c r="C17" s="327"/>
      <c r="D17" s="426">
        <f>INPUT!D16</f>
        <v>0</v>
      </c>
      <c r="E17" s="220">
        <f>INPUT!E16</f>
        <v>-673</v>
      </c>
      <c r="F17" s="220">
        <f>INPUT!F16</f>
        <v>-718</v>
      </c>
      <c r="G17" s="220">
        <f>INPUT!G16</f>
        <v>-714</v>
      </c>
      <c r="H17" s="220">
        <f>IF(INPUT!H16&lt;&gt;"",INPUT!H16,INPUT!G16)</f>
        <v>-753</v>
      </c>
      <c r="I17" s="220">
        <f>-I9*$I$33</f>
        <v>-800.02922554680174</v>
      </c>
      <c r="J17" s="220">
        <f>-J9*$I$33</f>
        <v>-831.73201305145335</v>
      </c>
      <c r="K17" s="220">
        <f>-K9*$I$33</f>
        <v>-864.69108808094893</v>
      </c>
      <c r="L17" s="220">
        <f>-L9*$I$33</f>
        <v>-898.95623358717717</v>
      </c>
      <c r="M17" s="220">
        <f>-M9*$I$33</f>
        <v>-934.57920527288957</v>
      </c>
      <c r="N17" s="199"/>
    </row>
    <row r="18" spans="1:14" ht="15" customHeight="1" x14ac:dyDescent="0.35">
      <c r="A18" s="3"/>
      <c r="B18" s="52" t="s">
        <v>11</v>
      </c>
      <c r="C18" s="328"/>
      <c r="D18" s="427">
        <f t="shared" ref="D18:M18" si="1">D15+D17</f>
        <v>0</v>
      </c>
      <c r="E18" s="217">
        <f t="shared" si="1"/>
        <v>-124298</v>
      </c>
      <c r="F18" s="217">
        <f t="shared" si="1"/>
        <v>-99502</v>
      </c>
      <c r="G18" s="217">
        <f t="shared" si="1"/>
        <v>-81192</v>
      </c>
      <c r="H18" s="217">
        <f t="shared" si="1"/>
        <v>-68283</v>
      </c>
      <c r="I18" s="217">
        <f t="shared" si="1"/>
        <v>-105568.8567091962</v>
      </c>
      <c r="J18" s="217">
        <f t="shared" si="1"/>
        <v>-109752.23767140189</v>
      </c>
      <c r="K18" s="217">
        <f t="shared" si="1"/>
        <v>-114101.39362464637</v>
      </c>
      <c r="L18" s="217">
        <f t="shared" si="1"/>
        <v>-118622.89374058826</v>
      </c>
      <c r="M18" s="217">
        <f t="shared" si="1"/>
        <v>-123323.56750769273</v>
      </c>
      <c r="N18" s="305"/>
    </row>
    <row r="19" spans="1:14" ht="15" customHeight="1" x14ac:dyDescent="0.35">
      <c r="A19" s="110"/>
      <c r="B19" s="111"/>
      <c r="C19" s="330"/>
      <c r="D19" s="331"/>
      <c r="E19" s="112"/>
      <c r="F19" s="112"/>
      <c r="G19" s="112"/>
      <c r="H19" s="112"/>
      <c r="I19" s="112"/>
      <c r="J19" s="112"/>
      <c r="K19" s="112"/>
      <c r="L19" s="113"/>
      <c r="M19" s="113"/>
      <c r="N19" s="113"/>
    </row>
    <row r="20" spans="1:14" ht="15" customHeight="1" x14ac:dyDescent="0.35">
      <c r="A20" s="3"/>
      <c r="B20" s="17" t="s">
        <v>12</v>
      </c>
      <c r="C20" s="327"/>
      <c r="D20" s="426">
        <f>INPUT!D20</f>
        <v>0</v>
      </c>
      <c r="E20" s="220">
        <f>INPUT!E20</f>
        <v>-938</v>
      </c>
      <c r="F20" s="220">
        <f>INPUT!F20</f>
        <v>-1045</v>
      </c>
      <c r="G20" s="220">
        <f>INPUT!G20</f>
        <v>-1037</v>
      </c>
      <c r="H20" s="220">
        <f>IF(INPUT!H20&lt;&gt;"",INPUT!H20,INPUT!G20)</f>
        <v>-1061</v>
      </c>
      <c r="I20" s="220">
        <f>-I18*(INPUT!H103)/(1-$I$34)</f>
        <v>7186.620329250617</v>
      </c>
      <c r="J20" s="220">
        <f>-J18*(INPUT!H103)/(1-$I$34)</f>
        <v>7471.4047969919302</v>
      </c>
      <c r="K20" s="220">
        <f>-K18*(INPUT!H103)/(1-$I$34)</f>
        <v>7767.474429296145</v>
      </c>
      <c r="L20" s="220">
        <f>-L18*(INPUT!H103)/(1-$I$34)</f>
        <v>8075.2764237938891</v>
      </c>
      <c r="M20" s="220">
        <f>-M18*(INPUT!H103)/(1-$I$34)</f>
        <v>8395.275699232714</v>
      </c>
      <c r="N20" s="199"/>
    </row>
    <row r="21" spans="1:14" ht="15" customHeight="1" x14ac:dyDescent="0.35">
      <c r="A21" s="3"/>
      <c r="B21" s="52" t="s">
        <v>13</v>
      </c>
      <c r="C21" s="328"/>
      <c r="D21" s="427">
        <f t="shared" ref="D21:M21" si="2">D18+D20</f>
        <v>0</v>
      </c>
      <c r="E21" s="217">
        <f t="shared" si="2"/>
        <v>-125236</v>
      </c>
      <c r="F21" s="217">
        <f t="shared" si="2"/>
        <v>-100547</v>
      </c>
      <c r="G21" s="217">
        <f t="shared" si="2"/>
        <v>-82229</v>
      </c>
      <c r="H21" s="217">
        <f t="shared" si="2"/>
        <v>-69344</v>
      </c>
      <c r="I21" s="217">
        <f t="shared" si="2"/>
        <v>-98382.236379945592</v>
      </c>
      <c r="J21" s="217">
        <f t="shared" si="2"/>
        <v>-102280.83287440996</v>
      </c>
      <c r="K21" s="217">
        <f t="shared" si="2"/>
        <v>-106333.91919535023</v>
      </c>
      <c r="L21" s="217">
        <f t="shared" si="2"/>
        <v>-110547.61731679438</v>
      </c>
      <c r="M21" s="217">
        <f t="shared" si="2"/>
        <v>-114928.29180846001</v>
      </c>
      <c r="N21" s="305"/>
    </row>
    <row r="22" spans="1:14" ht="15" customHeight="1" x14ac:dyDescent="0.35">
      <c r="A22" s="110"/>
      <c r="B22" s="111"/>
      <c r="C22" s="330"/>
      <c r="D22" s="331"/>
      <c r="E22" s="112"/>
      <c r="F22" s="112"/>
      <c r="G22" s="112"/>
      <c r="H22" s="112"/>
      <c r="I22" s="112"/>
      <c r="J22" s="112"/>
      <c r="K22" s="112"/>
      <c r="L22" s="113"/>
      <c r="M22" s="113"/>
      <c r="N22" s="113"/>
    </row>
    <row r="23" spans="1:14" ht="15" customHeight="1" x14ac:dyDescent="0.35">
      <c r="A23" s="3"/>
      <c r="B23" s="17" t="s">
        <v>140</v>
      </c>
      <c r="C23" s="327"/>
      <c r="D23" s="426">
        <f>INPUT!D24</f>
        <v>0</v>
      </c>
      <c r="E23" s="219">
        <f>INPUT!E24</f>
        <v>20952</v>
      </c>
      <c r="F23" s="219">
        <f>INPUT!F24</f>
        <v>26333</v>
      </c>
      <c r="G23" s="219">
        <f>INPUT!G24</f>
        <v>17285</v>
      </c>
      <c r="H23" s="219">
        <f>IF(INPUT!H24&lt;&gt;"",INPUT!H24,INPUT!G24)</f>
        <v>18716</v>
      </c>
      <c r="I23" s="219">
        <f>-I21*$I$34</f>
        <v>22364.741885071133</v>
      </c>
      <c r="J23" s="219">
        <f>-J21*$I$34</f>
        <v>23250.990333175243</v>
      </c>
      <c r="K23" s="219">
        <f>-K21*$I$34</f>
        <v>24172.358181082993</v>
      </c>
      <c r="L23" s="219">
        <f>-L21*$I$34</f>
        <v>25130.23710654028</v>
      </c>
      <c r="M23" s="219">
        <f>-M21*$I$34</f>
        <v>26126.07393535817</v>
      </c>
      <c r="N23" s="199"/>
    </row>
    <row r="24" spans="1:14" ht="15" customHeight="1" thickBot="1" x14ac:dyDescent="0.4">
      <c r="A24" s="3"/>
      <c r="B24" s="52" t="s">
        <v>15</v>
      </c>
      <c r="C24" s="328"/>
      <c r="D24" s="427">
        <f t="shared" ref="D24:M24" si="3">D21+D23</f>
        <v>0</v>
      </c>
      <c r="E24" s="221">
        <f t="shared" si="3"/>
        <v>-104284</v>
      </c>
      <c r="F24" s="221">
        <f t="shared" si="3"/>
        <v>-74214</v>
      </c>
      <c r="G24" s="221">
        <f t="shared" si="3"/>
        <v>-64944</v>
      </c>
      <c r="H24" s="221">
        <f t="shared" si="3"/>
        <v>-50628</v>
      </c>
      <c r="I24" s="221">
        <f t="shared" si="3"/>
        <v>-76017.494494874467</v>
      </c>
      <c r="J24" s="221">
        <f t="shared" si="3"/>
        <v>-79029.842541234713</v>
      </c>
      <c r="K24" s="221">
        <f t="shared" si="3"/>
        <v>-82161.561014267238</v>
      </c>
      <c r="L24" s="221">
        <f t="shared" si="3"/>
        <v>-85417.380210254094</v>
      </c>
      <c r="M24" s="221">
        <f t="shared" si="3"/>
        <v>-88802.217873101836</v>
      </c>
      <c r="N24" s="305"/>
    </row>
    <row r="25" spans="1:14" ht="15" customHeight="1" x14ac:dyDescent="0.35">
      <c r="A25" s="3"/>
      <c r="B25" s="14"/>
      <c r="C25" s="9"/>
      <c r="D25" s="9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spans="1:14" ht="18" customHeight="1" x14ac:dyDescent="0.5">
      <c r="A26" s="7" t="s">
        <v>4</v>
      </c>
      <c r="B26" s="47" t="s">
        <v>141</v>
      </c>
      <c r="C26" s="42"/>
      <c r="D26" s="42"/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spans="1:14" ht="15" customHeight="1" x14ac:dyDescent="0.35">
      <c r="A27" s="3"/>
      <c r="B27" s="17" t="s">
        <v>0</v>
      </c>
      <c r="C27" s="9"/>
      <c r="D27" s="9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1:14" ht="15" customHeight="1" x14ac:dyDescent="0.35">
      <c r="A28" s="1" t="s">
        <v>4</v>
      </c>
      <c r="B28" s="77" t="s">
        <v>142</v>
      </c>
      <c r="C28" s="78"/>
      <c r="D28" s="78"/>
      <c r="E28" s="1"/>
      <c r="F28" s="1"/>
      <c r="G28" s="24"/>
      <c r="H28" s="24"/>
      <c r="I28" s="24"/>
      <c r="J28" s="24"/>
      <c r="K28" s="24"/>
      <c r="L28" s="24"/>
      <c r="M28" s="24"/>
      <c r="N28" s="187"/>
    </row>
    <row r="29" spans="1:14" ht="15" customHeight="1" x14ac:dyDescent="0.35">
      <c r="A29" s="3"/>
      <c r="B29" s="17" t="s">
        <v>143</v>
      </c>
      <c r="C29" s="9"/>
      <c r="D29" s="428">
        <f>IFERROR(IF(NOT(ISBLANK(INPUT!H9)),INPUT!H9/INPUT!G9-1,IF(NOT(ISBLANK(INPUT!G9)),INPUT!G9/INPUT!F9-1,IF(NOT(ISBLANK(INPUT!F9)),INPUT!F9/INPUT!E9-1,IF(NOT(ISBLANK(INPUT!E9)),INPUT!E9/INPUT!D9-1,0.05)))),0.05)</f>
        <v>7.8752620096676162E-2</v>
      </c>
      <c r="I29" s="214">
        <f>IF(D46="Yes",D45,IFERROR(AVERAGE(IF(ISNUMBER(RATIOS!F44),RATIOS!F44,0),IF(ISNUMBER(RATIOS!G44),RATIOS!G44,0),IF(ISNUMBER(RATIOS!H44),RATIOS!H44,0)),0.05))</f>
        <v>3.9627036728543841E-2</v>
      </c>
    </row>
    <row r="30" spans="1:14" ht="15" customHeight="1" x14ac:dyDescent="0.35">
      <c r="A30" s="3"/>
      <c r="B30" s="17" t="s">
        <v>144</v>
      </c>
      <c r="C30" s="9"/>
      <c r="D30" s="428">
        <f>IFERROR(INPUT!H11/INPUT!H9,0.4)</f>
        <v>-0.72491870885875165</v>
      </c>
      <c r="I30" s="214">
        <f>IFERROR(AVERAGE(IF(INPUT!E9&lt;&gt;0,INPUT!E11/INPUT!E9),IF(INPUT!F9&lt;&gt;0,INPUT!F11/INPUT!F9),IF(INPUT!G9&lt;&gt;0,INPUT!G11/INPUT!G9),IF(INPUT!H9&lt;&gt;0,INPUT!H11/INPUT!H9)),0.4)</f>
        <v>-1.182116573813047</v>
      </c>
    </row>
    <row r="31" spans="1:14" ht="15" customHeight="1" x14ac:dyDescent="0.35">
      <c r="A31" s="3"/>
      <c r="B31" s="17" t="s">
        <v>145</v>
      </c>
      <c r="C31" s="9"/>
      <c r="D31" s="428">
        <f>IFERROR(ABS(INPUT!H14)/INPUT!H9,0.15)</f>
        <v>8.2956618288524075E-2</v>
      </c>
      <c r="I31" s="214">
        <f>IFERROR(AVERAGE(IF(INPUT!E9&lt;&gt;0,ABS(INPUT!E14)/INPUT!E9),IF(INPUT!F9&lt;&gt;0,ABS(INPUT!F14)/INPUT!F9),IF(INPUT!G9&lt;&gt;0,ABS(INPUT!G14)/INPUT!G9),IF(INPUT!H9&lt;&gt;0,ABS(INPUT!H14)/INPUT!H9)),0.15)</f>
        <v>8.6560240931113974E-2</v>
      </c>
    </row>
    <row r="32" spans="1:14" ht="15" customHeight="1" x14ac:dyDescent="0.35">
      <c r="A32" s="3"/>
      <c r="B32" s="17" t="s">
        <v>146</v>
      </c>
      <c r="C32" s="9"/>
      <c r="D32" s="428">
        <f>IFERROR(ABS(INPUT!H15)/INPUT!H9,0.05)</f>
        <v>8.4741057974462686E-2</v>
      </c>
      <c r="I32" s="214">
        <f>IFERROR(AVERAGE(IF(INPUT!E9&lt;&gt;0,ABS(INPUT!E15)/INPUT!E9),IF(INPUT!F9&lt;&gt;0,ABS(INPUT!F15)/INPUT!F9),IF(INPUT!G9&lt;&gt;0,ABS(INPUT!G15)/INPUT!G9),IF(INPUT!H9&lt;&gt;0,ABS(INPUT!H15)/INPUT!H9)),0.05)</f>
        <v>6.3379614798455358E-2</v>
      </c>
    </row>
    <row r="33" spans="1:14" ht="15" customHeight="1" x14ac:dyDescent="0.35">
      <c r="A33" s="3"/>
      <c r="B33" s="17" t="s">
        <v>147</v>
      </c>
      <c r="C33" s="9"/>
      <c r="D33" s="428">
        <f>IFERROR(ABS(INPUT!H16)/INPUT!H9,0.04)</f>
        <v>9.9532080260131654E-3</v>
      </c>
      <c r="I33" s="214">
        <f>IFERROR(AVERAGE(IF(INPUT!E9&lt;&gt;0,ABS(INPUT!E16)/INPUT!E9),IF(INPUT!F9&lt;&gt;0,ABS(INPUT!F16)/INPUT!F9),IF(INPUT!G9&lt;&gt;0,ABS(INPUT!G16)/INPUT!G9),IF(INPUT!H9&lt;&gt;0,ABS(INPUT!H16)/INPUT!H9)),0.04)</f>
        <v>1.0171766729735826E-2</v>
      </c>
    </row>
    <row r="34" spans="1:14" ht="15" customHeight="1" x14ac:dyDescent="0.35">
      <c r="A34" s="3"/>
      <c r="B34" s="17" t="s">
        <v>148</v>
      </c>
      <c r="C34" s="9"/>
      <c r="D34" s="428">
        <f>IFERROR(INPUT!H104,0.21)</f>
        <v>0.26989999999999997</v>
      </c>
      <c r="I34" s="214">
        <f>IFERROR(AVERAGEIF(INPUT!E104:H104,"&lt;&gt;0"),0.21)</f>
        <v>0.227325</v>
      </c>
    </row>
    <row r="35" spans="1:14" ht="15" customHeight="1" x14ac:dyDescent="0.35">
      <c r="A35" s="3"/>
      <c r="B35" s="14"/>
      <c r="C35" s="9"/>
      <c r="D35" s="9"/>
      <c r="E35" s="68"/>
      <c r="F35" s="68"/>
      <c r="G35" s="22"/>
      <c r="H35" s="22"/>
      <c r="I35" s="22"/>
      <c r="J35" s="22"/>
      <c r="K35" s="22"/>
      <c r="L35" s="22"/>
      <c r="M35" s="22"/>
      <c r="N35" s="22"/>
    </row>
    <row r="36" spans="1:14" ht="18" customHeight="1" x14ac:dyDescent="0.5">
      <c r="A36" s="7" t="s">
        <v>4</v>
      </c>
      <c r="B36" s="332" t="s">
        <v>149</v>
      </c>
      <c r="C36" s="42"/>
      <c r="D36" s="42"/>
      <c r="E36" s="42"/>
      <c r="F36" s="42"/>
      <c r="G36" s="23"/>
      <c r="H36" s="23"/>
      <c r="I36" s="23"/>
      <c r="J36" s="23"/>
      <c r="K36" s="23"/>
      <c r="L36" s="23"/>
      <c r="M36" s="23"/>
      <c r="N36" s="23"/>
    </row>
    <row r="37" spans="1:14" ht="15" customHeight="1" x14ac:dyDescent="0.35">
      <c r="A37" s="3"/>
      <c r="B37" s="17" t="s">
        <v>150</v>
      </c>
      <c r="C37" s="9"/>
      <c r="D37" s="428">
        <f>IFERROR(ABS(INPUT!H78)/INPUT!H9,0.05)</f>
        <v>0.22408597033864699</v>
      </c>
      <c r="E37" s="223">
        <f>I37</f>
        <v>0.23257573096773224</v>
      </c>
      <c r="F37" s="223">
        <f>I37</f>
        <v>0.23257573096773224</v>
      </c>
      <c r="G37" s="183"/>
      <c r="H37" s="183"/>
      <c r="I37" s="214">
        <f>IFERROR(AVERAGE(IF(INPUT!E9&lt;&gt;0,ABS(INPUT!E78)/INPUT!E9),IF(INPUT!F9&lt;&gt;0,ABS(INPUT!F78)/INPUT!F9),IF(INPUT!G9&lt;&gt;0,ABS(INPUT!G78)/INPUT!G9),IF(INPUT!H9&lt;&gt;0,ABS(INPUT!H78)/INPUT!H9)),0.05)</f>
        <v>0.23257573096773224</v>
      </c>
      <c r="J37" s="214">
        <f>I37</f>
        <v>0.23257573096773224</v>
      </c>
      <c r="K37" s="214">
        <f>I37</f>
        <v>0.23257573096773224</v>
      </c>
      <c r="L37" s="214">
        <f>I37</f>
        <v>0.23257573096773224</v>
      </c>
      <c r="M37" s="214">
        <f>I37</f>
        <v>0.23257573096773224</v>
      </c>
      <c r="N37" s="200"/>
    </row>
    <row r="38" spans="1:14" ht="15" customHeight="1" x14ac:dyDescent="0.35">
      <c r="A38" s="3"/>
      <c r="B38" s="17" t="s">
        <v>151</v>
      </c>
      <c r="C38" s="9"/>
      <c r="D38" s="428">
        <f>IFERROR(ABS((INPUT!H71+INPUT!H72+INPUT!H73)/INPUT!H9),0.1)</f>
        <v>4.5139715018373119E-2</v>
      </c>
      <c r="E38" s="223">
        <f>I38</f>
        <v>9.1488999867692516E-2</v>
      </c>
      <c r="F38" s="223">
        <f>I38</f>
        <v>9.1488999867692516E-2</v>
      </c>
      <c r="G38" s="183"/>
      <c r="H38" s="183"/>
      <c r="I38" s="214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>9.1488999867692516E-2</v>
      </c>
      <c r="J38" s="214">
        <f>I38</f>
        <v>9.1488999867692516E-2</v>
      </c>
      <c r="K38" s="214">
        <f>I38</f>
        <v>9.1488999867692516E-2</v>
      </c>
      <c r="L38" s="214">
        <f>I38</f>
        <v>9.1488999867692516E-2</v>
      </c>
      <c r="M38" s="214">
        <f>I38</f>
        <v>9.1488999867692516E-2</v>
      </c>
      <c r="N38" s="200"/>
    </row>
    <row r="39" spans="1:14" ht="15" customHeight="1" x14ac:dyDescent="0.35">
      <c r="A39" s="3"/>
      <c r="B39" s="17"/>
      <c r="C39" s="9"/>
      <c r="D39" s="255"/>
      <c r="E39" s="354"/>
      <c r="F39" s="354"/>
      <c r="G39" s="183"/>
      <c r="H39" s="183"/>
      <c r="I39" s="355"/>
      <c r="J39" s="183"/>
      <c r="K39" s="183"/>
      <c r="L39" s="200"/>
      <c r="M39" s="200"/>
      <c r="N39" s="200"/>
    </row>
    <row r="40" spans="1:14" ht="15" customHeight="1" x14ac:dyDescent="0.35">
      <c r="A40" s="347"/>
      <c r="B40" s="347" t="s">
        <v>415</v>
      </c>
      <c r="C40" s="347"/>
      <c r="D40" s="347"/>
      <c r="E40" s="347"/>
      <c r="F40" s="347"/>
      <c r="G40" s="347"/>
      <c r="H40" s="347"/>
      <c r="I40" s="347"/>
      <c r="J40" s="347"/>
      <c r="K40" s="347"/>
      <c r="L40" s="347"/>
      <c r="M40" s="347"/>
      <c r="N40" s="347"/>
    </row>
    <row r="41" spans="1:14" ht="18" customHeight="1" thickBot="1" x14ac:dyDescent="0.55000000000000004">
      <c r="A41" s="101"/>
      <c r="B41" s="69"/>
      <c r="C41" s="188"/>
      <c r="D41" s="352"/>
      <c r="E41" s="352"/>
      <c r="F41" s="352"/>
      <c r="G41" s="348"/>
    </row>
    <row r="42" spans="1:14" ht="18" customHeight="1" thickBot="1" x14ac:dyDescent="0.55000000000000004">
      <c r="A42" s="105"/>
      <c r="B42" s="64"/>
      <c r="C42" s="334"/>
      <c r="D42" s="353"/>
      <c r="E42" s="253">
        <f>IF(D42="Bear",60,IF(D42="Base",75,IF(D42="Bull",90,75)))</f>
        <v>75</v>
      </c>
    </row>
    <row r="43" spans="1:14" ht="15" customHeight="1" x14ac:dyDescent="0.35">
      <c r="A43" s="3"/>
      <c r="B43" s="69"/>
      <c r="C43" s="188"/>
      <c r="D43" s="384"/>
      <c r="E43" s="219">
        <f t="shared" ref="E43:M43" si="4">E18</f>
        <v>-124298</v>
      </c>
      <c r="F43" s="219">
        <f t="shared" si="4"/>
        <v>-99502</v>
      </c>
      <c r="G43" s="219">
        <f t="shared" si="4"/>
        <v>-81192</v>
      </c>
      <c r="H43" s="219">
        <f t="shared" si="4"/>
        <v>-68283</v>
      </c>
      <c r="I43" s="219">
        <f t="shared" si="4"/>
        <v>-105568.8567091962</v>
      </c>
      <c r="J43" s="219">
        <f t="shared" si="4"/>
        <v>-109752.23767140189</v>
      </c>
      <c r="K43" s="219">
        <f t="shared" si="4"/>
        <v>-114101.39362464637</v>
      </c>
      <c r="L43" s="219">
        <f t="shared" si="4"/>
        <v>-118622.89374058826</v>
      </c>
      <c r="M43" s="219">
        <f t="shared" si="4"/>
        <v>-123323.56750769273</v>
      </c>
    </row>
    <row r="44" spans="1:14" ht="15" customHeight="1" x14ac:dyDescent="0.35">
      <c r="A44" s="3"/>
      <c r="B44" s="69"/>
      <c r="C44" s="188"/>
      <c r="D44" s="385"/>
      <c r="E44" s="219">
        <f>E18*(-INPUT!E104)</f>
        <v>20795.055400000001</v>
      </c>
      <c r="F44" s="219">
        <f>F18*(-INPUT!F104)</f>
        <v>26059.573800000002</v>
      </c>
      <c r="G44" s="219">
        <f>G18*(-INPUT!G104)</f>
        <v>17066.558399999998</v>
      </c>
      <c r="H44" s="219">
        <f>H18*(-INPUT!H104)</f>
        <v>18429.581699999999</v>
      </c>
      <c r="I44" s="219">
        <f>I18*(-$I$34)</f>
        <v>23998.440351418027</v>
      </c>
      <c r="J44" s="219">
        <f>J18*(-$I$34)</f>
        <v>24949.427428651434</v>
      </c>
      <c r="K44" s="219">
        <f>K18*(-$I$34)</f>
        <v>25938.099305722735</v>
      </c>
      <c r="L44" s="219">
        <f>L18*(-$I$34)</f>
        <v>26965.949319579227</v>
      </c>
      <c r="M44" s="429">
        <f>M18*(-$I$34)</f>
        <v>28034.52998368625</v>
      </c>
    </row>
    <row r="45" spans="1:14" ht="15" customHeight="1" x14ac:dyDescent="0.35">
      <c r="A45" s="3"/>
      <c r="B45" s="64"/>
      <c r="C45" s="188"/>
      <c r="D45" s="430">
        <f>IFERROR(((INPUT!H9+(E42-D44)*D43)/INPUT!H9)-1,0)</f>
        <v>0</v>
      </c>
      <c r="E45" s="217">
        <f t="shared" ref="E45:M45" si="5">E43+E44</f>
        <v>-103502.9446</v>
      </c>
      <c r="F45" s="217">
        <f t="shared" si="5"/>
        <v>-73442.426200000002</v>
      </c>
      <c r="G45" s="217">
        <f t="shared" si="5"/>
        <v>-64125.441600000006</v>
      </c>
      <c r="H45" s="217">
        <f t="shared" si="5"/>
        <v>-49853.418300000005</v>
      </c>
      <c r="I45" s="217">
        <f t="shared" si="5"/>
        <v>-81570.416357778173</v>
      </c>
      <c r="J45" s="217">
        <f t="shared" si="5"/>
        <v>-84802.810242750449</v>
      </c>
      <c r="K45" s="217">
        <f t="shared" si="5"/>
        <v>-88163.294318923639</v>
      </c>
      <c r="L45" s="217">
        <f t="shared" si="5"/>
        <v>-91656.94442100903</v>
      </c>
      <c r="M45" s="431">
        <f t="shared" si="5"/>
        <v>-95289.037524006475</v>
      </c>
    </row>
    <row r="46" spans="1:14" ht="15" customHeight="1" x14ac:dyDescent="0.35">
      <c r="A46" s="65"/>
      <c r="B46" s="48"/>
      <c r="C46" s="80"/>
      <c r="D46" s="386"/>
    </row>
    <row r="47" spans="1:14" ht="15" customHeight="1" x14ac:dyDescent="0.35">
      <c r="A47" s="65"/>
      <c r="B47" s="48"/>
      <c r="C47" s="80"/>
      <c r="D47" s="346"/>
    </row>
    <row r="48" spans="1:14" ht="15" customHeight="1" x14ac:dyDescent="0.35">
      <c r="A48" s="351"/>
      <c r="B48" s="351" t="s">
        <v>416</v>
      </c>
      <c r="C48" s="351"/>
      <c r="D48" s="351"/>
      <c r="E48" s="351"/>
      <c r="F48" s="351"/>
      <c r="G48" s="351"/>
      <c r="H48" s="351"/>
      <c r="I48" s="351"/>
      <c r="J48" s="351"/>
      <c r="K48" s="351"/>
      <c r="L48" s="351"/>
      <c r="M48" s="351"/>
      <c r="N48" s="351"/>
    </row>
    <row r="49" spans="1:14" ht="15" customHeight="1" x14ac:dyDescent="0.35">
      <c r="A49" s="65" t="s">
        <v>4</v>
      </c>
      <c r="B49" s="335" t="s">
        <v>152</v>
      </c>
      <c r="C49" s="334"/>
      <c r="E49" s="219">
        <f t="shared" ref="E49:M49" si="6">ABS(E17)</f>
        <v>673</v>
      </c>
      <c r="F49" s="219">
        <f t="shared" si="6"/>
        <v>718</v>
      </c>
      <c r="G49" s="219">
        <f t="shared" si="6"/>
        <v>714</v>
      </c>
      <c r="H49" s="219">
        <f t="shared" si="6"/>
        <v>753</v>
      </c>
      <c r="I49" s="219">
        <f t="shared" si="6"/>
        <v>800.02922554680174</v>
      </c>
      <c r="J49" s="219">
        <f t="shared" si="6"/>
        <v>831.73201305145335</v>
      </c>
      <c r="K49" s="219">
        <f t="shared" si="6"/>
        <v>864.69108808094893</v>
      </c>
      <c r="L49" s="219">
        <f t="shared" si="6"/>
        <v>898.95623358717717</v>
      </c>
      <c r="M49" s="219">
        <f t="shared" si="6"/>
        <v>934.57920527288957</v>
      </c>
    </row>
    <row r="50" spans="1:14" ht="15" customHeight="1" x14ac:dyDescent="0.35">
      <c r="A50" s="3"/>
      <c r="B50" s="69" t="s">
        <v>153</v>
      </c>
      <c r="E50" s="219">
        <f>INPUT!E78</f>
        <v>-15690</v>
      </c>
      <c r="F50" s="219">
        <f>INPUT!F78</f>
        <v>-17722</v>
      </c>
      <c r="G50" s="219">
        <f>INPUT!G78</f>
        <v>-14909</v>
      </c>
      <c r="H50" s="219">
        <f>IF(INPUT!H78&lt;&gt;"",INPUT!H78,INPUT!G78)</f>
        <v>-16953</v>
      </c>
      <c r="I50" s="219">
        <f>-I9*$I$37</f>
        <v>-18292.533329844515</v>
      </c>
      <c r="J50" s="219">
        <f>-J9*$I$37</f>
        <v>-19017.412219964375</v>
      </c>
      <c r="K50" s="219">
        <f>-K9*$I$37</f>
        <v>-19771.01591248676</v>
      </c>
      <c r="L50" s="219">
        <f>-L9*$I$37</f>
        <v>-20554.482686211497</v>
      </c>
      <c r="M50" s="219">
        <f>-M9*$I$37</f>
        <v>-21368.995926554217</v>
      </c>
    </row>
    <row r="51" spans="1:14" ht="15" customHeight="1" x14ac:dyDescent="0.35">
      <c r="A51" s="3"/>
      <c r="B51" s="69" t="s">
        <v>154</v>
      </c>
      <c r="E51" s="219">
        <f>INPUT!E70+INPUT!E71+INPUT!E72+INPUT!E73</f>
        <v>8958</v>
      </c>
      <c r="F51" s="219">
        <f>INPUT!F70+INPUT!F71+INPUT!F72+INPUT!F73</f>
        <v>-10309</v>
      </c>
      <c r="G51" s="219">
        <f>INPUT!G70+INPUT!G71+INPUT!G72+INPUT!G73</f>
        <v>3210</v>
      </c>
      <c r="H51" s="219">
        <f>IF(INPUT!H70&lt;&gt;"",INPUT!H70,INPUT!G70)+IF(INPUT!H71&lt;&gt;"",INPUT!H71,INPUT!G71)+IF(INPUT!H72&lt;&gt;"",INPUT!H72,INPUT!G72)+IF(INPUT!H73&lt;&gt;"",INPUT!H73,INPUT!G73)</f>
        <v>-2662</v>
      </c>
      <c r="I51" s="219">
        <f>-(I9-H9)*$I$38</f>
        <v>-274.27888327565154</v>
      </c>
      <c r="J51" s="219">
        <f>-(J9-I9)*$I$38</f>
        <v>-285.14774265707894</v>
      </c>
      <c r="K51" s="219">
        <f>-(K9-J9)*$I$38</f>
        <v>-296.44730272841224</v>
      </c>
      <c r="L51" s="219">
        <f>-(L9-K9)*$I$38</f>
        <v>-308.19463088170886</v>
      </c>
      <c r="M51" s="219">
        <f>-(M9-L9)*$I$38</f>
        <v>-320.40747083919894</v>
      </c>
    </row>
    <row r="52" spans="1:14" ht="15" customHeight="1" x14ac:dyDescent="0.35">
      <c r="A52" s="65"/>
      <c r="B52" s="64" t="s">
        <v>155</v>
      </c>
      <c r="E52" s="217">
        <f t="shared" ref="E52:M52" si="7">E45+E49+E50+E51</f>
        <v>-109561.9446</v>
      </c>
      <c r="F52" s="217">
        <f t="shared" si="7"/>
        <v>-100755.4262</v>
      </c>
      <c r="G52" s="217">
        <f t="shared" si="7"/>
        <v>-75110.441600000006</v>
      </c>
      <c r="H52" s="217">
        <f t="shared" si="7"/>
        <v>-68715.418300000005</v>
      </c>
      <c r="I52" s="217">
        <f t="shared" si="7"/>
        <v>-99337.199345351532</v>
      </c>
      <c r="J52" s="217">
        <f t="shared" si="7"/>
        <v>-103273.63819232045</v>
      </c>
      <c r="K52" s="217">
        <f t="shared" si="7"/>
        <v>-107366.06644605787</v>
      </c>
      <c r="L52" s="217">
        <f t="shared" si="7"/>
        <v>-111620.66550451507</v>
      </c>
      <c r="M52" s="431">
        <f t="shared" si="7"/>
        <v>-116043.86171612699</v>
      </c>
    </row>
    <row r="53" spans="1:14" ht="18" customHeight="1" x14ac:dyDescent="0.35">
      <c r="A53" s="3"/>
    </row>
    <row r="54" spans="1:14" ht="18" customHeight="1" x14ac:dyDescent="0.5">
      <c r="A54" s="7"/>
      <c r="B54" s="47" t="s">
        <v>156</v>
      </c>
      <c r="C54" s="42"/>
      <c r="D54" s="42"/>
      <c r="E54" s="23"/>
      <c r="F54" s="23"/>
      <c r="G54" s="23"/>
      <c r="H54" s="23"/>
      <c r="I54" s="23"/>
      <c r="J54" s="23"/>
      <c r="K54" s="23"/>
      <c r="L54" s="23"/>
      <c r="M54" s="23"/>
      <c r="N54" s="260"/>
    </row>
    <row r="55" spans="1:14" ht="15" customHeight="1" x14ac:dyDescent="0.5">
      <c r="A55" s="105"/>
      <c r="B55" s="114"/>
      <c r="C55" s="115"/>
      <c r="D55" s="115"/>
      <c r="E55" s="96"/>
      <c r="F55" s="96"/>
      <c r="G55" s="96"/>
      <c r="H55" s="96"/>
      <c r="J55" s="96"/>
      <c r="K55" s="96"/>
      <c r="L55" s="96"/>
      <c r="M55" s="96"/>
      <c r="N55" s="96"/>
    </row>
    <row r="56" spans="1:14" ht="15" customHeight="1" x14ac:dyDescent="0.35">
      <c r="A56" s="3"/>
      <c r="B56" s="17" t="s">
        <v>157</v>
      </c>
      <c r="C56" s="9"/>
      <c r="D56" s="428">
        <f>INPUT!H100</f>
        <v>4.2799999999999998E-2</v>
      </c>
      <c r="E56" s="244"/>
      <c r="F56" s="244"/>
      <c r="G56" s="244"/>
      <c r="H56" s="244"/>
      <c r="J56" s="244"/>
      <c r="K56" s="244"/>
      <c r="L56" s="244"/>
      <c r="M56" s="244"/>
      <c r="N56" s="262">
        <f>D56</f>
        <v>4.2799999999999998E-2</v>
      </c>
    </row>
    <row r="57" spans="1:14" ht="15" customHeight="1" x14ac:dyDescent="0.35">
      <c r="A57" s="3"/>
      <c r="B57" s="17" t="s">
        <v>51</v>
      </c>
      <c r="C57" s="9"/>
      <c r="D57" s="428">
        <f>INPUT!H99</f>
        <v>0.73299999999999998</v>
      </c>
      <c r="E57" s="244"/>
      <c r="F57" s="244"/>
      <c r="G57" s="244"/>
      <c r="H57" s="244"/>
      <c r="J57" s="244"/>
      <c r="K57" s="244"/>
      <c r="L57" s="244"/>
      <c r="M57" s="244"/>
      <c r="N57" s="263">
        <f>D57</f>
        <v>0.73299999999999998</v>
      </c>
    </row>
    <row r="58" spans="1:14" ht="15" customHeight="1" x14ac:dyDescent="0.35">
      <c r="A58" s="3"/>
      <c r="B58" s="17" t="s">
        <v>55</v>
      </c>
      <c r="C58" s="9"/>
      <c r="D58" s="428">
        <f>INPUT!H101</f>
        <v>5.5E-2</v>
      </c>
      <c r="E58" s="244"/>
      <c r="F58" s="244"/>
      <c r="G58" s="244"/>
      <c r="H58" s="244"/>
      <c r="J58" s="244"/>
      <c r="K58" s="244"/>
      <c r="L58" s="244"/>
      <c r="M58" s="244"/>
      <c r="N58" s="262">
        <f>D58</f>
        <v>5.5E-2</v>
      </c>
    </row>
    <row r="59" spans="1:14" ht="15" customHeight="1" x14ac:dyDescent="0.35">
      <c r="A59" s="3"/>
      <c r="B59" s="52" t="s">
        <v>56</v>
      </c>
      <c r="C59" s="11"/>
      <c r="D59" s="432">
        <f>D56+D57*D58</f>
        <v>8.3114999999999994E-2</v>
      </c>
      <c r="E59" s="245"/>
      <c r="F59" s="245"/>
      <c r="G59" s="245"/>
      <c r="H59" s="245"/>
      <c r="J59" s="245"/>
      <c r="K59" s="245"/>
      <c r="L59" s="245"/>
      <c r="M59" s="245"/>
      <c r="N59" s="264">
        <f>D59</f>
        <v>8.3114999999999994E-2</v>
      </c>
    </row>
    <row r="60" spans="1:14" ht="15" customHeight="1" x14ac:dyDescent="0.35">
      <c r="A60" s="3"/>
      <c r="B60" s="17"/>
      <c r="C60" s="9"/>
      <c r="D60" s="9"/>
      <c r="E60" s="22"/>
      <c r="F60" s="22"/>
      <c r="G60" s="22"/>
      <c r="H60" s="22"/>
      <c r="J60" s="22"/>
      <c r="K60" s="22"/>
      <c r="L60" s="22"/>
      <c r="M60" s="22"/>
      <c r="N60" s="55"/>
    </row>
    <row r="61" spans="1:14" ht="15" customHeight="1" x14ac:dyDescent="0.35">
      <c r="A61" s="3"/>
      <c r="B61" s="17" t="s">
        <v>158</v>
      </c>
      <c r="C61" s="9"/>
      <c r="D61" s="428">
        <f>INPUT!H106</f>
        <v>0.7147</v>
      </c>
      <c r="E61" s="244"/>
      <c r="F61" s="244"/>
      <c r="G61" s="244"/>
      <c r="H61" s="244"/>
      <c r="J61" s="244"/>
      <c r="K61" s="244"/>
      <c r="L61" s="244"/>
      <c r="M61" s="244"/>
      <c r="N61" s="265">
        <f t="shared" ref="N61:N66" si="8">D61</f>
        <v>0.7147</v>
      </c>
    </row>
    <row r="62" spans="1:14" ht="15" customHeight="1" x14ac:dyDescent="0.35">
      <c r="A62" s="3"/>
      <c r="B62" s="17" t="s">
        <v>159</v>
      </c>
      <c r="C62" s="9"/>
      <c r="D62" s="428">
        <f>INPUT!H107</f>
        <v>0.2853</v>
      </c>
      <c r="E62" s="244"/>
      <c r="F62" s="244"/>
      <c r="G62" s="244"/>
      <c r="H62" s="244"/>
      <c r="J62" s="244"/>
      <c r="K62" s="244"/>
      <c r="L62" s="244"/>
      <c r="M62" s="244"/>
      <c r="N62" s="265">
        <f t="shared" si="8"/>
        <v>0.2853</v>
      </c>
    </row>
    <row r="63" spans="1:14" ht="15" customHeight="1" x14ac:dyDescent="0.35">
      <c r="A63" s="3"/>
      <c r="B63" s="17" t="s">
        <v>160</v>
      </c>
      <c r="C63" s="9"/>
      <c r="D63" s="428">
        <f>INPUT!H103</f>
        <v>5.2600000000000001E-2</v>
      </c>
      <c r="E63" s="244"/>
      <c r="F63" s="244"/>
      <c r="G63" s="244"/>
      <c r="H63" s="244"/>
      <c r="J63" s="244"/>
      <c r="K63" s="244"/>
      <c r="L63" s="244"/>
      <c r="M63" s="244"/>
      <c r="N63" s="262">
        <f t="shared" si="8"/>
        <v>5.2600000000000001E-2</v>
      </c>
    </row>
    <row r="64" spans="1:14" ht="15" customHeight="1" x14ac:dyDescent="0.35">
      <c r="A64" s="3"/>
      <c r="B64" s="17" t="s">
        <v>58</v>
      </c>
      <c r="C64" s="9"/>
      <c r="D64" s="428">
        <f>INPUT!H104</f>
        <v>0.26989999999999997</v>
      </c>
      <c r="E64" s="244"/>
      <c r="F64" s="244"/>
      <c r="G64" s="244"/>
      <c r="H64" s="244"/>
      <c r="J64" s="244"/>
      <c r="K64" s="244"/>
      <c r="L64" s="244"/>
      <c r="M64" s="244"/>
      <c r="N64" s="265">
        <f t="shared" si="8"/>
        <v>0.26989999999999997</v>
      </c>
    </row>
    <row r="65" spans="1:14" ht="15" customHeight="1" x14ac:dyDescent="0.35">
      <c r="A65" s="3"/>
      <c r="B65" s="17" t="s">
        <v>59</v>
      </c>
      <c r="C65" s="9"/>
      <c r="D65" s="428">
        <f>D63*(1-D64)</f>
        <v>3.8403260000000002E-2</v>
      </c>
      <c r="E65" s="244"/>
      <c r="F65" s="244"/>
      <c r="G65" s="244"/>
      <c r="H65" s="244"/>
      <c r="J65" s="244"/>
      <c r="K65" s="244"/>
      <c r="L65" s="244"/>
      <c r="M65" s="244"/>
      <c r="N65" s="262">
        <f t="shared" si="8"/>
        <v>3.8403260000000002E-2</v>
      </c>
    </row>
    <row r="66" spans="1:14" ht="15" customHeight="1" x14ac:dyDescent="0.35">
      <c r="A66" s="3"/>
      <c r="B66" s="49" t="s">
        <v>62</v>
      </c>
      <c r="C66" s="11"/>
      <c r="D66" s="432">
        <f>D61*D59+D65*D62</f>
        <v>7.0358740577999998E-2</v>
      </c>
      <c r="E66" s="245"/>
      <c r="F66" s="245"/>
      <c r="G66" s="245"/>
      <c r="H66" s="245"/>
      <c r="J66" s="245"/>
      <c r="K66" s="245"/>
      <c r="L66" s="245"/>
      <c r="M66" s="245"/>
      <c r="N66" s="264">
        <f t="shared" si="8"/>
        <v>7.0358740577999998E-2</v>
      </c>
    </row>
    <row r="67" spans="1:14" ht="18" customHeight="1" x14ac:dyDescent="0.35">
      <c r="A67" s="3"/>
      <c r="B67" s="14"/>
      <c r="C67" s="9"/>
      <c r="D67" s="9"/>
      <c r="E67" s="22"/>
      <c r="F67" s="22"/>
      <c r="G67" s="22"/>
      <c r="H67" s="22"/>
      <c r="I67" s="22"/>
      <c r="J67" s="22"/>
      <c r="K67" s="22"/>
      <c r="L67" s="22"/>
      <c r="M67" s="22"/>
      <c r="N67" s="55"/>
    </row>
    <row r="68" spans="1:14" ht="18" customHeight="1" x14ac:dyDescent="0.5">
      <c r="A68" s="7"/>
      <c r="B68" s="47" t="s">
        <v>161</v>
      </c>
      <c r="C68" s="42"/>
      <c r="D68" s="42"/>
      <c r="E68" s="23"/>
      <c r="F68" s="23"/>
      <c r="G68" s="23"/>
      <c r="H68" s="23"/>
      <c r="I68" s="23"/>
      <c r="J68" s="23"/>
      <c r="K68" s="23"/>
      <c r="L68" s="23"/>
      <c r="M68" s="23"/>
      <c r="N68" s="260"/>
    </row>
    <row r="69" spans="1:14" ht="15" customHeight="1" x14ac:dyDescent="0.5">
      <c r="A69" s="105"/>
      <c r="B69" s="114"/>
      <c r="C69" s="115"/>
      <c r="D69" s="115"/>
      <c r="E69" s="96"/>
      <c r="F69" s="96"/>
      <c r="G69" s="96"/>
      <c r="H69" s="96"/>
      <c r="I69" s="96"/>
      <c r="J69" s="96"/>
      <c r="K69" s="96"/>
      <c r="L69" s="96"/>
      <c r="M69" s="96"/>
      <c r="N69" s="96"/>
    </row>
    <row r="70" spans="1:14" ht="15" customHeight="1" x14ac:dyDescent="0.35">
      <c r="A70" s="3"/>
      <c r="B70" s="17" t="s">
        <v>162</v>
      </c>
      <c r="C70" s="9"/>
      <c r="D70" s="428">
        <f>INPUT!H109</f>
        <v>2.5000000000000001E-2</v>
      </c>
      <c r="E70" s="244"/>
      <c r="F70" s="244"/>
      <c r="G70" s="244"/>
      <c r="H70" s="244"/>
      <c r="I70" s="244"/>
      <c r="J70" s="244"/>
      <c r="K70" s="244"/>
      <c r="L70" s="244"/>
      <c r="M70" s="244"/>
      <c r="N70" s="265">
        <f t="shared" ref="N70:N75" si="9">D70</f>
        <v>2.5000000000000001E-2</v>
      </c>
    </row>
    <row r="71" spans="1:14" ht="15" customHeight="1" x14ac:dyDescent="0.35">
      <c r="A71" s="3"/>
      <c r="B71" s="17" t="s">
        <v>62</v>
      </c>
      <c r="C71" s="9"/>
      <c r="D71" s="428">
        <f>D66</f>
        <v>7.0358740577999998E-2</v>
      </c>
      <c r="E71" s="244"/>
      <c r="F71" s="244"/>
      <c r="G71" s="244"/>
      <c r="H71" s="244"/>
      <c r="I71" s="244"/>
      <c r="J71" s="244"/>
      <c r="K71" s="244"/>
      <c r="L71" s="244"/>
      <c r="M71" s="244"/>
      <c r="N71" s="262">
        <f t="shared" si="9"/>
        <v>7.0358740577999998E-2</v>
      </c>
    </row>
    <row r="72" spans="1:14" ht="15" customHeight="1" x14ac:dyDescent="0.35">
      <c r="A72" s="3"/>
      <c r="B72" s="17" t="s">
        <v>163</v>
      </c>
      <c r="C72" s="327"/>
      <c r="D72" s="426">
        <f>M52</f>
        <v>-116043.86171612699</v>
      </c>
      <c r="E72" s="244"/>
      <c r="F72" s="244"/>
      <c r="G72" s="244"/>
      <c r="H72" s="244"/>
      <c r="I72" s="244"/>
      <c r="J72" s="244"/>
      <c r="K72" s="244"/>
      <c r="L72" s="244"/>
      <c r="M72" s="244"/>
      <c r="N72" s="266">
        <f t="shared" si="9"/>
        <v>-116043.86171612699</v>
      </c>
    </row>
    <row r="73" spans="1:14" ht="15" customHeight="1" x14ac:dyDescent="0.35">
      <c r="A73" s="3"/>
      <c r="B73" s="17" t="s">
        <v>164</v>
      </c>
      <c r="C73" s="327"/>
      <c r="D73" s="426">
        <f>D72*(1+D70)</f>
        <v>-118944.95825903016</v>
      </c>
      <c r="E73" s="244"/>
      <c r="F73" s="244"/>
      <c r="G73" s="244"/>
      <c r="H73" s="244"/>
      <c r="I73" s="245"/>
      <c r="J73" s="244"/>
      <c r="K73" s="244"/>
      <c r="L73" s="244"/>
      <c r="M73" s="244"/>
      <c r="N73" s="266">
        <f t="shared" si="9"/>
        <v>-118944.95825903016</v>
      </c>
    </row>
    <row r="74" spans="1:14" ht="15" customHeight="1" x14ac:dyDescent="0.35">
      <c r="A74" s="3"/>
      <c r="B74" s="52" t="s">
        <v>165</v>
      </c>
      <c r="C74" s="328"/>
      <c r="D74" s="427">
        <f>IFERROR(D73/(D71-D70),"–")</f>
        <v>-2622316.1565628019</v>
      </c>
      <c r="E74" s="245"/>
      <c r="F74" s="245"/>
      <c r="G74" s="245"/>
      <c r="H74" s="245"/>
      <c r="I74" s="22"/>
      <c r="J74" s="245"/>
      <c r="K74" s="245"/>
      <c r="L74" s="245"/>
      <c r="M74" s="245"/>
      <c r="N74" s="267">
        <f t="shared" si="9"/>
        <v>-2622316.1565628019</v>
      </c>
    </row>
    <row r="75" spans="1:14" ht="15" customHeight="1" x14ac:dyDescent="0.35">
      <c r="A75" s="3"/>
      <c r="B75" s="17" t="s">
        <v>166</v>
      </c>
      <c r="C75" s="9"/>
      <c r="D75" s="428">
        <f>IFERROR(D74/M15,"–")</f>
        <v>21.426079199896076</v>
      </c>
      <c r="E75" s="244"/>
      <c r="F75" s="244"/>
      <c r="G75" s="244"/>
      <c r="H75" s="244"/>
      <c r="I75" s="244"/>
      <c r="J75" s="244"/>
      <c r="K75" s="244"/>
      <c r="L75" s="244"/>
      <c r="M75" s="244"/>
      <c r="N75" s="268">
        <f t="shared" si="9"/>
        <v>21.426079199896076</v>
      </c>
    </row>
    <row r="76" spans="1:14" ht="15" customHeight="1" x14ac:dyDescent="0.35">
      <c r="A76" s="3"/>
      <c r="B76" s="14" t="s">
        <v>167</v>
      </c>
      <c r="C76" s="9"/>
      <c r="D76" s="428">
        <f>1</f>
        <v>1</v>
      </c>
      <c r="E76" s="22"/>
      <c r="F76" s="22"/>
      <c r="G76" s="35"/>
      <c r="H76" s="35"/>
      <c r="I76" s="244"/>
      <c r="J76" s="420">
        <v>2</v>
      </c>
      <c r="K76" s="420">
        <v>3</v>
      </c>
      <c r="L76" s="420">
        <v>4</v>
      </c>
      <c r="M76" s="420">
        <v>5</v>
      </c>
      <c r="N76" s="420">
        <v>5</v>
      </c>
    </row>
    <row r="77" spans="1:14" ht="15" customHeight="1" x14ac:dyDescent="0.35">
      <c r="A77" s="3"/>
      <c r="B77" s="14"/>
      <c r="C77" s="9"/>
      <c r="D77" s="255"/>
      <c r="E77" s="22"/>
      <c r="F77" s="22"/>
      <c r="G77" s="35"/>
      <c r="H77" s="35"/>
      <c r="I77" s="244"/>
      <c r="J77" s="356"/>
      <c r="K77" s="356"/>
      <c r="L77" s="356"/>
      <c r="M77" s="356"/>
      <c r="N77" s="356"/>
    </row>
    <row r="78" spans="1:14" ht="15" customHeight="1" x14ac:dyDescent="0.35">
      <c r="A78" s="3"/>
      <c r="B78" s="14" t="s">
        <v>168</v>
      </c>
      <c r="C78" s="9"/>
      <c r="D78" s="428">
        <f>1/(1+$D$71)^I76</f>
        <v>1</v>
      </c>
      <c r="E78" s="22"/>
      <c r="F78" s="22"/>
      <c r="G78" s="36"/>
      <c r="H78" s="36"/>
      <c r="I78" s="244"/>
      <c r="J78" s="252">
        <f>1/(1+$D$71)^J76</f>
        <v>0.87285334433919159</v>
      </c>
      <c r="K78" s="252">
        <f>1/(1+$D$71)^K76</f>
        <v>0.81547738272109194</v>
      </c>
      <c r="L78" s="252">
        <f>1/(1+$D$71)^L76</f>
        <v>0.76187296072411126</v>
      </c>
      <c r="M78" s="252">
        <f>1/(1+$D$71)^M76</f>
        <v>0.71179216074107587</v>
      </c>
      <c r="N78" s="252">
        <f>1/(1+$D$71)^M76</f>
        <v>0.71179216074107587</v>
      </c>
    </row>
    <row r="79" spans="1:14" ht="15" customHeight="1" x14ac:dyDescent="0.35">
      <c r="A79" s="3"/>
      <c r="B79" s="14" t="s">
        <v>169</v>
      </c>
      <c r="C79" s="327"/>
      <c r="D79" s="426">
        <f>I52</f>
        <v>-99337.199345351532</v>
      </c>
      <c r="E79" s="22"/>
      <c r="F79" s="22"/>
      <c r="G79" s="34"/>
      <c r="H79" s="34"/>
      <c r="I79" s="244"/>
      <c r="J79" s="253">
        <f>J52</f>
        <v>-103273.63819232045</v>
      </c>
      <c r="K79" s="253">
        <f>K52</f>
        <v>-107366.06644605787</v>
      </c>
      <c r="L79" s="253">
        <f>L52</f>
        <v>-111620.66550451507</v>
      </c>
      <c r="M79" s="253">
        <f>M52</f>
        <v>-116043.86171612699</v>
      </c>
      <c r="N79" s="34"/>
    </row>
    <row r="80" spans="1:14" ht="15" customHeight="1" x14ac:dyDescent="0.35">
      <c r="A80" s="3"/>
      <c r="B80" s="14" t="s">
        <v>170</v>
      </c>
      <c r="C80" s="327"/>
      <c r="D80" s="8"/>
      <c r="E80" s="22"/>
      <c r="F80" s="22"/>
      <c r="G80" s="34"/>
      <c r="H80" s="34"/>
      <c r="I80" s="245"/>
      <c r="J80" s="34"/>
      <c r="K80" s="34"/>
      <c r="L80" s="34"/>
      <c r="M80" s="34"/>
      <c r="N80" s="253">
        <f>D74</f>
        <v>-2622316.1565628019</v>
      </c>
    </row>
    <row r="81" spans="1:14" ht="15" customHeight="1" x14ac:dyDescent="0.35">
      <c r="A81" s="3"/>
      <c r="B81" s="14" t="s">
        <v>171</v>
      </c>
      <c r="C81" s="327"/>
      <c r="D81" s="8"/>
      <c r="E81" s="22"/>
      <c r="F81" s="22"/>
      <c r="G81" s="34"/>
      <c r="H81" s="34"/>
      <c r="I81" s="22"/>
      <c r="J81" s="253">
        <f>J78*J79</f>
        <v>-90142.740478242573</v>
      </c>
      <c r="K81" s="253">
        <f>K78*K79</f>
        <v>-87554.598858490121</v>
      </c>
      <c r="L81" s="253">
        <f>L78*L79</f>
        <v>-85040.766905920565</v>
      </c>
      <c r="M81" s="253">
        <f>M78*M79</f>
        <v>-82599.111071660649</v>
      </c>
      <c r="N81" s="261">
        <f>IFERROR(N78*N80,"–")</f>
        <v>-1866544.0832260703</v>
      </c>
    </row>
    <row r="82" spans="1:14" ht="18" customHeight="1" x14ac:dyDescent="0.5">
      <c r="A82" s="3"/>
      <c r="B82" s="14"/>
      <c r="C82" s="9"/>
      <c r="D82" s="9"/>
      <c r="E82" s="22"/>
      <c r="F82" s="22"/>
      <c r="G82" s="22"/>
      <c r="H82" s="22"/>
      <c r="I82" s="270"/>
      <c r="J82" s="22"/>
      <c r="K82" s="22"/>
      <c r="L82" s="22"/>
      <c r="M82" s="22"/>
      <c r="N82" s="55"/>
    </row>
    <row r="83" spans="1:14" ht="18" customHeight="1" x14ac:dyDescent="0.5">
      <c r="A83" s="7"/>
      <c r="B83" s="47" t="s">
        <v>172</v>
      </c>
      <c r="C83" s="42"/>
      <c r="D83" s="42"/>
      <c r="E83" s="23"/>
      <c r="F83" s="23"/>
      <c r="G83" s="23"/>
      <c r="H83" s="23"/>
      <c r="I83" s="42"/>
      <c r="J83" s="23"/>
      <c r="K83" s="23"/>
      <c r="L83" s="23"/>
      <c r="M83" s="23"/>
      <c r="N83" s="260"/>
    </row>
    <row r="84" spans="1:14" ht="15" customHeight="1" x14ac:dyDescent="0.5">
      <c r="A84" s="105"/>
      <c r="B84" s="114"/>
      <c r="C84" s="115"/>
      <c r="D84" s="258"/>
      <c r="E84" s="96"/>
      <c r="F84" s="96"/>
      <c r="G84" s="96"/>
      <c r="H84" s="96"/>
      <c r="J84" s="96"/>
      <c r="K84" s="96"/>
      <c r="L84" s="96"/>
      <c r="M84" s="96"/>
      <c r="N84" s="96"/>
    </row>
    <row r="85" spans="1:14" ht="15" customHeight="1" x14ac:dyDescent="0.35">
      <c r="A85" s="3"/>
      <c r="B85" s="52" t="s">
        <v>173</v>
      </c>
      <c r="C85" s="328"/>
      <c r="D85" s="433">
        <f>SUM(I81:M81)</f>
        <v>-345337.21731431392</v>
      </c>
      <c r="E85" s="244"/>
      <c r="F85" s="244"/>
      <c r="G85" s="244"/>
      <c r="H85" s="244"/>
      <c r="J85" s="244"/>
      <c r="K85" s="244"/>
      <c r="L85" s="244"/>
      <c r="M85" s="244"/>
      <c r="N85" s="253">
        <f>D85</f>
        <v>-345337.21731431392</v>
      </c>
    </row>
    <row r="86" spans="1:14" ht="15" customHeight="1" x14ac:dyDescent="0.35">
      <c r="A86" s="3"/>
      <c r="B86" s="17" t="s">
        <v>174</v>
      </c>
      <c r="C86" s="327"/>
      <c r="D86" s="330">
        <f>N81</f>
        <v>-1866544.0832260703</v>
      </c>
      <c r="E86" s="244"/>
      <c r="F86" s="244"/>
      <c r="G86" s="244"/>
      <c r="H86" s="244"/>
      <c r="J86" s="244"/>
      <c r="K86" s="244"/>
      <c r="L86" s="244"/>
      <c r="M86" s="244"/>
      <c r="N86" s="253">
        <f>D86</f>
        <v>-1866544.0832260703</v>
      </c>
    </row>
    <row r="87" spans="1:14" ht="15" customHeight="1" x14ac:dyDescent="0.35">
      <c r="A87" s="3"/>
      <c r="B87" s="52" t="s">
        <v>50</v>
      </c>
      <c r="C87" s="328"/>
      <c r="D87" s="433">
        <f>IFERROR(D85+D86,"–")</f>
        <v>-2211881.3005403844</v>
      </c>
      <c r="E87" s="245"/>
      <c r="F87" s="245"/>
      <c r="G87" s="245"/>
      <c r="H87" s="245"/>
      <c r="J87" s="245"/>
      <c r="K87" s="245"/>
      <c r="L87" s="245"/>
      <c r="M87" s="245"/>
      <c r="N87" s="253">
        <f>D87</f>
        <v>-2211881.3005403844</v>
      </c>
    </row>
    <row r="88" spans="1:14" ht="15" customHeight="1" x14ac:dyDescent="0.35">
      <c r="A88" s="65"/>
      <c r="B88" s="109"/>
      <c r="C88" s="329"/>
      <c r="D88" s="259"/>
      <c r="E88" s="246"/>
      <c r="F88" s="246"/>
      <c r="G88" s="246"/>
      <c r="H88" s="246"/>
      <c r="J88" s="246"/>
      <c r="K88" s="246"/>
      <c r="L88" s="246"/>
      <c r="M88" s="246"/>
      <c r="N88" s="58"/>
    </row>
    <row r="89" spans="1:14" ht="15" customHeight="1" x14ac:dyDescent="0.35">
      <c r="A89" s="3"/>
      <c r="B89" s="17" t="s">
        <v>175</v>
      </c>
      <c r="C89" s="327"/>
      <c r="D89" s="434">
        <f>-(INPUT!H48+INPUT!H54)</f>
        <v>-20177</v>
      </c>
      <c r="E89" s="244"/>
      <c r="F89" s="244"/>
      <c r="G89" s="244"/>
      <c r="H89" s="244"/>
      <c r="J89" s="244"/>
      <c r="K89" s="244"/>
      <c r="L89" s="244"/>
      <c r="M89" s="244"/>
      <c r="N89" s="253">
        <f>D89</f>
        <v>-20177</v>
      </c>
    </row>
    <row r="90" spans="1:14" ht="15" customHeight="1" x14ac:dyDescent="0.35">
      <c r="A90" s="3"/>
      <c r="B90" s="17" t="s">
        <v>176</v>
      </c>
      <c r="C90" s="327"/>
      <c r="D90" s="330">
        <f>INPUT!H34</f>
        <v>22032</v>
      </c>
      <c r="E90" s="244"/>
      <c r="F90" s="244"/>
      <c r="G90" s="244"/>
      <c r="H90" s="244"/>
      <c r="J90" s="244"/>
      <c r="K90" s="244"/>
      <c r="L90" s="244"/>
      <c r="M90" s="244"/>
      <c r="N90" s="253">
        <f>D90</f>
        <v>22032</v>
      </c>
    </row>
    <row r="91" spans="1:14" ht="15" customHeight="1" x14ac:dyDescent="0.35">
      <c r="A91" s="3"/>
      <c r="B91" s="52" t="s">
        <v>177</v>
      </c>
      <c r="C91" s="328"/>
      <c r="D91" s="433">
        <f>IFERROR(D87+D89+D90,"–")</f>
        <v>-2210026.3005403844</v>
      </c>
      <c r="E91" s="245"/>
      <c r="F91" s="245"/>
      <c r="G91" s="245"/>
      <c r="H91" s="245"/>
      <c r="J91" s="245"/>
      <c r="K91" s="245"/>
      <c r="L91" s="245"/>
      <c r="M91" s="245"/>
      <c r="N91" s="253">
        <f>D91</f>
        <v>-2210026.3005403844</v>
      </c>
    </row>
    <row r="92" spans="1:14" ht="15" customHeight="1" x14ac:dyDescent="0.35">
      <c r="A92" s="65"/>
      <c r="B92" s="109"/>
      <c r="C92" s="329"/>
      <c r="D92" s="259"/>
      <c r="E92" s="246"/>
      <c r="F92" s="246"/>
      <c r="G92" s="246"/>
      <c r="H92" s="246"/>
      <c r="J92" s="246"/>
      <c r="K92" s="246"/>
      <c r="L92" s="246"/>
      <c r="M92" s="246"/>
      <c r="N92" s="58"/>
    </row>
    <row r="93" spans="1:14" ht="15" customHeight="1" x14ac:dyDescent="0.35">
      <c r="A93" s="3"/>
      <c r="B93" s="17" t="s">
        <v>47</v>
      </c>
      <c r="C93" s="9"/>
      <c r="D93" s="435">
        <f>INPUT!H96</f>
        <v>652.04999999999995</v>
      </c>
      <c r="E93" s="244"/>
      <c r="F93" s="244"/>
      <c r="G93" s="244"/>
      <c r="H93" s="244"/>
      <c r="J93" s="244"/>
      <c r="K93" s="244"/>
      <c r="L93" s="244"/>
      <c r="M93" s="244"/>
      <c r="N93" s="253">
        <f>D93</f>
        <v>652.04999999999995</v>
      </c>
    </row>
    <row r="94" spans="1:14" ht="15" customHeight="1" x14ac:dyDescent="0.35">
      <c r="A94" s="3"/>
      <c r="B94" s="52" t="s">
        <v>178</v>
      </c>
      <c r="C94" s="11"/>
      <c r="D94" s="436">
        <f>IFERROR(D91/D93,"–")</f>
        <v>-3389.3509708463839</v>
      </c>
      <c r="E94" s="245"/>
      <c r="F94" s="245"/>
      <c r="G94" s="245"/>
      <c r="H94" s="245"/>
      <c r="J94" s="245"/>
      <c r="K94" s="245"/>
      <c r="L94" s="245"/>
      <c r="M94" s="245"/>
      <c r="N94" s="253">
        <f>D94</f>
        <v>-3389.3509708463839</v>
      </c>
    </row>
    <row r="95" spans="1:14" ht="15" customHeight="1" x14ac:dyDescent="0.35">
      <c r="A95" s="3"/>
      <c r="B95" s="17" t="s">
        <v>179</v>
      </c>
      <c r="C95" s="256" t="s">
        <v>46</v>
      </c>
      <c r="D95" s="435">
        <f>INPUT!H95</f>
        <v>77.52</v>
      </c>
      <c r="E95" s="244"/>
      <c r="F95" s="244"/>
      <c r="G95" s="244"/>
      <c r="H95" s="244"/>
      <c r="J95" s="244"/>
      <c r="K95" s="244"/>
      <c r="L95" s="244"/>
      <c r="M95" s="244"/>
      <c r="N95" s="253">
        <f>D95</f>
        <v>77.52</v>
      </c>
    </row>
    <row r="96" spans="1:14" ht="15" customHeight="1" x14ac:dyDescent="0.35">
      <c r="A96" s="3"/>
      <c r="B96" s="17" t="s">
        <v>180</v>
      </c>
      <c r="C96" s="256" t="s">
        <v>54</v>
      </c>
      <c r="D96" s="435">
        <f>IFERROR(D94/D95-1,"–")</f>
        <v>-44.722277745696388</v>
      </c>
      <c r="E96" s="244"/>
      <c r="F96" s="244"/>
      <c r="G96" s="244"/>
      <c r="H96" s="244"/>
      <c r="J96" s="244"/>
      <c r="K96" s="244"/>
      <c r="L96" s="244"/>
      <c r="M96" s="244"/>
      <c r="N96" s="253">
        <f>D96</f>
        <v>-44.722277745696388</v>
      </c>
    </row>
    <row r="97" spans="1:17" ht="15" customHeight="1" x14ac:dyDescent="0.35">
      <c r="A97" s="3"/>
      <c r="B97" s="91" t="s">
        <v>181</v>
      </c>
      <c r="C97" s="257" t="s">
        <v>54</v>
      </c>
      <c r="D97" s="389">
        <f>IFERROR(IRR(CHOOSE({1,2,3,4,5,6},-D87,I52,J52,K52,L52,M52+D74)),"–")</f>
        <v>7.9957009150132041E-2</v>
      </c>
      <c r="E97" s="244"/>
      <c r="F97" s="244"/>
      <c r="G97" s="244"/>
      <c r="H97" s="244"/>
      <c r="I97" s="244"/>
      <c r="J97" s="244"/>
      <c r="K97" s="244"/>
      <c r="L97" s="244"/>
      <c r="M97" s="244"/>
      <c r="N97" s="244"/>
    </row>
    <row r="98" spans="1:17" ht="18" customHeight="1" x14ac:dyDescent="0.5">
      <c r="A98" s="3"/>
      <c r="B98" s="91"/>
      <c r="C98" s="92"/>
      <c r="D98" s="257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437" t="str">
        <f>ROUND(C103*100,1)&amp;"%"</f>
        <v>7%</v>
      </c>
      <c r="P98" s="437" t="str">
        <f>ROUND(C104*100,1)&amp;"%"</f>
        <v>8%</v>
      </c>
      <c r="Q98" s="437" t="str">
        <f>ROUND(C105*100,1)&amp;"%"</f>
        <v>9%</v>
      </c>
    </row>
    <row r="99" spans="1:17" ht="15" customHeight="1" x14ac:dyDescent="0.5">
      <c r="A99" s="7"/>
      <c r="B99" s="47" t="s">
        <v>182</v>
      </c>
      <c r="C99" s="42"/>
      <c r="D99" s="42"/>
      <c r="E99" s="23"/>
      <c r="F99" s="23"/>
      <c r="G99" s="23"/>
      <c r="H99" s="23"/>
      <c r="I99" s="23"/>
      <c r="J99" s="23"/>
      <c r="K99" s="23"/>
      <c r="L99" s="23"/>
      <c r="M99" s="438" t="str">
        <f>ROUND(C101*100,1)&amp;"%"</f>
        <v>5%</v>
      </c>
      <c r="N99" s="438" t="str">
        <f>ROUND(C102*100,1)&amp;"%"</f>
        <v>6%</v>
      </c>
      <c r="O99" s="439">
        <f>D103</f>
        <v>-2327.2035514228382</v>
      </c>
      <c r="P99" s="439">
        <f>D104</f>
        <v>-2031.5361609622714</v>
      </c>
      <c r="Q99" s="439">
        <f>D105</f>
        <v>-1804.7528216560363</v>
      </c>
    </row>
    <row r="100" spans="1:17" ht="15" customHeight="1" x14ac:dyDescent="0.35">
      <c r="A100" s="1"/>
      <c r="B100" s="16" t="s">
        <v>183</v>
      </c>
      <c r="C100" s="78" t="s">
        <v>184</v>
      </c>
      <c r="D100" s="421">
        <v>0</v>
      </c>
      <c r="E100" s="421">
        <v>0.01</v>
      </c>
      <c r="F100" s="421">
        <v>0.02</v>
      </c>
      <c r="G100" s="421">
        <v>0.03</v>
      </c>
      <c r="H100" s="421">
        <v>0.04</v>
      </c>
      <c r="I100" s="78"/>
      <c r="J100" s="78"/>
      <c r="K100" s="78"/>
      <c r="L100" s="78" t="s">
        <v>185</v>
      </c>
      <c r="M100" s="440">
        <f>D101</f>
        <v>-3291.028078433329</v>
      </c>
      <c r="N100" s="440">
        <f>D102</f>
        <v>-2726.3388358867246</v>
      </c>
      <c r="O100" s="441">
        <f>E103</f>
        <v>-2646.4790617590156</v>
      </c>
      <c r="P100" s="441">
        <f>E104</f>
        <v>-2262.5926316295518</v>
      </c>
      <c r="Q100" s="441">
        <f>E105</f>
        <v>-1978.1573144356714</v>
      </c>
    </row>
    <row r="101" spans="1:17" ht="15" customHeight="1" x14ac:dyDescent="0.35">
      <c r="A101" s="3"/>
      <c r="B101" s="14"/>
      <c r="C101" s="442">
        <f>D66-0.02</f>
        <v>5.0358740577999994E-2</v>
      </c>
      <c r="D101" s="443">
        <f>IFERROR((D85+((D72*(1+0))/(C101-0))/(1+C101)^5+D89+D90)/D93,"–")</f>
        <v>-3291.028078433329</v>
      </c>
      <c r="E101" s="444">
        <f>IFERROR((D85+((D72*(1+0.01))/(C101-0.01))/(1+C101)^5+D89+D90)/D93,"–")</f>
        <v>-4010.4409318198368</v>
      </c>
      <c r="F101" s="444">
        <f>IFERROR((D85+((D72*(1+0.02))/(C101-0.02))/(1+C101)^5+D89+D90)/D93,"–")</f>
        <v>-5203.7949564734054</v>
      </c>
      <c r="G101" s="444">
        <f>IFERROR((D85+((D72*(1+0.03))/(C101-0.03))/(1+C101)^5+D89+D90)/D93,"–")</f>
        <v>-7569.4749608028751</v>
      </c>
      <c r="H101" s="444">
        <f>IFERROR((D85+((D72*(1+0.04))/(C101-0.04))/(1+C101)^5+D89+D90)/D93,"–")</f>
        <v>-14502.660032985337</v>
      </c>
      <c r="I101" s="269"/>
      <c r="J101" s="269"/>
      <c r="K101" s="269"/>
      <c r="L101" s="272" t="s">
        <v>186</v>
      </c>
      <c r="M101" s="445">
        <f>E101</f>
        <v>-4010.4409318198368</v>
      </c>
      <c r="N101" s="445">
        <f>E102</f>
        <v>-3189.4816833050645</v>
      </c>
      <c r="O101" s="441">
        <f>F103</f>
        <v>-3092.5550070034719</v>
      </c>
      <c r="P101" s="441">
        <f>F104</f>
        <v>-2570.2101665121113</v>
      </c>
      <c r="Q101" s="441">
        <f>F105</f>
        <v>-2200.8533355613545</v>
      </c>
    </row>
    <row r="102" spans="1:17" ht="15" customHeight="1" x14ac:dyDescent="0.35">
      <c r="A102" s="3"/>
      <c r="B102" s="14"/>
      <c r="C102" s="442">
        <f>D66-0.01</f>
        <v>6.0358740577999996E-2</v>
      </c>
      <c r="D102" s="446">
        <f>IFERROR((D85+((D72*(1+0))/(C102-0))/(1+C102)^5+D89+D90)/D93,"–")</f>
        <v>-2726.3388358867246</v>
      </c>
      <c r="E102" s="447">
        <f>IFERROR((D85+((D72*(1+0.01))/(C102-0.01))/(1+C102)^5+D89+D90)/D93,"–")</f>
        <v>-3189.4816833050645</v>
      </c>
      <c r="F102" s="447">
        <f>IFERROR((D85+((D72*(1+0.02))/(C102-0.02))/(1+C102)^5+D89+D90)/D93,"–")</f>
        <v>-3882.1375634818178</v>
      </c>
      <c r="G102" s="447">
        <f>IFERROR((D85+((D72*(1+0.03))/(C102-0.03))/(1+C102)^5+D89+D90)/D93,"–")</f>
        <v>-5031.1074191327034</v>
      </c>
      <c r="H102" s="447">
        <f>IFERROR((D85+((D72*(1+0.04))/(C102-0.04))/(1+C102)^5+D89+D90)/D93,"–")</f>
        <v>-7308.8011771771216</v>
      </c>
      <c r="I102" s="269"/>
      <c r="J102" s="269"/>
      <c r="K102" s="269"/>
      <c r="L102" s="272" t="s">
        <v>187</v>
      </c>
      <c r="M102" s="445">
        <f>F101</f>
        <v>-5203.7949564734054</v>
      </c>
      <c r="N102" s="445">
        <f>F102</f>
        <v>-3882.1375634818178</v>
      </c>
      <c r="O102" s="439">
        <f>G103</f>
        <v>-3759.6863860181365</v>
      </c>
      <c r="P102" s="439">
        <f>G104</f>
        <v>-2999.9981652910401</v>
      </c>
      <c r="Q102" s="439">
        <f>G105</f>
        <v>-2497.3401677586826</v>
      </c>
    </row>
    <row r="103" spans="1:17" ht="15" customHeight="1" x14ac:dyDescent="0.35">
      <c r="A103" s="3"/>
      <c r="B103" s="14"/>
      <c r="C103" s="442">
        <f>D66</f>
        <v>7.0358740577999998E-2</v>
      </c>
      <c r="D103" s="448">
        <f>IFERROR((D85+((D72*(1+0))/(C103-0))/(1+C103)^5+D89+D90)/D93,"–")</f>
        <v>-2327.2035514228382</v>
      </c>
      <c r="E103" s="447">
        <f>IFERROR((D85+((D72*(1+0.01))/(C103-0.01))/(1+C103)^5+D89+D90)/D93,"–")</f>
        <v>-2646.4790617590156</v>
      </c>
      <c r="F103" s="224">
        <f>IFERROR((D85+((D72*(1+0.02))/(C103-0.02))/(1+C103)^5+D89+D90)/D93,"–")</f>
        <v>-3092.5550070034719</v>
      </c>
      <c r="G103" s="449">
        <f>IFERROR((D85+((D72*(1+0.03))/(C103-0.03))/(1+C103)^5+D89+D90)/D93,"–")</f>
        <v>-3759.6863860181365</v>
      </c>
      <c r="H103" s="447">
        <f>IFERROR((D85+((D72*(1+0.04))/(C103-0.04))/(1+C103)^5+D89+D90)/D93,"–")</f>
        <v>-4866.3164835653561</v>
      </c>
      <c r="I103" s="269"/>
      <c r="J103" s="269"/>
      <c r="K103" s="269"/>
      <c r="L103" s="272" t="s">
        <v>188</v>
      </c>
      <c r="M103" s="450">
        <f>G101</f>
        <v>-7569.4749608028751</v>
      </c>
      <c r="N103" s="450">
        <f>G102</f>
        <v>-5031.1074191327034</v>
      </c>
      <c r="O103" s="441">
        <f>H103</f>
        <v>-4866.3164835653561</v>
      </c>
      <c r="P103" s="441">
        <f>H104</f>
        <v>-3642.7700147172864</v>
      </c>
      <c r="Q103" s="441">
        <f>H105</f>
        <v>-2911.5768994945452</v>
      </c>
    </row>
    <row r="104" spans="1:17" ht="15" customHeight="1" x14ac:dyDescent="0.35">
      <c r="A104" s="3"/>
      <c r="B104" s="14"/>
      <c r="C104" s="442">
        <f>D66+0.01</f>
        <v>8.0358740577999993E-2</v>
      </c>
      <c r="D104" s="446">
        <f>IFERROR((D85+((D72*(1+0))/(C104-0))/(1+C104)^5+D89+D90)/D93,"–")</f>
        <v>-2031.5361609622714</v>
      </c>
      <c r="E104" s="447">
        <f>IFERROR((D85+((D72*(1+0.01))/(C104-0.01))/(1+C104)^5+D89+D90)/D93,"–")</f>
        <v>-2262.5926316295518</v>
      </c>
      <c r="F104" s="447">
        <f>IFERROR((D85+((D72*(1+0.02))/(C104-0.02))/(1+C104)^5+D89+D90)/D93,"–")</f>
        <v>-2570.2101665121113</v>
      </c>
      <c r="G104" s="447">
        <f>IFERROR((D85+((D72*(1+0.03))/(C104-0.03))/(1+C104)^5+D89+D90)/D93,"–")</f>
        <v>-2999.9981652910401</v>
      </c>
      <c r="H104" s="447">
        <f>IFERROR((D85+((D72*(1+0.04))/(C104-0.04))/(1+C104)^5+D89+D90)/D93,"–")</f>
        <v>-3642.7700147172864</v>
      </c>
      <c r="I104" s="269"/>
      <c r="J104" s="269"/>
      <c r="K104" s="269"/>
      <c r="L104" s="272" t="s">
        <v>189</v>
      </c>
      <c r="M104" s="445">
        <f>H101</f>
        <v>-14502.660032985337</v>
      </c>
      <c r="N104" s="445">
        <f>H102</f>
        <v>-7308.8011771771216</v>
      </c>
    </row>
    <row r="105" spans="1:17" ht="15" customHeight="1" x14ac:dyDescent="0.35">
      <c r="A105" s="3"/>
      <c r="B105" s="14"/>
      <c r="C105" s="442">
        <f>D66+0.02</f>
        <v>9.0358740578000002E-2</v>
      </c>
      <c r="D105" s="446">
        <f>IFERROR((D85+((D72*(1+0))/(C105-0))/(1+C105)^5+D89+D90)/D93,"–")</f>
        <v>-1804.7528216560363</v>
      </c>
      <c r="E105" s="447">
        <f>IFERROR((D85+((D72*(1+0.01))/(C105-0.01))/(1+C105)^5+D89+D90)/D93,"–")</f>
        <v>-1978.1573144356714</v>
      </c>
      <c r="F105" s="447">
        <f>IFERROR((D85+((D72*(1+0.02))/(C105-0.02))/(1+C105)^5+D89+D90)/D93,"–")</f>
        <v>-2200.8533355613545</v>
      </c>
      <c r="G105" s="447">
        <f>IFERROR((D85+((D72*(1+0.03))/(C105-0.03))/(1+C105)^5+D89+D90)/D93,"–")</f>
        <v>-2497.3401677586826</v>
      </c>
      <c r="H105" s="447">
        <f>IFERROR((D85+((D72*(1+0.04))/(C105-0.04))/(1+C105)^5+D89+D90)/D93,"–")</f>
        <v>-2911.5768994945452</v>
      </c>
      <c r="I105" s="22"/>
      <c r="J105" s="22"/>
      <c r="K105" s="22"/>
      <c r="L105" s="22"/>
      <c r="M105" s="22"/>
      <c r="N105" s="22"/>
    </row>
    <row r="106" spans="1:17" ht="15" customHeight="1" x14ac:dyDescent="0.35">
      <c r="A106" s="3"/>
      <c r="B106" s="18" t="s">
        <v>190</v>
      </c>
      <c r="C106" s="9"/>
      <c r="D106" s="9"/>
      <c r="E106" s="22"/>
      <c r="F106" s="22"/>
      <c r="G106" s="22"/>
      <c r="H106" s="22"/>
      <c r="I106" s="22"/>
      <c r="J106" s="22"/>
      <c r="K106" s="22"/>
      <c r="L106" s="22"/>
      <c r="M106" s="22"/>
      <c r="N106" s="22"/>
    </row>
    <row r="107" spans="1:17" ht="18" customHeight="1" x14ac:dyDescent="0.35">
      <c r="A107" s="3"/>
      <c r="B107" s="14"/>
      <c r="C107" s="9"/>
      <c r="D107" s="9"/>
      <c r="E107" s="22"/>
      <c r="F107" s="22"/>
      <c r="G107" s="22"/>
      <c r="H107" s="22"/>
      <c r="I107" s="22"/>
      <c r="J107" s="22"/>
      <c r="K107" s="22"/>
      <c r="L107" s="22"/>
      <c r="M107" s="22"/>
      <c r="N107" s="22"/>
    </row>
    <row r="108" spans="1:17" ht="15" customHeight="1" x14ac:dyDescent="0.5">
      <c r="A108" s="7"/>
      <c r="B108" s="47" t="s">
        <v>191</v>
      </c>
      <c r="C108" s="42"/>
      <c r="D108" s="42"/>
      <c r="E108" s="23"/>
      <c r="F108" s="23"/>
      <c r="G108" s="23"/>
      <c r="H108" s="23"/>
      <c r="I108" s="23"/>
      <c r="J108" s="23"/>
      <c r="K108" s="23"/>
      <c r="L108" s="23"/>
      <c r="M108" s="23"/>
      <c r="N108" s="23"/>
    </row>
    <row r="109" spans="1:17" ht="15" customHeight="1" x14ac:dyDescent="0.35">
      <c r="A109" s="1"/>
      <c r="B109" s="16" t="s">
        <v>1</v>
      </c>
      <c r="C109" s="78"/>
      <c r="D109" s="78"/>
      <c r="E109" s="24" t="s">
        <v>192</v>
      </c>
      <c r="F109" s="24" t="s">
        <v>193</v>
      </c>
      <c r="G109" s="24" t="s">
        <v>194</v>
      </c>
      <c r="H109" s="24"/>
      <c r="I109" s="24"/>
      <c r="J109" s="24"/>
      <c r="K109" s="24"/>
      <c r="L109" s="24"/>
      <c r="M109" s="24"/>
    </row>
    <row r="110" spans="1:17" ht="15" customHeight="1" x14ac:dyDescent="0.35">
      <c r="A110" s="3"/>
      <c r="B110" s="17" t="s">
        <v>195</v>
      </c>
      <c r="C110" s="9"/>
      <c r="D110" s="428">
        <f>D29-0.03</f>
        <v>4.8752620096676164E-2</v>
      </c>
      <c r="E110" s="214">
        <f>D29-0.02</f>
        <v>5.8752620096676159E-2</v>
      </c>
      <c r="F110" s="214">
        <f>D29</f>
        <v>7.8752620096676162E-2</v>
      </c>
      <c r="G110" s="451">
        <f>D29+0.02</f>
        <v>9.8752620096676166E-2</v>
      </c>
      <c r="H110" s="22"/>
      <c r="I110" s="22"/>
      <c r="J110" s="22"/>
      <c r="K110" s="22"/>
      <c r="L110" s="22"/>
      <c r="M110" s="22"/>
    </row>
    <row r="111" spans="1:17" ht="15" customHeight="1" x14ac:dyDescent="0.35">
      <c r="A111" s="3"/>
      <c r="B111" s="17" t="s">
        <v>92</v>
      </c>
      <c r="C111" s="9"/>
      <c r="D111" s="428" t="str">
        <f>IFERROR(D15/D9-0.03,"–")</f>
        <v>–</v>
      </c>
      <c r="E111" s="214">
        <f>IFERROR(H15/H9-0.02,"–")</f>
        <v>-0.91261638512173848</v>
      </c>
      <c r="F111" s="214">
        <f>IFERROR(H15/H9,"–")</f>
        <v>-0.89261638512173846</v>
      </c>
      <c r="G111" s="451">
        <f>IFERROR(H15/H9+0.02,"–")</f>
        <v>-0.87261638512173845</v>
      </c>
      <c r="H111" s="22"/>
      <c r="I111" s="22"/>
      <c r="J111" s="22"/>
      <c r="K111" s="22"/>
      <c r="L111" s="22"/>
      <c r="M111" s="22"/>
    </row>
    <row r="112" spans="1:17" ht="15" customHeight="1" x14ac:dyDescent="0.35">
      <c r="A112" s="3"/>
      <c r="B112" s="17" t="s">
        <v>63</v>
      </c>
      <c r="C112" s="9"/>
      <c r="D112" s="428">
        <f>D70-0.01</f>
        <v>1.5000000000000001E-2</v>
      </c>
      <c r="E112" s="214">
        <f>D70-0.01</f>
        <v>1.5000000000000001E-2</v>
      </c>
      <c r="F112" s="214">
        <f>D70</f>
        <v>2.5000000000000001E-2</v>
      </c>
      <c r="G112" s="451">
        <f>D70+0.01</f>
        <v>3.5000000000000003E-2</v>
      </c>
      <c r="H112" s="22"/>
      <c r="I112" s="22"/>
      <c r="J112" s="22"/>
      <c r="K112" s="22"/>
      <c r="L112" s="22"/>
      <c r="M112" s="22"/>
    </row>
    <row r="113" spans="1:14" ht="15" customHeight="1" x14ac:dyDescent="0.35">
      <c r="A113" s="3"/>
      <c r="B113" s="17" t="s">
        <v>62</v>
      </c>
      <c r="C113" s="9"/>
      <c r="D113" s="428">
        <f>D66+0.01</f>
        <v>8.0358740577999993E-2</v>
      </c>
      <c r="E113" s="214">
        <f>D66+0.01</f>
        <v>8.0358740577999993E-2</v>
      </c>
      <c r="F113" s="214">
        <f>D66</f>
        <v>7.0358740577999998E-2</v>
      </c>
      <c r="G113" s="451">
        <f>D66-0.01</f>
        <v>6.0358740577999996E-2</v>
      </c>
      <c r="H113" s="22"/>
      <c r="I113" s="22"/>
      <c r="J113" s="22"/>
      <c r="K113" s="22"/>
      <c r="L113" s="22"/>
      <c r="M113" s="22"/>
    </row>
    <row r="114" spans="1:14" ht="15" customHeight="1" x14ac:dyDescent="0.35">
      <c r="A114" s="3"/>
      <c r="B114" s="17" t="s">
        <v>196</v>
      </c>
      <c r="C114" s="9"/>
      <c r="D114" s="428">
        <f>IFERROR((D85+((D72*(1+D112))/(D113-D112))/(1+D113)^5+D89+D90)/D93,"–")</f>
        <v>-2404.6348957630048</v>
      </c>
      <c r="E114" s="447">
        <f>IFERROR((D85+((D72*(1+E112))/(E113-E112))/(1+E113)^5+D89+D90)/D93,"–")</f>
        <v>-2404.6348957630048</v>
      </c>
      <c r="F114" s="224">
        <f>IFERROR((D85+((D72*(1+F112))/(F113-F112))/(1+F113)^5+D89+D90)/D93,"–")</f>
        <v>-3389.350970846383</v>
      </c>
      <c r="G114" s="452">
        <f>IFERROR((D85+((D72*(1+G112))/(G113-G112))/(1+G113)^5+D89+D90)/D93,"–")</f>
        <v>-5945.4070901578762</v>
      </c>
      <c r="H114" s="22"/>
      <c r="I114" s="22"/>
      <c r="J114" s="22"/>
      <c r="K114" s="22"/>
      <c r="L114" s="22"/>
      <c r="M114" s="22"/>
    </row>
    <row r="115" spans="1:14" ht="15" customHeight="1" x14ac:dyDescent="0.35">
      <c r="A115" s="3"/>
      <c r="B115" s="14"/>
      <c r="C115" s="9"/>
      <c r="D115" s="9"/>
      <c r="E115" s="22"/>
      <c r="F115" s="22"/>
      <c r="G115" s="22"/>
      <c r="H115" s="22"/>
      <c r="I115" s="22"/>
      <c r="J115" s="22"/>
      <c r="K115" s="22"/>
      <c r="L115" s="22"/>
      <c r="M115" s="22"/>
      <c r="N115" s="22"/>
    </row>
    <row r="116" spans="1:14" ht="15" customHeight="1" x14ac:dyDescent="0.35">
      <c r="A116" s="4"/>
      <c r="B116" s="31" t="s">
        <v>82</v>
      </c>
      <c r="C116" s="4"/>
      <c r="D116" s="4"/>
      <c r="E116" s="32"/>
      <c r="F116" s="32"/>
      <c r="G116" s="32"/>
      <c r="H116" s="32"/>
      <c r="I116" s="32"/>
      <c r="J116" s="32"/>
      <c r="K116" s="32"/>
      <c r="L116" s="32"/>
      <c r="M116" s="32"/>
      <c r="N116" s="32"/>
    </row>
    <row r="117" spans="1:14" ht="15" customHeight="1" x14ac:dyDescent="0.35">
      <c r="A117" s="4"/>
      <c r="B117" s="31" t="s">
        <v>83</v>
      </c>
      <c r="C117" s="4"/>
      <c r="D117" s="4"/>
      <c r="E117" s="32"/>
      <c r="F117" s="32"/>
      <c r="G117" s="32"/>
      <c r="H117" s="32"/>
      <c r="I117" s="32"/>
      <c r="J117" s="32"/>
      <c r="K117" s="32"/>
      <c r="L117" s="32"/>
      <c r="M117" s="32"/>
      <c r="N117" s="32"/>
    </row>
    <row r="118" spans="1:14" ht="15" customHeight="1" x14ac:dyDescent="0.35">
      <c r="A118" s="4"/>
      <c r="B118" s="31" t="s">
        <v>84</v>
      </c>
      <c r="C118" s="4"/>
      <c r="D118" s="4"/>
      <c r="E118" s="32"/>
      <c r="F118" s="32"/>
      <c r="G118" s="32"/>
      <c r="H118" s="32"/>
      <c r="I118" s="32"/>
      <c r="J118" s="32"/>
      <c r="K118" s="32"/>
      <c r="L118" s="32"/>
      <c r="M118" s="32"/>
      <c r="N118" s="32"/>
    </row>
    <row r="119" spans="1:14" ht="15" customHeight="1" x14ac:dyDescent="0.3">
      <c r="B119" s="45"/>
    </row>
    <row r="120" spans="1:14" ht="15" customHeight="1" x14ac:dyDescent="0.3">
      <c r="A120" s="79"/>
      <c r="B120" s="81" t="s">
        <v>197</v>
      </c>
      <c r="C120" s="410" t="str">
        <f>TEXT(INPUT!D117+1,"0")&amp;"F"</f>
        <v>2026F</v>
      </c>
      <c r="D120" s="410" t="str">
        <f>TEXT(INPUT!D117+2,"0")&amp;"F"</f>
        <v>2027F</v>
      </c>
      <c r="E120" s="410" t="str">
        <f>TEXT(INPUT!D117+3,"0")&amp;"F"</f>
        <v>2028F</v>
      </c>
      <c r="F120" s="410" t="str">
        <f>TEXT(INPUT!D117+4,"0")&amp;"F"</f>
        <v>2029F</v>
      </c>
      <c r="G120" s="410" t="str">
        <f>TEXT(INPUT!D117+5,"0")&amp;"F"</f>
        <v>2030F</v>
      </c>
      <c r="H120" s="80"/>
      <c r="I120" s="80"/>
      <c r="J120" s="80"/>
      <c r="K120" s="80"/>
      <c r="L120" s="80"/>
      <c r="M120" s="80"/>
      <c r="N120" s="80"/>
    </row>
    <row r="121" spans="1:14" ht="15" customHeight="1" x14ac:dyDescent="0.3">
      <c r="B121" s="45" t="s">
        <v>198</v>
      </c>
      <c r="C121" s="453">
        <f>IF(I52=0,NA(),I52)</f>
        <v>-99337.199345351532</v>
      </c>
      <c r="D121" s="453">
        <f>IF(J52=0,NA(),J52)</f>
        <v>-103273.63819232045</v>
      </c>
      <c r="E121" s="453">
        <f>IF(K52=0,NA(),K52)</f>
        <v>-107366.06644605787</v>
      </c>
      <c r="F121" s="453">
        <f>IF(L52=0,NA(),L52)</f>
        <v>-111620.66550451507</v>
      </c>
      <c r="G121" s="453">
        <f>IF(M52=0,NA(),M52)</f>
        <v>-116043.86171612699</v>
      </c>
      <c r="H121" s="80"/>
      <c r="I121" s="80"/>
      <c r="J121" s="80"/>
      <c r="K121" s="80"/>
      <c r="L121" s="80"/>
      <c r="M121" s="80"/>
      <c r="N121" s="80"/>
    </row>
    <row r="122" spans="1:14" ht="15" customHeight="1" x14ac:dyDescent="0.3">
      <c r="B122" s="45"/>
      <c r="C122" s="21"/>
      <c r="H122" s="80"/>
      <c r="I122" s="80"/>
      <c r="J122" s="80"/>
      <c r="K122" s="80"/>
      <c r="L122" s="80"/>
      <c r="M122" s="80"/>
      <c r="N122" s="80"/>
    </row>
    <row r="123" spans="1:14" ht="15" customHeight="1" x14ac:dyDescent="0.3">
      <c r="A123" s="79"/>
      <c r="B123" s="81" t="s">
        <v>199</v>
      </c>
      <c r="C123" s="454" t="str">
        <f>IF(I9=0,NA(),C120)</f>
        <v>2026F</v>
      </c>
      <c r="D123" s="454" t="str">
        <f>IF(J9=0,NA(),D120)</f>
        <v>2027F</v>
      </c>
      <c r="E123" s="454" t="str">
        <f>IF(K9=0,NA(),E120)</f>
        <v>2028F</v>
      </c>
      <c r="F123" s="454" t="str">
        <f>IF(L9=0,NA(),F120)</f>
        <v>2029F</v>
      </c>
      <c r="G123" s="454" t="str">
        <f>IF(M9=0,NA(),G120)</f>
        <v>2030F</v>
      </c>
      <c r="H123" s="80"/>
      <c r="I123" s="80"/>
      <c r="J123" s="80"/>
      <c r="K123" s="80"/>
      <c r="L123" s="80"/>
      <c r="M123" s="80"/>
      <c r="N123" s="80"/>
    </row>
    <row r="124" spans="1:14" ht="15" customHeight="1" x14ac:dyDescent="0.3">
      <c r="B124" s="45" t="s">
        <v>6</v>
      </c>
      <c r="C124" s="455">
        <f>IF(I9=0,NA(),I9)</f>
        <v>78651.943836661259</v>
      </c>
      <c r="D124" s="455">
        <f>IF(J9=0,NA(),J9)</f>
        <v>81768.687303847997</v>
      </c>
      <c r="E124" s="453">
        <f>IF(K9=0,NA(),K9)</f>
        <v>85008.938078882391</v>
      </c>
      <c r="F124" s="453">
        <f>IF(L9=0,NA(),L9)</f>
        <v>88377.590390388767</v>
      </c>
      <c r="G124" s="453">
        <f>IF(M9=0,NA(),M9)</f>
        <v>91879.732410768906</v>
      </c>
      <c r="H124" s="80"/>
      <c r="I124" s="80"/>
      <c r="J124" s="80"/>
      <c r="K124" s="80"/>
      <c r="L124" s="80"/>
      <c r="M124" s="80"/>
      <c r="N124" s="80"/>
    </row>
    <row r="125" spans="1:14" ht="15" customHeight="1" x14ac:dyDescent="0.3">
      <c r="B125" s="45"/>
    </row>
    <row r="126" spans="1:14" ht="15" customHeight="1" x14ac:dyDescent="0.3">
      <c r="A126" t="s">
        <v>4</v>
      </c>
      <c r="B126" s="45" t="s">
        <v>417</v>
      </c>
    </row>
    <row r="127" spans="1:14" x14ac:dyDescent="0.3">
      <c r="B127" s="45" t="s">
        <v>418</v>
      </c>
    </row>
    <row r="129" spans="2:4" x14ac:dyDescent="0.3">
      <c r="B129" s="19" t="s">
        <v>419</v>
      </c>
    </row>
    <row r="130" spans="2:4" x14ac:dyDescent="0.3">
      <c r="B130" s="19" t="s">
        <v>157</v>
      </c>
      <c r="C130" t="s">
        <v>54</v>
      </c>
      <c r="D130" s="401">
        <f>INPUT!H100</f>
        <v>4.2799999999999998E-2</v>
      </c>
    </row>
    <row r="131" spans="2:4" x14ac:dyDescent="0.3">
      <c r="B131" s="19" t="s">
        <v>51</v>
      </c>
      <c r="C131" t="s">
        <v>52</v>
      </c>
      <c r="D131" s="401">
        <f>INPUT!H99</f>
        <v>0.73299999999999998</v>
      </c>
    </row>
    <row r="132" spans="2:4" x14ac:dyDescent="0.3">
      <c r="B132" s="19" t="s">
        <v>55</v>
      </c>
      <c r="C132" t="s">
        <v>54</v>
      </c>
      <c r="D132" s="401">
        <f>INPUT!H101</f>
        <v>5.5E-2</v>
      </c>
    </row>
    <row r="133" spans="2:4" x14ac:dyDescent="0.3">
      <c r="B133" s="19" t="s">
        <v>420</v>
      </c>
      <c r="C133" t="s">
        <v>54</v>
      </c>
      <c r="D133" s="401">
        <f>D130+D131*D132</f>
        <v>8.3114999999999994E-2</v>
      </c>
    </row>
    <row r="135" spans="2:4" x14ac:dyDescent="0.3">
      <c r="B135" s="19" t="s">
        <v>421</v>
      </c>
    </row>
    <row r="136" spans="2:4" x14ac:dyDescent="0.3">
      <c r="B136" s="19" t="s">
        <v>422</v>
      </c>
      <c r="C136" t="s">
        <v>54</v>
      </c>
      <c r="D136" s="401">
        <f>IFERROR(AVERAGE(RATIOS!D23,RATIOS!E23,RATIOS!F23),RATIOS!D23)</f>
        <v>-1.2074807672128371</v>
      </c>
    </row>
    <row r="137" spans="2:4" x14ac:dyDescent="0.3">
      <c r="B137" s="19" t="s">
        <v>423</v>
      </c>
      <c r="C137" t="s">
        <v>54</v>
      </c>
      <c r="D137" s="401">
        <f>INPUT!H109</f>
        <v>2.5000000000000001E-2</v>
      </c>
    </row>
    <row r="138" spans="2:4" x14ac:dyDescent="0.3">
      <c r="B138" s="19" t="s">
        <v>424</v>
      </c>
      <c r="C138" t="s">
        <v>46</v>
      </c>
      <c r="D138" s="401">
        <f>IFERROR(INPUT!H60/INPUT!H96,"–")</f>
        <v>118.33448355187487</v>
      </c>
    </row>
    <row r="140" spans="2:4" x14ac:dyDescent="0.3">
      <c r="B140" s="19" t="s">
        <v>425</v>
      </c>
    </row>
    <row r="141" spans="2:4" x14ac:dyDescent="0.3">
      <c r="B141" s="19" t="s">
        <v>396</v>
      </c>
      <c r="C141" t="s">
        <v>52</v>
      </c>
      <c r="D141" s="401">
        <f>IFERROR((D136-D137)/(D133-D137),"–")</f>
        <v>-21.207618811199126</v>
      </c>
    </row>
    <row r="142" spans="2:4" x14ac:dyDescent="0.3">
      <c r="B142" s="19" t="s">
        <v>426</v>
      </c>
      <c r="C142" t="s">
        <v>46</v>
      </c>
      <c r="D142" s="401">
        <f>IFERROR(D141*D138,"–")</f>
        <v>-2509.5926193882751</v>
      </c>
    </row>
    <row r="143" spans="2:4" x14ac:dyDescent="0.3">
      <c r="B143" s="19" t="s">
        <v>179</v>
      </c>
      <c r="C143" t="s">
        <v>46</v>
      </c>
      <c r="D143" s="401">
        <f>INPUT!H95</f>
        <v>77.52</v>
      </c>
    </row>
    <row r="144" spans="2:4" x14ac:dyDescent="0.3">
      <c r="B144" s="19" t="s">
        <v>427</v>
      </c>
      <c r="C144" t="s">
        <v>54</v>
      </c>
      <c r="D144" s="401">
        <f>IFERROR(D142/D143-1,"–")</f>
        <v>-33.373485802222334</v>
      </c>
    </row>
    <row r="146" spans="2:7" x14ac:dyDescent="0.3">
      <c r="B146" s="19" t="s">
        <v>428</v>
      </c>
    </row>
    <row r="147" spans="2:7" x14ac:dyDescent="0.3">
      <c r="B147" s="19" t="s">
        <v>429</v>
      </c>
      <c r="C147" t="s">
        <v>46</v>
      </c>
      <c r="D147" s="401">
        <f>IFERROR(ABS(INPUT!H85)/INPUT!H96,"–")</f>
        <v>4.4214400736139874</v>
      </c>
    </row>
    <row r="148" spans="2:7" x14ac:dyDescent="0.3">
      <c r="B148" s="19" t="s">
        <v>430</v>
      </c>
      <c r="C148" t="s">
        <v>46</v>
      </c>
      <c r="D148" s="401">
        <f>IFERROR(D147*(1+D137),"–")</f>
        <v>4.5319760754543363</v>
      </c>
    </row>
    <row r="149" spans="2:7" x14ac:dyDescent="0.3">
      <c r="B149" s="19" t="s">
        <v>431</v>
      </c>
      <c r="C149" t="s">
        <v>46</v>
      </c>
      <c r="D149" s="401">
        <f>IFERROR(D148/(D133-D137),"–")</f>
        <v>77.982897280466958</v>
      </c>
    </row>
    <row r="150" spans="2:7" x14ac:dyDescent="0.3">
      <c r="B150" s="19" t="s">
        <v>432</v>
      </c>
      <c r="C150" t="s">
        <v>54</v>
      </c>
      <c r="D150" s="401">
        <f>IFERROR(D149/D143-1,"–")</f>
        <v>5.9713271474066687E-3</v>
      </c>
    </row>
    <row r="152" spans="2:7" x14ac:dyDescent="0.3">
      <c r="B152" s="19" t="s">
        <v>433</v>
      </c>
    </row>
    <row r="153" spans="2:7" x14ac:dyDescent="0.3">
      <c r="B153" s="19" t="s">
        <v>434</v>
      </c>
      <c r="C153" t="s">
        <v>46</v>
      </c>
      <c r="D153" s="401">
        <f>IFERROR(MIN(D142,D149),"–")</f>
        <v>-2509.5926193882751</v>
      </c>
    </row>
    <row r="154" spans="2:7" x14ac:dyDescent="0.3">
      <c r="B154" s="19" t="s">
        <v>435</v>
      </c>
      <c r="C154" t="s">
        <v>46</v>
      </c>
      <c r="D154" s="401">
        <f>IFERROR(MAX(D142,D149),"–")</f>
        <v>77.982897280466958</v>
      </c>
    </row>
    <row r="155" spans="2:7" x14ac:dyDescent="0.3">
      <c r="B155" s="19" t="s">
        <v>436</v>
      </c>
      <c r="C155" t="s">
        <v>46</v>
      </c>
      <c r="D155" s="401">
        <f>IFERROR(AVERAGE(D142,D149),"–")</f>
        <v>-1215.804861053904</v>
      </c>
    </row>
    <row r="156" spans="2:7" x14ac:dyDescent="0.3">
      <c r="B156" s="19" t="s">
        <v>179</v>
      </c>
      <c r="C156" t="s">
        <v>46</v>
      </c>
      <c r="D156" s="401">
        <f>INPUT!H95</f>
        <v>77.52</v>
      </c>
    </row>
    <row r="157" spans="2:7" x14ac:dyDescent="0.3">
      <c r="B157" s="19" t="s">
        <v>437</v>
      </c>
      <c r="C157" t="s">
        <v>54</v>
      </c>
      <c r="D157" s="401">
        <f>IFERROR(D155/D156-1,"–")</f>
        <v>-16.683757237537463</v>
      </c>
    </row>
    <row r="159" spans="2:7" x14ac:dyDescent="0.3">
      <c r="B159" s="19" t="s">
        <v>438</v>
      </c>
    </row>
    <row r="160" spans="2:7" x14ac:dyDescent="0.3">
      <c r="B160" s="19" t="s">
        <v>439</v>
      </c>
      <c r="C160" s="422">
        <v>0.06</v>
      </c>
      <c r="D160" s="423">
        <v>0.08</v>
      </c>
      <c r="E160" s="423">
        <v>0.1</v>
      </c>
      <c r="F160" s="423">
        <v>0.12</v>
      </c>
      <c r="G160" s="423">
        <v>0.14000000000000001</v>
      </c>
    </row>
    <row r="161" spans="2:7" x14ac:dyDescent="0.3">
      <c r="B161" s="19" t="s">
        <v>440</v>
      </c>
    </row>
    <row r="162" spans="2:7" x14ac:dyDescent="0.3">
      <c r="B162" s="424">
        <v>7.0000000000000007E-2</v>
      </c>
      <c r="C162" s="415">
        <f>IFERROR((0.06-D137)/(0.07-D137),"–")</f>
        <v>0.77777777777777757</v>
      </c>
      <c r="D162" s="401">
        <f>IFERROR((0.08-D137)/(0.07-D137),"–")</f>
        <v>1.2222222222222221</v>
      </c>
      <c r="E162" s="401">
        <f>IFERROR((0.1-D137)/(0.07-D137),"–")</f>
        <v>1.6666666666666667</v>
      </c>
      <c r="F162" s="401">
        <f>IFERROR((0.12-D137)/(0.07-D137),"–")</f>
        <v>2.1111111111111107</v>
      </c>
      <c r="G162" s="401">
        <f>IFERROR((0.14-D137)/(0.07-D137),"–")</f>
        <v>2.5555555555555558</v>
      </c>
    </row>
    <row r="163" spans="2:7" x14ac:dyDescent="0.3">
      <c r="B163" s="424">
        <v>0.08</v>
      </c>
      <c r="C163" s="415">
        <f>IFERROR((0.06-D137)/(0.08-D137),"–")</f>
        <v>0.63636363636363624</v>
      </c>
      <c r="D163" s="401">
        <f>IFERROR((0.08-D137)/(0.08-D137),"–")</f>
        <v>1</v>
      </c>
      <c r="E163" s="401">
        <f>IFERROR((0.1-D137)/(0.08-D137),"–")</f>
        <v>1.3636363636363638</v>
      </c>
      <c r="F163" s="401">
        <f>IFERROR((0.12-D137)/(0.08-D137),"–")</f>
        <v>1.7272727272727273</v>
      </c>
      <c r="G163" s="401">
        <f>IFERROR((0.14-D137)/(0.08-D137),"–")</f>
        <v>2.0909090909090913</v>
      </c>
    </row>
    <row r="164" spans="2:7" x14ac:dyDescent="0.3">
      <c r="B164" s="424">
        <v>0.09</v>
      </c>
      <c r="C164" s="415">
        <f>IFERROR((0.06-D137)/(0.09-D137),"–")</f>
        <v>0.53846153846153844</v>
      </c>
      <c r="D164" s="401">
        <f>IFERROR((0.08-D137)/(0.09-D137),"–")</f>
        <v>0.84615384615384615</v>
      </c>
      <c r="E164" s="401">
        <f>IFERROR((0.1-D137)/(0.09-D137),"–")</f>
        <v>1.153846153846154</v>
      </c>
      <c r="F164" s="401">
        <f>IFERROR((0.12-D137)/(0.09-D137),"–")</f>
        <v>1.4615384615384615</v>
      </c>
      <c r="G164" s="401">
        <f>IFERROR((0.14-D137)/(0.09-D137),"–")</f>
        <v>1.7692307692307694</v>
      </c>
    </row>
    <row r="165" spans="2:7" x14ac:dyDescent="0.3">
      <c r="B165" s="424">
        <v>0.1</v>
      </c>
      <c r="C165" s="415">
        <f>IFERROR((0.06-D137)/(0.1-D137),"–")</f>
        <v>0.46666666666666656</v>
      </c>
      <c r="D165" s="401">
        <f>IFERROR((0.08-D137)/(0.1-D137),"–")</f>
        <v>0.73333333333333328</v>
      </c>
      <c r="E165" s="456">
        <f>IFERROR((0.1-D137)/(0.1-D137),"–")</f>
        <v>1</v>
      </c>
      <c r="F165" s="401">
        <f>IFERROR((0.12-D137)/(0.1-D137),"–")</f>
        <v>1.2666666666666664</v>
      </c>
      <c r="G165" s="401">
        <f>IFERROR((0.14-D137)/(0.1-D137),"–")</f>
        <v>1.5333333333333334</v>
      </c>
    </row>
    <row r="166" spans="2:7" x14ac:dyDescent="0.3">
      <c r="B166" s="424">
        <v>0.11</v>
      </c>
      <c r="C166" s="415">
        <f>IFERROR((0.06-D137)/(0.11-D137),"–")</f>
        <v>0.41176470588235292</v>
      </c>
      <c r="D166" s="401">
        <f>IFERROR((0.08-D137)/(0.11-D137),"–")</f>
        <v>0.6470588235294118</v>
      </c>
      <c r="E166" s="401">
        <f>IFERROR((0.1-D137)/(0.11-D137),"–")</f>
        <v>0.88235294117647078</v>
      </c>
      <c r="F166" s="401">
        <f>IFERROR((0.12-D137)/(0.11-D137),"–")</f>
        <v>1.1176470588235294</v>
      </c>
      <c r="G166" s="401">
        <f>IFERROR((0.14-D137)/(0.11-D137),"–")</f>
        <v>1.3529411764705885</v>
      </c>
    </row>
    <row r="168" spans="2:7" x14ac:dyDescent="0.3">
      <c r="B168" s="19" t="s">
        <v>441</v>
      </c>
    </row>
    <row r="170" spans="2:7" x14ac:dyDescent="0.3">
      <c r="B170" s="19" t="s">
        <v>442</v>
      </c>
    </row>
    <row r="171" spans="2:7" x14ac:dyDescent="0.3">
      <c r="B171" s="19" t="s">
        <v>443</v>
      </c>
      <c r="C171" t="s">
        <v>46</v>
      </c>
      <c r="D171" s="401" t="str">
        <f>IF(INPUT!D143&lt;&gt;"",INPUT!D143,"n.d.")</f>
        <v>n.d.</v>
      </c>
    </row>
    <row r="172" spans="2:7" x14ac:dyDescent="0.3">
      <c r="B172" s="19" t="s">
        <v>444</v>
      </c>
      <c r="C172" t="s">
        <v>54</v>
      </c>
      <c r="D172" s="401" t="str">
        <f>IF(INPUT!D144&lt;&gt;"",IFERROR(INPUT!D144/INPUT!H9,"n.d."),"n.d.")</f>
        <v>n.d.</v>
      </c>
    </row>
  </sheetData>
  <dataValidations count="1">
    <dataValidation type="list" allowBlank="1" showInputMessage="1" showErrorMessage="1" errorTitle="Valeur invalide" error="Veuillez sélectionner Bear, Base ou Bull dans la liste." promptTitle="Scénario Brent" prompt="Choisissez : Bear ($60/bbl), Base ($75/bbl) ou Bull ($90/bbl)" sqref="D42" xr:uid="{00000000-0002-0000-0200-000000000000}">
      <formula1>"Bear,Base,Bull"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32" orientation="landscape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121"/>
  <sheetViews>
    <sheetView showGridLines="0" zoomScale="90" zoomScaleNormal="90" workbookViewId="0">
      <selection activeCell="L27" sqref="L27"/>
    </sheetView>
  </sheetViews>
  <sheetFormatPr baseColWidth="10" defaultRowHeight="14.4" x14ac:dyDescent="0.3"/>
  <cols>
    <col min="1" max="1" width="1.77734375" customWidth="1"/>
    <col min="2" max="2" width="34.88671875" style="19" customWidth="1"/>
    <col min="3" max="3" width="11.6640625" customWidth="1"/>
    <col min="4" max="4" width="13.33203125" style="21" customWidth="1"/>
    <col min="5" max="6" width="14.44140625" style="21" customWidth="1"/>
    <col min="7" max="7" width="12.6640625" style="21" bestFit="1" customWidth="1"/>
    <col min="8" max="11" width="12" style="21" customWidth="1"/>
    <col min="12" max="12" width="16.88671875" style="21" customWidth="1"/>
    <col min="13" max="14" width="11.5546875" style="21" customWidth="1"/>
  </cols>
  <sheetData>
    <row r="1" spans="1:15" ht="54.9" customHeight="1" x14ac:dyDescent="0.6">
      <c r="A1" s="197"/>
      <c r="B1" s="94" t="s">
        <v>85</v>
      </c>
      <c r="C1" s="5"/>
      <c r="D1" s="29"/>
      <c r="E1" s="29"/>
      <c r="F1" s="29"/>
      <c r="G1" s="29"/>
      <c r="H1" s="29"/>
      <c r="I1" s="29"/>
      <c r="J1" s="29"/>
      <c r="K1" s="93" t="s">
        <v>200</v>
      </c>
      <c r="L1" s="29"/>
      <c r="M1" s="205"/>
      <c r="N1" s="205"/>
      <c r="O1" s="205"/>
    </row>
    <row r="2" spans="1:15" ht="15" customHeight="1" x14ac:dyDescent="0.35">
      <c r="A2" s="3"/>
      <c r="B2" s="14"/>
      <c r="C2" s="3"/>
      <c r="D2" s="22"/>
      <c r="E2" s="22"/>
      <c r="F2" s="22"/>
      <c r="G2" s="22"/>
      <c r="H2" s="22"/>
      <c r="I2" s="22"/>
      <c r="J2" s="22"/>
      <c r="K2" s="22"/>
      <c r="L2" s="22"/>
    </row>
    <row r="3" spans="1:15" ht="18" customHeight="1" x14ac:dyDescent="0.5">
      <c r="A3" s="101" t="s">
        <v>4</v>
      </c>
      <c r="B3" s="15" t="s">
        <v>445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85"/>
      <c r="N3" s="85"/>
    </row>
    <row r="4" spans="1:15" ht="15" customHeight="1" x14ac:dyDescent="0.35">
      <c r="A4" s="3"/>
      <c r="B4" s="12" t="s">
        <v>0</v>
      </c>
      <c r="C4" s="3"/>
      <c r="D4" s="22"/>
      <c r="E4" s="22"/>
      <c r="F4" s="22"/>
      <c r="G4" s="22"/>
      <c r="H4" s="22"/>
      <c r="I4" s="22"/>
      <c r="J4" s="22"/>
      <c r="K4" s="22"/>
      <c r="L4" s="22"/>
    </row>
    <row r="5" spans="1:15" ht="15" customHeight="1" x14ac:dyDescent="0.35">
      <c r="A5" s="3"/>
      <c r="B5" s="14"/>
      <c r="C5" s="3"/>
      <c r="D5" s="22"/>
      <c r="E5" s="22"/>
      <c r="F5" s="22"/>
      <c r="G5" s="22"/>
      <c r="H5" s="22"/>
      <c r="I5" s="22"/>
      <c r="J5" s="22"/>
      <c r="K5" s="22"/>
      <c r="L5" s="22"/>
    </row>
    <row r="6" spans="1:15" ht="18" customHeight="1" x14ac:dyDescent="0.5">
      <c r="A6" s="101" t="s">
        <v>4</v>
      </c>
      <c r="B6" s="15" t="s">
        <v>446</v>
      </c>
      <c r="C6" s="7"/>
      <c r="D6" s="23"/>
      <c r="E6" s="23"/>
      <c r="F6" s="23"/>
      <c r="G6" s="23"/>
      <c r="H6" s="23"/>
      <c r="I6" s="23"/>
      <c r="J6" s="23"/>
      <c r="K6" s="23"/>
      <c r="L6" s="23"/>
      <c r="M6" s="85"/>
      <c r="N6" s="85"/>
    </row>
    <row r="7" spans="1:15" ht="15" customHeight="1" x14ac:dyDescent="0.35">
      <c r="A7" s="198"/>
      <c r="B7" s="16"/>
      <c r="C7" s="1"/>
      <c r="D7" s="33" t="s">
        <v>201</v>
      </c>
      <c r="E7" s="33" t="s">
        <v>202</v>
      </c>
      <c r="F7" s="33" t="s">
        <v>203</v>
      </c>
      <c r="G7" s="33" t="s">
        <v>204</v>
      </c>
      <c r="H7" s="33" t="s">
        <v>447</v>
      </c>
      <c r="I7" s="33" t="s">
        <v>448</v>
      </c>
      <c r="J7" s="33" t="s">
        <v>449</v>
      </c>
      <c r="K7" s="33" t="s">
        <v>205</v>
      </c>
      <c r="L7" s="198"/>
    </row>
    <row r="8" spans="1:15" ht="15" customHeight="1" x14ac:dyDescent="0.35">
      <c r="A8" s="204"/>
      <c r="B8" s="28" t="s">
        <v>206</v>
      </c>
      <c r="C8" s="9" t="s">
        <v>207</v>
      </c>
      <c r="D8" s="30" t="s">
        <v>208</v>
      </c>
      <c r="E8" s="30" t="s">
        <v>7</v>
      </c>
      <c r="F8" s="30" t="s">
        <v>7</v>
      </c>
      <c r="G8" s="30" t="s">
        <v>7</v>
      </c>
      <c r="H8" s="30" t="s">
        <v>52</v>
      </c>
      <c r="I8" s="30" t="s">
        <v>54</v>
      </c>
      <c r="J8" s="30" t="s">
        <v>54</v>
      </c>
      <c r="K8" s="30" t="s">
        <v>52</v>
      </c>
    </row>
    <row r="9" spans="1:15" ht="15" customHeight="1" x14ac:dyDescent="0.35">
      <c r="A9" s="3"/>
      <c r="B9" s="38" t="s">
        <v>69</v>
      </c>
      <c r="C9" s="9" t="s">
        <v>71</v>
      </c>
      <c r="D9" s="457">
        <v>77.52</v>
      </c>
      <c r="E9" s="463">
        <f>INPUT!H98</f>
        <v>48691.915999999997</v>
      </c>
      <c r="F9" s="463">
        <f>INPUT!H9</f>
        <v>75654</v>
      </c>
      <c r="G9" s="463">
        <f>INPUT!H60*1000</f>
        <v>77160000</v>
      </c>
      <c r="H9" s="307">
        <f>IFERROR(D9/(INPUT!H60/INPUT!H96),"–")</f>
        <v>0.65509222395023314</v>
      </c>
      <c r="I9" s="307">
        <f>IFERROR(ABS(INPUT!H85)/INPUT!H97,"–")</f>
        <v>5.7036120660655144E-2</v>
      </c>
      <c r="J9" s="306" t="s">
        <v>118</v>
      </c>
      <c r="K9" s="307">
        <f>IFERROR(D9/(IFERROR(INPUT!H26/INPUT!H96,1)),"–")</f>
        <v>-0.9983984356482577</v>
      </c>
    </row>
    <row r="10" spans="1:15" ht="15" customHeight="1" x14ac:dyDescent="0.35">
      <c r="A10" s="3"/>
      <c r="B10" s="38" t="s">
        <v>450</v>
      </c>
      <c r="C10" s="9" t="s">
        <v>451</v>
      </c>
      <c r="D10" s="457">
        <v>99.6</v>
      </c>
      <c r="E10" s="458">
        <v>37420</v>
      </c>
      <c r="F10" s="458">
        <v>62980</v>
      </c>
      <c r="G10" s="458">
        <v>24810</v>
      </c>
      <c r="H10" s="307">
        <f>IFERROR(E10/G10,"–")</f>
        <v>1.5082627972591698</v>
      </c>
      <c r="I10" s="459">
        <v>4.7E-2</v>
      </c>
      <c r="J10" s="306" t="s">
        <v>118</v>
      </c>
      <c r="K10" s="459">
        <v>10.199999999999999</v>
      </c>
    </row>
    <row r="11" spans="1:15" ht="15" customHeight="1" x14ac:dyDescent="0.35">
      <c r="A11" s="3"/>
      <c r="B11" s="38" t="s">
        <v>452</v>
      </c>
      <c r="C11" s="9" t="s">
        <v>453</v>
      </c>
      <c r="D11" s="457">
        <v>108.44</v>
      </c>
      <c r="E11" s="458">
        <v>36180</v>
      </c>
      <c r="F11" s="458">
        <v>23520</v>
      </c>
      <c r="G11" s="458">
        <v>11020</v>
      </c>
      <c r="H11" s="307">
        <f>IFERROR(E11/G11,"–")</f>
        <v>3.2831215970961889</v>
      </c>
      <c r="I11" s="459">
        <v>1.9E-2</v>
      </c>
      <c r="J11" s="306" t="s">
        <v>118</v>
      </c>
      <c r="K11" s="459">
        <v>11.8</v>
      </c>
    </row>
    <row r="12" spans="1:15" ht="15" customHeight="1" x14ac:dyDescent="0.35">
      <c r="A12" s="3"/>
      <c r="B12" s="38" t="s">
        <v>454</v>
      </c>
      <c r="C12" s="9" t="s">
        <v>455</v>
      </c>
      <c r="D12" s="457">
        <v>268.14999999999998</v>
      </c>
      <c r="E12" s="458">
        <v>43650</v>
      </c>
      <c r="F12" s="458">
        <v>46410</v>
      </c>
      <c r="G12" s="458">
        <v>26510</v>
      </c>
      <c r="H12" s="307">
        <f>IFERROR(E12/G12,"–")</f>
        <v>1.6465484722746133</v>
      </c>
      <c r="I12" s="459">
        <v>2.1999999999999999E-2</v>
      </c>
      <c r="J12" s="457">
        <v>0.92100000000000004</v>
      </c>
      <c r="K12" s="459">
        <v>14.3</v>
      </c>
    </row>
    <row r="13" spans="1:15" ht="15" customHeight="1" x14ac:dyDescent="0.35">
      <c r="A13" s="3"/>
      <c r="B13" s="38" t="s">
        <v>456</v>
      </c>
      <c r="C13" s="9" t="s">
        <v>457</v>
      </c>
      <c r="D13" s="460">
        <v>184.32</v>
      </c>
      <c r="E13" s="461">
        <v>39870</v>
      </c>
      <c r="F13" s="461">
        <v>57770</v>
      </c>
      <c r="G13" s="461">
        <v>14380</v>
      </c>
      <c r="H13" s="308">
        <f>IFERROR(E13/G13,"–")</f>
        <v>2.7726008344923505</v>
      </c>
      <c r="I13" s="462">
        <v>2.9000000000000001E-2</v>
      </c>
      <c r="J13" s="460">
        <v>0.89700000000000002</v>
      </c>
      <c r="K13" s="462">
        <v>12.1</v>
      </c>
    </row>
    <row r="14" spans="1:15" ht="15" customHeight="1" x14ac:dyDescent="0.35">
      <c r="A14" s="3"/>
      <c r="B14" s="14"/>
      <c r="C14" s="9"/>
      <c r="D14" s="22"/>
      <c r="E14" s="22"/>
      <c r="F14" s="22"/>
      <c r="G14" s="22"/>
      <c r="H14" s="22"/>
      <c r="I14" s="22"/>
      <c r="J14" s="22"/>
      <c r="K14" s="22"/>
    </row>
    <row r="15" spans="1:15" ht="15" customHeight="1" x14ac:dyDescent="0.35">
      <c r="A15" s="3"/>
      <c r="B15" s="14" t="s">
        <v>209</v>
      </c>
      <c r="C15" s="9"/>
      <c r="D15" s="464">
        <f t="shared" ref="D15:K15" si="0">IFERROR(AVERAGE(D9:D13),"–")</f>
        <v>147.60599999999999</v>
      </c>
      <c r="E15" s="464">
        <f t="shared" si="0"/>
        <v>41162.383199999997</v>
      </c>
      <c r="F15" s="464">
        <f t="shared" si="0"/>
        <v>53266.8</v>
      </c>
      <c r="G15" s="464">
        <f t="shared" si="0"/>
        <v>15447344</v>
      </c>
      <c r="H15" s="465">
        <f>IFERROR(AVERAGEIF(H9:H13,"&gt;0"),"–")</f>
        <v>1.9731251850145113</v>
      </c>
      <c r="I15" s="465">
        <f>IFERROR(AVERAGE(I9:I13),"–")</f>
        <v>3.4807224132131033E-2</v>
      </c>
      <c r="J15" s="466">
        <f>IFERROR(AVERAGEIF(J9:J13,"&lt;&gt;""n.d."""),"–")</f>
        <v>0.90900000000000003</v>
      </c>
      <c r="K15" s="465">
        <f>IFERROR(AVERAGEIF(K9:K13,"&gt;0"),"–")</f>
        <v>12.1</v>
      </c>
    </row>
    <row r="16" spans="1:15" ht="15" customHeight="1" x14ac:dyDescent="0.35">
      <c r="A16" s="3"/>
      <c r="B16" s="14" t="s">
        <v>210</v>
      </c>
      <c r="C16" s="9"/>
      <c r="D16" s="464">
        <f t="shared" ref="D16:K16" si="1">IFERROR(MEDIAN(D9:D13),"–")</f>
        <v>108.44</v>
      </c>
      <c r="E16" s="464">
        <f t="shared" si="1"/>
        <v>39870</v>
      </c>
      <c r="F16" s="464">
        <f t="shared" si="1"/>
        <v>57770</v>
      </c>
      <c r="G16" s="464">
        <f t="shared" si="1"/>
        <v>24810</v>
      </c>
      <c r="H16" s="465" cm="1">
        <f t="array" ref="H16">IFERROR(MEDIAN(IF(ISNUMBER(H9:H13),H9:H13)),"–")</f>
        <v>1.6465484722746133</v>
      </c>
      <c r="I16" s="465">
        <f>IFERROR(MEDIAN(I9:I13),"–")</f>
        <v>2.9000000000000001E-2</v>
      </c>
      <c r="J16" s="466" cm="1">
        <f t="array" ref="J16">IFERROR(MEDIAN(IF(ISNUMBER(J9:J13),J9:J13)),"–")</f>
        <v>0.90900000000000003</v>
      </c>
      <c r="K16" s="465">
        <f>IFERROR(MEDIAN(K9:K13),"–")</f>
        <v>11.8</v>
      </c>
    </row>
    <row r="17" spans="1:14" ht="15" customHeight="1" x14ac:dyDescent="0.35">
      <c r="A17" s="3"/>
      <c r="B17" s="14" t="s">
        <v>211</v>
      </c>
      <c r="C17" s="9"/>
      <c r="D17" s="467">
        <f t="shared" ref="D17:K17" si="2">IFERROR(MAX(D9:D13),"–")</f>
        <v>268.14999999999998</v>
      </c>
      <c r="E17" s="467">
        <f t="shared" si="2"/>
        <v>48691.915999999997</v>
      </c>
      <c r="F17" s="467">
        <f t="shared" si="2"/>
        <v>75654</v>
      </c>
      <c r="G17" s="467">
        <f t="shared" si="2"/>
        <v>77160000</v>
      </c>
      <c r="H17" s="468" cm="1">
        <f t="array" ref="H17">IFERROR(MAX(IF(ISNUMBER(H9:H13),H9:H13)),"–")</f>
        <v>3.2831215970961889</v>
      </c>
      <c r="I17" s="468">
        <f>IFERROR(MAX(I9:I13),"–")</f>
        <v>5.7036120660655144E-2</v>
      </c>
      <c r="J17" s="469" cm="1">
        <f t="array" ref="J17">IFERROR(MAX(IF(ISNUMBER(J9:J13),J9:J13)),"–")</f>
        <v>0.92100000000000004</v>
      </c>
      <c r="K17" s="468">
        <f>IFERROR(MAX(K9:K13),"–")</f>
        <v>14.3</v>
      </c>
    </row>
    <row r="18" spans="1:14" ht="15" customHeight="1" thickBot="1" x14ac:dyDescent="0.4">
      <c r="A18" s="3"/>
      <c r="B18" s="14" t="s">
        <v>212</v>
      </c>
      <c r="C18" s="9"/>
      <c r="D18" s="470">
        <f t="shared" ref="D18:K18" si="3">IFERROR(MIN(D9:D13),"–")</f>
        <v>77.52</v>
      </c>
      <c r="E18" s="470">
        <f t="shared" si="3"/>
        <v>36180</v>
      </c>
      <c r="F18" s="470">
        <f t="shared" si="3"/>
        <v>23520</v>
      </c>
      <c r="G18" s="470">
        <f t="shared" si="3"/>
        <v>11020</v>
      </c>
      <c r="H18" s="471" cm="1">
        <f t="array" ref="H18">IFERROR(MIN(IF(ISNUMBER(H9:H13),H9:H13)),"–")</f>
        <v>0.65509222395023314</v>
      </c>
      <c r="I18" s="471">
        <f>IFERROR(MIN(I9:I13),"–")</f>
        <v>1.9E-2</v>
      </c>
      <c r="J18" s="472" cm="1">
        <f t="array" ref="J18">IFERROR(MIN(IF(ISNUMBER(J9:J13),J9:J13)),"–")</f>
        <v>0.89700000000000002</v>
      </c>
      <c r="K18" s="471">
        <f>IFERROR(_xlfn.MINIFS(K9:K13,K9:K13,"&gt;0"),"–")</f>
        <v>10.199999999999999</v>
      </c>
    </row>
    <row r="19" spans="1:14" ht="15" customHeight="1" x14ac:dyDescent="0.35">
      <c r="A19" s="3"/>
      <c r="B19" s="14"/>
      <c r="C19" s="9"/>
      <c r="D19" s="22"/>
      <c r="E19" s="22"/>
      <c r="F19" s="22"/>
      <c r="G19" s="22"/>
      <c r="H19" s="22"/>
      <c r="I19" s="22"/>
      <c r="J19" s="22"/>
      <c r="K19" s="22"/>
      <c r="L19" s="22"/>
    </row>
    <row r="20" spans="1:14" ht="18" customHeight="1" x14ac:dyDescent="0.5">
      <c r="A20" s="101" t="s">
        <v>4</v>
      </c>
      <c r="B20" s="47" t="s">
        <v>213</v>
      </c>
      <c r="C20" s="42"/>
      <c r="D20" s="23"/>
      <c r="E20" s="23"/>
      <c r="F20" s="23"/>
      <c r="G20" s="23"/>
      <c r="H20" s="23"/>
      <c r="I20" s="23"/>
      <c r="J20" s="23"/>
      <c r="K20" s="23"/>
      <c r="L20" s="23"/>
      <c r="M20" s="85"/>
      <c r="N20" s="85"/>
    </row>
    <row r="21" spans="1:14" ht="15" customHeight="1" x14ac:dyDescent="0.35">
      <c r="A21" s="198"/>
      <c r="B21" s="46" t="s">
        <v>214</v>
      </c>
      <c r="C21" s="10"/>
      <c r="D21" s="425" t="str">
        <f>INPUT!H5</f>
        <v>2025 (LTM)</v>
      </c>
      <c r="E21" s="24"/>
      <c r="F21" s="24"/>
      <c r="G21" s="24"/>
      <c r="H21" s="24"/>
      <c r="I21" s="24"/>
      <c r="J21" s="24"/>
      <c r="K21" s="24"/>
      <c r="L21" s="24"/>
      <c r="M21" s="198"/>
      <c r="N21" s="198"/>
    </row>
    <row r="22" spans="1:14" ht="15" customHeight="1" x14ac:dyDescent="0.35">
      <c r="A22" s="3"/>
      <c r="B22" s="17" t="s">
        <v>460</v>
      </c>
      <c r="C22" s="9" t="s">
        <v>46</v>
      </c>
      <c r="D22" s="226">
        <f>IFERROR(INPUT!H60/INPUT!H96,"–")</f>
        <v>118.33448355187487</v>
      </c>
      <c r="E22" s="22"/>
      <c r="F22" s="22"/>
      <c r="G22" s="22"/>
      <c r="H22" s="22"/>
      <c r="I22" s="22"/>
      <c r="J22" s="22"/>
      <c r="K22" s="22"/>
      <c r="L22" s="22"/>
    </row>
    <row r="23" spans="1:14" ht="15" customHeight="1" x14ac:dyDescent="0.35">
      <c r="A23" s="3"/>
      <c r="B23" s="66" t="s">
        <v>461</v>
      </c>
      <c r="C23" s="9" t="s">
        <v>54</v>
      </c>
      <c r="D23" s="226" t="str">
        <f>IF(INPUT!D135&lt;&gt;"n.d.",INPUT!D135,"n.d.")</f>
        <v>n.d.</v>
      </c>
      <c r="E23" s="22"/>
      <c r="F23" s="22"/>
      <c r="G23" s="22"/>
      <c r="H23" s="22"/>
      <c r="I23" s="22"/>
      <c r="J23" s="22"/>
      <c r="K23" s="22"/>
      <c r="L23" s="22"/>
    </row>
    <row r="24" spans="1:14" ht="15" customHeight="1" x14ac:dyDescent="0.35">
      <c r="A24" s="3"/>
      <c r="B24" s="66" t="s">
        <v>462</v>
      </c>
      <c r="C24" s="9" t="s">
        <v>54</v>
      </c>
      <c r="D24" s="338">
        <f>IFERROR(ABS(INPUT!H85)/INPUT!H97,"–")</f>
        <v>5.7036120660655144E-2</v>
      </c>
      <c r="E24" s="22"/>
      <c r="F24" s="22"/>
      <c r="G24" s="22"/>
      <c r="H24" s="22"/>
      <c r="I24" s="22"/>
      <c r="J24" s="22"/>
      <c r="K24" s="22"/>
      <c r="L24" s="22"/>
    </row>
    <row r="25" spans="1:14" ht="15" customHeight="1" x14ac:dyDescent="0.35">
      <c r="A25" s="3"/>
      <c r="B25" s="17" t="s">
        <v>215</v>
      </c>
      <c r="C25" s="9" t="s">
        <v>7</v>
      </c>
      <c r="D25" s="226">
        <f>IFERROR((INPUT!H54+INPUT!H48-INPUT!H34),"–")</f>
        <v>-1855</v>
      </c>
      <c r="E25" s="22"/>
      <c r="F25" s="22"/>
      <c r="G25" s="22"/>
      <c r="H25" s="22"/>
      <c r="I25" s="22"/>
      <c r="J25" s="22"/>
      <c r="K25" s="22"/>
      <c r="L25" s="22"/>
    </row>
    <row r="26" spans="1:14" ht="15" customHeight="1" x14ac:dyDescent="0.35">
      <c r="A26" s="3"/>
      <c r="B26" s="17" t="s">
        <v>216</v>
      </c>
      <c r="C26" s="9" t="s">
        <v>48</v>
      </c>
      <c r="D26" s="227">
        <f>INPUT!H96/1000</f>
        <v>0.65204999999999991</v>
      </c>
      <c r="E26" s="22"/>
      <c r="F26" s="22"/>
      <c r="G26" s="22"/>
      <c r="H26" s="22"/>
      <c r="I26" s="22"/>
      <c r="J26" s="22"/>
      <c r="K26" s="22"/>
      <c r="L26" s="22"/>
    </row>
    <row r="27" spans="1:14" ht="15" customHeight="1" x14ac:dyDescent="0.35">
      <c r="A27" s="3"/>
      <c r="B27" s="14"/>
      <c r="C27" s="9"/>
      <c r="D27" s="22"/>
      <c r="E27" s="22"/>
      <c r="F27" s="22"/>
      <c r="G27" s="22"/>
      <c r="H27" s="22"/>
      <c r="I27" s="22"/>
      <c r="J27" s="22"/>
      <c r="K27" s="22"/>
      <c r="L27" s="22"/>
    </row>
    <row r="28" spans="1:14" ht="18" customHeight="1" x14ac:dyDescent="0.5">
      <c r="A28" s="101" t="s">
        <v>4</v>
      </c>
      <c r="B28" s="47" t="s">
        <v>217</v>
      </c>
      <c r="C28" s="42"/>
      <c r="D28" s="44"/>
      <c r="E28" s="44"/>
      <c r="F28" s="44"/>
      <c r="G28" s="44"/>
      <c r="H28" s="23"/>
      <c r="I28" s="23"/>
      <c r="J28" s="23"/>
      <c r="K28" s="23"/>
      <c r="L28" s="23"/>
      <c r="M28" s="85"/>
      <c r="N28" s="85"/>
    </row>
    <row r="29" spans="1:14" ht="15" customHeight="1" x14ac:dyDescent="0.35">
      <c r="A29" s="3"/>
      <c r="B29" s="66" t="s">
        <v>463</v>
      </c>
      <c r="C29" s="9"/>
      <c r="D29" s="226">
        <f>IFERROR(H15*D22,"–")</f>
        <v>233.48874975188974</v>
      </c>
      <c r="E29" s="226">
        <f>IFERROR(H16*D22,"–")</f>
        <v>194.84346310974493</v>
      </c>
      <c r="F29" s="226">
        <f>IFERROR(H17*D22,"–")</f>
        <v>388.5064986303841</v>
      </c>
      <c r="G29" s="226">
        <f>IFERROR(H18*D22,"–")</f>
        <v>77.52</v>
      </c>
      <c r="H29" s="22"/>
      <c r="I29" s="22"/>
      <c r="J29" s="22"/>
      <c r="K29" s="22"/>
      <c r="L29" s="22"/>
    </row>
    <row r="30" spans="1:14" ht="15" customHeight="1" x14ac:dyDescent="0.35">
      <c r="A30" s="3"/>
      <c r="B30" s="66" t="s">
        <v>464</v>
      </c>
      <c r="C30" s="9"/>
      <c r="D30" s="226">
        <f>IFERROR(K15*IFERROR(INPUT!H26/INPUT!H96,1),"–")</f>
        <v>-939.49666436622965</v>
      </c>
      <c r="E30" s="226">
        <f>IFERROR(K16*IFERROR(INPUT!H26/INPUT!H96,1),"–")</f>
        <v>-916.20335863814148</v>
      </c>
      <c r="F30" s="226">
        <f>IFERROR(K17*IFERROR(INPUT!H26/INPUT!H96,1),"–")</f>
        <v>-1110.3142397055442</v>
      </c>
      <c r="G30" s="226">
        <f>IFERROR(K18*IFERROR(INPUT!H26/INPUT!H96,1),"–")</f>
        <v>-791.97239475500351</v>
      </c>
      <c r="H30" s="22"/>
      <c r="I30" s="22"/>
      <c r="J30" s="22"/>
      <c r="K30" s="22"/>
      <c r="L30" s="22"/>
    </row>
    <row r="31" spans="1:14" ht="15" customHeight="1" x14ac:dyDescent="0.35">
      <c r="A31" s="3"/>
      <c r="B31" s="17" t="s">
        <v>465</v>
      </c>
      <c r="C31" s="9"/>
      <c r="D31" s="226">
        <f>VALUATION!D149</f>
        <v>77.982897280466958</v>
      </c>
      <c r="E31" s="226">
        <f>IFERROR(D24*K15*D26,"–")</f>
        <v>0.45000386996904024</v>
      </c>
      <c r="F31" s="226">
        <f>IFERROR(D24*K16*D26,"–")</f>
        <v>0.43884674922600614</v>
      </c>
      <c r="G31" s="226">
        <f>IFERROR(D24*K17*D26,"–")</f>
        <v>0.53182275541795665</v>
      </c>
      <c r="H31" s="22"/>
      <c r="I31" s="22"/>
      <c r="J31" s="22"/>
      <c r="K31" s="22"/>
      <c r="L31" s="22"/>
    </row>
    <row r="32" spans="1:14" ht="15" customHeight="1" x14ac:dyDescent="0.35">
      <c r="A32" s="3"/>
      <c r="B32" s="17"/>
      <c r="C32" s="9"/>
      <c r="D32" s="55"/>
      <c r="E32" s="22"/>
      <c r="F32" s="22"/>
      <c r="G32" s="55"/>
      <c r="H32" s="22"/>
      <c r="I32" s="22"/>
      <c r="J32" s="22"/>
      <c r="K32" s="22"/>
      <c r="L32" s="22"/>
    </row>
    <row r="33" spans="1:14" ht="15" customHeight="1" x14ac:dyDescent="0.35">
      <c r="A33" s="3"/>
      <c r="B33" s="17" t="s">
        <v>466</v>
      </c>
      <c r="C33" s="9" t="s">
        <v>46</v>
      </c>
      <c r="D33" s="226">
        <f>IFERROR(AVERAGE(D29,D30,D31),"–")</f>
        <v>-209.34167244462432</v>
      </c>
      <c r="E33" s="226">
        <f>IFERROR(AVERAGE(E29,E30),"–")</f>
        <v>-360.67994776419829</v>
      </c>
      <c r="F33" s="226">
        <f>IFERROR(AVERAGE(F29,F30),"–")</f>
        <v>-360.90387053758002</v>
      </c>
      <c r="G33" s="226">
        <f>IFERROR(AVERAGE(G29,G30),"–")</f>
        <v>-357.22619737750176</v>
      </c>
      <c r="H33" s="22"/>
      <c r="I33" s="22"/>
      <c r="J33" s="22"/>
      <c r="K33" s="22"/>
      <c r="L33" s="22"/>
    </row>
    <row r="34" spans="1:14" ht="15" customHeight="1" x14ac:dyDescent="0.35">
      <c r="A34" s="3"/>
      <c r="B34" s="17" t="s">
        <v>179</v>
      </c>
      <c r="C34" s="9" t="s">
        <v>46</v>
      </c>
      <c r="D34" s="226">
        <f>INPUT!H95</f>
        <v>77.52</v>
      </c>
      <c r="E34" s="226">
        <f>D25</f>
        <v>-1855</v>
      </c>
      <c r="F34" s="226">
        <f>D25</f>
        <v>-1855</v>
      </c>
      <c r="G34" s="226">
        <f>D25</f>
        <v>-1855</v>
      </c>
      <c r="H34" s="22"/>
      <c r="I34" s="22"/>
      <c r="J34" s="22"/>
      <c r="K34" s="22"/>
      <c r="L34" s="22"/>
    </row>
    <row r="35" spans="1:14" ht="15" customHeight="1" x14ac:dyDescent="0.35">
      <c r="A35" s="3"/>
      <c r="B35" s="17" t="s">
        <v>180</v>
      </c>
      <c r="C35" s="9" t="s">
        <v>54</v>
      </c>
      <c r="D35" s="226">
        <f>IFERROR(D33/D34-1,"–")</f>
        <v>-3.7004859706478888</v>
      </c>
      <c r="E35" s="226">
        <f>IFERROR(E33-E34,"–")</f>
        <v>1494.3200522358018</v>
      </c>
      <c r="F35" s="226">
        <f>IFERROR(F33-F34,"–")</f>
        <v>1494.0961294624199</v>
      </c>
      <c r="G35" s="226">
        <f>IFERROR(G33-G34,"–")</f>
        <v>1497.7738026224984</v>
      </c>
      <c r="H35" s="22"/>
      <c r="I35" s="22"/>
      <c r="J35" s="22"/>
      <c r="K35" s="22"/>
      <c r="L35" s="22"/>
    </row>
    <row r="36" spans="1:14" ht="15" customHeight="1" thickBot="1" x14ac:dyDescent="0.4">
      <c r="A36" s="3"/>
      <c r="B36" s="52" t="s">
        <v>196</v>
      </c>
      <c r="C36" s="11" t="s">
        <v>46</v>
      </c>
      <c r="D36" s="473">
        <f>IFERROR(D35/D26,"–")</f>
        <v>-5.6751567681127053</v>
      </c>
      <c r="E36" s="473">
        <f>IFERROR(E35/D26,"–")</f>
        <v>2291.7261747347625</v>
      </c>
      <c r="F36" s="473">
        <f>IFERROR(F35/D26,"–")</f>
        <v>2291.3827612336786</v>
      </c>
      <c r="G36" s="473">
        <f>IFERROR(G35/D26,"–")</f>
        <v>2297.0229317115231</v>
      </c>
      <c r="H36" s="246"/>
      <c r="I36" s="60"/>
      <c r="J36" s="60"/>
      <c r="K36" s="60"/>
      <c r="L36" s="60"/>
    </row>
    <row r="37" spans="1:14" ht="15" customHeight="1" x14ac:dyDescent="0.35">
      <c r="A37" s="3"/>
      <c r="B37" s="17" t="s">
        <v>218</v>
      </c>
      <c r="C37" s="9" t="s">
        <v>46</v>
      </c>
      <c r="D37" s="466">
        <f>INPUT!H95</f>
        <v>77.52</v>
      </c>
      <c r="E37" s="466">
        <f>INPUT!H95</f>
        <v>77.52</v>
      </c>
      <c r="F37" s="466">
        <f>INPUT!H95</f>
        <v>77.52</v>
      </c>
      <c r="G37" s="466">
        <f>INPUT!H95</f>
        <v>77.52</v>
      </c>
      <c r="H37" s="22"/>
      <c r="I37" s="22"/>
      <c r="J37" s="22"/>
      <c r="K37" s="22"/>
      <c r="L37" s="22"/>
    </row>
    <row r="38" spans="1:14" ht="15" customHeight="1" thickBot="1" x14ac:dyDescent="0.4">
      <c r="A38" s="3"/>
      <c r="B38" s="52" t="s">
        <v>219</v>
      </c>
      <c r="C38" s="11" t="s">
        <v>54</v>
      </c>
      <c r="D38" s="474">
        <f>IFERROR(D36/D37-1,"–")</f>
        <v>-1.0732089366371609</v>
      </c>
      <c r="E38" s="474">
        <f>IFERROR(E36/D37-1,"–")</f>
        <v>28.563031149829239</v>
      </c>
      <c r="F38" s="474">
        <f>IFERROR(F36/D37-1,"–")</f>
        <v>28.558601151105247</v>
      </c>
      <c r="G38" s="474">
        <f>IFERROR(G36/D37-1,"–")</f>
        <v>28.631358768208504</v>
      </c>
      <c r="H38" s="246"/>
      <c r="I38" s="60"/>
      <c r="J38" s="60"/>
      <c r="K38" s="60"/>
      <c r="L38" s="60"/>
    </row>
    <row r="39" spans="1:14" ht="15" customHeight="1" x14ac:dyDescent="0.35">
      <c r="A39" s="3"/>
      <c r="B39" s="52"/>
      <c r="C39" s="11"/>
      <c r="D39" s="225"/>
      <c r="E39" s="225"/>
      <c r="F39" s="225"/>
      <c r="G39" s="225"/>
      <c r="H39" s="246"/>
      <c r="I39" s="246"/>
      <c r="J39" s="246"/>
      <c r="K39" s="246"/>
      <c r="L39" s="246"/>
    </row>
    <row r="40" spans="1:14" ht="15" customHeight="1" x14ac:dyDescent="0.35">
      <c r="A40" s="3"/>
      <c r="B40" s="17" t="s">
        <v>458</v>
      </c>
      <c r="C40" s="9"/>
      <c r="D40" s="57"/>
      <c r="E40" s="37"/>
      <c r="F40" s="37"/>
      <c r="G40" s="57"/>
      <c r="H40" s="22"/>
      <c r="I40" s="22"/>
      <c r="J40" s="22"/>
      <c r="K40" s="22"/>
      <c r="L40" s="22"/>
    </row>
    <row r="41" spans="1:14" ht="15" customHeight="1" x14ac:dyDescent="0.35">
      <c r="A41" s="3"/>
      <c r="B41" s="18" t="s">
        <v>459</v>
      </c>
      <c r="C41" s="3"/>
      <c r="D41" s="22"/>
      <c r="E41" s="22"/>
      <c r="F41" s="22"/>
      <c r="G41" s="22"/>
      <c r="H41" s="22"/>
      <c r="I41" s="22"/>
      <c r="J41" s="22"/>
      <c r="K41" s="22"/>
      <c r="L41" s="22"/>
    </row>
    <row r="42" spans="1:14" ht="15" customHeight="1" x14ac:dyDescent="0.35">
      <c r="A42" s="3"/>
      <c r="B42" s="14"/>
      <c r="C42" s="3"/>
      <c r="D42" s="22"/>
      <c r="E42" s="22"/>
      <c r="F42" s="22"/>
      <c r="G42" s="22"/>
      <c r="H42" s="22"/>
      <c r="I42" s="22"/>
      <c r="J42" s="22"/>
      <c r="K42" s="22"/>
      <c r="L42" s="22"/>
    </row>
    <row r="43" spans="1:14" ht="15" customHeight="1" x14ac:dyDescent="0.35">
      <c r="A43" s="197"/>
      <c r="B43" s="31" t="s">
        <v>82</v>
      </c>
      <c r="C43" s="4"/>
      <c r="D43" s="32"/>
      <c r="E43" s="32"/>
      <c r="F43" s="32"/>
      <c r="G43" s="32"/>
      <c r="H43" s="32"/>
      <c r="I43" s="32"/>
      <c r="J43" s="32"/>
      <c r="K43" s="32"/>
      <c r="L43" s="32"/>
      <c r="M43" s="205"/>
      <c r="N43" s="205"/>
    </row>
    <row r="44" spans="1:14" ht="15" customHeight="1" x14ac:dyDescent="0.35">
      <c r="A44" s="197"/>
      <c r="B44" s="31" t="s">
        <v>83</v>
      </c>
      <c r="C44" s="4"/>
      <c r="D44" s="32"/>
      <c r="E44" s="32"/>
      <c r="F44" s="32"/>
      <c r="G44" s="32"/>
      <c r="H44" s="32"/>
      <c r="I44" s="32"/>
      <c r="J44" s="32"/>
      <c r="K44" s="32"/>
      <c r="L44" s="32"/>
      <c r="M44" s="205"/>
      <c r="N44" s="205"/>
    </row>
    <row r="45" spans="1:14" ht="15" customHeight="1" x14ac:dyDescent="0.35">
      <c r="A45" s="197"/>
      <c r="B45" s="31" t="s">
        <v>84</v>
      </c>
      <c r="C45" s="4"/>
      <c r="D45" s="32"/>
      <c r="E45" s="32"/>
      <c r="F45" s="32"/>
      <c r="G45" s="32"/>
      <c r="H45" s="32"/>
      <c r="I45" s="32"/>
      <c r="J45" s="32"/>
      <c r="K45" s="32"/>
      <c r="L45" s="32"/>
      <c r="M45" s="205"/>
      <c r="N45" s="205"/>
    </row>
    <row r="46" spans="1:14" ht="15" customHeight="1" x14ac:dyDescent="0.3">
      <c r="B46" s="45"/>
    </row>
    <row r="47" spans="1:14" ht="15" customHeight="1" x14ac:dyDescent="0.3">
      <c r="A47" s="88"/>
      <c r="B47" s="83" t="s">
        <v>220</v>
      </c>
      <c r="C47" s="84" t="s">
        <v>221</v>
      </c>
      <c r="D47" s="84" t="s">
        <v>222</v>
      </c>
      <c r="E47" s="82" t="s">
        <v>223</v>
      </c>
      <c r="F47" s="82"/>
      <c r="G47" s="82"/>
      <c r="H47" s="82"/>
      <c r="I47" s="82"/>
      <c r="J47" s="82"/>
      <c r="K47" s="82"/>
      <c r="L47" s="82"/>
      <c r="M47" s="206"/>
      <c r="N47" s="206"/>
    </row>
    <row r="48" spans="1:14" ht="15" customHeight="1" x14ac:dyDescent="0.3">
      <c r="B48" s="475" t="str">
        <f>B9</f>
        <v>MetLife, Inc.</v>
      </c>
      <c r="C48" s="476">
        <f t="shared" ref="C48:D52" si="4">IFERROR(H9*1,0)</f>
        <v>0.65509222395023314</v>
      </c>
      <c r="D48" s="477">
        <f t="shared" si="4"/>
        <v>5.7036120660655144E-2</v>
      </c>
      <c r="E48" s="478">
        <f>IFERROR(K9*1,0)</f>
        <v>-0.9983984356482577</v>
      </c>
    </row>
    <row r="49" spans="2:11" ht="15" customHeight="1" x14ac:dyDescent="0.3">
      <c r="B49" s="475" t="str">
        <f>B10</f>
        <v>Prudential Financial</v>
      </c>
      <c r="C49" s="476">
        <f t="shared" si="4"/>
        <v>1.5082627972591698</v>
      </c>
      <c r="D49" s="477">
        <f t="shared" si="4"/>
        <v>4.7E-2</v>
      </c>
      <c r="E49" s="478">
        <f>IFERROR(K10*1,0)</f>
        <v>10.199999999999999</v>
      </c>
    </row>
    <row r="50" spans="2:11" ht="15" customHeight="1" x14ac:dyDescent="0.3">
      <c r="B50" s="475" t="str">
        <f>B11</f>
        <v>Aflac Incorporated</v>
      </c>
      <c r="C50" s="476">
        <f t="shared" si="4"/>
        <v>3.2831215970961889</v>
      </c>
      <c r="D50" s="477">
        <f t="shared" si="4"/>
        <v>1.9E-2</v>
      </c>
      <c r="E50" s="478">
        <f>IFERROR(K11*1,0)</f>
        <v>11.8</v>
      </c>
    </row>
    <row r="51" spans="2:11" ht="15" customHeight="1" x14ac:dyDescent="0.3">
      <c r="B51" s="475" t="str">
        <f>B12</f>
        <v>The Travelers Companies</v>
      </c>
      <c r="C51" s="476">
        <f t="shared" si="4"/>
        <v>1.6465484722746133</v>
      </c>
      <c r="D51" s="477">
        <f t="shared" si="4"/>
        <v>2.1999999999999999E-2</v>
      </c>
      <c r="E51" s="478">
        <f>IFERROR(K12*1,0)</f>
        <v>14.3</v>
      </c>
    </row>
    <row r="52" spans="2:11" ht="15" customHeight="1" x14ac:dyDescent="0.3">
      <c r="B52" s="475" t="str">
        <f>B13</f>
        <v>The Allstate Corporation</v>
      </c>
      <c r="C52" s="476">
        <f t="shared" si="4"/>
        <v>2.7726008344923505</v>
      </c>
      <c r="D52" s="477">
        <f t="shared" si="4"/>
        <v>2.9000000000000001E-2</v>
      </c>
      <c r="E52" s="478">
        <f>IFERROR(K13*1,0)</f>
        <v>12.1</v>
      </c>
    </row>
    <row r="53" spans="2:11" ht="15" customHeight="1" x14ac:dyDescent="0.3">
      <c r="B53" s="475" t="str">
        <f>B15</f>
        <v>Mean</v>
      </c>
      <c r="C53" s="476">
        <f>IFERROR(H15*1,0)</f>
        <v>1.9731251850145113</v>
      </c>
      <c r="D53" s="477">
        <f>IFERROR(I15*1,0)</f>
        <v>3.4807224132131033E-2</v>
      </c>
      <c r="E53" s="478">
        <f>IFERROR(K15*1,0)</f>
        <v>12.1</v>
      </c>
    </row>
    <row r="54" spans="2:11" ht="15" customHeight="1" x14ac:dyDescent="0.3">
      <c r="B54" s="251" t="s">
        <v>224</v>
      </c>
      <c r="H54" s="21" t="s">
        <v>225</v>
      </c>
      <c r="I54" s="21" t="s">
        <v>226</v>
      </c>
      <c r="J54" s="21" t="s">
        <v>227</v>
      </c>
      <c r="K54" s="21" t="s">
        <v>228</v>
      </c>
    </row>
    <row r="55" spans="2:11" ht="15" customHeight="1" x14ac:dyDescent="0.3">
      <c r="B55" s="81" t="s">
        <v>225</v>
      </c>
      <c r="C55" s="79" t="s">
        <v>226</v>
      </c>
      <c r="D55" s="82" t="s">
        <v>229</v>
      </c>
      <c r="E55" s="82" t="s">
        <v>227</v>
      </c>
      <c r="H55" s="21" t="s">
        <v>230</v>
      </c>
      <c r="I55" s="401">
        <f>IFERROR(D36,0)</f>
        <v>-5.6751567681127053</v>
      </c>
      <c r="J55" s="401">
        <f>IFERROR(G36,0)</f>
        <v>2297.0229317115231</v>
      </c>
      <c r="K55" s="479">
        <f>INPUT!H95</f>
        <v>77.52</v>
      </c>
    </row>
    <row r="56" spans="2:11" ht="15" customHeight="1" x14ac:dyDescent="0.3">
      <c r="B56" s="339" t="str">
        <f>B29</f>
        <v>P/B — Implied Equity Value / Share ($)</v>
      </c>
      <c r="C56" s="480">
        <f>IFERROR(D36,"–")</f>
        <v>-5.6751567681127053</v>
      </c>
      <c r="D56" s="481">
        <f>IFERROR(F36,"–")</f>
        <v>2291.3827612336786</v>
      </c>
      <c r="E56" s="481">
        <f>IFERROR(G36,"–")</f>
        <v>2297.0229317115231</v>
      </c>
      <c r="H56" s="21" t="s">
        <v>231</v>
      </c>
      <c r="I56" s="401">
        <f>IFERROR(D36,0)</f>
        <v>-5.6751567681127053</v>
      </c>
      <c r="J56" s="401">
        <f>IFERROR(G36,0)</f>
        <v>2297.0229317115231</v>
      </c>
      <c r="K56" s="479">
        <f>INPUT!H95</f>
        <v>77.52</v>
      </c>
    </row>
    <row r="57" spans="2:11" ht="15" customHeight="1" x14ac:dyDescent="0.3">
      <c r="B57" s="339" t="str">
        <f>B30</f>
        <v>P/E — Implied Share Price ($)</v>
      </c>
      <c r="C57" s="480">
        <f>IFERROR(D36,"–")</f>
        <v>-5.6751567681127053</v>
      </c>
      <c r="D57" s="481">
        <f>IFERROR(F36,"–")</f>
        <v>2291.3827612336786</v>
      </c>
      <c r="E57" s="481">
        <f>IFERROR(G36,"–")</f>
        <v>2297.0229317115231</v>
      </c>
      <c r="F57" s="21" t="s">
        <v>232</v>
      </c>
      <c r="H57" s="21" t="s">
        <v>233</v>
      </c>
      <c r="I57" s="401">
        <f>IFERROR(D36,0)</f>
        <v>-5.6751567681127053</v>
      </c>
      <c r="J57" s="401">
        <f>IFERROR(G36,0)</f>
        <v>2297.0229317115231</v>
      </c>
      <c r="K57" s="479">
        <f>INPUT!H95</f>
        <v>77.52</v>
      </c>
    </row>
    <row r="58" spans="2:11" ht="15" customHeight="1" x14ac:dyDescent="0.3">
      <c r="B58" s="45"/>
    </row>
    <row r="59" spans="2:11" ht="15" customHeight="1" x14ac:dyDescent="0.3">
      <c r="B59" s="45"/>
    </row>
    <row r="60" spans="2:11" ht="15" customHeight="1" x14ac:dyDescent="0.3">
      <c r="B60" s="45"/>
    </row>
    <row r="61" spans="2:11" ht="15" customHeight="1" x14ac:dyDescent="0.3">
      <c r="B61" s="45"/>
    </row>
    <row r="62" spans="2:11" ht="15" customHeight="1" x14ac:dyDescent="0.3">
      <c r="B62" s="45"/>
    </row>
    <row r="63" spans="2:11" ht="15" customHeight="1" x14ac:dyDescent="0.3">
      <c r="B63" s="45"/>
    </row>
    <row r="64" spans="2:11" ht="15" customHeight="1" x14ac:dyDescent="0.3">
      <c r="B64" s="45"/>
    </row>
    <row r="65" spans="2:2" ht="15" customHeight="1" x14ac:dyDescent="0.3">
      <c r="B65" s="45"/>
    </row>
    <row r="66" spans="2:2" ht="15" customHeight="1" x14ac:dyDescent="0.3">
      <c r="B66" s="45"/>
    </row>
    <row r="67" spans="2:2" ht="15" customHeight="1" x14ac:dyDescent="0.3">
      <c r="B67" s="45"/>
    </row>
    <row r="68" spans="2:2" ht="15" customHeight="1" x14ac:dyDescent="0.3">
      <c r="B68" s="45"/>
    </row>
    <row r="69" spans="2:2" ht="15" customHeight="1" x14ac:dyDescent="0.3">
      <c r="B69" s="45"/>
    </row>
    <row r="70" spans="2:2" ht="15" customHeight="1" x14ac:dyDescent="0.3">
      <c r="B70" s="45"/>
    </row>
    <row r="71" spans="2:2" ht="15" customHeight="1" x14ac:dyDescent="0.3">
      <c r="B71" s="45"/>
    </row>
    <row r="72" spans="2:2" ht="15" customHeight="1" x14ac:dyDescent="0.3">
      <c r="B72" s="45"/>
    </row>
    <row r="73" spans="2:2" ht="15" customHeight="1" x14ac:dyDescent="0.3">
      <c r="B73" s="45"/>
    </row>
    <row r="74" spans="2:2" ht="15" customHeight="1" x14ac:dyDescent="0.3">
      <c r="B74" s="45"/>
    </row>
    <row r="75" spans="2:2" ht="15" customHeight="1" x14ac:dyDescent="0.3">
      <c r="B75" s="45"/>
    </row>
    <row r="76" spans="2:2" ht="15" customHeight="1" x14ac:dyDescent="0.3">
      <c r="B76" s="45"/>
    </row>
    <row r="77" spans="2:2" ht="15" customHeight="1" x14ac:dyDescent="0.3">
      <c r="B77" s="45"/>
    </row>
    <row r="78" spans="2:2" ht="15" customHeight="1" x14ac:dyDescent="0.3">
      <c r="B78" s="45"/>
    </row>
    <row r="79" spans="2:2" ht="15" customHeight="1" x14ac:dyDescent="0.3">
      <c r="B79" s="45"/>
    </row>
    <row r="80" spans="2:2" ht="15" customHeight="1" x14ac:dyDescent="0.3">
      <c r="B80" s="45"/>
    </row>
    <row r="81" spans="2:2" ht="15" customHeight="1" x14ac:dyDescent="0.3">
      <c r="B81" s="45"/>
    </row>
    <row r="82" spans="2:2" ht="15" customHeight="1" x14ac:dyDescent="0.3">
      <c r="B82" s="45"/>
    </row>
    <row r="83" spans="2:2" ht="15" customHeight="1" x14ac:dyDescent="0.3">
      <c r="B83" s="45"/>
    </row>
    <row r="84" spans="2:2" ht="15" customHeight="1" x14ac:dyDescent="0.3">
      <c r="B84" s="45"/>
    </row>
    <row r="85" spans="2:2" ht="15" customHeight="1" x14ac:dyDescent="0.3">
      <c r="B85" s="45"/>
    </row>
    <row r="86" spans="2:2" ht="15" customHeight="1" x14ac:dyDescent="0.3">
      <c r="B86" s="45"/>
    </row>
    <row r="87" spans="2:2" ht="15" customHeight="1" x14ac:dyDescent="0.3">
      <c r="B87" s="45"/>
    </row>
    <row r="88" spans="2:2" ht="15" customHeight="1" x14ac:dyDescent="0.3">
      <c r="B88" s="45"/>
    </row>
    <row r="89" spans="2:2" ht="15" customHeight="1" x14ac:dyDescent="0.3">
      <c r="B89" s="45"/>
    </row>
    <row r="90" spans="2:2" ht="15" customHeight="1" x14ac:dyDescent="0.3">
      <c r="B90" s="45"/>
    </row>
    <row r="91" spans="2:2" ht="15" customHeight="1" x14ac:dyDescent="0.3">
      <c r="B91" s="45"/>
    </row>
    <row r="92" spans="2:2" ht="15" customHeight="1" x14ac:dyDescent="0.3">
      <c r="B92" s="45"/>
    </row>
    <row r="93" spans="2:2" ht="15" customHeight="1" x14ac:dyDescent="0.3">
      <c r="B93" s="45"/>
    </row>
    <row r="94" spans="2:2" ht="15" customHeight="1" x14ac:dyDescent="0.3">
      <c r="B94" s="45"/>
    </row>
    <row r="95" spans="2:2" ht="15" customHeight="1" x14ac:dyDescent="0.3">
      <c r="B95" s="45"/>
    </row>
    <row r="96" spans="2:2" ht="15" customHeight="1" x14ac:dyDescent="0.3">
      <c r="B96" s="45"/>
    </row>
    <row r="97" spans="2:2" ht="15" customHeight="1" x14ac:dyDescent="0.3">
      <c r="B97" s="45"/>
    </row>
    <row r="98" spans="2:2" ht="15" customHeight="1" x14ac:dyDescent="0.3">
      <c r="B98" s="45"/>
    </row>
    <row r="99" spans="2:2" ht="15" customHeight="1" x14ac:dyDescent="0.3">
      <c r="B99" s="45"/>
    </row>
    <row r="100" spans="2:2" ht="15" customHeight="1" x14ac:dyDescent="0.3">
      <c r="B100" s="45"/>
    </row>
    <row r="101" spans="2:2" ht="15" customHeight="1" x14ac:dyDescent="0.3">
      <c r="B101" s="45"/>
    </row>
    <row r="102" spans="2:2" ht="15" customHeight="1" x14ac:dyDescent="0.3">
      <c r="B102" s="45"/>
    </row>
    <row r="103" spans="2:2" ht="15" customHeight="1" x14ac:dyDescent="0.3">
      <c r="B103" s="45"/>
    </row>
    <row r="104" spans="2:2" ht="15" customHeight="1" x14ac:dyDescent="0.3">
      <c r="B104" s="45"/>
    </row>
    <row r="105" spans="2:2" ht="15" customHeight="1" x14ac:dyDescent="0.3">
      <c r="B105" s="45"/>
    </row>
    <row r="106" spans="2:2" ht="15" customHeight="1" x14ac:dyDescent="0.3">
      <c r="B106" s="45"/>
    </row>
    <row r="107" spans="2:2" ht="15" customHeight="1" x14ac:dyDescent="0.3">
      <c r="B107" s="45"/>
    </row>
    <row r="108" spans="2:2" ht="15" customHeight="1" x14ac:dyDescent="0.3">
      <c r="B108" s="45"/>
    </row>
    <row r="109" spans="2:2" ht="15" customHeight="1" x14ac:dyDescent="0.3">
      <c r="B109" s="45"/>
    </row>
    <row r="110" spans="2:2" ht="15" customHeight="1" x14ac:dyDescent="0.3">
      <c r="B110" s="45"/>
    </row>
    <row r="111" spans="2:2" ht="15" customHeight="1" x14ac:dyDescent="0.3">
      <c r="B111" s="45"/>
    </row>
    <row r="112" spans="2:2" ht="15" customHeight="1" x14ac:dyDescent="0.3">
      <c r="B112" s="45"/>
    </row>
    <row r="113" spans="2:2" ht="15" customHeight="1" x14ac:dyDescent="0.3">
      <c r="B113" s="45"/>
    </row>
    <row r="114" spans="2:2" ht="15" customHeight="1" x14ac:dyDescent="0.3">
      <c r="B114" s="45"/>
    </row>
    <row r="115" spans="2:2" ht="15" customHeight="1" x14ac:dyDescent="0.3">
      <c r="B115" s="45"/>
    </row>
    <row r="116" spans="2:2" ht="15" customHeight="1" x14ac:dyDescent="0.3">
      <c r="B116" s="45"/>
    </row>
    <row r="117" spans="2:2" ht="15" customHeight="1" x14ac:dyDescent="0.3">
      <c r="B117" s="45"/>
    </row>
    <row r="118" spans="2:2" ht="15" customHeight="1" x14ac:dyDescent="0.3">
      <c r="B118" s="45"/>
    </row>
    <row r="119" spans="2:2" ht="15" customHeight="1" x14ac:dyDescent="0.3">
      <c r="B119" s="45"/>
    </row>
    <row r="120" spans="2:2" ht="15" customHeight="1" x14ac:dyDescent="0.3">
      <c r="B120" s="45"/>
    </row>
    <row r="121" spans="2:2" ht="15" customHeight="1" x14ac:dyDescent="0.3">
      <c r="B121" s="45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orientation="landscape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0"/>
  <sheetViews>
    <sheetView showGridLines="0" zoomScale="90" zoomScaleNormal="90" workbookViewId="0"/>
  </sheetViews>
  <sheetFormatPr baseColWidth="10" defaultRowHeight="14.4" x14ac:dyDescent="0.3"/>
  <cols>
    <col min="1" max="1" width="1.77734375" style="314" customWidth="1"/>
    <col min="2" max="2" width="51" style="19" bestFit="1" customWidth="1"/>
    <col min="3" max="3" width="15.6640625" customWidth="1"/>
    <col min="4" max="5" width="13.33203125" style="21" customWidth="1"/>
    <col min="6" max="6" width="13.88671875" style="21" bestFit="1" customWidth="1"/>
    <col min="7" max="7" width="14.44140625" style="21" bestFit="1" customWidth="1"/>
    <col min="8" max="9" width="13.33203125" style="21" customWidth="1"/>
    <col min="10" max="13" width="11" style="21" customWidth="1"/>
    <col min="14" max="14" width="11.44140625" style="87" customWidth="1"/>
  </cols>
  <sheetData>
    <row r="1" spans="1:14" ht="54.9" customHeight="1" x14ac:dyDescent="0.6">
      <c r="A1" s="94"/>
      <c r="B1" s="94" t="s">
        <v>85</v>
      </c>
      <c r="C1" s="5"/>
      <c r="D1" s="29"/>
      <c r="E1" s="29"/>
      <c r="F1" s="29"/>
      <c r="G1" s="29"/>
      <c r="H1" s="93" t="s">
        <v>234</v>
      </c>
      <c r="I1" s="29"/>
      <c r="J1" s="29"/>
      <c r="K1" s="29"/>
      <c r="L1" s="29"/>
      <c r="M1" s="29"/>
      <c r="N1" s="86"/>
    </row>
    <row r="2" spans="1:14" ht="15" customHeight="1" x14ac:dyDescent="0.35">
      <c r="A2" s="311"/>
      <c r="B2" s="14"/>
      <c r="C2" s="3"/>
      <c r="D2" s="22"/>
      <c r="E2" s="22"/>
      <c r="F2" s="22"/>
      <c r="G2" s="22"/>
      <c r="H2" s="22"/>
      <c r="I2" s="22"/>
      <c r="K2" s="22"/>
      <c r="L2" s="22"/>
      <c r="M2" s="22"/>
    </row>
    <row r="3" spans="1:14" ht="18" customHeight="1" x14ac:dyDescent="0.5">
      <c r="A3" s="277" t="s">
        <v>4</v>
      </c>
      <c r="B3" s="15" t="s">
        <v>467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1:14" ht="15" customHeight="1" x14ac:dyDescent="0.35">
      <c r="A4" s="311"/>
      <c r="B4" s="12" t="s">
        <v>235</v>
      </c>
      <c r="C4" s="3"/>
      <c r="D4" s="22"/>
      <c r="E4" s="22"/>
      <c r="F4" s="22"/>
      <c r="G4" s="22"/>
      <c r="H4" s="22"/>
      <c r="I4" s="22"/>
      <c r="K4" s="22"/>
      <c r="L4" s="22"/>
      <c r="M4" s="22"/>
    </row>
    <row r="5" spans="1:14" ht="15" customHeight="1" x14ac:dyDescent="0.35">
      <c r="A5" s="312" t="s">
        <v>4</v>
      </c>
      <c r="B5" s="16" t="s">
        <v>1</v>
      </c>
      <c r="C5" s="16"/>
      <c r="D5" s="285"/>
      <c r="E5" s="483" t="str">
        <f>TEXT(INPUT!D117-3,"0")</f>
        <v>2022</v>
      </c>
      <c r="F5" s="483" t="str">
        <f>TEXT(INPUT!D117-2,"0")</f>
        <v>2023</v>
      </c>
      <c r="G5" s="483" t="str">
        <f>TEXT(INPUT!D117-1,"0")</f>
        <v>2024</v>
      </c>
      <c r="H5" s="483" t="str">
        <f>INPUT!D117&amp;" (LTM)"</f>
        <v>2025 (LTM)</v>
      </c>
      <c r="I5" s="483" t="str">
        <f>TEXT(INPUT!D117+1,"0")&amp;"F"</f>
        <v>2026F</v>
      </c>
      <c r="J5" s="483" t="str">
        <f>TEXT(INPUT!D117+2,"0")&amp;"F"</f>
        <v>2027F</v>
      </c>
      <c r="K5" s="483" t="str">
        <f>TEXT(INPUT!D117+3,"0")&amp;"F"</f>
        <v>2028F</v>
      </c>
      <c r="L5" s="483" t="str">
        <f>TEXT(INPUT!D117+4,"0")&amp;"F"</f>
        <v>2029F</v>
      </c>
      <c r="M5" s="483" t="str">
        <f>TEXT(INPUT!D117+5,"0")&amp;"F"</f>
        <v>2030F</v>
      </c>
    </row>
    <row r="6" spans="1:14" ht="15" customHeight="1" x14ac:dyDescent="0.35">
      <c r="A6" s="311"/>
      <c r="B6" s="16" t="s">
        <v>236</v>
      </c>
      <c r="C6" s="72"/>
      <c r="D6" s="387" t="s">
        <v>193</v>
      </c>
      <c r="E6" s="74"/>
      <c r="F6" s="73"/>
      <c r="G6" s="74"/>
      <c r="H6" s="73"/>
      <c r="I6" s="73"/>
      <c r="J6" s="73"/>
      <c r="K6" s="73"/>
      <c r="L6" s="73"/>
      <c r="M6" s="73"/>
    </row>
    <row r="7" spans="1:14" ht="18" customHeight="1" x14ac:dyDescent="0.35">
      <c r="A7" s="312"/>
      <c r="B7" s="16" t="s">
        <v>468</v>
      </c>
      <c r="C7" s="16"/>
      <c r="D7" s="16" t="s">
        <v>192</v>
      </c>
      <c r="E7" s="71" t="s">
        <v>193</v>
      </c>
      <c r="F7" s="71" t="s">
        <v>194</v>
      </c>
      <c r="G7" s="24"/>
      <c r="H7" s="24"/>
      <c r="I7" s="24"/>
      <c r="J7" s="24"/>
      <c r="K7" s="24"/>
      <c r="L7" s="24"/>
      <c r="M7" s="24"/>
    </row>
    <row r="8" spans="1:14" ht="15" customHeight="1" x14ac:dyDescent="0.35">
      <c r="A8" s="311"/>
      <c r="B8" s="66" t="s">
        <v>469</v>
      </c>
      <c r="C8" s="188"/>
      <c r="D8" s="222">
        <f t="array" ref="D8">IFERROR(INDEX(SECTOR_REF!$C$2:$E$71,MATCH(1,(SECTOR_REF!$A$2:$A$71=INPUT!$D$116)*(SECTOR_REF!$B$2:$B$71="Revenue Growth Rate (Y1-Y5)"),0),MATCH("Pessimiste",{"Pessimiste","Realiste","Optimiste"},0)),IFERROR(INPUT!H9/INPUT!G9-1,0.02))</f>
        <v>7.8752620096676162E-2</v>
      </c>
      <c r="E8" s="222">
        <f t="array" ref="E8">IFERROR(INDEX(SECTOR_REF!$C$2:$E$71,MATCH(1,(SECTOR_REF!$A$2:$A$71=INPUT!$D$116)*(SECTOR_REF!$B$2:$B$71="Revenue Growth Rate (Y1-Y5)"),0),MATCH("Realiste",{"Pessimiste","Realiste","Optimiste"},0)),IFERROR(INPUT!H9/INPUT!G9-1,0.05))</f>
        <v>7.8752620096676162E-2</v>
      </c>
      <c r="F8" s="222">
        <f t="array" ref="F8">IFERROR(INDEX(SECTOR_REF!$C$2:$E$71,MATCH(1,(SECTOR_REF!$A$2:$A$71=INPUT!$D$116)*(SECTOR_REF!$B$2:$B$71="Revenue Growth Rate (Y1-Y5)"),0),MATCH("Optimiste",{"Pessimiste","Realiste","Optimiste"},0)),IFERROR(INPUT!H9/INPUT!G9-1,0.09))</f>
        <v>7.8752620096676162E-2</v>
      </c>
      <c r="G8" s="201"/>
      <c r="H8" s="200"/>
      <c r="I8" s="202"/>
      <c r="J8" s="203"/>
      <c r="K8" s="203"/>
      <c r="L8" s="203"/>
      <c r="M8" s="203"/>
    </row>
    <row r="9" spans="1:14" ht="15" customHeight="1" x14ac:dyDescent="0.35">
      <c r="A9" s="311"/>
      <c r="B9" s="66" t="s">
        <v>470</v>
      </c>
      <c r="C9" s="188"/>
      <c r="D9" s="222">
        <v>1.01</v>
      </c>
      <c r="E9" s="222">
        <v>0.97499999999999998</v>
      </c>
      <c r="F9" s="222">
        <v>0.94499999999999995</v>
      </c>
      <c r="G9" s="200"/>
      <c r="H9" s="200"/>
      <c r="I9" s="202"/>
      <c r="J9" s="203"/>
      <c r="K9" s="203"/>
      <c r="L9" s="203"/>
      <c r="M9" s="203"/>
    </row>
    <row r="10" spans="1:14" ht="15" customHeight="1" x14ac:dyDescent="0.35">
      <c r="A10" s="311"/>
      <c r="B10" s="66" t="s">
        <v>471</v>
      </c>
      <c r="C10" s="188"/>
      <c r="D10" s="222">
        <v>3.3000000000000002E-2</v>
      </c>
      <c r="E10" s="222">
        <v>3.7999999999999999E-2</v>
      </c>
      <c r="F10" s="222">
        <v>4.2999999999999997E-2</v>
      </c>
      <c r="G10" s="200"/>
      <c r="H10" s="200"/>
      <c r="I10" s="202"/>
      <c r="J10" s="203"/>
      <c r="K10" s="203"/>
      <c r="L10" s="203"/>
      <c r="M10" s="203"/>
    </row>
    <row r="11" spans="1:14" ht="15" customHeight="1" x14ac:dyDescent="0.35">
      <c r="A11" s="311"/>
      <c r="B11" s="66" t="s">
        <v>472</v>
      </c>
      <c r="C11" s="188"/>
      <c r="D11" s="214">
        <f>VALUATION!D133+0.015</f>
        <v>9.8114999999999994E-2</v>
      </c>
      <c r="E11" s="214">
        <f>VALUATION!D133</f>
        <v>8.3114999999999994E-2</v>
      </c>
      <c r="F11" s="214">
        <f>VALUATION!D133-0.015</f>
        <v>6.8114999999999995E-2</v>
      </c>
      <c r="G11" s="200"/>
      <c r="H11" s="200"/>
      <c r="I11" s="202"/>
      <c r="J11" s="203"/>
      <c r="K11" s="203"/>
      <c r="L11" s="203"/>
      <c r="M11" s="203"/>
    </row>
    <row r="12" spans="1:14" ht="15" customHeight="1" x14ac:dyDescent="0.35">
      <c r="A12" s="311"/>
      <c r="B12" s="66" t="s">
        <v>423</v>
      </c>
      <c r="C12" s="188"/>
      <c r="D12" s="214">
        <f>VALUATION!D137-0.01</f>
        <v>1.5000000000000001E-2</v>
      </c>
      <c r="E12" s="214">
        <f>VALUATION!D137</f>
        <v>2.5000000000000001E-2</v>
      </c>
      <c r="F12" s="214">
        <f>VALUATION!D137+0.01</f>
        <v>3.5000000000000003E-2</v>
      </c>
      <c r="G12" s="200"/>
      <c r="H12" s="200"/>
      <c r="I12" s="202"/>
      <c r="J12" s="203"/>
      <c r="K12" s="203"/>
      <c r="L12" s="203"/>
      <c r="M12" s="203"/>
    </row>
    <row r="13" spans="1:14" ht="15" customHeight="1" x14ac:dyDescent="0.35">
      <c r="A13" s="311"/>
      <c r="B13" s="184" t="s">
        <v>238</v>
      </c>
      <c r="C13" s="72"/>
      <c r="D13" s="484" t="str">
        <f>IF(INPUT!$D$116="","— Aucun secteur sélectionné (INPUT!D116) —",INPUT!$D$116)</f>
        <v>Financial Services</v>
      </c>
      <c r="E13" s="73"/>
      <c r="F13" s="73"/>
      <c r="G13" s="73"/>
      <c r="H13" s="73"/>
      <c r="I13" s="73"/>
      <c r="J13" s="73"/>
      <c r="K13" s="73"/>
      <c r="L13" s="73"/>
      <c r="M13" s="73"/>
    </row>
    <row r="14" spans="1:14" ht="15" customHeight="1" x14ac:dyDescent="0.5">
      <c r="A14" s="277" t="s">
        <v>4</v>
      </c>
      <c r="B14" s="15" t="s">
        <v>239</v>
      </c>
      <c r="C14" s="7"/>
      <c r="D14" s="23"/>
      <c r="E14" s="23"/>
      <c r="F14" s="23"/>
      <c r="G14" s="23"/>
      <c r="H14" s="23"/>
      <c r="I14" s="23"/>
      <c r="J14" s="23"/>
      <c r="K14" s="23"/>
      <c r="L14" s="23"/>
      <c r="M14" s="23"/>
    </row>
    <row r="15" spans="1:14" ht="18" customHeight="1" x14ac:dyDescent="0.35">
      <c r="A15" s="311"/>
      <c r="B15" s="77" t="s">
        <v>1</v>
      </c>
      <c r="C15" s="189"/>
      <c r="D15" s="485" t="str">
        <f>TEXT(INPUT!D117-3,"0")</f>
        <v>2022</v>
      </c>
      <c r="E15" s="485" t="str">
        <f>TEXT(INPUT!D117-2,"0")</f>
        <v>2023</v>
      </c>
      <c r="F15" s="485" t="str">
        <f>TEXT(INPUT!D117-1,"0")</f>
        <v>2024</v>
      </c>
      <c r="G15" s="483" t="str">
        <f>INPUT!D117&amp;" (LTM)"</f>
        <v>2025 (LTM)</v>
      </c>
      <c r="H15" s="486" t="str">
        <f>TEXT(INPUT!D117+1,"0")&amp;"F"</f>
        <v>2026F</v>
      </c>
      <c r="I15" s="486" t="str">
        <f>TEXT(INPUT!D117+2,"0")&amp;"F"</f>
        <v>2027F</v>
      </c>
      <c r="J15" s="486" t="str">
        <f>TEXT(INPUT!D117+3,"0")&amp;"F"</f>
        <v>2028F</v>
      </c>
      <c r="K15" s="486" t="str">
        <f>TEXT(INPUT!D117+4,"0")&amp;"F"</f>
        <v>2029F</v>
      </c>
      <c r="L15" s="486" t="str">
        <f>TEXT(INPUT!D117+5,"0")&amp;"F"</f>
        <v>2030F</v>
      </c>
      <c r="M15" s="87"/>
    </row>
    <row r="16" spans="1:14" ht="15" customHeight="1" x14ac:dyDescent="0.35">
      <c r="A16" s="311"/>
      <c r="B16" s="66" t="s">
        <v>6</v>
      </c>
      <c r="C16" s="284"/>
      <c r="D16" s="273">
        <f>INPUT!E9</f>
        <v>67409</v>
      </c>
      <c r="E16" s="273">
        <f>INPUT!F9</f>
        <v>67934</v>
      </c>
      <c r="F16" s="273">
        <f>INPUT!G9</f>
        <v>70131</v>
      </c>
      <c r="G16" s="273">
        <f>INPUT!H9</f>
        <v>75654</v>
      </c>
      <c r="H16" s="273">
        <f>INPUT!H9*(1+IF($D$6="Pessimistic",$D$8,IF($D$6="Realistic",$E$8,$F$8)))</f>
        <v>81611.950720793931</v>
      </c>
      <c r="I16" s="273">
        <f>H16*(1+IF($D$6="Pessimistic",$D$8,IF($D$6="Realistic",$E$8,$F$8)))</f>
        <v>88039.105671257275</v>
      </c>
      <c r="J16" s="273">
        <f>I16*(1+IF($D$6="Pessimistic",$D$8,IF($D$6="Realistic",$E$8,$F$8)))</f>
        <v>94972.415913836929</v>
      </c>
      <c r="K16" s="273">
        <f>J16*(1+IF($D$6="Pessimistic",$D$8,IF($D$6="Realistic",$E$8,$F$8)))</f>
        <v>102451.74250396284</v>
      </c>
      <c r="L16" s="273">
        <f>K16*(1+IF($D$6="Pessimistic",$D$8,IF($D$6="Realistic",$E$8,$F$8)))</f>
        <v>110520.08565961992</v>
      </c>
      <c r="M16" s="87"/>
    </row>
    <row r="17" spans="1:13" ht="15" customHeight="1" x14ac:dyDescent="0.35">
      <c r="A17" s="311"/>
      <c r="B17" s="62" t="s">
        <v>8</v>
      </c>
      <c r="C17" s="284"/>
      <c r="D17" s="273">
        <f>INPUT!E11</f>
        <v>-114690</v>
      </c>
      <c r="E17" s="273">
        <f>INPUT!F11</f>
        <v>-88638</v>
      </c>
      <c r="F17" s="273">
        <f>INPUT!G11</f>
        <v>-69947</v>
      </c>
      <c r="G17" s="273">
        <f>INPUT!H11</f>
        <v>-54843</v>
      </c>
      <c r="H17" s="274">
        <f>H16*IF($D$6="Pessimistic",$D$9,IF($D$6="Realistic",$E$9,$F$9))</f>
        <v>79571.651952774075</v>
      </c>
      <c r="I17" s="273">
        <f>I16*IF($D$6="Pessimistic",$D$9,IF($D$6="Realistic",$E$9,$F$9))</f>
        <v>85838.128029475847</v>
      </c>
      <c r="J17" s="273">
        <f>J16*IF($D$6="Pessimistic",$D$9,IF($D$6="Realistic",$E$9,$F$9))</f>
        <v>92598.105515991003</v>
      </c>
      <c r="K17" s="273">
        <f>K16*IF($D$6="Pessimistic",$D$9,IF($D$6="Realistic",$E$9,$F$9))</f>
        <v>99890.448941363764</v>
      </c>
      <c r="L17" s="273">
        <f>L16*IF($D$6="Pessimistic",$D$9,IF($D$6="Realistic",$E$9,$F$9))</f>
        <v>107757.08351812941</v>
      </c>
      <c r="M17" s="87"/>
    </row>
    <row r="18" spans="1:13" ht="15" customHeight="1" x14ac:dyDescent="0.35">
      <c r="A18" s="311"/>
      <c r="B18" s="62" t="s">
        <v>240</v>
      </c>
      <c r="C18" s="284"/>
      <c r="D18" s="273">
        <f>INPUT!E30</f>
        <v>-123625</v>
      </c>
      <c r="E18" s="273">
        <f>INPUT!F30</f>
        <v>-98784</v>
      </c>
      <c r="F18" s="273">
        <f>INPUT!G30</f>
        <v>-80478</v>
      </c>
      <c r="G18" s="273">
        <f>INPUT!H30</f>
        <v>-67530</v>
      </c>
      <c r="H18" s="274">
        <f>H16*IF($D$6="Pessimistic",$D$10,IF($D$6="Realistic",$E$10,$F$10))</f>
        <v>3101.2541273901693</v>
      </c>
      <c r="I18" s="273">
        <f>I16*IF($D$6="Pessimistic",$D$10,IF($D$6="Realistic",$E$10,$F$10))</f>
        <v>3345.4860155077763</v>
      </c>
      <c r="J18" s="273">
        <f>J16*IF($D$6="Pessimistic",$D$10,IF($D$6="Realistic",$E$10,$F$10))</f>
        <v>3608.9518047258034</v>
      </c>
      <c r="K18" s="273">
        <f>K16*IF($D$6="Pessimistic",$D$10,IF($D$6="Realistic",$E$10,$F$10))</f>
        <v>3893.166215150588</v>
      </c>
      <c r="L18" s="273">
        <f>L16*IF($D$6="Pessimistic",$D$10,IF($D$6="Realistic",$E$10,$F$10))</f>
        <v>4199.7632550655571</v>
      </c>
      <c r="M18" s="87"/>
    </row>
    <row r="19" spans="1:13" ht="15" customHeight="1" x14ac:dyDescent="0.35">
      <c r="A19" s="311"/>
      <c r="B19" s="66" t="s">
        <v>15</v>
      </c>
      <c r="C19" s="284"/>
      <c r="D19" s="273">
        <f>INPUT!E26</f>
        <v>-104284</v>
      </c>
      <c r="E19" s="273">
        <f>INPUT!F26</f>
        <v>-74214</v>
      </c>
      <c r="F19" s="273">
        <f>INPUT!G26</f>
        <v>-64944</v>
      </c>
      <c r="G19" s="273">
        <f>INPUT!H26</f>
        <v>-50628</v>
      </c>
      <c r="H19" s="273">
        <f>H18*0.6</f>
        <v>1860.7524764341015</v>
      </c>
      <c r="I19" s="273">
        <f>I18*0.6</f>
        <v>2007.2916093046656</v>
      </c>
      <c r="J19" s="273">
        <f>J18*0.6</f>
        <v>2165.371082835482</v>
      </c>
      <c r="K19" s="273">
        <f>K18*0.6</f>
        <v>2335.8997290903526</v>
      </c>
      <c r="L19" s="273">
        <f>L18*0.6</f>
        <v>2519.857953039334</v>
      </c>
      <c r="M19" s="87"/>
    </row>
    <row r="20" spans="1:13" ht="15" customHeight="1" x14ac:dyDescent="0.35">
      <c r="A20" s="311"/>
      <c r="B20" s="62" t="s">
        <v>241</v>
      </c>
      <c r="C20" s="284"/>
      <c r="D20" s="487">
        <f>IFERROR(INPUT!E75+INPUT!E78,"–")</f>
        <v>-114740</v>
      </c>
      <c r="E20" s="487">
        <f>IFERROR(INPUT!F75+INPUT!F78,"–")</f>
        <v>-106079</v>
      </c>
      <c r="F20" s="487">
        <f>IFERROR(INPUT!G75+INPUT!G78,"–")</f>
        <v>-80266</v>
      </c>
      <c r="G20" s="487">
        <f>IFERROR(INPUT!H75+INPUT!H78,"–")</f>
        <v>-73982</v>
      </c>
      <c r="H20" s="275">
        <f>H18*0.5</f>
        <v>1550.6270636950846</v>
      </c>
      <c r="I20" s="275">
        <f>I18*0.5</f>
        <v>1672.7430077538882</v>
      </c>
      <c r="J20" s="275">
        <f>J18*0.5</f>
        <v>1804.4759023629017</v>
      </c>
      <c r="K20" s="275">
        <f>K18*0.5</f>
        <v>1946.583107575294</v>
      </c>
      <c r="L20" s="275">
        <f>L18*0.5</f>
        <v>2099.8816275327786</v>
      </c>
      <c r="M20" s="87"/>
    </row>
    <row r="21" spans="1:13" ht="15" customHeight="1" thickBot="1" x14ac:dyDescent="0.4">
      <c r="A21" s="313"/>
      <c r="B21" s="62" t="s">
        <v>473</v>
      </c>
      <c r="C21" s="190"/>
      <c r="D21" s="228">
        <f>$D$10</f>
        <v>3.3000000000000002E-2</v>
      </c>
      <c r="E21" s="228">
        <f>$E$10</f>
        <v>3.7999999999999999E-2</v>
      </c>
      <c r="F21" s="228">
        <f>$F$10</f>
        <v>4.2999999999999997E-2</v>
      </c>
      <c r="G21" s="228">
        <f>IFERROR(INPUT!H30/INPUT!H9,"–")</f>
        <v>-0.89261638512173846</v>
      </c>
      <c r="H21" s="228">
        <f>IFERROR(H18/H16,"–")</f>
        <v>3.7999999999999999E-2</v>
      </c>
      <c r="I21" s="228">
        <f>IFERROR(I18/I16,"–")</f>
        <v>3.7999999999999999E-2</v>
      </c>
      <c r="J21" s="228">
        <f>IFERROR(J18/J16,"–")</f>
        <v>3.7999999999999999E-2</v>
      </c>
      <c r="K21" s="228">
        <f>IFERROR(K18/K16,"–")</f>
        <v>3.7999999999999999E-2</v>
      </c>
      <c r="L21" s="228">
        <f>IFERROR(L18/L16,"–")</f>
        <v>3.8000000000000006E-2</v>
      </c>
      <c r="M21" s="87"/>
    </row>
    <row r="22" spans="1:13" ht="15" customHeight="1" x14ac:dyDescent="0.35">
      <c r="A22" s="311"/>
      <c r="B22" s="64" t="s">
        <v>474</v>
      </c>
      <c r="C22" s="188"/>
      <c r="D22" s="30">
        <f>IFERROR(((VALUATION!D136-$D$12)/($D$11-$D$12))*VALUATION!D138,"–")</f>
        <v>-1740.4996720234717</v>
      </c>
      <c r="E22" s="30">
        <f>IFERROR(((VALUATION!D136-$E$12)/($E$11-$E$12))*VALUATION!D138,"–")</f>
        <v>-2509.5926193882751</v>
      </c>
      <c r="F22" s="53">
        <f>IFERROR(((VALUATION!D136-$F$12)/($F$11-$F$12))*VALUATION!D138,"–")</f>
        <v>-4439.9311463466211</v>
      </c>
      <c r="G22" s="55"/>
      <c r="H22" s="22"/>
      <c r="I22" s="22"/>
      <c r="J22" s="22"/>
      <c r="K22" s="22"/>
      <c r="L22" s="22"/>
      <c r="M22" s="276" t="str">
        <f>IFERROR("$"&amp;TEXT(IF($D$6="Pessimistic",VALUATION!D94*(1+$D$8+$D$10-$E$8-$E$10)*0.8,IF($D$6="Realistic",VALUATION!D94,VALUATION!D94*(1+$F$8+$F$10-$E$8-$E$10)*1.2)),"#,##0.00"),"–")</f>
        <v>$-3389,350.97</v>
      </c>
    </row>
    <row r="23" spans="1:13" ht="15" customHeight="1" x14ac:dyDescent="0.35">
      <c r="B23" s="64"/>
    </row>
    <row r="24" spans="1:13" ht="18" customHeight="1" x14ac:dyDescent="0.5">
      <c r="A24" s="277" t="s">
        <v>4</v>
      </c>
      <c r="B24" s="191" t="s">
        <v>243</v>
      </c>
      <c r="C24" s="7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spans="1:13" ht="21" customHeight="1" x14ac:dyDescent="0.35">
      <c r="A25" s="311"/>
      <c r="B25" s="77" t="s">
        <v>475</v>
      </c>
      <c r="C25" s="192"/>
      <c r="D25" s="79" t="s">
        <v>192</v>
      </c>
      <c r="E25" s="192" t="s">
        <v>193</v>
      </c>
      <c r="F25" s="71" t="s">
        <v>194</v>
      </c>
      <c r="G25" s="192"/>
      <c r="H25" s="192"/>
      <c r="I25" s="192"/>
      <c r="J25" s="192"/>
      <c r="K25" s="192"/>
      <c r="L25" s="192"/>
      <c r="M25" s="192"/>
    </row>
    <row r="26" spans="1:13" ht="15" customHeight="1" x14ac:dyDescent="0.35">
      <c r="A26" s="311"/>
      <c r="B26" s="66" t="s">
        <v>244</v>
      </c>
      <c r="C26" s="482">
        <v>0</v>
      </c>
      <c r="D26" s="281">
        <f>INPUT!H9*(1+$D$8)^5</f>
        <v>110520.08565961994</v>
      </c>
      <c r="E26" s="273">
        <f>INPUT!H9*(1+$E$8)^5</f>
        <v>110520.08565961994</v>
      </c>
      <c r="F26" s="273">
        <f>INPUT!H9*(1+$F$8)^5</f>
        <v>110520.08565961994</v>
      </c>
      <c r="G26" s="30"/>
      <c r="H26" s="30"/>
      <c r="I26" s="87"/>
    </row>
    <row r="27" spans="1:13" ht="15" customHeight="1" x14ac:dyDescent="0.35">
      <c r="A27" s="311"/>
      <c r="B27" s="66" t="s">
        <v>476</v>
      </c>
      <c r="C27" s="482">
        <v>0</v>
      </c>
      <c r="D27" s="281">
        <f>D26*$D$10</f>
        <v>3647.1628267674582</v>
      </c>
      <c r="E27" s="273">
        <f>E26*$E$10</f>
        <v>4199.763255065558</v>
      </c>
      <c r="F27" s="273">
        <f>F26*$F$10</f>
        <v>4752.3636833636574</v>
      </c>
      <c r="G27" s="30"/>
      <c r="H27" s="30"/>
      <c r="I27" s="87"/>
    </row>
    <row r="28" spans="1:13" ht="15" customHeight="1" x14ac:dyDescent="0.35">
      <c r="A28" s="311"/>
      <c r="B28" s="66" t="s">
        <v>477</v>
      </c>
      <c r="C28" s="482">
        <v>0</v>
      </c>
      <c r="D28" s="281">
        <f>D27*0.6</f>
        <v>2188.2976960604747</v>
      </c>
      <c r="E28" s="273">
        <f>E27*0.6</f>
        <v>2519.8579530393349</v>
      </c>
      <c r="F28" s="273">
        <f>F27*0.6</f>
        <v>2851.4182100181943</v>
      </c>
      <c r="G28" s="30"/>
      <c r="H28" s="30"/>
      <c r="I28" s="87"/>
    </row>
    <row r="29" spans="1:13" ht="15" customHeight="1" x14ac:dyDescent="0.35">
      <c r="A29" s="311"/>
      <c r="B29" s="66" t="s">
        <v>478</v>
      </c>
      <c r="C29" s="482">
        <v>0</v>
      </c>
      <c r="D29" s="281">
        <f>D27*0.5</f>
        <v>1823.5814133837291</v>
      </c>
      <c r="E29" s="273">
        <f>E27*0.5</f>
        <v>2099.881627532779</v>
      </c>
      <c r="F29" s="273">
        <f>F27*0.5</f>
        <v>2376.1818416818287</v>
      </c>
      <c r="G29" s="30"/>
      <c r="H29" s="30"/>
      <c r="I29" s="87"/>
    </row>
    <row r="30" spans="1:13" ht="15" customHeight="1" x14ac:dyDescent="0.35">
      <c r="A30" s="313"/>
      <c r="B30" s="62" t="s">
        <v>479</v>
      </c>
      <c r="C30" s="11"/>
      <c r="D30" s="282">
        <f>$D$9</f>
        <v>1.01</v>
      </c>
      <c r="E30" s="408">
        <f>$E$9</f>
        <v>0.97499999999999998</v>
      </c>
      <c r="F30" s="408">
        <f>$F$9</f>
        <v>0.94499999999999995</v>
      </c>
      <c r="G30" s="30"/>
      <c r="H30" s="30"/>
      <c r="I30" s="87"/>
    </row>
    <row r="31" spans="1:13" ht="15" customHeight="1" x14ac:dyDescent="0.35">
      <c r="A31" s="311"/>
      <c r="B31" s="64" t="s">
        <v>480</v>
      </c>
      <c r="C31" s="9"/>
      <c r="D31" s="283" t="s">
        <v>481</v>
      </c>
      <c r="E31" s="276" t="s">
        <v>482</v>
      </c>
      <c r="F31" s="276" t="s">
        <v>483</v>
      </c>
      <c r="G31" s="22"/>
      <c r="H31" s="22"/>
      <c r="I31" s="87"/>
    </row>
    <row r="32" spans="1:13" ht="15" customHeight="1" x14ac:dyDescent="0.5">
      <c r="A32" s="277" t="s">
        <v>4</v>
      </c>
      <c r="B32" s="196" t="s">
        <v>246</v>
      </c>
      <c r="C32" s="101"/>
      <c r="D32" s="408" t="str">
        <f>"—"</f>
        <v>—</v>
      </c>
      <c r="E32" s="408" t="str">
        <f>"—"</f>
        <v>—</v>
      </c>
      <c r="F32" s="408">
        <f>IFERROR(F26/D26-1,"–")</f>
        <v>0</v>
      </c>
      <c r="G32" s="99"/>
      <c r="H32" s="99"/>
      <c r="I32" s="99"/>
      <c r="J32" s="99"/>
      <c r="K32" s="99"/>
      <c r="L32" s="99"/>
      <c r="M32" s="99"/>
    </row>
    <row r="33" spans="1:13" ht="18" customHeight="1" x14ac:dyDescent="0.35">
      <c r="A33" s="311"/>
      <c r="B33" s="66" t="s">
        <v>6</v>
      </c>
      <c r="C33" s="67"/>
      <c r="D33" s="121"/>
      <c r="E33" s="120"/>
      <c r="F33" s="120"/>
      <c r="G33" s="120"/>
      <c r="H33" s="120"/>
      <c r="I33" s="120"/>
      <c r="J33" s="30"/>
      <c r="K33" s="30"/>
      <c r="L33" s="30"/>
      <c r="M33" s="30"/>
    </row>
    <row r="34" spans="1:13" ht="15" customHeight="1" x14ac:dyDescent="0.35">
      <c r="A34" s="311"/>
      <c r="B34" s="195" t="str">
        <f>"▶ SCÉNARIO SÉLECTIONNÉ : "&amp;$D$6</f>
        <v>▶ SCÉNARIO SÉLECTIONNÉ : Realistic</v>
      </c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</row>
    <row r="35" spans="1:13" ht="15" customHeight="1" x14ac:dyDescent="0.35">
      <c r="A35" s="311"/>
      <c r="B35" s="66"/>
      <c r="C35" s="67"/>
      <c r="D35" s="121"/>
      <c r="E35" s="120"/>
      <c r="F35" s="120"/>
      <c r="G35" s="120"/>
      <c r="H35" s="120"/>
      <c r="I35" s="120"/>
      <c r="J35" s="30"/>
      <c r="K35" s="30"/>
      <c r="L35" s="30"/>
      <c r="M35" s="30"/>
    </row>
    <row r="36" spans="1:13" ht="15" customHeight="1" x14ac:dyDescent="0.35">
      <c r="A36" s="311"/>
      <c r="B36" s="193" t="s">
        <v>247</v>
      </c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</row>
    <row r="37" spans="1:13" ht="15" customHeight="1" x14ac:dyDescent="0.35">
      <c r="A37" s="311"/>
      <c r="B37" s="77" t="s">
        <v>88</v>
      </c>
      <c r="C37" s="77"/>
      <c r="D37" s="488" t="str">
        <f>TEXT(INPUT!D117+1,"0")&amp;"F"</f>
        <v>2026F</v>
      </c>
      <c r="E37" s="488" t="str">
        <f>TEXT(INPUT!D117+2,"0")&amp;"F"</f>
        <v>2027F</v>
      </c>
      <c r="F37" s="488" t="str">
        <f>TEXT(INPUT!D117+3,"0")&amp;"F"</f>
        <v>2028F</v>
      </c>
      <c r="G37" s="488" t="str">
        <f>TEXT(INPUT!D117+4,"0")&amp;"F"</f>
        <v>2029F</v>
      </c>
      <c r="H37" s="488" t="str">
        <f>TEXT(INPUT!D117+5,"0")&amp;"F"</f>
        <v>2030F</v>
      </c>
      <c r="I37" s="192"/>
      <c r="J37" s="192"/>
      <c r="K37" s="192"/>
      <c r="L37" s="192"/>
      <c r="M37" s="192"/>
    </row>
    <row r="38" spans="1:13" ht="15" customHeight="1" x14ac:dyDescent="0.35">
      <c r="A38" s="311"/>
      <c r="B38" s="66" t="s">
        <v>192</v>
      </c>
      <c r="C38" s="68"/>
      <c r="D38" s="273">
        <f>IF(INPUT!H9="",NA(),INPUT!H9*(1+$D$8))</f>
        <v>81611.950720793931</v>
      </c>
      <c r="E38" s="274">
        <f>IF(INPUT!H9="",NA(),D38*(1+$D$8))</f>
        <v>88039.105671257275</v>
      </c>
      <c r="F38" s="274">
        <f>IF(INPUT!H9="",NA(),E38*(1+$D$8))</f>
        <v>94972.415913836929</v>
      </c>
      <c r="G38" s="274">
        <f>IF(INPUT!H9="",NA(),F38*(1+$D$8))</f>
        <v>102451.74250396284</v>
      </c>
      <c r="H38" s="274">
        <f>IF(INPUT!H9="",NA(),G38*(1+$D$8))</f>
        <v>110520.08565961992</v>
      </c>
      <c r="I38" s="119"/>
      <c r="J38" s="30"/>
      <c r="K38" s="30"/>
      <c r="L38" s="30"/>
      <c r="M38" s="30"/>
    </row>
    <row r="39" spans="1:13" ht="15" customHeight="1" x14ac:dyDescent="0.35">
      <c r="A39" s="313"/>
      <c r="B39" s="62" t="s">
        <v>193</v>
      </c>
      <c r="C39" s="63"/>
      <c r="D39" s="273">
        <f>IF(INPUT!H9="",NA(),INPUT!H9*(1+$E$8))</f>
        <v>81611.950720793931</v>
      </c>
      <c r="E39" s="274">
        <f>IF(INPUT!H9="",NA(),D39*(1+$E$8))</f>
        <v>88039.105671257275</v>
      </c>
      <c r="F39" s="274">
        <f>IF(INPUT!H9="",NA(),E39*(1+$E$8))</f>
        <v>94972.415913836929</v>
      </c>
      <c r="G39" s="274">
        <f>IF(INPUT!H9="",NA(),F39*(1+$E$8))</f>
        <v>102451.74250396284</v>
      </c>
      <c r="H39" s="274">
        <f>IF(INPUT!H9="",NA(),G39*(1+$E$8))</f>
        <v>110520.08565961992</v>
      </c>
      <c r="I39" s="90"/>
      <c r="J39" s="30"/>
      <c r="K39" s="30"/>
      <c r="L39" s="30"/>
      <c r="M39" s="30"/>
    </row>
    <row r="40" spans="1:13" ht="15" customHeight="1" x14ac:dyDescent="0.35">
      <c r="A40" s="311"/>
      <c r="B40" s="69" t="s">
        <v>194</v>
      </c>
      <c r="C40" s="3"/>
      <c r="D40" s="273">
        <f>IF(INPUT!H9="",NA(),INPUT!H9*(1+$F$8))</f>
        <v>81611.950720793931</v>
      </c>
      <c r="E40" s="273">
        <f>IF(INPUT!H9="",NA(),D40*(1+$F$8))</f>
        <v>88039.105671257275</v>
      </c>
      <c r="F40" s="273">
        <f>IF(INPUT!H9="",NA(),E40*(1+$F$8))</f>
        <v>94972.415913836929</v>
      </c>
      <c r="G40" s="273">
        <f>IF(INPUT!H9="",NA(),F40*(1+$F$8))</f>
        <v>102451.74250396284</v>
      </c>
      <c r="H40" s="273">
        <f>IF(INPUT!H9="",NA(),G40*(1+$F$8))</f>
        <v>110520.08565961992</v>
      </c>
      <c r="I40" s="22"/>
      <c r="J40" s="22"/>
      <c r="K40" s="22"/>
      <c r="L40" s="22"/>
      <c r="M40" s="22"/>
    </row>
    <row r="41" spans="1:13" ht="15" customHeight="1" x14ac:dyDescent="0.5">
      <c r="A41" s="277" t="s">
        <v>4</v>
      </c>
      <c r="B41" s="278" t="s">
        <v>243</v>
      </c>
      <c r="C41" s="279"/>
      <c r="D41" s="370"/>
      <c r="E41" s="271"/>
      <c r="F41" s="271"/>
      <c r="G41" s="271"/>
      <c r="H41" s="271"/>
      <c r="I41" s="271"/>
      <c r="J41" s="271"/>
      <c r="K41" s="271"/>
      <c r="L41" s="271"/>
      <c r="M41" s="271"/>
    </row>
    <row r="42" spans="1:13" ht="12.75" customHeight="1" x14ac:dyDescent="0.35">
      <c r="A42" s="312"/>
      <c r="B42" s="26" t="s">
        <v>484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</row>
    <row r="43" spans="1:13" ht="15" customHeight="1" x14ac:dyDescent="0.35">
      <c r="A43" s="311"/>
      <c r="B43" s="16" t="s">
        <v>88</v>
      </c>
      <c r="C43" s="77"/>
      <c r="D43" s="489" t="str">
        <f>TEXT(INPUT!D117+1,"0")&amp;"F"</f>
        <v>2026F</v>
      </c>
      <c r="E43" s="489" t="str">
        <f>TEXT(INPUT!D117+2,"0")&amp;"F"</f>
        <v>2027F</v>
      </c>
      <c r="F43" s="489" t="str">
        <f>TEXT(INPUT!D117+3,"0")&amp;"F"</f>
        <v>2028F</v>
      </c>
      <c r="G43" s="489" t="str">
        <f>TEXT(INPUT!D117+4,"0")&amp;"F"</f>
        <v>2029F</v>
      </c>
      <c r="H43" s="489" t="str">
        <f>TEXT(INPUT!D117+5,"0")&amp;"F"</f>
        <v>2030F</v>
      </c>
      <c r="I43" s="194"/>
      <c r="J43" s="194"/>
      <c r="K43" s="194"/>
      <c r="L43" s="194"/>
      <c r="M43" s="194"/>
    </row>
    <row r="44" spans="1:13" ht="15" customHeight="1" x14ac:dyDescent="0.35">
      <c r="A44" s="311"/>
      <c r="B44" s="69" t="s">
        <v>485</v>
      </c>
      <c r="C44" s="67"/>
      <c r="D44" s="219">
        <f>$D$9</f>
        <v>1.01</v>
      </c>
      <c r="E44" s="219">
        <f>$D$9</f>
        <v>1.01</v>
      </c>
      <c r="F44" s="219">
        <f>IF(F38=0,0,F38*$D$10)</f>
        <v>3134.0897251566189</v>
      </c>
      <c r="G44" s="219">
        <f>IF(G38=0,0,G38*$D$10)</f>
        <v>3380.9075026307742</v>
      </c>
      <c r="H44" s="217">
        <f>IF(H38=0,0,H38*$D$10)</f>
        <v>3647.1628267674573</v>
      </c>
      <c r="I44" s="53"/>
      <c r="J44" s="30"/>
      <c r="K44" s="30"/>
      <c r="L44" s="30"/>
      <c r="M44" s="30"/>
    </row>
    <row r="45" spans="1:13" ht="15" customHeight="1" x14ac:dyDescent="0.35">
      <c r="A45" s="311"/>
      <c r="B45" s="69" t="s">
        <v>486</v>
      </c>
      <c r="C45" s="67"/>
      <c r="D45" s="219">
        <f>$E$9</f>
        <v>0.97499999999999998</v>
      </c>
      <c r="E45" s="219">
        <f>$E$9</f>
        <v>0.97499999999999998</v>
      </c>
      <c r="F45" s="219">
        <f>IF(F39=0,0,F39*$E$10)</f>
        <v>3608.9518047258034</v>
      </c>
      <c r="G45" s="219">
        <f>IF(G39=0,0,G39*$E$10)</f>
        <v>3893.166215150588</v>
      </c>
      <c r="H45" s="217">
        <f>IF(H39=0,0,H39*$E$10)</f>
        <v>4199.7632550655571</v>
      </c>
      <c r="I45" s="53"/>
      <c r="J45" s="30"/>
      <c r="K45" s="30"/>
      <c r="L45" s="30"/>
      <c r="M45" s="30"/>
    </row>
    <row r="46" spans="1:13" ht="15" customHeight="1" x14ac:dyDescent="0.35">
      <c r="A46" s="311"/>
      <c r="B46" s="69" t="s">
        <v>194</v>
      </c>
      <c r="C46" s="67"/>
      <c r="D46" s="219">
        <f>IF(D40=0,0,D40*$F$10)</f>
        <v>3509.3138809941388</v>
      </c>
      <c r="E46" s="219">
        <f>IF(E40=0,0,E40*$F$10)</f>
        <v>3785.6815438640624</v>
      </c>
      <c r="F46" s="219">
        <f>IF(F40=0,0,F40*$F$10)</f>
        <v>4083.8138842949875</v>
      </c>
      <c r="G46" s="219">
        <f>IF(G40=0,0,G40*$F$10)</f>
        <v>4405.4249276704022</v>
      </c>
      <c r="H46" s="217">
        <f>IF(H40=0,0,H40*$F$10)</f>
        <v>4752.3636833636556</v>
      </c>
      <c r="I46" s="53"/>
      <c r="J46" s="30"/>
      <c r="K46" s="30"/>
      <c r="L46" s="30"/>
      <c r="M46" s="30"/>
    </row>
    <row r="47" spans="1:13" ht="15" customHeight="1" x14ac:dyDescent="0.35">
      <c r="A47" s="311"/>
      <c r="B47" s="69" t="s">
        <v>245</v>
      </c>
      <c r="C47" s="68"/>
      <c r="D47" s="54"/>
      <c r="E47" s="265">
        <f>IFERROR(H44/H38,"–")</f>
        <v>3.3000000000000002E-2</v>
      </c>
      <c r="F47" s="265">
        <f>IFERROR(H45/H39,"–")</f>
        <v>3.8000000000000006E-2</v>
      </c>
      <c r="G47" s="265">
        <f>IFERROR(H46/H40,"–")</f>
        <v>4.299999999999999E-2</v>
      </c>
      <c r="H47" s="75"/>
      <c r="I47" s="53"/>
      <c r="J47" s="30"/>
      <c r="K47" s="30"/>
      <c r="L47" s="30"/>
      <c r="M47" s="30"/>
    </row>
    <row r="48" spans="1:13" ht="15" customHeight="1" thickBot="1" x14ac:dyDescent="0.4">
      <c r="A48" s="313"/>
      <c r="B48" s="64" t="s">
        <v>242</v>
      </c>
      <c r="C48" s="63"/>
      <c r="D48" s="61"/>
      <c r="E48" s="490" t="str">
        <f>IFERROR("$"&amp;TEXT(VALUATION!D94*(1+$D$8+$D$10-$E$8-$E$10)*0.8,"#,##0.00"),"–")</f>
        <v>$-2697,923.37</v>
      </c>
      <c r="F48" s="490" t="str">
        <f>IFERROR("$"&amp;TEXT(VALUATION!D94,"#,##0.00"),"–")</f>
        <v>$-3389,350.97</v>
      </c>
      <c r="G48" s="490" t="str">
        <f>IFERROR("$"&amp;TEXT(VALUATION!D94*(1+$F$8+$F$10-$E$8-$E$10)*1.2,"#,##0.00"),"–")</f>
        <v>$-4087,557.27</v>
      </c>
      <c r="H48" s="75"/>
      <c r="I48" s="56"/>
      <c r="J48" s="30"/>
      <c r="K48" s="30"/>
      <c r="L48" s="30"/>
      <c r="M48" s="30"/>
    </row>
    <row r="49" spans="1:14" ht="15" customHeight="1" x14ac:dyDescent="0.35">
      <c r="A49" s="311"/>
      <c r="B49" s="14"/>
      <c r="C49" s="3"/>
      <c r="D49" s="22"/>
      <c r="E49" s="22"/>
      <c r="F49" s="22"/>
      <c r="G49" s="22"/>
      <c r="H49" s="22"/>
      <c r="I49" s="22"/>
      <c r="J49" s="22"/>
      <c r="K49" s="22"/>
      <c r="L49" s="22"/>
      <c r="M49" s="22"/>
    </row>
    <row r="50" spans="1:14" ht="15" customHeight="1" x14ac:dyDescent="0.35">
      <c r="A50" s="311"/>
      <c r="B50" s="39" t="s">
        <v>248</v>
      </c>
      <c r="C50" s="3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1:14" ht="15" customHeight="1" x14ac:dyDescent="0.35">
      <c r="A51" s="311"/>
      <c r="B51" s="14"/>
      <c r="C51" s="3"/>
      <c r="D51" s="22"/>
      <c r="E51" s="22"/>
      <c r="F51" s="22"/>
      <c r="G51" s="22"/>
      <c r="H51" s="22"/>
      <c r="I51" s="22"/>
      <c r="J51" s="22"/>
      <c r="K51" s="22"/>
      <c r="L51" s="22"/>
      <c r="M51" s="22"/>
    </row>
    <row r="52" spans="1:14" ht="15" customHeight="1" x14ac:dyDescent="0.35">
      <c r="A52" s="315"/>
      <c r="B52" s="31" t="s">
        <v>82</v>
      </c>
      <c r="C52" s="4"/>
      <c r="D52" s="4"/>
      <c r="E52" s="32"/>
      <c r="F52" s="32"/>
      <c r="G52" s="32"/>
      <c r="H52" s="32"/>
      <c r="I52" s="32"/>
      <c r="J52" s="32"/>
      <c r="K52" s="32"/>
      <c r="L52" s="32"/>
      <c r="M52" s="32"/>
      <c r="N52" s="86"/>
    </row>
    <row r="53" spans="1:14" ht="15" customHeight="1" x14ac:dyDescent="0.35">
      <c r="A53" s="315"/>
      <c r="B53" s="31" t="s">
        <v>83</v>
      </c>
      <c r="C53" s="4"/>
      <c r="D53" s="4"/>
      <c r="E53" s="32"/>
      <c r="F53" s="32"/>
      <c r="G53" s="32"/>
      <c r="H53" s="32"/>
      <c r="I53" s="32"/>
      <c r="J53" s="32"/>
      <c r="K53" s="32"/>
      <c r="L53" s="32"/>
      <c r="M53" s="32"/>
      <c r="N53" s="86"/>
    </row>
    <row r="54" spans="1:14" ht="15" customHeight="1" x14ac:dyDescent="0.35">
      <c r="A54" s="315"/>
      <c r="B54" s="31" t="s">
        <v>84</v>
      </c>
      <c r="C54" s="4"/>
      <c r="D54" s="4"/>
      <c r="E54" s="32"/>
      <c r="F54" s="32"/>
      <c r="G54" s="32"/>
      <c r="H54" s="32"/>
      <c r="I54" s="32"/>
      <c r="J54" s="32"/>
      <c r="K54" s="32"/>
      <c r="L54" s="32"/>
      <c r="M54" s="32"/>
      <c r="N54" s="86"/>
    </row>
    <row r="55" spans="1:14" ht="15" customHeight="1" x14ac:dyDescent="0.35">
      <c r="A55" s="311"/>
      <c r="B55" s="14"/>
      <c r="C55" s="3"/>
      <c r="D55" s="22"/>
      <c r="E55" s="22"/>
      <c r="F55" s="22"/>
      <c r="G55" s="22"/>
      <c r="H55" s="22"/>
      <c r="I55" s="22"/>
      <c r="J55" s="22"/>
      <c r="K55" s="22"/>
      <c r="L55" s="22"/>
      <c r="M55" s="22"/>
    </row>
    <row r="56" spans="1:14" ht="15" customHeight="1" x14ac:dyDescent="0.35">
      <c r="A56" s="312"/>
      <c r="B56" s="16" t="s">
        <v>249</v>
      </c>
      <c r="C56" s="491">
        <f>INPUT!D117+1</f>
        <v>2026</v>
      </c>
      <c r="D56" s="491">
        <f>INPUT!D117+2</f>
        <v>2027</v>
      </c>
      <c r="E56" s="491">
        <f>INPUT!D117+3</f>
        <v>2028</v>
      </c>
      <c r="F56" s="491">
        <f>INPUT!D117+4</f>
        <v>2029</v>
      </c>
      <c r="G56" s="491">
        <f>INPUT!D117+5</f>
        <v>2030</v>
      </c>
      <c r="H56" s="24"/>
      <c r="I56" s="24"/>
      <c r="J56" s="24"/>
      <c r="K56" s="24"/>
      <c r="L56" s="24"/>
      <c r="M56" s="24"/>
      <c r="N56" s="88"/>
    </row>
    <row r="57" spans="1:14" ht="15" customHeight="1" x14ac:dyDescent="0.35">
      <c r="A57" s="311"/>
      <c r="B57" s="14" t="s">
        <v>192</v>
      </c>
      <c r="C57" s="492">
        <f>IF(INPUT!H9="",NA(),INPUT!H9*(1+$D$8))</f>
        <v>81611.950720793931</v>
      </c>
      <c r="D57" s="280">
        <f>IF(INPUT!H9="",NA(),C57*(1+$D$8))</f>
        <v>88039.105671257275</v>
      </c>
      <c r="E57" s="492">
        <f>IF(INPUT!H9="",NA(),D57*(1+$D$8))</f>
        <v>94972.415913836929</v>
      </c>
      <c r="F57" s="492">
        <f>IF(INPUT!H9="",NA(),E57*(1+$D$8))</f>
        <v>102451.74250396284</v>
      </c>
      <c r="G57" s="492">
        <f>IF(INPUT!H9="",NA(),F57*(1+$D$8))</f>
        <v>110520.08565961992</v>
      </c>
      <c r="H57" s="22"/>
      <c r="I57" s="22"/>
      <c r="J57" s="22"/>
      <c r="K57" s="22"/>
      <c r="L57" s="22"/>
      <c r="M57" s="22"/>
    </row>
    <row r="58" spans="1:14" ht="15" customHeight="1" x14ac:dyDescent="0.35">
      <c r="A58" s="311"/>
      <c r="B58" s="14" t="s">
        <v>193</v>
      </c>
      <c r="C58" s="492">
        <f>IF(INPUT!H9="",NA(),INPUT!H9*(1+$E$8))</f>
        <v>81611.950720793931</v>
      </c>
      <c r="D58" s="280">
        <f>IF(INPUT!H9="",NA(),C58*(1+$E$8))</f>
        <v>88039.105671257275</v>
      </c>
      <c r="E58" s="492">
        <f>IF(INPUT!H9="",NA(),D58*(1+$E$8))</f>
        <v>94972.415913836929</v>
      </c>
      <c r="F58" s="492">
        <f>IF(INPUT!H9="",NA(),E58*(1+$E$8))</f>
        <v>102451.74250396284</v>
      </c>
      <c r="G58" s="492">
        <f>IF(INPUT!H9="",NA(),F58*(1+$E$8))</f>
        <v>110520.08565961992</v>
      </c>
      <c r="H58" s="22"/>
      <c r="I58" s="22"/>
      <c r="J58" s="22"/>
      <c r="K58" s="22"/>
      <c r="L58" s="22"/>
      <c r="M58" s="22"/>
    </row>
    <row r="59" spans="1:14" ht="15" customHeight="1" x14ac:dyDescent="0.35">
      <c r="A59" s="311"/>
      <c r="B59" s="14" t="s">
        <v>194</v>
      </c>
      <c r="C59" s="492">
        <f>IF(INPUT!H9="",NA(),INPUT!H9*(1+$F$8))</f>
        <v>81611.950720793931</v>
      </c>
      <c r="D59" s="280">
        <f>IF(INPUT!H9="",NA(),C59*(1+$F$8))</f>
        <v>88039.105671257275</v>
      </c>
      <c r="E59" s="492">
        <f>IF(INPUT!H9="",NA(),D59*(1+$F$8))</f>
        <v>94972.415913836929</v>
      </c>
      <c r="F59" s="492">
        <f>IF(INPUT!H9="",NA(),E59*(1+$F$8))</f>
        <v>102451.74250396284</v>
      </c>
      <c r="G59" s="492">
        <f>IF(INPUT!H9="",NA(),F59*(1+$F$8))</f>
        <v>110520.08565961992</v>
      </c>
      <c r="H59" s="22"/>
      <c r="I59" s="22"/>
      <c r="J59" s="22"/>
      <c r="K59" s="22"/>
      <c r="L59" s="22"/>
      <c r="M59" s="22"/>
    </row>
    <row r="60" spans="1:14" ht="15" customHeight="1" x14ac:dyDescent="0.35">
      <c r="A60" s="311"/>
      <c r="B60" s="14"/>
      <c r="C60" s="3"/>
      <c r="D60" s="22"/>
      <c r="E60" s="22"/>
      <c r="F60" s="22"/>
      <c r="G60" s="22"/>
      <c r="H60" s="22"/>
      <c r="I60" s="22"/>
      <c r="J60" s="22"/>
      <c r="K60" s="22"/>
      <c r="L60" s="22"/>
      <c r="M60" s="22"/>
    </row>
    <row r="61" spans="1:14" ht="15" customHeight="1" x14ac:dyDescent="0.35">
      <c r="A61" s="312"/>
      <c r="B61" s="16" t="s">
        <v>250</v>
      </c>
      <c r="C61" s="491">
        <f>INPUT!D117+1</f>
        <v>2026</v>
      </c>
      <c r="D61" s="491">
        <f>INPUT!D117+2</f>
        <v>2027</v>
      </c>
      <c r="E61" s="491">
        <f>INPUT!D117+3</f>
        <v>2028</v>
      </c>
      <c r="F61" s="491">
        <f>INPUT!D117+4</f>
        <v>2029</v>
      </c>
      <c r="G61" s="491">
        <f>INPUT!D117+5</f>
        <v>2030</v>
      </c>
      <c r="H61" s="24"/>
      <c r="I61" s="24"/>
      <c r="J61" s="24"/>
      <c r="K61" s="24"/>
      <c r="L61" s="24"/>
      <c r="M61" s="24"/>
      <c r="N61" s="88"/>
    </row>
    <row r="62" spans="1:14" ht="15" customHeight="1" x14ac:dyDescent="0.35">
      <c r="A62" s="311"/>
      <c r="B62" s="14" t="s">
        <v>192</v>
      </c>
      <c r="C62" s="492">
        <f>IF(INPUT!H9="",NA(),INPUT!H9*(1+$D$8)*$D$10)</f>
        <v>2693.1943737861998</v>
      </c>
      <c r="D62" s="280">
        <f>IF(INPUT!H9="",NA(),C57*(1+$D$8)*$D$10)</f>
        <v>2905.2904871514902</v>
      </c>
      <c r="E62" s="492">
        <f>IF(INPUT!H9="",NA(),D57*(1+$D$8)*$D$10)</f>
        <v>3134.0897251566189</v>
      </c>
      <c r="F62" s="492">
        <f>IF(INPUT!H9="",NA(),E57*(1+$D$8)*$D$10)</f>
        <v>3380.9075026307742</v>
      </c>
      <c r="G62" s="492">
        <f>IF(INPUT!H9="",NA(),F57*(1+$D$8)*$D$10)</f>
        <v>3647.1628267674573</v>
      </c>
      <c r="H62" s="22"/>
      <c r="I62" s="22"/>
      <c r="J62" s="22"/>
      <c r="K62" s="22"/>
      <c r="L62" s="22"/>
      <c r="M62" s="22"/>
    </row>
    <row r="63" spans="1:14" ht="15" customHeight="1" x14ac:dyDescent="0.35">
      <c r="A63" s="311"/>
      <c r="B63" s="14" t="s">
        <v>193</v>
      </c>
      <c r="C63" s="492">
        <f>IF(INPUT!H9="",NA(),INPUT!H9*(1+$E$8)*$E$10)</f>
        <v>3101.2541273901693</v>
      </c>
      <c r="D63" s="280">
        <f>IF(INPUT!H9="",NA(),C58*(1+$E$8)*$E$10)</f>
        <v>3345.4860155077763</v>
      </c>
      <c r="E63" s="492">
        <f>IF(INPUT!H9="",NA(),D58*(1+$E$8)*$E$10)</f>
        <v>3608.9518047258034</v>
      </c>
      <c r="F63" s="492">
        <f>IF(INPUT!H9="",NA(),E58*(1+$E$8)*$E$10)</f>
        <v>3893.166215150588</v>
      </c>
      <c r="G63" s="492">
        <f>IF(INPUT!H9="",NA(),F58*(1+$E$8)*$E$10)</f>
        <v>4199.7632550655571</v>
      </c>
      <c r="H63" s="22"/>
      <c r="I63" s="22"/>
      <c r="J63" s="22"/>
      <c r="K63" s="22"/>
      <c r="L63" s="22"/>
      <c r="M63" s="22"/>
    </row>
    <row r="64" spans="1:14" ht="15" customHeight="1" x14ac:dyDescent="0.35">
      <c r="A64" s="311"/>
      <c r="B64" s="14" t="s">
        <v>194</v>
      </c>
      <c r="C64" s="492">
        <f>IF(INPUT!H9="",NA(),INPUT!H9*(1+$F$8)*$F$10)</f>
        <v>3509.3138809941388</v>
      </c>
      <c r="D64" s="280">
        <f>IF(INPUT!H9="",NA(),C59*(1+$F$8)*$F$10)</f>
        <v>3785.6815438640624</v>
      </c>
      <c r="E64" s="492">
        <f>IF(INPUT!H9="",NA(),D59*(1+$F$8)*$F$10)</f>
        <v>4083.8138842949875</v>
      </c>
      <c r="F64" s="492">
        <f>IF(INPUT!H9="",NA(),E59*(1+$F$8)*$F$10)</f>
        <v>4405.4249276704022</v>
      </c>
      <c r="G64" s="492">
        <f>IF(INPUT!H9="",NA(),F59*(1+$F$8)*$F$10)</f>
        <v>4752.3636833636556</v>
      </c>
      <c r="H64" s="22"/>
      <c r="I64" s="22"/>
      <c r="J64" s="22"/>
      <c r="K64" s="22"/>
      <c r="L64" s="22"/>
      <c r="M64" s="22"/>
    </row>
    <row r="65" spans="2:3" ht="15" customHeight="1" x14ac:dyDescent="0.3">
      <c r="B65" s="45"/>
    </row>
    <row r="66" spans="2:3" ht="15" customHeight="1" x14ac:dyDescent="0.3">
      <c r="B66" s="45" t="s">
        <v>488</v>
      </c>
    </row>
    <row r="67" spans="2:3" ht="15" customHeight="1" x14ac:dyDescent="0.3">
      <c r="B67" s="45" t="s">
        <v>489</v>
      </c>
      <c r="C67" t="s">
        <v>398</v>
      </c>
    </row>
    <row r="68" spans="2:3" ht="15" customHeight="1" x14ac:dyDescent="0.3">
      <c r="B68" s="45" t="s">
        <v>490</v>
      </c>
      <c r="C68" s="415">
        <f>$D$9</f>
        <v>1.01</v>
      </c>
    </row>
    <row r="69" spans="2:3" ht="15" customHeight="1" x14ac:dyDescent="0.3">
      <c r="B69" s="45" t="s">
        <v>491</v>
      </c>
      <c r="C69" s="415">
        <f>$E$9</f>
        <v>0.97499999999999998</v>
      </c>
    </row>
    <row r="70" spans="2:3" ht="15" customHeight="1" x14ac:dyDescent="0.3">
      <c r="B70" s="45" t="s">
        <v>492</v>
      </c>
      <c r="C70" s="415">
        <f>$F$9</f>
        <v>0.94499999999999995</v>
      </c>
    </row>
    <row r="71" spans="2:3" ht="15" customHeight="1" x14ac:dyDescent="0.3">
      <c r="B71" s="45" t="s">
        <v>493</v>
      </c>
      <c r="C71" s="397">
        <v>1</v>
      </c>
    </row>
    <row r="72" spans="2:3" ht="15" customHeight="1" x14ac:dyDescent="0.3">
      <c r="B72" s="45"/>
    </row>
    <row r="73" spans="2:3" ht="15" customHeight="1" x14ac:dyDescent="0.3">
      <c r="B73" s="45"/>
    </row>
    <row r="74" spans="2:3" ht="15" customHeight="1" x14ac:dyDescent="0.3">
      <c r="B74" s="45"/>
    </row>
    <row r="75" spans="2:3" ht="15" customHeight="1" x14ac:dyDescent="0.3">
      <c r="B75" s="45"/>
    </row>
    <row r="76" spans="2:3" ht="15" customHeight="1" x14ac:dyDescent="0.3">
      <c r="B76" s="45"/>
    </row>
    <row r="77" spans="2:3" ht="15" customHeight="1" x14ac:dyDescent="0.3">
      <c r="B77" s="45"/>
    </row>
    <row r="78" spans="2:3" ht="15" customHeight="1" x14ac:dyDescent="0.3">
      <c r="B78" s="45"/>
    </row>
    <row r="79" spans="2:3" ht="15" customHeight="1" x14ac:dyDescent="0.3">
      <c r="B79" s="45"/>
    </row>
    <row r="80" spans="2:3" ht="15" customHeight="1" x14ac:dyDescent="0.3">
      <c r="B80" s="45"/>
    </row>
    <row r="81" spans="2:2" ht="15" customHeight="1" x14ac:dyDescent="0.3">
      <c r="B81" s="45"/>
    </row>
    <row r="82" spans="2:2" ht="15" customHeight="1" x14ac:dyDescent="0.3">
      <c r="B82" s="45"/>
    </row>
    <row r="83" spans="2:2" ht="15" customHeight="1" x14ac:dyDescent="0.3">
      <c r="B83" s="45"/>
    </row>
    <row r="84" spans="2:2" ht="15" customHeight="1" x14ac:dyDescent="0.3">
      <c r="B84" s="45"/>
    </row>
    <row r="85" spans="2:2" ht="15" customHeight="1" x14ac:dyDescent="0.3">
      <c r="B85" s="45"/>
    </row>
    <row r="86" spans="2:2" ht="15" customHeight="1" x14ac:dyDescent="0.3">
      <c r="B86" s="45"/>
    </row>
    <row r="87" spans="2:2" ht="15" customHeight="1" x14ac:dyDescent="0.3">
      <c r="B87" s="45"/>
    </row>
    <row r="88" spans="2:2" ht="15" customHeight="1" x14ac:dyDescent="0.3">
      <c r="B88" s="45"/>
    </row>
    <row r="89" spans="2:2" ht="15" customHeight="1" x14ac:dyDescent="0.3">
      <c r="B89" s="45"/>
    </row>
    <row r="90" spans="2:2" ht="15" customHeight="1" x14ac:dyDescent="0.3">
      <c r="B90" s="45"/>
    </row>
    <row r="91" spans="2:2" ht="15" customHeight="1" x14ac:dyDescent="0.3">
      <c r="B91" s="45"/>
    </row>
    <row r="92" spans="2:2" ht="15" customHeight="1" x14ac:dyDescent="0.3">
      <c r="B92" s="45"/>
    </row>
    <row r="93" spans="2:2" ht="15" customHeight="1" x14ac:dyDescent="0.3">
      <c r="B93" s="45"/>
    </row>
    <row r="94" spans="2:2" ht="15" customHeight="1" x14ac:dyDescent="0.3">
      <c r="B94" s="45"/>
    </row>
    <row r="95" spans="2:2" ht="15" customHeight="1" x14ac:dyDescent="0.3">
      <c r="B95" s="45"/>
    </row>
    <row r="96" spans="2:2" ht="15" customHeight="1" x14ac:dyDescent="0.3">
      <c r="B96" s="45"/>
    </row>
    <row r="97" spans="2:2" ht="15" customHeight="1" x14ac:dyDescent="0.3">
      <c r="B97" s="45"/>
    </row>
    <row r="98" spans="2:2" ht="15" customHeight="1" x14ac:dyDescent="0.3">
      <c r="B98" s="45"/>
    </row>
    <row r="99" spans="2:2" ht="15" customHeight="1" x14ac:dyDescent="0.3">
      <c r="B99" s="45"/>
    </row>
    <row r="100" spans="2:2" ht="15" customHeight="1" x14ac:dyDescent="0.3">
      <c r="B100" s="45"/>
    </row>
    <row r="101" spans="2:2" ht="15" customHeight="1" x14ac:dyDescent="0.3">
      <c r="B101" s="45"/>
    </row>
    <row r="102" spans="2:2" ht="15" customHeight="1" x14ac:dyDescent="0.3">
      <c r="B102" s="45"/>
    </row>
    <row r="103" spans="2:2" ht="15" customHeight="1" x14ac:dyDescent="0.3">
      <c r="B103" s="45"/>
    </row>
    <row r="104" spans="2:2" ht="15" customHeight="1" x14ac:dyDescent="0.3">
      <c r="B104" s="45"/>
    </row>
    <row r="105" spans="2:2" ht="15" customHeight="1" x14ac:dyDescent="0.3">
      <c r="B105" s="45"/>
    </row>
    <row r="106" spans="2:2" ht="15" customHeight="1" x14ac:dyDescent="0.3">
      <c r="B106" s="45"/>
    </row>
    <row r="107" spans="2:2" ht="15" customHeight="1" x14ac:dyDescent="0.3">
      <c r="B107" s="45"/>
    </row>
    <row r="108" spans="2:2" ht="15" customHeight="1" x14ac:dyDescent="0.3">
      <c r="B108" s="45"/>
    </row>
    <row r="109" spans="2:2" ht="15" customHeight="1" x14ac:dyDescent="0.3">
      <c r="B109" s="45"/>
    </row>
    <row r="110" spans="2:2" ht="15" customHeight="1" x14ac:dyDescent="0.3">
      <c r="B110" s="45"/>
    </row>
    <row r="111" spans="2:2" ht="15" customHeight="1" x14ac:dyDescent="0.3">
      <c r="B111" s="45"/>
    </row>
    <row r="112" spans="2:2" ht="15" customHeight="1" x14ac:dyDescent="0.3">
      <c r="B112" s="45"/>
    </row>
    <row r="113" spans="2:2" ht="15" customHeight="1" x14ac:dyDescent="0.3">
      <c r="B113" s="45"/>
    </row>
    <row r="114" spans="2:2" ht="15" customHeight="1" x14ac:dyDescent="0.3">
      <c r="B114" s="45"/>
    </row>
    <row r="115" spans="2:2" ht="15" customHeight="1" x14ac:dyDescent="0.3">
      <c r="B115" s="45"/>
    </row>
    <row r="116" spans="2:2" ht="15" customHeight="1" x14ac:dyDescent="0.3">
      <c r="B116" s="45"/>
    </row>
    <row r="117" spans="2:2" ht="15" customHeight="1" x14ac:dyDescent="0.3">
      <c r="B117" s="45"/>
    </row>
    <row r="118" spans="2:2" ht="15" customHeight="1" x14ac:dyDescent="0.3">
      <c r="B118" s="45"/>
    </row>
    <row r="119" spans="2:2" ht="15" customHeight="1" x14ac:dyDescent="0.3">
      <c r="B119" s="45"/>
    </row>
    <row r="120" spans="2:2" ht="15" customHeight="1" x14ac:dyDescent="0.3"/>
  </sheetData>
  <dataValidations count="1">
    <dataValidation type="list" allowBlank="1" showInputMessage="1" showErrorMessage="1" errorTitle="Invalid Selection" error="Please select Pessimistic, Realistic, or Optimistic" promptTitle="Select Scenario" prompt="Choose: Pessimistic, Realistic, or Optimistic" sqref="D6" xr:uid="{00000000-0002-0000-0400-000000000000}">
      <formula1>"Pessimistic,Realistic,Optimistic"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97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FD123"/>
  <sheetViews>
    <sheetView showGridLines="0" topLeftCell="C15" zoomScale="90" zoomScaleNormal="90" workbookViewId="0">
      <selection activeCell="N29" sqref="N29"/>
    </sheetView>
  </sheetViews>
  <sheetFormatPr baseColWidth="10" defaultColWidth="11.5546875" defaultRowHeight="14.4" outlineLevelRow="1" x14ac:dyDescent="0.3"/>
  <cols>
    <col min="1" max="1" width="1.77734375" customWidth="1"/>
    <col min="2" max="2" width="18.44140625" style="19" bestFit="1" customWidth="1"/>
    <col min="3" max="3" width="15.88671875" customWidth="1"/>
    <col min="4" max="4" width="21.21875" style="21" bestFit="1" customWidth="1"/>
    <col min="5" max="5" width="18.5546875" style="21" customWidth="1"/>
    <col min="6" max="6" width="10.88671875" style="21" customWidth="1"/>
    <col min="7" max="7" width="8.6640625" style="21" customWidth="1"/>
    <col min="8" max="8" width="17.5546875" style="21" customWidth="1"/>
    <col min="9" max="9" width="20.88671875" style="21" customWidth="1"/>
    <col min="10" max="10" width="16.109375" style="21" customWidth="1"/>
    <col min="11" max="12" width="12.33203125" style="21" bestFit="1" customWidth="1"/>
    <col min="13" max="13" width="4.6640625" style="21" customWidth="1"/>
    <col min="14" max="15" width="11.88671875" style="21" customWidth="1"/>
  </cols>
  <sheetData>
    <row r="1" spans="1:21" ht="50.1" customHeight="1" x14ac:dyDescent="0.6">
      <c r="A1" s="137"/>
      <c r="B1" s="94" t="s">
        <v>85</v>
      </c>
      <c r="C1" s="137"/>
      <c r="D1" s="137"/>
      <c r="E1" s="137"/>
      <c r="F1" s="137"/>
      <c r="G1" s="137"/>
      <c r="H1" s="137"/>
      <c r="I1" s="137"/>
      <c r="J1" s="137"/>
      <c r="K1" s="116"/>
      <c r="L1" s="127"/>
      <c r="M1" s="127"/>
      <c r="N1" s="127"/>
      <c r="Q1" s="299" t="s">
        <v>251</v>
      </c>
      <c r="R1" s="299">
        <v>2022</v>
      </c>
      <c r="S1" s="299">
        <v>2023</v>
      </c>
      <c r="T1" s="299">
        <v>2024</v>
      </c>
      <c r="U1" s="299"/>
    </row>
    <row r="2" spans="1:21" ht="15" customHeight="1" x14ac:dyDescent="0.35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Q2" s="299" t="s">
        <v>251</v>
      </c>
      <c r="R2" s="299" t="s">
        <v>252</v>
      </c>
      <c r="S2" s="299">
        <f>RATIOS!F80</f>
        <v>205474</v>
      </c>
      <c r="T2" s="299">
        <f>RATIOS!G80</f>
        <v>205474</v>
      </c>
      <c r="U2" s="299"/>
    </row>
    <row r="3" spans="1:21" ht="21" customHeight="1" x14ac:dyDescent="0.5">
      <c r="A3" s="138" t="s">
        <v>4</v>
      </c>
      <c r="B3" s="118" t="s">
        <v>253</v>
      </c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Q3" s="300">
        <v>2022</v>
      </c>
      <c r="R3" s="299">
        <f>RATIOS!E80</f>
        <v>135343</v>
      </c>
    </row>
    <row r="4" spans="1:21" ht="11.4" customHeight="1" x14ac:dyDescent="0.35">
      <c r="A4" s="134"/>
      <c r="B4" s="362" t="str">
        <f>"All figures in "&amp;INPUT!D118&amp;" "&amp;INPUT!D119&amp;" unless stated"</f>
        <v>All figures in USD M unless stated</v>
      </c>
      <c r="C4" s="229"/>
      <c r="D4" s="229"/>
      <c r="E4" s="229"/>
      <c r="F4" s="229"/>
      <c r="G4" s="229"/>
      <c r="H4" s="229"/>
      <c r="I4" s="229"/>
      <c r="J4" s="229"/>
      <c r="K4" s="229"/>
      <c r="L4" s="229"/>
      <c r="M4" s="229"/>
      <c r="N4" s="229"/>
      <c r="Q4" s="300">
        <v>2023</v>
      </c>
      <c r="R4" s="299">
        <f>RATIOS!F80</f>
        <v>205474</v>
      </c>
    </row>
    <row r="5" spans="1:21" ht="15" customHeight="1" x14ac:dyDescent="0.35">
      <c r="A5" s="134"/>
      <c r="B5" s="134"/>
      <c r="C5" s="134"/>
      <c r="D5" s="134"/>
      <c r="E5" s="134"/>
      <c r="F5" s="134"/>
      <c r="G5" s="134"/>
      <c r="H5" s="134"/>
      <c r="I5" s="134"/>
      <c r="J5" s="134"/>
      <c r="N5" s="134"/>
      <c r="Q5" s="300">
        <v>2024</v>
      </c>
      <c r="R5" s="299">
        <f>RATIOS!G80</f>
        <v>205474</v>
      </c>
    </row>
    <row r="6" spans="1:21" ht="15" customHeight="1" x14ac:dyDescent="0.35">
      <c r="A6" s="134"/>
      <c r="B6" s="134"/>
      <c r="C6" s="134"/>
      <c r="D6" s="134"/>
      <c r="E6" s="134"/>
      <c r="F6" s="134"/>
      <c r="G6" s="134"/>
      <c r="H6" s="134"/>
      <c r="I6" s="134"/>
      <c r="J6" s="134"/>
      <c r="K6" s="134"/>
      <c r="L6" s="134"/>
      <c r="M6" s="134"/>
      <c r="N6" s="134"/>
      <c r="Q6" s="309" t="s">
        <v>88</v>
      </c>
    </row>
    <row r="7" spans="1:21" ht="15" customHeight="1" x14ac:dyDescent="0.35">
      <c r="A7" s="134"/>
      <c r="B7" s="174" t="s">
        <v>254</v>
      </c>
      <c r="C7" s="174"/>
      <c r="D7" s="174"/>
      <c r="E7" s="173"/>
      <c r="F7" s="173"/>
      <c r="G7" s="134"/>
      <c r="H7" s="503" t="s">
        <v>502</v>
      </c>
      <c r="I7" s="173"/>
      <c r="J7" s="173"/>
      <c r="K7" s="173"/>
      <c r="L7" s="173"/>
      <c r="M7" s="173"/>
      <c r="N7" s="134"/>
      <c r="Q7" s="309">
        <v>2022</v>
      </c>
      <c r="R7" s="309" t="s">
        <v>6</v>
      </c>
      <c r="S7" s="309" t="s">
        <v>15</v>
      </c>
      <c r="T7" s="309" t="s">
        <v>255</v>
      </c>
    </row>
    <row r="8" spans="1:21" ht="15" customHeight="1" x14ac:dyDescent="0.35">
      <c r="A8" s="134"/>
      <c r="B8" s="140"/>
      <c r="C8" s="140"/>
      <c r="D8" s="140"/>
      <c r="E8" s="140"/>
      <c r="F8" s="140"/>
      <c r="G8" s="134"/>
      <c r="H8" s="140"/>
      <c r="I8" s="173"/>
      <c r="J8" s="173"/>
      <c r="K8" s="173"/>
      <c r="L8" s="140"/>
      <c r="M8" s="134"/>
      <c r="N8" s="134"/>
      <c r="Q8" s="309">
        <v>2023</v>
      </c>
      <c r="R8" s="309">
        <f>RATIOS!E77</f>
        <v>67409</v>
      </c>
      <c r="S8" s="309">
        <f>RATIOS!E79</f>
        <v>-74214</v>
      </c>
      <c r="T8" s="309">
        <f>RATIOS!E84</f>
        <v>-1.5470337788722575</v>
      </c>
    </row>
    <row r="9" spans="1:21" ht="15" customHeight="1" x14ac:dyDescent="0.35">
      <c r="A9" s="134"/>
      <c r="B9" s="134"/>
      <c r="C9" s="134"/>
      <c r="D9" s="134"/>
      <c r="E9" s="134"/>
      <c r="F9" s="134"/>
      <c r="G9" s="134"/>
      <c r="H9" s="134"/>
      <c r="I9" s="134"/>
      <c r="J9" s="134"/>
      <c r="K9" s="134"/>
      <c r="L9" s="134"/>
      <c r="M9" s="134"/>
      <c r="N9" s="134"/>
      <c r="Q9" s="309">
        <v>2024</v>
      </c>
      <c r="R9" s="309">
        <f>RATIOS!F77</f>
        <v>67934</v>
      </c>
      <c r="S9" s="309">
        <f>RATIOS!F79</f>
        <v>-64944</v>
      </c>
      <c r="T9" s="309">
        <f>RATIOS!F84</f>
        <v>-1.0924426649395</v>
      </c>
    </row>
    <row r="10" spans="1:21" ht="15" customHeight="1" x14ac:dyDescent="0.35">
      <c r="A10" s="134"/>
      <c r="B10" s="134"/>
      <c r="C10" s="134"/>
      <c r="D10" s="134"/>
      <c r="E10" s="134"/>
      <c r="F10" s="134"/>
      <c r="G10" s="134"/>
      <c r="H10" s="134"/>
      <c r="I10" s="134"/>
      <c r="J10" s="134"/>
      <c r="K10" s="134"/>
      <c r="L10" s="134"/>
      <c r="M10" s="134"/>
      <c r="N10" s="134"/>
      <c r="Q10" s="309" t="s">
        <v>3</v>
      </c>
      <c r="R10" s="309">
        <f>RATIOS!G77</f>
        <v>70131</v>
      </c>
      <c r="S10" s="309">
        <f>RATIOS!G79</f>
        <v>-64944</v>
      </c>
      <c r="T10" s="309">
        <f>RATIOS!G84</f>
        <v>-0.92603841382555507</v>
      </c>
    </row>
    <row r="11" spans="1:21" ht="15" customHeight="1" x14ac:dyDescent="0.35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R11" s="309">
        <f>RATIOS!H77</f>
        <v>75654</v>
      </c>
      <c r="S11" s="309">
        <f>RATIOS!H79</f>
        <v>-50628</v>
      </c>
      <c r="T11" s="309">
        <f>RATIOS!H84</f>
        <v>-0.66920453644222377</v>
      </c>
    </row>
    <row r="12" spans="1:21" ht="15" customHeight="1" x14ac:dyDescent="0.35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21" ht="15" customHeight="1" x14ac:dyDescent="0.35">
      <c r="A13" s="134"/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</row>
    <row r="14" spans="1:21" ht="15" customHeight="1" x14ac:dyDescent="0.35">
      <c r="A14" s="134"/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</row>
    <row r="15" spans="1:21" ht="15" customHeight="1" x14ac:dyDescent="0.35">
      <c r="A15" s="134"/>
      <c r="B15" s="134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</row>
    <row r="16" spans="1:21" ht="15" customHeight="1" x14ac:dyDescent="0.35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</row>
    <row r="17" spans="1:14" ht="15" customHeight="1" x14ac:dyDescent="0.35">
      <c r="A17" s="134"/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</row>
    <row r="18" spans="1:14" ht="15" customHeight="1" x14ac:dyDescent="0.35">
      <c r="A18" s="134"/>
      <c r="B18" s="134"/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</row>
    <row r="19" spans="1:14" ht="15" customHeight="1" x14ac:dyDescent="0.35">
      <c r="A19" s="134"/>
      <c r="B19" s="134"/>
      <c r="C19" s="134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</row>
    <row r="20" spans="1:14" ht="15" customHeight="1" x14ac:dyDescent="0.35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</row>
    <row r="21" spans="1:14" ht="15" customHeight="1" x14ac:dyDescent="0.35">
      <c r="A21" s="134"/>
      <c r="B21" s="134"/>
      <c r="C21" s="134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</row>
    <row r="22" spans="1:14" ht="15" customHeight="1" x14ac:dyDescent="0.35">
      <c r="A22" s="134"/>
      <c r="B22" s="134"/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</row>
    <row r="23" spans="1:14" ht="15" customHeight="1" x14ac:dyDescent="0.35">
      <c r="A23" s="134"/>
      <c r="B23" s="134"/>
      <c r="C23" s="134"/>
      <c r="D23" s="134"/>
      <c r="E23" s="134"/>
      <c r="F23" s="134"/>
      <c r="G23" s="134"/>
      <c r="H23" s="134"/>
      <c r="I23" s="134"/>
      <c r="J23" s="134"/>
      <c r="K23" s="134"/>
      <c r="L23" s="134"/>
      <c r="M23" s="134"/>
      <c r="N23" s="134"/>
    </row>
    <row r="24" spans="1:14" ht="15" customHeight="1" x14ac:dyDescent="0.35">
      <c r="A24" s="134"/>
      <c r="B24" s="174" t="s">
        <v>256</v>
      </c>
      <c r="C24" s="174"/>
      <c r="D24" s="174"/>
      <c r="E24" s="174"/>
      <c r="F24" s="175"/>
      <c r="G24" s="134"/>
      <c r="H24" s="503" t="s">
        <v>503</v>
      </c>
      <c r="I24" s="173"/>
      <c r="J24" s="173"/>
      <c r="K24" s="173"/>
      <c r="L24" s="173"/>
      <c r="M24" s="173"/>
      <c r="N24" s="134"/>
    </row>
    <row r="25" spans="1:14" ht="15" customHeight="1" x14ac:dyDescent="0.35">
      <c r="A25" s="134"/>
      <c r="B25" s="140"/>
      <c r="C25" s="140"/>
      <c r="D25" s="140"/>
      <c r="E25" s="140"/>
      <c r="F25" s="140"/>
      <c r="G25" s="134"/>
      <c r="H25" s="140"/>
      <c r="I25" s="140"/>
      <c r="J25" s="140"/>
      <c r="K25" s="140"/>
      <c r="L25" s="140"/>
      <c r="M25" s="134"/>
      <c r="N25" s="134"/>
    </row>
    <row r="26" spans="1:14" ht="15" customHeight="1" x14ac:dyDescent="0.35">
      <c r="A26" s="134"/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</row>
    <row r="27" spans="1:14" ht="15" customHeight="1" x14ac:dyDescent="0.35">
      <c r="A27" s="134"/>
      <c r="B27" s="134"/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</row>
    <row r="28" spans="1:14" ht="15" customHeight="1" x14ac:dyDescent="0.35">
      <c r="A28" s="134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</row>
    <row r="29" spans="1:14" ht="15" customHeight="1" x14ac:dyDescent="0.35">
      <c r="A29" s="134"/>
      <c r="B29" s="134"/>
      <c r="C29" s="134"/>
      <c r="D29" s="134"/>
      <c r="E29" s="134"/>
      <c r="F29" s="134"/>
      <c r="G29" s="134"/>
      <c r="H29" s="134"/>
      <c r="I29" s="134"/>
      <c r="J29" s="134"/>
      <c r="K29" s="134"/>
      <c r="L29" s="134"/>
      <c r="M29" s="134"/>
      <c r="N29" s="134"/>
    </row>
    <row r="30" spans="1:14" ht="15" customHeight="1" x14ac:dyDescent="0.35">
      <c r="A30" s="134"/>
      <c r="B30" s="134"/>
      <c r="C30" s="134"/>
      <c r="D30" s="134"/>
      <c r="E30" s="134"/>
      <c r="F30" s="134"/>
      <c r="G30" s="134"/>
      <c r="H30" s="134"/>
      <c r="I30" s="134"/>
      <c r="J30" s="134"/>
      <c r="K30" s="134"/>
      <c r="L30" s="134"/>
      <c r="M30" s="134"/>
      <c r="N30" s="134"/>
    </row>
    <row r="31" spans="1:14" ht="15" customHeight="1" x14ac:dyDescent="0.35">
      <c r="A31" s="134"/>
      <c r="B31" s="134"/>
      <c r="C31" s="134"/>
      <c r="D31" s="134"/>
      <c r="E31" s="134"/>
      <c r="F31" s="134"/>
      <c r="G31" s="134"/>
      <c r="H31" s="134"/>
      <c r="I31" s="134"/>
      <c r="J31" s="134"/>
      <c r="K31" s="134"/>
      <c r="L31" s="134"/>
      <c r="M31" s="134"/>
      <c r="N31" s="134"/>
    </row>
    <row r="32" spans="1:14" ht="15" customHeight="1" x14ac:dyDescent="0.35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</row>
    <row r="33" spans="1:16" ht="15" customHeight="1" x14ac:dyDescent="0.35">
      <c r="A33" s="134"/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</row>
    <row r="34" spans="1:16" ht="15" customHeight="1" x14ac:dyDescent="0.35">
      <c r="A34" s="134"/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</row>
    <row r="35" spans="1:16" ht="15" customHeight="1" x14ac:dyDescent="0.35">
      <c r="A35" s="134"/>
      <c r="B35" s="134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</row>
    <row r="36" spans="1:16" ht="15" customHeight="1" x14ac:dyDescent="0.35">
      <c r="A36" s="134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</row>
    <row r="37" spans="1:16" ht="15" customHeight="1" x14ac:dyDescent="0.35">
      <c r="A37" s="134"/>
      <c r="B37" s="134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</row>
    <row r="38" spans="1:16" ht="15" customHeight="1" x14ac:dyDescent="0.35">
      <c r="A38" s="134"/>
      <c r="B38" s="134"/>
      <c r="C38" s="134"/>
      <c r="D38" s="134"/>
      <c r="E38" s="134"/>
      <c r="F38" s="134"/>
      <c r="G38" s="134"/>
      <c r="H38" s="134"/>
      <c r="I38" s="134"/>
      <c r="J38" s="134"/>
      <c r="K38" s="134"/>
      <c r="L38" s="134"/>
      <c r="M38" s="134"/>
      <c r="N38" s="134"/>
    </row>
    <row r="39" spans="1:16" ht="15" customHeight="1" x14ac:dyDescent="0.35">
      <c r="A39" s="134"/>
      <c r="B39" s="134"/>
      <c r="C39" s="134"/>
      <c r="D39" s="134"/>
      <c r="E39" s="134"/>
      <c r="F39" s="134"/>
      <c r="G39" s="134"/>
      <c r="H39" s="134"/>
      <c r="I39" s="134"/>
      <c r="J39" s="134"/>
      <c r="K39" s="134"/>
      <c r="L39" s="134"/>
      <c r="M39" s="134"/>
      <c r="N39" s="134"/>
    </row>
    <row r="40" spans="1:16" ht="15" customHeight="1" x14ac:dyDescent="0.35">
      <c r="A40" s="134"/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</row>
    <row r="41" spans="1:16" ht="15" customHeight="1" x14ac:dyDescent="0.35">
      <c r="A41" s="134"/>
      <c r="B41" s="172" t="s">
        <v>257</v>
      </c>
      <c r="C41" s="172"/>
      <c r="D41" s="172"/>
      <c r="E41" s="173"/>
      <c r="G41" s="134"/>
      <c r="H41" s="172" t="s">
        <v>258</v>
      </c>
      <c r="I41" s="173"/>
      <c r="J41" s="173"/>
      <c r="K41" s="173"/>
      <c r="L41" s="173"/>
      <c r="M41" s="173"/>
      <c r="N41" s="134"/>
    </row>
    <row r="42" spans="1:16" ht="15" customHeight="1" x14ac:dyDescent="0.35">
      <c r="A42" s="134"/>
      <c r="B42" s="134"/>
      <c r="C42" s="134"/>
      <c r="D42" s="134"/>
      <c r="E42" s="291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</row>
    <row r="43" spans="1:16" ht="15" customHeight="1" x14ac:dyDescent="0.35">
      <c r="A43" s="134"/>
      <c r="B43" s="134"/>
      <c r="C43" s="150" t="s">
        <v>259</v>
      </c>
      <c r="D43" s="292" t="s">
        <v>260</v>
      </c>
      <c r="E43" s="293"/>
      <c r="F43" s="290"/>
      <c r="H43" s="134"/>
      <c r="I43" s="150" t="s">
        <v>261</v>
      </c>
      <c r="J43" s="150" t="s">
        <v>262</v>
      </c>
      <c r="K43" s="150" t="s">
        <v>263</v>
      </c>
      <c r="L43" s="150" t="s">
        <v>264</v>
      </c>
      <c r="P43" s="134"/>
    </row>
    <row r="44" spans="1:16" ht="15" customHeight="1" x14ac:dyDescent="0.4">
      <c r="A44" s="134"/>
      <c r="B44" s="148" t="s">
        <v>6</v>
      </c>
      <c r="C44" s="297">
        <f>AVERAGE(INPUT!D9:H9)</f>
        <v>70282</v>
      </c>
      <c r="D44" s="363" t="str">
        <f>IF(INPUT!H9&gt;INPUT!G9,"▲",IF(INPUT!H9&lt;INPUT!G9,"▼","→"))</f>
        <v>▲</v>
      </c>
      <c r="E44" s="291"/>
      <c r="F44" s="287"/>
      <c r="H44" s="148" t="s">
        <v>6</v>
      </c>
      <c r="I44" s="294">
        <f>INPUT!H9</f>
        <v>75654</v>
      </c>
      <c r="J44" s="294">
        <f>INPUT!G9</f>
        <v>70131</v>
      </c>
      <c r="K44" s="294">
        <f>I44-J44</f>
        <v>5523</v>
      </c>
      <c r="L44" s="230">
        <f>IF(J44=0,NA(),K44/ABS(J44))</f>
        <v>7.8752620096676218E-2</v>
      </c>
      <c r="P44" s="134"/>
    </row>
    <row r="45" spans="1:16" ht="15" customHeight="1" outlineLevel="1" x14ac:dyDescent="0.35">
      <c r="A45" s="134"/>
      <c r="B45" s="149"/>
      <c r="C45" s="291"/>
      <c r="D45" s="291"/>
      <c r="E45" s="291"/>
      <c r="F45" s="134"/>
      <c r="H45" s="149"/>
      <c r="I45" s="176"/>
      <c r="J45" s="176"/>
      <c r="K45" s="176"/>
      <c r="L45" s="177"/>
      <c r="P45" s="134"/>
    </row>
    <row r="46" spans="1:16" ht="15" customHeight="1" x14ac:dyDescent="0.4">
      <c r="A46" s="134"/>
      <c r="B46" s="148" t="s">
        <v>265</v>
      </c>
      <c r="C46" s="295">
        <f>ABS(AVERAGE(INPUT!D10:H10))</f>
        <v>152311.5</v>
      </c>
      <c r="D46" s="363" t="str">
        <f>IF(ABS(INPUT!H10)&lt;ABS(INPUT!G10),"▲",IF(ABS(INPUT!H10)&gt;ABS(INPUT!G10),"▼","→"))</f>
        <v>▲</v>
      </c>
      <c r="E46" s="291"/>
      <c r="F46" s="287"/>
      <c r="H46" s="148" t="s">
        <v>265</v>
      </c>
      <c r="I46" s="294">
        <f>ABS(INPUT!H10)</f>
        <v>130497</v>
      </c>
      <c r="J46" s="295">
        <f>ABS(INPUT!G10)</f>
        <v>140078</v>
      </c>
      <c r="K46" s="294">
        <f>I46-J46</f>
        <v>-9581</v>
      </c>
      <c r="L46" s="230">
        <f>IF(J46=0,NA(),K46/ABS(J46))</f>
        <v>-6.8397607047502113E-2</v>
      </c>
      <c r="P46" s="134"/>
    </row>
    <row r="47" spans="1:16" ht="15" customHeight="1" outlineLevel="1" x14ac:dyDescent="0.35">
      <c r="A47" s="134"/>
      <c r="B47" s="149"/>
      <c r="C47" s="291"/>
      <c r="D47" s="291"/>
      <c r="E47" s="291"/>
      <c r="F47" s="134"/>
      <c r="H47" s="149"/>
      <c r="I47" s="176"/>
      <c r="J47" s="176"/>
      <c r="K47" s="176"/>
      <c r="L47" s="177"/>
      <c r="P47" s="134"/>
    </row>
    <row r="48" spans="1:16" ht="15" customHeight="1" x14ac:dyDescent="0.4">
      <c r="A48" s="134"/>
      <c r="B48" s="148" t="s">
        <v>266</v>
      </c>
      <c r="C48" s="295">
        <f>ABS(AVERAGE(INPUT!D13:H13))</f>
        <v>9031.4</v>
      </c>
      <c r="D48" s="364" t="str">
        <f>IF(ABS(INPUT!H13)&lt;ABS(INPUT!G13),"▲",IF(ABS(INPUT!H13)&gt;ABS(INPUT!G13),"▼","→"))</f>
        <v>▼</v>
      </c>
      <c r="E48" s="291"/>
      <c r="F48" s="287"/>
      <c r="H48" s="148" t="s">
        <v>266</v>
      </c>
      <c r="I48" s="294">
        <f>ABS(INPUT!H13)</f>
        <v>13440</v>
      </c>
      <c r="J48" s="295">
        <f>ABS(INPUT!G13)</f>
        <v>11245</v>
      </c>
      <c r="K48" s="294">
        <f>I48-J48</f>
        <v>2195</v>
      </c>
      <c r="L48" s="230">
        <f>IF(J48=0,NA(),K48/ABS(J48))</f>
        <v>0.19519786571809694</v>
      </c>
      <c r="P48" s="134"/>
    </row>
    <row r="49" spans="1:30" ht="15" customHeight="1" outlineLevel="1" x14ac:dyDescent="0.35">
      <c r="A49" s="134"/>
      <c r="B49" s="149"/>
      <c r="C49" s="291"/>
      <c r="D49" s="291"/>
      <c r="E49" s="291"/>
      <c r="F49" s="134"/>
      <c r="H49" s="149"/>
      <c r="I49" s="176"/>
      <c r="J49" s="176"/>
      <c r="K49" s="176"/>
      <c r="L49" s="177"/>
      <c r="P49" s="134"/>
    </row>
    <row r="50" spans="1:30" ht="15" customHeight="1" x14ac:dyDescent="0.4">
      <c r="A50" s="134"/>
      <c r="B50" s="148" t="s">
        <v>15</v>
      </c>
      <c r="C50" s="295">
        <f>AVERAGE(INPUT!D26:H26)</f>
        <v>-58814</v>
      </c>
      <c r="D50" s="363" t="str">
        <f>IF(INPUT!H26&gt;INPUT!G26,"▲",IF(INPUT!H26&lt;INPUT!G26,"▼","→"))</f>
        <v>▲</v>
      </c>
      <c r="E50" s="291"/>
      <c r="F50" s="287"/>
      <c r="H50" s="148" t="s">
        <v>15</v>
      </c>
      <c r="I50" s="294">
        <f>INPUT!H26</f>
        <v>-50628</v>
      </c>
      <c r="J50" s="295">
        <f>INPUT!G26</f>
        <v>-64944</v>
      </c>
      <c r="K50" s="294">
        <f>I50-J50</f>
        <v>14316</v>
      </c>
      <c r="L50" s="230">
        <f>IF(J50=0,NA(),K50/ABS(J50))</f>
        <v>0.2204360679970436</v>
      </c>
      <c r="P50" s="134"/>
    </row>
    <row r="51" spans="1:30" ht="15" customHeight="1" outlineLevel="1" x14ac:dyDescent="0.35">
      <c r="A51" s="134"/>
      <c r="B51" s="149"/>
      <c r="C51" s="291"/>
      <c r="D51" s="291"/>
      <c r="E51" s="291"/>
      <c r="F51" s="134"/>
      <c r="H51" s="149"/>
      <c r="I51" s="134"/>
      <c r="J51" s="134"/>
      <c r="K51" s="134"/>
      <c r="L51" s="177"/>
      <c r="P51" s="134"/>
    </row>
    <row r="52" spans="1:30" ht="15" customHeight="1" x14ac:dyDescent="0.4">
      <c r="A52" s="134"/>
      <c r="B52" s="148" t="s">
        <v>267</v>
      </c>
      <c r="C52" s="298">
        <f>AVERAGE(INPUT!D26:H26)/AVERAGE(INPUT!D9:H9)</f>
        <v>-0.8368287755043966</v>
      </c>
      <c r="D52" s="363" t="str">
        <f>IF(INPUT!H26/INPUT!H9&gt;INPUT!G26/INPUT!G9,"▲",IF(INPUT!H26/INPUT!H9&lt;INPUT!G26/INPUT!G9,"▼","→"))</f>
        <v>▲</v>
      </c>
      <c r="E52" s="291"/>
      <c r="F52" s="289"/>
      <c r="H52" s="148" t="s">
        <v>267</v>
      </c>
      <c r="I52" s="230">
        <f>INPUT!H26/INPUT!H9</f>
        <v>-0.66920453644222377</v>
      </c>
      <c r="J52" s="230">
        <f>INPUT!G26/INPUT!G9</f>
        <v>-0.92603841382555507</v>
      </c>
      <c r="K52" s="230">
        <f>I52-J52</f>
        <v>0.2568338773833313</v>
      </c>
      <c r="L52" s="230">
        <f>IF(J52=0,NA(),K52/ABS(J52))</f>
        <v>0.27734689355091163</v>
      </c>
      <c r="P52" s="134"/>
    </row>
    <row r="53" spans="1:30" ht="15" customHeight="1" x14ac:dyDescent="0.35">
      <c r="A53" s="134"/>
      <c r="B53" s="134"/>
      <c r="C53" s="134"/>
      <c r="D53" s="134"/>
      <c r="E53" s="134"/>
      <c r="F53" s="134"/>
      <c r="G53" s="134"/>
      <c r="H53" s="134"/>
      <c r="I53" s="134"/>
      <c r="J53" s="134"/>
      <c r="K53" s="134"/>
      <c r="L53" s="134"/>
      <c r="M53" s="134"/>
      <c r="N53" s="134"/>
      <c r="O53" s="134"/>
    </row>
    <row r="54" spans="1:30" ht="15" customHeight="1" x14ac:dyDescent="0.35">
      <c r="A54" s="134"/>
      <c r="B54" s="332" t="s">
        <v>268</v>
      </c>
      <c r="C54" s="343"/>
      <c r="D54" s="343"/>
      <c r="E54" s="343"/>
      <c r="F54" s="343"/>
      <c r="G54" s="134"/>
      <c r="H54" s="134"/>
      <c r="I54" s="134"/>
      <c r="J54" s="134"/>
      <c r="K54" s="134"/>
      <c r="L54" s="134"/>
      <c r="M54" s="134"/>
      <c r="N54" s="134"/>
      <c r="O54" s="134"/>
      <c r="P54" s="134"/>
    </row>
    <row r="55" spans="1:30" ht="15" customHeight="1" x14ac:dyDescent="0.4">
      <c r="A55" s="134"/>
      <c r="B55" s="335" t="s">
        <v>269</v>
      </c>
      <c r="C55" s="361">
        <f>IFERROR(INPUT!H97/(INPUT!H60-INPUT!H42),NA())</f>
        <v>0.74832214606126102</v>
      </c>
      <c r="D55" s="369" t="s">
        <v>270</v>
      </c>
      <c r="E55" s="344"/>
      <c r="F55" s="341"/>
      <c r="G55" s="134"/>
      <c r="H55" s="134"/>
      <c r="I55" s="134"/>
      <c r="J55" s="134"/>
      <c r="K55" s="134"/>
      <c r="L55" s="134"/>
      <c r="M55" s="134"/>
      <c r="N55" s="134"/>
      <c r="O55" s="134"/>
      <c r="P55" s="134"/>
    </row>
    <row r="56" spans="1:30" ht="15" customHeight="1" x14ac:dyDescent="0.35">
      <c r="A56" s="134"/>
      <c r="B56" s="335" t="s">
        <v>271</v>
      </c>
      <c r="C56" s="361">
        <f>IFERROR(INPUT!H26/INPUT!H60,NA())</f>
        <v>-0.65614307931570759</v>
      </c>
      <c r="D56" s="345" t="s">
        <v>272</v>
      </c>
      <c r="E56" s="341"/>
      <c r="F56" s="134"/>
      <c r="G56" s="134"/>
      <c r="H56" s="134"/>
      <c r="I56" s="134"/>
      <c r="J56" s="134"/>
      <c r="K56" s="134"/>
      <c r="L56" s="134"/>
      <c r="M56" s="134"/>
      <c r="N56" s="134"/>
      <c r="O56" s="134"/>
      <c r="P56" s="134"/>
    </row>
    <row r="57" spans="1:30" ht="15" customHeight="1" x14ac:dyDescent="0.35">
      <c r="A57" s="134"/>
      <c r="B57" s="335"/>
      <c r="C57" s="361"/>
      <c r="F57" s="134"/>
      <c r="G57" s="134"/>
      <c r="H57" s="134"/>
      <c r="I57" s="134"/>
      <c r="J57" s="134"/>
      <c r="K57" s="134"/>
      <c r="L57" s="134"/>
      <c r="M57" s="134"/>
      <c r="N57" s="134"/>
      <c r="O57" s="134"/>
      <c r="P57" s="134"/>
    </row>
    <row r="58" spans="1:30" ht="15" customHeight="1" x14ac:dyDescent="0.35">
      <c r="A58" s="134"/>
      <c r="B58" s="172" t="s">
        <v>273</v>
      </c>
      <c r="C58" s="172"/>
      <c r="D58" s="172"/>
      <c r="E58" s="172"/>
      <c r="F58" s="172"/>
      <c r="G58" s="134"/>
      <c r="H58" s="172" t="s">
        <v>274</v>
      </c>
      <c r="I58" s="173"/>
      <c r="J58" s="360"/>
      <c r="K58" s="360"/>
      <c r="L58" s="173"/>
      <c r="M58" s="173"/>
      <c r="N58" s="134"/>
    </row>
    <row r="59" spans="1:30" ht="15" customHeight="1" x14ac:dyDescent="0.35">
      <c r="A59" s="134"/>
      <c r="B59" s="357"/>
      <c r="C59" s="357"/>
      <c r="D59" s="357"/>
      <c r="E59" s="357"/>
      <c r="F59" s="357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64"/>
    </row>
    <row r="60" spans="1:30" ht="15" customHeight="1" x14ac:dyDescent="0.35">
      <c r="A60" s="134"/>
      <c r="B60" s="357"/>
      <c r="C60" s="357"/>
      <c r="D60" s="374">
        <f>INPUT!G5</f>
        <v>2024</v>
      </c>
      <c r="E60" s="375" t="str">
        <f>INPUT!H5</f>
        <v>2025 (LTM)</v>
      </c>
      <c r="F60" s="357"/>
      <c r="G60" s="134"/>
      <c r="H60" s="134"/>
      <c r="I60" s="134"/>
      <c r="J60" s="366">
        <f>INPUT!G5</f>
        <v>2024</v>
      </c>
      <c r="K60" s="366" t="str">
        <f>INPUT!H5</f>
        <v>2025 (LTM)</v>
      </c>
      <c r="M60" s="134"/>
      <c r="R60" s="357"/>
      <c r="S60" s="372">
        <f>INPUT!G9</f>
        <v>70131</v>
      </c>
      <c r="T60" s="372">
        <f>INPUT!H9</f>
        <v>75654</v>
      </c>
      <c r="U60" s="357"/>
      <c r="V60" s="134"/>
      <c r="W60" s="357"/>
      <c r="X60" s="368"/>
      <c r="Y60" s="365"/>
      <c r="Z60" s="365"/>
      <c r="AA60" s="368"/>
      <c r="AB60" s="368"/>
      <c r="AC60" s="134"/>
      <c r="AD60" s="21"/>
    </row>
    <row r="61" spans="1:30" ht="15" customHeight="1" x14ac:dyDescent="0.35">
      <c r="A61" s="134"/>
      <c r="B61" s="134"/>
      <c r="C61" s="134"/>
      <c r="D61" s="134"/>
      <c r="E61" s="134"/>
      <c r="F61" s="134"/>
      <c r="G61" s="90"/>
      <c r="H61" s="132" t="s">
        <v>275</v>
      </c>
      <c r="I61" s="134"/>
      <c r="J61" s="134"/>
      <c r="K61" s="367"/>
    </row>
    <row r="62" spans="1:30" ht="15" customHeight="1" x14ac:dyDescent="0.35">
      <c r="A62" s="134"/>
      <c r="B62" s="69" t="s">
        <v>276</v>
      </c>
      <c r="C62" s="357"/>
      <c r="D62" s="373">
        <f>-ABS(INPUT!G10)</f>
        <v>-140078</v>
      </c>
      <c r="E62" s="373">
        <f>-ABS(INPUT!H10)</f>
        <v>-130497</v>
      </c>
      <c r="F62" s="134"/>
      <c r="G62" s="113"/>
      <c r="H62" s="133" t="s">
        <v>277</v>
      </c>
      <c r="I62" s="134"/>
      <c r="J62" s="349">
        <f>INPUT!G38</f>
        <v>68768</v>
      </c>
      <c r="K62" s="296">
        <f>INPUT!H38</f>
        <v>87859</v>
      </c>
    </row>
    <row r="63" spans="1:30" ht="15" customHeight="1" x14ac:dyDescent="0.35">
      <c r="A63" s="134"/>
      <c r="B63" s="196" t="s">
        <v>8</v>
      </c>
      <c r="C63" s="134"/>
      <c r="D63" s="371">
        <f>S60+D62</f>
        <v>-69947</v>
      </c>
      <c r="E63" s="371">
        <f>T60+E62</f>
        <v>-54843</v>
      </c>
      <c r="F63" s="90"/>
      <c r="G63" s="134"/>
      <c r="H63" s="133" t="s">
        <v>278</v>
      </c>
      <c r="I63" s="134"/>
      <c r="J63" s="349">
        <f>SUM(INPUT!G41:G43)</f>
        <v>10906</v>
      </c>
      <c r="K63" s="296">
        <f>SUM(INPUT!H41:H43)</f>
        <v>11599</v>
      </c>
    </row>
    <row r="64" spans="1:30" ht="15" customHeight="1" x14ac:dyDescent="0.35">
      <c r="A64" s="134"/>
      <c r="B64" s="64" t="s">
        <v>279</v>
      </c>
      <c r="C64" s="134"/>
      <c r="D64" s="217">
        <f>-ABS(INPUT!G14)</f>
        <v>-5991</v>
      </c>
      <c r="E64" s="217">
        <f>-ABS(INPUT!H14)</f>
        <v>-6276</v>
      </c>
      <c r="F64" s="113"/>
      <c r="G64" s="134"/>
      <c r="H64" s="134"/>
      <c r="I64" s="134"/>
      <c r="J64" s="134"/>
      <c r="K64" s="286"/>
    </row>
    <row r="65" spans="1:15 16369:16369" ht="15" customHeight="1" thickBot="1" x14ac:dyDescent="0.4">
      <c r="A65" s="134"/>
      <c r="B65" s="69" t="s">
        <v>280</v>
      </c>
      <c r="C65" s="134"/>
      <c r="D65" s="219">
        <f>-ABS(INPUT!G15)</f>
        <v>-4540</v>
      </c>
      <c r="E65" s="219">
        <f>-ABS(INPUT!H15)</f>
        <v>-6411</v>
      </c>
      <c r="F65" s="134"/>
      <c r="G65" s="113"/>
      <c r="H65" s="132" t="s">
        <v>22</v>
      </c>
      <c r="I65" s="134"/>
      <c r="J65" s="359">
        <f>INPUT!G44</f>
        <v>79674</v>
      </c>
      <c r="K65" s="379">
        <f>INPUT!H44</f>
        <v>99458</v>
      </c>
    </row>
    <row r="66" spans="1:15 16369:16369" ht="15" customHeight="1" x14ac:dyDescent="0.35">
      <c r="A66" s="134"/>
      <c r="B66" s="69" t="s">
        <v>281</v>
      </c>
      <c r="C66" s="134"/>
      <c r="D66" s="219">
        <f>-ABS(INPUT!G16)</f>
        <v>-714</v>
      </c>
      <c r="E66" s="219">
        <f>-ABS(INPUT!H16)</f>
        <v>-753</v>
      </c>
      <c r="F66" s="134"/>
      <c r="G66" s="113"/>
      <c r="H66" s="134"/>
      <c r="I66" s="134"/>
      <c r="J66" s="134"/>
      <c r="K66" s="286"/>
    </row>
    <row r="67" spans="1:15 16369:16369" ht="15" customHeight="1" x14ac:dyDescent="0.35">
      <c r="A67" s="134"/>
      <c r="B67" s="64" t="s">
        <v>11</v>
      </c>
      <c r="C67" s="134"/>
      <c r="D67" s="217">
        <f>D63+D64+D65+D66</f>
        <v>-81192</v>
      </c>
      <c r="E67" s="217">
        <f>E63+E64+E65+E66</f>
        <v>-68283</v>
      </c>
      <c r="F67" s="113"/>
      <c r="G67" s="113"/>
      <c r="H67" s="64" t="s">
        <v>282</v>
      </c>
      <c r="I67" s="134"/>
      <c r="J67" s="377"/>
      <c r="K67" s="378"/>
    </row>
    <row r="68" spans="1:15 16369:16369" ht="15" customHeight="1" x14ac:dyDescent="0.35">
      <c r="A68" s="134"/>
      <c r="B68" s="69" t="s">
        <v>283</v>
      </c>
      <c r="C68" s="134"/>
      <c r="D68" s="219">
        <f>-ABS(INPUT!G20)</f>
        <v>-1037</v>
      </c>
      <c r="E68" s="219">
        <f>-ABS(INPUT!H20)</f>
        <v>-1061</v>
      </c>
      <c r="F68" s="113"/>
      <c r="G68" s="113"/>
      <c r="H68" s="69" t="s">
        <v>284</v>
      </c>
      <c r="I68" s="134"/>
      <c r="J68" s="219">
        <f>INPUT!G51</f>
        <v>35696</v>
      </c>
      <c r="K68" s="219">
        <f>INPUT!H51</f>
        <v>40234</v>
      </c>
    </row>
    <row r="69" spans="1:15 16369:16369" ht="15" customHeight="1" thickBot="1" x14ac:dyDescent="0.4">
      <c r="A69" s="134"/>
      <c r="B69" s="64" t="s">
        <v>285</v>
      </c>
      <c r="C69" s="134"/>
      <c r="D69" s="288">
        <f>D67+D68</f>
        <v>-82229</v>
      </c>
      <c r="E69" s="359">
        <f>E67+E68</f>
        <v>-69344</v>
      </c>
      <c r="F69" s="113"/>
      <c r="G69" s="113"/>
      <c r="H69" s="69" t="s">
        <v>286</v>
      </c>
      <c r="I69" s="134"/>
      <c r="J69" s="349">
        <f>INPUT!G54</f>
        <v>18244</v>
      </c>
      <c r="K69" s="219">
        <f>INPUT!H54</f>
        <v>18616</v>
      </c>
    </row>
    <row r="70" spans="1:15 16369:16369" ht="15" customHeight="1" x14ac:dyDescent="0.35">
      <c r="A70" s="134"/>
      <c r="B70" s="69" t="s">
        <v>287</v>
      </c>
      <c r="C70" s="134"/>
      <c r="D70" s="217">
        <f>-ABS(INPUT!G21)</f>
        <v>0</v>
      </c>
      <c r="E70" s="217">
        <f>-ABS(INPUT!H21)</f>
        <v>0</v>
      </c>
      <c r="F70" s="113"/>
      <c r="G70" s="134"/>
      <c r="H70" s="64" t="s">
        <v>26</v>
      </c>
      <c r="I70" s="134"/>
      <c r="J70" s="350">
        <f>INPUT!G55</f>
        <v>53940</v>
      </c>
      <c r="K70" s="217">
        <f>INPUT!H55</f>
        <v>58850</v>
      </c>
    </row>
    <row r="71" spans="1:15 16369:16369" ht="15" customHeight="1" thickBot="1" x14ac:dyDescent="0.4">
      <c r="A71" s="134"/>
      <c r="B71" s="64" t="s">
        <v>15</v>
      </c>
      <c r="C71" s="134"/>
      <c r="D71" s="376">
        <f>D69+D70</f>
        <v>-82229</v>
      </c>
      <c r="E71" s="376">
        <f>E69+E70</f>
        <v>-69344</v>
      </c>
      <c r="F71" s="113"/>
      <c r="G71" s="134"/>
      <c r="H71" s="69" t="s">
        <v>288</v>
      </c>
      <c r="I71" s="134"/>
      <c r="J71" s="376">
        <f>INPUT!G60</f>
        <v>76429</v>
      </c>
      <c r="K71" s="376">
        <f>INPUT!H60</f>
        <v>77160</v>
      </c>
    </row>
    <row r="72" spans="1:15 16369:16369" ht="15" customHeight="1" thickTop="1" thickBot="1" x14ac:dyDescent="0.4">
      <c r="A72" s="134"/>
      <c r="B72" s="64" t="s">
        <v>17</v>
      </c>
      <c r="C72" s="134"/>
      <c r="D72" s="221">
        <f>D67+ABS(D66)</f>
        <v>-80478</v>
      </c>
      <c r="E72" s="359">
        <f>E67+ABS(E66)</f>
        <v>-67530</v>
      </c>
      <c r="F72" s="134"/>
      <c r="G72" s="90"/>
      <c r="H72" s="64" t="s">
        <v>30</v>
      </c>
      <c r="I72" s="134"/>
      <c r="J72" s="359">
        <f>INPUT!G63</f>
        <v>130369</v>
      </c>
      <c r="K72" s="221">
        <f>INPUT!H63</f>
        <v>136010</v>
      </c>
    </row>
    <row r="73" spans="1:15 16369:16369" ht="15" customHeight="1" x14ac:dyDescent="0.35">
      <c r="A73" s="134"/>
      <c r="B73" s="69"/>
      <c r="C73" s="134"/>
      <c r="D73" s="358"/>
      <c r="E73" s="358"/>
      <c r="F73" s="134"/>
      <c r="G73" s="134"/>
      <c r="H73" s="134"/>
      <c r="I73" s="134"/>
      <c r="J73" s="134"/>
      <c r="K73" s="134"/>
      <c r="L73" s="134"/>
    </row>
    <row r="74" spans="1:15 16369:16369" ht="15" customHeight="1" x14ac:dyDescent="0.35">
      <c r="B74" s="132"/>
      <c r="C74" s="134"/>
      <c r="D74" s="358"/>
      <c r="E74" s="358"/>
      <c r="F74" s="90"/>
      <c r="L74" s="134"/>
    </row>
    <row r="75" spans="1:15 16369:16369" ht="15" customHeight="1" x14ac:dyDescent="0.35">
      <c r="B75" s="134"/>
      <c r="C75" s="134"/>
      <c r="D75" s="134"/>
      <c r="E75" s="134"/>
      <c r="F75" s="134"/>
      <c r="K75" s="134"/>
    </row>
    <row r="76" spans="1:15 16369:16369" ht="15" customHeight="1" x14ac:dyDescent="0.35">
      <c r="K76" s="134"/>
      <c r="XEO76" s="134"/>
    </row>
    <row r="77" spans="1:15 16369:16369" ht="15" customHeight="1" x14ac:dyDescent="0.35">
      <c r="XEO77" s="134"/>
    </row>
    <row r="78" spans="1:15 16369:16369" ht="15" customHeight="1" x14ac:dyDescent="0.3"/>
    <row r="79" spans="1:15 16369:16369" ht="15" customHeight="1" x14ac:dyDescent="0.35">
      <c r="A79" s="185"/>
      <c r="G79" s="238"/>
      <c r="H79" s="238"/>
      <c r="I79" s="238"/>
      <c r="J79" s="238"/>
      <c r="K79" s="238"/>
      <c r="L79" s="238"/>
      <c r="M79" s="238"/>
      <c r="N79" s="186"/>
      <c r="O79" s="186"/>
    </row>
    <row r="80" spans="1:15 16369:16369" ht="15" customHeight="1" x14ac:dyDescent="0.35">
      <c r="A80" s="185"/>
      <c r="G80" s="238"/>
      <c r="H80" s="238"/>
      <c r="I80" s="238"/>
      <c r="J80" s="238"/>
      <c r="K80" s="238"/>
      <c r="L80" s="238"/>
      <c r="M80" s="186"/>
      <c r="N80" s="186"/>
      <c r="O80" s="186"/>
    </row>
    <row r="81" spans="1:15 16373:16384" ht="15" customHeight="1" x14ac:dyDescent="0.35">
      <c r="A81" s="185"/>
      <c r="B81" s="238"/>
      <c r="C81" s="238"/>
      <c r="D81" s="238"/>
      <c r="E81" s="238"/>
      <c r="F81" s="238"/>
      <c r="G81" s="238"/>
      <c r="H81" s="238"/>
      <c r="I81" s="238"/>
      <c r="J81" s="238"/>
      <c r="K81" s="238"/>
      <c r="L81" s="238"/>
      <c r="M81" s="186"/>
      <c r="N81" s="186"/>
      <c r="O81" s="186"/>
    </row>
    <row r="82" spans="1:15 16373:16384" ht="15" customHeight="1" x14ac:dyDescent="0.35">
      <c r="A82" s="186"/>
      <c r="B82" s="238"/>
      <c r="C82" s="238"/>
      <c r="D82" s="238"/>
      <c r="E82" s="238"/>
      <c r="F82" s="238"/>
      <c r="G82" s="241" t="str">
        <f>INPUT!H5</f>
        <v>2025 (LTM)</v>
      </c>
      <c r="H82" s="242"/>
      <c r="I82" s="241" t="e">
        <f>IF(INPUT!D5="",NA(),INPUT!D5)</f>
        <v>#N/A</v>
      </c>
      <c r="J82" s="241">
        <f>INPUT!E5</f>
        <v>2022</v>
      </c>
      <c r="K82" s="241">
        <f>INPUT!F5</f>
        <v>2023</v>
      </c>
      <c r="L82" s="241">
        <f>INPUT!G5</f>
        <v>2024</v>
      </c>
      <c r="M82" s="241" t="str">
        <f>INPUT!H5</f>
        <v>2025 (LTM)</v>
      </c>
      <c r="N82" s="242"/>
      <c r="O82" s="186"/>
    </row>
    <row r="83" spans="1:15 16373:16384" ht="15" customHeight="1" x14ac:dyDescent="0.35">
      <c r="A83" s="186"/>
      <c r="B83" s="238"/>
      <c r="C83" s="238"/>
      <c r="D83" s="238"/>
      <c r="E83" s="238"/>
      <c r="F83" s="238"/>
      <c r="G83" s="242">
        <f>IF(INPUT!H9="",NA(),INPUT!H9)</f>
        <v>75654</v>
      </c>
      <c r="H83" s="242"/>
      <c r="I83" s="242"/>
      <c r="J83" s="242"/>
      <c r="K83" s="242"/>
      <c r="L83" s="242"/>
      <c r="M83" s="242"/>
      <c r="N83" s="242"/>
      <c r="O83" s="186"/>
    </row>
    <row r="84" spans="1:15 16373:16384" ht="15" customHeight="1" x14ac:dyDescent="0.3">
      <c r="A84" s="186"/>
      <c r="B84" s="186"/>
      <c r="C84" s="239" t="e">
        <f>IF(INPUT!D5="",NA(),INPUT!D5)</f>
        <v>#N/A</v>
      </c>
      <c r="D84" s="240">
        <f>INPUT!E5</f>
        <v>2022</v>
      </c>
      <c r="E84" s="241">
        <f>INPUT!F5</f>
        <v>2023</v>
      </c>
      <c r="F84" s="241">
        <f>INPUT!G5</f>
        <v>2024</v>
      </c>
      <c r="G84" s="242">
        <f>IF(INPUT!G30="",NA(),INPUT!G30)</f>
        <v>-80478</v>
      </c>
      <c r="H84" s="242">
        <f>IF(INPUT!H30="",NA(),INPUT!H30)</f>
        <v>-67530</v>
      </c>
      <c r="I84" s="242"/>
      <c r="J84" s="242"/>
      <c r="K84" s="242"/>
      <c r="L84" s="242"/>
      <c r="M84" s="242"/>
      <c r="N84" s="242"/>
      <c r="O84" s="242"/>
    </row>
    <row r="85" spans="1:15 16373:16384" ht="15" customHeight="1" x14ac:dyDescent="0.3">
      <c r="A85" s="186"/>
      <c r="B85" s="186" t="s">
        <v>6</v>
      </c>
      <c r="C85" s="243" t="e">
        <f>IF(INPUT!D9="",NA(),INPUT!D9)</f>
        <v>#N/A</v>
      </c>
      <c r="D85" s="186">
        <f>IF(INPUT!E9="",NA(),INPUT!E9)</f>
        <v>67409</v>
      </c>
      <c r="E85" s="242">
        <f>IF(INPUT!F9="",NA(),INPUT!F9)</f>
        <v>67934</v>
      </c>
      <c r="F85" s="242">
        <f>IF(INPUT!G9="",NA(),INPUT!G9)</f>
        <v>70131</v>
      </c>
      <c r="G85" s="242">
        <f>IF(INPUT!G26="",NA(),INPUT!G26)</f>
        <v>-64944</v>
      </c>
      <c r="H85" s="242">
        <f>IF(INPUT!H26="",NA(),INPUT!H26)</f>
        <v>-50628</v>
      </c>
      <c r="I85" s="242"/>
      <c r="J85" s="242"/>
      <c r="K85" s="242"/>
      <c r="L85" s="242"/>
      <c r="M85" s="242"/>
      <c r="N85" s="242"/>
      <c r="O85" s="242"/>
    </row>
    <row r="86" spans="1:15 16373:16384" ht="15" customHeight="1" x14ac:dyDescent="0.3">
      <c r="A86" s="186"/>
      <c r="B86" s="186"/>
      <c r="C86" s="186" t="s">
        <v>17</v>
      </c>
      <c r="D86" s="243">
        <f>IF(INPUT!D30="",NA(),INPUT!D30)</f>
        <v>0</v>
      </c>
      <c r="E86" s="186">
        <f>IF(INPUT!E30="",NA(),INPUT!E30)</f>
        <v>-123625</v>
      </c>
      <c r="F86" s="242">
        <f>IF(INPUT!F30="",NA(),INPUT!F30)</f>
        <v>-98784</v>
      </c>
      <c r="G86" s="242"/>
      <c r="H86" s="242"/>
      <c r="I86" s="242"/>
      <c r="J86" s="241" t="e">
        <f>IF(INPUT!D5="",NA(),INPUT!D5)</f>
        <v>#N/A</v>
      </c>
      <c r="K86" s="241">
        <f>INPUT!E5</f>
        <v>2022</v>
      </c>
      <c r="L86" s="241">
        <f>INPUT!F5</f>
        <v>2023</v>
      </c>
      <c r="M86" s="241">
        <f>INPUT!G5</f>
        <v>2024</v>
      </c>
      <c r="N86" s="241" t="str">
        <f>INPUT!H5</f>
        <v>2025 (LTM)</v>
      </c>
      <c r="O86" s="242"/>
    </row>
    <row r="87" spans="1:15 16373:16384" ht="15" customHeight="1" x14ac:dyDescent="0.3">
      <c r="A87" s="186"/>
      <c r="B87" s="186"/>
      <c r="C87" s="186" t="s">
        <v>15</v>
      </c>
      <c r="D87" s="243">
        <f>IF(INPUT!D26="",NA(),INPUT!D26)</f>
        <v>0</v>
      </c>
      <c r="E87" s="186">
        <f>IF(INPUT!E26="",NA(),INPUT!E26)</f>
        <v>-104284</v>
      </c>
      <c r="F87" s="242">
        <f>IF(INPUT!F26="",NA(),INPUT!F26)</f>
        <v>-74214</v>
      </c>
      <c r="G87" s="242"/>
      <c r="H87" s="242"/>
      <c r="I87" s="242" t="s">
        <v>144</v>
      </c>
      <c r="J87" s="242" t="e">
        <f>IF(INPUT!D9="",NA(),INPUT!D11/INPUT!D9)</f>
        <v>#N/A</v>
      </c>
      <c r="K87" s="242">
        <f>IF(INPUT!E9="",NA(),INPUT!E11/INPUT!E9)</f>
        <v>-1.7014048569182156</v>
      </c>
      <c r="L87" s="242">
        <f>IF(INPUT!F9="",NA(),INPUT!F11/INPUT!F9)</f>
        <v>-1.3047663909088232</v>
      </c>
      <c r="M87" s="242">
        <f>IF(INPUT!G9="",NA(),INPUT!G11/INPUT!G9)</f>
        <v>-0.99737633856639718</v>
      </c>
      <c r="N87" s="242">
        <f>IF(INPUT!H9="",NA(),INPUT!H11/INPUT!H9)</f>
        <v>-0.72491870885875165</v>
      </c>
      <c r="O87" s="242"/>
    </row>
    <row r="88" spans="1:15 16373:16384" ht="15" customHeight="1" x14ac:dyDescent="0.3">
      <c r="A88" s="186"/>
      <c r="B88" s="186"/>
      <c r="C88" s="186"/>
      <c r="D88" s="243"/>
      <c r="E88" s="186"/>
      <c r="F88" s="242"/>
      <c r="G88" s="242"/>
      <c r="H88" s="242"/>
      <c r="I88" s="242" t="s">
        <v>92</v>
      </c>
      <c r="J88" s="242" t="e">
        <f>IF(INPUT!D9="",NA(),INPUT!D30/INPUT!D9)</f>
        <v>#N/A</v>
      </c>
      <c r="K88" s="242">
        <f>IF(INPUT!E9="",NA(),INPUT!E30/INPUT!E9)</f>
        <v>-1.8339539230666528</v>
      </c>
      <c r="L88" s="242">
        <f>IF(INPUT!F9="",NA(),INPUT!F30/INPUT!F9)</f>
        <v>-1.454117231430506</v>
      </c>
      <c r="M88" s="242">
        <f>IF(INPUT!G9="",NA(),INPUT!G30/INPUT!G9)</f>
        <v>-1.1475381785515677</v>
      </c>
      <c r="N88" s="242">
        <f>IF(INPUT!H9="",NA(),INPUT!H30/INPUT!H9)</f>
        <v>-0.89261638512173846</v>
      </c>
      <c r="O88" s="242"/>
    </row>
    <row r="89" spans="1:15 16373:16384" ht="15" customHeight="1" x14ac:dyDescent="0.3">
      <c r="A89" s="186"/>
      <c r="B89" s="186"/>
      <c r="C89" s="186"/>
      <c r="D89" s="243"/>
      <c r="E89" s="186"/>
      <c r="F89" s="242"/>
      <c r="G89" s="241">
        <f>INPUT!G5</f>
        <v>2024</v>
      </c>
      <c r="H89" s="241" t="str">
        <f>INPUT!H5</f>
        <v>2025 (LTM)</v>
      </c>
      <c r="I89" s="242" t="s">
        <v>255</v>
      </c>
      <c r="J89" s="242" t="e">
        <f>IF(INPUT!D9="",NA(),INPUT!D26/INPUT!D9)</f>
        <v>#N/A</v>
      </c>
      <c r="K89" s="242">
        <f>IF(INPUT!E9="",NA(),INPUT!E26/INPUT!E9)</f>
        <v>-1.5470337788722575</v>
      </c>
      <c r="L89" s="242">
        <f>IF(INPUT!F9="",NA(),INPUT!F26/INPUT!F9)</f>
        <v>-1.0924426649395</v>
      </c>
      <c r="M89" s="242">
        <f>IF(INPUT!G9="",NA(),INPUT!G26/INPUT!G9)</f>
        <v>-0.92603841382555507</v>
      </c>
      <c r="N89" s="242">
        <f>IF(INPUT!H9="",NA(),INPUT!H26/INPUT!H9)</f>
        <v>-0.66920453644222377</v>
      </c>
      <c r="O89" s="242"/>
    </row>
    <row r="90" spans="1:15 16373:16384" ht="15" customHeight="1" x14ac:dyDescent="0.3">
      <c r="A90" s="186"/>
      <c r="B90" s="186"/>
      <c r="C90" s="186"/>
      <c r="D90" s="243"/>
      <c r="E90" s="186"/>
      <c r="F90" s="242"/>
      <c r="G90" s="242">
        <f>IF(INPUT!G9="",NA(),INPUT!G9)</f>
        <v>70131</v>
      </c>
      <c r="H90" s="242">
        <f>IF(INPUT!H9="",NA(),INPUT!H9)</f>
        <v>75654</v>
      </c>
      <c r="I90" s="242"/>
      <c r="J90" s="242"/>
      <c r="K90" s="242"/>
      <c r="L90" s="242"/>
      <c r="M90" s="242"/>
      <c r="N90" s="242"/>
      <c r="O90" s="242"/>
    </row>
    <row r="91" spans="1:15 16373:16384" ht="15" customHeight="1" x14ac:dyDescent="0.3">
      <c r="A91" s="186"/>
      <c r="B91" s="186"/>
      <c r="C91" s="186"/>
      <c r="D91" s="239" t="e">
        <f>IF(INPUT!D5="",NA(),INPUT!D5)</f>
        <v>#N/A</v>
      </c>
      <c r="E91" s="240">
        <f>INPUT!E5</f>
        <v>2022</v>
      </c>
      <c r="F91" s="241">
        <f>INPUT!F5</f>
        <v>2023</v>
      </c>
      <c r="G91" s="242"/>
      <c r="H91" s="242"/>
      <c r="I91" s="242"/>
      <c r="J91" s="241" t="e">
        <f>IF(INPUT!D5="",NA(),INPUT!D5)</f>
        <v>#N/A</v>
      </c>
      <c r="K91" s="241">
        <f>INPUT!E5</f>
        <v>2022</v>
      </c>
      <c r="L91" s="241">
        <f>INPUT!F5</f>
        <v>2023</v>
      </c>
      <c r="M91" s="241">
        <f>INPUT!G5</f>
        <v>2024</v>
      </c>
      <c r="N91" s="241" t="str">
        <f>INPUT!H5</f>
        <v>2025 (LTM)</v>
      </c>
      <c r="O91" s="242"/>
    </row>
    <row r="92" spans="1:15 16373:16384" ht="15" customHeight="1" x14ac:dyDescent="0.3">
      <c r="A92" s="186"/>
      <c r="B92" s="186"/>
      <c r="C92" s="186" t="s">
        <v>6</v>
      </c>
      <c r="D92" s="243" t="e">
        <f>IF(INPUT!D9="",NA(),INPUT!D9)</f>
        <v>#N/A</v>
      </c>
      <c r="E92" s="186">
        <f>IF(INPUT!E9="",NA(),INPUT!E9)</f>
        <v>67409</v>
      </c>
      <c r="F92" s="242">
        <f>IF(INPUT!F9="",NA(),INPUT!F9)</f>
        <v>67934</v>
      </c>
      <c r="G92" s="242"/>
      <c r="H92" s="242"/>
      <c r="I92" s="242" t="s">
        <v>289</v>
      </c>
      <c r="J92" s="242" t="e">
        <f>IF(INPUT!D14="",NA(),ABS(INPUT!D14))</f>
        <v>#N/A</v>
      </c>
      <c r="K92" s="242">
        <f>IF(INPUT!E14="",NA(),ABS(INPUT!E14))</f>
        <v>5860</v>
      </c>
      <c r="L92" s="242">
        <f>IF(INPUT!F14="",NA(),ABS(INPUT!F14))</f>
        <v>6177</v>
      </c>
      <c r="M92" s="242">
        <f>IF(INPUT!G14="",NA(),ABS(INPUT!G14))</f>
        <v>5991</v>
      </c>
      <c r="N92" s="242">
        <f>IF(INPUT!H14="",NA(),ABS(INPUT!H14))</f>
        <v>6276</v>
      </c>
      <c r="O92" s="242"/>
    </row>
    <row r="93" spans="1:15 16373:16384" ht="15" customHeight="1" x14ac:dyDescent="0.3">
      <c r="A93" s="186"/>
      <c r="B93" s="186"/>
      <c r="C93" s="186"/>
      <c r="D93" s="243"/>
      <c r="E93" s="186"/>
      <c r="F93" s="242"/>
      <c r="G93" s="242"/>
      <c r="H93" s="242"/>
      <c r="I93" s="242" t="s">
        <v>290</v>
      </c>
      <c r="J93" s="242" t="e">
        <f>IF(INPUT!D15="",NA(),ABS(INPUT!D15))</f>
        <v>#N/A</v>
      </c>
      <c r="K93" s="242">
        <f>IF(INPUT!E15="",NA(),ABS(INPUT!E15))</f>
        <v>3075</v>
      </c>
      <c r="L93" s="242">
        <f>IF(INPUT!F15="",NA(),ABS(INPUT!F15))</f>
        <v>3969</v>
      </c>
      <c r="M93" s="242">
        <f>IF(INPUT!G15="",NA(),ABS(INPUT!G15))</f>
        <v>4540</v>
      </c>
      <c r="N93" s="242">
        <f>IF(INPUT!H15="",NA(),ABS(INPUT!H15))</f>
        <v>6411</v>
      </c>
      <c r="O93" s="242"/>
      <c r="XES93" s="45"/>
      <c r="XEU93" s="21"/>
      <c r="XEV93" s="21"/>
      <c r="XEW93" s="21"/>
      <c r="XEX93" s="21"/>
      <c r="XEY93" s="21"/>
      <c r="XEZ93" s="21"/>
      <c r="XFA93" s="21"/>
      <c r="XFB93" s="21"/>
      <c r="XFC93" s="21"/>
      <c r="XFD93" s="21"/>
    </row>
    <row r="94" spans="1:15 16373:16384" ht="15" customHeight="1" x14ac:dyDescent="0.3">
      <c r="A94" s="186"/>
      <c r="B94" s="186"/>
      <c r="C94" s="186"/>
      <c r="D94" s="243"/>
      <c r="E94" s="186"/>
      <c r="F94" s="242"/>
      <c r="G94" s="242"/>
      <c r="H94" s="242"/>
      <c r="I94" s="242" t="s">
        <v>291</v>
      </c>
      <c r="J94" s="242" t="e">
        <f>IF(INPUT!D16="",NA(),ABS(INPUT!D16))</f>
        <v>#N/A</v>
      </c>
      <c r="K94" s="242">
        <f>IF(INPUT!E16="",NA(),ABS(INPUT!E16))</f>
        <v>673</v>
      </c>
      <c r="L94" s="242">
        <f>IF(INPUT!F16="",NA(),ABS(INPUT!F16))</f>
        <v>718</v>
      </c>
      <c r="M94" s="242">
        <f>IF(INPUT!G16="",NA(),ABS(INPUT!G16))</f>
        <v>714</v>
      </c>
      <c r="N94" s="242">
        <f>IF(INPUT!H16="",NA(),ABS(INPUT!H16))</f>
        <v>753</v>
      </c>
      <c r="O94" s="242"/>
      <c r="XES94" s="45"/>
      <c r="XEU94" s="21"/>
      <c r="XEV94" s="21"/>
      <c r="XEW94" s="21"/>
      <c r="XEX94" s="21"/>
      <c r="XEY94" s="21"/>
      <c r="XEZ94" s="21"/>
      <c r="XFA94" s="21"/>
      <c r="XFB94" s="21"/>
      <c r="XFC94" s="21"/>
      <c r="XFD94" s="21"/>
    </row>
    <row r="95" spans="1:15 16373:16384" ht="15" customHeight="1" x14ac:dyDescent="0.3">
      <c r="A95" s="186"/>
      <c r="B95" s="186"/>
      <c r="C95" s="186"/>
      <c r="D95" s="243"/>
      <c r="E95" s="186"/>
      <c r="F95" s="242"/>
      <c r="G95" s="242"/>
      <c r="H95" s="242"/>
      <c r="I95" s="242" t="s">
        <v>292</v>
      </c>
      <c r="J95" s="242" t="e">
        <f>IF(INPUT!D5="",NA(),INPUT!D5)</f>
        <v>#N/A</v>
      </c>
      <c r="K95" s="242">
        <f>IF(INPUT!E14="",NA(),ABS(INPUT!E20))</f>
        <v>938</v>
      </c>
      <c r="L95" s="242">
        <f>IF(INPUT!F14="",NA(),ABS(INPUT!F20))</f>
        <v>1045</v>
      </c>
      <c r="M95" s="242">
        <f>IF(INPUT!G14="",NA(),ABS(INPUT!G20))</f>
        <v>1037</v>
      </c>
      <c r="N95" s="242">
        <f>IF(INPUT!H14="",NA(),ABS(INPUT!H20))</f>
        <v>1061</v>
      </c>
      <c r="O95" s="242"/>
    </row>
    <row r="96" spans="1:15 16373:16384" ht="15" customHeight="1" x14ac:dyDescent="0.3">
      <c r="A96" s="186"/>
      <c r="B96" s="186"/>
      <c r="C96" s="186"/>
      <c r="D96" s="243"/>
      <c r="E96" s="186"/>
      <c r="F96" s="242"/>
      <c r="G96" s="242"/>
      <c r="H96" s="242"/>
      <c r="I96" s="242"/>
      <c r="J96" s="242"/>
      <c r="K96" s="242"/>
      <c r="L96" s="242"/>
      <c r="M96" s="242"/>
      <c r="N96" s="242"/>
      <c r="O96" s="242"/>
    </row>
    <row r="97" spans="2:6" ht="15" customHeight="1" x14ac:dyDescent="0.3">
      <c r="B97" s="186"/>
      <c r="C97" s="186"/>
      <c r="D97" s="243"/>
      <c r="E97" s="186"/>
      <c r="F97" s="242"/>
    </row>
    <row r="98" spans="2:6" ht="15" customHeight="1" x14ac:dyDescent="0.3">
      <c r="B98" s="186" t="s">
        <v>494</v>
      </c>
      <c r="C98" s="186"/>
      <c r="D98" s="243"/>
      <c r="E98" s="186"/>
      <c r="F98" s="242"/>
    </row>
    <row r="99" spans="2:6" ht="15" customHeight="1" x14ac:dyDescent="0.3">
      <c r="B99" s="45" t="s">
        <v>495</v>
      </c>
      <c r="C99" t="s">
        <v>496</v>
      </c>
    </row>
    <row r="100" spans="2:6" ht="15" customHeight="1" x14ac:dyDescent="0.3">
      <c r="B100" s="45" t="s">
        <v>497</v>
      </c>
      <c r="C100">
        <f>COMPARABLES!H9</f>
        <v>0.65509222395023314</v>
      </c>
    </row>
    <row r="101" spans="2:6" ht="15" customHeight="1" x14ac:dyDescent="0.3">
      <c r="B101" s="45" t="s">
        <v>451</v>
      </c>
      <c r="C101">
        <f>COMPARABLES!H10</f>
        <v>1.5082627972591698</v>
      </c>
    </row>
    <row r="102" spans="2:6" ht="15" customHeight="1" x14ac:dyDescent="0.3">
      <c r="B102" s="45" t="s">
        <v>453</v>
      </c>
      <c r="C102">
        <f>COMPARABLES!H11</f>
        <v>3.2831215970961889</v>
      </c>
    </row>
    <row r="103" spans="2:6" ht="15" customHeight="1" x14ac:dyDescent="0.3">
      <c r="B103" s="45" t="s">
        <v>455</v>
      </c>
      <c r="C103">
        <f>COMPARABLES!H12</f>
        <v>1.6465484722746133</v>
      </c>
    </row>
    <row r="104" spans="2:6" ht="15" customHeight="1" x14ac:dyDescent="0.3">
      <c r="B104" s="45" t="s">
        <v>457</v>
      </c>
      <c r="C104">
        <f>COMPARABLES!H13</f>
        <v>2.7726008344923505</v>
      </c>
    </row>
    <row r="105" spans="2:6" ht="15" customHeight="1" x14ac:dyDescent="0.3">
      <c r="B105" s="45" t="s">
        <v>498</v>
      </c>
      <c r="C105">
        <f>COMPARABLES!H15</f>
        <v>1.9731251850145113</v>
      </c>
    </row>
    <row r="106" spans="2:6" ht="15" customHeight="1" x14ac:dyDescent="0.3">
      <c r="B106" s="45"/>
    </row>
    <row r="107" spans="2:6" ht="15" customHeight="1" x14ac:dyDescent="0.3">
      <c r="B107" s="45" t="s">
        <v>499</v>
      </c>
    </row>
    <row r="108" spans="2:6" ht="15" customHeight="1" x14ac:dyDescent="0.3">
      <c r="B108" s="45" t="s">
        <v>500</v>
      </c>
      <c r="C108">
        <f>VALUATION!D149</f>
        <v>77.982897280466958</v>
      </c>
    </row>
    <row r="109" spans="2:6" ht="15" customHeight="1" x14ac:dyDescent="0.3">
      <c r="B109" s="45" t="s">
        <v>501</v>
      </c>
      <c r="C109">
        <f>INPUT!H95</f>
        <v>77.52</v>
      </c>
    </row>
    <row r="110" spans="2:6" ht="15" customHeight="1" x14ac:dyDescent="0.3">
      <c r="B110" s="45"/>
    </row>
    <row r="111" spans="2:6" ht="15" customHeight="1" x14ac:dyDescent="0.3">
      <c r="B111" s="45"/>
    </row>
    <row r="112" spans="2:6" ht="15" customHeight="1" x14ac:dyDescent="0.3">
      <c r="B112" s="45"/>
    </row>
    <row r="113" spans="2:2" ht="15" customHeight="1" x14ac:dyDescent="0.3">
      <c r="B113" s="45"/>
    </row>
    <row r="114" spans="2:2" ht="15" customHeight="1" x14ac:dyDescent="0.3">
      <c r="B114" s="45"/>
    </row>
    <row r="115" spans="2:2" ht="15" customHeight="1" x14ac:dyDescent="0.3">
      <c r="B115" s="45"/>
    </row>
    <row r="116" spans="2:2" ht="15" customHeight="1" x14ac:dyDescent="0.3">
      <c r="B116" s="45"/>
    </row>
    <row r="117" spans="2:2" ht="15" customHeight="1" x14ac:dyDescent="0.3">
      <c r="B117" s="45"/>
    </row>
    <row r="118" spans="2:2" ht="15" customHeight="1" x14ac:dyDescent="0.3">
      <c r="B118" s="45"/>
    </row>
    <row r="119" spans="2:2" ht="15" customHeight="1" x14ac:dyDescent="0.3">
      <c r="B119" s="45"/>
    </row>
    <row r="120" spans="2:2" ht="15" customHeight="1" x14ac:dyDescent="0.3">
      <c r="B120" s="45"/>
    </row>
    <row r="121" spans="2:2" ht="15" customHeight="1" x14ac:dyDescent="0.3">
      <c r="B121" s="45"/>
    </row>
    <row r="122" spans="2:2" ht="15" customHeight="1" x14ac:dyDescent="0.3">
      <c r="B122" s="45"/>
    </row>
    <row r="123" spans="2:2" x14ac:dyDescent="0.3">
      <c r="B123" s="45"/>
    </row>
  </sheetData>
  <printOptions horizontalCentered="1"/>
  <pageMargins left="5.5555555555555558E-3" right="5.5555555555555558E-3" top="5.5555555555555558E-3" bottom="5.5555555555555558E-3" header="2.7777777777777779E-3" footer="2.7777777777777779E-3"/>
  <pageSetup paperSize="9" scale="40" orientation="landscape"/>
  <rowBreaks count="2" manualBreakCount="2">
    <brk id="23" max="13" man="1"/>
    <brk id="41" max="16383" man="1"/>
  </rowBreaks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125"/>
  <sheetViews>
    <sheetView showGridLines="0" tabSelected="1" zoomScale="90" zoomScaleNormal="90" workbookViewId="0">
      <selection activeCell="E16" sqref="E16"/>
    </sheetView>
  </sheetViews>
  <sheetFormatPr baseColWidth="10" defaultColWidth="9.109375" defaultRowHeight="15" customHeight="1" x14ac:dyDescent="0.35"/>
  <cols>
    <col min="1" max="1" width="1.6640625" style="124" customWidth="1"/>
    <col min="2" max="2" width="12.33203125" style="124" customWidth="1"/>
    <col min="3" max="3" width="15.88671875" style="124" bestFit="1" customWidth="1"/>
    <col min="4" max="4" width="17.88671875" style="124" bestFit="1" customWidth="1"/>
    <col min="5" max="5" width="6.77734375" style="124" customWidth="1"/>
    <col min="6" max="7" width="12.44140625" style="124" customWidth="1"/>
    <col min="8" max="8" width="7.88671875" style="124" customWidth="1"/>
    <col min="9" max="10" width="9.109375" style="124" customWidth="1"/>
    <col min="11" max="11" width="10.6640625" style="124" customWidth="1"/>
    <col min="12" max="12" width="5.109375" style="124" customWidth="1"/>
    <col min="13" max="14" width="12.44140625" style="124" customWidth="1"/>
    <col min="15" max="15" width="9" style="125" customWidth="1"/>
    <col min="16" max="16" width="13.88671875" style="124" customWidth="1"/>
    <col min="17" max="17" width="10.5546875" style="124" customWidth="1"/>
    <col min="18" max="18" width="11.5546875" style="124" customWidth="1"/>
    <col min="19" max="19" width="11.6640625" style="124" customWidth="1"/>
    <col min="20" max="20" width="13.44140625" style="124" customWidth="1"/>
    <col min="21" max="21" width="18.33203125" style="124" customWidth="1"/>
    <col min="22" max="22" width="16.109375" style="124" customWidth="1"/>
    <col min="23" max="30" width="12.44140625" style="124" customWidth="1"/>
    <col min="31" max="34" width="9.109375" style="124" customWidth="1"/>
    <col min="35" max="16384" width="9.109375" style="124"/>
  </cols>
  <sheetData>
    <row r="1" spans="1:30" ht="50.1" customHeight="1" x14ac:dyDescent="0.6">
      <c r="A1" s="137"/>
      <c r="B1" s="94" t="s">
        <v>85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494" t="str">
        <f>INPUT!D114&amp;" ("&amp;INPUT!D115&amp;")  — "&amp;INPUT!D116</f>
        <v>MetLife, Inc. (MET)  — Financial Services</v>
      </c>
      <c r="R1" s="137"/>
      <c r="S1" s="137"/>
      <c r="T1" s="137"/>
      <c r="U1" s="493"/>
      <c r="V1" s="493"/>
      <c r="W1" s="493"/>
      <c r="X1" s="493"/>
      <c r="Y1" s="171"/>
      <c r="Z1" s="171"/>
      <c r="AA1" s="171"/>
      <c r="AB1" s="171"/>
      <c r="AC1" s="171"/>
      <c r="AD1" s="171"/>
    </row>
    <row r="2" spans="1:30" ht="15" customHeight="1" x14ac:dyDescent="0.35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</row>
    <row r="3" spans="1:30" s="126" customFormat="1" ht="21" customHeight="1" x14ac:dyDescent="0.5">
      <c r="B3" s="117" t="s">
        <v>293</v>
      </c>
      <c r="C3" s="122"/>
      <c r="D3" s="122"/>
      <c r="E3" s="122"/>
      <c r="F3" s="117" t="s">
        <v>294</v>
      </c>
      <c r="G3" s="122"/>
      <c r="H3" s="122"/>
      <c r="I3" s="122"/>
      <c r="J3" s="122"/>
      <c r="K3" s="122"/>
      <c r="M3" s="117" t="s">
        <v>295</v>
      </c>
      <c r="N3" s="122"/>
      <c r="O3" s="122"/>
      <c r="P3" s="122"/>
      <c r="Q3" s="122"/>
      <c r="R3" s="122"/>
      <c r="S3" s="122"/>
      <c r="T3" s="122"/>
    </row>
    <row r="4" spans="1:30" s="126" customFormat="1" ht="15" customHeight="1" x14ac:dyDescent="0.35">
      <c r="A4" s="80"/>
      <c r="B4" s="80"/>
      <c r="C4" s="80"/>
      <c r="D4" s="80"/>
      <c r="E4" s="80"/>
      <c r="F4" s="124"/>
      <c r="G4" s="124"/>
      <c r="H4" s="124"/>
      <c r="I4" s="124"/>
      <c r="J4" s="124"/>
      <c r="K4" s="124"/>
      <c r="L4" s="124"/>
    </row>
    <row r="5" spans="1:30" s="126" customFormat="1" ht="15" customHeight="1" x14ac:dyDescent="0.35">
      <c r="A5" s="80"/>
      <c r="B5" s="139" t="s">
        <v>296</v>
      </c>
      <c r="C5" s="80"/>
      <c r="D5" s="80"/>
      <c r="E5" s="80"/>
      <c r="F5" s="124"/>
      <c r="G5" s="124"/>
      <c r="H5" s="124"/>
      <c r="I5" s="310" t="s">
        <v>226</v>
      </c>
      <c r="J5" s="141" t="s">
        <v>297</v>
      </c>
      <c r="K5" s="141" t="s">
        <v>227</v>
      </c>
      <c r="L5" s="124"/>
      <c r="M5" s="129" t="s">
        <v>296</v>
      </c>
      <c r="N5" s="123"/>
      <c r="O5" s="123"/>
      <c r="P5" s="233">
        <f>INPUT!E5</f>
        <v>2022</v>
      </c>
      <c r="Q5" s="233">
        <f>INPUT!F5</f>
        <v>2023</v>
      </c>
      <c r="R5" s="233">
        <f>INPUT!G5</f>
        <v>2024</v>
      </c>
      <c r="S5" s="233" t="str">
        <f>INPUT!H5</f>
        <v>2025 (LTM)</v>
      </c>
    </row>
    <row r="6" spans="1:30" ht="15" customHeight="1" x14ac:dyDescent="0.35">
      <c r="A6" s="80"/>
      <c r="B6" s="130" t="s">
        <v>298</v>
      </c>
      <c r="F6" s="144" t="s">
        <v>299</v>
      </c>
      <c r="I6" s="231">
        <f>INPUT!H95*0.75</f>
        <v>58.14</v>
      </c>
      <c r="J6" s="231">
        <f>K6-I6</f>
        <v>54.263999999999996</v>
      </c>
      <c r="K6" s="231">
        <f>INPUT!H95*1.45</f>
        <v>112.404</v>
      </c>
      <c r="M6" s="123"/>
      <c r="N6" s="123"/>
      <c r="O6" s="123"/>
      <c r="P6" s="123"/>
      <c r="Q6" s="123"/>
      <c r="R6" s="123"/>
      <c r="S6" s="123"/>
    </row>
    <row r="7" spans="1:30" ht="15" customHeight="1" x14ac:dyDescent="0.35">
      <c r="A7" s="80"/>
      <c r="C7" s="89" t="s">
        <v>67</v>
      </c>
      <c r="D7" s="495" t="str">
        <f>INPUT!D114</f>
        <v>MetLife, Inc.</v>
      </c>
      <c r="F7" s="144" t="s">
        <v>300</v>
      </c>
      <c r="I7" s="232">
        <f>INPUT!H95*1.1</f>
        <v>85.272000000000006</v>
      </c>
      <c r="J7" s="232">
        <f>K7-I7</f>
        <v>38.759999999999991</v>
      </c>
      <c r="K7" s="232">
        <f>INPUT!H95*1.6</f>
        <v>124.032</v>
      </c>
      <c r="M7" s="135" t="s">
        <v>301</v>
      </c>
      <c r="N7" s="123"/>
      <c r="O7" s="123"/>
      <c r="P7" s="234" t="str">
        <f>IF(INPUT!D9=0,"",INPUT!E9/INPUT!D9-1)</f>
        <v/>
      </c>
      <c r="Q7" s="496">
        <f>IF(INPUT!E9=0,"",INPUT!F9/INPUT!E9-1)</f>
        <v>7.7882775297066775E-3</v>
      </c>
      <c r="R7" s="496">
        <f>IF(INPUT!F9=0,"",INPUT!G9/INPUT!F9-1)</f>
        <v>3.2340212559248682E-2</v>
      </c>
      <c r="S7" s="496">
        <f>IF(INPUT!G9=0,"",INPUT!H9/INPUT!G9-1)</f>
        <v>7.8752620096676162E-2</v>
      </c>
    </row>
    <row r="8" spans="1:30" ht="15" customHeight="1" x14ac:dyDescent="0.35">
      <c r="A8" s="80"/>
      <c r="C8" s="89" t="s">
        <v>70</v>
      </c>
      <c r="D8" s="495" t="str">
        <f>INPUT!D115</f>
        <v>MET</v>
      </c>
      <c r="F8" s="144" t="s">
        <v>302</v>
      </c>
      <c r="G8" s="126"/>
      <c r="H8" s="126"/>
      <c r="I8" s="232">
        <f>INPUT!H95*1.2</f>
        <v>93.023999999999987</v>
      </c>
      <c r="J8" s="232">
        <f>K8-I8</f>
        <v>42.63600000000001</v>
      </c>
      <c r="K8" s="232">
        <f>INPUT!H95*1.75</f>
        <v>135.66</v>
      </c>
      <c r="L8" s="126"/>
      <c r="M8" s="143" t="s">
        <v>303</v>
      </c>
      <c r="N8" s="123"/>
      <c r="O8" s="123"/>
      <c r="P8" s="151" t="str">
        <f>""</f>
        <v/>
      </c>
      <c r="Q8" s="234" t="str">
        <f>IF(INPUT!D30=0,"",INPUT!F30/INPUT!E30-1)</f>
        <v/>
      </c>
      <c r="R8" s="496">
        <f>IF(INPUT!E30=0,"",INPUT!G30/INPUT!F30-1)</f>
        <v>-0.18531341107871724</v>
      </c>
      <c r="S8" s="496">
        <f>IF(INPUT!F30=0,"",INPUT!H30/INPUT!G30-1)</f>
        <v>-0.16088869007679119</v>
      </c>
    </row>
    <row r="9" spans="1:30" ht="15" customHeight="1" x14ac:dyDescent="0.35">
      <c r="A9" s="80"/>
      <c r="C9" s="89" t="s">
        <v>304</v>
      </c>
      <c r="D9" s="495" t="str">
        <f>INPUT!D116</f>
        <v>Financial Services</v>
      </c>
      <c r="F9" s="144" t="s">
        <v>305</v>
      </c>
      <c r="G9" s="126"/>
      <c r="H9" s="126"/>
      <c r="I9" s="232">
        <f>INPUT!H95*1.3</f>
        <v>100.776</v>
      </c>
      <c r="J9" s="232">
        <f>K9-I9</f>
        <v>42.63600000000001</v>
      </c>
      <c r="K9" s="232">
        <f>INPUT!H95*1.85</f>
        <v>143.41200000000001</v>
      </c>
      <c r="L9" s="126"/>
      <c r="M9" s="123"/>
      <c r="N9" s="123"/>
      <c r="O9" s="123"/>
      <c r="P9" s="123"/>
      <c r="Q9" s="123"/>
      <c r="R9" s="123"/>
      <c r="S9" s="123"/>
    </row>
    <row r="10" spans="1:30" ht="15" customHeight="1" x14ac:dyDescent="0.35">
      <c r="A10" s="80"/>
      <c r="C10" s="89" t="s">
        <v>74</v>
      </c>
      <c r="D10" s="495">
        <f>INPUT!D117</f>
        <v>2025</v>
      </c>
      <c r="F10" s="144" t="s">
        <v>306</v>
      </c>
      <c r="G10" s="126"/>
      <c r="H10" s="126"/>
      <c r="I10" s="232">
        <f>INPUT!H95*1.15</f>
        <v>89.147999999999982</v>
      </c>
      <c r="J10" s="232">
        <f>K10-I10</f>
        <v>42.63600000000001</v>
      </c>
      <c r="K10" s="232">
        <f>INPUT!H95*1.7</f>
        <v>131.78399999999999</v>
      </c>
      <c r="L10" s="126"/>
      <c r="M10" s="130" t="s">
        <v>6</v>
      </c>
      <c r="N10" s="123"/>
      <c r="O10" s="123"/>
      <c r="P10" s="123"/>
      <c r="Q10" s="123"/>
      <c r="R10" s="123"/>
      <c r="S10" s="123"/>
      <c r="T10" s="123"/>
    </row>
    <row r="11" spans="1:30" ht="15" customHeight="1" x14ac:dyDescent="0.35">
      <c r="A11" s="80"/>
      <c r="C11" s="89" t="s">
        <v>75</v>
      </c>
      <c r="D11" s="495" t="str">
        <f>INPUT!D118</f>
        <v>USD</v>
      </c>
      <c r="F11" s="131" t="s">
        <v>179</v>
      </c>
      <c r="G11" s="126"/>
      <c r="H11" s="126"/>
      <c r="I11" s="497">
        <f>INPUT!H95</f>
        <v>77.52</v>
      </c>
      <c r="J11" s="170"/>
      <c r="K11" s="170"/>
      <c r="L11" s="126"/>
      <c r="M11" s="146" t="s">
        <v>307</v>
      </c>
      <c r="N11" s="123"/>
      <c r="O11" s="123"/>
      <c r="P11" s="235">
        <f>INPUT!E9</f>
        <v>67409</v>
      </c>
      <c r="Q11" s="235">
        <f>INPUT!E9</f>
        <v>67409</v>
      </c>
      <c r="R11" s="235">
        <f>INPUT!F9</f>
        <v>67934</v>
      </c>
      <c r="S11" s="235">
        <f>INPUT!G9</f>
        <v>70131</v>
      </c>
      <c r="T11" s="235">
        <f>INPUT!H9</f>
        <v>75654</v>
      </c>
    </row>
    <row r="12" spans="1:30" ht="15" customHeight="1" x14ac:dyDescent="0.35">
      <c r="A12" s="80"/>
      <c r="C12" s="89" t="s">
        <v>79</v>
      </c>
      <c r="D12" s="498" t="str">
        <f>INPUT!D120</f>
        <v>2026-04-16</v>
      </c>
      <c r="M12" s="146" t="s">
        <v>308</v>
      </c>
      <c r="N12" s="123"/>
      <c r="O12" s="123"/>
      <c r="P12" s="235">
        <f>ABS(INPUT!E10)</f>
        <v>182099</v>
      </c>
      <c r="Q12" s="235">
        <f>ABS(INPUT!E10)</f>
        <v>182099</v>
      </c>
      <c r="R12" s="235">
        <f>ABS(INPUT!F10)</f>
        <v>156572</v>
      </c>
      <c r="S12" s="235">
        <f>ABS(INPUT!G10)</f>
        <v>140078</v>
      </c>
      <c r="T12" s="235">
        <f>ABS(INPUT!H10)</f>
        <v>130497</v>
      </c>
      <c r="U12" s="126"/>
      <c r="V12" s="126"/>
      <c r="W12" s="126"/>
      <c r="X12" s="126"/>
    </row>
    <row r="13" spans="1:30" ht="15" customHeight="1" x14ac:dyDescent="0.35">
      <c r="A13" s="80"/>
      <c r="M13" s="146" t="s">
        <v>8</v>
      </c>
      <c r="N13" s="123"/>
      <c r="O13" s="123"/>
      <c r="P13" s="235">
        <f>INPUT!E11</f>
        <v>-114690</v>
      </c>
      <c r="Q13" s="235">
        <f>INPUT!E11</f>
        <v>-114690</v>
      </c>
      <c r="R13" s="235">
        <f>INPUT!F11</f>
        <v>-88638</v>
      </c>
      <c r="S13" s="235">
        <f>INPUT!G11</f>
        <v>-69947</v>
      </c>
      <c r="T13" s="235">
        <f>INPUT!H11</f>
        <v>-54843</v>
      </c>
      <c r="U13" s="126"/>
      <c r="V13" s="126"/>
      <c r="W13" s="126"/>
      <c r="X13" s="126"/>
    </row>
    <row r="14" spans="1:30" ht="21" customHeight="1" x14ac:dyDescent="0.35">
      <c r="A14" s="80"/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146" t="s">
        <v>289</v>
      </c>
      <c r="N14" s="123"/>
      <c r="O14" s="123"/>
      <c r="P14" s="235">
        <f>ABS(INPUT!E14)</f>
        <v>5860</v>
      </c>
      <c r="Q14" s="235">
        <f>ABS(INPUT!E14)</f>
        <v>5860</v>
      </c>
      <c r="R14" s="235">
        <f>ABS(INPUT!F14)</f>
        <v>6177</v>
      </c>
      <c r="S14" s="235">
        <f>ABS(INPUT!G14)</f>
        <v>5991</v>
      </c>
      <c r="T14" s="235">
        <f>ABS(INPUT!H14)</f>
        <v>6276</v>
      </c>
      <c r="U14" s="126"/>
      <c r="V14" s="126"/>
      <c r="W14" s="126"/>
      <c r="X14" s="126"/>
    </row>
    <row r="15" spans="1:30" ht="15" customHeight="1" x14ac:dyDescent="0.35">
      <c r="A15" s="80"/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146" t="s">
        <v>309</v>
      </c>
      <c r="N15" s="123"/>
      <c r="O15" s="123"/>
      <c r="P15" s="499">
        <f>INPUT!E9</f>
        <v>67409</v>
      </c>
      <c r="Q15" s="499">
        <f>INPUT!E9</f>
        <v>67409</v>
      </c>
      <c r="R15" s="499">
        <f>INPUT!F9</f>
        <v>67934</v>
      </c>
      <c r="S15" s="499">
        <f>INPUT!G9</f>
        <v>70131</v>
      </c>
      <c r="T15" s="499">
        <f>INPUT!H9</f>
        <v>75654</v>
      </c>
    </row>
    <row r="16" spans="1:30" ht="15" customHeight="1" x14ac:dyDescent="0.3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123"/>
      <c r="N16" s="123"/>
      <c r="O16" s="123"/>
      <c r="P16" s="170"/>
      <c r="Q16" s="170"/>
      <c r="R16" s="170"/>
      <c r="S16" s="170"/>
      <c r="T16" s="170"/>
    </row>
    <row r="17" spans="1:20" ht="15" customHeight="1" x14ac:dyDescent="0.35">
      <c r="A17" s="80"/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146" t="s">
        <v>17</v>
      </c>
      <c r="N17" s="123"/>
      <c r="O17" s="123"/>
      <c r="P17" s="235">
        <f>INPUT!E30</f>
        <v>-123625</v>
      </c>
      <c r="Q17" s="235">
        <f>INPUT!E30</f>
        <v>-123625</v>
      </c>
      <c r="R17" s="235">
        <f>INPUT!F30</f>
        <v>-98784</v>
      </c>
      <c r="S17" s="235">
        <f>INPUT!G30</f>
        <v>-80478</v>
      </c>
      <c r="T17" s="235">
        <f>INPUT!H30</f>
        <v>-67530</v>
      </c>
    </row>
    <row r="18" spans="1:20" ht="15" customHeight="1" x14ac:dyDescent="0.35">
      <c r="A18" s="80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146" t="s">
        <v>310</v>
      </c>
      <c r="N18" s="123"/>
      <c r="O18" s="123"/>
      <c r="P18" s="235">
        <f>INPUT!E75</f>
        <v>-99050</v>
      </c>
      <c r="Q18" s="235">
        <f>INPUT!E75</f>
        <v>-99050</v>
      </c>
      <c r="R18" s="235">
        <f>INPUT!F75</f>
        <v>-88357</v>
      </c>
      <c r="S18" s="235">
        <f>INPUT!G75</f>
        <v>-65357</v>
      </c>
      <c r="T18" s="235">
        <f>INPUT!H75</f>
        <v>-57029</v>
      </c>
    </row>
    <row r="19" spans="1:20" s="126" customFormat="1" ht="15" customHeight="1" x14ac:dyDescent="0.35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146" t="s">
        <v>15</v>
      </c>
      <c r="N19" s="123"/>
      <c r="O19" s="123"/>
      <c r="P19" s="235">
        <f>INPUT!E26</f>
        <v>-104284</v>
      </c>
      <c r="Q19" s="235">
        <f>INPUT!E26</f>
        <v>-104284</v>
      </c>
      <c r="R19" s="235">
        <f>INPUT!F26</f>
        <v>-74214</v>
      </c>
      <c r="S19" s="235">
        <f>INPUT!G26</f>
        <v>-64944</v>
      </c>
      <c r="T19" s="235">
        <f>INPUT!H26</f>
        <v>-50628</v>
      </c>
    </row>
    <row r="20" spans="1:20" s="126" customFormat="1" ht="15" customHeight="1" x14ac:dyDescent="0.3">
      <c r="A20" s="80"/>
      <c r="B20" s="80"/>
      <c r="C20" s="80"/>
      <c r="D20" s="80"/>
      <c r="E20" s="80"/>
      <c r="F20" s="80"/>
      <c r="G20" s="80"/>
      <c r="H20" s="80"/>
    </row>
    <row r="21" spans="1:20" s="126" customFormat="1" ht="15" customHeight="1" x14ac:dyDescent="0.3">
      <c r="A21" s="80"/>
      <c r="B21" s="80"/>
      <c r="C21" s="80"/>
      <c r="D21" s="80"/>
      <c r="E21" s="80"/>
      <c r="F21" s="80"/>
      <c r="G21" s="80"/>
      <c r="H21" s="80"/>
    </row>
    <row r="22" spans="1:20" s="126" customFormat="1" ht="15" customHeight="1" x14ac:dyDescent="0.35">
      <c r="A22" s="80"/>
      <c r="B22" s="174" t="s">
        <v>311</v>
      </c>
      <c r="C22" s="178"/>
      <c r="D22" s="178"/>
      <c r="E22" s="178"/>
      <c r="F22" s="178"/>
      <c r="G22" s="178"/>
      <c r="H22" s="80"/>
      <c r="I22" s="174" t="s">
        <v>312</v>
      </c>
      <c r="J22" s="178"/>
      <c r="K22" s="178"/>
      <c r="L22" s="178"/>
      <c r="M22" s="178"/>
      <c r="N22" s="178"/>
      <c r="P22" s="174" t="s">
        <v>313</v>
      </c>
      <c r="Q22" s="178"/>
      <c r="R22" s="178"/>
      <c r="S22" s="178"/>
    </row>
    <row r="23" spans="1:20" s="126" customFormat="1" ht="15" customHeight="1" x14ac:dyDescent="0.3">
      <c r="A23" s="80"/>
      <c r="B23" s="145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</row>
    <row r="24" spans="1:20" s="126" customFormat="1" ht="15" customHeight="1" x14ac:dyDescent="0.3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</row>
    <row r="25" spans="1:20" s="126" customFormat="1" ht="15" customHeight="1" x14ac:dyDescent="0.3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</row>
    <row r="26" spans="1:20" s="126" customFormat="1" ht="21" customHeight="1" x14ac:dyDescent="0.3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</row>
    <row r="27" spans="1:20" s="126" customFormat="1" ht="15" customHeight="1" x14ac:dyDescent="0.3">
      <c r="A27" s="80"/>
      <c r="B27" s="80"/>
      <c r="C27" s="80"/>
      <c r="D27" s="80"/>
      <c r="E27" s="80"/>
      <c r="F27" s="80"/>
      <c r="G27" s="80"/>
      <c r="H27" s="80"/>
      <c r="I27" s="80"/>
    </row>
    <row r="28" spans="1:20" s="123" customFormat="1" ht="15" customHeight="1" x14ac:dyDescent="0.35">
      <c r="A28" s="80"/>
      <c r="B28" s="80"/>
      <c r="C28" s="80"/>
      <c r="D28" s="80"/>
      <c r="E28" s="80"/>
      <c r="F28" s="80"/>
      <c r="G28" s="80"/>
      <c r="H28" s="80"/>
      <c r="I28" s="80"/>
    </row>
    <row r="29" spans="1:20" s="123" customFormat="1" ht="15" customHeight="1" x14ac:dyDescent="0.35">
      <c r="A29" s="80"/>
      <c r="B29" s="80"/>
      <c r="C29" s="80"/>
      <c r="D29" s="80"/>
      <c r="E29" s="80"/>
      <c r="F29" s="80"/>
      <c r="G29" s="80"/>
      <c r="H29" s="80"/>
      <c r="I29" s="80"/>
    </row>
    <row r="30" spans="1:20" s="123" customFormat="1" ht="15" customHeight="1" x14ac:dyDescent="0.35">
      <c r="A30" s="80"/>
      <c r="B30" s="80"/>
      <c r="C30" s="80"/>
      <c r="D30" s="80"/>
      <c r="E30" s="80"/>
      <c r="F30" s="80"/>
      <c r="G30" s="80"/>
      <c r="H30" s="80"/>
      <c r="I30" s="80"/>
    </row>
    <row r="31" spans="1:20" s="123" customFormat="1" ht="15" customHeight="1" x14ac:dyDescent="0.35">
      <c r="A31" s="80"/>
      <c r="B31" s="80"/>
      <c r="C31" s="80"/>
      <c r="D31" s="80"/>
      <c r="E31" s="80"/>
      <c r="F31" s="80"/>
      <c r="G31" s="80"/>
      <c r="H31" s="80"/>
      <c r="I31" s="80"/>
    </row>
    <row r="32" spans="1:20" s="123" customFormat="1" ht="15" customHeight="1" x14ac:dyDescent="0.35">
      <c r="A32" s="80"/>
      <c r="B32" s="80"/>
      <c r="C32" s="80"/>
      <c r="D32" s="80"/>
      <c r="E32" s="80"/>
      <c r="F32" s="80"/>
      <c r="G32" s="80"/>
      <c r="H32" s="80"/>
      <c r="I32" s="80"/>
    </row>
    <row r="33" spans="1:28" s="123" customFormat="1" ht="15" customHeight="1" x14ac:dyDescent="0.35">
      <c r="A33" s="80"/>
      <c r="B33" s="80"/>
      <c r="C33" s="80"/>
      <c r="D33" s="80"/>
      <c r="E33" s="80"/>
      <c r="F33" s="80"/>
      <c r="G33" s="80"/>
      <c r="H33" s="80"/>
      <c r="I33" s="80"/>
    </row>
    <row r="34" spans="1:28" s="123" customFormat="1" ht="15" customHeight="1" x14ac:dyDescent="0.35">
      <c r="B34" s="80"/>
      <c r="C34" s="80"/>
      <c r="D34" s="80"/>
      <c r="E34" s="80"/>
      <c r="F34" s="80"/>
      <c r="G34" s="80"/>
      <c r="H34" s="80"/>
      <c r="I34" s="80"/>
    </row>
    <row r="35" spans="1:28" s="123" customFormat="1" ht="15" customHeight="1" x14ac:dyDescent="0.35"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</row>
    <row r="36" spans="1:28" s="123" customFormat="1" ht="15" customHeight="1" x14ac:dyDescent="0.35"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</row>
    <row r="37" spans="1:28" s="123" customFormat="1" ht="15" customHeight="1" x14ac:dyDescent="0.35"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</row>
    <row r="38" spans="1:28" s="123" customFormat="1" ht="15" customHeight="1" x14ac:dyDescent="0.35"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</row>
    <row r="39" spans="1:28" s="123" customFormat="1" ht="15" customHeight="1" x14ac:dyDescent="0.35"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</row>
    <row r="40" spans="1:28" s="123" customFormat="1" ht="15" customHeight="1" x14ac:dyDescent="0.35">
      <c r="B40" s="80"/>
      <c r="C40" s="80"/>
      <c r="D40" s="80"/>
      <c r="E40" s="80"/>
      <c r="F40" s="80"/>
      <c r="G40" s="80"/>
      <c r="H40" s="80"/>
    </row>
    <row r="41" spans="1:28" s="123" customFormat="1" ht="15" customHeight="1" x14ac:dyDescent="0.35">
      <c r="B41" s="80"/>
      <c r="C41" s="80"/>
      <c r="D41" s="80"/>
      <c r="E41" s="80"/>
      <c r="F41" s="80"/>
      <c r="G41" s="80"/>
      <c r="H41" s="80"/>
    </row>
    <row r="42" spans="1:28" s="123" customFormat="1" ht="15" customHeight="1" x14ac:dyDescent="0.35">
      <c r="B42" s="174" t="s">
        <v>314</v>
      </c>
      <c r="C42" s="178"/>
      <c r="D42" s="178"/>
      <c r="E42" s="178"/>
      <c r="F42" s="178"/>
      <c r="G42" s="178"/>
      <c r="H42" s="80"/>
    </row>
    <row r="43" spans="1:28" s="123" customFormat="1" ht="15" customHeight="1" x14ac:dyDescent="0.35">
      <c r="H43" s="80"/>
    </row>
    <row r="44" spans="1:28" s="123" customFormat="1" ht="15" customHeight="1" x14ac:dyDescent="0.4">
      <c r="H44" s="80"/>
      <c r="Q44" s="147"/>
    </row>
    <row r="45" spans="1:28" s="123" customFormat="1" ht="15" customHeight="1" x14ac:dyDescent="0.35">
      <c r="H45" s="80"/>
      <c r="AB45" s="128"/>
    </row>
    <row r="46" spans="1:28" s="123" customFormat="1" ht="15" customHeight="1" x14ac:dyDescent="0.35">
      <c r="H46" s="80"/>
      <c r="AB46" s="128"/>
    </row>
    <row r="47" spans="1:28" s="123" customFormat="1" ht="15" customHeight="1" x14ac:dyDescent="0.35">
      <c r="H47" s="80"/>
    </row>
    <row r="48" spans="1:28" s="123" customFormat="1" ht="15" customHeight="1" x14ac:dyDescent="0.35">
      <c r="H48" s="80"/>
    </row>
    <row r="49" spans="1:24" s="123" customFormat="1" ht="15" customHeight="1" x14ac:dyDescent="0.35">
      <c r="H49" s="80"/>
    </row>
    <row r="50" spans="1:24" s="123" customFormat="1" ht="15" customHeight="1" x14ac:dyDescent="0.35">
      <c r="H50" s="80"/>
    </row>
    <row r="51" spans="1:24" s="123" customFormat="1" ht="15" customHeight="1" x14ac:dyDescent="0.35">
      <c r="H51" s="80"/>
      <c r="Q51" s="124"/>
      <c r="R51" s="124"/>
      <c r="S51" s="124"/>
      <c r="T51" s="124"/>
      <c r="U51" s="124"/>
      <c r="V51" s="124"/>
      <c r="W51" s="124"/>
      <c r="X51" s="124"/>
    </row>
    <row r="52" spans="1:24" s="123" customFormat="1" ht="15" customHeight="1" x14ac:dyDescent="0.35">
      <c r="H52" s="80"/>
      <c r="Q52" s="124"/>
      <c r="R52" s="124"/>
      <c r="S52" s="124"/>
      <c r="T52" s="124"/>
      <c r="U52" s="124"/>
      <c r="V52" s="124"/>
      <c r="W52" s="124"/>
      <c r="X52" s="124"/>
    </row>
    <row r="53" spans="1:24" s="123" customFormat="1" ht="15" customHeight="1" x14ac:dyDescent="0.35">
      <c r="H53" s="80"/>
      <c r="Q53" s="124"/>
      <c r="R53" s="124"/>
      <c r="S53" s="124"/>
      <c r="T53" s="124"/>
      <c r="U53" s="124"/>
      <c r="V53" s="124"/>
      <c r="W53" s="124"/>
      <c r="X53" s="124"/>
    </row>
    <row r="54" spans="1:24" s="123" customFormat="1" ht="15" customHeight="1" x14ac:dyDescent="0.35">
      <c r="H54" s="80"/>
      <c r="Q54" s="124"/>
      <c r="R54" s="124"/>
      <c r="S54" s="124"/>
      <c r="T54" s="124"/>
      <c r="U54" s="124"/>
      <c r="V54" s="124"/>
      <c r="W54" s="124"/>
      <c r="X54" s="124"/>
    </row>
    <row r="55" spans="1:24" s="123" customFormat="1" ht="15" customHeight="1" x14ac:dyDescent="0.35">
      <c r="H55" s="80"/>
      <c r="Q55" s="124"/>
      <c r="R55" s="124"/>
      <c r="S55" s="124"/>
      <c r="T55" s="124"/>
      <c r="U55" s="124"/>
      <c r="V55" s="124"/>
      <c r="W55" s="124"/>
      <c r="X55" s="124"/>
    </row>
    <row r="56" spans="1:24" s="123" customFormat="1" ht="15" customHeight="1" x14ac:dyDescent="0.35">
      <c r="H56" s="80"/>
      <c r="Q56" s="124"/>
      <c r="R56" s="124"/>
      <c r="S56" s="124"/>
      <c r="T56" s="124"/>
      <c r="U56" s="124"/>
      <c r="V56" s="124"/>
      <c r="W56" s="124"/>
      <c r="X56" s="124"/>
    </row>
    <row r="57" spans="1:24" s="123" customFormat="1" ht="15" customHeight="1" x14ac:dyDescent="0.4">
      <c r="A57" s="124"/>
      <c r="Q57" s="157"/>
      <c r="R57" s="157"/>
      <c r="S57" s="126"/>
      <c r="T57" s="124"/>
      <c r="U57" s="124"/>
      <c r="V57" s="124"/>
      <c r="W57" s="124"/>
      <c r="X57" s="124"/>
    </row>
    <row r="58" spans="1:24" s="123" customFormat="1" ht="15" customHeight="1" x14ac:dyDescent="0.4">
      <c r="A58" s="124"/>
      <c r="Q58" s="157"/>
      <c r="R58" s="157"/>
      <c r="S58" s="126"/>
      <c r="T58" s="124"/>
      <c r="U58" s="124"/>
      <c r="V58" s="124"/>
      <c r="W58" s="124"/>
      <c r="X58" s="124"/>
    </row>
    <row r="59" spans="1:24" s="123" customFormat="1" ht="15" customHeight="1" x14ac:dyDescent="0.35">
      <c r="A59" s="124"/>
      <c r="Q59" s="126"/>
      <c r="R59" s="126"/>
      <c r="S59" s="126"/>
      <c r="T59" s="124"/>
      <c r="U59" s="124"/>
      <c r="V59" s="124"/>
      <c r="W59" s="124"/>
      <c r="X59" s="124"/>
    </row>
    <row r="60" spans="1:24" s="123" customFormat="1" ht="15" customHeight="1" x14ac:dyDescent="0.35">
      <c r="A60" s="124"/>
      <c r="Q60" s="126"/>
      <c r="R60" s="126"/>
      <c r="S60" s="126"/>
      <c r="T60" s="124"/>
      <c r="U60" s="124"/>
      <c r="V60" s="124"/>
      <c r="W60" s="124"/>
      <c r="X60" s="124"/>
    </row>
    <row r="61" spans="1:24" s="123" customFormat="1" ht="15" customHeight="1" x14ac:dyDescent="0.35">
      <c r="A61" s="124"/>
      <c r="Q61" s="126"/>
      <c r="R61" s="126"/>
      <c r="S61" s="126"/>
      <c r="T61" s="124"/>
      <c r="U61" s="124"/>
      <c r="V61" s="124"/>
      <c r="W61" s="124"/>
      <c r="X61" s="124"/>
    </row>
    <row r="62" spans="1:24" ht="15" customHeight="1" x14ac:dyDescent="0.35"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Q62" s="126"/>
      <c r="R62" s="126"/>
      <c r="S62" s="126"/>
    </row>
    <row r="63" spans="1:24" ht="15" customHeight="1" x14ac:dyDescent="0.35">
      <c r="B63" s="123"/>
      <c r="C63" s="123"/>
      <c r="D63" s="123"/>
      <c r="E63" s="123"/>
      <c r="F63" s="123"/>
      <c r="G63" s="123"/>
      <c r="H63" s="123"/>
      <c r="Q63" s="126"/>
      <c r="R63" s="126"/>
      <c r="S63" s="126"/>
    </row>
    <row r="64" spans="1:24" ht="15" customHeight="1" x14ac:dyDescent="0.35">
      <c r="B64" s="123"/>
      <c r="C64" s="123"/>
      <c r="D64" s="123"/>
      <c r="E64" s="123"/>
      <c r="F64" s="123"/>
      <c r="G64" s="123"/>
      <c r="H64" s="123"/>
      <c r="Q64" s="126"/>
      <c r="R64" s="126"/>
      <c r="S64" s="126"/>
    </row>
    <row r="65" spans="2:24" ht="15" customHeight="1" x14ac:dyDescent="0.35">
      <c r="H65" s="123"/>
      <c r="Q65" s="126"/>
      <c r="R65" s="126"/>
      <c r="S65" s="126"/>
    </row>
    <row r="66" spans="2:24" ht="15" customHeight="1" x14ac:dyDescent="0.35">
      <c r="H66" s="123"/>
      <c r="Q66" s="123"/>
      <c r="R66" s="123"/>
      <c r="S66" s="123"/>
    </row>
    <row r="67" spans="2:24" ht="15" customHeight="1" x14ac:dyDescent="0.35">
      <c r="H67" s="123"/>
      <c r="O67" s="124"/>
      <c r="Q67" s="123"/>
      <c r="R67" s="123"/>
      <c r="S67" s="123"/>
    </row>
    <row r="68" spans="2:24" ht="15" customHeight="1" x14ac:dyDescent="0.4">
      <c r="H68" s="123"/>
      <c r="I68" s="155"/>
      <c r="J68" s="155"/>
      <c r="K68" s="155"/>
      <c r="M68" s="157"/>
      <c r="N68" s="157"/>
      <c r="O68" s="157"/>
      <c r="P68" s="157"/>
      <c r="Q68" s="123"/>
      <c r="R68" s="123"/>
      <c r="S68" s="123"/>
    </row>
    <row r="69" spans="2:24" ht="15" customHeight="1" x14ac:dyDescent="0.4">
      <c r="H69" s="123"/>
      <c r="I69" s="157"/>
      <c r="J69" s="157"/>
      <c r="K69" s="126"/>
      <c r="L69" s="158"/>
      <c r="M69" s="157"/>
      <c r="O69" s="157"/>
      <c r="P69" s="157"/>
      <c r="Q69" s="123"/>
      <c r="R69" s="123"/>
      <c r="S69" s="123"/>
    </row>
    <row r="70" spans="2:24" ht="15" customHeight="1" x14ac:dyDescent="0.4">
      <c r="C70" s="155"/>
      <c r="D70" s="155"/>
      <c r="E70" s="155"/>
      <c r="F70" s="155"/>
      <c r="G70" s="155"/>
      <c r="H70" s="123"/>
      <c r="I70" s="155"/>
      <c r="J70" s="155"/>
      <c r="K70" s="126"/>
      <c r="L70" s="158"/>
      <c r="M70" s="126"/>
      <c r="N70" s="126"/>
      <c r="O70" s="126"/>
      <c r="P70" s="126"/>
      <c r="Q70" s="123"/>
      <c r="R70" s="123"/>
      <c r="S70" s="123"/>
    </row>
    <row r="71" spans="2:24" ht="15" customHeight="1" x14ac:dyDescent="0.4">
      <c r="B71" s="126"/>
      <c r="C71" s="156"/>
      <c r="D71" s="157"/>
      <c r="E71" s="157"/>
      <c r="F71" s="157"/>
      <c r="G71" s="157"/>
      <c r="H71" s="123"/>
      <c r="I71" s="155"/>
      <c r="J71" s="126"/>
      <c r="K71" s="126"/>
      <c r="L71" s="126"/>
      <c r="M71" s="126"/>
      <c r="N71" s="126"/>
      <c r="O71" s="126"/>
      <c r="P71" s="126"/>
      <c r="Q71" s="123"/>
      <c r="R71" s="123"/>
      <c r="S71" s="123"/>
    </row>
    <row r="72" spans="2:24" ht="15" customHeight="1" x14ac:dyDescent="0.4">
      <c r="B72" s="126"/>
      <c r="C72" s="155"/>
      <c r="D72" s="155"/>
      <c r="E72" s="155"/>
      <c r="F72" s="155"/>
      <c r="G72" s="155"/>
      <c r="H72" s="123"/>
      <c r="I72" s="155"/>
      <c r="J72" s="126"/>
      <c r="K72" s="126"/>
      <c r="L72" s="126"/>
      <c r="M72" s="126"/>
      <c r="N72" s="126"/>
      <c r="O72" s="126"/>
      <c r="P72" s="126"/>
      <c r="Q72" s="123"/>
      <c r="R72" s="123"/>
      <c r="S72" s="123"/>
    </row>
    <row r="73" spans="2:24" ht="15" customHeight="1" x14ac:dyDescent="0.4">
      <c r="B73" s="126"/>
      <c r="C73" s="155"/>
      <c r="D73" s="155"/>
      <c r="E73" s="155"/>
      <c r="F73" s="155"/>
      <c r="G73" s="155"/>
      <c r="H73" s="123"/>
      <c r="I73" s="155"/>
      <c r="J73" s="126"/>
      <c r="K73" s="126"/>
      <c r="L73" s="126"/>
      <c r="M73" s="126"/>
      <c r="N73" s="126"/>
      <c r="O73" s="126"/>
      <c r="P73" s="126"/>
      <c r="Q73" s="123"/>
      <c r="R73" s="123"/>
      <c r="S73" s="123"/>
    </row>
    <row r="74" spans="2:24" ht="15" customHeight="1" x14ac:dyDescent="0.4">
      <c r="B74" s="126"/>
      <c r="C74" s="155"/>
      <c r="D74" s="155"/>
      <c r="E74" s="155"/>
      <c r="F74" s="155"/>
      <c r="G74" s="155"/>
      <c r="H74" s="123"/>
      <c r="I74" s="155"/>
      <c r="J74" s="126"/>
      <c r="K74" s="126"/>
      <c r="L74" s="126"/>
      <c r="M74" s="126"/>
      <c r="N74" s="126"/>
      <c r="O74" s="126"/>
      <c r="P74" s="126"/>
      <c r="Q74" s="123"/>
      <c r="R74" s="123"/>
      <c r="S74" s="123"/>
    </row>
    <row r="75" spans="2:24" ht="15" customHeight="1" x14ac:dyDescent="0.4">
      <c r="B75" s="123"/>
      <c r="C75" s="155"/>
      <c r="D75" s="155"/>
      <c r="E75" s="155"/>
      <c r="F75" s="155"/>
      <c r="G75" s="155"/>
      <c r="H75" s="123"/>
      <c r="I75" s="155"/>
      <c r="J75" s="126"/>
      <c r="K75" s="126"/>
      <c r="L75" s="126"/>
      <c r="M75" s="126"/>
      <c r="N75" s="126"/>
      <c r="O75" s="126"/>
      <c r="P75" s="126"/>
      <c r="Q75" s="123"/>
      <c r="R75" s="123"/>
      <c r="S75" s="123"/>
    </row>
    <row r="76" spans="2:24" ht="15" customHeight="1" x14ac:dyDescent="0.4">
      <c r="B76" s="126"/>
      <c r="C76" s="155"/>
      <c r="D76" s="155"/>
      <c r="E76" s="155"/>
      <c r="F76" s="155"/>
      <c r="G76" s="155"/>
      <c r="H76" s="123"/>
      <c r="I76" s="161"/>
      <c r="J76" s="126"/>
      <c r="K76" s="126"/>
      <c r="L76" s="126"/>
      <c r="M76" s="126"/>
      <c r="N76" s="126"/>
      <c r="O76" s="126"/>
      <c r="P76" s="126"/>
      <c r="Q76" s="162"/>
      <c r="R76" s="163"/>
      <c r="S76" s="123"/>
    </row>
    <row r="77" spans="2:24" ht="15" customHeight="1" x14ac:dyDescent="0.4">
      <c r="B77" s="126"/>
      <c r="C77" s="155"/>
      <c r="D77" s="155"/>
      <c r="E77" s="155"/>
      <c r="F77" s="155"/>
      <c r="G77" s="155"/>
      <c r="H77" s="123"/>
      <c r="I77" s="162"/>
      <c r="J77" s="126"/>
      <c r="K77" s="126"/>
      <c r="L77" s="126"/>
      <c r="M77" s="123"/>
      <c r="N77" s="123"/>
      <c r="O77" s="123"/>
      <c r="P77" s="123"/>
      <c r="Q77" s="166"/>
      <c r="R77" s="166"/>
      <c r="S77" s="123"/>
    </row>
    <row r="78" spans="2:24" ht="15" customHeight="1" x14ac:dyDescent="0.4">
      <c r="B78" s="126"/>
      <c r="C78" s="155"/>
      <c r="D78" s="155"/>
      <c r="E78" s="155"/>
      <c r="F78" s="155"/>
      <c r="G78" s="155"/>
      <c r="H78" s="123"/>
      <c r="I78" s="162"/>
      <c r="J78" s="123"/>
      <c r="K78" s="123"/>
      <c r="L78" s="123"/>
      <c r="M78" s="123"/>
      <c r="N78" s="123"/>
      <c r="O78" s="123"/>
      <c r="P78" s="123"/>
      <c r="Q78" s="168"/>
      <c r="R78" s="168"/>
      <c r="S78" s="167"/>
      <c r="T78" s="167"/>
      <c r="U78" s="167"/>
      <c r="V78" s="167"/>
      <c r="W78" s="167"/>
      <c r="X78" s="167"/>
    </row>
    <row r="79" spans="2:24" ht="15" customHeight="1" x14ac:dyDescent="0.4">
      <c r="B79" s="126"/>
      <c r="C79" s="155"/>
      <c r="D79" s="155"/>
      <c r="E79" s="155"/>
      <c r="F79" s="155"/>
      <c r="G79" s="155"/>
      <c r="I79" s="162"/>
      <c r="J79" s="123"/>
      <c r="K79" s="123"/>
      <c r="L79" s="123"/>
      <c r="M79" s="123"/>
      <c r="N79" s="123"/>
      <c r="O79" s="123"/>
      <c r="P79" s="123"/>
      <c r="Q79" s="169"/>
      <c r="R79" s="167"/>
      <c r="S79" s="167"/>
      <c r="T79" s="167"/>
      <c r="U79" s="167"/>
      <c r="V79" s="167"/>
      <c r="W79" s="167"/>
      <c r="X79" s="167"/>
    </row>
    <row r="80" spans="2:24" ht="15" customHeight="1" x14ac:dyDescent="0.4">
      <c r="B80" s="123"/>
      <c r="C80" s="155"/>
      <c r="D80" s="155"/>
      <c r="E80" s="155"/>
      <c r="F80" s="155"/>
      <c r="G80" s="155"/>
      <c r="I80" s="162"/>
      <c r="J80" s="123"/>
      <c r="K80" s="123"/>
      <c r="L80" s="123"/>
      <c r="M80" s="123"/>
      <c r="N80" s="123"/>
      <c r="O80" s="123"/>
      <c r="P80" s="123"/>
      <c r="Q80" s="169"/>
      <c r="R80" s="167"/>
      <c r="S80" s="167"/>
      <c r="T80" s="167"/>
      <c r="U80" s="167"/>
      <c r="V80" s="167"/>
      <c r="W80" s="167"/>
      <c r="X80" s="167"/>
    </row>
    <row r="81" spans="1:29" ht="15" customHeight="1" x14ac:dyDescent="0.4">
      <c r="B81" s="123"/>
      <c r="C81" s="155"/>
      <c r="D81" s="155"/>
      <c r="E81" s="155"/>
      <c r="F81" s="155"/>
      <c r="G81" s="155"/>
      <c r="I81" s="162"/>
      <c r="J81" s="123"/>
      <c r="K81" s="123"/>
      <c r="L81" s="123"/>
      <c r="M81" s="123"/>
      <c r="N81" s="123"/>
      <c r="O81" s="123"/>
      <c r="P81" s="123"/>
      <c r="Q81" s="169"/>
      <c r="R81" s="167"/>
      <c r="S81" s="167"/>
      <c r="T81" s="167"/>
      <c r="U81" s="167"/>
      <c r="V81" s="167"/>
      <c r="W81" s="167"/>
      <c r="X81" s="167"/>
    </row>
    <row r="82" spans="1:29" ht="15" customHeight="1" x14ac:dyDescent="0.4">
      <c r="B82" s="123"/>
      <c r="C82" s="155"/>
      <c r="D82" s="155"/>
      <c r="E82" s="155"/>
      <c r="F82" s="155"/>
      <c r="G82" s="155"/>
      <c r="I82" s="155"/>
      <c r="J82" s="123"/>
      <c r="K82" s="123"/>
      <c r="L82" s="123"/>
      <c r="M82" s="123"/>
      <c r="N82" s="123"/>
      <c r="O82" s="123"/>
      <c r="P82" s="123"/>
      <c r="Q82" s="169"/>
      <c r="R82" s="167"/>
      <c r="S82" s="167"/>
      <c r="T82" s="167"/>
      <c r="U82" s="167"/>
      <c r="V82" s="167"/>
      <c r="W82" s="167"/>
      <c r="X82" s="167"/>
    </row>
    <row r="83" spans="1:29" ht="15" customHeight="1" x14ac:dyDescent="0.4">
      <c r="B83" s="123"/>
      <c r="C83" s="155"/>
      <c r="D83" s="155"/>
      <c r="E83" s="155"/>
      <c r="F83" s="155"/>
      <c r="G83" s="155"/>
      <c r="I83" s="155"/>
      <c r="J83" s="155"/>
      <c r="K83" s="155"/>
      <c r="L83" s="123"/>
      <c r="M83" s="123"/>
      <c r="N83" s="123"/>
      <c r="O83" s="123"/>
      <c r="P83" s="123"/>
      <c r="Q83" s="316"/>
      <c r="R83" s="316"/>
      <c r="S83" s="316"/>
      <c r="T83" s="316"/>
      <c r="U83" s="316"/>
      <c r="V83" s="316"/>
      <c r="W83" s="316"/>
      <c r="X83" s="316"/>
    </row>
    <row r="84" spans="1:29" ht="15" customHeight="1" x14ac:dyDescent="0.4">
      <c r="A84" s="167"/>
      <c r="B84" s="123"/>
      <c r="C84" s="155"/>
      <c r="D84" s="155"/>
      <c r="E84" s="155"/>
      <c r="F84" s="155"/>
      <c r="G84" s="162"/>
      <c r="H84" s="155"/>
      <c r="I84" s="155"/>
      <c r="J84" s="155"/>
      <c r="K84" s="155"/>
      <c r="L84" s="123"/>
      <c r="M84" s="123"/>
      <c r="N84" s="123"/>
      <c r="O84" s="123"/>
      <c r="P84" s="123"/>
      <c r="Q84" s="316"/>
      <c r="R84" s="316"/>
      <c r="S84" s="316"/>
      <c r="T84" s="316"/>
      <c r="U84" s="316"/>
      <c r="V84" s="316" t="s">
        <v>315</v>
      </c>
      <c r="W84" s="316" t="s">
        <v>316</v>
      </c>
      <c r="X84" s="316" t="s">
        <v>317</v>
      </c>
    </row>
    <row r="85" spans="1:29" ht="15" customHeight="1" x14ac:dyDescent="0.4">
      <c r="A85" s="167"/>
      <c r="B85" s="123"/>
      <c r="C85" s="155"/>
      <c r="D85" s="155"/>
      <c r="E85" s="155"/>
      <c r="F85" s="155"/>
      <c r="G85" s="155"/>
      <c r="H85" s="157"/>
      <c r="I85" s="155"/>
      <c r="J85" s="155"/>
      <c r="K85" s="155"/>
      <c r="L85" s="123"/>
      <c r="M85" s="123"/>
      <c r="N85" s="123"/>
      <c r="O85" s="123"/>
      <c r="P85" s="123"/>
      <c r="Q85" s="316"/>
      <c r="R85" s="316"/>
      <c r="S85" s="316" t="s">
        <v>299</v>
      </c>
      <c r="T85" s="316"/>
      <c r="U85" s="316"/>
      <c r="V85" s="500">
        <f t="shared" ref="V85:X89" si="0">I6</f>
        <v>58.14</v>
      </c>
      <c r="W85" s="500">
        <f t="shared" si="0"/>
        <v>54.263999999999996</v>
      </c>
      <c r="X85" s="500">
        <f t="shared" si="0"/>
        <v>112.404</v>
      </c>
    </row>
    <row r="86" spans="1:29" ht="15" customHeight="1" x14ac:dyDescent="0.4">
      <c r="A86" s="167"/>
      <c r="B86" s="123"/>
      <c r="C86" s="155"/>
      <c r="D86" s="155"/>
      <c r="E86" s="155"/>
      <c r="F86" s="155"/>
      <c r="G86" s="155"/>
      <c r="H86" s="159"/>
      <c r="I86" s="155"/>
      <c r="J86" s="155"/>
      <c r="K86" s="155"/>
      <c r="L86" s="123"/>
      <c r="M86" s="123"/>
      <c r="N86" s="123"/>
      <c r="O86" s="123"/>
      <c r="P86" s="123"/>
      <c r="Q86" s="316"/>
      <c r="R86" s="316"/>
      <c r="S86" s="316" t="s">
        <v>300</v>
      </c>
      <c r="T86" s="316"/>
      <c r="U86" s="316"/>
      <c r="V86" s="500">
        <f t="shared" si="0"/>
        <v>85.272000000000006</v>
      </c>
      <c r="W86" s="500">
        <f t="shared" si="0"/>
        <v>38.759999999999991</v>
      </c>
      <c r="X86" s="500">
        <f t="shared" si="0"/>
        <v>124.032</v>
      </c>
    </row>
    <row r="87" spans="1:29" ht="15" customHeight="1" x14ac:dyDescent="0.4">
      <c r="A87" s="167"/>
      <c r="B87" s="123"/>
      <c r="C87" s="155"/>
      <c r="D87" s="155"/>
      <c r="E87" s="155"/>
      <c r="F87" s="155"/>
      <c r="G87" s="155"/>
      <c r="H87" s="142"/>
      <c r="I87" s="123"/>
      <c r="J87" s="123"/>
      <c r="K87" s="123"/>
      <c r="L87" s="123"/>
      <c r="M87" s="155"/>
      <c r="N87" s="155"/>
      <c r="O87" s="155"/>
      <c r="P87" s="155"/>
      <c r="Q87" s="316"/>
      <c r="R87" s="316"/>
      <c r="S87" s="316" t="s">
        <v>318</v>
      </c>
      <c r="T87" s="316"/>
      <c r="U87" s="316"/>
      <c r="V87" s="500">
        <f t="shared" si="0"/>
        <v>93.023999999999987</v>
      </c>
      <c r="W87" s="500">
        <f t="shared" si="0"/>
        <v>42.63600000000001</v>
      </c>
      <c r="X87" s="500">
        <f t="shared" si="0"/>
        <v>135.66</v>
      </c>
    </row>
    <row r="88" spans="1:29" ht="15" customHeight="1" x14ac:dyDescent="0.4">
      <c r="A88" s="167"/>
      <c r="B88" s="123"/>
      <c r="C88" s="155"/>
      <c r="D88" s="155"/>
      <c r="E88" s="155"/>
      <c r="F88" s="155"/>
      <c r="G88" s="155"/>
      <c r="H88" s="142"/>
      <c r="I88" s="155"/>
      <c r="J88" s="155"/>
      <c r="K88" s="155"/>
      <c r="L88" s="155"/>
      <c r="M88" s="165"/>
      <c r="N88" s="165"/>
      <c r="O88" s="166"/>
      <c r="P88" s="166"/>
      <c r="Q88" s="316"/>
      <c r="R88" s="316"/>
      <c r="S88" s="316" t="s">
        <v>305</v>
      </c>
      <c r="T88" s="316"/>
      <c r="U88" s="316"/>
      <c r="V88" s="500">
        <f t="shared" si="0"/>
        <v>100.776</v>
      </c>
      <c r="W88" s="500">
        <f t="shared" si="0"/>
        <v>42.63600000000001</v>
      </c>
      <c r="X88" s="500">
        <f t="shared" si="0"/>
        <v>143.41200000000001</v>
      </c>
    </row>
    <row r="89" spans="1:29" ht="15" customHeight="1" x14ac:dyDescent="0.4">
      <c r="A89" s="316"/>
      <c r="B89" s="123"/>
      <c r="C89" s="123"/>
      <c r="D89" s="123"/>
      <c r="E89" s="123"/>
      <c r="F89" s="123"/>
      <c r="G89" s="123"/>
      <c r="H89" s="142"/>
      <c r="I89" s="166"/>
      <c r="J89" s="166"/>
      <c r="K89" s="155"/>
      <c r="L89" s="164"/>
      <c r="M89" s="168"/>
      <c r="N89" s="168"/>
      <c r="O89" s="168"/>
      <c r="P89" s="168"/>
      <c r="Q89" s="316"/>
      <c r="R89" s="316"/>
      <c r="S89" s="316" t="s">
        <v>306</v>
      </c>
      <c r="T89" s="316"/>
      <c r="U89" s="316"/>
      <c r="V89" s="500">
        <f t="shared" si="0"/>
        <v>89.147999999999982</v>
      </c>
      <c r="W89" s="500">
        <f t="shared" si="0"/>
        <v>42.63600000000001</v>
      </c>
      <c r="X89" s="500">
        <f t="shared" si="0"/>
        <v>131.78399999999999</v>
      </c>
      <c r="Y89" s="167"/>
      <c r="Z89" s="167"/>
      <c r="AA89" s="167"/>
      <c r="AB89" s="167"/>
      <c r="AC89" s="167"/>
    </row>
    <row r="90" spans="1:29" ht="15" customHeight="1" x14ac:dyDescent="0.4">
      <c r="A90" s="316"/>
      <c r="B90" s="123"/>
      <c r="C90" s="155"/>
      <c r="D90" s="155"/>
      <c r="E90" s="155"/>
      <c r="F90" s="155"/>
      <c r="G90" s="155"/>
      <c r="H90" s="160"/>
      <c r="I90" s="168"/>
      <c r="J90" s="168"/>
      <c r="K90" s="167"/>
      <c r="L90" s="168"/>
      <c r="M90" s="168"/>
      <c r="N90" s="168"/>
      <c r="O90" s="168"/>
      <c r="P90" s="168"/>
      <c r="Q90" s="316"/>
      <c r="R90" s="316"/>
      <c r="S90" s="316"/>
      <c r="T90" s="316"/>
      <c r="U90" s="316"/>
      <c r="V90" s="316"/>
      <c r="W90" s="316"/>
      <c r="X90" s="316"/>
      <c r="Y90" s="167"/>
      <c r="Z90" s="167"/>
      <c r="AA90" s="167"/>
      <c r="AB90" s="167"/>
      <c r="AC90" s="167"/>
    </row>
    <row r="91" spans="1:29" ht="15" customHeight="1" x14ac:dyDescent="0.4">
      <c r="A91" s="316"/>
      <c r="B91" s="123"/>
      <c r="C91" s="164"/>
      <c r="D91" s="165"/>
      <c r="E91" s="165"/>
      <c r="F91" s="166"/>
      <c r="G91" s="166"/>
      <c r="H91" s="155"/>
      <c r="I91" s="167"/>
      <c r="J91" s="167"/>
      <c r="K91" s="167"/>
      <c r="L91" s="168"/>
      <c r="M91" s="168"/>
      <c r="N91" s="168"/>
      <c r="O91" s="168"/>
      <c r="P91" s="168"/>
      <c r="Q91" s="316"/>
      <c r="R91" s="316"/>
      <c r="S91" s="316"/>
      <c r="T91" s="316"/>
      <c r="U91" s="316"/>
      <c r="V91" s="316"/>
      <c r="W91" s="316"/>
      <c r="X91" s="316"/>
      <c r="Y91" s="167"/>
      <c r="Z91" s="167"/>
      <c r="AA91" s="167"/>
      <c r="AB91" s="167"/>
      <c r="AC91" s="167"/>
    </row>
    <row r="92" spans="1:29" ht="15" customHeight="1" x14ac:dyDescent="0.4">
      <c r="A92" s="316"/>
      <c r="B92" s="167"/>
      <c r="C92" s="168"/>
      <c r="D92" s="168"/>
      <c r="E92" s="168"/>
      <c r="F92" s="168"/>
      <c r="G92" s="168"/>
      <c r="H92" s="155"/>
      <c r="I92" s="167"/>
      <c r="J92" s="167"/>
      <c r="K92" s="167"/>
      <c r="L92" s="168"/>
      <c r="M92" s="168"/>
      <c r="N92" s="168"/>
      <c r="O92" s="168"/>
      <c r="P92" s="168"/>
      <c r="Q92" s="500">
        <f>K104</f>
        <v>2022</v>
      </c>
      <c r="R92" s="500">
        <f>L104</f>
        <v>2023</v>
      </c>
      <c r="S92" s="500">
        <f>M103</f>
        <v>2024</v>
      </c>
      <c r="T92" s="500" t="str">
        <f>N103</f>
        <v>2025 (LTM)</v>
      </c>
      <c r="U92" s="316"/>
      <c r="V92" s="316"/>
      <c r="W92" s="316"/>
      <c r="X92" s="316"/>
      <c r="Y92" s="167"/>
      <c r="Z92" s="167"/>
      <c r="AA92" s="167"/>
      <c r="AB92" s="167"/>
      <c r="AC92" s="167"/>
    </row>
    <row r="93" spans="1:29" ht="15" customHeight="1" x14ac:dyDescent="0.4">
      <c r="A93" s="316"/>
      <c r="B93" s="167"/>
      <c r="C93" s="167"/>
      <c r="D93" s="167"/>
      <c r="E93" s="167"/>
      <c r="F93" s="167"/>
      <c r="G93" s="167"/>
      <c r="H93" s="155"/>
      <c r="I93" s="167"/>
      <c r="J93" s="167"/>
      <c r="K93" s="167"/>
      <c r="L93" s="168"/>
      <c r="M93" s="168"/>
      <c r="N93" s="168"/>
      <c r="O93" s="168"/>
      <c r="P93" s="168"/>
      <c r="Q93" s="500">
        <f>IF(INPUT!E9="",NA(),INPUT!E30/1000)</f>
        <v>-123.625</v>
      </c>
      <c r="R93" s="500">
        <f>IF(INPUT!F9="",NA(),INPUT!F30/1000)</f>
        <v>-98.784000000000006</v>
      </c>
      <c r="S93" s="500">
        <f>IF(INPUT!G9="",NA(),INPUT!G30/1000)</f>
        <v>-80.477999999999994</v>
      </c>
      <c r="T93" s="500">
        <f>IF(INPUT!H9="",NA(),INPUT!H30/1000)</f>
        <v>-67.53</v>
      </c>
      <c r="U93" s="316"/>
      <c r="V93" s="316"/>
      <c r="W93" s="316"/>
      <c r="X93" s="316"/>
      <c r="Y93" s="167"/>
      <c r="Z93" s="167"/>
      <c r="AA93" s="167"/>
      <c r="AB93" s="167"/>
      <c r="AC93" s="167"/>
    </row>
    <row r="94" spans="1:29" s="317" customFormat="1" ht="15" customHeight="1" x14ac:dyDescent="0.4">
      <c r="A94" s="316"/>
      <c r="B94" s="167"/>
      <c r="C94" s="167"/>
      <c r="D94" s="167"/>
      <c r="E94" s="167"/>
      <c r="F94" s="167"/>
      <c r="G94" s="167"/>
      <c r="H94" s="155"/>
      <c r="I94" s="167"/>
      <c r="J94" s="167"/>
      <c r="K94" s="167"/>
      <c r="L94" s="168"/>
      <c r="M94" s="316"/>
      <c r="N94" s="316"/>
      <c r="O94" s="316"/>
      <c r="P94" s="316"/>
      <c r="Q94" s="500">
        <f>IF(INPUT!E9="",NA(),INPUT!E75/1000)</f>
        <v>-99.05</v>
      </c>
      <c r="R94" s="500">
        <f>IF(INPUT!F9="",NA(),INPUT!F75/1000)</f>
        <v>-88.356999999999999</v>
      </c>
      <c r="S94" s="500">
        <f>IF(INPUT!G9="",NA(),INPUT!G75/1000)</f>
        <v>-65.356999999999999</v>
      </c>
      <c r="T94" s="500">
        <f>IF(INPUT!H9="",NA(),INPUT!H75/1000)</f>
        <v>-57.029000000000003</v>
      </c>
      <c r="U94" s="316"/>
      <c r="V94" s="316"/>
      <c r="W94" s="316"/>
      <c r="X94" s="316"/>
      <c r="Y94" s="316"/>
      <c r="Z94" s="316"/>
      <c r="AA94" s="316"/>
      <c r="AB94" s="316"/>
      <c r="AC94" s="316"/>
    </row>
    <row r="95" spans="1:29" s="317" customFormat="1" ht="15" customHeight="1" x14ac:dyDescent="0.4">
      <c r="A95" s="316"/>
      <c r="B95" s="167"/>
      <c r="C95" s="167"/>
      <c r="D95" s="167"/>
      <c r="E95" s="167"/>
      <c r="F95" s="167"/>
      <c r="G95" s="167"/>
      <c r="H95" s="155"/>
      <c r="I95" s="316"/>
      <c r="J95" s="316"/>
      <c r="K95" s="316"/>
      <c r="L95" s="316"/>
      <c r="M95" s="316"/>
      <c r="N95" s="316"/>
      <c r="O95" s="316"/>
      <c r="P95" s="316"/>
      <c r="Q95" s="500">
        <f>IF(INPUT!E9="",NA(),INPUT!E26/1000)</f>
        <v>-104.28400000000001</v>
      </c>
      <c r="R95" s="321"/>
      <c r="S95" s="321">
        <v>2022</v>
      </c>
      <c r="T95" s="321">
        <v>2023</v>
      </c>
      <c r="U95" s="321">
        <v>2024</v>
      </c>
      <c r="V95" s="321" t="s">
        <v>3</v>
      </c>
      <c r="W95" s="316"/>
      <c r="X95" s="316"/>
      <c r="Y95" s="316"/>
      <c r="Z95" s="316"/>
      <c r="AA95" s="316"/>
      <c r="AB95" s="316"/>
      <c r="AC95" s="316"/>
    </row>
    <row r="96" spans="1:29" s="317" customFormat="1" ht="15" customHeight="1" x14ac:dyDescent="0.4">
      <c r="A96" s="316"/>
      <c r="B96" s="167"/>
      <c r="C96" s="167"/>
      <c r="D96" s="167"/>
      <c r="E96" s="167"/>
      <c r="F96" s="167"/>
      <c r="G96" s="167"/>
      <c r="H96" s="155"/>
      <c r="I96" s="316"/>
      <c r="J96" s="316"/>
      <c r="K96" s="316"/>
      <c r="L96" s="316"/>
      <c r="M96" s="316"/>
      <c r="N96" s="316"/>
      <c r="O96" s="316"/>
      <c r="P96" s="316"/>
      <c r="Q96" s="319"/>
      <c r="R96" s="321" t="s">
        <v>17</v>
      </c>
      <c r="S96" s="501">
        <f t="shared" ref="S96:V98" si="1">Q17</f>
        <v>-123625</v>
      </c>
      <c r="T96" s="501">
        <f t="shared" si="1"/>
        <v>-98784</v>
      </c>
      <c r="U96" s="501">
        <f t="shared" si="1"/>
        <v>-80478</v>
      </c>
      <c r="V96" s="501">
        <f t="shared" si="1"/>
        <v>-67530</v>
      </c>
      <c r="Y96" s="316"/>
      <c r="Z96" s="316"/>
      <c r="AA96" s="316"/>
      <c r="AB96" s="316"/>
      <c r="AC96" s="316"/>
    </row>
    <row r="97" spans="1:29" s="317" customFormat="1" ht="15" customHeight="1" x14ac:dyDescent="0.4">
      <c r="A97" s="316"/>
      <c r="B97" s="316"/>
      <c r="C97" s="316"/>
      <c r="D97" s="316"/>
      <c r="E97" s="316"/>
      <c r="F97" s="316"/>
      <c r="G97" s="316"/>
      <c r="H97" s="155"/>
      <c r="I97" s="316"/>
      <c r="J97" s="316"/>
      <c r="K97" s="316"/>
      <c r="L97" s="316"/>
      <c r="M97" s="316"/>
      <c r="N97" s="316"/>
      <c r="O97" s="316"/>
      <c r="P97" s="316"/>
      <c r="R97" s="321" t="s">
        <v>319</v>
      </c>
      <c r="S97" s="501">
        <f t="shared" si="1"/>
        <v>-99050</v>
      </c>
      <c r="T97" s="501">
        <f t="shared" si="1"/>
        <v>-88357</v>
      </c>
      <c r="U97" s="501">
        <f t="shared" si="1"/>
        <v>-65357</v>
      </c>
      <c r="V97" s="501">
        <f t="shared" si="1"/>
        <v>-57029</v>
      </c>
      <c r="Y97" s="316"/>
      <c r="Z97" s="316"/>
      <c r="AA97" s="316"/>
      <c r="AB97" s="316"/>
      <c r="AC97" s="316"/>
    </row>
    <row r="98" spans="1:29" s="317" customFormat="1" ht="15" customHeight="1" x14ac:dyDescent="0.4">
      <c r="A98" s="316"/>
      <c r="B98" s="316"/>
      <c r="C98" s="316"/>
      <c r="D98" s="316"/>
      <c r="E98" s="316"/>
      <c r="F98" s="316"/>
      <c r="G98" s="316"/>
      <c r="H98" s="155"/>
      <c r="I98" s="316"/>
      <c r="J98" s="316"/>
      <c r="K98" s="316"/>
      <c r="L98" s="316"/>
      <c r="M98" s="316"/>
      <c r="N98" s="316"/>
      <c r="O98" s="316"/>
      <c r="P98" s="316"/>
      <c r="Q98" s="124"/>
      <c r="R98" s="321" t="s">
        <v>15</v>
      </c>
      <c r="S98" s="501">
        <f t="shared" si="1"/>
        <v>-104284</v>
      </c>
      <c r="T98" s="501">
        <f t="shared" si="1"/>
        <v>-74214</v>
      </c>
      <c r="U98" s="501">
        <f t="shared" si="1"/>
        <v>-64944</v>
      </c>
      <c r="V98" s="501">
        <f t="shared" si="1"/>
        <v>-50628</v>
      </c>
      <c r="W98" s="124"/>
      <c r="X98" s="124"/>
      <c r="Y98" s="316"/>
      <c r="Z98" s="316"/>
      <c r="AA98" s="316"/>
      <c r="AB98" s="316"/>
      <c r="AC98" s="316"/>
    </row>
    <row r="99" spans="1:29" s="317" customFormat="1" ht="15" customHeight="1" x14ac:dyDescent="0.4">
      <c r="A99" s="316"/>
      <c r="B99" s="316"/>
      <c r="C99" s="316"/>
      <c r="D99" s="316"/>
      <c r="E99" s="316"/>
      <c r="F99" s="316"/>
      <c r="G99" s="316"/>
      <c r="H99" s="155"/>
      <c r="I99" s="316"/>
      <c r="J99" s="316"/>
      <c r="K99" s="316"/>
      <c r="L99" s="316"/>
      <c r="M99" s="316"/>
      <c r="N99" s="316"/>
      <c r="O99" s="316"/>
      <c r="P99" s="316"/>
      <c r="Q99" s="124"/>
      <c r="R99" s="124"/>
      <c r="S99" s="124"/>
      <c r="T99" s="124"/>
      <c r="U99" s="124"/>
      <c r="V99" s="124"/>
      <c r="W99" s="124"/>
      <c r="X99" s="124"/>
      <c r="Y99" s="316"/>
      <c r="Z99" s="316"/>
      <c r="AA99" s="316"/>
      <c r="AB99" s="316"/>
      <c r="AC99" s="316"/>
    </row>
    <row r="100" spans="1:29" s="317" customFormat="1" ht="15" customHeight="1" x14ac:dyDescent="0.4">
      <c r="A100" s="316"/>
      <c r="B100" s="316"/>
      <c r="C100" s="316"/>
      <c r="D100" s="316"/>
      <c r="E100" s="316"/>
      <c r="F100" s="316"/>
      <c r="G100" s="316"/>
      <c r="H100" s="155"/>
      <c r="I100" s="316"/>
      <c r="J100" s="316"/>
      <c r="K100" s="316"/>
      <c r="L100" s="316"/>
      <c r="M100" s="316"/>
      <c r="N100" s="316"/>
      <c r="O100" s="316"/>
      <c r="P100" s="316"/>
      <c r="Q100" s="124"/>
      <c r="R100" s="124"/>
      <c r="S100" s="124"/>
      <c r="T100" s="124"/>
      <c r="U100" s="124"/>
      <c r="V100" s="124"/>
      <c r="W100" s="124"/>
      <c r="X100" s="124"/>
      <c r="Y100" s="316"/>
      <c r="Z100" s="316"/>
      <c r="AA100" s="316"/>
      <c r="AB100" s="316"/>
      <c r="AC100" s="316"/>
    </row>
    <row r="101" spans="1:29" s="317" customFormat="1" ht="15" customHeight="1" x14ac:dyDescent="0.4">
      <c r="A101" s="316" t="s">
        <v>6</v>
      </c>
      <c r="B101" s="316"/>
      <c r="C101" s="316"/>
      <c r="D101" s="316"/>
      <c r="E101" s="316"/>
      <c r="F101" s="316"/>
      <c r="G101" s="316"/>
      <c r="H101" s="155"/>
      <c r="I101" s="316"/>
      <c r="J101" s="316"/>
      <c r="K101" s="316"/>
      <c r="L101" s="316"/>
      <c r="M101" s="316"/>
      <c r="N101" s="316"/>
      <c r="O101" s="316"/>
      <c r="P101" s="316"/>
      <c r="Q101" s="124"/>
      <c r="R101" s="124"/>
      <c r="S101" s="124"/>
      <c r="T101" s="124"/>
      <c r="U101" s="124"/>
      <c r="V101" s="124"/>
      <c r="W101" s="124"/>
      <c r="X101" s="124"/>
      <c r="Y101" s="316"/>
      <c r="Z101" s="316"/>
      <c r="AA101" s="316"/>
      <c r="AB101" s="316"/>
      <c r="AC101" s="316"/>
    </row>
    <row r="102" spans="1:29" s="317" customFormat="1" ht="15" customHeight="1" x14ac:dyDescent="0.4">
      <c r="B102" s="316"/>
      <c r="C102" s="316"/>
      <c r="D102" s="316"/>
      <c r="E102" s="316"/>
      <c r="F102" s="316"/>
      <c r="G102" s="316"/>
      <c r="H102" s="155"/>
      <c r="I102" s="316"/>
      <c r="J102" s="316"/>
      <c r="K102" s="316"/>
      <c r="L102" s="316"/>
      <c r="M102" s="316"/>
      <c r="N102" s="316"/>
      <c r="O102" s="316"/>
      <c r="P102" s="316"/>
      <c r="Q102" s="124"/>
      <c r="R102" s="124"/>
      <c r="S102" s="124"/>
      <c r="T102" s="124"/>
      <c r="U102" s="124"/>
      <c r="V102" s="124"/>
      <c r="W102" s="124"/>
      <c r="X102" s="124"/>
      <c r="Y102" s="316"/>
      <c r="Z102" s="316"/>
      <c r="AA102" s="316"/>
      <c r="AB102" s="316"/>
      <c r="AC102" s="316"/>
    </row>
    <row r="103" spans="1:29" s="317" customFormat="1" ht="15" customHeight="1" x14ac:dyDescent="0.35">
      <c r="B103" s="316"/>
      <c r="C103" s="316"/>
      <c r="D103" s="316"/>
      <c r="E103" s="316"/>
      <c r="F103" s="316"/>
      <c r="G103" s="316"/>
      <c r="H103" s="123"/>
      <c r="I103" s="316"/>
      <c r="J103" s="316"/>
      <c r="K103" s="316"/>
      <c r="L103" s="316"/>
      <c r="M103" s="500">
        <f>IF(INPUT!G9="",NA(),'DASHBOARD 2'!R5)</f>
        <v>2024</v>
      </c>
      <c r="N103" s="500" t="str">
        <f>IF(INPUT!H9="",NA(),'DASHBOARD 2'!S5)</f>
        <v>2025 (LTM)</v>
      </c>
      <c r="O103" s="316"/>
      <c r="P103" s="316" t="str">
        <f>J104</f>
        <v/>
      </c>
      <c r="Q103" s="124"/>
      <c r="R103" s="124"/>
      <c r="S103" s="124"/>
      <c r="T103" s="124"/>
      <c r="U103" s="124"/>
      <c r="V103" s="124"/>
      <c r="W103" s="124"/>
      <c r="X103" s="124"/>
      <c r="Y103" s="316"/>
      <c r="Z103" s="316"/>
      <c r="AA103" s="316"/>
      <c r="AB103" s="316"/>
      <c r="AC103" s="316"/>
    </row>
    <row r="104" spans="1:29" s="317" customFormat="1" ht="15" customHeight="1" x14ac:dyDescent="0.4">
      <c r="A104" s="124"/>
      <c r="B104" s="316"/>
      <c r="C104" s="316"/>
      <c r="D104" s="316"/>
      <c r="E104" s="316"/>
      <c r="F104" s="316"/>
      <c r="G104" s="316"/>
      <c r="H104" s="155"/>
      <c r="I104" s="316" t="s">
        <v>88</v>
      </c>
      <c r="J104" s="316" t="str">
        <f>IF(INPUT!D9="","",INPUT!D5)</f>
        <v/>
      </c>
      <c r="K104" s="500">
        <f>IF(INPUT!E9="",NA(),'DASHBOARD 2'!P5)</f>
        <v>2022</v>
      </c>
      <c r="L104" s="500">
        <f>IF(INPUT!F9="",NA(),'DASHBOARD 2'!Q5)</f>
        <v>2023</v>
      </c>
      <c r="M104" s="500">
        <f>IF(INPUT!G9="",NA(),INPUT!G30)</f>
        <v>-80478</v>
      </c>
      <c r="N104" s="500">
        <f>IF(INPUT!H9="",NA(),INPUT!H30)</f>
        <v>-67530</v>
      </c>
      <c r="O104" s="316"/>
      <c r="P104" s="500" t="e">
        <f>IF(INPUT!D9="",NA(),INPUT!D30/1000)</f>
        <v>#N/A</v>
      </c>
      <c r="Q104" s="124"/>
      <c r="R104" s="124"/>
      <c r="S104" s="124"/>
      <c r="T104" s="124"/>
      <c r="U104" s="124"/>
      <c r="V104" s="124"/>
      <c r="W104" s="124"/>
      <c r="X104" s="124"/>
      <c r="Y104" s="316"/>
      <c r="Z104" s="316"/>
      <c r="AA104" s="316"/>
      <c r="AB104" s="316"/>
      <c r="AC104" s="316"/>
    </row>
    <row r="105" spans="1:29" s="317" customFormat="1" ht="15" customHeight="1" x14ac:dyDescent="0.35">
      <c r="A105" s="124"/>
      <c r="B105" s="316"/>
      <c r="C105" s="316"/>
      <c r="D105" s="316"/>
      <c r="E105" s="316"/>
      <c r="F105" s="316"/>
      <c r="G105" s="316"/>
      <c r="H105" s="166"/>
      <c r="I105" s="316" t="s">
        <v>121</v>
      </c>
      <c r="J105" s="316" t="str">
        <f>IF(INPUT!D9="","",INPUT!D30)</f>
        <v/>
      </c>
      <c r="K105" s="500">
        <f>IF(INPUT!E9="",NA(),INPUT!E30)</f>
        <v>-123625</v>
      </c>
      <c r="L105" s="500">
        <f>IF(INPUT!F9="",NA(),INPUT!F30)</f>
        <v>-98784</v>
      </c>
      <c r="M105" s="500">
        <f>IF(INPUT!G9="",NA(),INPUT!G75)</f>
        <v>-65357</v>
      </c>
      <c r="N105" s="500">
        <f>IF(INPUT!H9="",NA(),INPUT!H75)</f>
        <v>-57029</v>
      </c>
      <c r="O105" s="316"/>
      <c r="P105" s="500" t="e">
        <f>IF(INPUT!D9="",NA(),INPUT!D75/1000)</f>
        <v>#N/A</v>
      </c>
      <c r="Q105" s="124"/>
      <c r="R105" s="124"/>
      <c r="S105" s="124"/>
      <c r="T105" s="124"/>
      <c r="U105" s="124"/>
      <c r="V105" s="124"/>
      <c r="W105" s="124"/>
      <c r="X105" s="124"/>
      <c r="Y105" s="316"/>
      <c r="Z105" s="316"/>
      <c r="AA105" s="316"/>
      <c r="AB105" s="316"/>
      <c r="AC105" s="316"/>
    </row>
    <row r="106" spans="1:29" s="317" customFormat="1" ht="15" customHeight="1" x14ac:dyDescent="0.4">
      <c r="A106" s="124"/>
      <c r="B106" s="316" t="s">
        <v>88</v>
      </c>
      <c r="C106" s="316" t="str">
        <f>IF(INPUT!D9="","",INPUT!D5)</f>
        <v/>
      </c>
      <c r="D106" s="500">
        <f>IF(INPUT!E9="",NA(),'DASHBOARD 2'!P5)</f>
        <v>2022</v>
      </c>
      <c r="E106" s="500">
        <f>IF(INPUT!F9="",NA(),'DASHBOARD 2'!Q5)</f>
        <v>2023</v>
      </c>
      <c r="F106" s="500">
        <f>IF(INPUT!G9="",NA(),'DASHBOARD 2'!R5)</f>
        <v>2024</v>
      </c>
      <c r="G106" s="500" t="str">
        <f>IF(INPUT!H9="",NA(),'DASHBOARD 2'!S5)</f>
        <v>2025 (LTM)</v>
      </c>
      <c r="H106" s="168"/>
      <c r="I106" s="316" t="s">
        <v>320</v>
      </c>
      <c r="J106" s="316" t="str">
        <f>IF(INPUT!D9="","",INPUT!D75)</f>
        <v/>
      </c>
      <c r="K106" s="500">
        <f>IF(INPUT!E9="",NA(),INPUT!E75)</f>
        <v>-99050</v>
      </c>
      <c r="L106" s="500">
        <f>IF(INPUT!F9="",NA(),INPUT!F75)</f>
        <v>-88357</v>
      </c>
      <c r="M106" s="500">
        <f>IF(INPUT!G9="",NA(),INPUT!G26)</f>
        <v>-64944</v>
      </c>
      <c r="N106" s="500">
        <f>IF(INPUT!H9="",NA(),INPUT!H26)</f>
        <v>-50628</v>
      </c>
      <c r="O106" s="316"/>
      <c r="P106" s="500" t="e">
        <f>IF(INPUT!D9="",NA(),INPUT!D26/1000)</f>
        <v>#N/A</v>
      </c>
      <c r="Q106" s="124"/>
      <c r="R106" s="124"/>
      <c r="S106" s="124"/>
      <c r="T106" s="124"/>
      <c r="U106" s="124"/>
      <c r="V106" s="124"/>
      <c r="W106" s="124"/>
      <c r="X106" s="124"/>
      <c r="Y106" s="316"/>
      <c r="Z106" s="316"/>
      <c r="AA106" s="316"/>
      <c r="AB106" s="316"/>
      <c r="AC106" s="316"/>
    </row>
    <row r="107" spans="1:29" s="317" customFormat="1" ht="15" customHeight="1" x14ac:dyDescent="0.35">
      <c r="A107" s="124"/>
      <c r="B107" s="316" t="s">
        <v>301</v>
      </c>
      <c r="C107" s="316" t="str">
        <f>""</f>
        <v/>
      </c>
      <c r="D107" s="316" t="str">
        <f>IF(INPUT!E9="",NA(),'DASHBOARD 2'!P7)</f>
        <v/>
      </c>
      <c r="E107" s="500">
        <f>IF(INPUT!F9="",NA(),'DASHBOARD 2'!Q7)</f>
        <v>7.7882775297066775E-3</v>
      </c>
      <c r="F107" s="500">
        <f>IF(INPUT!G9="",NA(),'DASHBOARD 2'!R7)</f>
        <v>3.2340212559248682E-2</v>
      </c>
      <c r="G107" s="500">
        <f>IF(INPUT!H9="",NA(),'DASHBOARD 2'!S7)</f>
        <v>7.8752620096676162E-2</v>
      </c>
      <c r="H107" s="167"/>
      <c r="I107" s="316" t="s">
        <v>122</v>
      </c>
      <c r="J107" s="316" t="str">
        <f>IF(INPUT!D9="","",INPUT!D26)</f>
        <v/>
      </c>
      <c r="K107" s="500">
        <f>IF(INPUT!E9="",NA(),INPUT!E26)</f>
        <v>-104284</v>
      </c>
      <c r="L107" s="500">
        <f>IF(INPUT!F9="",NA(),INPUT!F26)</f>
        <v>-74214</v>
      </c>
      <c r="M107" s="319"/>
      <c r="N107" s="319"/>
      <c r="O107" s="319"/>
      <c r="P107" s="319"/>
      <c r="Q107" s="124"/>
      <c r="R107" s="124"/>
      <c r="S107" s="124"/>
      <c r="T107" s="124"/>
      <c r="U107" s="124"/>
      <c r="V107" s="124"/>
      <c r="W107" s="124"/>
      <c r="X107" s="124"/>
    </row>
    <row r="108" spans="1:29" s="317" customFormat="1" ht="15" customHeight="1" x14ac:dyDescent="0.4">
      <c r="A108" s="124"/>
      <c r="B108" s="316" t="s">
        <v>314</v>
      </c>
      <c r="C108" s="318" t="str">
        <f>IF(INPUT!D9="","",INPUT!D9)</f>
        <v/>
      </c>
      <c r="D108" s="502">
        <f>IF(INPUT!E9="",NA(),INPUT!E9)</f>
        <v>67409</v>
      </c>
      <c r="E108" s="502">
        <f>IF(INPUT!F9="",NA(),INPUT!F9)</f>
        <v>67934</v>
      </c>
      <c r="F108" s="502">
        <f>IF(INPUT!G9="",NA(),INPUT!G9)</f>
        <v>70131</v>
      </c>
      <c r="G108" s="502">
        <f>IF(INPUT!H9="",NA(),INPUT!H9)</f>
        <v>75654</v>
      </c>
      <c r="H108" s="167"/>
      <c r="I108" s="319"/>
      <c r="J108" s="319"/>
      <c r="K108" s="319"/>
      <c r="L108" s="319"/>
      <c r="O108" s="320"/>
      <c r="Q108" s="124"/>
      <c r="R108" s="124"/>
      <c r="S108" s="124"/>
      <c r="T108" s="124"/>
      <c r="U108" s="124"/>
      <c r="V108" s="124"/>
      <c r="W108" s="124"/>
      <c r="X108" s="124"/>
    </row>
    <row r="109" spans="1:29" ht="15" customHeight="1" x14ac:dyDescent="0.35">
      <c r="B109" s="316"/>
      <c r="C109" s="316"/>
      <c r="D109" s="316"/>
      <c r="E109" s="316"/>
      <c r="F109" s="316"/>
      <c r="G109" s="316"/>
      <c r="H109" s="167"/>
      <c r="I109" s="317"/>
      <c r="J109" s="317"/>
      <c r="K109" s="317"/>
      <c r="L109" s="317"/>
    </row>
    <row r="110" spans="1:29" ht="15" customHeight="1" x14ac:dyDescent="0.35">
      <c r="B110" s="319"/>
      <c r="C110" s="319"/>
      <c r="D110" s="319"/>
      <c r="E110" s="319"/>
      <c r="F110" s="319"/>
      <c r="G110" s="319"/>
      <c r="H110" s="167"/>
    </row>
    <row r="111" spans="1:29" ht="15" customHeight="1" x14ac:dyDescent="0.35">
      <c r="B111" s="317"/>
      <c r="C111" s="317"/>
      <c r="D111" s="317"/>
      <c r="E111" s="317"/>
      <c r="F111" s="317"/>
      <c r="G111" s="317"/>
      <c r="H111" s="316"/>
    </row>
    <row r="112" spans="1:29" ht="15" customHeight="1" x14ac:dyDescent="0.35">
      <c r="H112" s="316"/>
    </row>
    <row r="113" spans="8:8" ht="15" customHeight="1" x14ac:dyDescent="0.35">
      <c r="H113" s="316"/>
    </row>
    <row r="114" spans="8:8" ht="15" customHeight="1" x14ac:dyDescent="0.35">
      <c r="H114" s="316"/>
    </row>
    <row r="115" spans="8:8" ht="15" customHeight="1" x14ac:dyDescent="0.35">
      <c r="H115" s="316"/>
    </row>
    <row r="116" spans="8:8" ht="15" customHeight="1" x14ac:dyDescent="0.35">
      <c r="H116" s="316"/>
    </row>
    <row r="117" spans="8:8" ht="15" customHeight="1" x14ac:dyDescent="0.35">
      <c r="H117" s="316"/>
    </row>
    <row r="118" spans="8:8" ht="15" customHeight="1" x14ac:dyDescent="0.35">
      <c r="H118" s="316"/>
    </row>
    <row r="119" spans="8:8" ht="15" customHeight="1" x14ac:dyDescent="0.35">
      <c r="H119" s="316"/>
    </row>
    <row r="120" spans="8:8" ht="15" customHeight="1" x14ac:dyDescent="0.35">
      <c r="H120" s="316"/>
    </row>
    <row r="121" spans="8:8" ht="15" customHeight="1" x14ac:dyDescent="0.35">
      <c r="H121" s="316"/>
    </row>
    <row r="122" spans="8:8" ht="15" customHeight="1" x14ac:dyDescent="0.4">
      <c r="H122" s="318"/>
    </row>
    <row r="123" spans="8:8" ht="15" customHeight="1" x14ac:dyDescent="0.35">
      <c r="H123" s="316"/>
    </row>
    <row r="124" spans="8:8" ht="15" customHeight="1" x14ac:dyDescent="0.35">
      <c r="H124" s="319"/>
    </row>
    <row r="125" spans="8:8" ht="15" customHeight="1" x14ac:dyDescent="0.35">
      <c r="H125" s="317"/>
    </row>
  </sheetData>
  <pageMargins left="5.5555555555555558E-3" right="5.5555555555555558E-3" top="5.5555555555555558E-3" bottom="5.5555555555555558E-3" header="0.3" footer="0.3"/>
  <pageSetup paperSize="9"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7"/>
  <sheetViews>
    <sheetView workbookViewId="0">
      <selection activeCell="E32" sqref="E32"/>
    </sheetView>
  </sheetViews>
  <sheetFormatPr baseColWidth="10" defaultRowHeight="14.4" x14ac:dyDescent="0.3"/>
  <cols>
    <col min="1" max="1" width="55.33203125" bestFit="1" customWidth="1"/>
    <col min="2" max="2" width="6.6640625" bestFit="1" customWidth="1"/>
    <col min="3" max="3" width="14.109375" bestFit="1" customWidth="1"/>
    <col min="4" max="4" width="12.6640625" bestFit="1" customWidth="1"/>
  </cols>
  <sheetData>
    <row r="1" spans="1:3" x14ac:dyDescent="0.3">
      <c r="A1" s="152" t="s">
        <v>321</v>
      </c>
      <c r="B1" s="152"/>
      <c r="C1" s="152"/>
    </row>
    <row r="2" spans="1:3" x14ac:dyDescent="0.3">
      <c r="A2" s="153" t="s">
        <v>322</v>
      </c>
      <c r="B2" s="153" t="s">
        <v>323</v>
      </c>
      <c r="C2" s="153" t="s">
        <v>324</v>
      </c>
    </row>
    <row r="3" spans="1:3" x14ac:dyDescent="0.3">
      <c r="A3" s="218">
        <v>1</v>
      </c>
      <c r="B3" t="s">
        <v>325</v>
      </c>
      <c r="C3" s="236">
        <v>76.31</v>
      </c>
    </row>
    <row r="4" spans="1:3" x14ac:dyDescent="0.3">
      <c r="A4" s="218">
        <v>2</v>
      </c>
      <c r="B4" t="s">
        <v>326</v>
      </c>
      <c r="C4" s="236">
        <v>78.67</v>
      </c>
    </row>
    <row r="5" spans="1:3" x14ac:dyDescent="0.3">
      <c r="A5" s="218">
        <v>3</v>
      </c>
      <c r="B5" t="s">
        <v>327</v>
      </c>
      <c r="C5" s="236">
        <v>74.3</v>
      </c>
    </row>
    <row r="6" spans="1:3" x14ac:dyDescent="0.3">
      <c r="A6" s="218">
        <v>4</v>
      </c>
      <c r="B6" t="s">
        <v>328</v>
      </c>
      <c r="C6" s="236">
        <v>79.59</v>
      </c>
    </row>
    <row r="7" spans="1:3" x14ac:dyDescent="0.3">
      <c r="A7" s="218">
        <v>5</v>
      </c>
      <c r="B7" t="s">
        <v>329</v>
      </c>
      <c r="C7" s="236">
        <v>81.2</v>
      </c>
    </row>
    <row r="8" spans="1:3" x14ac:dyDescent="0.3">
      <c r="A8" s="218">
        <v>6</v>
      </c>
      <c r="B8" t="s">
        <v>330</v>
      </c>
      <c r="C8" s="236">
        <v>78.680000000000007</v>
      </c>
    </row>
    <row r="9" spans="1:3" x14ac:dyDescent="0.3">
      <c r="A9" s="218">
        <v>7</v>
      </c>
      <c r="B9" t="s">
        <v>331</v>
      </c>
      <c r="C9" s="236">
        <v>75.47</v>
      </c>
    </row>
    <row r="10" spans="1:3" x14ac:dyDescent="0.3">
      <c r="A10" s="218">
        <v>8</v>
      </c>
      <c r="B10" t="s">
        <v>332</v>
      </c>
      <c r="C10" s="236">
        <v>78.38</v>
      </c>
    </row>
    <row r="11" spans="1:3" x14ac:dyDescent="0.3">
      <c r="A11" s="218">
        <v>9</v>
      </c>
      <c r="B11" t="s">
        <v>333</v>
      </c>
      <c r="C11" s="236">
        <v>78.319999999999993</v>
      </c>
    </row>
    <row r="12" spans="1:3" x14ac:dyDescent="0.3">
      <c r="A12" s="218">
        <v>10</v>
      </c>
      <c r="B12" t="s">
        <v>334</v>
      </c>
      <c r="C12" s="236">
        <v>71.56</v>
      </c>
    </row>
    <row r="13" spans="1:3" x14ac:dyDescent="0.3">
      <c r="A13" s="218">
        <v>11</v>
      </c>
      <c r="B13" t="s">
        <v>335</v>
      </c>
      <c r="C13" s="236">
        <v>70.72</v>
      </c>
    </row>
    <row r="14" spans="1:3" x14ac:dyDescent="0.3">
      <c r="A14" s="218">
        <v>12</v>
      </c>
      <c r="B14" t="s">
        <v>336</v>
      </c>
      <c r="C14" s="236">
        <v>77.52</v>
      </c>
    </row>
    <row r="15" spans="1:3" x14ac:dyDescent="0.3">
      <c r="A15" s="218">
        <v>13</v>
      </c>
      <c r="C15" s="236"/>
    </row>
    <row r="17" spans="1:1" x14ac:dyDescent="0.3">
      <c r="A17" s="154" t="s">
        <v>337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E82"/>
  <sheetViews>
    <sheetView topLeftCell="A38" workbookViewId="0"/>
  </sheetViews>
  <sheetFormatPr baseColWidth="10" defaultRowHeight="14.4" x14ac:dyDescent="0.3"/>
  <cols>
    <col min="1" max="1" width="23.109375" bestFit="1" customWidth="1"/>
    <col min="2" max="2" width="28.109375" bestFit="1" customWidth="1"/>
    <col min="3" max="3" width="11" bestFit="1" customWidth="1"/>
    <col min="4" max="4" width="8.44140625" bestFit="1" customWidth="1"/>
    <col min="5" max="5" width="10" bestFit="1" customWidth="1"/>
  </cols>
  <sheetData>
    <row r="1" spans="1:5" x14ac:dyDescent="0.3">
      <c r="A1" s="152">
        <v>0.08</v>
      </c>
      <c r="B1" s="152" t="s">
        <v>338</v>
      </c>
      <c r="C1" s="152" t="s">
        <v>339</v>
      </c>
      <c r="D1" s="152" t="s">
        <v>340</v>
      </c>
      <c r="E1" s="152" t="s">
        <v>341</v>
      </c>
    </row>
    <row r="2" spans="1:5" ht="15" customHeight="1" x14ac:dyDescent="0.35">
      <c r="A2" s="3" t="s">
        <v>342</v>
      </c>
      <c r="B2" s="3" t="s">
        <v>237</v>
      </c>
      <c r="C2" s="237">
        <v>0.05</v>
      </c>
      <c r="D2" s="237">
        <v>0.12</v>
      </c>
      <c r="E2" s="237">
        <v>0.22</v>
      </c>
    </row>
    <row r="3" spans="1:5" ht="15" customHeight="1" x14ac:dyDescent="0.35">
      <c r="A3" s="3" t="s">
        <v>342</v>
      </c>
      <c r="B3" s="3" t="s">
        <v>144</v>
      </c>
      <c r="C3" s="237">
        <v>0.55000000000000004</v>
      </c>
      <c r="D3" s="237">
        <v>0.68</v>
      </c>
      <c r="E3" s="237">
        <v>0.78</v>
      </c>
    </row>
    <row r="4" spans="1:5" ht="15" customHeight="1" x14ac:dyDescent="0.35">
      <c r="A4" s="3" t="s">
        <v>342</v>
      </c>
      <c r="B4" s="3" t="s">
        <v>92</v>
      </c>
      <c r="C4" s="237">
        <v>0.08</v>
      </c>
      <c r="D4" s="237">
        <v>0.18</v>
      </c>
      <c r="E4" s="237">
        <v>0.28000000000000003</v>
      </c>
    </row>
    <row r="5" spans="1:5" ht="15" customHeight="1" x14ac:dyDescent="0.35">
      <c r="A5" s="3" t="s">
        <v>342</v>
      </c>
      <c r="B5" s="3" t="s">
        <v>343</v>
      </c>
      <c r="C5" s="237">
        <v>0.3</v>
      </c>
      <c r="D5" s="237">
        <v>0.22</v>
      </c>
      <c r="E5" s="237">
        <v>0.15</v>
      </c>
    </row>
    <row r="6" spans="1:5" ht="15" customHeight="1" x14ac:dyDescent="0.35">
      <c r="A6" s="3" t="s">
        <v>342</v>
      </c>
      <c r="B6" s="3" t="s">
        <v>344</v>
      </c>
      <c r="C6" s="237">
        <v>0.18</v>
      </c>
      <c r="D6" s="237">
        <v>0.12</v>
      </c>
      <c r="E6" s="237">
        <v>0.08</v>
      </c>
    </row>
    <row r="7" spans="1:5" ht="15" customHeight="1" x14ac:dyDescent="0.35">
      <c r="A7" s="3" t="s">
        <v>342</v>
      </c>
      <c r="B7" s="3" t="s">
        <v>345</v>
      </c>
      <c r="C7" s="237">
        <v>0.08</v>
      </c>
      <c r="D7" s="237">
        <v>0.05</v>
      </c>
      <c r="E7" s="237">
        <v>0.03</v>
      </c>
    </row>
    <row r="8" spans="1:5" ht="15" customHeight="1" x14ac:dyDescent="0.35">
      <c r="A8" s="3" t="s">
        <v>342</v>
      </c>
      <c r="B8" s="3" t="s">
        <v>346</v>
      </c>
      <c r="C8" s="237">
        <v>0.05</v>
      </c>
      <c r="D8" s="237">
        <v>0.03</v>
      </c>
      <c r="E8" s="237">
        <v>0.02</v>
      </c>
    </row>
    <row r="9" spans="1:5" ht="15" customHeight="1" x14ac:dyDescent="0.35">
      <c r="A9" s="3" t="s">
        <v>342</v>
      </c>
      <c r="B9" s="3" t="s">
        <v>63</v>
      </c>
      <c r="C9" s="237">
        <v>0.02</v>
      </c>
      <c r="D9" s="237">
        <v>0.03</v>
      </c>
      <c r="E9" s="237">
        <v>0.04</v>
      </c>
    </row>
    <row r="10" spans="1:5" ht="15" customHeight="1" x14ac:dyDescent="0.35">
      <c r="A10" s="3" t="s">
        <v>342</v>
      </c>
      <c r="B10" s="3" t="s">
        <v>62</v>
      </c>
      <c r="C10" s="237">
        <v>0.11</v>
      </c>
      <c r="D10" s="237">
        <v>0.09</v>
      </c>
      <c r="E10" s="237">
        <v>7.0000000000000007E-2</v>
      </c>
    </row>
    <row r="11" spans="1:5" ht="15" customHeight="1" x14ac:dyDescent="0.35">
      <c r="A11" s="3" t="s">
        <v>342</v>
      </c>
      <c r="B11" s="3" t="s">
        <v>347</v>
      </c>
      <c r="C11" s="237">
        <v>12</v>
      </c>
      <c r="D11" s="237">
        <v>16</v>
      </c>
      <c r="E11" s="237">
        <v>22</v>
      </c>
    </row>
    <row r="12" spans="1:5" ht="15" customHeight="1" x14ac:dyDescent="0.35">
      <c r="A12" s="3" t="s">
        <v>348</v>
      </c>
      <c r="B12" s="3" t="s">
        <v>237</v>
      </c>
      <c r="C12" s="237">
        <v>0.01</v>
      </c>
      <c r="D12" s="237">
        <v>0.04</v>
      </c>
      <c r="E12" s="237">
        <v>7.0000000000000007E-2</v>
      </c>
    </row>
    <row r="13" spans="1:5" ht="15" customHeight="1" x14ac:dyDescent="0.35">
      <c r="A13" s="3" t="s">
        <v>348</v>
      </c>
      <c r="B13" s="3" t="s">
        <v>144</v>
      </c>
      <c r="C13" s="237">
        <v>0.18</v>
      </c>
      <c r="D13" s="237">
        <v>0.25</v>
      </c>
      <c r="E13" s="237">
        <v>0.32</v>
      </c>
    </row>
    <row r="14" spans="1:5" ht="15" customHeight="1" x14ac:dyDescent="0.35">
      <c r="A14" s="3" t="s">
        <v>348</v>
      </c>
      <c r="B14" s="3" t="s">
        <v>92</v>
      </c>
      <c r="C14" s="237">
        <v>0.06</v>
      </c>
      <c r="D14" s="237">
        <v>0.12</v>
      </c>
      <c r="E14" s="237">
        <v>0.18</v>
      </c>
    </row>
    <row r="15" spans="1:5" ht="15" customHeight="1" x14ac:dyDescent="0.35">
      <c r="A15" s="3" t="s">
        <v>348</v>
      </c>
      <c r="B15" s="3" t="s">
        <v>343</v>
      </c>
      <c r="C15" s="237">
        <v>0.1</v>
      </c>
      <c r="D15" s="237">
        <v>0.08</v>
      </c>
      <c r="E15" s="237">
        <v>0.06</v>
      </c>
    </row>
    <row r="16" spans="1:5" ht="15" customHeight="1" x14ac:dyDescent="0.35">
      <c r="A16" s="3" t="s">
        <v>348</v>
      </c>
      <c r="B16" s="3" t="s">
        <v>344</v>
      </c>
      <c r="C16" s="237">
        <v>0.03</v>
      </c>
      <c r="D16" s="237">
        <v>0.02</v>
      </c>
      <c r="E16" s="237">
        <v>0.01</v>
      </c>
    </row>
    <row r="17" spans="1:5" ht="15" customHeight="1" x14ac:dyDescent="0.35">
      <c r="A17" s="3" t="s">
        <v>348</v>
      </c>
      <c r="B17" s="3" t="s">
        <v>345</v>
      </c>
      <c r="C17" s="237">
        <v>0.1</v>
      </c>
      <c r="D17" s="237">
        <v>7.0000000000000007E-2</v>
      </c>
      <c r="E17" s="237">
        <v>0.04</v>
      </c>
    </row>
    <row r="18" spans="1:5" ht="15" customHeight="1" x14ac:dyDescent="0.35">
      <c r="A18" s="3" t="s">
        <v>348</v>
      </c>
      <c r="B18" s="3" t="s">
        <v>346</v>
      </c>
      <c r="C18" s="237">
        <v>0.12</v>
      </c>
      <c r="D18" s="237">
        <v>0.08</v>
      </c>
      <c r="E18" s="237">
        <v>0.05</v>
      </c>
    </row>
    <row r="19" spans="1:5" ht="15" customHeight="1" x14ac:dyDescent="0.35">
      <c r="A19" s="3" t="s">
        <v>348</v>
      </c>
      <c r="B19" s="3" t="s">
        <v>63</v>
      </c>
      <c r="C19" s="237">
        <v>0</v>
      </c>
      <c r="D19" s="237">
        <v>0.01</v>
      </c>
      <c r="E19" s="237">
        <v>0.02</v>
      </c>
    </row>
    <row r="20" spans="1:5" ht="15" customHeight="1" x14ac:dyDescent="0.35">
      <c r="A20" s="3" t="s">
        <v>348</v>
      </c>
      <c r="B20" s="3" t="s">
        <v>62</v>
      </c>
      <c r="C20" s="237">
        <v>0.09</v>
      </c>
      <c r="D20" s="237">
        <v>0.08</v>
      </c>
      <c r="E20" s="237">
        <v>0.06</v>
      </c>
    </row>
    <row r="21" spans="1:5" ht="15" customHeight="1" x14ac:dyDescent="0.35">
      <c r="A21" s="3" t="s">
        <v>348</v>
      </c>
      <c r="B21" s="3" t="s">
        <v>347</v>
      </c>
      <c r="C21" s="237">
        <v>5</v>
      </c>
      <c r="D21" s="237">
        <v>7</v>
      </c>
      <c r="E21" s="237">
        <v>10</v>
      </c>
    </row>
    <row r="22" spans="1:5" ht="15" customHeight="1" x14ac:dyDescent="0.35">
      <c r="A22" s="3" t="s">
        <v>349</v>
      </c>
      <c r="B22" s="3" t="s">
        <v>237</v>
      </c>
      <c r="C22" s="237">
        <v>0.01</v>
      </c>
      <c r="D22" s="237">
        <v>0.04</v>
      </c>
      <c r="E22" s="237">
        <v>0.08</v>
      </c>
    </row>
    <row r="23" spans="1:5" ht="15" customHeight="1" x14ac:dyDescent="0.35">
      <c r="A23" s="3" t="s">
        <v>349</v>
      </c>
      <c r="B23" s="3" t="s">
        <v>144</v>
      </c>
      <c r="C23" s="237">
        <v>0.25</v>
      </c>
      <c r="D23" s="237">
        <v>0.35</v>
      </c>
      <c r="E23" s="237">
        <v>0.45</v>
      </c>
    </row>
    <row r="24" spans="1:5" ht="15" customHeight="1" x14ac:dyDescent="0.35">
      <c r="A24" s="3" t="s">
        <v>349</v>
      </c>
      <c r="B24" s="3" t="s">
        <v>92</v>
      </c>
      <c r="C24" s="237">
        <v>0.04</v>
      </c>
      <c r="D24" s="237">
        <v>0.09</v>
      </c>
      <c r="E24" s="237">
        <v>0.14000000000000001</v>
      </c>
    </row>
    <row r="25" spans="1:5" ht="15" customHeight="1" x14ac:dyDescent="0.35">
      <c r="A25" s="3" t="s">
        <v>349</v>
      </c>
      <c r="B25" s="3" t="s">
        <v>343</v>
      </c>
      <c r="C25" s="237">
        <v>0.18</v>
      </c>
      <c r="D25" s="237">
        <v>0.14000000000000001</v>
      </c>
      <c r="E25" s="237">
        <v>0.1</v>
      </c>
    </row>
    <row r="26" spans="1:5" ht="15" customHeight="1" x14ac:dyDescent="0.35">
      <c r="A26" s="3" t="s">
        <v>349</v>
      </c>
      <c r="B26" s="3" t="s">
        <v>344</v>
      </c>
      <c r="C26" s="237">
        <v>0.01</v>
      </c>
      <c r="D26" s="237">
        <v>0.01</v>
      </c>
      <c r="E26" s="237">
        <v>0</v>
      </c>
    </row>
    <row r="27" spans="1:5" ht="15" customHeight="1" x14ac:dyDescent="0.35">
      <c r="A27" s="3" t="s">
        <v>349</v>
      </c>
      <c r="B27" s="3" t="s">
        <v>345</v>
      </c>
      <c r="C27" s="237">
        <v>0.05</v>
      </c>
      <c r="D27" s="237">
        <v>0.03</v>
      </c>
      <c r="E27" s="237">
        <v>0.02</v>
      </c>
    </row>
    <row r="28" spans="1:5" ht="15" customHeight="1" x14ac:dyDescent="0.35">
      <c r="A28" s="3" t="s">
        <v>349</v>
      </c>
      <c r="B28" s="3" t="s">
        <v>346</v>
      </c>
      <c r="C28" s="237">
        <v>0.1</v>
      </c>
      <c r="D28" s="237">
        <v>7.0000000000000007E-2</v>
      </c>
      <c r="E28" s="237">
        <v>0.04</v>
      </c>
    </row>
    <row r="29" spans="1:5" ht="15" customHeight="1" x14ac:dyDescent="0.35">
      <c r="A29" s="3" t="s">
        <v>349</v>
      </c>
      <c r="B29" s="3" t="s">
        <v>63</v>
      </c>
      <c r="C29" s="237">
        <v>0</v>
      </c>
      <c r="D29" s="237">
        <v>0.01</v>
      </c>
      <c r="E29" s="237">
        <v>0.02</v>
      </c>
    </row>
    <row r="30" spans="1:5" ht="15" customHeight="1" x14ac:dyDescent="0.35">
      <c r="A30" s="3" t="s">
        <v>349</v>
      </c>
      <c r="B30" s="3" t="s">
        <v>62</v>
      </c>
      <c r="C30" s="237">
        <v>0.09</v>
      </c>
      <c r="D30" s="237">
        <v>0.08</v>
      </c>
      <c r="E30" s="237">
        <v>0.06</v>
      </c>
    </row>
    <row r="31" spans="1:5" ht="15" customHeight="1" x14ac:dyDescent="0.35">
      <c r="A31" s="3" t="s">
        <v>349</v>
      </c>
      <c r="B31" s="3" t="s">
        <v>347</v>
      </c>
      <c r="C31" s="237">
        <v>5</v>
      </c>
      <c r="D31" s="237">
        <v>8</v>
      </c>
      <c r="E31" s="237">
        <v>11</v>
      </c>
    </row>
    <row r="32" spans="1:5" ht="15" customHeight="1" x14ac:dyDescent="0.35">
      <c r="A32" s="3" t="s">
        <v>350</v>
      </c>
      <c r="B32" s="3" t="s">
        <v>237</v>
      </c>
      <c r="C32" s="237">
        <v>0.03</v>
      </c>
      <c r="D32" s="237">
        <v>0.08</v>
      </c>
      <c r="E32" s="237">
        <v>0.15</v>
      </c>
    </row>
    <row r="33" spans="1:5" ht="15" customHeight="1" x14ac:dyDescent="0.35">
      <c r="A33" s="3" t="s">
        <v>350</v>
      </c>
      <c r="B33" s="3" t="s">
        <v>144</v>
      </c>
      <c r="C33" s="237">
        <v>0.55000000000000004</v>
      </c>
      <c r="D33" s="237">
        <v>0.65</v>
      </c>
      <c r="E33" s="237">
        <v>0.72</v>
      </c>
    </row>
    <row r="34" spans="1:5" ht="15" customHeight="1" x14ac:dyDescent="0.35">
      <c r="A34" s="3" t="s">
        <v>350</v>
      </c>
      <c r="B34" s="3" t="s">
        <v>92</v>
      </c>
      <c r="C34" s="237">
        <v>0.18</v>
      </c>
      <c r="D34" s="237">
        <v>0.28000000000000003</v>
      </c>
      <c r="E34" s="237">
        <v>0.35</v>
      </c>
    </row>
    <row r="35" spans="1:5" ht="15" customHeight="1" x14ac:dyDescent="0.35">
      <c r="A35" s="3" t="s">
        <v>350</v>
      </c>
      <c r="B35" s="3" t="s">
        <v>343</v>
      </c>
      <c r="C35" s="237">
        <v>0.25</v>
      </c>
      <c r="D35" s="237">
        <v>0.18</v>
      </c>
      <c r="E35" s="237">
        <v>0.12</v>
      </c>
    </row>
    <row r="36" spans="1:5" ht="15" customHeight="1" x14ac:dyDescent="0.35">
      <c r="A36" s="3" t="s">
        <v>350</v>
      </c>
      <c r="B36" s="3" t="s">
        <v>344</v>
      </c>
      <c r="C36" s="237">
        <v>0.02</v>
      </c>
      <c r="D36" s="237">
        <v>0.01</v>
      </c>
      <c r="E36" s="237">
        <v>0.01</v>
      </c>
    </row>
    <row r="37" spans="1:5" ht="15" customHeight="1" x14ac:dyDescent="0.35">
      <c r="A37" s="3" t="s">
        <v>350</v>
      </c>
      <c r="B37" s="3" t="s">
        <v>345</v>
      </c>
      <c r="C37" s="237">
        <v>0.06</v>
      </c>
      <c r="D37" s="237">
        <v>0.04</v>
      </c>
      <c r="E37" s="237">
        <v>0.03</v>
      </c>
    </row>
    <row r="38" spans="1:5" ht="15" customHeight="1" x14ac:dyDescent="0.35">
      <c r="A38" s="3" t="s">
        <v>350</v>
      </c>
      <c r="B38" s="3" t="s">
        <v>346</v>
      </c>
      <c r="C38" s="237">
        <v>0.08</v>
      </c>
      <c r="D38" s="237">
        <v>0.05</v>
      </c>
      <c r="E38" s="237">
        <v>0.03</v>
      </c>
    </row>
    <row r="39" spans="1:5" ht="15" customHeight="1" x14ac:dyDescent="0.35">
      <c r="A39" s="3" t="s">
        <v>350</v>
      </c>
      <c r="B39" s="3" t="s">
        <v>63</v>
      </c>
      <c r="C39" s="237">
        <v>0.01</v>
      </c>
      <c r="D39" s="237">
        <v>0.02</v>
      </c>
      <c r="E39" s="237">
        <v>0.03</v>
      </c>
    </row>
    <row r="40" spans="1:5" ht="15" customHeight="1" x14ac:dyDescent="0.35">
      <c r="A40" s="3" t="s">
        <v>350</v>
      </c>
      <c r="B40" s="3" t="s">
        <v>62</v>
      </c>
      <c r="C40" s="237">
        <v>0.08</v>
      </c>
      <c r="D40" s="237">
        <v>7.0000000000000007E-2</v>
      </c>
      <c r="E40" s="237">
        <v>0.05</v>
      </c>
    </row>
    <row r="41" spans="1:5" ht="15" customHeight="1" x14ac:dyDescent="0.35">
      <c r="A41" s="3" t="s">
        <v>350</v>
      </c>
      <c r="B41" s="3" t="s">
        <v>347</v>
      </c>
      <c r="C41" s="237">
        <v>12</v>
      </c>
      <c r="D41" s="237">
        <v>18</v>
      </c>
      <c r="E41" s="237">
        <v>25</v>
      </c>
    </row>
    <row r="42" spans="1:5" ht="15" customHeight="1" x14ac:dyDescent="0.35">
      <c r="A42" s="3" t="s">
        <v>351</v>
      </c>
      <c r="B42" s="3" t="s">
        <v>237</v>
      </c>
      <c r="C42" s="237">
        <v>-0.02</v>
      </c>
      <c r="D42" s="237">
        <v>0.02</v>
      </c>
      <c r="E42" s="237">
        <v>0.05</v>
      </c>
    </row>
    <row r="43" spans="1:5" ht="15" customHeight="1" x14ac:dyDescent="0.35">
      <c r="A43" s="3" t="s">
        <v>351</v>
      </c>
      <c r="B43" s="3" t="s">
        <v>144</v>
      </c>
      <c r="C43" s="237">
        <v>0.2</v>
      </c>
      <c r="D43" s="237">
        <v>0.3</v>
      </c>
      <c r="E43" s="237">
        <v>0.4</v>
      </c>
    </row>
    <row r="44" spans="1:5" ht="15" customHeight="1" x14ac:dyDescent="0.35">
      <c r="A44" s="3" t="s">
        <v>351</v>
      </c>
      <c r="B44" s="3" t="s">
        <v>92</v>
      </c>
      <c r="C44" s="237">
        <v>0.15</v>
      </c>
      <c r="D44" s="237">
        <v>0.25</v>
      </c>
      <c r="E44" s="237">
        <v>0.35</v>
      </c>
    </row>
    <row r="45" spans="1:5" ht="15" customHeight="1" x14ac:dyDescent="0.35">
      <c r="A45" s="3" t="s">
        <v>351</v>
      </c>
      <c r="B45" s="3" t="s">
        <v>343</v>
      </c>
      <c r="C45" s="237">
        <v>0.08</v>
      </c>
      <c r="D45" s="237">
        <v>0.06</v>
      </c>
      <c r="E45" s="237">
        <v>0.04</v>
      </c>
    </row>
    <row r="46" spans="1:5" ht="15" customHeight="1" x14ac:dyDescent="0.35">
      <c r="A46" s="3" t="s">
        <v>351</v>
      </c>
      <c r="B46" s="3" t="s">
        <v>344</v>
      </c>
      <c r="C46" s="237">
        <v>0.02</v>
      </c>
      <c r="D46" s="237">
        <v>0.01</v>
      </c>
      <c r="E46" s="237">
        <v>0.01</v>
      </c>
    </row>
    <row r="47" spans="1:5" ht="15" customHeight="1" x14ac:dyDescent="0.35">
      <c r="A47" s="3" t="s">
        <v>351</v>
      </c>
      <c r="B47" s="3" t="s">
        <v>345</v>
      </c>
      <c r="C47" s="237">
        <v>0.15</v>
      </c>
      <c r="D47" s="237">
        <v>0.1</v>
      </c>
      <c r="E47" s="237">
        <v>7.0000000000000007E-2</v>
      </c>
    </row>
    <row r="48" spans="1:5" ht="15" customHeight="1" x14ac:dyDescent="0.35">
      <c r="A48" s="3" t="s">
        <v>351</v>
      </c>
      <c r="B48" s="3" t="s">
        <v>346</v>
      </c>
      <c r="C48" s="237">
        <v>0.05</v>
      </c>
      <c r="D48" s="237">
        <v>0.04</v>
      </c>
      <c r="E48" s="237">
        <v>0.03</v>
      </c>
    </row>
    <row r="49" spans="1:5" ht="15" customHeight="1" x14ac:dyDescent="0.35">
      <c r="A49" s="3" t="s">
        <v>351</v>
      </c>
      <c r="B49" s="3" t="s">
        <v>63</v>
      </c>
      <c r="C49" s="237">
        <v>0</v>
      </c>
      <c r="D49" s="237">
        <v>0.01</v>
      </c>
      <c r="E49" s="237">
        <v>0.02</v>
      </c>
    </row>
    <row r="50" spans="1:5" ht="15" customHeight="1" x14ac:dyDescent="0.35">
      <c r="A50" s="3" t="s">
        <v>351</v>
      </c>
      <c r="B50" s="3" t="s">
        <v>62</v>
      </c>
      <c r="C50" s="237">
        <v>7.0000000000000007E-2</v>
      </c>
      <c r="D50" s="237">
        <v>0.06</v>
      </c>
      <c r="E50" s="237">
        <v>0.05</v>
      </c>
    </row>
    <row r="51" spans="1:5" ht="15" customHeight="1" x14ac:dyDescent="0.35">
      <c r="A51" s="3" t="s">
        <v>351</v>
      </c>
      <c r="B51" s="3" t="s">
        <v>347</v>
      </c>
      <c r="C51" s="237">
        <v>6</v>
      </c>
      <c r="D51" s="237">
        <v>8</v>
      </c>
      <c r="E51" s="237">
        <v>11</v>
      </c>
    </row>
    <row r="52" spans="1:5" ht="15" customHeight="1" x14ac:dyDescent="0.35">
      <c r="A52" s="3" t="s">
        <v>352</v>
      </c>
      <c r="B52" s="3" t="s">
        <v>237</v>
      </c>
      <c r="C52" s="237">
        <v>0.02</v>
      </c>
      <c r="D52" s="237">
        <v>0.06</v>
      </c>
      <c r="E52" s="237">
        <v>0.12</v>
      </c>
    </row>
    <row r="53" spans="1:5" ht="15" customHeight="1" x14ac:dyDescent="0.35">
      <c r="A53" s="3" t="s">
        <v>352</v>
      </c>
      <c r="B53" s="3" t="s">
        <v>144</v>
      </c>
      <c r="C53" s="237">
        <v>0.45</v>
      </c>
      <c r="D53" s="237">
        <v>0.6</v>
      </c>
      <c r="E53" s="237">
        <v>0.72</v>
      </c>
    </row>
    <row r="54" spans="1:5" ht="15" customHeight="1" x14ac:dyDescent="0.35">
      <c r="A54" s="3" t="s">
        <v>352</v>
      </c>
      <c r="B54" s="3" t="s">
        <v>92</v>
      </c>
      <c r="C54" s="237">
        <v>0.1</v>
      </c>
      <c r="D54" s="237">
        <v>0.2</v>
      </c>
      <c r="E54" s="237">
        <v>0.3</v>
      </c>
    </row>
    <row r="55" spans="1:5" ht="15" customHeight="1" x14ac:dyDescent="0.35">
      <c r="A55" s="3" t="s">
        <v>352</v>
      </c>
      <c r="B55" s="3" t="s">
        <v>343</v>
      </c>
      <c r="C55" s="237">
        <v>0.25</v>
      </c>
      <c r="D55" s="237">
        <v>0.18</v>
      </c>
      <c r="E55" s="237">
        <v>0.12</v>
      </c>
    </row>
    <row r="56" spans="1:5" ht="15" customHeight="1" x14ac:dyDescent="0.35">
      <c r="A56" s="3" t="s">
        <v>352</v>
      </c>
      <c r="B56" s="3" t="s">
        <v>344</v>
      </c>
      <c r="C56" s="237">
        <v>0.2</v>
      </c>
      <c r="D56" s="237">
        <v>0.15</v>
      </c>
      <c r="E56" s="237">
        <v>0.1</v>
      </c>
    </row>
    <row r="57" spans="1:5" ht="15" customHeight="1" x14ac:dyDescent="0.35">
      <c r="A57" s="3" t="s">
        <v>352</v>
      </c>
      <c r="B57" s="3" t="s">
        <v>345</v>
      </c>
      <c r="C57" s="237">
        <v>0.06</v>
      </c>
      <c r="D57" s="237">
        <v>0.04</v>
      </c>
      <c r="E57" s="237">
        <v>0.03</v>
      </c>
    </row>
    <row r="58" spans="1:5" ht="15" customHeight="1" x14ac:dyDescent="0.35">
      <c r="A58" s="3" t="s">
        <v>352</v>
      </c>
      <c r="B58" s="3" t="s">
        <v>346</v>
      </c>
      <c r="C58" s="237">
        <v>0.08</v>
      </c>
      <c r="D58" s="237">
        <v>0.05</v>
      </c>
      <c r="E58" s="237">
        <v>0.03</v>
      </c>
    </row>
    <row r="59" spans="1:5" ht="15" customHeight="1" x14ac:dyDescent="0.35">
      <c r="A59" s="3" t="s">
        <v>352</v>
      </c>
      <c r="B59" s="3" t="s">
        <v>63</v>
      </c>
      <c r="C59" s="237">
        <v>0.01</v>
      </c>
      <c r="D59" s="237">
        <v>0.02</v>
      </c>
      <c r="E59" s="237">
        <v>0.03</v>
      </c>
    </row>
    <row r="60" spans="1:5" ht="15" customHeight="1" x14ac:dyDescent="0.35">
      <c r="A60" s="3" t="s">
        <v>352</v>
      </c>
      <c r="B60" s="3" t="s">
        <v>62</v>
      </c>
      <c r="C60" s="237">
        <v>0.08</v>
      </c>
      <c r="D60" s="237">
        <v>7.0000000000000007E-2</v>
      </c>
      <c r="E60" s="237">
        <v>0.06</v>
      </c>
    </row>
    <row r="61" spans="1:5" ht="15" customHeight="1" x14ac:dyDescent="0.35">
      <c r="A61" s="3" t="s">
        <v>352</v>
      </c>
      <c r="B61" s="3" t="s">
        <v>347</v>
      </c>
      <c r="C61" s="237">
        <v>8</v>
      </c>
      <c r="D61" s="237">
        <v>12</v>
      </c>
      <c r="E61" s="237">
        <v>18</v>
      </c>
    </row>
    <row r="62" spans="1:5" ht="15" customHeight="1" x14ac:dyDescent="0.35">
      <c r="A62" s="68" t="s">
        <v>353</v>
      </c>
      <c r="B62" s="68" t="s">
        <v>237</v>
      </c>
      <c r="C62" s="223">
        <v>-0.05</v>
      </c>
      <c r="D62" s="223">
        <v>0.02</v>
      </c>
      <c r="E62" s="223">
        <v>0.06</v>
      </c>
    </row>
    <row r="63" spans="1:5" ht="15" customHeight="1" x14ac:dyDescent="0.35">
      <c r="A63" s="68" t="s">
        <v>353</v>
      </c>
      <c r="B63" s="68" t="s">
        <v>354</v>
      </c>
      <c r="C63" s="223">
        <v>0.22</v>
      </c>
      <c r="D63" s="223">
        <v>0.28000000000000003</v>
      </c>
      <c r="E63" s="223">
        <v>0.34</v>
      </c>
    </row>
    <row r="64" spans="1:5" ht="15" customHeight="1" x14ac:dyDescent="0.35">
      <c r="A64" s="68" t="s">
        <v>353</v>
      </c>
      <c r="B64" s="68" t="s">
        <v>92</v>
      </c>
      <c r="C64" s="223">
        <v>0.15</v>
      </c>
      <c r="D64" s="223">
        <v>0.22</v>
      </c>
      <c r="E64" s="223">
        <v>0.28000000000000003</v>
      </c>
    </row>
    <row r="65" spans="1:5" ht="15" customHeight="1" x14ac:dyDescent="0.35">
      <c r="A65" s="68" t="s">
        <v>353</v>
      </c>
      <c r="B65" s="68" t="s">
        <v>355</v>
      </c>
      <c r="C65" s="223">
        <v>0.04</v>
      </c>
      <c r="D65" s="223">
        <v>0.03</v>
      </c>
      <c r="E65" s="223">
        <v>0.02</v>
      </c>
    </row>
    <row r="66" spans="1:5" ht="15" customHeight="1" x14ac:dyDescent="0.35">
      <c r="A66" s="68" t="s">
        <v>353</v>
      </c>
      <c r="B66" s="68" t="s">
        <v>356</v>
      </c>
      <c r="C66" s="223">
        <v>0.01</v>
      </c>
      <c r="D66" s="223">
        <v>0.01</v>
      </c>
      <c r="E66" s="223">
        <v>0.01</v>
      </c>
    </row>
    <row r="67" spans="1:5" ht="15" customHeight="1" x14ac:dyDescent="0.35">
      <c r="A67" s="68" t="s">
        <v>353</v>
      </c>
      <c r="B67" s="68" t="s">
        <v>345</v>
      </c>
      <c r="C67" s="223">
        <v>0.12</v>
      </c>
      <c r="D67" s="223">
        <v>0.09</v>
      </c>
      <c r="E67" s="223">
        <v>7.0000000000000007E-2</v>
      </c>
    </row>
    <row r="68" spans="1:5" ht="15" customHeight="1" x14ac:dyDescent="0.35">
      <c r="A68" s="68" t="s">
        <v>353</v>
      </c>
      <c r="B68" s="68" t="s">
        <v>346</v>
      </c>
      <c r="C68" s="223">
        <v>0.04</v>
      </c>
      <c r="D68" s="223">
        <v>0.03</v>
      </c>
      <c r="E68" s="223">
        <v>0.02</v>
      </c>
    </row>
    <row r="69" spans="1:5" ht="15" customHeight="1" x14ac:dyDescent="0.35">
      <c r="A69" s="68" t="s">
        <v>353</v>
      </c>
      <c r="B69" s="68" t="s">
        <v>63</v>
      </c>
      <c r="C69" s="223">
        <v>0.01</v>
      </c>
      <c r="D69" s="223">
        <v>0.02</v>
      </c>
      <c r="E69" s="223">
        <v>0.03</v>
      </c>
    </row>
    <row r="70" spans="1:5" ht="15" customHeight="1" x14ac:dyDescent="0.35">
      <c r="A70" s="68" t="s">
        <v>353</v>
      </c>
      <c r="B70" s="68" t="s">
        <v>62</v>
      </c>
      <c r="C70" s="223">
        <v>0.09</v>
      </c>
      <c r="D70" s="223">
        <v>0.08</v>
      </c>
      <c r="E70" s="223">
        <v>7.0000000000000007E-2</v>
      </c>
    </row>
    <row r="71" spans="1:5" ht="15" customHeight="1" x14ac:dyDescent="0.35">
      <c r="A71" s="68" t="s">
        <v>353</v>
      </c>
      <c r="B71" s="68" t="s">
        <v>347</v>
      </c>
      <c r="C71" s="340">
        <v>4</v>
      </c>
      <c r="D71" s="340">
        <v>6</v>
      </c>
      <c r="E71" s="340">
        <v>8</v>
      </c>
    </row>
    <row r="73" spans="1:5" x14ac:dyDescent="0.3">
      <c r="A73" t="s">
        <v>357</v>
      </c>
      <c r="B73" t="s">
        <v>237</v>
      </c>
      <c r="C73">
        <v>0.01</v>
      </c>
      <c r="D73">
        <v>0.04</v>
      </c>
      <c r="E73">
        <v>7.0000000000000007E-2</v>
      </c>
    </row>
    <row r="74" spans="1:5" x14ac:dyDescent="0.3">
      <c r="A74" t="s">
        <v>357</v>
      </c>
      <c r="B74" t="s">
        <v>144</v>
      </c>
      <c r="C74">
        <v>0.1</v>
      </c>
      <c r="D74">
        <v>0.18</v>
      </c>
      <c r="E74">
        <v>0.25</v>
      </c>
    </row>
    <row r="75" spans="1:5" x14ac:dyDescent="0.3">
      <c r="A75" t="s">
        <v>357</v>
      </c>
      <c r="B75" t="s">
        <v>92</v>
      </c>
      <c r="C75">
        <v>0.05</v>
      </c>
      <c r="D75">
        <v>0.12</v>
      </c>
      <c r="E75">
        <v>0.18</v>
      </c>
    </row>
    <row r="76" spans="1:5" x14ac:dyDescent="0.3">
      <c r="A76" t="s">
        <v>357</v>
      </c>
      <c r="B76" t="s">
        <v>343</v>
      </c>
      <c r="C76">
        <v>0.08</v>
      </c>
      <c r="D76">
        <v>0.06</v>
      </c>
      <c r="E76">
        <v>0.04</v>
      </c>
    </row>
    <row r="77" spans="1:5" x14ac:dyDescent="0.3">
      <c r="A77" t="s">
        <v>357</v>
      </c>
      <c r="B77" t="s">
        <v>344</v>
      </c>
      <c r="C77">
        <v>0</v>
      </c>
      <c r="D77">
        <v>0</v>
      </c>
      <c r="E77">
        <v>0</v>
      </c>
    </row>
    <row r="78" spans="1:5" x14ac:dyDescent="0.3">
      <c r="A78" t="s">
        <v>357</v>
      </c>
      <c r="B78" t="s">
        <v>345</v>
      </c>
      <c r="C78">
        <v>0.02</v>
      </c>
      <c r="D78">
        <v>1.4999999999999999E-2</v>
      </c>
      <c r="E78">
        <v>0.01</v>
      </c>
    </row>
    <row r="79" spans="1:5" x14ac:dyDescent="0.3">
      <c r="A79" t="s">
        <v>357</v>
      </c>
      <c r="B79" t="s">
        <v>346</v>
      </c>
      <c r="C79">
        <v>0.02</v>
      </c>
      <c r="D79">
        <v>0.01</v>
      </c>
      <c r="E79">
        <v>5.0000000000000001E-3</v>
      </c>
    </row>
    <row r="80" spans="1:5" x14ac:dyDescent="0.3">
      <c r="A80" t="s">
        <v>357</v>
      </c>
      <c r="B80" t="s">
        <v>63</v>
      </c>
      <c r="C80">
        <v>0.01</v>
      </c>
      <c r="D80">
        <v>0.02</v>
      </c>
      <c r="E80">
        <v>0.03</v>
      </c>
    </row>
    <row r="81" spans="1:5" x14ac:dyDescent="0.3">
      <c r="A81" t="s">
        <v>357</v>
      </c>
      <c r="B81" t="s">
        <v>62</v>
      </c>
      <c r="C81">
        <v>0.09</v>
      </c>
      <c r="D81">
        <v>0.08</v>
      </c>
      <c r="E81">
        <v>7.0000000000000007E-2</v>
      </c>
    </row>
    <row r="82" spans="1:5" x14ac:dyDescent="0.3">
      <c r="A82" t="s">
        <v>357</v>
      </c>
      <c r="B82" t="s">
        <v>347</v>
      </c>
      <c r="C82">
        <v>6</v>
      </c>
      <c r="D82">
        <v>8</v>
      </c>
      <c r="E82">
        <v>11</v>
      </c>
    </row>
  </sheetData>
  <pageMargins left="0.7" right="0.7" top="0.75" bottom="0.75" header="0.3" footer="0.3"/>
  <pageSetup paperSize="9" scal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7</vt:i4>
      </vt:variant>
    </vt:vector>
  </HeadingPairs>
  <TitlesOfParts>
    <vt:vector size="16" baseType="lpstr">
      <vt:lpstr>INPUT</vt:lpstr>
      <vt:lpstr>RATIOS</vt:lpstr>
      <vt:lpstr>VALUATION</vt:lpstr>
      <vt:lpstr>COMPARABLES</vt:lpstr>
      <vt:lpstr>SCENARIOS</vt:lpstr>
      <vt:lpstr>DASHBOARD</vt:lpstr>
      <vt:lpstr>DASHBOARD 2</vt:lpstr>
      <vt:lpstr>STOCK_DATA</vt:lpstr>
      <vt:lpstr>SECTOR_REF</vt:lpstr>
      <vt:lpstr>COMPARABLES!Zone_d_impression</vt:lpstr>
      <vt:lpstr>DASHBOARD!Zone_d_impression</vt:lpstr>
      <vt:lpstr>'DASHBOARD 2'!Zone_d_impression</vt:lpstr>
      <vt:lpstr>INPUT!Zone_d_impression</vt:lpstr>
      <vt:lpstr>RATIOS!Zone_d_impression</vt:lpstr>
      <vt:lpstr>SCENARIOS!Zone_d_impression</vt:lpstr>
      <vt:lpstr>VALUATION!Zone_d_impression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Baptiste jeh</dc:creator>
  <cp:lastModifiedBy>Baptiste jeh</cp:lastModifiedBy>
  <cp:lastPrinted>2026-03-07T11:51:18Z</cp:lastPrinted>
  <dcterms:created xsi:type="dcterms:W3CDTF">2026-03-05T17:41:12Z</dcterms:created>
  <dcterms:modified xsi:type="dcterms:W3CDTF">2026-04-16T07:07:34Z</dcterms:modified>
</cp:coreProperties>
</file>