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15357bc9330a16b/Perso/Excel Finsight/"/>
    </mc:Choice>
  </mc:AlternateContent>
  <xr:revisionPtr revIDLastSave="0" documentId="8_{031DC94D-3912-4B36-9BA4-AE1F9294DDE5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DASHBOARD" sheetId="1" r:id="rId1"/>
    <sheet name="DATA_RAW" sheetId="2" state="hidden" r:id="rId2"/>
    <sheet name="SENSIBILITE" sheetId="8" r:id="rId3"/>
    <sheet name="VALORISATION" sheetId="3" r:id="rId4"/>
    <sheet name="QUALITE_FINANCIERE" sheetId="4" r:id="rId5"/>
    <sheet name="PROFITABILITE_CROISSANCE" sheetId="5" r:id="rId6"/>
    <sheet name="RISQUE_MOMENTUM" sheetId="6" r:id="rId7"/>
    <sheet name="COMPARABLES" sheetId="7" r:id="rId8"/>
  </sheets>
  <definedNames>
    <definedName name="_xlnm.Print_Area" localSheetId="0">DASHBOARD!$A$1:$E$42</definedName>
    <definedName name="_xlnm.Print_Area" localSheetId="5">PROFITABILITE_CROISSANCE!$A$1:$E$24</definedName>
    <definedName name="_xlnm.Print_Area" localSheetId="4">QUALITE_FINANCIERE!$A$1:$E$28</definedName>
    <definedName name="_xlnm.Print_Area" localSheetId="6">RISQUE_MOMENTUM!$A$1:$E$34</definedName>
    <definedName name="_xlnm.Print_Area" localSheetId="3">VALORISATION!$A$1:$E$41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5" l="1"/>
  <c r="C29" i="5"/>
  <c r="D28" i="5"/>
  <c r="C28" i="5"/>
  <c r="D27" i="5"/>
  <c r="C27" i="5"/>
  <c r="D26" i="5"/>
  <c r="C26" i="5"/>
  <c r="D25" i="5"/>
  <c r="C25" i="5"/>
  <c r="D24" i="5"/>
  <c r="C24" i="5"/>
  <c r="E33" i="1"/>
  <c r="E32" i="1"/>
  <c r="E31" i="1"/>
  <c r="E29" i="1"/>
  <c r="E28" i="1"/>
  <c r="E26" i="1"/>
  <c r="E25" i="1"/>
  <c r="E24" i="1"/>
  <c r="E23" i="1"/>
  <c r="E22" i="1"/>
  <c r="E19" i="1"/>
  <c r="E18" i="1"/>
  <c r="E17" i="1"/>
  <c r="E16" i="1"/>
  <c r="E15" i="1"/>
  <c r="E14" i="1"/>
  <c r="E13" i="1"/>
  <c r="E8" i="1"/>
  <c r="E6" i="1"/>
  <c r="E14" i="4"/>
  <c r="D14" i="4"/>
  <c r="C14" i="4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K8" i="8"/>
  <c r="J8" i="8"/>
  <c r="K7" i="8"/>
  <c r="J7" i="8"/>
  <c r="K6" i="8"/>
  <c r="J6" i="8"/>
  <c r="K5" i="8"/>
  <c r="J5" i="8"/>
  <c r="G19" i="8"/>
  <c r="F19" i="8"/>
  <c r="E19" i="8"/>
  <c r="D19" i="8"/>
  <c r="C19" i="8"/>
  <c r="G18" i="8"/>
  <c r="F18" i="8"/>
  <c r="E18" i="8"/>
  <c r="D18" i="8"/>
  <c r="C18" i="8"/>
  <c r="G17" i="8"/>
  <c r="F17" i="8"/>
  <c r="E17" i="8"/>
  <c r="D17" i="8"/>
  <c r="C17" i="8"/>
  <c r="G16" i="8"/>
  <c r="F16" i="8"/>
  <c r="E16" i="8"/>
  <c r="D16" i="8"/>
  <c r="C16" i="8"/>
  <c r="G15" i="8"/>
  <c r="F15" i="8"/>
  <c r="E15" i="8"/>
  <c r="D15" i="8"/>
  <c r="C15" i="8"/>
  <c r="G10" i="8"/>
  <c r="F10" i="8"/>
  <c r="E10" i="8"/>
  <c r="D10" i="8"/>
  <c r="C10" i="8"/>
  <c r="G9" i="8"/>
  <c r="F9" i="8"/>
  <c r="E9" i="8"/>
  <c r="D9" i="8"/>
  <c r="C9" i="8"/>
  <c r="G8" i="8"/>
  <c r="F8" i="8"/>
  <c r="E8" i="8"/>
  <c r="D8" i="8"/>
  <c r="C8" i="8"/>
  <c r="G7" i="8"/>
  <c r="F7" i="8"/>
  <c r="E7" i="8"/>
  <c r="D7" i="8"/>
  <c r="C7" i="8"/>
  <c r="G6" i="8"/>
  <c r="F6" i="8"/>
  <c r="E6" i="8"/>
  <c r="D6" i="8"/>
  <c r="C6" i="8"/>
  <c r="S3" i="3"/>
  <c r="S2" i="3"/>
  <c r="R3" i="3"/>
  <c r="R2" i="3"/>
  <c r="O4" i="3"/>
  <c r="O3" i="3"/>
  <c r="O2" i="3"/>
  <c r="N4" i="3"/>
  <c r="N3" i="3"/>
  <c r="N2" i="3"/>
  <c r="D42" i="1"/>
  <c r="C42" i="1"/>
  <c r="D25" i="6"/>
  <c r="C25" i="6"/>
  <c r="D24" i="6"/>
  <c r="C24" i="6"/>
  <c r="D23" i="6"/>
  <c r="C23" i="6"/>
  <c r="D18" i="3"/>
  <c r="C18" i="3"/>
  <c r="D17" i="3"/>
  <c r="C17" i="3"/>
  <c r="D16" i="3"/>
  <c r="C16" i="3"/>
  <c r="D15" i="3"/>
  <c r="C15" i="3"/>
  <c r="AA32" i="1"/>
  <c r="Z32" i="1"/>
  <c r="AA31" i="1"/>
  <c r="Z31" i="1"/>
  <c r="AA30" i="1"/>
  <c r="Z30" i="1"/>
  <c r="AA29" i="1"/>
  <c r="Z29" i="1"/>
  <c r="R7" i="5"/>
  <c r="Q7" i="5"/>
  <c r="R6" i="5"/>
  <c r="Q6" i="5"/>
  <c r="R5" i="5"/>
  <c r="Q5" i="5"/>
  <c r="R4" i="5"/>
  <c r="Q4" i="5"/>
  <c r="R3" i="5"/>
  <c r="Q3" i="5"/>
  <c r="R2" i="5"/>
  <c r="Q2" i="5"/>
  <c r="AA11" i="1"/>
  <c r="AA9" i="1"/>
  <c r="Z11" i="1"/>
  <c r="Z9" i="1"/>
  <c r="AB6" i="6"/>
  <c r="AA6" i="6"/>
  <c r="AB5" i="6"/>
  <c r="AA5" i="6"/>
  <c r="AB4" i="6"/>
  <c r="AA4" i="6"/>
  <c r="AB3" i="6"/>
  <c r="AA3" i="6"/>
  <c r="AB6" i="5"/>
  <c r="AA6" i="5"/>
  <c r="AB5" i="5"/>
  <c r="AA5" i="5"/>
  <c r="AB4" i="5"/>
  <c r="AA4" i="5"/>
  <c r="AB3" i="5"/>
  <c r="AA3" i="5"/>
  <c r="K22" i="7"/>
  <c r="J22" i="7"/>
  <c r="I22" i="7"/>
  <c r="H22" i="7"/>
  <c r="G22" i="7"/>
  <c r="F22" i="7"/>
  <c r="E22" i="7"/>
  <c r="D22" i="7"/>
  <c r="K21" i="7"/>
  <c r="J21" i="7"/>
  <c r="I21" i="7"/>
  <c r="H21" i="7"/>
  <c r="G21" i="7"/>
  <c r="F21" i="7"/>
  <c r="E21" i="7"/>
  <c r="D21" i="7"/>
  <c r="K20" i="7"/>
  <c r="J20" i="7"/>
  <c r="I20" i="7"/>
  <c r="H20" i="7"/>
  <c r="G20" i="7"/>
  <c r="F20" i="7"/>
  <c r="E20" i="7"/>
  <c r="D20" i="7"/>
  <c r="K19" i="7"/>
  <c r="J19" i="7"/>
  <c r="I19" i="7"/>
  <c r="H19" i="7"/>
  <c r="G19" i="7"/>
  <c r="F19" i="7"/>
  <c r="E19" i="7"/>
  <c r="E60" i="2" s="1"/>
  <c r="D19" i="7"/>
  <c r="E59" i="2" s="1"/>
  <c r="L7" i="7"/>
  <c r="K7" i="7"/>
  <c r="J7" i="7"/>
  <c r="I7" i="7"/>
  <c r="H7" i="7"/>
  <c r="G7" i="7"/>
  <c r="F7" i="7"/>
  <c r="E7" i="7"/>
  <c r="D7" i="7"/>
  <c r="C7" i="7"/>
  <c r="B7" i="7"/>
  <c r="L6" i="7"/>
  <c r="K6" i="7"/>
  <c r="J6" i="7"/>
  <c r="I6" i="7"/>
  <c r="H6" i="7"/>
  <c r="G6" i="7"/>
  <c r="F6" i="7"/>
  <c r="E6" i="7"/>
  <c r="D6" i="7"/>
  <c r="C6" i="7"/>
  <c r="B6" i="7"/>
  <c r="C36" i="3"/>
  <c r="C35" i="3"/>
  <c r="C34" i="3"/>
  <c r="D33" i="1"/>
  <c r="C33" i="1"/>
  <c r="D19" i="1"/>
  <c r="C19" i="1"/>
  <c r="D20" i="6"/>
  <c r="C20" i="6"/>
  <c r="D19" i="6"/>
  <c r="C19" i="6"/>
  <c r="D18" i="6"/>
  <c r="C18" i="6"/>
  <c r="D27" i="4"/>
  <c r="C27" i="4"/>
  <c r="D26" i="4"/>
  <c r="C26" i="4"/>
  <c r="D25" i="4"/>
  <c r="C25" i="4"/>
  <c r="Y35" i="1"/>
  <c r="Z35" i="1"/>
  <c r="AA35" i="1"/>
  <c r="Y34" i="1"/>
  <c r="Z34" i="1"/>
  <c r="AA34" i="1"/>
  <c r="Y27" i="1"/>
  <c r="Z27" i="1"/>
  <c r="AA27" i="1"/>
  <c r="Y26" i="1"/>
  <c r="Z26" i="1"/>
  <c r="AA26" i="1"/>
  <c r="Y25" i="1"/>
  <c r="Z25" i="1"/>
  <c r="AA25" i="1"/>
  <c r="Y22" i="1"/>
  <c r="Z22" i="1"/>
  <c r="AA22" i="1"/>
  <c r="Y21" i="1"/>
  <c r="Z21" i="1"/>
  <c r="AA21" i="1"/>
  <c r="Y18" i="1"/>
  <c r="Z18" i="1"/>
  <c r="AA18" i="1"/>
  <c r="Y17" i="1"/>
  <c r="Z17" i="1"/>
  <c r="AA17" i="1"/>
  <c r="Y16" i="1"/>
  <c r="Z16" i="1"/>
  <c r="AA16" i="1"/>
  <c r="Y12" i="1"/>
  <c r="Z12" i="1"/>
  <c r="AA12" i="1"/>
  <c r="Y11" i="1"/>
  <c r="Y10" i="1"/>
  <c r="Z10" i="1"/>
  <c r="AA10" i="1"/>
  <c r="Y9" i="1"/>
  <c r="Y6" i="1"/>
  <c r="Y5" i="1"/>
  <c r="Y4" i="1"/>
  <c r="Y3" i="1"/>
  <c r="Y2" i="1"/>
  <c r="AB7" i="3"/>
  <c r="AA7" i="3"/>
  <c r="AB6" i="3"/>
  <c r="AA6" i="3"/>
  <c r="AB5" i="3"/>
  <c r="AA5" i="3"/>
  <c r="AB4" i="3"/>
  <c r="AA4" i="3"/>
  <c r="AB3" i="3"/>
  <c r="AA3" i="3"/>
  <c r="AB40" i="1"/>
  <c r="AA40" i="1"/>
  <c r="AB39" i="1"/>
  <c r="AA39" i="1"/>
  <c r="AB38" i="1"/>
  <c r="AA38" i="1"/>
  <c r="AB37" i="1"/>
  <c r="AA37" i="1"/>
  <c r="AB36" i="1"/>
  <c r="AA36" i="1"/>
  <c r="E29" i="5"/>
  <c r="B29" i="5"/>
  <c r="E28" i="5"/>
  <c r="B28" i="5"/>
  <c r="E27" i="5"/>
  <c r="B27" i="5"/>
  <c r="E26" i="5"/>
  <c r="B26" i="5"/>
  <c r="E25" i="5"/>
  <c r="B25" i="5"/>
  <c r="E24" i="5"/>
  <c r="B24" i="5"/>
  <c r="E23" i="5"/>
  <c r="D23" i="5"/>
  <c r="C23" i="5"/>
  <c r="B23" i="5"/>
  <c r="E22" i="5"/>
  <c r="D22" i="5"/>
  <c r="C22" i="5"/>
  <c r="B22" i="5"/>
  <c r="E21" i="5"/>
  <c r="D21" i="5"/>
  <c r="C21" i="5"/>
  <c r="I48" i="3"/>
  <c r="H48" i="3"/>
  <c r="G48" i="3"/>
  <c r="F48" i="3"/>
  <c r="E48" i="3"/>
  <c r="D48" i="3"/>
  <c r="C48" i="3"/>
  <c r="I47" i="3"/>
  <c r="H47" i="3"/>
  <c r="G47" i="3"/>
  <c r="F47" i="3"/>
  <c r="E47" i="3"/>
  <c r="D47" i="3"/>
  <c r="C47" i="3"/>
  <c r="I46" i="3"/>
  <c r="H46" i="3"/>
  <c r="G46" i="3"/>
  <c r="F46" i="3"/>
  <c r="E46" i="3"/>
  <c r="D46" i="3"/>
  <c r="C46" i="3"/>
  <c r="I45" i="3"/>
  <c r="H45" i="3"/>
  <c r="G45" i="3"/>
  <c r="F45" i="3"/>
  <c r="E45" i="3"/>
  <c r="D45" i="3"/>
  <c r="C45" i="3"/>
  <c r="I44" i="3"/>
  <c r="H44" i="3"/>
  <c r="G44" i="3"/>
  <c r="F44" i="3"/>
  <c r="E44" i="3"/>
  <c r="D44" i="3"/>
  <c r="C44" i="3"/>
  <c r="I43" i="3"/>
  <c r="H43" i="3"/>
  <c r="G43" i="3"/>
  <c r="F43" i="3"/>
  <c r="E43" i="3"/>
  <c r="D43" i="3"/>
  <c r="C43" i="3"/>
  <c r="I42" i="3"/>
  <c r="H42" i="3"/>
  <c r="G42" i="3"/>
  <c r="F42" i="3"/>
  <c r="E42" i="3"/>
  <c r="D42" i="3"/>
  <c r="C42" i="3"/>
  <c r="E49" i="1"/>
  <c r="D48" i="1"/>
  <c r="C48" i="1"/>
  <c r="E47" i="1"/>
  <c r="D47" i="1"/>
  <c r="C47" i="1"/>
  <c r="Z6" i="1"/>
  <c r="B27" i="6"/>
  <c r="D15" i="6"/>
  <c r="C15" i="6"/>
  <c r="D14" i="6"/>
  <c r="C14" i="6"/>
  <c r="E14" i="6" s="1"/>
  <c r="D13" i="6"/>
  <c r="C13" i="6"/>
  <c r="D12" i="6"/>
  <c r="C12" i="6"/>
  <c r="D11" i="6"/>
  <c r="C11" i="6"/>
  <c r="D8" i="6"/>
  <c r="C8" i="6"/>
  <c r="D7" i="6"/>
  <c r="C7" i="6"/>
  <c r="D6" i="6"/>
  <c r="C6" i="6"/>
  <c r="D3" i="6"/>
  <c r="C3" i="6"/>
  <c r="D17" i="5"/>
  <c r="C17" i="5"/>
  <c r="D16" i="5"/>
  <c r="C16" i="5"/>
  <c r="D15" i="5"/>
  <c r="C15" i="5"/>
  <c r="D14" i="5"/>
  <c r="C14" i="5"/>
  <c r="D11" i="5"/>
  <c r="C11" i="5"/>
  <c r="D10" i="5"/>
  <c r="C10" i="5"/>
  <c r="D9" i="5"/>
  <c r="C9" i="5"/>
  <c r="D8" i="5"/>
  <c r="C8" i="5"/>
  <c r="D7" i="5"/>
  <c r="C7" i="5"/>
  <c r="D6" i="5"/>
  <c r="C6" i="5"/>
  <c r="D3" i="5"/>
  <c r="C3" i="5"/>
  <c r="D22" i="4"/>
  <c r="C22" i="4"/>
  <c r="D21" i="4"/>
  <c r="C21" i="4"/>
  <c r="D20" i="4"/>
  <c r="C20" i="4"/>
  <c r="D19" i="4"/>
  <c r="C19" i="4"/>
  <c r="D18" i="4"/>
  <c r="C18" i="4"/>
  <c r="D15" i="4"/>
  <c r="C15" i="4"/>
  <c r="D3" i="4"/>
  <c r="C3" i="4"/>
  <c r="D31" i="3"/>
  <c r="C31" i="3"/>
  <c r="D30" i="3"/>
  <c r="C30" i="3"/>
  <c r="D29" i="3"/>
  <c r="C29" i="3"/>
  <c r="E29" i="3" s="1"/>
  <c r="D28" i="3"/>
  <c r="C28" i="3"/>
  <c r="D27" i="3"/>
  <c r="C27" i="3"/>
  <c r="D24" i="3"/>
  <c r="C24" i="3"/>
  <c r="D23" i="3"/>
  <c r="C23" i="3"/>
  <c r="D22" i="3"/>
  <c r="C22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D19" i="3" s="1"/>
  <c r="C6" i="3"/>
  <c r="D3" i="3"/>
  <c r="K4" i="8" s="1"/>
  <c r="C3" i="3"/>
  <c r="J4" i="8" s="1"/>
  <c r="D32" i="1"/>
  <c r="C32" i="1"/>
  <c r="D31" i="1"/>
  <c r="D41" i="1" s="1"/>
  <c r="C31" i="1"/>
  <c r="C41" i="1" s="1"/>
  <c r="D30" i="1"/>
  <c r="C30" i="1"/>
  <c r="D29" i="1"/>
  <c r="D8" i="1" s="1"/>
  <c r="C29" i="1"/>
  <c r="D6" i="1" s="1"/>
  <c r="D28" i="1"/>
  <c r="C28" i="1"/>
  <c r="D26" i="1"/>
  <c r="C26" i="1"/>
  <c r="D25" i="1"/>
  <c r="C25" i="1"/>
  <c r="D24" i="1"/>
  <c r="C24" i="1"/>
  <c r="D23" i="1"/>
  <c r="C23" i="1"/>
  <c r="D22" i="1"/>
  <c r="C8" i="1" s="1"/>
  <c r="C22" i="1"/>
  <c r="C6" i="1" s="1"/>
  <c r="D18" i="1"/>
  <c r="C18" i="1"/>
  <c r="D17" i="1"/>
  <c r="C17" i="1"/>
  <c r="D16" i="1"/>
  <c r="C16" i="1"/>
  <c r="D15" i="1"/>
  <c r="C15" i="1"/>
  <c r="B6" i="1" s="1"/>
  <c r="D14" i="1"/>
  <c r="C14" i="1"/>
  <c r="D13" i="1"/>
  <c r="C13" i="1"/>
  <c r="D10" i="1"/>
  <c r="AA24" i="1" s="1"/>
  <c r="C10" i="1"/>
  <c r="C37" i="1" s="1"/>
  <c r="E18" i="6" l="1"/>
  <c r="N1" i="3"/>
  <c r="E18" i="3"/>
  <c r="E10" i="5"/>
  <c r="O1" i="3"/>
  <c r="E31" i="3"/>
  <c r="C19" i="3"/>
  <c r="E19" i="3" s="1"/>
  <c r="E14" i="5"/>
  <c r="E23" i="6"/>
  <c r="R1" i="3"/>
  <c r="S1" i="3"/>
  <c r="E15" i="3"/>
  <c r="E25" i="6"/>
  <c r="E15" i="5"/>
  <c r="E16" i="3"/>
  <c r="E23" i="3"/>
  <c r="E27" i="4"/>
  <c r="E17" i="3"/>
  <c r="Q1" i="5"/>
  <c r="Z28" i="1"/>
  <c r="R1" i="5"/>
  <c r="AA28" i="1"/>
  <c r="E24" i="6"/>
  <c r="E9" i="5"/>
  <c r="E11" i="5"/>
  <c r="AA5" i="1"/>
  <c r="C39" i="1"/>
  <c r="Z3" i="1" s="1"/>
  <c r="E8" i="5"/>
  <c r="E48" i="1"/>
  <c r="D40" i="1"/>
  <c r="AA4" i="1" s="1"/>
  <c r="E19" i="4"/>
  <c r="E20" i="4"/>
  <c r="E25" i="4"/>
  <c r="E8" i="3"/>
  <c r="E26" i="4"/>
  <c r="C59" i="2"/>
  <c r="C60" i="2"/>
  <c r="D35" i="3" s="1"/>
  <c r="E35" i="3" s="1"/>
  <c r="E12" i="3"/>
  <c r="E30" i="3"/>
  <c r="E15" i="6"/>
  <c r="E22" i="3"/>
  <c r="E7" i="3"/>
  <c r="E22" i="4"/>
  <c r="E7" i="6"/>
  <c r="E8" i="6"/>
  <c r="E9" i="3"/>
  <c r="E6" i="5"/>
  <c r="E11" i="6"/>
  <c r="E15" i="4"/>
  <c r="E19" i="6"/>
  <c r="E10" i="3"/>
  <c r="E27" i="3"/>
  <c r="E18" i="4"/>
  <c r="E12" i="6"/>
  <c r="E13" i="3"/>
  <c r="E6" i="6"/>
  <c r="E16" i="5"/>
  <c r="Z15" i="1"/>
  <c r="E20" i="6"/>
  <c r="E11" i="3"/>
  <c r="E28" i="3"/>
  <c r="E17" i="5"/>
  <c r="E13" i="6"/>
  <c r="Z8" i="1"/>
  <c r="E42" i="1"/>
  <c r="E30" i="1"/>
  <c r="E7" i="5"/>
  <c r="C40" i="1"/>
  <c r="E21" i="4"/>
  <c r="E24" i="3"/>
  <c r="E6" i="3"/>
  <c r="Z1" i="1"/>
  <c r="D39" i="1"/>
  <c r="D37" i="1"/>
  <c r="AA6" i="1"/>
  <c r="AA8" i="1"/>
  <c r="Z24" i="1"/>
  <c r="AA1" i="1"/>
  <c r="AA15" i="1"/>
  <c r="B8" i="1"/>
  <c r="D38" i="1" l="1"/>
  <c r="AA2" i="1" s="1"/>
  <c r="C38" i="1"/>
  <c r="Z2" i="1" s="1"/>
  <c r="D36" i="3"/>
  <c r="E36" i="3" s="1"/>
  <c r="D20" i="1"/>
  <c r="C20" i="1"/>
  <c r="D34" i="3"/>
  <c r="E34" i="3" s="1"/>
  <c r="E20" i="1"/>
  <c r="E38" i="1"/>
  <c r="E40" i="1"/>
  <c r="Z4" i="1"/>
  <c r="AA3" i="1"/>
  <c r="E39" i="1"/>
  <c r="E41" i="1"/>
  <c r="Z5" i="1"/>
  <c r="C43" i="1"/>
  <c r="D43" i="1" l="1"/>
  <c r="E43" i="1" s="1"/>
</calcChain>
</file>

<file path=xl/sharedStrings.xml><?xml version="1.0" encoding="utf-8"?>
<sst xmlns="http://schemas.openxmlformats.org/spreadsheetml/2006/main" count="537" uniqueCount="314">
  <si>
    <t>MÉTRIQUE</t>
  </si>
  <si>
    <t>DELTA / AVANTAGE</t>
  </si>
  <si>
    <t xml:space="preserve">  VALORISATION</t>
  </si>
  <si>
    <t>Cours actuel</t>
  </si>
  <si>
    <t>DCF Valeur intrinsèque (base)</t>
  </si>
  <si>
    <t>Upside / Downside DCF</t>
  </si>
  <si>
    <t>Marge de sécurité</t>
  </si>
  <si>
    <t>PE (LTM)</t>
  </si>
  <si>
    <t>EV/EBITDA</t>
  </si>
  <si>
    <t xml:space="preserve">  QUALITÉ FINANCIÈRE</t>
  </si>
  <si>
    <t>Piotroski F-Score</t>
  </si>
  <si>
    <t>Sloan Accruals Ratio</t>
  </si>
  <si>
    <t>Cash Conversion Score</t>
  </si>
  <si>
    <t>Beneish M-Score</t>
  </si>
  <si>
    <t>Altman Z-Score</t>
  </si>
  <si>
    <t xml:space="preserve">  PROFITABILITÉ &amp; CROISSANCE</t>
  </si>
  <si>
    <t>ROIC</t>
  </si>
  <si>
    <t>Marge EBITDA (LTM)</t>
  </si>
  <si>
    <t>Tendance marges 3 ans</t>
  </si>
  <si>
    <t>Croissance CA (CAGR 3Y)</t>
  </si>
  <si>
    <t>Dette Nette / EBITDA</t>
  </si>
  <si>
    <t>METRIC</t>
  </si>
  <si>
    <t>TICKER_A</t>
  </si>
  <si>
    <t>VALUE_A</t>
  </si>
  <si>
    <t>TICKER_B</t>
  </si>
  <si>
    <t>VALUE_B</t>
  </si>
  <si>
    <t>UNIT</t>
  </si>
  <si>
    <t>SOURCE</t>
  </si>
  <si>
    <t>company_name_a</t>
  </si>
  <si>
    <t>text</t>
  </si>
  <si>
    <t>yfinance</t>
  </si>
  <si>
    <t>company_name_b</t>
  </si>
  <si>
    <t>ticker_a</t>
  </si>
  <si>
    <t>input</t>
  </si>
  <si>
    <t>ticker_b</t>
  </si>
  <si>
    <t>sector_a</t>
  </si>
  <si>
    <t>sector_b</t>
  </si>
  <si>
    <t>currency_a</t>
  </si>
  <si>
    <t>currency_b</t>
  </si>
  <si>
    <t>analysis_date</t>
  </si>
  <si>
    <t>date</t>
  </si>
  <si>
    <t>system</t>
  </si>
  <si>
    <t>share_price</t>
  </si>
  <si>
    <t>USD</t>
  </si>
  <si>
    <t>dcf_base</t>
  </si>
  <si>
    <t>agent_quant</t>
  </si>
  <si>
    <t>dcf_bear</t>
  </si>
  <si>
    <t>dcf_bull</t>
  </si>
  <si>
    <t>dcf_upside_base</t>
  </si>
  <si>
    <t>%</t>
  </si>
  <si>
    <t>calc</t>
  </si>
  <si>
    <t>margin_of_safety</t>
  </si>
  <si>
    <t>pe_ratio</t>
  </si>
  <si>
    <t>x</t>
  </si>
  <si>
    <t>ev_ebitda</t>
  </si>
  <si>
    <t>price_to_book</t>
  </si>
  <si>
    <t>fcf_yield</t>
  </si>
  <si>
    <t>peg_ratio</t>
  </si>
  <si>
    <t>wacc</t>
  </si>
  <si>
    <t>terminal_growth</t>
  </si>
  <si>
    <t>entry_zone_ok</t>
  </si>
  <si>
    <t>bool</t>
  </si>
  <si>
    <t>monte_carlo_p10</t>
  </si>
  <si>
    <t>monte_carlo_p50</t>
  </si>
  <si>
    <t>monte_carlo_p90</t>
  </si>
  <si>
    <t>piotroski_score</t>
  </si>
  <si>
    <t>/9</t>
  </si>
  <si>
    <t>sloan_accruals</t>
  </si>
  <si>
    <t>cash_conversion</t>
  </si>
  <si>
    <t>ratio</t>
  </si>
  <si>
    <t>beneish_mscore</t>
  </si>
  <si>
    <t>score</t>
  </si>
  <si>
    <t>altman_z</t>
  </si>
  <si>
    <t>altman_model</t>
  </si>
  <si>
    <t>roic</t>
  </si>
  <si>
    <t>roe</t>
  </si>
  <si>
    <t>ebitda_margin_ltm</t>
  </si>
  <si>
    <t>ebitda_margin_y1</t>
  </si>
  <si>
    <t>ebitda_margin_y2</t>
  </si>
  <si>
    <t>ebitda_margin_trend</t>
  </si>
  <si>
    <t>revenue_cagr_3y</t>
  </si>
  <si>
    <t>eps_growth</t>
  </si>
  <si>
    <t>net_debt_ebitda</t>
  </si>
  <si>
    <t>interest_coverage</t>
  </si>
  <si>
    <t>beta</t>
  </si>
  <si>
    <t>var_95_1m</t>
  </si>
  <si>
    <t>duration_implicit</t>
  </si>
  <si>
    <t>years</t>
  </si>
  <si>
    <t>finsight_score</t>
  </si>
  <si>
    <t>/100</t>
  </si>
  <si>
    <t>agent_synthese</t>
  </si>
  <si>
    <t>momentum_score</t>
  </si>
  <si>
    <t>/10</t>
  </si>
  <si>
    <t>recommendation</t>
  </si>
  <si>
    <t>conviction</t>
  </si>
  <si>
    <t>verdict_relative</t>
  </si>
  <si>
    <t>winner</t>
  </si>
  <si>
    <t>AVANTAGE RELATIF</t>
  </si>
  <si>
    <t xml:space="preserve">  DISCOUNTED CASH FLOW — ANALYSE INTRINSÈQUE</t>
  </si>
  <si>
    <t>DCF — Scénario Bear</t>
  </si>
  <si>
    <t>DCF — Scénario Base</t>
  </si>
  <si>
    <t>DCF — Scénario Bull</t>
  </si>
  <si>
    <t>Upside/Downside Base</t>
  </si>
  <si>
    <t>Marge de sécurité (Base)</t>
  </si>
  <si>
    <t>WACC utilisé</t>
  </si>
  <si>
    <t>Taux croissance terminal</t>
  </si>
  <si>
    <t xml:space="preserve">  MONTE CARLO — 10 000 SIMULATIONS (INTERVALLES DE CONFIANCE)</t>
  </si>
  <si>
    <t>Percentile 10 (Pessimiste)</t>
  </si>
  <si>
    <t>Percentile 50 (Médiane)</t>
  </si>
  <si>
    <t>Percentile 90 (Optimiste)</t>
  </si>
  <si>
    <t xml:space="preserve">  MULTIPLES DE MARCHÉ</t>
  </si>
  <si>
    <t>PE Ratio (LTM)</t>
  </si>
  <si>
    <t>EV / EBITDA</t>
  </si>
  <si>
    <t>Price / Book</t>
  </si>
  <si>
    <t>FCF Yield</t>
  </si>
  <si>
    <t>PEG Ratio</t>
  </si>
  <si>
    <t>INDICATEUR</t>
  </si>
  <si>
    <t>INTERPRÉTATION</t>
  </si>
  <si>
    <t xml:space="preserve">  PIOTROSKI F-SCORE — 9 CRITÈRES BINAIRES (&gt;6 = QUALITY, &lt;4 = TRAP)</t>
  </si>
  <si>
    <t>ROA &gt; 0 (rentabilité positive)</t>
  </si>
  <si>
    <t>—</t>
  </si>
  <si>
    <t>CFO &gt; 0 (cash flow opérationnel positif)</t>
  </si>
  <si>
    <t>ΔROA &gt; 0 (amélioration rentabilité)</t>
  </si>
  <si>
    <t>Accruals &lt; CFO (qualité bénéfices)</t>
  </si>
  <si>
    <t>ΔLevier &lt; 0 (réduction dette)</t>
  </si>
  <si>
    <t>ΔLiquidité &gt; 0 (amélioration liquidité)</t>
  </si>
  <si>
    <t>Pas de dilution (pas d'émission actions)</t>
  </si>
  <si>
    <t>ΔMarge Brute &gt; 0 (expansion marges)</t>
  </si>
  <si>
    <t>ΔRotation Actifs &gt; 0 (efficacité opérationnelle)</t>
  </si>
  <si>
    <t>SCORE TOTAL F-SCORE</t>
  </si>
  <si>
    <t xml:space="preserve">  INDICATEURS DE MANIPULATION COMPTABLE</t>
  </si>
  <si>
    <t>Modèle Altman utilisé</t>
  </si>
  <si>
    <t>AVANTAGE</t>
  </si>
  <si>
    <t xml:space="preserve">  RENTABILITÉ DU CAPITAL</t>
  </si>
  <si>
    <t>ROIC (Return on Invested Capital)</t>
  </si>
  <si>
    <t>ROE (Return on Equity)</t>
  </si>
  <si>
    <t>Marge EBITDA (N-1)</t>
  </si>
  <si>
    <t>Marge EBITDA (N-2)</t>
  </si>
  <si>
    <t xml:space="preserve">  CROISSANCE &amp; STRUCTURE FINANCIÈRE</t>
  </si>
  <si>
    <t>Croissance CA CAGR 3 ans</t>
  </si>
  <si>
    <t>Croissance BPA</t>
  </si>
  <si>
    <t>Couverture des intérêts</t>
  </si>
  <si>
    <t xml:space="preserve">  INDICATEURS DE RISQUE</t>
  </si>
  <si>
    <t>Beta (sensibilité marché)</t>
  </si>
  <si>
    <t>VaR 95% à 1 mois</t>
  </si>
  <si>
    <t>Duration implicite</t>
  </si>
  <si>
    <t xml:space="preserve">  SCORE FINSIGHT &amp; MOMENTUM</t>
  </si>
  <si>
    <t>Score FinSight Composite</t>
  </si>
  <si>
    <t>Score Momentum</t>
  </si>
  <si>
    <t>Recommandation</t>
  </si>
  <si>
    <t>Zone d'entrée optimale</t>
  </si>
  <si>
    <t>Conviction (%)</t>
  </si>
  <si>
    <t>FinSight IA  ·  Analyse Comparative</t>
  </si>
  <si>
    <t>VALORISATION COMPARÉE — FinSight IA</t>
  </si>
  <si>
    <t>QUALITÉ FINANCIÈRE — FinSight IA</t>
  </si>
  <si>
    <t>PROFITABILITÉ &amp; CROISSANCE — FinSight IA</t>
  </si>
  <si>
    <t>RISQUE &amp; MOMENTUM — FinSight IA</t>
  </si>
  <si>
    <t>SYNTHÈSE — INDICATEURS CLÉS</t>
  </si>
  <si>
    <t>COURS ACTUEL vs DCF</t>
  </si>
  <si>
    <t>PIOTROSKI F-SCORE</t>
  </si>
  <si>
    <t>MARGE EBITDA</t>
  </si>
  <si>
    <t>SCORE FINSIGHT COMPOSITE</t>
  </si>
  <si>
    <t>Société A</t>
  </si>
  <si>
    <t>Société B</t>
  </si>
  <si>
    <t>CONFIDENTIEL  ·  Usage interne exclusif  ·  FinSight IA  ·  4 avril 2026</t>
  </si>
  <si>
    <t>SCORECARD — ANALYSE COMPARATIVE PAR PILIER</t>
  </si>
  <si>
    <t>PILIER</t>
  </si>
  <si>
    <t>SOCIÉTÉ A</t>
  </si>
  <si>
    <t>SOCIÉTÉ B</t>
  </si>
  <si>
    <t>Valorisation</t>
  </si>
  <si>
    <t>Qualité financière</t>
  </si>
  <si>
    <t>Profitabilité</t>
  </si>
  <si>
    <t>Croissance</t>
  </si>
  <si>
    <t>Risque &amp; Momentum</t>
  </si>
  <si>
    <t>SCORE COMPOSITE PONDÉRÉ</t>
  </si>
  <si>
    <t>VERDICT FINAL — RECOMMANDATION FINSIGHT IA</t>
  </si>
  <si>
    <t>CRITÈRE</t>
  </si>
  <si>
    <t>SIGNAL</t>
  </si>
  <si>
    <t>Conviction</t>
  </si>
  <si>
    <t>SOCIÉTÉ PRIVILÉGIÉE</t>
  </si>
  <si>
    <t>SENSIBILITÉ DCF — WACC × TAUX DE CROISSANCE TERMINAL</t>
  </si>
  <si>
    <t>Valeur intrinsèque DCF (base case) sous différentes hypothèses de WACC (lignes) et de taux de croissance terminal (colonnes)  ·  Cellule centrale = scénario de base</t>
  </si>
  <si>
    <t>WACC \ g →</t>
  </si>
  <si>
    <t>★ Cellule centrale (jaune) = scénario de base  ·  Société A uniquement  ·  Source : DATA_RAW!C22-C23 (WACC / g)</t>
  </si>
  <si>
    <t>ÉVOLUTION DES MARGES — ANALYSE TEMPORELLE (N-2 → LTM)</t>
  </si>
  <si>
    <t>Pilier</t>
  </si>
  <si>
    <t>Qualité fin.</t>
  </si>
  <si>
    <t>Risque/Mom.</t>
  </si>
  <si>
    <t>Scénario</t>
  </si>
  <si>
    <t>Bear</t>
  </si>
  <si>
    <t>Base</t>
  </si>
  <si>
    <t>Bull</t>
  </si>
  <si>
    <t>Période</t>
  </si>
  <si>
    <t>N-2</t>
  </si>
  <si>
    <t>N-1</t>
  </si>
  <si>
    <t>LTM</t>
  </si>
  <si>
    <t>Métrique</t>
  </si>
  <si>
    <t>Score FinSight (/100)</t>
  </si>
  <si>
    <t>Score Momentum (/10)</t>
  </si>
  <si>
    <t>Multiple</t>
  </si>
  <si>
    <t>ROIC (%)</t>
  </si>
  <si>
    <t>ROE (%)</t>
  </si>
  <si>
    <t>CAGR CA 3Y (%)</t>
  </si>
  <si>
    <t>current_ratio</t>
  </si>
  <si>
    <t>quick_ratio</t>
  </si>
  <si>
    <t>capex_to_revenue</t>
  </si>
  <si>
    <t>perf_1m</t>
  </si>
  <si>
    <t>perf_3m</t>
  </si>
  <si>
    <t>perf_1y</t>
  </si>
  <si>
    <t>sector_median_pe</t>
  </si>
  <si>
    <t>sector_median_ev_ebitda</t>
  </si>
  <si>
    <t xml:space="preserve">  BENCHMARK SECTORIEL — MÉDIANE DU SECTEUR</t>
  </si>
  <si>
    <t/>
  </si>
  <si>
    <t>Médiane Secteur</t>
  </si>
  <si>
    <t>Vs Médiane</t>
  </si>
  <si>
    <t xml:space="preserve">  LIQUIDITÉ &amp; STRUCTURE DU BILAN</t>
  </si>
  <si>
    <t>Current Ratio (&gt;1.5 = sain)</t>
  </si>
  <si>
    <t>Quick Ratio (&gt;1.0 = sain)</t>
  </si>
  <si>
    <t>Capex / Revenus (intensité cap.)</t>
  </si>
  <si>
    <t xml:space="preserve">  PERFORMANCE RELATIVE (vs INDICE)</t>
  </si>
  <si>
    <t>Performance 1 mois</t>
  </si>
  <si>
    <t>Performance 3 mois</t>
  </si>
  <si>
    <t>Performance 1 an</t>
  </si>
  <si>
    <t>Current Ratio</t>
  </si>
  <si>
    <t>Médiane PE Secteur</t>
  </si>
  <si>
    <t>PE Ratio — Soc. B</t>
  </si>
  <si>
    <t>Soc. A / Soc. B</t>
  </si>
  <si>
    <t>MSFT</t>
  </si>
  <si>
    <t>GOOGL</t>
  </si>
  <si>
    <t>Microsoft</t>
  </si>
  <si>
    <t>Alphabet</t>
  </si>
  <si>
    <t>Technology</t>
  </si>
  <si>
    <t>Public (&gt;3)</t>
  </si>
  <si>
    <t>Croissante</t>
  </si>
  <si>
    <t>Stable</t>
  </si>
  <si>
    <t>ACHETER</t>
  </si>
  <si>
    <t>ACCUMULER</t>
  </si>
  <si>
    <t>MSFT privilégié</t>
  </si>
  <si>
    <t>ANALYSE DE COMPARABLES — FinSight IA</t>
  </si>
  <si>
    <t>SOCIÉTÉ</t>
  </si>
  <si>
    <t>TICKER</t>
  </si>
  <si>
    <t>P/Book</t>
  </si>
  <si>
    <t>Rev. CAGR 3Y</t>
  </si>
  <si>
    <t>Mg. EBITDA</t>
  </si>
  <si>
    <t>Beta</t>
  </si>
  <si>
    <t xml:space="preserve">  SOCIÉTÉS ANALYSÉES</t>
  </si>
  <si>
    <t xml:space="preserve">  PAIRS SECTORIELS  ·  Source : agent_quant</t>
  </si>
  <si>
    <t>Apple</t>
  </si>
  <si>
    <t>AAPL</t>
  </si>
  <si>
    <t>Neutre</t>
  </si>
  <si>
    <t>Meta</t>
  </si>
  <si>
    <t>META</t>
  </si>
  <si>
    <t>Acheter</t>
  </si>
  <si>
    <t>Amazon</t>
  </si>
  <si>
    <t>AMZN</t>
  </si>
  <si>
    <t>Salesforce</t>
  </si>
  <si>
    <t>CRM</t>
  </si>
  <si>
    <t>Oracle</t>
  </si>
  <si>
    <t>ORCL</t>
  </si>
  <si>
    <t>SAP</t>
  </si>
  <si>
    <t>Adobe</t>
  </si>
  <si>
    <t>ADBE</t>
  </si>
  <si>
    <t>ServiceNow</t>
  </si>
  <si>
    <t>NOW</t>
  </si>
  <si>
    <t xml:space="preserve">  STATISTIQUES DU GROUPE DE PAIRS</t>
  </si>
  <si>
    <t>Médiane</t>
  </si>
  <si>
    <t>(pairs seuls)</t>
  </si>
  <si>
    <t>Moyenne</t>
  </si>
  <si>
    <t>Minimum</t>
  </si>
  <si>
    <t>Maximum</t>
  </si>
  <si>
    <t>★  Médiane (pairs) alimentée automatiquement dans DATA_RAW!C59–C60  ·  Données peers : à renseigner par agent_quant</t>
  </si>
  <si>
    <t>Mg. EBITDA (%)</t>
  </si>
  <si>
    <t>Croiss. BPA (%)</t>
  </si>
  <si>
    <t>Couv. Intérêts (x)</t>
  </si>
  <si>
    <t>FinSight (/100)</t>
  </si>
  <si>
    <t>Momentum (/10)</t>
  </si>
  <si>
    <t>Piotroski (/9)</t>
  </si>
  <si>
    <t>week52_high</t>
  </si>
  <si>
    <t>week52_low</t>
  </si>
  <si>
    <t>market_cap</t>
  </si>
  <si>
    <t>USD bn</t>
  </si>
  <si>
    <t>enterprise_value</t>
  </si>
  <si>
    <t>avg_volume_30d</t>
  </si>
  <si>
    <t>M shares</t>
  </si>
  <si>
    <t>dividend_yield</t>
  </si>
  <si>
    <t>next_earnings_date</t>
  </si>
  <si>
    <t>30 avr. 2026</t>
  </si>
  <si>
    <t>29 avr. 2026</t>
  </si>
  <si>
    <t xml:space="preserve">  TAILLE &amp; CONTEXTE DE MARCHÉ</t>
  </si>
  <si>
    <t>Market Cap ($bn)</t>
  </si>
  <si>
    <t>Enterprise Value ($bn)</t>
  </si>
  <si>
    <t>52 semaines — Haut</t>
  </si>
  <si>
    <t>52 semaines — Bas</t>
  </si>
  <si>
    <t>Position dans range 52W (%)</t>
  </si>
  <si>
    <t xml:space="preserve">  DONNÉES DE MARCHÉ COMPLÉMENTAIRES</t>
  </si>
  <si>
    <t>Volume moyen 30j (M actions)</t>
  </si>
  <si>
    <t>Rendement dividende (%)</t>
  </si>
  <si>
    <t>Prochain résultat (date)</t>
  </si>
  <si>
    <t>FCF Yield (%)</t>
  </si>
  <si>
    <t>ANALYSE DE SENSIBILITÉ DCF — FinSight IA</t>
  </si>
  <si>
    <t xml:space="preserve">  SENSIBILITÉ DCF — SOC. A  ·  Valeur intrinsèque (Base)</t>
  </si>
  <si>
    <t>WACC  ↓  /  g →</t>
  </si>
  <si>
    <t>★  Case de base (WACC ≈ 9% / g ≈ 3%) en jaune  ·  Valeurs en USD  ·  Sensibilité : ×1.5 WACC, ×0.8 g terminal</t>
  </si>
  <si>
    <t xml:space="preserve">  SENSIBILITÉ DCF — SOC. B  ·  Valeur intrinsèque (Base)</t>
  </si>
  <si>
    <t>pio_roa_positive</t>
  </si>
  <si>
    <t>0/1</t>
  </si>
  <si>
    <t>pio_cfo_positive</t>
  </si>
  <si>
    <t>pio_delta_roa</t>
  </si>
  <si>
    <t>pio_accruals</t>
  </si>
  <si>
    <t>pio_delta_leverage</t>
  </si>
  <si>
    <t>pio_delta_liquidity</t>
  </si>
  <si>
    <t>pio_no_dilution</t>
  </si>
  <si>
    <t>pio_delta_gross_margin</t>
  </si>
  <si>
    <t>pio_delta_asset_turnover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</si>
</sst>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5" formatCode="0.0%"/>
    <numFmt numFmtId="173" formatCode="#,##0.00;\(#,##0.00\);&quot;—&quot;"/>
    <numFmt numFmtId="174" formatCode="#,##0.0%;\(#,##0.0%\);&quot;—&quot;"/>
    <numFmt numFmtId="175" formatCode="#,##0;\(#,##0\);&quot;—&quot;"/>
    <numFmt numFmtId="176" formatCode="0.0%;\(0.0%\);&quot;—&quot;"/>
    <numFmt numFmtId="177" formatCode="0.00%;\(0.00%\);&quot;—&quot;"/>
    <numFmt numFmtId="178" formatCode="0.0\x;\(0.0\x\);&quot;—&quot;"/>
    <numFmt numFmtId="179" formatCode="0.00;\(0.00\);&quot;—&quot;"/>
    <numFmt numFmtId="180" formatCode="0.0;\(0.0\);&quot;—&quot;"/>
    <numFmt numFmtId="181" formatCode="#,##0;&quot;—&quot;;&quot;—&quot;"/>
    <numFmt numFmtId="182" formatCode="&quot;€&quot;#,##0.00"/>
  </numFmts>
  <fonts count="4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Arial Narrow"/>
    </font>
    <font>
      <b/>
      <sz val="11"/>
      <color rgb="FFFFFFFF"/>
      <name val="Arial Narrow"/>
    </font>
    <font>
      <b/>
      <sz val="9"/>
      <color rgb="FFFFFFFF"/>
      <name val="Arial Narrow"/>
    </font>
    <font>
      <sz val="9"/>
      <color theme="1"/>
      <name val="Arial Narrow"/>
    </font>
    <font>
      <b/>
      <sz val="9"/>
      <color rgb="FF132E57"/>
      <name val="Arial Narrow"/>
    </font>
    <font>
      <sz val="9"/>
      <color rgb="FF1A1A2E"/>
      <name val="Arial Narrow"/>
    </font>
    <font>
      <b/>
      <sz val="9"/>
      <color rgb="FFB71C1C"/>
      <name val="Arial Narrow"/>
    </font>
    <font>
      <sz val="9"/>
      <color rgb="FF8BA8C8"/>
      <name val="Arial Narrow"/>
    </font>
    <font>
      <sz val="7.5"/>
      <color rgb="FF8BA8C8"/>
      <name val="Arial Narrow"/>
    </font>
    <font>
      <sz val="9"/>
      <color rgb="FF0D1B2A"/>
      <name val="Arial Narrow"/>
    </font>
    <font>
      <b/>
      <sz val="9"/>
      <color rgb="FF0D1B2A"/>
      <name val="Arial Narrow"/>
    </font>
    <font>
      <sz val="9"/>
      <color rgb="FF0A2342"/>
      <name val="Arial Narrow"/>
    </font>
    <font>
      <b/>
      <sz val="9"/>
      <color rgb="FF0A2342"/>
      <name val="Arial Narrow"/>
    </font>
    <font>
      <b/>
      <sz val="7.5"/>
      <color rgb="FF8BA8C8"/>
      <name val="Arial Narrow"/>
    </font>
    <font>
      <sz val="7.5"/>
      <color rgb="FF5A6478"/>
      <name val="Arial Narrow"/>
    </font>
    <font>
      <b/>
      <sz val="14"/>
      <color rgb="FF0A2342"/>
      <name val="Arial Narrow"/>
    </font>
    <font>
      <sz val="7"/>
      <color rgb="FF5A6478"/>
      <name val="Arial Narrow"/>
    </font>
    <font>
      <sz val="9"/>
      <color rgb="FFFFFFFF"/>
      <name val="Arial Narrow"/>
    </font>
    <font>
      <i/>
      <sz val="7"/>
      <color rgb="FF78909C"/>
      <name val="Arial Narrow"/>
    </font>
    <font>
      <sz val="9"/>
      <color rgb="FFB0BEC5"/>
      <name val="Arial Narrow"/>
    </font>
    <font>
      <b/>
      <sz val="9"/>
      <color theme="1"/>
      <name val="Arial Narrow"/>
    </font>
    <font>
      <b/>
      <sz val="11"/>
      <color rgb="FF0A2342"/>
      <name val="Arial Narrow"/>
    </font>
    <font>
      <b/>
      <sz val="11"/>
      <color rgb="FF64B5F6"/>
      <name val="Arial Narrow"/>
    </font>
    <font>
      <i/>
      <sz val="8"/>
      <color rgb="FF5A6478"/>
      <name val="Arial Narrow"/>
    </font>
    <font>
      <b/>
      <sz val="9"/>
      <color rgb="FF5D4037"/>
      <name val="Arial Narrow"/>
    </font>
    <font>
      <i/>
      <sz val="7.5"/>
      <color rgb="FF5A6478"/>
      <name val="Arial Narrow"/>
    </font>
    <font>
      <sz val="9"/>
      <color rgb="FF1565C0"/>
      <name val="Arial Narrow"/>
    </font>
    <font>
      <sz val="9"/>
      <color rgb="FF2E7D32"/>
      <name val="Arial Narrow"/>
    </font>
    <font>
      <sz val="7"/>
      <color rgb="FFFFFFFF"/>
      <name val="Calibri"/>
      <family val="2"/>
      <scheme val="minor"/>
    </font>
    <font>
      <b/>
      <sz val="7"/>
      <color rgb="FFFFFFFF"/>
      <name val="Arial Narrow"/>
    </font>
    <font>
      <i/>
      <sz val="7.5"/>
      <color rgb="FF8BA8C8"/>
      <name val="Arial Narrow"/>
    </font>
    <font>
      <b/>
      <i/>
      <sz val="9"/>
      <color rgb="FF8BA8C8"/>
      <name val="Arial Narrow"/>
    </font>
    <font>
      <i/>
      <sz val="9"/>
      <color rgb="FF8BA8C8"/>
      <name val="Arial Narrow"/>
    </font>
    <font>
      <sz val="7"/>
      <color theme="0"/>
      <name val="Calibri"/>
      <family val="2"/>
      <scheme val="minor"/>
    </font>
    <font>
      <b/>
      <sz val="11"/>
      <color rgb="FFFFFFFF"/>
      <name val="Arial Narrow"/>
      <family val="2"/>
    </font>
    <font>
      <sz val="7.5"/>
      <color rgb="FF8BA8C8"/>
      <name val="Arial Narrow"/>
      <family val="2"/>
    </font>
    <font>
      <b/>
      <sz val="9"/>
      <color rgb="FFFFFFFF"/>
      <name val="Arial Narrow"/>
      <family val="2"/>
    </font>
    <font>
      <b/>
      <sz val="9"/>
      <color rgb="FF132E57"/>
      <name val="Arial Narrow"/>
      <family val="2"/>
    </font>
    <font>
      <sz val="9"/>
      <color theme="1"/>
      <name val="Arial Narrow"/>
      <family val="2"/>
    </font>
    <font>
      <sz val="9"/>
      <color rgb="FF0D1B2A"/>
      <name val="Arial Narrow"/>
      <family val="2"/>
    </font>
    <font>
      <b/>
      <sz val="9"/>
      <color rgb="FF0A2342"/>
      <name val="Arial Narrow"/>
      <family val="2"/>
    </font>
    <font>
      <i/>
      <sz val="7.5"/>
      <color rgb="FF8BA8C8"/>
      <name val="Arial Narrow"/>
      <family val="2"/>
    </font>
    <font>
      <sz val="9"/>
      <color rgb="FF1A1A2E"/>
      <name val="Arial Narrow"/>
      <family val="2"/>
    </font>
    <font>
      <sz val="9"/>
      <color rgb="FF1A6B3A"/>
      <name val="Arial Narrow"/>
      <family val="2"/>
    </font>
    <font>
      <sz val="9"/>
      <color rgb="FFB0BEC5"/>
      <name val="Arial Narrow"/>
      <family val="2"/>
    </font>
  </fonts>
  <fills count="24">
    <fill>
      <patternFill patternType="none"/>
    </fill>
    <fill>
      <patternFill patternType="gray125"/>
    </fill>
    <fill>
      <patternFill patternType="solid">
        <fgColor rgb="FF0A2342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1B3A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5FB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E4EBF5"/>
        <bgColor indexed="64"/>
      </patternFill>
    </fill>
    <fill>
      <patternFill patternType="solid">
        <fgColor rgb="FF0D2137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C5D8F0"/>
        <bgColor indexed="64"/>
      </patternFill>
    </fill>
    <fill>
      <patternFill patternType="solid">
        <fgColor rgb="FFEEF1F6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BF2FF"/>
        <bgColor indexed="64"/>
      </patternFill>
    </fill>
    <fill>
      <patternFill patternType="solid">
        <fgColor rgb="FFF4F8F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F0F7F0"/>
        <bgColor indexed="64"/>
      </patternFill>
    </fill>
    <fill>
      <patternFill patternType="solid">
        <fgColor rgb="FFF8FAFF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rgb="FF2A5F9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A5F9E"/>
      </bottom>
      <diagonal/>
    </border>
    <border>
      <left/>
      <right/>
      <top style="hair">
        <color rgb="FFC5D3E8"/>
      </top>
      <bottom style="hair">
        <color rgb="FFC5D3E8"/>
      </bottom>
      <diagonal/>
    </border>
    <border>
      <left style="thin">
        <color rgb="FFCCCCCC"/>
      </left>
      <right style="thin">
        <color rgb="FFCCCCCC"/>
      </right>
      <top style="hair">
        <color rgb="FFC5D3E8"/>
      </top>
      <bottom style="hair">
        <color rgb="FFC5D3E8"/>
      </bottom>
      <diagonal/>
    </border>
    <border>
      <left/>
      <right/>
      <top style="hair">
        <color rgb="FFC5D3E8"/>
      </top>
      <bottom/>
      <diagonal/>
    </border>
    <border>
      <left style="thin">
        <color rgb="FFCCCCCC"/>
      </left>
      <right style="thin">
        <color rgb="FFCCCCCC"/>
      </right>
      <top style="hair">
        <color rgb="FFC5D3E8"/>
      </top>
      <bottom/>
      <diagonal/>
    </border>
    <border>
      <left style="medium">
        <color rgb="FF2A5F9E"/>
      </left>
      <right/>
      <top/>
      <bottom/>
      <diagonal/>
    </border>
    <border>
      <left style="medium">
        <color rgb="FF2A5F9E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A5F9E"/>
      </left>
      <right style="thin">
        <color rgb="FFCCCCCC"/>
      </right>
      <top style="thin">
        <color rgb="FFCCCCCC"/>
      </top>
      <bottom style="medium">
        <color rgb="FF2A5F9E"/>
      </bottom>
      <diagonal/>
    </border>
    <border>
      <left style="medium">
        <color rgb="FF2A5F9E"/>
      </left>
      <right style="thin">
        <color rgb="FFCCCCCC"/>
      </right>
      <top style="thin">
        <color rgb="FFCCCCCC"/>
      </top>
      <bottom/>
      <diagonal/>
    </border>
    <border>
      <left style="medium">
        <color rgb="FF2A5F9E"/>
      </left>
      <right style="thin">
        <color rgb="FFCCCCCC"/>
      </right>
      <top style="hair">
        <color rgb="FFC5D3E8"/>
      </top>
      <bottom/>
      <diagonal/>
    </border>
    <border>
      <left style="medium">
        <color rgb="FF2A5F9E"/>
      </left>
      <right style="thin">
        <color rgb="FFCCCCCC"/>
      </right>
      <top style="hair">
        <color rgb="FFC5D3E8"/>
      </top>
      <bottom style="hair">
        <color rgb="FFC5D3E8"/>
      </bottom>
      <diagonal/>
    </border>
    <border>
      <left/>
      <right/>
      <top style="medium">
        <color rgb="FF2A5F9E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2A5F9E"/>
      </left>
      <right style="thin">
        <color rgb="FFCCCCCC"/>
      </right>
      <top/>
      <bottom/>
      <diagonal/>
    </border>
    <border>
      <left/>
      <right/>
      <top style="thin">
        <color rgb="FF2A5F9E"/>
      </top>
      <bottom/>
      <diagonal/>
    </border>
    <border>
      <left style="medium">
        <color rgb="FF2A5F9E"/>
      </left>
      <right style="thin">
        <color rgb="FFCCCCCC"/>
      </right>
      <top style="thin">
        <color rgb="FF2A5F9E"/>
      </top>
      <bottom/>
      <diagonal/>
    </border>
    <border>
      <left style="thin">
        <color rgb="FFCCCCCC"/>
      </left>
      <right style="thin">
        <color rgb="FFCCCCCC"/>
      </right>
      <top style="thin">
        <color rgb="FF2A5F9E"/>
      </top>
      <bottom/>
      <diagonal/>
    </border>
    <border>
      <left/>
      <right/>
      <top style="thin">
        <color rgb="FF2A5F9E"/>
      </top>
      <bottom style="medium">
        <color rgb="FF2A5F9E"/>
      </bottom>
      <diagonal/>
    </border>
    <border>
      <left style="medium">
        <color rgb="FF2A5F9E"/>
      </left>
      <right style="thin">
        <color rgb="FFCCCCCC"/>
      </right>
      <top style="thin">
        <color rgb="FF2A5F9E"/>
      </top>
      <bottom style="medium">
        <color rgb="FF2A5F9E"/>
      </bottom>
      <diagonal/>
    </border>
    <border>
      <left style="thin">
        <color rgb="FFCCCCCC"/>
      </left>
      <right style="thin">
        <color rgb="FFCCCCCC"/>
      </right>
      <top style="thin">
        <color rgb="FF2A5F9E"/>
      </top>
      <bottom style="medium">
        <color rgb="FF2A5F9E"/>
      </bottom>
      <diagonal/>
    </border>
    <border>
      <left style="medium">
        <color rgb="FF2A5F9E"/>
      </left>
      <right style="thin">
        <color rgb="FFCCCCCC"/>
      </right>
      <top style="medium">
        <color rgb="FF2A5F9E"/>
      </top>
      <bottom/>
      <diagonal/>
    </border>
    <border>
      <left style="thin">
        <color rgb="FFCCCCCC"/>
      </left>
      <right style="thin">
        <color rgb="FFCCCCCC"/>
      </right>
      <top style="medium">
        <color rgb="FF2A5F9E"/>
      </top>
      <bottom/>
      <diagonal/>
    </border>
    <border>
      <left style="thin">
        <color rgb="FFC5D3E8"/>
      </left>
      <right/>
      <top/>
      <bottom/>
      <diagonal/>
    </border>
    <border>
      <left style="medium">
        <color rgb="FF2A5F9E"/>
      </left>
      <right/>
      <top/>
      <bottom style="medium">
        <color rgb="FF2A5F9E"/>
      </bottom>
      <diagonal/>
    </border>
    <border>
      <left style="medium">
        <color rgb="FF2A5F9E"/>
      </left>
      <right/>
      <top style="thin">
        <color rgb="FF2A5F9E"/>
      </top>
      <bottom/>
      <diagonal/>
    </border>
    <border>
      <left style="thin">
        <color rgb="FFC5D3E8"/>
      </left>
      <right/>
      <top style="thin">
        <color rgb="FF2A5F9E"/>
      </top>
      <bottom/>
      <diagonal/>
    </border>
    <border>
      <left style="medium">
        <color rgb="FF2A5F9E"/>
      </left>
      <right/>
      <top style="medium">
        <color rgb="FF2A5F9E"/>
      </top>
      <bottom/>
      <diagonal/>
    </border>
    <border>
      <left style="thin">
        <color rgb="FFC5D3E8"/>
      </left>
      <right/>
      <top style="medium">
        <color rgb="FF2A5F9E"/>
      </top>
      <bottom/>
      <diagonal/>
    </border>
    <border>
      <left style="thin">
        <color rgb="FFCCCCCC"/>
      </left>
      <right/>
      <top style="thin">
        <color rgb="FF2A5F9E"/>
      </top>
      <bottom/>
      <diagonal/>
    </border>
    <border>
      <left style="thin">
        <color rgb="FFCCCCCC"/>
      </left>
      <right/>
      <top style="hair">
        <color rgb="FFC5D3E8"/>
      </top>
      <bottom/>
      <diagonal/>
    </border>
    <border>
      <left/>
      <right style="thin">
        <color rgb="FFC5D3E8"/>
      </right>
      <top/>
      <bottom/>
      <diagonal/>
    </border>
    <border>
      <left style="thin">
        <color rgb="FFC5D3E8"/>
      </left>
      <right style="thin">
        <color rgb="FFC5D3E8"/>
      </right>
      <top style="medium">
        <color rgb="FF2A5F9E"/>
      </top>
      <bottom/>
      <diagonal/>
    </border>
    <border>
      <left style="thin">
        <color rgb="FFC5D3E8"/>
      </left>
      <right style="thin">
        <color rgb="FFC5D3E8"/>
      </right>
      <top/>
      <bottom/>
      <diagonal/>
    </border>
    <border>
      <left style="thin">
        <color rgb="FFCCCCCC"/>
      </left>
      <right style="thin">
        <color rgb="FFC5D3E8"/>
      </right>
      <top style="thin">
        <color rgb="FF2A5F9E"/>
      </top>
      <bottom/>
      <diagonal/>
    </border>
    <border>
      <left style="thin">
        <color rgb="FFCCCCCC"/>
      </left>
      <right style="thin">
        <color rgb="FFC5D3E8"/>
      </right>
      <top style="hair">
        <color rgb="FFC5D3E8"/>
      </top>
      <bottom/>
      <diagonal/>
    </border>
    <border>
      <left/>
      <right style="thin">
        <color rgb="FFC5D3E8"/>
      </right>
      <top style="hair">
        <color rgb="FFC5D3E8"/>
      </top>
      <bottom/>
      <diagonal/>
    </border>
    <border>
      <left/>
      <right style="thin">
        <color rgb="FFC5D3E8"/>
      </right>
      <top/>
      <bottom style="medium">
        <color rgb="FF2A5F9E"/>
      </bottom>
      <diagonal/>
    </border>
    <border>
      <left/>
      <right style="thin">
        <color rgb="FFC5D3E8"/>
      </right>
      <top style="thin">
        <color rgb="FF2A5F9E"/>
      </top>
      <bottom style="medium">
        <color rgb="FF2A5F9E"/>
      </bottom>
      <diagonal/>
    </border>
    <border>
      <left/>
      <right/>
      <top style="medium">
        <color rgb="FF0A2342"/>
      </top>
      <bottom style="medium">
        <color rgb="FF2A5F9E"/>
      </bottom>
      <diagonal/>
    </border>
    <border>
      <left style="medium">
        <color rgb="FF2A5F9E"/>
      </left>
      <right style="thin">
        <color rgb="FFCCCCCC"/>
      </right>
      <top style="medium">
        <color rgb="FF0A2342"/>
      </top>
      <bottom style="medium">
        <color rgb="FF2A5F9E"/>
      </bottom>
      <diagonal/>
    </border>
    <border>
      <left style="thin">
        <color rgb="FFCCCCCC"/>
      </left>
      <right style="thin">
        <color rgb="FFCCCCCC"/>
      </right>
      <top style="medium">
        <color rgb="FF0A2342"/>
      </top>
      <bottom style="medium">
        <color rgb="FF2A5F9E"/>
      </bottom>
      <diagonal/>
    </border>
    <border>
      <left style="thin">
        <color rgb="FFCCCCCC"/>
      </left>
      <right/>
      <top style="medium">
        <color rgb="FF0A2342"/>
      </top>
      <bottom style="medium">
        <color rgb="FF2A5F9E"/>
      </bottom>
      <diagonal/>
    </border>
    <border>
      <left style="thin">
        <color rgb="FFCCCCCC"/>
      </left>
      <right style="thin">
        <color rgb="FFC5D3E8"/>
      </right>
      <top style="medium">
        <color rgb="FF0A2342"/>
      </top>
      <bottom style="medium">
        <color rgb="FF2A5F9E"/>
      </bottom>
      <diagonal/>
    </border>
    <border>
      <left/>
      <right style="thin">
        <color rgb="FFC5D3E8"/>
      </right>
      <top style="hair">
        <color rgb="FFC5D3E8"/>
      </top>
      <bottom style="hair">
        <color rgb="FFC5D3E8"/>
      </bottom>
      <diagonal/>
    </border>
    <border>
      <left style="medium">
        <color rgb="FF2A5F9E"/>
      </left>
      <right/>
      <top style="hair">
        <color rgb="FFC5D3E8"/>
      </top>
      <bottom style="hair">
        <color rgb="FFC5D3E8"/>
      </bottom>
      <diagonal/>
    </border>
    <border>
      <left style="medium">
        <color rgb="FF2A5F9E"/>
      </left>
      <right/>
      <top style="hair">
        <color rgb="FFC5D3E8"/>
      </top>
      <bottom/>
      <diagonal/>
    </border>
    <border>
      <left style="medium">
        <color rgb="FF2A5F9E"/>
      </left>
      <right/>
      <top style="thin">
        <color rgb="FF2A5F9E"/>
      </top>
      <bottom style="medium">
        <color rgb="FF2A5F9E"/>
      </bottom>
      <diagonal/>
    </border>
    <border>
      <left style="medium">
        <color rgb="FFF57F17"/>
      </left>
      <right style="medium">
        <color rgb="FFF57F17"/>
      </right>
      <top style="medium">
        <color rgb="FFF57F17"/>
      </top>
      <bottom/>
      <diagonal/>
    </border>
    <border>
      <left/>
      <right style="thin">
        <color rgb="FFC5D3E8"/>
      </right>
      <top style="medium">
        <color rgb="FF2A5F9E"/>
      </top>
      <bottom/>
      <diagonal/>
    </border>
    <border>
      <left/>
      <right/>
      <top style="hair">
        <color rgb="FFC5D3E8"/>
      </top>
      <bottom style="medium">
        <color rgb="FF90A4AE"/>
      </bottom>
      <diagonal/>
    </border>
    <border>
      <left/>
      <right/>
      <top style="medium">
        <color rgb="FF90A4AE"/>
      </top>
      <bottom/>
      <diagonal/>
    </border>
    <border>
      <left style="medium">
        <color rgb="FF2A5F9E"/>
      </left>
      <right/>
      <top style="medium">
        <color rgb="FF90A4AE"/>
      </top>
      <bottom/>
      <diagonal/>
    </border>
    <border>
      <left style="medium">
        <color rgb="FF2A5F9E"/>
      </left>
      <right/>
      <top style="hair">
        <color rgb="FFC5D3E8"/>
      </top>
      <bottom style="medium">
        <color rgb="FF90A4AE"/>
      </bottom>
      <diagonal/>
    </border>
    <border>
      <left style="medium">
        <color rgb="FF2A5F9E"/>
      </left>
      <right/>
      <top style="thin">
        <color rgb="FFC5D3E8"/>
      </top>
      <bottom/>
      <diagonal/>
    </border>
    <border>
      <left/>
      <right/>
      <top style="thin">
        <color rgb="FFC5D3E8"/>
      </top>
      <bottom/>
      <diagonal/>
    </border>
    <border>
      <left/>
      <right style="thin">
        <color rgb="FFC5D3E8"/>
      </right>
      <top style="thin">
        <color rgb="FFC5D3E8"/>
      </top>
      <bottom/>
      <diagonal/>
    </border>
    <border>
      <left/>
      <right style="thin">
        <color rgb="FFC5D3E8"/>
      </right>
      <top style="thin">
        <color rgb="FF2A5F9E"/>
      </top>
      <bottom/>
      <diagonal/>
    </border>
    <border>
      <left style="medium">
        <color rgb="FF2A5F9E"/>
      </left>
      <right/>
      <top style="thin">
        <color rgb="FFC5D3E8"/>
      </top>
      <bottom style="thin">
        <color rgb="FFC5D3E8"/>
      </bottom>
      <diagonal/>
    </border>
    <border>
      <left/>
      <right/>
      <top style="thin">
        <color rgb="FFC5D3E8"/>
      </top>
      <bottom style="thin">
        <color rgb="FFC5D3E8"/>
      </bottom>
      <diagonal/>
    </border>
    <border>
      <left style="medium">
        <color rgb="FF2A5F9E"/>
      </left>
      <right/>
      <top style="thin">
        <color rgb="FFC5D3E8"/>
      </top>
      <bottom style="medium">
        <color rgb="FF2A5F9E"/>
      </bottom>
      <diagonal/>
    </border>
    <border>
      <left/>
      <right/>
      <top style="thin">
        <color rgb="FFC5D3E8"/>
      </top>
      <bottom style="medium">
        <color rgb="FF2A5F9E"/>
      </bottom>
      <diagonal/>
    </border>
    <border>
      <left/>
      <right style="thin">
        <color rgb="FFC5D3E8"/>
      </right>
      <top style="thin">
        <color rgb="FFC5D3E8"/>
      </top>
      <bottom style="medium">
        <color rgb="FF2A5F9E"/>
      </bottom>
      <diagonal/>
    </border>
    <border>
      <left style="medium">
        <color rgb="FF2A5F9E"/>
      </left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2A5F9E"/>
      </bottom>
      <diagonal/>
    </border>
    <border>
      <left/>
      <right style="thin">
        <color rgb="FFC5D3E8"/>
      </right>
      <top style="thin">
        <color rgb="FFCCCCCC"/>
      </top>
      <bottom style="thin">
        <color rgb="FF2A5F9E"/>
      </bottom>
      <diagonal/>
    </border>
    <border>
      <left/>
      <right style="thin">
        <color rgb="FFC5D3E8"/>
      </right>
      <top style="thin">
        <color rgb="FFCCCCCC"/>
      </top>
      <bottom/>
      <diagonal/>
    </border>
    <border>
      <left style="medium">
        <color rgb="FF2A5F9E"/>
      </left>
      <right style="thin">
        <color rgb="FFCCCCCC"/>
      </right>
      <top style="thin">
        <color rgb="FFC5D3E8"/>
      </top>
      <bottom style="thin">
        <color rgb="FFC5D3E8"/>
      </bottom>
      <diagonal/>
    </border>
    <border>
      <left/>
      <right style="thin">
        <color rgb="FFCCCCCC"/>
      </right>
      <top style="thin">
        <color rgb="FFC5D3E8"/>
      </top>
      <bottom style="thin">
        <color rgb="FFC5D3E8"/>
      </bottom>
      <diagonal/>
    </border>
    <border>
      <left style="medium">
        <color rgb="FF2A5F9E"/>
      </left>
      <right style="thin">
        <color rgb="FFCCCCCC"/>
      </right>
      <top style="thin">
        <color rgb="FFC5D3E8"/>
      </top>
      <bottom/>
      <diagonal/>
    </border>
    <border>
      <left style="thin">
        <color rgb="FFCCCCCC"/>
      </left>
      <right style="thin">
        <color rgb="FFC5D3E8"/>
      </right>
      <top style="thin">
        <color rgb="FFC5D3E8"/>
      </top>
      <bottom style="thin">
        <color rgb="FFC5D3E8"/>
      </bottom>
      <diagonal/>
    </border>
    <border>
      <left style="thin">
        <color rgb="FFCCCCCC"/>
      </left>
      <right style="thin">
        <color rgb="FFC5D3E8"/>
      </right>
      <top style="thin">
        <color rgb="FFC5D3E8"/>
      </top>
      <bottom/>
      <diagonal/>
    </border>
    <border>
      <left style="thin">
        <color rgb="FFC5D3E8"/>
      </left>
      <right/>
      <top style="thin">
        <color rgb="FFC5D3E8"/>
      </top>
      <bottom/>
      <diagonal/>
    </border>
    <border>
      <left style="thin">
        <color rgb="FFC5D3E8"/>
      </left>
      <right style="thin">
        <color rgb="FFC5D3E8"/>
      </right>
      <top style="thin">
        <color rgb="FF2A5F9E"/>
      </top>
      <bottom/>
      <diagonal/>
    </border>
    <border>
      <left style="thin">
        <color rgb="FFC5D3E8"/>
      </left>
      <right style="thin">
        <color rgb="FFC5D3E8"/>
      </right>
      <top style="thin">
        <color rgb="FFC5D3E8"/>
      </top>
      <bottom/>
      <diagonal/>
    </border>
    <border>
      <left style="thin">
        <color rgb="FFC5D3E8"/>
      </left>
      <right/>
      <top style="thin">
        <color rgb="FFC5D3E8"/>
      </top>
      <bottom style="medium">
        <color rgb="FF2A5F9E"/>
      </bottom>
      <diagonal/>
    </border>
    <border>
      <left style="thin">
        <color rgb="FFC5D3E8"/>
      </left>
      <right style="thin">
        <color rgb="FFC5D3E8"/>
      </right>
      <top style="thin">
        <color rgb="FFC5D3E8"/>
      </top>
      <bottom style="medium">
        <color rgb="FF2A5F9E"/>
      </bottom>
      <diagonal/>
    </border>
  </borders>
  <cellStyleXfs count="1">
    <xf numFmtId="0" fontId="0" fillId="0" borderId="0"/>
  </cellStyleXfs>
  <cellXfs count="424">
    <xf numFmtId="0" fontId="0" fillId="0" borderId="0" xfId="0"/>
    <xf numFmtId="0" fontId="0" fillId="6" borderId="0" xfId="0" applyFill="1"/>
    <xf numFmtId="0" fontId="0" fillId="6" borderId="10" xfId="0" applyFill="1" applyBorder="1"/>
    <xf numFmtId="0" fontId="4" fillId="2" borderId="0" xfId="0" applyFont="1" applyFill="1" applyAlignment="1">
      <alignment vertical="center"/>
    </xf>
    <xf numFmtId="0" fontId="4" fillId="2" borderId="10" xfId="0" applyFont="1" applyFill="1" applyBorder="1" applyAlignment="1">
      <alignment vertical="center"/>
    </xf>
    <xf numFmtId="0" fontId="5" fillId="0" borderId="0" xfId="0" applyFont="1"/>
    <xf numFmtId="0" fontId="5" fillId="0" borderId="10" xfId="0" applyFont="1" applyBorder="1"/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left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6" xfId="0" applyNumberFormat="1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left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8" xfId="0" applyNumberFormat="1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left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8" xfId="0" applyNumberFormat="1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6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left" vertical="center" wrapText="1"/>
    </xf>
    <xf numFmtId="0" fontId="5" fillId="6" borderId="0" xfId="0" applyFont="1" applyFill="1"/>
    <xf numFmtId="0" fontId="5" fillId="6" borderId="10" xfId="0" applyFont="1" applyFill="1" applyBorder="1"/>
    <xf numFmtId="0" fontId="5" fillId="6" borderId="0" xfId="0" applyNumberFormat="1" applyFont="1" applyFill="1"/>
    <xf numFmtId="0" fontId="5" fillId="0" borderId="0" xfId="0" applyNumberFormat="1" applyFont="1"/>
    <xf numFmtId="0" fontId="4" fillId="6" borderId="1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10" fillId="4" borderId="0" xfId="0" applyFont="1" applyFill="1"/>
    <xf numFmtId="0" fontId="10" fillId="4" borderId="0" xfId="0" applyFont="1" applyFill="1" applyAlignment="1">
      <alignment horizontal="left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1" fillId="6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left" vertical="center" indent="1"/>
    </xf>
    <xf numFmtId="0" fontId="11" fillId="8" borderId="0" xfId="0" applyFont="1" applyFill="1" applyBorder="1" applyAlignment="1">
      <alignment vertical="center"/>
    </xf>
    <xf numFmtId="0" fontId="11" fillId="8" borderId="6" xfId="0" applyFont="1" applyFill="1" applyBorder="1" applyAlignment="1">
      <alignment vertical="center"/>
    </xf>
    <xf numFmtId="0" fontId="11" fillId="8" borderId="15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vertical="center"/>
    </xf>
    <xf numFmtId="0" fontId="11" fillId="6" borderId="20" xfId="0" applyFont="1" applyFill="1" applyBorder="1" applyAlignment="1">
      <alignment horizontal="left" vertical="center"/>
    </xf>
    <xf numFmtId="0" fontId="11" fillId="6" borderId="21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vertical="center"/>
    </xf>
    <xf numFmtId="0" fontId="11" fillId="6" borderId="15" xfId="0" applyFont="1" applyFill="1" applyBorder="1" applyAlignment="1">
      <alignment horizontal="left" vertical="center"/>
    </xf>
    <xf numFmtId="0" fontId="11" fillId="8" borderId="8" xfId="0" applyFont="1" applyFill="1" applyBorder="1" applyAlignment="1">
      <alignment vertical="center"/>
    </xf>
    <xf numFmtId="0" fontId="11" fillId="8" borderId="14" xfId="0" applyFont="1" applyFill="1" applyBorder="1" applyAlignment="1">
      <alignment horizontal="left" vertical="center"/>
    </xf>
    <xf numFmtId="0" fontId="11" fillId="6" borderId="8" xfId="0" applyFont="1" applyFill="1" applyBorder="1" applyAlignment="1">
      <alignment vertical="center"/>
    </xf>
    <xf numFmtId="0" fontId="11" fillId="6" borderId="14" xfId="0" applyFont="1" applyFill="1" applyBorder="1" applyAlignment="1">
      <alignment horizontal="left" vertical="center"/>
    </xf>
    <xf numFmtId="173" fontId="4" fillId="5" borderId="0" xfId="0" applyNumberFormat="1" applyFont="1" applyFill="1" applyBorder="1" applyAlignment="1">
      <alignment horizontal="left" vertical="center"/>
    </xf>
    <xf numFmtId="173" fontId="11" fillId="6" borderId="21" xfId="0" applyNumberFormat="1" applyFont="1" applyFill="1" applyBorder="1" applyAlignment="1">
      <alignment horizontal="center" vertical="center"/>
    </xf>
    <xf numFmtId="173" fontId="11" fillId="8" borderId="9" xfId="0" applyNumberFormat="1" applyFont="1" applyFill="1" applyBorder="1" applyAlignment="1">
      <alignment horizontal="center" vertical="center"/>
    </xf>
    <xf numFmtId="173" fontId="11" fillId="6" borderId="9" xfId="0" applyNumberFormat="1" applyFont="1" applyFill="1" applyBorder="1" applyAlignment="1">
      <alignment horizontal="center" vertical="center"/>
    </xf>
    <xf numFmtId="173" fontId="5" fillId="6" borderId="0" xfId="0" applyNumberFormat="1" applyFont="1" applyFill="1"/>
    <xf numFmtId="173" fontId="11" fillId="6" borderId="7" xfId="0" applyNumberFormat="1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left" vertical="center" indent="1"/>
    </xf>
    <xf numFmtId="0" fontId="11" fillId="8" borderId="14" xfId="0" applyFont="1" applyFill="1" applyBorder="1" applyAlignment="1">
      <alignment horizontal="left" vertical="center" indent="1"/>
    </xf>
    <xf numFmtId="0" fontId="11" fillId="6" borderId="14" xfId="0" applyFont="1" applyFill="1" applyBorder="1" applyAlignment="1">
      <alignment horizontal="left" vertical="center" indent="1"/>
    </xf>
    <xf numFmtId="0" fontId="14" fillId="9" borderId="22" xfId="0" applyFont="1" applyFill="1" applyBorder="1" applyAlignment="1">
      <alignment vertical="center"/>
    </xf>
    <xf numFmtId="0" fontId="14" fillId="9" borderId="23" xfId="0" applyFont="1" applyFill="1" applyBorder="1" applyAlignment="1">
      <alignment horizontal="left" vertical="center"/>
    </xf>
    <xf numFmtId="0" fontId="14" fillId="9" borderId="19" xfId="0" applyFont="1" applyFill="1" applyBorder="1" applyAlignment="1">
      <alignment vertical="center"/>
    </xf>
    <xf numFmtId="0" fontId="14" fillId="9" borderId="20" xfId="0" applyFont="1" applyFill="1" applyBorder="1" applyAlignment="1">
      <alignment horizontal="left" vertical="center"/>
    </xf>
    <xf numFmtId="0" fontId="11" fillId="6" borderId="16" xfId="0" applyFont="1" applyFill="1" applyBorder="1" applyAlignment="1">
      <alignment vertical="center"/>
    </xf>
    <xf numFmtId="0" fontId="11" fillId="6" borderId="25" xfId="0" applyFont="1" applyFill="1" applyBorder="1" applyAlignment="1">
      <alignment horizontal="left" vertical="center"/>
    </xf>
    <xf numFmtId="0" fontId="11" fillId="8" borderId="16" xfId="0" applyFont="1" applyFill="1" applyBorder="1" applyAlignment="1">
      <alignment vertical="center"/>
    </xf>
    <xf numFmtId="0" fontId="11" fillId="8" borderId="25" xfId="0" applyFont="1" applyFill="1" applyBorder="1" applyAlignment="1">
      <alignment horizontal="left" vertical="center"/>
    </xf>
    <xf numFmtId="173" fontId="11" fillId="8" borderId="26" xfId="0" applyNumberFormat="1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vertical="center"/>
    </xf>
    <xf numFmtId="0" fontId="12" fillId="6" borderId="14" xfId="0" applyFont="1" applyFill="1" applyBorder="1" applyAlignment="1">
      <alignment horizontal="left" vertical="center"/>
    </xf>
    <xf numFmtId="0" fontId="12" fillId="8" borderId="8" xfId="0" applyFont="1" applyFill="1" applyBorder="1" applyAlignment="1">
      <alignment vertical="center"/>
    </xf>
    <xf numFmtId="0" fontId="12" fillId="8" borderId="14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vertical="center"/>
    </xf>
    <xf numFmtId="0" fontId="4" fillId="5" borderId="14" xfId="0" applyFont="1" applyFill="1" applyBorder="1" applyAlignment="1">
      <alignment horizontal="left" vertical="center" indent="1"/>
    </xf>
    <xf numFmtId="0" fontId="12" fillId="6" borderId="19" xfId="0" applyFont="1" applyFill="1" applyBorder="1" applyAlignment="1">
      <alignment vertical="center"/>
    </xf>
    <xf numFmtId="0" fontId="12" fillId="6" borderId="20" xfId="0" applyFont="1" applyFill="1" applyBorder="1" applyAlignment="1">
      <alignment horizontal="left" vertical="center"/>
    </xf>
    <xf numFmtId="173" fontId="4" fillId="5" borderId="0" xfId="0" applyNumberFormat="1" applyFont="1" applyFill="1" applyBorder="1" applyAlignment="1">
      <alignment horizontal="center" vertical="center"/>
    </xf>
    <xf numFmtId="173" fontId="4" fillId="5" borderId="8" xfId="0" applyNumberFormat="1" applyFont="1" applyFill="1" applyBorder="1" applyAlignment="1">
      <alignment horizontal="center" vertical="center"/>
    </xf>
    <xf numFmtId="173" fontId="5" fillId="6" borderId="0" xfId="0" applyNumberFormat="1" applyFont="1" applyFill="1" applyAlignment="1">
      <alignment horizontal="center"/>
    </xf>
    <xf numFmtId="0" fontId="10" fillId="10" borderId="0" xfId="0" applyFont="1" applyFill="1" applyAlignment="1">
      <alignment vertical="center"/>
    </xf>
    <xf numFmtId="0" fontId="15" fillId="10" borderId="10" xfId="0" applyFont="1" applyFill="1" applyBorder="1" applyAlignment="1">
      <alignment vertical="center"/>
    </xf>
    <xf numFmtId="0" fontId="17" fillId="11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top"/>
    </xf>
    <xf numFmtId="0" fontId="17" fillId="8" borderId="0" xfId="0" applyFont="1" applyFill="1" applyAlignment="1">
      <alignment horizontal="center" vertical="center"/>
    </xf>
    <xf numFmtId="0" fontId="16" fillId="8" borderId="31" xfId="0" applyFont="1" applyFill="1" applyBorder="1" applyAlignment="1">
      <alignment horizontal="center"/>
    </xf>
    <xf numFmtId="0" fontId="16" fillId="8" borderId="3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176" fontId="17" fillId="6" borderId="27" xfId="0" applyNumberFormat="1" applyFont="1" applyFill="1" applyBorder="1" applyAlignment="1">
      <alignment horizontal="center" vertical="center"/>
    </xf>
    <xf numFmtId="176" fontId="17" fillId="8" borderId="27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5" fillId="6" borderId="16" xfId="0" applyFont="1" applyFill="1" applyBorder="1"/>
    <xf numFmtId="173" fontId="11" fillId="6" borderId="33" xfId="0" applyNumberFormat="1" applyFont="1" applyFill="1" applyBorder="1" applyAlignment="1">
      <alignment horizontal="center" vertical="center"/>
    </xf>
    <xf numFmtId="173" fontId="11" fillId="8" borderId="34" xfId="0" applyNumberFormat="1" applyFont="1" applyFill="1" applyBorder="1" applyAlignment="1">
      <alignment horizontal="center" vertical="center"/>
    </xf>
    <xf numFmtId="0" fontId="10" fillId="10" borderId="35" xfId="0" applyFont="1" applyFill="1" applyBorder="1" applyAlignment="1">
      <alignment vertical="center"/>
    </xf>
    <xf numFmtId="0" fontId="16" fillId="8" borderId="36" xfId="0" applyFont="1" applyFill="1" applyBorder="1" applyAlignment="1">
      <alignment horizontal="center"/>
    </xf>
    <xf numFmtId="0" fontId="4" fillId="4" borderId="35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/>
    </xf>
    <xf numFmtId="174" fontId="20" fillId="6" borderId="10" xfId="0" applyNumberFormat="1" applyFont="1" applyFill="1" applyBorder="1" applyAlignment="1">
      <alignment horizontal="center" vertical="top"/>
    </xf>
    <xf numFmtId="175" fontId="20" fillId="6" borderId="27" xfId="0" applyNumberFormat="1" applyFont="1" applyFill="1" applyBorder="1" applyAlignment="1">
      <alignment horizontal="center" vertical="top"/>
    </xf>
    <xf numFmtId="176" fontId="20" fillId="6" borderId="27" xfId="0" applyNumberFormat="1" applyFont="1" applyFill="1" applyBorder="1" applyAlignment="1">
      <alignment horizontal="center" vertical="top"/>
    </xf>
    <xf numFmtId="175" fontId="20" fillId="6" borderId="37" xfId="0" applyNumberFormat="1" applyFont="1" applyFill="1" applyBorder="1" applyAlignment="1">
      <alignment horizontal="center" vertical="top"/>
    </xf>
    <xf numFmtId="0" fontId="4" fillId="6" borderId="0" xfId="0" applyFont="1" applyFill="1" applyBorder="1" applyAlignment="1">
      <alignment vertical="center"/>
    </xf>
    <xf numFmtId="0" fontId="4" fillId="6" borderId="13" xfId="0" applyFont="1" applyFill="1" applyBorder="1" applyAlignment="1">
      <alignment horizontal="left" vertical="center" indent="1"/>
    </xf>
    <xf numFmtId="173" fontId="4" fillId="6" borderId="0" xfId="0" applyNumberFormat="1" applyFont="1" applyFill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18" fillId="6" borderId="0" xfId="0" applyFont="1" applyFill="1" applyBorder="1" applyAlignment="1">
      <alignment horizontal="center" vertical="top"/>
    </xf>
    <xf numFmtId="0" fontId="20" fillId="8" borderId="10" xfId="0" applyFont="1" applyFill="1" applyBorder="1" applyAlignment="1">
      <alignment horizontal="center" vertical="top"/>
    </xf>
    <xf numFmtId="0" fontId="20" fillId="8" borderId="27" xfId="0" applyFont="1" applyFill="1" applyBorder="1" applyAlignment="1">
      <alignment horizontal="center" vertical="top"/>
    </xf>
    <xf numFmtId="0" fontId="20" fillId="8" borderId="37" xfId="0" applyFont="1" applyFill="1" applyBorder="1" applyAlignment="1">
      <alignment horizontal="center" vertical="top"/>
    </xf>
    <xf numFmtId="0" fontId="6" fillId="3" borderId="43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left" vertical="center" wrapText="1"/>
    </xf>
    <xf numFmtId="0" fontId="6" fillId="3" borderId="47" xfId="0" applyFont="1" applyFill="1" applyBorder="1" applyAlignment="1">
      <alignment horizontal="center" vertical="center" wrapText="1"/>
    </xf>
    <xf numFmtId="49" fontId="11" fillId="6" borderId="39" xfId="0" applyNumberFormat="1" applyFont="1" applyFill="1" applyBorder="1" applyAlignment="1">
      <alignment horizontal="center" vertical="center"/>
    </xf>
    <xf numFmtId="49" fontId="19" fillId="5" borderId="4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/>
    <xf numFmtId="49" fontId="11" fillId="6" borderId="21" xfId="0" applyNumberFormat="1" applyFont="1" applyFill="1" applyBorder="1" applyAlignment="1">
      <alignment horizontal="center" vertical="center"/>
    </xf>
    <xf numFmtId="49" fontId="11" fillId="8" borderId="9" xfId="0" applyNumberFormat="1" applyFont="1" applyFill="1" applyBorder="1" applyAlignment="1">
      <alignment horizontal="center" vertical="center"/>
    </xf>
    <xf numFmtId="49" fontId="11" fillId="6" borderId="9" xfId="0" applyNumberFormat="1" applyFont="1" applyFill="1" applyBorder="1" applyAlignment="1">
      <alignment horizontal="center" vertical="center"/>
    </xf>
    <xf numFmtId="49" fontId="11" fillId="8" borderId="7" xfId="0" applyNumberFormat="1" applyFont="1" applyFill="1" applyBorder="1" applyAlignment="1">
      <alignment horizontal="center" vertical="center"/>
    </xf>
    <xf numFmtId="49" fontId="11" fillId="6" borderId="7" xfId="0" applyNumberFormat="1" applyFont="1" applyFill="1" applyBorder="1" applyAlignment="1">
      <alignment horizontal="center" vertical="center"/>
    </xf>
    <xf numFmtId="49" fontId="19" fillId="5" borderId="0" xfId="0" applyNumberFormat="1" applyFont="1" applyFill="1" applyBorder="1" applyAlignment="1">
      <alignment horizontal="left" vertical="center"/>
    </xf>
    <xf numFmtId="49" fontId="11" fillId="6" borderId="21" xfId="0" applyNumberFormat="1" applyFont="1" applyFill="1" applyBorder="1" applyAlignment="1">
      <alignment horizontal="center" vertical="center" wrapText="1"/>
    </xf>
    <xf numFmtId="49" fontId="11" fillId="8" borderId="9" xfId="0" applyNumberFormat="1" applyFont="1" applyFill="1" applyBorder="1" applyAlignment="1">
      <alignment horizontal="center" vertical="center" wrapText="1"/>
    </xf>
    <xf numFmtId="49" fontId="11" fillId="6" borderId="9" xfId="0" applyNumberFormat="1" applyFont="1" applyFill="1" applyBorder="1" applyAlignment="1">
      <alignment horizontal="center" vertical="center" wrapText="1"/>
    </xf>
    <xf numFmtId="49" fontId="11" fillId="6" borderId="7" xfId="0" applyNumberFormat="1" applyFont="1" applyFill="1" applyBorder="1" applyAlignment="1">
      <alignment horizontal="center" vertical="center" wrapText="1"/>
    </xf>
    <xf numFmtId="49" fontId="13" fillId="9" borderId="24" xfId="0" applyNumberFormat="1" applyFont="1" applyFill="1" applyBorder="1" applyAlignment="1">
      <alignment horizontal="center" vertical="center"/>
    </xf>
    <xf numFmtId="49" fontId="11" fillId="8" borderId="7" xfId="0" applyNumberFormat="1" applyFont="1" applyFill="1" applyBorder="1" applyAlignment="1">
      <alignment horizontal="center" vertical="center" wrapText="1"/>
    </xf>
    <xf numFmtId="49" fontId="11" fillId="6" borderId="26" xfId="0" applyNumberFormat="1" applyFont="1" applyFill="1" applyBorder="1" applyAlignment="1">
      <alignment horizontal="center" vertical="center" wrapText="1"/>
    </xf>
    <xf numFmtId="49" fontId="11" fillId="8" borderId="26" xfId="0" applyNumberFormat="1" applyFont="1" applyFill="1" applyBorder="1" applyAlignment="1">
      <alignment horizontal="center" vertical="center" wrapText="1"/>
    </xf>
    <xf numFmtId="49" fontId="13" fillId="9" borderId="21" xfId="0" applyNumberFormat="1" applyFont="1" applyFill="1" applyBorder="1" applyAlignment="1">
      <alignment horizontal="center" vertical="center" wrapText="1"/>
    </xf>
    <xf numFmtId="176" fontId="11" fillId="6" borderId="9" xfId="0" applyNumberFormat="1" applyFont="1" applyFill="1" applyBorder="1" applyAlignment="1">
      <alignment horizontal="center" vertical="center"/>
    </xf>
    <xf numFmtId="176" fontId="11" fillId="8" borderId="9" xfId="0" applyNumberFormat="1" applyFont="1" applyFill="1" applyBorder="1" applyAlignment="1">
      <alignment horizontal="center" vertical="center"/>
    </xf>
    <xf numFmtId="177" fontId="11" fillId="6" borderId="9" xfId="0" applyNumberFormat="1" applyFont="1" applyFill="1" applyBorder="1" applyAlignment="1">
      <alignment horizontal="center" vertical="center"/>
    </xf>
    <xf numFmtId="178" fontId="11" fillId="6" borderId="21" xfId="0" applyNumberFormat="1" applyFont="1" applyFill="1" applyBorder="1" applyAlignment="1">
      <alignment horizontal="center" vertical="center"/>
    </xf>
    <xf numFmtId="178" fontId="11" fillId="8" borderId="9" xfId="0" applyNumberFormat="1" applyFont="1" applyFill="1" applyBorder="1" applyAlignment="1">
      <alignment horizontal="center" vertical="center"/>
    </xf>
    <xf numFmtId="178" fontId="11" fillId="6" borderId="9" xfId="0" applyNumberFormat="1" applyFont="1" applyFill="1" applyBorder="1" applyAlignment="1">
      <alignment horizontal="center" vertical="center"/>
    </xf>
    <xf numFmtId="175" fontId="14" fillId="9" borderId="24" xfId="0" applyNumberFormat="1" applyFont="1" applyFill="1" applyBorder="1" applyAlignment="1">
      <alignment horizontal="center" vertical="center"/>
    </xf>
    <xf numFmtId="177" fontId="11" fillId="6" borderId="21" xfId="0" applyNumberFormat="1" applyFont="1" applyFill="1" applyBorder="1" applyAlignment="1">
      <alignment horizontal="center" vertical="center"/>
    </xf>
    <xf numFmtId="179" fontId="11" fillId="6" borderId="9" xfId="0" applyNumberFormat="1" applyFont="1" applyFill="1" applyBorder="1" applyAlignment="1">
      <alignment horizontal="center" vertical="center"/>
    </xf>
    <xf numFmtId="179" fontId="11" fillId="8" borderId="9" xfId="0" applyNumberFormat="1" applyFont="1" applyFill="1" applyBorder="1" applyAlignment="1">
      <alignment horizontal="center" vertical="center"/>
    </xf>
    <xf numFmtId="176" fontId="11" fillId="6" borderId="21" xfId="0" applyNumberFormat="1" applyFont="1" applyFill="1" applyBorder="1" applyAlignment="1">
      <alignment horizontal="center" vertical="center"/>
    </xf>
    <xf numFmtId="178" fontId="11" fillId="8" borderId="7" xfId="0" applyNumberFormat="1" applyFont="1" applyFill="1" applyBorder="1" applyAlignment="1">
      <alignment horizontal="center" vertical="center"/>
    </xf>
    <xf numFmtId="179" fontId="11" fillId="6" borderId="21" xfId="0" applyNumberFormat="1" applyFont="1" applyFill="1" applyBorder="1" applyAlignment="1">
      <alignment horizontal="center" vertical="center"/>
    </xf>
    <xf numFmtId="180" fontId="11" fillId="6" borderId="7" xfId="0" applyNumberFormat="1" applyFont="1" applyFill="1" applyBorder="1" applyAlignment="1">
      <alignment horizontal="center" vertical="center"/>
    </xf>
    <xf numFmtId="175" fontId="14" fillId="9" borderId="21" xfId="0" applyNumberFormat="1" applyFont="1" applyFill="1" applyBorder="1" applyAlignment="1">
      <alignment horizontal="center" vertical="center"/>
    </xf>
    <xf numFmtId="175" fontId="11" fillId="6" borderId="26" xfId="0" applyNumberFormat="1" applyFont="1" applyFill="1" applyBorder="1" applyAlignment="1">
      <alignment horizontal="center" vertical="center"/>
    </xf>
    <xf numFmtId="49" fontId="14" fillId="9" borderId="21" xfId="0" applyNumberFormat="1" applyFont="1" applyFill="1" applyBorder="1" applyAlignment="1">
      <alignment horizontal="center" vertical="center"/>
    </xf>
    <xf numFmtId="176" fontId="11" fillId="6" borderId="34" xfId="0" applyNumberFormat="1" applyFont="1" applyFill="1" applyBorder="1" applyAlignment="1">
      <alignment horizontal="center" vertical="center"/>
    </xf>
    <xf numFmtId="176" fontId="11" fillId="8" borderId="34" xfId="0" applyNumberFormat="1" applyFont="1" applyFill="1" applyBorder="1" applyAlignment="1">
      <alignment horizontal="center" vertical="center"/>
    </xf>
    <xf numFmtId="178" fontId="12" fillId="6" borderId="9" xfId="0" applyNumberFormat="1" applyFont="1" applyFill="1" applyBorder="1" applyAlignment="1">
      <alignment horizontal="center" vertical="center"/>
    </xf>
    <xf numFmtId="178" fontId="12" fillId="6" borderId="34" xfId="0" applyNumberFormat="1" applyFont="1" applyFill="1" applyBorder="1" applyAlignment="1">
      <alignment horizontal="center" vertical="center"/>
    </xf>
    <xf numFmtId="178" fontId="12" fillId="8" borderId="9" xfId="0" applyNumberFormat="1" applyFont="1" applyFill="1" applyBorder="1" applyAlignment="1">
      <alignment horizontal="center" vertical="center"/>
    </xf>
    <xf numFmtId="178" fontId="12" fillId="8" borderId="34" xfId="0" applyNumberFormat="1" applyFont="1" applyFill="1" applyBorder="1" applyAlignment="1">
      <alignment horizontal="center" vertical="center"/>
    </xf>
    <xf numFmtId="175" fontId="11" fillId="6" borderId="21" xfId="0" applyNumberFormat="1" applyFont="1" applyFill="1" applyBorder="1" applyAlignment="1">
      <alignment horizontal="center" vertical="center"/>
    </xf>
    <xf numFmtId="175" fontId="11" fillId="6" borderId="33" xfId="0" applyNumberFormat="1" applyFont="1" applyFill="1" applyBorder="1" applyAlignment="1">
      <alignment horizontal="center" vertical="center"/>
    </xf>
    <xf numFmtId="179" fontId="11" fillId="8" borderId="34" xfId="0" applyNumberFormat="1" applyFont="1" applyFill="1" applyBorder="1" applyAlignment="1">
      <alignment horizontal="center" vertical="center"/>
    </xf>
    <xf numFmtId="179" fontId="11" fillId="6" borderId="34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49" fontId="11" fillId="6" borderId="34" xfId="0" applyNumberFormat="1" applyFont="1" applyFill="1" applyBorder="1" applyAlignment="1">
      <alignment horizontal="center" vertical="center"/>
    </xf>
    <xf numFmtId="176" fontId="17" fillId="6" borderId="10" xfId="0" applyNumberFormat="1" applyFont="1" applyFill="1" applyBorder="1" applyAlignment="1">
      <alignment horizontal="center" vertical="center"/>
    </xf>
    <xf numFmtId="176" fontId="17" fillId="8" borderId="10" xfId="0" applyNumberFormat="1" applyFont="1" applyFill="1" applyBorder="1" applyAlignment="1">
      <alignment horizontal="center" vertical="center"/>
    </xf>
    <xf numFmtId="181" fontId="17" fillId="6" borderId="27" xfId="0" applyNumberFormat="1" applyFont="1" applyFill="1" applyBorder="1" applyAlignment="1">
      <alignment horizontal="center" vertical="center"/>
    </xf>
    <xf numFmtId="181" fontId="17" fillId="8" borderId="27" xfId="0" applyNumberFormat="1" applyFont="1" applyFill="1" applyBorder="1" applyAlignment="1">
      <alignment horizontal="center" vertical="center"/>
    </xf>
    <xf numFmtId="181" fontId="17" fillId="6" borderId="37" xfId="0" applyNumberFormat="1" applyFont="1" applyFill="1" applyBorder="1" applyAlignment="1">
      <alignment horizontal="center" vertical="center"/>
    </xf>
    <xf numFmtId="181" fontId="17" fillId="8" borderId="37" xfId="0" applyNumberFormat="1" applyFont="1" applyFill="1" applyBorder="1" applyAlignment="1">
      <alignment horizontal="center" vertical="center"/>
    </xf>
    <xf numFmtId="0" fontId="14" fillId="12" borderId="5" xfId="0" applyFont="1" applyFill="1" applyBorder="1" applyAlignment="1">
      <alignment horizontal="center" vertical="center"/>
    </xf>
    <xf numFmtId="0" fontId="14" fillId="12" borderId="45" xfId="0" applyFont="1" applyFill="1" applyBorder="1" applyAlignment="1">
      <alignment horizontal="center" vertical="center"/>
    </xf>
    <xf numFmtId="0" fontId="14" fillId="12" borderId="4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173" fontId="4" fillId="2" borderId="0" xfId="0" applyNumberFormat="1" applyFont="1" applyFill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41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/>
    </xf>
    <xf numFmtId="0" fontId="0" fillId="6" borderId="35" xfId="0" applyFill="1" applyBorder="1"/>
    <xf numFmtId="0" fontId="5" fillId="6" borderId="0" xfId="0" applyFont="1" applyFill="1" applyAlignment="1">
      <alignment vertical="center"/>
    </xf>
    <xf numFmtId="0" fontId="5" fillId="6" borderId="10" xfId="0" applyFont="1" applyFill="1" applyBorder="1" applyAlignment="1">
      <alignment horizontal="left" vertical="center"/>
    </xf>
    <xf numFmtId="0" fontId="11" fillId="6" borderId="10" xfId="0" applyFont="1" applyFill="1" applyBorder="1" applyAlignment="1">
      <alignment horizontal="left" vertical="center"/>
    </xf>
    <xf numFmtId="0" fontId="22" fillId="6" borderId="0" xfId="0" applyFont="1" applyFill="1" applyAlignment="1">
      <alignment horizontal="center" vertical="center"/>
    </xf>
    <xf numFmtId="49" fontId="5" fillId="6" borderId="3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5" fillId="8" borderId="10" xfId="0" applyFont="1" applyFill="1" applyBorder="1" applyAlignment="1">
      <alignment horizontal="left" vertical="center"/>
    </xf>
    <xf numFmtId="0" fontId="22" fillId="8" borderId="0" xfId="0" applyFont="1" applyFill="1" applyAlignment="1">
      <alignment horizontal="center" vertical="center"/>
    </xf>
    <xf numFmtId="49" fontId="5" fillId="8" borderId="35" xfId="0" applyNumberFormat="1" applyFont="1" applyFill="1" applyBorder="1" applyAlignment="1">
      <alignment horizontal="center" vertical="center"/>
    </xf>
    <xf numFmtId="0" fontId="5" fillId="6" borderId="0" xfId="0" applyFont="1" applyFill="1" applyBorder="1" applyAlignment="1">
      <alignment vertical="center"/>
    </xf>
    <xf numFmtId="0" fontId="12" fillId="6" borderId="0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vertical="center"/>
    </xf>
    <xf numFmtId="0" fontId="11" fillId="8" borderId="50" xfId="0" applyFont="1" applyFill="1" applyBorder="1" applyAlignment="1">
      <alignment horizontal="left" vertical="center"/>
    </xf>
    <xf numFmtId="0" fontId="12" fillId="8" borderId="8" xfId="0" applyFont="1" applyFill="1" applyBorder="1" applyAlignment="1">
      <alignment horizontal="center" vertical="center"/>
    </xf>
    <xf numFmtId="49" fontId="5" fillId="8" borderId="40" xfId="0" applyNumberFormat="1" applyFont="1" applyFill="1" applyBorder="1" applyAlignment="1">
      <alignment horizontal="center" vertical="center"/>
    </xf>
    <xf numFmtId="0" fontId="5" fillId="6" borderId="8" xfId="0" applyFont="1" applyFill="1" applyBorder="1" applyAlignment="1">
      <alignment vertical="center"/>
    </xf>
    <xf numFmtId="0" fontId="11" fillId="6" borderId="50" xfId="0" applyFont="1" applyFill="1" applyBorder="1" applyAlignment="1">
      <alignment horizontal="left" vertical="center"/>
    </xf>
    <xf numFmtId="0" fontId="12" fillId="6" borderId="8" xfId="0" applyFont="1" applyFill="1" applyBorder="1" applyAlignment="1">
      <alignment horizontal="center" vertical="center"/>
    </xf>
    <xf numFmtId="49" fontId="5" fillId="6" borderId="40" xfId="0" applyNumberFormat="1" applyFont="1" applyFill="1" applyBorder="1" applyAlignment="1">
      <alignment horizontal="center" vertical="center"/>
    </xf>
    <xf numFmtId="0" fontId="23" fillId="9" borderId="2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4" fillId="9" borderId="51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49" fontId="14" fillId="9" borderId="42" xfId="0" applyNumberFormat="1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vertical="center"/>
    </xf>
    <xf numFmtId="49" fontId="24" fillId="2" borderId="41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Alignment="1">
      <alignment vertical="center"/>
    </xf>
    <xf numFmtId="0" fontId="25" fillId="13" borderId="0" xfId="0" applyFont="1" applyFill="1" applyAlignment="1">
      <alignment vertical="center"/>
    </xf>
    <xf numFmtId="0" fontId="25" fillId="13" borderId="0" xfId="0" applyNumberFormat="1" applyFont="1" applyFill="1" applyAlignment="1">
      <alignment vertical="center"/>
    </xf>
    <xf numFmtId="165" fontId="6" fillId="3" borderId="0" xfId="0" applyNumberFormat="1" applyFont="1" applyFill="1" applyBorder="1" applyAlignment="1">
      <alignment horizontal="center" vertical="center"/>
    </xf>
    <xf numFmtId="165" fontId="8" fillId="14" borderId="0" xfId="0" applyNumberFormat="1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182" fontId="5" fillId="6" borderId="16" xfId="0" applyNumberFormat="1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182" fontId="5" fillId="8" borderId="8" xfId="0" applyNumberFormat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182" fontId="5" fillId="6" borderId="6" xfId="0" applyNumberFormat="1" applyFont="1" applyFill="1" applyBorder="1" applyAlignment="1">
      <alignment horizontal="center" vertical="center"/>
    </xf>
    <xf numFmtId="182" fontId="5" fillId="6" borderId="8" xfId="0" applyNumberFormat="1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182" fontId="26" fillId="15" borderId="52" xfId="0" applyNumberFormat="1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25" fillId="13" borderId="10" xfId="0" applyFont="1" applyFill="1" applyBorder="1" applyAlignment="1">
      <alignment vertical="center"/>
    </xf>
    <xf numFmtId="165" fontId="6" fillId="6" borderId="31" xfId="0" applyNumberFormat="1" applyFont="1" applyFill="1" applyBorder="1" applyAlignment="1">
      <alignment horizontal="center" vertical="center"/>
    </xf>
    <xf numFmtId="165" fontId="6" fillId="8" borderId="50" xfId="0" applyNumberFormat="1" applyFont="1" applyFill="1" applyBorder="1" applyAlignment="1">
      <alignment horizontal="center" vertical="center"/>
    </xf>
    <xf numFmtId="165" fontId="6" fillId="6" borderId="49" xfId="0" applyNumberFormat="1" applyFont="1" applyFill="1" applyBorder="1" applyAlignment="1">
      <alignment horizontal="center" vertical="center"/>
    </xf>
    <xf numFmtId="165" fontId="8" fillId="14" borderId="10" xfId="0" applyNumberFormat="1" applyFont="1" applyFill="1" applyBorder="1" applyAlignment="1">
      <alignment horizontal="center" vertical="center"/>
    </xf>
    <xf numFmtId="165" fontId="6" fillId="6" borderId="50" xfId="0" applyNumberFormat="1" applyFont="1" applyFill="1" applyBorder="1" applyAlignment="1">
      <alignment horizontal="center" vertical="center"/>
    </xf>
    <xf numFmtId="165" fontId="6" fillId="3" borderId="35" xfId="0" applyNumberFormat="1" applyFont="1" applyFill="1" applyBorder="1" applyAlignment="1">
      <alignment horizontal="center" vertical="center"/>
    </xf>
    <xf numFmtId="182" fontId="5" fillId="6" borderId="53" xfId="0" applyNumberFormat="1" applyFont="1" applyFill="1" applyBorder="1" applyAlignment="1">
      <alignment horizontal="center" vertical="center"/>
    </xf>
    <xf numFmtId="182" fontId="5" fillId="8" borderId="40" xfId="0" applyNumberFormat="1" applyFont="1" applyFill="1" applyBorder="1" applyAlignment="1">
      <alignment horizontal="center" vertical="center"/>
    </xf>
    <xf numFmtId="182" fontId="5" fillId="6" borderId="48" xfId="0" applyNumberFormat="1" applyFont="1" applyFill="1" applyBorder="1" applyAlignment="1">
      <alignment horizontal="center" vertical="center"/>
    </xf>
    <xf numFmtId="182" fontId="5" fillId="6" borderId="40" xfId="0" applyNumberFormat="1" applyFont="1" applyFill="1" applyBorder="1" applyAlignment="1">
      <alignment horizontal="center" vertical="center"/>
    </xf>
    <xf numFmtId="0" fontId="0" fillId="13" borderId="0" xfId="0" applyFill="1"/>
    <xf numFmtId="0" fontId="27" fillId="13" borderId="0" xfId="0" applyFont="1" applyFill="1"/>
    <xf numFmtId="0" fontId="6" fillId="3" borderId="0" xfId="0" applyNumberFormat="1" applyFont="1" applyFill="1" applyBorder="1" applyAlignment="1">
      <alignment horizontal="center" vertical="center"/>
    </xf>
    <xf numFmtId="0" fontId="5" fillId="16" borderId="16" xfId="0" applyFont="1" applyFill="1" applyBorder="1" applyAlignment="1">
      <alignment vertical="center"/>
    </xf>
    <xf numFmtId="165" fontId="22" fillId="16" borderId="16" xfId="0" applyNumberFormat="1" applyFont="1" applyFill="1" applyBorder="1" applyAlignment="1">
      <alignment horizontal="center" vertical="center"/>
    </xf>
    <xf numFmtId="0" fontId="5" fillId="17" borderId="8" xfId="0" applyFont="1" applyFill="1" applyBorder="1" applyAlignment="1">
      <alignment vertical="center"/>
    </xf>
    <xf numFmtId="165" fontId="22" fillId="17" borderId="8" xfId="0" applyNumberFormat="1" applyFont="1" applyFill="1" applyBorder="1" applyAlignment="1">
      <alignment horizontal="center" vertical="center"/>
    </xf>
    <xf numFmtId="0" fontId="5" fillId="6" borderId="55" xfId="0" applyFont="1" applyFill="1" applyBorder="1" applyAlignment="1">
      <alignment vertical="center"/>
    </xf>
    <xf numFmtId="165" fontId="22" fillId="6" borderId="55" xfId="0" applyNumberFormat="1" applyFont="1" applyFill="1" applyBorder="1" applyAlignment="1">
      <alignment horizontal="center" vertical="center"/>
    </xf>
    <xf numFmtId="0" fontId="5" fillId="8" borderId="54" xfId="0" applyFont="1" applyFill="1" applyBorder="1" applyAlignment="1">
      <alignment vertical="center"/>
    </xf>
    <xf numFmtId="165" fontId="22" fillId="8" borderId="54" xfId="0" applyNumberFormat="1" applyFont="1" applyFill="1" applyBorder="1" applyAlignment="1">
      <alignment horizontal="center" vertical="center"/>
    </xf>
    <xf numFmtId="165" fontId="22" fillId="8" borderId="8" xfId="0" applyNumberFormat="1" applyFont="1" applyFill="1" applyBorder="1" applyAlignment="1">
      <alignment horizontal="center" vertical="center"/>
    </xf>
    <xf numFmtId="0" fontId="5" fillId="16" borderId="55" xfId="0" applyFont="1" applyFill="1" applyBorder="1" applyAlignment="1">
      <alignment vertical="center"/>
    </xf>
    <xf numFmtId="165" fontId="22" fillId="16" borderId="55" xfId="0" applyNumberFormat="1" applyFont="1" applyFill="1" applyBorder="1" applyAlignment="1">
      <alignment horizontal="center" vertical="center"/>
    </xf>
    <xf numFmtId="0" fontId="28" fillId="16" borderId="31" xfId="0" applyFont="1" applyFill="1" applyBorder="1" applyAlignment="1">
      <alignment horizontal="left" vertical="center"/>
    </xf>
    <xf numFmtId="0" fontId="29" fillId="17" borderId="50" xfId="0" applyFont="1" applyFill="1" applyBorder="1" applyAlignment="1">
      <alignment horizontal="left" vertical="center"/>
    </xf>
    <xf numFmtId="0" fontId="28" fillId="6" borderId="56" xfId="0" applyFont="1" applyFill="1" applyBorder="1" applyAlignment="1">
      <alignment horizontal="left" vertical="center"/>
    </xf>
    <xf numFmtId="0" fontId="29" fillId="8" borderId="50" xfId="0" applyFont="1" applyFill="1" applyBorder="1" applyAlignment="1">
      <alignment horizontal="left" vertical="center"/>
    </xf>
    <xf numFmtId="0" fontId="28" fillId="16" borderId="56" xfId="0" applyFont="1" applyFill="1" applyBorder="1" applyAlignment="1">
      <alignment horizontal="left" vertical="center"/>
    </xf>
    <xf numFmtId="0" fontId="29" fillId="8" borderId="57" xfId="0" applyFont="1" applyFill="1" applyBorder="1" applyAlignment="1">
      <alignment horizontal="left" vertical="center"/>
    </xf>
    <xf numFmtId="182" fontId="5" fillId="18" borderId="0" xfId="0" applyNumberFormat="1" applyFont="1" applyFill="1" applyBorder="1" applyAlignment="1">
      <alignment horizontal="center" vertical="center"/>
    </xf>
    <xf numFmtId="182" fontId="5" fillId="18" borderId="35" xfId="0" applyNumberFormat="1" applyFont="1" applyFill="1" applyBorder="1" applyAlignment="1">
      <alignment horizontal="center" vertical="center"/>
    </xf>
    <xf numFmtId="0" fontId="30" fillId="6" borderId="0" xfId="0" applyFont="1" applyFill="1"/>
    <xf numFmtId="0" fontId="31" fillId="6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left" vertical="center"/>
    </xf>
    <xf numFmtId="0" fontId="7" fillId="7" borderId="0" xfId="0" applyFont="1" applyFill="1" applyBorder="1" applyAlignment="1">
      <alignment horizontal="center" vertical="center"/>
    </xf>
    <xf numFmtId="0" fontId="4" fillId="5" borderId="58" xfId="0" applyFont="1" applyFill="1" applyBorder="1" applyAlignment="1">
      <alignment horizontal="left" vertical="center"/>
    </xf>
    <xf numFmtId="178" fontId="4" fillId="5" borderId="59" xfId="0" applyNumberFormat="1" applyFont="1" applyFill="1" applyBorder="1" applyAlignment="1">
      <alignment horizontal="left" vertical="center"/>
    </xf>
    <xf numFmtId="178" fontId="6" fillId="3" borderId="19" xfId="0" applyNumberFormat="1" applyFont="1" applyFill="1" applyBorder="1" applyAlignment="1">
      <alignment horizontal="center" vertical="center"/>
    </xf>
    <xf numFmtId="49" fontId="4" fillId="5" borderId="60" xfId="0" applyNumberFormat="1" applyFont="1" applyFill="1" applyBorder="1" applyAlignment="1">
      <alignment horizontal="left" vertical="center"/>
    </xf>
    <xf numFmtId="0" fontId="11" fillId="6" borderId="31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 vertical="center"/>
    </xf>
    <xf numFmtId="49" fontId="6" fillId="3" borderId="61" xfId="0" applyNumberFormat="1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left" vertical="center"/>
    </xf>
    <xf numFmtId="178" fontId="11" fillId="6" borderId="19" xfId="0" applyNumberFormat="1" applyFont="1" applyFill="1" applyBorder="1" applyAlignment="1">
      <alignment horizontal="center" vertical="center"/>
    </xf>
    <xf numFmtId="0" fontId="11" fillId="8" borderId="58" xfId="0" applyFont="1" applyFill="1" applyBorder="1" applyAlignment="1">
      <alignment horizontal="left" vertical="center"/>
    </xf>
    <xf numFmtId="178" fontId="11" fillId="8" borderId="59" xfId="0" applyNumberFormat="1" applyFont="1" applyFill="1" applyBorder="1" applyAlignment="1">
      <alignment horizontal="center" vertical="center"/>
    </xf>
    <xf numFmtId="0" fontId="32" fillId="6" borderId="64" xfId="0" applyFont="1" applyFill="1" applyBorder="1" applyAlignment="1">
      <alignment horizontal="left" vertical="center"/>
    </xf>
    <xf numFmtId="178" fontId="11" fillId="6" borderId="65" xfId="0" applyNumberFormat="1" applyFont="1" applyFill="1" applyBorder="1" applyAlignment="1">
      <alignment horizontal="center" vertical="center"/>
    </xf>
    <xf numFmtId="178" fontId="32" fillId="6" borderId="65" xfId="0" applyNumberFormat="1" applyFont="1" applyFill="1" applyBorder="1" applyAlignment="1">
      <alignment horizontal="center" vertical="center"/>
    </xf>
    <xf numFmtId="0" fontId="5" fillId="6" borderId="31" xfId="0" applyFont="1" applyFill="1" applyBorder="1"/>
    <xf numFmtId="0" fontId="4" fillId="5" borderId="67" xfId="0" applyFont="1" applyFill="1" applyBorder="1" applyAlignment="1">
      <alignment horizontal="left"/>
    </xf>
    <xf numFmtId="0" fontId="4" fillId="5" borderId="2" xfId="0" applyFont="1" applyFill="1" applyBorder="1"/>
    <xf numFmtId="0" fontId="4" fillId="5" borderId="58" xfId="0" applyFont="1" applyFill="1" applyBorder="1" applyAlignment="1">
      <alignment horizontal="left"/>
    </xf>
    <xf numFmtId="173" fontId="4" fillId="5" borderId="59" xfId="0" applyNumberFormat="1" applyFont="1" applyFill="1" applyBorder="1"/>
    <xf numFmtId="0" fontId="4" fillId="5" borderId="59" xfId="0" applyFont="1" applyFill="1" applyBorder="1"/>
    <xf numFmtId="0" fontId="11" fillId="6" borderId="19" xfId="0" applyNumberFormat="1" applyFont="1" applyFill="1" applyBorder="1" applyAlignment="1">
      <alignment horizontal="center"/>
    </xf>
    <xf numFmtId="0" fontId="4" fillId="5" borderId="60" xfId="0" applyFont="1" applyFill="1" applyBorder="1"/>
    <xf numFmtId="0" fontId="11" fillId="8" borderId="59" xfId="0" applyNumberFormat="1" applyFont="1" applyFill="1" applyBorder="1" applyAlignment="1">
      <alignment horizontal="center"/>
    </xf>
    <xf numFmtId="0" fontId="11" fillId="6" borderId="29" xfId="0" applyFont="1" applyFill="1" applyBorder="1" applyAlignment="1">
      <alignment horizontal="left"/>
    </xf>
    <xf numFmtId="0" fontId="21" fillId="6" borderId="61" xfId="0" applyFont="1" applyFill="1" applyBorder="1" applyAlignment="1">
      <alignment horizontal="center"/>
    </xf>
    <xf numFmtId="0" fontId="11" fillId="8" borderId="58" xfId="0" applyFont="1" applyFill="1" applyBorder="1" applyAlignment="1">
      <alignment horizontal="left"/>
    </xf>
    <xf numFmtId="0" fontId="21" fillId="8" borderId="60" xfId="0" applyFont="1" applyFill="1" applyBorder="1" applyAlignment="1">
      <alignment horizontal="center"/>
    </xf>
    <xf numFmtId="0" fontId="11" fillId="6" borderId="65" xfId="0" applyNumberFormat="1" applyFont="1" applyFill="1" applyBorder="1" applyAlignment="1">
      <alignment horizontal="center"/>
    </xf>
    <xf numFmtId="0" fontId="11" fillId="6" borderId="64" xfId="0" applyFont="1" applyFill="1" applyBorder="1" applyAlignment="1">
      <alignment horizontal="left"/>
    </xf>
    <xf numFmtId="0" fontId="21" fillId="6" borderId="66" xfId="0" applyFont="1" applyFill="1" applyBorder="1" applyAlignment="1">
      <alignment horizontal="center"/>
    </xf>
    <xf numFmtId="176" fontId="11" fillId="6" borderId="0" xfId="0" applyNumberFormat="1" applyFont="1" applyFill="1" applyBorder="1" applyAlignment="1">
      <alignment horizontal="center" vertical="center"/>
    </xf>
    <xf numFmtId="176" fontId="11" fillId="6" borderId="8" xfId="0" applyNumberFormat="1" applyFont="1" applyFill="1" applyBorder="1" applyAlignment="1">
      <alignment horizontal="center" vertical="center"/>
    </xf>
    <xf numFmtId="49" fontId="11" fillId="6" borderId="8" xfId="0" applyNumberFormat="1" applyFont="1" applyFill="1" applyBorder="1" applyAlignment="1">
      <alignment horizontal="center" vertical="center" wrapText="1"/>
    </xf>
    <xf numFmtId="0" fontId="4" fillId="5" borderId="67" xfId="0" applyFont="1" applyFill="1" applyBorder="1" applyAlignment="1">
      <alignment horizontal="left" vertical="center"/>
    </xf>
    <xf numFmtId="176" fontId="4" fillId="5" borderId="2" xfId="0" applyNumberFormat="1" applyFont="1" applyFill="1" applyBorder="1" applyAlignment="1">
      <alignment horizontal="left" vertical="center"/>
    </xf>
    <xf numFmtId="176" fontId="11" fillId="6" borderId="19" xfId="0" applyNumberFormat="1" applyFont="1" applyFill="1" applyBorder="1" applyAlignment="1">
      <alignment horizontal="center" vertical="center"/>
    </xf>
    <xf numFmtId="49" fontId="4" fillId="5" borderId="70" xfId="0" applyNumberFormat="1" applyFont="1" applyFill="1" applyBorder="1" applyAlignment="1">
      <alignment horizontal="left" vertical="center" wrapText="1"/>
    </xf>
    <xf numFmtId="176" fontId="11" fillId="8" borderId="59" xfId="0" applyNumberFormat="1" applyFont="1" applyFill="1" applyBorder="1" applyAlignment="1">
      <alignment horizontal="center" vertical="center"/>
    </xf>
    <xf numFmtId="0" fontId="11" fillId="6" borderId="58" xfId="0" applyFont="1" applyFill="1" applyBorder="1" applyAlignment="1">
      <alignment horizontal="left" vertical="center"/>
    </xf>
    <xf numFmtId="0" fontId="11" fillId="6" borderId="64" xfId="0" applyFont="1" applyFill="1" applyBorder="1" applyAlignment="1">
      <alignment horizontal="left" vertical="center"/>
    </xf>
    <xf numFmtId="176" fontId="11" fillId="6" borderId="65" xfId="0" applyNumberFormat="1" applyFont="1" applyFill="1" applyBorder="1" applyAlignment="1">
      <alignment horizontal="center" vertical="center"/>
    </xf>
    <xf numFmtId="0" fontId="12" fillId="6" borderId="73" xfId="0" applyFont="1" applyFill="1" applyBorder="1" applyAlignment="1">
      <alignment horizontal="left" vertical="center"/>
    </xf>
    <xf numFmtId="178" fontId="12" fillId="6" borderId="59" xfId="0" applyNumberFormat="1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left" vertical="center" indent="1"/>
    </xf>
    <xf numFmtId="49" fontId="19" fillId="5" borderId="35" xfId="0" applyNumberFormat="1" applyFont="1" applyFill="1" applyBorder="1" applyAlignment="1">
      <alignment horizontal="center" vertical="center"/>
    </xf>
    <xf numFmtId="0" fontId="12" fillId="8" borderId="71" xfId="0" applyFont="1" applyFill="1" applyBorder="1" applyAlignment="1">
      <alignment horizontal="left" vertical="center"/>
    </xf>
    <xf numFmtId="178" fontId="12" fillId="8" borderId="63" xfId="0" applyNumberFormat="1" applyFont="1" applyFill="1" applyBorder="1" applyAlignment="1">
      <alignment horizontal="center" vertical="center"/>
    </xf>
    <xf numFmtId="178" fontId="11" fillId="6" borderId="34" xfId="0" applyNumberFormat="1" applyFont="1" applyFill="1" applyBorder="1" applyAlignment="1">
      <alignment horizontal="center" vertical="center"/>
    </xf>
    <xf numFmtId="0" fontId="11" fillId="6" borderId="62" xfId="0" applyFont="1" applyFill="1" applyBorder="1" applyAlignment="1">
      <alignment horizontal="left" vertical="center"/>
    </xf>
    <xf numFmtId="178" fontId="11" fillId="6" borderId="63" xfId="0" applyNumberFormat="1" applyFont="1" applyFill="1" applyBorder="1" applyAlignment="1">
      <alignment horizontal="center" vertical="center"/>
    </xf>
    <xf numFmtId="0" fontId="21" fillId="6" borderId="75" xfId="0" applyNumberFormat="1" applyFont="1" applyFill="1" applyBorder="1" applyAlignment="1">
      <alignment horizontal="center" vertical="center"/>
    </xf>
    <xf numFmtId="0" fontId="21" fillId="8" borderId="74" xfId="0" applyNumberFormat="1" applyFont="1" applyFill="1" applyBorder="1" applyAlignment="1">
      <alignment horizontal="center" vertical="center"/>
    </xf>
    <xf numFmtId="0" fontId="21" fillId="6" borderId="72" xfId="0" applyNumberFormat="1" applyFont="1" applyFill="1" applyBorder="1" applyAlignment="1">
      <alignment horizontal="center" vertical="center"/>
    </xf>
    <xf numFmtId="0" fontId="21" fillId="6" borderId="61" xfId="0" applyNumberFormat="1" applyFont="1" applyFill="1" applyBorder="1" applyAlignment="1">
      <alignment horizontal="center" vertical="center"/>
    </xf>
    <xf numFmtId="0" fontId="21" fillId="8" borderId="60" xfId="0" applyNumberFormat="1" applyFont="1" applyFill="1" applyBorder="1" applyAlignment="1">
      <alignment horizontal="center" vertical="center"/>
    </xf>
    <xf numFmtId="0" fontId="21" fillId="6" borderId="66" xfId="0" applyNumberFormat="1" applyFont="1" applyFill="1" applyBorder="1" applyAlignment="1">
      <alignment horizontal="center" vertical="center"/>
    </xf>
    <xf numFmtId="0" fontId="21" fillId="6" borderId="61" xfId="0" applyNumberFormat="1" applyFont="1" applyFill="1" applyBorder="1" applyAlignment="1">
      <alignment horizontal="center" vertical="center" wrapText="1"/>
    </xf>
    <xf numFmtId="0" fontId="21" fillId="8" borderId="60" xfId="0" applyNumberFormat="1" applyFont="1" applyFill="1" applyBorder="1" applyAlignment="1">
      <alignment horizontal="center" vertical="center" wrapText="1"/>
    </xf>
    <xf numFmtId="0" fontId="21" fillId="6" borderId="66" xfId="0" applyNumberFormat="1" applyFont="1" applyFill="1" applyBorder="1" applyAlignment="1">
      <alignment horizontal="center" vertical="center" wrapText="1"/>
    </xf>
    <xf numFmtId="14" fontId="7" fillId="7" borderId="8" xfId="0" applyNumberFormat="1" applyFont="1" applyFill="1" applyBorder="1" applyAlignment="1">
      <alignment horizontal="center" vertical="center"/>
    </xf>
    <xf numFmtId="0" fontId="4" fillId="2" borderId="19" xfId="0" applyFont="1" applyFill="1" applyBorder="1"/>
    <xf numFmtId="0" fontId="4" fillId="2" borderId="29" xfId="0" applyFont="1" applyFill="1" applyBorder="1"/>
    <xf numFmtId="0" fontId="4" fillId="2" borderId="61" xfId="0" applyFont="1" applyFill="1" applyBorder="1"/>
    <xf numFmtId="0" fontId="9" fillId="4" borderId="2" xfId="0" applyFont="1" applyFill="1" applyBorder="1"/>
    <xf numFmtId="0" fontId="19" fillId="6" borderId="2" xfId="0" applyFont="1" applyFill="1" applyBorder="1"/>
    <xf numFmtId="0" fontId="9" fillId="4" borderId="67" xfId="0" applyFont="1" applyFill="1" applyBorder="1"/>
    <xf numFmtId="0" fontId="9" fillId="4" borderId="70" xfId="0" applyFont="1" applyFill="1" applyBorder="1"/>
    <xf numFmtId="0" fontId="19" fillId="6" borderId="67" xfId="0" applyFont="1" applyFill="1" applyBorder="1"/>
    <xf numFmtId="0" fontId="19" fillId="6" borderId="70" xfId="0" applyFont="1" applyFill="1" applyBorder="1"/>
    <xf numFmtId="0" fontId="6" fillId="3" borderId="67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70" xfId="0" applyFont="1" applyFill="1" applyBorder="1" applyAlignment="1">
      <alignment horizontal="center"/>
    </xf>
    <xf numFmtId="0" fontId="4" fillId="5" borderId="70" xfId="0" applyFont="1" applyFill="1" applyBorder="1"/>
    <xf numFmtId="0" fontId="14" fillId="19" borderId="29" xfId="0" applyFont="1" applyFill="1" applyBorder="1" applyAlignment="1">
      <alignment horizontal="left"/>
    </xf>
    <xf numFmtId="0" fontId="14" fillId="19" borderId="19" xfId="0" applyFont="1" applyFill="1" applyBorder="1" applyAlignment="1">
      <alignment horizontal="center"/>
    </xf>
    <xf numFmtId="0" fontId="14" fillId="19" borderId="61" xfId="0" applyFont="1" applyFill="1" applyBorder="1" applyAlignment="1">
      <alignment horizontal="center"/>
    </xf>
    <xf numFmtId="0" fontId="14" fillId="20" borderId="58" xfId="0" applyFont="1" applyFill="1" applyBorder="1" applyAlignment="1">
      <alignment horizontal="left"/>
    </xf>
    <xf numFmtId="0" fontId="14" fillId="20" borderId="59" xfId="0" applyFont="1" applyFill="1" applyBorder="1" applyAlignment="1">
      <alignment horizontal="center"/>
    </xf>
    <xf numFmtId="0" fontId="14" fillId="20" borderId="6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6" borderId="61" xfId="0" applyFont="1" applyFill="1" applyBorder="1" applyAlignment="1">
      <alignment horizontal="center"/>
    </xf>
    <xf numFmtId="0" fontId="11" fillId="8" borderId="59" xfId="0" applyFont="1" applyFill="1" applyBorder="1" applyAlignment="1">
      <alignment horizontal="center"/>
    </xf>
    <xf numFmtId="0" fontId="11" fillId="8" borderId="60" xfId="0" applyFont="1" applyFill="1" applyBorder="1" applyAlignment="1">
      <alignment horizontal="center"/>
    </xf>
    <xf numFmtId="0" fontId="11" fillId="6" borderId="58" xfId="0" applyFont="1" applyFill="1" applyBorder="1" applyAlignment="1">
      <alignment horizontal="left"/>
    </xf>
    <xf numFmtId="0" fontId="11" fillId="6" borderId="59" xfId="0" applyFont="1" applyFill="1" applyBorder="1" applyAlignment="1">
      <alignment horizontal="center"/>
    </xf>
    <xf numFmtId="0" fontId="11" fillId="6" borderId="60" xfId="0" applyFont="1" applyFill="1" applyBorder="1" applyAlignment="1">
      <alignment horizontal="center"/>
    </xf>
    <xf numFmtId="0" fontId="11" fillId="8" borderId="65" xfId="0" applyFont="1" applyFill="1" applyBorder="1" applyAlignment="1">
      <alignment horizontal="center"/>
    </xf>
    <xf numFmtId="0" fontId="11" fillId="8" borderId="66" xfId="0" applyFont="1" applyFill="1" applyBorder="1" applyAlignment="1">
      <alignment horizontal="center"/>
    </xf>
    <xf numFmtId="0" fontId="0" fillId="6" borderId="31" xfId="0" applyFill="1" applyBorder="1"/>
    <xf numFmtId="0" fontId="4" fillId="2" borderId="2" xfId="0" applyFont="1" applyFill="1" applyBorder="1" applyAlignment="1">
      <alignment horizontal="left"/>
    </xf>
    <xf numFmtId="0" fontId="33" fillId="9" borderId="19" xfId="0" applyFont="1" applyFill="1" applyBorder="1" applyAlignment="1">
      <alignment horizontal="center"/>
    </xf>
    <xf numFmtId="0" fontId="14" fillId="9" borderId="19" xfId="0" applyFont="1" applyFill="1" applyBorder="1" applyAlignment="1">
      <alignment horizontal="center"/>
    </xf>
    <xf numFmtId="0" fontId="4" fillId="2" borderId="67" xfId="0" applyFont="1" applyFill="1" applyBorder="1" applyAlignment="1">
      <alignment horizontal="left"/>
    </xf>
    <xf numFmtId="0" fontId="4" fillId="2" borderId="70" xfId="0" applyFont="1" applyFill="1" applyBorder="1" applyAlignment="1">
      <alignment horizontal="left"/>
    </xf>
    <xf numFmtId="0" fontId="34" fillId="6" borderId="59" xfId="0" applyFont="1" applyFill="1" applyBorder="1" applyAlignment="1">
      <alignment horizontal="center"/>
    </xf>
    <xf numFmtId="0" fontId="14" fillId="9" borderId="29" xfId="0" applyFont="1" applyFill="1" applyBorder="1" applyAlignment="1">
      <alignment horizontal="left"/>
    </xf>
    <xf numFmtId="0" fontId="14" fillId="9" borderId="61" xfId="0" applyFont="1" applyFill="1" applyBorder="1" applyAlignment="1">
      <alignment horizontal="center"/>
    </xf>
    <xf numFmtId="0" fontId="34" fillId="8" borderId="59" xfId="0" applyFont="1" applyFill="1" applyBorder="1" applyAlignment="1">
      <alignment horizontal="center"/>
    </xf>
    <xf numFmtId="0" fontId="34" fillId="6" borderId="65" xfId="0" applyFont="1" applyFill="1" applyBorder="1" applyAlignment="1">
      <alignment horizontal="center"/>
    </xf>
    <xf numFmtId="0" fontId="11" fillId="6" borderId="65" xfId="0" applyFont="1" applyFill="1" applyBorder="1" applyAlignment="1">
      <alignment horizontal="center"/>
    </xf>
    <xf numFmtId="0" fontId="11" fillId="6" borderId="66" xfId="0" applyFont="1" applyFill="1" applyBorder="1" applyAlignment="1">
      <alignment horizontal="center"/>
    </xf>
    <xf numFmtId="0" fontId="32" fillId="21" borderId="0" xfId="0" applyFont="1" applyFill="1"/>
    <xf numFmtId="0" fontId="32" fillId="21" borderId="31" xfId="0" applyFont="1" applyFill="1" applyBorder="1"/>
    <xf numFmtId="177" fontId="11" fillId="8" borderId="9" xfId="0" applyNumberFormat="1" applyFont="1" applyFill="1" applyBorder="1" applyAlignment="1">
      <alignment horizontal="center" vertical="center"/>
    </xf>
    <xf numFmtId="177" fontId="4" fillId="5" borderId="59" xfId="0" applyNumberFormat="1" applyFont="1" applyFill="1" applyBorder="1" applyAlignment="1">
      <alignment horizontal="left" vertical="center"/>
    </xf>
    <xf numFmtId="177" fontId="11" fillId="6" borderId="19" xfId="0" applyNumberFormat="1" applyFont="1" applyFill="1" applyBorder="1" applyAlignment="1">
      <alignment horizontal="center" vertical="center"/>
    </xf>
    <xf numFmtId="177" fontId="11" fillId="8" borderId="59" xfId="0" applyNumberFormat="1" applyFont="1" applyFill="1" applyBorder="1" applyAlignment="1">
      <alignment horizontal="center" vertical="center"/>
    </xf>
    <xf numFmtId="177" fontId="11" fillId="6" borderId="59" xfId="0" applyNumberFormat="1" applyFont="1" applyFill="1" applyBorder="1" applyAlignment="1">
      <alignment horizontal="center" vertical="center"/>
    </xf>
    <xf numFmtId="177" fontId="11" fillId="6" borderId="65" xfId="0" applyNumberFormat="1" applyFont="1" applyFill="1" applyBorder="1" applyAlignment="1">
      <alignment horizontal="center" vertical="center"/>
    </xf>
    <xf numFmtId="0" fontId="21" fillId="6" borderId="60" xfId="0" applyNumberFormat="1" applyFont="1" applyFill="1" applyBorder="1" applyAlignment="1">
      <alignment horizontal="center" vertical="center"/>
    </xf>
    <xf numFmtId="0" fontId="21" fillId="6" borderId="0" xfId="0" applyNumberFormat="1" applyFont="1" applyFill="1" applyBorder="1" applyAlignment="1">
      <alignment horizontal="center" vertical="center" wrapText="1"/>
    </xf>
    <xf numFmtId="0" fontId="4" fillId="5" borderId="70" xfId="0" applyNumberFormat="1" applyFont="1" applyFill="1" applyBorder="1" applyAlignment="1">
      <alignment horizontal="left" vertical="center" wrapText="1"/>
    </xf>
    <xf numFmtId="0" fontId="1" fillId="0" borderId="0" xfId="0" applyFont="1"/>
    <xf numFmtId="0" fontId="35" fillId="6" borderId="0" xfId="0" applyFont="1" applyFill="1"/>
    <xf numFmtId="0" fontId="36" fillId="2" borderId="0" xfId="0" applyFont="1" applyFill="1" applyBorder="1" applyAlignment="1">
      <alignment horizontal="left"/>
    </xf>
    <xf numFmtId="0" fontId="36" fillId="2" borderId="10" xfId="0" applyFont="1" applyFill="1" applyBorder="1" applyAlignment="1">
      <alignment horizontal="left"/>
    </xf>
    <xf numFmtId="0" fontId="37" fillId="4" borderId="10" xfId="0" applyFont="1" applyFill="1" applyBorder="1"/>
    <xf numFmtId="0" fontId="37" fillId="4" borderId="3" xfId="0" applyFont="1" applyFill="1" applyBorder="1"/>
    <xf numFmtId="0" fontId="0" fillId="0" borderId="67" xfId="0" applyBorder="1"/>
    <xf numFmtId="0" fontId="38" fillId="5" borderId="2" xfId="0" applyFont="1" applyFill="1" applyBorder="1" applyAlignment="1">
      <alignment horizontal="left"/>
    </xf>
    <xf numFmtId="0" fontId="38" fillId="5" borderId="68" xfId="0" applyFont="1" applyFill="1" applyBorder="1" applyAlignment="1">
      <alignment horizontal="left"/>
    </xf>
    <xf numFmtId="0" fontId="38" fillId="5" borderId="69" xfId="0" applyFont="1" applyFill="1" applyBorder="1" applyAlignment="1">
      <alignment horizontal="left"/>
    </xf>
    <xf numFmtId="0" fontId="39" fillId="3" borderId="0" xfId="0" applyFont="1" applyFill="1" applyAlignment="1">
      <alignment horizontal="center"/>
    </xf>
    <xf numFmtId="0" fontId="38" fillId="5" borderId="67" xfId="0" applyFont="1" applyFill="1" applyBorder="1" applyAlignment="1">
      <alignment horizontal="left"/>
    </xf>
    <xf numFmtId="10" fontId="39" fillId="3" borderId="2" xfId="0" applyNumberFormat="1" applyFont="1" applyFill="1" applyBorder="1" applyAlignment="1">
      <alignment horizontal="center"/>
    </xf>
    <xf numFmtId="9" fontId="39" fillId="3" borderId="2" xfId="0" applyNumberFormat="1" applyFont="1" applyFill="1" applyBorder="1" applyAlignment="1">
      <alignment horizontal="center"/>
    </xf>
    <xf numFmtId="0" fontId="39" fillId="3" borderId="67" xfId="0" applyFont="1" applyFill="1" applyBorder="1" applyAlignment="1">
      <alignment horizontal="left"/>
    </xf>
    <xf numFmtId="9" fontId="39" fillId="3" borderId="31" xfId="0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41" fillId="6" borderId="19" xfId="0" applyFont="1" applyFill="1" applyBorder="1" applyAlignment="1">
      <alignment horizontal="center"/>
    </xf>
    <xf numFmtId="0" fontId="41" fillId="6" borderId="30" xfId="0" applyFont="1" applyFill="1" applyBorder="1" applyAlignment="1">
      <alignment horizontal="center"/>
    </xf>
    <xf numFmtId="10" fontId="39" fillId="3" borderId="70" xfId="0" applyNumberFormat="1" applyFont="1" applyFill="1" applyBorder="1" applyAlignment="1">
      <alignment horizontal="center"/>
    </xf>
    <xf numFmtId="9" fontId="39" fillId="3" borderId="10" xfId="0" applyNumberFormat="1" applyFont="1" applyFill="1" applyBorder="1" applyAlignment="1">
      <alignment horizontal="center"/>
    </xf>
    <xf numFmtId="0" fontId="41" fillId="8" borderId="59" xfId="0" applyFont="1" applyFill="1" applyBorder="1" applyAlignment="1">
      <alignment horizontal="center"/>
    </xf>
    <xf numFmtId="0" fontId="41" fillId="8" borderId="76" xfId="0" applyFont="1" applyFill="1" applyBorder="1" applyAlignment="1">
      <alignment horizontal="center"/>
    </xf>
    <xf numFmtId="0" fontId="41" fillId="6" borderId="77" xfId="0" applyFont="1" applyFill="1" applyBorder="1" applyAlignment="1">
      <alignment horizontal="center"/>
    </xf>
    <xf numFmtId="0" fontId="41" fillId="6" borderId="59" xfId="0" applyFont="1" applyFill="1" applyBorder="1" applyAlignment="1">
      <alignment horizontal="center"/>
    </xf>
    <xf numFmtId="0" fontId="41" fillId="6" borderId="76" xfId="0" applyFont="1" applyFill="1" applyBorder="1" applyAlignment="1">
      <alignment horizontal="center"/>
    </xf>
    <xf numFmtId="0" fontId="42" fillId="22" borderId="76" xfId="0" applyFont="1" applyFill="1" applyBorder="1" applyAlignment="1">
      <alignment horizontal="center"/>
    </xf>
    <xf numFmtId="0" fontId="41" fillId="8" borderId="78" xfId="0" applyFont="1" applyFill="1" applyBorder="1" applyAlignment="1">
      <alignment horizontal="center"/>
    </xf>
    <xf numFmtId="0" fontId="41" fillId="6" borderId="78" xfId="0" applyFont="1" applyFill="1" applyBorder="1" applyAlignment="1">
      <alignment horizontal="center"/>
    </xf>
    <xf numFmtId="0" fontId="41" fillId="6" borderId="65" xfId="0" applyFont="1" applyFill="1" applyBorder="1" applyAlignment="1">
      <alignment horizontal="center"/>
    </xf>
    <xf numFmtId="0" fontId="41" fillId="6" borderId="79" xfId="0" applyFont="1" applyFill="1" applyBorder="1" applyAlignment="1">
      <alignment horizontal="center"/>
    </xf>
    <xf numFmtId="0" fontId="41" fillId="6" borderId="80" xfId="0" applyFont="1" applyFill="1" applyBorder="1" applyAlignment="1">
      <alignment horizontal="center"/>
    </xf>
    <xf numFmtId="0" fontId="43" fillId="21" borderId="0" xfId="0" applyFont="1" applyFill="1"/>
    <xf numFmtId="0" fontId="43" fillId="21" borderId="10" xfId="0" applyFont="1" applyFill="1" applyBorder="1"/>
    <xf numFmtId="0" fontId="38" fillId="5" borderId="68" xfId="0" applyFont="1" applyFill="1" applyBorder="1" applyAlignment="1">
      <alignment horizontal="center"/>
    </xf>
    <xf numFmtId="0" fontId="44" fillId="7" borderId="0" xfId="0" applyFont="1" applyFill="1" applyBorder="1" applyAlignment="1">
      <alignment horizontal="left" vertical="center"/>
    </xf>
    <xf numFmtId="0" fontId="44" fillId="7" borderId="0" xfId="0" applyFont="1" applyFill="1" applyBorder="1" applyAlignment="1">
      <alignment horizontal="center" vertical="center"/>
    </xf>
    <xf numFmtId="0" fontId="44" fillId="6" borderId="0" xfId="0" applyFont="1" applyFill="1" applyBorder="1" applyAlignment="1">
      <alignment horizontal="left" vertical="center"/>
    </xf>
    <xf numFmtId="0" fontId="44" fillId="6" borderId="0" xfId="0" applyFont="1" applyFill="1" applyBorder="1" applyAlignment="1">
      <alignment horizontal="center" vertical="center"/>
    </xf>
    <xf numFmtId="0" fontId="45" fillId="8" borderId="9" xfId="0" applyNumberFormat="1" applyFont="1" applyFill="1" applyBorder="1" applyAlignment="1">
      <alignment horizontal="center" vertical="center"/>
    </xf>
    <xf numFmtId="0" fontId="46" fillId="8" borderId="9" xfId="0" applyNumberFormat="1" applyFont="1" applyFill="1" applyBorder="1" applyAlignment="1">
      <alignment horizontal="center" vertical="center"/>
    </xf>
    <xf numFmtId="0" fontId="45" fillId="6" borderId="9" xfId="0" applyNumberFormat="1" applyFont="1" applyFill="1" applyBorder="1" applyAlignment="1">
      <alignment horizontal="center" vertical="center"/>
    </xf>
    <xf numFmtId="0" fontId="46" fillId="6" borderId="9" xfId="0" applyNumberFormat="1" applyFont="1" applyFill="1" applyBorder="1" applyAlignment="1">
      <alignment horizontal="center" vertical="center"/>
    </xf>
    <xf numFmtId="0" fontId="46" fillId="6" borderId="21" xfId="0" applyNumberFormat="1" applyFont="1" applyFill="1" applyBorder="1" applyAlignment="1">
      <alignment horizontal="center" vertical="center"/>
    </xf>
    <xf numFmtId="0" fontId="11" fillId="6" borderId="38" xfId="0" applyNumberFormat="1" applyFont="1" applyFill="1" applyBorder="1" applyAlignment="1">
      <alignment horizontal="center" vertical="center"/>
    </xf>
    <xf numFmtId="0" fontId="11" fillId="8" borderId="39" xfId="0" applyNumberFormat="1" applyFont="1" applyFill="1" applyBorder="1" applyAlignment="1">
      <alignment horizontal="center" vertical="center"/>
    </xf>
    <xf numFmtId="0" fontId="11" fillId="6" borderId="39" xfId="0" applyNumberFormat="1" applyFont="1" applyFill="1" applyBorder="1" applyAlignment="1">
      <alignment horizontal="center" vertical="center"/>
    </xf>
    <xf numFmtId="0" fontId="5" fillId="23" borderId="0" xfId="0" applyFont="1" applyFill="1"/>
  </cellXfs>
  <cellStyles count="1">
    <cellStyle name="Normal" xfId="0" builtinId="0"/>
  </cellStyles>
  <dxfs count="76">
    <dxf>
      <font>
        <color rgb="FFB0BEC5"/>
      </font>
    </dxf>
    <dxf>
      <font>
        <b/>
        <i val="0"/>
        <color rgb="FF1A6B3A"/>
      </font>
    </dxf>
    <dxf>
      <font>
        <b/>
        <i val="0"/>
        <color rgb="FFBF6A00"/>
      </font>
    </dxf>
    <dxf>
      <font>
        <b val="0"/>
        <i/>
        <color rgb="FF78909C"/>
      </font>
    </dxf>
    <dxf>
      <font>
        <b/>
        <i val="0"/>
        <color rgb="FF1A6B3A"/>
      </font>
    </dxf>
    <dxf>
      <font>
        <b val="0"/>
        <i/>
        <color rgb="FF78909C"/>
      </font>
    </dxf>
    <dxf>
      <font>
        <b/>
        <i val="0"/>
        <color rgb="FFB71C1C"/>
      </font>
    </dxf>
    <dxf>
      <font>
        <b/>
        <i val="0"/>
        <color rgb="FFE65100"/>
      </font>
    </dxf>
    <dxf>
      <font>
        <b/>
        <i val="0"/>
        <color rgb="FF1B5E20"/>
      </font>
    </dxf>
    <dxf>
      <font>
        <b/>
        <i val="0"/>
        <color rgb="FF1B5E20"/>
      </font>
    </dxf>
    <dxf>
      <font>
        <b/>
        <i val="0"/>
        <color rgb="FFB71C1C"/>
      </font>
    </dxf>
    <dxf>
      <font>
        <b/>
        <i val="0"/>
        <color rgb="FF1B5E20"/>
      </font>
    </dxf>
    <dxf>
      <font>
        <b/>
        <i val="0"/>
        <color rgb="FF1B5E20"/>
      </font>
    </dxf>
    <dxf>
      <font>
        <color rgb="FFBF6A00"/>
      </font>
    </dxf>
    <dxf>
      <font>
        <color rgb="FF1B5E20"/>
      </font>
      <fill>
        <patternFill patternType="solid">
          <fgColor indexed="64"/>
          <bgColor rgb="FFE8F5E9"/>
        </patternFill>
      </fill>
    </dxf>
    <dxf>
      <font>
        <color rgb="FFB0BEC5"/>
      </font>
    </dxf>
    <dxf>
      <font>
        <b/>
        <i val="0"/>
        <color rgb="FF1A6B3A"/>
      </font>
    </dxf>
    <dxf>
      <font>
        <b/>
        <i val="0"/>
        <color rgb="FFBF6A00"/>
      </font>
    </dxf>
    <dxf>
      <font>
        <b val="0"/>
        <i/>
        <color rgb="FF78909C"/>
      </font>
    </dxf>
    <dxf>
      <font>
        <b/>
        <i val="0"/>
        <color rgb="FF1A6B3A"/>
      </font>
    </dxf>
    <dxf>
      <font>
        <b val="0"/>
        <i/>
        <color rgb="FF78909C"/>
      </font>
    </dxf>
    <dxf>
      <font>
        <b/>
        <i val="0"/>
        <color rgb="FFB71C1C"/>
      </font>
    </dxf>
    <dxf>
      <font>
        <b/>
        <i val="0"/>
        <color rgb="FFE65100"/>
      </font>
    </dxf>
    <dxf>
      <font>
        <b/>
        <i val="0"/>
        <color rgb="FF1B5E20"/>
      </font>
    </dxf>
    <dxf>
      <font>
        <b/>
        <i val="0"/>
        <color rgb="FF1B5E20"/>
      </font>
    </dxf>
    <dxf>
      <font>
        <b/>
        <i val="0"/>
        <color rgb="FFB71C1C"/>
      </font>
    </dxf>
    <dxf>
      <font>
        <b/>
        <i val="0"/>
        <color rgb="FF1B5E20"/>
      </font>
    </dxf>
    <dxf>
      <font>
        <b/>
        <i val="0"/>
        <color rgb="FF1B5E20"/>
      </font>
    </dxf>
    <dxf>
      <font>
        <color rgb="FFB0BEC5"/>
      </font>
    </dxf>
    <dxf>
      <font>
        <b/>
        <i val="0"/>
        <color rgb="FF1A6B3A"/>
      </font>
    </dxf>
    <dxf>
      <font>
        <b/>
        <i val="0"/>
        <color rgb="FFBF6A00"/>
      </font>
    </dxf>
    <dxf>
      <font>
        <b val="0"/>
        <i/>
        <color rgb="FF78909C"/>
      </font>
    </dxf>
    <dxf>
      <font>
        <b/>
        <i val="0"/>
        <color rgb="FF1A6B3A"/>
      </font>
    </dxf>
    <dxf>
      <font>
        <b val="0"/>
        <i/>
        <color rgb="FF78909C"/>
      </font>
    </dxf>
    <dxf>
      <font>
        <b/>
        <i val="0"/>
        <color rgb="FFB71C1C"/>
      </font>
    </dxf>
    <dxf>
      <font>
        <b/>
        <i val="0"/>
        <color rgb="FFE65100"/>
      </font>
    </dxf>
    <dxf>
      <font>
        <b/>
        <i val="0"/>
        <color rgb="FF1B5E20"/>
      </font>
    </dxf>
    <dxf>
      <font>
        <b/>
        <i val="0"/>
        <color rgb="FF1B5E20"/>
      </font>
    </dxf>
    <dxf>
      <font>
        <b/>
        <i val="0"/>
        <color rgb="FFB71C1C"/>
      </font>
    </dxf>
    <dxf>
      <font>
        <b/>
        <i val="0"/>
        <color rgb="FF1B5E20"/>
      </font>
    </dxf>
    <dxf>
      <font>
        <b/>
        <i val="0"/>
        <color rgb="FF1B5E20"/>
      </font>
    </dxf>
    <dxf>
      <font>
        <color rgb="FFB0BEC5"/>
      </font>
    </dxf>
    <dxf>
      <font>
        <b/>
        <i val="0"/>
        <color rgb="FF1A6B3A"/>
      </font>
    </dxf>
    <dxf>
      <font>
        <b/>
        <i val="0"/>
        <color rgb="FFBF6A00"/>
      </font>
    </dxf>
    <dxf>
      <font>
        <b val="0"/>
        <i/>
        <color rgb="FF78909C"/>
      </font>
    </dxf>
    <dxf>
      <font>
        <b/>
        <i val="0"/>
        <color rgb="FF1A6B3A"/>
      </font>
    </dxf>
    <dxf>
      <font>
        <b val="0"/>
        <i/>
        <color rgb="FF78909C"/>
      </font>
    </dxf>
    <dxf>
      <font>
        <b/>
        <i val="0"/>
        <color rgb="FFB71C1C"/>
      </font>
    </dxf>
    <dxf>
      <font>
        <b/>
        <i val="0"/>
        <color rgb="FFE65100"/>
      </font>
    </dxf>
    <dxf>
      <font>
        <b/>
        <i val="0"/>
        <color rgb="FF1B5E20"/>
      </font>
    </dxf>
    <dxf>
      <font>
        <b/>
        <i val="0"/>
        <color rgb="FF1B5E20"/>
      </font>
    </dxf>
    <dxf>
      <font>
        <b/>
        <i val="0"/>
        <color rgb="FFB71C1C"/>
      </font>
    </dxf>
    <dxf>
      <font>
        <b/>
        <i val="0"/>
        <color rgb="FF1B5E20"/>
      </font>
    </dxf>
    <dxf>
      <font>
        <b/>
        <i val="0"/>
        <color rgb="FF1B5E20"/>
      </font>
    </dxf>
    <dxf>
      <font>
        <b val="0"/>
        <i/>
        <color rgb="FF78909C"/>
      </font>
    </dxf>
    <dxf>
      <font>
        <b/>
        <i val="0"/>
        <color rgb="FF1A6B3A"/>
      </font>
    </dxf>
    <dxf>
      <font>
        <b val="0"/>
        <i/>
        <color rgb="FF78909C"/>
      </font>
    </dxf>
    <dxf>
      <font>
        <b/>
        <i val="0"/>
        <color rgb="FF1A6B3A"/>
      </font>
    </dxf>
    <dxf>
      <font>
        <b/>
        <i val="0"/>
        <color rgb="FFC0392B"/>
      </font>
    </dxf>
    <dxf>
      <font>
        <b/>
        <i val="0"/>
        <color rgb="FF1A6B3A"/>
      </font>
    </dxf>
    <dxf>
      <font>
        <color rgb="FFB0BEC5"/>
      </font>
    </dxf>
    <dxf>
      <font>
        <b/>
        <i val="0"/>
        <color rgb="FF1A6B3A"/>
      </font>
    </dxf>
    <dxf>
      <font>
        <b/>
        <i val="0"/>
        <color rgb="FFBF6A00"/>
      </font>
    </dxf>
    <dxf>
      <font>
        <b val="0"/>
        <i/>
        <color rgb="FF78909C"/>
      </font>
    </dxf>
    <dxf>
      <font>
        <b/>
        <i val="0"/>
        <color rgb="FF1A6B3A"/>
      </font>
    </dxf>
    <dxf>
      <font>
        <color rgb="FFB71C1C"/>
      </font>
    </dxf>
    <dxf>
      <font>
        <color rgb="FF1B5E20"/>
      </font>
    </dxf>
    <dxf>
      <font>
        <b val="0"/>
        <i/>
        <color rgb="FF78909C"/>
      </font>
    </dxf>
    <dxf>
      <font>
        <b/>
        <i val="0"/>
        <color rgb="FFB71C1C"/>
      </font>
    </dxf>
    <dxf>
      <font>
        <b/>
        <i val="0"/>
        <color rgb="FFE65100"/>
      </font>
    </dxf>
    <dxf>
      <font>
        <b/>
        <i val="0"/>
        <color rgb="FF1B5E20"/>
      </font>
    </dxf>
    <dxf>
      <font>
        <b/>
        <i val="0"/>
        <color rgb="FF1B5E20"/>
      </font>
    </dxf>
    <dxf>
      <font>
        <color rgb="FFB71C1C"/>
      </font>
    </dxf>
    <dxf>
      <font>
        <b/>
        <i val="0"/>
        <color rgb="FFB71C1C"/>
      </font>
    </dxf>
    <dxf>
      <font>
        <b/>
        <i val="0"/>
        <color rgb="FF1B5E20"/>
      </font>
    </dxf>
    <dxf>
      <font>
        <b/>
        <i val="0"/>
        <color rgb="FF1B5E2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43F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Scorecard — Analyse par Pilier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43F6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Microsoft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DASHBOARD!$Y$2:$Y$6</c:f>
              <c:strCache>
                <c:ptCount val="5"/>
                <c:pt idx="0">
                  <c:v>Valorisation</c:v>
                </c:pt>
                <c:pt idx="1">
                  <c:v>Qualité financière</c:v>
                </c:pt>
                <c:pt idx="2">
                  <c:v>Profitabilité</c:v>
                </c:pt>
                <c:pt idx="3">
                  <c:v>Croissance</c:v>
                </c:pt>
                <c:pt idx="4">
                  <c:v>Risque &amp; Momentum</c:v>
                </c:pt>
              </c:strCache>
            </c:strRef>
          </c:cat>
          <c:val>
            <c:numRef>
              <c:f>DASHBOARD!$Z$2:$Z$6</c:f>
              <c:numCache>
                <c:formatCode>General</c:formatCode>
                <c:ptCount val="5"/>
                <c:pt idx="0">
                  <c:v>34</c:v>
                </c:pt>
                <c:pt idx="1">
                  <c:v>89</c:v>
                </c:pt>
                <c:pt idx="2">
                  <c:v>77</c:v>
                </c:pt>
                <c:pt idx="3">
                  <c:v>60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8-420E-920F-AFA00B789F44}"/>
            </c:ext>
          </c:extLst>
        </c:ser>
        <c:ser>
          <c:idx val="1"/>
          <c:order val="1"/>
          <c:tx>
            <c:v>Alphabet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DASHBOARD!$Y$2:$Y$6</c:f>
              <c:strCache>
                <c:ptCount val="5"/>
                <c:pt idx="0">
                  <c:v>Valorisation</c:v>
                </c:pt>
                <c:pt idx="1">
                  <c:v>Qualité financière</c:v>
                </c:pt>
                <c:pt idx="2">
                  <c:v>Profitabilité</c:v>
                </c:pt>
                <c:pt idx="3">
                  <c:v>Croissance</c:v>
                </c:pt>
                <c:pt idx="4">
                  <c:v>Risque &amp; Momentum</c:v>
                </c:pt>
              </c:strCache>
            </c:strRef>
          </c:cat>
          <c:val>
            <c:numRef>
              <c:f>DASHBOARD!$AA$2:$AA$6</c:f>
              <c:numCache>
                <c:formatCode>General</c:formatCode>
                <c:ptCount val="5"/>
                <c:pt idx="0">
                  <c:v>100</c:v>
                </c:pt>
                <c:pt idx="1">
                  <c:v>78</c:v>
                </c:pt>
                <c:pt idx="2">
                  <c:v>51</c:v>
                </c:pt>
                <c:pt idx="3">
                  <c:v>60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98-420E-920F-AFA00B789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069039"/>
        <c:axId val="1107071919"/>
      </c:radarChart>
      <c:catAx>
        <c:axId val="110706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071919"/>
        <c:crosses val="autoZero"/>
        <c:auto val="1"/>
        <c:lblAlgn val="ctr"/>
        <c:lblOffset val="100"/>
        <c:noMultiLvlLbl val="0"/>
      </c:catAx>
      <c:valAx>
        <c:axId val="110707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06903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43F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Scores Composites — Vue Synthétique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43F6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Microsoft</c:v>
          </c:tx>
          <c:spPr>
            <a:solidFill>
              <a:schemeClr val="accent1"/>
            </a:solidFill>
            <a:ln>
              <a:solidFill>
                <a:srgbClr val="1F4E79"/>
              </a:solidFill>
              <a:prstDash val="solid"/>
            </a:ln>
            <a:effectLst/>
          </c:spPr>
          <c:invertIfNegative val="0"/>
          <c:cat>
            <c:strRef>
              <c:f>DASHBOARD!$Y$28:$Y$32</c:f>
              <c:strCache>
                <c:ptCount val="5"/>
                <c:pt idx="0">
                  <c:v>Métrique</c:v>
                </c:pt>
                <c:pt idx="1">
                  <c:v>FinSight (/100)</c:v>
                </c:pt>
                <c:pt idx="2">
                  <c:v>Momentum (/10)</c:v>
                </c:pt>
                <c:pt idx="3">
                  <c:v>Piotroski (/9)</c:v>
                </c:pt>
                <c:pt idx="4">
                  <c:v>Conviction (%)</c:v>
                </c:pt>
              </c:strCache>
            </c:strRef>
          </c:cat>
          <c:val>
            <c:numRef>
              <c:f>DASHBOARD!$Z$28:$Z$32</c:f>
              <c:numCache>
                <c:formatCode>General</c:formatCode>
                <c:ptCount val="5"/>
                <c:pt idx="0">
                  <c:v>0</c:v>
                </c:pt>
                <c:pt idx="1">
                  <c:v>82</c:v>
                </c:pt>
                <c:pt idx="2">
                  <c:v>72</c:v>
                </c:pt>
                <c:pt idx="3">
                  <c:v>88.888888888888886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E-4C44-8C42-9E31DA395893}"/>
            </c:ext>
          </c:extLst>
        </c:ser>
        <c:ser>
          <c:idx val="1"/>
          <c:order val="1"/>
          <c:tx>
            <c:v>Alphabet</c:v>
          </c:tx>
          <c:spPr>
            <a:solidFill>
              <a:schemeClr val="accent2"/>
            </a:solidFill>
            <a:ln>
              <a:solidFill>
                <a:srgbClr val="C55A11"/>
              </a:solidFill>
              <a:prstDash val="solid"/>
            </a:ln>
            <a:effectLst/>
          </c:spPr>
          <c:invertIfNegative val="0"/>
          <c:cat>
            <c:strRef>
              <c:f>DASHBOARD!$Y$28:$Y$32</c:f>
              <c:strCache>
                <c:ptCount val="5"/>
                <c:pt idx="0">
                  <c:v>Métrique</c:v>
                </c:pt>
                <c:pt idx="1">
                  <c:v>FinSight (/100)</c:v>
                </c:pt>
                <c:pt idx="2">
                  <c:v>Momentum (/10)</c:v>
                </c:pt>
                <c:pt idx="3">
                  <c:v>Piotroski (/9)</c:v>
                </c:pt>
                <c:pt idx="4">
                  <c:v>Conviction (%)</c:v>
                </c:pt>
              </c:strCache>
            </c:strRef>
          </c:cat>
          <c:val>
            <c:numRef>
              <c:f>DASHBOARD!$AA$28:$AA$32</c:f>
              <c:numCache>
                <c:formatCode>General</c:formatCode>
                <c:ptCount val="5"/>
                <c:pt idx="0">
                  <c:v>0</c:v>
                </c:pt>
                <c:pt idx="1">
                  <c:v>74</c:v>
                </c:pt>
                <c:pt idx="2">
                  <c:v>61</c:v>
                </c:pt>
                <c:pt idx="3">
                  <c:v>77.777777777777786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6E-4C44-8C42-9E31DA395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096879"/>
        <c:axId val="1107101679"/>
      </c:barChart>
      <c:catAx>
        <c:axId val="110709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101679"/>
        <c:crosses val="autoZero"/>
        <c:auto val="1"/>
        <c:lblAlgn val="ctr"/>
        <c:lblOffset val="100"/>
        <c:noMultiLvlLbl val="0"/>
      </c:catAx>
      <c:valAx>
        <c:axId val="110710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09687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0A2342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DCF — Scénarios Bear / Base / Bull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0A2342"/>
              </a:solidFill>
              <a:latin typeface="Arial Narrow"/>
              <a:ea typeface="Arial Narrow"/>
              <a:cs typeface="Arial Narrow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Soc. A</c:v>
          </c:tx>
          <c:spPr>
            <a:solidFill>
              <a:srgbClr val="1B3A6B"/>
            </a:solidFill>
            <a:ln>
              <a:noFill/>
            </a:ln>
            <a:effectLst/>
          </c:spPr>
          <c:invertIfNegative val="0"/>
          <c:cat>
            <c:strRef>
              <c:f>SENSIBILITE!$I$4:$I$8</c:f>
              <c:strCache>
                <c:ptCount val="5"/>
                <c:pt idx="0">
                  <c:v>Scénario</c:v>
                </c:pt>
                <c:pt idx="1">
                  <c:v>Bear</c:v>
                </c:pt>
                <c:pt idx="2">
                  <c:v>Base</c:v>
                </c:pt>
                <c:pt idx="3">
                  <c:v>Bull</c:v>
                </c:pt>
                <c:pt idx="4">
                  <c:v>Cours actuel</c:v>
                </c:pt>
              </c:strCache>
            </c:strRef>
          </c:cat>
          <c:val>
            <c:numRef>
              <c:f>SENSIBILITE!$J$4:$J$8</c:f>
              <c:numCache>
                <c:formatCode>General</c:formatCode>
                <c:ptCount val="5"/>
                <c:pt idx="0">
                  <c:v>0</c:v>
                </c:pt>
                <c:pt idx="1">
                  <c:v>310</c:v>
                </c:pt>
                <c:pt idx="2">
                  <c:v>480</c:v>
                </c:pt>
                <c:pt idx="3">
                  <c:v>610</c:v>
                </c:pt>
                <c:pt idx="4">
                  <c:v>415.2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A-4F92-9852-102C3FF8A4AB}"/>
            </c:ext>
          </c:extLst>
        </c:ser>
        <c:ser>
          <c:idx val="1"/>
          <c:order val="1"/>
          <c:tx>
            <c:v>Soc. B</c:v>
          </c:tx>
          <c:spPr>
            <a:solidFill>
              <a:srgbClr val="4A90C4"/>
            </a:solidFill>
            <a:ln>
              <a:noFill/>
            </a:ln>
            <a:effectLst/>
          </c:spPr>
          <c:invertIfNegative val="0"/>
          <c:cat>
            <c:strRef>
              <c:f>SENSIBILITE!$I$4:$I$8</c:f>
              <c:strCache>
                <c:ptCount val="5"/>
                <c:pt idx="0">
                  <c:v>Scénario</c:v>
                </c:pt>
                <c:pt idx="1">
                  <c:v>Bear</c:v>
                </c:pt>
                <c:pt idx="2">
                  <c:v>Base</c:v>
                </c:pt>
                <c:pt idx="3">
                  <c:v>Bull</c:v>
                </c:pt>
                <c:pt idx="4">
                  <c:v>Cours actuel</c:v>
                </c:pt>
              </c:strCache>
            </c:strRef>
          </c:cat>
          <c:val>
            <c:numRef>
              <c:f>SENSIBILITE!$K$4:$K$8</c:f>
              <c:numCache>
                <c:formatCode>General</c:formatCode>
                <c:ptCount val="5"/>
                <c:pt idx="0">
                  <c:v>0</c:v>
                </c:pt>
                <c:pt idx="1">
                  <c:v>130</c:v>
                </c:pt>
                <c:pt idx="2">
                  <c:v>195</c:v>
                </c:pt>
                <c:pt idx="3">
                  <c:v>255</c:v>
                </c:pt>
                <c:pt idx="4">
                  <c:v>168.5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A-4F92-9852-102C3FF8A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7102159"/>
        <c:axId val="1107104079"/>
      </c:barChart>
      <c:catAx>
        <c:axId val="1107102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104079"/>
        <c:crosses val="autoZero"/>
        <c:auto val="1"/>
        <c:lblAlgn val="ctr"/>
        <c:lblOffset val="100"/>
        <c:noMultiLvlLbl val="0"/>
      </c:catAx>
      <c:valAx>
        <c:axId val="110710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10215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0A2342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Multiples de Valorisation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0A2342"/>
              </a:solidFill>
              <a:latin typeface="Arial Narrow"/>
              <a:ea typeface="Arial Narrow"/>
              <a:cs typeface="Arial Narrow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Microsoft</c:v>
          </c:tx>
          <c:spPr>
            <a:solidFill>
              <a:srgbClr val="1B3A6B"/>
            </a:solidFill>
            <a:ln>
              <a:noFill/>
            </a:ln>
            <a:effectLst/>
          </c:spPr>
          <c:invertIfNegative val="0"/>
          <c:cat>
            <c:strRef>
              <c:f>VALORISATION!$M$2:$M$4</c:f>
              <c:strCache>
                <c:ptCount val="3"/>
                <c:pt idx="0">
                  <c:v>PE (LTM)</c:v>
                </c:pt>
                <c:pt idx="1">
                  <c:v>EV/EBITDA</c:v>
                </c:pt>
                <c:pt idx="2">
                  <c:v>P/Book</c:v>
                </c:pt>
              </c:strCache>
            </c:strRef>
          </c:cat>
          <c:val>
            <c:numRef>
              <c:f>VALORISATION!$N$2:$N$4</c:f>
              <c:numCache>
                <c:formatCode>General</c:formatCode>
                <c:ptCount val="3"/>
                <c:pt idx="0">
                  <c:v>33.4</c:v>
                </c:pt>
                <c:pt idx="1">
                  <c:v>22.1</c:v>
                </c:pt>
                <c:pt idx="2">
                  <c:v>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2-4F79-9262-E47DF4F480D0}"/>
            </c:ext>
          </c:extLst>
        </c:ser>
        <c:ser>
          <c:idx val="1"/>
          <c:order val="1"/>
          <c:tx>
            <c:v>Alphabet</c:v>
          </c:tx>
          <c:spPr>
            <a:solidFill>
              <a:srgbClr val="4A90C4"/>
            </a:solidFill>
            <a:ln>
              <a:noFill/>
            </a:ln>
            <a:effectLst/>
          </c:spPr>
          <c:invertIfNegative val="0"/>
          <c:cat>
            <c:strRef>
              <c:f>VALORISATION!$M$2:$M$4</c:f>
              <c:strCache>
                <c:ptCount val="3"/>
                <c:pt idx="0">
                  <c:v>PE (LTM)</c:v>
                </c:pt>
                <c:pt idx="1">
                  <c:v>EV/EBITDA</c:v>
                </c:pt>
                <c:pt idx="2">
                  <c:v>P/Book</c:v>
                </c:pt>
              </c:strCache>
            </c:strRef>
          </c:cat>
          <c:val>
            <c:numRef>
              <c:f>VALORISATION!$O$2:$O$4</c:f>
              <c:numCache>
                <c:formatCode>General</c:formatCode>
                <c:ptCount val="3"/>
                <c:pt idx="0">
                  <c:v>21.8</c:v>
                </c:pt>
                <c:pt idx="1">
                  <c:v>14.3</c:v>
                </c:pt>
                <c:pt idx="2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D2-4F79-9262-E47DF4F48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7084399"/>
        <c:axId val="1107073359"/>
      </c:barChart>
      <c:catAx>
        <c:axId val="110708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073359"/>
        <c:crosses val="autoZero"/>
        <c:auto val="1"/>
        <c:lblAlgn val="ctr"/>
        <c:lblOffset val="100"/>
        <c:noMultiLvlLbl val="0"/>
      </c:catAx>
      <c:valAx>
        <c:axId val="110707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08439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0A2342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Rendements &amp; Croissance Relative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0A2342"/>
              </a:solidFill>
              <a:latin typeface="Arial Narrow"/>
              <a:ea typeface="Arial Narrow"/>
              <a:cs typeface="Arial Narrow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Microsoft</c:v>
          </c:tx>
          <c:spPr>
            <a:solidFill>
              <a:srgbClr val="1B3A6B"/>
            </a:solidFill>
            <a:ln>
              <a:noFill/>
            </a:ln>
            <a:effectLst/>
          </c:spPr>
          <c:invertIfNegative val="0"/>
          <c:cat>
            <c:strRef>
              <c:f>VALORISATION!$Q$2:$Q$3</c:f>
              <c:strCache>
                <c:ptCount val="2"/>
                <c:pt idx="0">
                  <c:v>FCF Yield (%)</c:v>
                </c:pt>
                <c:pt idx="1">
                  <c:v>PEG Ratio</c:v>
                </c:pt>
              </c:strCache>
            </c:strRef>
          </c:cat>
          <c:val>
            <c:numRef>
              <c:f>VALORISATION!$R$2:$R$3</c:f>
              <c:numCache>
                <c:formatCode>General</c:formatCode>
                <c:ptCount val="2"/>
                <c:pt idx="0">
                  <c:v>2.1999999999999997</c:v>
                </c:pt>
                <c:pt idx="1">
                  <c:v>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0-45A1-B270-E04D7DB108C7}"/>
            </c:ext>
          </c:extLst>
        </c:ser>
        <c:ser>
          <c:idx val="1"/>
          <c:order val="1"/>
          <c:tx>
            <c:v>Alphabet</c:v>
          </c:tx>
          <c:spPr>
            <a:solidFill>
              <a:srgbClr val="4A90C4"/>
            </a:solidFill>
            <a:ln>
              <a:noFill/>
            </a:ln>
            <a:effectLst/>
          </c:spPr>
          <c:invertIfNegative val="0"/>
          <c:cat>
            <c:strRef>
              <c:f>VALORISATION!$Q$2:$Q$3</c:f>
              <c:strCache>
                <c:ptCount val="2"/>
                <c:pt idx="0">
                  <c:v>FCF Yield (%)</c:v>
                </c:pt>
                <c:pt idx="1">
                  <c:v>PEG Ratio</c:v>
                </c:pt>
              </c:strCache>
            </c:strRef>
          </c:cat>
          <c:val>
            <c:numRef>
              <c:f>VALORISATION!$S$2:$S$3</c:f>
              <c:numCache>
                <c:formatCode>General</c:formatCode>
                <c:ptCount val="2"/>
                <c:pt idx="0">
                  <c:v>3.1</c:v>
                </c:pt>
                <c:pt idx="1">
                  <c:v>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90-45A1-B270-E04D7DB10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7087759"/>
        <c:axId val="1107078159"/>
      </c:barChart>
      <c:catAx>
        <c:axId val="110708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078159"/>
        <c:crosses val="autoZero"/>
        <c:auto val="1"/>
        <c:lblAlgn val="ctr"/>
        <c:lblOffset val="100"/>
        <c:noMultiLvlLbl val="0"/>
      </c:catAx>
      <c:valAx>
        <c:axId val="110707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08775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43F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Évolution Marge EBITDA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43F6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PROFITABILITE_CROISSANCE!$AA$3</c:f>
              <c:strCache>
                <c:ptCount val="1"/>
                <c:pt idx="0">
                  <c:v>Microsoft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PROFITABILITE_CROISSANCE!$Z$4:$Z$6</c:f>
              <c:strCache>
                <c:ptCount val="3"/>
                <c:pt idx="0">
                  <c:v>N-2</c:v>
                </c:pt>
                <c:pt idx="1">
                  <c:v>N-1</c:v>
                </c:pt>
                <c:pt idx="2">
                  <c:v>LTM</c:v>
                </c:pt>
              </c:strCache>
            </c:strRef>
          </c:cat>
          <c:val>
            <c:numRef>
              <c:f>PROFITABILITE_CROISSANCE!$AA$4:$AA$6</c:f>
              <c:numCache>
                <c:formatCode>General</c:formatCode>
                <c:ptCount val="3"/>
                <c:pt idx="0">
                  <c:v>0.41199999999999998</c:v>
                </c:pt>
                <c:pt idx="1">
                  <c:v>0.43099999999999999</c:v>
                </c:pt>
                <c:pt idx="2">
                  <c:v>0.45800000000000002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A-4226-AE8B-F99DE8E1B3BA}"/>
            </c:ext>
          </c:extLst>
        </c:ser>
        <c:ser>
          <c:idx val="1"/>
          <c:order val="1"/>
          <c:tx>
            <c:strRef>
              <c:f>PROFITABILITE_CROISSANCE!$AB$3</c:f>
              <c:strCache>
                <c:ptCount val="1"/>
                <c:pt idx="0">
                  <c:v>Alphabet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PROFITABILITE_CROISSANCE!$Z$4:$Z$6</c:f>
              <c:strCache>
                <c:ptCount val="3"/>
                <c:pt idx="0">
                  <c:v>N-2</c:v>
                </c:pt>
                <c:pt idx="1">
                  <c:v>N-1</c:v>
                </c:pt>
                <c:pt idx="2">
                  <c:v>LTM</c:v>
                </c:pt>
              </c:strCache>
            </c:strRef>
          </c:cat>
          <c:val>
            <c:numRef>
              <c:f>PROFITABILITE_CROISSANCE!$AB$4:$AB$6</c:f>
              <c:numCache>
                <c:formatCode>General</c:formatCode>
                <c:ptCount val="3"/>
                <c:pt idx="0">
                  <c:v>0.28100000000000003</c:v>
                </c:pt>
                <c:pt idx="1">
                  <c:v>0.29799999999999999</c:v>
                </c:pt>
                <c:pt idx="2">
                  <c:v>0.32100000000000001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BA-4226-AE8B-F99DE8E1B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038319"/>
        <c:axId val="1107046479"/>
      </c:lineChart>
      <c:catAx>
        <c:axId val="110703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046479"/>
        <c:crosses val="autoZero"/>
        <c:auto val="1"/>
        <c:lblAlgn val="ctr"/>
        <c:lblOffset val="100"/>
        <c:noMultiLvlLbl val="0"/>
      </c:catAx>
      <c:valAx>
        <c:axId val="110704647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03831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43F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Rentabilité &amp; Croissance Comparées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43F6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Microsoft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PROFITABILITE_CROISSANCE!$P$1:$P$7</c:f>
              <c:strCache>
                <c:ptCount val="7"/>
                <c:pt idx="0">
                  <c:v>Métrique</c:v>
                </c:pt>
                <c:pt idx="1">
                  <c:v>ROIC (%)</c:v>
                </c:pt>
                <c:pt idx="2">
                  <c:v>ROE (%)</c:v>
                </c:pt>
                <c:pt idx="3">
                  <c:v>Mg. EBITDA (%)</c:v>
                </c:pt>
                <c:pt idx="4">
                  <c:v>CAGR CA 3Y (%)</c:v>
                </c:pt>
                <c:pt idx="5">
                  <c:v>Croiss. BPA (%)</c:v>
                </c:pt>
                <c:pt idx="6">
                  <c:v>Couv. Intérêts (x)</c:v>
                </c:pt>
              </c:strCache>
            </c:strRef>
          </c:cat>
          <c:val>
            <c:numRef>
              <c:f>PROFITABILITE_CROISSANCE!$Q$1:$Q$7</c:f>
              <c:numCache>
                <c:formatCode>General</c:formatCode>
                <c:ptCount val="7"/>
                <c:pt idx="0">
                  <c:v>0</c:v>
                </c:pt>
                <c:pt idx="1">
                  <c:v>31.2</c:v>
                </c:pt>
                <c:pt idx="2">
                  <c:v>34.1</c:v>
                </c:pt>
                <c:pt idx="3">
                  <c:v>45.800000000000004</c:v>
                </c:pt>
                <c:pt idx="4">
                  <c:v>14.2</c:v>
                </c:pt>
                <c:pt idx="5">
                  <c:v>18.7</c:v>
                </c:pt>
                <c:pt idx="6">
                  <c:v>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F-4CD6-945F-DD1B01D3E88E}"/>
            </c:ext>
          </c:extLst>
        </c:ser>
        <c:ser>
          <c:idx val="1"/>
          <c:order val="1"/>
          <c:tx>
            <c:v>Alphabet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PROFITABILITE_CROISSANCE!$P$1:$P$7</c:f>
              <c:strCache>
                <c:ptCount val="7"/>
                <c:pt idx="0">
                  <c:v>Métrique</c:v>
                </c:pt>
                <c:pt idx="1">
                  <c:v>ROIC (%)</c:v>
                </c:pt>
                <c:pt idx="2">
                  <c:v>ROE (%)</c:v>
                </c:pt>
                <c:pt idx="3">
                  <c:v>Mg. EBITDA (%)</c:v>
                </c:pt>
                <c:pt idx="4">
                  <c:v>CAGR CA 3Y (%)</c:v>
                </c:pt>
                <c:pt idx="5">
                  <c:v>Croiss. BPA (%)</c:v>
                </c:pt>
                <c:pt idx="6">
                  <c:v>Couv. Intérêts (x)</c:v>
                </c:pt>
              </c:strCache>
            </c:strRef>
          </c:cat>
          <c:val>
            <c:numRef>
              <c:f>PROFITABILITE_CROISSANCE!$R$1:$R$7</c:f>
              <c:numCache>
                <c:formatCode>General</c:formatCode>
                <c:ptCount val="7"/>
                <c:pt idx="0">
                  <c:v>0</c:v>
                </c:pt>
                <c:pt idx="1">
                  <c:v>18.7</c:v>
                </c:pt>
                <c:pt idx="2">
                  <c:v>15.2</c:v>
                </c:pt>
                <c:pt idx="3">
                  <c:v>32.1</c:v>
                </c:pt>
                <c:pt idx="4">
                  <c:v>11.799999999999999</c:v>
                </c:pt>
                <c:pt idx="5">
                  <c:v>14.299999999999999</c:v>
                </c:pt>
                <c:pt idx="6">
                  <c:v>19.7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F-4CD6-945F-DD1B01D3E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051279"/>
        <c:axId val="1107052719"/>
      </c:barChart>
      <c:catAx>
        <c:axId val="110705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052719"/>
        <c:crosses val="autoZero"/>
        <c:auto val="1"/>
        <c:lblAlgn val="ctr"/>
        <c:lblOffset val="100"/>
        <c:noMultiLvlLbl val="0"/>
      </c:catAx>
      <c:valAx>
        <c:axId val="1107052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05127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0A2342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Scores FinSight — Comparatif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0A2342"/>
              </a:solidFill>
              <a:latin typeface="Arial Narrow"/>
              <a:ea typeface="Arial Narrow"/>
              <a:cs typeface="Arial Narrow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RISQUE_MOMENTUM!$AA$3</c:f>
              <c:strCache>
                <c:ptCount val="1"/>
                <c:pt idx="0">
                  <c:v>Microsoft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RISQUE_MOMENTUM!$Z$4:$Z$6</c:f>
              <c:strCache>
                <c:ptCount val="3"/>
                <c:pt idx="0">
                  <c:v>Score FinSight (/100)</c:v>
                </c:pt>
                <c:pt idx="1">
                  <c:v>Score Momentum (/10)</c:v>
                </c:pt>
                <c:pt idx="2">
                  <c:v>Conviction (%)</c:v>
                </c:pt>
              </c:strCache>
            </c:strRef>
          </c:cat>
          <c:val>
            <c:numRef>
              <c:f>RISQUE_MOMENTUM!$AA$4:$AA$6</c:f>
              <c:numCache>
                <c:formatCode>General</c:formatCode>
                <c:ptCount val="3"/>
                <c:pt idx="0">
                  <c:v>82</c:v>
                </c:pt>
                <c:pt idx="1">
                  <c:v>72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F-4AED-B540-DF6849B46540}"/>
            </c:ext>
          </c:extLst>
        </c:ser>
        <c:ser>
          <c:idx val="1"/>
          <c:order val="1"/>
          <c:tx>
            <c:strRef>
              <c:f>RISQUE_MOMENTUM!$AB$3</c:f>
              <c:strCache>
                <c:ptCount val="1"/>
                <c:pt idx="0">
                  <c:v>Alphabet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RISQUE_MOMENTUM!$Z$4:$Z$6</c:f>
              <c:strCache>
                <c:ptCount val="3"/>
                <c:pt idx="0">
                  <c:v>Score FinSight (/100)</c:v>
                </c:pt>
                <c:pt idx="1">
                  <c:v>Score Momentum (/10)</c:v>
                </c:pt>
                <c:pt idx="2">
                  <c:v>Conviction (%)</c:v>
                </c:pt>
              </c:strCache>
            </c:strRef>
          </c:cat>
          <c:val>
            <c:numRef>
              <c:f>RISQUE_MOMENTUM!$AB$4:$AB$6</c:f>
              <c:numCache>
                <c:formatCode>General</c:formatCode>
                <c:ptCount val="3"/>
                <c:pt idx="0">
                  <c:v>74</c:v>
                </c:pt>
                <c:pt idx="1">
                  <c:v>61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AF-4AED-B540-DF6849B46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7081519"/>
        <c:axId val="1107077199"/>
      </c:barChart>
      <c:catAx>
        <c:axId val="1107081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/>
                <a:ea typeface="Arial Narrow"/>
                <a:cs typeface="Arial Narrow"/>
              </a:defRPr>
            </a:pPr>
            <a:endParaRPr lang="fr-FR"/>
          </a:p>
        </c:txPr>
        <c:crossAx val="1107077199"/>
        <c:crosses val="autoZero"/>
        <c:auto val="1"/>
        <c:lblAlgn val="ctr"/>
        <c:lblOffset val="100"/>
        <c:noMultiLvlLbl val="0"/>
      </c:catAx>
      <c:valAx>
        <c:axId val="1107077199"/>
        <c:scaling>
          <c:orientation val="minMax"/>
          <c:max val="100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/>
                <a:ea typeface="Arial Narrow"/>
                <a:cs typeface="Arial Narrow"/>
              </a:defRPr>
            </a:pPr>
            <a:endParaRPr lang="fr-FR"/>
          </a:p>
        </c:txPr>
        <c:crossAx val="110708151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arrow"/>
              <a:ea typeface="Arial Narrow"/>
              <a:cs typeface="Arial Narrow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16</xdr:row>
      <xdr:rowOff>167640</xdr:rowOff>
    </xdr:from>
    <xdr:to>
      <xdr:col>16</xdr:col>
      <xdr:colOff>236220</xdr:colOff>
      <xdr:row>31</xdr:row>
      <xdr:rowOff>60960</xdr:rowOff>
    </xdr:to>
    <xdr:graphicFrame macro="">
      <xdr:nvGraphicFramePr>
        <xdr:cNvPr id="4" name="Chart_Radar_Scorecard">
          <a:extLst>
            <a:ext uri="{FF2B5EF4-FFF2-40B4-BE49-F238E27FC236}">
              <a16:creationId xmlns:a16="http://schemas.microsoft.com/office/drawing/2014/main" id="{95B02CA6-D43F-1830-8162-F5F17629B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1</xdr:row>
      <xdr:rowOff>167640</xdr:rowOff>
    </xdr:from>
    <xdr:to>
      <xdr:col>16</xdr:col>
      <xdr:colOff>213360</xdr:colOff>
      <xdr:row>16</xdr:row>
      <xdr:rowOff>121920</xdr:rowOff>
    </xdr:to>
    <xdr:graphicFrame macro="">
      <xdr:nvGraphicFramePr>
        <xdr:cNvPr id="8" name="Chart_Scores">
          <a:extLst>
            <a:ext uri="{FF2B5EF4-FFF2-40B4-BE49-F238E27FC236}">
              <a16:creationId xmlns:a16="http://schemas.microsoft.com/office/drawing/2014/main" id="{07DC80C9-BB53-EDE2-671B-84CCD07D7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61867</xdr:colOff>
      <xdr:row>2</xdr:row>
      <xdr:rowOff>83820</xdr:rowOff>
    </xdr:from>
    <xdr:to>
      <xdr:col>16</xdr:col>
      <xdr:colOff>411480</xdr:colOff>
      <xdr:row>17</xdr:row>
      <xdr:rowOff>114300</xdr:rowOff>
    </xdr:to>
    <xdr:graphicFrame macro="">
      <xdr:nvGraphicFramePr>
        <xdr:cNvPr id="2" name="DCF_Sensibilite">
          <a:extLst>
            <a:ext uri="{FF2B5EF4-FFF2-40B4-BE49-F238E27FC236}">
              <a16:creationId xmlns:a16="http://schemas.microsoft.com/office/drawing/2014/main" id="{51F39F15-2892-68DB-F318-32EE71BA8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86360</xdr:colOff>
      <xdr:row>0</xdr:row>
      <xdr:rowOff>50800</xdr:rowOff>
    </xdr:from>
    <xdr:to>
      <xdr:col>8</xdr:col>
      <xdr:colOff>391160</xdr:colOff>
      <xdr:row>12</xdr:row>
      <xdr:rowOff>71120</xdr:rowOff>
    </xdr:to>
    <xdr:graphicFrame macro="">
      <xdr:nvGraphicFramePr>
        <xdr:cNvPr id="5" name="Chart_Multiples_Valorisation">
          <a:extLst>
            <a:ext uri="{FF2B5EF4-FFF2-40B4-BE49-F238E27FC236}">
              <a16:creationId xmlns:a16="http://schemas.microsoft.com/office/drawing/2014/main" id="{A9937FCA-4A3B-39B1-69BA-315CA50D7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492760</xdr:colOff>
      <xdr:row>0</xdr:row>
      <xdr:rowOff>50800</xdr:rowOff>
    </xdr:from>
    <xdr:to>
      <xdr:col>15</xdr:col>
      <xdr:colOff>500380</xdr:colOff>
      <xdr:row>12</xdr:row>
      <xdr:rowOff>71120</xdr:rowOff>
    </xdr:to>
    <xdr:graphicFrame macro="">
      <xdr:nvGraphicFramePr>
        <xdr:cNvPr id="6" name="Chart_Rendements">
          <a:extLst>
            <a:ext uri="{FF2B5EF4-FFF2-40B4-BE49-F238E27FC236}">
              <a16:creationId xmlns:a16="http://schemas.microsoft.com/office/drawing/2014/main" id="{0F26F648-765C-9D16-7235-64728161B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27397</xdr:colOff>
      <xdr:row>0</xdr:row>
      <xdr:rowOff>106765</xdr:rowOff>
    </xdr:from>
    <xdr:to>
      <xdr:col>17</xdr:col>
      <xdr:colOff>402406</xdr:colOff>
      <xdr:row>14</xdr:row>
      <xdr:rowOff>7876</xdr:rowOff>
    </xdr:to>
    <xdr:graphicFrame macro="">
      <xdr:nvGraphicFramePr>
        <xdr:cNvPr id="3" name="Chart_Marges_EBITDA">
          <a:extLst>
            <a:ext uri="{FF2B5EF4-FFF2-40B4-BE49-F238E27FC236}">
              <a16:creationId xmlns:a16="http://schemas.microsoft.com/office/drawing/2014/main" id="{6B042D6A-EC32-E76F-9C4B-603225FA4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10274</xdr:colOff>
      <xdr:row>14</xdr:row>
      <xdr:rowOff>111304</xdr:rowOff>
    </xdr:from>
    <xdr:to>
      <xdr:col>17</xdr:col>
      <xdr:colOff>393843</xdr:colOff>
      <xdr:row>27</xdr:row>
      <xdr:rowOff>111303</xdr:rowOff>
    </xdr:to>
    <xdr:graphicFrame macro="">
      <xdr:nvGraphicFramePr>
        <xdr:cNvPr id="4" name="Chart_Rentabilite">
          <a:extLst>
            <a:ext uri="{FF2B5EF4-FFF2-40B4-BE49-F238E27FC236}">
              <a16:creationId xmlns:a16="http://schemas.microsoft.com/office/drawing/2014/main" id="{81C5176B-B796-47F8-D387-FD019E98A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34247</xdr:colOff>
      <xdr:row>1</xdr:row>
      <xdr:rowOff>102742</xdr:rowOff>
    </xdr:from>
    <xdr:to>
      <xdr:col>16</xdr:col>
      <xdr:colOff>505146</xdr:colOff>
      <xdr:row>16</xdr:row>
      <xdr:rowOff>193441</xdr:rowOff>
    </xdr:to>
    <xdr:graphicFrame macro="">
      <xdr:nvGraphicFramePr>
        <xdr:cNvPr id="2" name="ScoresComparatifs">
          <a:extLst>
            <a:ext uri="{FF2B5EF4-FFF2-40B4-BE49-F238E27FC236}">
              <a16:creationId xmlns:a16="http://schemas.microsoft.com/office/drawing/2014/main" id="{FDC88160-1F76-2941-1CAB-8D4C44C22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1345CC-899C-464A-943C-900BF8D9152B}">
  <we:reference id="wa200009404" version="1.0.0.8" store="fr-FR" storeType="OMEX"/>
  <we:alternateReferences>
    <we:reference id="WA200009404" version="1.0.0.8" store="" storeType="OMEX"/>
  </we:alternateReferences>
  <we:properties>
    <we:property name="claude.fileId" value="&quot;1cb8bb83-dd2d-4e79-937e-f840e2f1a79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2342"/>
  </sheetPr>
  <dimension ref="A1:AB49"/>
  <sheetViews>
    <sheetView showGridLines="0" tabSelected="1" zoomScaleNormal="100" workbookViewId="0">
      <selection activeCell="D15" sqref="D15"/>
    </sheetView>
  </sheetViews>
  <sheetFormatPr baseColWidth="10" defaultColWidth="8.88671875" defaultRowHeight="14.4" x14ac:dyDescent="0.3"/>
  <cols>
    <col min="1" max="1" width="1.88671875" customWidth="1"/>
    <col min="2" max="2" width="39.77734375" customWidth="1"/>
    <col min="3" max="4" width="18.5546875" customWidth="1"/>
    <col min="5" max="5" width="24.109375" customWidth="1"/>
    <col min="6" max="6" width="2" customWidth="1"/>
    <col min="7" max="9" width="1.44140625" customWidth="1"/>
  </cols>
  <sheetData>
    <row r="1" spans="1:27" ht="28.05" customHeight="1" x14ac:dyDescent="0.3">
      <c r="A1" s="33"/>
      <c r="B1" s="34" t="s">
        <v>152</v>
      </c>
      <c r="C1" s="33"/>
      <c r="D1" s="33"/>
      <c r="E1" s="33"/>
      <c r="Y1" s="376" t="s">
        <v>185</v>
      </c>
      <c r="Z1" s="376" t="str">
        <f>C10</f>
        <v>Microsoft</v>
      </c>
      <c r="AA1" s="376" t="str">
        <f>D10</f>
        <v>Alphabet</v>
      </c>
    </row>
    <row r="2" spans="1:27" ht="13.95" customHeight="1" x14ac:dyDescent="0.3">
      <c r="A2" s="95"/>
      <c r="B2" s="37" t="s">
        <v>164</v>
      </c>
      <c r="C2" s="36"/>
      <c r="D2" s="36"/>
      <c r="E2" s="36"/>
      <c r="Y2" s="376" t="str">
        <f>B38</f>
        <v>Valorisation</v>
      </c>
      <c r="Z2" s="376">
        <f>C38</f>
        <v>34</v>
      </c>
      <c r="AA2" s="376">
        <f>D38</f>
        <v>100</v>
      </c>
    </row>
    <row r="3" spans="1:27" ht="4.95" customHeight="1" x14ac:dyDescent="0.3">
      <c r="A3" s="423"/>
      <c r="B3" s="6"/>
      <c r="C3" s="5"/>
      <c r="D3" s="5"/>
      <c r="E3" s="5"/>
      <c r="Y3" s="376" t="str">
        <f>B39</f>
        <v>Qualité financière</v>
      </c>
      <c r="Z3" s="376">
        <f>C39</f>
        <v>89</v>
      </c>
      <c r="AA3" s="376">
        <f>D39</f>
        <v>78</v>
      </c>
    </row>
    <row r="4" spans="1:27" ht="13.95" customHeight="1" thickBot="1" x14ac:dyDescent="0.35">
      <c r="A4" s="83"/>
      <c r="B4" s="84" t="s">
        <v>157</v>
      </c>
      <c r="C4" s="83"/>
      <c r="D4" s="83"/>
      <c r="E4" s="99"/>
      <c r="Y4" s="376" t="str">
        <f>B40</f>
        <v>Profitabilité</v>
      </c>
      <c r="Z4" s="376">
        <f>C40</f>
        <v>77</v>
      </c>
      <c r="AA4" s="376">
        <f>D40</f>
        <v>51</v>
      </c>
    </row>
    <row r="5" spans="1:27" ht="13.05" customHeight="1" x14ac:dyDescent="0.3">
      <c r="A5" s="96"/>
      <c r="B5" s="88" t="s">
        <v>158</v>
      </c>
      <c r="C5" s="89" t="s">
        <v>159</v>
      </c>
      <c r="D5" s="89" t="s">
        <v>160</v>
      </c>
      <c r="E5" s="100" t="s">
        <v>161</v>
      </c>
      <c r="Y5" s="376" t="str">
        <f>B41</f>
        <v>Croissance</v>
      </c>
      <c r="Z5" s="376">
        <f>C41</f>
        <v>60</v>
      </c>
      <c r="AA5" s="376">
        <f>D41</f>
        <v>60</v>
      </c>
    </row>
    <row r="6" spans="1:27" ht="22.05" customHeight="1" x14ac:dyDescent="0.3">
      <c r="A6" s="85"/>
      <c r="B6" s="166">
        <f>IFERROR(C15,"—")</f>
        <v>0.157</v>
      </c>
      <c r="C6" s="168">
        <f>IFERROR(C22,"—")</f>
        <v>8</v>
      </c>
      <c r="D6" s="93">
        <f>IFERROR(C29,"—")</f>
        <v>0.45800000000000002</v>
      </c>
      <c r="E6" s="170">
        <f>IFERROR(DATA_RAW!C47,"—")</f>
        <v>82</v>
      </c>
      <c r="Y6" s="376" t="str">
        <f>B42</f>
        <v>Risque &amp; Momentum</v>
      </c>
      <c r="Z6" s="376">
        <f>C42</f>
        <v>80</v>
      </c>
      <c r="AA6" s="376">
        <f>D42</f>
        <v>55</v>
      </c>
    </row>
    <row r="7" spans="1:27" ht="10.95" customHeight="1" x14ac:dyDescent="0.3">
      <c r="A7" s="86"/>
      <c r="B7" s="103" t="s">
        <v>162</v>
      </c>
      <c r="C7" s="104" t="s">
        <v>162</v>
      </c>
      <c r="D7" s="105" t="s">
        <v>162</v>
      </c>
      <c r="E7" s="106" t="s">
        <v>162</v>
      </c>
      <c r="Y7" s="376"/>
      <c r="Z7" s="376"/>
      <c r="AA7" s="376"/>
    </row>
    <row r="8" spans="1:27" ht="22.05" customHeight="1" x14ac:dyDescent="0.3">
      <c r="A8" s="87"/>
      <c r="B8" s="167">
        <f>IFERROR(D15,"—")</f>
        <v>0.158</v>
      </c>
      <c r="C8" s="169">
        <f>IFERROR(D22,"—")</f>
        <v>7</v>
      </c>
      <c r="D8" s="94">
        <f>IFERROR(D29,"—")</f>
        <v>0.32100000000000001</v>
      </c>
      <c r="E8" s="171">
        <f>IFERROR(DATA_RAW!E47,"—")</f>
        <v>74</v>
      </c>
      <c r="Y8" s="376" t="s">
        <v>188</v>
      </c>
      <c r="Z8" s="376" t="str">
        <f>C10</f>
        <v>Microsoft</v>
      </c>
      <c r="AA8" s="376" t="str">
        <f>D10</f>
        <v>Alphabet</v>
      </c>
    </row>
    <row r="9" spans="1:27" ht="10.95" customHeight="1" thickBot="1" x14ac:dyDescent="0.35">
      <c r="A9" s="111"/>
      <c r="B9" s="112" t="s">
        <v>163</v>
      </c>
      <c r="C9" s="113" t="s">
        <v>163</v>
      </c>
      <c r="D9" s="113" t="s">
        <v>163</v>
      </c>
      <c r="E9" s="114" t="s">
        <v>163</v>
      </c>
      <c r="Y9" s="376" t="str">
        <f>"Bear"</f>
        <v>Bear</v>
      </c>
      <c r="Z9" s="376">
        <f>DATA_RAW!C13</f>
        <v>310</v>
      </c>
      <c r="AA9" s="376">
        <f>DATA_RAW!E13</f>
        <v>130</v>
      </c>
    </row>
    <row r="10" spans="1:27" ht="19.95" customHeight="1" thickBot="1" x14ac:dyDescent="0.35">
      <c r="A10" s="115"/>
      <c r="B10" s="116" t="s">
        <v>0</v>
      </c>
      <c r="C10" s="173" t="str">
        <f>DATA_RAW!C4</f>
        <v>Microsoft</v>
      </c>
      <c r="D10" s="174" t="str">
        <f>DATA_RAW!E5</f>
        <v>Alphabet</v>
      </c>
      <c r="E10" s="117" t="s">
        <v>1</v>
      </c>
      <c r="Y10" s="376" t="str">
        <f>"Base"</f>
        <v>Base</v>
      </c>
      <c r="Z10" s="376">
        <f>DATA_RAW!C11</f>
        <v>415.2</v>
      </c>
      <c r="AA10" s="376">
        <f>DATA_RAW!E11</f>
        <v>168.5</v>
      </c>
    </row>
    <row r="11" spans="1:27" ht="16.05" customHeight="1" x14ac:dyDescent="0.3">
      <c r="A11" s="9"/>
      <c r="B11" s="92"/>
      <c r="C11" s="9"/>
      <c r="D11" s="9"/>
      <c r="E11" s="101"/>
      <c r="Y11" s="376" t="str">
        <f>"Bull"</f>
        <v>Bull</v>
      </c>
      <c r="Z11" s="376">
        <f>DATA_RAW!C14</f>
        <v>610</v>
      </c>
      <c r="AA11" s="376">
        <f>DATA_RAW!E14</f>
        <v>255</v>
      </c>
    </row>
    <row r="12" spans="1:27" ht="4.05" customHeight="1" x14ac:dyDescent="0.3">
      <c r="A12" s="107"/>
      <c r="B12" s="108" t="s">
        <v>2</v>
      </c>
      <c r="C12" s="109"/>
      <c r="D12" s="109"/>
      <c r="E12" s="110"/>
      <c r="Y12" s="376" t="str">
        <f>"Cours actuel"</f>
        <v>Cours actuel</v>
      </c>
      <c r="Z12" s="376">
        <f>DATA_RAW!C10</f>
        <v>46116</v>
      </c>
      <c r="AA12" s="376">
        <f>DATA_RAW!E10</f>
        <v>46116</v>
      </c>
    </row>
    <row r="13" spans="1:27" ht="16.95" customHeight="1" x14ac:dyDescent="0.3">
      <c r="A13" s="45"/>
      <c r="B13" s="46" t="s">
        <v>3</v>
      </c>
      <c r="C13" s="55">
        <f>DATA_RAW!C11</f>
        <v>415.2</v>
      </c>
      <c r="D13" s="97">
        <f>DATA_RAW!E11</f>
        <v>168.5</v>
      </c>
      <c r="E13" s="420" t="str">
        <f>IF(C13=0,"—",IF(C13=D13,"Égal",IF(C13&gt;D13,"▲ "&amp;C10,"▲ "&amp;D10)))</f>
        <v>▲ Microsoft</v>
      </c>
      <c r="Y13" s="376"/>
      <c r="Z13" s="376"/>
      <c r="AA13" s="376"/>
    </row>
    <row r="14" spans="1:27" ht="16.95" customHeight="1" x14ac:dyDescent="0.3">
      <c r="A14" s="50"/>
      <c r="B14" s="51" t="s">
        <v>4</v>
      </c>
      <c r="C14" s="56">
        <f>DATA_RAW!C12</f>
        <v>480</v>
      </c>
      <c r="D14" s="98">
        <f>DATA_RAW!E12</f>
        <v>195</v>
      </c>
      <c r="E14" s="421" t="str">
        <f>IF(C14=0,"—",IF(C14=D14,"Égal",IF(C14&gt;D14,"▲ "&amp;C10,"▲ "&amp;D10)))</f>
        <v>▲ Microsoft</v>
      </c>
      <c r="Y14" s="376"/>
      <c r="Z14" s="376"/>
      <c r="AA14" s="376"/>
    </row>
    <row r="15" spans="1:27" ht="16.95" customHeight="1" x14ac:dyDescent="0.3">
      <c r="A15" s="52"/>
      <c r="B15" s="53" t="s">
        <v>5</v>
      </c>
      <c r="C15" s="136">
        <f>DATA_RAW!C15</f>
        <v>0.157</v>
      </c>
      <c r="D15" s="153">
        <f>DATA_RAW!E15</f>
        <v>0.158</v>
      </c>
      <c r="E15" s="422" t="str">
        <f>IF(C15=0,"—",IF(C15=D15,"Égal",IF(C15&gt;D15,"▲ "&amp;C10,"▲ "&amp;D10)))</f>
        <v>▲ Alphabet</v>
      </c>
      <c r="Y15" s="376" t="s">
        <v>199</v>
      </c>
      <c r="Z15" s="376" t="str">
        <f>C10</f>
        <v>Microsoft</v>
      </c>
      <c r="AA15" s="376" t="str">
        <f>D10</f>
        <v>Alphabet</v>
      </c>
    </row>
    <row r="16" spans="1:27" ht="16.95" customHeight="1" x14ac:dyDescent="0.3">
      <c r="A16" s="50"/>
      <c r="B16" s="51" t="s">
        <v>6</v>
      </c>
      <c r="C16" s="137">
        <f>DATA_RAW!C16</f>
        <v>0.13400000000000001</v>
      </c>
      <c r="D16" s="154">
        <f>DATA_RAW!E16</f>
        <v>0.157</v>
      </c>
      <c r="E16" s="421" t="str">
        <f>IF(C16=0,"—",IF(C16=D16,"Égal",IF(C16&gt;D16,"▲ "&amp;C10,"▲ "&amp;D10)))</f>
        <v>▲ Alphabet</v>
      </c>
      <c r="Y16" s="376" t="str">
        <f>"PE Ratio"</f>
        <v>PE Ratio</v>
      </c>
      <c r="Z16" s="376">
        <f>DATA_RAW!C16</f>
        <v>0.13400000000000001</v>
      </c>
      <c r="AA16" s="376">
        <f>DATA_RAW!E16</f>
        <v>0.157</v>
      </c>
    </row>
    <row r="17" spans="1:27" ht="16.95" customHeight="1" x14ac:dyDescent="0.3">
      <c r="A17" s="72"/>
      <c r="B17" s="73" t="s">
        <v>7</v>
      </c>
      <c r="C17" s="155">
        <f>DATA_RAW!C17</f>
        <v>33.4</v>
      </c>
      <c r="D17" s="156">
        <f>DATA_RAW!E17</f>
        <v>21.8</v>
      </c>
      <c r="E17" s="422" t="str">
        <f>IF(C17=0,"—",IF(C17=D17,"Égal",IF(C17&lt;D17,"▲ "&amp;C10,"▲ "&amp;D10)))</f>
        <v>▲ Alphabet</v>
      </c>
      <c r="Y17" s="376" t="str">
        <f>"EV/EBITDA"</f>
        <v>EV/EBITDA</v>
      </c>
      <c r="Z17" s="376">
        <f>DATA_RAW!C17</f>
        <v>33.4</v>
      </c>
      <c r="AA17" s="376">
        <f>DATA_RAW!E17</f>
        <v>21.8</v>
      </c>
    </row>
    <row r="18" spans="1:27" ht="16.95" customHeight="1" x14ac:dyDescent="0.3">
      <c r="A18" s="74"/>
      <c r="B18" s="75" t="s">
        <v>8</v>
      </c>
      <c r="C18" s="157">
        <f>DATA_RAW!C18</f>
        <v>22.1</v>
      </c>
      <c r="D18" s="158">
        <f>DATA_RAW!E18</f>
        <v>14.3</v>
      </c>
      <c r="E18" s="421" t="str">
        <f>IF(C18=0,"—",IF(C18=D18,"Égal",IF(C18&lt;D18,"▲ "&amp;C10,"▲ "&amp;D10)))</f>
        <v>▲ Alphabet</v>
      </c>
      <c r="Y18" s="376" t="str">
        <f>"Price/Book"</f>
        <v>Price/Book</v>
      </c>
      <c r="Z18" s="376">
        <f>DATA_RAW!C18</f>
        <v>22.1</v>
      </c>
      <c r="AA18" s="376">
        <f>DATA_RAW!E18</f>
        <v>14.3</v>
      </c>
    </row>
    <row r="19" spans="1:27" ht="16.95" customHeight="1" x14ac:dyDescent="0.3">
      <c r="A19" s="74"/>
      <c r="B19" s="305" t="s">
        <v>223</v>
      </c>
      <c r="C19" s="306">
        <f>DATA_RAW!C53</f>
        <v>2.41</v>
      </c>
      <c r="D19" s="306">
        <f>DATA_RAW!E53</f>
        <v>2.87</v>
      </c>
      <c r="E19" s="314" t="str">
        <f>IF(C19=0,"—",IF(C19=D19,"Égal",IF(C19&gt;D19,"▲ "&amp;C10,"▲ "&amp;D10)))</f>
        <v>▲ Alphabet</v>
      </c>
      <c r="Y19" s="376"/>
      <c r="Z19" s="376"/>
      <c r="AA19" s="376"/>
    </row>
    <row r="20" spans="1:27" ht="16.95" customHeight="1" x14ac:dyDescent="0.3">
      <c r="A20" s="74"/>
      <c r="B20" s="309" t="s">
        <v>224</v>
      </c>
      <c r="C20" s="310">
        <f>DATA_RAW!C59</f>
        <v>30.15</v>
      </c>
      <c r="D20" s="310">
        <f>DATA_RAW!C59</f>
        <v>30.15</v>
      </c>
      <c r="E20" s="315" t="str">
        <f>IF(C17=0,"—",IF(DATA_RAW!C59=0,"—",IF(C17&lt;DATA_RAW!C59,"✓ "&amp;C11,IF(D17&lt;DATA_RAW!C59,"✓ "&amp;D11,"Surévalués"))))</f>
        <v xml:space="preserve">✓ </v>
      </c>
      <c r="Y20" s="376"/>
      <c r="Z20" s="376"/>
      <c r="AA20" s="376"/>
    </row>
    <row r="21" spans="1:27" ht="18" customHeight="1" x14ac:dyDescent="0.3">
      <c r="A21" s="76"/>
      <c r="B21" s="307" t="s">
        <v>9</v>
      </c>
      <c r="C21" s="80"/>
      <c r="D21" s="80"/>
      <c r="E21" s="308"/>
      <c r="Y21" s="376" t="str">
        <f>"FCF Yield %"</f>
        <v>FCF Yield %</v>
      </c>
      <c r="Z21" s="376">
        <f>DATA_RAW!C19*100</f>
        <v>1210</v>
      </c>
      <c r="AA21" s="376">
        <f>DATA_RAW!E19*100</f>
        <v>680</v>
      </c>
    </row>
    <row r="22" spans="1:27" ht="16.95" customHeight="1" x14ac:dyDescent="0.3">
      <c r="A22" s="45"/>
      <c r="B22" s="46" t="s">
        <v>10</v>
      </c>
      <c r="C22" s="159">
        <f>DATA_RAW!C28</f>
        <v>8</v>
      </c>
      <c r="D22" s="160">
        <f>DATA_RAW!E28</f>
        <v>7</v>
      </c>
      <c r="E22" s="420" t="str">
        <f>IF(C22=0,"—",IF(C22=D22,"Égal",IF(C22&gt;D22,"▲ "&amp;C10,"▲ "&amp;D10)))</f>
        <v>▲ Microsoft</v>
      </c>
      <c r="Y22" s="376" t="str">
        <f>"PEG Ratio"</f>
        <v>PEG Ratio</v>
      </c>
      <c r="Z22" s="376">
        <f>DATA_RAW!C20</f>
        <v>2.1999999999999999E-2</v>
      </c>
      <c r="AA22" s="376">
        <f>DATA_RAW!E20</f>
        <v>3.1E-2</v>
      </c>
    </row>
    <row r="23" spans="1:27" ht="16.95" customHeight="1" x14ac:dyDescent="0.3">
      <c r="A23" s="50"/>
      <c r="B23" s="51" t="s">
        <v>11</v>
      </c>
      <c r="C23" s="145">
        <f>DATA_RAW!C29</f>
        <v>-2.1000000000000001E-2</v>
      </c>
      <c r="D23" s="161">
        <f>DATA_RAW!E29</f>
        <v>-8.0000000000000002E-3</v>
      </c>
      <c r="E23" s="421" t="str">
        <f>IF(C23=0,"—",IF(C23=D23,"Égal",IF(C23&lt;D23,"▲ "&amp;C10,"▲ "&amp;D10)))</f>
        <v>▲ Microsoft</v>
      </c>
      <c r="Y23" s="376"/>
      <c r="Z23" s="376"/>
      <c r="AA23" s="376"/>
    </row>
    <row r="24" spans="1:27" ht="16.95" customHeight="1" x14ac:dyDescent="0.3">
      <c r="A24" s="52"/>
      <c r="B24" s="53" t="s">
        <v>12</v>
      </c>
      <c r="C24" s="144">
        <f>DATA_RAW!C30</f>
        <v>1.18</v>
      </c>
      <c r="D24" s="162">
        <f>DATA_RAW!E30</f>
        <v>1.42</v>
      </c>
      <c r="E24" s="422" t="str">
        <f>IF(C24=0,"—",IF(C24=D24,"Égal",IF(C24&gt;D24,"▲ "&amp;C10,"▲ "&amp;D10)))</f>
        <v>▲ Alphabet</v>
      </c>
      <c r="Y24" s="376" t="s">
        <v>192</v>
      </c>
      <c r="Z24" s="376" t="str">
        <f>C10</f>
        <v>Microsoft</v>
      </c>
      <c r="AA24" s="376" t="str">
        <f>D10</f>
        <v>Alphabet</v>
      </c>
    </row>
    <row r="25" spans="1:27" ht="16.95" customHeight="1" x14ac:dyDescent="0.3">
      <c r="A25" s="50"/>
      <c r="B25" s="51" t="s">
        <v>13</v>
      </c>
      <c r="C25" s="145">
        <f>DATA_RAW!C31</f>
        <v>-2.31</v>
      </c>
      <c r="D25" s="161">
        <f>DATA_RAW!E31</f>
        <v>-2.85</v>
      </c>
      <c r="E25" s="421" t="str">
        <f>IF(C25=0,"—",IF(C25=D25,"Égal",IF(C25&lt;D25,"▲ "&amp;C10,"▲ "&amp;D10)))</f>
        <v>▲ Alphabet</v>
      </c>
      <c r="Y25" s="376" t="str">
        <f>"N-2"</f>
        <v>N-2</v>
      </c>
      <c r="Z25" s="376">
        <f>DATA_RAW!C36*100</f>
        <v>45.800000000000004</v>
      </c>
      <c r="AA25" s="376">
        <f>DATA_RAW!E36*100</f>
        <v>32.1</v>
      </c>
    </row>
    <row r="26" spans="1:27" ht="16.95" customHeight="1" x14ac:dyDescent="0.3">
      <c r="A26" s="52"/>
      <c r="B26" s="53" t="s">
        <v>14</v>
      </c>
      <c r="C26" s="144">
        <f>DATA_RAW!C32</f>
        <v>4.12</v>
      </c>
      <c r="D26" s="162">
        <f>DATA_RAW!E32</f>
        <v>5.67</v>
      </c>
      <c r="E26" s="422" t="str">
        <f>IF(C26=0,"—",IF(C26=D26,"Égal",IF(C26&gt;D26,"▲ "&amp;C10,"▲ "&amp;D10)))</f>
        <v>▲ Alphabet</v>
      </c>
      <c r="Y26" s="376" t="str">
        <f>"N-1"</f>
        <v>N-1</v>
      </c>
      <c r="Z26" s="376">
        <f>DATA_RAW!C35*100</f>
        <v>34.1</v>
      </c>
      <c r="AA26" s="376">
        <f>DATA_RAW!E35*100</f>
        <v>15.2</v>
      </c>
    </row>
    <row r="27" spans="1:27" ht="18" customHeight="1" x14ac:dyDescent="0.3">
      <c r="A27" s="76"/>
      <c r="B27" s="77" t="s">
        <v>15</v>
      </c>
      <c r="C27" s="81"/>
      <c r="D27" s="81"/>
      <c r="E27" s="119"/>
      <c r="Y27" s="376" t="str">
        <f>"LTM"</f>
        <v>LTM</v>
      </c>
      <c r="Z27" s="376">
        <f>DATA_RAW!C34*100</f>
        <v>31.2</v>
      </c>
      <c r="AA27" s="376">
        <f>DATA_RAW!E34*100</f>
        <v>18.7</v>
      </c>
    </row>
    <row r="28" spans="1:27" ht="16.95" customHeight="1" x14ac:dyDescent="0.3">
      <c r="A28" s="78"/>
      <c r="B28" s="79" t="s">
        <v>16</v>
      </c>
      <c r="C28" s="163">
        <f>DATA_RAW!C34</f>
        <v>0.312</v>
      </c>
      <c r="D28" s="164">
        <f>DATA_RAW!E34</f>
        <v>0.187</v>
      </c>
      <c r="E28" s="420" t="str">
        <f>IF(C28=0,"—",IF(C28=D28,"Égal",IF(C28&gt;D28,"▲ "&amp;C10,"▲ "&amp;D10)))</f>
        <v>▲ Microsoft</v>
      </c>
      <c r="Y28" s="376" t="s">
        <v>196</v>
      </c>
      <c r="Z28" s="376" t="str">
        <f>C10</f>
        <v>Microsoft</v>
      </c>
      <c r="AA28" s="376" t="str">
        <f>D10</f>
        <v>Alphabet</v>
      </c>
    </row>
    <row r="29" spans="1:27" ht="16.95" customHeight="1" x14ac:dyDescent="0.3">
      <c r="A29" s="50"/>
      <c r="B29" s="51" t="s">
        <v>17</v>
      </c>
      <c r="C29" s="137">
        <f>DATA_RAW!C36</f>
        <v>0.45800000000000002</v>
      </c>
      <c r="D29" s="154">
        <f>DATA_RAW!E36</f>
        <v>0.32100000000000001</v>
      </c>
      <c r="E29" s="421" t="str">
        <f>IF(C29=0,"—",IF(C29=D29,"Égal",IF(C29&gt;D29,"▲ "&amp;C10,"▲ "&amp;D10)))</f>
        <v>▲ Microsoft</v>
      </c>
      <c r="Y29" s="376" t="s">
        <v>274</v>
      </c>
      <c r="Z29" s="376">
        <f>IFERROR(DATA_RAW!C47,0)</f>
        <v>82</v>
      </c>
      <c r="AA29" s="376">
        <f>IFERROR(DATA_RAW!E47,0)</f>
        <v>74</v>
      </c>
    </row>
    <row r="30" spans="1:27" ht="16.95" customHeight="1" x14ac:dyDescent="0.3">
      <c r="A30" s="52"/>
      <c r="B30" s="53" t="s">
        <v>18</v>
      </c>
      <c r="C30" s="123" t="str">
        <f>DATA_RAW!C39</f>
        <v>Croissante</v>
      </c>
      <c r="D30" s="165" t="str">
        <f>DATA_RAW!E39</f>
        <v>Stable</v>
      </c>
      <c r="E30" s="118" t="str">
        <f>IF(C30=D30,"Égal",IF(C30&gt;D30,"▲ "&amp;C11,"▲ "&amp;D11))</f>
        <v xml:space="preserve">▲ </v>
      </c>
      <c r="Y30" s="376" t="s">
        <v>275</v>
      </c>
      <c r="Z30" s="376">
        <f>IFERROR(DATA_RAW!C48*10,0)</f>
        <v>72</v>
      </c>
      <c r="AA30" s="376">
        <f>IFERROR(DATA_RAW!E48*10,0)</f>
        <v>61</v>
      </c>
    </row>
    <row r="31" spans="1:27" ht="16.95" customHeight="1" x14ac:dyDescent="0.3">
      <c r="A31" s="50"/>
      <c r="B31" s="51" t="s">
        <v>19</v>
      </c>
      <c r="C31" s="137">
        <f>DATA_RAW!C40</f>
        <v>0.14199999999999999</v>
      </c>
      <c r="D31" s="154">
        <f>DATA_RAW!E40</f>
        <v>0.11799999999999999</v>
      </c>
      <c r="E31" s="421" t="str">
        <f>IF(C31=0,"—",IF(C31=D31,"Égal",IF(C31&gt;D31,"▲ "&amp;C10,"▲ "&amp;D10)))</f>
        <v>▲ Microsoft</v>
      </c>
      <c r="Y31" s="376" t="s">
        <v>276</v>
      </c>
      <c r="Z31" s="376">
        <f>IFERROR(DATA_RAW!C28/9*100,0)</f>
        <v>88.888888888888886</v>
      </c>
      <c r="AA31" s="376">
        <f>IFERROR(DATA_RAW!E28/9*100,0)</f>
        <v>77.777777777777786</v>
      </c>
    </row>
    <row r="32" spans="1:27" ht="16.95" customHeight="1" x14ac:dyDescent="0.3">
      <c r="A32" s="48"/>
      <c r="B32" s="53" t="s">
        <v>20</v>
      </c>
      <c r="C32" s="141">
        <f>DATA_RAW!C42</f>
        <v>-0.8</v>
      </c>
      <c r="D32" s="311">
        <f>DATA_RAW!E42</f>
        <v>0.4</v>
      </c>
      <c r="E32" s="422" t="str">
        <f>IF(C32=0,"—",IF(C32=D32,"Égal",IF(C32&lt;D32,"▲ "&amp;C10,"▲ "&amp;D10)))</f>
        <v>▲ Microsoft</v>
      </c>
      <c r="Y32" s="376" t="s">
        <v>151</v>
      </c>
      <c r="Z32" s="376">
        <f>IFERROR(DATA_RAW!C50*100,0)</f>
        <v>78</v>
      </c>
      <c r="AA32" s="376">
        <f>IFERROR(DATA_RAW!E50*100,0)</f>
        <v>65</v>
      </c>
    </row>
    <row r="33" spans="1:28" ht="16.95" customHeight="1" x14ac:dyDescent="0.3">
      <c r="A33" s="39"/>
      <c r="B33" s="312" t="s">
        <v>220</v>
      </c>
      <c r="C33" s="313">
        <f>DATA_RAW!C56</f>
        <v>3.1E-2</v>
      </c>
      <c r="D33" s="313">
        <f>DATA_RAW!E56</f>
        <v>-1.7999999999999999E-2</v>
      </c>
      <c r="E33" s="316" t="str">
        <f>IF(C33=0,"—",IF(C33=D33,"Égal",IF(C33&gt;D33,"▲ "&amp;C10,"▲ "&amp;D10)))</f>
        <v>▲ Microsoft</v>
      </c>
      <c r="Y33" s="376"/>
      <c r="Z33" s="376"/>
      <c r="AA33" s="376"/>
    </row>
    <row r="34" spans="1:28" ht="7.95" customHeight="1" x14ac:dyDescent="0.3">
      <c r="A34" s="28"/>
      <c r="B34" s="29"/>
      <c r="C34" s="82"/>
      <c r="D34" s="82"/>
      <c r="E34" s="102"/>
      <c r="Y34" s="376" t="str">
        <f>"Piotroski (/9)"</f>
        <v>Piotroski (/9)</v>
      </c>
      <c r="Z34" s="376">
        <f>DATA_RAW!C27</f>
        <v>620</v>
      </c>
      <c r="AA34" s="376">
        <f>DATA_RAW!E27</f>
        <v>256</v>
      </c>
    </row>
    <row r="35" spans="1:28" ht="18" customHeight="1" x14ac:dyDescent="0.3">
      <c r="A35" s="3"/>
      <c r="B35" s="175" t="s">
        <v>165</v>
      </c>
      <c r="C35" s="176"/>
      <c r="D35" s="176"/>
      <c r="E35" s="177"/>
      <c r="Y35" s="376" t="str">
        <f>"Conviction %"</f>
        <v>Conviction %</v>
      </c>
      <c r="Z35" s="377" t="e">
        <f>DATA_RAW!C51*100</f>
        <v>#VALUE!</v>
      </c>
      <c r="AA35" s="377" t="e">
        <f>DATA_RAW!E51*100</f>
        <v>#VALUE!</v>
      </c>
      <c r="AB35" s="258" t="s">
        <v>163</v>
      </c>
    </row>
    <row r="36" spans="1:28" ht="18" customHeight="1" thickBot="1" x14ac:dyDescent="0.35">
      <c r="A36" s="7"/>
      <c r="B36" s="180" t="s">
        <v>166</v>
      </c>
      <c r="C36" s="7" t="s">
        <v>167</v>
      </c>
      <c r="D36" s="7" t="s">
        <v>168</v>
      </c>
      <c r="E36" s="181" t="s">
        <v>132</v>
      </c>
      <c r="Z36" s="259" t="s">
        <v>169</v>
      </c>
      <c r="AA36" s="258">
        <f>IF(V38="—",0,V38)</f>
        <v>0</v>
      </c>
      <c r="AB36" s="258">
        <f>IF(W38="—",0,W38)</f>
        <v>0</v>
      </c>
    </row>
    <row r="37" spans="1:28" ht="15" customHeight="1" x14ac:dyDescent="0.3">
      <c r="A37" s="90"/>
      <c r="B37" s="91"/>
      <c r="C37" s="90" t="str">
        <f>IFERROR(C10,"—")</f>
        <v>Microsoft</v>
      </c>
      <c r="D37" s="90" t="str">
        <f>IFERROR(D10,"—")</f>
        <v>Alphabet</v>
      </c>
      <c r="E37" s="182"/>
      <c r="Z37" s="258" t="s">
        <v>186</v>
      </c>
      <c r="AA37" s="258">
        <f>IF(V39="—",0,V39)</f>
        <v>0</v>
      </c>
      <c r="AB37" s="258">
        <f>IF(W39="—",0,W39)</f>
        <v>0</v>
      </c>
    </row>
    <row r="38" spans="1:28" ht="16.95" customHeight="1" x14ac:dyDescent="0.3">
      <c r="A38" s="193"/>
      <c r="B38" s="186" t="s">
        <v>169</v>
      </c>
      <c r="C38" s="194">
        <f>IFERROR(ROUND((IF(C15&gt;0,34,0)+IF(C17&lt;DATA_RAW!C59,33,0)+IF(C18&lt;DATA_RAW!C60,33,0)),0),"—")</f>
        <v>34</v>
      </c>
      <c r="D38" s="194">
        <f>IFERROR(ROUND((IF(D15&gt;0,34,0)+IF(D17&lt;DATA_RAW!C59,33,0)+IF(D18&lt;DATA_RAW!C60,33,0)),0),"—")</f>
        <v>100</v>
      </c>
      <c r="E38" s="188" t="str">
        <f>IF(C38="—","—",IF(C38=D38,"Égal",IF(C38&gt;D38,"▲ "&amp;C10,"▲ "&amp;D10)))</f>
        <v>▲ Alphabet</v>
      </c>
      <c r="Z38" s="258" t="s">
        <v>171</v>
      </c>
      <c r="AA38" s="258">
        <f>IF(V40="—",0,V40)</f>
        <v>0</v>
      </c>
      <c r="AB38" s="258">
        <f>IF(W40="—",0,W40)</f>
        <v>0</v>
      </c>
    </row>
    <row r="39" spans="1:28" ht="16.95" customHeight="1" x14ac:dyDescent="0.3">
      <c r="A39" s="195"/>
      <c r="B39" s="196" t="s">
        <v>170</v>
      </c>
      <c r="C39" s="197">
        <f>IFERROR(ROUND(C22/9*100,0),"—")</f>
        <v>89</v>
      </c>
      <c r="D39" s="197">
        <f>IFERROR(ROUND(D22/9*100,0),"—")</f>
        <v>78</v>
      </c>
      <c r="E39" s="198" t="str">
        <f>IF(C39="—","—",IF(C39=D39,"Égal",IF(C39&gt;D39,"▲ "&amp;C10,"▲ "&amp;D10)))</f>
        <v>▲ Microsoft</v>
      </c>
      <c r="Z39" s="258" t="s">
        <v>172</v>
      </c>
      <c r="AA39" s="258">
        <f>IF(V41="—",0,V41)</f>
        <v>0</v>
      </c>
      <c r="AB39" s="258">
        <f>IF(W41="—",0,W41)</f>
        <v>0</v>
      </c>
    </row>
    <row r="40" spans="1:28" ht="16.95" customHeight="1" x14ac:dyDescent="0.3">
      <c r="A40" s="199"/>
      <c r="B40" s="200" t="s">
        <v>171</v>
      </c>
      <c r="C40" s="201">
        <f>IFERROR(ROUND(C28*100+C29*100,0),"—")</f>
        <v>77</v>
      </c>
      <c r="D40" s="201">
        <f>IFERROR(ROUND(D28*100+D29*100,0),"—")</f>
        <v>51</v>
      </c>
      <c r="E40" s="202" t="str">
        <f>IF(C40="—","—",IF(C40=D40,"Égal",IF(C40&gt;D40,"▲ "&amp;C10,"▲ "&amp;D10)))</f>
        <v>▲ Microsoft</v>
      </c>
      <c r="Z40" s="258" t="s">
        <v>187</v>
      </c>
      <c r="AA40" s="258">
        <f>IF(V42="—",0,V42)</f>
        <v>0</v>
      </c>
      <c r="AB40" s="258">
        <f>IF(W42="—",0,W42)</f>
        <v>0</v>
      </c>
    </row>
    <row r="41" spans="1:28" ht="16.95" customHeight="1" x14ac:dyDescent="0.3">
      <c r="A41" s="195"/>
      <c r="B41" s="196" t="s">
        <v>172</v>
      </c>
      <c r="C41" s="197">
        <f>IFERROR(IF(C31&gt;0.2,100,IF(C31&gt;0.15,80,IF(C31&gt;0.1,60,IF(C31&gt;0.05,40,IF(C31&gt;0,20,0))))),"—")</f>
        <v>60</v>
      </c>
      <c r="D41" s="197">
        <f>IFERROR(IF(D31&gt;0.2,100,IF(D31&gt;0.15,80,IF(D31&gt;0.1,60,IF(D31&gt;0.05,40,IF(D31&gt;0,20,0))))),"—")</f>
        <v>60</v>
      </c>
      <c r="E41" s="198" t="str">
        <f>IF(C41="—","—",IF(C41=D41,"Égal",IF(C41&gt;D41,"▲ "&amp;C10,"▲ "&amp;D10)))</f>
        <v>Égal</v>
      </c>
    </row>
    <row r="42" spans="1:28" ht="16.95" customHeight="1" x14ac:dyDescent="0.3">
      <c r="A42" s="199"/>
      <c r="B42" s="200" t="s">
        <v>173</v>
      </c>
      <c r="C42" s="201">
        <f>IFERROR(IF(DATA_RAW!C44&lt;0.8,40,IF(DATA_RAW!C44&lt;1,30,IF(DATA_RAW!C44&lt;1.2,20,IF(DATA_RAW!C44&lt;1.5,10,0))))+IF(DATA_RAW!C45&gt;-0.05,30,IF(DATA_RAW!C45&gt;-0.08,20,IF(DATA_RAW!C45&gt;-0.12,10,0)))+IF(DATA_RAW!C42&lt;0,30,IF(DATA_RAW!C42&lt;1,25,IF(DATA_RAW!C42&lt;2,15,IF(DATA_RAW!C42&lt;3,5,0)))),"—")</f>
        <v>80</v>
      </c>
      <c r="D42" s="201">
        <f>IFERROR(IF(DATA_RAW!E44&lt;0.8,40,IF(DATA_RAW!E44&lt;1,30,IF(DATA_RAW!E44&lt;1.2,20,IF(DATA_RAW!E44&lt;1.5,10,0))))+IF(DATA_RAW!E45&gt;-0.05,30,IF(DATA_RAW!E45&gt;-0.08,20,IF(DATA_RAW!E45&gt;-0.12,10,0)))+IF(DATA_RAW!E42&lt;0,30,IF(DATA_RAW!E42&lt;1,25,IF(DATA_RAW!E42&lt;2,15,IF(DATA_RAW!E42&lt;3,5,0)))),"—")</f>
        <v>55</v>
      </c>
      <c r="E42" s="202" t="str">
        <f>IF(C42="—","—",IF(C42=D42,"Égal",IF(C42&gt;D42,"▲ "&amp;C10,"▲ "&amp;D10)))</f>
        <v>▲ Microsoft</v>
      </c>
    </row>
    <row r="43" spans="1:28" ht="18" customHeight="1" thickBot="1" x14ac:dyDescent="0.35">
      <c r="A43" s="63"/>
      <c r="B43" s="205" t="s">
        <v>174</v>
      </c>
      <c r="C43" s="203">
        <f>IFERROR(ROUND(AVERAGE(C38:C42),0),"—")</f>
        <v>68</v>
      </c>
      <c r="D43" s="203">
        <f>IFERROR(ROUND(AVERAGE(D38:D42),0),"—")</f>
        <v>69</v>
      </c>
      <c r="E43" s="207" t="str">
        <f>IF(C43="—","—",IF(C43=D43,"Égal",IF(C43&gt;D43,"▲ "&amp;C10,"▲ "&amp;D10)))</f>
        <v>▲ Alphabet</v>
      </c>
    </row>
    <row r="44" spans="1:28" ht="7.95" customHeight="1" x14ac:dyDescent="0.3">
      <c r="A44" s="1"/>
      <c r="B44" s="2"/>
      <c r="C44" s="1"/>
      <c r="D44" s="1"/>
      <c r="E44" s="183"/>
    </row>
    <row r="45" spans="1:28" ht="18" customHeight="1" x14ac:dyDescent="0.3">
      <c r="A45" s="3"/>
      <c r="B45" s="4" t="s">
        <v>175</v>
      </c>
      <c r="C45" s="3"/>
      <c r="D45" s="3"/>
      <c r="E45" s="208"/>
    </row>
    <row r="46" spans="1:28" ht="18" customHeight="1" thickBot="1" x14ac:dyDescent="0.35">
      <c r="A46" s="7"/>
      <c r="B46" s="180" t="s">
        <v>176</v>
      </c>
      <c r="C46" s="7" t="s">
        <v>167</v>
      </c>
      <c r="D46" s="7" t="s">
        <v>168</v>
      </c>
      <c r="E46" s="181" t="s">
        <v>177</v>
      </c>
    </row>
    <row r="47" spans="1:28" ht="16.95" customHeight="1" x14ac:dyDescent="0.3">
      <c r="A47" s="184"/>
      <c r="B47" s="185" t="s">
        <v>149</v>
      </c>
      <c r="C47" s="187" t="str">
        <f>IFERROR(DATA_RAW!C49,"—")</f>
        <v>ACHETER</v>
      </c>
      <c r="D47" s="187" t="str">
        <f>IFERROR(DATA_RAW!E49,"—")</f>
        <v>ACCUMULER</v>
      </c>
      <c r="E47" s="188" t="str">
        <f>IFERROR(DATA_RAW!C51,"—")</f>
        <v>MSFT privilégié</v>
      </c>
    </row>
    <row r="48" spans="1:28" ht="16.95" customHeight="1" x14ac:dyDescent="0.3">
      <c r="A48" s="189"/>
      <c r="B48" s="190" t="s">
        <v>178</v>
      </c>
      <c r="C48" s="191" t="str">
        <f>IFERROR(TEXT(DATA_RAW!C50,"0%"),"—")</f>
        <v>78%</v>
      </c>
      <c r="D48" s="191" t="str">
        <f>IFERROR(TEXT(DATA_RAW!E50,"0%"),"—")</f>
        <v>65%</v>
      </c>
      <c r="E48" s="192" t="str">
        <f>IF(DATA_RAW!C50=0,"—",IF(DATA_RAW!C50=DATA_RAW!E50,"Égal",IF(DATA_RAW!C50&gt;DATA_RAW!E50,"▲ "&amp;C10,"▲ "&amp;D10)))</f>
        <v>▲ Microsoft</v>
      </c>
    </row>
    <row r="49" spans="1:5" ht="22.05" customHeight="1" thickBot="1" x14ac:dyDescent="0.35">
      <c r="A49" s="204"/>
      <c r="B49" s="206" t="s">
        <v>179</v>
      </c>
      <c r="C49" s="204"/>
      <c r="D49" s="204"/>
      <c r="E49" s="209" t="str">
        <f>IFERROR(IF(DATA_RAW!C52="","—",DATA_RAW!C52),"—")</f>
        <v>Microsoft</v>
      </c>
    </row>
  </sheetData>
  <conditionalFormatting sqref="E13:E33">
    <cfRule type="containsText" dxfId="64" priority="8" operator="containsText" text="▲">
      <formula>NOT(ISERROR(SEARCH("▲",E13)))</formula>
    </cfRule>
  </conditionalFormatting>
  <conditionalFormatting sqref="E13:E33">
    <cfRule type="containsText" dxfId="63" priority="9" operator="containsText" text="Égal">
      <formula>NOT(ISERROR(SEARCH("Égal",E13)))</formula>
    </cfRule>
  </conditionalFormatting>
  <conditionalFormatting sqref="E13:E33">
    <cfRule type="containsText" dxfId="62" priority="10" operator="containsText" text="⚠">
      <formula>NOT(ISERROR(SEARCH("⚠",E13)))</formula>
    </cfRule>
  </conditionalFormatting>
  <conditionalFormatting sqref="E13:E33">
    <cfRule type="containsText" dxfId="61" priority="11" operator="containsText" text="✓">
      <formula>NOT(ISERROR(SEARCH("✓",E13)))</formula>
    </cfRule>
  </conditionalFormatting>
  <conditionalFormatting sqref="E13:E33">
    <cfRule type="containsText" dxfId="60" priority="12" operator="containsText" text="—">
      <formula>NOT(ISERROR(SEARCH("—",E13)))</formula>
    </cfRule>
  </conditionalFormatting>
  <conditionalFormatting sqref="B6:E9">
    <cfRule type="cellIs" dxfId="59" priority="13" operator="greaterThan">
      <formula>0</formula>
    </cfRule>
  </conditionalFormatting>
  <conditionalFormatting sqref="B6:E9">
    <cfRule type="cellIs" dxfId="58" priority="14" operator="lessThan">
      <formula>0</formula>
    </cfRule>
  </conditionalFormatting>
  <conditionalFormatting sqref="E38:E49">
    <cfRule type="containsText" dxfId="55" priority="15" operator="containsText" text="▲">
      <formula>NOT(ISERROR(SEARCH("▲",E38)))</formula>
    </cfRule>
  </conditionalFormatting>
  <conditionalFormatting sqref="E38:E49">
    <cfRule type="containsText" dxfId="54" priority="16" operator="containsText" text="Égal">
      <formula>NOT(ISERROR(SEARCH("Égal",E38)))</formula>
    </cfRule>
  </conditionalFormatting>
  <pageMargins left="0.75" right="0.75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55A64"/>
  </sheetPr>
  <dimension ref="A1:G76"/>
  <sheetViews>
    <sheetView showGridLines="0" workbookViewId="0"/>
  </sheetViews>
  <sheetFormatPr baseColWidth="10" defaultColWidth="8.88671875" defaultRowHeight="14.4" x14ac:dyDescent="0.3"/>
  <cols>
    <col min="1" max="1" width="28.6640625" customWidth="1"/>
    <col min="2" max="2" width="15.77734375" customWidth="1"/>
    <col min="3" max="3" width="17.5546875" customWidth="1"/>
    <col min="4" max="4" width="15.77734375" customWidth="1"/>
    <col min="5" max="5" width="17.5546875" customWidth="1"/>
    <col min="6" max="6" width="13" customWidth="1"/>
    <col min="7" max="7" width="14.77734375" customWidth="1"/>
  </cols>
  <sheetData>
    <row r="1" spans="1:7" ht="22.05" customHeight="1" x14ac:dyDescent="0.3">
      <c r="A1" s="10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</row>
    <row r="2" spans="1:7" ht="4.05" customHeight="1" x14ac:dyDescent="0.3">
      <c r="A2" s="35" t="s">
        <v>28</v>
      </c>
      <c r="B2" s="35" t="s">
        <v>22</v>
      </c>
      <c r="C2" s="35" t="s">
        <v>227</v>
      </c>
      <c r="D2" s="35" t="s">
        <v>24</v>
      </c>
      <c r="E2" s="35" t="s">
        <v>228</v>
      </c>
      <c r="F2" s="35" t="s">
        <v>29</v>
      </c>
      <c r="G2" s="35" t="s">
        <v>30</v>
      </c>
    </row>
    <row r="3" spans="1:7" ht="16.05" customHeight="1" thickBot="1" x14ac:dyDescent="0.35">
      <c r="A3" s="12" t="s">
        <v>31</v>
      </c>
      <c r="B3" s="13" t="s">
        <v>22</v>
      </c>
      <c r="C3" s="13" t="s">
        <v>227</v>
      </c>
      <c r="D3" s="13" t="s">
        <v>24</v>
      </c>
      <c r="E3" s="13" t="s">
        <v>228</v>
      </c>
      <c r="F3" s="13" t="s">
        <v>29</v>
      </c>
      <c r="G3" s="13" t="s">
        <v>30</v>
      </c>
    </row>
    <row r="4" spans="1:7" ht="16.05" customHeight="1" x14ac:dyDescent="0.3">
      <c r="A4" s="14" t="s">
        <v>32</v>
      </c>
      <c r="B4" s="15"/>
      <c r="C4" s="16" t="s">
        <v>229</v>
      </c>
      <c r="D4" s="15"/>
      <c r="E4" s="16" t="s">
        <v>228</v>
      </c>
      <c r="F4" s="15" t="s">
        <v>29</v>
      </c>
      <c r="G4" s="15" t="s">
        <v>33</v>
      </c>
    </row>
    <row r="5" spans="1:7" ht="16.05" customHeight="1" x14ac:dyDescent="0.3">
      <c r="A5" s="17" t="s">
        <v>34</v>
      </c>
      <c r="B5" s="18"/>
      <c r="C5" s="19" t="s">
        <v>227</v>
      </c>
      <c r="D5" s="18"/>
      <c r="E5" s="19" t="s">
        <v>230</v>
      </c>
      <c r="F5" s="18" t="s">
        <v>29</v>
      </c>
      <c r="G5" s="18" t="s">
        <v>33</v>
      </c>
    </row>
    <row r="6" spans="1:7" ht="16.05" customHeight="1" x14ac:dyDescent="0.3">
      <c r="A6" s="20" t="s">
        <v>35</v>
      </c>
      <c r="B6" s="21"/>
      <c r="C6" s="22" t="s">
        <v>231</v>
      </c>
      <c r="D6" s="21"/>
      <c r="E6" s="22" t="s">
        <v>231</v>
      </c>
      <c r="F6" s="21" t="s">
        <v>29</v>
      </c>
      <c r="G6" s="21" t="s">
        <v>30</v>
      </c>
    </row>
    <row r="7" spans="1:7" ht="16.05" customHeight="1" x14ac:dyDescent="0.3">
      <c r="A7" s="17" t="s">
        <v>36</v>
      </c>
      <c r="B7" s="18"/>
      <c r="C7" s="19" t="s">
        <v>231</v>
      </c>
      <c r="D7" s="18"/>
      <c r="E7" s="19" t="s">
        <v>231</v>
      </c>
      <c r="F7" s="18" t="s">
        <v>29</v>
      </c>
      <c r="G7" s="18" t="s">
        <v>30</v>
      </c>
    </row>
    <row r="8" spans="1:7" ht="16.05" customHeight="1" x14ac:dyDescent="0.3">
      <c r="A8" s="20" t="s">
        <v>37</v>
      </c>
      <c r="B8" s="21"/>
      <c r="C8" s="22" t="s">
        <v>43</v>
      </c>
      <c r="D8" s="21"/>
      <c r="E8" s="22" t="s">
        <v>43</v>
      </c>
      <c r="F8" s="21" t="s">
        <v>29</v>
      </c>
      <c r="G8" s="21" t="s">
        <v>30</v>
      </c>
    </row>
    <row r="9" spans="1:7" ht="16.05" customHeight="1" x14ac:dyDescent="0.3">
      <c r="A9" s="17" t="s">
        <v>38</v>
      </c>
      <c r="B9" s="18"/>
      <c r="C9" s="19" t="s">
        <v>43</v>
      </c>
      <c r="D9" s="18"/>
      <c r="E9" s="19" t="s">
        <v>43</v>
      </c>
      <c r="F9" s="18" t="s">
        <v>29</v>
      </c>
      <c r="G9" s="18" t="s">
        <v>30</v>
      </c>
    </row>
    <row r="10" spans="1:7" ht="16.05" customHeight="1" x14ac:dyDescent="0.3">
      <c r="A10" s="20" t="s">
        <v>39</v>
      </c>
      <c r="B10" s="21"/>
      <c r="C10" s="323">
        <v>46116</v>
      </c>
      <c r="D10" s="21"/>
      <c r="E10" s="323">
        <v>46116</v>
      </c>
      <c r="F10" s="21" t="s">
        <v>40</v>
      </c>
      <c r="G10" s="21" t="s">
        <v>41</v>
      </c>
    </row>
    <row r="11" spans="1:7" ht="16.05" customHeight="1" x14ac:dyDescent="0.3">
      <c r="A11" s="17" t="s">
        <v>42</v>
      </c>
      <c r="B11" s="18"/>
      <c r="C11" s="19">
        <v>415.2</v>
      </c>
      <c r="D11" s="18"/>
      <c r="E11" s="19">
        <v>168.5</v>
      </c>
      <c r="F11" s="18" t="s">
        <v>43</v>
      </c>
      <c r="G11" s="18" t="s">
        <v>30</v>
      </c>
    </row>
    <row r="12" spans="1:7" ht="16.05" customHeight="1" x14ac:dyDescent="0.3">
      <c r="A12" s="20" t="s">
        <v>44</v>
      </c>
      <c r="B12" s="21"/>
      <c r="C12" s="22">
        <v>480</v>
      </c>
      <c r="D12" s="21"/>
      <c r="E12" s="22">
        <v>195</v>
      </c>
      <c r="F12" s="21" t="s">
        <v>43</v>
      </c>
      <c r="G12" s="21" t="s">
        <v>45</v>
      </c>
    </row>
    <row r="13" spans="1:7" ht="16.05" customHeight="1" x14ac:dyDescent="0.3">
      <c r="A13" s="17" t="s">
        <v>46</v>
      </c>
      <c r="B13" s="18"/>
      <c r="C13" s="19">
        <v>310</v>
      </c>
      <c r="D13" s="18"/>
      <c r="E13" s="19">
        <v>130</v>
      </c>
      <c r="F13" s="18" t="s">
        <v>43</v>
      </c>
      <c r="G13" s="18" t="s">
        <v>45</v>
      </c>
    </row>
    <row r="14" spans="1:7" ht="16.05" customHeight="1" x14ac:dyDescent="0.3">
      <c r="A14" s="20" t="s">
        <v>47</v>
      </c>
      <c r="B14" s="21"/>
      <c r="C14" s="22">
        <v>610</v>
      </c>
      <c r="D14" s="21"/>
      <c r="E14" s="22">
        <v>255</v>
      </c>
      <c r="F14" s="21" t="s">
        <v>43</v>
      </c>
      <c r="G14" s="21" t="s">
        <v>45</v>
      </c>
    </row>
    <row r="15" spans="1:7" ht="16.05" customHeight="1" x14ac:dyDescent="0.3">
      <c r="A15" s="17" t="s">
        <v>48</v>
      </c>
      <c r="B15" s="18"/>
      <c r="C15" s="19">
        <v>0.157</v>
      </c>
      <c r="D15" s="18"/>
      <c r="E15" s="19">
        <v>0.158</v>
      </c>
      <c r="F15" s="18" t="s">
        <v>49</v>
      </c>
      <c r="G15" s="18" t="s">
        <v>50</v>
      </c>
    </row>
    <row r="16" spans="1:7" ht="16.05" customHeight="1" x14ac:dyDescent="0.3">
      <c r="A16" s="20" t="s">
        <v>51</v>
      </c>
      <c r="B16" s="21"/>
      <c r="C16" s="22">
        <v>0.13400000000000001</v>
      </c>
      <c r="D16" s="21"/>
      <c r="E16" s="22">
        <v>0.157</v>
      </c>
      <c r="F16" s="21" t="s">
        <v>49</v>
      </c>
      <c r="G16" s="21" t="s">
        <v>50</v>
      </c>
    </row>
    <row r="17" spans="1:7" ht="16.05" customHeight="1" x14ac:dyDescent="0.3">
      <c r="A17" s="17" t="s">
        <v>52</v>
      </c>
      <c r="B17" s="18"/>
      <c r="C17" s="19">
        <v>33.4</v>
      </c>
      <c r="D17" s="18"/>
      <c r="E17" s="19">
        <v>21.8</v>
      </c>
      <c r="F17" s="18" t="s">
        <v>53</v>
      </c>
      <c r="G17" s="18" t="s">
        <v>30</v>
      </c>
    </row>
    <row r="18" spans="1:7" ht="16.05" customHeight="1" x14ac:dyDescent="0.3">
      <c r="A18" s="20" t="s">
        <v>54</v>
      </c>
      <c r="B18" s="21"/>
      <c r="C18" s="22">
        <v>22.1</v>
      </c>
      <c r="D18" s="21"/>
      <c r="E18" s="22">
        <v>14.3</v>
      </c>
      <c r="F18" s="21" t="s">
        <v>53</v>
      </c>
      <c r="G18" s="21" t="s">
        <v>30</v>
      </c>
    </row>
    <row r="19" spans="1:7" ht="16.05" customHeight="1" x14ac:dyDescent="0.3">
      <c r="A19" s="17" t="s">
        <v>55</v>
      </c>
      <c r="B19" s="18"/>
      <c r="C19" s="19">
        <v>12.1</v>
      </c>
      <c r="D19" s="18"/>
      <c r="E19" s="19">
        <v>6.8</v>
      </c>
      <c r="F19" s="18" t="s">
        <v>53</v>
      </c>
      <c r="G19" s="18" t="s">
        <v>30</v>
      </c>
    </row>
    <row r="20" spans="1:7" ht="16.05" customHeight="1" x14ac:dyDescent="0.3">
      <c r="A20" s="20" t="s">
        <v>56</v>
      </c>
      <c r="B20" s="21"/>
      <c r="C20" s="22">
        <v>2.1999999999999999E-2</v>
      </c>
      <c r="D20" s="21"/>
      <c r="E20" s="22">
        <v>3.1E-2</v>
      </c>
      <c r="F20" s="21" t="s">
        <v>49</v>
      </c>
      <c r="G20" s="21" t="s">
        <v>50</v>
      </c>
    </row>
    <row r="21" spans="1:7" ht="16.05" customHeight="1" x14ac:dyDescent="0.3">
      <c r="A21" s="17" t="s">
        <v>57</v>
      </c>
      <c r="B21" s="18"/>
      <c r="C21" s="19">
        <v>2.31</v>
      </c>
      <c r="D21" s="18"/>
      <c r="E21" s="19">
        <v>1.52</v>
      </c>
      <c r="F21" s="18" t="s">
        <v>53</v>
      </c>
      <c r="G21" s="18" t="s">
        <v>50</v>
      </c>
    </row>
    <row r="22" spans="1:7" ht="16.05" customHeight="1" x14ac:dyDescent="0.3">
      <c r="A22" s="20" t="s">
        <v>58</v>
      </c>
      <c r="B22" s="21"/>
      <c r="C22" s="22">
        <v>8.8999999999999996E-2</v>
      </c>
      <c r="D22" s="21"/>
      <c r="E22" s="22">
        <v>9.4E-2</v>
      </c>
      <c r="F22" s="21" t="s">
        <v>49</v>
      </c>
      <c r="G22" s="21" t="s">
        <v>45</v>
      </c>
    </row>
    <row r="23" spans="1:7" ht="16.05" customHeight="1" x14ac:dyDescent="0.3">
      <c r="A23" s="17" t="s">
        <v>59</v>
      </c>
      <c r="B23" s="18"/>
      <c r="C23" s="19">
        <v>0.03</v>
      </c>
      <c r="D23" s="18"/>
      <c r="E23" s="19">
        <v>2.5000000000000001E-2</v>
      </c>
      <c r="F23" s="18" t="s">
        <v>49</v>
      </c>
      <c r="G23" s="18" t="s">
        <v>45</v>
      </c>
    </row>
    <row r="24" spans="1:7" ht="16.05" customHeight="1" x14ac:dyDescent="0.3">
      <c r="A24" s="20" t="s">
        <v>60</v>
      </c>
      <c r="B24" s="21"/>
      <c r="C24" s="22">
        <v>1</v>
      </c>
      <c r="D24" s="21"/>
      <c r="E24" s="22">
        <v>1</v>
      </c>
      <c r="F24" s="21" t="s">
        <v>61</v>
      </c>
      <c r="G24" s="21" t="s">
        <v>45</v>
      </c>
    </row>
    <row r="25" spans="1:7" ht="16.05" customHeight="1" x14ac:dyDescent="0.3">
      <c r="A25" s="17" t="s">
        <v>62</v>
      </c>
      <c r="B25" s="18"/>
      <c r="C25" s="19">
        <v>340</v>
      </c>
      <c r="D25" s="18"/>
      <c r="E25" s="19">
        <v>138</v>
      </c>
      <c r="F25" s="18" t="s">
        <v>43</v>
      </c>
      <c r="G25" s="18" t="s">
        <v>45</v>
      </c>
    </row>
    <row r="26" spans="1:7" ht="16.05" customHeight="1" x14ac:dyDescent="0.3">
      <c r="A26" s="20" t="s">
        <v>63</v>
      </c>
      <c r="B26" s="21"/>
      <c r="C26" s="22">
        <v>478</v>
      </c>
      <c r="D26" s="21"/>
      <c r="E26" s="22">
        <v>193</v>
      </c>
      <c r="F26" s="21" t="s">
        <v>43</v>
      </c>
      <c r="G26" s="21" t="s">
        <v>45</v>
      </c>
    </row>
    <row r="27" spans="1:7" ht="16.05" customHeight="1" x14ac:dyDescent="0.3">
      <c r="A27" s="17" t="s">
        <v>64</v>
      </c>
      <c r="B27" s="18"/>
      <c r="C27" s="19">
        <v>620</v>
      </c>
      <c r="D27" s="18"/>
      <c r="E27" s="19">
        <v>256</v>
      </c>
      <c r="F27" s="18" t="s">
        <v>43</v>
      </c>
      <c r="G27" s="18" t="s">
        <v>45</v>
      </c>
    </row>
    <row r="28" spans="1:7" ht="16.05" customHeight="1" x14ac:dyDescent="0.3">
      <c r="A28" s="20" t="s">
        <v>65</v>
      </c>
      <c r="B28" s="21"/>
      <c r="C28" s="22">
        <v>8</v>
      </c>
      <c r="D28" s="21"/>
      <c r="E28" s="22">
        <v>7</v>
      </c>
      <c r="F28" s="21" t="s">
        <v>66</v>
      </c>
      <c r="G28" s="21" t="s">
        <v>45</v>
      </c>
    </row>
    <row r="29" spans="1:7" ht="16.05" customHeight="1" x14ac:dyDescent="0.3">
      <c r="A29" s="17" t="s">
        <v>67</v>
      </c>
      <c r="B29" s="18"/>
      <c r="C29" s="19">
        <v>-2.1000000000000001E-2</v>
      </c>
      <c r="D29" s="18"/>
      <c r="E29" s="19">
        <v>-8.0000000000000002E-3</v>
      </c>
      <c r="F29" s="18" t="s">
        <v>49</v>
      </c>
      <c r="G29" s="18" t="s">
        <v>45</v>
      </c>
    </row>
    <row r="30" spans="1:7" ht="16.05" customHeight="1" x14ac:dyDescent="0.3">
      <c r="A30" s="20" t="s">
        <v>68</v>
      </c>
      <c r="B30" s="21"/>
      <c r="C30" s="22">
        <v>1.18</v>
      </c>
      <c r="D30" s="21"/>
      <c r="E30" s="22">
        <v>1.42</v>
      </c>
      <c r="F30" s="21" t="s">
        <v>69</v>
      </c>
      <c r="G30" s="21" t="s">
        <v>45</v>
      </c>
    </row>
    <row r="31" spans="1:7" ht="16.05" customHeight="1" x14ac:dyDescent="0.3">
      <c r="A31" s="17" t="s">
        <v>70</v>
      </c>
      <c r="B31" s="18"/>
      <c r="C31" s="19">
        <v>-2.31</v>
      </c>
      <c r="D31" s="18"/>
      <c r="E31" s="19">
        <v>-2.85</v>
      </c>
      <c r="F31" s="18" t="s">
        <v>71</v>
      </c>
      <c r="G31" s="18" t="s">
        <v>45</v>
      </c>
    </row>
    <row r="32" spans="1:7" ht="16.05" customHeight="1" x14ac:dyDescent="0.3">
      <c r="A32" s="20" t="s">
        <v>72</v>
      </c>
      <c r="B32" s="21"/>
      <c r="C32" s="22">
        <v>4.12</v>
      </c>
      <c r="D32" s="21"/>
      <c r="E32" s="22">
        <v>5.67</v>
      </c>
      <c r="F32" s="21" t="s">
        <v>71</v>
      </c>
      <c r="G32" s="21" t="s">
        <v>45</v>
      </c>
    </row>
    <row r="33" spans="1:7" ht="16.05" customHeight="1" x14ac:dyDescent="0.3">
      <c r="A33" s="17" t="s">
        <v>73</v>
      </c>
      <c r="B33" s="18"/>
      <c r="C33" s="19" t="s">
        <v>232</v>
      </c>
      <c r="D33" s="18"/>
      <c r="E33" s="19" t="s">
        <v>232</v>
      </c>
      <c r="F33" s="18" t="s">
        <v>29</v>
      </c>
      <c r="G33" s="18" t="s">
        <v>45</v>
      </c>
    </row>
    <row r="34" spans="1:7" ht="16.05" customHeight="1" x14ac:dyDescent="0.3">
      <c r="A34" s="20" t="s">
        <v>74</v>
      </c>
      <c r="B34" s="21"/>
      <c r="C34" s="22">
        <v>0.312</v>
      </c>
      <c r="D34" s="21"/>
      <c r="E34" s="22">
        <v>0.187</v>
      </c>
      <c r="F34" s="21" t="s">
        <v>49</v>
      </c>
      <c r="G34" s="21" t="s">
        <v>45</v>
      </c>
    </row>
    <row r="35" spans="1:7" ht="16.05" customHeight="1" x14ac:dyDescent="0.3">
      <c r="A35" s="17" t="s">
        <v>75</v>
      </c>
      <c r="B35" s="18"/>
      <c r="C35" s="19">
        <v>0.34100000000000003</v>
      </c>
      <c r="D35" s="18"/>
      <c r="E35" s="19">
        <v>0.152</v>
      </c>
      <c r="F35" s="18" t="s">
        <v>49</v>
      </c>
      <c r="G35" s="18" t="s">
        <v>30</v>
      </c>
    </row>
    <row r="36" spans="1:7" ht="16.05" customHeight="1" x14ac:dyDescent="0.3">
      <c r="A36" s="20" t="s">
        <v>76</v>
      </c>
      <c r="B36" s="21"/>
      <c r="C36" s="22">
        <v>0.45800000000000002</v>
      </c>
      <c r="D36" s="21"/>
      <c r="E36" s="22">
        <v>0.32100000000000001</v>
      </c>
      <c r="F36" s="21" t="s">
        <v>49</v>
      </c>
      <c r="G36" s="21" t="s">
        <v>45</v>
      </c>
    </row>
    <row r="37" spans="1:7" ht="16.05" customHeight="1" x14ac:dyDescent="0.3">
      <c r="A37" s="17" t="s">
        <v>77</v>
      </c>
      <c r="B37" s="18"/>
      <c r="C37" s="19">
        <v>0.43099999999999999</v>
      </c>
      <c r="D37" s="18"/>
      <c r="E37" s="19">
        <v>0.29799999999999999</v>
      </c>
      <c r="F37" s="18" t="s">
        <v>49</v>
      </c>
      <c r="G37" s="18" t="s">
        <v>45</v>
      </c>
    </row>
    <row r="38" spans="1:7" ht="16.05" customHeight="1" x14ac:dyDescent="0.3">
      <c r="A38" s="20" t="s">
        <v>78</v>
      </c>
      <c r="B38" s="21"/>
      <c r="C38" s="22">
        <v>0.41199999999999998</v>
      </c>
      <c r="D38" s="21"/>
      <c r="E38" s="22">
        <v>0.28100000000000003</v>
      </c>
      <c r="F38" s="21" t="s">
        <v>49</v>
      </c>
      <c r="G38" s="21" t="s">
        <v>45</v>
      </c>
    </row>
    <row r="39" spans="1:7" ht="16.05" customHeight="1" x14ac:dyDescent="0.3">
      <c r="A39" s="17" t="s">
        <v>79</v>
      </c>
      <c r="B39" s="18"/>
      <c r="C39" s="19" t="s">
        <v>233</v>
      </c>
      <c r="D39" s="18"/>
      <c r="E39" s="19" t="s">
        <v>234</v>
      </c>
      <c r="F39" s="18" t="s">
        <v>29</v>
      </c>
      <c r="G39" s="18" t="s">
        <v>50</v>
      </c>
    </row>
    <row r="40" spans="1:7" ht="16.05" customHeight="1" x14ac:dyDescent="0.3">
      <c r="A40" s="20" t="s">
        <v>80</v>
      </c>
      <c r="B40" s="21"/>
      <c r="C40" s="22">
        <v>0.14199999999999999</v>
      </c>
      <c r="D40" s="21"/>
      <c r="E40" s="22">
        <v>0.11799999999999999</v>
      </c>
      <c r="F40" s="21" t="s">
        <v>49</v>
      </c>
      <c r="G40" s="21" t="s">
        <v>45</v>
      </c>
    </row>
    <row r="41" spans="1:7" ht="16.05" customHeight="1" x14ac:dyDescent="0.3">
      <c r="A41" s="17" t="s">
        <v>81</v>
      </c>
      <c r="B41" s="18"/>
      <c r="C41" s="19">
        <v>0.187</v>
      </c>
      <c r="D41" s="18"/>
      <c r="E41" s="19">
        <v>0.14299999999999999</v>
      </c>
      <c r="F41" s="18" t="s">
        <v>49</v>
      </c>
      <c r="G41" s="18" t="s">
        <v>30</v>
      </c>
    </row>
    <row r="42" spans="1:7" ht="16.05" customHeight="1" x14ac:dyDescent="0.3">
      <c r="A42" s="20" t="s">
        <v>82</v>
      </c>
      <c r="B42" s="21"/>
      <c r="C42" s="22">
        <v>-0.8</v>
      </c>
      <c r="D42" s="21"/>
      <c r="E42" s="22">
        <v>0.4</v>
      </c>
      <c r="F42" s="21" t="s">
        <v>53</v>
      </c>
      <c r="G42" s="21" t="s">
        <v>45</v>
      </c>
    </row>
    <row r="43" spans="1:7" ht="16.05" customHeight="1" x14ac:dyDescent="0.3">
      <c r="A43" s="17" t="s">
        <v>83</v>
      </c>
      <c r="B43" s="18"/>
      <c r="C43" s="19">
        <v>28.4</v>
      </c>
      <c r="D43" s="18"/>
      <c r="E43" s="19">
        <v>19.7</v>
      </c>
      <c r="F43" s="18" t="s">
        <v>53</v>
      </c>
      <c r="G43" s="18" t="s">
        <v>45</v>
      </c>
    </row>
    <row r="44" spans="1:7" ht="16.05" customHeight="1" x14ac:dyDescent="0.3">
      <c r="A44" s="20" t="s">
        <v>84</v>
      </c>
      <c r="B44" s="21"/>
      <c r="C44" s="22">
        <v>0.89</v>
      </c>
      <c r="D44" s="21"/>
      <c r="E44" s="22">
        <v>1.04</v>
      </c>
      <c r="F44" s="21" t="s">
        <v>53</v>
      </c>
      <c r="G44" s="21" t="s">
        <v>30</v>
      </c>
    </row>
    <row r="45" spans="1:7" ht="16.05" customHeight="1" x14ac:dyDescent="0.3">
      <c r="A45" s="17" t="s">
        <v>85</v>
      </c>
      <c r="B45" s="18"/>
      <c r="C45" s="19">
        <v>-6.8000000000000005E-2</v>
      </c>
      <c r="D45" s="18"/>
      <c r="E45" s="19">
        <v>-9.0999999999999998E-2</v>
      </c>
      <c r="F45" s="18" t="s">
        <v>49</v>
      </c>
      <c r="G45" s="18" t="s">
        <v>45</v>
      </c>
    </row>
    <row r="46" spans="1:7" ht="16.05" customHeight="1" x14ac:dyDescent="0.3">
      <c r="A46" s="20" t="s">
        <v>86</v>
      </c>
      <c r="B46" s="21"/>
      <c r="C46" s="22">
        <v>12.3</v>
      </c>
      <c r="D46" s="21"/>
      <c r="E46" s="22">
        <v>9.8000000000000007</v>
      </c>
      <c r="F46" s="21" t="s">
        <v>87</v>
      </c>
      <c r="G46" s="21" t="s">
        <v>45</v>
      </c>
    </row>
    <row r="47" spans="1:7" ht="16.05" customHeight="1" x14ac:dyDescent="0.3">
      <c r="A47" s="17" t="s">
        <v>88</v>
      </c>
      <c r="B47" s="18"/>
      <c r="C47" s="19">
        <v>82</v>
      </c>
      <c r="D47" s="18"/>
      <c r="E47" s="19">
        <v>74</v>
      </c>
      <c r="F47" s="18" t="s">
        <v>89</v>
      </c>
      <c r="G47" s="18" t="s">
        <v>90</v>
      </c>
    </row>
    <row r="48" spans="1:7" ht="16.05" customHeight="1" x14ac:dyDescent="0.3">
      <c r="A48" s="20" t="s">
        <v>91</v>
      </c>
      <c r="B48" s="21"/>
      <c r="C48" s="22">
        <v>7.2</v>
      </c>
      <c r="D48" s="21"/>
      <c r="E48" s="22">
        <v>6.1</v>
      </c>
      <c r="F48" s="21" t="s">
        <v>92</v>
      </c>
      <c r="G48" s="21" t="s">
        <v>45</v>
      </c>
    </row>
    <row r="49" spans="1:7" ht="16.05" customHeight="1" x14ac:dyDescent="0.3">
      <c r="A49" s="17" t="s">
        <v>93</v>
      </c>
      <c r="B49" s="18"/>
      <c r="C49" s="19" t="s">
        <v>235</v>
      </c>
      <c r="D49" s="18"/>
      <c r="E49" s="19" t="s">
        <v>236</v>
      </c>
      <c r="F49" s="18" t="s">
        <v>29</v>
      </c>
      <c r="G49" s="18" t="s">
        <v>90</v>
      </c>
    </row>
    <row r="50" spans="1:7" ht="16.05" customHeight="1" x14ac:dyDescent="0.3">
      <c r="A50" s="20" t="s">
        <v>94</v>
      </c>
      <c r="B50" s="21"/>
      <c r="C50" s="22">
        <v>0.78</v>
      </c>
      <c r="D50" s="21"/>
      <c r="E50" s="22">
        <v>0.65</v>
      </c>
      <c r="F50" s="21" t="s">
        <v>49</v>
      </c>
      <c r="G50" s="21" t="s">
        <v>90</v>
      </c>
    </row>
    <row r="51" spans="1:7" ht="16.05" customHeight="1" x14ac:dyDescent="0.3">
      <c r="A51" s="17" t="s">
        <v>95</v>
      </c>
      <c r="B51" s="18"/>
      <c r="C51" s="19" t="s">
        <v>237</v>
      </c>
      <c r="D51" s="18"/>
      <c r="E51" s="19" t="s">
        <v>237</v>
      </c>
      <c r="F51" s="18" t="s">
        <v>29</v>
      </c>
      <c r="G51" s="18" t="s">
        <v>90</v>
      </c>
    </row>
    <row r="52" spans="1:7" ht="16.05" customHeight="1" x14ac:dyDescent="0.3">
      <c r="A52" s="23" t="s">
        <v>96</v>
      </c>
      <c r="B52" s="24"/>
      <c r="C52" s="25" t="s">
        <v>229</v>
      </c>
      <c r="D52" s="24"/>
      <c r="E52" s="25" t="s">
        <v>229</v>
      </c>
      <c r="F52" s="24" t="s">
        <v>29</v>
      </c>
      <c r="G52" s="24" t="s">
        <v>90</v>
      </c>
    </row>
    <row r="53" spans="1:7" ht="16.05" customHeight="1" x14ac:dyDescent="0.3">
      <c r="A53" s="260" t="s">
        <v>203</v>
      </c>
      <c r="C53">
        <v>2.41</v>
      </c>
      <c r="E53">
        <v>2.87</v>
      </c>
      <c r="F53" s="261" t="s">
        <v>53</v>
      </c>
      <c r="G53" s="261" t="s">
        <v>30</v>
      </c>
    </row>
    <row r="54" spans="1:7" ht="16.05" customHeight="1" x14ac:dyDescent="0.3">
      <c r="A54" s="262" t="s">
        <v>204</v>
      </c>
      <c r="C54">
        <v>1.93</v>
      </c>
      <c r="E54">
        <v>2.31</v>
      </c>
      <c r="F54" s="263" t="s">
        <v>53</v>
      </c>
      <c r="G54" s="263" t="s">
        <v>30</v>
      </c>
    </row>
    <row r="55" spans="1:7" ht="16.05" customHeight="1" x14ac:dyDescent="0.3">
      <c r="A55" s="260" t="s">
        <v>205</v>
      </c>
      <c r="C55">
        <v>4.8000000000000001E-2</v>
      </c>
      <c r="E55">
        <v>5.1999999999999998E-2</v>
      </c>
      <c r="F55" s="261" t="s">
        <v>49</v>
      </c>
      <c r="G55" s="261" t="s">
        <v>45</v>
      </c>
    </row>
    <row r="56" spans="1:7" x14ac:dyDescent="0.3">
      <c r="A56" s="262" t="s">
        <v>206</v>
      </c>
      <c r="C56">
        <v>3.1E-2</v>
      </c>
      <c r="E56">
        <v>-1.7999999999999999E-2</v>
      </c>
      <c r="F56" s="263" t="s">
        <v>49</v>
      </c>
      <c r="G56" s="263" t="s">
        <v>30</v>
      </c>
    </row>
    <row r="57" spans="1:7" x14ac:dyDescent="0.3">
      <c r="A57" s="260" t="s">
        <v>207</v>
      </c>
      <c r="C57">
        <v>0.112</v>
      </c>
      <c r="E57">
        <v>4.2999999999999997E-2</v>
      </c>
      <c r="F57" s="261" t="s">
        <v>49</v>
      </c>
      <c r="G57" s="261" t="s">
        <v>30</v>
      </c>
    </row>
    <row r="58" spans="1:7" x14ac:dyDescent="0.3">
      <c r="A58" s="262" t="s">
        <v>208</v>
      </c>
      <c r="C58">
        <v>0.187</v>
      </c>
      <c r="E58">
        <v>9.4E-2</v>
      </c>
      <c r="F58" s="263" t="s">
        <v>49</v>
      </c>
      <c r="G58" s="263" t="s">
        <v>30</v>
      </c>
    </row>
    <row r="59" spans="1:7" x14ac:dyDescent="0.3">
      <c r="A59" s="260" t="s">
        <v>209</v>
      </c>
      <c r="C59">
        <f>COMPARABLES!D19</f>
        <v>30.15</v>
      </c>
      <c r="E59">
        <f>COMPARABLES!D19</f>
        <v>30.15</v>
      </c>
      <c r="F59" s="261" t="s">
        <v>53</v>
      </c>
      <c r="G59" s="261" t="s">
        <v>45</v>
      </c>
    </row>
    <row r="60" spans="1:7" x14ac:dyDescent="0.3">
      <c r="A60" s="262" t="s">
        <v>210</v>
      </c>
      <c r="C60">
        <f>COMPARABLES!E19</f>
        <v>20</v>
      </c>
      <c r="E60">
        <f>COMPARABLES!E19</f>
        <v>20</v>
      </c>
      <c r="F60" s="263" t="s">
        <v>53</v>
      </c>
      <c r="G60" s="263" t="s">
        <v>45</v>
      </c>
    </row>
    <row r="61" spans="1:7" x14ac:dyDescent="0.3">
      <c r="A61" s="260" t="s">
        <v>277</v>
      </c>
      <c r="C61">
        <v>468.35</v>
      </c>
      <c r="E61">
        <v>208.7</v>
      </c>
      <c r="F61" s="261" t="s">
        <v>43</v>
      </c>
      <c r="G61" s="261" t="s">
        <v>30</v>
      </c>
    </row>
    <row r="62" spans="1:7" x14ac:dyDescent="0.3">
      <c r="A62" s="262" t="s">
        <v>278</v>
      </c>
      <c r="C62">
        <v>309.45</v>
      </c>
      <c r="E62">
        <v>140.53</v>
      </c>
      <c r="F62" s="263" t="s">
        <v>43</v>
      </c>
      <c r="G62" s="263" t="s">
        <v>30</v>
      </c>
    </row>
    <row r="63" spans="1:7" x14ac:dyDescent="0.3">
      <c r="A63" s="260" t="s">
        <v>279</v>
      </c>
      <c r="C63">
        <v>3085</v>
      </c>
      <c r="E63">
        <v>2085</v>
      </c>
      <c r="F63" s="261" t="s">
        <v>280</v>
      </c>
      <c r="G63" s="261" t="s">
        <v>30</v>
      </c>
    </row>
    <row r="64" spans="1:7" x14ac:dyDescent="0.3">
      <c r="A64" s="262" t="s">
        <v>281</v>
      </c>
      <c r="C64">
        <v>3012</v>
      </c>
      <c r="E64">
        <v>1940</v>
      </c>
      <c r="F64" s="263" t="s">
        <v>280</v>
      </c>
      <c r="G64" s="263" t="s">
        <v>30</v>
      </c>
    </row>
    <row r="65" spans="1:7" x14ac:dyDescent="0.3">
      <c r="A65" s="260" t="s">
        <v>282</v>
      </c>
      <c r="C65">
        <v>24.3</v>
      </c>
      <c r="E65">
        <v>28.1</v>
      </c>
      <c r="F65" s="261" t="s">
        <v>283</v>
      </c>
      <c r="G65" s="261" t="s">
        <v>30</v>
      </c>
    </row>
    <row r="66" spans="1:7" x14ac:dyDescent="0.3">
      <c r="A66" s="262" t="s">
        <v>284</v>
      </c>
      <c r="C66">
        <v>8.0000000000000002E-3</v>
      </c>
      <c r="E66">
        <v>0</v>
      </c>
      <c r="F66" s="263" t="s">
        <v>49</v>
      </c>
      <c r="G66" s="263" t="s">
        <v>30</v>
      </c>
    </row>
    <row r="67" spans="1:7" x14ac:dyDescent="0.3">
      <c r="A67" s="260" t="s">
        <v>285</v>
      </c>
      <c r="C67" t="s">
        <v>286</v>
      </c>
      <c r="E67" t="s">
        <v>287</v>
      </c>
      <c r="F67" s="261" t="s">
        <v>40</v>
      </c>
      <c r="G67" s="261" t="s">
        <v>30</v>
      </c>
    </row>
    <row r="68" spans="1:7" x14ac:dyDescent="0.3">
      <c r="A68" s="411" t="s">
        <v>304</v>
      </c>
      <c r="C68">
        <v>1</v>
      </c>
      <c r="E68">
        <v>1</v>
      </c>
      <c r="F68" s="412" t="s">
        <v>305</v>
      </c>
      <c r="G68" s="412" t="s">
        <v>45</v>
      </c>
    </row>
    <row r="69" spans="1:7" x14ac:dyDescent="0.3">
      <c r="A69" s="413" t="s">
        <v>306</v>
      </c>
      <c r="C69">
        <v>1</v>
      </c>
      <c r="E69">
        <v>1</v>
      </c>
      <c r="F69" s="414" t="s">
        <v>305</v>
      </c>
      <c r="G69" s="414" t="s">
        <v>45</v>
      </c>
    </row>
    <row r="70" spans="1:7" x14ac:dyDescent="0.3">
      <c r="A70" s="411" t="s">
        <v>307</v>
      </c>
      <c r="C70">
        <v>1</v>
      </c>
      <c r="E70">
        <v>1</v>
      </c>
      <c r="F70" s="412" t="s">
        <v>305</v>
      </c>
      <c r="G70" s="412" t="s">
        <v>45</v>
      </c>
    </row>
    <row r="71" spans="1:7" x14ac:dyDescent="0.3">
      <c r="A71" s="413" t="s">
        <v>308</v>
      </c>
      <c r="C71">
        <v>1</v>
      </c>
      <c r="E71">
        <v>0</v>
      </c>
      <c r="F71" s="414" t="s">
        <v>305</v>
      </c>
      <c r="G71" s="414" t="s">
        <v>45</v>
      </c>
    </row>
    <row r="72" spans="1:7" x14ac:dyDescent="0.3">
      <c r="A72" s="411" t="s">
        <v>309</v>
      </c>
      <c r="C72">
        <v>1</v>
      </c>
      <c r="E72">
        <v>1</v>
      </c>
      <c r="F72" s="412" t="s">
        <v>305</v>
      </c>
      <c r="G72" s="412" t="s">
        <v>45</v>
      </c>
    </row>
    <row r="73" spans="1:7" x14ac:dyDescent="0.3">
      <c r="A73" s="413" t="s">
        <v>310</v>
      </c>
      <c r="C73">
        <v>1</v>
      </c>
      <c r="E73">
        <v>1</v>
      </c>
      <c r="F73" s="414" t="s">
        <v>305</v>
      </c>
      <c r="G73" s="414" t="s">
        <v>45</v>
      </c>
    </row>
    <row r="74" spans="1:7" x14ac:dyDescent="0.3">
      <c r="A74" s="411" t="s">
        <v>311</v>
      </c>
      <c r="C74">
        <v>1</v>
      </c>
      <c r="E74">
        <v>1</v>
      </c>
      <c r="F74" s="412" t="s">
        <v>305</v>
      </c>
      <c r="G74" s="412" t="s">
        <v>45</v>
      </c>
    </row>
    <row r="75" spans="1:7" x14ac:dyDescent="0.3">
      <c r="A75" s="413" t="s">
        <v>312</v>
      </c>
      <c r="C75">
        <v>1</v>
      </c>
      <c r="E75">
        <v>1</v>
      </c>
      <c r="F75" s="414" t="s">
        <v>305</v>
      </c>
      <c r="G75" s="414" t="s">
        <v>45</v>
      </c>
    </row>
    <row r="76" spans="1:7" x14ac:dyDescent="0.3">
      <c r="A76" s="411" t="s">
        <v>313</v>
      </c>
      <c r="C76">
        <v>1</v>
      </c>
      <c r="E76">
        <v>0</v>
      </c>
      <c r="F76" s="412" t="s">
        <v>305</v>
      </c>
      <c r="G76" s="412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BAF7-B57A-47F0-891F-F5DF793D8996}">
  <dimension ref="B1:L20"/>
  <sheetViews>
    <sheetView showGridLines="0" workbookViewId="0">
      <selection activeCell="D12" sqref="D12"/>
    </sheetView>
  </sheetViews>
  <sheetFormatPr baseColWidth="10" defaultRowHeight="14.4" x14ac:dyDescent="0.3"/>
  <cols>
    <col min="1" max="1" width="3.33203125" customWidth="1"/>
    <col min="2" max="2" width="24.109375" customWidth="1"/>
    <col min="3" max="7" width="12.5546875" customWidth="1"/>
    <col min="8" max="8" width="4.33203125" customWidth="1"/>
    <col min="9" max="12" width="12.5546875" customWidth="1"/>
  </cols>
  <sheetData>
    <row r="1" spans="2:12" ht="19.95" customHeight="1" x14ac:dyDescent="0.3">
      <c r="B1" s="379" t="s">
        <v>299</v>
      </c>
      <c r="C1" s="378"/>
      <c r="D1" s="378"/>
      <c r="E1" s="378"/>
      <c r="F1" s="378"/>
      <c r="G1" s="378"/>
      <c r="H1" s="378"/>
      <c r="I1" s="378"/>
      <c r="J1" s="378"/>
      <c r="K1" s="378"/>
      <c r="L1" s="378"/>
    </row>
    <row r="2" spans="2:12" ht="13.95" customHeight="1" x14ac:dyDescent="0.3">
      <c r="B2" s="380" t="s">
        <v>164</v>
      </c>
      <c r="C2" s="381"/>
      <c r="D2" s="381"/>
      <c r="E2" s="381"/>
      <c r="F2" s="381"/>
      <c r="G2" s="381"/>
      <c r="H2" s="381"/>
      <c r="I2" s="381"/>
      <c r="J2" s="381"/>
      <c r="K2" s="381"/>
      <c r="L2" s="381"/>
    </row>
    <row r="3" spans="2:12" ht="7.95" customHeight="1" x14ac:dyDescent="0.3">
      <c r="B3" s="382"/>
    </row>
    <row r="4" spans="2:12" x14ac:dyDescent="0.3">
      <c r="B4" s="387" t="s">
        <v>300</v>
      </c>
      <c r="C4" s="383"/>
      <c r="D4" s="383"/>
      <c r="E4" s="383"/>
      <c r="F4" s="383"/>
      <c r="G4" s="383"/>
      <c r="H4" s="384"/>
      <c r="I4" s="384" t="s">
        <v>188</v>
      </c>
      <c r="J4" s="410" t="str">
        <f>VALORISATION!C3</f>
        <v>Microsoft</v>
      </c>
      <c r="K4" s="410" t="str">
        <f>VALORISATION!D3</f>
        <v>Alphabet</v>
      </c>
      <c r="L4" s="385"/>
    </row>
    <row r="5" spans="2:12" ht="15" thickBot="1" x14ac:dyDescent="0.35">
      <c r="B5" s="390" t="s">
        <v>301</v>
      </c>
      <c r="C5" s="388">
        <v>1.4999999999999999E-2</v>
      </c>
      <c r="D5" s="389">
        <v>0.02</v>
      </c>
      <c r="E5" s="388">
        <v>2.5000000000000001E-2</v>
      </c>
      <c r="F5" s="389">
        <v>0.03</v>
      </c>
      <c r="G5" s="395">
        <v>3.5000000000000003E-2</v>
      </c>
      <c r="I5" s="386" t="s">
        <v>189</v>
      </c>
      <c r="J5" s="392">
        <f>DATA_RAW!C13</f>
        <v>310</v>
      </c>
      <c r="K5" s="392">
        <f>DATA_RAW!E13</f>
        <v>130</v>
      </c>
    </row>
    <row r="6" spans="2:12" x14ac:dyDescent="0.3">
      <c r="B6" s="391">
        <v>7.0000000000000007E-2</v>
      </c>
      <c r="C6" s="393">
        <f>IFERROR(ROUND(DATA_RAW!C12*(1+(DATA_RAW!C22-0.07)*1.5+(0.015-DATA_RAW!C23)*0.8),0),"—")</f>
        <v>488</v>
      </c>
      <c r="D6" s="394">
        <f>IFERROR(ROUND(DATA_RAW!C12*(1+(DATA_RAW!C22-0.07)*1.5+(0.02-DATA_RAW!C23)*0.8),0),"—")</f>
        <v>490</v>
      </c>
      <c r="E6" s="394">
        <f>IFERROR(ROUND(DATA_RAW!C12*(1+(DATA_RAW!C22-0.07)*1.5+(0.025-DATA_RAW!C23)*0.8),0),"—")</f>
        <v>492</v>
      </c>
      <c r="F6" s="394">
        <f>IFERROR(ROUND(DATA_RAW!C12*(1+(DATA_RAW!C22-0.07)*1.5+(0.03-DATA_RAW!C23)*0.8),0),"—")</f>
        <v>494</v>
      </c>
      <c r="G6" s="399">
        <f>IFERROR(ROUND(DATA_RAW!C12*(1+(DATA_RAW!C22-0.07)*1.5+(0.035-DATA_RAW!C23)*0.8),0),"—")</f>
        <v>496</v>
      </c>
      <c r="I6" s="386" t="s">
        <v>190</v>
      </c>
      <c r="J6" s="392">
        <f>DATA_RAW!C12</f>
        <v>480</v>
      </c>
      <c r="K6" s="392">
        <f>DATA_RAW!E12</f>
        <v>195</v>
      </c>
    </row>
    <row r="7" spans="2:12" x14ac:dyDescent="0.3">
      <c r="B7" s="396">
        <v>0.08</v>
      </c>
      <c r="C7" s="397">
        <f>IFERROR(ROUND(DATA_RAW!C12*(1+(DATA_RAW!C22-0.08)*1.5+(0.015-DATA_RAW!C23)*0.8),0),"—")</f>
        <v>481</v>
      </c>
      <c r="D7" s="398">
        <f>IFERROR(ROUND(DATA_RAW!C12*(1+(DATA_RAW!C22-0.08)*1.5+(0.02-DATA_RAW!C23)*0.8),0),"—")</f>
        <v>483</v>
      </c>
      <c r="E7" s="398">
        <f>IFERROR(ROUND(DATA_RAW!C12*(1+(DATA_RAW!C22-0.08)*1.5+(0.025-DATA_RAW!C23)*0.8),0),"—")</f>
        <v>485</v>
      </c>
      <c r="F7" s="398">
        <f>IFERROR(ROUND(DATA_RAW!C12*(1+(DATA_RAW!C22-0.08)*1.5+(0.03-DATA_RAW!C23)*0.8),0),"—")</f>
        <v>486</v>
      </c>
      <c r="G7" s="403">
        <f>IFERROR(ROUND(DATA_RAW!C12*(1+(DATA_RAW!C22-0.08)*1.5+(0.035-DATA_RAW!C23)*0.8),0),"—")</f>
        <v>488</v>
      </c>
      <c r="I7" s="386" t="s">
        <v>191</v>
      </c>
      <c r="J7" s="392">
        <f>DATA_RAW!C14</f>
        <v>610</v>
      </c>
      <c r="K7" s="392">
        <f>DATA_RAW!E14</f>
        <v>255</v>
      </c>
    </row>
    <row r="8" spans="2:12" x14ac:dyDescent="0.3">
      <c r="B8" s="396">
        <v>0.09</v>
      </c>
      <c r="C8" s="400">
        <f>IFERROR(ROUND(DATA_RAW!C12*(1+(DATA_RAW!C22-0.09)*1.5+(0.015-DATA_RAW!C23)*0.8),0),"—")</f>
        <v>474</v>
      </c>
      <c r="D8" s="401">
        <f>IFERROR(ROUND(DATA_RAW!C12*(1+(DATA_RAW!C22-0.09)*1.5+(0.02-DATA_RAW!C23)*0.8),0),"—")</f>
        <v>475</v>
      </c>
      <c r="E8" s="401">
        <f>IFERROR(ROUND(DATA_RAW!C12*(1+(DATA_RAW!C22-0.09)*1.5+(0.025-DATA_RAW!C23)*0.8),0),"—")</f>
        <v>477</v>
      </c>
      <c r="F8" s="402">
        <f>IFERROR(ROUND(DATA_RAW!C12*(1+(DATA_RAW!C22-0.09)*1.5+(0.03-DATA_RAW!C23)*0.8),0),"—")</f>
        <v>479</v>
      </c>
      <c r="G8" s="404">
        <f>IFERROR(ROUND(DATA_RAW!C12*(1+(DATA_RAW!C22-0.09)*1.5+(0.035-DATA_RAW!C23)*0.8),0),"—")</f>
        <v>481</v>
      </c>
      <c r="I8" s="386" t="s">
        <v>3</v>
      </c>
      <c r="J8" s="392">
        <f>DATA_RAW!C11</f>
        <v>415.2</v>
      </c>
      <c r="K8" s="392">
        <f>DATA_RAW!E11</f>
        <v>168.5</v>
      </c>
    </row>
    <row r="9" spans="2:12" x14ac:dyDescent="0.3">
      <c r="B9" s="396">
        <v>0.1</v>
      </c>
      <c r="C9" s="397">
        <f>IFERROR(ROUND(DATA_RAW!C12*(1+(DATA_RAW!C22-0.1)*1.5+(0.015-DATA_RAW!C23)*0.8),0),"—")</f>
        <v>466</v>
      </c>
      <c r="D9" s="398">
        <f>IFERROR(ROUND(DATA_RAW!C12*(1+(DATA_RAW!C22-0.1)*1.5+(0.02-DATA_RAW!C23)*0.8),0),"—")</f>
        <v>468</v>
      </c>
      <c r="E9" s="398">
        <f>IFERROR(ROUND(DATA_RAW!C12*(1+(DATA_RAW!C22-0.1)*1.5+(0.025-DATA_RAW!C23)*0.8),0),"—")</f>
        <v>470</v>
      </c>
      <c r="F9" s="398">
        <f>IFERROR(ROUND(DATA_RAW!C12*(1+(DATA_RAW!C22-0.1)*1.5+(0.03-DATA_RAW!C23)*0.8),0),"—")</f>
        <v>472</v>
      </c>
      <c r="G9" s="403">
        <f>IFERROR(ROUND(DATA_RAW!C12*(1+(DATA_RAW!C22-0.1)*1.5+(0.035-DATA_RAW!C23)*0.8),0),"—")</f>
        <v>474</v>
      </c>
    </row>
    <row r="10" spans="2:12" ht="15" thickBot="1" x14ac:dyDescent="0.35">
      <c r="B10" s="396">
        <v>0.11</v>
      </c>
      <c r="C10" s="405">
        <f>IFERROR(ROUND(DATA_RAW!C12*(1+(DATA_RAW!C22-0.11)*1.5+(0.015-DATA_RAW!C23)*0.8),0),"—")</f>
        <v>459</v>
      </c>
      <c r="D10" s="406">
        <f>IFERROR(ROUND(DATA_RAW!C12*(1+(DATA_RAW!C22-0.11)*1.5+(0.02-DATA_RAW!C23)*0.8),0),"—")</f>
        <v>461</v>
      </c>
      <c r="E10" s="406">
        <f>IFERROR(ROUND(DATA_RAW!C12*(1+(DATA_RAW!C22-0.11)*1.5+(0.025-DATA_RAW!C23)*0.8),0),"—")</f>
        <v>463</v>
      </c>
      <c r="F10" s="406">
        <f>IFERROR(ROUND(DATA_RAW!C12*(1+(DATA_RAW!C22-0.11)*1.5+(0.03-DATA_RAW!C23)*0.8),0),"—")</f>
        <v>465</v>
      </c>
      <c r="G10" s="407">
        <f>IFERROR(ROUND(DATA_RAW!C12*(1+(DATA_RAW!C22-0.11)*1.5+(0.035-DATA_RAW!C23)*0.8),0),"—")</f>
        <v>467</v>
      </c>
    </row>
    <row r="11" spans="2:12" x14ac:dyDescent="0.3">
      <c r="B11" s="409" t="s">
        <v>302</v>
      </c>
      <c r="C11" s="408"/>
      <c r="D11" s="408"/>
      <c r="E11" s="408"/>
      <c r="F11" s="408"/>
      <c r="G11" s="408"/>
      <c r="H11" s="408"/>
      <c r="I11" s="408"/>
      <c r="J11" s="408"/>
      <c r="K11" s="408"/>
      <c r="L11" s="408"/>
    </row>
    <row r="13" spans="2:12" x14ac:dyDescent="0.3">
      <c r="B13" s="387" t="s">
        <v>303</v>
      </c>
      <c r="C13" s="383"/>
      <c r="D13" s="383"/>
      <c r="E13" s="383"/>
      <c r="F13" s="383"/>
      <c r="G13" s="383"/>
      <c r="H13" s="384"/>
      <c r="I13" s="384"/>
      <c r="J13" s="384"/>
      <c r="K13" s="384"/>
      <c r="L13" s="385"/>
    </row>
    <row r="14" spans="2:12" ht="15" thickBot="1" x14ac:dyDescent="0.35">
      <c r="B14" s="390" t="s">
        <v>301</v>
      </c>
      <c r="C14" s="388">
        <v>1.4999999999999999E-2</v>
      </c>
      <c r="D14" s="389">
        <v>0.02</v>
      </c>
      <c r="E14" s="388">
        <v>2.5000000000000001E-2</v>
      </c>
      <c r="F14" s="389">
        <v>0.03</v>
      </c>
      <c r="G14" s="395">
        <v>3.5000000000000003E-2</v>
      </c>
    </row>
    <row r="15" spans="2:12" x14ac:dyDescent="0.3">
      <c r="B15" s="391">
        <v>7.0000000000000007E-2</v>
      </c>
      <c r="C15" s="393">
        <f>IFERROR(ROUND(DATA_RAW!E12*(1+(DATA_RAW!E22-0.07)*1.5+(0.015-DATA_RAW!E23)*0.8),0),"—")</f>
        <v>200</v>
      </c>
      <c r="D15" s="394">
        <f>IFERROR(ROUND(DATA_RAW!E12*(1+(DATA_RAW!E22-0.07)*1.5+(0.02-DATA_RAW!E23)*0.8),0),"—")</f>
        <v>201</v>
      </c>
      <c r="E15" s="394">
        <f>IFERROR(ROUND(DATA_RAW!E12*(1+(DATA_RAW!E22-0.07)*1.5+(0.025-DATA_RAW!E23)*0.8),0),"—")</f>
        <v>202</v>
      </c>
      <c r="F15" s="394">
        <f>IFERROR(ROUND(DATA_RAW!E12*(1+(DATA_RAW!E22-0.07)*1.5+(0.03-DATA_RAW!E23)*0.8),0),"—")</f>
        <v>203</v>
      </c>
      <c r="G15" s="399">
        <f>IFERROR(ROUND(DATA_RAW!E12*(1+(DATA_RAW!E22-0.07)*1.5+(0.035-DATA_RAW!E23)*0.8),0),"—")</f>
        <v>204</v>
      </c>
    </row>
    <row r="16" spans="2:12" x14ac:dyDescent="0.3">
      <c r="B16" s="396">
        <v>0.08</v>
      </c>
      <c r="C16" s="397">
        <f>IFERROR(ROUND(DATA_RAW!E12*(1+(DATA_RAW!E22-0.08)*1.5+(0.015-DATA_RAW!E23)*0.8),0),"—")</f>
        <v>198</v>
      </c>
      <c r="D16" s="398">
        <f>IFERROR(ROUND(DATA_RAW!E12*(1+(DATA_RAW!E22-0.08)*1.5+(0.02-DATA_RAW!E23)*0.8),0),"—")</f>
        <v>198</v>
      </c>
      <c r="E16" s="398">
        <f>IFERROR(ROUND(DATA_RAW!E12*(1+(DATA_RAW!E22-0.08)*1.5+(0.025-DATA_RAW!E23)*0.8),0),"—")</f>
        <v>199</v>
      </c>
      <c r="F16" s="398">
        <f>IFERROR(ROUND(DATA_RAW!E12*(1+(DATA_RAW!E22-0.08)*1.5+(0.03-DATA_RAW!E23)*0.8),0),"—")</f>
        <v>200</v>
      </c>
      <c r="G16" s="403">
        <f>IFERROR(ROUND(DATA_RAW!E12*(1+(DATA_RAW!E22-0.08)*1.5+(0.035-DATA_RAW!E23)*0.8),0),"—")</f>
        <v>201</v>
      </c>
    </row>
    <row r="17" spans="2:12" x14ac:dyDescent="0.3">
      <c r="B17" s="396">
        <v>0.09</v>
      </c>
      <c r="C17" s="400">
        <f>IFERROR(ROUND(DATA_RAW!E12*(1+(DATA_RAW!E22-0.09)*1.5+(0.015-DATA_RAW!E23)*0.8),0),"—")</f>
        <v>195</v>
      </c>
      <c r="D17" s="401">
        <f>IFERROR(ROUND(DATA_RAW!E12*(1+(DATA_RAW!E22-0.09)*1.5+(0.02-DATA_RAW!E23)*0.8),0),"—")</f>
        <v>195</v>
      </c>
      <c r="E17" s="401">
        <f>IFERROR(ROUND(DATA_RAW!E12*(1+(DATA_RAW!E22-0.09)*1.5+(0.025-DATA_RAW!E23)*0.8),0),"—")</f>
        <v>196</v>
      </c>
      <c r="F17" s="402">
        <f>IFERROR(ROUND(DATA_RAW!E12*(1+(DATA_RAW!E22-0.09)*1.5+(0.03-DATA_RAW!E23)*0.8),0),"—")</f>
        <v>197</v>
      </c>
      <c r="G17" s="404">
        <f>IFERROR(ROUND(DATA_RAW!E12*(1+(DATA_RAW!E22-0.09)*1.5+(0.035-DATA_RAW!E23)*0.8),0),"—")</f>
        <v>198</v>
      </c>
    </row>
    <row r="18" spans="2:12" x14ac:dyDescent="0.3">
      <c r="B18" s="396">
        <v>0.1</v>
      </c>
      <c r="C18" s="397">
        <f>IFERROR(ROUND(DATA_RAW!E12*(1+(DATA_RAW!E22-0.1)*1.5+(0.015-DATA_RAW!E23)*0.8),0),"—")</f>
        <v>192</v>
      </c>
      <c r="D18" s="398">
        <f>IFERROR(ROUND(DATA_RAW!E12*(1+(DATA_RAW!E22-0.1)*1.5+(0.02-DATA_RAW!E23)*0.8),0),"—")</f>
        <v>192</v>
      </c>
      <c r="E18" s="398">
        <f>IFERROR(ROUND(DATA_RAW!E12*(1+(DATA_RAW!E22-0.1)*1.5+(0.025-DATA_RAW!E23)*0.8),0),"—")</f>
        <v>193</v>
      </c>
      <c r="F18" s="398">
        <f>IFERROR(ROUND(DATA_RAW!E12*(1+(DATA_RAW!E22-0.1)*1.5+(0.03-DATA_RAW!E23)*0.8),0),"—")</f>
        <v>194</v>
      </c>
      <c r="G18" s="403">
        <f>IFERROR(ROUND(DATA_RAW!E12*(1+(DATA_RAW!E22-0.1)*1.5+(0.035-DATA_RAW!E23)*0.8),0),"—")</f>
        <v>195</v>
      </c>
    </row>
    <row r="19" spans="2:12" ht="15" thickBot="1" x14ac:dyDescent="0.35">
      <c r="B19" s="396">
        <v>0.11</v>
      </c>
      <c r="C19" s="405">
        <f>IFERROR(ROUND(DATA_RAW!E12*(1+(DATA_RAW!E22-0.11)*1.5+(0.015-DATA_RAW!E23)*0.8),0),"—")</f>
        <v>189</v>
      </c>
      <c r="D19" s="406">
        <f>IFERROR(ROUND(DATA_RAW!E12*(1+(DATA_RAW!E22-0.11)*1.5+(0.02-DATA_RAW!E23)*0.8),0),"—")</f>
        <v>190</v>
      </c>
      <c r="E19" s="406">
        <f>IFERROR(ROUND(DATA_RAW!E12*(1+(DATA_RAW!E22-0.11)*1.5+(0.025-DATA_RAW!E23)*0.8),0),"—")</f>
        <v>190</v>
      </c>
      <c r="F19" s="406">
        <f>IFERROR(ROUND(DATA_RAW!E12*(1+(DATA_RAW!E22-0.11)*1.5+(0.03-DATA_RAW!E23)*0.8),0),"—")</f>
        <v>191</v>
      </c>
      <c r="G19" s="407">
        <f>IFERROR(ROUND(DATA_RAW!E12*(1+(DATA_RAW!E22-0.11)*1.5+(0.035-DATA_RAW!E23)*0.8),0),"—")</f>
        <v>192</v>
      </c>
    </row>
    <row r="20" spans="2:12" x14ac:dyDescent="0.3">
      <c r="B20" s="409" t="s">
        <v>302</v>
      </c>
      <c r="C20" s="408"/>
      <c r="D20" s="408"/>
      <c r="E20" s="408"/>
      <c r="F20" s="408"/>
      <c r="G20" s="408"/>
      <c r="H20" s="408"/>
      <c r="I20" s="408"/>
      <c r="J20" s="408"/>
      <c r="K20" s="408"/>
      <c r="L20" s="40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65C0"/>
  </sheetPr>
  <dimension ref="A1:AB49"/>
  <sheetViews>
    <sheetView showGridLines="0" zoomScaleNormal="100" workbookViewId="0">
      <selection activeCell="A23" sqref="A23"/>
    </sheetView>
  </sheetViews>
  <sheetFormatPr baseColWidth="10" defaultColWidth="8.88671875" defaultRowHeight="14.4" x14ac:dyDescent="0.3"/>
  <cols>
    <col min="1" max="1" width="1.88671875" customWidth="1"/>
    <col min="2" max="2" width="41.6640625" customWidth="1"/>
    <col min="3" max="4" width="13.33203125" customWidth="1"/>
    <col min="5" max="5" width="31.21875" bestFit="1" customWidth="1"/>
    <col min="6" max="9" width="13.33203125" customWidth="1"/>
    <col min="11" max="13" width="1.44140625" customWidth="1"/>
  </cols>
  <sheetData>
    <row r="1" spans="1:28" ht="28.05" customHeight="1" x14ac:dyDescent="0.3">
      <c r="A1" s="26"/>
      <c r="B1" s="34" t="s">
        <v>153</v>
      </c>
      <c r="C1" s="33"/>
      <c r="D1" s="33"/>
      <c r="E1" s="33"/>
      <c r="N1" t="str">
        <f>C3</f>
        <v>Microsoft</v>
      </c>
      <c r="O1" t="str">
        <f>D3</f>
        <v>Alphabet</v>
      </c>
      <c r="P1" s="376"/>
      <c r="Q1" s="376"/>
      <c r="R1" s="376" t="str">
        <f>C3</f>
        <v>Microsoft</v>
      </c>
      <c r="S1" s="376" t="str">
        <f>D3</f>
        <v>Alphabet</v>
      </c>
      <c r="T1" s="376"/>
    </row>
    <row r="2" spans="1:28" ht="13.95" customHeight="1" x14ac:dyDescent="0.3">
      <c r="A2" s="36"/>
      <c r="B2" s="38" t="s">
        <v>164</v>
      </c>
      <c r="C2" s="36"/>
      <c r="D2" s="36"/>
      <c r="E2" s="36"/>
      <c r="M2" t="s">
        <v>7</v>
      </c>
      <c r="N2">
        <f>DATA_RAW!C17</f>
        <v>33.4</v>
      </c>
      <c r="O2">
        <f>DATA_RAW!E17</f>
        <v>21.8</v>
      </c>
      <c r="P2" s="376"/>
      <c r="Q2" s="376" t="s">
        <v>298</v>
      </c>
      <c r="R2" s="376">
        <f>DATA_RAW!C20*100</f>
        <v>2.1999999999999997</v>
      </c>
      <c r="S2" s="376">
        <f>DATA_RAW!E20*100</f>
        <v>3.1</v>
      </c>
      <c r="T2" s="376"/>
    </row>
    <row r="3" spans="1:28" ht="22.05" customHeight="1" thickBot="1" x14ac:dyDescent="0.35">
      <c r="A3" s="7"/>
      <c r="B3" s="27" t="s">
        <v>0</v>
      </c>
      <c r="C3" s="172" t="str">
        <f>DATA_RAW!C4</f>
        <v>Microsoft</v>
      </c>
      <c r="D3" s="172" t="str">
        <f>DATA_RAW!E5</f>
        <v>Alphabet</v>
      </c>
      <c r="E3" s="8" t="s">
        <v>97</v>
      </c>
      <c r="M3" t="s">
        <v>8</v>
      </c>
      <c r="N3">
        <f>DATA_RAW!C18</f>
        <v>22.1</v>
      </c>
      <c r="O3">
        <f>DATA_RAW!E18</f>
        <v>14.3</v>
      </c>
      <c r="P3" s="376"/>
      <c r="Q3" s="376" t="s">
        <v>115</v>
      </c>
      <c r="R3" s="376">
        <f>DATA_RAW!C21</f>
        <v>2.31</v>
      </c>
      <c r="S3" s="376">
        <f>DATA_RAW!E21</f>
        <v>1.52</v>
      </c>
      <c r="T3" s="376"/>
      <c r="Z3" s="258" t="s">
        <v>188</v>
      </c>
      <c r="AA3" s="258" t="str">
        <f>IF(DATA_RAW!R4="","Soc. A",DATA_RAW!R4)</f>
        <v>Soc. A</v>
      </c>
      <c r="AB3" s="258" t="str">
        <f>IF(DATA_RAW!T5="","Soc. B",DATA_RAW!T5)</f>
        <v>Soc. B</v>
      </c>
    </row>
    <row r="4" spans="1:28" ht="4.95" customHeight="1" x14ac:dyDescent="0.3">
      <c r="A4" s="28"/>
      <c r="B4" s="29"/>
      <c r="C4" s="28"/>
      <c r="D4" s="28"/>
      <c r="E4" s="28"/>
      <c r="M4" t="s">
        <v>241</v>
      </c>
      <c r="N4">
        <f>DATA_RAW!C19</f>
        <v>12.1</v>
      </c>
      <c r="O4">
        <f>DATA_RAW!E19</f>
        <v>6.8</v>
      </c>
      <c r="P4" s="376"/>
      <c r="Q4" s="376"/>
      <c r="R4" s="376"/>
      <c r="S4" s="376"/>
      <c r="T4" s="376"/>
      <c r="Z4" s="258" t="s">
        <v>189</v>
      </c>
      <c r="AA4" s="258">
        <f>DATA_RAW!R13</f>
        <v>0</v>
      </c>
      <c r="AB4" s="258">
        <f>DATA_RAW!T13</f>
        <v>0</v>
      </c>
    </row>
    <row r="5" spans="1:28" ht="18" customHeight="1" x14ac:dyDescent="0.3">
      <c r="A5" s="40"/>
      <c r="B5" s="41" t="s">
        <v>98</v>
      </c>
      <c r="C5" s="54"/>
      <c r="D5" s="54"/>
      <c r="E5" s="40"/>
      <c r="P5" s="376"/>
      <c r="Q5" s="376"/>
      <c r="R5" s="376"/>
      <c r="S5" s="376"/>
      <c r="T5" s="376"/>
      <c r="Z5" s="258" t="s">
        <v>190</v>
      </c>
      <c r="AA5" s="258">
        <f>DATA_RAW!R12</f>
        <v>0</v>
      </c>
      <c r="AB5" s="258">
        <f>DATA_RAW!T12</f>
        <v>0</v>
      </c>
    </row>
    <row r="6" spans="1:28" ht="16.95" customHeight="1" x14ac:dyDescent="0.3">
      <c r="A6" s="45"/>
      <c r="B6" s="46" t="s">
        <v>3</v>
      </c>
      <c r="C6" s="55">
        <f>DATA_RAW!C11</f>
        <v>415.2</v>
      </c>
      <c r="D6" s="55">
        <f>DATA_RAW!E11</f>
        <v>168.5</v>
      </c>
      <c r="E6" s="121" t="str">
        <f>IF(C6=0,"—",IF(C6=D6,"Égal",IF(C6&gt;D6,"▲ "&amp;C3,"▲ "&amp;D3)))</f>
        <v>▲ Microsoft</v>
      </c>
      <c r="Z6" s="258" t="s">
        <v>191</v>
      </c>
      <c r="AA6" s="258">
        <f>DATA_RAW!R14</f>
        <v>0</v>
      </c>
      <c r="AB6" s="258">
        <f>DATA_RAW!T14</f>
        <v>0</v>
      </c>
    </row>
    <row r="7" spans="1:28" ht="16.95" customHeight="1" x14ac:dyDescent="0.3">
      <c r="A7" s="50"/>
      <c r="B7" s="51" t="s">
        <v>99</v>
      </c>
      <c r="C7" s="56">
        <f>DATA_RAW!C13</f>
        <v>310</v>
      </c>
      <c r="D7" s="56">
        <f>DATA_RAW!E13</f>
        <v>130</v>
      </c>
      <c r="E7" s="122" t="str">
        <f>IF(C7=0,"—",IF(C7=D7,"Égal",IF(C7&gt;D7,"▲ "&amp;C3,"▲ "&amp;D3)))</f>
        <v>▲ Microsoft</v>
      </c>
      <c r="Z7" s="258" t="s">
        <v>3</v>
      </c>
      <c r="AA7" s="258">
        <f>DATA_RAW!R11</f>
        <v>0</v>
      </c>
      <c r="AB7" s="258">
        <f>DATA_RAW!T11</f>
        <v>0</v>
      </c>
    </row>
    <row r="8" spans="1:28" ht="16.95" customHeight="1" x14ac:dyDescent="0.3">
      <c r="A8" s="52"/>
      <c r="B8" s="53" t="s">
        <v>100</v>
      </c>
      <c r="C8" s="57">
        <f>DATA_RAW!C12</f>
        <v>480</v>
      </c>
      <c r="D8" s="57">
        <f>DATA_RAW!E12</f>
        <v>195</v>
      </c>
      <c r="E8" s="123" t="str">
        <f>IF(C8=0,"—",IF(C8=D8,"Égal",IF(C8&gt;D8,"▲ "&amp;C3,"▲ "&amp;D3)))</f>
        <v>▲ Microsoft</v>
      </c>
    </row>
    <row r="9" spans="1:28" ht="16.95" customHeight="1" x14ac:dyDescent="0.3">
      <c r="A9" s="50"/>
      <c r="B9" s="51" t="s">
        <v>101</v>
      </c>
      <c r="C9" s="56">
        <f>DATA_RAW!C14</f>
        <v>610</v>
      </c>
      <c r="D9" s="56">
        <f>DATA_RAW!E14</f>
        <v>255</v>
      </c>
      <c r="E9" s="122" t="str">
        <f>IF(C9=0,"—",IF(C9=D9,"Égal",IF(C9&gt;D9,"▲ "&amp;C3,"▲ "&amp;D3)))</f>
        <v>▲ Microsoft</v>
      </c>
    </row>
    <row r="10" spans="1:28" ht="16.95" customHeight="1" x14ac:dyDescent="0.3">
      <c r="A10" s="52"/>
      <c r="B10" s="53" t="s">
        <v>102</v>
      </c>
      <c r="C10" s="136">
        <f>DATA_RAW!C15</f>
        <v>0.157</v>
      </c>
      <c r="D10" s="136">
        <f>DATA_RAW!E15</f>
        <v>0.158</v>
      </c>
      <c r="E10" s="123" t="str">
        <f>IF(C10=0,"—",IF(C10=D10,"Égal",IF(C10&gt;D10,"▲ "&amp;C3,"▲ "&amp;D3)))</f>
        <v>▲ Alphabet</v>
      </c>
    </row>
    <row r="11" spans="1:28" ht="16.95" customHeight="1" x14ac:dyDescent="0.3">
      <c r="A11" s="50"/>
      <c r="B11" s="51" t="s">
        <v>103</v>
      </c>
      <c r="C11" s="137">
        <f>DATA_RAW!C16</f>
        <v>0.13400000000000001</v>
      </c>
      <c r="D11" s="137">
        <f>DATA_RAW!E16</f>
        <v>0.157</v>
      </c>
      <c r="E11" s="122" t="str">
        <f>IF(C11=0,"—",IF(C11=D11,"Égal",IF(C11&gt;D11,"▲ "&amp;C3,"▲ "&amp;D3)))</f>
        <v>▲ Alphabet</v>
      </c>
    </row>
    <row r="12" spans="1:28" ht="16.95" customHeight="1" x14ac:dyDescent="0.3">
      <c r="A12" s="52"/>
      <c r="B12" s="53" t="s">
        <v>104</v>
      </c>
      <c r="C12" s="138">
        <f>DATA_RAW!C22</f>
        <v>8.8999999999999996E-2</v>
      </c>
      <c r="D12" s="138">
        <f>DATA_RAW!E22</f>
        <v>9.4E-2</v>
      </c>
      <c r="E12" s="123" t="str">
        <f>IF(C12=0,"—",IF(C12=D12,"Égal",IF(C12&lt;D12,"▲ "&amp;C3,"▲ "&amp;D3)))</f>
        <v>▲ Microsoft</v>
      </c>
    </row>
    <row r="13" spans="1:28" ht="16.95" customHeight="1" x14ac:dyDescent="0.3">
      <c r="A13" s="43"/>
      <c r="B13" s="51" t="s">
        <v>105</v>
      </c>
      <c r="C13" s="367">
        <f>DATA_RAW!C23</f>
        <v>0.03</v>
      </c>
      <c r="D13" s="367">
        <f>DATA_RAW!E23</f>
        <v>2.5000000000000001E-2</v>
      </c>
      <c r="E13" s="122" t="str">
        <f>IF(C13=0,"—",IF(C13=D13,"Égal",IF(C13&gt;D13,"▲ "&amp;C3,"▲ "&amp;D3)))</f>
        <v>▲ Microsoft</v>
      </c>
    </row>
    <row r="14" spans="1:28" ht="16.95" customHeight="1" x14ac:dyDescent="0.3">
      <c r="A14" s="42"/>
      <c r="B14" s="264" t="s">
        <v>288</v>
      </c>
      <c r="C14" s="368"/>
      <c r="D14" s="368"/>
      <c r="E14" s="267" t="s">
        <v>212</v>
      </c>
    </row>
    <row r="15" spans="1:28" ht="16.95" customHeight="1" x14ac:dyDescent="0.3">
      <c r="A15" s="42"/>
      <c r="B15" s="271" t="s">
        <v>289</v>
      </c>
      <c r="C15" s="369">
        <f>DATA_RAW!C63</f>
        <v>3085</v>
      </c>
      <c r="D15" s="369">
        <f>DATA_RAW!E63</f>
        <v>2085</v>
      </c>
      <c r="E15" s="317" t="str">
        <f>IF(C15=0,"—",IF(C15=D15,"Égal",IF(C15&gt;D15,"▲ "&amp;C3,"▲ "&amp;D3)))</f>
        <v>▲ Microsoft</v>
      </c>
    </row>
    <row r="16" spans="1:28" ht="16.95" customHeight="1" x14ac:dyDescent="0.3">
      <c r="A16" s="42"/>
      <c r="B16" s="273" t="s">
        <v>290</v>
      </c>
      <c r="C16" s="370">
        <f>DATA_RAW!C64</f>
        <v>3012</v>
      </c>
      <c r="D16" s="370">
        <f>DATA_RAW!E64</f>
        <v>1940</v>
      </c>
      <c r="E16" s="318" t="str">
        <f>IF(C16=0,"—",IF(C16=D16,"Égal",IF(C16&gt;D16,"▲ "&amp;C3,"▲ "&amp;D3)))</f>
        <v>▲ Microsoft</v>
      </c>
    </row>
    <row r="17" spans="1:5" ht="16.95" customHeight="1" x14ac:dyDescent="0.3">
      <c r="A17" s="42"/>
      <c r="B17" s="302" t="s">
        <v>291</v>
      </c>
      <c r="C17" s="371">
        <f>DATA_RAW!C61</f>
        <v>468.35</v>
      </c>
      <c r="D17" s="371">
        <f>DATA_RAW!E61</f>
        <v>208.7</v>
      </c>
      <c r="E17" s="373" t="str">
        <f>IF(C6=0,"—",IF(C6/C17&gt;D6/D17,"▲ "&amp;C3&amp;" plus proche du haut","▲ "&amp;D3&amp;" plus proche du haut"))</f>
        <v>▲ Microsoft plus proche du haut</v>
      </c>
    </row>
    <row r="18" spans="1:5" ht="16.95" customHeight="1" x14ac:dyDescent="0.3">
      <c r="A18" s="42"/>
      <c r="B18" s="273" t="s">
        <v>292</v>
      </c>
      <c r="C18" s="370">
        <f>DATA_RAW!C62</f>
        <v>309.45</v>
      </c>
      <c r="D18" s="370">
        <f>DATA_RAW!E62</f>
        <v>140.53</v>
      </c>
      <c r="E18" s="318" t="str">
        <f>IF(C6=0,"—",IF((C6-C18)/(C17-C18)&gt;(D6-D18)/(D17-D18),"▲ "&amp;C3&amp;" plus haut","▲ "&amp;D3&amp;" plus haut"))</f>
        <v>▲ Microsoft plus haut</v>
      </c>
    </row>
    <row r="19" spans="1:5" ht="16.95" customHeight="1" thickBot="1" x14ac:dyDescent="0.35">
      <c r="A19" s="42"/>
      <c r="B19" s="303" t="s">
        <v>293</v>
      </c>
      <c r="C19" s="372">
        <f>IFERROR((C6-C18)/(C17-C18),"—")</f>
        <v>0.66551290119572049</v>
      </c>
      <c r="D19" s="372">
        <f>IFERROR((D6-D18)/(D17-D18),"—")</f>
        <v>0.41029778494939129</v>
      </c>
      <c r="E19" s="319" t="str">
        <f>IF(ISNUMBER(C19),IF(C19&gt;D19,"▲ "&amp;C3,"▲ "&amp;D3),"—")</f>
        <v>▲ Microsoft</v>
      </c>
    </row>
    <row r="20" spans="1:5" ht="4.95" customHeight="1" x14ac:dyDescent="0.3">
      <c r="A20" s="28"/>
      <c r="B20" s="29"/>
      <c r="C20" s="58"/>
      <c r="D20" s="58"/>
      <c r="E20" s="120"/>
    </row>
    <row r="21" spans="1:5" ht="18" customHeight="1" x14ac:dyDescent="0.3">
      <c r="A21" s="40"/>
      <c r="B21" s="41" t="s">
        <v>106</v>
      </c>
      <c r="C21" s="54"/>
      <c r="D21" s="54"/>
      <c r="E21" s="126"/>
    </row>
    <row r="22" spans="1:5" ht="16.95" customHeight="1" x14ac:dyDescent="0.3">
      <c r="A22" s="45"/>
      <c r="B22" s="46" t="s">
        <v>107</v>
      </c>
      <c r="C22" s="55">
        <f>DATA_RAW!C25</f>
        <v>340</v>
      </c>
      <c r="D22" s="55">
        <f>DATA_RAW!E25</f>
        <v>138</v>
      </c>
      <c r="E22" s="121" t="str">
        <f>IF(C22=0,"—",IF(C22=D22,"Égal",IF(C22&gt;D22,"▲ "&amp;C3,"▲ "&amp;D3)))</f>
        <v>▲ Microsoft</v>
      </c>
    </row>
    <row r="23" spans="1:5" ht="16.95" customHeight="1" x14ac:dyDescent="0.3">
      <c r="A23" s="50"/>
      <c r="B23" s="51" t="s">
        <v>108</v>
      </c>
      <c r="C23" s="56">
        <f>DATA_RAW!C26</f>
        <v>478</v>
      </c>
      <c r="D23" s="56">
        <f>DATA_RAW!E26</f>
        <v>193</v>
      </c>
      <c r="E23" s="122" t="str">
        <f>IF(C23=0,"—",IF(C23=D23,"Égal",IF(C23&gt;D23,"▲ "&amp;C3,"▲ "&amp;D3)))</f>
        <v>▲ Microsoft</v>
      </c>
    </row>
    <row r="24" spans="1:5" ht="16.95" customHeight="1" x14ac:dyDescent="0.3">
      <c r="A24" s="48"/>
      <c r="B24" s="49" t="s">
        <v>109</v>
      </c>
      <c r="C24" s="59">
        <f>DATA_RAW!C27</f>
        <v>620</v>
      </c>
      <c r="D24" s="59">
        <f>DATA_RAW!E27</f>
        <v>256</v>
      </c>
      <c r="E24" s="125" t="str">
        <f>IF(C24=0,"—",IF(C24=D24,"Égal",IF(C24&gt;D24,"▲ "&amp;C3,"▲ "&amp;D3)))</f>
        <v>▲ Microsoft</v>
      </c>
    </row>
    <row r="25" spans="1:5" ht="4.95" customHeight="1" x14ac:dyDescent="0.3">
      <c r="A25" s="28"/>
      <c r="B25" s="29"/>
      <c r="C25" s="58"/>
      <c r="D25" s="58"/>
      <c r="E25" s="120"/>
    </row>
    <row r="26" spans="1:5" ht="18" customHeight="1" x14ac:dyDescent="0.3">
      <c r="A26" s="40"/>
      <c r="B26" s="41" t="s">
        <v>110</v>
      </c>
      <c r="C26" s="54"/>
      <c r="D26" s="54"/>
      <c r="E26" s="126"/>
    </row>
    <row r="27" spans="1:5" ht="16.95" customHeight="1" x14ac:dyDescent="0.3">
      <c r="A27" s="45"/>
      <c r="B27" s="46" t="s">
        <v>111</v>
      </c>
      <c r="C27" s="139">
        <f>DATA_RAW!C17</f>
        <v>33.4</v>
      </c>
      <c r="D27" s="139">
        <f>DATA_RAW!E17</f>
        <v>21.8</v>
      </c>
      <c r="E27" s="121" t="str">
        <f>IF(C27=0,"—",IF(C27=D27,"Égal",IF(C27&lt;D27,"▲ "&amp;C3,"▲ "&amp;D3)))</f>
        <v>▲ Alphabet</v>
      </c>
    </row>
    <row r="28" spans="1:5" ht="16.95" customHeight="1" x14ac:dyDescent="0.3">
      <c r="A28" s="50"/>
      <c r="B28" s="51" t="s">
        <v>112</v>
      </c>
      <c r="C28" s="140">
        <f>DATA_RAW!C18</f>
        <v>22.1</v>
      </c>
      <c r="D28" s="140">
        <f>DATA_RAW!E18</f>
        <v>14.3</v>
      </c>
      <c r="E28" s="122" t="str">
        <f>IF(C28=0,"—",IF(C28=D28,"Égal",IF(C28&lt;D28,"▲ "&amp;C3,"▲ "&amp;D3)))</f>
        <v>▲ Alphabet</v>
      </c>
    </row>
    <row r="29" spans="1:5" ht="16.95" customHeight="1" x14ac:dyDescent="0.3">
      <c r="A29" s="52"/>
      <c r="B29" s="53" t="s">
        <v>113</v>
      </c>
      <c r="C29" s="141">
        <f>DATA_RAW!C19</f>
        <v>12.1</v>
      </c>
      <c r="D29" s="141">
        <f>DATA_RAW!E19</f>
        <v>6.8</v>
      </c>
      <c r="E29" s="123" t="str">
        <f>IF(C29=0,"—",IF(C29=D29,"Égal",IF(C29&lt;D29,"▲ "&amp;C3,"▲ "&amp;D3)))</f>
        <v>▲ Alphabet</v>
      </c>
    </row>
    <row r="30" spans="1:5" ht="16.95" customHeight="1" x14ac:dyDescent="0.3">
      <c r="A30" s="50"/>
      <c r="B30" s="51" t="s">
        <v>114</v>
      </c>
      <c r="C30" s="137">
        <f>DATA_RAW!C20</f>
        <v>2.1999999999999999E-2</v>
      </c>
      <c r="D30" s="137">
        <f>DATA_RAW!E20</f>
        <v>3.1E-2</v>
      </c>
      <c r="E30" s="122" t="str">
        <f>IF(C30=0,"—",IF(C30=D30,"Égal",IF(C30&gt;D30,"▲ "&amp;C3,"▲ "&amp;D3)))</f>
        <v>▲ Alphabet</v>
      </c>
    </row>
    <row r="31" spans="1:5" ht="16.95" customHeight="1" x14ac:dyDescent="0.3">
      <c r="A31" s="48"/>
      <c r="B31" s="53" t="s">
        <v>115</v>
      </c>
      <c r="C31" s="141">
        <f>DATA_RAW!C21</f>
        <v>2.31</v>
      </c>
      <c r="D31" s="141">
        <f>DATA_RAW!E21</f>
        <v>1.52</v>
      </c>
      <c r="E31" s="123" t="str">
        <f>IF(C31=0,"—",IF(C31=D31,"Égal",IF(C31&lt;D31,"▲ "&amp;C3,"▲ "&amp;D3)))</f>
        <v>▲ Alphabet</v>
      </c>
    </row>
    <row r="32" spans="1:5" ht="16.95" customHeight="1" x14ac:dyDescent="0.3">
      <c r="A32" s="39"/>
      <c r="B32" s="264" t="s">
        <v>211</v>
      </c>
      <c r="C32" s="265"/>
      <c r="D32" s="265"/>
      <c r="E32" s="267" t="s">
        <v>212</v>
      </c>
    </row>
    <row r="33" spans="1:9" ht="16.95" customHeight="1" x14ac:dyDescent="0.3">
      <c r="A33" s="39"/>
      <c r="B33" s="269" t="s">
        <v>196</v>
      </c>
      <c r="C33" s="266" t="s">
        <v>226</v>
      </c>
      <c r="D33" s="266" t="s">
        <v>213</v>
      </c>
      <c r="E33" s="270" t="s">
        <v>214</v>
      </c>
    </row>
    <row r="34" spans="1:9" ht="16.95" customHeight="1" x14ac:dyDescent="0.3">
      <c r="A34" s="39"/>
      <c r="B34" s="271" t="s">
        <v>111</v>
      </c>
      <c r="C34" s="272">
        <f>DATA_RAW!C17</f>
        <v>33.4</v>
      </c>
      <c r="D34" s="272">
        <f>DATA_RAW!C59</f>
        <v>30.15</v>
      </c>
      <c r="E34" s="317" t="str">
        <f>IF(C34=0,"—",IF(D34=0,"—",IF(C34&lt;D34,"✓ Décoté","✗ Surévalué")))</f>
        <v>✗ Surévalué</v>
      </c>
    </row>
    <row r="35" spans="1:9" ht="16.95" customHeight="1" x14ac:dyDescent="0.3">
      <c r="A35" s="39"/>
      <c r="B35" s="273" t="s">
        <v>112</v>
      </c>
      <c r="C35" s="274">
        <f>DATA_RAW!C18</f>
        <v>22.1</v>
      </c>
      <c r="D35" s="274">
        <f>DATA_RAW!C60</f>
        <v>20</v>
      </c>
      <c r="E35" s="318" t="str">
        <f>IF(C35=0,"—",IF(D35=0,"—",IF(C35&lt;D35,"✓ Décoté","✗ Surévalué")))</f>
        <v>✗ Surévalué</v>
      </c>
    </row>
    <row r="36" spans="1:9" ht="16.95" customHeight="1" thickBot="1" x14ac:dyDescent="0.35">
      <c r="A36" s="39"/>
      <c r="B36" s="275" t="s">
        <v>225</v>
      </c>
      <c r="C36" s="276">
        <f>DATA_RAW!E17</f>
        <v>21.8</v>
      </c>
      <c r="D36" s="277">
        <f>DATA_RAW!C59</f>
        <v>30.15</v>
      </c>
      <c r="E36" s="319" t="str">
        <f>IF(C36=0,"—",IF(D36=0,"—",IF(C36&lt;D36,"✓ Décoté","✗ Surévalué")))</f>
        <v>✓ Décoté</v>
      </c>
    </row>
    <row r="37" spans="1:9" ht="6" customHeight="1" x14ac:dyDescent="0.3">
      <c r="A37" s="28"/>
      <c r="B37" s="29"/>
      <c r="C37" s="58"/>
      <c r="D37" s="58"/>
      <c r="E37" s="28"/>
    </row>
    <row r="38" spans="1:9" ht="6" customHeight="1" x14ac:dyDescent="0.3">
      <c r="A38" s="28"/>
      <c r="B38" s="29"/>
      <c r="C38" s="30"/>
      <c r="D38" s="30"/>
      <c r="E38" s="28"/>
    </row>
    <row r="39" spans="1:9" ht="18" customHeight="1" x14ac:dyDescent="0.3">
      <c r="A39" s="3"/>
      <c r="B39" s="4" t="s">
        <v>180</v>
      </c>
      <c r="C39" s="210"/>
      <c r="D39" s="210"/>
      <c r="E39" s="3"/>
    </row>
    <row r="40" spans="1:9" ht="13.95" customHeight="1" x14ac:dyDescent="0.3">
      <c r="A40" s="211"/>
      <c r="B40" s="225" t="s">
        <v>181</v>
      </c>
      <c r="C40" s="212"/>
      <c r="D40" s="212"/>
      <c r="E40" s="211"/>
    </row>
    <row r="41" spans="1:9" ht="22.05" customHeight="1" thickBot="1" x14ac:dyDescent="0.35">
      <c r="A41" s="13"/>
      <c r="B41" s="178" t="s">
        <v>182</v>
      </c>
      <c r="C41" s="213">
        <v>1.4999999999999999E-2</v>
      </c>
      <c r="D41" s="213">
        <v>0.02</v>
      </c>
      <c r="E41" s="213">
        <v>2.5000000000000001E-2</v>
      </c>
      <c r="F41" s="214">
        <v>0.03</v>
      </c>
      <c r="G41" s="213">
        <v>3.5000000000000003E-2</v>
      </c>
      <c r="H41" s="213">
        <v>0.04</v>
      </c>
      <c r="I41" s="231">
        <v>4.4999999999999998E-2</v>
      </c>
    </row>
    <row r="42" spans="1:9" ht="18" customHeight="1" x14ac:dyDescent="0.3">
      <c r="A42" s="215"/>
      <c r="B42" s="226">
        <v>7.0000000000000007E-2</v>
      </c>
      <c r="C42" s="216">
        <f>IFERROR(IF(B42&lt;=C41,"N/A",DATA_RAW!C12*((DATA_RAW!C22-DATA_RAW!C23)/(B42-C41))),"N/A")</f>
        <v>514.90909090909076</v>
      </c>
      <c r="D42" s="216">
        <f>IFERROR(IF(B42&lt;=D41,"N/A",DATA_RAW!C12*((DATA_RAW!C22-DATA_RAW!C23)/(B42-D41))),"N/A")</f>
        <v>566.4</v>
      </c>
      <c r="E42" s="216">
        <f>IFERROR(IF(B42&lt;=E41,"N/A",DATA_RAW!C12*((DATA_RAW!C22-DATA_RAW!C23)/(B42-E41))),"N/A")</f>
        <v>629.33333333333326</v>
      </c>
      <c r="F42" s="216">
        <f>IFERROR(IF(B42&lt;=F41,"N/A",DATA_RAW!C12*((DATA_RAW!C22-DATA_RAW!C23)/(B42-F41))),"N/A")</f>
        <v>707.99999999999977</v>
      </c>
      <c r="G42" s="216">
        <f>IFERROR(IF(B42&lt;=G41,"N/A",DATA_RAW!C12*((DATA_RAW!C22-DATA_RAW!C23)/(B42-G41))),"N/A")</f>
        <v>809.142857142857</v>
      </c>
      <c r="H42" s="216">
        <f>IFERROR(IF(B42&lt;=H41,"N/A",DATA_RAW!C12*((DATA_RAW!C22-DATA_RAW!C23)/(B42-H41))),"N/A")</f>
        <v>943.99999999999977</v>
      </c>
      <c r="I42" s="232">
        <f>IFERROR(IF(B42&lt;=I41,"N/A",DATA_RAW!C12*((DATA_RAW!C22-DATA_RAW!C23)/(B42-I41))),"N/A")</f>
        <v>1132.7999999999995</v>
      </c>
    </row>
    <row r="43" spans="1:9" ht="18" customHeight="1" x14ac:dyDescent="0.3">
      <c r="A43" s="217"/>
      <c r="B43" s="227">
        <v>7.4999999999999997E-2</v>
      </c>
      <c r="C43" s="218">
        <f>IFERROR(IF(B43&lt;=C41,"N/A",DATA_RAW!C12*((DATA_RAW!C22-DATA_RAW!C23)/(B43-C41))),"N/A")</f>
        <v>472</v>
      </c>
      <c r="D43" s="218">
        <f>IFERROR(IF(B43&lt;=D41,"N/A",DATA_RAW!C12*((DATA_RAW!C22-DATA_RAW!C23)/(B43-D41))),"N/A")</f>
        <v>514.90909090909088</v>
      </c>
      <c r="E43" s="218">
        <f>IFERROR(IF(B43&lt;=E41,"N/A",DATA_RAW!C12*((DATA_RAW!C22-DATA_RAW!C23)/(B43-E41))),"N/A")</f>
        <v>566.4</v>
      </c>
      <c r="F43" s="218">
        <f>IFERROR(IF(B43&lt;=F41,"N/A",DATA_RAW!C12*((DATA_RAW!C22-DATA_RAW!C23)/(B43-F41))),"N/A")</f>
        <v>629.33333333333337</v>
      </c>
      <c r="G43" s="218">
        <f>IFERROR(IF(B43&lt;=G41,"N/A",DATA_RAW!C12*((DATA_RAW!C22-DATA_RAW!C23)/(B43-G41))),"N/A")</f>
        <v>708</v>
      </c>
      <c r="H43" s="218">
        <f>IFERROR(IF(B43&lt;=H41,"N/A",DATA_RAW!C12*((DATA_RAW!C22-DATA_RAW!C23)/(B43-H41))),"N/A")</f>
        <v>809.14285714285711</v>
      </c>
      <c r="I43" s="233">
        <f>IFERROR(IF(B43&lt;=I41,"N/A",DATA_RAW!C12*((DATA_RAW!C22-DATA_RAW!C23)/(B43-I41))),"N/A")</f>
        <v>944</v>
      </c>
    </row>
    <row r="44" spans="1:9" ht="18" customHeight="1" thickBot="1" x14ac:dyDescent="0.35">
      <c r="A44" s="219"/>
      <c r="B44" s="228">
        <v>0.08</v>
      </c>
      <c r="C44" s="220">
        <f>IFERROR(IF(B44&lt;=C41,"N/A",DATA_RAW!C12*((DATA_RAW!C22-DATA_RAW!C23)/(B44-C41))),"N/A")</f>
        <v>435.69230769230762</v>
      </c>
      <c r="D44" s="220">
        <f>IFERROR(IF(B44&lt;=D41,"N/A",DATA_RAW!C12*((DATA_RAW!C22-DATA_RAW!C23)/(B44-D41))),"N/A")</f>
        <v>472</v>
      </c>
      <c r="E44" s="220">
        <f>IFERROR(IF(B44&lt;=E41,"N/A",DATA_RAW!C12*((DATA_RAW!C22-DATA_RAW!C23)/(B44-E41))),"N/A")</f>
        <v>514.90909090909088</v>
      </c>
      <c r="F44" s="221">
        <f>IFERROR(IF(B44&lt;=F41,"N/A",DATA_RAW!C12*((DATA_RAW!C22-DATA_RAW!C23)/(B44-F41))),"N/A")</f>
        <v>566.4</v>
      </c>
      <c r="G44" s="220">
        <f>IFERROR(IF(B44&lt;=G41,"N/A",DATA_RAW!C12*((DATA_RAW!C22-DATA_RAW!C23)/(B44-G41))),"N/A")</f>
        <v>629.33333333333337</v>
      </c>
      <c r="H44" s="220">
        <f>IFERROR(IF(B44&lt;=H41,"N/A",DATA_RAW!C12*((DATA_RAW!C22-DATA_RAW!C23)/(B44-H41))),"N/A")</f>
        <v>707.99999999999989</v>
      </c>
      <c r="I44" s="234">
        <f>IFERROR(IF(B44&lt;=I41,"N/A",DATA_RAW!C12*((DATA_RAW!C22-DATA_RAW!C23)/(B44-I41))),"N/A")</f>
        <v>809.142857142857</v>
      </c>
    </row>
    <row r="45" spans="1:9" ht="18" customHeight="1" x14ac:dyDescent="0.3">
      <c r="A45" s="222"/>
      <c r="B45" s="229">
        <v>8.5000000000000006E-2</v>
      </c>
      <c r="C45" s="256">
        <f>IFERROR(IF(B45&lt;=C41,"N/A",DATA_RAW!C12*((DATA_RAW!C22-DATA_RAW!C23)/(B45-C41))),"N/A")</f>
        <v>404.5714285714285</v>
      </c>
      <c r="D45" s="256">
        <f>IFERROR(IF(B45&lt;=D41,"N/A",DATA_RAW!C12*((DATA_RAW!C22-DATA_RAW!C23)/(B45-D41))),"N/A")</f>
        <v>435.69230769230762</v>
      </c>
      <c r="E45" s="256">
        <f>IFERROR(IF(B45&lt;=E41,"N/A",DATA_RAW!C12*((DATA_RAW!C22-DATA_RAW!C23)/(B45-E41))),"N/A")</f>
        <v>471.99999999999994</v>
      </c>
      <c r="F45" s="223">
        <f>IFERROR(IF(B45&lt;=F41,"N/A",DATA_RAW!C12*((DATA_RAW!C22-DATA_RAW!C23)/(B45-F41))),"N/A")</f>
        <v>514.90909090909076</v>
      </c>
      <c r="G45" s="256">
        <f>IFERROR(IF(B45&lt;=G41,"N/A",DATA_RAW!C12*((DATA_RAW!C22-DATA_RAW!C23)/(B45-G41))),"N/A")</f>
        <v>566.4</v>
      </c>
      <c r="H45" s="256">
        <f>IFERROR(IF(B45&lt;=H41,"N/A",DATA_RAW!C12*((DATA_RAW!C22-DATA_RAW!C23)/(B45-H41))),"N/A")</f>
        <v>629.33333333333326</v>
      </c>
      <c r="I45" s="257">
        <f>IFERROR(IF(B45&lt;=I41,"N/A",DATA_RAW!C12*((DATA_RAW!C22-DATA_RAW!C23)/(B45-I41))),"N/A")</f>
        <v>707.99999999999977</v>
      </c>
    </row>
    <row r="46" spans="1:9" ht="18" customHeight="1" x14ac:dyDescent="0.3">
      <c r="A46" s="224"/>
      <c r="B46" s="230">
        <v>0.09</v>
      </c>
      <c r="C46" s="221">
        <f>IFERROR(IF(B46&lt;=C41,"N/A",DATA_RAW!C12*((DATA_RAW!C22-DATA_RAW!C23)/(B46-C41))),"N/A")</f>
        <v>377.59999999999997</v>
      </c>
      <c r="D46" s="221">
        <f>IFERROR(IF(B46&lt;=D41,"N/A",DATA_RAW!C12*((DATA_RAW!C22-DATA_RAW!C23)/(B46-D41))),"N/A")</f>
        <v>404.57142857142856</v>
      </c>
      <c r="E46" s="221">
        <f>IFERROR(IF(B46&lt;=E41,"N/A",DATA_RAW!C12*((DATA_RAW!C22-DATA_RAW!C23)/(B46-E41))),"N/A")</f>
        <v>435.69230769230762</v>
      </c>
      <c r="F46" s="221">
        <f>IFERROR(IF(B46&lt;=F41,"N/A",DATA_RAW!C12*((DATA_RAW!C22-DATA_RAW!C23)/(B46-F41))),"N/A")</f>
        <v>472</v>
      </c>
      <c r="G46" s="221">
        <f>IFERROR(IF(B46&lt;=G41,"N/A",DATA_RAW!C12*((DATA_RAW!C22-DATA_RAW!C23)/(B46-G41))),"N/A")</f>
        <v>514.90909090909088</v>
      </c>
      <c r="H46" s="221">
        <f>IFERROR(IF(B46&lt;=H41,"N/A",DATA_RAW!C12*((DATA_RAW!C22-DATA_RAW!C23)/(B46-H41))),"N/A")</f>
        <v>566.4</v>
      </c>
      <c r="I46" s="235">
        <f>IFERROR(IF(B46&lt;=I41,"N/A",DATA_RAW!C12*((DATA_RAW!C22-DATA_RAW!C23)/(B46-I41))),"N/A")</f>
        <v>629.33333333333337</v>
      </c>
    </row>
    <row r="47" spans="1:9" ht="18" customHeight="1" x14ac:dyDescent="0.3">
      <c r="A47" s="217"/>
      <c r="B47" s="227">
        <v>9.5000000000000001E-2</v>
      </c>
      <c r="C47" s="218">
        <f>IFERROR(IF(B47&lt;=C41,"N/A",DATA_RAW!C12*((DATA_RAW!C22-DATA_RAW!C23)/(B47-C41))),"N/A")</f>
        <v>353.99999999999994</v>
      </c>
      <c r="D47" s="218">
        <f>IFERROR(IF(B47&lt;=D41,"N/A",DATA_RAW!C12*((DATA_RAW!C22-DATA_RAW!C23)/(B47-D41))),"N/A")</f>
        <v>377.59999999999997</v>
      </c>
      <c r="E47" s="218">
        <f>IFERROR(IF(B47&lt;=E41,"N/A",DATA_RAW!C12*((DATA_RAW!C22-DATA_RAW!C23)/(B47-E41))),"N/A")</f>
        <v>404.5714285714285</v>
      </c>
      <c r="F47" s="218">
        <f>IFERROR(IF(B47&lt;=F41,"N/A",DATA_RAW!C12*((DATA_RAW!C22-DATA_RAW!C23)/(B47-F41))),"N/A")</f>
        <v>435.69230769230762</v>
      </c>
      <c r="G47" s="218">
        <f>IFERROR(IF(B47&lt;=G41,"N/A",DATA_RAW!C12*((DATA_RAW!C22-DATA_RAW!C23)/(B47-G41))),"N/A")</f>
        <v>472</v>
      </c>
      <c r="H47" s="218">
        <f>IFERROR(IF(B47&lt;=H41,"N/A",DATA_RAW!C12*((DATA_RAW!C22-DATA_RAW!C23)/(B47-H41))),"N/A")</f>
        <v>514.90909090909088</v>
      </c>
      <c r="I47" s="233">
        <f>IFERROR(IF(B47&lt;=I41,"N/A",DATA_RAW!C12*((DATA_RAW!C22-DATA_RAW!C23)/(B47-I41))),"N/A")</f>
        <v>566.4</v>
      </c>
    </row>
    <row r="48" spans="1:9" ht="18" customHeight="1" x14ac:dyDescent="0.3">
      <c r="A48" s="219"/>
      <c r="B48" s="228">
        <v>0.1</v>
      </c>
      <c r="C48" s="220">
        <f>IFERROR(IF(B48&lt;=C41,"N/A",DATA_RAW!C12*((DATA_RAW!C22-DATA_RAW!C23)/(B48-C41))),"N/A")</f>
        <v>333.17647058823525</v>
      </c>
      <c r="D48" s="220">
        <f>IFERROR(IF(B48&lt;=D41,"N/A",DATA_RAW!C12*((DATA_RAW!C22-DATA_RAW!C23)/(B48-D41))),"N/A")</f>
        <v>353.99999999999994</v>
      </c>
      <c r="E48" s="220">
        <f>IFERROR(IF(B48&lt;=E41,"N/A",DATA_RAW!C12*((DATA_RAW!C22-DATA_RAW!C23)/(B48-E41))),"N/A")</f>
        <v>377.59999999999991</v>
      </c>
      <c r="F48" s="220">
        <f>IFERROR(IF(B48&lt;=F41,"N/A",DATA_RAW!C12*((DATA_RAW!C22-DATA_RAW!C23)/(B48-F41))),"N/A")</f>
        <v>404.5714285714285</v>
      </c>
      <c r="G48" s="220">
        <f>IFERROR(IF(B48&lt;=G41,"N/A",DATA_RAW!C12*((DATA_RAW!C22-DATA_RAW!C23)/(B48-G41))),"N/A")</f>
        <v>435.69230769230762</v>
      </c>
      <c r="H48" s="220">
        <f>IFERROR(IF(B48&lt;=H41,"N/A",DATA_RAW!C12*((DATA_RAW!C22-DATA_RAW!C23)/(B48-H41))),"N/A")</f>
        <v>471.99999999999994</v>
      </c>
      <c r="I48" s="234">
        <f>IFERROR(IF(B48&lt;=I41,"N/A",DATA_RAW!C12*((DATA_RAW!C22-DATA_RAW!C23)/(B48-I41))),"N/A")</f>
        <v>514.90909090909076</v>
      </c>
    </row>
    <row r="49" spans="1:9" ht="13.95" customHeight="1" x14ac:dyDescent="0.3">
      <c r="A49" s="236"/>
      <c r="B49" s="237" t="s">
        <v>183</v>
      </c>
      <c r="C49" s="236"/>
      <c r="D49" s="236"/>
      <c r="E49" s="236"/>
      <c r="F49" s="236"/>
      <c r="G49" s="236"/>
      <c r="H49" s="236"/>
      <c r="I49" s="236"/>
    </row>
  </sheetData>
  <conditionalFormatting sqref="E6:E36">
    <cfRule type="containsText" dxfId="45" priority="1" operator="containsText" text="▲">
      <formula>NOT(ISERROR(SEARCH("▲",E6)))</formula>
    </cfRule>
  </conditionalFormatting>
  <conditionalFormatting sqref="E6:E36">
    <cfRule type="containsText" dxfId="44" priority="2" operator="containsText" text="Égal">
      <formula>NOT(ISERROR(SEARCH("Égal",E6)))</formula>
    </cfRule>
  </conditionalFormatting>
  <conditionalFormatting sqref="E6:E36">
    <cfRule type="containsText" dxfId="43" priority="3" operator="containsText" text="⚠">
      <formula>NOT(ISERROR(SEARCH("⚠",E6)))</formula>
    </cfRule>
  </conditionalFormatting>
  <conditionalFormatting sqref="E6:E36">
    <cfRule type="containsText" dxfId="42" priority="4" operator="containsText" text="✓">
      <formula>NOT(ISERROR(SEARCH("✓",E6)))</formula>
    </cfRule>
  </conditionalFormatting>
  <conditionalFormatting sqref="E6:E36">
    <cfRule type="containsText" dxfId="41" priority="5" operator="containsText" text="—">
      <formula>NOT(ISERROR(SEARCH("—",E6)))</formula>
    </cfRule>
  </conditionalFormatting>
  <pageMargins left="0.75" right="0.75" top="1" bottom="1" header="0.5" footer="0.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95C"/>
  </sheetPr>
  <dimension ref="A1:E30"/>
  <sheetViews>
    <sheetView showGridLines="0" zoomScaleNormal="100" workbookViewId="0">
      <selection activeCell="J30" sqref="J30"/>
    </sheetView>
  </sheetViews>
  <sheetFormatPr baseColWidth="10" defaultColWidth="8.88671875" defaultRowHeight="14.4" x14ac:dyDescent="0.3"/>
  <cols>
    <col min="1" max="1" width="1.88671875" customWidth="1"/>
    <col min="2" max="2" width="41.6640625" customWidth="1"/>
    <col min="3" max="4" width="19.44140625" customWidth="1"/>
    <col min="5" max="5" width="26.88671875" customWidth="1"/>
    <col min="6" max="6" width="2" customWidth="1"/>
  </cols>
  <sheetData>
    <row r="1" spans="1:5" ht="22.05" customHeight="1" x14ac:dyDescent="0.3">
      <c r="A1" s="26"/>
      <c r="B1" s="34" t="s">
        <v>154</v>
      </c>
      <c r="C1" s="33"/>
      <c r="D1" s="33"/>
      <c r="E1" s="33"/>
    </row>
    <row r="2" spans="1:5" ht="13.95" customHeight="1" x14ac:dyDescent="0.3">
      <c r="A2" s="36"/>
      <c r="B2" s="38" t="s">
        <v>164</v>
      </c>
      <c r="C2" s="36"/>
      <c r="D2" s="36"/>
      <c r="E2" s="36"/>
    </row>
    <row r="3" spans="1:5" ht="19.95" customHeight="1" thickBot="1" x14ac:dyDescent="0.35">
      <c r="A3" s="7"/>
      <c r="B3" s="27" t="s">
        <v>116</v>
      </c>
      <c r="C3" s="172" t="str">
        <f>DATA_RAW!C4</f>
        <v>Microsoft</v>
      </c>
      <c r="D3" s="172" t="str">
        <f>DATA_RAW!E5</f>
        <v>Alphabet</v>
      </c>
      <c r="E3" s="8" t="s">
        <v>117</v>
      </c>
    </row>
    <row r="4" spans="1:5" ht="4.95" customHeight="1" x14ac:dyDescent="0.3">
      <c r="A4" s="28"/>
      <c r="B4" s="29"/>
      <c r="C4" s="28"/>
      <c r="D4" s="28"/>
      <c r="E4" s="28"/>
    </row>
    <row r="5" spans="1:5" ht="18" customHeight="1" x14ac:dyDescent="0.3">
      <c r="A5" s="40"/>
      <c r="B5" s="41" t="s">
        <v>118</v>
      </c>
      <c r="C5" s="54"/>
      <c r="D5" s="54"/>
      <c r="E5" s="40"/>
    </row>
    <row r="6" spans="1:5" ht="16.95" customHeight="1" x14ac:dyDescent="0.3">
      <c r="A6" s="45"/>
      <c r="B6" s="60" t="s">
        <v>119</v>
      </c>
      <c r="C6" s="47" t="str">
        <f>IF(DATA_RAW!C68=1,"✓",IF(DATA_RAW!C68=0,"✗","—"))</f>
        <v>✓</v>
      </c>
      <c r="D6" s="47" t="str">
        <f>IF(DATA_RAW!E68=1,"✓",IF(DATA_RAW!E68=0,"✗","—"))</f>
        <v>✓</v>
      </c>
      <c r="E6" s="419" t="str">
        <f>IF(DATA_RAW!C68="","—",IF(DATA_RAW!C68=DATA_RAW!E68,"Égal",IF(DATA_RAW!C68&gt;DATA_RAW!E68,"▲ "&amp;C3,"▲ "&amp;D3)))</f>
        <v>Égal</v>
      </c>
    </row>
    <row r="7" spans="1:5" ht="16.95" customHeight="1" x14ac:dyDescent="0.3">
      <c r="A7" s="50"/>
      <c r="B7" s="61" t="s">
        <v>121</v>
      </c>
      <c r="C7" s="415" t="str">
        <f>IF(DATA_RAW!C69=1,"✓",IF(DATA_RAW!C69=0,"✗","—"))</f>
        <v>✓</v>
      </c>
      <c r="D7" s="415" t="str">
        <f>IF(DATA_RAW!E69=1,"✓",IF(DATA_RAW!E69=0,"✗","—"))</f>
        <v>✓</v>
      </c>
      <c r="E7" s="416" t="str">
        <f>IF(DATA_RAW!C69="","—",IF(DATA_RAW!C69=DATA_RAW!E69,"Égal",IF(DATA_RAW!C69&gt;DATA_RAW!E69,"▲ "&amp;C3,"▲ "&amp;D3)))</f>
        <v>Égal</v>
      </c>
    </row>
    <row r="8" spans="1:5" ht="16.95" customHeight="1" x14ac:dyDescent="0.3">
      <c r="A8" s="52"/>
      <c r="B8" s="62" t="s">
        <v>122</v>
      </c>
      <c r="C8" s="417" t="str">
        <f>IF(DATA_RAW!C70=1,"✓",IF(DATA_RAW!C70=0,"✗","—"))</f>
        <v>✓</v>
      </c>
      <c r="D8" s="417" t="str">
        <f>IF(DATA_RAW!E70=1,"✓",IF(DATA_RAW!E70=0,"✗","—"))</f>
        <v>✓</v>
      </c>
      <c r="E8" s="418" t="str">
        <f>IF(DATA_RAW!C70="","—",IF(DATA_RAW!C70=DATA_RAW!E70,"Égal",IF(DATA_RAW!C70&gt;DATA_RAW!E70,"▲ "&amp;C3,"▲ "&amp;D3)))</f>
        <v>Égal</v>
      </c>
    </row>
    <row r="9" spans="1:5" ht="16.95" customHeight="1" x14ac:dyDescent="0.3">
      <c r="A9" s="50"/>
      <c r="B9" s="61" t="s">
        <v>123</v>
      </c>
      <c r="C9" s="415" t="str">
        <f>IF(DATA_RAW!C71=1,"✓",IF(DATA_RAW!C71=0,"✗","—"))</f>
        <v>✓</v>
      </c>
      <c r="D9" s="415" t="str">
        <f>IF(DATA_RAW!E71=1,"✓",IF(DATA_RAW!E71=0,"✗","—"))</f>
        <v>✗</v>
      </c>
      <c r="E9" s="416" t="str">
        <f>IF(DATA_RAW!C71="","—",IF(DATA_RAW!C71=DATA_RAW!E71,"Égal",IF(DATA_RAW!C71&gt;DATA_RAW!E71,"▲ "&amp;C3,"▲ "&amp;D3)))</f>
        <v>▲ Microsoft</v>
      </c>
    </row>
    <row r="10" spans="1:5" ht="16.95" customHeight="1" x14ac:dyDescent="0.3">
      <c r="A10" s="52"/>
      <c r="B10" s="62" t="s">
        <v>124</v>
      </c>
      <c r="C10" s="417" t="str">
        <f>IF(DATA_RAW!C72=1,"✓",IF(DATA_RAW!C72=0,"✗","—"))</f>
        <v>✓</v>
      </c>
      <c r="D10" s="417" t="str">
        <f>IF(DATA_RAW!E72=1,"✓",IF(DATA_RAW!E72=0,"✗","—"))</f>
        <v>✓</v>
      </c>
      <c r="E10" s="418" t="str">
        <f>IF(DATA_RAW!C72="","—",IF(DATA_RAW!C72=DATA_RAW!E72,"Égal",IF(DATA_RAW!C72&gt;DATA_RAW!E72,"▲ "&amp;C3,"▲ "&amp;D3)))</f>
        <v>Égal</v>
      </c>
    </row>
    <row r="11" spans="1:5" ht="16.95" customHeight="1" x14ac:dyDescent="0.3">
      <c r="A11" s="50"/>
      <c r="B11" s="61" t="s">
        <v>125</v>
      </c>
      <c r="C11" s="415" t="str">
        <f>IF(DATA_RAW!C73=1,"✓",IF(DATA_RAW!C73=0,"✗","—"))</f>
        <v>✓</v>
      </c>
      <c r="D11" s="415" t="str">
        <f>IF(DATA_RAW!E73=1,"✓",IF(DATA_RAW!E73=0,"✗","—"))</f>
        <v>✓</v>
      </c>
      <c r="E11" s="416" t="str">
        <f>IF(DATA_RAW!C73="","—",IF(DATA_RAW!C73=DATA_RAW!E73,"Égal",IF(DATA_RAW!C73&gt;DATA_RAW!E73,"▲ "&amp;C3,"▲ "&amp;D3)))</f>
        <v>Égal</v>
      </c>
    </row>
    <row r="12" spans="1:5" ht="16.95" customHeight="1" x14ac:dyDescent="0.3">
      <c r="A12" s="52"/>
      <c r="B12" s="62" t="s">
        <v>126</v>
      </c>
      <c r="C12" s="417" t="str">
        <f>IF(DATA_RAW!C74=1,"✓",IF(DATA_RAW!C74=0,"✗","—"))</f>
        <v>✓</v>
      </c>
      <c r="D12" s="417" t="str">
        <f>IF(DATA_RAW!E74=1,"✓",IF(DATA_RAW!E74=0,"✗","—"))</f>
        <v>✓</v>
      </c>
      <c r="E12" s="418" t="str">
        <f>IF(DATA_RAW!C74="","—",IF(DATA_RAW!C74=DATA_RAW!E74,"Égal",IF(DATA_RAW!C74&gt;DATA_RAW!E74,"▲ "&amp;C3,"▲ "&amp;D3)))</f>
        <v>Égal</v>
      </c>
    </row>
    <row r="13" spans="1:5" ht="16.95" customHeight="1" x14ac:dyDescent="0.3">
      <c r="A13" s="50"/>
      <c r="B13" s="61" t="s">
        <v>127</v>
      </c>
      <c r="C13" s="415" t="str">
        <f>IF(DATA_RAW!C75=1,"✓",IF(DATA_RAW!C75=0,"✗","—"))</f>
        <v>✓</v>
      </c>
      <c r="D13" s="415" t="str">
        <f>IF(DATA_RAW!E75=1,"✓",IF(DATA_RAW!E75=0,"✗","—"))</f>
        <v>✓</v>
      </c>
      <c r="E13" s="416" t="str">
        <f>IF(DATA_RAW!C75="","—",IF(DATA_RAW!C75=DATA_RAW!E75,"Égal",IF(DATA_RAW!C75&gt;DATA_RAW!E75,"▲ "&amp;C3,"▲ "&amp;D3)))</f>
        <v>Égal</v>
      </c>
    </row>
    <row r="14" spans="1:5" ht="16.95" customHeight="1" x14ac:dyDescent="0.3">
      <c r="A14" s="52"/>
      <c r="B14" s="62" t="s">
        <v>128</v>
      </c>
      <c r="C14" s="417" t="str">
        <f>IF(DATA_RAW!C76=1,"✓",IF(DATA_RAW!C76=0,"✗","—"))</f>
        <v>✓</v>
      </c>
      <c r="D14" s="417" t="str">
        <f>IF(DATA_RAW!E76=1,"✓",IF(DATA_RAW!E76=0,"✗","—"))</f>
        <v>✗</v>
      </c>
      <c r="E14" s="418" t="str">
        <f>IF(DATA_RAW!C76="","—",IF(DATA_RAW!C76=DATA_RAW!E76,"Égal",IF(DATA_RAW!C76&gt;DATA_RAW!E76,"▲ "&amp;C3,"▲ "&amp;D3)))</f>
        <v>▲ Microsoft</v>
      </c>
    </row>
    <row r="15" spans="1:5" ht="16.95" customHeight="1" thickBot="1" x14ac:dyDescent="0.35">
      <c r="A15" s="63"/>
      <c r="B15" s="64" t="s">
        <v>129</v>
      </c>
      <c r="C15" s="142">
        <f>DATA_RAW!C28</f>
        <v>8</v>
      </c>
      <c r="D15" s="142">
        <f>DATA_RAW!E28</f>
        <v>7</v>
      </c>
      <c r="E15" s="131" t="str">
        <f>IF(C15=0,"—",IF(C15=D15,"Égal",IF(C15&gt;D15,"▲ "&amp;C3,"▲ "&amp;D3)))</f>
        <v>▲ Microsoft</v>
      </c>
    </row>
    <row r="16" spans="1:5" ht="4.95" customHeight="1" x14ac:dyDescent="0.3">
      <c r="A16" s="28"/>
      <c r="B16" s="29"/>
      <c r="C16" s="58"/>
      <c r="D16" s="58"/>
      <c r="E16" s="120"/>
    </row>
    <row r="17" spans="1:5" ht="18" customHeight="1" x14ac:dyDescent="0.3">
      <c r="A17" s="40"/>
      <c r="B17" s="41" t="s">
        <v>130</v>
      </c>
      <c r="C17" s="54"/>
      <c r="D17" s="54"/>
      <c r="E17" s="126"/>
    </row>
    <row r="18" spans="1:5" ht="16.95" customHeight="1" x14ac:dyDescent="0.3">
      <c r="A18" s="45"/>
      <c r="B18" s="46" t="s">
        <v>11</v>
      </c>
      <c r="C18" s="143">
        <f>DATA_RAW!C29</f>
        <v>-2.1000000000000001E-2</v>
      </c>
      <c r="D18" s="143">
        <f>DATA_RAW!E29</f>
        <v>-8.0000000000000002E-3</v>
      </c>
      <c r="E18" s="127" t="str">
        <f>IF(C18=0,"—",IF(C18=D18,"Égal",IF(C18&lt;D18,"▲ "&amp;C3,"▲ "&amp;D3)))</f>
        <v>▲ Microsoft</v>
      </c>
    </row>
    <row r="19" spans="1:5" ht="16.95" customHeight="1" x14ac:dyDescent="0.3">
      <c r="A19" s="50"/>
      <c r="B19" s="51" t="s">
        <v>12</v>
      </c>
      <c r="C19" s="137">
        <f>DATA_RAW!C30</f>
        <v>1.18</v>
      </c>
      <c r="D19" s="137">
        <f>DATA_RAW!E30</f>
        <v>1.42</v>
      </c>
      <c r="E19" s="128" t="str">
        <f>IF(C19=0,"—",IF(C19=D19,"Égal",IF(C19&gt;D19,"▲ "&amp;C3,"▲ "&amp;D3)))</f>
        <v>▲ Alphabet</v>
      </c>
    </row>
    <row r="20" spans="1:5" ht="16.95" customHeight="1" x14ac:dyDescent="0.3">
      <c r="A20" s="52"/>
      <c r="B20" s="53" t="s">
        <v>13</v>
      </c>
      <c r="C20" s="144">
        <f>DATA_RAW!C31</f>
        <v>-2.31</v>
      </c>
      <c r="D20" s="144">
        <f>DATA_RAW!E31</f>
        <v>-2.85</v>
      </c>
      <c r="E20" s="129" t="str">
        <f>IF(C20=0,"—",IF(C20=D20,"Égal",IF(C20&lt;D20,"▲ "&amp;C3,"▲ "&amp;D3)))</f>
        <v>▲ Alphabet</v>
      </c>
    </row>
    <row r="21" spans="1:5" ht="16.95" customHeight="1" x14ac:dyDescent="0.3">
      <c r="A21" s="50"/>
      <c r="B21" s="51" t="s">
        <v>14</v>
      </c>
      <c r="C21" s="145">
        <f>DATA_RAW!C32</f>
        <v>4.12</v>
      </c>
      <c r="D21" s="145">
        <f>DATA_RAW!E32</f>
        <v>5.67</v>
      </c>
      <c r="E21" s="128" t="str">
        <f>IF(C21=0,"—",IF(C21=D21,"Égal",IF(C21&gt;D21,"▲ "&amp;C3,"▲ "&amp;D3)))</f>
        <v>▲ Alphabet</v>
      </c>
    </row>
    <row r="22" spans="1:5" ht="16.95" customHeight="1" thickBot="1" x14ac:dyDescent="0.35">
      <c r="A22" s="48"/>
      <c r="B22" s="53" t="s">
        <v>131</v>
      </c>
      <c r="C22" s="125" t="str">
        <f>DATA_RAW!C33</f>
        <v>Public (&gt;3)</v>
      </c>
      <c r="D22" s="125" t="str">
        <f>DATA_RAW!E33</f>
        <v>Public (&gt;3)</v>
      </c>
      <c r="E22" s="130" t="str">
        <f>IF(C22=0,"—",IF(C22=D22,"Égal",IF(C22&gt;D22,"▲ "&amp;C3,"▲ "&amp;D3)))</f>
        <v>Égal</v>
      </c>
    </row>
    <row r="23" spans="1:5" ht="5.4" customHeight="1" x14ac:dyDescent="0.3">
      <c r="A23" s="28"/>
      <c r="B23" s="278"/>
      <c r="C23" s="58"/>
      <c r="D23" s="58"/>
      <c r="E23" s="28"/>
    </row>
    <row r="24" spans="1:5" ht="15" customHeight="1" x14ac:dyDescent="0.3">
      <c r="A24" s="28"/>
      <c r="B24" s="281" t="s">
        <v>215</v>
      </c>
      <c r="C24" s="282"/>
      <c r="D24" s="282"/>
      <c r="E24" s="285"/>
    </row>
    <row r="25" spans="1:5" ht="16.95" customHeight="1" x14ac:dyDescent="0.3">
      <c r="A25" s="28"/>
      <c r="B25" s="287" t="s">
        <v>216</v>
      </c>
      <c r="C25" s="284">
        <f>DATA_RAW!C53</f>
        <v>2.41</v>
      </c>
      <c r="D25" s="284">
        <f>DATA_RAW!E53</f>
        <v>2.87</v>
      </c>
      <c r="E25" s="288" t="str">
        <f>IF(C25=0,"—",IF(C25=D25,"Égal",IF(C25&gt;D25,"▲ "&amp;C3,"▲ "&amp;D3)))</f>
        <v>▲ Alphabet</v>
      </c>
    </row>
    <row r="26" spans="1:5" ht="16.95" customHeight="1" x14ac:dyDescent="0.3">
      <c r="A26" s="28"/>
      <c r="B26" s="289" t="s">
        <v>217</v>
      </c>
      <c r="C26" s="286">
        <f>DATA_RAW!C54</f>
        <v>1.93</v>
      </c>
      <c r="D26" s="286">
        <f>DATA_RAW!E54</f>
        <v>2.31</v>
      </c>
      <c r="E26" s="290" t="str">
        <f>IF(C26=0,"—",IF(C26=D26,"Égal",IF(C26&gt;D26,"▲ "&amp;C3,"▲ "&amp;D3)))</f>
        <v>▲ Alphabet</v>
      </c>
    </row>
    <row r="27" spans="1:5" ht="15" thickBot="1" x14ac:dyDescent="0.35">
      <c r="A27" s="28"/>
      <c r="B27" s="292" t="s">
        <v>218</v>
      </c>
      <c r="C27" s="291">
        <f>DATA_RAW!C55</f>
        <v>4.8000000000000001E-2</v>
      </c>
      <c r="D27" s="291">
        <f>DATA_RAW!E55</f>
        <v>5.1999999999999998E-2</v>
      </c>
      <c r="E27" s="293" t="str">
        <f>IF(C27=0,"—",IF(C27=D27,"Égal",IF(C27&lt;D27,"▲ "&amp;C3,"▲ "&amp;D3)))</f>
        <v>▲ Microsoft</v>
      </c>
    </row>
    <row r="28" spans="1:5" x14ac:dyDescent="0.3">
      <c r="A28" s="28"/>
      <c r="B28" s="5"/>
      <c r="C28" s="31"/>
      <c r="D28" s="31"/>
      <c r="E28" s="5"/>
    </row>
    <row r="29" spans="1:5" x14ac:dyDescent="0.3">
      <c r="A29" s="28"/>
      <c r="B29" s="5"/>
      <c r="C29" s="31"/>
      <c r="D29" s="31"/>
      <c r="E29" s="5"/>
    </row>
    <row r="30" spans="1:5" x14ac:dyDescent="0.3">
      <c r="A30" s="28"/>
      <c r="B30" s="5"/>
      <c r="C30" s="31"/>
      <c r="D30" s="31"/>
      <c r="E30" s="5"/>
    </row>
  </sheetData>
  <conditionalFormatting sqref="E6:E22">
    <cfRule type="containsText" dxfId="32" priority="1" operator="containsText" text="▲">
      <formula>NOT(ISERROR(SEARCH("▲",E6)))</formula>
    </cfRule>
  </conditionalFormatting>
  <conditionalFormatting sqref="E6:E22">
    <cfRule type="containsText" dxfId="31" priority="2" operator="containsText" text="Égal">
      <formula>NOT(ISERROR(SEARCH("Égal",E6)))</formula>
    </cfRule>
  </conditionalFormatting>
  <conditionalFormatting sqref="E6:E22">
    <cfRule type="containsText" dxfId="30" priority="3" operator="containsText" text="⚠">
      <formula>NOT(ISERROR(SEARCH("⚠",E6)))</formula>
    </cfRule>
  </conditionalFormatting>
  <conditionalFormatting sqref="E6:E22">
    <cfRule type="containsText" dxfId="29" priority="4" operator="containsText" text="✓">
      <formula>NOT(ISERROR(SEARCH("✓",E6)))</formula>
    </cfRule>
  </conditionalFormatting>
  <conditionalFormatting sqref="E6:E22">
    <cfRule type="containsText" dxfId="28" priority="5" operator="containsText" text="—">
      <formula>NOT(ISERROR(SEARCH("—",E6)))</formula>
    </cfRule>
  </conditionalFormatting>
  <pageMargins left="0.75" right="0.75" top="1" bottom="1" header="0.5" footer="0.5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527A0"/>
  </sheetPr>
  <dimension ref="A1:AB30"/>
  <sheetViews>
    <sheetView showGridLines="0" zoomScaleNormal="100" workbookViewId="0">
      <selection activeCell="D22" sqref="D22"/>
    </sheetView>
  </sheetViews>
  <sheetFormatPr baseColWidth="10" defaultColWidth="8.88671875" defaultRowHeight="14.4" x14ac:dyDescent="0.3"/>
  <cols>
    <col min="1" max="1" width="1.88671875" customWidth="1"/>
    <col min="2" max="2" width="41.6640625" customWidth="1"/>
    <col min="3" max="4" width="19.44140625" customWidth="1"/>
    <col min="5" max="5" width="26.88671875" customWidth="1"/>
    <col min="6" max="6" width="2" customWidth="1"/>
    <col min="7" max="9" width="1.44140625" customWidth="1"/>
    <col min="11" max="19" width="8.88671875" style="376"/>
  </cols>
  <sheetData>
    <row r="1" spans="1:28" ht="28.05" customHeight="1" x14ac:dyDescent="0.3">
      <c r="A1" s="26"/>
      <c r="B1" s="34" t="s">
        <v>155</v>
      </c>
      <c r="C1" s="33"/>
      <c r="D1" s="33"/>
      <c r="E1" s="33"/>
      <c r="P1" s="376" t="s">
        <v>196</v>
      </c>
      <c r="Q1" s="376" t="str">
        <f>DASHBOARD!C10</f>
        <v>Microsoft</v>
      </c>
      <c r="R1" s="376" t="str">
        <f>DASHBOARD!D10</f>
        <v>Alphabet</v>
      </c>
    </row>
    <row r="2" spans="1:28" ht="13.95" customHeight="1" x14ac:dyDescent="0.3">
      <c r="A2" s="36"/>
      <c r="B2" s="38" t="s">
        <v>164</v>
      </c>
      <c r="C2" s="36"/>
      <c r="D2" s="36"/>
      <c r="E2" s="36"/>
      <c r="P2" s="376" t="s">
        <v>200</v>
      </c>
      <c r="Q2" s="376">
        <f>IFERROR(DATA_RAW!C34*100,0)</f>
        <v>31.2</v>
      </c>
      <c r="R2" s="376">
        <f>IFERROR(DATA_RAW!E34*100,0)</f>
        <v>18.7</v>
      </c>
    </row>
    <row r="3" spans="1:28" ht="19.95" customHeight="1" thickBot="1" x14ac:dyDescent="0.35">
      <c r="A3" s="7"/>
      <c r="B3" s="27" t="s">
        <v>0</v>
      </c>
      <c r="C3" s="172" t="str">
        <f>DATA_RAW!C4</f>
        <v>Microsoft</v>
      </c>
      <c r="D3" s="172" t="str">
        <f>DATA_RAW!E5</f>
        <v>Alphabet</v>
      </c>
      <c r="E3" s="8" t="s">
        <v>132</v>
      </c>
      <c r="P3" s="376" t="s">
        <v>201</v>
      </c>
      <c r="Q3" s="376">
        <f>IFERROR(DATA_RAW!C35*100,0)</f>
        <v>34.1</v>
      </c>
      <c r="R3" s="376">
        <f>IFERROR(DATA_RAW!E35*100,0)</f>
        <v>15.2</v>
      </c>
      <c r="Z3" s="258" t="s">
        <v>192</v>
      </c>
      <c r="AA3" s="258" t="str">
        <f>IF(DATA_RAW!C4="","Soc. A",DATA_RAW!C4)</f>
        <v>Microsoft</v>
      </c>
      <c r="AB3" s="258" t="str">
        <f>IF(DATA_RAW!E5="","Soc. B",DATA_RAW!E5)</f>
        <v>Alphabet</v>
      </c>
    </row>
    <row r="4" spans="1:28" ht="4.95" customHeight="1" x14ac:dyDescent="0.3">
      <c r="A4" s="28"/>
      <c r="B4" s="29"/>
      <c r="C4" s="28"/>
      <c r="D4" s="28"/>
      <c r="E4" s="28"/>
      <c r="P4" s="376" t="s">
        <v>271</v>
      </c>
      <c r="Q4" s="376">
        <f>IFERROR(DATA_RAW!C36*100,0)</f>
        <v>45.800000000000004</v>
      </c>
      <c r="R4" s="376">
        <f>IFERROR(DATA_RAW!E36*100,0)</f>
        <v>32.1</v>
      </c>
      <c r="Z4" s="258" t="s">
        <v>193</v>
      </c>
      <c r="AA4" s="258">
        <f>IF(DATA_RAW!C38=0,NA(),DATA_RAW!C38)</f>
        <v>0.41199999999999998</v>
      </c>
      <c r="AB4" s="258">
        <f>IF(DATA_RAW!E38=0,NA(),DATA_RAW!E38)</f>
        <v>0.28100000000000003</v>
      </c>
    </row>
    <row r="5" spans="1:28" ht="18" customHeight="1" x14ac:dyDescent="0.3">
      <c r="A5" s="40"/>
      <c r="B5" s="41" t="s">
        <v>133</v>
      </c>
      <c r="C5" s="54"/>
      <c r="D5" s="54"/>
      <c r="E5" s="40"/>
      <c r="P5" s="376" t="s">
        <v>202</v>
      </c>
      <c r="Q5" s="376">
        <f>IFERROR(DATA_RAW!C40*100,0)</f>
        <v>14.2</v>
      </c>
      <c r="R5" s="376">
        <f>IFERROR(DATA_RAW!E40*100,0)</f>
        <v>11.799999999999999</v>
      </c>
      <c r="Z5" s="258" t="s">
        <v>194</v>
      </c>
      <c r="AA5" s="258">
        <f>IF(DATA_RAW!C37=0,NA(),DATA_RAW!C37)</f>
        <v>0.43099999999999999</v>
      </c>
      <c r="AB5" s="258">
        <f>IF(DATA_RAW!E37=0,NA(),DATA_RAW!E37)</f>
        <v>0.29799999999999999</v>
      </c>
    </row>
    <row r="6" spans="1:28" ht="16.95" customHeight="1" x14ac:dyDescent="0.3">
      <c r="A6" s="45"/>
      <c r="B6" s="46" t="s">
        <v>134</v>
      </c>
      <c r="C6" s="146">
        <f>DATA_RAW!C34</f>
        <v>0.312</v>
      </c>
      <c r="D6" s="146">
        <f>DATA_RAW!E34</f>
        <v>0.187</v>
      </c>
      <c r="E6" s="127" t="str">
        <f>IF(C6=0,"—",IF(C6=D6,"Égal",IF(C6&gt;D6,"▲ "&amp;C3,"▲ "&amp;D3)))</f>
        <v>▲ Microsoft</v>
      </c>
      <c r="P6" s="376" t="s">
        <v>272</v>
      </c>
      <c r="Q6" s="376">
        <f>IFERROR(DATA_RAW!C41*100,0)</f>
        <v>18.7</v>
      </c>
      <c r="R6" s="376">
        <f>IFERROR(DATA_RAW!E41*100,0)</f>
        <v>14.299999999999999</v>
      </c>
      <c r="Z6" s="258" t="s">
        <v>195</v>
      </c>
      <c r="AA6" s="258">
        <f>IF(DATA_RAW!C36=0,NA(),DATA_RAW!C36)</f>
        <v>0.45800000000000002</v>
      </c>
      <c r="AB6" s="258">
        <f>IF(DATA_RAW!E36=0,NA(),DATA_RAW!E36)</f>
        <v>0.32100000000000001</v>
      </c>
    </row>
    <row r="7" spans="1:28" ht="16.95" customHeight="1" x14ac:dyDescent="0.3">
      <c r="A7" s="50"/>
      <c r="B7" s="51" t="s">
        <v>135</v>
      </c>
      <c r="C7" s="137">
        <f>DATA_RAW!C35</f>
        <v>0.34100000000000003</v>
      </c>
      <c r="D7" s="137">
        <f>DATA_RAW!E35</f>
        <v>0.152</v>
      </c>
      <c r="E7" s="128" t="str">
        <f>IF(C7=0,"—",IF(C7=D7,"Égal",IF(C7&gt;D7,"▲ "&amp;C3,"▲ "&amp;D3)))</f>
        <v>▲ Microsoft</v>
      </c>
      <c r="P7" s="376" t="s">
        <v>273</v>
      </c>
      <c r="Q7" s="376">
        <f>IFERROR(DATA_RAW!C43,0)</f>
        <v>28.4</v>
      </c>
      <c r="R7" s="376">
        <f>IFERROR(DATA_RAW!E43,0)</f>
        <v>19.7</v>
      </c>
    </row>
    <row r="8" spans="1:28" ht="16.95" customHeight="1" x14ac:dyDescent="0.3">
      <c r="A8" s="52"/>
      <c r="B8" s="53" t="s">
        <v>17</v>
      </c>
      <c r="C8" s="136">
        <f>DATA_RAW!C36</f>
        <v>0.45800000000000002</v>
      </c>
      <c r="D8" s="136">
        <f>DATA_RAW!E36</f>
        <v>0.32100000000000001</v>
      </c>
      <c r="E8" s="129" t="str">
        <f>IF(C8=0,"—",IF(C8=D8,"Égal",IF(C8&gt;D8,"▲ "&amp;C3,"▲ "&amp;D3)))</f>
        <v>▲ Microsoft</v>
      </c>
    </row>
    <row r="9" spans="1:28" ht="16.95" customHeight="1" x14ac:dyDescent="0.3">
      <c r="A9" s="50"/>
      <c r="B9" s="51" t="s">
        <v>136</v>
      </c>
      <c r="C9" s="137">
        <f>DATA_RAW!C37</f>
        <v>0.43099999999999999</v>
      </c>
      <c r="D9" s="137">
        <f>DATA_RAW!E37</f>
        <v>0.29799999999999999</v>
      </c>
      <c r="E9" s="128" t="str">
        <f>IF(C9=0,"—",IF(C9=D9,"Égal",IF(C9&gt;D9,"▲ "&amp;C3,"▲ "&amp;D3)))</f>
        <v>▲ Microsoft</v>
      </c>
    </row>
    <row r="10" spans="1:28" ht="16.95" customHeight="1" x14ac:dyDescent="0.3">
      <c r="A10" s="52"/>
      <c r="B10" s="53" t="s">
        <v>137</v>
      </c>
      <c r="C10" s="136">
        <f>DATA_RAW!C38</f>
        <v>0.41199999999999998</v>
      </c>
      <c r="D10" s="136">
        <f>DATA_RAW!E38</f>
        <v>0.28100000000000003</v>
      </c>
      <c r="E10" s="129" t="str">
        <f>IF(C10=0,"—",IF(C10=D10,"Égal",IF(C10&gt;D10,"▲ "&amp;C3,"▲ "&amp;D3)))</f>
        <v>▲ Microsoft</v>
      </c>
    </row>
    <row r="11" spans="1:28" ht="16.95" customHeight="1" x14ac:dyDescent="0.3">
      <c r="A11" s="43"/>
      <c r="B11" s="44" t="s">
        <v>18</v>
      </c>
      <c r="C11" s="124" t="str">
        <f>DATA_RAW!C39</f>
        <v>Croissante</v>
      </c>
      <c r="D11" s="124" t="str">
        <f>DATA_RAW!E39</f>
        <v>Stable</v>
      </c>
      <c r="E11" s="132" t="str">
        <f>IF(C11=0,"—",IF(C11=D11,"Égal",IF(C11&gt;D11,"▲ "&amp;C3,"▲ "&amp;D3)))</f>
        <v>▲ Alphabet</v>
      </c>
    </row>
    <row r="12" spans="1:28" ht="4.95" customHeight="1" x14ac:dyDescent="0.3">
      <c r="A12" s="28"/>
      <c r="B12" s="29"/>
      <c r="C12" s="58"/>
      <c r="D12" s="58"/>
      <c r="E12" s="120"/>
    </row>
    <row r="13" spans="1:28" ht="18" customHeight="1" x14ac:dyDescent="0.3">
      <c r="A13" s="40"/>
      <c r="B13" s="41" t="s">
        <v>138</v>
      </c>
      <c r="C13" s="54"/>
      <c r="D13" s="54"/>
      <c r="E13" s="126"/>
    </row>
    <row r="14" spans="1:28" ht="16.95" customHeight="1" x14ac:dyDescent="0.3">
      <c r="A14" s="45"/>
      <c r="B14" s="46" t="s">
        <v>139</v>
      </c>
      <c r="C14" s="146">
        <f>DATA_RAW!C40</f>
        <v>0.14199999999999999</v>
      </c>
      <c r="D14" s="146">
        <f>DATA_RAW!E40</f>
        <v>0.11799999999999999</v>
      </c>
      <c r="E14" s="127" t="str">
        <f>IF(C14=0,"—",IF(C14=D14,"Égal",IF(C14&gt;D14,"▲ "&amp;C3,"▲ "&amp;D3)))</f>
        <v>▲ Microsoft</v>
      </c>
    </row>
    <row r="15" spans="1:28" ht="16.95" customHeight="1" x14ac:dyDescent="0.3">
      <c r="A15" s="50"/>
      <c r="B15" s="51" t="s">
        <v>140</v>
      </c>
      <c r="C15" s="137">
        <f>DATA_RAW!C41</f>
        <v>0.187</v>
      </c>
      <c r="D15" s="137">
        <f>DATA_RAW!E41</f>
        <v>0.14299999999999999</v>
      </c>
      <c r="E15" s="128" t="str">
        <f>IF(C15=0,"—",IF(C15=D15,"Égal",IF(C15&gt;D15,"▲ "&amp;C3,"▲ "&amp;D3)))</f>
        <v>▲ Microsoft</v>
      </c>
    </row>
    <row r="16" spans="1:28" ht="16.95" customHeight="1" x14ac:dyDescent="0.3">
      <c r="A16" s="52"/>
      <c r="B16" s="53" t="s">
        <v>20</v>
      </c>
      <c r="C16" s="141">
        <f>DATA_RAW!C42</f>
        <v>-0.8</v>
      </c>
      <c r="D16" s="141">
        <f>DATA_RAW!E42</f>
        <v>0.4</v>
      </c>
      <c r="E16" s="129" t="str">
        <f>IF(C16=0,"—",IF(C16=D16,"Égal",IF(C16&lt;D16,"▲ "&amp;C3,"▲ "&amp;D3)))</f>
        <v>▲ Microsoft</v>
      </c>
    </row>
    <row r="17" spans="1:5" ht="16.95" customHeight="1" x14ac:dyDescent="0.3">
      <c r="A17" s="43"/>
      <c r="B17" s="44" t="s">
        <v>141</v>
      </c>
      <c r="C17" s="147">
        <f>DATA_RAW!C43</f>
        <v>28.4</v>
      </c>
      <c r="D17" s="147">
        <f>DATA_RAW!E43</f>
        <v>19.7</v>
      </c>
      <c r="E17" s="132" t="str">
        <f>IF(C17=0,"—",IF(C17=D17,"Égal",IF(C17&gt;D17,"▲ "&amp;C3,"▲ "&amp;D3)))</f>
        <v>▲ Microsoft</v>
      </c>
    </row>
    <row r="18" spans="1:5" ht="6" customHeight="1" x14ac:dyDescent="0.3">
      <c r="A18" s="28"/>
      <c r="B18" s="29"/>
      <c r="C18" s="58"/>
      <c r="D18" s="58"/>
      <c r="E18" s="28"/>
    </row>
    <row r="19" spans="1:5" ht="6" customHeight="1" x14ac:dyDescent="0.3">
      <c r="A19" s="28"/>
      <c r="B19" s="29"/>
      <c r="C19" s="58"/>
      <c r="D19" s="58"/>
      <c r="E19" s="28"/>
    </row>
    <row r="20" spans="1:5" ht="18" customHeight="1" x14ac:dyDescent="0.3">
      <c r="A20" s="3"/>
      <c r="B20" s="4" t="s">
        <v>184</v>
      </c>
      <c r="C20" s="210"/>
      <c r="D20" s="210"/>
      <c r="E20" s="3"/>
    </row>
    <row r="21" spans="1:5" ht="18" customHeight="1" thickBot="1" x14ac:dyDescent="0.35">
      <c r="A21" s="13"/>
      <c r="B21" s="179" t="s">
        <v>0</v>
      </c>
      <c r="C21" s="238" t="str">
        <f>IFERROR("N-2  ·  "&amp;TEXT(DATA_RAW!C4,"@"),"N-2")</f>
        <v>N-2  ·  Microsoft</v>
      </c>
      <c r="D21" s="238" t="str">
        <f>IFERROR("N-1  ·  "&amp;TEXT(DATA_RAW!C4,"@"),"N-1")</f>
        <v>N-1  ·  Microsoft</v>
      </c>
      <c r="E21" s="13" t="str">
        <f>IFERROR("LTM  ·  "&amp;TEXT(DATA_RAW!C4,"@"),"LTM")</f>
        <v>LTM  ·  Microsoft</v>
      </c>
    </row>
    <row r="22" spans="1:5" ht="16.95" customHeight="1" x14ac:dyDescent="0.3">
      <c r="A22" s="239"/>
      <c r="B22" s="250" t="str">
        <f>IFERROR(DATA_RAW!C4&amp;" — Marge EBITDA","Marge EBITDA — A")</f>
        <v>Microsoft — Marge EBITDA</v>
      </c>
      <c r="C22" s="240">
        <f>IF(DATA_RAW!C38=0,"—",DATA_RAW!C38)</f>
        <v>0.41199999999999998</v>
      </c>
      <c r="D22" s="240">
        <f>IF(DATA_RAW!C37=0,"—",DATA_RAW!C37)</f>
        <v>0.43099999999999999</v>
      </c>
      <c r="E22" s="240">
        <f>IF(DATA_RAW!C36=0,"—",DATA_RAW!C36)</f>
        <v>0.45800000000000002</v>
      </c>
    </row>
    <row r="23" spans="1:5" ht="16.95" customHeight="1" thickBot="1" x14ac:dyDescent="0.35">
      <c r="A23" s="241"/>
      <c r="B23" s="251" t="str">
        <f>IFERROR(DATA_RAW!E5&amp;" — Marge EBITDA","Marge EBITDA — B")</f>
        <v>Alphabet — Marge EBITDA</v>
      </c>
      <c r="C23" s="242">
        <f>IF(DATA_RAW!E38=0,"—",DATA_RAW!E38)</f>
        <v>0.28100000000000003</v>
      </c>
      <c r="D23" s="242">
        <f>IF(DATA_RAW!E37=0,"—",DATA_RAW!E37)</f>
        <v>0.29799999999999999</v>
      </c>
      <c r="E23" s="242">
        <f>IF(DATA_RAW!E36=0,"—",DATA_RAW!E36)</f>
        <v>0.32100000000000001</v>
      </c>
    </row>
    <row r="24" spans="1:5" ht="16.95" customHeight="1" x14ac:dyDescent="0.3">
      <c r="A24" s="243"/>
      <c r="B24" s="252" t="str">
        <f>IFERROR(DATA_RAW!C4&amp;" — ROE","ROE — A")</f>
        <v>Microsoft — ROE</v>
      </c>
      <c r="C24" s="244">
        <f>IF(DATA_RAW!C35=0,"—",DATA_RAW!C35)</f>
        <v>0.34100000000000003</v>
      </c>
      <c r="D24" s="244">
        <f>IF(DATA_RAW!C35=0,"—",DATA_RAW!C35)</f>
        <v>0.34100000000000003</v>
      </c>
      <c r="E24" s="244">
        <f>IF(DATA_RAW!C35=0,"—",DATA_RAW!C35)</f>
        <v>0.34100000000000003</v>
      </c>
    </row>
    <row r="25" spans="1:5" ht="16.95" customHeight="1" thickBot="1" x14ac:dyDescent="0.35">
      <c r="A25" s="195"/>
      <c r="B25" s="253" t="str">
        <f>IFERROR(DATA_RAW!E5&amp;" — ROE","ROE — B")</f>
        <v>Alphabet — ROE</v>
      </c>
      <c r="C25" s="247">
        <f>IF(DATA_RAW!E35=0,"—",DATA_RAW!E35)</f>
        <v>0.152</v>
      </c>
      <c r="D25" s="247">
        <f>IF(DATA_RAW!E35=0,"—",DATA_RAW!E35)</f>
        <v>0.152</v>
      </c>
      <c r="E25" s="247">
        <f>IF(DATA_RAW!E35=0,"—",DATA_RAW!E35)</f>
        <v>0.152</v>
      </c>
    </row>
    <row r="26" spans="1:5" ht="16.95" customHeight="1" x14ac:dyDescent="0.3">
      <c r="A26" s="248"/>
      <c r="B26" s="254" t="str">
        <f>IFERROR(DATA_RAW!C4&amp;" — ROIC","ROIC — A")</f>
        <v>Microsoft — ROIC</v>
      </c>
      <c r="C26" s="249">
        <f>IF(DATA_RAW!C34=0,"—",DATA_RAW!C34)</f>
        <v>0.312</v>
      </c>
      <c r="D26" s="249">
        <f>IF(DATA_RAW!C34=0,"—",DATA_RAW!C34)</f>
        <v>0.312</v>
      </c>
      <c r="E26" s="249">
        <f>IF(DATA_RAW!C34=0,"—",DATA_RAW!C34)</f>
        <v>0.312</v>
      </c>
    </row>
    <row r="27" spans="1:5" ht="16.95" customHeight="1" thickBot="1" x14ac:dyDescent="0.35">
      <c r="A27" s="241"/>
      <c r="B27" s="251" t="str">
        <f>IFERROR(DATA_RAW!E5&amp;" — ROIC","ROIC — B")</f>
        <v>Alphabet — ROIC</v>
      </c>
      <c r="C27" s="242">
        <f>IF(DATA_RAW!E34=0,"—",DATA_RAW!E34)</f>
        <v>0.187</v>
      </c>
      <c r="D27" s="242">
        <f>IF(DATA_RAW!E34=0,"—",DATA_RAW!E34)</f>
        <v>0.187</v>
      </c>
      <c r="E27" s="242">
        <f>IF(DATA_RAW!E34=0,"—",DATA_RAW!E34)</f>
        <v>0.187</v>
      </c>
    </row>
    <row r="28" spans="1:5" ht="16.95" customHeight="1" x14ac:dyDescent="0.3">
      <c r="A28" s="243"/>
      <c r="B28" s="252" t="str">
        <f>IFERROR(DATA_RAW!C4&amp;" — Croissance CA","Croissance CA — A")</f>
        <v>Microsoft — Croissance CA</v>
      </c>
      <c r="C28" s="244">
        <f>IF(DATA_RAW!C40=0,"—",DATA_RAW!C40)</f>
        <v>0.14199999999999999</v>
      </c>
      <c r="D28" s="244">
        <f>IF(DATA_RAW!C40=0,"—",DATA_RAW!C40)</f>
        <v>0.14199999999999999</v>
      </c>
      <c r="E28" s="244">
        <f>IF(DATA_RAW!C40=0,"—",DATA_RAW!C40)</f>
        <v>0.14199999999999999</v>
      </c>
    </row>
    <row r="29" spans="1:5" ht="16.95" customHeight="1" thickBot="1" x14ac:dyDescent="0.35">
      <c r="A29" s="245"/>
      <c r="B29" s="255" t="str">
        <f>IFERROR(DATA_RAW!E5&amp;" — Croissance CA","Croissance CA — B")</f>
        <v>Alphabet — Croissance CA</v>
      </c>
      <c r="C29" s="246">
        <f>IF(DATA_RAW!E40=0,"—",DATA_RAW!E40)</f>
        <v>0.11799999999999999</v>
      </c>
      <c r="D29" s="246">
        <f>IF(DATA_RAW!E40=0,"—",DATA_RAW!E40)</f>
        <v>0.11799999999999999</v>
      </c>
      <c r="E29" s="246">
        <f>IF(DATA_RAW!E40=0,"—",DATA_RAW!E40)</f>
        <v>0.11799999999999999</v>
      </c>
    </row>
    <row r="30" spans="1:5" x14ac:dyDescent="0.3">
      <c r="A30" s="28"/>
      <c r="B30" s="5"/>
      <c r="C30" s="31"/>
      <c r="D30" s="31"/>
      <c r="E30" s="5"/>
    </row>
  </sheetData>
  <conditionalFormatting sqref="E6:E17">
    <cfRule type="containsText" dxfId="19" priority="1" operator="containsText" text="▲">
      <formula>NOT(ISERROR(SEARCH("▲",E6)))</formula>
    </cfRule>
  </conditionalFormatting>
  <conditionalFormatting sqref="E6:E17">
    <cfRule type="containsText" dxfId="18" priority="2" operator="containsText" text="Égal">
      <formula>NOT(ISERROR(SEARCH("Égal",E6)))</formula>
    </cfRule>
  </conditionalFormatting>
  <conditionalFormatting sqref="E6:E17">
    <cfRule type="containsText" dxfId="17" priority="3" operator="containsText" text="⚠">
      <formula>NOT(ISERROR(SEARCH("⚠",E6)))</formula>
    </cfRule>
  </conditionalFormatting>
  <conditionalFormatting sqref="E6:E17">
    <cfRule type="containsText" dxfId="16" priority="4" operator="containsText" text="✓">
      <formula>NOT(ISERROR(SEARCH("✓",E6)))</formula>
    </cfRule>
  </conditionalFormatting>
  <conditionalFormatting sqref="E6:E17">
    <cfRule type="containsText" dxfId="15" priority="5" operator="containsText" text="—">
      <formula>NOT(ISERROR(SEARCH("—",E6)))</formula>
    </cfRule>
  </conditionalFormatting>
  <conditionalFormatting sqref="C22:E29">
    <cfRule type="cellIs" dxfId="14" priority="6" operator="greaterThan">
      <formula>0.15</formula>
    </cfRule>
  </conditionalFormatting>
  <conditionalFormatting sqref="C22:E29">
    <cfRule type="cellIs" dxfId="13" priority="7" operator="lessThan">
      <formula>0.05</formula>
    </cfRule>
  </conditionalFormatting>
  <pageMargins left="0.75" right="0.75" top="1" bottom="1" header="0.5" footer="0.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62828"/>
  </sheetPr>
  <dimension ref="A1:AB40"/>
  <sheetViews>
    <sheetView showGridLines="0" zoomScale="89" workbookViewId="0">
      <selection activeCell="A19" sqref="A19"/>
    </sheetView>
  </sheetViews>
  <sheetFormatPr baseColWidth="10" defaultColWidth="8.88671875" defaultRowHeight="14.4" x14ac:dyDescent="0.3"/>
  <cols>
    <col min="1" max="1" width="1.88671875" customWidth="1"/>
    <col min="2" max="2" width="41.6640625" customWidth="1"/>
    <col min="3" max="4" width="19.44140625" customWidth="1"/>
    <col min="5" max="5" width="26.88671875" customWidth="1"/>
    <col min="6" max="6" width="2" customWidth="1"/>
    <col min="7" max="9" width="1.44140625" customWidth="1"/>
  </cols>
  <sheetData>
    <row r="1" spans="1:28" ht="28.05" customHeight="1" x14ac:dyDescent="0.3">
      <c r="A1" s="26"/>
      <c r="B1" s="34" t="s">
        <v>156</v>
      </c>
      <c r="C1" s="33"/>
      <c r="D1" s="33"/>
      <c r="E1" s="33"/>
    </row>
    <row r="2" spans="1:28" ht="13.95" customHeight="1" x14ac:dyDescent="0.3">
      <c r="A2" s="36"/>
      <c r="B2" s="38" t="s">
        <v>164</v>
      </c>
      <c r="C2" s="36"/>
      <c r="D2" s="36"/>
      <c r="E2" s="36"/>
    </row>
    <row r="3" spans="1:28" ht="19.95" customHeight="1" thickBot="1" x14ac:dyDescent="0.35">
      <c r="A3" s="7"/>
      <c r="B3" s="27" t="s">
        <v>116</v>
      </c>
      <c r="C3" s="172" t="str">
        <f>DATA_RAW!C4</f>
        <v>Microsoft</v>
      </c>
      <c r="D3" s="172" t="str">
        <f>DATA_RAW!E5</f>
        <v>Alphabet</v>
      </c>
      <c r="E3" s="8" t="s">
        <v>117</v>
      </c>
      <c r="Z3" s="258" t="s">
        <v>196</v>
      </c>
      <c r="AA3" s="258" t="str">
        <f>IF(DATA_RAW!C4="","Soc. A",DATA_RAW!C4)</f>
        <v>Microsoft</v>
      </c>
      <c r="AB3" s="258" t="str">
        <f>IF(DATA_RAW!E5="","Soc. B",DATA_RAW!E5)</f>
        <v>Alphabet</v>
      </c>
    </row>
    <row r="4" spans="1:28" ht="4.95" customHeight="1" x14ac:dyDescent="0.3">
      <c r="A4" s="28"/>
      <c r="B4" s="29"/>
      <c r="C4" s="28"/>
      <c r="D4" s="28"/>
      <c r="E4" s="28"/>
      <c r="Z4" s="258" t="s">
        <v>197</v>
      </c>
      <c r="AA4" s="258">
        <f>IF(DATA_RAW!C47=0,NA(),DATA_RAW!C47)</f>
        <v>82</v>
      </c>
      <c r="AB4" s="258">
        <f>IF(DATA_RAW!E47=0,NA(),DATA_RAW!E47)</f>
        <v>74</v>
      </c>
    </row>
    <row r="5" spans="1:28" ht="18" customHeight="1" x14ac:dyDescent="0.3">
      <c r="A5" s="40"/>
      <c r="B5" s="41" t="s">
        <v>142</v>
      </c>
      <c r="C5" s="54"/>
      <c r="D5" s="54"/>
      <c r="E5" s="40"/>
      <c r="Z5" s="258" t="s">
        <v>198</v>
      </c>
      <c r="AA5" s="258">
        <f>IF(DATA_RAW!C48=0,NA(),DATA_RAW!C48*10)</f>
        <v>72</v>
      </c>
      <c r="AB5" s="258">
        <f>IF(DATA_RAW!E48=0,NA(),DATA_RAW!E48*10)</f>
        <v>61</v>
      </c>
    </row>
    <row r="6" spans="1:28" ht="16.95" customHeight="1" x14ac:dyDescent="0.3">
      <c r="A6" s="45"/>
      <c r="B6" s="46" t="s">
        <v>143</v>
      </c>
      <c r="C6" s="148">
        <f>DATA_RAW!C44</f>
        <v>0.89</v>
      </c>
      <c r="D6" s="148">
        <f>DATA_RAW!E44</f>
        <v>1.04</v>
      </c>
      <c r="E6" s="127" t="str">
        <f>IF(C6=0,"—",IF(C6=D6,"Égal",IF(C6&lt;D6,"▲ "&amp;C3,"▲ "&amp;D3)))</f>
        <v>▲ Microsoft</v>
      </c>
      <c r="Z6" s="258" t="s">
        <v>151</v>
      </c>
      <c r="AA6" s="258">
        <f>IF(DATA_RAW!C50=0,NA(),DATA_RAW!C50*100)</f>
        <v>78</v>
      </c>
      <c r="AB6" s="258">
        <f>IF(DATA_RAW!E50=0,NA(),DATA_RAW!E50*100)</f>
        <v>65</v>
      </c>
    </row>
    <row r="7" spans="1:28" ht="16.95" customHeight="1" x14ac:dyDescent="0.3">
      <c r="A7" s="50"/>
      <c r="B7" s="51" t="s">
        <v>144</v>
      </c>
      <c r="C7" s="137">
        <f>DATA_RAW!C45</f>
        <v>-6.8000000000000005E-2</v>
      </c>
      <c r="D7" s="137">
        <f>DATA_RAW!E45</f>
        <v>-9.0999999999999998E-2</v>
      </c>
      <c r="E7" s="128" t="str">
        <f>IF(C7=0,"—",IF(C7=D7,"Égal",IF(C7&lt;D7,"▲ "&amp;C3,"▲ "&amp;D3)))</f>
        <v>▲ Alphabet</v>
      </c>
    </row>
    <row r="8" spans="1:28" ht="16.95" customHeight="1" x14ac:dyDescent="0.3">
      <c r="A8" s="48"/>
      <c r="B8" s="49" t="s">
        <v>145</v>
      </c>
      <c r="C8" s="149">
        <f>DATA_RAW!C46</f>
        <v>12.3</v>
      </c>
      <c r="D8" s="149">
        <f>DATA_RAW!E46</f>
        <v>9.8000000000000007</v>
      </c>
      <c r="E8" s="130" t="str">
        <f>IF(C8=0,"—",IF(C8=D8,"Égal",IF(C8&gt;D8,"▲ "&amp;C3,"▲ "&amp;D3)))</f>
        <v>▲ Microsoft</v>
      </c>
    </row>
    <row r="9" spans="1:28" ht="4.95" customHeight="1" x14ac:dyDescent="0.3">
      <c r="A9" s="28"/>
      <c r="B9" s="29"/>
      <c r="C9" s="58"/>
      <c r="D9" s="58"/>
      <c r="E9" s="120"/>
    </row>
    <row r="10" spans="1:28" ht="18" customHeight="1" x14ac:dyDescent="0.3">
      <c r="A10" s="40"/>
      <c r="B10" s="41" t="s">
        <v>146</v>
      </c>
      <c r="C10" s="54"/>
      <c r="D10" s="54"/>
      <c r="E10" s="126"/>
    </row>
    <row r="11" spans="1:28" ht="16.95" customHeight="1" thickBot="1" x14ac:dyDescent="0.35">
      <c r="A11" s="65"/>
      <c r="B11" s="66" t="s">
        <v>147</v>
      </c>
      <c r="C11" s="150">
        <f>DATA_RAW!C47</f>
        <v>82</v>
      </c>
      <c r="D11" s="150">
        <f>DATA_RAW!E47</f>
        <v>74</v>
      </c>
      <c r="E11" s="135" t="str">
        <f>IF(C11=0,"—",IF(C11=D11,"Égal",IF(C11&gt;D11,"▲ "&amp;C3,"▲ "&amp;D3)))</f>
        <v>▲ Microsoft</v>
      </c>
    </row>
    <row r="12" spans="1:28" ht="16.95" customHeight="1" x14ac:dyDescent="0.3">
      <c r="A12" s="67"/>
      <c r="B12" s="68" t="s">
        <v>148</v>
      </c>
      <c r="C12" s="151">
        <f>DATA_RAW!C48</f>
        <v>7.2</v>
      </c>
      <c r="D12" s="151">
        <f>DATA_RAW!E48</f>
        <v>6.1</v>
      </c>
      <c r="E12" s="133" t="str">
        <f>IF(C12=0,"—",IF(C12=D12,"Égal",IF(C12&gt;D12,"▲ "&amp;C3,"▲ "&amp;D3)))</f>
        <v>▲ Microsoft</v>
      </c>
    </row>
    <row r="13" spans="1:28" ht="16.95" customHeight="1" thickBot="1" x14ac:dyDescent="0.35">
      <c r="A13" s="65"/>
      <c r="B13" s="66" t="s">
        <v>149</v>
      </c>
      <c r="C13" s="152" t="str">
        <f>DATA_RAW!C49</f>
        <v>ACHETER</v>
      </c>
      <c r="D13" s="152" t="str">
        <f>DATA_RAW!E49</f>
        <v>ACCUMULER</v>
      </c>
      <c r="E13" s="135" t="str">
        <f>IF(C13=0,"—",IF(C13=D13,"Égal",IF(C13&gt;D13,"▲ "&amp;C3,"▲ "&amp;D3)))</f>
        <v>▲ Microsoft</v>
      </c>
    </row>
    <row r="14" spans="1:28" ht="16.95" customHeight="1" x14ac:dyDescent="0.3">
      <c r="A14" s="69"/>
      <c r="B14" s="70" t="s">
        <v>150</v>
      </c>
      <c r="C14" s="71">
        <f>DATA_RAW!C24</f>
        <v>1</v>
      </c>
      <c r="D14" s="71">
        <f>DATA_RAW!E24</f>
        <v>1</v>
      </c>
      <c r="E14" s="134" t="str">
        <f>IF(C14=0,"—",IF(C14=D14,"Égal",IF(C14&gt;D14,"▲ "&amp;C3,"▲ "&amp;D3)))</f>
        <v>Égal</v>
      </c>
    </row>
    <row r="15" spans="1:28" ht="16.95" customHeight="1" x14ac:dyDescent="0.3">
      <c r="A15" s="48"/>
      <c r="B15" s="53" t="s">
        <v>151</v>
      </c>
      <c r="C15" s="136">
        <f>DATA_RAW!C50</f>
        <v>0.78</v>
      </c>
      <c r="D15" s="136">
        <f>DATA_RAW!E50</f>
        <v>0.65</v>
      </c>
      <c r="E15" s="129" t="str">
        <f>IF(C15=0,"—",IF(C15=D15,"Égal",IF(C15&gt;D15,"▲ "&amp;C3,"▲ "&amp;D3)))</f>
        <v>▲ Microsoft</v>
      </c>
    </row>
    <row r="16" spans="1:28" ht="16.95" customHeight="1" x14ac:dyDescent="0.3">
      <c r="A16" s="39"/>
      <c r="B16" s="200"/>
      <c r="C16" s="295"/>
      <c r="D16" s="295"/>
      <c r="E16" s="296"/>
    </row>
    <row r="17" spans="1:5" ht="16.95" customHeight="1" x14ac:dyDescent="0.3">
      <c r="A17" s="39"/>
      <c r="B17" s="297" t="s">
        <v>219</v>
      </c>
      <c r="C17" s="298"/>
      <c r="D17" s="298"/>
      <c r="E17" s="300" t="s">
        <v>212</v>
      </c>
    </row>
    <row r="18" spans="1:5" ht="16.95" customHeight="1" x14ac:dyDescent="0.3">
      <c r="A18" s="39"/>
      <c r="B18" s="271" t="s">
        <v>220</v>
      </c>
      <c r="C18" s="299">
        <f>DATA_RAW!C56</f>
        <v>3.1E-2</v>
      </c>
      <c r="D18" s="299">
        <f>DATA_RAW!E56</f>
        <v>-1.7999999999999999E-2</v>
      </c>
      <c r="E18" s="320" t="str">
        <f>IF(C18=0,"—",IF(C18=D18,"Égal",IF(C18&gt;D18,"▲ "&amp;C3,"▲ "&amp;D3)))</f>
        <v>▲ Microsoft</v>
      </c>
    </row>
    <row r="19" spans="1:5" ht="16.95" customHeight="1" x14ac:dyDescent="0.3">
      <c r="A19" s="39"/>
      <c r="B19" s="273" t="s">
        <v>221</v>
      </c>
      <c r="C19" s="301">
        <f>DATA_RAW!C57</f>
        <v>0.112</v>
      </c>
      <c r="D19" s="301">
        <f>DATA_RAW!E57</f>
        <v>4.2999999999999997E-2</v>
      </c>
      <c r="E19" s="321" t="str">
        <f>IF(C19=0,"—",IF(C19=D19,"Égal",IF(C19&gt;D19,"▲ "&amp;C3,"▲ "&amp;D3)))</f>
        <v>▲ Microsoft</v>
      </c>
    </row>
    <row r="20" spans="1:5" ht="16.95" customHeight="1" thickBot="1" x14ac:dyDescent="0.35">
      <c r="A20" s="39"/>
      <c r="B20" s="302" t="s">
        <v>222</v>
      </c>
      <c r="C20" s="304">
        <f>DATA_RAW!C58</f>
        <v>0.187</v>
      </c>
      <c r="D20" s="304">
        <f>DATA_RAW!E58</f>
        <v>9.4E-2</v>
      </c>
      <c r="E20" s="322" t="str">
        <f>IF(C20=0,"—",IF(C20=D20,"Égal",IF(C20&gt;D20,"▲ "&amp;C3,"▲ "&amp;D3)))</f>
        <v>▲ Microsoft</v>
      </c>
    </row>
    <row r="21" spans="1:5" ht="16.95" customHeight="1" x14ac:dyDescent="0.3">
      <c r="A21" s="39"/>
      <c r="B21" s="268"/>
      <c r="C21" s="294"/>
      <c r="D21" s="294"/>
      <c r="E21" s="374"/>
    </row>
    <row r="22" spans="1:5" ht="16.95" customHeight="1" x14ac:dyDescent="0.3">
      <c r="A22" s="39"/>
      <c r="B22" s="297" t="s">
        <v>294</v>
      </c>
      <c r="C22" s="298"/>
      <c r="D22" s="298"/>
      <c r="E22" s="375"/>
    </row>
    <row r="23" spans="1:5" ht="16.95" customHeight="1" x14ac:dyDescent="0.3">
      <c r="A23" s="39"/>
      <c r="B23" s="271" t="s">
        <v>295</v>
      </c>
      <c r="C23" s="299">
        <f>DATA_RAW!C65</f>
        <v>24.3</v>
      </c>
      <c r="D23" s="299">
        <f>DATA_RAW!E65</f>
        <v>28.1</v>
      </c>
      <c r="E23" s="320" t="str">
        <f>IF(C23=0,"—",IF(C23=D23,"Égal",IF(C23&gt;D23,"▲ "&amp;C3,"▲ "&amp;D3)))</f>
        <v>▲ Alphabet</v>
      </c>
    </row>
    <row r="24" spans="1:5" ht="16.95" customHeight="1" x14ac:dyDescent="0.3">
      <c r="A24" s="39"/>
      <c r="B24" s="273" t="s">
        <v>296</v>
      </c>
      <c r="C24" s="301">
        <f>DATA_RAW!C66</f>
        <v>8.0000000000000002E-3</v>
      </c>
      <c r="D24" s="301">
        <f>DATA_RAW!E66</f>
        <v>0</v>
      </c>
      <c r="E24" s="321" t="str">
        <f>IF(C24=0,"—",IF(C24=D24,"Égal",IF(C24&gt;D24,"▲ "&amp;C3,"▲ "&amp;D3)))</f>
        <v>▲ Microsoft</v>
      </c>
    </row>
    <row r="25" spans="1:5" ht="16.95" customHeight="1" thickBot="1" x14ac:dyDescent="0.35">
      <c r="A25" s="39"/>
      <c r="B25" s="303" t="s">
        <v>297</v>
      </c>
      <c r="C25" s="304" t="str">
        <f>DATA_RAW!C67</f>
        <v>30 avr. 2026</v>
      </c>
      <c r="D25" s="304" t="str">
        <f>DATA_RAW!E67</f>
        <v>29 avr. 2026</v>
      </c>
      <c r="E25" s="322" t="str">
        <f>IF(C25="","—",IF(C25=D25,"Même date",IF(C25&lt;D25,"▲ "&amp;C3&amp;" en premier","▲ "&amp;D3&amp;" en premier")))</f>
        <v>▲ Alphabet en premier</v>
      </c>
    </row>
    <row r="26" spans="1:5" ht="4.95" customHeight="1" x14ac:dyDescent="0.3">
      <c r="A26" s="28"/>
      <c r="B26" s="29"/>
      <c r="C26" s="58"/>
      <c r="D26" s="58"/>
      <c r="E26" s="28"/>
    </row>
    <row r="27" spans="1:5" ht="4.95" customHeight="1" x14ac:dyDescent="0.3">
      <c r="A27" s="28"/>
      <c r="B27" s="32" t="str">
        <f>DATA_RAW!C51</f>
        <v>MSFT privilégié</v>
      </c>
      <c r="C27" s="58"/>
      <c r="D27" s="58"/>
      <c r="E27" s="28"/>
    </row>
    <row r="28" spans="1:5" ht="4.95" customHeight="1" x14ac:dyDescent="0.3">
      <c r="A28" s="28"/>
      <c r="B28" s="29"/>
      <c r="C28" s="58"/>
      <c r="D28" s="58"/>
      <c r="E28" s="28"/>
    </row>
    <row r="29" spans="1:5" ht="4.95" customHeight="1" x14ac:dyDescent="0.3">
      <c r="A29" s="28"/>
      <c r="B29" s="29"/>
      <c r="C29" s="58"/>
      <c r="D29" s="58"/>
      <c r="E29" s="28"/>
    </row>
    <row r="30" spans="1:5" ht="16.95" customHeight="1" x14ac:dyDescent="0.3">
      <c r="A30" s="28"/>
      <c r="B30" s="5"/>
      <c r="C30" s="31"/>
      <c r="D30" s="31"/>
      <c r="E30" s="5"/>
    </row>
    <row r="31" spans="1:5" ht="16.95" customHeight="1" x14ac:dyDescent="0.3">
      <c r="A31" s="28"/>
      <c r="B31" s="5"/>
      <c r="C31" s="31"/>
      <c r="D31" s="31"/>
      <c r="E31" s="5"/>
    </row>
    <row r="32" spans="1:5" x14ac:dyDescent="0.3">
      <c r="A32" s="28"/>
      <c r="B32" s="5"/>
      <c r="C32" s="31"/>
      <c r="D32" s="31"/>
      <c r="E32" s="5"/>
    </row>
    <row r="33" spans="1:5" x14ac:dyDescent="0.3">
      <c r="A33" s="28"/>
      <c r="B33" s="5"/>
      <c r="C33" s="31"/>
      <c r="D33" s="31"/>
      <c r="E33" s="5"/>
    </row>
    <row r="34" spans="1:5" x14ac:dyDescent="0.3">
      <c r="A34" s="28"/>
      <c r="B34" s="5"/>
      <c r="C34" s="31"/>
      <c r="D34" s="31"/>
      <c r="E34" s="5"/>
    </row>
    <row r="35" spans="1:5" x14ac:dyDescent="0.3">
      <c r="A35" s="28"/>
      <c r="B35" s="5"/>
      <c r="C35" s="31"/>
      <c r="D35" s="31"/>
      <c r="E35" s="5"/>
    </row>
    <row r="36" spans="1:5" x14ac:dyDescent="0.3">
      <c r="A36" s="28"/>
      <c r="B36" s="5"/>
      <c r="C36" s="31"/>
      <c r="D36" s="31"/>
      <c r="E36" s="5"/>
    </row>
    <row r="37" spans="1:5" x14ac:dyDescent="0.3">
      <c r="A37" s="28"/>
      <c r="B37" s="5"/>
      <c r="C37" s="31"/>
      <c r="D37" s="31"/>
      <c r="E37" s="5"/>
    </row>
    <row r="38" spans="1:5" x14ac:dyDescent="0.3">
      <c r="A38" s="28"/>
      <c r="B38" s="5"/>
      <c r="C38" s="31"/>
      <c r="D38" s="31"/>
      <c r="E38" s="5"/>
    </row>
    <row r="39" spans="1:5" x14ac:dyDescent="0.3">
      <c r="A39" s="28"/>
      <c r="B39" s="5"/>
      <c r="C39" s="31"/>
      <c r="D39" s="31"/>
      <c r="E39" s="5"/>
    </row>
    <row r="40" spans="1:5" x14ac:dyDescent="0.3">
      <c r="A40" s="28"/>
      <c r="B40" s="5"/>
      <c r="C40" s="31"/>
      <c r="D40" s="31"/>
      <c r="E40" s="5"/>
    </row>
  </sheetData>
  <conditionalFormatting sqref="E6:E25">
    <cfRule type="containsText" dxfId="4" priority="1" operator="containsText" text="▲">
      <formula>NOT(ISERROR(SEARCH("▲",E6)))</formula>
    </cfRule>
  </conditionalFormatting>
  <conditionalFormatting sqref="E6:E25">
    <cfRule type="containsText" dxfId="3" priority="2" operator="containsText" text="Égal">
      <formula>NOT(ISERROR(SEARCH("Égal",E6)))</formula>
    </cfRule>
  </conditionalFormatting>
  <conditionalFormatting sqref="E6:E25">
    <cfRule type="containsText" dxfId="2" priority="3" operator="containsText" text="⚠">
      <formula>NOT(ISERROR(SEARCH("⚠",E6)))</formula>
    </cfRule>
  </conditionalFormatting>
  <conditionalFormatting sqref="E6:E25">
    <cfRule type="containsText" dxfId="1" priority="4" operator="containsText" text="✓">
      <formula>NOT(ISERROR(SEARCH("✓",E6)))</formula>
    </cfRule>
  </conditionalFormatting>
  <conditionalFormatting sqref="E6:E25">
    <cfRule type="containsText" dxfId="0" priority="5" operator="containsText" text="—">
      <formula>NOT(ISERROR(SEARCH("—",E6)))</formula>
    </cfRule>
  </conditionalFormatting>
  <pageMargins left="0.75" right="0.75" top="1" bottom="1" header="0.5" footer="0.5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46DE-A6BA-406D-9A5C-C7B95EB834B5}">
  <dimension ref="B1:L23"/>
  <sheetViews>
    <sheetView showGridLines="0" zoomScaleNormal="100" workbookViewId="0">
      <selection activeCell="A18" sqref="A18"/>
    </sheetView>
  </sheetViews>
  <sheetFormatPr baseColWidth="10" defaultRowHeight="14.4" x14ac:dyDescent="0.3"/>
  <cols>
    <col min="1" max="1" width="3.33203125" customWidth="1"/>
    <col min="2" max="2" width="28.6640625" customWidth="1"/>
    <col min="3" max="12" width="12.5546875" customWidth="1"/>
  </cols>
  <sheetData>
    <row r="1" spans="2:12" x14ac:dyDescent="0.3">
      <c r="B1" s="325" t="s">
        <v>238</v>
      </c>
      <c r="C1" s="324"/>
      <c r="D1" s="324"/>
      <c r="E1" s="324"/>
      <c r="F1" s="324"/>
      <c r="G1" s="324"/>
      <c r="H1" s="324"/>
      <c r="I1" s="324"/>
      <c r="J1" s="324"/>
      <c r="K1" s="324"/>
      <c r="L1" s="326"/>
    </row>
    <row r="2" spans="2:12" x14ac:dyDescent="0.3">
      <c r="B2" s="329" t="s">
        <v>164</v>
      </c>
      <c r="C2" s="327"/>
      <c r="D2" s="327"/>
      <c r="E2" s="327"/>
      <c r="F2" s="327"/>
      <c r="G2" s="327"/>
      <c r="H2" s="327"/>
      <c r="I2" s="327"/>
      <c r="J2" s="327"/>
      <c r="K2" s="327"/>
      <c r="L2" s="330"/>
    </row>
    <row r="3" spans="2:12" x14ac:dyDescent="0.3">
      <c r="B3" s="331"/>
      <c r="C3" s="328"/>
      <c r="D3" s="328"/>
      <c r="E3" s="328"/>
      <c r="F3" s="328"/>
      <c r="G3" s="328"/>
      <c r="H3" s="328"/>
      <c r="I3" s="328"/>
      <c r="J3" s="328"/>
      <c r="K3" s="328"/>
      <c r="L3" s="332"/>
    </row>
    <row r="4" spans="2:12" x14ac:dyDescent="0.3">
      <c r="B4" s="333" t="s">
        <v>239</v>
      </c>
      <c r="C4" s="334" t="s">
        <v>240</v>
      </c>
      <c r="D4" s="334" t="s">
        <v>7</v>
      </c>
      <c r="E4" s="334" t="s">
        <v>8</v>
      </c>
      <c r="F4" s="334" t="s">
        <v>241</v>
      </c>
      <c r="G4" s="334" t="s">
        <v>114</v>
      </c>
      <c r="H4" s="334" t="s">
        <v>242</v>
      </c>
      <c r="I4" s="334" t="s">
        <v>243</v>
      </c>
      <c r="J4" s="334" t="s">
        <v>16</v>
      </c>
      <c r="K4" s="334" t="s">
        <v>244</v>
      </c>
      <c r="L4" s="335" t="s">
        <v>149</v>
      </c>
    </row>
    <row r="5" spans="2:12" x14ac:dyDescent="0.3">
      <c r="B5" s="279" t="s">
        <v>245</v>
      </c>
      <c r="C5" s="280"/>
      <c r="D5" s="280"/>
      <c r="E5" s="280"/>
      <c r="F5" s="280"/>
      <c r="G5" s="280"/>
      <c r="H5" s="280"/>
      <c r="I5" s="280"/>
      <c r="J5" s="280"/>
      <c r="K5" s="280"/>
      <c r="L5" s="336"/>
    </row>
    <row r="6" spans="2:12" x14ac:dyDescent="0.3">
      <c r="B6" s="337" t="str">
        <f>DATA_RAW!C4</f>
        <v>Microsoft</v>
      </c>
      <c r="C6" s="338" t="str">
        <f>DATA_RAW!C5</f>
        <v>MSFT</v>
      </c>
      <c r="D6" s="338">
        <f>DATA_RAW!C17</f>
        <v>33.4</v>
      </c>
      <c r="E6" s="338">
        <f>DATA_RAW!C18</f>
        <v>22.1</v>
      </c>
      <c r="F6" s="338">
        <f>DATA_RAW!C19</f>
        <v>12.1</v>
      </c>
      <c r="G6" s="338">
        <f>DATA_RAW!C20</f>
        <v>2.1999999999999999E-2</v>
      </c>
      <c r="H6" s="338">
        <f>DATA_RAW!C40</f>
        <v>0.14199999999999999</v>
      </c>
      <c r="I6" s="338">
        <f>DATA_RAW!C36</f>
        <v>0.45800000000000002</v>
      </c>
      <c r="J6" s="338">
        <f>DATA_RAW!C34</f>
        <v>0.312</v>
      </c>
      <c r="K6" s="338">
        <f>DATA_RAW!C44</f>
        <v>0.89</v>
      </c>
      <c r="L6" s="339" t="str">
        <f>DATA_RAW!C49</f>
        <v>ACHETER</v>
      </c>
    </row>
    <row r="7" spans="2:12" x14ac:dyDescent="0.3">
      <c r="B7" s="340" t="str">
        <f>DATA_RAW!E4</f>
        <v>GOOGL</v>
      </c>
      <c r="C7" s="341" t="str">
        <f>DATA_RAW!E5</f>
        <v>Alphabet</v>
      </c>
      <c r="D7" s="341">
        <f>DATA_RAW!E17</f>
        <v>21.8</v>
      </c>
      <c r="E7" s="341">
        <f>DATA_RAW!E18</f>
        <v>14.3</v>
      </c>
      <c r="F7" s="341">
        <f>DATA_RAW!E19</f>
        <v>6.8</v>
      </c>
      <c r="G7" s="341">
        <f>DATA_RAW!E20</f>
        <v>3.1E-2</v>
      </c>
      <c r="H7" s="341">
        <f>DATA_RAW!E40</f>
        <v>0.11799999999999999</v>
      </c>
      <c r="I7" s="341">
        <f>DATA_RAW!E36</f>
        <v>0.32100000000000001</v>
      </c>
      <c r="J7" s="341">
        <f>DATA_RAW!E34</f>
        <v>0.187</v>
      </c>
      <c r="K7" s="341">
        <f>DATA_RAW!E44</f>
        <v>1.04</v>
      </c>
      <c r="L7" s="342" t="str">
        <f>DATA_RAW!E49</f>
        <v>ACCUMULER</v>
      </c>
    </row>
    <row r="8" spans="2:12" x14ac:dyDescent="0.3">
      <c r="B8" s="281" t="s">
        <v>246</v>
      </c>
      <c r="C8" s="283"/>
      <c r="D8" s="283"/>
      <c r="E8" s="283"/>
      <c r="F8" s="283"/>
      <c r="G8" s="283"/>
      <c r="H8" s="283"/>
      <c r="I8" s="283"/>
      <c r="J8" s="283"/>
      <c r="K8" s="283"/>
      <c r="L8" s="285"/>
    </row>
    <row r="9" spans="2:12" x14ac:dyDescent="0.3">
      <c r="B9" s="287" t="s">
        <v>247</v>
      </c>
      <c r="C9" s="343" t="s">
        <v>248</v>
      </c>
      <c r="D9" s="343">
        <v>31.2</v>
      </c>
      <c r="E9" s="343">
        <v>21.4</v>
      </c>
      <c r="F9" s="343">
        <v>47.2</v>
      </c>
      <c r="G9" s="343">
        <v>3.1E-2</v>
      </c>
      <c r="H9" s="343">
        <v>8.1000000000000003E-2</v>
      </c>
      <c r="I9" s="343">
        <v>0.312</v>
      </c>
      <c r="J9" s="343">
        <v>0.54100000000000004</v>
      </c>
      <c r="K9" s="343">
        <v>1.24</v>
      </c>
      <c r="L9" s="344" t="s">
        <v>249</v>
      </c>
    </row>
    <row r="10" spans="2:12" x14ac:dyDescent="0.3">
      <c r="B10" s="289" t="s">
        <v>250</v>
      </c>
      <c r="C10" s="345" t="s">
        <v>251</v>
      </c>
      <c r="D10" s="345">
        <v>24.1</v>
      </c>
      <c r="E10" s="345">
        <v>13.8</v>
      </c>
      <c r="F10" s="345">
        <v>8.6</v>
      </c>
      <c r="G10" s="345">
        <v>2.8000000000000001E-2</v>
      </c>
      <c r="H10" s="345">
        <v>0.192</v>
      </c>
      <c r="I10" s="345">
        <v>0.41799999999999998</v>
      </c>
      <c r="J10" s="345">
        <v>0.28100000000000003</v>
      </c>
      <c r="K10" s="345">
        <v>1.18</v>
      </c>
      <c r="L10" s="346" t="s">
        <v>252</v>
      </c>
    </row>
    <row r="11" spans="2:12" x14ac:dyDescent="0.3">
      <c r="B11" s="347" t="s">
        <v>253</v>
      </c>
      <c r="C11" s="348" t="s">
        <v>254</v>
      </c>
      <c r="D11" s="348">
        <v>41.3</v>
      </c>
      <c r="E11" s="348">
        <v>19.2</v>
      </c>
      <c r="F11" s="348">
        <v>9.1</v>
      </c>
      <c r="G11" s="348">
        <v>1.2E-2</v>
      </c>
      <c r="H11" s="348">
        <v>0.11799999999999999</v>
      </c>
      <c r="I11" s="348">
        <v>0.28699999999999998</v>
      </c>
      <c r="J11" s="348">
        <v>0.19800000000000001</v>
      </c>
      <c r="K11" s="348">
        <v>1.31</v>
      </c>
      <c r="L11" s="349" t="s">
        <v>252</v>
      </c>
    </row>
    <row r="12" spans="2:12" x14ac:dyDescent="0.3">
      <c r="B12" s="289" t="s">
        <v>255</v>
      </c>
      <c r="C12" s="345" t="s">
        <v>256</v>
      </c>
      <c r="D12" s="345">
        <v>44.8</v>
      </c>
      <c r="E12" s="345">
        <v>22.1</v>
      </c>
      <c r="F12" s="345">
        <v>6.4</v>
      </c>
      <c r="G12" s="345">
        <v>8.0000000000000002E-3</v>
      </c>
      <c r="H12" s="345">
        <v>9.0999999999999998E-2</v>
      </c>
      <c r="I12" s="345">
        <v>0.24099999999999999</v>
      </c>
      <c r="J12" s="345">
        <v>0.121</v>
      </c>
      <c r="K12" s="345">
        <v>1.08</v>
      </c>
      <c r="L12" s="346" t="s">
        <v>249</v>
      </c>
    </row>
    <row r="13" spans="2:12" x14ac:dyDescent="0.3">
      <c r="B13" s="347" t="s">
        <v>257</v>
      </c>
      <c r="C13" s="348" t="s">
        <v>258</v>
      </c>
      <c r="D13" s="348">
        <v>28.4</v>
      </c>
      <c r="E13" s="348">
        <v>18.600000000000001</v>
      </c>
      <c r="F13" s="348">
        <v>12.3</v>
      </c>
      <c r="G13" s="348">
        <v>1.7999999999999999E-2</v>
      </c>
      <c r="H13" s="348">
        <v>7.1999999999999995E-2</v>
      </c>
      <c r="I13" s="348">
        <v>0.39800000000000002</v>
      </c>
      <c r="J13" s="348">
        <v>0.28699999999999998</v>
      </c>
      <c r="K13" s="348">
        <v>0.81</v>
      </c>
      <c r="L13" s="349" t="s">
        <v>252</v>
      </c>
    </row>
    <row r="14" spans="2:12" x14ac:dyDescent="0.3">
      <c r="B14" s="289" t="s">
        <v>259</v>
      </c>
      <c r="C14" s="345" t="s">
        <v>259</v>
      </c>
      <c r="D14" s="345">
        <v>29.1</v>
      </c>
      <c r="E14" s="345">
        <v>17.399999999999999</v>
      </c>
      <c r="F14" s="345">
        <v>5.8</v>
      </c>
      <c r="G14" s="345">
        <v>2.1000000000000001E-2</v>
      </c>
      <c r="H14" s="345">
        <v>6.8000000000000005E-2</v>
      </c>
      <c r="I14" s="345">
        <v>0.312</v>
      </c>
      <c r="J14" s="345">
        <v>0.19800000000000001</v>
      </c>
      <c r="K14" s="345">
        <v>0.72</v>
      </c>
      <c r="L14" s="346" t="s">
        <v>249</v>
      </c>
    </row>
    <row r="15" spans="2:12" x14ac:dyDescent="0.3">
      <c r="B15" s="347" t="s">
        <v>260</v>
      </c>
      <c r="C15" s="348" t="s">
        <v>261</v>
      </c>
      <c r="D15" s="348">
        <v>27.3</v>
      </c>
      <c r="E15" s="348">
        <v>20.8</v>
      </c>
      <c r="F15" s="348">
        <v>12.1</v>
      </c>
      <c r="G15" s="348">
        <v>2.4E-2</v>
      </c>
      <c r="H15" s="348">
        <v>8.4000000000000005E-2</v>
      </c>
      <c r="I15" s="348">
        <v>0.441</v>
      </c>
      <c r="J15" s="348">
        <v>0.312</v>
      </c>
      <c r="K15" s="348">
        <v>1.1399999999999999</v>
      </c>
      <c r="L15" s="349" t="s">
        <v>252</v>
      </c>
    </row>
    <row r="16" spans="2:12" ht="15" thickBot="1" x14ac:dyDescent="0.35">
      <c r="B16" s="289" t="s">
        <v>262</v>
      </c>
      <c r="C16" s="350" t="s">
        <v>263</v>
      </c>
      <c r="D16" s="350">
        <v>62.4</v>
      </c>
      <c r="E16" s="350">
        <v>35.200000000000003</v>
      </c>
      <c r="F16" s="350">
        <v>18.399999999999999</v>
      </c>
      <c r="G16" s="350">
        <v>4.0000000000000001E-3</v>
      </c>
      <c r="H16" s="350">
        <v>0.21199999999999999</v>
      </c>
      <c r="I16" s="350">
        <v>0.28100000000000003</v>
      </c>
      <c r="J16" s="350">
        <v>0.187</v>
      </c>
      <c r="K16" s="350">
        <v>1.28</v>
      </c>
      <c r="L16" s="351" t="s">
        <v>249</v>
      </c>
    </row>
    <row r="17" spans="2:12" x14ac:dyDescent="0.3">
      <c r="B17" s="352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3">
      <c r="B18" s="356" t="s">
        <v>264</v>
      </c>
      <c r="C18" s="353"/>
      <c r="D18" s="353"/>
      <c r="E18" s="353"/>
      <c r="F18" s="353"/>
      <c r="G18" s="353"/>
      <c r="H18" s="353"/>
      <c r="I18" s="353"/>
      <c r="J18" s="353"/>
      <c r="K18" s="353"/>
      <c r="L18" s="357"/>
    </row>
    <row r="19" spans="2:12" x14ac:dyDescent="0.3">
      <c r="B19" s="359" t="s">
        <v>265</v>
      </c>
      <c r="C19" s="354" t="s">
        <v>266</v>
      </c>
      <c r="D19" s="355">
        <f>MEDIAN(D9:D16)</f>
        <v>30.15</v>
      </c>
      <c r="E19" s="355">
        <f>MEDIAN(E9:E16)</f>
        <v>20</v>
      </c>
      <c r="F19" s="355">
        <f>MEDIAN(F9:F16)</f>
        <v>10.6</v>
      </c>
      <c r="G19" s="355">
        <f>MEDIAN(G9:G16)</f>
        <v>1.95E-2</v>
      </c>
      <c r="H19" s="355">
        <f>MEDIAN(H9:H16)</f>
        <v>8.7499999999999994E-2</v>
      </c>
      <c r="I19" s="355">
        <f>MEDIAN(I9:I16)</f>
        <v>0.312</v>
      </c>
      <c r="J19" s="355">
        <f>MEDIAN(J9:J16)</f>
        <v>0.23950000000000002</v>
      </c>
      <c r="K19" s="355">
        <f>MEDIAN(K9:K16)</f>
        <v>1.1599999999999999</v>
      </c>
      <c r="L19" s="360" t="s">
        <v>120</v>
      </c>
    </row>
    <row r="20" spans="2:12" x14ac:dyDescent="0.3">
      <c r="B20" s="347" t="s">
        <v>267</v>
      </c>
      <c r="C20" s="358" t="s">
        <v>266</v>
      </c>
      <c r="D20" s="348">
        <f>AVERAGE(D9:D16)</f>
        <v>36.074999999999996</v>
      </c>
      <c r="E20" s="348">
        <f>AVERAGE(E9:E16)</f>
        <v>21.0625</v>
      </c>
      <c r="F20" s="348">
        <f>AVERAGE(F9:F16)</f>
        <v>14.987500000000001</v>
      </c>
      <c r="G20" s="348">
        <f>AVERAGE(G9:G16)</f>
        <v>1.8249999999999999E-2</v>
      </c>
      <c r="H20" s="348">
        <f>AVERAGE(H9:H16)</f>
        <v>0.11474999999999998</v>
      </c>
      <c r="I20" s="348">
        <f>AVERAGE(I9:I16)</f>
        <v>0.33625000000000005</v>
      </c>
      <c r="J20" s="348">
        <f>AVERAGE(J9:J16)</f>
        <v>0.265625</v>
      </c>
      <c r="K20" s="348">
        <f>AVERAGE(K9:K16)</f>
        <v>1.095</v>
      </c>
      <c r="L20" s="349" t="s">
        <v>120</v>
      </c>
    </row>
    <row r="21" spans="2:12" x14ac:dyDescent="0.3">
      <c r="B21" s="289" t="s">
        <v>268</v>
      </c>
      <c r="C21" s="361" t="s">
        <v>266</v>
      </c>
      <c r="D21" s="345">
        <f>MIN(D9:D16)</f>
        <v>24.1</v>
      </c>
      <c r="E21" s="345">
        <f>MIN(E9:E16)</f>
        <v>13.8</v>
      </c>
      <c r="F21" s="345">
        <f>MIN(F9:F16)</f>
        <v>5.8</v>
      </c>
      <c r="G21" s="345">
        <f>MIN(G9:G16)</f>
        <v>4.0000000000000001E-3</v>
      </c>
      <c r="H21" s="345">
        <f>MIN(H9:H16)</f>
        <v>6.8000000000000005E-2</v>
      </c>
      <c r="I21" s="345">
        <f>MIN(I9:I16)</f>
        <v>0.24099999999999999</v>
      </c>
      <c r="J21" s="345">
        <f>MIN(J9:J16)</f>
        <v>0.121</v>
      </c>
      <c r="K21" s="345">
        <f>MIN(K9:K16)</f>
        <v>0.72</v>
      </c>
      <c r="L21" s="346" t="s">
        <v>120</v>
      </c>
    </row>
    <row r="22" spans="2:12" ht="15" thickBot="1" x14ac:dyDescent="0.35">
      <c r="B22" s="347" t="s">
        <v>269</v>
      </c>
      <c r="C22" s="362" t="s">
        <v>266</v>
      </c>
      <c r="D22" s="363">
        <f>MAX(D9:D16)</f>
        <v>62.4</v>
      </c>
      <c r="E22" s="363">
        <f>MAX(E9:E16)</f>
        <v>35.200000000000003</v>
      </c>
      <c r="F22" s="363">
        <f>MAX(F9:F16)</f>
        <v>47.2</v>
      </c>
      <c r="G22" s="363">
        <f>MAX(G9:G16)</f>
        <v>3.1E-2</v>
      </c>
      <c r="H22" s="363">
        <f>MAX(H9:H16)</f>
        <v>0.21199999999999999</v>
      </c>
      <c r="I22" s="363">
        <f>MAX(I9:I16)</f>
        <v>0.441</v>
      </c>
      <c r="J22" s="363">
        <f>MAX(J9:J16)</f>
        <v>0.54100000000000004</v>
      </c>
      <c r="K22" s="363">
        <f>MAX(K9:K16)</f>
        <v>1.31</v>
      </c>
      <c r="L22" s="364" t="s">
        <v>120</v>
      </c>
    </row>
    <row r="23" spans="2:12" x14ac:dyDescent="0.3">
      <c r="B23" s="366" t="s">
        <v>270</v>
      </c>
      <c r="C23" s="365"/>
      <c r="D23" s="365"/>
      <c r="E23" s="365"/>
      <c r="F23" s="365"/>
      <c r="G23" s="365"/>
      <c r="H23" s="365"/>
      <c r="I23" s="365"/>
      <c r="J23" s="365"/>
      <c r="K23" s="365"/>
      <c r="L23" s="365"/>
    </row>
  </sheetData>
  <mergeCells count="1">
    <mergeCell ref="B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5</vt:i4>
      </vt:variant>
    </vt:vector>
  </HeadingPairs>
  <TitlesOfParts>
    <vt:vector size="13" baseType="lpstr">
      <vt:lpstr>DASHBOARD</vt:lpstr>
      <vt:lpstr>DATA_RAW</vt:lpstr>
      <vt:lpstr>SENSIBILITE</vt:lpstr>
      <vt:lpstr>VALORISATION</vt:lpstr>
      <vt:lpstr>QUALITE_FINANCIERE</vt:lpstr>
      <vt:lpstr>PROFITABILITE_CROISSANCE</vt:lpstr>
      <vt:lpstr>RISQUE_MOMENTUM</vt:lpstr>
      <vt:lpstr>COMPARABLES</vt:lpstr>
      <vt:lpstr>DASHBOARD!Zone_d_impression</vt:lpstr>
      <vt:lpstr>PROFITABILITE_CROISSANCE!Zone_d_impression</vt:lpstr>
      <vt:lpstr>QUALITE_FINANCIERE!Zone_d_impression</vt:lpstr>
      <vt:lpstr>RISQUE_MOMENTUM!Zone_d_impression</vt:lpstr>
      <vt:lpstr>VALORISATION!Zone_d_impression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Baptiste jeh</cp:lastModifiedBy>
  <dcterms:created xsi:type="dcterms:W3CDTF">2026-04-04T12:49:50Z</dcterms:created>
  <dcterms:modified xsi:type="dcterms:W3CDTF">2026-04-05T15:45:20Z</dcterms:modified>
</cp:coreProperties>
</file>