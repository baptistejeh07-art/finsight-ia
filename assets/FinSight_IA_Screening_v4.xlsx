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finsight-ia\assets\"/>
    </mc:Choice>
  </mc:AlternateContent>
  <xr:revisionPtr revIDLastSave="0" documentId="8_{47E17B96-D155-4708-82EE-AAE358CB2B1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SHBOARD" sheetId="1" r:id="rId1"/>
    <sheet name="VALUE" sheetId="2" r:id="rId2"/>
    <sheet name="GROWTH" sheetId="3" r:id="rId3"/>
    <sheet name="QUALITY" sheetId="4" r:id="rId4"/>
    <sheet name="MOMENTUM" sheetId="5" r:id="rId5"/>
    <sheet name="TECHNOLOGY" sheetId="7" r:id="rId6"/>
    <sheet name="DONNÉES BRUTES" sheetId="15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I15" i="4"/>
  <c r="I19" i="4"/>
  <c r="I7" i="4"/>
  <c r="L21" i="3"/>
  <c r="J23" i="3"/>
  <c r="I23" i="3"/>
  <c r="H23" i="3"/>
  <c r="G23" i="3"/>
  <c r="C3" i="5"/>
  <c r="G3" i="5"/>
  <c r="F3" i="4"/>
  <c r="C3" i="1"/>
  <c r="C26" i="5"/>
  <c r="L26" i="5" s="1"/>
  <c r="I25" i="5"/>
  <c r="G25" i="5"/>
  <c r="C25" i="5"/>
  <c r="H25" i="5" s="1"/>
  <c r="I24" i="5"/>
  <c r="G24" i="5"/>
  <c r="F24" i="5"/>
  <c r="C24" i="5"/>
  <c r="D24" i="5" s="1"/>
  <c r="C23" i="5"/>
  <c r="C22" i="5"/>
  <c r="J22" i="5" s="1"/>
  <c r="I21" i="5"/>
  <c r="H21" i="5"/>
  <c r="G21" i="5"/>
  <c r="C21" i="5"/>
  <c r="F21" i="5" s="1"/>
  <c r="C20" i="5"/>
  <c r="C19" i="5"/>
  <c r="L19" i="5" s="1"/>
  <c r="C18" i="5"/>
  <c r="H18" i="5" s="1"/>
  <c r="G17" i="5"/>
  <c r="C17" i="5"/>
  <c r="D17" i="5" s="1"/>
  <c r="L16" i="5"/>
  <c r="C16" i="5"/>
  <c r="H15" i="5"/>
  <c r="C15" i="5"/>
  <c r="J15" i="5" s="1"/>
  <c r="K14" i="5"/>
  <c r="J14" i="5"/>
  <c r="I14" i="5"/>
  <c r="D14" i="5"/>
  <c r="C14" i="5"/>
  <c r="F14" i="5" s="1"/>
  <c r="C13" i="5"/>
  <c r="D13" i="5" s="1"/>
  <c r="J12" i="5"/>
  <c r="C12" i="5"/>
  <c r="L12" i="5" s="1"/>
  <c r="K11" i="5"/>
  <c r="J11" i="5"/>
  <c r="I11" i="5"/>
  <c r="C11" i="5"/>
  <c r="H11" i="5" s="1"/>
  <c r="G10" i="5"/>
  <c r="F10" i="5"/>
  <c r="C10" i="5"/>
  <c r="D10" i="5" s="1"/>
  <c r="C9" i="5"/>
  <c r="L9" i="5" s="1"/>
  <c r="C8" i="5"/>
  <c r="J8" i="5" s="1"/>
  <c r="H7" i="5"/>
  <c r="C7" i="5"/>
  <c r="F7" i="5" s="1"/>
  <c r="K3" i="5"/>
  <c r="N26" i="4"/>
  <c r="L26" i="4"/>
  <c r="K26" i="4"/>
  <c r="C26" i="4"/>
  <c r="G26" i="4" s="1"/>
  <c r="C25" i="4"/>
  <c r="H25" i="4" s="1"/>
  <c r="N24" i="4"/>
  <c r="M24" i="4"/>
  <c r="L24" i="4"/>
  <c r="J24" i="4"/>
  <c r="H24" i="4"/>
  <c r="G24" i="4"/>
  <c r="C24" i="4"/>
  <c r="K24" i="4" s="1"/>
  <c r="C23" i="4"/>
  <c r="M23" i="4" s="1"/>
  <c r="C22" i="4"/>
  <c r="M22" i="4" s="1"/>
  <c r="M21" i="4"/>
  <c r="C21" i="4"/>
  <c r="M20" i="4"/>
  <c r="L20" i="4"/>
  <c r="K20" i="4"/>
  <c r="J20" i="4"/>
  <c r="I20" i="4"/>
  <c r="C20" i="4"/>
  <c r="H20" i="4" s="1"/>
  <c r="C19" i="4"/>
  <c r="G19" i="4" s="1"/>
  <c r="C18" i="4"/>
  <c r="H18" i="4" s="1"/>
  <c r="C17" i="4"/>
  <c r="K17" i="4" s="1"/>
  <c r="C16" i="4"/>
  <c r="D16" i="4" s="1"/>
  <c r="C15" i="4"/>
  <c r="M15" i="4" s="1"/>
  <c r="M14" i="4"/>
  <c r="L14" i="4"/>
  <c r="K14" i="4"/>
  <c r="J14" i="4"/>
  <c r="I14" i="4"/>
  <c r="C14" i="4"/>
  <c r="M13" i="4"/>
  <c r="L13" i="4"/>
  <c r="K13" i="4"/>
  <c r="J13" i="4"/>
  <c r="I13" i="4"/>
  <c r="H13" i="4"/>
  <c r="G13" i="4"/>
  <c r="F13" i="4"/>
  <c r="C13" i="4"/>
  <c r="C12" i="4"/>
  <c r="G12" i="4" s="1"/>
  <c r="C11" i="4"/>
  <c r="F11" i="4" s="1"/>
  <c r="M10" i="4"/>
  <c r="L10" i="4"/>
  <c r="C10" i="4"/>
  <c r="C9" i="4"/>
  <c r="M9" i="4" s="1"/>
  <c r="C8" i="4"/>
  <c r="K8" i="4" s="1"/>
  <c r="C7" i="4"/>
  <c r="C3" i="4"/>
  <c r="M26" i="3"/>
  <c r="L26" i="3"/>
  <c r="K26" i="3"/>
  <c r="C26" i="3"/>
  <c r="C25" i="3"/>
  <c r="J25" i="3" s="1"/>
  <c r="C24" i="3"/>
  <c r="H24" i="3" s="1"/>
  <c r="C23" i="3"/>
  <c r="D23" i="3" s="1"/>
  <c r="K22" i="3"/>
  <c r="C22" i="3"/>
  <c r="L22" i="3" s="1"/>
  <c r="C21" i="3"/>
  <c r="J21" i="3" s="1"/>
  <c r="L20" i="3"/>
  <c r="C20" i="3"/>
  <c r="G20" i="3" s="1"/>
  <c r="C19" i="3"/>
  <c r="F19" i="3" s="1"/>
  <c r="C18" i="3"/>
  <c r="J18" i="3" s="1"/>
  <c r="M17" i="3"/>
  <c r="J17" i="3"/>
  <c r="C17" i="3"/>
  <c r="K17" i="3" s="1"/>
  <c r="C16" i="3"/>
  <c r="J16" i="3" s="1"/>
  <c r="C15" i="3"/>
  <c r="L15" i="3" s="1"/>
  <c r="M14" i="3"/>
  <c r="L14" i="3"/>
  <c r="J14" i="3"/>
  <c r="H14" i="3"/>
  <c r="F14" i="3"/>
  <c r="C14" i="3"/>
  <c r="K14" i="3" s="1"/>
  <c r="C13" i="3"/>
  <c r="L13" i="3" s="1"/>
  <c r="M12" i="3"/>
  <c r="L12" i="3"/>
  <c r="K12" i="3"/>
  <c r="C12" i="3"/>
  <c r="C11" i="3"/>
  <c r="J11" i="3" s="1"/>
  <c r="C10" i="3"/>
  <c r="H10" i="3" s="1"/>
  <c r="C9" i="3"/>
  <c r="K9" i="3" s="1"/>
  <c r="C8" i="3"/>
  <c r="L8" i="3" s="1"/>
  <c r="C7" i="3"/>
  <c r="J7" i="3" s="1"/>
  <c r="L3" i="3"/>
  <c r="G3" i="3"/>
  <c r="C3" i="3"/>
  <c r="C26" i="2"/>
  <c r="J26" i="2" s="1"/>
  <c r="C25" i="2"/>
  <c r="G25" i="2" s="1"/>
  <c r="C24" i="2"/>
  <c r="H24" i="2" s="1"/>
  <c r="C23" i="2"/>
  <c r="J23" i="2" s="1"/>
  <c r="C22" i="2"/>
  <c r="G22" i="2" s="1"/>
  <c r="C21" i="2"/>
  <c r="D21" i="2" s="1"/>
  <c r="C20" i="2"/>
  <c r="L20" i="2" s="1"/>
  <c r="C19" i="2"/>
  <c r="K19" i="2" s="1"/>
  <c r="C18" i="2"/>
  <c r="L18" i="2" s="1"/>
  <c r="C17" i="2"/>
  <c r="H17" i="2" s="1"/>
  <c r="C16" i="2"/>
  <c r="G16" i="2" s="1"/>
  <c r="C15" i="2"/>
  <c r="G15" i="2" s="1"/>
  <c r="C14" i="2"/>
  <c r="K14" i="2" s="1"/>
  <c r="C13" i="2"/>
  <c r="H13" i="2" s="1"/>
  <c r="C12" i="2"/>
  <c r="J12" i="2" s="1"/>
  <c r="C11" i="2"/>
  <c r="G11" i="2" s="1"/>
  <c r="C10" i="2"/>
  <c r="N10" i="2" s="1"/>
  <c r="C9" i="2"/>
  <c r="J9" i="2" s="1"/>
  <c r="C8" i="2"/>
  <c r="N8" i="2" s="1"/>
  <c r="C7" i="2"/>
  <c r="I7" i="2" s="1"/>
  <c r="M3" i="2"/>
  <c r="H3" i="2"/>
  <c r="C3" i="2"/>
  <c r="C25" i="1"/>
  <c r="C24" i="1"/>
  <c r="I24" i="1" s="1"/>
  <c r="C23" i="1"/>
  <c r="C22" i="1"/>
  <c r="L22" i="1" s="1"/>
  <c r="C21" i="1"/>
  <c r="O21" i="1" s="1"/>
  <c r="C20" i="1"/>
  <c r="G20" i="1" s="1"/>
  <c r="C19" i="1"/>
  <c r="H19" i="1" s="1"/>
  <c r="C18" i="1"/>
  <c r="L18" i="1" s="1"/>
  <c r="C17" i="1"/>
  <c r="K17" i="1" s="1"/>
  <c r="C16" i="1"/>
  <c r="O12" i="1"/>
  <c r="P12" i="1" s="1"/>
  <c r="I12" i="1"/>
  <c r="L12" i="1" s="1"/>
  <c r="C12" i="1"/>
  <c r="O11" i="1"/>
  <c r="Q11" i="1" s="1"/>
  <c r="I11" i="1"/>
  <c r="L11" i="1" s="1"/>
  <c r="C11" i="1"/>
  <c r="D11" i="1" s="1"/>
  <c r="O10" i="1"/>
  <c r="R10" i="1" s="1"/>
  <c r="I10" i="1"/>
  <c r="J10" i="1" s="1"/>
  <c r="C10" i="1"/>
  <c r="O9" i="1"/>
  <c r="I9" i="1"/>
  <c r="J9" i="1" s="1"/>
  <c r="C9" i="1"/>
  <c r="E9" i="1" s="1"/>
  <c r="O8" i="1"/>
  <c r="P8" i="1" s="1"/>
  <c r="I8" i="1"/>
  <c r="L8" i="1" s="1"/>
  <c r="C8" i="1"/>
  <c r="D8" i="1" s="1"/>
  <c r="L3" i="1"/>
  <c r="H3" i="1"/>
  <c r="L12" i="2" l="1"/>
  <c r="N21" i="2"/>
  <c r="I17" i="2"/>
  <c r="I24" i="2"/>
  <c r="L26" i="2"/>
  <c r="F21" i="2"/>
  <c r="K21" i="2"/>
  <c r="L21" i="2"/>
  <c r="F17" i="2"/>
  <c r="K17" i="2"/>
  <c r="N24" i="2"/>
  <c r="N12" i="2"/>
  <c r="J17" i="2"/>
  <c r="N17" i="2"/>
  <c r="K26" i="2"/>
  <c r="N23" i="2"/>
  <c r="G8" i="2"/>
  <c r="H15" i="2"/>
  <c r="G20" i="2"/>
  <c r="J8" i="2"/>
  <c r="K8" i="2"/>
  <c r="N18" i="2"/>
  <c r="H20" i="2"/>
  <c r="D17" i="2"/>
  <c r="I20" i="2"/>
  <c r="J20" i="2"/>
  <c r="G17" i="2"/>
  <c r="K20" i="2"/>
  <c r="N20" i="2"/>
  <c r="I26" i="2"/>
  <c r="K24" i="1"/>
  <c r="G24" i="1"/>
  <c r="E24" i="1"/>
  <c r="I8" i="5"/>
  <c r="I18" i="5"/>
  <c r="J21" i="5"/>
  <c r="K8" i="5"/>
  <c r="G12" i="5"/>
  <c r="J18" i="5"/>
  <c r="K21" i="5"/>
  <c r="F25" i="5"/>
  <c r="L8" i="5"/>
  <c r="K18" i="5"/>
  <c r="K12" i="5"/>
  <c r="I15" i="5"/>
  <c r="D7" i="5"/>
  <c r="K15" i="5"/>
  <c r="G19" i="5"/>
  <c r="H22" i="5"/>
  <c r="J25" i="5"/>
  <c r="L15" i="5"/>
  <c r="J19" i="5"/>
  <c r="I22" i="5"/>
  <c r="K25" i="5"/>
  <c r="G7" i="5"/>
  <c r="K19" i="5"/>
  <c r="K22" i="5"/>
  <c r="L25" i="5"/>
  <c r="H8" i="5"/>
  <c r="F18" i="5"/>
  <c r="L22" i="5"/>
  <c r="I7" i="5"/>
  <c r="J26" i="5"/>
  <c r="J7" i="5"/>
  <c r="G14" i="5"/>
  <c r="D21" i="5"/>
  <c r="K26" i="5"/>
  <c r="K7" i="5"/>
  <c r="F11" i="5"/>
  <c r="H14" i="5"/>
  <c r="F17" i="5"/>
  <c r="L21" i="4"/>
  <c r="J17" i="4"/>
  <c r="K19" i="4"/>
  <c r="L22" i="4"/>
  <c r="G7" i="4"/>
  <c r="G17" i="4"/>
  <c r="K12" i="4"/>
  <c r="G10" i="4"/>
  <c r="D7" i="4"/>
  <c r="F12" i="4"/>
  <c r="J19" i="4"/>
  <c r="D17" i="4"/>
  <c r="F19" i="4"/>
  <c r="D9" i="4"/>
  <c r="F17" i="4"/>
  <c r="H19" i="4"/>
  <c r="H22" i="4"/>
  <c r="J9" i="4"/>
  <c r="H17" i="4"/>
  <c r="K22" i="4"/>
  <c r="F7" i="4"/>
  <c r="H12" i="4"/>
  <c r="I12" i="4"/>
  <c r="H15" i="4"/>
  <c r="L17" i="4"/>
  <c r="L19" i="4"/>
  <c r="D21" i="4"/>
  <c r="N22" i="4"/>
  <c r="H7" i="4"/>
  <c r="D10" i="4"/>
  <c r="J12" i="4"/>
  <c r="K15" i="4"/>
  <c r="M17" i="4"/>
  <c r="F21" i="4"/>
  <c r="L15" i="4"/>
  <c r="D20" i="4"/>
  <c r="G21" i="4"/>
  <c r="J7" i="4"/>
  <c r="F10" i="4"/>
  <c r="L12" i="4"/>
  <c r="D14" i="4"/>
  <c r="H21" i="4"/>
  <c r="F26" i="4"/>
  <c r="K7" i="4"/>
  <c r="F14" i="4"/>
  <c r="F18" i="4"/>
  <c r="F20" i="4"/>
  <c r="I21" i="4"/>
  <c r="D24" i="4"/>
  <c r="H26" i="4"/>
  <c r="L7" i="4"/>
  <c r="H10" i="4"/>
  <c r="D13" i="4"/>
  <c r="G14" i="4"/>
  <c r="M16" i="4"/>
  <c r="G18" i="4"/>
  <c r="G20" i="4"/>
  <c r="J21" i="4"/>
  <c r="I26" i="4"/>
  <c r="M7" i="4"/>
  <c r="J10" i="4"/>
  <c r="H14" i="4"/>
  <c r="K21" i="4"/>
  <c r="F24" i="4"/>
  <c r="J26" i="4"/>
  <c r="G11" i="3"/>
  <c r="D16" i="3"/>
  <c r="D24" i="3"/>
  <c r="F16" i="3"/>
  <c r="F18" i="3"/>
  <c r="F21" i="3"/>
  <c r="F24" i="3"/>
  <c r="H7" i="3"/>
  <c r="K11" i="3"/>
  <c r="D13" i="3"/>
  <c r="I21" i="3"/>
  <c r="K7" i="3"/>
  <c r="I13" i="3"/>
  <c r="I16" i="3"/>
  <c r="M19" i="3"/>
  <c r="K21" i="3"/>
  <c r="M7" i="3"/>
  <c r="D12" i="3"/>
  <c r="M13" i="3"/>
  <c r="G15" i="3"/>
  <c r="K16" i="3"/>
  <c r="M21" i="3"/>
  <c r="D26" i="3"/>
  <c r="F12" i="3"/>
  <c r="H15" i="3"/>
  <c r="L16" i="3"/>
  <c r="F20" i="3"/>
  <c r="F26" i="3"/>
  <c r="H8" i="3"/>
  <c r="G12" i="3"/>
  <c r="D14" i="3"/>
  <c r="I15" i="3"/>
  <c r="M16" i="3"/>
  <c r="H20" i="3"/>
  <c r="D22" i="3"/>
  <c r="G26" i="3"/>
  <c r="H12" i="3"/>
  <c r="J15" i="3"/>
  <c r="I20" i="3"/>
  <c r="H22" i="3"/>
  <c r="H26" i="3"/>
  <c r="F11" i="3"/>
  <c r="F7" i="3"/>
  <c r="I11" i="3"/>
  <c r="G16" i="3"/>
  <c r="H21" i="3"/>
  <c r="G24" i="3"/>
  <c r="I7" i="3"/>
  <c r="L11" i="3"/>
  <c r="D15" i="3"/>
  <c r="H16" i="3"/>
  <c r="I24" i="3"/>
  <c r="M11" i="3"/>
  <c r="L7" i="3"/>
  <c r="F15" i="3"/>
  <c r="I12" i="3"/>
  <c r="K15" i="3"/>
  <c r="J20" i="3"/>
  <c r="I26" i="3"/>
  <c r="J12" i="3"/>
  <c r="G14" i="3"/>
  <c r="M15" i="3"/>
  <c r="K20" i="3"/>
  <c r="J26" i="3"/>
  <c r="L19" i="2"/>
  <c r="K7" i="2"/>
  <c r="N19" i="2"/>
  <c r="L25" i="2"/>
  <c r="K25" i="2"/>
  <c r="L7" i="2"/>
  <c r="F10" i="2"/>
  <c r="F12" i="2"/>
  <c r="G21" i="2"/>
  <c r="N7" i="2"/>
  <c r="H10" i="2"/>
  <c r="H12" i="2"/>
  <c r="L16" i="2"/>
  <c r="D20" i="2"/>
  <c r="H21" i="2"/>
  <c r="F24" i="2"/>
  <c r="D18" i="2"/>
  <c r="I10" i="2"/>
  <c r="I12" i="2"/>
  <c r="N16" i="2"/>
  <c r="I18" i="2"/>
  <c r="I21" i="2"/>
  <c r="G24" i="2"/>
  <c r="F26" i="2"/>
  <c r="J7" i="2"/>
  <c r="N9" i="2"/>
  <c r="K12" i="2"/>
  <c r="F20" i="2"/>
  <c r="J21" i="2"/>
  <c r="H26" i="2"/>
  <c r="F11" i="2"/>
  <c r="N26" i="2"/>
  <c r="D19" i="2"/>
  <c r="F25" i="2"/>
  <c r="H11" i="2"/>
  <c r="F7" i="2"/>
  <c r="G19" i="2"/>
  <c r="D7" i="2"/>
  <c r="F19" i="2"/>
  <c r="H19" i="2"/>
  <c r="F23" i="2"/>
  <c r="I25" i="2"/>
  <c r="D9" i="2"/>
  <c r="I11" i="2"/>
  <c r="G7" i="2"/>
  <c r="J11" i="2"/>
  <c r="G14" i="2"/>
  <c r="H25" i="2"/>
  <c r="H7" i="2"/>
  <c r="F9" i="2"/>
  <c r="K11" i="2"/>
  <c r="L11" i="2"/>
  <c r="L17" i="2"/>
  <c r="J19" i="2"/>
  <c r="J25" i="2"/>
  <c r="F9" i="1"/>
  <c r="H21" i="1"/>
  <c r="I21" i="1"/>
  <c r="K21" i="1"/>
  <c r="L21" i="1"/>
  <c r="N21" i="1"/>
  <c r="P11" i="1"/>
  <c r="G18" i="1"/>
  <c r="R11" i="1"/>
  <c r="H18" i="1"/>
  <c r="L10" i="1"/>
  <c r="N18" i="1"/>
  <c r="E22" i="1"/>
  <c r="E11" i="1"/>
  <c r="N19" i="1"/>
  <c r="I22" i="1"/>
  <c r="Q8" i="1"/>
  <c r="F11" i="1"/>
  <c r="K22" i="1"/>
  <c r="R8" i="1"/>
  <c r="G17" i="1"/>
  <c r="H17" i="1"/>
  <c r="D21" i="1"/>
  <c r="O22" i="1"/>
  <c r="D9" i="1"/>
  <c r="K11" i="1"/>
  <c r="I17" i="1"/>
  <c r="E21" i="1"/>
  <c r="K18" i="1"/>
  <c r="Q12" i="1"/>
  <c r="R12" i="1"/>
  <c r="G22" i="1"/>
  <c r="N22" i="1"/>
  <c r="J11" i="1"/>
  <c r="G21" i="1"/>
  <c r="P10" i="1"/>
  <c r="N15" i="2"/>
  <c r="L15" i="2"/>
  <c r="K15" i="2"/>
  <c r="D25" i="4"/>
  <c r="N25" i="4"/>
  <c r="M25" i="4"/>
  <c r="L25" i="4"/>
  <c r="K25" i="4"/>
  <c r="J25" i="4"/>
  <c r="I25" i="4"/>
  <c r="Q10" i="1"/>
  <c r="H24" i="1"/>
  <c r="M18" i="4"/>
  <c r="L18" i="4"/>
  <c r="K18" i="4"/>
  <c r="J18" i="4"/>
  <c r="I18" i="4"/>
  <c r="N23" i="4"/>
  <c r="L23" i="4"/>
  <c r="K23" i="4"/>
  <c r="J23" i="4"/>
  <c r="I23" i="4"/>
  <c r="H23" i="4"/>
  <c r="G23" i="4"/>
  <c r="F23" i="4"/>
  <c r="F25" i="4"/>
  <c r="M11" i="4"/>
  <c r="L11" i="4"/>
  <c r="K11" i="4"/>
  <c r="J11" i="4"/>
  <c r="K12" i="1"/>
  <c r="J12" i="1"/>
  <c r="D20" i="1"/>
  <c r="D9" i="3"/>
  <c r="D11" i="4"/>
  <c r="L16" i="4"/>
  <c r="K16" i="4"/>
  <c r="I16" i="4"/>
  <c r="H16" i="4"/>
  <c r="F16" i="4"/>
  <c r="G16" i="4"/>
  <c r="E20" i="1"/>
  <c r="D15" i="2"/>
  <c r="L18" i="3"/>
  <c r="K18" i="3"/>
  <c r="I18" i="3"/>
  <c r="H18" i="3"/>
  <c r="G18" i="3"/>
  <c r="I18" i="1"/>
  <c r="E18" i="1"/>
  <c r="D18" i="1"/>
  <c r="L9" i="2"/>
  <c r="K9" i="2"/>
  <c r="I9" i="2"/>
  <c r="H9" i="2"/>
  <c r="G9" i="2"/>
  <c r="F15" i="2"/>
  <c r="D24" i="2"/>
  <c r="L24" i="2"/>
  <c r="K24" i="2"/>
  <c r="J24" i="2"/>
  <c r="F9" i="3"/>
  <c r="K13" i="3"/>
  <c r="J13" i="3"/>
  <c r="H13" i="3"/>
  <c r="G13" i="3"/>
  <c r="F13" i="3"/>
  <c r="D18" i="3"/>
  <c r="M22" i="3"/>
  <c r="J22" i="3"/>
  <c r="I22" i="3"/>
  <c r="G22" i="3"/>
  <c r="F22" i="3"/>
  <c r="G11" i="4"/>
  <c r="J16" i="4"/>
  <c r="D18" i="4"/>
  <c r="D23" i="4"/>
  <c r="G25" i="4"/>
  <c r="K9" i="5"/>
  <c r="J9" i="5"/>
  <c r="I9" i="5"/>
  <c r="H9" i="5"/>
  <c r="G9" i="5"/>
  <c r="F9" i="5"/>
  <c r="D9" i="5"/>
  <c r="H11" i="4"/>
  <c r="L13" i="5"/>
  <c r="K13" i="5"/>
  <c r="J13" i="5"/>
  <c r="I13" i="5"/>
  <c r="H13" i="5"/>
  <c r="G13" i="5"/>
  <c r="F13" i="5"/>
  <c r="O20" i="1"/>
  <c r="L20" i="1"/>
  <c r="K20" i="1"/>
  <c r="I20" i="1"/>
  <c r="I25" i="1"/>
  <c r="E25" i="1"/>
  <c r="D25" i="1"/>
  <c r="E8" i="1"/>
  <c r="H20" i="1"/>
  <c r="D13" i="2"/>
  <c r="N16" i="1"/>
  <c r="L16" i="1"/>
  <c r="I16" i="1"/>
  <c r="H16" i="1"/>
  <c r="G16" i="1"/>
  <c r="F8" i="1"/>
  <c r="L9" i="1"/>
  <c r="D16" i="1"/>
  <c r="H25" i="1"/>
  <c r="K13" i="2"/>
  <c r="J15" i="2"/>
  <c r="D10" i="3"/>
  <c r="M18" i="3"/>
  <c r="G25" i="3"/>
  <c r="K16" i="5"/>
  <c r="J16" i="5"/>
  <c r="I16" i="5"/>
  <c r="H16" i="5"/>
  <c r="G16" i="5"/>
  <c r="F16" i="5"/>
  <c r="D16" i="5"/>
  <c r="L22" i="2"/>
  <c r="I22" i="2"/>
  <c r="H22" i="2"/>
  <c r="F22" i="2"/>
  <c r="D22" i="2"/>
  <c r="F25" i="3"/>
  <c r="E16" i="1"/>
  <c r="N23" i="1"/>
  <c r="L23" i="1"/>
  <c r="I23" i="1"/>
  <c r="H23" i="1"/>
  <c r="G23" i="1"/>
  <c r="L13" i="2"/>
  <c r="L20" i="5"/>
  <c r="K20" i="5"/>
  <c r="J20" i="5"/>
  <c r="I20" i="5"/>
  <c r="H20" i="5"/>
  <c r="G20" i="5"/>
  <c r="F20" i="5"/>
  <c r="J8" i="1"/>
  <c r="D10" i="2"/>
  <c r="L10" i="2"/>
  <c r="K10" i="2"/>
  <c r="J10" i="2"/>
  <c r="K22" i="2"/>
  <c r="M8" i="3"/>
  <c r="J8" i="3"/>
  <c r="I8" i="3"/>
  <c r="G8" i="3"/>
  <c r="F8" i="3"/>
  <c r="G10" i="3"/>
  <c r="H8" i="4"/>
  <c r="D20" i="5"/>
  <c r="M9" i="3"/>
  <c r="L9" i="3"/>
  <c r="J9" i="3"/>
  <c r="I9" i="3"/>
  <c r="H9" i="3"/>
  <c r="H25" i="3"/>
  <c r="D25" i="3"/>
  <c r="M25" i="3"/>
  <c r="K9" i="1"/>
  <c r="R9" i="1"/>
  <c r="Q9" i="1"/>
  <c r="P9" i="1"/>
  <c r="K25" i="1"/>
  <c r="J22" i="2"/>
  <c r="F10" i="3"/>
  <c r="M23" i="3"/>
  <c r="L23" i="3"/>
  <c r="E10" i="1"/>
  <c r="D10" i="1"/>
  <c r="K16" i="1"/>
  <c r="O18" i="1"/>
  <c r="D23" i="1"/>
  <c r="L25" i="1"/>
  <c r="N14" i="2"/>
  <c r="L14" i="2"/>
  <c r="J14" i="2"/>
  <c r="I14" i="2"/>
  <c r="H14" i="2"/>
  <c r="F16" i="2"/>
  <c r="K8" i="1"/>
  <c r="F10" i="1"/>
  <c r="O16" i="1"/>
  <c r="O19" i="1"/>
  <c r="K19" i="1"/>
  <c r="I19" i="1"/>
  <c r="G19" i="1"/>
  <c r="E19" i="1"/>
  <c r="D19" i="1"/>
  <c r="E23" i="1"/>
  <c r="N25" i="1"/>
  <c r="D14" i="2"/>
  <c r="N22" i="2"/>
  <c r="D8" i="3"/>
  <c r="K25" i="3"/>
  <c r="G9" i="3"/>
  <c r="I11" i="4"/>
  <c r="I15" i="2"/>
  <c r="D19" i="3"/>
  <c r="L19" i="3"/>
  <c r="K19" i="3"/>
  <c r="J19" i="3"/>
  <c r="I25" i="3"/>
  <c r="D17" i="1"/>
  <c r="O17" i="1"/>
  <c r="N17" i="1"/>
  <c r="L17" i="1"/>
  <c r="K23" i="1"/>
  <c r="L23" i="2"/>
  <c r="K23" i="2"/>
  <c r="I23" i="2"/>
  <c r="H23" i="2"/>
  <c r="G23" i="2"/>
  <c r="L17" i="3"/>
  <c r="I17" i="3"/>
  <c r="H17" i="3"/>
  <c r="F17" i="3"/>
  <c r="D17" i="3"/>
  <c r="G19" i="3"/>
  <c r="F23" i="3"/>
  <c r="L25" i="3"/>
  <c r="K23" i="5"/>
  <c r="J23" i="5"/>
  <c r="I23" i="5"/>
  <c r="H23" i="5"/>
  <c r="G23" i="5"/>
  <c r="F23" i="5"/>
  <c r="D23" i="5"/>
  <c r="N20" i="1"/>
  <c r="M10" i="3"/>
  <c r="L10" i="3"/>
  <c r="K10" i="3"/>
  <c r="H16" i="2"/>
  <c r="D16" i="2"/>
  <c r="M8" i="4"/>
  <c r="J8" i="4"/>
  <c r="I8" i="4"/>
  <c r="G8" i="4"/>
  <c r="F8" i="4"/>
  <c r="D8" i="4"/>
  <c r="O25" i="1"/>
  <c r="I16" i="2"/>
  <c r="I10" i="3"/>
  <c r="L8" i="4"/>
  <c r="K10" i="1"/>
  <c r="E17" i="1"/>
  <c r="L19" i="1"/>
  <c r="O23" i="1"/>
  <c r="L8" i="2"/>
  <c r="I8" i="2"/>
  <c r="H8" i="2"/>
  <c r="F8" i="2"/>
  <c r="D8" i="2"/>
  <c r="G10" i="2"/>
  <c r="F14" i="2"/>
  <c r="J16" i="2"/>
  <c r="K18" i="2"/>
  <c r="J18" i="2"/>
  <c r="H18" i="2"/>
  <c r="G18" i="2"/>
  <c r="F18" i="2"/>
  <c r="D23" i="2"/>
  <c r="K8" i="3"/>
  <c r="J10" i="3"/>
  <c r="G17" i="3"/>
  <c r="H19" i="3"/>
  <c r="K23" i="3"/>
  <c r="L23" i="5"/>
  <c r="F12" i="1"/>
  <c r="E12" i="1"/>
  <c r="D12" i="1"/>
  <c r="N13" i="2"/>
  <c r="J13" i="2"/>
  <c r="I13" i="2"/>
  <c r="G13" i="2"/>
  <c r="F13" i="2"/>
  <c r="G25" i="1"/>
  <c r="D24" i="1"/>
  <c r="O24" i="1"/>
  <c r="N24" i="1"/>
  <c r="L24" i="1"/>
  <c r="K16" i="2"/>
  <c r="H11" i="3"/>
  <c r="D11" i="3"/>
  <c r="I19" i="3"/>
  <c r="M24" i="3"/>
  <c r="L24" i="3"/>
  <c r="K24" i="3"/>
  <c r="J24" i="3"/>
  <c r="L9" i="4"/>
  <c r="K9" i="4"/>
  <c r="I9" i="4"/>
  <c r="H9" i="4"/>
  <c r="G9" i="4"/>
  <c r="F9" i="4"/>
  <c r="H10" i="5"/>
  <c r="L11" i="5"/>
  <c r="H17" i="5"/>
  <c r="L18" i="5"/>
  <c r="H24" i="5"/>
  <c r="D15" i="4"/>
  <c r="D22" i="4"/>
  <c r="I10" i="5"/>
  <c r="I17" i="5"/>
  <c r="N11" i="2"/>
  <c r="I19" i="2"/>
  <c r="N25" i="2"/>
  <c r="I14" i="3"/>
  <c r="M20" i="3"/>
  <c r="I10" i="4"/>
  <c r="M12" i="4"/>
  <c r="I17" i="4"/>
  <c r="M19" i="4"/>
  <c r="I24" i="4"/>
  <c r="M26" i="4"/>
  <c r="L7" i="5"/>
  <c r="J10" i="5"/>
  <c r="D12" i="5"/>
  <c r="L14" i="5"/>
  <c r="J17" i="5"/>
  <c r="D19" i="5"/>
  <c r="L21" i="5"/>
  <c r="J24" i="5"/>
  <c r="D26" i="5"/>
  <c r="F15" i="4"/>
  <c r="F22" i="4"/>
  <c r="K10" i="5"/>
  <c r="K17" i="5"/>
  <c r="K24" i="5"/>
  <c r="D22" i="1"/>
  <c r="D12" i="2"/>
  <c r="D26" i="2"/>
  <c r="D7" i="3"/>
  <c r="D21" i="3"/>
  <c r="K10" i="4"/>
  <c r="G15" i="4"/>
  <c r="G22" i="4"/>
  <c r="D8" i="5"/>
  <c r="L10" i="5"/>
  <c r="F12" i="5"/>
  <c r="D15" i="5"/>
  <c r="L17" i="5"/>
  <c r="F19" i="5"/>
  <c r="D22" i="5"/>
  <c r="L24" i="5"/>
  <c r="F26" i="5"/>
  <c r="G26" i="5"/>
  <c r="I22" i="4"/>
  <c r="F8" i="5"/>
  <c r="D11" i="5"/>
  <c r="H12" i="5"/>
  <c r="F15" i="5"/>
  <c r="D18" i="5"/>
  <c r="H19" i="5"/>
  <c r="F22" i="5"/>
  <c r="D25" i="5"/>
  <c r="H26" i="5"/>
  <c r="H22" i="1"/>
  <c r="D11" i="2"/>
  <c r="G12" i="2"/>
  <c r="D25" i="2"/>
  <c r="G26" i="2"/>
  <c r="G7" i="3"/>
  <c r="D20" i="3"/>
  <c r="G21" i="3"/>
  <c r="D12" i="4"/>
  <c r="J15" i="4"/>
  <c r="D19" i="4"/>
  <c r="J22" i="4"/>
  <c r="D26" i="4"/>
  <c r="G8" i="5"/>
  <c r="I12" i="5"/>
  <c r="G15" i="5"/>
  <c r="I19" i="5"/>
  <c r="G22" i="5"/>
  <c r="I26" i="5"/>
  <c r="G11" i="5"/>
  <c r="G18" i="5"/>
</calcChain>
</file>

<file path=xl/sharedStrings.xml><?xml version="1.0" encoding="utf-8"?>
<sst xmlns="http://schemas.openxmlformats.org/spreadsheetml/2006/main" count="3311" uniqueCount="757">
  <si>
    <t>Ticker</t>
  </si>
  <si>
    <t>Société</t>
  </si>
  <si>
    <t>Score</t>
  </si>
  <si>
    <t>INTC</t>
  </si>
  <si>
    <t>Intel Corporation</t>
  </si>
  <si>
    <t>-0.5%</t>
  </si>
  <si>
    <t>DSY.PA</t>
  </si>
  <si>
    <t>Dassault Systèmes SE</t>
  </si>
  <si>
    <t>—</t>
  </si>
  <si>
    <t>SNDK</t>
  </si>
  <si>
    <t>Sandisk Corporation</t>
  </si>
  <si>
    <t>WDC</t>
  </si>
  <si>
    <t>Western Digital Corporation</t>
  </si>
  <si>
    <t>+50.7%</t>
  </si>
  <si>
    <t>VRSN</t>
  </si>
  <si>
    <t>VeriSign, Inc.</t>
  </si>
  <si>
    <t>-27.16</t>
  </si>
  <si>
    <t>+477.2%</t>
  </si>
  <si>
    <t>MU</t>
  </si>
  <si>
    <t>Micron Technology, Inc.</t>
  </si>
  <si>
    <t>+48.9%</t>
  </si>
  <si>
    <t>NVDA</t>
  </si>
  <si>
    <t>NVIDIA Corporation</t>
  </si>
  <si>
    <t>13.22</t>
  </si>
  <si>
    <t>CIEN</t>
  </si>
  <si>
    <t>Ciena Corporation</t>
  </si>
  <si>
    <t>+454.6%</t>
  </si>
  <si>
    <t>STX</t>
  </si>
  <si>
    <t>Seagate Technology Holdings plc</t>
  </si>
  <si>
    <t>+38.9%</t>
  </si>
  <si>
    <t>ADBE</t>
  </si>
  <si>
    <t>Adobe Inc.</t>
  </si>
  <si>
    <t>7.74</t>
  </si>
  <si>
    <t>TER</t>
  </si>
  <si>
    <t>Teradyne, Inc.</t>
  </si>
  <si>
    <t>+292.0%</t>
  </si>
  <si>
    <t>+65.5%</t>
  </si>
  <si>
    <t>FICO</t>
  </si>
  <si>
    <t>Fair Isaac Corporation</t>
  </si>
  <si>
    <t>10.30</t>
  </si>
  <si>
    <t>+283.3%</t>
  </si>
  <si>
    <t>#</t>
  </si>
  <si>
    <t>Secteur</t>
  </si>
  <si>
    <t>Growth</t>
  </si>
  <si>
    <t>Quality</t>
  </si>
  <si>
    <t>Momentum</t>
  </si>
  <si>
    <t>EV/EBITDA</t>
  </si>
  <si>
    <t>Next Earn.</t>
  </si>
  <si>
    <t>Signal</t>
  </si>
  <si>
    <t>Technology</t>
  </si>
  <si>
    <t>66.9%</t>
  </si>
  <si>
    <t>+30.3%</t>
  </si>
  <si>
    <t>2026-05-20</t>
  </si>
  <si>
    <t>Surpondérer</t>
  </si>
  <si>
    <t>KLAC</t>
  </si>
  <si>
    <t>KLA Corporation</t>
  </si>
  <si>
    <t>43.9%</t>
  </si>
  <si>
    <t>+23.9%</t>
  </si>
  <si>
    <t>+101.5%</t>
  </si>
  <si>
    <t>2026-04-29</t>
  </si>
  <si>
    <t>ANET</t>
  </si>
  <si>
    <t>Arista Networks, Inc.</t>
  </si>
  <si>
    <t>43.6%</t>
  </si>
  <si>
    <t>+28.6%</t>
  </si>
  <si>
    <t>+46.0%</t>
  </si>
  <si>
    <t>2026-05-05</t>
  </si>
  <si>
    <t>AVGO</t>
  </si>
  <si>
    <t>Broadcom Inc.</t>
  </si>
  <si>
    <t>54.3%</t>
  </si>
  <si>
    <t>+29.7%</t>
  </si>
  <si>
    <t>2026-06-03</t>
  </si>
  <si>
    <t>49.4%</t>
  </si>
  <si>
    <t>MPWR</t>
  </si>
  <si>
    <t>Monolithic Power Systems, Inc.</t>
  </si>
  <si>
    <t>28.0%</t>
  </si>
  <si>
    <t>+26.4%</t>
  </si>
  <si>
    <t>+68.7%</t>
  </si>
  <si>
    <t>2026-04-30</t>
  </si>
  <si>
    <t>LRCX</t>
  </si>
  <si>
    <t>Lam Research Corporation</t>
  </si>
  <si>
    <t>35.4%</t>
  </si>
  <si>
    <t>+23.7%</t>
  </si>
  <si>
    <t>+171.9%</t>
  </si>
  <si>
    <t>2026-04-22</t>
  </si>
  <si>
    <t>20.4%</t>
  </si>
  <si>
    <t>2026-05-06</t>
  </si>
  <si>
    <t>PTC</t>
  </si>
  <si>
    <t>PTC Inc.</t>
  </si>
  <si>
    <t>41.3%</t>
  </si>
  <si>
    <t>+19.2%</t>
  </si>
  <si>
    <t>-15.4%</t>
  </si>
  <si>
    <t>Neutre</t>
  </si>
  <si>
    <t>AMD</t>
  </si>
  <si>
    <t>Advanced Micro Devices, Inc.</t>
  </si>
  <si>
    <t>21.0%</t>
  </si>
  <si>
    <t>+34.3%</t>
  </si>
  <si>
    <t>+92.9%</t>
  </si>
  <si>
    <t>P/E</t>
  </si>
  <si>
    <t>Altman Z</t>
  </si>
  <si>
    <t>FCF Yield</t>
  </si>
  <si>
    <t>ROE</t>
  </si>
  <si>
    <t>27.2%</t>
  </si>
  <si>
    <t>-0.2%</t>
  </si>
  <si>
    <t>19.5%</t>
  </si>
  <si>
    <t>+35.0%</t>
  </si>
  <si>
    <t>22.8%</t>
  </si>
  <si>
    <t>+15.8%</t>
  </si>
  <si>
    <t>22.9%</t>
  </si>
  <si>
    <t>16.1%</t>
  </si>
  <si>
    <t>-324.3%</t>
  </si>
  <si>
    <t>55.6%</t>
  </si>
  <si>
    <t>+76.3%</t>
  </si>
  <si>
    <t>APH</t>
  </si>
  <si>
    <t>Amphenol Corporation</t>
  </si>
  <si>
    <t>+51.7%</t>
  </si>
  <si>
    <t>29.8%</t>
  </si>
  <si>
    <t>18.5%</t>
  </si>
  <si>
    <t>+31.8%</t>
  </si>
  <si>
    <t>SAP.DE</t>
  </si>
  <si>
    <t>SAP SE</t>
  </si>
  <si>
    <t>+7.7%</t>
  </si>
  <si>
    <t>32.8%</t>
  </si>
  <si>
    <t>+16.1%</t>
  </si>
  <si>
    <t>12.5%</t>
  </si>
  <si>
    <t>+6.9%</t>
  </si>
  <si>
    <t>26.8%</t>
  </si>
  <si>
    <t>36.2%</t>
  </si>
  <si>
    <t>+28.4%</t>
  </si>
  <si>
    <t>GLW</t>
  </si>
  <si>
    <t>Corning Incorporated</t>
  </si>
  <si>
    <t>+19.1%</t>
  </si>
  <si>
    <t>23.9%</t>
  </si>
  <si>
    <t>10.2%</t>
  </si>
  <si>
    <t>+13.5%</t>
  </si>
  <si>
    <t>XYZ</t>
  </si>
  <si>
    <t>Block, Inc.</t>
  </si>
  <si>
    <t>+0.3%</t>
  </si>
  <si>
    <t>14.1%</t>
  </si>
  <si>
    <t>5.4%</t>
  </si>
  <si>
    <t>+5.9%</t>
  </si>
  <si>
    <t>Sous-pondérer</t>
  </si>
  <si>
    <t>22.3%</t>
  </si>
  <si>
    <t>+17.6%</t>
  </si>
  <si>
    <t>33.4%</t>
  </si>
  <si>
    <t>+86.6%</t>
  </si>
  <si>
    <t>39.0%</t>
  </si>
  <si>
    <t>Beneish M</t>
  </si>
  <si>
    <t>-2.84</t>
  </si>
  <si>
    <t>71.0%</t>
  </si>
  <si>
    <t>-38.3%</t>
  </si>
  <si>
    <t>0.49</t>
  </si>
  <si>
    <t>-2.19</t>
  </si>
  <si>
    <t>3.91</t>
  </si>
  <si>
    <t>-2.97</t>
  </si>
  <si>
    <t>+61.3%</t>
  </si>
  <si>
    <t>1.00</t>
  </si>
  <si>
    <t>-2.94</t>
  </si>
  <si>
    <t>47.8%</t>
  </si>
  <si>
    <t>-37.3%</t>
  </si>
  <si>
    <t>0.83</t>
  </si>
  <si>
    <t>3.62</t>
  </si>
  <si>
    <t>-2.99</t>
  </si>
  <si>
    <t>1.12</t>
  </si>
  <si>
    <t>CDNS</t>
  </si>
  <si>
    <t>Cadence Design Systems, Inc.</t>
  </si>
  <si>
    <t>6.55</t>
  </si>
  <si>
    <t>-2.92</t>
  </si>
  <si>
    <t>+20.3%</t>
  </si>
  <si>
    <t>2.86</t>
  </si>
  <si>
    <t>FTNT</t>
  </si>
  <si>
    <t>Fortinet, Inc.</t>
  </si>
  <si>
    <t>2.02</t>
  </si>
  <si>
    <t>36.1%</t>
  </si>
  <si>
    <t>+149.8%</t>
  </si>
  <si>
    <t>1.17</t>
  </si>
  <si>
    <t>SGE.L</t>
  </si>
  <si>
    <t>The Sage Group plc</t>
  </si>
  <si>
    <t>ADSK</t>
  </si>
  <si>
    <t>Autodesk, Inc.</t>
  </si>
  <si>
    <t>0.48</t>
  </si>
  <si>
    <t>-2.86</t>
  </si>
  <si>
    <t>27.6%</t>
  </si>
  <si>
    <t>+36.9%</t>
  </si>
  <si>
    <t>0.85</t>
  </si>
  <si>
    <t>8.46</t>
  </si>
  <si>
    <t>-2.58</t>
  </si>
  <si>
    <t>3.05</t>
  </si>
  <si>
    <t>MSFT</t>
  </si>
  <si>
    <t>Microsoft Corporation</t>
  </si>
  <si>
    <t>4.46</t>
  </si>
  <si>
    <t>-3.00</t>
  </si>
  <si>
    <t>56.9%</t>
  </si>
  <si>
    <t>+29.6%</t>
  </si>
  <si>
    <t>1.35</t>
  </si>
  <si>
    <t>PAYC</t>
  </si>
  <si>
    <t>Paycom Software, Inc.</t>
  </si>
  <si>
    <t>-3.13</t>
  </si>
  <si>
    <t>2.66</t>
  </si>
  <si>
    <t>-2.72</t>
  </si>
  <si>
    <t>1.71</t>
  </si>
  <si>
    <t>FFIV</t>
  </si>
  <si>
    <t>F5, Inc.</t>
  </si>
  <si>
    <t>5.01</t>
  </si>
  <si>
    <t>-3.06</t>
  </si>
  <si>
    <t>28.6%</t>
  </si>
  <si>
    <t>+19.3%</t>
  </si>
  <si>
    <t>1.56</t>
  </si>
  <si>
    <t>Score Global</t>
  </si>
  <si>
    <t>2026-06-04</t>
  </si>
  <si>
    <t>+264.4%</t>
  </si>
  <si>
    <t>+199.2%</t>
  </si>
  <si>
    <t>2026-04-28</t>
  </si>
  <si>
    <t>+151.5%</t>
  </si>
  <si>
    <t>2026-04-23</t>
  </si>
  <si>
    <t>AMAT</t>
  </si>
  <si>
    <t>Applied Materials, Inc.</t>
  </si>
  <si>
    <t>+124.8%</t>
  </si>
  <si>
    <t>2026-05-14</t>
  </si>
  <si>
    <t>KEYS</t>
  </si>
  <si>
    <t>Keysight Technologies, Inc.</t>
  </si>
  <si>
    <t>+84.7%</t>
  </si>
  <si>
    <t>2026-05-19</t>
  </si>
  <si>
    <t>ASML.AS</t>
  </si>
  <si>
    <t>ASML Holding N.V.</t>
  </si>
  <si>
    <t>+78.6%</t>
  </si>
  <si>
    <t>2026-04-15</t>
  </si>
  <si>
    <t>Zoom sectoriel  ·  Ratios clés  ·  Score FinSight  ·  Usage confidentiel</t>
  </si>
  <si>
    <t>Sociétés dans le secteur</t>
  </si>
  <si>
    <t>Market Cap totale</t>
  </si>
  <si>
    <t>Score moyen FinSight</t>
  </si>
  <si>
    <t>Meilleure société</t>
  </si>
  <si>
    <t>EV/EBITDA médiane</t>
  </si>
  <si>
    <t>71.1%</t>
  </si>
  <si>
    <t>60.9%</t>
  </si>
  <si>
    <t>64.1%</t>
  </si>
  <si>
    <t>67.8%</t>
  </si>
  <si>
    <t>39.8%</t>
  </si>
  <si>
    <t>55.2%</t>
  </si>
  <si>
    <t>48.7%</t>
  </si>
  <si>
    <t>38.8%</t>
  </si>
  <si>
    <t>83.8%</t>
  </si>
  <si>
    <t>ADI</t>
  </si>
  <si>
    <t>SNPS</t>
  </si>
  <si>
    <t>GRMN</t>
  </si>
  <si>
    <t>TXN</t>
  </si>
  <si>
    <t>IBM</t>
  </si>
  <si>
    <t>CPAY</t>
  </si>
  <si>
    <t>FSLR</t>
  </si>
  <si>
    <t>MSI</t>
  </si>
  <si>
    <t>INTU</t>
  </si>
  <si>
    <t>ORCL</t>
  </si>
  <si>
    <t>NOW</t>
  </si>
  <si>
    <t>GEN</t>
  </si>
  <si>
    <t>AKAM</t>
  </si>
  <si>
    <t>CSCO</t>
  </si>
  <si>
    <t>CRM</t>
  </si>
  <si>
    <t>NTAP</t>
  </si>
  <si>
    <t>AAPL</t>
  </si>
  <si>
    <t>QCOM</t>
  </si>
  <si>
    <t>UBER</t>
  </si>
  <si>
    <t>WDAY</t>
  </si>
  <si>
    <t>TDY</t>
  </si>
  <si>
    <t>DDOG</t>
  </si>
  <si>
    <t>TEL</t>
  </si>
  <si>
    <t>GDDY</t>
  </si>
  <si>
    <t>JKHY</t>
  </si>
  <si>
    <t>DELL</t>
  </si>
  <si>
    <t>ROP</t>
  </si>
  <si>
    <t>NOKIA.HE</t>
  </si>
  <si>
    <t>FTV</t>
  </si>
  <si>
    <t>Q</t>
  </si>
  <si>
    <t>NXPI</t>
  </si>
  <si>
    <t>TRMB</t>
  </si>
  <si>
    <t>TYL</t>
  </si>
  <si>
    <t>HPE</t>
  </si>
  <si>
    <t>LDOS</t>
  </si>
  <si>
    <t>IFX.DE</t>
  </si>
  <si>
    <t>ADP</t>
  </si>
  <si>
    <t>CTSH</t>
  </si>
  <si>
    <t>CRWD</t>
  </si>
  <si>
    <t>MCHP</t>
  </si>
  <si>
    <t>ON</t>
  </si>
  <si>
    <t>SMCI</t>
  </si>
  <si>
    <t>STMPA.PA</t>
  </si>
  <si>
    <t>JBL</t>
  </si>
  <si>
    <t>BR</t>
  </si>
  <si>
    <t>EPAM</t>
  </si>
  <si>
    <t>SWKS</t>
  </si>
  <si>
    <t>ZBRA</t>
  </si>
  <si>
    <t>ACN</t>
  </si>
  <si>
    <t>IT</t>
  </si>
  <si>
    <t>HPQ</t>
  </si>
  <si>
    <t>CAP.PA</t>
  </si>
  <si>
    <t>CDW</t>
  </si>
  <si>
    <t>FIS</t>
  </si>
  <si>
    <t>WLN.PA</t>
  </si>
  <si>
    <t>49.5%</t>
  </si>
  <si>
    <t>35.2%</t>
  </si>
  <si>
    <t>52.8%</t>
  </si>
  <si>
    <t>61.5%</t>
  </si>
  <si>
    <t>36.0%</t>
  </si>
  <si>
    <t>34.8%</t>
  </si>
  <si>
    <t>62.1%</t>
  </si>
  <si>
    <t>36.9%</t>
  </si>
  <si>
    <t>86.4%</t>
  </si>
  <si>
    <t>77.0%</t>
  </si>
  <si>
    <t>58.2%</t>
  </si>
  <si>
    <t>91.0%</t>
  </si>
  <si>
    <t>58.7%</t>
  </si>
  <si>
    <t>81.4%</t>
  </si>
  <si>
    <t>68.8%</t>
  </si>
  <si>
    <t>82.2%</t>
  </si>
  <si>
    <t>57.0%</t>
  </si>
  <si>
    <t>78.6%</t>
  </si>
  <si>
    <t>40.6%</t>
  </si>
  <si>
    <t>72.9%</t>
  </si>
  <si>
    <t>42.0%</t>
  </si>
  <si>
    <t>80.5%</t>
  </si>
  <si>
    <t>51.7%</t>
  </si>
  <si>
    <t>89.3%</t>
  </si>
  <si>
    <t>88.2%</t>
  </si>
  <si>
    <t>79.6%</t>
  </si>
  <si>
    <t>70.5%</t>
  </si>
  <si>
    <t>77.5%</t>
  </si>
  <si>
    <t>42.8%</t>
  </si>
  <si>
    <t>20.6%</t>
  </si>
  <si>
    <t>21.7%</t>
  </si>
  <si>
    <t>38.4%</t>
  </si>
  <si>
    <t>45.6%</t>
  </si>
  <si>
    <t>27.1%</t>
  </si>
  <si>
    <t>24.7%</t>
  </si>
  <si>
    <t>28.5%</t>
  </si>
  <si>
    <t>46.7%</t>
  </si>
  <si>
    <t>25.6%</t>
  </si>
  <si>
    <t>51.6%</t>
  </si>
  <si>
    <t>8.1%</t>
  </si>
  <si>
    <t>30.8%</t>
  </si>
  <si>
    <t>31.3%</t>
  </si>
  <si>
    <t>41.7%</t>
  </si>
  <si>
    <t>23.6%</t>
  </si>
  <si>
    <t>15.8%</t>
  </si>
  <si>
    <t>29.1%</t>
  </si>
  <si>
    <t>29.4%</t>
  </si>
  <si>
    <t>20.9%</t>
  </si>
  <si>
    <t>18.9%</t>
  </si>
  <si>
    <t>17.4%</t>
  </si>
  <si>
    <t>15.6%</t>
  </si>
  <si>
    <t>23.0%</t>
  </si>
  <si>
    <t>22.4%</t>
  </si>
  <si>
    <t>32.7%</t>
  </si>
  <si>
    <t>28.3%</t>
  </si>
  <si>
    <t>15.7%</t>
  </si>
  <si>
    <t>29.3%</t>
  </si>
  <si>
    <t>2.6%</t>
  </si>
  <si>
    <t>27.3%</t>
  </si>
  <si>
    <t>18.4%</t>
  </si>
  <si>
    <t>30.0%</t>
  </si>
  <si>
    <t>49.8%</t>
  </si>
  <si>
    <t>20.5%</t>
  </si>
  <si>
    <t>13.2%</t>
  </si>
  <si>
    <t>+15.6%</t>
  </si>
  <si>
    <t>+16.9%</t>
  </si>
  <si>
    <t>+8.0%</t>
  </si>
  <si>
    <t>+14.1%</t>
  </si>
  <si>
    <t>+15.1%</t>
  </si>
  <si>
    <t>+13.1%</t>
  </si>
  <si>
    <t>+17.5%</t>
  </si>
  <si>
    <t>+9.7%</t>
  </si>
  <si>
    <t>+14.9%</t>
  </si>
  <si>
    <t>+15.9%</t>
  </si>
  <si>
    <t>+13.0%</t>
  </si>
  <si>
    <t>+7.6%</t>
  </si>
  <si>
    <t>+4.4%</t>
  </si>
  <si>
    <t>+13.9%</t>
  </si>
  <si>
    <t>+24.1%</t>
  </si>
  <si>
    <t>+18.8%</t>
  </si>
  <si>
    <t>+14.2%</t>
  </si>
  <si>
    <t>+10.5%</t>
  </si>
  <si>
    <t>+6.4%</t>
  </si>
  <si>
    <t>+8.4%</t>
  </si>
  <si>
    <t>+20.9%</t>
  </si>
  <si>
    <t>+18.3%</t>
  </si>
  <si>
    <t>+7.0%</t>
  </si>
  <si>
    <t>+7.4%</t>
  </si>
  <si>
    <t>+54.3%</t>
  </si>
  <si>
    <t>+49.0%</t>
  </si>
  <si>
    <t>+6.7%</t>
  </si>
  <si>
    <t>+14.5%</t>
  </si>
  <si>
    <t>+4.7%</t>
  </si>
  <si>
    <t>+19.8%</t>
  </si>
  <si>
    <t>+18.5%</t>
  </si>
  <si>
    <t>+30.7%</t>
  </si>
  <si>
    <t>+32.4%</t>
  </si>
  <si>
    <t>+27.5%</t>
  </si>
  <si>
    <t>+16.0%</t>
  </si>
  <si>
    <t>+4.5%</t>
  </si>
  <si>
    <t>+89.4%</t>
  </si>
  <si>
    <t>+19.6%</t>
  </si>
  <si>
    <t>+60.8%</t>
  </si>
  <si>
    <t>+8.5%</t>
  </si>
  <si>
    <t>+9.0%</t>
  </si>
  <si>
    <t>+10.3%</t>
  </si>
  <si>
    <t>2.62</t>
  </si>
  <si>
    <t>2.52</t>
  </si>
  <si>
    <t>5.91</t>
  </si>
  <si>
    <t>2.21</t>
  </si>
  <si>
    <t>1.08</t>
  </si>
  <si>
    <t>2.85</t>
  </si>
  <si>
    <t>1.38</t>
  </si>
  <si>
    <t>1.26</t>
  </si>
  <si>
    <t>2.19</t>
  </si>
  <si>
    <t>1.59</t>
  </si>
  <si>
    <t>2.35</t>
  </si>
  <si>
    <t>2.98</t>
  </si>
  <si>
    <t>1.62</t>
  </si>
  <si>
    <t>1.75</t>
  </si>
  <si>
    <t>3.63</t>
  </si>
  <si>
    <t>4.35</t>
  </si>
  <si>
    <t>0.96</t>
  </si>
  <si>
    <t>2.61</t>
  </si>
  <si>
    <t>0.98</t>
  </si>
  <si>
    <t>2.67</t>
  </si>
  <si>
    <t>1.16</t>
  </si>
  <si>
    <t>2.73</t>
  </si>
  <si>
    <t>1.04</t>
  </si>
  <si>
    <t>1.36</t>
  </si>
  <si>
    <t>0.75</t>
  </si>
  <si>
    <t>2.20</t>
  </si>
  <si>
    <t>4.52</t>
  </si>
  <si>
    <t>-0.0x</t>
  </si>
  <si>
    <t>0.7x</t>
  </si>
  <si>
    <t>-0.5x</t>
  </si>
  <si>
    <t>1.4x</t>
  </si>
  <si>
    <t>0.1x</t>
  </si>
  <si>
    <t>-1.4x</t>
  </si>
  <si>
    <t>-0.3x</t>
  </si>
  <si>
    <t>1.3x</t>
  </si>
  <si>
    <t>0.9x</t>
  </si>
  <si>
    <t>2.0x</t>
  </si>
  <si>
    <t>-0.7x</t>
  </si>
  <si>
    <t>1.2x</t>
  </si>
  <si>
    <t>1.8x</t>
  </si>
  <si>
    <t>2.3x</t>
  </si>
  <si>
    <t>0.5x</t>
  </si>
  <si>
    <t>0.6x</t>
  </si>
  <si>
    <t>4.2x</t>
  </si>
  <si>
    <t>-1.0x</t>
  </si>
  <si>
    <t>-1.2x</t>
  </si>
  <si>
    <t>3.1x</t>
  </si>
  <si>
    <t>2.8x</t>
  </si>
  <si>
    <t>-0.1x</t>
  </si>
  <si>
    <t>3.2x</t>
  </si>
  <si>
    <t>-1.1x</t>
  </si>
  <si>
    <t>-0.2x</t>
  </si>
  <si>
    <t>1.1x</t>
  </si>
  <si>
    <t>-0.6x</t>
  </si>
  <si>
    <t>2.2x</t>
  </si>
  <si>
    <t>3.4x</t>
  </si>
  <si>
    <t>-0.8x</t>
  </si>
  <si>
    <t>5.64</t>
  </si>
  <si>
    <t>6.10</t>
  </si>
  <si>
    <t>11.63</t>
  </si>
  <si>
    <t>9.70</t>
  </si>
  <si>
    <t>1.76</t>
  </si>
  <si>
    <t>6.90</t>
  </si>
  <si>
    <t>-1.01</t>
  </si>
  <si>
    <t>4.15</t>
  </si>
  <si>
    <t>4.17</t>
  </si>
  <si>
    <t>3.25</t>
  </si>
  <si>
    <t>5.33</t>
  </si>
  <si>
    <t>5.05</t>
  </si>
  <si>
    <t>2.76</t>
  </si>
  <si>
    <t>5.06</t>
  </si>
  <si>
    <t>10.58</t>
  </si>
  <si>
    <t>9.08</t>
  </si>
  <si>
    <t>4.10</t>
  </si>
  <si>
    <t>10.40</t>
  </si>
  <si>
    <t>1.86</t>
  </si>
  <si>
    <t>6.99</t>
  </si>
  <si>
    <t>5.34</t>
  </si>
  <si>
    <t>1.96</t>
  </si>
  <si>
    <t>0.24</t>
  </si>
  <si>
    <t>2.29</t>
  </si>
  <si>
    <t>4.23</t>
  </si>
  <si>
    <t>-2.95</t>
  </si>
  <si>
    <t>-2.88</t>
  </si>
  <si>
    <t>-2.83</t>
  </si>
  <si>
    <t>-3.20</t>
  </si>
  <si>
    <t>-3.12</t>
  </si>
  <si>
    <t>-2.62</t>
  </si>
  <si>
    <t>-3.30</t>
  </si>
  <si>
    <t>-2.89</t>
  </si>
  <si>
    <t>-2.05</t>
  </si>
  <si>
    <t>-2.54</t>
  </si>
  <si>
    <t>-2.91</t>
  </si>
  <si>
    <t>-3.07</t>
  </si>
  <si>
    <t>-3.05</t>
  </si>
  <si>
    <t>-3.14</t>
  </si>
  <si>
    <t>-2.98</t>
  </si>
  <si>
    <t>-3.01</t>
  </si>
  <si>
    <t>-2.87</t>
  </si>
  <si>
    <t>-3.15</t>
  </si>
  <si>
    <t>+49.6%</t>
  </si>
  <si>
    <t>+43.0%</t>
  </si>
  <si>
    <t>-3.5%</t>
  </si>
  <si>
    <t>-14.8%</t>
  </si>
  <si>
    <t>-19.3%</t>
  </si>
  <si>
    <t>+19.4%</t>
  </si>
  <si>
    <t>+5.5%</t>
  </si>
  <si>
    <t>-19.1%</t>
  </si>
  <si>
    <t>-36.8%</t>
  </si>
  <si>
    <t>-2.8%</t>
  </si>
  <si>
    <t>-9.7%</t>
  </si>
  <si>
    <t>-43.5%</t>
  </si>
  <si>
    <t>-20.0%</t>
  </si>
  <si>
    <t>-41.9%</t>
  </si>
  <si>
    <t>-3.6%</t>
  </si>
  <si>
    <t>-42.6%</t>
  </si>
  <si>
    <t>-11.6%</t>
  </si>
  <si>
    <t>-49.5%</t>
  </si>
  <si>
    <t>-4.4%</t>
  </si>
  <si>
    <t>+14.8%</t>
  </si>
  <si>
    <t>Texas Instruments Incorporated</t>
  </si>
  <si>
    <t>International Business Machines Corporation</t>
  </si>
  <si>
    <t>Corpay, Inc.</t>
  </si>
  <si>
    <t>First Solar, Inc.</t>
  </si>
  <si>
    <t>Motorola Solutions, Inc.</t>
  </si>
  <si>
    <t>Intuit Inc.</t>
  </si>
  <si>
    <t>Oracle Corporation</t>
  </si>
  <si>
    <t>ServiceNow, Inc.</t>
  </si>
  <si>
    <t>Gen Digital Inc.</t>
  </si>
  <si>
    <t>Akamai Technologies, Inc.</t>
  </si>
  <si>
    <t>Cisco Systems, Inc.</t>
  </si>
  <si>
    <t>Salesforce, Inc.</t>
  </si>
  <si>
    <t>NetApp, Inc.</t>
  </si>
  <si>
    <t>Apple Inc.</t>
  </si>
  <si>
    <t>QUALCOMM Incorporated</t>
  </si>
  <si>
    <t>Uber Technologies, Inc.</t>
  </si>
  <si>
    <t>Workday, Inc.</t>
  </si>
  <si>
    <t>Teledyne Technologies Incorporated</t>
  </si>
  <si>
    <t>Datadog, Inc.</t>
  </si>
  <si>
    <t>TE Connectivity plc</t>
  </si>
  <si>
    <t>GoDaddy Inc.</t>
  </si>
  <si>
    <t>Jack Henry &amp; Associates, Inc.</t>
  </si>
  <si>
    <t>Dell Technologies Inc.</t>
  </si>
  <si>
    <t>Roper Technologies, Inc.</t>
  </si>
  <si>
    <t>Nokia Oyj</t>
  </si>
  <si>
    <t>Fortive Corporation</t>
  </si>
  <si>
    <t>Qnity Electronics, Inc.</t>
  </si>
  <si>
    <t>NXP Semiconductors N.V.</t>
  </si>
  <si>
    <t>Trimble Inc.</t>
  </si>
  <si>
    <t>Tyler Technologies, Inc.</t>
  </si>
  <si>
    <t>Hewlett Packard Enterprise Company</t>
  </si>
  <si>
    <t>Leidos Holdings, Inc.</t>
  </si>
  <si>
    <t>Infineon Technologies AG</t>
  </si>
  <si>
    <t>Automatic Data Processing, Inc.</t>
  </si>
  <si>
    <t>Cognizant Technology Solutions Corporation</t>
  </si>
  <si>
    <t>CrowdStrike Holdings, Inc.</t>
  </si>
  <si>
    <t>Microchip Technology Incorporated</t>
  </si>
  <si>
    <t>ON Semiconductor Corporation</t>
  </si>
  <si>
    <t>Super Micro Computer, Inc.</t>
  </si>
  <si>
    <t>STMicroelectronics N.V.</t>
  </si>
  <si>
    <t>Jabil Inc.</t>
  </si>
  <si>
    <t>Broadridge Financial Solutions, Inc.</t>
  </si>
  <si>
    <t>EPAM Systems, Inc.</t>
  </si>
  <si>
    <t>Skyworks Solutions, Inc.</t>
  </si>
  <si>
    <t>Zebra Technologies Corporation</t>
  </si>
  <si>
    <t>Accenture plc</t>
  </si>
  <si>
    <t>Gartner, Inc.</t>
  </si>
  <si>
    <t>HP Inc.</t>
  </si>
  <si>
    <t>Capgemini SE</t>
  </si>
  <si>
    <t>CDW Corporation</t>
  </si>
  <si>
    <t>Fidelity National Information Services, Inc.</t>
  </si>
  <si>
    <t>Worldline SA</t>
  </si>
  <si>
    <t>Cours</t>
  </si>
  <si>
    <t>Mkt Cap</t>
  </si>
  <si>
    <t>EV</t>
  </si>
  <si>
    <t>Rev LTM</t>
  </si>
  <si>
    <t>EBITDA LTM</t>
  </si>
  <si>
    <t>EV/Rev</t>
  </si>
  <si>
    <t>EPS</t>
  </si>
  <si>
    <t>Mg Brute</t>
  </si>
  <si>
    <t>Mg EBITDA</t>
  </si>
  <si>
    <t>Mg Nette</t>
  </si>
  <si>
    <t>Cro Rev</t>
  </si>
  <si>
    <t>ROA</t>
  </si>
  <si>
    <t>Current R</t>
  </si>
  <si>
    <t>ND/EBITDA</t>
  </si>
  <si>
    <t>Mom 52W</t>
  </si>
  <si>
    <t>Score Val</t>
  </si>
  <si>
    <t>Score Gr</t>
  </si>
  <si>
    <t>Score Qual</t>
  </si>
  <si>
    <t>Score Mom</t>
  </si>
  <si>
    <t>Next Earn</t>
  </si>
  <si>
    <t>$215.9</t>
  </si>
  <si>
    <t>$144.6</t>
  </si>
  <si>
    <t>+58.1%</t>
  </si>
  <si>
    <t>$12.2</t>
  </si>
  <si>
    <t>$5.3</t>
  </si>
  <si>
    <t>+25.3%</t>
  </si>
  <si>
    <t>$9.0</t>
  </si>
  <si>
    <t>$3.9</t>
  </si>
  <si>
    <t>+18.1%</t>
  </si>
  <si>
    <t>$63.9</t>
  </si>
  <si>
    <t>$34.7</t>
  </si>
  <si>
    <t>$37.4</t>
  </si>
  <si>
    <t>$18.5</t>
  </si>
  <si>
    <t>$2.8</t>
  </si>
  <si>
    <t>$0.8</t>
  </si>
  <si>
    <t>$18.4</t>
  </si>
  <si>
    <t>$6.5</t>
  </si>
  <si>
    <t>+25.1%</t>
  </si>
  <si>
    <t>$9.5</t>
  </si>
  <si>
    <t>$1.9</t>
  </si>
  <si>
    <t>+13.3%</t>
  </si>
  <si>
    <t>$2.7</t>
  </si>
  <si>
    <t>$1.1</t>
  </si>
  <si>
    <t>+11.1%</t>
  </si>
  <si>
    <t>$34.6</t>
  </si>
  <si>
    <t>$7.3</t>
  </si>
  <si>
    <t>+5.6%</t>
  </si>
  <si>
    <t>$9.1</t>
  </si>
  <si>
    <t>$2.1</t>
  </si>
  <si>
    <t>€32.7</t>
  </si>
  <si>
    <t>€12.6</t>
  </si>
  <si>
    <t>+19.0%</t>
  </si>
  <si>
    <t>Analog Devices, Inc.</t>
  </si>
  <si>
    <t>$11.0</t>
  </si>
  <si>
    <t>$5.0</t>
  </si>
  <si>
    <t>2026-05-21</t>
  </si>
  <si>
    <t>$15.6</t>
  </si>
  <si>
    <t>$3.7</t>
  </si>
  <si>
    <t>+5.2%</t>
  </si>
  <si>
    <t>$52.9</t>
  </si>
  <si>
    <t>$14.3</t>
  </si>
  <si>
    <t>-0.1%</t>
  </si>
  <si>
    <t>$5.4</t>
  </si>
  <si>
    <t>$1.4</t>
  </si>
  <si>
    <t>+7.5%</t>
  </si>
  <si>
    <t>$23.1</t>
  </si>
  <si>
    <t>$6.9</t>
  </si>
  <si>
    <t>+11.8%</t>
  </si>
  <si>
    <t>+10.9%</t>
  </si>
  <si>
    <t>2026-04-27</t>
  </si>
  <si>
    <t>Synopsys, Inc.</t>
  </si>
  <si>
    <t>$7.0</t>
  </si>
  <si>
    <t>$2.5</t>
  </si>
  <si>
    <t>+2.8%</t>
  </si>
  <si>
    <t>2026-05-27</t>
  </si>
  <si>
    <t>$3.2</t>
  </si>
  <si>
    <t>+13.2%</t>
  </si>
  <si>
    <t>$7.2</t>
  </si>
  <si>
    <t>$2.0</t>
  </si>
  <si>
    <t>Garmin Ltd.</t>
  </si>
  <si>
    <t>$3.1</t>
  </si>
  <si>
    <t>$0.9</t>
  </si>
  <si>
    <t>+11.0%</t>
  </si>
  <si>
    <t>$281.7</t>
  </si>
  <si>
    <t>$160.2</t>
  </si>
  <si>
    <t>+16.5%</t>
  </si>
  <si>
    <t>+34.9%</t>
  </si>
  <si>
    <t>$17.7</t>
  </si>
  <si>
    <t>$8.2</t>
  </si>
  <si>
    <t>$67.5</t>
  </si>
  <si>
    <t>$17.3</t>
  </si>
  <si>
    <t>$28.4</t>
  </si>
  <si>
    <t>$10.0</t>
  </si>
  <si>
    <t>$4.5</t>
  </si>
  <si>
    <t>$2.3</t>
  </si>
  <si>
    <t>+4.1%</t>
  </si>
  <si>
    <t>$5.2</t>
  </si>
  <si>
    <t>+11.5%</t>
  </si>
  <si>
    <t>€36.8</t>
  </si>
  <si>
    <t>€12.1</t>
  </si>
  <si>
    <t>+10.2%</t>
  </si>
  <si>
    <t>$4.8</t>
  </si>
  <si>
    <t>$0.4</t>
  </si>
  <si>
    <t>+2.1%</t>
  </si>
  <si>
    <t>$6.8</t>
  </si>
  <si>
    <t>+17.8%</t>
  </si>
  <si>
    <t>2026-05-07</t>
  </si>
  <si>
    <t>$11.7</t>
  </si>
  <si>
    <t>$3.6</t>
  </si>
  <si>
    <t>$23.8</t>
  </si>
  <si>
    <t>$9.8</t>
  </si>
  <si>
    <t>+24.2%</t>
  </si>
  <si>
    <t>2026-06-11</t>
  </si>
  <si>
    <t>$1.7</t>
  </si>
  <si>
    <t>$1.2</t>
  </si>
  <si>
    <t>+62.3%</t>
  </si>
  <si>
    <t>$18.8</t>
  </si>
  <si>
    <t>$5.9</t>
  </si>
  <si>
    <t>$57.4</t>
  </si>
  <si>
    <t>$23.9</t>
  </si>
  <si>
    <t>2026-06-10</t>
  </si>
  <si>
    <t>$13.3</t>
  </si>
  <si>
    <t>$3.0</t>
  </si>
  <si>
    <t>$24.2</t>
  </si>
  <si>
    <t>$3.4</t>
  </si>
  <si>
    <t>+3.3%</t>
  </si>
  <si>
    <t>DONNÉES BRUTES  ·  Source de vérité  ·  Technology Screening  ·  22/03/2026</t>
  </si>
  <si>
    <t>FinSight IA  ·  Analyse GROWTH  ·  Technology Screening  ·  22/03/2026</t>
  </si>
  <si>
    <t>FinSight IA  ·  Analyse QUALITY  ·  Technology Screening  ·  22/03/2026</t>
  </si>
  <si>
    <t>FinSight IA  ·  Analyse MOMENTUM  ·  Technology Screening  ·  22/03/2026</t>
  </si>
  <si>
    <t>FinSight IA   ·   Technology Screening — Tableau de Bord   ·   22/03/2026</t>
  </si>
  <si>
    <t>SOCIÉTÉS ANALYSÉES</t>
  </si>
  <si>
    <t>SCORE MOYEN SECTEUR</t>
  </si>
  <si>
    <t>MEILLEUR SCORE GLOBAL</t>
  </si>
  <si>
    <t>DATE D'ANALYSE</t>
  </si>
  <si>
    <t>Croiss. Rev</t>
  </si>
  <si>
    <t>TOP 10 GLOBAL  ·  Score Composite  ·  Growth / Quality / Momentum</t>
  </si>
  <si>
    <t>FinSight IA  ·  Screening Technologie  ·  Scores calculés sur métriques Growth, Quality, Momentum  ·  Ne constitue pas un conseil en investissement</t>
  </si>
  <si>
    <t>FinSight IA  ·  Analyse VALUE  ·  Technology Screening  ·  22/03/2026  (ScoreVal N/A → classé par Score Global)</t>
  </si>
  <si>
    <t>Usage confidentiel  ·  Calculs FinSight IA  ·  Screening Technology</t>
  </si>
  <si>
    <t>Sociétés</t>
  </si>
  <si>
    <t>#1 Score Global</t>
  </si>
  <si>
    <t>Moy. Score Score Global</t>
  </si>
  <si>
    <t>ANALYSE DÉTAILLÉE  ·  TECHNOLOGY  ·  TOP 20 par Score Global  ·  Triée par Score Score Global</t>
  </si>
  <si>
    <t>FinSight IA  ·  Screening Technology  ·  Ne constitue pas un conseil en investissement</t>
  </si>
  <si>
    <t>#1 Growth</t>
  </si>
  <si>
    <t>Moy. Score Growth</t>
  </si>
  <si>
    <t>ANALYSE DÉTAILLÉE  ·  TECHNOLOGY  ·  TOP 20 par Growth  ·  Triée par Score Growth</t>
  </si>
  <si>
    <t>#1 Quality</t>
  </si>
  <si>
    <t>Moy. Score Quality</t>
  </si>
  <si>
    <t>ANALYSE DÉTAILLÉE  ·  TECHNOLOGY  ·  TOP 20 par Quality  ·  Triée par Score Quality</t>
  </si>
  <si>
    <t>Current R.</t>
  </si>
  <si>
    <t>#1 Momentum</t>
  </si>
  <si>
    <t>Moy. Score Momentum</t>
  </si>
  <si>
    <t>ANALYSE DÉTAILLÉE  ·  TECHNOLOGY  ·  TOP 20 par Momentum  ·  Triée par Score Momentum</t>
  </si>
  <si>
    <t>Score Growth</t>
  </si>
  <si>
    <t xml:space="preserve">TOP 5  ·  Classements par Facteur  ·  Growth </t>
  </si>
  <si>
    <t>FinSight IA  ·  Analyse Sectorielle  ·  Technology Screening  ·  22/03/2026</t>
  </si>
  <si>
    <t>EV/Rev.</t>
  </si>
  <si>
    <t xml:space="preserve">  ANALYSE DÉTAILLÉE  ·  TECHNOLOGY  ·  88 Sociétés  ·  Triée par Score Global</t>
  </si>
  <si>
    <t>Val.</t>
  </si>
  <si>
    <t>Mom.</t>
  </si>
  <si>
    <t>Mom. 52S</t>
  </si>
  <si>
    <t xml:space="preserve">  ▸  NEUTRE  ·  29 sociétés</t>
  </si>
  <si>
    <t>International Business Machines</t>
  </si>
  <si>
    <t xml:space="preserve">  ▸  SOUS-PONDÉRER  ·  51 sociétés</t>
  </si>
  <si>
    <t>Teledyne Technologies Inc.</t>
  </si>
  <si>
    <t>Hewlett Packard Enterprise</t>
  </si>
  <si>
    <t>Cognizant Technology Solutions</t>
  </si>
  <si>
    <t>Microchip Technology Inc.</t>
  </si>
  <si>
    <t>Broadridge Financial Solutions</t>
  </si>
  <si>
    <t>Fidelity National Info. Services</t>
  </si>
  <si>
    <t>FinSight IA  ·  Screening Technology  ·  Ne constitue pas un conseil en investissement  ·  Usage confidentiel</t>
  </si>
  <si>
    <t xml:space="preserve">  ▸  SURPONDÉRER  ·  8 sociétés</t>
  </si>
  <si>
    <t>Nb</t>
  </si>
  <si>
    <t>Mg EBITDA (%)</t>
  </si>
  <si>
    <t>Score Momentum</t>
  </si>
  <si>
    <t>ASML</t>
  </si>
  <si>
    <t>Mg%</t>
  </si>
  <si>
    <t>Rev%</t>
  </si>
  <si>
    <t>AltZ</t>
  </si>
  <si>
    <t>NOKIA</t>
  </si>
  <si>
    <t>Mom%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</si>
</sst>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rgb="FF2E5FA3"/>
      <name val="Calibri"/>
    </font>
    <font>
      <b/>
      <sz val="13"/>
      <color rgb="FF2E5FA3"/>
      <name val="Calibri"/>
    </font>
    <font>
      <sz val="7.5"/>
      <color rgb="FF888888"/>
      <name val="Calibri"/>
    </font>
    <font>
      <b/>
      <sz val="7"/>
      <color rgb="FFFFFFFF"/>
      <name val="Calibri"/>
    </font>
    <font>
      <sz val="7"/>
      <color rgb="FF0D0D0D"/>
      <name val="Calibri"/>
    </font>
    <font>
      <b/>
      <sz val="11"/>
      <color rgb="FFFFFFFF"/>
      <name val="Calibri"/>
      <family val="2"/>
      <scheme val="minor"/>
    </font>
    <font>
      <sz val="8"/>
      <color rgb="FF8BA8C8"/>
      <name val="Calibri"/>
      <family val="2"/>
      <scheme val="minor"/>
    </font>
    <font>
      <b/>
      <sz val="20"/>
      <color rgb="FF0A2342"/>
      <name val="Calibri"/>
      <family val="2"/>
      <scheme val="minor"/>
    </font>
    <font>
      <sz val="8"/>
      <color rgb="FF6E7B8B"/>
      <name val="Calibri"/>
      <family val="2"/>
      <scheme val="minor"/>
    </font>
    <font>
      <b/>
      <sz val="14"/>
      <color rgb="FF0A2342"/>
      <name val="Calibri"/>
      <family val="2"/>
      <scheme val="minor"/>
    </font>
    <font>
      <b/>
      <sz val="8"/>
      <color rgb="FF8BA8C8"/>
      <name val="Calibri"/>
      <family val="2"/>
      <scheme val="minor"/>
    </font>
    <font>
      <b/>
      <sz val="18"/>
      <color rgb="FF0A23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8"/>
      <color rgb="FF6E7B8B"/>
      <name val="Calibri"/>
      <family val="2"/>
    </font>
    <font>
      <b/>
      <sz val="18"/>
      <color rgb="FF0A2342"/>
      <name val="Calibri"/>
      <family val="2"/>
    </font>
    <font>
      <sz val="7.5"/>
      <color rgb="FF6E7B8B"/>
      <name val="Calibri"/>
      <family val="2"/>
    </font>
    <font>
      <b/>
      <sz val="14"/>
      <color rgb="FF0A2342"/>
      <name val="Calibri"/>
      <family val="2"/>
    </font>
    <font>
      <sz val="9"/>
      <color rgb="FF0D0D0D"/>
      <name val="Calibri"/>
      <family val="2"/>
      <scheme val="minor"/>
    </font>
    <font>
      <b/>
      <sz val="9"/>
      <color rgb="FF0A2342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1"/>
      <color rgb="FF0A2342"/>
      <name val="Calibri"/>
      <family val="2"/>
      <scheme val="minor"/>
    </font>
    <font>
      <b/>
      <sz val="8"/>
      <color rgb="FF0A2342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0A2342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6000"/>
        <bgColor indexed="64"/>
      </patternFill>
    </fill>
    <fill>
      <patternFill patternType="solid">
        <fgColor rgb="FFA82020"/>
        <bgColor indexed="64"/>
      </patternFill>
    </fill>
    <fill>
      <patternFill patternType="solid">
        <fgColor rgb="FF1A7A4A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8BA8C8"/>
      </bottom>
      <diagonal/>
    </border>
    <border>
      <left/>
      <right/>
      <top style="thin">
        <color rgb="FF8BA8C8"/>
      </top>
      <bottom/>
      <diagonal/>
    </border>
    <border>
      <left/>
      <right/>
      <top style="thin">
        <color rgb="FFD8DEE9"/>
      </top>
      <bottom style="thin">
        <color rgb="FFD8DEE9"/>
      </bottom>
      <diagonal/>
    </border>
    <border>
      <left/>
      <right/>
      <top style="thin">
        <color rgb="FFD8DEE9"/>
      </top>
      <bottom style="thin">
        <color rgb="FF0A2342"/>
      </bottom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0" fillId="0" borderId="0" xfId="0" applyNumberFormat="1"/>
    <xf numFmtId="14" fontId="0" fillId="0" borderId="0" xfId="0" applyNumberFormat="1"/>
    <xf numFmtId="0" fontId="12" fillId="5" borderId="0" xfId="0" applyFont="1" applyFill="1"/>
    <xf numFmtId="0" fontId="10" fillId="0" borderId="0" xfId="0" applyFont="1"/>
    <xf numFmtId="0" fontId="0" fillId="7" borderId="0" xfId="0" applyFill="1"/>
    <xf numFmtId="2" fontId="9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4" fontId="11" fillId="6" borderId="0" xfId="0" applyNumberFormat="1" applyFont="1" applyFill="1" applyAlignment="1">
      <alignment horizontal="center"/>
    </xf>
    <xf numFmtId="0" fontId="7" fillId="5" borderId="0" xfId="0" applyFont="1" applyFill="1"/>
    <xf numFmtId="0" fontId="8" fillId="0" borderId="0" xfId="0" applyFont="1"/>
    <xf numFmtId="164" fontId="9" fillId="6" borderId="0" xfId="0" applyNumberFormat="1" applyFont="1" applyFill="1" applyAlignment="1">
      <alignment horizontal="center"/>
    </xf>
    <xf numFmtId="0" fontId="7" fillId="8" borderId="0" xfId="0" applyFont="1" applyFill="1"/>
    <xf numFmtId="0" fontId="0" fillId="8" borderId="0" xfId="0" applyFill="1"/>
    <xf numFmtId="0" fontId="7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5" borderId="0" xfId="0" applyFont="1" applyFill="1" applyAlignment="1">
      <alignment horizontal="centerContinuous" vertical="center"/>
    </xf>
    <xf numFmtId="0" fontId="12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0" fillId="6" borderId="0" xfId="0" applyFill="1"/>
    <xf numFmtId="0" fontId="0" fillId="9" borderId="0" xfId="0" applyFill="1"/>
    <xf numFmtId="0" fontId="12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22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left"/>
    </xf>
    <xf numFmtId="10" fontId="21" fillId="7" borderId="4" xfId="0" applyNumberFormat="1" applyFont="1" applyFill="1" applyBorder="1" applyAlignment="1">
      <alignment horizontal="center"/>
    </xf>
    <xf numFmtId="0" fontId="22" fillId="9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left"/>
    </xf>
    <xf numFmtId="10" fontId="21" fillId="9" borderId="4" xfId="0" applyNumberFormat="1" applyFont="1" applyFill="1" applyBorder="1" applyAlignment="1">
      <alignment horizontal="center"/>
    </xf>
    <xf numFmtId="0" fontId="0" fillId="0" borderId="5" xfId="0" applyBorder="1"/>
    <xf numFmtId="0" fontId="25" fillId="0" borderId="5" xfId="0" applyFont="1" applyBorder="1"/>
    <xf numFmtId="0" fontId="22" fillId="9" borderId="6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left"/>
    </xf>
    <xf numFmtId="10" fontId="21" fillId="9" borderId="6" xfId="0" applyNumberFormat="1" applyFont="1" applyFill="1" applyBorder="1" applyAlignment="1">
      <alignment horizontal="center"/>
    </xf>
    <xf numFmtId="0" fontId="24" fillId="12" borderId="3" xfId="0" applyFont="1" applyFill="1" applyBorder="1"/>
    <xf numFmtId="0" fontId="24" fillId="10" borderId="4" xfId="0" applyFont="1" applyFill="1" applyBorder="1"/>
    <xf numFmtId="0" fontId="26" fillId="10" borderId="4" xfId="0" applyFont="1" applyFill="1" applyBorder="1"/>
    <xf numFmtId="0" fontId="23" fillId="5" borderId="0" xfId="0" applyFont="1" applyFill="1"/>
    <xf numFmtId="0" fontId="16" fillId="5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4" fillId="11" borderId="4" xfId="0" applyFont="1" applyFill="1" applyBorder="1"/>
    <xf numFmtId="0" fontId="26" fillId="11" borderId="4" xfId="0" applyFont="1" applyFill="1" applyBorder="1"/>
    <xf numFmtId="0" fontId="10" fillId="6" borderId="0" xfId="0" applyFont="1" applyFill="1"/>
    <xf numFmtId="0" fontId="18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8" fillId="6" borderId="0" xfId="0" applyFont="1" applyFill="1" applyAlignment="1">
      <alignment horizontal="centerContinuous" vertical="center"/>
    </xf>
    <xf numFmtId="0" fontId="0" fillId="6" borderId="0" xfId="0" applyFill="1" applyAlignment="1">
      <alignment horizontal="centerContinuous"/>
    </xf>
    <xf numFmtId="0" fontId="19" fillId="6" borderId="0" xfId="0" applyFont="1" applyFill="1" applyAlignment="1">
      <alignment horizontal="centerContinuous" vertical="center"/>
    </xf>
    <xf numFmtId="0" fontId="22" fillId="8" borderId="4" xfId="0" applyFont="1" applyFill="1" applyBorder="1" applyAlignment="1">
      <alignment horizontal="center"/>
    </xf>
    <xf numFmtId="0" fontId="21" fillId="8" borderId="4" xfId="0" applyFont="1" applyFill="1" applyBorder="1" applyAlignment="1">
      <alignment horizontal="left"/>
    </xf>
    <xf numFmtId="0" fontId="21" fillId="8" borderId="4" xfId="0" applyFont="1" applyFill="1" applyBorder="1" applyAlignment="1">
      <alignment horizontal="center"/>
    </xf>
    <xf numFmtId="10" fontId="21" fillId="8" borderId="4" xfId="0" applyNumberFormat="1" applyFont="1" applyFill="1" applyBorder="1" applyAlignment="1">
      <alignment horizontal="center"/>
    </xf>
    <xf numFmtId="0" fontId="14" fillId="8" borderId="0" xfId="0" applyFont="1" applyFill="1"/>
    <xf numFmtId="0" fontId="27" fillId="0" borderId="0" xfId="0" applyFont="1"/>
    <xf numFmtId="0" fontId="15" fillId="0" borderId="0" xfId="0" applyFont="1"/>
    <xf numFmtId="0" fontId="15" fillId="8" borderId="0" xfId="0" applyFont="1" applyFill="1"/>
    <xf numFmtId="1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28" fillId="5" borderId="0" xfId="0" applyFont="1" applyFill="1"/>
    <xf numFmtId="10" fontId="0" fillId="7" borderId="0" xfId="0" applyNumberFormat="1" applyFill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20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Global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VALUE!$Q$1</c:f>
              <c:strCache>
                <c:ptCount val="1"/>
                <c:pt idx="0">
                  <c:v>Score</c:v>
                </c:pt>
              </c:strCache>
            </c:strRef>
          </c:tx>
          <c:invertIfNegative val="0"/>
          <c:cat>
            <c:strRef>
              <c:f>VALUE!$P$2:$P$21</c:f>
              <c:strCache>
                <c:ptCount val="20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ASML</c:v>
                </c:pt>
                <c:pt idx="11">
                  <c:v>ADI</c:v>
                </c:pt>
                <c:pt idx="12">
                  <c:v>GLW</c:v>
                </c:pt>
                <c:pt idx="13">
                  <c:v>INTC</c:v>
                </c:pt>
                <c:pt idx="14">
                  <c:v>KEYS</c:v>
                </c:pt>
                <c:pt idx="15">
                  <c:v>APH</c:v>
                </c:pt>
                <c:pt idx="16">
                  <c:v>CDNS</c:v>
                </c:pt>
                <c:pt idx="17">
                  <c:v>SNPS</c:v>
                </c:pt>
                <c:pt idx="18">
                  <c:v>TER</c:v>
                </c:pt>
                <c:pt idx="19">
                  <c:v>ADSK</c:v>
                </c:pt>
              </c:strCache>
            </c:strRef>
          </c:cat>
          <c:val>
            <c:numRef>
              <c:f>VALUE!$Q$2:$Q$21</c:f>
              <c:numCache>
                <c:formatCode>General</c:formatCode>
                <c:ptCount val="20"/>
                <c:pt idx="0">
                  <c:v>88</c:v>
                </c:pt>
                <c:pt idx="1">
                  <c:v>84</c:v>
                </c:pt>
                <c:pt idx="2">
                  <c:v>83</c:v>
                </c:pt>
                <c:pt idx="3">
                  <c:v>81</c:v>
                </c:pt>
                <c:pt idx="4">
                  <c:v>78</c:v>
                </c:pt>
                <c:pt idx="5">
                  <c:v>78</c:v>
                </c:pt>
                <c:pt idx="6">
                  <c:v>77</c:v>
                </c:pt>
                <c:pt idx="7">
                  <c:v>77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68</c:v>
                </c:pt>
                <c:pt idx="13">
                  <c:v>67</c:v>
                </c:pt>
                <c:pt idx="14">
                  <c:v>67</c:v>
                </c:pt>
                <c:pt idx="15">
                  <c:v>66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8-4FDE-B177-DBBA20243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58592"/>
        <c:axId val="663962912"/>
      </c:barChart>
      <c:catAx>
        <c:axId val="66395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2912"/>
        <c:crosses val="autoZero"/>
        <c:auto val="1"/>
        <c:lblAlgn val="ctr"/>
        <c:lblOffset val="100"/>
        <c:noMultiLvlLbl val="0"/>
      </c:catAx>
      <c:valAx>
        <c:axId val="66396291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5859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Marge EBITDA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VALUE!$T$1</c:f>
              <c:strCache>
                <c:ptCount val="1"/>
                <c:pt idx="0">
                  <c:v>Mg%</c:v>
                </c:pt>
              </c:strCache>
            </c:strRef>
          </c:tx>
          <c:invertIfNegative val="0"/>
          <c:cat>
            <c:strRef>
              <c:f>VALUE!$S$2:$S$21</c:f>
              <c:strCache>
                <c:ptCount val="20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ASML</c:v>
                </c:pt>
                <c:pt idx="11">
                  <c:v>ADI</c:v>
                </c:pt>
                <c:pt idx="12">
                  <c:v>GLW</c:v>
                </c:pt>
                <c:pt idx="13">
                  <c:v>INTC</c:v>
                </c:pt>
                <c:pt idx="14">
                  <c:v>KEYS</c:v>
                </c:pt>
                <c:pt idx="15">
                  <c:v>APH</c:v>
                </c:pt>
                <c:pt idx="16">
                  <c:v>CDNS</c:v>
                </c:pt>
                <c:pt idx="17">
                  <c:v>SNPS</c:v>
                </c:pt>
                <c:pt idx="18">
                  <c:v>TER</c:v>
                </c:pt>
                <c:pt idx="19">
                  <c:v>ADSK</c:v>
                </c:pt>
              </c:strCache>
            </c:strRef>
          </c:cat>
          <c:val>
            <c:numRef>
              <c:f>VALUE!$T$2:$T$21</c:f>
              <c:numCache>
                <c:formatCode>General</c:formatCode>
                <c:ptCount val="20"/>
                <c:pt idx="0">
                  <c:v>66.900000000000006</c:v>
                </c:pt>
                <c:pt idx="1">
                  <c:v>43.9</c:v>
                </c:pt>
                <c:pt idx="2">
                  <c:v>43.6</c:v>
                </c:pt>
                <c:pt idx="3">
                  <c:v>54.3</c:v>
                </c:pt>
                <c:pt idx="4">
                  <c:v>49.4</c:v>
                </c:pt>
                <c:pt idx="5">
                  <c:v>28</c:v>
                </c:pt>
                <c:pt idx="6">
                  <c:v>35.4</c:v>
                </c:pt>
                <c:pt idx="7">
                  <c:v>20.399999999999999</c:v>
                </c:pt>
                <c:pt idx="8">
                  <c:v>41.3</c:v>
                </c:pt>
                <c:pt idx="9">
                  <c:v>21</c:v>
                </c:pt>
                <c:pt idx="10">
                  <c:v>38.4</c:v>
                </c:pt>
                <c:pt idx="11">
                  <c:v>45.6</c:v>
                </c:pt>
                <c:pt idx="12">
                  <c:v>23.9</c:v>
                </c:pt>
                <c:pt idx="13">
                  <c:v>27.2</c:v>
                </c:pt>
                <c:pt idx="14">
                  <c:v>27.1</c:v>
                </c:pt>
                <c:pt idx="15">
                  <c:v>29.8</c:v>
                </c:pt>
                <c:pt idx="16">
                  <c:v>35.4</c:v>
                </c:pt>
                <c:pt idx="17">
                  <c:v>35.4</c:v>
                </c:pt>
                <c:pt idx="18">
                  <c:v>24.7</c:v>
                </c:pt>
                <c:pt idx="19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8-457E-9B7F-27A0A236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51392"/>
        <c:axId val="663959552"/>
      </c:barChart>
      <c:catAx>
        <c:axId val="66395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59552"/>
        <c:crosses val="autoZero"/>
        <c:auto val="1"/>
        <c:lblAlgn val="ctr"/>
        <c:lblOffset val="100"/>
        <c:noMultiLvlLbl val="0"/>
      </c:catAx>
      <c:valAx>
        <c:axId val="6639595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5139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Growth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GROWTH!$O$1</c:f>
              <c:strCache>
                <c:ptCount val="1"/>
                <c:pt idx="0">
                  <c:v>Score</c:v>
                </c:pt>
              </c:strCache>
            </c:strRef>
          </c:tx>
          <c:invertIfNegative val="0"/>
          <c:cat>
            <c:strRef>
              <c:f>GROWTH!$N$2:$N$21</c:f>
              <c:strCache>
                <c:ptCount val="20"/>
                <c:pt idx="0">
                  <c:v>INTC</c:v>
                </c:pt>
                <c:pt idx="1">
                  <c:v>WDC</c:v>
                </c:pt>
                <c:pt idx="2">
                  <c:v>MU</c:v>
                </c:pt>
                <c:pt idx="3">
                  <c:v>STX</c:v>
                </c:pt>
                <c:pt idx="4">
                  <c:v>NVDA</c:v>
                </c:pt>
                <c:pt idx="5">
                  <c:v>APH</c:v>
                </c:pt>
                <c:pt idx="6">
                  <c:v>SAP.DE</c:v>
                </c:pt>
                <c:pt idx="7">
                  <c:v>AMD</c:v>
                </c:pt>
                <c:pt idx="8">
                  <c:v>PTC</c:v>
                </c:pt>
                <c:pt idx="9">
                  <c:v>AVGO</c:v>
                </c:pt>
                <c:pt idx="10">
                  <c:v>GLW</c:v>
                </c:pt>
                <c:pt idx="11">
                  <c:v>XYZ</c:v>
                </c:pt>
                <c:pt idx="12">
                  <c:v>MPWR</c:v>
                </c:pt>
                <c:pt idx="13">
                  <c:v>KLAC</c:v>
                </c:pt>
                <c:pt idx="14">
                  <c:v>ANET</c:v>
                </c:pt>
                <c:pt idx="15">
                  <c:v>LRCX</c:v>
                </c:pt>
                <c:pt idx="16">
                  <c:v>SMCI</c:v>
                </c:pt>
                <c:pt idx="17">
                  <c:v>NOW</c:v>
                </c:pt>
                <c:pt idx="18">
                  <c:v>SNPS</c:v>
                </c:pt>
                <c:pt idx="19">
                  <c:v>IBM</c:v>
                </c:pt>
              </c:strCache>
            </c:strRef>
          </c:cat>
          <c:val>
            <c:numRef>
              <c:f>GROWTH!$O$2:$O$21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4-4ABF-8DF0-2EEF6AA6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62432"/>
        <c:axId val="663964352"/>
      </c:barChart>
      <c:catAx>
        <c:axId val="66396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4352"/>
        <c:crosses val="autoZero"/>
        <c:auto val="1"/>
        <c:lblAlgn val="ctr"/>
        <c:lblOffset val="100"/>
        <c:noMultiLvlLbl val="0"/>
      </c:catAx>
      <c:valAx>
        <c:axId val="66396435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6243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Croissance Revenus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GROWTH!$R$1</c:f>
              <c:strCache>
                <c:ptCount val="1"/>
                <c:pt idx="0">
                  <c:v>Rev%</c:v>
                </c:pt>
              </c:strCache>
            </c:strRef>
          </c:tx>
          <c:invertIfNegative val="0"/>
          <c:cat>
            <c:strRef>
              <c:f>GROWTH!$Q$2:$Q$21</c:f>
              <c:strCache>
                <c:ptCount val="20"/>
                <c:pt idx="0">
                  <c:v>INTC</c:v>
                </c:pt>
                <c:pt idx="1">
                  <c:v>WDC</c:v>
                </c:pt>
                <c:pt idx="2">
                  <c:v>MU</c:v>
                </c:pt>
                <c:pt idx="3">
                  <c:v>STX</c:v>
                </c:pt>
                <c:pt idx="4">
                  <c:v>NVDA</c:v>
                </c:pt>
                <c:pt idx="5">
                  <c:v>APH</c:v>
                </c:pt>
                <c:pt idx="6">
                  <c:v>SAP.DE</c:v>
                </c:pt>
                <c:pt idx="7">
                  <c:v>AMD</c:v>
                </c:pt>
                <c:pt idx="8">
                  <c:v>PTC</c:v>
                </c:pt>
                <c:pt idx="9">
                  <c:v>AVGO</c:v>
                </c:pt>
                <c:pt idx="10">
                  <c:v>GLW</c:v>
                </c:pt>
                <c:pt idx="11">
                  <c:v>XYZ</c:v>
                </c:pt>
                <c:pt idx="12">
                  <c:v>MPWR</c:v>
                </c:pt>
                <c:pt idx="13">
                  <c:v>KLAC</c:v>
                </c:pt>
                <c:pt idx="14">
                  <c:v>ANET</c:v>
                </c:pt>
                <c:pt idx="15">
                  <c:v>LRCX</c:v>
                </c:pt>
                <c:pt idx="16">
                  <c:v>SMCI</c:v>
                </c:pt>
                <c:pt idx="17">
                  <c:v>NOW</c:v>
                </c:pt>
                <c:pt idx="18">
                  <c:v>SNPS</c:v>
                </c:pt>
                <c:pt idx="19">
                  <c:v>IBM</c:v>
                </c:pt>
              </c:strCache>
            </c:strRef>
          </c:cat>
          <c:val>
            <c:numRef>
              <c:f>GROWTH!$R$2:$R$21</c:f>
              <c:numCache>
                <c:formatCode>General</c:formatCode>
                <c:ptCount val="20"/>
                <c:pt idx="0">
                  <c:v>-0.5</c:v>
                </c:pt>
                <c:pt idx="1">
                  <c:v>50.7</c:v>
                </c:pt>
                <c:pt idx="2">
                  <c:v>48.9</c:v>
                </c:pt>
                <c:pt idx="3">
                  <c:v>38.9</c:v>
                </c:pt>
                <c:pt idx="4">
                  <c:v>65.5</c:v>
                </c:pt>
                <c:pt idx="5">
                  <c:v>51.7</c:v>
                </c:pt>
                <c:pt idx="6">
                  <c:v>7.7</c:v>
                </c:pt>
                <c:pt idx="7">
                  <c:v>34.299999999999997</c:v>
                </c:pt>
                <c:pt idx="8">
                  <c:v>19.2</c:v>
                </c:pt>
                <c:pt idx="9">
                  <c:v>23.9</c:v>
                </c:pt>
                <c:pt idx="10">
                  <c:v>19.100000000000001</c:v>
                </c:pt>
                <c:pt idx="11">
                  <c:v>0.3</c:v>
                </c:pt>
                <c:pt idx="12">
                  <c:v>26.4</c:v>
                </c:pt>
                <c:pt idx="13">
                  <c:v>23.9</c:v>
                </c:pt>
                <c:pt idx="14">
                  <c:v>28.6</c:v>
                </c:pt>
                <c:pt idx="15">
                  <c:v>23.7</c:v>
                </c:pt>
                <c:pt idx="16">
                  <c:v>46.6</c:v>
                </c:pt>
                <c:pt idx="17">
                  <c:v>20.9</c:v>
                </c:pt>
                <c:pt idx="18">
                  <c:v>15.1</c:v>
                </c:pt>
                <c:pt idx="1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9-4336-A53F-1455377E1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70112"/>
        <c:axId val="663961472"/>
      </c:barChart>
      <c:catAx>
        <c:axId val="66397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1472"/>
        <c:crosses val="autoZero"/>
        <c:auto val="1"/>
        <c:lblAlgn val="ctr"/>
        <c:lblOffset val="100"/>
        <c:noMultiLvlLbl val="0"/>
      </c:catAx>
      <c:valAx>
        <c:axId val="663961472"/>
        <c:scaling>
          <c:orientation val="minMax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7011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Quality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QUALITY!$O$1</c:f>
              <c:strCache>
                <c:ptCount val="1"/>
                <c:pt idx="0">
                  <c:v>Score</c:v>
                </c:pt>
              </c:strCache>
            </c:strRef>
          </c:tx>
          <c:invertIfNegative val="0"/>
          <c:cat>
            <c:strRef>
              <c:f>QUALITY!$N$2:$N$21</c:f>
              <c:strCache>
                <c:ptCount val="20"/>
                <c:pt idx="0">
                  <c:v>DSY.PA</c:v>
                </c:pt>
                <c:pt idx="3">
                  <c:v>ADBE</c:v>
                </c:pt>
                <c:pt idx="4">
                  <c:v>FICO</c:v>
                </c:pt>
                <c:pt idx="5">
                  <c:v>PTC</c:v>
                </c:pt>
                <c:pt idx="6">
                  <c:v>CDNS</c:v>
                </c:pt>
                <c:pt idx="7">
                  <c:v>FTNT</c:v>
                </c:pt>
                <c:pt idx="8">
                  <c:v>SGE.L</c:v>
                </c:pt>
                <c:pt idx="9">
                  <c:v>ADSK</c:v>
                </c:pt>
                <c:pt idx="10">
                  <c:v>ANET</c:v>
                </c:pt>
                <c:pt idx="11">
                  <c:v>MSFT</c:v>
                </c:pt>
                <c:pt idx="12">
                  <c:v>PAYC</c:v>
                </c:pt>
                <c:pt idx="13">
                  <c:v>AVGO</c:v>
                </c:pt>
                <c:pt idx="14">
                  <c:v>FFIV</c:v>
                </c:pt>
                <c:pt idx="15">
                  <c:v>CPAY</c:v>
                </c:pt>
                <c:pt idx="16">
                  <c:v>INTU</c:v>
                </c:pt>
                <c:pt idx="17">
                  <c:v>SNPS</c:v>
                </c:pt>
                <c:pt idx="18">
                  <c:v>KLAC</c:v>
                </c:pt>
                <c:pt idx="19">
                  <c:v>APH</c:v>
                </c:pt>
              </c:strCache>
            </c:strRef>
          </c:cat>
          <c:val>
            <c:numRef>
              <c:f>QUALITY!$O$2:$O$21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80</c:v>
                </c:pt>
                <c:pt idx="18">
                  <c:v>79</c:v>
                </c:pt>
                <c:pt idx="1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2-41E3-8E3B-49EA8150A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76832"/>
        <c:axId val="663974912"/>
      </c:barChart>
      <c:catAx>
        <c:axId val="663976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74912"/>
        <c:crosses val="autoZero"/>
        <c:auto val="1"/>
        <c:lblAlgn val="ctr"/>
        <c:lblOffset val="100"/>
        <c:noMultiLvlLbl val="0"/>
      </c:catAx>
      <c:valAx>
        <c:axId val="66397491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7683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Altman Z — Solidité financière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QUALITY!$R$1</c:f>
              <c:strCache>
                <c:ptCount val="1"/>
                <c:pt idx="0">
                  <c:v>AltZ</c:v>
                </c:pt>
              </c:strCache>
            </c:strRef>
          </c:tx>
          <c:invertIfNegative val="0"/>
          <c:cat>
            <c:strRef>
              <c:f>QUALITY!$Q$2:$Q$21</c:f>
              <c:strCache>
                <c:ptCount val="20"/>
                <c:pt idx="0">
                  <c:v>DSY.PA</c:v>
                </c:pt>
                <c:pt idx="1">
                  <c:v>VRSN</c:v>
                </c:pt>
                <c:pt idx="2">
                  <c:v>NVDA</c:v>
                </c:pt>
                <c:pt idx="3">
                  <c:v>ADBE</c:v>
                </c:pt>
                <c:pt idx="4">
                  <c:v>FICO</c:v>
                </c:pt>
                <c:pt idx="5">
                  <c:v>PTC</c:v>
                </c:pt>
                <c:pt idx="6">
                  <c:v>CDNS</c:v>
                </c:pt>
                <c:pt idx="7">
                  <c:v>FTNT</c:v>
                </c:pt>
                <c:pt idx="8">
                  <c:v>SGE.L</c:v>
                </c:pt>
                <c:pt idx="9">
                  <c:v>ADSK</c:v>
                </c:pt>
                <c:pt idx="10">
                  <c:v>ANET</c:v>
                </c:pt>
                <c:pt idx="11">
                  <c:v>MSFT</c:v>
                </c:pt>
                <c:pt idx="12">
                  <c:v>PAYC</c:v>
                </c:pt>
                <c:pt idx="13">
                  <c:v>AVGO</c:v>
                </c:pt>
                <c:pt idx="14">
                  <c:v>FFIV</c:v>
                </c:pt>
                <c:pt idx="15">
                  <c:v>CPAY</c:v>
                </c:pt>
                <c:pt idx="16">
                  <c:v>INTU</c:v>
                </c:pt>
                <c:pt idx="17">
                  <c:v>SNPS</c:v>
                </c:pt>
                <c:pt idx="18">
                  <c:v>KLAC</c:v>
                </c:pt>
                <c:pt idx="19">
                  <c:v>APH</c:v>
                </c:pt>
              </c:strCache>
            </c:strRef>
          </c:cat>
          <c:val>
            <c:numRef>
              <c:f>QUALITY!$R$2:$R$21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13.22</c:v>
                </c:pt>
                <c:pt idx="3">
                  <c:v>7.74</c:v>
                </c:pt>
                <c:pt idx="4">
                  <c:v>10.3</c:v>
                </c:pt>
                <c:pt idx="5">
                  <c:v>3.62</c:v>
                </c:pt>
                <c:pt idx="6">
                  <c:v>6.55</c:v>
                </c:pt>
                <c:pt idx="7">
                  <c:v>2.02</c:v>
                </c:pt>
                <c:pt idx="8">
                  <c:v>0</c:v>
                </c:pt>
                <c:pt idx="9">
                  <c:v>0.48</c:v>
                </c:pt>
                <c:pt idx="10">
                  <c:v>8.4600000000000009</c:v>
                </c:pt>
                <c:pt idx="11">
                  <c:v>4.46</c:v>
                </c:pt>
                <c:pt idx="12">
                  <c:v>0</c:v>
                </c:pt>
                <c:pt idx="13">
                  <c:v>2.66</c:v>
                </c:pt>
                <c:pt idx="14">
                  <c:v>5.01</c:v>
                </c:pt>
                <c:pt idx="15">
                  <c:v>1.86</c:v>
                </c:pt>
                <c:pt idx="16">
                  <c:v>4.5199999999999996</c:v>
                </c:pt>
                <c:pt idx="17">
                  <c:v>2.76</c:v>
                </c:pt>
                <c:pt idx="18">
                  <c:v>5.64</c:v>
                </c:pt>
                <c:pt idx="19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136-B90E-5EEAA0FA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80672"/>
        <c:axId val="663981152"/>
      </c:barChart>
      <c:catAx>
        <c:axId val="663980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81152"/>
        <c:crosses val="autoZero"/>
        <c:auto val="1"/>
        <c:lblAlgn val="ctr"/>
        <c:lblOffset val="100"/>
        <c:noMultiLvlLbl val="0"/>
      </c:catAx>
      <c:valAx>
        <c:axId val="6639811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8067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Momentum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MOMENTUM!$O$1</c:f>
              <c:strCache>
                <c:ptCount val="1"/>
                <c:pt idx="0">
                  <c:v>Score</c:v>
                </c:pt>
              </c:strCache>
            </c:strRef>
          </c:tx>
          <c:invertIfNegative val="0"/>
          <c:cat>
            <c:strRef>
              <c:f>MOMENTUM!$N$2:$N$21</c:f>
              <c:strCache>
                <c:ptCount val="20"/>
                <c:pt idx="0">
                  <c:v>SNDK</c:v>
                </c:pt>
                <c:pt idx="1">
                  <c:v>WDC</c:v>
                </c:pt>
                <c:pt idx="2">
                  <c:v>CIEN</c:v>
                </c:pt>
                <c:pt idx="3">
                  <c:v>TER</c:v>
                </c:pt>
                <c:pt idx="4">
                  <c:v>MU</c:v>
                </c:pt>
                <c:pt idx="5">
                  <c:v>STX</c:v>
                </c:pt>
                <c:pt idx="6">
                  <c:v>GLW</c:v>
                </c:pt>
                <c:pt idx="7">
                  <c:v>LRCX</c:v>
                </c:pt>
                <c:pt idx="8">
                  <c:v>INTC</c:v>
                </c:pt>
                <c:pt idx="9">
                  <c:v>AMAT</c:v>
                </c:pt>
                <c:pt idx="10">
                  <c:v>KLAC</c:v>
                </c:pt>
                <c:pt idx="11">
                  <c:v>AMD</c:v>
                </c:pt>
                <c:pt idx="12">
                  <c:v>KEYS</c:v>
                </c:pt>
                <c:pt idx="13">
                  <c:v>ASML</c:v>
                </c:pt>
                <c:pt idx="14">
                  <c:v>MPWR</c:v>
                </c:pt>
                <c:pt idx="15">
                  <c:v>NOKIA</c:v>
                </c:pt>
                <c:pt idx="16">
                  <c:v>JBL</c:v>
                </c:pt>
                <c:pt idx="17">
                  <c:v>AKAM</c:v>
                </c:pt>
                <c:pt idx="18">
                  <c:v>ADI</c:v>
                </c:pt>
                <c:pt idx="19">
                  <c:v>ON</c:v>
                </c:pt>
              </c:strCache>
            </c:strRef>
          </c:cat>
          <c:val>
            <c:numRef>
              <c:f>MOMENTUM!$O$2:$O$21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81</c:v>
                </c:pt>
                <c:pt idx="17">
                  <c:v>79</c:v>
                </c:pt>
                <c:pt idx="18">
                  <c:v>78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4-432F-84A3-3C809B855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92672"/>
        <c:axId val="663996992"/>
      </c:barChart>
      <c:catAx>
        <c:axId val="663992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96992"/>
        <c:crosses val="autoZero"/>
        <c:auto val="1"/>
        <c:lblAlgn val="ctr"/>
        <c:lblOffset val="100"/>
        <c:noMultiLvlLbl val="0"/>
      </c:catAx>
      <c:valAx>
        <c:axId val="66399699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9267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Performance 52 semaines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MOMENTUM!$R$1</c:f>
              <c:strCache>
                <c:ptCount val="1"/>
                <c:pt idx="0">
                  <c:v>Mom%</c:v>
                </c:pt>
              </c:strCache>
            </c:strRef>
          </c:tx>
          <c:invertIfNegative val="0"/>
          <c:cat>
            <c:strRef>
              <c:f>MOMENTUM!$Q$2:$Q$21</c:f>
              <c:strCache>
                <c:ptCount val="20"/>
                <c:pt idx="0">
                  <c:v>SNDK</c:v>
                </c:pt>
                <c:pt idx="1">
                  <c:v>WDC</c:v>
                </c:pt>
                <c:pt idx="2">
                  <c:v>CIEN</c:v>
                </c:pt>
                <c:pt idx="3">
                  <c:v>TER</c:v>
                </c:pt>
                <c:pt idx="4">
                  <c:v>MU</c:v>
                </c:pt>
                <c:pt idx="5">
                  <c:v>STX</c:v>
                </c:pt>
                <c:pt idx="6">
                  <c:v>GLW</c:v>
                </c:pt>
                <c:pt idx="7">
                  <c:v>LRCX</c:v>
                </c:pt>
                <c:pt idx="8">
                  <c:v>INTC</c:v>
                </c:pt>
                <c:pt idx="9">
                  <c:v>AMAT</c:v>
                </c:pt>
                <c:pt idx="10">
                  <c:v>KLAC</c:v>
                </c:pt>
                <c:pt idx="11">
                  <c:v>AMD</c:v>
                </c:pt>
                <c:pt idx="12">
                  <c:v>KEYS</c:v>
                </c:pt>
                <c:pt idx="13">
                  <c:v>ASML</c:v>
                </c:pt>
                <c:pt idx="14">
                  <c:v>MPWR</c:v>
                </c:pt>
                <c:pt idx="15">
                  <c:v>NOKIA</c:v>
                </c:pt>
                <c:pt idx="16">
                  <c:v>JBL</c:v>
                </c:pt>
                <c:pt idx="17">
                  <c:v>AKAM</c:v>
                </c:pt>
                <c:pt idx="18">
                  <c:v>ADI</c:v>
                </c:pt>
                <c:pt idx="19">
                  <c:v>ON</c:v>
                </c:pt>
              </c:strCache>
            </c:strRef>
          </c:cat>
          <c:val>
            <c:numRef>
              <c:f>MOMENTUM!$R$2:$R$21</c:f>
              <c:numCache>
                <c:formatCode>General</c:formatCode>
                <c:ptCount val="20"/>
                <c:pt idx="0">
                  <c:v>0</c:v>
                </c:pt>
                <c:pt idx="1">
                  <c:v>477</c:v>
                </c:pt>
                <c:pt idx="2">
                  <c:v>455</c:v>
                </c:pt>
                <c:pt idx="3">
                  <c:v>292</c:v>
                </c:pt>
                <c:pt idx="4">
                  <c:v>283</c:v>
                </c:pt>
                <c:pt idx="5">
                  <c:v>264</c:v>
                </c:pt>
                <c:pt idx="6">
                  <c:v>199</c:v>
                </c:pt>
                <c:pt idx="7">
                  <c:v>172</c:v>
                </c:pt>
                <c:pt idx="8">
                  <c:v>152</c:v>
                </c:pt>
                <c:pt idx="9">
                  <c:v>125</c:v>
                </c:pt>
                <c:pt idx="10">
                  <c:v>102</c:v>
                </c:pt>
                <c:pt idx="11">
                  <c:v>93</c:v>
                </c:pt>
                <c:pt idx="12">
                  <c:v>85</c:v>
                </c:pt>
                <c:pt idx="13">
                  <c:v>79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5-48FC-B34D-3D12CF11B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07552"/>
        <c:axId val="664002752"/>
      </c:barChart>
      <c:catAx>
        <c:axId val="664007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4002752"/>
        <c:crosses val="autoZero"/>
        <c:auto val="1"/>
        <c:lblAlgn val="ctr"/>
        <c:lblOffset val="100"/>
        <c:noMultiLvlLbl val="0"/>
      </c:catAx>
      <c:valAx>
        <c:axId val="6640027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4007552"/>
        <c:crosses val="autoZero"/>
        <c:crossBetween val="between"/>
      </c:valAx>
      <c:spPr>
        <a:solidFill>
          <a:srgbClr val="F8F9FC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— Top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Global</c:v>
          </c:tx>
          <c:spPr>
            <a:solidFill>
              <a:srgbClr val="0A23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A234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TECHNOLOGY!$R$2:$R$16</c:f>
              <c:strCache>
                <c:ptCount val="15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STX</c:v>
                </c:pt>
                <c:pt idx="11">
                  <c:v>ASML.AS</c:v>
                </c:pt>
                <c:pt idx="12">
                  <c:v>ADI</c:v>
                </c:pt>
                <c:pt idx="13">
                  <c:v>GLW</c:v>
                </c:pt>
                <c:pt idx="14">
                  <c:v>INTC</c:v>
                </c:pt>
              </c:strCache>
            </c:strRef>
          </c:cat>
          <c:val>
            <c:numRef>
              <c:f>TECHNOLOGY!$S$2:$S$16</c:f>
              <c:numCache>
                <c:formatCode>General</c:formatCode>
                <c:ptCount val="15"/>
                <c:pt idx="0">
                  <c:v>88</c:v>
                </c:pt>
                <c:pt idx="1">
                  <c:v>84</c:v>
                </c:pt>
                <c:pt idx="2">
                  <c:v>83</c:v>
                </c:pt>
                <c:pt idx="3">
                  <c:v>81</c:v>
                </c:pt>
                <c:pt idx="4">
                  <c:v>78</c:v>
                </c:pt>
                <c:pt idx="5">
                  <c:v>78</c:v>
                </c:pt>
                <c:pt idx="6">
                  <c:v>77</c:v>
                </c:pt>
                <c:pt idx="7">
                  <c:v>77</c:v>
                </c:pt>
                <c:pt idx="8">
                  <c:v>74</c:v>
                </c:pt>
                <c:pt idx="9">
                  <c:v>73</c:v>
                </c:pt>
                <c:pt idx="10">
                  <c:v>73</c:v>
                </c:pt>
                <c:pt idx="11">
                  <c:v>72</c:v>
                </c:pt>
                <c:pt idx="12">
                  <c:v>71</c:v>
                </c:pt>
                <c:pt idx="13">
                  <c:v>68</c:v>
                </c:pt>
                <c:pt idx="1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2-4F14-AC4F-82525009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78816"/>
        <c:axId val="708366336"/>
      </c:barChart>
      <c:catAx>
        <c:axId val="708378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6336"/>
        <c:crosses val="autoZero"/>
        <c:auto val="1"/>
        <c:lblAlgn val="ctr"/>
        <c:lblOffset val="100"/>
        <c:noMultiLvlLbl val="0"/>
      </c:catAx>
      <c:valAx>
        <c:axId val="708366336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78816"/>
        <c:crosses val="autoZero"/>
        <c:crossBetween val="between"/>
      </c:valAx>
      <c:spPr>
        <a:solidFill>
          <a:srgbClr val="FAFBFD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Signaux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TECHNOLOGY!$V$1</c:f>
              <c:strCache>
                <c:ptCount val="1"/>
                <c:pt idx="0">
                  <c:v>Nb</c:v>
                </c:pt>
              </c:strCache>
            </c:strRef>
          </c:tx>
          <c:dPt>
            <c:idx val="0"/>
            <c:bubble3D val="0"/>
            <c:spPr>
              <a:solidFill>
                <a:srgbClr val="1A7A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0-4C59-B86B-F3B506C9C5FE}"/>
              </c:ext>
            </c:extLst>
          </c:dPt>
          <c:dPt>
            <c:idx val="1"/>
            <c:bubble3D val="0"/>
            <c:spPr>
              <a:solidFill>
                <a:srgbClr val="B06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90-4C59-B86B-F3B506C9C5FE}"/>
              </c:ext>
            </c:extLst>
          </c:dPt>
          <c:dPt>
            <c:idx val="2"/>
            <c:bubble3D val="0"/>
            <c:spPr>
              <a:solidFill>
                <a:srgbClr val="A8202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0-4C59-B86B-F3B506C9C5FE}"/>
              </c:ext>
            </c:extLst>
          </c:dPt>
          <c:cat>
            <c:strRef>
              <c:f>TECHNOLOGY!$U$2:$U$4</c:f>
              <c:strCache>
                <c:ptCount val="3"/>
                <c:pt idx="0">
                  <c:v>Surpondérer</c:v>
                </c:pt>
                <c:pt idx="1">
                  <c:v>Neutre</c:v>
                </c:pt>
                <c:pt idx="2">
                  <c:v>Sous-pondérer</c:v>
                </c:pt>
              </c:strCache>
            </c:strRef>
          </c:cat>
          <c:val>
            <c:numRef>
              <c:f>TECHNOLOGY!$V$2:$V$4</c:f>
              <c:numCache>
                <c:formatCode>General</c:formatCode>
                <c:ptCount val="3"/>
                <c:pt idx="0">
                  <c:v>8</c:v>
                </c:pt>
                <c:pt idx="1">
                  <c:v>29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0-4C59-B86B-F3B506C9C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 — Top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TECHNOLOGY!$Y$1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A2342"/>
            </a:solidFill>
            <a:ln>
              <a:noFill/>
            </a:ln>
            <a:effectLst/>
          </c:spPr>
          <c:invertIfNegative val="0"/>
          <c:cat>
            <c:strRef>
              <c:f>TECHNOLOGY!$X$2:$X$9</c:f>
              <c:strCache>
                <c:ptCount val="8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</c:strCache>
            </c:strRef>
          </c:cat>
          <c:val>
            <c:numRef>
              <c:f>TECHNOLOGY!$Y$2:$Y$9</c:f>
              <c:numCache>
                <c:formatCode>General</c:formatCode>
                <c:ptCount val="8"/>
                <c:pt idx="0">
                  <c:v>95</c:v>
                </c:pt>
                <c:pt idx="1">
                  <c:v>85</c:v>
                </c:pt>
                <c:pt idx="2">
                  <c:v>84</c:v>
                </c:pt>
                <c:pt idx="3">
                  <c:v>90</c:v>
                </c:pt>
                <c:pt idx="4">
                  <c:v>98</c:v>
                </c:pt>
                <c:pt idx="5">
                  <c:v>86</c:v>
                </c:pt>
                <c:pt idx="6">
                  <c:v>83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3-4947-8686-7CBA16769BDF}"/>
            </c:ext>
          </c:extLst>
        </c:ser>
        <c:ser>
          <c:idx val="1"/>
          <c:order val="1"/>
          <c:tx>
            <c:strRef>
              <c:f>TECHNOLOGY!$Z$1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rgbClr val="1A9E8A"/>
            </a:solidFill>
            <a:ln>
              <a:noFill/>
            </a:ln>
            <a:effectLst/>
          </c:spPr>
          <c:invertIfNegative val="0"/>
          <c:cat>
            <c:strRef>
              <c:f>TECHNOLOGY!$X$2:$X$9</c:f>
              <c:strCache>
                <c:ptCount val="8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</c:strCache>
            </c:strRef>
          </c:cat>
          <c:val>
            <c:numRef>
              <c:f>TECHNOLOGY!$Z$2:$Z$9</c:f>
              <c:numCache>
                <c:formatCode>General</c:formatCode>
                <c:ptCount val="8"/>
                <c:pt idx="0">
                  <c:v>98</c:v>
                </c:pt>
                <c:pt idx="1">
                  <c:v>79</c:v>
                </c:pt>
                <c:pt idx="2">
                  <c:v>89</c:v>
                </c:pt>
                <c:pt idx="3">
                  <c:v>85</c:v>
                </c:pt>
                <c:pt idx="4">
                  <c:v>41</c:v>
                </c:pt>
                <c:pt idx="5">
                  <c:v>64</c:v>
                </c:pt>
                <c:pt idx="6">
                  <c:v>57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3-4947-8686-7CBA16769BDF}"/>
            </c:ext>
          </c:extLst>
        </c:ser>
        <c:ser>
          <c:idx val="2"/>
          <c:order val="2"/>
          <c:tx>
            <c:strRef>
              <c:f>TECHNOLOGY!$AA$1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rgbClr val="D4890A"/>
            </a:solidFill>
            <a:ln>
              <a:noFill/>
            </a:ln>
            <a:effectLst/>
          </c:spPr>
          <c:invertIfNegative val="0"/>
          <c:cat>
            <c:strRef>
              <c:f>TECHNOLOGY!$X$2:$X$9</c:f>
              <c:strCache>
                <c:ptCount val="8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</c:strCache>
            </c:strRef>
          </c:cat>
          <c:val>
            <c:numRef>
              <c:f>TECHNOLOGY!$AA$2:$AA$9</c:f>
              <c:numCache>
                <c:formatCode>General</c:formatCode>
                <c:ptCount val="8"/>
                <c:pt idx="0">
                  <c:v>70</c:v>
                </c:pt>
                <c:pt idx="1">
                  <c:v>88</c:v>
                </c:pt>
                <c:pt idx="2">
                  <c:v>76</c:v>
                </c:pt>
                <c:pt idx="3">
                  <c:v>69</c:v>
                </c:pt>
                <c:pt idx="4">
                  <c:v>95</c:v>
                </c:pt>
                <c:pt idx="5">
                  <c:v>84</c:v>
                </c:pt>
                <c:pt idx="6">
                  <c:v>92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3-4947-8686-7CBA16769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67296"/>
        <c:axId val="708367776"/>
      </c:barChart>
      <c:catAx>
        <c:axId val="70836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7776"/>
        <c:crosses val="autoZero"/>
        <c:auto val="1"/>
        <c:lblAlgn val="ctr"/>
        <c:lblOffset val="100"/>
        <c:noMultiLvlLbl val="0"/>
      </c:catAx>
      <c:valAx>
        <c:axId val="708367776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7296"/>
        <c:crosses val="autoZero"/>
        <c:crossBetween val="between"/>
      </c:valAx>
      <c:spPr>
        <a:solidFill>
          <a:srgbClr val="FAFBF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(%) — Top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TECHNOLOGY!$AD$1</c:f>
              <c:strCache>
                <c:ptCount val="1"/>
                <c:pt idx="0">
                  <c:v>Mg EBITDA (%)</c:v>
                </c:pt>
              </c:strCache>
            </c:strRef>
          </c:tx>
          <c:spPr>
            <a:solidFill>
              <a:srgbClr val="1A9E8A"/>
            </a:solidFill>
            <a:ln>
              <a:noFill/>
            </a:ln>
            <a:effectLst/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TECHNOLOGY!$AC$2:$AC$16</c:f>
              <c:strCache>
                <c:ptCount val="15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STX</c:v>
                </c:pt>
                <c:pt idx="11">
                  <c:v>ASML.AS</c:v>
                </c:pt>
                <c:pt idx="12">
                  <c:v>ADI</c:v>
                </c:pt>
                <c:pt idx="13">
                  <c:v>GLW</c:v>
                </c:pt>
                <c:pt idx="14">
                  <c:v>INTC</c:v>
                </c:pt>
              </c:strCache>
            </c:strRef>
          </c:cat>
          <c:val>
            <c:numRef>
              <c:f>TECHNOLOGY!$AD$2:$AD$16</c:f>
              <c:numCache>
                <c:formatCode>General</c:formatCode>
                <c:ptCount val="15"/>
                <c:pt idx="0">
                  <c:v>66.900000000000006</c:v>
                </c:pt>
                <c:pt idx="1">
                  <c:v>43.9</c:v>
                </c:pt>
                <c:pt idx="2">
                  <c:v>43.6</c:v>
                </c:pt>
                <c:pt idx="3">
                  <c:v>54.3</c:v>
                </c:pt>
                <c:pt idx="4">
                  <c:v>49.4</c:v>
                </c:pt>
                <c:pt idx="5">
                  <c:v>28</c:v>
                </c:pt>
                <c:pt idx="6">
                  <c:v>35.4</c:v>
                </c:pt>
                <c:pt idx="7">
                  <c:v>20.399999999999999</c:v>
                </c:pt>
                <c:pt idx="8">
                  <c:v>41.3</c:v>
                </c:pt>
                <c:pt idx="9">
                  <c:v>21</c:v>
                </c:pt>
                <c:pt idx="10">
                  <c:v>22.9</c:v>
                </c:pt>
                <c:pt idx="11">
                  <c:v>38.4</c:v>
                </c:pt>
                <c:pt idx="12">
                  <c:v>45.6</c:v>
                </c:pt>
                <c:pt idx="13">
                  <c:v>23.9</c:v>
                </c:pt>
                <c:pt idx="14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D-49FA-B161-271BF9D42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91776"/>
        <c:axId val="708392256"/>
      </c:barChart>
      <c:catAx>
        <c:axId val="708391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92256"/>
        <c:crosses val="autoZero"/>
        <c:auto val="1"/>
        <c:lblAlgn val="ctr"/>
        <c:lblOffset val="100"/>
        <c:noMultiLvlLbl val="0"/>
      </c:catAx>
      <c:valAx>
        <c:axId val="708392256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91776"/>
        <c:crosses val="autoZero"/>
        <c:crossBetween val="between"/>
      </c:valAx>
      <c:spPr>
        <a:solidFill>
          <a:srgbClr val="FAFBFD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249011</xdr:colOff>
      <xdr:row>18</xdr:row>
      <xdr:rowOff>133805</xdr:rowOff>
    </xdr:from>
    <xdr:to>
      <xdr:col>28</xdr:col>
      <xdr:colOff>400050</xdr:colOff>
      <xdr:row>36</xdr:row>
      <xdr:rowOff>1</xdr:rowOff>
    </xdr:to>
    <xdr:graphicFrame macro="">
      <xdr:nvGraphicFramePr>
        <xdr:cNvPr id="33" name="V_Score">
          <a:extLst>
            <a:ext uri="{FF2B5EF4-FFF2-40B4-BE49-F238E27FC236}">
              <a16:creationId xmlns:a16="http://schemas.microsoft.com/office/drawing/2014/main" id="{0BD74E11-92A5-8177-385F-1D8C0B96B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258537</xdr:colOff>
      <xdr:row>0</xdr:row>
      <xdr:rowOff>90261</xdr:rowOff>
    </xdr:from>
    <xdr:to>
      <xdr:col>28</xdr:col>
      <xdr:colOff>381001</xdr:colOff>
      <xdr:row>18</xdr:row>
      <xdr:rowOff>85725</xdr:rowOff>
    </xdr:to>
    <xdr:graphicFrame macro="">
      <xdr:nvGraphicFramePr>
        <xdr:cNvPr id="34" name="V_Marge">
          <a:extLst>
            <a:ext uri="{FF2B5EF4-FFF2-40B4-BE49-F238E27FC236}">
              <a16:creationId xmlns:a16="http://schemas.microsoft.com/office/drawing/2014/main" id="{5174A668-F0E2-CC58-5406-070161922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17318</xdr:colOff>
      <xdr:row>17</xdr:row>
      <xdr:rowOff>78221</xdr:rowOff>
    </xdr:from>
    <xdr:to>
      <xdr:col>33</xdr:col>
      <xdr:colOff>121227</xdr:colOff>
      <xdr:row>34</xdr:row>
      <xdr:rowOff>51955</xdr:rowOff>
    </xdr:to>
    <xdr:graphicFrame macro="">
      <xdr:nvGraphicFramePr>
        <xdr:cNvPr id="14" name="G_Score">
          <a:extLst>
            <a:ext uri="{FF2B5EF4-FFF2-40B4-BE49-F238E27FC236}">
              <a16:creationId xmlns:a16="http://schemas.microsoft.com/office/drawing/2014/main" id="{D1865E92-E3CD-8711-0F84-55399B63F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12989</xdr:colOff>
      <xdr:row>0</xdr:row>
      <xdr:rowOff>130175</xdr:rowOff>
    </xdr:from>
    <xdr:to>
      <xdr:col>33</xdr:col>
      <xdr:colOff>121227</xdr:colOff>
      <xdr:row>16</xdr:row>
      <xdr:rowOff>17318</xdr:rowOff>
    </xdr:to>
    <xdr:graphicFrame macro="">
      <xdr:nvGraphicFramePr>
        <xdr:cNvPr id="15" name="G_Rev">
          <a:extLst>
            <a:ext uri="{FF2B5EF4-FFF2-40B4-BE49-F238E27FC236}">
              <a16:creationId xmlns:a16="http://schemas.microsoft.com/office/drawing/2014/main" id="{81154898-1741-C58A-6D9E-2F2330DC3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242455</xdr:colOff>
      <xdr:row>23</xdr:row>
      <xdr:rowOff>43585</xdr:rowOff>
    </xdr:from>
    <xdr:to>
      <xdr:col>36</xdr:col>
      <xdr:colOff>501651</xdr:colOff>
      <xdr:row>53</xdr:row>
      <xdr:rowOff>27132</xdr:rowOff>
    </xdr:to>
    <xdr:graphicFrame macro="">
      <xdr:nvGraphicFramePr>
        <xdr:cNvPr id="10" name="Q_Score">
          <a:extLst>
            <a:ext uri="{FF2B5EF4-FFF2-40B4-BE49-F238E27FC236}">
              <a16:creationId xmlns:a16="http://schemas.microsoft.com/office/drawing/2014/main" id="{E7A8E06A-2E3C-8D5F-2641-E69090B3F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237260</xdr:colOff>
      <xdr:row>0</xdr:row>
      <xdr:rowOff>164812</xdr:rowOff>
    </xdr:from>
    <xdr:to>
      <xdr:col>36</xdr:col>
      <xdr:colOff>534555</xdr:colOff>
      <xdr:row>22</xdr:row>
      <xdr:rowOff>138545</xdr:rowOff>
    </xdr:to>
    <xdr:graphicFrame macro="">
      <xdr:nvGraphicFramePr>
        <xdr:cNvPr id="11" name="Q_AltZ">
          <a:extLst>
            <a:ext uri="{FF2B5EF4-FFF2-40B4-BE49-F238E27FC236}">
              <a16:creationId xmlns:a16="http://schemas.microsoft.com/office/drawing/2014/main" id="{6E88C0DB-9A5F-B472-8D81-50ACBE954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190501</xdr:colOff>
      <xdr:row>23</xdr:row>
      <xdr:rowOff>18114</xdr:rowOff>
    </xdr:from>
    <xdr:to>
      <xdr:col>26</xdr:col>
      <xdr:colOff>89647</xdr:colOff>
      <xdr:row>46</xdr:row>
      <xdr:rowOff>56029</xdr:rowOff>
    </xdr:to>
    <xdr:graphicFrame macro="">
      <xdr:nvGraphicFramePr>
        <xdr:cNvPr id="11" name="M_Score">
          <a:extLst>
            <a:ext uri="{FF2B5EF4-FFF2-40B4-BE49-F238E27FC236}">
              <a16:creationId xmlns:a16="http://schemas.microsoft.com/office/drawing/2014/main" id="{B19A0F53-7408-9EBD-0843-BF85C9F54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165286</xdr:colOff>
      <xdr:row>0</xdr:row>
      <xdr:rowOff>78441</xdr:rowOff>
    </xdr:from>
    <xdr:to>
      <xdr:col>26</xdr:col>
      <xdr:colOff>22411</xdr:colOff>
      <xdr:row>22</xdr:row>
      <xdr:rowOff>33618</xdr:rowOff>
    </xdr:to>
    <xdr:graphicFrame macro="">
      <xdr:nvGraphicFramePr>
        <xdr:cNvPr id="12" name="M_Mom52W">
          <a:extLst>
            <a:ext uri="{FF2B5EF4-FFF2-40B4-BE49-F238E27FC236}">
              <a16:creationId xmlns:a16="http://schemas.microsoft.com/office/drawing/2014/main" id="{9DE847D3-5A7C-50E0-A439-6A5FFDF0B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413809</xdr:colOff>
      <xdr:row>0</xdr:row>
      <xdr:rowOff>144992</xdr:rowOff>
    </xdr:from>
    <xdr:to>
      <xdr:col>25</xdr:col>
      <xdr:colOff>432859</xdr:colOff>
      <xdr:row>24</xdr:row>
      <xdr:rowOff>94192</xdr:rowOff>
    </xdr:to>
    <xdr:graphicFrame macro="">
      <xdr:nvGraphicFramePr>
        <xdr:cNvPr id="2" name="Chart_Score_Top15">
          <a:extLst>
            <a:ext uri="{FF2B5EF4-FFF2-40B4-BE49-F238E27FC236}">
              <a16:creationId xmlns:a16="http://schemas.microsoft.com/office/drawing/2014/main" id="{B1AFE198-1B0A-743A-DB87-0F3B8E5F2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400049</xdr:colOff>
      <xdr:row>67</xdr:row>
      <xdr:rowOff>166159</xdr:rowOff>
    </xdr:from>
    <xdr:to>
      <xdr:col>21</xdr:col>
      <xdr:colOff>586316</xdr:colOff>
      <xdr:row>82</xdr:row>
      <xdr:rowOff>104776</xdr:rowOff>
    </xdr:to>
    <xdr:graphicFrame macro="">
      <xdr:nvGraphicFramePr>
        <xdr:cNvPr id="3" name="Chart_Signal_Distribution">
          <a:extLst>
            <a:ext uri="{FF2B5EF4-FFF2-40B4-BE49-F238E27FC236}">
              <a16:creationId xmlns:a16="http://schemas.microsoft.com/office/drawing/2014/main" id="{A8ED1F5C-311C-03ED-AA8E-ED17693BD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25</xdr:row>
      <xdr:rowOff>128059</xdr:rowOff>
    </xdr:from>
    <xdr:to>
      <xdr:col>25</xdr:col>
      <xdr:colOff>353484</xdr:colOff>
      <xdr:row>44</xdr:row>
      <xdr:rowOff>58209</xdr:rowOff>
    </xdr:to>
    <xdr:graphicFrame macro="">
      <xdr:nvGraphicFramePr>
        <xdr:cNvPr id="4" name="Chart_GQM_Top8">
          <a:extLst>
            <a:ext uri="{FF2B5EF4-FFF2-40B4-BE49-F238E27FC236}">
              <a16:creationId xmlns:a16="http://schemas.microsoft.com/office/drawing/2014/main" id="{1C796115-09B5-7254-4038-2FA239692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409575</xdr:colOff>
      <xdr:row>45</xdr:row>
      <xdr:rowOff>41275</xdr:rowOff>
    </xdr:from>
    <xdr:to>
      <xdr:col>25</xdr:col>
      <xdr:colOff>412749</xdr:colOff>
      <xdr:row>67</xdr:row>
      <xdr:rowOff>116416</xdr:rowOff>
    </xdr:to>
    <xdr:graphicFrame macro="">
      <xdr:nvGraphicFramePr>
        <xdr:cNvPr id="5" name="Chart_MgEBITDA_Top15">
          <a:extLst>
            <a:ext uri="{FF2B5EF4-FFF2-40B4-BE49-F238E27FC236}">
              <a16:creationId xmlns:a16="http://schemas.microsoft.com/office/drawing/2014/main" id="{528D271C-911B-7229-DF91-CEA8F24C4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7393DA-4019-432C-ADAC-5091C60E9183}">
  <we:reference id="wa200009404" version="1.0.0.8" store="fr-F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0"/>
  <sheetViews>
    <sheetView showGridLines="0" zoomScaleNormal="100" workbookViewId="0">
      <selection activeCell="R15" sqref="R15"/>
    </sheetView>
  </sheetViews>
  <sheetFormatPr baseColWidth="10" defaultColWidth="8.85546875" defaultRowHeight="15" x14ac:dyDescent="0.25"/>
  <cols>
    <col min="1" max="1" width="1.7109375" customWidth="1"/>
    <col min="2" max="2" width="4.7109375" customWidth="1"/>
    <col min="3" max="3" width="12.140625" bestFit="1" customWidth="1"/>
    <col min="4" max="4" width="30.140625" bestFit="1" customWidth="1"/>
    <col min="5" max="5" width="8.42578125" customWidth="1"/>
    <col min="6" max="6" width="12.5703125" customWidth="1"/>
    <col min="7" max="7" width="7.5703125" customWidth="1"/>
    <col min="8" max="8" width="7.42578125" customWidth="1"/>
    <col min="9" max="9" width="7.85546875" customWidth="1"/>
    <col min="10" max="10" width="19.85546875" bestFit="1" customWidth="1"/>
    <col min="11" max="11" width="7.85546875" bestFit="1" customWidth="1"/>
    <col min="12" max="12" width="12.5703125" customWidth="1"/>
    <col min="13" max="13" width="2.85546875" customWidth="1"/>
    <col min="14" max="14" width="10.42578125" bestFit="1" customWidth="1"/>
    <col min="15" max="15" width="12.140625" bestFit="1" customWidth="1"/>
    <col min="16" max="16" width="26" bestFit="1" customWidth="1"/>
    <col min="17" max="18" width="15" bestFit="1" customWidth="1"/>
    <col min="19" max="19" width="16.7109375" customWidth="1"/>
    <col min="20" max="20" width="8.85546875" customWidth="1"/>
    <col min="21" max="21" width="15" bestFit="1" customWidth="1"/>
    <col min="22" max="22" width="13.28515625" customWidth="1"/>
    <col min="23" max="23" width="24.140625" customWidth="1"/>
    <col min="24" max="24" width="12.5703125" customWidth="1"/>
    <col min="25" max="25" width="16.7109375" customWidth="1"/>
  </cols>
  <sheetData>
    <row r="1" spans="2:24" ht="28.15" customHeight="1" x14ac:dyDescent="0.25">
      <c r="B1" s="14" t="s">
        <v>704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9"/>
      <c r="T1" s="19"/>
      <c r="U1" s="19"/>
      <c r="V1" s="19"/>
      <c r="W1" s="19"/>
      <c r="X1" s="15"/>
    </row>
    <row r="2" spans="2:24" ht="15" customHeight="1" x14ac:dyDescent="0.25"/>
    <row r="3" spans="2:24" ht="26.25" x14ac:dyDescent="0.4">
      <c r="B3" s="9"/>
      <c r="C3" s="16">
        <f>COUNTA('DONNÉES BRUTES'!A$3:A$90)</f>
        <v>88</v>
      </c>
      <c r="D3" s="9"/>
      <c r="E3" s="9"/>
      <c r="F3" s="9"/>
      <c r="G3" s="9"/>
      <c r="H3" s="11" t="str">
        <f>ROUND(AVERAGE('DONNÉES BRUTES'!AB$3:AB$90),0)&amp;"/100"</f>
        <v>50/100</v>
      </c>
      <c r="I3" s="10"/>
      <c r="J3" s="9"/>
      <c r="K3" s="9"/>
      <c r="L3" s="12" t="str">
        <f>IFERROR(_xlfn.XLOOKUP(MAX('DONNÉES BRUTES'!AB$3:AB$90),'DONNÉES BRUTES'!AB$3:AB$90,'DONNÉES BRUTES'!A$3:A$90)&amp;" — "&amp;MAX('DONNÉES BRUTES'!AB$3:AB$90)&amp;"/100","—")</f>
        <v>NVDA — 88/100</v>
      </c>
      <c r="M3" s="9"/>
      <c r="N3" s="9"/>
      <c r="O3" s="9"/>
      <c r="P3" s="9"/>
      <c r="Q3" s="13">
        <v>46026</v>
      </c>
      <c r="R3" s="9"/>
      <c r="S3" s="20"/>
      <c r="T3" s="20"/>
      <c r="V3" s="20"/>
      <c r="W3" s="20"/>
    </row>
    <row r="4" spans="2:24" ht="20.25" customHeight="1" x14ac:dyDescent="0.25">
      <c r="B4" s="10"/>
      <c r="C4" s="10" t="s">
        <v>705</v>
      </c>
      <c r="D4" s="10"/>
      <c r="E4" s="10"/>
      <c r="F4" s="10"/>
      <c r="G4" s="10"/>
      <c r="H4" s="10" t="s">
        <v>706</v>
      </c>
      <c r="I4" s="10"/>
      <c r="J4" s="10"/>
      <c r="K4" s="10"/>
      <c r="L4" s="10" t="s">
        <v>707</v>
      </c>
      <c r="M4" s="10"/>
      <c r="N4" s="10"/>
      <c r="O4" s="10"/>
      <c r="P4" s="10"/>
      <c r="Q4" s="10" t="s">
        <v>708</v>
      </c>
      <c r="R4" s="10"/>
      <c r="S4" s="21"/>
      <c r="T4" s="21"/>
    </row>
    <row r="5" spans="2:24" ht="9.9499999999999993" customHeight="1" x14ac:dyDescent="0.25"/>
    <row r="6" spans="2:24" ht="22.15" customHeight="1" x14ac:dyDescent="0.25">
      <c r="B6" s="14" t="s">
        <v>730</v>
      </c>
      <c r="C6" s="14"/>
      <c r="D6" s="14"/>
      <c r="E6" s="14"/>
      <c r="F6" s="14"/>
      <c r="G6" s="14"/>
      <c r="H6" s="22" t="s">
        <v>44</v>
      </c>
      <c r="I6" s="22"/>
      <c r="J6" s="22"/>
      <c r="K6" s="22"/>
      <c r="L6" s="22"/>
      <c r="M6" s="14"/>
      <c r="N6" s="22" t="s">
        <v>45</v>
      </c>
      <c r="O6" s="22"/>
      <c r="P6" s="22"/>
      <c r="Q6" s="22"/>
      <c r="R6" s="22"/>
    </row>
    <row r="7" spans="2:24" ht="13.9" customHeight="1" x14ac:dyDescent="0.25">
      <c r="B7" s="23" t="s">
        <v>41</v>
      </c>
      <c r="C7" s="6" t="s">
        <v>0</v>
      </c>
      <c r="D7" s="6" t="s">
        <v>1</v>
      </c>
      <c r="E7" s="6" t="s">
        <v>2</v>
      </c>
      <c r="F7" s="6" t="s">
        <v>709</v>
      </c>
      <c r="G7" s="6"/>
      <c r="H7" s="23" t="s">
        <v>41</v>
      </c>
      <c r="I7" s="6" t="s">
        <v>0</v>
      </c>
      <c r="J7" s="6" t="s">
        <v>1</v>
      </c>
      <c r="K7" s="6" t="s">
        <v>2</v>
      </c>
      <c r="L7" s="6" t="s">
        <v>98</v>
      </c>
      <c r="M7" s="6"/>
      <c r="N7" s="23" t="s">
        <v>41</v>
      </c>
      <c r="O7" s="6" t="s">
        <v>0</v>
      </c>
      <c r="P7" s="6" t="s">
        <v>1</v>
      </c>
      <c r="Q7" s="6" t="s">
        <v>2</v>
      </c>
      <c r="R7" s="6" t="s">
        <v>588</v>
      </c>
    </row>
    <row r="8" spans="2:24" x14ac:dyDescent="0.25">
      <c r="B8">
        <v>1</v>
      </c>
      <c r="C8" t="str">
        <f>IFERROR(_xlfn.XLOOKUP(LARGE('DONNÉES BRUTES'!Y$3:Y$90,1),'DONNÉES BRUTES'!Y$3:Y$90,'DONNÉES BRUTES'!A$3:A$90),"—")</f>
        <v>INTC</v>
      </c>
      <c r="D8" t="str">
        <f>IFERROR(_xlfn.XLOOKUP(C8,'DONNÉES BRUTES'!A$3:A$90,'DONNÉES BRUTES'!B$3:B$90),"—")</f>
        <v>Intel Corporation</v>
      </c>
      <c r="E8" t="str">
        <f>IFERROR(_xlfn.XLOOKUP(C8,'DONNÉES BRUTES'!A$3:A$90,'DONNÉES BRUTES'!Y$3:Y$90)&amp;"/100","—")</f>
        <v>100/100</v>
      </c>
      <c r="F8" t="str">
        <f>IFERROR(_xlfn.XLOOKUP(C8,'DONNÉES BRUTES'!A$3:A$90,'DONNÉES BRUTES'!P$3:P$90),"—")</f>
        <v>-0.5%</v>
      </c>
      <c r="H8">
        <v>1</v>
      </c>
      <c r="I8" t="str">
        <f>IFERROR(_xlfn.XLOOKUP(LARGE('DONNÉES BRUTES'!Z$3:Z$90,1),'DONNÉES BRUTES'!Z$3:Z$90,'DONNÉES BRUTES'!A$3:A$90),"—")</f>
        <v>DSY.PA</v>
      </c>
      <c r="J8" t="str">
        <f>IFERROR(_xlfn.XLOOKUP(I8,'DONNÉES BRUTES'!A$3:A$90,'DONNÉES BRUTES'!B$3:B$90),"—")</f>
        <v>Dassault Systèmes SE</v>
      </c>
      <c r="K8" t="str">
        <f>IFERROR(_xlfn.XLOOKUP(I8,'DONNÉES BRUTES'!A$3:A$90,'DONNÉES BRUTES'!Z$3:Z$90)&amp;"/100","—")</f>
        <v>100/100</v>
      </c>
      <c r="L8" t="str">
        <f>IFERROR(_xlfn.XLOOKUP(I8,'DONNÉES BRUTES'!A$3:A$90,'DONNÉES BRUTES'!U$3:U$90),"—")</f>
        <v>—</v>
      </c>
      <c r="N8">
        <v>1</v>
      </c>
      <c r="O8" t="str">
        <f>IFERROR(_xlfn.XLOOKUP(LARGE('DONNÉES BRUTES'!AA$3:AA$90,1),'DONNÉES BRUTES'!AA$3:AA$90,'DONNÉES BRUTES'!A$3:A$90),"—")</f>
        <v>SNDK</v>
      </c>
      <c r="P8" t="str">
        <f>IFERROR(_xlfn.XLOOKUP(O8,'DONNÉES BRUTES'!A$3:A$90,'DONNÉES BRUTES'!B$3:B$90),"—")</f>
        <v>Sandisk Corporation</v>
      </c>
      <c r="Q8" t="str">
        <f>IFERROR(_xlfn.XLOOKUP(O8,'DONNÉES BRUTES'!A$3:A$90,'DONNÉES BRUTES'!AA$3:AA$90)&amp;"/100","—")</f>
        <v>100/100</v>
      </c>
      <c r="R8" t="str">
        <f>IFERROR(_xlfn.XLOOKUP(O8,'DONNÉES BRUTES'!A$3:A$90,'DONNÉES BRUTES'!W$3:W$90),"—")</f>
        <v>—</v>
      </c>
    </row>
    <row r="9" spans="2:24" ht="19.899999999999999" customHeight="1" x14ac:dyDescent="0.25">
      <c r="B9">
        <v>2</v>
      </c>
      <c r="C9" t="str">
        <f>IFERROR(_xlfn.XLOOKUP(LARGE('DONNÉES BRUTES'!Y$3:Y$90,2),'DONNÉES BRUTES'!Y$3:Y$90,'DONNÉES BRUTES'!A$3:A$90),"—")</f>
        <v>WDC</v>
      </c>
      <c r="D9" t="str">
        <f>IFERROR(_xlfn.XLOOKUP(C9,'DONNÉES BRUTES'!A$3:A$90,'DONNÉES BRUTES'!B$3:B$90),"—")</f>
        <v>Western Digital Corporation</v>
      </c>
      <c r="E9" t="str">
        <f>IFERROR(_xlfn.XLOOKUP(C9,'DONNÉES BRUTES'!A$3:A$90,'DONNÉES BRUTES'!Y$3:Y$90)&amp;"/100","—")</f>
        <v>99/100</v>
      </c>
      <c r="F9" t="str">
        <f>IFERROR(_xlfn.XLOOKUP(C9,'DONNÉES BRUTES'!A$3:A$90,'DONNÉES BRUTES'!P$3:P$90),"—")</f>
        <v>+50.7%</v>
      </c>
      <c r="H9">
        <v>2</v>
      </c>
      <c r="I9" t="str">
        <f>IFERROR(_xlfn.XLOOKUP(LARGE('DONNÉES BRUTES'!Z$3:Z$90,2),'DONNÉES BRUTES'!Z$3:Z$90,'DONNÉES BRUTES'!A$3:A$90),"—")</f>
        <v>VRSN</v>
      </c>
      <c r="J9" t="str">
        <f>IFERROR(_xlfn.XLOOKUP(I9,'DONNÉES BRUTES'!A$3:A$90,'DONNÉES BRUTES'!B$3:B$90),"—")</f>
        <v>VeriSign, Inc.</v>
      </c>
      <c r="K9" t="str">
        <f>IFERROR(_xlfn.XLOOKUP(I9,'DONNÉES BRUTES'!A$3:A$90,'DONNÉES BRUTES'!Z$3:Z$90)&amp;"/100","—")</f>
        <v>99/100</v>
      </c>
      <c r="L9" t="str">
        <f>IFERROR(_xlfn.XLOOKUP(I9,'DONNÉES BRUTES'!A$3:A$90,'DONNÉES BRUTES'!U$3:U$90),"—")</f>
        <v>-27.16</v>
      </c>
      <c r="N9">
        <v>2</v>
      </c>
      <c r="O9" t="str">
        <f>IFERROR(_xlfn.XLOOKUP(LARGE('DONNÉES BRUTES'!AA$3:AA$90,2),'DONNÉES BRUTES'!AA$3:AA$90,'DONNÉES BRUTES'!A$3:A$90),"—")</f>
        <v>WDC</v>
      </c>
      <c r="P9" t="str">
        <f>IFERROR(_xlfn.XLOOKUP(O9,'DONNÉES BRUTES'!A$3:A$90,'DONNÉES BRUTES'!B$3:B$90),"—")</f>
        <v>Western Digital Corporation</v>
      </c>
      <c r="Q9" t="str">
        <f>IFERROR(_xlfn.XLOOKUP(O9,'DONNÉES BRUTES'!A$3:A$90,'DONNÉES BRUTES'!AA$3:AA$90)&amp;"/100","—")</f>
        <v>99/100</v>
      </c>
      <c r="R9" t="str">
        <f>IFERROR(_xlfn.XLOOKUP(O9,'DONNÉES BRUTES'!A$3:A$90,'DONNÉES BRUTES'!W$3:W$90),"—")</f>
        <v>+477.2%</v>
      </c>
      <c r="S9" s="19"/>
      <c r="T9" s="19"/>
      <c r="U9" s="19"/>
      <c r="V9" s="19"/>
      <c r="W9" s="19"/>
    </row>
    <row r="10" spans="2:24" ht="15" customHeight="1" x14ac:dyDescent="0.25">
      <c r="B10">
        <v>3</v>
      </c>
      <c r="C10" t="str">
        <f>IFERROR(_xlfn.XLOOKUP(LARGE('DONNÉES BRUTES'!Y$3:Y$90,3),'DONNÉES BRUTES'!Y$3:Y$90,'DONNÉES BRUTES'!A$3:A$90),"—")</f>
        <v>MU</v>
      </c>
      <c r="D10" t="str">
        <f>IFERROR(_xlfn.XLOOKUP(C10,'DONNÉES BRUTES'!A$3:A$90,'DONNÉES BRUTES'!B$3:B$90),"—")</f>
        <v>Micron Technology, Inc.</v>
      </c>
      <c r="E10" t="str">
        <f>IFERROR(_xlfn.XLOOKUP(C10,'DONNÉES BRUTES'!A$3:A$90,'DONNÉES BRUTES'!Y$3:Y$90)&amp;"/100","—")</f>
        <v>98/100</v>
      </c>
      <c r="F10" t="str">
        <f>IFERROR(_xlfn.XLOOKUP(C10,'DONNÉES BRUTES'!A$3:A$90,'DONNÉES BRUTES'!P$3:P$90),"—")</f>
        <v>+48.9%</v>
      </c>
      <c r="H10">
        <v>3</v>
      </c>
      <c r="I10" t="str">
        <f>IFERROR(_xlfn.XLOOKUP(LARGE('DONNÉES BRUTES'!Z$3:Z$90,3),'DONNÉES BRUTES'!Z$3:Z$90,'DONNÉES BRUTES'!A$3:A$90),"—")</f>
        <v>NVDA</v>
      </c>
      <c r="J10" t="str">
        <f>IFERROR(_xlfn.XLOOKUP(I10,'DONNÉES BRUTES'!A$3:A$90,'DONNÉES BRUTES'!B$3:B$90),"—")</f>
        <v>NVIDIA Corporation</v>
      </c>
      <c r="K10" t="str">
        <f>IFERROR(_xlfn.XLOOKUP(I10,'DONNÉES BRUTES'!A$3:A$90,'DONNÉES BRUTES'!Z$3:Z$90)&amp;"/100","—")</f>
        <v>98/100</v>
      </c>
      <c r="L10" t="str">
        <f>IFERROR(_xlfn.XLOOKUP(I10,'DONNÉES BRUTES'!A$3:A$90,'DONNÉES BRUTES'!U$3:U$90),"—")</f>
        <v>13.22</v>
      </c>
      <c r="N10">
        <v>3</v>
      </c>
      <c r="O10" t="str">
        <f>IFERROR(_xlfn.XLOOKUP(LARGE('DONNÉES BRUTES'!AA$3:AA$90,3),'DONNÉES BRUTES'!AA$3:AA$90,'DONNÉES BRUTES'!A$3:A$90),"—")</f>
        <v>CIEN</v>
      </c>
      <c r="P10" t="str">
        <f>IFERROR(_xlfn.XLOOKUP(O10,'DONNÉES BRUTES'!A$3:A$90,'DONNÉES BRUTES'!B$3:B$90),"—")</f>
        <v>Ciena Corporation</v>
      </c>
      <c r="Q10" t="str">
        <f>IFERROR(_xlfn.XLOOKUP(O10,'DONNÉES BRUTES'!A$3:A$90,'DONNÉES BRUTES'!AA$3:AA$90)&amp;"/100","—")</f>
        <v>98/100</v>
      </c>
      <c r="R10" t="str">
        <f>IFERROR(_xlfn.XLOOKUP(O10,'DONNÉES BRUTES'!A$3:A$90,'DONNÉES BRUTES'!W$3:W$90),"—")</f>
        <v>+454.6%</v>
      </c>
    </row>
    <row r="11" spans="2:24" ht="13.9" customHeight="1" x14ac:dyDescent="0.25">
      <c r="B11">
        <v>4</v>
      </c>
      <c r="C11" t="str">
        <f>IFERROR(_xlfn.XLOOKUP(LARGE('DONNÉES BRUTES'!Y$3:Y$90,4),'DONNÉES BRUTES'!Y$3:Y$90,'DONNÉES BRUTES'!A$3:A$90),"—")</f>
        <v>STX</v>
      </c>
      <c r="D11" t="str">
        <f>IFERROR(_xlfn.XLOOKUP(C11,'DONNÉES BRUTES'!A$3:A$90,'DONNÉES BRUTES'!B$3:B$90),"—")</f>
        <v>Seagate Technology Holdings plc</v>
      </c>
      <c r="E11" t="str">
        <f>IFERROR(_xlfn.XLOOKUP(C11,'DONNÉES BRUTES'!A$3:A$90,'DONNÉES BRUTES'!Y$3:Y$90)&amp;"/100","—")</f>
        <v>97/100</v>
      </c>
      <c r="F11" t="str">
        <f>IFERROR(_xlfn.XLOOKUP(C11,'DONNÉES BRUTES'!A$3:A$90,'DONNÉES BRUTES'!P$3:P$90),"—")</f>
        <v>+38.9%</v>
      </c>
      <c r="H11">
        <v>4</v>
      </c>
      <c r="I11" t="str">
        <f>IFERROR(_xlfn.XLOOKUP(LARGE('DONNÉES BRUTES'!Z$3:Z$90,4),'DONNÉES BRUTES'!Z$3:Z$90,'DONNÉES BRUTES'!A$3:A$90),"—")</f>
        <v>ADBE</v>
      </c>
      <c r="J11" t="str">
        <f>IFERROR(_xlfn.XLOOKUP(I11,'DONNÉES BRUTES'!A$3:A$90,'DONNÉES BRUTES'!B$3:B$90),"—")</f>
        <v>Adobe Inc.</v>
      </c>
      <c r="K11" t="str">
        <f>IFERROR(_xlfn.XLOOKUP(I11,'DONNÉES BRUTES'!A$3:A$90,'DONNÉES BRUTES'!Z$3:Z$90)&amp;"/100","—")</f>
        <v>97/100</v>
      </c>
      <c r="L11" t="str">
        <f>IFERROR(_xlfn.XLOOKUP(I11,'DONNÉES BRUTES'!A$3:A$90,'DONNÉES BRUTES'!U$3:U$90),"—")</f>
        <v>7.74</v>
      </c>
      <c r="N11">
        <v>4</v>
      </c>
      <c r="O11" t="str">
        <f>IFERROR(_xlfn.XLOOKUP(LARGE('DONNÉES BRUTES'!AA$3:AA$90,4),'DONNÉES BRUTES'!AA$3:AA$90,'DONNÉES BRUTES'!A$3:A$90),"—")</f>
        <v>TER</v>
      </c>
      <c r="P11" t="str">
        <f>IFERROR(_xlfn.XLOOKUP(O11,'DONNÉES BRUTES'!A$3:A$90,'DONNÉES BRUTES'!B$3:B$90),"—")</f>
        <v>Teradyne, Inc.</v>
      </c>
      <c r="Q11" t="str">
        <f>IFERROR(_xlfn.XLOOKUP(O11,'DONNÉES BRUTES'!A$3:A$90,'DONNÉES BRUTES'!AA$3:AA$90)&amp;"/100","—")</f>
        <v>97/100</v>
      </c>
      <c r="R11" t="str">
        <f>IFERROR(_xlfn.XLOOKUP(O11,'DONNÉES BRUTES'!A$3:A$90,'DONNÉES BRUTES'!W$3:W$90),"—")</f>
        <v>+292.0%</v>
      </c>
    </row>
    <row r="12" spans="2:24" ht="13.9" customHeight="1" x14ac:dyDescent="0.25">
      <c r="B12">
        <v>5</v>
      </c>
      <c r="C12" t="str">
        <f>IFERROR(_xlfn.XLOOKUP(LARGE('DONNÉES BRUTES'!Y$3:Y$90,5),'DONNÉES BRUTES'!Y$3:Y$90,'DONNÉES BRUTES'!A$3:A$90),"—")</f>
        <v>NVDA</v>
      </c>
      <c r="D12" t="str">
        <f>IFERROR(_xlfn.XLOOKUP(C12,'DONNÉES BRUTES'!A$3:A$90,'DONNÉES BRUTES'!B$3:B$90),"—")</f>
        <v>NVIDIA Corporation</v>
      </c>
      <c r="E12" t="str">
        <f>IFERROR(_xlfn.XLOOKUP(C12,'DONNÉES BRUTES'!A$3:A$90,'DONNÉES BRUTES'!Y$3:Y$90)&amp;"/100","—")</f>
        <v>95/100</v>
      </c>
      <c r="F12" t="str">
        <f>IFERROR(_xlfn.XLOOKUP(C12,'DONNÉES BRUTES'!A$3:A$90,'DONNÉES BRUTES'!P$3:P$90),"—")</f>
        <v>+65.5%</v>
      </c>
      <c r="H12">
        <v>5</v>
      </c>
      <c r="I12" t="str">
        <f>IFERROR(_xlfn.XLOOKUP(LARGE('DONNÉES BRUTES'!Z$3:Z$90,5),'DONNÉES BRUTES'!Z$3:Z$90,'DONNÉES BRUTES'!A$3:A$90),"—")</f>
        <v>FICO</v>
      </c>
      <c r="J12" t="str">
        <f>IFERROR(_xlfn.XLOOKUP(I12,'DONNÉES BRUTES'!A$3:A$90,'DONNÉES BRUTES'!B$3:B$90),"—")</f>
        <v>Fair Isaac Corporation</v>
      </c>
      <c r="K12" t="str">
        <f>IFERROR(_xlfn.XLOOKUP(I12,'DONNÉES BRUTES'!A$3:A$90,'DONNÉES BRUTES'!Z$3:Z$90)&amp;"/100","—")</f>
        <v>95/100</v>
      </c>
      <c r="L12" t="str">
        <f>IFERROR(_xlfn.XLOOKUP(I12,'DONNÉES BRUTES'!A$3:A$90,'DONNÉES BRUTES'!U$3:U$90),"—")</f>
        <v>10.30</v>
      </c>
      <c r="N12">
        <v>5</v>
      </c>
      <c r="O12" t="str">
        <f>IFERROR(_xlfn.XLOOKUP(LARGE('DONNÉES BRUTES'!AA$3:AA$90,5),'DONNÉES BRUTES'!AA$3:AA$90,'DONNÉES BRUTES'!A$3:A$90),"—")</f>
        <v>MU</v>
      </c>
      <c r="P12" t="str">
        <f>IFERROR(_xlfn.XLOOKUP(O12,'DONNÉES BRUTES'!A$3:A$90,'DONNÉES BRUTES'!B$3:B$90),"—")</f>
        <v>Micron Technology, Inc.</v>
      </c>
      <c r="Q12" t="str">
        <f>IFERROR(_xlfn.XLOOKUP(O12,'DONNÉES BRUTES'!A$3:A$90,'DONNÉES BRUTES'!AA$3:AA$90)&amp;"/100","—")</f>
        <v>95/100</v>
      </c>
      <c r="R12" t="str">
        <f>IFERROR(_xlfn.XLOOKUP(O12,'DONNÉES BRUTES'!A$3:A$90,'DONNÉES BRUTES'!W$3:W$90),"—")</f>
        <v>+283.3%</v>
      </c>
    </row>
    <row r="13" spans="2:24" ht="13.9" customHeight="1" x14ac:dyDescent="0.25"/>
    <row r="14" spans="2:24" ht="13.9" customHeight="1" x14ac:dyDescent="0.25">
      <c r="B14" s="14" t="s">
        <v>710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24" ht="13.9" customHeight="1" x14ac:dyDescent="0.25">
      <c r="B15" s="23" t="s">
        <v>41</v>
      </c>
      <c r="C15" s="6" t="s">
        <v>0</v>
      </c>
      <c r="D15" s="6" t="s">
        <v>1</v>
      </c>
      <c r="E15" s="6" t="s">
        <v>2</v>
      </c>
      <c r="F15" s="6"/>
      <c r="G15" s="6" t="s">
        <v>43</v>
      </c>
      <c r="H15" s="6" t="s">
        <v>44</v>
      </c>
      <c r="I15" s="6" t="s">
        <v>45</v>
      </c>
      <c r="J15" s="6"/>
      <c r="K15" s="6" t="s">
        <v>582</v>
      </c>
      <c r="L15" s="6" t="s">
        <v>709</v>
      </c>
      <c r="M15" s="6"/>
      <c r="N15" s="6" t="s">
        <v>47</v>
      </c>
      <c r="O15" s="6" t="s">
        <v>48</v>
      </c>
      <c r="P15" s="6"/>
      <c r="Q15" s="6"/>
      <c r="R15" s="6"/>
    </row>
    <row r="16" spans="2:24" x14ac:dyDescent="0.25">
      <c r="B16">
        <v>1</v>
      </c>
      <c r="C16" t="str">
        <f>IFERROR(_xlfn.XLOOKUP(LARGE('DONNÉES BRUTES'!AB$3:AB$90,1),'DONNÉES BRUTES'!AB$3:AB$90,'DONNÉES BRUTES'!A$3:A$90),"—")</f>
        <v>NVDA</v>
      </c>
      <c r="D16" t="str">
        <f>IFERROR(_xlfn.XLOOKUP(C16,'DONNÉES BRUTES'!A$3:A$90,'DONNÉES BRUTES'!B$3:B$90),"—")</f>
        <v>NVIDIA Corporation</v>
      </c>
      <c r="E16" t="str">
        <f>IFERROR(_xlfn.XLOOKUP(C16,'DONNÉES BRUTES'!A$3:A$90,'DONNÉES BRUTES'!AB$3:AB$90)&amp;"/100","—")</f>
        <v>88/100</v>
      </c>
      <c r="G16">
        <f>IFERROR(_xlfn.XLOOKUP(C16,'DONNÉES BRUTES'!A$3:A$90,'DONNÉES BRUTES'!Y$3:Y$90),"—")</f>
        <v>95</v>
      </c>
      <c r="H16">
        <f>IFERROR(_xlfn.XLOOKUP(C16,'DONNÉES BRUTES'!A$3:A$90,'DONNÉES BRUTES'!Z$3:Z$90),"—")</f>
        <v>98</v>
      </c>
      <c r="I16">
        <f>IFERROR(_xlfn.XLOOKUP(C16,'DONNÉES BRUTES'!A$3:A$90,'DONNÉES BRUTES'!AA$3:AA$90),"—")</f>
        <v>70</v>
      </c>
      <c r="K16" t="str">
        <f>IFERROR(_xlfn.XLOOKUP(C16,'DONNÉES BRUTES'!A$3:A$90,'DONNÉES BRUTES'!N$3:N$90),"—")</f>
        <v>66.9%</v>
      </c>
      <c r="L16" t="str">
        <f>IFERROR(_xlfn.XLOOKUP(C16,'DONNÉES BRUTES'!A$3:A$90,'DONNÉES BRUTES'!P$3:P$90),"—")</f>
        <v>+65.5%</v>
      </c>
      <c r="N16" t="str">
        <f>IFERROR(_xlfn.XLOOKUP(C16,'DONNÉES BRUTES'!A$3:A$90,'DONNÉES BRUTES'!AC$3:AC$90),"—")</f>
        <v>2026-05-20</v>
      </c>
      <c r="O16" t="str">
        <f>IFERROR(_xlfn.XLOOKUP(C16,'DONNÉES BRUTES'!A$3:A$90,'DONNÉES BRUTES'!AD$3:AD$90),"—")</f>
        <v>Surpondérer</v>
      </c>
    </row>
    <row r="17" spans="2:23" ht="22.15" customHeight="1" x14ac:dyDescent="0.25">
      <c r="B17">
        <v>2</v>
      </c>
      <c r="C17" t="str">
        <f>IFERROR(_xlfn.XLOOKUP(LARGE('DONNÉES BRUTES'!AB$3:AB$90,2),'DONNÉES BRUTES'!AB$3:AB$90,'DONNÉES BRUTES'!A$3:A$90),"—")</f>
        <v>KLAC</v>
      </c>
      <c r="D17" t="str">
        <f>IFERROR(_xlfn.XLOOKUP(C17,'DONNÉES BRUTES'!A$3:A$90,'DONNÉES BRUTES'!B$3:B$90),"—")</f>
        <v>KLA Corporation</v>
      </c>
      <c r="E17" t="str">
        <f>IFERROR(_xlfn.XLOOKUP(C17,'DONNÉES BRUTES'!A$3:A$90,'DONNÉES BRUTES'!AB$3:AB$90)&amp;"/100","—")</f>
        <v>84/100</v>
      </c>
      <c r="G17">
        <f>IFERROR(_xlfn.XLOOKUP(C17,'DONNÉES BRUTES'!A$3:A$90,'DONNÉES BRUTES'!Y$3:Y$90),"—")</f>
        <v>85</v>
      </c>
      <c r="H17">
        <f>IFERROR(_xlfn.XLOOKUP(C17,'DONNÉES BRUTES'!A$3:A$90,'DONNÉES BRUTES'!Z$3:Z$90),"—")</f>
        <v>79</v>
      </c>
      <c r="I17">
        <f>IFERROR(_xlfn.XLOOKUP(C17,'DONNÉES BRUTES'!A$3:A$90,'DONNÉES BRUTES'!AA$3:AA$90),"—")</f>
        <v>88</v>
      </c>
      <c r="K17" t="str">
        <f>IFERROR(_xlfn.XLOOKUP(C17,'DONNÉES BRUTES'!A$3:A$90,'DONNÉES BRUTES'!N$3:N$90),"—")</f>
        <v>43.9%</v>
      </c>
      <c r="L17" t="str">
        <f>IFERROR(_xlfn.XLOOKUP(C17,'DONNÉES BRUTES'!A$3:A$90,'DONNÉES BRUTES'!P$3:P$90),"—")</f>
        <v>+23.9%</v>
      </c>
      <c r="N17" t="str">
        <f>IFERROR(_xlfn.XLOOKUP(C17,'DONNÉES BRUTES'!A$3:A$90,'DONNÉES BRUTES'!AC$3:AC$90),"—")</f>
        <v>2026-04-29</v>
      </c>
      <c r="O17" t="str">
        <f>IFERROR(_xlfn.XLOOKUP(C17,'DONNÉES BRUTES'!A$3:A$90,'DONNÉES BRUTES'!AD$3:AD$90),"—")</f>
        <v>Surpondérer</v>
      </c>
      <c r="R17" s="19"/>
      <c r="S17" s="19"/>
      <c r="T17" s="19"/>
      <c r="U17" s="19"/>
      <c r="V17" s="19"/>
    </row>
    <row r="18" spans="2:23" ht="16.149999999999999" customHeight="1" x14ac:dyDescent="0.25">
      <c r="B18">
        <v>3</v>
      </c>
      <c r="C18" t="str">
        <f>IFERROR(_xlfn.XLOOKUP(LARGE('DONNÉES BRUTES'!AB$3:AB$90,3),'DONNÉES BRUTES'!AB$3:AB$90,'DONNÉES BRUTES'!A$3:A$90),"—")</f>
        <v>ANET</v>
      </c>
      <c r="D18" t="str">
        <f>IFERROR(_xlfn.XLOOKUP(C18,'DONNÉES BRUTES'!A$3:A$90,'DONNÉES BRUTES'!B$3:B$90),"—")</f>
        <v>Arista Networks, Inc.</v>
      </c>
      <c r="E18" t="str">
        <f>IFERROR(_xlfn.XLOOKUP(C18,'DONNÉES BRUTES'!A$3:A$90,'DONNÉES BRUTES'!AB$3:AB$90)&amp;"/100","—")</f>
        <v>83/100</v>
      </c>
      <c r="G18">
        <f>IFERROR(_xlfn.XLOOKUP(C18,'DONNÉES BRUTES'!A$3:A$90,'DONNÉES BRUTES'!Y$3:Y$90),"—")</f>
        <v>84</v>
      </c>
      <c r="H18">
        <f>IFERROR(_xlfn.XLOOKUP(C18,'DONNÉES BRUTES'!A$3:A$90,'DONNÉES BRUTES'!Z$3:Z$90),"—")</f>
        <v>89</v>
      </c>
      <c r="I18">
        <f>IFERROR(_xlfn.XLOOKUP(C18,'DONNÉES BRUTES'!A$3:A$90,'DONNÉES BRUTES'!AA$3:AA$90),"—")</f>
        <v>76</v>
      </c>
      <c r="K18" t="str">
        <f>IFERROR(_xlfn.XLOOKUP(C18,'DONNÉES BRUTES'!A$3:A$90,'DONNÉES BRUTES'!N$3:N$90),"—")</f>
        <v>43.6%</v>
      </c>
      <c r="L18" t="str">
        <f>IFERROR(_xlfn.XLOOKUP(C18,'DONNÉES BRUTES'!A$3:A$90,'DONNÉES BRUTES'!P$3:P$90),"—")</f>
        <v>+28.6%</v>
      </c>
      <c r="N18" t="str">
        <f>IFERROR(_xlfn.XLOOKUP(C18,'DONNÉES BRUTES'!A$3:A$90,'DONNÉES BRUTES'!AC$3:AC$90),"—")</f>
        <v>2026-05-05</v>
      </c>
      <c r="O18" t="str">
        <f>IFERROR(_xlfn.XLOOKUP(C18,'DONNÉES BRUTES'!A$3:A$90,'DONNÉES BRUTES'!AD$3:AD$90),"—")</f>
        <v>Surpondérer</v>
      </c>
    </row>
    <row r="19" spans="2:23" ht="13.9" customHeight="1" x14ac:dyDescent="0.25">
      <c r="B19">
        <v>4</v>
      </c>
      <c r="C19" t="str">
        <f>IFERROR(_xlfn.XLOOKUP(LARGE('DONNÉES BRUTES'!AB$3:AB$90,4),'DONNÉES BRUTES'!AB$3:AB$90,'DONNÉES BRUTES'!A$3:A$90),"—")</f>
        <v>AVGO</v>
      </c>
      <c r="D19" t="str">
        <f>IFERROR(_xlfn.XLOOKUP(C19,'DONNÉES BRUTES'!A$3:A$90,'DONNÉES BRUTES'!B$3:B$90),"—")</f>
        <v>Broadcom Inc.</v>
      </c>
      <c r="E19" t="str">
        <f>IFERROR(_xlfn.XLOOKUP(C19,'DONNÉES BRUTES'!A$3:A$90,'DONNÉES BRUTES'!AB$3:AB$90)&amp;"/100","—")</f>
        <v>81/100</v>
      </c>
      <c r="G19">
        <f>IFERROR(_xlfn.XLOOKUP(C19,'DONNÉES BRUTES'!A$3:A$90,'DONNÉES BRUTES'!Y$3:Y$90),"—")</f>
        <v>90</v>
      </c>
      <c r="H19">
        <f>IFERROR(_xlfn.XLOOKUP(C19,'DONNÉES BRUTES'!A$3:A$90,'DONNÉES BRUTES'!Z$3:Z$90),"—")</f>
        <v>85</v>
      </c>
      <c r="I19">
        <f>IFERROR(_xlfn.XLOOKUP(C19,'DONNÉES BRUTES'!A$3:A$90,'DONNÉES BRUTES'!AA$3:AA$90),"—")</f>
        <v>69</v>
      </c>
      <c r="K19" t="str">
        <f>IFERROR(_xlfn.XLOOKUP(C19,'DONNÉES BRUTES'!A$3:A$90,'DONNÉES BRUTES'!N$3:N$90),"—")</f>
        <v>54.3%</v>
      </c>
      <c r="L19" t="str">
        <f>IFERROR(_xlfn.XLOOKUP(C19,'DONNÉES BRUTES'!A$3:A$90,'DONNÉES BRUTES'!P$3:P$90),"—")</f>
        <v>+23.9%</v>
      </c>
      <c r="N19" t="str">
        <f>IFERROR(_xlfn.XLOOKUP(C19,'DONNÉES BRUTES'!A$3:A$90,'DONNÉES BRUTES'!AC$3:AC$90),"—")</f>
        <v>2026-06-03</v>
      </c>
      <c r="O19" t="str">
        <f>IFERROR(_xlfn.XLOOKUP(C19,'DONNÉES BRUTES'!A$3:A$90,'DONNÉES BRUTES'!AD$3:AD$90),"—")</f>
        <v>Surpondérer</v>
      </c>
    </row>
    <row r="20" spans="2:23" ht="13.9" customHeight="1" x14ac:dyDescent="0.25">
      <c r="B20">
        <v>5</v>
      </c>
      <c r="C20" t="str">
        <f>IFERROR(_xlfn.XLOOKUP(LARGE('DONNÉES BRUTES'!AB$3:AB$90,5),'DONNÉES BRUTES'!AB$3:AB$90,'DONNÉES BRUTES'!A$3:A$90),"—")</f>
        <v>MU</v>
      </c>
      <c r="D20" t="str">
        <f>IFERROR(_xlfn.XLOOKUP(C20,'DONNÉES BRUTES'!A$3:A$90,'DONNÉES BRUTES'!B$3:B$90),"—")</f>
        <v>Micron Technology, Inc.</v>
      </c>
      <c r="E20" t="str">
        <f>IFERROR(_xlfn.XLOOKUP(C20,'DONNÉES BRUTES'!A$3:A$90,'DONNÉES BRUTES'!AB$3:AB$90)&amp;"/100","—")</f>
        <v>78/100</v>
      </c>
      <c r="G20">
        <f>IFERROR(_xlfn.XLOOKUP(C20,'DONNÉES BRUTES'!A$3:A$90,'DONNÉES BRUTES'!Y$3:Y$90),"—")</f>
        <v>98</v>
      </c>
      <c r="H20">
        <f>IFERROR(_xlfn.XLOOKUP(C20,'DONNÉES BRUTES'!A$3:A$90,'DONNÉES BRUTES'!Z$3:Z$90),"—")</f>
        <v>41</v>
      </c>
      <c r="I20">
        <f>IFERROR(_xlfn.XLOOKUP(C20,'DONNÉES BRUTES'!A$3:A$90,'DONNÉES BRUTES'!AA$3:AA$90),"—")</f>
        <v>95</v>
      </c>
      <c r="K20" t="str">
        <f>IFERROR(_xlfn.XLOOKUP(C20,'DONNÉES BRUTES'!A$3:A$90,'DONNÉES BRUTES'!N$3:N$90),"—")</f>
        <v>49.4%</v>
      </c>
      <c r="L20" t="str">
        <f>IFERROR(_xlfn.XLOOKUP(C20,'DONNÉES BRUTES'!A$3:A$90,'DONNÉES BRUTES'!P$3:P$90),"—")</f>
        <v>+48.9%</v>
      </c>
      <c r="N20" t="str">
        <f>IFERROR(_xlfn.XLOOKUP(C20,'DONNÉES BRUTES'!A$3:A$90,'DONNÉES BRUTES'!AC$3:AC$90),"—")</f>
        <v>—</v>
      </c>
      <c r="O20" t="str">
        <f>IFERROR(_xlfn.XLOOKUP(C20,'DONNÉES BRUTES'!A$3:A$90,'DONNÉES BRUTES'!AD$3:AD$90),"—")</f>
        <v>Surpondérer</v>
      </c>
    </row>
    <row r="21" spans="2:23" ht="13.9" customHeight="1" x14ac:dyDescent="0.25">
      <c r="B21">
        <v>6</v>
      </c>
      <c r="C21" t="str">
        <f>IFERROR(_xlfn.XLOOKUP(LARGE('DONNÉES BRUTES'!AB$3:AB$90,6),'DONNÉES BRUTES'!AB$3:AB$90,'DONNÉES BRUTES'!A$3:A$90),"—")</f>
        <v>MU</v>
      </c>
      <c r="D21" t="str">
        <f>IFERROR(_xlfn.XLOOKUP(C21,'DONNÉES BRUTES'!A$3:A$90,'DONNÉES BRUTES'!B$3:B$90),"—")</f>
        <v>Micron Technology, Inc.</v>
      </c>
      <c r="E21" t="str">
        <f>IFERROR(_xlfn.XLOOKUP(C21,'DONNÉES BRUTES'!A$3:A$90,'DONNÉES BRUTES'!AB$3:AB$90)&amp;"/100","—")</f>
        <v>78/100</v>
      </c>
      <c r="G21">
        <f>IFERROR(_xlfn.XLOOKUP(C21,'DONNÉES BRUTES'!A$3:A$90,'DONNÉES BRUTES'!Y$3:Y$90),"—")</f>
        <v>98</v>
      </c>
      <c r="H21">
        <f>IFERROR(_xlfn.XLOOKUP(C21,'DONNÉES BRUTES'!A$3:A$90,'DONNÉES BRUTES'!Z$3:Z$90),"—")</f>
        <v>41</v>
      </c>
      <c r="I21">
        <f>IFERROR(_xlfn.XLOOKUP(C21,'DONNÉES BRUTES'!A$3:A$90,'DONNÉES BRUTES'!AA$3:AA$90),"—")</f>
        <v>95</v>
      </c>
      <c r="K21" t="str">
        <f>IFERROR(_xlfn.XLOOKUP(C21,'DONNÉES BRUTES'!A$3:A$90,'DONNÉES BRUTES'!N$3:N$90),"—")</f>
        <v>49.4%</v>
      </c>
      <c r="L21" t="str">
        <f>IFERROR(_xlfn.XLOOKUP(C21,'DONNÉES BRUTES'!A$3:A$90,'DONNÉES BRUTES'!P$3:P$90),"—")</f>
        <v>+48.9%</v>
      </c>
      <c r="N21" t="str">
        <f>IFERROR(_xlfn.XLOOKUP(C21,'DONNÉES BRUTES'!A$3:A$90,'DONNÉES BRUTES'!AC$3:AC$90),"—")</f>
        <v>—</v>
      </c>
      <c r="O21" t="str">
        <f>IFERROR(_xlfn.XLOOKUP(C21,'DONNÉES BRUTES'!A$3:A$90,'DONNÉES BRUTES'!AD$3:AD$90),"—")</f>
        <v>Surpondérer</v>
      </c>
    </row>
    <row r="22" spans="2:23" ht="13.9" customHeight="1" x14ac:dyDescent="0.25">
      <c r="B22">
        <v>7</v>
      </c>
      <c r="C22" t="str">
        <f>IFERROR(_xlfn.XLOOKUP(LARGE('DONNÉES BRUTES'!AB$3:AB$90,7),'DONNÉES BRUTES'!AB$3:AB$90,'DONNÉES BRUTES'!A$3:A$90),"—")</f>
        <v>LRCX</v>
      </c>
      <c r="D22" t="str">
        <f>IFERROR(_xlfn.XLOOKUP(C22,'DONNÉES BRUTES'!A$3:A$90,'DONNÉES BRUTES'!B$3:B$90),"—")</f>
        <v>Lam Research Corporation</v>
      </c>
      <c r="E22" t="str">
        <f>IFERROR(_xlfn.XLOOKUP(C22,'DONNÉES BRUTES'!A$3:A$90,'DONNÉES BRUTES'!AB$3:AB$90)&amp;"/100","—")</f>
        <v>77/100</v>
      </c>
      <c r="G22">
        <f>IFERROR(_xlfn.XLOOKUP(C22,'DONNÉES BRUTES'!A$3:A$90,'DONNÉES BRUTES'!Y$3:Y$90),"—")</f>
        <v>83</v>
      </c>
      <c r="H22">
        <f>IFERROR(_xlfn.XLOOKUP(C22,'DONNÉES BRUTES'!A$3:A$90,'DONNÉES BRUTES'!Z$3:Z$90),"—")</f>
        <v>57</v>
      </c>
      <c r="I22">
        <f>IFERROR(_xlfn.XLOOKUP(C22,'DONNÉES BRUTES'!A$3:A$90,'DONNÉES BRUTES'!AA$3:AA$90),"—")</f>
        <v>92</v>
      </c>
      <c r="K22" t="str">
        <f>IFERROR(_xlfn.XLOOKUP(C22,'DONNÉES BRUTES'!A$3:A$90,'DONNÉES BRUTES'!N$3:N$90),"—")</f>
        <v>35.4%</v>
      </c>
      <c r="L22" t="str">
        <f>IFERROR(_xlfn.XLOOKUP(C22,'DONNÉES BRUTES'!A$3:A$90,'DONNÉES BRUTES'!P$3:P$90),"—")</f>
        <v>+23.7%</v>
      </c>
      <c r="N22" t="str">
        <f>IFERROR(_xlfn.XLOOKUP(C22,'DONNÉES BRUTES'!A$3:A$90,'DONNÉES BRUTES'!AC$3:AC$90),"—")</f>
        <v>2026-04-22</v>
      </c>
      <c r="O22" t="str">
        <f>IFERROR(_xlfn.XLOOKUP(C22,'DONNÉES BRUTES'!A$3:A$90,'DONNÉES BRUTES'!AD$3:AD$90),"—")</f>
        <v>Surpondérer</v>
      </c>
    </row>
    <row r="23" spans="2:23" ht="13.9" customHeight="1" x14ac:dyDescent="0.25">
      <c r="B23">
        <v>8</v>
      </c>
      <c r="C23" t="str">
        <f>IFERROR(_xlfn.XLOOKUP(LARGE('DONNÉES BRUTES'!AB$3:AB$90,8),'DONNÉES BRUTES'!AB$3:AB$90,'DONNÉES BRUTES'!A$3:A$90),"—")</f>
        <v>LRCX</v>
      </c>
      <c r="D23" t="str">
        <f>IFERROR(_xlfn.XLOOKUP(C23,'DONNÉES BRUTES'!A$3:A$90,'DONNÉES BRUTES'!B$3:B$90),"—")</f>
        <v>Lam Research Corporation</v>
      </c>
      <c r="E23" t="str">
        <f>IFERROR(_xlfn.XLOOKUP(C23,'DONNÉES BRUTES'!A$3:A$90,'DONNÉES BRUTES'!AB$3:AB$90)&amp;"/100","—")</f>
        <v>77/100</v>
      </c>
      <c r="G23">
        <f>IFERROR(_xlfn.XLOOKUP(C23,'DONNÉES BRUTES'!A$3:A$90,'DONNÉES BRUTES'!Y$3:Y$90),"—")</f>
        <v>83</v>
      </c>
      <c r="H23">
        <f>IFERROR(_xlfn.XLOOKUP(C23,'DONNÉES BRUTES'!A$3:A$90,'DONNÉES BRUTES'!Z$3:Z$90),"—")</f>
        <v>57</v>
      </c>
      <c r="I23">
        <f>IFERROR(_xlfn.XLOOKUP(C23,'DONNÉES BRUTES'!A$3:A$90,'DONNÉES BRUTES'!AA$3:AA$90),"—")</f>
        <v>92</v>
      </c>
      <c r="K23" t="str">
        <f>IFERROR(_xlfn.XLOOKUP(C23,'DONNÉES BRUTES'!A$3:A$90,'DONNÉES BRUTES'!N$3:N$90),"—")</f>
        <v>35.4%</v>
      </c>
      <c r="L23" t="str">
        <f>IFERROR(_xlfn.XLOOKUP(C23,'DONNÉES BRUTES'!A$3:A$90,'DONNÉES BRUTES'!P$3:P$90),"—")</f>
        <v>+23.7%</v>
      </c>
      <c r="N23" t="str">
        <f>IFERROR(_xlfn.XLOOKUP(C23,'DONNÉES BRUTES'!A$3:A$90,'DONNÉES BRUTES'!AC$3:AC$90),"—")</f>
        <v>2026-04-22</v>
      </c>
      <c r="O23" t="str">
        <f>IFERROR(_xlfn.XLOOKUP(C23,'DONNÉES BRUTES'!A$3:A$90,'DONNÉES BRUTES'!AD$3:AD$90),"—")</f>
        <v>Surpondérer</v>
      </c>
    </row>
    <row r="24" spans="2:23" ht="13.9" customHeight="1" x14ac:dyDescent="0.25">
      <c r="B24">
        <v>9</v>
      </c>
      <c r="C24" t="str">
        <f>IFERROR(_xlfn.XLOOKUP(LARGE('DONNÉES BRUTES'!AB$3:AB$90,9),'DONNÉES BRUTES'!AB$3:AB$90,'DONNÉES BRUTES'!A$3:A$90),"—")</f>
        <v>PTC</v>
      </c>
      <c r="D24" t="str">
        <f>IFERROR(_xlfn.XLOOKUP(C24,'DONNÉES BRUTES'!A$3:A$90,'DONNÉES BRUTES'!B$3:B$90),"—")</f>
        <v>PTC Inc.</v>
      </c>
      <c r="E24" t="str">
        <f>IFERROR(_xlfn.XLOOKUP(C24,'DONNÉES BRUTES'!A$3:A$90,'DONNÉES BRUTES'!AB$3:AB$90)&amp;"/100","—")</f>
        <v>74/100</v>
      </c>
      <c r="G24">
        <f>IFERROR(_xlfn.XLOOKUP(C24,'DONNÉES BRUTES'!A$3:A$90,'DONNÉES BRUTES'!Y$3:Y$90),"—")</f>
        <v>91</v>
      </c>
      <c r="H24">
        <f>IFERROR(_xlfn.XLOOKUP(C24,'DONNÉES BRUTES'!A$3:A$90,'DONNÉES BRUTES'!Z$3:Z$90),"—")</f>
        <v>94</v>
      </c>
      <c r="I24">
        <f>IFERROR(_xlfn.XLOOKUP(C24,'DONNÉES BRUTES'!A$3:A$90,'DONNÉES BRUTES'!AA$3:AA$90),"—")</f>
        <v>37</v>
      </c>
      <c r="K24" t="str">
        <f>IFERROR(_xlfn.XLOOKUP(C24,'DONNÉES BRUTES'!A$3:A$90,'DONNÉES BRUTES'!N$3:N$90),"—")</f>
        <v>41.3%</v>
      </c>
      <c r="L24" t="str">
        <f>IFERROR(_xlfn.XLOOKUP(C24,'DONNÉES BRUTES'!A$3:A$90,'DONNÉES BRUTES'!P$3:P$90),"—")</f>
        <v>+19.2%</v>
      </c>
      <c r="N24" t="str">
        <f>IFERROR(_xlfn.XLOOKUP(C24,'DONNÉES BRUTES'!A$3:A$90,'DONNÉES BRUTES'!AC$3:AC$90),"—")</f>
        <v>2026-04-29</v>
      </c>
      <c r="O24" t="str">
        <f>IFERROR(_xlfn.XLOOKUP(C24,'DONNÉES BRUTES'!A$3:A$90,'DONNÉES BRUTES'!AD$3:AD$90),"—")</f>
        <v>Neutre</v>
      </c>
    </row>
    <row r="25" spans="2:23" ht="13.9" customHeight="1" x14ac:dyDescent="0.25">
      <c r="B25">
        <v>10</v>
      </c>
      <c r="C25" t="str">
        <f>IFERROR(_xlfn.XLOOKUP(LARGE('DONNÉES BRUTES'!AB$3:AB$90,10),'DONNÉES BRUTES'!AB$3:AB$90,'DONNÉES BRUTES'!A$3:A$90),"—")</f>
        <v>AMD</v>
      </c>
      <c r="D25" t="str">
        <f>IFERROR(_xlfn.XLOOKUP(C25,'DONNÉES BRUTES'!A$3:A$90,'DONNÉES BRUTES'!B$3:B$90),"—")</f>
        <v>Advanced Micro Devices, Inc.</v>
      </c>
      <c r="E25" t="str">
        <f>IFERROR(_xlfn.XLOOKUP(C25,'DONNÉES BRUTES'!A$3:A$90,'DONNÉES BRUTES'!AB$3:AB$90)&amp;"/100","—")</f>
        <v>73/100</v>
      </c>
      <c r="G25">
        <f>IFERROR(_xlfn.XLOOKUP(C25,'DONNÉES BRUTES'!A$3:A$90,'DONNÉES BRUTES'!Y$3:Y$90),"—")</f>
        <v>92</v>
      </c>
      <c r="H25">
        <f>IFERROR(_xlfn.XLOOKUP(C25,'DONNÉES BRUTES'!A$3:A$90,'DONNÉES BRUTES'!Z$3:Z$90),"—")</f>
        <v>40</v>
      </c>
      <c r="I25">
        <f>IFERROR(_xlfn.XLOOKUP(C25,'DONNÉES BRUTES'!A$3:A$90,'DONNÉES BRUTES'!AA$3:AA$90),"—")</f>
        <v>87</v>
      </c>
      <c r="K25" t="str">
        <f>IFERROR(_xlfn.XLOOKUP(C25,'DONNÉES BRUTES'!A$3:A$90,'DONNÉES BRUTES'!N$3:N$90),"—")</f>
        <v>21.0%</v>
      </c>
      <c r="L25" t="str">
        <f>IFERROR(_xlfn.XLOOKUP(C25,'DONNÉES BRUTES'!A$3:A$90,'DONNÉES BRUTES'!P$3:P$90),"—")</f>
        <v>+34.3%</v>
      </c>
      <c r="N25" t="str">
        <f>IFERROR(_xlfn.XLOOKUP(C25,'DONNÉES BRUTES'!A$3:A$90,'DONNÉES BRUTES'!AC$3:AC$90),"—")</f>
        <v>2026-05-05</v>
      </c>
      <c r="O25" t="str">
        <f>IFERROR(_xlfn.XLOOKUP(C25,'DONNÉES BRUTES'!A$3:A$90,'DONNÉES BRUTES'!AD$3:AD$90),"—")</f>
        <v>Neutre</v>
      </c>
    </row>
    <row r="26" spans="2:23" ht="13.9" customHeight="1" x14ac:dyDescent="0.25"/>
    <row r="27" spans="2:23" ht="13.9" customHeight="1" x14ac:dyDescent="0.25">
      <c r="B27" s="7" t="s">
        <v>711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2:23" ht="13.9" customHeight="1" x14ac:dyDescent="0.25"/>
    <row r="30" spans="2:23" x14ac:dyDescent="0.25">
      <c r="S30" s="7"/>
      <c r="T30" s="7"/>
      <c r="U30" s="7"/>
      <c r="V30" s="7"/>
      <c r="W30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45"/>
  <sheetViews>
    <sheetView showGridLines="0" zoomScaleNormal="100" workbookViewId="0">
      <selection activeCell="H18" sqref="H18"/>
    </sheetView>
  </sheetViews>
  <sheetFormatPr baseColWidth="10" defaultColWidth="8.85546875" defaultRowHeight="15" x14ac:dyDescent="0.25"/>
  <cols>
    <col min="1" max="1" width="1.7109375" customWidth="1"/>
    <col min="2" max="2" width="3.42578125" bestFit="1" customWidth="1"/>
    <col min="3" max="3" width="13.28515625" customWidth="1"/>
    <col min="4" max="4" width="27" bestFit="1" customWidth="1"/>
    <col min="5" max="5" width="1.28515625" customWidth="1"/>
    <col min="6" max="6" width="10.85546875" customWidth="1"/>
    <col min="7" max="7" width="16.28515625" customWidth="1"/>
    <col min="8" max="8" width="13" customWidth="1"/>
    <col min="9" max="9" width="13.7109375" customWidth="1"/>
    <col min="10" max="11" width="18.5703125" customWidth="1"/>
    <col min="12" max="12" width="14.85546875" customWidth="1"/>
    <col min="13" max="13" width="15.5703125" customWidth="1"/>
    <col min="14" max="14" width="14.85546875" customWidth="1"/>
    <col min="16" max="20" width="0.5703125" customWidth="1"/>
    <col min="21" max="26" width="8.85546875" customWidth="1"/>
  </cols>
  <sheetData>
    <row r="1" spans="2:30" ht="28.15" customHeight="1" x14ac:dyDescent="0.25">
      <c r="B1" s="14" t="s">
        <v>712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62"/>
      <c r="P1" s="62" t="s">
        <v>0</v>
      </c>
      <c r="Q1" s="62" t="s">
        <v>2</v>
      </c>
      <c r="R1" s="62"/>
      <c r="S1" s="62" t="s">
        <v>0</v>
      </c>
      <c r="T1" s="63" t="s">
        <v>752</v>
      </c>
      <c r="U1" s="64"/>
      <c r="V1" s="64" t="s">
        <v>0</v>
      </c>
      <c r="W1" s="64" t="s">
        <v>98</v>
      </c>
      <c r="X1" s="64"/>
      <c r="Y1" s="64" t="s">
        <v>48</v>
      </c>
      <c r="Z1" s="64" t="s">
        <v>748</v>
      </c>
      <c r="AA1" s="64"/>
      <c r="AB1" s="64"/>
      <c r="AC1" s="64"/>
      <c r="AD1" s="64"/>
    </row>
    <row r="2" spans="2:30" ht="15" customHeight="1" x14ac:dyDescent="0.25">
      <c r="B2" s="7" t="s">
        <v>713</v>
      </c>
      <c r="O2" s="65"/>
      <c r="P2" s="65" t="s">
        <v>21</v>
      </c>
      <c r="Q2" s="65">
        <v>88</v>
      </c>
      <c r="R2" s="65"/>
      <c r="S2" s="65" t="s">
        <v>21</v>
      </c>
      <c r="T2" s="64">
        <v>66.900000000000006</v>
      </c>
      <c r="U2" s="64"/>
      <c r="V2" s="64" t="s">
        <v>21</v>
      </c>
      <c r="W2" s="64">
        <v>13.22</v>
      </c>
      <c r="X2" s="64"/>
      <c r="Y2" s="64" t="s">
        <v>53</v>
      </c>
      <c r="Z2" s="64">
        <v>8</v>
      </c>
      <c r="AA2" s="64"/>
      <c r="AB2" s="64"/>
      <c r="AC2" s="64"/>
      <c r="AD2" s="64"/>
    </row>
    <row r="3" spans="2:30" ht="18" customHeight="1" x14ac:dyDescent="0.35">
      <c r="B3" s="24"/>
      <c r="C3" s="24">
        <f>COUNTA('DONNÉES BRUTES'!A$3:A$90)</f>
        <v>88</v>
      </c>
      <c r="D3" s="24"/>
      <c r="E3" s="24"/>
      <c r="F3" s="24"/>
      <c r="G3" s="24"/>
      <c r="H3" s="12" t="str">
        <f>IFERROR(_xlfn.XLOOKUP(LARGE('DONNÉES BRUTES'!AB$3:AB$90,1),'DONNÉES BRUTES'!AB$3:AB$90,'DONNÉES BRUTES'!A$3:A$90),"—")</f>
        <v>NVDA</v>
      </c>
      <c r="I3" s="24"/>
      <c r="J3" s="24"/>
      <c r="K3" s="24"/>
      <c r="L3" s="24"/>
      <c r="M3" s="24" t="str">
        <f>IFERROR(ROUND(AVERAGE('DONNÉES BRUTES'!AB$3:AB$90),0)&amp;"/100","—")</f>
        <v>50/100</v>
      </c>
      <c r="N3" s="24"/>
      <c r="O3" s="65"/>
      <c r="P3" s="65" t="s">
        <v>54</v>
      </c>
      <c r="Q3" s="65">
        <v>84</v>
      </c>
      <c r="R3" s="65"/>
      <c r="S3" s="65" t="s">
        <v>54</v>
      </c>
      <c r="T3" s="64">
        <v>43.9</v>
      </c>
      <c r="U3" s="64"/>
      <c r="V3" s="64" t="s">
        <v>54</v>
      </c>
      <c r="W3" s="64">
        <v>5.64</v>
      </c>
      <c r="X3" s="64"/>
      <c r="Y3" s="64" t="s">
        <v>91</v>
      </c>
      <c r="Z3" s="64">
        <v>29</v>
      </c>
      <c r="AA3" s="64"/>
      <c r="AB3" s="64"/>
      <c r="AC3" s="64"/>
      <c r="AD3" s="64"/>
    </row>
    <row r="4" spans="2:30" ht="13.9" customHeight="1" x14ac:dyDescent="0.35">
      <c r="B4" s="10"/>
      <c r="C4" s="10" t="s">
        <v>714</v>
      </c>
      <c r="D4" s="10"/>
      <c r="E4" s="10"/>
      <c r="F4" s="10"/>
      <c r="G4" s="10"/>
      <c r="H4" s="10" t="s">
        <v>715</v>
      </c>
      <c r="I4" s="24"/>
      <c r="J4" s="10"/>
      <c r="K4" s="10"/>
      <c r="L4" s="10"/>
      <c r="M4" s="10" t="s">
        <v>716</v>
      </c>
      <c r="N4" s="10"/>
      <c r="O4" s="65"/>
      <c r="P4" s="65" t="s">
        <v>60</v>
      </c>
      <c r="Q4" s="65">
        <v>83</v>
      </c>
      <c r="R4" s="65"/>
      <c r="S4" s="65" t="s">
        <v>60</v>
      </c>
      <c r="T4" s="64">
        <v>43.6</v>
      </c>
      <c r="U4" s="64"/>
      <c r="V4" s="64" t="s">
        <v>60</v>
      </c>
      <c r="W4" s="64">
        <v>8.4600000000000009</v>
      </c>
      <c r="X4" s="64"/>
      <c r="Y4" s="64" t="s">
        <v>140</v>
      </c>
      <c r="Z4" s="64">
        <v>51</v>
      </c>
      <c r="AA4" s="64"/>
      <c r="AB4" s="64"/>
      <c r="AC4" s="64"/>
      <c r="AD4" s="64"/>
    </row>
    <row r="5" spans="2:30" ht="13.9" customHeight="1" x14ac:dyDescent="0.25">
      <c r="B5" s="14" t="s">
        <v>717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2"/>
      <c r="P5" s="62" t="s">
        <v>66</v>
      </c>
      <c r="Q5" s="62">
        <v>81</v>
      </c>
      <c r="R5" s="62"/>
      <c r="S5" s="62" t="s">
        <v>66</v>
      </c>
      <c r="T5" s="64">
        <v>54.3</v>
      </c>
      <c r="U5" s="64"/>
      <c r="V5" s="64" t="s">
        <v>66</v>
      </c>
      <c r="W5" s="64">
        <v>2.66</v>
      </c>
      <c r="X5" s="64"/>
      <c r="Y5" s="64"/>
      <c r="Z5" s="64"/>
      <c r="AA5" s="64"/>
      <c r="AB5" s="64"/>
      <c r="AC5" s="64"/>
      <c r="AD5" s="64"/>
    </row>
    <row r="6" spans="2:30" ht="13.9" customHeight="1" x14ac:dyDescent="0.25">
      <c r="B6" s="23" t="s">
        <v>41</v>
      </c>
      <c r="C6" s="6" t="s">
        <v>0</v>
      </c>
      <c r="D6" s="6" t="s">
        <v>1</v>
      </c>
      <c r="E6" s="6"/>
      <c r="F6" s="6" t="s">
        <v>2</v>
      </c>
      <c r="G6" s="6" t="s">
        <v>46</v>
      </c>
      <c r="H6" s="6" t="s">
        <v>579</v>
      </c>
      <c r="I6" s="6" t="s">
        <v>97</v>
      </c>
      <c r="J6" s="6" t="s">
        <v>581</v>
      </c>
      <c r="K6" s="6" t="s">
        <v>582</v>
      </c>
      <c r="L6" s="6" t="s">
        <v>98</v>
      </c>
      <c r="M6" s="6" t="s">
        <v>99</v>
      </c>
      <c r="N6" s="6" t="s">
        <v>48</v>
      </c>
      <c r="O6" s="65"/>
      <c r="P6" s="65" t="s">
        <v>18</v>
      </c>
      <c r="Q6" s="65">
        <v>78</v>
      </c>
      <c r="R6" s="65"/>
      <c r="S6" s="65" t="s">
        <v>18</v>
      </c>
      <c r="T6" s="64">
        <v>49.4</v>
      </c>
      <c r="U6" s="64"/>
      <c r="V6" s="64" t="s">
        <v>18</v>
      </c>
      <c r="W6" s="64">
        <v>6.1</v>
      </c>
      <c r="X6" s="64"/>
      <c r="Y6" s="64"/>
      <c r="Z6" s="64"/>
      <c r="AA6" s="64"/>
      <c r="AB6" s="64"/>
      <c r="AC6" s="64"/>
      <c r="AD6" s="64"/>
    </row>
    <row r="7" spans="2:30" ht="13.9" customHeight="1" x14ac:dyDescent="0.25">
      <c r="B7">
        <v>1</v>
      </c>
      <c r="C7" t="str">
        <f>IFERROR(_xlfn.XLOOKUP(LARGE('DONNÉES BRUTES'!AB$3:AB$90,1),'DONNÉES BRUTES'!AB$3:AB$90,'DONNÉES BRUTES'!A$3:A$90),"—")</f>
        <v>NVDA</v>
      </c>
      <c r="D7" t="str">
        <f>IFERROR(_xlfn.XLOOKUP(C7,'DONNÉES BRUTES'!A$3:A$90,'DONNÉES BRUTES'!B$3:B$90),"—")</f>
        <v>NVIDIA Corporation</v>
      </c>
      <c r="F7" t="str">
        <f>IFERROR(_xlfn.XLOOKUP(C7,'DONNÉES BRUTES'!A$3:A$90,'DONNÉES BRUTES'!AB$3:AB$90)&amp;"/100","—")</f>
        <v>88/100</v>
      </c>
      <c r="G7" t="str">
        <f>IFERROR(_xlfn.XLOOKUP(C7,'DONNÉES BRUTES'!A$3:A$90,'DONNÉES BRUTES'!I$3:I$90),"—")</f>
        <v>—</v>
      </c>
      <c r="H7" t="str">
        <f>IFERROR(_xlfn.XLOOKUP(C7,'DONNÉES BRUTES'!A$3:A$90,'DONNÉES BRUTES'!J$3:J$90),"—")</f>
        <v>—</v>
      </c>
      <c r="I7" t="str">
        <f>IFERROR(_xlfn.XLOOKUP(C7,'DONNÉES BRUTES'!A$3:A$90,'DONNÉES BRUTES'!K$3:K$90),"—")</f>
        <v>—</v>
      </c>
      <c r="J7" t="str">
        <f>IFERROR(_xlfn.XLOOKUP(C7,'DONNÉES BRUTES'!A$3:A$90,'DONNÉES BRUTES'!M$3:M$90),"—")</f>
        <v>71.1%</v>
      </c>
      <c r="K7" t="str">
        <f>IFERROR(_xlfn.XLOOKUP(C7,'DONNÉES BRUTES'!A$3:A$90,'DONNÉES BRUTES'!N$3:N$90),"—")</f>
        <v>66.9%</v>
      </c>
      <c r="L7" t="str">
        <f>IFERROR(_xlfn.XLOOKUP(C7,'DONNÉES BRUTES'!A$3:A$90,'DONNÉES BRUTES'!U$3:U$90),"—")</f>
        <v>13.22</v>
      </c>
      <c r="M7" t="s">
        <v>8</v>
      </c>
      <c r="N7" t="str">
        <f>IFERROR(_xlfn.XLOOKUP(C7,'DONNÉES BRUTES'!A$3:A$90,'DONNÉES BRUTES'!AD$3:AD$90),"—")</f>
        <v>Surpondérer</v>
      </c>
      <c r="O7" s="64"/>
      <c r="P7" s="64" t="s">
        <v>72</v>
      </c>
      <c r="Q7" s="64">
        <v>78</v>
      </c>
      <c r="R7" s="64"/>
      <c r="S7" s="64" t="s">
        <v>72</v>
      </c>
      <c r="T7" s="64">
        <v>28</v>
      </c>
      <c r="U7" s="64"/>
      <c r="V7" s="64" t="s">
        <v>72</v>
      </c>
      <c r="W7" s="64">
        <v>11.63</v>
      </c>
      <c r="X7" s="64"/>
      <c r="Y7" s="64"/>
      <c r="Z7" s="64"/>
      <c r="AA7" s="64"/>
      <c r="AB7" s="64"/>
      <c r="AC7" s="64"/>
      <c r="AD7" s="64"/>
    </row>
    <row r="8" spans="2:30" ht="13.9" customHeight="1" x14ac:dyDescent="0.25">
      <c r="B8" s="8">
        <v>2</v>
      </c>
      <c r="C8" s="8" t="str">
        <f>IFERROR(_xlfn.XLOOKUP(LARGE('DONNÉES BRUTES'!AB$3:AB$90,2),'DONNÉES BRUTES'!AB$3:AB$90,'DONNÉES BRUTES'!A$3:A$90),"—")</f>
        <v>KLAC</v>
      </c>
      <c r="D8" s="8" t="str">
        <f>IFERROR(_xlfn.XLOOKUP(C8,'DONNÉES BRUTES'!A$3:A$90,'DONNÉES BRUTES'!B$3:B$90),"—")</f>
        <v>KLA Corporation</v>
      </c>
      <c r="E8" s="8"/>
      <c r="F8" s="8" t="str">
        <f>IFERROR(_xlfn.XLOOKUP(C8,'DONNÉES BRUTES'!A$3:A$90,'DONNÉES BRUTES'!AB$3:AB$90)&amp;"/100","—")</f>
        <v>84/100</v>
      </c>
      <c r="G8" s="8" t="str">
        <f>IFERROR(_xlfn.XLOOKUP(C8,'DONNÉES BRUTES'!A$3:A$90,'DONNÉES BRUTES'!I$3:I$90),"—")</f>
        <v>—</v>
      </c>
      <c r="H8" s="8" t="str">
        <f>IFERROR(_xlfn.XLOOKUP(C8,'DONNÉES BRUTES'!A$3:A$90,'DONNÉES BRUTES'!J$3:J$90),"—")</f>
        <v>—</v>
      </c>
      <c r="I8" s="8" t="str">
        <f>IFERROR(_xlfn.XLOOKUP(C8,'DONNÉES BRUTES'!A$3:A$90,'DONNÉES BRUTES'!K$3:K$90),"—")</f>
        <v>—</v>
      </c>
      <c r="J8" s="8" t="str">
        <f>IFERROR(_xlfn.XLOOKUP(C8,'DONNÉES BRUTES'!A$3:A$90,'DONNÉES BRUTES'!M$3:M$90),"—")</f>
        <v>60.9%</v>
      </c>
      <c r="K8" s="8" t="str">
        <f>IFERROR(_xlfn.XLOOKUP(C8,'DONNÉES BRUTES'!A$3:A$90,'DONNÉES BRUTES'!N$3:N$90),"—")</f>
        <v>43.9%</v>
      </c>
      <c r="L8" s="8" t="str">
        <f>IFERROR(_xlfn.XLOOKUP(C8,'DONNÉES BRUTES'!A$3:A$90,'DONNÉES BRUTES'!U$3:U$90),"—")</f>
        <v>5.64</v>
      </c>
      <c r="M8" s="8" t="s">
        <v>8</v>
      </c>
      <c r="N8" s="8" t="str">
        <f>IFERROR(_xlfn.XLOOKUP(C8,'DONNÉES BRUTES'!A$3:A$90,'DONNÉES BRUTES'!AD$3:AD$90),"—")</f>
        <v>Surpondérer</v>
      </c>
      <c r="O8" s="64"/>
      <c r="P8" s="64" t="s">
        <v>78</v>
      </c>
      <c r="Q8" s="64">
        <v>77</v>
      </c>
      <c r="R8" s="64"/>
      <c r="S8" s="64" t="s">
        <v>78</v>
      </c>
      <c r="T8" s="64">
        <v>35.4</v>
      </c>
      <c r="U8" s="64"/>
      <c r="V8" s="64" t="s">
        <v>78</v>
      </c>
      <c r="W8" s="64">
        <v>9.6999999999999993</v>
      </c>
      <c r="X8" s="64"/>
      <c r="Y8" s="64"/>
      <c r="Z8" s="64"/>
      <c r="AA8" s="64"/>
      <c r="AB8" s="64"/>
      <c r="AC8" s="64"/>
      <c r="AD8" s="64"/>
    </row>
    <row r="9" spans="2:30" ht="13.9" customHeight="1" x14ac:dyDescent="0.25">
      <c r="B9">
        <v>3</v>
      </c>
      <c r="C9" t="str">
        <f>IFERROR(_xlfn.XLOOKUP(LARGE('DONNÉES BRUTES'!AB$3:AB$90,3),'DONNÉES BRUTES'!AB$3:AB$90,'DONNÉES BRUTES'!A$3:A$90),"—")</f>
        <v>ANET</v>
      </c>
      <c r="D9" t="str">
        <f>IFERROR(_xlfn.XLOOKUP(C9,'DONNÉES BRUTES'!A$3:A$90,'DONNÉES BRUTES'!B$3:B$90),"—")</f>
        <v>Arista Networks, Inc.</v>
      </c>
      <c r="F9" t="str">
        <f>IFERROR(_xlfn.XLOOKUP(C9,'DONNÉES BRUTES'!A$3:A$90,'DONNÉES BRUTES'!AB$3:AB$90)&amp;"/100","—")</f>
        <v>83/100</v>
      </c>
      <c r="G9" t="str">
        <f>IFERROR(_xlfn.XLOOKUP(C9,'DONNÉES BRUTES'!A$3:A$90,'DONNÉES BRUTES'!I$3:I$90),"—")</f>
        <v>—</v>
      </c>
      <c r="H9" t="str">
        <f>IFERROR(_xlfn.XLOOKUP(C9,'DONNÉES BRUTES'!A$3:A$90,'DONNÉES BRUTES'!J$3:J$90),"—")</f>
        <v>—</v>
      </c>
      <c r="I9" t="str">
        <f>IFERROR(_xlfn.XLOOKUP(C9,'DONNÉES BRUTES'!A$3:A$90,'DONNÉES BRUTES'!K$3:K$90),"—")</f>
        <v>—</v>
      </c>
      <c r="J9" t="str">
        <f>IFERROR(_xlfn.XLOOKUP(C9,'DONNÉES BRUTES'!A$3:A$90,'DONNÉES BRUTES'!M$3:M$90),"—")</f>
        <v>64.1%</v>
      </c>
      <c r="K9" t="str">
        <f>IFERROR(_xlfn.XLOOKUP(C9,'DONNÉES BRUTES'!A$3:A$90,'DONNÉES BRUTES'!N$3:N$90),"—")</f>
        <v>43.6%</v>
      </c>
      <c r="L9" t="str">
        <f>IFERROR(_xlfn.XLOOKUP(C9,'DONNÉES BRUTES'!A$3:A$90,'DONNÉES BRUTES'!U$3:U$90),"—")</f>
        <v>8.46</v>
      </c>
      <c r="M9" t="s">
        <v>8</v>
      </c>
      <c r="N9" t="str">
        <f>IFERROR(_xlfn.XLOOKUP(C9,'DONNÉES BRUTES'!A$3:A$90,'DONNÉES BRUTES'!AD$3:AD$90),"—")</f>
        <v>Surpondérer</v>
      </c>
      <c r="O9" s="64"/>
      <c r="P9" s="64" t="s">
        <v>11</v>
      </c>
      <c r="Q9" s="64">
        <v>77</v>
      </c>
      <c r="R9" s="64"/>
      <c r="S9" s="64" t="s">
        <v>11</v>
      </c>
      <c r="T9" s="64">
        <v>20.399999999999999</v>
      </c>
      <c r="U9" s="64"/>
      <c r="V9" s="64" t="s">
        <v>11</v>
      </c>
      <c r="W9" s="64">
        <v>1.76</v>
      </c>
      <c r="X9" s="64"/>
      <c r="Y9" s="64"/>
      <c r="Z9" s="64"/>
      <c r="AA9" s="64"/>
      <c r="AB9" s="64"/>
      <c r="AC9" s="64"/>
      <c r="AD9" s="64"/>
    </row>
    <row r="10" spans="2:30" ht="13.9" customHeight="1" x14ac:dyDescent="0.25">
      <c r="B10" s="8">
        <v>4</v>
      </c>
      <c r="C10" s="8" t="str">
        <f>IFERROR(_xlfn.XLOOKUP(LARGE('DONNÉES BRUTES'!AB$3:AB$90,4),'DONNÉES BRUTES'!AB$3:AB$90,'DONNÉES BRUTES'!A$3:A$90),"—")</f>
        <v>AVGO</v>
      </c>
      <c r="D10" s="8" t="str">
        <f>IFERROR(_xlfn.XLOOKUP(C10,'DONNÉES BRUTES'!A$3:A$90,'DONNÉES BRUTES'!B$3:B$90),"—")</f>
        <v>Broadcom Inc.</v>
      </c>
      <c r="E10" s="8"/>
      <c r="F10" s="8" t="str">
        <f>IFERROR(_xlfn.XLOOKUP(C10,'DONNÉES BRUTES'!A$3:A$90,'DONNÉES BRUTES'!AB$3:AB$90)&amp;"/100","—")</f>
        <v>81/100</v>
      </c>
      <c r="G10" s="8" t="str">
        <f>IFERROR(_xlfn.XLOOKUP(C10,'DONNÉES BRUTES'!A$3:A$90,'DONNÉES BRUTES'!I$3:I$90),"—")</f>
        <v>—</v>
      </c>
      <c r="H10" s="8" t="str">
        <f>IFERROR(_xlfn.XLOOKUP(C10,'DONNÉES BRUTES'!A$3:A$90,'DONNÉES BRUTES'!J$3:J$90),"—")</f>
        <v>—</v>
      </c>
      <c r="I10" s="8" t="str">
        <f>IFERROR(_xlfn.XLOOKUP(C10,'DONNÉES BRUTES'!A$3:A$90,'DONNÉES BRUTES'!K$3:K$90),"—")</f>
        <v>—</v>
      </c>
      <c r="J10" s="8" t="str">
        <f>IFERROR(_xlfn.XLOOKUP(C10,'DONNÉES BRUTES'!A$3:A$90,'DONNÉES BRUTES'!M$3:M$90),"—")</f>
        <v>67.8%</v>
      </c>
      <c r="K10" s="8" t="str">
        <f>IFERROR(_xlfn.XLOOKUP(C10,'DONNÉES BRUTES'!A$3:A$90,'DONNÉES BRUTES'!N$3:N$90),"—")</f>
        <v>54.3%</v>
      </c>
      <c r="L10" s="8" t="str">
        <f>IFERROR(_xlfn.XLOOKUP(C10,'DONNÉES BRUTES'!A$3:A$90,'DONNÉES BRUTES'!U$3:U$90),"—")</f>
        <v>2.66</v>
      </c>
      <c r="M10" s="8" t="s">
        <v>8</v>
      </c>
      <c r="N10" s="8" t="str">
        <f>IFERROR(_xlfn.XLOOKUP(C10,'DONNÉES BRUTES'!A$3:A$90,'DONNÉES BRUTES'!AD$3:AD$90),"—")</f>
        <v>Surpondérer</v>
      </c>
      <c r="O10" s="64"/>
      <c r="P10" s="64" t="s">
        <v>86</v>
      </c>
      <c r="Q10" s="64">
        <v>74</v>
      </c>
      <c r="R10" s="64"/>
      <c r="S10" s="64" t="s">
        <v>86</v>
      </c>
      <c r="T10" s="64">
        <v>41.3</v>
      </c>
      <c r="U10" s="64"/>
      <c r="V10" s="64" t="s">
        <v>86</v>
      </c>
      <c r="W10" s="64">
        <v>3.62</v>
      </c>
      <c r="X10" s="64"/>
      <c r="Y10" s="64"/>
      <c r="Z10" s="64"/>
      <c r="AA10" s="64"/>
      <c r="AB10" s="64"/>
      <c r="AC10" s="64"/>
      <c r="AD10" s="64"/>
    </row>
    <row r="11" spans="2:30" ht="13.9" customHeight="1" x14ac:dyDescent="0.25">
      <c r="B11">
        <v>5</v>
      </c>
      <c r="C11" t="str">
        <f>IFERROR(_xlfn.XLOOKUP(LARGE('DONNÉES BRUTES'!AB$3:AB$90,5),'DONNÉES BRUTES'!AB$3:AB$90,'DONNÉES BRUTES'!A$3:A$90),"—")</f>
        <v>MU</v>
      </c>
      <c r="D11" t="str">
        <f>IFERROR(_xlfn.XLOOKUP(C11,'DONNÉES BRUTES'!A$3:A$90,'DONNÉES BRUTES'!B$3:B$90),"—")</f>
        <v>Micron Technology, Inc.</v>
      </c>
      <c r="F11" t="str">
        <f>IFERROR(_xlfn.XLOOKUP(C11,'DONNÉES BRUTES'!A$3:A$90,'DONNÉES BRUTES'!AB$3:AB$90)&amp;"/100","—")</f>
        <v>78/100</v>
      </c>
      <c r="G11" t="str">
        <f>IFERROR(_xlfn.XLOOKUP(C11,'DONNÉES BRUTES'!A$3:A$90,'DONNÉES BRUTES'!I$3:I$90),"—")</f>
        <v>—</v>
      </c>
      <c r="H11" t="str">
        <f>IFERROR(_xlfn.XLOOKUP(C11,'DONNÉES BRUTES'!A$3:A$90,'DONNÉES BRUTES'!J$3:J$90),"—")</f>
        <v>—</v>
      </c>
      <c r="I11" t="str">
        <f>IFERROR(_xlfn.XLOOKUP(C11,'DONNÉES BRUTES'!A$3:A$90,'DONNÉES BRUTES'!K$3:K$90),"—")</f>
        <v>—</v>
      </c>
      <c r="J11" t="str">
        <f>IFERROR(_xlfn.XLOOKUP(C11,'DONNÉES BRUTES'!A$3:A$90,'DONNÉES BRUTES'!M$3:M$90),"—")</f>
        <v>39.8%</v>
      </c>
      <c r="K11" t="str">
        <f>IFERROR(_xlfn.XLOOKUP(C11,'DONNÉES BRUTES'!A$3:A$90,'DONNÉES BRUTES'!N$3:N$90),"—")</f>
        <v>49.4%</v>
      </c>
      <c r="L11" t="str">
        <f>IFERROR(_xlfn.XLOOKUP(C11,'DONNÉES BRUTES'!A$3:A$90,'DONNÉES BRUTES'!U$3:U$90),"—")</f>
        <v>6.10</v>
      </c>
      <c r="M11" t="s">
        <v>8</v>
      </c>
      <c r="N11" t="str">
        <f>IFERROR(_xlfn.XLOOKUP(C11,'DONNÉES BRUTES'!A$3:A$90,'DONNÉES BRUTES'!AD$3:AD$90),"—")</f>
        <v>Surpondérer</v>
      </c>
      <c r="O11" s="64"/>
      <c r="P11" s="64" t="s">
        <v>92</v>
      </c>
      <c r="Q11" s="64">
        <v>73</v>
      </c>
      <c r="R11" s="64"/>
      <c r="S11" s="64" t="s">
        <v>92</v>
      </c>
      <c r="T11" s="64">
        <v>21</v>
      </c>
      <c r="U11" s="64"/>
      <c r="V11" s="64" t="s">
        <v>92</v>
      </c>
      <c r="W11" s="64">
        <v>6.9</v>
      </c>
      <c r="X11" s="64"/>
      <c r="Y11" s="64"/>
      <c r="Z11" s="64"/>
      <c r="AA11" s="64"/>
      <c r="AB11" s="64"/>
      <c r="AC11" s="64"/>
      <c r="AD11" s="64"/>
    </row>
    <row r="12" spans="2:30" ht="13.9" customHeight="1" x14ac:dyDescent="0.25">
      <c r="B12" s="8">
        <v>6</v>
      </c>
      <c r="C12" s="8" t="str">
        <f>IFERROR(_xlfn.XLOOKUP(LARGE('DONNÉES BRUTES'!AB$3:AB$90,6),'DONNÉES BRUTES'!AB$3:AB$90,'DONNÉES BRUTES'!A$3:A$90),"—")</f>
        <v>MU</v>
      </c>
      <c r="D12" s="8" t="str">
        <f>IFERROR(_xlfn.XLOOKUP(C12,'DONNÉES BRUTES'!A$3:A$90,'DONNÉES BRUTES'!B$3:B$90),"—")</f>
        <v>Micron Technology, Inc.</v>
      </c>
      <c r="E12" s="8"/>
      <c r="F12" s="8" t="str">
        <f>IFERROR(_xlfn.XLOOKUP(C12,'DONNÉES BRUTES'!A$3:A$90,'DONNÉES BRUTES'!AB$3:AB$90)&amp;"/100","—")</f>
        <v>78/100</v>
      </c>
      <c r="G12" s="8" t="str">
        <f>IFERROR(_xlfn.XLOOKUP(C12,'DONNÉES BRUTES'!A$3:A$90,'DONNÉES BRUTES'!I$3:I$90),"—")</f>
        <v>—</v>
      </c>
      <c r="H12" s="8" t="str">
        <f>IFERROR(_xlfn.XLOOKUP(C12,'DONNÉES BRUTES'!A$3:A$90,'DONNÉES BRUTES'!J$3:J$90),"—")</f>
        <v>—</v>
      </c>
      <c r="I12" s="8" t="str">
        <f>IFERROR(_xlfn.XLOOKUP(C12,'DONNÉES BRUTES'!A$3:A$90,'DONNÉES BRUTES'!K$3:K$90),"—")</f>
        <v>—</v>
      </c>
      <c r="J12" s="8" t="str">
        <f>IFERROR(_xlfn.XLOOKUP(C12,'DONNÉES BRUTES'!A$3:A$90,'DONNÉES BRUTES'!M$3:M$90),"—")</f>
        <v>39.8%</v>
      </c>
      <c r="K12" s="8" t="str">
        <f>IFERROR(_xlfn.XLOOKUP(C12,'DONNÉES BRUTES'!A$3:A$90,'DONNÉES BRUTES'!N$3:N$90),"—")</f>
        <v>49.4%</v>
      </c>
      <c r="L12" s="8" t="str">
        <f>IFERROR(_xlfn.XLOOKUP(C12,'DONNÉES BRUTES'!A$3:A$90,'DONNÉES BRUTES'!U$3:U$90),"—")</f>
        <v>6.10</v>
      </c>
      <c r="M12" s="8" t="s">
        <v>8</v>
      </c>
      <c r="N12" s="8" t="str">
        <f>IFERROR(_xlfn.XLOOKUP(C12,'DONNÉES BRUTES'!A$3:A$90,'DONNÉES BRUTES'!AD$3:AD$90),"—")</f>
        <v>Surpondérer</v>
      </c>
      <c r="O12" s="64"/>
      <c r="P12" s="64" t="s">
        <v>751</v>
      </c>
      <c r="Q12" s="64">
        <v>72</v>
      </c>
      <c r="R12" s="64"/>
      <c r="S12" s="64" t="s">
        <v>751</v>
      </c>
      <c r="T12" s="64">
        <v>38.4</v>
      </c>
      <c r="U12" s="64"/>
      <c r="V12" s="64" t="s">
        <v>222</v>
      </c>
      <c r="W12" s="64">
        <v>4.1500000000000004</v>
      </c>
      <c r="X12" s="64"/>
      <c r="Y12" s="64"/>
      <c r="Z12" s="64"/>
      <c r="AA12" s="64"/>
      <c r="AB12" s="64"/>
      <c r="AC12" s="64"/>
      <c r="AD12" s="64"/>
    </row>
    <row r="13" spans="2:30" ht="13.9" customHeight="1" x14ac:dyDescent="0.25">
      <c r="B13">
        <v>7</v>
      </c>
      <c r="C13" t="str">
        <f>IFERROR(_xlfn.XLOOKUP(LARGE('DONNÉES BRUTES'!AB$3:AB$90,7),'DONNÉES BRUTES'!AB$3:AB$90,'DONNÉES BRUTES'!A$3:A$90),"—")</f>
        <v>LRCX</v>
      </c>
      <c r="D13" t="str">
        <f>IFERROR(_xlfn.XLOOKUP(C13,'DONNÉES BRUTES'!A$3:A$90,'DONNÉES BRUTES'!B$3:B$90),"—")</f>
        <v>Lam Research Corporation</v>
      </c>
      <c r="F13" t="str">
        <f>IFERROR(_xlfn.XLOOKUP(C13,'DONNÉES BRUTES'!A$3:A$90,'DONNÉES BRUTES'!AB$3:AB$90)&amp;"/100","—")</f>
        <v>77/100</v>
      </c>
      <c r="G13" t="str">
        <f>IFERROR(_xlfn.XLOOKUP(C13,'DONNÉES BRUTES'!A$3:A$90,'DONNÉES BRUTES'!I$3:I$90),"—")</f>
        <v>—</v>
      </c>
      <c r="H13" t="str">
        <f>IFERROR(_xlfn.XLOOKUP(C13,'DONNÉES BRUTES'!A$3:A$90,'DONNÉES BRUTES'!J$3:J$90),"—")</f>
        <v>—</v>
      </c>
      <c r="I13" t="str">
        <f>IFERROR(_xlfn.XLOOKUP(C13,'DONNÉES BRUTES'!A$3:A$90,'DONNÉES BRUTES'!K$3:K$90),"—")</f>
        <v>—</v>
      </c>
      <c r="J13" t="str">
        <f>IFERROR(_xlfn.XLOOKUP(C13,'DONNÉES BRUTES'!A$3:A$90,'DONNÉES BRUTES'!M$3:M$90),"—")</f>
        <v>48.7%</v>
      </c>
      <c r="K13" t="str">
        <f>IFERROR(_xlfn.XLOOKUP(C13,'DONNÉES BRUTES'!A$3:A$90,'DONNÉES BRUTES'!N$3:N$90),"—")</f>
        <v>35.4%</v>
      </c>
      <c r="L13" t="str">
        <f>IFERROR(_xlfn.XLOOKUP(C13,'DONNÉES BRUTES'!A$3:A$90,'DONNÉES BRUTES'!U$3:U$90),"—")</f>
        <v>9.70</v>
      </c>
      <c r="M13" t="s">
        <v>8</v>
      </c>
      <c r="N13" t="str">
        <f>IFERROR(_xlfn.XLOOKUP(C13,'DONNÉES BRUTES'!A$3:A$90,'DONNÉES BRUTES'!AD$3:AD$90),"—")</f>
        <v>Surpondérer</v>
      </c>
      <c r="O13" s="64"/>
      <c r="P13" s="64" t="s">
        <v>241</v>
      </c>
      <c r="Q13" s="64">
        <v>71</v>
      </c>
      <c r="R13" s="64"/>
      <c r="S13" s="64" t="s">
        <v>241</v>
      </c>
      <c r="T13" s="64">
        <v>45.6</v>
      </c>
      <c r="U13" s="64"/>
      <c r="V13" s="64" t="s">
        <v>241</v>
      </c>
      <c r="W13" s="64">
        <v>4.17</v>
      </c>
      <c r="X13" s="64"/>
      <c r="Y13" s="64"/>
      <c r="Z13" s="64"/>
      <c r="AA13" s="64"/>
      <c r="AB13" s="64"/>
      <c r="AC13" s="64"/>
      <c r="AD13" s="64"/>
    </row>
    <row r="14" spans="2:30" ht="13.9" customHeight="1" x14ac:dyDescent="0.25">
      <c r="B14" s="8">
        <v>8</v>
      </c>
      <c r="C14" s="8" t="str">
        <f>IFERROR(_xlfn.XLOOKUP(LARGE('DONNÉES BRUTES'!AB$3:AB$90,8),'DONNÉES BRUTES'!AB$3:AB$90,'DONNÉES BRUTES'!A$3:A$90),"—")</f>
        <v>LRCX</v>
      </c>
      <c r="D14" s="8" t="str">
        <f>IFERROR(_xlfn.XLOOKUP(C14,'DONNÉES BRUTES'!A$3:A$90,'DONNÉES BRUTES'!B$3:B$90),"—")</f>
        <v>Lam Research Corporation</v>
      </c>
      <c r="E14" s="8"/>
      <c r="F14" s="8" t="str">
        <f>IFERROR(_xlfn.XLOOKUP(C14,'DONNÉES BRUTES'!A$3:A$90,'DONNÉES BRUTES'!AB$3:AB$90)&amp;"/100","—")</f>
        <v>77/100</v>
      </c>
      <c r="G14" s="8" t="str">
        <f>IFERROR(_xlfn.XLOOKUP(C14,'DONNÉES BRUTES'!A$3:A$90,'DONNÉES BRUTES'!I$3:I$90),"—")</f>
        <v>—</v>
      </c>
      <c r="H14" s="8" t="str">
        <f>IFERROR(_xlfn.XLOOKUP(C14,'DONNÉES BRUTES'!A$3:A$90,'DONNÉES BRUTES'!J$3:J$90),"—")</f>
        <v>—</v>
      </c>
      <c r="I14" s="8" t="str">
        <f>IFERROR(_xlfn.XLOOKUP(C14,'DONNÉES BRUTES'!A$3:A$90,'DONNÉES BRUTES'!K$3:K$90),"—")</f>
        <v>—</v>
      </c>
      <c r="J14" s="8" t="str">
        <f>IFERROR(_xlfn.XLOOKUP(C14,'DONNÉES BRUTES'!A$3:A$90,'DONNÉES BRUTES'!M$3:M$90),"—")</f>
        <v>48.7%</v>
      </c>
      <c r="K14" s="8" t="str">
        <f>IFERROR(_xlfn.XLOOKUP(C14,'DONNÉES BRUTES'!A$3:A$90,'DONNÉES BRUTES'!N$3:N$90),"—")</f>
        <v>35.4%</v>
      </c>
      <c r="L14" s="8" t="str">
        <f>IFERROR(_xlfn.XLOOKUP(C14,'DONNÉES BRUTES'!A$3:A$90,'DONNÉES BRUTES'!U$3:U$90),"—")</f>
        <v>9.70</v>
      </c>
      <c r="M14" s="8" t="s">
        <v>8</v>
      </c>
      <c r="N14" s="8" t="str">
        <f>IFERROR(_xlfn.XLOOKUP(C14,'DONNÉES BRUTES'!A$3:A$90,'DONNÉES BRUTES'!AD$3:AD$90),"—")</f>
        <v>Surpondérer</v>
      </c>
      <c r="O14" s="64"/>
      <c r="P14" s="64" t="s">
        <v>128</v>
      </c>
      <c r="Q14" s="64">
        <v>68</v>
      </c>
      <c r="R14" s="64"/>
      <c r="S14" s="64" t="s">
        <v>128</v>
      </c>
      <c r="T14" s="64">
        <v>23.9</v>
      </c>
      <c r="U14" s="64"/>
      <c r="V14" s="64" t="s">
        <v>128</v>
      </c>
      <c r="W14" s="64">
        <v>3.62</v>
      </c>
      <c r="X14" s="64"/>
      <c r="Y14" s="64"/>
      <c r="Z14" s="64"/>
      <c r="AA14" s="64"/>
      <c r="AB14" s="64"/>
      <c r="AC14" s="64"/>
      <c r="AD14" s="64"/>
    </row>
    <row r="15" spans="2:30" ht="13.9" customHeight="1" x14ac:dyDescent="0.25">
      <c r="B15">
        <v>9</v>
      </c>
      <c r="C15" t="str">
        <f>IFERROR(_xlfn.XLOOKUP(LARGE('DONNÉES BRUTES'!AB$3:AB$90,9),'DONNÉES BRUTES'!AB$3:AB$90,'DONNÉES BRUTES'!A$3:A$90),"—")</f>
        <v>PTC</v>
      </c>
      <c r="D15" t="str">
        <f>IFERROR(_xlfn.XLOOKUP(C15,'DONNÉES BRUTES'!A$3:A$90,'DONNÉES BRUTES'!B$3:B$90),"—")</f>
        <v>PTC Inc.</v>
      </c>
      <c r="F15" t="str">
        <f>IFERROR(_xlfn.XLOOKUP(C15,'DONNÉES BRUTES'!A$3:A$90,'DONNÉES BRUTES'!AB$3:AB$90)&amp;"/100","—")</f>
        <v>74/100</v>
      </c>
      <c r="G15" t="str">
        <f>IFERROR(_xlfn.XLOOKUP(C15,'DONNÉES BRUTES'!A$3:A$90,'DONNÉES BRUTES'!I$3:I$90),"—")</f>
        <v>—</v>
      </c>
      <c r="H15" t="str">
        <f>IFERROR(_xlfn.XLOOKUP(C15,'DONNÉES BRUTES'!A$3:A$90,'DONNÉES BRUTES'!J$3:J$90),"—")</f>
        <v>—</v>
      </c>
      <c r="I15" t="str">
        <f>IFERROR(_xlfn.XLOOKUP(C15,'DONNÉES BRUTES'!A$3:A$90,'DONNÉES BRUTES'!K$3:K$90),"—")</f>
        <v>—</v>
      </c>
      <c r="J15" t="str">
        <f>IFERROR(_xlfn.XLOOKUP(C15,'DONNÉES BRUTES'!A$3:A$90,'DONNÉES BRUTES'!M$3:M$90),"—")</f>
        <v>83.8%</v>
      </c>
      <c r="K15" t="str">
        <f>IFERROR(_xlfn.XLOOKUP(C15,'DONNÉES BRUTES'!A$3:A$90,'DONNÉES BRUTES'!N$3:N$90),"—")</f>
        <v>41.3%</v>
      </c>
      <c r="L15" t="str">
        <f>IFERROR(_xlfn.XLOOKUP(C15,'DONNÉES BRUTES'!A$3:A$90,'DONNÉES BRUTES'!U$3:U$90),"—")</f>
        <v>3.62</v>
      </c>
      <c r="M15" t="s">
        <v>8</v>
      </c>
      <c r="N15" t="str">
        <f>IFERROR(_xlfn.XLOOKUP(C15,'DONNÉES BRUTES'!A$3:A$90,'DONNÉES BRUTES'!AD$3:AD$90),"—")</f>
        <v>Neutre</v>
      </c>
      <c r="O15" s="64"/>
      <c r="P15" s="64" t="s">
        <v>3</v>
      </c>
      <c r="Q15" s="64">
        <v>67</v>
      </c>
      <c r="R15" s="64"/>
      <c r="S15" s="64" t="s">
        <v>3</v>
      </c>
      <c r="T15" s="64">
        <v>27.2</v>
      </c>
      <c r="U15" s="64"/>
      <c r="V15" s="64" t="s">
        <v>3</v>
      </c>
      <c r="W15" s="64">
        <v>3.25</v>
      </c>
      <c r="X15" s="64"/>
      <c r="Y15" s="64"/>
      <c r="Z15" s="64"/>
      <c r="AA15" s="64"/>
      <c r="AB15" s="64"/>
      <c r="AC15" s="64"/>
      <c r="AD15" s="64"/>
    </row>
    <row r="16" spans="2:30" ht="13.9" customHeight="1" x14ac:dyDescent="0.25">
      <c r="B16" s="8">
        <v>10</v>
      </c>
      <c r="C16" s="8" t="str">
        <f>IFERROR(_xlfn.XLOOKUP(LARGE('DONNÉES BRUTES'!AB$3:AB$90,10),'DONNÉES BRUTES'!AB$3:AB$90,'DONNÉES BRUTES'!A$3:A$90),"—")</f>
        <v>AMD</v>
      </c>
      <c r="D16" s="8" t="str">
        <f>IFERROR(_xlfn.XLOOKUP(C16,'DONNÉES BRUTES'!A$3:A$90,'DONNÉES BRUTES'!B$3:B$90),"—")</f>
        <v>Advanced Micro Devices, Inc.</v>
      </c>
      <c r="E16" s="8"/>
      <c r="F16" s="8" t="str">
        <f>IFERROR(_xlfn.XLOOKUP(C16,'DONNÉES BRUTES'!A$3:A$90,'DONNÉES BRUTES'!AB$3:AB$90)&amp;"/100","—")</f>
        <v>73/100</v>
      </c>
      <c r="G16" s="8" t="str">
        <f>IFERROR(_xlfn.XLOOKUP(C16,'DONNÉES BRUTES'!A$3:A$90,'DONNÉES BRUTES'!I$3:I$90),"—")</f>
        <v>—</v>
      </c>
      <c r="H16" s="8" t="str">
        <f>IFERROR(_xlfn.XLOOKUP(C16,'DONNÉES BRUTES'!A$3:A$90,'DONNÉES BRUTES'!J$3:J$90),"—")</f>
        <v>—</v>
      </c>
      <c r="I16" s="8" t="str">
        <f>IFERROR(_xlfn.XLOOKUP(C16,'DONNÉES BRUTES'!A$3:A$90,'DONNÉES BRUTES'!K$3:K$90),"—")</f>
        <v>—</v>
      </c>
      <c r="J16" s="8" t="str">
        <f>IFERROR(_xlfn.XLOOKUP(C16,'DONNÉES BRUTES'!A$3:A$90,'DONNÉES BRUTES'!M$3:M$90),"—")</f>
        <v>49.5%</v>
      </c>
      <c r="K16" s="8" t="str">
        <f>IFERROR(_xlfn.XLOOKUP(C16,'DONNÉES BRUTES'!A$3:A$90,'DONNÉES BRUTES'!N$3:N$90),"—")</f>
        <v>21.0%</v>
      </c>
      <c r="L16" s="8" t="str">
        <f>IFERROR(_xlfn.XLOOKUP(C16,'DONNÉES BRUTES'!A$3:A$90,'DONNÉES BRUTES'!U$3:U$90),"—")</f>
        <v>6.90</v>
      </c>
      <c r="M16" s="8" t="s">
        <v>8</v>
      </c>
      <c r="N16" s="8" t="str">
        <f>IFERROR(_xlfn.XLOOKUP(C16,'DONNÉES BRUTES'!A$3:A$90,'DONNÉES BRUTES'!AD$3:AD$90),"—")</f>
        <v>Neutre</v>
      </c>
      <c r="O16" s="64"/>
      <c r="P16" s="64" t="s">
        <v>218</v>
      </c>
      <c r="Q16" s="64">
        <v>67</v>
      </c>
      <c r="R16" s="64"/>
      <c r="S16" s="64" t="s">
        <v>218</v>
      </c>
      <c r="T16" s="64">
        <v>27.1</v>
      </c>
      <c r="U16" s="64"/>
      <c r="V16" s="64" t="s">
        <v>218</v>
      </c>
      <c r="W16" s="64">
        <v>5.33</v>
      </c>
      <c r="X16" s="64"/>
      <c r="Y16" s="64"/>
      <c r="Z16" s="64"/>
      <c r="AA16" s="64"/>
      <c r="AB16" s="64"/>
      <c r="AC16" s="64"/>
      <c r="AD16" s="64"/>
    </row>
    <row r="17" spans="2:30" ht="13.9" customHeight="1" x14ac:dyDescent="0.25">
      <c r="B17">
        <v>11</v>
      </c>
      <c r="C17" t="str">
        <f>IFERROR(_xlfn.XLOOKUP(LARGE('DONNÉES BRUTES'!AB$3:AB$90,11),'DONNÉES BRUTES'!AB$3:AB$90,'DONNÉES BRUTES'!A$3:A$90),"—")</f>
        <v>AMD</v>
      </c>
      <c r="D17" t="str">
        <f>IFERROR(_xlfn.XLOOKUP(C17,'DONNÉES BRUTES'!A$3:A$90,'DONNÉES BRUTES'!B$3:B$90),"—")</f>
        <v>Advanced Micro Devices, Inc.</v>
      </c>
      <c r="F17" t="str">
        <f>IFERROR(_xlfn.XLOOKUP(C17,'DONNÉES BRUTES'!A$3:A$90,'DONNÉES BRUTES'!AB$3:AB$90)&amp;"/100","—")</f>
        <v>73/100</v>
      </c>
      <c r="G17" t="str">
        <f>IFERROR(_xlfn.XLOOKUP(C17,'DONNÉES BRUTES'!A$3:A$90,'DONNÉES BRUTES'!I$3:I$90),"—")</f>
        <v>—</v>
      </c>
      <c r="H17" t="str">
        <f>IFERROR(_xlfn.XLOOKUP(C17,'DONNÉES BRUTES'!A$3:A$90,'DONNÉES BRUTES'!J$3:J$90),"—")</f>
        <v>—</v>
      </c>
      <c r="I17" t="str">
        <f>IFERROR(_xlfn.XLOOKUP(C17,'DONNÉES BRUTES'!A$3:A$90,'DONNÉES BRUTES'!K$3:K$90),"—")</f>
        <v>—</v>
      </c>
      <c r="J17" t="str">
        <f>IFERROR(_xlfn.XLOOKUP(C17,'DONNÉES BRUTES'!A$3:A$90,'DONNÉES BRUTES'!M$3:M$90),"—")</f>
        <v>49.5%</v>
      </c>
      <c r="K17" t="str">
        <f>IFERROR(_xlfn.XLOOKUP(C17,'DONNÉES BRUTES'!A$3:A$90,'DONNÉES BRUTES'!N$3:N$90),"—")</f>
        <v>21.0%</v>
      </c>
      <c r="L17" t="str">
        <f>IFERROR(_xlfn.XLOOKUP(C17,'DONNÉES BRUTES'!A$3:A$90,'DONNÉES BRUTES'!U$3:U$90),"—")</f>
        <v>6.90</v>
      </c>
      <c r="M17" t="s">
        <v>8</v>
      </c>
      <c r="N17" t="str">
        <f>IFERROR(_xlfn.XLOOKUP(C17,'DONNÉES BRUTES'!A$3:A$90,'DONNÉES BRUTES'!AD$3:AD$90),"—")</f>
        <v>Neutre</v>
      </c>
      <c r="O17" s="64"/>
      <c r="P17" s="64" t="s">
        <v>112</v>
      </c>
      <c r="Q17" s="64">
        <v>66</v>
      </c>
      <c r="R17" s="64"/>
      <c r="S17" s="64" t="s">
        <v>112</v>
      </c>
      <c r="T17" s="64">
        <v>29.8</v>
      </c>
      <c r="U17" s="64"/>
      <c r="V17" s="64" t="s">
        <v>112</v>
      </c>
      <c r="W17" s="64">
        <v>5.05</v>
      </c>
      <c r="X17" s="64"/>
      <c r="Y17" s="64"/>
      <c r="Z17" s="64"/>
      <c r="AA17" s="64"/>
      <c r="AB17" s="64"/>
      <c r="AC17" s="64"/>
      <c r="AD17" s="64"/>
    </row>
    <row r="18" spans="2:30" ht="13.9" customHeight="1" x14ac:dyDescent="0.25">
      <c r="B18" s="8">
        <v>12</v>
      </c>
      <c r="C18" s="8" t="str">
        <f>IFERROR(_xlfn.XLOOKUP(LARGE('DONNÉES BRUTES'!AB$3:AB$90,12),'DONNÉES BRUTES'!AB$3:AB$90,'DONNÉES BRUTES'!A$3:A$90),"—")</f>
        <v>ASML.AS</v>
      </c>
      <c r="D18" s="8" t="str">
        <f>IFERROR(_xlfn.XLOOKUP(C18,'DONNÉES BRUTES'!A$3:A$90,'DONNÉES BRUTES'!B$3:B$90),"—")</f>
        <v>ASML Holding N.V.</v>
      </c>
      <c r="E18" s="8"/>
      <c r="F18" s="8" t="str">
        <f>IFERROR(_xlfn.XLOOKUP(C18,'DONNÉES BRUTES'!A$3:A$90,'DONNÉES BRUTES'!AB$3:AB$90)&amp;"/100","—")</f>
        <v>72/100</v>
      </c>
      <c r="G18" s="8" t="str">
        <f>IFERROR(_xlfn.XLOOKUP(C18,'DONNÉES BRUTES'!A$3:A$90,'DONNÉES BRUTES'!I$3:I$90),"—")</f>
        <v>—</v>
      </c>
      <c r="H18" s="8" t="str">
        <f>IFERROR(_xlfn.XLOOKUP(C18,'DONNÉES BRUTES'!A$3:A$90,'DONNÉES BRUTES'!J$3:J$90),"—")</f>
        <v>—</v>
      </c>
      <c r="I18" s="8" t="str">
        <f>IFERROR(_xlfn.XLOOKUP(C18,'DONNÉES BRUTES'!A$3:A$90,'DONNÉES BRUTES'!K$3:K$90),"—")</f>
        <v>—</v>
      </c>
      <c r="J18" s="8" t="str">
        <f>IFERROR(_xlfn.XLOOKUP(C18,'DONNÉES BRUTES'!A$3:A$90,'DONNÉES BRUTES'!M$3:M$90),"—")</f>
        <v>52.8%</v>
      </c>
      <c r="K18" s="8" t="str">
        <f>IFERROR(_xlfn.XLOOKUP(C18,'DONNÉES BRUTES'!A$3:A$90,'DONNÉES BRUTES'!N$3:N$90),"—")</f>
        <v>38.4%</v>
      </c>
      <c r="L18" s="8" t="str">
        <f>IFERROR(_xlfn.XLOOKUP(C18,'DONNÉES BRUTES'!A$3:A$90,'DONNÉES BRUTES'!U$3:U$90),"—")</f>
        <v>4.15</v>
      </c>
      <c r="M18" s="8" t="s">
        <v>8</v>
      </c>
      <c r="N18" s="8" t="str">
        <f>IFERROR(_xlfn.XLOOKUP(C18,'DONNÉES BRUTES'!A$3:A$90,'DONNÉES BRUTES'!AD$3:AD$90),"—")</f>
        <v>Neutre</v>
      </c>
      <c r="O18" s="64"/>
      <c r="P18" s="64" t="s">
        <v>163</v>
      </c>
      <c r="Q18" s="64">
        <v>66</v>
      </c>
      <c r="R18" s="64"/>
      <c r="S18" s="64" t="s">
        <v>163</v>
      </c>
      <c r="T18" s="64">
        <v>35.4</v>
      </c>
      <c r="U18" s="64"/>
      <c r="V18" s="64" t="s">
        <v>163</v>
      </c>
      <c r="W18" s="64">
        <v>6.55</v>
      </c>
      <c r="X18" s="64"/>
      <c r="Y18" s="64"/>
      <c r="Z18" s="64"/>
      <c r="AA18" s="64"/>
      <c r="AB18" s="64"/>
      <c r="AC18" s="64"/>
      <c r="AD18" s="64"/>
    </row>
    <row r="19" spans="2:30" ht="13.9" customHeight="1" x14ac:dyDescent="0.25">
      <c r="B19">
        <v>13</v>
      </c>
      <c r="C19" t="str">
        <f>IFERROR(_xlfn.XLOOKUP(LARGE('DONNÉES BRUTES'!AB$3:AB$90,13),'DONNÉES BRUTES'!AB$3:AB$90,'DONNÉES BRUTES'!A$3:A$90),"—")</f>
        <v>ADI</v>
      </c>
      <c r="D19" t="str">
        <f>IFERROR(_xlfn.XLOOKUP(C19,'DONNÉES BRUTES'!A$3:A$90,'DONNÉES BRUTES'!B$3:B$90),"—")</f>
        <v>Analog Devices, Inc.</v>
      </c>
      <c r="F19" t="str">
        <f>IFERROR(_xlfn.XLOOKUP(C19,'DONNÉES BRUTES'!A$3:A$90,'DONNÉES BRUTES'!AB$3:AB$90)&amp;"/100","—")</f>
        <v>71/100</v>
      </c>
      <c r="G19" t="str">
        <f>IFERROR(_xlfn.XLOOKUP(C19,'DONNÉES BRUTES'!A$3:A$90,'DONNÉES BRUTES'!I$3:I$90),"—")</f>
        <v>—</v>
      </c>
      <c r="H19" t="str">
        <f>IFERROR(_xlfn.XLOOKUP(C19,'DONNÉES BRUTES'!A$3:A$90,'DONNÉES BRUTES'!J$3:J$90),"—")</f>
        <v>—</v>
      </c>
      <c r="I19" t="str">
        <f>IFERROR(_xlfn.XLOOKUP(C19,'DONNÉES BRUTES'!A$3:A$90,'DONNÉES BRUTES'!K$3:K$90),"—")</f>
        <v>—</v>
      </c>
      <c r="J19" t="str">
        <f>IFERROR(_xlfn.XLOOKUP(C19,'DONNÉES BRUTES'!A$3:A$90,'DONNÉES BRUTES'!M$3:M$90),"—")</f>
        <v>61.5%</v>
      </c>
      <c r="K19" t="str">
        <f>IFERROR(_xlfn.XLOOKUP(C19,'DONNÉES BRUTES'!A$3:A$90,'DONNÉES BRUTES'!N$3:N$90),"—")</f>
        <v>45.6%</v>
      </c>
      <c r="L19" t="str">
        <f>IFERROR(_xlfn.XLOOKUP(C19,'DONNÉES BRUTES'!A$3:A$90,'DONNÉES BRUTES'!U$3:U$90),"—")</f>
        <v>4.17</v>
      </c>
      <c r="M19" t="s">
        <v>8</v>
      </c>
      <c r="N19" t="str">
        <f>IFERROR(_xlfn.XLOOKUP(C19,'DONNÉES BRUTES'!A$3:A$90,'DONNÉES BRUTES'!AD$3:AD$90),"—")</f>
        <v>Neutre</v>
      </c>
      <c r="O19" s="64"/>
      <c r="P19" s="64" t="s">
        <v>242</v>
      </c>
      <c r="Q19" s="64">
        <v>66</v>
      </c>
      <c r="R19" s="64"/>
      <c r="S19" s="64" t="s">
        <v>242</v>
      </c>
      <c r="T19" s="64">
        <v>35.4</v>
      </c>
      <c r="U19" s="64"/>
      <c r="V19" s="64" t="s">
        <v>242</v>
      </c>
      <c r="W19" s="64">
        <v>2.76</v>
      </c>
      <c r="X19" s="64"/>
      <c r="Y19" s="64"/>
      <c r="Z19" s="64"/>
      <c r="AA19" s="64"/>
      <c r="AB19" s="64"/>
      <c r="AC19" s="64"/>
      <c r="AD19" s="64"/>
    </row>
    <row r="20" spans="2:30" ht="13.9" customHeight="1" x14ac:dyDescent="0.25">
      <c r="B20" s="8">
        <v>14</v>
      </c>
      <c r="C20" s="8" t="str">
        <f>IFERROR(_xlfn.XLOOKUP(LARGE('DONNÉES BRUTES'!AB$3:AB$90,14),'DONNÉES BRUTES'!AB$3:AB$90,'DONNÉES BRUTES'!A$3:A$90),"—")</f>
        <v>GLW</v>
      </c>
      <c r="D20" s="8" t="str">
        <f>IFERROR(_xlfn.XLOOKUP(C20,'DONNÉES BRUTES'!A$3:A$90,'DONNÉES BRUTES'!B$3:B$90),"—")</f>
        <v>Corning Incorporated</v>
      </c>
      <c r="E20" s="8"/>
      <c r="F20" s="8" t="str">
        <f>IFERROR(_xlfn.XLOOKUP(C20,'DONNÉES BRUTES'!A$3:A$90,'DONNÉES BRUTES'!AB$3:AB$90)&amp;"/100","—")</f>
        <v>68/100</v>
      </c>
      <c r="G20" s="8" t="str">
        <f>IFERROR(_xlfn.XLOOKUP(C20,'DONNÉES BRUTES'!A$3:A$90,'DONNÉES BRUTES'!I$3:I$90),"—")</f>
        <v>—</v>
      </c>
      <c r="H20" s="8" t="str">
        <f>IFERROR(_xlfn.XLOOKUP(C20,'DONNÉES BRUTES'!A$3:A$90,'DONNÉES BRUTES'!J$3:J$90),"—")</f>
        <v>—</v>
      </c>
      <c r="I20" s="8" t="str">
        <f>IFERROR(_xlfn.XLOOKUP(C20,'DONNÉES BRUTES'!A$3:A$90,'DONNÉES BRUTES'!K$3:K$90),"—")</f>
        <v>—</v>
      </c>
      <c r="J20" s="8" t="str">
        <f>IFERROR(_xlfn.XLOOKUP(C20,'DONNÉES BRUTES'!A$3:A$90,'DONNÉES BRUTES'!M$3:M$90),"—")</f>
        <v>36.0%</v>
      </c>
      <c r="K20" s="8" t="str">
        <f>IFERROR(_xlfn.XLOOKUP(C20,'DONNÉES BRUTES'!A$3:A$90,'DONNÉES BRUTES'!N$3:N$90),"—")</f>
        <v>23.9%</v>
      </c>
      <c r="L20" s="8" t="str">
        <f>IFERROR(_xlfn.XLOOKUP(C20,'DONNÉES BRUTES'!A$3:A$90,'DONNÉES BRUTES'!U$3:U$90),"—")</f>
        <v>3.62</v>
      </c>
      <c r="M20" s="8" t="s">
        <v>8</v>
      </c>
      <c r="N20" s="8" t="str">
        <f>IFERROR(_xlfn.XLOOKUP(C20,'DONNÉES BRUTES'!A$3:A$90,'DONNÉES BRUTES'!AD$3:AD$90),"—")</f>
        <v>Neutre</v>
      </c>
      <c r="O20" s="64"/>
      <c r="P20" s="64" t="s">
        <v>33</v>
      </c>
      <c r="Q20" s="64">
        <v>66</v>
      </c>
      <c r="R20" s="64"/>
      <c r="S20" s="64" t="s">
        <v>33</v>
      </c>
      <c r="T20" s="64">
        <v>24.7</v>
      </c>
      <c r="U20" s="64"/>
      <c r="V20" s="64" t="s">
        <v>33</v>
      </c>
      <c r="W20" s="64">
        <v>5.0599999999999996</v>
      </c>
      <c r="X20" s="64"/>
      <c r="Y20" s="64"/>
      <c r="Z20" s="64"/>
      <c r="AA20" s="64"/>
      <c r="AB20" s="64"/>
      <c r="AC20" s="64"/>
      <c r="AD20" s="64"/>
    </row>
    <row r="21" spans="2:30" ht="13.9" customHeight="1" x14ac:dyDescent="0.25">
      <c r="B21">
        <v>15</v>
      </c>
      <c r="C21" t="str">
        <f>IFERROR(_xlfn.XLOOKUP(LARGE('DONNÉES BRUTES'!AB$3:AB$90,15),'DONNÉES BRUTES'!AB$3:AB$90,'DONNÉES BRUTES'!A$3:A$90),"—")</f>
        <v>INTC</v>
      </c>
      <c r="D21" t="str">
        <f>IFERROR(_xlfn.XLOOKUP(C21,'DONNÉES BRUTES'!A$3:A$90,'DONNÉES BRUTES'!B$3:B$90),"—")</f>
        <v>Intel Corporation</v>
      </c>
      <c r="F21" t="str">
        <f>IFERROR(_xlfn.XLOOKUP(C21,'DONNÉES BRUTES'!A$3:A$90,'DONNÉES BRUTES'!AB$3:AB$90)&amp;"/100","—")</f>
        <v>67/100</v>
      </c>
      <c r="G21" t="str">
        <f>IFERROR(_xlfn.XLOOKUP(C21,'DONNÉES BRUTES'!A$3:A$90,'DONNÉES BRUTES'!I$3:I$90),"—")</f>
        <v>—</v>
      </c>
      <c r="H21" t="str">
        <f>IFERROR(_xlfn.XLOOKUP(C21,'DONNÉES BRUTES'!A$3:A$90,'DONNÉES BRUTES'!J$3:J$90),"—")</f>
        <v>—</v>
      </c>
      <c r="I21" t="str">
        <f>IFERROR(_xlfn.XLOOKUP(C21,'DONNÉES BRUTES'!A$3:A$90,'DONNÉES BRUTES'!K$3:K$90),"—")</f>
        <v>—</v>
      </c>
      <c r="J21" t="str">
        <f>IFERROR(_xlfn.XLOOKUP(C21,'DONNÉES BRUTES'!A$3:A$90,'DONNÉES BRUTES'!M$3:M$90),"—")</f>
        <v>34.8%</v>
      </c>
      <c r="K21" t="str">
        <f>IFERROR(_xlfn.XLOOKUP(C21,'DONNÉES BRUTES'!A$3:A$90,'DONNÉES BRUTES'!N$3:N$90),"—")</f>
        <v>27.2%</v>
      </c>
      <c r="L21" t="str">
        <f>IFERROR(_xlfn.XLOOKUP(C21,'DONNÉES BRUTES'!A$3:A$90,'DONNÉES BRUTES'!U$3:U$90),"—")</f>
        <v>3.25</v>
      </c>
      <c r="M21" t="s">
        <v>8</v>
      </c>
      <c r="N21" t="str">
        <f>IFERROR(_xlfn.XLOOKUP(C21,'DONNÉES BRUTES'!A$3:A$90,'DONNÉES BRUTES'!AD$3:AD$90),"—")</f>
        <v>Neutre</v>
      </c>
      <c r="O21" s="64"/>
      <c r="P21" s="64" t="s">
        <v>177</v>
      </c>
      <c r="Q21" s="64">
        <v>65</v>
      </c>
      <c r="R21" s="64"/>
      <c r="S21" s="64" t="s">
        <v>177</v>
      </c>
      <c r="T21" s="64">
        <v>27.6</v>
      </c>
      <c r="U21" s="64"/>
      <c r="V21" s="64" t="s">
        <v>177</v>
      </c>
      <c r="W21" s="64">
        <v>0.48</v>
      </c>
      <c r="X21" s="64"/>
      <c r="Y21" s="64"/>
      <c r="Z21" s="64"/>
      <c r="AA21" s="64"/>
      <c r="AB21" s="64"/>
      <c r="AC21" s="64"/>
      <c r="AD21" s="64"/>
    </row>
    <row r="22" spans="2:30" ht="13.9" customHeight="1" x14ac:dyDescent="0.25">
      <c r="B22" s="8">
        <v>16</v>
      </c>
      <c r="C22" s="8" t="str">
        <f>IFERROR(_xlfn.XLOOKUP(LARGE('DONNÉES BRUTES'!AB$3:AB$90,16),'DONNÉES BRUTES'!AB$3:AB$90,'DONNÉES BRUTES'!A$3:A$90),"—")</f>
        <v>INTC</v>
      </c>
      <c r="D22" s="8" t="str">
        <f>IFERROR(_xlfn.XLOOKUP(C22,'DONNÉES BRUTES'!A$3:A$90,'DONNÉES BRUTES'!B$3:B$90),"—")</f>
        <v>Intel Corporation</v>
      </c>
      <c r="E22" s="8"/>
      <c r="F22" s="8" t="str">
        <f>IFERROR(_xlfn.XLOOKUP(C22,'DONNÉES BRUTES'!A$3:A$90,'DONNÉES BRUTES'!AB$3:AB$90)&amp;"/100","—")</f>
        <v>67/100</v>
      </c>
      <c r="G22" s="8" t="str">
        <f>IFERROR(_xlfn.XLOOKUP(C22,'DONNÉES BRUTES'!A$3:A$90,'DONNÉES BRUTES'!I$3:I$90),"—")</f>
        <v>—</v>
      </c>
      <c r="H22" s="8" t="str">
        <f>IFERROR(_xlfn.XLOOKUP(C22,'DONNÉES BRUTES'!A$3:A$90,'DONNÉES BRUTES'!J$3:J$90),"—")</f>
        <v>—</v>
      </c>
      <c r="I22" s="8" t="str">
        <f>IFERROR(_xlfn.XLOOKUP(C22,'DONNÉES BRUTES'!A$3:A$90,'DONNÉES BRUTES'!K$3:K$90),"—")</f>
        <v>—</v>
      </c>
      <c r="J22" s="8" t="str">
        <f>IFERROR(_xlfn.XLOOKUP(C22,'DONNÉES BRUTES'!A$3:A$90,'DONNÉES BRUTES'!M$3:M$90),"—")</f>
        <v>34.8%</v>
      </c>
      <c r="K22" s="8" t="str">
        <f>IFERROR(_xlfn.XLOOKUP(C22,'DONNÉES BRUTES'!A$3:A$90,'DONNÉES BRUTES'!N$3:N$90),"—")</f>
        <v>27.2%</v>
      </c>
      <c r="L22" s="8" t="str">
        <f>IFERROR(_xlfn.XLOOKUP(C22,'DONNÉES BRUTES'!A$3:A$90,'DONNÉES BRUTES'!U$3:U$90),"—")</f>
        <v>3.25</v>
      </c>
      <c r="M22" s="8" t="s">
        <v>8</v>
      </c>
      <c r="N22" s="8" t="str">
        <f>IFERROR(_xlfn.XLOOKUP(C22,'DONNÉES BRUTES'!A$3:A$90,'DONNÉES BRUTES'!AD$3:AD$90),"—")</f>
        <v>Neutre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spans="2:30" ht="13.9" customHeight="1" x14ac:dyDescent="0.25">
      <c r="B23">
        <v>17</v>
      </c>
      <c r="C23" t="str">
        <f>IFERROR(_xlfn.XLOOKUP(LARGE('DONNÉES BRUTES'!AB$3:AB$90,17),'DONNÉES BRUTES'!AB$3:AB$90,'DONNÉES BRUTES'!A$3:A$90),"—")</f>
        <v>APH</v>
      </c>
      <c r="D23" t="str">
        <f>IFERROR(_xlfn.XLOOKUP(C23,'DONNÉES BRUTES'!A$3:A$90,'DONNÉES BRUTES'!B$3:B$90),"—")</f>
        <v>Amphenol Corporation</v>
      </c>
      <c r="F23" t="str">
        <f>IFERROR(_xlfn.XLOOKUP(C23,'DONNÉES BRUTES'!A$3:A$90,'DONNÉES BRUTES'!AB$3:AB$90)&amp;"/100","—")</f>
        <v>66/100</v>
      </c>
      <c r="G23" t="str">
        <f>IFERROR(_xlfn.XLOOKUP(C23,'DONNÉES BRUTES'!A$3:A$90,'DONNÉES BRUTES'!I$3:I$90),"—")</f>
        <v>—</v>
      </c>
      <c r="H23" t="str">
        <f>IFERROR(_xlfn.XLOOKUP(C23,'DONNÉES BRUTES'!A$3:A$90,'DONNÉES BRUTES'!J$3:J$90),"—")</f>
        <v>—</v>
      </c>
      <c r="I23" t="str">
        <f>IFERROR(_xlfn.XLOOKUP(C23,'DONNÉES BRUTES'!A$3:A$90,'DONNÉES BRUTES'!K$3:K$90),"—")</f>
        <v>—</v>
      </c>
      <c r="J23" t="str">
        <f>IFERROR(_xlfn.XLOOKUP(C23,'DONNÉES BRUTES'!A$3:A$90,'DONNÉES BRUTES'!M$3:M$90),"—")</f>
        <v>36.9%</v>
      </c>
      <c r="K23" t="str">
        <f>IFERROR(_xlfn.XLOOKUP(C23,'DONNÉES BRUTES'!A$3:A$90,'DONNÉES BRUTES'!N$3:N$90),"—")</f>
        <v>29.8%</v>
      </c>
      <c r="L23" t="str">
        <f>IFERROR(_xlfn.XLOOKUP(C23,'DONNÉES BRUTES'!A$3:A$90,'DONNÉES BRUTES'!U$3:U$90),"—")</f>
        <v>5.05</v>
      </c>
      <c r="M23" t="s">
        <v>8</v>
      </c>
      <c r="N23" t="str">
        <f>IFERROR(_xlfn.XLOOKUP(C23,'DONNÉES BRUTES'!A$3:A$90,'DONNÉES BRUTES'!AD$3:AD$90),"—")</f>
        <v>Neutre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spans="2:30" ht="13.9" customHeight="1" x14ac:dyDescent="0.25">
      <c r="B24" s="8">
        <v>18</v>
      </c>
      <c r="C24" s="8" t="str">
        <f>IFERROR(_xlfn.XLOOKUP(LARGE('DONNÉES BRUTES'!AB$3:AB$90,18),'DONNÉES BRUTES'!AB$3:AB$90,'DONNÉES BRUTES'!A$3:A$90),"—")</f>
        <v>APH</v>
      </c>
      <c r="D24" s="8" t="str">
        <f>IFERROR(_xlfn.XLOOKUP(C24,'DONNÉES BRUTES'!A$3:A$90,'DONNÉES BRUTES'!B$3:B$90),"—")</f>
        <v>Amphenol Corporation</v>
      </c>
      <c r="E24" s="8"/>
      <c r="F24" s="8" t="str">
        <f>IFERROR(_xlfn.XLOOKUP(C24,'DONNÉES BRUTES'!A$3:A$90,'DONNÉES BRUTES'!AB$3:AB$90)&amp;"/100","—")</f>
        <v>66/100</v>
      </c>
      <c r="G24" s="8" t="str">
        <f>IFERROR(_xlfn.XLOOKUP(C24,'DONNÉES BRUTES'!A$3:A$90,'DONNÉES BRUTES'!I$3:I$90),"—")</f>
        <v>—</v>
      </c>
      <c r="H24" s="8" t="str">
        <f>IFERROR(_xlfn.XLOOKUP(C24,'DONNÉES BRUTES'!A$3:A$90,'DONNÉES BRUTES'!J$3:J$90),"—")</f>
        <v>—</v>
      </c>
      <c r="I24" s="8" t="str">
        <f>IFERROR(_xlfn.XLOOKUP(C24,'DONNÉES BRUTES'!A$3:A$90,'DONNÉES BRUTES'!K$3:K$90),"—")</f>
        <v>—</v>
      </c>
      <c r="J24" s="8" t="str">
        <f>IFERROR(_xlfn.XLOOKUP(C24,'DONNÉES BRUTES'!A$3:A$90,'DONNÉES BRUTES'!M$3:M$90),"—")</f>
        <v>36.9%</v>
      </c>
      <c r="K24" s="8" t="str">
        <f>IFERROR(_xlfn.XLOOKUP(C24,'DONNÉES BRUTES'!A$3:A$90,'DONNÉES BRUTES'!N$3:N$90),"—")</f>
        <v>29.8%</v>
      </c>
      <c r="L24" s="8" t="str">
        <f>IFERROR(_xlfn.XLOOKUP(C24,'DONNÉES BRUTES'!A$3:A$90,'DONNÉES BRUTES'!U$3:U$90),"—")</f>
        <v>5.05</v>
      </c>
      <c r="M24" s="8" t="s">
        <v>8</v>
      </c>
      <c r="N24" s="8" t="str">
        <f>IFERROR(_xlfn.XLOOKUP(C24,'DONNÉES BRUTES'!A$3:A$90,'DONNÉES BRUTES'!AD$3:AD$90),"—")</f>
        <v>Neutre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 spans="2:30" ht="13.9" customHeight="1" x14ac:dyDescent="0.25">
      <c r="B25">
        <v>19</v>
      </c>
      <c r="C25" t="str">
        <f>IFERROR(_xlfn.XLOOKUP(LARGE('DONNÉES BRUTES'!AB$3:AB$90,19),'DONNÉES BRUTES'!AB$3:AB$90,'DONNÉES BRUTES'!A$3:A$90),"—")</f>
        <v>APH</v>
      </c>
      <c r="D25" t="str">
        <f>IFERROR(_xlfn.XLOOKUP(C25,'DONNÉES BRUTES'!A$3:A$90,'DONNÉES BRUTES'!B$3:B$90),"—")</f>
        <v>Amphenol Corporation</v>
      </c>
      <c r="F25" t="str">
        <f>IFERROR(_xlfn.XLOOKUP(C25,'DONNÉES BRUTES'!A$3:A$90,'DONNÉES BRUTES'!AB$3:AB$90)&amp;"/100","—")</f>
        <v>66/100</v>
      </c>
      <c r="G25" t="str">
        <f>IFERROR(_xlfn.XLOOKUP(C25,'DONNÉES BRUTES'!A$3:A$90,'DONNÉES BRUTES'!I$3:I$90),"—")</f>
        <v>—</v>
      </c>
      <c r="H25" t="str">
        <f>IFERROR(_xlfn.XLOOKUP(C25,'DONNÉES BRUTES'!A$3:A$90,'DONNÉES BRUTES'!J$3:J$90),"—")</f>
        <v>—</v>
      </c>
      <c r="I25" t="str">
        <f>IFERROR(_xlfn.XLOOKUP(C25,'DONNÉES BRUTES'!A$3:A$90,'DONNÉES BRUTES'!K$3:K$90),"—")</f>
        <v>—</v>
      </c>
      <c r="J25" t="str">
        <f>IFERROR(_xlfn.XLOOKUP(C25,'DONNÉES BRUTES'!A$3:A$90,'DONNÉES BRUTES'!M$3:M$90),"—")</f>
        <v>36.9%</v>
      </c>
      <c r="K25" t="str">
        <f>IFERROR(_xlfn.XLOOKUP(C25,'DONNÉES BRUTES'!A$3:A$90,'DONNÉES BRUTES'!N$3:N$90),"—")</f>
        <v>29.8%</v>
      </c>
      <c r="L25" t="str">
        <f>IFERROR(_xlfn.XLOOKUP(C25,'DONNÉES BRUTES'!A$3:A$90,'DONNÉES BRUTES'!U$3:U$90),"—")</f>
        <v>5.05</v>
      </c>
      <c r="M25" t="s">
        <v>8</v>
      </c>
      <c r="N25" t="str">
        <f>IFERROR(_xlfn.XLOOKUP(C25,'DONNÉES BRUTES'!A$3:A$90,'DONNÉES BRUTES'!AD$3:AD$90),"—")</f>
        <v>Neutre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 spans="2:30" ht="13.9" customHeight="1" x14ac:dyDescent="0.25">
      <c r="B26" s="8">
        <v>20</v>
      </c>
      <c r="C26" s="8" t="str">
        <f>IFERROR(_xlfn.XLOOKUP(LARGE('DONNÉES BRUTES'!AB$3:AB$90,20),'DONNÉES BRUTES'!AB$3:AB$90,'DONNÉES BRUTES'!A$3:A$90),"—")</f>
        <v>APH</v>
      </c>
      <c r="D26" s="8" t="str">
        <f>IFERROR(_xlfn.XLOOKUP(C26,'DONNÉES BRUTES'!A$3:A$90,'DONNÉES BRUTES'!B$3:B$90),"—")</f>
        <v>Amphenol Corporation</v>
      </c>
      <c r="E26" s="8"/>
      <c r="F26" s="8" t="str">
        <f>IFERROR(_xlfn.XLOOKUP(C26,'DONNÉES BRUTES'!A$3:A$90,'DONNÉES BRUTES'!AB$3:AB$90)&amp;"/100","—")</f>
        <v>66/100</v>
      </c>
      <c r="G26" s="8" t="str">
        <f>IFERROR(_xlfn.XLOOKUP(C26,'DONNÉES BRUTES'!A$3:A$90,'DONNÉES BRUTES'!I$3:I$90),"—")</f>
        <v>—</v>
      </c>
      <c r="H26" s="8" t="str">
        <f>IFERROR(_xlfn.XLOOKUP(C26,'DONNÉES BRUTES'!A$3:A$90,'DONNÉES BRUTES'!J$3:J$90),"—")</f>
        <v>—</v>
      </c>
      <c r="I26" s="8" t="str">
        <f>IFERROR(_xlfn.XLOOKUP(C26,'DONNÉES BRUTES'!A$3:A$90,'DONNÉES BRUTES'!K$3:K$90),"—")</f>
        <v>—</v>
      </c>
      <c r="J26" s="8" t="str">
        <f>IFERROR(_xlfn.XLOOKUP(C26,'DONNÉES BRUTES'!A$3:A$90,'DONNÉES BRUTES'!M$3:M$90),"—")</f>
        <v>36.9%</v>
      </c>
      <c r="K26" s="8" t="str">
        <f>IFERROR(_xlfn.XLOOKUP(C26,'DONNÉES BRUTES'!A$3:A$90,'DONNÉES BRUTES'!N$3:N$90),"—")</f>
        <v>29.8%</v>
      </c>
      <c r="L26" s="8" t="str">
        <f>IFERROR(_xlfn.XLOOKUP(C26,'DONNÉES BRUTES'!A$3:A$90,'DONNÉES BRUTES'!U$3:U$90),"—")</f>
        <v>5.05</v>
      </c>
      <c r="M26" s="8" t="s">
        <v>8</v>
      </c>
      <c r="N26" s="8" t="str">
        <f>IFERROR(_xlfn.XLOOKUP(C26,'DONNÉES BRUTES'!A$3:A$90,'DONNÉES BRUTES'!AD$3:AD$90),"—")</f>
        <v>Neutre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 spans="2:30" ht="13.9" customHeight="1" x14ac:dyDescent="0.25"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 spans="2:30" ht="13.9" customHeight="1" x14ac:dyDescent="0.25">
      <c r="B28" s="7" t="s">
        <v>718</v>
      </c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 spans="2:30" ht="13.9" customHeight="1" x14ac:dyDescent="0.25"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 spans="2:30" ht="13.9" customHeight="1" x14ac:dyDescent="0.25"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 spans="2:30" ht="13.9" customHeight="1" x14ac:dyDescent="0.25"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 spans="2:30" ht="13.9" customHeight="1" x14ac:dyDescent="0.25"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 spans="15:30" ht="13.9" customHeight="1" x14ac:dyDescent="0.25"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 spans="15:30" ht="13.9" customHeight="1" x14ac:dyDescent="0.25"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</row>
    <row r="35" spans="15:30" ht="13.9" customHeight="1" x14ac:dyDescent="0.25"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</row>
    <row r="36" spans="15:30" ht="13.9" customHeight="1" x14ac:dyDescent="0.25"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</row>
    <row r="37" spans="15:30" ht="13.9" customHeight="1" x14ac:dyDescent="0.25"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</row>
    <row r="38" spans="15:30" ht="13.9" customHeight="1" x14ac:dyDescent="0.25"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</row>
    <row r="39" spans="15:30" ht="13.9" customHeight="1" x14ac:dyDescent="0.25"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</row>
    <row r="40" spans="15:30" ht="13.9" customHeight="1" x14ac:dyDescent="0.25"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 spans="15:30" ht="13.9" customHeight="1" x14ac:dyDescent="0.25"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</row>
    <row r="42" spans="15:30" ht="13.9" customHeight="1" x14ac:dyDescent="0.25"/>
    <row r="43" spans="15:30" ht="13.9" customHeight="1" x14ac:dyDescent="0.25"/>
    <row r="45" spans="15:30" ht="16.149999999999999" customHeight="1" x14ac:dyDescent="0.25"/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45"/>
  <sheetViews>
    <sheetView showGridLines="0" zoomScaleNormal="100" workbookViewId="0">
      <selection activeCell="J7" sqref="J7"/>
    </sheetView>
  </sheetViews>
  <sheetFormatPr baseColWidth="10" defaultColWidth="8.85546875" defaultRowHeight="15" x14ac:dyDescent="0.25"/>
  <cols>
    <col min="1" max="1" width="1.7109375" customWidth="1"/>
    <col min="2" max="2" width="3" bestFit="1" customWidth="1"/>
    <col min="3" max="3" width="13.28515625" customWidth="1"/>
    <col min="4" max="4" width="24.140625" customWidth="1"/>
    <col min="5" max="5" width="7.7109375" customWidth="1"/>
    <col min="6" max="6" width="12.5703125" customWidth="1"/>
    <col min="7" max="7" width="14.28515625" customWidth="1"/>
    <col min="8" max="8" width="13.85546875" customWidth="1"/>
    <col min="9" max="9" width="12.85546875" customWidth="1"/>
    <col min="10" max="10" width="13.140625" customWidth="1"/>
    <col min="11" max="11" width="9.28515625" bestFit="1" customWidth="1"/>
    <col min="12" max="12" width="10.42578125" bestFit="1" customWidth="1"/>
    <col min="13" max="13" width="14.140625" bestFit="1" customWidth="1"/>
    <col min="14" max="18" width="0.5703125" style="64" customWidth="1"/>
    <col min="19" max="24" width="0" style="64" hidden="1" customWidth="1"/>
    <col min="25" max="25" width="8.85546875" style="64"/>
  </cols>
  <sheetData>
    <row r="1" spans="2:27" ht="28.15" customHeight="1" x14ac:dyDescent="0.25">
      <c r="B1" s="14" t="s">
        <v>701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62" t="s">
        <v>0</v>
      </c>
      <c r="O1" s="62" t="s">
        <v>2</v>
      </c>
      <c r="P1" s="62"/>
      <c r="Q1" s="62" t="s">
        <v>0</v>
      </c>
      <c r="R1" s="62" t="s">
        <v>753</v>
      </c>
      <c r="S1" s="62"/>
      <c r="T1" s="63" t="s">
        <v>0</v>
      </c>
      <c r="U1" s="64" t="s">
        <v>749</v>
      </c>
      <c r="W1" s="64" t="s">
        <v>729</v>
      </c>
      <c r="X1" s="64" t="s">
        <v>207</v>
      </c>
      <c r="Z1" t="s">
        <v>48</v>
      </c>
      <c r="AA1" t="s">
        <v>748</v>
      </c>
    </row>
    <row r="2" spans="2:27" ht="15" customHeight="1" x14ac:dyDescent="0.25">
      <c r="B2" s="7" t="s">
        <v>713</v>
      </c>
      <c r="N2" s="65" t="s">
        <v>3</v>
      </c>
      <c r="O2" s="65">
        <v>100</v>
      </c>
      <c r="P2" s="65"/>
      <c r="Q2" s="65" t="s">
        <v>3</v>
      </c>
      <c r="R2" s="65">
        <v>-0.5</v>
      </c>
      <c r="S2" s="65"/>
      <c r="T2" s="64" t="s">
        <v>3</v>
      </c>
      <c r="U2" s="64">
        <v>27.2</v>
      </c>
      <c r="W2" s="64">
        <v>100</v>
      </c>
      <c r="X2" s="64">
        <v>67</v>
      </c>
      <c r="Z2" t="s">
        <v>53</v>
      </c>
      <c r="AA2">
        <v>8</v>
      </c>
    </row>
    <row r="3" spans="2:27" ht="18" customHeight="1" x14ac:dyDescent="0.35">
      <c r="B3" s="24"/>
      <c r="C3" s="24">
        <f>COUNTA('DONNÉES BRUTES'!A$3:A$90)</f>
        <v>88</v>
      </c>
      <c r="D3" s="24"/>
      <c r="E3" s="24"/>
      <c r="F3" s="24"/>
      <c r="G3" s="12" t="str">
        <f>IFERROR(_xlfn.XLOOKUP(LARGE('DONNÉES BRUTES'!Y$3:Y$90,1),'DONNÉES BRUTES'!Y$3:Y$90,'DONNÉES BRUTES'!A$3:A$90),"—")</f>
        <v>INTC</v>
      </c>
      <c r="H3" s="24"/>
      <c r="I3" s="24"/>
      <c r="J3" s="24"/>
      <c r="K3" s="24"/>
      <c r="L3" s="24" t="str">
        <f>IFERROR(ROUND(AVERAGE('DONNÉES BRUTES'!Y$3:Y$90),0)&amp;"/100","—")</f>
        <v>49/100</v>
      </c>
      <c r="M3" s="24"/>
      <c r="N3" s="65" t="s">
        <v>11</v>
      </c>
      <c r="O3" s="65">
        <v>99</v>
      </c>
      <c r="P3" s="65"/>
      <c r="Q3" s="65" t="s">
        <v>11</v>
      </c>
      <c r="R3" s="65">
        <v>50.7</v>
      </c>
      <c r="S3" s="65"/>
      <c r="T3" s="64" t="s">
        <v>11</v>
      </c>
      <c r="U3" s="64">
        <v>20.399999999999999</v>
      </c>
      <c r="W3" s="64">
        <v>99</v>
      </c>
      <c r="X3" s="64">
        <v>77</v>
      </c>
      <c r="Z3" t="s">
        <v>91</v>
      </c>
      <c r="AA3">
        <v>29</v>
      </c>
    </row>
    <row r="4" spans="2:27" ht="13.9" customHeight="1" x14ac:dyDescent="0.25">
      <c r="B4" s="10"/>
      <c r="C4" s="10" t="s">
        <v>714</v>
      </c>
      <c r="D4" s="10"/>
      <c r="E4" s="10"/>
      <c r="F4" s="10"/>
      <c r="G4" s="10" t="s">
        <v>719</v>
      </c>
      <c r="H4" s="10"/>
      <c r="I4" s="10"/>
      <c r="J4" s="10"/>
      <c r="K4" s="10"/>
      <c r="L4" s="10" t="s">
        <v>720</v>
      </c>
      <c r="M4" s="10"/>
      <c r="N4" s="65" t="s">
        <v>18</v>
      </c>
      <c r="O4" s="65">
        <v>98</v>
      </c>
      <c r="P4" s="65"/>
      <c r="Q4" s="65" t="s">
        <v>18</v>
      </c>
      <c r="R4" s="65">
        <v>48.9</v>
      </c>
      <c r="S4" s="65"/>
      <c r="T4" s="64" t="s">
        <v>18</v>
      </c>
      <c r="U4" s="64">
        <v>49.4</v>
      </c>
      <c r="W4" s="64">
        <v>98</v>
      </c>
      <c r="X4" s="64">
        <v>78</v>
      </c>
      <c r="Z4" t="s">
        <v>140</v>
      </c>
      <c r="AA4">
        <v>51</v>
      </c>
    </row>
    <row r="5" spans="2:27" ht="13.9" customHeight="1" x14ac:dyDescent="0.25">
      <c r="B5" s="14" t="s">
        <v>721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62" t="s">
        <v>27</v>
      </c>
      <c r="O5" s="62">
        <v>97</v>
      </c>
      <c r="P5" s="62"/>
      <c r="Q5" s="62" t="s">
        <v>27</v>
      </c>
      <c r="R5" s="62">
        <v>38.9</v>
      </c>
      <c r="S5" s="62"/>
      <c r="T5" s="64" t="s">
        <v>27</v>
      </c>
      <c r="U5" s="64">
        <v>22.9</v>
      </c>
      <c r="W5" s="64">
        <v>97</v>
      </c>
      <c r="X5" s="64">
        <v>73</v>
      </c>
    </row>
    <row r="6" spans="2:27" ht="13.9" customHeight="1" x14ac:dyDescent="0.25">
      <c r="B6" s="23" t="s">
        <v>41</v>
      </c>
      <c r="C6" s="6" t="s">
        <v>0</v>
      </c>
      <c r="D6" s="6" t="s">
        <v>1</v>
      </c>
      <c r="E6" s="6"/>
      <c r="F6" s="6" t="s">
        <v>2</v>
      </c>
      <c r="G6" s="6" t="s">
        <v>709</v>
      </c>
      <c r="H6" s="6" t="s">
        <v>582</v>
      </c>
      <c r="I6" s="6" t="s">
        <v>583</v>
      </c>
      <c r="J6" s="6" t="s">
        <v>100</v>
      </c>
      <c r="K6" s="6" t="s">
        <v>207</v>
      </c>
      <c r="L6" s="6" t="s">
        <v>47</v>
      </c>
      <c r="M6" s="6" t="s">
        <v>48</v>
      </c>
      <c r="N6" s="64" t="s">
        <v>21</v>
      </c>
      <c r="O6" s="64">
        <v>95</v>
      </c>
      <c r="Q6" s="64" t="s">
        <v>21</v>
      </c>
      <c r="R6" s="64">
        <v>65.5</v>
      </c>
      <c r="T6" s="64" t="s">
        <v>21</v>
      </c>
      <c r="U6" s="64">
        <v>66.900000000000006</v>
      </c>
      <c r="W6" s="64">
        <v>95</v>
      </c>
      <c r="X6" s="64">
        <v>88</v>
      </c>
    </row>
    <row r="7" spans="2:27" ht="13.9" customHeight="1" x14ac:dyDescent="0.25">
      <c r="B7">
        <v>1</v>
      </c>
      <c r="C7" t="str">
        <f>IFERROR(_xlfn.XLOOKUP(LARGE('DONNÉES BRUTES'!Y$3:Y$90,1),'DONNÉES BRUTES'!Y$3:Y$90,'DONNÉES BRUTES'!A$3:A$90),"—")</f>
        <v>INTC</v>
      </c>
      <c r="D7" t="str">
        <f>IFERROR(_xlfn.XLOOKUP(C7,'DONNÉES BRUTES'!A$3:A$90,'DONNÉES BRUTES'!B$3:B$90),"—")</f>
        <v>Intel Corporation</v>
      </c>
      <c r="F7" t="str">
        <f>IFERROR(_xlfn.XLOOKUP(C7,'DONNÉES BRUTES'!A$3:A$90,'DONNÉES BRUTES'!Y$3:Y$90)&amp;"/100","—")</f>
        <v>100/100</v>
      </c>
      <c r="G7" t="str">
        <f>IFERROR(_xlfn.XLOOKUP(C7,'DONNÉES BRUTES'!A$3:A$90,'DONNÉES BRUTES'!P$3:P$90),"—")</f>
        <v>-0.5%</v>
      </c>
      <c r="H7" t="str">
        <f>IFERROR(_xlfn.XLOOKUP(C7,'DONNÉES BRUTES'!A$3:A$90,'DONNÉES BRUTES'!N$3:N$90),"—")</f>
        <v>27.2%</v>
      </c>
      <c r="I7" t="str">
        <f>IFERROR(_xlfn.XLOOKUP(C7,'DONNÉES BRUTES'!A$3:A$90,'DONNÉES BRUTES'!O$3:O$90),"—")</f>
        <v>-0.5%</v>
      </c>
      <c r="J7" t="str">
        <f>IFERROR(_xlfn.XLOOKUP(C7,'DONNÉES BRUTES'!A$3:A$90,'DONNÉES BRUTES'!Q$3:Q$90),"—")</f>
        <v>-0.2%</v>
      </c>
      <c r="K7" s="67">
        <f>IFERROR(_xlfn.XLOOKUP(C7,'DONNÉES BRUTES'!A$3:A$90,'DONNÉES BRUTES'!AB$3:AB$90),"—")</f>
        <v>67</v>
      </c>
      <c r="L7" t="str">
        <f>IFERROR(_xlfn.XLOOKUP(C7,'DONNÉES BRUTES'!A$3:A$90,'DONNÉES BRUTES'!AC$3:AC$90),"—")</f>
        <v>2026-04-23</v>
      </c>
      <c r="M7" t="str">
        <f>IFERROR(_xlfn.XLOOKUP(C7,'DONNÉES BRUTES'!A$3:A$90,'DONNÉES BRUTES'!AD$3:AD$90),"—")</f>
        <v>Neutre</v>
      </c>
      <c r="N7" s="64" t="s">
        <v>112</v>
      </c>
      <c r="O7" s="64">
        <v>94</v>
      </c>
      <c r="Q7" s="64" t="s">
        <v>112</v>
      </c>
      <c r="R7" s="64">
        <v>51.7</v>
      </c>
      <c r="T7" s="64" t="s">
        <v>112</v>
      </c>
      <c r="U7" s="64">
        <v>29.8</v>
      </c>
      <c r="W7" s="64">
        <v>94</v>
      </c>
      <c r="X7" s="64">
        <v>66</v>
      </c>
    </row>
    <row r="8" spans="2:27" ht="13.9" customHeight="1" x14ac:dyDescent="0.25">
      <c r="B8" s="8">
        <v>2</v>
      </c>
      <c r="C8" s="8" t="str">
        <f>IFERROR(_xlfn.XLOOKUP(LARGE('DONNÉES BRUTES'!Y$3:Y$90,2),'DONNÉES BRUTES'!Y$3:Y$90,'DONNÉES BRUTES'!A$3:A$90),"—")</f>
        <v>WDC</v>
      </c>
      <c r="D8" s="8" t="str">
        <f>IFERROR(_xlfn.XLOOKUP(C8,'DONNÉES BRUTES'!A$3:A$90,'DONNÉES BRUTES'!B$3:B$90),"—")</f>
        <v>Western Digital Corporation</v>
      </c>
      <c r="E8" s="8"/>
      <c r="F8" s="8" t="str">
        <f>IFERROR(_xlfn.XLOOKUP(C8,'DONNÉES BRUTES'!A$3:A$90,'DONNÉES BRUTES'!Y$3:Y$90)&amp;"/100","—")</f>
        <v>99/100</v>
      </c>
      <c r="G8" s="8" t="str">
        <f>IFERROR(_xlfn.XLOOKUP(C8,'DONNÉES BRUTES'!A$3:A$90,'DONNÉES BRUTES'!P$3:P$90),"—")</f>
        <v>+50.7%</v>
      </c>
      <c r="H8" s="8" t="str">
        <f>IFERROR(_xlfn.XLOOKUP(C8,'DONNÉES BRUTES'!A$3:A$90,'DONNÉES BRUTES'!N$3:N$90),"—")</f>
        <v>20.4%</v>
      </c>
      <c r="I8" s="8" t="str">
        <f>IFERROR(_xlfn.XLOOKUP(C8,'DONNÉES BRUTES'!A$3:A$90,'DONNÉES BRUTES'!O$3:O$90),"—")</f>
        <v>19.5%</v>
      </c>
      <c r="J8" s="8" t="str">
        <f>IFERROR(_xlfn.XLOOKUP(C8,'DONNÉES BRUTES'!A$3:A$90,'DONNÉES BRUTES'!Q$3:Q$90),"—")</f>
        <v>+35.0%</v>
      </c>
      <c r="K8" s="68">
        <f>IFERROR(_xlfn.XLOOKUP(C8,'DONNÉES BRUTES'!A$3:A$90,'DONNÉES BRUTES'!AB$3:AB$90),"—")</f>
        <v>77</v>
      </c>
      <c r="L8" s="8" t="str">
        <f>IFERROR(_xlfn.XLOOKUP(C8,'DONNÉES BRUTES'!A$3:A$90,'DONNÉES BRUTES'!AC$3:AC$90),"—")</f>
        <v>2026-05-06</v>
      </c>
      <c r="M8" s="8" t="str">
        <f>IFERROR(_xlfn.XLOOKUP(C8,'DONNÉES BRUTES'!A$3:A$90,'DONNÉES BRUTES'!AD$3:AD$90),"—")</f>
        <v>Surpondérer</v>
      </c>
      <c r="N8" s="64" t="s">
        <v>118</v>
      </c>
      <c r="O8" s="64">
        <v>93</v>
      </c>
      <c r="Q8" s="64" t="s">
        <v>118</v>
      </c>
      <c r="R8" s="64">
        <v>7.7</v>
      </c>
      <c r="T8" s="64" t="s">
        <v>118</v>
      </c>
      <c r="U8" s="64">
        <v>32.799999999999997</v>
      </c>
      <c r="W8" s="64">
        <v>93</v>
      </c>
      <c r="X8" s="64">
        <v>59</v>
      </c>
    </row>
    <row r="9" spans="2:27" ht="13.9" customHeight="1" x14ac:dyDescent="0.25">
      <c r="B9">
        <v>3</v>
      </c>
      <c r="C9" t="str">
        <f>IFERROR(_xlfn.XLOOKUP(LARGE('DONNÉES BRUTES'!Y$3:Y$90,3),'DONNÉES BRUTES'!Y$3:Y$90,'DONNÉES BRUTES'!A$3:A$90),"—")</f>
        <v>MU</v>
      </c>
      <c r="D9" t="str">
        <f>IFERROR(_xlfn.XLOOKUP(C9,'DONNÉES BRUTES'!A$3:A$90,'DONNÉES BRUTES'!B$3:B$90),"—")</f>
        <v>Micron Technology, Inc.</v>
      </c>
      <c r="F9" t="str">
        <f>IFERROR(_xlfn.XLOOKUP(C9,'DONNÉES BRUTES'!A$3:A$90,'DONNÉES BRUTES'!Y$3:Y$90)&amp;"/100","—")</f>
        <v>98/100</v>
      </c>
      <c r="G9" t="str">
        <f>IFERROR(_xlfn.XLOOKUP(C9,'DONNÉES BRUTES'!A$3:A$90,'DONNÉES BRUTES'!P$3:P$90),"—")</f>
        <v>+48.9%</v>
      </c>
      <c r="H9" t="str">
        <f>IFERROR(_xlfn.XLOOKUP(C9,'DONNÉES BRUTES'!A$3:A$90,'DONNÉES BRUTES'!N$3:N$90),"—")</f>
        <v>49.4%</v>
      </c>
      <c r="I9" t="str">
        <f>IFERROR(_xlfn.XLOOKUP(C9,'DONNÉES BRUTES'!A$3:A$90,'DONNÉES BRUTES'!O$3:O$90),"—")</f>
        <v>22.8%</v>
      </c>
      <c r="J9" t="str">
        <f>IFERROR(_xlfn.XLOOKUP(C9,'DONNÉES BRUTES'!A$3:A$90,'DONNÉES BRUTES'!Q$3:Q$90),"—")</f>
        <v>+15.8%</v>
      </c>
      <c r="K9" s="67">
        <f>IFERROR(_xlfn.XLOOKUP(C9,'DONNÉES BRUTES'!A$3:A$90,'DONNÉES BRUTES'!AB$3:AB$90),"—")</f>
        <v>78</v>
      </c>
      <c r="L9" t="str">
        <f>IFERROR(_xlfn.XLOOKUP(C9,'DONNÉES BRUTES'!A$3:A$90,'DONNÉES BRUTES'!AC$3:AC$90),"—")</f>
        <v>—</v>
      </c>
      <c r="M9" t="str">
        <f>IFERROR(_xlfn.XLOOKUP(C9,'DONNÉES BRUTES'!A$3:A$90,'DONNÉES BRUTES'!AD$3:AD$90),"—")</f>
        <v>Surpondérer</v>
      </c>
      <c r="N9" s="64" t="s">
        <v>92</v>
      </c>
      <c r="O9" s="64">
        <v>92</v>
      </c>
      <c r="Q9" s="64" t="s">
        <v>92</v>
      </c>
      <c r="R9" s="64">
        <v>34.299999999999997</v>
      </c>
      <c r="T9" s="64" t="s">
        <v>92</v>
      </c>
      <c r="U9" s="64">
        <v>21</v>
      </c>
      <c r="W9" s="64">
        <v>92</v>
      </c>
      <c r="X9" s="64">
        <v>73</v>
      </c>
    </row>
    <row r="10" spans="2:27" ht="13.9" customHeight="1" x14ac:dyDescent="0.25">
      <c r="B10" s="8">
        <v>4</v>
      </c>
      <c r="C10" s="8" t="str">
        <f>IFERROR(_xlfn.XLOOKUP(LARGE('DONNÉES BRUTES'!Y$3:Y$90,4),'DONNÉES BRUTES'!Y$3:Y$90,'DONNÉES BRUTES'!A$3:A$90),"—")</f>
        <v>STX</v>
      </c>
      <c r="D10" s="8" t="str">
        <f>IFERROR(_xlfn.XLOOKUP(C10,'DONNÉES BRUTES'!A$3:A$90,'DONNÉES BRUTES'!B$3:B$90),"—")</f>
        <v>Seagate Technology Holdings plc</v>
      </c>
      <c r="E10" s="8"/>
      <c r="F10" s="8" t="str">
        <f>IFERROR(_xlfn.XLOOKUP(C10,'DONNÉES BRUTES'!A$3:A$90,'DONNÉES BRUTES'!Y$3:Y$90)&amp;"/100","—")</f>
        <v>97/100</v>
      </c>
      <c r="G10" s="8" t="str">
        <f>IFERROR(_xlfn.XLOOKUP(C10,'DONNÉES BRUTES'!A$3:A$90,'DONNÉES BRUTES'!P$3:P$90),"—")</f>
        <v>+38.9%</v>
      </c>
      <c r="H10" s="8" t="str">
        <f>IFERROR(_xlfn.XLOOKUP(C10,'DONNÉES BRUTES'!A$3:A$90,'DONNÉES BRUTES'!N$3:N$90),"—")</f>
        <v>22.9%</v>
      </c>
      <c r="I10" s="8" t="str">
        <f>IFERROR(_xlfn.XLOOKUP(C10,'DONNÉES BRUTES'!A$3:A$90,'DONNÉES BRUTES'!O$3:O$90),"—")</f>
        <v>16.1%</v>
      </c>
      <c r="J10" s="8" t="str">
        <f>IFERROR(_xlfn.XLOOKUP(C10,'DONNÉES BRUTES'!A$3:A$90,'DONNÉES BRUTES'!Q$3:Q$90),"—")</f>
        <v>-324.3%</v>
      </c>
      <c r="K10" s="68">
        <f>IFERROR(_xlfn.XLOOKUP(C10,'DONNÉES BRUTES'!A$3:A$90,'DONNÉES BRUTES'!AB$3:AB$90),"—")</f>
        <v>73</v>
      </c>
      <c r="L10" s="8" t="str">
        <f>IFERROR(_xlfn.XLOOKUP(C10,'DONNÉES BRUTES'!A$3:A$90,'DONNÉES BRUTES'!AC$3:AC$90),"—")</f>
        <v>2026-05-05</v>
      </c>
      <c r="M10" s="8" t="str">
        <f>IFERROR(_xlfn.XLOOKUP(C10,'DONNÉES BRUTES'!A$3:A$90,'DONNÉES BRUTES'!AD$3:AD$90),"—")</f>
        <v>Neutre</v>
      </c>
      <c r="N10" s="64" t="s">
        <v>86</v>
      </c>
      <c r="O10" s="64">
        <v>91</v>
      </c>
      <c r="Q10" s="64" t="s">
        <v>86</v>
      </c>
      <c r="R10" s="64">
        <v>19.2</v>
      </c>
      <c r="T10" s="64" t="s">
        <v>86</v>
      </c>
      <c r="U10" s="64">
        <v>41.3</v>
      </c>
      <c r="W10" s="64">
        <v>91</v>
      </c>
      <c r="X10" s="64">
        <v>74</v>
      </c>
    </row>
    <row r="11" spans="2:27" ht="13.9" customHeight="1" x14ac:dyDescent="0.25">
      <c r="B11">
        <v>5</v>
      </c>
      <c r="C11" t="str">
        <f>IFERROR(_xlfn.XLOOKUP(LARGE('DONNÉES BRUTES'!Y$3:Y$90,5),'DONNÉES BRUTES'!Y$3:Y$90,'DONNÉES BRUTES'!A$3:A$90),"—")</f>
        <v>NVDA</v>
      </c>
      <c r="D11" t="str">
        <f>IFERROR(_xlfn.XLOOKUP(C11,'DONNÉES BRUTES'!A$3:A$90,'DONNÉES BRUTES'!B$3:B$90),"—")</f>
        <v>NVIDIA Corporation</v>
      </c>
      <c r="F11" t="str">
        <f>IFERROR(_xlfn.XLOOKUP(C11,'DONNÉES BRUTES'!A$3:A$90,'DONNÉES BRUTES'!Y$3:Y$90)&amp;"/100","—")</f>
        <v>95/100</v>
      </c>
      <c r="G11" t="str">
        <f>IFERROR(_xlfn.XLOOKUP(C11,'DONNÉES BRUTES'!A$3:A$90,'DONNÉES BRUTES'!P$3:P$90),"—")</f>
        <v>+65.5%</v>
      </c>
      <c r="H11" t="str">
        <f>IFERROR(_xlfn.XLOOKUP(C11,'DONNÉES BRUTES'!A$3:A$90,'DONNÉES BRUTES'!N$3:N$90),"—")</f>
        <v>66.9%</v>
      </c>
      <c r="I11" t="str">
        <f>IFERROR(_xlfn.XLOOKUP(C11,'DONNÉES BRUTES'!A$3:A$90,'DONNÉES BRUTES'!O$3:O$90),"—")</f>
        <v>55.6%</v>
      </c>
      <c r="J11" t="str">
        <f>IFERROR(_xlfn.XLOOKUP(C11,'DONNÉES BRUTES'!A$3:A$90,'DONNÉES BRUTES'!Q$3:Q$90),"—")</f>
        <v>+76.3%</v>
      </c>
      <c r="K11" s="67">
        <f>IFERROR(_xlfn.XLOOKUP(C11,'DONNÉES BRUTES'!A$3:A$90,'DONNÉES BRUTES'!AB$3:AB$90),"—")</f>
        <v>88</v>
      </c>
      <c r="L11" t="str">
        <f>IFERROR(_xlfn.XLOOKUP(C11,'DONNÉES BRUTES'!A$3:A$90,'DONNÉES BRUTES'!AC$3:AC$90),"—")</f>
        <v>2026-05-20</v>
      </c>
      <c r="M11" t="str">
        <f>IFERROR(_xlfn.XLOOKUP(C11,'DONNÉES BRUTES'!A$3:A$90,'DONNÉES BRUTES'!AD$3:AD$90),"—")</f>
        <v>Surpondérer</v>
      </c>
      <c r="N11" s="64" t="s">
        <v>66</v>
      </c>
      <c r="O11" s="64">
        <v>90</v>
      </c>
      <c r="Q11" s="64" t="s">
        <v>66</v>
      </c>
      <c r="R11" s="64">
        <v>23.9</v>
      </c>
      <c r="T11" s="64" t="s">
        <v>66</v>
      </c>
      <c r="U11" s="64">
        <v>54.3</v>
      </c>
      <c r="W11" s="64">
        <v>90</v>
      </c>
      <c r="X11" s="64">
        <v>81</v>
      </c>
    </row>
    <row r="12" spans="2:27" ht="13.9" customHeight="1" x14ac:dyDescent="0.25">
      <c r="B12" s="8">
        <v>6</v>
      </c>
      <c r="C12" s="8" t="str">
        <f>IFERROR(_xlfn.XLOOKUP(LARGE('DONNÉES BRUTES'!Y$3:Y$90,6),'DONNÉES BRUTES'!Y$3:Y$90,'DONNÉES BRUTES'!A$3:A$90),"—")</f>
        <v>APH</v>
      </c>
      <c r="D12" s="8" t="str">
        <f>IFERROR(_xlfn.XLOOKUP(C12,'DONNÉES BRUTES'!A$3:A$90,'DONNÉES BRUTES'!B$3:B$90),"—")</f>
        <v>Amphenol Corporation</v>
      </c>
      <c r="E12" s="8"/>
      <c r="F12" s="8" t="str">
        <f>IFERROR(_xlfn.XLOOKUP(C12,'DONNÉES BRUTES'!A$3:A$90,'DONNÉES BRUTES'!Y$3:Y$90)&amp;"/100","—")</f>
        <v>94/100</v>
      </c>
      <c r="G12" s="8" t="str">
        <f>IFERROR(_xlfn.XLOOKUP(C12,'DONNÉES BRUTES'!A$3:A$90,'DONNÉES BRUTES'!P$3:P$90),"—")</f>
        <v>+51.7%</v>
      </c>
      <c r="H12" s="8" t="str">
        <f>IFERROR(_xlfn.XLOOKUP(C12,'DONNÉES BRUTES'!A$3:A$90,'DONNÉES BRUTES'!N$3:N$90),"—")</f>
        <v>29.8%</v>
      </c>
      <c r="I12" s="8" t="str">
        <f>IFERROR(_xlfn.XLOOKUP(C12,'DONNÉES BRUTES'!A$3:A$90,'DONNÉES BRUTES'!O$3:O$90),"—")</f>
        <v>18.5%</v>
      </c>
      <c r="J12" s="8" t="str">
        <f>IFERROR(_xlfn.XLOOKUP(C12,'DONNÉES BRUTES'!A$3:A$90,'DONNÉES BRUTES'!Q$3:Q$90),"—")</f>
        <v>+31.8%</v>
      </c>
      <c r="K12" s="68">
        <f>IFERROR(_xlfn.XLOOKUP(C12,'DONNÉES BRUTES'!A$3:A$90,'DONNÉES BRUTES'!AB$3:AB$90),"—")</f>
        <v>66</v>
      </c>
      <c r="L12" s="8" t="str">
        <f>IFERROR(_xlfn.XLOOKUP(C12,'DONNÉES BRUTES'!A$3:A$90,'DONNÉES BRUTES'!AC$3:AC$90),"—")</f>
        <v>2026-04-29</v>
      </c>
      <c r="M12" s="8" t="str">
        <f>IFERROR(_xlfn.XLOOKUP(C12,'DONNÉES BRUTES'!A$3:A$90,'DONNÉES BRUTES'!AD$3:AD$90),"—")</f>
        <v>Neutre</v>
      </c>
      <c r="N12" s="64" t="s">
        <v>128</v>
      </c>
      <c r="O12" s="64">
        <v>88</v>
      </c>
      <c r="Q12" s="64" t="s">
        <v>128</v>
      </c>
      <c r="R12" s="64">
        <v>19.100000000000001</v>
      </c>
      <c r="T12" s="64" t="s">
        <v>128</v>
      </c>
      <c r="U12" s="64">
        <v>23.9</v>
      </c>
      <c r="W12" s="64">
        <v>88</v>
      </c>
      <c r="X12" s="64">
        <v>68</v>
      </c>
    </row>
    <row r="13" spans="2:27" ht="13.9" customHeight="1" x14ac:dyDescent="0.25">
      <c r="B13">
        <v>7</v>
      </c>
      <c r="C13" t="str">
        <f>IFERROR(_xlfn.XLOOKUP(LARGE('DONNÉES BRUTES'!Y$3:Y$90,7),'DONNÉES BRUTES'!Y$3:Y$90,'DONNÉES BRUTES'!A$3:A$90),"—")</f>
        <v>SAP.DE</v>
      </c>
      <c r="D13" t="str">
        <f>IFERROR(_xlfn.XLOOKUP(C13,'DONNÉES BRUTES'!A$3:A$90,'DONNÉES BRUTES'!B$3:B$90),"—")</f>
        <v>SAP SE</v>
      </c>
      <c r="F13" t="str">
        <f>IFERROR(_xlfn.XLOOKUP(C13,'DONNÉES BRUTES'!A$3:A$90,'DONNÉES BRUTES'!Y$3:Y$90)&amp;"/100","—")</f>
        <v>93/100</v>
      </c>
      <c r="G13" t="str">
        <f>IFERROR(_xlfn.XLOOKUP(C13,'DONNÉES BRUTES'!A$3:A$90,'DONNÉES BRUTES'!P$3:P$90),"—")</f>
        <v>+7.7%</v>
      </c>
      <c r="H13" t="str">
        <f>IFERROR(_xlfn.XLOOKUP(C13,'DONNÉES BRUTES'!A$3:A$90,'DONNÉES BRUTES'!N$3:N$90),"—")</f>
        <v>32.8%</v>
      </c>
      <c r="I13" t="str">
        <f>IFERROR(_xlfn.XLOOKUP(C13,'DONNÉES BRUTES'!A$3:A$90,'DONNÉES BRUTES'!O$3:O$90),"—")</f>
        <v>19.5%</v>
      </c>
      <c r="J13" t="str">
        <f>IFERROR(_xlfn.XLOOKUP(C13,'DONNÉES BRUTES'!A$3:A$90,'DONNÉES BRUTES'!Q$3:Q$90),"—")</f>
        <v>+16.1%</v>
      </c>
      <c r="K13" s="67">
        <f>IFERROR(_xlfn.XLOOKUP(C13,'DONNÉES BRUTES'!A$3:A$90,'DONNÉES BRUTES'!AB$3:AB$90),"—")</f>
        <v>59</v>
      </c>
      <c r="L13" t="str">
        <f>IFERROR(_xlfn.XLOOKUP(C13,'DONNÉES BRUTES'!A$3:A$90,'DONNÉES BRUTES'!AC$3:AC$90),"—")</f>
        <v>2026-04-23</v>
      </c>
      <c r="M13" t="str">
        <f>IFERROR(_xlfn.XLOOKUP(C13,'DONNÉES BRUTES'!A$3:A$90,'DONNÉES BRUTES'!AD$3:AD$90),"—")</f>
        <v>Neutre</v>
      </c>
      <c r="N13" s="64" t="s">
        <v>134</v>
      </c>
      <c r="O13" s="64">
        <v>87</v>
      </c>
      <c r="Q13" s="64" t="s">
        <v>134</v>
      </c>
      <c r="R13" s="64">
        <v>0.3</v>
      </c>
      <c r="T13" s="64" t="s">
        <v>134</v>
      </c>
      <c r="U13" s="64">
        <v>14.1</v>
      </c>
      <c r="W13" s="64">
        <v>87</v>
      </c>
      <c r="X13" s="64">
        <v>53</v>
      </c>
    </row>
    <row r="14" spans="2:27" ht="13.9" customHeight="1" x14ac:dyDescent="0.25">
      <c r="B14" s="8">
        <v>8</v>
      </c>
      <c r="C14" s="8" t="str">
        <f>IFERROR(_xlfn.XLOOKUP(LARGE('DONNÉES BRUTES'!Y$3:Y$90,8),'DONNÉES BRUTES'!Y$3:Y$90,'DONNÉES BRUTES'!A$3:A$90),"—")</f>
        <v>AMD</v>
      </c>
      <c r="D14" s="8" t="str">
        <f>IFERROR(_xlfn.XLOOKUP(C14,'DONNÉES BRUTES'!A$3:A$90,'DONNÉES BRUTES'!B$3:B$90),"—")</f>
        <v>Advanced Micro Devices, Inc.</v>
      </c>
      <c r="E14" s="8"/>
      <c r="F14" s="8" t="str">
        <f>IFERROR(_xlfn.XLOOKUP(C14,'DONNÉES BRUTES'!A$3:A$90,'DONNÉES BRUTES'!Y$3:Y$90)&amp;"/100","—")</f>
        <v>92/100</v>
      </c>
      <c r="G14" s="8" t="str">
        <f>IFERROR(_xlfn.XLOOKUP(C14,'DONNÉES BRUTES'!A$3:A$90,'DONNÉES BRUTES'!P$3:P$90),"—")</f>
        <v>+34.3%</v>
      </c>
      <c r="H14" s="8" t="str">
        <f>IFERROR(_xlfn.XLOOKUP(C14,'DONNÉES BRUTES'!A$3:A$90,'DONNÉES BRUTES'!N$3:N$90),"—")</f>
        <v>21.0%</v>
      </c>
      <c r="I14" s="8" t="str">
        <f>IFERROR(_xlfn.XLOOKUP(C14,'DONNÉES BRUTES'!A$3:A$90,'DONNÉES BRUTES'!O$3:O$90),"—")</f>
        <v>12.5%</v>
      </c>
      <c r="J14" s="8" t="str">
        <f>IFERROR(_xlfn.XLOOKUP(C14,'DONNÉES BRUTES'!A$3:A$90,'DONNÉES BRUTES'!Q$3:Q$90),"—")</f>
        <v>+6.9%</v>
      </c>
      <c r="K14" s="68">
        <f>IFERROR(_xlfn.XLOOKUP(C14,'DONNÉES BRUTES'!A$3:A$90,'DONNÉES BRUTES'!AB$3:AB$90),"—")</f>
        <v>73</v>
      </c>
      <c r="L14" s="8" t="str">
        <f>IFERROR(_xlfn.XLOOKUP(C14,'DONNÉES BRUTES'!A$3:A$90,'DONNÉES BRUTES'!AC$3:AC$90),"—")</f>
        <v>2026-05-05</v>
      </c>
      <c r="M14" s="8" t="str">
        <f>IFERROR(_xlfn.XLOOKUP(C14,'DONNÉES BRUTES'!A$3:A$90,'DONNÉES BRUTES'!AD$3:AD$90),"—")</f>
        <v>Neutre</v>
      </c>
      <c r="N14" s="64" t="s">
        <v>72</v>
      </c>
      <c r="O14" s="64">
        <v>86</v>
      </c>
      <c r="Q14" s="64" t="s">
        <v>72</v>
      </c>
      <c r="R14" s="64">
        <v>26.4</v>
      </c>
      <c r="T14" s="64" t="s">
        <v>72</v>
      </c>
      <c r="U14" s="64">
        <v>28</v>
      </c>
      <c r="W14" s="64">
        <v>86</v>
      </c>
      <c r="X14" s="64">
        <v>78</v>
      </c>
    </row>
    <row r="15" spans="2:27" ht="13.9" customHeight="1" x14ac:dyDescent="0.25">
      <c r="B15">
        <v>9</v>
      </c>
      <c r="C15" t="str">
        <f>IFERROR(_xlfn.XLOOKUP(LARGE('DONNÉES BRUTES'!Y$3:Y$90,9),'DONNÉES BRUTES'!Y$3:Y$90,'DONNÉES BRUTES'!A$3:A$90),"—")</f>
        <v>PTC</v>
      </c>
      <c r="D15" t="str">
        <f>IFERROR(_xlfn.XLOOKUP(C15,'DONNÉES BRUTES'!A$3:A$90,'DONNÉES BRUTES'!B$3:B$90),"—")</f>
        <v>PTC Inc.</v>
      </c>
      <c r="F15" t="str">
        <f>IFERROR(_xlfn.XLOOKUP(C15,'DONNÉES BRUTES'!A$3:A$90,'DONNÉES BRUTES'!Y$3:Y$90)&amp;"/100","—")</f>
        <v>91/100</v>
      </c>
      <c r="G15" t="str">
        <f>IFERROR(_xlfn.XLOOKUP(C15,'DONNÉES BRUTES'!A$3:A$90,'DONNÉES BRUTES'!P$3:P$90),"—")</f>
        <v>+19.2%</v>
      </c>
      <c r="H15" t="str">
        <f>IFERROR(_xlfn.XLOOKUP(C15,'DONNÉES BRUTES'!A$3:A$90,'DONNÉES BRUTES'!N$3:N$90),"—")</f>
        <v>41.3%</v>
      </c>
      <c r="I15" t="str">
        <f>IFERROR(_xlfn.XLOOKUP(C15,'DONNÉES BRUTES'!A$3:A$90,'DONNÉES BRUTES'!O$3:O$90),"—")</f>
        <v>26.8%</v>
      </c>
      <c r="J15" t="str">
        <f>IFERROR(_xlfn.XLOOKUP(C15,'DONNÉES BRUTES'!A$3:A$90,'DONNÉES BRUTES'!Q$3:Q$90),"—")</f>
        <v>+19.2%</v>
      </c>
      <c r="K15" s="67">
        <f>IFERROR(_xlfn.XLOOKUP(C15,'DONNÉES BRUTES'!A$3:A$90,'DONNÉES BRUTES'!AB$3:AB$90),"—")</f>
        <v>74</v>
      </c>
      <c r="L15" t="str">
        <f>IFERROR(_xlfn.XLOOKUP(C15,'DONNÉES BRUTES'!A$3:A$90,'DONNÉES BRUTES'!AC$3:AC$90),"—")</f>
        <v>2026-04-29</v>
      </c>
      <c r="M15" t="str">
        <f>IFERROR(_xlfn.XLOOKUP(C15,'DONNÉES BRUTES'!A$3:A$90,'DONNÉES BRUTES'!AD$3:AD$90),"—")</f>
        <v>Neutre</v>
      </c>
      <c r="N15" s="64" t="s">
        <v>54</v>
      </c>
      <c r="O15" s="64">
        <v>85</v>
      </c>
      <c r="Q15" s="64" t="s">
        <v>54</v>
      </c>
      <c r="R15" s="64">
        <v>23.9</v>
      </c>
      <c r="T15" s="64" t="s">
        <v>54</v>
      </c>
      <c r="U15" s="64">
        <v>43.9</v>
      </c>
      <c r="W15" s="64">
        <v>85</v>
      </c>
      <c r="X15" s="64">
        <v>84</v>
      </c>
    </row>
    <row r="16" spans="2:27" ht="13.9" customHeight="1" x14ac:dyDescent="0.25">
      <c r="B16" s="8">
        <v>10</v>
      </c>
      <c r="C16" s="8" t="str">
        <f>IFERROR(_xlfn.XLOOKUP(LARGE('DONNÉES BRUTES'!Y$3:Y$90,10),'DONNÉES BRUTES'!Y$3:Y$90,'DONNÉES BRUTES'!A$3:A$90),"—")</f>
        <v>AVGO</v>
      </c>
      <c r="D16" s="8" t="str">
        <f>IFERROR(_xlfn.XLOOKUP(C16,'DONNÉES BRUTES'!A$3:A$90,'DONNÉES BRUTES'!B$3:B$90),"—")</f>
        <v>Broadcom Inc.</v>
      </c>
      <c r="E16" s="8"/>
      <c r="F16" s="8" t="str">
        <f>IFERROR(_xlfn.XLOOKUP(C16,'DONNÉES BRUTES'!A$3:A$90,'DONNÉES BRUTES'!Y$3:Y$90)&amp;"/100","—")</f>
        <v>90/100</v>
      </c>
      <c r="G16" s="8" t="str">
        <f>IFERROR(_xlfn.XLOOKUP(C16,'DONNÉES BRUTES'!A$3:A$90,'DONNÉES BRUTES'!P$3:P$90),"—")</f>
        <v>+23.9%</v>
      </c>
      <c r="H16" s="8" t="str">
        <f>IFERROR(_xlfn.XLOOKUP(C16,'DONNÉES BRUTES'!A$3:A$90,'DONNÉES BRUTES'!N$3:N$90),"—")</f>
        <v>54.3%</v>
      </c>
      <c r="I16" s="8" t="str">
        <f>IFERROR(_xlfn.XLOOKUP(C16,'DONNÉES BRUTES'!A$3:A$90,'DONNÉES BRUTES'!O$3:O$90),"—")</f>
        <v>36.2%</v>
      </c>
      <c r="J16" s="8" t="str">
        <f>IFERROR(_xlfn.XLOOKUP(C16,'DONNÉES BRUTES'!A$3:A$90,'DONNÉES BRUTES'!Q$3:Q$90),"—")</f>
        <v>+28.4%</v>
      </c>
      <c r="K16" s="68">
        <f>IFERROR(_xlfn.XLOOKUP(C16,'DONNÉES BRUTES'!A$3:A$90,'DONNÉES BRUTES'!AB$3:AB$90),"—")</f>
        <v>81</v>
      </c>
      <c r="L16" s="8" t="str">
        <f>IFERROR(_xlfn.XLOOKUP(C16,'DONNÉES BRUTES'!A$3:A$90,'DONNÉES BRUTES'!AC$3:AC$90),"—")</f>
        <v>2026-06-03</v>
      </c>
      <c r="M16" s="8" t="str">
        <f>IFERROR(_xlfn.XLOOKUP(C16,'DONNÉES BRUTES'!A$3:A$90,'DONNÉES BRUTES'!AD$3:AD$90),"—")</f>
        <v>Surpondérer</v>
      </c>
      <c r="N16" s="64" t="s">
        <v>60</v>
      </c>
      <c r="O16" s="64">
        <v>84</v>
      </c>
      <c r="Q16" s="64" t="s">
        <v>60</v>
      </c>
      <c r="R16" s="64">
        <v>28.6</v>
      </c>
      <c r="T16" s="64" t="s">
        <v>60</v>
      </c>
      <c r="U16" s="64">
        <v>43.6</v>
      </c>
      <c r="W16" s="64">
        <v>84</v>
      </c>
      <c r="X16" s="64">
        <v>83</v>
      </c>
    </row>
    <row r="17" spans="2:24" ht="13.9" customHeight="1" x14ac:dyDescent="0.25">
      <c r="B17">
        <v>11</v>
      </c>
      <c r="C17" t="str">
        <f>IFERROR(_xlfn.XLOOKUP(LARGE('DONNÉES BRUTES'!Y$3:Y$90,11),'DONNÉES BRUTES'!Y$3:Y$90,'DONNÉES BRUTES'!A$3:A$90),"—")</f>
        <v>GLW</v>
      </c>
      <c r="D17" t="str">
        <f>IFERROR(_xlfn.XLOOKUP(C17,'DONNÉES BRUTES'!A$3:A$90,'DONNÉES BRUTES'!B$3:B$90),"—")</f>
        <v>Corning Incorporated</v>
      </c>
      <c r="F17" t="str">
        <f>IFERROR(_xlfn.XLOOKUP(C17,'DONNÉES BRUTES'!A$3:A$90,'DONNÉES BRUTES'!Y$3:Y$90)&amp;"/100","—")</f>
        <v>88/100</v>
      </c>
      <c r="G17" t="str">
        <f>IFERROR(_xlfn.XLOOKUP(C17,'DONNÉES BRUTES'!A$3:A$90,'DONNÉES BRUTES'!P$3:P$90),"—")</f>
        <v>+19.1%</v>
      </c>
      <c r="H17" t="str">
        <f>IFERROR(_xlfn.XLOOKUP(C17,'DONNÉES BRUTES'!A$3:A$90,'DONNÉES BRUTES'!N$3:N$90),"—")</f>
        <v>23.9%</v>
      </c>
      <c r="I17" t="str">
        <f>IFERROR(_xlfn.XLOOKUP(C17,'DONNÉES BRUTES'!A$3:A$90,'DONNÉES BRUTES'!O$3:O$90),"—")</f>
        <v>10.2%</v>
      </c>
      <c r="J17" t="str">
        <f>IFERROR(_xlfn.XLOOKUP(C17,'DONNÉES BRUTES'!A$3:A$90,'DONNÉES BRUTES'!Q$3:Q$90),"—")</f>
        <v>+13.5%</v>
      </c>
      <c r="K17" s="67">
        <f>IFERROR(_xlfn.XLOOKUP(C17,'DONNÉES BRUTES'!A$3:A$90,'DONNÉES BRUTES'!AB$3:AB$90),"—")</f>
        <v>68</v>
      </c>
      <c r="L17" t="str">
        <f>IFERROR(_xlfn.XLOOKUP(C17,'DONNÉES BRUTES'!A$3:A$90,'DONNÉES BRUTES'!AC$3:AC$90),"—")</f>
        <v>2026-04-28</v>
      </c>
      <c r="M17" t="str">
        <f>IFERROR(_xlfn.XLOOKUP(C17,'DONNÉES BRUTES'!A$3:A$90,'DONNÉES BRUTES'!AD$3:AD$90),"—")</f>
        <v>Neutre</v>
      </c>
      <c r="N17" s="64" t="s">
        <v>78</v>
      </c>
      <c r="O17" s="64">
        <v>83</v>
      </c>
      <c r="Q17" s="64" t="s">
        <v>78</v>
      </c>
      <c r="R17" s="64">
        <v>23.7</v>
      </c>
      <c r="T17" s="64" t="s">
        <v>78</v>
      </c>
      <c r="U17" s="64">
        <v>35.4</v>
      </c>
      <c r="W17" s="64">
        <v>83</v>
      </c>
      <c r="X17" s="64">
        <v>77</v>
      </c>
    </row>
    <row r="18" spans="2:24" ht="13.9" customHeight="1" x14ac:dyDescent="0.25">
      <c r="B18" s="8">
        <v>12</v>
      </c>
      <c r="C18" s="8" t="str">
        <f>IFERROR(_xlfn.XLOOKUP(LARGE('DONNÉES BRUTES'!Y$3:Y$90,12),'DONNÉES BRUTES'!Y$3:Y$90,'DONNÉES BRUTES'!A$3:A$90),"—")</f>
        <v>XYZ</v>
      </c>
      <c r="D18" s="8" t="str">
        <f>IFERROR(_xlfn.XLOOKUP(C18,'DONNÉES BRUTES'!A$3:A$90,'DONNÉES BRUTES'!B$3:B$90),"—")</f>
        <v>Block, Inc.</v>
      </c>
      <c r="E18" s="8"/>
      <c r="F18" s="8" t="str">
        <f>IFERROR(_xlfn.XLOOKUP(C18,'DONNÉES BRUTES'!A$3:A$90,'DONNÉES BRUTES'!Y$3:Y$90)&amp;"/100","—")</f>
        <v>87/100</v>
      </c>
      <c r="G18" s="8" t="str">
        <f>IFERROR(_xlfn.XLOOKUP(C18,'DONNÉES BRUTES'!A$3:A$90,'DONNÉES BRUTES'!P$3:P$90),"—")</f>
        <v>+0.3%</v>
      </c>
      <c r="H18" s="8" t="str">
        <f>IFERROR(_xlfn.XLOOKUP(C18,'DONNÉES BRUTES'!A$3:A$90,'DONNÉES BRUTES'!N$3:N$90),"—")</f>
        <v>14.1%</v>
      </c>
      <c r="I18" s="8" t="str">
        <f>IFERROR(_xlfn.XLOOKUP(C18,'DONNÉES BRUTES'!A$3:A$90,'DONNÉES BRUTES'!O$3:O$90),"—")</f>
        <v>5.4%</v>
      </c>
      <c r="J18" s="8" t="str">
        <f>IFERROR(_xlfn.XLOOKUP(C18,'DONNÉES BRUTES'!A$3:A$90,'DONNÉES BRUTES'!Q$3:Q$90),"—")</f>
        <v>+5.9%</v>
      </c>
      <c r="K18" s="68">
        <f>IFERROR(_xlfn.XLOOKUP(C18,'DONNÉES BRUTES'!A$3:A$90,'DONNÉES BRUTES'!AB$3:AB$90),"—")</f>
        <v>53</v>
      </c>
      <c r="L18" s="8" t="str">
        <f>IFERROR(_xlfn.XLOOKUP(C18,'DONNÉES BRUTES'!A$3:A$90,'DONNÉES BRUTES'!AC$3:AC$90),"—")</f>
        <v>2026-04-30</v>
      </c>
      <c r="M18" s="8" t="str">
        <f>IFERROR(_xlfn.XLOOKUP(C18,'DONNÉES BRUTES'!A$3:A$90,'DONNÉES BRUTES'!AD$3:AD$90),"—")</f>
        <v>Sous-pondérer</v>
      </c>
      <c r="N18" s="64" t="s">
        <v>282</v>
      </c>
      <c r="O18" s="64">
        <v>81</v>
      </c>
      <c r="Q18" s="64" t="s">
        <v>282</v>
      </c>
      <c r="R18" s="64">
        <v>46.6</v>
      </c>
      <c r="T18" s="64" t="s">
        <v>282</v>
      </c>
      <c r="U18" s="64">
        <v>6.1</v>
      </c>
      <c r="W18" s="64">
        <v>81</v>
      </c>
      <c r="X18" s="64">
        <v>32</v>
      </c>
    </row>
    <row r="19" spans="2:24" ht="13.9" customHeight="1" x14ac:dyDescent="0.25">
      <c r="B19">
        <v>13</v>
      </c>
      <c r="C19" t="str">
        <f>IFERROR(_xlfn.XLOOKUP(LARGE('DONNÉES BRUTES'!Y$3:Y$90,13),'DONNÉES BRUTES'!Y$3:Y$90,'DONNÉES BRUTES'!A$3:A$90),"—")</f>
        <v>MPWR</v>
      </c>
      <c r="D19" t="str">
        <f>IFERROR(_xlfn.XLOOKUP(C19,'DONNÉES BRUTES'!A$3:A$90,'DONNÉES BRUTES'!B$3:B$90),"—")</f>
        <v>Monolithic Power Systems, Inc.</v>
      </c>
      <c r="F19" t="str">
        <f>IFERROR(_xlfn.XLOOKUP(C19,'DONNÉES BRUTES'!A$3:A$90,'DONNÉES BRUTES'!Y$3:Y$90)&amp;"/100","—")</f>
        <v>86/100</v>
      </c>
      <c r="G19" t="str">
        <f>IFERROR(_xlfn.XLOOKUP(C19,'DONNÉES BRUTES'!A$3:A$90,'DONNÉES BRUTES'!P$3:P$90),"—")</f>
        <v>+26.4%</v>
      </c>
      <c r="H19" t="str">
        <f>IFERROR(_xlfn.XLOOKUP(C19,'DONNÉES BRUTES'!A$3:A$90,'DONNÉES BRUTES'!N$3:N$90),"—")</f>
        <v>28.0%</v>
      </c>
      <c r="I19" t="str">
        <f>IFERROR(_xlfn.XLOOKUP(C19,'DONNÉES BRUTES'!A$3:A$90,'DONNÉES BRUTES'!O$3:O$90),"—")</f>
        <v>22.3%</v>
      </c>
      <c r="J19" t="str">
        <f>IFERROR(_xlfn.XLOOKUP(C19,'DONNÉES BRUTES'!A$3:A$90,'DONNÉES BRUTES'!Q$3:Q$90),"—")</f>
        <v>+17.6%</v>
      </c>
      <c r="K19" s="67">
        <f>IFERROR(_xlfn.XLOOKUP(C19,'DONNÉES BRUTES'!A$3:A$90,'DONNÉES BRUTES'!AB$3:AB$90),"—")</f>
        <v>78</v>
      </c>
      <c r="L19" t="str">
        <f>IFERROR(_xlfn.XLOOKUP(C19,'DONNÉES BRUTES'!A$3:A$90,'DONNÉES BRUTES'!AC$3:AC$90),"—")</f>
        <v>2026-04-30</v>
      </c>
      <c r="M19" t="str">
        <f>IFERROR(_xlfn.XLOOKUP(C19,'DONNÉES BRUTES'!A$3:A$90,'DONNÉES BRUTES'!AD$3:AD$90),"—")</f>
        <v>Surpondérer</v>
      </c>
      <c r="N19" s="64" t="s">
        <v>251</v>
      </c>
      <c r="O19" s="64">
        <v>80</v>
      </c>
      <c r="Q19" s="64" t="s">
        <v>251</v>
      </c>
      <c r="R19" s="64">
        <v>20.9</v>
      </c>
      <c r="T19" s="64" t="s">
        <v>251</v>
      </c>
      <c r="U19" s="64">
        <v>22.8</v>
      </c>
      <c r="W19" s="64">
        <v>80</v>
      </c>
      <c r="X19" s="64">
        <v>53</v>
      </c>
    </row>
    <row r="20" spans="2:24" ht="13.9" customHeight="1" x14ac:dyDescent="0.25">
      <c r="B20" s="8">
        <v>14</v>
      </c>
      <c r="C20" s="8" t="str">
        <f>IFERROR(_xlfn.XLOOKUP(LARGE('DONNÉES BRUTES'!Y$3:Y$90,14),'DONNÉES BRUTES'!Y$3:Y$90,'DONNÉES BRUTES'!A$3:A$90),"—")</f>
        <v>KLAC</v>
      </c>
      <c r="D20" s="8" t="str">
        <f>IFERROR(_xlfn.XLOOKUP(C20,'DONNÉES BRUTES'!A$3:A$90,'DONNÉES BRUTES'!B$3:B$90),"—")</f>
        <v>KLA Corporation</v>
      </c>
      <c r="E20" s="8"/>
      <c r="F20" s="8" t="str">
        <f>IFERROR(_xlfn.XLOOKUP(C20,'DONNÉES BRUTES'!A$3:A$90,'DONNÉES BRUTES'!Y$3:Y$90)&amp;"/100","—")</f>
        <v>85/100</v>
      </c>
      <c r="G20" s="8" t="str">
        <f>IFERROR(_xlfn.XLOOKUP(C20,'DONNÉES BRUTES'!A$3:A$90,'DONNÉES BRUTES'!P$3:P$90),"—")</f>
        <v>+23.9%</v>
      </c>
      <c r="H20" s="8" t="str">
        <f>IFERROR(_xlfn.XLOOKUP(C20,'DONNÉES BRUTES'!A$3:A$90,'DONNÉES BRUTES'!N$3:N$90),"—")</f>
        <v>43.9%</v>
      </c>
      <c r="I20" s="8" t="str">
        <f>IFERROR(_xlfn.XLOOKUP(C20,'DONNÉES BRUTES'!A$3:A$90,'DONNÉES BRUTES'!O$3:O$90),"—")</f>
        <v>33.4%</v>
      </c>
      <c r="J20" s="8" t="str">
        <f>IFERROR(_xlfn.XLOOKUP(C20,'DONNÉES BRUTES'!A$3:A$90,'DONNÉES BRUTES'!Q$3:Q$90),"—")</f>
        <v>+86.6%</v>
      </c>
      <c r="K20" s="68">
        <f>IFERROR(_xlfn.XLOOKUP(C20,'DONNÉES BRUTES'!A$3:A$90,'DONNÉES BRUTES'!AB$3:AB$90),"—")</f>
        <v>84</v>
      </c>
      <c r="L20" s="8" t="str">
        <f>IFERROR(_xlfn.XLOOKUP(C20,'DONNÉES BRUTES'!A$3:A$90,'DONNÉES BRUTES'!AC$3:AC$90),"—")</f>
        <v>2026-04-29</v>
      </c>
      <c r="M20" s="8" t="str">
        <f>IFERROR(_xlfn.XLOOKUP(C20,'DONNÉES BRUTES'!A$3:A$90,'DONNÉES BRUTES'!AD$3:AD$90),"—")</f>
        <v>Surpondérer</v>
      </c>
      <c r="N20" s="64" t="s">
        <v>242</v>
      </c>
      <c r="O20" s="64">
        <v>79</v>
      </c>
      <c r="Q20" s="64" t="s">
        <v>242</v>
      </c>
      <c r="R20" s="64">
        <v>15.1</v>
      </c>
      <c r="T20" s="64" t="s">
        <v>242</v>
      </c>
      <c r="U20" s="64">
        <v>35.4</v>
      </c>
      <c r="W20" s="64">
        <v>79</v>
      </c>
      <c r="X20" s="64">
        <v>66</v>
      </c>
    </row>
    <row r="21" spans="2:24" ht="13.9" customHeight="1" x14ac:dyDescent="0.25">
      <c r="B21">
        <v>15</v>
      </c>
      <c r="C21" t="str">
        <f>IFERROR(_xlfn.XLOOKUP(LARGE('DONNÉES BRUTES'!Y$3:Y$90,15),'DONNÉES BRUTES'!Y$3:Y$90,'DONNÉES BRUTES'!A$3:A$90),"—")</f>
        <v>ANET</v>
      </c>
      <c r="D21" t="str">
        <f>IFERROR(_xlfn.XLOOKUP(C21,'DONNÉES BRUTES'!A$3:A$90,'DONNÉES BRUTES'!B$3:B$90),"—")</f>
        <v>Arista Networks, Inc.</v>
      </c>
      <c r="F21" t="str">
        <f>IFERROR(_xlfn.XLOOKUP(C21,'DONNÉES BRUTES'!A$3:A$90,'DONNÉES BRUTES'!Y$3:Y$90)&amp;"/100","—")</f>
        <v>84/100</v>
      </c>
      <c r="G21" t="str">
        <f>IFERROR(_xlfn.XLOOKUP(C21,'DONNÉES BRUTES'!A$3:A$90,'DONNÉES BRUTES'!P$3:P$90),"—")</f>
        <v>+28.6%</v>
      </c>
      <c r="H21" t="str">
        <f>IFERROR(_xlfn.XLOOKUP(C21,'DONNÉES BRUTES'!A$3:A$90,'DONNÉES BRUTES'!N$3:N$90),"—")</f>
        <v>43.6%</v>
      </c>
      <c r="I21" t="str">
        <f>IFERROR(_xlfn.XLOOKUP(C21,'DONNÉES BRUTES'!A$3:A$90,'DONNÉES BRUTES'!O$3:O$90),"—")</f>
        <v>39.0%</v>
      </c>
      <c r="J21" t="str">
        <f>IFERROR(_xlfn.XLOOKUP(C21,'DONNÉES BRUTES'!A$3:A$90,'DONNÉES BRUTES'!Q$3:Q$90),"—")</f>
        <v>+28.4%</v>
      </c>
      <c r="K21" s="67">
        <f>IFERROR(_xlfn.XLOOKUP(C21,'DONNÉES BRUTES'!A$3:A$90,'DONNÉES BRUTES'!AB$3:AB$90),"—")</f>
        <v>83</v>
      </c>
      <c r="L21" t="str">
        <f>IFERROR(_xlfn.XLOOKUP(C21,'DONNÉES BRUTES'!A$3:A$90,'DONNÉES BRUTES'!AC$3:AC$90),"—")</f>
        <v>2026-05-05</v>
      </c>
      <c r="M21" t="str">
        <f>IFERROR(_xlfn.XLOOKUP(C21,'DONNÉES BRUTES'!A$3:A$90,'DONNÉES BRUTES'!AD$3:AD$90),"—")</f>
        <v>Surpondérer</v>
      </c>
      <c r="N21" s="64" t="s">
        <v>245</v>
      </c>
      <c r="O21" s="64">
        <v>78</v>
      </c>
      <c r="Q21" s="64" t="s">
        <v>245</v>
      </c>
      <c r="R21" s="64">
        <v>7.6</v>
      </c>
      <c r="T21" s="64" t="s">
        <v>245</v>
      </c>
      <c r="U21" s="64">
        <v>25.6</v>
      </c>
      <c r="W21" s="64">
        <v>78</v>
      </c>
      <c r="X21" s="64">
        <v>60</v>
      </c>
    </row>
    <row r="22" spans="2:24" ht="13.9" customHeight="1" x14ac:dyDescent="0.25">
      <c r="B22" s="8">
        <v>16</v>
      </c>
      <c r="C22" s="8" t="str">
        <f>IFERROR(_xlfn.XLOOKUP(LARGE('DONNÉES BRUTES'!Y$3:Y$90,16),'DONNÉES BRUTES'!Y$3:Y$90,'DONNÉES BRUTES'!A$3:A$90),"—")</f>
        <v>LRCX</v>
      </c>
      <c r="D22" s="8" t="str">
        <f>IFERROR(_xlfn.XLOOKUP(C22,'DONNÉES BRUTES'!A$3:A$90,'DONNÉES BRUTES'!B$3:B$90),"—")</f>
        <v>Lam Research Corporation</v>
      </c>
      <c r="E22" s="8"/>
      <c r="F22" s="8" t="str">
        <f>IFERROR(_xlfn.XLOOKUP(C22,'DONNÉES BRUTES'!A$3:A$90,'DONNÉES BRUTES'!Y$3:Y$90)&amp;"/100","—")</f>
        <v>83/100</v>
      </c>
      <c r="G22" s="8" t="str">
        <f>IFERROR(_xlfn.XLOOKUP(C22,'DONNÉES BRUTES'!A$3:A$90,'DONNÉES BRUTES'!P$3:P$90),"—")</f>
        <v>+23.7%</v>
      </c>
      <c r="H22" s="8" t="str">
        <f>IFERROR(_xlfn.XLOOKUP(C22,'DONNÉES BRUTES'!A$3:A$90,'DONNÉES BRUTES'!N$3:N$90),"—")</f>
        <v>35.4%</v>
      </c>
      <c r="I22" s="8" t="str">
        <f>IFERROR(_xlfn.XLOOKUP(C22,'DONNÉES BRUTES'!A$3:A$90,'DONNÉES BRUTES'!O$3:O$90),"—")</f>
        <v>29.1%</v>
      </c>
      <c r="J22" s="8" t="str">
        <f>IFERROR(_xlfn.XLOOKUP(C22,'DONNÉES BRUTES'!A$3:A$90,'DONNÉES BRUTES'!Q$3:Q$90),"—")</f>
        <v>+54.3%</v>
      </c>
      <c r="K22" s="68">
        <f>IFERROR(_xlfn.XLOOKUP(C22,'DONNÉES BRUTES'!A$3:A$90,'DONNÉES BRUTES'!AB$3:AB$90),"—")</f>
        <v>77</v>
      </c>
      <c r="L22" s="8" t="str">
        <f>IFERROR(_xlfn.XLOOKUP(C22,'DONNÉES BRUTES'!A$3:A$90,'DONNÉES BRUTES'!AC$3:AC$90),"—")</f>
        <v>2026-04-22</v>
      </c>
      <c r="M22" s="8" t="str">
        <f>IFERROR(_xlfn.XLOOKUP(C22,'DONNÉES BRUTES'!A$3:A$90,'DONNÉES BRUTES'!AD$3:AD$90),"—")</f>
        <v>Surpondérer</v>
      </c>
    </row>
    <row r="23" spans="2:24" ht="13.9" customHeight="1" x14ac:dyDescent="0.25">
      <c r="B23">
        <v>17</v>
      </c>
      <c r="C23" t="str">
        <f>IFERROR(_xlfn.XLOOKUP(LARGE('DONNÉES BRUTES'!Y$3:Y$90,17),'DONNÉES BRUTES'!Y$3:Y$90,'DONNÉES BRUTES'!A$3:A$90),"—")</f>
        <v>SMCI</v>
      </c>
      <c r="D23" t="str">
        <f>IFERROR(_xlfn.XLOOKUP(C23,'DONNÉES BRUTES'!A$3:A$90,'DONNÉES BRUTES'!B$3:B$90),"—")</f>
        <v>Super Micro Computer, Inc.</v>
      </c>
      <c r="F23" t="str">
        <f>IFERROR(_xlfn.XLOOKUP(C23,'DONNÉES BRUTES'!A$3:A$90,'DONNÉES BRUTES'!Y$3:Y$90)&amp;"/100","—")</f>
        <v>81/100</v>
      </c>
      <c r="G23" s="66">
        <f>IFERROR(_xlfn.XLOOKUP(C23,'DONNÉES BRUTES'!A$3:A$90,'DONNÉES BRUTES'!P$3:P$90),"—")</f>
        <v>0.46600000000000003</v>
      </c>
      <c r="H23" s="66">
        <f>IFERROR(_xlfn.XLOOKUP(C23,'DONNÉES BRUTES'!A$3:A$90,'DONNÉES BRUTES'!N$3:N$90),"—")</f>
        <v>6.0999999999999999E-2</v>
      </c>
      <c r="I23" t="str">
        <f>IFERROR(_xlfn.XLOOKUP(D23,'DONNÉES BRUTES'!B$3:B$90,'DONNÉES BRUTES'!O$3:O$90),"—")</f>
        <v>—</v>
      </c>
      <c r="J23" t="str">
        <f>IFERROR(_xlfn.XLOOKUP(E23,'DONNÉES BRUTES'!C$3:C$90,'DONNÉES BRUTES'!P$3:P$90),"—")</f>
        <v>—</v>
      </c>
      <c r="K23" s="67">
        <f>IFERROR(_xlfn.XLOOKUP(C23,'DONNÉES BRUTES'!A$3:A$90,'DONNÉES BRUTES'!AB$3:AB$90),"—")</f>
        <v>32</v>
      </c>
      <c r="L23" t="str">
        <f>IFERROR(_xlfn.XLOOKUP(C23,'DONNÉES BRUTES'!A$3:A$90,'DONNÉES BRUTES'!AC$3:AC$90),"—")</f>
        <v>—</v>
      </c>
      <c r="M23" t="str">
        <f>IFERROR(_xlfn.XLOOKUP(C23,'DONNÉES BRUTES'!A$3:A$90,'DONNÉES BRUTES'!AD$3:AD$90),"—")</f>
        <v>Sous-pondérer</v>
      </c>
    </row>
    <row r="24" spans="2:24" ht="13.9" customHeight="1" x14ac:dyDescent="0.25">
      <c r="B24" s="8">
        <v>18</v>
      </c>
      <c r="C24" s="8" t="str">
        <f>IFERROR(_xlfn.XLOOKUP(LARGE('DONNÉES BRUTES'!Y$3:Y$90,18),'DONNÉES BRUTES'!Y$3:Y$90,'DONNÉES BRUTES'!A$3:A$90),"—")</f>
        <v>NOW</v>
      </c>
      <c r="D24" s="8" t="str">
        <f>IFERROR(_xlfn.XLOOKUP(C24,'DONNÉES BRUTES'!A$3:A$90,'DONNÉES BRUTES'!B$3:B$90),"—")</f>
        <v>ServiceNow, Inc.</v>
      </c>
      <c r="E24" s="8"/>
      <c r="F24" s="8" t="str">
        <f>IFERROR(_xlfn.XLOOKUP(C24,'DONNÉES BRUTES'!A$3:A$90,'DONNÉES BRUTES'!Y$3:Y$90)&amp;"/100","—")</f>
        <v>80/100</v>
      </c>
      <c r="G24" s="8" t="str">
        <f>IFERROR(_xlfn.XLOOKUP(C24,'DONNÉES BRUTES'!A$3:A$90,'DONNÉES BRUTES'!P$3:P$90),"—")</f>
        <v>+20.9%</v>
      </c>
      <c r="H24" s="8" t="str">
        <f>IFERROR(_xlfn.XLOOKUP(C24,'DONNÉES BRUTES'!A$3:A$90,'DONNÉES BRUTES'!N$3:N$90),"—")</f>
        <v>22.8%</v>
      </c>
      <c r="I24" s="8" t="str">
        <f>IFERROR(_xlfn.XLOOKUP(C24,'DONNÉES BRUTES'!A$3:A$90,'DONNÉES BRUTES'!O$3:O$90),"—")</f>
        <v>13.2%</v>
      </c>
      <c r="J24" s="8" t="str">
        <f>IFERROR(_xlfn.XLOOKUP(C24,'DONNÉES BRUTES'!A$3:A$90,'DONNÉES BRUTES'!Q$3:Q$90),"—")</f>
        <v>+13.5%</v>
      </c>
      <c r="K24" s="68">
        <f>IFERROR(_xlfn.XLOOKUP(C24,'DONNÉES BRUTES'!A$3:A$90,'DONNÉES BRUTES'!AB$3:AB$90),"—")</f>
        <v>53</v>
      </c>
      <c r="L24" s="8" t="str">
        <f>IFERROR(_xlfn.XLOOKUP(C24,'DONNÉES BRUTES'!A$3:A$90,'DONNÉES BRUTES'!AC$3:AC$90),"—")</f>
        <v>2026-04-22</v>
      </c>
      <c r="M24" s="8" t="str">
        <f>IFERROR(_xlfn.XLOOKUP(C24,'DONNÉES BRUTES'!A$3:A$90,'DONNÉES BRUTES'!AD$3:AD$90),"—")</f>
        <v>Sous-pondérer</v>
      </c>
    </row>
    <row r="25" spans="2:24" ht="13.9" customHeight="1" x14ac:dyDescent="0.25">
      <c r="B25">
        <v>19</v>
      </c>
      <c r="C25" t="str">
        <f>IFERROR(_xlfn.XLOOKUP(LARGE('DONNÉES BRUTES'!Y$3:Y$90,19),'DONNÉES BRUTES'!Y$3:Y$90,'DONNÉES BRUTES'!A$3:A$90),"—")</f>
        <v>SNPS</v>
      </c>
      <c r="D25" t="str">
        <f>IFERROR(_xlfn.XLOOKUP(C25,'DONNÉES BRUTES'!A$3:A$90,'DONNÉES BRUTES'!B$3:B$90),"—")</f>
        <v>Synopsys, Inc.</v>
      </c>
      <c r="F25" t="str">
        <f>IFERROR(_xlfn.XLOOKUP(C25,'DONNÉES BRUTES'!A$3:A$90,'DONNÉES BRUTES'!Y$3:Y$90)&amp;"/100","—")</f>
        <v>79/100</v>
      </c>
      <c r="G25" t="str">
        <f>IFERROR(_xlfn.XLOOKUP(C25,'DONNÉES BRUTES'!A$3:A$90,'DONNÉES BRUTES'!P$3:P$90),"—")</f>
        <v>+15.1%</v>
      </c>
      <c r="H25" t="str">
        <f>IFERROR(_xlfn.XLOOKUP(C25,'DONNÉES BRUTES'!A$3:A$90,'DONNÉES BRUTES'!N$3:N$90),"—")</f>
        <v>35.4%</v>
      </c>
      <c r="I25" t="str">
        <f>IFERROR(_xlfn.XLOOKUP(C25,'DONNÉES BRUTES'!A$3:A$90,'DONNÉES BRUTES'!O$3:O$90),"—")</f>
        <v>18.9%</v>
      </c>
      <c r="J25" t="str">
        <f>IFERROR(_xlfn.XLOOKUP(C25,'DONNÉES BRUTES'!A$3:A$90,'DONNÉES BRUTES'!Q$3:Q$90),"—")</f>
        <v>+4.7%</v>
      </c>
      <c r="K25" s="67">
        <f>IFERROR(_xlfn.XLOOKUP(C25,'DONNÉES BRUTES'!A$3:A$90,'DONNÉES BRUTES'!AB$3:AB$90),"—")</f>
        <v>66</v>
      </c>
      <c r="L25" t="str">
        <f>IFERROR(_xlfn.XLOOKUP(C25,'DONNÉES BRUTES'!A$3:A$90,'DONNÉES BRUTES'!AC$3:AC$90),"—")</f>
        <v>2026-05-27</v>
      </c>
      <c r="M25" t="str">
        <f>IFERROR(_xlfn.XLOOKUP(C25,'DONNÉES BRUTES'!A$3:A$90,'DONNÉES BRUTES'!AD$3:AD$90),"—")</f>
        <v>Neutre</v>
      </c>
    </row>
    <row r="26" spans="2:24" ht="13.9" customHeight="1" x14ac:dyDescent="0.25">
      <c r="B26" s="8">
        <v>20</v>
      </c>
      <c r="C26" s="8" t="str">
        <f>IFERROR(_xlfn.XLOOKUP(LARGE('DONNÉES BRUTES'!Y$3:Y$90,20),'DONNÉES BRUTES'!Y$3:Y$90,'DONNÉES BRUTES'!A$3:A$90),"—")</f>
        <v>IBM</v>
      </c>
      <c r="D26" s="8" t="str">
        <f>IFERROR(_xlfn.XLOOKUP(C26,'DONNÉES BRUTES'!A$3:A$90,'DONNÉES BRUTES'!B$3:B$90),"—")</f>
        <v>International Business Machines Corporation</v>
      </c>
      <c r="E26" s="8"/>
      <c r="F26" s="8" t="str">
        <f>IFERROR(_xlfn.XLOOKUP(C26,'DONNÉES BRUTES'!A$3:A$90,'DONNÉES BRUTES'!Y$3:Y$90)&amp;"/100","—")</f>
        <v>78/100</v>
      </c>
      <c r="G26" s="8" t="str">
        <f>IFERROR(_xlfn.XLOOKUP(C26,'DONNÉES BRUTES'!A$3:A$90,'DONNÉES BRUTES'!P$3:P$90),"—")</f>
        <v>+7.6%</v>
      </c>
      <c r="H26" s="8" t="str">
        <f>IFERROR(_xlfn.XLOOKUP(C26,'DONNÉES BRUTES'!A$3:A$90,'DONNÉES BRUTES'!N$3:N$90),"—")</f>
        <v>25.6%</v>
      </c>
      <c r="I26" s="8" t="str">
        <f>IFERROR(_xlfn.XLOOKUP(C26,'DONNÉES BRUTES'!A$3:A$90,'DONNÉES BRUTES'!O$3:O$90),"—")</f>
        <v>15.7%</v>
      </c>
      <c r="J26" s="8" t="str">
        <f>IFERROR(_xlfn.XLOOKUP(C26,'DONNÉES BRUTES'!A$3:A$90,'DONNÉES BRUTES'!Q$3:Q$90),"—")</f>
        <v>+32.4%</v>
      </c>
      <c r="K26" s="68">
        <f>IFERROR(_xlfn.XLOOKUP(C26,'DONNÉES BRUTES'!A$3:A$90,'DONNÉES BRUTES'!AB$3:AB$90),"—")</f>
        <v>60</v>
      </c>
      <c r="L26" s="8" t="str">
        <f>IFERROR(_xlfn.XLOOKUP(C26,'DONNÉES BRUTES'!A$3:A$90,'DONNÉES BRUTES'!AC$3:AC$90),"—")</f>
        <v>2026-04-22</v>
      </c>
      <c r="M26" s="8" t="str">
        <f>IFERROR(_xlfn.XLOOKUP(C26,'DONNÉES BRUTES'!A$3:A$90,'DONNÉES BRUTES'!AD$3:AD$90),"—")</f>
        <v>Neutre</v>
      </c>
    </row>
    <row r="27" spans="2:24" ht="13.9" customHeight="1" x14ac:dyDescent="0.25"/>
    <row r="28" spans="2:24" ht="13.9" customHeight="1" x14ac:dyDescent="0.25">
      <c r="B28" s="7" t="s">
        <v>718</v>
      </c>
    </row>
    <row r="29" spans="2:24" ht="13.9" customHeight="1" x14ac:dyDescent="0.25"/>
    <row r="30" spans="2:24" ht="13.9" customHeight="1" x14ac:dyDescent="0.25"/>
    <row r="31" spans="2:24" ht="13.9" customHeight="1" x14ac:dyDescent="0.25"/>
    <row r="32" spans="2:24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3" ht="13.9" customHeight="1" x14ac:dyDescent="0.25"/>
    <row r="45" ht="16.149999999999999" customHeight="1" x14ac:dyDescent="0.25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45"/>
  <sheetViews>
    <sheetView showGridLines="0" zoomScaleNormal="100" workbookViewId="0">
      <selection activeCell="H25" sqref="H25"/>
    </sheetView>
  </sheetViews>
  <sheetFormatPr baseColWidth="10" defaultColWidth="8.85546875" defaultRowHeight="15" x14ac:dyDescent="0.25"/>
  <cols>
    <col min="1" max="1" width="1.7109375" customWidth="1"/>
    <col min="2" max="2" width="7.42578125" customWidth="1"/>
    <col min="3" max="3" width="13.28515625" customWidth="1"/>
    <col min="4" max="4" width="24.140625" customWidth="1"/>
    <col min="5" max="5" width="9" customWidth="1"/>
    <col min="6" max="6" width="12.5703125" customWidth="1"/>
    <col min="7" max="7" width="9.28515625" customWidth="1"/>
    <col min="8" max="8" width="10.7109375" customWidth="1"/>
    <col min="9" max="9" width="12.42578125" customWidth="1"/>
    <col min="10" max="10" width="15.28515625" customWidth="1"/>
    <col min="11" max="11" width="13.5703125" customWidth="1"/>
    <col min="12" max="12" width="11.5703125" customWidth="1"/>
    <col min="13" max="13" width="9.28515625" bestFit="1" customWidth="1"/>
    <col min="14" max="14" width="12.140625" bestFit="1" customWidth="1"/>
    <col min="15" max="18" width="0.5703125" style="64" customWidth="1"/>
    <col min="19" max="24" width="0" hidden="1" customWidth="1"/>
  </cols>
  <sheetData>
    <row r="1" spans="2:24" ht="28.15" customHeight="1" x14ac:dyDescent="0.25">
      <c r="B1" s="14" t="s">
        <v>702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0</v>
      </c>
      <c r="O1" s="62" t="s">
        <v>2</v>
      </c>
      <c r="P1" s="62"/>
      <c r="Q1" s="62" t="s">
        <v>0</v>
      </c>
      <c r="R1" s="62" t="s">
        <v>754</v>
      </c>
      <c r="S1" s="17"/>
      <c r="T1" s="15" t="s">
        <v>0</v>
      </c>
      <c r="U1" t="s">
        <v>146</v>
      </c>
      <c r="W1" t="s">
        <v>0</v>
      </c>
      <c r="X1" t="s">
        <v>749</v>
      </c>
    </row>
    <row r="2" spans="2:24" ht="15" customHeight="1" x14ac:dyDescent="0.25">
      <c r="B2" s="7" t="s">
        <v>713</v>
      </c>
      <c r="N2" s="64" t="s">
        <v>6</v>
      </c>
      <c r="O2" s="65">
        <v>100</v>
      </c>
      <c r="P2" s="65"/>
      <c r="Q2" s="65" t="s">
        <v>6</v>
      </c>
      <c r="R2" s="65">
        <v>0</v>
      </c>
      <c r="S2" s="18"/>
      <c r="T2" t="s">
        <v>6</v>
      </c>
      <c r="W2" t="s">
        <v>6</v>
      </c>
      <c r="X2">
        <v>30.4</v>
      </c>
    </row>
    <row r="3" spans="2:24" ht="18" customHeight="1" x14ac:dyDescent="0.35">
      <c r="B3" s="24"/>
      <c r="C3" s="24">
        <f>COUNTA('DONNÉES BRUTES'!A$3:A$90)</f>
        <v>88</v>
      </c>
      <c r="D3" s="24"/>
      <c r="E3" s="24"/>
      <c r="F3" s="12" t="str">
        <f>IFERROR(_xlfn.XLOOKUP(LARGE('DONNÉES BRUTES'!Z$3:Z$90,1),'DONNÉES BRUTES'!Z$3:Z$90,'DONNÉES BRUTES'!A$3:A$90),"—")</f>
        <v>DSY.PA</v>
      </c>
      <c r="G3" s="24"/>
      <c r="H3" s="24"/>
      <c r="I3" s="24"/>
      <c r="J3" s="24" t="str">
        <f>IFERROR(ROUND(AVERAGE('DONNÉES BRUTES'!Z$3:Z$90),0)&amp;"/100","—")</f>
        <v>51/100</v>
      </c>
      <c r="K3" s="24"/>
      <c r="L3" s="24"/>
      <c r="M3" s="24" t="s">
        <v>14</v>
      </c>
      <c r="N3" s="24"/>
      <c r="O3" s="65">
        <v>99</v>
      </c>
      <c r="P3" s="65"/>
      <c r="Q3" s="65" t="s">
        <v>14</v>
      </c>
      <c r="R3" s="65">
        <v>0</v>
      </c>
      <c r="S3" s="18"/>
      <c r="T3" t="s">
        <v>14</v>
      </c>
      <c r="U3">
        <v>-2.84</v>
      </c>
      <c r="W3" t="s">
        <v>14</v>
      </c>
      <c r="X3">
        <v>71</v>
      </c>
    </row>
    <row r="4" spans="2:24" ht="13.9" customHeight="1" x14ac:dyDescent="0.25">
      <c r="B4" s="10"/>
      <c r="C4" s="10" t="s">
        <v>714</v>
      </c>
      <c r="D4" s="10"/>
      <c r="E4" s="10"/>
      <c r="F4" s="10" t="s">
        <v>722</v>
      </c>
      <c r="G4" s="10"/>
      <c r="H4" s="10"/>
      <c r="I4" s="10"/>
      <c r="J4" s="10" t="s">
        <v>723</v>
      </c>
      <c r="K4" s="10"/>
      <c r="L4" s="10"/>
      <c r="M4" s="10" t="s">
        <v>21</v>
      </c>
      <c r="N4" s="10"/>
      <c r="O4" s="65">
        <v>98</v>
      </c>
      <c r="P4" s="65"/>
      <c r="Q4" s="65" t="s">
        <v>21</v>
      </c>
      <c r="R4" s="65">
        <v>13.22</v>
      </c>
      <c r="S4" s="18"/>
      <c r="T4" t="s">
        <v>21</v>
      </c>
      <c r="U4">
        <v>-2.19</v>
      </c>
      <c r="W4" t="s">
        <v>21</v>
      </c>
      <c r="X4">
        <v>66.900000000000006</v>
      </c>
    </row>
    <row r="5" spans="2:24" ht="13.9" customHeight="1" x14ac:dyDescent="0.25">
      <c r="B5" s="14" t="s">
        <v>724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69" t="s">
        <v>30</v>
      </c>
      <c r="O5" s="62">
        <v>97</v>
      </c>
      <c r="P5" s="62"/>
      <c r="Q5" s="62" t="s">
        <v>30</v>
      </c>
      <c r="R5" s="62">
        <v>7.74</v>
      </c>
      <c r="S5" s="17"/>
      <c r="T5" t="s">
        <v>30</v>
      </c>
      <c r="U5">
        <v>-2.97</v>
      </c>
      <c r="W5" t="s">
        <v>30</v>
      </c>
      <c r="X5">
        <v>41.3</v>
      </c>
    </row>
    <row r="6" spans="2:24" ht="13.9" customHeight="1" x14ac:dyDescent="0.25">
      <c r="B6" s="23" t="s">
        <v>41</v>
      </c>
      <c r="C6" s="6" t="s">
        <v>0</v>
      </c>
      <c r="D6" s="6" t="s">
        <v>1</v>
      </c>
      <c r="E6" s="6"/>
      <c r="F6" s="6" t="s">
        <v>2</v>
      </c>
      <c r="G6" s="6" t="s">
        <v>98</v>
      </c>
      <c r="H6" s="6" t="s">
        <v>146</v>
      </c>
      <c r="I6" s="6" t="s">
        <v>582</v>
      </c>
      <c r="J6" s="6" t="s">
        <v>100</v>
      </c>
      <c r="K6" s="6" t="s">
        <v>725</v>
      </c>
      <c r="L6" s="6" t="s">
        <v>587</v>
      </c>
      <c r="M6" s="6" t="s">
        <v>207</v>
      </c>
      <c r="N6" s="6" t="s">
        <v>37</v>
      </c>
      <c r="O6" s="64">
        <v>95</v>
      </c>
      <c r="Q6" s="64" t="s">
        <v>37</v>
      </c>
      <c r="R6" s="64">
        <v>10.3</v>
      </c>
      <c r="T6" t="s">
        <v>37</v>
      </c>
      <c r="U6">
        <v>-2.94</v>
      </c>
      <c r="W6" t="s">
        <v>37</v>
      </c>
      <c r="X6">
        <v>47.8</v>
      </c>
    </row>
    <row r="7" spans="2:24" ht="13.9" customHeight="1" x14ac:dyDescent="0.25">
      <c r="B7">
        <v>1</v>
      </c>
      <c r="C7" t="str">
        <f>IFERROR(_xlfn.XLOOKUP(LARGE('DONNÉES BRUTES'!Z$3:Z$90,1),'DONNÉES BRUTES'!Z$3:Z$90,'DONNÉES BRUTES'!A$3:A$90),"—")</f>
        <v>DSY.PA</v>
      </c>
      <c r="D7" t="str">
        <f>IFERROR(_xlfn.XLOOKUP(C7,'DONNÉES BRUTES'!A$3:A$90,'DONNÉES BRUTES'!B$3:B$90),"—")</f>
        <v>Dassault Systèmes SE</v>
      </c>
      <c r="F7" t="str">
        <f>IFERROR(_xlfn.XLOOKUP(C7,'DONNÉES BRUTES'!A$3:A$90,'DONNÉES BRUTES'!Z$3:Z$90)&amp;"/100","—")</f>
        <v>100/100</v>
      </c>
      <c r="G7" t="str">
        <f>IFERROR(_xlfn.XLOOKUP(C7,'DONNÉES BRUTES'!A$3:A$90,'DONNÉES BRUTES'!U$3:U$90),"—")</f>
        <v>—</v>
      </c>
      <c r="H7" t="str">
        <f>IFERROR(_xlfn.XLOOKUP(C7,'DONNÉES BRUTES'!A$3:A$90,'DONNÉES BRUTES'!V$3:V$90),"—")</f>
        <v>—</v>
      </c>
      <c r="I7" s="66">
        <f>IFERROR(_xlfn.XLOOKUP(C7,'DONNÉES BRUTES'!A$3:A$90,'DONNÉES BRUTES'!N$3:N$90),"—")</f>
        <v>0.30399999999999999</v>
      </c>
      <c r="J7" t="str">
        <f>IFERROR(_xlfn.XLOOKUP(C7,'DONNÉES BRUTES'!A$3:A$90,'DONNÉES BRUTES'!Q$3:Q$90),"—")</f>
        <v>—</v>
      </c>
      <c r="K7" t="str">
        <f>IFERROR(_xlfn.XLOOKUP(C7,'DONNÉES BRUTES'!A$3:A$90,'DONNÉES BRUTES'!S$3:S$90),"—")</f>
        <v>—</v>
      </c>
      <c r="L7" t="str">
        <f>IFERROR(_xlfn.XLOOKUP(C7,'DONNÉES BRUTES'!A$3:A$90,'DONNÉES BRUTES'!T$3:T$90),"—")</f>
        <v>—</v>
      </c>
      <c r="M7" s="67">
        <f>IFERROR(_xlfn.XLOOKUP(C7,'DONNÉES BRUTES'!A$3:A$90,'DONNÉES BRUTES'!AB$3:AB$90),"—")</f>
        <v>42</v>
      </c>
      <c r="N7" t="s">
        <v>86</v>
      </c>
      <c r="O7" s="64">
        <v>94</v>
      </c>
      <c r="Q7" s="64" t="s">
        <v>86</v>
      </c>
      <c r="R7" s="64">
        <v>3.62</v>
      </c>
      <c r="T7" t="s">
        <v>86</v>
      </c>
      <c r="U7">
        <v>-2.99</v>
      </c>
      <c r="W7" t="s">
        <v>86</v>
      </c>
      <c r="X7">
        <v>41.3</v>
      </c>
    </row>
    <row r="8" spans="2:24" ht="13.9" customHeight="1" x14ac:dyDescent="0.25">
      <c r="B8" s="8">
        <v>2</v>
      </c>
      <c r="C8" s="8" t="str">
        <f>IFERROR(_xlfn.XLOOKUP(LARGE('DONNÉES BRUTES'!Z$3:Z$90,2),'DONNÉES BRUTES'!Z$3:Z$90,'DONNÉES BRUTES'!A$3:A$90),"—")</f>
        <v>VRSN</v>
      </c>
      <c r="D8" s="8" t="str">
        <f>IFERROR(_xlfn.XLOOKUP(C8,'DONNÉES BRUTES'!A$3:A$90,'DONNÉES BRUTES'!B$3:B$90),"—")</f>
        <v>VeriSign, Inc.</v>
      </c>
      <c r="E8" s="8"/>
      <c r="F8" s="8" t="str">
        <f>IFERROR(_xlfn.XLOOKUP(C8,'DONNÉES BRUTES'!A$3:A$90,'DONNÉES BRUTES'!Z$3:Z$90)&amp;"/100","—")</f>
        <v>99/100</v>
      </c>
      <c r="G8" s="8" t="str">
        <f>IFERROR(_xlfn.XLOOKUP(C8,'DONNÉES BRUTES'!A$3:A$90,'DONNÉES BRUTES'!U$3:U$90),"—")</f>
        <v>-27.16</v>
      </c>
      <c r="H8" s="8" t="str">
        <f>IFERROR(_xlfn.XLOOKUP(C8,'DONNÉES BRUTES'!A$3:A$90,'DONNÉES BRUTES'!V$3:V$90),"—")</f>
        <v>-2.84</v>
      </c>
      <c r="I8" s="8" t="str">
        <f>IFERROR(_xlfn.XLOOKUP(C8,'DONNÉES BRUTES'!A$3:A$90,'DONNÉES BRUTES'!N$3:N$90),"—")</f>
        <v>71.0%</v>
      </c>
      <c r="J8" s="8" t="str">
        <f>IFERROR(_xlfn.XLOOKUP(C8,'DONNÉES BRUTES'!A$3:A$90,'DONNÉES BRUTES'!Q$3:Q$90),"—")</f>
        <v>-38.3%</v>
      </c>
      <c r="K8" s="8" t="str">
        <f>IFERROR(_xlfn.XLOOKUP(C8,'DONNÉES BRUTES'!A$3:A$90,'DONNÉES BRUTES'!S$3:S$90),"—")</f>
        <v>0.49</v>
      </c>
      <c r="L8" s="8" t="str">
        <f>IFERROR(_xlfn.XLOOKUP(C8,'DONNÉES BRUTES'!A$3:A$90,'DONNÉES BRUTES'!T$3:T$90),"—")</f>
        <v>1.3x</v>
      </c>
      <c r="M8" s="68">
        <f>IFERROR(_xlfn.XLOOKUP(C8,'DONNÉES BRUTES'!A$3:A$90,'DONNÉES BRUTES'!AB$3:AB$90),"—")</f>
        <v>58</v>
      </c>
      <c r="N8" s="8" t="s">
        <v>163</v>
      </c>
      <c r="O8" s="64">
        <v>93</v>
      </c>
      <c r="Q8" s="64" t="s">
        <v>163</v>
      </c>
      <c r="R8" s="64">
        <v>6.55</v>
      </c>
      <c r="T8" t="s">
        <v>163</v>
      </c>
      <c r="U8">
        <v>-2.92</v>
      </c>
      <c r="W8" t="s">
        <v>163</v>
      </c>
      <c r="X8">
        <v>35.4</v>
      </c>
    </row>
    <row r="9" spans="2:24" ht="13.9" customHeight="1" x14ac:dyDescent="0.25">
      <c r="B9">
        <v>3</v>
      </c>
      <c r="C9" t="str">
        <f>IFERROR(_xlfn.XLOOKUP(LARGE('DONNÉES BRUTES'!Z$3:Z$90,3),'DONNÉES BRUTES'!Z$3:Z$90,'DONNÉES BRUTES'!A$3:A$90),"—")</f>
        <v>NVDA</v>
      </c>
      <c r="D9" t="str">
        <f>IFERROR(_xlfn.XLOOKUP(C9,'DONNÉES BRUTES'!A$3:A$90,'DONNÉES BRUTES'!B$3:B$90),"—")</f>
        <v>NVIDIA Corporation</v>
      </c>
      <c r="F9" t="str">
        <f>IFERROR(_xlfn.XLOOKUP(C9,'DONNÉES BRUTES'!A$3:A$90,'DONNÉES BRUTES'!Z$3:Z$90)&amp;"/100","—")</f>
        <v>98/100</v>
      </c>
      <c r="G9" t="str">
        <f>IFERROR(_xlfn.XLOOKUP(C9,'DONNÉES BRUTES'!A$3:A$90,'DONNÉES BRUTES'!U$3:U$90),"—")</f>
        <v>13.22</v>
      </c>
      <c r="H9" t="str">
        <f>IFERROR(_xlfn.XLOOKUP(C9,'DONNÉES BRUTES'!A$3:A$90,'DONNÉES BRUTES'!V$3:V$90),"—")</f>
        <v>-2.19</v>
      </c>
      <c r="I9" t="str">
        <f>IFERROR(_xlfn.XLOOKUP(C9,'DONNÉES BRUTES'!A$3:A$90,'DONNÉES BRUTES'!N$3:N$90),"—")</f>
        <v>66.9%</v>
      </c>
      <c r="J9" t="str">
        <f>IFERROR(_xlfn.XLOOKUP(C9,'DONNÉES BRUTES'!A$3:A$90,'DONNÉES BRUTES'!Q$3:Q$90),"—")</f>
        <v>+76.3%</v>
      </c>
      <c r="K9" t="str">
        <f>IFERROR(_xlfn.XLOOKUP(C9,'DONNÉES BRUTES'!A$3:A$90,'DONNÉES BRUTES'!S$3:S$90),"—")</f>
        <v>3.91</v>
      </c>
      <c r="L9" t="str">
        <f>IFERROR(_xlfn.XLOOKUP(C9,'DONNÉES BRUTES'!A$3:A$90,'DONNÉES BRUTES'!T$3:T$90),"—")</f>
        <v>-0.0x</v>
      </c>
      <c r="M9" s="67">
        <f>IFERROR(_xlfn.XLOOKUP(C9,'DONNÉES BRUTES'!A$3:A$90,'DONNÉES BRUTES'!AB$3:AB$90),"—")</f>
        <v>88</v>
      </c>
      <c r="N9" t="s">
        <v>169</v>
      </c>
      <c r="O9" s="64">
        <v>92</v>
      </c>
      <c r="Q9" s="64" t="s">
        <v>169</v>
      </c>
      <c r="R9" s="64">
        <v>2.02</v>
      </c>
      <c r="T9" t="s">
        <v>169</v>
      </c>
      <c r="U9">
        <v>-2.92</v>
      </c>
      <c r="W9" t="s">
        <v>169</v>
      </c>
      <c r="X9">
        <v>36.1</v>
      </c>
    </row>
    <row r="10" spans="2:24" ht="13.9" customHeight="1" x14ac:dyDescent="0.25">
      <c r="B10" s="8">
        <v>4</v>
      </c>
      <c r="C10" s="8" t="str">
        <f>IFERROR(_xlfn.XLOOKUP(LARGE('DONNÉES BRUTES'!Z$3:Z$90,4),'DONNÉES BRUTES'!Z$3:Z$90,'DONNÉES BRUTES'!A$3:A$90),"—")</f>
        <v>ADBE</v>
      </c>
      <c r="D10" s="8" t="str">
        <f>IFERROR(_xlfn.XLOOKUP(C10,'DONNÉES BRUTES'!A$3:A$90,'DONNÉES BRUTES'!B$3:B$90),"—")</f>
        <v>Adobe Inc.</v>
      </c>
      <c r="E10" s="8"/>
      <c r="F10" s="8" t="str">
        <f>IFERROR(_xlfn.XLOOKUP(C10,'DONNÉES BRUTES'!A$3:A$90,'DONNÉES BRUTES'!Z$3:Z$90)&amp;"/100","—")</f>
        <v>97/100</v>
      </c>
      <c r="G10" s="8" t="str">
        <f>IFERROR(_xlfn.XLOOKUP(C10,'DONNÉES BRUTES'!A$3:A$90,'DONNÉES BRUTES'!U$3:U$90),"—")</f>
        <v>7.74</v>
      </c>
      <c r="H10" s="8" t="str">
        <f>IFERROR(_xlfn.XLOOKUP(C10,'DONNÉES BRUTES'!A$3:A$90,'DONNÉES BRUTES'!V$3:V$90),"—")</f>
        <v>-2.97</v>
      </c>
      <c r="I10" s="8" t="str">
        <f>IFERROR(_xlfn.XLOOKUP(C10,'DONNÉES BRUTES'!A$3:A$90,'DONNÉES BRUTES'!N$3:N$90),"—")</f>
        <v>41.3%</v>
      </c>
      <c r="J10" s="8" t="str">
        <f>IFERROR(_xlfn.XLOOKUP(C10,'DONNÉES BRUTES'!A$3:A$90,'DONNÉES BRUTES'!Q$3:Q$90),"—")</f>
        <v>+61.3%</v>
      </c>
      <c r="K10" s="8" t="str">
        <f>IFERROR(_xlfn.XLOOKUP(C10,'DONNÉES BRUTES'!A$3:A$90,'DONNÉES BRUTES'!S$3:S$90),"—")</f>
        <v>1.00</v>
      </c>
      <c r="L10" s="8" t="str">
        <f>IFERROR(_xlfn.XLOOKUP(C10,'DONNÉES BRUTES'!A$3:A$90,'DONNÉES BRUTES'!T$3:T$90),"—")</f>
        <v>0.1x</v>
      </c>
      <c r="M10" s="68">
        <f>IFERROR(_xlfn.XLOOKUP(C10,'DONNÉES BRUTES'!A$3:A$90,'DONNÉES BRUTES'!AB$3:AB$90),"—")</f>
        <v>58</v>
      </c>
      <c r="N10" s="8" t="s">
        <v>175</v>
      </c>
      <c r="O10" s="64">
        <v>91</v>
      </c>
      <c r="Q10" s="64" t="s">
        <v>175</v>
      </c>
      <c r="R10" s="64">
        <v>0</v>
      </c>
      <c r="T10" t="s">
        <v>175</v>
      </c>
      <c r="W10" t="s">
        <v>175</v>
      </c>
      <c r="X10">
        <v>25</v>
      </c>
    </row>
    <row r="11" spans="2:24" ht="13.9" customHeight="1" x14ac:dyDescent="0.25">
      <c r="B11">
        <v>5</v>
      </c>
      <c r="C11" t="str">
        <f>IFERROR(_xlfn.XLOOKUP(LARGE('DONNÉES BRUTES'!Z$3:Z$90,5),'DONNÉES BRUTES'!Z$3:Z$90,'DONNÉES BRUTES'!A$3:A$90),"—")</f>
        <v>FICO</v>
      </c>
      <c r="D11" t="str">
        <f>IFERROR(_xlfn.XLOOKUP(C11,'DONNÉES BRUTES'!A$3:A$90,'DONNÉES BRUTES'!B$3:B$90),"—")</f>
        <v>Fair Isaac Corporation</v>
      </c>
      <c r="F11" t="str">
        <f>IFERROR(_xlfn.XLOOKUP(C11,'DONNÉES BRUTES'!A$3:A$90,'DONNÉES BRUTES'!Z$3:Z$90)&amp;"/100","—")</f>
        <v>95/100</v>
      </c>
      <c r="G11" t="str">
        <f>IFERROR(_xlfn.XLOOKUP(C11,'DONNÉES BRUTES'!A$3:A$90,'DONNÉES BRUTES'!U$3:U$90),"—")</f>
        <v>10.30</v>
      </c>
      <c r="H11" t="str">
        <f>IFERROR(_xlfn.XLOOKUP(C11,'DONNÉES BRUTES'!A$3:A$90,'DONNÉES BRUTES'!V$3:V$90),"—")</f>
        <v>-2.94</v>
      </c>
      <c r="I11" t="str">
        <f>IFERROR(_xlfn.XLOOKUP(C11,'DONNÉES BRUTES'!A$3:A$90,'DONNÉES BRUTES'!N$3:N$90),"—")</f>
        <v>47.8%</v>
      </c>
      <c r="J11" t="str">
        <f>IFERROR(_xlfn.XLOOKUP(C11,'DONNÉES BRUTES'!A$3:A$90,'DONNÉES BRUTES'!Q$3:Q$90),"—")</f>
        <v>-37.3%</v>
      </c>
      <c r="K11" t="str">
        <f>IFERROR(_xlfn.XLOOKUP(C11,'DONNÉES BRUTES'!A$3:A$90,'DONNÉES BRUTES'!S$3:S$90),"—")</f>
        <v>0.83</v>
      </c>
      <c r="L11" t="str">
        <f>IFERROR(_xlfn.XLOOKUP(C11,'DONNÉES BRUTES'!A$3:A$90,'DONNÉES BRUTES'!T$3:T$90),"—")</f>
        <v>3.1x</v>
      </c>
      <c r="M11" s="67">
        <f>IFERROR(_xlfn.XLOOKUP(C11,'DONNÉES BRUTES'!A$3:A$90,'DONNÉES BRUTES'!AB$3:AB$90),"—")</f>
        <v>61</v>
      </c>
      <c r="N11" t="s">
        <v>177</v>
      </c>
      <c r="O11" s="64">
        <v>90</v>
      </c>
      <c r="Q11" s="64" t="s">
        <v>177</v>
      </c>
      <c r="R11" s="64">
        <v>0.48</v>
      </c>
      <c r="T11" t="s">
        <v>177</v>
      </c>
      <c r="U11">
        <v>-2.86</v>
      </c>
      <c r="W11" t="s">
        <v>177</v>
      </c>
      <c r="X11">
        <v>27.6</v>
      </c>
    </row>
    <row r="12" spans="2:24" ht="13.9" customHeight="1" x14ac:dyDescent="0.25">
      <c r="B12" s="8">
        <v>6</v>
      </c>
      <c r="C12" s="8" t="str">
        <f>IFERROR(_xlfn.XLOOKUP(LARGE('DONNÉES BRUTES'!Z$3:Z$90,6),'DONNÉES BRUTES'!Z$3:Z$90,'DONNÉES BRUTES'!A$3:A$90),"—")</f>
        <v>PTC</v>
      </c>
      <c r="D12" s="8" t="str">
        <f>IFERROR(_xlfn.XLOOKUP(C12,'DONNÉES BRUTES'!A$3:A$90,'DONNÉES BRUTES'!B$3:B$90),"—")</f>
        <v>PTC Inc.</v>
      </c>
      <c r="E12" s="8"/>
      <c r="F12" s="8" t="str">
        <f>IFERROR(_xlfn.XLOOKUP(C12,'DONNÉES BRUTES'!A$3:A$90,'DONNÉES BRUTES'!Z$3:Z$90)&amp;"/100","—")</f>
        <v>94/100</v>
      </c>
      <c r="G12" s="8" t="str">
        <f>IFERROR(_xlfn.XLOOKUP(C12,'DONNÉES BRUTES'!A$3:A$90,'DONNÉES BRUTES'!U$3:U$90),"—")</f>
        <v>3.62</v>
      </c>
      <c r="H12" s="8" t="str">
        <f>IFERROR(_xlfn.XLOOKUP(C12,'DONNÉES BRUTES'!A$3:A$90,'DONNÉES BRUTES'!V$3:V$90),"—")</f>
        <v>-2.99</v>
      </c>
      <c r="I12" s="8" t="str">
        <f>IFERROR(_xlfn.XLOOKUP(C12,'DONNÉES BRUTES'!A$3:A$90,'DONNÉES BRUTES'!N$3:N$90),"—")</f>
        <v>41.3%</v>
      </c>
      <c r="J12" s="8" t="str">
        <f>IFERROR(_xlfn.XLOOKUP(C12,'DONNÉES BRUTES'!A$3:A$90,'DONNÉES BRUTES'!Q$3:Q$90),"—")</f>
        <v>+19.2%</v>
      </c>
      <c r="K12" s="8" t="str">
        <f>IFERROR(_xlfn.XLOOKUP(C12,'DONNÉES BRUTES'!A$3:A$90,'DONNÉES BRUTES'!S$3:S$90),"—")</f>
        <v>1.12</v>
      </c>
      <c r="L12" s="8" t="str">
        <f>IFERROR(_xlfn.XLOOKUP(C12,'DONNÉES BRUTES'!A$3:A$90,'DONNÉES BRUTES'!T$3:T$90),"—")</f>
        <v>0.9x</v>
      </c>
      <c r="M12" s="68">
        <f>IFERROR(_xlfn.XLOOKUP(C12,'DONNÉES BRUTES'!A$3:A$90,'DONNÉES BRUTES'!AB$3:AB$90),"—")</f>
        <v>74</v>
      </c>
      <c r="N12" s="8" t="s">
        <v>60</v>
      </c>
      <c r="O12" s="64">
        <v>89</v>
      </c>
      <c r="Q12" s="64" t="s">
        <v>60</v>
      </c>
      <c r="R12" s="64">
        <v>8.4600000000000009</v>
      </c>
      <c r="T12" t="s">
        <v>60</v>
      </c>
      <c r="U12">
        <v>-2.58</v>
      </c>
      <c r="W12" t="s">
        <v>60</v>
      </c>
      <c r="X12">
        <v>43.6</v>
      </c>
    </row>
    <row r="13" spans="2:24" ht="13.9" customHeight="1" x14ac:dyDescent="0.25">
      <c r="B13">
        <v>7</v>
      </c>
      <c r="C13" t="str">
        <f>IFERROR(_xlfn.XLOOKUP(LARGE('DONNÉES BRUTES'!Z$3:Z$90,7),'DONNÉES BRUTES'!Z$3:Z$90,'DONNÉES BRUTES'!A$3:A$90),"—")</f>
        <v>CDNS</v>
      </c>
      <c r="D13" t="str">
        <f>IFERROR(_xlfn.XLOOKUP(C13,'DONNÉES BRUTES'!A$3:A$90,'DONNÉES BRUTES'!B$3:B$90),"—")</f>
        <v>Cadence Design Systems, Inc.</v>
      </c>
      <c r="F13" t="str">
        <f>IFERROR(_xlfn.XLOOKUP(C13,'DONNÉES BRUTES'!A$3:A$90,'DONNÉES BRUTES'!Z$3:Z$90)&amp;"/100","—")</f>
        <v>93/100</v>
      </c>
      <c r="G13" t="str">
        <f>IFERROR(_xlfn.XLOOKUP(C13,'DONNÉES BRUTES'!A$3:A$90,'DONNÉES BRUTES'!U$3:U$90),"—")</f>
        <v>6.55</v>
      </c>
      <c r="H13" t="str">
        <f>IFERROR(_xlfn.XLOOKUP(C13,'DONNÉES BRUTES'!A$3:A$90,'DONNÉES BRUTES'!V$3:V$90),"—")</f>
        <v>-2.92</v>
      </c>
      <c r="I13" t="str">
        <f>IFERROR(_xlfn.XLOOKUP(C13,'DONNÉES BRUTES'!A$3:A$90,'DONNÉES BRUTES'!N$3:N$90),"—")</f>
        <v>35.4%</v>
      </c>
      <c r="J13" t="str">
        <f>IFERROR(_xlfn.XLOOKUP(C13,'DONNÉES BRUTES'!A$3:A$90,'DONNÉES BRUTES'!Q$3:Q$90),"—")</f>
        <v>+20.3%</v>
      </c>
      <c r="K13" t="str">
        <f>IFERROR(_xlfn.XLOOKUP(C13,'DONNÉES BRUTES'!A$3:A$90,'DONNÉES BRUTES'!S$3:S$90),"—")</f>
        <v>2.86</v>
      </c>
      <c r="L13" t="str">
        <f>IFERROR(_xlfn.XLOOKUP(C13,'DONNÉES BRUTES'!A$3:A$90,'DONNÉES BRUTES'!T$3:T$90),"—")</f>
        <v>-0.3x</v>
      </c>
      <c r="M13" s="67">
        <f>IFERROR(_xlfn.XLOOKUP(C13,'DONNÉES BRUTES'!A$3:A$90,'DONNÉES BRUTES'!AB$3:AB$90),"—")</f>
        <v>66</v>
      </c>
      <c r="N13" t="s">
        <v>187</v>
      </c>
      <c r="O13" s="64">
        <v>87</v>
      </c>
      <c r="Q13" s="64" t="s">
        <v>187</v>
      </c>
      <c r="R13" s="64">
        <v>4.46</v>
      </c>
      <c r="T13" t="s">
        <v>187</v>
      </c>
      <c r="U13">
        <v>-3</v>
      </c>
      <c r="W13" t="s">
        <v>187</v>
      </c>
      <c r="X13">
        <v>56.9</v>
      </c>
    </row>
    <row r="14" spans="2:24" ht="13.9" customHeight="1" x14ac:dyDescent="0.25">
      <c r="B14" s="8">
        <v>8</v>
      </c>
      <c r="C14" s="8" t="str">
        <f>IFERROR(_xlfn.XLOOKUP(LARGE('DONNÉES BRUTES'!Z$3:Z$90,8),'DONNÉES BRUTES'!Z$3:Z$90,'DONNÉES BRUTES'!A$3:A$90),"—")</f>
        <v>FTNT</v>
      </c>
      <c r="D14" s="8" t="str">
        <f>IFERROR(_xlfn.XLOOKUP(C14,'DONNÉES BRUTES'!A$3:A$90,'DONNÉES BRUTES'!B$3:B$90),"—")</f>
        <v>Fortinet, Inc.</v>
      </c>
      <c r="E14" s="8"/>
      <c r="F14" s="8" t="str">
        <f>IFERROR(_xlfn.XLOOKUP(C14,'DONNÉES BRUTES'!A$3:A$90,'DONNÉES BRUTES'!Z$3:Z$90)&amp;"/100","—")</f>
        <v>92/100</v>
      </c>
      <c r="G14" s="8" t="str">
        <f>IFERROR(_xlfn.XLOOKUP(C14,'DONNÉES BRUTES'!A$3:A$90,'DONNÉES BRUTES'!U$3:U$90),"—")</f>
        <v>2.02</v>
      </c>
      <c r="H14" s="8" t="str">
        <f>IFERROR(_xlfn.XLOOKUP(C14,'DONNÉES BRUTES'!A$3:A$90,'DONNÉES BRUTES'!V$3:V$90),"—")</f>
        <v>-2.92</v>
      </c>
      <c r="I14" s="8" t="str">
        <f>IFERROR(_xlfn.XLOOKUP(C14,'DONNÉES BRUTES'!A$3:A$90,'DONNÉES BRUTES'!N$3:N$90),"—")</f>
        <v>36.1%</v>
      </c>
      <c r="J14" s="8" t="str">
        <f>IFERROR(_xlfn.XLOOKUP(C14,'DONNÉES BRUTES'!A$3:A$90,'DONNÉES BRUTES'!Q$3:Q$90),"—")</f>
        <v>+149.8%</v>
      </c>
      <c r="K14" s="8" t="str">
        <f>IFERROR(_xlfn.XLOOKUP(C14,'DONNÉES BRUTES'!A$3:A$90,'DONNÉES BRUTES'!S$3:S$90),"—")</f>
        <v>1.17</v>
      </c>
      <c r="L14" s="8" t="str">
        <f>IFERROR(_xlfn.XLOOKUP(C14,'DONNÉES BRUTES'!A$3:A$90,'DONNÉES BRUTES'!T$3:T$90),"—")</f>
        <v>-0.6x</v>
      </c>
      <c r="M14" s="68">
        <f>IFERROR(_xlfn.XLOOKUP(C14,'DONNÉES BRUTES'!A$3:A$90,'DONNÉES BRUTES'!AB$3:AB$90),"—")</f>
        <v>59</v>
      </c>
      <c r="N14" s="8" t="s">
        <v>194</v>
      </c>
      <c r="O14" s="64">
        <v>86</v>
      </c>
      <c r="Q14" s="64" t="s">
        <v>194</v>
      </c>
      <c r="R14" s="64">
        <v>0</v>
      </c>
      <c r="T14" t="s">
        <v>194</v>
      </c>
      <c r="W14" t="s">
        <v>194</v>
      </c>
      <c r="X14">
        <v>38.9</v>
      </c>
    </row>
    <row r="15" spans="2:24" ht="13.9" customHeight="1" x14ac:dyDescent="0.25">
      <c r="B15">
        <v>9</v>
      </c>
      <c r="C15" t="str">
        <f>IFERROR(_xlfn.XLOOKUP(LARGE('DONNÉES BRUTES'!Z$3:Z$90,9),'DONNÉES BRUTES'!Z$3:Z$90,'DONNÉES BRUTES'!A$3:A$90),"—")</f>
        <v>SGE.L</v>
      </c>
      <c r="D15" t="str">
        <f>IFERROR(_xlfn.XLOOKUP(C15,'DONNÉES BRUTES'!A$3:A$90,'DONNÉES BRUTES'!B$3:B$90),"—")</f>
        <v>The Sage Group plc</v>
      </c>
      <c r="F15" t="str">
        <f>IFERROR(_xlfn.XLOOKUP(C15,'DONNÉES BRUTES'!A$3:A$90,'DONNÉES BRUTES'!Z$3:Z$90)&amp;"/100","—")</f>
        <v>91/100</v>
      </c>
      <c r="G15" t="str">
        <f>IFERROR(_xlfn.XLOOKUP(C15,'DONNÉES BRUTES'!A$3:A$90,'DONNÉES BRUTES'!U$3:U$90),"—")</f>
        <v>—</v>
      </c>
      <c r="H15" t="str">
        <f>IFERROR(_xlfn.XLOOKUP(C15,'DONNÉES BRUTES'!A$3:A$90,'DONNÉES BRUTES'!V$3:V$90),"—")</f>
        <v>—</v>
      </c>
      <c r="I15" s="66">
        <f>IFERROR(_xlfn.XLOOKUP(C15,'DONNÉES BRUTES'!A$3:A$90,'DONNÉES BRUTES'!N$3:N$90),"—")</f>
        <v>0.25</v>
      </c>
      <c r="J15" t="str">
        <f>IFERROR(_xlfn.XLOOKUP(C15,'DONNÉES BRUTES'!A$3:A$90,'DONNÉES BRUTES'!Q$3:Q$90),"—")</f>
        <v>—</v>
      </c>
      <c r="K15" t="str">
        <f>IFERROR(_xlfn.XLOOKUP(C15,'DONNÉES BRUTES'!A$3:A$90,'DONNÉES BRUTES'!S$3:S$90),"—")</f>
        <v>—</v>
      </c>
      <c r="L15" t="str">
        <f>IFERROR(_xlfn.XLOOKUP(C15,'DONNÉES BRUTES'!A$3:A$90,'DONNÉES BRUTES'!T$3:T$90),"—")</f>
        <v>—</v>
      </c>
      <c r="M15" s="67">
        <f>IFERROR(_xlfn.XLOOKUP(C15,'DONNÉES BRUTES'!A$3:A$90,'DONNÉES BRUTES'!AB$3:AB$90),"—")</f>
        <v>52</v>
      </c>
      <c r="N15" t="s">
        <v>66</v>
      </c>
      <c r="O15" s="64">
        <v>85</v>
      </c>
      <c r="Q15" s="64" t="s">
        <v>66</v>
      </c>
      <c r="R15" s="64">
        <v>2.66</v>
      </c>
      <c r="T15" t="s">
        <v>66</v>
      </c>
      <c r="U15">
        <v>-2.72</v>
      </c>
      <c r="W15" t="s">
        <v>66</v>
      </c>
      <c r="X15">
        <v>54.3</v>
      </c>
    </row>
    <row r="16" spans="2:24" ht="13.9" customHeight="1" x14ac:dyDescent="0.25">
      <c r="B16" s="8">
        <v>10</v>
      </c>
      <c r="C16" s="8" t="str">
        <f>IFERROR(_xlfn.XLOOKUP(LARGE('DONNÉES BRUTES'!Z$3:Z$90,10),'DONNÉES BRUTES'!Z$3:Z$90,'DONNÉES BRUTES'!A$3:A$90),"—")</f>
        <v>ADSK</v>
      </c>
      <c r="D16" s="8" t="str">
        <f>IFERROR(_xlfn.XLOOKUP(C16,'DONNÉES BRUTES'!A$3:A$90,'DONNÉES BRUTES'!B$3:B$90),"—")</f>
        <v>Autodesk, Inc.</v>
      </c>
      <c r="E16" s="8"/>
      <c r="F16" s="8" t="str">
        <f>IFERROR(_xlfn.XLOOKUP(C16,'DONNÉES BRUTES'!A$3:A$90,'DONNÉES BRUTES'!Z$3:Z$90)&amp;"/100","—")</f>
        <v>90/100</v>
      </c>
      <c r="G16" s="8" t="str">
        <f>IFERROR(_xlfn.XLOOKUP(C16,'DONNÉES BRUTES'!A$3:A$90,'DONNÉES BRUTES'!U$3:U$90),"—")</f>
        <v>0.48</v>
      </c>
      <c r="H16" s="8" t="str">
        <f>IFERROR(_xlfn.XLOOKUP(C16,'DONNÉES BRUTES'!A$3:A$90,'DONNÉES BRUTES'!V$3:V$90),"—")</f>
        <v>-2.86</v>
      </c>
      <c r="I16" s="8" t="str">
        <f>IFERROR(_xlfn.XLOOKUP(C16,'DONNÉES BRUTES'!A$3:A$90,'DONNÉES BRUTES'!N$3:N$90),"—")</f>
        <v>27.6%</v>
      </c>
      <c r="J16" s="8" t="str">
        <f>IFERROR(_xlfn.XLOOKUP(C16,'DONNÉES BRUTES'!A$3:A$90,'DONNÉES BRUTES'!Q$3:Q$90),"—")</f>
        <v>+36.9%</v>
      </c>
      <c r="K16" s="8" t="str">
        <f>IFERROR(_xlfn.XLOOKUP(C16,'DONNÉES BRUTES'!A$3:A$90,'DONNÉES BRUTES'!S$3:S$90),"—")</f>
        <v>0.85</v>
      </c>
      <c r="L16" s="8" t="str">
        <f>IFERROR(_xlfn.XLOOKUP(C16,'DONNÉES BRUTES'!A$3:A$90,'DONNÉES BRUTES'!T$3:T$90),"—")</f>
        <v>0.1x</v>
      </c>
      <c r="M16" s="68">
        <f>IFERROR(_xlfn.XLOOKUP(C16,'DONNÉES BRUTES'!A$3:A$90,'DONNÉES BRUTES'!AB$3:AB$90),"—")</f>
        <v>65</v>
      </c>
      <c r="N16" s="8" t="s">
        <v>200</v>
      </c>
      <c r="O16" s="64">
        <v>84</v>
      </c>
      <c r="Q16" s="64" t="s">
        <v>200</v>
      </c>
      <c r="R16" s="64">
        <v>5.01</v>
      </c>
      <c r="T16" t="s">
        <v>200</v>
      </c>
      <c r="U16">
        <v>-3.06</v>
      </c>
      <c r="W16" t="s">
        <v>200</v>
      </c>
      <c r="X16">
        <v>28.6</v>
      </c>
    </row>
    <row r="17" spans="2:24" ht="13.9" customHeight="1" x14ac:dyDescent="0.25">
      <c r="B17">
        <v>11</v>
      </c>
      <c r="C17" t="str">
        <f>IFERROR(_xlfn.XLOOKUP(LARGE('DONNÉES BRUTES'!Z$3:Z$90,11),'DONNÉES BRUTES'!Z$3:Z$90,'DONNÉES BRUTES'!A$3:A$90),"—")</f>
        <v>ANET</v>
      </c>
      <c r="D17" t="str">
        <f>IFERROR(_xlfn.XLOOKUP(C17,'DONNÉES BRUTES'!A$3:A$90,'DONNÉES BRUTES'!B$3:B$90),"—")</f>
        <v>Arista Networks, Inc.</v>
      </c>
      <c r="F17" t="str">
        <f>IFERROR(_xlfn.XLOOKUP(C17,'DONNÉES BRUTES'!A$3:A$90,'DONNÉES BRUTES'!Z$3:Z$90)&amp;"/100","—")</f>
        <v>89/100</v>
      </c>
      <c r="G17" t="str">
        <f>IFERROR(_xlfn.XLOOKUP(C17,'DONNÉES BRUTES'!A$3:A$90,'DONNÉES BRUTES'!U$3:U$90),"—")</f>
        <v>8.46</v>
      </c>
      <c r="H17" t="str">
        <f>IFERROR(_xlfn.XLOOKUP(C17,'DONNÉES BRUTES'!A$3:A$90,'DONNÉES BRUTES'!V$3:V$90),"—")</f>
        <v>-2.58</v>
      </c>
      <c r="I17" t="str">
        <f>IFERROR(_xlfn.XLOOKUP(C17,'DONNÉES BRUTES'!A$3:A$90,'DONNÉES BRUTES'!N$3:N$90),"—")</f>
        <v>43.6%</v>
      </c>
      <c r="J17" t="str">
        <f>IFERROR(_xlfn.XLOOKUP(C17,'DONNÉES BRUTES'!A$3:A$90,'DONNÉES BRUTES'!Q$3:Q$90),"—")</f>
        <v>+28.4%</v>
      </c>
      <c r="K17" t="str">
        <f>IFERROR(_xlfn.XLOOKUP(C17,'DONNÉES BRUTES'!A$3:A$90,'DONNÉES BRUTES'!S$3:S$90),"—")</f>
        <v>3.05</v>
      </c>
      <c r="L17" t="str">
        <f>IFERROR(_xlfn.XLOOKUP(C17,'DONNÉES BRUTES'!A$3:A$90,'DONNÉES BRUTES'!T$3:T$90),"—")</f>
        <v>-0.5x</v>
      </c>
      <c r="M17" s="67">
        <f>IFERROR(_xlfn.XLOOKUP(C17,'DONNÉES BRUTES'!A$3:A$90,'DONNÉES BRUTES'!AB$3:AB$90),"—")</f>
        <v>83</v>
      </c>
      <c r="N17" t="s">
        <v>246</v>
      </c>
      <c r="O17" s="64">
        <v>83</v>
      </c>
      <c r="Q17" s="64" t="s">
        <v>246</v>
      </c>
      <c r="R17" s="64">
        <v>1.86</v>
      </c>
      <c r="T17" t="s">
        <v>246</v>
      </c>
      <c r="U17">
        <v>-3.13</v>
      </c>
      <c r="W17" t="s">
        <v>246</v>
      </c>
      <c r="X17">
        <v>51.6</v>
      </c>
    </row>
    <row r="18" spans="2:24" ht="13.9" customHeight="1" x14ac:dyDescent="0.25">
      <c r="B18" s="8">
        <v>12</v>
      </c>
      <c r="C18" s="8" t="str">
        <f>IFERROR(_xlfn.XLOOKUP(LARGE('DONNÉES BRUTES'!Z$3:Z$90,12),'DONNÉES BRUTES'!Z$3:Z$90,'DONNÉES BRUTES'!A$3:A$90),"—")</f>
        <v>MSFT</v>
      </c>
      <c r="D18" s="8" t="str">
        <f>IFERROR(_xlfn.XLOOKUP(C18,'DONNÉES BRUTES'!A$3:A$90,'DONNÉES BRUTES'!B$3:B$90),"—")</f>
        <v>Microsoft Corporation</v>
      </c>
      <c r="E18" s="8"/>
      <c r="F18" s="8" t="str">
        <f>IFERROR(_xlfn.XLOOKUP(C18,'DONNÉES BRUTES'!A$3:A$90,'DONNÉES BRUTES'!Z$3:Z$90)&amp;"/100","—")</f>
        <v>87/100</v>
      </c>
      <c r="G18" s="8" t="str">
        <f>IFERROR(_xlfn.XLOOKUP(C18,'DONNÉES BRUTES'!A$3:A$90,'DONNÉES BRUTES'!U$3:U$90),"—")</f>
        <v>4.46</v>
      </c>
      <c r="H18" s="8" t="str">
        <f>IFERROR(_xlfn.XLOOKUP(C18,'DONNÉES BRUTES'!A$3:A$90,'DONNÉES BRUTES'!V$3:V$90),"—")</f>
        <v>-3.00</v>
      </c>
      <c r="I18" s="8" t="str">
        <f>IFERROR(_xlfn.XLOOKUP(C18,'DONNÉES BRUTES'!A$3:A$90,'DONNÉES BRUTES'!N$3:N$90),"—")</f>
        <v>56.9%</v>
      </c>
      <c r="J18" s="8" t="str">
        <f>IFERROR(_xlfn.XLOOKUP(C18,'DONNÉES BRUTES'!A$3:A$90,'DONNÉES BRUTES'!Q$3:Q$90),"—")</f>
        <v>+29.6%</v>
      </c>
      <c r="K18" s="8" t="str">
        <f>IFERROR(_xlfn.XLOOKUP(C18,'DONNÉES BRUTES'!A$3:A$90,'DONNÉES BRUTES'!S$3:S$90),"—")</f>
        <v>1.35</v>
      </c>
      <c r="L18" s="8" t="str">
        <f>IFERROR(_xlfn.XLOOKUP(C18,'DONNÉES BRUTES'!A$3:A$90,'DONNÉES BRUTES'!T$3:T$90),"—")</f>
        <v>0.1x</v>
      </c>
      <c r="M18" s="68">
        <f>IFERROR(_xlfn.XLOOKUP(C18,'DONNÉES BRUTES'!A$3:A$90,'DONNÉES BRUTES'!AB$3:AB$90),"—")</f>
        <v>62</v>
      </c>
      <c r="N18" s="8" t="s">
        <v>249</v>
      </c>
      <c r="O18" s="64">
        <v>82</v>
      </c>
      <c r="Q18" s="64" t="s">
        <v>249</v>
      </c>
      <c r="R18" s="64">
        <v>4.5199999999999996</v>
      </c>
      <c r="T18" t="s">
        <v>249</v>
      </c>
      <c r="U18">
        <v>-3.05</v>
      </c>
      <c r="W18" t="s">
        <v>249</v>
      </c>
      <c r="X18">
        <v>31.3</v>
      </c>
    </row>
    <row r="19" spans="2:24" ht="13.9" customHeight="1" x14ac:dyDescent="0.25">
      <c r="B19">
        <v>13</v>
      </c>
      <c r="C19" t="str">
        <f>IFERROR(_xlfn.XLOOKUP(LARGE('DONNÉES BRUTES'!Z$3:Z$90,13),'DONNÉES BRUTES'!Z$3:Z$90,'DONNÉES BRUTES'!A$3:A$90),"—")</f>
        <v>PAYC</v>
      </c>
      <c r="D19" t="str">
        <f>IFERROR(_xlfn.XLOOKUP(C19,'DONNÉES BRUTES'!A$3:A$90,'DONNÉES BRUTES'!B$3:B$90),"—")</f>
        <v>Paycom Software, Inc.</v>
      </c>
      <c r="F19" t="str">
        <f>IFERROR(_xlfn.XLOOKUP(C19,'DONNÉES BRUTES'!A$3:A$90,'DONNÉES BRUTES'!Z$3:Z$90)&amp;"/100","—")</f>
        <v>86/100</v>
      </c>
      <c r="G19" t="str">
        <f>IFERROR(_xlfn.XLOOKUP(C19,'DONNÉES BRUTES'!A$3:A$90,'DONNÉES BRUTES'!U$3:U$90),"—")</f>
        <v>—</v>
      </c>
      <c r="H19" t="str">
        <f>IFERROR(_xlfn.XLOOKUP(C19,'DONNÉES BRUTES'!A$3:A$90,'DONNÉES BRUTES'!V$3:V$90),"—")</f>
        <v>—</v>
      </c>
      <c r="I19" s="66">
        <f>IFERROR(_xlfn.XLOOKUP(C19,'DONNÉES BRUTES'!A$3:A$90,'DONNÉES BRUTES'!N$3:N$90),"—")</f>
        <v>0.38900000000000001</v>
      </c>
      <c r="J19" t="str">
        <f>IFERROR(_xlfn.XLOOKUP(C19,'DONNÉES BRUTES'!A$3:A$90,'DONNÉES BRUTES'!Q$3:Q$90),"—")</f>
        <v>—</v>
      </c>
      <c r="K19" t="str">
        <f>IFERROR(_xlfn.XLOOKUP(C19,'DONNÉES BRUTES'!A$3:A$90,'DONNÉES BRUTES'!S$3:S$90),"—")</f>
        <v>—</v>
      </c>
      <c r="L19" t="str">
        <f>IFERROR(_xlfn.XLOOKUP(C19,'DONNÉES BRUTES'!A$3:A$90,'DONNÉES BRUTES'!T$3:T$90),"—")</f>
        <v>—</v>
      </c>
      <c r="M19" s="67">
        <f>IFERROR(_xlfn.XLOOKUP(C19,'DONNÉES BRUTES'!A$3:A$90,'DONNÉES BRUTES'!AB$3:AB$90),"—")</f>
        <v>39</v>
      </c>
      <c r="N19" t="s">
        <v>242</v>
      </c>
      <c r="O19" s="64">
        <v>80</v>
      </c>
      <c r="Q19" s="64" t="s">
        <v>242</v>
      </c>
      <c r="R19" s="64">
        <v>2.76</v>
      </c>
      <c r="T19" t="s">
        <v>242</v>
      </c>
      <c r="U19">
        <v>-2.0499999999999998</v>
      </c>
      <c r="W19" t="s">
        <v>242</v>
      </c>
      <c r="X19">
        <v>35.4</v>
      </c>
    </row>
    <row r="20" spans="2:24" ht="13.9" customHeight="1" x14ac:dyDescent="0.25">
      <c r="B20" s="8">
        <v>14</v>
      </c>
      <c r="C20" s="8" t="str">
        <f>IFERROR(_xlfn.XLOOKUP(LARGE('DONNÉES BRUTES'!Z$3:Z$90,14),'DONNÉES BRUTES'!Z$3:Z$90,'DONNÉES BRUTES'!A$3:A$90),"—")</f>
        <v>AVGO</v>
      </c>
      <c r="D20" s="8" t="str">
        <f>IFERROR(_xlfn.XLOOKUP(C20,'DONNÉES BRUTES'!A$3:A$90,'DONNÉES BRUTES'!B$3:B$90),"—")</f>
        <v>Broadcom Inc.</v>
      </c>
      <c r="E20" s="8"/>
      <c r="F20" s="8" t="str">
        <f>IFERROR(_xlfn.XLOOKUP(C20,'DONNÉES BRUTES'!A$3:A$90,'DONNÉES BRUTES'!Z$3:Z$90)&amp;"/100","—")</f>
        <v>85/100</v>
      </c>
      <c r="G20" s="8" t="str">
        <f>IFERROR(_xlfn.XLOOKUP(C20,'DONNÉES BRUTES'!A$3:A$90,'DONNÉES BRUTES'!U$3:U$90),"—")</f>
        <v>2.66</v>
      </c>
      <c r="H20" s="8" t="str">
        <f>IFERROR(_xlfn.XLOOKUP(C20,'DONNÉES BRUTES'!A$3:A$90,'DONNÉES BRUTES'!V$3:V$90),"—")</f>
        <v>-2.72</v>
      </c>
      <c r="I20" s="8" t="str">
        <f>IFERROR(_xlfn.XLOOKUP(C20,'DONNÉES BRUTES'!A$3:A$90,'DONNÉES BRUTES'!N$3:N$90),"—")</f>
        <v>54.3%</v>
      </c>
      <c r="J20" s="8" t="str">
        <f>IFERROR(_xlfn.XLOOKUP(C20,'DONNÉES BRUTES'!A$3:A$90,'DONNÉES BRUTES'!Q$3:Q$90),"—")</f>
        <v>+28.4%</v>
      </c>
      <c r="K20" s="8" t="str">
        <f>IFERROR(_xlfn.XLOOKUP(C20,'DONNÉES BRUTES'!A$3:A$90,'DONNÉES BRUTES'!S$3:S$90),"—")</f>
        <v>1.71</v>
      </c>
      <c r="L20" s="8" t="str">
        <f>IFERROR(_xlfn.XLOOKUP(C20,'DONNÉES BRUTES'!A$3:A$90,'DONNÉES BRUTES'!T$3:T$90),"—")</f>
        <v>1.4x</v>
      </c>
      <c r="M20" s="68">
        <f>IFERROR(_xlfn.XLOOKUP(C20,'DONNÉES BRUTES'!A$3:A$90,'DONNÉES BRUTES'!AB$3:AB$90),"—")</f>
        <v>81</v>
      </c>
      <c r="N20" s="8" t="s">
        <v>54</v>
      </c>
      <c r="O20" s="64">
        <v>79</v>
      </c>
      <c r="Q20" s="64" t="s">
        <v>54</v>
      </c>
      <c r="R20" s="64">
        <v>5.64</v>
      </c>
      <c r="T20" t="s">
        <v>54</v>
      </c>
      <c r="U20">
        <v>-2.95</v>
      </c>
      <c r="W20" t="s">
        <v>54</v>
      </c>
      <c r="X20">
        <v>43.9</v>
      </c>
    </row>
    <row r="21" spans="2:24" ht="13.9" customHeight="1" x14ac:dyDescent="0.25">
      <c r="B21">
        <v>15</v>
      </c>
      <c r="C21" t="str">
        <f>IFERROR(_xlfn.XLOOKUP(LARGE('DONNÉES BRUTES'!Z$3:Z$90,15),'DONNÉES BRUTES'!Z$3:Z$90,'DONNÉES BRUTES'!A$3:A$90),"—")</f>
        <v>FFIV</v>
      </c>
      <c r="D21" t="str">
        <f>IFERROR(_xlfn.XLOOKUP(C21,'DONNÉES BRUTES'!A$3:A$90,'DONNÉES BRUTES'!B$3:B$90),"—")</f>
        <v>F5, Inc.</v>
      </c>
      <c r="F21" t="str">
        <f>IFERROR(_xlfn.XLOOKUP(C21,'DONNÉES BRUTES'!A$3:A$90,'DONNÉES BRUTES'!Z$3:Z$90)&amp;"/100","—")</f>
        <v>84/100</v>
      </c>
      <c r="G21" t="str">
        <f>IFERROR(_xlfn.XLOOKUP(C21,'DONNÉES BRUTES'!A$3:A$90,'DONNÉES BRUTES'!U$3:U$90),"—")</f>
        <v>5.01</v>
      </c>
      <c r="H21" t="str">
        <f>IFERROR(_xlfn.XLOOKUP(C21,'DONNÉES BRUTES'!A$3:A$90,'DONNÉES BRUTES'!V$3:V$90),"—")</f>
        <v>-3.06</v>
      </c>
      <c r="I21" t="str">
        <f>IFERROR(_xlfn.XLOOKUP(C21,'DONNÉES BRUTES'!A$3:A$90,'DONNÉES BRUTES'!N$3:N$90),"—")</f>
        <v>28.6%</v>
      </c>
      <c r="J21" t="str">
        <f>IFERROR(_xlfn.XLOOKUP(C21,'DONNÉES BRUTES'!A$3:A$90,'DONNÉES BRUTES'!Q$3:Q$90),"—")</f>
        <v>+19.3%</v>
      </c>
      <c r="K21" t="str">
        <f>IFERROR(_xlfn.XLOOKUP(C21,'DONNÉES BRUTES'!A$3:A$90,'DONNÉES BRUTES'!S$3:S$90),"—")</f>
        <v>1.56</v>
      </c>
      <c r="L21" t="str">
        <f>IFERROR(_xlfn.XLOOKUP(C21,'DONNÉES BRUTES'!A$3:A$90,'DONNÉES BRUTES'!T$3:T$90),"—")</f>
        <v>-1.2x</v>
      </c>
      <c r="M21" s="67">
        <f>IFERROR(_xlfn.XLOOKUP(C21,'DONNÉES BRUTES'!A$3:A$90,'DONNÉES BRUTES'!AB$3:AB$90),"—")</f>
        <v>64</v>
      </c>
      <c r="N21" t="s">
        <v>112</v>
      </c>
      <c r="O21" s="64">
        <v>78</v>
      </c>
      <c r="Q21" s="64" t="s">
        <v>112</v>
      </c>
      <c r="R21" s="64">
        <v>5.05</v>
      </c>
      <c r="T21" t="s">
        <v>112</v>
      </c>
      <c r="U21">
        <v>-2.88</v>
      </c>
      <c r="W21" t="s">
        <v>112</v>
      </c>
      <c r="X21">
        <v>29.8</v>
      </c>
    </row>
    <row r="22" spans="2:24" ht="13.9" customHeight="1" x14ac:dyDescent="0.25">
      <c r="B22" s="8">
        <v>16</v>
      </c>
      <c r="C22" s="8" t="str">
        <f>IFERROR(_xlfn.XLOOKUP(LARGE('DONNÉES BRUTES'!Z$3:Z$90,16),'DONNÉES BRUTES'!Z$3:Z$90,'DONNÉES BRUTES'!A$3:A$90),"—")</f>
        <v>CPAY</v>
      </c>
      <c r="D22" s="8" t="str">
        <f>IFERROR(_xlfn.XLOOKUP(C22,'DONNÉES BRUTES'!A$3:A$90,'DONNÉES BRUTES'!B$3:B$90),"—")</f>
        <v>Corpay, Inc.</v>
      </c>
      <c r="E22" s="8"/>
      <c r="F22" s="8" t="str">
        <f>IFERROR(_xlfn.XLOOKUP(C22,'DONNÉES BRUTES'!A$3:A$90,'DONNÉES BRUTES'!Z$3:Z$90)&amp;"/100","—")</f>
        <v>83/100</v>
      </c>
      <c r="G22" s="8" t="str">
        <f>IFERROR(_xlfn.XLOOKUP(C22,'DONNÉES BRUTES'!A$3:A$90,'DONNÉES BRUTES'!U$3:U$90),"—")</f>
        <v>1.86</v>
      </c>
      <c r="H22" s="8" t="str">
        <f>IFERROR(_xlfn.XLOOKUP(C22,'DONNÉES BRUTES'!A$3:A$90,'DONNÉES BRUTES'!V$3:V$90),"—")</f>
        <v>-3.13</v>
      </c>
      <c r="I22" s="8" t="str">
        <f>IFERROR(_xlfn.XLOOKUP(C22,'DONNÉES BRUTES'!A$3:A$90,'DONNÉES BRUTES'!N$3:N$90),"—")</f>
        <v>51.6%</v>
      </c>
      <c r="J22" s="8" t="str">
        <f>IFERROR(_xlfn.XLOOKUP(C22,'DONNÉES BRUTES'!A$3:A$90,'DONNÉES BRUTES'!Q$3:Q$90),"—")</f>
        <v>+27.5%</v>
      </c>
      <c r="K22" s="8" t="str">
        <f>IFERROR(_xlfn.XLOOKUP(C22,'DONNÉES BRUTES'!A$3:A$90,'DONNÉES BRUTES'!S$3:S$90),"—")</f>
        <v>0.98</v>
      </c>
      <c r="L22" s="8" t="str">
        <f>IFERROR(_xlfn.XLOOKUP(C22,'DONNÉES BRUTES'!A$3:A$90,'DONNÉES BRUTES'!T$3:T$90),"—")</f>
        <v>3.2x</v>
      </c>
      <c r="M22" s="68">
        <f>IFERROR(_xlfn.XLOOKUP(C22,'DONNÉES BRUTES'!A$3:A$90,'DONNÉES BRUTES'!AB$3:AB$90),"—")</f>
        <v>60</v>
      </c>
      <c r="N22" s="8" t="str">
        <f>IFERROR(_xlfn.XLOOKUP(C22,'DONNÉES BRUTES'!A$3:A$90,'DONNÉES BRUTES'!AD$3:AD$90),"—")</f>
        <v>Neutre</v>
      </c>
    </row>
    <row r="23" spans="2:24" ht="13.9" customHeight="1" x14ac:dyDescent="0.25">
      <c r="B23">
        <v>17</v>
      </c>
      <c r="C23" t="str">
        <f>IFERROR(_xlfn.XLOOKUP(LARGE('DONNÉES BRUTES'!Z$3:Z$90,17),'DONNÉES BRUTES'!Z$3:Z$90,'DONNÉES BRUTES'!A$3:A$90),"—")</f>
        <v>INTU</v>
      </c>
      <c r="D23" t="str">
        <f>IFERROR(_xlfn.XLOOKUP(C23,'DONNÉES BRUTES'!A$3:A$90,'DONNÉES BRUTES'!B$3:B$90),"—")</f>
        <v>Intuit Inc.</v>
      </c>
      <c r="F23" t="str">
        <f>IFERROR(_xlfn.XLOOKUP(C23,'DONNÉES BRUTES'!A$3:A$90,'DONNÉES BRUTES'!Z$3:Z$90)&amp;"/100","—")</f>
        <v>82/100</v>
      </c>
      <c r="G23" t="str">
        <f>IFERROR(_xlfn.XLOOKUP(C23,'DONNÉES BRUTES'!A$3:A$90,'DONNÉES BRUTES'!U$3:U$90),"—")</f>
        <v>4.52</v>
      </c>
      <c r="H23" t="str">
        <f>IFERROR(_xlfn.XLOOKUP(C23,'DONNÉES BRUTES'!A$3:A$90,'DONNÉES BRUTES'!V$3:V$90),"—")</f>
        <v>-3.05</v>
      </c>
      <c r="I23" t="str">
        <f>IFERROR(_xlfn.XLOOKUP(C23,'DONNÉES BRUTES'!A$3:A$90,'DONNÉES BRUTES'!N$3:N$90),"—")</f>
        <v>31.3%</v>
      </c>
      <c r="J23" t="str">
        <f>IFERROR(_xlfn.XLOOKUP(C23,'DONNÉES BRUTES'!A$3:A$90,'DONNÉES BRUTES'!Q$3:Q$90),"—")</f>
        <v>+19.6%</v>
      </c>
      <c r="K23" t="str">
        <f>IFERROR(_xlfn.XLOOKUP(C23,'DONNÉES BRUTES'!A$3:A$90,'DONNÉES BRUTES'!S$3:S$90),"—")</f>
        <v>1.36</v>
      </c>
      <c r="L23" t="str">
        <f>IFERROR(_xlfn.XLOOKUP(C23,'DONNÉES BRUTES'!A$3:A$90,'DONNÉES BRUTES'!T$3:T$90),"—")</f>
        <v>0.5x</v>
      </c>
      <c r="M23" s="67">
        <f>IFERROR(_xlfn.XLOOKUP(C23,'DONNÉES BRUTES'!A$3:A$90,'DONNÉES BRUTES'!AB$3:AB$90),"—")</f>
        <v>55</v>
      </c>
      <c r="N23" t="str">
        <f>IFERROR(_xlfn.XLOOKUP(C23,'DONNÉES BRUTES'!A$3:A$90,'DONNÉES BRUTES'!AD$3:AD$90),"—")</f>
        <v>Neutre</v>
      </c>
    </row>
    <row r="24" spans="2:24" ht="13.9" customHeight="1" x14ac:dyDescent="0.25">
      <c r="B24" s="8">
        <v>18</v>
      </c>
      <c r="C24" s="8" t="str">
        <f>IFERROR(_xlfn.XLOOKUP(LARGE('DONNÉES BRUTES'!Z$3:Z$90,18),'DONNÉES BRUTES'!Z$3:Z$90,'DONNÉES BRUTES'!A$3:A$90),"—")</f>
        <v>SNPS</v>
      </c>
      <c r="D24" s="8" t="str">
        <f>IFERROR(_xlfn.XLOOKUP(C24,'DONNÉES BRUTES'!A$3:A$90,'DONNÉES BRUTES'!B$3:B$90),"—")</f>
        <v>Synopsys, Inc.</v>
      </c>
      <c r="E24" s="8"/>
      <c r="F24" s="8" t="str">
        <f>IFERROR(_xlfn.XLOOKUP(C24,'DONNÉES BRUTES'!A$3:A$90,'DONNÉES BRUTES'!Z$3:Z$90)&amp;"/100","—")</f>
        <v>80/100</v>
      </c>
      <c r="G24" s="8" t="str">
        <f>IFERROR(_xlfn.XLOOKUP(C24,'DONNÉES BRUTES'!A$3:A$90,'DONNÉES BRUTES'!U$3:U$90),"—")</f>
        <v>2.76</v>
      </c>
      <c r="H24" s="8" t="str">
        <f>IFERROR(_xlfn.XLOOKUP(C24,'DONNÉES BRUTES'!A$3:A$90,'DONNÉES BRUTES'!V$3:V$90),"—")</f>
        <v>-2.05</v>
      </c>
      <c r="I24" s="8" t="str">
        <f>IFERROR(_xlfn.XLOOKUP(C24,'DONNÉES BRUTES'!A$3:A$90,'DONNÉES BRUTES'!N$3:N$90),"—")</f>
        <v>35.4%</v>
      </c>
      <c r="J24" s="8" t="str">
        <f>IFERROR(_xlfn.XLOOKUP(C24,'DONNÉES BRUTES'!A$3:A$90,'DONNÉES BRUTES'!Q$3:Q$90),"—")</f>
        <v>+4.7%</v>
      </c>
      <c r="K24" s="8" t="str">
        <f>IFERROR(_xlfn.XLOOKUP(C24,'DONNÉES BRUTES'!A$3:A$90,'DONNÉES BRUTES'!S$3:S$90),"—")</f>
        <v>1.62</v>
      </c>
      <c r="L24" s="8" t="str">
        <f>IFERROR(_xlfn.XLOOKUP(C24,'DONNÉES BRUTES'!A$3:A$90,'DONNÉES BRUTES'!T$3:T$90),"—")</f>
        <v>4.2x</v>
      </c>
      <c r="M24" s="68">
        <f>IFERROR(_xlfn.XLOOKUP(C24,'DONNÉES BRUTES'!A$3:A$90,'DONNÉES BRUTES'!AB$3:AB$90),"—")</f>
        <v>66</v>
      </c>
      <c r="N24" s="8" t="str">
        <f>IFERROR(_xlfn.XLOOKUP(C24,'DONNÉES BRUTES'!A$3:A$90,'DONNÉES BRUTES'!AD$3:AD$90),"—")</f>
        <v>Neutre</v>
      </c>
    </row>
    <row r="25" spans="2:24" ht="13.9" customHeight="1" x14ac:dyDescent="0.25">
      <c r="B25">
        <v>19</v>
      </c>
      <c r="C25" t="str">
        <f>IFERROR(_xlfn.XLOOKUP(LARGE('DONNÉES BRUTES'!Z$3:Z$90,19),'DONNÉES BRUTES'!Z$3:Z$90,'DONNÉES BRUTES'!A$3:A$90),"—")</f>
        <v>SNPS</v>
      </c>
      <c r="D25" t="str">
        <f>IFERROR(_xlfn.XLOOKUP(C25,'DONNÉES BRUTES'!A$3:A$90,'DONNÉES BRUTES'!B$3:B$90),"—")</f>
        <v>Synopsys, Inc.</v>
      </c>
      <c r="F25" t="str">
        <f>IFERROR(_xlfn.XLOOKUP(C25,'DONNÉES BRUTES'!A$3:A$90,'DONNÉES BRUTES'!Z$3:Z$90)&amp;"/100","—")</f>
        <v>80/100</v>
      </c>
      <c r="G25" t="str">
        <f>IFERROR(_xlfn.XLOOKUP(C25,'DONNÉES BRUTES'!A$3:A$90,'DONNÉES BRUTES'!U$3:U$90),"—")</f>
        <v>2.76</v>
      </c>
      <c r="H25" t="str">
        <f>IFERROR(_xlfn.XLOOKUP(C25,'DONNÉES BRUTES'!A$3:A$90,'DONNÉES BRUTES'!V$3:V$90),"—")</f>
        <v>-2.05</v>
      </c>
      <c r="I25" t="str">
        <f>IFERROR(_xlfn.XLOOKUP(C25,'DONNÉES BRUTES'!A$3:A$90,'DONNÉES BRUTES'!N$3:N$90),"—")</f>
        <v>35.4%</v>
      </c>
      <c r="J25" t="str">
        <f>IFERROR(_xlfn.XLOOKUP(C25,'DONNÉES BRUTES'!A$3:A$90,'DONNÉES BRUTES'!Q$3:Q$90),"—")</f>
        <v>+4.7%</v>
      </c>
      <c r="K25" t="str">
        <f>IFERROR(_xlfn.XLOOKUP(C25,'DONNÉES BRUTES'!A$3:A$90,'DONNÉES BRUTES'!S$3:S$90),"—")</f>
        <v>1.62</v>
      </c>
      <c r="L25" t="str">
        <f>IFERROR(_xlfn.XLOOKUP(C25,'DONNÉES BRUTES'!A$3:A$90,'DONNÉES BRUTES'!T$3:T$90),"—")</f>
        <v>4.2x</v>
      </c>
      <c r="M25" s="67">
        <f>IFERROR(_xlfn.XLOOKUP(C25,'DONNÉES BRUTES'!A$3:A$90,'DONNÉES BRUTES'!AB$3:AB$90),"—")</f>
        <v>66</v>
      </c>
      <c r="N25" t="str">
        <f>IFERROR(_xlfn.XLOOKUP(C25,'DONNÉES BRUTES'!A$3:A$90,'DONNÉES BRUTES'!AD$3:AD$90),"—")</f>
        <v>Neutre</v>
      </c>
    </row>
    <row r="26" spans="2:24" ht="13.9" customHeight="1" x14ac:dyDescent="0.25">
      <c r="B26" s="8">
        <v>20</v>
      </c>
      <c r="C26" s="8" t="str">
        <f>IFERROR(_xlfn.XLOOKUP(LARGE('DONNÉES BRUTES'!Z$3:Z$90,20),'DONNÉES BRUTES'!Z$3:Z$90,'DONNÉES BRUTES'!A$3:A$90),"—")</f>
        <v>KLAC</v>
      </c>
      <c r="D26" s="8" t="str">
        <f>IFERROR(_xlfn.XLOOKUP(C26,'DONNÉES BRUTES'!A$3:A$90,'DONNÉES BRUTES'!B$3:B$90),"—")</f>
        <v>KLA Corporation</v>
      </c>
      <c r="E26" s="8"/>
      <c r="F26" s="8" t="str">
        <f>IFERROR(_xlfn.XLOOKUP(C26,'DONNÉES BRUTES'!A$3:A$90,'DONNÉES BRUTES'!Z$3:Z$90)&amp;"/100","—")</f>
        <v>79/100</v>
      </c>
      <c r="G26" s="8" t="str">
        <f>IFERROR(_xlfn.XLOOKUP(C26,'DONNÉES BRUTES'!A$3:A$90,'DONNÉES BRUTES'!U$3:U$90),"—")</f>
        <v>5.64</v>
      </c>
      <c r="H26" s="8" t="str">
        <f>IFERROR(_xlfn.XLOOKUP(C26,'DONNÉES BRUTES'!A$3:A$90,'DONNÉES BRUTES'!V$3:V$90),"—")</f>
        <v>-2.95</v>
      </c>
      <c r="I26" s="8" t="str">
        <f>IFERROR(_xlfn.XLOOKUP(C26,'DONNÉES BRUTES'!A$3:A$90,'DONNÉES BRUTES'!N$3:N$90),"—")</f>
        <v>43.9%</v>
      </c>
      <c r="J26" s="8" t="str">
        <f>IFERROR(_xlfn.XLOOKUP(C26,'DONNÉES BRUTES'!A$3:A$90,'DONNÉES BRUTES'!Q$3:Q$90),"—")</f>
        <v>+86.6%</v>
      </c>
      <c r="K26" s="8" t="str">
        <f>IFERROR(_xlfn.XLOOKUP(C26,'DONNÉES BRUTES'!A$3:A$90,'DONNÉES BRUTES'!S$3:S$90),"—")</f>
        <v>2.62</v>
      </c>
      <c r="L26" s="8" t="str">
        <f>IFERROR(_xlfn.XLOOKUP(C26,'DONNÉES BRUTES'!A$3:A$90,'DONNÉES BRUTES'!T$3:T$90),"—")</f>
        <v>0.7x</v>
      </c>
      <c r="M26" s="68">
        <f>IFERROR(_xlfn.XLOOKUP(C26,'DONNÉES BRUTES'!A$3:A$90,'DONNÉES BRUTES'!AB$3:AB$90),"—")</f>
        <v>84</v>
      </c>
      <c r="N26" s="8" t="str">
        <f>IFERROR(_xlfn.XLOOKUP(C26,'DONNÉES BRUTES'!A$3:A$90,'DONNÉES BRUTES'!AD$3:AD$90),"—")</f>
        <v>Surpondérer</v>
      </c>
    </row>
    <row r="27" spans="2:24" ht="13.9" customHeight="1" x14ac:dyDescent="0.25"/>
    <row r="28" spans="2:24" ht="13.9" customHeight="1" x14ac:dyDescent="0.25">
      <c r="B28" s="7" t="s">
        <v>718</v>
      </c>
    </row>
    <row r="29" spans="2:24" ht="13.9" customHeight="1" x14ac:dyDescent="0.25"/>
    <row r="30" spans="2:24" ht="13.9" customHeight="1" x14ac:dyDescent="0.25"/>
    <row r="31" spans="2:24" ht="13.9" customHeight="1" x14ac:dyDescent="0.25"/>
    <row r="32" spans="2:24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3" ht="13.9" customHeight="1" x14ac:dyDescent="0.25"/>
    <row r="45" ht="16.149999999999999" customHeight="1" x14ac:dyDescent="0.25"/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45"/>
  <sheetViews>
    <sheetView showGridLines="0" zoomScale="85" zoomScaleNormal="85" workbookViewId="0">
      <selection activeCell="J36" sqref="J36"/>
    </sheetView>
  </sheetViews>
  <sheetFormatPr baseColWidth="10" defaultColWidth="8.85546875" defaultRowHeight="15" x14ac:dyDescent="0.25"/>
  <cols>
    <col min="1" max="1" width="1.7109375" customWidth="1"/>
    <col min="2" max="2" width="7.42578125" customWidth="1"/>
    <col min="3" max="3" width="13.28515625" customWidth="1"/>
    <col min="4" max="4" width="29.7109375" customWidth="1"/>
    <col min="5" max="5" width="10.28515625" customWidth="1"/>
    <col min="6" max="6" width="12.5703125" customWidth="1"/>
    <col min="7" max="7" width="13.7109375" customWidth="1"/>
    <col min="8" max="8" width="14.7109375" customWidth="1"/>
    <col min="9" max="9" width="12.5703125" bestFit="1" customWidth="1"/>
    <col min="10" max="10" width="13.140625" bestFit="1" customWidth="1"/>
    <col min="11" max="11" width="10.5703125" bestFit="1" customWidth="1"/>
    <col min="12" max="12" width="14.5703125" bestFit="1" customWidth="1"/>
    <col min="14" max="18" width="0.5703125" customWidth="1"/>
  </cols>
  <sheetData>
    <row r="1" spans="2:24" ht="28.15" customHeight="1" x14ac:dyDescent="0.25">
      <c r="B1" s="14" t="s">
        <v>703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7"/>
      <c r="N1" s="17" t="s">
        <v>0</v>
      </c>
      <c r="O1" s="17" t="s">
        <v>2</v>
      </c>
      <c r="P1" s="17"/>
      <c r="Q1" s="17" t="s">
        <v>0</v>
      </c>
      <c r="R1" s="17" t="s">
        <v>756</v>
      </c>
      <c r="S1" s="17"/>
      <c r="T1" s="15" t="s">
        <v>0</v>
      </c>
      <c r="U1" t="s">
        <v>749</v>
      </c>
      <c r="W1" t="s">
        <v>750</v>
      </c>
      <c r="X1" t="s">
        <v>207</v>
      </c>
    </row>
    <row r="2" spans="2:24" ht="15" customHeight="1" x14ac:dyDescent="0.25">
      <c r="B2" s="7" t="s">
        <v>713</v>
      </c>
      <c r="M2" s="18"/>
      <c r="N2" s="18" t="s">
        <v>9</v>
      </c>
      <c r="O2" s="18">
        <v>100</v>
      </c>
      <c r="P2" s="18"/>
      <c r="Q2" s="18" t="s">
        <v>9</v>
      </c>
      <c r="R2" s="18">
        <v>0</v>
      </c>
      <c r="S2" s="18"/>
      <c r="T2" t="s">
        <v>9</v>
      </c>
      <c r="U2">
        <v>-17</v>
      </c>
      <c r="W2">
        <v>100</v>
      </c>
      <c r="X2">
        <v>34</v>
      </c>
    </row>
    <row r="3" spans="2:24" ht="18" customHeight="1" x14ac:dyDescent="0.35">
      <c r="B3" s="24"/>
      <c r="C3" s="24">
        <f>COUNTA('DONNÉES BRUTES'!A$3:A$90)</f>
        <v>88</v>
      </c>
      <c r="D3" s="24"/>
      <c r="E3" s="24"/>
      <c r="F3" s="24"/>
      <c r="G3" s="24" t="str">
        <f>IFERROR(_xlfn.XLOOKUP(LARGE('DONNÉES BRUTES'!AA$3:AA$90,1),'DONNÉES BRUTES'!AA$3:AA$90,'DONNÉES BRUTES'!A$3:A$90),"—")</f>
        <v>SNDK</v>
      </c>
      <c r="H3" s="24"/>
      <c r="I3" s="24"/>
      <c r="J3" s="24"/>
      <c r="K3" s="24" t="str">
        <f>IFERROR(ROUND(AVERAGE('DONNÉES BRUTES'!AA$3:AA$90),0)&amp;"/100","—")</f>
        <v>49/100</v>
      </c>
      <c r="L3" s="24"/>
      <c r="M3" s="18"/>
      <c r="N3" s="18" t="s">
        <v>11</v>
      </c>
      <c r="O3" s="18">
        <v>99</v>
      </c>
      <c r="P3" s="18"/>
      <c r="Q3" s="18" t="s">
        <v>11</v>
      </c>
      <c r="R3" s="18">
        <v>477</v>
      </c>
      <c r="S3" s="18"/>
      <c r="T3" t="s">
        <v>11</v>
      </c>
      <c r="U3">
        <v>20.399999999999999</v>
      </c>
      <c r="W3">
        <v>99</v>
      </c>
      <c r="X3">
        <v>77</v>
      </c>
    </row>
    <row r="4" spans="2:24" ht="13.9" customHeight="1" x14ac:dyDescent="0.25">
      <c r="B4" s="10"/>
      <c r="C4" s="10" t="s">
        <v>714</v>
      </c>
      <c r="D4" s="10"/>
      <c r="E4" s="10"/>
      <c r="F4" s="10"/>
      <c r="G4" s="10" t="s">
        <v>726</v>
      </c>
      <c r="H4" s="10"/>
      <c r="I4" s="10"/>
      <c r="J4" s="10"/>
      <c r="K4" s="10" t="s">
        <v>727</v>
      </c>
      <c r="L4" s="10"/>
      <c r="M4" s="18"/>
      <c r="N4" s="18" t="s">
        <v>24</v>
      </c>
      <c r="O4" s="18">
        <v>98</v>
      </c>
      <c r="P4" s="18"/>
      <c r="Q4" s="18" t="s">
        <v>24</v>
      </c>
      <c r="R4" s="18">
        <v>455</v>
      </c>
      <c r="S4" s="18"/>
      <c r="T4" t="s">
        <v>24</v>
      </c>
      <c r="U4">
        <v>8.1</v>
      </c>
      <c r="W4">
        <v>98</v>
      </c>
      <c r="X4">
        <v>59</v>
      </c>
    </row>
    <row r="5" spans="2:24" ht="13.9" customHeight="1" x14ac:dyDescent="0.25">
      <c r="B5" s="14" t="s">
        <v>728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7"/>
      <c r="N5" s="17" t="s">
        <v>33</v>
      </c>
      <c r="O5" s="17">
        <v>97</v>
      </c>
      <c r="P5" s="17"/>
      <c r="Q5" s="17" t="s">
        <v>33</v>
      </c>
      <c r="R5" s="17">
        <v>292</v>
      </c>
      <c r="S5" s="17"/>
      <c r="T5" t="s">
        <v>33</v>
      </c>
      <c r="U5">
        <v>24.7</v>
      </c>
      <c r="W5">
        <v>97</v>
      </c>
      <c r="X5">
        <v>66</v>
      </c>
    </row>
    <row r="6" spans="2:24" ht="13.9" customHeight="1" x14ac:dyDescent="0.25">
      <c r="B6" s="23" t="s">
        <v>41</v>
      </c>
      <c r="C6" s="6" t="s">
        <v>0</v>
      </c>
      <c r="D6" s="6" t="s">
        <v>1</v>
      </c>
      <c r="E6" s="6"/>
      <c r="F6" s="6" t="s">
        <v>2</v>
      </c>
      <c r="G6" s="6" t="s">
        <v>588</v>
      </c>
      <c r="H6" s="6" t="s">
        <v>582</v>
      </c>
      <c r="I6" s="6" t="s">
        <v>207</v>
      </c>
      <c r="J6" s="6" t="s">
        <v>729</v>
      </c>
      <c r="K6" s="6" t="s">
        <v>47</v>
      </c>
      <c r="L6" s="6" t="s">
        <v>48</v>
      </c>
      <c r="N6" t="s">
        <v>18</v>
      </c>
      <c r="O6">
        <v>95</v>
      </c>
      <c r="Q6" t="s">
        <v>18</v>
      </c>
      <c r="R6">
        <v>283</v>
      </c>
      <c r="T6" t="s">
        <v>18</v>
      </c>
      <c r="U6">
        <v>49.4</v>
      </c>
      <c r="W6">
        <v>95</v>
      </c>
      <c r="X6">
        <v>78</v>
      </c>
    </row>
    <row r="7" spans="2:24" ht="13.9" customHeight="1" x14ac:dyDescent="0.25">
      <c r="B7">
        <v>1</v>
      </c>
      <c r="C7" t="str">
        <f>IFERROR(_xlfn.XLOOKUP(LARGE('DONNÉES BRUTES'!AA$3:AA$90,1),'DONNÉES BRUTES'!AA$3:AA$90,'DONNÉES BRUTES'!A$3:A$90),"—")</f>
        <v>SNDK</v>
      </c>
      <c r="D7" t="str">
        <f>IFERROR(_xlfn.XLOOKUP(C7,'DONNÉES BRUTES'!A$3:A$90,'DONNÉES BRUTES'!B$3:B$90),"—")</f>
        <v>Sandisk Corporation</v>
      </c>
      <c r="F7" t="str">
        <f>IFERROR(_xlfn.XLOOKUP(C7,'DONNÉES BRUTES'!A$3:A$90,'DONNÉES BRUTES'!AA$3:AA$90)&amp;"/100","—")</f>
        <v>100/100</v>
      </c>
      <c r="G7" t="str">
        <f>IFERROR(_xlfn.XLOOKUP(C7,'DONNÉES BRUTES'!A$3:A$90,'DONNÉES BRUTES'!W$3:W$90),"—")</f>
        <v>—</v>
      </c>
      <c r="H7" s="66">
        <f>IFERROR(_xlfn.XLOOKUP(C7,'DONNÉES BRUTES'!A$3:A$90,'DONNÉES BRUTES'!N$3:N$90),"—")</f>
        <v>-0.17</v>
      </c>
      <c r="I7" s="67">
        <f>IFERROR(_xlfn.XLOOKUP(C7,'DONNÉES BRUTES'!A$3:A$90,'DONNÉES BRUTES'!AB$3:AB$90),"—")</f>
        <v>34</v>
      </c>
      <c r="J7" s="67">
        <f>IFERROR(_xlfn.XLOOKUP(C7,'DONNÉES BRUTES'!A$3:A$90,'DONNÉES BRUTES'!Y$3:Y$90),"—")</f>
        <v>1</v>
      </c>
      <c r="K7" t="str">
        <f>IFERROR(_xlfn.XLOOKUP(C7,'DONNÉES BRUTES'!A$3:A$90,'DONNÉES BRUTES'!AC$3:AC$90),"—")</f>
        <v>—</v>
      </c>
      <c r="L7" t="str">
        <f>IFERROR(_xlfn.XLOOKUP(C7,'DONNÉES BRUTES'!A$3:A$90,'DONNÉES BRUTES'!AD$3:AD$90),"—")</f>
        <v>Sous-pondérer</v>
      </c>
      <c r="N7" t="s">
        <v>27</v>
      </c>
      <c r="O7">
        <v>94</v>
      </c>
      <c r="Q7" t="s">
        <v>27</v>
      </c>
      <c r="R7">
        <v>264</v>
      </c>
      <c r="T7" t="s">
        <v>27</v>
      </c>
      <c r="U7">
        <v>22.9</v>
      </c>
      <c r="W7">
        <v>94</v>
      </c>
      <c r="X7">
        <v>73</v>
      </c>
    </row>
    <row r="8" spans="2:24" ht="13.9" customHeight="1" x14ac:dyDescent="0.25">
      <c r="B8" s="8">
        <v>2</v>
      </c>
      <c r="C8" s="8" t="str">
        <f>IFERROR(_xlfn.XLOOKUP(LARGE('DONNÉES BRUTES'!AA$3:AA$90,2),'DONNÉES BRUTES'!AA$3:AA$90,'DONNÉES BRUTES'!A$3:A$90),"—")</f>
        <v>WDC</v>
      </c>
      <c r="D8" s="8" t="str">
        <f>IFERROR(_xlfn.XLOOKUP(C8,'DONNÉES BRUTES'!A$3:A$90,'DONNÉES BRUTES'!B$3:B$90),"—")</f>
        <v>Western Digital Corporation</v>
      </c>
      <c r="E8" s="8"/>
      <c r="F8" s="8" t="str">
        <f>IFERROR(_xlfn.XLOOKUP(C8,'DONNÉES BRUTES'!A$3:A$90,'DONNÉES BRUTES'!AA$3:AA$90)&amp;"/100","—")</f>
        <v>99/100</v>
      </c>
      <c r="G8" s="8" t="str">
        <f>IFERROR(_xlfn.XLOOKUP(C8,'DONNÉES BRUTES'!A$3:A$90,'DONNÉES BRUTES'!W$3:W$90),"—")</f>
        <v>+477.2%</v>
      </c>
      <c r="H8" s="8" t="str">
        <f>IFERROR(_xlfn.XLOOKUP(C8,'DONNÉES BRUTES'!A$3:A$90,'DONNÉES BRUTES'!N$3:N$90),"—")</f>
        <v>20.4%</v>
      </c>
      <c r="I8" s="68">
        <f>IFERROR(_xlfn.XLOOKUP(C8,'DONNÉES BRUTES'!A$3:A$90,'DONNÉES BRUTES'!AB$3:AB$90),"—")</f>
        <v>77</v>
      </c>
      <c r="J8" s="68">
        <f>IFERROR(_xlfn.XLOOKUP(C8,'DONNÉES BRUTES'!A$3:A$90,'DONNÉES BRUTES'!Y$3:Y$90),"—")</f>
        <v>99</v>
      </c>
      <c r="K8" s="8" t="str">
        <f>IFERROR(_xlfn.XLOOKUP(C8,'DONNÉES BRUTES'!A$3:A$90,'DONNÉES BRUTES'!AC$3:AC$90),"—")</f>
        <v>2026-05-06</v>
      </c>
      <c r="L8" s="8" t="str">
        <f>IFERROR(_xlfn.XLOOKUP(C8,'DONNÉES BRUTES'!A$3:A$90,'DONNÉES BRUTES'!AD$3:AD$90),"—")</f>
        <v>Surpondérer</v>
      </c>
      <c r="N8" t="s">
        <v>128</v>
      </c>
      <c r="O8">
        <v>93</v>
      </c>
      <c r="Q8" t="s">
        <v>128</v>
      </c>
      <c r="R8">
        <v>199</v>
      </c>
      <c r="T8" t="s">
        <v>128</v>
      </c>
      <c r="U8">
        <v>23.9</v>
      </c>
      <c r="W8">
        <v>93</v>
      </c>
      <c r="X8">
        <v>68</v>
      </c>
    </row>
    <row r="9" spans="2:24" ht="13.9" customHeight="1" x14ac:dyDescent="0.25">
      <c r="B9">
        <v>3</v>
      </c>
      <c r="C9" t="str">
        <f>IFERROR(_xlfn.XLOOKUP(LARGE('DONNÉES BRUTES'!AA$3:AA$90,3),'DONNÉES BRUTES'!AA$3:AA$90,'DONNÉES BRUTES'!A$3:A$90),"—")</f>
        <v>CIEN</v>
      </c>
      <c r="D9" t="str">
        <f>IFERROR(_xlfn.XLOOKUP(C9,'DONNÉES BRUTES'!A$3:A$90,'DONNÉES BRUTES'!B$3:B$90),"—")</f>
        <v>Ciena Corporation</v>
      </c>
      <c r="F9" t="str">
        <f>IFERROR(_xlfn.XLOOKUP(C9,'DONNÉES BRUTES'!A$3:A$90,'DONNÉES BRUTES'!AA$3:AA$90)&amp;"/100","—")</f>
        <v>98/100</v>
      </c>
      <c r="G9" t="str">
        <f>IFERROR(_xlfn.XLOOKUP(C9,'DONNÉES BRUTES'!A$3:A$90,'DONNÉES BRUTES'!W$3:W$90),"—")</f>
        <v>+454.6%</v>
      </c>
      <c r="H9" t="str">
        <f>IFERROR(_xlfn.XLOOKUP(C9,'DONNÉES BRUTES'!A$3:A$90,'DONNÉES BRUTES'!N$3:N$90),"—")</f>
        <v>8.1%</v>
      </c>
      <c r="I9" s="67">
        <f>IFERROR(_xlfn.XLOOKUP(C9,'DONNÉES BRUTES'!A$3:A$90,'DONNÉES BRUTES'!AB$3:AB$90),"—")</f>
        <v>59</v>
      </c>
      <c r="J9" s="67">
        <f>IFERROR(_xlfn.XLOOKUP(C9,'DONNÉES BRUTES'!A$3:A$90,'DONNÉES BRUTES'!Y$3:Y$90),"—")</f>
        <v>59</v>
      </c>
      <c r="K9" t="str">
        <f>IFERROR(_xlfn.XLOOKUP(C9,'DONNÉES BRUTES'!A$3:A$90,'DONNÉES BRUTES'!AC$3:AC$90),"—")</f>
        <v>2026-06-04</v>
      </c>
      <c r="L9" t="str">
        <f>IFERROR(_xlfn.XLOOKUP(C9,'DONNÉES BRUTES'!A$3:A$90,'DONNÉES BRUTES'!AD$3:AD$90),"—")</f>
        <v>Neutre</v>
      </c>
      <c r="N9" t="s">
        <v>78</v>
      </c>
      <c r="O9">
        <v>92</v>
      </c>
      <c r="Q9" t="s">
        <v>78</v>
      </c>
      <c r="R9">
        <v>172</v>
      </c>
      <c r="T9" t="s">
        <v>78</v>
      </c>
      <c r="U9">
        <v>35.4</v>
      </c>
      <c r="W9">
        <v>92</v>
      </c>
      <c r="X9">
        <v>77</v>
      </c>
    </row>
    <row r="10" spans="2:24" ht="13.9" customHeight="1" x14ac:dyDescent="0.25">
      <c r="B10" s="8">
        <v>4</v>
      </c>
      <c r="C10" s="8" t="str">
        <f>IFERROR(_xlfn.XLOOKUP(LARGE('DONNÉES BRUTES'!AA$3:AA$90,4),'DONNÉES BRUTES'!AA$3:AA$90,'DONNÉES BRUTES'!A$3:A$90),"—")</f>
        <v>TER</v>
      </c>
      <c r="D10" s="8" t="str">
        <f>IFERROR(_xlfn.XLOOKUP(C10,'DONNÉES BRUTES'!A$3:A$90,'DONNÉES BRUTES'!B$3:B$90),"—")</f>
        <v>Teradyne, Inc.</v>
      </c>
      <c r="E10" s="8"/>
      <c r="F10" s="8" t="str">
        <f>IFERROR(_xlfn.XLOOKUP(C10,'DONNÉES BRUTES'!A$3:A$90,'DONNÉES BRUTES'!AA$3:AA$90)&amp;"/100","—")</f>
        <v>97/100</v>
      </c>
      <c r="G10" s="8" t="str">
        <f>IFERROR(_xlfn.XLOOKUP(C10,'DONNÉES BRUTES'!A$3:A$90,'DONNÉES BRUTES'!W$3:W$90),"—")</f>
        <v>+292.0%</v>
      </c>
      <c r="H10" s="8" t="str">
        <f>IFERROR(_xlfn.XLOOKUP(C10,'DONNÉES BRUTES'!A$3:A$90,'DONNÉES BRUTES'!N$3:N$90),"—")</f>
        <v>24.7%</v>
      </c>
      <c r="I10" s="68">
        <f>IFERROR(_xlfn.XLOOKUP(C10,'DONNÉES BRUTES'!A$3:A$90,'DONNÉES BRUTES'!AB$3:AB$90),"—")</f>
        <v>66</v>
      </c>
      <c r="J10" s="68">
        <f>IFERROR(_xlfn.XLOOKUP(C10,'DONNÉES BRUTES'!A$3:A$90,'DONNÉES BRUTES'!Y$3:Y$90),"—")</f>
        <v>47</v>
      </c>
      <c r="K10" s="8" t="str">
        <f>IFERROR(_xlfn.XLOOKUP(C10,'DONNÉES BRUTES'!A$3:A$90,'DONNÉES BRUTES'!AC$3:AC$90),"—")</f>
        <v>2026-04-29</v>
      </c>
      <c r="L10" s="8" t="str">
        <f>IFERROR(_xlfn.XLOOKUP(C10,'DONNÉES BRUTES'!A$3:A$90,'DONNÉES BRUTES'!AD$3:AD$90),"—")</f>
        <v>Neutre</v>
      </c>
      <c r="N10" t="s">
        <v>3</v>
      </c>
      <c r="O10">
        <v>91</v>
      </c>
      <c r="Q10" t="s">
        <v>3</v>
      </c>
      <c r="R10">
        <v>152</v>
      </c>
      <c r="T10" t="s">
        <v>3</v>
      </c>
      <c r="U10">
        <v>27.2</v>
      </c>
      <c r="W10">
        <v>91</v>
      </c>
      <c r="X10">
        <v>67</v>
      </c>
    </row>
    <row r="11" spans="2:24" ht="13.9" customHeight="1" x14ac:dyDescent="0.25">
      <c r="B11">
        <v>5</v>
      </c>
      <c r="C11" t="str">
        <f>IFERROR(_xlfn.XLOOKUP(LARGE('DONNÉES BRUTES'!AA$3:AA$90,5),'DONNÉES BRUTES'!AA$3:AA$90,'DONNÉES BRUTES'!A$3:A$90),"—")</f>
        <v>MU</v>
      </c>
      <c r="D11" t="str">
        <f>IFERROR(_xlfn.XLOOKUP(C11,'DONNÉES BRUTES'!A$3:A$90,'DONNÉES BRUTES'!B$3:B$90),"—")</f>
        <v>Micron Technology, Inc.</v>
      </c>
      <c r="F11" t="str">
        <f>IFERROR(_xlfn.XLOOKUP(C11,'DONNÉES BRUTES'!A$3:A$90,'DONNÉES BRUTES'!AA$3:AA$90)&amp;"/100","—")</f>
        <v>95/100</v>
      </c>
      <c r="G11" t="str">
        <f>IFERROR(_xlfn.XLOOKUP(C11,'DONNÉES BRUTES'!A$3:A$90,'DONNÉES BRUTES'!W$3:W$90),"—")</f>
        <v>+283.3%</v>
      </c>
      <c r="H11" t="str">
        <f>IFERROR(_xlfn.XLOOKUP(C11,'DONNÉES BRUTES'!A$3:A$90,'DONNÉES BRUTES'!N$3:N$90),"—")</f>
        <v>49.4%</v>
      </c>
      <c r="I11" s="67">
        <f>IFERROR(_xlfn.XLOOKUP(C11,'DONNÉES BRUTES'!A$3:A$90,'DONNÉES BRUTES'!AB$3:AB$90),"—")</f>
        <v>78</v>
      </c>
      <c r="J11" s="67">
        <f>IFERROR(_xlfn.XLOOKUP(C11,'DONNÉES BRUTES'!A$3:A$90,'DONNÉES BRUTES'!Y$3:Y$90),"—")</f>
        <v>98</v>
      </c>
      <c r="K11" t="str">
        <f>IFERROR(_xlfn.XLOOKUP(C11,'DONNÉES BRUTES'!A$3:A$90,'DONNÉES BRUTES'!AC$3:AC$90),"—")</f>
        <v>—</v>
      </c>
      <c r="L11" t="str">
        <f>IFERROR(_xlfn.XLOOKUP(C11,'DONNÉES BRUTES'!A$3:A$90,'DONNÉES BRUTES'!AD$3:AD$90),"—")</f>
        <v>Surpondérer</v>
      </c>
      <c r="N11" t="s">
        <v>214</v>
      </c>
      <c r="O11">
        <v>90</v>
      </c>
      <c r="Q11" t="s">
        <v>214</v>
      </c>
      <c r="R11">
        <v>125</v>
      </c>
      <c r="T11" t="s">
        <v>214</v>
      </c>
      <c r="U11">
        <v>35.200000000000003</v>
      </c>
      <c r="W11">
        <v>90</v>
      </c>
      <c r="X11">
        <v>60</v>
      </c>
    </row>
    <row r="12" spans="2:24" ht="13.9" customHeight="1" x14ac:dyDescent="0.25">
      <c r="B12" s="8">
        <v>6</v>
      </c>
      <c r="C12" s="8" t="str">
        <f>IFERROR(_xlfn.XLOOKUP(LARGE('DONNÉES BRUTES'!AA$3:AA$90,6),'DONNÉES BRUTES'!AA$3:AA$90,'DONNÉES BRUTES'!A$3:A$90),"—")</f>
        <v>STX</v>
      </c>
      <c r="D12" s="8" t="str">
        <f>IFERROR(_xlfn.XLOOKUP(C12,'DONNÉES BRUTES'!A$3:A$90,'DONNÉES BRUTES'!B$3:B$90),"—")</f>
        <v>Seagate Technology Holdings plc</v>
      </c>
      <c r="E12" s="8"/>
      <c r="F12" s="8" t="str">
        <f>IFERROR(_xlfn.XLOOKUP(C12,'DONNÉES BRUTES'!A$3:A$90,'DONNÉES BRUTES'!AA$3:AA$90)&amp;"/100","—")</f>
        <v>94/100</v>
      </c>
      <c r="G12" s="8" t="str">
        <f>IFERROR(_xlfn.XLOOKUP(C12,'DONNÉES BRUTES'!A$3:A$90,'DONNÉES BRUTES'!W$3:W$90),"—")</f>
        <v>+264.4%</v>
      </c>
      <c r="H12" s="8" t="str">
        <f>IFERROR(_xlfn.XLOOKUP(C12,'DONNÉES BRUTES'!A$3:A$90,'DONNÉES BRUTES'!N$3:N$90),"—")</f>
        <v>22.9%</v>
      </c>
      <c r="I12" s="68">
        <f>IFERROR(_xlfn.XLOOKUP(C12,'DONNÉES BRUTES'!A$3:A$90,'DONNÉES BRUTES'!AB$3:AB$90),"—")</f>
        <v>73</v>
      </c>
      <c r="J12" s="68">
        <f>IFERROR(_xlfn.XLOOKUP(C12,'DONNÉES BRUTES'!A$3:A$90,'DONNÉES BRUTES'!Y$3:Y$90),"—")</f>
        <v>97</v>
      </c>
      <c r="K12" s="8" t="str">
        <f>IFERROR(_xlfn.XLOOKUP(C12,'DONNÉES BRUTES'!A$3:A$90,'DONNÉES BRUTES'!AC$3:AC$90),"—")</f>
        <v>2026-05-05</v>
      </c>
      <c r="L12" s="8" t="str">
        <f>IFERROR(_xlfn.XLOOKUP(C12,'DONNÉES BRUTES'!A$3:A$90,'DONNÉES BRUTES'!AD$3:AD$90),"—")</f>
        <v>Neutre</v>
      </c>
      <c r="N12" t="s">
        <v>54</v>
      </c>
      <c r="O12">
        <v>88</v>
      </c>
      <c r="Q12" t="s">
        <v>54</v>
      </c>
      <c r="R12">
        <v>102</v>
      </c>
      <c r="T12" t="s">
        <v>54</v>
      </c>
      <c r="U12">
        <v>43.9</v>
      </c>
      <c r="W12">
        <v>88</v>
      </c>
      <c r="X12">
        <v>84</v>
      </c>
    </row>
    <row r="13" spans="2:24" ht="13.9" customHeight="1" x14ac:dyDescent="0.25">
      <c r="B13">
        <v>7</v>
      </c>
      <c r="C13" t="str">
        <f>IFERROR(_xlfn.XLOOKUP(LARGE('DONNÉES BRUTES'!AA$3:AA$90,7),'DONNÉES BRUTES'!AA$3:AA$90,'DONNÉES BRUTES'!A$3:A$90),"—")</f>
        <v>GLW</v>
      </c>
      <c r="D13" t="str">
        <f>IFERROR(_xlfn.XLOOKUP(C13,'DONNÉES BRUTES'!A$3:A$90,'DONNÉES BRUTES'!B$3:B$90),"—")</f>
        <v>Corning Incorporated</v>
      </c>
      <c r="F13" t="str">
        <f>IFERROR(_xlfn.XLOOKUP(C13,'DONNÉES BRUTES'!A$3:A$90,'DONNÉES BRUTES'!AA$3:AA$90)&amp;"/100","—")</f>
        <v>93/100</v>
      </c>
      <c r="G13" t="str">
        <f>IFERROR(_xlfn.XLOOKUP(C13,'DONNÉES BRUTES'!A$3:A$90,'DONNÉES BRUTES'!W$3:W$90),"—")</f>
        <v>+199.2%</v>
      </c>
      <c r="H13" t="str">
        <f>IFERROR(_xlfn.XLOOKUP(C13,'DONNÉES BRUTES'!A$3:A$90,'DONNÉES BRUTES'!N$3:N$90),"—")</f>
        <v>23.9%</v>
      </c>
      <c r="I13" s="67">
        <f>IFERROR(_xlfn.XLOOKUP(C13,'DONNÉES BRUTES'!A$3:A$90,'DONNÉES BRUTES'!AB$3:AB$90),"—")</f>
        <v>68</v>
      </c>
      <c r="J13" s="67">
        <f>IFERROR(_xlfn.XLOOKUP(C13,'DONNÉES BRUTES'!A$3:A$90,'DONNÉES BRUTES'!Y$3:Y$90),"—")</f>
        <v>88</v>
      </c>
      <c r="K13" t="str">
        <f>IFERROR(_xlfn.XLOOKUP(C13,'DONNÉES BRUTES'!A$3:A$90,'DONNÉES BRUTES'!AC$3:AC$90),"—")</f>
        <v>2026-04-28</v>
      </c>
      <c r="L13" t="str">
        <f>IFERROR(_xlfn.XLOOKUP(C13,'DONNÉES BRUTES'!A$3:A$90,'DONNÉES BRUTES'!AD$3:AD$90),"—")</f>
        <v>Neutre</v>
      </c>
      <c r="N13" t="s">
        <v>92</v>
      </c>
      <c r="O13">
        <v>87</v>
      </c>
      <c r="Q13" t="s">
        <v>92</v>
      </c>
      <c r="R13">
        <v>93</v>
      </c>
      <c r="T13" t="s">
        <v>92</v>
      </c>
      <c r="U13">
        <v>21</v>
      </c>
      <c r="W13">
        <v>87</v>
      </c>
      <c r="X13">
        <v>73</v>
      </c>
    </row>
    <row r="14" spans="2:24" ht="13.9" customHeight="1" x14ac:dyDescent="0.25">
      <c r="B14" s="8">
        <v>8</v>
      </c>
      <c r="C14" s="8" t="str">
        <f>IFERROR(_xlfn.XLOOKUP(LARGE('DONNÉES BRUTES'!AA$3:AA$90,8),'DONNÉES BRUTES'!AA$3:AA$90,'DONNÉES BRUTES'!A$3:A$90),"—")</f>
        <v>LRCX</v>
      </c>
      <c r="D14" s="8" t="str">
        <f>IFERROR(_xlfn.XLOOKUP(C14,'DONNÉES BRUTES'!A$3:A$90,'DONNÉES BRUTES'!B$3:B$90),"—")</f>
        <v>Lam Research Corporation</v>
      </c>
      <c r="E14" s="8"/>
      <c r="F14" s="8" t="str">
        <f>IFERROR(_xlfn.XLOOKUP(C14,'DONNÉES BRUTES'!A$3:A$90,'DONNÉES BRUTES'!AA$3:AA$90)&amp;"/100","—")</f>
        <v>92/100</v>
      </c>
      <c r="G14" s="8" t="str">
        <f>IFERROR(_xlfn.XLOOKUP(C14,'DONNÉES BRUTES'!A$3:A$90,'DONNÉES BRUTES'!W$3:W$90),"—")</f>
        <v>+171.9%</v>
      </c>
      <c r="H14" s="8" t="str">
        <f>IFERROR(_xlfn.XLOOKUP(C14,'DONNÉES BRUTES'!A$3:A$90,'DONNÉES BRUTES'!N$3:N$90),"—")</f>
        <v>35.4%</v>
      </c>
      <c r="I14" s="68">
        <f>IFERROR(_xlfn.XLOOKUP(C14,'DONNÉES BRUTES'!A$3:A$90,'DONNÉES BRUTES'!AB$3:AB$90),"—")</f>
        <v>77</v>
      </c>
      <c r="J14" s="68">
        <f>IFERROR(_xlfn.XLOOKUP(C14,'DONNÉES BRUTES'!A$3:A$90,'DONNÉES BRUTES'!Y$3:Y$90),"—")</f>
        <v>83</v>
      </c>
      <c r="K14" s="8" t="str">
        <f>IFERROR(_xlfn.XLOOKUP(C14,'DONNÉES BRUTES'!A$3:A$90,'DONNÉES BRUTES'!AC$3:AC$90),"—")</f>
        <v>2026-04-22</v>
      </c>
      <c r="L14" s="8" t="str">
        <f>IFERROR(_xlfn.XLOOKUP(C14,'DONNÉES BRUTES'!A$3:A$90,'DONNÉES BRUTES'!AD$3:AD$90),"—")</f>
        <v>Surpondérer</v>
      </c>
      <c r="N14" t="s">
        <v>218</v>
      </c>
      <c r="O14">
        <v>86</v>
      </c>
      <c r="Q14" t="s">
        <v>218</v>
      </c>
      <c r="R14">
        <v>85</v>
      </c>
      <c r="T14" t="s">
        <v>218</v>
      </c>
      <c r="U14">
        <v>27.1</v>
      </c>
      <c r="W14">
        <v>86</v>
      </c>
      <c r="X14">
        <v>67</v>
      </c>
    </row>
    <row r="15" spans="2:24" ht="13.9" customHeight="1" x14ac:dyDescent="0.25">
      <c r="B15">
        <v>9</v>
      </c>
      <c r="C15" t="str">
        <f>IFERROR(_xlfn.XLOOKUP(LARGE('DONNÉES BRUTES'!AA$3:AA$90,9),'DONNÉES BRUTES'!AA$3:AA$90,'DONNÉES BRUTES'!A$3:A$90),"—")</f>
        <v>INTC</v>
      </c>
      <c r="D15" t="str">
        <f>IFERROR(_xlfn.XLOOKUP(C15,'DONNÉES BRUTES'!A$3:A$90,'DONNÉES BRUTES'!B$3:B$90),"—")</f>
        <v>Intel Corporation</v>
      </c>
      <c r="F15" t="str">
        <f>IFERROR(_xlfn.XLOOKUP(C15,'DONNÉES BRUTES'!A$3:A$90,'DONNÉES BRUTES'!AA$3:AA$90)&amp;"/100","—")</f>
        <v>91/100</v>
      </c>
      <c r="G15" t="str">
        <f>IFERROR(_xlfn.XLOOKUP(C15,'DONNÉES BRUTES'!A$3:A$90,'DONNÉES BRUTES'!W$3:W$90),"—")</f>
        <v>+151.5%</v>
      </c>
      <c r="H15" t="str">
        <f>IFERROR(_xlfn.XLOOKUP(C15,'DONNÉES BRUTES'!A$3:A$90,'DONNÉES BRUTES'!N$3:N$90),"—")</f>
        <v>27.2%</v>
      </c>
      <c r="I15" s="67">
        <f>IFERROR(_xlfn.XLOOKUP(C15,'DONNÉES BRUTES'!A$3:A$90,'DONNÉES BRUTES'!AB$3:AB$90),"—")</f>
        <v>67</v>
      </c>
      <c r="J15" s="67">
        <f>IFERROR(_xlfn.XLOOKUP(C15,'DONNÉES BRUTES'!A$3:A$90,'DONNÉES BRUTES'!Y$3:Y$90),"—")</f>
        <v>100</v>
      </c>
      <c r="K15" t="str">
        <f>IFERROR(_xlfn.XLOOKUP(C15,'DONNÉES BRUTES'!A$3:A$90,'DONNÉES BRUTES'!AC$3:AC$90),"—")</f>
        <v>2026-04-23</v>
      </c>
      <c r="L15" t="str">
        <f>IFERROR(_xlfn.XLOOKUP(C15,'DONNÉES BRUTES'!A$3:A$90,'DONNÉES BRUTES'!AD$3:AD$90),"—")</f>
        <v>Neutre</v>
      </c>
      <c r="N15" t="s">
        <v>751</v>
      </c>
      <c r="O15">
        <v>85</v>
      </c>
      <c r="Q15" t="s">
        <v>751</v>
      </c>
      <c r="R15">
        <v>79</v>
      </c>
      <c r="T15" t="s">
        <v>222</v>
      </c>
      <c r="U15">
        <v>38.4</v>
      </c>
      <c r="W15">
        <v>85</v>
      </c>
      <c r="X15">
        <v>72</v>
      </c>
    </row>
    <row r="16" spans="2:24" ht="13.9" customHeight="1" x14ac:dyDescent="0.25">
      <c r="B16" s="8">
        <v>10</v>
      </c>
      <c r="C16" s="8" t="str">
        <f>IFERROR(_xlfn.XLOOKUP(LARGE('DONNÉES BRUTES'!AA$3:AA$90,10),'DONNÉES BRUTES'!AA$3:AA$90,'DONNÉES BRUTES'!A$3:A$90),"—")</f>
        <v>AMAT</v>
      </c>
      <c r="D16" s="8" t="str">
        <f>IFERROR(_xlfn.XLOOKUP(C16,'DONNÉES BRUTES'!A$3:A$90,'DONNÉES BRUTES'!B$3:B$90),"—")</f>
        <v>Applied Materials, Inc.</v>
      </c>
      <c r="E16" s="8"/>
      <c r="F16" s="8" t="str">
        <f>IFERROR(_xlfn.XLOOKUP(C16,'DONNÉES BRUTES'!A$3:A$90,'DONNÉES BRUTES'!AA$3:AA$90)&amp;"/100","—")</f>
        <v>90/100</v>
      </c>
      <c r="G16" s="8" t="str">
        <f>IFERROR(_xlfn.XLOOKUP(C16,'DONNÉES BRUTES'!A$3:A$90,'DONNÉES BRUTES'!W$3:W$90),"—")</f>
        <v>+124.8%</v>
      </c>
      <c r="H16" s="8" t="str">
        <f>IFERROR(_xlfn.XLOOKUP(C16,'DONNÉES BRUTES'!A$3:A$90,'DONNÉES BRUTES'!N$3:N$90),"—")</f>
        <v>35.2%</v>
      </c>
      <c r="I16" s="68">
        <f>IFERROR(_xlfn.XLOOKUP(C16,'DONNÉES BRUTES'!A$3:A$90,'DONNÉES BRUTES'!AB$3:AB$90),"—")</f>
        <v>60</v>
      </c>
      <c r="J16" s="68">
        <f>IFERROR(_xlfn.XLOOKUP(C16,'DONNÉES BRUTES'!A$3:A$90,'DONNÉES BRUTES'!Y$3:Y$90),"—")</f>
        <v>38</v>
      </c>
      <c r="K16" s="8" t="str">
        <f>IFERROR(_xlfn.XLOOKUP(C16,'DONNÉES BRUTES'!A$3:A$90,'DONNÉES BRUTES'!AC$3:AC$90),"—")</f>
        <v>2026-05-14</v>
      </c>
      <c r="L16" s="8" t="str">
        <f>IFERROR(_xlfn.XLOOKUP(C16,'DONNÉES BRUTES'!A$3:A$90,'DONNÉES BRUTES'!AD$3:AD$90),"—")</f>
        <v>Neutre</v>
      </c>
      <c r="N16" t="s">
        <v>72</v>
      </c>
      <c r="O16">
        <v>84</v>
      </c>
      <c r="Q16" t="s">
        <v>72</v>
      </c>
      <c r="R16">
        <v>69</v>
      </c>
      <c r="T16" t="s">
        <v>72</v>
      </c>
      <c r="U16">
        <v>28</v>
      </c>
      <c r="W16">
        <v>84</v>
      </c>
      <c r="X16">
        <v>78</v>
      </c>
    </row>
    <row r="17" spans="2:24" ht="13.9" customHeight="1" x14ac:dyDescent="0.25">
      <c r="B17">
        <v>11</v>
      </c>
      <c r="C17" t="str">
        <f>IFERROR(_xlfn.XLOOKUP(LARGE('DONNÉES BRUTES'!AA$3:AA$90,11),'DONNÉES BRUTES'!AA$3:AA$90,'DONNÉES BRUTES'!A$3:A$90),"—")</f>
        <v>KLAC</v>
      </c>
      <c r="D17" t="str">
        <f>IFERROR(_xlfn.XLOOKUP(C17,'DONNÉES BRUTES'!A$3:A$90,'DONNÉES BRUTES'!B$3:B$90),"—")</f>
        <v>KLA Corporation</v>
      </c>
      <c r="F17" t="str">
        <f>IFERROR(_xlfn.XLOOKUP(C17,'DONNÉES BRUTES'!A$3:A$90,'DONNÉES BRUTES'!AA$3:AA$90)&amp;"/100","—")</f>
        <v>88/100</v>
      </c>
      <c r="G17" t="str">
        <f>IFERROR(_xlfn.XLOOKUP(C17,'DONNÉES BRUTES'!A$3:A$90,'DONNÉES BRUTES'!W$3:W$90),"—")</f>
        <v>+101.5%</v>
      </c>
      <c r="H17" t="str">
        <f>IFERROR(_xlfn.XLOOKUP(C17,'DONNÉES BRUTES'!A$3:A$90,'DONNÉES BRUTES'!N$3:N$90),"—")</f>
        <v>43.9%</v>
      </c>
      <c r="I17" s="67">
        <f>IFERROR(_xlfn.XLOOKUP(C17,'DONNÉES BRUTES'!A$3:A$90,'DONNÉES BRUTES'!AB$3:AB$90),"—")</f>
        <v>84</v>
      </c>
      <c r="J17" s="67">
        <f>IFERROR(_xlfn.XLOOKUP(C17,'DONNÉES BRUTES'!A$3:A$90,'DONNÉES BRUTES'!Y$3:Y$90),"—")</f>
        <v>85</v>
      </c>
      <c r="K17" t="str">
        <f>IFERROR(_xlfn.XLOOKUP(C17,'DONNÉES BRUTES'!A$3:A$90,'DONNÉES BRUTES'!AC$3:AC$90),"—")</f>
        <v>2026-04-29</v>
      </c>
      <c r="L17" t="str">
        <f>IFERROR(_xlfn.XLOOKUP(C17,'DONNÉES BRUTES'!A$3:A$90,'DONNÉES BRUTES'!AD$3:AD$90),"—")</f>
        <v>Surpondérer</v>
      </c>
      <c r="N17" t="s">
        <v>755</v>
      </c>
      <c r="O17">
        <v>83</v>
      </c>
      <c r="Q17" t="s">
        <v>755</v>
      </c>
      <c r="R17">
        <v>0</v>
      </c>
      <c r="T17" t="s">
        <v>268</v>
      </c>
      <c r="U17">
        <v>11.3</v>
      </c>
      <c r="W17">
        <v>83</v>
      </c>
      <c r="X17">
        <v>39</v>
      </c>
    </row>
    <row r="18" spans="2:24" ht="13.9" customHeight="1" x14ac:dyDescent="0.25">
      <c r="B18" s="8">
        <v>12</v>
      </c>
      <c r="C18" s="8" t="str">
        <f>IFERROR(_xlfn.XLOOKUP(LARGE('DONNÉES BRUTES'!AA$3:AA$90,12),'DONNÉES BRUTES'!AA$3:AA$90,'DONNÉES BRUTES'!A$3:A$90),"—")</f>
        <v>AMD</v>
      </c>
      <c r="D18" s="8" t="str">
        <f>IFERROR(_xlfn.XLOOKUP(C18,'DONNÉES BRUTES'!A$3:A$90,'DONNÉES BRUTES'!B$3:B$90),"—")</f>
        <v>Advanced Micro Devices, Inc.</v>
      </c>
      <c r="E18" s="8"/>
      <c r="F18" s="8" t="str">
        <f>IFERROR(_xlfn.XLOOKUP(C18,'DONNÉES BRUTES'!A$3:A$90,'DONNÉES BRUTES'!AA$3:AA$90)&amp;"/100","—")</f>
        <v>87/100</v>
      </c>
      <c r="G18" s="8" t="str">
        <f>IFERROR(_xlfn.XLOOKUP(C18,'DONNÉES BRUTES'!A$3:A$90,'DONNÉES BRUTES'!W$3:W$90),"—")</f>
        <v>+92.9%</v>
      </c>
      <c r="H18" s="8" t="str">
        <f>IFERROR(_xlfn.XLOOKUP(C18,'DONNÉES BRUTES'!A$3:A$90,'DONNÉES BRUTES'!N$3:N$90),"—")</f>
        <v>21.0%</v>
      </c>
      <c r="I18" s="68">
        <f>IFERROR(_xlfn.XLOOKUP(C18,'DONNÉES BRUTES'!A$3:A$90,'DONNÉES BRUTES'!AB$3:AB$90),"—")</f>
        <v>73</v>
      </c>
      <c r="J18" s="68">
        <f>IFERROR(_xlfn.XLOOKUP(C18,'DONNÉES BRUTES'!A$3:A$90,'DONNÉES BRUTES'!Y$3:Y$90),"—")</f>
        <v>92</v>
      </c>
      <c r="K18" s="8" t="str">
        <f>IFERROR(_xlfn.XLOOKUP(C18,'DONNÉES BRUTES'!A$3:A$90,'DONNÉES BRUTES'!AC$3:AC$90),"—")</f>
        <v>2026-05-05</v>
      </c>
      <c r="L18" s="8" t="str">
        <f>IFERROR(_xlfn.XLOOKUP(C18,'DONNÉES BRUTES'!A$3:A$90,'DONNÉES BRUTES'!AD$3:AD$90),"—")</f>
        <v>Neutre</v>
      </c>
      <c r="N18" t="s">
        <v>284</v>
      </c>
      <c r="O18">
        <v>81</v>
      </c>
      <c r="Q18" t="s">
        <v>284</v>
      </c>
      <c r="R18">
        <v>0</v>
      </c>
      <c r="T18" t="s">
        <v>284</v>
      </c>
      <c r="U18">
        <v>5.7</v>
      </c>
      <c r="W18">
        <v>81</v>
      </c>
      <c r="X18">
        <v>31</v>
      </c>
    </row>
    <row r="19" spans="2:24" ht="13.9" customHeight="1" x14ac:dyDescent="0.25">
      <c r="B19">
        <v>13</v>
      </c>
      <c r="C19" t="str">
        <f>IFERROR(_xlfn.XLOOKUP(LARGE('DONNÉES BRUTES'!AA$3:AA$90,13),'DONNÉES BRUTES'!AA$3:AA$90,'DONNÉES BRUTES'!A$3:A$90),"—")</f>
        <v>KEYS</v>
      </c>
      <c r="D19" t="str">
        <f>IFERROR(_xlfn.XLOOKUP(C19,'DONNÉES BRUTES'!A$3:A$90,'DONNÉES BRUTES'!B$3:B$90),"—")</f>
        <v>Keysight Technologies, Inc.</v>
      </c>
      <c r="F19" t="str">
        <f>IFERROR(_xlfn.XLOOKUP(C19,'DONNÉES BRUTES'!A$3:A$90,'DONNÉES BRUTES'!AA$3:AA$90)&amp;"/100","—")</f>
        <v>86/100</v>
      </c>
      <c r="G19" t="str">
        <f>IFERROR(_xlfn.XLOOKUP(C19,'DONNÉES BRUTES'!A$3:A$90,'DONNÉES BRUTES'!W$3:W$90),"—")</f>
        <v>+84.7%</v>
      </c>
      <c r="H19" t="str">
        <f>IFERROR(_xlfn.XLOOKUP(C19,'DONNÉES BRUTES'!A$3:A$90,'DONNÉES BRUTES'!N$3:N$90),"—")</f>
        <v>27.1%</v>
      </c>
      <c r="I19" s="67">
        <f>IFERROR(_xlfn.XLOOKUP(C19,'DONNÉES BRUTES'!A$3:A$90,'DONNÉES BRUTES'!AB$3:AB$90),"—")</f>
        <v>67</v>
      </c>
      <c r="J19" s="67">
        <f>IFERROR(_xlfn.XLOOKUP(C19,'DONNÉES BRUTES'!A$3:A$90,'DONNÉES BRUTES'!Y$3:Y$90),"—")</f>
        <v>58</v>
      </c>
      <c r="K19" t="str">
        <f>IFERROR(_xlfn.XLOOKUP(C19,'DONNÉES BRUTES'!A$3:A$90,'DONNÉES BRUTES'!AC$3:AC$90),"—")</f>
        <v>2026-05-19</v>
      </c>
      <c r="L19" t="str">
        <f>IFERROR(_xlfn.XLOOKUP(C19,'DONNÉES BRUTES'!A$3:A$90,'DONNÉES BRUTES'!AD$3:AD$90),"—")</f>
        <v>Neutre</v>
      </c>
      <c r="N19" t="s">
        <v>253</v>
      </c>
      <c r="O19">
        <v>79</v>
      </c>
      <c r="Q19" t="s">
        <v>253</v>
      </c>
      <c r="R19">
        <v>0</v>
      </c>
      <c r="T19" t="s">
        <v>253</v>
      </c>
      <c r="U19">
        <v>31.9</v>
      </c>
      <c r="W19">
        <v>79</v>
      </c>
      <c r="X19">
        <v>52</v>
      </c>
    </row>
    <row r="20" spans="2:24" ht="13.9" customHeight="1" x14ac:dyDescent="0.25">
      <c r="B20" s="8">
        <v>14</v>
      </c>
      <c r="C20" s="8" t="str">
        <f>IFERROR(_xlfn.XLOOKUP(LARGE('DONNÉES BRUTES'!AA$3:AA$90,14),'DONNÉES BRUTES'!AA$3:AA$90,'DONNÉES BRUTES'!A$3:A$90),"—")</f>
        <v>ASML.AS</v>
      </c>
      <c r="D20" s="8" t="str">
        <f>IFERROR(_xlfn.XLOOKUP(C20,'DONNÉES BRUTES'!A$3:A$90,'DONNÉES BRUTES'!B$3:B$90),"—")</f>
        <v>ASML Holding N.V.</v>
      </c>
      <c r="E20" s="8"/>
      <c r="F20" s="8" t="str">
        <f>IFERROR(_xlfn.XLOOKUP(C20,'DONNÉES BRUTES'!A$3:A$90,'DONNÉES BRUTES'!AA$3:AA$90)&amp;"/100","—")</f>
        <v>85/100</v>
      </c>
      <c r="G20" s="8" t="str">
        <f>IFERROR(_xlfn.XLOOKUP(C20,'DONNÉES BRUTES'!A$3:A$90,'DONNÉES BRUTES'!W$3:W$90),"—")</f>
        <v>+78.6%</v>
      </c>
      <c r="H20" s="8" t="str">
        <f>IFERROR(_xlfn.XLOOKUP(C20,'DONNÉES BRUTES'!A$3:A$90,'DONNÉES BRUTES'!N$3:N$90),"—")</f>
        <v>38.4%</v>
      </c>
      <c r="I20" s="68">
        <f>IFERROR(_xlfn.XLOOKUP(C20,'DONNÉES BRUTES'!A$3:A$90,'DONNÉES BRUTES'!AB$3:AB$90),"—")</f>
        <v>72</v>
      </c>
      <c r="J20" s="68">
        <f>IFERROR(_xlfn.XLOOKUP(C20,'DONNÉES BRUTES'!A$3:A$90,'DONNÉES BRUTES'!Y$3:Y$90),"—")</f>
        <v>70</v>
      </c>
      <c r="K20" s="8" t="str">
        <f>IFERROR(_xlfn.XLOOKUP(C20,'DONNÉES BRUTES'!A$3:A$90,'DONNÉES BRUTES'!AC$3:AC$90),"—")</f>
        <v>2026-04-15</v>
      </c>
      <c r="L20" s="8" t="str">
        <f>IFERROR(_xlfn.XLOOKUP(C20,'DONNÉES BRUTES'!A$3:A$90,'DONNÉES BRUTES'!AD$3:AD$90),"—")</f>
        <v>Neutre</v>
      </c>
      <c r="N20" t="s">
        <v>241</v>
      </c>
      <c r="O20">
        <v>78</v>
      </c>
      <c r="Q20" t="s">
        <v>241</v>
      </c>
      <c r="R20">
        <v>50</v>
      </c>
      <c r="T20" t="s">
        <v>241</v>
      </c>
      <c r="U20">
        <v>45.6</v>
      </c>
      <c r="W20">
        <v>78</v>
      </c>
      <c r="X20">
        <v>71</v>
      </c>
    </row>
    <row r="21" spans="2:24" ht="13.9" customHeight="1" x14ac:dyDescent="0.25">
      <c r="B21">
        <v>15</v>
      </c>
      <c r="C21" t="str">
        <f>IFERROR(_xlfn.XLOOKUP(LARGE('DONNÉES BRUTES'!AA$3:AA$90,15),'DONNÉES BRUTES'!AA$3:AA$90,'DONNÉES BRUTES'!A$3:A$90),"—")</f>
        <v>MPWR</v>
      </c>
      <c r="D21" t="str">
        <f>IFERROR(_xlfn.XLOOKUP(C21,'DONNÉES BRUTES'!A$3:A$90,'DONNÉES BRUTES'!B$3:B$90),"—")</f>
        <v>Monolithic Power Systems, Inc.</v>
      </c>
      <c r="F21" t="str">
        <f>IFERROR(_xlfn.XLOOKUP(C21,'DONNÉES BRUTES'!A$3:A$90,'DONNÉES BRUTES'!AA$3:AA$90)&amp;"/100","—")</f>
        <v>84/100</v>
      </c>
      <c r="G21" t="str">
        <f>IFERROR(_xlfn.XLOOKUP(C21,'DONNÉES BRUTES'!A$3:A$90,'DONNÉES BRUTES'!W$3:W$90),"—")</f>
        <v>+68.7%</v>
      </c>
      <c r="H21" t="str">
        <f>IFERROR(_xlfn.XLOOKUP(C21,'DONNÉES BRUTES'!A$3:A$90,'DONNÉES BRUTES'!N$3:N$90),"—")</f>
        <v>28.0%</v>
      </c>
      <c r="I21" s="67">
        <f>IFERROR(_xlfn.XLOOKUP(C21,'DONNÉES BRUTES'!A$3:A$90,'DONNÉES BRUTES'!AB$3:AB$90),"—")</f>
        <v>78</v>
      </c>
      <c r="J21" s="67">
        <f>IFERROR(_xlfn.XLOOKUP(C21,'DONNÉES BRUTES'!A$3:A$90,'DONNÉES BRUTES'!Y$3:Y$90),"—")</f>
        <v>86</v>
      </c>
      <c r="K21" t="str">
        <f>IFERROR(_xlfn.XLOOKUP(C21,'DONNÉES BRUTES'!A$3:A$90,'DONNÉES BRUTES'!AC$3:AC$90),"—")</f>
        <v>2026-04-30</v>
      </c>
      <c r="L21" t="str">
        <f>IFERROR(_xlfn.XLOOKUP(C21,'DONNÉES BRUTES'!A$3:A$90,'DONNÉES BRUTES'!AD$3:AD$90),"—")</f>
        <v>Surpondérer</v>
      </c>
      <c r="N21" t="s">
        <v>281</v>
      </c>
      <c r="O21">
        <v>77</v>
      </c>
      <c r="Q21" t="s">
        <v>281</v>
      </c>
      <c r="R21">
        <v>0</v>
      </c>
      <c r="T21" t="s">
        <v>281</v>
      </c>
      <c r="U21">
        <v>14.8</v>
      </c>
      <c r="W21">
        <v>77</v>
      </c>
      <c r="X21">
        <v>32</v>
      </c>
    </row>
    <row r="22" spans="2:24" ht="13.9" customHeight="1" x14ac:dyDescent="0.25">
      <c r="B22" s="8">
        <v>16</v>
      </c>
      <c r="C22" s="8" t="str">
        <f>IFERROR(_xlfn.XLOOKUP(LARGE('DONNÉES BRUTES'!AA$3:AA$90,16),'DONNÉES BRUTES'!AA$3:AA$90,'DONNÉES BRUTES'!A$3:A$90),"—")</f>
        <v>NOKIA.HE</v>
      </c>
      <c r="D22" s="8" t="str">
        <f>IFERROR(_xlfn.XLOOKUP(C22,'DONNÉES BRUTES'!A$3:A$90,'DONNÉES BRUTES'!B$3:B$90),"—")</f>
        <v>Nokia Oyj</v>
      </c>
      <c r="E22" s="8"/>
      <c r="F22" s="8" t="str">
        <f>IFERROR(_xlfn.XLOOKUP(C22,'DONNÉES BRUTES'!A$3:A$90,'DONNÉES BRUTES'!AA$3:AA$90)&amp;"/100","—")</f>
        <v>83/100</v>
      </c>
      <c r="G22" s="8" t="str">
        <f>IFERROR(_xlfn.XLOOKUP(C22,'DONNÉES BRUTES'!A$3:A$90,'DONNÉES BRUTES'!W$3:W$90),"—")</f>
        <v>—</v>
      </c>
      <c r="H22" s="70">
        <f>IFERROR(_xlfn.XLOOKUP(C22,'DONNÉES BRUTES'!A$3:A$90,'DONNÉES BRUTES'!N$3:N$90),"—")</f>
        <v>0.113</v>
      </c>
      <c r="I22" s="68">
        <f>IFERROR(_xlfn.XLOOKUP(C22,'DONNÉES BRUTES'!A$3:A$90,'DONNÉES BRUTES'!AB$3:AB$90),"—")</f>
        <v>39</v>
      </c>
      <c r="J22" s="68">
        <f>IFERROR(_xlfn.XLOOKUP(C22,'DONNÉES BRUTES'!A$3:A$90,'DONNÉES BRUTES'!Y$3:Y$90),"—")</f>
        <v>9</v>
      </c>
      <c r="K22" s="8" t="str">
        <f>IFERROR(_xlfn.XLOOKUP(C22,'DONNÉES BRUTES'!A$3:A$90,'DONNÉES BRUTES'!AC$3:AC$90),"—")</f>
        <v>—</v>
      </c>
      <c r="L22" s="8" t="str">
        <f>IFERROR(_xlfn.XLOOKUP(C22,'DONNÉES BRUTES'!A$3:A$90,'DONNÉES BRUTES'!AD$3:AD$90),"—")</f>
        <v>Sous-pondérer</v>
      </c>
    </row>
    <row r="23" spans="2:24" ht="13.9" customHeight="1" x14ac:dyDescent="0.25">
      <c r="B23">
        <v>17</v>
      </c>
      <c r="C23" t="str">
        <f>IFERROR(_xlfn.XLOOKUP(LARGE('DONNÉES BRUTES'!AA$3:AA$90,17),'DONNÉES BRUTES'!AA$3:AA$90,'DONNÉES BRUTES'!A$3:A$90),"—")</f>
        <v>JBL</v>
      </c>
      <c r="D23" t="str">
        <f>IFERROR(_xlfn.XLOOKUP(C23,'DONNÉES BRUTES'!A$3:A$90,'DONNÉES BRUTES'!B$3:B$90),"—")</f>
        <v>Jabil Inc.</v>
      </c>
      <c r="F23" t="str">
        <f>IFERROR(_xlfn.XLOOKUP(C23,'DONNÉES BRUTES'!A$3:A$90,'DONNÉES BRUTES'!AA$3:AA$90)&amp;"/100","—")</f>
        <v>81/100</v>
      </c>
      <c r="G23" t="str">
        <f>IFERROR(_xlfn.XLOOKUP(C23,'DONNÉES BRUTES'!A$3:A$90,'DONNÉES BRUTES'!W$3:W$90),"—")</f>
        <v>—</v>
      </c>
      <c r="H23" s="66">
        <f>IFERROR(_xlfn.XLOOKUP(C23,'DONNÉES BRUTES'!A$3:A$90,'DONNÉES BRUTES'!N$3:N$90),"—")</f>
        <v>5.7000000000000002E-2</v>
      </c>
      <c r="I23" s="67">
        <f>IFERROR(_xlfn.XLOOKUP(C23,'DONNÉES BRUTES'!A$3:A$90,'DONNÉES BRUTES'!AB$3:AB$90),"—")</f>
        <v>31</v>
      </c>
      <c r="J23" s="67">
        <f>IFERROR(_xlfn.XLOOKUP(C23,'DONNÉES BRUTES'!A$3:A$90,'DONNÉES BRUTES'!Y$3:Y$90),"—")</f>
        <v>8</v>
      </c>
      <c r="K23" t="str">
        <f>IFERROR(_xlfn.XLOOKUP(C23,'DONNÉES BRUTES'!A$3:A$90,'DONNÉES BRUTES'!AC$3:AC$90),"—")</f>
        <v>—</v>
      </c>
      <c r="L23" t="str">
        <f>IFERROR(_xlfn.XLOOKUP(C23,'DONNÉES BRUTES'!A$3:A$90,'DONNÉES BRUTES'!AD$3:AD$90),"—")</f>
        <v>Sous-pondérer</v>
      </c>
    </row>
    <row r="24" spans="2:24" ht="13.9" customHeight="1" x14ac:dyDescent="0.25">
      <c r="B24" s="8">
        <v>18</v>
      </c>
      <c r="C24" s="8" t="str">
        <f>IFERROR(_xlfn.XLOOKUP(LARGE('DONNÉES BRUTES'!AA$3:AA$90,18),'DONNÉES BRUTES'!AA$3:AA$90,'DONNÉES BRUTES'!A$3:A$90),"—")</f>
        <v>AKAM</v>
      </c>
      <c r="D24" s="8" t="str">
        <f>IFERROR(_xlfn.XLOOKUP(C24,'DONNÉES BRUTES'!A$3:A$90,'DONNÉES BRUTES'!B$3:B$90),"—")</f>
        <v>Akamai Technologies, Inc.</v>
      </c>
      <c r="E24" s="8"/>
      <c r="F24" s="8" t="str">
        <f>IFERROR(_xlfn.XLOOKUP(C24,'DONNÉES BRUTES'!A$3:A$90,'DONNÉES BRUTES'!AA$3:AA$90)&amp;"/100","—")</f>
        <v>79/100</v>
      </c>
      <c r="G24" s="8" t="str">
        <f>IFERROR(_xlfn.XLOOKUP(C24,'DONNÉES BRUTES'!A$3:A$90,'DONNÉES BRUTES'!W$3:W$90),"—")</f>
        <v>—</v>
      </c>
      <c r="H24" s="70">
        <f>IFERROR(_xlfn.XLOOKUP(C24,'DONNÉES BRUTES'!A$3:A$90,'DONNÉES BRUTES'!N$3:N$90),"—")</f>
        <v>0.31900000000000001</v>
      </c>
      <c r="I24" s="68">
        <f>IFERROR(_xlfn.XLOOKUP(C24,'DONNÉES BRUTES'!A$3:A$90,'DONNÉES BRUTES'!AB$3:AB$90),"—")</f>
        <v>52</v>
      </c>
      <c r="J24" s="68">
        <f>IFERROR(_xlfn.XLOOKUP(C24,'DONNÉES BRUTES'!A$3:A$90,'DONNÉES BRUTES'!Y$3:Y$90),"—")</f>
        <v>30</v>
      </c>
      <c r="K24" s="8" t="str">
        <f>IFERROR(_xlfn.XLOOKUP(C24,'DONNÉES BRUTES'!A$3:A$90,'DONNÉES BRUTES'!AC$3:AC$90),"—")</f>
        <v>—</v>
      </c>
      <c r="L24" s="8" t="str">
        <f>IFERROR(_xlfn.XLOOKUP(C24,'DONNÉES BRUTES'!A$3:A$90,'DONNÉES BRUTES'!AD$3:AD$90),"—")</f>
        <v>Sous-pondérer</v>
      </c>
    </row>
    <row r="25" spans="2:24" ht="13.9" customHeight="1" x14ac:dyDescent="0.25">
      <c r="B25">
        <v>19</v>
      </c>
      <c r="C25" t="str">
        <f>IFERROR(_xlfn.XLOOKUP(LARGE('DONNÉES BRUTES'!AA$3:AA$90,19),'DONNÉES BRUTES'!AA$3:AA$90,'DONNÉES BRUTES'!A$3:A$90),"—")</f>
        <v>ADI</v>
      </c>
      <c r="D25" t="str">
        <f>IFERROR(_xlfn.XLOOKUP(C25,'DONNÉES BRUTES'!A$3:A$90,'DONNÉES BRUTES'!B$3:B$90),"—")</f>
        <v>Analog Devices, Inc.</v>
      </c>
      <c r="F25" t="str">
        <f>IFERROR(_xlfn.XLOOKUP(C25,'DONNÉES BRUTES'!A$3:A$90,'DONNÉES BRUTES'!AA$3:AA$90)&amp;"/100","—")</f>
        <v>78/100</v>
      </c>
      <c r="G25" t="str">
        <f>IFERROR(_xlfn.XLOOKUP(C25,'DONNÉES BRUTES'!A$3:A$90,'DONNÉES BRUTES'!W$3:W$90),"—")</f>
        <v>+49.6%</v>
      </c>
      <c r="H25" t="str">
        <f>IFERROR(_xlfn.XLOOKUP(C25,'DONNÉES BRUTES'!A$3:A$90,'DONNÉES BRUTES'!N$3:N$90),"—")</f>
        <v>45.6%</v>
      </c>
      <c r="I25" s="67">
        <f>IFERROR(_xlfn.XLOOKUP(C25,'DONNÉES BRUTES'!A$3:A$90,'DONNÉES BRUTES'!AB$3:AB$90),"—")</f>
        <v>71</v>
      </c>
      <c r="J25" s="67">
        <f>IFERROR(_xlfn.XLOOKUP(C25,'DONNÉES BRUTES'!A$3:A$90,'DONNÉES BRUTES'!Y$3:Y$90),"—")</f>
        <v>67</v>
      </c>
      <c r="K25" t="str">
        <f>IFERROR(_xlfn.XLOOKUP(C25,'DONNÉES BRUTES'!A$3:A$90,'DONNÉES BRUTES'!AC$3:AC$90),"—")</f>
        <v>2026-05-21</v>
      </c>
      <c r="L25" t="str">
        <f>IFERROR(_xlfn.XLOOKUP(C25,'DONNÉES BRUTES'!A$3:A$90,'DONNÉES BRUTES'!AD$3:AD$90),"—")</f>
        <v>Neutre</v>
      </c>
    </row>
    <row r="26" spans="2:24" ht="13.9" customHeight="1" x14ac:dyDescent="0.25">
      <c r="B26" s="8">
        <v>20</v>
      </c>
      <c r="C26" s="8" t="str">
        <f>IFERROR(_xlfn.XLOOKUP(LARGE('DONNÉES BRUTES'!AA$3:AA$90,20),'DONNÉES BRUTES'!AA$3:AA$90,'DONNÉES BRUTES'!A$3:A$90),"—")</f>
        <v>ON</v>
      </c>
      <c r="D26" s="8" t="str">
        <f>IFERROR(_xlfn.XLOOKUP(C26,'DONNÉES BRUTES'!A$3:A$90,'DONNÉES BRUTES'!B$3:B$90),"—")</f>
        <v>ON Semiconductor Corporation</v>
      </c>
      <c r="E26" s="8"/>
      <c r="F26" s="8" t="str">
        <f>IFERROR(_xlfn.XLOOKUP(C26,'DONNÉES BRUTES'!A$3:A$90,'DONNÉES BRUTES'!AA$3:AA$90)&amp;"/100","—")</f>
        <v>77/100</v>
      </c>
      <c r="G26" s="8" t="str">
        <f>IFERROR(_xlfn.XLOOKUP(C26,'DONNÉES BRUTES'!A$3:A$90,'DONNÉES BRUTES'!W$3:W$90),"—")</f>
        <v>—</v>
      </c>
      <c r="H26" s="70">
        <f>IFERROR(_xlfn.XLOOKUP(C26,'DONNÉES BRUTES'!A$3:A$90,'DONNÉES BRUTES'!N$3:N$90),"—")</f>
        <v>0.14799999999999999</v>
      </c>
      <c r="I26" s="68">
        <f>IFERROR(_xlfn.XLOOKUP(C26,'DONNÉES BRUTES'!A$3:A$90,'DONNÉES BRUTES'!AB$3:AB$90),"—")</f>
        <v>32</v>
      </c>
      <c r="J26" s="68">
        <f>IFERROR(_xlfn.XLOOKUP(C26,'DONNÉES BRUTES'!A$3:A$90,'DONNÉES BRUTES'!Y$3:Y$90),"—")</f>
        <v>3</v>
      </c>
      <c r="K26" s="8" t="str">
        <f>IFERROR(_xlfn.XLOOKUP(C26,'DONNÉES BRUTES'!A$3:A$90,'DONNÉES BRUTES'!AC$3:AC$90),"—")</f>
        <v>—</v>
      </c>
      <c r="L26" s="8" t="str">
        <f>IFERROR(_xlfn.XLOOKUP(C26,'DONNÉES BRUTES'!A$3:A$90,'DONNÉES BRUTES'!AD$3:AD$90),"—")</f>
        <v>Sous-pondérer</v>
      </c>
    </row>
    <row r="27" spans="2:24" ht="13.9" customHeight="1" x14ac:dyDescent="0.25"/>
    <row r="28" spans="2:24" ht="13.9" customHeight="1" x14ac:dyDescent="0.25">
      <c r="B28" s="7" t="s">
        <v>718</v>
      </c>
    </row>
    <row r="29" spans="2:24" ht="13.9" customHeight="1" x14ac:dyDescent="0.25"/>
    <row r="30" spans="2:24" ht="13.9" customHeight="1" x14ac:dyDescent="0.25"/>
    <row r="31" spans="2:24" ht="13.9" customHeight="1" x14ac:dyDescent="0.25"/>
    <row r="32" spans="2:24" ht="13.9" customHeight="1" x14ac:dyDescent="0.25"/>
    <row r="33" ht="13.9" customHeight="1" x14ac:dyDescent="0.25"/>
    <row r="34" ht="13.9" customHeight="1" x14ac:dyDescent="0.25"/>
    <row r="35" ht="13.9" customHeight="1" x14ac:dyDescent="0.25"/>
    <row r="36" ht="13.9" customHeight="1" x14ac:dyDescent="0.25"/>
    <row r="37" ht="13.9" customHeight="1" x14ac:dyDescent="0.25"/>
    <row r="38" ht="13.9" customHeight="1" x14ac:dyDescent="0.25"/>
    <row r="39" ht="13.9" customHeight="1" x14ac:dyDescent="0.25"/>
    <row r="40" ht="13.9" customHeight="1" x14ac:dyDescent="0.25"/>
    <row r="41" ht="13.9" customHeight="1" x14ac:dyDescent="0.25"/>
    <row r="42" ht="13.9" customHeight="1" x14ac:dyDescent="0.25"/>
    <row r="43" ht="13.9" customHeight="1" x14ac:dyDescent="0.25"/>
    <row r="45" ht="16.149999999999999" customHeight="1" x14ac:dyDescent="0.25"/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J105"/>
  <sheetViews>
    <sheetView showGridLines="0" tabSelected="1" zoomScale="85" zoomScaleNormal="85" workbookViewId="0">
      <selection activeCell="M20" sqref="M20"/>
    </sheetView>
  </sheetViews>
  <sheetFormatPr baseColWidth="10" defaultColWidth="8.85546875" defaultRowHeight="15" x14ac:dyDescent="0.25"/>
  <cols>
    <col min="1" max="1" width="1.7109375" customWidth="1"/>
    <col min="2" max="2" width="5" customWidth="1"/>
    <col min="3" max="3" width="9.85546875" customWidth="1"/>
    <col min="4" max="4" width="30.42578125" customWidth="1"/>
    <col min="5" max="5" width="7.5703125" customWidth="1"/>
    <col min="6" max="6" width="6.85546875" customWidth="1"/>
    <col min="7" max="8" width="8" customWidth="1"/>
    <col min="9" max="9" width="6.85546875" customWidth="1"/>
    <col min="10" max="10" width="9.85546875" customWidth="1"/>
    <col min="11" max="11" width="8.42578125" customWidth="1"/>
    <col min="12" max="12" width="6.85546875" customWidth="1"/>
    <col min="13" max="13" width="9.5703125" customWidth="1"/>
    <col min="14" max="15" width="10.28515625" customWidth="1"/>
    <col min="16" max="16" width="9.140625" customWidth="1"/>
    <col min="18" max="33" width="8.85546875" style="64"/>
  </cols>
  <sheetData>
    <row r="1" spans="2:30" ht="21.95" customHeight="1" x14ac:dyDescent="0.25">
      <c r="B1" s="47" t="s">
        <v>731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R1" s="64" t="s">
        <v>0</v>
      </c>
      <c r="S1" s="64" t="s">
        <v>207</v>
      </c>
      <c r="U1" s="64" t="s">
        <v>48</v>
      </c>
      <c r="V1" s="64" t="s">
        <v>748</v>
      </c>
      <c r="X1" s="64" t="s">
        <v>0</v>
      </c>
      <c r="Y1" s="64" t="s">
        <v>43</v>
      </c>
      <c r="Z1" s="64" t="s">
        <v>44</v>
      </c>
      <c r="AA1" s="64" t="s">
        <v>45</v>
      </c>
      <c r="AC1" s="64" t="s">
        <v>0</v>
      </c>
      <c r="AD1" s="64" t="s">
        <v>749</v>
      </c>
    </row>
    <row r="2" spans="2:30" ht="14.1" customHeight="1" x14ac:dyDescent="0.25">
      <c r="B2" s="48" t="s">
        <v>226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R2" s="64" t="s">
        <v>21</v>
      </c>
      <c r="S2" s="64">
        <v>88</v>
      </c>
      <c r="U2" s="64" t="s">
        <v>53</v>
      </c>
      <c r="V2" s="64">
        <v>8</v>
      </c>
      <c r="X2" s="64" t="s">
        <v>21</v>
      </c>
      <c r="Y2" s="64">
        <v>95</v>
      </c>
      <c r="Z2" s="64">
        <v>98</v>
      </c>
      <c r="AA2" s="64">
        <v>70</v>
      </c>
      <c r="AC2" s="64" t="s">
        <v>21</v>
      </c>
      <c r="AD2" s="64">
        <v>66.900000000000006</v>
      </c>
    </row>
    <row r="3" spans="2:30" ht="8.1" customHeight="1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R3" s="64" t="s">
        <v>54</v>
      </c>
      <c r="S3" s="64">
        <v>84</v>
      </c>
      <c r="U3" s="64" t="s">
        <v>91</v>
      </c>
      <c r="V3" s="64">
        <v>29</v>
      </c>
      <c r="X3" s="64" t="s">
        <v>54</v>
      </c>
      <c r="Y3" s="64">
        <v>85</v>
      </c>
      <c r="Z3" s="64">
        <v>79</v>
      </c>
      <c r="AA3" s="64">
        <v>88</v>
      </c>
      <c r="AC3" s="64" t="s">
        <v>54</v>
      </c>
      <c r="AD3" s="64">
        <v>43.9</v>
      </c>
    </row>
    <row r="4" spans="2:30" ht="27.95" customHeight="1" x14ac:dyDescent="0.25">
      <c r="B4" s="53"/>
      <c r="C4" s="55">
        <v>88</v>
      </c>
      <c r="D4" s="55"/>
      <c r="E4" s="71">
        <v>0</v>
      </c>
      <c r="F4" s="72"/>
      <c r="G4" s="72"/>
      <c r="H4" s="76">
        <v>51</v>
      </c>
      <c r="I4" s="72"/>
      <c r="J4" s="72"/>
      <c r="K4" s="73" t="s">
        <v>22</v>
      </c>
      <c r="L4" s="72"/>
      <c r="M4" s="72"/>
      <c r="N4" s="76" t="s">
        <v>8</v>
      </c>
      <c r="O4" s="72"/>
      <c r="P4" s="72"/>
      <c r="R4" s="64" t="s">
        <v>60</v>
      </c>
      <c r="S4" s="64">
        <v>83</v>
      </c>
      <c r="U4" s="64" t="s">
        <v>140</v>
      </c>
      <c r="V4" s="64">
        <v>51</v>
      </c>
      <c r="X4" s="64" t="s">
        <v>60</v>
      </c>
      <c r="Y4" s="64">
        <v>84</v>
      </c>
      <c r="Z4" s="64">
        <v>89</v>
      </c>
      <c r="AA4" s="64">
        <v>76</v>
      </c>
      <c r="AC4" s="64" t="s">
        <v>60</v>
      </c>
      <c r="AD4" s="64">
        <v>43.6</v>
      </c>
    </row>
    <row r="5" spans="2:30" ht="3.95" customHeight="1" x14ac:dyDescent="0.25">
      <c r="B5" s="25"/>
      <c r="C5" s="56"/>
      <c r="D5" s="56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R5" s="64" t="s">
        <v>66</v>
      </c>
      <c r="S5" s="64">
        <v>81</v>
      </c>
      <c r="X5" s="64" t="s">
        <v>66</v>
      </c>
      <c r="Y5" s="64">
        <v>90</v>
      </c>
      <c r="Z5" s="64">
        <v>85</v>
      </c>
      <c r="AA5" s="64">
        <v>69</v>
      </c>
      <c r="AC5" s="64" t="s">
        <v>66</v>
      </c>
      <c r="AD5" s="64">
        <v>54.3</v>
      </c>
    </row>
    <row r="6" spans="2:30" ht="14.1" customHeight="1" x14ac:dyDescent="0.25">
      <c r="B6" s="54"/>
      <c r="C6" s="57" t="s">
        <v>227</v>
      </c>
      <c r="D6" s="57"/>
      <c r="E6" s="74" t="s">
        <v>228</v>
      </c>
      <c r="F6" s="72"/>
      <c r="G6" s="72"/>
      <c r="H6" s="75" t="s">
        <v>229</v>
      </c>
      <c r="I6" s="72"/>
      <c r="J6" s="72"/>
      <c r="K6" s="75" t="s">
        <v>230</v>
      </c>
      <c r="L6" s="72"/>
      <c r="M6" s="72"/>
      <c r="N6" s="75" t="s">
        <v>231</v>
      </c>
      <c r="O6" s="72"/>
      <c r="P6" s="72"/>
      <c r="R6" s="64" t="s">
        <v>18</v>
      </c>
      <c r="S6" s="64">
        <v>78</v>
      </c>
      <c r="X6" s="64" t="s">
        <v>18</v>
      </c>
      <c r="Y6" s="64">
        <v>98</v>
      </c>
      <c r="Z6" s="64">
        <v>41</v>
      </c>
      <c r="AA6" s="64">
        <v>95</v>
      </c>
      <c r="AC6" s="64" t="s">
        <v>18</v>
      </c>
      <c r="AD6" s="64">
        <v>49.4</v>
      </c>
    </row>
    <row r="7" spans="2:30" ht="8.1" customHeight="1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R7" s="64" t="s">
        <v>72</v>
      </c>
      <c r="S7" s="64">
        <v>78</v>
      </c>
      <c r="X7" s="64" t="s">
        <v>72</v>
      </c>
      <c r="Y7" s="64">
        <v>86</v>
      </c>
      <c r="Z7" s="64">
        <v>64</v>
      </c>
      <c r="AA7" s="64">
        <v>84</v>
      </c>
      <c r="AC7" s="64" t="s">
        <v>72</v>
      </c>
      <c r="AD7" s="64">
        <v>28</v>
      </c>
    </row>
    <row r="8" spans="2:30" ht="18" customHeight="1" x14ac:dyDescent="0.25">
      <c r="B8" s="46" t="s">
        <v>733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R8" s="64" t="s">
        <v>78</v>
      </c>
      <c r="S8" s="64">
        <v>77</v>
      </c>
      <c r="X8" s="64" t="s">
        <v>78</v>
      </c>
      <c r="Y8" s="64">
        <v>83</v>
      </c>
      <c r="Z8" s="64">
        <v>57</v>
      </c>
      <c r="AA8" s="64">
        <v>92</v>
      </c>
      <c r="AC8" s="64" t="s">
        <v>78</v>
      </c>
      <c r="AD8" s="64">
        <v>35.4</v>
      </c>
    </row>
    <row r="9" spans="2:30" ht="15.95" customHeight="1" x14ac:dyDescent="0.25">
      <c r="B9" s="27" t="s">
        <v>41</v>
      </c>
      <c r="C9" s="27" t="s">
        <v>0</v>
      </c>
      <c r="D9" s="28" t="s">
        <v>1</v>
      </c>
      <c r="E9" s="27" t="s">
        <v>2</v>
      </c>
      <c r="F9" s="27" t="s">
        <v>734</v>
      </c>
      <c r="G9" s="27" t="s">
        <v>43</v>
      </c>
      <c r="H9" s="27" t="s">
        <v>44</v>
      </c>
      <c r="I9" s="27" t="s">
        <v>735</v>
      </c>
      <c r="J9" s="27" t="s">
        <v>46</v>
      </c>
      <c r="K9" s="27" t="s">
        <v>732</v>
      </c>
      <c r="L9" s="27" t="s">
        <v>97</v>
      </c>
      <c r="M9" s="27" t="s">
        <v>581</v>
      </c>
      <c r="N9" s="27" t="s">
        <v>582</v>
      </c>
      <c r="O9" s="27" t="s">
        <v>736</v>
      </c>
      <c r="P9" s="27" t="s">
        <v>98</v>
      </c>
      <c r="R9" s="64" t="s">
        <v>11</v>
      </c>
      <c r="S9" s="64">
        <v>77</v>
      </c>
      <c r="X9" s="64" t="s">
        <v>11</v>
      </c>
      <c r="Y9" s="64">
        <v>99</v>
      </c>
      <c r="Z9" s="64">
        <v>34</v>
      </c>
      <c r="AA9" s="64">
        <v>99</v>
      </c>
      <c r="AC9" s="64" t="s">
        <v>11</v>
      </c>
      <c r="AD9" s="64">
        <v>20.399999999999999</v>
      </c>
    </row>
    <row r="10" spans="2:30" ht="14.1" customHeight="1" x14ac:dyDescent="0.25">
      <c r="B10" s="43" t="s">
        <v>747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R10" s="64" t="s">
        <v>86</v>
      </c>
      <c r="S10" s="64">
        <v>74</v>
      </c>
      <c r="AC10" s="64" t="s">
        <v>86</v>
      </c>
      <c r="AD10" s="64">
        <v>41.3</v>
      </c>
    </row>
    <row r="11" spans="2:30" ht="15" customHeight="1" x14ac:dyDescent="0.25">
      <c r="B11" s="39">
        <v>1</v>
      </c>
      <c r="C11" s="39" t="s">
        <v>21</v>
      </c>
      <c r="D11" s="41" t="s">
        <v>22</v>
      </c>
      <c r="E11" s="39">
        <v>88</v>
      </c>
      <c r="F11" s="40" t="s">
        <v>8</v>
      </c>
      <c r="G11" s="40">
        <v>95</v>
      </c>
      <c r="H11" s="40">
        <v>98</v>
      </c>
      <c r="I11" s="40">
        <v>70</v>
      </c>
      <c r="J11" s="40" t="s">
        <v>8</v>
      </c>
      <c r="K11" s="40" t="s">
        <v>8</v>
      </c>
      <c r="L11" s="40" t="s">
        <v>8</v>
      </c>
      <c r="M11" s="42">
        <v>0.71099999999999997</v>
      </c>
      <c r="N11" s="42">
        <v>0.66900000000000004</v>
      </c>
      <c r="O11" s="42">
        <v>0.30299999999999999</v>
      </c>
      <c r="P11" s="40">
        <v>13.22</v>
      </c>
      <c r="R11" s="64" t="s">
        <v>92</v>
      </c>
      <c r="S11" s="64">
        <v>73</v>
      </c>
      <c r="AC11" s="64" t="s">
        <v>92</v>
      </c>
      <c r="AD11" s="64">
        <v>21</v>
      </c>
    </row>
    <row r="12" spans="2:30" ht="15" customHeight="1" x14ac:dyDescent="0.25">
      <c r="B12" s="29">
        <v>2</v>
      </c>
      <c r="C12" s="29" t="s">
        <v>54</v>
      </c>
      <c r="D12" s="31" t="s">
        <v>55</v>
      </c>
      <c r="E12" s="29">
        <v>84</v>
      </c>
      <c r="F12" s="30" t="s">
        <v>8</v>
      </c>
      <c r="G12" s="30">
        <v>85</v>
      </c>
      <c r="H12" s="30">
        <v>79</v>
      </c>
      <c r="I12" s="30">
        <v>88</v>
      </c>
      <c r="J12" s="30" t="s">
        <v>8</v>
      </c>
      <c r="K12" s="30" t="s">
        <v>8</v>
      </c>
      <c r="L12" s="30" t="s">
        <v>8</v>
      </c>
      <c r="M12" s="32">
        <v>0.60899999999999999</v>
      </c>
      <c r="N12" s="32">
        <v>0.439</v>
      </c>
      <c r="O12" s="32">
        <v>1.0149999999999999</v>
      </c>
      <c r="P12" s="30">
        <v>5.64</v>
      </c>
      <c r="R12" s="64" t="s">
        <v>27</v>
      </c>
      <c r="S12" s="64">
        <v>73</v>
      </c>
      <c r="AC12" s="64" t="s">
        <v>27</v>
      </c>
      <c r="AD12" s="64">
        <v>22.9</v>
      </c>
    </row>
    <row r="13" spans="2:30" ht="15" customHeight="1" x14ac:dyDescent="0.25">
      <c r="B13" s="33">
        <v>3</v>
      </c>
      <c r="C13" s="33" t="s">
        <v>60</v>
      </c>
      <c r="D13" s="35" t="s">
        <v>61</v>
      </c>
      <c r="E13" s="33">
        <v>83</v>
      </c>
      <c r="F13" s="34" t="s">
        <v>8</v>
      </c>
      <c r="G13" s="34">
        <v>84</v>
      </c>
      <c r="H13" s="34">
        <v>89</v>
      </c>
      <c r="I13" s="34">
        <v>76</v>
      </c>
      <c r="J13" s="34" t="s">
        <v>8</v>
      </c>
      <c r="K13" s="34" t="s">
        <v>8</v>
      </c>
      <c r="L13" s="34" t="s">
        <v>8</v>
      </c>
      <c r="M13" s="36">
        <v>0.64100000000000001</v>
      </c>
      <c r="N13" s="36">
        <v>0.436</v>
      </c>
      <c r="O13" s="36">
        <v>0.46</v>
      </c>
      <c r="P13" s="34">
        <v>8.4600000000000009</v>
      </c>
      <c r="R13" s="64" t="s">
        <v>222</v>
      </c>
      <c r="S13" s="64">
        <v>72</v>
      </c>
      <c r="AC13" s="64" t="s">
        <v>222</v>
      </c>
      <c r="AD13" s="64">
        <v>38.4</v>
      </c>
    </row>
    <row r="14" spans="2:30" ht="15" customHeight="1" x14ac:dyDescent="0.25">
      <c r="B14" s="29">
        <v>4</v>
      </c>
      <c r="C14" s="29" t="s">
        <v>66</v>
      </c>
      <c r="D14" s="31" t="s">
        <v>67</v>
      </c>
      <c r="E14" s="29">
        <v>81</v>
      </c>
      <c r="F14" s="30" t="s">
        <v>8</v>
      </c>
      <c r="G14" s="30">
        <v>90</v>
      </c>
      <c r="H14" s="30">
        <v>85</v>
      </c>
      <c r="I14" s="30">
        <v>69</v>
      </c>
      <c r="J14" s="30" t="s">
        <v>8</v>
      </c>
      <c r="K14" s="30" t="s">
        <v>8</v>
      </c>
      <c r="L14" s="30" t="s">
        <v>8</v>
      </c>
      <c r="M14" s="32">
        <v>0.67800000000000005</v>
      </c>
      <c r="N14" s="32">
        <v>0.54300000000000004</v>
      </c>
      <c r="O14" s="32">
        <v>0.29699999999999999</v>
      </c>
      <c r="P14" s="30">
        <v>2.66</v>
      </c>
      <c r="R14" s="64" t="s">
        <v>241</v>
      </c>
      <c r="S14" s="64">
        <v>71</v>
      </c>
      <c r="AC14" s="64" t="s">
        <v>241</v>
      </c>
      <c r="AD14" s="64">
        <v>45.6</v>
      </c>
    </row>
    <row r="15" spans="2:30" ht="15" customHeight="1" x14ac:dyDescent="0.25">
      <c r="B15" s="33">
        <v>5</v>
      </c>
      <c r="C15" s="33" t="s">
        <v>18</v>
      </c>
      <c r="D15" s="35" t="s">
        <v>19</v>
      </c>
      <c r="E15" s="33">
        <v>78</v>
      </c>
      <c r="F15" s="34" t="s">
        <v>8</v>
      </c>
      <c r="G15" s="34">
        <v>98</v>
      </c>
      <c r="H15" s="34">
        <v>41</v>
      </c>
      <c r="I15" s="34">
        <v>95</v>
      </c>
      <c r="J15" s="34" t="s">
        <v>8</v>
      </c>
      <c r="K15" s="34" t="s">
        <v>8</v>
      </c>
      <c r="L15" s="34" t="s">
        <v>8</v>
      </c>
      <c r="M15" s="36">
        <v>0.39800000000000002</v>
      </c>
      <c r="N15" s="36">
        <v>0.49399999999999999</v>
      </c>
      <c r="O15" s="36">
        <v>2.8330000000000002</v>
      </c>
      <c r="P15" s="34">
        <v>6.1</v>
      </c>
      <c r="R15" s="64" t="s">
        <v>128</v>
      </c>
      <c r="S15" s="64">
        <v>68</v>
      </c>
      <c r="AC15" s="64" t="s">
        <v>128</v>
      </c>
      <c r="AD15" s="64">
        <v>23.9</v>
      </c>
    </row>
    <row r="16" spans="2:30" ht="15" customHeight="1" x14ac:dyDescent="0.25">
      <c r="B16" s="29">
        <v>6</v>
      </c>
      <c r="C16" s="29" t="s">
        <v>72</v>
      </c>
      <c r="D16" s="31" t="s">
        <v>73</v>
      </c>
      <c r="E16" s="29">
        <v>78</v>
      </c>
      <c r="F16" s="30" t="s">
        <v>8</v>
      </c>
      <c r="G16" s="30">
        <v>86</v>
      </c>
      <c r="H16" s="30">
        <v>64</v>
      </c>
      <c r="I16" s="30">
        <v>84</v>
      </c>
      <c r="J16" s="30" t="s">
        <v>8</v>
      </c>
      <c r="K16" s="30" t="s">
        <v>8</v>
      </c>
      <c r="L16" s="30" t="s">
        <v>8</v>
      </c>
      <c r="M16" s="32">
        <v>0.55200000000000005</v>
      </c>
      <c r="N16" s="32">
        <v>0.28000000000000003</v>
      </c>
      <c r="O16" s="32">
        <v>0.68700000000000006</v>
      </c>
      <c r="P16" s="30">
        <v>11.63</v>
      </c>
      <c r="R16" s="64" t="s">
        <v>3</v>
      </c>
      <c r="S16" s="64">
        <v>67</v>
      </c>
      <c r="AC16" s="64" t="s">
        <v>3</v>
      </c>
      <c r="AD16" s="64">
        <v>27.2</v>
      </c>
    </row>
    <row r="17" spans="2:36" ht="15" customHeight="1" x14ac:dyDescent="0.25">
      <c r="B17" s="33">
        <v>7</v>
      </c>
      <c r="C17" s="33" t="s">
        <v>78</v>
      </c>
      <c r="D17" s="35" t="s">
        <v>79</v>
      </c>
      <c r="E17" s="33">
        <v>77</v>
      </c>
      <c r="F17" s="34" t="s">
        <v>8</v>
      </c>
      <c r="G17" s="34">
        <v>83</v>
      </c>
      <c r="H17" s="34">
        <v>57</v>
      </c>
      <c r="I17" s="34">
        <v>92</v>
      </c>
      <c r="J17" s="34" t="s">
        <v>8</v>
      </c>
      <c r="K17" s="34" t="s">
        <v>8</v>
      </c>
      <c r="L17" s="34" t="s">
        <v>8</v>
      </c>
      <c r="M17" s="36">
        <v>0.48699999999999999</v>
      </c>
      <c r="N17" s="36">
        <v>0.35399999999999998</v>
      </c>
      <c r="O17" s="36">
        <v>1.7190000000000001</v>
      </c>
      <c r="P17" s="34">
        <v>9.6999999999999993</v>
      </c>
    </row>
    <row r="18" spans="2:36" ht="15" customHeight="1" x14ac:dyDescent="0.25">
      <c r="B18" s="29">
        <v>8</v>
      </c>
      <c r="C18" s="29" t="s">
        <v>11</v>
      </c>
      <c r="D18" s="31" t="s">
        <v>12</v>
      </c>
      <c r="E18" s="29">
        <v>77</v>
      </c>
      <c r="F18" s="30" t="s">
        <v>8</v>
      </c>
      <c r="G18" s="30">
        <v>99</v>
      </c>
      <c r="H18" s="30">
        <v>34</v>
      </c>
      <c r="I18" s="30">
        <v>99</v>
      </c>
      <c r="J18" s="30" t="s">
        <v>8</v>
      </c>
      <c r="K18" s="30" t="s">
        <v>8</v>
      </c>
      <c r="L18" s="30" t="s">
        <v>8</v>
      </c>
      <c r="M18" s="32">
        <v>0.38800000000000001</v>
      </c>
      <c r="N18" s="32">
        <v>0.20399999999999999</v>
      </c>
      <c r="O18" s="32">
        <v>4.7720000000000002</v>
      </c>
      <c r="P18" s="30">
        <v>1.76</v>
      </c>
    </row>
    <row r="19" spans="2:36" s="18" customFormat="1" ht="8.25" customHeight="1" x14ac:dyDescent="0.25">
      <c r="B19" s="58"/>
      <c r="C19" s="58"/>
      <c r="D19" s="59"/>
      <c r="E19" s="58"/>
      <c r="F19" s="60"/>
      <c r="G19" s="60"/>
      <c r="H19" s="60"/>
      <c r="I19" s="60"/>
      <c r="J19" s="60"/>
      <c r="K19" s="60"/>
      <c r="L19" s="60"/>
      <c r="M19" s="61"/>
      <c r="N19" s="61"/>
      <c r="O19" s="61"/>
      <c r="P19" s="60"/>
      <c r="Q19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/>
      <c r="AI19"/>
      <c r="AJ19"/>
    </row>
    <row r="20" spans="2:36" ht="14.1" customHeight="1" x14ac:dyDescent="0.25">
      <c r="B20" s="44" t="s">
        <v>737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2:36" ht="15" customHeight="1" x14ac:dyDescent="0.25">
      <c r="B21" s="33">
        <v>9</v>
      </c>
      <c r="C21" s="33" t="s">
        <v>86</v>
      </c>
      <c r="D21" s="35" t="s">
        <v>87</v>
      </c>
      <c r="E21" s="33">
        <v>74</v>
      </c>
      <c r="F21" s="34" t="s">
        <v>8</v>
      </c>
      <c r="G21" s="34">
        <v>91</v>
      </c>
      <c r="H21" s="34">
        <v>94</v>
      </c>
      <c r="I21" s="34">
        <v>37</v>
      </c>
      <c r="J21" s="34" t="s">
        <v>8</v>
      </c>
      <c r="K21" s="34" t="s">
        <v>8</v>
      </c>
      <c r="L21" s="34" t="s">
        <v>8</v>
      </c>
      <c r="M21" s="36">
        <v>0.83799999999999997</v>
      </c>
      <c r="N21" s="36">
        <v>0.41299999999999998</v>
      </c>
      <c r="O21" s="36">
        <v>-0.154</v>
      </c>
      <c r="P21" s="34">
        <v>3.62</v>
      </c>
    </row>
    <row r="22" spans="2:36" ht="15" customHeight="1" x14ac:dyDescent="0.25">
      <c r="B22" s="29">
        <v>10</v>
      </c>
      <c r="C22" s="29" t="s">
        <v>92</v>
      </c>
      <c r="D22" s="31" t="s">
        <v>93</v>
      </c>
      <c r="E22" s="29">
        <v>73</v>
      </c>
      <c r="F22" s="30" t="s">
        <v>8</v>
      </c>
      <c r="G22" s="30">
        <v>92</v>
      </c>
      <c r="H22" s="30">
        <v>40</v>
      </c>
      <c r="I22" s="30">
        <v>87</v>
      </c>
      <c r="J22" s="30" t="s">
        <v>8</v>
      </c>
      <c r="K22" s="30" t="s">
        <v>8</v>
      </c>
      <c r="L22" s="30" t="s">
        <v>8</v>
      </c>
      <c r="M22" s="32">
        <v>0.495</v>
      </c>
      <c r="N22" s="32">
        <v>0.21</v>
      </c>
      <c r="O22" s="32">
        <v>0.92900000000000005</v>
      </c>
      <c r="P22" s="30">
        <v>6.9</v>
      </c>
    </row>
    <row r="23" spans="2:36" ht="15" customHeight="1" x14ac:dyDescent="0.25">
      <c r="B23" s="33">
        <v>11</v>
      </c>
      <c r="C23" s="33" t="s">
        <v>27</v>
      </c>
      <c r="D23" s="35" t="s">
        <v>28</v>
      </c>
      <c r="E23" s="33">
        <v>73</v>
      </c>
      <c r="F23" s="34" t="s">
        <v>8</v>
      </c>
      <c r="G23" s="34">
        <v>97</v>
      </c>
      <c r="H23" s="34">
        <v>28</v>
      </c>
      <c r="I23" s="34">
        <v>94</v>
      </c>
      <c r="J23" s="34" t="s">
        <v>8</v>
      </c>
      <c r="K23" s="34" t="s">
        <v>8</v>
      </c>
      <c r="L23" s="34" t="s">
        <v>8</v>
      </c>
      <c r="M23" s="36">
        <v>0.35199999999999998</v>
      </c>
      <c r="N23" s="36">
        <v>0.22900000000000001</v>
      </c>
      <c r="O23" s="36">
        <v>2.6440000000000001</v>
      </c>
      <c r="P23" s="34">
        <v>-1.01</v>
      </c>
    </row>
    <row r="24" spans="2:36" ht="15" customHeight="1" x14ac:dyDescent="0.25">
      <c r="B24" s="29">
        <v>12</v>
      </c>
      <c r="C24" s="29" t="s">
        <v>222</v>
      </c>
      <c r="D24" s="31" t="s">
        <v>223</v>
      </c>
      <c r="E24" s="29">
        <v>72</v>
      </c>
      <c r="F24" s="30" t="s">
        <v>8</v>
      </c>
      <c r="G24" s="30">
        <v>70</v>
      </c>
      <c r="H24" s="30">
        <v>62</v>
      </c>
      <c r="I24" s="30">
        <v>85</v>
      </c>
      <c r="J24" s="30" t="s">
        <v>8</v>
      </c>
      <c r="K24" s="30" t="s">
        <v>8</v>
      </c>
      <c r="L24" s="30" t="s">
        <v>8</v>
      </c>
      <c r="M24" s="32">
        <v>0.52800000000000002</v>
      </c>
      <c r="N24" s="32">
        <v>0.38400000000000001</v>
      </c>
      <c r="O24" s="32">
        <v>0.78600000000000003</v>
      </c>
      <c r="P24" s="30">
        <v>4.1500000000000004</v>
      </c>
    </row>
    <row r="25" spans="2:36" ht="15" customHeight="1" x14ac:dyDescent="0.25">
      <c r="B25" s="33">
        <v>13</v>
      </c>
      <c r="C25" s="33" t="s">
        <v>241</v>
      </c>
      <c r="D25" s="35" t="s">
        <v>626</v>
      </c>
      <c r="E25" s="33">
        <v>71</v>
      </c>
      <c r="F25" s="34" t="s">
        <v>8</v>
      </c>
      <c r="G25" s="34">
        <v>67</v>
      </c>
      <c r="H25" s="34">
        <v>67</v>
      </c>
      <c r="I25" s="34">
        <v>78</v>
      </c>
      <c r="J25" s="34" t="s">
        <v>8</v>
      </c>
      <c r="K25" s="34" t="s">
        <v>8</v>
      </c>
      <c r="L25" s="34" t="s">
        <v>8</v>
      </c>
      <c r="M25" s="36">
        <v>0.61499999999999999</v>
      </c>
      <c r="N25" s="36">
        <v>0.45600000000000002</v>
      </c>
      <c r="O25" s="36">
        <v>0.496</v>
      </c>
      <c r="P25" s="34">
        <v>4.17</v>
      </c>
    </row>
    <row r="26" spans="2:36" ht="15" customHeight="1" x14ac:dyDescent="0.25">
      <c r="B26" s="29">
        <v>14</v>
      </c>
      <c r="C26" s="29" t="s">
        <v>128</v>
      </c>
      <c r="D26" s="31" t="s">
        <v>129</v>
      </c>
      <c r="E26" s="29">
        <v>68</v>
      </c>
      <c r="F26" s="30" t="s">
        <v>8</v>
      </c>
      <c r="G26" s="30">
        <v>88</v>
      </c>
      <c r="H26" s="30">
        <v>24</v>
      </c>
      <c r="I26" s="30">
        <v>93</v>
      </c>
      <c r="J26" s="30" t="s">
        <v>8</v>
      </c>
      <c r="K26" s="30" t="s">
        <v>8</v>
      </c>
      <c r="L26" s="30" t="s">
        <v>8</v>
      </c>
      <c r="M26" s="32">
        <v>0.36</v>
      </c>
      <c r="N26" s="32">
        <v>0.23899999999999999</v>
      </c>
      <c r="O26" s="32">
        <v>1.992</v>
      </c>
      <c r="P26" s="30">
        <v>3.62</v>
      </c>
    </row>
    <row r="27" spans="2:36" ht="15" customHeight="1" x14ac:dyDescent="0.25">
      <c r="B27" s="33">
        <v>15</v>
      </c>
      <c r="C27" s="33" t="s">
        <v>3</v>
      </c>
      <c r="D27" s="35" t="s">
        <v>4</v>
      </c>
      <c r="E27" s="33">
        <v>67</v>
      </c>
      <c r="F27" s="34" t="s">
        <v>8</v>
      </c>
      <c r="G27" s="34">
        <v>100</v>
      </c>
      <c r="H27" s="34">
        <v>11</v>
      </c>
      <c r="I27" s="34">
        <v>91</v>
      </c>
      <c r="J27" s="34" t="s">
        <v>8</v>
      </c>
      <c r="K27" s="34" t="s">
        <v>8</v>
      </c>
      <c r="L27" s="34" t="s">
        <v>8</v>
      </c>
      <c r="M27" s="36">
        <v>0.34799999999999998</v>
      </c>
      <c r="N27" s="36">
        <v>0.27200000000000002</v>
      </c>
      <c r="O27" s="36">
        <v>1.5149999999999999</v>
      </c>
      <c r="P27" s="34">
        <v>3.25</v>
      </c>
    </row>
    <row r="28" spans="2:36" ht="15" customHeight="1" x14ac:dyDescent="0.25">
      <c r="B28" s="29">
        <v>16</v>
      </c>
      <c r="C28" s="29" t="s">
        <v>218</v>
      </c>
      <c r="D28" s="31" t="s">
        <v>219</v>
      </c>
      <c r="E28" s="29">
        <v>67</v>
      </c>
      <c r="F28" s="30" t="s">
        <v>8</v>
      </c>
      <c r="G28" s="30">
        <v>58</v>
      </c>
      <c r="H28" s="30">
        <v>56</v>
      </c>
      <c r="I28" s="30">
        <v>86</v>
      </c>
      <c r="J28" s="30" t="s">
        <v>8</v>
      </c>
      <c r="K28" s="30" t="s">
        <v>8</v>
      </c>
      <c r="L28" s="30" t="s">
        <v>8</v>
      </c>
      <c r="M28" s="32">
        <v>0.621</v>
      </c>
      <c r="N28" s="32">
        <v>0.27100000000000002</v>
      </c>
      <c r="O28" s="32">
        <v>0.84699999999999998</v>
      </c>
      <c r="P28" s="30">
        <v>5.33</v>
      </c>
    </row>
    <row r="29" spans="2:36" ht="15" customHeight="1" x14ac:dyDescent="0.25">
      <c r="B29" s="33">
        <v>17</v>
      </c>
      <c r="C29" s="33" t="s">
        <v>112</v>
      </c>
      <c r="D29" s="35" t="s">
        <v>113</v>
      </c>
      <c r="E29" s="33">
        <v>66</v>
      </c>
      <c r="F29" s="34" t="s">
        <v>8</v>
      </c>
      <c r="G29" s="34">
        <v>94</v>
      </c>
      <c r="H29" s="34">
        <v>31</v>
      </c>
      <c r="I29" s="34">
        <v>73</v>
      </c>
      <c r="J29" s="34" t="s">
        <v>8</v>
      </c>
      <c r="K29" s="34" t="s">
        <v>8</v>
      </c>
      <c r="L29" s="34" t="s">
        <v>8</v>
      </c>
      <c r="M29" s="36">
        <v>0.36899999999999999</v>
      </c>
      <c r="N29" s="36">
        <v>0.29799999999999999</v>
      </c>
      <c r="O29" s="36">
        <v>0.43</v>
      </c>
      <c r="P29" s="34">
        <v>5.05</v>
      </c>
    </row>
    <row r="30" spans="2:36" ht="15" customHeight="1" x14ac:dyDescent="0.25">
      <c r="B30" s="29">
        <v>18</v>
      </c>
      <c r="C30" s="29" t="s">
        <v>163</v>
      </c>
      <c r="D30" s="31" t="s">
        <v>164</v>
      </c>
      <c r="E30" s="29">
        <v>66</v>
      </c>
      <c r="F30" s="30" t="s">
        <v>8</v>
      </c>
      <c r="G30" s="30">
        <v>57</v>
      </c>
      <c r="H30" s="30">
        <v>93</v>
      </c>
      <c r="I30" s="30">
        <v>49</v>
      </c>
      <c r="J30" s="30" t="s">
        <v>8</v>
      </c>
      <c r="K30" s="30" t="s">
        <v>8</v>
      </c>
      <c r="L30" s="30" t="s">
        <v>8</v>
      </c>
      <c r="M30" s="32">
        <v>0.86399999999999999</v>
      </c>
      <c r="N30" s="32">
        <v>0.35399999999999998</v>
      </c>
      <c r="O30" s="32">
        <v>-3.5000000000000003E-2</v>
      </c>
      <c r="P30" s="30">
        <v>6.55</v>
      </c>
    </row>
    <row r="31" spans="2:36" ht="15" customHeight="1" x14ac:dyDescent="0.25">
      <c r="B31" s="33">
        <v>19</v>
      </c>
      <c r="C31" s="33" t="s">
        <v>242</v>
      </c>
      <c r="D31" s="35" t="s">
        <v>644</v>
      </c>
      <c r="E31" s="33">
        <v>66</v>
      </c>
      <c r="F31" s="34" t="s">
        <v>8</v>
      </c>
      <c r="G31" s="34">
        <v>79</v>
      </c>
      <c r="H31" s="34">
        <v>80</v>
      </c>
      <c r="I31" s="34">
        <v>40</v>
      </c>
      <c r="J31" s="34" t="s">
        <v>8</v>
      </c>
      <c r="K31" s="34" t="s">
        <v>8</v>
      </c>
      <c r="L31" s="34" t="s">
        <v>8</v>
      </c>
      <c r="M31" s="36">
        <v>0.77</v>
      </c>
      <c r="N31" s="36">
        <v>0.35399999999999998</v>
      </c>
      <c r="O31" s="36">
        <v>-0.14799999999999999</v>
      </c>
      <c r="P31" s="34">
        <v>2.76</v>
      </c>
    </row>
    <row r="32" spans="2:36" ht="15" customHeight="1" x14ac:dyDescent="0.25">
      <c r="B32" s="29">
        <v>20</v>
      </c>
      <c r="C32" s="29" t="s">
        <v>33</v>
      </c>
      <c r="D32" s="31" t="s">
        <v>34</v>
      </c>
      <c r="E32" s="29">
        <v>66</v>
      </c>
      <c r="F32" s="30" t="s">
        <v>8</v>
      </c>
      <c r="G32" s="30">
        <v>47</v>
      </c>
      <c r="H32" s="30">
        <v>54</v>
      </c>
      <c r="I32" s="30">
        <v>97</v>
      </c>
      <c r="J32" s="30" t="s">
        <v>8</v>
      </c>
      <c r="K32" s="30" t="s">
        <v>8</v>
      </c>
      <c r="L32" s="30" t="s">
        <v>8</v>
      </c>
      <c r="M32" s="32">
        <v>0.58199999999999996</v>
      </c>
      <c r="N32" s="32">
        <v>0.247</v>
      </c>
      <c r="O32" s="32">
        <v>2.92</v>
      </c>
      <c r="P32" s="30">
        <v>5.0599999999999996</v>
      </c>
    </row>
    <row r="33" spans="2:16" ht="15" customHeight="1" x14ac:dyDescent="0.25">
      <c r="B33" s="33">
        <v>21</v>
      </c>
      <c r="C33" s="33" t="s">
        <v>177</v>
      </c>
      <c r="D33" s="35" t="s">
        <v>178</v>
      </c>
      <c r="E33" s="33">
        <v>65</v>
      </c>
      <c r="F33" s="34" t="s">
        <v>8</v>
      </c>
      <c r="G33" s="34">
        <v>73</v>
      </c>
      <c r="H33" s="34">
        <v>90</v>
      </c>
      <c r="I33" s="34">
        <v>31</v>
      </c>
      <c r="J33" s="34" t="s">
        <v>8</v>
      </c>
      <c r="K33" s="34" t="s">
        <v>8</v>
      </c>
      <c r="L33" s="34" t="s">
        <v>8</v>
      </c>
      <c r="M33" s="36">
        <v>0.91</v>
      </c>
      <c r="N33" s="36">
        <v>0.27600000000000002</v>
      </c>
      <c r="O33" s="36">
        <v>-0.193</v>
      </c>
      <c r="P33" s="34">
        <v>0.48</v>
      </c>
    </row>
    <row r="34" spans="2:16" ht="15" customHeight="1" x14ac:dyDescent="0.25">
      <c r="B34" s="29">
        <v>22</v>
      </c>
      <c r="C34" s="29" t="s">
        <v>243</v>
      </c>
      <c r="D34" s="31" t="s">
        <v>653</v>
      </c>
      <c r="E34" s="29">
        <v>65</v>
      </c>
      <c r="F34" s="30" t="s">
        <v>8</v>
      </c>
      <c r="G34" s="30">
        <v>64</v>
      </c>
      <c r="H34" s="30">
        <v>68</v>
      </c>
      <c r="I34" s="30">
        <v>63</v>
      </c>
      <c r="J34" s="30" t="s">
        <v>8</v>
      </c>
      <c r="K34" s="30" t="s">
        <v>8</v>
      </c>
      <c r="L34" s="30" t="s">
        <v>8</v>
      </c>
      <c r="M34" s="32">
        <v>0.58699999999999997</v>
      </c>
      <c r="N34" s="32">
        <v>0.28499999999999998</v>
      </c>
      <c r="O34" s="32">
        <v>0.19400000000000001</v>
      </c>
      <c r="P34" s="30">
        <v>10.58</v>
      </c>
    </row>
    <row r="35" spans="2:16" ht="15" customHeight="1" x14ac:dyDescent="0.25">
      <c r="B35" s="33">
        <v>23</v>
      </c>
      <c r="C35" s="33" t="s">
        <v>200</v>
      </c>
      <c r="D35" s="35" t="s">
        <v>201</v>
      </c>
      <c r="E35" s="33">
        <v>64</v>
      </c>
      <c r="F35" s="34" t="s">
        <v>8</v>
      </c>
      <c r="G35" s="34">
        <v>52</v>
      </c>
      <c r="H35" s="34">
        <v>84</v>
      </c>
      <c r="I35" s="34">
        <v>55</v>
      </c>
      <c r="J35" s="34" t="s">
        <v>8</v>
      </c>
      <c r="K35" s="34" t="s">
        <v>8</v>
      </c>
      <c r="L35" s="34" t="s">
        <v>8</v>
      </c>
      <c r="M35" s="36">
        <v>0.81399999999999995</v>
      </c>
      <c r="N35" s="36">
        <v>0.28599999999999998</v>
      </c>
      <c r="O35" s="36">
        <v>5.5E-2</v>
      </c>
      <c r="P35" s="34">
        <v>5.01</v>
      </c>
    </row>
    <row r="36" spans="2:16" ht="15" customHeight="1" x14ac:dyDescent="0.25">
      <c r="B36" s="29">
        <v>24</v>
      </c>
      <c r="C36" s="29" t="s">
        <v>187</v>
      </c>
      <c r="D36" s="31" t="s">
        <v>188</v>
      </c>
      <c r="E36" s="29">
        <v>62</v>
      </c>
      <c r="F36" s="30" t="s">
        <v>8</v>
      </c>
      <c r="G36" s="30">
        <v>66</v>
      </c>
      <c r="H36" s="30">
        <v>87</v>
      </c>
      <c r="I36" s="30">
        <v>33</v>
      </c>
      <c r="J36" s="30" t="s">
        <v>8</v>
      </c>
      <c r="K36" s="30" t="s">
        <v>8</v>
      </c>
      <c r="L36" s="30" t="s">
        <v>8</v>
      </c>
      <c r="M36" s="32">
        <v>0.68799999999999994</v>
      </c>
      <c r="N36" s="32">
        <v>0.56899999999999995</v>
      </c>
      <c r="O36" s="32">
        <v>-0.191</v>
      </c>
      <c r="P36" s="30">
        <v>4.46</v>
      </c>
    </row>
    <row r="37" spans="2:16" ht="15" customHeight="1" x14ac:dyDescent="0.25">
      <c r="B37" s="33">
        <v>25</v>
      </c>
      <c r="C37" s="33" t="s">
        <v>37</v>
      </c>
      <c r="D37" s="35" t="s">
        <v>38</v>
      </c>
      <c r="E37" s="33">
        <v>61</v>
      </c>
      <c r="F37" s="34" t="s">
        <v>8</v>
      </c>
      <c r="G37" s="34">
        <v>71</v>
      </c>
      <c r="H37" s="34">
        <v>95</v>
      </c>
      <c r="I37" s="34">
        <v>17</v>
      </c>
      <c r="J37" s="34" t="s">
        <v>8</v>
      </c>
      <c r="K37" s="34" t="s">
        <v>8</v>
      </c>
      <c r="L37" s="34" t="s">
        <v>8</v>
      </c>
      <c r="M37" s="36">
        <v>0.82199999999999995</v>
      </c>
      <c r="N37" s="36">
        <v>0.47799999999999998</v>
      </c>
      <c r="O37" s="36">
        <v>-0.36799999999999999</v>
      </c>
      <c r="P37" s="34">
        <v>10.3</v>
      </c>
    </row>
    <row r="38" spans="2:16" ht="15" customHeight="1" x14ac:dyDescent="0.25">
      <c r="B38" s="29">
        <v>26</v>
      </c>
      <c r="C38" s="29" t="s">
        <v>244</v>
      </c>
      <c r="D38" s="31" t="s">
        <v>522</v>
      </c>
      <c r="E38" s="29">
        <v>61</v>
      </c>
      <c r="F38" s="30" t="s">
        <v>8</v>
      </c>
      <c r="G38" s="30">
        <v>51</v>
      </c>
      <c r="H38" s="30">
        <v>72</v>
      </c>
      <c r="I38" s="30">
        <v>59</v>
      </c>
      <c r="J38" s="30" t="s">
        <v>8</v>
      </c>
      <c r="K38" s="30" t="s">
        <v>8</v>
      </c>
      <c r="L38" s="30" t="s">
        <v>8</v>
      </c>
      <c r="M38" s="32">
        <v>0.56999999999999995</v>
      </c>
      <c r="N38" s="32">
        <v>0.46700000000000003</v>
      </c>
      <c r="O38" s="32">
        <v>8.5000000000000006E-2</v>
      </c>
      <c r="P38" s="30">
        <v>9.08</v>
      </c>
    </row>
    <row r="39" spans="2:16" ht="15" customHeight="1" x14ac:dyDescent="0.25">
      <c r="B39" s="33">
        <v>27</v>
      </c>
      <c r="C39" s="33" t="s">
        <v>245</v>
      </c>
      <c r="D39" s="35" t="s">
        <v>738</v>
      </c>
      <c r="E39" s="33">
        <v>60</v>
      </c>
      <c r="F39" s="34" t="s">
        <v>8</v>
      </c>
      <c r="G39" s="34">
        <v>78</v>
      </c>
      <c r="H39" s="34">
        <v>52</v>
      </c>
      <c r="I39" s="34">
        <v>50</v>
      </c>
      <c r="J39" s="34" t="s">
        <v>8</v>
      </c>
      <c r="K39" s="34" t="s">
        <v>8</v>
      </c>
      <c r="L39" s="34" t="s">
        <v>8</v>
      </c>
      <c r="M39" s="36">
        <v>0.58199999999999996</v>
      </c>
      <c r="N39" s="36">
        <v>0.25600000000000001</v>
      </c>
      <c r="O39" s="36">
        <v>-2.8000000000000001E-2</v>
      </c>
      <c r="P39" s="34">
        <v>4.0999999999999996</v>
      </c>
    </row>
    <row r="40" spans="2:16" ht="15" customHeight="1" x14ac:dyDescent="0.25">
      <c r="B40" s="29">
        <v>28</v>
      </c>
      <c r="C40" s="29" t="s">
        <v>214</v>
      </c>
      <c r="D40" s="31" t="s">
        <v>215</v>
      </c>
      <c r="E40" s="29">
        <v>60</v>
      </c>
      <c r="F40" s="30" t="s">
        <v>8</v>
      </c>
      <c r="G40" s="30">
        <v>38</v>
      </c>
      <c r="H40" s="30">
        <v>53</v>
      </c>
      <c r="I40" s="30">
        <v>90</v>
      </c>
      <c r="J40" s="30" t="s">
        <v>8</v>
      </c>
      <c r="K40" s="30" t="s">
        <v>8</v>
      </c>
      <c r="L40" s="30" t="s">
        <v>8</v>
      </c>
      <c r="M40" s="32">
        <v>0.48699999999999999</v>
      </c>
      <c r="N40" s="32">
        <v>0.35199999999999998</v>
      </c>
      <c r="O40" s="32">
        <v>1.248</v>
      </c>
      <c r="P40" s="30">
        <v>10.4</v>
      </c>
    </row>
    <row r="41" spans="2:16" ht="15" customHeight="1" x14ac:dyDescent="0.25">
      <c r="B41" s="33">
        <v>29</v>
      </c>
      <c r="C41" s="33" t="s">
        <v>246</v>
      </c>
      <c r="D41" s="35" t="s">
        <v>524</v>
      </c>
      <c r="E41" s="33">
        <v>60</v>
      </c>
      <c r="F41" s="34" t="s">
        <v>8</v>
      </c>
      <c r="G41" s="34">
        <v>53</v>
      </c>
      <c r="H41" s="34">
        <v>83</v>
      </c>
      <c r="I41" s="34">
        <v>44</v>
      </c>
      <c r="J41" s="34" t="s">
        <v>8</v>
      </c>
      <c r="K41" s="34" t="s">
        <v>8</v>
      </c>
      <c r="L41" s="34" t="s">
        <v>8</v>
      </c>
      <c r="M41" s="36">
        <v>0.78600000000000003</v>
      </c>
      <c r="N41" s="36">
        <v>0.51600000000000001</v>
      </c>
      <c r="O41" s="36">
        <v>-9.7000000000000003E-2</v>
      </c>
      <c r="P41" s="34">
        <v>1.86</v>
      </c>
    </row>
    <row r="42" spans="2:16" ht="15" customHeight="1" x14ac:dyDescent="0.25">
      <c r="B42" s="29">
        <v>30</v>
      </c>
      <c r="C42" s="29" t="s">
        <v>247</v>
      </c>
      <c r="D42" s="31" t="s">
        <v>525</v>
      </c>
      <c r="E42" s="29">
        <v>60</v>
      </c>
      <c r="F42" s="30" t="s">
        <v>8</v>
      </c>
      <c r="G42" s="30">
        <v>69</v>
      </c>
      <c r="H42" s="30">
        <v>47</v>
      </c>
      <c r="I42" s="30">
        <v>64</v>
      </c>
      <c r="J42" s="30" t="s">
        <v>8</v>
      </c>
      <c r="K42" s="30" t="s">
        <v>8</v>
      </c>
      <c r="L42" s="30" t="s">
        <v>8</v>
      </c>
      <c r="M42" s="32">
        <v>0.40600000000000003</v>
      </c>
      <c r="N42" s="32">
        <v>0.41299999999999998</v>
      </c>
      <c r="O42" s="32">
        <v>0.24099999999999999</v>
      </c>
      <c r="P42" s="30">
        <v>6.99</v>
      </c>
    </row>
    <row r="43" spans="2:16" ht="15" customHeight="1" x14ac:dyDescent="0.25">
      <c r="B43" s="33">
        <v>31</v>
      </c>
      <c r="C43" s="33" t="s">
        <v>118</v>
      </c>
      <c r="D43" s="35" t="s">
        <v>119</v>
      </c>
      <c r="E43" s="33">
        <v>59</v>
      </c>
      <c r="F43" s="34" t="s">
        <v>8</v>
      </c>
      <c r="G43" s="34">
        <v>93</v>
      </c>
      <c r="H43" s="34">
        <v>76</v>
      </c>
      <c r="I43" s="34">
        <v>8</v>
      </c>
      <c r="J43" s="34" t="s">
        <v>8</v>
      </c>
      <c r="K43" s="34" t="s">
        <v>8</v>
      </c>
      <c r="L43" s="34" t="s">
        <v>8</v>
      </c>
      <c r="M43" s="36">
        <v>0.72899999999999998</v>
      </c>
      <c r="N43" s="36">
        <v>0.32800000000000001</v>
      </c>
      <c r="O43" s="36">
        <v>-0.435</v>
      </c>
      <c r="P43" s="34">
        <v>5.34</v>
      </c>
    </row>
    <row r="44" spans="2:16" ht="15" customHeight="1" x14ac:dyDescent="0.25">
      <c r="B44" s="29">
        <v>32</v>
      </c>
      <c r="C44" s="29" t="s">
        <v>24</v>
      </c>
      <c r="D44" s="31" t="s">
        <v>25</v>
      </c>
      <c r="E44" s="29">
        <v>59</v>
      </c>
      <c r="F44" s="30" t="s">
        <v>8</v>
      </c>
      <c r="G44" s="30">
        <v>59</v>
      </c>
      <c r="H44" s="30">
        <v>21</v>
      </c>
      <c r="I44" s="30">
        <v>98</v>
      </c>
      <c r="J44" s="30" t="s">
        <v>8</v>
      </c>
      <c r="K44" s="30" t="s">
        <v>8</v>
      </c>
      <c r="L44" s="30" t="s">
        <v>8</v>
      </c>
      <c r="M44" s="32">
        <v>0.42</v>
      </c>
      <c r="N44" s="32">
        <v>8.1000000000000003E-2</v>
      </c>
      <c r="O44" s="32">
        <v>4.5460000000000003</v>
      </c>
      <c r="P44" s="30">
        <v>1.96</v>
      </c>
    </row>
    <row r="45" spans="2:16" ht="15" customHeight="1" x14ac:dyDescent="0.25">
      <c r="B45" s="33">
        <v>33</v>
      </c>
      <c r="C45" s="33" t="s">
        <v>169</v>
      </c>
      <c r="D45" s="35" t="s">
        <v>170</v>
      </c>
      <c r="E45" s="33">
        <v>59</v>
      </c>
      <c r="F45" s="34" t="s">
        <v>8</v>
      </c>
      <c r="G45" s="34">
        <v>56</v>
      </c>
      <c r="H45" s="34">
        <v>92</v>
      </c>
      <c r="I45" s="34">
        <v>30</v>
      </c>
      <c r="J45" s="34" t="s">
        <v>8</v>
      </c>
      <c r="K45" s="34" t="s">
        <v>8</v>
      </c>
      <c r="L45" s="34" t="s">
        <v>8</v>
      </c>
      <c r="M45" s="36">
        <v>0.80500000000000005</v>
      </c>
      <c r="N45" s="36">
        <v>0.36099999999999999</v>
      </c>
      <c r="O45" s="36">
        <v>-0.2</v>
      </c>
      <c r="P45" s="34">
        <v>2.02</v>
      </c>
    </row>
    <row r="46" spans="2:16" ht="15" customHeight="1" x14ac:dyDescent="0.25">
      <c r="B46" s="29">
        <v>34</v>
      </c>
      <c r="C46" s="29" t="s">
        <v>248</v>
      </c>
      <c r="D46" s="31" t="s">
        <v>526</v>
      </c>
      <c r="E46" s="29">
        <v>59</v>
      </c>
      <c r="F46" s="30" t="s">
        <v>8</v>
      </c>
      <c r="G46" s="30">
        <v>74</v>
      </c>
      <c r="H46" s="30">
        <v>45</v>
      </c>
      <c r="I46" s="30">
        <v>57</v>
      </c>
      <c r="J46" s="30" t="s">
        <v>8</v>
      </c>
      <c r="K46" s="30" t="s">
        <v>8</v>
      </c>
      <c r="L46" s="30" t="s">
        <v>8</v>
      </c>
      <c r="M46" s="32">
        <v>0.51700000000000002</v>
      </c>
      <c r="N46" s="32">
        <v>0.308</v>
      </c>
      <c r="O46" s="32">
        <v>6.7000000000000004E-2</v>
      </c>
      <c r="P46" s="30">
        <v>1.75</v>
      </c>
    </row>
    <row r="47" spans="2:16" ht="15" customHeight="1" x14ac:dyDescent="0.25">
      <c r="B47" s="33">
        <v>35</v>
      </c>
      <c r="C47" s="33" t="s">
        <v>30</v>
      </c>
      <c r="D47" s="35" t="s">
        <v>31</v>
      </c>
      <c r="E47" s="33">
        <v>58</v>
      </c>
      <c r="F47" s="34" t="s">
        <v>8</v>
      </c>
      <c r="G47" s="34">
        <v>65</v>
      </c>
      <c r="H47" s="34">
        <v>97</v>
      </c>
      <c r="I47" s="34">
        <v>12</v>
      </c>
      <c r="J47" s="34" t="s">
        <v>8</v>
      </c>
      <c r="K47" s="34" t="s">
        <v>8</v>
      </c>
      <c r="L47" s="34" t="s">
        <v>8</v>
      </c>
      <c r="M47" s="36">
        <v>0.89300000000000002</v>
      </c>
      <c r="N47" s="36">
        <v>0.41299999999999998</v>
      </c>
      <c r="O47" s="36">
        <v>-0.41899999999999998</v>
      </c>
      <c r="P47" s="34">
        <v>7.74</v>
      </c>
    </row>
    <row r="48" spans="2:16" ht="15" customHeight="1" x14ac:dyDescent="0.25">
      <c r="B48" s="29">
        <v>36</v>
      </c>
      <c r="C48" s="29" t="s">
        <v>14</v>
      </c>
      <c r="D48" s="31" t="s">
        <v>15</v>
      </c>
      <c r="E48" s="29">
        <v>58</v>
      </c>
      <c r="F48" s="30" t="s">
        <v>8</v>
      </c>
      <c r="G48" s="30">
        <v>28</v>
      </c>
      <c r="H48" s="30">
        <v>99</v>
      </c>
      <c r="I48" s="30">
        <v>48</v>
      </c>
      <c r="J48" s="30" t="s">
        <v>8</v>
      </c>
      <c r="K48" s="30" t="s">
        <v>8</v>
      </c>
      <c r="L48" s="30" t="s">
        <v>8</v>
      </c>
      <c r="M48" s="32">
        <v>0.88200000000000001</v>
      </c>
      <c r="N48" s="32">
        <v>0.71</v>
      </c>
      <c r="O48" s="32">
        <v>-3.5999999999999997E-2</v>
      </c>
      <c r="P48" s="30">
        <v>-27.16</v>
      </c>
    </row>
    <row r="49" spans="2:33" ht="15" customHeight="1" x14ac:dyDescent="0.25">
      <c r="B49" s="33">
        <v>37</v>
      </c>
      <c r="C49" s="33" t="s">
        <v>249</v>
      </c>
      <c r="D49" s="35" t="s">
        <v>527</v>
      </c>
      <c r="E49" s="33">
        <v>55</v>
      </c>
      <c r="F49" s="34" t="s">
        <v>8</v>
      </c>
      <c r="G49" s="34">
        <v>72</v>
      </c>
      <c r="H49" s="34">
        <v>82</v>
      </c>
      <c r="I49" s="34">
        <v>10</v>
      </c>
      <c r="J49" s="34" t="s">
        <v>8</v>
      </c>
      <c r="K49" s="34" t="s">
        <v>8</v>
      </c>
      <c r="L49" s="34" t="s">
        <v>8</v>
      </c>
      <c r="M49" s="36">
        <v>0.79600000000000004</v>
      </c>
      <c r="N49" s="36">
        <v>0.313</v>
      </c>
      <c r="O49" s="36">
        <v>-0.42599999999999999</v>
      </c>
      <c r="P49" s="34">
        <v>4.5199999999999996</v>
      </c>
    </row>
    <row r="50" spans="2:33" s="18" customFormat="1" ht="12" customHeight="1" x14ac:dyDescent="0.25">
      <c r="B50" s="58"/>
      <c r="C50" s="58"/>
      <c r="D50" s="59"/>
      <c r="E50" s="58"/>
      <c r="F50" s="60"/>
      <c r="G50" s="60"/>
      <c r="H50" s="60"/>
      <c r="I50" s="60"/>
      <c r="J50" s="60"/>
      <c r="K50" s="60"/>
      <c r="L50" s="60"/>
      <c r="M50" s="61"/>
      <c r="N50" s="61"/>
      <c r="O50" s="61"/>
      <c r="P50" s="60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</row>
    <row r="51" spans="2:33" ht="14.1" customHeight="1" x14ac:dyDescent="0.25">
      <c r="B51" s="50" t="s">
        <v>739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2:33" ht="15" customHeight="1" x14ac:dyDescent="0.25">
      <c r="B52" s="33">
        <v>38</v>
      </c>
      <c r="C52" s="33" t="s">
        <v>250</v>
      </c>
      <c r="D52" s="35" t="s">
        <v>528</v>
      </c>
      <c r="E52" s="33">
        <v>54</v>
      </c>
      <c r="F52" s="34" t="s">
        <v>8</v>
      </c>
      <c r="G52" s="34">
        <v>44</v>
      </c>
      <c r="H52" s="34">
        <v>75</v>
      </c>
      <c r="I52" s="34">
        <v>42</v>
      </c>
      <c r="J52" s="34" t="s">
        <v>8</v>
      </c>
      <c r="K52" s="34" t="s">
        <v>8</v>
      </c>
      <c r="L52" s="34" t="s">
        <v>8</v>
      </c>
      <c r="M52" s="36">
        <v>0.70499999999999996</v>
      </c>
      <c r="N52" s="36">
        <v>0.41699999999999998</v>
      </c>
      <c r="O52" s="36">
        <v>-0.11600000000000001</v>
      </c>
      <c r="P52" s="34">
        <v>0.24</v>
      </c>
    </row>
    <row r="53" spans="2:33" ht="15" customHeight="1" x14ac:dyDescent="0.25">
      <c r="B53" s="29">
        <v>39</v>
      </c>
      <c r="C53" s="29" t="s">
        <v>251</v>
      </c>
      <c r="D53" s="31" t="s">
        <v>529</v>
      </c>
      <c r="E53" s="29">
        <v>53</v>
      </c>
      <c r="F53" s="30" t="s">
        <v>8</v>
      </c>
      <c r="G53" s="30">
        <v>80</v>
      </c>
      <c r="H53" s="30">
        <v>74</v>
      </c>
      <c r="I53" s="30">
        <v>5</v>
      </c>
      <c r="J53" s="30" t="s">
        <v>8</v>
      </c>
      <c r="K53" s="30" t="s">
        <v>8</v>
      </c>
      <c r="L53" s="30" t="s">
        <v>8</v>
      </c>
      <c r="M53" s="32">
        <v>0.77500000000000002</v>
      </c>
      <c r="N53" s="32">
        <v>0.22800000000000001</v>
      </c>
      <c r="O53" s="32">
        <v>-0.495</v>
      </c>
      <c r="P53" s="30">
        <v>2.29</v>
      </c>
    </row>
    <row r="54" spans="2:33" ht="15" customHeight="1" x14ac:dyDescent="0.25">
      <c r="B54" s="33">
        <v>40</v>
      </c>
      <c r="C54" s="33" t="s">
        <v>134</v>
      </c>
      <c r="D54" s="35" t="s">
        <v>135</v>
      </c>
      <c r="E54" s="33">
        <v>53</v>
      </c>
      <c r="F54" s="34" t="s">
        <v>8</v>
      </c>
      <c r="G54" s="34">
        <v>87</v>
      </c>
      <c r="H54" s="34">
        <v>26</v>
      </c>
      <c r="I54" s="34">
        <v>47</v>
      </c>
      <c r="J54" s="34" t="s">
        <v>8</v>
      </c>
      <c r="K54" s="34" t="s">
        <v>8</v>
      </c>
      <c r="L54" s="34" t="s">
        <v>8</v>
      </c>
      <c r="M54" s="36">
        <v>0.42799999999999999</v>
      </c>
      <c r="N54" s="36">
        <v>0.14099999999999999</v>
      </c>
      <c r="O54" s="36">
        <v>-4.3999999999999997E-2</v>
      </c>
      <c r="P54" s="34">
        <v>4.2300000000000004</v>
      </c>
    </row>
    <row r="55" spans="2:33" ht="15" customHeight="1" x14ac:dyDescent="0.25">
      <c r="B55" s="29">
        <v>41</v>
      </c>
      <c r="C55" s="29" t="s">
        <v>252</v>
      </c>
      <c r="D55" s="31" t="s">
        <v>530</v>
      </c>
      <c r="E55" s="29">
        <v>53</v>
      </c>
      <c r="F55" s="30" t="s">
        <v>8</v>
      </c>
      <c r="G55" s="30">
        <v>62</v>
      </c>
      <c r="H55" s="30">
        <v>78</v>
      </c>
      <c r="I55" s="30">
        <v>20</v>
      </c>
      <c r="J55" s="30" t="s">
        <v>8</v>
      </c>
      <c r="K55" s="30" t="s">
        <v>8</v>
      </c>
      <c r="L55" s="30" t="s">
        <v>8</v>
      </c>
      <c r="M55" s="32">
        <v>0.80300000000000005</v>
      </c>
      <c r="N55" s="32">
        <v>0.51500000000000001</v>
      </c>
      <c r="O55" s="30" t="s">
        <v>8</v>
      </c>
      <c r="P55" s="30" t="s">
        <v>8</v>
      </c>
    </row>
    <row r="56" spans="2:33" ht="15" customHeight="1" x14ac:dyDescent="0.25">
      <c r="B56" s="33">
        <v>42</v>
      </c>
      <c r="C56" s="33" t="s">
        <v>175</v>
      </c>
      <c r="D56" s="35" t="s">
        <v>176</v>
      </c>
      <c r="E56" s="33">
        <v>52</v>
      </c>
      <c r="F56" s="34" t="s">
        <v>8</v>
      </c>
      <c r="G56" s="34">
        <v>42</v>
      </c>
      <c r="H56" s="34">
        <v>91</v>
      </c>
      <c r="I56" s="34">
        <v>23</v>
      </c>
      <c r="J56" s="34" t="s">
        <v>8</v>
      </c>
      <c r="K56" s="34" t="s">
        <v>8</v>
      </c>
      <c r="L56" s="34" t="s">
        <v>8</v>
      </c>
      <c r="M56" s="36">
        <v>0.92700000000000005</v>
      </c>
      <c r="N56" s="36">
        <v>0.25</v>
      </c>
      <c r="O56" s="34" t="s">
        <v>8</v>
      </c>
      <c r="P56" s="34" t="s">
        <v>8</v>
      </c>
    </row>
    <row r="57" spans="2:33" ht="15" customHeight="1" x14ac:dyDescent="0.25">
      <c r="B57" s="29">
        <v>43</v>
      </c>
      <c r="C57" s="29" t="s">
        <v>253</v>
      </c>
      <c r="D57" s="31" t="s">
        <v>531</v>
      </c>
      <c r="E57" s="29">
        <v>52</v>
      </c>
      <c r="F57" s="30" t="s">
        <v>8</v>
      </c>
      <c r="G57" s="30">
        <v>30</v>
      </c>
      <c r="H57" s="30">
        <v>46</v>
      </c>
      <c r="I57" s="30">
        <v>79</v>
      </c>
      <c r="J57" s="30" t="s">
        <v>8</v>
      </c>
      <c r="K57" s="30" t="s">
        <v>8</v>
      </c>
      <c r="L57" s="30" t="s">
        <v>8</v>
      </c>
      <c r="M57" s="32">
        <v>0.58899999999999997</v>
      </c>
      <c r="N57" s="32">
        <v>0.31900000000000001</v>
      </c>
      <c r="O57" s="30" t="s">
        <v>8</v>
      </c>
      <c r="P57" s="30" t="s">
        <v>8</v>
      </c>
    </row>
    <row r="58" spans="2:33" ht="15" customHeight="1" x14ac:dyDescent="0.25">
      <c r="B58" s="33">
        <v>44</v>
      </c>
      <c r="C58" s="33" t="s">
        <v>254</v>
      </c>
      <c r="D58" s="35" t="s">
        <v>532</v>
      </c>
      <c r="E58" s="33">
        <v>51</v>
      </c>
      <c r="F58" s="34" t="s">
        <v>8</v>
      </c>
      <c r="G58" s="34">
        <v>23</v>
      </c>
      <c r="H58" s="34">
        <v>63</v>
      </c>
      <c r="I58" s="34">
        <v>66</v>
      </c>
      <c r="J58" s="34" t="s">
        <v>8</v>
      </c>
      <c r="K58" s="34" t="s">
        <v>8</v>
      </c>
      <c r="L58" s="34" t="s">
        <v>8</v>
      </c>
      <c r="M58" s="36">
        <v>0.64900000000000002</v>
      </c>
      <c r="N58" s="36">
        <v>0.27400000000000002</v>
      </c>
      <c r="O58" s="34" t="s">
        <v>8</v>
      </c>
      <c r="P58" s="34" t="s">
        <v>8</v>
      </c>
    </row>
    <row r="59" spans="2:33" ht="15" customHeight="1" x14ac:dyDescent="0.25">
      <c r="B59" s="29">
        <v>45</v>
      </c>
      <c r="C59" s="29" t="s">
        <v>255</v>
      </c>
      <c r="D59" s="31" t="s">
        <v>533</v>
      </c>
      <c r="E59" s="29">
        <v>51</v>
      </c>
      <c r="F59" s="30" t="s">
        <v>8</v>
      </c>
      <c r="G59" s="30">
        <v>50</v>
      </c>
      <c r="H59" s="30">
        <v>77</v>
      </c>
      <c r="I59" s="30">
        <v>26</v>
      </c>
      <c r="J59" s="30" t="s">
        <v>8</v>
      </c>
      <c r="K59" s="30" t="s">
        <v>8</v>
      </c>
      <c r="L59" s="30" t="s">
        <v>8</v>
      </c>
      <c r="M59" s="32">
        <v>0.77700000000000002</v>
      </c>
      <c r="N59" s="32">
        <v>0.30199999999999999</v>
      </c>
      <c r="O59" s="30" t="s">
        <v>8</v>
      </c>
      <c r="P59" s="30" t="s">
        <v>8</v>
      </c>
    </row>
    <row r="60" spans="2:33" ht="15" customHeight="1" x14ac:dyDescent="0.25">
      <c r="B60" s="33">
        <v>46</v>
      </c>
      <c r="C60" s="33" t="s">
        <v>256</v>
      </c>
      <c r="D60" s="35" t="s">
        <v>534</v>
      </c>
      <c r="E60" s="33">
        <v>51</v>
      </c>
      <c r="F60" s="34" t="s">
        <v>8</v>
      </c>
      <c r="G60" s="34">
        <v>29</v>
      </c>
      <c r="H60" s="34">
        <v>71</v>
      </c>
      <c r="I60" s="34">
        <v>53</v>
      </c>
      <c r="J60" s="34" t="s">
        <v>8</v>
      </c>
      <c r="K60" s="34" t="s">
        <v>8</v>
      </c>
      <c r="L60" s="34" t="s">
        <v>8</v>
      </c>
      <c r="M60" s="36">
        <v>0.70199999999999996</v>
      </c>
      <c r="N60" s="36">
        <v>0.25700000000000001</v>
      </c>
      <c r="O60" s="34" t="s">
        <v>8</v>
      </c>
      <c r="P60" s="34" t="s">
        <v>8</v>
      </c>
    </row>
    <row r="61" spans="2:33" ht="15" customHeight="1" x14ac:dyDescent="0.25">
      <c r="B61" s="29">
        <v>47</v>
      </c>
      <c r="C61" s="29" t="s">
        <v>257</v>
      </c>
      <c r="D61" s="31" t="s">
        <v>535</v>
      </c>
      <c r="E61" s="29">
        <v>50</v>
      </c>
      <c r="F61" s="30" t="s">
        <v>8</v>
      </c>
      <c r="G61" s="30">
        <v>31</v>
      </c>
      <c r="H61" s="30">
        <v>51</v>
      </c>
      <c r="I61" s="30">
        <v>67</v>
      </c>
      <c r="J61" s="30" t="s">
        <v>8</v>
      </c>
      <c r="K61" s="30" t="s">
        <v>8</v>
      </c>
      <c r="L61" s="30" t="s">
        <v>8</v>
      </c>
      <c r="M61" s="32">
        <v>0.46899999999999997</v>
      </c>
      <c r="N61" s="32">
        <v>0.34799999999999998</v>
      </c>
      <c r="O61" s="30" t="s">
        <v>8</v>
      </c>
      <c r="P61" s="30" t="s">
        <v>8</v>
      </c>
    </row>
    <row r="62" spans="2:33" ht="15" customHeight="1" x14ac:dyDescent="0.25">
      <c r="B62" s="33">
        <v>48</v>
      </c>
      <c r="C62" s="33" t="s">
        <v>258</v>
      </c>
      <c r="D62" s="35" t="s">
        <v>536</v>
      </c>
      <c r="E62" s="33">
        <v>50</v>
      </c>
      <c r="F62" s="34" t="s">
        <v>8</v>
      </c>
      <c r="G62" s="34">
        <v>63</v>
      </c>
      <c r="H62" s="34">
        <v>44</v>
      </c>
      <c r="I62" s="34">
        <v>43</v>
      </c>
      <c r="J62" s="34" t="s">
        <v>8</v>
      </c>
      <c r="K62" s="34" t="s">
        <v>8</v>
      </c>
      <c r="L62" s="34" t="s">
        <v>8</v>
      </c>
      <c r="M62" s="36">
        <v>0.55400000000000005</v>
      </c>
      <c r="N62" s="36">
        <v>0.33700000000000002</v>
      </c>
      <c r="O62" s="34" t="s">
        <v>8</v>
      </c>
      <c r="P62" s="34" t="s">
        <v>8</v>
      </c>
    </row>
    <row r="63" spans="2:33" ht="15" customHeight="1" x14ac:dyDescent="0.25">
      <c r="B63" s="29">
        <v>49</v>
      </c>
      <c r="C63" s="29" t="s">
        <v>259</v>
      </c>
      <c r="D63" s="31" t="s">
        <v>537</v>
      </c>
      <c r="E63" s="29">
        <v>50</v>
      </c>
      <c r="F63" s="30" t="s">
        <v>8</v>
      </c>
      <c r="G63" s="30">
        <v>76</v>
      </c>
      <c r="H63" s="30">
        <v>36</v>
      </c>
      <c r="I63" s="30">
        <v>38</v>
      </c>
      <c r="J63" s="30" t="s">
        <v>8</v>
      </c>
      <c r="K63" s="30" t="s">
        <v>8</v>
      </c>
      <c r="L63" s="30" t="s">
        <v>8</v>
      </c>
      <c r="M63" s="32">
        <v>0.39800000000000002</v>
      </c>
      <c r="N63" s="32">
        <v>0.13400000000000001</v>
      </c>
      <c r="O63" s="30" t="s">
        <v>8</v>
      </c>
      <c r="P63" s="30" t="s">
        <v>8</v>
      </c>
    </row>
    <row r="64" spans="2:33" ht="15" customHeight="1" x14ac:dyDescent="0.25">
      <c r="B64" s="33">
        <v>50</v>
      </c>
      <c r="C64" s="33" t="s">
        <v>260</v>
      </c>
      <c r="D64" s="35" t="s">
        <v>538</v>
      </c>
      <c r="E64" s="33">
        <v>50</v>
      </c>
      <c r="F64" s="34" t="s">
        <v>8</v>
      </c>
      <c r="G64" s="34">
        <v>77</v>
      </c>
      <c r="H64" s="34">
        <v>66</v>
      </c>
      <c r="I64" s="34">
        <v>6</v>
      </c>
      <c r="J64" s="34" t="s">
        <v>8</v>
      </c>
      <c r="K64" s="34" t="s">
        <v>8</v>
      </c>
      <c r="L64" s="34" t="s">
        <v>8</v>
      </c>
      <c r="M64" s="36">
        <v>0.75700000000000001</v>
      </c>
      <c r="N64" s="36">
        <v>0.154</v>
      </c>
      <c r="O64" s="34" t="s">
        <v>8</v>
      </c>
      <c r="P64" s="34" t="s">
        <v>8</v>
      </c>
    </row>
    <row r="65" spans="2:16" ht="15" customHeight="1" x14ac:dyDescent="0.25">
      <c r="B65" s="29">
        <v>51</v>
      </c>
      <c r="C65" s="29" t="s">
        <v>261</v>
      </c>
      <c r="D65" s="31" t="s">
        <v>740</v>
      </c>
      <c r="E65" s="29">
        <v>49</v>
      </c>
      <c r="F65" s="30" t="s">
        <v>8</v>
      </c>
      <c r="G65" s="30">
        <v>48</v>
      </c>
      <c r="H65" s="30">
        <v>33</v>
      </c>
      <c r="I65" s="30">
        <v>65</v>
      </c>
      <c r="J65" s="30" t="s">
        <v>8</v>
      </c>
      <c r="K65" s="30" t="s">
        <v>8</v>
      </c>
      <c r="L65" s="30" t="s">
        <v>8</v>
      </c>
      <c r="M65" s="32">
        <v>0.42799999999999999</v>
      </c>
      <c r="N65" s="32">
        <v>0.24399999999999999</v>
      </c>
      <c r="O65" s="30" t="s">
        <v>8</v>
      </c>
      <c r="P65" s="30" t="s">
        <v>8</v>
      </c>
    </row>
    <row r="66" spans="2:16" ht="15" customHeight="1" x14ac:dyDescent="0.25">
      <c r="B66" s="33">
        <v>52</v>
      </c>
      <c r="C66" s="33" t="s">
        <v>262</v>
      </c>
      <c r="D66" s="35" t="s">
        <v>540</v>
      </c>
      <c r="E66" s="33">
        <v>47</v>
      </c>
      <c r="F66" s="34" t="s">
        <v>8</v>
      </c>
      <c r="G66" s="34">
        <v>21</v>
      </c>
      <c r="H66" s="34">
        <v>69</v>
      </c>
      <c r="I66" s="34">
        <v>51</v>
      </c>
      <c r="J66" s="34" t="s">
        <v>8</v>
      </c>
      <c r="K66" s="34" t="s">
        <v>8</v>
      </c>
      <c r="L66" s="34" t="s">
        <v>8</v>
      </c>
      <c r="M66" s="36">
        <v>0.8</v>
      </c>
      <c r="N66" s="36">
        <v>5.7000000000000002E-2</v>
      </c>
      <c r="O66" s="34" t="s">
        <v>8</v>
      </c>
      <c r="P66" s="34" t="s">
        <v>8</v>
      </c>
    </row>
    <row r="67" spans="2:16" ht="15" customHeight="1" x14ac:dyDescent="0.25">
      <c r="B67" s="29">
        <v>53</v>
      </c>
      <c r="C67" s="29" t="s">
        <v>263</v>
      </c>
      <c r="D67" s="31" t="s">
        <v>541</v>
      </c>
      <c r="E67" s="29">
        <v>46</v>
      </c>
      <c r="F67" s="30" t="s">
        <v>8</v>
      </c>
      <c r="G67" s="30">
        <v>45</v>
      </c>
      <c r="H67" s="30">
        <v>22</v>
      </c>
      <c r="I67" s="30">
        <v>71</v>
      </c>
      <c r="J67" s="30" t="s">
        <v>8</v>
      </c>
      <c r="K67" s="30" t="s">
        <v>8</v>
      </c>
      <c r="L67" s="30" t="s">
        <v>8</v>
      </c>
      <c r="M67" s="32">
        <v>0.35199999999999998</v>
      </c>
      <c r="N67" s="32">
        <v>0.23899999999999999</v>
      </c>
      <c r="O67" s="30" t="s">
        <v>8</v>
      </c>
      <c r="P67" s="30" t="s">
        <v>8</v>
      </c>
    </row>
    <row r="68" spans="2:16" ht="15" customHeight="1" x14ac:dyDescent="0.25">
      <c r="B68" s="33">
        <v>54</v>
      </c>
      <c r="C68" s="33" t="s">
        <v>6</v>
      </c>
      <c r="D68" s="35" t="s">
        <v>7</v>
      </c>
      <c r="E68" s="33">
        <v>42</v>
      </c>
      <c r="F68" s="34" t="s">
        <v>8</v>
      </c>
      <c r="G68" s="34">
        <v>19</v>
      </c>
      <c r="H68" s="34">
        <v>100</v>
      </c>
      <c r="I68" s="34">
        <v>7</v>
      </c>
      <c r="J68" s="34" t="s">
        <v>8</v>
      </c>
      <c r="K68" s="34" t="s">
        <v>8</v>
      </c>
      <c r="L68" s="34" t="s">
        <v>8</v>
      </c>
      <c r="M68" s="36">
        <v>0.83699999999999997</v>
      </c>
      <c r="N68" s="36">
        <v>0.30399999999999999</v>
      </c>
      <c r="O68" s="34" t="s">
        <v>8</v>
      </c>
      <c r="P68" s="34" t="s">
        <v>8</v>
      </c>
    </row>
    <row r="69" spans="2:16" ht="15" customHeight="1" x14ac:dyDescent="0.25">
      <c r="B69" s="29">
        <v>55</v>
      </c>
      <c r="C69" s="29" t="s">
        <v>264</v>
      </c>
      <c r="D69" s="31" t="s">
        <v>542</v>
      </c>
      <c r="E69" s="29">
        <v>41</v>
      </c>
      <c r="F69" s="30" t="s">
        <v>8</v>
      </c>
      <c r="G69" s="30">
        <v>60</v>
      </c>
      <c r="H69" s="30">
        <v>60</v>
      </c>
      <c r="I69" s="30">
        <v>2</v>
      </c>
      <c r="J69" s="30" t="s">
        <v>8</v>
      </c>
      <c r="K69" s="30" t="s">
        <v>8</v>
      </c>
      <c r="L69" s="30" t="s">
        <v>8</v>
      </c>
      <c r="M69" s="32">
        <v>0.63600000000000001</v>
      </c>
      <c r="N69" s="32">
        <v>0.26</v>
      </c>
      <c r="O69" s="30" t="s">
        <v>8</v>
      </c>
      <c r="P69" s="30" t="s">
        <v>8</v>
      </c>
    </row>
    <row r="70" spans="2:16" ht="15" customHeight="1" x14ac:dyDescent="0.25">
      <c r="B70" s="33">
        <v>56</v>
      </c>
      <c r="C70" s="33" t="s">
        <v>265</v>
      </c>
      <c r="D70" s="35" t="s">
        <v>543</v>
      </c>
      <c r="E70" s="33">
        <v>41</v>
      </c>
      <c r="F70" s="34" t="s">
        <v>8</v>
      </c>
      <c r="G70" s="34">
        <v>43</v>
      </c>
      <c r="H70" s="34">
        <v>39</v>
      </c>
      <c r="I70" s="34">
        <v>41</v>
      </c>
      <c r="J70" s="34" t="s">
        <v>8</v>
      </c>
      <c r="K70" s="34" t="s">
        <v>8</v>
      </c>
      <c r="L70" s="34" t="s">
        <v>8</v>
      </c>
      <c r="M70" s="36">
        <v>0.42699999999999999</v>
      </c>
      <c r="N70" s="36">
        <v>0.33700000000000002</v>
      </c>
      <c r="O70" s="34" t="s">
        <v>8</v>
      </c>
      <c r="P70" s="34" t="s">
        <v>8</v>
      </c>
    </row>
    <row r="71" spans="2:16" ht="15" customHeight="1" x14ac:dyDescent="0.25">
      <c r="B71" s="29">
        <v>57</v>
      </c>
      <c r="C71" s="29" t="s">
        <v>266</v>
      </c>
      <c r="D71" s="31" t="s">
        <v>544</v>
      </c>
      <c r="E71" s="29">
        <v>40</v>
      </c>
      <c r="F71" s="30" t="s">
        <v>8</v>
      </c>
      <c r="G71" s="30">
        <v>1</v>
      </c>
      <c r="H71" s="30">
        <v>80</v>
      </c>
      <c r="I71" s="30">
        <v>40</v>
      </c>
      <c r="J71" s="30" t="s">
        <v>8</v>
      </c>
      <c r="K71" s="30" t="s">
        <v>8</v>
      </c>
      <c r="L71" s="30" t="s">
        <v>8</v>
      </c>
      <c r="M71" s="30" t="s">
        <v>8</v>
      </c>
      <c r="N71" s="30" t="s">
        <v>8</v>
      </c>
      <c r="O71" s="30" t="s">
        <v>8</v>
      </c>
      <c r="P71" s="30" t="s">
        <v>8</v>
      </c>
    </row>
    <row r="72" spans="2:16" ht="15" customHeight="1" x14ac:dyDescent="0.25">
      <c r="B72" s="33">
        <v>58</v>
      </c>
      <c r="C72" s="33" t="s">
        <v>267</v>
      </c>
      <c r="D72" s="35" t="s">
        <v>545</v>
      </c>
      <c r="E72" s="33">
        <v>40</v>
      </c>
      <c r="F72" s="34" t="s">
        <v>8</v>
      </c>
      <c r="G72" s="34">
        <v>33</v>
      </c>
      <c r="H72" s="34">
        <v>70</v>
      </c>
      <c r="I72" s="34">
        <v>16</v>
      </c>
      <c r="J72" s="34" t="s">
        <v>8</v>
      </c>
      <c r="K72" s="34" t="s">
        <v>8</v>
      </c>
      <c r="L72" s="34" t="s">
        <v>8</v>
      </c>
      <c r="M72" s="36">
        <v>0.69199999999999995</v>
      </c>
      <c r="N72" s="36">
        <v>0.4</v>
      </c>
      <c r="O72" s="34" t="s">
        <v>8</v>
      </c>
      <c r="P72" s="34" t="s">
        <v>8</v>
      </c>
    </row>
    <row r="73" spans="2:16" ht="15" customHeight="1" x14ac:dyDescent="0.25">
      <c r="B73" s="29">
        <v>59</v>
      </c>
      <c r="C73" s="29" t="s">
        <v>268</v>
      </c>
      <c r="D73" s="31" t="s">
        <v>546</v>
      </c>
      <c r="E73" s="29">
        <v>39</v>
      </c>
      <c r="F73" s="30" t="s">
        <v>8</v>
      </c>
      <c r="G73" s="30">
        <v>9</v>
      </c>
      <c r="H73" s="30">
        <v>25</v>
      </c>
      <c r="I73" s="30">
        <v>83</v>
      </c>
      <c r="J73" s="30" t="s">
        <v>8</v>
      </c>
      <c r="K73" s="30" t="s">
        <v>8</v>
      </c>
      <c r="L73" s="30" t="s">
        <v>8</v>
      </c>
      <c r="M73" s="32">
        <v>0.435</v>
      </c>
      <c r="N73" s="32">
        <v>0.113</v>
      </c>
      <c r="O73" s="30" t="s">
        <v>8</v>
      </c>
      <c r="P73" s="30" t="s">
        <v>8</v>
      </c>
    </row>
    <row r="74" spans="2:16" ht="15" customHeight="1" x14ac:dyDescent="0.25">
      <c r="B74" s="33">
        <v>60</v>
      </c>
      <c r="C74" s="33" t="s">
        <v>269</v>
      </c>
      <c r="D74" s="35" t="s">
        <v>547</v>
      </c>
      <c r="E74" s="33">
        <v>39</v>
      </c>
      <c r="F74" s="34" t="s">
        <v>8</v>
      </c>
      <c r="G74" s="34">
        <v>6</v>
      </c>
      <c r="H74" s="34">
        <v>55</v>
      </c>
      <c r="I74" s="34">
        <v>56</v>
      </c>
      <c r="J74" s="34" t="s">
        <v>8</v>
      </c>
      <c r="K74" s="34" t="s">
        <v>8</v>
      </c>
      <c r="L74" s="34" t="s">
        <v>8</v>
      </c>
      <c r="M74" s="36">
        <v>0.63500000000000001</v>
      </c>
      <c r="N74" s="36">
        <v>0.27900000000000003</v>
      </c>
      <c r="O74" s="34" t="s">
        <v>8</v>
      </c>
      <c r="P74" s="34" t="s">
        <v>8</v>
      </c>
    </row>
    <row r="75" spans="2:16" ht="15" customHeight="1" x14ac:dyDescent="0.25">
      <c r="B75" s="29">
        <v>61</v>
      </c>
      <c r="C75" s="29" t="s">
        <v>194</v>
      </c>
      <c r="D75" s="31" t="s">
        <v>195</v>
      </c>
      <c r="E75" s="29">
        <v>39</v>
      </c>
      <c r="F75" s="30" t="s">
        <v>8</v>
      </c>
      <c r="G75" s="30">
        <v>27</v>
      </c>
      <c r="H75" s="30">
        <v>86</v>
      </c>
      <c r="I75" s="30">
        <v>3</v>
      </c>
      <c r="J75" s="30" t="s">
        <v>8</v>
      </c>
      <c r="K75" s="30" t="s">
        <v>8</v>
      </c>
      <c r="L75" s="30" t="s">
        <v>8</v>
      </c>
      <c r="M75" s="32">
        <v>0.83199999999999996</v>
      </c>
      <c r="N75" s="32">
        <v>0.38900000000000001</v>
      </c>
      <c r="O75" s="30" t="s">
        <v>8</v>
      </c>
      <c r="P75" s="30" t="s">
        <v>8</v>
      </c>
    </row>
    <row r="76" spans="2:16" ht="15" customHeight="1" x14ac:dyDescent="0.25">
      <c r="B76" s="33">
        <v>62</v>
      </c>
      <c r="C76" s="33" t="s">
        <v>270</v>
      </c>
      <c r="D76" s="35" t="s">
        <v>548</v>
      </c>
      <c r="E76" s="33">
        <v>39</v>
      </c>
      <c r="F76" s="34" t="s">
        <v>8</v>
      </c>
      <c r="G76" s="34">
        <v>40</v>
      </c>
      <c r="H76" s="34">
        <v>38</v>
      </c>
      <c r="I76" s="34">
        <v>0</v>
      </c>
      <c r="J76" s="34" t="s">
        <v>8</v>
      </c>
      <c r="K76" s="34" t="s">
        <v>8</v>
      </c>
      <c r="L76" s="34" t="s">
        <v>8</v>
      </c>
      <c r="M76" s="36">
        <v>0.46200000000000002</v>
      </c>
      <c r="N76" s="36">
        <v>0.29499999999999998</v>
      </c>
      <c r="O76" s="34" t="s">
        <v>8</v>
      </c>
      <c r="P76" s="34" t="s">
        <v>8</v>
      </c>
    </row>
    <row r="77" spans="2:16" ht="15" customHeight="1" x14ac:dyDescent="0.25">
      <c r="B77" s="29">
        <v>63</v>
      </c>
      <c r="C77" s="29" t="s">
        <v>271</v>
      </c>
      <c r="D77" s="31" t="s">
        <v>549</v>
      </c>
      <c r="E77" s="29">
        <v>38</v>
      </c>
      <c r="F77" s="30" t="s">
        <v>8</v>
      </c>
      <c r="G77" s="30">
        <v>14</v>
      </c>
      <c r="H77" s="30">
        <v>49</v>
      </c>
      <c r="I77" s="30">
        <v>52</v>
      </c>
      <c r="J77" s="30" t="s">
        <v>8</v>
      </c>
      <c r="K77" s="30" t="s">
        <v>8</v>
      </c>
      <c r="L77" s="30" t="s">
        <v>8</v>
      </c>
      <c r="M77" s="32">
        <v>0.54700000000000004</v>
      </c>
      <c r="N77" s="32">
        <v>0.32300000000000001</v>
      </c>
      <c r="O77" s="30" t="s">
        <v>8</v>
      </c>
      <c r="P77" s="30" t="s">
        <v>8</v>
      </c>
    </row>
    <row r="78" spans="2:16" ht="15" customHeight="1" x14ac:dyDescent="0.25">
      <c r="B78" s="33">
        <v>64</v>
      </c>
      <c r="C78" s="33" t="s">
        <v>272</v>
      </c>
      <c r="D78" s="35" t="s">
        <v>550</v>
      </c>
      <c r="E78" s="33">
        <v>37</v>
      </c>
      <c r="F78" s="34" t="s">
        <v>8</v>
      </c>
      <c r="G78" s="34">
        <v>5</v>
      </c>
      <c r="H78" s="34">
        <v>61</v>
      </c>
      <c r="I78" s="34">
        <v>45</v>
      </c>
      <c r="J78" s="34" t="s">
        <v>8</v>
      </c>
      <c r="K78" s="34" t="s">
        <v>8</v>
      </c>
      <c r="L78" s="34" t="s">
        <v>8</v>
      </c>
      <c r="M78" s="36">
        <v>0.69099999999999995</v>
      </c>
      <c r="N78" s="36">
        <v>0.218</v>
      </c>
      <c r="O78" s="34" t="s">
        <v>8</v>
      </c>
      <c r="P78" s="34" t="s">
        <v>8</v>
      </c>
    </row>
    <row r="79" spans="2:16" ht="15" customHeight="1" x14ac:dyDescent="0.25">
      <c r="B79" s="29">
        <v>65</v>
      </c>
      <c r="C79" s="29" t="s">
        <v>273</v>
      </c>
      <c r="D79" s="31" t="s">
        <v>551</v>
      </c>
      <c r="E79" s="29">
        <v>35</v>
      </c>
      <c r="F79" s="30" t="s">
        <v>8</v>
      </c>
      <c r="G79" s="30">
        <v>55</v>
      </c>
      <c r="H79" s="30">
        <v>37</v>
      </c>
      <c r="I79" s="30">
        <v>13</v>
      </c>
      <c r="J79" s="30" t="s">
        <v>8</v>
      </c>
      <c r="K79" s="30" t="s">
        <v>8</v>
      </c>
      <c r="L79" s="30" t="s">
        <v>8</v>
      </c>
      <c r="M79" s="32">
        <v>0.46500000000000002</v>
      </c>
      <c r="N79" s="32">
        <v>0.23300000000000001</v>
      </c>
      <c r="O79" s="30" t="s">
        <v>8</v>
      </c>
      <c r="P79" s="30" t="s">
        <v>8</v>
      </c>
    </row>
    <row r="80" spans="2:16" ht="15" customHeight="1" x14ac:dyDescent="0.25">
      <c r="B80" s="33">
        <v>66</v>
      </c>
      <c r="C80" s="33" t="s">
        <v>274</v>
      </c>
      <c r="D80" s="35" t="s">
        <v>741</v>
      </c>
      <c r="E80" s="33">
        <v>34</v>
      </c>
      <c r="F80" s="34" t="s">
        <v>8</v>
      </c>
      <c r="G80" s="34">
        <v>20</v>
      </c>
      <c r="H80" s="34">
        <v>9</v>
      </c>
      <c r="I80" s="34">
        <v>74</v>
      </c>
      <c r="J80" s="34" t="s">
        <v>8</v>
      </c>
      <c r="K80" s="34" t="s">
        <v>8</v>
      </c>
      <c r="L80" s="34" t="s">
        <v>8</v>
      </c>
      <c r="M80" s="36">
        <v>0.30299999999999999</v>
      </c>
      <c r="N80" s="36">
        <v>0.128</v>
      </c>
      <c r="O80" s="34" t="s">
        <v>8</v>
      </c>
      <c r="P80" s="34" t="s">
        <v>8</v>
      </c>
    </row>
    <row r="81" spans="2:16" ht="15" customHeight="1" x14ac:dyDescent="0.25">
      <c r="B81" s="29">
        <v>67</v>
      </c>
      <c r="C81" s="29" t="s">
        <v>9</v>
      </c>
      <c r="D81" s="31" t="s">
        <v>10</v>
      </c>
      <c r="E81" s="29">
        <v>34</v>
      </c>
      <c r="F81" s="30" t="s">
        <v>8</v>
      </c>
      <c r="G81" s="30">
        <v>1</v>
      </c>
      <c r="H81" s="30">
        <v>2</v>
      </c>
      <c r="I81" s="30">
        <v>100</v>
      </c>
      <c r="J81" s="30" t="s">
        <v>8</v>
      </c>
      <c r="K81" s="30" t="s">
        <v>8</v>
      </c>
      <c r="L81" s="30" t="s">
        <v>8</v>
      </c>
      <c r="M81" s="32">
        <v>0.30099999999999999</v>
      </c>
      <c r="N81" s="32">
        <v>-0.17</v>
      </c>
      <c r="O81" s="30" t="s">
        <v>8</v>
      </c>
      <c r="P81" s="30" t="s">
        <v>8</v>
      </c>
    </row>
    <row r="82" spans="2:16" ht="15" customHeight="1" x14ac:dyDescent="0.25">
      <c r="B82" s="33">
        <v>68</v>
      </c>
      <c r="C82" s="33" t="s">
        <v>275</v>
      </c>
      <c r="D82" s="35" t="s">
        <v>553</v>
      </c>
      <c r="E82" s="33">
        <v>33</v>
      </c>
      <c r="F82" s="34" t="s">
        <v>8</v>
      </c>
      <c r="G82" s="34">
        <v>34</v>
      </c>
      <c r="H82" s="34">
        <v>8</v>
      </c>
      <c r="I82" s="34">
        <v>58</v>
      </c>
      <c r="J82" s="34" t="s">
        <v>8</v>
      </c>
      <c r="K82" s="34" t="s">
        <v>8</v>
      </c>
      <c r="L82" s="34" t="s">
        <v>8</v>
      </c>
      <c r="M82" s="36">
        <v>0.18</v>
      </c>
      <c r="N82" s="36">
        <v>0.14000000000000001</v>
      </c>
      <c r="O82" s="34" t="s">
        <v>8</v>
      </c>
      <c r="P82" s="34" t="s">
        <v>8</v>
      </c>
    </row>
    <row r="83" spans="2:16" ht="15" customHeight="1" x14ac:dyDescent="0.25">
      <c r="B83" s="29">
        <v>69</v>
      </c>
      <c r="C83" s="29" t="s">
        <v>276</v>
      </c>
      <c r="D83" s="31" t="s">
        <v>554</v>
      </c>
      <c r="E83" s="29">
        <v>32</v>
      </c>
      <c r="F83" s="30" t="s">
        <v>8</v>
      </c>
      <c r="G83" s="30">
        <v>12</v>
      </c>
      <c r="H83" s="30">
        <v>23</v>
      </c>
      <c r="I83" s="30">
        <v>60</v>
      </c>
      <c r="J83" s="30" t="s">
        <v>8</v>
      </c>
      <c r="K83" s="30" t="s">
        <v>8</v>
      </c>
      <c r="L83" s="30" t="s">
        <v>8</v>
      </c>
      <c r="M83" s="32">
        <v>0.39200000000000002</v>
      </c>
      <c r="N83" s="32">
        <v>0.24</v>
      </c>
      <c r="O83" s="30" t="s">
        <v>8</v>
      </c>
      <c r="P83" s="30" t="s">
        <v>8</v>
      </c>
    </row>
    <row r="84" spans="2:16" ht="15" customHeight="1" x14ac:dyDescent="0.25">
      <c r="B84" s="33">
        <v>70</v>
      </c>
      <c r="C84" s="33" t="s">
        <v>277</v>
      </c>
      <c r="D84" s="35" t="s">
        <v>555</v>
      </c>
      <c r="E84" s="33">
        <v>32</v>
      </c>
      <c r="F84" s="34" t="s">
        <v>8</v>
      </c>
      <c r="G84" s="34">
        <v>35</v>
      </c>
      <c r="H84" s="34">
        <v>43</v>
      </c>
      <c r="I84" s="34">
        <v>19</v>
      </c>
      <c r="J84" s="34" t="s">
        <v>8</v>
      </c>
      <c r="K84" s="34" t="s">
        <v>8</v>
      </c>
      <c r="L84" s="34" t="s">
        <v>8</v>
      </c>
      <c r="M84" s="36">
        <v>0.46</v>
      </c>
      <c r="N84" s="36">
        <v>0.309</v>
      </c>
      <c r="O84" s="34" t="s">
        <v>8</v>
      </c>
      <c r="P84" s="34" t="s">
        <v>8</v>
      </c>
    </row>
    <row r="85" spans="2:16" ht="15" customHeight="1" x14ac:dyDescent="0.25">
      <c r="B85" s="29">
        <v>71</v>
      </c>
      <c r="C85" s="29" t="s">
        <v>278</v>
      </c>
      <c r="D85" s="31" t="s">
        <v>742</v>
      </c>
      <c r="E85" s="29">
        <v>32</v>
      </c>
      <c r="F85" s="30" t="s">
        <v>8</v>
      </c>
      <c r="G85" s="30">
        <v>49</v>
      </c>
      <c r="H85" s="30">
        <v>20</v>
      </c>
      <c r="I85" s="30">
        <v>28</v>
      </c>
      <c r="J85" s="30" t="s">
        <v>8</v>
      </c>
      <c r="K85" s="30" t="s">
        <v>8</v>
      </c>
      <c r="L85" s="30" t="s">
        <v>8</v>
      </c>
      <c r="M85" s="32">
        <v>0.33700000000000002</v>
      </c>
      <c r="N85" s="32">
        <v>0.193</v>
      </c>
      <c r="O85" s="30" t="s">
        <v>8</v>
      </c>
      <c r="P85" s="30" t="s">
        <v>8</v>
      </c>
    </row>
    <row r="86" spans="2:16" ht="15" customHeight="1" x14ac:dyDescent="0.25">
      <c r="B86" s="33">
        <v>72</v>
      </c>
      <c r="C86" s="33" t="s">
        <v>279</v>
      </c>
      <c r="D86" s="35" t="s">
        <v>557</v>
      </c>
      <c r="E86" s="33">
        <v>32</v>
      </c>
      <c r="F86" s="34" t="s">
        <v>8</v>
      </c>
      <c r="G86" s="34">
        <v>13</v>
      </c>
      <c r="H86" s="34">
        <v>48</v>
      </c>
      <c r="I86" s="34">
        <v>36</v>
      </c>
      <c r="J86" s="34" t="s">
        <v>8</v>
      </c>
      <c r="K86" s="34" t="s">
        <v>8</v>
      </c>
      <c r="L86" s="34" t="s">
        <v>8</v>
      </c>
      <c r="M86" s="36">
        <v>0.747</v>
      </c>
      <c r="N86" s="36">
        <v>3.7999999999999999E-2</v>
      </c>
      <c r="O86" s="34" t="s">
        <v>8</v>
      </c>
      <c r="P86" s="34" t="s">
        <v>8</v>
      </c>
    </row>
    <row r="87" spans="2:16" ht="15" customHeight="1" x14ac:dyDescent="0.25">
      <c r="B87" s="29">
        <v>73</v>
      </c>
      <c r="C87" s="29" t="s">
        <v>280</v>
      </c>
      <c r="D87" s="31" t="s">
        <v>743</v>
      </c>
      <c r="E87" s="29">
        <v>32</v>
      </c>
      <c r="F87" s="30" t="s">
        <v>8</v>
      </c>
      <c r="G87" s="30">
        <v>2</v>
      </c>
      <c r="H87" s="30">
        <v>32</v>
      </c>
      <c r="I87" s="30">
        <v>62</v>
      </c>
      <c r="J87" s="30" t="s">
        <v>8</v>
      </c>
      <c r="K87" s="30" t="s">
        <v>8</v>
      </c>
      <c r="L87" s="30" t="s">
        <v>8</v>
      </c>
      <c r="M87" s="32">
        <v>0.56100000000000005</v>
      </c>
      <c r="N87" s="32">
        <v>0.23599999999999999</v>
      </c>
      <c r="O87" s="30" t="s">
        <v>8</v>
      </c>
      <c r="P87" s="30" t="s">
        <v>8</v>
      </c>
    </row>
    <row r="88" spans="2:16" ht="15" customHeight="1" x14ac:dyDescent="0.25">
      <c r="B88" s="33">
        <v>74</v>
      </c>
      <c r="C88" s="33" t="s">
        <v>281</v>
      </c>
      <c r="D88" s="35" t="s">
        <v>559</v>
      </c>
      <c r="E88" s="33">
        <v>32</v>
      </c>
      <c r="F88" s="34" t="s">
        <v>8</v>
      </c>
      <c r="G88" s="34">
        <v>3</v>
      </c>
      <c r="H88" s="34">
        <v>15</v>
      </c>
      <c r="I88" s="34">
        <v>77</v>
      </c>
      <c r="J88" s="34" t="s">
        <v>8</v>
      </c>
      <c r="K88" s="34" t="s">
        <v>8</v>
      </c>
      <c r="L88" s="34" t="s">
        <v>8</v>
      </c>
      <c r="M88" s="36">
        <v>0.33100000000000002</v>
      </c>
      <c r="N88" s="36">
        <v>0.14799999999999999</v>
      </c>
      <c r="O88" s="34" t="s">
        <v>8</v>
      </c>
      <c r="P88" s="34" t="s">
        <v>8</v>
      </c>
    </row>
    <row r="89" spans="2:16" ht="15" customHeight="1" x14ac:dyDescent="0.25">
      <c r="B89" s="29">
        <v>75</v>
      </c>
      <c r="C89" s="29" t="s">
        <v>282</v>
      </c>
      <c r="D89" s="31" t="s">
        <v>560</v>
      </c>
      <c r="E89" s="29">
        <v>32</v>
      </c>
      <c r="F89" s="30" t="s">
        <v>8</v>
      </c>
      <c r="G89" s="30">
        <v>81</v>
      </c>
      <c r="H89" s="30">
        <v>5</v>
      </c>
      <c r="I89" s="30">
        <v>9</v>
      </c>
      <c r="J89" s="30" t="s">
        <v>8</v>
      </c>
      <c r="K89" s="30" t="s">
        <v>8</v>
      </c>
      <c r="L89" s="30" t="s">
        <v>8</v>
      </c>
      <c r="M89" s="32">
        <v>0.111</v>
      </c>
      <c r="N89" s="32">
        <v>6.0999999999999999E-2</v>
      </c>
      <c r="O89" s="30" t="s">
        <v>8</v>
      </c>
      <c r="P89" s="30" t="s">
        <v>8</v>
      </c>
    </row>
    <row r="90" spans="2:16" ht="15" customHeight="1" x14ac:dyDescent="0.25">
      <c r="B90" s="33">
        <v>76</v>
      </c>
      <c r="C90" s="33" t="s">
        <v>283</v>
      </c>
      <c r="D90" s="35" t="s">
        <v>561</v>
      </c>
      <c r="E90" s="33">
        <v>31</v>
      </c>
      <c r="F90" s="34" t="s">
        <v>8</v>
      </c>
      <c r="G90" s="34">
        <v>7</v>
      </c>
      <c r="H90" s="34">
        <v>14</v>
      </c>
      <c r="I90" s="34">
        <v>72</v>
      </c>
      <c r="J90" s="34" t="s">
        <v>8</v>
      </c>
      <c r="K90" s="34" t="s">
        <v>8</v>
      </c>
      <c r="L90" s="34" t="s">
        <v>8</v>
      </c>
      <c r="M90" s="36">
        <v>0.33900000000000002</v>
      </c>
      <c r="N90" s="36">
        <v>0.19600000000000001</v>
      </c>
      <c r="O90" s="34" t="s">
        <v>8</v>
      </c>
      <c r="P90" s="34" t="s">
        <v>8</v>
      </c>
    </row>
    <row r="91" spans="2:16" ht="15" customHeight="1" x14ac:dyDescent="0.25">
      <c r="B91" s="29">
        <v>77</v>
      </c>
      <c r="C91" s="29" t="s">
        <v>284</v>
      </c>
      <c r="D91" s="31" t="s">
        <v>562</v>
      </c>
      <c r="E91" s="29">
        <v>31</v>
      </c>
      <c r="F91" s="30" t="s">
        <v>8</v>
      </c>
      <c r="G91" s="30">
        <v>8</v>
      </c>
      <c r="H91" s="30">
        <v>3</v>
      </c>
      <c r="I91" s="30">
        <v>81</v>
      </c>
      <c r="J91" s="30" t="s">
        <v>8</v>
      </c>
      <c r="K91" s="30" t="s">
        <v>8</v>
      </c>
      <c r="L91" s="30" t="s">
        <v>8</v>
      </c>
      <c r="M91" s="32">
        <v>8.8999999999999996E-2</v>
      </c>
      <c r="N91" s="32">
        <v>5.7000000000000002E-2</v>
      </c>
      <c r="O91" s="30" t="s">
        <v>8</v>
      </c>
      <c r="P91" s="30" t="s">
        <v>8</v>
      </c>
    </row>
    <row r="92" spans="2:16" ht="15" customHeight="1" x14ac:dyDescent="0.25">
      <c r="B92" s="33">
        <v>78</v>
      </c>
      <c r="C92" s="33" t="s">
        <v>285</v>
      </c>
      <c r="D92" s="35" t="s">
        <v>744</v>
      </c>
      <c r="E92" s="33">
        <v>26</v>
      </c>
      <c r="F92" s="34" t="s">
        <v>8</v>
      </c>
      <c r="G92" s="34">
        <v>41</v>
      </c>
      <c r="H92" s="34">
        <v>17</v>
      </c>
      <c r="I92" s="34">
        <v>21</v>
      </c>
      <c r="J92" s="34" t="s">
        <v>8</v>
      </c>
      <c r="K92" s="34" t="s">
        <v>8</v>
      </c>
      <c r="L92" s="34" t="s">
        <v>8</v>
      </c>
      <c r="M92" s="36">
        <v>0.31</v>
      </c>
      <c r="N92" s="36">
        <v>0.221</v>
      </c>
      <c r="O92" s="34" t="s">
        <v>8</v>
      </c>
      <c r="P92" s="34" t="s">
        <v>8</v>
      </c>
    </row>
    <row r="93" spans="2:16" ht="15" customHeight="1" x14ac:dyDescent="0.25">
      <c r="B93" s="29">
        <v>79</v>
      </c>
      <c r="C93" s="29" t="s">
        <v>286</v>
      </c>
      <c r="D93" s="31" t="s">
        <v>564</v>
      </c>
      <c r="E93" s="29">
        <v>26</v>
      </c>
      <c r="F93" s="30" t="s">
        <v>8</v>
      </c>
      <c r="G93" s="30">
        <v>37</v>
      </c>
      <c r="H93" s="30">
        <v>13</v>
      </c>
      <c r="I93" s="30">
        <v>29</v>
      </c>
      <c r="J93" s="30" t="s">
        <v>8</v>
      </c>
      <c r="K93" s="30" t="s">
        <v>8</v>
      </c>
      <c r="L93" s="30" t="s">
        <v>8</v>
      </c>
      <c r="M93" s="32">
        <v>0.28799999999999998</v>
      </c>
      <c r="N93" s="32">
        <v>0.126</v>
      </c>
      <c r="O93" s="30" t="s">
        <v>8</v>
      </c>
      <c r="P93" s="30" t="s">
        <v>8</v>
      </c>
    </row>
    <row r="94" spans="2:16" ht="15" customHeight="1" x14ac:dyDescent="0.25">
      <c r="B94" s="33">
        <v>80</v>
      </c>
      <c r="C94" s="33" t="s">
        <v>287</v>
      </c>
      <c r="D94" s="35" t="s">
        <v>565</v>
      </c>
      <c r="E94" s="33">
        <v>26</v>
      </c>
      <c r="F94" s="34" t="s">
        <v>8</v>
      </c>
      <c r="G94" s="34">
        <v>15</v>
      </c>
      <c r="H94" s="34">
        <v>29</v>
      </c>
      <c r="I94" s="34">
        <v>35</v>
      </c>
      <c r="J94" s="34" t="s">
        <v>8</v>
      </c>
      <c r="K94" s="34" t="s">
        <v>8</v>
      </c>
      <c r="L94" s="34" t="s">
        <v>8</v>
      </c>
      <c r="M94" s="36">
        <v>0.41199999999999998</v>
      </c>
      <c r="N94" s="36">
        <v>0.249</v>
      </c>
      <c r="O94" s="34" t="s">
        <v>8</v>
      </c>
      <c r="P94" s="34" t="s">
        <v>8</v>
      </c>
    </row>
    <row r="95" spans="2:16" ht="15" customHeight="1" x14ac:dyDescent="0.25">
      <c r="B95" s="29">
        <v>81</v>
      </c>
      <c r="C95" s="29" t="s">
        <v>288</v>
      </c>
      <c r="D95" s="31" t="s">
        <v>566</v>
      </c>
      <c r="E95" s="29">
        <v>25</v>
      </c>
      <c r="F95" s="30" t="s">
        <v>8</v>
      </c>
      <c r="G95" s="30">
        <v>22</v>
      </c>
      <c r="H95" s="30">
        <v>30</v>
      </c>
      <c r="I95" s="30">
        <v>24</v>
      </c>
      <c r="J95" s="30" t="s">
        <v>8</v>
      </c>
      <c r="K95" s="30" t="s">
        <v>8</v>
      </c>
      <c r="L95" s="30" t="s">
        <v>8</v>
      </c>
      <c r="M95" s="32">
        <v>0.48099999999999998</v>
      </c>
      <c r="N95" s="32">
        <v>0.158</v>
      </c>
      <c r="O95" s="30" t="s">
        <v>8</v>
      </c>
      <c r="P95" s="30" t="s">
        <v>8</v>
      </c>
    </row>
    <row r="96" spans="2:16" ht="15" customHeight="1" x14ac:dyDescent="0.25">
      <c r="B96" s="33">
        <v>82</v>
      </c>
      <c r="C96" s="33" t="s">
        <v>289</v>
      </c>
      <c r="D96" s="35" t="s">
        <v>567</v>
      </c>
      <c r="E96" s="33">
        <v>23</v>
      </c>
      <c r="F96" s="34" t="s">
        <v>8</v>
      </c>
      <c r="G96" s="34">
        <v>36</v>
      </c>
      <c r="H96" s="34">
        <v>18</v>
      </c>
      <c r="I96" s="34">
        <v>15</v>
      </c>
      <c r="J96" s="34" t="s">
        <v>8</v>
      </c>
      <c r="K96" s="34" t="s">
        <v>8</v>
      </c>
      <c r="L96" s="34" t="s">
        <v>8</v>
      </c>
      <c r="M96" s="36">
        <v>0.31900000000000001</v>
      </c>
      <c r="N96" s="36">
        <v>0.17</v>
      </c>
      <c r="O96" s="34" t="s">
        <v>8</v>
      </c>
      <c r="P96" s="34" t="s">
        <v>8</v>
      </c>
    </row>
    <row r="97" spans="2:16" ht="15" customHeight="1" x14ac:dyDescent="0.25">
      <c r="B97" s="29">
        <v>83</v>
      </c>
      <c r="C97" s="29" t="s">
        <v>290</v>
      </c>
      <c r="D97" s="31" t="s">
        <v>568</v>
      </c>
      <c r="E97" s="29">
        <v>23</v>
      </c>
      <c r="F97" s="30" t="s">
        <v>8</v>
      </c>
      <c r="G97" s="30">
        <v>10</v>
      </c>
      <c r="H97" s="30">
        <v>59</v>
      </c>
      <c r="I97" s="30">
        <v>1</v>
      </c>
      <c r="J97" s="30" t="s">
        <v>8</v>
      </c>
      <c r="K97" s="30" t="s">
        <v>8</v>
      </c>
      <c r="L97" s="30" t="s">
        <v>8</v>
      </c>
      <c r="M97" s="32">
        <v>0.68400000000000005</v>
      </c>
      <c r="N97" s="32">
        <v>0.19900000000000001</v>
      </c>
      <c r="O97" s="30" t="s">
        <v>8</v>
      </c>
      <c r="P97" s="30" t="s">
        <v>8</v>
      </c>
    </row>
    <row r="98" spans="2:16" ht="15" customHeight="1" x14ac:dyDescent="0.25">
      <c r="B98" s="33">
        <v>84</v>
      </c>
      <c r="C98" s="33" t="s">
        <v>291</v>
      </c>
      <c r="D98" s="35" t="s">
        <v>569</v>
      </c>
      <c r="E98" s="33">
        <v>19</v>
      </c>
      <c r="F98" s="34" t="s">
        <v>8</v>
      </c>
      <c r="G98" s="34">
        <v>16</v>
      </c>
      <c r="H98" s="34">
        <v>6</v>
      </c>
      <c r="I98" s="34">
        <v>34</v>
      </c>
      <c r="J98" s="34" t="s">
        <v>8</v>
      </c>
      <c r="K98" s="34" t="s">
        <v>8</v>
      </c>
      <c r="L98" s="34" t="s">
        <v>8</v>
      </c>
      <c r="M98" s="36">
        <v>0.20599999999999999</v>
      </c>
      <c r="N98" s="36">
        <v>7.4999999999999997E-2</v>
      </c>
      <c r="O98" s="34" t="s">
        <v>8</v>
      </c>
      <c r="P98" s="34" t="s">
        <v>8</v>
      </c>
    </row>
    <row r="99" spans="2:16" ht="15" customHeight="1" x14ac:dyDescent="0.25">
      <c r="B99" s="29">
        <v>85</v>
      </c>
      <c r="C99" s="29" t="s">
        <v>292</v>
      </c>
      <c r="D99" s="31" t="s">
        <v>570</v>
      </c>
      <c r="E99" s="29">
        <v>18</v>
      </c>
      <c r="F99" s="30" t="s">
        <v>8</v>
      </c>
      <c r="G99" s="30">
        <v>17</v>
      </c>
      <c r="H99" s="30">
        <v>10</v>
      </c>
      <c r="I99" s="30">
        <v>27</v>
      </c>
      <c r="J99" s="30" t="s">
        <v>8</v>
      </c>
      <c r="K99" s="30" t="s">
        <v>8</v>
      </c>
      <c r="L99" s="30" t="s">
        <v>8</v>
      </c>
      <c r="M99" s="32">
        <v>0.27</v>
      </c>
      <c r="N99" s="32">
        <v>0.13600000000000001</v>
      </c>
      <c r="O99" s="30" t="s">
        <v>8</v>
      </c>
      <c r="P99" s="30" t="s">
        <v>8</v>
      </c>
    </row>
    <row r="100" spans="2:16" ht="15" customHeight="1" x14ac:dyDescent="0.25">
      <c r="B100" s="33">
        <v>86</v>
      </c>
      <c r="C100" s="33" t="s">
        <v>293</v>
      </c>
      <c r="D100" s="35" t="s">
        <v>571</v>
      </c>
      <c r="E100" s="33">
        <v>18</v>
      </c>
      <c r="F100" s="34" t="s">
        <v>8</v>
      </c>
      <c r="G100" s="34">
        <v>26</v>
      </c>
      <c r="H100" s="34">
        <v>7</v>
      </c>
      <c r="I100" s="34">
        <v>22</v>
      </c>
      <c r="J100" s="34" t="s">
        <v>8</v>
      </c>
      <c r="K100" s="34" t="s">
        <v>8</v>
      </c>
      <c r="L100" s="34" t="s">
        <v>8</v>
      </c>
      <c r="M100" s="36">
        <v>0.217</v>
      </c>
      <c r="N100" s="36">
        <v>8.6999999999999994E-2</v>
      </c>
      <c r="O100" s="34" t="s">
        <v>8</v>
      </c>
      <c r="P100" s="34" t="s">
        <v>8</v>
      </c>
    </row>
    <row r="101" spans="2:16" ht="15" customHeight="1" x14ac:dyDescent="0.25">
      <c r="B101" s="29">
        <v>87</v>
      </c>
      <c r="C101" s="29" t="s">
        <v>294</v>
      </c>
      <c r="D101" s="31" t="s">
        <v>745</v>
      </c>
      <c r="E101" s="29">
        <v>18</v>
      </c>
      <c r="F101" s="30" t="s">
        <v>8</v>
      </c>
      <c r="G101" s="30">
        <v>24</v>
      </c>
      <c r="H101" s="30">
        <v>16</v>
      </c>
      <c r="I101" s="30">
        <v>14</v>
      </c>
      <c r="J101" s="30" t="s">
        <v>8</v>
      </c>
      <c r="K101" s="30" t="s">
        <v>8</v>
      </c>
      <c r="L101" s="30" t="s">
        <v>8</v>
      </c>
      <c r="M101" s="32">
        <v>0.36899999999999999</v>
      </c>
      <c r="N101" s="32">
        <v>0.32300000000000001</v>
      </c>
      <c r="O101" s="30" t="s">
        <v>8</v>
      </c>
      <c r="P101" s="30" t="s">
        <v>8</v>
      </c>
    </row>
    <row r="102" spans="2:16" ht="15" customHeight="1" x14ac:dyDescent="0.25">
      <c r="B102" s="33">
        <v>88</v>
      </c>
      <c r="C102" s="33" t="s">
        <v>295</v>
      </c>
      <c r="D102" s="35" t="s">
        <v>573</v>
      </c>
      <c r="E102" s="33">
        <v>0</v>
      </c>
      <c r="F102" s="34" t="s">
        <v>8</v>
      </c>
      <c r="G102" s="34">
        <v>0</v>
      </c>
      <c r="H102" s="34">
        <v>0</v>
      </c>
      <c r="I102" s="34">
        <v>0</v>
      </c>
      <c r="J102" s="34" t="s">
        <v>8</v>
      </c>
      <c r="K102" s="34" t="s">
        <v>8</v>
      </c>
      <c r="L102" s="34" t="s">
        <v>8</v>
      </c>
      <c r="M102" s="36">
        <v>0.56499999999999995</v>
      </c>
      <c r="N102" s="36">
        <v>-1.1220000000000001</v>
      </c>
      <c r="O102" s="34" t="s">
        <v>8</v>
      </c>
      <c r="P102" s="34" t="s">
        <v>8</v>
      </c>
    </row>
    <row r="103" spans="2:16" x14ac:dyDescent="0.25">
      <c r="B103" s="38"/>
      <c r="C103" s="38"/>
      <c r="D103" s="37"/>
      <c r="E103" s="38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</row>
    <row r="104" spans="2:16" ht="8.1" customHeight="1" x14ac:dyDescent="0.25"/>
    <row r="105" spans="2:16" ht="14.1" customHeight="1" x14ac:dyDescent="0.25">
      <c r="B105" s="52" t="s">
        <v>746</v>
      </c>
    </row>
  </sheetData>
  <mergeCells count="8">
    <mergeCell ref="E4:G5"/>
    <mergeCell ref="K4:M5"/>
    <mergeCell ref="E6:G6"/>
    <mergeCell ref="K6:M6"/>
    <mergeCell ref="N6:P6"/>
    <mergeCell ref="H6:J6"/>
    <mergeCell ref="N4:P5"/>
    <mergeCell ref="H4:J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90"/>
  <sheetViews>
    <sheetView showGridLines="0" zoomScale="90" workbookViewId="0"/>
  </sheetViews>
  <sheetFormatPr baseColWidth="10" defaultColWidth="8.85546875" defaultRowHeight="15" x14ac:dyDescent="0.25"/>
  <cols>
    <col min="1" max="1" width="14.7109375" customWidth="1"/>
    <col min="2" max="2" width="25.85546875" customWidth="1"/>
    <col min="3" max="3" width="21.28515625" customWidth="1"/>
    <col min="4" max="4" width="13.85546875" customWidth="1"/>
    <col min="5" max="5" width="14.7109375" customWidth="1"/>
    <col min="6" max="6" width="13.85546875" customWidth="1"/>
    <col min="7" max="7" width="15.7109375" customWidth="1"/>
    <col min="8" max="8" width="17.5703125" customWidth="1"/>
    <col min="9" max="9" width="17" customWidth="1"/>
    <col min="10" max="10" width="14.140625" customWidth="1"/>
    <col min="11" max="12" width="12.5703125" customWidth="1"/>
    <col min="13" max="13" width="15.28515625" customWidth="1"/>
    <col min="14" max="14" width="16.7109375" customWidth="1"/>
    <col min="15" max="15" width="15.28515625" customWidth="1"/>
    <col min="16" max="16" width="14.140625" customWidth="1"/>
    <col min="17" max="18" width="12.5703125" customWidth="1"/>
    <col min="19" max="19" width="14.7109375" customWidth="1"/>
    <col min="20" max="20" width="17.5703125" customWidth="1"/>
    <col min="21" max="21" width="14.7109375" customWidth="1"/>
    <col min="22" max="22" width="16.28515625" customWidth="1"/>
    <col min="23" max="24" width="15.28515625" customWidth="1"/>
    <col min="25" max="25" width="14.140625" customWidth="1"/>
    <col min="26" max="27" width="15.85546875" customWidth="1"/>
    <col min="28" max="28" width="17.42578125" customWidth="1"/>
    <col min="29" max="29" width="17" customWidth="1"/>
    <col min="30" max="30" width="15.28515625" customWidth="1"/>
  </cols>
  <sheetData>
    <row r="1" spans="1:30" ht="28.15" customHeight="1" x14ac:dyDescent="0.25">
      <c r="A1" s="77" t="s">
        <v>700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</row>
    <row r="2" spans="1:30" x14ac:dyDescent="0.25">
      <c r="A2" s="1" t="s">
        <v>0</v>
      </c>
      <c r="B2" s="1" t="s">
        <v>1</v>
      </c>
      <c r="C2" s="1" t="s">
        <v>42</v>
      </c>
      <c r="D2" s="1" t="s">
        <v>574</v>
      </c>
      <c r="E2" s="1" t="s">
        <v>575</v>
      </c>
      <c r="F2" s="1" t="s">
        <v>576</v>
      </c>
      <c r="G2" s="1" t="s">
        <v>577</v>
      </c>
      <c r="H2" s="1" t="s">
        <v>578</v>
      </c>
      <c r="I2" s="1" t="s">
        <v>46</v>
      </c>
      <c r="J2" s="1" t="s">
        <v>579</v>
      </c>
      <c r="K2" s="1" t="s">
        <v>97</v>
      </c>
      <c r="L2" s="1" t="s">
        <v>580</v>
      </c>
      <c r="M2" s="1" t="s">
        <v>581</v>
      </c>
      <c r="N2" s="1" t="s">
        <v>582</v>
      </c>
      <c r="O2" s="1" t="s">
        <v>583</v>
      </c>
      <c r="P2" s="1" t="s">
        <v>584</v>
      </c>
      <c r="Q2" s="1" t="s">
        <v>100</v>
      </c>
      <c r="R2" s="1" t="s">
        <v>585</v>
      </c>
      <c r="S2" s="1" t="s">
        <v>586</v>
      </c>
      <c r="T2" s="1" t="s">
        <v>587</v>
      </c>
      <c r="U2" s="1" t="s">
        <v>98</v>
      </c>
      <c r="V2" s="1" t="s">
        <v>146</v>
      </c>
      <c r="W2" s="1" t="s">
        <v>588</v>
      </c>
      <c r="X2" s="1" t="s">
        <v>589</v>
      </c>
      <c r="Y2" s="1" t="s">
        <v>590</v>
      </c>
      <c r="Z2" s="1" t="s">
        <v>591</v>
      </c>
      <c r="AA2" s="1" t="s">
        <v>592</v>
      </c>
      <c r="AB2" s="1" t="s">
        <v>207</v>
      </c>
      <c r="AC2" s="1" t="s">
        <v>593</v>
      </c>
      <c r="AD2" s="1" t="s">
        <v>48</v>
      </c>
    </row>
    <row r="3" spans="1:30" ht="13.15" customHeight="1" x14ac:dyDescent="0.25">
      <c r="A3" s="2" t="s">
        <v>21</v>
      </c>
      <c r="B3" s="2" t="s">
        <v>22</v>
      </c>
      <c r="C3" s="2" t="s">
        <v>49</v>
      </c>
      <c r="D3" s="2" t="s">
        <v>8</v>
      </c>
      <c r="E3" s="2" t="s">
        <v>8</v>
      </c>
      <c r="F3" s="2" t="s">
        <v>8</v>
      </c>
      <c r="G3" s="2" t="s">
        <v>594</v>
      </c>
      <c r="H3" s="2" t="s">
        <v>595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232</v>
      </c>
      <c r="N3" s="2" t="s">
        <v>50</v>
      </c>
      <c r="O3" s="2" t="s">
        <v>110</v>
      </c>
      <c r="P3" s="2" t="s">
        <v>36</v>
      </c>
      <c r="Q3" s="2" t="s">
        <v>111</v>
      </c>
      <c r="R3" s="2" t="s">
        <v>596</v>
      </c>
      <c r="S3" s="2" t="s">
        <v>152</v>
      </c>
      <c r="T3" s="2" t="s">
        <v>429</v>
      </c>
      <c r="U3" s="2" t="s">
        <v>23</v>
      </c>
      <c r="V3" s="2" t="s">
        <v>151</v>
      </c>
      <c r="W3" s="2" t="s">
        <v>51</v>
      </c>
      <c r="X3" s="2" t="s">
        <v>8</v>
      </c>
      <c r="Y3" s="2">
        <v>95</v>
      </c>
      <c r="Z3" s="2">
        <v>98</v>
      </c>
      <c r="AA3" s="2">
        <v>70</v>
      </c>
      <c r="AB3" s="2">
        <v>88</v>
      </c>
      <c r="AC3" s="2" t="s">
        <v>52</v>
      </c>
      <c r="AD3" s="2" t="s">
        <v>53</v>
      </c>
    </row>
    <row r="4" spans="1:30" ht="13.15" customHeight="1" x14ac:dyDescent="0.25">
      <c r="A4" s="3" t="s">
        <v>54</v>
      </c>
      <c r="B4" s="3" t="s">
        <v>55</v>
      </c>
      <c r="C4" s="3" t="s">
        <v>49</v>
      </c>
      <c r="D4" s="3" t="s">
        <v>8</v>
      </c>
      <c r="E4" s="3" t="s">
        <v>8</v>
      </c>
      <c r="F4" s="3" t="s">
        <v>8</v>
      </c>
      <c r="G4" s="3" t="s">
        <v>597</v>
      </c>
      <c r="H4" s="3" t="s">
        <v>598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233</v>
      </c>
      <c r="N4" s="3" t="s">
        <v>56</v>
      </c>
      <c r="O4" s="3" t="s">
        <v>143</v>
      </c>
      <c r="P4" s="3" t="s">
        <v>57</v>
      </c>
      <c r="Q4" s="3" t="s">
        <v>144</v>
      </c>
      <c r="R4" s="3" t="s">
        <v>599</v>
      </c>
      <c r="S4" s="3" t="s">
        <v>402</v>
      </c>
      <c r="T4" s="3" t="s">
        <v>430</v>
      </c>
      <c r="U4" s="3" t="s">
        <v>459</v>
      </c>
      <c r="V4" s="3" t="s">
        <v>484</v>
      </c>
      <c r="W4" s="3" t="s">
        <v>58</v>
      </c>
      <c r="X4" s="3" t="s">
        <v>8</v>
      </c>
      <c r="Y4" s="3">
        <v>85</v>
      </c>
      <c r="Z4" s="3">
        <v>79</v>
      </c>
      <c r="AA4" s="3">
        <v>88</v>
      </c>
      <c r="AB4" s="3">
        <v>84</v>
      </c>
      <c r="AC4" s="3" t="s">
        <v>59</v>
      </c>
      <c r="AD4" s="3" t="s">
        <v>53</v>
      </c>
    </row>
    <row r="5" spans="1:30" ht="13.15" customHeight="1" x14ac:dyDescent="0.25">
      <c r="A5" s="2" t="s">
        <v>60</v>
      </c>
      <c r="B5" s="2" t="s">
        <v>61</v>
      </c>
      <c r="C5" s="2" t="s">
        <v>49</v>
      </c>
      <c r="D5" s="2" t="s">
        <v>8</v>
      </c>
      <c r="E5" s="2" t="s">
        <v>8</v>
      </c>
      <c r="F5" s="2" t="s">
        <v>8</v>
      </c>
      <c r="G5" s="2" t="s">
        <v>600</v>
      </c>
      <c r="H5" s="2" t="s">
        <v>601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234</v>
      </c>
      <c r="N5" s="2" t="s">
        <v>62</v>
      </c>
      <c r="O5" s="2" t="s">
        <v>145</v>
      </c>
      <c r="P5" s="2" t="s">
        <v>63</v>
      </c>
      <c r="Q5" s="2" t="s">
        <v>127</v>
      </c>
      <c r="R5" s="2" t="s">
        <v>602</v>
      </c>
      <c r="S5" s="2" t="s">
        <v>186</v>
      </c>
      <c r="T5" s="2" t="s">
        <v>431</v>
      </c>
      <c r="U5" s="2" t="s">
        <v>184</v>
      </c>
      <c r="V5" s="2" t="s">
        <v>185</v>
      </c>
      <c r="W5" s="2" t="s">
        <v>64</v>
      </c>
      <c r="X5" s="2" t="s">
        <v>8</v>
      </c>
      <c r="Y5" s="2">
        <v>84</v>
      </c>
      <c r="Z5" s="2">
        <v>89</v>
      </c>
      <c r="AA5" s="2">
        <v>76</v>
      </c>
      <c r="AB5" s="2">
        <v>83</v>
      </c>
      <c r="AC5" s="2" t="s">
        <v>65</v>
      </c>
      <c r="AD5" s="2" t="s">
        <v>53</v>
      </c>
    </row>
    <row r="6" spans="1:30" ht="13.15" customHeight="1" x14ac:dyDescent="0.25">
      <c r="A6" s="3" t="s">
        <v>66</v>
      </c>
      <c r="B6" s="3" t="s">
        <v>67</v>
      </c>
      <c r="C6" s="3" t="s">
        <v>49</v>
      </c>
      <c r="D6" s="3" t="s">
        <v>8</v>
      </c>
      <c r="E6" s="3" t="s">
        <v>8</v>
      </c>
      <c r="F6" s="3" t="s">
        <v>8</v>
      </c>
      <c r="G6" s="3" t="s">
        <v>603</v>
      </c>
      <c r="H6" s="3" t="s">
        <v>604</v>
      </c>
      <c r="I6" s="3" t="s">
        <v>8</v>
      </c>
      <c r="J6" s="3" t="s">
        <v>8</v>
      </c>
      <c r="K6" s="3" t="s">
        <v>8</v>
      </c>
      <c r="L6" s="3" t="s">
        <v>8</v>
      </c>
      <c r="M6" s="3" t="s">
        <v>235</v>
      </c>
      <c r="N6" s="3" t="s">
        <v>68</v>
      </c>
      <c r="O6" s="3" t="s">
        <v>126</v>
      </c>
      <c r="P6" s="3" t="s">
        <v>57</v>
      </c>
      <c r="Q6" s="3" t="s">
        <v>127</v>
      </c>
      <c r="R6" s="3" t="s">
        <v>133</v>
      </c>
      <c r="S6" s="3" t="s">
        <v>199</v>
      </c>
      <c r="T6" s="3" t="s">
        <v>432</v>
      </c>
      <c r="U6" s="3" t="s">
        <v>197</v>
      </c>
      <c r="V6" s="3" t="s">
        <v>198</v>
      </c>
      <c r="W6" s="3" t="s">
        <v>69</v>
      </c>
      <c r="X6" s="3" t="s">
        <v>8</v>
      </c>
      <c r="Y6" s="3">
        <v>90</v>
      </c>
      <c r="Z6" s="3">
        <v>85</v>
      </c>
      <c r="AA6" s="3">
        <v>69</v>
      </c>
      <c r="AB6" s="3">
        <v>81</v>
      </c>
      <c r="AC6" s="3" t="s">
        <v>70</v>
      </c>
      <c r="AD6" s="3" t="s">
        <v>53</v>
      </c>
    </row>
    <row r="7" spans="1:30" ht="13.15" customHeight="1" x14ac:dyDescent="0.25">
      <c r="A7" s="2" t="s">
        <v>18</v>
      </c>
      <c r="B7" s="2" t="s">
        <v>19</v>
      </c>
      <c r="C7" s="2" t="s">
        <v>49</v>
      </c>
      <c r="D7" s="2" t="s">
        <v>8</v>
      </c>
      <c r="E7" s="2" t="s">
        <v>8</v>
      </c>
      <c r="F7" s="2" t="s">
        <v>8</v>
      </c>
      <c r="G7" s="2" t="s">
        <v>605</v>
      </c>
      <c r="H7" s="2" t="s">
        <v>606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236</v>
      </c>
      <c r="N7" s="2" t="s">
        <v>71</v>
      </c>
      <c r="O7" s="2" t="s">
        <v>105</v>
      </c>
      <c r="P7" s="2" t="s">
        <v>20</v>
      </c>
      <c r="Q7" s="2" t="s">
        <v>106</v>
      </c>
      <c r="R7" s="2" t="s">
        <v>401</v>
      </c>
      <c r="S7" s="2" t="s">
        <v>403</v>
      </c>
      <c r="T7" s="2" t="s">
        <v>433</v>
      </c>
      <c r="U7" s="2" t="s">
        <v>460</v>
      </c>
      <c r="V7" s="2" t="s">
        <v>203</v>
      </c>
      <c r="W7" s="2" t="s">
        <v>40</v>
      </c>
      <c r="X7" s="2" t="s">
        <v>8</v>
      </c>
      <c r="Y7" s="2">
        <v>98</v>
      </c>
      <c r="Z7" s="2">
        <v>41</v>
      </c>
      <c r="AA7" s="2">
        <v>95</v>
      </c>
      <c r="AB7" s="2">
        <v>78</v>
      </c>
      <c r="AC7" s="2" t="s">
        <v>8</v>
      </c>
      <c r="AD7" s="2" t="s">
        <v>53</v>
      </c>
    </row>
    <row r="8" spans="1:30" ht="13.15" customHeight="1" x14ac:dyDescent="0.25">
      <c r="A8" s="3" t="s">
        <v>72</v>
      </c>
      <c r="B8" s="3" t="s">
        <v>73</v>
      </c>
      <c r="C8" s="3" t="s">
        <v>49</v>
      </c>
      <c r="D8" s="3" t="s">
        <v>8</v>
      </c>
      <c r="E8" s="3" t="s">
        <v>8</v>
      </c>
      <c r="F8" s="3" t="s">
        <v>8</v>
      </c>
      <c r="G8" s="3" t="s">
        <v>607</v>
      </c>
      <c r="H8" s="3" t="s">
        <v>608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237</v>
      </c>
      <c r="N8" s="3" t="s">
        <v>74</v>
      </c>
      <c r="O8" s="3" t="s">
        <v>141</v>
      </c>
      <c r="P8" s="3" t="s">
        <v>75</v>
      </c>
      <c r="Q8" s="3" t="s">
        <v>142</v>
      </c>
      <c r="R8" s="3" t="s">
        <v>521</v>
      </c>
      <c r="S8" s="3" t="s">
        <v>404</v>
      </c>
      <c r="T8" s="3" t="s">
        <v>434</v>
      </c>
      <c r="U8" s="3" t="s">
        <v>461</v>
      </c>
      <c r="V8" s="3" t="s">
        <v>485</v>
      </c>
      <c r="W8" s="3" t="s">
        <v>76</v>
      </c>
      <c r="X8" s="3" t="s">
        <v>8</v>
      </c>
      <c r="Y8" s="3">
        <v>86</v>
      </c>
      <c r="Z8" s="3">
        <v>64</v>
      </c>
      <c r="AA8" s="3">
        <v>84</v>
      </c>
      <c r="AB8" s="3">
        <v>78</v>
      </c>
      <c r="AC8" s="3" t="s">
        <v>77</v>
      </c>
      <c r="AD8" s="3" t="s">
        <v>53</v>
      </c>
    </row>
    <row r="9" spans="1:30" ht="13.15" customHeight="1" x14ac:dyDescent="0.25">
      <c r="A9" s="2" t="s">
        <v>78</v>
      </c>
      <c r="B9" s="2" t="s">
        <v>79</v>
      </c>
      <c r="C9" s="2" t="s">
        <v>49</v>
      </c>
      <c r="D9" s="2" t="s">
        <v>8</v>
      </c>
      <c r="E9" s="2" t="s">
        <v>8</v>
      </c>
      <c r="F9" s="2" t="s">
        <v>8</v>
      </c>
      <c r="G9" s="2" t="s">
        <v>609</v>
      </c>
      <c r="H9" s="2" t="s">
        <v>610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238</v>
      </c>
      <c r="N9" s="2" t="s">
        <v>80</v>
      </c>
      <c r="O9" s="2" t="s">
        <v>341</v>
      </c>
      <c r="P9" s="2" t="s">
        <v>81</v>
      </c>
      <c r="Q9" s="2" t="s">
        <v>384</v>
      </c>
      <c r="R9" s="2" t="s">
        <v>611</v>
      </c>
      <c r="S9" s="2" t="s">
        <v>405</v>
      </c>
      <c r="T9" s="2" t="s">
        <v>435</v>
      </c>
      <c r="U9" s="2" t="s">
        <v>462</v>
      </c>
      <c r="V9" s="2" t="s">
        <v>486</v>
      </c>
      <c r="W9" s="2" t="s">
        <v>82</v>
      </c>
      <c r="X9" s="2" t="s">
        <v>8</v>
      </c>
      <c r="Y9" s="2">
        <v>83</v>
      </c>
      <c r="Z9" s="2">
        <v>57</v>
      </c>
      <c r="AA9" s="2">
        <v>92</v>
      </c>
      <c r="AB9" s="2">
        <v>77</v>
      </c>
      <c r="AC9" s="2" t="s">
        <v>83</v>
      </c>
      <c r="AD9" s="2" t="s">
        <v>53</v>
      </c>
    </row>
    <row r="10" spans="1:30" ht="13.15" customHeight="1" x14ac:dyDescent="0.25">
      <c r="A10" s="3" t="s">
        <v>11</v>
      </c>
      <c r="B10" s="3" t="s">
        <v>12</v>
      </c>
      <c r="C10" s="3" t="s">
        <v>49</v>
      </c>
      <c r="D10" s="3" t="s">
        <v>8</v>
      </c>
      <c r="E10" s="3" t="s">
        <v>8</v>
      </c>
      <c r="F10" s="3" t="s">
        <v>8</v>
      </c>
      <c r="G10" s="3" t="s">
        <v>612</v>
      </c>
      <c r="H10" s="3" t="s">
        <v>613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239</v>
      </c>
      <c r="N10" s="3" t="s">
        <v>84</v>
      </c>
      <c r="O10" s="3" t="s">
        <v>103</v>
      </c>
      <c r="P10" s="3" t="s">
        <v>13</v>
      </c>
      <c r="Q10" s="3" t="s">
        <v>104</v>
      </c>
      <c r="R10" s="3" t="s">
        <v>614</v>
      </c>
      <c r="S10" s="3" t="s">
        <v>406</v>
      </c>
      <c r="T10" s="3" t="s">
        <v>436</v>
      </c>
      <c r="U10" s="3" t="s">
        <v>463</v>
      </c>
      <c r="V10" s="3" t="s">
        <v>487</v>
      </c>
      <c r="W10" s="3" t="s">
        <v>17</v>
      </c>
      <c r="X10" s="3" t="s">
        <v>8</v>
      </c>
      <c r="Y10" s="3">
        <v>99</v>
      </c>
      <c r="Z10" s="3">
        <v>34</v>
      </c>
      <c r="AA10" s="3">
        <v>99</v>
      </c>
      <c r="AB10" s="3">
        <v>77</v>
      </c>
      <c r="AC10" s="3" t="s">
        <v>85</v>
      </c>
      <c r="AD10" s="3" t="s">
        <v>53</v>
      </c>
    </row>
    <row r="11" spans="1:30" ht="13.15" customHeight="1" x14ac:dyDescent="0.25">
      <c r="A11" s="2" t="s">
        <v>86</v>
      </c>
      <c r="B11" s="2" t="s">
        <v>87</v>
      </c>
      <c r="C11" s="2" t="s">
        <v>49</v>
      </c>
      <c r="D11" s="2" t="s">
        <v>8</v>
      </c>
      <c r="E11" s="2" t="s">
        <v>8</v>
      </c>
      <c r="F11" s="2" t="s">
        <v>8</v>
      </c>
      <c r="G11" s="2" t="s">
        <v>615</v>
      </c>
      <c r="H11" s="2" t="s">
        <v>616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240</v>
      </c>
      <c r="N11" s="2" t="s">
        <v>88</v>
      </c>
      <c r="O11" s="2" t="s">
        <v>125</v>
      </c>
      <c r="P11" s="2" t="s">
        <v>89</v>
      </c>
      <c r="Q11" s="2" t="s">
        <v>89</v>
      </c>
      <c r="R11" s="2" t="s">
        <v>617</v>
      </c>
      <c r="S11" s="2" t="s">
        <v>162</v>
      </c>
      <c r="T11" s="2" t="s">
        <v>437</v>
      </c>
      <c r="U11" s="2" t="s">
        <v>160</v>
      </c>
      <c r="V11" s="2" t="s">
        <v>161</v>
      </c>
      <c r="W11" s="2" t="s">
        <v>90</v>
      </c>
      <c r="X11" s="2" t="s">
        <v>8</v>
      </c>
      <c r="Y11" s="2">
        <v>91</v>
      </c>
      <c r="Z11" s="2">
        <v>94</v>
      </c>
      <c r="AA11" s="2">
        <v>37</v>
      </c>
      <c r="AB11" s="2">
        <v>74</v>
      </c>
      <c r="AC11" s="2" t="s">
        <v>59</v>
      </c>
      <c r="AD11" s="2" t="s">
        <v>91</v>
      </c>
    </row>
    <row r="12" spans="1:30" ht="13.15" customHeight="1" x14ac:dyDescent="0.25">
      <c r="A12" s="3" t="s">
        <v>92</v>
      </c>
      <c r="B12" s="3" t="s">
        <v>93</v>
      </c>
      <c r="C12" s="3" t="s">
        <v>49</v>
      </c>
      <c r="D12" s="3" t="s">
        <v>8</v>
      </c>
      <c r="E12" s="3" t="s">
        <v>8</v>
      </c>
      <c r="F12" s="3" t="s">
        <v>8</v>
      </c>
      <c r="G12" s="3" t="s">
        <v>618</v>
      </c>
      <c r="H12" s="3" t="s">
        <v>619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296</v>
      </c>
      <c r="N12" s="3" t="s">
        <v>94</v>
      </c>
      <c r="O12" s="3" t="s">
        <v>123</v>
      </c>
      <c r="P12" s="3" t="s">
        <v>95</v>
      </c>
      <c r="Q12" s="3" t="s">
        <v>124</v>
      </c>
      <c r="R12" s="3" t="s">
        <v>620</v>
      </c>
      <c r="S12" s="3" t="s">
        <v>407</v>
      </c>
      <c r="T12" s="3" t="s">
        <v>435</v>
      </c>
      <c r="U12" s="3" t="s">
        <v>464</v>
      </c>
      <c r="V12" s="3" t="s">
        <v>488</v>
      </c>
      <c r="W12" s="3" t="s">
        <v>96</v>
      </c>
      <c r="X12" s="3" t="s">
        <v>8</v>
      </c>
      <c r="Y12" s="3">
        <v>92</v>
      </c>
      <c r="Z12" s="3">
        <v>40</v>
      </c>
      <c r="AA12" s="3">
        <v>87</v>
      </c>
      <c r="AB12" s="3">
        <v>73</v>
      </c>
      <c r="AC12" s="3" t="s">
        <v>65</v>
      </c>
      <c r="AD12" s="3" t="s">
        <v>91</v>
      </c>
    </row>
    <row r="13" spans="1:30" ht="13.15" customHeight="1" x14ac:dyDescent="0.25">
      <c r="A13" s="2" t="s">
        <v>27</v>
      </c>
      <c r="B13" s="2" t="s">
        <v>28</v>
      </c>
      <c r="C13" s="2" t="s">
        <v>49</v>
      </c>
      <c r="D13" s="2" t="s">
        <v>8</v>
      </c>
      <c r="E13" s="2" t="s">
        <v>8</v>
      </c>
      <c r="F13" s="2" t="s">
        <v>8</v>
      </c>
      <c r="G13" s="2" t="s">
        <v>621</v>
      </c>
      <c r="H13" s="2" t="s">
        <v>622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297</v>
      </c>
      <c r="N13" s="2" t="s">
        <v>107</v>
      </c>
      <c r="O13" s="2" t="s">
        <v>108</v>
      </c>
      <c r="P13" s="2" t="s">
        <v>29</v>
      </c>
      <c r="Q13" s="2" t="s">
        <v>109</v>
      </c>
      <c r="R13" s="2" t="s">
        <v>381</v>
      </c>
      <c r="S13" s="2" t="s">
        <v>408</v>
      </c>
      <c r="T13" s="2" t="s">
        <v>438</v>
      </c>
      <c r="U13" s="2" t="s">
        <v>465</v>
      </c>
      <c r="V13" s="2" t="s">
        <v>489</v>
      </c>
      <c r="W13" s="2" t="s">
        <v>209</v>
      </c>
      <c r="X13" s="2" t="s">
        <v>8</v>
      </c>
      <c r="Y13" s="2">
        <v>97</v>
      </c>
      <c r="Z13" s="2">
        <v>28</v>
      </c>
      <c r="AA13" s="2">
        <v>94</v>
      </c>
      <c r="AB13" s="2">
        <v>73</v>
      </c>
      <c r="AC13" s="2" t="s">
        <v>65</v>
      </c>
      <c r="AD13" s="2" t="s">
        <v>91</v>
      </c>
    </row>
    <row r="14" spans="1:30" ht="13.15" customHeight="1" x14ac:dyDescent="0.25">
      <c r="A14" s="3" t="s">
        <v>222</v>
      </c>
      <c r="B14" s="3" t="s">
        <v>223</v>
      </c>
      <c r="C14" s="3" t="s">
        <v>49</v>
      </c>
      <c r="D14" s="3" t="s">
        <v>8</v>
      </c>
      <c r="E14" s="3" t="s">
        <v>8</v>
      </c>
      <c r="F14" s="3" t="s">
        <v>8</v>
      </c>
      <c r="G14" s="3" t="s">
        <v>623</v>
      </c>
      <c r="H14" s="3" t="s">
        <v>624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298</v>
      </c>
      <c r="N14" s="3" t="s">
        <v>327</v>
      </c>
      <c r="O14" s="3" t="s">
        <v>342</v>
      </c>
      <c r="P14" s="3" t="s">
        <v>360</v>
      </c>
      <c r="Q14" s="3" t="s">
        <v>385</v>
      </c>
      <c r="R14" s="3" t="s">
        <v>625</v>
      </c>
      <c r="S14" s="3" t="s">
        <v>409</v>
      </c>
      <c r="T14" s="3" t="s">
        <v>439</v>
      </c>
      <c r="U14" s="3" t="s">
        <v>466</v>
      </c>
      <c r="V14" s="3" t="s">
        <v>490</v>
      </c>
      <c r="W14" s="3" t="s">
        <v>224</v>
      </c>
      <c r="X14" s="3" t="s">
        <v>8</v>
      </c>
      <c r="Y14" s="3">
        <v>70</v>
      </c>
      <c r="Z14" s="3">
        <v>62</v>
      </c>
      <c r="AA14" s="3">
        <v>85</v>
      </c>
      <c r="AB14" s="3">
        <v>72</v>
      </c>
      <c r="AC14" s="3" t="s">
        <v>225</v>
      </c>
      <c r="AD14" s="3" t="s">
        <v>91</v>
      </c>
    </row>
    <row r="15" spans="1:30" ht="13.15" customHeight="1" x14ac:dyDescent="0.25">
      <c r="A15" s="2" t="s">
        <v>241</v>
      </c>
      <c r="B15" s="2" t="s">
        <v>626</v>
      </c>
      <c r="C15" s="2" t="s">
        <v>49</v>
      </c>
      <c r="D15" s="2" t="s">
        <v>8</v>
      </c>
      <c r="E15" s="2" t="s">
        <v>8</v>
      </c>
      <c r="F15" s="2" t="s">
        <v>8</v>
      </c>
      <c r="G15" s="2" t="s">
        <v>627</v>
      </c>
      <c r="H15" s="2" t="s">
        <v>628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299</v>
      </c>
      <c r="N15" s="2" t="s">
        <v>328</v>
      </c>
      <c r="O15" s="2" t="s">
        <v>325</v>
      </c>
      <c r="P15" s="2" t="s">
        <v>361</v>
      </c>
      <c r="Q15" s="2" t="s">
        <v>386</v>
      </c>
      <c r="R15" s="2" t="s">
        <v>388</v>
      </c>
      <c r="S15" s="2" t="s">
        <v>410</v>
      </c>
      <c r="T15" s="2" t="s">
        <v>440</v>
      </c>
      <c r="U15" s="2" t="s">
        <v>467</v>
      </c>
      <c r="V15" s="2" t="s">
        <v>488</v>
      </c>
      <c r="W15" s="2" t="s">
        <v>502</v>
      </c>
      <c r="X15" s="2" t="s">
        <v>8</v>
      </c>
      <c r="Y15" s="2">
        <v>67</v>
      </c>
      <c r="Z15" s="2">
        <v>67</v>
      </c>
      <c r="AA15" s="2">
        <v>78</v>
      </c>
      <c r="AB15" s="2">
        <v>71</v>
      </c>
      <c r="AC15" s="2" t="s">
        <v>629</v>
      </c>
      <c r="AD15" s="2" t="s">
        <v>91</v>
      </c>
    </row>
    <row r="16" spans="1:30" ht="13.15" customHeight="1" x14ac:dyDescent="0.25">
      <c r="A16" s="3" t="s">
        <v>128</v>
      </c>
      <c r="B16" s="3" t="s">
        <v>129</v>
      </c>
      <c r="C16" s="3" t="s">
        <v>49</v>
      </c>
      <c r="D16" s="3" t="s">
        <v>8</v>
      </c>
      <c r="E16" s="3" t="s">
        <v>8</v>
      </c>
      <c r="F16" s="3" t="s">
        <v>8</v>
      </c>
      <c r="G16" s="3" t="s">
        <v>630</v>
      </c>
      <c r="H16" s="3" t="s">
        <v>631</v>
      </c>
      <c r="I16" s="3" t="s">
        <v>8</v>
      </c>
      <c r="J16" s="3" t="s">
        <v>8</v>
      </c>
      <c r="K16" s="3" t="s">
        <v>8</v>
      </c>
      <c r="L16" s="3" t="s">
        <v>8</v>
      </c>
      <c r="M16" s="3" t="s">
        <v>300</v>
      </c>
      <c r="N16" s="3" t="s">
        <v>131</v>
      </c>
      <c r="O16" s="3" t="s">
        <v>132</v>
      </c>
      <c r="P16" s="3" t="s">
        <v>130</v>
      </c>
      <c r="Q16" s="3" t="s">
        <v>133</v>
      </c>
      <c r="R16" s="3" t="s">
        <v>632</v>
      </c>
      <c r="S16" s="3" t="s">
        <v>411</v>
      </c>
      <c r="T16" s="3" t="s">
        <v>441</v>
      </c>
      <c r="U16" s="3" t="s">
        <v>160</v>
      </c>
      <c r="V16" s="3" t="s">
        <v>491</v>
      </c>
      <c r="W16" s="3" t="s">
        <v>210</v>
      </c>
      <c r="X16" s="3" t="s">
        <v>8</v>
      </c>
      <c r="Y16" s="3">
        <v>88</v>
      </c>
      <c r="Z16" s="3">
        <v>24</v>
      </c>
      <c r="AA16" s="3">
        <v>93</v>
      </c>
      <c r="AB16" s="3">
        <v>68</v>
      </c>
      <c r="AC16" s="3" t="s">
        <v>211</v>
      </c>
      <c r="AD16" s="3" t="s">
        <v>91</v>
      </c>
    </row>
    <row r="17" spans="1:30" ht="13.15" customHeight="1" x14ac:dyDescent="0.25">
      <c r="A17" s="2" t="s">
        <v>3</v>
      </c>
      <c r="B17" s="2" t="s">
        <v>4</v>
      </c>
      <c r="C17" s="2" t="s">
        <v>49</v>
      </c>
      <c r="D17" s="2" t="s">
        <v>8</v>
      </c>
      <c r="E17" s="2" t="s">
        <v>8</v>
      </c>
      <c r="F17" s="2" t="s">
        <v>8</v>
      </c>
      <c r="G17" s="2" t="s">
        <v>633</v>
      </c>
      <c r="H17" s="2" t="s">
        <v>634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301</v>
      </c>
      <c r="N17" s="2" t="s">
        <v>101</v>
      </c>
      <c r="O17" s="2" t="s">
        <v>5</v>
      </c>
      <c r="P17" s="2" t="s">
        <v>5</v>
      </c>
      <c r="Q17" s="2" t="s">
        <v>102</v>
      </c>
      <c r="R17" s="2" t="s">
        <v>635</v>
      </c>
      <c r="S17" s="2" t="s">
        <v>171</v>
      </c>
      <c r="T17" s="2" t="s">
        <v>442</v>
      </c>
      <c r="U17" s="2" t="s">
        <v>468</v>
      </c>
      <c r="V17" s="2" t="s">
        <v>203</v>
      </c>
      <c r="W17" s="2" t="s">
        <v>212</v>
      </c>
      <c r="X17" s="2" t="s">
        <v>8</v>
      </c>
      <c r="Y17" s="2">
        <v>100</v>
      </c>
      <c r="Z17" s="2">
        <v>11</v>
      </c>
      <c r="AA17" s="2">
        <v>91</v>
      </c>
      <c r="AB17" s="2">
        <v>67</v>
      </c>
      <c r="AC17" s="2" t="s">
        <v>213</v>
      </c>
      <c r="AD17" s="2" t="s">
        <v>91</v>
      </c>
    </row>
    <row r="18" spans="1:30" ht="13.15" customHeight="1" x14ac:dyDescent="0.25">
      <c r="A18" s="3" t="s">
        <v>218</v>
      </c>
      <c r="B18" s="3" t="s">
        <v>219</v>
      </c>
      <c r="C18" s="3" t="s">
        <v>49</v>
      </c>
      <c r="D18" s="3" t="s">
        <v>8</v>
      </c>
      <c r="E18" s="3" t="s">
        <v>8</v>
      </c>
      <c r="F18" s="3" t="s">
        <v>8</v>
      </c>
      <c r="G18" s="3" t="s">
        <v>636</v>
      </c>
      <c r="H18" s="3" t="s">
        <v>637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302</v>
      </c>
      <c r="N18" s="3" t="s">
        <v>329</v>
      </c>
      <c r="O18" s="3" t="s">
        <v>340</v>
      </c>
      <c r="P18" s="3" t="s">
        <v>362</v>
      </c>
      <c r="Q18" s="3" t="s">
        <v>387</v>
      </c>
      <c r="R18" s="3" t="s">
        <v>638</v>
      </c>
      <c r="S18" s="3" t="s">
        <v>412</v>
      </c>
      <c r="T18" s="3" t="s">
        <v>443</v>
      </c>
      <c r="U18" s="3" t="s">
        <v>469</v>
      </c>
      <c r="V18" s="3" t="s">
        <v>485</v>
      </c>
      <c r="W18" s="3" t="s">
        <v>220</v>
      </c>
      <c r="X18" s="3" t="s">
        <v>8</v>
      </c>
      <c r="Y18" s="3">
        <v>58</v>
      </c>
      <c r="Z18" s="3">
        <v>56</v>
      </c>
      <c r="AA18" s="3">
        <v>86</v>
      </c>
      <c r="AB18" s="3">
        <v>67</v>
      </c>
      <c r="AC18" s="3" t="s">
        <v>221</v>
      </c>
      <c r="AD18" s="3" t="s">
        <v>91</v>
      </c>
    </row>
    <row r="19" spans="1:30" ht="13.15" customHeight="1" x14ac:dyDescent="0.25">
      <c r="A19" s="2" t="s">
        <v>112</v>
      </c>
      <c r="B19" s="2" t="s">
        <v>113</v>
      </c>
      <c r="C19" s="2" t="s">
        <v>49</v>
      </c>
      <c r="D19" s="2" t="s">
        <v>8</v>
      </c>
      <c r="E19" s="2" t="s">
        <v>8</v>
      </c>
      <c r="F19" s="2" t="s">
        <v>8</v>
      </c>
      <c r="G19" s="2" t="s">
        <v>639</v>
      </c>
      <c r="H19" s="2" t="s">
        <v>640</v>
      </c>
      <c r="I19" s="2" t="s">
        <v>8</v>
      </c>
      <c r="J19" s="2" t="s">
        <v>8</v>
      </c>
      <c r="K19" s="2" t="s">
        <v>8</v>
      </c>
      <c r="L19" s="2" t="s">
        <v>8</v>
      </c>
      <c r="M19" s="2" t="s">
        <v>303</v>
      </c>
      <c r="N19" s="2" t="s">
        <v>115</v>
      </c>
      <c r="O19" s="2" t="s">
        <v>116</v>
      </c>
      <c r="P19" s="2" t="s">
        <v>114</v>
      </c>
      <c r="Q19" s="2" t="s">
        <v>117</v>
      </c>
      <c r="R19" s="2" t="s">
        <v>641</v>
      </c>
      <c r="S19" s="2" t="s">
        <v>413</v>
      </c>
      <c r="T19" s="2" t="s">
        <v>444</v>
      </c>
      <c r="U19" s="2" t="s">
        <v>470</v>
      </c>
      <c r="V19" s="2" t="s">
        <v>484</v>
      </c>
      <c r="W19" s="2" t="s">
        <v>503</v>
      </c>
      <c r="X19" s="2" t="s">
        <v>8</v>
      </c>
      <c r="Y19" s="2">
        <v>94</v>
      </c>
      <c r="Z19" s="2">
        <v>31</v>
      </c>
      <c r="AA19" s="2">
        <v>73</v>
      </c>
      <c r="AB19" s="2">
        <v>66</v>
      </c>
      <c r="AC19" s="2" t="s">
        <v>59</v>
      </c>
      <c r="AD19" s="2" t="s">
        <v>91</v>
      </c>
    </row>
    <row r="20" spans="1:30" ht="13.15" customHeight="1" x14ac:dyDescent="0.25">
      <c r="A20" s="3" t="s">
        <v>163</v>
      </c>
      <c r="B20" s="3" t="s">
        <v>164</v>
      </c>
      <c r="C20" s="3" t="s">
        <v>49</v>
      </c>
      <c r="D20" s="3" t="s">
        <v>8</v>
      </c>
      <c r="E20" s="3" t="s">
        <v>8</v>
      </c>
      <c r="F20" s="3" t="s">
        <v>8</v>
      </c>
      <c r="G20" s="3" t="s">
        <v>598</v>
      </c>
      <c r="H20" s="3" t="s">
        <v>613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304</v>
      </c>
      <c r="N20" s="3" t="s">
        <v>80</v>
      </c>
      <c r="O20" s="3" t="s">
        <v>343</v>
      </c>
      <c r="P20" s="3" t="s">
        <v>363</v>
      </c>
      <c r="Q20" s="3" t="s">
        <v>167</v>
      </c>
      <c r="R20" s="3" t="s">
        <v>642</v>
      </c>
      <c r="S20" s="3" t="s">
        <v>168</v>
      </c>
      <c r="T20" s="3" t="s">
        <v>435</v>
      </c>
      <c r="U20" s="3" t="s">
        <v>165</v>
      </c>
      <c r="V20" s="3" t="s">
        <v>166</v>
      </c>
      <c r="W20" s="3" t="s">
        <v>504</v>
      </c>
      <c r="X20" s="3" t="s">
        <v>8</v>
      </c>
      <c r="Y20" s="3">
        <v>57</v>
      </c>
      <c r="Z20" s="3">
        <v>93</v>
      </c>
      <c r="AA20" s="3">
        <v>49</v>
      </c>
      <c r="AB20" s="3">
        <v>66</v>
      </c>
      <c r="AC20" s="3" t="s">
        <v>643</v>
      </c>
      <c r="AD20" s="3" t="s">
        <v>91</v>
      </c>
    </row>
    <row r="21" spans="1:30" ht="13.15" customHeight="1" x14ac:dyDescent="0.25">
      <c r="A21" s="2" t="s">
        <v>242</v>
      </c>
      <c r="B21" s="2" t="s">
        <v>644</v>
      </c>
      <c r="C21" s="2" t="s">
        <v>49</v>
      </c>
      <c r="D21" s="2" t="s">
        <v>8</v>
      </c>
      <c r="E21" s="2" t="s">
        <v>8</v>
      </c>
      <c r="F21" s="2" t="s">
        <v>8</v>
      </c>
      <c r="G21" s="2" t="s">
        <v>645</v>
      </c>
      <c r="H21" s="2" t="s">
        <v>646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305</v>
      </c>
      <c r="N21" s="2" t="s">
        <v>80</v>
      </c>
      <c r="O21" s="2" t="s">
        <v>344</v>
      </c>
      <c r="P21" s="2" t="s">
        <v>364</v>
      </c>
      <c r="Q21" s="2" t="s">
        <v>388</v>
      </c>
      <c r="R21" s="2" t="s">
        <v>647</v>
      </c>
      <c r="S21" s="2" t="s">
        <v>414</v>
      </c>
      <c r="T21" s="2" t="s">
        <v>445</v>
      </c>
      <c r="U21" s="2" t="s">
        <v>471</v>
      </c>
      <c r="V21" s="2" t="s">
        <v>492</v>
      </c>
      <c r="W21" s="2" t="s">
        <v>505</v>
      </c>
      <c r="X21" s="2" t="s">
        <v>8</v>
      </c>
      <c r="Y21" s="2">
        <v>79</v>
      </c>
      <c r="Z21" s="2">
        <v>80</v>
      </c>
      <c r="AA21" s="2">
        <v>40</v>
      </c>
      <c r="AB21" s="2">
        <v>66</v>
      </c>
      <c r="AC21" s="2" t="s">
        <v>648</v>
      </c>
      <c r="AD21" s="2" t="s">
        <v>91</v>
      </c>
    </row>
    <row r="22" spans="1:30" ht="13.15" customHeight="1" x14ac:dyDescent="0.25">
      <c r="A22" s="3" t="s">
        <v>33</v>
      </c>
      <c r="B22" s="3" t="s">
        <v>34</v>
      </c>
      <c r="C22" s="3" t="s">
        <v>49</v>
      </c>
      <c r="D22" s="3" t="s">
        <v>8</v>
      </c>
      <c r="E22" s="3" t="s">
        <v>8</v>
      </c>
      <c r="F22" s="3" t="s">
        <v>8</v>
      </c>
      <c r="G22" s="3" t="s">
        <v>649</v>
      </c>
      <c r="H22" s="3" t="s">
        <v>608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306</v>
      </c>
      <c r="N22" s="3" t="s">
        <v>330</v>
      </c>
      <c r="O22" s="3" t="s">
        <v>345</v>
      </c>
      <c r="P22" s="3" t="s">
        <v>365</v>
      </c>
      <c r="Q22" s="3" t="s">
        <v>389</v>
      </c>
      <c r="R22" s="3" t="s">
        <v>650</v>
      </c>
      <c r="S22" s="3" t="s">
        <v>415</v>
      </c>
      <c r="T22" s="3" t="s">
        <v>429</v>
      </c>
      <c r="U22" s="3" t="s">
        <v>472</v>
      </c>
      <c r="V22" s="3" t="s">
        <v>493</v>
      </c>
      <c r="W22" s="3" t="s">
        <v>35</v>
      </c>
      <c r="X22" s="3" t="s">
        <v>8</v>
      </c>
      <c r="Y22" s="3">
        <v>47</v>
      </c>
      <c r="Z22" s="3">
        <v>54</v>
      </c>
      <c r="AA22" s="3">
        <v>97</v>
      </c>
      <c r="AB22" s="3">
        <v>66</v>
      </c>
      <c r="AC22" s="3" t="s">
        <v>59</v>
      </c>
      <c r="AD22" s="3" t="s">
        <v>91</v>
      </c>
    </row>
    <row r="23" spans="1:30" ht="13.15" customHeight="1" x14ac:dyDescent="0.25">
      <c r="A23" s="2" t="s">
        <v>177</v>
      </c>
      <c r="B23" s="2" t="s">
        <v>178</v>
      </c>
      <c r="C23" s="2" t="s">
        <v>49</v>
      </c>
      <c r="D23" s="2" t="s">
        <v>8</v>
      </c>
      <c r="E23" s="2" t="s">
        <v>8</v>
      </c>
      <c r="F23" s="2" t="s">
        <v>8</v>
      </c>
      <c r="G23" s="2" t="s">
        <v>651</v>
      </c>
      <c r="H23" s="2" t="s">
        <v>652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307</v>
      </c>
      <c r="N23" s="2" t="s">
        <v>181</v>
      </c>
      <c r="O23" s="2" t="s">
        <v>346</v>
      </c>
      <c r="P23" s="2" t="s">
        <v>366</v>
      </c>
      <c r="Q23" s="2" t="s">
        <v>182</v>
      </c>
      <c r="R23" s="2" t="s">
        <v>400</v>
      </c>
      <c r="S23" s="2" t="s">
        <v>183</v>
      </c>
      <c r="T23" s="2" t="s">
        <v>433</v>
      </c>
      <c r="U23" s="2" t="s">
        <v>179</v>
      </c>
      <c r="V23" s="2" t="s">
        <v>180</v>
      </c>
      <c r="W23" s="2" t="s">
        <v>506</v>
      </c>
      <c r="X23" s="2" t="s">
        <v>8</v>
      </c>
      <c r="Y23" s="2">
        <v>73</v>
      </c>
      <c r="Z23" s="2">
        <v>90</v>
      </c>
      <c r="AA23" s="2">
        <v>31</v>
      </c>
      <c r="AB23" s="2">
        <v>65</v>
      </c>
      <c r="AC23" s="2" t="s">
        <v>629</v>
      </c>
      <c r="AD23" s="2" t="s">
        <v>91</v>
      </c>
    </row>
    <row r="24" spans="1:30" ht="13.15" customHeight="1" x14ac:dyDescent="0.25">
      <c r="A24" s="3" t="s">
        <v>243</v>
      </c>
      <c r="B24" s="3" t="s">
        <v>653</v>
      </c>
      <c r="C24" s="3" t="s">
        <v>49</v>
      </c>
      <c r="D24" s="3" t="s">
        <v>8</v>
      </c>
      <c r="E24" s="3" t="s">
        <v>8</v>
      </c>
      <c r="F24" s="3" t="s">
        <v>8</v>
      </c>
      <c r="G24" s="3" t="s">
        <v>651</v>
      </c>
      <c r="H24" s="3" t="s">
        <v>622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308</v>
      </c>
      <c r="N24" s="3" t="s">
        <v>331</v>
      </c>
      <c r="O24" s="3" t="s">
        <v>347</v>
      </c>
      <c r="P24" s="3" t="s">
        <v>364</v>
      </c>
      <c r="Q24" s="3" t="s">
        <v>390</v>
      </c>
      <c r="R24" s="3" t="s">
        <v>364</v>
      </c>
      <c r="S24" s="3" t="s">
        <v>416</v>
      </c>
      <c r="T24" s="3" t="s">
        <v>446</v>
      </c>
      <c r="U24" s="3" t="s">
        <v>473</v>
      </c>
      <c r="V24" s="3" t="s">
        <v>494</v>
      </c>
      <c r="W24" s="3" t="s">
        <v>507</v>
      </c>
      <c r="X24" s="3" t="s">
        <v>8</v>
      </c>
      <c r="Y24" s="3">
        <v>64</v>
      </c>
      <c r="Z24" s="3">
        <v>68</v>
      </c>
      <c r="AA24" s="3">
        <v>63</v>
      </c>
      <c r="AB24" s="3">
        <v>65</v>
      </c>
      <c r="AC24" s="3" t="s">
        <v>59</v>
      </c>
      <c r="AD24" s="3" t="s">
        <v>91</v>
      </c>
    </row>
    <row r="25" spans="1:30" ht="13.15" customHeight="1" x14ac:dyDescent="0.25">
      <c r="A25" s="2" t="s">
        <v>200</v>
      </c>
      <c r="B25" s="2" t="s">
        <v>201</v>
      </c>
      <c r="C25" s="2" t="s">
        <v>49</v>
      </c>
      <c r="D25" s="2" t="s">
        <v>8</v>
      </c>
      <c r="E25" s="2" t="s">
        <v>8</v>
      </c>
      <c r="F25" s="2" t="s">
        <v>8</v>
      </c>
      <c r="G25" s="2" t="s">
        <v>654</v>
      </c>
      <c r="H25" s="2" t="s">
        <v>655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309</v>
      </c>
      <c r="N25" s="2" t="s">
        <v>204</v>
      </c>
      <c r="O25" s="2" t="s">
        <v>348</v>
      </c>
      <c r="P25" s="2" t="s">
        <v>367</v>
      </c>
      <c r="Q25" s="2" t="s">
        <v>205</v>
      </c>
      <c r="R25" s="2" t="s">
        <v>656</v>
      </c>
      <c r="S25" s="2" t="s">
        <v>206</v>
      </c>
      <c r="T25" s="2" t="s">
        <v>447</v>
      </c>
      <c r="U25" s="2" t="s">
        <v>202</v>
      </c>
      <c r="V25" s="2" t="s">
        <v>203</v>
      </c>
      <c r="W25" s="2" t="s">
        <v>508</v>
      </c>
      <c r="X25" s="2" t="s">
        <v>8</v>
      </c>
      <c r="Y25" s="2">
        <v>52</v>
      </c>
      <c r="Z25" s="2">
        <v>84</v>
      </c>
      <c r="AA25" s="2">
        <v>55</v>
      </c>
      <c r="AB25" s="2">
        <v>64</v>
      </c>
      <c r="AC25" s="2" t="s">
        <v>643</v>
      </c>
      <c r="AD25" s="2" t="s">
        <v>91</v>
      </c>
    </row>
    <row r="26" spans="1:30" ht="13.15" customHeight="1" x14ac:dyDescent="0.25">
      <c r="A26" s="3" t="s">
        <v>187</v>
      </c>
      <c r="B26" s="3" t="s">
        <v>188</v>
      </c>
      <c r="C26" s="3" t="s">
        <v>49</v>
      </c>
      <c r="D26" s="3" t="s">
        <v>8</v>
      </c>
      <c r="E26" s="3" t="s">
        <v>8</v>
      </c>
      <c r="F26" s="3" t="s">
        <v>8</v>
      </c>
      <c r="G26" s="3" t="s">
        <v>657</v>
      </c>
      <c r="H26" s="3" t="s">
        <v>658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310</v>
      </c>
      <c r="N26" s="3" t="s">
        <v>191</v>
      </c>
      <c r="O26" s="3" t="s">
        <v>172</v>
      </c>
      <c r="P26" s="3" t="s">
        <v>368</v>
      </c>
      <c r="Q26" s="3" t="s">
        <v>192</v>
      </c>
      <c r="R26" s="3" t="s">
        <v>659</v>
      </c>
      <c r="S26" s="3" t="s">
        <v>193</v>
      </c>
      <c r="T26" s="3" t="s">
        <v>433</v>
      </c>
      <c r="U26" s="3" t="s">
        <v>189</v>
      </c>
      <c r="V26" s="3" t="s">
        <v>190</v>
      </c>
      <c r="W26" s="3" t="s">
        <v>509</v>
      </c>
      <c r="X26" s="3" t="s">
        <v>8</v>
      </c>
      <c r="Y26" s="3">
        <v>66</v>
      </c>
      <c r="Z26" s="3">
        <v>87</v>
      </c>
      <c r="AA26" s="3">
        <v>33</v>
      </c>
      <c r="AB26" s="3">
        <v>62</v>
      </c>
      <c r="AC26" s="3" t="s">
        <v>59</v>
      </c>
      <c r="AD26" s="3" t="s">
        <v>91</v>
      </c>
    </row>
    <row r="27" spans="1:30" ht="13.15" customHeight="1" x14ac:dyDescent="0.25">
      <c r="A27" s="2" t="s">
        <v>37</v>
      </c>
      <c r="B27" s="2" t="s">
        <v>38</v>
      </c>
      <c r="C27" s="2" t="s">
        <v>49</v>
      </c>
      <c r="D27" s="2" t="s">
        <v>8</v>
      </c>
      <c r="E27" s="2" t="s">
        <v>8</v>
      </c>
      <c r="F27" s="2" t="s">
        <v>8</v>
      </c>
      <c r="G27" s="2" t="s">
        <v>652</v>
      </c>
      <c r="H27" s="2" t="s">
        <v>655</v>
      </c>
      <c r="I27" s="2" t="s">
        <v>8</v>
      </c>
      <c r="J27" s="2" t="s">
        <v>8</v>
      </c>
      <c r="K27" s="2" t="s">
        <v>8</v>
      </c>
      <c r="L27" s="2" t="s">
        <v>8</v>
      </c>
      <c r="M27" s="2" t="s">
        <v>311</v>
      </c>
      <c r="N27" s="2" t="s">
        <v>157</v>
      </c>
      <c r="O27" s="2" t="s">
        <v>349</v>
      </c>
      <c r="P27" s="2" t="s">
        <v>369</v>
      </c>
      <c r="Q27" s="2" t="s">
        <v>158</v>
      </c>
      <c r="R27" s="2" t="s">
        <v>660</v>
      </c>
      <c r="S27" s="2" t="s">
        <v>159</v>
      </c>
      <c r="T27" s="2" t="s">
        <v>448</v>
      </c>
      <c r="U27" s="2" t="s">
        <v>39</v>
      </c>
      <c r="V27" s="2" t="s">
        <v>156</v>
      </c>
      <c r="W27" s="2" t="s">
        <v>510</v>
      </c>
      <c r="X27" s="2" t="s">
        <v>8</v>
      </c>
      <c r="Y27" s="2">
        <v>71</v>
      </c>
      <c r="Z27" s="2">
        <v>95</v>
      </c>
      <c r="AA27" s="2">
        <v>17</v>
      </c>
      <c r="AB27" s="2">
        <v>61</v>
      </c>
      <c r="AC27" s="2" t="s">
        <v>211</v>
      </c>
      <c r="AD27" s="2" t="s">
        <v>91</v>
      </c>
    </row>
    <row r="28" spans="1:30" ht="13.15" customHeight="1" x14ac:dyDescent="0.25">
      <c r="A28" s="3" t="s">
        <v>244</v>
      </c>
      <c r="B28" s="3" t="s">
        <v>522</v>
      </c>
      <c r="C28" s="3" t="s">
        <v>49</v>
      </c>
      <c r="D28" s="3" t="s">
        <v>8</v>
      </c>
      <c r="E28" s="3" t="s">
        <v>8</v>
      </c>
      <c r="F28" s="3" t="s">
        <v>8</v>
      </c>
      <c r="G28" s="3" t="s">
        <v>661</v>
      </c>
      <c r="H28" s="3" t="s">
        <v>662</v>
      </c>
      <c r="I28" s="3" t="s">
        <v>8</v>
      </c>
      <c r="J28" s="3" t="s">
        <v>8</v>
      </c>
      <c r="K28" s="3" t="s">
        <v>8</v>
      </c>
      <c r="L28" s="3" t="s">
        <v>8</v>
      </c>
      <c r="M28" s="3" t="s">
        <v>312</v>
      </c>
      <c r="N28" s="3" t="s">
        <v>332</v>
      </c>
      <c r="O28" s="3" t="s">
        <v>350</v>
      </c>
      <c r="P28" s="3" t="s">
        <v>370</v>
      </c>
      <c r="Q28" s="3" t="s">
        <v>391</v>
      </c>
      <c r="R28" s="3" t="s">
        <v>387</v>
      </c>
      <c r="S28" s="3" t="s">
        <v>417</v>
      </c>
      <c r="T28" s="3" t="s">
        <v>436</v>
      </c>
      <c r="U28" s="3" t="s">
        <v>474</v>
      </c>
      <c r="V28" s="3" t="s">
        <v>190</v>
      </c>
      <c r="W28" s="3" t="s">
        <v>399</v>
      </c>
      <c r="X28" s="3" t="s">
        <v>8</v>
      </c>
      <c r="Y28" s="3">
        <v>51</v>
      </c>
      <c r="Z28" s="3">
        <v>72</v>
      </c>
      <c r="AA28" s="3">
        <v>59</v>
      </c>
      <c r="AB28" s="3">
        <v>61</v>
      </c>
      <c r="AC28" s="3" t="s">
        <v>211</v>
      </c>
      <c r="AD28" s="3" t="s">
        <v>91</v>
      </c>
    </row>
    <row r="29" spans="1:30" ht="13.15" customHeight="1" x14ac:dyDescent="0.25">
      <c r="A29" s="2" t="s">
        <v>245</v>
      </c>
      <c r="B29" s="2" t="s">
        <v>523</v>
      </c>
      <c r="C29" s="2" t="s">
        <v>49</v>
      </c>
      <c r="D29" s="2" t="s">
        <v>8</v>
      </c>
      <c r="E29" s="2" t="s">
        <v>8</v>
      </c>
      <c r="F29" s="2" t="s">
        <v>8</v>
      </c>
      <c r="G29" s="2" t="s">
        <v>663</v>
      </c>
      <c r="H29" s="2" t="s">
        <v>664</v>
      </c>
      <c r="I29" s="2" t="s">
        <v>8</v>
      </c>
      <c r="J29" s="2" t="s">
        <v>8</v>
      </c>
      <c r="K29" s="2" t="s">
        <v>8</v>
      </c>
      <c r="L29" s="2" t="s">
        <v>8</v>
      </c>
      <c r="M29" s="2" t="s">
        <v>306</v>
      </c>
      <c r="N29" s="2" t="s">
        <v>333</v>
      </c>
      <c r="O29" s="2" t="s">
        <v>351</v>
      </c>
      <c r="P29" s="2" t="s">
        <v>371</v>
      </c>
      <c r="Q29" s="2" t="s">
        <v>392</v>
      </c>
      <c r="R29" s="2" t="s">
        <v>382</v>
      </c>
      <c r="S29" s="2" t="s">
        <v>418</v>
      </c>
      <c r="T29" s="2" t="s">
        <v>449</v>
      </c>
      <c r="U29" s="2" t="s">
        <v>475</v>
      </c>
      <c r="V29" s="2" t="s">
        <v>484</v>
      </c>
      <c r="W29" s="2" t="s">
        <v>511</v>
      </c>
      <c r="X29" s="2" t="s">
        <v>8</v>
      </c>
      <c r="Y29" s="2">
        <v>78</v>
      </c>
      <c r="Z29" s="2">
        <v>52</v>
      </c>
      <c r="AA29" s="2">
        <v>50</v>
      </c>
      <c r="AB29" s="2">
        <v>60</v>
      </c>
      <c r="AC29" s="2" t="s">
        <v>83</v>
      </c>
      <c r="AD29" s="2" t="s">
        <v>91</v>
      </c>
    </row>
    <row r="30" spans="1:30" ht="13.15" customHeight="1" x14ac:dyDescent="0.25">
      <c r="A30" s="3" t="s">
        <v>214</v>
      </c>
      <c r="B30" s="3" t="s">
        <v>215</v>
      </c>
      <c r="C30" s="3" t="s">
        <v>49</v>
      </c>
      <c r="D30" s="3" t="s">
        <v>8</v>
      </c>
      <c r="E30" s="3" t="s">
        <v>8</v>
      </c>
      <c r="F30" s="3" t="s">
        <v>8</v>
      </c>
      <c r="G30" s="3" t="s">
        <v>665</v>
      </c>
      <c r="H30" s="3" t="s">
        <v>666</v>
      </c>
      <c r="I30" s="3" t="s">
        <v>8</v>
      </c>
      <c r="J30" s="3" t="s">
        <v>8</v>
      </c>
      <c r="K30" s="3" t="s">
        <v>8</v>
      </c>
      <c r="L30" s="3" t="s">
        <v>8</v>
      </c>
      <c r="M30" s="3" t="s">
        <v>238</v>
      </c>
      <c r="N30" s="3" t="s">
        <v>297</v>
      </c>
      <c r="O30" s="3" t="s">
        <v>330</v>
      </c>
      <c r="P30" s="3" t="s">
        <v>372</v>
      </c>
      <c r="Q30" s="3" t="s">
        <v>95</v>
      </c>
      <c r="R30" s="3" t="s">
        <v>205</v>
      </c>
      <c r="S30" s="3" t="s">
        <v>419</v>
      </c>
      <c r="T30" s="3" t="s">
        <v>450</v>
      </c>
      <c r="U30" s="3" t="s">
        <v>476</v>
      </c>
      <c r="V30" s="3" t="s">
        <v>495</v>
      </c>
      <c r="W30" s="3" t="s">
        <v>216</v>
      </c>
      <c r="X30" s="3" t="s">
        <v>8</v>
      </c>
      <c r="Y30" s="3">
        <v>38</v>
      </c>
      <c r="Z30" s="3">
        <v>53</v>
      </c>
      <c r="AA30" s="3">
        <v>90</v>
      </c>
      <c r="AB30" s="3">
        <v>60</v>
      </c>
      <c r="AC30" s="3" t="s">
        <v>217</v>
      </c>
      <c r="AD30" s="3" t="s">
        <v>91</v>
      </c>
    </row>
    <row r="31" spans="1:30" ht="13.15" customHeight="1" x14ac:dyDescent="0.25">
      <c r="A31" s="2" t="s">
        <v>246</v>
      </c>
      <c r="B31" s="2" t="s">
        <v>524</v>
      </c>
      <c r="C31" s="2" t="s">
        <v>49</v>
      </c>
      <c r="D31" s="2" t="s">
        <v>8</v>
      </c>
      <c r="E31" s="2" t="s">
        <v>8</v>
      </c>
      <c r="F31" s="2" t="s">
        <v>8</v>
      </c>
      <c r="G31" s="2" t="s">
        <v>667</v>
      </c>
      <c r="H31" s="2" t="s">
        <v>668</v>
      </c>
      <c r="I31" s="2" t="s">
        <v>8</v>
      </c>
      <c r="J31" s="2" t="s">
        <v>8</v>
      </c>
      <c r="K31" s="2" t="s">
        <v>8</v>
      </c>
      <c r="L31" s="2" t="s">
        <v>8</v>
      </c>
      <c r="M31" s="2" t="s">
        <v>313</v>
      </c>
      <c r="N31" s="2" t="s">
        <v>334</v>
      </c>
      <c r="O31" s="2" t="s">
        <v>339</v>
      </c>
      <c r="P31" s="2" t="s">
        <v>373</v>
      </c>
      <c r="Q31" s="2" t="s">
        <v>393</v>
      </c>
      <c r="R31" s="2" t="s">
        <v>669</v>
      </c>
      <c r="S31" s="2" t="s">
        <v>420</v>
      </c>
      <c r="T31" s="2" t="s">
        <v>451</v>
      </c>
      <c r="U31" s="2" t="s">
        <v>477</v>
      </c>
      <c r="V31" s="2" t="s">
        <v>196</v>
      </c>
      <c r="W31" s="2" t="s">
        <v>512</v>
      </c>
      <c r="X31" s="2" t="s">
        <v>8</v>
      </c>
      <c r="Y31" s="2">
        <v>53</v>
      </c>
      <c r="Z31" s="2">
        <v>83</v>
      </c>
      <c r="AA31" s="2">
        <v>44</v>
      </c>
      <c r="AB31" s="2">
        <v>60</v>
      </c>
      <c r="AC31" s="2" t="s">
        <v>85</v>
      </c>
      <c r="AD31" s="2" t="s">
        <v>91</v>
      </c>
    </row>
    <row r="32" spans="1:30" ht="13.15" customHeight="1" x14ac:dyDescent="0.25">
      <c r="A32" s="3" t="s">
        <v>247</v>
      </c>
      <c r="B32" s="3" t="s">
        <v>525</v>
      </c>
      <c r="C32" s="3" t="s">
        <v>49</v>
      </c>
      <c r="D32" s="3" t="s">
        <v>8</v>
      </c>
      <c r="E32" s="3" t="s">
        <v>8</v>
      </c>
      <c r="F32" s="3" t="s">
        <v>8</v>
      </c>
      <c r="G32" s="3" t="s">
        <v>670</v>
      </c>
      <c r="H32" s="3" t="s">
        <v>622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314</v>
      </c>
      <c r="N32" s="3" t="s">
        <v>88</v>
      </c>
      <c r="O32" s="3" t="s">
        <v>352</v>
      </c>
      <c r="P32" s="3" t="s">
        <v>374</v>
      </c>
      <c r="Q32" s="3" t="s">
        <v>394</v>
      </c>
      <c r="R32" s="3" t="s">
        <v>671</v>
      </c>
      <c r="S32" s="3" t="s">
        <v>421</v>
      </c>
      <c r="T32" s="3" t="s">
        <v>452</v>
      </c>
      <c r="U32" s="3" t="s">
        <v>478</v>
      </c>
      <c r="V32" s="3" t="s">
        <v>496</v>
      </c>
      <c r="W32" s="3" t="s">
        <v>374</v>
      </c>
      <c r="X32" s="3" t="s">
        <v>8</v>
      </c>
      <c r="Y32" s="3">
        <v>69</v>
      </c>
      <c r="Z32" s="3">
        <v>47</v>
      </c>
      <c r="AA32" s="3">
        <v>64</v>
      </c>
      <c r="AB32" s="3">
        <v>60</v>
      </c>
      <c r="AC32" s="3" t="s">
        <v>211</v>
      </c>
      <c r="AD32" s="3" t="s">
        <v>91</v>
      </c>
    </row>
    <row r="33" spans="1:30" ht="13.15" customHeight="1" x14ac:dyDescent="0.25">
      <c r="A33" s="2" t="s">
        <v>118</v>
      </c>
      <c r="B33" s="2" t="s">
        <v>119</v>
      </c>
      <c r="C33" s="2" t="s">
        <v>49</v>
      </c>
      <c r="D33" s="2" t="s">
        <v>8</v>
      </c>
      <c r="E33" s="2" t="s">
        <v>8</v>
      </c>
      <c r="F33" s="2" t="s">
        <v>8</v>
      </c>
      <c r="G33" s="2" t="s">
        <v>672</v>
      </c>
      <c r="H33" s="2" t="s">
        <v>673</v>
      </c>
      <c r="I33" s="2" t="s">
        <v>8</v>
      </c>
      <c r="J33" s="2" t="s">
        <v>8</v>
      </c>
      <c r="K33" s="2" t="s">
        <v>8</v>
      </c>
      <c r="L33" s="2" t="s">
        <v>8</v>
      </c>
      <c r="M33" s="2" t="s">
        <v>315</v>
      </c>
      <c r="N33" s="2" t="s">
        <v>121</v>
      </c>
      <c r="O33" s="2" t="s">
        <v>103</v>
      </c>
      <c r="P33" s="2" t="s">
        <v>120</v>
      </c>
      <c r="Q33" s="2" t="s">
        <v>122</v>
      </c>
      <c r="R33" s="2" t="s">
        <v>674</v>
      </c>
      <c r="S33" s="2" t="s">
        <v>422</v>
      </c>
      <c r="T33" s="2" t="s">
        <v>453</v>
      </c>
      <c r="U33" s="2" t="s">
        <v>479</v>
      </c>
      <c r="V33" s="2" t="s">
        <v>497</v>
      </c>
      <c r="W33" s="2" t="s">
        <v>513</v>
      </c>
      <c r="X33" s="2" t="s">
        <v>8</v>
      </c>
      <c r="Y33" s="2">
        <v>93</v>
      </c>
      <c r="Z33" s="2">
        <v>76</v>
      </c>
      <c r="AA33" s="2">
        <v>8</v>
      </c>
      <c r="AB33" s="2">
        <v>59</v>
      </c>
      <c r="AC33" s="2" t="s">
        <v>213</v>
      </c>
      <c r="AD33" s="2" t="s">
        <v>91</v>
      </c>
    </row>
    <row r="34" spans="1:30" ht="13.15" customHeight="1" x14ac:dyDescent="0.25">
      <c r="A34" s="3" t="s">
        <v>24</v>
      </c>
      <c r="B34" s="3" t="s">
        <v>25</v>
      </c>
      <c r="C34" s="3" t="s">
        <v>49</v>
      </c>
      <c r="D34" s="3" t="s">
        <v>8</v>
      </c>
      <c r="E34" s="3" t="s">
        <v>8</v>
      </c>
      <c r="F34" s="3" t="s">
        <v>8</v>
      </c>
      <c r="G34" s="3" t="s">
        <v>675</v>
      </c>
      <c r="H34" s="3" t="s">
        <v>676</v>
      </c>
      <c r="I34" s="3" t="s">
        <v>8</v>
      </c>
      <c r="J34" s="3" t="s">
        <v>8</v>
      </c>
      <c r="K34" s="3" t="s">
        <v>8</v>
      </c>
      <c r="L34" s="3" t="s">
        <v>8</v>
      </c>
      <c r="M34" s="3" t="s">
        <v>316</v>
      </c>
      <c r="N34" s="3" t="s">
        <v>335</v>
      </c>
      <c r="O34" s="3" t="s">
        <v>353</v>
      </c>
      <c r="P34" s="3" t="s">
        <v>375</v>
      </c>
      <c r="Q34" s="3" t="s">
        <v>395</v>
      </c>
      <c r="R34" s="3" t="s">
        <v>677</v>
      </c>
      <c r="S34" s="3" t="s">
        <v>423</v>
      </c>
      <c r="T34" s="3" t="s">
        <v>454</v>
      </c>
      <c r="U34" s="3" t="s">
        <v>480</v>
      </c>
      <c r="V34" s="3" t="s">
        <v>498</v>
      </c>
      <c r="W34" s="3" t="s">
        <v>26</v>
      </c>
      <c r="X34" s="3" t="s">
        <v>8</v>
      </c>
      <c r="Y34" s="3">
        <v>59</v>
      </c>
      <c r="Z34" s="3">
        <v>21</v>
      </c>
      <c r="AA34" s="3">
        <v>98</v>
      </c>
      <c r="AB34" s="3">
        <v>59</v>
      </c>
      <c r="AC34" s="3" t="s">
        <v>208</v>
      </c>
      <c r="AD34" s="3" t="s">
        <v>91</v>
      </c>
    </row>
    <row r="35" spans="1:30" ht="13.15" customHeight="1" x14ac:dyDescent="0.25">
      <c r="A35" s="2" t="s">
        <v>169</v>
      </c>
      <c r="B35" s="2" t="s">
        <v>170</v>
      </c>
      <c r="C35" s="2" t="s">
        <v>49</v>
      </c>
      <c r="D35" s="2" t="s">
        <v>8</v>
      </c>
      <c r="E35" s="2" t="s">
        <v>8</v>
      </c>
      <c r="F35" s="2" t="s">
        <v>8</v>
      </c>
      <c r="G35" s="2" t="s">
        <v>678</v>
      </c>
      <c r="H35" s="2" t="s">
        <v>646</v>
      </c>
      <c r="I35" s="2" t="s">
        <v>8</v>
      </c>
      <c r="J35" s="2" t="s">
        <v>8</v>
      </c>
      <c r="K35" s="2" t="s">
        <v>8</v>
      </c>
      <c r="L35" s="2" t="s">
        <v>8</v>
      </c>
      <c r="M35" s="2" t="s">
        <v>317</v>
      </c>
      <c r="N35" s="2" t="s">
        <v>172</v>
      </c>
      <c r="O35" s="2" t="s">
        <v>354</v>
      </c>
      <c r="P35" s="2" t="s">
        <v>376</v>
      </c>
      <c r="Q35" s="2" t="s">
        <v>173</v>
      </c>
      <c r="R35" s="2" t="s">
        <v>679</v>
      </c>
      <c r="S35" s="2" t="s">
        <v>174</v>
      </c>
      <c r="T35" s="2" t="s">
        <v>455</v>
      </c>
      <c r="U35" s="2" t="s">
        <v>171</v>
      </c>
      <c r="V35" s="2" t="s">
        <v>166</v>
      </c>
      <c r="W35" s="2" t="s">
        <v>514</v>
      </c>
      <c r="X35" s="2" t="s">
        <v>8</v>
      </c>
      <c r="Y35" s="2">
        <v>56</v>
      </c>
      <c r="Z35" s="2">
        <v>92</v>
      </c>
      <c r="AA35" s="2">
        <v>30</v>
      </c>
      <c r="AB35" s="2">
        <v>59</v>
      </c>
      <c r="AC35" s="2" t="s">
        <v>680</v>
      </c>
      <c r="AD35" s="2" t="s">
        <v>91</v>
      </c>
    </row>
    <row r="36" spans="1:30" ht="13.15" customHeight="1" x14ac:dyDescent="0.25">
      <c r="A36" s="3" t="s">
        <v>248</v>
      </c>
      <c r="B36" s="3" t="s">
        <v>526</v>
      </c>
      <c r="C36" s="3" t="s">
        <v>49</v>
      </c>
      <c r="D36" s="3" t="s">
        <v>8</v>
      </c>
      <c r="E36" s="3" t="s">
        <v>8</v>
      </c>
      <c r="F36" s="3" t="s">
        <v>8</v>
      </c>
      <c r="G36" s="3" t="s">
        <v>681</v>
      </c>
      <c r="H36" s="3" t="s">
        <v>682</v>
      </c>
      <c r="I36" s="3" t="s">
        <v>8</v>
      </c>
      <c r="J36" s="3" t="s">
        <v>8</v>
      </c>
      <c r="K36" s="3" t="s">
        <v>8</v>
      </c>
      <c r="L36" s="3" t="s">
        <v>8</v>
      </c>
      <c r="M36" s="3" t="s">
        <v>318</v>
      </c>
      <c r="N36" s="3" t="s">
        <v>336</v>
      </c>
      <c r="O36" s="3" t="s">
        <v>355</v>
      </c>
      <c r="P36" s="3" t="s">
        <v>362</v>
      </c>
      <c r="Q36" s="3" t="s">
        <v>396</v>
      </c>
      <c r="R36" s="3" t="s">
        <v>617</v>
      </c>
      <c r="S36" s="3" t="s">
        <v>424</v>
      </c>
      <c r="T36" s="3" t="s">
        <v>456</v>
      </c>
      <c r="U36" s="3" t="s">
        <v>415</v>
      </c>
      <c r="V36" s="3" t="s">
        <v>147</v>
      </c>
      <c r="W36" s="3" t="s">
        <v>386</v>
      </c>
      <c r="X36" s="3" t="s">
        <v>8</v>
      </c>
      <c r="Y36" s="3">
        <v>74</v>
      </c>
      <c r="Z36" s="3">
        <v>45</v>
      </c>
      <c r="AA36" s="3">
        <v>57</v>
      </c>
      <c r="AB36" s="3">
        <v>59</v>
      </c>
      <c r="AC36" s="3" t="s">
        <v>77</v>
      </c>
      <c r="AD36" s="3" t="s">
        <v>91</v>
      </c>
    </row>
    <row r="37" spans="1:30" ht="13.15" customHeight="1" x14ac:dyDescent="0.25">
      <c r="A37" s="2" t="s">
        <v>30</v>
      </c>
      <c r="B37" s="2" t="s">
        <v>31</v>
      </c>
      <c r="C37" s="2" t="s">
        <v>49</v>
      </c>
      <c r="D37" s="2" t="s">
        <v>8</v>
      </c>
      <c r="E37" s="2" t="s">
        <v>8</v>
      </c>
      <c r="F37" s="2" t="s">
        <v>8</v>
      </c>
      <c r="G37" s="2" t="s">
        <v>683</v>
      </c>
      <c r="H37" s="2" t="s">
        <v>684</v>
      </c>
      <c r="I37" s="2" t="s">
        <v>8</v>
      </c>
      <c r="J37" s="2" t="s">
        <v>8</v>
      </c>
      <c r="K37" s="2" t="s">
        <v>8</v>
      </c>
      <c r="L37" s="2" t="s">
        <v>8</v>
      </c>
      <c r="M37" s="2" t="s">
        <v>319</v>
      </c>
      <c r="N37" s="2" t="s">
        <v>88</v>
      </c>
      <c r="O37" s="2" t="s">
        <v>356</v>
      </c>
      <c r="P37" s="2" t="s">
        <v>377</v>
      </c>
      <c r="Q37" s="2" t="s">
        <v>154</v>
      </c>
      <c r="R37" s="2" t="s">
        <v>685</v>
      </c>
      <c r="S37" s="2" t="s">
        <v>155</v>
      </c>
      <c r="T37" s="2" t="s">
        <v>433</v>
      </c>
      <c r="U37" s="2" t="s">
        <v>32</v>
      </c>
      <c r="V37" s="2" t="s">
        <v>153</v>
      </c>
      <c r="W37" s="2" t="s">
        <v>515</v>
      </c>
      <c r="X37" s="2" t="s">
        <v>8</v>
      </c>
      <c r="Y37" s="2">
        <v>65</v>
      </c>
      <c r="Z37" s="2">
        <v>97</v>
      </c>
      <c r="AA37" s="2">
        <v>12</v>
      </c>
      <c r="AB37" s="2">
        <v>58</v>
      </c>
      <c r="AC37" s="2" t="s">
        <v>686</v>
      </c>
      <c r="AD37" s="2" t="s">
        <v>91</v>
      </c>
    </row>
    <row r="38" spans="1:30" ht="13.15" customHeight="1" x14ac:dyDescent="0.25">
      <c r="A38" s="3" t="s">
        <v>14</v>
      </c>
      <c r="B38" s="3" t="s">
        <v>15</v>
      </c>
      <c r="C38" s="3" t="s">
        <v>49</v>
      </c>
      <c r="D38" s="3" t="s">
        <v>8</v>
      </c>
      <c r="E38" s="3" t="s">
        <v>8</v>
      </c>
      <c r="F38" s="3" t="s">
        <v>8</v>
      </c>
      <c r="G38" s="3" t="s">
        <v>687</v>
      </c>
      <c r="H38" s="3" t="s">
        <v>688</v>
      </c>
      <c r="I38" s="3" t="s">
        <v>8</v>
      </c>
      <c r="J38" s="3" t="s">
        <v>8</v>
      </c>
      <c r="K38" s="3" t="s">
        <v>8</v>
      </c>
      <c r="L38" s="3" t="s">
        <v>8</v>
      </c>
      <c r="M38" s="3" t="s">
        <v>320</v>
      </c>
      <c r="N38" s="3" t="s">
        <v>148</v>
      </c>
      <c r="O38" s="3" t="s">
        <v>357</v>
      </c>
      <c r="P38" s="3" t="s">
        <v>378</v>
      </c>
      <c r="Q38" s="3" t="s">
        <v>149</v>
      </c>
      <c r="R38" s="3" t="s">
        <v>689</v>
      </c>
      <c r="S38" s="3" t="s">
        <v>150</v>
      </c>
      <c r="T38" s="3" t="s">
        <v>436</v>
      </c>
      <c r="U38" s="3" t="s">
        <v>16</v>
      </c>
      <c r="V38" s="3" t="s">
        <v>147</v>
      </c>
      <c r="W38" s="3" t="s">
        <v>516</v>
      </c>
      <c r="X38" s="3" t="s">
        <v>8</v>
      </c>
      <c r="Y38" s="3">
        <v>28</v>
      </c>
      <c r="Z38" s="3">
        <v>99</v>
      </c>
      <c r="AA38" s="3">
        <v>48</v>
      </c>
      <c r="AB38" s="3">
        <v>58</v>
      </c>
      <c r="AC38" s="3" t="s">
        <v>213</v>
      </c>
      <c r="AD38" s="3" t="s">
        <v>91</v>
      </c>
    </row>
    <row r="39" spans="1:30" ht="13.15" customHeight="1" x14ac:dyDescent="0.25">
      <c r="A39" s="2" t="s">
        <v>249</v>
      </c>
      <c r="B39" s="2" t="s">
        <v>527</v>
      </c>
      <c r="C39" s="2" t="s">
        <v>49</v>
      </c>
      <c r="D39" s="2" t="s">
        <v>8</v>
      </c>
      <c r="E39" s="2" t="s">
        <v>8</v>
      </c>
      <c r="F39" s="2" t="s">
        <v>8</v>
      </c>
      <c r="G39" s="2" t="s">
        <v>690</v>
      </c>
      <c r="H39" s="2" t="s">
        <v>691</v>
      </c>
      <c r="I39" s="2" t="s">
        <v>8</v>
      </c>
      <c r="J39" s="2" t="s">
        <v>8</v>
      </c>
      <c r="K39" s="2" t="s">
        <v>8</v>
      </c>
      <c r="L39" s="2" t="s">
        <v>8</v>
      </c>
      <c r="M39" s="2" t="s">
        <v>321</v>
      </c>
      <c r="N39" s="2" t="s">
        <v>337</v>
      </c>
      <c r="O39" s="2" t="s">
        <v>358</v>
      </c>
      <c r="P39" s="2" t="s">
        <v>360</v>
      </c>
      <c r="Q39" s="2" t="s">
        <v>397</v>
      </c>
      <c r="R39" s="2" t="s">
        <v>377</v>
      </c>
      <c r="S39" s="2" t="s">
        <v>425</v>
      </c>
      <c r="T39" s="2" t="s">
        <v>443</v>
      </c>
      <c r="U39" s="2" t="s">
        <v>428</v>
      </c>
      <c r="V39" s="2" t="s">
        <v>496</v>
      </c>
      <c r="W39" s="2" t="s">
        <v>517</v>
      </c>
      <c r="X39" s="2" t="s">
        <v>8</v>
      </c>
      <c r="Y39" s="2">
        <v>72</v>
      </c>
      <c r="Z39" s="2">
        <v>82</v>
      </c>
      <c r="AA39" s="2">
        <v>10</v>
      </c>
      <c r="AB39" s="2">
        <v>55</v>
      </c>
      <c r="AC39" s="2" t="s">
        <v>629</v>
      </c>
      <c r="AD39" s="2" t="s">
        <v>91</v>
      </c>
    </row>
    <row r="40" spans="1:30" ht="13.15" customHeight="1" x14ac:dyDescent="0.25">
      <c r="A40" s="3" t="s">
        <v>250</v>
      </c>
      <c r="B40" s="3" t="s">
        <v>528</v>
      </c>
      <c r="C40" s="3" t="s">
        <v>49</v>
      </c>
      <c r="D40" s="3" t="s">
        <v>8</v>
      </c>
      <c r="E40" s="3" t="s">
        <v>8</v>
      </c>
      <c r="F40" s="3" t="s">
        <v>8</v>
      </c>
      <c r="G40" s="3" t="s">
        <v>692</v>
      </c>
      <c r="H40" s="3" t="s">
        <v>693</v>
      </c>
      <c r="I40" s="3" t="s">
        <v>8</v>
      </c>
      <c r="J40" s="3" t="s">
        <v>8</v>
      </c>
      <c r="K40" s="3" t="s">
        <v>8</v>
      </c>
      <c r="L40" s="3" t="s">
        <v>8</v>
      </c>
      <c r="M40" s="3" t="s">
        <v>322</v>
      </c>
      <c r="N40" s="3" t="s">
        <v>338</v>
      </c>
      <c r="O40" s="3" t="s">
        <v>326</v>
      </c>
      <c r="P40" s="3" t="s">
        <v>379</v>
      </c>
      <c r="Q40" s="3" t="s">
        <v>398</v>
      </c>
      <c r="R40" s="3" t="s">
        <v>383</v>
      </c>
      <c r="S40" s="3" t="s">
        <v>426</v>
      </c>
      <c r="T40" s="3" t="s">
        <v>457</v>
      </c>
      <c r="U40" s="3" t="s">
        <v>481</v>
      </c>
      <c r="V40" s="3" t="s">
        <v>499</v>
      </c>
      <c r="W40" s="3" t="s">
        <v>518</v>
      </c>
      <c r="X40" s="3" t="s">
        <v>8</v>
      </c>
      <c r="Y40" s="3">
        <v>44</v>
      </c>
      <c r="Z40" s="3">
        <v>75</v>
      </c>
      <c r="AA40" s="3">
        <v>42</v>
      </c>
      <c r="AB40" s="3">
        <v>54</v>
      </c>
      <c r="AC40" s="3" t="s">
        <v>694</v>
      </c>
      <c r="AD40" s="3" t="s">
        <v>140</v>
      </c>
    </row>
    <row r="41" spans="1:30" ht="13.15" customHeight="1" x14ac:dyDescent="0.25">
      <c r="A41" s="2" t="s">
        <v>251</v>
      </c>
      <c r="B41" s="2" t="s">
        <v>529</v>
      </c>
      <c r="C41" s="2" t="s">
        <v>49</v>
      </c>
      <c r="D41" s="2" t="s">
        <v>8</v>
      </c>
      <c r="E41" s="2" t="s">
        <v>8</v>
      </c>
      <c r="F41" s="2" t="s">
        <v>8</v>
      </c>
      <c r="G41" s="2" t="s">
        <v>695</v>
      </c>
      <c r="H41" s="2" t="s">
        <v>696</v>
      </c>
      <c r="I41" s="2" t="s">
        <v>8</v>
      </c>
      <c r="J41" s="2" t="s">
        <v>8</v>
      </c>
      <c r="K41" s="2" t="s">
        <v>8</v>
      </c>
      <c r="L41" s="2" t="s">
        <v>8</v>
      </c>
      <c r="M41" s="2" t="s">
        <v>323</v>
      </c>
      <c r="N41" s="2" t="s">
        <v>105</v>
      </c>
      <c r="O41" s="2" t="s">
        <v>359</v>
      </c>
      <c r="P41" s="2" t="s">
        <v>380</v>
      </c>
      <c r="Q41" s="2" t="s">
        <v>133</v>
      </c>
      <c r="R41" s="2" t="s">
        <v>386</v>
      </c>
      <c r="S41" s="2" t="s">
        <v>155</v>
      </c>
      <c r="T41" s="2" t="s">
        <v>439</v>
      </c>
      <c r="U41" s="2" t="s">
        <v>482</v>
      </c>
      <c r="V41" s="2" t="s">
        <v>500</v>
      </c>
      <c r="W41" s="2" t="s">
        <v>519</v>
      </c>
      <c r="X41" s="2" t="s">
        <v>8</v>
      </c>
      <c r="Y41" s="2">
        <v>80</v>
      </c>
      <c r="Z41" s="2">
        <v>74</v>
      </c>
      <c r="AA41" s="2">
        <v>5</v>
      </c>
      <c r="AB41" s="2">
        <v>53</v>
      </c>
      <c r="AC41" s="2" t="s">
        <v>83</v>
      </c>
      <c r="AD41" s="2" t="s">
        <v>140</v>
      </c>
    </row>
    <row r="42" spans="1:30" ht="13.15" customHeight="1" x14ac:dyDescent="0.25">
      <c r="A42" s="3" t="s">
        <v>134</v>
      </c>
      <c r="B42" s="3" t="s">
        <v>135</v>
      </c>
      <c r="C42" s="3" t="s">
        <v>49</v>
      </c>
      <c r="D42" s="3" t="s">
        <v>8</v>
      </c>
      <c r="E42" s="3" t="s">
        <v>8</v>
      </c>
      <c r="F42" s="3" t="s">
        <v>8</v>
      </c>
      <c r="G42" s="3" t="s">
        <v>697</v>
      </c>
      <c r="H42" s="3" t="s">
        <v>698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324</v>
      </c>
      <c r="N42" s="3" t="s">
        <v>137</v>
      </c>
      <c r="O42" s="3" t="s">
        <v>138</v>
      </c>
      <c r="P42" s="3" t="s">
        <v>136</v>
      </c>
      <c r="Q42" s="3" t="s">
        <v>139</v>
      </c>
      <c r="R42" s="3" t="s">
        <v>699</v>
      </c>
      <c r="S42" s="3" t="s">
        <v>427</v>
      </c>
      <c r="T42" s="3" t="s">
        <v>458</v>
      </c>
      <c r="U42" s="3" t="s">
        <v>483</v>
      </c>
      <c r="V42" s="3" t="s">
        <v>501</v>
      </c>
      <c r="W42" s="3" t="s">
        <v>520</v>
      </c>
      <c r="X42" s="3" t="s">
        <v>8</v>
      </c>
      <c r="Y42" s="3">
        <v>87</v>
      </c>
      <c r="Z42" s="3">
        <v>26</v>
      </c>
      <c r="AA42" s="3">
        <v>47</v>
      </c>
      <c r="AB42" s="3">
        <v>53</v>
      </c>
      <c r="AC42" s="3" t="s">
        <v>77</v>
      </c>
      <c r="AD42" s="3" t="s">
        <v>140</v>
      </c>
    </row>
    <row r="43" spans="1:30" x14ac:dyDescent="0.25">
      <c r="A43" t="s">
        <v>252</v>
      </c>
      <c r="B43" t="s">
        <v>530</v>
      </c>
      <c r="C43" t="s">
        <v>49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s="4">
        <v>0.80300000000000005</v>
      </c>
      <c r="N43" s="4">
        <v>0.51500000000000001</v>
      </c>
      <c r="O43" t="s">
        <v>8</v>
      </c>
      <c r="P43" s="4">
        <v>3.5999999999999997E-2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>
        <v>62</v>
      </c>
      <c r="Z43">
        <v>78</v>
      </c>
      <c r="AA43">
        <v>20</v>
      </c>
      <c r="AB43">
        <v>53</v>
      </c>
      <c r="AC43" t="s">
        <v>8</v>
      </c>
      <c r="AD43" t="s">
        <v>140</v>
      </c>
    </row>
    <row r="44" spans="1:30" x14ac:dyDescent="0.25">
      <c r="A44" t="s">
        <v>175</v>
      </c>
      <c r="B44" t="s">
        <v>176</v>
      </c>
      <c r="C44" t="s">
        <v>49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s="4">
        <v>0.92700000000000005</v>
      </c>
      <c r="N44" s="4">
        <v>0.25</v>
      </c>
      <c r="O44" t="s">
        <v>8</v>
      </c>
      <c r="P44" s="4">
        <v>7.8E-2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>
        <v>42</v>
      </c>
      <c r="Z44">
        <v>91</v>
      </c>
      <c r="AA44">
        <v>23</v>
      </c>
      <c r="AB44">
        <v>52</v>
      </c>
      <c r="AC44" t="s">
        <v>8</v>
      </c>
      <c r="AD44" t="s">
        <v>140</v>
      </c>
    </row>
    <row r="45" spans="1:30" x14ac:dyDescent="0.25">
      <c r="A45" t="s">
        <v>253</v>
      </c>
      <c r="B45" t="s">
        <v>531</v>
      </c>
      <c r="C45" t="s">
        <v>49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s="4">
        <v>0.58899999999999997</v>
      </c>
      <c r="N45" s="4">
        <v>0.31900000000000001</v>
      </c>
      <c r="O45" t="s">
        <v>8</v>
      </c>
      <c r="P45" s="4">
        <v>5.3999999999999999E-2</v>
      </c>
      <c r="Q45" t="s">
        <v>8</v>
      </c>
      <c r="R45" t="s">
        <v>8</v>
      </c>
      <c r="S45" t="s">
        <v>8</v>
      </c>
      <c r="T45" t="s">
        <v>8</v>
      </c>
      <c r="U45" t="s">
        <v>8</v>
      </c>
      <c r="V45" t="s">
        <v>8</v>
      </c>
      <c r="W45" t="s">
        <v>8</v>
      </c>
      <c r="X45" t="s">
        <v>8</v>
      </c>
      <c r="Y45">
        <v>30</v>
      </c>
      <c r="Z45">
        <v>46</v>
      </c>
      <c r="AA45">
        <v>79</v>
      </c>
      <c r="AB45">
        <v>52</v>
      </c>
      <c r="AC45" t="s">
        <v>8</v>
      </c>
      <c r="AD45" t="s">
        <v>140</v>
      </c>
    </row>
    <row r="46" spans="1:30" x14ac:dyDescent="0.25">
      <c r="A46" t="s">
        <v>254</v>
      </c>
      <c r="B46" t="s">
        <v>532</v>
      </c>
      <c r="C46" t="s">
        <v>49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s="4">
        <v>0.64900000000000002</v>
      </c>
      <c r="N46" s="4">
        <v>0.27400000000000002</v>
      </c>
      <c r="O46" t="s">
        <v>8</v>
      </c>
      <c r="P46" s="4">
        <v>5.2999999999999999E-2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>
        <v>23</v>
      </c>
      <c r="Z46">
        <v>63</v>
      </c>
      <c r="AA46">
        <v>66</v>
      </c>
      <c r="AB46">
        <v>51</v>
      </c>
      <c r="AC46" t="s">
        <v>8</v>
      </c>
      <c r="AD46" t="s">
        <v>140</v>
      </c>
    </row>
    <row r="47" spans="1:30" x14ac:dyDescent="0.25">
      <c r="A47" t="s">
        <v>255</v>
      </c>
      <c r="B47" t="s">
        <v>533</v>
      </c>
      <c r="C47" t="s">
        <v>49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s="4">
        <v>0.77700000000000002</v>
      </c>
      <c r="N47" s="4">
        <v>0.30199999999999999</v>
      </c>
      <c r="O47" t="s">
        <v>8</v>
      </c>
      <c r="P47" s="4">
        <v>9.6000000000000002E-2</v>
      </c>
      <c r="Q47" t="s">
        <v>8</v>
      </c>
      <c r="R47" t="s">
        <v>8</v>
      </c>
      <c r="S47" t="s">
        <v>8</v>
      </c>
      <c r="T47" t="s">
        <v>8</v>
      </c>
      <c r="U47" t="s">
        <v>8</v>
      </c>
      <c r="V47" t="s">
        <v>8</v>
      </c>
      <c r="W47" t="s">
        <v>8</v>
      </c>
      <c r="X47" t="s">
        <v>8</v>
      </c>
      <c r="Y47">
        <v>50</v>
      </c>
      <c r="Z47">
        <v>77</v>
      </c>
      <c r="AA47">
        <v>26</v>
      </c>
      <c r="AB47">
        <v>51</v>
      </c>
      <c r="AC47" t="s">
        <v>8</v>
      </c>
      <c r="AD47" t="s">
        <v>140</v>
      </c>
    </row>
    <row r="48" spans="1:30" x14ac:dyDescent="0.25">
      <c r="A48" t="s">
        <v>256</v>
      </c>
      <c r="B48" t="s">
        <v>534</v>
      </c>
      <c r="C48" t="s">
        <v>49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s="4">
        <v>0.70199999999999996</v>
      </c>
      <c r="N48" s="4">
        <v>0.25700000000000001</v>
      </c>
      <c r="O48" t="s">
        <v>8</v>
      </c>
      <c r="P48" s="4">
        <v>4.9000000000000002E-2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>
        <v>29</v>
      </c>
      <c r="Z48">
        <v>71</v>
      </c>
      <c r="AA48">
        <v>53</v>
      </c>
      <c r="AB48">
        <v>51</v>
      </c>
      <c r="AC48" t="s">
        <v>8</v>
      </c>
      <c r="AD48" t="s">
        <v>140</v>
      </c>
    </row>
    <row r="49" spans="1:30" x14ac:dyDescent="0.25">
      <c r="A49" t="s">
        <v>257</v>
      </c>
      <c r="B49" t="s">
        <v>535</v>
      </c>
      <c r="C49" t="s">
        <v>49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s="4">
        <v>0.46899999999999997</v>
      </c>
      <c r="N49" s="4">
        <v>0.34799999999999998</v>
      </c>
      <c r="O49" t="s">
        <v>8</v>
      </c>
      <c r="P49" s="4">
        <v>6.4000000000000001E-2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 t="s">
        <v>8</v>
      </c>
      <c r="X49" t="s">
        <v>8</v>
      </c>
      <c r="Y49">
        <v>31</v>
      </c>
      <c r="Z49">
        <v>51</v>
      </c>
      <c r="AA49">
        <v>67</v>
      </c>
      <c r="AB49">
        <v>50</v>
      </c>
      <c r="AC49" t="s">
        <v>8</v>
      </c>
      <c r="AD49" t="s">
        <v>140</v>
      </c>
    </row>
    <row r="50" spans="1:30" x14ac:dyDescent="0.25">
      <c r="A50" t="s">
        <v>258</v>
      </c>
      <c r="B50" t="s">
        <v>536</v>
      </c>
      <c r="C50" t="s">
        <v>49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s="4">
        <v>0.55400000000000005</v>
      </c>
      <c r="N50" s="4">
        <v>0.33700000000000002</v>
      </c>
      <c r="O50" t="s">
        <v>8</v>
      </c>
      <c r="P50" s="4">
        <v>0.13700000000000001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 t="s">
        <v>8</v>
      </c>
      <c r="Y50">
        <v>63</v>
      </c>
      <c r="Z50">
        <v>44</v>
      </c>
      <c r="AA50">
        <v>43</v>
      </c>
      <c r="AB50">
        <v>50</v>
      </c>
      <c r="AC50" t="s">
        <v>8</v>
      </c>
      <c r="AD50" t="s">
        <v>140</v>
      </c>
    </row>
    <row r="51" spans="1:30" x14ac:dyDescent="0.25">
      <c r="A51" t="s">
        <v>259</v>
      </c>
      <c r="B51" t="s">
        <v>537</v>
      </c>
      <c r="C51" t="s">
        <v>49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s="4">
        <v>0.39800000000000002</v>
      </c>
      <c r="N51" s="4">
        <v>0.13400000000000001</v>
      </c>
      <c r="O51" t="s">
        <v>8</v>
      </c>
      <c r="P51" s="4">
        <v>0.183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>
        <v>76</v>
      </c>
      <c r="Z51">
        <v>36</v>
      </c>
      <c r="AA51">
        <v>38</v>
      </c>
      <c r="AB51">
        <v>50</v>
      </c>
      <c r="AC51" t="s">
        <v>8</v>
      </c>
      <c r="AD51" t="s">
        <v>140</v>
      </c>
    </row>
    <row r="52" spans="1:30" x14ac:dyDescent="0.25">
      <c r="A52" t="s">
        <v>260</v>
      </c>
      <c r="B52" t="s">
        <v>538</v>
      </c>
      <c r="C52" t="s">
        <v>49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s="4">
        <v>0.75700000000000001</v>
      </c>
      <c r="N52" s="4">
        <v>0.154</v>
      </c>
      <c r="O52" t="s">
        <v>8</v>
      </c>
      <c r="P52" s="4">
        <v>0.13100000000000001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>
        <v>77</v>
      </c>
      <c r="Z52">
        <v>66</v>
      </c>
      <c r="AA52">
        <v>6</v>
      </c>
      <c r="AB52">
        <v>50</v>
      </c>
      <c r="AC52" t="s">
        <v>8</v>
      </c>
      <c r="AD52" t="s">
        <v>140</v>
      </c>
    </row>
    <row r="53" spans="1:30" x14ac:dyDescent="0.25">
      <c r="A53" t="s">
        <v>261</v>
      </c>
      <c r="B53" t="s">
        <v>539</v>
      </c>
      <c r="C53" t="s">
        <v>49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s="4">
        <v>0.42799999999999999</v>
      </c>
      <c r="N53" s="4">
        <v>0.24399999999999999</v>
      </c>
      <c r="O53" t="s">
        <v>8</v>
      </c>
      <c r="P53" s="4">
        <v>7.9000000000000001E-2</v>
      </c>
      <c r="Q53" t="s">
        <v>8</v>
      </c>
      <c r="R53" t="s">
        <v>8</v>
      </c>
      <c r="S53" t="s">
        <v>8</v>
      </c>
      <c r="T53" t="s">
        <v>8</v>
      </c>
      <c r="U53" t="s">
        <v>8</v>
      </c>
      <c r="V53" t="s">
        <v>8</v>
      </c>
      <c r="W53" t="s">
        <v>8</v>
      </c>
      <c r="X53" t="s">
        <v>8</v>
      </c>
      <c r="Y53">
        <v>48</v>
      </c>
      <c r="Z53">
        <v>33</v>
      </c>
      <c r="AA53">
        <v>65</v>
      </c>
      <c r="AB53">
        <v>49</v>
      </c>
      <c r="AC53" t="s">
        <v>8</v>
      </c>
      <c r="AD53" t="s">
        <v>140</v>
      </c>
    </row>
    <row r="54" spans="1:30" x14ac:dyDescent="0.25">
      <c r="A54" t="s">
        <v>262</v>
      </c>
      <c r="B54" t="s">
        <v>540</v>
      </c>
      <c r="C54" t="s">
        <v>49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s="4">
        <v>0.8</v>
      </c>
      <c r="N54" s="4">
        <v>5.7000000000000002E-2</v>
      </c>
      <c r="O54" t="s">
        <v>8</v>
      </c>
      <c r="P54" s="4">
        <v>0.27700000000000002</v>
      </c>
      <c r="Q54" t="s">
        <v>8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>
        <v>21</v>
      </c>
      <c r="Z54">
        <v>69</v>
      </c>
      <c r="AA54">
        <v>51</v>
      </c>
      <c r="AB54">
        <v>47</v>
      </c>
      <c r="AC54" t="s">
        <v>8</v>
      </c>
      <c r="AD54" t="s">
        <v>140</v>
      </c>
    </row>
    <row r="55" spans="1:30" x14ac:dyDescent="0.25">
      <c r="A55" t="s">
        <v>263</v>
      </c>
      <c r="B55" t="s">
        <v>541</v>
      </c>
      <c r="C55" t="s">
        <v>49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s="4">
        <v>0.35199999999999998</v>
      </c>
      <c r="N55" s="4">
        <v>0.23899999999999999</v>
      </c>
      <c r="O55" t="s">
        <v>8</v>
      </c>
      <c r="P55" s="4">
        <v>8.8999999999999996E-2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>
        <v>45</v>
      </c>
      <c r="Z55">
        <v>22</v>
      </c>
      <c r="AA55">
        <v>71</v>
      </c>
      <c r="AB55">
        <v>46</v>
      </c>
      <c r="AC55" t="s">
        <v>8</v>
      </c>
      <c r="AD55" t="s">
        <v>140</v>
      </c>
    </row>
    <row r="56" spans="1:30" x14ac:dyDescent="0.25">
      <c r="A56" t="s">
        <v>6</v>
      </c>
      <c r="B56" t="s">
        <v>7</v>
      </c>
      <c r="C56" t="s">
        <v>49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s="4">
        <v>0.83699999999999997</v>
      </c>
      <c r="N56" s="4">
        <v>0.30399999999999999</v>
      </c>
      <c r="O56" t="s">
        <v>8</v>
      </c>
      <c r="P56" s="4">
        <v>4.0000000000000001E-3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>
        <v>19</v>
      </c>
      <c r="Z56">
        <v>100</v>
      </c>
      <c r="AA56">
        <v>7</v>
      </c>
      <c r="AB56">
        <v>42</v>
      </c>
      <c r="AC56" s="5">
        <v>46135</v>
      </c>
      <c r="AD56" t="s">
        <v>140</v>
      </c>
    </row>
    <row r="57" spans="1:30" x14ac:dyDescent="0.25">
      <c r="A57" t="s">
        <v>264</v>
      </c>
      <c r="B57" t="s">
        <v>542</v>
      </c>
      <c r="C57" t="s">
        <v>49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s="4">
        <v>0.63600000000000001</v>
      </c>
      <c r="N57" s="4">
        <v>0.26</v>
      </c>
      <c r="O57" t="s">
        <v>8</v>
      </c>
      <c r="P57" s="4">
        <v>8.3000000000000004E-2</v>
      </c>
      <c r="Q57" t="s">
        <v>8</v>
      </c>
      <c r="R57" t="s">
        <v>8</v>
      </c>
      <c r="S57" t="s">
        <v>8</v>
      </c>
      <c r="T57" t="s">
        <v>8</v>
      </c>
      <c r="U57" t="s">
        <v>8</v>
      </c>
      <c r="V57" t="s">
        <v>8</v>
      </c>
      <c r="W57" t="s">
        <v>8</v>
      </c>
      <c r="X57" t="s">
        <v>8</v>
      </c>
      <c r="Y57">
        <v>60</v>
      </c>
      <c r="Z57">
        <v>60</v>
      </c>
      <c r="AA57">
        <v>2</v>
      </c>
      <c r="AB57">
        <v>41</v>
      </c>
      <c r="AC57" t="s">
        <v>8</v>
      </c>
      <c r="AD57" t="s">
        <v>140</v>
      </c>
    </row>
    <row r="58" spans="1:30" x14ac:dyDescent="0.25">
      <c r="A58" t="s">
        <v>265</v>
      </c>
      <c r="B58" t="s">
        <v>543</v>
      </c>
      <c r="C58" t="s">
        <v>49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s="4">
        <v>0.42699999999999999</v>
      </c>
      <c r="N58" s="4">
        <v>0.33700000000000002</v>
      </c>
      <c r="O58" t="s">
        <v>8</v>
      </c>
      <c r="P58" s="4">
        <v>7.1999999999999995E-2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>
        <v>43</v>
      </c>
      <c r="Z58">
        <v>39</v>
      </c>
      <c r="AA58">
        <v>41</v>
      </c>
      <c r="AB58">
        <v>41</v>
      </c>
      <c r="AC58" t="s">
        <v>8</v>
      </c>
      <c r="AD58" t="s">
        <v>140</v>
      </c>
    </row>
    <row r="59" spans="1:30" x14ac:dyDescent="0.25">
      <c r="A59" t="s">
        <v>266</v>
      </c>
      <c r="B59" t="s">
        <v>544</v>
      </c>
      <c r="C59" t="s">
        <v>49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8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>
        <v>1</v>
      </c>
      <c r="Z59">
        <v>80</v>
      </c>
      <c r="AA59">
        <v>40</v>
      </c>
      <c r="AB59">
        <v>40</v>
      </c>
      <c r="AC59" t="s">
        <v>8</v>
      </c>
      <c r="AD59" t="s">
        <v>140</v>
      </c>
    </row>
    <row r="60" spans="1:30" x14ac:dyDescent="0.25">
      <c r="A60" t="s">
        <v>267</v>
      </c>
      <c r="B60" t="s">
        <v>545</v>
      </c>
      <c r="C60" t="s">
        <v>49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s="4">
        <v>0.69199999999999995</v>
      </c>
      <c r="N60" s="4">
        <v>0.4</v>
      </c>
      <c r="O60" t="s">
        <v>8</v>
      </c>
      <c r="P60" s="4">
        <v>0.123</v>
      </c>
      <c r="Q60" t="s">
        <v>8</v>
      </c>
      <c r="R60" t="s">
        <v>8</v>
      </c>
      <c r="S60" t="s">
        <v>8</v>
      </c>
      <c r="T60" t="s">
        <v>8</v>
      </c>
      <c r="U60" t="s">
        <v>8</v>
      </c>
      <c r="V60" t="s">
        <v>8</v>
      </c>
      <c r="W60" t="s">
        <v>8</v>
      </c>
      <c r="X60" t="s">
        <v>8</v>
      </c>
      <c r="Y60">
        <v>33</v>
      </c>
      <c r="Z60">
        <v>70</v>
      </c>
      <c r="AA60">
        <v>16</v>
      </c>
      <c r="AB60">
        <v>40</v>
      </c>
      <c r="AC60" t="s">
        <v>8</v>
      </c>
      <c r="AD60" t="s">
        <v>140</v>
      </c>
    </row>
    <row r="61" spans="1:30" x14ac:dyDescent="0.25">
      <c r="A61" t="s">
        <v>268</v>
      </c>
      <c r="B61" t="s">
        <v>546</v>
      </c>
      <c r="C61" t="s">
        <v>49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s="4">
        <v>0.435</v>
      </c>
      <c r="N61" s="4">
        <v>0.113</v>
      </c>
      <c r="O61" t="s">
        <v>8</v>
      </c>
      <c r="P61" s="4">
        <v>3.5000000000000003E-2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>
        <v>9</v>
      </c>
      <c r="Z61">
        <v>25</v>
      </c>
      <c r="AA61">
        <v>83</v>
      </c>
      <c r="AB61">
        <v>39</v>
      </c>
      <c r="AC61" t="s">
        <v>8</v>
      </c>
      <c r="AD61" t="s">
        <v>140</v>
      </c>
    </row>
    <row r="62" spans="1:30" x14ac:dyDescent="0.25">
      <c r="A62" t="s">
        <v>269</v>
      </c>
      <c r="B62" t="s">
        <v>547</v>
      </c>
      <c r="C62" t="s">
        <v>49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s="4">
        <v>0.63500000000000001</v>
      </c>
      <c r="N62" s="4">
        <v>0.27900000000000003</v>
      </c>
      <c r="O62" t="s">
        <v>8</v>
      </c>
      <c r="P62" s="4">
        <v>-0.33300000000000002</v>
      </c>
      <c r="Q62" t="s">
        <v>8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 t="s">
        <v>8</v>
      </c>
      <c r="X62" t="s">
        <v>8</v>
      </c>
      <c r="Y62">
        <v>6</v>
      </c>
      <c r="Z62">
        <v>55</v>
      </c>
      <c r="AA62">
        <v>56</v>
      </c>
      <c r="AB62">
        <v>39</v>
      </c>
      <c r="AC62" t="s">
        <v>8</v>
      </c>
      <c r="AD62" t="s">
        <v>140</v>
      </c>
    </row>
    <row r="63" spans="1:30" x14ac:dyDescent="0.25">
      <c r="A63" t="s">
        <v>194</v>
      </c>
      <c r="B63" t="s">
        <v>195</v>
      </c>
      <c r="C63" t="s">
        <v>49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s="4">
        <v>0.83199999999999996</v>
      </c>
      <c r="N63" s="4">
        <v>0.38900000000000001</v>
      </c>
      <c r="O63" t="s">
        <v>8</v>
      </c>
      <c r="P63" s="4">
        <v>8.8999999999999996E-2</v>
      </c>
      <c r="Q63" t="s">
        <v>8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 t="s">
        <v>8</v>
      </c>
      <c r="X63" t="s">
        <v>8</v>
      </c>
      <c r="Y63">
        <v>27</v>
      </c>
      <c r="Z63">
        <v>86</v>
      </c>
      <c r="AA63">
        <v>3</v>
      </c>
      <c r="AB63">
        <v>39</v>
      </c>
      <c r="AC63" t="s">
        <v>8</v>
      </c>
      <c r="AD63" t="s">
        <v>140</v>
      </c>
    </row>
    <row r="64" spans="1:30" x14ac:dyDescent="0.25">
      <c r="A64" t="s">
        <v>270</v>
      </c>
      <c r="B64" t="s">
        <v>548</v>
      </c>
      <c r="C64" t="s">
        <v>49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s="4">
        <v>0.46200000000000002</v>
      </c>
      <c r="N64" s="4">
        <v>0.29499999999999998</v>
      </c>
      <c r="O64" t="s">
        <v>8</v>
      </c>
      <c r="P64" s="4">
        <v>9.7000000000000003E-2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 t="s">
        <v>8</v>
      </c>
      <c r="X64" t="s">
        <v>8</v>
      </c>
      <c r="Y64">
        <v>40</v>
      </c>
      <c r="Z64">
        <v>38</v>
      </c>
      <c r="AA64">
        <v>0</v>
      </c>
      <c r="AB64">
        <v>39</v>
      </c>
      <c r="AC64" t="s">
        <v>8</v>
      </c>
      <c r="AD64" t="s">
        <v>140</v>
      </c>
    </row>
    <row r="65" spans="1:30" x14ac:dyDescent="0.25">
      <c r="A65" t="s">
        <v>271</v>
      </c>
      <c r="B65" t="s">
        <v>549</v>
      </c>
      <c r="C65" t="s">
        <v>49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  <c r="I65" t="s">
        <v>8</v>
      </c>
      <c r="J65" t="s">
        <v>8</v>
      </c>
      <c r="K65" t="s">
        <v>8</v>
      </c>
      <c r="L65" t="s">
        <v>8</v>
      </c>
      <c r="M65" s="4">
        <v>0.54700000000000004</v>
      </c>
      <c r="N65" s="4">
        <v>0.32300000000000001</v>
      </c>
      <c r="O65" t="s">
        <v>8</v>
      </c>
      <c r="P65" s="4">
        <v>-2.7E-2</v>
      </c>
      <c r="Q65" t="s">
        <v>8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 t="s">
        <v>8</v>
      </c>
      <c r="X65" t="s">
        <v>8</v>
      </c>
      <c r="Y65">
        <v>14</v>
      </c>
      <c r="Z65">
        <v>49</v>
      </c>
      <c r="AA65">
        <v>52</v>
      </c>
      <c r="AB65">
        <v>38</v>
      </c>
      <c r="AC65" t="s">
        <v>8</v>
      </c>
      <c r="AD65" t="s">
        <v>140</v>
      </c>
    </row>
    <row r="66" spans="1:30" x14ac:dyDescent="0.25">
      <c r="A66" t="s">
        <v>272</v>
      </c>
      <c r="B66" t="s">
        <v>550</v>
      </c>
      <c r="C66" t="s">
        <v>49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s="4">
        <v>0.69099999999999995</v>
      </c>
      <c r="N66" s="4">
        <v>0.218</v>
      </c>
      <c r="O66" t="s">
        <v>8</v>
      </c>
      <c r="P66" s="4">
        <v>-2.5999999999999999E-2</v>
      </c>
      <c r="Q66" t="s">
        <v>8</v>
      </c>
      <c r="R66" t="s">
        <v>8</v>
      </c>
      <c r="S66" t="s">
        <v>8</v>
      </c>
      <c r="T66" t="s">
        <v>8</v>
      </c>
      <c r="U66" t="s">
        <v>8</v>
      </c>
      <c r="V66" t="s">
        <v>8</v>
      </c>
      <c r="W66" t="s">
        <v>8</v>
      </c>
      <c r="X66" t="s">
        <v>8</v>
      </c>
      <c r="Y66">
        <v>5</v>
      </c>
      <c r="Z66">
        <v>61</v>
      </c>
      <c r="AA66">
        <v>45</v>
      </c>
      <c r="AB66">
        <v>37</v>
      </c>
      <c r="AC66" t="s">
        <v>8</v>
      </c>
      <c r="AD66" t="s">
        <v>140</v>
      </c>
    </row>
    <row r="67" spans="1:30" x14ac:dyDescent="0.25">
      <c r="A67" t="s">
        <v>273</v>
      </c>
      <c r="B67" t="s">
        <v>551</v>
      </c>
      <c r="C67" t="s">
        <v>49</v>
      </c>
      <c r="D67" t="s">
        <v>8</v>
      </c>
      <c r="E67" t="s">
        <v>8</v>
      </c>
      <c r="F67" t="s">
        <v>8</v>
      </c>
      <c r="G67" t="s">
        <v>8</v>
      </c>
      <c r="H67" t="s">
        <v>8</v>
      </c>
      <c r="I67" t="s">
        <v>8</v>
      </c>
      <c r="J67" t="s">
        <v>8</v>
      </c>
      <c r="K67" t="s">
        <v>8</v>
      </c>
      <c r="L67" t="s">
        <v>8</v>
      </c>
      <c r="M67" s="4">
        <v>0.46500000000000002</v>
      </c>
      <c r="N67" s="4">
        <v>0.23300000000000001</v>
      </c>
      <c r="O67" t="s">
        <v>8</v>
      </c>
      <c r="P67" s="4">
        <v>9.0999999999999998E-2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>
        <v>55</v>
      </c>
      <c r="Z67">
        <v>37</v>
      </c>
      <c r="AA67">
        <v>13</v>
      </c>
      <c r="AB67">
        <v>35</v>
      </c>
      <c r="AC67" t="s">
        <v>8</v>
      </c>
      <c r="AD67" t="s">
        <v>140</v>
      </c>
    </row>
    <row r="68" spans="1:30" x14ac:dyDescent="0.25">
      <c r="A68" t="s">
        <v>274</v>
      </c>
      <c r="B68" t="s">
        <v>552</v>
      </c>
      <c r="C68" t="s">
        <v>49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  <c r="I68" t="s">
        <v>8</v>
      </c>
      <c r="J68" t="s">
        <v>8</v>
      </c>
      <c r="K68" t="s">
        <v>8</v>
      </c>
      <c r="L68" t="s">
        <v>8</v>
      </c>
      <c r="M68" s="4">
        <v>0.30299999999999999</v>
      </c>
      <c r="N68" s="4">
        <v>0.128</v>
      </c>
      <c r="O68" t="s">
        <v>8</v>
      </c>
      <c r="P68" s="4">
        <v>0.13800000000000001</v>
      </c>
      <c r="Q68" t="s">
        <v>8</v>
      </c>
      <c r="R68" t="s">
        <v>8</v>
      </c>
      <c r="S68" t="s">
        <v>8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>
        <v>20</v>
      </c>
      <c r="Z68">
        <v>9</v>
      </c>
      <c r="AA68">
        <v>74</v>
      </c>
      <c r="AB68">
        <v>34</v>
      </c>
      <c r="AC68" t="s">
        <v>8</v>
      </c>
      <c r="AD68" t="s">
        <v>140</v>
      </c>
    </row>
    <row r="69" spans="1:30" x14ac:dyDescent="0.25">
      <c r="A69" t="s">
        <v>9</v>
      </c>
      <c r="B69" t="s">
        <v>10</v>
      </c>
      <c r="C69" t="s">
        <v>49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s="4">
        <v>0.30099999999999999</v>
      </c>
      <c r="N69" s="4">
        <v>-0.17</v>
      </c>
      <c r="O69" t="s">
        <v>8</v>
      </c>
      <c r="P69" s="4">
        <v>0.104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 t="s">
        <v>8</v>
      </c>
      <c r="X69" t="s">
        <v>8</v>
      </c>
      <c r="Y69">
        <v>1</v>
      </c>
      <c r="Z69">
        <v>2</v>
      </c>
      <c r="AA69">
        <v>100</v>
      </c>
      <c r="AB69">
        <v>34</v>
      </c>
      <c r="AC69" t="s">
        <v>8</v>
      </c>
      <c r="AD69" t="s">
        <v>140</v>
      </c>
    </row>
    <row r="70" spans="1:30" x14ac:dyDescent="0.25">
      <c r="A70" t="s">
        <v>275</v>
      </c>
      <c r="B70" t="s">
        <v>553</v>
      </c>
      <c r="C70" t="s">
        <v>49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s="4">
        <v>0.18</v>
      </c>
      <c r="N70" s="4">
        <v>0.14000000000000001</v>
      </c>
      <c r="O70" t="s">
        <v>8</v>
      </c>
      <c r="P70" s="4">
        <v>3.1E-2</v>
      </c>
      <c r="Q70" t="s">
        <v>8</v>
      </c>
      <c r="R70" t="s">
        <v>8</v>
      </c>
      <c r="S70" t="s">
        <v>8</v>
      </c>
      <c r="T70" t="s">
        <v>8</v>
      </c>
      <c r="U70" t="s">
        <v>8</v>
      </c>
      <c r="V70" t="s">
        <v>8</v>
      </c>
      <c r="W70" t="s">
        <v>8</v>
      </c>
      <c r="X70" t="s">
        <v>8</v>
      </c>
      <c r="Y70">
        <v>34</v>
      </c>
      <c r="Z70">
        <v>8</v>
      </c>
      <c r="AA70">
        <v>58</v>
      </c>
      <c r="AB70">
        <v>33</v>
      </c>
      <c r="AC70" t="s">
        <v>8</v>
      </c>
      <c r="AD70" t="s">
        <v>140</v>
      </c>
    </row>
    <row r="71" spans="1:30" x14ac:dyDescent="0.25">
      <c r="A71" t="s">
        <v>276</v>
      </c>
      <c r="B71" t="s">
        <v>554</v>
      </c>
      <c r="C71" t="s">
        <v>49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  <c r="I71" t="s">
        <v>8</v>
      </c>
      <c r="J71" t="s">
        <v>8</v>
      </c>
      <c r="K71" t="s">
        <v>8</v>
      </c>
      <c r="L71" t="s">
        <v>8</v>
      </c>
      <c r="M71" s="4">
        <v>0.39200000000000002</v>
      </c>
      <c r="N71" s="4">
        <v>0.24</v>
      </c>
      <c r="O71" t="s">
        <v>8</v>
      </c>
      <c r="P71" s="4">
        <v>-0.02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>
        <v>12</v>
      </c>
      <c r="Z71">
        <v>23</v>
      </c>
      <c r="AA71">
        <v>60</v>
      </c>
      <c r="AB71">
        <v>32</v>
      </c>
      <c r="AC71" t="s">
        <v>8</v>
      </c>
      <c r="AD71" t="s">
        <v>140</v>
      </c>
    </row>
    <row r="72" spans="1:30" x14ac:dyDescent="0.25">
      <c r="A72" t="s">
        <v>277</v>
      </c>
      <c r="B72" t="s">
        <v>555</v>
      </c>
      <c r="C72" t="s">
        <v>49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s="4">
        <v>0.46</v>
      </c>
      <c r="N72" s="4">
        <v>0.309</v>
      </c>
      <c r="O72" t="s">
        <v>8</v>
      </c>
      <c r="P72" s="4">
        <v>7.0999999999999994E-2</v>
      </c>
      <c r="Q72" t="s">
        <v>8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>
        <v>35</v>
      </c>
      <c r="Z72">
        <v>43</v>
      </c>
      <c r="AA72">
        <v>19</v>
      </c>
      <c r="AB72">
        <v>32</v>
      </c>
      <c r="AC72" t="s">
        <v>8</v>
      </c>
      <c r="AD72" t="s">
        <v>140</v>
      </c>
    </row>
    <row r="73" spans="1:30" x14ac:dyDescent="0.25">
      <c r="A73" t="s">
        <v>278</v>
      </c>
      <c r="B73" t="s">
        <v>556</v>
      </c>
      <c r="C73" t="s">
        <v>49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s="4">
        <v>0.33700000000000002</v>
      </c>
      <c r="N73" s="4">
        <v>0.193</v>
      </c>
      <c r="O73" t="s">
        <v>8</v>
      </c>
      <c r="P73" s="4">
        <v>7.0000000000000007E-2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>
        <v>49</v>
      </c>
      <c r="Z73">
        <v>20</v>
      </c>
      <c r="AA73">
        <v>28</v>
      </c>
      <c r="AB73">
        <v>32</v>
      </c>
      <c r="AC73" t="s">
        <v>8</v>
      </c>
      <c r="AD73" t="s">
        <v>140</v>
      </c>
    </row>
    <row r="74" spans="1:30" x14ac:dyDescent="0.25">
      <c r="A74" t="s">
        <v>279</v>
      </c>
      <c r="B74" t="s">
        <v>557</v>
      </c>
      <c r="C74" t="s">
        <v>49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s="4">
        <v>0.747</v>
      </c>
      <c r="N74" s="4">
        <v>3.7999999999999999E-2</v>
      </c>
      <c r="O74" t="s">
        <v>8</v>
      </c>
      <c r="P74" s="4">
        <v>0.217</v>
      </c>
      <c r="Q74" t="s">
        <v>8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>
        <v>13</v>
      </c>
      <c r="Z74">
        <v>48</v>
      </c>
      <c r="AA74">
        <v>36</v>
      </c>
      <c r="AB74">
        <v>32</v>
      </c>
      <c r="AC74" t="s">
        <v>8</v>
      </c>
      <c r="AD74" t="s">
        <v>140</v>
      </c>
    </row>
    <row r="75" spans="1:30" x14ac:dyDescent="0.25">
      <c r="A75" t="s">
        <v>280</v>
      </c>
      <c r="B75" t="s">
        <v>558</v>
      </c>
      <c r="C75" t="s">
        <v>49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s="4">
        <v>0.56100000000000005</v>
      </c>
      <c r="N75" s="4">
        <v>0.23599999999999999</v>
      </c>
      <c r="O75" t="s">
        <v>8</v>
      </c>
      <c r="P75" s="4">
        <v>-0.42299999999999999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>
        <v>2</v>
      </c>
      <c r="Z75">
        <v>32</v>
      </c>
      <c r="AA75">
        <v>62</v>
      </c>
      <c r="AB75">
        <v>32</v>
      </c>
      <c r="AC75" t="s">
        <v>8</v>
      </c>
      <c r="AD75" t="s">
        <v>140</v>
      </c>
    </row>
    <row r="76" spans="1:30" x14ac:dyDescent="0.25">
      <c r="A76" t="s">
        <v>281</v>
      </c>
      <c r="B76" t="s">
        <v>559</v>
      </c>
      <c r="C76" t="s">
        <v>49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s="4">
        <v>0.33100000000000002</v>
      </c>
      <c r="N76" s="4">
        <v>0.14799999999999999</v>
      </c>
      <c r="O76" t="s">
        <v>8</v>
      </c>
      <c r="P76" s="4">
        <v>-0.153</v>
      </c>
      <c r="Q76" t="s">
        <v>8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>
        <v>3</v>
      </c>
      <c r="Z76">
        <v>15</v>
      </c>
      <c r="AA76">
        <v>77</v>
      </c>
      <c r="AB76">
        <v>32</v>
      </c>
      <c r="AC76" t="s">
        <v>8</v>
      </c>
      <c r="AD76" t="s">
        <v>140</v>
      </c>
    </row>
    <row r="77" spans="1:30" x14ac:dyDescent="0.25">
      <c r="A77" t="s">
        <v>282</v>
      </c>
      <c r="B77" t="s">
        <v>560</v>
      </c>
      <c r="C77" t="s">
        <v>49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s="4">
        <v>0.111</v>
      </c>
      <c r="N77" s="4">
        <v>6.0999999999999999E-2</v>
      </c>
      <c r="O77" t="s">
        <v>8</v>
      </c>
      <c r="P77" s="4">
        <v>0.46600000000000003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>
        <v>81</v>
      </c>
      <c r="Z77">
        <v>5</v>
      </c>
      <c r="AA77">
        <v>9</v>
      </c>
      <c r="AB77">
        <v>32</v>
      </c>
      <c r="AC77" t="s">
        <v>8</v>
      </c>
      <c r="AD77" t="s">
        <v>140</v>
      </c>
    </row>
    <row r="78" spans="1:30" x14ac:dyDescent="0.25">
      <c r="A78" t="s">
        <v>283</v>
      </c>
      <c r="B78" t="s">
        <v>561</v>
      </c>
      <c r="C78" t="s">
        <v>49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s="4">
        <v>0.33900000000000002</v>
      </c>
      <c r="N78" s="4">
        <v>0.19600000000000001</v>
      </c>
      <c r="O78" t="s">
        <v>8</v>
      </c>
      <c r="P78" s="4">
        <v>-0.111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 t="s">
        <v>8</v>
      </c>
      <c r="X78" t="s">
        <v>8</v>
      </c>
      <c r="Y78">
        <v>7</v>
      </c>
      <c r="Z78">
        <v>14</v>
      </c>
      <c r="AA78">
        <v>72</v>
      </c>
      <c r="AB78">
        <v>31</v>
      </c>
      <c r="AC78" t="s">
        <v>8</v>
      </c>
      <c r="AD78" t="s">
        <v>140</v>
      </c>
    </row>
    <row r="79" spans="1:30" x14ac:dyDescent="0.25">
      <c r="A79" t="s">
        <v>284</v>
      </c>
      <c r="B79" t="s">
        <v>562</v>
      </c>
      <c r="C79" t="s">
        <v>49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s="4">
        <v>8.8999999999999996E-2</v>
      </c>
      <c r="N79" s="4">
        <v>5.7000000000000002E-2</v>
      </c>
      <c r="O79" t="s">
        <v>8</v>
      </c>
      <c r="P79" s="4">
        <v>3.2000000000000001E-2</v>
      </c>
      <c r="Q79" t="s">
        <v>8</v>
      </c>
      <c r="R79" t="s">
        <v>8</v>
      </c>
      <c r="S79" t="s">
        <v>8</v>
      </c>
      <c r="T79" t="s">
        <v>8</v>
      </c>
      <c r="U79" t="s">
        <v>8</v>
      </c>
      <c r="V79" t="s">
        <v>8</v>
      </c>
      <c r="W79" t="s">
        <v>8</v>
      </c>
      <c r="X79" t="s">
        <v>8</v>
      </c>
      <c r="Y79">
        <v>8</v>
      </c>
      <c r="Z79">
        <v>3</v>
      </c>
      <c r="AA79">
        <v>81</v>
      </c>
      <c r="AB79">
        <v>31</v>
      </c>
      <c r="AC79" t="s">
        <v>8</v>
      </c>
      <c r="AD79" t="s">
        <v>140</v>
      </c>
    </row>
    <row r="80" spans="1:30" x14ac:dyDescent="0.25">
      <c r="A80" t="s">
        <v>285</v>
      </c>
      <c r="B80" t="s">
        <v>563</v>
      </c>
      <c r="C80" t="s">
        <v>49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s="4">
        <v>0.31</v>
      </c>
      <c r="N80" s="4">
        <v>0.221</v>
      </c>
      <c r="O80" t="s">
        <v>8</v>
      </c>
      <c r="P80" s="4">
        <v>5.8999999999999997E-2</v>
      </c>
      <c r="Q80" t="s">
        <v>8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 t="s">
        <v>8</v>
      </c>
      <c r="X80" t="s">
        <v>8</v>
      </c>
      <c r="Y80">
        <v>41</v>
      </c>
      <c r="Z80">
        <v>17</v>
      </c>
      <c r="AA80">
        <v>21</v>
      </c>
      <c r="AB80">
        <v>26</v>
      </c>
      <c r="AC80" t="s">
        <v>8</v>
      </c>
      <c r="AD80" t="s">
        <v>140</v>
      </c>
    </row>
    <row r="81" spans="1:30" x14ac:dyDescent="0.25">
      <c r="A81" t="s">
        <v>286</v>
      </c>
      <c r="B81" t="s">
        <v>564</v>
      </c>
      <c r="C81" t="s">
        <v>49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s="4">
        <v>0.28799999999999998</v>
      </c>
      <c r="N81" s="4">
        <v>0.126</v>
      </c>
      <c r="O81" t="s">
        <v>8</v>
      </c>
      <c r="P81" s="4">
        <v>0.154</v>
      </c>
      <c r="Q81" t="s">
        <v>8</v>
      </c>
      <c r="R81" t="s">
        <v>8</v>
      </c>
      <c r="S81" t="s">
        <v>8</v>
      </c>
      <c r="T81" t="s">
        <v>8</v>
      </c>
      <c r="U81" t="s">
        <v>8</v>
      </c>
      <c r="V81" t="s">
        <v>8</v>
      </c>
      <c r="W81" t="s">
        <v>8</v>
      </c>
      <c r="X81" t="s">
        <v>8</v>
      </c>
      <c r="Y81">
        <v>37</v>
      </c>
      <c r="Z81">
        <v>13</v>
      </c>
      <c r="AA81">
        <v>29</v>
      </c>
      <c r="AB81">
        <v>26</v>
      </c>
      <c r="AC81" t="s">
        <v>8</v>
      </c>
      <c r="AD81" t="s">
        <v>140</v>
      </c>
    </row>
    <row r="82" spans="1:30" x14ac:dyDescent="0.25">
      <c r="A82" t="s">
        <v>287</v>
      </c>
      <c r="B82" t="s">
        <v>565</v>
      </c>
      <c r="C82" t="s">
        <v>49</v>
      </c>
      <c r="D82" t="s">
        <v>8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s="4">
        <v>0.41199999999999998</v>
      </c>
      <c r="N82" s="4">
        <v>0.249</v>
      </c>
      <c r="O82" t="s">
        <v>8</v>
      </c>
      <c r="P82" s="4">
        <v>-2.1999999999999999E-2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 t="s">
        <v>8</v>
      </c>
      <c r="X82" t="s">
        <v>8</v>
      </c>
      <c r="Y82">
        <v>15</v>
      </c>
      <c r="Z82">
        <v>29</v>
      </c>
      <c r="AA82">
        <v>35</v>
      </c>
      <c r="AB82">
        <v>26</v>
      </c>
      <c r="AC82" t="s">
        <v>8</v>
      </c>
      <c r="AD82" t="s">
        <v>140</v>
      </c>
    </row>
    <row r="83" spans="1:30" x14ac:dyDescent="0.25">
      <c r="A83" t="s">
        <v>288</v>
      </c>
      <c r="B83" t="s">
        <v>566</v>
      </c>
      <c r="C83" t="s">
        <v>49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s="4">
        <v>0.48099999999999998</v>
      </c>
      <c r="N83" s="4">
        <v>0.158</v>
      </c>
      <c r="O83" t="s">
        <v>8</v>
      </c>
      <c r="P83" s="4">
        <v>8.3000000000000004E-2</v>
      </c>
      <c r="Q83" t="s">
        <v>8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>
        <v>22</v>
      </c>
      <c r="Z83">
        <v>30</v>
      </c>
      <c r="AA83">
        <v>24</v>
      </c>
      <c r="AB83">
        <v>25</v>
      </c>
      <c r="AC83" t="s">
        <v>8</v>
      </c>
      <c r="AD83" t="s">
        <v>140</v>
      </c>
    </row>
    <row r="84" spans="1:30" x14ac:dyDescent="0.25">
      <c r="A84" t="s">
        <v>289</v>
      </c>
      <c r="B84" t="s">
        <v>567</v>
      </c>
      <c r="C84" t="s">
        <v>49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s="4">
        <v>0.31900000000000001</v>
      </c>
      <c r="N84" s="4">
        <v>0.17</v>
      </c>
      <c r="O84" t="s">
        <v>8</v>
      </c>
      <c r="P84" s="4">
        <v>7.3999999999999996E-2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>
        <v>36</v>
      </c>
      <c r="Z84">
        <v>18</v>
      </c>
      <c r="AA84">
        <v>15</v>
      </c>
      <c r="AB84">
        <v>23</v>
      </c>
      <c r="AC84" t="s">
        <v>8</v>
      </c>
      <c r="AD84" t="s">
        <v>140</v>
      </c>
    </row>
    <row r="85" spans="1:30" x14ac:dyDescent="0.25">
      <c r="A85" t="s">
        <v>290</v>
      </c>
      <c r="B85" t="s">
        <v>568</v>
      </c>
      <c r="C85" t="s">
        <v>49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s="4">
        <v>0.68400000000000005</v>
      </c>
      <c r="N85" s="4">
        <v>0.19900000000000001</v>
      </c>
      <c r="O85" t="s">
        <v>8</v>
      </c>
      <c r="P85" s="4">
        <v>3.6999999999999998E-2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>
        <v>10</v>
      </c>
      <c r="Z85">
        <v>59</v>
      </c>
      <c r="AA85">
        <v>1</v>
      </c>
      <c r="AB85">
        <v>23</v>
      </c>
      <c r="AC85" t="s">
        <v>8</v>
      </c>
      <c r="AD85" t="s">
        <v>140</v>
      </c>
    </row>
    <row r="86" spans="1:30" x14ac:dyDescent="0.25">
      <c r="A86" t="s">
        <v>291</v>
      </c>
      <c r="B86" t="s">
        <v>569</v>
      </c>
      <c r="C86" t="s">
        <v>49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s="4">
        <v>0.20599999999999999</v>
      </c>
      <c r="N86" s="4">
        <v>7.4999999999999997E-2</v>
      </c>
      <c r="O86" t="s">
        <v>8</v>
      </c>
      <c r="P86" s="4">
        <v>3.2000000000000001E-2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8</v>
      </c>
      <c r="W86" t="s">
        <v>8</v>
      </c>
      <c r="X86" t="s">
        <v>8</v>
      </c>
      <c r="Y86">
        <v>16</v>
      </c>
      <c r="Z86">
        <v>6</v>
      </c>
      <c r="AA86">
        <v>34</v>
      </c>
      <c r="AB86">
        <v>19</v>
      </c>
      <c r="AC86" t="s">
        <v>8</v>
      </c>
      <c r="AD86" t="s">
        <v>140</v>
      </c>
    </row>
    <row r="87" spans="1:30" x14ac:dyDescent="0.25">
      <c r="A87" t="s">
        <v>292</v>
      </c>
      <c r="B87" t="s">
        <v>570</v>
      </c>
      <c r="C87" t="s">
        <v>49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  <c r="K87" t="s">
        <v>8</v>
      </c>
      <c r="L87" t="s">
        <v>8</v>
      </c>
      <c r="M87" s="4">
        <v>0.27</v>
      </c>
      <c r="N87" s="4">
        <v>0.13600000000000001</v>
      </c>
      <c r="O87" t="s">
        <v>8</v>
      </c>
      <c r="P87" s="4">
        <v>1.7000000000000001E-2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 t="s">
        <v>8</v>
      </c>
      <c r="X87" t="s">
        <v>8</v>
      </c>
      <c r="Y87">
        <v>17</v>
      </c>
      <c r="Z87">
        <v>10</v>
      </c>
      <c r="AA87">
        <v>27</v>
      </c>
      <c r="AB87">
        <v>18</v>
      </c>
      <c r="AC87" t="s">
        <v>8</v>
      </c>
      <c r="AD87" t="s">
        <v>140</v>
      </c>
    </row>
    <row r="88" spans="1:30" x14ac:dyDescent="0.25">
      <c r="A88" t="s">
        <v>293</v>
      </c>
      <c r="B88" t="s">
        <v>571</v>
      </c>
      <c r="C88" t="s">
        <v>49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s="4">
        <v>0.217</v>
      </c>
      <c r="N88" s="4">
        <v>8.6999999999999994E-2</v>
      </c>
      <c r="O88" t="s">
        <v>8</v>
      </c>
      <c r="P88" s="4">
        <v>6.8000000000000005E-2</v>
      </c>
      <c r="Q88" t="s">
        <v>8</v>
      </c>
      <c r="R88" t="s">
        <v>8</v>
      </c>
      <c r="S88" t="s">
        <v>8</v>
      </c>
      <c r="T88" t="s">
        <v>8</v>
      </c>
      <c r="U88" t="s">
        <v>8</v>
      </c>
      <c r="V88" t="s">
        <v>8</v>
      </c>
      <c r="W88" t="s">
        <v>8</v>
      </c>
      <c r="X88" t="s">
        <v>8</v>
      </c>
      <c r="Y88">
        <v>26</v>
      </c>
      <c r="Z88">
        <v>7</v>
      </c>
      <c r="AA88">
        <v>22</v>
      </c>
      <c r="AB88">
        <v>18</v>
      </c>
      <c r="AC88" t="s">
        <v>8</v>
      </c>
      <c r="AD88" t="s">
        <v>140</v>
      </c>
    </row>
    <row r="89" spans="1:30" x14ac:dyDescent="0.25">
      <c r="A89" t="s">
        <v>294</v>
      </c>
      <c r="B89" t="s">
        <v>572</v>
      </c>
      <c r="C89" t="s">
        <v>49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s="4">
        <v>0.36899999999999999</v>
      </c>
      <c r="N89" s="4">
        <v>0.32300000000000001</v>
      </c>
      <c r="O89" t="s">
        <v>8</v>
      </c>
      <c r="P89" s="4">
        <v>5.3999999999999999E-2</v>
      </c>
      <c r="Q89" t="s">
        <v>8</v>
      </c>
      <c r="R89" t="s">
        <v>8</v>
      </c>
      <c r="S89" t="s">
        <v>8</v>
      </c>
      <c r="T89" t="s">
        <v>8</v>
      </c>
      <c r="U89" t="s">
        <v>8</v>
      </c>
      <c r="V89" t="s">
        <v>8</v>
      </c>
      <c r="W89" t="s">
        <v>8</v>
      </c>
      <c r="X89" t="s">
        <v>8</v>
      </c>
      <c r="Y89">
        <v>24</v>
      </c>
      <c r="Z89">
        <v>16</v>
      </c>
      <c r="AA89">
        <v>14</v>
      </c>
      <c r="AB89">
        <v>18</v>
      </c>
      <c r="AC89" t="s">
        <v>8</v>
      </c>
      <c r="AD89" t="s">
        <v>140</v>
      </c>
    </row>
    <row r="90" spans="1:30" x14ac:dyDescent="0.25">
      <c r="A90" t="s">
        <v>295</v>
      </c>
      <c r="B90" t="s">
        <v>573</v>
      </c>
      <c r="C90" t="s">
        <v>49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s="4">
        <v>0.56499999999999995</v>
      </c>
      <c r="N90" s="4">
        <v>-1.1220000000000001</v>
      </c>
      <c r="O90" t="s">
        <v>8</v>
      </c>
      <c r="P90" s="4">
        <v>-3.2000000000000001E-2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>
        <v>0</v>
      </c>
      <c r="Z90">
        <v>0</v>
      </c>
      <c r="AA90">
        <v>0</v>
      </c>
      <c r="AB90">
        <v>0</v>
      </c>
      <c r="AC90" t="s">
        <v>8</v>
      </c>
      <c r="AD90" t="s">
        <v>140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</vt:lpstr>
      <vt:lpstr>VALUE</vt:lpstr>
      <vt:lpstr>GROWTH</vt:lpstr>
      <vt:lpstr>QUALITY</vt:lpstr>
      <vt:lpstr>MOMENTUM</vt:lpstr>
      <vt:lpstr>TECHNOLOGY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2026-03-22T08:37:34Z</dcterms:created>
  <dcterms:modified xsi:type="dcterms:W3CDTF">2026-04-03T21:27:17Z</dcterms:modified>
</cp:coreProperties>
</file>