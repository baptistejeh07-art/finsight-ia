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/>
  <mc:AlternateContent xmlns:mc="http://schemas.openxmlformats.org/markup-compatibility/2006">
    <mc:Choice Requires="x15">
      <x15ac:absPath xmlns:x15ac="http://schemas.microsoft.com/office/spreadsheetml/2010/11/ac" url="https://d.docs.live.net/d15357bc9330a16b/Perso/Excel Finsight/"/>
    </mc:Choice>
  </mc:AlternateContent>
  <xr:revisionPtr revIDLastSave="20276" documentId="8_{70B60DCA-2A2A-4C9F-A503-36CD709D73CE}" xr6:coauthVersionLast="47" xr6:coauthVersionMax="47" xr10:uidLastSave="{DD778E78-ABEB-4AC2-B482-C1F7623530D9}"/>
  <bookViews>
    <workbookView xWindow="-108" yWindow="-108" windowWidth="23256" windowHeight="13896" tabRatio="701" xr2:uid="{A23352FC-3282-498A-8439-8CCDF458367F}"/>
  </bookViews>
  <sheets>
    <sheet name="INPUT" sheetId="1" r:id="rId1"/>
    <sheet name="RATIOS" sheetId="2" r:id="rId2"/>
    <sheet name="ALTMAN Z-SCORE" sheetId="3" r:id="rId3"/>
    <sheet name="BENEISH M-SCORE" sheetId="4" r:id="rId4"/>
    <sheet name="DCF" sheetId="5" r:id="rId5"/>
    <sheet name="COMPARABLES" sheetId="6" r:id="rId6"/>
    <sheet name="SCENARIOS" sheetId="7" r:id="rId7"/>
    <sheet name="DASHBOARD" sheetId="8" r:id="rId8"/>
    <sheet name="DASHBOARD 2" sheetId="10" r:id="rId9"/>
    <sheet name="STOCK_DATA" sheetId="11" state="hidden" r:id="rId10"/>
    <sheet name="SECTOR_REF" sheetId="12" state="hidden" r:id="rId11"/>
  </sheets>
  <externalReferences>
    <externalReference r:id="rId12"/>
  </externalReferences>
  <definedNames>
    <definedName name="_xlchart.v1.0" hidden="1">RATIOS!$D$74:$H$74</definedName>
    <definedName name="_xlchart.v1.1" hidden="1">RATIOS!$D$75:$H$75</definedName>
    <definedName name="_xlnm.Print_Area" localSheetId="2">'ALTMAN Z-SCORE'!$A$1:$H$44</definedName>
    <definedName name="_xlnm.Print_Area" localSheetId="3">'BENEISH M-SCORE'!$A$1:$G$57</definedName>
    <definedName name="_xlnm.Print_Area" localSheetId="5">COMPARABLES!$A$1:$L$44</definedName>
    <definedName name="_xlnm.Print_Area" localSheetId="7">DASHBOARD!$A$1:$N$94</definedName>
    <definedName name="_xlnm.Print_Area" localSheetId="4">DCF!$A$1:$L$115</definedName>
    <definedName name="_xlnm.Print_Area" localSheetId="0">INPUT!$A$1:$H$126</definedName>
    <definedName name="_xlnm.Print_Area" localSheetId="1">RATIOS!$A$1:$H$70</definedName>
    <definedName name="_xlnm.Print_Area" localSheetId="6">SCENARIOS!$A$1:$I$55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8" i="1" l="1"/>
  <c r="G128" i="1" s="1"/>
  <c r="D5" i="4" s="1"/>
  <c r="D128" i="1"/>
  <c r="C117" i="5"/>
  <c r="D117" i="5"/>
  <c r="E117" i="5"/>
  <c r="F117" i="5"/>
  <c r="G117" i="5"/>
  <c r="I5" i="5"/>
  <c r="J5" i="5"/>
  <c r="K5" i="5"/>
  <c r="L5" i="5"/>
  <c r="M5" i="5"/>
  <c r="I28" i="5"/>
  <c r="J28" i="5"/>
  <c r="K28" i="5"/>
  <c r="L28" i="5"/>
  <c r="M28" i="5"/>
  <c r="C57" i="7"/>
  <c r="B35" i="7"/>
  <c r="D5" i="7"/>
  <c r="E5" i="7"/>
  <c r="F5" i="7"/>
  <c r="G5" i="7"/>
  <c r="H5" i="7"/>
  <c r="I5" i="7"/>
  <c r="J5" i="7"/>
  <c r="K5" i="7"/>
  <c r="L5" i="7"/>
  <c r="M5" i="7"/>
  <c r="D16" i="7"/>
  <c r="E16" i="7"/>
  <c r="F16" i="7"/>
  <c r="G16" i="7"/>
  <c r="H16" i="7"/>
  <c r="I16" i="7"/>
  <c r="J16" i="7"/>
  <c r="K16" i="7"/>
  <c r="L16" i="7"/>
  <c r="M16" i="7"/>
  <c r="D21" i="6"/>
  <c r="H108" i="1"/>
  <c r="G108" i="1"/>
  <c r="F108" i="1"/>
  <c r="E108" i="1"/>
  <c r="D108" i="1"/>
  <c r="F9" i="7" a="1"/>
  <c r="F9" i="7" s="1"/>
  <c r="E41" i="7" s="1"/>
  <c r="E9" i="7" a="1"/>
  <c r="E9" i="7" s="1"/>
  <c r="E27" i="7" s="1"/>
  <c r="I29" i="5"/>
  <c r="M29" i="5" s="1"/>
  <c r="H44" i="7"/>
  <c r="G44" i="7"/>
  <c r="F44" i="7"/>
  <c r="E44" i="7"/>
  <c r="D44" i="7"/>
  <c r="J47" i="8"/>
  <c r="J45" i="8"/>
  <c r="I47" i="8"/>
  <c r="I45" i="8"/>
  <c r="J67" i="8"/>
  <c r="J62" i="8"/>
  <c r="D66" i="8"/>
  <c r="D65" i="8"/>
  <c r="D64" i="8"/>
  <c r="D63" i="8"/>
  <c r="D61" i="8"/>
  <c r="D60" i="8"/>
  <c r="H38" i="7"/>
  <c r="G38" i="7"/>
  <c r="F38" i="7"/>
  <c r="E38" i="7"/>
  <c r="D38" i="7"/>
  <c r="H88" i="2"/>
  <c r="H95" i="2" s="1"/>
  <c r="G88" i="2"/>
  <c r="G95" i="2" s="1"/>
  <c r="H87" i="2"/>
  <c r="H94" i="2" s="1"/>
  <c r="G87" i="2"/>
  <c r="G94" i="2" s="1"/>
  <c r="H86" i="2"/>
  <c r="H93" i="2" s="1"/>
  <c r="G86" i="2"/>
  <c r="G93" i="2" s="1"/>
  <c r="H85" i="2"/>
  <c r="H91" i="2" s="1"/>
  <c r="G85" i="2"/>
  <c r="H78" i="2"/>
  <c r="H97" i="2" s="1"/>
  <c r="G78" i="2"/>
  <c r="G97" i="2" s="1"/>
  <c r="H75" i="2"/>
  <c r="G75" i="2"/>
  <c r="H51" i="2"/>
  <c r="G51" i="2"/>
  <c r="E33" i="7"/>
  <c r="D33" i="7"/>
  <c r="H17" i="7"/>
  <c r="G17" i="7"/>
  <c r="F17" i="7"/>
  <c r="E17" i="7"/>
  <c r="D17" i="7"/>
  <c r="D14" i="7"/>
  <c r="D9" i="7" a="1"/>
  <c r="D9" i="7" s="1"/>
  <c r="D27" i="7" s="1"/>
  <c r="D38" i="5"/>
  <c r="D37" i="5"/>
  <c r="D34" i="5"/>
  <c r="D33" i="5"/>
  <c r="D32" i="5"/>
  <c r="D31" i="5"/>
  <c r="D29" i="5"/>
  <c r="F107" i="5" s="1"/>
  <c r="G119" i="5"/>
  <c r="F119" i="5"/>
  <c r="E119" i="5"/>
  <c r="D119" i="5"/>
  <c r="C119" i="5"/>
  <c r="D92" i="5"/>
  <c r="D90" i="5"/>
  <c r="D87" i="5"/>
  <c r="D74" i="5"/>
  <c r="D67" i="5"/>
  <c r="F12" i="7" s="1" a="1"/>
  <c r="F12" i="7" s="1"/>
  <c r="D61" i="5"/>
  <c r="D60" i="5"/>
  <c r="D59" i="5"/>
  <c r="D58" i="5"/>
  <c r="D55" i="5"/>
  <c r="D54" i="5"/>
  <c r="D53" i="5"/>
  <c r="I38" i="5"/>
  <c r="M38" i="5" s="1"/>
  <c r="I37" i="5"/>
  <c r="F37" i="5" s="1"/>
  <c r="I34" i="5"/>
  <c r="F34" i="5" s="1"/>
  <c r="I33" i="5"/>
  <c r="F33" i="5" s="1"/>
  <c r="I32" i="5"/>
  <c r="M32" i="5" s="1"/>
  <c r="I31" i="5"/>
  <c r="J31" i="5" s="1"/>
  <c r="H47" i="5"/>
  <c r="G47" i="5"/>
  <c r="F47" i="5"/>
  <c r="E47" i="5"/>
  <c r="D47" i="5"/>
  <c r="H20" i="5"/>
  <c r="G20" i="5"/>
  <c r="F20" i="5"/>
  <c r="E20" i="5"/>
  <c r="D20" i="5"/>
  <c r="H17" i="5"/>
  <c r="H46" i="5" s="1"/>
  <c r="G17" i="5"/>
  <c r="G46" i="5" s="1"/>
  <c r="F17" i="5"/>
  <c r="F46" i="5" s="1"/>
  <c r="E17" i="5"/>
  <c r="E46" i="5" s="1"/>
  <c r="D17" i="5"/>
  <c r="D46" i="5" s="1"/>
  <c r="H14" i="5"/>
  <c r="G14" i="5"/>
  <c r="F14" i="5"/>
  <c r="E14" i="5"/>
  <c r="D14" i="5"/>
  <c r="H13" i="5"/>
  <c r="G13" i="5"/>
  <c r="F13" i="5"/>
  <c r="E13" i="5"/>
  <c r="D13" i="5"/>
  <c r="H10" i="5"/>
  <c r="G10" i="5"/>
  <c r="F10" i="5"/>
  <c r="E10" i="5"/>
  <c r="D10" i="5"/>
  <c r="H9" i="5"/>
  <c r="G9" i="5"/>
  <c r="F9" i="5"/>
  <c r="E9" i="5"/>
  <c r="D9" i="5"/>
  <c r="G11" i="1"/>
  <c r="D97" i="1"/>
  <c r="E97" i="1"/>
  <c r="F97" i="1"/>
  <c r="G97" i="1"/>
  <c r="F75" i="2"/>
  <c r="E75" i="2"/>
  <c r="D75" i="2"/>
  <c r="T30" i="10"/>
  <c r="C104" i="10"/>
  <c r="C105" i="10"/>
  <c r="D105" i="10"/>
  <c r="E105" i="10"/>
  <c r="F105" i="10"/>
  <c r="G105" i="10"/>
  <c r="S12" i="10"/>
  <c r="F88" i="2"/>
  <c r="F94" i="2" s="1"/>
  <c r="E88" i="2"/>
  <c r="E94" i="2" s="1"/>
  <c r="D88" i="2"/>
  <c r="D94" i="2" s="1"/>
  <c r="F87" i="2"/>
  <c r="F93" i="2" s="1"/>
  <c r="E87" i="2"/>
  <c r="E93" i="2" s="1"/>
  <c r="D87" i="2"/>
  <c r="D93" i="2" s="1"/>
  <c r="F86" i="2"/>
  <c r="F92" i="2" s="1"/>
  <c r="E86" i="2"/>
  <c r="E92" i="2" s="1"/>
  <c r="D86" i="2"/>
  <c r="D92" i="2" s="1"/>
  <c r="F85" i="2"/>
  <c r="F91" i="2" s="1"/>
  <c r="E85" i="2"/>
  <c r="E91" i="2" s="1"/>
  <c r="D85" i="2"/>
  <c r="D91" i="2" s="1"/>
  <c r="F78" i="2"/>
  <c r="F97" i="2" s="1"/>
  <c r="E78" i="2"/>
  <c r="E97" i="2" s="1"/>
  <c r="D78" i="2"/>
  <c r="D97" i="2" s="1"/>
  <c r="D5" i="1" l="1"/>
  <c r="H5" i="1"/>
  <c r="G5" i="1"/>
  <c r="F5" i="1"/>
  <c r="E5" i="1"/>
  <c r="D62" i="5"/>
  <c r="D39" i="7"/>
  <c r="G40" i="7"/>
  <c r="D40" i="7"/>
  <c r="F41" i="7"/>
  <c r="H41" i="7"/>
  <c r="E39" i="7"/>
  <c r="D67" i="8"/>
  <c r="D41" i="7"/>
  <c r="G41" i="7"/>
  <c r="E40" i="7"/>
  <c r="F11" i="5"/>
  <c r="D12" i="7" a="1"/>
  <c r="D12" i="7" s="1"/>
  <c r="G11" i="5"/>
  <c r="G99" i="2"/>
  <c r="M31" i="5"/>
  <c r="H99" i="2"/>
  <c r="F29" i="5"/>
  <c r="E12" i="7" a="1"/>
  <c r="E12" i="7" s="1"/>
  <c r="D109" i="5"/>
  <c r="E109" i="5"/>
  <c r="M37" i="5"/>
  <c r="D56" i="5"/>
  <c r="F109" i="5"/>
  <c r="M34" i="5"/>
  <c r="E11" i="5"/>
  <c r="M33" i="5"/>
  <c r="D11" i="5"/>
  <c r="E38" i="5"/>
  <c r="J38" i="5"/>
  <c r="F38" i="5"/>
  <c r="K38" i="5"/>
  <c r="E29" i="5"/>
  <c r="L38" i="5"/>
  <c r="K31" i="5"/>
  <c r="L31" i="5"/>
  <c r="E31" i="5"/>
  <c r="F31" i="5"/>
  <c r="I9" i="5"/>
  <c r="H92" i="2"/>
  <c r="E34" i="5"/>
  <c r="L37" i="5"/>
  <c r="L32" i="5"/>
  <c r="K32" i="5"/>
  <c r="J32" i="5"/>
  <c r="F32" i="5"/>
  <c r="E32" i="5"/>
  <c r="E33" i="5"/>
  <c r="L33" i="5"/>
  <c r="K33" i="5"/>
  <c r="G92" i="2"/>
  <c r="G91" i="2"/>
  <c r="L29" i="5"/>
  <c r="K29" i="5"/>
  <c r="J29" i="5"/>
  <c r="H11" i="5"/>
  <c r="G18" i="7"/>
  <c r="J33" i="5"/>
  <c r="J34" i="5"/>
  <c r="K34" i="5"/>
  <c r="L34" i="5"/>
  <c r="J37" i="5"/>
  <c r="E37" i="5"/>
  <c r="K37" i="5"/>
  <c r="I17" i="7"/>
  <c r="F27" i="7"/>
  <c r="D107" i="5"/>
  <c r="E107" i="5"/>
  <c r="X38" i="10"/>
  <c r="W38" i="10"/>
  <c r="V38" i="10"/>
  <c r="U38" i="10"/>
  <c r="T38" i="10"/>
  <c r="X37" i="10"/>
  <c r="W37" i="10"/>
  <c r="V37" i="10"/>
  <c r="U37" i="10"/>
  <c r="T37" i="10"/>
  <c r="X35" i="10"/>
  <c r="W35" i="10"/>
  <c r="V35" i="10"/>
  <c r="U35" i="10"/>
  <c r="T35" i="10"/>
  <c r="X34" i="10"/>
  <c r="W34" i="10"/>
  <c r="V34" i="10"/>
  <c r="U34" i="10"/>
  <c r="T34" i="10"/>
  <c r="X30" i="10"/>
  <c r="G104" i="10" s="1"/>
  <c r="W30" i="10"/>
  <c r="F104" i="10" s="1"/>
  <c r="V30" i="10"/>
  <c r="E104" i="10" s="1"/>
  <c r="U30" i="10"/>
  <c r="D104" i="10" s="1"/>
  <c r="T22" i="10"/>
  <c r="V21" i="10"/>
  <c r="X100" i="10" s="1"/>
  <c r="T21" i="10"/>
  <c r="V100" i="10" s="1"/>
  <c r="V20" i="10"/>
  <c r="X99" i="10" s="1"/>
  <c r="T20" i="10"/>
  <c r="V99" i="10" s="1"/>
  <c r="V19" i="10"/>
  <c r="X98" i="10" s="1"/>
  <c r="T19" i="10"/>
  <c r="V98" i="10" s="1"/>
  <c r="V18" i="10"/>
  <c r="X97" i="10" s="1"/>
  <c r="T18" i="10"/>
  <c r="V97" i="10" s="1"/>
  <c r="V17" i="10"/>
  <c r="X96" i="10" s="1"/>
  <c r="T17" i="10"/>
  <c r="V96" i="10" s="1"/>
  <c r="S11" i="10"/>
  <c r="S10" i="10"/>
  <c r="S9" i="10"/>
  <c r="S8" i="10"/>
  <c r="S7" i="10"/>
  <c r="I6" i="10"/>
  <c r="B6" i="10"/>
  <c r="R1" i="10"/>
  <c r="J94" i="8"/>
  <c r="K94" i="8"/>
  <c r="L94" i="8"/>
  <c r="M94" i="8"/>
  <c r="N94" i="8"/>
  <c r="J93" i="8"/>
  <c r="K93" i="8"/>
  <c r="L93" i="8"/>
  <c r="M93" i="8"/>
  <c r="N93" i="8"/>
  <c r="J92" i="8"/>
  <c r="K92" i="8"/>
  <c r="L92" i="8"/>
  <c r="M92" i="8"/>
  <c r="N92" i="8"/>
  <c r="J91" i="8"/>
  <c r="K91" i="8"/>
  <c r="L91" i="8"/>
  <c r="M91" i="8"/>
  <c r="N91" i="8"/>
  <c r="D89" i="8"/>
  <c r="E89" i="8"/>
  <c r="F89" i="8"/>
  <c r="G89" i="8"/>
  <c r="H89" i="8"/>
  <c r="C82" i="8"/>
  <c r="D82" i="8"/>
  <c r="E82" i="8"/>
  <c r="F82" i="8"/>
  <c r="G82" i="8"/>
  <c r="C47" i="8"/>
  <c r="C45" i="8"/>
  <c r="M5" i="8"/>
  <c r="D63" i="5" l="1"/>
  <c r="D13" i="7" s="1" a="1"/>
  <c r="D13" i="7" s="1"/>
  <c r="G39" i="7"/>
  <c r="F40" i="7"/>
  <c r="H40" i="7"/>
  <c r="F39" i="7"/>
  <c r="I14" i="5"/>
  <c r="C120" i="5"/>
  <c r="E13" i="7" a="1"/>
  <c r="E13" i="7" s="1"/>
  <c r="I17" i="5"/>
  <c r="I46" i="5" s="1"/>
  <c r="I13" i="5"/>
  <c r="I48" i="5"/>
  <c r="J9" i="5"/>
  <c r="J47" i="5" s="1"/>
  <c r="I47" i="5"/>
  <c r="J17" i="7"/>
  <c r="F33" i="7"/>
  <c r="K45" i="8"/>
  <c r="L45" i="8" s="1"/>
  <c r="K47" i="8"/>
  <c r="L47" i="8" s="1"/>
  <c r="U18" i="10"/>
  <c r="W97" i="10" s="1"/>
  <c r="U19" i="10"/>
  <c r="W98" i="10" s="1"/>
  <c r="U20" i="10"/>
  <c r="W99" i="10" s="1"/>
  <c r="U17" i="10"/>
  <c r="W96" i="10" s="1"/>
  <c r="U21" i="10"/>
  <c r="W100" i="10" s="1"/>
  <c r="F16" i="4"/>
  <c r="E16" i="4"/>
  <c r="F24" i="4"/>
  <c r="H97" i="1"/>
  <c r="H86" i="1"/>
  <c r="G86" i="1"/>
  <c r="F86" i="1"/>
  <c r="E86" i="1"/>
  <c r="D86" i="1"/>
  <c r="H80" i="1"/>
  <c r="G80" i="1"/>
  <c r="F80" i="1"/>
  <c r="E80" i="1"/>
  <c r="D80" i="1"/>
  <c r="H70" i="1"/>
  <c r="H48" i="5" s="1"/>
  <c r="G70" i="1"/>
  <c r="G48" i="5" s="1"/>
  <c r="F70" i="1"/>
  <c r="F48" i="5" s="1"/>
  <c r="E70" i="1"/>
  <c r="E48" i="5" s="1"/>
  <c r="D70" i="1"/>
  <c r="D48" i="5" s="1"/>
  <c r="H51" i="1"/>
  <c r="G51" i="1"/>
  <c r="G55" i="1" s="1"/>
  <c r="F51" i="1"/>
  <c r="E51" i="1"/>
  <c r="E55" i="1" s="1"/>
  <c r="E13" i="3" s="1"/>
  <c r="D51" i="1"/>
  <c r="D55" i="1" s="1"/>
  <c r="D13" i="3" s="1"/>
  <c r="H13" i="1"/>
  <c r="I49" i="8" s="1"/>
  <c r="G13" i="1"/>
  <c r="J49" i="8" s="1"/>
  <c r="F13" i="1"/>
  <c r="E13" i="1"/>
  <c r="D13" i="1"/>
  <c r="E110" i="5" l="1"/>
  <c r="F13" i="7" a="1"/>
  <c r="F13" i="7" s="1"/>
  <c r="F110" i="5"/>
  <c r="D68" i="5"/>
  <c r="K75" i="5" s="1"/>
  <c r="D110" i="5"/>
  <c r="G5" i="3"/>
  <c r="G5" i="2"/>
  <c r="G5" i="5"/>
  <c r="E5" i="2"/>
  <c r="E74" i="2" s="1"/>
  <c r="E5" i="3"/>
  <c r="E5" i="5"/>
  <c r="D5" i="3"/>
  <c r="D5" i="5"/>
  <c r="D5" i="2"/>
  <c r="D74" i="2" s="1"/>
  <c r="F5" i="2"/>
  <c r="F74" i="2" s="1"/>
  <c r="F5" i="3"/>
  <c r="F5" i="5"/>
  <c r="E5" i="4"/>
  <c r="H5" i="2"/>
  <c r="H5" i="5"/>
  <c r="H5" i="3"/>
  <c r="H39" i="7"/>
  <c r="J14" i="5"/>
  <c r="J48" i="5"/>
  <c r="D120" i="5"/>
  <c r="K9" i="5"/>
  <c r="K47" i="5" s="1"/>
  <c r="J13" i="5"/>
  <c r="J17" i="5"/>
  <c r="J46" i="5" s="1"/>
  <c r="H55" i="1"/>
  <c r="J66" i="8"/>
  <c r="K17" i="7"/>
  <c r="K49" i="8"/>
  <c r="L49" i="8" s="1"/>
  <c r="F55" i="1"/>
  <c r="F13" i="3" s="1"/>
  <c r="C49" i="8"/>
  <c r="G13" i="3"/>
  <c r="H11" i="1"/>
  <c r="F11" i="1"/>
  <c r="E11" i="1"/>
  <c r="E18" i="7" s="1"/>
  <c r="C62" i="7" s="1"/>
  <c r="D11" i="1"/>
  <c r="D18" i="7" s="1"/>
  <c r="J75" i="5" l="1"/>
  <c r="M75" i="5"/>
  <c r="I75" i="5"/>
  <c r="L75" i="5"/>
  <c r="N75" i="5"/>
  <c r="D75" i="5"/>
  <c r="G74" i="2"/>
  <c r="G84" i="2"/>
  <c r="H84" i="2"/>
  <c r="H74" i="2"/>
  <c r="K13" i="5"/>
  <c r="E10" i="7" a="1"/>
  <c r="E10" i="7" s="1"/>
  <c r="F10" i="7" a="1"/>
  <c r="F10" i="7" s="1"/>
  <c r="K48" i="5"/>
  <c r="E120" i="5"/>
  <c r="L9" i="5"/>
  <c r="L14" i="5" s="1"/>
  <c r="K14" i="5"/>
  <c r="K17" i="5"/>
  <c r="K46" i="5" s="1"/>
  <c r="F18" i="7"/>
  <c r="G52" i="2"/>
  <c r="D30" i="5"/>
  <c r="H52" i="2"/>
  <c r="I30" i="5"/>
  <c r="M30" i="5" s="1"/>
  <c r="D10" i="7" a="1"/>
  <c r="D10" i="7" s="1"/>
  <c r="H18" i="7"/>
  <c r="L17" i="7"/>
  <c r="M17" i="7" s="1"/>
  <c r="H13" i="3"/>
  <c r="D86" i="5"/>
  <c r="N86" i="8"/>
  <c r="N87" i="8"/>
  <c r="M86" i="8"/>
  <c r="M87" i="8"/>
  <c r="K86" i="8"/>
  <c r="K87" i="8"/>
  <c r="J86" i="8"/>
  <c r="J87" i="8"/>
  <c r="D17" i="1"/>
  <c r="D30" i="1" s="1"/>
  <c r="T36" i="10"/>
  <c r="E17" i="1"/>
  <c r="E30" i="1" s="1"/>
  <c r="U36" i="10"/>
  <c r="G17" i="1"/>
  <c r="G30" i="1" s="1"/>
  <c r="G76" i="2" s="1"/>
  <c r="W36" i="10"/>
  <c r="H17" i="1"/>
  <c r="H30" i="1" s="1"/>
  <c r="H76" i="2" s="1"/>
  <c r="X36" i="10"/>
  <c r="F17" i="1"/>
  <c r="F30" i="1" s="1"/>
  <c r="L86" i="8"/>
  <c r="V36" i="10"/>
  <c r="L87" i="8"/>
  <c r="L47" i="5" l="1"/>
  <c r="L48" i="5"/>
  <c r="L17" i="5"/>
  <c r="L46" i="5" s="1"/>
  <c r="L13" i="5"/>
  <c r="E11" i="7" a="1"/>
  <c r="E11" i="7" s="1"/>
  <c r="L19" i="7" s="1"/>
  <c r="F11" i="7" a="1"/>
  <c r="F11" i="7" s="1"/>
  <c r="M9" i="5"/>
  <c r="F120" i="5"/>
  <c r="E15" i="5"/>
  <c r="E18" i="5" s="1"/>
  <c r="E19" i="7"/>
  <c r="E22" i="7"/>
  <c r="D15" i="5"/>
  <c r="D22" i="7"/>
  <c r="D19" i="7"/>
  <c r="I18" i="7"/>
  <c r="J18" i="7"/>
  <c r="F30" i="5"/>
  <c r="E30" i="5"/>
  <c r="L30" i="5"/>
  <c r="K30" i="5"/>
  <c r="J30" i="5"/>
  <c r="I10" i="5"/>
  <c r="I11" i="5" s="1"/>
  <c r="I15" i="5" s="1"/>
  <c r="I18" i="5" s="1"/>
  <c r="J10" i="5"/>
  <c r="J11" i="5" s="1"/>
  <c r="J15" i="5" s="1"/>
  <c r="J18" i="5" s="1"/>
  <c r="K10" i="5"/>
  <c r="K11" i="5" s="1"/>
  <c r="K15" i="5" s="1"/>
  <c r="K18" i="5" s="1"/>
  <c r="L18" i="7"/>
  <c r="F22" i="7"/>
  <c r="F19" i="7"/>
  <c r="F15" i="5"/>
  <c r="F18" i="5" s="1"/>
  <c r="H22" i="7"/>
  <c r="H19" i="7"/>
  <c r="D11" i="7" a="1"/>
  <c r="D11" i="7" s="1"/>
  <c r="H15" i="5"/>
  <c r="H53" i="2"/>
  <c r="G22" i="7"/>
  <c r="G19" i="7"/>
  <c r="G53" i="2"/>
  <c r="G15" i="5"/>
  <c r="G18" i="5" s="1"/>
  <c r="L10" i="5"/>
  <c r="L11" i="5" s="1"/>
  <c r="K18" i="7"/>
  <c r="M18" i="7"/>
  <c r="N104" i="10"/>
  <c r="T104" i="10"/>
  <c r="S104" i="10"/>
  <c r="M104" i="10"/>
  <c r="F76" i="2"/>
  <c r="Q104" i="10"/>
  <c r="K104" i="10"/>
  <c r="D76" i="2"/>
  <c r="J104" i="10"/>
  <c r="P104" i="10"/>
  <c r="D19" i="1"/>
  <c r="D22" i="1" s="1"/>
  <c r="D24" i="1" s="1"/>
  <c r="D23" i="5" s="1"/>
  <c r="T40" i="10"/>
  <c r="D83" i="8"/>
  <c r="X40" i="10"/>
  <c r="H83" i="8"/>
  <c r="W40" i="10"/>
  <c r="G83" i="8"/>
  <c r="U40" i="10"/>
  <c r="E83" i="8"/>
  <c r="H19" i="1"/>
  <c r="H22" i="1" s="1"/>
  <c r="H24" i="1" s="1"/>
  <c r="G19" i="1"/>
  <c r="G22" i="1" s="1"/>
  <c r="G24" i="1" s="1"/>
  <c r="E19" i="1"/>
  <c r="E22" i="1" s="1"/>
  <c r="E24" i="1" s="1"/>
  <c r="E23" i="5" s="1"/>
  <c r="F19" i="1"/>
  <c r="F22" i="1" s="1"/>
  <c r="F24" i="1" s="1"/>
  <c r="F23" i="5" s="1"/>
  <c r="R104" i="10"/>
  <c r="L104" i="10"/>
  <c r="E76" i="2"/>
  <c r="X31" i="10"/>
  <c r="V40" i="10"/>
  <c r="W31" i="10"/>
  <c r="V31" i="10"/>
  <c r="F83" i="8"/>
  <c r="F81" i="8"/>
  <c r="G88" i="8"/>
  <c r="M90" i="8"/>
  <c r="W28" i="10"/>
  <c r="M85" i="8"/>
  <c r="L81" i="8"/>
  <c r="N90" i="8"/>
  <c r="M81" i="8"/>
  <c r="G81" i="8"/>
  <c r="H88" i="8"/>
  <c r="X28" i="10"/>
  <c r="N85" i="8"/>
  <c r="K85" i="8"/>
  <c r="J81" i="8"/>
  <c r="D81" i="8"/>
  <c r="U28" i="10"/>
  <c r="E88" i="8"/>
  <c r="K90" i="8"/>
  <c r="L90" i="8"/>
  <c r="K81" i="8"/>
  <c r="V28" i="10"/>
  <c r="L85" i="8"/>
  <c r="E81" i="8"/>
  <c r="F88" i="8"/>
  <c r="J85" i="8"/>
  <c r="I81" i="8"/>
  <c r="J90" i="8"/>
  <c r="T28" i="10"/>
  <c r="C81" i="8"/>
  <c r="D88" i="8"/>
  <c r="F84" i="2"/>
  <c r="D84" i="2"/>
  <c r="E84" i="2"/>
  <c r="L15" i="5" l="1"/>
  <c r="L18" i="5" s="1"/>
  <c r="L42" i="5" s="1"/>
  <c r="D45" i="7"/>
  <c r="F45" i="7"/>
  <c r="H45" i="7"/>
  <c r="E45" i="7"/>
  <c r="G45" i="7"/>
  <c r="E47" i="7"/>
  <c r="D47" i="7"/>
  <c r="H47" i="7"/>
  <c r="G47" i="7"/>
  <c r="F47" i="7"/>
  <c r="D46" i="7"/>
  <c r="F46" i="7"/>
  <c r="H46" i="7"/>
  <c r="E46" i="7"/>
  <c r="G46" i="7"/>
  <c r="G120" i="5"/>
  <c r="M13" i="5"/>
  <c r="M14" i="5"/>
  <c r="M48" i="5"/>
  <c r="M10" i="5"/>
  <c r="M11" i="5" s="1"/>
  <c r="M47" i="5"/>
  <c r="M17" i="5"/>
  <c r="M46" i="5" s="1"/>
  <c r="M19" i="7"/>
  <c r="M20" i="7" s="1"/>
  <c r="L20" i="7"/>
  <c r="L21" i="7"/>
  <c r="L22" i="7"/>
  <c r="F31" i="7"/>
  <c r="F28" i="7"/>
  <c r="H18" i="5"/>
  <c r="E108" i="5"/>
  <c r="F108" i="5"/>
  <c r="G26" i="1"/>
  <c r="M88" i="8" s="1"/>
  <c r="G23" i="5"/>
  <c r="F42" i="5"/>
  <c r="F43" i="5"/>
  <c r="F21" i="5"/>
  <c r="F24" i="5" s="1"/>
  <c r="G42" i="5"/>
  <c r="G21" i="5"/>
  <c r="G43" i="5"/>
  <c r="D18" i="5"/>
  <c r="D108" i="5"/>
  <c r="K20" i="5"/>
  <c r="K21" i="5" s="1"/>
  <c r="K23" i="5" s="1"/>
  <c r="K24" i="5" s="1"/>
  <c r="K43" i="5"/>
  <c r="K42" i="5"/>
  <c r="J20" i="5"/>
  <c r="J21" i="5" s="1"/>
  <c r="J23" i="5" s="1"/>
  <c r="J24" i="5" s="1"/>
  <c r="J43" i="5"/>
  <c r="J42" i="5"/>
  <c r="I43" i="5"/>
  <c r="I42" i="5"/>
  <c r="I20" i="5"/>
  <c r="I21" i="5" s="1"/>
  <c r="I23" i="5" s="1"/>
  <c r="I24" i="5" s="1"/>
  <c r="D31" i="7"/>
  <c r="D28" i="7"/>
  <c r="H26" i="1"/>
  <c r="H77" i="2" s="1"/>
  <c r="H23" i="5"/>
  <c r="E31" i="7"/>
  <c r="E28" i="7"/>
  <c r="I19" i="7"/>
  <c r="J19" i="7"/>
  <c r="K19" i="7"/>
  <c r="E21" i="5"/>
  <c r="E24" i="5" s="1"/>
  <c r="E43" i="5"/>
  <c r="E42" i="5"/>
  <c r="E103" i="10"/>
  <c r="L103" i="10"/>
  <c r="R103" i="10" s="1"/>
  <c r="N103" i="10"/>
  <c r="T103" i="10" s="1"/>
  <c r="G103" i="10"/>
  <c r="C103" i="10"/>
  <c r="J103" i="10"/>
  <c r="P103" i="10" s="1"/>
  <c r="F103" i="10"/>
  <c r="M103" i="10"/>
  <c r="S103" i="10" s="1"/>
  <c r="K103" i="10"/>
  <c r="Q103" i="10" s="1"/>
  <c r="D103" i="10"/>
  <c r="E26" i="1"/>
  <c r="E20" i="7" s="1"/>
  <c r="F26" i="1"/>
  <c r="F20" i="7" s="1"/>
  <c r="D26" i="1"/>
  <c r="D20" i="7" s="1"/>
  <c r="E44" i="5" l="1"/>
  <c r="E49" i="5" s="1"/>
  <c r="K44" i="5"/>
  <c r="K49" i="5" s="1"/>
  <c r="E118" i="5" s="1"/>
  <c r="I44" i="5"/>
  <c r="I49" i="5" s="1"/>
  <c r="I76" i="5" s="1"/>
  <c r="I78" i="5" s="1"/>
  <c r="M22" i="7"/>
  <c r="L43" i="5"/>
  <c r="L44" i="5" s="1"/>
  <c r="L49" i="5" s="1"/>
  <c r="M21" i="7"/>
  <c r="T106" i="10"/>
  <c r="M106" i="10"/>
  <c r="L20" i="5"/>
  <c r="L21" i="5" s="1"/>
  <c r="L23" i="5" s="1"/>
  <c r="L24" i="5" s="1"/>
  <c r="N106" i="10"/>
  <c r="G69" i="1"/>
  <c r="G75" i="1" s="1"/>
  <c r="G21" i="7" s="1"/>
  <c r="G77" i="2"/>
  <c r="F77" i="2"/>
  <c r="S106" i="10"/>
  <c r="N88" i="8"/>
  <c r="M15" i="5"/>
  <c r="M18" i="5" s="1"/>
  <c r="W42" i="10"/>
  <c r="G84" i="8"/>
  <c r="J44" i="5"/>
  <c r="J49" i="5" s="1"/>
  <c r="D118" i="5" s="1"/>
  <c r="K20" i="7"/>
  <c r="K21" i="7"/>
  <c r="K22" i="7"/>
  <c r="F44" i="5"/>
  <c r="F49" i="5" s="1"/>
  <c r="J20" i="7"/>
  <c r="J21" i="7"/>
  <c r="J22" i="7"/>
  <c r="I20" i="7"/>
  <c r="I21" i="7"/>
  <c r="I22" i="7"/>
  <c r="K76" i="5"/>
  <c r="K78" i="5" s="1"/>
  <c r="E30" i="7"/>
  <c r="E29" i="7"/>
  <c r="G55" i="2"/>
  <c r="J53" i="8"/>
  <c r="G20" i="7"/>
  <c r="J51" i="8"/>
  <c r="G54" i="2"/>
  <c r="H55" i="2"/>
  <c r="H54" i="2"/>
  <c r="H20" i="7"/>
  <c r="I51" i="8"/>
  <c r="I53" i="8"/>
  <c r="D21" i="5"/>
  <c r="D24" i="5" s="1"/>
  <c r="D43" i="5"/>
  <c r="D42" i="5"/>
  <c r="H84" i="8"/>
  <c r="D30" i="7"/>
  <c r="D29" i="7"/>
  <c r="H42" i="5"/>
  <c r="H21" i="5"/>
  <c r="H24" i="5" s="1"/>
  <c r="H43" i="5"/>
  <c r="X42" i="10"/>
  <c r="G24" i="5"/>
  <c r="F30" i="7"/>
  <c r="F29" i="7"/>
  <c r="H69" i="1"/>
  <c r="H75" i="1" s="1"/>
  <c r="H21" i="7" s="1"/>
  <c r="G44" i="5"/>
  <c r="G49" i="5" s="1"/>
  <c r="K106" i="10"/>
  <c r="D77" i="2"/>
  <c r="Q106" i="10"/>
  <c r="K88" i="8"/>
  <c r="J106" i="10"/>
  <c r="P106" i="10"/>
  <c r="J88" i="8"/>
  <c r="D69" i="1"/>
  <c r="D75" i="1" s="1"/>
  <c r="D21" i="7" s="1"/>
  <c r="D84" i="8"/>
  <c r="T42" i="10"/>
  <c r="E69" i="1"/>
  <c r="E75" i="1" s="1"/>
  <c r="E21" i="7" s="1"/>
  <c r="E84" i="8"/>
  <c r="U42" i="10"/>
  <c r="F69" i="1"/>
  <c r="F75" i="1" s="1"/>
  <c r="E77" i="2"/>
  <c r="L106" i="10"/>
  <c r="R106" i="10"/>
  <c r="C51" i="8"/>
  <c r="L88" i="8"/>
  <c r="F84" i="8"/>
  <c r="C53" i="8"/>
  <c r="V42" i="10"/>
  <c r="C118" i="5" l="1"/>
  <c r="D76" i="5"/>
  <c r="W41" i="10"/>
  <c r="N105" i="10"/>
  <c r="K53" i="8"/>
  <c r="L53" i="8" s="1"/>
  <c r="X41" i="10"/>
  <c r="H89" i="1"/>
  <c r="F21" i="7"/>
  <c r="F89" i="1"/>
  <c r="G89" i="1"/>
  <c r="T105" i="10"/>
  <c r="S105" i="10"/>
  <c r="M105" i="10"/>
  <c r="M42" i="5"/>
  <c r="M20" i="5"/>
  <c r="M21" i="5" s="1"/>
  <c r="M43" i="5"/>
  <c r="J76" i="5"/>
  <c r="J78" i="5" s="1"/>
  <c r="D44" i="5"/>
  <c r="D49" i="5" s="1"/>
  <c r="K51" i="8"/>
  <c r="L51" i="8" s="1"/>
  <c r="H44" i="5"/>
  <c r="H49" i="5" s="1"/>
  <c r="L76" i="5"/>
  <c r="L78" i="5" s="1"/>
  <c r="F118" i="5"/>
  <c r="Q105" i="10"/>
  <c r="K105" i="10"/>
  <c r="P105" i="10"/>
  <c r="J105" i="10"/>
  <c r="E89" i="1"/>
  <c r="U41" i="10"/>
  <c r="D89" i="1"/>
  <c r="D91" i="1" s="1"/>
  <c r="T41" i="10"/>
  <c r="L105" i="10"/>
  <c r="R105" i="10"/>
  <c r="V41" i="10"/>
  <c r="M44" i="5" l="1"/>
  <c r="M49" i="5" s="1"/>
  <c r="M76" i="5" s="1"/>
  <c r="M78" i="5" s="1"/>
  <c r="D82" i="5" s="1"/>
  <c r="M23" i="5"/>
  <c r="M24" i="5" s="1"/>
  <c r="E91" i="1"/>
  <c r="D94" i="5" l="1"/>
  <c r="G118" i="5"/>
  <c r="D69" i="5"/>
  <c r="D70" i="5" s="1"/>
  <c r="D71" i="5" s="1"/>
  <c r="N77" i="5" s="1"/>
  <c r="N78" i="5" s="1"/>
  <c r="D83" i="5" s="1"/>
  <c r="D84" i="5" s="1"/>
  <c r="D88" i="5" s="1"/>
  <c r="D91" i="5" s="1"/>
  <c r="M23" i="7" s="1"/>
  <c r="D38" i="1"/>
  <c r="D44" i="1" s="1"/>
  <c r="D60" i="1" s="1"/>
  <c r="D63" i="1" s="1"/>
  <c r="D98" i="1"/>
  <c r="F91" i="1"/>
  <c r="F38" i="1" s="1"/>
  <c r="D111" i="5" l="1"/>
  <c r="D72" i="5"/>
  <c r="F32" i="7"/>
  <c r="D32" i="7"/>
  <c r="E32" i="7"/>
  <c r="D93" i="5"/>
  <c r="E111" i="5"/>
  <c r="F98" i="1"/>
  <c r="G91" i="1"/>
  <c r="G38" i="1" s="1"/>
  <c r="G44" i="1" s="1"/>
  <c r="H91" i="1"/>
  <c r="H38" i="1" s="1"/>
  <c r="E38" i="1"/>
  <c r="E44" i="1" s="1"/>
  <c r="E60" i="1" s="1"/>
  <c r="E63" i="1" s="1"/>
  <c r="E98" i="1"/>
  <c r="F44" i="1"/>
  <c r="H44" i="1" l="1"/>
  <c r="J61" i="8"/>
  <c r="G60" i="1"/>
  <c r="G63" i="1" s="1"/>
  <c r="G56" i="2"/>
  <c r="G98" i="1"/>
  <c r="H98" i="1"/>
  <c r="F60" i="1"/>
  <c r="H60" i="1" l="1"/>
  <c r="H12" i="3" s="1"/>
  <c r="J64" i="8"/>
  <c r="H56" i="2"/>
  <c r="F63" i="1"/>
  <c r="J71" i="8" s="1"/>
  <c r="J69" i="8"/>
  <c r="B52" i="6"/>
  <c r="B51" i="6"/>
  <c r="B50" i="6"/>
  <c r="B49" i="6"/>
  <c r="B48" i="6"/>
  <c r="B47" i="6"/>
  <c r="D37" i="6"/>
  <c r="E37" i="6"/>
  <c r="F37" i="6"/>
  <c r="G37" i="6"/>
  <c r="D22" i="6"/>
  <c r="D23" i="6"/>
  <c r="D24" i="6"/>
  <c r="D25" i="6"/>
  <c r="D34" i="6" s="1"/>
  <c r="D26" i="6"/>
  <c r="D15" i="6"/>
  <c r="E15" i="6"/>
  <c r="F15" i="6"/>
  <c r="G15" i="6"/>
  <c r="J15" i="6"/>
  <c r="K15" i="6"/>
  <c r="D16" i="6"/>
  <c r="E16" i="6"/>
  <c r="F16" i="6"/>
  <c r="G16" i="6"/>
  <c r="J16" i="6"/>
  <c r="K16" i="6"/>
  <c r="D17" i="6"/>
  <c r="E17" i="6"/>
  <c r="F17" i="6"/>
  <c r="G17" i="6"/>
  <c r="J17" i="6"/>
  <c r="K17" i="6"/>
  <c r="D18" i="6"/>
  <c r="E18" i="6"/>
  <c r="F18" i="6"/>
  <c r="G18" i="6"/>
  <c r="J18" i="6"/>
  <c r="K18" i="6"/>
  <c r="H9" i="6"/>
  <c r="I9" i="6"/>
  <c r="L9" i="6"/>
  <c r="H10" i="6"/>
  <c r="C48" i="6" s="1"/>
  <c r="I10" i="6"/>
  <c r="D48" i="6" s="1"/>
  <c r="L10" i="6"/>
  <c r="H11" i="6"/>
  <c r="C49" i="6" s="1"/>
  <c r="I11" i="6"/>
  <c r="D49" i="6" s="1"/>
  <c r="L11" i="6"/>
  <c r="H12" i="6"/>
  <c r="C50" i="6" s="1"/>
  <c r="I12" i="6"/>
  <c r="D50" i="6" s="1"/>
  <c r="L12" i="6"/>
  <c r="H13" i="6"/>
  <c r="C51" i="6" s="1"/>
  <c r="I13" i="6"/>
  <c r="D51" i="6" s="1"/>
  <c r="L13" i="6"/>
  <c r="F35" i="4"/>
  <c r="E9" i="4"/>
  <c r="F9" i="4"/>
  <c r="E10" i="4"/>
  <c r="F10" i="4"/>
  <c r="E11" i="4"/>
  <c r="F11" i="4"/>
  <c r="E12" i="4"/>
  <c r="F12" i="4"/>
  <c r="E13" i="4"/>
  <c r="F13" i="4"/>
  <c r="E14" i="4"/>
  <c r="F14" i="4"/>
  <c r="E15" i="4"/>
  <c r="F15" i="4"/>
  <c r="E17" i="4"/>
  <c r="F17" i="4"/>
  <c r="E18" i="4"/>
  <c r="F18" i="4"/>
  <c r="E19" i="4"/>
  <c r="F19" i="4"/>
  <c r="E20" i="4"/>
  <c r="F20" i="4"/>
  <c r="D8" i="3"/>
  <c r="E8" i="3"/>
  <c r="F8" i="3"/>
  <c r="G8" i="3"/>
  <c r="H8" i="3"/>
  <c r="D9" i="3"/>
  <c r="E9" i="3"/>
  <c r="F9" i="3"/>
  <c r="G9" i="3"/>
  <c r="H9" i="3"/>
  <c r="D10" i="3"/>
  <c r="E10" i="3"/>
  <c r="F10" i="3"/>
  <c r="G10" i="3"/>
  <c r="D11" i="3"/>
  <c r="E11" i="3"/>
  <c r="F11" i="3"/>
  <c r="G11" i="3"/>
  <c r="H11" i="3"/>
  <c r="D12" i="3"/>
  <c r="E12" i="3"/>
  <c r="F12" i="3"/>
  <c r="G12" i="3"/>
  <c r="D14" i="3"/>
  <c r="E14" i="3"/>
  <c r="F14" i="3"/>
  <c r="G14" i="3"/>
  <c r="H14" i="3"/>
  <c r="D60" i="2"/>
  <c r="E60" i="2"/>
  <c r="F60" i="2"/>
  <c r="G60" i="2"/>
  <c r="H60" i="2"/>
  <c r="D61" i="2"/>
  <c r="D62" i="2" s="1"/>
  <c r="E61" i="2"/>
  <c r="E62" i="2" s="1"/>
  <c r="F61" i="2"/>
  <c r="F62" i="2" s="1"/>
  <c r="G61" i="2"/>
  <c r="G62" i="2" s="1"/>
  <c r="H61" i="2"/>
  <c r="H62" i="2" s="1"/>
  <c r="D63" i="2"/>
  <c r="E63" i="2"/>
  <c r="F63" i="2"/>
  <c r="G63" i="2"/>
  <c r="D64" i="2"/>
  <c r="E64" i="2"/>
  <c r="F64" i="2"/>
  <c r="G64" i="2"/>
  <c r="H64" i="2"/>
  <c r="D65" i="2"/>
  <c r="E65" i="2"/>
  <c r="F65" i="2"/>
  <c r="G65" i="2"/>
  <c r="H65" i="2"/>
  <c r="D66" i="2"/>
  <c r="E66" i="2"/>
  <c r="F66" i="2"/>
  <c r="G66" i="2"/>
  <c r="H66" i="2"/>
  <c r="E51" i="2"/>
  <c r="F51" i="2"/>
  <c r="E52" i="2"/>
  <c r="F52" i="2"/>
  <c r="E53" i="2"/>
  <c r="F53" i="2"/>
  <c r="E54" i="2"/>
  <c r="F54" i="2"/>
  <c r="E55" i="2"/>
  <c r="F55" i="2"/>
  <c r="E56" i="2"/>
  <c r="F56" i="2"/>
  <c r="D40" i="2"/>
  <c r="E40" i="2"/>
  <c r="F40" i="2"/>
  <c r="G40" i="2"/>
  <c r="H40" i="2"/>
  <c r="D41" i="2"/>
  <c r="E41" i="2"/>
  <c r="F41" i="2"/>
  <c r="G41" i="2"/>
  <c r="H41" i="2"/>
  <c r="D42" i="2"/>
  <c r="E42" i="2"/>
  <c r="F42" i="2"/>
  <c r="G42" i="2"/>
  <c r="H42" i="2"/>
  <c r="D43" i="2"/>
  <c r="E43" i="2"/>
  <c r="F43" i="2"/>
  <c r="G43" i="2"/>
  <c r="H43" i="2"/>
  <c r="D44" i="2"/>
  <c r="E44" i="2"/>
  <c r="F44" i="2"/>
  <c r="G44" i="2"/>
  <c r="H44" i="2"/>
  <c r="D45" i="2"/>
  <c r="E45" i="2"/>
  <c r="F45" i="2"/>
  <c r="G45" i="2"/>
  <c r="H45" i="2"/>
  <c r="D47" i="2"/>
  <c r="E47" i="2"/>
  <c r="F47" i="2"/>
  <c r="G47" i="2"/>
  <c r="H47" i="2"/>
  <c r="D29" i="2"/>
  <c r="E29" i="2"/>
  <c r="F29" i="2"/>
  <c r="G29" i="2"/>
  <c r="H29" i="2"/>
  <c r="D30" i="2"/>
  <c r="E30" i="2"/>
  <c r="F30" i="2"/>
  <c r="G30" i="2"/>
  <c r="H30" i="2"/>
  <c r="D31" i="2"/>
  <c r="E31" i="2"/>
  <c r="F31" i="2"/>
  <c r="G31" i="2"/>
  <c r="H31" i="2"/>
  <c r="D32" i="2"/>
  <c r="E32" i="2"/>
  <c r="F32" i="2"/>
  <c r="G32" i="2"/>
  <c r="D33" i="2"/>
  <c r="E33" i="2"/>
  <c r="F33" i="2"/>
  <c r="G33" i="2"/>
  <c r="H33" i="2"/>
  <c r="D34" i="2"/>
  <c r="E34" i="2"/>
  <c r="F34" i="2"/>
  <c r="G34" i="2"/>
  <c r="H34" i="2"/>
  <c r="D35" i="2"/>
  <c r="E35" i="2"/>
  <c r="F35" i="2"/>
  <c r="G35" i="2"/>
  <c r="H35" i="2"/>
  <c r="D36" i="2"/>
  <c r="E36" i="2"/>
  <c r="F36" i="2"/>
  <c r="G36" i="2"/>
  <c r="D19" i="2"/>
  <c r="E19" i="2"/>
  <c r="F19" i="2"/>
  <c r="G19" i="2"/>
  <c r="G80" i="2" s="1"/>
  <c r="H19" i="2"/>
  <c r="H80" i="2" s="1"/>
  <c r="D20" i="2"/>
  <c r="E20" i="2"/>
  <c r="F20" i="2"/>
  <c r="G20" i="2"/>
  <c r="G81" i="2" s="1"/>
  <c r="H20" i="2"/>
  <c r="H81" i="2" s="1"/>
  <c r="D21" i="2"/>
  <c r="E21" i="2"/>
  <c r="F21" i="2"/>
  <c r="G21" i="2"/>
  <c r="H21" i="2"/>
  <c r="D22" i="2"/>
  <c r="E22" i="2"/>
  <c r="F22" i="2"/>
  <c r="G22" i="2"/>
  <c r="G82" i="2" s="1"/>
  <c r="H22" i="2"/>
  <c r="H82" i="2" s="1"/>
  <c r="D23" i="2"/>
  <c r="E23" i="2"/>
  <c r="F23" i="2"/>
  <c r="G23" i="2"/>
  <c r="D24" i="2"/>
  <c r="E24" i="2"/>
  <c r="F24" i="2"/>
  <c r="G24" i="2"/>
  <c r="H24" i="2"/>
  <c r="D25" i="2"/>
  <c r="E25" i="2"/>
  <c r="F25" i="2"/>
  <c r="G25" i="2"/>
  <c r="D9" i="2"/>
  <c r="E9" i="2"/>
  <c r="F9" i="2"/>
  <c r="G9" i="2"/>
  <c r="H9" i="2"/>
  <c r="D10" i="2"/>
  <c r="E10" i="2"/>
  <c r="F10" i="2"/>
  <c r="G10" i="2"/>
  <c r="H10" i="2"/>
  <c r="D11" i="2"/>
  <c r="E11" i="2"/>
  <c r="F11" i="2"/>
  <c r="G11" i="2"/>
  <c r="H11" i="2"/>
  <c r="D12" i="2"/>
  <c r="E12" i="2"/>
  <c r="F12" i="2"/>
  <c r="G12" i="2"/>
  <c r="H12" i="2"/>
  <c r="D13" i="2"/>
  <c r="E13" i="2"/>
  <c r="F13" i="2"/>
  <c r="G13" i="2"/>
  <c r="D14" i="2"/>
  <c r="E14" i="2"/>
  <c r="F14" i="2"/>
  <c r="G14" i="2"/>
  <c r="H14" i="2"/>
  <c r="D15" i="2"/>
  <c r="E15" i="2"/>
  <c r="F15" i="2"/>
  <c r="G15" i="2"/>
  <c r="H15" i="2"/>
  <c r="H10" i="3" l="1"/>
  <c r="H18" i="3" s="1"/>
  <c r="H25" i="3" s="1"/>
  <c r="H32" i="2"/>
  <c r="H25" i="2"/>
  <c r="L15" i="6"/>
  <c r="E31" i="6" s="1"/>
  <c r="H17" i="6"/>
  <c r="G29" i="6" s="1"/>
  <c r="L17" i="6"/>
  <c r="G31" i="6" s="1"/>
  <c r="H36" i="2"/>
  <c r="I16" i="6"/>
  <c r="F30" i="6" s="1"/>
  <c r="L18" i="6"/>
  <c r="D31" i="6" s="1"/>
  <c r="H16" i="6"/>
  <c r="H23" i="2"/>
  <c r="H63" i="2"/>
  <c r="I17" i="6"/>
  <c r="G30" i="6" s="1"/>
  <c r="C47" i="6"/>
  <c r="I15" i="6"/>
  <c r="D52" i="6" s="1"/>
  <c r="I18" i="6"/>
  <c r="D30" i="6" s="1"/>
  <c r="H15" i="6"/>
  <c r="C52" i="6" s="1"/>
  <c r="H18" i="6"/>
  <c r="L16" i="6"/>
  <c r="F31" i="6" s="1"/>
  <c r="D47" i="6"/>
  <c r="H13" i="2"/>
  <c r="D29" i="6"/>
  <c r="H63" i="1"/>
  <c r="J70" i="8" s="1"/>
  <c r="J68" i="8"/>
  <c r="D80" i="2"/>
  <c r="F80" i="2"/>
  <c r="E80" i="2"/>
  <c r="F81" i="2"/>
  <c r="E81" i="2"/>
  <c r="F82" i="2"/>
  <c r="D82" i="2"/>
  <c r="D81" i="2"/>
  <c r="E82" i="2"/>
  <c r="G19" i="3"/>
  <c r="G26" i="3" s="1"/>
  <c r="F21" i="3"/>
  <c r="F28" i="3" s="1"/>
  <c r="G108" i="5"/>
  <c r="E19" i="3"/>
  <c r="E26" i="3" s="1"/>
  <c r="E46" i="2"/>
  <c r="D46" i="2"/>
  <c r="G34" i="6"/>
  <c r="H46" i="2"/>
  <c r="H19" i="3"/>
  <c r="H26" i="3" s="1"/>
  <c r="G46" i="2"/>
  <c r="H21" i="3"/>
  <c r="H28" i="3" s="1"/>
  <c r="F34" i="6"/>
  <c r="E34" i="6"/>
  <c r="E21" i="3"/>
  <c r="E28" i="3" s="1"/>
  <c r="F19" i="3"/>
  <c r="F26" i="3" s="1"/>
  <c r="D21" i="3"/>
  <c r="D28" i="3" s="1"/>
  <c r="D19" i="3"/>
  <c r="D26" i="3" s="1"/>
  <c r="D17" i="3"/>
  <c r="D24" i="3" s="1"/>
  <c r="G18" i="3"/>
  <c r="G25" i="3" s="1"/>
  <c r="G17" i="3"/>
  <c r="G24" i="3" s="1"/>
  <c r="H20" i="3"/>
  <c r="H27" i="3" s="1"/>
  <c r="E17" i="3"/>
  <c r="E24" i="3" s="1"/>
  <c r="F46" i="2"/>
  <c r="D20" i="3"/>
  <c r="D27" i="3" s="1"/>
  <c r="E18" i="3"/>
  <c r="E25" i="3" s="1"/>
  <c r="E20" i="3"/>
  <c r="E27" i="3" s="1"/>
  <c r="F18" i="3"/>
  <c r="F25" i="3" s="1"/>
  <c r="G21" i="3"/>
  <c r="G28" i="3" s="1"/>
  <c r="F30" i="4"/>
  <c r="F42" i="4" s="1"/>
  <c r="F25" i="4"/>
  <c r="F37" i="4" s="1"/>
  <c r="F31" i="4"/>
  <c r="F43" i="4" s="1"/>
  <c r="F29" i="4"/>
  <c r="F41" i="4" s="1"/>
  <c r="G20" i="3"/>
  <c r="G27" i="3" s="1"/>
  <c r="C58" i="7"/>
  <c r="F20" i="3"/>
  <c r="F27" i="3" s="1"/>
  <c r="F29" i="6"/>
  <c r="D18" i="3"/>
  <c r="D25" i="3" s="1"/>
  <c r="H17" i="3"/>
  <c r="H24" i="3" s="1"/>
  <c r="F26" i="4"/>
  <c r="F38" i="4" s="1"/>
  <c r="F28" i="4"/>
  <c r="F40" i="4" s="1"/>
  <c r="F17" i="3"/>
  <c r="F24" i="3" s="1"/>
  <c r="F27" i="4"/>
  <c r="F39" i="4" s="1"/>
  <c r="G107" i="5"/>
  <c r="F36" i="4"/>
  <c r="G109" i="5"/>
  <c r="C60" i="7"/>
  <c r="C59" i="7"/>
  <c r="D33" i="6" l="1"/>
  <c r="D35" i="6" s="1"/>
  <c r="D36" i="6" s="1"/>
  <c r="D38" i="6" s="1"/>
  <c r="E29" i="6"/>
  <c r="E30" i="6"/>
  <c r="C121" i="5"/>
  <c r="F45" i="4"/>
  <c r="E30" i="3"/>
  <c r="E33" i="3" s="1"/>
  <c r="H30" i="3"/>
  <c r="H33" i="3" s="1"/>
  <c r="G30" i="3"/>
  <c r="G33" i="3" s="1"/>
  <c r="D30" i="3"/>
  <c r="D33" i="3" s="1"/>
  <c r="G33" i="6"/>
  <c r="G35" i="6" s="1"/>
  <c r="G36" i="6" s="1"/>
  <c r="G38" i="6" s="1"/>
  <c r="F30" i="3"/>
  <c r="F33" i="6"/>
  <c r="F35" i="6" s="1"/>
  <c r="F36" i="6" s="1"/>
  <c r="F38" i="6" s="1"/>
  <c r="C63" i="7"/>
  <c r="E33" i="6" l="1"/>
  <c r="E35" i="6" s="1"/>
  <c r="E36" i="6" s="1"/>
  <c r="E38" i="6" s="1"/>
  <c r="E121" i="5"/>
  <c r="D121" i="5"/>
  <c r="C65" i="7"/>
  <c r="C64" i="7"/>
  <c r="C102" i="5"/>
  <c r="C101" i="5"/>
  <c r="C100" i="5"/>
  <c r="C99" i="5"/>
  <c r="C98" i="5"/>
  <c r="F48" i="4"/>
  <c r="F33" i="3"/>
  <c r="G110" i="5"/>
  <c r="F111" i="5" s="1"/>
  <c r="H98" i="5" l="1"/>
  <c r="G98" i="5"/>
  <c r="F98" i="5"/>
  <c r="E98" i="5"/>
  <c r="D98" i="5"/>
  <c r="H101" i="5"/>
  <c r="F101" i="5"/>
  <c r="G101" i="5"/>
  <c r="E101" i="5"/>
  <c r="D101" i="5"/>
  <c r="F99" i="5"/>
  <c r="H99" i="5"/>
  <c r="E99" i="5"/>
  <c r="D99" i="5"/>
  <c r="G99" i="5"/>
  <c r="G100" i="5"/>
  <c r="F100" i="5"/>
  <c r="E100" i="5"/>
  <c r="D100" i="5"/>
  <c r="H100" i="5"/>
  <c r="E102" i="5"/>
  <c r="D102" i="5"/>
  <c r="H102" i="5"/>
  <c r="G102" i="5"/>
  <c r="F102" i="5"/>
  <c r="G121" i="5"/>
  <c r="F121" i="5"/>
  <c r="G111" i="5" l="1"/>
  <c r="D68" i="8" l="1"/>
  <c r="D71" i="8" s="1"/>
  <c r="D70" i="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<sst xmlns="http://schemas.openxmlformats.org/spreadsheetml/2006/main" count="870" uniqueCount="464">
  <si>
    <t>INPUT</t>
  </si>
  <si>
    <t>All figures in USD thousands unless stated</t>
  </si>
  <si>
    <t>METRIC</t>
  </si>
  <si>
    <t>UNIT</t>
  </si>
  <si>
    <t>INCOME STATEMENT</t>
  </si>
  <si>
    <t>Revenue</t>
  </si>
  <si>
    <t>Cost of Goods Sold (COGS)</t>
  </si>
  <si>
    <t>Gross Profit</t>
  </si>
  <si>
    <t>Operating Expenses (SG&amp;A)</t>
  </si>
  <si>
    <t>Research &amp; Development</t>
  </si>
  <si>
    <t>Depreciation &amp; Amortization</t>
  </si>
  <si>
    <t>EBIT (Operating Profit)</t>
  </si>
  <si>
    <t>Interest Expense</t>
  </si>
  <si>
    <t>Interest Income</t>
  </si>
  <si>
    <t>Earnings Before Tax (EBT)</t>
  </si>
  <si>
    <t>Income Tax Expense</t>
  </si>
  <si>
    <t>Net Income</t>
  </si>
  <si>
    <t>Common Dividends</t>
  </si>
  <si>
    <t>EBITDA</t>
  </si>
  <si>
    <t>BALANCE SHEET</t>
  </si>
  <si>
    <t>Cash &amp; Cash Equivalents</t>
  </si>
  <si>
    <t>Accounts Receivable</t>
  </si>
  <si>
    <t>Inventories</t>
  </si>
  <si>
    <t>Other Current Assets</t>
  </si>
  <si>
    <t>Total Current Assets</t>
  </si>
  <si>
    <t>PP&amp;E (Net)</t>
  </si>
  <si>
    <t>Intangible Assets</t>
  </si>
  <si>
    <t>Other Long-Term Assets</t>
  </si>
  <si>
    <t>Total Assets</t>
  </si>
  <si>
    <t>Accounts Payable</t>
  </si>
  <si>
    <t>Short-Term Debt</t>
  </si>
  <si>
    <t>Income Tax Payable</t>
  </si>
  <si>
    <t>Other Current Liabilities</t>
  </si>
  <si>
    <t>Total Current Liabilities</t>
  </si>
  <si>
    <t>Long-Term Debt</t>
  </si>
  <si>
    <t>Total Liabilities</t>
  </si>
  <si>
    <t>Common Equity (Paid-In Capital)</t>
  </si>
  <si>
    <t>Retained Earnings</t>
  </si>
  <si>
    <t>Total Shareholders Equity</t>
  </si>
  <si>
    <t>Total Liabilities &amp; Equity</t>
  </si>
  <si>
    <t>CASH FLOW STATEMENT</t>
  </si>
  <si>
    <t>Change in Accounts Receivable</t>
  </si>
  <si>
    <t>Change in Inventories</t>
  </si>
  <si>
    <t>Change in Accounts Payable</t>
  </si>
  <si>
    <t>Other Working Capital Changes</t>
  </si>
  <si>
    <t>Cash from Operating Activities</t>
  </si>
  <si>
    <t>Capital Expenditures (CapEx)</t>
  </si>
  <si>
    <t>Other Investing Activities</t>
  </si>
  <si>
    <t>Cash from Investing Activities</t>
  </si>
  <si>
    <t>Change in Long-Term Debt</t>
  </si>
  <si>
    <t>Change in Common Equity</t>
  </si>
  <si>
    <t>Dividends Paid</t>
  </si>
  <si>
    <t>Cash from Financing Activities</t>
  </si>
  <si>
    <t>Net Change in Cash</t>
  </si>
  <si>
    <t>Beginning Cash Balance</t>
  </si>
  <si>
    <t>Ending Cash Balance</t>
  </si>
  <si>
    <t>MARKET &amp; VALUATION DATA</t>
  </si>
  <si>
    <t>Share Price</t>
  </si>
  <si>
    <t>($)</t>
  </si>
  <si>
    <t>Shares Outstanding (Diluted)</t>
  </si>
  <si>
    <t>Market Capitalization</t>
  </si>
  <si>
    <t>Enterprise Value (EV)</t>
  </si>
  <si>
    <t>Beta (Levered)</t>
  </si>
  <si>
    <t>(x)</t>
  </si>
  <si>
    <t>Risk-Free Rate</t>
  </si>
  <si>
    <t>(%)</t>
  </si>
  <si>
    <t>Equity Risk Premium (ERP)</t>
  </si>
  <si>
    <t>Cost of Equity (CAPM)</t>
  </si>
  <si>
    <t>Cost of Debt (Pre-Tax)</t>
  </si>
  <si>
    <t>Tax Rate</t>
  </si>
  <si>
    <t>After-Tax Cost of Debt</t>
  </si>
  <si>
    <t>Weight of Equity (%)</t>
  </si>
  <si>
    <t>Weight of Debt (%)</t>
  </si>
  <si>
    <t>WACC</t>
  </si>
  <si>
    <t>Terminal Growth Rate</t>
  </si>
  <si>
    <t>Days in Period</t>
  </si>
  <si>
    <t>(days)</t>
  </si>
  <si>
    <t>COMPANY INFORMATION</t>
  </si>
  <si>
    <t>Company Name</t>
  </si>
  <si>
    <t>(text)</t>
  </si>
  <si>
    <t>Ticker Symbol</t>
  </si>
  <si>
    <t>Sector / Industry</t>
  </si>
  <si>
    <t>Sector</t>
  </si>
  <si>
    <t>Currency</t>
  </si>
  <si>
    <t>Units</t>
  </si>
  <si>
    <t>Analysis Date</t>
  </si>
  <si>
    <t>This Excel model is for educational purposes only.</t>
  </si>
  <si>
    <t>RATIOS</t>
  </si>
  <si>
    <t>Price / Earnings (P/E)</t>
  </si>
  <si>
    <t>EV / EBITDA</t>
  </si>
  <si>
    <t>EV / Revenue</t>
  </si>
  <si>
    <t>EV / EBIT</t>
  </si>
  <si>
    <t>Price / Book (P/B)</t>
  </si>
  <si>
    <t>Price / Sales (P/S)</t>
  </si>
  <si>
    <t>Earnings Per Share (EPS)</t>
  </si>
  <si>
    <t>Gross Profit Margin</t>
  </si>
  <si>
    <t>EBITDA Margin</t>
  </si>
  <si>
    <t>EBIT (Operating) Margin</t>
  </si>
  <si>
    <t>Net Profit Margin</t>
  </si>
  <si>
    <t>Return on Equity (ROE)</t>
  </si>
  <si>
    <t>Return on Assets (ROA)</t>
  </si>
  <si>
    <t>Return on Invested Capital (ROIC)</t>
  </si>
  <si>
    <t>Current Ratio</t>
  </si>
  <si>
    <t>Quick Ratio</t>
  </si>
  <si>
    <t>Cash Ratio</t>
  </si>
  <si>
    <t>Debt / Equity Ratio</t>
  </si>
  <si>
    <t>Net Debt / EBITDA</t>
  </si>
  <si>
    <t>Interest Coverage (EBIT/Interest)</t>
  </si>
  <si>
    <t>Debt / Total Assets</t>
  </si>
  <si>
    <t>Equity Ratio</t>
  </si>
  <si>
    <t>Asset Turnover</t>
  </si>
  <si>
    <t>Inventory Turnover</t>
  </si>
  <si>
    <t>Days Inventory Outstanding (DIO)</t>
  </si>
  <si>
    <t>Receivables Turnover</t>
  </si>
  <si>
    <t>Days Sales Outstanding (DSO)</t>
  </si>
  <si>
    <t>Days Payable Outstanding (DPO)</t>
  </si>
  <si>
    <t>Cash Conversion Cycle (CCC)</t>
  </si>
  <si>
    <t>Fixed Asset Turnover</t>
  </si>
  <si>
    <t>Revenue Growth (YoY)</t>
  </si>
  <si>
    <t>Gross Profit Growth (YoY)</t>
  </si>
  <si>
    <t>EBITDA Growth (YoY)</t>
  </si>
  <si>
    <t>Net Income Growth (YoY)</t>
  </si>
  <si>
    <t>EPS Growth (YoY)</t>
  </si>
  <si>
    <t>Total Assets Growth (YoY)</t>
  </si>
  <si>
    <t>Operating Cash Flow Margin</t>
  </si>
  <si>
    <t>Free Cash Flow (FCF)</t>
  </si>
  <si>
    <t>FCF Margin</t>
  </si>
  <si>
    <t>Cash Return on Equity</t>
  </si>
  <si>
    <t>CapEx / Revenue</t>
  </si>
  <si>
    <t>Dividend Payout Ratio</t>
  </si>
  <si>
    <t>CFO / Net Income (Accruals Ratio)</t>
  </si>
  <si>
    <t>ALTMAN Z-SCORE</t>
  </si>
  <si>
    <t>COMPONENT</t>
  </si>
  <si>
    <t>Working Capital</t>
  </si>
  <si>
    <t>EBIT</t>
  </si>
  <si>
    <t>Market Cap (Book Value of Equity)</t>
  </si>
  <si>
    <t>5 ALTMAN Z-SCORE COMPONENTS</t>
  </si>
  <si>
    <t>X1 = Working Capital / Total Assets</t>
  </si>
  <si>
    <t>X2 = Retained Earnings / Total Assets</t>
  </si>
  <si>
    <t>X3 = EBIT / Total Assets</t>
  </si>
  <si>
    <t>X4 = Equity / Total Liabilities</t>
  </si>
  <si>
    <t>X5 = Revenue / Total Assets</t>
  </si>
  <si>
    <t>ALTMAN Z-SCORE CALCULATION</t>
  </si>
  <si>
    <t>1.2 × X1</t>
  </si>
  <si>
    <t>1.4 × X2</t>
  </si>
  <si>
    <t>3.3 × X3</t>
  </si>
  <si>
    <t>0.6 × X4</t>
  </si>
  <si>
    <t>1.0 × X5</t>
  </si>
  <si>
    <t>Z-SCORE (FINAL)</t>
  </si>
  <si>
    <t>ZONE INTERPRETATION</t>
  </si>
  <si>
    <t>ZONE</t>
  </si>
  <si>
    <t>SAFE ZONE</t>
  </si>
  <si>
    <t>Low probability of bankruptcy</t>
  </si>
  <si>
    <t>GREY ZONE</t>
  </si>
  <si>
    <t>Some risk — monitor closely</t>
  </si>
  <si>
    <t>DISTRESS ZONE</t>
  </si>
  <si>
    <t>High probability of bankruptcy</t>
  </si>
  <si>
    <t>NOTE: Altman Z-Score was developed by Edward Altman (1968) for publicly traded manufacturing companies.</t>
  </si>
  <si>
    <t>Modified versions exist for private companies (Z') and non-manufacturing firms (Z'').</t>
  </si>
  <si>
    <t>BENEISH M-SCORE</t>
  </si>
  <si>
    <t>INDEX / COMPONENT</t>
  </si>
  <si>
    <t>Year t (Current)</t>
  </si>
  <si>
    <t>WEIGHTED VALUE</t>
  </si>
  <si>
    <t>BASE FINANCIAL DATA (from INPUT)</t>
  </si>
  <si>
    <t>Net Sales (Revenue)</t>
  </si>
  <si>
    <t>Cost of Goods Sold</t>
  </si>
  <si>
    <t>Cash from Operations (CFO)</t>
  </si>
  <si>
    <t>SG&amp;A Expense</t>
  </si>
  <si>
    <t>8 BENEISH INDICES</t>
  </si>
  <si>
    <t>DSRI — Days Sales Receivable Index</t>
  </si>
  <si>
    <t>GMI — Gross Margin Index</t>
  </si>
  <si>
    <t>AQI — Asset Quality Index</t>
  </si>
  <si>
    <t>SGI — Sales Growth Index</t>
  </si>
  <si>
    <t>DEPI — Depreciation Index</t>
  </si>
  <si>
    <t>SGAI — SG&amp;A Expense Index</t>
  </si>
  <si>
    <t>TATA — Total Accruals to Total Assets</t>
  </si>
  <si>
    <t>LVGI — Leverage Index</t>
  </si>
  <si>
    <t>M-SCORE WEIGHTED CALCULATION</t>
  </si>
  <si>
    <t>Constant</t>
  </si>
  <si>
    <t>0.920 × DSRI</t>
  </si>
  <si>
    <t>0.528 × GMI</t>
  </si>
  <si>
    <t>0.404 × AQI</t>
  </si>
  <si>
    <t>0.892 × SGI</t>
  </si>
  <si>
    <t>0.115 × DEPI</t>
  </si>
  <si>
    <t>-0.172 × SGAI</t>
  </si>
  <si>
    <t>4.679 × TATA</t>
  </si>
  <si>
    <t>-0.327 × LVGI</t>
  </si>
  <si>
    <t>M-SCORE (FINAL)</t>
  </si>
  <si>
    <t>INTERPRETATION</t>
  </si>
  <si>
    <t>RESULT</t>
  </si>
  <si>
    <t>NOT LIKELY MANIPULATOR</t>
  </si>
  <si>
    <t>POSSIBLE MANIPULATOR</t>
  </si>
  <si>
    <t>NOTE: Beneish M-Score (1999) uses current year (t) vs. prior year (t-1) data. Requires 2+ years of data.</t>
  </si>
  <si>
    <t>DCF</t>
  </si>
  <si>
    <t>(Units)</t>
  </si>
  <si>
    <t>Terminal</t>
  </si>
  <si>
    <t>SG&amp;A Expenses</t>
  </si>
  <si>
    <t>Income Taxes</t>
  </si>
  <si>
    <t>ASSUMPTIONS &amp; DRIVERS</t>
  </si>
  <si>
    <t>INCOME STATEMENT DRIVERS</t>
  </si>
  <si>
    <t>Revenue Growth Rate (YoY)</t>
  </si>
  <si>
    <t>Gross Margin</t>
  </si>
  <si>
    <t>SG&amp;A (% of Revenue)</t>
  </si>
  <si>
    <t>R&amp;D (% of Revenue)</t>
  </si>
  <si>
    <t>D&amp;A (% of Revenue)</t>
  </si>
  <si>
    <t>Effective Tax Rate</t>
  </si>
  <si>
    <t>FREE CASH FLOW CALCULATION</t>
  </si>
  <si>
    <t>(-) Taxes on EBIT (Unlevered)</t>
  </si>
  <si>
    <t>NOPAT (Net Operating Profit After Tax)</t>
  </si>
  <si>
    <t>(+) Depreciation &amp; Amortization</t>
  </si>
  <si>
    <t>(-) Capital Expenditures (CapEx)</t>
  </si>
  <si>
    <t>(-) Change in Working Capital</t>
  </si>
  <si>
    <t>Unlevered Free Cash Flow (UFCF)</t>
  </si>
  <si>
    <t>BALANCE SHEET / CASH FLOW DRIVERS</t>
  </si>
  <si>
    <t>CapEx (% of Revenue)</t>
  </si>
  <si>
    <t>Change in NWC (% of Revenue Change)</t>
  </si>
  <si>
    <t>WACC CALCULATION (Capital Asset Pricing Model)</t>
  </si>
  <si>
    <t>Risk-Free Rate (Rf)</t>
  </si>
  <si>
    <t>Target Equity Weight (We)</t>
  </si>
  <si>
    <t>Target Debt Weight (Wd)</t>
  </si>
  <si>
    <t>Pre-Tax Cost of Debt (Kd)</t>
  </si>
  <si>
    <t>TERMINAL VALUE &amp; ENTERPRISE VALUE</t>
  </si>
  <si>
    <t>Terminal Growth Rate (g)</t>
  </si>
  <si>
    <t>Year 5 UFCF</t>
  </si>
  <si>
    <t>Terminal Year UFCF (t+1)</t>
  </si>
  <si>
    <t>Terminal Value (Gordon Growth)</t>
  </si>
  <si>
    <t>Terminal EBITDA Multiple (Alt.)</t>
  </si>
  <si>
    <t>Discounting Period (Years)</t>
  </si>
  <si>
    <t>Discount Factor</t>
  </si>
  <si>
    <t>UFCF to Discount</t>
  </si>
  <si>
    <t>Terminal Value to Discount</t>
  </si>
  <si>
    <t>PV of UFCF + Terminal Value</t>
  </si>
  <si>
    <t>ENTERPRISE VALUE &amp; EQUITY VALUE</t>
  </si>
  <si>
    <t>Sum of PV of UFCFs (Years 1-5)</t>
  </si>
  <si>
    <t>PV of Terminal Value</t>
  </si>
  <si>
    <t>(-) Total Debt</t>
  </si>
  <si>
    <t>(+) Cash &amp; Cash Equivalents</t>
  </si>
  <si>
    <t>Equity Value</t>
  </si>
  <si>
    <t>Implied Share Price (DCF)</t>
  </si>
  <si>
    <t>Current Share Price</t>
  </si>
  <si>
    <t>Upside / (Downside)</t>
  </si>
  <si>
    <t>SENSITIVITY ANALYSIS — Implied Share Price ($)</t>
  </si>
  <si>
    <t>Terminal Growth Rate →</t>
  </si>
  <si>
    <t>WACC ↓</t>
  </si>
  <si>
    <t>Yellow = Base Case (WACC at current, g = 2%)</t>
  </si>
  <si>
    <t>SCENARIO ANALYSIS — 3 SCENARIOS</t>
  </si>
  <si>
    <t>Pessimistic</t>
  </si>
  <si>
    <t>Realistic (Base)</t>
  </si>
  <si>
    <t>Optimistic</t>
  </si>
  <si>
    <t>Revenue Growth (Y1-Y5 avg.)</t>
  </si>
  <si>
    <t>Implied Share Price ($)</t>
  </si>
  <si>
    <t>COMPARABLES</t>
  </si>
  <si>
    <t>All figures in USD millions unless stated</t>
  </si>
  <si>
    <t>COMPARABLE TRADING ANALYSIS</t>
  </si>
  <si>
    <t>Share
Price</t>
  </si>
  <si>
    <t>Enterprise
Value</t>
  </si>
  <si>
    <t>Revenue
(LTM)</t>
  </si>
  <si>
    <t>EBITDA
(LTM)</t>
  </si>
  <si>
    <t>EV /
EBITDA</t>
  </si>
  <si>
    <t>EV /
Revenue</t>
  </si>
  <si>
    <t>EBITDA
Growth (NTM)</t>
  </si>
  <si>
    <t>EPS
(LTM)</t>
  </si>
  <si>
    <t>P / E
(LTM)</t>
  </si>
  <si>
    <t>PEER COMPANIES</t>
  </si>
  <si>
    <t>TICKER</t>
  </si>
  <si>
    <t>(USD/sh)</t>
  </si>
  <si>
    <t>($M)</t>
  </si>
  <si>
    <t>Peer Company 1</t>
  </si>
  <si>
    <t>PEER1</t>
  </si>
  <si>
    <t>Peer Company 2</t>
  </si>
  <si>
    <t>PEER2</t>
  </si>
  <si>
    <t>Peer Company 3</t>
  </si>
  <si>
    <t>PEER3</t>
  </si>
  <si>
    <t>Peer Company 4</t>
  </si>
  <si>
    <t>PEER4</t>
  </si>
  <si>
    <t>Peer Company 5</t>
  </si>
  <si>
    <t>PEER5</t>
  </si>
  <si>
    <t>Mean</t>
  </si>
  <si>
    <t>Median</t>
  </si>
  <si>
    <t>Maximum</t>
  </si>
  <si>
    <t>Minimum</t>
  </si>
  <si>
    <t>TARGET COMPANY VALUATION (Based on Peer Multiples)</t>
  </si>
  <si>
    <t>TARGET COMPANY METRICS (from INPUT)</t>
  </si>
  <si>
    <t>Target: Revenue (LTM)</t>
  </si>
  <si>
    <t>Target: EBITDA (LTM)</t>
  </si>
  <si>
    <t>Target: EPS (LTM)</t>
  </si>
  <si>
    <t>Target: Net Debt</t>
  </si>
  <si>
    <t>Target: Shares Outstanding</t>
  </si>
  <si>
    <t>(M)</t>
  </si>
  <si>
    <t>IMPLIED VALUATION</t>
  </si>
  <si>
    <t>EV / EBITDA — Implied EV ($M)</t>
  </si>
  <si>
    <t>EV / Revenue — Implied EV ($M)</t>
  </si>
  <si>
    <t>P/E — Implied Equity Value ($M)</t>
  </si>
  <si>
    <t>Implied Enterprise Value (Average of 3 Methods)</t>
  </si>
  <si>
    <t>(-) Net Debt</t>
  </si>
  <si>
    <t>Implied Equity Value ($M)</t>
  </si>
  <si>
    <t>Current Share Price ($)</t>
  </si>
  <si>
    <t>Implied Upside / (Downside)</t>
  </si>
  <si>
    <t>(1) Target company EV based on LTM EV/EBITDA and EV/Revenue multiples relative to comparable peer set.</t>
  </si>
  <si>
    <t>SCENARIOS</t>
  </si>
  <si>
    <t>All figures in USD thousands unless stated | 3 scenarios: Pessimistic / Realistic (Base) / Optimistic</t>
  </si>
  <si>
    <t>SCENARIO ASSUMPTIONS</t>
  </si>
  <si>
    <t>DRIVER</t>
  </si>
  <si>
    <t>Realistic</t>
  </si>
  <si>
    <t>Revenue Growth Rate (Y1-Y5)</t>
  </si>
  <si>
    <t>Free Cash Flow (Est.)</t>
  </si>
  <si>
    <t>SCENARIO SUMMARY COMPARISON</t>
  </si>
  <si>
    <t>METRIC (Year 5)</t>
  </si>
  <si>
    <t>Delta (Opt. vs Pess.)</t>
  </si>
  <si>
    <t>Revenue (Year 5)</t>
  </si>
  <si>
    <t>EBITDA (Year 5)</t>
  </si>
  <si>
    <t>Net Income (Year 5)</t>
  </si>
  <si>
    <t>FCF (Year 5)</t>
  </si>
  <si>
    <t>EBITDA Margin (Year 5)</t>
  </si>
  <si>
    <t>Implied Share Price</t>
  </si>
  <si>
    <t>CHARTS: Revenue &amp; FCF by scenario (insert chart using Scenarios data above D16:I16, D25:I25, D34:I34 for Revenue)</t>
  </si>
  <si>
    <t>Revenue ($000)</t>
  </si>
  <si>
    <t>Low ($)</t>
  </si>
  <si>
    <t>High ($)</t>
  </si>
  <si>
    <t>Chart Data: Revenue by Scenario</t>
  </si>
  <si>
    <t>Chart Data: EBITDA by Scenario</t>
  </si>
  <si>
    <t>INTERMEDIATE CALCULATIONS</t>
  </si>
  <si>
    <t>($000)</t>
  </si>
  <si>
    <t>(000)</t>
  </si>
  <si>
    <t>VALUATION RATIOS</t>
  </si>
  <si>
    <t>PROFITABILITY RATIOS</t>
  </si>
  <si>
    <t>LIQUIDITY &amp; SOLVENCY RATIOS</t>
  </si>
  <si>
    <t>OPERATIONAL EFFICIENCY RATIOS</t>
  </si>
  <si>
    <t>GROWTH RATIOS</t>
  </si>
  <si>
    <t>CASH FLOW RATIOS</t>
  </si>
  <si>
    <t>–</t>
  </si>
  <si>
    <t>INPUT — Raw Data</t>
  </si>
  <si>
    <t>NOTE: All analytical sheets reference this INPUT sheet only. Enter data in the blue cells (columns D–H).</t>
  </si>
  <si>
    <t>Company</t>
  </si>
  <si>
    <t>EV/EBITDA (x)</t>
  </si>
  <si>
    <t>EV/Revenue (x)</t>
  </si>
  <si>
    <t>UFCF Projection ($000)</t>
  </si>
  <si>
    <t>UFCF</t>
  </si>
  <si>
    <t>Revenue Projection ($000)</t>
  </si>
  <si>
    <t>© 2015 to 2024 FinSight</t>
  </si>
  <si>
    <t>https://finsight.com/</t>
  </si>
  <si>
    <t>▶  SELECT SCENARIO</t>
  </si>
  <si>
    <t>Base Year (LTM)</t>
  </si>
  <si>
    <t xml:space="preserve"> </t>
  </si>
  <si>
    <t>vé</t>
  </si>
  <si>
    <t>UFCF IRR (5-Year)</t>
  </si>
  <si>
    <t>FinSight</t>
  </si>
  <si>
    <t>RATIOS — Financial Ratio Analysis</t>
  </si>
  <si>
    <t>ALTMAN Z-SCORE — Bankruptcy Risk</t>
  </si>
  <si>
    <t>BENEISH M-SCORE — Earnings Manipulation</t>
  </si>
  <si>
    <t>DCF — Discounted Cash Flow Valuation</t>
  </si>
  <si>
    <t>COMPARABLES — Trading Comparables</t>
  </si>
  <si>
    <t>SCENARIOS — Scenario Analysis</t>
  </si>
  <si>
    <t>CHART DATA</t>
  </si>
  <si>
    <t>Year</t>
  </si>
  <si>
    <t>Net Margin</t>
  </si>
  <si>
    <t>Financial Performance</t>
  </si>
  <si>
    <t>P&amp;L Summary (LTM)</t>
  </si>
  <si>
    <t>Balance Sheet Summary (LTM)</t>
  </si>
  <si>
    <t>COGS</t>
  </si>
  <si>
    <t>Expenses</t>
  </si>
  <si>
    <t>Interest</t>
  </si>
  <si>
    <t>Trend</t>
  </si>
  <si>
    <t>Actual</t>
  </si>
  <si>
    <t>Variance</t>
  </si>
  <si>
    <t>Assets</t>
  </si>
  <si>
    <t>Current Assets</t>
  </si>
  <si>
    <t>Non-current Assets</t>
  </si>
  <si>
    <t>Liabilities</t>
  </si>
  <si>
    <t>Current Liabilities</t>
  </si>
  <si>
    <t>Long-term Liabilities</t>
  </si>
  <si>
    <t>Total Expenses</t>
  </si>
  <si>
    <t>Shareholders' Equity</t>
  </si>
  <si>
    <t>Net Operating Profit</t>
  </si>
  <si>
    <t>SG&amp;A</t>
  </si>
  <si>
    <t>R&amp;D</t>
  </si>
  <si>
    <t>D&amp;A</t>
  </si>
  <si>
    <t>Revenue &amp; Profitability</t>
  </si>
  <si>
    <t>Profit Margins</t>
  </si>
  <si>
    <t>5-Yr Avg</t>
  </si>
  <si>
    <t>Var %</t>
  </si>
  <si>
    <t>Income Statement (LTM)</t>
  </si>
  <si>
    <t>Performance Summary (Five-Year)</t>
  </si>
  <si>
    <t>Prev Year</t>
  </si>
  <si>
    <t>Net Margin (%)</t>
  </si>
  <si>
    <t>Projected Business Performance</t>
  </si>
  <si>
    <t>Company Information</t>
  </si>
  <si>
    <t>Low</t>
  </si>
  <si>
    <t>Delta</t>
  </si>
  <si>
    <t>High</t>
  </si>
  <si>
    <t>Consensus Research</t>
  </si>
  <si>
    <t>Stock Chart: Trailing 52-Weeks</t>
  </si>
  <si>
    <t>Valuation Summary: Football Field Chart</t>
  </si>
  <si>
    <t>Sum-of-the-Parts</t>
  </si>
  <si>
    <t>Discounted Cash Flow</t>
  </si>
  <si>
    <t>Revenue Growth (%)</t>
  </si>
  <si>
    <t>EBITDA Growth (%)</t>
  </si>
  <si>
    <t>Total Revenue</t>
  </si>
  <si>
    <t>Company Overview</t>
  </si>
  <si>
    <t>All figures in USD Thousands unless stated</t>
  </si>
  <si>
    <t>Football Field Chart — Valuation Inputs</t>
  </si>
  <si>
    <t>Delta ($)</t>
  </si>
  <si>
    <t>52-Week Trading Range</t>
  </si>
  <si>
    <t>Precedent Transactions</t>
  </si>
  <si>
    <t>Total Revenue ($000)</t>
  </si>
  <si>
    <t>Financial Data — Multi-Year</t>
  </si>
  <si>
    <t>Revenue — Products</t>
  </si>
  <si>
    <t>Cost of Revenue (COGS)</t>
  </si>
  <si>
    <t>Cash from Ops (CFO)</t>
  </si>
  <si>
    <t>EBITDA ($000)</t>
  </si>
  <si>
    <t>Net Income ($000)</t>
  </si>
  <si>
    <t>Cumul. Revenue ($000)</t>
  </si>
  <si>
    <t>SG&amp;A ($000)</t>
  </si>
  <si>
    <t>R&amp;D ($000)</t>
  </si>
  <si>
    <t>D&amp;A ($000)</t>
  </si>
  <si>
    <t>Interest ($000)</t>
  </si>
  <si>
    <t>CFO ($000)</t>
  </si>
  <si>
    <t>STOCK_DATA — ACME Technologies Inc. (Trailing 52 Weeks)</t>
  </si>
  <si>
    <t>Close Price ($)</t>
  </si>
  <si>
    <t>#</t>
  </si>
  <si>
    <t>Month</t>
  </si>
  <si>
    <t>mars</t>
  </si>
  <si>
    <t>avr</t>
  </si>
  <si>
    <t>mai</t>
  </si>
  <si>
    <t>juin</t>
  </si>
  <si>
    <t>juil</t>
  </si>
  <si>
    <t>août</t>
  </si>
  <si>
    <t>sept</t>
  </si>
  <si>
    <t>oct</t>
  </si>
  <si>
    <t>nov</t>
  </si>
  <si>
    <t>déc</t>
  </si>
  <si>
    <t>janv</t>
  </si>
  <si>
    <t>févr</t>
  </si>
  <si>
    <t>⚠️  Données simulées. Remplacer par données réelles (Bloomberg/FactSet) en colonne B (Mois) et C (Prix).</t>
  </si>
  <si>
    <t>Other Financial Metrics ($ Millier)</t>
  </si>
  <si>
    <t>Precedent Trans.</t>
  </si>
  <si>
    <t>Liabilities &amp; Shareholders' Equity</t>
  </si>
  <si>
    <t>Expense Breakdown</t>
  </si>
  <si>
    <t>Cumulative revenue</t>
  </si>
  <si>
    <t>SG&amp;A ($M)</t>
  </si>
  <si>
    <t>R&amp;D ($M)</t>
  </si>
  <si>
    <t>D&amp;A ($M)</t>
  </si>
  <si>
    <t>Interest ($M)</t>
  </si>
  <si>
    <t>Cumul. Revenue ($M)</t>
  </si>
  <si>
    <t>Secteur</t>
  </si>
  <si>
    <t>Driver</t>
  </si>
  <si>
    <t>Pessimiste</t>
  </si>
  <si>
    <t>Realiste</t>
  </si>
  <si>
    <t>Optimiste</t>
  </si>
  <si>
    <t>Technologie / SaaS</t>
  </si>
  <si>
    <t>SG&amp;A (% Revenue)</t>
  </si>
  <si>
    <t>R&amp;D (% Revenue)</t>
  </si>
  <si>
    <t>CapEx (% Revenue)</t>
  </si>
  <si>
    <t>Change in NWC (% Rev Change)</t>
  </si>
  <si>
    <t>EV/EBITDA Exit Multiple</t>
  </si>
  <si>
    <t>Industrie / Manufacturing</t>
  </si>
  <si>
    <t>Consommation / Retail</t>
  </si>
  <si>
    <t>Luxe / Premium</t>
  </si>
  <si>
    <t>Energie / Utilities</t>
  </si>
  <si>
    <t>Sante / Pharma</t>
  </si>
  <si>
    <t>▶ Secteur actif :</t>
  </si>
  <si>
    <t>SCENARIO RESULTS — DYNAMIC VIEW</t>
  </si>
  <si>
    <t>CHART DATA: Revenue by Scenario</t>
  </si>
  <si>
    <t>CHART DATA: EBITDA by 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</si>
</sst>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6" formatCode="#,##0\ &quot;€&quot;;[Red]\-#,##0\ &quot;€&quot;"/>
    <numFmt numFmtId="43" formatCode="_-* #,##0.00_-;\-* #,##0.00_-;_-* &quot;-&quot;??_-;_-@_-"/>
    <numFmt numFmtId="164" formatCode="_(0.0\x_);\(0.0\x\);_(&quot;–&quot;_);_(@_)"/>
    <numFmt numFmtId="165" formatCode="_(#,##0.0%_);\(#,##0.0%\);_(&quot;–&quot;_);_(@_)"/>
    <numFmt numFmtId="166" formatCode="_(#,##0_);\(#,##0\);_(&quot;–&quot;_);_(@_)"/>
    <numFmt numFmtId="167" formatCode="_(0.000_);\(0.000\);_(&quot;–&quot;_);_(@_)"/>
    <numFmt numFmtId="168" formatCode="_(0.00_);\(0.00\);_(&quot;–&quot;_);_(@_)"/>
    <numFmt numFmtId="169" formatCode="_(0_);\(0\);_(&quot;–&quot;_);_(@_)"/>
    <numFmt numFmtId="170" formatCode="_(#,##0.00_);\(#,##0.00\);_(&quot;–&quot;_);_(@_)"/>
    <numFmt numFmtId="171" formatCode="_(#,##0%_);\(#,##0%\);_(&quot;–&quot;_);_(@_)"/>
    <numFmt numFmtId="172" formatCode="_(#,##0.0_);\(#,##0.0\);_(&quot;–&quot;_);_(@_)"/>
    <numFmt numFmtId="173" formatCode="0.0%"/>
    <numFmt numFmtId="174" formatCode="&quot;€&quot;#,##0.00"/>
    <numFmt numFmtId="175" formatCode="_(&quot;$&quot;* #,##0.00_);_(&quot;$&quot;* \(#,##0.00\);_(&quot;$&quot;* &quot;-&quot;??_);_(@_)"/>
    <numFmt numFmtId="176" formatCode="_(* #,##0_);_(* \(#,##0\);_(* &quot;-&quot;??_);_(@_)"/>
    <numFmt numFmtId="177" formatCode="&quot;€&quot;#,##0;\(&quot;€&quot;#,##0\);\-"/>
    <numFmt numFmtId="178" formatCode="0.00\x"/>
    <numFmt numFmtId="179" formatCode="0.0\x"/>
    <numFmt numFmtId="180" formatCode="0.000"/>
    <numFmt numFmtId="181" formatCode="&quot;€&quot;#,##0.00;\(&quot;€&quot;#,##0.00\);\-"/>
    <numFmt numFmtId="182" formatCode="0.0"/>
  </numFmts>
  <fonts count="89" x14ac:knownFonts="1">
    <font>
      <sz val="11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Open Sans"/>
      <family val="2"/>
    </font>
    <font>
      <b/>
      <sz val="10"/>
      <color rgb="FF132E57"/>
      <name val="Open Sans"/>
      <family val="2"/>
    </font>
    <font>
      <sz val="9"/>
      <color rgb="FFFFFFFF"/>
      <name val="Open Sans"/>
      <family val="2"/>
    </font>
    <font>
      <sz val="10"/>
      <color theme="1"/>
      <name val="Open Sans"/>
      <family val="2"/>
    </font>
    <font>
      <b/>
      <sz val="10"/>
      <color rgb="FFFFFFFF"/>
      <name val="Open Sans"/>
      <family val="2"/>
    </font>
    <font>
      <b/>
      <sz val="10"/>
      <color rgb="FF3271D2"/>
      <name val="Open Sans"/>
      <family val="2"/>
    </font>
    <font>
      <sz val="10"/>
      <color rgb="FF3271D2"/>
      <name val="Open Sans"/>
      <family val="2"/>
    </font>
    <font>
      <b/>
      <sz val="10"/>
      <color theme="1"/>
      <name val="Open Sans"/>
      <family val="2"/>
    </font>
    <font>
      <i/>
      <sz val="10"/>
      <color rgb="FF595959"/>
      <name val="Open Sans"/>
      <family val="2"/>
    </font>
    <font>
      <sz val="10"/>
      <color rgb="FFFFFFFF"/>
      <name val="Open Sans"/>
      <family val="2"/>
    </font>
    <font>
      <b/>
      <sz val="10"/>
      <color rgb="FF000000"/>
      <name val="Open Sans"/>
      <family val="2"/>
    </font>
    <font>
      <sz val="9"/>
      <color rgb="FF000000"/>
      <name val="Open Sans"/>
      <family val="2"/>
    </font>
    <font>
      <i/>
      <sz val="10"/>
      <color rgb="FF3271D2"/>
      <name val="Open Sans"/>
      <family val="2"/>
    </font>
    <font>
      <b/>
      <sz val="10"/>
      <color rgb="FF1B3E70"/>
      <name val="Open Sans"/>
      <family val="2"/>
    </font>
    <font>
      <sz val="10"/>
      <color rgb="FF276221"/>
      <name val="Open Sans"/>
      <family val="2"/>
    </font>
    <font>
      <sz val="10"/>
      <color rgb="FF9C0006"/>
      <name val="Open Sans"/>
      <family val="2"/>
    </font>
    <font>
      <b/>
      <sz val="14"/>
      <color rgb="FF3271D2"/>
      <name val="Open Sans"/>
      <family val="2"/>
    </font>
    <font>
      <sz val="8"/>
      <color rgb="FF595959"/>
      <name val="Open Sans"/>
      <family val="2"/>
    </font>
    <font>
      <b/>
      <sz val="8"/>
      <color rgb="FF595959"/>
      <name val="Open Sans"/>
      <family val="2"/>
    </font>
    <font>
      <i/>
      <sz val="9"/>
      <color rgb="FF000000"/>
      <name val="Open Sans"/>
      <family val="2"/>
    </font>
    <font>
      <b/>
      <sz val="14"/>
      <color rgb="FF3271D2"/>
      <name val="Aptos Narrow"/>
      <family val="2"/>
      <scheme val="minor"/>
    </font>
    <font>
      <sz val="10"/>
      <color rgb="FF132E57"/>
      <name val="Open Sans"/>
      <family val="2"/>
    </font>
    <font>
      <i/>
      <sz val="9"/>
      <color rgb="FF595959"/>
      <name val="Open Sans"/>
      <family val="2"/>
    </font>
    <font>
      <b/>
      <sz val="12"/>
      <color rgb="FF3271D2"/>
      <name val="Open Sans"/>
      <family val="2"/>
    </font>
    <font>
      <sz val="9"/>
      <color rgb="FF595959"/>
      <name val="Aptos Narrow"/>
      <family val="2"/>
      <scheme val="minor"/>
    </font>
    <font>
      <sz val="9"/>
      <color rgb="FF132E57"/>
      <name val="Open Sans"/>
      <family val="2"/>
    </font>
    <font>
      <b/>
      <sz val="8"/>
      <color rgb="FF132E57"/>
      <name val="Open Sans"/>
      <family val="2"/>
    </font>
    <font>
      <b/>
      <sz val="11"/>
      <color rgb="FF132E57"/>
      <name val="Aptos Narrow"/>
      <family val="2"/>
      <scheme val="minor"/>
    </font>
    <font>
      <b/>
      <sz val="10"/>
      <color rgb="FF132E57"/>
      <name val="Aptos Narrow"/>
      <family val="2"/>
      <scheme val="minor"/>
    </font>
    <font>
      <b/>
      <sz val="9"/>
      <color rgb="FF132E57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0"/>
      <color rgb="FF000000"/>
      <name val="Open Sans"/>
      <family val="2"/>
    </font>
    <font>
      <b/>
      <sz val="10"/>
      <color rgb="FF000000"/>
      <name val="Open Sans"/>
      <family val="2"/>
    </font>
    <font>
      <sz val="8"/>
      <color rgb="FF595959"/>
      <name val="Open Sans"/>
      <family val="2"/>
    </font>
    <font>
      <b/>
      <sz val="10"/>
      <color rgb="FFFFFFFF"/>
      <name val="Open Sans"/>
      <family val="2"/>
    </font>
    <font>
      <b/>
      <sz val="18"/>
      <color rgb="FFFFFFFF"/>
      <name val="Open Sans"/>
      <family val="2"/>
    </font>
    <font>
      <sz val="10"/>
      <color rgb="FF3271D2"/>
      <name val="Open Sans"/>
      <family val="2"/>
    </font>
    <font>
      <b/>
      <sz val="10"/>
      <color rgb="FFFFFFFF"/>
      <name val="Aptos Narrow"/>
      <family val="2"/>
      <scheme val="minor"/>
    </font>
    <font>
      <b/>
      <sz val="12"/>
      <color rgb="FF000000"/>
      <name val="Open Sans"/>
      <family val="2"/>
    </font>
    <font>
      <sz val="8"/>
      <color rgb="FF000000"/>
      <name val="Open Sans"/>
      <family val="2"/>
    </font>
    <font>
      <i/>
      <sz val="10"/>
      <color rgb="FF000000"/>
      <name val="Open Sans"/>
      <family val="2"/>
    </font>
    <font>
      <b/>
      <sz val="10"/>
      <color rgb="FF3271D2"/>
      <name val="Open Sans"/>
      <family val="2"/>
    </font>
    <font>
      <b/>
      <sz val="10"/>
      <color rgb="FF132E57"/>
      <name val="Open Sans"/>
      <family val="2"/>
    </font>
    <font>
      <sz val="14"/>
      <color rgb="FF000000"/>
      <name val="Open Sans"/>
      <family val="2"/>
    </font>
    <font>
      <sz val="10"/>
      <color rgb="FFFFFFFF"/>
      <name val="Open Sans"/>
      <family val="2"/>
    </font>
    <font>
      <b/>
      <sz val="14"/>
      <color rgb="FF3271D2"/>
      <name val="Open Sans"/>
      <family val="2"/>
    </font>
    <font>
      <sz val="10"/>
      <color theme="1"/>
      <name val="Open Sans"/>
      <family val="2"/>
    </font>
    <font>
      <sz val="10"/>
      <color rgb="FF0000FF"/>
      <name val="Open Sans"/>
      <family val="2"/>
    </font>
    <font>
      <sz val="10"/>
      <color rgb="FF000000"/>
      <name val="Aptos Narrow"/>
      <family val="2"/>
      <scheme val="minor"/>
    </font>
    <font>
      <sz val="11"/>
      <name val="Open Sans"/>
      <family val="2"/>
    </font>
    <font>
      <u/>
      <sz val="10"/>
      <color theme="10"/>
      <name val="Arial"/>
      <family val="2"/>
    </font>
    <font>
      <sz val="11"/>
      <color theme="1"/>
      <name val="Open Sans"/>
      <family val="2"/>
    </font>
    <font>
      <sz val="10"/>
      <name val="Arial"/>
      <family val="2"/>
    </font>
    <font>
      <sz val="14"/>
      <color theme="1"/>
      <name val="Open Sans"/>
      <family val="2"/>
    </font>
    <font>
      <b/>
      <sz val="10"/>
      <color theme="1"/>
      <name val="Open Sans"/>
      <family val="2"/>
    </font>
    <font>
      <i/>
      <sz val="9"/>
      <color theme="1"/>
      <name val="Aptos Narrow"/>
      <family val="2"/>
      <scheme val="minor"/>
    </font>
    <font>
      <i/>
      <sz val="9"/>
      <color theme="1"/>
      <name val="Open Sans"/>
      <family val="2"/>
    </font>
    <font>
      <sz val="11"/>
      <color rgb="FFFFFFFF"/>
      <name val="Open Sans"/>
      <family val="2"/>
    </font>
    <font>
      <b/>
      <sz val="10"/>
      <color rgb="FF000000"/>
      <name val="Aptos Narrow"/>
      <family val="2"/>
      <scheme val="minor"/>
    </font>
    <font>
      <sz val="10"/>
      <color rgb="FF3271D2"/>
      <name val="Aptos Narrow"/>
      <family val="2"/>
      <scheme val="minor"/>
    </font>
    <font>
      <sz val="12"/>
      <color theme="1"/>
      <name val="Open Sans"/>
      <family val="2"/>
    </font>
    <font>
      <b/>
      <sz val="12"/>
      <color theme="1"/>
      <name val="Open Sans"/>
      <family val="2"/>
    </font>
    <font>
      <sz val="12"/>
      <color rgb="FF000000"/>
      <name val="Open Sans"/>
      <family val="2"/>
    </font>
    <font>
      <sz val="12"/>
      <color theme="0" tint="-0.499984740745262"/>
      <name val="Open Sans"/>
      <family val="2"/>
    </font>
    <font>
      <sz val="12"/>
      <color theme="1" tint="0.499984740745262"/>
      <name val="Open Sans"/>
      <family val="2"/>
    </font>
    <font>
      <b/>
      <sz val="11"/>
      <color rgb="FFEB6105"/>
      <name val="Aptos Narrow"/>
      <family val="2"/>
      <scheme val="minor"/>
    </font>
    <font>
      <i/>
      <sz val="9"/>
      <color rgb="FFA3A3A3"/>
      <name val="Aptos Narrow"/>
      <family val="2"/>
      <scheme val="minor"/>
    </font>
    <font>
      <sz val="11"/>
      <color rgb="FF141413"/>
      <name val="Segoe UI"/>
      <family val="2"/>
    </font>
    <font>
      <i/>
      <sz val="11"/>
      <color theme="1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sz val="11"/>
      <color theme="0"/>
      <name val="Open Sans"/>
      <family val="2"/>
    </font>
    <font>
      <sz val="12"/>
      <color theme="0"/>
      <name val="Open Sans"/>
      <family val="2"/>
    </font>
    <font>
      <b/>
      <sz val="11"/>
      <color theme="1"/>
      <name val="Open Sans"/>
      <family val="2"/>
    </font>
    <font>
      <i/>
      <sz val="10"/>
      <color rgb="FFFFFFFF"/>
      <name val="Open Sans"/>
      <family val="2"/>
    </font>
    <font>
      <i/>
      <sz val="10"/>
      <color theme="1"/>
      <name val="Open Sans"/>
      <family val="2"/>
    </font>
    <font>
      <b/>
      <i/>
      <sz val="14"/>
      <color rgb="FF3271D2"/>
      <name val="Open Sans"/>
      <family val="2"/>
    </font>
    <font>
      <b/>
      <i/>
      <sz val="10"/>
      <color rgb="FF132E57"/>
      <name val="Open Sans"/>
      <family val="2"/>
    </font>
    <font>
      <b/>
      <sz val="10"/>
      <color rgb="FFCCCCCC"/>
      <name val="Open Sans"/>
      <family val="2"/>
    </font>
    <font>
      <sz val="10"/>
      <color rgb="FFAAAAAA"/>
      <name val="Open Sans"/>
      <family val="2"/>
    </font>
    <font>
      <b/>
      <sz val="9"/>
      <color rgb="FF132E57"/>
      <name val="Open Sans"/>
      <family val="2"/>
    </font>
    <font>
      <b/>
      <sz val="9"/>
      <color rgb="FF3271D2"/>
      <name val="Open Sans"/>
      <family val="2"/>
    </font>
    <font>
      <sz val="11"/>
      <color theme="0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"/>
      <color rgb="FFFFFFFF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0" fillId="0" borderId="0"/>
    <xf numFmtId="43" fontId="33" fillId="0" borderId="0" applyFont="0" applyFill="0" applyBorder="0" applyAlignment="0" applyProtection="0"/>
    <xf numFmtId="0" fontId="33" fillId="0" borderId="0"/>
    <xf numFmtId="0" fontId="55" fillId="0" borderId="0" applyNumberFormat="0" applyFill="0" applyBorder="0" applyAlignment="0" applyProtection="0"/>
    <xf numFmtId="0" fontId="57" fillId="0" borderId="0"/>
    <xf numFmtId="175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 applyFont="0" applyFill="0" applyBorder="0" applyAlignment="0" applyProtection="0"/>
  </cellStyleXfs>
  <cellXfs count="423">
    <xf numFmtId="0" fontId="0" fillId="0" borderId="0" xfId="0"/>
    <xf numFmtId="0" fontId="4" fillId="3" borderId="0" xfId="0" applyFont="1" applyFill="1"/>
    <xf numFmtId="0" fontId="5" fillId="4" borderId="0" xfId="0" applyFont="1" applyFill="1"/>
    <xf numFmtId="0" fontId="6" fillId="0" borderId="0" xfId="0" applyFont="1"/>
    <xf numFmtId="0" fontId="12" fillId="4" borderId="0" xfId="0" applyFont="1" applyFill="1"/>
    <xf numFmtId="0" fontId="7" fillId="6" borderId="0" xfId="0" applyFont="1" applyFill="1"/>
    <xf numFmtId="0" fontId="12" fillId="6" borderId="0" xfId="0" applyFont="1" applyFill="1"/>
    <xf numFmtId="0" fontId="19" fillId="2" borderId="0" xfId="0" applyFont="1" applyFill="1"/>
    <xf numFmtId="6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21" fillId="3" borderId="0" xfId="0" applyFont="1" applyFill="1" applyAlignment="1">
      <alignment horizontal="center"/>
    </xf>
    <xf numFmtId="0" fontId="21" fillId="0" borderId="0" xfId="0" applyFont="1" applyAlignment="1">
      <alignment horizontal="center"/>
    </xf>
    <xf numFmtId="0" fontId="14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19" fillId="2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6" fillId="0" borderId="0" xfId="0" applyFont="1" applyAlignment="1">
      <alignment horizontal="left" indent="1"/>
    </xf>
    <xf numFmtId="0" fontId="1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6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 applyAlignment="1">
      <alignment horizontal="right"/>
    </xf>
    <xf numFmtId="0" fontId="19" fillId="2" borderId="0" xfId="0" applyFont="1" applyFill="1" applyAlignment="1">
      <alignment horizontal="right"/>
    </xf>
    <xf numFmtId="0" fontId="4" fillId="3" borderId="0" xfId="0" applyFont="1" applyFill="1" applyAlignment="1">
      <alignment horizontal="right"/>
    </xf>
    <xf numFmtId="0" fontId="5" fillId="4" borderId="0" xfId="0" applyFont="1" applyFill="1" applyAlignment="1">
      <alignment horizontal="right"/>
    </xf>
    <xf numFmtId="0" fontId="7" fillId="6" borderId="0" xfId="0" applyFont="1" applyFill="1" applyAlignment="1">
      <alignment horizontal="left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left"/>
    </xf>
    <xf numFmtId="0" fontId="7" fillId="6" borderId="0" xfId="0" applyFont="1" applyFill="1" applyAlignment="1">
      <alignment horizontal="right"/>
    </xf>
    <xf numFmtId="0" fontId="1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165" fontId="3" fillId="0" borderId="0" xfId="0" applyNumberFormat="1" applyFont="1" applyAlignment="1">
      <alignment horizontal="right"/>
    </xf>
    <xf numFmtId="0" fontId="12" fillId="4" borderId="0" xfId="0" applyFont="1" applyFill="1" applyAlignment="1">
      <alignment horizontal="left"/>
    </xf>
    <xf numFmtId="0" fontId="12" fillId="4" borderId="0" xfId="0" applyFont="1" applyFill="1" applyAlignment="1">
      <alignment horizontal="right"/>
    </xf>
    <xf numFmtId="0" fontId="4" fillId="3" borderId="0" xfId="0" applyFont="1" applyFill="1" applyAlignment="1">
      <alignment horizontal="right" wrapText="1"/>
    </xf>
    <xf numFmtId="166" fontId="9" fillId="0" borderId="0" xfId="0" applyNumberFormat="1" applyFont="1" applyAlignment="1">
      <alignment horizontal="right"/>
    </xf>
    <xf numFmtId="166" fontId="6" fillId="0" borderId="0" xfId="0" applyNumberFormat="1" applyFont="1" applyAlignment="1">
      <alignment horizontal="right"/>
    </xf>
    <xf numFmtId="169" fontId="6" fillId="0" borderId="0" xfId="0" applyNumberFormat="1" applyFont="1" applyAlignment="1">
      <alignment horizontal="right"/>
    </xf>
    <xf numFmtId="16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9" fillId="0" borderId="0" xfId="0" applyFont="1" applyAlignment="1">
      <alignment horizontal="left" indent="1"/>
    </xf>
    <xf numFmtId="170" fontId="9" fillId="0" borderId="0" xfId="0" applyNumberFormat="1" applyFont="1" applyAlignment="1">
      <alignment horizontal="right"/>
    </xf>
    <xf numFmtId="171" fontId="9" fillId="0" borderId="0" xfId="0" applyNumberFormat="1" applyFont="1" applyAlignment="1">
      <alignment horizontal="right"/>
    </xf>
    <xf numFmtId="0" fontId="15" fillId="0" borderId="0" xfId="0" applyFont="1" applyAlignment="1">
      <alignment horizontal="left"/>
    </xf>
    <xf numFmtId="49" fontId="20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right"/>
    </xf>
    <xf numFmtId="0" fontId="23" fillId="2" borderId="0" xfId="0" applyFont="1" applyFill="1" applyAlignment="1">
      <alignment horizontal="right"/>
    </xf>
    <xf numFmtId="0" fontId="19" fillId="2" borderId="0" xfId="0" applyFont="1" applyFill="1" applyAlignment="1">
      <alignment horizontal="center"/>
    </xf>
    <xf numFmtId="3" fontId="19" fillId="2" borderId="0" xfId="0" applyNumberFormat="1" applyFont="1" applyFill="1" applyAlignment="1">
      <alignment horizontal="right"/>
    </xf>
    <xf numFmtId="0" fontId="19" fillId="2" borderId="0" xfId="0" applyFont="1" applyFill="1" applyAlignment="1">
      <alignment horizontal="right" wrapText="1"/>
    </xf>
    <xf numFmtId="0" fontId="2" fillId="0" borderId="0" xfId="0" applyFont="1" applyAlignment="1">
      <alignment horizontal="left"/>
    </xf>
    <xf numFmtId="0" fontId="24" fillId="3" borderId="0" xfId="0" applyFont="1" applyFill="1" applyAlignment="1">
      <alignment horizontal="left"/>
    </xf>
    <xf numFmtId="0" fontId="8" fillId="2" borderId="0" xfId="0" applyFont="1" applyFill="1" applyAlignment="1">
      <alignment horizontal="left"/>
    </xf>
    <xf numFmtId="0" fontId="25" fillId="7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49" fontId="21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right"/>
    </xf>
    <xf numFmtId="0" fontId="10" fillId="0" borderId="0" xfId="0" applyFont="1" applyAlignment="1">
      <alignment horizontal="left" indent="1"/>
    </xf>
    <xf numFmtId="0" fontId="3" fillId="7" borderId="0" xfId="0" applyFont="1" applyFill="1" applyAlignment="1">
      <alignment horizontal="right"/>
    </xf>
    <xf numFmtId="165" fontId="3" fillId="7" borderId="0" xfId="0" applyNumberFormat="1" applyFont="1" applyFill="1" applyAlignment="1">
      <alignment horizontal="right"/>
    </xf>
    <xf numFmtId="0" fontId="6" fillId="7" borderId="0" xfId="0" applyFont="1" applyFill="1" applyAlignment="1">
      <alignment horizontal="right"/>
    </xf>
    <xf numFmtId="0" fontId="17" fillId="7" borderId="0" xfId="0" applyFont="1" applyFill="1" applyAlignment="1">
      <alignment horizontal="left"/>
    </xf>
    <xf numFmtId="0" fontId="18" fillId="7" borderId="0" xfId="0" applyFont="1" applyFill="1" applyAlignment="1">
      <alignment horizontal="left"/>
    </xf>
    <xf numFmtId="0" fontId="13" fillId="7" borderId="0" xfId="0" applyFont="1" applyFill="1" applyAlignment="1">
      <alignment horizontal="right"/>
    </xf>
    <xf numFmtId="165" fontId="6" fillId="7" borderId="0" xfId="0" applyNumberFormat="1" applyFont="1" applyFill="1" applyAlignment="1">
      <alignment horizontal="right"/>
    </xf>
    <xf numFmtId="166" fontId="10" fillId="7" borderId="0" xfId="0" applyNumberFormat="1" applyFont="1" applyFill="1" applyAlignment="1">
      <alignment horizontal="right"/>
    </xf>
    <xf numFmtId="0" fontId="10" fillId="7" borderId="0" xfId="0" applyFont="1" applyFill="1" applyAlignment="1">
      <alignment horizontal="right"/>
    </xf>
    <xf numFmtId="0" fontId="13" fillId="0" borderId="0" xfId="0" applyFont="1" applyAlignment="1">
      <alignment horizontal="left" indent="1"/>
    </xf>
    <xf numFmtId="166" fontId="13" fillId="7" borderId="0" xfId="0" applyNumberFormat="1" applyFont="1" applyFill="1" applyAlignment="1">
      <alignment horizontal="right"/>
    </xf>
    <xf numFmtId="0" fontId="26" fillId="2" borderId="0" xfId="0" applyFont="1" applyFill="1" applyAlignment="1">
      <alignment horizontal="left"/>
    </xf>
    <xf numFmtId="166" fontId="9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right"/>
    </xf>
    <xf numFmtId="6" fontId="21" fillId="0" borderId="0" xfId="0" applyNumberFormat="1" applyFont="1" applyAlignment="1">
      <alignment horizontal="center"/>
    </xf>
    <xf numFmtId="0" fontId="10" fillId="0" borderId="3" xfId="0" applyFont="1" applyBorder="1" applyAlignment="1">
      <alignment horizontal="right"/>
    </xf>
    <xf numFmtId="170" fontId="9" fillId="0" borderId="1" xfId="0" applyNumberFormat="1" applyFont="1" applyBorder="1" applyAlignment="1">
      <alignment horizontal="right"/>
    </xf>
    <xf numFmtId="171" fontId="9" fillId="0" borderId="1" xfId="0" applyNumberFormat="1" applyFont="1" applyBorder="1" applyAlignment="1">
      <alignment horizontal="right"/>
    </xf>
    <xf numFmtId="170" fontId="13" fillId="7" borderId="3" xfId="0" applyNumberFormat="1" applyFont="1" applyFill="1" applyBorder="1" applyAlignment="1">
      <alignment horizontal="right"/>
    </xf>
    <xf numFmtId="0" fontId="13" fillId="7" borderId="0" xfId="0" applyFont="1" applyFill="1" applyAlignment="1">
      <alignment horizontal="left" indent="1"/>
    </xf>
    <xf numFmtId="0" fontId="13" fillId="7" borderId="0" xfId="0" applyFont="1" applyFill="1"/>
    <xf numFmtId="0" fontId="13" fillId="7" borderId="0" xfId="0" applyFont="1" applyFill="1" applyAlignment="1">
      <alignment horizontal="left"/>
    </xf>
    <xf numFmtId="0" fontId="6" fillId="7" borderId="0" xfId="0" applyFont="1" applyFill="1"/>
    <xf numFmtId="0" fontId="3" fillId="7" borderId="0" xfId="0" applyFont="1" applyFill="1" applyAlignment="1">
      <alignment horizontal="left" indent="1"/>
    </xf>
    <xf numFmtId="6" fontId="3" fillId="7" borderId="0" xfId="0" applyNumberFormat="1" applyFont="1" applyFill="1"/>
    <xf numFmtId="0" fontId="3" fillId="7" borderId="0" xfId="0" applyFont="1" applyFill="1"/>
    <xf numFmtId="0" fontId="3" fillId="7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3" borderId="0" xfId="0" applyFont="1" applyFill="1" applyAlignment="1">
      <alignment horizontal="center"/>
    </xf>
    <xf numFmtId="0" fontId="6" fillId="3" borderId="0" xfId="0" applyFont="1" applyFill="1"/>
    <xf numFmtId="0" fontId="6" fillId="3" borderId="0" xfId="0" applyFont="1" applyFill="1" applyAlignment="1">
      <alignment horizontal="right"/>
    </xf>
    <xf numFmtId="0" fontId="28" fillId="3" borderId="0" xfId="0" applyFont="1" applyFill="1" applyAlignment="1">
      <alignment horizontal="left"/>
    </xf>
    <xf numFmtId="0" fontId="16" fillId="7" borderId="0" xfId="0" applyFont="1" applyFill="1" applyAlignment="1">
      <alignment horizontal="right"/>
    </xf>
    <xf numFmtId="0" fontId="10" fillId="7" borderId="0" xfId="0" applyFont="1" applyFill="1" applyAlignment="1">
      <alignment horizontal="left"/>
    </xf>
    <xf numFmtId="0" fontId="13" fillId="5" borderId="6" xfId="0" applyFont="1" applyFill="1" applyBorder="1" applyAlignment="1">
      <alignment horizontal="center"/>
    </xf>
    <xf numFmtId="1" fontId="4" fillId="3" borderId="0" xfId="0" applyNumberFormat="1" applyFont="1" applyFill="1" applyAlignment="1">
      <alignment horizontal="right"/>
    </xf>
    <xf numFmtId="1" fontId="13" fillId="5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0" fontId="8" fillId="2" borderId="0" xfId="0" applyFont="1" applyFill="1" applyAlignment="1">
      <alignment horizontal="right"/>
    </xf>
    <xf numFmtId="0" fontId="4" fillId="3" borderId="0" xfId="0" applyFont="1" applyFill="1" applyAlignment="1">
      <alignment horizontal="left" indent="1"/>
    </xf>
    <xf numFmtId="0" fontId="29" fillId="3" borderId="0" xfId="0" applyFont="1" applyFill="1" applyAlignment="1">
      <alignment horizontal="center"/>
    </xf>
    <xf numFmtId="0" fontId="30" fillId="3" borderId="0" xfId="0" applyFont="1" applyFill="1"/>
    <xf numFmtId="6" fontId="21" fillId="7" borderId="0" xfId="0" applyNumberFormat="1" applyFont="1" applyFill="1" applyAlignment="1">
      <alignment horizontal="center"/>
    </xf>
    <xf numFmtId="0" fontId="0" fillId="7" borderId="0" xfId="0" applyFill="1"/>
    <xf numFmtId="0" fontId="31" fillId="3" borderId="0" xfId="0" applyFont="1" applyFill="1" applyAlignment="1">
      <alignment horizontal="left"/>
    </xf>
    <xf numFmtId="0" fontId="30" fillId="3" borderId="0" xfId="0" applyFont="1" applyFill="1" applyAlignment="1">
      <alignment horizontal="right"/>
    </xf>
    <xf numFmtId="0" fontId="32" fillId="3" borderId="0" xfId="0" applyFont="1" applyFill="1" applyAlignment="1">
      <alignment horizontal="left"/>
    </xf>
    <xf numFmtId="0" fontId="32" fillId="3" borderId="0" xfId="0" applyFont="1" applyFill="1"/>
    <xf numFmtId="0" fontId="32" fillId="3" borderId="0" xfId="0" applyFont="1" applyFill="1" applyAlignment="1">
      <alignment horizontal="right"/>
    </xf>
    <xf numFmtId="0" fontId="23" fillId="0" borderId="0" xfId="0" applyFont="1" applyAlignment="1">
      <alignment horizontal="right"/>
    </xf>
    <xf numFmtId="0" fontId="35" fillId="0" borderId="0" xfId="0" applyFont="1"/>
    <xf numFmtId="0" fontId="34" fillId="0" borderId="0" xfId="0" applyFont="1"/>
    <xf numFmtId="0" fontId="30" fillId="0" borderId="0" xfId="0" applyFont="1"/>
    <xf numFmtId="0" fontId="36" fillId="0" borderId="0" xfId="0" applyFont="1" applyAlignment="1">
      <alignment horizontal="left"/>
    </xf>
    <xf numFmtId="0" fontId="37" fillId="7" borderId="0" xfId="0" applyFont="1" applyFill="1" applyAlignment="1">
      <alignment horizontal="right"/>
    </xf>
    <xf numFmtId="173" fontId="37" fillId="7" borderId="0" xfId="0" applyNumberFormat="1" applyFont="1" applyFill="1" applyAlignment="1">
      <alignment horizontal="right"/>
    </xf>
    <xf numFmtId="0" fontId="36" fillId="7" borderId="0" xfId="0" applyFont="1" applyFill="1" applyAlignment="1">
      <alignment horizontal="left"/>
    </xf>
    <xf numFmtId="0" fontId="38" fillId="7" borderId="0" xfId="0" applyFont="1" applyFill="1" applyAlignment="1">
      <alignment horizontal="center"/>
    </xf>
    <xf numFmtId="0" fontId="39" fillId="6" borderId="0" xfId="0" applyFont="1" applyFill="1" applyAlignment="1">
      <alignment horizontal="right"/>
    </xf>
    <xf numFmtId="0" fontId="40" fillId="6" borderId="0" xfId="0" applyFont="1" applyFill="1" applyAlignment="1">
      <alignment horizontal="left"/>
    </xf>
    <xf numFmtId="0" fontId="42" fillId="6" borderId="0" xfId="0" applyFont="1" applyFill="1" applyAlignment="1">
      <alignment horizontal="left"/>
    </xf>
    <xf numFmtId="0" fontId="19" fillId="7" borderId="0" xfId="0" applyFont="1" applyFill="1" applyAlignment="1">
      <alignment horizontal="right"/>
    </xf>
    <xf numFmtId="0" fontId="0" fillId="6" borderId="0" xfId="0" applyFill="1"/>
    <xf numFmtId="0" fontId="0" fillId="6" borderId="0" xfId="0" applyFill="1" applyAlignment="1">
      <alignment horizontal="right"/>
    </xf>
    <xf numFmtId="0" fontId="19" fillId="0" borderId="0" xfId="0" applyFont="1" applyAlignment="1">
      <alignment horizontal="right"/>
    </xf>
    <xf numFmtId="0" fontId="19" fillId="0" borderId="0" xfId="0" applyFont="1" applyAlignment="1">
      <alignment horizontal="left"/>
    </xf>
    <xf numFmtId="0" fontId="37" fillId="0" borderId="0" xfId="0" applyFont="1" applyAlignment="1">
      <alignment horizontal="left"/>
    </xf>
    <xf numFmtId="0" fontId="19" fillId="0" borderId="0" xfId="0" applyFont="1"/>
    <xf numFmtId="0" fontId="36" fillId="0" borderId="0" xfId="0" applyFont="1" applyAlignment="1">
      <alignment horizontal="left" indent="1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right"/>
    </xf>
    <xf numFmtId="0" fontId="19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45" fillId="0" borderId="0" xfId="0" applyFont="1" applyAlignment="1">
      <alignment horizontal="left"/>
    </xf>
    <xf numFmtId="0" fontId="36" fillId="0" borderId="0" xfId="0" applyFont="1"/>
    <xf numFmtId="0" fontId="46" fillId="2" borderId="0" xfId="0" applyFont="1" applyFill="1" applyAlignment="1">
      <alignment horizontal="left"/>
    </xf>
    <xf numFmtId="0" fontId="46" fillId="2" borderId="0" xfId="0" applyFont="1" applyFill="1"/>
    <xf numFmtId="0" fontId="46" fillId="2" borderId="0" xfId="0" applyFont="1" applyFill="1" applyAlignment="1">
      <alignment horizontal="right"/>
    </xf>
    <xf numFmtId="0" fontId="46" fillId="2" borderId="0" xfId="0" applyFont="1" applyFill="1" applyAlignment="1">
      <alignment horizontal="center"/>
    </xf>
    <xf numFmtId="0" fontId="47" fillId="3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3" fontId="19" fillId="0" borderId="0" xfId="0" applyNumberFormat="1" applyFont="1" applyAlignment="1">
      <alignment horizontal="right"/>
    </xf>
    <xf numFmtId="0" fontId="19" fillId="7" borderId="0" xfId="0" applyFont="1" applyFill="1"/>
    <xf numFmtId="0" fontId="48" fillId="7" borderId="0" xfId="0" applyFont="1" applyFill="1"/>
    <xf numFmtId="0" fontId="48" fillId="7" borderId="0" xfId="0" applyFont="1" applyFill="1" applyAlignment="1">
      <alignment horizontal="left"/>
    </xf>
    <xf numFmtId="0" fontId="48" fillId="7" borderId="0" xfId="0" applyFont="1" applyFill="1" applyAlignment="1">
      <alignment horizontal="right"/>
    </xf>
    <xf numFmtId="0" fontId="10" fillId="7" borderId="0" xfId="0" applyFont="1" applyFill="1" applyAlignment="1">
      <alignment horizontal="left" indent="1"/>
    </xf>
    <xf numFmtId="166" fontId="8" fillId="7" borderId="0" xfId="0" applyNumberFormat="1" applyFont="1" applyFill="1" applyAlignment="1">
      <alignment horizontal="right"/>
    </xf>
    <xf numFmtId="0" fontId="36" fillId="7" borderId="0" xfId="0" applyFont="1" applyFill="1"/>
    <xf numFmtId="0" fontId="36" fillId="7" borderId="0" xfId="0" applyFont="1" applyFill="1" applyAlignment="1">
      <alignment horizontal="left" indent="1"/>
    </xf>
    <xf numFmtId="6" fontId="44" fillId="7" borderId="0" xfId="0" applyNumberFormat="1" applyFont="1" applyFill="1" applyAlignment="1">
      <alignment horizontal="center"/>
    </xf>
    <xf numFmtId="166" fontId="36" fillId="7" borderId="0" xfId="0" applyNumberFormat="1" applyFont="1" applyFill="1" applyAlignment="1">
      <alignment horizontal="right"/>
    </xf>
    <xf numFmtId="0" fontId="36" fillId="7" borderId="0" xfId="0" applyFont="1" applyFill="1" applyAlignment="1">
      <alignment horizontal="right"/>
    </xf>
    <xf numFmtId="0" fontId="8" fillId="7" borderId="0" xfId="0" applyFont="1" applyFill="1" applyAlignment="1">
      <alignment horizontal="left"/>
    </xf>
    <xf numFmtId="0" fontId="19" fillId="7" borderId="0" xfId="0" applyFont="1" applyFill="1" applyAlignment="1">
      <alignment horizontal="center"/>
    </xf>
    <xf numFmtId="0" fontId="49" fillId="6" borderId="0" xfId="0" applyFont="1" applyFill="1" applyAlignment="1">
      <alignment horizontal="right"/>
    </xf>
    <xf numFmtId="0" fontId="50" fillId="2" borderId="0" xfId="0" applyFont="1" applyFill="1"/>
    <xf numFmtId="0" fontId="50" fillId="2" borderId="0" xfId="0" applyFont="1" applyFill="1" applyAlignment="1">
      <alignment horizontal="left"/>
    </xf>
    <xf numFmtId="173" fontId="36" fillId="7" borderId="0" xfId="0" applyNumberFormat="1" applyFont="1" applyFill="1" applyAlignment="1">
      <alignment horizontal="right"/>
    </xf>
    <xf numFmtId="3" fontId="36" fillId="7" borderId="0" xfId="0" applyNumberFormat="1" applyFont="1" applyFill="1" applyAlignment="1">
      <alignment horizontal="right"/>
    </xf>
    <xf numFmtId="174" fontId="37" fillId="7" borderId="3" xfId="0" applyNumberFormat="1" applyFont="1" applyFill="1" applyBorder="1" applyAlignment="1">
      <alignment horizontal="right"/>
    </xf>
    <xf numFmtId="3" fontId="3" fillId="7" borderId="0" xfId="0" applyNumberFormat="1" applyFont="1" applyFill="1" applyAlignment="1">
      <alignment horizontal="right"/>
    </xf>
    <xf numFmtId="173" fontId="36" fillId="7" borderId="5" xfId="0" applyNumberFormat="1" applyFont="1" applyFill="1" applyBorder="1" applyAlignment="1">
      <alignment horizontal="right"/>
    </xf>
    <xf numFmtId="0" fontId="37" fillId="7" borderId="4" xfId="0" applyFont="1" applyFill="1" applyBorder="1" applyAlignment="1">
      <alignment horizontal="right"/>
    </xf>
    <xf numFmtId="173" fontId="37" fillId="7" borderId="3" xfId="0" applyNumberFormat="1" applyFont="1" applyFill="1" applyBorder="1" applyAlignment="1">
      <alignment horizontal="right"/>
    </xf>
    <xf numFmtId="0" fontId="0" fillId="2" borderId="0" xfId="0" applyFill="1"/>
    <xf numFmtId="0" fontId="0" fillId="7" borderId="7" xfId="0" applyFill="1" applyBorder="1"/>
    <xf numFmtId="0" fontId="54" fillId="0" borderId="0" xfId="2" applyFont="1"/>
    <xf numFmtId="0" fontId="56" fillId="0" borderId="0" xfId="2" applyFont="1"/>
    <xf numFmtId="0" fontId="51" fillId="0" borderId="0" xfId="2" applyFont="1"/>
    <xf numFmtId="37" fontId="58" fillId="0" borderId="0" xfId="2" applyNumberFormat="1" applyFont="1" applyAlignment="1">
      <alignment vertical="center"/>
    </xf>
    <xf numFmtId="0" fontId="37" fillId="7" borderId="7" xfId="0" applyFont="1" applyFill="1" applyBorder="1" applyAlignment="1">
      <alignment horizontal="left"/>
    </xf>
    <xf numFmtId="0" fontId="49" fillId="6" borderId="0" xfId="0" applyFont="1" applyFill="1"/>
    <xf numFmtId="0" fontId="60" fillId="0" borderId="0" xfId="0" applyFont="1"/>
    <xf numFmtId="0" fontId="61" fillId="0" borderId="0" xfId="0" applyFont="1"/>
    <xf numFmtId="0" fontId="59" fillId="0" borderId="0" xfId="0" applyFont="1"/>
    <xf numFmtId="0" fontId="59" fillId="0" borderId="0" xfId="0" applyFont="1" applyAlignment="1">
      <alignment horizontal="left"/>
    </xf>
    <xf numFmtId="0" fontId="59" fillId="7" borderId="0" xfId="0" applyFont="1" applyFill="1" applyAlignment="1">
      <alignment horizontal="left"/>
    </xf>
    <xf numFmtId="0" fontId="56" fillId="7" borderId="7" xfId="0" applyFont="1" applyFill="1" applyBorder="1"/>
    <xf numFmtId="0" fontId="51" fillId="7" borderId="0" xfId="0" applyFont="1" applyFill="1" applyAlignment="1">
      <alignment horizontal="left"/>
    </xf>
    <xf numFmtId="0" fontId="56" fillId="7" borderId="0" xfId="0" applyFont="1" applyFill="1"/>
    <xf numFmtId="0" fontId="51" fillId="0" borderId="0" xfId="0" applyFont="1"/>
    <xf numFmtId="0" fontId="51" fillId="2" borderId="0" xfId="0" applyFont="1" applyFill="1"/>
    <xf numFmtId="0" fontId="62" fillId="6" borderId="0" xfId="0" applyFont="1" applyFill="1"/>
    <xf numFmtId="0" fontId="58" fillId="0" borderId="0" xfId="0" applyFont="1"/>
    <xf numFmtId="0" fontId="61" fillId="7" borderId="0" xfId="0" applyFont="1" applyFill="1"/>
    <xf numFmtId="0" fontId="51" fillId="7" borderId="0" xfId="0" applyFont="1" applyFill="1" applyAlignment="1">
      <alignment horizontal="center"/>
    </xf>
    <xf numFmtId="0" fontId="59" fillId="0" borderId="0" xfId="0" applyFont="1" applyAlignment="1">
      <alignment horizontal="center"/>
    </xf>
    <xf numFmtId="176" fontId="65" fillId="0" borderId="0" xfId="1" applyNumberFormat="1" applyFont="1" applyFill="1" applyBorder="1"/>
    <xf numFmtId="0" fontId="2" fillId="0" borderId="0" xfId="0" applyFont="1"/>
    <xf numFmtId="0" fontId="51" fillId="0" borderId="0" xfId="0" applyFont="1" applyAlignment="1">
      <alignment horizontal="left"/>
    </xf>
    <xf numFmtId="0" fontId="71" fillId="7" borderId="0" xfId="0" applyFont="1" applyFill="1"/>
    <xf numFmtId="0" fontId="53" fillId="0" borderId="0" xfId="0" applyFont="1" applyAlignment="1">
      <alignment horizontal="left"/>
    </xf>
    <xf numFmtId="0" fontId="72" fillId="0" borderId="0" xfId="0" applyFont="1"/>
    <xf numFmtId="0" fontId="51" fillId="7" borderId="9" xfId="0" applyFont="1" applyFill="1" applyBorder="1" applyAlignment="1">
      <alignment horizontal="right"/>
    </xf>
    <xf numFmtId="0" fontId="56" fillId="7" borderId="9" xfId="0" applyFont="1" applyFill="1" applyBorder="1"/>
    <xf numFmtId="0" fontId="51" fillId="7" borderId="10" xfId="0" applyFont="1" applyFill="1" applyBorder="1" applyAlignment="1">
      <alignment horizontal="center"/>
    </xf>
    <xf numFmtId="0" fontId="51" fillId="7" borderId="10" xfId="0" applyFont="1" applyFill="1" applyBorder="1" applyAlignment="1">
      <alignment horizontal="left"/>
    </xf>
    <xf numFmtId="10" fontId="0" fillId="0" borderId="0" xfId="0" applyNumberFormat="1"/>
    <xf numFmtId="0" fontId="35" fillId="6" borderId="0" xfId="0" applyFont="1" applyFill="1"/>
    <xf numFmtId="0" fontId="34" fillId="3" borderId="0" xfId="0" applyFont="1" applyFill="1"/>
    <xf numFmtId="0" fontId="74" fillId="0" borderId="0" xfId="0" applyFont="1"/>
    <xf numFmtId="0" fontId="65" fillId="0" borderId="0" xfId="0" applyFont="1"/>
    <xf numFmtId="0" fontId="37" fillId="0" borderId="0" xfId="0" applyFont="1" applyAlignment="1">
      <alignment vertical="center"/>
    </xf>
    <xf numFmtId="0" fontId="67" fillId="0" borderId="0" xfId="0" applyFont="1"/>
    <xf numFmtId="0" fontId="37" fillId="0" borderId="0" xfId="0" applyFont="1"/>
    <xf numFmtId="0" fontId="66" fillId="0" borderId="0" xfId="0" applyFont="1" applyAlignment="1">
      <alignment horizontal="right"/>
    </xf>
    <xf numFmtId="37" fontId="65" fillId="0" borderId="0" xfId="0" applyNumberFormat="1" applyFont="1" applyAlignment="1">
      <alignment vertical="top"/>
    </xf>
    <xf numFmtId="0" fontId="68" fillId="0" borderId="0" xfId="0" applyFont="1" applyAlignment="1">
      <alignment horizontal="right"/>
    </xf>
    <xf numFmtId="176" fontId="69" fillId="0" borderId="0" xfId="0" applyNumberFormat="1" applyFont="1"/>
    <xf numFmtId="171" fontId="54" fillId="0" borderId="0" xfId="2" applyNumberFormat="1" applyFont="1" applyAlignment="1">
      <alignment horizontal="right"/>
    </xf>
    <xf numFmtId="0" fontId="36" fillId="0" borderId="0" xfId="0" applyFont="1" applyAlignment="1">
      <alignment vertical="center"/>
    </xf>
    <xf numFmtId="0" fontId="67" fillId="0" borderId="0" xfId="0" applyFont="1" applyAlignment="1">
      <alignment vertical="center"/>
    </xf>
    <xf numFmtId="0" fontId="43" fillId="0" borderId="0" xfId="0" applyFont="1" applyAlignment="1">
      <alignment vertical="center"/>
    </xf>
    <xf numFmtId="0" fontId="75" fillId="0" borderId="0" xfId="2" applyFont="1"/>
    <xf numFmtId="0" fontId="76" fillId="0" borderId="0" xfId="0" applyFont="1"/>
    <xf numFmtId="176" fontId="76" fillId="0" borderId="0" xfId="0" applyNumberFormat="1" applyFont="1"/>
    <xf numFmtId="43" fontId="0" fillId="0" borderId="0" xfId="1" applyFont="1"/>
    <xf numFmtId="0" fontId="62" fillId="0" borderId="0" xfId="0" applyFont="1"/>
    <xf numFmtId="0" fontId="36" fillId="7" borderId="7" xfId="0" applyFont="1" applyFill="1" applyBorder="1" applyAlignment="1">
      <alignment horizontal="centerContinuous"/>
    </xf>
    <xf numFmtId="0" fontId="56" fillId="7" borderId="7" xfId="0" applyFont="1" applyFill="1" applyBorder="1" applyAlignment="1">
      <alignment horizontal="centerContinuous"/>
    </xf>
    <xf numFmtId="0" fontId="37" fillId="7" borderId="7" xfId="0" applyFont="1" applyFill="1" applyBorder="1" applyAlignment="1">
      <alignment horizontal="centerContinuous"/>
    </xf>
    <xf numFmtId="0" fontId="77" fillId="7" borderId="7" xfId="0" applyFont="1" applyFill="1" applyBorder="1" applyAlignment="1">
      <alignment horizontal="centerContinuous"/>
    </xf>
    <xf numFmtId="43" fontId="56" fillId="7" borderId="0" xfId="1" applyFont="1" applyFill="1" applyAlignment="1"/>
    <xf numFmtId="10" fontId="56" fillId="7" borderId="0" xfId="0" applyNumberFormat="1" applyFont="1" applyFill="1"/>
    <xf numFmtId="0" fontId="0" fillId="7" borderId="7" xfId="0" applyFill="1" applyBorder="1" applyAlignment="1">
      <alignment horizontal="centerContinuous"/>
    </xf>
    <xf numFmtId="0" fontId="78" fillId="0" borderId="0" xfId="0" applyFont="1"/>
    <xf numFmtId="0" fontId="79" fillId="0" borderId="0" xfId="0" applyFont="1"/>
    <xf numFmtId="0" fontId="80" fillId="0" borderId="0" xfId="0" applyFont="1"/>
    <xf numFmtId="0" fontId="81" fillId="0" borderId="0" xfId="0" applyFont="1"/>
    <xf numFmtId="0" fontId="73" fillId="0" borderId="0" xfId="0" applyFont="1"/>
    <xf numFmtId="173" fontId="9" fillId="0" borderId="0" xfId="0" applyNumberFormat="1" applyFont="1" applyAlignment="1">
      <alignment horizontal="right"/>
    </xf>
    <xf numFmtId="0" fontId="84" fillId="3" borderId="0" xfId="0" applyFont="1" applyFill="1" applyAlignment="1">
      <alignment horizontal="left"/>
    </xf>
    <xf numFmtId="0" fontId="75" fillId="7" borderId="0" xfId="0" applyFont="1" applyFill="1"/>
    <xf numFmtId="0" fontId="86" fillId="0" borderId="0" xfId="0" applyFont="1"/>
    <xf numFmtId="0" fontId="8" fillId="3" borderId="0" xfId="0" applyFont="1" applyFill="1" applyAlignment="1">
      <alignment horizontal="right"/>
    </xf>
    <xf numFmtId="0" fontId="20" fillId="7" borderId="0" xfId="0" applyFont="1" applyFill="1" applyAlignment="1">
      <alignment horizontal="center"/>
    </xf>
    <xf numFmtId="6" fontId="4" fillId="3" borderId="0" xfId="0" applyNumberFormat="1" applyFont="1" applyFill="1" applyAlignment="1">
      <alignment horizontal="left"/>
    </xf>
    <xf numFmtId="0" fontId="21" fillId="7" borderId="0" xfId="0" applyFont="1" applyFill="1" applyAlignment="1">
      <alignment horizontal="center"/>
    </xf>
    <xf numFmtId="0" fontId="19" fillId="2" borderId="0" xfId="0" applyFont="1" applyFill="1" applyAlignment="1">
      <alignment horizontal="left" indent="1"/>
    </xf>
    <xf numFmtId="3" fontId="4" fillId="3" borderId="0" xfId="0" applyNumberFormat="1" applyFont="1" applyFill="1" applyAlignment="1">
      <alignment horizontal="center"/>
    </xf>
    <xf numFmtId="0" fontId="7" fillId="6" borderId="0" xfId="0" applyFont="1" applyFill="1" applyAlignment="1">
      <alignment horizontal="left" indent="1"/>
    </xf>
    <xf numFmtId="1" fontId="4" fillId="3" borderId="0" xfId="0" applyNumberFormat="1" applyFont="1" applyFill="1" applyAlignment="1">
      <alignment horizontal="center"/>
    </xf>
    <xf numFmtId="6" fontId="3" fillId="3" borderId="0" xfId="0" applyNumberFormat="1" applyFont="1" applyFill="1"/>
    <xf numFmtId="0" fontId="12" fillId="8" borderId="0" xfId="0" applyFont="1" applyFill="1"/>
    <xf numFmtId="0" fontId="6" fillId="8" borderId="0" xfId="0" applyFont="1" applyFill="1"/>
    <xf numFmtId="0" fontId="19" fillId="8" borderId="0" xfId="0" applyFont="1" applyFill="1"/>
    <xf numFmtId="0" fontId="4" fillId="8" borderId="0" xfId="0" applyFont="1" applyFill="1"/>
    <xf numFmtId="0" fontId="10" fillId="8" borderId="0" xfId="0" applyFont="1" applyFill="1"/>
    <xf numFmtId="0" fontId="0" fillId="8" borderId="0" xfId="0" applyFill="1"/>
    <xf numFmtId="0" fontId="13" fillId="0" borderId="0" xfId="0" applyFont="1" applyAlignment="1">
      <alignment horizontal="left"/>
    </xf>
    <xf numFmtId="0" fontId="12" fillId="0" borderId="0" xfId="0" applyFont="1"/>
    <xf numFmtId="0" fontId="4" fillId="0" borderId="0" xfId="0" applyFont="1"/>
    <xf numFmtId="177" fontId="6" fillId="0" borderId="0" xfId="0" applyNumberFormat="1" applyFont="1" applyAlignment="1">
      <alignment horizontal="right"/>
    </xf>
    <xf numFmtId="177" fontId="6" fillId="0" borderId="1" xfId="0" applyNumberFormat="1" applyFont="1" applyBorder="1" applyAlignment="1">
      <alignment horizontal="right"/>
    </xf>
    <xf numFmtId="177" fontId="10" fillId="0" borderId="0" xfId="0" applyNumberFormat="1" applyFont="1" applyAlignment="1">
      <alignment horizontal="right"/>
    </xf>
    <xf numFmtId="177" fontId="10" fillId="0" borderId="3" xfId="0" applyNumberFormat="1" applyFont="1" applyBorder="1" applyAlignment="1">
      <alignment horizontal="right"/>
    </xf>
    <xf numFmtId="173" fontId="6" fillId="0" borderId="0" xfId="0" applyNumberFormat="1" applyFont="1" applyAlignment="1">
      <alignment horizontal="right"/>
    </xf>
    <xf numFmtId="177" fontId="10" fillId="7" borderId="3" xfId="0" applyNumberFormat="1" applyFont="1" applyFill="1" applyBorder="1" applyAlignment="1">
      <alignment horizontal="right"/>
    </xf>
    <xf numFmtId="173" fontId="3" fillId="0" borderId="0" xfId="0" applyNumberFormat="1" applyFont="1" applyAlignment="1">
      <alignment horizontal="right"/>
    </xf>
    <xf numFmtId="173" fontId="6" fillId="7" borderId="0" xfId="0" applyNumberFormat="1" applyFont="1" applyFill="1" applyAlignment="1">
      <alignment horizontal="right"/>
    </xf>
    <xf numFmtId="173" fontId="34" fillId="0" borderId="0" xfId="0" applyNumberFormat="1" applyFont="1"/>
    <xf numFmtId="173" fontId="0" fillId="0" borderId="0" xfId="0" applyNumberFormat="1"/>
    <xf numFmtId="173" fontId="3" fillId="0" borderId="1" xfId="0" applyNumberFormat="1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3" fontId="9" fillId="9" borderId="0" xfId="0" applyNumberFormat="1" applyFont="1" applyFill="1" applyAlignment="1">
      <alignment horizontal="right"/>
    </xf>
    <xf numFmtId="3" fontId="41" fillId="9" borderId="1" xfId="0" applyNumberFormat="1" applyFont="1" applyFill="1" applyBorder="1" applyAlignment="1">
      <alignment horizontal="right"/>
    </xf>
    <xf numFmtId="3" fontId="9" fillId="9" borderId="1" xfId="0" applyNumberFormat="1" applyFont="1" applyFill="1" applyBorder="1" applyAlignment="1">
      <alignment horizontal="right"/>
    </xf>
    <xf numFmtId="3" fontId="36" fillId="9" borderId="0" xfId="0" applyNumberFormat="1" applyFont="1" applyFill="1" applyAlignment="1">
      <alignment horizontal="right"/>
    </xf>
    <xf numFmtId="3" fontId="41" fillId="9" borderId="0" xfId="0" applyNumberFormat="1" applyFont="1" applyFill="1" applyAlignment="1">
      <alignment horizontal="right"/>
    </xf>
    <xf numFmtId="3" fontId="52" fillId="9" borderId="0" xfId="0" applyNumberFormat="1" applyFont="1" applyFill="1" applyAlignment="1">
      <alignment horizontal="right"/>
    </xf>
    <xf numFmtId="14" fontId="9" fillId="9" borderId="0" xfId="0" applyNumberFormat="1" applyFont="1" applyFill="1" applyAlignment="1">
      <alignment horizontal="right"/>
    </xf>
    <xf numFmtId="3" fontId="6" fillId="9" borderId="0" xfId="0" applyNumberFormat="1" applyFont="1" applyFill="1" applyAlignment="1">
      <alignment horizontal="right"/>
    </xf>
    <xf numFmtId="3" fontId="37" fillId="9" borderId="0" xfId="0" applyNumberFormat="1" applyFont="1" applyFill="1" applyAlignment="1">
      <alignment horizontal="right"/>
    </xf>
    <xf numFmtId="3" fontId="37" fillId="9" borderId="3" xfId="0" applyNumberFormat="1" applyFont="1" applyFill="1" applyBorder="1" applyAlignment="1">
      <alignment horizontal="right"/>
    </xf>
    <xf numFmtId="3" fontId="36" fillId="9" borderId="1" xfId="0" applyNumberFormat="1" applyFont="1" applyFill="1" applyBorder="1" applyAlignment="1">
      <alignment horizontal="right"/>
    </xf>
    <xf numFmtId="179" fontId="3" fillId="9" borderId="0" xfId="0" applyNumberFormat="1" applyFont="1" applyFill="1" applyAlignment="1">
      <alignment horizontal="right"/>
    </xf>
    <xf numFmtId="174" fontId="3" fillId="9" borderId="1" xfId="0" applyNumberFormat="1" applyFont="1" applyFill="1" applyBorder="1" applyAlignment="1">
      <alignment horizontal="right"/>
    </xf>
    <xf numFmtId="173" fontId="3" fillId="9" borderId="0" xfId="0" applyNumberFormat="1" applyFont="1" applyFill="1" applyAlignment="1">
      <alignment horizontal="right"/>
    </xf>
    <xf numFmtId="173" fontId="3" fillId="9" borderId="1" xfId="0" applyNumberFormat="1" applyFont="1" applyFill="1" applyBorder="1" applyAlignment="1">
      <alignment horizontal="right"/>
    </xf>
    <xf numFmtId="179" fontId="3" fillId="9" borderId="1" xfId="0" applyNumberFormat="1" applyFont="1" applyFill="1" applyBorder="1" applyAlignment="1">
      <alignment horizontal="right"/>
    </xf>
    <xf numFmtId="182" fontId="3" fillId="9" borderId="0" xfId="0" applyNumberFormat="1" applyFont="1" applyFill="1" applyAlignment="1">
      <alignment horizontal="right"/>
    </xf>
    <xf numFmtId="177" fontId="13" fillId="9" borderId="0" xfId="0" applyNumberFormat="1" applyFont="1" applyFill="1" applyAlignment="1">
      <alignment horizontal="right"/>
    </xf>
    <xf numFmtId="0" fontId="2" fillId="9" borderId="0" xfId="0" applyFont="1" applyFill="1" applyAlignment="1">
      <alignment horizontal="right"/>
    </xf>
    <xf numFmtId="10" fontId="0" fillId="9" borderId="0" xfId="0" applyNumberFormat="1" applyFill="1" applyAlignment="1">
      <alignment horizontal="right"/>
    </xf>
    <xf numFmtId="0" fontId="0" fillId="9" borderId="0" xfId="0" applyFill="1"/>
    <xf numFmtId="0" fontId="0" fillId="9" borderId="0" xfId="0" applyFill="1" applyAlignment="1">
      <alignment horizontal="right"/>
    </xf>
    <xf numFmtId="43" fontId="0" fillId="9" borderId="0" xfId="1" applyFont="1" applyFill="1"/>
    <xf numFmtId="43" fontId="0" fillId="9" borderId="0" xfId="1" applyFont="1" applyFill="1" applyAlignment="1">
      <alignment horizontal="right"/>
    </xf>
    <xf numFmtId="166" fontId="36" fillId="9" borderId="0" xfId="0" applyNumberFormat="1" applyFont="1" applyFill="1" applyAlignment="1">
      <alignment horizontal="right"/>
    </xf>
    <xf numFmtId="166" fontId="36" fillId="9" borderId="1" xfId="0" applyNumberFormat="1" applyFont="1" applyFill="1" applyBorder="1" applyAlignment="1">
      <alignment horizontal="right"/>
    </xf>
    <xf numFmtId="167" fontId="36" fillId="9" borderId="0" xfId="0" applyNumberFormat="1" applyFont="1" applyFill="1" applyAlignment="1">
      <alignment horizontal="right"/>
    </xf>
    <xf numFmtId="167" fontId="36" fillId="9" borderId="1" xfId="0" applyNumberFormat="1" applyFont="1" applyFill="1" applyBorder="1" applyAlignment="1">
      <alignment horizontal="right"/>
    </xf>
    <xf numFmtId="168" fontId="37" fillId="9" borderId="3" xfId="0" applyNumberFormat="1" applyFont="1" applyFill="1" applyBorder="1" applyAlignment="1">
      <alignment horizontal="right"/>
    </xf>
    <xf numFmtId="0" fontId="37" fillId="9" borderId="0" xfId="0" applyFont="1" applyFill="1" applyAlignment="1">
      <alignment horizontal="right"/>
    </xf>
    <xf numFmtId="166" fontId="3" fillId="9" borderId="0" xfId="0" applyNumberFormat="1" applyFont="1" applyFill="1" applyAlignment="1">
      <alignment horizontal="right"/>
    </xf>
    <xf numFmtId="166" fontId="3" fillId="9" borderId="1" xfId="0" applyNumberFormat="1" applyFont="1" applyFill="1" applyBorder="1" applyAlignment="1">
      <alignment horizontal="right"/>
    </xf>
    <xf numFmtId="167" fontId="3" fillId="9" borderId="0" xfId="0" applyNumberFormat="1" applyFont="1" applyFill="1" applyAlignment="1">
      <alignment horizontal="right"/>
    </xf>
    <xf numFmtId="167" fontId="3" fillId="9" borderId="1" xfId="0" applyNumberFormat="1" applyFont="1" applyFill="1" applyBorder="1" applyAlignment="1">
      <alignment horizontal="right"/>
    </xf>
    <xf numFmtId="0" fontId="23" fillId="9" borderId="0" xfId="0" applyFont="1" applyFill="1" applyAlignment="1">
      <alignment horizontal="right"/>
    </xf>
    <xf numFmtId="0" fontId="6" fillId="9" borderId="0" xfId="0" applyFont="1" applyFill="1" applyAlignment="1">
      <alignment horizontal="right"/>
    </xf>
    <xf numFmtId="177" fontId="9" fillId="9" borderId="0" xfId="0" applyNumberFormat="1" applyFont="1" applyFill="1" applyAlignment="1">
      <alignment horizontal="right"/>
    </xf>
    <xf numFmtId="177" fontId="3" fillId="9" borderId="0" xfId="0" applyNumberFormat="1" applyFont="1" applyFill="1" applyAlignment="1">
      <alignment horizontal="right"/>
    </xf>
    <xf numFmtId="177" fontId="6" fillId="9" borderId="0" xfId="0" applyNumberFormat="1" applyFont="1" applyFill="1" applyAlignment="1">
      <alignment horizontal="right"/>
    </xf>
    <xf numFmtId="177" fontId="9" fillId="9" borderId="1" xfId="0" applyNumberFormat="1" applyFont="1" applyFill="1" applyBorder="1" applyAlignment="1">
      <alignment horizontal="right"/>
    </xf>
    <xf numFmtId="177" fontId="3" fillId="9" borderId="1" xfId="0" applyNumberFormat="1" applyFont="1" applyFill="1" applyBorder="1" applyAlignment="1">
      <alignment horizontal="right"/>
    </xf>
    <xf numFmtId="177" fontId="6" fillId="9" borderId="1" xfId="0" applyNumberFormat="1" applyFont="1" applyFill="1" applyBorder="1" applyAlignment="1">
      <alignment horizontal="right"/>
    </xf>
    <xf numFmtId="177" fontId="8" fillId="9" borderId="0" xfId="0" applyNumberFormat="1" applyFont="1" applyFill="1" applyAlignment="1">
      <alignment horizontal="right"/>
    </xf>
    <xf numFmtId="177" fontId="10" fillId="9" borderId="0" xfId="0" applyNumberFormat="1" applyFont="1" applyFill="1" applyAlignment="1">
      <alignment horizontal="right"/>
    </xf>
    <xf numFmtId="177" fontId="8" fillId="9" borderId="3" xfId="0" applyNumberFormat="1" applyFont="1" applyFill="1" applyBorder="1" applyAlignment="1">
      <alignment horizontal="right"/>
    </xf>
    <xf numFmtId="177" fontId="13" fillId="9" borderId="3" xfId="0" applyNumberFormat="1" applyFont="1" applyFill="1" applyBorder="1" applyAlignment="1">
      <alignment horizontal="right"/>
    </xf>
    <xf numFmtId="177" fontId="10" fillId="9" borderId="3" xfId="0" applyNumberFormat="1" applyFont="1" applyFill="1" applyBorder="1" applyAlignment="1">
      <alignment horizontal="right"/>
    </xf>
    <xf numFmtId="173" fontId="52" fillId="9" borderId="0" xfId="0" applyNumberFormat="1" applyFont="1" applyFill="1" applyAlignment="1">
      <alignment horizontal="right"/>
    </xf>
    <xf numFmtId="173" fontId="3" fillId="9" borderId="0" xfId="0" applyNumberFormat="1" applyFont="1" applyFill="1"/>
    <xf numFmtId="173" fontId="9" fillId="9" borderId="0" xfId="0" applyNumberFormat="1" applyFont="1" applyFill="1" applyAlignment="1">
      <alignment horizontal="right"/>
    </xf>
    <xf numFmtId="173" fontId="6" fillId="9" borderId="0" xfId="0" applyNumberFormat="1" applyFont="1" applyFill="1" applyAlignment="1">
      <alignment horizontal="right"/>
    </xf>
    <xf numFmtId="178" fontId="9" fillId="9" borderId="0" xfId="0" applyNumberFormat="1" applyFont="1" applyFill="1" applyAlignment="1">
      <alignment horizontal="right"/>
    </xf>
    <xf numFmtId="173" fontId="13" fillId="9" borderId="0" xfId="0" applyNumberFormat="1" applyFont="1" applyFill="1" applyAlignment="1">
      <alignment horizontal="right"/>
    </xf>
    <xf numFmtId="173" fontId="13" fillId="9" borderId="3" xfId="0" applyNumberFormat="1" applyFont="1" applyFill="1" applyBorder="1" applyAlignment="1">
      <alignment horizontal="right"/>
    </xf>
    <xf numFmtId="179" fontId="6" fillId="9" borderId="0" xfId="0" applyNumberFormat="1" applyFont="1" applyFill="1" applyAlignment="1">
      <alignment horizontal="right"/>
    </xf>
    <xf numFmtId="169" fontId="6" fillId="9" borderId="0" xfId="0" applyNumberFormat="1" applyFont="1" applyFill="1" applyAlignment="1">
      <alignment horizontal="right"/>
    </xf>
    <xf numFmtId="180" fontId="6" fillId="9" borderId="0" xfId="0" applyNumberFormat="1" applyFont="1" applyFill="1" applyAlignment="1">
      <alignment horizontal="right"/>
    </xf>
    <xf numFmtId="166" fontId="6" fillId="9" borderId="0" xfId="0" applyNumberFormat="1" applyFont="1" applyFill="1" applyAlignment="1">
      <alignment horizontal="right"/>
    </xf>
    <xf numFmtId="181" fontId="10" fillId="9" borderId="3" xfId="0" applyNumberFormat="1" applyFont="1" applyFill="1" applyBorder="1" applyAlignment="1">
      <alignment horizontal="right"/>
    </xf>
    <xf numFmtId="181" fontId="6" fillId="9" borderId="0" xfId="0" applyNumberFormat="1" applyFont="1" applyFill="1" applyAlignment="1">
      <alignment horizontal="right"/>
    </xf>
    <xf numFmtId="173" fontId="37" fillId="9" borderId="0" xfId="0" applyNumberFormat="1" applyFont="1" applyFill="1" applyAlignment="1">
      <alignment horizontal="right"/>
    </xf>
    <xf numFmtId="173" fontId="20" fillId="9" borderId="0" xfId="0" applyNumberFormat="1" applyFont="1" applyFill="1" applyAlignment="1">
      <alignment horizontal="center"/>
    </xf>
    <xf numFmtId="173" fontId="21" fillId="9" borderId="0" xfId="0" applyNumberFormat="1" applyFont="1" applyFill="1" applyAlignment="1">
      <alignment horizontal="center"/>
    </xf>
    <xf numFmtId="181" fontId="13" fillId="9" borderId="0" xfId="0" applyNumberFormat="1" applyFont="1" applyFill="1" applyAlignment="1">
      <alignment horizontal="right"/>
    </xf>
    <xf numFmtId="165" fontId="6" fillId="9" borderId="0" xfId="0" applyNumberFormat="1" applyFont="1" applyFill="1" applyAlignment="1">
      <alignment horizontal="right"/>
    </xf>
    <xf numFmtId="181" fontId="10" fillId="9" borderId="0" xfId="0" applyNumberFormat="1" applyFont="1" applyFill="1" applyAlignment="1">
      <alignment horizontal="right"/>
    </xf>
    <xf numFmtId="170" fontId="10" fillId="9" borderId="0" xfId="0" applyNumberFormat="1" applyFont="1" applyFill="1" applyAlignment="1">
      <alignment horizontal="right"/>
    </xf>
    <xf numFmtId="166" fontId="0" fillId="9" borderId="0" xfId="0" applyNumberFormat="1" applyFill="1" applyAlignment="1">
      <alignment horizontal="right"/>
    </xf>
    <xf numFmtId="166" fontId="0" fillId="9" borderId="0" xfId="0" applyNumberFormat="1" applyFill="1"/>
    <xf numFmtId="164" fontId="3" fillId="9" borderId="0" xfId="0" applyNumberFormat="1" applyFont="1" applyFill="1" applyAlignment="1">
      <alignment horizontal="right"/>
    </xf>
    <xf numFmtId="164" fontId="3" fillId="9" borderId="1" xfId="0" applyNumberFormat="1" applyFont="1" applyFill="1" applyBorder="1" applyAlignment="1">
      <alignment horizontal="right"/>
    </xf>
    <xf numFmtId="164" fontId="6" fillId="9" borderId="0" xfId="0" applyNumberFormat="1" applyFont="1" applyFill="1" applyAlignment="1">
      <alignment horizontal="right"/>
    </xf>
    <xf numFmtId="171" fontId="6" fillId="9" borderId="0" xfId="0" applyNumberFormat="1" applyFont="1" applyFill="1" applyAlignment="1">
      <alignment horizontal="right"/>
    </xf>
    <xf numFmtId="170" fontId="6" fillId="9" borderId="0" xfId="0" applyNumberFormat="1" applyFont="1" applyFill="1" applyAlignment="1">
      <alignment horizontal="right"/>
    </xf>
    <xf numFmtId="166" fontId="6" fillId="9" borderId="2" xfId="0" applyNumberFormat="1" applyFont="1" applyFill="1" applyBorder="1" applyAlignment="1">
      <alignment horizontal="right"/>
    </xf>
    <xf numFmtId="164" fontId="6" fillId="9" borderId="2" xfId="0" applyNumberFormat="1" applyFont="1" applyFill="1" applyBorder="1" applyAlignment="1">
      <alignment horizontal="right"/>
    </xf>
    <xf numFmtId="171" fontId="6" fillId="9" borderId="2" xfId="0" applyNumberFormat="1" applyFont="1" applyFill="1" applyBorder="1" applyAlignment="1">
      <alignment horizontal="right"/>
    </xf>
    <xf numFmtId="170" fontId="6" fillId="9" borderId="2" xfId="0" applyNumberFormat="1" applyFont="1" applyFill="1" applyBorder="1" applyAlignment="1">
      <alignment horizontal="right"/>
    </xf>
    <xf numFmtId="166" fontId="6" fillId="9" borderId="3" xfId="0" applyNumberFormat="1" applyFont="1" applyFill="1" applyBorder="1" applyAlignment="1">
      <alignment horizontal="right"/>
    </xf>
    <xf numFmtId="164" fontId="6" fillId="9" borderId="3" xfId="0" applyNumberFormat="1" applyFont="1" applyFill="1" applyBorder="1" applyAlignment="1">
      <alignment horizontal="right"/>
    </xf>
    <xf numFmtId="171" fontId="6" fillId="9" borderId="3" xfId="0" applyNumberFormat="1" applyFont="1" applyFill="1" applyBorder="1" applyAlignment="1">
      <alignment horizontal="right"/>
    </xf>
    <xf numFmtId="170" fontId="6" fillId="9" borderId="3" xfId="0" applyNumberFormat="1" applyFont="1" applyFill="1" applyBorder="1" applyAlignment="1">
      <alignment horizontal="right"/>
    </xf>
    <xf numFmtId="172" fontId="3" fillId="9" borderId="0" xfId="0" applyNumberFormat="1" applyFont="1" applyFill="1" applyAlignment="1">
      <alignment horizontal="right"/>
    </xf>
    <xf numFmtId="170" fontId="3" fillId="9" borderId="0" xfId="0" applyNumberFormat="1" applyFont="1" applyFill="1" applyAlignment="1">
      <alignment horizontal="right"/>
    </xf>
    <xf numFmtId="172" fontId="3" fillId="9" borderId="1" xfId="0" applyNumberFormat="1" applyFont="1" applyFill="1" applyBorder="1" applyAlignment="1">
      <alignment horizontal="right"/>
    </xf>
    <xf numFmtId="172" fontId="6" fillId="9" borderId="0" xfId="0" applyNumberFormat="1" applyFont="1" applyFill="1" applyAlignment="1">
      <alignment horizontal="right"/>
    </xf>
    <xf numFmtId="172" fontId="10" fillId="9" borderId="3" xfId="0" applyNumberFormat="1" applyFont="1" applyFill="1" applyBorder="1" applyAlignment="1">
      <alignment horizontal="right"/>
    </xf>
    <xf numFmtId="170" fontId="10" fillId="9" borderId="3" xfId="0" applyNumberFormat="1" applyFont="1" applyFill="1" applyBorder="1" applyAlignment="1">
      <alignment horizontal="right"/>
    </xf>
    <xf numFmtId="0" fontId="27" fillId="9" borderId="0" xfId="0" applyFont="1" applyFill="1" applyAlignment="1">
      <alignment horizontal="left"/>
    </xf>
    <xf numFmtId="0" fontId="27" fillId="9" borderId="0" xfId="0" applyFont="1" applyFill="1"/>
    <xf numFmtId="0" fontId="27" fillId="9" borderId="0" xfId="0" applyFont="1" applyFill="1" applyAlignment="1">
      <alignment horizontal="right"/>
    </xf>
    <xf numFmtId="0" fontId="85" fillId="9" borderId="0" xfId="0" applyFont="1" applyFill="1" applyAlignment="1">
      <alignment horizontal="right"/>
    </xf>
    <xf numFmtId="6" fontId="20" fillId="9" borderId="0" xfId="0" applyNumberFormat="1" applyFont="1" applyFill="1" applyAlignment="1">
      <alignment horizontal="center"/>
    </xf>
    <xf numFmtId="177" fontId="36" fillId="9" borderId="0" xfId="0" applyNumberFormat="1" applyFont="1" applyFill="1" applyAlignment="1">
      <alignment horizontal="right"/>
    </xf>
    <xf numFmtId="177" fontId="3" fillId="9" borderId="5" xfId="0" applyNumberFormat="1" applyFont="1" applyFill="1" applyBorder="1" applyAlignment="1">
      <alignment horizontal="right"/>
    </xf>
    <xf numFmtId="177" fontId="36" fillId="9" borderId="5" xfId="0" applyNumberFormat="1" applyFont="1" applyFill="1" applyBorder="1" applyAlignment="1">
      <alignment horizontal="right"/>
    </xf>
    <xf numFmtId="177" fontId="13" fillId="9" borderId="5" xfId="0" applyNumberFormat="1" applyFont="1" applyFill="1" applyBorder="1" applyAlignment="1">
      <alignment horizontal="right"/>
    </xf>
    <xf numFmtId="173" fontId="13" fillId="9" borderId="4" xfId="0" applyNumberFormat="1" applyFont="1" applyFill="1" applyBorder="1" applyAlignment="1">
      <alignment horizontal="right"/>
    </xf>
    <xf numFmtId="173" fontId="37" fillId="9" borderId="4" xfId="0" applyNumberFormat="1" applyFont="1" applyFill="1" applyBorder="1" applyAlignment="1">
      <alignment horizontal="right"/>
    </xf>
    <xf numFmtId="173" fontId="19" fillId="9" borderId="0" xfId="0" applyNumberFormat="1" applyFont="1" applyFill="1" applyAlignment="1">
      <alignment horizontal="right"/>
    </xf>
    <xf numFmtId="3" fontId="4" fillId="9" borderId="0" xfId="0" applyNumberFormat="1" applyFont="1" applyFill="1" applyAlignment="1">
      <alignment horizontal="center"/>
    </xf>
    <xf numFmtId="173" fontId="3" fillId="9" borderId="5" xfId="0" applyNumberFormat="1" applyFont="1" applyFill="1" applyBorder="1" applyAlignment="1">
      <alignment horizontal="right"/>
    </xf>
    <xf numFmtId="173" fontId="36" fillId="9" borderId="5" xfId="0" applyNumberFormat="1" applyFont="1" applyFill="1" applyBorder="1" applyAlignment="1">
      <alignment horizontal="right"/>
    </xf>
    <xf numFmtId="0" fontId="13" fillId="9" borderId="4" xfId="0" applyFont="1" applyFill="1" applyBorder="1" applyAlignment="1">
      <alignment horizontal="right"/>
    </xf>
    <xf numFmtId="174" fontId="37" fillId="9" borderId="4" xfId="0" applyNumberFormat="1" applyFont="1" applyFill="1" applyBorder="1" applyAlignment="1">
      <alignment horizontal="right"/>
    </xf>
    <xf numFmtId="0" fontId="37" fillId="9" borderId="4" xfId="0" applyFont="1" applyFill="1" applyBorder="1" applyAlignment="1">
      <alignment horizontal="right"/>
    </xf>
    <xf numFmtId="1" fontId="4" fillId="9" borderId="0" xfId="0" applyNumberFormat="1" applyFont="1" applyFill="1" applyAlignment="1">
      <alignment horizontal="center"/>
    </xf>
    <xf numFmtId="173" fontId="36" fillId="9" borderId="0" xfId="0" applyNumberFormat="1" applyFont="1" applyFill="1" applyAlignment="1">
      <alignment horizontal="right"/>
    </xf>
    <xf numFmtId="0" fontId="16" fillId="9" borderId="0" xfId="0" applyFont="1" applyFill="1" applyAlignment="1">
      <alignment horizontal="right"/>
    </xf>
    <xf numFmtId="166" fontId="6" fillId="9" borderId="0" xfId="0" applyNumberFormat="1" applyFont="1" applyFill="1"/>
    <xf numFmtId="0" fontId="49" fillId="9" borderId="0" xfId="0" applyFont="1" applyFill="1" applyAlignment="1">
      <alignment horizontal="right"/>
    </xf>
    <xf numFmtId="0" fontId="61" fillId="9" borderId="0" xfId="0" applyFont="1" applyFill="1" applyAlignment="1">
      <alignment horizontal="right"/>
    </xf>
    <xf numFmtId="0" fontId="36" fillId="9" borderId="0" xfId="0" applyFont="1" applyFill="1" applyAlignment="1">
      <alignment horizontal="center"/>
    </xf>
    <xf numFmtId="43" fontId="36" fillId="9" borderId="0" xfId="1" applyFont="1" applyFill="1" applyBorder="1" applyAlignment="1"/>
    <xf numFmtId="43" fontId="36" fillId="9" borderId="0" xfId="1" applyFont="1" applyFill="1" applyAlignment="1"/>
    <xf numFmtId="10" fontId="36" fillId="9" borderId="0" xfId="0" applyNumberFormat="1" applyFont="1" applyFill="1"/>
    <xf numFmtId="0" fontId="36" fillId="9" borderId="5" xfId="0" applyFont="1" applyFill="1" applyBorder="1" applyAlignment="1">
      <alignment horizontal="right"/>
    </xf>
    <xf numFmtId="0" fontId="36" fillId="9" borderId="0" xfId="0" applyFont="1" applyFill="1" applyAlignment="1">
      <alignment horizontal="right"/>
    </xf>
    <xf numFmtId="0" fontId="56" fillId="9" borderId="0" xfId="0" applyFont="1" applyFill="1"/>
    <xf numFmtId="0" fontId="13" fillId="9" borderId="3" xfId="0" applyFont="1" applyFill="1" applyBorder="1" applyAlignment="1">
      <alignment horizontal="right"/>
    </xf>
    <xf numFmtId="0" fontId="13" fillId="9" borderId="0" xfId="0" applyFont="1" applyFill="1" applyAlignment="1">
      <alignment horizontal="right"/>
    </xf>
    <xf numFmtId="0" fontId="36" fillId="9" borderId="2" xfId="0" applyFont="1" applyFill="1" applyBorder="1" applyAlignment="1">
      <alignment horizontal="right"/>
    </xf>
    <xf numFmtId="0" fontId="77" fillId="9" borderId="0" xfId="0" applyFont="1" applyFill="1"/>
    <xf numFmtId="0" fontId="37" fillId="9" borderId="3" xfId="0" applyFont="1" applyFill="1" applyBorder="1" applyAlignment="1">
      <alignment horizontal="right"/>
    </xf>
    <xf numFmtId="0" fontId="37" fillId="9" borderId="7" xfId="0" applyFont="1" applyFill="1" applyBorder="1"/>
    <xf numFmtId="0" fontId="63" fillId="9" borderId="7" xfId="0" applyFont="1" applyFill="1" applyBorder="1"/>
    <xf numFmtId="0" fontId="41" fillId="9" borderId="0" xfId="0" applyFont="1" applyFill="1" applyAlignment="1">
      <alignment horizontal="right"/>
    </xf>
    <xf numFmtId="14" fontId="41" fillId="9" borderId="0" xfId="0" applyNumberFormat="1" applyFont="1" applyFill="1" applyAlignment="1">
      <alignment horizontal="right"/>
    </xf>
    <xf numFmtId="43" fontId="64" fillId="9" borderId="2" xfId="1" applyFont="1" applyFill="1" applyBorder="1" applyAlignment="1"/>
    <xf numFmtId="43" fontId="53" fillId="9" borderId="2" xfId="1" applyFont="1" applyFill="1" applyBorder="1" applyAlignment="1"/>
    <xf numFmtId="43" fontId="64" fillId="9" borderId="0" xfId="1" applyFont="1" applyFill="1" applyAlignment="1"/>
    <xf numFmtId="43" fontId="53" fillId="9" borderId="0" xfId="1" applyFont="1" applyFill="1" applyAlignment="1"/>
    <xf numFmtId="43" fontId="70" fillId="9" borderId="0" xfId="1" applyFont="1" applyFill="1"/>
    <xf numFmtId="0" fontId="63" fillId="9" borderId="8" xfId="0" applyFont="1" applyFill="1" applyBorder="1" applyAlignment="1">
      <alignment horizontal="right"/>
    </xf>
    <xf numFmtId="10" fontId="2" fillId="9" borderId="0" xfId="0" applyNumberFormat="1" applyFont="1" applyFill="1" applyAlignment="1">
      <alignment horizontal="right"/>
    </xf>
    <xf numFmtId="43" fontId="64" fillId="9" borderId="0" xfId="1" applyFont="1" applyFill="1" applyAlignment="1">
      <alignment horizontal="right"/>
    </xf>
    <xf numFmtId="43" fontId="53" fillId="9" borderId="0" xfId="1" applyFont="1" applyFill="1" applyAlignment="1">
      <alignment horizontal="right"/>
    </xf>
    <xf numFmtId="43" fontId="2" fillId="9" borderId="2" xfId="1" applyFont="1" applyFill="1" applyBorder="1" applyAlignment="1">
      <alignment horizontal="right"/>
    </xf>
    <xf numFmtId="0" fontId="75" fillId="9" borderId="0" xfId="2" applyFont="1" applyFill="1"/>
    <xf numFmtId="0" fontId="76" fillId="9" borderId="0" xfId="0" applyFont="1" applyFill="1"/>
    <xf numFmtId="174" fontId="0" fillId="9" borderId="0" xfId="0" applyNumberFormat="1" applyFill="1"/>
    <xf numFmtId="0" fontId="6" fillId="9" borderId="0" xfId="0" applyFont="1" applyFill="1"/>
    <xf numFmtId="0" fontId="75" fillId="0" borderId="0" xfId="0" applyFont="1"/>
    <xf numFmtId="1" fontId="87" fillId="0" borderId="0" xfId="0" applyNumberFormat="1" applyFont="1" applyAlignment="1">
      <alignment horizontal="left"/>
    </xf>
    <xf numFmtId="1" fontId="86" fillId="0" borderId="0" xfId="0" applyNumberFormat="1" applyFont="1"/>
    <xf numFmtId="1" fontId="86" fillId="0" borderId="0" xfId="0" applyNumberFormat="1" applyFont="1" applyAlignment="1">
      <alignment horizontal="right"/>
    </xf>
    <xf numFmtId="0" fontId="86" fillId="0" borderId="0" xfId="0" applyFont="1" applyAlignment="1">
      <alignment horizontal="right"/>
    </xf>
    <xf numFmtId="0" fontId="87" fillId="0" borderId="0" xfId="0" applyFont="1" applyAlignment="1">
      <alignment horizontal="left"/>
    </xf>
    <xf numFmtId="0" fontId="83" fillId="0" borderId="0" xfId="0" applyFont="1" applyAlignment="1">
      <alignment horizontal="left"/>
    </xf>
    <xf numFmtId="0" fontId="82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88" fillId="7" borderId="0" xfId="0" applyFont="1" applyFill="1"/>
    <xf numFmtId="0" fontId="88" fillId="7" borderId="0" xfId="0" applyFont="1" applyFill="1" applyAlignment="1">
      <alignment horizontal="left"/>
    </xf>
    <xf numFmtId="0" fontId="88" fillId="7" borderId="0" xfId="0" applyFont="1" applyFill="1" applyAlignment="1">
      <alignment horizontal="right"/>
    </xf>
    <xf numFmtId="0" fontId="3" fillId="7" borderId="0" xfId="0" applyFont="1" applyFill="1"/>
    <xf numFmtId="0" fontId="3" fillId="7" borderId="0" xfId="0" applyFont="1" applyFill="1" applyAlignment="1">
      <alignment horizontal="right"/>
    </xf>
    <xf numFmtId="0" fontId="8" fillId="2" borderId="0" xfId="0" applyFont="1" applyFill="1"/>
  </cellXfs>
  <cellStyles count="8">
    <cellStyle name="Comma 2" xfId="7" xr:uid="{2F1A5D9C-02CD-499A-85EA-661DCBBA8615}"/>
    <cellStyle name="Currency 2" xfId="5" xr:uid="{9A17BC13-A85B-47B9-967B-E87B4AE4D89E}"/>
    <cellStyle name="Hyperlink 2 2" xfId="3" xr:uid="{4C702E1E-6775-4101-8C1E-259421E0EACE}"/>
    <cellStyle name="Milliers" xfId="1" builtinId="3"/>
    <cellStyle name="Normal" xfId="0" builtinId="0"/>
    <cellStyle name="Normal 2" xfId="2" xr:uid="{7FCE4B58-E9A8-4AAF-9A96-0CF55F2C87A3}"/>
    <cellStyle name="Normal 2 2" xfId="4" xr:uid="{4C16EC9D-6C07-4CA3-95D1-048BA5DB37FE}"/>
    <cellStyle name="Percent 2" xfId="6" xr:uid="{457E886B-FA8B-4EFA-9322-B35E7B24110F}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DCF!$B$118</c:f>
              <c:strCache>
                <c:ptCount val="1"/>
                <c:pt idx="0">
                  <c:v>UFCF</c:v>
                </c:pt>
              </c:strCache>
            </c:strRef>
          </c:tx>
          <c:spPr>
            <a:solidFill>
              <a:srgbClr val="1B3E70"/>
            </a:solidFill>
            <a:ln>
              <a:solidFill>
                <a:srgbClr val="1B3E70"/>
              </a:solidFill>
              <a:prstDash val="solid"/>
            </a:ln>
            <a:effectLst/>
          </c:spPr>
          <c:invertIfNegative val="0"/>
          <c:cat>
            <c:strRef>
              <c:f>DCF!$C$117:$G$117</c:f>
              <c:strCache>
                <c:ptCount val="5"/>
                <c:pt idx="0">
                  <c:v>1F</c:v>
                </c:pt>
                <c:pt idx="1">
                  <c:v>2F</c:v>
                </c:pt>
                <c:pt idx="2">
                  <c:v>3F</c:v>
                </c:pt>
                <c:pt idx="3">
                  <c:v>4F</c:v>
                </c:pt>
                <c:pt idx="4">
                  <c:v>5F</c:v>
                </c:pt>
              </c:strCache>
            </c:strRef>
          </c:cat>
          <c:val>
            <c:numRef>
              <c:f>DCF!$C$118:$G$118</c:f>
              <c:numCache>
                <c:formatCode>_(#\ ##0_);\(#\ ##0\);_("–"_);_(@_)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05-471F-AA67-83B7103E79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3977584"/>
        <c:axId val="1373965104"/>
      </c:barChart>
      <c:catAx>
        <c:axId val="137397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4D4D4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373965104"/>
        <c:crosses val="autoZero"/>
        <c:auto val="1"/>
        <c:lblAlgn val="ctr"/>
        <c:lblOffset val="100"/>
        <c:noMultiLvlLbl val="0"/>
      </c:catAx>
      <c:valAx>
        <c:axId val="1373965104"/>
        <c:scaling>
          <c:orientation val="minMax"/>
          <c:max val="150000"/>
          <c:min val="0"/>
        </c:scaling>
        <c:delete val="0"/>
        <c:axPos val="l"/>
        <c:majorGridlines>
          <c:spPr>
            <a:ln w="9525" cap="flat" cmpd="sng" algn="ctr">
              <a:solidFill>
                <a:srgbClr val="D4D4D4"/>
              </a:solidFill>
              <a:prstDash val="solid"/>
              <a:round/>
            </a:ln>
            <a:effectLst/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solidFill>
              <a:srgbClr val="D9D9D9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373977584"/>
        <c:crosses val="autoZero"/>
        <c:crossBetween val="between"/>
        <c:majorUnit val="30000"/>
      </c:valAx>
      <c:spPr>
        <a:solidFill>
          <a:srgbClr val="FFFFFF"/>
        </a:solidFill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DCF!$B$121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rgbClr val="3271D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DCF!$C$120:$G$120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cat>
          <c:val>
            <c:numRef>
              <c:f>DCF!$C$121:$G$121</c:f>
              <c:numCache>
                <c:formatCode>_(#\ ##0_);\(#\ ##0\);_("–"_);_(@_)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BD-4965-8221-770D4399B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2917376"/>
        <c:axId val="1412916896"/>
      </c:lineChart>
      <c:catAx>
        <c:axId val="141291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4D4D4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412916896"/>
        <c:crosses val="autoZero"/>
        <c:auto val="1"/>
        <c:lblAlgn val="ctr"/>
        <c:lblOffset val="100"/>
        <c:noMultiLvlLbl val="0"/>
      </c:catAx>
      <c:valAx>
        <c:axId val="1412916896"/>
        <c:scaling>
          <c:orientation val="minMax"/>
          <c:max val="700000"/>
          <c:min val="0"/>
        </c:scaling>
        <c:delete val="0"/>
        <c:axPos val="l"/>
        <c:majorGridlines>
          <c:spPr>
            <a:ln w="9525" cap="flat" cmpd="sng" algn="ctr">
              <a:solidFill>
                <a:srgbClr val="D4D4D4"/>
              </a:solidFill>
              <a:prstDash val="solid"/>
              <a:round/>
            </a:ln>
            <a:effectLst/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412917376"/>
        <c:crosses val="autoZero"/>
        <c:crossBetween val="between"/>
        <c:majorUnit val="100000"/>
      </c:valAx>
      <c:spPr>
        <a:solidFill>
          <a:srgbClr val="FFFFFF"/>
        </a:solidFill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COMPARABLES!$C$46</c:f>
              <c:strCache>
                <c:ptCount val="1"/>
                <c:pt idx="0">
                  <c:v>EV/EBITDA (x)</c:v>
                </c:pt>
              </c:strCache>
            </c:strRef>
          </c:tx>
          <c:spPr>
            <a:solidFill>
              <a:srgbClr val="1B3E70"/>
            </a:solidFill>
            <a:ln>
              <a:solidFill>
                <a:srgbClr val="1B3E70"/>
              </a:solidFill>
              <a:prstDash val="solid"/>
            </a:ln>
            <a:effectLst/>
          </c:spPr>
          <c:invertIfNegative val="0"/>
          <c:cat>
            <c:strRef>
              <c:f>COMPARABLES!$B$47:$B$52</c:f>
              <c:strCache>
                <c:ptCount val="6"/>
                <c:pt idx="0">
                  <c:v>Peer Company 1</c:v>
                </c:pt>
                <c:pt idx="1">
                  <c:v>Peer Company 2</c:v>
                </c:pt>
                <c:pt idx="2">
                  <c:v>Peer Company 3</c:v>
                </c:pt>
                <c:pt idx="3">
                  <c:v>Peer Company 4</c:v>
                </c:pt>
                <c:pt idx="4">
                  <c:v>Peer Company 5</c:v>
                </c:pt>
                <c:pt idx="5">
                  <c:v>Mean</c:v>
                </c:pt>
              </c:strCache>
            </c:strRef>
          </c:cat>
          <c:val>
            <c:numRef>
              <c:f>COMPARABLES!$C$47:$C$52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CC-40D1-8775-F0BA6E788FE4}"/>
            </c:ext>
          </c:extLst>
        </c:ser>
        <c:ser>
          <c:idx val="1"/>
          <c:order val="1"/>
          <c:tx>
            <c:strRef>
              <c:f>COMPARABLES!$D$46</c:f>
              <c:strCache>
                <c:ptCount val="1"/>
                <c:pt idx="0">
                  <c:v>EV/Revenue (x)</c:v>
                </c:pt>
              </c:strCache>
            </c:strRef>
          </c:tx>
          <c:spPr>
            <a:solidFill>
              <a:srgbClr val="3271D2"/>
            </a:solidFill>
            <a:ln>
              <a:solidFill>
                <a:srgbClr val="3271D2"/>
              </a:solidFill>
              <a:prstDash val="solid"/>
            </a:ln>
            <a:effectLst/>
          </c:spPr>
          <c:invertIfNegative val="0"/>
          <c:cat>
            <c:strRef>
              <c:f>COMPARABLES!$B$47:$B$52</c:f>
              <c:strCache>
                <c:ptCount val="6"/>
                <c:pt idx="0">
                  <c:v>Peer Company 1</c:v>
                </c:pt>
                <c:pt idx="1">
                  <c:v>Peer Company 2</c:v>
                </c:pt>
                <c:pt idx="2">
                  <c:v>Peer Company 3</c:v>
                </c:pt>
                <c:pt idx="3">
                  <c:v>Peer Company 4</c:v>
                </c:pt>
                <c:pt idx="4">
                  <c:v>Peer Company 5</c:v>
                </c:pt>
                <c:pt idx="5">
                  <c:v>Mean</c:v>
                </c:pt>
              </c:strCache>
            </c:strRef>
          </c:cat>
          <c:val>
            <c:numRef>
              <c:f>COMPARABLES!$D$47:$D$52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CC-40D1-8775-F0BA6E788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4325679"/>
        <c:axId val="1424324719"/>
      </c:barChart>
      <c:catAx>
        <c:axId val="1424325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4D4D4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424324719"/>
        <c:crosses val="autoZero"/>
        <c:auto val="1"/>
        <c:lblAlgn val="ctr"/>
        <c:lblOffset val="100"/>
        <c:noMultiLvlLbl val="0"/>
      </c:catAx>
      <c:valAx>
        <c:axId val="1424324719"/>
        <c:scaling>
          <c:orientation val="minMax"/>
          <c:max val="25"/>
          <c:min val="0"/>
        </c:scaling>
        <c:delete val="0"/>
        <c:axPos val="l"/>
        <c:majorGridlines>
          <c:spPr>
            <a:ln w="9525" cap="flat" cmpd="sng" algn="ctr">
              <a:solidFill>
                <a:srgbClr val="D4D4D4"/>
              </a:solidFill>
              <a:prstDash val="solid"/>
              <a:round/>
            </a:ln>
            <a:effectLst/>
          </c:spPr>
        </c:majorGridlines>
        <c:numFmt formatCode="0\.0&quot;x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424325679"/>
        <c:crosses val="autoZero"/>
        <c:crossBetween val="between"/>
        <c:majorUnit val="5"/>
      </c:valAx>
      <c:spPr>
        <a:solidFill>
          <a:srgbClr val="FFFFFF"/>
        </a:solidFill>
        <a:ln w="25400">
          <a:noFill/>
        </a:ln>
        <a:effectLst/>
      </c:spPr>
    </c:plotArea>
    <c:legend>
      <c:legendPos val="b"/>
      <c:overlay val="0"/>
      <c:spPr>
        <a:solidFill>
          <a:srgbClr val="FFFFFF"/>
        </a:solidFill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SCENARIOS!$B$58</c:f>
              <c:strCache>
                <c:ptCount val="1"/>
                <c:pt idx="0">
                  <c:v>Pessimistic</c:v>
                </c:pt>
              </c:strCache>
            </c:strRef>
          </c:tx>
          <c:spPr>
            <a:ln w="28575" cap="rnd">
              <a:solidFill>
                <a:srgbClr val="EB6105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SCENARIOS!$C$57:$G$57</c:f>
              <c:numCache>
                <c:formatCode>0</c:formatCode>
                <c:ptCount val="5"/>
                <c:pt idx="0" formatCode="&quot;€&quot;#,##0_);[Red]\(&quot;€&quot;#,##0\)">
                  <c:v>1</c:v>
                </c:pt>
              </c:numCache>
            </c:numRef>
          </c:cat>
          <c:val>
            <c:numRef>
              <c:f>SCENARIOS!$C$58:$G$58</c:f>
              <c:numCache>
                <c:formatCode>_(#\ ##0_);\(#\ ##0\);_("–"_);_(@_)</c:formatCode>
                <c:ptCount val="5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2A-45E7-BBC5-7C4C51B52D86}"/>
            </c:ext>
          </c:extLst>
        </c:ser>
        <c:ser>
          <c:idx val="1"/>
          <c:order val="1"/>
          <c:tx>
            <c:strRef>
              <c:f>SCENARIOS!$B$59</c:f>
              <c:strCache>
                <c:ptCount val="1"/>
                <c:pt idx="0">
                  <c:v>Realistic</c:v>
                </c:pt>
              </c:strCache>
            </c:strRef>
          </c:tx>
          <c:spPr>
            <a:ln w="28575" cap="rnd">
              <a:solidFill>
                <a:srgbClr val="3271D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SCENARIOS!$C$57:$G$57</c:f>
              <c:numCache>
                <c:formatCode>0</c:formatCode>
                <c:ptCount val="5"/>
                <c:pt idx="0" formatCode="&quot;€&quot;#,##0_);[Red]\(&quot;€&quot;#,##0\)">
                  <c:v>1</c:v>
                </c:pt>
              </c:numCache>
            </c:numRef>
          </c:cat>
          <c:val>
            <c:numRef>
              <c:f>SCENARIOS!$C$59:$G$59</c:f>
              <c:numCache>
                <c:formatCode>_(#\ ##0_);\(#\ ##0\);_("–"_);_(@_)</c:formatCode>
                <c:ptCount val="5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2A-45E7-BBC5-7C4C51B52D86}"/>
            </c:ext>
          </c:extLst>
        </c:ser>
        <c:ser>
          <c:idx val="2"/>
          <c:order val="2"/>
          <c:tx>
            <c:strRef>
              <c:f>SCENARIOS!$B$60</c:f>
              <c:strCache>
                <c:ptCount val="1"/>
                <c:pt idx="0">
                  <c:v>Optimistic</c:v>
                </c:pt>
              </c:strCache>
            </c:strRef>
          </c:tx>
          <c:spPr>
            <a:ln w="28575" cap="rnd">
              <a:solidFill>
                <a:srgbClr val="1B3E7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SCENARIOS!$C$57:$G$57</c:f>
              <c:numCache>
                <c:formatCode>0</c:formatCode>
                <c:ptCount val="5"/>
                <c:pt idx="0" formatCode="&quot;€&quot;#,##0_);[Red]\(&quot;€&quot;#,##0\)">
                  <c:v>1</c:v>
                </c:pt>
              </c:numCache>
            </c:numRef>
          </c:cat>
          <c:val>
            <c:numRef>
              <c:f>SCENARIOS!$C$60:$G$60</c:f>
              <c:numCache>
                <c:formatCode>_(#\ ##0_);\(#\ ##0\);_("–"_);_(@_)</c:formatCode>
                <c:ptCount val="5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2A-45E7-BBC5-7C4C51B52D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6618623"/>
        <c:axId val="766619103"/>
      </c:lineChart>
      <c:catAx>
        <c:axId val="766618623"/>
        <c:scaling>
          <c:orientation val="minMax"/>
        </c:scaling>
        <c:delete val="0"/>
        <c:axPos val="b"/>
        <c:numFmt formatCode="&quot;€&quot;#,##0_);[Red]\(&quot;€&quot;#,##0\)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4D4D4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766619103"/>
        <c:crosses val="autoZero"/>
        <c:auto val="1"/>
        <c:lblAlgn val="ctr"/>
        <c:lblOffset val="100"/>
        <c:noMultiLvlLbl val="0"/>
      </c:catAx>
      <c:valAx>
        <c:axId val="766619103"/>
        <c:scaling>
          <c:orientation val="minMax"/>
          <c:max val="800000"/>
          <c:min val="300000"/>
        </c:scaling>
        <c:delete val="0"/>
        <c:axPos val="l"/>
        <c:majorGridlines>
          <c:spPr>
            <a:ln w="9525" cap="flat" cmpd="sng" algn="ctr">
              <a:solidFill>
                <a:srgbClr val="D4D4D4"/>
              </a:solidFill>
              <a:prstDash val="solid"/>
              <a:round/>
            </a:ln>
            <a:effectLst/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766618623"/>
        <c:crosses val="autoZero"/>
        <c:crossBetween val="between"/>
        <c:majorUnit val="100000"/>
      </c:valAx>
      <c:spPr>
        <a:solidFill>
          <a:srgbClr val="FFFFFF"/>
        </a:solidFill>
        <a:ln w="25400">
          <a:noFill/>
        </a:ln>
        <a:effectLst/>
      </c:spPr>
    </c:plotArea>
    <c:legend>
      <c:legendPos val="b"/>
      <c:overlay val="0"/>
      <c:spPr>
        <a:solidFill>
          <a:srgbClr val="FFFFFF"/>
        </a:solidFill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SCENARIOS!$B$63</c:f>
              <c:strCache>
                <c:ptCount val="1"/>
                <c:pt idx="0">
                  <c:v>Pessimistic</c:v>
                </c:pt>
              </c:strCache>
            </c:strRef>
          </c:tx>
          <c:spPr>
            <a:ln w="28575" cap="rnd">
              <a:solidFill>
                <a:srgbClr val="EB6105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SCENARIOS!$C$62:$G$62</c:f>
              <c:numCache>
                <c:formatCode>General</c:formatCode>
                <c:ptCount val="5"/>
                <c:pt idx="0" formatCode="&quot;€&quot;#,##0_);[Red]\(&quot;€&quot;#,##0\)">
                  <c:v>#N/A</c:v>
                </c:pt>
              </c:numCache>
            </c:numRef>
          </c:cat>
          <c:val>
            <c:numRef>
              <c:f>SCENARIOS!$C$63:$G$63</c:f>
              <c:numCache>
                <c:formatCode>_(#\ ##0_);\(#\ ##0\);_("–"_);_(@_)</c:formatCode>
                <c:ptCount val="5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1B-4D7B-B2A4-862ABC8FC7BC}"/>
            </c:ext>
          </c:extLst>
        </c:ser>
        <c:ser>
          <c:idx val="1"/>
          <c:order val="1"/>
          <c:tx>
            <c:strRef>
              <c:f>SCENARIOS!$B$64</c:f>
              <c:strCache>
                <c:ptCount val="1"/>
                <c:pt idx="0">
                  <c:v>Realistic</c:v>
                </c:pt>
              </c:strCache>
            </c:strRef>
          </c:tx>
          <c:spPr>
            <a:ln w="28575" cap="rnd">
              <a:solidFill>
                <a:srgbClr val="3271D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SCENARIOS!$C$62:$G$62</c:f>
              <c:numCache>
                <c:formatCode>General</c:formatCode>
                <c:ptCount val="5"/>
                <c:pt idx="0" formatCode="&quot;€&quot;#,##0_);[Red]\(&quot;€&quot;#,##0\)">
                  <c:v>#N/A</c:v>
                </c:pt>
              </c:numCache>
            </c:numRef>
          </c:cat>
          <c:val>
            <c:numRef>
              <c:f>SCENARIOS!$C$64:$G$64</c:f>
              <c:numCache>
                <c:formatCode>_(#\ ##0_);\(#\ ##0\);_("–"_);_(@_)</c:formatCode>
                <c:ptCount val="5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1B-4D7B-B2A4-862ABC8FC7BC}"/>
            </c:ext>
          </c:extLst>
        </c:ser>
        <c:ser>
          <c:idx val="2"/>
          <c:order val="2"/>
          <c:tx>
            <c:strRef>
              <c:f>SCENARIOS!$B$65</c:f>
              <c:strCache>
                <c:ptCount val="1"/>
                <c:pt idx="0">
                  <c:v>Optimistic</c:v>
                </c:pt>
              </c:strCache>
            </c:strRef>
          </c:tx>
          <c:spPr>
            <a:ln w="28575" cap="rnd">
              <a:solidFill>
                <a:srgbClr val="1B3E7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SCENARIOS!$C$62:$G$62</c:f>
              <c:numCache>
                <c:formatCode>General</c:formatCode>
                <c:ptCount val="5"/>
                <c:pt idx="0" formatCode="&quot;€&quot;#,##0_);[Red]\(&quot;€&quot;#,##0\)">
                  <c:v>#N/A</c:v>
                </c:pt>
              </c:numCache>
            </c:numRef>
          </c:cat>
          <c:val>
            <c:numRef>
              <c:f>SCENARIOS!$C$65:$G$65</c:f>
              <c:numCache>
                <c:formatCode>_(#\ ##0_);\(#\ ##0\);_("–"_);_(@_)</c:formatCode>
                <c:ptCount val="5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1B-4D7B-B2A4-862ABC8FC7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1816384"/>
        <c:axId val="1411817344"/>
      </c:lineChart>
      <c:catAx>
        <c:axId val="1411816384"/>
        <c:scaling>
          <c:orientation val="minMax"/>
        </c:scaling>
        <c:delete val="0"/>
        <c:axPos val="b"/>
        <c:numFmt formatCode="&quot;€&quot;#,##0_);[Red]\(&quot;€&quot;#,##0\)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4D4D4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411817344"/>
        <c:crosses val="autoZero"/>
        <c:auto val="1"/>
        <c:lblAlgn val="ctr"/>
        <c:lblOffset val="100"/>
        <c:noMultiLvlLbl val="0"/>
      </c:catAx>
      <c:valAx>
        <c:axId val="1411817344"/>
        <c:scaling>
          <c:orientation val="minMax"/>
          <c:max val="300000"/>
          <c:min val="0"/>
        </c:scaling>
        <c:delete val="0"/>
        <c:axPos val="l"/>
        <c:majorGridlines>
          <c:spPr>
            <a:ln w="9525" cap="flat" cmpd="sng" algn="ctr">
              <a:solidFill>
                <a:srgbClr val="D4D4D4"/>
              </a:solidFill>
              <a:prstDash val="solid"/>
              <a:round/>
            </a:ln>
            <a:effectLst/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411816384"/>
        <c:crosses val="autoZero"/>
        <c:crossBetween val="between"/>
        <c:majorUnit val="50000"/>
      </c:valAx>
      <c:spPr>
        <a:solidFill>
          <a:srgbClr val="FFFFFF"/>
        </a:solidFill>
        <a:ln w="25400">
          <a:noFill/>
        </a:ln>
        <a:effectLst/>
      </c:spPr>
    </c:plotArea>
    <c:legend>
      <c:legendPos val="b"/>
      <c:overlay val="0"/>
      <c:spPr>
        <a:solidFill>
          <a:srgbClr val="FFFFFF"/>
        </a:solidFill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9531666666666668E-2"/>
          <c:y val="0.15901333057052078"/>
          <c:w val="0.93106555555555559"/>
          <c:h val="0.6702016853156513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28575" cap="rnd">
              <a:noFill/>
            </a:ln>
            <a:effectLst/>
          </c:spPr>
          <c:invertIfNegative val="0"/>
          <c:val>
            <c:numRef>
              <c:f>RATIOS!$D$82:$H$82</c:f>
              <c:numCache>
                <c:formatCode>0.00%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RATIOS!#REF!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C9F0-47BC-8FD0-8BA07C7A18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2"/>
        <c:axId val="1558562207"/>
        <c:axId val="1558569407"/>
      </c:barChart>
      <c:catAx>
        <c:axId val="1558562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58569407"/>
        <c:crosses val="autoZero"/>
        <c:auto val="1"/>
        <c:lblAlgn val="ctr"/>
        <c:lblOffset val="100"/>
        <c:noMultiLvlLbl val="0"/>
      </c:catAx>
      <c:valAx>
        <c:axId val="155856940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58562207"/>
        <c:crosses val="autoZero"/>
        <c:crossBetween val="between"/>
      </c:valAx>
      <c:spPr>
        <a:solidFill>
          <a:srgbClr val="FFFFFF"/>
        </a:solidFill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v>SG&amp;A</c:v>
          </c:tx>
          <c:spPr>
            <a:solidFill>
              <a:srgbClr val="1F3864"/>
            </a:solidFill>
            <a:ln>
              <a:noFill/>
            </a:ln>
            <a:effectLst/>
          </c:spPr>
          <c:cat>
            <c:numRef>
              <c:f>RATIOS!$D$90:$H$90</c:f>
              <c:numCache>
                <c:formatCode>General</c:formatCode>
                <c:ptCount val="5"/>
              </c:numCache>
            </c:numRef>
          </c:cat>
          <c:val>
            <c:numRef>
              <c:f>RATIOS!$D$91:$H$91</c:f>
              <c:numCache>
                <c:formatCode>_(* #,##0.00_);_(* \(#,##0.00\);_(* "-"??_);_(@_)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94-4BBC-8E34-246B5F286012}"/>
            </c:ext>
          </c:extLst>
        </c:ser>
        <c:ser>
          <c:idx val="1"/>
          <c:order val="1"/>
          <c:tx>
            <c:v>R&amp;D</c:v>
          </c:tx>
          <c:spPr>
            <a:solidFill>
              <a:srgbClr val="4472C4"/>
            </a:solidFill>
            <a:ln>
              <a:noFill/>
            </a:ln>
            <a:effectLst/>
          </c:spPr>
          <c:cat>
            <c:numRef>
              <c:f>RATIOS!$D$90:$H$90</c:f>
              <c:numCache>
                <c:formatCode>General</c:formatCode>
                <c:ptCount val="5"/>
              </c:numCache>
            </c:numRef>
          </c:cat>
          <c:val>
            <c:numRef>
              <c:f>RATIOS!$D$92:$H$92</c:f>
              <c:numCache>
                <c:formatCode>_(* #,##0.00_);_(* \(#,##0.00\);_(* "-"??_);_(@_)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94-4BBC-8E34-246B5F286012}"/>
            </c:ext>
          </c:extLst>
        </c:ser>
        <c:ser>
          <c:idx val="2"/>
          <c:order val="2"/>
          <c:tx>
            <c:v>D&amp;A</c:v>
          </c:tx>
          <c:spPr>
            <a:solidFill>
              <a:srgbClr val="E8612C"/>
            </a:solidFill>
            <a:ln>
              <a:noFill/>
            </a:ln>
            <a:effectLst/>
          </c:spPr>
          <c:cat>
            <c:numRef>
              <c:f>RATIOS!$D$90:$H$90</c:f>
              <c:numCache>
                <c:formatCode>General</c:formatCode>
                <c:ptCount val="5"/>
              </c:numCache>
            </c:numRef>
          </c:cat>
          <c:val>
            <c:numRef>
              <c:f>RATIOS!$D$93:$H$93</c:f>
              <c:numCache>
                <c:formatCode>_(* #,##0.00_);_(* \(#,##0.00\);_(* "-"??_);_(@_)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94-4BBC-8E34-246B5F286012}"/>
            </c:ext>
          </c:extLst>
        </c:ser>
        <c:ser>
          <c:idx val="3"/>
          <c:order val="3"/>
          <c:tx>
            <c:v>Interest</c:v>
          </c:tx>
          <c:spPr>
            <a:solidFill>
              <a:srgbClr val="B0B0B0"/>
            </a:solidFill>
            <a:ln>
              <a:noFill/>
            </a:ln>
            <a:effectLst/>
          </c:spPr>
          <c:cat>
            <c:numRef>
              <c:f>RATIOS!$D$90:$H$90</c:f>
              <c:numCache>
                <c:formatCode>General</c:formatCode>
                <c:ptCount val="5"/>
              </c:numCache>
            </c:numRef>
          </c:cat>
          <c:val>
            <c:numRef>
              <c:f>RATIOS!$D$94:$H$94</c:f>
              <c:numCache>
                <c:formatCode>_(* #,##0.00_);_(* \(#,##0.00\);_(* "-"??_);_(@_)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94-4BBC-8E34-246B5F2860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618864"/>
        <c:axId val="1093603504"/>
      </c:areaChart>
      <c:catAx>
        <c:axId val="10936188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3603504"/>
        <c:crosses val="autoZero"/>
        <c:auto val="1"/>
        <c:lblAlgn val="ctr"/>
        <c:lblOffset val="100"/>
        <c:noMultiLvlLbl val="0"/>
      </c:catAx>
      <c:valAx>
        <c:axId val="109360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3618864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062494852202461"/>
          <c:y val="3.4725376351076899E-2"/>
          <c:w val="0.80445997103692268"/>
          <c:h val="0.86844854735213683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ysClr val="window" lastClr="FFFFFF"/>
            </a:solidFill>
            <a:ln>
              <a:solidFill>
                <a:srgbClr val="FFFFFF"/>
              </a:solidFill>
              <a:prstDash val="solid"/>
            </a:ln>
            <a:effectLst/>
          </c:spPr>
          <c:invertIfNegative val="0"/>
          <c:dLbls>
            <c:dLbl>
              <c:idx val="0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07-4F8B-84DF-588A1070E65E}"/>
                </c:ext>
              </c:extLst>
            </c:dLbl>
            <c:dLbl>
              <c:idx val="1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707-4F8B-84DF-588A1070E65E}"/>
                </c:ext>
              </c:extLst>
            </c:dLbl>
            <c:dLbl>
              <c:idx val="2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707-4F8B-84DF-588A1070E65E}"/>
                </c:ext>
              </c:extLst>
            </c:dLbl>
            <c:dLbl>
              <c:idx val="3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707-4F8B-84DF-588A1070E65E}"/>
                </c:ext>
              </c:extLst>
            </c:dLbl>
            <c:dLbl>
              <c:idx val="4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707-4F8B-84DF-588A1070E6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2'!$S$96:$S$100</c:f>
              <c:strCache>
                <c:ptCount val="5"/>
                <c:pt idx="0">
                  <c:v>52-Week Trading Range</c:v>
                </c:pt>
                <c:pt idx="1">
                  <c:v>Consensus Research</c:v>
                </c:pt>
                <c:pt idx="2">
                  <c:v>Precedent Trans.</c:v>
                </c:pt>
                <c:pt idx="3">
                  <c:v>Sum-of-the-Parts</c:v>
                </c:pt>
                <c:pt idx="4">
                  <c:v>Discounted Cash Flow</c:v>
                </c:pt>
              </c:strCache>
            </c:strRef>
          </c:cat>
          <c:val>
            <c:numRef>
              <c:f>'DASHBOARD 2'!$V$96:$V$100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5-4D1C-959F-FA9C0E02E789}"/>
            </c:ext>
          </c:extLst>
        </c:ser>
        <c:ser>
          <c:idx val="1"/>
          <c:order val="1"/>
          <c:spPr>
            <a:solidFill>
              <a:srgbClr val="1B3E70"/>
            </a:solidFill>
            <a:ln>
              <a:noFill/>
            </a:ln>
            <a:effectLst/>
          </c:spPr>
          <c:invertIfNegative val="0"/>
          <c:cat>
            <c:strRef>
              <c:f>'DASHBOARD 2'!$S$96:$S$100</c:f>
              <c:strCache>
                <c:ptCount val="5"/>
                <c:pt idx="0">
                  <c:v>52-Week Trading Range</c:v>
                </c:pt>
                <c:pt idx="1">
                  <c:v>Consensus Research</c:v>
                </c:pt>
                <c:pt idx="2">
                  <c:v>Precedent Trans.</c:v>
                </c:pt>
                <c:pt idx="3">
                  <c:v>Sum-of-the-Parts</c:v>
                </c:pt>
                <c:pt idx="4">
                  <c:v>Discounted Cash Flow</c:v>
                </c:pt>
              </c:strCache>
            </c:strRef>
          </c:cat>
          <c:val>
            <c:numRef>
              <c:f>'DASHBOARD 2'!$W$96:$W$100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707-4F8B-84DF-588A1070E65E}"/>
            </c:ext>
          </c:extLst>
        </c:ser>
        <c:ser>
          <c:idx val="2"/>
          <c:order val="2"/>
          <c:spPr>
            <a:solidFill>
              <a:sysClr val="window" lastClr="FFFFF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2'!$S$96:$S$100</c:f>
              <c:strCache>
                <c:ptCount val="5"/>
                <c:pt idx="0">
                  <c:v>52-Week Trading Range</c:v>
                </c:pt>
                <c:pt idx="1">
                  <c:v>Consensus Research</c:v>
                </c:pt>
                <c:pt idx="2">
                  <c:v>Precedent Trans.</c:v>
                </c:pt>
                <c:pt idx="3">
                  <c:v>Sum-of-the-Parts</c:v>
                </c:pt>
                <c:pt idx="4">
                  <c:v>Discounted Cash Flow</c:v>
                </c:pt>
              </c:strCache>
            </c:strRef>
          </c:cat>
          <c:val>
            <c:numRef>
              <c:f>'DASHBOARD 2'!$X$96:$X$100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707-4F8B-84DF-588A1070E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5"/>
        <c:overlap val="100"/>
        <c:axId val="1578284831"/>
        <c:axId val="1578285791"/>
      </c:barChart>
      <c:catAx>
        <c:axId val="15782848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578285791"/>
        <c:crosses val="autoZero"/>
        <c:auto val="1"/>
        <c:lblAlgn val="ctr"/>
        <c:lblOffset val="100"/>
        <c:noMultiLvlLbl val="0"/>
      </c:catAx>
      <c:valAx>
        <c:axId val="1578285791"/>
        <c:scaling>
          <c:orientation val="minMax"/>
          <c:max val="130"/>
          <c:min val="0"/>
        </c:scaling>
        <c:delete val="0"/>
        <c:axPos val="b"/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endParaRPr lang="fr-FR"/>
          </a:p>
        </c:txPr>
        <c:crossAx val="1578284831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Total Revenue</c:v>
          </c:tx>
          <c:spPr>
            <a:solidFill>
              <a:schemeClr val="accent1"/>
            </a:solidFill>
            <a:ln w="25400">
              <a:noFill/>
            </a:ln>
            <a:effectLst/>
          </c:spPr>
          <c:invertIfNegative val="0"/>
          <c:dLbls>
            <c:delete val="1"/>
          </c:dLbls>
          <c:cat>
            <c:numRef>
              <c:f>'DASHBOARD 2'!$C$103:$G$103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cat>
          <c:val>
            <c:numRef>
              <c:f>'DASHBOARD 2'!$C$105:$G$105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E1-42BA-A952-0879839E016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2"/>
        <c:overlap val="100"/>
        <c:axId val="1595827455"/>
        <c:axId val="1595828895"/>
      </c:barChart>
      <c:lineChart>
        <c:grouping val="standard"/>
        <c:varyColors val="0"/>
        <c:ser>
          <c:idx val="1"/>
          <c:order val="1"/>
          <c:tx>
            <c:v>Revenue Growth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4E1-42BA-A952-0879839E0160}"/>
                </c:ext>
              </c:extLst>
            </c:dLbl>
            <c:dLbl>
              <c:idx val="3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4E1-42BA-A952-0879839E0160}"/>
                </c:ext>
              </c:extLst>
            </c:dLbl>
            <c:dLbl>
              <c:idx val="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4E1-42BA-A952-0879839E0160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solidFill>
                        <a:schemeClr val="accent2"/>
                      </a:solidFill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'DASHBOARD 2'!$C$103:$G$103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cat>
          <c:val>
            <c:numRef>
              <c:f>'DASHBOARD 2'!$C$104:$G$104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E1-42BA-A952-0879839E016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28833696"/>
        <c:axId val="1028832736"/>
      </c:lineChart>
      <c:catAx>
        <c:axId val="15958274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95828895"/>
        <c:crosses val="autoZero"/>
        <c:auto val="1"/>
        <c:lblAlgn val="ctr"/>
        <c:lblOffset val="100"/>
        <c:noMultiLvlLbl val="0"/>
      </c:catAx>
      <c:valAx>
        <c:axId val="159582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8E8E8"/>
              </a:solidFill>
              <a:prstDash val="solid"/>
              <a:round/>
            </a:ln>
            <a:effectLst/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95827455"/>
        <c:crosses val="autoZero"/>
        <c:crossBetween val="between"/>
      </c:valAx>
      <c:valAx>
        <c:axId val="102883273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28833696"/>
        <c:crosses val="max"/>
        <c:crossBetween val="between"/>
      </c:valAx>
      <c:catAx>
        <c:axId val="10288336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28832736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50052860337888E-2"/>
          <c:y val="6.1612990961383271E-2"/>
          <c:w val="0.88019241912942703"/>
          <c:h val="0.86044690359650988"/>
        </c:manualLayout>
      </c:layout>
      <c:lineChart>
        <c:grouping val="standard"/>
        <c:varyColors val="0"/>
        <c:ser>
          <c:idx val="0"/>
          <c:order val="0"/>
          <c:tx>
            <c:v>EBITDA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 cap="flat">
                <a:solidFill>
                  <a:schemeClr val="accent1"/>
                </a:solidFill>
                <a:round/>
              </a:ln>
              <a:effectLst/>
            </c:spPr>
          </c:marker>
          <c:cat>
            <c:numRef>
              <c:f>'DASHBOARD 2'!$P$103:$T$103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cat>
          <c:val>
            <c:numRef>
              <c:f>'DASHBOARD 2'!$P$104:$T$104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6-496B-82AC-83D9E9CB4E6C}"/>
            </c:ext>
          </c:extLst>
        </c:ser>
        <c:ser>
          <c:idx val="1"/>
          <c:order val="1"/>
          <c:tx>
            <c:v>CFO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'DASHBOARD 2'!$P$103:$T$103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cat>
          <c:val>
            <c:numRef>
              <c:f>'DASHBOARD 2'!$P$105:$T$105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6-496B-82AC-83D9E9CB4E6C}"/>
            </c:ext>
          </c:extLst>
        </c:ser>
        <c:ser>
          <c:idx val="2"/>
          <c:order val="2"/>
          <c:tx>
            <c:v>Net Income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'DASHBOARD 2'!$P$103:$T$103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cat>
          <c:val>
            <c:numRef>
              <c:f>'DASHBOARD 2'!$P$106:$T$106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6-496B-82AC-83D9E9CB4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5109167"/>
        <c:axId val="1535092847"/>
      </c:lineChart>
      <c:catAx>
        <c:axId val="1535109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35092847"/>
        <c:crosses val="autoZero"/>
        <c:auto val="1"/>
        <c:lblAlgn val="ctr"/>
        <c:lblOffset val="100"/>
        <c:noMultiLvlLbl val="0"/>
      </c:catAx>
      <c:valAx>
        <c:axId val="153509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35109167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ACME Share Price</c:v>
          </c:tx>
          <c:spPr>
            <a:ln w="28575" cap="rnd">
              <a:solidFill>
                <a:srgbClr val="E8612C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STOCK_DATA!$B$3:$B$15</c:f>
              <c:strCache>
                <c:ptCount val="13"/>
                <c:pt idx="0">
                  <c:v>mars</c:v>
                </c:pt>
                <c:pt idx="1">
                  <c:v>avr</c:v>
                </c:pt>
                <c:pt idx="2">
                  <c:v>mai</c:v>
                </c:pt>
                <c:pt idx="3">
                  <c:v>juin</c:v>
                </c:pt>
                <c:pt idx="4">
                  <c:v>juil</c:v>
                </c:pt>
                <c:pt idx="5">
                  <c:v>août</c:v>
                </c:pt>
                <c:pt idx="6">
                  <c:v>sept</c:v>
                </c:pt>
                <c:pt idx="7">
                  <c:v>oct</c:v>
                </c:pt>
                <c:pt idx="8">
                  <c:v>nov</c:v>
                </c:pt>
                <c:pt idx="9">
                  <c:v>déc</c:v>
                </c:pt>
                <c:pt idx="10">
                  <c:v>janv</c:v>
                </c:pt>
                <c:pt idx="11">
                  <c:v>févr</c:v>
                </c:pt>
                <c:pt idx="12">
                  <c:v>mars</c:v>
                </c:pt>
              </c:strCache>
            </c:strRef>
          </c:cat>
          <c:val>
            <c:numRef>
              <c:f>STOCK_DATA!$C$3:$C$15</c:f>
              <c:numCache>
                <c:formatCode>"€"#\ ##0.00</c:formatCode>
                <c:ptCount val="13"/>
                <c:pt idx="0">
                  <c:v>39.200000000000003</c:v>
                </c:pt>
                <c:pt idx="1">
                  <c:v>41.5</c:v>
                </c:pt>
                <c:pt idx="2">
                  <c:v>44.8</c:v>
                </c:pt>
                <c:pt idx="3">
                  <c:v>43.2</c:v>
                </c:pt>
                <c:pt idx="4">
                  <c:v>47.6</c:v>
                </c:pt>
                <c:pt idx="5">
                  <c:v>50.3</c:v>
                </c:pt>
                <c:pt idx="6">
                  <c:v>52.1</c:v>
                </c:pt>
                <c:pt idx="7">
                  <c:v>49.8</c:v>
                </c:pt>
                <c:pt idx="8">
                  <c:v>51.4</c:v>
                </c:pt>
                <c:pt idx="9">
                  <c:v>53.9</c:v>
                </c:pt>
                <c:pt idx="10">
                  <c:v>51.2</c:v>
                </c:pt>
                <c:pt idx="11">
                  <c:v>49.6</c:v>
                </c:pt>
                <c:pt idx="12">
                  <c:v>48.5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1A-490C-B0A6-0E1F7405E7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6409328"/>
        <c:axId val="1116398288"/>
      </c:lineChart>
      <c:catAx>
        <c:axId val="111640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16398288"/>
        <c:crosses val="autoZero"/>
        <c:auto val="1"/>
        <c:lblAlgn val="ctr"/>
        <c:lblOffset val="100"/>
        <c:tickLblSkip val="1"/>
        <c:noMultiLvlLbl val="0"/>
      </c:catAx>
      <c:valAx>
        <c:axId val="111639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  <a:effectLst/>
          </c:spPr>
        </c:majorGridlines>
        <c:numFmt formatCode="&quot;€&quot;#\ 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16409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_xlchart.v1.0</cx:f>
      </cx:strDim>
      <cx:numDim type="val">
        <cx:f dir="row">_xlchart.v1.1</cx:f>
      </cx:numDim>
    </cx:data>
  </cx:chartData>
  <cx:chart>
    <cx:title pos="t" align="ctr" overlay="0">
      <cx:tx>
        <cx:txData>
          <cx:v>Cumulative Revenue</cx:v>
        </cx:txData>
      </cx:tx>
    </cx:title>
    <cx:plotArea>
      <cx:plotAreaRegion>
        <cx:plotSurface>
          <cx:spPr>
            <a:ln>
              <a:noFill/>
            </a:ln>
          </cx:spPr>
        </cx:plotSurface>
        <cx:series layoutId="waterfall" uniqueId="{BFC880A3-6712-49DF-B095-259B8AC9DB34}">
          <cx:spPr>
            <a:solidFill>
              <a:srgbClr val="132E57"/>
            </a:solidFill>
          </cx:spPr>
          <cx:dataLabels pos="outEnd">
            <cx:visibility seriesName="0" categoryName="0" value="1"/>
          </cx:dataLabels>
          <cx:dataId val="0"/>
          <cx:layoutPr>
            <cx:visibility connectorLines="1"/>
            <cx:subtotals/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image" Target="../media/image1.emf"/><Relationship Id="rId4" Type="http://schemas.openxmlformats.org/officeDocument/2006/relationships/chart" Target="../charts/chart1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203200</xdr:colOff>
      <xdr:row>122</xdr:row>
      <xdr:rowOff>41275</xdr:rowOff>
    </xdr:from>
    <xdr:to>
      <xdr:col>3</xdr:col>
      <xdr:colOff>196850</xdr:colOff>
      <xdr:row>140</xdr:row>
      <xdr:rowOff>180975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6B5D01E-9358-9BFB-7140-C924CCC970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98284</xdr:colOff>
      <xdr:row>122</xdr:row>
      <xdr:rowOff>69026</xdr:rowOff>
    </xdr:from>
    <xdr:to>
      <xdr:col>11</xdr:col>
      <xdr:colOff>46214</xdr:colOff>
      <xdr:row>141</xdr:row>
      <xdr:rowOff>22483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92D5C80-D61D-FD50-393E-AC75820436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269875</xdr:colOff>
      <xdr:row>46</xdr:row>
      <xdr:rowOff>28575</xdr:rowOff>
    </xdr:from>
    <xdr:to>
      <xdr:col>11</xdr:col>
      <xdr:colOff>695325</xdr:colOff>
      <xdr:row>63</xdr:row>
      <xdr:rowOff>92075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C99948DC-17CF-2781-6A80-10AD032D9F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508000</xdr:colOff>
      <xdr:row>68</xdr:row>
      <xdr:rowOff>28575</xdr:rowOff>
    </xdr:from>
    <xdr:to>
      <xdr:col>3</xdr:col>
      <xdr:colOff>758825</xdr:colOff>
      <xdr:row>83</xdr:row>
      <xdr:rowOff>92075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50F632A8-92B4-1C4F-5534-0C85F07636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117475</xdr:colOff>
      <xdr:row>68</xdr:row>
      <xdr:rowOff>28575</xdr:rowOff>
    </xdr:from>
    <xdr:to>
      <xdr:col>10</xdr:col>
      <xdr:colOff>34925</xdr:colOff>
      <xdr:row>83</xdr:row>
      <xdr:rowOff>92075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F2672E7E-E4C5-ABF2-F0DB-8EC6779E71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406399</xdr:colOff>
      <xdr:row>9</xdr:row>
      <xdr:rowOff>95250</xdr:rowOff>
    </xdr:from>
    <xdr:to>
      <xdr:col>12</xdr:col>
      <xdr:colOff>390525</xdr:colOff>
      <xdr:row>22</xdr:row>
      <xdr:rowOff>92074</xdr:rowOff>
    </xdr:to>
    <xdr:graphicFrame macro="">
      <xdr:nvGraphicFramePr>
        <xdr:cNvPr id="22" name="Profit Margins">
          <a:extLst>
            <a:ext uri="{FF2B5EF4-FFF2-40B4-BE49-F238E27FC236}">
              <a16:creationId xmlns:a16="http://schemas.microsoft.com/office/drawing/2014/main" id="{1AFF9685-BA09-1655-8820-2BF59D6D5A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711202</xdr:colOff>
      <xdr:row>25</xdr:row>
      <xdr:rowOff>124945</xdr:rowOff>
    </xdr:from>
    <xdr:to>
      <xdr:col>12</xdr:col>
      <xdr:colOff>180977</xdr:colOff>
      <xdr:row>39</xdr:row>
      <xdr:rowOff>123825</xdr:rowOff>
    </xdr:to>
    <xdr:graphicFrame macro="">
      <xdr:nvGraphicFramePr>
        <xdr:cNvPr id="11" name="Expense Breakdown">
          <a:extLst>
            <a:ext uri="{FF2B5EF4-FFF2-40B4-BE49-F238E27FC236}">
              <a16:creationId xmlns:a16="http://schemas.microsoft.com/office/drawing/2014/main" id="{A0B53B74-FD6A-E194-E1DC-038E411035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333379</xdr:colOff>
      <xdr:row>26</xdr:row>
      <xdr:rowOff>38100</xdr:rowOff>
    </xdr:from>
    <xdr:to>
      <xdr:col>5</xdr:col>
      <xdr:colOff>809626</xdr:colOff>
      <xdr:row>38</xdr:row>
      <xdr:rowOff>76202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3" name="Cumulative Revenue">
              <a:extLst>
                <a:ext uri="{FF2B5EF4-FFF2-40B4-BE49-F238E27FC236}">
                  <a16:creationId xmlns:a16="http://schemas.microsoft.com/office/drawing/2014/main" id="{AC460D74-1D9A-E0CC-BC6B-34C988DB0C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9179" y="5509260"/>
              <a:ext cx="4598667" cy="232410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7</xdr:row>
      <xdr:rowOff>0</xdr:rowOff>
    </xdr:from>
    <xdr:to>
      <xdr:col>15</xdr:col>
      <xdr:colOff>0</xdr:colOff>
      <xdr:row>16</xdr:row>
      <xdr:rowOff>0</xdr:rowOff>
    </xdr:to>
    <xdr:sp macro="" textlink="">
      <xdr:nvSpPr>
        <xdr:cNvPr id="3" name="TextBox 7">
          <a:extLst>
            <a:ext uri="{FF2B5EF4-FFF2-40B4-BE49-F238E27FC236}">
              <a16:creationId xmlns:a16="http://schemas.microsoft.com/office/drawing/2014/main" id="{F76D1E24-56CE-4C45-9438-48F9FD02A108}"/>
            </a:ext>
          </a:extLst>
        </xdr:cNvPr>
        <xdr:cNvSpPr txBox="1"/>
      </xdr:nvSpPr>
      <xdr:spPr>
        <a:xfrm>
          <a:off x="714376" y="1771650"/>
          <a:ext cx="11944349" cy="1714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20000"/>
            </a:lnSpc>
            <a:spcBef>
              <a:spcPts val="60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CA" sz="900">
              <a:solidFill>
                <a:schemeClr val="dk1"/>
              </a:solidFill>
              <a:effectLst/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rPr>
            <a:t>NAMEHERE was founded in 2005 and is headquartered in New York, NY, USA.</a:t>
          </a:r>
          <a:r>
            <a:rPr lang="en-US" sz="900" baseline="0">
              <a:solidFill>
                <a:schemeClr val="dk1"/>
              </a:solidFill>
              <a:effectLst/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rPr>
            <a:t> It is </a:t>
          </a:r>
          <a:r>
            <a:rPr lang="en-CA" sz="900"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rPr>
            <a:t>a global retailer of consumer products and subscriptions. </a:t>
          </a:r>
        </a:p>
        <a:p>
          <a:pPr marL="0" marR="0" lvl="0" indent="0" defTabSz="914400" eaLnBrk="1" fontAlgn="auto" latinLnBrk="0" hangingPunct="1">
            <a:lnSpc>
              <a:spcPct val="120000"/>
            </a:lnSpc>
            <a:spcBef>
              <a:spcPts val="60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CA" sz="900"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rPr>
            <a:t>The company operates through three segments: North America, Europe, and International. It's business activities include:</a:t>
          </a:r>
        </a:p>
        <a:p>
          <a:pPr marL="360000" lvl="1" indent="-171450">
            <a:lnSpc>
              <a:spcPct val="120000"/>
            </a:lnSpc>
            <a:spcBef>
              <a:spcPts val="300"/>
            </a:spcBef>
            <a:buFont typeface="Arial" panose="020B0604020202020204" pitchFamily="34" charset="0"/>
            <a:buChar char="•"/>
          </a:pPr>
          <a:r>
            <a:rPr lang="en-CA" sz="900"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rPr>
            <a:t>Selling merchandise and content purchased for resale from third-party sellers through physical and online stores</a:t>
          </a:r>
        </a:p>
        <a:p>
          <a:pPr marL="360000" lvl="1" indent="-171450">
            <a:lnSpc>
              <a:spcPct val="120000"/>
            </a:lnSpc>
            <a:spcBef>
              <a:spcPts val="300"/>
            </a:spcBef>
            <a:buFont typeface="Arial" panose="020B0604020202020204" pitchFamily="34" charset="0"/>
            <a:buChar char="•"/>
          </a:pPr>
          <a:r>
            <a:rPr lang="en-CA" sz="900"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rPr>
            <a:t>Offering programs that enable sellers to sell their products and content on its websites and</a:t>
          </a:r>
          <a:r>
            <a:rPr lang="en-CA" sz="900" baseline="0"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rPr>
            <a:t> </a:t>
          </a:r>
          <a:r>
            <a:rPr lang="en-CA" sz="900"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rPr>
            <a:t>its stores</a:t>
          </a:r>
        </a:p>
        <a:p>
          <a:pPr marL="360000" lvl="1" indent="-171450">
            <a:lnSpc>
              <a:spcPct val="120000"/>
            </a:lnSpc>
            <a:spcBef>
              <a:spcPts val="300"/>
            </a:spcBef>
            <a:buFont typeface="Arial" panose="020B0604020202020204" pitchFamily="34" charset="0"/>
            <a:buChar char="•"/>
          </a:pPr>
          <a:r>
            <a:rPr lang="en-CA" sz="900"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rPr>
            <a:t>Manufacturing and selling electronic devices and developing and producing media content</a:t>
          </a:r>
        </a:p>
        <a:p>
          <a:pPr marL="360000" lvl="1" indent="-171450">
            <a:lnSpc>
              <a:spcPct val="120000"/>
            </a:lnSpc>
            <a:spcBef>
              <a:spcPts val="300"/>
            </a:spcBef>
            <a:buFont typeface="Arial" panose="020B0604020202020204" pitchFamily="34" charset="0"/>
            <a:buChar char="•"/>
          </a:pPr>
          <a:r>
            <a:rPr lang="en-CA" sz="900"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rPr>
            <a:t>Providing compute, storage, database, and other services, as well as fulfillment, advertising, publishing, and digital content subscriptions</a:t>
          </a:r>
        </a:p>
        <a:p>
          <a:pPr marL="360000" lvl="1" indent="-171450">
            <a:lnSpc>
              <a:spcPct val="120000"/>
            </a:lnSpc>
            <a:spcBef>
              <a:spcPts val="300"/>
            </a:spcBef>
            <a:buFont typeface="Arial" panose="020B0604020202020204" pitchFamily="34" charset="0"/>
            <a:buChar char="•"/>
          </a:pPr>
          <a:r>
            <a:rPr lang="en-CA" sz="900"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rPr>
            <a:t>Offering a membership program, which provides free shipping of various items; </a:t>
          </a:r>
        </a:p>
      </xdr:txBody>
    </xdr:sp>
    <xdr:clientData/>
  </xdr:twoCellAnchor>
  <xdr:twoCellAnchor>
    <xdr:from>
      <xdr:col>8</xdr:col>
      <xdr:colOff>0</xdr:colOff>
      <xdr:row>20</xdr:row>
      <xdr:rowOff>11204</xdr:rowOff>
    </xdr:from>
    <xdr:to>
      <xdr:col>15</xdr:col>
      <xdr:colOff>0</xdr:colOff>
      <xdr:row>36</xdr:row>
      <xdr:rowOff>56028</xdr:rowOff>
    </xdr:to>
    <xdr:graphicFrame macro="">
      <xdr:nvGraphicFramePr>
        <xdr:cNvPr id="12" name="Football Field">
          <a:extLst>
            <a:ext uri="{FF2B5EF4-FFF2-40B4-BE49-F238E27FC236}">
              <a16:creationId xmlns:a16="http://schemas.microsoft.com/office/drawing/2014/main" id="{91D85B5A-D117-C087-5FD4-C8DCCC75BE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28576</xdr:colOff>
      <xdr:row>39</xdr:row>
      <xdr:rowOff>171449</xdr:rowOff>
    </xdr:from>
    <xdr:to>
      <xdr:col>7</xdr:col>
      <xdr:colOff>56030</xdr:colOff>
      <xdr:row>56</xdr:row>
      <xdr:rowOff>56028</xdr:rowOff>
    </xdr:to>
    <xdr:graphicFrame macro="">
      <xdr:nvGraphicFramePr>
        <xdr:cNvPr id="13" name="Total Revenue">
          <a:extLst>
            <a:ext uri="{FF2B5EF4-FFF2-40B4-BE49-F238E27FC236}">
              <a16:creationId xmlns:a16="http://schemas.microsoft.com/office/drawing/2014/main" id="{CFA4136A-8E4F-118C-7FA9-F475F08015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9527</xdr:colOff>
      <xdr:row>40</xdr:row>
      <xdr:rowOff>33617</xdr:rowOff>
    </xdr:from>
    <xdr:to>
      <xdr:col>15</xdr:col>
      <xdr:colOff>0</xdr:colOff>
      <xdr:row>56</xdr:row>
      <xdr:rowOff>89647</xdr:rowOff>
    </xdr:to>
    <xdr:graphicFrame macro="">
      <xdr:nvGraphicFramePr>
        <xdr:cNvPr id="14" name="Financial Metrics">
          <a:extLst>
            <a:ext uri="{FF2B5EF4-FFF2-40B4-BE49-F238E27FC236}">
              <a16:creationId xmlns:a16="http://schemas.microsoft.com/office/drawing/2014/main" id="{5EABA563-6DA1-C516-7753-9B1FD9CEA9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11205</xdr:colOff>
      <xdr:row>19</xdr:row>
      <xdr:rowOff>100853</xdr:rowOff>
    </xdr:from>
    <xdr:to>
      <xdr:col>6</xdr:col>
      <xdr:colOff>818029</xdr:colOff>
      <xdr:row>36</xdr:row>
      <xdr:rowOff>30629</xdr:rowOff>
    </xdr:to>
    <xdr:graphicFrame macro="">
      <xdr:nvGraphicFramePr>
        <xdr:cNvPr id="9" name="Stock Chart 52W">
          <a:extLst>
            <a:ext uri="{FF2B5EF4-FFF2-40B4-BE49-F238E27FC236}">
              <a16:creationId xmlns:a16="http://schemas.microsoft.com/office/drawing/2014/main" id="{97B86410-E4A8-CBED-3DCB-9ED2EE6E64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69</xdr:row>
          <xdr:rowOff>0</xdr:rowOff>
        </xdr:from>
        <xdr:to>
          <xdr:col>8</xdr:col>
          <xdr:colOff>419100</xdr:colOff>
          <xdr:row>85</xdr:row>
          <xdr:rowOff>0</xdr:rowOff>
        </xdr:to>
        <xdr:pic>
          <xdr:nvPicPr>
            <xdr:cNvPr id="10263" name="Picture 23">
              <a:extLst>
                <a:ext uri="{FF2B5EF4-FFF2-40B4-BE49-F238E27FC236}">
                  <a16:creationId xmlns:a16="http://schemas.microsoft.com/office/drawing/2014/main" id="{A0F72405-D53E-C471-A8B6-BE8C81E6F013}"/>
                </a:ext>
              </a:extLst>
            </xdr:cNvPr>
            <xdr:cNvPicPr preferRelativeResize="0">
              <a:picLocks noChangeArrowheads="1"/>
              <a:extLst>
                <a:ext uri="{84589F7E-364E-4C9E-8A38-B11213B215E9}">
                  <a14:cameraTool cellRange="[1]Chart!$E$10:$L$25" spid="_x0000_s10573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2133600" y="13811250"/>
              <a:ext cx="5467350" cy="3048000"/>
            </a:xfrm>
            <a:prstGeom prst="rect">
              <a:avLst/>
            </a:prstGeom>
            <a:solidFill>
              <a:srgbClr val="FFFFFF" mc:Ignorable="a14" a14:legacySpreadsheetColorIndex="9"/>
            </a:solidFill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69</xdr:row>
          <xdr:rowOff>0</xdr:rowOff>
        </xdr:from>
        <xdr:to>
          <xdr:col>8</xdr:col>
          <xdr:colOff>419100</xdr:colOff>
          <xdr:row>85</xdr:row>
          <xdr:rowOff>0</xdr:rowOff>
        </xdr:to>
        <xdr:pic>
          <xdr:nvPicPr>
            <xdr:cNvPr id="10477" name="Picture 2">
              <a:extLst>
                <a:ext uri="{FF2B5EF4-FFF2-40B4-BE49-F238E27FC236}">
                  <a16:creationId xmlns:a16="http://schemas.microsoft.com/office/drawing/2014/main" id="{2E724752-0DCB-C05C-608B-12B929D9B909}"/>
                </a:ext>
              </a:extLst>
            </xdr:cNvPr>
            <xdr:cNvPicPr preferRelativeResize="0">
              <a:picLocks noChangeArrowheads="1"/>
              <a:extLst>
                <a:ext uri="{84589F7E-364E-4C9E-8A38-B11213B215E9}">
                  <a14:cameraTool cellRange="[1]Chart!$E$10:$L$25" spid="_x0000_s10574"/>
                </a:ext>
              </a:extLst>
            </xdr:cNvPicPr>
          </xdr:nvPicPr>
          <xdr:blipFill>
            <a:blip xmlns:r="http://schemas.openxmlformats.org/officeDocument/2006/relationships" r:embed="rId5">
              <a:extLst>
                <a:ext uri="{28A0092B-C50C-407E-A947-70E740481C1C}">
                  <a14:useLocalDpi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133600" y="13811250"/>
              <a:ext cx="5467350" cy="3048000"/>
            </a:xfrm>
            <a:prstGeom prst="rect">
              <a:avLst/>
            </a:prstGeom>
            <a:solidFill>
              <a:srgbClr val="FFFFFF" mc:Ignorable="a14" a14:legacySpreadsheetColorIndex="9"/>
            </a:solidFill>
          </xdr:spPr>
        </xdr:pic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apti\Downloads\Excel%20Data%20Visualization%20&amp;%20Dashboards%20(Complete)%20(1).xlsx" TargetMode="External"/><Relationship Id="rId1" Type="http://schemas.openxmlformats.org/officeDocument/2006/relationships/externalLinkPath" Target="file:///C:\Users\bapti\Downloads\Excel%20Data%20Visualization%20&amp;%20Dashboards%20(Complete)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 1"/>
      <sheetName val="Dashboard 2"/>
      <sheetName val="Chart"/>
    </sheetNames>
    <sheetDataSet>
      <sheetData sheetId="0"/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5681A-C07F-45A7-BC1F-B77D181B8CB7}">
  <we:reference id="wa200009404" version="1.0.0.8" store="fr-FR" storeType="OMEX"/>
  <we:alternateReferences>
    <we:reference id="wa200009404" version="1.0.0.8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1ED4E-4B13-48DE-94FC-49CD65CB8271}">
  <sheetPr>
    <pageSetUpPr fitToPage="1"/>
  </sheetPr>
  <dimension ref="A1:K151"/>
  <sheetViews>
    <sheetView showGridLines="0" tabSelected="1" topLeftCell="A82" zoomScale="94" zoomScaleNormal="130" workbookViewId="0">
      <selection activeCell="J96" sqref="J96"/>
    </sheetView>
  </sheetViews>
  <sheetFormatPr baseColWidth="10" defaultRowHeight="14.4" x14ac:dyDescent="0.3"/>
  <cols>
    <col min="1" max="1" width="11" customWidth="1"/>
    <col min="2" max="2" width="50" style="19" customWidth="1"/>
    <col min="3" max="3" width="15.6640625" customWidth="1"/>
    <col min="4" max="8" width="13.33203125" style="21" customWidth="1"/>
  </cols>
  <sheetData>
    <row r="1" spans="1:8" ht="54.9" customHeight="1" x14ac:dyDescent="0.6">
      <c r="A1" s="250"/>
      <c r="B1" s="118"/>
      <c r="C1" s="5"/>
      <c r="D1" s="5"/>
      <c r="E1" s="5"/>
      <c r="F1" s="117"/>
      <c r="G1" s="5"/>
      <c r="H1" s="5"/>
    </row>
    <row r="2" spans="1:8" ht="15" customHeight="1" x14ac:dyDescent="0.35">
      <c r="A2" s="3"/>
      <c r="B2" s="14"/>
      <c r="C2" s="3"/>
      <c r="D2" s="22"/>
      <c r="E2" s="22"/>
      <c r="F2" s="22"/>
      <c r="G2" s="22"/>
      <c r="H2" s="22"/>
    </row>
    <row r="3" spans="1:8" ht="18" customHeight="1" x14ac:dyDescent="0.5">
      <c r="A3" s="126"/>
      <c r="B3" s="15" t="s">
        <v>331</v>
      </c>
      <c r="C3" s="7"/>
      <c r="D3" s="23"/>
      <c r="E3" s="23"/>
      <c r="F3" s="23"/>
      <c r="G3" s="23"/>
      <c r="H3" s="23"/>
    </row>
    <row r="4" spans="1:8" ht="15" customHeight="1" x14ac:dyDescent="0.35">
      <c r="A4" s="3"/>
      <c r="B4" s="12" t="s">
        <v>1</v>
      </c>
      <c r="C4" s="3"/>
      <c r="D4" s="22"/>
      <c r="E4" s="22"/>
      <c r="F4" s="22"/>
      <c r="G4" s="22"/>
      <c r="H4" s="22"/>
    </row>
    <row r="5" spans="1:8" ht="15" customHeight="1" x14ac:dyDescent="0.35">
      <c r="A5" s="251"/>
      <c r="B5" s="16" t="s">
        <v>2</v>
      </c>
      <c r="C5" s="1" t="s">
        <v>3</v>
      </c>
      <c r="D5" s="24" t="str">
        <f>IF(1&gt;$F$128,"",IF(1=$G$128,VALUE($D$117)&amp;" (LTM)",VALUE($D$117)-($G$128-1)))</f>
        <v/>
      </c>
      <c r="E5" s="24" t="str">
        <f>IF(2&gt;$F$128,"",IF(2=$G$128,VALUE($D$117)&amp;" (LTM)",VALUE($D$117)-($G$128-2)))</f>
        <v/>
      </c>
      <c r="F5" s="24" t="str">
        <f>IF(3&gt;$F$128,"",IF(3=$G$128,VALUE($D$117)&amp;" (LTM)",VALUE($D$117)-($G$128-3)))</f>
        <v/>
      </c>
      <c r="G5" s="24" t="str">
        <f>IF(4&gt;$F$128,"",IF(4=$G$128,VALUE($D$117)&amp;" (LTM)",VALUE($D$117)-($G$128-4)))</f>
        <v/>
      </c>
      <c r="H5" s="24" t="str">
        <f>IF(5&gt;$F$128,"",IF(5=$G$128,VALUE($D$117)&amp;" (LTM)",VALUE($D$117)-($G$128-5)))</f>
        <v/>
      </c>
    </row>
    <row r="6" spans="1:8" ht="15" customHeight="1" x14ac:dyDescent="0.35">
      <c r="A6" s="3"/>
      <c r="B6" s="14"/>
      <c r="C6" s="3"/>
      <c r="D6" s="22"/>
      <c r="E6" s="22"/>
      <c r="F6" s="22"/>
      <c r="G6" s="22"/>
      <c r="H6" s="22"/>
    </row>
    <row r="7" spans="1:8" ht="18" customHeight="1" x14ac:dyDescent="0.5">
      <c r="A7" s="126" t="s">
        <v>343</v>
      </c>
      <c r="B7" s="15" t="s">
        <v>0</v>
      </c>
      <c r="C7" s="7"/>
      <c r="D7" s="23"/>
      <c r="E7" s="23"/>
      <c r="F7" s="23"/>
      <c r="G7" s="23"/>
      <c r="H7" s="23"/>
    </row>
    <row r="8" spans="1:8" ht="18" customHeight="1" x14ac:dyDescent="0.5">
      <c r="A8" s="126"/>
      <c r="B8" s="124"/>
      <c r="C8" s="126"/>
      <c r="D8" s="123"/>
      <c r="E8" s="123"/>
      <c r="F8" s="123"/>
      <c r="G8" s="123"/>
      <c r="H8" s="123"/>
    </row>
    <row r="9" spans="1:8" ht="15" customHeight="1" x14ac:dyDescent="0.35">
      <c r="A9" s="3"/>
      <c r="B9" s="17" t="s">
        <v>5</v>
      </c>
      <c r="C9" s="45" t="s">
        <v>322</v>
      </c>
      <c r="D9" s="266"/>
      <c r="E9" s="266"/>
      <c r="F9" s="266"/>
      <c r="G9" s="266"/>
      <c r="H9" s="266"/>
    </row>
    <row r="10" spans="1:8" ht="15" customHeight="1" x14ac:dyDescent="0.35">
      <c r="A10" s="3"/>
      <c r="B10" s="17" t="s">
        <v>6</v>
      </c>
      <c r="C10" s="45" t="s">
        <v>322</v>
      </c>
      <c r="D10" s="267"/>
      <c r="E10" s="267"/>
      <c r="F10" s="267"/>
      <c r="G10" s="267"/>
      <c r="H10" s="267"/>
    </row>
    <row r="11" spans="1:8" ht="15" customHeight="1" x14ac:dyDescent="0.35">
      <c r="A11" s="3"/>
      <c r="B11" s="55" t="s">
        <v>7</v>
      </c>
      <c r="C11" s="56" t="s">
        <v>322</v>
      </c>
      <c r="D11" s="274">
        <f>D9+D10</f>
        <v>0</v>
      </c>
      <c r="E11" s="274">
        <f>E9+E10</f>
        <v>0</v>
      </c>
      <c r="F11" s="274">
        <f>F9+F10</f>
        <v>0</v>
      </c>
      <c r="G11" s="274">
        <f>G9+G10</f>
        <v>0</v>
      </c>
      <c r="H11" s="274">
        <f>H9+H10</f>
        <v>0</v>
      </c>
    </row>
    <row r="12" spans="1:8" ht="15" customHeight="1" x14ac:dyDescent="0.35">
      <c r="A12" s="3"/>
      <c r="B12" s="55"/>
      <c r="C12" s="56"/>
      <c r="D12" s="57"/>
      <c r="E12" s="57"/>
      <c r="F12" s="57"/>
      <c r="G12" s="57"/>
      <c r="H12" s="57"/>
    </row>
    <row r="13" spans="1:8" ht="15" customHeight="1" x14ac:dyDescent="0.35">
      <c r="A13" s="3"/>
      <c r="B13" s="55"/>
      <c r="C13" s="56"/>
      <c r="D13" s="274">
        <f>SUM(D14:D16)</f>
        <v>0</v>
      </c>
      <c r="E13" s="274">
        <f>SUM(E14:E16)</f>
        <v>0</v>
      </c>
      <c r="F13" s="274">
        <f>SUM(F14:F16)</f>
        <v>0</v>
      </c>
      <c r="G13" s="274">
        <f>SUM(G14:G16)</f>
        <v>0</v>
      </c>
      <c r="H13" s="274">
        <f>SUM(H14:H16)</f>
        <v>0</v>
      </c>
    </row>
    <row r="14" spans="1:8" ht="15" customHeight="1" x14ac:dyDescent="0.35">
      <c r="A14" s="3"/>
      <c r="B14" s="17" t="s">
        <v>8</v>
      </c>
      <c r="C14" s="45" t="s">
        <v>322</v>
      </c>
      <c r="D14" s="266"/>
      <c r="E14" s="266"/>
      <c r="F14" s="266"/>
      <c r="G14" s="266"/>
      <c r="H14" s="266"/>
    </row>
    <row r="15" spans="1:8" ht="15" customHeight="1" x14ac:dyDescent="0.35">
      <c r="A15" s="3"/>
      <c r="B15" s="17" t="s">
        <v>9</v>
      </c>
      <c r="C15" s="45" t="s">
        <v>322</v>
      </c>
      <c r="D15" s="266"/>
      <c r="E15" s="266"/>
      <c r="F15" s="266"/>
      <c r="G15" s="266"/>
      <c r="H15" s="266"/>
    </row>
    <row r="16" spans="1:8" ht="15" customHeight="1" x14ac:dyDescent="0.35">
      <c r="A16" s="3"/>
      <c r="B16" s="17" t="s">
        <v>10</v>
      </c>
      <c r="C16" s="45" t="s">
        <v>322</v>
      </c>
      <c r="D16" s="268"/>
      <c r="E16" s="268"/>
      <c r="F16" s="268"/>
      <c r="G16" s="268"/>
      <c r="H16" s="268"/>
    </row>
    <row r="17" spans="1:8" ht="15" customHeight="1" x14ac:dyDescent="0.35">
      <c r="A17" s="3"/>
      <c r="B17" s="55" t="s">
        <v>11</v>
      </c>
      <c r="C17" s="56" t="s">
        <v>322</v>
      </c>
      <c r="D17" s="274">
        <f>D11+D13</f>
        <v>0</v>
      </c>
      <c r="E17" s="274">
        <f>E11+E13</f>
        <v>0</v>
      </c>
      <c r="F17" s="274">
        <f>F11+F13</f>
        <v>0</v>
      </c>
      <c r="G17" s="274">
        <f>G11+G13</f>
        <v>0</v>
      </c>
      <c r="H17" s="274">
        <f>H11+H13</f>
        <v>0</v>
      </c>
    </row>
    <row r="18" spans="1:8" ht="15" customHeight="1" x14ac:dyDescent="0.35">
      <c r="A18" s="3"/>
      <c r="B18" s="55"/>
      <c r="C18" s="56"/>
      <c r="D18" s="57"/>
      <c r="E18" s="57"/>
      <c r="F18" s="57"/>
      <c r="G18" s="57"/>
      <c r="H18" s="57"/>
    </row>
    <row r="19" spans="1:8" ht="15" customHeight="1" x14ac:dyDescent="0.35">
      <c r="A19" s="3"/>
      <c r="B19" s="55"/>
      <c r="C19" s="56"/>
      <c r="D19" s="274">
        <f>D17+D20+D21</f>
        <v>0</v>
      </c>
      <c r="E19" s="274">
        <f>E17+E20+E21</f>
        <v>0</v>
      </c>
      <c r="F19" s="274">
        <f>F17+F20+F21</f>
        <v>0</v>
      </c>
      <c r="G19" s="274">
        <f>G17+G20+G21</f>
        <v>0</v>
      </c>
      <c r="H19" s="274">
        <f>H17+H20+H21</f>
        <v>0</v>
      </c>
    </row>
    <row r="20" spans="1:8" ht="15" customHeight="1" x14ac:dyDescent="0.35">
      <c r="A20" s="3"/>
      <c r="B20" s="17" t="s">
        <v>12</v>
      </c>
      <c r="C20" s="45" t="s">
        <v>322</v>
      </c>
      <c r="D20" s="266"/>
      <c r="E20" s="266"/>
      <c r="F20" s="266"/>
      <c r="G20" s="266"/>
      <c r="H20" s="266"/>
    </row>
    <row r="21" spans="1:8" ht="15" customHeight="1" x14ac:dyDescent="0.35">
      <c r="A21" s="3"/>
      <c r="B21" s="17" t="s">
        <v>13</v>
      </c>
      <c r="C21" s="45" t="s">
        <v>322</v>
      </c>
      <c r="D21" s="268"/>
      <c r="E21" s="268"/>
      <c r="F21" s="268"/>
      <c r="G21" s="268"/>
      <c r="H21" s="268"/>
    </row>
    <row r="22" spans="1:8" ht="15" customHeight="1" x14ac:dyDescent="0.35">
      <c r="A22" s="3"/>
      <c r="B22" s="55" t="s">
        <v>14</v>
      </c>
      <c r="C22" s="56" t="s">
        <v>322</v>
      </c>
      <c r="D22" s="274">
        <f>D19</f>
        <v>0</v>
      </c>
      <c r="E22" s="274">
        <f>E19</f>
        <v>0</v>
      </c>
      <c r="F22" s="274">
        <f>F19</f>
        <v>0</v>
      </c>
      <c r="G22" s="274">
        <f>G19</f>
        <v>0</v>
      </c>
      <c r="H22" s="274">
        <f>H19</f>
        <v>0</v>
      </c>
    </row>
    <row r="23" spans="1:8" ht="15" customHeight="1" x14ac:dyDescent="0.35">
      <c r="A23" s="3"/>
      <c r="B23" s="55"/>
      <c r="C23" s="56"/>
      <c r="D23" s="57"/>
      <c r="E23" s="57"/>
      <c r="F23" s="57"/>
      <c r="G23" s="57"/>
      <c r="H23" s="57"/>
    </row>
    <row r="24" spans="1:8" ht="15" customHeight="1" x14ac:dyDescent="0.35">
      <c r="A24" s="3"/>
      <c r="B24" s="55"/>
      <c r="C24" s="56"/>
      <c r="D24" s="274">
        <f>-ROUND(D22*0.21,0)</f>
        <v>0</v>
      </c>
      <c r="E24" s="274">
        <f>-ROUND(E22*0.21,0)</f>
        <v>0</v>
      </c>
      <c r="F24" s="274">
        <f>-ROUND(F22*0.21,0)</f>
        <v>0</v>
      </c>
      <c r="G24" s="274">
        <f>-ROUND(G22*0.21,0)</f>
        <v>0</v>
      </c>
      <c r="H24" s="274">
        <f>-ROUND(H22*0.21,0)</f>
        <v>0</v>
      </c>
    </row>
    <row r="25" spans="1:8" ht="15" customHeight="1" x14ac:dyDescent="0.35">
      <c r="A25" s="3"/>
      <c r="B25" s="17" t="s">
        <v>15</v>
      </c>
      <c r="C25" s="45" t="s">
        <v>322</v>
      </c>
      <c r="D25" s="266"/>
      <c r="E25" s="266"/>
      <c r="F25" s="266"/>
      <c r="G25" s="266"/>
      <c r="H25" s="266"/>
    </row>
    <row r="26" spans="1:8" ht="15" customHeight="1" thickBot="1" x14ac:dyDescent="0.4">
      <c r="A26" s="3"/>
      <c r="B26" s="58" t="s">
        <v>16</v>
      </c>
      <c r="C26" s="56" t="s">
        <v>322</v>
      </c>
      <c r="D26" s="275">
        <f>D22+D24</f>
        <v>0</v>
      </c>
      <c r="E26" s="275">
        <f>E22+E24</f>
        <v>0</v>
      </c>
      <c r="F26" s="275">
        <f>F22+F24</f>
        <v>0</v>
      </c>
      <c r="G26" s="275">
        <f>G22+G24</f>
        <v>0</v>
      </c>
      <c r="H26" s="275">
        <f>H22+H24</f>
        <v>0</v>
      </c>
    </row>
    <row r="27" spans="1:8" ht="15" customHeight="1" x14ac:dyDescent="0.35">
      <c r="A27" s="3"/>
      <c r="B27" s="58"/>
      <c r="C27" s="56"/>
      <c r="D27" s="57"/>
      <c r="E27" s="57"/>
      <c r="F27" s="57"/>
      <c r="G27" s="57"/>
      <c r="H27" s="57"/>
    </row>
    <row r="28" spans="1:8" ht="15" customHeight="1" x14ac:dyDescent="0.35">
      <c r="A28" s="3"/>
      <c r="B28" s="58"/>
      <c r="C28" s="56"/>
      <c r="D28"/>
      <c r="E28"/>
      <c r="F28"/>
      <c r="G28"/>
      <c r="H28"/>
    </row>
    <row r="29" spans="1:8" ht="15" customHeight="1" x14ac:dyDescent="0.35">
      <c r="A29" s="3"/>
      <c r="B29" s="17" t="s">
        <v>17</v>
      </c>
      <c r="C29" s="45" t="s">
        <v>322</v>
      </c>
      <c r="D29" s="266"/>
      <c r="E29" s="266"/>
      <c r="F29" s="266"/>
      <c r="G29" s="266"/>
      <c r="H29" s="266"/>
    </row>
    <row r="30" spans="1:8" ht="15" customHeight="1" x14ac:dyDescent="0.35">
      <c r="A30" s="3"/>
      <c r="B30" s="55" t="s">
        <v>18</v>
      </c>
      <c r="C30" s="56" t="s">
        <v>322</v>
      </c>
      <c r="D30" s="274">
        <f>D17-D16</f>
        <v>0</v>
      </c>
      <c r="E30" s="274">
        <f>E17-E16</f>
        <v>0</v>
      </c>
      <c r="F30" s="274">
        <f>F17-F16</f>
        <v>0</v>
      </c>
      <c r="G30" s="274">
        <f>G17-G16</f>
        <v>0</v>
      </c>
      <c r="H30" s="274">
        <f>H17-H16</f>
        <v>0</v>
      </c>
    </row>
    <row r="31" spans="1:8" ht="15" customHeight="1" x14ac:dyDescent="0.35">
      <c r="A31" s="3"/>
      <c r="B31" s="14"/>
      <c r="C31" s="9"/>
      <c r="D31" s="46"/>
      <c r="E31" s="46"/>
      <c r="F31" s="46"/>
      <c r="G31" s="46"/>
      <c r="H31" s="46"/>
    </row>
    <row r="32" spans="1:8" ht="18" customHeight="1" x14ac:dyDescent="0.5">
      <c r="A32" s="126" t="s">
        <v>343</v>
      </c>
      <c r="B32" s="53" t="s">
        <v>19</v>
      </c>
      <c r="C32" s="48"/>
      <c r="D32" s="49"/>
      <c r="E32" s="49"/>
      <c r="F32" s="49"/>
      <c r="G32" s="49"/>
      <c r="H32" s="49"/>
    </row>
    <row r="33" spans="1:8" ht="18" customHeight="1" x14ac:dyDescent="0.5">
      <c r="A33" s="126"/>
      <c r="B33" s="139"/>
      <c r="C33" s="130"/>
      <c r="D33" s="140"/>
      <c r="E33" s="140"/>
      <c r="F33" s="140"/>
      <c r="G33" s="140"/>
      <c r="H33" s="140"/>
    </row>
    <row r="34" spans="1:8" ht="15" customHeight="1" x14ac:dyDescent="0.35">
      <c r="A34" s="3"/>
      <c r="B34" s="17" t="s">
        <v>20</v>
      </c>
      <c r="C34" s="45" t="s">
        <v>322</v>
      </c>
      <c r="D34" s="269"/>
      <c r="E34" s="269"/>
      <c r="F34" s="269"/>
      <c r="G34" s="269"/>
      <c r="H34" s="269"/>
    </row>
    <row r="35" spans="1:8" ht="15" customHeight="1" x14ac:dyDescent="0.35">
      <c r="A35" s="3"/>
      <c r="B35" s="17" t="s">
        <v>21</v>
      </c>
      <c r="C35" s="45" t="s">
        <v>322</v>
      </c>
      <c r="D35" s="266"/>
      <c r="E35" s="266"/>
      <c r="F35" s="266"/>
      <c r="G35" s="266"/>
      <c r="H35" s="266"/>
    </row>
    <row r="36" spans="1:8" ht="15" customHeight="1" x14ac:dyDescent="0.35">
      <c r="A36" s="3"/>
      <c r="B36" s="17" t="s">
        <v>22</v>
      </c>
      <c r="C36" s="45" t="s">
        <v>322</v>
      </c>
      <c r="D36" s="266"/>
      <c r="E36" s="266"/>
      <c r="F36" s="266"/>
      <c r="G36" s="266"/>
      <c r="H36" s="266"/>
    </row>
    <row r="37" spans="1:8" ht="15" customHeight="1" x14ac:dyDescent="0.35">
      <c r="A37" s="3"/>
      <c r="B37" s="17" t="s">
        <v>23</v>
      </c>
      <c r="C37" s="45" t="s">
        <v>322</v>
      </c>
      <c r="D37" s="268"/>
      <c r="E37" s="268"/>
      <c r="F37" s="268"/>
      <c r="G37" s="268"/>
      <c r="H37" s="268"/>
    </row>
    <row r="38" spans="1:8" ht="15" customHeight="1" x14ac:dyDescent="0.35">
      <c r="A38" s="3"/>
      <c r="B38" s="55" t="s">
        <v>24</v>
      </c>
      <c r="C38" s="56" t="s">
        <v>322</v>
      </c>
      <c r="D38" s="274">
        <f>SUM(D34:D37)</f>
        <v>0</v>
      </c>
      <c r="E38" s="274">
        <f>SUM(E34:E37)</f>
        <v>0</v>
      </c>
      <c r="F38" s="274">
        <f>SUM(F34:F37)</f>
        <v>0</v>
      </c>
      <c r="G38" s="274">
        <f>SUM(G34:G37)</f>
        <v>0</v>
      </c>
      <c r="H38" s="274">
        <f>SUM(H34:H37)</f>
        <v>0</v>
      </c>
    </row>
    <row r="39" spans="1:8" ht="15" customHeight="1" x14ac:dyDescent="0.35">
      <c r="A39" s="3"/>
      <c r="B39" s="55"/>
      <c r="C39" s="56"/>
      <c r="D39" s="57"/>
      <c r="E39" s="57"/>
      <c r="F39" s="57"/>
      <c r="G39" s="57"/>
      <c r="H39" s="57"/>
    </row>
    <row r="40" spans="1:8" ht="15" customHeight="1" x14ac:dyDescent="0.35">
      <c r="A40" s="3"/>
      <c r="B40" s="55"/>
      <c r="C40" s="56"/>
      <c r="D40" s="57"/>
      <c r="E40" s="57"/>
      <c r="F40" s="57"/>
      <c r="G40" s="57"/>
      <c r="H40" s="57"/>
    </row>
    <row r="41" spans="1:8" ht="15" customHeight="1" x14ac:dyDescent="0.35">
      <c r="A41" s="3"/>
      <c r="B41" s="17" t="s">
        <v>25</v>
      </c>
      <c r="C41" s="45" t="s">
        <v>322</v>
      </c>
      <c r="D41" s="266"/>
      <c r="E41" s="266"/>
      <c r="F41" s="266"/>
      <c r="G41" s="266"/>
      <c r="H41" s="266"/>
    </row>
    <row r="42" spans="1:8" ht="15" customHeight="1" x14ac:dyDescent="0.35">
      <c r="A42" s="3"/>
      <c r="B42" s="17" t="s">
        <v>26</v>
      </c>
      <c r="C42" s="45" t="s">
        <v>322</v>
      </c>
      <c r="D42" s="266"/>
      <c r="E42" s="266"/>
      <c r="F42" s="266"/>
      <c r="G42" s="266"/>
      <c r="H42" s="266"/>
    </row>
    <row r="43" spans="1:8" ht="15" customHeight="1" x14ac:dyDescent="0.35">
      <c r="A43" s="3"/>
      <c r="B43" s="17" t="s">
        <v>27</v>
      </c>
      <c r="C43" s="45" t="s">
        <v>322</v>
      </c>
      <c r="D43" s="266"/>
      <c r="E43" s="266"/>
      <c r="F43" s="266"/>
      <c r="G43" s="266"/>
      <c r="H43" s="266"/>
    </row>
    <row r="44" spans="1:8" ht="15" customHeight="1" thickBot="1" x14ac:dyDescent="0.4">
      <c r="A44" s="3"/>
      <c r="B44" s="55" t="s">
        <v>28</v>
      </c>
      <c r="C44" s="56" t="s">
        <v>322</v>
      </c>
      <c r="D44" s="275">
        <f>D38+SUM(D41:D43)</f>
        <v>0</v>
      </c>
      <c r="E44" s="275">
        <f>E38+SUM(E41:E43)</f>
        <v>0</v>
      </c>
      <c r="F44" s="275">
        <f>F38+SUM(F41:F43)</f>
        <v>0</v>
      </c>
      <c r="G44" s="275">
        <f>G38+SUM(G41:G43)</f>
        <v>0</v>
      </c>
      <c r="H44" s="275">
        <f>H38+SUM(H41:H43)</f>
        <v>0</v>
      </c>
    </row>
    <row r="45" spans="1:8" ht="15" customHeight="1" x14ac:dyDescent="0.35">
      <c r="A45" s="3"/>
      <c r="B45" s="55"/>
      <c r="C45" s="56"/>
      <c r="D45" s="57"/>
      <c r="E45" s="57"/>
      <c r="F45" s="57"/>
      <c r="G45" s="57"/>
      <c r="H45" s="57"/>
    </row>
    <row r="46" spans="1:8" ht="15" customHeight="1" x14ac:dyDescent="0.35">
      <c r="A46" s="3"/>
      <c r="B46" s="55"/>
      <c r="C46" s="56"/>
      <c r="D46" s="57"/>
      <c r="E46" s="57"/>
      <c r="F46" s="57"/>
      <c r="G46" s="57"/>
      <c r="H46" s="57"/>
    </row>
    <row r="47" spans="1:8" ht="15" customHeight="1" x14ac:dyDescent="0.35">
      <c r="A47" s="3"/>
      <c r="B47" s="17" t="s">
        <v>29</v>
      </c>
      <c r="C47" s="45" t="s">
        <v>322</v>
      </c>
      <c r="D47" s="266"/>
      <c r="E47" s="266"/>
      <c r="F47" s="266"/>
      <c r="G47" s="266"/>
      <c r="H47" s="266"/>
    </row>
    <row r="48" spans="1:8" ht="15" customHeight="1" x14ac:dyDescent="0.35">
      <c r="A48" s="3"/>
      <c r="B48" s="17" t="s">
        <v>30</v>
      </c>
      <c r="C48" s="45" t="s">
        <v>322</v>
      </c>
      <c r="D48" s="266"/>
      <c r="E48" s="266"/>
      <c r="F48" s="266"/>
      <c r="G48" s="266"/>
      <c r="H48" s="266"/>
    </row>
    <row r="49" spans="1:8" ht="15" customHeight="1" x14ac:dyDescent="0.35">
      <c r="A49" s="3"/>
      <c r="B49" s="17" t="s">
        <v>31</v>
      </c>
      <c r="C49" s="45" t="s">
        <v>322</v>
      </c>
      <c r="D49" s="266"/>
      <c r="E49" s="266"/>
      <c r="F49" s="266"/>
      <c r="G49" s="266"/>
      <c r="H49" s="266"/>
    </row>
    <row r="50" spans="1:8" ht="15" customHeight="1" x14ac:dyDescent="0.35">
      <c r="A50" s="3"/>
      <c r="B50" s="17" t="s">
        <v>32</v>
      </c>
      <c r="C50" s="45" t="s">
        <v>322</v>
      </c>
      <c r="D50" s="268"/>
      <c r="E50" s="268"/>
      <c r="F50" s="268"/>
      <c r="G50" s="268"/>
      <c r="H50" s="268"/>
    </row>
    <row r="51" spans="1:8" ht="15" customHeight="1" x14ac:dyDescent="0.35">
      <c r="A51" s="3"/>
      <c r="B51" s="55" t="s">
        <v>33</v>
      </c>
      <c r="C51" s="56" t="s">
        <v>322</v>
      </c>
      <c r="D51" s="274">
        <f>SUM(D47:D50)</f>
        <v>0</v>
      </c>
      <c r="E51" s="274">
        <f>SUM(E47:E50)</f>
        <v>0</v>
      </c>
      <c r="F51" s="274">
        <f>SUM(F47:F50)</f>
        <v>0</v>
      </c>
      <c r="G51" s="274">
        <f>SUM(G47:G50)</f>
        <v>0</v>
      </c>
      <c r="H51" s="274">
        <f>SUM(H47:H50)</f>
        <v>0</v>
      </c>
    </row>
    <row r="52" spans="1:8" ht="15" customHeight="1" x14ac:dyDescent="0.35">
      <c r="A52" s="3"/>
      <c r="B52" s="55"/>
      <c r="C52" s="56"/>
      <c r="D52" s="57"/>
      <c r="E52" s="57"/>
      <c r="F52" s="57"/>
      <c r="G52" s="57"/>
      <c r="H52" s="57"/>
    </row>
    <row r="53" spans="1:8" ht="15" customHeight="1" x14ac:dyDescent="0.35">
      <c r="A53" s="3"/>
      <c r="B53" s="55"/>
      <c r="C53" s="56"/>
      <c r="D53" s="57"/>
      <c r="E53" s="57"/>
      <c r="F53" s="57"/>
      <c r="G53" s="57"/>
      <c r="H53" s="57"/>
    </row>
    <row r="54" spans="1:8" ht="15" customHeight="1" x14ac:dyDescent="0.35">
      <c r="A54" s="3"/>
      <c r="B54" s="17" t="s">
        <v>34</v>
      </c>
      <c r="C54" s="45" t="s">
        <v>322</v>
      </c>
      <c r="D54" s="268"/>
      <c r="E54" s="268"/>
      <c r="F54" s="268"/>
      <c r="G54" s="268"/>
      <c r="H54" s="268"/>
    </row>
    <row r="55" spans="1:8" ht="15" customHeight="1" x14ac:dyDescent="0.35">
      <c r="A55" s="3"/>
      <c r="B55" s="58" t="s">
        <v>35</v>
      </c>
      <c r="C55" s="56" t="s">
        <v>322</v>
      </c>
      <c r="D55" s="274">
        <f>D51+D54</f>
        <v>0</v>
      </c>
      <c r="E55" s="274">
        <f>E51+E54</f>
        <v>0</v>
      </c>
      <c r="F55" s="274">
        <f>F51+F54</f>
        <v>0</v>
      </c>
      <c r="G55" s="274">
        <f>G51+G54</f>
        <v>0</v>
      </c>
      <c r="H55" s="274">
        <f>H51+H54</f>
        <v>0</v>
      </c>
    </row>
    <row r="56" spans="1:8" ht="15" customHeight="1" x14ac:dyDescent="0.35">
      <c r="A56" s="3"/>
      <c r="B56" s="58"/>
      <c r="C56" s="56"/>
      <c r="D56" s="57"/>
      <c r="E56" s="57"/>
      <c r="F56" s="57"/>
      <c r="G56" s="57"/>
      <c r="H56" s="57"/>
    </row>
    <row r="57" spans="1:8" ht="15" customHeight="1" x14ac:dyDescent="0.35">
      <c r="A57" s="3"/>
      <c r="B57" s="58"/>
      <c r="C57" s="56"/>
      <c r="D57" s="57"/>
      <c r="E57" s="57"/>
      <c r="F57" s="57"/>
      <c r="G57" s="57"/>
      <c r="H57" s="57"/>
    </row>
    <row r="58" spans="1:8" ht="15" customHeight="1" x14ac:dyDescent="0.35">
      <c r="A58" s="3"/>
      <c r="B58" s="17" t="s">
        <v>36</v>
      </c>
      <c r="C58" s="45" t="s">
        <v>322</v>
      </c>
      <c r="D58" s="266"/>
      <c r="E58" s="266"/>
      <c r="F58" s="266"/>
      <c r="G58" s="266"/>
      <c r="H58" s="266"/>
    </row>
    <row r="59" spans="1:8" ht="15" customHeight="1" x14ac:dyDescent="0.35">
      <c r="A59" s="3"/>
      <c r="B59" s="17" t="s">
        <v>37</v>
      </c>
      <c r="C59" s="45" t="s">
        <v>322</v>
      </c>
      <c r="D59" s="276"/>
      <c r="E59" s="276"/>
      <c r="F59" s="276"/>
      <c r="G59" s="276"/>
      <c r="H59" s="276"/>
    </row>
    <row r="60" spans="1:8" ht="15" customHeight="1" x14ac:dyDescent="0.35">
      <c r="A60" s="3"/>
      <c r="B60" s="58" t="s">
        <v>38</v>
      </c>
      <c r="C60" s="56" t="s">
        <v>322</v>
      </c>
      <c r="D60" s="274">
        <f>D58+D59</f>
        <v>0</v>
      </c>
      <c r="E60" s="274">
        <f>E58+E59</f>
        <v>0</v>
      </c>
      <c r="F60" s="274">
        <f>F58+F59</f>
        <v>0</v>
      </c>
      <c r="G60" s="274">
        <f>G58+G59</f>
        <v>0</v>
      </c>
      <c r="H60" s="274">
        <f>H58+H59</f>
        <v>0</v>
      </c>
    </row>
    <row r="61" spans="1:8" ht="15" customHeight="1" x14ac:dyDescent="0.35">
      <c r="A61" s="3"/>
      <c r="B61" s="58"/>
      <c r="C61" s="56"/>
      <c r="D61" s="57"/>
      <c r="E61" s="57"/>
      <c r="F61" s="57"/>
      <c r="G61" s="57"/>
      <c r="H61" s="57"/>
    </row>
    <row r="62" spans="1:8" ht="15" customHeight="1" x14ac:dyDescent="0.35">
      <c r="A62" s="3"/>
      <c r="B62" s="58"/>
      <c r="C62" s="56"/>
      <c r="D62" s="57"/>
      <c r="E62" s="57"/>
      <c r="F62" s="57"/>
      <c r="G62" s="57"/>
      <c r="H62" s="57"/>
    </row>
    <row r="63" spans="1:8" ht="15" customHeight="1" thickBot="1" x14ac:dyDescent="0.4">
      <c r="A63" s="3"/>
      <c r="B63" s="58" t="s">
        <v>39</v>
      </c>
      <c r="C63" s="56" t="s">
        <v>322</v>
      </c>
      <c r="D63" s="275">
        <f>D55+D60</f>
        <v>0</v>
      </c>
      <c r="E63" s="275">
        <f>E55+E60</f>
        <v>0</v>
      </c>
      <c r="F63" s="275">
        <f>F55+F60</f>
        <v>0</v>
      </c>
      <c r="G63" s="275">
        <f>G55+G60</f>
        <v>0</v>
      </c>
      <c r="H63" s="275">
        <f>H55+H60</f>
        <v>0</v>
      </c>
    </row>
    <row r="64" spans="1:8" ht="15" customHeight="1" x14ac:dyDescent="0.35">
      <c r="A64" s="3"/>
      <c r="B64" s="58"/>
      <c r="C64" s="56"/>
      <c r="D64" s="57"/>
      <c r="E64" s="57"/>
      <c r="F64" s="57"/>
      <c r="G64" s="57"/>
      <c r="H64" s="57"/>
    </row>
    <row r="65" spans="1:8" ht="15" customHeight="1" x14ac:dyDescent="0.35">
      <c r="A65" s="3"/>
      <c r="B65" s="58"/>
      <c r="C65" s="56"/>
      <c r="D65" s="57"/>
      <c r="E65" s="57"/>
      <c r="F65" s="57"/>
      <c r="G65" s="57"/>
      <c r="H65" s="57"/>
    </row>
    <row r="66" spans="1:8" ht="15" customHeight="1" x14ac:dyDescent="0.35">
      <c r="A66" s="3"/>
      <c r="B66" s="14"/>
      <c r="C66" s="9"/>
      <c r="D66" s="46"/>
      <c r="E66" s="46"/>
      <c r="F66" s="46"/>
      <c r="G66" s="46"/>
      <c r="H66" s="46"/>
    </row>
    <row r="67" spans="1:8" ht="18" customHeight="1" x14ac:dyDescent="0.5">
      <c r="A67" s="126"/>
      <c r="B67" s="53" t="s">
        <v>40</v>
      </c>
      <c r="C67" s="48"/>
      <c r="D67" s="49"/>
      <c r="E67" s="49"/>
      <c r="F67" s="49"/>
      <c r="G67" s="49"/>
      <c r="H67" s="49"/>
    </row>
    <row r="68" spans="1:8" ht="18" customHeight="1" x14ac:dyDescent="0.5">
      <c r="A68" s="126"/>
      <c r="B68" s="139"/>
      <c r="C68" s="130"/>
      <c r="D68" s="140"/>
      <c r="E68" s="140"/>
      <c r="F68" s="140"/>
      <c r="G68" s="140"/>
      <c r="H68" s="140"/>
    </row>
    <row r="69" spans="1:8" ht="15" customHeight="1" x14ac:dyDescent="0.35">
      <c r="A69" s="3"/>
      <c r="B69" s="17" t="s">
        <v>16</v>
      </c>
      <c r="C69" s="45" t="s">
        <v>322</v>
      </c>
      <c r="D69" s="269">
        <f>D26</f>
        <v>0</v>
      </c>
      <c r="E69" s="269">
        <f>E26</f>
        <v>0</v>
      </c>
      <c r="F69" s="269">
        <f>F26</f>
        <v>0</v>
      </c>
      <c r="G69" s="269">
        <f>G26</f>
        <v>0</v>
      </c>
      <c r="H69" s="269">
        <f>H26</f>
        <v>0</v>
      </c>
    </row>
    <row r="70" spans="1:8" ht="15" customHeight="1" x14ac:dyDescent="0.35">
      <c r="A70" s="3"/>
      <c r="B70" s="17" t="s">
        <v>10</v>
      </c>
      <c r="C70" s="45" t="s">
        <v>322</v>
      </c>
      <c r="D70" s="269">
        <f>-D16</f>
        <v>0</v>
      </c>
      <c r="E70" s="269">
        <f>-E16</f>
        <v>0</v>
      </c>
      <c r="F70" s="269">
        <f>-F16</f>
        <v>0</v>
      </c>
      <c r="G70" s="269">
        <f>-G16</f>
        <v>0</v>
      </c>
      <c r="H70" s="269">
        <f>-H16</f>
        <v>0</v>
      </c>
    </row>
    <row r="71" spans="1:8" ht="15" customHeight="1" x14ac:dyDescent="0.35">
      <c r="A71" s="3"/>
      <c r="B71" s="17" t="s">
        <v>41</v>
      </c>
      <c r="C71" s="45" t="s">
        <v>322</v>
      </c>
      <c r="D71" s="266"/>
      <c r="E71" s="266"/>
      <c r="F71" s="266"/>
      <c r="G71" s="266"/>
      <c r="H71" s="266"/>
    </row>
    <row r="72" spans="1:8" ht="15" customHeight="1" x14ac:dyDescent="0.35">
      <c r="A72" s="3"/>
      <c r="B72" s="17" t="s">
        <v>42</v>
      </c>
      <c r="C72" s="45" t="s">
        <v>322</v>
      </c>
      <c r="D72" s="266"/>
      <c r="E72" s="266"/>
      <c r="F72" s="266"/>
      <c r="G72" s="266"/>
      <c r="H72" s="266"/>
    </row>
    <row r="73" spans="1:8" ht="15" customHeight="1" x14ac:dyDescent="0.35">
      <c r="A73" s="3"/>
      <c r="B73" s="17" t="s">
        <v>43</v>
      </c>
      <c r="C73" s="45" t="s">
        <v>322</v>
      </c>
      <c r="D73" s="266"/>
      <c r="E73" s="266"/>
      <c r="F73" s="266"/>
      <c r="G73" s="266"/>
      <c r="H73" s="266"/>
    </row>
    <row r="74" spans="1:8" ht="15" customHeight="1" x14ac:dyDescent="0.35">
      <c r="A74" s="3"/>
      <c r="B74" s="17" t="s">
        <v>44</v>
      </c>
      <c r="C74" s="45" t="s">
        <v>322</v>
      </c>
      <c r="D74" s="266"/>
      <c r="E74" s="266"/>
      <c r="F74" s="266"/>
      <c r="G74" s="266"/>
      <c r="H74" s="266"/>
    </row>
    <row r="75" spans="1:8" ht="15" customHeight="1" thickBot="1" x14ac:dyDescent="0.4">
      <c r="A75" s="3"/>
      <c r="B75" s="55" t="s">
        <v>45</v>
      </c>
      <c r="C75" s="56" t="s">
        <v>322</v>
      </c>
      <c r="D75" s="275">
        <f>SUM(D69:D74)</f>
        <v>0</v>
      </c>
      <c r="E75" s="275">
        <f>SUM(E69:E74)</f>
        <v>0</v>
      </c>
      <c r="F75" s="275">
        <f>SUM(F69:F74)</f>
        <v>0</v>
      </c>
      <c r="G75" s="275">
        <f>SUM(G69:G74)</f>
        <v>0</v>
      </c>
      <c r="H75" s="275">
        <f>SUM(H69:H74)</f>
        <v>0</v>
      </c>
    </row>
    <row r="76" spans="1:8" ht="15" customHeight="1" x14ac:dyDescent="0.35">
      <c r="A76" s="3"/>
      <c r="B76" s="55"/>
      <c r="C76" s="56"/>
      <c r="D76" s="57"/>
      <c r="E76" s="57"/>
      <c r="F76" s="57"/>
      <c r="G76" s="57"/>
      <c r="H76" s="57"/>
    </row>
    <row r="77" spans="1:8" ht="15" customHeight="1" x14ac:dyDescent="0.35">
      <c r="A77" s="3"/>
      <c r="B77" s="55"/>
      <c r="C77" s="56"/>
      <c r="D77" s="57"/>
      <c r="E77" s="57"/>
      <c r="F77" s="57"/>
      <c r="G77" s="57"/>
      <c r="H77" s="57"/>
    </row>
    <row r="78" spans="1:8" ht="15" customHeight="1" x14ac:dyDescent="0.35">
      <c r="A78" s="3"/>
      <c r="B78" s="17" t="s">
        <v>46</v>
      </c>
      <c r="C78" s="45" t="s">
        <v>322</v>
      </c>
      <c r="D78" s="266"/>
      <c r="E78" s="266"/>
      <c r="F78" s="266"/>
      <c r="G78" s="266"/>
      <c r="H78" s="266"/>
    </row>
    <row r="79" spans="1:8" ht="15" customHeight="1" x14ac:dyDescent="0.35">
      <c r="A79" s="3"/>
      <c r="B79" s="17" t="s">
        <v>47</v>
      </c>
      <c r="C79" s="45" t="s">
        <v>322</v>
      </c>
      <c r="D79" s="266"/>
      <c r="E79" s="266"/>
      <c r="F79" s="266"/>
      <c r="G79" s="266"/>
      <c r="H79" s="266"/>
    </row>
    <row r="80" spans="1:8" ht="15" customHeight="1" thickBot="1" x14ac:dyDescent="0.4">
      <c r="A80" s="3"/>
      <c r="B80" s="58" t="s">
        <v>48</v>
      </c>
      <c r="C80" s="56" t="s">
        <v>322</v>
      </c>
      <c r="D80" s="275">
        <f>SUM(D78:D79)</f>
        <v>0</v>
      </c>
      <c r="E80" s="275">
        <f>SUM(E78:E79)</f>
        <v>0</v>
      </c>
      <c r="F80" s="275">
        <f>SUM(F78:F79)</f>
        <v>0</v>
      </c>
      <c r="G80" s="275">
        <f>SUM(G78:G79)</f>
        <v>0</v>
      </c>
      <c r="H80" s="275">
        <f>SUM(H78:H79)</f>
        <v>0</v>
      </c>
    </row>
    <row r="81" spans="1:8" ht="15" customHeight="1" x14ac:dyDescent="0.35">
      <c r="A81" s="3"/>
      <c r="B81" s="58"/>
      <c r="C81" s="56"/>
      <c r="D81" s="57"/>
      <c r="E81" s="57"/>
      <c r="F81" s="57"/>
      <c r="G81" s="57"/>
      <c r="H81" s="57"/>
    </row>
    <row r="82" spans="1:8" ht="15" customHeight="1" x14ac:dyDescent="0.35">
      <c r="A82" s="3"/>
      <c r="B82" s="58"/>
      <c r="C82" s="56"/>
      <c r="D82" s="57"/>
      <c r="E82" s="57"/>
      <c r="F82" s="57"/>
      <c r="G82" s="57"/>
      <c r="H82" s="57"/>
    </row>
    <row r="83" spans="1:8" ht="15" customHeight="1" x14ac:dyDescent="0.35">
      <c r="A83" s="3"/>
      <c r="B83" s="17" t="s">
        <v>49</v>
      </c>
      <c r="C83" s="45" t="s">
        <v>322</v>
      </c>
      <c r="D83" s="266"/>
      <c r="E83" s="266"/>
      <c r="F83" s="266"/>
      <c r="G83" s="266"/>
      <c r="H83" s="266"/>
    </row>
    <row r="84" spans="1:8" ht="15" customHeight="1" x14ac:dyDescent="0.35">
      <c r="A84" s="3"/>
      <c r="B84" s="17" t="s">
        <v>50</v>
      </c>
      <c r="C84" s="45" t="s">
        <v>322</v>
      </c>
      <c r="D84" s="266"/>
      <c r="E84" s="266"/>
      <c r="F84" s="266"/>
      <c r="G84" s="266"/>
      <c r="H84" s="266"/>
    </row>
    <row r="85" spans="1:8" ht="15" customHeight="1" x14ac:dyDescent="0.35">
      <c r="A85" s="3"/>
      <c r="B85" s="17" t="s">
        <v>51</v>
      </c>
      <c r="C85" s="45" t="s">
        <v>322</v>
      </c>
      <c r="D85" s="266"/>
      <c r="E85" s="266"/>
      <c r="F85" s="266"/>
      <c r="G85" s="266"/>
      <c r="H85" s="266"/>
    </row>
    <row r="86" spans="1:8" ht="15" customHeight="1" thickBot="1" x14ac:dyDescent="0.4">
      <c r="A86" s="3"/>
      <c r="B86" s="55" t="s">
        <v>52</v>
      </c>
      <c r="C86" s="56" t="s">
        <v>322</v>
      </c>
      <c r="D86" s="275">
        <f>SUM(D83:D85)</f>
        <v>0</v>
      </c>
      <c r="E86" s="275">
        <f>SUM(E83:E85)</f>
        <v>0</v>
      </c>
      <c r="F86" s="275">
        <f>SUM(F83:F85)</f>
        <v>0</v>
      </c>
      <c r="G86" s="275">
        <f>SUM(G83:G85)</f>
        <v>0</v>
      </c>
      <c r="H86" s="275">
        <f>SUM(H83:H85)</f>
        <v>0</v>
      </c>
    </row>
    <row r="87" spans="1:8" ht="15" customHeight="1" x14ac:dyDescent="0.35">
      <c r="A87" s="3"/>
      <c r="B87" s="55"/>
      <c r="C87" s="56"/>
      <c r="D87" s="57"/>
      <c r="E87" s="57"/>
      <c r="F87" s="57"/>
      <c r="G87" s="57"/>
      <c r="H87" s="57"/>
    </row>
    <row r="88" spans="1:8" ht="15" customHeight="1" x14ac:dyDescent="0.35">
      <c r="A88" s="3"/>
      <c r="B88" s="55"/>
      <c r="C88" s="56"/>
      <c r="D88" s="57"/>
      <c r="E88" s="57"/>
      <c r="F88" s="57"/>
      <c r="G88" s="57"/>
      <c r="H88" s="57"/>
    </row>
    <row r="89" spans="1:8" ht="15" customHeight="1" x14ac:dyDescent="0.35">
      <c r="A89" s="3"/>
      <c r="B89" s="58" t="s">
        <v>53</v>
      </c>
      <c r="C89" s="56" t="s">
        <v>322</v>
      </c>
      <c r="D89" s="274">
        <f>D75+D80+D86</f>
        <v>0</v>
      </c>
      <c r="E89" s="274">
        <f>E75+E80+E86</f>
        <v>0</v>
      </c>
      <c r="F89" s="274">
        <f>F75+F80+F86</f>
        <v>0</v>
      </c>
      <c r="G89" s="274">
        <f>G75+G80+G86</f>
        <v>0</v>
      </c>
      <c r="H89" s="274">
        <f>H75+H80+H86</f>
        <v>0</v>
      </c>
    </row>
    <row r="90" spans="1:8" ht="15" customHeight="1" x14ac:dyDescent="0.35">
      <c r="A90" s="3"/>
      <c r="B90" s="17" t="s">
        <v>54</v>
      </c>
      <c r="C90" s="45" t="s">
        <v>322</v>
      </c>
      <c r="D90" s="266"/>
      <c r="E90" s="266"/>
      <c r="F90" s="266"/>
      <c r="G90" s="266"/>
      <c r="H90" s="266"/>
    </row>
    <row r="91" spans="1:8" ht="15" customHeight="1" thickBot="1" x14ac:dyDescent="0.4">
      <c r="A91" s="3"/>
      <c r="B91" s="58" t="s">
        <v>55</v>
      </c>
      <c r="C91" s="56" t="s">
        <v>322</v>
      </c>
      <c r="D91" s="275">
        <f>D90+D89</f>
        <v>0</v>
      </c>
      <c r="E91" s="275">
        <f>E90+E89</f>
        <v>0</v>
      </c>
      <c r="F91" s="275">
        <f>F90+F89</f>
        <v>0</v>
      </c>
      <c r="G91" s="275">
        <f>G90+G89</f>
        <v>0</v>
      </c>
      <c r="H91" s="275">
        <f>H90+H89</f>
        <v>0</v>
      </c>
    </row>
    <row r="92" spans="1:8" ht="15" customHeight="1" x14ac:dyDescent="0.35">
      <c r="A92" s="3"/>
      <c r="B92" s="14"/>
      <c r="C92" s="9"/>
      <c r="D92" s="46"/>
      <c r="E92" s="46"/>
      <c r="F92" s="46"/>
      <c r="G92" s="46"/>
      <c r="H92" s="46"/>
    </row>
    <row r="93" spans="1:8" ht="18" customHeight="1" x14ac:dyDescent="0.5">
      <c r="A93" s="126"/>
      <c r="B93" s="53" t="s">
        <v>56</v>
      </c>
      <c r="C93" s="48"/>
      <c r="D93" s="49"/>
      <c r="E93" s="49"/>
      <c r="F93" s="49"/>
      <c r="G93" s="49"/>
      <c r="H93" s="49"/>
    </row>
    <row r="94" spans="1:8" ht="18" customHeight="1" x14ac:dyDescent="0.5">
      <c r="A94" s="126"/>
      <c r="B94" s="139"/>
      <c r="C94" s="130"/>
      <c r="D94" s="140"/>
      <c r="E94" s="140"/>
      <c r="F94" s="140"/>
      <c r="G94" s="140"/>
      <c r="H94" s="140"/>
    </row>
    <row r="95" spans="1:8" ht="15" customHeight="1" x14ac:dyDescent="0.35">
      <c r="A95" s="3"/>
      <c r="B95" s="17" t="s">
        <v>57</v>
      </c>
      <c r="C95" s="45" t="s">
        <v>58</v>
      </c>
      <c r="D95" s="266"/>
      <c r="E95" s="266"/>
      <c r="F95" s="266"/>
      <c r="G95" s="266"/>
      <c r="H95" s="266"/>
    </row>
    <row r="96" spans="1:8" ht="15" customHeight="1" x14ac:dyDescent="0.35">
      <c r="A96" s="3"/>
      <c r="B96" s="17" t="s">
        <v>59</v>
      </c>
      <c r="C96" s="45" t="s">
        <v>323</v>
      </c>
      <c r="D96" s="270"/>
      <c r="E96" s="270"/>
      <c r="F96" s="270"/>
      <c r="G96" s="270"/>
      <c r="H96" s="270"/>
    </row>
    <row r="97" spans="1:8" ht="15" customHeight="1" x14ac:dyDescent="0.35">
      <c r="A97" s="3"/>
      <c r="B97" s="17" t="s">
        <v>60</v>
      </c>
      <c r="C97" s="45" t="s">
        <v>322</v>
      </c>
      <c r="D97" s="274">
        <f>D95*D96</f>
        <v>0</v>
      </c>
      <c r="E97" s="274">
        <f>E95*E96</f>
        <v>0</v>
      </c>
      <c r="F97" s="274">
        <f>F95*F96</f>
        <v>0</v>
      </c>
      <c r="G97" s="274">
        <f>G95*G96</f>
        <v>0</v>
      </c>
      <c r="H97" s="274">
        <f>H95*H96</f>
        <v>0</v>
      </c>
    </row>
    <row r="98" spans="1:8" ht="15" customHeight="1" x14ac:dyDescent="0.35">
      <c r="A98" s="3"/>
      <c r="B98" s="14" t="s">
        <v>61</v>
      </c>
      <c r="C98" s="45" t="s">
        <v>322</v>
      </c>
      <c r="D98" s="274">
        <f>D97+D54+D48-D34</f>
        <v>0</v>
      </c>
      <c r="E98" s="274">
        <f>E97+E54+E48-E34</f>
        <v>0</v>
      </c>
      <c r="F98" s="274">
        <f>F97+F54+F48-F34</f>
        <v>0</v>
      </c>
      <c r="G98" s="274">
        <f>G97+G54+G48-G34</f>
        <v>0</v>
      </c>
      <c r="H98" s="274">
        <f>H97+H54+H48-H34</f>
        <v>0</v>
      </c>
    </row>
    <row r="99" spans="1:8" ht="15" customHeight="1" x14ac:dyDescent="0.35">
      <c r="A99" s="3"/>
      <c r="B99" s="17" t="s">
        <v>62</v>
      </c>
      <c r="C99" s="45" t="s">
        <v>63</v>
      </c>
      <c r="D99" s="266"/>
      <c r="E99" s="266"/>
      <c r="F99" s="266"/>
      <c r="G99" s="266"/>
      <c r="H99" s="266"/>
    </row>
    <row r="100" spans="1:8" ht="15" customHeight="1" x14ac:dyDescent="0.35">
      <c r="A100" s="3"/>
      <c r="B100" s="17" t="s">
        <v>64</v>
      </c>
      <c r="C100" s="45" t="s">
        <v>65</v>
      </c>
      <c r="D100" s="266"/>
      <c r="E100" s="266"/>
      <c r="F100" s="266"/>
      <c r="G100" s="266"/>
      <c r="H100" s="266"/>
    </row>
    <row r="101" spans="1:8" ht="15" customHeight="1" x14ac:dyDescent="0.35">
      <c r="A101" s="3"/>
      <c r="B101" s="17" t="s">
        <v>66</v>
      </c>
      <c r="C101" s="45" t="s">
        <v>65</v>
      </c>
      <c r="D101" s="266"/>
      <c r="E101" s="266"/>
      <c r="F101" s="266"/>
      <c r="G101" s="266"/>
      <c r="H101" s="266"/>
    </row>
    <row r="102" spans="1:8" ht="15" customHeight="1" x14ac:dyDescent="0.35">
      <c r="A102" s="3"/>
      <c r="B102" s="17" t="s">
        <v>67</v>
      </c>
      <c r="C102" s="45" t="s">
        <v>65</v>
      </c>
      <c r="D102" s="269">
        <v>0.10829999999999999</v>
      </c>
      <c r="E102" s="269">
        <v>0.10829999999999999</v>
      </c>
      <c r="F102" s="269">
        <v>0.10630000000000001</v>
      </c>
      <c r="G102" s="269">
        <v>0.10630000000000001</v>
      </c>
      <c r="H102" s="269">
        <v>0.10630000000000001</v>
      </c>
    </row>
    <row r="103" spans="1:8" ht="15" customHeight="1" x14ac:dyDescent="0.35">
      <c r="A103" s="3"/>
      <c r="B103" s="17" t="s">
        <v>68</v>
      </c>
      <c r="C103" s="45" t="s">
        <v>65</v>
      </c>
      <c r="D103" s="266"/>
      <c r="E103" s="266"/>
      <c r="F103" s="266"/>
      <c r="G103" s="266"/>
      <c r="H103" s="266"/>
    </row>
    <row r="104" spans="1:8" ht="15" customHeight="1" x14ac:dyDescent="0.35">
      <c r="A104" s="3"/>
      <c r="B104" s="17" t="s">
        <v>69</v>
      </c>
      <c r="C104" s="45" t="s">
        <v>65</v>
      </c>
      <c r="D104" s="266"/>
      <c r="E104" s="266"/>
      <c r="F104" s="266"/>
      <c r="G104" s="266"/>
      <c r="H104" s="266"/>
    </row>
    <row r="105" spans="1:8" ht="15" customHeight="1" x14ac:dyDescent="0.35">
      <c r="A105" s="3"/>
      <c r="B105" s="17" t="s">
        <v>70</v>
      </c>
      <c r="C105" s="45" t="s">
        <v>65</v>
      </c>
      <c r="D105" s="269">
        <v>3.7900000000000003E-2</v>
      </c>
      <c r="E105" s="269">
        <v>3.7900000000000003E-2</v>
      </c>
      <c r="F105" s="269">
        <v>3.6299999999999999E-2</v>
      </c>
      <c r="G105" s="269">
        <v>3.6299999999999999E-2</v>
      </c>
      <c r="H105" s="269">
        <v>3.6299999999999999E-2</v>
      </c>
    </row>
    <row r="106" spans="1:8" ht="15" customHeight="1" x14ac:dyDescent="0.35">
      <c r="A106" s="3"/>
      <c r="B106" s="17" t="s">
        <v>71</v>
      </c>
      <c r="C106" s="45" t="s">
        <v>65</v>
      </c>
      <c r="D106" s="266"/>
      <c r="E106" s="266"/>
      <c r="F106" s="266"/>
      <c r="G106" s="266"/>
      <c r="H106" s="266"/>
    </row>
    <row r="107" spans="1:8" ht="15" customHeight="1" x14ac:dyDescent="0.35">
      <c r="A107" s="3"/>
      <c r="B107" s="17" t="s">
        <v>72</v>
      </c>
      <c r="C107" s="45" t="s">
        <v>65</v>
      </c>
      <c r="D107" s="266"/>
      <c r="E107" s="266"/>
      <c r="F107" s="266"/>
      <c r="G107" s="266"/>
      <c r="H107" s="266"/>
    </row>
    <row r="108" spans="1:8" ht="15" customHeight="1" x14ac:dyDescent="0.35">
      <c r="A108" s="3"/>
      <c r="B108" s="14" t="s">
        <v>73</v>
      </c>
      <c r="C108" s="45" t="s">
        <v>65</v>
      </c>
      <c r="D108" s="266">
        <f>D106*(D100+D99*D101)+D107*D103*(1-D104)</f>
        <v>0</v>
      </c>
      <c r="E108" s="266">
        <f>E106*(E100+E99*E101)+E107*E103*(1-E104)</f>
        <v>0</v>
      </c>
      <c r="F108" s="266">
        <f>F106*(F100+F99*F101)+F107*F103*(1-F104)</f>
        <v>0</v>
      </c>
      <c r="G108" s="266">
        <f>G106*(G100+G99*G101)+G107*G103*(1-G104)</f>
        <v>0</v>
      </c>
      <c r="H108" s="266">
        <f>H106*(H100+H99*H101)+H107*H103*(1-H104)</f>
        <v>0</v>
      </c>
    </row>
    <row r="109" spans="1:8" ht="15" customHeight="1" x14ac:dyDescent="0.35">
      <c r="A109" s="3"/>
      <c r="B109" s="17" t="s">
        <v>74</v>
      </c>
      <c r="C109" s="45" t="s">
        <v>65</v>
      </c>
      <c r="D109" s="266"/>
      <c r="E109" s="266"/>
      <c r="F109" s="266"/>
      <c r="G109" s="266"/>
      <c r="H109" s="266"/>
    </row>
    <row r="110" spans="1:8" ht="15" customHeight="1" x14ac:dyDescent="0.35">
      <c r="A110" s="3"/>
      <c r="B110" s="17" t="s">
        <v>75</v>
      </c>
      <c r="C110" s="45" t="s">
        <v>76</v>
      </c>
      <c r="D110" s="266"/>
      <c r="E110" s="266"/>
      <c r="F110" s="266"/>
      <c r="G110" s="266"/>
      <c r="H110" s="266"/>
    </row>
    <row r="111" spans="1:8" ht="15" customHeight="1" x14ac:dyDescent="0.35">
      <c r="A111" s="3"/>
      <c r="B111" s="14"/>
      <c r="C111" s="9"/>
      <c r="D111" s="46"/>
      <c r="E111" s="46"/>
      <c r="F111" s="46"/>
      <c r="G111" s="46"/>
      <c r="H111" s="46"/>
    </row>
    <row r="112" spans="1:8" ht="18" customHeight="1" x14ac:dyDescent="0.5">
      <c r="A112" s="126"/>
      <c r="B112" s="53" t="s">
        <v>77</v>
      </c>
      <c r="C112" s="48"/>
      <c r="D112" s="49"/>
      <c r="E112" s="49"/>
      <c r="F112" s="49"/>
      <c r="G112" s="49"/>
      <c r="H112" s="49"/>
    </row>
    <row r="113" spans="1:11" ht="18" customHeight="1" x14ac:dyDescent="0.5">
      <c r="A113" s="126"/>
      <c r="B113" s="139"/>
      <c r="C113" s="130"/>
      <c r="D113" s="140"/>
      <c r="E113" s="140"/>
      <c r="F113" s="140"/>
      <c r="G113" s="140"/>
      <c r="H113" s="140"/>
    </row>
    <row r="114" spans="1:11" ht="15" customHeight="1" x14ac:dyDescent="0.35">
      <c r="A114" s="3"/>
      <c r="B114" s="14" t="s">
        <v>78</v>
      </c>
      <c r="C114" s="45" t="s">
        <v>79</v>
      </c>
      <c r="D114" s="266"/>
      <c r="E114" s="46"/>
      <c r="F114" s="46"/>
      <c r="G114" s="46"/>
      <c r="H114" s="46"/>
    </row>
    <row r="115" spans="1:11" ht="15" customHeight="1" x14ac:dyDescent="0.35">
      <c r="A115" s="3"/>
      <c r="B115" s="14" t="s">
        <v>80</v>
      </c>
      <c r="C115" s="45" t="s">
        <v>79</v>
      </c>
      <c r="D115" s="266"/>
      <c r="E115" s="46"/>
      <c r="F115" s="46"/>
      <c r="G115" s="46"/>
      <c r="H115" s="46"/>
    </row>
    <row r="116" spans="1:11" ht="15" customHeight="1" x14ac:dyDescent="0.35">
      <c r="A116" s="3"/>
      <c r="B116" s="14" t="s">
        <v>81</v>
      </c>
      <c r="C116" s="45" t="s">
        <v>79</v>
      </c>
      <c r="D116" s="271"/>
      <c r="E116" s="46"/>
      <c r="F116" s="46"/>
      <c r="G116" s="46"/>
      <c r="H116" s="46"/>
    </row>
    <row r="117" spans="1:11" ht="15" customHeight="1" x14ac:dyDescent="0.35">
      <c r="A117" s="3"/>
      <c r="B117" s="86" t="s">
        <v>342</v>
      </c>
      <c r="C117" s="45" t="s">
        <v>79</v>
      </c>
      <c r="D117" s="95"/>
      <c r="E117" s="46"/>
      <c r="F117" s="46"/>
      <c r="G117" s="46"/>
      <c r="H117" s="46"/>
    </row>
    <row r="118" spans="1:11" ht="15" customHeight="1" x14ac:dyDescent="0.35">
      <c r="A118" s="3"/>
      <c r="B118" s="14" t="s">
        <v>83</v>
      </c>
      <c r="C118" s="45" t="s">
        <v>79</v>
      </c>
      <c r="D118" s="266"/>
      <c r="E118" s="46"/>
      <c r="F118" s="46"/>
      <c r="G118" s="46"/>
      <c r="H118" s="46"/>
    </row>
    <row r="119" spans="1:11" ht="15" customHeight="1" x14ac:dyDescent="0.35">
      <c r="A119" s="3"/>
      <c r="B119" s="14" t="s">
        <v>84</v>
      </c>
      <c r="C119" s="45" t="s">
        <v>79</v>
      </c>
      <c r="D119" s="266"/>
      <c r="E119" s="46"/>
      <c r="F119" s="46"/>
      <c r="G119" s="46"/>
      <c r="H119" s="46"/>
    </row>
    <row r="120" spans="1:11" ht="15" customHeight="1" x14ac:dyDescent="0.35">
      <c r="A120" s="3"/>
      <c r="B120" s="14" t="s">
        <v>85</v>
      </c>
      <c r="C120" s="45" t="s">
        <v>79</v>
      </c>
      <c r="D120" s="272"/>
      <c r="E120" s="273"/>
      <c r="F120" s="273"/>
      <c r="G120" s="273"/>
      <c r="H120" s="273"/>
    </row>
    <row r="121" spans="1:11" ht="15" customHeight="1" x14ac:dyDescent="0.35">
      <c r="A121" s="3"/>
      <c r="B121" s="14"/>
      <c r="C121" s="9"/>
      <c r="D121" s="46"/>
      <c r="E121" s="46"/>
      <c r="F121" s="46"/>
      <c r="G121" s="46"/>
      <c r="H121" s="46"/>
    </row>
    <row r="122" spans="1:11" ht="15" customHeight="1" x14ac:dyDescent="0.35">
      <c r="A122" s="3"/>
      <c r="B122" s="54" t="s">
        <v>332</v>
      </c>
      <c r="C122" s="3"/>
      <c r="D122" s="22"/>
      <c r="E122" s="22"/>
      <c r="F122" s="22"/>
      <c r="G122" s="22"/>
      <c r="H122" s="22"/>
    </row>
    <row r="123" spans="1:11" ht="15" customHeight="1" x14ac:dyDescent="0.35">
      <c r="A123" s="3"/>
      <c r="B123" s="14"/>
      <c r="C123" s="3"/>
      <c r="D123" s="22"/>
      <c r="E123" s="22"/>
      <c r="F123" s="22"/>
      <c r="G123" s="22"/>
      <c r="H123" s="22"/>
    </row>
    <row r="124" spans="1:11" ht="15" customHeight="1" x14ac:dyDescent="0.35">
      <c r="A124" s="250"/>
      <c r="B124" s="33" t="s">
        <v>339</v>
      </c>
      <c r="C124" s="2"/>
      <c r="D124" s="25"/>
      <c r="E124" s="25"/>
      <c r="F124" s="25"/>
      <c r="G124" s="25"/>
      <c r="H124" s="25"/>
    </row>
    <row r="125" spans="1:11" ht="15" customHeight="1" x14ac:dyDescent="0.35">
      <c r="A125" s="250"/>
      <c r="B125" s="33" t="s">
        <v>86</v>
      </c>
      <c r="C125" s="2"/>
      <c r="D125" s="25"/>
      <c r="E125" s="25"/>
      <c r="F125" s="25"/>
      <c r="G125" s="25"/>
      <c r="H125" s="25"/>
    </row>
    <row r="126" spans="1:11" ht="15" customHeight="1" x14ac:dyDescent="0.35">
      <c r="A126" s="250"/>
      <c r="B126" s="33" t="s">
        <v>340</v>
      </c>
      <c r="C126" s="2"/>
      <c r="D126" s="25"/>
      <c r="E126" s="25"/>
      <c r="F126" s="25"/>
      <c r="G126" s="25"/>
      <c r="H126" s="25"/>
    </row>
    <row r="127" spans="1:11" ht="15" customHeight="1" x14ac:dyDescent="0.3">
      <c r="B127" s="51"/>
    </row>
    <row r="128" spans="1:11" ht="3" customHeight="1" x14ac:dyDescent="0.3">
      <c r="A128" s="417"/>
      <c r="B128" s="418"/>
      <c r="C128" s="417"/>
      <c r="D128" s="419">
        <f>IF(COUNTA(D9,D10,D14,D15,D16,D20,D21,D25)=8,1,0)+IF(COUNTA(E9,E10,E14,E15,E16,E20,E21,E25)=8,1,0)+IF(COUNTA(F9,F10,F14,F15,F16,F20,F21,F25)=8,1,0)+IF(COUNTA(G9,G10,G14,G15,G16,G20,G21,G25)=8,1,0)</f>
        <v>0</v>
      </c>
      <c r="E128" s="419"/>
      <c r="F128" s="419">
        <f>IF(COUNTA(D9,D10,D14,D15,D16,D20,D21,D25)=8,1,0)+IF(COUNTA(E9,E10,E14,E15,E16,E20,E21,E25)=8,1,0)+IF(COUNTA(F9,F10,F14,F15,F16,F20,F21,F25)=8,1,0)+IF(COUNTA(G9,G10,G14,G15,G16,G20,G21,G25)=8,1,0)+IF(COUNTA(H9,H10,H14,H15,H16,H20,H21,H25)=8,1,0)</f>
        <v>0</v>
      </c>
      <c r="G128" s="419">
        <f>IF(COUNTA(H9,H10,H14,H15,H16,H20,H21,H25)=8,$F$128,IF(COUNTA(G9,G10,G14,G15,G16,G20,G21,G25)=8,$F$128,IF(COUNTA(F9,F10,F14,F15,F16,F20,F21,F25)=8,$F$128,IF(COUNTA(E9,E10,E14,E15,E16,E20,E21,E25)=8,$F$128,IF(COUNTA(D9,D10,D14,D15,D16,D20,D21,D25)=8,$F$128,0)))))</f>
        <v>0</v>
      </c>
      <c r="H128" s="419"/>
      <c r="I128" s="417"/>
      <c r="J128" s="417"/>
      <c r="K128" s="417"/>
    </row>
    <row r="129" spans="2:2" ht="15" customHeight="1" x14ac:dyDescent="0.3">
      <c r="B129" s="51"/>
    </row>
    <row r="130" spans="2:2" ht="15" customHeight="1" x14ac:dyDescent="0.3">
      <c r="B130" s="51"/>
    </row>
    <row r="131" spans="2:2" ht="15" customHeight="1" x14ac:dyDescent="0.3">
      <c r="B131" s="51"/>
    </row>
    <row r="132" spans="2:2" ht="15" customHeight="1" x14ac:dyDescent="0.3">
      <c r="B132" s="51"/>
    </row>
    <row r="133" spans="2:2" ht="15" customHeight="1" x14ac:dyDescent="0.3">
      <c r="B133" s="51"/>
    </row>
    <row r="134" spans="2:2" ht="15" customHeight="1" x14ac:dyDescent="0.3">
      <c r="B134" s="51"/>
    </row>
    <row r="135" spans="2:2" ht="15" customHeight="1" x14ac:dyDescent="0.3">
      <c r="B135" s="51"/>
    </row>
    <row r="136" spans="2:2" ht="15" customHeight="1" x14ac:dyDescent="0.3">
      <c r="B136" s="51"/>
    </row>
    <row r="137" spans="2:2" ht="15" customHeight="1" x14ac:dyDescent="0.3">
      <c r="B137" s="51"/>
    </row>
    <row r="138" spans="2:2" ht="15" customHeight="1" x14ac:dyDescent="0.3">
      <c r="B138" s="51"/>
    </row>
    <row r="139" spans="2:2" ht="15" customHeight="1" x14ac:dyDescent="0.3">
      <c r="B139" s="51"/>
    </row>
    <row r="140" spans="2:2" ht="15" customHeight="1" x14ac:dyDescent="0.3">
      <c r="B140" s="51"/>
    </row>
    <row r="141" spans="2:2" ht="15" customHeight="1" x14ac:dyDescent="0.3">
      <c r="B141" s="51"/>
    </row>
    <row r="142" spans="2:2" ht="15" customHeight="1" x14ac:dyDescent="0.3">
      <c r="B142" s="51"/>
    </row>
    <row r="143" spans="2:2" ht="15" customHeight="1" x14ac:dyDescent="0.3">
      <c r="B143" s="51"/>
    </row>
    <row r="144" spans="2:2" ht="15" customHeight="1" x14ac:dyDescent="0.3">
      <c r="B144" s="51"/>
    </row>
    <row r="145" spans="2:2" ht="15" customHeight="1" x14ac:dyDescent="0.3">
      <c r="B145" s="51"/>
    </row>
    <row r="146" spans="2:2" ht="15" customHeight="1" x14ac:dyDescent="0.3">
      <c r="B146" s="51"/>
    </row>
    <row r="147" spans="2:2" ht="15" customHeight="1" x14ac:dyDescent="0.3">
      <c r="B147" s="51"/>
    </row>
    <row r="148" spans="2:2" ht="15" customHeight="1" x14ac:dyDescent="0.3">
      <c r="B148" s="51"/>
    </row>
    <row r="149" spans="2:2" ht="15" customHeight="1" x14ac:dyDescent="0.3">
      <c r="B149" s="51"/>
    </row>
    <row r="150" spans="2:2" ht="15" customHeight="1" x14ac:dyDescent="0.3">
      <c r="B150" s="51"/>
    </row>
    <row r="151" spans="2:2" ht="15" customHeight="1" x14ac:dyDescent="0.3">
      <c r="B151" s="51"/>
    </row>
  </sheetData>
  <conditionalFormatting sqref="D1:D122">
    <cfRule type="expression" dxfId="21" priority="6">
      <formula>$F$128&lt;1</formula>
    </cfRule>
  </conditionalFormatting>
  <conditionalFormatting sqref="E1:E122">
    <cfRule type="expression" dxfId="20" priority="7">
      <formula>$F$128&lt;2</formula>
    </cfRule>
  </conditionalFormatting>
  <conditionalFormatting sqref="F1:F122">
    <cfRule type="expression" dxfId="19" priority="8">
      <formula>$F$128&lt;3</formula>
    </cfRule>
  </conditionalFormatting>
  <conditionalFormatting sqref="G1:G122">
    <cfRule type="expression" dxfId="18" priority="9">
      <formula>$F$128&lt;4</formula>
    </cfRule>
  </conditionalFormatting>
  <conditionalFormatting sqref="H1:H122">
    <cfRule type="expression" dxfId="17" priority="10">
      <formula>$F$128&lt;5</formula>
    </cfRule>
  </conditionalFormatting>
  <dataValidations count="1">
    <dataValidation type="list" allowBlank="1" showInputMessage="1" showErrorMessage="1" sqref="D116" xr:uid="{90F1EE67-A929-4459-9BFF-C1238DC7D06F}">
      <formula1>"Technologie / SaaS,Industrie / Manufacturing,Consommation / Retail,Luxe / Premium,Energie / Utilities,Sante / Pharma"</formula1>
    </dataValidation>
  </dataValidations>
  <printOptions horizontalCentered="1"/>
  <pageMargins left="5.5555555555555558E-3" right="5.5555555555555558E-3" top="6.9444444444444441E-3" bottom="6.9444444444444441E-3" header="2.7777777777777779E-3" footer="2.7777777777777779E-3"/>
  <pageSetup paperSize="9" scale="73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B82EA-E9ED-412B-A827-5470CCA3D035}">
  <sheetPr>
    <pageSetUpPr fitToPage="1"/>
  </sheetPr>
  <dimension ref="A1:H123"/>
  <sheetViews>
    <sheetView showGridLines="0" topLeftCell="A12" zoomScale="65" workbookViewId="0">
      <selection activeCell="D77" sqref="D77"/>
    </sheetView>
  </sheetViews>
  <sheetFormatPr baseColWidth="10" defaultRowHeight="14.4" x14ac:dyDescent="0.3"/>
  <cols>
    <col min="1" max="1" width="11" style="229" customWidth="1"/>
    <col min="2" max="2" width="49.5546875" style="19" customWidth="1"/>
    <col min="3" max="3" width="12.33203125" customWidth="1"/>
    <col min="4" max="8" width="13.33203125" style="21" customWidth="1"/>
  </cols>
  <sheetData>
    <row r="1" spans="1:8" ht="54.9" customHeight="1" x14ac:dyDescent="0.6">
      <c r="A1" s="225"/>
      <c r="B1" s="118" t="s">
        <v>346</v>
      </c>
      <c r="C1" s="5"/>
      <c r="D1" s="29"/>
      <c r="E1" s="29"/>
      <c r="F1" s="117" t="s">
        <v>347</v>
      </c>
      <c r="G1" s="29"/>
      <c r="H1" s="29"/>
    </row>
    <row r="2" spans="1:8" ht="15" customHeight="1" x14ac:dyDescent="0.35">
      <c r="A2" s="226"/>
      <c r="B2" s="14"/>
      <c r="C2" s="3"/>
      <c r="D2" s="22"/>
      <c r="E2" s="22"/>
      <c r="F2" s="22"/>
      <c r="G2" s="22"/>
      <c r="H2" s="22"/>
    </row>
    <row r="3" spans="1:8" ht="18" customHeight="1" x14ac:dyDescent="0.5">
      <c r="A3" s="227"/>
      <c r="B3" s="15" t="s">
        <v>87</v>
      </c>
      <c r="C3" s="7"/>
      <c r="D3" s="23"/>
      <c r="E3" s="23"/>
      <c r="F3" s="23"/>
      <c r="G3" s="23"/>
      <c r="H3" s="23"/>
    </row>
    <row r="4" spans="1:8" ht="15" customHeight="1" x14ac:dyDescent="0.35">
      <c r="A4" s="226"/>
      <c r="B4" s="13"/>
      <c r="C4" s="3"/>
      <c r="D4" s="22"/>
      <c r="E4" s="22"/>
      <c r="F4" s="22"/>
      <c r="G4" s="22"/>
      <c r="H4" s="22"/>
    </row>
    <row r="5" spans="1:8" ht="15" customHeight="1" x14ac:dyDescent="0.35">
      <c r="A5" s="228" t="s">
        <v>343</v>
      </c>
      <c r="B5" s="16" t="s">
        <v>354</v>
      </c>
      <c r="C5" s="1"/>
      <c r="D5" s="1" t="str">
        <f>INPUT!D5</f>
        <v/>
      </c>
      <c r="E5" s="1" t="str">
        <f>INPUT!E5</f>
        <v/>
      </c>
      <c r="F5" s="1" t="str">
        <f>INPUT!F5</f>
        <v/>
      </c>
      <c r="G5" s="1" t="str">
        <f>INPUT!G5</f>
        <v/>
      </c>
      <c r="H5" s="1" t="str">
        <f>INPUT!H5</f>
        <v/>
      </c>
    </row>
    <row r="6" spans="1:8" ht="15" customHeight="1" x14ac:dyDescent="0.35">
      <c r="A6" s="226"/>
      <c r="B6" s="14"/>
      <c r="C6" s="3"/>
      <c r="D6" s="22"/>
      <c r="E6" s="22"/>
      <c r="F6" s="22"/>
      <c r="G6" s="22"/>
      <c r="H6" s="22"/>
    </row>
    <row r="7" spans="1:8" ht="18" customHeight="1" x14ac:dyDescent="0.5">
      <c r="A7" s="227" t="s">
        <v>343</v>
      </c>
      <c r="B7" s="15" t="s">
        <v>324</v>
      </c>
      <c r="C7" s="7"/>
      <c r="D7" s="23"/>
      <c r="E7" s="23"/>
      <c r="F7" s="23"/>
      <c r="G7" s="23"/>
      <c r="H7" s="23"/>
    </row>
    <row r="8" spans="1:8" ht="18" customHeight="1" x14ac:dyDescent="0.5">
      <c r="A8" s="227"/>
      <c r="B8" s="124"/>
      <c r="C8" s="126"/>
      <c r="D8" s="123"/>
      <c r="E8" s="123"/>
      <c r="F8" s="123"/>
      <c r="G8" s="123"/>
      <c r="H8" s="123"/>
    </row>
    <row r="9" spans="1:8" ht="15" customHeight="1" x14ac:dyDescent="0.35">
      <c r="A9" s="226"/>
      <c r="B9" s="27" t="s">
        <v>88</v>
      </c>
      <c r="C9" s="9"/>
      <c r="D9" s="277" t="str">
        <f>IFERROR(INPUT!D95/( INPUT!D26/INPUT!D96),"–")</f>
        <v>–</v>
      </c>
      <c r="E9" s="277" t="str">
        <f>IFERROR(INPUT!E95/(INPUT!E26/INPUT!E96),"–")</f>
        <v>–</v>
      </c>
      <c r="F9" s="277" t="str">
        <f>IFERROR(INPUT!F95/(INPUT!F26/INPUT!F96),"–")</f>
        <v>–</v>
      </c>
      <c r="G9" s="277" t="str">
        <f>IFERROR(INPUT!G95/(INPUT!G26/INPUT!G96),"–")</f>
        <v>–</v>
      </c>
      <c r="H9" s="277" t="str">
        <f>IFERROR(INPUT!H95/(INPUT!H26/INPUT!H96),"–")</f>
        <v>–</v>
      </c>
    </row>
    <row r="10" spans="1:8" ht="15" customHeight="1" x14ac:dyDescent="0.35">
      <c r="A10" s="226"/>
      <c r="B10" s="27" t="s">
        <v>89</v>
      </c>
      <c r="C10" s="9"/>
      <c r="D10" s="277" t="str">
        <f>IFERROR(INPUT!D98/INPUT!D30,"–")</f>
        <v>–</v>
      </c>
      <c r="E10" s="277" t="str">
        <f>IFERROR(INPUT!E98/INPUT!E30,"–")</f>
        <v>–</v>
      </c>
      <c r="F10" s="277" t="str">
        <f>IFERROR(INPUT!F98/INPUT!F30,"–")</f>
        <v>–</v>
      </c>
      <c r="G10" s="277" t="str">
        <f>IFERROR(INPUT!G98/INPUT!G30,"–")</f>
        <v>–</v>
      </c>
      <c r="H10" s="277" t="str">
        <f>IFERROR(INPUT!H98/INPUT!H30,"–")</f>
        <v>–</v>
      </c>
    </row>
    <row r="11" spans="1:8" ht="15" customHeight="1" x14ac:dyDescent="0.35">
      <c r="A11" s="226"/>
      <c r="B11" s="27" t="s">
        <v>90</v>
      </c>
      <c r="C11" s="9"/>
      <c r="D11" s="277" t="str">
        <f>IFERROR(INPUT!D98/INPUT!D9,"–")</f>
        <v>–</v>
      </c>
      <c r="E11" s="277" t="str">
        <f>IFERROR(INPUT!E98/INPUT!E9,"–")</f>
        <v>–</v>
      </c>
      <c r="F11" s="277" t="str">
        <f>IFERROR(INPUT!F98/INPUT!F9,"–")</f>
        <v>–</v>
      </c>
      <c r="G11" s="277" t="str">
        <f>IFERROR(INPUT!G98/INPUT!G9,"–")</f>
        <v>–</v>
      </c>
      <c r="H11" s="277" t="str">
        <f>IFERROR(INPUT!H98/INPUT!H9,"–")</f>
        <v>–</v>
      </c>
    </row>
    <row r="12" spans="1:8" ht="15" customHeight="1" x14ac:dyDescent="0.35">
      <c r="A12" s="226"/>
      <c r="B12" s="27" t="s">
        <v>91</v>
      </c>
      <c r="C12" s="9"/>
      <c r="D12" s="277" t="str">
        <f>IFERROR(INPUT!D98/INPUT!D17,"–")</f>
        <v>–</v>
      </c>
      <c r="E12" s="277" t="str">
        <f>IFERROR(INPUT!E98/INPUT!E17,"–")</f>
        <v>–</v>
      </c>
      <c r="F12" s="277" t="str">
        <f>IFERROR(INPUT!F98/INPUT!F17,"–")</f>
        <v>–</v>
      </c>
      <c r="G12" s="277" t="str">
        <f>IFERROR(INPUT!G98/INPUT!G17,"–")</f>
        <v>–</v>
      </c>
      <c r="H12" s="277" t="str">
        <f>IFERROR(INPUT!H98/INPUT!H17,"–")</f>
        <v>–</v>
      </c>
    </row>
    <row r="13" spans="1:8" ht="15" customHeight="1" x14ac:dyDescent="0.35">
      <c r="A13" s="226"/>
      <c r="B13" s="27" t="s">
        <v>92</v>
      </c>
      <c r="C13" s="9"/>
      <c r="D13" s="277" t="str">
        <f>IFERROR(INPUT!D97/INPUT!D60,"–")</f>
        <v>–</v>
      </c>
      <c r="E13" s="277" t="str">
        <f>IFERROR(INPUT!E97/INPUT!E60,"–")</f>
        <v>–</v>
      </c>
      <c r="F13" s="277" t="str">
        <f>IFERROR(INPUT!F97/INPUT!F60,"–")</f>
        <v>–</v>
      </c>
      <c r="G13" s="277" t="str">
        <f>IFERROR(INPUT!G97/INPUT!G60,"–")</f>
        <v>–</v>
      </c>
      <c r="H13" s="277" t="str">
        <f>IFERROR(INPUT!H97/INPUT!H60,"–")</f>
        <v>–</v>
      </c>
    </row>
    <row r="14" spans="1:8" ht="15" customHeight="1" x14ac:dyDescent="0.35">
      <c r="A14" s="226"/>
      <c r="B14" s="27" t="s">
        <v>93</v>
      </c>
      <c r="C14" s="9"/>
      <c r="D14" s="277" t="str">
        <f>IFERROR(INPUT!D97/INPUT!D9,"–")</f>
        <v>–</v>
      </c>
      <c r="E14" s="277" t="str">
        <f>IFERROR(INPUT!E97/INPUT!E9,"–")</f>
        <v>–</v>
      </c>
      <c r="F14" s="277" t="str">
        <f>IFERROR(INPUT!F97/INPUT!F9,"–")</f>
        <v>–</v>
      </c>
      <c r="G14" s="277" t="str">
        <f>IFERROR(INPUT!G97/INPUT!G9,"–")</f>
        <v>–</v>
      </c>
      <c r="H14" s="277" t="str">
        <f>IFERROR(INPUT!H97/INPUT!H9,"–")</f>
        <v>–</v>
      </c>
    </row>
    <row r="15" spans="1:8" ht="15" customHeight="1" x14ac:dyDescent="0.35">
      <c r="A15" s="226"/>
      <c r="B15" s="27" t="s">
        <v>94</v>
      </c>
      <c r="C15" s="9"/>
      <c r="D15" s="278" t="str">
        <f>IFERROR(INPUT!D26/INPUT!D96,"–")</f>
        <v>–</v>
      </c>
      <c r="E15" s="278" t="str">
        <f>IFERROR(INPUT!E26/INPUT!E96,"–")</f>
        <v>–</v>
      </c>
      <c r="F15" s="278" t="str">
        <f>IFERROR(INPUT!F26/INPUT!F96,"–")</f>
        <v>–</v>
      </c>
      <c r="G15" s="278" t="str">
        <f>IFERROR(INPUT!G26/INPUT!G96,"–")</f>
        <v>–</v>
      </c>
      <c r="H15" s="278" t="str">
        <f>IFERROR(INPUT!H26/INPUT!H96,"–")</f>
        <v>–</v>
      </c>
    </row>
    <row r="16" spans="1:8" ht="15" customHeight="1" x14ac:dyDescent="0.35">
      <c r="A16" s="226"/>
      <c r="B16" s="28"/>
      <c r="C16" s="9"/>
      <c r="D16" s="31"/>
      <c r="E16" s="31"/>
      <c r="F16" s="31"/>
      <c r="G16" s="31"/>
      <c r="H16" s="31"/>
    </row>
    <row r="17" spans="1:8" ht="18" customHeight="1" x14ac:dyDescent="0.5">
      <c r="A17" s="227" t="s">
        <v>343</v>
      </c>
      <c r="B17" s="53" t="s">
        <v>325</v>
      </c>
      <c r="C17" s="48"/>
      <c r="D17" s="23"/>
      <c r="E17" s="23"/>
      <c r="F17" s="23"/>
      <c r="G17" s="23"/>
      <c r="H17" s="23"/>
    </row>
    <row r="18" spans="1:8" ht="18" customHeight="1" x14ac:dyDescent="0.5">
      <c r="A18" s="227"/>
      <c r="B18" s="139"/>
      <c r="C18" s="130"/>
      <c r="D18" s="123"/>
      <c r="E18" s="123"/>
      <c r="F18" s="123"/>
      <c r="G18" s="123"/>
      <c r="H18" s="123"/>
    </row>
    <row r="19" spans="1:8" ht="15" customHeight="1" x14ac:dyDescent="0.35">
      <c r="A19" s="226"/>
      <c r="B19" s="27" t="s">
        <v>95</v>
      </c>
      <c r="C19" s="9"/>
      <c r="D19" s="279" t="str">
        <f>IFERROR(INPUT!D11/INPUT!D9,"–")</f>
        <v>–</v>
      </c>
      <c r="E19" s="279" t="str">
        <f>IFERROR(INPUT!E11/INPUT!E9,"–")</f>
        <v>–</v>
      </c>
      <c r="F19" s="279" t="str">
        <f>IFERROR(INPUT!F11/INPUT!F9,"–")</f>
        <v>–</v>
      </c>
      <c r="G19" s="279" t="str">
        <f>IFERROR(INPUT!G11/INPUT!G9,"–")</f>
        <v>–</v>
      </c>
      <c r="H19" s="279" t="str">
        <f>IFERROR(INPUT!H11/INPUT!H9,"–")</f>
        <v>–</v>
      </c>
    </row>
    <row r="20" spans="1:8" ht="15" customHeight="1" x14ac:dyDescent="0.35">
      <c r="A20" s="226"/>
      <c r="B20" s="27" t="s">
        <v>96</v>
      </c>
      <c r="C20" s="9"/>
      <c r="D20" s="279" t="str">
        <f>IFERROR(INPUT!D30/INPUT!D9,"–")</f>
        <v>–</v>
      </c>
      <c r="E20" s="279" t="str">
        <f>IFERROR(INPUT!E30/INPUT!E9,"–")</f>
        <v>–</v>
      </c>
      <c r="F20" s="279" t="str">
        <f>IFERROR(INPUT!F30/INPUT!F9,"–")</f>
        <v>–</v>
      </c>
      <c r="G20" s="279" t="str">
        <f>IFERROR(INPUT!G30/INPUT!G9,"–")</f>
        <v>–</v>
      </c>
      <c r="H20" s="279" t="str">
        <f>IFERROR(INPUT!H30/INPUT!H9,"–")</f>
        <v>–</v>
      </c>
    </row>
    <row r="21" spans="1:8" ht="15" customHeight="1" x14ac:dyDescent="0.35">
      <c r="A21" s="226"/>
      <c r="B21" s="27" t="s">
        <v>97</v>
      </c>
      <c r="C21" s="9"/>
      <c r="D21" s="279" t="str">
        <f>IFERROR(INPUT!D17/INPUT!D9,"–")</f>
        <v>–</v>
      </c>
      <c r="E21" s="279" t="str">
        <f>IFERROR(INPUT!E17/INPUT!E9,"–")</f>
        <v>–</v>
      </c>
      <c r="F21" s="279" t="str">
        <f>IFERROR(INPUT!F17/INPUT!F9,"–")</f>
        <v>–</v>
      </c>
      <c r="G21" s="279" t="str">
        <f>IFERROR(INPUT!G17/INPUT!G9,"–")</f>
        <v>–</v>
      </c>
      <c r="H21" s="279" t="str">
        <f>IFERROR(INPUT!H17/INPUT!H9,"–")</f>
        <v>–</v>
      </c>
    </row>
    <row r="22" spans="1:8" ht="15" customHeight="1" x14ac:dyDescent="0.35">
      <c r="A22" s="226"/>
      <c r="B22" s="27" t="s">
        <v>98</v>
      </c>
      <c r="C22" s="9"/>
      <c r="D22" s="279" t="str">
        <f>IFERROR(INPUT!D26/INPUT!D9,"–")</f>
        <v>–</v>
      </c>
      <c r="E22" s="279" t="str">
        <f>IFERROR(INPUT!E26/INPUT!E9,"–")</f>
        <v>–</v>
      </c>
      <c r="F22" s="279" t="str">
        <f>IFERROR(INPUT!F26/INPUT!F9,"–")</f>
        <v>–</v>
      </c>
      <c r="G22" s="279" t="str">
        <f>IFERROR(INPUT!G26/INPUT!G9,"–")</f>
        <v>–</v>
      </c>
      <c r="H22" s="279" t="str">
        <f>IFERROR(INPUT!H26/INPUT!H9,"–")</f>
        <v>–</v>
      </c>
    </row>
    <row r="23" spans="1:8" ht="15" customHeight="1" x14ac:dyDescent="0.35">
      <c r="A23" s="226"/>
      <c r="B23" s="27" t="s">
        <v>99</v>
      </c>
      <c r="C23" s="9"/>
      <c r="D23" s="279" t="str">
        <f>IFERROR(INPUT!D26/INPUT!D60,"–")</f>
        <v>–</v>
      </c>
      <c r="E23" s="279" t="str">
        <f>IFERROR(INPUT!E26/INPUT!E60,"–")</f>
        <v>–</v>
      </c>
      <c r="F23" s="279" t="str">
        <f>IFERROR(INPUT!F26/INPUT!F60,"–")</f>
        <v>–</v>
      </c>
      <c r="G23" s="279" t="str">
        <f>IFERROR(INPUT!G26/INPUT!G60,"–")</f>
        <v>–</v>
      </c>
      <c r="H23" s="279" t="str">
        <f>IFERROR(INPUT!H26/INPUT!H60,"–")</f>
        <v>–</v>
      </c>
    </row>
    <row r="24" spans="1:8" ht="15" customHeight="1" x14ac:dyDescent="0.35">
      <c r="A24" s="226"/>
      <c r="B24" s="27" t="s">
        <v>100</v>
      </c>
      <c r="C24" s="9"/>
      <c r="D24" s="279" t="str">
        <f>IFERROR(INPUT!D26/INPUT!D44,"–")</f>
        <v>–</v>
      </c>
      <c r="E24" s="279" t="str">
        <f>IFERROR(INPUT!E26/INPUT!E44,"–")</f>
        <v>–</v>
      </c>
      <c r="F24" s="279" t="str">
        <f>IFERROR(INPUT!F26/INPUT!F44,"–")</f>
        <v>–</v>
      </c>
      <c r="G24" s="279" t="str">
        <f>IFERROR(INPUT!G26/INPUT!G44,"–")</f>
        <v>–</v>
      </c>
      <c r="H24" s="279" t="str">
        <f>IFERROR(INPUT!H26/INPUT!H44,"–")</f>
        <v>–</v>
      </c>
    </row>
    <row r="25" spans="1:8" ht="15" customHeight="1" x14ac:dyDescent="0.35">
      <c r="A25" s="226"/>
      <c r="B25" s="27" t="s">
        <v>101</v>
      </c>
      <c r="C25" s="9"/>
      <c r="D25" s="280" t="str">
        <f>IFERROR(INPUT!D17*(1-INPUT!D104)/(INPUT!D58+INPUT!D59),"–")</f>
        <v>–</v>
      </c>
      <c r="E25" s="280" t="str">
        <f>IFERROR(INPUT!E17*(1-INPUT!E104)/(INPUT!E58+INPUT!E59),"–")</f>
        <v>–</v>
      </c>
      <c r="F25" s="280" t="str">
        <f>IFERROR(INPUT!F17*(1-INPUT!F104)/(INPUT!F58+INPUT!F59),"–")</f>
        <v>–</v>
      </c>
      <c r="G25" s="280" t="str">
        <f>IFERROR(INPUT!G17*(1-INPUT!G104)/(INPUT!G58+INPUT!G59),"–")</f>
        <v>–</v>
      </c>
      <c r="H25" s="280" t="str">
        <f>IFERROR(INPUT!H17*(1-INPUT!H104)/(INPUT!H58+INPUT!H59),"–")</f>
        <v>–</v>
      </c>
    </row>
    <row r="26" spans="1:8" ht="15" customHeight="1" x14ac:dyDescent="0.35">
      <c r="A26" s="226"/>
      <c r="B26" s="28"/>
      <c r="C26" s="9"/>
      <c r="D26" s="31"/>
      <c r="E26" s="31"/>
      <c r="F26" s="31"/>
      <c r="G26" s="31"/>
      <c r="H26" s="31"/>
    </row>
    <row r="27" spans="1:8" ht="18" customHeight="1" x14ac:dyDescent="0.5">
      <c r="A27" s="227" t="s">
        <v>343</v>
      </c>
      <c r="B27" s="53" t="s">
        <v>326</v>
      </c>
      <c r="C27" s="48"/>
      <c r="D27" s="23"/>
      <c r="E27" s="23"/>
      <c r="F27" s="23"/>
      <c r="G27" s="23"/>
      <c r="H27" s="23"/>
    </row>
    <row r="28" spans="1:8" ht="18" customHeight="1" x14ac:dyDescent="0.5">
      <c r="A28" s="227"/>
      <c r="B28" s="139"/>
      <c r="C28" s="130"/>
      <c r="D28" s="123"/>
      <c r="E28" s="123"/>
      <c r="F28" s="123"/>
      <c r="G28" s="123"/>
      <c r="H28" s="123"/>
    </row>
    <row r="29" spans="1:8" ht="15" customHeight="1" x14ac:dyDescent="0.35">
      <c r="A29" s="226"/>
      <c r="B29" s="27" t="s">
        <v>102</v>
      </c>
      <c r="C29" s="9"/>
      <c r="D29" s="277" t="str">
        <f>IFERROR(INPUT!D38/INPUT!D51,"–")</f>
        <v>–</v>
      </c>
      <c r="E29" s="277" t="str">
        <f>IFERROR(INPUT!E38/INPUT!E51,"–")</f>
        <v>–</v>
      </c>
      <c r="F29" s="277" t="str">
        <f>IFERROR(INPUT!F38/INPUT!F51,"–")</f>
        <v>–</v>
      </c>
      <c r="G29" s="277" t="str">
        <f>IFERROR(INPUT!G38/INPUT!G51,"–")</f>
        <v>–</v>
      </c>
      <c r="H29" s="277" t="str">
        <f>IFERROR(INPUT!H38/INPUT!H51,"–")</f>
        <v>–</v>
      </c>
    </row>
    <row r="30" spans="1:8" ht="15" customHeight="1" x14ac:dyDescent="0.35">
      <c r="A30" s="226"/>
      <c r="B30" s="27" t="s">
        <v>103</v>
      </c>
      <c r="C30" s="9"/>
      <c r="D30" s="277" t="str">
        <f>IFERROR((INPUT!D38-INPUT!D36)/INPUT!D51,"–")</f>
        <v>–</v>
      </c>
      <c r="E30" s="277" t="str">
        <f>IFERROR((INPUT!E38-INPUT!E36)/INPUT!E51,"–")</f>
        <v>–</v>
      </c>
      <c r="F30" s="277" t="str">
        <f>IFERROR((INPUT!F38-INPUT!F36)/INPUT!F51,"–")</f>
        <v>–</v>
      </c>
      <c r="G30" s="277" t="str">
        <f>IFERROR((INPUT!G38-INPUT!G36)/INPUT!G51,"–")</f>
        <v>–</v>
      </c>
      <c r="H30" s="277" t="str">
        <f>IFERROR((INPUT!H38-INPUT!H36)/INPUT!H51,"–")</f>
        <v>–</v>
      </c>
    </row>
    <row r="31" spans="1:8" ht="15" customHeight="1" x14ac:dyDescent="0.35">
      <c r="A31" s="226"/>
      <c r="B31" s="27" t="s">
        <v>104</v>
      </c>
      <c r="C31" s="9"/>
      <c r="D31" s="277" t="str">
        <f>IFERROR(INPUT!D34/INPUT!D51,"–")</f>
        <v>–</v>
      </c>
      <c r="E31" s="277" t="str">
        <f>IFERROR(INPUT!E34/INPUT!E51,"–")</f>
        <v>–</v>
      </c>
      <c r="F31" s="277" t="str">
        <f>IFERROR(INPUT!F34/INPUT!F51,"–")</f>
        <v>–</v>
      </c>
      <c r="G31" s="277" t="str">
        <f>IFERROR(INPUT!G34/INPUT!G51,"–")</f>
        <v>–</v>
      </c>
      <c r="H31" s="277" t="str">
        <f>IFERROR(INPUT!H34/INPUT!H51,"–")</f>
        <v>–</v>
      </c>
    </row>
    <row r="32" spans="1:8" ht="15" customHeight="1" x14ac:dyDescent="0.35">
      <c r="A32" s="226"/>
      <c r="B32" s="27" t="s">
        <v>105</v>
      </c>
      <c r="C32" s="9"/>
      <c r="D32" s="277" t="str">
        <f>IFERROR((INPUT!D49+INPUT!D55)/INPUT!D60,"–")</f>
        <v>–</v>
      </c>
      <c r="E32" s="277" t="str">
        <f>IFERROR((INPUT!E49+INPUT!E55)/INPUT!E60,"–")</f>
        <v>–</v>
      </c>
      <c r="F32" s="277" t="str">
        <f>IFERROR((INPUT!F49+INPUT!F55)/INPUT!F60,"–")</f>
        <v>–</v>
      </c>
      <c r="G32" s="277" t="str">
        <f>IFERROR((INPUT!G49+INPUT!G55)/INPUT!G60,"–")</f>
        <v>–</v>
      </c>
      <c r="H32" s="277" t="str">
        <f>IFERROR((INPUT!H49+INPUT!H55)/INPUT!H60,"–")</f>
        <v>–</v>
      </c>
    </row>
    <row r="33" spans="1:8" ht="15" customHeight="1" x14ac:dyDescent="0.35">
      <c r="A33" s="226"/>
      <c r="B33" s="27" t="s">
        <v>106</v>
      </c>
      <c r="C33" s="9"/>
      <c r="D33" s="277" t="str">
        <f>IFERROR((INPUT!D49+INPUT!D55-INPUT!D34)/INPUT!D30,"–")</f>
        <v>–</v>
      </c>
      <c r="E33" s="277" t="str">
        <f>IFERROR((INPUT!E49+INPUT!E55-INPUT!E34)/INPUT!E30,"–")</f>
        <v>–</v>
      </c>
      <c r="F33" s="277" t="str">
        <f>IFERROR((INPUT!F49+INPUT!F55-INPUT!F34)/INPUT!F30,"–")</f>
        <v>–</v>
      </c>
      <c r="G33" s="277" t="str">
        <f>IFERROR((INPUT!G49+INPUT!G55-INPUT!G34)/INPUT!G30,"–")</f>
        <v>–</v>
      </c>
      <c r="H33" s="277" t="str">
        <f>IFERROR((INPUT!H49+INPUT!H55-INPUT!H34)/INPUT!H30,"–")</f>
        <v>–</v>
      </c>
    </row>
    <row r="34" spans="1:8" ht="15" customHeight="1" x14ac:dyDescent="0.35">
      <c r="A34" s="226"/>
      <c r="B34" s="27" t="s">
        <v>107</v>
      </c>
      <c r="C34" s="9"/>
      <c r="D34" s="277" t="str">
        <f>IFERROR(INPUT!D17/ABS(INPUT!D20),"–")</f>
        <v>–</v>
      </c>
      <c r="E34" s="277" t="str">
        <f>IFERROR(INPUT!E17/ABS(INPUT!E20),"–")</f>
        <v>–</v>
      </c>
      <c r="F34" s="277" t="str">
        <f>IFERROR(INPUT!F17/ABS(INPUT!F20),"–")</f>
        <v>–</v>
      </c>
      <c r="G34" s="277" t="str">
        <f>IFERROR(INPUT!G17/ABS(INPUT!G20),"–")</f>
        <v>–</v>
      </c>
      <c r="H34" s="277" t="str">
        <f>IFERROR(INPUT!H17/ABS(INPUT!H20),"–")</f>
        <v>–</v>
      </c>
    </row>
    <row r="35" spans="1:8" ht="15" customHeight="1" x14ac:dyDescent="0.35">
      <c r="A35" s="226"/>
      <c r="B35" s="27" t="s">
        <v>108</v>
      </c>
      <c r="C35" s="9"/>
      <c r="D35" s="277" t="str">
        <f>IFERROR((INPUT!D49+INPUT!D55)/INPUT!D44,"–")</f>
        <v>–</v>
      </c>
      <c r="E35" s="277" t="str">
        <f>IFERROR((INPUT!E49+INPUT!E55)/INPUT!E44,"–")</f>
        <v>–</v>
      </c>
      <c r="F35" s="277" t="str">
        <f>IFERROR((INPUT!F49+INPUT!F55)/INPUT!F44,"–")</f>
        <v>–</v>
      </c>
      <c r="G35" s="277" t="str">
        <f>IFERROR((INPUT!G49+INPUT!G55)/INPUT!G44,"–")</f>
        <v>–</v>
      </c>
      <c r="H35" s="277" t="str">
        <f>IFERROR((INPUT!H49+INPUT!H55)/INPUT!H44,"–")</f>
        <v>–</v>
      </c>
    </row>
    <row r="36" spans="1:8" ht="15" customHeight="1" x14ac:dyDescent="0.35">
      <c r="A36" s="226"/>
      <c r="B36" s="27" t="s">
        <v>109</v>
      </c>
      <c r="C36" s="9"/>
      <c r="D36" s="281" t="str">
        <f>IFERROR(INPUT!D60/INPUT!D44,"–")</f>
        <v>–</v>
      </c>
      <c r="E36" s="281" t="str">
        <f>IFERROR(INPUT!E60/INPUT!E44,"–")</f>
        <v>–</v>
      </c>
      <c r="F36" s="281" t="str">
        <f>IFERROR(INPUT!F60/INPUT!F44,"–")</f>
        <v>–</v>
      </c>
      <c r="G36" s="281" t="str">
        <f>IFERROR(INPUT!G60/INPUT!G44,"–")</f>
        <v>–</v>
      </c>
      <c r="H36" s="281" t="str">
        <f>IFERROR(INPUT!H60/INPUT!H44,"–")</f>
        <v>–</v>
      </c>
    </row>
    <row r="37" spans="1:8" ht="15" customHeight="1" x14ac:dyDescent="0.35">
      <c r="A37" s="226"/>
      <c r="B37" s="28"/>
      <c r="C37" s="9"/>
      <c r="D37" s="31"/>
      <c r="E37" s="31"/>
      <c r="F37" s="31"/>
      <c r="G37" s="31"/>
      <c r="H37" s="31"/>
    </row>
    <row r="38" spans="1:8" ht="18" customHeight="1" x14ac:dyDescent="0.5">
      <c r="A38" s="227" t="s">
        <v>343</v>
      </c>
      <c r="B38" s="53" t="s">
        <v>327</v>
      </c>
      <c r="C38" s="48"/>
      <c r="D38" s="23"/>
      <c r="E38" s="23"/>
      <c r="F38" s="23"/>
      <c r="G38" s="23"/>
      <c r="H38" s="23"/>
    </row>
    <row r="39" spans="1:8" ht="18" customHeight="1" x14ac:dyDescent="0.5">
      <c r="A39" s="227"/>
      <c r="B39" s="139"/>
      <c r="C39" s="130"/>
      <c r="D39" s="123"/>
      <c r="E39" s="123"/>
      <c r="F39" s="123"/>
      <c r="G39" s="123"/>
      <c r="H39" s="123"/>
    </row>
    <row r="40" spans="1:8" ht="15" customHeight="1" x14ac:dyDescent="0.35">
      <c r="A40" s="226"/>
      <c r="B40" s="27" t="s">
        <v>110</v>
      </c>
      <c r="C40" s="9"/>
      <c r="D40" s="277" t="str">
        <f>IFERROR(INPUT!D9/INPUT!D44,"–")</f>
        <v>–</v>
      </c>
      <c r="E40" s="277" t="str">
        <f>IFERROR(INPUT!E9/INPUT!E44,"–")</f>
        <v>–</v>
      </c>
      <c r="F40" s="277" t="str">
        <f>IFERROR(INPUT!F9/INPUT!F44,"–")</f>
        <v>–</v>
      </c>
      <c r="G40" s="277" t="str">
        <f>IFERROR(INPUT!G9/INPUT!G44,"–")</f>
        <v>–</v>
      </c>
      <c r="H40" s="277" t="str">
        <f>IFERROR(INPUT!H9/INPUT!H44,"–")</f>
        <v>–</v>
      </c>
    </row>
    <row r="41" spans="1:8" ht="15" customHeight="1" x14ac:dyDescent="0.35">
      <c r="A41" s="226"/>
      <c r="B41" s="27" t="s">
        <v>111</v>
      </c>
      <c r="C41" s="9"/>
      <c r="D41" s="277" t="str">
        <f>IFERROR(ABS(INPUT!D10)/INPUT!D36,"–")</f>
        <v>–</v>
      </c>
      <c r="E41" s="277" t="str">
        <f>IFERROR(ABS(INPUT!E10)/INPUT!E36,"–")</f>
        <v>–</v>
      </c>
      <c r="F41" s="277" t="str">
        <f>IFERROR(ABS(INPUT!F10)/INPUT!F36,"–")</f>
        <v>–</v>
      </c>
      <c r="G41" s="277" t="str">
        <f>IFERROR(ABS(INPUT!G10)/INPUT!G36,"–")</f>
        <v>–</v>
      </c>
      <c r="H41" s="277" t="str">
        <f>IFERROR(ABS(INPUT!H10)/INPUT!H36,"–")</f>
        <v>–</v>
      </c>
    </row>
    <row r="42" spans="1:8" ht="15" customHeight="1" x14ac:dyDescent="0.35">
      <c r="A42" s="226"/>
      <c r="B42" s="27" t="s">
        <v>112</v>
      </c>
      <c r="C42" s="9"/>
      <c r="D42" s="282" t="str">
        <f>IFERROR(INPUT!D36/ABS(INPUT!D10)*INPUT!D110,"–")</f>
        <v>–</v>
      </c>
      <c r="E42" s="282" t="str">
        <f>IFERROR(INPUT!E36/ABS(INPUT!E10)*INPUT!E110,"–")</f>
        <v>–</v>
      </c>
      <c r="F42" s="282" t="str">
        <f>IFERROR(INPUT!F36/ABS(INPUT!F10)*INPUT!F110,"–")</f>
        <v>–</v>
      </c>
      <c r="G42" s="282" t="str">
        <f>IFERROR(INPUT!G36/ABS(INPUT!G10)*INPUT!G110,"–")</f>
        <v>–</v>
      </c>
      <c r="H42" s="282" t="str">
        <f>IFERROR(INPUT!H36/ABS(INPUT!H10)*INPUT!H110,"–")</f>
        <v>–</v>
      </c>
    </row>
    <row r="43" spans="1:8" ht="15" customHeight="1" x14ac:dyDescent="0.35">
      <c r="A43" s="226"/>
      <c r="B43" s="27" t="s">
        <v>113</v>
      </c>
      <c r="C43" s="9"/>
      <c r="D43" s="277" t="str">
        <f>IFERROR(INPUT!D9/INPUT!D35,"–")</f>
        <v>–</v>
      </c>
      <c r="E43" s="277" t="str">
        <f>IFERROR(INPUT!E9/INPUT!E35,"–")</f>
        <v>–</v>
      </c>
      <c r="F43" s="277" t="str">
        <f>IFERROR(INPUT!F9/INPUT!F35,"–")</f>
        <v>–</v>
      </c>
      <c r="G43" s="277" t="str">
        <f>IFERROR(INPUT!G9/INPUT!G35,"–")</f>
        <v>–</v>
      </c>
      <c r="H43" s="277" t="str">
        <f>IFERROR(INPUT!H9/INPUT!H35,"–")</f>
        <v>–</v>
      </c>
    </row>
    <row r="44" spans="1:8" ht="15" customHeight="1" x14ac:dyDescent="0.35">
      <c r="A44" s="226"/>
      <c r="B44" s="27" t="s">
        <v>114</v>
      </c>
      <c r="C44" s="9"/>
      <c r="D44" s="282" t="str">
        <f>IFERROR(INPUT!D35/INPUT!D9*INPUT!D110,"–")</f>
        <v>–</v>
      </c>
      <c r="E44" s="282" t="str">
        <f>IFERROR(INPUT!E35/INPUT!E9*INPUT!E110,"–")</f>
        <v>–</v>
      </c>
      <c r="F44" s="282" t="str">
        <f>IFERROR(INPUT!F35/INPUT!F9*INPUT!F110,"–")</f>
        <v>–</v>
      </c>
      <c r="G44" s="282" t="str">
        <f>IFERROR(INPUT!G35/INPUT!G9*INPUT!G110,"–")</f>
        <v>–</v>
      </c>
      <c r="H44" s="282" t="str">
        <f>IFERROR(INPUT!H35/INPUT!H9*INPUT!H110,"–")</f>
        <v>–</v>
      </c>
    </row>
    <row r="45" spans="1:8" ht="15" customHeight="1" x14ac:dyDescent="0.35">
      <c r="A45" s="226"/>
      <c r="B45" s="27" t="s">
        <v>115</v>
      </c>
      <c r="C45" s="9"/>
      <c r="D45" s="282" t="str">
        <f>IFERROR(INPUT!D48/ABS(INPUT!D10)*INPUT!D110,"–")</f>
        <v>–</v>
      </c>
      <c r="E45" s="282" t="str">
        <f>IFERROR(INPUT!E48/ABS(INPUT!E10)*INPUT!E110,"–")</f>
        <v>–</v>
      </c>
      <c r="F45" s="282" t="str">
        <f>IFERROR(INPUT!F48/ABS(INPUT!F10)*INPUT!F110,"–")</f>
        <v>–</v>
      </c>
      <c r="G45" s="282" t="str">
        <f>IFERROR(INPUT!G48/ABS(INPUT!G10)*INPUT!G110,"–")</f>
        <v>–</v>
      </c>
      <c r="H45" s="282" t="str">
        <f>IFERROR(INPUT!H48/ABS(INPUT!H10)*INPUT!H110,"–")</f>
        <v>–</v>
      </c>
    </row>
    <row r="46" spans="1:8" ht="15" customHeight="1" x14ac:dyDescent="0.35">
      <c r="A46" s="226"/>
      <c r="B46" s="27" t="s">
        <v>116</v>
      </c>
      <c r="C46" s="9"/>
      <c r="D46" s="282" t="str">
        <f>IFERROR(D42+D44-D45,"–")</f>
        <v>–</v>
      </c>
      <c r="E46" s="282" t="str">
        <f>IFERROR(E42+E44-E45,"–")</f>
        <v>–</v>
      </c>
      <c r="F46" s="282" t="str">
        <f>IFERROR(F42+F44-F45,"–")</f>
        <v>–</v>
      </c>
      <c r="G46" s="282" t="str">
        <f>IFERROR(G42+G44-G45,"–")</f>
        <v>–</v>
      </c>
      <c r="H46" s="282" t="str">
        <f>IFERROR(H42+H44-H45,"–")</f>
        <v>–</v>
      </c>
    </row>
    <row r="47" spans="1:8" ht="15" customHeight="1" x14ac:dyDescent="0.35">
      <c r="A47" s="226"/>
      <c r="B47" s="27" t="s">
        <v>117</v>
      </c>
      <c r="C47" s="9"/>
      <c r="D47" s="281" t="str">
        <f>IFERROR(INPUT!D9/INPUT!D41,"–")</f>
        <v>–</v>
      </c>
      <c r="E47" s="281" t="str">
        <f>IFERROR(INPUT!E9/INPUT!E41,"–")</f>
        <v>–</v>
      </c>
      <c r="F47" s="281" t="str">
        <f>IFERROR(INPUT!F9/INPUT!F41,"–")</f>
        <v>–</v>
      </c>
      <c r="G47" s="281" t="str">
        <f>IFERROR(INPUT!G9/INPUT!G41,"–")</f>
        <v>–</v>
      </c>
      <c r="H47" s="281" t="str">
        <f>IFERROR(INPUT!H9/INPUT!H41,"–")</f>
        <v>–</v>
      </c>
    </row>
    <row r="48" spans="1:8" ht="15" customHeight="1" x14ac:dyDescent="0.35">
      <c r="A48" s="226"/>
      <c r="B48" s="28"/>
      <c r="C48" s="9"/>
      <c r="D48" s="31"/>
      <c r="E48" s="31"/>
      <c r="F48" s="31"/>
      <c r="G48" s="31"/>
      <c r="H48" s="31"/>
    </row>
    <row r="49" spans="1:8" ht="18" customHeight="1" x14ac:dyDescent="0.5">
      <c r="A49" s="227" t="s">
        <v>343</v>
      </c>
      <c r="B49" s="53" t="s">
        <v>328</v>
      </c>
      <c r="C49" s="48"/>
      <c r="D49" s="23"/>
      <c r="E49" s="23"/>
      <c r="F49" s="23"/>
      <c r="G49" s="23"/>
      <c r="H49" s="23"/>
    </row>
    <row r="50" spans="1:8" ht="18" customHeight="1" x14ac:dyDescent="0.5">
      <c r="A50" s="227"/>
      <c r="B50" s="139"/>
      <c r="C50" s="130"/>
      <c r="D50" s="123"/>
      <c r="E50" s="123"/>
      <c r="F50" s="123"/>
      <c r="G50" s="123"/>
      <c r="H50" s="123"/>
    </row>
    <row r="51" spans="1:8" ht="15" customHeight="1" x14ac:dyDescent="0.35">
      <c r="A51" s="226"/>
      <c r="B51" s="27" t="s">
        <v>118</v>
      </c>
      <c r="C51" s="9"/>
      <c r="D51" s="258" t="s">
        <v>330</v>
      </c>
      <c r="E51" s="279" t="str">
        <f>IFERROR(INPUT!E9/INPUT!D9-1,"–")</f>
        <v>–</v>
      </c>
      <c r="F51" s="279" t="str">
        <f>IFERROR(INPUT!F9/INPUT!E9-1,"–")</f>
        <v>–</v>
      </c>
      <c r="G51" s="279" t="str">
        <f>IFERROR(INPUT!G9/INPUT!F9-1,"–")</f>
        <v>–</v>
      </c>
      <c r="H51" s="279" t="str">
        <f>IFERROR(INPUT!H9/INPUT!G9-1,"–")</f>
        <v>–</v>
      </c>
    </row>
    <row r="52" spans="1:8" ht="15" customHeight="1" x14ac:dyDescent="0.35">
      <c r="A52" s="226"/>
      <c r="B52" s="27" t="s">
        <v>119</v>
      </c>
      <c r="C52" s="9"/>
      <c r="D52" s="258" t="s">
        <v>330</v>
      </c>
      <c r="E52" s="279" t="str">
        <f>IFERROR(INPUT!E11/INPUT!D11-1,"–")</f>
        <v>–</v>
      </c>
      <c r="F52" s="279" t="str">
        <f>IFERROR(INPUT!F11/INPUT!E11-1,"–")</f>
        <v>–</v>
      </c>
      <c r="G52" s="279" t="str">
        <f>IFERROR(INPUT!G11/INPUT!F11-1,"–")</f>
        <v>–</v>
      </c>
      <c r="H52" s="279" t="str">
        <f>IFERROR(INPUT!H11/INPUT!G11-1,"–")</f>
        <v>–</v>
      </c>
    </row>
    <row r="53" spans="1:8" ht="15" customHeight="1" x14ac:dyDescent="0.35">
      <c r="A53" s="226"/>
      <c r="B53" s="27" t="s">
        <v>120</v>
      </c>
      <c r="C53" s="9"/>
      <c r="D53" s="258" t="s">
        <v>330</v>
      </c>
      <c r="E53" s="279" t="str">
        <f>IFERROR(INPUT!E30/INPUT!D30-1,"–")</f>
        <v>–</v>
      </c>
      <c r="F53" s="279" t="str">
        <f>IFERROR(INPUT!F30/INPUT!E30-1,"–")</f>
        <v>–</v>
      </c>
      <c r="G53" s="279" t="str">
        <f>IFERROR(INPUT!G30/INPUT!F30-1,"–")</f>
        <v>–</v>
      </c>
      <c r="H53" s="279" t="str">
        <f>IFERROR(INPUT!H30/INPUT!G30-1,"–")</f>
        <v>–</v>
      </c>
    </row>
    <row r="54" spans="1:8" ht="15" customHeight="1" x14ac:dyDescent="0.35">
      <c r="A54" s="226"/>
      <c r="B54" s="27" t="s">
        <v>121</v>
      </c>
      <c r="C54" s="9"/>
      <c r="D54" s="258" t="s">
        <v>330</v>
      </c>
      <c r="E54" s="279" t="str">
        <f>IFERROR(INPUT!E26/INPUT!D26-1,"–")</f>
        <v>–</v>
      </c>
      <c r="F54" s="279" t="str">
        <f>IFERROR(INPUT!F26/INPUT!E26-1,"–")</f>
        <v>–</v>
      </c>
      <c r="G54" s="279" t="str">
        <f>IFERROR(INPUT!G26/INPUT!F26-1,"–")</f>
        <v>–</v>
      </c>
      <c r="H54" s="279" t="str">
        <f>IFERROR(INPUT!H26/INPUT!G26-1,"–")</f>
        <v>–</v>
      </c>
    </row>
    <row r="55" spans="1:8" ht="15" customHeight="1" x14ac:dyDescent="0.35">
      <c r="A55" s="226"/>
      <c r="B55" s="27" t="s">
        <v>122</v>
      </c>
      <c r="C55" s="9"/>
      <c r="D55" s="258" t="s">
        <v>330</v>
      </c>
      <c r="E55" s="279" t="str">
        <f>IFERROR((INPUT!E26/INPUT!E96)/(INPUT!D26/INPUT!D96)-1,"–")</f>
        <v>–</v>
      </c>
      <c r="F55" s="279" t="str">
        <f>IFERROR((INPUT!F26/INPUT!F96)/(INPUT!E26/INPUT!E96)-1,"–")</f>
        <v>–</v>
      </c>
      <c r="G55" s="279" t="str">
        <f>IFERROR((INPUT!G26/INPUT!G96)/(INPUT!F26/INPUT!F96)-1,"–")</f>
        <v>–</v>
      </c>
      <c r="H55" s="279" t="str">
        <f>IFERROR((INPUT!H26/INPUT!H96)/(INPUT!G26/INPUT!G96)-1,"–")</f>
        <v>–</v>
      </c>
    </row>
    <row r="56" spans="1:8" ht="15" customHeight="1" x14ac:dyDescent="0.35">
      <c r="A56" s="226"/>
      <c r="B56" s="27" t="s">
        <v>123</v>
      </c>
      <c r="C56" s="9"/>
      <c r="D56" s="262" t="s">
        <v>330</v>
      </c>
      <c r="E56" s="280" t="str">
        <f>IFERROR(INPUT!E44/INPUT!D44-1,"–")</f>
        <v>–</v>
      </c>
      <c r="F56" s="280" t="str">
        <f>IFERROR(INPUT!F44/INPUT!E44-1,"–")</f>
        <v>–</v>
      </c>
      <c r="G56" s="280" t="str">
        <f>IFERROR(INPUT!G44/INPUT!F44-1,"–")</f>
        <v>–</v>
      </c>
      <c r="H56" s="280" t="str">
        <f>IFERROR(INPUT!H44/INPUT!G44-1,"–")</f>
        <v>–</v>
      </c>
    </row>
    <row r="57" spans="1:8" ht="15" customHeight="1" x14ac:dyDescent="0.35">
      <c r="A57" s="226"/>
      <c r="B57" s="28"/>
      <c r="C57" s="9"/>
      <c r="D57" s="31"/>
      <c r="E57" s="31"/>
      <c r="F57" s="31"/>
      <c r="G57" s="31"/>
      <c r="H57" s="31"/>
    </row>
    <row r="58" spans="1:8" ht="18" customHeight="1" x14ac:dyDescent="0.5">
      <c r="A58" s="227" t="s">
        <v>343</v>
      </c>
      <c r="B58" s="53" t="s">
        <v>329</v>
      </c>
      <c r="C58" s="48"/>
      <c r="D58" s="23"/>
      <c r="E58" s="23"/>
      <c r="F58" s="23"/>
      <c r="G58" s="23"/>
      <c r="H58" s="23"/>
    </row>
    <row r="59" spans="1:8" ht="18" customHeight="1" x14ac:dyDescent="0.5">
      <c r="A59" s="227"/>
      <c r="B59" s="139"/>
      <c r="C59" s="130"/>
      <c r="D59" s="123"/>
      <c r="E59" s="123"/>
      <c r="F59" s="123"/>
      <c r="G59" s="123"/>
      <c r="H59" s="123"/>
    </row>
    <row r="60" spans="1:8" ht="15" customHeight="1" x14ac:dyDescent="0.35">
      <c r="A60" s="226"/>
      <c r="B60" s="27" t="s">
        <v>124</v>
      </c>
      <c r="C60" s="9"/>
      <c r="D60" s="279" t="str">
        <f>IFERROR(INPUT!D75/INPUT!D9,"–")</f>
        <v>–</v>
      </c>
      <c r="E60" s="279" t="str">
        <f>IFERROR(INPUT!E75/INPUT!E9,"–")</f>
        <v>–</v>
      </c>
      <c r="F60" s="279" t="str">
        <f>IFERROR(INPUT!F75/INPUT!F9,"–")</f>
        <v>–</v>
      </c>
      <c r="G60" s="279" t="str">
        <f>IFERROR(INPUT!G75/INPUT!G9,"–")</f>
        <v>–</v>
      </c>
      <c r="H60" s="279" t="str">
        <f>IFERROR(INPUT!H75/INPUT!H9,"–")</f>
        <v>–</v>
      </c>
    </row>
    <row r="61" spans="1:8" ht="15" customHeight="1" x14ac:dyDescent="0.35">
      <c r="A61" s="226"/>
      <c r="B61" s="68" t="s">
        <v>125</v>
      </c>
      <c r="C61" s="11"/>
      <c r="D61" s="283">
        <f>IFERROR(INPUT!D75+INPUT!D78,"–")</f>
        <v>0</v>
      </c>
      <c r="E61" s="283">
        <f>IFERROR(INPUT!E75+INPUT!E78,"–")</f>
        <v>0</v>
      </c>
      <c r="F61" s="283">
        <f>IFERROR(INPUT!F75+INPUT!F78,"–")</f>
        <v>0</v>
      </c>
      <c r="G61" s="283">
        <f>IFERROR(INPUT!G75+INPUT!G78,"–")</f>
        <v>0</v>
      </c>
      <c r="H61" s="283">
        <f>IFERROR(INPUT!H75+INPUT!H78,"–")</f>
        <v>0</v>
      </c>
    </row>
    <row r="62" spans="1:8" ht="15" customHeight="1" x14ac:dyDescent="0.35">
      <c r="A62" s="226"/>
      <c r="B62" s="27" t="s">
        <v>126</v>
      </c>
      <c r="C62" s="9"/>
      <c r="D62" s="279" t="str">
        <f>IFERROR(D61/INPUT!D9,"–")</f>
        <v>–</v>
      </c>
      <c r="E62" s="279" t="str">
        <f>IFERROR(E61/INPUT!E9,"–")</f>
        <v>–</v>
      </c>
      <c r="F62" s="279" t="str">
        <f>IFERROR(F61/INPUT!F9,"–")</f>
        <v>–</v>
      </c>
      <c r="G62" s="279" t="str">
        <f>IFERROR(G61/INPUT!G9,"–")</f>
        <v>–</v>
      </c>
      <c r="H62" s="279" t="str">
        <f>IFERROR(H61/INPUT!H9,"–")</f>
        <v>–</v>
      </c>
    </row>
    <row r="63" spans="1:8" ht="15" customHeight="1" x14ac:dyDescent="0.35">
      <c r="A63" s="226"/>
      <c r="B63" s="27" t="s">
        <v>127</v>
      </c>
      <c r="C63" s="9"/>
      <c r="D63" s="277" t="str">
        <f>IFERROR(INPUT!D75/INPUT!D60,"–")</f>
        <v>–</v>
      </c>
      <c r="E63" s="277" t="str">
        <f>IFERROR(INPUT!E75/INPUT!E60,"–")</f>
        <v>–</v>
      </c>
      <c r="F63" s="277" t="str">
        <f>IFERROR(INPUT!F75/INPUT!F60,"–")</f>
        <v>–</v>
      </c>
      <c r="G63" s="277" t="str">
        <f>IFERROR(INPUT!G75/INPUT!G60,"–")</f>
        <v>–</v>
      </c>
      <c r="H63" s="277" t="str">
        <f>IFERROR(INPUT!H75/INPUT!H60,"–")</f>
        <v>–</v>
      </c>
    </row>
    <row r="64" spans="1:8" ht="15" customHeight="1" x14ac:dyDescent="0.35">
      <c r="A64" s="226"/>
      <c r="B64" s="27" t="s">
        <v>128</v>
      </c>
      <c r="C64" s="9"/>
      <c r="D64" s="279" t="str">
        <f>IFERROR(ABS(INPUT!D78)/INPUT!D9,"–")</f>
        <v>–</v>
      </c>
      <c r="E64" s="279" t="str">
        <f>IFERROR(ABS(INPUT!E78)/INPUT!E9,"–")</f>
        <v>–</v>
      </c>
      <c r="F64" s="279" t="str">
        <f>IFERROR(ABS(INPUT!F78)/INPUT!F9,"–")</f>
        <v>–</v>
      </c>
      <c r="G64" s="279" t="str">
        <f>IFERROR(ABS(INPUT!G78)/INPUT!G9,"–")</f>
        <v>–</v>
      </c>
      <c r="H64" s="279" t="str">
        <f>IFERROR(ABS(INPUT!H78)/INPUT!H9,"–")</f>
        <v>–</v>
      </c>
    </row>
    <row r="65" spans="1:8" ht="15" customHeight="1" x14ac:dyDescent="0.35">
      <c r="A65" s="226"/>
      <c r="B65" s="27" t="s">
        <v>129</v>
      </c>
      <c r="C65" s="9"/>
      <c r="D65" s="279" t="str">
        <f>IFERROR(ABS(INPUT!D85)/INPUT!D26,"–")</f>
        <v>–</v>
      </c>
      <c r="E65" s="279" t="str">
        <f>IFERROR(ABS(INPUT!E85)/INPUT!E26,"–")</f>
        <v>–</v>
      </c>
      <c r="F65" s="279" t="str">
        <f>IFERROR(ABS(INPUT!F85)/INPUT!F26,"–")</f>
        <v>–</v>
      </c>
      <c r="G65" s="279" t="str">
        <f>IFERROR(ABS(INPUT!G85)/INPUT!G26,"–")</f>
        <v>–</v>
      </c>
      <c r="H65" s="279" t="str">
        <f>IFERROR(ABS(INPUT!H85)/INPUT!H26,"–")</f>
        <v>–</v>
      </c>
    </row>
    <row r="66" spans="1:8" ht="15" customHeight="1" x14ac:dyDescent="0.35">
      <c r="A66" s="226"/>
      <c r="B66" s="27" t="s">
        <v>130</v>
      </c>
      <c r="C66" s="9"/>
      <c r="D66" s="281" t="str">
        <f>IFERROR(INPUT!D75/INPUT!D26,"–")</f>
        <v>–</v>
      </c>
      <c r="E66" s="281" t="str">
        <f>IFERROR(INPUT!E75/INPUT!E26,"–")</f>
        <v>–</v>
      </c>
      <c r="F66" s="281" t="str">
        <f>IFERROR(INPUT!F75/INPUT!F26,"–")</f>
        <v>–</v>
      </c>
      <c r="G66" s="281" t="str">
        <f>IFERROR(INPUT!G75/INPUT!G26,"–")</f>
        <v>–</v>
      </c>
      <c r="H66" s="281" t="str">
        <f>IFERROR(INPUT!H75/INPUT!H26,"–")</f>
        <v>–</v>
      </c>
    </row>
    <row r="67" spans="1:8" ht="15" customHeight="1" x14ac:dyDescent="0.35">
      <c r="A67" s="226"/>
      <c r="B67" s="14"/>
      <c r="C67" s="9"/>
      <c r="D67" s="22"/>
      <c r="E67" s="22"/>
      <c r="F67" s="22"/>
      <c r="G67" s="22"/>
      <c r="H67" s="22"/>
    </row>
    <row r="68" spans="1:8" ht="15" customHeight="1" x14ac:dyDescent="0.35">
      <c r="A68" s="225"/>
      <c r="B68" s="33" t="s">
        <v>339</v>
      </c>
      <c r="C68" s="2"/>
      <c r="D68" s="96"/>
      <c r="E68" s="96"/>
      <c r="F68" s="96"/>
      <c r="G68" s="96"/>
      <c r="H68" s="96"/>
    </row>
    <row r="69" spans="1:8" ht="15" customHeight="1" x14ac:dyDescent="0.35">
      <c r="A69" s="225"/>
      <c r="B69" s="33" t="s">
        <v>86</v>
      </c>
      <c r="C69" s="2"/>
      <c r="D69" s="96"/>
      <c r="E69" s="96"/>
      <c r="F69" s="96"/>
      <c r="G69" s="96"/>
      <c r="H69" s="96"/>
    </row>
    <row r="70" spans="1:8" ht="15" customHeight="1" x14ac:dyDescent="0.35">
      <c r="A70" s="225"/>
      <c r="B70" s="33" t="s">
        <v>340</v>
      </c>
      <c r="C70" s="2"/>
      <c r="D70" s="96"/>
      <c r="E70" s="96"/>
      <c r="F70" s="96"/>
      <c r="G70" s="96"/>
      <c r="H70" s="96"/>
    </row>
    <row r="71" spans="1:8" ht="15" customHeight="1" x14ac:dyDescent="0.3">
      <c r="B71" s="51"/>
    </row>
    <row r="72" spans="1:8" ht="15" customHeight="1" x14ac:dyDescent="0.3">
      <c r="B72" s="51"/>
    </row>
    <row r="73" spans="1:8" ht="15" customHeight="1" x14ac:dyDescent="0.3">
      <c r="B73" s="119" t="s">
        <v>353</v>
      </c>
      <c r="C73" s="121"/>
      <c r="D73" s="122"/>
      <c r="E73" s="122"/>
      <c r="F73" s="122"/>
      <c r="G73" s="122"/>
      <c r="H73" s="122"/>
    </row>
    <row r="74" spans="1:8" ht="15" customHeight="1" x14ac:dyDescent="0.3">
      <c r="B74" s="103" t="s">
        <v>354</v>
      </c>
      <c r="C74" s="103"/>
      <c r="D74" s="103" t="e">
        <f>IF(INPUT!D9="",NA(),D5)</f>
        <v>#N/A</v>
      </c>
      <c r="E74" s="103" t="e">
        <f>IF(INPUT!E9="",NA(),E5)</f>
        <v>#N/A</v>
      </c>
      <c r="F74" s="103" t="e">
        <f>IF(INPUT!F9="",NA(),F5)</f>
        <v>#N/A</v>
      </c>
      <c r="G74" s="103" t="e">
        <f>IF(INPUT!G9="",NA(),G5)</f>
        <v>#N/A</v>
      </c>
      <c r="H74" s="103" t="e">
        <f>IF(INPUT!H9="",NA(),H5)</f>
        <v>#N/A</v>
      </c>
    </row>
    <row r="75" spans="1:8" ht="15" customHeight="1" x14ac:dyDescent="0.3">
      <c r="B75" s="51" t="s">
        <v>316</v>
      </c>
      <c r="D75" s="284" t="e">
        <f>IF(INPUT!D9="",NA(),INPUT!D9)</f>
        <v>#N/A</v>
      </c>
      <c r="E75" s="284" t="e">
        <f>IF(INPUT!E9="",NA(),INPUT!E9)</f>
        <v>#N/A</v>
      </c>
      <c r="F75" s="284" t="e">
        <f>IF(INPUT!F9="",NA(),INPUT!F9)</f>
        <v>#N/A</v>
      </c>
      <c r="G75" s="284" t="e">
        <f>IF(INPUT!G9="",NA(),INPUT!G9)</f>
        <v>#N/A</v>
      </c>
      <c r="H75" s="284" t="e">
        <f>IF(INPUT!H9="",NA(),INPUT!H9)</f>
        <v>#N/A</v>
      </c>
    </row>
    <row r="76" spans="1:8" ht="15" customHeight="1" x14ac:dyDescent="0.3">
      <c r="B76" s="51" t="s">
        <v>409</v>
      </c>
      <c r="D76" s="284" t="e">
        <f>IF(INPUT!E9="",NA(),INPUT!E30)</f>
        <v>#N/A</v>
      </c>
      <c r="E76" s="284" t="e">
        <f>IF(INPUT!F9="",NA(),INPUT!F30)</f>
        <v>#N/A</v>
      </c>
      <c r="F76" s="284" t="e">
        <f>IF(INPUT!G9="",NA(),INPUT!G30)</f>
        <v>#N/A</v>
      </c>
      <c r="G76" s="284" t="e">
        <f>IF(INPUT!G9="",NA(),INPUT!G30)</f>
        <v>#N/A</v>
      </c>
      <c r="H76" s="284" t="e">
        <f>IF(INPUT!H9="",NA(),INPUT!H30)</f>
        <v>#N/A</v>
      </c>
    </row>
    <row r="77" spans="1:8" ht="15" customHeight="1" x14ac:dyDescent="0.3">
      <c r="B77" s="51" t="s">
        <v>410</v>
      </c>
      <c r="D77" s="284" t="e">
        <f>IF(INPUT!E9="",NA(),INPUT!E26)</f>
        <v>#N/A</v>
      </c>
      <c r="E77" s="284" t="e">
        <f>IF(INPUT!F9="",NA(),INPUT!F26)</f>
        <v>#N/A</v>
      </c>
      <c r="F77" s="284" t="e">
        <f>IF(INPUT!G9="",NA(),INPUT!G26)</f>
        <v>#N/A</v>
      </c>
      <c r="G77" s="284" t="e">
        <f>IF(INPUT!G9="",NA(),INPUT!G26)</f>
        <v>#N/A</v>
      </c>
      <c r="H77" s="284" t="e">
        <f>IF(INPUT!H9="",NA(),INPUT!H26)</f>
        <v>#N/A</v>
      </c>
    </row>
    <row r="78" spans="1:8" ht="15" customHeight="1" x14ac:dyDescent="0.3">
      <c r="B78" s="51" t="s">
        <v>411</v>
      </c>
      <c r="D78" s="284" t="e">
        <f>IF(INPUT!E9="",NA(),INPUT!D9+INPUT!E9)</f>
        <v>#N/A</v>
      </c>
      <c r="E78" s="284" t="e">
        <f>IF(INPUT!F9="",NA(),INPUT!D9+INPUT!E9+INPUT!F9)</f>
        <v>#N/A</v>
      </c>
      <c r="F78" s="284" t="e">
        <f>IF(INPUT!G9="",NA(),INPUT!D9+INPUT!E9+INPUT!F9+INPUT!G9)</f>
        <v>#N/A</v>
      </c>
      <c r="G78" s="284" t="e">
        <f>IF(INPUT!H9="",NA(),INPUT!D9+INPUT!E9+INPUT!F9+INPUT!G9+INPUT!H9)</f>
        <v>#N/A</v>
      </c>
      <c r="H78" s="284" t="e">
        <f>IF(INPUT!H9="",NA(),INPUT!D9+INPUT!E9+INPUT!F9+INPUT!G9+INPUT!H9)</f>
        <v>#N/A</v>
      </c>
    </row>
    <row r="79" spans="1:8" ht="15" customHeight="1" x14ac:dyDescent="0.3">
      <c r="B79" s="51"/>
    </row>
    <row r="80" spans="1:8" ht="15" customHeight="1" x14ac:dyDescent="0.3">
      <c r="B80" s="51" t="s">
        <v>95</v>
      </c>
      <c r="D80" s="285" t="e">
        <f>IF(INPUT!D9="",NA(),D19)</f>
        <v>#N/A</v>
      </c>
      <c r="E80" s="285" t="e">
        <f>IF(INPUT!E9="",NA(),E19)</f>
        <v>#N/A</v>
      </c>
      <c r="F80" s="285" t="e">
        <f>IF(INPUT!F9="",NA(),F19)</f>
        <v>#N/A</v>
      </c>
      <c r="G80" s="285" t="e">
        <f>IF(INPUT!G9="",NA(),G19)</f>
        <v>#N/A</v>
      </c>
      <c r="H80" s="285" t="e">
        <f>IF(INPUT!H9="",NA(),H19)</f>
        <v>#N/A</v>
      </c>
    </row>
    <row r="81" spans="2:8" ht="15" customHeight="1" x14ac:dyDescent="0.3">
      <c r="B81" s="51" t="s">
        <v>96</v>
      </c>
      <c r="D81" s="285" t="e">
        <f>IF(INPUT!D9="",NA(),D20)</f>
        <v>#N/A</v>
      </c>
      <c r="E81" s="285" t="e">
        <f>IF(INPUT!E9="",NA(),E20)</f>
        <v>#N/A</v>
      </c>
      <c r="F81" s="285" t="e">
        <f>IF(INPUT!F9="",NA(),F20)</f>
        <v>#N/A</v>
      </c>
      <c r="G81" s="285" t="e">
        <f>IF(INPUT!G9="",NA(),G20)</f>
        <v>#N/A</v>
      </c>
      <c r="H81" s="285" t="e">
        <f>IF(INPUT!H9="",NA(),H20)</f>
        <v>#N/A</v>
      </c>
    </row>
    <row r="82" spans="2:8" ht="15" customHeight="1" x14ac:dyDescent="0.3">
      <c r="B82" s="51" t="s">
        <v>98</v>
      </c>
      <c r="D82" s="285" t="e">
        <f>IF(INPUT!D9="",NA(),D22)</f>
        <v>#N/A</v>
      </c>
      <c r="E82" s="285" t="e">
        <f>IF(INPUT!E9="",NA(),E22)</f>
        <v>#N/A</v>
      </c>
      <c r="F82" s="285" t="e">
        <f>IF(INPUT!F9="",NA(),F22)</f>
        <v>#N/A</v>
      </c>
      <c r="G82" s="285" t="e">
        <f>IF(INPUT!G9="",NA(),G22)</f>
        <v>#N/A</v>
      </c>
      <c r="H82" s="285" t="e">
        <f>IF(INPUT!H9="",NA(),H22)</f>
        <v>#N/A</v>
      </c>
    </row>
    <row r="83" spans="2:8" ht="15" customHeight="1" x14ac:dyDescent="0.3">
      <c r="B83" s="51"/>
    </row>
    <row r="84" spans="2:8" ht="15" customHeight="1" x14ac:dyDescent="0.3">
      <c r="B84"/>
      <c r="D84" s="286" t="e">
        <f>IF(INPUT!D9="",NA(),D5)</f>
        <v>#N/A</v>
      </c>
      <c r="E84" s="287" t="e">
        <f>IF(INPUT!E9="",NA(),E5)</f>
        <v>#N/A</v>
      </c>
      <c r="F84" s="287" t="e">
        <f>IF(INPUT!F9="",NA(),F5)</f>
        <v>#N/A</v>
      </c>
      <c r="G84" s="287" t="e">
        <f>IF(INPUT!G9="",NA(),G5)</f>
        <v>#N/A</v>
      </c>
      <c r="H84" s="287" t="e">
        <f>IF(INPUT!H9="",NA(),H5)</f>
        <v>#N/A</v>
      </c>
    </row>
    <row r="85" spans="2:8" ht="15" customHeight="1" x14ac:dyDescent="0.3">
      <c r="B85" s="51" t="s">
        <v>412</v>
      </c>
      <c r="D85" s="286" t="e">
        <f>IF(INPUT!D9="",NA(),ABS(INPUT!D14))</f>
        <v>#N/A</v>
      </c>
      <c r="E85" s="287" t="e">
        <f>IF(INPUT!E9="",NA(),ABS(INPUT!E14))</f>
        <v>#N/A</v>
      </c>
      <c r="F85" s="287" t="e">
        <f>IF(INPUT!F9="",NA(),ABS(INPUT!F14))</f>
        <v>#N/A</v>
      </c>
      <c r="G85" s="287" t="e">
        <f>IF(INPUT!G9="",NA(),ABS(INPUT!G14))</f>
        <v>#N/A</v>
      </c>
      <c r="H85" s="287" t="e">
        <f>IF(INPUT!H9="",NA(),ABS(INPUT!H14))</f>
        <v>#N/A</v>
      </c>
    </row>
    <row r="86" spans="2:8" ht="15" customHeight="1" x14ac:dyDescent="0.3">
      <c r="B86" s="51" t="s">
        <v>413</v>
      </c>
      <c r="D86" s="286" t="e">
        <f>IF(INPUT!D9="",NA(),ABS(INPUT!D15))</f>
        <v>#N/A</v>
      </c>
      <c r="E86" s="287" t="e">
        <f>IF(INPUT!E9="",NA(),ABS(INPUT!E15))</f>
        <v>#N/A</v>
      </c>
      <c r="F86" s="287" t="e">
        <f>IF(INPUT!F9="",NA(),ABS(INPUT!F15))</f>
        <v>#N/A</v>
      </c>
      <c r="G86" s="287" t="e">
        <f>IF(INPUT!G9="",NA(),ABS(INPUT!G15))</f>
        <v>#N/A</v>
      </c>
      <c r="H86" s="287" t="e">
        <f>IF(INPUT!H9="",NA(),ABS(INPUT!H15))</f>
        <v>#N/A</v>
      </c>
    </row>
    <row r="87" spans="2:8" ht="15" customHeight="1" x14ac:dyDescent="0.3">
      <c r="B87" s="51" t="s">
        <v>414</v>
      </c>
      <c r="D87" s="286" t="e">
        <f>IF(INPUT!D9="",NA(),ABS(INPUT!D16))</f>
        <v>#N/A</v>
      </c>
      <c r="E87" s="287" t="e">
        <f>IF(INPUT!E9="",NA(),ABS(INPUT!E16))</f>
        <v>#N/A</v>
      </c>
      <c r="F87" s="287" t="e">
        <f>IF(INPUT!F9="",NA(),ABS(INPUT!F16))</f>
        <v>#N/A</v>
      </c>
      <c r="G87" s="287" t="e">
        <f>IF(INPUT!G9="",NA(),ABS(INPUT!G16))</f>
        <v>#N/A</v>
      </c>
      <c r="H87" s="287" t="e">
        <f>IF(INPUT!H9="",NA(),ABS(INPUT!H16))</f>
        <v>#N/A</v>
      </c>
    </row>
    <row r="88" spans="2:8" ht="15" customHeight="1" x14ac:dyDescent="0.3">
      <c r="B88" s="51" t="s">
        <v>415</v>
      </c>
      <c r="D88" s="286" t="e">
        <f>IF(INPUT!D9="",NA(),ABS(INPUT!D20))</f>
        <v>#N/A</v>
      </c>
      <c r="E88" s="287" t="e">
        <f>IF(INPUT!E9="",NA(),ABS(INPUT!E20))</f>
        <v>#N/A</v>
      </c>
      <c r="F88" s="287" t="e">
        <f>IF(INPUT!F9="",NA(),ABS(INPUT!F20))</f>
        <v>#N/A</v>
      </c>
      <c r="G88" s="287" t="e">
        <f>IF(INPUT!G9="",NA(),ABS(INPUT!G20))</f>
        <v>#N/A</v>
      </c>
      <c r="H88" s="287" t="e">
        <f>IF(INPUT!H9="",NA(),ABS(INPUT!H20))</f>
        <v>#N/A</v>
      </c>
    </row>
    <row r="89" spans="2:8" ht="15" customHeight="1" x14ac:dyDescent="0.3">
      <c r="B89" s="51"/>
    </row>
    <row r="90" spans="2:8" ht="15" customHeight="1" x14ac:dyDescent="0.3">
      <c r="B90"/>
      <c r="D90"/>
      <c r="E90"/>
      <c r="F90"/>
      <c r="G90"/>
      <c r="H90"/>
    </row>
    <row r="91" spans="2:8" ht="15" customHeight="1" x14ac:dyDescent="0.3">
      <c r="B91" s="51" t="s">
        <v>439</v>
      </c>
      <c r="D91" s="288" t="e">
        <f t="shared" ref="D91:H94" si="0">D85/1000</f>
        <v>#N/A</v>
      </c>
      <c r="E91" s="289" t="e">
        <f t="shared" si="0"/>
        <v>#N/A</v>
      </c>
      <c r="F91" s="289" t="e">
        <f t="shared" si="0"/>
        <v>#N/A</v>
      </c>
      <c r="G91" s="289" t="e">
        <f t="shared" si="0"/>
        <v>#N/A</v>
      </c>
      <c r="H91" s="289" t="e">
        <f t="shared" si="0"/>
        <v>#N/A</v>
      </c>
    </row>
    <row r="92" spans="2:8" ht="15" customHeight="1" x14ac:dyDescent="0.3">
      <c r="B92" s="51" t="s">
        <v>440</v>
      </c>
      <c r="D92" s="288" t="e">
        <f t="shared" si="0"/>
        <v>#N/A</v>
      </c>
      <c r="E92" s="289" t="e">
        <f t="shared" si="0"/>
        <v>#N/A</v>
      </c>
      <c r="F92" s="289" t="e">
        <f t="shared" si="0"/>
        <v>#N/A</v>
      </c>
      <c r="G92" s="289" t="e">
        <f t="shared" ref="G92:H95" si="1">G85/1000</f>
        <v>#N/A</v>
      </c>
      <c r="H92" s="289" t="e">
        <f t="shared" si="1"/>
        <v>#N/A</v>
      </c>
    </row>
    <row r="93" spans="2:8" ht="15" customHeight="1" x14ac:dyDescent="0.3">
      <c r="B93" s="51" t="s">
        <v>441</v>
      </c>
      <c r="D93" s="288" t="e">
        <f t="shared" si="0"/>
        <v>#N/A</v>
      </c>
      <c r="E93" s="289" t="e">
        <f t="shared" si="0"/>
        <v>#N/A</v>
      </c>
      <c r="F93" s="289" t="e">
        <f t="shared" si="0"/>
        <v>#N/A</v>
      </c>
      <c r="G93" s="289" t="e">
        <f t="shared" si="1"/>
        <v>#N/A</v>
      </c>
      <c r="H93" s="289" t="e">
        <f t="shared" si="1"/>
        <v>#N/A</v>
      </c>
    </row>
    <row r="94" spans="2:8" ht="15" customHeight="1" x14ac:dyDescent="0.3">
      <c r="B94" s="51" t="s">
        <v>442</v>
      </c>
      <c r="D94" s="288" t="e">
        <f t="shared" si="0"/>
        <v>#N/A</v>
      </c>
      <c r="E94" s="289" t="e">
        <f t="shared" si="0"/>
        <v>#N/A</v>
      </c>
      <c r="F94" s="289" t="e">
        <f t="shared" si="0"/>
        <v>#N/A</v>
      </c>
      <c r="G94" s="289" t="e">
        <f t="shared" si="1"/>
        <v>#N/A</v>
      </c>
      <c r="H94" s="289" t="e">
        <f t="shared" si="1"/>
        <v>#N/A</v>
      </c>
    </row>
    <row r="95" spans="2:8" ht="15" customHeight="1" x14ac:dyDescent="0.3">
      <c r="B95" s="51"/>
      <c r="D95"/>
      <c r="G95" s="287" t="e">
        <f t="shared" si="1"/>
        <v>#N/A</v>
      </c>
      <c r="H95" s="287" t="e">
        <f t="shared" si="1"/>
        <v>#N/A</v>
      </c>
    </row>
    <row r="96" spans="2:8" ht="15" customHeight="1" x14ac:dyDescent="0.3">
      <c r="B96" s="51"/>
      <c r="D96"/>
    </row>
    <row r="97" spans="2:8" ht="15" customHeight="1" x14ac:dyDescent="0.3">
      <c r="B97" s="51" t="s">
        <v>443</v>
      </c>
      <c r="D97" s="286" t="e">
        <f>D78/1000</f>
        <v>#N/A</v>
      </c>
      <c r="E97" s="287" t="e">
        <f>E78/1000</f>
        <v>#N/A</v>
      </c>
      <c r="F97" s="287" t="e">
        <f>F78/1000</f>
        <v>#N/A</v>
      </c>
      <c r="G97" s="287" t="e">
        <f>G78/1000</f>
        <v>#N/A</v>
      </c>
      <c r="H97" s="287" t="e">
        <f>H78/1000</f>
        <v>#N/A</v>
      </c>
    </row>
    <row r="98" spans="2:8" ht="15" customHeight="1" x14ac:dyDescent="0.3">
      <c r="B98" s="51"/>
    </row>
    <row r="99" spans="2:8" ht="15" customHeight="1" x14ac:dyDescent="0.3">
      <c r="B99" s="51"/>
      <c r="G99" s="287" t="e">
        <f>G78/1000</f>
        <v>#N/A</v>
      </c>
      <c r="H99" s="287" t="e">
        <f>H78/1000</f>
        <v>#N/A</v>
      </c>
    </row>
    <row r="100" spans="2:8" ht="15" customHeight="1" x14ac:dyDescent="0.3">
      <c r="B100" s="51"/>
    </row>
    <row r="101" spans="2:8" ht="15" customHeight="1" x14ac:dyDescent="0.3">
      <c r="B101" s="51"/>
    </row>
    <row r="102" spans="2:8" ht="15" customHeight="1" x14ac:dyDescent="0.3">
      <c r="B102" s="51"/>
    </row>
    <row r="103" spans="2:8" ht="15" customHeight="1" x14ac:dyDescent="0.3">
      <c r="B103" s="51"/>
    </row>
    <row r="104" spans="2:8" ht="15" customHeight="1" x14ac:dyDescent="0.3">
      <c r="B104" s="51"/>
    </row>
    <row r="105" spans="2:8" ht="15" customHeight="1" x14ac:dyDescent="0.3">
      <c r="B105" s="51"/>
    </row>
    <row r="106" spans="2:8" ht="15" customHeight="1" x14ac:dyDescent="0.3">
      <c r="B106" s="51"/>
    </row>
    <row r="107" spans="2:8" ht="15" customHeight="1" x14ac:dyDescent="0.3">
      <c r="B107" s="51"/>
    </row>
    <row r="108" spans="2:8" ht="15" customHeight="1" x14ac:dyDescent="0.3">
      <c r="B108" s="51"/>
    </row>
    <row r="109" spans="2:8" ht="15" customHeight="1" x14ac:dyDescent="0.3">
      <c r="B109" s="51"/>
    </row>
    <row r="110" spans="2:8" ht="15" customHeight="1" x14ac:dyDescent="0.3">
      <c r="B110" s="51"/>
    </row>
    <row r="111" spans="2:8" ht="15" customHeight="1" x14ac:dyDescent="0.3">
      <c r="B111" s="51"/>
    </row>
    <row r="112" spans="2:8" ht="15" customHeight="1" x14ac:dyDescent="0.3">
      <c r="B112" s="51"/>
    </row>
    <row r="113" spans="2:2" ht="15" customHeight="1" x14ac:dyDescent="0.3">
      <c r="B113" s="51"/>
    </row>
    <row r="114" spans="2:2" ht="15" customHeight="1" x14ac:dyDescent="0.3">
      <c r="B114" s="51"/>
    </row>
    <row r="115" spans="2:2" ht="15" customHeight="1" x14ac:dyDescent="0.3">
      <c r="B115" s="51"/>
    </row>
    <row r="116" spans="2:2" ht="15" customHeight="1" x14ac:dyDescent="0.3">
      <c r="B116" s="51"/>
    </row>
    <row r="117" spans="2:2" ht="15" customHeight="1" x14ac:dyDescent="0.3">
      <c r="B117" s="51"/>
    </row>
    <row r="118" spans="2:2" ht="15" customHeight="1" x14ac:dyDescent="0.3">
      <c r="B118" s="51"/>
    </row>
    <row r="119" spans="2:2" ht="15" customHeight="1" x14ac:dyDescent="0.3">
      <c r="B119" s="51"/>
    </row>
    <row r="120" spans="2:2" ht="15" customHeight="1" x14ac:dyDescent="0.3">
      <c r="B120" s="51"/>
    </row>
    <row r="121" spans="2:2" ht="15" customHeight="1" x14ac:dyDescent="0.3">
      <c r="B121" s="51"/>
    </row>
    <row r="122" spans="2:2" ht="15" customHeight="1" x14ac:dyDescent="0.3">
      <c r="B122" s="51"/>
    </row>
    <row r="123" spans="2:2" ht="15" customHeight="1" x14ac:dyDescent="0.3">
      <c r="B123" s="51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82" fitToHeight="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" id="{C5CC8A25-4265-40FA-9518-70AE9CC89674}">
            <xm:f>INPUT!$F$128&lt;1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D1:D99</xm:sqref>
        </x14:conditionalFormatting>
        <x14:conditionalFormatting xmlns:xm="http://schemas.microsoft.com/office/excel/2006/main">
          <x14:cfRule type="expression" priority="7" id="{98A8D628-4056-4AC2-9CFE-C15D84080C6F}">
            <xm:f>INPUT!$F$128&lt;2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E1:E99</xm:sqref>
        </x14:conditionalFormatting>
        <x14:conditionalFormatting xmlns:xm="http://schemas.microsoft.com/office/excel/2006/main">
          <x14:cfRule type="expression" priority="8" id="{26501F00-1475-4A0E-ABE2-1CE0DC999013}">
            <xm:f>INPUT!$F$128&lt;3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F1:F99</xm:sqref>
        </x14:conditionalFormatting>
        <x14:conditionalFormatting xmlns:xm="http://schemas.microsoft.com/office/excel/2006/main">
          <x14:cfRule type="expression" priority="9" id="{2DD687E1-7978-4114-8B30-D813404B5D04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G1:G99</xm:sqref>
        </x14:conditionalFormatting>
        <x14:conditionalFormatting xmlns:xm="http://schemas.microsoft.com/office/excel/2006/main">
          <x14:cfRule type="expression" priority="10" id="{A172D06E-F426-4846-AFE9-2048CF595B65}">
            <xm:f>INPUT!$F$128&lt;5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H1:H99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C46B0-ABA2-4AEF-82E6-DDB751022CAC}">
  <sheetPr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 x14ac:dyDescent="0.3"/>
  <cols>
    <col min="1" max="1" width="11" customWidth="1"/>
    <col min="2" max="2" width="53" style="19" customWidth="1"/>
    <col min="3" max="3" width="7.44140625" customWidth="1"/>
    <col min="4" max="4" width="15.109375" style="21" customWidth="1"/>
    <col min="5" max="8" width="13.33203125" style="21" customWidth="1"/>
    <col min="9" max="9" width="1" style="21" customWidth="1"/>
    <col min="10" max="14" width="11.5546875" style="21"/>
  </cols>
  <sheetData>
    <row r="1" spans="1:14" ht="54.9" customHeight="1" x14ac:dyDescent="0.6">
      <c r="A1" s="6"/>
      <c r="B1" s="118" t="s">
        <v>346</v>
      </c>
      <c r="C1" s="5"/>
      <c r="D1" s="29"/>
      <c r="E1" s="29"/>
      <c r="F1" s="117" t="s">
        <v>348</v>
      </c>
      <c r="G1" s="29"/>
      <c r="H1" s="29"/>
      <c r="I1" s="29"/>
      <c r="J1" s="20"/>
      <c r="K1" s="29"/>
      <c r="L1" s="29"/>
      <c r="M1" s="29"/>
      <c r="N1" s="29"/>
    </row>
    <row r="2" spans="1:14" ht="15" customHeight="1" x14ac:dyDescent="0.35">
      <c r="A2" s="3"/>
      <c r="B2" s="14"/>
      <c r="C2" s="3"/>
      <c r="D2" s="22"/>
      <c r="E2" s="22"/>
      <c r="F2" s="22"/>
      <c r="G2" s="22"/>
      <c r="H2" s="22"/>
      <c r="I2" s="22"/>
    </row>
    <row r="3" spans="1:14" ht="18" customHeight="1" x14ac:dyDescent="0.5">
      <c r="A3" s="7"/>
      <c r="B3" s="15" t="s">
        <v>131</v>
      </c>
      <c r="C3" s="7"/>
      <c r="D3" s="23"/>
      <c r="E3" s="23"/>
      <c r="F3" s="23"/>
      <c r="G3" s="23"/>
      <c r="H3" s="23"/>
      <c r="I3" s="23"/>
      <c r="J3" s="47"/>
      <c r="K3" s="47"/>
      <c r="L3" s="47"/>
      <c r="M3" s="47"/>
      <c r="N3" s="47"/>
    </row>
    <row r="4" spans="1:14" ht="15" customHeight="1" x14ac:dyDescent="0.35">
      <c r="A4" s="3"/>
      <c r="B4" s="13"/>
      <c r="C4" s="3"/>
      <c r="D4" s="22"/>
      <c r="E4" s="22"/>
      <c r="F4" s="22"/>
      <c r="G4" s="22"/>
      <c r="H4" s="22"/>
      <c r="I4" s="22"/>
    </row>
    <row r="5" spans="1:14" ht="15" customHeight="1" x14ac:dyDescent="0.35">
      <c r="A5" s="1"/>
      <c r="B5" s="138" t="s">
        <v>132</v>
      </c>
      <c r="C5" s="138"/>
      <c r="D5" s="138" t="str">
        <f>INPUT!D5</f>
        <v/>
      </c>
      <c r="E5" s="138" t="str">
        <f>INPUT!E5</f>
        <v/>
      </c>
      <c r="F5" s="138" t="str">
        <f>INPUT!F5</f>
        <v/>
      </c>
      <c r="G5" s="138" t="str">
        <f>INPUT!G5</f>
        <v/>
      </c>
      <c r="H5" s="138" t="str">
        <f>INPUT!H5</f>
        <v/>
      </c>
      <c r="I5" s="24"/>
      <c r="J5" s="1"/>
      <c r="K5" s="1"/>
      <c r="L5" s="1"/>
      <c r="M5" s="1"/>
      <c r="N5" s="1"/>
    </row>
    <row r="6" spans="1:14" ht="15" customHeight="1" x14ac:dyDescent="0.35">
      <c r="A6" s="3"/>
      <c r="B6" s="14"/>
      <c r="C6" s="3"/>
      <c r="D6" s="22"/>
      <c r="E6" s="22"/>
      <c r="F6" s="22"/>
      <c r="G6" s="22"/>
      <c r="H6" s="22"/>
      <c r="I6" s="22"/>
    </row>
    <row r="7" spans="1:14" ht="18" customHeight="1" x14ac:dyDescent="0.5">
      <c r="A7" s="7" t="s">
        <v>343</v>
      </c>
      <c r="B7" s="134" t="s">
        <v>321</v>
      </c>
      <c r="C7" s="135"/>
      <c r="D7" s="136"/>
      <c r="E7" s="136"/>
      <c r="F7" s="136"/>
      <c r="G7" s="136"/>
      <c r="H7" s="136"/>
      <c r="I7" s="23"/>
      <c r="J7" s="47"/>
      <c r="K7" s="47"/>
      <c r="L7" s="47"/>
      <c r="M7" s="47"/>
      <c r="N7" s="47"/>
    </row>
    <row r="8" spans="1:14" ht="15" customHeight="1" x14ac:dyDescent="0.35">
      <c r="A8" s="3"/>
      <c r="B8" s="127" t="s">
        <v>133</v>
      </c>
      <c r="C8" s="128"/>
      <c r="D8" s="290">
        <f>IFERROR(INPUT!D38-INPUT!D51,"–")</f>
        <v>0</v>
      </c>
      <c r="E8" s="290">
        <f>IFERROR(INPUT!E38-INPUT!E51,"–")</f>
        <v>0</v>
      </c>
      <c r="F8" s="290">
        <f>IFERROR(INPUT!F38-INPUT!F51,"–")</f>
        <v>0</v>
      </c>
      <c r="G8" s="290">
        <f>IFERROR(INPUT!G38-INPUT!G51,"–")</f>
        <v>0</v>
      </c>
      <c r="H8" s="290">
        <f>IFERROR(INPUT!H38-INPUT!H51,"–")</f>
        <v>0</v>
      </c>
      <c r="I8" s="30"/>
    </row>
    <row r="9" spans="1:14" ht="15" customHeight="1" x14ac:dyDescent="0.35">
      <c r="A9" s="3"/>
      <c r="B9" s="127" t="s">
        <v>28</v>
      </c>
      <c r="C9" s="128"/>
      <c r="D9" s="290">
        <f>INPUT!D44</f>
        <v>0</v>
      </c>
      <c r="E9" s="290">
        <f>INPUT!E44</f>
        <v>0</v>
      </c>
      <c r="F9" s="290">
        <f>INPUT!F44</f>
        <v>0</v>
      </c>
      <c r="G9" s="290">
        <f>INPUT!G44</f>
        <v>0</v>
      </c>
      <c r="H9" s="290">
        <f>INPUT!H44</f>
        <v>0</v>
      </c>
      <c r="I9" s="30"/>
    </row>
    <row r="10" spans="1:14" ht="15" customHeight="1" x14ac:dyDescent="0.35">
      <c r="A10" s="3"/>
      <c r="B10" s="127" t="s">
        <v>37</v>
      </c>
      <c r="C10" s="128"/>
      <c r="D10" s="290">
        <f>INPUT!D59</f>
        <v>0</v>
      </c>
      <c r="E10" s="290">
        <f>INPUT!E59</f>
        <v>0</v>
      </c>
      <c r="F10" s="290">
        <f>INPUT!F59</f>
        <v>0</v>
      </c>
      <c r="G10" s="290">
        <f>INPUT!G59</f>
        <v>0</v>
      </c>
      <c r="H10" s="290">
        <f>INPUT!H59</f>
        <v>0</v>
      </c>
      <c r="I10" s="30"/>
    </row>
    <row r="11" spans="1:14" ht="15" customHeight="1" x14ac:dyDescent="0.35">
      <c r="A11" s="3"/>
      <c r="B11" s="127" t="s">
        <v>134</v>
      </c>
      <c r="C11" s="128"/>
      <c r="D11" s="290">
        <f>INPUT!D17</f>
        <v>0</v>
      </c>
      <c r="E11" s="290">
        <f>INPUT!E17</f>
        <v>0</v>
      </c>
      <c r="F11" s="290">
        <f>INPUT!F17</f>
        <v>0</v>
      </c>
      <c r="G11" s="290">
        <f>INPUT!G17</f>
        <v>0</v>
      </c>
      <c r="H11" s="290">
        <f>INPUT!H17</f>
        <v>0</v>
      </c>
      <c r="I11" s="30"/>
    </row>
    <row r="12" spans="1:14" ht="15" customHeight="1" x14ac:dyDescent="0.35">
      <c r="A12" s="3"/>
      <c r="B12" s="127" t="s">
        <v>135</v>
      </c>
      <c r="C12" s="128"/>
      <c r="D12" s="290">
        <f>INPUT!D60</f>
        <v>0</v>
      </c>
      <c r="E12" s="290">
        <f>INPUT!E60</f>
        <v>0</v>
      </c>
      <c r="F12" s="290">
        <f>INPUT!F60</f>
        <v>0</v>
      </c>
      <c r="G12" s="290">
        <f>INPUT!G60</f>
        <v>0</v>
      </c>
      <c r="H12" s="290">
        <f>INPUT!H60</f>
        <v>0</v>
      </c>
      <c r="I12" s="30"/>
    </row>
    <row r="13" spans="1:14" ht="15" customHeight="1" x14ac:dyDescent="0.35">
      <c r="A13" s="3"/>
      <c r="B13" s="127" t="s">
        <v>35</v>
      </c>
      <c r="C13" s="128"/>
      <c r="D13" s="290">
        <f>INPUT!D55</f>
        <v>0</v>
      </c>
      <c r="E13" s="290">
        <f>INPUT!E55</f>
        <v>0</v>
      </c>
      <c r="F13" s="290">
        <f>INPUT!F55</f>
        <v>0</v>
      </c>
      <c r="G13" s="290">
        <f>INPUT!G55</f>
        <v>0</v>
      </c>
      <c r="H13" s="290">
        <f>INPUT!H55</f>
        <v>0</v>
      </c>
      <c r="I13" s="30"/>
    </row>
    <row r="14" spans="1:14" ht="15" customHeight="1" x14ac:dyDescent="0.35">
      <c r="A14" s="3"/>
      <c r="B14" s="127" t="s">
        <v>5</v>
      </c>
      <c r="C14" s="128"/>
      <c r="D14" s="291">
        <f>INPUT!D9</f>
        <v>0</v>
      </c>
      <c r="E14" s="291">
        <f>INPUT!E9</f>
        <v>0</v>
      </c>
      <c r="F14" s="291">
        <f>INPUT!F9</f>
        <v>0</v>
      </c>
      <c r="G14" s="291">
        <f>INPUT!G9</f>
        <v>0</v>
      </c>
      <c r="H14" s="291">
        <f>INPUT!H9</f>
        <v>0</v>
      </c>
      <c r="I14" s="30"/>
    </row>
    <row r="15" spans="1:14" ht="15" customHeight="1" x14ac:dyDescent="0.35">
      <c r="A15" s="3"/>
      <c r="B15" s="112"/>
      <c r="C15" s="128"/>
      <c r="D15" s="129"/>
      <c r="E15" s="129"/>
      <c r="F15" s="129"/>
      <c r="G15" s="129"/>
      <c r="H15" s="129"/>
      <c r="I15" s="22"/>
    </row>
    <row r="16" spans="1:14" ht="18" customHeight="1" x14ac:dyDescent="0.5">
      <c r="A16" s="7" t="s">
        <v>343</v>
      </c>
      <c r="B16" s="134" t="s">
        <v>136</v>
      </c>
      <c r="C16" s="137"/>
      <c r="D16" s="136"/>
      <c r="E16" s="136"/>
      <c r="F16" s="136"/>
      <c r="G16" s="136"/>
      <c r="H16" s="136"/>
      <c r="I16" s="23"/>
      <c r="J16" s="47"/>
      <c r="K16" s="47"/>
      <c r="L16" s="47"/>
      <c r="M16" s="47"/>
      <c r="N16" s="47"/>
    </row>
    <row r="17" spans="1:14" ht="15" customHeight="1" x14ac:dyDescent="0.35">
      <c r="A17" s="3"/>
      <c r="B17" s="127" t="s">
        <v>137</v>
      </c>
      <c r="C17" s="128"/>
      <c r="D17" s="292" t="str">
        <f>IFERROR(D8/D9,"–")</f>
        <v>–</v>
      </c>
      <c r="E17" s="292" t="str">
        <f>IFERROR(E8/E9,"–")</f>
        <v>–</v>
      </c>
      <c r="F17" s="292" t="str">
        <f>IFERROR(F8/F9,"–")</f>
        <v>–</v>
      </c>
      <c r="G17" s="292" t="str">
        <f>IFERROR(G8/G9,"–")</f>
        <v>–</v>
      </c>
      <c r="H17" s="292" t="str">
        <f>IFERROR(H8/H9,"–")</f>
        <v>–</v>
      </c>
      <c r="I17" s="30"/>
    </row>
    <row r="18" spans="1:14" ht="15" customHeight="1" x14ac:dyDescent="0.35">
      <c r="A18" s="3"/>
      <c r="B18" s="127" t="s">
        <v>138</v>
      </c>
      <c r="C18" s="128"/>
      <c r="D18" s="292" t="str">
        <f>IFERROR(D10/D9,"–")</f>
        <v>–</v>
      </c>
      <c r="E18" s="292" t="str">
        <f>IFERROR(E10/E9,"–")</f>
        <v>–</v>
      </c>
      <c r="F18" s="292" t="str">
        <f>IFERROR(F10/F9,"–")</f>
        <v>–</v>
      </c>
      <c r="G18" s="292" t="str">
        <f>IFERROR(G10/G9,"–")</f>
        <v>–</v>
      </c>
      <c r="H18" s="292" t="str">
        <f>IFERROR(H10/H9,"–")</f>
        <v>–</v>
      </c>
      <c r="I18" s="30"/>
    </row>
    <row r="19" spans="1:14" ht="15" customHeight="1" x14ac:dyDescent="0.35">
      <c r="A19" s="3"/>
      <c r="B19" s="127" t="s">
        <v>139</v>
      </c>
      <c r="C19" s="128"/>
      <c r="D19" s="292" t="str">
        <f>IFERROR(D11/D9,"–")</f>
        <v>–</v>
      </c>
      <c r="E19" s="292" t="str">
        <f>IFERROR(E11/E9,"–")</f>
        <v>–</v>
      </c>
      <c r="F19" s="292" t="str">
        <f>IFERROR(F11/F9,"–")</f>
        <v>–</v>
      </c>
      <c r="G19" s="292" t="str">
        <f>IFERROR(G11/G9,"–")</f>
        <v>–</v>
      </c>
      <c r="H19" s="292" t="str">
        <f>IFERROR(H11/H9,"–")</f>
        <v>–</v>
      </c>
      <c r="I19" s="30"/>
    </row>
    <row r="20" spans="1:14" ht="15" customHeight="1" x14ac:dyDescent="0.35">
      <c r="A20" s="3"/>
      <c r="B20" s="127" t="s">
        <v>140</v>
      </c>
      <c r="C20" s="128"/>
      <c r="D20" s="292" t="str">
        <f>IFERROR(D12/D13,"–")</f>
        <v>–</v>
      </c>
      <c r="E20" s="292" t="str">
        <f>IFERROR(E12/E13,"–")</f>
        <v>–</v>
      </c>
      <c r="F20" s="292" t="str">
        <f>IFERROR(F12/F13,"–")</f>
        <v>–</v>
      </c>
      <c r="G20" s="292" t="str">
        <f>IFERROR(G12/G13,"–")</f>
        <v>–</v>
      </c>
      <c r="H20" s="292" t="str">
        <f>IFERROR(H12/H13,"–")</f>
        <v>–</v>
      </c>
      <c r="I20" s="30"/>
    </row>
    <row r="21" spans="1:14" ht="15" customHeight="1" x14ac:dyDescent="0.35">
      <c r="A21" s="3"/>
      <c r="B21" s="127" t="s">
        <v>141</v>
      </c>
      <c r="C21" s="128"/>
      <c r="D21" s="293" t="str">
        <f>IFERROR(D14/D9,"–")</f>
        <v>–</v>
      </c>
      <c r="E21" s="293" t="str">
        <f>IFERROR(E14/E9,"–")</f>
        <v>–</v>
      </c>
      <c r="F21" s="293" t="str">
        <f>IFERROR(F14/F9,"–")</f>
        <v>–</v>
      </c>
      <c r="G21" s="293" t="str">
        <f>IFERROR(G14/G9,"–")</f>
        <v>–</v>
      </c>
      <c r="H21" s="293" t="str">
        <f>IFERROR(H14/H9,"–")</f>
        <v>–</v>
      </c>
      <c r="I21" s="30"/>
    </row>
    <row r="22" spans="1:14" ht="15" customHeight="1" x14ac:dyDescent="0.35">
      <c r="A22" s="3"/>
      <c r="B22" s="112"/>
      <c r="C22" s="128"/>
      <c r="D22" s="129"/>
      <c r="E22" s="129"/>
      <c r="F22" s="129"/>
      <c r="G22" s="129"/>
      <c r="H22" s="129"/>
      <c r="I22" s="22"/>
    </row>
    <row r="23" spans="1:14" ht="18" customHeight="1" x14ac:dyDescent="0.5">
      <c r="A23" s="7" t="s">
        <v>343</v>
      </c>
      <c r="B23" s="134" t="s">
        <v>142</v>
      </c>
      <c r="C23" s="137"/>
      <c r="D23" s="136"/>
      <c r="E23" s="136"/>
      <c r="F23" s="136"/>
      <c r="G23" s="136"/>
      <c r="H23" s="136"/>
      <c r="I23" s="23"/>
      <c r="J23" s="47"/>
      <c r="K23" s="47"/>
      <c r="L23" s="47"/>
      <c r="M23" s="47"/>
      <c r="N23" s="47"/>
    </row>
    <row r="24" spans="1:14" ht="15" customHeight="1" x14ac:dyDescent="0.35">
      <c r="A24" s="3"/>
      <c r="B24" s="127" t="s">
        <v>143</v>
      </c>
      <c r="C24" s="128"/>
      <c r="D24" s="292" t="str">
        <f>IFERROR(1.2*D17,"–")</f>
        <v>–</v>
      </c>
      <c r="E24" s="292" t="str">
        <f>IFERROR(1.2*E17,"–")</f>
        <v>–</v>
      </c>
      <c r="F24" s="292" t="str">
        <f>IFERROR(1.2*F17,"–")</f>
        <v>–</v>
      </c>
      <c r="G24" s="292" t="str">
        <f>IFERROR(1.2*G17,"–")</f>
        <v>–</v>
      </c>
      <c r="H24" s="292" t="str">
        <f>IFERROR(1.2*H17,"–")</f>
        <v>–</v>
      </c>
      <c r="I24" s="30"/>
    </row>
    <row r="25" spans="1:14" ht="15" customHeight="1" x14ac:dyDescent="0.35">
      <c r="A25" s="3"/>
      <c r="B25" s="127" t="s">
        <v>144</v>
      </c>
      <c r="C25" s="128"/>
      <c r="D25" s="292" t="str">
        <f>IFERROR(1.4*D18,"–")</f>
        <v>–</v>
      </c>
      <c r="E25" s="292" t="str">
        <f>IFERROR(1.4*E18,"–")</f>
        <v>–</v>
      </c>
      <c r="F25" s="292" t="str">
        <f>IFERROR(1.4*F18,"–")</f>
        <v>–</v>
      </c>
      <c r="G25" s="292" t="str">
        <f>IFERROR(1.4*G18,"–")</f>
        <v>–</v>
      </c>
      <c r="H25" s="292" t="str">
        <f>IFERROR(1.4*H18,"–")</f>
        <v>–</v>
      </c>
      <c r="I25" s="30"/>
    </row>
    <row r="26" spans="1:14" ht="15" customHeight="1" x14ac:dyDescent="0.35">
      <c r="A26" s="3"/>
      <c r="B26" s="127" t="s">
        <v>145</v>
      </c>
      <c r="C26" s="128"/>
      <c r="D26" s="292" t="str">
        <f>IFERROR(3.3*D19,"–")</f>
        <v>–</v>
      </c>
      <c r="E26" s="292" t="str">
        <f>IFERROR(3.3*E19,"–")</f>
        <v>–</v>
      </c>
      <c r="F26" s="292" t="str">
        <f>IFERROR(3.3*F19,"–")</f>
        <v>–</v>
      </c>
      <c r="G26" s="292" t="str">
        <f>IFERROR(3.3*G19,"–")</f>
        <v>–</v>
      </c>
      <c r="H26" s="292" t="str">
        <f>IFERROR(3.3*H19,"–")</f>
        <v>–</v>
      </c>
      <c r="I26" s="30"/>
    </row>
    <row r="27" spans="1:14" ht="15" customHeight="1" x14ac:dyDescent="0.35">
      <c r="A27" s="3"/>
      <c r="B27" s="127" t="s">
        <v>146</v>
      </c>
      <c r="C27" s="128"/>
      <c r="D27" s="292" t="str">
        <f>IFERROR(0.6*D20,"–")</f>
        <v>–</v>
      </c>
      <c r="E27" s="292" t="str">
        <f>IFERROR(0.6*E20,"–")</f>
        <v>–</v>
      </c>
      <c r="F27" s="292" t="str">
        <f>IFERROR(0.6*F20,"–")</f>
        <v>–</v>
      </c>
      <c r="G27" s="292" t="str">
        <f>IFERROR(0.6*G20,"–")</f>
        <v>–</v>
      </c>
      <c r="H27" s="292" t="str">
        <f>IFERROR(0.6*H20,"–")</f>
        <v>–</v>
      </c>
      <c r="I27" s="30"/>
    </row>
    <row r="28" spans="1:14" ht="15" customHeight="1" x14ac:dyDescent="0.35">
      <c r="A28" s="3"/>
      <c r="B28" s="127" t="s">
        <v>147</v>
      </c>
      <c r="C28" s="128"/>
      <c r="D28" s="293" t="str">
        <f>IFERROR(1*D21,"–")</f>
        <v>–</v>
      </c>
      <c r="E28" s="293" t="str">
        <f>IFERROR(1*E21,"–")</f>
        <v>–</v>
      </c>
      <c r="F28" s="293" t="str">
        <f>IFERROR(1*F21,"–")</f>
        <v>–</v>
      </c>
      <c r="G28" s="293" t="str">
        <f>IFERROR(1*G21,"–")</f>
        <v>–</v>
      </c>
      <c r="H28" s="293" t="str">
        <f>IFERROR(1*H21,"–")</f>
        <v>–</v>
      </c>
      <c r="I28" s="30"/>
    </row>
    <row r="29" spans="1:14" ht="15" customHeight="1" x14ac:dyDescent="0.35">
      <c r="A29" s="3"/>
      <c r="B29" s="112"/>
      <c r="C29" s="128"/>
      <c r="D29" s="129"/>
      <c r="E29" s="129"/>
      <c r="F29" s="129"/>
      <c r="G29" s="129"/>
      <c r="H29" s="129"/>
      <c r="I29" s="22"/>
    </row>
    <row r="30" spans="1:14" ht="18" customHeight="1" thickBot="1" x14ac:dyDescent="0.55000000000000004">
      <c r="A30" s="126" t="s">
        <v>343</v>
      </c>
      <c r="B30" s="125" t="s">
        <v>148</v>
      </c>
      <c r="C30" s="131"/>
      <c r="D30" s="294" t="str">
        <f>IFERROR(D24+D25+D26+D27+D28,"–")</f>
        <v>–</v>
      </c>
      <c r="E30" s="294" t="str">
        <f>IFERROR(E24+E25+E26+E27+E28,"–")</f>
        <v>–</v>
      </c>
      <c r="F30" s="294" t="str">
        <f>IFERROR(F24+F25+F26+F27+F28,"–")</f>
        <v>–</v>
      </c>
      <c r="G30" s="294" t="str">
        <f>IFERROR(G24+G25+G26+G27+G28,"–")</f>
        <v>–</v>
      </c>
      <c r="H30" s="294" t="str">
        <f>IFERROR(H24+H25+H26+H27+H28,"–")</f>
        <v>–</v>
      </c>
      <c r="I30" s="123"/>
      <c r="J30" s="108"/>
      <c r="K30" s="108"/>
      <c r="L30" s="108"/>
      <c r="M30" s="108"/>
      <c r="N30" s="108"/>
    </row>
    <row r="31" spans="1:14" ht="15" customHeight="1" x14ac:dyDescent="0.35">
      <c r="A31" s="3"/>
      <c r="B31" s="112"/>
      <c r="C31" s="128"/>
      <c r="D31" s="129"/>
      <c r="E31" s="129"/>
      <c r="F31" s="129"/>
      <c r="G31" s="129"/>
      <c r="H31" s="129"/>
      <c r="I31" s="22"/>
    </row>
    <row r="32" spans="1:14" ht="18" customHeight="1" x14ac:dyDescent="0.5">
      <c r="A32" s="7" t="s">
        <v>343</v>
      </c>
      <c r="B32" s="134" t="s">
        <v>149</v>
      </c>
      <c r="C32" s="137"/>
      <c r="D32" s="136"/>
      <c r="E32" s="136"/>
      <c r="F32" s="136"/>
      <c r="G32" s="136"/>
      <c r="H32" s="136"/>
      <c r="I32" s="23"/>
      <c r="J32" s="47"/>
      <c r="K32" s="47"/>
      <c r="L32" s="47"/>
      <c r="M32" s="47"/>
      <c r="N32" s="47"/>
    </row>
    <row r="33" spans="1:14" ht="15" customHeight="1" x14ac:dyDescent="0.35">
      <c r="A33" s="3"/>
      <c r="B33" s="112" t="s">
        <v>150</v>
      </c>
      <c r="C33" s="128"/>
      <c r="D33" s="295" t="str">
        <f>IFERROR(IF(D30&gt;2.99,"SAFE",IF(D30&gt;=1.81,"GREY","DISTRESS")),"–")</f>
        <v>SAFE</v>
      </c>
      <c r="E33" s="295" t="str">
        <f>IFERROR(IF(E30&gt;2.99,"SAFE",IF(E30&gt;=1.81,"GREY","DISTRESS")),"–")</f>
        <v>SAFE</v>
      </c>
      <c r="F33" s="295" t="str">
        <f>IFERROR(IF(F30&gt;2.99,"SAFE",IF(F30&gt;=1.81,"GREY","DISTRESS")),"–")</f>
        <v>SAFE</v>
      </c>
      <c r="G33" s="295" t="str">
        <f>IFERROR(IF(G30&gt;2.99,"SAFE",IF(G30&gt;=1.81,"GREY","DISTRESS")),"–")</f>
        <v>SAFE</v>
      </c>
      <c r="H33" s="295" t="str">
        <f>IFERROR(IF(H30&gt;2.99,"SAFE",IF(H30&gt;=1.81,"GREY","DISTRESS")),"–")</f>
        <v>SAFE</v>
      </c>
      <c r="I33" s="22"/>
    </row>
    <row r="34" spans="1:14" ht="15" customHeight="1" x14ac:dyDescent="0.35">
      <c r="A34" s="3"/>
      <c r="B34" s="112"/>
      <c r="C34" s="128"/>
      <c r="D34" s="129"/>
      <c r="E34" s="129"/>
      <c r="F34" s="129"/>
      <c r="G34" s="129"/>
      <c r="H34" s="129"/>
      <c r="I34" s="22"/>
    </row>
    <row r="35" spans="1:14" ht="15" customHeight="1" x14ac:dyDescent="0.35">
      <c r="A35" s="3"/>
      <c r="B35" s="112" t="s">
        <v>151</v>
      </c>
      <c r="C35" s="128"/>
      <c r="D35" s="133" t="s">
        <v>152</v>
      </c>
      <c r="E35" s="129"/>
      <c r="F35" s="129"/>
      <c r="G35" s="129"/>
      <c r="H35" s="129"/>
      <c r="I35" s="61"/>
    </row>
    <row r="36" spans="1:14" ht="15" customHeight="1" x14ac:dyDescent="0.35">
      <c r="A36" s="3"/>
      <c r="B36" s="112" t="s">
        <v>153</v>
      </c>
      <c r="C36" s="128"/>
      <c r="D36" s="133" t="s">
        <v>154</v>
      </c>
      <c r="E36" s="129"/>
      <c r="F36" s="129"/>
      <c r="G36" s="129"/>
      <c r="H36" s="129"/>
      <c r="I36" s="61"/>
    </row>
    <row r="37" spans="1:14" ht="15" customHeight="1" x14ac:dyDescent="0.35">
      <c r="A37" s="3"/>
      <c r="B37" s="112" t="s">
        <v>155</v>
      </c>
      <c r="C37" s="128"/>
      <c r="D37" s="133" t="s">
        <v>156</v>
      </c>
      <c r="E37" s="129"/>
      <c r="F37" s="129"/>
      <c r="G37" s="129"/>
      <c r="H37" s="129"/>
      <c r="I37" s="61"/>
    </row>
    <row r="38" spans="1:14" ht="15" customHeight="1" x14ac:dyDescent="0.35">
      <c r="A38" s="3"/>
      <c r="B38" s="112"/>
      <c r="C38" s="128"/>
      <c r="D38" s="129"/>
      <c r="E38" s="129"/>
      <c r="F38" s="129"/>
      <c r="G38" s="129"/>
      <c r="H38" s="129"/>
      <c r="I38" s="22"/>
    </row>
    <row r="39" spans="1:14" ht="15" customHeight="1" x14ac:dyDescent="0.35">
      <c r="A39" s="3"/>
      <c r="B39" s="132" t="s">
        <v>157</v>
      </c>
      <c r="C39" s="128"/>
      <c r="D39" s="129"/>
      <c r="E39" s="129"/>
      <c r="F39" s="129"/>
      <c r="G39" s="129"/>
      <c r="H39" s="129"/>
      <c r="I39" s="22"/>
    </row>
    <row r="40" spans="1:14" ht="15" customHeight="1" x14ac:dyDescent="0.35">
      <c r="A40" s="3"/>
      <c r="B40" s="132" t="s">
        <v>158</v>
      </c>
      <c r="C40" s="128"/>
      <c r="D40" s="129"/>
      <c r="E40" s="129"/>
      <c r="F40" s="129"/>
      <c r="G40" s="129"/>
      <c r="H40" s="129"/>
      <c r="I40" s="22"/>
    </row>
    <row r="41" spans="1:14" ht="15" customHeight="1" x14ac:dyDescent="0.35">
      <c r="A41" s="3"/>
      <c r="B41" s="112"/>
      <c r="C41" s="133"/>
      <c r="D41" s="129"/>
      <c r="E41" s="129"/>
      <c r="F41" s="129"/>
      <c r="G41" s="129"/>
      <c r="H41" s="129"/>
      <c r="I41" s="22"/>
    </row>
    <row r="42" spans="1:14" ht="15" customHeight="1" x14ac:dyDescent="0.35">
      <c r="A42" s="4"/>
      <c r="B42" s="96"/>
      <c r="C42" s="96"/>
      <c r="D42" s="96"/>
      <c r="E42" s="96"/>
      <c r="F42" s="96"/>
      <c r="G42" s="96"/>
      <c r="H42" s="96"/>
      <c r="I42" s="34"/>
      <c r="J42" s="96"/>
      <c r="K42" s="96"/>
      <c r="L42" s="96"/>
      <c r="M42" s="96"/>
      <c r="N42" s="96"/>
    </row>
    <row r="43" spans="1:14" ht="15" customHeight="1" x14ac:dyDescent="0.35">
      <c r="A43" s="4"/>
      <c r="B43" s="96"/>
      <c r="C43" s="96"/>
      <c r="D43" s="96"/>
      <c r="E43" s="96"/>
      <c r="F43" s="96"/>
      <c r="G43" s="96"/>
      <c r="H43" s="96"/>
      <c r="I43" s="34"/>
      <c r="J43" s="96"/>
      <c r="K43" s="96"/>
      <c r="L43" s="96"/>
      <c r="M43" s="96"/>
      <c r="N43" s="96"/>
    </row>
    <row r="44" spans="1:14" ht="15" customHeight="1" x14ac:dyDescent="0.35">
      <c r="A44" s="4"/>
      <c r="B44" s="96"/>
      <c r="C44" s="96"/>
      <c r="D44" s="96"/>
      <c r="E44" s="96"/>
      <c r="F44" s="96"/>
      <c r="G44" s="96"/>
      <c r="H44" s="96"/>
      <c r="I44" s="34"/>
      <c r="J44" s="96"/>
      <c r="K44" s="96"/>
      <c r="L44" s="96"/>
      <c r="M44" s="96"/>
      <c r="N44" s="96"/>
    </row>
    <row r="45" spans="1:14" ht="15" customHeight="1" x14ac:dyDescent="0.3">
      <c r="B45" s="51"/>
    </row>
    <row r="46" spans="1:14" ht="15" customHeight="1" x14ac:dyDescent="0.3">
      <c r="B46" s="51"/>
    </row>
    <row r="47" spans="1:14" ht="15" customHeight="1" x14ac:dyDescent="0.3">
      <c r="B47" s="51"/>
    </row>
    <row r="48" spans="1:14" ht="15" customHeight="1" x14ac:dyDescent="0.3">
      <c r="B48" s="51"/>
    </row>
    <row r="49" spans="2:2" ht="15" customHeight="1" x14ac:dyDescent="0.3">
      <c r="B49" s="51"/>
    </row>
    <row r="50" spans="2:2" ht="15" customHeight="1" x14ac:dyDescent="0.3">
      <c r="B50" s="51"/>
    </row>
    <row r="51" spans="2:2" ht="15" customHeight="1" x14ac:dyDescent="0.3">
      <c r="B51" s="51"/>
    </row>
    <row r="52" spans="2:2" ht="15" customHeight="1" x14ac:dyDescent="0.3">
      <c r="B52" s="51"/>
    </row>
    <row r="53" spans="2:2" ht="15" customHeight="1" x14ac:dyDescent="0.3">
      <c r="B53" s="51"/>
    </row>
    <row r="54" spans="2:2" ht="15" customHeight="1" x14ac:dyDescent="0.3">
      <c r="B54" s="51"/>
    </row>
    <row r="55" spans="2:2" ht="15" customHeight="1" x14ac:dyDescent="0.3">
      <c r="B55" s="51"/>
    </row>
    <row r="56" spans="2:2" ht="15" customHeight="1" x14ac:dyDescent="0.3">
      <c r="B56" s="51"/>
    </row>
    <row r="57" spans="2:2" ht="15" customHeight="1" x14ac:dyDescent="0.3">
      <c r="B57" s="51"/>
    </row>
    <row r="58" spans="2:2" ht="15" customHeight="1" x14ac:dyDescent="0.3">
      <c r="B58" s="51"/>
    </row>
    <row r="59" spans="2:2" ht="15" customHeight="1" x14ac:dyDescent="0.3">
      <c r="B59" s="51"/>
    </row>
    <row r="60" spans="2:2" ht="15" customHeight="1" x14ac:dyDescent="0.3">
      <c r="B60" s="51"/>
    </row>
    <row r="61" spans="2:2" ht="15" customHeight="1" x14ac:dyDescent="0.3">
      <c r="B61" s="51"/>
    </row>
    <row r="62" spans="2:2" ht="15" customHeight="1" x14ac:dyDescent="0.3">
      <c r="B62" s="51"/>
    </row>
    <row r="63" spans="2:2" ht="15" customHeight="1" x14ac:dyDescent="0.3">
      <c r="B63" s="51"/>
    </row>
    <row r="64" spans="2:2" ht="15" customHeight="1" x14ac:dyDescent="0.3">
      <c r="B64" s="51"/>
    </row>
    <row r="65" spans="2:2" ht="15" customHeight="1" x14ac:dyDescent="0.3">
      <c r="B65" s="51"/>
    </row>
    <row r="66" spans="2:2" ht="15" customHeight="1" x14ac:dyDescent="0.3">
      <c r="B66" s="51"/>
    </row>
    <row r="67" spans="2:2" ht="15" customHeight="1" x14ac:dyDescent="0.3">
      <c r="B67" s="51"/>
    </row>
    <row r="68" spans="2:2" ht="15" customHeight="1" x14ac:dyDescent="0.3">
      <c r="B68" s="51"/>
    </row>
    <row r="69" spans="2:2" ht="15" customHeight="1" x14ac:dyDescent="0.3">
      <c r="B69" s="51"/>
    </row>
    <row r="70" spans="2:2" ht="15" customHeight="1" x14ac:dyDescent="0.3">
      <c r="B70" s="51"/>
    </row>
    <row r="71" spans="2:2" ht="15" customHeight="1" x14ac:dyDescent="0.3">
      <c r="B71" s="51"/>
    </row>
    <row r="72" spans="2:2" ht="15" customHeight="1" x14ac:dyDescent="0.3">
      <c r="B72" s="51"/>
    </row>
    <row r="73" spans="2:2" ht="15" customHeight="1" x14ac:dyDescent="0.3">
      <c r="B73" s="51"/>
    </row>
    <row r="74" spans="2:2" ht="15" customHeight="1" x14ac:dyDescent="0.3">
      <c r="B74" s="51"/>
    </row>
    <row r="75" spans="2:2" ht="15" customHeight="1" x14ac:dyDescent="0.3">
      <c r="B75" s="51"/>
    </row>
    <row r="76" spans="2:2" ht="15" customHeight="1" x14ac:dyDescent="0.3">
      <c r="B76" s="51"/>
    </row>
    <row r="77" spans="2:2" ht="15" customHeight="1" x14ac:dyDescent="0.3">
      <c r="B77" s="51"/>
    </row>
    <row r="78" spans="2:2" ht="15" customHeight="1" x14ac:dyDescent="0.3">
      <c r="B78" s="51"/>
    </row>
    <row r="79" spans="2:2" ht="15" customHeight="1" x14ac:dyDescent="0.3">
      <c r="B79" s="51"/>
    </row>
    <row r="80" spans="2:2" ht="15" customHeight="1" x14ac:dyDescent="0.3">
      <c r="B80" s="51"/>
    </row>
    <row r="81" spans="2:2" ht="15" customHeight="1" x14ac:dyDescent="0.3">
      <c r="B81" s="51"/>
    </row>
    <row r="82" spans="2:2" ht="15" customHeight="1" x14ac:dyDescent="0.3">
      <c r="B82" s="51"/>
    </row>
    <row r="83" spans="2:2" ht="15" customHeight="1" x14ac:dyDescent="0.3">
      <c r="B83" s="51"/>
    </row>
    <row r="84" spans="2:2" ht="15" customHeight="1" x14ac:dyDescent="0.3">
      <c r="B84" s="51"/>
    </row>
    <row r="85" spans="2:2" ht="15" customHeight="1" x14ac:dyDescent="0.3">
      <c r="B85" s="51"/>
    </row>
    <row r="86" spans="2:2" ht="15" customHeight="1" x14ac:dyDescent="0.3">
      <c r="B86" s="51"/>
    </row>
    <row r="87" spans="2:2" ht="15" customHeight="1" x14ac:dyDescent="0.3">
      <c r="B87" s="51"/>
    </row>
    <row r="88" spans="2:2" ht="15" customHeight="1" x14ac:dyDescent="0.3">
      <c r="B88" s="51"/>
    </row>
    <row r="89" spans="2:2" ht="15" customHeight="1" x14ac:dyDescent="0.3">
      <c r="B89" s="51"/>
    </row>
    <row r="90" spans="2:2" ht="15" customHeight="1" x14ac:dyDescent="0.3">
      <c r="B90" s="51"/>
    </row>
    <row r="91" spans="2:2" ht="15" customHeight="1" x14ac:dyDescent="0.3">
      <c r="B91" s="51"/>
    </row>
    <row r="92" spans="2:2" ht="15" customHeight="1" x14ac:dyDescent="0.3">
      <c r="B92" s="51"/>
    </row>
    <row r="93" spans="2:2" ht="15" customHeight="1" x14ac:dyDescent="0.3">
      <c r="B93" s="51"/>
    </row>
    <row r="94" spans="2:2" ht="15" customHeight="1" x14ac:dyDescent="0.3">
      <c r="B94" s="51"/>
    </row>
    <row r="95" spans="2:2" ht="15" customHeight="1" x14ac:dyDescent="0.3">
      <c r="B95" s="51"/>
    </row>
    <row r="96" spans="2:2" ht="15" customHeight="1" x14ac:dyDescent="0.3">
      <c r="B96" s="51"/>
    </row>
    <row r="97" spans="2:2" ht="15" customHeight="1" x14ac:dyDescent="0.3">
      <c r="B97" s="51"/>
    </row>
    <row r="98" spans="2:2" ht="15" customHeight="1" x14ac:dyDescent="0.3">
      <c r="B98" s="51"/>
    </row>
    <row r="99" spans="2:2" ht="15" customHeight="1" x14ac:dyDescent="0.3">
      <c r="B99" s="51"/>
    </row>
    <row r="100" spans="2:2" ht="15" customHeight="1" x14ac:dyDescent="0.3">
      <c r="B100" s="51"/>
    </row>
    <row r="101" spans="2:2" ht="15" customHeight="1" x14ac:dyDescent="0.3">
      <c r="B101" s="51"/>
    </row>
    <row r="102" spans="2:2" ht="15" customHeight="1" x14ac:dyDescent="0.3">
      <c r="B102" s="51"/>
    </row>
    <row r="103" spans="2:2" ht="15" customHeight="1" x14ac:dyDescent="0.3">
      <c r="B103" s="51"/>
    </row>
    <row r="104" spans="2:2" ht="15" customHeight="1" x14ac:dyDescent="0.3">
      <c r="B104" s="51"/>
    </row>
    <row r="105" spans="2:2" ht="15" customHeight="1" x14ac:dyDescent="0.3">
      <c r="B105" s="51"/>
    </row>
    <row r="106" spans="2:2" ht="15" customHeight="1" x14ac:dyDescent="0.3">
      <c r="B106" s="51"/>
    </row>
    <row r="107" spans="2:2" ht="15" customHeight="1" x14ac:dyDescent="0.3">
      <c r="B107" s="51"/>
    </row>
    <row r="108" spans="2:2" ht="15" customHeight="1" x14ac:dyDescent="0.3">
      <c r="B108" s="51"/>
    </row>
    <row r="109" spans="2:2" ht="15" customHeight="1" x14ac:dyDescent="0.3">
      <c r="B109" s="51"/>
    </row>
    <row r="110" spans="2:2" ht="15" customHeight="1" x14ac:dyDescent="0.3">
      <c r="B110" s="51"/>
    </row>
    <row r="111" spans="2:2" ht="15" customHeight="1" x14ac:dyDescent="0.3">
      <c r="B111" s="51"/>
    </row>
    <row r="112" spans="2:2" ht="15" customHeight="1" x14ac:dyDescent="0.3">
      <c r="B112" s="51"/>
    </row>
    <row r="113" spans="2:2" ht="15" customHeight="1" x14ac:dyDescent="0.3">
      <c r="B113" s="51"/>
    </row>
    <row r="114" spans="2:2" ht="15" customHeight="1" x14ac:dyDescent="0.3">
      <c r="B114" s="51"/>
    </row>
    <row r="115" spans="2:2" ht="15" customHeight="1" x14ac:dyDescent="0.3">
      <c r="B115" s="51"/>
    </row>
    <row r="116" spans="2:2" ht="15" customHeight="1" x14ac:dyDescent="0.3">
      <c r="B116" s="51"/>
    </row>
    <row r="117" spans="2:2" ht="15" customHeight="1" x14ac:dyDescent="0.3">
      <c r="B117" s="51"/>
    </row>
    <row r="118" spans="2:2" ht="15" customHeight="1" x14ac:dyDescent="0.3">
      <c r="B118" s="51"/>
    </row>
    <row r="119" spans="2:2" ht="15" customHeight="1" x14ac:dyDescent="0.3">
      <c r="B119" s="51"/>
    </row>
    <row r="120" spans="2:2" ht="15" customHeight="1" x14ac:dyDescent="0.3">
      <c r="B120" s="51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81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" id="{D615FBCF-F709-484F-A597-D898D3086A51}">
            <xm:f>INPUT!$F$128&lt;1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D1:D40</xm:sqref>
        </x14:conditionalFormatting>
        <x14:conditionalFormatting xmlns:xm="http://schemas.microsoft.com/office/excel/2006/main">
          <x14:cfRule type="expression" priority="7" id="{AA2CDDE6-A1D5-4360-934F-7835ADA7F716}">
            <xm:f>INPUT!$F$128&lt;2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E1:E40</xm:sqref>
        </x14:conditionalFormatting>
        <x14:conditionalFormatting xmlns:xm="http://schemas.microsoft.com/office/excel/2006/main">
          <x14:cfRule type="expression" priority="8" id="{8EB70E22-0611-487E-9A1E-FDAAC0366C9A}">
            <xm:f>INPUT!$F$128&lt;3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F1:F40</xm:sqref>
        </x14:conditionalFormatting>
        <x14:conditionalFormatting xmlns:xm="http://schemas.microsoft.com/office/excel/2006/main">
          <x14:cfRule type="expression" priority="9" id="{C2CFD19F-BBCF-4E37-BCDF-BB7613E768FF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G1:G40</xm:sqref>
        </x14:conditionalFormatting>
        <x14:conditionalFormatting xmlns:xm="http://schemas.microsoft.com/office/excel/2006/main">
          <x14:cfRule type="expression" priority="10" id="{C6B595CD-A98A-420B-9262-8DDD3060B753}">
            <xm:f>INPUT!$F$128&lt;5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H1:H40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82630-34F0-4174-BF86-7D2790357965}">
  <sheetPr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 x14ac:dyDescent="0.3"/>
  <cols>
    <col min="1" max="1" width="11" customWidth="1"/>
    <col min="2" max="2" width="53" style="19" customWidth="1"/>
    <col min="3" max="3" width="1" style="19" customWidth="1"/>
    <col min="4" max="5" width="13.33203125" style="21" customWidth="1"/>
    <col min="6" max="6" width="16.109375" style="21" bestFit="1" customWidth="1"/>
    <col min="7" max="7" width="18.33203125" style="21" bestFit="1" customWidth="1"/>
    <col min="8" max="13" width="11.5546875" style="21"/>
  </cols>
  <sheetData>
    <row r="1" spans="1:13" ht="54.9" customHeight="1" x14ac:dyDescent="0.6">
      <c r="A1" s="6"/>
      <c r="B1" s="118" t="s">
        <v>346</v>
      </c>
      <c r="C1" s="26"/>
      <c r="D1" s="29"/>
      <c r="E1" s="29"/>
      <c r="F1" s="117" t="s">
        <v>349</v>
      </c>
      <c r="G1" s="20"/>
      <c r="H1" s="20"/>
      <c r="I1" s="20"/>
      <c r="J1" s="20"/>
      <c r="K1" s="20"/>
      <c r="L1" s="20"/>
      <c r="M1" s="20"/>
    </row>
    <row r="2" spans="1:13" ht="15" customHeight="1" x14ac:dyDescent="0.35">
      <c r="A2" s="3"/>
      <c r="B2" s="14"/>
      <c r="C2" s="14"/>
      <c r="D2" s="22"/>
      <c r="E2" s="22"/>
      <c r="F2" s="22"/>
    </row>
    <row r="3" spans="1:13" ht="18" customHeight="1" x14ac:dyDescent="0.5">
      <c r="A3" s="7"/>
      <c r="B3" s="15" t="s">
        <v>159</v>
      </c>
      <c r="C3" s="15"/>
      <c r="D3" s="23"/>
      <c r="E3" s="23"/>
      <c r="F3" s="23"/>
      <c r="G3" s="47"/>
      <c r="H3" s="47"/>
      <c r="I3" s="47"/>
      <c r="J3" s="47"/>
      <c r="K3" s="47"/>
      <c r="L3" s="47"/>
      <c r="M3" s="47"/>
    </row>
    <row r="4" spans="1:13" ht="15" customHeight="1" x14ac:dyDescent="0.35">
      <c r="A4" s="3"/>
      <c r="B4" s="13"/>
      <c r="C4" s="13"/>
      <c r="D4" s="22"/>
      <c r="E4" s="22"/>
      <c r="F4" s="22"/>
    </row>
    <row r="5" spans="1:13" ht="15" customHeight="1" x14ac:dyDescent="0.35">
      <c r="A5" s="1"/>
      <c r="B5" s="16" t="s">
        <v>160</v>
      </c>
      <c r="C5" s="16"/>
      <c r="D5" s="16" t="str">
        <f>IF(INPUT!$G$128&gt;=2,INPUT!$D$117-1,"")&amp;IF(INPUT!$G$128&gt;=2," (t-1)","")</f>
        <v/>
      </c>
      <c r="E5" s="16" t="str">
        <f>INPUT!H5</f>
        <v/>
      </c>
      <c r="F5" s="16" t="s">
        <v>161</v>
      </c>
      <c r="G5" s="16" t="s">
        <v>162</v>
      </c>
      <c r="H5" s="1"/>
      <c r="I5" s="1"/>
      <c r="J5" s="1"/>
      <c r="K5" s="1"/>
      <c r="L5" s="1"/>
      <c r="M5" s="1"/>
    </row>
    <row r="6" spans="1:13" ht="15" customHeight="1" x14ac:dyDescent="0.35">
      <c r="A6" s="3"/>
      <c r="B6" s="14"/>
      <c r="C6" s="14"/>
      <c r="D6" s="14"/>
      <c r="E6" s="22"/>
      <c r="F6" s="22"/>
      <c r="G6" s="22"/>
    </row>
    <row r="7" spans="1:13" ht="18" customHeight="1" x14ac:dyDescent="0.5">
      <c r="A7" s="7" t="s">
        <v>343</v>
      </c>
      <c r="B7" s="15" t="s">
        <v>163</v>
      </c>
      <c r="C7" s="15"/>
      <c r="D7" s="15"/>
      <c r="E7" s="23"/>
      <c r="F7" s="23"/>
      <c r="G7" s="23"/>
      <c r="H7" s="47"/>
      <c r="I7" s="47"/>
      <c r="J7" s="47"/>
      <c r="K7" s="47"/>
      <c r="L7" s="47"/>
      <c r="M7" s="47"/>
    </row>
    <row r="8" spans="1:13" ht="18" customHeight="1" x14ac:dyDescent="0.5">
      <c r="A8" s="126"/>
      <c r="B8" s="124"/>
      <c r="C8" s="124"/>
      <c r="D8" s="124"/>
      <c r="E8" s="123"/>
      <c r="F8" s="123"/>
      <c r="G8" s="123"/>
      <c r="H8" s="108"/>
      <c r="I8" s="108"/>
      <c r="J8" s="108"/>
      <c r="K8" s="108"/>
      <c r="L8" s="108"/>
      <c r="M8" s="108"/>
    </row>
    <row r="9" spans="1:13" ht="15" customHeight="1" x14ac:dyDescent="0.35">
      <c r="A9" s="3"/>
      <c r="B9" s="17" t="s">
        <v>164</v>
      </c>
      <c r="C9" s="17"/>
      <c r="D9" s="17"/>
      <c r="E9" s="296">
        <f>INPUT!E9</f>
        <v>0</v>
      </c>
      <c r="F9" s="296">
        <f>INPUT!F9</f>
        <v>0</v>
      </c>
      <c r="G9" s="61"/>
    </row>
    <row r="10" spans="1:13" ht="15" customHeight="1" x14ac:dyDescent="0.35">
      <c r="A10" s="3"/>
      <c r="B10" s="17" t="s">
        <v>165</v>
      </c>
      <c r="C10" s="17"/>
      <c r="D10" s="17"/>
      <c r="E10" s="296">
        <f>ABS(INPUT!E10)</f>
        <v>0</v>
      </c>
      <c r="F10" s="296">
        <f>ABS(INPUT!F10)</f>
        <v>0</v>
      </c>
      <c r="G10" s="61"/>
    </row>
    <row r="11" spans="1:13" ht="15" customHeight="1" x14ac:dyDescent="0.35">
      <c r="A11" s="3"/>
      <c r="B11" s="17" t="s">
        <v>7</v>
      </c>
      <c r="C11" s="17"/>
      <c r="D11" s="17"/>
      <c r="E11" s="296">
        <f>INPUT!E11</f>
        <v>0</v>
      </c>
      <c r="F11" s="296">
        <f>INPUT!F11</f>
        <v>0</v>
      </c>
      <c r="G11" s="61"/>
    </row>
    <row r="12" spans="1:13" ht="15" customHeight="1" x14ac:dyDescent="0.35">
      <c r="A12" s="3"/>
      <c r="B12" s="17" t="s">
        <v>24</v>
      </c>
      <c r="C12" s="17"/>
      <c r="D12" s="17"/>
      <c r="E12" s="296">
        <f>INPUT!E38</f>
        <v>0</v>
      </c>
      <c r="F12" s="296">
        <f>INPUT!F38</f>
        <v>0</v>
      </c>
      <c r="G12" s="61"/>
    </row>
    <row r="13" spans="1:13" ht="15" customHeight="1" x14ac:dyDescent="0.35">
      <c r="A13" s="3"/>
      <c r="B13" s="17" t="s">
        <v>25</v>
      </c>
      <c r="C13" s="17"/>
      <c r="D13" s="17"/>
      <c r="E13" s="296">
        <f>INPUT!E41</f>
        <v>0</v>
      </c>
      <c r="F13" s="296">
        <f>INPUT!F41</f>
        <v>0</v>
      </c>
      <c r="G13" s="61"/>
    </row>
    <row r="14" spans="1:13" ht="15" customHeight="1" x14ac:dyDescent="0.35">
      <c r="A14" s="3"/>
      <c r="B14" s="17" t="s">
        <v>28</v>
      </c>
      <c r="C14" s="17"/>
      <c r="D14" s="17"/>
      <c r="E14" s="296">
        <f>INPUT!E44</f>
        <v>0</v>
      </c>
      <c r="F14" s="296">
        <f>INPUT!F44</f>
        <v>0</v>
      </c>
      <c r="G14" s="61"/>
    </row>
    <row r="15" spans="1:13" ht="15" customHeight="1" x14ac:dyDescent="0.35">
      <c r="A15" s="3"/>
      <c r="B15" s="17" t="s">
        <v>33</v>
      </c>
      <c r="C15" s="17"/>
      <c r="D15" s="17"/>
      <c r="E15" s="296">
        <f>INPUT!E51</f>
        <v>0</v>
      </c>
      <c r="F15" s="296">
        <f>INPUT!F51</f>
        <v>0</v>
      </c>
      <c r="G15" s="61"/>
    </row>
    <row r="16" spans="1:13" ht="15" customHeight="1" x14ac:dyDescent="0.35">
      <c r="A16" s="3"/>
      <c r="B16" s="17" t="s">
        <v>34</v>
      </c>
      <c r="C16" s="17"/>
      <c r="D16" s="17"/>
      <c r="E16" s="296">
        <f>INPUT!E54</f>
        <v>0</v>
      </c>
      <c r="F16" s="296">
        <f>INPUT!F54</f>
        <v>0</v>
      </c>
      <c r="G16" s="61"/>
    </row>
    <row r="17" spans="1:13" ht="15" customHeight="1" x14ac:dyDescent="0.35">
      <c r="A17" s="3"/>
      <c r="B17" s="17" t="s">
        <v>16</v>
      </c>
      <c r="C17" s="17"/>
      <c r="D17" s="17"/>
      <c r="E17" s="296">
        <f>INPUT!E26</f>
        <v>0</v>
      </c>
      <c r="F17" s="296">
        <f>INPUT!F26</f>
        <v>0</v>
      </c>
      <c r="G17" s="61"/>
    </row>
    <row r="18" spans="1:13" ht="15" customHeight="1" x14ac:dyDescent="0.35">
      <c r="A18" s="3"/>
      <c r="B18" s="17" t="s">
        <v>166</v>
      </c>
      <c r="C18" s="17"/>
      <c r="D18" s="17"/>
      <c r="E18" s="296">
        <f>INPUT!E75</f>
        <v>0</v>
      </c>
      <c r="F18" s="296">
        <f>INPUT!F75</f>
        <v>0</v>
      </c>
      <c r="G18" s="61"/>
    </row>
    <row r="19" spans="1:13" ht="15" customHeight="1" x14ac:dyDescent="0.35">
      <c r="A19" s="3"/>
      <c r="B19" s="17" t="s">
        <v>10</v>
      </c>
      <c r="C19" s="17"/>
      <c r="D19" s="17"/>
      <c r="E19" s="296">
        <f>INPUT!E16</f>
        <v>0</v>
      </c>
      <c r="F19" s="296">
        <f>INPUT!F16</f>
        <v>0</v>
      </c>
      <c r="G19" s="61"/>
    </row>
    <row r="20" spans="1:13" ht="15" customHeight="1" x14ac:dyDescent="0.35">
      <c r="A20" s="3"/>
      <c r="B20" s="17" t="s">
        <v>167</v>
      </c>
      <c r="C20" s="17"/>
      <c r="D20" s="17"/>
      <c r="E20" s="297">
        <f>ABS(INPUT!E14)</f>
        <v>0</v>
      </c>
      <c r="F20" s="297">
        <f>ABS(INPUT!F14)</f>
        <v>0</v>
      </c>
      <c r="G20" s="61"/>
    </row>
    <row r="21" spans="1:13" ht="15" customHeight="1" x14ac:dyDescent="0.35">
      <c r="A21" s="3"/>
      <c r="B21" s="14"/>
      <c r="C21" s="14"/>
      <c r="D21" s="61"/>
      <c r="E21" s="61"/>
      <c r="F21" s="61"/>
    </row>
    <row r="22" spans="1:13" ht="18" customHeight="1" x14ac:dyDescent="0.5">
      <c r="A22" s="7" t="s">
        <v>343</v>
      </c>
      <c r="B22" s="53" t="s">
        <v>168</v>
      </c>
      <c r="C22" s="53"/>
      <c r="D22" s="23"/>
      <c r="E22" s="23"/>
      <c r="F22" s="23"/>
      <c r="G22" s="47"/>
      <c r="H22" s="47"/>
      <c r="I22" s="47"/>
      <c r="J22" s="47"/>
      <c r="K22" s="47"/>
      <c r="L22" s="47"/>
      <c r="M22" s="47"/>
    </row>
    <row r="23" spans="1:13" ht="18" customHeight="1" x14ac:dyDescent="0.5">
      <c r="A23" s="126"/>
      <c r="B23" s="139"/>
      <c r="C23" s="139"/>
      <c r="D23" s="123"/>
      <c r="E23" s="123"/>
      <c r="F23" s="123"/>
      <c r="G23" s="108"/>
      <c r="H23" s="108"/>
      <c r="I23" s="108"/>
      <c r="J23" s="108"/>
      <c r="K23" s="108"/>
      <c r="L23" s="108"/>
      <c r="M23" s="108"/>
    </row>
    <row r="24" spans="1:13" ht="15" customHeight="1" x14ac:dyDescent="0.35">
      <c r="A24" s="3"/>
      <c r="B24" s="17" t="s">
        <v>169</v>
      </c>
      <c r="C24" s="17"/>
      <c r="D24" s="421"/>
      <c r="E24" s="421"/>
      <c r="F24" s="298" t="str">
        <f>IFERROR((INPUT!F35/INPUT!F9)/(INPUT!E35/INPUT!E9),"–")</f>
        <v>–</v>
      </c>
    </row>
    <row r="25" spans="1:13" ht="15" customHeight="1" x14ac:dyDescent="0.35">
      <c r="A25" s="3"/>
      <c r="B25" s="17" t="s">
        <v>170</v>
      </c>
      <c r="C25" s="17"/>
      <c r="D25" s="421"/>
      <c r="E25" s="421"/>
      <c r="F25" s="298" t="str">
        <f>IFERROR((E11/E9)/(F11/F9),"–")</f>
        <v>–</v>
      </c>
    </row>
    <row r="26" spans="1:13" ht="15" customHeight="1" x14ac:dyDescent="0.35">
      <c r="A26" s="3"/>
      <c r="B26" s="17" t="s">
        <v>171</v>
      </c>
      <c r="C26" s="17"/>
      <c r="D26" s="421"/>
      <c r="E26" s="421"/>
      <c r="F26" s="298" t="str">
        <f>IFERROR((1-(F12+F13)/F14)/(1-(E12+E13)/E14),"–")</f>
        <v>–</v>
      </c>
    </row>
    <row r="27" spans="1:13" ht="15" customHeight="1" x14ac:dyDescent="0.35">
      <c r="A27" s="3"/>
      <c r="B27" s="17" t="s">
        <v>172</v>
      </c>
      <c r="C27" s="17"/>
      <c r="D27" s="421"/>
      <c r="E27" s="421"/>
      <c r="F27" s="298" t="str">
        <f>IFERROR(F9/E9,"–")</f>
        <v>–</v>
      </c>
    </row>
    <row r="28" spans="1:13" ht="15" customHeight="1" x14ac:dyDescent="0.35">
      <c r="A28" s="3"/>
      <c r="B28" s="17" t="s">
        <v>173</v>
      </c>
      <c r="C28" s="17"/>
      <c r="D28" s="421"/>
      <c r="E28" s="421"/>
      <c r="F28" s="298" t="str">
        <f>IFERROR((E19/(E19+E13))/(F19/(F19+F13)),"–")</f>
        <v>–</v>
      </c>
    </row>
    <row r="29" spans="1:13" ht="15" customHeight="1" x14ac:dyDescent="0.35">
      <c r="A29" s="3"/>
      <c r="B29" s="17" t="s">
        <v>174</v>
      </c>
      <c r="C29" s="17"/>
      <c r="D29" s="421"/>
      <c r="E29" s="421"/>
      <c r="F29" s="298" t="str">
        <f>IFERROR((F20/F9)/(E20/E9),"–")</f>
        <v>–</v>
      </c>
    </row>
    <row r="30" spans="1:13" ht="15" customHeight="1" x14ac:dyDescent="0.35">
      <c r="A30" s="3"/>
      <c r="B30" s="17" t="s">
        <v>175</v>
      </c>
      <c r="C30" s="17"/>
      <c r="D30" s="421"/>
      <c r="E30" s="421"/>
      <c r="F30" s="298" t="str">
        <f>IFERROR((F17-F18)/F14,"–")</f>
        <v>–</v>
      </c>
    </row>
    <row r="31" spans="1:13" ht="15" customHeight="1" x14ac:dyDescent="0.35">
      <c r="A31" s="3"/>
      <c r="B31" s="17" t="s">
        <v>176</v>
      </c>
      <c r="C31" s="17"/>
      <c r="D31" s="421"/>
      <c r="E31" s="421"/>
      <c r="F31" s="299" t="str">
        <f>IFERROR(((F16+F15)/F14)/((E16+E15)/E14),"–")</f>
        <v>–</v>
      </c>
    </row>
    <row r="32" spans="1:13" ht="15" customHeight="1" x14ac:dyDescent="0.35">
      <c r="A32" s="3"/>
      <c r="B32" s="14"/>
      <c r="C32" s="14"/>
      <c r="D32" s="61"/>
      <c r="E32" s="61"/>
      <c r="F32" s="61"/>
    </row>
    <row r="33" spans="1:13" ht="18" customHeight="1" x14ac:dyDescent="0.5">
      <c r="A33" s="7" t="s">
        <v>343</v>
      </c>
      <c r="B33" s="53" t="s">
        <v>177</v>
      </c>
      <c r="C33" s="53"/>
      <c r="D33" s="23"/>
      <c r="E33" s="23"/>
      <c r="F33" s="23"/>
      <c r="G33" s="47"/>
      <c r="H33" s="47"/>
      <c r="I33" s="47"/>
      <c r="J33" s="47"/>
      <c r="K33" s="47"/>
      <c r="L33" s="47"/>
      <c r="M33" s="47"/>
    </row>
    <row r="34" spans="1:13" ht="18" customHeight="1" x14ac:dyDescent="0.5">
      <c r="A34" s="126"/>
      <c r="B34" s="139"/>
      <c r="C34" s="139"/>
      <c r="D34" s="123"/>
      <c r="E34" s="123"/>
      <c r="F34" s="123"/>
      <c r="G34" s="108"/>
      <c r="H34" s="108"/>
      <c r="I34" s="108"/>
      <c r="J34" s="108"/>
      <c r="K34" s="108"/>
      <c r="L34" s="108"/>
      <c r="M34" s="108"/>
    </row>
    <row r="35" spans="1:13" ht="15" customHeight="1" x14ac:dyDescent="0.35">
      <c r="A35" s="3"/>
      <c r="B35" s="17" t="s">
        <v>178</v>
      </c>
      <c r="C35" s="17"/>
      <c r="D35" s="421"/>
      <c r="E35" s="421"/>
      <c r="F35" s="298">
        <f>-4.84</f>
        <v>-4.84</v>
      </c>
    </row>
    <row r="36" spans="1:13" ht="15" customHeight="1" x14ac:dyDescent="0.35">
      <c r="A36" s="3"/>
      <c r="B36" s="17" t="s">
        <v>179</v>
      </c>
      <c r="C36" s="17"/>
      <c r="D36" s="421"/>
      <c r="E36" s="421"/>
      <c r="F36" s="298" t="str">
        <f>IFERROR(0.92*F24,"–")</f>
        <v>–</v>
      </c>
    </row>
    <row r="37" spans="1:13" ht="15" customHeight="1" x14ac:dyDescent="0.35">
      <c r="A37" s="3"/>
      <c r="B37" s="17" t="s">
        <v>180</v>
      </c>
      <c r="C37" s="17"/>
      <c r="D37" s="421"/>
      <c r="E37" s="421"/>
      <c r="F37" s="298" t="str">
        <f>IFERROR(0.528*F25,"–")</f>
        <v>–</v>
      </c>
    </row>
    <row r="38" spans="1:13" ht="15" customHeight="1" x14ac:dyDescent="0.35">
      <c r="A38" s="3"/>
      <c r="B38" s="17" t="s">
        <v>181</v>
      </c>
      <c r="C38" s="17"/>
      <c r="D38" s="421"/>
      <c r="E38" s="421"/>
      <c r="F38" s="298" t="str">
        <f>IFERROR(0.404*F26,"–")</f>
        <v>–</v>
      </c>
    </row>
    <row r="39" spans="1:13" ht="15" customHeight="1" x14ac:dyDescent="0.35">
      <c r="A39" s="3"/>
      <c r="B39" s="17" t="s">
        <v>182</v>
      </c>
      <c r="C39" s="17"/>
      <c r="D39" s="421"/>
      <c r="E39" s="421"/>
      <c r="F39" s="298" t="str">
        <f>IFERROR(0.892*F27,"–")</f>
        <v>–</v>
      </c>
    </row>
    <row r="40" spans="1:13" ht="15" customHeight="1" x14ac:dyDescent="0.35">
      <c r="A40" s="3"/>
      <c r="B40" s="17" t="s">
        <v>183</v>
      </c>
      <c r="C40" s="17"/>
      <c r="D40" s="421"/>
      <c r="E40" s="421"/>
      <c r="F40" s="298" t="str">
        <f>IFERROR(0.115*F28,"–")</f>
        <v>–</v>
      </c>
    </row>
    <row r="41" spans="1:13" ht="15" customHeight="1" x14ac:dyDescent="0.35">
      <c r="A41" s="3"/>
      <c r="B41" s="17" t="s">
        <v>184</v>
      </c>
      <c r="C41" s="17"/>
      <c r="D41" s="421"/>
      <c r="E41" s="421"/>
      <c r="F41" s="298" t="str">
        <f>IFERROR(-0.172*F29,"–")</f>
        <v>–</v>
      </c>
    </row>
    <row r="42" spans="1:13" ht="15" customHeight="1" x14ac:dyDescent="0.35">
      <c r="A42" s="3"/>
      <c r="B42" s="17" t="s">
        <v>185</v>
      </c>
      <c r="C42" s="17"/>
      <c r="D42" s="421"/>
      <c r="E42" s="421"/>
      <c r="F42" s="298" t="str">
        <f>IFERROR(4.679*F30,"–")</f>
        <v>–</v>
      </c>
    </row>
    <row r="43" spans="1:13" ht="15" customHeight="1" x14ac:dyDescent="0.35">
      <c r="A43" s="3"/>
      <c r="B43" s="17" t="s">
        <v>186</v>
      </c>
      <c r="C43" s="17"/>
      <c r="D43" s="421"/>
      <c r="E43" s="421"/>
      <c r="F43" s="299" t="str">
        <f>IFERROR(-0.327*F31,"–")</f>
        <v>–</v>
      </c>
    </row>
    <row r="44" spans="1:13" ht="15" customHeight="1" x14ac:dyDescent="0.35">
      <c r="A44" s="3"/>
      <c r="B44" s="14"/>
      <c r="C44" s="14"/>
      <c r="D44" s="61"/>
      <c r="E44" s="61"/>
      <c r="F44" s="61"/>
    </row>
    <row r="45" spans="1:13" ht="18" customHeight="1" x14ac:dyDescent="0.5">
      <c r="A45" s="7" t="s">
        <v>343</v>
      </c>
      <c r="B45" s="70" t="s">
        <v>187</v>
      </c>
      <c r="C45" s="70"/>
      <c r="D45" s="422"/>
      <c r="E45" s="422"/>
      <c r="F45" s="300" t="str">
        <f>IFERROR(F35+F36+F37+F38+F39+F40+F41+F42+F43,"–")</f>
        <v>–</v>
      </c>
      <c r="G45" s="47"/>
      <c r="H45" s="47"/>
      <c r="I45" s="47"/>
      <c r="J45" s="47"/>
      <c r="K45" s="47"/>
      <c r="L45" s="47"/>
      <c r="M45" s="47"/>
    </row>
    <row r="46" spans="1:13" ht="15" customHeight="1" x14ac:dyDescent="0.35">
      <c r="A46" s="3"/>
      <c r="B46" s="14"/>
      <c r="C46" s="14"/>
      <c r="D46" s="59"/>
      <c r="E46" s="59"/>
      <c r="F46" s="22"/>
    </row>
    <row r="47" spans="1:13" ht="18" customHeight="1" x14ac:dyDescent="0.5">
      <c r="A47" s="7" t="s">
        <v>343</v>
      </c>
      <c r="B47" s="53" t="s">
        <v>188</v>
      </c>
      <c r="C47" s="53"/>
      <c r="D47" s="97"/>
      <c r="E47" s="97"/>
      <c r="F47" s="23"/>
      <c r="G47" s="47"/>
      <c r="H47" s="47"/>
      <c r="I47" s="47"/>
      <c r="J47" s="47"/>
      <c r="K47" s="47"/>
      <c r="L47" s="47"/>
      <c r="M47" s="47"/>
    </row>
    <row r="48" spans="1:13" ht="15" customHeight="1" x14ac:dyDescent="0.35">
      <c r="A48" s="3"/>
      <c r="B48" s="14" t="s">
        <v>189</v>
      </c>
      <c r="C48" s="14"/>
      <c r="D48" s="420"/>
      <c r="E48" s="420"/>
      <c r="F48" s="301" t="str">
        <f>IF(ISNUMBER(F45),IF(F45&gt;-2.22,"⚠ POSSIBLE MANIPULATOR (M &gt; -2.22)","✓ NOT LIKELY MANIPULATOR (M ≤ -2.22)"),"–")</f>
        <v>–</v>
      </c>
    </row>
    <row r="49" spans="1:13" ht="15" customHeight="1" x14ac:dyDescent="0.35">
      <c r="A49" s="3"/>
      <c r="B49" s="14"/>
      <c r="C49" s="14"/>
      <c r="D49" s="22"/>
      <c r="E49" s="22"/>
      <c r="F49" s="22"/>
    </row>
    <row r="50" spans="1:13" ht="15" customHeight="1" x14ac:dyDescent="0.35">
      <c r="A50" s="3"/>
      <c r="B50" s="62" t="s">
        <v>190</v>
      </c>
      <c r="C50" s="62"/>
      <c r="D50" s="61"/>
      <c r="E50" s="61"/>
      <c r="F50" s="61"/>
    </row>
    <row r="51" spans="1:13" ht="15" customHeight="1" x14ac:dyDescent="0.35">
      <c r="A51" s="3"/>
      <c r="B51" s="63" t="s">
        <v>191</v>
      </c>
      <c r="C51" s="63"/>
      <c r="D51" s="61"/>
      <c r="E51" s="61"/>
      <c r="F51" s="61"/>
    </row>
    <row r="52" spans="1:13" ht="15" customHeight="1" x14ac:dyDescent="0.35">
      <c r="A52" s="3"/>
      <c r="B52" s="14"/>
      <c r="C52" s="14"/>
      <c r="D52" s="22"/>
      <c r="E52" s="22"/>
      <c r="F52" s="22"/>
    </row>
    <row r="53" spans="1:13" ht="15" customHeight="1" x14ac:dyDescent="0.35">
      <c r="A53" s="3"/>
      <c r="B53" s="18" t="s">
        <v>192</v>
      </c>
      <c r="C53" s="18"/>
      <c r="D53" s="22"/>
      <c r="E53" s="22"/>
      <c r="F53" s="22"/>
    </row>
    <row r="54" spans="1:13" ht="15" customHeight="1" x14ac:dyDescent="0.35">
      <c r="A54" s="3"/>
      <c r="B54" s="14"/>
      <c r="C54" s="14"/>
      <c r="D54" s="22"/>
      <c r="E54" s="22"/>
      <c r="F54" s="22"/>
    </row>
    <row r="55" spans="1:13" ht="15" customHeight="1" x14ac:dyDescent="0.35">
      <c r="A55" s="4"/>
      <c r="B55" s="33" t="s">
        <v>339</v>
      </c>
      <c r="C55" s="33"/>
      <c r="D55" s="34"/>
      <c r="E55" s="34"/>
      <c r="F55" s="34"/>
      <c r="G55" s="34"/>
      <c r="H55" s="34"/>
      <c r="I55" s="34"/>
      <c r="J55" s="34"/>
      <c r="K55" s="34"/>
      <c r="L55" s="34"/>
      <c r="M55" s="34"/>
    </row>
    <row r="56" spans="1:13" ht="15" customHeight="1" x14ac:dyDescent="0.35">
      <c r="A56" s="4"/>
      <c r="B56" s="33" t="s">
        <v>86</v>
      </c>
      <c r="C56" s="33"/>
      <c r="D56" s="34"/>
      <c r="E56" s="34"/>
      <c r="F56" s="34"/>
      <c r="G56" s="34"/>
      <c r="H56" s="34"/>
      <c r="I56" s="34"/>
      <c r="J56" s="34"/>
      <c r="K56" s="34"/>
      <c r="L56" s="34"/>
      <c r="M56" s="34"/>
    </row>
    <row r="57" spans="1:13" ht="15" customHeight="1" x14ac:dyDescent="0.35">
      <c r="A57" s="4"/>
      <c r="B57" s="33" t="s">
        <v>340</v>
      </c>
      <c r="C57" s="33"/>
      <c r="D57" s="34"/>
      <c r="E57" s="34"/>
      <c r="F57" s="34"/>
      <c r="G57" s="34"/>
      <c r="H57" s="34"/>
      <c r="I57" s="34"/>
      <c r="J57" s="34"/>
      <c r="K57" s="34"/>
      <c r="L57" s="34"/>
      <c r="M57" s="34"/>
    </row>
    <row r="58" spans="1:13" ht="15" customHeight="1" x14ac:dyDescent="0.3">
      <c r="B58" s="51"/>
      <c r="C58" s="51"/>
    </row>
    <row r="59" spans="1:13" ht="15" customHeight="1" x14ac:dyDescent="0.3">
      <c r="B59" s="51"/>
      <c r="C59" s="51"/>
    </row>
    <row r="60" spans="1:13" ht="15" customHeight="1" x14ac:dyDescent="0.3">
      <c r="B60" s="51"/>
      <c r="C60" s="51"/>
    </row>
    <row r="61" spans="1:13" ht="15" customHeight="1" x14ac:dyDescent="0.3">
      <c r="B61" s="51"/>
      <c r="C61" s="51"/>
    </row>
    <row r="62" spans="1:13" ht="15" customHeight="1" x14ac:dyDescent="0.3">
      <c r="B62" s="51"/>
      <c r="C62" s="51"/>
    </row>
    <row r="63" spans="1:13" ht="15" customHeight="1" x14ac:dyDescent="0.3">
      <c r="B63" s="51"/>
      <c r="C63" s="51"/>
    </row>
    <row r="64" spans="1:13" ht="15" customHeight="1" x14ac:dyDescent="0.3">
      <c r="B64" s="51"/>
      <c r="C64" s="51"/>
    </row>
    <row r="65" spans="2:3" ht="15" customHeight="1" x14ac:dyDescent="0.3">
      <c r="B65" s="51"/>
      <c r="C65" s="51"/>
    </row>
    <row r="66" spans="2:3" ht="15" customHeight="1" x14ac:dyDescent="0.3">
      <c r="B66" s="51"/>
      <c r="C66" s="51"/>
    </row>
    <row r="67" spans="2:3" ht="15" customHeight="1" x14ac:dyDescent="0.3">
      <c r="B67" s="51"/>
      <c r="C67" s="51"/>
    </row>
    <row r="68" spans="2:3" ht="15" customHeight="1" x14ac:dyDescent="0.3">
      <c r="B68" s="51"/>
      <c r="C68" s="51"/>
    </row>
    <row r="69" spans="2:3" ht="15" customHeight="1" x14ac:dyDescent="0.3">
      <c r="B69" s="51"/>
      <c r="C69" s="51"/>
    </row>
    <row r="70" spans="2:3" ht="15" customHeight="1" x14ac:dyDescent="0.3">
      <c r="B70" s="51"/>
      <c r="C70" s="51"/>
    </row>
    <row r="71" spans="2:3" ht="15" customHeight="1" x14ac:dyDescent="0.3">
      <c r="B71" s="51"/>
      <c r="C71" s="51"/>
    </row>
    <row r="72" spans="2:3" ht="15" customHeight="1" x14ac:dyDescent="0.3">
      <c r="B72" s="51"/>
      <c r="C72" s="51"/>
    </row>
    <row r="73" spans="2:3" ht="15" customHeight="1" x14ac:dyDescent="0.3">
      <c r="B73" s="51"/>
      <c r="C73" s="51"/>
    </row>
    <row r="74" spans="2:3" ht="15" customHeight="1" x14ac:dyDescent="0.3">
      <c r="B74" s="51"/>
      <c r="C74" s="51"/>
    </row>
    <row r="75" spans="2:3" ht="15" customHeight="1" x14ac:dyDescent="0.3">
      <c r="B75" s="51"/>
      <c r="C75" s="51"/>
    </row>
    <row r="76" spans="2:3" ht="15" customHeight="1" x14ac:dyDescent="0.3">
      <c r="B76" s="51"/>
      <c r="C76" s="51"/>
    </row>
    <row r="77" spans="2:3" ht="15" customHeight="1" x14ac:dyDescent="0.3">
      <c r="B77" s="51"/>
      <c r="C77" s="51"/>
    </row>
    <row r="78" spans="2:3" ht="15" customHeight="1" x14ac:dyDescent="0.3">
      <c r="B78" s="51"/>
      <c r="C78" s="51"/>
    </row>
    <row r="79" spans="2:3" ht="15" customHeight="1" x14ac:dyDescent="0.3">
      <c r="B79" s="51"/>
      <c r="C79" s="51"/>
    </row>
    <row r="80" spans="2:3" ht="15" customHeight="1" x14ac:dyDescent="0.3">
      <c r="B80" s="51"/>
      <c r="C80" s="51"/>
    </row>
    <row r="81" spans="2:3" ht="15" customHeight="1" x14ac:dyDescent="0.3">
      <c r="B81" s="51"/>
      <c r="C81" s="51"/>
    </row>
    <row r="82" spans="2:3" ht="15" customHeight="1" x14ac:dyDescent="0.3">
      <c r="B82" s="51"/>
      <c r="C82" s="51"/>
    </row>
    <row r="83" spans="2:3" ht="15" customHeight="1" x14ac:dyDescent="0.3">
      <c r="B83" s="51"/>
      <c r="C83" s="51"/>
    </row>
    <row r="84" spans="2:3" ht="15" customHeight="1" x14ac:dyDescent="0.3">
      <c r="B84" s="51"/>
      <c r="C84" s="51"/>
    </row>
    <row r="85" spans="2:3" ht="15" customHeight="1" x14ac:dyDescent="0.3">
      <c r="B85" s="51"/>
      <c r="C85" s="51"/>
    </row>
    <row r="86" spans="2:3" ht="15" customHeight="1" x14ac:dyDescent="0.3">
      <c r="B86" s="51"/>
      <c r="C86" s="51"/>
    </row>
    <row r="87" spans="2:3" ht="15" customHeight="1" x14ac:dyDescent="0.3">
      <c r="B87" s="51"/>
      <c r="C87" s="51"/>
    </row>
    <row r="88" spans="2:3" ht="15" customHeight="1" x14ac:dyDescent="0.3">
      <c r="B88" s="51"/>
      <c r="C88" s="51"/>
    </row>
    <row r="89" spans="2:3" ht="15" customHeight="1" x14ac:dyDescent="0.3">
      <c r="B89" s="51"/>
      <c r="C89" s="51"/>
    </row>
    <row r="90" spans="2:3" ht="15" customHeight="1" x14ac:dyDescent="0.3">
      <c r="B90" s="51"/>
      <c r="C90" s="51"/>
    </row>
    <row r="91" spans="2:3" ht="15" customHeight="1" x14ac:dyDescent="0.3">
      <c r="B91" s="51"/>
      <c r="C91" s="51"/>
    </row>
    <row r="92" spans="2:3" ht="15" customHeight="1" x14ac:dyDescent="0.3">
      <c r="B92" s="51"/>
      <c r="C92" s="51"/>
    </row>
    <row r="93" spans="2:3" ht="15" customHeight="1" x14ac:dyDescent="0.3">
      <c r="B93" s="51"/>
      <c r="C93" s="51"/>
    </row>
    <row r="94" spans="2:3" ht="15" customHeight="1" x14ac:dyDescent="0.3">
      <c r="B94" s="51"/>
      <c r="C94" s="51"/>
    </row>
    <row r="95" spans="2:3" ht="15" customHeight="1" x14ac:dyDescent="0.3">
      <c r="B95" s="51"/>
      <c r="C95" s="51"/>
    </row>
    <row r="96" spans="2:3" ht="15" customHeight="1" x14ac:dyDescent="0.3">
      <c r="B96" s="51"/>
      <c r="C96" s="51"/>
    </row>
    <row r="97" spans="2:3" ht="15" customHeight="1" x14ac:dyDescent="0.3">
      <c r="B97" s="51"/>
      <c r="C97" s="51"/>
    </row>
    <row r="98" spans="2:3" ht="15" customHeight="1" x14ac:dyDescent="0.3">
      <c r="B98" s="51"/>
      <c r="C98" s="51"/>
    </row>
    <row r="99" spans="2:3" ht="15" customHeight="1" x14ac:dyDescent="0.3">
      <c r="B99" s="51"/>
      <c r="C99" s="51"/>
    </row>
    <row r="100" spans="2:3" ht="15" customHeight="1" x14ac:dyDescent="0.3">
      <c r="B100" s="51"/>
      <c r="C100" s="51"/>
    </row>
    <row r="101" spans="2:3" ht="15" customHeight="1" x14ac:dyDescent="0.3">
      <c r="B101" s="51"/>
      <c r="C101" s="51"/>
    </row>
    <row r="102" spans="2:3" ht="15" customHeight="1" x14ac:dyDescent="0.3">
      <c r="B102" s="51"/>
      <c r="C102" s="51"/>
    </row>
    <row r="103" spans="2:3" ht="15" customHeight="1" x14ac:dyDescent="0.3">
      <c r="B103" s="51"/>
      <c r="C103" s="51"/>
    </row>
    <row r="104" spans="2:3" ht="15" customHeight="1" x14ac:dyDescent="0.3">
      <c r="B104" s="51"/>
      <c r="C104" s="51"/>
    </row>
    <row r="105" spans="2:3" ht="15" customHeight="1" x14ac:dyDescent="0.3">
      <c r="B105" s="51"/>
      <c r="C105" s="51"/>
    </row>
    <row r="106" spans="2:3" ht="15" customHeight="1" x14ac:dyDescent="0.3">
      <c r="B106" s="51"/>
      <c r="C106" s="51"/>
    </row>
    <row r="107" spans="2:3" ht="15" customHeight="1" x14ac:dyDescent="0.3">
      <c r="B107" s="51"/>
      <c r="C107" s="51"/>
    </row>
    <row r="108" spans="2:3" ht="15" customHeight="1" x14ac:dyDescent="0.3">
      <c r="B108" s="51"/>
      <c r="C108" s="51"/>
    </row>
    <row r="109" spans="2:3" ht="15" customHeight="1" x14ac:dyDescent="0.3">
      <c r="B109" s="51"/>
      <c r="C109" s="51"/>
    </row>
    <row r="110" spans="2:3" ht="15" customHeight="1" x14ac:dyDescent="0.3">
      <c r="B110" s="51"/>
      <c r="C110" s="51"/>
    </row>
    <row r="111" spans="2:3" ht="15" customHeight="1" x14ac:dyDescent="0.3">
      <c r="B111" s="51"/>
      <c r="C111" s="51"/>
    </row>
    <row r="112" spans="2:3" ht="15" customHeight="1" x14ac:dyDescent="0.3">
      <c r="B112" s="51"/>
      <c r="C112" s="51"/>
    </row>
    <row r="113" spans="2:3" ht="15" customHeight="1" x14ac:dyDescent="0.3">
      <c r="B113" s="51"/>
      <c r="C113" s="51"/>
    </row>
    <row r="114" spans="2:3" ht="15" customHeight="1" x14ac:dyDescent="0.3">
      <c r="B114" s="51"/>
      <c r="C114" s="51"/>
    </row>
    <row r="115" spans="2:3" ht="15" customHeight="1" x14ac:dyDescent="0.3">
      <c r="B115" s="51"/>
      <c r="C115" s="51"/>
    </row>
    <row r="116" spans="2:3" ht="15" customHeight="1" x14ac:dyDescent="0.3">
      <c r="B116" s="51"/>
      <c r="C116" s="51"/>
    </row>
    <row r="117" spans="2:3" ht="15" customHeight="1" x14ac:dyDescent="0.3">
      <c r="B117" s="51"/>
      <c r="C117" s="51"/>
    </row>
    <row r="118" spans="2:3" ht="15" customHeight="1" x14ac:dyDescent="0.3">
      <c r="B118" s="51"/>
      <c r="C118" s="51"/>
    </row>
    <row r="119" spans="2:3" ht="15" customHeight="1" x14ac:dyDescent="0.3">
      <c r="B119" s="51"/>
      <c r="C119" s="51"/>
    </row>
    <row r="120" spans="2:3" ht="15" customHeight="1" x14ac:dyDescent="0.3">
      <c r="B120" s="51"/>
      <c r="C120" s="51"/>
    </row>
    <row r="121" spans="2:3" ht="15" customHeight="1" x14ac:dyDescent="0.3">
      <c r="B121" s="51"/>
      <c r="C121" s="51"/>
    </row>
    <row r="122" spans="2:3" ht="15" customHeight="1" x14ac:dyDescent="0.3">
      <c r="B122" s="51"/>
      <c r="C122" s="51"/>
    </row>
    <row r="123" spans="2:3" ht="15" customHeight="1" x14ac:dyDescent="0.3">
      <c r="B123" s="51"/>
      <c r="C123" s="51"/>
    </row>
  </sheetData>
  <mergeCells count="19">
    <mergeCell ref="D38:E38"/>
    <mergeCell ref="D24:E24"/>
    <mergeCell ref="D25:E25"/>
    <mergeCell ref="D26:E26"/>
    <mergeCell ref="D27:E27"/>
    <mergeCell ref="D28:E28"/>
    <mergeCell ref="D29:E29"/>
    <mergeCell ref="D30:E30"/>
    <mergeCell ref="D31:E31"/>
    <mergeCell ref="D35:E35"/>
    <mergeCell ref="D36:E36"/>
    <mergeCell ref="D37:E37"/>
    <mergeCell ref="D48:E48"/>
    <mergeCell ref="D39:E39"/>
    <mergeCell ref="D40:E40"/>
    <mergeCell ref="D41:E41"/>
    <mergeCell ref="D42:E42"/>
    <mergeCell ref="D43:E43"/>
    <mergeCell ref="D45:E45"/>
  </mergeCells>
  <printOptions horizontalCentered="1"/>
  <pageMargins left="5.5555555555555558E-3" right="5.5555555555555558E-3" top="6.9444444444444441E-3" bottom="6.9444444444444441E-3" header="2.7777777777777779E-3" footer="2.7777777777777779E-3"/>
  <pageSetup paperSize="9" scale="84" fitToHeight="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19BC2567-E7BA-4A50-9E85-B10EF848C432}">
            <xm:f>INPUT!$G$128&lt;2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</x14:dxf>
          </x14:cfRule>
          <xm:sqref>D1:D57</xm:sqref>
        </x14:conditionalFormatting>
        <x14:conditionalFormatting xmlns:xm="http://schemas.microsoft.com/office/excel/2006/main">
          <x14:cfRule type="expression" priority="2" id="{51E0014F-9DCA-4EB1-902E-1C8F20C6F0DF}">
            <xm:f>INPUT!$F$128&lt;1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</x14:dxf>
          </x14:cfRule>
          <xm:sqref>E1:E57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65EDB-C7A5-4879-86DA-74924A6A2E09}">
  <sheetPr>
    <pageSetUpPr fitToPage="1"/>
  </sheetPr>
  <dimension ref="A1:N124"/>
  <sheetViews>
    <sheetView showGridLines="0" zoomScale="81" workbookViewId="0">
      <selection activeCell="Q120" sqref="Q120"/>
    </sheetView>
  </sheetViews>
  <sheetFormatPr baseColWidth="10" defaultRowHeight="14.4" x14ac:dyDescent="0.3"/>
  <cols>
    <col min="1" max="1" width="11" customWidth="1"/>
    <col min="2" max="2" width="49.5546875" style="19" customWidth="1"/>
    <col min="3" max="3" width="15.6640625" customWidth="1"/>
    <col min="4" max="14" width="11" style="21" customWidth="1"/>
  </cols>
  <sheetData>
    <row r="1" spans="1:14" ht="54.9" customHeight="1" x14ac:dyDescent="0.6">
      <c r="A1" s="6"/>
      <c r="B1" s="118" t="s">
        <v>346</v>
      </c>
      <c r="C1" s="5"/>
      <c r="D1" s="29"/>
      <c r="E1" s="29"/>
      <c r="F1" s="29"/>
      <c r="G1" s="29"/>
      <c r="H1" s="29"/>
      <c r="I1" s="29"/>
      <c r="J1" s="29"/>
      <c r="K1" s="117" t="s">
        <v>350</v>
      </c>
      <c r="L1" s="29"/>
      <c r="M1" s="29"/>
      <c r="N1" s="29"/>
    </row>
    <row r="2" spans="1:14" ht="15" customHeight="1" x14ac:dyDescent="0.35">
      <c r="A2" s="3"/>
      <c r="B2" s="14"/>
      <c r="C2" s="3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</row>
    <row r="3" spans="1:14" ht="18" customHeight="1" x14ac:dyDescent="0.5">
      <c r="A3" s="7" t="s">
        <v>343</v>
      </c>
      <c r="B3" s="15" t="s">
        <v>193</v>
      </c>
      <c r="C3" s="7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</row>
    <row r="4" spans="1:14" ht="15" customHeight="1" x14ac:dyDescent="0.35">
      <c r="A4" s="3" t="s">
        <v>343</v>
      </c>
      <c r="B4" s="12" t="s">
        <v>1</v>
      </c>
      <c r="C4" s="3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5" customHeight="1" x14ac:dyDescent="0.35">
      <c r="A5" s="1" t="s">
        <v>343</v>
      </c>
      <c r="B5" s="16" t="s">
        <v>2</v>
      </c>
      <c r="C5" s="1" t="s">
        <v>194</v>
      </c>
      <c r="D5" s="24" t="str">
        <f>INPUT!D5</f>
        <v/>
      </c>
      <c r="E5" s="24" t="str">
        <f>INPUT!E5</f>
        <v/>
      </c>
      <c r="F5" s="24" t="str">
        <f>INPUT!F5</f>
        <v/>
      </c>
      <c r="G5" s="24" t="str">
        <f>INPUT!G5</f>
        <v/>
      </c>
      <c r="H5" s="24" t="str">
        <f>INPUT!H5</f>
        <v/>
      </c>
      <c r="I5" s="24" t="str">
        <f>TEXT(INPUT!D117+1,"0")&amp;"F"</f>
        <v>1F</v>
      </c>
      <c r="J5" s="24" t="str">
        <f>TEXT(INPUT!D117+2,"0")&amp;"F"</f>
        <v>2F</v>
      </c>
      <c r="K5" s="24" t="str">
        <f>TEXT(INPUT!D117+3,"0")&amp;"F"</f>
        <v>3F</v>
      </c>
      <c r="L5" s="24" t="str">
        <f>TEXT(INPUT!D117+4,"0")&amp;"F"</f>
        <v>4F</v>
      </c>
      <c r="M5" s="24" t="str">
        <f>TEXT(INPUT!D117+5,"0")&amp;"F"</f>
        <v>5F</v>
      </c>
      <c r="N5" s="24" t="s">
        <v>195</v>
      </c>
    </row>
    <row r="6" spans="1:14" ht="15" customHeight="1" x14ac:dyDescent="0.35">
      <c r="A6" s="3"/>
      <c r="B6" s="14"/>
      <c r="C6" s="3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</row>
    <row r="7" spans="1:14" ht="18" customHeight="1" x14ac:dyDescent="0.5">
      <c r="A7" s="7" t="s">
        <v>343</v>
      </c>
      <c r="B7" s="15" t="s">
        <v>4</v>
      </c>
      <c r="C7" s="7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</row>
    <row r="8" spans="1:14" ht="18" customHeight="1" x14ac:dyDescent="0.5">
      <c r="A8" s="142"/>
      <c r="B8" s="143"/>
      <c r="C8" s="142"/>
      <c r="D8" s="144"/>
      <c r="E8" s="144"/>
      <c r="F8" s="144"/>
      <c r="G8" s="144"/>
      <c r="H8" s="144"/>
      <c r="I8" s="144"/>
      <c r="J8" s="144"/>
      <c r="K8" s="144"/>
      <c r="L8" s="144"/>
      <c r="M8" s="144"/>
      <c r="N8" s="144"/>
    </row>
    <row r="9" spans="1:14" ht="15" customHeight="1" x14ac:dyDescent="0.35">
      <c r="A9" s="3"/>
      <c r="B9" s="17" t="s">
        <v>5</v>
      </c>
      <c r="C9" s="8"/>
      <c r="D9" s="302">
        <f>INPUT!D9</f>
        <v>0</v>
      </c>
      <c r="E9" s="302">
        <f>INPUT!E9</f>
        <v>0</v>
      </c>
      <c r="F9" s="302">
        <f>INPUT!F9</f>
        <v>0</v>
      </c>
      <c r="G9" s="302">
        <f>INPUT!G9</f>
        <v>0</v>
      </c>
      <c r="H9" s="302">
        <f>INPUT!H9</f>
        <v>0</v>
      </c>
      <c r="I9" s="303">
        <f>H9*(1+$I$29)</f>
        <v>0</v>
      </c>
      <c r="J9" s="303">
        <f>I9*(1+$I$29)</f>
        <v>0</v>
      </c>
      <c r="K9" s="303">
        <f>J9*(1+$I$29)</f>
        <v>0</v>
      </c>
      <c r="L9" s="304">
        <f>K9*(1+$I$29)</f>
        <v>0</v>
      </c>
      <c r="M9" s="304">
        <f>L9*(1+$I$29)</f>
        <v>0</v>
      </c>
      <c r="N9" s="252"/>
    </row>
    <row r="10" spans="1:14" ht="15" customHeight="1" x14ac:dyDescent="0.35">
      <c r="A10" s="3"/>
      <c r="B10" s="17" t="s">
        <v>165</v>
      </c>
      <c r="C10" s="8"/>
      <c r="D10" s="305">
        <f>INPUT!D10</f>
        <v>0</v>
      </c>
      <c r="E10" s="305">
        <f>INPUT!E10</f>
        <v>0</v>
      </c>
      <c r="F10" s="305">
        <f>INPUT!F10</f>
        <v>0</v>
      </c>
      <c r="G10" s="306">
        <f>INPUT!G10</f>
        <v>0</v>
      </c>
      <c r="H10" s="306">
        <f>INPUT!H10</f>
        <v>0</v>
      </c>
      <c r="I10" s="306">
        <f>-I9*(1-$I$30)</f>
        <v>0</v>
      </c>
      <c r="J10" s="306">
        <f>-J9*(1-$I$30)</f>
        <v>0</v>
      </c>
      <c r="K10" s="306">
        <f>-K9*(1-$I$30)</f>
        <v>0</v>
      </c>
      <c r="L10" s="307">
        <f>-L9*(1-$I$30)</f>
        <v>0</v>
      </c>
      <c r="M10" s="307">
        <f>-M9*(1-$I$30)</f>
        <v>0</v>
      </c>
      <c r="N10" s="253"/>
    </row>
    <row r="11" spans="1:14" ht="15" customHeight="1" x14ac:dyDescent="0.35">
      <c r="A11" s="3"/>
      <c r="B11" s="58" t="s">
        <v>7</v>
      </c>
      <c r="C11" s="73"/>
      <c r="D11" s="308">
        <f t="shared" ref="D11:M11" si="0">SUM(D9:D10)</f>
        <v>0</v>
      </c>
      <c r="E11" s="308">
        <f t="shared" si="0"/>
        <v>0</v>
      </c>
      <c r="F11" s="308">
        <f t="shared" si="0"/>
        <v>0</v>
      </c>
      <c r="G11" s="283">
        <f t="shared" si="0"/>
        <v>0</v>
      </c>
      <c r="H11" s="283">
        <f t="shared" si="0"/>
        <v>0</v>
      </c>
      <c r="I11" s="283">
        <f t="shared" si="0"/>
        <v>0</v>
      </c>
      <c r="J11" s="283">
        <f t="shared" si="0"/>
        <v>0</v>
      </c>
      <c r="K11" s="283">
        <f t="shared" si="0"/>
        <v>0</v>
      </c>
      <c r="L11" s="309">
        <f t="shared" si="0"/>
        <v>0</v>
      </c>
      <c r="M11" s="309">
        <f t="shared" si="0"/>
        <v>0</v>
      </c>
      <c r="N11" s="254"/>
    </row>
    <row r="12" spans="1:14" ht="15" customHeight="1" x14ac:dyDescent="0.35">
      <c r="A12" s="147"/>
      <c r="B12" s="148"/>
      <c r="C12" s="149"/>
      <c r="D12" s="150"/>
      <c r="E12" s="150"/>
      <c r="F12" s="150"/>
      <c r="G12" s="150"/>
      <c r="H12" s="150"/>
      <c r="I12" s="150"/>
      <c r="J12" s="150"/>
      <c r="K12" s="150"/>
      <c r="L12" s="151"/>
      <c r="M12" s="151"/>
      <c r="N12" s="151"/>
    </row>
    <row r="13" spans="1:14" ht="15" customHeight="1" x14ac:dyDescent="0.35">
      <c r="A13" s="3"/>
      <c r="B13" s="17" t="s">
        <v>196</v>
      </c>
      <c r="C13" s="8"/>
      <c r="D13" s="302">
        <f>INPUT!D14</f>
        <v>0</v>
      </c>
      <c r="E13" s="302">
        <f>INPUT!E14</f>
        <v>0</v>
      </c>
      <c r="F13" s="302">
        <f>INPUT!F14</f>
        <v>0</v>
      </c>
      <c r="G13" s="303">
        <f>INPUT!G14</f>
        <v>0</v>
      </c>
      <c r="H13" s="303">
        <f>INPUT!H14</f>
        <v>0</v>
      </c>
      <c r="I13" s="303">
        <f>-I9*$I$31</f>
        <v>0</v>
      </c>
      <c r="J13" s="303">
        <f>-J9*$I$31</f>
        <v>0</v>
      </c>
      <c r="K13" s="303">
        <f>-K9*$I$31</f>
        <v>0</v>
      </c>
      <c r="L13" s="304">
        <f>-L9*$I$31</f>
        <v>0</v>
      </c>
      <c r="M13" s="304">
        <f>-M9*$I$31</f>
        <v>0</v>
      </c>
      <c r="N13" s="252"/>
    </row>
    <row r="14" spans="1:14" ht="15" customHeight="1" x14ac:dyDescent="0.35">
      <c r="A14" s="3"/>
      <c r="B14" s="17" t="s">
        <v>9</v>
      </c>
      <c r="C14" s="8"/>
      <c r="D14" s="305">
        <f>INPUT!D15</f>
        <v>0</v>
      </c>
      <c r="E14" s="305">
        <f>INPUT!E15</f>
        <v>0</v>
      </c>
      <c r="F14" s="305">
        <f>INPUT!F15</f>
        <v>0</v>
      </c>
      <c r="G14" s="306">
        <f>INPUT!G15</f>
        <v>0</v>
      </c>
      <c r="H14" s="306">
        <f>INPUT!H15</f>
        <v>0</v>
      </c>
      <c r="I14" s="306">
        <f>-I9*$I$32</f>
        <v>0</v>
      </c>
      <c r="J14" s="306">
        <f>-J9*$I$32</f>
        <v>0</v>
      </c>
      <c r="K14" s="306">
        <f>-K9*$I$32</f>
        <v>0</v>
      </c>
      <c r="L14" s="307">
        <f>-L9*$I$32</f>
        <v>0</v>
      </c>
      <c r="M14" s="307">
        <f>-M9*$I$32</f>
        <v>0</v>
      </c>
      <c r="N14" s="253"/>
    </row>
    <row r="15" spans="1:14" ht="15" customHeight="1" x14ac:dyDescent="0.35">
      <c r="A15" s="3"/>
      <c r="B15" s="58" t="s">
        <v>18</v>
      </c>
      <c r="C15" s="73"/>
      <c r="D15" s="308">
        <f>INPUT!D30</f>
        <v>0</v>
      </c>
      <c r="E15" s="308">
        <f>INPUT!E30</f>
        <v>0</v>
      </c>
      <c r="F15" s="308">
        <f>INPUT!F30</f>
        <v>0</v>
      </c>
      <c r="G15" s="283">
        <f>INPUT!G30</f>
        <v>0</v>
      </c>
      <c r="H15" s="283">
        <f>INPUT!H30</f>
        <v>0</v>
      </c>
      <c r="I15" s="283">
        <f>I11+I13+I14</f>
        <v>0</v>
      </c>
      <c r="J15" s="283">
        <f>J11+J13+J14</f>
        <v>0</v>
      </c>
      <c r="K15" s="283">
        <f>K11+K13+K14</f>
        <v>0</v>
      </c>
      <c r="L15" s="309">
        <f>L11+L13+L14</f>
        <v>0</v>
      </c>
      <c r="M15" s="309">
        <f>M11+M13+M14</f>
        <v>0</v>
      </c>
      <c r="N15" s="254"/>
    </row>
    <row r="16" spans="1:14" ht="15" customHeight="1" x14ac:dyDescent="0.35">
      <c r="A16" s="147"/>
      <c r="B16" s="148"/>
      <c r="C16" s="149"/>
      <c r="D16" s="150"/>
      <c r="E16" s="150"/>
      <c r="F16" s="150"/>
      <c r="G16" s="150"/>
      <c r="H16" s="150"/>
      <c r="I16" s="150"/>
      <c r="J16" s="150"/>
      <c r="K16" s="150"/>
      <c r="L16" s="151"/>
      <c r="M16" s="151"/>
      <c r="N16" s="151"/>
    </row>
    <row r="17" spans="1:14" ht="15" customHeight="1" x14ac:dyDescent="0.35">
      <c r="A17" s="3"/>
      <c r="B17" s="17" t="s">
        <v>10</v>
      </c>
      <c r="C17" s="8"/>
      <c r="D17" s="305">
        <f>INPUT!D16</f>
        <v>0</v>
      </c>
      <c r="E17" s="305">
        <f>INPUT!E16</f>
        <v>0</v>
      </c>
      <c r="F17" s="305">
        <f>INPUT!F16</f>
        <v>0</v>
      </c>
      <c r="G17" s="306">
        <f>INPUT!G16</f>
        <v>0</v>
      </c>
      <c r="H17" s="306">
        <f>INPUT!H16</f>
        <v>0</v>
      </c>
      <c r="I17" s="306">
        <f>-I9*$I$33</f>
        <v>0</v>
      </c>
      <c r="J17" s="306">
        <f>-J9*$I$33</f>
        <v>0</v>
      </c>
      <c r="K17" s="306">
        <f>-K9*$I$33</f>
        <v>0</v>
      </c>
      <c r="L17" s="307">
        <f>-L9*$I$33</f>
        <v>0</v>
      </c>
      <c r="M17" s="307">
        <f>-M9*$I$33</f>
        <v>0</v>
      </c>
      <c r="N17" s="253"/>
    </row>
    <row r="18" spans="1:14" ht="15" customHeight="1" x14ac:dyDescent="0.35">
      <c r="A18" s="3"/>
      <c r="B18" s="58" t="s">
        <v>11</v>
      </c>
      <c r="C18" s="73"/>
      <c r="D18" s="308">
        <f t="shared" ref="D18:M18" si="1">D15+D17</f>
        <v>0</v>
      </c>
      <c r="E18" s="308">
        <f t="shared" si="1"/>
        <v>0</v>
      </c>
      <c r="F18" s="308">
        <f t="shared" si="1"/>
        <v>0</v>
      </c>
      <c r="G18" s="283">
        <f t="shared" si="1"/>
        <v>0</v>
      </c>
      <c r="H18" s="283">
        <f t="shared" si="1"/>
        <v>0</v>
      </c>
      <c r="I18" s="283">
        <f t="shared" si="1"/>
        <v>0</v>
      </c>
      <c r="J18" s="283">
        <f t="shared" si="1"/>
        <v>0</v>
      </c>
      <c r="K18" s="283">
        <f t="shared" si="1"/>
        <v>0</v>
      </c>
      <c r="L18" s="309">
        <f t="shared" si="1"/>
        <v>0</v>
      </c>
      <c r="M18" s="309">
        <f t="shared" si="1"/>
        <v>0</v>
      </c>
      <c r="N18" s="254"/>
    </row>
    <row r="19" spans="1:14" ht="15" customHeight="1" x14ac:dyDescent="0.35">
      <c r="A19" s="147"/>
      <c r="B19" s="148"/>
      <c r="C19" s="149"/>
      <c r="D19" s="150"/>
      <c r="E19" s="150"/>
      <c r="F19" s="150"/>
      <c r="G19" s="150"/>
      <c r="H19" s="150"/>
      <c r="I19" s="150"/>
      <c r="J19" s="150"/>
      <c r="K19" s="150"/>
      <c r="L19" s="151"/>
      <c r="M19" s="151"/>
      <c r="N19" s="151"/>
    </row>
    <row r="20" spans="1:14" ht="15" customHeight="1" x14ac:dyDescent="0.35">
      <c r="A20" s="3"/>
      <c r="B20" s="17" t="s">
        <v>12</v>
      </c>
      <c r="C20" s="8"/>
      <c r="D20" s="305">
        <f>INPUT!D20</f>
        <v>0</v>
      </c>
      <c r="E20" s="305">
        <f>INPUT!E20</f>
        <v>0</v>
      </c>
      <c r="F20" s="305">
        <f>INPUT!F20</f>
        <v>0</v>
      </c>
      <c r="G20" s="306">
        <f>INPUT!G20</f>
        <v>0</v>
      </c>
      <c r="H20" s="306">
        <f>INPUT!H20</f>
        <v>0</v>
      </c>
      <c r="I20" s="306">
        <f>-I18*(INPUT!H103)/(1-$I$34)</f>
        <v>0</v>
      </c>
      <c r="J20" s="306">
        <f>-J18*(INPUT!H103)/(1-$I$34)</f>
        <v>0</v>
      </c>
      <c r="K20" s="306">
        <f>-K18*(INPUT!H103)/(1-$I$34)</f>
        <v>0</v>
      </c>
      <c r="L20" s="307">
        <f>-L18*(INPUT!H103)/(1-$I$34)</f>
        <v>0</v>
      </c>
      <c r="M20" s="307">
        <f>-M18*(INPUT!H103)/(1-$I$34)</f>
        <v>0</v>
      </c>
      <c r="N20" s="253"/>
    </row>
    <row r="21" spans="1:14" ht="15" customHeight="1" x14ac:dyDescent="0.35">
      <c r="A21" s="3"/>
      <c r="B21" s="58" t="s">
        <v>14</v>
      </c>
      <c r="C21" s="73"/>
      <c r="D21" s="308">
        <f t="shared" ref="D21:M21" si="2">D18+D20</f>
        <v>0</v>
      </c>
      <c r="E21" s="308">
        <f t="shared" si="2"/>
        <v>0</v>
      </c>
      <c r="F21" s="308">
        <f t="shared" si="2"/>
        <v>0</v>
      </c>
      <c r="G21" s="283">
        <f t="shared" si="2"/>
        <v>0</v>
      </c>
      <c r="H21" s="283">
        <f t="shared" si="2"/>
        <v>0</v>
      </c>
      <c r="I21" s="283">
        <f t="shared" si="2"/>
        <v>0</v>
      </c>
      <c r="J21" s="283">
        <f t="shared" si="2"/>
        <v>0</v>
      </c>
      <c r="K21" s="283">
        <f t="shared" si="2"/>
        <v>0</v>
      </c>
      <c r="L21" s="309">
        <f t="shared" si="2"/>
        <v>0</v>
      </c>
      <c r="M21" s="309">
        <f t="shared" si="2"/>
        <v>0</v>
      </c>
      <c r="N21" s="254"/>
    </row>
    <row r="22" spans="1:14" ht="15" customHeight="1" x14ac:dyDescent="0.35">
      <c r="A22" s="147"/>
      <c r="B22" s="148"/>
      <c r="C22" s="149"/>
      <c r="D22" s="150"/>
      <c r="E22" s="150"/>
      <c r="F22" s="150"/>
      <c r="G22" s="150"/>
      <c r="H22" s="150"/>
      <c r="I22" s="150"/>
      <c r="J22" s="150"/>
      <c r="K22" s="150"/>
      <c r="L22" s="151"/>
      <c r="M22" s="151"/>
      <c r="N22" s="151"/>
    </row>
    <row r="23" spans="1:14" ht="15" customHeight="1" x14ac:dyDescent="0.35">
      <c r="A23" s="3"/>
      <c r="B23" s="17" t="s">
        <v>197</v>
      </c>
      <c r="C23" s="8"/>
      <c r="D23" s="302">
        <f>INPUT!D24</f>
        <v>0</v>
      </c>
      <c r="E23" s="302">
        <f>INPUT!E24</f>
        <v>0</v>
      </c>
      <c r="F23" s="302">
        <f>INPUT!F24</f>
        <v>0</v>
      </c>
      <c r="G23" s="303">
        <f>INPUT!G24</f>
        <v>0</v>
      </c>
      <c r="H23" s="303">
        <f>INPUT!H24</f>
        <v>0</v>
      </c>
      <c r="I23" s="303">
        <f>-I21*$I$34</f>
        <v>0</v>
      </c>
      <c r="J23" s="303">
        <f>-J21*$I$34</f>
        <v>0</v>
      </c>
      <c r="K23" s="303">
        <f>-K21*$I$34</f>
        <v>0</v>
      </c>
      <c r="L23" s="304">
        <f>-L21*$I$34</f>
        <v>0</v>
      </c>
      <c r="M23" s="304">
        <f>-M21*$I$34</f>
        <v>0</v>
      </c>
      <c r="N23" s="252"/>
    </row>
    <row r="24" spans="1:14" ht="15" customHeight="1" thickBot="1" x14ac:dyDescent="0.4">
      <c r="A24" s="3"/>
      <c r="B24" s="58" t="s">
        <v>16</v>
      </c>
      <c r="C24" s="73"/>
      <c r="D24" s="310">
        <f t="shared" ref="D24:M24" si="3">D21+D23</f>
        <v>0</v>
      </c>
      <c r="E24" s="310">
        <f t="shared" si="3"/>
        <v>0</v>
      </c>
      <c r="F24" s="310">
        <f t="shared" si="3"/>
        <v>0</v>
      </c>
      <c r="G24" s="311">
        <f t="shared" si="3"/>
        <v>0</v>
      </c>
      <c r="H24" s="311">
        <f t="shared" si="3"/>
        <v>0</v>
      </c>
      <c r="I24" s="311">
        <f t="shared" si="3"/>
        <v>0</v>
      </c>
      <c r="J24" s="311">
        <f t="shared" si="3"/>
        <v>0</v>
      </c>
      <c r="K24" s="311">
        <f t="shared" si="3"/>
        <v>0</v>
      </c>
      <c r="L24" s="312">
        <f t="shared" si="3"/>
        <v>0</v>
      </c>
      <c r="M24" s="312">
        <f t="shared" si="3"/>
        <v>0</v>
      </c>
      <c r="N24" s="255"/>
    </row>
    <row r="25" spans="1:14" ht="15" customHeight="1" x14ac:dyDescent="0.35">
      <c r="A25" s="3"/>
      <c r="B25" s="14"/>
      <c r="C25" s="9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</row>
    <row r="26" spans="1:14" ht="18" customHeight="1" x14ac:dyDescent="0.5">
      <c r="A26" s="7" t="s">
        <v>343</v>
      </c>
      <c r="B26" s="53" t="s">
        <v>198</v>
      </c>
      <c r="C26" s="48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</row>
    <row r="27" spans="1:14" ht="15" customHeight="1" x14ac:dyDescent="0.35">
      <c r="A27" s="3"/>
      <c r="B27" s="17" t="s">
        <v>1</v>
      </c>
      <c r="C27" s="9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</row>
    <row r="28" spans="1:14" ht="15" customHeight="1" x14ac:dyDescent="0.35">
      <c r="A28" s="1" t="s">
        <v>343</v>
      </c>
      <c r="B28" s="98" t="s">
        <v>199</v>
      </c>
      <c r="C28" s="99"/>
      <c r="D28" s="1"/>
      <c r="E28" s="1"/>
      <c r="F28" s="1"/>
      <c r="G28" s="24"/>
      <c r="H28" s="24"/>
      <c r="I28" s="24" t="str">
        <f>TEXT(INPUT!D117+1,"0")&amp;"F"</f>
        <v>1F</v>
      </c>
      <c r="J28" s="24" t="str">
        <f>TEXT(INPUT!D117+2,"0")&amp;"F"</f>
        <v>2F</v>
      </c>
      <c r="K28" s="24" t="str">
        <f>TEXT(INPUT!D117+3,"0")&amp;"F"</f>
        <v>3F</v>
      </c>
      <c r="L28" s="24" t="str">
        <f>TEXT(INPUT!D117+4,"0")&amp;"F"</f>
        <v>4F</v>
      </c>
      <c r="M28" s="24" t="str">
        <f>TEXT(INPUT!D117+5,"0")&amp;"F"</f>
        <v>5F</v>
      </c>
      <c r="N28" s="234"/>
    </row>
    <row r="29" spans="1:14" ht="15" customHeight="1" x14ac:dyDescent="0.35">
      <c r="A29" s="3"/>
      <c r="B29" s="17" t="s">
        <v>200</v>
      </c>
      <c r="C29" s="9"/>
      <c r="D29" s="313">
        <f>IFERROR(INPUT!H9/INPUT!G9-1,0.05)</f>
        <v>0.05</v>
      </c>
      <c r="E29" s="314">
        <f t="shared" ref="E29:E34" si="4">I29</f>
        <v>0.05</v>
      </c>
      <c r="F29" s="314">
        <f t="shared" ref="F29:F34" si="5">I29</f>
        <v>0.05</v>
      </c>
      <c r="G29" s="230"/>
      <c r="H29" s="230"/>
      <c r="I29" s="313">
        <f>IFERROR(INPUT!H9/INPUT!G9-1,0.05)</f>
        <v>0.05</v>
      </c>
      <c r="J29" s="315">
        <f t="shared" ref="J29:J34" si="6">I29</f>
        <v>0.05</v>
      </c>
      <c r="K29" s="315">
        <f t="shared" ref="K29:K34" si="7">I29</f>
        <v>0.05</v>
      </c>
      <c r="L29" s="316">
        <f t="shared" ref="L29:L34" si="8">I29</f>
        <v>0.05</v>
      </c>
      <c r="M29" s="316">
        <f t="shared" ref="M29:M34" si="9">I29</f>
        <v>0.05</v>
      </c>
      <c r="N29" s="256"/>
    </row>
    <row r="30" spans="1:14" ht="15" customHeight="1" x14ac:dyDescent="0.35">
      <c r="A30" s="3"/>
      <c r="B30" s="17" t="s">
        <v>201</v>
      </c>
      <c r="C30" s="9"/>
      <c r="D30" s="314">
        <f>IFERROR(INPUT!H11/INPUT!H9,0.4)</f>
        <v>0.4</v>
      </c>
      <c r="E30" s="314">
        <f t="shared" si="4"/>
        <v>0.4</v>
      </c>
      <c r="F30" s="314">
        <f t="shared" si="5"/>
        <v>0.4</v>
      </c>
      <c r="G30" s="230"/>
      <c r="H30" s="230"/>
      <c r="I30" s="313">
        <f>IFERROR(INPUT!H11/INPUT!H9,0.4)</f>
        <v>0.4</v>
      </c>
      <c r="J30" s="315">
        <f t="shared" si="6"/>
        <v>0.4</v>
      </c>
      <c r="K30" s="315">
        <f t="shared" si="7"/>
        <v>0.4</v>
      </c>
      <c r="L30" s="316">
        <f t="shared" si="8"/>
        <v>0.4</v>
      </c>
      <c r="M30" s="316">
        <f t="shared" si="9"/>
        <v>0.4</v>
      </c>
      <c r="N30" s="256"/>
    </row>
    <row r="31" spans="1:14" ht="15" customHeight="1" x14ac:dyDescent="0.35">
      <c r="A31" s="3"/>
      <c r="B31" s="17" t="s">
        <v>202</v>
      </c>
      <c r="C31" s="9"/>
      <c r="D31" s="314">
        <f>IFERROR(ABS(INPUT!H14)/INPUT!H9,0.15)</f>
        <v>0.15</v>
      </c>
      <c r="E31" s="314">
        <f t="shared" si="4"/>
        <v>0.15</v>
      </c>
      <c r="F31" s="314">
        <f t="shared" si="5"/>
        <v>0.15</v>
      </c>
      <c r="G31" s="230"/>
      <c r="H31" s="230"/>
      <c r="I31" s="313">
        <f>IFERROR(ABS(INPUT!H14)/INPUT!H9,0.15)</f>
        <v>0.15</v>
      </c>
      <c r="J31" s="315">
        <f t="shared" si="6"/>
        <v>0.15</v>
      </c>
      <c r="K31" s="315">
        <f t="shared" si="7"/>
        <v>0.15</v>
      </c>
      <c r="L31" s="316">
        <f t="shared" si="8"/>
        <v>0.15</v>
      </c>
      <c r="M31" s="316">
        <f t="shared" si="9"/>
        <v>0.15</v>
      </c>
      <c r="N31" s="256"/>
    </row>
    <row r="32" spans="1:14" ht="15" customHeight="1" x14ac:dyDescent="0.35">
      <c r="A32" s="3"/>
      <c r="B32" s="17" t="s">
        <v>203</v>
      </c>
      <c r="C32" s="9"/>
      <c r="D32" s="314">
        <f>IFERROR(ABS(INPUT!H15)/INPUT!H9,0.05)</f>
        <v>0.05</v>
      </c>
      <c r="E32" s="314">
        <f t="shared" si="4"/>
        <v>0.05</v>
      </c>
      <c r="F32" s="314">
        <f t="shared" si="5"/>
        <v>0.05</v>
      </c>
      <c r="G32" s="230"/>
      <c r="H32" s="230"/>
      <c r="I32" s="313">
        <f>IFERROR(ABS(INPUT!H15)/INPUT!H9,0.05)</f>
        <v>0.05</v>
      </c>
      <c r="J32" s="315">
        <f t="shared" si="6"/>
        <v>0.05</v>
      </c>
      <c r="K32" s="315">
        <f t="shared" si="7"/>
        <v>0.05</v>
      </c>
      <c r="L32" s="316">
        <f t="shared" si="8"/>
        <v>0.05</v>
      </c>
      <c r="M32" s="316">
        <f t="shared" si="9"/>
        <v>0.05</v>
      </c>
      <c r="N32" s="256"/>
    </row>
    <row r="33" spans="1:14" ht="15" customHeight="1" x14ac:dyDescent="0.35">
      <c r="A33" s="3"/>
      <c r="B33" s="17" t="s">
        <v>204</v>
      </c>
      <c r="C33" s="9"/>
      <c r="D33" s="314">
        <f>IFERROR(ABS(INPUT!H16)/INPUT!H9,0.04)</f>
        <v>0.04</v>
      </c>
      <c r="E33" s="314">
        <f t="shared" si="4"/>
        <v>0.04</v>
      </c>
      <c r="F33" s="314">
        <f t="shared" si="5"/>
        <v>0.04</v>
      </c>
      <c r="G33" s="230"/>
      <c r="H33" s="230"/>
      <c r="I33" s="313">
        <f>IFERROR(ABS(INPUT!H16)/INPUT!H9,0.04)</f>
        <v>0.04</v>
      </c>
      <c r="J33" s="315">
        <f t="shared" si="6"/>
        <v>0.04</v>
      </c>
      <c r="K33" s="315">
        <f t="shared" si="7"/>
        <v>0.04</v>
      </c>
      <c r="L33" s="316">
        <f t="shared" si="8"/>
        <v>0.04</v>
      </c>
      <c r="M33" s="316">
        <f t="shared" si="9"/>
        <v>0.04</v>
      </c>
      <c r="N33" s="256"/>
    </row>
    <row r="34" spans="1:14" ht="15" customHeight="1" x14ac:dyDescent="0.35">
      <c r="A34" s="3"/>
      <c r="B34" s="17" t="s">
        <v>205</v>
      </c>
      <c r="C34" s="9"/>
      <c r="D34" s="314">
        <f>IFERROR(INPUT!H104,0.21)</f>
        <v>0</v>
      </c>
      <c r="E34" s="314">
        <f t="shared" si="4"/>
        <v>0</v>
      </c>
      <c r="F34" s="314">
        <f t="shared" si="5"/>
        <v>0</v>
      </c>
      <c r="G34" s="230"/>
      <c r="H34" s="230"/>
      <c r="I34" s="313">
        <f>IFERROR(INPUT!H104,0.21)</f>
        <v>0</v>
      </c>
      <c r="J34" s="315">
        <f t="shared" si="6"/>
        <v>0</v>
      </c>
      <c r="K34" s="315">
        <f t="shared" si="7"/>
        <v>0</v>
      </c>
      <c r="L34" s="316">
        <f t="shared" si="8"/>
        <v>0</v>
      </c>
      <c r="M34" s="316">
        <f t="shared" si="9"/>
        <v>0</v>
      </c>
      <c r="N34" s="256"/>
    </row>
    <row r="35" spans="1:14" ht="15" customHeight="1" x14ac:dyDescent="0.35">
      <c r="A35" s="3"/>
      <c r="B35" s="14"/>
      <c r="C35" s="9"/>
      <c r="D35" s="84"/>
      <c r="E35" s="84"/>
      <c r="F35" s="84"/>
      <c r="G35" s="22"/>
      <c r="H35" s="22"/>
      <c r="I35" s="22"/>
      <c r="J35" s="22"/>
      <c r="K35" s="22"/>
      <c r="L35" s="22"/>
      <c r="M35" s="22"/>
      <c r="N35" s="22"/>
    </row>
    <row r="36" spans="1:14" ht="18" customHeight="1" x14ac:dyDescent="0.5">
      <c r="A36" s="7" t="s">
        <v>343</v>
      </c>
      <c r="B36" s="53" t="s">
        <v>213</v>
      </c>
      <c r="C36" s="48"/>
      <c r="D36" s="48"/>
      <c r="E36" s="48"/>
      <c r="F36" s="48"/>
      <c r="G36" s="23"/>
      <c r="H36" s="23"/>
      <c r="I36" s="23"/>
      <c r="J36" s="23"/>
      <c r="K36" s="23"/>
      <c r="L36" s="23"/>
      <c r="M36" s="23"/>
      <c r="N36" s="23"/>
    </row>
    <row r="37" spans="1:14" ht="15" customHeight="1" x14ac:dyDescent="0.35">
      <c r="A37" s="3"/>
      <c r="B37" s="17" t="s">
        <v>214</v>
      </c>
      <c r="C37" s="9"/>
      <c r="D37" s="314">
        <f>IFERROR(ABS(INPUT!H78)/INPUT!H9,0.05)</f>
        <v>0.05</v>
      </c>
      <c r="E37" s="314">
        <f>I37</f>
        <v>0.05</v>
      </c>
      <c r="F37" s="314">
        <f>I37</f>
        <v>0.05</v>
      </c>
      <c r="G37" s="230"/>
      <c r="H37" s="230"/>
      <c r="I37" s="313">
        <f>IFERROR(ABS(INPUT!H78)/INPUT!H9,0.05)</f>
        <v>0.05</v>
      </c>
      <c r="J37" s="315">
        <f>I37</f>
        <v>0.05</v>
      </c>
      <c r="K37" s="315">
        <f>I37</f>
        <v>0.05</v>
      </c>
      <c r="L37" s="316">
        <f>I37</f>
        <v>0.05</v>
      </c>
      <c r="M37" s="316">
        <f>I37</f>
        <v>0.05</v>
      </c>
      <c r="N37" s="256"/>
    </row>
    <row r="38" spans="1:14" ht="15" customHeight="1" x14ac:dyDescent="0.35">
      <c r="A38" s="3"/>
      <c r="B38" s="17" t="s">
        <v>215</v>
      </c>
      <c r="C38" s="9"/>
      <c r="D38" s="314">
        <f>IFERROR(ABS((INPUT!H71+INPUT!H72+INPUT!H73)/INPUT!H9),0.1)</f>
        <v>0.1</v>
      </c>
      <c r="E38" s="314">
        <f>I38</f>
        <v>0.1</v>
      </c>
      <c r="F38" s="314">
        <f>I38</f>
        <v>0.1</v>
      </c>
      <c r="G38" s="230"/>
      <c r="H38" s="230"/>
      <c r="I38" s="313">
        <f>IFERROR(ABS((INPUT!H71+INPUT!H72+INPUT!H73)/INPUT!H9),0.1)</f>
        <v>0.1</v>
      </c>
      <c r="J38" s="315">
        <f>I38</f>
        <v>0.1</v>
      </c>
      <c r="K38" s="315">
        <f>I38</f>
        <v>0.1</v>
      </c>
      <c r="L38" s="316">
        <f>I38</f>
        <v>0.1</v>
      </c>
      <c r="M38" s="316">
        <f>I38</f>
        <v>0.1</v>
      </c>
      <c r="N38" s="256"/>
    </row>
    <row r="39" spans="1:14" ht="15" customHeight="1" x14ac:dyDescent="0.35">
      <c r="A39" s="3"/>
      <c r="B39" s="17"/>
      <c r="C39" s="9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</row>
    <row r="40" spans="1:14" ht="18" customHeight="1" x14ac:dyDescent="0.5">
      <c r="A40" s="7"/>
      <c r="B40" s="53" t="s">
        <v>206</v>
      </c>
      <c r="C40" s="48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</row>
    <row r="41" spans="1:14" ht="18" customHeight="1" x14ac:dyDescent="0.5">
      <c r="A41" s="141"/>
      <c r="B41" s="152"/>
      <c r="C41" s="153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</row>
    <row r="42" spans="1:14" ht="15" customHeight="1" x14ac:dyDescent="0.35">
      <c r="A42" s="3"/>
      <c r="B42" s="17" t="s">
        <v>134</v>
      </c>
      <c r="C42" s="8"/>
      <c r="D42" s="302">
        <f t="shared" ref="D42:M42" si="10">D18</f>
        <v>0</v>
      </c>
      <c r="E42" s="302">
        <f t="shared" si="10"/>
        <v>0</v>
      </c>
      <c r="F42" s="302">
        <f t="shared" si="10"/>
        <v>0</v>
      </c>
      <c r="G42" s="303">
        <f t="shared" si="10"/>
        <v>0</v>
      </c>
      <c r="H42" s="303">
        <f t="shared" si="10"/>
        <v>0</v>
      </c>
      <c r="I42" s="303">
        <f t="shared" si="10"/>
        <v>0</v>
      </c>
      <c r="J42" s="303">
        <f t="shared" si="10"/>
        <v>0</v>
      </c>
      <c r="K42" s="303">
        <f t="shared" si="10"/>
        <v>0</v>
      </c>
      <c r="L42" s="304">
        <f t="shared" si="10"/>
        <v>0</v>
      </c>
      <c r="M42" s="304">
        <f t="shared" si="10"/>
        <v>0</v>
      </c>
      <c r="N42" s="252"/>
    </row>
    <row r="43" spans="1:14" ht="15" customHeight="1" x14ac:dyDescent="0.35">
      <c r="A43" s="3"/>
      <c r="B43" s="17" t="s">
        <v>207</v>
      </c>
      <c r="C43" s="8"/>
      <c r="D43" s="305">
        <f>D18*(-INPUT!D104)</f>
        <v>0</v>
      </c>
      <c r="E43" s="305">
        <f>E18*(-INPUT!E104)</f>
        <v>0</v>
      </c>
      <c r="F43" s="305">
        <f>F18*(-INPUT!F104)</f>
        <v>0</v>
      </c>
      <c r="G43" s="306">
        <f>G18*(-INPUT!G104)</f>
        <v>0</v>
      </c>
      <c r="H43" s="306">
        <f>H18*(-INPUT!H104)</f>
        <v>0</v>
      </c>
      <c r="I43" s="306">
        <f>I18*(-$I$34)</f>
        <v>0</v>
      </c>
      <c r="J43" s="306">
        <f>J18*(-$I$34)</f>
        <v>0</v>
      </c>
      <c r="K43" s="306">
        <f>K18*(-$I$34)</f>
        <v>0</v>
      </c>
      <c r="L43" s="307">
        <f>L18*(-$I$34)</f>
        <v>0</v>
      </c>
      <c r="M43" s="307">
        <f>M18*(-$I$34)</f>
        <v>0</v>
      </c>
      <c r="N43" s="253"/>
    </row>
    <row r="44" spans="1:14" ht="15" customHeight="1" x14ac:dyDescent="0.35">
      <c r="A44" s="3"/>
      <c r="B44" s="58" t="s">
        <v>208</v>
      </c>
      <c r="C44" s="73"/>
      <c r="D44" s="308">
        <f t="shared" ref="D44:M44" si="11">D42+D43</f>
        <v>0</v>
      </c>
      <c r="E44" s="308">
        <f t="shared" si="11"/>
        <v>0</v>
      </c>
      <c r="F44" s="308">
        <f t="shared" si="11"/>
        <v>0</v>
      </c>
      <c r="G44" s="283">
        <f t="shared" si="11"/>
        <v>0</v>
      </c>
      <c r="H44" s="283">
        <f t="shared" si="11"/>
        <v>0</v>
      </c>
      <c r="I44" s="283">
        <f t="shared" si="11"/>
        <v>0</v>
      </c>
      <c r="J44" s="283">
        <f t="shared" si="11"/>
        <v>0</v>
      </c>
      <c r="K44" s="283">
        <f t="shared" si="11"/>
        <v>0</v>
      </c>
      <c r="L44" s="309">
        <f t="shared" si="11"/>
        <v>0</v>
      </c>
      <c r="M44" s="309">
        <f t="shared" si="11"/>
        <v>0</v>
      </c>
      <c r="N44" s="254"/>
    </row>
    <row r="45" spans="1:14" ht="15" customHeight="1" x14ac:dyDescent="0.35">
      <c r="A45" s="81"/>
      <c r="B45" s="145"/>
      <c r="C45" s="101"/>
      <c r="D45" s="146"/>
      <c r="E45" s="146"/>
      <c r="F45" s="146"/>
      <c r="G45" s="69"/>
      <c r="H45" s="69"/>
      <c r="I45" s="69"/>
      <c r="J45" s="69"/>
      <c r="K45" s="69"/>
      <c r="L45" s="67"/>
      <c r="M45" s="67"/>
      <c r="N45" s="67"/>
    </row>
    <row r="46" spans="1:14" ht="15" customHeight="1" x14ac:dyDescent="0.35">
      <c r="A46" s="3"/>
      <c r="B46" s="17" t="s">
        <v>209</v>
      </c>
      <c r="C46" s="8"/>
      <c r="D46" s="302">
        <f t="shared" ref="D46:M46" si="12">ABS(D17)</f>
        <v>0</v>
      </c>
      <c r="E46" s="302">
        <f t="shared" si="12"/>
        <v>0</v>
      </c>
      <c r="F46" s="302">
        <f t="shared" si="12"/>
        <v>0</v>
      </c>
      <c r="G46" s="303">
        <f t="shared" si="12"/>
        <v>0</v>
      </c>
      <c r="H46" s="303">
        <f t="shared" si="12"/>
        <v>0</v>
      </c>
      <c r="I46" s="303">
        <f t="shared" si="12"/>
        <v>0</v>
      </c>
      <c r="J46" s="303">
        <f t="shared" si="12"/>
        <v>0</v>
      </c>
      <c r="K46" s="303">
        <f t="shared" si="12"/>
        <v>0</v>
      </c>
      <c r="L46" s="304">
        <f t="shared" si="12"/>
        <v>0</v>
      </c>
      <c r="M46" s="304">
        <f t="shared" si="12"/>
        <v>0</v>
      </c>
      <c r="N46" s="252"/>
    </row>
    <row r="47" spans="1:14" ht="15" customHeight="1" x14ac:dyDescent="0.35">
      <c r="A47" s="3"/>
      <c r="B47" s="17" t="s">
        <v>210</v>
      </c>
      <c r="C47" s="8"/>
      <c r="D47" s="302">
        <f>INPUT!D78</f>
        <v>0</v>
      </c>
      <c r="E47" s="302">
        <f>INPUT!E78</f>
        <v>0</v>
      </c>
      <c r="F47" s="302">
        <f>INPUT!F78</f>
        <v>0</v>
      </c>
      <c r="G47" s="303">
        <f>INPUT!G78</f>
        <v>0</v>
      </c>
      <c r="H47" s="303">
        <f>INPUT!H78</f>
        <v>0</v>
      </c>
      <c r="I47" s="303">
        <f>-I9*$I$37</f>
        <v>0</v>
      </c>
      <c r="J47" s="303">
        <f>-J9*$I$37</f>
        <v>0</v>
      </c>
      <c r="K47" s="303">
        <f>-K9*$I$37</f>
        <v>0</v>
      </c>
      <c r="L47" s="304">
        <f>-L9*$I$37</f>
        <v>0</v>
      </c>
      <c r="M47" s="304">
        <f>-M9*$I$37</f>
        <v>0</v>
      </c>
      <c r="N47" s="252"/>
    </row>
    <row r="48" spans="1:14" ht="15" customHeight="1" x14ac:dyDescent="0.35">
      <c r="A48" s="3"/>
      <c r="B48" s="17" t="s">
        <v>211</v>
      </c>
      <c r="C48" s="8"/>
      <c r="D48" s="302">
        <f>INPUT!D70+INPUT!D71+INPUT!D72+INPUT!D73</f>
        <v>0</v>
      </c>
      <c r="E48" s="302">
        <f>INPUT!E70+INPUT!E71+INPUT!E72+INPUT!E73</f>
        <v>0</v>
      </c>
      <c r="F48" s="302">
        <f>INPUT!F70+INPUT!F71+INPUT!F72+INPUT!F73</f>
        <v>0</v>
      </c>
      <c r="G48" s="303">
        <f>INPUT!G70+INPUT!G71+INPUT!G72+INPUT!G73</f>
        <v>0</v>
      </c>
      <c r="H48" s="303">
        <f>INPUT!H70+INPUT!H71+INPUT!H72+INPUT!H73</f>
        <v>0</v>
      </c>
      <c r="I48" s="303">
        <f>-(I9-H9)*$I$38</f>
        <v>0</v>
      </c>
      <c r="J48" s="303">
        <f>-(J9-I9)*$I$38</f>
        <v>0</v>
      </c>
      <c r="K48" s="303">
        <f>-(K9-J9)*$I$38</f>
        <v>0</v>
      </c>
      <c r="L48" s="304">
        <f>-(L9-K9)*$I$38</f>
        <v>0</v>
      </c>
      <c r="M48" s="304">
        <f>-(M9-L9)*$I$38</f>
        <v>0</v>
      </c>
      <c r="N48" s="252"/>
    </row>
    <row r="49" spans="1:14" ht="15" customHeight="1" thickBot="1" x14ac:dyDescent="0.4">
      <c r="A49" s="81"/>
      <c r="B49" s="92" t="s">
        <v>212</v>
      </c>
      <c r="C49" s="101"/>
      <c r="D49" s="310">
        <f t="shared" ref="D49:M49" si="13">D44+D46+D47+D48</f>
        <v>0</v>
      </c>
      <c r="E49" s="310">
        <f t="shared" si="13"/>
        <v>0</v>
      </c>
      <c r="F49" s="310">
        <f t="shared" si="13"/>
        <v>0</v>
      </c>
      <c r="G49" s="311">
        <f t="shared" si="13"/>
        <v>0</v>
      </c>
      <c r="H49" s="311">
        <f t="shared" si="13"/>
        <v>0</v>
      </c>
      <c r="I49" s="311">
        <f t="shared" si="13"/>
        <v>0</v>
      </c>
      <c r="J49" s="311">
        <f t="shared" si="13"/>
        <v>0</v>
      </c>
      <c r="K49" s="311">
        <f t="shared" si="13"/>
        <v>0</v>
      </c>
      <c r="L49" s="312">
        <f t="shared" si="13"/>
        <v>0</v>
      </c>
      <c r="M49" s="312">
        <f t="shared" si="13"/>
        <v>0</v>
      </c>
      <c r="N49" s="257"/>
    </row>
    <row r="50" spans="1:14" ht="15" customHeight="1" x14ac:dyDescent="0.35">
      <c r="A50" s="3"/>
      <c r="B50" s="14"/>
      <c r="C50" s="9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</row>
    <row r="51" spans="1:14" ht="18" customHeight="1" x14ac:dyDescent="0.5">
      <c r="A51" s="7"/>
      <c r="B51" s="53" t="s">
        <v>216</v>
      </c>
      <c r="C51" s="48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</row>
    <row r="52" spans="1:14" ht="18" customHeight="1" x14ac:dyDescent="0.5">
      <c r="A52" s="141"/>
      <c r="B52" s="152"/>
      <c r="C52" s="153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</row>
    <row r="53" spans="1:14" ht="15" customHeight="1" x14ac:dyDescent="0.35">
      <c r="A53" s="3"/>
      <c r="B53" s="17" t="s">
        <v>217</v>
      </c>
      <c r="C53" s="9"/>
      <c r="D53" s="315">
        <f>INPUT!H100</f>
        <v>0</v>
      </c>
      <c r="E53" s="414"/>
      <c r="F53" s="414"/>
      <c r="G53" s="414"/>
      <c r="H53" s="414"/>
      <c r="I53" s="414"/>
      <c r="J53" s="414"/>
      <c r="K53" s="414"/>
      <c r="L53" s="414"/>
      <c r="M53" s="414"/>
      <c r="N53" s="414"/>
    </row>
    <row r="54" spans="1:14" ht="15" customHeight="1" x14ac:dyDescent="0.35">
      <c r="A54" s="3"/>
      <c r="B54" s="17" t="s">
        <v>62</v>
      </c>
      <c r="C54" s="9"/>
      <c r="D54" s="317">
        <f>INPUT!H99</f>
        <v>0</v>
      </c>
      <c r="E54" s="414"/>
      <c r="F54" s="414"/>
      <c r="G54" s="414"/>
      <c r="H54" s="414"/>
      <c r="I54" s="414"/>
      <c r="J54" s="414"/>
      <c r="K54" s="414"/>
      <c r="L54" s="414"/>
      <c r="M54" s="414"/>
      <c r="N54" s="414"/>
    </row>
    <row r="55" spans="1:14" ht="15" customHeight="1" x14ac:dyDescent="0.35">
      <c r="A55" s="3"/>
      <c r="B55" s="17" t="s">
        <v>66</v>
      </c>
      <c r="C55" s="9"/>
      <c r="D55" s="315">
        <f>INPUT!H101</f>
        <v>0</v>
      </c>
      <c r="E55" s="414"/>
      <c r="F55" s="414"/>
      <c r="G55" s="414"/>
      <c r="H55" s="414"/>
      <c r="I55" s="414"/>
      <c r="J55" s="414"/>
      <c r="K55" s="414"/>
      <c r="L55" s="414"/>
      <c r="M55" s="414"/>
      <c r="N55" s="414"/>
    </row>
    <row r="56" spans="1:14" ht="15" customHeight="1" x14ac:dyDescent="0.35">
      <c r="A56" s="3"/>
      <c r="B56" s="58" t="s">
        <v>67</v>
      </c>
      <c r="C56" s="11"/>
      <c r="D56" s="318">
        <f>D53+D54*D55</f>
        <v>0</v>
      </c>
      <c r="E56" s="415"/>
      <c r="F56" s="415"/>
      <c r="G56" s="415"/>
      <c r="H56" s="415"/>
      <c r="I56" s="415"/>
      <c r="J56" s="415"/>
      <c r="K56" s="415"/>
      <c r="L56" s="415"/>
      <c r="M56" s="415"/>
      <c r="N56" s="415"/>
    </row>
    <row r="57" spans="1:14" ht="15" customHeight="1" x14ac:dyDescent="0.35">
      <c r="A57" s="3"/>
      <c r="B57" s="17"/>
      <c r="C57" s="9"/>
      <c r="D57" s="32"/>
      <c r="E57" s="22"/>
      <c r="F57" s="22"/>
      <c r="G57" s="22"/>
      <c r="H57" s="22"/>
      <c r="I57" s="22"/>
      <c r="J57" s="22"/>
      <c r="K57" s="22"/>
      <c r="L57" s="22"/>
      <c r="M57" s="22"/>
      <c r="N57" s="22"/>
    </row>
    <row r="58" spans="1:14" ht="15" customHeight="1" x14ac:dyDescent="0.35">
      <c r="A58" s="3"/>
      <c r="B58" s="17" t="s">
        <v>218</v>
      </c>
      <c r="C58" s="9"/>
      <c r="D58" s="315">
        <f>INPUT!H106</f>
        <v>0</v>
      </c>
      <c r="E58" s="414"/>
      <c r="F58" s="414"/>
      <c r="G58" s="414"/>
      <c r="H58" s="414"/>
      <c r="I58" s="414"/>
      <c r="J58" s="414"/>
      <c r="K58" s="414"/>
      <c r="L58" s="414"/>
      <c r="M58" s="414"/>
      <c r="N58" s="414"/>
    </row>
    <row r="59" spans="1:14" ht="15" customHeight="1" x14ac:dyDescent="0.35">
      <c r="A59" s="3"/>
      <c r="B59" s="17" t="s">
        <v>219</v>
      </c>
      <c r="C59" s="9"/>
      <c r="D59" s="315">
        <f>INPUT!H107</f>
        <v>0</v>
      </c>
      <c r="E59" s="414"/>
      <c r="F59" s="414"/>
      <c r="G59" s="414"/>
      <c r="H59" s="414"/>
      <c r="I59" s="414"/>
      <c r="J59" s="414"/>
      <c r="K59" s="414"/>
      <c r="L59" s="414"/>
      <c r="M59" s="414"/>
      <c r="N59" s="414"/>
    </row>
    <row r="60" spans="1:14" ht="15" customHeight="1" x14ac:dyDescent="0.35">
      <c r="A60" s="3"/>
      <c r="B60" s="17" t="s">
        <v>220</v>
      </c>
      <c r="C60" s="9"/>
      <c r="D60" s="315">
        <f>INPUT!H103</f>
        <v>0</v>
      </c>
      <c r="E60" s="414"/>
      <c r="F60" s="414"/>
      <c r="G60" s="414"/>
      <c r="H60" s="414"/>
      <c r="I60" s="414"/>
      <c r="J60" s="414"/>
      <c r="K60" s="414"/>
      <c r="L60" s="414"/>
      <c r="M60" s="414"/>
      <c r="N60" s="414"/>
    </row>
    <row r="61" spans="1:14" ht="15" customHeight="1" x14ac:dyDescent="0.35">
      <c r="A61" s="3"/>
      <c r="B61" s="17" t="s">
        <v>69</v>
      </c>
      <c r="C61" s="9"/>
      <c r="D61" s="315">
        <f>INPUT!H104</f>
        <v>0</v>
      </c>
      <c r="E61" s="414"/>
      <c r="F61" s="414"/>
      <c r="G61" s="414"/>
      <c r="H61" s="414"/>
      <c r="I61" s="414"/>
      <c r="J61" s="414"/>
      <c r="K61" s="414"/>
      <c r="L61" s="414"/>
      <c r="M61" s="414"/>
      <c r="N61" s="414"/>
    </row>
    <row r="62" spans="1:14" ht="15" customHeight="1" x14ac:dyDescent="0.35">
      <c r="A62" s="3"/>
      <c r="B62" s="17" t="s">
        <v>70</v>
      </c>
      <c r="C62" s="9"/>
      <c r="D62" s="279">
        <f>D60*(1-D61)</f>
        <v>0</v>
      </c>
      <c r="E62" s="414"/>
      <c r="F62" s="414"/>
      <c r="G62" s="414"/>
      <c r="H62" s="414"/>
      <c r="I62" s="414"/>
      <c r="J62" s="414"/>
      <c r="K62" s="414"/>
      <c r="L62" s="414"/>
      <c r="M62" s="414"/>
      <c r="N62" s="414"/>
    </row>
    <row r="63" spans="1:14" ht="15" customHeight="1" thickBot="1" x14ac:dyDescent="0.4">
      <c r="A63" s="3"/>
      <c r="B63" s="55" t="s">
        <v>73</v>
      </c>
      <c r="C63" s="11"/>
      <c r="D63" s="319">
        <f>D58*D56+D62*D59</f>
        <v>0</v>
      </c>
      <c r="E63" s="415"/>
      <c r="F63" s="415"/>
      <c r="G63" s="415"/>
      <c r="H63" s="415"/>
      <c r="I63" s="415"/>
      <c r="J63" s="415"/>
      <c r="K63" s="415"/>
      <c r="L63" s="415"/>
      <c r="M63" s="415"/>
      <c r="N63" s="415"/>
    </row>
    <row r="64" spans="1:14" ht="15" customHeight="1" x14ac:dyDescent="0.35">
      <c r="A64" s="3"/>
      <c r="B64" s="14"/>
      <c r="C64" s="9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</row>
    <row r="65" spans="1:14" ht="18" customHeight="1" x14ac:dyDescent="0.5">
      <c r="A65" s="7"/>
      <c r="B65" s="53" t="s">
        <v>221</v>
      </c>
      <c r="C65" s="48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</row>
    <row r="66" spans="1:14" ht="18" customHeight="1" x14ac:dyDescent="0.5">
      <c r="A66" s="141"/>
      <c r="B66" s="152"/>
      <c r="C66" s="153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</row>
    <row r="67" spans="1:14" ht="15" customHeight="1" x14ac:dyDescent="0.35">
      <c r="A67" s="3"/>
      <c r="B67" s="17" t="s">
        <v>222</v>
      </c>
      <c r="C67" s="9"/>
      <c r="D67" s="315">
        <f>INPUT!H109</f>
        <v>0</v>
      </c>
      <c r="E67" s="414"/>
      <c r="F67" s="414"/>
      <c r="G67" s="414"/>
      <c r="H67" s="414"/>
      <c r="I67" s="414"/>
      <c r="J67" s="414"/>
      <c r="K67" s="414"/>
      <c r="L67" s="414"/>
      <c r="M67" s="414"/>
      <c r="N67" s="414"/>
    </row>
    <row r="68" spans="1:14" ht="15" customHeight="1" x14ac:dyDescent="0.35">
      <c r="A68" s="3"/>
      <c r="B68" s="17" t="s">
        <v>73</v>
      </c>
      <c r="C68" s="9"/>
      <c r="D68" s="315">
        <f>D63</f>
        <v>0</v>
      </c>
      <c r="E68" s="414"/>
      <c r="F68" s="414"/>
      <c r="G68" s="414"/>
      <c r="H68" s="414"/>
      <c r="I68" s="414"/>
      <c r="J68" s="414"/>
      <c r="K68" s="414"/>
      <c r="L68" s="414"/>
      <c r="M68" s="414"/>
      <c r="N68" s="414"/>
    </row>
    <row r="69" spans="1:14" ht="15" customHeight="1" x14ac:dyDescent="0.35">
      <c r="A69" s="3"/>
      <c r="B69" s="17" t="s">
        <v>223</v>
      </c>
      <c r="C69" s="8"/>
      <c r="D69" s="304">
        <f>M49</f>
        <v>0</v>
      </c>
      <c r="E69" s="414"/>
      <c r="F69" s="414"/>
      <c r="G69" s="414"/>
      <c r="H69" s="414"/>
      <c r="I69" s="414"/>
      <c r="J69" s="414"/>
      <c r="K69" s="414"/>
      <c r="L69" s="414"/>
      <c r="M69" s="414"/>
      <c r="N69" s="414"/>
    </row>
    <row r="70" spans="1:14" ht="15" customHeight="1" x14ac:dyDescent="0.35">
      <c r="A70" s="3"/>
      <c r="B70" s="17" t="s">
        <v>224</v>
      </c>
      <c r="C70" s="8"/>
      <c r="D70" s="304">
        <f>D69*(1+D67)</f>
        <v>0</v>
      </c>
      <c r="E70" s="414"/>
      <c r="F70" s="414"/>
      <c r="G70" s="414"/>
      <c r="H70" s="414"/>
      <c r="I70" s="414"/>
      <c r="J70" s="414"/>
      <c r="K70" s="414"/>
      <c r="L70" s="414"/>
      <c r="M70" s="414"/>
      <c r="N70" s="414"/>
    </row>
    <row r="71" spans="1:14" ht="15" customHeight="1" thickBot="1" x14ac:dyDescent="0.4">
      <c r="A71" s="3"/>
      <c r="B71" s="58" t="s">
        <v>225</v>
      </c>
      <c r="C71" s="73"/>
      <c r="D71" s="312" t="str">
        <f>IFERROR(D70/(D68-D67),"–")</f>
        <v>–</v>
      </c>
      <c r="E71" s="415"/>
      <c r="F71" s="415"/>
      <c r="G71" s="415"/>
      <c r="H71" s="415"/>
      <c r="I71" s="415"/>
      <c r="J71" s="415"/>
      <c r="K71" s="415"/>
      <c r="L71" s="415"/>
      <c r="M71" s="415"/>
      <c r="N71" s="415"/>
    </row>
    <row r="72" spans="1:14" ht="15" customHeight="1" x14ac:dyDescent="0.35">
      <c r="A72" s="3"/>
      <c r="B72" s="17" t="s">
        <v>226</v>
      </c>
      <c r="C72" s="9"/>
      <c r="D72" s="320" t="str">
        <f>IFERROR(D71/M15,"–")</f>
        <v>–</v>
      </c>
      <c r="E72" s="414"/>
      <c r="F72" s="414"/>
      <c r="G72" s="414"/>
      <c r="H72" s="414"/>
      <c r="I72" s="414"/>
      <c r="J72" s="414"/>
      <c r="K72" s="414"/>
      <c r="L72" s="414"/>
      <c r="M72" s="414"/>
      <c r="N72" s="414"/>
    </row>
    <row r="73" spans="1:14" ht="15" customHeight="1" x14ac:dyDescent="0.35">
      <c r="A73" s="3"/>
      <c r="B73" s="14"/>
      <c r="C73" s="9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</row>
    <row r="74" spans="1:14" ht="15" customHeight="1" x14ac:dyDescent="0.35">
      <c r="A74" s="3"/>
      <c r="B74" s="14" t="s">
        <v>227</v>
      </c>
      <c r="C74" s="9"/>
      <c r="D74" s="301">
        <f>1</f>
        <v>1</v>
      </c>
      <c r="E74" s="22"/>
      <c r="F74" s="22"/>
      <c r="G74" s="38"/>
      <c r="H74" s="38"/>
      <c r="I74" s="321">
        <v>1</v>
      </c>
      <c r="J74" s="321">
        <v>2</v>
      </c>
      <c r="K74" s="321">
        <v>3</v>
      </c>
      <c r="L74" s="321">
        <v>4</v>
      </c>
      <c r="M74" s="321">
        <v>5</v>
      </c>
      <c r="N74" s="321">
        <v>5</v>
      </c>
    </row>
    <row r="75" spans="1:14" ht="15" customHeight="1" x14ac:dyDescent="0.35">
      <c r="A75" s="3"/>
      <c r="B75" s="14" t="s">
        <v>228</v>
      </c>
      <c r="C75" s="9"/>
      <c r="D75" s="301">
        <f>1/(1+$D$68)^I74</f>
        <v>1</v>
      </c>
      <c r="E75" s="22"/>
      <c r="F75" s="22"/>
      <c r="G75" s="39"/>
      <c r="H75" s="39"/>
      <c r="I75" s="322">
        <f>1/(1+$D$68)^I74</f>
        <v>1</v>
      </c>
      <c r="J75" s="322">
        <f>1/(1+$D$68)^J74</f>
        <v>1</v>
      </c>
      <c r="K75" s="322">
        <f>1/(1+$D$68)^K74</f>
        <v>1</v>
      </c>
      <c r="L75" s="322">
        <f>1/(1+$D$68)^L74</f>
        <v>1</v>
      </c>
      <c r="M75" s="322">
        <f>1/(1+$D$68)^M74</f>
        <v>1</v>
      </c>
      <c r="N75" s="322">
        <f>1/(1+$D$68)^M74</f>
        <v>1</v>
      </c>
    </row>
    <row r="76" spans="1:14" ht="15" customHeight="1" x14ac:dyDescent="0.35">
      <c r="A76" s="3"/>
      <c r="B76" s="14" t="s">
        <v>229</v>
      </c>
      <c r="C76" s="8"/>
      <c r="D76" s="301">
        <f>I49</f>
        <v>0</v>
      </c>
      <c r="E76" s="22"/>
      <c r="F76" s="22"/>
      <c r="G76" s="37"/>
      <c r="H76" s="37"/>
      <c r="I76" s="304">
        <f>I49</f>
        <v>0</v>
      </c>
      <c r="J76" s="304">
        <f>J49</f>
        <v>0</v>
      </c>
      <c r="K76" s="304">
        <f>K49</f>
        <v>0</v>
      </c>
      <c r="L76" s="304">
        <f>L49</f>
        <v>0</v>
      </c>
      <c r="M76" s="304">
        <f>M49</f>
        <v>0</v>
      </c>
      <c r="N76" s="37"/>
    </row>
    <row r="77" spans="1:14" ht="15" customHeight="1" x14ac:dyDescent="0.35">
      <c r="A77" s="3"/>
      <c r="B77" s="14" t="s">
        <v>230</v>
      </c>
      <c r="C77" s="8"/>
      <c r="D77" s="22"/>
      <c r="E77" s="22"/>
      <c r="F77" s="22"/>
      <c r="G77" s="37"/>
      <c r="H77" s="37"/>
      <c r="I77" s="37"/>
      <c r="J77" s="37"/>
      <c r="K77" s="37"/>
      <c r="L77" s="37"/>
      <c r="M77" s="37"/>
      <c r="N77" s="323" t="str">
        <f>D71</f>
        <v>–</v>
      </c>
    </row>
    <row r="78" spans="1:14" ht="15" customHeight="1" x14ac:dyDescent="0.35">
      <c r="A78" s="3"/>
      <c r="B78" s="14" t="s">
        <v>231</v>
      </c>
      <c r="C78" s="8"/>
      <c r="D78" s="22"/>
      <c r="E78" s="22"/>
      <c r="F78" s="22"/>
      <c r="G78" s="37"/>
      <c r="H78" s="37"/>
      <c r="I78" s="304">
        <f>I75*I76</f>
        <v>0</v>
      </c>
      <c r="J78" s="304">
        <f>J75*J76</f>
        <v>0</v>
      </c>
      <c r="K78" s="304">
        <f>K75*K76</f>
        <v>0</v>
      </c>
      <c r="L78" s="304">
        <f>L75*L76</f>
        <v>0</v>
      </c>
      <c r="M78" s="304">
        <f>M75*M76</f>
        <v>0</v>
      </c>
      <c r="N78" s="304" t="str">
        <f>IFERROR(N75*N77,"–")</f>
        <v>–</v>
      </c>
    </row>
    <row r="79" spans="1:14" ht="15" customHeight="1" x14ac:dyDescent="0.35">
      <c r="A79" s="3"/>
      <c r="B79" s="14"/>
      <c r="C79" s="9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</row>
    <row r="80" spans="1:14" ht="18" customHeight="1" x14ac:dyDescent="0.5">
      <c r="A80" s="7"/>
      <c r="B80" s="53" t="s">
        <v>232</v>
      </c>
      <c r="C80" s="48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</row>
    <row r="81" spans="1:14" ht="18" customHeight="1" x14ac:dyDescent="0.5">
      <c r="A81" s="141"/>
      <c r="B81" s="152"/>
      <c r="C81" s="153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</row>
    <row r="82" spans="1:14" ht="15" customHeight="1" x14ac:dyDescent="0.35">
      <c r="A82" s="3"/>
      <c r="B82" s="58" t="s">
        <v>233</v>
      </c>
      <c r="C82" s="73"/>
      <c r="D82" s="309">
        <f>SUM(I78:M78)</f>
        <v>0</v>
      </c>
      <c r="E82" s="414"/>
      <c r="F82" s="414"/>
      <c r="G82" s="414"/>
      <c r="H82" s="414"/>
      <c r="I82" s="414"/>
      <c r="J82" s="414"/>
      <c r="K82" s="414"/>
      <c r="L82" s="414"/>
      <c r="M82" s="414"/>
      <c r="N82" s="414"/>
    </row>
    <row r="83" spans="1:14" ht="15" customHeight="1" x14ac:dyDescent="0.35">
      <c r="A83" s="3"/>
      <c r="B83" s="17" t="s">
        <v>234</v>
      </c>
      <c r="C83" s="8"/>
      <c r="D83" s="309" t="str">
        <f>N78</f>
        <v>–</v>
      </c>
      <c r="E83" s="414"/>
      <c r="F83" s="414"/>
      <c r="G83" s="414"/>
      <c r="H83" s="414"/>
      <c r="I83" s="414"/>
      <c r="J83" s="414"/>
      <c r="K83" s="414"/>
      <c r="L83" s="414"/>
      <c r="M83" s="414"/>
      <c r="N83" s="414"/>
    </row>
    <row r="84" spans="1:14" ht="15" customHeight="1" x14ac:dyDescent="0.35">
      <c r="A84" s="3"/>
      <c r="B84" s="58" t="s">
        <v>61</v>
      </c>
      <c r="C84" s="73"/>
      <c r="D84" s="309" t="str">
        <f>IFERROR(D82+D83,"–")</f>
        <v>–</v>
      </c>
      <c r="E84" s="415"/>
      <c r="F84" s="415"/>
      <c r="G84" s="415"/>
      <c r="H84" s="415"/>
      <c r="I84" s="415"/>
      <c r="J84" s="415"/>
      <c r="K84" s="415"/>
      <c r="L84" s="415"/>
      <c r="M84" s="415"/>
      <c r="N84" s="415"/>
    </row>
    <row r="85" spans="1:14" ht="15" customHeight="1" x14ac:dyDescent="0.35">
      <c r="A85" s="81"/>
      <c r="B85" s="145"/>
      <c r="C85" s="101"/>
      <c r="D85" s="66"/>
      <c r="E85" s="416"/>
      <c r="F85" s="416"/>
      <c r="G85" s="416"/>
      <c r="H85" s="416"/>
      <c r="I85" s="416"/>
      <c r="J85" s="416"/>
      <c r="K85" s="416"/>
      <c r="L85" s="416"/>
      <c r="M85" s="416"/>
      <c r="N85" s="416"/>
    </row>
    <row r="86" spans="1:14" ht="15" customHeight="1" x14ac:dyDescent="0.35">
      <c r="A86" s="3"/>
      <c r="B86" s="17" t="s">
        <v>235</v>
      </c>
      <c r="C86" s="8"/>
      <c r="D86" s="304">
        <f>-(INPUT!H49+INPUT!H55)</f>
        <v>0</v>
      </c>
      <c r="E86" s="414"/>
      <c r="F86" s="414"/>
      <c r="G86" s="414"/>
      <c r="H86" s="414"/>
      <c r="I86" s="414"/>
      <c r="J86" s="414"/>
      <c r="K86" s="414"/>
      <c r="L86" s="414"/>
      <c r="M86" s="414"/>
      <c r="N86" s="414"/>
    </row>
    <row r="87" spans="1:14" ht="15" customHeight="1" x14ac:dyDescent="0.35">
      <c r="A87" s="3"/>
      <c r="B87" s="17" t="s">
        <v>236</v>
      </c>
      <c r="C87" s="8"/>
      <c r="D87" s="304">
        <f>INPUT!H34</f>
        <v>0</v>
      </c>
      <c r="E87" s="414"/>
      <c r="F87" s="414"/>
      <c r="G87" s="414"/>
      <c r="H87" s="414"/>
      <c r="I87" s="414"/>
      <c r="J87" s="414"/>
      <c r="K87" s="414"/>
      <c r="L87" s="414"/>
      <c r="M87" s="414"/>
      <c r="N87" s="414"/>
    </row>
    <row r="88" spans="1:14" ht="15" customHeight="1" thickBot="1" x14ac:dyDescent="0.4">
      <c r="A88" s="3"/>
      <c r="B88" s="58" t="s">
        <v>237</v>
      </c>
      <c r="C88" s="73"/>
      <c r="D88" s="312" t="str">
        <f>IFERROR(D84+D86+D87,"–")</f>
        <v>–</v>
      </c>
      <c r="E88" s="415"/>
      <c r="F88" s="415"/>
      <c r="G88" s="415"/>
      <c r="H88" s="415"/>
      <c r="I88" s="415"/>
      <c r="J88" s="415"/>
      <c r="K88" s="415"/>
      <c r="L88" s="415"/>
      <c r="M88" s="415"/>
      <c r="N88" s="415"/>
    </row>
    <row r="89" spans="1:14" ht="15" customHeight="1" x14ac:dyDescent="0.35">
      <c r="A89" s="81"/>
      <c r="B89" s="145"/>
      <c r="C89" s="101"/>
      <c r="D89" s="66"/>
      <c r="E89" s="416"/>
      <c r="F89" s="416"/>
      <c r="G89" s="416"/>
      <c r="H89" s="416"/>
      <c r="I89" s="416"/>
      <c r="J89" s="416"/>
      <c r="K89" s="416"/>
      <c r="L89" s="416"/>
      <c r="M89" s="416"/>
      <c r="N89" s="416"/>
    </row>
    <row r="90" spans="1:14" ht="15" customHeight="1" x14ac:dyDescent="0.35">
      <c r="A90" s="3"/>
      <c r="B90" s="17" t="s">
        <v>59</v>
      </c>
      <c r="C90" s="9"/>
      <c r="D90" s="273">
        <f>INPUT!H96</f>
        <v>0</v>
      </c>
      <c r="E90" s="414"/>
      <c r="F90" s="414"/>
      <c r="G90" s="414"/>
      <c r="H90" s="414"/>
      <c r="I90" s="414"/>
      <c r="J90" s="414"/>
      <c r="K90" s="414"/>
      <c r="L90" s="414"/>
      <c r="M90" s="414"/>
      <c r="N90" s="414"/>
    </row>
    <row r="91" spans="1:14" ht="15" customHeight="1" thickBot="1" x14ac:dyDescent="0.4">
      <c r="A91" s="3"/>
      <c r="B91" s="58" t="s">
        <v>238</v>
      </c>
      <c r="C91" s="11"/>
      <c r="D91" s="324" t="str">
        <f>IFERROR(D88/D90,"–")</f>
        <v>–</v>
      </c>
      <c r="E91" s="415"/>
      <c r="F91" s="415"/>
      <c r="G91" s="415"/>
      <c r="H91" s="415"/>
      <c r="I91" s="415"/>
      <c r="J91" s="415"/>
      <c r="K91" s="415"/>
      <c r="L91" s="415"/>
      <c r="M91" s="415"/>
      <c r="N91" s="415"/>
    </row>
    <row r="92" spans="1:14" ht="15" customHeight="1" x14ac:dyDescent="0.35">
      <c r="A92" s="3"/>
      <c r="B92" s="17" t="s">
        <v>239</v>
      </c>
      <c r="C92" s="9" t="s">
        <v>58</v>
      </c>
      <c r="D92" s="325">
        <f>INPUT!H95</f>
        <v>0</v>
      </c>
      <c r="E92" s="414"/>
      <c r="F92" s="414"/>
      <c r="G92" s="414"/>
      <c r="H92" s="414"/>
      <c r="I92" s="414"/>
      <c r="J92" s="414"/>
      <c r="K92" s="414"/>
      <c r="L92" s="414"/>
      <c r="M92" s="414"/>
      <c r="N92" s="414"/>
    </row>
    <row r="93" spans="1:14" ht="15" customHeight="1" x14ac:dyDescent="0.35">
      <c r="A93" s="3"/>
      <c r="B93" s="17" t="s">
        <v>240</v>
      </c>
      <c r="C93" s="9" t="s">
        <v>65</v>
      </c>
      <c r="D93" s="316" t="str">
        <f>IFERROR(D91/D92-1,"–")</f>
        <v>–</v>
      </c>
      <c r="E93" s="414"/>
      <c r="F93" s="414"/>
      <c r="G93" s="414"/>
      <c r="H93" s="414"/>
      <c r="I93" s="414"/>
      <c r="J93" s="414"/>
      <c r="K93" s="414"/>
      <c r="L93" s="414"/>
      <c r="M93" s="414"/>
      <c r="N93" s="414"/>
    </row>
    <row r="94" spans="1:14" ht="15" customHeight="1" x14ac:dyDescent="0.35">
      <c r="A94" s="3"/>
      <c r="B94" s="115" t="s">
        <v>345</v>
      </c>
      <c r="C94" s="116" t="s">
        <v>65</v>
      </c>
      <c r="D94" s="326" t="str">
        <f>IFERROR(IRR(I49:M49),"–")</f>
        <v>–</v>
      </c>
      <c r="E94" s="414"/>
      <c r="F94" s="414"/>
      <c r="G94" s="414"/>
      <c r="H94" s="414"/>
      <c r="I94" s="414"/>
      <c r="J94" s="414"/>
      <c r="K94" s="414"/>
      <c r="L94" s="414"/>
      <c r="M94" s="414"/>
      <c r="N94" s="414"/>
    </row>
    <row r="95" spans="1:14" ht="15" customHeight="1" x14ac:dyDescent="0.35">
      <c r="A95" s="3"/>
      <c r="B95" s="115"/>
      <c r="C95" s="116"/>
      <c r="D95" s="114"/>
      <c r="E95" s="22"/>
      <c r="F95" s="22"/>
      <c r="G95" s="22"/>
      <c r="H95" s="22"/>
      <c r="I95" s="22"/>
      <c r="J95" s="22"/>
      <c r="K95" s="22"/>
      <c r="L95" s="22"/>
      <c r="M95" s="22"/>
      <c r="N95" s="22"/>
    </row>
    <row r="96" spans="1:14" ht="18" customHeight="1" x14ac:dyDescent="0.5">
      <c r="A96" s="7"/>
      <c r="B96" s="53" t="s">
        <v>241</v>
      </c>
      <c r="C96" s="48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</row>
    <row r="97" spans="1:14" ht="15" customHeight="1" x14ac:dyDescent="0.35">
      <c r="A97" s="1"/>
      <c r="B97" s="16" t="s">
        <v>242</v>
      </c>
      <c r="C97" s="99" t="s">
        <v>243</v>
      </c>
      <c r="D97" s="99">
        <v>0</v>
      </c>
      <c r="E97" s="99">
        <v>0.01</v>
      </c>
      <c r="F97" s="99">
        <v>0.02</v>
      </c>
      <c r="G97" s="99">
        <v>0.03</v>
      </c>
      <c r="H97" s="99">
        <v>0.04</v>
      </c>
      <c r="I97" s="24"/>
      <c r="J97" s="24"/>
      <c r="K97" s="24"/>
      <c r="L97" s="24"/>
      <c r="M97" s="24"/>
      <c r="N97" s="24"/>
    </row>
    <row r="98" spans="1:14" ht="15" customHeight="1" x14ac:dyDescent="0.35">
      <c r="A98" s="3"/>
      <c r="B98" s="14"/>
      <c r="C98" s="327">
        <f>D63-0.02</f>
        <v>-0.02</v>
      </c>
      <c r="D98" s="325" t="str">
        <f>IFERROR((D82+((D69*(1+0))/(C98-0))/(1+C98)^5+D86+D87)/D90,"–")</f>
        <v>–</v>
      </c>
      <c r="E98" s="325" t="str">
        <f>IFERROR((D82+((D69*(1+0.01))/(C98-0.01))/(1+C98)^5+D86+D87)/D90,"–")</f>
        <v>–</v>
      </c>
      <c r="F98" s="325" t="str">
        <f>IFERROR((D82+((D69*(1+0.02))/(C98-0.02))/(1+C98)^5+D86+D87)/D90,"–")</f>
        <v>–</v>
      </c>
      <c r="G98" s="325" t="str">
        <f>IFERROR((D82+((D69*(1+0.03))/(C98-0.03))/(1+C98)^5+D86+D87)/D90,"–")</f>
        <v>–</v>
      </c>
      <c r="H98" s="325" t="str">
        <f>IFERROR((D82+((D69*(1+0.04))/(C98-0.04))/(1+C98)^5+D86+D87)/D90,"–")</f>
        <v>–</v>
      </c>
      <c r="I98" s="22"/>
      <c r="J98" s="22"/>
      <c r="K98" s="22"/>
      <c r="L98" s="22"/>
      <c r="M98" s="22"/>
      <c r="N98" s="22"/>
    </row>
    <row r="99" spans="1:14" ht="15" customHeight="1" x14ac:dyDescent="0.35">
      <c r="A99" s="3"/>
      <c r="B99" s="14"/>
      <c r="C99" s="327">
        <f>D63-0.01</f>
        <v>-0.01</v>
      </c>
      <c r="D99" s="325" t="str">
        <f>IFERROR((D82+((D69*(1+0))/(C99-0))/(1+C99)^5+D86+D87)/D90,"–")</f>
        <v>–</v>
      </c>
      <c r="E99" s="325" t="str">
        <f>IFERROR((D82+((D69*(1+0.01))/(C99-0.01))/(1+C99)^5+D86+D87)/D90,"–")</f>
        <v>–</v>
      </c>
      <c r="F99" s="325" t="str">
        <f>IFERROR((D82+((D69*(1+0.02))/(C99-0.02))/(1+C99)^5+D86+D87)/D90,"–")</f>
        <v>–</v>
      </c>
      <c r="G99" s="325" t="str">
        <f>IFERROR((D82+((D69*(1+0.03))/(C99-0.03))/(1+C99)^5+D86+D87)/D90,"–")</f>
        <v>–</v>
      </c>
      <c r="H99" s="325" t="str">
        <f>IFERROR((D82+((D69*(1+0.04))/(C99-0.04))/(1+C99)^5+D86+D87)/D90,"–")</f>
        <v>–</v>
      </c>
      <c r="I99" s="22"/>
      <c r="J99" s="22"/>
      <c r="K99" s="22"/>
      <c r="L99" s="22"/>
      <c r="M99" s="22"/>
      <c r="N99" s="22"/>
    </row>
    <row r="100" spans="1:14" ht="15" customHeight="1" x14ac:dyDescent="0.35">
      <c r="A100" s="3"/>
      <c r="B100" s="14"/>
      <c r="C100" s="328">
        <f>D63</f>
        <v>0</v>
      </c>
      <c r="D100" s="325" t="str">
        <f>IFERROR((D82+((D69*(1+0))/(C100-0))/(1+C100)^5+D86+D87)/D90,"–")</f>
        <v>–</v>
      </c>
      <c r="E100" s="325" t="str">
        <f>IFERROR((D82+((D69*(1+0.01))/(C100-0.01))/(1+C100)^5+D86+D87)/D90,"–")</f>
        <v>–</v>
      </c>
      <c r="F100" s="329" t="str">
        <f>IFERROR((D82+((D69*(1+0.02))/(C100-0.02))/(1+C100)^5+D86+D87)/D90,"–")</f>
        <v>–</v>
      </c>
      <c r="G100" s="325" t="str">
        <f>IFERROR((D82+((D69*(1+0.03))/(C100-0.03))/(1+C100)^5+D86+D87)/D90,"–")</f>
        <v>–</v>
      </c>
      <c r="H100" s="325" t="str">
        <f>IFERROR((D82+((D69*(1+0.04))/(C100-0.04))/(1+C100)^5+D86+D87)/D90,"–")</f>
        <v>–</v>
      </c>
      <c r="I100" s="22"/>
      <c r="J100" s="22"/>
      <c r="K100" s="22"/>
      <c r="L100" s="22"/>
      <c r="M100" s="22"/>
      <c r="N100" s="22"/>
    </row>
    <row r="101" spans="1:14" ht="15" customHeight="1" x14ac:dyDescent="0.35">
      <c r="A101" s="3"/>
      <c r="B101" s="14"/>
      <c r="C101" s="327">
        <f>D63+0.01</f>
        <v>0.01</v>
      </c>
      <c r="D101" s="325" t="str">
        <f>IFERROR((D82+((D69*(1+0))/(C101-0))/(1+C101)^5+D86+D87)/D90,"–")</f>
        <v>–</v>
      </c>
      <c r="E101" s="325" t="str">
        <f>IFERROR((D82+((D69*(1+0.01))/(C101-0.01))/(1+C101)^5+D86+D87)/D90,"–")</f>
        <v>–</v>
      </c>
      <c r="F101" s="325" t="str">
        <f>IFERROR((D82+((D69*(1+0.02))/(C101-0.02))/(1+C101)^5+D86+D87)/D90,"–")</f>
        <v>–</v>
      </c>
      <c r="G101" s="325" t="str">
        <f>IFERROR((D82+((D69*(1+0.03))/(C101-0.03))/(1+C101)^5+D86+D87)/D90,"–")</f>
        <v>–</v>
      </c>
      <c r="H101" s="325" t="str">
        <f>IFERROR((D82+((D69*(1+0.04))/(C101-0.04))/(1+C101)^5+D86+D87)/D90,"–")</f>
        <v>–</v>
      </c>
      <c r="I101" s="22"/>
      <c r="J101" s="22"/>
      <c r="K101" s="22"/>
      <c r="L101" s="22"/>
      <c r="M101" s="22"/>
      <c r="N101" s="22"/>
    </row>
    <row r="102" spans="1:14" ht="15" customHeight="1" x14ac:dyDescent="0.35">
      <c r="A102" s="3"/>
      <c r="B102" s="14"/>
      <c r="C102" s="327">
        <f>D63+0.02</f>
        <v>0.02</v>
      </c>
      <c r="D102" s="325" t="str">
        <f>IFERROR((D82+((D69*(1+0))/(C102-0))/(1+C102)^5+D86+D87)/D90,"–")</f>
        <v>–</v>
      </c>
      <c r="E102" s="325" t="str">
        <f>IFERROR((D82+((D69*(1+0.01))/(C102-0.01))/(1+C102)^5+D86+D87)/D90,"–")</f>
        <v>–</v>
      </c>
      <c r="F102" s="325" t="str">
        <f>IFERROR((D82+((D69*(1+0.02))/(C102-0.02))/(1+C102)^5+D86+D87)/D90,"–")</f>
        <v>–</v>
      </c>
      <c r="G102" s="325" t="str">
        <f>IFERROR((D82+((D69*(1+0.03))/(C102-0.03))/(1+C102)^5+D86+D87)/D90,"–")</f>
        <v>–</v>
      </c>
      <c r="H102" s="325" t="str">
        <f>IFERROR((D82+((D69*(1+0.04))/(C102-0.04))/(1+C102)^5+D86+D87)/D90,"–")</f>
        <v>–</v>
      </c>
      <c r="I102" s="22"/>
      <c r="J102" s="22"/>
      <c r="K102" s="22"/>
      <c r="L102" s="22"/>
      <c r="M102" s="22"/>
      <c r="N102" s="22"/>
    </row>
    <row r="103" spans="1:14" ht="15" customHeight="1" x14ac:dyDescent="0.35">
      <c r="A103" s="3"/>
      <c r="B103" s="18" t="s">
        <v>244</v>
      </c>
      <c r="C103" s="9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</row>
    <row r="104" spans="1:14" ht="15" customHeight="1" x14ac:dyDescent="0.35">
      <c r="A104" s="3"/>
      <c r="B104" s="14"/>
      <c r="C104" s="9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</row>
    <row r="105" spans="1:14" ht="18" customHeight="1" x14ac:dyDescent="0.5">
      <c r="A105" s="7"/>
      <c r="B105" s="53" t="s">
        <v>245</v>
      </c>
      <c r="C105" s="48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</row>
    <row r="106" spans="1:14" ht="15" customHeight="1" x14ac:dyDescent="0.35">
      <c r="A106" s="1"/>
      <c r="B106" s="16" t="s">
        <v>2</v>
      </c>
      <c r="C106" s="99" t="s">
        <v>194</v>
      </c>
      <c r="D106" s="24" t="s">
        <v>246</v>
      </c>
      <c r="E106" s="24"/>
      <c r="F106" s="24" t="s">
        <v>247</v>
      </c>
      <c r="G106" s="24" t="s">
        <v>248</v>
      </c>
      <c r="H106" s="24"/>
      <c r="I106" s="24"/>
      <c r="J106" s="24"/>
      <c r="K106" s="24"/>
      <c r="L106" s="24"/>
      <c r="M106" s="24"/>
      <c r="N106"/>
    </row>
    <row r="107" spans="1:14" ht="15" customHeight="1" x14ac:dyDescent="0.35">
      <c r="A107" s="3"/>
      <c r="B107" s="17" t="s">
        <v>249</v>
      </c>
      <c r="C107" s="9" t="s">
        <v>65</v>
      </c>
      <c r="D107" s="316">
        <f>D29-0.03</f>
        <v>2.0000000000000004E-2</v>
      </c>
      <c r="E107" s="316">
        <f>D29</f>
        <v>0.05</v>
      </c>
      <c r="F107" s="316">
        <f>D29+0.03</f>
        <v>0.08</v>
      </c>
      <c r="G107" s="330">
        <f>D29+0.03</f>
        <v>0.08</v>
      </c>
      <c r="H107" s="22"/>
      <c r="I107" s="22"/>
      <c r="J107" s="22"/>
      <c r="K107" s="22"/>
      <c r="L107" s="22"/>
      <c r="M107" s="22"/>
      <c r="N107"/>
    </row>
    <row r="108" spans="1:14" ht="15" customHeight="1" x14ac:dyDescent="0.35">
      <c r="A108" s="3"/>
      <c r="B108" s="17" t="s">
        <v>96</v>
      </c>
      <c r="C108" s="9" t="s">
        <v>65</v>
      </c>
      <c r="D108" s="316" t="str">
        <f>IFERROR(D15/D9-0.03,"–")</f>
        <v>–</v>
      </c>
      <c r="E108" s="316" t="str">
        <f>IFERROR(H15/H9,"–")</f>
        <v>–</v>
      </c>
      <c r="F108" s="316" t="str">
        <f>IFERROR(H15/H9+0.03,"–")</f>
        <v>–</v>
      </c>
      <c r="G108" s="330" t="str">
        <f>IFERROR(D15/D9+0.03,"–")</f>
        <v>–</v>
      </c>
      <c r="H108" s="22"/>
      <c r="I108" s="22"/>
      <c r="J108" s="22"/>
      <c r="K108" s="22"/>
      <c r="L108" s="22"/>
      <c r="M108" s="22"/>
      <c r="N108"/>
    </row>
    <row r="109" spans="1:14" ht="15" customHeight="1" x14ac:dyDescent="0.35">
      <c r="A109" s="3"/>
      <c r="B109" s="17" t="s">
        <v>74</v>
      </c>
      <c r="C109" s="9" t="s">
        <v>65</v>
      </c>
      <c r="D109" s="316">
        <f>D67-0.01</f>
        <v>-0.01</v>
      </c>
      <c r="E109" s="316">
        <f>D67</f>
        <v>0</v>
      </c>
      <c r="F109" s="316">
        <f>D67+0.01</f>
        <v>0.01</v>
      </c>
      <c r="G109" s="330">
        <f>D67+0.01</f>
        <v>0.01</v>
      </c>
      <c r="H109" s="22"/>
      <c r="I109" s="22"/>
      <c r="J109" s="22"/>
      <c r="K109" s="22"/>
      <c r="L109" s="22"/>
      <c r="M109" s="22"/>
      <c r="N109"/>
    </row>
    <row r="110" spans="1:14" ht="15" customHeight="1" x14ac:dyDescent="0.35">
      <c r="A110" s="3"/>
      <c r="B110" s="17" t="s">
        <v>73</v>
      </c>
      <c r="C110" s="9" t="s">
        <v>65</v>
      </c>
      <c r="D110" s="316">
        <f>D63+0.01</f>
        <v>0.01</v>
      </c>
      <c r="E110" s="316">
        <f>D63</f>
        <v>0</v>
      </c>
      <c r="F110" s="316">
        <f>D63-0.01</f>
        <v>-0.01</v>
      </c>
      <c r="G110" s="330">
        <f>D63-0.01</f>
        <v>-0.01</v>
      </c>
      <c r="H110" s="22"/>
      <c r="I110" s="22"/>
      <c r="J110" s="22"/>
      <c r="K110" s="22"/>
      <c r="L110" s="22"/>
      <c r="M110" s="22"/>
      <c r="N110"/>
    </row>
    <row r="111" spans="1:14" ht="15" customHeight="1" x14ac:dyDescent="0.35">
      <c r="A111" s="3"/>
      <c r="B111" s="17" t="s">
        <v>250</v>
      </c>
      <c r="C111" s="9" t="s">
        <v>58</v>
      </c>
      <c r="D111" s="331" t="str">
        <f>IFERROR((D82+((D69*(1+D109))/(D110-D109))/(1+D110)^5+D86+D87)/D90,"–")</f>
        <v>–</v>
      </c>
      <c r="E111" s="325" t="str">
        <f>D91</f>
        <v>–</v>
      </c>
      <c r="F111" s="331" t="str">
        <f>IFERROR((D82+((D69*(1+G109))/(G110-G109))/(1+G110)^5+D86+D87)/D90,"–")</f>
        <v>–</v>
      </c>
      <c r="G111" s="332" t="str">
        <f>IFERROR((D82+((D69*(1+G109))/(G110-G109)/(1+G110)^5)+D86+D87)/D90,"–")</f>
        <v>–</v>
      </c>
      <c r="H111" s="22"/>
      <c r="I111" s="22"/>
      <c r="J111" s="22"/>
      <c r="K111" s="22"/>
      <c r="L111" s="22"/>
      <c r="M111" s="22"/>
      <c r="N111"/>
    </row>
    <row r="112" spans="1:14" ht="15" customHeight="1" x14ac:dyDescent="0.35">
      <c r="A112" s="3"/>
      <c r="B112" s="14"/>
      <c r="C112" s="9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</row>
    <row r="113" spans="1:14" ht="15" customHeight="1" x14ac:dyDescent="0.35">
      <c r="A113" s="4"/>
      <c r="B113" s="33" t="s">
        <v>339</v>
      </c>
      <c r="C113" s="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</row>
    <row r="114" spans="1:14" ht="15" customHeight="1" x14ac:dyDescent="0.35">
      <c r="A114" s="4"/>
      <c r="B114" s="33" t="s">
        <v>86</v>
      </c>
      <c r="C114" s="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</row>
    <row r="115" spans="1:14" ht="15" customHeight="1" x14ac:dyDescent="0.35">
      <c r="A115" s="4"/>
      <c r="B115" s="33" t="s">
        <v>340</v>
      </c>
      <c r="C115" s="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</row>
    <row r="116" spans="1:14" ht="15" customHeight="1" x14ac:dyDescent="0.3">
      <c r="B116" s="51"/>
    </row>
    <row r="117" spans="1:14" ht="15" customHeight="1" x14ac:dyDescent="0.3">
      <c r="A117" s="100"/>
      <c r="B117" s="103" t="s">
        <v>336</v>
      </c>
      <c r="C117" s="103" t="str">
        <f>TEXT(INPUT!D117+1,"0")&amp;"F"</f>
        <v>1F</v>
      </c>
      <c r="D117" s="103" t="str">
        <f>TEXT(INPUT!D117+2,"0")&amp;"F"</f>
        <v>2F</v>
      </c>
      <c r="E117" s="103" t="str">
        <f>TEXT(INPUT!D117+3,"0")&amp;"F"</f>
        <v>3F</v>
      </c>
      <c r="F117" s="103" t="str">
        <f>TEXT(INPUT!D117+4,"0")&amp;"F"</f>
        <v>4F</v>
      </c>
      <c r="G117" s="103" t="str">
        <f>TEXT(INPUT!D117+5,"0")&amp;"F"</f>
        <v>5F</v>
      </c>
      <c r="H117" s="102"/>
      <c r="I117" s="102"/>
      <c r="J117" s="102"/>
      <c r="K117" s="102"/>
      <c r="L117" s="102"/>
      <c r="M117" s="102"/>
      <c r="N117" s="102"/>
    </row>
    <row r="118" spans="1:14" ht="15" customHeight="1" x14ac:dyDescent="0.3">
      <c r="B118" s="51" t="s">
        <v>337</v>
      </c>
      <c r="C118" s="333" t="e">
        <f>IF(I49=0,NA(),I49)</f>
        <v>#N/A</v>
      </c>
      <c r="D118" s="333" t="e">
        <f>IF(J49=0,NA(),J49)</f>
        <v>#N/A</v>
      </c>
      <c r="E118" s="333" t="e">
        <f>IF(K49=0,NA(),K49)</f>
        <v>#N/A</v>
      </c>
      <c r="F118" s="333" t="e">
        <f>IF(L49=0,NA(),L49)</f>
        <v>#N/A</v>
      </c>
      <c r="G118" s="333" t="e">
        <f>IF(M49=0,NA(),M49)</f>
        <v>#N/A</v>
      </c>
      <c r="H118" s="102"/>
      <c r="I118" s="102"/>
      <c r="J118" s="102"/>
      <c r="K118" s="102"/>
      <c r="L118" s="102"/>
      <c r="M118" s="102"/>
      <c r="N118" s="102"/>
    </row>
    <row r="119" spans="1:14" ht="15" customHeight="1" x14ac:dyDescent="0.3">
      <c r="B119" s="51"/>
      <c r="C119" s="287" t="str">
        <f>TEXT(INPUT!D117+1,"0")&amp;"F"</f>
        <v>1F</v>
      </c>
      <c r="D119" s="287" t="str">
        <f>TEXT(INPUT!D117+2,"0")&amp;"F"</f>
        <v>2F</v>
      </c>
      <c r="E119" s="287" t="str">
        <f>TEXT(INPUT!D117+3,"0")&amp;"F"</f>
        <v>3F</v>
      </c>
      <c r="F119" s="287" t="str">
        <f>TEXT(INPUT!D117+4,"0")&amp;"F"</f>
        <v>4F</v>
      </c>
      <c r="G119" s="287" t="str">
        <f>TEXT(INPUT!D117+5,"0")&amp;"F"</f>
        <v>5F</v>
      </c>
      <c r="H119" s="102"/>
      <c r="I119" s="102"/>
      <c r="J119" s="102"/>
      <c r="K119" s="102"/>
      <c r="L119" s="102"/>
      <c r="M119" s="102"/>
      <c r="N119" s="102"/>
    </row>
    <row r="120" spans="1:14" ht="15" customHeight="1" x14ac:dyDescent="0.3">
      <c r="A120" s="100"/>
      <c r="B120" s="103" t="s">
        <v>338</v>
      </c>
      <c r="C120" s="103" t="e">
        <f>IF(I9=0,NA(),I9)</f>
        <v>#N/A</v>
      </c>
      <c r="D120" s="103" t="e">
        <f>IF(J9=0,NA(),J9)</f>
        <v>#N/A</v>
      </c>
      <c r="E120" s="103" t="e">
        <f>IF(K9=0,NA(),K9)</f>
        <v>#N/A</v>
      </c>
      <c r="F120" s="103" t="e">
        <f>IF(L9=0,NA(),L9)</f>
        <v>#N/A</v>
      </c>
      <c r="G120" s="103" t="e">
        <f>IF(M9=0,NA(),M9)</f>
        <v>#N/A</v>
      </c>
      <c r="H120" s="102"/>
      <c r="I120" s="102"/>
      <c r="J120" s="102"/>
      <c r="K120" s="102"/>
      <c r="L120" s="102"/>
      <c r="M120" s="102"/>
      <c r="N120" s="102"/>
    </row>
    <row r="121" spans="1:14" ht="15" customHeight="1" x14ac:dyDescent="0.3">
      <c r="B121" s="51" t="s">
        <v>5</v>
      </c>
      <c r="C121" s="334" t="e">
        <f>IF(G9=0,NA(),G9)</f>
        <v>#N/A</v>
      </c>
      <c r="D121" s="333" t="e">
        <f>IF(H9=0,NA(),H9)</f>
        <v>#N/A</v>
      </c>
      <c r="E121" s="333" t="e">
        <f>IF(I9=0,NA(),I9)</f>
        <v>#N/A</v>
      </c>
      <c r="F121" s="333" t="e">
        <f>IF(J9=0,NA(),J9)</f>
        <v>#N/A</v>
      </c>
      <c r="G121" s="333" t="e">
        <f>IF(K9=0,NA(),K9)</f>
        <v>#N/A</v>
      </c>
      <c r="H121" s="102"/>
      <c r="I121" s="102"/>
      <c r="J121" s="102"/>
      <c r="K121" s="102"/>
      <c r="L121" s="102"/>
      <c r="M121" s="102"/>
      <c r="N121" s="102"/>
    </row>
    <row r="122" spans="1:14" ht="15" customHeight="1" x14ac:dyDescent="0.3">
      <c r="B122" s="51"/>
    </row>
    <row r="123" spans="1:14" ht="15" customHeight="1" x14ac:dyDescent="0.3">
      <c r="B123" s="51"/>
    </row>
    <row r="124" spans="1:14" ht="15" customHeight="1" x14ac:dyDescent="0.3">
      <c r="B124" s="51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32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" id="{784F1F72-DB3D-4B92-BD75-5C8EF84798D2}">
            <xm:f>INPUT!$F$128&lt;1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D1:D121</xm:sqref>
        </x14:conditionalFormatting>
        <x14:conditionalFormatting xmlns:xm="http://schemas.microsoft.com/office/excel/2006/main">
          <x14:cfRule type="expression" priority="7" id="{F3B73EFE-69A6-4B40-B3DB-1A7A37486BD5}">
            <xm:f>INPUT!$F$128&lt;2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E1:E121</xm:sqref>
        </x14:conditionalFormatting>
        <x14:conditionalFormatting xmlns:xm="http://schemas.microsoft.com/office/excel/2006/main">
          <x14:cfRule type="expression" priority="8" id="{C40AE0BE-C653-4F55-9A13-500CCCFB2E92}">
            <xm:f>INPUT!$F$128&lt;3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F1:F121</xm:sqref>
        </x14:conditionalFormatting>
        <x14:conditionalFormatting xmlns:xm="http://schemas.microsoft.com/office/excel/2006/main">
          <x14:cfRule type="expression" priority="9" id="{443F37F2-FCE3-4240-8768-7720C3A38077}">
            <xm:f>INPUT!$F$128&lt;4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G1:G121</xm:sqref>
        </x14:conditionalFormatting>
        <x14:conditionalFormatting xmlns:xm="http://schemas.microsoft.com/office/excel/2006/main">
          <x14:cfRule type="expression" priority="10" id="{5FFD3922-793C-446A-8504-30DE95036FFD}">
            <xm:f>INPUT!$F$128&lt;5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  <border>
                <left style="thin">
                  <color rgb="FFFFFFFF"/>
                </left>
                <right style="thin">
                  <color rgb="FFFFFFFF"/>
                </right>
                <top style="thin">
                  <color rgb="FFFFFFFF"/>
                </top>
                <bottom style="thin">
                  <color rgb="FFFFFFFF"/>
                </bottom>
              </border>
            </x14:dxf>
          </x14:cfRule>
          <xm:sqref>H1:H121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1437B-CB3A-4CD5-B93D-5CB8A4324C36}">
  <sheetPr>
    <pageSetUpPr fitToPage="1"/>
  </sheetPr>
  <dimension ref="A1:O120"/>
  <sheetViews>
    <sheetView showGridLines="0" zoomScaleNormal="100" workbookViewId="0">
      <selection activeCell="E22" sqref="E22"/>
    </sheetView>
  </sheetViews>
  <sheetFormatPr baseColWidth="10" defaultRowHeight="14.4" x14ac:dyDescent="0.3"/>
  <cols>
    <col min="1" max="1" width="6.88671875" customWidth="1"/>
    <col min="2" max="2" width="34.88671875" style="19" customWidth="1"/>
    <col min="3" max="3" width="11.6640625" customWidth="1"/>
    <col min="4" max="4" width="13.33203125" style="21" customWidth="1"/>
    <col min="5" max="6" width="14.44140625" style="21" customWidth="1"/>
    <col min="7" max="11" width="12" style="21" customWidth="1"/>
    <col min="12" max="12" width="16.88671875" style="21" customWidth="1"/>
    <col min="13" max="14" width="11.5546875" style="21"/>
  </cols>
  <sheetData>
    <row r="1" spans="1:15" ht="54.9" customHeight="1" x14ac:dyDescent="0.6">
      <c r="A1" s="250"/>
      <c r="B1" s="118" t="s">
        <v>346</v>
      </c>
      <c r="C1" s="5"/>
      <c r="D1" s="29"/>
      <c r="E1" s="29"/>
      <c r="F1" s="29"/>
      <c r="G1" s="29"/>
      <c r="H1" s="29"/>
      <c r="I1" s="29"/>
      <c r="J1" s="29"/>
      <c r="K1" s="117" t="s">
        <v>351</v>
      </c>
      <c r="L1" s="29"/>
      <c r="M1" s="264"/>
      <c r="N1" s="264"/>
      <c r="O1" s="264"/>
    </row>
    <row r="2" spans="1:15" ht="15" customHeight="1" x14ac:dyDescent="0.35">
      <c r="A2" s="3"/>
      <c r="B2" s="14"/>
      <c r="C2" s="3"/>
      <c r="D2" s="22"/>
      <c r="E2" s="22"/>
      <c r="F2" s="22"/>
      <c r="G2" s="22"/>
      <c r="H2" s="22"/>
      <c r="I2" s="22"/>
      <c r="J2" s="22"/>
      <c r="K2" s="22"/>
      <c r="L2" s="22"/>
    </row>
    <row r="3" spans="1:15" ht="18" customHeight="1" x14ac:dyDescent="0.5">
      <c r="A3" s="126" t="s">
        <v>343</v>
      </c>
      <c r="B3" s="15" t="s">
        <v>251</v>
      </c>
      <c r="C3" s="7"/>
      <c r="D3" s="23"/>
      <c r="E3" s="23"/>
      <c r="F3" s="23"/>
      <c r="G3" s="23"/>
      <c r="H3" s="23"/>
      <c r="I3" s="23"/>
      <c r="J3" s="23"/>
      <c r="K3" s="23"/>
      <c r="L3" s="23"/>
      <c r="M3" s="108"/>
      <c r="N3" s="108"/>
    </row>
    <row r="4" spans="1:15" ht="15" customHeight="1" x14ac:dyDescent="0.35">
      <c r="A4" s="3"/>
      <c r="B4" s="12" t="s">
        <v>252</v>
      </c>
      <c r="C4" s="3"/>
      <c r="D4" s="22"/>
      <c r="E4" s="22"/>
      <c r="F4" s="22"/>
      <c r="G4" s="22"/>
      <c r="H4" s="22"/>
      <c r="I4" s="22"/>
      <c r="J4" s="22"/>
      <c r="K4" s="22"/>
      <c r="L4" s="22"/>
    </row>
    <row r="5" spans="1:15" ht="15" customHeight="1" x14ac:dyDescent="0.35">
      <c r="A5" s="3"/>
      <c r="B5" s="14"/>
      <c r="C5" s="3"/>
      <c r="D5" s="22"/>
      <c r="E5" s="22"/>
      <c r="F5" s="22"/>
      <c r="G5" s="22"/>
      <c r="H5" s="22"/>
      <c r="I5" s="22"/>
      <c r="J5" s="22"/>
      <c r="K5" s="22"/>
      <c r="L5" s="22"/>
    </row>
    <row r="6" spans="1:15" ht="18" customHeight="1" x14ac:dyDescent="0.5">
      <c r="A6" s="126" t="s">
        <v>343</v>
      </c>
      <c r="B6" s="15" t="s">
        <v>253</v>
      </c>
      <c r="C6" s="7"/>
      <c r="D6" s="23"/>
      <c r="E6" s="23"/>
      <c r="F6" s="23"/>
      <c r="G6" s="23"/>
      <c r="H6" s="23"/>
      <c r="I6" s="23"/>
      <c r="J6" s="23"/>
      <c r="K6" s="23"/>
      <c r="L6" s="23"/>
      <c r="M6" s="108"/>
      <c r="N6" s="108"/>
    </row>
    <row r="7" spans="1:15" ht="15" customHeight="1" x14ac:dyDescent="0.35">
      <c r="A7" s="251"/>
      <c r="B7" s="16"/>
      <c r="C7" s="1"/>
      <c r="D7" s="35" t="s">
        <v>254</v>
      </c>
      <c r="E7" s="35" t="s">
        <v>255</v>
      </c>
      <c r="F7" s="35" t="s">
        <v>256</v>
      </c>
      <c r="G7" s="35" t="s">
        <v>257</v>
      </c>
      <c r="H7" s="35" t="s">
        <v>258</v>
      </c>
      <c r="I7" s="35" t="s">
        <v>259</v>
      </c>
      <c r="J7" s="35" t="s">
        <v>260</v>
      </c>
      <c r="K7" s="35" t="s">
        <v>261</v>
      </c>
      <c r="L7" s="35" t="s">
        <v>262</v>
      </c>
      <c r="M7" s="251"/>
    </row>
    <row r="8" spans="1:15" ht="15" customHeight="1" x14ac:dyDescent="0.35">
      <c r="A8" s="263"/>
      <c r="B8" s="28" t="s">
        <v>263</v>
      </c>
      <c r="C8" s="9" t="s">
        <v>264</v>
      </c>
      <c r="D8" s="31" t="s">
        <v>265</v>
      </c>
      <c r="E8" s="31" t="s">
        <v>266</v>
      </c>
      <c r="F8" s="31" t="s">
        <v>266</v>
      </c>
      <c r="G8" s="31" t="s">
        <v>266</v>
      </c>
      <c r="H8" s="31" t="s">
        <v>63</v>
      </c>
      <c r="I8" s="31" t="s">
        <v>63</v>
      </c>
      <c r="J8" s="31" t="s">
        <v>65</v>
      </c>
      <c r="K8" s="31" t="s">
        <v>265</v>
      </c>
      <c r="L8" s="31" t="s">
        <v>63</v>
      </c>
    </row>
    <row r="9" spans="1:15" ht="15" customHeight="1" x14ac:dyDescent="0.35">
      <c r="A9" s="3"/>
      <c r="B9" s="41" t="s">
        <v>267</v>
      </c>
      <c r="C9" s="9" t="s">
        <v>268</v>
      </c>
      <c r="D9" s="42"/>
      <c r="E9" s="36"/>
      <c r="F9" s="36"/>
      <c r="G9" s="36"/>
      <c r="H9" s="335" t="str">
        <f>IFERROR(E9/G9,"–")</f>
        <v>–</v>
      </c>
      <c r="I9" s="335" t="str">
        <f>IFERROR(E9/F9,"–")</f>
        <v>–</v>
      </c>
      <c r="J9" s="43"/>
      <c r="K9" s="42"/>
      <c r="L9" s="335" t="str">
        <f>IFERROR(D9/K9,"–")</f>
        <v>–</v>
      </c>
    </row>
    <row r="10" spans="1:15" ht="15" customHeight="1" x14ac:dyDescent="0.35">
      <c r="A10" s="3"/>
      <c r="B10" s="41" t="s">
        <v>269</v>
      </c>
      <c r="C10" s="9" t="s">
        <v>270</v>
      </c>
      <c r="D10" s="42"/>
      <c r="E10" s="36"/>
      <c r="F10" s="36"/>
      <c r="G10" s="36"/>
      <c r="H10" s="335" t="str">
        <f>IFERROR(E10/G10,"–")</f>
        <v>–</v>
      </c>
      <c r="I10" s="335" t="str">
        <f>IFERROR(E10/F10,"–")</f>
        <v>–</v>
      </c>
      <c r="J10" s="43"/>
      <c r="K10" s="42"/>
      <c r="L10" s="335" t="str">
        <f>IFERROR(D10/K10,"–")</f>
        <v>–</v>
      </c>
    </row>
    <row r="11" spans="1:15" ht="15" customHeight="1" x14ac:dyDescent="0.35">
      <c r="A11" s="3"/>
      <c r="B11" s="41" t="s">
        <v>271</v>
      </c>
      <c r="C11" s="9" t="s">
        <v>272</v>
      </c>
      <c r="D11" s="42"/>
      <c r="E11" s="36"/>
      <c r="F11" s="36"/>
      <c r="G11" s="36"/>
      <c r="H11" s="335" t="str">
        <f>IFERROR(E11/G11,"–")</f>
        <v>–</v>
      </c>
      <c r="I11" s="335" t="str">
        <f>IFERROR(E11/F11,"–")</f>
        <v>–</v>
      </c>
      <c r="J11" s="43"/>
      <c r="K11" s="42"/>
      <c r="L11" s="335" t="str">
        <f>IFERROR(D11/K11,"–")</f>
        <v>–</v>
      </c>
    </row>
    <row r="12" spans="1:15" ht="15" customHeight="1" x14ac:dyDescent="0.35">
      <c r="A12" s="3"/>
      <c r="B12" s="41" t="s">
        <v>273</v>
      </c>
      <c r="C12" s="9" t="s">
        <v>274</v>
      </c>
      <c r="D12" s="42"/>
      <c r="E12" s="36"/>
      <c r="F12" s="36"/>
      <c r="G12" s="36"/>
      <c r="H12" s="335" t="str">
        <f>IFERROR(E12/G12,"–")</f>
        <v>–</v>
      </c>
      <c r="I12" s="335" t="str">
        <f>IFERROR(E12/F12,"–")</f>
        <v>–</v>
      </c>
      <c r="J12" s="43"/>
      <c r="K12" s="42"/>
      <c r="L12" s="335" t="str">
        <f>IFERROR(D12/K12,"–")</f>
        <v>–</v>
      </c>
    </row>
    <row r="13" spans="1:15" ht="15" customHeight="1" x14ac:dyDescent="0.35">
      <c r="A13" s="3"/>
      <c r="B13" s="41" t="s">
        <v>275</v>
      </c>
      <c r="C13" s="9" t="s">
        <v>276</v>
      </c>
      <c r="D13" s="75"/>
      <c r="E13" s="71"/>
      <c r="F13" s="71"/>
      <c r="G13" s="71"/>
      <c r="H13" s="336" t="str">
        <f>IFERROR(E13/G13,"–")</f>
        <v>–</v>
      </c>
      <c r="I13" s="336" t="str">
        <f>IFERROR(E13/F13,"–")</f>
        <v>–</v>
      </c>
      <c r="J13" s="76"/>
      <c r="K13" s="75"/>
      <c r="L13" s="336" t="str">
        <f>IFERROR(D13/K13,"–")</f>
        <v>–</v>
      </c>
    </row>
    <row r="14" spans="1:15" ht="15" customHeight="1" x14ac:dyDescent="0.35">
      <c r="A14" s="3"/>
      <c r="B14" s="14"/>
      <c r="C14" s="9"/>
      <c r="D14" s="22"/>
      <c r="E14" s="22"/>
      <c r="F14" s="22"/>
      <c r="G14" s="22"/>
      <c r="H14" s="22"/>
      <c r="I14" s="22"/>
      <c r="J14" s="22"/>
      <c r="K14" s="22"/>
      <c r="L14" s="22"/>
    </row>
    <row r="15" spans="1:15" ht="15" customHeight="1" x14ac:dyDescent="0.35">
      <c r="A15" s="3"/>
      <c r="B15" s="14" t="s">
        <v>277</v>
      </c>
      <c r="C15" s="9"/>
      <c r="D15" s="323" t="str">
        <f t="shared" ref="D15:L15" si="0">IFERROR(AVERAGE(D9:D13),"–")</f>
        <v>–</v>
      </c>
      <c r="E15" s="323" t="str">
        <f t="shared" si="0"/>
        <v>–</v>
      </c>
      <c r="F15" s="323" t="str">
        <f t="shared" si="0"/>
        <v>–</v>
      </c>
      <c r="G15" s="323" t="str">
        <f t="shared" si="0"/>
        <v>–</v>
      </c>
      <c r="H15" s="337" t="str">
        <f t="shared" si="0"/>
        <v>–</v>
      </c>
      <c r="I15" s="337" t="str">
        <f t="shared" si="0"/>
        <v>–</v>
      </c>
      <c r="J15" s="338" t="str">
        <f t="shared" si="0"/>
        <v>–</v>
      </c>
      <c r="K15" s="339" t="str">
        <f t="shared" si="0"/>
        <v>–</v>
      </c>
      <c r="L15" s="337" t="str">
        <f t="shared" si="0"/>
        <v>–</v>
      </c>
    </row>
    <row r="16" spans="1:15" ht="15" customHeight="1" x14ac:dyDescent="0.35">
      <c r="A16" s="3"/>
      <c r="B16" s="14" t="s">
        <v>278</v>
      </c>
      <c r="C16" s="9"/>
      <c r="D16" s="323" t="str">
        <f t="shared" ref="D16:L16" si="1">IFERROR(MEDIAN(D9:D13),"–")</f>
        <v>–</v>
      </c>
      <c r="E16" s="323" t="str">
        <f t="shared" si="1"/>
        <v>–</v>
      </c>
      <c r="F16" s="323" t="str">
        <f t="shared" si="1"/>
        <v>–</v>
      </c>
      <c r="G16" s="323" t="str">
        <f t="shared" si="1"/>
        <v>–</v>
      </c>
      <c r="H16" s="337" t="str">
        <f t="shared" si="1"/>
        <v>–</v>
      </c>
      <c r="I16" s="337" t="str">
        <f t="shared" si="1"/>
        <v>–</v>
      </c>
      <c r="J16" s="338" t="str">
        <f t="shared" si="1"/>
        <v>–</v>
      </c>
      <c r="K16" s="339" t="str">
        <f t="shared" si="1"/>
        <v>–</v>
      </c>
      <c r="L16" s="337" t="str">
        <f t="shared" si="1"/>
        <v>–</v>
      </c>
    </row>
    <row r="17" spans="1:14" ht="15" customHeight="1" x14ac:dyDescent="0.35">
      <c r="A17" s="3"/>
      <c r="B17" s="14" t="s">
        <v>279</v>
      </c>
      <c r="C17" s="9"/>
      <c r="D17" s="340">
        <f t="shared" ref="D17:L17" si="2">IFERROR(MAX(D9:D13),"–")</f>
        <v>0</v>
      </c>
      <c r="E17" s="340">
        <f t="shared" si="2"/>
        <v>0</v>
      </c>
      <c r="F17" s="340">
        <f t="shared" si="2"/>
        <v>0</v>
      </c>
      <c r="G17" s="340">
        <f t="shared" si="2"/>
        <v>0</v>
      </c>
      <c r="H17" s="341">
        <f t="shared" si="2"/>
        <v>0</v>
      </c>
      <c r="I17" s="341">
        <f t="shared" si="2"/>
        <v>0</v>
      </c>
      <c r="J17" s="342">
        <f t="shared" si="2"/>
        <v>0</v>
      </c>
      <c r="K17" s="343">
        <f t="shared" si="2"/>
        <v>0</v>
      </c>
      <c r="L17" s="341">
        <f t="shared" si="2"/>
        <v>0</v>
      </c>
    </row>
    <row r="18" spans="1:14" ht="15" customHeight="1" thickBot="1" x14ac:dyDescent="0.4">
      <c r="A18" s="3"/>
      <c r="B18" s="14" t="s">
        <v>280</v>
      </c>
      <c r="C18" s="9"/>
      <c r="D18" s="344">
        <f t="shared" ref="D18:L18" si="3">IFERROR(MIN(D9:D13),"–")</f>
        <v>0</v>
      </c>
      <c r="E18" s="344">
        <f t="shared" si="3"/>
        <v>0</v>
      </c>
      <c r="F18" s="344">
        <f t="shared" si="3"/>
        <v>0</v>
      </c>
      <c r="G18" s="344">
        <f t="shared" si="3"/>
        <v>0</v>
      </c>
      <c r="H18" s="345">
        <f t="shared" si="3"/>
        <v>0</v>
      </c>
      <c r="I18" s="345">
        <f t="shared" si="3"/>
        <v>0</v>
      </c>
      <c r="J18" s="346">
        <f t="shared" si="3"/>
        <v>0</v>
      </c>
      <c r="K18" s="347">
        <f t="shared" si="3"/>
        <v>0</v>
      </c>
      <c r="L18" s="345">
        <f t="shared" si="3"/>
        <v>0</v>
      </c>
    </row>
    <row r="19" spans="1:14" ht="15" customHeight="1" x14ac:dyDescent="0.35">
      <c r="A19" s="3"/>
      <c r="B19" s="14"/>
      <c r="C19" s="9"/>
      <c r="D19" s="22"/>
      <c r="E19" s="22"/>
      <c r="F19" s="22"/>
      <c r="G19" s="22"/>
      <c r="H19" s="22"/>
      <c r="I19" s="22"/>
      <c r="J19" s="22"/>
      <c r="K19" s="22"/>
      <c r="L19" s="22"/>
    </row>
    <row r="20" spans="1:14" ht="18" customHeight="1" x14ac:dyDescent="0.5">
      <c r="A20" s="126" t="s">
        <v>343</v>
      </c>
      <c r="B20" s="53" t="s">
        <v>281</v>
      </c>
      <c r="C20" s="48"/>
      <c r="D20" s="23"/>
      <c r="E20" s="23"/>
      <c r="F20" s="23"/>
      <c r="G20" s="23"/>
      <c r="H20" s="23"/>
      <c r="I20" s="23"/>
      <c r="J20" s="23"/>
      <c r="K20" s="23"/>
      <c r="L20" s="23"/>
      <c r="M20" s="108"/>
      <c r="N20" s="108"/>
    </row>
    <row r="21" spans="1:14" ht="15" customHeight="1" x14ac:dyDescent="0.35">
      <c r="A21" s="251"/>
      <c r="B21" s="52" t="s">
        <v>282</v>
      </c>
      <c r="C21" s="10"/>
      <c r="D21" s="24" t="str">
        <f>INPUT!D117&amp;" (LTM)"</f>
        <v xml:space="preserve"> (LTM)</v>
      </c>
      <c r="E21" s="24"/>
      <c r="F21" s="24"/>
      <c r="G21" s="24"/>
      <c r="H21" s="24"/>
      <c r="I21" s="24"/>
      <c r="J21" s="24"/>
      <c r="K21" s="24"/>
      <c r="L21" s="24"/>
      <c r="M21" s="251"/>
      <c r="N21" s="251"/>
    </row>
    <row r="22" spans="1:14" ht="15" customHeight="1" x14ac:dyDescent="0.35">
      <c r="A22" s="3"/>
      <c r="B22" s="17" t="s">
        <v>283</v>
      </c>
      <c r="C22" s="9" t="s">
        <v>266</v>
      </c>
      <c r="D22" s="348">
        <f>INPUT!F9/1000</f>
        <v>0</v>
      </c>
      <c r="E22" s="22"/>
      <c r="F22" s="22"/>
      <c r="G22" s="22"/>
      <c r="H22" s="22"/>
      <c r="I22" s="22"/>
      <c r="J22" s="22"/>
      <c r="K22" s="22"/>
      <c r="L22" s="22"/>
    </row>
    <row r="23" spans="1:14" ht="15" customHeight="1" x14ac:dyDescent="0.35">
      <c r="A23" s="3"/>
      <c r="B23" s="17" t="s">
        <v>284</v>
      </c>
      <c r="C23" s="9" t="s">
        <v>266</v>
      </c>
      <c r="D23" s="348">
        <f>INPUT!F30/1000</f>
        <v>0</v>
      </c>
      <c r="E23" s="22"/>
      <c r="F23" s="22"/>
      <c r="G23" s="22"/>
      <c r="H23" s="22"/>
      <c r="I23" s="22"/>
      <c r="J23" s="22"/>
      <c r="K23" s="22"/>
      <c r="L23" s="22"/>
    </row>
    <row r="24" spans="1:14" ht="15" customHeight="1" x14ac:dyDescent="0.35">
      <c r="A24" s="3"/>
      <c r="B24" s="17" t="s">
        <v>285</v>
      </c>
      <c r="C24" s="9" t="s">
        <v>58</v>
      </c>
      <c r="D24" s="349" t="str">
        <f>IFERROR(INPUT!F26/INPUT!F96,"–")</f>
        <v>–</v>
      </c>
      <c r="E24" s="22"/>
      <c r="F24" s="22"/>
      <c r="G24" s="22"/>
      <c r="H24" s="22"/>
      <c r="I24" s="22"/>
      <c r="J24" s="22"/>
      <c r="K24" s="22"/>
      <c r="L24" s="22"/>
    </row>
    <row r="25" spans="1:14" ht="15" customHeight="1" x14ac:dyDescent="0.35">
      <c r="A25" s="3"/>
      <c r="B25" s="17" t="s">
        <v>286</v>
      </c>
      <c r="C25" s="9" t="s">
        <v>266</v>
      </c>
      <c r="D25" s="348">
        <f>IFERROR((INPUT!F49+INPUT!F55-INPUT!F34)/1000,"–")</f>
        <v>0</v>
      </c>
      <c r="E25" s="22"/>
      <c r="F25" s="22"/>
      <c r="G25" s="22"/>
      <c r="H25" s="22"/>
      <c r="I25" s="22"/>
      <c r="J25" s="22"/>
      <c r="K25" s="22"/>
      <c r="L25" s="22"/>
    </row>
    <row r="26" spans="1:14" ht="15" customHeight="1" x14ac:dyDescent="0.35">
      <c r="A26" s="3"/>
      <c r="B26" s="17" t="s">
        <v>287</v>
      </c>
      <c r="C26" s="9" t="s">
        <v>288</v>
      </c>
      <c r="D26" s="350">
        <f>IFERROR(INPUT!F96/1000,"–")</f>
        <v>0</v>
      </c>
      <c r="E26" s="72"/>
      <c r="F26" s="72"/>
      <c r="G26" s="72"/>
      <c r="H26" s="72"/>
      <c r="I26" s="72"/>
      <c r="J26" s="72"/>
      <c r="K26" s="72"/>
      <c r="L26" s="72"/>
    </row>
    <row r="27" spans="1:14" ht="15" customHeight="1" x14ac:dyDescent="0.35">
      <c r="A27" s="3"/>
      <c r="B27" s="14"/>
      <c r="C27" s="9"/>
      <c r="D27" s="22"/>
      <c r="E27" s="22"/>
      <c r="F27" s="22"/>
      <c r="G27" s="22"/>
      <c r="H27" s="22"/>
      <c r="I27" s="22"/>
      <c r="J27" s="22"/>
      <c r="K27" s="22"/>
      <c r="L27" s="22"/>
    </row>
    <row r="28" spans="1:14" ht="18" customHeight="1" x14ac:dyDescent="0.5">
      <c r="A28" s="126" t="s">
        <v>343</v>
      </c>
      <c r="B28" s="53" t="s">
        <v>289</v>
      </c>
      <c r="C28" s="48"/>
      <c r="D28" s="50"/>
      <c r="E28" s="50"/>
      <c r="F28" s="50"/>
      <c r="G28" s="50"/>
      <c r="H28" s="23"/>
      <c r="I28" s="23"/>
      <c r="J28" s="23"/>
      <c r="K28" s="23"/>
      <c r="L28" s="23"/>
      <c r="M28" s="108"/>
      <c r="N28" s="108"/>
    </row>
    <row r="29" spans="1:14" ht="15" customHeight="1" x14ac:dyDescent="0.35">
      <c r="A29" s="3"/>
      <c r="B29" s="17" t="s">
        <v>290</v>
      </c>
      <c r="C29" s="9"/>
      <c r="D29" s="351">
        <f>IFERROR(D23*H18,"–")</f>
        <v>0</v>
      </c>
      <c r="E29" s="351" t="str">
        <f>IFERROR(D23*H15,"–")</f>
        <v>–</v>
      </c>
      <c r="F29" s="351" t="str">
        <f>IFERROR(D23*H16,"–")</f>
        <v>–</v>
      </c>
      <c r="G29" s="351">
        <f>IFERROR(D23*H17,"–")</f>
        <v>0</v>
      </c>
      <c r="H29" s="22"/>
      <c r="I29" s="22"/>
      <c r="J29" s="22"/>
      <c r="K29" s="22"/>
      <c r="L29" s="22"/>
    </row>
    <row r="30" spans="1:14" ht="15" customHeight="1" x14ac:dyDescent="0.35">
      <c r="A30" s="3"/>
      <c r="B30" s="17" t="s">
        <v>291</v>
      </c>
      <c r="C30" s="9"/>
      <c r="D30" s="351">
        <f>IFERROR(D22*I18,"–")</f>
        <v>0</v>
      </c>
      <c r="E30" s="351" t="str">
        <f>IFERROR(D22*I15,"–")</f>
        <v>–</v>
      </c>
      <c r="F30" s="351" t="str">
        <f>IFERROR(D22*I16,"–")</f>
        <v>–</v>
      </c>
      <c r="G30" s="351">
        <f>IFERROR(D22*I17,"–")</f>
        <v>0</v>
      </c>
      <c r="H30" s="22"/>
      <c r="I30" s="22"/>
      <c r="J30" s="22"/>
      <c r="K30" s="22"/>
      <c r="L30" s="22"/>
    </row>
    <row r="31" spans="1:14" ht="15" customHeight="1" x14ac:dyDescent="0.35">
      <c r="A31" s="3"/>
      <c r="B31" s="17" t="s">
        <v>292</v>
      </c>
      <c r="C31" s="9"/>
      <c r="D31" s="351" t="str">
        <f>IFERROR(D24*L18*D26,"–")</f>
        <v>–</v>
      </c>
      <c r="E31" s="351" t="str">
        <f>IFERROR(D24*L15*D26,"–")</f>
        <v>–</v>
      </c>
      <c r="F31" s="351" t="str">
        <f>IFERROR(D24*L16*D26,"–")</f>
        <v>–</v>
      </c>
      <c r="G31" s="351" t="str">
        <f>IFERROR(D24*L17*D26,"–")</f>
        <v>–</v>
      </c>
      <c r="H31" s="22"/>
      <c r="I31" s="22"/>
      <c r="J31" s="22"/>
      <c r="K31" s="22"/>
      <c r="L31" s="22"/>
    </row>
    <row r="32" spans="1:14" ht="15" customHeight="1" x14ac:dyDescent="0.35">
      <c r="A32" s="3"/>
      <c r="B32" s="17"/>
      <c r="C32" s="9"/>
      <c r="D32" s="61"/>
      <c r="E32" s="22"/>
      <c r="F32" s="22"/>
      <c r="G32" s="61"/>
      <c r="H32" s="22"/>
      <c r="I32" s="22"/>
      <c r="J32" s="22"/>
      <c r="K32" s="22"/>
      <c r="L32" s="22"/>
    </row>
    <row r="33" spans="1:14" ht="15" customHeight="1" x14ac:dyDescent="0.35">
      <c r="A33" s="3"/>
      <c r="B33" s="17" t="s">
        <v>293</v>
      </c>
      <c r="C33" s="9" t="s">
        <v>266</v>
      </c>
      <c r="D33" s="351">
        <f>IFERROR(AVERAGE(D29,D30),"–")</f>
        <v>0</v>
      </c>
      <c r="E33" s="351" t="str">
        <f>IFERROR(AVERAGE(E29,E30),"–")</f>
        <v>–</v>
      </c>
      <c r="F33" s="351" t="str">
        <f>IFERROR(AVERAGE(F29,F30),"–")</f>
        <v>–</v>
      </c>
      <c r="G33" s="351">
        <f>IFERROR(AVERAGE(G29,G30),"–")</f>
        <v>0</v>
      </c>
      <c r="H33" s="22"/>
      <c r="I33" s="22"/>
      <c r="J33" s="22"/>
      <c r="K33" s="22"/>
      <c r="L33" s="22"/>
    </row>
    <row r="34" spans="1:14" ht="15" customHeight="1" x14ac:dyDescent="0.35">
      <c r="A34" s="3"/>
      <c r="B34" s="17" t="s">
        <v>294</v>
      </c>
      <c r="C34" s="9" t="s">
        <v>266</v>
      </c>
      <c r="D34" s="351">
        <f>D25</f>
        <v>0</v>
      </c>
      <c r="E34" s="351">
        <f>D25</f>
        <v>0</v>
      </c>
      <c r="F34" s="351">
        <f>D25</f>
        <v>0</v>
      </c>
      <c r="G34" s="351">
        <f>D25</f>
        <v>0</v>
      </c>
      <c r="H34" s="22"/>
      <c r="I34" s="22"/>
      <c r="J34" s="22"/>
      <c r="K34" s="22"/>
      <c r="L34" s="22"/>
    </row>
    <row r="35" spans="1:14" ht="15" customHeight="1" x14ac:dyDescent="0.35">
      <c r="A35" s="3"/>
      <c r="B35" s="17" t="s">
        <v>295</v>
      </c>
      <c r="C35" s="9" t="s">
        <v>266</v>
      </c>
      <c r="D35" s="351">
        <f>IFERROR(D33-D34,"–")</f>
        <v>0</v>
      </c>
      <c r="E35" s="351" t="str">
        <f>IFERROR(E33-E34,"–")</f>
        <v>–</v>
      </c>
      <c r="F35" s="351" t="str">
        <f>IFERROR(F33-F34,"–")</f>
        <v>–</v>
      </c>
      <c r="G35" s="351">
        <f>IFERROR(G33-G34,"–")</f>
        <v>0</v>
      </c>
      <c r="H35" s="22"/>
      <c r="I35" s="22"/>
      <c r="J35" s="22"/>
      <c r="K35" s="22"/>
      <c r="L35" s="22"/>
    </row>
    <row r="36" spans="1:14" ht="15" customHeight="1" thickBot="1" x14ac:dyDescent="0.4">
      <c r="A36" s="3"/>
      <c r="B36" s="58" t="s">
        <v>250</v>
      </c>
      <c r="C36" s="11" t="s">
        <v>58</v>
      </c>
      <c r="D36" s="352" t="str">
        <f>IFERROR(D35/D26,"–")</f>
        <v>–</v>
      </c>
      <c r="E36" s="352" t="str">
        <f>IFERROR(E35/D26,"–")</f>
        <v>–</v>
      </c>
      <c r="F36" s="352" t="str">
        <f>IFERROR(F35/D26,"–")</f>
        <v>–</v>
      </c>
      <c r="G36" s="352" t="str">
        <f>IFERROR(G35/D26,"–")</f>
        <v>–</v>
      </c>
      <c r="H36" s="74"/>
      <c r="I36" s="74"/>
      <c r="J36" s="74"/>
      <c r="K36" s="74"/>
      <c r="L36" s="74"/>
    </row>
    <row r="37" spans="1:14" ht="15" customHeight="1" x14ac:dyDescent="0.35">
      <c r="A37" s="3"/>
      <c r="B37" s="17" t="s">
        <v>296</v>
      </c>
      <c r="C37" s="9" t="s">
        <v>58</v>
      </c>
      <c r="D37" s="339">
        <f>INPUT!F95</f>
        <v>0</v>
      </c>
      <c r="E37" s="339">
        <f>INPUT!F95</f>
        <v>0</v>
      </c>
      <c r="F37" s="339">
        <f>INPUT!F95</f>
        <v>0</v>
      </c>
      <c r="G37" s="339">
        <f>INPUT!F95</f>
        <v>0</v>
      </c>
      <c r="H37" s="22"/>
      <c r="I37" s="22"/>
      <c r="J37" s="22"/>
      <c r="K37" s="22"/>
      <c r="L37" s="22"/>
    </row>
    <row r="38" spans="1:14" ht="15" customHeight="1" thickBot="1" x14ac:dyDescent="0.4">
      <c r="A38" s="3"/>
      <c r="B38" s="58" t="s">
        <v>297</v>
      </c>
      <c r="C38" s="11" t="s">
        <v>65</v>
      </c>
      <c r="D38" s="353" t="str">
        <f>IFERROR(D36/D37-1,"–")</f>
        <v>–</v>
      </c>
      <c r="E38" s="353" t="str">
        <f>IFERROR(E36/D37-1,"–")</f>
        <v>–</v>
      </c>
      <c r="F38" s="353" t="str">
        <f>IFERROR(F36/D37-1,"–")</f>
        <v>–</v>
      </c>
      <c r="G38" s="353" t="str">
        <f>IFERROR(G36/D37-1,"–")</f>
        <v>–</v>
      </c>
      <c r="H38" s="74"/>
      <c r="I38" s="74"/>
      <c r="J38" s="74"/>
      <c r="K38" s="74"/>
      <c r="L38" s="74"/>
    </row>
    <row r="39" spans="1:14" ht="15" customHeight="1" x14ac:dyDescent="0.35">
      <c r="A39" s="3"/>
      <c r="B39" s="17"/>
      <c r="C39" s="9"/>
      <c r="D39" s="65"/>
      <c r="E39" s="40"/>
      <c r="F39" s="40"/>
      <c r="G39" s="65"/>
      <c r="H39" s="22"/>
      <c r="I39" s="22"/>
      <c r="J39" s="22"/>
      <c r="K39" s="22"/>
      <c r="L39" s="22"/>
    </row>
    <row r="40" spans="1:14" ht="15" customHeight="1" x14ac:dyDescent="0.35">
      <c r="A40" s="3"/>
      <c r="B40" s="18" t="s">
        <v>298</v>
      </c>
      <c r="C40" s="3"/>
      <c r="D40" s="22"/>
      <c r="E40" s="22"/>
      <c r="F40" s="22"/>
      <c r="G40" s="22"/>
      <c r="H40" s="22"/>
      <c r="I40" s="22"/>
      <c r="J40" s="22"/>
      <c r="K40" s="22"/>
      <c r="L40" s="22"/>
    </row>
    <row r="41" spans="1:14" ht="15" customHeight="1" x14ac:dyDescent="0.35">
      <c r="A41" s="3"/>
      <c r="B41" s="14"/>
      <c r="C41" s="3"/>
      <c r="D41" s="22"/>
      <c r="E41" s="22"/>
      <c r="F41" s="22"/>
      <c r="G41" s="22"/>
      <c r="H41" s="22"/>
      <c r="I41" s="22"/>
      <c r="J41" s="22"/>
      <c r="K41" s="22"/>
      <c r="L41" s="22"/>
    </row>
    <row r="42" spans="1:14" ht="15" customHeight="1" x14ac:dyDescent="0.35">
      <c r="A42" s="250"/>
      <c r="B42" s="33" t="s">
        <v>339</v>
      </c>
      <c r="C42" s="4"/>
      <c r="D42" s="34"/>
      <c r="E42" s="34"/>
      <c r="F42" s="34"/>
      <c r="G42" s="34"/>
      <c r="H42" s="34"/>
      <c r="I42" s="34"/>
      <c r="J42" s="34"/>
      <c r="K42" s="34"/>
      <c r="L42" s="34"/>
      <c r="M42" s="264"/>
      <c r="N42" s="264"/>
    </row>
    <row r="43" spans="1:14" ht="15" customHeight="1" x14ac:dyDescent="0.35">
      <c r="A43" s="250"/>
      <c r="B43" s="33" t="s">
        <v>86</v>
      </c>
      <c r="C43" s="4"/>
      <c r="D43" s="34"/>
      <c r="E43" s="34"/>
      <c r="F43" s="34"/>
      <c r="G43" s="34"/>
      <c r="H43" s="34"/>
      <c r="I43" s="34"/>
      <c r="J43" s="34"/>
      <c r="K43" s="34"/>
      <c r="L43" s="34"/>
      <c r="M43" s="264"/>
      <c r="N43" s="264"/>
    </row>
    <row r="44" spans="1:14" ht="15" customHeight="1" x14ac:dyDescent="0.35">
      <c r="A44" s="250"/>
      <c r="B44" s="33" t="s">
        <v>340</v>
      </c>
      <c r="C44" s="4"/>
      <c r="D44" s="34"/>
      <c r="E44" s="34"/>
      <c r="F44" s="34"/>
      <c r="G44" s="34"/>
      <c r="H44" s="34"/>
      <c r="I44" s="34"/>
      <c r="J44" s="34"/>
      <c r="K44" s="34"/>
      <c r="L44" s="34"/>
      <c r="M44" s="264"/>
      <c r="N44" s="264"/>
    </row>
    <row r="45" spans="1:14" ht="15" customHeight="1" x14ac:dyDescent="0.3">
      <c r="B45" s="51"/>
    </row>
    <row r="46" spans="1:14" ht="15" customHeight="1" x14ac:dyDescent="0.3">
      <c r="A46" s="111"/>
      <c r="B46" s="105" t="s">
        <v>333</v>
      </c>
      <c r="C46" s="106" t="s">
        <v>334</v>
      </c>
      <c r="D46" s="107" t="s">
        <v>335</v>
      </c>
      <c r="E46" s="104"/>
      <c r="F46" s="104"/>
      <c r="G46" s="104"/>
      <c r="H46" s="104"/>
      <c r="I46" s="104"/>
      <c r="J46" s="104"/>
      <c r="K46" s="104"/>
      <c r="L46" s="104"/>
      <c r="M46" s="265"/>
      <c r="N46" s="265"/>
    </row>
    <row r="47" spans="1:14" ht="15" customHeight="1" x14ac:dyDescent="0.3">
      <c r="B47" s="354" t="str">
        <f>B9</f>
        <v>Peer Company 1</v>
      </c>
      <c r="C47" s="355">
        <f t="shared" ref="C47:D51" si="4">IFERROR(H9*1,0)</f>
        <v>0</v>
      </c>
      <c r="D47" s="356">
        <f t="shared" si="4"/>
        <v>0</v>
      </c>
    </row>
    <row r="48" spans="1:14" ht="15" customHeight="1" x14ac:dyDescent="0.3">
      <c r="B48" s="354" t="str">
        <f>B10</f>
        <v>Peer Company 2</v>
      </c>
      <c r="C48" s="355">
        <f t="shared" si="4"/>
        <v>0</v>
      </c>
      <c r="D48" s="356">
        <f t="shared" si="4"/>
        <v>0</v>
      </c>
    </row>
    <row r="49" spans="2:6" ht="15" customHeight="1" x14ac:dyDescent="0.3">
      <c r="B49" s="354" t="str">
        <f>B11</f>
        <v>Peer Company 3</v>
      </c>
      <c r="C49" s="355">
        <f t="shared" si="4"/>
        <v>0</v>
      </c>
      <c r="D49" s="356">
        <f t="shared" si="4"/>
        <v>0</v>
      </c>
    </row>
    <row r="50" spans="2:6" ht="15" customHeight="1" x14ac:dyDescent="0.3">
      <c r="B50" s="354" t="str">
        <f>B12</f>
        <v>Peer Company 4</v>
      </c>
      <c r="C50" s="355">
        <f t="shared" si="4"/>
        <v>0</v>
      </c>
      <c r="D50" s="356">
        <f t="shared" si="4"/>
        <v>0</v>
      </c>
    </row>
    <row r="51" spans="2:6" ht="15" customHeight="1" x14ac:dyDescent="0.3">
      <c r="B51" s="354" t="str">
        <f>B13</f>
        <v>Peer Company 5</v>
      </c>
      <c r="C51" s="355">
        <f t="shared" si="4"/>
        <v>0</v>
      </c>
      <c r="D51" s="356">
        <f t="shared" si="4"/>
        <v>0</v>
      </c>
    </row>
    <row r="52" spans="2:6" ht="15" customHeight="1" x14ac:dyDescent="0.3">
      <c r="B52" s="354" t="str">
        <f>B15</f>
        <v>Mean</v>
      </c>
      <c r="C52" s="355">
        <f>IFERROR(H15*1,0)</f>
        <v>0</v>
      </c>
      <c r="D52" s="356">
        <f>IFERROR(I15*1,0)</f>
        <v>0</v>
      </c>
    </row>
    <row r="53" spans="2:6" ht="15" customHeight="1" x14ac:dyDescent="0.3">
      <c r="B53" s="51"/>
    </row>
    <row r="54" spans="2:6" ht="15" customHeight="1" x14ac:dyDescent="0.3">
      <c r="B54" s="51"/>
    </row>
    <row r="55" spans="2:6" ht="15" customHeight="1" x14ac:dyDescent="0.3">
      <c r="B55" s="51"/>
    </row>
    <row r="56" spans="2:6" ht="15" customHeight="1" x14ac:dyDescent="0.3">
      <c r="B56" s="51"/>
      <c r="F56" s="21" t="s">
        <v>344</v>
      </c>
    </row>
    <row r="57" spans="2:6" ht="15" customHeight="1" x14ac:dyDescent="0.3">
      <c r="B57" s="51"/>
    </row>
    <row r="58" spans="2:6" ht="15" customHeight="1" x14ac:dyDescent="0.3">
      <c r="B58" s="51"/>
    </row>
    <row r="59" spans="2:6" ht="15" customHeight="1" x14ac:dyDescent="0.3">
      <c r="B59" s="51"/>
    </row>
    <row r="60" spans="2:6" ht="15" customHeight="1" x14ac:dyDescent="0.3">
      <c r="B60" s="51"/>
    </row>
    <row r="61" spans="2:6" ht="15" customHeight="1" x14ac:dyDescent="0.3">
      <c r="B61" s="51"/>
    </row>
    <row r="62" spans="2:6" ht="15" customHeight="1" x14ac:dyDescent="0.3">
      <c r="B62" s="51"/>
    </row>
    <row r="63" spans="2:6" ht="15" customHeight="1" x14ac:dyDescent="0.3">
      <c r="B63" s="51"/>
    </row>
    <row r="64" spans="2:6" ht="15" customHeight="1" x14ac:dyDescent="0.3">
      <c r="B64" s="51"/>
    </row>
    <row r="65" spans="2:2" ht="15" customHeight="1" x14ac:dyDescent="0.3">
      <c r="B65" s="51"/>
    </row>
    <row r="66" spans="2:2" ht="15" customHeight="1" x14ac:dyDescent="0.3">
      <c r="B66" s="51"/>
    </row>
    <row r="67" spans="2:2" ht="15" customHeight="1" x14ac:dyDescent="0.3">
      <c r="B67" s="51"/>
    </row>
    <row r="68" spans="2:2" ht="15" customHeight="1" x14ac:dyDescent="0.3">
      <c r="B68" s="51"/>
    </row>
    <row r="69" spans="2:2" ht="15" customHeight="1" x14ac:dyDescent="0.3">
      <c r="B69" s="51"/>
    </row>
    <row r="70" spans="2:2" ht="15" customHeight="1" x14ac:dyDescent="0.3">
      <c r="B70" s="51"/>
    </row>
    <row r="71" spans="2:2" ht="15" customHeight="1" x14ac:dyDescent="0.3">
      <c r="B71" s="51"/>
    </row>
    <row r="72" spans="2:2" ht="15" customHeight="1" x14ac:dyDescent="0.3">
      <c r="B72" s="51"/>
    </row>
    <row r="73" spans="2:2" ht="15" customHeight="1" x14ac:dyDescent="0.3">
      <c r="B73" s="51"/>
    </row>
    <row r="74" spans="2:2" ht="15" customHeight="1" x14ac:dyDescent="0.3">
      <c r="B74" s="51"/>
    </row>
    <row r="75" spans="2:2" ht="15" customHeight="1" x14ac:dyDescent="0.3">
      <c r="B75" s="51"/>
    </row>
    <row r="76" spans="2:2" ht="15" customHeight="1" x14ac:dyDescent="0.3">
      <c r="B76" s="51"/>
    </row>
    <row r="77" spans="2:2" ht="15" customHeight="1" x14ac:dyDescent="0.3">
      <c r="B77" s="51"/>
    </row>
    <row r="78" spans="2:2" ht="15" customHeight="1" x14ac:dyDescent="0.3">
      <c r="B78" s="51"/>
    </row>
    <row r="79" spans="2:2" ht="15" customHeight="1" x14ac:dyDescent="0.3">
      <c r="B79" s="51"/>
    </row>
    <row r="80" spans="2:2" ht="15" customHeight="1" x14ac:dyDescent="0.3">
      <c r="B80" s="51"/>
    </row>
    <row r="81" spans="2:2" ht="15" customHeight="1" x14ac:dyDescent="0.3">
      <c r="B81" s="51"/>
    </row>
    <row r="82" spans="2:2" ht="15" customHeight="1" x14ac:dyDescent="0.3">
      <c r="B82" s="51"/>
    </row>
    <row r="83" spans="2:2" ht="15" customHeight="1" x14ac:dyDescent="0.3">
      <c r="B83" s="51"/>
    </row>
    <row r="84" spans="2:2" ht="15" customHeight="1" x14ac:dyDescent="0.3">
      <c r="B84" s="51"/>
    </row>
    <row r="85" spans="2:2" ht="15" customHeight="1" x14ac:dyDescent="0.3">
      <c r="B85" s="51"/>
    </row>
    <row r="86" spans="2:2" ht="15" customHeight="1" x14ac:dyDescent="0.3">
      <c r="B86" s="51"/>
    </row>
    <row r="87" spans="2:2" ht="15" customHeight="1" x14ac:dyDescent="0.3">
      <c r="B87" s="51"/>
    </row>
    <row r="88" spans="2:2" ht="15" customHeight="1" x14ac:dyDescent="0.3">
      <c r="B88" s="51"/>
    </row>
    <row r="89" spans="2:2" ht="15" customHeight="1" x14ac:dyDescent="0.3">
      <c r="B89" s="51"/>
    </row>
    <row r="90" spans="2:2" ht="15" customHeight="1" x14ac:dyDescent="0.3">
      <c r="B90" s="51"/>
    </row>
    <row r="91" spans="2:2" ht="15" customHeight="1" x14ac:dyDescent="0.3">
      <c r="B91" s="51"/>
    </row>
    <row r="92" spans="2:2" ht="15" customHeight="1" x14ac:dyDescent="0.3">
      <c r="B92" s="51"/>
    </row>
    <row r="93" spans="2:2" ht="15" customHeight="1" x14ac:dyDescent="0.3">
      <c r="B93" s="51"/>
    </row>
    <row r="94" spans="2:2" ht="15" customHeight="1" x14ac:dyDescent="0.3">
      <c r="B94" s="51"/>
    </row>
    <row r="95" spans="2:2" ht="15" customHeight="1" x14ac:dyDescent="0.3">
      <c r="B95" s="51"/>
    </row>
    <row r="96" spans="2:2" ht="15" customHeight="1" x14ac:dyDescent="0.3">
      <c r="B96" s="51"/>
    </row>
    <row r="97" spans="2:2" ht="15" customHeight="1" x14ac:dyDescent="0.3">
      <c r="B97" s="51"/>
    </row>
    <row r="98" spans="2:2" ht="15" customHeight="1" x14ac:dyDescent="0.3">
      <c r="B98" s="51"/>
    </row>
    <row r="99" spans="2:2" ht="15" customHeight="1" x14ac:dyDescent="0.3">
      <c r="B99" s="51"/>
    </row>
    <row r="100" spans="2:2" ht="15" customHeight="1" x14ac:dyDescent="0.3">
      <c r="B100" s="51"/>
    </row>
    <row r="101" spans="2:2" ht="15" customHeight="1" x14ac:dyDescent="0.3">
      <c r="B101" s="51"/>
    </row>
    <row r="102" spans="2:2" ht="15" customHeight="1" x14ac:dyDescent="0.3">
      <c r="B102" s="51"/>
    </row>
    <row r="103" spans="2:2" ht="15" customHeight="1" x14ac:dyDescent="0.3">
      <c r="B103" s="51"/>
    </row>
    <row r="104" spans="2:2" ht="15" customHeight="1" x14ac:dyDescent="0.3">
      <c r="B104" s="51"/>
    </row>
    <row r="105" spans="2:2" ht="15" customHeight="1" x14ac:dyDescent="0.3">
      <c r="B105" s="51"/>
    </row>
    <row r="106" spans="2:2" ht="15" customHeight="1" x14ac:dyDescent="0.3">
      <c r="B106" s="51"/>
    </row>
    <row r="107" spans="2:2" ht="15" customHeight="1" x14ac:dyDescent="0.3">
      <c r="B107" s="51"/>
    </row>
    <row r="108" spans="2:2" ht="15" customHeight="1" x14ac:dyDescent="0.3">
      <c r="B108" s="51"/>
    </row>
    <row r="109" spans="2:2" ht="15" customHeight="1" x14ac:dyDescent="0.3">
      <c r="B109" s="51"/>
    </row>
    <row r="110" spans="2:2" ht="15" customHeight="1" x14ac:dyDescent="0.3">
      <c r="B110" s="51"/>
    </row>
    <row r="111" spans="2:2" ht="15" customHeight="1" x14ac:dyDescent="0.3">
      <c r="B111" s="51"/>
    </row>
    <row r="112" spans="2:2" ht="15" customHeight="1" x14ac:dyDescent="0.3">
      <c r="B112" s="51"/>
    </row>
    <row r="113" spans="2:2" ht="15" customHeight="1" x14ac:dyDescent="0.3">
      <c r="B113" s="51"/>
    </row>
    <row r="114" spans="2:2" ht="15" customHeight="1" x14ac:dyDescent="0.3">
      <c r="B114" s="51"/>
    </row>
    <row r="115" spans="2:2" ht="15" customHeight="1" x14ac:dyDescent="0.3">
      <c r="B115" s="51"/>
    </row>
    <row r="116" spans="2:2" ht="15" customHeight="1" x14ac:dyDescent="0.3">
      <c r="B116" s="51"/>
    </row>
    <row r="117" spans="2:2" ht="15" customHeight="1" x14ac:dyDescent="0.3">
      <c r="B117" s="51"/>
    </row>
    <row r="118" spans="2:2" ht="15" customHeight="1" x14ac:dyDescent="0.3">
      <c r="B118" s="51"/>
    </row>
    <row r="119" spans="2:2" ht="15" customHeight="1" x14ac:dyDescent="0.3">
      <c r="B119" s="51"/>
    </row>
    <row r="120" spans="2:2" ht="15" customHeight="1" x14ac:dyDescent="0.3">
      <c r="B120" s="51"/>
    </row>
  </sheetData>
  <printOptions horizontalCentered="1"/>
  <pageMargins left="5.5555555555555558E-3" right="5.5555555555555558E-3" top="6.9444444444444441E-3" bottom="6.9444444444444441E-3" header="2.7777777777777779E-3" footer="2.7777777777777779E-3"/>
  <pageSetup paperSize="9" scale="82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9B690-DB05-43BF-B88E-1369C2AA711B}">
  <sheetPr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 x14ac:dyDescent="0.3"/>
  <cols>
    <col min="1" max="1" width="11" style="248" customWidth="1"/>
    <col min="2" max="2" width="51" style="19" bestFit="1" customWidth="1"/>
    <col min="3" max="3" width="15.6640625" customWidth="1"/>
    <col min="4" max="9" width="13.33203125" style="21" customWidth="1"/>
    <col min="10" max="13" width="11" style="21" customWidth="1"/>
    <col min="14" max="14" width="11.44140625" style="110"/>
  </cols>
  <sheetData>
    <row r="1" spans="1:14" ht="54.9" customHeight="1" x14ac:dyDescent="0.6">
      <c r="A1" s="243"/>
      <c r="B1" s="118" t="s">
        <v>346</v>
      </c>
      <c r="C1" s="5"/>
      <c r="D1" s="29"/>
      <c r="E1" s="29"/>
      <c r="F1" s="29"/>
      <c r="G1" s="29"/>
      <c r="H1" s="117" t="s">
        <v>352</v>
      </c>
      <c r="I1" s="29"/>
      <c r="J1" s="29"/>
      <c r="K1" s="29"/>
      <c r="L1" s="29"/>
      <c r="M1" s="29"/>
      <c r="N1" s="109"/>
    </row>
    <row r="2" spans="1:14" ht="15" customHeight="1" x14ac:dyDescent="0.35">
      <c r="A2" s="244"/>
      <c r="B2" s="14"/>
      <c r="C2" s="3"/>
      <c r="D2" s="22"/>
      <c r="E2" s="22"/>
      <c r="F2" s="22"/>
      <c r="G2" s="22"/>
      <c r="H2" s="22"/>
      <c r="I2" s="22"/>
      <c r="J2"/>
      <c r="K2" s="22"/>
      <c r="L2" s="22"/>
      <c r="M2" s="22"/>
    </row>
    <row r="3" spans="1:14" ht="18" customHeight="1" x14ac:dyDescent="0.5">
      <c r="A3" s="245" t="s">
        <v>343</v>
      </c>
      <c r="B3" s="15" t="s">
        <v>299</v>
      </c>
      <c r="C3" s="7"/>
      <c r="D3" s="23"/>
      <c r="E3" s="23"/>
      <c r="F3" s="23"/>
      <c r="G3" s="23"/>
      <c r="H3" s="23"/>
      <c r="I3" s="23"/>
      <c r="J3" s="23"/>
      <c r="K3" s="23"/>
      <c r="L3" s="23"/>
      <c r="M3" s="23"/>
    </row>
    <row r="4" spans="1:14" ht="15" customHeight="1" x14ac:dyDescent="0.35">
      <c r="A4" s="244"/>
      <c r="B4" s="12" t="s">
        <v>300</v>
      </c>
      <c r="C4" s="3"/>
      <c r="D4" s="22"/>
      <c r="E4" s="22"/>
      <c r="F4" s="22"/>
      <c r="G4" s="22"/>
      <c r="H4" s="22"/>
      <c r="I4" s="22"/>
      <c r="J4"/>
      <c r="K4" s="22"/>
      <c r="L4" s="22"/>
      <c r="M4" s="22"/>
    </row>
    <row r="5" spans="1:14" ht="15" customHeight="1" x14ac:dyDescent="0.35">
      <c r="A5" s="246" t="s">
        <v>343</v>
      </c>
      <c r="B5" s="16" t="s">
        <v>2</v>
      </c>
      <c r="C5" s="16" t="s">
        <v>194</v>
      </c>
      <c r="D5" s="16">
        <f>INPUT!D117</f>
        <v>0</v>
      </c>
      <c r="E5" s="16">
        <f>INPUT!D117-3</f>
        <v>-3</v>
      </c>
      <c r="F5" s="16">
        <f>INPUT!D117-2</f>
        <v>-2</v>
      </c>
      <c r="G5" s="16">
        <f>INPUT!D117-1</f>
        <v>-1</v>
      </c>
      <c r="H5" s="16" t="str">
        <f>INPUT!D117&amp;" (LTM)"</f>
        <v xml:space="preserve"> (LTM)</v>
      </c>
      <c r="I5" s="16" t="str">
        <f>TEXT(INPUT!D117+1,"0")&amp;"F"</f>
        <v>1F</v>
      </c>
      <c r="J5" s="16" t="str">
        <f>TEXT(INPUT!D117+2,"0")&amp;"F"</f>
        <v>2F</v>
      </c>
      <c r="K5" s="16" t="str">
        <f>TEXT(INPUT!D117+3,"0")&amp;"F"</f>
        <v>3F</v>
      </c>
      <c r="L5" s="16" t="str">
        <f>TEXT(INPUT!D117+4,"0")&amp;"F"</f>
        <v>4F</v>
      </c>
      <c r="M5" s="16" t="str">
        <f>TEXT(INPUT!D117+5,"0")&amp;"F"</f>
        <v>5F</v>
      </c>
    </row>
    <row r="6" spans="1:14" ht="15" customHeight="1" x14ac:dyDescent="0.35">
      <c r="A6" s="244"/>
      <c r="B6" s="16" t="s">
        <v>341</v>
      </c>
      <c r="C6" s="88"/>
      <c r="D6" s="93" t="s">
        <v>303</v>
      </c>
      <c r="E6" s="90"/>
      <c r="F6" s="89"/>
      <c r="G6" s="90"/>
      <c r="H6" s="89"/>
      <c r="I6" s="89"/>
      <c r="J6" s="89"/>
      <c r="K6" s="89"/>
      <c r="L6" s="89"/>
      <c r="M6" s="89"/>
    </row>
    <row r="7" spans="1:14" ht="18" customHeight="1" x14ac:dyDescent="0.5">
      <c r="A7" s="245" t="s">
        <v>343</v>
      </c>
      <c r="B7" s="15" t="s">
        <v>301</v>
      </c>
      <c r="C7" s="7"/>
      <c r="D7" s="23"/>
      <c r="E7" s="23"/>
      <c r="F7" s="23"/>
      <c r="G7" s="23"/>
      <c r="H7" s="23"/>
      <c r="I7" s="23"/>
      <c r="J7" s="23"/>
      <c r="K7" s="23"/>
      <c r="L7" s="23"/>
      <c r="M7" s="23"/>
    </row>
    <row r="8" spans="1:14" ht="15" customHeight="1" x14ac:dyDescent="0.35">
      <c r="A8" s="246"/>
      <c r="B8" s="16" t="s">
        <v>302</v>
      </c>
      <c r="C8" s="16" t="s">
        <v>194</v>
      </c>
      <c r="D8" s="87" t="s">
        <v>246</v>
      </c>
      <c r="E8" s="87" t="s">
        <v>303</v>
      </c>
      <c r="F8" s="87" t="s">
        <v>248</v>
      </c>
      <c r="G8" s="24"/>
      <c r="H8" s="24"/>
      <c r="I8" s="24"/>
      <c r="J8" s="24"/>
      <c r="K8" s="24"/>
      <c r="L8" s="24"/>
      <c r="M8" s="24"/>
      <c r="N8"/>
    </row>
    <row r="9" spans="1:14" ht="15" customHeight="1" x14ac:dyDescent="0.35">
      <c r="A9" s="244"/>
      <c r="B9" s="82" t="s">
        <v>304</v>
      </c>
      <c r="C9" s="235" t="s">
        <v>65</v>
      </c>
      <c r="D9" s="313" cm="1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>0.02</v>
      </c>
      <c r="E9" s="313" cm="1">
        <f t="array" ref="E9">IFERROR(INDEX(SECTOR_REF!$C$2:$E$61,MATCH(1,(SECTOR_REF!$A$2:$A$61=INPUT!$D$116)*(SECTOR_REF!$B$2:$B$61="Revenue Growth Rate (Y1-Y5)"),0),MATCH("Realiste",{"Pessimiste","Realiste","Optimiste"},0)),IFERROR(INPUT!H9/INPUT!G9-1,0.05))</f>
        <v>0.05</v>
      </c>
      <c r="F9" s="313" cm="1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>0.09</v>
      </c>
      <c r="G9" s="259"/>
      <c r="H9" s="256"/>
      <c r="I9" s="260"/>
      <c r="J9" s="261"/>
      <c r="K9" s="261"/>
      <c r="L9" s="261"/>
      <c r="M9" s="261"/>
      <c r="N9"/>
    </row>
    <row r="10" spans="1:14" ht="15" customHeight="1" x14ac:dyDescent="0.35">
      <c r="A10" s="244"/>
      <c r="B10" s="82" t="s">
        <v>201</v>
      </c>
      <c r="C10" s="235" t="s">
        <v>65</v>
      </c>
      <c r="D10" s="313" cm="1">
        <f t="array" ref="D10">IFERROR(INDEX(SECTOR_REF!$C$2:$E$61,MATCH(1,(SECTOR_REF!$A$2:$A$61=INPUT!$D$116)*(SECTOR_REF!$B$2:$B$61="Gross Margin"),0),MATCH("Pessimiste",{"Pessimiste","Realiste","Optimiste"},0)),IFERROR(INPUT!H11/INPUT!H9,0.4)-0.03)</f>
        <v>0.37</v>
      </c>
      <c r="E10" s="313" cm="1">
        <f t="array" ref="E10">IFERROR(INDEX(SECTOR_REF!$C$2:$E$61,MATCH(1,(SECTOR_REF!$A$2:$A$61=INPUT!$D$116)*(SECTOR_REF!$B$2:$B$61="Gross Margin"),0),MATCH("Realiste",{"Pessimiste","Realiste","Optimiste"},0)),IFERROR(INPUT!H11/INPUT!H9,0.4))</f>
        <v>0.4</v>
      </c>
      <c r="F10" s="313" cm="1">
        <f t="array" ref="F10">IFERROR(INDEX(SECTOR_REF!$C$2:$E$61,MATCH(1,(SECTOR_REF!$A$2:$A$61=INPUT!$D$116)*(SECTOR_REF!$B$2:$B$61="Gross Margin"),0),MATCH("Optimiste",{"Pessimiste","Realiste","Optimiste"},0)),IFERROR(INPUT!H11/INPUT!H9,0.4)+0.03)</f>
        <v>0.43000000000000005</v>
      </c>
      <c r="G10" s="256"/>
      <c r="H10" s="256"/>
      <c r="I10" s="260"/>
      <c r="J10" s="261"/>
      <c r="K10" s="261"/>
      <c r="L10" s="261"/>
      <c r="M10" s="261"/>
      <c r="N10"/>
    </row>
    <row r="11" spans="1:14" ht="15" customHeight="1" x14ac:dyDescent="0.35">
      <c r="A11" s="244"/>
      <c r="B11" s="82" t="s">
        <v>96</v>
      </c>
      <c r="C11" s="235" t="s">
        <v>65</v>
      </c>
      <c r="D11" s="313" cm="1">
        <f t="array" ref="D11">IFERROR(INDEX(SECTOR_REF!$C$2:$E$61,MATCH(1,(SECTOR_REF!$A$2:$A$61=INPUT!$D$116)*(SECTOR_REF!$B$2:$B$61="EBITDA Margin"),0),MATCH("Pessimiste",{"Pessimiste","Realiste","Optimiste"},0)),IFERROR(INPUT!H30/INPUT!H9,0.15)-0.03)</f>
        <v>0.12</v>
      </c>
      <c r="E11" s="313" cm="1">
        <f t="array" ref="E11">IFERROR(INDEX(SECTOR_REF!$C$2:$E$61,MATCH(1,(SECTOR_REF!$A$2:$A$61=INPUT!$D$116)*(SECTOR_REF!$B$2:$B$61="EBITDA Margin"),0),MATCH("Realiste",{"Pessimiste","Realiste","Optimiste"},0)),IFERROR(INPUT!H30/INPUT!H9,0.15))</f>
        <v>0.15</v>
      </c>
      <c r="F11" s="313" cm="1">
        <f t="array" ref="F11">IFERROR(INDEX(SECTOR_REF!$C$2:$E$61,MATCH(1,(SECTOR_REF!$A$2:$A$61=INPUT!$D$116)*(SECTOR_REF!$B$2:$B$61="EBITDA Margin"),0),MATCH("Optimiste",{"Pessimiste","Realiste","Optimiste"},0)),IFERROR(INPUT!H30/INPUT!H9,0.15)+0.03)</f>
        <v>0.18</v>
      </c>
      <c r="G11" s="256"/>
      <c r="H11" s="256"/>
      <c r="I11" s="260"/>
      <c r="J11" s="261"/>
      <c r="K11" s="261"/>
      <c r="L11" s="261"/>
      <c r="M11" s="261"/>
      <c r="N11"/>
    </row>
    <row r="12" spans="1:14" ht="15" customHeight="1" x14ac:dyDescent="0.35">
      <c r="A12" s="244"/>
      <c r="B12" s="82" t="s">
        <v>74</v>
      </c>
      <c r="C12" s="235" t="s">
        <v>65</v>
      </c>
      <c r="D12" s="313" cm="1">
        <f t="array" ref="D12">IFERROR(INDEX(SECTOR_REF!$C$2:$E$61,MATCH(1,(SECTOR_REF!$A$2:$A$61=INPUT!$D$116)*(SECTOR_REF!$B$2:$B$61="Terminal Growth Rate"),0),MATCH("Pessimiste",{"Pessimiste","Realiste","Optimiste"},0)),DCF!D67-0.01)</f>
        <v>-0.01</v>
      </c>
      <c r="E12" s="313" cm="1">
        <f t="array" ref="E12">IFERROR(INDEX(SECTOR_REF!$C$2:$E$61,MATCH(1,(SECTOR_REF!$A$2:$A$61=INPUT!$D$116)*(SECTOR_REF!$B$2:$B$61="Terminal Growth Rate"),0),MATCH("Realiste",{"Pessimiste","Realiste","Optimiste"},0)),DCF!D67)</f>
        <v>0</v>
      </c>
      <c r="F12" s="313" cm="1">
        <f t="array" ref="F12">IFERROR(INDEX(SECTOR_REF!$C$2:$E$61,MATCH(1,(SECTOR_REF!$A$2:$A$61=INPUT!$D$116)*(SECTOR_REF!$B$2:$B$61="Terminal Growth Rate"),0),MATCH("Optimiste",{"Pessimiste","Realiste","Optimiste"},0)),DCF!D67+0.01)</f>
        <v>0.01</v>
      </c>
      <c r="G12" s="256"/>
      <c r="H12" s="256"/>
      <c r="I12" s="260"/>
      <c r="J12" s="261"/>
      <c r="K12" s="261"/>
      <c r="L12" s="261"/>
      <c r="M12" s="261"/>
      <c r="N12"/>
    </row>
    <row r="13" spans="1:14" ht="15" customHeight="1" x14ac:dyDescent="0.35">
      <c r="A13" s="244"/>
      <c r="B13" s="82" t="s">
        <v>73</v>
      </c>
      <c r="C13" s="235" t="s">
        <v>65</v>
      </c>
      <c r="D13" s="313" cm="1">
        <f t="array" ref="D13">IFERROR(INDEX(SECTOR_REF!$C$2:$E$61,MATCH(1,(SECTOR_REF!$A$2:$A$61=INPUT!$D$116)*(SECTOR_REF!$B$2:$B$61="WACC"),0),MATCH("Pessimiste",{"Pessimiste","Realiste","Optimiste"},0)),DCF!D63+0.015)</f>
        <v>1.4999999999999999E-2</v>
      </c>
      <c r="E13" s="313" cm="1">
        <f t="array" ref="E13">IFERROR(INDEX(SECTOR_REF!$C$2:$E$61,MATCH(1,(SECTOR_REF!$A$2:$A$61=INPUT!$D$116)*(SECTOR_REF!$B$2:$B$61="WACC"),0),MATCH("Realiste",{"Pessimiste","Realiste","Optimiste"},0)),DCF!D63)</f>
        <v>0</v>
      </c>
      <c r="F13" s="313" cm="1">
        <f t="array" ref="F13">IFERROR(INDEX(SECTOR_REF!$C$2:$E$61,MATCH(1,(SECTOR_REF!$A$2:$A$61=INPUT!$D$116)*(SECTOR_REF!$B$2:$B$61="WACC"),0),MATCH("Optimiste",{"Pessimiste","Realiste","Optimiste"},0)),DCF!D63-0.015)</f>
        <v>-1.4999999999999999E-2</v>
      </c>
      <c r="G13" s="256"/>
      <c r="H13" s="256"/>
      <c r="I13" s="260"/>
      <c r="J13" s="261"/>
      <c r="K13" s="261"/>
      <c r="L13" s="261"/>
      <c r="M13" s="261"/>
      <c r="N13"/>
    </row>
    <row r="14" spans="1:14" ht="15" customHeight="1" x14ac:dyDescent="0.35">
      <c r="A14" s="244"/>
      <c r="B14" s="231" t="s">
        <v>460</v>
      </c>
      <c r="C14" s="88"/>
      <c r="D14" s="357" t="str">
        <f>IF(INPUT!$D$116="","— Aucun secteur sélectionné (INPUT!D116) —",INPUT!$D$116)</f>
        <v>— Aucun secteur sélectionné (INPUT!D116) —</v>
      </c>
      <c r="E14" s="89"/>
      <c r="F14" s="89"/>
      <c r="G14" s="89"/>
      <c r="H14" s="89"/>
      <c r="I14" s="89"/>
      <c r="J14" s="89"/>
      <c r="K14" s="89"/>
      <c r="L14" s="89"/>
      <c r="M14" s="89"/>
    </row>
    <row r="15" spans="1:14" ht="18" customHeight="1" x14ac:dyDescent="0.5">
      <c r="A15" s="245" t="s">
        <v>343</v>
      </c>
      <c r="B15" s="15" t="s">
        <v>461</v>
      </c>
      <c r="C15" s="7"/>
      <c r="D15" s="23"/>
      <c r="E15" s="23"/>
      <c r="F15" s="23"/>
      <c r="G15" s="23"/>
      <c r="H15" s="23"/>
      <c r="I15" s="23"/>
      <c r="J15" s="23"/>
      <c r="K15" s="23"/>
      <c r="L15" s="23"/>
      <c r="M15" s="23"/>
    </row>
    <row r="16" spans="1:14" ht="15" customHeight="1" x14ac:dyDescent="0.35">
      <c r="A16" s="244"/>
      <c r="B16" s="98" t="s">
        <v>2</v>
      </c>
      <c r="C16" s="236" t="s">
        <v>194</v>
      </c>
      <c r="D16" s="236">
        <f>INPUT!D117-4</f>
        <v>-4</v>
      </c>
      <c r="E16" s="236">
        <f>INPUT!D117-3</f>
        <v>-3</v>
      </c>
      <c r="F16" s="236">
        <f>INPUT!D117-2</f>
        <v>-2</v>
      </c>
      <c r="G16" s="236">
        <f>INPUT!D117-1</f>
        <v>-1</v>
      </c>
      <c r="H16" s="236" t="str">
        <f>INPUT!D117&amp;" (LTM)"</f>
        <v xml:space="preserve"> (LTM)</v>
      </c>
      <c r="I16" s="236" t="str">
        <f>TEXT(INPUT!D117+1,"0")&amp;"F"</f>
        <v>1F</v>
      </c>
      <c r="J16" s="236" t="str">
        <f>TEXT(INPUT!D117+2,"0")&amp;"F"</f>
        <v>2F</v>
      </c>
      <c r="K16" s="236" t="str">
        <f>TEXT(INPUT!D117+3,"0")&amp;"F"</f>
        <v>3F</v>
      </c>
      <c r="L16" s="236" t="str">
        <f>TEXT(INPUT!D117+4,"0")&amp;"F"</f>
        <v>4F</v>
      </c>
      <c r="M16" s="236" t="str">
        <f>TEXT(INPUT!D117+5,"0")&amp;"F"</f>
        <v>5F</v>
      </c>
    </row>
    <row r="17" spans="1:14" ht="15" customHeight="1" x14ac:dyDescent="0.35">
      <c r="A17" s="244"/>
      <c r="B17" s="82" t="s">
        <v>5</v>
      </c>
      <c r="C17" s="358">
        <v>0</v>
      </c>
      <c r="D17" s="302">
        <f>INPUT!D9</f>
        <v>0</v>
      </c>
      <c r="E17" s="359">
        <f>INPUT!E9</f>
        <v>0</v>
      </c>
      <c r="F17" s="359">
        <f>INPUT!F9</f>
        <v>0</v>
      </c>
      <c r="G17" s="359">
        <f>INPUT!G9</f>
        <v>0</v>
      </c>
      <c r="H17" s="359">
        <f>INPUT!H9</f>
        <v>0</v>
      </c>
      <c r="I17" s="303">
        <f>INPUT!H9*(1+IF($D$6="Pessimistic",$D$9,IF($D$6="Realistic",$E$9,$F$9)))</f>
        <v>0</v>
      </c>
      <c r="J17" s="303">
        <f>I17*(1+IF($D$6="Pessimistic",$D$9,IF($D$6="Realistic",$E$9,$F$9)))</f>
        <v>0</v>
      </c>
      <c r="K17" s="303">
        <f>J17*(1+IF($D$6="Pessimistic",$D$9,IF($D$6="Realistic",$E$9,$F$9)))</f>
        <v>0</v>
      </c>
      <c r="L17" s="303">
        <f>K17*(1+IF($D$6="Pessimistic",$D$9,IF($D$6="Realistic",$E$9,$F$9)))</f>
        <v>0</v>
      </c>
      <c r="M17" s="303">
        <f>L17*(1+IF($D$6="Pessimistic",$D$9,IF($D$6="Realistic",$E$9,$F$9)))</f>
        <v>0</v>
      </c>
    </row>
    <row r="18" spans="1:14" ht="15" customHeight="1" x14ac:dyDescent="0.35">
      <c r="A18" s="244"/>
      <c r="B18" s="78" t="s">
        <v>7</v>
      </c>
      <c r="C18" s="358">
        <v>0</v>
      </c>
      <c r="D18" s="303">
        <f>INPUT!D11</f>
        <v>0</v>
      </c>
      <c r="E18" s="359">
        <f>INPUT!E11</f>
        <v>0</v>
      </c>
      <c r="F18" s="359">
        <f>INPUT!F11</f>
        <v>0</v>
      </c>
      <c r="G18" s="359">
        <f>INPUT!G11</f>
        <v>0</v>
      </c>
      <c r="H18" s="359">
        <f>INPUT!H11</f>
        <v>0</v>
      </c>
      <c r="I18" s="283">
        <f>I17*IF($D$6="Pessimistic",$D$10,IF($D$6="Realistic",$E$10,$F$10))</f>
        <v>0</v>
      </c>
      <c r="J18" s="303">
        <f>J17*IF($D$6="Pessimistic",$D$10,IF($D$6="Realistic",$E$10,$F$10))</f>
        <v>0</v>
      </c>
      <c r="K18" s="303">
        <f>K17*IF($D$6="Pessimistic",$D$10,IF($D$6="Realistic",$E$10,$F$10))</f>
        <v>0</v>
      </c>
      <c r="L18" s="303">
        <f>L17*IF($D$6="Pessimistic",$D$10,IF($D$6="Realistic",$E$10,$F$10))</f>
        <v>0</v>
      </c>
      <c r="M18" s="303">
        <f>M17*IF($D$6="Pessimistic",$D$10,IF($D$6="Realistic",$E$10,$F$10))</f>
        <v>0</v>
      </c>
    </row>
    <row r="19" spans="1:14" ht="15" customHeight="1" x14ac:dyDescent="0.35">
      <c r="A19" s="244"/>
      <c r="B19" s="78" t="s">
        <v>18</v>
      </c>
      <c r="C19" s="358">
        <v>0</v>
      </c>
      <c r="D19" s="303">
        <f>INPUT!D30</f>
        <v>0</v>
      </c>
      <c r="E19" s="359">
        <f>INPUT!E30</f>
        <v>0</v>
      </c>
      <c r="F19" s="359">
        <f>INPUT!F30</f>
        <v>0</v>
      </c>
      <c r="G19" s="359">
        <f>INPUT!G30</f>
        <v>0</v>
      </c>
      <c r="H19" s="359">
        <f>INPUT!H30</f>
        <v>0</v>
      </c>
      <c r="I19" s="283">
        <f>I17*IF($D$6="Pessimistic",$D$11,IF($D$6="Realistic",$E$11,$F$11))</f>
        <v>0</v>
      </c>
      <c r="J19" s="303">
        <f>J17*IF($D$6="Pessimistic",$D$11,IF($D$6="Realistic",$E$11,$F$11))</f>
        <v>0</v>
      </c>
      <c r="K19" s="303">
        <f>K17*IF($D$6="Pessimistic",$D$11,IF($D$6="Realistic",$E$11,$F$11))</f>
        <v>0</v>
      </c>
      <c r="L19" s="303">
        <f>L17*IF($D$6="Pessimistic",$D$11,IF($D$6="Realistic",$E$11,$F$11))</f>
        <v>0</v>
      </c>
      <c r="M19" s="303">
        <f>M17*IF($D$6="Pessimistic",$D$11,IF($D$6="Realistic",$E$11,$F$11))</f>
        <v>0</v>
      </c>
    </row>
    <row r="20" spans="1:14" ht="15" customHeight="1" x14ac:dyDescent="0.35">
      <c r="A20" s="244"/>
      <c r="B20" s="82" t="s">
        <v>16</v>
      </c>
      <c r="C20" s="358">
        <v>0</v>
      </c>
      <c r="D20" s="303">
        <f>INPUT!D26</f>
        <v>0</v>
      </c>
      <c r="E20" s="359">
        <f>INPUT!E26</f>
        <v>0</v>
      </c>
      <c r="F20" s="359">
        <f>INPUT!F26</f>
        <v>0</v>
      </c>
      <c r="G20" s="359">
        <f>INPUT!G26</f>
        <v>0</v>
      </c>
      <c r="H20" s="359">
        <f>INPUT!H26</f>
        <v>0</v>
      </c>
      <c r="I20" s="303">
        <f>I19*0.6</f>
        <v>0</v>
      </c>
      <c r="J20" s="303">
        <f>J19*0.6</f>
        <v>0</v>
      </c>
      <c r="K20" s="303">
        <f>K19*0.6</f>
        <v>0</v>
      </c>
      <c r="L20" s="303">
        <f>L19*0.6</f>
        <v>0</v>
      </c>
      <c r="M20" s="303">
        <f>M19*0.6</f>
        <v>0</v>
      </c>
    </row>
    <row r="21" spans="1:14" ht="15" customHeight="1" x14ac:dyDescent="0.35">
      <c r="A21" s="244"/>
      <c r="B21" s="78" t="s">
        <v>305</v>
      </c>
      <c r="C21" s="358">
        <v>0</v>
      </c>
      <c r="D21" s="360">
        <f>IFERROR(INPUT!D75+INPUT!D78,"–")</f>
        <v>0</v>
      </c>
      <c r="E21" s="361">
        <f>IFERROR(INPUT!E75+INPUT!E78,"–")</f>
        <v>0</v>
      </c>
      <c r="F21" s="361">
        <f>IFERROR(INPUT!F75+INPUT!F78,"–")</f>
        <v>0</v>
      </c>
      <c r="G21" s="361">
        <f>IFERROR(INPUT!G75+INPUT!G78,"–")</f>
        <v>0</v>
      </c>
      <c r="H21" s="361">
        <f>IFERROR(INPUT!H75+INPUT!H78,"–")</f>
        <v>0</v>
      </c>
      <c r="I21" s="362">
        <f>I19*0.5</f>
        <v>0</v>
      </c>
      <c r="J21" s="303">
        <f>J19*0.5</f>
        <v>0</v>
      </c>
      <c r="K21" s="303">
        <f>K19*0.5</f>
        <v>0</v>
      </c>
      <c r="L21" s="303">
        <f>L19*0.5</f>
        <v>0</v>
      </c>
      <c r="M21" s="303">
        <f>M19*0.5</f>
        <v>0</v>
      </c>
    </row>
    <row r="22" spans="1:14" ht="15" customHeight="1" thickBot="1" x14ac:dyDescent="0.4">
      <c r="A22" s="247"/>
      <c r="B22" s="78" t="s">
        <v>96</v>
      </c>
      <c r="C22" s="237" t="s">
        <v>65</v>
      </c>
      <c r="D22" s="363" t="str">
        <f>IFERROR(INPUT!D30/INPUT!D9,"–")</f>
        <v>–</v>
      </c>
      <c r="E22" s="364" t="str">
        <f>IFERROR(INPUT!E30/INPUT!E9,"–")</f>
        <v>–</v>
      </c>
      <c r="F22" s="364" t="str">
        <f>IFERROR(INPUT!F30/INPUT!F9,"–")</f>
        <v>–</v>
      </c>
      <c r="G22" s="364" t="str">
        <f>IFERROR(INPUT!G30/INPUT!G9,"–")</f>
        <v>–</v>
      </c>
      <c r="H22" s="364" t="str">
        <f>IFERROR(INPUT!H30/INPUT!H9,"–")</f>
        <v>–</v>
      </c>
      <c r="I22" s="363" t="str">
        <f>IFERROR(I19/I17,"–")</f>
        <v>–</v>
      </c>
      <c r="J22" s="279" t="str">
        <f>IFERROR(J19/J17,"–")</f>
        <v>–</v>
      </c>
      <c r="K22" s="279" t="str">
        <f>IFERROR(K19/K17,"–")</f>
        <v>–</v>
      </c>
      <c r="L22" s="279" t="str">
        <f>IFERROR(L19/L17,"–")</f>
        <v>–</v>
      </c>
      <c r="M22" s="279" t="str">
        <f>IFERROR(M19/M17,"–")</f>
        <v>–</v>
      </c>
    </row>
    <row r="23" spans="1:14" ht="15" customHeight="1" x14ac:dyDescent="0.35">
      <c r="A23" s="244"/>
      <c r="B23" s="80" t="s">
        <v>314</v>
      </c>
      <c r="C23" s="235" t="s">
        <v>58</v>
      </c>
      <c r="D23" s="22"/>
      <c r="E23" s="22"/>
      <c r="F23" s="61"/>
      <c r="G23" s="61"/>
      <c r="H23" s="22"/>
      <c r="I23" s="22"/>
      <c r="J23" s="22"/>
      <c r="K23" s="22"/>
      <c r="L23" s="22"/>
      <c r="M23" s="329" t="str">
        <f>IFERROR(IF($D$6="Pessimistic",DCF!D91*(1+$D$9+$D$11-$E$9-$E$11)*0.8,IF($D$6="Realistic",DCF!D91,DCF!D91*(1+$F$9+$F$11-$E$9-$E$11)*1.2)),"–")</f>
        <v>–</v>
      </c>
    </row>
    <row r="24" spans="1:14" ht="18" customHeight="1" x14ac:dyDescent="0.35">
      <c r="B24" s="80"/>
    </row>
    <row r="25" spans="1:14" ht="21" x14ac:dyDescent="0.5">
      <c r="A25" s="245" t="s">
        <v>343</v>
      </c>
      <c r="B25" s="238" t="s">
        <v>306</v>
      </c>
      <c r="C25" s="7"/>
      <c r="D25" s="23"/>
      <c r="E25" s="23"/>
      <c r="F25" s="23"/>
      <c r="G25" s="23"/>
      <c r="H25" s="23"/>
      <c r="I25" s="23"/>
      <c r="J25" s="23"/>
      <c r="K25" s="23"/>
      <c r="L25" s="23"/>
      <c r="M25" s="23"/>
    </row>
    <row r="26" spans="1:14" ht="15" customHeight="1" x14ac:dyDescent="0.35">
      <c r="A26" s="244"/>
      <c r="B26" s="98" t="s">
        <v>307</v>
      </c>
      <c r="C26" s="239"/>
      <c r="D26" s="239" t="s">
        <v>246</v>
      </c>
      <c r="E26" s="239" t="s">
        <v>303</v>
      </c>
      <c r="F26" s="87" t="s">
        <v>248</v>
      </c>
      <c r="G26" s="239"/>
      <c r="H26" s="239"/>
      <c r="I26" s="239"/>
      <c r="J26" s="239"/>
      <c r="K26" s="239"/>
      <c r="L26" s="239"/>
      <c r="M26" s="239"/>
      <c r="N26"/>
    </row>
    <row r="27" spans="1:14" ht="15" customHeight="1" x14ac:dyDescent="0.35">
      <c r="A27" s="244"/>
      <c r="B27" s="82" t="s">
        <v>309</v>
      </c>
      <c r="C27" s="358">
        <v>0</v>
      </c>
      <c r="D27" s="303">
        <f>INPUT!H9*(1+$D$9)^5</f>
        <v>0</v>
      </c>
      <c r="E27" s="359">
        <f>INPUT!H9*(1+$E$9)^5</f>
        <v>0</v>
      </c>
      <c r="F27" s="303">
        <f>INPUT!H9*(1+$F$9)^5</f>
        <v>0</v>
      </c>
      <c r="G27" s="31"/>
      <c r="H27" s="31"/>
      <c r="I27" s="110"/>
      <c r="J27"/>
      <c r="K27"/>
      <c r="L27"/>
      <c r="M27"/>
      <c r="N27"/>
    </row>
    <row r="28" spans="1:14" ht="15" customHeight="1" x14ac:dyDescent="0.35">
      <c r="A28" s="244"/>
      <c r="B28" s="82" t="s">
        <v>310</v>
      </c>
      <c r="C28" s="358">
        <v>0</v>
      </c>
      <c r="D28" s="303">
        <f>D27*$D$11</f>
        <v>0</v>
      </c>
      <c r="E28" s="359">
        <f>E27*$E$11</f>
        <v>0</v>
      </c>
      <c r="F28" s="303">
        <f>F27*$F$11</f>
        <v>0</v>
      </c>
      <c r="G28" s="31"/>
      <c r="H28" s="31"/>
      <c r="I28" s="110"/>
      <c r="J28"/>
      <c r="K28"/>
      <c r="L28"/>
      <c r="M28"/>
      <c r="N28"/>
    </row>
    <row r="29" spans="1:14" ht="15" customHeight="1" x14ac:dyDescent="0.35">
      <c r="A29" s="244"/>
      <c r="B29" s="82" t="s">
        <v>311</v>
      </c>
      <c r="C29" s="358">
        <v>0</v>
      </c>
      <c r="D29" s="303">
        <f>D28*0.6</f>
        <v>0</v>
      </c>
      <c r="E29" s="359">
        <f>E28*0.6</f>
        <v>0</v>
      </c>
      <c r="F29" s="303">
        <f>F28*0.6</f>
        <v>0</v>
      </c>
      <c r="G29" s="31"/>
      <c r="H29" s="31"/>
      <c r="I29" s="110"/>
      <c r="J29"/>
      <c r="K29"/>
      <c r="L29"/>
      <c r="M29"/>
      <c r="N29"/>
    </row>
    <row r="30" spans="1:14" ht="15" customHeight="1" x14ac:dyDescent="0.35">
      <c r="A30" s="244"/>
      <c r="B30" s="82" t="s">
        <v>312</v>
      </c>
      <c r="C30" s="358">
        <v>0</v>
      </c>
      <c r="D30" s="360">
        <f>D28*0.5</f>
        <v>0</v>
      </c>
      <c r="E30" s="361">
        <f>E28*0.5</f>
        <v>0</v>
      </c>
      <c r="F30" s="361">
        <f>F28*0.5</f>
        <v>0</v>
      </c>
      <c r="G30" s="31"/>
      <c r="H30" s="31"/>
      <c r="I30" s="110"/>
      <c r="J30"/>
      <c r="K30"/>
      <c r="L30"/>
      <c r="M30"/>
      <c r="N30"/>
    </row>
    <row r="31" spans="1:14" ht="15" customHeight="1" thickBot="1" x14ac:dyDescent="0.4">
      <c r="A31" s="247"/>
      <c r="B31" s="78" t="s">
        <v>313</v>
      </c>
      <c r="C31" s="237" t="s">
        <v>65</v>
      </c>
      <c r="D31" s="363">
        <f>$D$11</f>
        <v>0.12</v>
      </c>
      <c r="E31" s="364">
        <f>$E$11</f>
        <v>0.15</v>
      </c>
      <c r="F31" s="364">
        <f>$F$11</f>
        <v>0.18</v>
      </c>
      <c r="G31" s="31"/>
      <c r="H31" s="31"/>
      <c r="I31" s="110"/>
      <c r="J31"/>
      <c r="K31"/>
      <c r="L31"/>
      <c r="M31"/>
      <c r="N31"/>
    </row>
    <row r="32" spans="1:14" ht="15" customHeight="1" x14ac:dyDescent="0.35">
      <c r="A32" s="244"/>
      <c r="B32" s="80" t="s">
        <v>314</v>
      </c>
      <c r="C32" s="235" t="s">
        <v>58</v>
      </c>
      <c r="D32" s="331" t="str">
        <f>IFERROR(DCF!D91*(1+$D$9+$D$11-$E$9-$E$11)*0.8,"–")</f>
        <v>–</v>
      </c>
      <c r="E32" s="331" t="str">
        <f>IFERROR(DCF!D91,"–")</f>
        <v>–</v>
      </c>
      <c r="F32" s="331" t="str">
        <f>IFERROR(DCF!D91*(1+$F$9+$F$11-$E$9-$E$11)*1.2,"–")</f>
        <v>–</v>
      </c>
      <c r="G32" s="22"/>
      <c r="H32" s="22"/>
      <c r="I32" s="110"/>
      <c r="J32"/>
      <c r="K32"/>
      <c r="L32"/>
      <c r="M32"/>
      <c r="N32"/>
    </row>
    <row r="33" spans="1:14" ht="18" customHeight="1" x14ac:dyDescent="0.5">
      <c r="A33" s="245" t="s">
        <v>343</v>
      </c>
      <c r="B33" s="249" t="s">
        <v>308</v>
      </c>
      <c r="C33" s="126"/>
      <c r="D33" s="365" t="str">
        <f>"—"</f>
        <v>—</v>
      </c>
      <c r="E33" s="365" t="str">
        <f>"—"</f>
        <v>—</v>
      </c>
      <c r="F33" s="365" t="str">
        <f>IFERROR(F27/D27-1,"–")</f>
        <v>–</v>
      </c>
      <c r="G33" s="123"/>
      <c r="H33" s="123"/>
      <c r="I33" s="123"/>
      <c r="J33" s="123"/>
      <c r="K33" s="123"/>
      <c r="L33" s="123"/>
      <c r="M33" s="123"/>
      <c r="N33"/>
    </row>
    <row r="34" spans="1:14" ht="15" customHeight="1" x14ac:dyDescent="0.35">
      <c r="A34" s="244"/>
      <c r="B34" s="82" t="s">
        <v>5</v>
      </c>
      <c r="C34" s="83"/>
      <c r="D34" s="160"/>
      <c r="E34" s="158"/>
      <c r="F34" s="158"/>
      <c r="G34" s="158"/>
      <c r="H34" s="158"/>
      <c r="I34" s="158"/>
      <c r="J34" s="31"/>
      <c r="K34" s="31"/>
      <c r="L34" s="31"/>
      <c r="M34" s="31"/>
    </row>
    <row r="35" spans="1:14" ht="15" customHeight="1" x14ac:dyDescent="0.35">
      <c r="A35" s="244"/>
      <c r="B35" s="242" t="str">
        <f>"▶ SCÉNARIO SÉLECTIONNÉ : "&amp;$D$6</f>
        <v>▶ SCÉNARIO SÉLECTIONNÉ : Realistic</v>
      </c>
      <c r="C35" s="242"/>
      <c r="D35" s="242"/>
      <c r="E35" s="242"/>
      <c r="F35" s="242"/>
      <c r="G35" s="242"/>
      <c r="H35" s="242"/>
      <c r="I35" s="242"/>
      <c r="J35" s="242"/>
      <c r="K35" s="242"/>
      <c r="L35" s="242"/>
      <c r="M35" s="242"/>
    </row>
    <row r="36" spans="1:14" ht="15" customHeight="1" x14ac:dyDescent="0.35">
      <c r="A36" s="244"/>
      <c r="B36" s="82"/>
      <c r="C36" s="83"/>
      <c r="D36" s="160"/>
      <c r="E36" s="158"/>
      <c r="F36" s="158"/>
      <c r="G36" s="158"/>
      <c r="H36" s="158"/>
      <c r="I36" s="158"/>
      <c r="J36" s="31"/>
      <c r="K36" s="31"/>
      <c r="L36" s="31"/>
      <c r="M36" s="31"/>
    </row>
    <row r="37" spans="1:14" ht="15" customHeight="1" x14ac:dyDescent="0.35">
      <c r="A37" s="244"/>
      <c r="B37" s="240" t="s">
        <v>462</v>
      </c>
      <c r="C37" s="240"/>
      <c r="D37" s="240"/>
      <c r="E37" s="240"/>
      <c r="F37" s="240"/>
      <c r="G37" s="240"/>
      <c r="H37" s="240"/>
      <c r="I37" s="240"/>
      <c r="J37" s="240"/>
      <c r="K37" s="240"/>
      <c r="L37" s="240"/>
      <c r="M37" s="240"/>
    </row>
    <row r="38" spans="1:14" ht="15" customHeight="1" x14ac:dyDescent="0.35">
      <c r="A38" s="244"/>
      <c r="B38" s="98" t="s">
        <v>354</v>
      </c>
      <c r="C38" s="98"/>
      <c r="D38" s="366">
        <f>INPUT!D117+1</f>
        <v>1</v>
      </c>
      <c r="E38" s="366">
        <f>INPUT!D117+2</f>
        <v>2</v>
      </c>
      <c r="F38" s="366">
        <f>INPUT!D117+3</f>
        <v>3</v>
      </c>
      <c r="G38" s="366">
        <f>INPUT!D117+4</f>
        <v>4</v>
      </c>
      <c r="H38" s="366">
        <f>INPUT!D117+5</f>
        <v>5</v>
      </c>
      <c r="I38" s="239"/>
      <c r="J38" s="239"/>
      <c r="K38" s="239"/>
      <c r="L38" s="239"/>
      <c r="M38" s="239"/>
    </row>
    <row r="39" spans="1:14" ht="15" customHeight="1" x14ac:dyDescent="0.35">
      <c r="A39" s="244"/>
      <c r="B39" s="82" t="s">
        <v>246</v>
      </c>
      <c r="C39" s="84"/>
      <c r="D39" s="367" t="e">
        <f>IF(INPUT!H9="",NA(),INPUT!H9*(1+$D$9))</f>
        <v>#N/A</v>
      </c>
      <c r="E39" s="368" t="e">
        <f>IF(INPUT!H9="",NA(),C40*(1+$D$9))</f>
        <v>#N/A</v>
      </c>
      <c r="F39" s="368" t="e">
        <f>IF(INPUT!H9="",NA(),D40*(1+$D$9))</f>
        <v>#N/A</v>
      </c>
      <c r="G39" s="368" t="e">
        <f>IF(INPUT!H9="",NA(),E40*(1+$D$9))</f>
        <v>#N/A</v>
      </c>
      <c r="H39" s="368" t="e">
        <f>IF(INPUT!H9="",NA(),F40*(1+$D$9))</f>
        <v>#N/A</v>
      </c>
      <c r="I39" s="161"/>
      <c r="J39" s="31"/>
      <c r="K39" s="31"/>
      <c r="L39" s="31"/>
      <c r="M39" s="31"/>
    </row>
    <row r="40" spans="1:14" ht="15" customHeight="1" thickBot="1" x14ac:dyDescent="0.4">
      <c r="A40" s="247"/>
      <c r="B40" s="78" t="s">
        <v>303</v>
      </c>
      <c r="C40" s="79"/>
      <c r="D40" s="369" t="e">
        <f>IF(INPUT!H9="",NA(),INPUT!H9*(1+$E$9))</f>
        <v>#N/A</v>
      </c>
      <c r="E40" s="370" t="e">
        <f>IF(INPUT!H9="",NA(),C41*(1+$E$9))</f>
        <v>#N/A</v>
      </c>
      <c r="F40" s="371" t="e">
        <f>IF(INPUT!H9="",NA(),D41*(1+$E$9))</f>
        <v>#N/A</v>
      </c>
      <c r="G40" s="371" t="e">
        <f>IF(INPUT!H9="",NA(),E41*(1+$E$9))</f>
        <v>#N/A</v>
      </c>
      <c r="H40" s="371" t="e">
        <f>IF(INPUT!H9="",NA(),F41*(1+$E$9))</f>
        <v>#N/A</v>
      </c>
      <c r="I40" s="162"/>
      <c r="J40" s="31"/>
      <c r="K40" s="31"/>
      <c r="L40" s="31"/>
      <c r="M40" s="31"/>
    </row>
    <row r="41" spans="1:14" ht="15" customHeight="1" x14ac:dyDescent="0.35">
      <c r="A41" s="244"/>
      <c r="B41" s="85" t="s">
        <v>248</v>
      </c>
      <c r="C41" s="3"/>
      <c r="D41" s="301" t="e">
        <f>IF(INPUT!H9="",NA(),INPUT!H9*(1+$F$9))</f>
        <v>#N/A</v>
      </c>
      <c r="E41" s="301" t="e">
        <f>IF(INPUT!H9="",NA(),C42*(1+$F$9))</f>
        <v>#N/A</v>
      </c>
      <c r="F41" s="301" t="e">
        <f>IF(INPUT!H9="",NA(),D42*(1+$F$9))</f>
        <v>#N/A</v>
      </c>
      <c r="G41" s="301" t="e">
        <f>IF(INPUT!H9="",NA(),E42*(1+$F$9))</f>
        <v>#N/A</v>
      </c>
      <c r="H41" s="301" t="e">
        <f>IF(INPUT!H9="",NA(),F42*(1+$F$9))</f>
        <v>#N/A</v>
      </c>
      <c r="I41" s="22"/>
      <c r="J41" s="22"/>
      <c r="K41" s="22"/>
      <c r="L41" s="22"/>
      <c r="M41" s="22"/>
    </row>
    <row r="42" spans="1:14" ht="18" customHeight="1" x14ac:dyDescent="0.5">
      <c r="A42" s="245" t="s">
        <v>343</v>
      </c>
      <c r="B42" s="15" t="s">
        <v>306</v>
      </c>
      <c r="C42" s="7"/>
      <c r="D42" s="23"/>
      <c r="E42" s="23"/>
      <c r="F42" s="23"/>
      <c r="G42" s="23"/>
      <c r="H42" s="23"/>
      <c r="I42" s="23"/>
      <c r="J42" s="23"/>
      <c r="K42" s="23"/>
      <c r="L42" s="23"/>
      <c r="M42" s="23"/>
    </row>
    <row r="43" spans="1:14" ht="15" customHeight="1" x14ac:dyDescent="0.35">
      <c r="A43" s="246"/>
      <c r="B43" s="26" t="s">
        <v>463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</row>
    <row r="44" spans="1:14" ht="15" customHeight="1" x14ac:dyDescent="0.35">
      <c r="A44" s="244"/>
      <c r="B44" s="16" t="s">
        <v>354</v>
      </c>
      <c r="C44" s="98"/>
      <c r="D44" s="372">
        <f>INPUT!D117+1</f>
        <v>1</v>
      </c>
      <c r="E44" s="372">
        <f>INPUT!D117+2</f>
        <v>2</v>
      </c>
      <c r="F44" s="372">
        <f>INPUT!D117+3</f>
        <v>3</v>
      </c>
      <c r="G44" s="372">
        <f>INPUT!D117+4</f>
        <v>4</v>
      </c>
      <c r="H44" s="372">
        <f>INPUT!D117+5</f>
        <v>5</v>
      </c>
      <c r="I44" s="241"/>
      <c r="J44" s="241"/>
      <c r="K44" s="241"/>
      <c r="L44" s="241"/>
      <c r="M44" s="241"/>
    </row>
    <row r="45" spans="1:14" ht="15" customHeight="1" x14ac:dyDescent="0.35">
      <c r="A45" s="244"/>
      <c r="B45" s="85" t="s">
        <v>246</v>
      </c>
      <c r="C45" s="83"/>
      <c r="D45" s="296" t="e">
        <f>IF(INPUT!H9="",NA(),C40*$D$11)</f>
        <v>#N/A</v>
      </c>
      <c r="E45" s="269" t="e">
        <f>IF(INPUT!H9="",NA(),D40*$D$11)</f>
        <v>#N/A</v>
      </c>
      <c r="F45" s="373" t="e">
        <f>IF(INPUT!H9="",NA(),E40*$D$11)</f>
        <v>#N/A</v>
      </c>
      <c r="G45" s="269" t="e">
        <f>IF(INPUT!H9="",NA(),F40*$D$11)</f>
        <v>#N/A</v>
      </c>
      <c r="H45" s="374" t="e">
        <f>IF(INPUT!H9="",NA(),G40*$D$11)</f>
        <v>#N/A</v>
      </c>
      <c r="I45" s="59"/>
      <c r="J45" s="31"/>
      <c r="K45" s="31"/>
      <c r="L45" s="31"/>
      <c r="M45" s="31"/>
    </row>
    <row r="46" spans="1:14" ht="15" customHeight="1" x14ac:dyDescent="0.35">
      <c r="A46" s="244"/>
      <c r="B46" s="85" t="s">
        <v>303</v>
      </c>
      <c r="C46" s="83"/>
      <c r="D46" s="296" t="e">
        <f>IF(INPUT!H9="",NA(),C41*$E$11)</f>
        <v>#N/A</v>
      </c>
      <c r="E46" s="269" t="e">
        <f>IF(INPUT!H9="",NA(),D41*$E$11)</f>
        <v>#N/A</v>
      </c>
      <c r="F46" s="373" t="e">
        <f>IF(INPUT!H9="",NA(),E41*$E$11)</f>
        <v>#N/A</v>
      </c>
      <c r="G46" s="269" t="e">
        <f>IF(INPUT!H9="",NA(),F41*$E$11)</f>
        <v>#N/A</v>
      </c>
      <c r="H46" s="374" t="e">
        <f>IF(INPUT!H9="",NA(),G41*$E$11)</f>
        <v>#N/A</v>
      </c>
      <c r="I46" s="59"/>
      <c r="J46" s="31"/>
      <c r="K46" s="31"/>
      <c r="L46" s="31"/>
      <c r="M46" s="31"/>
    </row>
    <row r="47" spans="1:14" ht="15" customHeight="1" x14ac:dyDescent="0.35">
      <c r="A47" s="244"/>
      <c r="B47" s="85" t="s">
        <v>248</v>
      </c>
      <c r="C47" s="83"/>
      <c r="D47" s="296" t="e">
        <f>IF(INPUT!H9="",NA(),C42*$F$11)</f>
        <v>#N/A</v>
      </c>
      <c r="E47" s="269" t="e">
        <f>IF(INPUT!H9="",NA(),D42*$F$11)</f>
        <v>#N/A</v>
      </c>
      <c r="F47" s="373" t="e">
        <f>IF(INPUT!H9="",NA(),E42*$F$11)</f>
        <v>#N/A</v>
      </c>
      <c r="G47" s="269" t="e">
        <f>IF(INPUT!H9="",NA(),F42*$F$11)</f>
        <v>#N/A</v>
      </c>
      <c r="H47" s="374" t="e">
        <f>IF(INPUT!H9="",NA(),G42*$F$11)</f>
        <v>#N/A</v>
      </c>
      <c r="I47" s="59"/>
      <c r="J47" s="31"/>
      <c r="K47" s="31"/>
      <c r="L47" s="31"/>
      <c r="M47" s="31"/>
    </row>
    <row r="48" spans="1:14" ht="15" customHeight="1" x14ac:dyDescent="0.35">
      <c r="A48" s="244"/>
      <c r="B48" s="85" t="s">
        <v>313</v>
      </c>
      <c r="C48" s="84"/>
      <c r="D48" s="60"/>
      <c r="E48" s="157"/>
      <c r="F48" s="157"/>
      <c r="G48" s="157"/>
      <c r="H48" s="91"/>
      <c r="I48" s="59"/>
      <c r="J48" s="31"/>
      <c r="K48" s="31"/>
      <c r="L48" s="31"/>
      <c r="M48" s="31"/>
    </row>
    <row r="49" spans="1:14" ht="15" customHeight="1" thickBot="1" x14ac:dyDescent="0.4">
      <c r="A49" s="247"/>
      <c r="B49" s="80" t="s">
        <v>314</v>
      </c>
      <c r="C49" s="79"/>
      <c r="D49" s="77"/>
      <c r="E49" s="159"/>
      <c r="F49" s="163"/>
      <c r="G49" s="159"/>
      <c r="H49" s="91"/>
      <c r="I49" s="64"/>
      <c r="J49" s="31"/>
      <c r="K49" s="31"/>
      <c r="L49" s="31"/>
      <c r="M49" s="31"/>
    </row>
    <row r="50" spans="1:14" ht="15" customHeight="1" x14ac:dyDescent="0.35">
      <c r="A50" s="244"/>
      <c r="B50" s="14"/>
      <c r="C50" s="3"/>
      <c r="D50" s="22"/>
      <c r="E50" s="22"/>
      <c r="F50" s="22"/>
      <c r="G50" s="22"/>
      <c r="H50" s="22"/>
      <c r="I50" s="22"/>
      <c r="J50" s="22"/>
      <c r="K50" s="22"/>
      <c r="L50" s="22"/>
      <c r="M50" s="22"/>
    </row>
    <row r="51" spans="1:14" ht="15" customHeight="1" x14ac:dyDescent="0.35">
      <c r="A51" s="244"/>
      <c r="B51" s="44" t="s">
        <v>315</v>
      </c>
      <c r="C51" s="3"/>
      <c r="D51" s="22"/>
      <c r="E51" s="22"/>
      <c r="F51" s="22"/>
      <c r="G51" s="22"/>
      <c r="H51" s="22"/>
      <c r="I51" s="22"/>
      <c r="J51" s="22"/>
      <c r="K51" s="22"/>
      <c r="L51" s="22"/>
      <c r="M51" s="22"/>
    </row>
    <row r="52" spans="1:14" ht="15" customHeight="1" x14ac:dyDescent="0.35">
      <c r="A52" s="244"/>
      <c r="B52" s="14"/>
      <c r="C52" s="3"/>
      <c r="D52" s="22"/>
      <c r="E52" s="22"/>
      <c r="F52" s="22"/>
      <c r="G52" s="22"/>
      <c r="H52" s="22"/>
      <c r="I52" s="22"/>
      <c r="J52" s="22"/>
      <c r="K52" s="22"/>
      <c r="L52" s="22"/>
      <c r="M52" s="22"/>
    </row>
    <row r="53" spans="1:14" ht="15" customHeight="1" x14ac:dyDescent="0.35">
      <c r="A53" s="243"/>
      <c r="B53" s="33" t="s">
        <v>339</v>
      </c>
      <c r="C53" s="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109"/>
    </row>
    <row r="54" spans="1:14" ht="15" customHeight="1" x14ac:dyDescent="0.35">
      <c r="A54" s="243"/>
      <c r="B54" s="33" t="s">
        <v>86</v>
      </c>
      <c r="C54" s="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109"/>
    </row>
    <row r="55" spans="1:14" ht="15" customHeight="1" x14ac:dyDescent="0.35">
      <c r="A55" s="243"/>
      <c r="B55" s="33" t="s">
        <v>340</v>
      </c>
      <c r="C55" s="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109"/>
    </row>
    <row r="56" spans="1:14" ht="15" customHeight="1" x14ac:dyDescent="0.35">
      <c r="A56" s="244"/>
      <c r="B56" s="14"/>
      <c r="C56" s="3"/>
      <c r="D56" s="22"/>
      <c r="E56" s="22"/>
      <c r="F56" s="22"/>
      <c r="G56" s="22"/>
      <c r="H56" s="22"/>
      <c r="I56" s="22"/>
      <c r="J56" s="22"/>
      <c r="K56" s="22"/>
      <c r="L56" s="22"/>
      <c r="M56" s="22"/>
    </row>
    <row r="57" spans="1:14" ht="15" customHeight="1" x14ac:dyDescent="0.35">
      <c r="A57" s="246"/>
      <c r="B57" s="16" t="s">
        <v>319</v>
      </c>
      <c r="C57" s="242">
        <f>INPUT!D117+1</f>
        <v>1</v>
      </c>
      <c r="D57" s="94"/>
      <c r="E57" s="94"/>
      <c r="F57" s="94"/>
      <c r="G57" s="94"/>
      <c r="H57" s="24"/>
      <c r="I57" s="24"/>
      <c r="J57" s="24"/>
      <c r="K57" s="24"/>
      <c r="L57" s="24"/>
      <c r="M57" s="24"/>
      <c r="N57" s="111"/>
    </row>
    <row r="58" spans="1:14" ht="15" customHeight="1" x14ac:dyDescent="0.35">
      <c r="A58" s="244"/>
      <c r="B58" s="14" t="s">
        <v>246</v>
      </c>
      <c r="C58" s="375" t="e">
        <f>IF(INPUT!F9="",NA(),E16)</f>
        <v>#N/A</v>
      </c>
      <c r="D58" s="37"/>
      <c r="E58" s="37"/>
      <c r="F58" s="37"/>
      <c r="G58" s="37"/>
      <c r="H58" s="22"/>
      <c r="I58" s="22"/>
      <c r="J58" s="22"/>
      <c r="K58" s="22"/>
      <c r="L58" s="22"/>
      <c r="M58" s="22"/>
    </row>
    <row r="59" spans="1:14" ht="15" customHeight="1" x14ac:dyDescent="0.35">
      <c r="A59" s="244"/>
      <c r="B59" s="14" t="s">
        <v>303</v>
      </c>
      <c r="C59" s="375" t="e">
        <f>IF(INPUT!F9="",NA(),#REF!)</f>
        <v>#N/A</v>
      </c>
      <c r="D59" s="37"/>
      <c r="E59" s="37"/>
      <c r="F59" s="37"/>
      <c r="G59" s="37"/>
      <c r="H59" s="22"/>
      <c r="I59" s="22"/>
      <c r="J59" s="22"/>
      <c r="K59" s="22"/>
      <c r="L59" s="22"/>
      <c r="M59" s="22"/>
    </row>
    <row r="60" spans="1:14" ht="15" customHeight="1" x14ac:dyDescent="0.35">
      <c r="A60" s="244"/>
      <c r="B60" s="14" t="s">
        <v>248</v>
      </c>
      <c r="C60" s="375" t="e">
        <f>IF(INPUT!F9="",NA(),E34)</f>
        <v>#N/A</v>
      </c>
      <c r="D60" s="37"/>
      <c r="E60" s="37"/>
      <c r="F60" s="37"/>
      <c r="G60" s="37"/>
      <c r="H60" s="22"/>
      <c r="I60" s="22"/>
      <c r="J60" s="22"/>
      <c r="K60" s="22"/>
      <c r="L60" s="22"/>
      <c r="M60" s="22"/>
    </row>
    <row r="61" spans="1:14" ht="15" customHeight="1" x14ac:dyDescent="0.35">
      <c r="A61" s="244"/>
      <c r="B61" s="14"/>
      <c r="C61" s="3"/>
      <c r="D61" s="22"/>
      <c r="E61" s="22"/>
      <c r="F61" s="22"/>
      <c r="G61" s="22"/>
      <c r="H61" s="22"/>
      <c r="I61" s="22"/>
      <c r="J61" s="22"/>
      <c r="K61" s="22"/>
      <c r="L61" s="22"/>
      <c r="M61" s="22"/>
    </row>
    <row r="62" spans="1:14" ht="15" customHeight="1" x14ac:dyDescent="0.35">
      <c r="A62" s="246"/>
      <c r="B62" s="16" t="s">
        <v>320</v>
      </c>
      <c r="C62" s="242" t="e">
        <f>IF(INPUT!F9="",NA(),E18)</f>
        <v>#N/A</v>
      </c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111"/>
    </row>
    <row r="63" spans="1:14" ht="15" customHeight="1" x14ac:dyDescent="0.35">
      <c r="A63" s="244"/>
      <c r="B63" s="14" t="s">
        <v>246</v>
      </c>
      <c r="C63" s="375" t="e">
        <f>IF(INPUT!F9="",NA(),#REF!)</f>
        <v>#N/A</v>
      </c>
      <c r="D63" s="37"/>
      <c r="E63" s="37"/>
      <c r="F63" s="37"/>
      <c r="G63" s="37"/>
      <c r="H63" s="22"/>
      <c r="I63" s="22"/>
      <c r="J63" s="22"/>
      <c r="K63" s="22"/>
      <c r="L63" s="22"/>
      <c r="M63" s="22"/>
    </row>
    <row r="64" spans="1:14" ht="15" customHeight="1" x14ac:dyDescent="0.35">
      <c r="A64" s="244"/>
      <c r="B64" s="14" t="s">
        <v>303</v>
      </c>
      <c r="C64" s="375" t="e">
        <f>IF(INPUT!F9="",NA(),E36)</f>
        <v>#N/A</v>
      </c>
      <c r="D64" s="37"/>
      <c r="E64" s="37"/>
      <c r="F64" s="37"/>
      <c r="G64" s="37"/>
      <c r="H64" s="22"/>
      <c r="I64" s="22"/>
      <c r="J64" s="22"/>
      <c r="K64" s="22"/>
      <c r="L64" s="22"/>
      <c r="M64" s="22"/>
    </row>
    <row r="65" spans="1:13" ht="15" customHeight="1" x14ac:dyDescent="0.35">
      <c r="A65" s="244"/>
      <c r="B65" s="14" t="s">
        <v>248</v>
      </c>
      <c r="C65" s="375" t="e">
        <f>IF(INPUT!F9="",NA(),E36)</f>
        <v>#N/A</v>
      </c>
      <c r="D65" s="37"/>
      <c r="E65" s="37"/>
      <c r="F65" s="37"/>
      <c r="G65" s="37"/>
      <c r="H65" s="22"/>
      <c r="I65" s="22"/>
      <c r="J65" s="22"/>
      <c r="K65" s="22"/>
      <c r="L65" s="22"/>
      <c r="M65" s="22"/>
    </row>
    <row r="66" spans="1:13" ht="15" customHeight="1" x14ac:dyDescent="0.3">
      <c r="B66" s="51"/>
    </row>
    <row r="67" spans="1:13" ht="15" customHeight="1" x14ac:dyDescent="0.3">
      <c r="B67" s="51"/>
    </row>
    <row r="68" spans="1:13" ht="15" customHeight="1" x14ac:dyDescent="0.3">
      <c r="B68" s="51"/>
    </row>
    <row r="69" spans="1:13" ht="15" customHeight="1" x14ac:dyDescent="0.3">
      <c r="B69" s="51"/>
    </row>
    <row r="70" spans="1:13" ht="15" customHeight="1" x14ac:dyDescent="0.3">
      <c r="B70" s="51"/>
    </row>
    <row r="71" spans="1:13" ht="15" customHeight="1" x14ac:dyDescent="0.3">
      <c r="B71" s="51"/>
    </row>
    <row r="72" spans="1:13" ht="15" customHeight="1" x14ac:dyDescent="0.3">
      <c r="B72" s="51"/>
    </row>
    <row r="73" spans="1:13" ht="15" customHeight="1" x14ac:dyDescent="0.3">
      <c r="B73" s="51"/>
    </row>
    <row r="74" spans="1:13" ht="15" customHeight="1" x14ac:dyDescent="0.3">
      <c r="B74" s="51"/>
    </row>
    <row r="75" spans="1:13" ht="15" customHeight="1" x14ac:dyDescent="0.3">
      <c r="B75" s="51"/>
    </row>
    <row r="76" spans="1:13" ht="15" customHeight="1" x14ac:dyDescent="0.3">
      <c r="B76" s="51"/>
    </row>
    <row r="77" spans="1:13" ht="15" customHeight="1" x14ac:dyDescent="0.3">
      <c r="B77" s="51"/>
    </row>
    <row r="78" spans="1:13" ht="15" customHeight="1" x14ac:dyDescent="0.3">
      <c r="B78" s="51"/>
    </row>
    <row r="79" spans="1:13" ht="15" customHeight="1" x14ac:dyDescent="0.3">
      <c r="B79" s="51"/>
    </row>
    <row r="80" spans="1:13" ht="15" customHeight="1" x14ac:dyDescent="0.3">
      <c r="B80" s="51"/>
    </row>
    <row r="81" spans="2:2" ht="15" customHeight="1" x14ac:dyDescent="0.3">
      <c r="B81" s="51"/>
    </row>
    <row r="82" spans="2:2" ht="15" customHeight="1" x14ac:dyDescent="0.3">
      <c r="B82" s="51"/>
    </row>
    <row r="83" spans="2:2" ht="15" customHeight="1" x14ac:dyDescent="0.3">
      <c r="B83" s="51"/>
    </row>
    <row r="84" spans="2:2" ht="15" customHeight="1" x14ac:dyDescent="0.3">
      <c r="B84" s="51"/>
    </row>
    <row r="85" spans="2:2" ht="15" customHeight="1" x14ac:dyDescent="0.3">
      <c r="B85" s="51"/>
    </row>
    <row r="86" spans="2:2" ht="15" customHeight="1" x14ac:dyDescent="0.3">
      <c r="B86" s="51"/>
    </row>
    <row r="87" spans="2:2" ht="15" customHeight="1" x14ac:dyDescent="0.3">
      <c r="B87" s="51"/>
    </row>
    <row r="88" spans="2:2" ht="15" customHeight="1" x14ac:dyDescent="0.3">
      <c r="B88" s="51"/>
    </row>
    <row r="89" spans="2:2" ht="15" customHeight="1" x14ac:dyDescent="0.3">
      <c r="B89" s="51"/>
    </row>
    <row r="90" spans="2:2" ht="15" customHeight="1" x14ac:dyDescent="0.3">
      <c r="B90" s="51"/>
    </row>
    <row r="91" spans="2:2" ht="15" customHeight="1" x14ac:dyDescent="0.3">
      <c r="B91" s="51"/>
    </row>
    <row r="92" spans="2:2" ht="15" customHeight="1" x14ac:dyDescent="0.3">
      <c r="B92" s="51"/>
    </row>
    <row r="93" spans="2:2" ht="15" customHeight="1" x14ac:dyDescent="0.3">
      <c r="B93" s="51"/>
    </row>
    <row r="94" spans="2:2" ht="15" customHeight="1" x14ac:dyDescent="0.3">
      <c r="B94" s="51"/>
    </row>
    <row r="95" spans="2:2" ht="15" customHeight="1" x14ac:dyDescent="0.3">
      <c r="B95" s="51"/>
    </row>
    <row r="96" spans="2:2" ht="15" customHeight="1" x14ac:dyDescent="0.3">
      <c r="B96" s="51"/>
    </row>
    <row r="97" spans="2:2" ht="15" customHeight="1" x14ac:dyDescent="0.3">
      <c r="B97" s="51"/>
    </row>
    <row r="98" spans="2:2" ht="15" customHeight="1" x14ac:dyDescent="0.3">
      <c r="B98" s="51"/>
    </row>
    <row r="99" spans="2:2" ht="15" customHeight="1" x14ac:dyDescent="0.3">
      <c r="B99" s="51"/>
    </row>
    <row r="100" spans="2:2" ht="15" customHeight="1" x14ac:dyDescent="0.3">
      <c r="B100" s="51"/>
    </row>
    <row r="101" spans="2:2" ht="15" customHeight="1" x14ac:dyDescent="0.3">
      <c r="B101" s="51"/>
    </row>
    <row r="102" spans="2:2" ht="15" customHeight="1" x14ac:dyDescent="0.3">
      <c r="B102" s="51"/>
    </row>
    <row r="103" spans="2:2" ht="15" customHeight="1" x14ac:dyDescent="0.3">
      <c r="B103" s="51"/>
    </row>
    <row r="104" spans="2:2" ht="15" customHeight="1" x14ac:dyDescent="0.3">
      <c r="B104" s="51"/>
    </row>
    <row r="105" spans="2:2" ht="15" customHeight="1" x14ac:dyDescent="0.3">
      <c r="B105" s="51"/>
    </row>
    <row r="106" spans="2:2" ht="15" customHeight="1" x14ac:dyDescent="0.3">
      <c r="B106" s="51"/>
    </row>
    <row r="107" spans="2:2" ht="15" customHeight="1" x14ac:dyDescent="0.3">
      <c r="B107" s="51"/>
    </row>
    <row r="108" spans="2:2" ht="15" customHeight="1" x14ac:dyDescent="0.3">
      <c r="B108" s="51"/>
    </row>
    <row r="109" spans="2:2" ht="15" customHeight="1" x14ac:dyDescent="0.3">
      <c r="B109" s="51"/>
    </row>
    <row r="110" spans="2:2" ht="15" customHeight="1" x14ac:dyDescent="0.3">
      <c r="B110" s="51"/>
    </row>
    <row r="111" spans="2:2" ht="15" customHeight="1" x14ac:dyDescent="0.3">
      <c r="B111" s="51"/>
    </row>
    <row r="112" spans="2:2" ht="15" customHeight="1" x14ac:dyDescent="0.3">
      <c r="B112" s="51"/>
    </row>
    <row r="113" spans="2:2" ht="15" customHeight="1" x14ac:dyDescent="0.3">
      <c r="B113" s="51"/>
    </row>
    <row r="114" spans="2:2" ht="15" customHeight="1" x14ac:dyDescent="0.3">
      <c r="B114" s="51"/>
    </row>
    <row r="115" spans="2:2" ht="15" customHeight="1" x14ac:dyDescent="0.3">
      <c r="B115" s="51"/>
    </row>
    <row r="116" spans="2:2" ht="15" customHeight="1" x14ac:dyDescent="0.3">
      <c r="B116" s="51"/>
    </row>
    <row r="117" spans="2:2" ht="15" customHeight="1" x14ac:dyDescent="0.3">
      <c r="B117" s="51"/>
    </row>
    <row r="118" spans="2:2" ht="15" customHeight="1" x14ac:dyDescent="0.3">
      <c r="B118" s="51"/>
    </row>
    <row r="119" spans="2:2" ht="15" customHeight="1" x14ac:dyDescent="0.3">
      <c r="B119" s="51"/>
    </row>
    <row r="120" spans="2:2" ht="15" customHeight="1" x14ac:dyDescent="0.3">
      <c r="B120" s="51"/>
    </row>
  </sheetData>
  <dataValidations count="1">
    <dataValidation type="list" allowBlank="1" showInputMessage="1" showErrorMessage="1" errorTitle="Invalid Selection" error="Please select Pessimistic, Realistic, or Optimistic" promptTitle="Select Scenario" prompt="Choose: Pessimistic, Realistic, or Optimistic" sqref="D6" xr:uid="{F0F30FC7-29FC-4365-9F10-246C12A09EF4}">
      <formula1>"Pessimistic,Realistic,Optimistic"</formula1>
    </dataValidation>
  </dataValidations>
  <printOptions horizontalCentered="1"/>
  <pageMargins left="5.5555555555555558E-3" right="5.5555555555555558E-3" top="6.9444444444444441E-3" bottom="6.9444444444444441E-3" header="2.7777777777777779E-3" footer="2.7777777777777779E-3"/>
  <pageSetup paperSize="9" scale="97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5B89C-3F21-4533-8059-BBE53C092AD4}">
  <sheetPr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 x14ac:dyDescent="0.3"/>
  <cols>
    <col min="1" max="1" width="10" customWidth="1"/>
    <col min="2" max="2" width="13.6640625" style="19" bestFit="1" customWidth="1"/>
    <col min="3" max="3" width="15.88671875" customWidth="1"/>
    <col min="4" max="4" width="12" style="21" customWidth="1"/>
    <col min="5" max="5" width="18.5546875" style="21" customWidth="1"/>
    <col min="6" max="6" width="24.6640625" style="21" customWidth="1"/>
    <col min="7" max="7" width="10.109375" style="21" customWidth="1"/>
    <col min="8" max="8" width="17.5546875" style="21" customWidth="1"/>
    <col min="9" max="9" width="20.88671875" style="21" customWidth="1"/>
    <col min="10" max="13" width="12.33203125" style="21" bestFit="1" customWidth="1"/>
    <col min="14" max="15" width="11.88671875" style="21" customWidth="1"/>
  </cols>
  <sheetData>
    <row r="1" spans="1:15" ht="50.1" customHeight="1" x14ac:dyDescent="0.6">
      <c r="A1" s="182"/>
      <c r="B1" s="118" t="s">
        <v>346</v>
      </c>
      <c r="C1" s="182"/>
      <c r="D1" s="182"/>
      <c r="E1" s="182"/>
      <c r="F1" s="182"/>
      <c r="G1" s="182"/>
      <c r="H1" s="182"/>
      <c r="I1" s="182"/>
      <c r="J1" s="154"/>
      <c r="K1" s="154"/>
      <c r="L1" s="171"/>
      <c r="M1" s="171"/>
      <c r="N1" s="171"/>
      <c r="O1"/>
    </row>
    <row r="2" spans="1:15" ht="15" customHeight="1" x14ac:dyDescent="0.35">
      <c r="A2" s="179"/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/>
    </row>
    <row r="3" spans="1:15" ht="21" x14ac:dyDescent="0.5">
      <c r="A3" s="183" t="s">
        <v>343</v>
      </c>
      <c r="B3" s="156" t="s">
        <v>356</v>
      </c>
      <c r="C3" s="181"/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  <c r="O3"/>
    </row>
    <row r="4" spans="1:15" ht="15" customHeight="1" x14ac:dyDescent="0.35">
      <c r="A4" s="179"/>
      <c r="B4" s="179"/>
      <c r="C4" s="179"/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/>
    </row>
    <row r="5" spans="1:15" ht="15" customHeight="1" x14ac:dyDescent="0.35">
      <c r="A5" s="179"/>
      <c r="B5" s="179"/>
      <c r="C5" s="179"/>
      <c r="D5" s="179"/>
      <c r="E5" s="179"/>
      <c r="F5" s="179"/>
      <c r="G5" s="179"/>
      <c r="H5" s="179"/>
      <c r="I5" s="179"/>
      <c r="J5" s="179"/>
      <c r="K5" s="179"/>
      <c r="L5" s="179"/>
      <c r="M5" s="377" t="str">
        <f>"All figures in "&amp;INPUT!D118&amp;" "&amp;INPUT!D119&amp;" unless stated"</f>
        <v>All figures in   unless stated</v>
      </c>
      <c r="N5" s="179"/>
      <c r="O5"/>
    </row>
    <row r="6" spans="1:15" ht="15" customHeight="1" x14ac:dyDescent="0.35">
      <c r="A6" s="179"/>
      <c r="B6" s="179"/>
      <c r="C6" s="179"/>
      <c r="D6" s="179"/>
      <c r="E6" s="179"/>
      <c r="F6" s="179"/>
      <c r="G6" s="179"/>
      <c r="H6" s="179"/>
      <c r="I6" s="179"/>
      <c r="J6" s="179"/>
      <c r="K6" s="179"/>
      <c r="L6" s="179"/>
      <c r="M6" s="179"/>
      <c r="N6" s="179"/>
      <c r="O6"/>
    </row>
    <row r="7" spans="1:15" ht="15" customHeight="1" x14ac:dyDescent="0.35">
      <c r="A7" s="179"/>
      <c r="B7" s="179"/>
      <c r="C7" s="179"/>
      <c r="D7" s="179"/>
      <c r="E7" s="179"/>
      <c r="F7" s="179"/>
      <c r="G7" s="179"/>
      <c r="H7" s="179"/>
      <c r="I7" s="179"/>
      <c r="J7" s="179"/>
      <c r="K7" s="179"/>
      <c r="L7" s="179"/>
      <c r="M7" s="179"/>
      <c r="N7" s="179"/>
      <c r="O7"/>
    </row>
    <row r="8" spans="1:15" ht="15" customHeight="1" x14ac:dyDescent="0.35">
      <c r="A8" s="179"/>
      <c r="B8" s="170" t="s">
        <v>377</v>
      </c>
      <c r="C8" s="177"/>
      <c r="D8" s="177"/>
      <c r="E8" s="177"/>
      <c r="F8" s="177"/>
      <c r="G8" s="179"/>
      <c r="H8" s="220" t="s">
        <v>378</v>
      </c>
      <c r="I8" s="219"/>
      <c r="J8" s="219"/>
      <c r="K8" s="219"/>
      <c r="L8" s="219"/>
      <c r="M8" s="219"/>
      <c r="N8" s="179"/>
      <c r="O8"/>
    </row>
    <row r="9" spans="1:15" ht="15" customHeight="1" x14ac:dyDescent="0.35">
      <c r="A9" s="179"/>
      <c r="B9" s="185"/>
      <c r="C9" s="185"/>
      <c r="D9" s="185"/>
      <c r="E9" s="185"/>
      <c r="F9" s="185"/>
      <c r="G9" s="179"/>
      <c r="H9" s="185"/>
      <c r="I9" s="185"/>
      <c r="J9" s="185"/>
      <c r="K9" s="185"/>
      <c r="L9" s="185"/>
      <c r="M9" s="179"/>
      <c r="N9" s="179"/>
      <c r="O9"/>
    </row>
    <row r="10" spans="1:15" ht="15" customHeight="1" x14ac:dyDescent="0.3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/>
    </row>
    <row r="11" spans="1:15" ht="15" customHeight="1" x14ac:dyDescent="0.35">
      <c r="A11" s="179"/>
      <c r="B11" s="179"/>
      <c r="C11" s="179"/>
      <c r="D11" s="179"/>
      <c r="E11" s="179"/>
      <c r="F11" s="179"/>
      <c r="G11" s="179"/>
      <c r="H11" s="179"/>
      <c r="I11" s="179"/>
      <c r="J11" s="179"/>
      <c r="K11" s="179"/>
      <c r="L11" s="179"/>
      <c r="M11" s="179"/>
      <c r="N11" s="179"/>
      <c r="O11"/>
    </row>
    <row r="12" spans="1:15" ht="15" customHeight="1" x14ac:dyDescent="0.35">
      <c r="A12" s="179"/>
      <c r="B12" s="179"/>
      <c r="C12" s="179"/>
      <c r="D12" s="179"/>
      <c r="E12" s="179"/>
      <c r="F12" s="179"/>
      <c r="G12" s="179"/>
      <c r="H12" s="179"/>
      <c r="I12" s="179"/>
      <c r="J12" s="179"/>
      <c r="K12" s="179"/>
      <c r="L12" s="179"/>
      <c r="M12" s="179"/>
      <c r="N12" s="179"/>
      <c r="O12"/>
    </row>
    <row r="13" spans="1:15" ht="15" customHeight="1" x14ac:dyDescent="0.35">
      <c r="A13" s="179"/>
      <c r="B13" s="179"/>
      <c r="C13" s="179"/>
      <c r="D13" s="179"/>
      <c r="E13" s="179"/>
      <c r="F13" s="179"/>
      <c r="G13" s="179"/>
      <c r="H13" s="179"/>
      <c r="I13" s="179"/>
      <c r="J13" s="179"/>
      <c r="K13" s="179"/>
      <c r="L13" s="179"/>
      <c r="M13" s="179"/>
      <c r="N13" s="179"/>
      <c r="O13"/>
    </row>
    <row r="14" spans="1:15" ht="15" customHeight="1" x14ac:dyDescent="0.35">
      <c r="A14" s="179"/>
      <c r="B14" s="179"/>
      <c r="C14" s="179"/>
      <c r="D14" s="179"/>
      <c r="E14" s="179"/>
      <c r="F14" s="179"/>
      <c r="G14" s="179"/>
      <c r="H14" s="179"/>
      <c r="I14" s="179"/>
      <c r="J14" s="179"/>
      <c r="K14" s="179"/>
      <c r="L14" s="179"/>
      <c r="M14" s="179"/>
      <c r="N14" s="179"/>
      <c r="O14"/>
    </row>
    <row r="15" spans="1:15" ht="15" customHeight="1" x14ac:dyDescent="0.35">
      <c r="A15" s="179"/>
      <c r="B15" s="179"/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  <c r="N15" s="179"/>
      <c r="O15"/>
    </row>
    <row r="16" spans="1:15" ht="15" customHeight="1" x14ac:dyDescent="0.35">
      <c r="A16" s="179"/>
      <c r="B16" s="179"/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/>
    </row>
    <row r="17" spans="1:15" ht="15" customHeight="1" x14ac:dyDescent="0.35">
      <c r="A17" s="179"/>
      <c r="B17" s="179"/>
      <c r="C17" s="179"/>
      <c r="D17" s="179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/>
    </row>
    <row r="18" spans="1:15" ht="15" customHeight="1" x14ac:dyDescent="0.35">
      <c r="A18" s="179"/>
      <c r="B18" s="179"/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179"/>
      <c r="O18"/>
    </row>
    <row r="19" spans="1:15" ht="15" customHeight="1" x14ac:dyDescent="0.35">
      <c r="A19" s="179"/>
      <c r="B19" s="179"/>
      <c r="C19" s="179"/>
      <c r="D19" s="179"/>
      <c r="E19" s="179"/>
      <c r="F19" s="179"/>
      <c r="G19" s="179"/>
      <c r="H19" s="179"/>
      <c r="I19" s="179"/>
      <c r="J19" s="179"/>
      <c r="K19" s="179"/>
      <c r="L19" s="179"/>
      <c r="M19" s="179"/>
      <c r="N19" s="179"/>
      <c r="O19"/>
    </row>
    <row r="20" spans="1:15" ht="15" customHeight="1" x14ac:dyDescent="0.35">
      <c r="A20" s="179"/>
      <c r="B20" s="179"/>
      <c r="C20" s="179"/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179"/>
      <c r="O20"/>
    </row>
    <row r="21" spans="1:15" ht="15" customHeight="1" x14ac:dyDescent="0.35">
      <c r="A21" s="179"/>
      <c r="B21" s="179"/>
      <c r="C21" s="179"/>
      <c r="D21" s="179"/>
      <c r="E21" s="179"/>
      <c r="F21" s="179"/>
      <c r="G21" s="179"/>
      <c r="H21" s="179"/>
      <c r="I21" s="179"/>
      <c r="J21" s="179"/>
      <c r="K21" s="179"/>
      <c r="L21" s="179"/>
      <c r="M21" s="179"/>
      <c r="N21" s="179"/>
      <c r="O21"/>
    </row>
    <row r="22" spans="1:15" ht="15" customHeight="1" x14ac:dyDescent="0.35">
      <c r="A22" s="179"/>
      <c r="B22" s="179"/>
      <c r="C22" s="179"/>
      <c r="D22" s="179"/>
      <c r="E22" s="179"/>
      <c r="F22" s="179"/>
      <c r="G22" s="179"/>
      <c r="H22" s="179"/>
      <c r="I22" s="179"/>
      <c r="J22" s="179"/>
      <c r="K22" s="179"/>
      <c r="L22" s="179"/>
      <c r="M22" s="179"/>
      <c r="N22" s="179"/>
      <c r="O22"/>
    </row>
    <row r="23" spans="1:15" ht="15" customHeight="1" x14ac:dyDescent="0.35">
      <c r="A23" s="179"/>
      <c r="B23" s="179"/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/>
    </row>
    <row r="24" spans="1:15" ht="15" customHeight="1" x14ac:dyDescent="0.35">
      <c r="A24" s="179"/>
      <c r="B24" s="179"/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/>
    </row>
    <row r="25" spans="1:15" ht="15" customHeight="1" x14ac:dyDescent="0.35">
      <c r="A25" s="179"/>
      <c r="B25" s="220" t="s">
        <v>438</v>
      </c>
      <c r="C25" s="221"/>
      <c r="D25" s="221"/>
      <c r="E25" s="221"/>
      <c r="F25" s="221"/>
      <c r="G25" s="179"/>
      <c r="H25" s="220" t="s">
        <v>437</v>
      </c>
      <c r="I25" s="219"/>
      <c r="J25" s="219"/>
      <c r="K25" s="219"/>
      <c r="L25" s="219"/>
      <c r="M25" s="219"/>
      <c r="N25" s="179"/>
      <c r="O25"/>
    </row>
    <row r="26" spans="1:15" ht="15" customHeight="1" x14ac:dyDescent="0.35">
      <c r="A26" s="179"/>
      <c r="B26" s="185"/>
      <c r="C26" s="185"/>
      <c r="D26" s="185"/>
      <c r="E26" s="185"/>
      <c r="F26" s="185"/>
      <c r="G26" s="179"/>
      <c r="H26" s="185"/>
      <c r="I26" s="185"/>
      <c r="J26" s="185"/>
      <c r="K26" s="185"/>
      <c r="L26" s="185"/>
      <c r="M26" s="179"/>
      <c r="N26" s="179"/>
      <c r="O26"/>
    </row>
    <row r="27" spans="1:15" ht="15" customHeight="1" x14ac:dyDescent="0.35">
      <c r="A27" s="179"/>
      <c r="B27" s="179"/>
      <c r="C27" s="179"/>
      <c r="D27" s="179"/>
      <c r="E27" s="179"/>
      <c r="F27" s="179"/>
      <c r="G27" s="179"/>
      <c r="H27" s="179"/>
      <c r="I27" s="179"/>
      <c r="J27" s="179"/>
      <c r="K27" s="179"/>
      <c r="L27" s="179"/>
      <c r="M27" s="179"/>
      <c r="N27" s="179"/>
      <c r="O27"/>
    </row>
    <row r="28" spans="1:15" ht="15" customHeight="1" x14ac:dyDescent="0.35">
      <c r="A28" s="179"/>
      <c r="B28" s="179"/>
      <c r="C28" s="179"/>
      <c r="D28" s="179"/>
      <c r="E28" s="179"/>
      <c r="F28" s="179"/>
      <c r="G28" s="179"/>
      <c r="H28" s="179"/>
      <c r="I28" s="179"/>
      <c r="J28" s="179"/>
      <c r="K28" s="179"/>
      <c r="L28" s="179"/>
      <c r="M28" s="179"/>
      <c r="N28" s="179"/>
      <c r="O28"/>
    </row>
    <row r="29" spans="1:15" ht="15" customHeight="1" x14ac:dyDescent="0.35">
      <c r="A29" s="179"/>
      <c r="B29" s="179"/>
      <c r="C29" s="179"/>
      <c r="D29" s="179"/>
      <c r="E29" s="179"/>
      <c r="F29" s="179"/>
      <c r="G29" s="179"/>
      <c r="H29" s="179"/>
      <c r="I29" s="179"/>
      <c r="J29" s="179"/>
      <c r="K29" s="179"/>
      <c r="L29" s="179"/>
      <c r="M29" s="179"/>
      <c r="N29" s="179"/>
      <c r="O29"/>
    </row>
    <row r="30" spans="1:15" ht="15" customHeight="1" x14ac:dyDescent="0.35">
      <c r="A30" s="179"/>
      <c r="B30" s="179"/>
      <c r="C30" s="179"/>
      <c r="D30" s="17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/>
    </row>
    <row r="31" spans="1:15" ht="15" customHeight="1" x14ac:dyDescent="0.35">
      <c r="A31" s="179"/>
      <c r="B31" s="179"/>
      <c r="C31" s="179"/>
      <c r="D31" s="179"/>
      <c r="E31" s="179"/>
      <c r="F31" s="179"/>
      <c r="G31" s="179"/>
      <c r="H31" s="179"/>
      <c r="I31" s="179"/>
      <c r="J31" s="179"/>
      <c r="K31" s="179"/>
      <c r="L31" s="179"/>
      <c r="M31" s="179"/>
      <c r="N31" s="179"/>
      <c r="O31"/>
    </row>
    <row r="32" spans="1:15" ht="15" customHeight="1" x14ac:dyDescent="0.35">
      <c r="A32" s="179"/>
      <c r="B32" s="179"/>
      <c r="C32" s="179"/>
      <c r="D32" s="179"/>
      <c r="E32" s="179"/>
      <c r="F32" s="179"/>
      <c r="G32" s="179"/>
      <c r="H32" s="179"/>
      <c r="I32" s="179"/>
      <c r="J32" s="179"/>
      <c r="K32" s="179"/>
      <c r="L32" s="179"/>
      <c r="M32" s="179"/>
      <c r="N32" s="179"/>
      <c r="O32"/>
    </row>
    <row r="33" spans="1:16" ht="15" customHeight="1" x14ac:dyDescent="0.35">
      <c r="A33" s="179"/>
      <c r="B33" s="179"/>
      <c r="C33" s="179"/>
      <c r="D33" s="179"/>
      <c r="E33" s="179"/>
      <c r="F33" s="179"/>
      <c r="G33" s="179"/>
      <c r="H33" s="179"/>
      <c r="I33" s="179"/>
      <c r="J33" s="179"/>
      <c r="K33" s="179"/>
      <c r="L33" s="179"/>
      <c r="M33" s="179"/>
      <c r="N33" s="179"/>
      <c r="O33"/>
    </row>
    <row r="34" spans="1:16" ht="15" customHeight="1" x14ac:dyDescent="0.35">
      <c r="A34" s="179"/>
      <c r="B34" s="179"/>
      <c r="C34" s="179"/>
      <c r="D34" s="179"/>
      <c r="E34" s="179"/>
      <c r="F34" s="179"/>
      <c r="G34" s="179"/>
      <c r="H34" s="179"/>
      <c r="I34" s="179"/>
      <c r="J34" s="179"/>
      <c r="K34" s="179"/>
      <c r="L34" s="179"/>
      <c r="M34" s="179"/>
      <c r="N34" s="179"/>
      <c r="O34"/>
    </row>
    <row r="35" spans="1:16" ht="15" customHeight="1" x14ac:dyDescent="0.35">
      <c r="A35" s="179"/>
      <c r="B35" s="179"/>
      <c r="C35" s="179"/>
      <c r="D35" s="179"/>
      <c r="E35" s="179"/>
      <c r="F35" s="179"/>
      <c r="G35" s="179"/>
      <c r="H35" s="179"/>
      <c r="I35" s="179"/>
      <c r="J35" s="179"/>
      <c r="K35" s="179"/>
      <c r="L35" s="179"/>
      <c r="M35" s="179"/>
      <c r="N35" s="179"/>
      <c r="O35"/>
    </row>
    <row r="36" spans="1:16" ht="15" customHeight="1" x14ac:dyDescent="0.35">
      <c r="A36" s="179"/>
      <c r="B36" s="179"/>
      <c r="C36" s="179"/>
      <c r="D36" s="179"/>
      <c r="E36" s="179"/>
      <c r="F36" s="179"/>
      <c r="G36" s="179"/>
      <c r="H36" s="179"/>
      <c r="I36" s="179"/>
      <c r="J36" s="179"/>
      <c r="K36" s="179"/>
      <c r="L36" s="179"/>
      <c r="M36" s="179"/>
      <c r="N36" s="179"/>
      <c r="O36"/>
    </row>
    <row r="37" spans="1:16" ht="15" customHeight="1" x14ac:dyDescent="0.35">
      <c r="A37" s="179"/>
      <c r="B37" s="179"/>
      <c r="C37" s="179"/>
      <c r="D37" s="179"/>
      <c r="E37" s="179"/>
      <c r="F37" s="179"/>
      <c r="G37" s="179"/>
      <c r="H37" s="179"/>
      <c r="I37" s="179"/>
      <c r="J37" s="179"/>
      <c r="K37" s="179"/>
      <c r="L37" s="179"/>
      <c r="M37" s="179"/>
      <c r="N37" s="179"/>
      <c r="O37"/>
    </row>
    <row r="38" spans="1:16" ht="15" customHeight="1" x14ac:dyDescent="0.35">
      <c r="A38" s="179"/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/>
    </row>
    <row r="39" spans="1:16" ht="15" customHeight="1" x14ac:dyDescent="0.35">
      <c r="A39" s="179"/>
      <c r="B39" s="179"/>
      <c r="C39" s="179"/>
      <c r="D39" s="179"/>
      <c r="E39" s="179"/>
      <c r="F39" s="179"/>
      <c r="G39" s="179"/>
      <c r="H39" s="179"/>
      <c r="I39" s="179"/>
      <c r="J39" s="179"/>
      <c r="K39" s="179"/>
      <c r="L39" s="179"/>
      <c r="M39" s="179"/>
      <c r="N39" s="179"/>
      <c r="O39"/>
    </row>
    <row r="40" spans="1:16" ht="15" customHeight="1" x14ac:dyDescent="0.35">
      <c r="A40" s="179"/>
      <c r="B40" s="179"/>
      <c r="C40" s="179"/>
      <c r="D40" s="179"/>
      <c r="E40" s="179"/>
      <c r="F40" s="179"/>
      <c r="G40" s="179"/>
      <c r="H40" s="179"/>
      <c r="I40" s="179"/>
      <c r="J40" s="179"/>
      <c r="K40" s="179"/>
      <c r="L40" s="179"/>
      <c r="M40" s="179"/>
      <c r="N40" s="179"/>
      <c r="O40"/>
    </row>
    <row r="41" spans="1:16" ht="15" customHeight="1" x14ac:dyDescent="0.35">
      <c r="A41" s="179"/>
      <c r="B41" s="179"/>
      <c r="C41" s="179"/>
      <c r="D41" s="179"/>
      <c r="E41" s="179"/>
      <c r="F41" s="179"/>
      <c r="G41" s="179"/>
      <c r="H41" s="179"/>
      <c r="I41" s="179"/>
      <c r="J41" s="179"/>
      <c r="K41" s="179"/>
      <c r="L41" s="179"/>
      <c r="M41" s="179"/>
      <c r="N41" s="179"/>
      <c r="O41"/>
    </row>
    <row r="42" spans="1:16" ht="15" customHeight="1" x14ac:dyDescent="0.35">
      <c r="A42" s="179"/>
      <c r="B42" s="218" t="s">
        <v>382</v>
      </c>
      <c r="C42" s="219"/>
      <c r="D42" s="219"/>
      <c r="E42" s="219"/>
      <c r="G42" s="179"/>
      <c r="H42" s="218" t="s">
        <v>381</v>
      </c>
      <c r="I42" s="219"/>
      <c r="J42" s="219"/>
      <c r="K42" s="219"/>
      <c r="L42" s="219"/>
      <c r="M42" s="219"/>
      <c r="N42" s="179"/>
      <c r="O42"/>
    </row>
    <row r="43" spans="1:16" ht="15" customHeight="1" x14ac:dyDescent="0.35">
      <c r="A43" s="179"/>
      <c r="B43" s="179"/>
      <c r="C43" s="179"/>
      <c r="D43" s="179"/>
      <c r="E43" s="179"/>
      <c r="F43" s="179"/>
      <c r="G43" s="179"/>
      <c r="H43" s="179"/>
      <c r="I43" s="179"/>
      <c r="J43" s="179"/>
      <c r="K43" s="179"/>
      <c r="L43" s="179"/>
      <c r="M43" s="179"/>
      <c r="N43" s="179"/>
      <c r="O43" s="179"/>
      <c r="P43" s="179"/>
    </row>
    <row r="44" spans="1:16" ht="15" customHeight="1" x14ac:dyDescent="0.35">
      <c r="A44" s="179"/>
      <c r="B44" s="179"/>
      <c r="C44" s="195" t="s">
        <v>379</v>
      </c>
      <c r="D44" s="196" t="s">
        <v>362</v>
      </c>
      <c r="E44" s="178"/>
      <c r="F44" s="178"/>
      <c r="H44" s="179"/>
      <c r="I44" s="195" t="s">
        <v>363</v>
      </c>
      <c r="J44" s="195" t="s">
        <v>383</v>
      </c>
      <c r="K44" s="195" t="s">
        <v>364</v>
      </c>
      <c r="L44" s="195" t="s">
        <v>380</v>
      </c>
      <c r="P44" s="179"/>
    </row>
    <row r="45" spans="1:16" ht="15" customHeight="1" x14ac:dyDescent="0.35">
      <c r="A45" s="179"/>
      <c r="B45" s="193" t="s">
        <v>5</v>
      </c>
      <c r="C45" s="378" t="e">
        <f>AVERAGE(INPUT!D9:H9)</f>
        <v>#DIV/0!</v>
      </c>
      <c r="D45" s="179"/>
      <c r="E45" s="179"/>
      <c r="F45" s="179"/>
      <c r="H45" s="193" t="s">
        <v>5</v>
      </c>
      <c r="I45" s="379">
        <f>INPUT!H9</f>
        <v>0</v>
      </c>
      <c r="J45" s="380">
        <f>INPUT!G9</f>
        <v>0</v>
      </c>
      <c r="K45" s="380">
        <f>I45-J45</f>
        <v>0</v>
      </c>
      <c r="L45" s="381" t="e">
        <f>IF(J45=0,NA(),K45/ABS(J45))</f>
        <v>#N/A</v>
      </c>
      <c r="P45" s="179"/>
    </row>
    <row r="46" spans="1:16" ht="15" customHeight="1" x14ac:dyDescent="0.35">
      <c r="A46" s="179"/>
      <c r="B46" s="194"/>
      <c r="C46" s="179"/>
      <c r="D46" s="179"/>
      <c r="E46" s="179"/>
      <c r="F46" s="179"/>
      <c r="H46" s="194"/>
      <c r="I46" s="222"/>
      <c r="J46" s="222"/>
      <c r="K46" s="222"/>
      <c r="L46" s="223"/>
      <c r="P46" s="179"/>
    </row>
    <row r="47" spans="1:16" ht="15" customHeight="1" x14ac:dyDescent="0.35">
      <c r="A47" s="179"/>
      <c r="B47" s="193" t="s">
        <v>359</v>
      </c>
      <c r="C47" s="378" t="e">
        <f>ABS(AVERAGE(INPUT!D10:H10))</f>
        <v>#DIV/0!</v>
      </c>
      <c r="D47" s="179"/>
      <c r="E47" s="179"/>
      <c r="F47" s="179"/>
      <c r="H47" s="193" t="s">
        <v>359</v>
      </c>
      <c r="I47" s="380">
        <f>ABS(INPUT!H10)</f>
        <v>0</v>
      </c>
      <c r="J47" s="380">
        <f>ABS(INPUT!G10)</f>
        <v>0</v>
      </c>
      <c r="K47" s="380">
        <f>I47-J47</f>
        <v>0</v>
      </c>
      <c r="L47" s="381" t="e">
        <f>IF(J47=0,NA(),K47/ABS(J47))</f>
        <v>#N/A</v>
      </c>
      <c r="P47" s="179"/>
    </row>
    <row r="48" spans="1:16" ht="15" customHeight="1" x14ac:dyDescent="0.35">
      <c r="A48" s="179"/>
      <c r="B48" s="194"/>
      <c r="C48" s="179"/>
      <c r="D48" s="179"/>
      <c r="E48" s="179"/>
      <c r="F48" s="179"/>
      <c r="H48" s="194"/>
      <c r="I48" s="222"/>
      <c r="J48" s="222"/>
      <c r="K48" s="222"/>
      <c r="L48" s="223"/>
      <c r="P48" s="179"/>
    </row>
    <row r="49" spans="1:16" ht="15" customHeight="1" x14ac:dyDescent="0.35">
      <c r="A49" s="179"/>
      <c r="B49" s="193" t="s">
        <v>360</v>
      </c>
      <c r="C49" s="378">
        <f>ABS(AVERAGE(INPUT!D13:H13))</f>
        <v>0</v>
      </c>
      <c r="D49" s="179"/>
      <c r="E49" s="179"/>
      <c r="F49" s="179"/>
      <c r="H49" s="193" t="s">
        <v>360</v>
      </c>
      <c r="I49" s="380">
        <f>ABS(INPUT!H13)</f>
        <v>0</v>
      </c>
      <c r="J49" s="380">
        <f>ABS(INPUT!G13)</f>
        <v>0</v>
      </c>
      <c r="K49" s="380">
        <f>I49-J49</f>
        <v>0</v>
      </c>
      <c r="L49" s="381" t="e">
        <f>IF(J49=0,NA(),K49/ABS(J49))</f>
        <v>#N/A</v>
      </c>
      <c r="P49" s="179"/>
    </row>
    <row r="50" spans="1:16" ht="15" customHeight="1" x14ac:dyDescent="0.35">
      <c r="A50" s="179"/>
      <c r="B50" s="194"/>
      <c r="C50" s="179"/>
      <c r="D50" s="179"/>
      <c r="E50" s="179"/>
      <c r="F50" s="179"/>
      <c r="H50" s="194"/>
      <c r="I50" s="222"/>
      <c r="J50" s="222"/>
      <c r="K50" s="222"/>
      <c r="L50" s="223"/>
      <c r="P50" s="179"/>
    </row>
    <row r="51" spans="1:16" ht="15" customHeight="1" x14ac:dyDescent="0.35">
      <c r="A51" s="179"/>
      <c r="B51" s="193" t="s">
        <v>16</v>
      </c>
      <c r="C51" s="378">
        <f>AVERAGE(INPUT!D26:H26)</f>
        <v>0</v>
      </c>
      <c r="D51" s="179"/>
      <c r="E51" s="179"/>
      <c r="F51" s="179"/>
      <c r="H51" s="193" t="s">
        <v>16</v>
      </c>
      <c r="I51" s="380">
        <f>INPUT!H26</f>
        <v>0</v>
      </c>
      <c r="J51" s="380">
        <f>INPUT!G26</f>
        <v>0</v>
      </c>
      <c r="K51" s="380">
        <f>I51-J51</f>
        <v>0</v>
      </c>
      <c r="L51" s="381" t="e">
        <f>IF(J51=0,NA(),K51/ABS(J51))</f>
        <v>#N/A</v>
      </c>
      <c r="P51" s="179"/>
    </row>
    <row r="52" spans="1:16" ht="15" customHeight="1" x14ac:dyDescent="0.35">
      <c r="A52" s="179"/>
      <c r="B52" s="194"/>
      <c r="C52" s="179"/>
      <c r="D52" s="179"/>
      <c r="E52" s="179"/>
      <c r="F52" s="179"/>
      <c r="H52" s="194"/>
      <c r="I52" s="179"/>
      <c r="J52" s="179"/>
      <c r="K52" s="179"/>
      <c r="L52" s="223"/>
      <c r="P52" s="179"/>
    </row>
    <row r="53" spans="1:16" ht="15" customHeight="1" x14ac:dyDescent="0.35">
      <c r="A53" s="179"/>
      <c r="B53" s="193" t="s">
        <v>384</v>
      </c>
      <c r="C53" s="378" t="e">
        <f>AVERAGE(INPUT!D26:H26)/AVERAGE(INPUT!D9:H9)</f>
        <v>#DIV/0!</v>
      </c>
      <c r="D53" s="179"/>
      <c r="E53" s="179"/>
      <c r="F53" s="179"/>
      <c r="H53" s="193" t="s">
        <v>384</v>
      </c>
      <c r="I53" s="381" t="e">
        <f>INPUT!H26/INPUT!H9</f>
        <v>#DIV/0!</v>
      </c>
      <c r="J53" s="381" t="e">
        <f>INPUT!G26/INPUT!G9</f>
        <v>#DIV/0!</v>
      </c>
      <c r="K53" s="381" t="e">
        <f>I53-J53</f>
        <v>#DIV/0!</v>
      </c>
      <c r="L53" s="381" t="e">
        <f>IF(J53=0,NA(),K53/ABS(J53))</f>
        <v>#DIV/0!</v>
      </c>
      <c r="P53" s="179"/>
    </row>
    <row r="54" spans="1:16" ht="15" customHeight="1" x14ac:dyDescent="0.35">
      <c r="A54" s="179"/>
      <c r="B54" s="179"/>
      <c r="C54" s="179"/>
      <c r="D54" s="17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</row>
    <row r="55" spans="1:16" ht="15" customHeight="1" x14ac:dyDescent="0.35">
      <c r="A55" s="179"/>
      <c r="B55" s="179"/>
      <c r="C55" s="179"/>
      <c r="D55" s="179"/>
      <c r="E55" s="179"/>
      <c r="F55" s="179"/>
      <c r="G55" s="179"/>
      <c r="H55" s="179"/>
      <c r="I55" s="179"/>
      <c r="J55" s="179"/>
      <c r="K55" s="179"/>
      <c r="L55" s="179"/>
      <c r="M55" s="179"/>
      <c r="N55" s="179"/>
      <c r="O55" s="179"/>
      <c r="P55" s="179"/>
    </row>
    <row r="56" spans="1:16" ht="15" customHeight="1" x14ac:dyDescent="0.35">
      <c r="A56" s="179"/>
      <c r="B56" s="179"/>
      <c r="C56" s="179"/>
      <c r="D56" s="179"/>
      <c r="E56" s="179"/>
      <c r="F56" s="179"/>
      <c r="G56" s="179"/>
      <c r="H56" s="179"/>
      <c r="I56" s="179"/>
      <c r="J56" s="179"/>
      <c r="K56" s="179"/>
      <c r="L56" s="179"/>
      <c r="M56" s="179"/>
      <c r="N56" s="179"/>
      <c r="O56" s="179"/>
      <c r="P56" s="179"/>
    </row>
    <row r="57" spans="1:16" ht="15" customHeight="1" x14ac:dyDescent="0.35">
      <c r="A57" s="179"/>
      <c r="B57" s="179"/>
      <c r="C57" s="179"/>
      <c r="D57" s="17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</row>
    <row r="58" spans="1:16" ht="15" customHeight="1" x14ac:dyDescent="0.35">
      <c r="A58" s="179"/>
      <c r="B58" s="218" t="s">
        <v>357</v>
      </c>
      <c r="C58" s="219"/>
      <c r="D58" s="219"/>
      <c r="E58" s="219"/>
      <c r="G58" s="179"/>
      <c r="H58" s="218" t="s">
        <v>358</v>
      </c>
      <c r="I58" s="219"/>
      <c r="J58" s="219"/>
      <c r="K58" s="219"/>
      <c r="L58" s="219"/>
      <c r="M58" s="219"/>
      <c r="N58" s="179"/>
      <c r="O58"/>
    </row>
    <row r="59" spans="1:16" ht="15" customHeight="1" x14ac:dyDescent="0.35">
      <c r="A59" s="179"/>
      <c r="B59" s="179"/>
      <c r="C59" s="179"/>
      <c r="D59" s="179"/>
      <c r="E59" s="179"/>
      <c r="F59" s="179"/>
      <c r="G59" s="179"/>
      <c r="H59" s="179"/>
      <c r="I59" s="179"/>
      <c r="J59" s="179"/>
      <c r="K59" s="179"/>
      <c r="L59" s="179"/>
      <c r="M59" s="179"/>
      <c r="N59"/>
      <c r="O59"/>
    </row>
    <row r="60" spans="1:16" ht="15" customHeight="1" x14ac:dyDescent="0.35">
      <c r="A60" s="179"/>
      <c r="B60" s="176" t="s">
        <v>5</v>
      </c>
      <c r="C60" s="179"/>
      <c r="D60" s="295">
        <f>INPUT!H9</f>
        <v>0</v>
      </c>
      <c r="E60" s="113"/>
      <c r="F60" s="113"/>
      <c r="G60" s="113"/>
      <c r="H60" s="176" t="s">
        <v>365</v>
      </c>
      <c r="I60" s="179"/>
      <c r="J60" s="179"/>
      <c r="K60" s="179"/>
      <c r="L60"/>
      <c r="M60"/>
      <c r="N60"/>
      <c r="O60"/>
    </row>
    <row r="61" spans="1:16" ht="15" customHeight="1" x14ac:dyDescent="0.35">
      <c r="A61" s="179"/>
      <c r="B61" s="178" t="s">
        <v>359</v>
      </c>
      <c r="C61" s="179"/>
      <c r="D61" s="382">
        <f>INPUT!H10</f>
        <v>0</v>
      </c>
      <c r="E61" s="151"/>
      <c r="F61" s="151"/>
      <c r="G61" s="151"/>
      <c r="H61" s="178" t="s">
        <v>366</v>
      </c>
      <c r="I61" s="179"/>
      <c r="J61" s="383">
        <f>INPUT!H38</f>
        <v>0</v>
      </c>
      <c r="K61" s="179"/>
      <c r="L61"/>
      <c r="M61"/>
      <c r="N61"/>
      <c r="O61"/>
    </row>
    <row r="62" spans="1:16" ht="15" customHeight="1" x14ac:dyDescent="0.35">
      <c r="A62" s="179"/>
      <c r="B62" s="179"/>
      <c r="C62" s="179"/>
      <c r="D62" s="179"/>
      <c r="E62" s="179"/>
      <c r="F62" s="179"/>
      <c r="G62" s="179"/>
      <c r="H62" s="178" t="s">
        <v>367</v>
      </c>
      <c r="I62" s="179"/>
      <c r="J62" s="383">
        <f>SUM(INPUT!H41:H43)</f>
        <v>0</v>
      </c>
      <c r="K62" s="179"/>
      <c r="L62"/>
      <c r="M62"/>
      <c r="N62"/>
      <c r="O62"/>
    </row>
    <row r="63" spans="1:16" ht="15" customHeight="1" x14ac:dyDescent="0.35">
      <c r="A63" s="179"/>
      <c r="B63" s="176" t="s">
        <v>360</v>
      </c>
      <c r="C63" s="179"/>
      <c r="D63" s="384">
        <f>ABS(INPUT!H14)</f>
        <v>0</v>
      </c>
      <c r="E63" s="179"/>
      <c r="F63" s="179"/>
      <c r="G63" s="179"/>
      <c r="H63" s="179"/>
      <c r="I63" s="179"/>
      <c r="J63" s="179"/>
      <c r="K63" s="179"/>
      <c r="L63"/>
      <c r="M63"/>
      <c r="N63"/>
      <c r="O63"/>
    </row>
    <row r="64" spans="1:16" ht="15" customHeight="1" thickBot="1" x14ac:dyDescent="0.4">
      <c r="A64" s="179"/>
      <c r="B64" s="178" t="s">
        <v>374</v>
      </c>
      <c r="C64" s="179"/>
      <c r="D64" s="383">
        <f>ABS(INPUT!H15)</f>
        <v>0</v>
      </c>
      <c r="E64" s="151"/>
      <c r="F64" s="151"/>
      <c r="G64" s="151"/>
      <c r="H64" s="176" t="s">
        <v>28</v>
      </c>
      <c r="I64" s="179"/>
      <c r="J64" s="385">
        <f>INPUT!H44</f>
        <v>0</v>
      </c>
      <c r="K64" s="179"/>
      <c r="L64"/>
      <c r="M64"/>
      <c r="N64"/>
      <c r="O64"/>
    </row>
    <row r="65" spans="1:15 16369:16369" ht="15" customHeight="1" x14ac:dyDescent="0.35">
      <c r="A65" s="179"/>
      <c r="B65" s="178" t="s">
        <v>375</v>
      </c>
      <c r="C65" s="179"/>
      <c r="D65" s="383">
        <f>ABS(INPUT!H16)</f>
        <v>0</v>
      </c>
      <c r="E65" s="151"/>
      <c r="F65" s="151"/>
      <c r="G65" s="151"/>
      <c r="H65" s="179"/>
      <c r="I65" s="179"/>
      <c r="J65" s="179"/>
      <c r="K65" s="179"/>
      <c r="L65"/>
      <c r="M65"/>
      <c r="N65"/>
      <c r="O65"/>
    </row>
    <row r="66" spans="1:15 16369:16369" ht="15" customHeight="1" x14ac:dyDescent="0.35">
      <c r="A66" s="179"/>
      <c r="B66" s="178" t="s">
        <v>376</v>
      </c>
      <c r="C66" s="179"/>
      <c r="D66" s="383">
        <f>ABS(INPUT!H20)</f>
        <v>0</v>
      </c>
      <c r="E66" s="151"/>
      <c r="F66" s="151"/>
      <c r="G66" s="151"/>
      <c r="H66" s="176" t="s">
        <v>368</v>
      </c>
      <c r="I66" s="179"/>
      <c r="J66" s="384">
        <f>INPUT!H51</f>
        <v>0</v>
      </c>
      <c r="K66" s="179"/>
      <c r="L66"/>
      <c r="M66"/>
      <c r="N66"/>
      <c r="O66"/>
    </row>
    <row r="67" spans="1:15 16369:16369" ht="15" customHeight="1" x14ac:dyDescent="0.35">
      <c r="A67" s="179"/>
      <c r="B67" s="178" t="s">
        <v>361</v>
      </c>
      <c r="C67" s="179"/>
      <c r="D67" s="386">
        <f>SUM(D64:D66)</f>
        <v>0</v>
      </c>
      <c r="E67" s="151"/>
      <c r="F67" s="151"/>
      <c r="G67" s="151"/>
      <c r="H67" s="178" t="s">
        <v>369</v>
      </c>
      <c r="I67" s="179"/>
      <c r="J67" s="383">
        <f>INPUT!H54</f>
        <v>0</v>
      </c>
      <c r="K67" s="179"/>
      <c r="L67"/>
      <c r="M67"/>
      <c r="N67"/>
      <c r="O67"/>
    </row>
    <row r="68" spans="1:15 16369:16369" ht="15" customHeight="1" x14ac:dyDescent="0.35">
      <c r="A68" s="179"/>
      <c r="B68" s="178" t="s">
        <v>371</v>
      </c>
      <c r="C68" s="179"/>
      <c r="D68" s="387">
        <f>SUM(D64:D67)</f>
        <v>0</v>
      </c>
      <c r="E68" s="151"/>
      <c r="F68" s="151"/>
      <c r="G68" s="151"/>
      <c r="H68" s="178" t="s">
        <v>370</v>
      </c>
      <c r="I68" s="179"/>
      <c r="J68" s="383">
        <f>INPUT!H60</f>
        <v>0</v>
      </c>
      <c r="K68" s="179"/>
      <c r="L68"/>
      <c r="M68"/>
      <c r="N68"/>
      <c r="O68"/>
    </row>
    <row r="69" spans="1:15 16369:16369" ht="15" customHeight="1" x14ac:dyDescent="0.35">
      <c r="A69" s="179"/>
      <c r="B69" s="179"/>
      <c r="C69" s="179"/>
      <c r="D69" s="179"/>
      <c r="E69" s="179"/>
      <c r="F69" s="179"/>
      <c r="G69" s="179"/>
      <c r="H69" s="178" t="s">
        <v>372</v>
      </c>
      <c r="I69" s="179"/>
      <c r="J69" s="383">
        <f>INPUT!F60</f>
        <v>0</v>
      </c>
      <c r="K69" s="179"/>
      <c r="L69"/>
      <c r="M69"/>
      <c r="N69"/>
      <c r="O69"/>
    </row>
    <row r="70" spans="1:15 16369:16369" ht="15" customHeight="1" x14ac:dyDescent="0.35">
      <c r="A70" s="179"/>
      <c r="B70" s="179"/>
      <c r="C70" s="179"/>
      <c r="D70" s="388">
        <f>D60-D61-D68</f>
        <v>0</v>
      </c>
      <c r="E70" s="179"/>
      <c r="F70" s="179"/>
      <c r="G70" s="179"/>
      <c r="H70" s="179"/>
      <c r="I70" s="179"/>
      <c r="J70" s="388">
        <f>INPUT!H63</f>
        <v>0</v>
      </c>
      <c r="K70" s="179"/>
      <c r="L70"/>
      <c r="M70"/>
      <c r="N70"/>
      <c r="O70"/>
    </row>
    <row r="71" spans="1:15 16369:16369" ht="15" customHeight="1" thickBot="1" x14ac:dyDescent="0.4">
      <c r="A71" s="179"/>
      <c r="B71" s="176" t="s">
        <v>373</v>
      </c>
      <c r="C71" s="179"/>
      <c r="D71" s="389">
        <f>D60-D61-D68</f>
        <v>0</v>
      </c>
      <c r="E71" s="113"/>
      <c r="F71" s="113"/>
      <c r="G71" s="113"/>
      <c r="H71" s="176" t="s">
        <v>436</v>
      </c>
      <c r="I71" s="179"/>
      <c r="J71" s="389">
        <f>INPUT!F63</f>
        <v>0</v>
      </c>
      <c r="K71" s="179"/>
      <c r="L71"/>
      <c r="M71"/>
      <c r="N71"/>
      <c r="O71"/>
    </row>
    <row r="72" spans="1:15 16369:16369" ht="15" customHeight="1" x14ac:dyDescent="0.35">
      <c r="A72" s="179"/>
      <c r="B72" s="179"/>
      <c r="C72" s="179"/>
      <c r="D72" s="179"/>
      <c r="E72" s="179"/>
      <c r="F72" s="179"/>
      <c r="G72" s="179"/>
      <c r="H72" s="179"/>
      <c r="I72" s="179"/>
      <c r="J72" s="179"/>
      <c r="K72" s="179"/>
      <c r="L72" s="179"/>
      <c r="M72"/>
      <c r="N72"/>
      <c r="O72"/>
    </row>
    <row r="73" spans="1:15 16369:16369" ht="15" customHeight="1" x14ac:dyDescent="0.35">
      <c r="L73" s="179"/>
      <c r="M73"/>
      <c r="N73"/>
      <c r="O73"/>
    </row>
    <row r="74" spans="1:15 16369:16369" ht="15" customHeight="1" x14ac:dyDescent="0.35">
      <c r="K74" s="179"/>
      <c r="L74"/>
      <c r="M74"/>
      <c r="N74"/>
      <c r="O74"/>
      <c r="XEO74" s="179"/>
    </row>
    <row r="75" spans="1:15 16369:16369" ht="15" customHeight="1" x14ac:dyDescent="0.35">
      <c r="K75" s="179"/>
      <c r="L75"/>
      <c r="M75"/>
      <c r="N75"/>
      <c r="O75"/>
      <c r="XEO75" s="179"/>
    </row>
    <row r="76" spans="1:15 16369:16369" ht="15" customHeight="1" x14ac:dyDescent="0.3">
      <c r="O76"/>
    </row>
    <row r="77" spans="1:15 16369:16369" ht="15" customHeight="1" x14ac:dyDescent="0.3">
      <c r="O77"/>
    </row>
    <row r="78" spans="1:15 16369:16369" ht="15" customHeight="1" x14ac:dyDescent="0.35">
      <c r="A78" s="232"/>
      <c r="B78" s="408"/>
      <c r="C78" s="408"/>
      <c r="D78" s="408"/>
      <c r="E78" s="408"/>
      <c r="F78" s="408"/>
      <c r="G78" s="408"/>
      <c r="H78" s="408"/>
      <c r="I78" s="408"/>
      <c r="J78" s="408"/>
      <c r="K78" s="408"/>
      <c r="L78" s="408"/>
      <c r="M78" s="408"/>
      <c r="N78" s="233"/>
      <c r="O78" s="233"/>
    </row>
    <row r="79" spans="1:15 16369:16369" ht="15" customHeight="1" x14ac:dyDescent="0.35">
      <c r="A79" s="232"/>
      <c r="B79" s="408"/>
      <c r="C79" s="408"/>
      <c r="D79" s="408"/>
      <c r="E79" s="408"/>
      <c r="F79" s="408"/>
      <c r="G79" s="408"/>
      <c r="H79" s="408"/>
      <c r="I79" s="408"/>
      <c r="J79" s="408"/>
      <c r="K79" s="408"/>
      <c r="L79" s="408"/>
      <c r="M79" s="233"/>
      <c r="N79" s="233"/>
      <c r="O79" s="233"/>
    </row>
    <row r="80" spans="1:15 16369:16369" ht="15" customHeight="1" x14ac:dyDescent="0.35">
      <c r="A80" s="232"/>
      <c r="B80" s="408"/>
      <c r="C80" s="408"/>
      <c r="D80" s="408"/>
      <c r="E80" s="408"/>
      <c r="F80" s="408"/>
      <c r="G80" s="408"/>
      <c r="H80" s="408"/>
      <c r="I80" s="408"/>
      <c r="J80" s="408"/>
      <c r="K80" s="408"/>
      <c r="L80" s="408"/>
      <c r="M80" s="233"/>
      <c r="N80" s="233"/>
      <c r="O80" s="233"/>
    </row>
    <row r="81" spans="1:15 16373:16384" ht="15" customHeight="1" x14ac:dyDescent="0.3">
      <c r="A81" s="233"/>
      <c r="B81" s="233"/>
      <c r="C81" s="409" t="str">
        <f>INPUT!D5</f>
        <v/>
      </c>
      <c r="D81" s="410" t="str">
        <f>INPUT!E5</f>
        <v/>
      </c>
      <c r="E81" s="411" t="str">
        <f>INPUT!F5</f>
        <v/>
      </c>
      <c r="F81" s="411" t="str">
        <f>INPUT!G5</f>
        <v/>
      </c>
      <c r="G81" s="411" t="str">
        <f>INPUT!H5</f>
        <v/>
      </c>
      <c r="H81" s="412"/>
      <c r="I81" s="411" t="str">
        <f>INPUT!D5</f>
        <v/>
      </c>
      <c r="J81" s="411" t="str">
        <f>INPUT!E5</f>
        <v/>
      </c>
      <c r="K81" s="411" t="str">
        <f>INPUT!F5</f>
        <v/>
      </c>
      <c r="L81" s="411" t="str">
        <f>INPUT!G5</f>
        <v/>
      </c>
      <c r="M81" s="411" t="str">
        <f>INPUT!H5</f>
        <v/>
      </c>
      <c r="N81" s="412"/>
      <c r="O81" s="233"/>
    </row>
    <row r="82" spans="1:15 16373:16384" ht="15" customHeight="1" x14ac:dyDescent="0.3">
      <c r="A82" s="233"/>
      <c r="B82" s="233" t="s">
        <v>5</v>
      </c>
      <c r="C82" s="413" t="e">
        <f>IF(INPUT!D9="",NA(),INPUT!D9)</f>
        <v>#N/A</v>
      </c>
      <c r="D82" s="233" t="e">
        <f>IF(INPUT!E9="",NA(),INPUT!E9)</f>
        <v>#N/A</v>
      </c>
      <c r="E82" s="412" t="e">
        <f>IF(INPUT!F9="",NA(),INPUT!F9)</f>
        <v>#N/A</v>
      </c>
      <c r="F82" s="412" t="e">
        <f>IF(INPUT!G9="",NA(),INPUT!G9)</f>
        <v>#N/A</v>
      </c>
      <c r="G82" s="412" t="e">
        <f>IF(INPUT!H9="",NA(),INPUT!H9)</f>
        <v>#N/A</v>
      </c>
      <c r="H82" s="412"/>
      <c r="I82" s="412"/>
      <c r="J82" s="412"/>
      <c r="K82" s="412"/>
      <c r="L82" s="412"/>
      <c r="M82" s="412"/>
      <c r="N82" s="412"/>
      <c r="O82" s="233"/>
    </row>
    <row r="83" spans="1:15 16373:16384" ht="15" customHeight="1" x14ac:dyDescent="0.3">
      <c r="A83" s="233"/>
      <c r="B83" s="233"/>
      <c r="C83" s="233" t="s">
        <v>18</v>
      </c>
      <c r="D83" s="413">
        <f>IF(INPUT!D30="",NA(),INPUT!D30)</f>
        <v>0</v>
      </c>
      <c r="E83" s="233">
        <f>IF(INPUT!E30="",NA(),INPUT!E30)</f>
        <v>0</v>
      </c>
      <c r="F83" s="412">
        <f>IF(INPUT!F30="",NA(),INPUT!F30)</f>
        <v>0</v>
      </c>
      <c r="G83" s="412">
        <f>IF(INPUT!G30="",NA(),INPUT!G30)</f>
        <v>0</v>
      </c>
      <c r="H83" s="412">
        <f>IF(INPUT!H30="",NA(),INPUT!H30)</f>
        <v>0</v>
      </c>
      <c r="I83" s="412"/>
      <c r="J83" s="412"/>
      <c r="K83" s="412"/>
      <c r="L83" s="412"/>
      <c r="M83" s="412"/>
      <c r="N83" s="412"/>
      <c r="O83" s="412"/>
    </row>
    <row r="84" spans="1:15 16373:16384" ht="15" customHeight="1" x14ac:dyDescent="0.3">
      <c r="A84" s="233"/>
      <c r="B84" s="233"/>
      <c r="C84" s="233" t="s">
        <v>16</v>
      </c>
      <c r="D84" s="413">
        <f>IF(INPUT!D26="",NA(),INPUT!D26)</f>
        <v>0</v>
      </c>
      <c r="E84" s="233">
        <f>IF(INPUT!E26="",NA(),INPUT!E26)</f>
        <v>0</v>
      </c>
      <c r="F84" s="412">
        <f>IF(INPUT!F26="",NA(),INPUT!F26)</f>
        <v>0</v>
      </c>
      <c r="G84" s="412">
        <f>IF(INPUT!G26="",NA(),INPUT!G26)</f>
        <v>0</v>
      </c>
      <c r="H84" s="412">
        <f>IF(INPUT!H26="",NA(),INPUT!H26)</f>
        <v>0</v>
      </c>
      <c r="I84" s="412"/>
      <c r="J84" s="412"/>
      <c r="K84" s="412"/>
      <c r="L84" s="412"/>
      <c r="M84" s="412"/>
      <c r="N84" s="412"/>
      <c r="O84" s="412"/>
    </row>
    <row r="85" spans="1:15 16373:16384" ht="15" customHeight="1" x14ac:dyDescent="0.3">
      <c r="A85" s="233"/>
      <c r="B85" s="233"/>
      <c r="C85" s="233"/>
      <c r="D85" s="413"/>
      <c r="E85" s="233"/>
      <c r="F85" s="412"/>
      <c r="G85" s="412"/>
      <c r="H85" s="412"/>
      <c r="I85" s="412"/>
      <c r="J85" s="411" t="str">
        <f>INPUT!D5</f>
        <v/>
      </c>
      <c r="K85" s="411" t="str">
        <f>INPUT!E5</f>
        <v/>
      </c>
      <c r="L85" s="411" t="str">
        <f>INPUT!F5</f>
        <v/>
      </c>
      <c r="M85" s="411" t="str">
        <f>INPUT!G5</f>
        <v/>
      </c>
      <c r="N85" s="411" t="str">
        <f>INPUT!H5</f>
        <v/>
      </c>
      <c r="O85" s="412"/>
    </row>
    <row r="86" spans="1:15 16373:16384" ht="15" customHeight="1" x14ac:dyDescent="0.3">
      <c r="A86" s="233"/>
      <c r="B86" s="233"/>
      <c r="C86" s="233"/>
      <c r="D86" s="413"/>
      <c r="E86" s="233"/>
      <c r="F86" s="412"/>
      <c r="G86" s="412"/>
      <c r="H86" s="412"/>
      <c r="I86" s="412" t="s">
        <v>201</v>
      </c>
      <c r="J86" s="412" t="e">
        <f>IF(INPUT!D9="",NA(),INPUT!D11/INPUT!D9)</f>
        <v>#N/A</v>
      </c>
      <c r="K86" s="412" t="e">
        <f>IF(INPUT!E9="",NA(),INPUT!E11/INPUT!E9)</f>
        <v>#N/A</v>
      </c>
      <c r="L86" s="412" t="e">
        <f>IF(INPUT!F9="",NA(),INPUT!F11/INPUT!F9)</f>
        <v>#N/A</v>
      </c>
      <c r="M86" s="412" t="e">
        <f>IF(INPUT!G9="",NA(),INPUT!G11/INPUT!G9)</f>
        <v>#N/A</v>
      </c>
      <c r="N86" s="412" t="e">
        <f>IF(INPUT!H9="",NA(),INPUT!H11/INPUT!H9)</f>
        <v>#N/A</v>
      </c>
      <c r="O86" s="412"/>
    </row>
    <row r="87" spans="1:15 16373:16384" ht="15" customHeight="1" x14ac:dyDescent="0.3">
      <c r="A87" s="233"/>
      <c r="B87" s="233"/>
      <c r="C87" s="233"/>
      <c r="D87" s="413"/>
      <c r="E87" s="233"/>
      <c r="F87" s="412"/>
      <c r="G87" s="412"/>
      <c r="H87" s="412"/>
      <c r="I87" s="412" t="s">
        <v>96</v>
      </c>
      <c r="J87" s="412" t="e">
        <f>IF(INPUT!D9="",NA(),INPUT!D11/INPUT!D9)</f>
        <v>#N/A</v>
      </c>
      <c r="K87" s="412" t="e">
        <f>IF(INPUT!E9="",NA(),INPUT!E11/INPUT!E9)</f>
        <v>#N/A</v>
      </c>
      <c r="L87" s="412" t="e">
        <f>IF(INPUT!F9="",NA(),INPUT!F11/INPUT!F9)</f>
        <v>#N/A</v>
      </c>
      <c r="M87" s="412" t="e">
        <f>IF(INPUT!G9="",NA(),INPUT!G11/INPUT!G9)</f>
        <v>#N/A</v>
      </c>
      <c r="N87" s="412" t="e">
        <f>IF(INPUT!H9="",NA(),INPUT!H11/INPUT!H9)</f>
        <v>#N/A</v>
      </c>
      <c r="O87" s="412"/>
    </row>
    <row r="88" spans="1:15 16373:16384" ht="15" customHeight="1" x14ac:dyDescent="0.3">
      <c r="A88" s="233"/>
      <c r="B88" s="233"/>
      <c r="C88" s="233"/>
      <c r="D88" s="409" t="str">
        <f>INPUT!D5</f>
        <v/>
      </c>
      <c r="E88" s="410" t="str">
        <f>INPUT!E5</f>
        <v/>
      </c>
      <c r="F88" s="411" t="str">
        <f>INPUT!F5</f>
        <v/>
      </c>
      <c r="G88" s="411" t="str">
        <f>INPUT!G5</f>
        <v/>
      </c>
      <c r="H88" s="411" t="str">
        <f>INPUT!H5</f>
        <v/>
      </c>
      <c r="I88" s="412" t="s">
        <v>355</v>
      </c>
      <c r="J88" s="412" t="e">
        <f>IF(INPUT!D9="",NA(),INPUT!D26/INPUT!D9)</f>
        <v>#N/A</v>
      </c>
      <c r="K88" s="412" t="e">
        <f>IF(INPUT!E9="",NA(),INPUT!E26/INPUT!E9)</f>
        <v>#N/A</v>
      </c>
      <c r="L88" s="412" t="e">
        <f>IF(INPUT!F9="",NA(),INPUT!F26/INPUT!F9)</f>
        <v>#N/A</v>
      </c>
      <c r="M88" s="412" t="e">
        <f>IF(INPUT!G9="",NA(),INPUT!G26/INPUT!G9)</f>
        <v>#N/A</v>
      </c>
      <c r="N88" s="412" t="e">
        <f>IF(INPUT!H9="",NA(),INPUT!H26/INPUT!H9)</f>
        <v>#N/A</v>
      </c>
      <c r="O88" s="412"/>
    </row>
    <row r="89" spans="1:15 16373:16384" ht="15" customHeight="1" x14ac:dyDescent="0.3">
      <c r="A89" s="233"/>
      <c r="B89" s="233"/>
      <c r="C89" s="233" t="s">
        <v>5</v>
      </c>
      <c r="D89" s="413" t="e">
        <f>IF(INPUT!D9="",NA(),INPUT!D9)</f>
        <v>#N/A</v>
      </c>
      <c r="E89" s="233" t="e">
        <f>IF(INPUT!E9="",NA(),INPUT!E9)</f>
        <v>#N/A</v>
      </c>
      <c r="F89" s="412" t="e">
        <f>IF(INPUT!F9="",NA(),INPUT!F9)</f>
        <v>#N/A</v>
      </c>
      <c r="G89" s="412" t="e">
        <f>IF(INPUT!G9="",NA(),INPUT!G9)</f>
        <v>#N/A</v>
      </c>
      <c r="H89" s="412" t="e">
        <f>IF(INPUT!H9="",NA(),INPUT!H9)</f>
        <v>#N/A</v>
      </c>
      <c r="I89" s="412"/>
      <c r="J89" s="412"/>
      <c r="K89" s="412"/>
      <c r="L89" s="412"/>
      <c r="M89" s="412"/>
      <c r="N89" s="412"/>
      <c r="O89" s="412"/>
    </row>
    <row r="90" spans="1:15 16373:16384" ht="15" customHeight="1" x14ac:dyDescent="0.3">
      <c r="A90" s="233"/>
      <c r="B90" s="233"/>
      <c r="C90" s="233"/>
      <c r="D90" s="413"/>
      <c r="E90" s="233"/>
      <c r="F90" s="412"/>
      <c r="G90" s="412"/>
      <c r="H90" s="412"/>
      <c r="I90" s="412"/>
      <c r="J90" s="411" t="str">
        <f>INPUT!D5</f>
        <v/>
      </c>
      <c r="K90" s="411" t="str">
        <f>INPUT!E5</f>
        <v/>
      </c>
      <c r="L90" s="411" t="str">
        <f>INPUT!F5</f>
        <v/>
      </c>
      <c r="M90" s="411" t="str">
        <f>INPUT!G5</f>
        <v/>
      </c>
      <c r="N90" s="411" t="str">
        <f>INPUT!H5</f>
        <v/>
      </c>
      <c r="O90" s="412"/>
    </row>
    <row r="91" spans="1:15 16373:16384" ht="15" customHeight="1" x14ac:dyDescent="0.3">
      <c r="A91" s="233"/>
      <c r="B91" s="233"/>
      <c r="C91" s="233"/>
      <c r="D91" s="413"/>
      <c r="E91" s="233"/>
      <c r="F91" s="412"/>
      <c r="G91" s="412"/>
      <c r="H91" s="412"/>
      <c r="I91" s="412" t="s">
        <v>374</v>
      </c>
      <c r="J91" s="412" t="e">
        <f>IF(INPUT!D14="",NA(),ABS(INPUT!D14))</f>
        <v>#N/A</v>
      </c>
      <c r="K91" s="412" t="e">
        <f>IF(INPUT!E14="",NA(),ABS(INPUT!E14))</f>
        <v>#N/A</v>
      </c>
      <c r="L91" s="412" t="e">
        <f>IF(INPUT!F14="",NA(),ABS(INPUT!F14))</f>
        <v>#N/A</v>
      </c>
      <c r="M91" s="412" t="e">
        <f>IF(INPUT!G14="",NA(),ABS(INPUT!G14))</f>
        <v>#N/A</v>
      </c>
      <c r="N91" s="412" t="e">
        <f>IF(INPUT!H14="",NA(),ABS(INPUT!H14))</f>
        <v>#N/A</v>
      </c>
      <c r="O91" s="412"/>
      <c r="XES91" s="51"/>
      <c r="XEU91" s="21"/>
      <c r="XEV91" s="21"/>
      <c r="XEW91" s="21"/>
      <c r="XEX91" s="21"/>
      <c r="XEY91" s="21"/>
      <c r="XEZ91" s="21"/>
      <c r="XFA91" s="21"/>
      <c r="XFB91" s="21"/>
      <c r="XFC91" s="21"/>
      <c r="XFD91" s="21"/>
    </row>
    <row r="92" spans="1:15 16373:16384" ht="15" customHeight="1" x14ac:dyDescent="0.3">
      <c r="A92" s="233"/>
      <c r="B92" s="233"/>
      <c r="C92" s="233"/>
      <c r="D92" s="413"/>
      <c r="E92" s="233"/>
      <c r="F92" s="412"/>
      <c r="G92" s="412"/>
      <c r="H92" s="412"/>
      <c r="I92" s="412" t="s">
        <v>375</v>
      </c>
      <c r="J92" s="412" t="e">
        <f>IF(INPUT!D15="",NA(),ABS(INPUT!D15))</f>
        <v>#N/A</v>
      </c>
      <c r="K92" s="412" t="e">
        <f>IF(INPUT!E15="",NA(),ABS(INPUT!E15))</f>
        <v>#N/A</v>
      </c>
      <c r="L92" s="412" t="e">
        <f>IF(INPUT!F15="",NA(),ABS(INPUT!F15))</f>
        <v>#N/A</v>
      </c>
      <c r="M92" s="412" t="e">
        <f>IF(INPUT!G15="",NA(),ABS(INPUT!G15))</f>
        <v>#N/A</v>
      </c>
      <c r="N92" s="412" t="e">
        <f>IF(INPUT!H15="",NA(),ABS(INPUT!H15))</f>
        <v>#N/A</v>
      </c>
      <c r="O92" s="412"/>
      <c r="XES92" s="51"/>
      <c r="XEU92" s="21"/>
      <c r="XEV92" s="21"/>
      <c r="XEW92" s="21"/>
      <c r="XEX92" s="21"/>
      <c r="XEY92" s="21"/>
      <c r="XEZ92" s="21"/>
      <c r="XFA92" s="21"/>
      <c r="XFB92" s="21"/>
      <c r="XFC92" s="21"/>
      <c r="XFD92" s="21"/>
    </row>
    <row r="93" spans="1:15 16373:16384" ht="15" customHeight="1" x14ac:dyDescent="0.3">
      <c r="A93" s="233"/>
      <c r="B93" s="233"/>
      <c r="C93" s="233"/>
      <c r="D93" s="413"/>
      <c r="E93" s="233"/>
      <c r="F93" s="412"/>
      <c r="G93" s="412"/>
      <c r="H93" s="412"/>
      <c r="I93" s="412" t="s">
        <v>376</v>
      </c>
      <c r="J93" s="412" t="e">
        <f>IF(INPUT!D16="",NA(),ABS(INPUT!D16))</f>
        <v>#N/A</v>
      </c>
      <c r="K93" s="412" t="e">
        <f>IF(INPUT!E16="",NA(),ABS(INPUT!E16))</f>
        <v>#N/A</v>
      </c>
      <c r="L93" s="412" t="e">
        <f>IF(INPUT!F16="",NA(),ABS(INPUT!F16))</f>
        <v>#N/A</v>
      </c>
      <c r="M93" s="412" t="e">
        <f>IF(INPUT!G16="",NA(),ABS(INPUT!G16))</f>
        <v>#N/A</v>
      </c>
      <c r="N93" s="412" t="e">
        <f>IF(INPUT!H16="",NA(),ABS(INPUT!H16))</f>
        <v>#N/A</v>
      </c>
      <c r="O93" s="412"/>
    </row>
    <row r="94" spans="1:15 16373:16384" ht="15" customHeight="1" x14ac:dyDescent="0.3">
      <c r="A94" s="233"/>
      <c r="B94" s="233"/>
      <c r="C94" s="233"/>
      <c r="D94" s="413"/>
      <c r="E94" s="233"/>
      <c r="F94" s="412"/>
      <c r="G94" s="412"/>
      <c r="H94" s="412"/>
      <c r="I94" s="412" t="s">
        <v>361</v>
      </c>
      <c r="J94" s="412" t="e">
        <f>IF(INPUT!D20="",NA(),ABS(INPUT!D20))</f>
        <v>#N/A</v>
      </c>
      <c r="K94" s="412" t="e">
        <f>IF(INPUT!E20="",NA(),ABS(INPUT!E20))</f>
        <v>#N/A</v>
      </c>
      <c r="L94" s="412" t="e">
        <f>IF(INPUT!F20="",NA(),ABS(INPUT!F20))</f>
        <v>#N/A</v>
      </c>
      <c r="M94" s="412" t="e">
        <f>IF(INPUT!G20="",NA(),ABS(INPUT!G20))</f>
        <v>#N/A</v>
      </c>
      <c r="N94" s="412" t="e">
        <f>IF(INPUT!H20="",NA(),ABS(INPUT!H20))</f>
        <v>#N/A</v>
      </c>
      <c r="O94" s="412"/>
    </row>
    <row r="95" spans="1:15 16373:16384" ht="15" customHeight="1" x14ac:dyDescent="0.3">
      <c r="A95" s="233"/>
      <c r="B95" s="233"/>
      <c r="C95" s="233"/>
      <c r="D95" s="413"/>
      <c r="E95" s="233"/>
      <c r="F95" s="412"/>
      <c r="G95" s="412"/>
      <c r="H95" s="412"/>
      <c r="I95" s="412"/>
      <c r="J95" s="412"/>
      <c r="K95" s="412"/>
      <c r="L95" s="412"/>
      <c r="M95" s="412"/>
      <c r="N95" s="412"/>
      <c r="O95" s="412"/>
    </row>
    <row r="96" spans="1:15 16373:16384" ht="15" customHeight="1" x14ac:dyDescent="0.3">
      <c r="B96" s="51"/>
    </row>
    <row r="97" spans="2:2" ht="15" customHeight="1" x14ac:dyDescent="0.3">
      <c r="B97" s="51"/>
    </row>
    <row r="98" spans="2:2" ht="15" customHeight="1" x14ac:dyDescent="0.3">
      <c r="B98" s="51"/>
    </row>
    <row r="99" spans="2:2" ht="15" customHeight="1" x14ac:dyDescent="0.3">
      <c r="B99" s="51"/>
    </row>
    <row r="100" spans="2:2" ht="15" customHeight="1" x14ac:dyDescent="0.3">
      <c r="B100" s="51"/>
    </row>
    <row r="101" spans="2:2" ht="15" customHeight="1" x14ac:dyDescent="0.3">
      <c r="B101" s="51"/>
    </row>
    <row r="102" spans="2:2" ht="15" customHeight="1" x14ac:dyDescent="0.3">
      <c r="B102" s="51"/>
    </row>
    <row r="103" spans="2:2" ht="15" customHeight="1" x14ac:dyDescent="0.3">
      <c r="B103" s="51"/>
    </row>
    <row r="104" spans="2:2" ht="15" customHeight="1" x14ac:dyDescent="0.3">
      <c r="B104" s="51"/>
    </row>
    <row r="105" spans="2:2" ht="15" customHeight="1" x14ac:dyDescent="0.3">
      <c r="B105" s="51"/>
    </row>
    <row r="106" spans="2:2" ht="15" customHeight="1" x14ac:dyDescent="0.3">
      <c r="B106" s="51"/>
    </row>
    <row r="107" spans="2:2" ht="15" customHeight="1" x14ac:dyDescent="0.3">
      <c r="B107" s="51"/>
    </row>
    <row r="108" spans="2:2" ht="15" customHeight="1" x14ac:dyDescent="0.3">
      <c r="B108" s="51"/>
    </row>
    <row r="109" spans="2:2" ht="15" customHeight="1" x14ac:dyDescent="0.3">
      <c r="B109" s="51"/>
    </row>
    <row r="110" spans="2:2" ht="15" customHeight="1" x14ac:dyDescent="0.3">
      <c r="B110" s="51"/>
    </row>
    <row r="111" spans="2:2" ht="15" customHeight="1" x14ac:dyDescent="0.3">
      <c r="B111" s="51"/>
    </row>
    <row r="112" spans="2:2" ht="15" customHeight="1" x14ac:dyDescent="0.3">
      <c r="B112" s="51"/>
    </row>
    <row r="113" spans="2:2" ht="15" customHeight="1" x14ac:dyDescent="0.3">
      <c r="B113" s="51"/>
    </row>
    <row r="114" spans="2:2" ht="15" customHeight="1" x14ac:dyDescent="0.3">
      <c r="B114" s="51"/>
    </row>
    <row r="115" spans="2:2" ht="15" customHeight="1" x14ac:dyDescent="0.3">
      <c r="B115" s="51"/>
    </row>
    <row r="116" spans="2:2" ht="15" customHeight="1" x14ac:dyDescent="0.3">
      <c r="B116" s="51"/>
    </row>
    <row r="117" spans="2:2" ht="15" customHeight="1" x14ac:dyDescent="0.3">
      <c r="B117" s="51"/>
    </row>
    <row r="118" spans="2:2" ht="15" customHeight="1" x14ac:dyDescent="0.3">
      <c r="B118" s="51"/>
    </row>
    <row r="119" spans="2:2" ht="15" customHeight="1" x14ac:dyDescent="0.3">
      <c r="B119" s="51"/>
    </row>
    <row r="120" spans="2:2" ht="15" customHeight="1" x14ac:dyDescent="0.3">
      <c r="B120" s="51"/>
    </row>
  </sheetData>
  <printOptions horizontalCentered="1"/>
  <pageMargins left="5.5555555555555558E-3" right="5.5555555555555558E-3" top="5.5555555555555558E-3" bottom="5.5555555555555558E-3" header="2.7777777777777779E-3" footer="2.7777777777777779E-3"/>
  <pageSetup paperSize="9" scale="40" orientation="landscape" r:id="rId1"/>
  <rowBreaks count="2" manualBreakCount="2">
    <brk id="24" max="13" man="1"/>
    <brk id="41" max="1638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FD438-635F-454C-BFF5-509400E21BDF}">
  <dimension ref="A1:AF107"/>
  <sheetViews>
    <sheetView showGridLines="0" topLeftCell="B22" zoomScale="63" zoomScaleNormal="85" workbookViewId="0">
      <selection activeCell="AB41" sqref="AB41"/>
    </sheetView>
  </sheetViews>
  <sheetFormatPr baseColWidth="10" defaultColWidth="9.109375" defaultRowHeight="15" customHeight="1" x14ac:dyDescent="0.35"/>
  <cols>
    <col min="1" max="1" width="15.33203125" style="167" customWidth="1"/>
    <col min="2" max="2" width="16.6640625" style="167" customWidth="1"/>
    <col min="3" max="4" width="12.44140625" style="167" customWidth="1"/>
    <col min="5" max="5" width="13.5546875" style="167" customWidth="1"/>
    <col min="6" max="10" width="12.44140625" style="167" customWidth="1"/>
    <col min="11" max="11" width="13.88671875" style="167" customWidth="1"/>
    <col min="12" max="14" width="12.44140625" style="167" customWidth="1"/>
    <col min="15" max="15" width="13.88671875" style="168" customWidth="1"/>
    <col min="16" max="16" width="13.88671875" style="167" customWidth="1"/>
    <col min="17" max="17" width="12.44140625" style="167" customWidth="1"/>
    <col min="18" max="18" width="16.6640625" style="167" customWidth="1"/>
    <col min="19" max="19" width="12.44140625" style="167" customWidth="1"/>
    <col min="20" max="20" width="26.109375" style="167" customWidth="1"/>
    <col min="21" max="21" width="18.33203125" style="167" customWidth="1"/>
    <col min="22" max="22" width="16.109375" style="167" customWidth="1"/>
    <col min="23" max="30" width="12.44140625" style="167" customWidth="1"/>
    <col min="31" max="16384" width="9.109375" style="167"/>
  </cols>
  <sheetData>
    <row r="1" spans="1:30" ht="50.1" customHeight="1" x14ac:dyDescent="0.6">
      <c r="A1" s="182"/>
      <c r="B1" s="118" t="s">
        <v>346</v>
      </c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376" t="str">
        <f>INPUT!D114&amp;" ("&amp;INPUT!D115&amp;")  — "&amp;INPUT!D116</f>
        <v xml:space="preserve"> ()  — </v>
      </c>
      <c r="S1" s="182"/>
      <c r="T1" s="182"/>
      <c r="U1" s="182"/>
      <c r="V1" s="182"/>
      <c r="W1" s="182"/>
      <c r="X1" s="182"/>
      <c r="Y1" s="217"/>
      <c r="Z1" s="217"/>
      <c r="AA1" s="217"/>
      <c r="AB1" s="217"/>
      <c r="AC1" s="217"/>
      <c r="AD1" s="217"/>
    </row>
    <row r="2" spans="1:30" ht="15" customHeight="1" x14ac:dyDescent="0.35">
      <c r="A2" s="102"/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/>
      <c r="Z2"/>
      <c r="AA2"/>
      <c r="AB2"/>
      <c r="AC2"/>
      <c r="AD2"/>
    </row>
    <row r="3" spans="1:30" s="169" customFormat="1" ht="21" x14ac:dyDescent="0.5">
      <c r="A3"/>
      <c r="B3" s="155" t="s">
        <v>385</v>
      </c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164"/>
      <c r="P3"/>
      <c r="Q3" s="155" t="s">
        <v>398</v>
      </c>
      <c r="R3" s="164"/>
      <c r="S3" s="164"/>
      <c r="T3" s="164"/>
      <c r="U3" s="164"/>
      <c r="V3" s="164"/>
      <c r="W3" s="164"/>
      <c r="X3" s="164"/>
      <c r="Y3"/>
      <c r="Z3"/>
      <c r="AA3"/>
      <c r="AB3"/>
      <c r="AC3"/>
      <c r="AD3"/>
    </row>
    <row r="4" spans="1:30" s="169" customFormat="1" ht="15" customHeight="1" x14ac:dyDescent="0.3">
      <c r="A4" s="102"/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2"/>
      <c r="Y4"/>
      <c r="Z4"/>
      <c r="AA4"/>
      <c r="AB4"/>
      <c r="AC4"/>
      <c r="AD4"/>
    </row>
    <row r="5" spans="1:30" s="169" customFormat="1" ht="15" customHeight="1" x14ac:dyDescent="0.3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84" t="s">
        <v>399</v>
      </c>
      <c r="R5" s="102"/>
      <c r="S5" s="102"/>
      <c r="T5" s="102"/>
      <c r="U5" s="102"/>
      <c r="V5" s="102"/>
      <c r="W5" s="102"/>
      <c r="X5" s="102"/>
      <c r="Y5"/>
      <c r="Z5"/>
      <c r="AA5"/>
      <c r="AB5"/>
      <c r="AC5"/>
      <c r="AD5"/>
    </row>
    <row r="6" spans="1:30" ht="15" customHeight="1" x14ac:dyDescent="0.35">
      <c r="A6" s="102"/>
      <c r="B6" s="390" t="str">
        <f>CONCATENATE("Company: ",INPUT!D114)</f>
        <v xml:space="preserve">Company: </v>
      </c>
      <c r="C6" s="165"/>
      <c r="D6" s="165"/>
      <c r="E6" s="165"/>
      <c r="F6" s="165"/>
      <c r="G6" s="165"/>
      <c r="H6" s="165"/>
      <c r="I6" s="391" t="str">
        <f>CONCATENATE("Sector: ",INPUT!D116)</f>
        <v xml:space="preserve">Sector: </v>
      </c>
      <c r="J6" s="165"/>
      <c r="K6" s="165"/>
      <c r="L6" s="165"/>
      <c r="M6" s="165"/>
      <c r="N6" s="165"/>
      <c r="O6" s="165"/>
      <c r="P6"/>
      <c r="Q6" s="174" t="s">
        <v>386</v>
      </c>
      <c r="R6"/>
      <c r="S6"/>
      <c r="T6"/>
      <c r="U6"/>
      <c r="V6"/>
      <c r="W6"/>
      <c r="X6"/>
      <c r="Y6"/>
      <c r="Z6"/>
      <c r="AA6"/>
      <c r="AB6"/>
      <c r="AC6"/>
      <c r="AD6"/>
    </row>
    <row r="7" spans="1:30" ht="15" customHeight="1" x14ac:dyDescent="0.35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102"/>
      <c r="L7" s="102"/>
      <c r="M7" s="102"/>
      <c r="N7" s="102"/>
      <c r="O7" s="102"/>
      <c r="P7"/>
      <c r="Q7"/>
      <c r="R7" s="112" t="s">
        <v>78</v>
      </c>
      <c r="S7" s="392">
        <f>INPUT!D114</f>
        <v>0</v>
      </c>
      <c r="T7"/>
      <c r="U7"/>
      <c r="V7"/>
      <c r="W7"/>
      <c r="X7"/>
      <c r="Y7"/>
      <c r="Z7"/>
      <c r="AA7"/>
      <c r="AB7"/>
      <c r="AC7"/>
      <c r="AD7"/>
    </row>
    <row r="8" spans="1:30" ht="15" customHeight="1" x14ac:dyDescent="0.35">
      <c r="A8" s="102"/>
      <c r="B8" s="102"/>
      <c r="C8" s="102"/>
      <c r="D8" s="102"/>
      <c r="E8" s="102"/>
      <c r="F8" s="102"/>
      <c r="G8" s="102"/>
      <c r="H8" s="102"/>
      <c r="I8" s="102"/>
      <c r="J8" s="102"/>
      <c r="K8" s="102"/>
      <c r="L8" s="102"/>
      <c r="M8" s="102"/>
      <c r="N8" s="102"/>
      <c r="O8" s="102"/>
      <c r="P8"/>
      <c r="Q8"/>
      <c r="R8" s="112" t="s">
        <v>80</v>
      </c>
      <c r="S8" s="392">
        <f>INPUT!D115</f>
        <v>0</v>
      </c>
      <c r="T8"/>
      <c r="U8"/>
      <c r="V8"/>
      <c r="W8"/>
      <c r="X8"/>
      <c r="Y8"/>
      <c r="Z8"/>
      <c r="AA8"/>
      <c r="AB8"/>
      <c r="AC8"/>
      <c r="AD8"/>
    </row>
    <row r="9" spans="1:30" ht="15" customHeight="1" x14ac:dyDescent="0.35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/>
      <c r="Q9"/>
      <c r="R9" s="112" t="s">
        <v>82</v>
      </c>
      <c r="S9" s="392">
        <f>INPUT!D116</f>
        <v>0</v>
      </c>
      <c r="T9"/>
      <c r="U9"/>
      <c r="V9"/>
      <c r="W9"/>
      <c r="X9"/>
      <c r="Y9"/>
      <c r="Z9"/>
      <c r="AA9"/>
      <c r="AB9"/>
      <c r="AC9"/>
      <c r="AD9"/>
    </row>
    <row r="10" spans="1:30" ht="15" customHeight="1" x14ac:dyDescent="0.35">
      <c r="A10" s="102"/>
      <c r="B10" s="102"/>
      <c r="C10" s="102"/>
      <c r="D10" s="102"/>
      <c r="E10" s="102"/>
      <c r="F10" s="102"/>
      <c r="G10" s="102"/>
      <c r="H10" s="102"/>
      <c r="I10" s="102"/>
      <c r="J10" s="102"/>
      <c r="K10" s="102"/>
      <c r="L10" s="102"/>
      <c r="M10" s="102"/>
      <c r="N10" s="102"/>
      <c r="O10" s="102"/>
      <c r="P10"/>
      <c r="Q10"/>
      <c r="R10" s="112" t="s">
        <v>342</v>
      </c>
      <c r="S10" s="392">
        <f>INPUT!D117</f>
        <v>0</v>
      </c>
      <c r="T10"/>
      <c r="U10"/>
      <c r="V10"/>
      <c r="W10"/>
      <c r="X10"/>
      <c r="Y10"/>
      <c r="Z10"/>
      <c r="AA10"/>
      <c r="AB10"/>
      <c r="AC10"/>
      <c r="AD10"/>
    </row>
    <row r="11" spans="1:30" ht="15" customHeight="1" x14ac:dyDescent="0.35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102"/>
      <c r="L11" s="102"/>
      <c r="M11" s="102"/>
      <c r="N11" s="102"/>
      <c r="O11" s="102"/>
      <c r="P11"/>
      <c r="Q11"/>
      <c r="R11" s="112" t="s">
        <v>83</v>
      </c>
      <c r="S11" s="392">
        <f>INPUT!D118</f>
        <v>0</v>
      </c>
      <c r="T11"/>
      <c r="U11"/>
      <c r="V11"/>
      <c r="W11"/>
      <c r="X11"/>
      <c r="Y11"/>
      <c r="Z11"/>
      <c r="AA11"/>
      <c r="AB11"/>
      <c r="AC11"/>
      <c r="AD11"/>
    </row>
    <row r="12" spans="1:30" ht="15" customHeight="1" x14ac:dyDescent="0.35">
      <c r="A12" s="102"/>
      <c r="B12" s="102"/>
      <c r="C12" s="102"/>
      <c r="D12" s="102"/>
      <c r="E12" s="102"/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/>
      <c r="Q12"/>
      <c r="R12" s="112" t="s">
        <v>85</v>
      </c>
      <c r="S12" s="393">
        <f>INPUT!D120</f>
        <v>0</v>
      </c>
      <c r="T12"/>
      <c r="U12"/>
      <c r="V12"/>
      <c r="W12"/>
      <c r="X12"/>
      <c r="Y12"/>
      <c r="Z12"/>
      <c r="AA12"/>
      <c r="AB12"/>
      <c r="AC12"/>
      <c r="AD12"/>
    </row>
    <row r="13" spans="1:30" ht="15" customHeight="1" x14ac:dyDescent="0.35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</row>
    <row r="14" spans="1:30" ht="21" x14ac:dyDescent="0.5">
      <c r="A14" s="102"/>
      <c r="B14" s="102"/>
      <c r="C14" s="102"/>
      <c r="D14" s="102"/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55" t="s">
        <v>400</v>
      </c>
      <c r="R14" s="164"/>
      <c r="S14" s="164"/>
      <c r="T14" s="164"/>
      <c r="U14" s="164"/>
      <c r="V14" s="164"/>
      <c r="W14" s="164"/>
      <c r="X14" s="164"/>
      <c r="Y14"/>
      <c r="Z14"/>
      <c r="AA14"/>
      <c r="AB14"/>
      <c r="AC14"/>
      <c r="AD14"/>
    </row>
    <row r="15" spans="1:30" ht="15" customHeight="1" x14ac:dyDescent="0.35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</row>
    <row r="16" spans="1:30" ht="15" customHeight="1" x14ac:dyDescent="0.35">
      <c r="A16" s="102"/>
      <c r="B16" s="102"/>
      <c r="C16" s="102"/>
      <c r="D16" s="102"/>
      <c r="E16" s="102"/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/>
      <c r="Q16"/>
      <c r="R16"/>
      <c r="S16"/>
      <c r="T16" s="186" t="s">
        <v>317</v>
      </c>
      <c r="U16" s="186" t="s">
        <v>401</v>
      </c>
      <c r="V16" s="186" t="s">
        <v>318</v>
      </c>
      <c r="W16"/>
      <c r="X16"/>
      <c r="Y16"/>
      <c r="Z16"/>
      <c r="AA16"/>
      <c r="AB16"/>
      <c r="AC16"/>
      <c r="AD16"/>
    </row>
    <row r="17" spans="1:30" ht="15" customHeight="1" x14ac:dyDescent="0.35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/>
      <c r="Q17" s="189" t="s">
        <v>402</v>
      </c>
      <c r="R17"/>
      <c r="S17"/>
      <c r="T17" s="394">
        <f>INPUT!D95*0.75</f>
        <v>0</v>
      </c>
      <c r="U17" s="395">
        <f>V17-T17</f>
        <v>0</v>
      </c>
      <c r="V17" s="396">
        <f>INPUT!D95*1.45</f>
        <v>0</v>
      </c>
      <c r="W17"/>
      <c r="X17"/>
      <c r="Y17"/>
      <c r="Z17"/>
      <c r="AA17"/>
      <c r="AB17"/>
      <c r="AC17"/>
      <c r="AD17"/>
    </row>
    <row r="18" spans="1:30" ht="15" customHeight="1" x14ac:dyDescent="0.35">
      <c r="A18" s="102"/>
      <c r="B18" s="102"/>
      <c r="C18" s="102"/>
      <c r="D18" s="102"/>
      <c r="E18" s="102"/>
      <c r="F18" s="102"/>
      <c r="G18" s="102"/>
      <c r="H18" s="102"/>
      <c r="I18" s="102"/>
      <c r="J18" s="102"/>
      <c r="K18" s="102"/>
      <c r="L18" s="102"/>
      <c r="M18" s="102"/>
      <c r="N18" s="102"/>
      <c r="O18" s="102"/>
      <c r="P18"/>
      <c r="Q18" s="189" t="s">
        <v>390</v>
      </c>
      <c r="R18"/>
      <c r="S18"/>
      <c r="T18" s="396">
        <f>INPUT!D95*1.1</f>
        <v>0</v>
      </c>
      <c r="U18" s="397">
        <f>V18-T18</f>
        <v>0</v>
      </c>
      <c r="V18" s="396">
        <f>INPUT!D95*1.6</f>
        <v>0</v>
      </c>
      <c r="W18"/>
      <c r="X18"/>
      <c r="Y18"/>
      <c r="Z18"/>
      <c r="AA18"/>
      <c r="AB18"/>
      <c r="AC18"/>
      <c r="AD18"/>
    </row>
    <row r="19" spans="1:30" s="169" customFormat="1" ht="15" customHeight="1" x14ac:dyDescent="0.35">
      <c r="A19" s="102"/>
      <c r="B19" s="220" t="s">
        <v>391</v>
      </c>
      <c r="C19" s="224"/>
      <c r="D19" s="224"/>
      <c r="E19" s="224"/>
      <c r="F19" s="224"/>
      <c r="G19" s="224"/>
      <c r="H19" s="102"/>
      <c r="I19" s="220" t="s">
        <v>392</v>
      </c>
      <c r="J19" s="224"/>
      <c r="K19" s="224"/>
      <c r="L19" s="224"/>
      <c r="M19" s="224"/>
      <c r="N19" s="224"/>
      <c r="O19" s="224"/>
      <c r="P19"/>
      <c r="Q19" s="189" t="s">
        <v>403</v>
      </c>
      <c r="R19"/>
      <c r="S19"/>
      <c r="T19" s="396">
        <f>INPUT!D95*1.2</f>
        <v>0</v>
      </c>
      <c r="U19" s="397">
        <f>V19-T19</f>
        <v>0</v>
      </c>
      <c r="V19" s="396">
        <f>INPUT!D95*1.75</f>
        <v>0</v>
      </c>
      <c r="W19"/>
      <c r="X19"/>
      <c r="Y19"/>
      <c r="Z19"/>
      <c r="AA19"/>
      <c r="AB19"/>
      <c r="AC19"/>
      <c r="AD19"/>
    </row>
    <row r="20" spans="1:30" s="169" customFormat="1" ht="15" customHeight="1" x14ac:dyDescent="0.35">
      <c r="A20" s="102"/>
      <c r="B20" s="190"/>
      <c r="C20" s="102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/>
      <c r="Q20" s="189" t="s">
        <v>393</v>
      </c>
      <c r="R20"/>
      <c r="S20"/>
      <c r="T20" s="396">
        <f>INPUT!D95*1.3</f>
        <v>0</v>
      </c>
      <c r="U20" s="397">
        <f>V20-T20</f>
        <v>0</v>
      </c>
      <c r="V20" s="396">
        <f>INPUT!D95*1.85</f>
        <v>0</v>
      </c>
      <c r="W20"/>
      <c r="X20"/>
      <c r="Y20"/>
      <c r="Z20"/>
      <c r="AA20"/>
      <c r="AB20"/>
      <c r="AC20"/>
      <c r="AD20"/>
    </row>
    <row r="21" spans="1:30" s="169" customFormat="1" ht="15" customHeight="1" x14ac:dyDescent="0.35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102"/>
      <c r="L21" s="102"/>
      <c r="M21" s="102"/>
      <c r="N21" s="102"/>
      <c r="O21" s="102"/>
      <c r="P21"/>
      <c r="Q21" s="189" t="s">
        <v>394</v>
      </c>
      <c r="R21"/>
      <c r="S21"/>
      <c r="T21" s="396">
        <f>INPUT!D95*1.15</f>
        <v>0</v>
      </c>
      <c r="U21" s="397">
        <f>V21-T21</f>
        <v>0</v>
      </c>
      <c r="V21" s="396">
        <f>INPUT!D95*1.7</f>
        <v>0</v>
      </c>
      <c r="W21"/>
      <c r="X21"/>
      <c r="Y21"/>
      <c r="Z21"/>
      <c r="AA21"/>
      <c r="AB21"/>
      <c r="AC21"/>
      <c r="AD21"/>
    </row>
    <row r="22" spans="1:30" s="169" customFormat="1" ht="15" customHeight="1" x14ac:dyDescent="0.35">
      <c r="A22" s="102"/>
      <c r="B22" s="102"/>
      <c r="C22" s="102"/>
      <c r="D22" s="102"/>
      <c r="E22" s="102"/>
      <c r="F22" s="102"/>
      <c r="G22" s="102"/>
      <c r="H22" s="102"/>
      <c r="I22" s="102"/>
      <c r="J22" s="102"/>
      <c r="K22" s="102"/>
      <c r="L22" s="102"/>
      <c r="M22" s="102"/>
      <c r="N22" s="102"/>
      <c r="O22" s="102"/>
      <c r="P22"/>
      <c r="Q22" s="175" t="s">
        <v>239</v>
      </c>
      <c r="R22"/>
      <c r="S22"/>
      <c r="T22" s="398">
        <f>INPUT!D95</f>
        <v>0</v>
      </c>
      <c r="U22" s="216"/>
      <c r="V22" s="216"/>
      <c r="W22"/>
      <c r="X22"/>
      <c r="Y22"/>
      <c r="Z22"/>
      <c r="AA22"/>
      <c r="AB22"/>
      <c r="AC22"/>
      <c r="AD22"/>
    </row>
    <row r="23" spans="1:30" s="169" customFormat="1" ht="15" customHeight="1" x14ac:dyDescent="0.3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102"/>
      <c r="L23" s="102"/>
      <c r="M23" s="102"/>
      <c r="N23" s="102"/>
      <c r="O23" s="102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</row>
    <row r="24" spans="1:30" s="169" customFormat="1" ht="15" customHeight="1" x14ac:dyDescent="0.3">
      <c r="A24" s="102"/>
      <c r="B24" s="102"/>
      <c r="C24" s="102"/>
      <c r="D24" s="102"/>
      <c r="E24" s="102"/>
      <c r="F24" s="102"/>
      <c r="G24" s="102"/>
      <c r="H24" s="102"/>
      <c r="I24" s="102"/>
      <c r="J24" s="102"/>
      <c r="K24" s="102"/>
      <c r="L24" s="102"/>
      <c r="M24" s="102"/>
      <c r="N24" s="102"/>
      <c r="O24" s="102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</row>
    <row r="25" spans="1:30" s="169" customFormat="1" ht="15" customHeight="1" x14ac:dyDescent="0.3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</row>
    <row r="26" spans="1:30" s="169" customFormat="1" ht="21" x14ac:dyDescent="0.5">
      <c r="A26" s="102"/>
      <c r="B26" s="102"/>
      <c r="C26" s="102"/>
      <c r="D26" s="102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/>
      <c r="Q26" s="155" t="s">
        <v>405</v>
      </c>
      <c r="R26" s="164"/>
      <c r="S26" s="164"/>
      <c r="T26" s="164"/>
      <c r="U26" s="164"/>
      <c r="V26" s="164"/>
      <c r="W26" s="164"/>
      <c r="X26" s="164"/>
      <c r="Y26"/>
      <c r="Z26"/>
      <c r="AA26"/>
      <c r="AB26"/>
      <c r="AC26"/>
      <c r="AD26"/>
    </row>
    <row r="27" spans="1:30" s="169" customFormat="1" ht="15" customHeight="1" x14ac:dyDescent="0.3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</row>
    <row r="28" spans="1:30" s="166" customFormat="1" ht="15" customHeight="1" x14ac:dyDescent="0.35">
      <c r="A28" s="102"/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/>
      <c r="Q28" s="173" t="s">
        <v>399</v>
      </c>
      <c r="R28"/>
      <c r="S28"/>
      <c r="T28" s="399" t="str">
        <f>INPUT!D5</f>
        <v/>
      </c>
      <c r="U28" s="399" t="str">
        <f>INPUT!E5</f>
        <v/>
      </c>
      <c r="V28" s="399" t="str">
        <f>INPUT!F5</f>
        <v/>
      </c>
      <c r="W28" s="399" t="str">
        <f>INPUT!G5</f>
        <v/>
      </c>
      <c r="X28" s="399" t="str">
        <f>INPUT!H5</f>
        <v/>
      </c>
      <c r="Y28"/>
      <c r="Z28"/>
      <c r="AA28"/>
      <c r="AB28"/>
      <c r="AC28"/>
      <c r="AD28"/>
    </row>
    <row r="29" spans="1:30" s="166" customFormat="1" ht="15" customHeight="1" x14ac:dyDescent="0.35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102"/>
      <c r="L29" s="102"/>
      <c r="M29" s="102"/>
      <c r="N29" s="102"/>
      <c r="O29" s="102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</row>
    <row r="30" spans="1:30" s="166" customFormat="1" ht="15" customHeight="1" x14ac:dyDescent="0.35">
      <c r="A30" s="102"/>
      <c r="B30" s="102"/>
      <c r="C30" s="102"/>
      <c r="D30" s="102"/>
      <c r="E30" s="102"/>
      <c r="F30" s="102"/>
      <c r="G30" s="102"/>
      <c r="H30" s="102"/>
      <c r="I30" s="102"/>
      <c r="J30" s="102"/>
      <c r="K30" s="102"/>
      <c r="L30" s="102"/>
      <c r="M30" s="102"/>
      <c r="N30" s="102"/>
      <c r="O30" s="102"/>
      <c r="P30"/>
      <c r="Q30" s="180" t="s">
        <v>395</v>
      </c>
      <c r="R30"/>
      <c r="S30"/>
      <c r="T30" s="286" t="e">
        <f>NA()</f>
        <v>#N/A</v>
      </c>
      <c r="U30" s="400" t="e">
        <f>IF(INPUT!D9=0,NA(),INPUT!E9/INPUT!D9-1)</f>
        <v>#N/A</v>
      </c>
      <c r="V30" s="400" t="e">
        <f>IF(INPUT!E9=0,NA(),INPUT!F9/INPUT!E9-1)</f>
        <v>#N/A</v>
      </c>
      <c r="W30" s="400" t="e">
        <f>IF(INPUT!F9=0,NA(),INPUT!G9/INPUT!F9-1)</f>
        <v>#N/A</v>
      </c>
      <c r="X30" s="400" t="e">
        <f>IF(INPUT!G9=0,NA(),INPUT!H9/INPUT!G9-1)</f>
        <v>#N/A</v>
      </c>
      <c r="Y30"/>
      <c r="Z30"/>
      <c r="AA30"/>
      <c r="AB30"/>
      <c r="AC30"/>
      <c r="AD30"/>
    </row>
    <row r="31" spans="1:30" s="166" customFormat="1" ht="15" customHeight="1" x14ac:dyDescent="0.35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102"/>
      <c r="L31" s="102"/>
      <c r="M31" s="102"/>
      <c r="N31" s="102"/>
      <c r="O31" s="102"/>
      <c r="P31"/>
      <c r="Q31" s="188" t="s">
        <v>396</v>
      </c>
      <c r="R31"/>
      <c r="S31"/>
      <c r="T31"/>
      <c r="U31" s="197"/>
      <c r="V31" s="400" t="e">
        <f>IF(INPUT!D30=0,NA(),INPUT!F30/INPUT!E30-1)</f>
        <v>#N/A</v>
      </c>
      <c r="W31" s="400" t="e">
        <f>IF(INPUT!E30=0,NA(),INPUT!G30/INPUT!F30-1)</f>
        <v>#N/A</v>
      </c>
      <c r="X31" s="400" t="e">
        <f>IF(INPUT!F30=0,NA(),INPUT!H30/INPUT!G30-1)</f>
        <v>#N/A</v>
      </c>
      <c r="Y31"/>
      <c r="Z31"/>
      <c r="AA31"/>
      <c r="AB31"/>
      <c r="AC31"/>
      <c r="AD31"/>
    </row>
    <row r="32" spans="1:30" s="166" customFormat="1" ht="15" customHeight="1" x14ac:dyDescent="0.35">
      <c r="A32" s="102"/>
      <c r="B32" s="102"/>
      <c r="C32" s="102"/>
      <c r="D32" s="102"/>
      <c r="E32" s="102"/>
      <c r="F32" s="102"/>
      <c r="G32" s="102"/>
      <c r="H32" s="102"/>
      <c r="I32" s="102"/>
      <c r="J32" s="102"/>
      <c r="K32" s="102"/>
      <c r="L32" s="102"/>
      <c r="M32" s="102"/>
      <c r="N32" s="102"/>
      <c r="O32" s="10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</row>
    <row r="33" spans="1:30" s="166" customFormat="1" ht="15" customHeight="1" x14ac:dyDescent="0.35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102"/>
      <c r="L33" s="102"/>
      <c r="M33" s="102"/>
      <c r="N33" s="102"/>
      <c r="O33" s="102"/>
      <c r="P33"/>
      <c r="Q33" s="174" t="s">
        <v>5</v>
      </c>
      <c r="R33"/>
      <c r="S33"/>
      <c r="T33"/>
      <c r="U33"/>
      <c r="V33"/>
      <c r="W33"/>
      <c r="X33"/>
      <c r="Y33"/>
      <c r="Z33"/>
      <c r="AA33"/>
      <c r="AB33"/>
      <c r="AC33"/>
      <c r="AD33"/>
    </row>
    <row r="34" spans="1:30" s="166" customFormat="1" ht="15" customHeight="1" x14ac:dyDescent="0.35">
      <c r="A34" s="102"/>
      <c r="B34" s="102"/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  <c r="O34" s="102"/>
      <c r="P34"/>
      <c r="Q34" s="191" t="s">
        <v>406</v>
      </c>
      <c r="R34"/>
      <c r="S34"/>
      <c r="T34" s="401">
        <f>INPUT!D9</f>
        <v>0</v>
      </c>
      <c r="U34" s="401">
        <f>INPUT!E9</f>
        <v>0</v>
      </c>
      <c r="V34" s="401">
        <f>INPUT!F9</f>
        <v>0</v>
      </c>
      <c r="W34" s="401">
        <f>INPUT!G9</f>
        <v>0</v>
      </c>
      <c r="X34" s="401">
        <f>INPUT!H9</f>
        <v>0</v>
      </c>
      <c r="Y34"/>
      <c r="Z34"/>
      <c r="AA34"/>
      <c r="AB34"/>
      <c r="AC34"/>
      <c r="AD34"/>
    </row>
    <row r="35" spans="1:30" s="166" customFormat="1" ht="15" customHeight="1" x14ac:dyDescent="0.35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  <c r="O35" s="102"/>
      <c r="P35"/>
      <c r="Q35" s="191" t="s">
        <v>407</v>
      </c>
      <c r="R35"/>
      <c r="S35"/>
      <c r="T35" s="401">
        <f>INPUT!D10</f>
        <v>0</v>
      </c>
      <c r="U35" s="401">
        <f>INPUT!E10</f>
        <v>0</v>
      </c>
      <c r="V35" s="401">
        <f>INPUT!F10</f>
        <v>0</v>
      </c>
      <c r="W35" s="401">
        <f>INPUT!G10</f>
        <v>0</v>
      </c>
      <c r="X35" s="401">
        <f>INPUT!H10</f>
        <v>0</v>
      </c>
      <c r="Y35"/>
      <c r="Z35"/>
      <c r="AA35"/>
      <c r="AB35"/>
      <c r="AC35"/>
      <c r="AD35"/>
    </row>
    <row r="36" spans="1:30" s="166" customFormat="1" ht="15" customHeight="1" x14ac:dyDescent="0.35">
      <c r="A36" s="102"/>
      <c r="B36" s="102"/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  <c r="O36" s="102"/>
      <c r="P36"/>
      <c r="Q36" s="191" t="s">
        <v>7</v>
      </c>
      <c r="R36"/>
      <c r="S36"/>
      <c r="T36" s="402">
        <f>INPUT!D11</f>
        <v>0</v>
      </c>
      <c r="U36" s="402">
        <f>INPUT!E11</f>
        <v>0</v>
      </c>
      <c r="V36" s="402">
        <f>INPUT!F11</f>
        <v>0</v>
      </c>
      <c r="W36" s="402">
        <f>INPUT!G11</f>
        <v>0</v>
      </c>
      <c r="X36" s="402">
        <f>INPUT!H11</f>
        <v>0</v>
      </c>
      <c r="Y36"/>
      <c r="Z36"/>
      <c r="AA36"/>
      <c r="AB36"/>
      <c r="AC36"/>
      <c r="AD36"/>
    </row>
    <row r="37" spans="1:30" s="166" customFormat="1" ht="15" customHeight="1" x14ac:dyDescent="0.35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/>
      <c r="Q37" s="191" t="s">
        <v>374</v>
      </c>
      <c r="R37"/>
      <c r="S37"/>
      <c r="T37" s="401">
        <f>INPUT!D14</f>
        <v>0</v>
      </c>
      <c r="U37" s="401">
        <f>INPUT!E14</f>
        <v>0</v>
      </c>
      <c r="V37" s="401">
        <f>INPUT!F14</f>
        <v>0</v>
      </c>
      <c r="W37" s="401">
        <f>INPUT!G14</f>
        <v>0</v>
      </c>
      <c r="X37" s="401">
        <f>INPUT!H14</f>
        <v>0</v>
      </c>
      <c r="Y37"/>
      <c r="Z37"/>
      <c r="AA37"/>
      <c r="AB37"/>
      <c r="AC37"/>
      <c r="AD37"/>
    </row>
    <row r="38" spans="1:30" s="166" customFormat="1" ht="15" customHeight="1" x14ac:dyDescent="0.35">
      <c r="A38" s="102"/>
      <c r="B38" s="102"/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/>
      <c r="Q38" s="191" t="s">
        <v>397</v>
      </c>
      <c r="R38"/>
      <c r="S38"/>
      <c r="T38" s="403">
        <f>INPUT!D9</f>
        <v>0</v>
      </c>
      <c r="U38" s="403">
        <f>INPUT!E9</f>
        <v>0</v>
      </c>
      <c r="V38" s="403">
        <f>INPUT!F9</f>
        <v>0</v>
      </c>
      <c r="W38" s="403">
        <f>INPUT!G9</f>
        <v>0</v>
      </c>
      <c r="X38" s="403">
        <f>INPUT!H9</f>
        <v>0</v>
      </c>
      <c r="Y38"/>
      <c r="Z38"/>
      <c r="AA38"/>
      <c r="AB38"/>
      <c r="AC38"/>
      <c r="AD38"/>
    </row>
    <row r="39" spans="1:30" s="166" customFormat="1" ht="15" customHeight="1" x14ac:dyDescent="0.35">
      <c r="A39"/>
      <c r="B39" s="220" t="s">
        <v>404</v>
      </c>
      <c r="C39" s="224"/>
      <c r="D39" s="224"/>
      <c r="E39" s="224"/>
      <c r="F39" s="224"/>
      <c r="G39" s="224"/>
      <c r="H39" s="102"/>
      <c r="I39" s="220" t="s">
        <v>434</v>
      </c>
      <c r="J39" s="224"/>
      <c r="K39" s="224"/>
      <c r="L39" s="224"/>
      <c r="M39" s="224"/>
      <c r="N39" s="224"/>
      <c r="O39" s="224"/>
      <c r="P39"/>
      <c r="Q39"/>
      <c r="R39"/>
      <c r="S39"/>
      <c r="T39" s="216"/>
      <c r="U39" s="216"/>
      <c r="V39" s="216"/>
      <c r="W39" s="216"/>
      <c r="X39" s="216"/>
      <c r="Y39"/>
      <c r="Z39"/>
      <c r="AA39"/>
      <c r="AB39"/>
      <c r="AC39"/>
      <c r="AD39"/>
    </row>
    <row r="40" spans="1:30" s="166" customFormat="1" ht="15" customHeight="1" x14ac:dyDescent="0.35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 s="191" t="s">
        <v>18</v>
      </c>
      <c r="R40"/>
      <c r="S40"/>
      <c r="T40" s="401">
        <f>INPUT!D30</f>
        <v>0</v>
      </c>
      <c r="U40" s="401">
        <f>INPUT!E30</f>
        <v>0</v>
      </c>
      <c r="V40" s="401">
        <f>INPUT!F30</f>
        <v>0</v>
      </c>
      <c r="W40" s="401">
        <f>INPUT!G30</f>
        <v>0</v>
      </c>
      <c r="X40" s="401">
        <f>INPUT!H30</f>
        <v>0</v>
      </c>
      <c r="Y40"/>
      <c r="Z40"/>
      <c r="AA40"/>
      <c r="AB40"/>
      <c r="AC40"/>
      <c r="AD40"/>
    </row>
    <row r="41" spans="1:30" s="166" customFormat="1" ht="15" customHeight="1" x14ac:dyDescent="0.35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 s="191" t="s">
        <v>408</v>
      </c>
      <c r="R41"/>
      <c r="S41"/>
      <c r="T41" s="401">
        <f>INPUT!D75</f>
        <v>0</v>
      </c>
      <c r="U41" s="401">
        <f>INPUT!E75</f>
        <v>0</v>
      </c>
      <c r="V41" s="401">
        <f>INPUT!F75</f>
        <v>0</v>
      </c>
      <c r="W41" s="401">
        <f>INPUT!G75</f>
        <v>0</v>
      </c>
      <c r="X41" s="401">
        <f>INPUT!H75</f>
        <v>0</v>
      </c>
      <c r="Y41"/>
      <c r="Z41"/>
      <c r="AA41"/>
      <c r="AB41"/>
      <c r="AC41"/>
      <c r="AD41"/>
    </row>
    <row r="42" spans="1:30" s="166" customFormat="1" ht="15" customHeight="1" x14ac:dyDescent="0.35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 s="191" t="s">
        <v>16</v>
      </c>
      <c r="R42"/>
      <c r="S42"/>
      <c r="T42" s="401">
        <f>INPUT!D26</f>
        <v>0</v>
      </c>
      <c r="U42" s="401">
        <f>INPUT!E26</f>
        <v>0</v>
      </c>
      <c r="V42" s="401">
        <f>INPUT!F26</f>
        <v>0</v>
      </c>
      <c r="W42" s="401">
        <f>INPUT!G26</f>
        <v>0</v>
      </c>
      <c r="X42" s="401">
        <f>INPUT!H26</f>
        <v>0</v>
      </c>
      <c r="Y42"/>
      <c r="Z42"/>
      <c r="AA42"/>
      <c r="AB42"/>
      <c r="AC42"/>
      <c r="AD42"/>
    </row>
    <row r="43" spans="1:30" s="166" customFormat="1" ht="15" customHeight="1" x14ac:dyDescent="0.35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</row>
    <row r="44" spans="1:30" s="166" customFormat="1" ht="15" customHeight="1" x14ac:dyDescent="0.35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</row>
    <row r="45" spans="1:30" s="166" customFormat="1" ht="15" customHeight="1" x14ac:dyDescent="0.35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 s="172"/>
      <c r="AC45"/>
      <c r="AD45"/>
    </row>
    <row r="46" spans="1:30" s="166" customFormat="1" ht="15" customHeight="1" x14ac:dyDescent="0.35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 s="172"/>
      <c r="AC46"/>
      <c r="AD46"/>
    </row>
    <row r="47" spans="1:30" s="166" customFormat="1" ht="15" customHeight="1" x14ac:dyDescent="0.35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</row>
    <row r="48" spans="1:30" s="166" customFormat="1" ht="15" customHeight="1" x14ac:dyDescent="0.35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</row>
    <row r="49" spans="1:32" s="166" customFormat="1" ht="15" customHeight="1" x14ac:dyDescent="0.35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</row>
    <row r="50" spans="1:32" s="166" customFormat="1" ht="15" customHeight="1" x14ac:dyDescent="0.3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</row>
    <row r="51" spans="1:32" s="166" customFormat="1" ht="15" customHeight="1" x14ac:dyDescent="0.3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</row>
    <row r="52" spans="1:32" s="166" customFormat="1" ht="15" customHeight="1" x14ac:dyDescent="0.3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</row>
    <row r="53" spans="1:32" s="166" customFormat="1" ht="15" customHeight="1" x14ac:dyDescent="0.3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</row>
    <row r="54" spans="1:32" s="166" customFormat="1" ht="15" customHeight="1" x14ac:dyDescent="0.35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</row>
    <row r="55" spans="1:32" s="166" customFormat="1" ht="15" customHeight="1" x14ac:dyDescent="0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 s="192"/>
      <c r="R55"/>
      <c r="S55"/>
      <c r="T55"/>
      <c r="U55"/>
      <c r="V55"/>
      <c r="W55"/>
      <c r="X55"/>
      <c r="Y55"/>
      <c r="Z55"/>
      <c r="AA55"/>
      <c r="AB55"/>
      <c r="AC55"/>
      <c r="AD55"/>
    </row>
    <row r="56" spans="1:32" s="166" customFormat="1" ht="15" customHeight="1" x14ac:dyDescent="0.3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</row>
    <row r="57" spans="1:32" s="166" customFormat="1" ht="15" customHeight="1" x14ac:dyDescent="0.35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</row>
    <row r="58" spans="1:32" s="166" customFormat="1" ht="15" customHeight="1" x14ac:dyDescent="0.35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</row>
    <row r="59" spans="1:32" s="166" customFormat="1" ht="15" customHeight="1" x14ac:dyDescent="0.35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</row>
    <row r="60" spans="1:32" s="166" customFormat="1" ht="15" customHeight="1" x14ac:dyDescent="0.35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</row>
    <row r="61" spans="1:32" s="166" customFormat="1" ht="15" customHeight="1" x14ac:dyDescent="0.35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</row>
    <row r="62" spans="1:32" ht="15" customHeight="1" x14ac:dyDescent="0.3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</row>
    <row r="63" spans="1:32" ht="15" customHeight="1" x14ac:dyDescent="0.35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</row>
    <row r="64" spans="1:32" ht="15" customHeight="1" x14ac:dyDescent="0.35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</row>
    <row r="65" spans="1:32" ht="15" customHeight="1" x14ac:dyDescent="0.3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</row>
    <row r="66" spans="1:32" ht="15" customHeight="1" x14ac:dyDescent="0.3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</row>
    <row r="67" spans="1:32" ht="15" customHeight="1" x14ac:dyDescent="0.4">
      <c r="A67"/>
      <c r="C67" s="201"/>
      <c r="D67" s="201"/>
      <c r="E67" s="201"/>
      <c r="F67" s="201"/>
      <c r="G67" s="201"/>
      <c r="H67" s="201"/>
      <c r="I67" s="201"/>
      <c r="J67" s="201"/>
      <c r="K67" s="201"/>
      <c r="O67" s="167"/>
      <c r="T67"/>
      <c r="U67"/>
      <c r="V67"/>
      <c r="W67"/>
      <c r="X67"/>
      <c r="Y67"/>
      <c r="Z67"/>
      <c r="AA67"/>
      <c r="AB67"/>
      <c r="AC67"/>
      <c r="AD67"/>
      <c r="AE67"/>
      <c r="AF67"/>
    </row>
    <row r="68" spans="1:32" ht="15" customHeight="1" x14ac:dyDescent="0.4">
      <c r="A68"/>
      <c r="B68" s="169"/>
      <c r="C68" s="202"/>
      <c r="D68" s="203"/>
      <c r="E68" s="203"/>
      <c r="F68" s="203"/>
      <c r="G68" s="203"/>
      <c r="H68" s="203"/>
      <c r="I68" s="203"/>
      <c r="J68" s="203"/>
      <c r="K68" s="169"/>
      <c r="L68" s="204"/>
      <c r="M68" s="203"/>
      <c r="N68" s="203"/>
      <c r="O68" s="203"/>
      <c r="P68" s="203"/>
      <c r="Q68" s="203"/>
      <c r="R68" s="203"/>
      <c r="S68" s="169"/>
      <c r="T68"/>
      <c r="U68"/>
      <c r="V68"/>
      <c r="W68"/>
      <c r="X68"/>
      <c r="Y68"/>
      <c r="Z68"/>
      <c r="AA68"/>
      <c r="AB68"/>
      <c r="AC68"/>
      <c r="AD68"/>
      <c r="AE68"/>
      <c r="AF68"/>
    </row>
    <row r="69" spans="1:32" ht="15" customHeight="1" x14ac:dyDescent="0.4">
      <c r="A69"/>
      <c r="B69" s="169"/>
      <c r="C69" s="201"/>
      <c r="D69" s="201"/>
      <c r="E69" s="201"/>
      <c r="F69" s="201"/>
      <c r="G69" s="201"/>
      <c r="H69" s="205"/>
      <c r="I69" s="201"/>
      <c r="J69" s="201"/>
      <c r="K69" s="169"/>
      <c r="L69" s="204"/>
      <c r="M69" s="203"/>
      <c r="O69" s="203"/>
      <c r="P69" s="203"/>
      <c r="Q69" s="203"/>
      <c r="R69" s="203"/>
      <c r="S69" s="169"/>
      <c r="T69"/>
      <c r="U69"/>
      <c r="V69"/>
      <c r="W69"/>
      <c r="X69"/>
      <c r="Y69"/>
      <c r="Z69"/>
      <c r="AA69"/>
      <c r="AB69"/>
      <c r="AC69"/>
      <c r="AD69"/>
      <c r="AE69"/>
      <c r="AF69"/>
    </row>
    <row r="70" spans="1:32" ht="15" customHeight="1" x14ac:dyDescent="0.4">
      <c r="A70"/>
      <c r="B70" s="169"/>
      <c r="C70" s="201"/>
      <c r="D70" s="201"/>
      <c r="E70" s="201"/>
      <c r="F70" s="201"/>
      <c r="G70" s="201"/>
      <c r="H70" s="187"/>
      <c r="I70" s="201"/>
      <c r="J70" s="169"/>
      <c r="K70" s="169"/>
      <c r="L70" s="169"/>
      <c r="M70" s="169"/>
      <c r="N70" s="169"/>
      <c r="O70" s="169"/>
      <c r="P70" s="169"/>
      <c r="Q70" s="169"/>
      <c r="R70" s="169"/>
      <c r="S70" s="169"/>
      <c r="T70"/>
      <c r="U70"/>
      <c r="V70"/>
      <c r="W70"/>
      <c r="X70"/>
      <c r="Y70"/>
      <c r="Z70"/>
      <c r="AA70"/>
      <c r="AB70"/>
      <c r="AC70"/>
      <c r="AD70"/>
      <c r="AE70"/>
      <c r="AF70"/>
    </row>
    <row r="71" spans="1:32" ht="15" customHeight="1" x14ac:dyDescent="0.4">
      <c r="A71"/>
      <c r="B71" s="169"/>
      <c r="C71" s="201"/>
      <c r="D71" s="201"/>
      <c r="E71" s="201"/>
      <c r="F71" s="201"/>
      <c r="G71" s="201"/>
      <c r="H71" s="187"/>
      <c r="I71" s="201"/>
      <c r="J71" s="169"/>
      <c r="K71" s="169"/>
      <c r="L71" s="169"/>
      <c r="M71" s="169"/>
      <c r="N71" s="169"/>
      <c r="O71" s="169"/>
      <c r="P71" s="169"/>
      <c r="Q71" s="169"/>
      <c r="R71" s="169"/>
      <c r="S71" s="169"/>
      <c r="T71"/>
      <c r="U71"/>
      <c r="V71"/>
      <c r="W71"/>
      <c r="X71"/>
      <c r="Y71"/>
      <c r="Z71"/>
      <c r="AA71"/>
      <c r="AB71"/>
      <c r="AC71"/>
      <c r="AD71"/>
      <c r="AE71"/>
      <c r="AF71"/>
    </row>
    <row r="72" spans="1:32" ht="15" customHeight="1" x14ac:dyDescent="0.4">
      <c r="A72"/>
      <c r="B72" s="166"/>
      <c r="C72" s="201"/>
      <c r="D72" s="201"/>
      <c r="E72" s="201"/>
      <c r="F72" s="201"/>
      <c r="G72" s="201"/>
      <c r="H72" s="187"/>
      <c r="I72" s="201"/>
      <c r="J72" s="169"/>
      <c r="K72" s="169"/>
      <c r="L72" s="169"/>
      <c r="M72" s="169"/>
      <c r="N72" s="169"/>
      <c r="O72" s="169"/>
      <c r="P72" s="169"/>
      <c r="Q72" s="169"/>
      <c r="R72" s="169"/>
      <c r="S72" s="169"/>
      <c r="T72"/>
      <c r="U72"/>
      <c r="V72"/>
      <c r="W72"/>
      <c r="X72"/>
      <c r="Y72"/>
      <c r="Z72"/>
      <c r="AA72"/>
      <c r="AB72"/>
      <c r="AC72"/>
      <c r="AD72"/>
      <c r="AE72"/>
      <c r="AF72"/>
    </row>
    <row r="73" spans="1:32" ht="15" customHeight="1" x14ac:dyDescent="0.4">
      <c r="A73"/>
      <c r="B73" s="169"/>
      <c r="C73" s="201"/>
      <c r="D73" s="201"/>
      <c r="E73" s="201"/>
      <c r="F73" s="201"/>
      <c r="G73" s="201"/>
      <c r="H73" s="206"/>
      <c r="I73" s="201"/>
      <c r="J73" s="169"/>
      <c r="K73" s="169"/>
      <c r="L73" s="169"/>
      <c r="M73" s="169"/>
      <c r="N73" s="169"/>
      <c r="O73" s="169"/>
      <c r="P73" s="169"/>
      <c r="Q73" s="169"/>
      <c r="R73" s="169"/>
      <c r="S73" s="169"/>
      <c r="T73"/>
      <c r="U73"/>
      <c r="V73"/>
      <c r="W73"/>
      <c r="X73"/>
      <c r="Y73"/>
      <c r="Z73"/>
      <c r="AA73"/>
      <c r="AB73"/>
      <c r="AC73"/>
      <c r="AD73"/>
      <c r="AE73"/>
      <c r="AF73"/>
    </row>
    <row r="74" spans="1:32" ht="15" customHeight="1" x14ac:dyDescent="0.4">
      <c r="A74"/>
      <c r="B74" s="169"/>
      <c r="C74" s="201"/>
      <c r="D74" s="201"/>
      <c r="E74" s="201"/>
      <c r="F74" s="201"/>
      <c r="G74" s="201"/>
      <c r="H74" s="201"/>
      <c r="I74" s="201"/>
      <c r="J74" s="169"/>
      <c r="K74" s="169"/>
      <c r="L74" s="169"/>
      <c r="M74" s="169"/>
      <c r="N74" s="169"/>
      <c r="O74" s="169"/>
      <c r="P74" s="169"/>
      <c r="Q74" s="169"/>
      <c r="R74" s="169"/>
      <c r="S74" s="169"/>
      <c r="T74"/>
      <c r="U74"/>
      <c r="V74"/>
      <c r="W74"/>
      <c r="X74"/>
      <c r="Y74"/>
      <c r="Z74"/>
      <c r="AA74"/>
      <c r="AB74"/>
      <c r="AC74"/>
      <c r="AD74"/>
      <c r="AE74"/>
      <c r="AF74"/>
    </row>
    <row r="75" spans="1:32" ht="15" customHeight="1" x14ac:dyDescent="0.4">
      <c r="A75"/>
      <c r="B75" s="169"/>
      <c r="C75" s="201"/>
      <c r="D75" s="201"/>
      <c r="E75" s="201"/>
      <c r="F75" s="201"/>
      <c r="G75" s="201"/>
      <c r="H75" s="201"/>
      <c r="I75" s="207"/>
      <c r="J75" s="169"/>
      <c r="K75" s="169"/>
      <c r="L75" s="169"/>
      <c r="M75" s="169"/>
      <c r="N75" s="169"/>
      <c r="O75" s="169"/>
      <c r="P75" s="169"/>
      <c r="Q75" s="169"/>
      <c r="R75" s="169"/>
      <c r="S75" s="169"/>
      <c r="T75"/>
      <c r="U75"/>
      <c r="V75"/>
      <c r="W75"/>
      <c r="X75"/>
      <c r="Y75"/>
      <c r="Z75"/>
      <c r="AA75"/>
      <c r="AB75"/>
      <c r="AC75"/>
      <c r="AD75"/>
      <c r="AE75"/>
      <c r="AF75"/>
    </row>
    <row r="76" spans="1:32" ht="15" customHeight="1" x14ac:dyDescent="0.4">
      <c r="B76" s="169"/>
      <c r="C76" s="201"/>
      <c r="D76" s="201"/>
      <c r="E76" s="201"/>
      <c r="F76" s="201"/>
      <c r="G76" s="201"/>
      <c r="H76" s="201"/>
      <c r="I76" s="208"/>
      <c r="J76" s="169"/>
      <c r="K76" s="169"/>
      <c r="L76" s="169"/>
      <c r="M76" s="169"/>
      <c r="N76" s="169"/>
      <c r="O76" s="169"/>
      <c r="P76" s="169"/>
      <c r="Q76" s="169"/>
      <c r="R76" s="169"/>
      <c r="S76" s="169"/>
    </row>
    <row r="77" spans="1:32" ht="15" customHeight="1" x14ac:dyDescent="0.4">
      <c r="B77" s="166"/>
      <c r="C77" s="201"/>
      <c r="D77" s="201"/>
      <c r="E77" s="201"/>
      <c r="F77" s="201"/>
      <c r="G77" s="201"/>
      <c r="H77" s="201"/>
      <c r="I77" s="208"/>
      <c r="J77" s="166"/>
      <c r="K77" s="166"/>
      <c r="L77" s="166"/>
      <c r="M77" s="166"/>
      <c r="N77" s="166"/>
      <c r="O77" s="166"/>
      <c r="P77" s="166"/>
      <c r="Q77" s="166"/>
      <c r="R77" s="166"/>
      <c r="S77" s="166"/>
    </row>
    <row r="78" spans="1:32" ht="15" customHeight="1" x14ac:dyDescent="0.4">
      <c r="B78" s="166"/>
      <c r="C78" s="201"/>
      <c r="D78" s="201"/>
      <c r="E78" s="201"/>
      <c r="F78" s="201"/>
      <c r="G78" s="201"/>
      <c r="H78" s="201"/>
      <c r="I78" s="208"/>
      <c r="J78" s="166"/>
      <c r="K78" s="166"/>
      <c r="L78" s="166"/>
      <c r="M78" s="166"/>
      <c r="N78" s="166"/>
      <c r="O78" s="166"/>
      <c r="P78" s="166"/>
      <c r="Q78" s="166"/>
      <c r="R78" s="166"/>
      <c r="S78" s="166"/>
    </row>
    <row r="79" spans="1:32" ht="15" customHeight="1" x14ac:dyDescent="0.4">
      <c r="B79" s="166"/>
      <c r="C79" s="201"/>
      <c r="D79" s="201"/>
      <c r="E79" s="201"/>
      <c r="F79" s="201"/>
      <c r="G79" s="201"/>
      <c r="H79" s="201"/>
      <c r="I79" s="208"/>
      <c r="J79" s="166"/>
      <c r="K79" s="166"/>
      <c r="L79" s="166"/>
      <c r="M79" s="166"/>
      <c r="N79" s="166"/>
      <c r="O79" s="166"/>
      <c r="P79" s="166"/>
      <c r="Q79" s="166"/>
      <c r="R79" s="166"/>
      <c r="S79" s="166"/>
    </row>
    <row r="80" spans="1:32" ht="15" customHeight="1" x14ac:dyDescent="0.4">
      <c r="B80" s="166"/>
      <c r="C80" s="201"/>
      <c r="D80" s="201"/>
      <c r="E80" s="201"/>
      <c r="F80" s="201"/>
      <c r="G80" s="201"/>
      <c r="H80" s="201"/>
      <c r="I80" s="208"/>
      <c r="J80" s="166"/>
      <c r="K80" s="166"/>
      <c r="L80" s="166"/>
      <c r="M80" s="166"/>
      <c r="N80" s="166"/>
      <c r="O80" s="166"/>
      <c r="P80" s="166"/>
      <c r="Q80" s="166"/>
      <c r="R80" s="166"/>
      <c r="S80" s="166"/>
    </row>
    <row r="81" spans="1:29" ht="15" customHeight="1" x14ac:dyDescent="0.4">
      <c r="B81" s="166"/>
      <c r="C81" s="201"/>
      <c r="D81" s="201"/>
      <c r="E81" s="201"/>
      <c r="F81" s="201"/>
      <c r="G81" s="208"/>
      <c r="H81" s="201"/>
      <c r="I81" s="201"/>
      <c r="J81" s="166"/>
      <c r="K81" s="166"/>
      <c r="L81" s="166"/>
      <c r="M81" s="166"/>
      <c r="N81" s="166"/>
      <c r="O81" s="166"/>
      <c r="P81" s="166"/>
      <c r="Q81" s="166"/>
      <c r="R81" s="166"/>
      <c r="S81" s="166"/>
    </row>
    <row r="82" spans="1:29" ht="15" customHeight="1" x14ac:dyDescent="0.4">
      <c r="B82" s="166"/>
      <c r="C82" s="201"/>
      <c r="D82" s="201"/>
      <c r="E82" s="201"/>
      <c r="F82" s="201"/>
      <c r="G82" s="201"/>
      <c r="H82" s="201"/>
      <c r="I82" s="201"/>
      <c r="J82" s="201"/>
      <c r="K82" s="201"/>
      <c r="L82" s="166"/>
      <c r="M82" s="166"/>
      <c r="N82" s="166"/>
      <c r="O82" s="166"/>
      <c r="P82" s="166"/>
      <c r="Q82" s="166"/>
      <c r="R82" s="166"/>
      <c r="S82" s="166"/>
    </row>
    <row r="83" spans="1:29" ht="15" customHeight="1" x14ac:dyDescent="0.4">
      <c r="B83" s="166"/>
      <c r="C83" s="201"/>
      <c r="D83" s="201"/>
      <c r="E83" s="201"/>
      <c r="F83" s="201"/>
      <c r="G83" s="201"/>
      <c r="H83" s="201"/>
      <c r="I83" s="201"/>
      <c r="J83" s="201"/>
      <c r="K83" s="201"/>
      <c r="L83" s="166"/>
      <c r="M83" s="166"/>
      <c r="N83" s="166"/>
      <c r="O83" s="166"/>
      <c r="P83" s="166"/>
      <c r="Q83" s="166"/>
      <c r="R83" s="166"/>
      <c r="S83" s="166"/>
    </row>
    <row r="84" spans="1:29" ht="15" customHeight="1" x14ac:dyDescent="0.4">
      <c r="B84" s="166"/>
      <c r="C84" s="201"/>
      <c r="D84" s="201"/>
      <c r="E84" s="201"/>
      <c r="F84" s="201"/>
      <c r="G84" s="201"/>
      <c r="H84" s="201"/>
      <c r="I84" s="201"/>
      <c r="J84" s="201"/>
      <c r="K84" s="201"/>
      <c r="L84" s="166"/>
      <c r="M84" s="166"/>
      <c r="N84" s="166"/>
      <c r="O84" s="166"/>
      <c r="P84" s="166"/>
      <c r="Q84" s="166"/>
      <c r="R84" s="166"/>
      <c r="S84" s="166"/>
    </row>
    <row r="85" spans="1:29" ht="15" customHeight="1" x14ac:dyDescent="0.4">
      <c r="B85" s="166"/>
      <c r="C85" s="201"/>
      <c r="D85" s="201"/>
      <c r="E85" s="201"/>
      <c r="F85" s="201"/>
      <c r="G85" s="201"/>
      <c r="H85" s="201"/>
      <c r="I85" s="201"/>
      <c r="J85" s="201"/>
      <c r="K85" s="201"/>
      <c r="L85" s="166"/>
      <c r="M85" s="166"/>
      <c r="N85" s="166"/>
      <c r="O85" s="166"/>
      <c r="P85" s="166"/>
      <c r="Q85" s="166"/>
      <c r="R85" s="166"/>
      <c r="S85" s="166"/>
    </row>
    <row r="86" spans="1:29" ht="15" customHeight="1" x14ac:dyDescent="0.35">
      <c r="B86" s="166"/>
      <c r="C86" s="166"/>
      <c r="D86" s="166"/>
      <c r="E86" s="166"/>
      <c r="F86" s="166"/>
      <c r="G86" s="166"/>
      <c r="H86" s="166"/>
      <c r="I86" s="166"/>
      <c r="J86" s="166"/>
      <c r="K86" s="166"/>
      <c r="L86" s="166"/>
      <c r="M86" s="166"/>
      <c r="N86" s="166"/>
      <c r="O86" s="166"/>
      <c r="P86" s="166"/>
      <c r="Q86" s="166"/>
      <c r="R86" s="166"/>
      <c r="S86" s="166"/>
    </row>
    <row r="87" spans="1:29" ht="15" customHeight="1" x14ac:dyDescent="0.4">
      <c r="B87" s="166"/>
      <c r="C87" s="201"/>
      <c r="D87" s="201"/>
      <c r="E87" s="201"/>
      <c r="F87" s="201"/>
      <c r="G87" s="201"/>
      <c r="H87" s="201"/>
      <c r="I87" s="201"/>
      <c r="J87" s="201"/>
      <c r="K87" s="201"/>
      <c r="L87" s="201"/>
      <c r="M87" s="201"/>
      <c r="N87" s="201"/>
      <c r="O87" s="201"/>
      <c r="P87" s="201"/>
      <c r="Q87" s="208"/>
      <c r="R87" s="209"/>
      <c r="S87" s="166"/>
    </row>
    <row r="88" spans="1:29" ht="15" customHeight="1" x14ac:dyDescent="0.4">
      <c r="B88" s="166"/>
      <c r="C88" s="210"/>
      <c r="D88" s="211"/>
      <c r="E88" s="211"/>
      <c r="F88" s="212"/>
      <c r="G88" s="212"/>
      <c r="H88" s="212"/>
      <c r="I88" s="212"/>
      <c r="J88" s="212"/>
      <c r="K88" s="201"/>
      <c r="L88" s="210"/>
      <c r="M88" s="211"/>
      <c r="N88" s="211"/>
      <c r="O88" s="212"/>
      <c r="P88" s="212"/>
      <c r="Q88" s="212"/>
      <c r="R88" s="212"/>
      <c r="S88" s="166"/>
    </row>
    <row r="89" spans="1:29" ht="15" customHeight="1" x14ac:dyDescent="0.4">
      <c r="A89" s="213"/>
      <c r="B89" s="213"/>
      <c r="C89" s="214"/>
      <c r="D89" s="214"/>
      <c r="E89" s="214"/>
      <c r="F89" s="214"/>
      <c r="G89" s="214"/>
      <c r="H89" s="214"/>
      <c r="I89" s="214"/>
      <c r="J89" s="214"/>
      <c r="K89" s="213"/>
      <c r="L89" s="214"/>
      <c r="M89" s="214"/>
      <c r="N89" s="214"/>
      <c r="O89" s="214"/>
      <c r="P89" s="214"/>
      <c r="Q89" s="214"/>
      <c r="R89" s="214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</row>
    <row r="90" spans="1:29" ht="15" customHeight="1" x14ac:dyDescent="0.4">
      <c r="A90" s="213"/>
      <c r="B90" s="213"/>
      <c r="C90" s="213"/>
      <c r="D90" s="213"/>
      <c r="E90" s="213"/>
      <c r="F90" s="213"/>
      <c r="G90" s="213"/>
      <c r="H90" s="213"/>
      <c r="I90" s="213"/>
      <c r="J90" s="213"/>
      <c r="K90" s="213"/>
      <c r="L90" s="214"/>
      <c r="M90" s="214"/>
      <c r="N90" s="214"/>
      <c r="O90" s="214"/>
      <c r="P90" s="214"/>
      <c r="Q90" s="215"/>
      <c r="R90" s="213"/>
      <c r="S90" s="213"/>
      <c r="T90" s="213"/>
      <c r="U90" s="213"/>
      <c r="V90" s="213"/>
      <c r="W90" s="213"/>
      <c r="X90" s="213"/>
      <c r="Y90" s="213"/>
      <c r="Z90" s="213"/>
      <c r="AA90" s="213"/>
      <c r="AB90" s="213"/>
      <c r="AC90" s="213"/>
    </row>
    <row r="91" spans="1:29" ht="15" customHeight="1" x14ac:dyDescent="0.4">
      <c r="A91" s="213"/>
      <c r="B91" s="213"/>
      <c r="C91" s="213"/>
      <c r="D91" s="213"/>
      <c r="E91" s="213"/>
      <c r="F91" s="213"/>
      <c r="G91" s="213"/>
      <c r="H91" s="213"/>
      <c r="I91" s="213"/>
      <c r="J91" s="213"/>
      <c r="K91" s="213"/>
      <c r="L91" s="214"/>
      <c r="M91" s="214"/>
      <c r="N91" s="214"/>
      <c r="O91" s="214"/>
      <c r="P91" s="214"/>
      <c r="Q91" s="215"/>
      <c r="R91" s="213"/>
      <c r="S91" s="213"/>
      <c r="T91" s="213"/>
      <c r="U91" s="213"/>
      <c r="V91" s="213"/>
      <c r="W91" s="213"/>
      <c r="X91" s="213"/>
      <c r="Y91" s="213"/>
      <c r="Z91" s="213"/>
      <c r="AA91" s="213"/>
      <c r="AB91" s="213"/>
      <c r="AC91" s="213"/>
    </row>
    <row r="92" spans="1:29" ht="15" customHeight="1" x14ac:dyDescent="0.4">
      <c r="A92" s="213"/>
      <c r="B92" s="213"/>
      <c r="C92" s="213"/>
      <c r="D92" s="213"/>
      <c r="E92" s="213"/>
      <c r="F92" s="213"/>
      <c r="G92" s="213"/>
      <c r="H92" s="213"/>
      <c r="I92" s="213"/>
      <c r="J92" s="213"/>
      <c r="K92" s="213"/>
      <c r="L92" s="214"/>
      <c r="M92" s="214"/>
      <c r="N92" s="214"/>
      <c r="O92" s="214"/>
      <c r="P92" s="214"/>
      <c r="Q92" s="215"/>
      <c r="R92" s="213"/>
      <c r="S92" s="213"/>
      <c r="T92" s="213"/>
      <c r="U92" s="213"/>
      <c r="V92" s="213"/>
      <c r="W92" s="213"/>
      <c r="X92" s="213"/>
      <c r="Y92" s="213"/>
      <c r="Z92" s="213"/>
      <c r="AA92" s="213"/>
      <c r="AB92" s="213"/>
      <c r="AC92" s="213"/>
    </row>
    <row r="93" spans="1:29" ht="15" customHeight="1" x14ac:dyDescent="0.4">
      <c r="A93" s="213"/>
      <c r="B93" s="213"/>
      <c r="C93" s="213"/>
      <c r="D93" s="213"/>
      <c r="E93" s="213"/>
      <c r="F93" s="213"/>
      <c r="G93" s="213"/>
      <c r="H93" s="213"/>
      <c r="I93" s="213"/>
      <c r="J93" s="213"/>
      <c r="K93" s="213"/>
      <c r="L93" s="214"/>
      <c r="M93" s="214"/>
      <c r="N93" s="214"/>
      <c r="O93" s="214"/>
      <c r="P93" s="214"/>
      <c r="Q93" s="215"/>
      <c r="R93" s="213"/>
      <c r="S93" s="213"/>
      <c r="T93" s="213"/>
      <c r="U93" s="213"/>
      <c r="V93" s="213"/>
      <c r="W93" s="213"/>
      <c r="X93" s="213"/>
      <c r="Y93" s="213"/>
      <c r="Z93" s="213"/>
      <c r="AA93" s="213"/>
      <c r="AB93" s="213"/>
      <c r="AC93" s="213"/>
    </row>
    <row r="94" spans="1:29" ht="15" customHeight="1" x14ac:dyDescent="0.35">
      <c r="A94" s="213"/>
      <c r="B94" s="213"/>
      <c r="C94" s="213"/>
      <c r="D94" s="213"/>
      <c r="E94" s="213"/>
      <c r="F94" s="213"/>
      <c r="G94" s="213"/>
      <c r="H94" s="213"/>
      <c r="I94" s="213"/>
      <c r="J94" s="213"/>
      <c r="K94" s="213"/>
      <c r="L94" s="213"/>
      <c r="M94" s="213"/>
      <c r="N94" s="213"/>
      <c r="O94" s="213"/>
      <c r="P94" s="213"/>
      <c r="Q94" s="213"/>
      <c r="R94" s="213"/>
      <c r="S94" s="213"/>
      <c r="T94" s="213"/>
      <c r="U94" s="213"/>
      <c r="V94" s="213"/>
      <c r="W94" s="213"/>
      <c r="X94" s="213"/>
      <c r="Y94" s="213"/>
      <c r="Z94" s="213"/>
      <c r="AA94" s="213"/>
      <c r="AB94" s="213"/>
      <c r="AC94" s="213"/>
    </row>
    <row r="95" spans="1:29" ht="15" customHeight="1" x14ac:dyDescent="0.35">
      <c r="A95" s="213"/>
      <c r="B95" s="213"/>
      <c r="C95" s="213"/>
      <c r="D95" s="213"/>
      <c r="E95" s="213"/>
      <c r="F95" s="213"/>
      <c r="G95" s="213"/>
      <c r="H95" s="213"/>
      <c r="I95" s="213"/>
      <c r="J95" s="213"/>
      <c r="K95" s="213"/>
      <c r="L95" s="213"/>
      <c r="M95" s="213"/>
      <c r="N95" s="213"/>
      <c r="O95" s="213"/>
      <c r="P95" s="213"/>
      <c r="Q95" s="213"/>
      <c r="R95" s="213"/>
      <c r="S95" s="213"/>
      <c r="T95" s="213"/>
      <c r="U95" s="213"/>
      <c r="V95" s="213" t="s">
        <v>387</v>
      </c>
      <c r="W95" s="213" t="s">
        <v>388</v>
      </c>
      <c r="X95" s="213" t="s">
        <v>389</v>
      </c>
      <c r="Y95" s="213"/>
      <c r="Z95" s="213"/>
      <c r="AA95" s="213"/>
      <c r="AB95" s="213"/>
      <c r="AC95" s="213"/>
    </row>
    <row r="96" spans="1:29" ht="15" customHeight="1" x14ac:dyDescent="0.35">
      <c r="A96" s="213"/>
      <c r="B96" s="213"/>
      <c r="C96" s="213"/>
      <c r="D96" s="213"/>
      <c r="E96" s="213"/>
      <c r="F96" s="213"/>
      <c r="G96" s="213"/>
      <c r="H96" s="213"/>
      <c r="I96" s="213"/>
      <c r="J96" s="213"/>
      <c r="K96" s="213"/>
      <c r="L96" s="213"/>
      <c r="M96" s="213"/>
      <c r="N96" s="213"/>
      <c r="O96" s="213"/>
      <c r="P96" s="213"/>
      <c r="Q96" s="213"/>
      <c r="R96" s="213"/>
      <c r="S96" s="213" t="s">
        <v>402</v>
      </c>
      <c r="T96" s="213"/>
      <c r="U96" s="213"/>
      <c r="V96" s="404">
        <f t="shared" ref="V96:X100" si="0">T17</f>
        <v>0</v>
      </c>
      <c r="W96" s="404">
        <f t="shared" si="0"/>
        <v>0</v>
      </c>
      <c r="X96" s="404">
        <f t="shared" si="0"/>
        <v>0</v>
      </c>
      <c r="Y96" s="213"/>
      <c r="Z96" s="213"/>
      <c r="AA96" s="213"/>
      <c r="AB96" s="213"/>
      <c r="AC96" s="213"/>
    </row>
    <row r="97" spans="1:29" ht="15" customHeight="1" x14ac:dyDescent="0.35">
      <c r="A97" s="213"/>
      <c r="B97" s="213"/>
      <c r="C97" s="213"/>
      <c r="D97" s="213"/>
      <c r="E97" s="213"/>
      <c r="F97" s="213"/>
      <c r="G97" s="213"/>
      <c r="H97" s="213"/>
      <c r="I97" s="213"/>
      <c r="J97" s="213"/>
      <c r="K97" s="213"/>
      <c r="L97" s="213"/>
      <c r="M97" s="213"/>
      <c r="N97" s="213"/>
      <c r="O97" s="213"/>
      <c r="P97" s="213"/>
      <c r="Q97" s="213"/>
      <c r="R97" s="213"/>
      <c r="S97" s="213" t="s">
        <v>390</v>
      </c>
      <c r="T97" s="213"/>
      <c r="U97" s="213"/>
      <c r="V97" s="404">
        <f t="shared" si="0"/>
        <v>0</v>
      </c>
      <c r="W97" s="404">
        <f t="shared" si="0"/>
        <v>0</v>
      </c>
      <c r="X97" s="404">
        <f t="shared" si="0"/>
        <v>0</v>
      </c>
      <c r="Y97" s="213"/>
      <c r="Z97" s="213"/>
      <c r="AA97" s="213"/>
      <c r="AB97" s="213"/>
      <c r="AC97" s="213"/>
    </row>
    <row r="98" spans="1:29" ht="15" customHeight="1" x14ac:dyDescent="0.35">
      <c r="A98" s="213"/>
      <c r="B98" s="213"/>
      <c r="C98" s="213"/>
      <c r="D98" s="213"/>
      <c r="E98" s="213"/>
      <c r="F98" s="213"/>
      <c r="G98" s="213"/>
      <c r="H98" s="213"/>
      <c r="I98" s="213"/>
      <c r="J98" s="213"/>
      <c r="K98" s="213"/>
      <c r="L98" s="213"/>
      <c r="M98" s="213"/>
      <c r="N98" s="213"/>
      <c r="O98" s="213"/>
      <c r="P98" s="213"/>
      <c r="Q98" s="213"/>
      <c r="R98" s="213"/>
      <c r="S98" s="213" t="s">
        <v>435</v>
      </c>
      <c r="T98" s="213"/>
      <c r="U98" s="213"/>
      <c r="V98" s="404">
        <f t="shared" si="0"/>
        <v>0</v>
      </c>
      <c r="W98" s="404">
        <f t="shared" si="0"/>
        <v>0</v>
      </c>
      <c r="X98" s="404">
        <f t="shared" si="0"/>
        <v>0</v>
      </c>
      <c r="Y98" s="213"/>
      <c r="Z98" s="213"/>
      <c r="AA98" s="213"/>
      <c r="AB98" s="213"/>
      <c r="AC98" s="213"/>
    </row>
    <row r="99" spans="1:29" ht="15" customHeight="1" x14ac:dyDescent="0.35">
      <c r="A99" s="213"/>
      <c r="B99" s="213"/>
      <c r="C99" s="213"/>
      <c r="D99" s="213"/>
      <c r="E99" s="213"/>
      <c r="F99" s="213"/>
      <c r="G99" s="213"/>
      <c r="H99" s="213"/>
      <c r="I99" s="213"/>
      <c r="J99" s="213"/>
      <c r="K99" s="213"/>
      <c r="L99" s="213"/>
      <c r="M99" s="213"/>
      <c r="N99" s="213"/>
      <c r="O99" s="213"/>
      <c r="P99" s="213"/>
      <c r="Q99" s="213"/>
      <c r="R99" s="213"/>
      <c r="S99" s="213" t="s">
        <v>393</v>
      </c>
      <c r="T99" s="213"/>
      <c r="U99" s="213"/>
      <c r="V99" s="404">
        <f t="shared" si="0"/>
        <v>0</v>
      </c>
      <c r="W99" s="404">
        <f t="shared" si="0"/>
        <v>0</v>
      </c>
      <c r="X99" s="404">
        <f t="shared" si="0"/>
        <v>0</v>
      </c>
      <c r="Y99" s="213"/>
      <c r="Z99" s="213"/>
      <c r="AA99" s="213"/>
      <c r="AB99" s="213"/>
      <c r="AC99" s="213"/>
    </row>
    <row r="100" spans="1:29" ht="15" customHeight="1" x14ac:dyDescent="0.35">
      <c r="A100" s="213"/>
      <c r="B100" s="213"/>
      <c r="C100" s="213"/>
      <c r="D100" s="213"/>
      <c r="E100" s="213"/>
      <c r="F100" s="213"/>
      <c r="G100" s="213"/>
      <c r="H100" s="213"/>
      <c r="I100" s="213"/>
      <c r="J100" s="213"/>
      <c r="K100" s="213"/>
      <c r="L100" s="213"/>
      <c r="M100" s="213"/>
      <c r="N100" s="213"/>
      <c r="O100" s="213"/>
      <c r="P100" s="213"/>
      <c r="Q100" s="213"/>
      <c r="R100" s="213"/>
      <c r="S100" s="213" t="s">
        <v>394</v>
      </c>
      <c r="T100" s="213"/>
      <c r="U100" s="213"/>
      <c r="V100" s="404">
        <f t="shared" si="0"/>
        <v>0</v>
      </c>
      <c r="W100" s="404">
        <f t="shared" si="0"/>
        <v>0</v>
      </c>
      <c r="X100" s="404">
        <f t="shared" si="0"/>
        <v>0</v>
      </c>
      <c r="Y100" s="213"/>
      <c r="Z100" s="213"/>
      <c r="AA100" s="213"/>
      <c r="AB100" s="213"/>
      <c r="AC100" s="213"/>
    </row>
    <row r="101" spans="1:29" ht="15" customHeight="1" x14ac:dyDescent="0.35">
      <c r="A101" s="213"/>
      <c r="B101" s="213"/>
      <c r="C101" s="213"/>
      <c r="D101" s="213"/>
      <c r="E101" s="213"/>
      <c r="F101" s="213"/>
      <c r="G101" s="213"/>
      <c r="H101" s="213"/>
      <c r="I101" s="213"/>
      <c r="J101" s="213"/>
      <c r="K101" s="213"/>
      <c r="L101" s="213"/>
      <c r="M101" s="213"/>
      <c r="N101" s="213"/>
      <c r="O101" s="213"/>
      <c r="P101" s="213"/>
      <c r="Q101" s="213"/>
      <c r="R101" s="213"/>
      <c r="S101" s="213"/>
      <c r="T101" s="213"/>
      <c r="U101" s="213"/>
      <c r="V101" s="213"/>
      <c r="W101" s="213"/>
      <c r="X101" s="213"/>
      <c r="Y101" s="213"/>
      <c r="Z101" s="213"/>
      <c r="AA101" s="213"/>
      <c r="AB101" s="213"/>
      <c r="AC101" s="213"/>
    </row>
    <row r="102" spans="1:29" ht="15" customHeight="1" x14ac:dyDescent="0.35">
      <c r="A102" s="213"/>
      <c r="B102" s="213"/>
      <c r="C102" s="213"/>
      <c r="D102" s="213"/>
      <c r="E102" s="213"/>
      <c r="F102" s="213"/>
      <c r="G102" s="213"/>
      <c r="H102" s="213"/>
      <c r="I102" s="213"/>
      <c r="J102" s="213"/>
      <c r="K102" s="213"/>
      <c r="L102" s="213"/>
      <c r="M102" s="213"/>
      <c r="N102" s="213"/>
      <c r="O102" s="213"/>
      <c r="P102" s="213"/>
      <c r="Q102" s="213"/>
      <c r="R102" s="213"/>
      <c r="S102" s="213"/>
      <c r="T102" s="213"/>
      <c r="U102" s="213"/>
      <c r="V102" s="213"/>
      <c r="W102" s="213"/>
      <c r="X102" s="213"/>
      <c r="Y102" s="213"/>
      <c r="Z102" s="213"/>
      <c r="AA102" s="213"/>
      <c r="AB102" s="213"/>
      <c r="AC102" s="213"/>
    </row>
    <row r="103" spans="1:29" ht="15" customHeight="1" x14ac:dyDescent="0.35">
      <c r="A103" s="213"/>
      <c r="B103" s="213" t="s">
        <v>354</v>
      </c>
      <c r="C103" s="404" t="e">
        <f>IF(INPUT!D9="",NA(),'DASHBOARD 2'!T28)</f>
        <v>#N/A</v>
      </c>
      <c r="D103" s="404" t="e">
        <f>IF(INPUT!E9="",NA(),'DASHBOARD 2'!U28)</f>
        <v>#N/A</v>
      </c>
      <c r="E103" s="404" t="e">
        <f>IF(INPUT!F9="",NA(),'DASHBOARD 2'!V28)</f>
        <v>#N/A</v>
      </c>
      <c r="F103" s="404" t="e">
        <f>IF(INPUT!G9="",NA(),'DASHBOARD 2'!W28)</f>
        <v>#N/A</v>
      </c>
      <c r="G103" s="404" t="e">
        <f>IF(INPUT!H9="",NA(),'DASHBOARD 2'!X28)</f>
        <v>#N/A</v>
      </c>
      <c r="H103" s="213"/>
      <c r="I103" s="213" t="s">
        <v>354</v>
      </c>
      <c r="J103" s="404" t="e">
        <f>IF(INPUT!D9="",NA(),'DASHBOARD 2'!T28)</f>
        <v>#N/A</v>
      </c>
      <c r="K103" s="404" t="e">
        <f>IF(INPUT!E9="",NA(),'DASHBOARD 2'!U28)</f>
        <v>#N/A</v>
      </c>
      <c r="L103" s="404" t="e">
        <f>IF(INPUT!F9="",NA(),'DASHBOARD 2'!V28)</f>
        <v>#N/A</v>
      </c>
      <c r="M103" s="404" t="e">
        <f>IF(INPUT!G9="",NA(),'DASHBOARD 2'!W28)</f>
        <v>#N/A</v>
      </c>
      <c r="N103" s="404" t="e">
        <f>IF(INPUT!H9="",NA(),'DASHBOARD 2'!X28)</f>
        <v>#N/A</v>
      </c>
      <c r="O103" s="213"/>
      <c r="P103" s="404" t="e">
        <f>J103</f>
        <v>#N/A</v>
      </c>
      <c r="Q103" s="404" t="e">
        <f>K103</f>
        <v>#N/A</v>
      </c>
      <c r="R103" s="404" t="e">
        <f>L103</f>
        <v>#N/A</v>
      </c>
      <c r="S103" s="404" t="e">
        <f>M103</f>
        <v>#N/A</v>
      </c>
      <c r="T103" s="404" t="e">
        <f>N103</f>
        <v>#N/A</v>
      </c>
      <c r="U103" s="213"/>
      <c r="V103" s="213"/>
      <c r="W103" s="213"/>
      <c r="X103" s="213"/>
      <c r="Y103" s="213"/>
      <c r="Z103" s="213"/>
      <c r="AA103" s="213"/>
      <c r="AB103" s="213"/>
      <c r="AC103" s="213"/>
    </row>
    <row r="104" spans="1:29" ht="15" customHeight="1" x14ac:dyDescent="0.35">
      <c r="A104" s="213"/>
      <c r="B104" s="213" t="s">
        <v>395</v>
      </c>
      <c r="C104" s="404" t="e">
        <f>NA()</f>
        <v>#N/A</v>
      </c>
      <c r="D104" s="404" t="e">
        <f>IF(INPUT!E9="",NA(),'DASHBOARD 2'!U30)</f>
        <v>#N/A</v>
      </c>
      <c r="E104" s="404" t="e">
        <f>IF(INPUT!F9="",NA(),'DASHBOARD 2'!V30)</f>
        <v>#N/A</v>
      </c>
      <c r="F104" s="404" t="e">
        <f>IF(INPUT!G9="",NA(),'DASHBOARD 2'!W30)</f>
        <v>#N/A</v>
      </c>
      <c r="G104" s="404" t="e">
        <f>IF(INPUT!H9="",NA(),'DASHBOARD 2'!X30)</f>
        <v>#N/A</v>
      </c>
      <c r="H104" s="213"/>
      <c r="I104" s="213" t="s">
        <v>409</v>
      </c>
      <c r="J104" s="404" t="e">
        <f>IF(INPUT!D9="",NA(),INPUT!D30)</f>
        <v>#N/A</v>
      </c>
      <c r="K104" s="404" t="e">
        <f>IF(INPUT!E9="",NA(),INPUT!E30)</f>
        <v>#N/A</v>
      </c>
      <c r="L104" s="404" t="e">
        <f>IF(INPUT!F9="",NA(),INPUT!F30)</f>
        <v>#N/A</v>
      </c>
      <c r="M104" s="404" t="e">
        <f>IF(INPUT!G9="",NA(),INPUT!G30)</f>
        <v>#N/A</v>
      </c>
      <c r="N104" s="404" t="e">
        <f>IF(INPUT!H9="",NA(),INPUT!H30)</f>
        <v>#N/A</v>
      </c>
      <c r="O104" s="213"/>
      <c r="P104" s="404" t="e">
        <f>IF(INPUT!D9="",NA(),INPUT!D30/1000)</f>
        <v>#N/A</v>
      </c>
      <c r="Q104" s="404" t="e">
        <f>IF(INPUT!E9="",NA(),INPUT!E30/1000)</f>
        <v>#N/A</v>
      </c>
      <c r="R104" s="404" t="e">
        <f>IF(INPUT!F9="",NA(),INPUT!F30/1000)</f>
        <v>#N/A</v>
      </c>
      <c r="S104" s="404" t="e">
        <f>IF(INPUT!G9="",NA(),INPUT!G30/1000)</f>
        <v>#N/A</v>
      </c>
      <c r="T104" s="404" t="e">
        <f>IF(INPUT!H9="",NA(),INPUT!H30/1000)</f>
        <v>#N/A</v>
      </c>
      <c r="U104" s="213"/>
      <c r="V104" s="213"/>
      <c r="W104" s="213"/>
      <c r="X104" s="213"/>
      <c r="Y104" s="213"/>
      <c r="Z104" s="213"/>
      <c r="AA104" s="213"/>
      <c r="AB104" s="213"/>
      <c r="AC104" s="213"/>
    </row>
    <row r="105" spans="1:29" ht="15" customHeight="1" x14ac:dyDescent="0.4">
      <c r="A105" s="213"/>
      <c r="B105" s="213" t="s">
        <v>404</v>
      </c>
      <c r="C105" s="405" t="e">
        <f>IF(INPUT!D9="",NA(),INPUT!D9)</f>
        <v>#N/A</v>
      </c>
      <c r="D105" s="405" t="e">
        <f>IF(INPUT!E9="",NA(),INPUT!E9)</f>
        <v>#N/A</v>
      </c>
      <c r="E105" s="405" t="e">
        <f>IF(INPUT!F9="",NA(),INPUT!F9)</f>
        <v>#N/A</v>
      </c>
      <c r="F105" s="405" t="e">
        <f>IF(INPUT!G9="",NA(),INPUT!G9)</f>
        <v>#N/A</v>
      </c>
      <c r="G105" s="405" t="e">
        <f>IF(INPUT!H9="",NA(),INPUT!H9)</f>
        <v>#N/A</v>
      </c>
      <c r="H105" s="214"/>
      <c r="I105" s="213" t="s">
        <v>416</v>
      </c>
      <c r="J105" s="404" t="e">
        <f>IF(INPUT!D9="",NA(),INPUT!D75)</f>
        <v>#N/A</v>
      </c>
      <c r="K105" s="404" t="e">
        <f>IF(INPUT!E9="",NA(),INPUT!E75)</f>
        <v>#N/A</v>
      </c>
      <c r="L105" s="404" t="e">
        <f>IF(INPUT!F9="",NA(),INPUT!F75)</f>
        <v>#N/A</v>
      </c>
      <c r="M105" s="404" t="e">
        <f>IF(INPUT!G9="",NA(),INPUT!G75)</f>
        <v>#N/A</v>
      </c>
      <c r="N105" s="404" t="e">
        <f>IF(INPUT!H9="",NA(),INPUT!H75)</f>
        <v>#N/A</v>
      </c>
      <c r="O105" s="213"/>
      <c r="P105" s="404" t="e">
        <f>IF(INPUT!D9="",NA(),INPUT!D75/1000)</f>
        <v>#N/A</v>
      </c>
      <c r="Q105" s="404" t="e">
        <f>IF(INPUT!E9="",NA(),INPUT!E75/1000)</f>
        <v>#N/A</v>
      </c>
      <c r="R105" s="404" t="e">
        <f>IF(INPUT!F9="",NA(),INPUT!F75/1000)</f>
        <v>#N/A</v>
      </c>
      <c r="S105" s="404" t="e">
        <f>IF(INPUT!G9="",NA(),INPUT!G75/1000)</f>
        <v>#N/A</v>
      </c>
      <c r="T105" s="404" t="e">
        <f>IF(INPUT!H9="",NA(),INPUT!H75/1000)</f>
        <v>#N/A</v>
      </c>
      <c r="U105" s="213"/>
      <c r="V105" s="213"/>
      <c r="W105" s="213"/>
      <c r="X105" s="213"/>
      <c r="Y105" s="213"/>
      <c r="Z105" s="213"/>
      <c r="AA105" s="213"/>
      <c r="AB105" s="213"/>
      <c r="AC105" s="213"/>
    </row>
    <row r="106" spans="1:29" ht="15" customHeight="1" x14ac:dyDescent="0.35">
      <c r="A106" s="213" t="s">
        <v>5</v>
      </c>
      <c r="B106" s="213"/>
      <c r="C106" s="213"/>
      <c r="D106" s="213"/>
      <c r="E106" s="213"/>
      <c r="F106" s="213"/>
      <c r="G106" s="213"/>
      <c r="H106" s="213"/>
      <c r="I106" s="213" t="s">
        <v>410</v>
      </c>
      <c r="J106" s="404" t="e">
        <f>IF(INPUT!D9="",NA(),INPUT!D26)</f>
        <v>#N/A</v>
      </c>
      <c r="K106" s="404" t="e">
        <f>IF(INPUT!E9="",NA(),INPUT!E26)</f>
        <v>#N/A</v>
      </c>
      <c r="L106" s="404" t="e">
        <f>IF(INPUT!F9="",NA(),INPUT!F26)</f>
        <v>#N/A</v>
      </c>
      <c r="M106" s="404" t="e">
        <f>IF(INPUT!G9="",NA(),INPUT!G26)</f>
        <v>#N/A</v>
      </c>
      <c r="N106" s="404" t="e">
        <f>IF(INPUT!H9="",NA(),INPUT!H26)</f>
        <v>#N/A</v>
      </c>
      <c r="O106" s="213"/>
      <c r="P106" s="404" t="e">
        <f>IF(INPUT!D9="",NA(),INPUT!D26/1000)</f>
        <v>#N/A</v>
      </c>
      <c r="Q106" s="404" t="e">
        <f>IF(INPUT!E9="",NA(),INPUT!E26/1000)</f>
        <v>#N/A</v>
      </c>
      <c r="R106" s="404" t="e">
        <f>IF(INPUT!F9="",NA(),INPUT!F26/1000)</f>
        <v>#N/A</v>
      </c>
      <c r="S106" s="404" t="e">
        <f>IF(INPUT!G9="",NA(),INPUT!G26/1000)</f>
        <v>#N/A</v>
      </c>
      <c r="T106" s="404" t="e">
        <f>IF(INPUT!H9="",NA(),INPUT!H26/1000)</f>
        <v>#N/A</v>
      </c>
      <c r="U106" s="213"/>
      <c r="V106" s="213"/>
      <c r="W106" s="213"/>
      <c r="X106" s="213"/>
      <c r="Y106" s="213"/>
      <c r="Z106" s="213"/>
      <c r="AA106" s="213"/>
      <c r="AB106" s="213"/>
      <c r="AC106" s="213"/>
    </row>
    <row r="107" spans="1:29" ht="15" customHeight="1" x14ac:dyDescent="0.35"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</row>
  </sheetData>
  <pageMargins left="5.5555555555555558E-3" right="5.5555555555555558E-3" top="5.5555555555555558E-3" bottom="5.5555555555555558E-3" header="0.3" footer="0.3"/>
  <pageSetup paperSize="9" scale="10" orientation="landscape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274F7-3F6A-4E64-A480-2B4994687C63}">
  <dimension ref="A1:C17"/>
  <sheetViews>
    <sheetView workbookViewId="0">
      <selection activeCell="E32" sqref="E32"/>
    </sheetView>
  </sheetViews>
  <sheetFormatPr baseColWidth="10" defaultRowHeight="14.4" x14ac:dyDescent="0.3"/>
  <cols>
    <col min="1" max="1" width="55.33203125" bestFit="1" customWidth="1"/>
    <col min="2" max="2" width="6.6640625" bestFit="1" customWidth="1"/>
    <col min="3" max="3" width="14.109375" bestFit="1" customWidth="1"/>
    <col min="4" max="4" width="12.6640625" bestFit="1" customWidth="1"/>
  </cols>
  <sheetData>
    <row r="1" spans="1:3" x14ac:dyDescent="0.3">
      <c r="A1" s="198" t="s">
        <v>417</v>
      </c>
      <c r="B1" s="198"/>
      <c r="C1" s="198"/>
    </row>
    <row r="2" spans="1:3" x14ac:dyDescent="0.3">
      <c r="A2" s="199" t="s">
        <v>419</v>
      </c>
      <c r="B2" s="199" t="s">
        <v>420</v>
      </c>
      <c r="C2" s="199" t="s">
        <v>418</v>
      </c>
    </row>
    <row r="3" spans="1:3" x14ac:dyDescent="0.3">
      <c r="A3" s="286">
        <v>1</v>
      </c>
      <c r="B3" t="s">
        <v>421</v>
      </c>
      <c r="C3" s="406">
        <v>39.200000000000003</v>
      </c>
    </row>
    <row r="4" spans="1:3" x14ac:dyDescent="0.3">
      <c r="A4" s="286">
        <v>2</v>
      </c>
      <c r="B4" t="s">
        <v>422</v>
      </c>
      <c r="C4" s="406">
        <v>41.5</v>
      </c>
    </row>
    <row r="5" spans="1:3" x14ac:dyDescent="0.3">
      <c r="A5" s="286">
        <v>3</v>
      </c>
      <c r="B5" t="s">
        <v>423</v>
      </c>
      <c r="C5" s="406">
        <v>44.8</v>
      </c>
    </row>
    <row r="6" spans="1:3" x14ac:dyDescent="0.3">
      <c r="A6" s="286">
        <v>4</v>
      </c>
      <c r="B6" t="s">
        <v>424</v>
      </c>
      <c r="C6" s="406">
        <v>43.2</v>
      </c>
    </row>
    <row r="7" spans="1:3" x14ac:dyDescent="0.3">
      <c r="A7" s="286">
        <v>5</v>
      </c>
      <c r="B7" t="s">
        <v>425</v>
      </c>
      <c r="C7" s="406">
        <v>47.6</v>
      </c>
    </row>
    <row r="8" spans="1:3" x14ac:dyDescent="0.3">
      <c r="A8" s="286">
        <v>6</v>
      </c>
      <c r="B8" t="s">
        <v>426</v>
      </c>
      <c r="C8" s="406">
        <v>50.3</v>
      </c>
    </row>
    <row r="9" spans="1:3" x14ac:dyDescent="0.3">
      <c r="A9" s="286">
        <v>7</v>
      </c>
      <c r="B9" t="s">
        <v>427</v>
      </c>
      <c r="C9" s="406">
        <v>52.1</v>
      </c>
    </row>
    <row r="10" spans="1:3" x14ac:dyDescent="0.3">
      <c r="A10" s="286">
        <v>8</v>
      </c>
      <c r="B10" t="s">
        <v>428</v>
      </c>
      <c r="C10" s="406">
        <v>49.8</v>
      </c>
    </row>
    <row r="11" spans="1:3" x14ac:dyDescent="0.3">
      <c r="A11" s="286">
        <v>9</v>
      </c>
      <c r="B11" t="s">
        <v>429</v>
      </c>
      <c r="C11" s="406">
        <v>51.4</v>
      </c>
    </row>
    <row r="12" spans="1:3" x14ac:dyDescent="0.3">
      <c r="A12" s="286">
        <v>10</v>
      </c>
      <c r="B12" t="s">
        <v>430</v>
      </c>
      <c r="C12" s="406">
        <v>53.9</v>
      </c>
    </row>
    <row r="13" spans="1:3" x14ac:dyDescent="0.3">
      <c r="A13" s="286">
        <v>11</v>
      </c>
      <c r="B13" t="s">
        <v>431</v>
      </c>
      <c r="C13" s="406">
        <v>51.2</v>
      </c>
    </row>
    <row r="14" spans="1:3" x14ac:dyDescent="0.3">
      <c r="A14" s="286">
        <v>12</v>
      </c>
      <c r="B14" t="s">
        <v>432</v>
      </c>
      <c r="C14" s="406">
        <v>49.6</v>
      </c>
    </row>
    <row r="15" spans="1:3" x14ac:dyDescent="0.3">
      <c r="A15" s="286">
        <v>13</v>
      </c>
      <c r="B15" t="s">
        <v>421</v>
      </c>
      <c r="C15" s="406">
        <v>48.5</v>
      </c>
    </row>
    <row r="17" spans="1:1" x14ac:dyDescent="0.3">
      <c r="A17" s="200" t="s">
        <v>433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2D960-BD5E-4869-96A6-8D8170D5349B}">
  <sheetPr>
    <pageSetUpPr fitToPage="1"/>
  </sheetPr>
  <dimension ref="A1:E61"/>
  <sheetViews>
    <sheetView topLeftCell="A38" workbookViewId="0"/>
  </sheetViews>
  <sheetFormatPr baseColWidth="10" defaultRowHeight="14.4" x14ac:dyDescent="0.3"/>
  <cols>
    <col min="1" max="1" width="23.109375" bestFit="1" customWidth="1"/>
    <col min="2" max="2" width="28.109375" bestFit="1" customWidth="1"/>
    <col min="3" max="3" width="11" bestFit="1" customWidth="1"/>
    <col min="4" max="4" width="8.44140625" bestFit="1" customWidth="1"/>
    <col min="5" max="5" width="10" bestFit="1" customWidth="1"/>
  </cols>
  <sheetData>
    <row r="1" spans="1:5" x14ac:dyDescent="0.3">
      <c r="A1" s="198" t="s">
        <v>444</v>
      </c>
      <c r="B1" s="198" t="s">
        <v>445</v>
      </c>
      <c r="C1" s="198" t="s">
        <v>446</v>
      </c>
      <c r="D1" s="198" t="s">
        <v>447</v>
      </c>
      <c r="E1" s="198" t="s">
        <v>448</v>
      </c>
    </row>
    <row r="2" spans="1:5" ht="15" x14ac:dyDescent="0.35">
      <c r="A2" s="3" t="s">
        <v>449</v>
      </c>
      <c r="B2" s="3" t="s">
        <v>304</v>
      </c>
      <c r="C2" s="407">
        <v>0.05</v>
      </c>
      <c r="D2" s="407">
        <v>0.12</v>
      </c>
      <c r="E2" s="407">
        <v>0.22</v>
      </c>
    </row>
    <row r="3" spans="1:5" ht="15" x14ac:dyDescent="0.35">
      <c r="A3" s="3" t="s">
        <v>449</v>
      </c>
      <c r="B3" s="3" t="s">
        <v>201</v>
      </c>
      <c r="C3" s="407">
        <v>0.55000000000000004</v>
      </c>
      <c r="D3" s="407">
        <v>0.68</v>
      </c>
      <c r="E3" s="407">
        <v>0.78</v>
      </c>
    </row>
    <row r="4" spans="1:5" ht="15" x14ac:dyDescent="0.35">
      <c r="A4" s="3" t="s">
        <v>449</v>
      </c>
      <c r="B4" s="3" t="s">
        <v>96</v>
      </c>
      <c r="C4" s="407">
        <v>0.08</v>
      </c>
      <c r="D4" s="407">
        <v>0.18</v>
      </c>
      <c r="E4" s="407">
        <v>0.28000000000000003</v>
      </c>
    </row>
    <row r="5" spans="1:5" ht="15" x14ac:dyDescent="0.35">
      <c r="A5" s="3" t="s">
        <v>449</v>
      </c>
      <c r="B5" s="3" t="s">
        <v>450</v>
      </c>
      <c r="C5" s="407">
        <v>0.3</v>
      </c>
      <c r="D5" s="407">
        <v>0.22</v>
      </c>
      <c r="E5" s="407">
        <v>0.15</v>
      </c>
    </row>
    <row r="6" spans="1:5" ht="15" x14ac:dyDescent="0.35">
      <c r="A6" s="3" t="s">
        <v>449</v>
      </c>
      <c r="B6" s="3" t="s">
        <v>451</v>
      </c>
      <c r="C6" s="407">
        <v>0.18</v>
      </c>
      <c r="D6" s="407">
        <v>0.12</v>
      </c>
      <c r="E6" s="407">
        <v>0.08</v>
      </c>
    </row>
    <row r="7" spans="1:5" ht="15" x14ac:dyDescent="0.35">
      <c r="A7" s="3" t="s">
        <v>449</v>
      </c>
      <c r="B7" s="3" t="s">
        <v>452</v>
      </c>
      <c r="C7" s="407">
        <v>0.08</v>
      </c>
      <c r="D7" s="407">
        <v>0.05</v>
      </c>
      <c r="E7" s="407">
        <v>0.03</v>
      </c>
    </row>
    <row r="8" spans="1:5" ht="15" x14ac:dyDescent="0.35">
      <c r="A8" s="3" t="s">
        <v>449</v>
      </c>
      <c r="B8" s="3" t="s">
        <v>453</v>
      </c>
      <c r="C8" s="407">
        <v>0.05</v>
      </c>
      <c r="D8" s="407">
        <v>0.03</v>
      </c>
      <c r="E8" s="407">
        <v>0.02</v>
      </c>
    </row>
    <row r="9" spans="1:5" ht="15" x14ac:dyDescent="0.35">
      <c r="A9" s="3" t="s">
        <v>449</v>
      </c>
      <c r="B9" s="3" t="s">
        <v>74</v>
      </c>
      <c r="C9" s="407">
        <v>0.02</v>
      </c>
      <c r="D9" s="407">
        <v>0.03</v>
      </c>
      <c r="E9" s="407">
        <v>0.04</v>
      </c>
    </row>
    <row r="10" spans="1:5" ht="15" x14ac:dyDescent="0.35">
      <c r="A10" s="3" t="s">
        <v>449</v>
      </c>
      <c r="B10" s="3" t="s">
        <v>73</v>
      </c>
      <c r="C10" s="407">
        <v>0.11</v>
      </c>
      <c r="D10" s="407">
        <v>0.09</v>
      </c>
      <c r="E10" s="407">
        <v>7.0000000000000007E-2</v>
      </c>
    </row>
    <row r="11" spans="1:5" ht="15" x14ac:dyDescent="0.35">
      <c r="A11" s="3" t="s">
        <v>449</v>
      </c>
      <c r="B11" s="3" t="s">
        <v>454</v>
      </c>
      <c r="C11" s="407">
        <v>12</v>
      </c>
      <c r="D11" s="407">
        <v>16</v>
      </c>
      <c r="E11" s="407">
        <v>22</v>
      </c>
    </row>
    <row r="12" spans="1:5" ht="15" x14ac:dyDescent="0.35">
      <c r="A12" s="3" t="s">
        <v>455</v>
      </c>
      <c r="B12" s="3" t="s">
        <v>304</v>
      </c>
      <c r="C12" s="407">
        <v>0.01</v>
      </c>
      <c r="D12" s="407">
        <v>0.04</v>
      </c>
      <c r="E12" s="407">
        <v>7.0000000000000007E-2</v>
      </c>
    </row>
    <row r="13" spans="1:5" ht="15" x14ac:dyDescent="0.35">
      <c r="A13" s="3" t="s">
        <v>455</v>
      </c>
      <c r="B13" s="3" t="s">
        <v>201</v>
      </c>
      <c r="C13" s="407">
        <v>0.18</v>
      </c>
      <c r="D13" s="407">
        <v>0.25</v>
      </c>
      <c r="E13" s="407">
        <v>0.32</v>
      </c>
    </row>
    <row r="14" spans="1:5" ht="15" x14ac:dyDescent="0.35">
      <c r="A14" s="3" t="s">
        <v>455</v>
      </c>
      <c r="B14" s="3" t="s">
        <v>96</v>
      </c>
      <c r="C14" s="407">
        <v>0.06</v>
      </c>
      <c r="D14" s="407">
        <v>0.12</v>
      </c>
      <c r="E14" s="407">
        <v>0.18</v>
      </c>
    </row>
    <row r="15" spans="1:5" ht="15" x14ac:dyDescent="0.35">
      <c r="A15" s="3" t="s">
        <v>455</v>
      </c>
      <c r="B15" s="3" t="s">
        <v>450</v>
      </c>
      <c r="C15" s="407">
        <v>0.1</v>
      </c>
      <c r="D15" s="407">
        <v>0.08</v>
      </c>
      <c r="E15" s="407">
        <v>0.06</v>
      </c>
    </row>
    <row r="16" spans="1:5" ht="15" x14ac:dyDescent="0.35">
      <c r="A16" s="3" t="s">
        <v>455</v>
      </c>
      <c r="B16" s="3" t="s">
        <v>451</v>
      </c>
      <c r="C16" s="407">
        <v>0.03</v>
      </c>
      <c r="D16" s="407">
        <v>0.02</v>
      </c>
      <c r="E16" s="407">
        <v>0.01</v>
      </c>
    </row>
    <row r="17" spans="1:5" ht="15" x14ac:dyDescent="0.35">
      <c r="A17" s="3" t="s">
        <v>455</v>
      </c>
      <c r="B17" s="3" t="s">
        <v>452</v>
      </c>
      <c r="C17" s="407">
        <v>0.1</v>
      </c>
      <c r="D17" s="407">
        <v>7.0000000000000007E-2</v>
      </c>
      <c r="E17" s="407">
        <v>0.04</v>
      </c>
    </row>
    <row r="18" spans="1:5" ht="15" x14ac:dyDescent="0.35">
      <c r="A18" s="3" t="s">
        <v>455</v>
      </c>
      <c r="B18" s="3" t="s">
        <v>453</v>
      </c>
      <c r="C18" s="407">
        <v>0.12</v>
      </c>
      <c r="D18" s="407">
        <v>0.08</v>
      </c>
      <c r="E18" s="407">
        <v>0.05</v>
      </c>
    </row>
    <row r="19" spans="1:5" ht="15" x14ac:dyDescent="0.35">
      <c r="A19" s="3" t="s">
        <v>455</v>
      </c>
      <c r="B19" s="3" t="s">
        <v>74</v>
      </c>
      <c r="C19" s="407">
        <v>0</v>
      </c>
      <c r="D19" s="407">
        <v>0.01</v>
      </c>
      <c r="E19" s="407">
        <v>0.02</v>
      </c>
    </row>
    <row r="20" spans="1:5" ht="15" x14ac:dyDescent="0.35">
      <c r="A20" s="3" t="s">
        <v>455</v>
      </c>
      <c r="B20" s="3" t="s">
        <v>73</v>
      </c>
      <c r="C20" s="407">
        <v>0.09</v>
      </c>
      <c r="D20" s="407">
        <v>0.08</v>
      </c>
      <c r="E20" s="407">
        <v>0.06</v>
      </c>
    </row>
    <row r="21" spans="1:5" ht="15" x14ac:dyDescent="0.35">
      <c r="A21" s="3" t="s">
        <v>455</v>
      </c>
      <c r="B21" s="3" t="s">
        <v>454</v>
      </c>
      <c r="C21" s="407">
        <v>5</v>
      </c>
      <c r="D21" s="407">
        <v>7</v>
      </c>
      <c r="E21" s="407">
        <v>10</v>
      </c>
    </row>
    <row r="22" spans="1:5" ht="15" x14ac:dyDescent="0.35">
      <c r="A22" s="3" t="s">
        <v>456</v>
      </c>
      <c r="B22" s="3" t="s">
        <v>304</v>
      </c>
      <c r="C22" s="407">
        <v>0.01</v>
      </c>
      <c r="D22" s="407">
        <v>0.04</v>
      </c>
      <c r="E22" s="407">
        <v>0.08</v>
      </c>
    </row>
    <row r="23" spans="1:5" ht="15" x14ac:dyDescent="0.35">
      <c r="A23" s="3" t="s">
        <v>456</v>
      </c>
      <c r="B23" s="3" t="s">
        <v>201</v>
      </c>
      <c r="C23" s="407">
        <v>0.25</v>
      </c>
      <c r="D23" s="407">
        <v>0.35</v>
      </c>
      <c r="E23" s="407">
        <v>0.45</v>
      </c>
    </row>
    <row r="24" spans="1:5" ht="15" x14ac:dyDescent="0.35">
      <c r="A24" s="3" t="s">
        <v>456</v>
      </c>
      <c r="B24" s="3" t="s">
        <v>96</v>
      </c>
      <c r="C24" s="407">
        <v>0.04</v>
      </c>
      <c r="D24" s="407">
        <v>0.09</v>
      </c>
      <c r="E24" s="407">
        <v>0.14000000000000001</v>
      </c>
    </row>
    <row r="25" spans="1:5" ht="15" x14ac:dyDescent="0.35">
      <c r="A25" s="3" t="s">
        <v>456</v>
      </c>
      <c r="B25" s="3" t="s">
        <v>450</v>
      </c>
      <c r="C25" s="407">
        <v>0.18</v>
      </c>
      <c r="D25" s="407">
        <v>0.14000000000000001</v>
      </c>
      <c r="E25" s="407">
        <v>0.1</v>
      </c>
    </row>
    <row r="26" spans="1:5" ht="15" x14ac:dyDescent="0.35">
      <c r="A26" s="3" t="s">
        <v>456</v>
      </c>
      <c r="B26" s="3" t="s">
        <v>451</v>
      </c>
      <c r="C26" s="407">
        <v>0.01</v>
      </c>
      <c r="D26" s="407">
        <v>0.01</v>
      </c>
      <c r="E26" s="407">
        <v>0</v>
      </c>
    </row>
    <row r="27" spans="1:5" ht="15" x14ac:dyDescent="0.35">
      <c r="A27" s="3" t="s">
        <v>456</v>
      </c>
      <c r="B27" s="3" t="s">
        <v>452</v>
      </c>
      <c r="C27" s="407">
        <v>0.05</v>
      </c>
      <c r="D27" s="407">
        <v>0.03</v>
      </c>
      <c r="E27" s="407">
        <v>0.02</v>
      </c>
    </row>
    <row r="28" spans="1:5" ht="15" x14ac:dyDescent="0.35">
      <c r="A28" s="3" t="s">
        <v>456</v>
      </c>
      <c r="B28" s="3" t="s">
        <v>453</v>
      </c>
      <c r="C28" s="407">
        <v>0.1</v>
      </c>
      <c r="D28" s="407">
        <v>7.0000000000000007E-2</v>
      </c>
      <c r="E28" s="407">
        <v>0.04</v>
      </c>
    </row>
    <row r="29" spans="1:5" ht="15" x14ac:dyDescent="0.35">
      <c r="A29" s="3" t="s">
        <v>456</v>
      </c>
      <c r="B29" s="3" t="s">
        <v>74</v>
      </c>
      <c r="C29" s="407">
        <v>0</v>
      </c>
      <c r="D29" s="407">
        <v>0.01</v>
      </c>
      <c r="E29" s="407">
        <v>0.02</v>
      </c>
    </row>
    <row r="30" spans="1:5" ht="15" x14ac:dyDescent="0.35">
      <c r="A30" s="3" t="s">
        <v>456</v>
      </c>
      <c r="B30" s="3" t="s">
        <v>73</v>
      </c>
      <c r="C30" s="407">
        <v>0.09</v>
      </c>
      <c r="D30" s="407">
        <v>0.08</v>
      </c>
      <c r="E30" s="407">
        <v>0.06</v>
      </c>
    </row>
    <row r="31" spans="1:5" ht="15" x14ac:dyDescent="0.35">
      <c r="A31" s="3" t="s">
        <v>456</v>
      </c>
      <c r="B31" s="3" t="s">
        <v>454</v>
      </c>
      <c r="C31" s="407">
        <v>5</v>
      </c>
      <c r="D31" s="407">
        <v>8</v>
      </c>
      <c r="E31" s="407">
        <v>11</v>
      </c>
    </row>
    <row r="32" spans="1:5" ht="15" x14ac:dyDescent="0.35">
      <c r="A32" s="3" t="s">
        <v>457</v>
      </c>
      <c r="B32" s="3" t="s">
        <v>304</v>
      </c>
      <c r="C32" s="407">
        <v>0.03</v>
      </c>
      <c r="D32" s="407">
        <v>0.08</v>
      </c>
      <c r="E32" s="407">
        <v>0.15</v>
      </c>
    </row>
    <row r="33" spans="1:5" ht="15" x14ac:dyDescent="0.35">
      <c r="A33" s="3" t="s">
        <v>457</v>
      </c>
      <c r="B33" s="3" t="s">
        <v>201</v>
      </c>
      <c r="C33" s="407">
        <v>0.55000000000000004</v>
      </c>
      <c r="D33" s="407">
        <v>0.65</v>
      </c>
      <c r="E33" s="407">
        <v>0.72</v>
      </c>
    </row>
    <row r="34" spans="1:5" ht="15" x14ac:dyDescent="0.35">
      <c r="A34" s="3" t="s">
        <v>457</v>
      </c>
      <c r="B34" s="3" t="s">
        <v>96</v>
      </c>
      <c r="C34" s="407">
        <v>0.18</v>
      </c>
      <c r="D34" s="407">
        <v>0.28000000000000003</v>
      </c>
      <c r="E34" s="407">
        <v>0.35</v>
      </c>
    </row>
    <row r="35" spans="1:5" ht="15" x14ac:dyDescent="0.35">
      <c r="A35" s="3" t="s">
        <v>457</v>
      </c>
      <c r="B35" s="3" t="s">
        <v>450</v>
      </c>
      <c r="C35" s="407">
        <v>0.25</v>
      </c>
      <c r="D35" s="407">
        <v>0.18</v>
      </c>
      <c r="E35" s="407">
        <v>0.12</v>
      </c>
    </row>
    <row r="36" spans="1:5" ht="15" x14ac:dyDescent="0.35">
      <c r="A36" s="3" t="s">
        <v>457</v>
      </c>
      <c r="B36" s="3" t="s">
        <v>451</v>
      </c>
      <c r="C36" s="407">
        <v>0.02</v>
      </c>
      <c r="D36" s="407">
        <v>0.01</v>
      </c>
      <c r="E36" s="407">
        <v>0.01</v>
      </c>
    </row>
    <row r="37" spans="1:5" ht="15" x14ac:dyDescent="0.35">
      <c r="A37" s="3" t="s">
        <v>457</v>
      </c>
      <c r="B37" s="3" t="s">
        <v>452</v>
      </c>
      <c r="C37" s="407">
        <v>0.06</v>
      </c>
      <c r="D37" s="407">
        <v>0.04</v>
      </c>
      <c r="E37" s="407">
        <v>0.03</v>
      </c>
    </row>
    <row r="38" spans="1:5" ht="15" x14ac:dyDescent="0.35">
      <c r="A38" s="3" t="s">
        <v>457</v>
      </c>
      <c r="B38" s="3" t="s">
        <v>453</v>
      </c>
      <c r="C38" s="407">
        <v>0.08</v>
      </c>
      <c r="D38" s="407">
        <v>0.05</v>
      </c>
      <c r="E38" s="407">
        <v>0.03</v>
      </c>
    </row>
    <row r="39" spans="1:5" ht="15" x14ac:dyDescent="0.35">
      <c r="A39" s="3" t="s">
        <v>457</v>
      </c>
      <c r="B39" s="3" t="s">
        <v>74</v>
      </c>
      <c r="C39" s="407">
        <v>0.01</v>
      </c>
      <c r="D39" s="407">
        <v>0.02</v>
      </c>
      <c r="E39" s="407">
        <v>0.03</v>
      </c>
    </row>
    <row r="40" spans="1:5" ht="15" x14ac:dyDescent="0.35">
      <c r="A40" s="3" t="s">
        <v>457</v>
      </c>
      <c r="B40" s="3" t="s">
        <v>73</v>
      </c>
      <c r="C40" s="407">
        <v>0.08</v>
      </c>
      <c r="D40" s="407">
        <v>7.0000000000000007E-2</v>
      </c>
      <c r="E40" s="407">
        <v>0.05</v>
      </c>
    </row>
    <row r="41" spans="1:5" ht="15" x14ac:dyDescent="0.35">
      <c r="A41" s="3" t="s">
        <v>457</v>
      </c>
      <c r="B41" s="3" t="s">
        <v>454</v>
      </c>
      <c r="C41" s="407">
        <v>12</v>
      </c>
      <c r="D41" s="407">
        <v>18</v>
      </c>
      <c r="E41" s="407">
        <v>25</v>
      </c>
    </row>
    <row r="42" spans="1:5" ht="15" x14ac:dyDescent="0.35">
      <c r="A42" s="3" t="s">
        <v>458</v>
      </c>
      <c r="B42" s="3" t="s">
        <v>304</v>
      </c>
      <c r="C42" s="407">
        <v>-0.02</v>
      </c>
      <c r="D42" s="407">
        <v>0.02</v>
      </c>
      <c r="E42" s="407">
        <v>0.05</v>
      </c>
    </row>
    <row r="43" spans="1:5" ht="15" x14ac:dyDescent="0.35">
      <c r="A43" s="3" t="s">
        <v>458</v>
      </c>
      <c r="B43" s="3" t="s">
        <v>201</v>
      </c>
      <c r="C43" s="407">
        <v>0.2</v>
      </c>
      <c r="D43" s="407">
        <v>0.3</v>
      </c>
      <c r="E43" s="407">
        <v>0.4</v>
      </c>
    </row>
    <row r="44" spans="1:5" ht="15" x14ac:dyDescent="0.35">
      <c r="A44" s="3" t="s">
        <v>458</v>
      </c>
      <c r="B44" s="3" t="s">
        <v>96</v>
      </c>
      <c r="C44" s="407">
        <v>0.15</v>
      </c>
      <c r="D44" s="407">
        <v>0.25</v>
      </c>
      <c r="E44" s="407">
        <v>0.35</v>
      </c>
    </row>
    <row r="45" spans="1:5" ht="15" x14ac:dyDescent="0.35">
      <c r="A45" s="3" t="s">
        <v>458</v>
      </c>
      <c r="B45" s="3" t="s">
        <v>450</v>
      </c>
      <c r="C45" s="407">
        <v>0.08</v>
      </c>
      <c r="D45" s="407">
        <v>0.06</v>
      </c>
      <c r="E45" s="407">
        <v>0.04</v>
      </c>
    </row>
    <row r="46" spans="1:5" ht="15" x14ac:dyDescent="0.35">
      <c r="A46" s="3" t="s">
        <v>458</v>
      </c>
      <c r="B46" s="3" t="s">
        <v>451</v>
      </c>
      <c r="C46" s="407">
        <v>0.02</v>
      </c>
      <c r="D46" s="407">
        <v>0.01</v>
      </c>
      <c r="E46" s="407">
        <v>0.01</v>
      </c>
    </row>
    <row r="47" spans="1:5" ht="15" x14ac:dyDescent="0.35">
      <c r="A47" s="3" t="s">
        <v>458</v>
      </c>
      <c r="B47" s="3" t="s">
        <v>452</v>
      </c>
      <c r="C47" s="407">
        <v>0.15</v>
      </c>
      <c r="D47" s="407">
        <v>0.1</v>
      </c>
      <c r="E47" s="407">
        <v>7.0000000000000007E-2</v>
      </c>
    </row>
    <row r="48" spans="1:5" ht="15" x14ac:dyDescent="0.35">
      <c r="A48" s="3" t="s">
        <v>458</v>
      </c>
      <c r="B48" s="3" t="s">
        <v>453</v>
      </c>
      <c r="C48" s="407">
        <v>0.05</v>
      </c>
      <c r="D48" s="407">
        <v>0.04</v>
      </c>
      <c r="E48" s="407">
        <v>0.03</v>
      </c>
    </row>
    <row r="49" spans="1:5" ht="15" x14ac:dyDescent="0.35">
      <c r="A49" s="3" t="s">
        <v>458</v>
      </c>
      <c r="B49" s="3" t="s">
        <v>74</v>
      </c>
      <c r="C49" s="407">
        <v>0</v>
      </c>
      <c r="D49" s="407">
        <v>0.01</v>
      </c>
      <c r="E49" s="407">
        <v>0.02</v>
      </c>
    </row>
    <row r="50" spans="1:5" ht="15" x14ac:dyDescent="0.35">
      <c r="A50" s="3" t="s">
        <v>458</v>
      </c>
      <c r="B50" s="3" t="s">
        <v>73</v>
      </c>
      <c r="C50" s="407">
        <v>7.0000000000000007E-2</v>
      </c>
      <c r="D50" s="407">
        <v>0.06</v>
      </c>
      <c r="E50" s="407">
        <v>0.05</v>
      </c>
    </row>
    <row r="51" spans="1:5" ht="15" x14ac:dyDescent="0.35">
      <c r="A51" s="3" t="s">
        <v>458</v>
      </c>
      <c r="B51" s="3" t="s">
        <v>454</v>
      </c>
      <c r="C51" s="407">
        <v>6</v>
      </c>
      <c r="D51" s="407">
        <v>8</v>
      </c>
      <c r="E51" s="407">
        <v>11</v>
      </c>
    </row>
    <row r="52" spans="1:5" ht="15" x14ac:dyDescent="0.35">
      <c r="A52" s="3" t="s">
        <v>459</v>
      </c>
      <c r="B52" s="3" t="s">
        <v>304</v>
      </c>
      <c r="C52" s="407">
        <v>0.02</v>
      </c>
      <c r="D52" s="407">
        <v>0.06</v>
      </c>
      <c r="E52" s="407">
        <v>0.12</v>
      </c>
    </row>
    <row r="53" spans="1:5" ht="15" x14ac:dyDescent="0.35">
      <c r="A53" s="3" t="s">
        <v>459</v>
      </c>
      <c r="B53" s="3" t="s">
        <v>201</v>
      </c>
      <c r="C53" s="407">
        <v>0.45</v>
      </c>
      <c r="D53" s="407">
        <v>0.6</v>
      </c>
      <c r="E53" s="407">
        <v>0.72</v>
      </c>
    </row>
    <row r="54" spans="1:5" ht="15" x14ac:dyDescent="0.35">
      <c r="A54" s="3" t="s">
        <v>459</v>
      </c>
      <c r="B54" s="3" t="s">
        <v>96</v>
      </c>
      <c r="C54" s="407">
        <v>0.1</v>
      </c>
      <c r="D54" s="407">
        <v>0.2</v>
      </c>
      <c r="E54" s="407">
        <v>0.3</v>
      </c>
    </row>
    <row r="55" spans="1:5" ht="15" x14ac:dyDescent="0.35">
      <c r="A55" s="3" t="s">
        <v>459</v>
      </c>
      <c r="B55" s="3" t="s">
        <v>450</v>
      </c>
      <c r="C55" s="407">
        <v>0.25</v>
      </c>
      <c r="D55" s="407">
        <v>0.18</v>
      </c>
      <c r="E55" s="407">
        <v>0.12</v>
      </c>
    </row>
    <row r="56" spans="1:5" ht="15" x14ac:dyDescent="0.35">
      <c r="A56" s="3" t="s">
        <v>459</v>
      </c>
      <c r="B56" s="3" t="s">
        <v>451</v>
      </c>
      <c r="C56" s="407">
        <v>0.2</v>
      </c>
      <c r="D56" s="407">
        <v>0.15</v>
      </c>
      <c r="E56" s="407">
        <v>0.1</v>
      </c>
    </row>
    <row r="57" spans="1:5" ht="15" x14ac:dyDescent="0.35">
      <c r="A57" s="3" t="s">
        <v>459</v>
      </c>
      <c r="B57" s="3" t="s">
        <v>452</v>
      </c>
      <c r="C57" s="407">
        <v>0.06</v>
      </c>
      <c r="D57" s="407">
        <v>0.04</v>
      </c>
      <c r="E57" s="407">
        <v>0.03</v>
      </c>
    </row>
    <row r="58" spans="1:5" ht="15" x14ac:dyDescent="0.35">
      <c r="A58" s="3" t="s">
        <v>459</v>
      </c>
      <c r="B58" s="3" t="s">
        <v>453</v>
      </c>
      <c r="C58" s="407">
        <v>0.08</v>
      </c>
      <c r="D58" s="407">
        <v>0.05</v>
      </c>
      <c r="E58" s="407">
        <v>0.03</v>
      </c>
    </row>
    <row r="59" spans="1:5" ht="15" x14ac:dyDescent="0.35">
      <c r="A59" s="3" t="s">
        <v>459</v>
      </c>
      <c r="B59" s="3" t="s">
        <v>74</v>
      </c>
      <c r="C59" s="407">
        <v>0.01</v>
      </c>
      <c r="D59" s="407">
        <v>0.02</v>
      </c>
      <c r="E59" s="407">
        <v>0.03</v>
      </c>
    </row>
    <row r="60" spans="1:5" ht="15" x14ac:dyDescent="0.35">
      <c r="A60" s="3" t="s">
        <v>459</v>
      </c>
      <c r="B60" s="3" t="s">
        <v>73</v>
      </c>
      <c r="C60" s="407">
        <v>0.08</v>
      </c>
      <c r="D60" s="407">
        <v>7.0000000000000007E-2</v>
      </c>
      <c r="E60" s="407">
        <v>0.06</v>
      </c>
    </row>
    <row r="61" spans="1:5" ht="15" x14ac:dyDescent="0.35">
      <c r="A61" s="3" t="s">
        <v>459</v>
      </c>
      <c r="B61" s="3" t="s">
        <v>454</v>
      </c>
      <c r="C61" s="407">
        <v>8</v>
      </c>
      <c r="D61" s="407">
        <v>12</v>
      </c>
      <c r="E61" s="407">
        <v>18</v>
      </c>
    </row>
  </sheetData>
  <pageMargins left="0.7" right="0.7" top="0.75" bottom="0.75" header="0.3" footer="0.3"/>
  <pageSetup paperSize="9" scal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8</vt:i4>
      </vt:variant>
    </vt:vector>
  </HeadingPairs>
  <TitlesOfParts>
    <vt:vector size="19" baseType="lpstr">
      <vt:lpstr>INPUT</vt:lpstr>
      <vt:lpstr>RATIOS</vt:lpstr>
      <vt:lpstr>ALTMAN Z-SCORE</vt:lpstr>
      <vt:lpstr>BENEISH M-SCORE</vt:lpstr>
      <vt:lpstr>DCF</vt:lpstr>
      <vt:lpstr>COMPARABLES</vt:lpstr>
      <vt:lpstr>SCENARIOS</vt:lpstr>
      <vt:lpstr>DASHBOARD</vt:lpstr>
      <vt:lpstr>DASHBOARD 2</vt:lpstr>
      <vt:lpstr>STOCK_DATA</vt:lpstr>
      <vt:lpstr>SECTOR_REF</vt:lpstr>
      <vt:lpstr>'ALTMAN Z-SCORE'!Zone_d_impression</vt:lpstr>
      <vt:lpstr>'BENEISH M-SCORE'!Zone_d_impression</vt:lpstr>
      <vt:lpstr>COMPARABLES!Zone_d_impression</vt:lpstr>
      <vt:lpstr>DASHBOARD!Zone_d_impression</vt:lpstr>
      <vt:lpstr>DCF!Zone_d_impression</vt:lpstr>
      <vt:lpstr>INPUT!Zone_d_impression</vt:lpstr>
      <vt:lpstr>RATIOS!Zone_d_impression</vt:lpstr>
      <vt:lpstr>SCENARIOS!Zone_d_impression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Baptiste jeh</dc:creator>
  <cp:lastModifiedBy>Baptiste jeh</cp:lastModifiedBy>
  <cp:lastPrinted>2026-03-07T11:51:18Z</cp:lastPrinted>
  <dcterms:created xsi:type="dcterms:W3CDTF">2026-03-05T17:41:12Z</dcterms:created>
  <dcterms:modified xsi:type="dcterms:W3CDTF">2026-03-14T16:25:51Z</dcterms:modified>
</cp:coreProperties>
</file>