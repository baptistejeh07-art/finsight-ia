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pti\Downloads\"/>
    </mc:Choice>
  </mc:AlternateContent>
  <xr:revisionPtr revIDLastSave="0" documentId="13_ncr:1_{7C5606FF-F8CE-4F54-A7E4-DFBB27952CD0}" xr6:coauthVersionLast="47" xr6:coauthVersionMax="47" xr10:uidLastSave="{00000000-0000-0000-0000-000000000000}"/>
  <bookViews>
    <workbookView xWindow="-120" yWindow="-120" windowWidth="29040" windowHeight="15720" tabRatio="701" xr2:uid="{00000000-000D-0000-FFFF-FFFF00000000}"/>
  </bookViews>
  <sheets>
    <sheet name="INPUT" sheetId="1" r:id="rId1"/>
    <sheet name="RATIOS" sheetId="2" r:id="rId2"/>
    <sheet name="DCF" sheetId="5" r:id="rId3"/>
    <sheet name="SOTP" sheetId="12" r:id="rId4"/>
    <sheet name="COMPARABLES" sheetId="6" r:id="rId5"/>
    <sheet name="SCENARIOS" sheetId="7" r:id="rId6"/>
    <sheet name="DASHBOARD" sheetId="8" r:id="rId7"/>
    <sheet name="DASHBOARD 2" sheetId="9" r:id="rId8"/>
    <sheet name="STOCK_DATA" sheetId="10" state="hidden" r:id="rId9"/>
    <sheet name="SECTOR_REF" sheetId="11" state="hidden" r:id="rId10"/>
  </sheets>
  <definedNames>
    <definedName name="_xlnm.Print_Area" localSheetId="4">COMPARABLES!$A$1:$L$45</definedName>
    <definedName name="_xlnm.Print_Area" localSheetId="6">DASHBOARD!$A$1:$N$95</definedName>
    <definedName name="_xlnm.Print_Area" localSheetId="7">'DASHBOARD 2'!$A$1:$P$107</definedName>
    <definedName name="_xlnm.Print_Area" localSheetId="2">DCF!$A$1:$L$118</definedName>
    <definedName name="_xlnm.Print_Area" localSheetId="0">INPUT!$A$1:$H$126</definedName>
    <definedName name="_xlnm.Print_Area" localSheetId="1">RATIOS!$A$1:$H$72</definedName>
    <definedName name="_xlnm.Print_Area" localSheetId="5">SCENARIOS!$A$1:$I$54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2" l="1"/>
  <c r="D99" i="2"/>
  <c r="E87" i="2"/>
  <c r="F87" i="2"/>
  <c r="F93" i="2" s="1"/>
  <c r="G87" i="2"/>
  <c r="E88" i="2"/>
  <c r="F88" i="2"/>
  <c r="G88" i="2"/>
  <c r="E89" i="2"/>
  <c r="F89" i="2"/>
  <c r="G89" i="2"/>
  <c r="E90" i="2"/>
  <c r="F90" i="2"/>
  <c r="G90" i="2"/>
  <c r="E93" i="2"/>
  <c r="G93" i="2"/>
  <c r="E94" i="2"/>
  <c r="F94" i="2"/>
  <c r="G94" i="2"/>
  <c r="E95" i="2"/>
  <c r="F95" i="2"/>
  <c r="G95" i="2"/>
  <c r="E96" i="2"/>
  <c r="F96" i="2"/>
  <c r="G96" i="2"/>
  <c r="E104" i="2"/>
  <c r="F104" i="2"/>
  <c r="G104" i="2"/>
  <c r="E105" i="2"/>
  <c r="F105" i="2"/>
  <c r="G105" i="2"/>
  <c r="E106" i="2"/>
  <c r="F106" i="2"/>
  <c r="G106" i="2"/>
  <c r="E110" i="2"/>
  <c r="F110" i="2"/>
  <c r="G110" i="2"/>
  <c r="E111" i="2"/>
  <c r="F111" i="2"/>
  <c r="G111" i="2"/>
  <c r="E112" i="2"/>
  <c r="F112" i="2"/>
  <c r="G112" i="2"/>
  <c r="K68" i="8"/>
  <c r="J68" i="8"/>
  <c r="K71" i="8"/>
  <c r="J71" i="8"/>
  <c r="E70" i="8"/>
  <c r="E68" i="8"/>
  <c r="E66" i="8"/>
  <c r="E65" i="8"/>
  <c r="E64" i="8"/>
  <c r="E62" i="8"/>
  <c r="T60" i="8"/>
  <c r="D70" i="8"/>
  <c r="D68" i="8"/>
  <c r="D66" i="8"/>
  <c r="D65" i="8"/>
  <c r="D64" i="8"/>
  <c r="D62" i="8"/>
  <c r="S60" i="8"/>
  <c r="E60" i="8"/>
  <c r="D60" i="8"/>
  <c r="G80" i="2"/>
  <c r="D44" i="8"/>
  <c r="D48" i="8"/>
  <c r="D46" i="8"/>
  <c r="C55" i="8"/>
  <c r="C56" i="8"/>
  <c r="J72" i="8"/>
  <c r="J70" i="8"/>
  <c r="J69" i="8"/>
  <c r="J65" i="8"/>
  <c r="J63" i="8"/>
  <c r="J62" i="8"/>
  <c r="J60" i="8"/>
  <c r="K60" i="8"/>
  <c r="K72" i="8"/>
  <c r="K70" i="8"/>
  <c r="K69" i="8"/>
  <c r="D89" i="5"/>
  <c r="F16" i="12"/>
  <c r="F12" i="7" a="1"/>
  <c r="F12" i="7" s="1"/>
  <c r="F11" i="7" a="1"/>
  <c r="F11" i="7" s="1"/>
  <c r="F10" i="7" a="1"/>
  <c r="F10" i="7" s="1"/>
  <c r="F9" i="7" a="1"/>
  <c r="F9" i="7" s="1"/>
  <c r="F8" i="7" a="1"/>
  <c r="F8" i="7" s="1"/>
  <c r="E12" i="7" a="1"/>
  <c r="E12" i="7" s="1"/>
  <c r="E11" i="7" a="1"/>
  <c r="E11" i="7" s="1"/>
  <c r="E10" i="7" a="1"/>
  <c r="E10" i="7" s="1"/>
  <c r="E9" i="7" a="1"/>
  <c r="E9" i="7" s="1"/>
  <c r="E8" i="7" a="1"/>
  <c r="E8" i="7" s="1"/>
  <c r="C58" i="7" s="1"/>
  <c r="D12" i="7" a="1"/>
  <c r="D12" i="7" s="1"/>
  <c r="D11" i="7" a="1"/>
  <c r="D11" i="7" s="1"/>
  <c r="D10" i="7" a="1"/>
  <c r="D10" i="7" s="1"/>
  <c r="D9" i="7" a="1"/>
  <c r="D9" i="7" s="1"/>
  <c r="D8" i="7" a="1"/>
  <c r="D8" i="7" s="1"/>
  <c r="E42" i="5"/>
  <c r="D45" i="5" s="1"/>
  <c r="I29" i="5" s="1"/>
  <c r="I34" i="5"/>
  <c r="I33" i="5"/>
  <c r="I32" i="5"/>
  <c r="I31" i="5"/>
  <c r="H50" i="5"/>
  <c r="G50" i="5"/>
  <c r="F50" i="5"/>
  <c r="E50" i="5"/>
  <c r="H61" i="2"/>
  <c r="G61" i="2"/>
  <c r="F61" i="2"/>
  <c r="E61" i="2"/>
  <c r="F22" i="12"/>
  <c r="F20" i="12"/>
  <c r="F10" i="12"/>
  <c r="F9" i="12"/>
  <c r="F8" i="12"/>
  <c r="F7" i="12"/>
  <c r="F6" i="12"/>
  <c r="B57" i="6"/>
  <c r="B56" i="6"/>
  <c r="F128" i="1"/>
  <c r="G128" i="1" s="1"/>
  <c r="P106" i="9"/>
  <c r="J107" i="9"/>
  <c r="P105" i="9"/>
  <c r="J106" i="9"/>
  <c r="G108" i="9"/>
  <c r="F108" i="9"/>
  <c r="E108" i="9"/>
  <c r="D108" i="9"/>
  <c r="C108" i="9"/>
  <c r="P104" i="9"/>
  <c r="J105" i="9"/>
  <c r="C107" i="9"/>
  <c r="J104" i="9"/>
  <c r="P103" i="9" s="1"/>
  <c r="C106" i="9"/>
  <c r="T15" i="9"/>
  <c r="S15" i="9"/>
  <c r="R15" i="9"/>
  <c r="Q15" i="9"/>
  <c r="P15" i="9"/>
  <c r="T14" i="9"/>
  <c r="S14" i="9"/>
  <c r="R14" i="9"/>
  <c r="Q14" i="9"/>
  <c r="P14" i="9"/>
  <c r="T12" i="9"/>
  <c r="S12" i="9"/>
  <c r="R12" i="9"/>
  <c r="Q12" i="9"/>
  <c r="P12" i="9"/>
  <c r="T11" i="9"/>
  <c r="S11" i="9"/>
  <c r="R11" i="9"/>
  <c r="Q11" i="9"/>
  <c r="P11" i="9"/>
  <c r="P8" i="9"/>
  <c r="S7" i="9"/>
  <c r="G107" i="9" s="1"/>
  <c r="R7" i="9"/>
  <c r="F107" i="9" s="1"/>
  <c r="Q7" i="9"/>
  <c r="E107" i="9" s="1"/>
  <c r="P7" i="9"/>
  <c r="D107" i="9" s="1"/>
  <c r="S5" i="9"/>
  <c r="R5" i="9"/>
  <c r="M103" i="9" s="1"/>
  <c r="S92" i="9" s="1"/>
  <c r="Q5" i="9"/>
  <c r="L104" i="9" s="1"/>
  <c r="R92" i="9" s="1"/>
  <c r="P5" i="9"/>
  <c r="D106" i="9" s="1"/>
  <c r="D12" i="9"/>
  <c r="I11" i="9"/>
  <c r="D11" i="9"/>
  <c r="K10" i="9"/>
  <c r="X89" i="9" s="1"/>
  <c r="I10" i="9"/>
  <c r="V89" i="9" s="1"/>
  <c r="D10" i="9"/>
  <c r="K9" i="9"/>
  <c r="X88" i="9" s="1"/>
  <c r="I9" i="9"/>
  <c r="V88" i="9" s="1"/>
  <c r="D9" i="9"/>
  <c r="K8" i="9"/>
  <c r="X87" i="9" s="1"/>
  <c r="I8" i="9"/>
  <c r="V87" i="9" s="1"/>
  <c r="D8" i="9"/>
  <c r="K7" i="9"/>
  <c r="X86" i="9" s="1"/>
  <c r="I7" i="9"/>
  <c r="V86" i="9" s="1"/>
  <c r="D7" i="9"/>
  <c r="K6" i="9"/>
  <c r="X85" i="9" s="1"/>
  <c r="I6" i="9"/>
  <c r="V85" i="9" s="1"/>
  <c r="R1" i="9"/>
  <c r="N95" i="8"/>
  <c r="M95" i="8"/>
  <c r="L95" i="8"/>
  <c r="K95" i="8"/>
  <c r="J95" i="8"/>
  <c r="N94" i="8"/>
  <c r="M94" i="8"/>
  <c r="L94" i="8"/>
  <c r="K94" i="8"/>
  <c r="J94" i="8"/>
  <c r="N93" i="8"/>
  <c r="M93" i="8"/>
  <c r="L93" i="8"/>
  <c r="K93" i="8"/>
  <c r="J93" i="8"/>
  <c r="N92" i="8"/>
  <c r="M92" i="8"/>
  <c r="L92" i="8"/>
  <c r="K92" i="8"/>
  <c r="J92" i="8"/>
  <c r="N91" i="8"/>
  <c r="M91" i="8"/>
  <c r="L91" i="8"/>
  <c r="K91" i="8"/>
  <c r="J91" i="8"/>
  <c r="H90" i="8"/>
  <c r="G90" i="8"/>
  <c r="F92" i="8"/>
  <c r="E92" i="8"/>
  <c r="D92" i="8"/>
  <c r="J89" i="8"/>
  <c r="H89" i="8"/>
  <c r="G89" i="8"/>
  <c r="F91" i="8"/>
  <c r="E91" i="8"/>
  <c r="D91" i="8"/>
  <c r="J88" i="8"/>
  <c r="J87" i="8"/>
  <c r="N86" i="8"/>
  <c r="M86" i="8"/>
  <c r="L86" i="8"/>
  <c r="K86" i="8"/>
  <c r="J86" i="8"/>
  <c r="G83" i="8"/>
  <c r="F85" i="8"/>
  <c r="E85" i="8"/>
  <c r="D85" i="8"/>
  <c r="C85" i="8"/>
  <c r="M82" i="8"/>
  <c r="L82" i="8"/>
  <c r="K82" i="8"/>
  <c r="J82" i="8"/>
  <c r="I82" i="8"/>
  <c r="G82" i="8"/>
  <c r="F84" i="8"/>
  <c r="E84" i="8"/>
  <c r="D84" i="8"/>
  <c r="C84" i="8"/>
  <c r="K63" i="8"/>
  <c r="J46" i="8"/>
  <c r="I46" i="8"/>
  <c r="C46" i="8"/>
  <c r="J44" i="8"/>
  <c r="I44" i="8"/>
  <c r="C44" i="8"/>
  <c r="B4" i="8"/>
  <c r="G61" i="7"/>
  <c r="F61" i="7"/>
  <c r="E61" i="7"/>
  <c r="D61" i="7"/>
  <c r="C61" i="7"/>
  <c r="G56" i="7"/>
  <c r="F56" i="7"/>
  <c r="E56" i="7"/>
  <c r="D56" i="7"/>
  <c r="C56" i="7"/>
  <c r="H43" i="7"/>
  <c r="G43" i="7"/>
  <c r="F43" i="7"/>
  <c r="E43" i="7"/>
  <c r="D43" i="7"/>
  <c r="H37" i="7"/>
  <c r="G37" i="7"/>
  <c r="F37" i="7"/>
  <c r="E37" i="7"/>
  <c r="D37" i="7"/>
  <c r="B34" i="7"/>
  <c r="E32" i="7"/>
  <c r="D32" i="7"/>
  <c r="G16" i="7"/>
  <c r="F16" i="7"/>
  <c r="E16" i="7"/>
  <c r="D16" i="7"/>
  <c r="L15" i="7"/>
  <c r="K15" i="7"/>
  <c r="J15" i="7"/>
  <c r="I15" i="7"/>
  <c r="H15" i="7"/>
  <c r="G15" i="7"/>
  <c r="F15" i="7"/>
  <c r="E15" i="7"/>
  <c r="D15" i="7"/>
  <c r="D13" i="7"/>
  <c r="M5" i="7"/>
  <c r="L5" i="7"/>
  <c r="K5" i="7"/>
  <c r="J5" i="7"/>
  <c r="I5" i="7"/>
  <c r="H5" i="7"/>
  <c r="G5" i="7"/>
  <c r="F5" i="7"/>
  <c r="E5" i="7"/>
  <c r="K57" i="6"/>
  <c r="K56" i="6"/>
  <c r="K55" i="6"/>
  <c r="B53" i="6"/>
  <c r="C52" i="6"/>
  <c r="B52" i="6"/>
  <c r="B51" i="6"/>
  <c r="B50" i="6"/>
  <c r="B49" i="6"/>
  <c r="B48" i="6"/>
  <c r="G37" i="6"/>
  <c r="F37" i="6"/>
  <c r="E37" i="6"/>
  <c r="D37" i="6"/>
  <c r="D26" i="6"/>
  <c r="D22" i="6"/>
  <c r="D21" i="6"/>
  <c r="J18" i="6"/>
  <c r="G18" i="6"/>
  <c r="F18" i="6"/>
  <c r="E18" i="6"/>
  <c r="D18" i="6"/>
  <c r="J17" i="6"/>
  <c r="G17" i="6"/>
  <c r="F17" i="6"/>
  <c r="E17" i="6"/>
  <c r="D17" i="6"/>
  <c r="J16" i="6"/>
  <c r="G16" i="6"/>
  <c r="F16" i="6"/>
  <c r="E16" i="6"/>
  <c r="D16" i="6"/>
  <c r="J15" i="6"/>
  <c r="G15" i="6"/>
  <c r="F15" i="6"/>
  <c r="E15" i="6"/>
  <c r="D15" i="6"/>
  <c r="K13" i="6"/>
  <c r="E52" i="6" s="1"/>
  <c r="I13" i="6"/>
  <c r="D52" i="6" s="1"/>
  <c r="H13" i="6"/>
  <c r="K12" i="6"/>
  <c r="E51" i="6" s="1"/>
  <c r="I12" i="6"/>
  <c r="D51" i="6" s="1"/>
  <c r="H12" i="6"/>
  <c r="C51" i="6" s="1"/>
  <c r="K11" i="6"/>
  <c r="E50" i="6" s="1"/>
  <c r="I11" i="6"/>
  <c r="D50" i="6" s="1"/>
  <c r="H11" i="6"/>
  <c r="C50" i="6" s="1"/>
  <c r="K10" i="6"/>
  <c r="E49" i="6" s="1"/>
  <c r="I10" i="6"/>
  <c r="D49" i="6" s="1"/>
  <c r="H10" i="6"/>
  <c r="K9" i="6"/>
  <c r="I9" i="6"/>
  <c r="H9" i="6"/>
  <c r="C48" i="6" s="1"/>
  <c r="G120" i="5"/>
  <c r="F120" i="5"/>
  <c r="E120" i="5"/>
  <c r="D120" i="5"/>
  <c r="C120" i="5"/>
  <c r="D95" i="5"/>
  <c r="N95" i="5" s="1"/>
  <c r="D93" i="5"/>
  <c r="N93" i="5" s="1"/>
  <c r="D90" i="5"/>
  <c r="N90" i="5" s="1"/>
  <c r="D76" i="5"/>
  <c r="D70" i="5"/>
  <c r="D64" i="5"/>
  <c r="N64" i="5" s="1"/>
  <c r="D63" i="5"/>
  <c r="D62" i="5"/>
  <c r="N62" i="5" s="1"/>
  <c r="D61" i="5"/>
  <c r="N61" i="5" s="1"/>
  <c r="D58" i="5"/>
  <c r="N58" i="5" s="1"/>
  <c r="D57" i="5"/>
  <c r="D56" i="5"/>
  <c r="N56" i="5" s="1"/>
  <c r="I38" i="5"/>
  <c r="K38" i="5" s="1"/>
  <c r="D38" i="5"/>
  <c r="I37" i="5"/>
  <c r="F37" i="5" s="1"/>
  <c r="D37" i="5"/>
  <c r="D34" i="5"/>
  <c r="D33" i="5"/>
  <c r="D32" i="5"/>
  <c r="D31" i="5"/>
  <c r="D29" i="5"/>
  <c r="E110" i="5" s="1"/>
  <c r="H20" i="5"/>
  <c r="G20" i="5"/>
  <c r="F20" i="5"/>
  <c r="E20" i="5"/>
  <c r="D20" i="5"/>
  <c r="H17" i="5"/>
  <c r="H49" i="5" s="1"/>
  <c r="G17" i="5"/>
  <c r="G49" i="5" s="1"/>
  <c r="F17" i="5"/>
  <c r="F49" i="5" s="1"/>
  <c r="E17" i="5"/>
  <c r="E49" i="5" s="1"/>
  <c r="D17" i="5"/>
  <c r="H14" i="5"/>
  <c r="G14" i="5"/>
  <c r="F14" i="5"/>
  <c r="E14" i="5"/>
  <c r="D14" i="5"/>
  <c r="H13" i="5"/>
  <c r="G13" i="5"/>
  <c r="F13" i="5"/>
  <c r="E13" i="5"/>
  <c r="D13" i="5"/>
  <c r="H10" i="5"/>
  <c r="G10" i="5"/>
  <c r="F10" i="5"/>
  <c r="E10" i="5"/>
  <c r="D10" i="5"/>
  <c r="H9" i="5"/>
  <c r="G9" i="5"/>
  <c r="F9" i="5"/>
  <c r="E9" i="5"/>
  <c r="D9" i="5"/>
  <c r="M5" i="5"/>
  <c r="L5" i="5"/>
  <c r="K5" i="5"/>
  <c r="J5" i="5"/>
  <c r="I5" i="5"/>
  <c r="H5" i="5"/>
  <c r="G5" i="5"/>
  <c r="F5" i="5"/>
  <c r="E5" i="5"/>
  <c r="D5" i="5"/>
  <c r="H105" i="2"/>
  <c r="D96" i="2"/>
  <c r="D95" i="2"/>
  <c r="D94" i="2"/>
  <c r="D93" i="2"/>
  <c r="H90" i="2"/>
  <c r="H96" i="2" s="1"/>
  <c r="D90" i="2"/>
  <c r="H89" i="2"/>
  <c r="H95" i="2" s="1"/>
  <c r="D89" i="2"/>
  <c r="H88" i="2"/>
  <c r="H94" i="2" s="1"/>
  <c r="D88" i="2"/>
  <c r="H87" i="2"/>
  <c r="H93" i="2" s="1"/>
  <c r="D87" i="2"/>
  <c r="D84" i="2"/>
  <c r="D83" i="2"/>
  <c r="D82" i="2"/>
  <c r="H80" i="2"/>
  <c r="H99" i="2" s="1"/>
  <c r="R5" i="8"/>
  <c r="F80" i="2"/>
  <c r="R4" i="8" s="1"/>
  <c r="E80" i="2"/>
  <c r="E99" i="2" s="1"/>
  <c r="D80" i="2"/>
  <c r="H77" i="2"/>
  <c r="R11" i="8" s="1"/>
  <c r="G77" i="2"/>
  <c r="R10" i="8" s="1"/>
  <c r="F77" i="2"/>
  <c r="R9" i="8" s="1"/>
  <c r="E77" i="2"/>
  <c r="R8" i="8" s="1"/>
  <c r="D77" i="2"/>
  <c r="D76" i="2"/>
  <c r="H55" i="2"/>
  <c r="G55" i="2"/>
  <c r="F55" i="2"/>
  <c r="E55" i="2"/>
  <c r="D55" i="2"/>
  <c r="H44" i="2"/>
  <c r="G44" i="2"/>
  <c r="F44" i="2"/>
  <c r="E44" i="2"/>
  <c r="H5" i="2"/>
  <c r="G5" i="2"/>
  <c r="F5" i="2"/>
  <c r="E5" i="2"/>
  <c r="D128" i="1"/>
  <c r="H108" i="1"/>
  <c r="D108" i="1"/>
  <c r="H97" i="1"/>
  <c r="H98" i="1" s="1"/>
  <c r="G97" i="1"/>
  <c r="G98" i="1" s="1"/>
  <c r="F97" i="1"/>
  <c r="F98" i="1" s="1"/>
  <c r="E97" i="1"/>
  <c r="E98" i="1" s="1"/>
  <c r="D97" i="1"/>
  <c r="H86" i="1"/>
  <c r="G86" i="1"/>
  <c r="F86" i="1"/>
  <c r="E86" i="1"/>
  <c r="D86" i="1"/>
  <c r="H80" i="1"/>
  <c r="G80" i="1"/>
  <c r="F80" i="1"/>
  <c r="E80" i="1"/>
  <c r="D80" i="1"/>
  <c r="H70" i="1"/>
  <c r="H51" i="5" s="1"/>
  <c r="G70" i="1"/>
  <c r="G51" i="5" s="1"/>
  <c r="F70" i="1"/>
  <c r="F51" i="5" s="1"/>
  <c r="E70" i="1"/>
  <c r="E51" i="5" s="1"/>
  <c r="D70" i="1"/>
  <c r="H60" i="1"/>
  <c r="G60" i="1"/>
  <c r="F60" i="1"/>
  <c r="E60" i="1"/>
  <c r="D60" i="1"/>
  <c r="H51" i="1"/>
  <c r="G51" i="1"/>
  <c r="G31" i="2" s="1"/>
  <c r="F51" i="1"/>
  <c r="E51" i="1"/>
  <c r="E31" i="2" s="1"/>
  <c r="D51" i="1"/>
  <c r="D55" i="1" s="1"/>
  <c r="H38" i="1"/>
  <c r="G38" i="1"/>
  <c r="F38" i="1"/>
  <c r="F29" i="2" s="1"/>
  <c r="E38" i="1"/>
  <c r="D38" i="1"/>
  <c r="H13" i="1"/>
  <c r="I48" i="8" s="1"/>
  <c r="G13" i="1"/>
  <c r="F13" i="1"/>
  <c r="E13" i="1"/>
  <c r="D13" i="1"/>
  <c r="H11" i="1"/>
  <c r="G11" i="1"/>
  <c r="F17" i="7" s="1"/>
  <c r="F11" i="1"/>
  <c r="E11" i="1"/>
  <c r="Q13" i="9" s="1"/>
  <c r="D11" i="1"/>
  <c r="D19" i="2" s="1"/>
  <c r="E63" i="8" l="1"/>
  <c r="E67" i="8" s="1"/>
  <c r="D63" i="8"/>
  <c r="D67" i="8" s="1"/>
  <c r="I9" i="5"/>
  <c r="I30" i="5"/>
  <c r="G29" i="2"/>
  <c r="D30" i="2"/>
  <c r="E55" i="1"/>
  <c r="E32" i="2" s="1"/>
  <c r="E38" i="5"/>
  <c r="D65" i="5"/>
  <c r="N65" i="5" s="1"/>
  <c r="G55" i="1"/>
  <c r="G32" i="2" s="1"/>
  <c r="G17" i="1"/>
  <c r="G19" i="1" s="1"/>
  <c r="G22" i="1" s="1"/>
  <c r="F11" i="12"/>
  <c r="G10" i="12" s="1"/>
  <c r="K44" i="8"/>
  <c r="L44" i="8" s="1"/>
  <c r="G11" i="5"/>
  <c r="H11" i="5"/>
  <c r="E37" i="5"/>
  <c r="G101" i="2"/>
  <c r="H29" i="2"/>
  <c r="C48" i="8"/>
  <c r="K46" i="8"/>
  <c r="L46" i="8" s="1"/>
  <c r="N63" i="5"/>
  <c r="J48" i="8"/>
  <c r="K48" i="8" s="1"/>
  <c r="L48" i="8" s="1"/>
  <c r="H55" i="1"/>
  <c r="H63" i="1" s="1"/>
  <c r="H15" i="6"/>
  <c r="C53" i="6" s="1"/>
  <c r="H31" i="2"/>
  <c r="H101" i="2"/>
  <c r="F65" i="2"/>
  <c r="E106" i="9"/>
  <c r="H30" i="2"/>
  <c r="G65" i="2"/>
  <c r="H65" i="2"/>
  <c r="M37" i="5"/>
  <c r="H11" i="2"/>
  <c r="D44" i="1"/>
  <c r="D40" i="2" s="1"/>
  <c r="D11" i="5"/>
  <c r="J7" i="9"/>
  <c r="W86" i="9" s="1"/>
  <c r="E65" i="2"/>
  <c r="J37" i="5"/>
  <c r="F99" i="2"/>
  <c r="K37" i="5"/>
  <c r="L37" i="5"/>
  <c r="H17" i="6"/>
  <c r="K104" i="9"/>
  <c r="Q92" i="9" s="1"/>
  <c r="G30" i="1"/>
  <c r="G60" i="2" s="1"/>
  <c r="D59" i="5"/>
  <c r="N59" i="5" s="1"/>
  <c r="J10" i="9"/>
  <c r="W89" i="9" s="1"/>
  <c r="G76" i="2"/>
  <c r="E76" i="2"/>
  <c r="S2" i="8"/>
  <c r="F76" i="2"/>
  <c r="G97" i="2"/>
  <c r="T2" i="8"/>
  <c r="H97" i="2"/>
  <c r="G9" i="12"/>
  <c r="D38" i="7"/>
  <c r="C57" i="7"/>
  <c r="D26" i="7"/>
  <c r="G24" i="1"/>
  <c r="G23" i="5" s="1"/>
  <c r="E29" i="2"/>
  <c r="E44" i="1"/>
  <c r="E36" i="2" s="1"/>
  <c r="G110" i="5"/>
  <c r="F110" i="5"/>
  <c r="D110" i="5"/>
  <c r="E30" i="2"/>
  <c r="N57" i="5"/>
  <c r="I17" i="6"/>
  <c r="G30" i="6" s="1"/>
  <c r="I15" i="6"/>
  <c r="D48" i="6"/>
  <c r="I18" i="6"/>
  <c r="D30" i="6" s="1"/>
  <c r="I16" i="6"/>
  <c r="F30" i="6" s="1"/>
  <c r="F55" i="1"/>
  <c r="F31" i="2"/>
  <c r="R3" i="8"/>
  <c r="N103" i="9"/>
  <c r="T92" i="9" s="1"/>
  <c r="G106" i="9"/>
  <c r="S17" i="9"/>
  <c r="U96" i="9" s="1"/>
  <c r="M104" i="9"/>
  <c r="K17" i="6"/>
  <c r="K15" i="6"/>
  <c r="E53" i="6" s="1"/>
  <c r="E48" i="6"/>
  <c r="K18" i="6"/>
  <c r="K16" i="6"/>
  <c r="E112" i="5"/>
  <c r="F112" i="5"/>
  <c r="N70" i="5"/>
  <c r="G112" i="5"/>
  <c r="D112" i="5"/>
  <c r="G63" i="1"/>
  <c r="C59" i="7"/>
  <c r="F26" i="7"/>
  <c r="D40" i="7"/>
  <c r="D46" i="7" s="1"/>
  <c r="G34" i="2"/>
  <c r="G25" i="2"/>
  <c r="G21" i="2"/>
  <c r="C49" i="6"/>
  <c r="J9" i="9"/>
  <c r="W88" i="9" s="1"/>
  <c r="F44" i="1"/>
  <c r="L38" i="5"/>
  <c r="M38" i="5"/>
  <c r="J38" i="5"/>
  <c r="F38" i="5"/>
  <c r="F30" i="2"/>
  <c r="D63" i="1"/>
  <c r="D32" i="2"/>
  <c r="D58" i="7"/>
  <c r="D30" i="5"/>
  <c r="G17" i="7"/>
  <c r="H19" i="2"/>
  <c r="H82" i="2" s="1"/>
  <c r="T13" i="9"/>
  <c r="H17" i="1"/>
  <c r="D98" i="1"/>
  <c r="E26" i="7"/>
  <c r="H16" i="7"/>
  <c r="N87" i="8"/>
  <c r="D17" i="1"/>
  <c r="K62" i="8"/>
  <c r="H44" i="1"/>
  <c r="E17" i="1"/>
  <c r="E19" i="2"/>
  <c r="E82" i="2" s="1"/>
  <c r="K87" i="8"/>
  <c r="P13" i="9"/>
  <c r="H16" i="6"/>
  <c r="H18" i="6"/>
  <c r="J6" i="9"/>
  <c r="W85" i="9" s="1"/>
  <c r="F17" i="1"/>
  <c r="L87" i="8"/>
  <c r="R13" i="9"/>
  <c r="F19" i="2"/>
  <c r="F82" i="2" s="1"/>
  <c r="D17" i="7"/>
  <c r="G19" i="2"/>
  <c r="G82" i="2" s="1"/>
  <c r="S13" i="9"/>
  <c r="M87" i="8"/>
  <c r="D31" i="2"/>
  <c r="D29" i="2"/>
  <c r="E17" i="7"/>
  <c r="D39" i="7"/>
  <c r="D45" i="7" s="1"/>
  <c r="G30" i="2"/>
  <c r="H76" i="2"/>
  <c r="E11" i="5"/>
  <c r="F106" i="9"/>
  <c r="G44" i="1"/>
  <c r="G35" i="2" s="1"/>
  <c r="F11" i="5"/>
  <c r="J8" i="9"/>
  <c r="W87" i="9" s="1"/>
  <c r="G99" i="2"/>
  <c r="E38" i="7" l="1"/>
  <c r="D44" i="7"/>
  <c r="E72" i="8"/>
  <c r="E69" i="8"/>
  <c r="D69" i="8"/>
  <c r="D71" i="8" s="1"/>
  <c r="D72" i="8"/>
  <c r="E71" i="8"/>
  <c r="G6" i="12"/>
  <c r="G7" i="12"/>
  <c r="J9" i="5"/>
  <c r="I17" i="5"/>
  <c r="I14" i="5"/>
  <c r="I13" i="5"/>
  <c r="I10" i="5"/>
  <c r="G33" i="2"/>
  <c r="F27" i="12"/>
  <c r="D25" i="6"/>
  <c r="D34" i="6" s="1"/>
  <c r="G78" i="2"/>
  <c r="E63" i="1"/>
  <c r="S93" i="9"/>
  <c r="D66" i="5"/>
  <c r="C103" i="5" s="1"/>
  <c r="O98" i="5" s="1"/>
  <c r="G8" i="12"/>
  <c r="H32" i="2"/>
  <c r="F15" i="12"/>
  <c r="F21" i="7"/>
  <c r="D28" i="12"/>
  <c r="N89" i="5"/>
  <c r="F29" i="12"/>
  <c r="D35" i="2"/>
  <c r="M88" i="8"/>
  <c r="F78" i="2"/>
  <c r="F28" i="12"/>
  <c r="F18" i="7"/>
  <c r="G26" i="1"/>
  <c r="D36" i="2"/>
  <c r="G15" i="5"/>
  <c r="G18" i="5" s="1"/>
  <c r="G63" i="2"/>
  <c r="G20" i="2"/>
  <c r="G83" i="2" s="1"/>
  <c r="G84" i="8"/>
  <c r="F30" i="1"/>
  <c r="F33" i="2" s="1"/>
  <c r="F25" i="2"/>
  <c r="F21" i="2"/>
  <c r="F19" i="1"/>
  <c r="F22" i="1" s="1"/>
  <c r="F34" i="2"/>
  <c r="D34" i="2"/>
  <c r="D19" i="1"/>
  <c r="D22" i="1" s="1"/>
  <c r="D25" i="2"/>
  <c r="D21" i="2"/>
  <c r="D30" i="1"/>
  <c r="I16" i="7"/>
  <c r="H17" i="7"/>
  <c r="H35" i="2"/>
  <c r="H40" i="2"/>
  <c r="K65" i="8"/>
  <c r="H48" i="2"/>
  <c r="F32" i="7"/>
  <c r="D53" i="6"/>
  <c r="E30" i="6"/>
  <c r="G34" i="6"/>
  <c r="E34" i="6"/>
  <c r="F34" i="6"/>
  <c r="D59" i="7"/>
  <c r="F63" i="1"/>
  <c r="F35" i="2"/>
  <c r="F32" i="2"/>
  <c r="H30" i="1"/>
  <c r="H25" i="2"/>
  <c r="H112" i="2" s="1"/>
  <c r="H21" i="2"/>
  <c r="H19" i="1"/>
  <c r="H22" i="1" s="1"/>
  <c r="H34" i="2"/>
  <c r="E39" i="7"/>
  <c r="E45" i="7" s="1"/>
  <c r="E40" i="7"/>
  <c r="E46" i="7" s="1"/>
  <c r="D57" i="7"/>
  <c r="G40" i="2"/>
  <c r="G48" i="2"/>
  <c r="G22" i="2"/>
  <c r="G84" i="2" s="1"/>
  <c r="T10" i="8" s="1"/>
  <c r="G36" i="2"/>
  <c r="E25" i="2"/>
  <c r="E19" i="1"/>
  <c r="E22" i="1" s="1"/>
  <c r="E34" i="2"/>
  <c r="E21" i="2"/>
  <c r="E30" i="1"/>
  <c r="E58" i="7"/>
  <c r="F40" i="2"/>
  <c r="F48" i="2"/>
  <c r="F36" i="2"/>
  <c r="H36" i="2"/>
  <c r="E40" i="2"/>
  <c r="E35" i="2"/>
  <c r="E48" i="2"/>
  <c r="F38" i="7" l="1"/>
  <c r="E44" i="7"/>
  <c r="J52" i="8"/>
  <c r="D52" i="8"/>
  <c r="D50" i="8"/>
  <c r="F113" i="5"/>
  <c r="F19" i="7"/>
  <c r="E29" i="12"/>
  <c r="F18" i="12"/>
  <c r="F21" i="12" s="1"/>
  <c r="F23" i="12" s="1"/>
  <c r="J14" i="5"/>
  <c r="J13" i="5"/>
  <c r="J10" i="5"/>
  <c r="K9" i="5"/>
  <c r="J17" i="5"/>
  <c r="G43" i="5"/>
  <c r="G44" i="5"/>
  <c r="C105" i="5"/>
  <c r="Q98" i="5" s="1"/>
  <c r="D71" i="5"/>
  <c r="N71" i="5" s="1"/>
  <c r="N66" i="5"/>
  <c r="D113" i="5"/>
  <c r="E113" i="5"/>
  <c r="C101" i="5"/>
  <c r="M99" i="5" s="1"/>
  <c r="C102" i="5"/>
  <c r="N99" i="5" s="1"/>
  <c r="M106" i="9"/>
  <c r="G113" i="5"/>
  <c r="C104" i="5"/>
  <c r="P98" i="5" s="1"/>
  <c r="D27" i="12"/>
  <c r="E28" i="12"/>
  <c r="E27" i="12"/>
  <c r="D29" i="12"/>
  <c r="F60" i="2"/>
  <c r="G56" i="2"/>
  <c r="G69" i="1"/>
  <c r="G75" i="1" s="1"/>
  <c r="G53" i="2" s="1"/>
  <c r="S19" i="9"/>
  <c r="U98" i="9" s="1"/>
  <c r="G85" i="8"/>
  <c r="G24" i="2"/>
  <c r="F79" i="2"/>
  <c r="S9" i="8" s="1"/>
  <c r="M89" i="8"/>
  <c r="J50" i="8"/>
  <c r="G23" i="2"/>
  <c r="G79" i="2"/>
  <c r="S10" i="8" s="1"/>
  <c r="E20" i="2"/>
  <c r="E63" i="2"/>
  <c r="E60" i="2"/>
  <c r="H63" i="2"/>
  <c r="H20" i="2"/>
  <c r="H83" i="2" s="1"/>
  <c r="H10" i="2"/>
  <c r="H60" i="2"/>
  <c r="D56" i="8"/>
  <c r="G21" i="5"/>
  <c r="G24" i="5" s="1"/>
  <c r="F63" i="2"/>
  <c r="F20" i="2"/>
  <c r="F83" i="2" s="1"/>
  <c r="F39" i="7"/>
  <c r="F45" i="7" s="1"/>
  <c r="E57" i="7"/>
  <c r="D15" i="5"/>
  <c r="D86" i="8"/>
  <c r="Q8" i="9"/>
  <c r="D20" i="2"/>
  <c r="D33" i="2"/>
  <c r="E86" i="8"/>
  <c r="Q17" i="9"/>
  <c r="S96" i="9" s="1"/>
  <c r="R8" i="9"/>
  <c r="E45" i="2"/>
  <c r="K88" i="8"/>
  <c r="Q93" i="9"/>
  <c r="K105" i="9"/>
  <c r="E83" i="2"/>
  <c r="D78" i="2"/>
  <c r="E15" i="5"/>
  <c r="E18" i="5" s="1"/>
  <c r="D21" i="7"/>
  <c r="P17" i="9"/>
  <c r="D18" i="7"/>
  <c r="E33" i="2"/>
  <c r="T93" i="9"/>
  <c r="T17" i="9"/>
  <c r="V96" i="9" s="1"/>
  <c r="N104" i="9"/>
  <c r="G18" i="7"/>
  <c r="H15" i="5"/>
  <c r="H45" i="2"/>
  <c r="N88" i="8"/>
  <c r="H84" i="8"/>
  <c r="H78" i="2"/>
  <c r="E64" i="7"/>
  <c r="D23" i="6"/>
  <c r="G21" i="7"/>
  <c r="H33" i="2"/>
  <c r="D24" i="1"/>
  <c r="D23" i="5" s="1"/>
  <c r="F24" i="1"/>
  <c r="F23" i="5" s="1"/>
  <c r="F40" i="7"/>
  <c r="F46" i="7" s="1"/>
  <c r="E59" i="7"/>
  <c r="E24" i="1"/>
  <c r="E23" i="5" s="1"/>
  <c r="E78" i="2"/>
  <c r="R93" i="9"/>
  <c r="F86" i="8"/>
  <c r="R17" i="9"/>
  <c r="T96" i="9" s="1"/>
  <c r="S8" i="9"/>
  <c r="L105" i="9"/>
  <c r="E18" i="7"/>
  <c r="F15" i="5"/>
  <c r="F18" i="5" s="1"/>
  <c r="F45" i="2"/>
  <c r="L88" i="8"/>
  <c r="E21" i="7"/>
  <c r="G45" i="2"/>
  <c r="H24" i="1"/>
  <c r="H23" i="5" s="1"/>
  <c r="H26" i="1"/>
  <c r="H12" i="2" s="1"/>
  <c r="F58" i="7"/>
  <c r="I17" i="7"/>
  <c r="J16" i="7"/>
  <c r="G38" i="7" l="1"/>
  <c r="F44" i="7"/>
  <c r="M105" i="9"/>
  <c r="D78" i="5"/>
  <c r="J78" i="5"/>
  <c r="K78" i="5"/>
  <c r="L9" i="5"/>
  <c r="K17" i="5"/>
  <c r="K14" i="5"/>
  <c r="K13" i="5"/>
  <c r="K10" i="5"/>
  <c r="D26" i="1"/>
  <c r="E26" i="1"/>
  <c r="E46" i="2" s="1"/>
  <c r="L78" i="5"/>
  <c r="M78" i="5"/>
  <c r="G45" i="5"/>
  <c r="G52" i="5" s="1"/>
  <c r="E43" i="5"/>
  <c r="E44" i="5"/>
  <c r="N78" i="5"/>
  <c r="F43" i="5"/>
  <c r="F44" i="5"/>
  <c r="G52" i="2"/>
  <c r="F20" i="7"/>
  <c r="G64" i="2"/>
  <c r="S18" i="9"/>
  <c r="U97" i="9" s="1"/>
  <c r="G15" i="2"/>
  <c r="G89" i="1"/>
  <c r="G91" i="1" s="1"/>
  <c r="G62" i="2"/>
  <c r="S94" i="9"/>
  <c r="I18" i="7"/>
  <c r="I19" i="7" s="1"/>
  <c r="G111" i="5"/>
  <c r="F111" i="5"/>
  <c r="H18" i="5"/>
  <c r="E111" i="5"/>
  <c r="F30" i="7"/>
  <c r="C64" i="7"/>
  <c r="D64" i="7"/>
  <c r="F27" i="7"/>
  <c r="J17" i="7"/>
  <c r="K16" i="7"/>
  <c r="J18" i="7"/>
  <c r="F21" i="5"/>
  <c r="F24" i="5" s="1"/>
  <c r="H85" i="8"/>
  <c r="H24" i="2"/>
  <c r="H111" i="2" s="1"/>
  <c r="I50" i="8"/>
  <c r="K50" i="8" s="1"/>
  <c r="L50" i="8" s="1"/>
  <c r="H46" i="2"/>
  <c r="N106" i="9"/>
  <c r="H69" i="1"/>
  <c r="H75" i="1" s="1"/>
  <c r="H22" i="2"/>
  <c r="H84" i="2" s="1"/>
  <c r="T11" i="8" s="1"/>
  <c r="T19" i="9"/>
  <c r="V98" i="9" s="1"/>
  <c r="I52" i="8"/>
  <c r="K52" i="8" s="1"/>
  <c r="L52" i="8" s="1"/>
  <c r="H56" i="2"/>
  <c r="H23" i="2"/>
  <c r="H110" i="2" s="1"/>
  <c r="H79" i="2"/>
  <c r="S11" i="8" s="1"/>
  <c r="N89" i="8"/>
  <c r="G19" i="7"/>
  <c r="H47" i="2"/>
  <c r="G39" i="7"/>
  <c r="G45" i="7" s="1"/>
  <c r="E21" i="5"/>
  <c r="E24" i="5" s="1"/>
  <c r="E30" i="7"/>
  <c r="D63" i="7"/>
  <c r="C63" i="7"/>
  <c r="E27" i="7"/>
  <c r="E63" i="7"/>
  <c r="H18" i="7"/>
  <c r="F26" i="1"/>
  <c r="D111" i="5"/>
  <c r="D18" i="5"/>
  <c r="P19" i="9"/>
  <c r="E22" i="2"/>
  <c r="E84" i="2" s="1"/>
  <c r="T8" i="8" s="1"/>
  <c r="K107" i="9"/>
  <c r="G54" i="2"/>
  <c r="F59" i="7"/>
  <c r="F64" i="7"/>
  <c r="D22" i="2"/>
  <c r="D56" i="2"/>
  <c r="D87" i="8"/>
  <c r="D24" i="2"/>
  <c r="D23" i="2"/>
  <c r="D69" i="1"/>
  <c r="D75" i="1" s="1"/>
  <c r="D30" i="7"/>
  <c r="C62" i="7"/>
  <c r="D62" i="7"/>
  <c r="D27" i="7"/>
  <c r="G63" i="7"/>
  <c r="G58" i="7"/>
  <c r="E62" i="7"/>
  <c r="F63" i="7"/>
  <c r="G40" i="7"/>
  <c r="G46" i="7" s="1"/>
  <c r="D29" i="6"/>
  <c r="D33" i="6" s="1"/>
  <c r="D35" i="6" s="1"/>
  <c r="D36" i="6" s="1"/>
  <c r="E29" i="6"/>
  <c r="E33" i="6" s="1"/>
  <c r="E35" i="6" s="1"/>
  <c r="E36" i="6" s="1"/>
  <c r="E38" i="6" s="1"/>
  <c r="G29" i="6"/>
  <c r="G33" i="6" s="1"/>
  <c r="G35" i="6" s="1"/>
  <c r="G36" i="6" s="1"/>
  <c r="F29" i="6"/>
  <c r="F33" i="6" s="1"/>
  <c r="F35" i="6" s="1"/>
  <c r="F36" i="6" s="1"/>
  <c r="F62" i="7"/>
  <c r="F57" i="7"/>
  <c r="H38" i="7" l="1"/>
  <c r="H44" i="7" s="1"/>
  <c r="G44" i="7"/>
  <c r="K89" i="8"/>
  <c r="E23" i="2"/>
  <c r="D79" i="2"/>
  <c r="E24" i="2"/>
  <c r="E47" i="2"/>
  <c r="D19" i="7"/>
  <c r="C50" i="8"/>
  <c r="E87" i="8"/>
  <c r="Q19" i="9"/>
  <c r="S98" i="9" s="1"/>
  <c r="E56" i="2"/>
  <c r="Q95" i="9"/>
  <c r="E69" i="1"/>
  <c r="E75" i="1" s="1"/>
  <c r="L10" i="5"/>
  <c r="M9" i="5"/>
  <c r="L17" i="5"/>
  <c r="L14" i="5"/>
  <c r="L13" i="5"/>
  <c r="H43" i="5"/>
  <c r="H44" i="5"/>
  <c r="F45" i="5"/>
  <c r="F52" i="5" s="1"/>
  <c r="E45" i="5"/>
  <c r="E52" i="5" s="1"/>
  <c r="I21" i="7"/>
  <c r="I20" i="7"/>
  <c r="C52" i="8"/>
  <c r="D24" i="6"/>
  <c r="E55" i="8"/>
  <c r="H62" i="2"/>
  <c r="H15" i="2"/>
  <c r="H64" i="2"/>
  <c r="H9" i="2"/>
  <c r="F38" i="6"/>
  <c r="D56" i="6"/>
  <c r="D57" i="6"/>
  <c r="H21" i="5"/>
  <c r="H24" i="5" s="1"/>
  <c r="H20" i="7"/>
  <c r="H19" i="7"/>
  <c r="H21" i="7"/>
  <c r="G62" i="7"/>
  <c r="G57" i="7"/>
  <c r="E29" i="7"/>
  <c r="E28" i="7"/>
  <c r="G59" i="7"/>
  <c r="G64" i="7"/>
  <c r="D21" i="5"/>
  <c r="D24" i="5" s="1"/>
  <c r="H39" i="7"/>
  <c r="D29" i="7"/>
  <c r="D28" i="7"/>
  <c r="J20" i="7"/>
  <c r="J21" i="7"/>
  <c r="J19" i="7"/>
  <c r="L16" i="7"/>
  <c r="K17" i="7"/>
  <c r="K18" i="7"/>
  <c r="J56" i="6"/>
  <c r="G38" i="6"/>
  <c r="E56" i="6"/>
  <c r="J57" i="6"/>
  <c r="E57" i="6"/>
  <c r="J55" i="6"/>
  <c r="D89" i="1"/>
  <c r="D91" i="1" s="1"/>
  <c r="D53" i="2"/>
  <c r="D54" i="2" s="1"/>
  <c r="D52" i="2"/>
  <c r="C57" i="6"/>
  <c r="I56" i="6"/>
  <c r="C56" i="6"/>
  <c r="D38" i="6"/>
  <c r="I57" i="6"/>
  <c r="I55" i="6"/>
  <c r="H40" i="7"/>
  <c r="H46" i="7" s="1"/>
  <c r="T18" i="9"/>
  <c r="V97" i="9" s="1"/>
  <c r="H52" i="2"/>
  <c r="T94" i="9"/>
  <c r="G20" i="7"/>
  <c r="H53" i="2"/>
  <c r="N105" i="9"/>
  <c r="H89" i="1"/>
  <c r="H91" i="1" s="1"/>
  <c r="H106" i="2"/>
  <c r="E19" i="7"/>
  <c r="F22" i="2"/>
  <c r="F84" i="2" s="1"/>
  <c r="T9" i="8" s="1"/>
  <c r="L107" i="9"/>
  <c r="L89" i="8"/>
  <c r="F46" i="2"/>
  <c r="F24" i="2"/>
  <c r="E79" i="2"/>
  <c r="S8" i="8" s="1"/>
  <c r="R19" i="9"/>
  <c r="T98" i="9" s="1"/>
  <c r="F56" i="2"/>
  <c r="F69" i="1"/>
  <c r="F75" i="1" s="1"/>
  <c r="F87" i="8"/>
  <c r="F47" i="2"/>
  <c r="F23" i="2"/>
  <c r="G47" i="2"/>
  <c r="G46" i="2"/>
  <c r="F28" i="7"/>
  <c r="F29" i="7"/>
  <c r="E47" i="7" l="1"/>
  <c r="H45" i="7"/>
  <c r="E53" i="2"/>
  <c r="P18" i="9"/>
  <c r="E15" i="2"/>
  <c r="K106" i="9"/>
  <c r="D20" i="7"/>
  <c r="E62" i="2"/>
  <c r="E89" i="1"/>
  <c r="E91" i="1" s="1"/>
  <c r="E52" i="2"/>
  <c r="Q18" i="9"/>
  <c r="S97" i="9" s="1"/>
  <c r="E64" i="2"/>
  <c r="Q94" i="9"/>
  <c r="M17" i="5"/>
  <c r="M14" i="5"/>
  <c r="M13" i="5"/>
  <c r="M10" i="5"/>
  <c r="H45" i="5"/>
  <c r="H52" i="5" s="1"/>
  <c r="F62" i="2"/>
  <c r="F15" i="2"/>
  <c r="F64" i="2"/>
  <c r="E54" i="2"/>
  <c r="R18" i="9"/>
  <c r="T97" i="9" s="1"/>
  <c r="F52" i="2"/>
  <c r="F89" i="1"/>
  <c r="F91" i="1" s="1"/>
  <c r="F53" i="2"/>
  <c r="R94" i="9"/>
  <c r="E20" i="7"/>
  <c r="L106" i="9"/>
  <c r="L18" i="7"/>
  <c r="L17" i="7"/>
  <c r="H104" i="2"/>
  <c r="H54" i="2"/>
  <c r="G31" i="6"/>
  <c r="F31" i="6"/>
  <c r="E31" i="6"/>
  <c r="D31" i="6"/>
  <c r="F47" i="7"/>
  <c r="G47" i="7"/>
  <c r="K20" i="7"/>
  <c r="K19" i="7"/>
  <c r="K21" i="7"/>
  <c r="F54" i="2" l="1"/>
  <c r="L21" i="7"/>
  <c r="L19" i="7"/>
  <c r="L20" i="7"/>
  <c r="J50" i="5" l="1"/>
  <c r="J51" i="5"/>
  <c r="I11" i="5"/>
  <c r="I50" i="5"/>
  <c r="I51" i="5"/>
  <c r="C124" i="5"/>
  <c r="D124" i="5"/>
  <c r="D123" i="5"/>
  <c r="J49" i="5"/>
  <c r="J11" i="5"/>
  <c r="I49" i="5"/>
  <c r="C123" i="5"/>
  <c r="K50" i="5" l="1"/>
  <c r="K51" i="5"/>
  <c r="K11" i="5"/>
  <c r="K49" i="5"/>
  <c r="E123" i="5"/>
  <c r="I15" i="5"/>
  <c r="I18" i="5" s="1"/>
  <c r="E124" i="5"/>
  <c r="J15" i="5"/>
  <c r="J18" i="5" s="1"/>
  <c r="J44" i="5" l="1"/>
  <c r="J20" i="5"/>
  <c r="J21" i="5" s="1"/>
  <c r="J23" i="5" s="1"/>
  <c r="I44" i="5"/>
  <c r="I20" i="5"/>
  <c r="I21" i="5" s="1"/>
  <c r="I23" i="5" s="1"/>
  <c r="I43" i="5"/>
  <c r="J43" i="5"/>
  <c r="L50" i="5"/>
  <c r="L51" i="5"/>
  <c r="K15" i="5"/>
  <c r="K18" i="5" s="1"/>
  <c r="L11" i="5"/>
  <c r="L49" i="5"/>
  <c r="F123" i="5"/>
  <c r="F124" i="5"/>
  <c r="K44" i="5" l="1"/>
  <c r="K20" i="5"/>
  <c r="K21" i="5" s="1"/>
  <c r="J24" i="5"/>
  <c r="M50" i="5"/>
  <c r="M51" i="5"/>
  <c r="K43" i="5"/>
  <c r="J45" i="5"/>
  <c r="J52" i="5" s="1"/>
  <c r="J79" i="5" s="1"/>
  <c r="J81" i="5" s="1"/>
  <c r="I45" i="5"/>
  <c r="I52" i="5" s="1"/>
  <c r="L15" i="5"/>
  <c r="L18" i="5" s="1"/>
  <c r="M11" i="5"/>
  <c r="G124" i="5"/>
  <c r="G123" i="5"/>
  <c r="M49" i="5"/>
  <c r="I24" i="5"/>
  <c r="L44" i="5" l="1"/>
  <c r="L20" i="5"/>
  <c r="L21" i="5" s="1"/>
  <c r="K23" i="5"/>
  <c r="K24" i="5" s="1"/>
  <c r="D121" i="5"/>
  <c r="L43" i="5"/>
  <c r="K45" i="5"/>
  <c r="K52" i="5" s="1"/>
  <c r="M15" i="5"/>
  <c r="M18" i="5" s="1"/>
  <c r="C121" i="5"/>
  <c r="D79" i="5"/>
  <c r="M44" i="5" l="1"/>
  <c r="M20" i="5"/>
  <c r="M21" i="5" s="1"/>
  <c r="L23" i="5"/>
  <c r="L24" i="5" s="1"/>
  <c r="L45" i="5"/>
  <c r="L52" i="5" s="1"/>
  <c r="M43" i="5"/>
  <c r="K79" i="5"/>
  <c r="K81" i="5" s="1"/>
  <c r="E121" i="5"/>
  <c r="M23" i="5" l="1"/>
  <c r="M24" i="5" s="1"/>
  <c r="M45" i="5"/>
  <c r="M52" i="5" s="1"/>
  <c r="L79" i="5"/>
  <c r="L81" i="5" s="1"/>
  <c r="F121" i="5"/>
  <c r="D72" i="5" l="1"/>
  <c r="G121" i="5"/>
  <c r="M79" i="5"/>
  <c r="M81" i="5" s="1"/>
  <c r="D85" i="5" s="1"/>
  <c r="E103" i="5" l="1"/>
  <c r="O100" i="5" s="1"/>
  <c r="D102" i="5"/>
  <c r="N100" i="5" s="1"/>
  <c r="H103" i="5"/>
  <c r="O103" i="5" s="1"/>
  <c r="D105" i="5"/>
  <c r="Q99" i="5" s="1"/>
  <c r="E101" i="5"/>
  <c r="M101" i="5" s="1"/>
  <c r="H104" i="5"/>
  <c r="P103" i="5" s="1"/>
  <c r="E102" i="5"/>
  <c r="N101" i="5" s="1"/>
  <c r="G103" i="5"/>
  <c r="O102" i="5" s="1"/>
  <c r="F105" i="5"/>
  <c r="Q101" i="5" s="1"/>
  <c r="F114" i="5"/>
  <c r="G114" i="5"/>
  <c r="H102" i="5"/>
  <c r="N104" i="5" s="1"/>
  <c r="F103" i="5"/>
  <c r="O101" i="5" s="1"/>
  <c r="D103" i="5"/>
  <c r="O99" i="5" s="1"/>
  <c r="F101" i="5"/>
  <c r="M102" i="5" s="1"/>
  <c r="E104" i="5"/>
  <c r="P100" i="5" s="1"/>
  <c r="G101" i="5"/>
  <c r="M103" i="5" s="1"/>
  <c r="H105" i="5"/>
  <c r="Q103" i="5" s="1"/>
  <c r="G105" i="5"/>
  <c r="Q102" i="5" s="1"/>
  <c r="F104" i="5"/>
  <c r="P101" i="5" s="1"/>
  <c r="D104" i="5"/>
  <c r="P99" i="5" s="1"/>
  <c r="G102" i="5"/>
  <c r="N103" i="5" s="1"/>
  <c r="D114" i="5"/>
  <c r="D101" i="5"/>
  <c r="M100" i="5" s="1"/>
  <c r="N85" i="5"/>
  <c r="E114" i="5"/>
  <c r="G104" i="5"/>
  <c r="P102" i="5" s="1"/>
  <c r="E105" i="5"/>
  <c r="Q100" i="5" s="1"/>
  <c r="H101" i="5"/>
  <c r="M104" i="5" s="1"/>
  <c r="F102" i="5"/>
  <c r="N102" i="5" s="1"/>
  <c r="D73" i="5"/>
  <c r="N72" i="5"/>
  <c r="N73" i="5" l="1"/>
  <c r="D74" i="5"/>
  <c r="N74" i="5" l="1"/>
  <c r="N80" i="5"/>
  <c r="N81" i="5" s="1"/>
  <c r="D86" i="5" s="1"/>
  <c r="D75" i="5"/>
  <c r="N75" i="5" s="1"/>
  <c r="N86" i="5" l="1"/>
  <c r="D87" i="5"/>
  <c r="D97" i="5" s="1"/>
  <c r="D91" i="5" l="1"/>
  <c r="N87" i="5"/>
  <c r="N91" i="5" l="1"/>
  <c r="D94" i="5"/>
  <c r="F31" i="7" l="1"/>
  <c r="N94" i="5"/>
  <c r="D31" i="7"/>
  <c r="M22" i="7"/>
  <c r="D96" i="5"/>
  <c r="N96" i="5" s="1"/>
  <c r="E48" i="7"/>
  <c r="G48" i="7"/>
  <c r="E31" i="7"/>
  <c r="F4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E95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FY2022 (~Sept 2022 close). Approximate historical value.</t>
        </r>
      </text>
    </comment>
    <comment ref="F95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FY2023 (~Sept 2023 close). Approximate historical value.</t>
        </r>
      </text>
    </comment>
    <comment ref="G95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FY2024 (~Sept 2024 close). Approximate historical value.</t>
        </r>
      </text>
    </comment>
    <comment ref="E96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FY2022 (~16.2B). Approximate.</t>
        </r>
      </text>
    </comment>
    <comment ref="F96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FY2023 (~15.8B). Approximate.</t>
        </r>
      </text>
    </comment>
    <comment ref="G96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FY2024 (~15.4B). Approximate.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E9" authorId="0" shapeId="0" xr:uid="{EF542570-F482-4896-A309-A3AE24471824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 (prix AAPL proxy). Utiliser LTM uniquement pour TTE.PA.</t>
        </r>
      </text>
    </comment>
    <comment ref="F9" authorId="0" shapeId="0" xr:uid="{502ECB1C-0461-4266-BB1A-AB967D3FBAC3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fiable. Utiliser LTM uniquement.</t>
        </r>
      </text>
    </comment>
    <comment ref="G9" authorId="0" shapeId="0" xr:uid="{48AD1F0E-E610-47DC-A618-E5BFE1A96A71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fiable. Utiliser LTM uniquement.</t>
        </r>
      </text>
    </comment>
    <comment ref="E10" authorId="0" shapeId="0" xr:uid="{EEB94C70-238D-41E7-8816-320F8B1BFC08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 (prix AAPL proxy). Utiliser LTM uniquement pour TTE.PA.</t>
        </r>
      </text>
    </comment>
    <comment ref="F10" authorId="0" shapeId="0" xr:uid="{B4207392-5002-478E-A5E6-534B450B1B82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fiable. Utiliser LTM uniquement.</t>
        </r>
      </text>
    </comment>
    <comment ref="G10" authorId="0" shapeId="0" xr:uid="{83F55768-88DC-4795-9162-02A12CB6F9EC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fiable. Utiliser LTM uniquement.</t>
        </r>
      </text>
    </comment>
    <comment ref="E11" authorId="0" shapeId="0" xr:uid="{1D393DD1-0CAC-4C2F-98B4-7D013E484D51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fiable. Utiliser LTM uniquement.</t>
        </r>
      </text>
    </comment>
    <comment ref="F11" authorId="0" shapeId="0" xr:uid="{3A56EBBA-485B-4AF5-BA64-152E9AF4A03A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fiable. Utiliser LTM uniquement.</t>
        </r>
      </text>
    </comment>
    <comment ref="G11" authorId="0" shapeId="0" xr:uid="{E88B223C-B7C3-4F0B-AD2C-103A885FB611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fiable. Utiliser LTM uniquement.</t>
        </r>
      </text>
    </comment>
    <comment ref="E12" authorId="0" shapeId="0" xr:uid="{932AC4FF-FF9E-4378-A0A6-4505F58FF533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fiable. Utiliser LTM uniquement.</t>
        </r>
      </text>
    </comment>
    <comment ref="F12" authorId="0" shapeId="0" xr:uid="{79F4CFF5-4011-4CA5-AD69-24CA965FEBBE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fiable. Utiliser LTM uniquement.</t>
        </r>
      </text>
    </comment>
    <comment ref="G12" authorId="0" shapeId="0" xr:uid="{3F01F8AA-7F0E-4220-9D36-103BC2CA66BA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EV historique non fiable. Utiliser LTM uniquement.</t>
        </r>
      </text>
    </comment>
    <comment ref="E61" authorId="0" shapeId="0" xr:uid="{060C051C-5DF7-4039-925B-521CE027006F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CapEx/DD&amp;A &gt; 1 = investissement net en actifs. Pour OIL_GAS, &gt;= 1.0 requis pour maintenir la production.</t>
        </r>
      </text>
    </comment>
    <comment ref="E62" authorId="0" shapeId="0" xr:uid="{06CE1BE5-8F52-4A8B-A99F-D45341720830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DACF = Operating Cash Flow + After-tax Interest Expense. Mesure la génération de cash déconnectée de la structure de capital.</t>
        </r>
      </text>
    </comment>
    <comment ref="E63" authorId="0" shapeId="0" xr:uid="{E22F3A69-A810-45B3-B1CD-4EFD6DDCC6A0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EBITDAX = EBITDA + Exploration Expense (approxé par R&amp;D pour TTE). Métrique standard pour l'industrie pétrolière.</t>
        </r>
      </text>
    </comment>
    <comment ref="E64" authorId="0" shapeId="0" xr:uid="{896AAD8D-9FA3-4241-8922-DFF0DD4BAD25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FCF Yield = FCF / Market Cap. Pour TTE LTM = 6.4%. Benchmark OIL_GAS major : 5-8%.</t>
        </r>
      </text>
    </comment>
    <comment ref="E65" authorId="0" shapeId="0" xr:uid="{AC34D0CE-B4EC-4126-BF6C-CD511C39D3E6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Dividende + Rachats d'actions / Market Cap. TTE distribue ~8-10% par an aux actionnaires (dividende + buybacks).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I29" authorId="0" shapeId="0" xr:uid="{220E3662-3910-4F27-82A3-E453211BF7D8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Revenue Growth driver. Si D45=Yes : utilise D44 (Brent-Adjusted). Si No : utilise la moyenne historique RATIOS!F51:H51.</t>
        </r>
      </text>
    </comment>
    <comment ref="I30" authorId="0" shapeId="0" xr:uid="{5113B239-729A-4824-A55A-3D92A403BBD8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Moyenne des Gross Margins historiques (toutes années disponibles)</t>
        </r>
      </text>
    </comment>
    <comment ref="I31" authorId="0" shapeId="0" xr:uid="{267922F0-B7D1-4566-BB63-DC06BFBDEBE9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Moyenne SG&amp;A % du revenu (toutes années disponibles)</t>
        </r>
      </text>
    </comment>
    <comment ref="I32" authorId="0" shapeId="0" xr:uid="{565316DD-6C07-4C1E-8ABA-1FC9C6009D3F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Moyenne R&amp;D % du revenu (toutes années disponibles)</t>
        </r>
      </text>
    </comment>
    <comment ref="I33" authorId="0" shapeId="0" xr:uid="{F2171C6F-17C6-4440-94B3-9C3152D83C8E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Moyenne D&amp;A % du revenu (toutes années disponibles)</t>
        </r>
      </text>
    </comment>
    <comment ref="I34" authorId="0" shapeId="0" xr:uid="{F6104A16-3DA3-4FB8-8A10-DD6852E4A301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Moyenne du taux d'imposition effectif (toutes années disponibles)</t>
        </r>
      </text>
    </comment>
    <comment ref="I37" authorId="0" shapeId="0" xr:uid="{00000000-0006-0000-0400-000007000000}">
      <text>
        <r>
          <rPr>
            <sz val="11"/>
            <color theme="1"/>
            <rFont val="Aptos Narrow"/>
            <family val="2"/>
            <scheme val="minor"/>
          </rPr>
          <t>Baptiste jeh:
Moyenne CapEx % du revenu (toutes années disponibles)</t>
        </r>
      </text>
    </comment>
    <comment ref="I38" authorId="0" shapeId="0" xr:uid="{00000000-0006-0000-0400-000008000000}">
      <text>
        <r>
          <rPr>
            <sz val="11"/>
            <color theme="1"/>
            <rFont val="Aptos Narrow"/>
            <family val="2"/>
            <scheme val="minor"/>
          </rPr>
          <t>Baptiste jeh:
Moyenne variation NWC % du revenu (toutes années disponibles)</t>
        </r>
      </text>
    </comment>
    <comment ref="D42" authorId="0" shapeId="0" xr:uid="{7154CD91-D3BF-47BA-A3A0-C4502658AF10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Saisir ici : 60 (Bear), 75 (Base) ou 90 (Bull). Ce prix pilote D44.</t>
        </r>
      </text>
    </comment>
    <comment ref="D43" authorId="0" shapeId="0" xr:uid="{B361367D-B5FE-4C79-A875-366C5170433A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TTE : ~$1.7B revenus additionnels par $1/bbl Brent. Source : TTE Document de Référence 2024.</t>
        </r>
      </text>
    </comment>
    <comment ref="D44" authorId="0" shapeId="0" xr:uid="{3CDD493B-F4C1-4D59-89B7-233D2EB0C054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Prix Brent moyen LTM TTE ~70$/bbl. Base du calcul d'ajustement.</t>
        </r>
      </text>
    </comment>
    <comment ref="D45" authorId="0" shapeId="0" xr:uid="{6ABEE7E9-0CD8-4932-A3D7-1DC988563C16}">
      <text>
        <r>
          <rPr>
            <b/>
            <sz val="9"/>
            <color indexed="81"/>
            <rFont val="Tahoma"/>
            <family val="2"/>
          </rPr>
          <t>= (LTM Rev + (Brent actif - Brent réf.) × sensibilité) / LTM Rev - 1. Brent actif = E41 (calculé depuis D41 dropdown).</t>
        </r>
      </text>
    </comment>
    <comment ref="D46" authorId="0" shapeId="0" xr:uid="{EAAA3A0A-A948-4289-B7DD-7F8C0CFC88E7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Yes : I29 utilise D44. No : I29 utilise la moyenne historique RATIOS!F51:H51.</t>
        </r>
      </text>
    </comment>
    <comment ref="D89" authorId="0" shapeId="0" xr:uid="{6AE63C7F-4AC1-4DB6-98DC-65C8A23D2EB0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Total Financial Debt = ST Debt (H48) + LT Debt (H54). Net Debt = D89 + D90.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D6" authorId="0" shapeId="0" xr:uid="{C980610B-5C51-4A71-B521-78F831E6997F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EBITDA Upstream estimé LTM. Source : TTE Factbook 2024. Ajustable.</t>
        </r>
      </text>
    </comment>
    <comment ref="E6" authorId="0" shapeId="0" xr:uid="{A1A80BE9-52D0-4E42-BA3A-7F69656C5D57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Peers Upstream pure-play : EOG, PXD, DVN. EV/EBITDA 5-6x. Source : Bloomberg consensus.</t>
        </r>
      </text>
    </comment>
    <comment ref="D7" authorId="0" shapeId="0" xr:uid="{F061137E-16B6-4E11-8A29-350899E72D51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EBITDA iGRP + LNG estimé LTM. TTE est le 2e plus grand trader LNG au monde. Source : TTE Factbook 2024.</t>
        </r>
      </text>
    </comment>
    <comment ref="E7" authorId="0" shapeId="0" xr:uid="{678FD26D-5599-4861-88AB-39B6C936F718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Premium LNG/Gas : Shell LNG, Cheniere. EV/EBITDA 7-8x (contrats long-terme, visibilité cash flow). Source : consensus sell-side.</t>
        </r>
      </text>
    </comment>
    <comment ref="D8" authorId="0" shapeId="0" xr:uid="{EFC77062-FEFA-40C3-91C8-5544C463F854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EBITDA Renewables &amp; Power estimé LTM. TTE Factbook 2024. Segment en forte croissance (objectif 100GW 2030).</t>
        </r>
      </text>
    </comment>
    <comment ref="E8" authorId="0" shapeId="0" xr:uid="{EF7A21F9-B834-498B-9A75-F9CFCF5BDDFE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Peers Renewables (Enel, Orsted, Iberdrola). EV/EBITDA 10-14x. Prime de croissance ESG.</t>
        </r>
      </text>
    </comment>
    <comment ref="D9" authorId="0" shapeId="0" xr:uid="{C37310BE-B31A-49B3-BFF0-4492E5A75C1B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EBITDA Refining &amp; Chemicals estimé LTM. Marges volatiles, cycle bas 2024. Source : TTE Factbook 2024.</t>
        </r>
      </text>
    </comment>
    <comment ref="E9" authorId="0" shapeId="0" xr:uid="{73F38FC2-C30F-4B94-8225-BAC16B634115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Peers Refining (Valero, MPC, Phillips 66). EV/EBITDA 4-5x (activité cyclique, marges compressées).</t>
        </r>
      </text>
    </comment>
    <comment ref="D10" authorId="0" shapeId="0" xr:uid="{FAB3C5BD-164F-4242-B3A9-8B6094FBA8E2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Coûts corporate / overhead non-alloués. Estimé -$2.5B EBITDA. Appliqué à multiple 5x (valeur négative = soustraction).</t>
        </r>
      </text>
    </comment>
    <comment ref="F16" authorId="0" shapeId="0" xr:uid="{CE661948-F2E7-46C0-8A71-5AA4A50E824C}">
      <text>
        <r>
          <rPr>
            <b/>
            <sz val="9"/>
            <color indexed="81"/>
            <rFont val="Tahoma"/>
            <charset val="1"/>
          </rPr>
          <t>Net Debt = Short-Term Debt (H48) + Long-Term Debt (H54) - Cash (H34). LTM: $10.2B + $48.0B - $24.2B = ~$34B.</t>
        </r>
      </text>
    </comment>
    <comment ref="F17" authorId="0" shapeId="0" xr:uid="{9E239EDB-5852-4F3C-B780-040C80FAE2AC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Minorités + instruments hybrides TTE estimés. Source : TTE Annual Report 2024.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F12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Baptiste jeh:
Sony FY2024 Revenue converted from JPY to USD at ~149 JPY/USD. Source: Sony Group IR. Original JPY figure ~13.1T yen.</t>
        </r>
      </text>
    </comment>
    <comment ref="G12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Baptiste jeh:
Sony FY2024 EBITDA converted from JPY to USD at ~149 JPY/USD. Approximate figure.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D71" authorId="0" shapeId="0" xr:uid="{1219DC88-A63B-426B-8BD6-E649F31C9FAD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Total Operating Expenses = SG&amp;A + R&amp;D + D&amp;A + Interest</t>
        </r>
      </text>
    </comment>
    <comment ref="D72" authorId="0" shapeId="0" xr:uid="{878C9EF7-F287-44AD-8B0A-C6A5390DC275}">
      <text>
        <r>
          <rPr>
            <b/>
            <sz val="9"/>
            <color indexed="81"/>
            <rFont val="Tahoma"/>
            <charset val="1"/>
          </rPr>
          <t>Baptiste jeh:</t>
        </r>
        <r>
          <rPr>
            <sz val="9"/>
            <color indexed="81"/>
            <rFont val="Tahoma"/>
            <charset val="1"/>
          </rPr>
          <t xml:space="preserve">
Total Expenses = COGS + All OpEx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<sst xmlns="http://schemas.openxmlformats.org/spreadsheetml/2006/main" count="906" uniqueCount="465">
  <si>
    <t>INPUT — Raw Data</t>
  </si>
  <si>
    <t>All figures in USD millions unless stated</t>
  </si>
  <si>
    <t>METRIC</t>
  </si>
  <si>
    <t>UNIT</t>
  </si>
  <si>
    <t>2025 (LTM)</t>
  </si>
  <si>
    <t xml:space="preserve"> </t>
  </si>
  <si>
    <t>INPUT</t>
  </si>
  <si>
    <t>Revenue</t>
  </si>
  <si>
    <t>($M)</t>
  </si>
  <si>
    <t>Cost of Goods Sold (COGS)</t>
  </si>
  <si>
    <t>Gross Profit</t>
  </si>
  <si>
    <t>Operating Expenses (SG&amp;A)</t>
  </si>
  <si>
    <t>Research &amp; Development</t>
  </si>
  <si>
    <t>Depreciation &amp; Amortization</t>
  </si>
  <si>
    <t>EBIT (Operating Profit)</t>
  </si>
  <si>
    <t>Interest Expense</t>
  </si>
  <si>
    <t>Interest Income</t>
  </si>
  <si>
    <t>Earnings Before Tax (EBT)</t>
  </si>
  <si>
    <t>Income Tax Expense</t>
  </si>
  <si>
    <t>Net Income</t>
  </si>
  <si>
    <t>Common Dividends</t>
  </si>
  <si>
    <t>EBITDA</t>
  </si>
  <si>
    <t>BALANCE SHEET</t>
  </si>
  <si>
    <t>Cash &amp; Cash Equivalents</t>
  </si>
  <si>
    <t>Accounts Receivable</t>
  </si>
  <si>
    <t>Inventories</t>
  </si>
  <si>
    <t>Other Current Assets</t>
  </si>
  <si>
    <t>Total Current Assets</t>
  </si>
  <si>
    <t>PP&amp;E (Net)</t>
  </si>
  <si>
    <t>Intangible Assets</t>
  </si>
  <si>
    <t>Other Long-Term Assets</t>
  </si>
  <si>
    <t>Total Assets</t>
  </si>
  <si>
    <t>Accounts Payable</t>
  </si>
  <si>
    <t>Short-Term Debt</t>
  </si>
  <si>
    <t>Income Tax Payable</t>
  </si>
  <si>
    <t>Other Current Liabilities</t>
  </si>
  <si>
    <t>Total Current Liabilities</t>
  </si>
  <si>
    <t>Long-Term Debt</t>
  </si>
  <si>
    <t>Total Liabilities</t>
  </si>
  <si>
    <t>Common Equity (Paid-In Capital)</t>
  </si>
  <si>
    <t>Retained Earnings</t>
  </si>
  <si>
    <t>Total Shareholders Equity</t>
  </si>
  <si>
    <t>Total Liabilities &amp; Equity</t>
  </si>
  <si>
    <t>CASH FLOW STATEMENT</t>
  </si>
  <si>
    <t>Change in Accounts Receivable</t>
  </si>
  <si>
    <t>Change in Inventories</t>
  </si>
  <si>
    <t>Change in Accounts Payable</t>
  </si>
  <si>
    <t>Other Working Capital Changes</t>
  </si>
  <si>
    <t>Cash from Operating Activities</t>
  </si>
  <si>
    <t>Capital Expenditures (CapEx)</t>
  </si>
  <si>
    <t>Other Investing Activities</t>
  </si>
  <si>
    <t>Cash from Investing Activities</t>
  </si>
  <si>
    <t>Change in Long-Term Debt</t>
  </si>
  <si>
    <t>Change in Common Equity</t>
  </si>
  <si>
    <t>Dividends Paid</t>
  </si>
  <si>
    <t>Cash from Financing Activities</t>
  </si>
  <si>
    <t>Net Change in Cash</t>
  </si>
  <si>
    <t>Beginning Cash Balance</t>
  </si>
  <si>
    <t>Ending Cash Balance</t>
  </si>
  <si>
    <t>MARKET &amp; VALUATION DATA</t>
  </si>
  <si>
    <t>Share Price</t>
  </si>
  <si>
    <t>($)</t>
  </si>
  <si>
    <t>Shares Outstanding (Diluted)</t>
  </si>
  <si>
    <t>(M)</t>
  </si>
  <si>
    <t>Market Capitalization</t>
  </si>
  <si>
    <t>Enterprise Value (EV)</t>
  </si>
  <si>
    <t>Beta (Levered)</t>
  </si>
  <si>
    <t>(x)</t>
  </si>
  <si>
    <t>Risk-Free Rate</t>
  </si>
  <si>
    <t>(%)</t>
  </si>
  <si>
    <t>Equity Risk Premium (ERP)</t>
  </si>
  <si>
    <t>Cost of Equity (CAPM)</t>
  </si>
  <si>
    <t>Cost of Debt (Pre-Tax)</t>
  </si>
  <si>
    <t>Tax Rate</t>
  </si>
  <si>
    <t>After-Tax Cost of Debt</t>
  </si>
  <si>
    <t>Weight of Equity (%)</t>
  </si>
  <si>
    <t>Weight of Debt (%)</t>
  </si>
  <si>
    <t>WACC</t>
  </si>
  <si>
    <t>Terminal Growth Rate</t>
  </si>
  <si>
    <t>Days in Period</t>
  </si>
  <si>
    <t>(days)</t>
  </si>
  <si>
    <t>COMPANY INFORMATION</t>
  </si>
  <si>
    <t>Company Name</t>
  </si>
  <si>
    <t>(text)</t>
  </si>
  <si>
    <t>TTE.PA</t>
  </si>
  <si>
    <t>Ticker Symbol</t>
  </si>
  <si>
    <t>Sector / Industry</t>
  </si>
  <si>
    <t>Base Year (LTM)</t>
  </si>
  <si>
    <t>Currency</t>
  </si>
  <si>
    <t>USD</t>
  </si>
  <si>
    <t>Units</t>
  </si>
  <si>
    <t>M</t>
  </si>
  <si>
    <t>Analysis Date</t>
  </si>
  <si>
    <t>2026-04-15</t>
  </si>
  <si>
    <t>NOTE: All analytical sheets reference this INPUT sheet only. Enter data in the blue cells (columns D–H).</t>
  </si>
  <si>
    <t>© 2015 to 2024 FinSight</t>
  </si>
  <si>
    <t>This Excel model is for educational purposes only.</t>
  </si>
  <si>
    <t>https://finsight.com/</t>
  </si>
  <si>
    <t>FinSight</t>
  </si>
  <si>
    <t>RATIOS — Financial Ratio Analysis</t>
  </si>
  <si>
    <t>RATIOS</t>
  </si>
  <si>
    <t>Year</t>
  </si>
  <si>
    <t>Price / Earnings (P/E)</t>
  </si>
  <si>
    <t>EV / Revenue</t>
  </si>
  <si>
    <t>PROFITABILITY RATIOS</t>
  </si>
  <si>
    <t>Gross Profit Margin</t>
  </si>
  <si>
    <t>EBITDA Margin</t>
  </si>
  <si>
    <t>EBIT (Operating) Margin</t>
  </si>
  <si>
    <t>Net Profit Margin</t>
  </si>
  <si>
    <t>Return on Equity (ROE)</t>
  </si>
  <si>
    <t>Return on Assets (ROA)</t>
  </si>
  <si>
    <t>Return on Invested Capital (ROIC)</t>
  </si>
  <si>
    <t>LIQUIDITY &amp; SOLVENCY RATIOS</t>
  </si>
  <si>
    <t>Current Ratio</t>
  </si>
  <si>
    <t>Quick Ratio</t>
  </si>
  <si>
    <t>Cash Ratio</t>
  </si>
  <si>
    <t>Debt / Equity Ratio</t>
  </si>
  <si>
    <t>Net Debt / EBITDA</t>
  </si>
  <si>
    <t>Interest Coverage (EBIT/Interest)</t>
  </si>
  <si>
    <t>Debt / Total Assets</t>
  </si>
  <si>
    <t>Equity Ratio</t>
  </si>
  <si>
    <t>OPERATIONAL EFFICIENCY RATIOS</t>
  </si>
  <si>
    <t>Asset Turnover</t>
  </si>
  <si>
    <t>GROWTH RATIOS</t>
  </si>
  <si>
    <t>Revenue Growth (YoY)</t>
  </si>
  <si>
    <t>–</t>
  </si>
  <si>
    <t>EBITDA Growth (YoY)</t>
  </si>
  <si>
    <t>Net Income Growth (YoY)</t>
  </si>
  <si>
    <t>EPS Growth (YoY)</t>
  </si>
  <si>
    <t>Total Assets Growth (YoY)</t>
  </si>
  <si>
    <t>CASH FLOW RATIOS</t>
  </si>
  <si>
    <t>Operating Cash Flow Margin</t>
  </si>
  <si>
    <t>Free Cash Flow (FCF)</t>
  </si>
  <si>
    <t>FCF Margin</t>
  </si>
  <si>
    <t>CapEx / Revenue</t>
  </si>
  <si>
    <t>Dividend Payout Ratio</t>
  </si>
  <si>
    <t>CHART DATA</t>
  </si>
  <si>
    <t>Revenue ($M)</t>
  </si>
  <si>
    <t>EBITDA ($M)</t>
  </si>
  <si>
    <t>Net Income ($M)</t>
  </si>
  <si>
    <t>Cumul. Revenue ($M)</t>
  </si>
  <si>
    <t>SG&amp;A ($M)</t>
  </si>
  <si>
    <t>R&amp;D ($M)</t>
  </si>
  <si>
    <t>D&amp;A ($M)</t>
  </si>
  <si>
    <t>Interest ($M)</t>
  </si>
  <si>
    <t>FCF &amp; CapEx Trend ($M)</t>
  </si>
  <si>
    <t>Metric</t>
  </si>
  <si>
    <t>Free Cash Flow ($M)</t>
  </si>
  <si>
    <t>CapEx ($M)</t>
  </si>
  <si>
    <t>Cash from Operations ($M)</t>
  </si>
  <si>
    <t>Returns Chart Data</t>
  </si>
  <si>
    <t>Cost of Goods Sold</t>
  </si>
  <si>
    <t>DCF — Discounted Cash Flow Valuation</t>
  </si>
  <si>
    <t>DCF</t>
  </si>
  <si>
    <t>(Units)</t>
  </si>
  <si>
    <t>Terminal</t>
  </si>
  <si>
    <t>INCOME STATEMENT</t>
  </si>
  <si>
    <t>SG&amp;A Expenses</t>
  </si>
  <si>
    <t>Income Taxes</t>
  </si>
  <si>
    <t>ASSUMPTIONS &amp; DRIVERS</t>
  </si>
  <si>
    <t>INCOME STATEMENT DRIVERS</t>
  </si>
  <si>
    <t>Revenue Growth Rate (YoY)</t>
  </si>
  <si>
    <t>Gross Margin</t>
  </si>
  <si>
    <t>SG&amp;A (% of Revenue)</t>
  </si>
  <si>
    <t>R&amp;D (% of Revenue)</t>
  </si>
  <si>
    <t>D&amp;A (% of Revenue)</t>
  </si>
  <si>
    <t>Effective Tax Rate</t>
  </si>
  <si>
    <t>BALANCE SHEET / CASH FLOW DRIVERS</t>
  </si>
  <si>
    <t>CapEx (% of Revenue)</t>
  </si>
  <si>
    <t>Change in NWC (% of Revenue Change)</t>
  </si>
  <si>
    <t>FREE CASH FLOW CALCULATION</t>
  </si>
  <si>
    <t>(+) Depreciation &amp; Amortization</t>
  </si>
  <si>
    <t>(-) Capital Expenditures (CapEx)</t>
  </si>
  <si>
    <t>(-) Change in Working Capital</t>
  </si>
  <si>
    <t>Unlevered Free Cash Flow (UFCF)</t>
  </si>
  <si>
    <t>WACC CALCULATION (Capital Asset Pricing Model)</t>
  </si>
  <si>
    <t>Risk-Free Rate (Rf)</t>
  </si>
  <si>
    <t>Target Equity Weight (We)</t>
  </si>
  <si>
    <t>Target Debt Weight (Wd)</t>
  </si>
  <si>
    <t>Pre-Tax Cost of Debt (Kd)</t>
  </si>
  <si>
    <t>TERMINAL VALUE &amp; ENTERPRISE VALUE</t>
  </si>
  <si>
    <t>Terminal Growth Rate (g)</t>
  </si>
  <si>
    <t>Year 5 UFCF</t>
  </si>
  <si>
    <t>Terminal Year UFCF (t+1)</t>
  </si>
  <si>
    <t>Terminal Value (Gordon Growth)</t>
  </si>
  <si>
    <t>Terminal EBITDA Multiple (Alt.)</t>
  </si>
  <si>
    <t>Discounting Period (Years)</t>
  </si>
  <si>
    <t>Discount Factor</t>
  </si>
  <si>
    <t>UFCF to Discount</t>
  </si>
  <si>
    <t>Terminal Value to Discount</t>
  </si>
  <si>
    <t>PV of UFCF + Terminal Value</t>
  </si>
  <si>
    <t>ENTERPRISE VALUE &amp; EQUITY VALUE</t>
  </si>
  <si>
    <t>Sum of PV of UFCFs (Years 1-5)</t>
  </si>
  <si>
    <t>PV of Terminal Value</t>
  </si>
  <si>
    <t>(-) Total Debt</t>
  </si>
  <si>
    <t>(+) Cash &amp; Cash Equivalents</t>
  </si>
  <si>
    <t>Equity Value</t>
  </si>
  <si>
    <t>Implied Share Price (DCF)</t>
  </si>
  <si>
    <t>Current Share Price</t>
  </si>
  <si>
    <t>Upside / (Downside)</t>
  </si>
  <si>
    <t>UFCF IRR (5-Year)</t>
  </si>
  <si>
    <t>SENSITIVITY ANALYSIS — Implied Share Price ($)</t>
  </si>
  <si>
    <t>Terminal Growth Rate →</t>
  </si>
  <si>
    <t>WACC ↓</t>
  </si>
  <si>
    <t>g=0%</t>
  </si>
  <si>
    <t>g=1%</t>
  </si>
  <si>
    <t>g=2%</t>
  </si>
  <si>
    <t>g=3% (Base)</t>
  </si>
  <si>
    <t>g=4%</t>
  </si>
  <si>
    <t>Yellow = Base Case (WACC = 10.4%, g = 3.0%)</t>
  </si>
  <si>
    <t>SCENARIO ANALYSIS — 3 SCENARIOS</t>
  </si>
  <si>
    <t>Pessimistic</t>
  </si>
  <si>
    <t>Realistic</t>
  </si>
  <si>
    <t>Optimistic</t>
  </si>
  <si>
    <t>Revenue Growth (Y1-Y5 avg.)</t>
  </si>
  <si>
    <t>Implied Share Price ($)</t>
  </si>
  <si>
    <t>UFCF Projection ($M)</t>
  </si>
  <si>
    <t>UFCF</t>
  </si>
  <si>
    <t>Revenue Projection ($M)</t>
  </si>
  <si>
    <t>COMPARABLES — Trading Comparables</t>
  </si>
  <si>
    <t>COMPARABLES</t>
  </si>
  <si>
    <t>COMPARABLE TRADING ANALYSIS</t>
  </si>
  <si>
    <t>Share
Price</t>
  </si>
  <si>
    <t>Enterprise
Value</t>
  </si>
  <si>
    <t>Revenue
(LTM)</t>
  </si>
  <si>
    <t>EV /
EBITDA</t>
  </si>
  <si>
    <t>EV /
Revenue</t>
  </si>
  <si>
    <t>EPS
(LTM)</t>
  </si>
  <si>
    <t>P / E
(LTM)</t>
  </si>
  <si>
    <t>PEER COMPANIES</t>
  </si>
  <si>
    <t>TICKER</t>
  </si>
  <si>
    <t>(USD/sh)</t>
  </si>
  <si>
    <t>XOM</t>
  </si>
  <si>
    <t>SHEL.L</t>
  </si>
  <si>
    <t>BP.L</t>
  </si>
  <si>
    <t>ENI.MI</t>
  </si>
  <si>
    <t>REP.MC</t>
  </si>
  <si>
    <t>Mean</t>
  </si>
  <si>
    <t>Median</t>
  </si>
  <si>
    <t>Maximum</t>
  </si>
  <si>
    <t>Minimum</t>
  </si>
  <si>
    <t>TARGET COMPANY VALUATION (Based on Peer Multiples)</t>
  </si>
  <si>
    <t>TARGET COMPANY METRICS (from INPUT)</t>
  </si>
  <si>
    <t>Target: Revenue (LTM)</t>
  </si>
  <si>
    <t>Target: Net Debt</t>
  </si>
  <si>
    <t>Target: Shares Outstanding</t>
  </si>
  <si>
    <t>IMPLIED VALUATION</t>
  </si>
  <si>
    <t>P/E — Implied Equity Value ($M)</t>
  </si>
  <si>
    <t>Implied Enterprise Value (Average of 3 Methods)</t>
  </si>
  <si>
    <t>(-) Net Debt</t>
  </si>
  <si>
    <t>Implied Equity Value ($M)</t>
  </si>
  <si>
    <t>Current Share Price ($)</t>
  </si>
  <si>
    <t>Implied Upside / (Downside)</t>
  </si>
  <si>
    <t>(1) Target company EV based on LTM EV/EBITDA and EV/Revenue multiples relative to comparable peer set.</t>
  </si>
  <si>
    <t>Company</t>
  </si>
  <si>
    <t>EV/EBITDA (x)</t>
  </si>
  <si>
    <t>EV/Revenue (x)</t>
  </si>
  <si>
    <t>P/E (x)</t>
  </si>
  <si>
    <t>Implied Share Price — Valuation Range ($)</t>
  </si>
  <si>
    <t>Method</t>
  </si>
  <si>
    <t>Low ($)</t>
  </si>
  <si>
    <t>High ($)</t>
  </si>
  <si>
    <t>Current ($)</t>
  </si>
  <si>
    <t>Median ($)</t>
  </si>
  <si>
    <t>EV/EBITDA</t>
  </si>
  <si>
    <t>EV/Revenue</t>
  </si>
  <si>
    <t>vé</t>
  </si>
  <si>
    <t>P/E</t>
  </si>
  <si>
    <t>SCENARIOS — Scenario Analysis</t>
  </si>
  <si>
    <t>SCENARIOS</t>
  </si>
  <si>
    <t>All figures in USD millions unless stated | 3 scenarios: Pessimistic / Realistic (Base) / Optimistic</t>
  </si>
  <si>
    <t>▶  SELECT SCENARIO</t>
  </si>
  <si>
    <t>DRIVER</t>
  </si>
  <si>
    <t>Revenue Growth Rate (Y1-Y5)</t>
  </si>
  <si>
    <t>▶ Secteur actif :</t>
  </si>
  <si>
    <t>SCENARIO RESULTS — DYNAMIC VIEW</t>
  </si>
  <si>
    <t>Free Cash Flow (Est.)</t>
  </si>
  <si>
    <t>Implied Share Price</t>
  </si>
  <si>
    <t>SCENARIO SUMMARY COMPARISON</t>
  </si>
  <si>
    <t>METRIC (Year 5)</t>
  </si>
  <si>
    <t>Revenue (Year 5)</t>
  </si>
  <si>
    <t>EBITDA (Year 5)</t>
  </si>
  <si>
    <t>Net Income (Year 5)</t>
  </si>
  <si>
    <t>FCF (Year 5)</t>
  </si>
  <si>
    <t>EBITDA Margin (Year 5)</t>
  </si>
  <si>
    <t>Delta (Opt. vs Pess.)</t>
  </si>
  <si>
    <t>CHART DATA: Revenue by Scenario</t>
  </si>
  <si>
    <t>CHART DATA: EBITDA by Scenario</t>
  </si>
  <si>
    <t>CHARTS: Revenue &amp; FCF by scenario (insert chart using Scenarios data above D16:I16, D25:I25, D34:I34 for Revenue)</t>
  </si>
  <si>
    <t>Chart Data: Revenue by Scenario</t>
  </si>
  <si>
    <t>Chart Data: EBITDA by Scenario</t>
  </si>
  <si>
    <t>Année</t>
  </si>
  <si>
    <t>Cumul Revenue</t>
  </si>
  <si>
    <t>Financial Performance</t>
  </si>
  <si>
    <t>Net Margin</t>
  </si>
  <si>
    <t>Revenue &amp; Profitability</t>
  </si>
  <si>
    <t>Profit Margins</t>
  </si>
  <si>
    <t>Cumulative revenue</t>
  </si>
  <si>
    <t>Expense Breakdown</t>
  </si>
  <si>
    <t>Performance Summary (Five-Year)</t>
  </si>
  <si>
    <t>Income Statement (LTM)</t>
  </si>
  <si>
    <t>5-Yr Avg</t>
  </si>
  <si>
    <t>Trend</t>
  </si>
  <si>
    <t>Actual</t>
  </si>
  <si>
    <t>Prev Year</t>
  </si>
  <si>
    <t>Variance</t>
  </si>
  <si>
    <t>Var %</t>
  </si>
  <si>
    <t>COGS</t>
  </si>
  <si>
    <t>Expenses</t>
  </si>
  <si>
    <t>Net Margin (%)</t>
  </si>
  <si>
    <t>P&amp;L Summary (LTM)</t>
  </si>
  <si>
    <t>Balance Sheet Summary (LTM)</t>
  </si>
  <si>
    <t>Assets</t>
  </si>
  <si>
    <t>Current Assets</t>
  </si>
  <si>
    <t>Non-current Assets</t>
  </si>
  <si>
    <t>SG&amp;A</t>
  </si>
  <si>
    <t>R&amp;D</t>
  </si>
  <si>
    <t>D&amp;A</t>
  </si>
  <si>
    <t>Liabilities</t>
  </si>
  <si>
    <t>Interest</t>
  </si>
  <si>
    <t>Current Liabilities</t>
  </si>
  <si>
    <t>Long-term Liabilities</t>
  </si>
  <si>
    <t>Shareholders' Equity</t>
  </si>
  <si>
    <t>Projected Business Performance</t>
  </si>
  <si>
    <t>Football Field Chart — Valuation Inputs</t>
  </si>
  <si>
    <t>All figures in USD Thousands unless stated</t>
  </si>
  <si>
    <t>Delta ($)</t>
  </si>
  <si>
    <t>Company Information</t>
  </si>
  <si>
    <t>52-Week Trading Range</t>
  </si>
  <si>
    <t>Consensus Research</t>
  </si>
  <si>
    <t>Precedent Transactions</t>
  </si>
  <si>
    <t>Sector</t>
  </si>
  <si>
    <t>Sum-of-the-Parts</t>
  </si>
  <si>
    <t>Discounted Cash Flow</t>
  </si>
  <si>
    <t>Financial Data — Multi-Year</t>
  </si>
  <si>
    <t>Stock Chart: Trailing 52-Weeks</t>
  </si>
  <si>
    <t>Valuation Summary: Football Field Chart</t>
  </si>
  <si>
    <t>Revenue Growth (%)</t>
  </si>
  <si>
    <t>EBITDA Growth (%)</t>
  </si>
  <si>
    <t>Revenue — Products</t>
  </si>
  <si>
    <t>Cost of Revenue (COGS)</t>
  </si>
  <si>
    <t>Total Revenue</t>
  </si>
  <si>
    <t>Cash from Ops (CFO)</t>
  </si>
  <si>
    <t>Total Revenue ($M)</t>
  </si>
  <si>
    <t>Other Financial Metrics ($ Millier)</t>
  </si>
  <si>
    <t>Low</t>
  </si>
  <si>
    <t>Delta</t>
  </si>
  <si>
    <t>High</t>
  </si>
  <si>
    <t>Precedent Trans.</t>
  </si>
  <si>
    <t>CFO</t>
  </si>
  <si>
    <t>CFO ($M)</t>
  </si>
  <si>
    <t>STOCK_DATA — Apple Inc. (AAPL) — Trailing 52 Weeks</t>
  </si>
  <si>
    <t>#</t>
  </si>
  <si>
    <t>Month</t>
  </si>
  <si>
    <t>Close Price ($)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</si>
  <si>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</si>
  <si>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</si>
  <si>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</si>
  <si>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</si>
  <si>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</si>
  <si>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</si>
  <si>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</si>
  <si>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</si>
  <si>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</si>
  <si>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</si>
  <si>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</si>
  <si>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</si>
  <si>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⚠️  Données simulées. Remplacer par données réelles (Bloomberg/FactSet) en colonne B (Mois) et C (Prix).</t>
  </si>
  <si>
    <t>Driver</t>
  </si>
  <si>
    <t>Pessimiste</t>
  </si>
  <si>
    <t>Realiste</t>
  </si>
  <si>
    <t>Optimiste</t>
  </si>
  <si>
    <t>Technologie / SaaS</t>
  </si>
  <si>
    <t>SG&amp;A (% Revenue)</t>
  </si>
  <si>
    <t>R&amp;D (% Revenue)</t>
  </si>
  <si>
    <t>CapEx (% Revenue)</t>
  </si>
  <si>
    <t>Change in NWC (% Rev Change)</t>
  </si>
  <si>
    <t>EV/EBITDA Exit Multiple</t>
  </si>
  <si>
    <t>Industrie / Manufacturing</t>
  </si>
  <si>
    <t>Consommation / Retail</t>
  </si>
  <si>
    <t>Luxe / Premium</t>
  </si>
  <si>
    <t>Energie / Utilities</t>
  </si>
  <si>
    <t>Sante / Pharma</t>
  </si>
  <si>
    <t>VALUATION RATIOS — OIL &amp; GAS</t>
  </si>
  <si>
    <t>EV / EBITDAX</t>
  </si>
  <si>
    <t>EV / Production ($/BOE/d)</t>
  </si>
  <si>
    <t>Price / Reserves 1P (EV/BOE)</t>
  </si>
  <si>
    <t>FCF Yield @ current strip</t>
  </si>
  <si>
    <t>EBITDAX Margin</t>
  </si>
  <si>
    <t>Net Debt / EBITDAX</t>
  </si>
  <si>
    <t>EV / DACF (Debt-Adjusted Cash Flow)</t>
  </si>
  <si>
    <t>EBITDAX
(LTM)</t>
  </si>
  <si>
    <t>Target: EBITDAX (LTM)</t>
  </si>
  <si>
    <t>Target: DACF (LTM)</t>
  </si>
  <si>
    <t>EV / EBITDAX — Implied EV ($M)</t>
  </si>
  <si>
    <t>EV / DACF — Implied EV ($M)</t>
  </si>
  <si>
    <t>EBITDAX Margin (OIL_GAS)</t>
  </si>
  <si>
    <t>EBITDA (EBITDAX)</t>
  </si>
  <si>
    <t>Energie / Oil &amp; Gas</t>
  </si>
  <si>
    <t>Exploration Expense (% Revenue)</t>
  </si>
  <si>
    <t>Production Cost (% Revenue)</t>
  </si>
  <si>
    <t>Gross Margin (after royalties)</t>
  </si>
  <si>
    <t>SOTP — Sum-of-the-Parts Valuation</t>
  </si>
  <si>
    <t>SOTP</t>
  </si>
  <si>
    <t>All figures in USD millions unless stated | Segments: Upstream / iGRP (LNG+Gas) / Renewables &amp; Power / Refining &amp; Chemicals</t>
  </si>
  <si>
    <t>SEGMENT OVERVIEW</t>
  </si>
  <si>
    <t>Segment</t>
  </si>
  <si>
    <t>Implied EV ($M)</t>
  </si>
  <si>
    <t>% of Total EV</t>
  </si>
  <si>
    <t>1. Exploration &amp; Production (Upstream)</t>
  </si>
  <si>
    <t>Upstream</t>
  </si>
  <si>
    <t>2. Integrated Gas, Renewables &amp; Power (iGRP)</t>
  </si>
  <si>
    <t>iGRP / LNG</t>
  </si>
  <si>
    <t>3. Renewables &amp; Power (R&amp;P)</t>
  </si>
  <si>
    <t>Renewables</t>
  </si>
  <si>
    <t>4. Refining, Chemicals &amp; Marketing (RCM)</t>
  </si>
  <si>
    <t>Refining</t>
  </si>
  <si>
    <t>5. Corporate / Holding (Overhead &amp; Eliminations)</t>
  </si>
  <si>
    <t>Corporate</t>
  </si>
  <si>
    <t>TOTAL GROSS ASSET VALUE (Sum of Parts)</t>
  </si>
  <si>
    <t>BRIDGE TO EQUITY VALUE</t>
  </si>
  <si>
    <t>Total Gross Asset Value (Segment EV)</t>
  </si>
  <si>
    <t>(-) Net Debt (LTM)</t>
  </si>
  <si>
    <t>(+) Minorities &amp; Hybrid Adj. (approx.)</t>
  </si>
  <si>
    <t>IMPLIED EQUITY VALUE (SOTP)</t>
  </si>
  <si>
    <t>Shares Outstanding (Diluted, M)</t>
  </si>
  <si>
    <t>IMPLIED SHARE PRICE (SOTP) ($)</t>
  </si>
  <si>
    <t>SENSITIVITY — Implied Share Price ($) vs Upstream EV/EBITDA &amp; LNG EV/EBITDA</t>
  </si>
  <si>
    <t>LNG (iGRP) EV/EBITDA →</t>
  </si>
  <si>
    <t>Upstream (E6) ↓</t>
  </si>
  <si>
    <t>METHODOLOGY NOTES</t>
  </si>
  <si>
    <t>(1) EBITDA by segment are estimates based on TTE Factbook 2024 &amp; analyst consensus. Update D6:D10 with actual reported segment EBITDA when available.</t>
  </si>
  <si>
    <t>(2) EV/EBITDA multiples sourced from Bloomberg sector comparables (E&amp;P peers, LNG peers, Renewables peers, Refining peers).</t>
  </si>
  <si>
    <t>(3) Net Debt linked to INPUT LTM Balance Sheet (ST Debt + LT Debt - Cash). Minorities adj. ($8B) is an estimate.</t>
  </si>
  <si>
    <t>(4) Sensitivity table (rows 27-29): Yellow = base case (Upstream 5.5x / LNG 7.5x). Adjust inputs in D6:E10.</t>
  </si>
  <si>
    <t>OIL &amp; GAS OPERATIONAL METRICS</t>
  </si>
  <si>
    <t>CapEx / DD&amp;A (Reinvestment Rate)</t>
  </si>
  <si>
    <t>DACF (Debt-Adjusted Cash Flow, $M)</t>
  </si>
  <si>
    <t>EBITDAX ($M)</t>
  </si>
  <si>
    <t>FCF Yield @ Current Strip (%)</t>
  </si>
  <si>
    <t>Shareholder Yield (Div + Buyback / Mkt Cap)</t>
  </si>
  <si>
    <t>OIL &amp; GAS KPIs (LTM)</t>
  </si>
  <si>
    <t>EV/DACF</t>
  </si>
  <si>
    <t>Bmk: 5-8x • FCF Yield:</t>
  </si>
  <si>
    <t>Net Debt/EBITDAX</t>
  </si>
  <si>
    <t>OIL PRICE DECK &amp; REVENUE SENSITIVITY</t>
  </si>
  <si>
    <t>Revenue Sensitivity (per $1/bbl Brent)</t>
  </si>
  <si>
    <t>Brent Reference Price LTM ($/bbl)</t>
  </si>
  <si>
    <t>Brent-Adjusted Revenue Growth (Y1-Y5)</t>
  </si>
  <si>
    <t>Yes</t>
  </si>
  <si>
    <t>Brent Crude — Bear / Base / Bull ($/bbl)</t>
  </si>
  <si>
    <t>Bear  |  Base  |  Bull</t>
  </si>
  <si>
    <t>Active Brent Price ($/bbl) — change here</t>
  </si>
  <si>
    <t>Use Brent Deck? (Yes = Brent-adj. / No = Historical)</t>
  </si>
  <si>
    <t>Base</t>
  </si>
  <si>
    <t>Bear ($60)</t>
  </si>
  <si>
    <t>Base ($75)</t>
  </si>
  <si>
    <t>Bull ($90)</t>
  </si>
  <si>
    <t xml:space="preserve">  COGS</t>
  </si>
  <si>
    <t xml:space="preserve">  SG&amp;A</t>
  </si>
  <si>
    <t xml:space="preserve">  R&amp;D</t>
  </si>
  <si>
    <t xml:space="preserve">  D&amp;A</t>
  </si>
  <si>
    <t xml:space="preserve">  Net Interest</t>
  </si>
  <si>
    <t>EBT (Pre-Tax Income)</t>
  </si>
  <si>
    <t xml:space="preserve">  Income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</si>
</sst>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6" formatCode="#,##0\ &quot;€&quot;;[Red]\-#,##0\ &quot;€&quot;"/>
    <numFmt numFmtId="43" formatCode="_-* #,##0.00_-;\-* #,##0.00_-;_-* &quot;-&quot;??_-;_-@_-"/>
    <numFmt numFmtId="164" formatCode="_(#,##0_);\(#,##0\);_(&quot;–&quot;_);_(@_)"/>
    <numFmt numFmtId="165" formatCode="_(0_);\(0\);_(&quot;–&quot;_);_(@_)"/>
    <numFmt numFmtId="166" formatCode="_(0.000_);\(0.000\);_(&quot;–&quot;_);_(@_)"/>
    <numFmt numFmtId="167" formatCode="_(#,##0.0%_);\(#,##0.0%\);_(&quot;–&quot;_);_(@_)"/>
    <numFmt numFmtId="168" formatCode="_(#,##0.00_);\(#,##0.00\);_(&quot;–&quot;_);_(@_)"/>
    <numFmt numFmtId="169" formatCode="0.0%"/>
    <numFmt numFmtId="170" formatCode="_(* #,##0_);_(* \(#,##0\);_(* &quot;-&quot;??_);_(@_)"/>
    <numFmt numFmtId="171" formatCode="_(#,##0%_);\(#,##0%\);_(&quot;–&quot;_);_(@_)"/>
    <numFmt numFmtId="172" formatCode="&quot;€&quot;#,##0;\(&quot;€&quot;#,##0\);\-"/>
    <numFmt numFmtId="173" formatCode="0.0\x"/>
    <numFmt numFmtId="174" formatCode="&quot;€&quot;#,##0.00"/>
    <numFmt numFmtId="175" formatCode="0.0"/>
    <numFmt numFmtId="177" formatCode="&quot;€&quot;#,##0.00;\(&quot;€&quot;#,##0.00\);\-"/>
    <numFmt numFmtId="178" formatCode="_(0.0\x_);\(0.0\x\);_(&quot;–&quot;_);_(@_)"/>
    <numFmt numFmtId="179" formatCode="_(#,##0.0_);\(#,##0.0\);_(&quot;–&quot;_);_(@_)"/>
    <numFmt numFmtId="180" formatCode="0.000"/>
    <numFmt numFmtId="181" formatCode="&quot;€&quot;#,##0"/>
    <numFmt numFmtId="182" formatCode="&quot;€&quot;#,##0_);\(&quot;€&quot;#,##0\)"/>
    <numFmt numFmtId="183" formatCode="0.00\x"/>
    <numFmt numFmtId="184" formatCode=";;;"/>
    <numFmt numFmtId="185" formatCode="_(&quot;$&quot;* #,##0.00_);_(&quot;$&quot;* \(#,##0.00\);_(&quot;$&quot;* &quot;-&quot;??_);_(@_)"/>
    <numFmt numFmtId="186" formatCode="_(#,##0.0_);\(#,##0.0\);_(&quot;\u2013&quot;_);_(@_)"/>
    <numFmt numFmtId="187" formatCode="#,##0.0"/>
    <numFmt numFmtId="189" formatCode="&quot;€&quot;#,##0;\(&quot;€&quot;#,##0\);"/>
  </numFmts>
  <fonts count="138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Open Sans"/>
      <family val="2"/>
    </font>
    <font>
      <b/>
      <sz val="10"/>
      <color rgb="FF132E57"/>
      <name val="Open Sans"/>
      <family val="2"/>
    </font>
    <font>
      <sz val="9"/>
      <color rgb="FFFFFFFF"/>
      <name val="Open Sans"/>
      <family val="2"/>
    </font>
    <font>
      <sz val="10"/>
      <color theme="1"/>
      <name val="Open Sans"/>
      <family val="2"/>
    </font>
    <font>
      <b/>
      <sz val="10"/>
      <color rgb="FFFFFFFF"/>
      <name val="Open Sans"/>
      <family val="2"/>
    </font>
    <font>
      <b/>
      <sz val="10"/>
      <color rgb="FF3271D2"/>
      <name val="Open Sans"/>
      <family val="2"/>
    </font>
    <font>
      <sz val="10"/>
      <color rgb="FF3271D2"/>
      <name val="Open Sans"/>
      <family val="2"/>
    </font>
    <font>
      <b/>
      <sz val="10"/>
      <color theme="1"/>
      <name val="Open Sans"/>
      <family val="2"/>
    </font>
    <font>
      <i/>
      <sz val="10"/>
      <color rgb="FF595959"/>
      <name val="Open Sans"/>
      <family val="2"/>
    </font>
    <font>
      <sz val="10"/>
      <color rgb="FFFFFFFF"/>
      <name val="Open Sans"/>
      <family val="2"/>
    </font>
    <font>
      <b/>
      <sz val="10"/>
      <color rgb="FF000000"/>
      <name val="Open Sans"/>
      <family val="2"/>
    </font>
    <font>
      <sz val="9"/>
      <color rgb="FF000000"/>
      <name val="Open Sans"/>
      <family val="2"/>
    </font>
    <font>
      <i/>
      <sz val="10"/>
      <color rgb="FF3271D2"/>
      <name val="Open Sans"/>
      <family val="2"/>
    </font>
    <font>
      <b/>
      <sz val="10"/>
      <color rgb="FF1B3E70"/>
      <name val="Open Sans"/>
      <family val="2"/>
    </font>
    <font>
      <b/>
      <sz val="14"/>
      <color rgb="FF3271D2"/>
      <name val="Open Sans"/>
      <family val="2"/>
    </font>
    <font>
      <sz val="8"/>
      <color rgb="FF595959"/>
      <name val="Open Sans"/>
      <family val="2"/>
    </font>
    <font>
      <b/>
      <sz val="8"/>
      <color rgb="FF595959"/>
      <name val="Open Sans"/>
      <family val="2"/>
    </font>
    <font>
      <i/>
      <sz val="9"/>
      <color rgb="FF000000"/>
      <name val="Open Sans"/>
      <family val="2"/>
    </font>
    <font>
      <b/>
      <sz val="14"/>
      <color rgb="FF3271D2"/>
      <name val="Aptos Narrow"/>
      <family val="2"/>
      <scheme val="minor"/>
    </font>
    <font>
      <sz val="10"/>
      <color rgb="FF132E57"/>
      <name val="Open Sans"/>
      <family val="2"/>
    </font>
    <font>
      <i/>
      <sz val="9"/>
      <color rgb="FF595959"/>
      <name val="Open Sans"/>
      <family val="2"/>
    </font>
    <font>
      <sz val="9"/>
      <color rgb="FF595959"/>
      <name val="Aptos Narrow"/>
      <family val="2"/>
      <scheme val="minor"/>
    </font>
    <font>
      <sz val="9"/>
      <color rgb="FF132E57"/>
      <name val="Open Sans"/>
      <family val="2"/>
    </font>
    <font>
      <b/>
      <sz val="8"/>
      <color rgb="FF132E57"/>
      <name val="Open Sans"/>
      <family val="2"/>
    </font>
    <font>
      <b/>
      <sz val="11"/>
      <color rgb="FF132E57"/>
      <name val="Aptos Narrow"/>
      <family val="2"/>
      <scheme val="minor"/>
    </font>
    <font>
      <b/>
      <sz val="10"/>
      <color rgb="FF132E57"/>
      <name val="Aptos Narrow"/>
      <family val="2"/>
      <scheme val="minor"/>
    </font>
    <font>
      <b/>
      <sz val="9"/>
      <color rgb="FF132E57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Open Sans"/>
      <family val="2"/>
    </font>
    <font>
      <b/>
      <sz val="10"/>
      <color rgb="FF000000"/>
      <name val="Open Sans"/>
      <family val="2"/>
    </font>
    <font>
      <sz val="8"/>
      <color rgb="FF595959"/>
      <name val="Open Sans"/>
      <family val="2"/>
    </font>
    <font>
      <b/>
      <sz val="10"/>
      <color rgb="FFFFFFFF"/>
      <name val="Open Sans"/>
      <family val="2"/>
    </font>
    <font>
      <b/>
      <sz val="18"/>
      <color rgb="FFFFFFFF"/>
      <name val="Open Sans"/>
      <family val="2"/>
    </font>
    <font>
      <sz val="10"/>
      <color rgb="FF3271D2"/>
      <name val="Open Sans"/>
      <family val="2"/>
    </font>
    <font>
      <b/>
      <sz val="10"/>
      <color rgb="FFFFFFFF"/>
      <name val="Aptos Narrow"/>
      <family val="2"/>
      <scheme val="minor"/>
    </font>
    <font>
      <b/>
      <sz val="12"/>
      <color rgb="FF000000"/>
      <name val="Open Sans"/>
      <family val="2"/>
    </font>
    <font>
      <sz val="8"/>
      <color rgb="FF000000"/>
      <name val="Open Sans"/>
      <family val="2"/>
    </font>
    <font>
      <sz val="14"/>
      <color rgb="FF000000"/>
      <name val="Open Sans"/>
      <family val="2"/>
    </font>
    <font>
      <sz val="10"/>
      <color rgb="FFFFFFFF"/>
      <name val="Open Sans"/>
      <family val="2"/>
    </font>
    <font>
      <b/>
      <sz val="14"/>
      <color rgb="FF3271D2"/>
      <name val="Open Sans"/>
      <family val="2"/>
    </font>
    <font>
      <sz val="10"/>
      <color theme="1"/>
      <name val="Open Sans"/>
      <family val="2"/>
    </font>
    <font>
      <sz val="10"/>
      <color rgb="FF0000FF"/>
      <name val="Open Sans"/>
      <family val="2"/>
    </font>
    <font>
      <sz val="10"/>
      <color rgb="FF000000"/>
      <name val="Aptos Narrow"/>
      <family val="2"/>
      <scheme val="minor"/>
    </font>
    <font>
      <sz val="11"/>
      <name val="Open Sans"/>
      <family val="2"/>
    </font>
    <font>
      <u/>
      <sz val="10"/>
      <color theme="10"/>
      <name val="Arial"/>
      <family val="2"/>
    </font>
    <font>
      <sz val="11"/>
      <color theme="1"/>
      <name val="Open Sans"/>
      <family val="2"/>
    </font>
    <font>
      <sz val="10"/>
      <name val="Arial"/>
      <family val="2"/>
    </font>
    <font>
      <sz val="14"/>
      <color theme="1"/>
      <name val="Open Sans"/>
      <family val="2"/>
    </font>
    <font>
      <b/>
      <sz val="10"/>
      <color theme="1"/>
      <name val="Open Sans"/>
      <family val="2"/>
    </font>
    <font>
      <i/>
      <sz val="9"/>
      <color theme="1"/>
      <name val="Aptos Narrow"/>
      <family val="2"/>
      <scheme val="minor"/>
    </font>
    <font>
      <i/>
      <sz val="9"/>
      <color theme="1"/>
      <name val="Open Sans"/>
      <family val="2"/>
    </font>
    <font>
      <sz val="11"/>
      <color rgb="FFFFFFFF"/>
      <name val="Open Sans"/>
      <family val="2"/>
    </font>
    <font>
      <b/>
      <sz val="10"/>
      <color rgb="FF000000"/>
      <name val="Aptos Narrow"/>
      <family val="2"/>
      <scheme val="minor"/>
    </font>
    <font>
      <sz val="10"/>
      <color rgb="FF3271D2"/>
      <name val="Aptos Narrow"/>
      <family val="2"/>
      <scheme val="minor"/>
    </font>
    <font>
      <sz val="12"/>
      <color theme="1"/>
      <name val="Open Sans"/>
      <family val="2"/>
    </font>
    <font>
      <b/>
      <sz val="12"/>
      <color theme="1"/>
      <name val="Open Sans"/>
      <family val="2"/>
    </font>
    <font>
      <sz val="12"/>
      <color rgb="FF000000"/>
      <name val="Open Sans"/>
      <family val="2"/>
    </font>
    <font>
      <sz val="12"/>
      <color theme="0" tint="-0.499984740745262"/>
      <name val="Open Sans"/>
      <family val="2"/>
    </font>
    <font>
      <sz val="12"/>
      <color theme="1" tint="0.499984740745262"/>
      <name val="Open Sans"/>
      <family val="2"/>
    </font>
    <font>
      <i/>
      <sz val="9"/>
      <color rgb="FFA3A3A3"/>
      <name val="Aptos Narrow"/>
      <family val="2"/>
      <scheme val="minor"/>
    </font>
    <font>
      <sz val="11"/>
      <color rgb="FF141413"/>
      <name val="Segoe UI"/>
      <family val="2"/>
    </font>
    <font>
      <i/>
      <sz val="11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11"/>
      <color theme="0"/>
      <name val="Open Sans"/>
      <family val="2"/>
    </font>
    <font>
      <sz val="12"/>
      <color theme="0"/>
      <name val="Open Sans"/>
      <family val="2"/>
    </font>
    <font>
      <b/>
      <sz val="11"/>
      <color theme="1"/>
      <name val="Open Sans"/>
      <family val="2"/>
    </font>
    <font>
      <i/>
      <sz val="10"/>
      <color rgb="FFFFFFFF"/>
      <name val="Open Sans"/>
      <family val="2"/>
    </font>
    <font>
      <i/>
      <sz val="10"/>
      <color theme="1"/>
      <name val="Open Sans"/>
      <family val="2"/>
    </font>
    <font>
      <b/>
      <i/>
      <sz val="14"/>
      <color rgb="FF3271D2"/>
      <name val="Open Sans"/>
      <family val="2"/>
    </font>
    <font>
      <b/>
      <i/>
      <sz val="10"/>
      <color rgb="FF132E57"/>
      <name val="Open Sans"/>
      <family val="2"/>
    </font>
    <font>
      <b/>
      <sz val="10"/>
      <color rgb="FFCCCCCC"/>
      <name val="Open Sans"/>
      <family val="2"/>
    </font>
    <font>
      <sz val="10"/>
      <color rgb="FFAAAAAA"/>
      <name val="Open Sans"/>
      <family val="2"/>
    </font>
    <font>
      <b/>
      <sz val="9"/>
      <color rgb="FF132E57"/>
      <name val="Open Sans"/>
      <family val="2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"/>
      <color rgb="FFFFFFFF"/>
      <name val="Aptos Narrow"/>
      <family val="2"/>
      <scheme val="minor"/>
    </font>
    <font>
      <b/>
      <sz val="14"/>
      <color rgb="FFFFFFFF"/>
      <name val="Open Sans"/>
      <family val="2"/>
    </font>
    <font>
      <b/>
      <sz val="8"/>
      <color rgb="FFFFFFFF"/>
      <name val="Open San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1"/>
      <name val="Aptos Narrow"/>
      <family val="2"/>
      <scheme val="minor"/>
    </font>
    <font>
      <b/>
      <sz val="10"/>
      <color rgb="FF3271D2"/>
      <name val="Aptos Narrow"/>
      <family val="2"/>
      <scheme val="minor"/>
    </font>
    <font>
      <b/>
      <sz val="14"/>
      <color rgb="FFE7F2FF"/>
      <name val="Open Sans"/>
      <family val="2"/>
    </font>
    <font>
      <sz val="8"/>
      <color rgb="FFFFFFFF"/>
      <name val="Open Sans"/>
      <family val="2"/>
    </font>
    <font>
      <sz val="14"/>
      <color theme="0"/>
      <name val="Open Sans"/>
      <family val="2"/>
    </font>
    <font>
      <sz val="8"/>
      <color theme="0"/>
      <name val="Open Sans"/>
      <family val="2"/>
    </font>
    <font>
      <b/>
      <sz val="8"/>
      <color theme="0"/>
      <name val="Open Sans"/>
      <family val="2"/>
    </font>
    <font>
      <b/>
      <sz val="14"/>
      <color theme="0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b/>
      <sz val="8"/>
      <color rgb="FFD9E5F7"/>
      <name val="Open Sans"/>
      <family val="2"/>
    </font>
    <font>
      <sz val="11"/>
      <color rgb="FF000000"/>
      <name val="Aptos Narrow"/>
      <family val="2"/>
      <scheme val="minor"/>
    </font>
    <font>
      <sz val="10"/>
      <name val="Open Sans"/>
      <family val="2"/>
    </font>
    <font>
      <b/>
      <sz val="11"/>
      <color rgb="FF000000"/>
      <name val="Aptos Narrow"/>
      <family val="2"/>
      <scheme val="minor"/>
    </font>
    <font>
      <b/>
      <sz val="10"/>
      <color rgb="FFD9E5F7"/>
      <name val="Open Sans"/>
      <family val="2"/>
    </font>
    <font>
      <sz val="11"/>
      <color rgb="FF000000"/>
      <name val="Open Sans"/>
      <family val="2"/>
    </font>
    <font>
      <sz val="11"/>
      <color rgb="FF1F2D3D"/>
      <name val="Open Sans"/>
      <family val="2"/>
    </font>
    <font>
      <b/>
      <sz val="10"/>
      <color rgb="FF1A1A2E"/>
      <name val="Open Sans"/>
      <family val="2"/>
    </font>
    <font>
      <sz val="10"/>
      <color rgb="FF1A1A2E"/>
      <name val="Open Sans"/>
      <family val="2"/>
    </font>
    <font>
      <sz val="11"/>
      <color rgb="FF1A1A2E"/>
      <name val="Open Sans"/>
      <family val="2"/>
    </font>
    <font>
      <sz val="10"/>
      <color rgb="FF555555"/>
      <name val="Open Sans"/>
      <family val="2"/>
    </font>
    <font>
      <sz val="10"/>
      <color rgb="FF1A1A2E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1A1A2E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10"/>
      <color rgb="FF3271D2"/>
      <name val="Open Sans"/>
    </font>
    <font>
      <b/>
      <sz val="10"/>
      <color rgb="FF3271D2"/>
      <name val="Open Sans"/>
    </font>
    <font>
      <b/>
      <sz val="14"/>
      <color rgb="FF3271D2"/>
      <name val="Open Sans"/>
    </font>
    <font>
      <sz val="10"/>
      <color rgb="FF000000"/>
      <name val="Open Sans"/>
    </font>
    <font>
      <sz val="8"/>
      <color rgb="FF595959"/>
      <name val="Open Sans"/>
    </font>
    <font>
      <b/>
      <sz val="10"/>
      <color rgb="FF000000"/>
      <name val="Open Sans"/>
    </font>
    <font>
      <sz val="10"/>
      <color rgb="FFFFFFFF"/>
      <name val="Open San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FF"/>
      <name val="Open Sans"/>
      <family val="2"/>
    </font>
    <font>
      <b/>
      <sz val="10"/>
      <color rgb="FF0000FF"/>
      <name val="Open Sans"/>
    </font>
    <font>
      <sz val="10"/>
      <color rgb="FF0000FF"/>
      <name val="Open Sans"/>
    </font>
    <font>
      <b/>
      <sz val="10"/>
      <color rgb="FF132E57"/>
      <name val="Open Sans"/>
    </font>
    <font>
      <i/>
      <sz val="9"/>
      <color rgb="FF595959"/>
      <name val="Open Sans"/>
    </font>
    <font>
      <b/>
      <sz val="18"/>
      <color rgb="FFFFFFFF"/>
      <name val="Open Sans"/>
    </font>
    <font>
      <b/>
      <sz val="10"/>
      <color rgb="FFFFFFFF"/>
      <name val="Open Sans"/>
    </font>
    <font>
      <sz val="9"/>
      <color rgb="FF000000"/>
      <name val="Open Sans"/>
    </font>
    <font>
      <b/>
      <sz val="9"/>
      <color rgb="FF132E57"/>
      <name val="Open Sans"/>
    </font>
    <font>
      <b/>
      <sz val="9"/>
      <color rgb="FF000000"/>
      <name val="Open Sans"/>
    </font>
    <font>
      <i/>
      <sz val="10"/>
      <color rgb="FFFFFFFF"/>
      <name val="Open Sans"/>
    </font>
    <font>
      <b/>
      <sz val="12"/>
      <color rgb="FF3271D2"/>
      <name val="Open Sans"/>
    </font>
    <font>
      <i/>
      <sz val="8"/>
      <color rgb="FF595959"/>
      <name val="Open Sans"/>
      <family val="2"/>
    </font>
    <font>
      <b/>
      <i/>
      <sz val="10"/>
      <color rgb="FF3271D2"/>
      <name val="Open Sans"/>
      <family val="2"/>
    </font>
    <font>
      <sz val="7"/>
      <color rgb="FF000000"/>
      <name val="Open Sans"/>
      <family val="2"/>
    </font>
    <font>
      <b/>
      <sz val="10"/>
      <name val="Open Sans"/>
      <family val="2"/>
    </font>
    <font>
      <sz val="12"/>
      <color rgb="FFE03C31"/>
      <name val="Open Sans"/>
      <family val="2"/>
    </font>
    <font>
      <sz val="12"/>
      <color rgb="FF00A652"/>
      <name val="Open Sans"/>
      <family val="2"/>
    </font>
    <font>
      <b/>
      <i/>
      <sz val="10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3271D2"/>
      </top>
      <bottom/>
      <diagonal/>
    </border>
    <border>
      <left/>
      <right/>
      <top/>
      <bottom style="double">
        <color rgb="FF000000"/>
      </bottom>
      <diagonal/>
    </border>
  </borders>
  <cellStyleXfs count="8">
    <xf numFmtId="0" fontId="0" fillId="0" borderId="0"/>
    <xf numFmtId="43" fontId="30" fillId="0" borderId="0"/>
    <xf numFmtId="0" fontId="30" fillId="0" borderId="0"/>
    <xf numFmtId="0" fontId="49" fillId="0" borderId="0"/>
    <xf numFmtId="0" fontId="51" fillId="0" borderId="0"/>
    <xf numFmtId="185" fontId="30" fillId="0" borderId="0"/>
    <xf numFmtId="9" fontId="30" fillId="0" borderId="0"/>
    <xf numFmtId="0" fontId="30" fillId="0" borderId="0"/>
  </cellStyleXfs>
  <cellXfs count="545">
    <xf numFmtId="0" fontId="0" fillId="0" borderId="0" xfId="0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12" fillId="4" borderId="0" xfId="0" applyFont="1" applyFill="1"/>
    <xf numFmtId="0" fontId="7" fillId="6" borderId="0" xfId="0" applyFont="1" applyFill="1"/>
    <xf numFmtId="0" fontId="12" fillId="6" borderId="0" xfId="0" applyFont="1" applyFill="1"/>
    <xf numFmtId="0" fontId="17" fillId="2" borderId="0" xfId="0" applyFont="1" applyFill="1"/>
    <xf numFmtId="6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7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6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6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7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7" fillId="6" borderId="0" xfId="0" applyFont="1" applyFill="1" applyAlignment="1">
      <alignment horizontal="left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7" fillId="6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>
      <alignment horizontal="right"/>
    </xf>
    <xf numFmtId="0" fontId="4" fillId="3" borderId="0" xfId="0" applyFont="1" applyFill="1" applyAlignment="1">
      <alignment horizontal="right" wrapText="1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9" fillId="0" borderId="0" xfId="0" applyFont="1" applyAlignment="1">
      <alignment horizontal="left" indent="1"/>
    </xf>
    <xf numFmtId="0" fontId="15" fillId="0" borderId="0" xfId="0" applyFont="1" applyAlignment="1">
      <alignment horizontal="left"/>
    </xf>
    <xf numFmtId="49" fontId="18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right"/>
    </xf>
    <xf numFmtId="0" fontId="17" fillId="2" borderId="0" xfId="0" applyFont="1" applyFill="1" applyAlignment="1">
      <alignment horizontal="center"/>
    </xf>
    <xf numFmtId="3" fontId="17" fillId="2" borderId="0" xfId="0" applyNumberFormat="1" applyFont="1" applyFill="1" applyAlignment="1">
      <alignment horizontal="right"/>
    </xf>
    <xf numFmtId="0" fontId="17" fillId="2" borderId="0" xfId="0" applyFont="1" applyFill="1" applyAlignment="1">
      <alignment horizontal="right" wrapText="1"/>
    </xf>
    <xf numFmtId="0" fontId="2" fillId="0" borderId="0" xfId="0" applyFont="1" applyAlignment="1">
      <alignment horizontal="left"/>
    </xf>
    <xf numFmtId="0" fontId="22" fillId="3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23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9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right"/>
    </xf>
    <xf numFmtId="0" fontId="10" fillId="0" borderId="0" xfId="0" applyFont="1" applyAlignment="1">
      <alignment horizontal="left" indent="1"/>
    </xf>
    <xf numFmtId="0" fontId="3" fillId="7" borderId="0" xfId="0" applyFont="1" applyFill="1" applyAlignment="1">
      <alignment horizontal="right"/>
    </xf>
    <xf numFmtId="167" fontId="3" fillId="7" borderId="0" xfId="0" applyNumberFormat="1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13" fillId="7" borderId="0" xfId="0" applyFont="1" applyFill="1" applyAlignment="1">
      <alignment horizontal="right"/>
    </xf>
    <xf numFmtId="167" fontId="6" fillId="7" borderId="0" xfId="0" applyNumberFormat="1" applyFont="1" applyFill="1" applyAlignment="1">
      <alignment horizontal="right"/>
    </xf>
    <xf numFmtId="0" fontId="10" fillId="7" borderId="0" xfId="0" applyFont="1" applyFill="1" applyAlignment="1">
      <alignment horizontal="right"/>
    </xf>
    <xf numFmtId="0" fontId="13" fillId="0" borderId="0" xfId="0" applyFont="1" applyAlignment="1">
      <alignment horizontal="left" indent="1"/>
    </xf>
    <xf numFmtId="0" fontId="10" fillId="0" borderId="3" xfId="0" applyFont="1" applyBorder="1" applyAlignment="1">
      <alignment horizontal="right"/>
    </xf>
    <xf numFmtId="168" fontId="13" fillId="7" borderId="3" xfId="0" applyNumberFormat="1" applyFont="1" applyFill="1" applyBorder="1" applyAlignment="1">
      <alignment horizontal="right"/>
    </xf>
    <xf numFmtId="0" fontId="13" fillId="7" borderId="0" xfId="0" applyFont="1" applyFill="1" applyAlignment="1">
      <alignment horizontal="left" indent="1"/>
    </xf>
    <xf numFmtId="0" fontId="13" fillId="7" borderId="0" xfId="0" applyFont="1" applyFill="1"/>
    <xf numFmtId="0" fontId="13" fillId="7" borderId="0" xfId="0" applyFont="1" applyFill="1" applyAlignment="1">
      <alignment horizontal="left"/>
    </xf>
    <xf numFmtId="0" fontId="6" fillId="7" borderId="0" xfId="0" applyFont="1" applyFill="1"/>
    <xf numFmtId="0" fontId="3" fillId="7" borderId="0" xfId="0" applyFont="1" applyFill="1" applyAlignment="1">
      <alignment horizontal="left" indent="1"/>
    </xf>
    <xf numFmtId="6" fontId="3" fillId="7" borderId="0" xfId="0" applyNumberFormat="1" applyFont="1" applyFill="1"/>
    <xf numFmtId="0" fontId="3" fillId="7" borderId="0" xfId="0" applyFont="1" applyFill="1"/>
    <xf numFmtId="0" fontId="3" fillId="7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25" fillId="3" borderId="0" xfId="0" applyFont="1" applyFill="1" applyAlignment="1">
      <alignment horizontal="left"/>
    </xf>
    <xf numFmtId="0" fontId="16" fillId="7" borderId="0" xfId="0" applyFont="1" applyFill="1" applyAlignment="1">
      <alignment horizontal="right"/>
    </xf>
    <xf numFmtId="1" fontId="4" fillId="3" borderId="0" xfId="0" applyNumberFormat="1" applyFont="1" applyFill="1" applyAlignment="1">
      <alignment horizontal="right"/>
    </xf>
    <xf numFmtId="1" fontId="13" fillId="5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center"/>
    </xf>
    <xf numFmtId="0" fontId="27" fillId="3" borderId="0" xfId="0" applyFont="1" applyFill="1"/>
    <xf numFmtId="0" fontId="0" fillId="7" borderId="0" xfId="0" applyFill="1"/>
    <xf numFmtId="0" fontId="28" fillId="3" borderId="0" xfId="0" applyFont="1" applyFill="1" applyAlignment="1">
      <alignment horizontal="left"/>
    </xf>
    <xf numFmtId="0" fontId="27" fillId="3" borderId="0" xfId="0" applyFont="1" applyFill="1" applyAlignment="1">
      <alignment horizontal="right"/>
    </xf>
    <xf numFmtId="0" fontId="29" fillId="3" borderId="0" xfId="0" applyFont="1" applyFill="1" applyAlignment="1">
      <alignment horizontal="left"/>
    </xf>
    <xf numFmtId="0" fontId="29" fillId="3" borderId="0" xfId="0" applyFont="1" applyFill="1" applyAlignment="1">
      <alignment horizontal="right"/>
    </xf>
    <xf numFmtId="0" fontId="21" fillId="0" borderId="0" xfId="0" applyFont="1" applyAlignment="1">
      <alignment horizontal="right"/>
    </xf>
    <xf numFmtId="0" fontId="32" fillId="0" borderId="0" xfId="0" applyFont="1"/>
    <xf numFmtId="0" fontId="31" fillId="0" borderId="0" xfId="0" applyFont="1"/>
    <xf numFmtId="0" fontId="27" fillId="0" borderId="0" xfId="0" applyFont="1"/>
    <xf numFmtId="0" fontId="33" fillId="0" borderId="0" xfId="0" applyFont="1" applyAlignment="1">
      <alignment horizontal="left"/>
    </xf>
    <xf numFmtId="0" fontId="34" fillId="7" borderId="0" xfId="0" applyFont="1" applyFill="1" applyAlignment="1">
      <alignment horizontal="right"/>
    </xf>
    <xf numFmtId="0" fontId="33" fillId="7" borderId="0" xfId="0" applyFont="1" applyFill="1" applyAlignment="1">
      <alignment horizontal="left"/>
    </xf>
    <xf numFmtId="0" fontId="35" fillId="7" borderId="0" xfId="0" applyFont="1" applyFill="1" applyAlignment="1">
      <alignment horizontal="center"/>
    </xf>
    <xf numFmtId="0" fontId="36" fillId="6" borderId="0" xfId="0" applyFont="1" applyFill="1" applyAlignment="1">
      <alignment horizontal="right"/>
    </xf>
    <xf numFmtId="0" fontId="37" fillId="6" borderId="0" xfId="0" applyFont="1" applyFill="1" applyAlignment="1">
      <alignment horizontal="left"/>
    </xf>
    <xf numFmtId="0" fontId="39" fillId="6" borderId="0" xfId="0" applyFont="1" applyFill="1" applyAlignment="1">
      <alignment horizontal="left"/>
    </xf>
    <xf numFmtId="0" fontId="17" fillId="7" borderId="0" xfId="0" applyFont="1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3" fontId="17" fillId="0" borderId="0" xfId="0" applyNumberFormat="1" applyFont="1" applyAlignment="1">
      <alignment horizontal="right"/>
    </xf>
    <xf numFmtId="0" fontId="17" fillId="7" borderId="0" xfId="0" applyFont="1" applyFill="1"/>
    <xf numFmtId="0" fontId="42" fillId="7" borderId="0" xfId="0" applyFont="1" applyFill="1"/>
    <xf numFmtId="0" fontId="42" fillId="7" borderId="0" xfId="0" applyFont="1" applyFill="1" applyAlignment="1">
      <alignment horizontal="left"/>
    </xf>
    <xf numFmtId="0" fontId="42" fillId="7" borderId="0" xfId="0" applyFont="1" applyFill="1" applyAlignment="1">
      <alignment horizontal="right"/>
    </xf>
    <xf numFmtId="0" fontId="10" fillId="7" borderId="0" xfId="0" applyFont="1" applyFill="1" applyAlignment="1">
      <alignment horizontal="left" indent="1"/>
    </xf>
    <xf numFmtId="0" fontId="33" fillId="7" borderId="0" xfId="0" applyFont="1" applyFill="1"/>
    <xf numFmtId="0" fontId="33" fillId="7" borderId="0" xfId="0" applyFont="1" applyFill="1" applyAlignment="1">
      <alignment horizontal="left" indent="1"/>
    </xf>
    <xf numFmtId="164" fontId="33" fillId="7" borderId="0" xfId="0" applyNumberFormat="1" applyFont="1" applyFill="1" applyAlignment="1">
      <alignment horizontal="right"/>
    </xf>
    <xf numFmtId="0" fontId="33" fillId="7" borderId="0" xfId="0" applyFont="1" applyFill="1" applyAlignment="1">
      <alignment horizontal="right"/>
    </xf>
    <xf numFmtId="0" fontId="8" fillId="7" borderId="0" xfId="0" applyFont="1" applyFill="1" applyAlignment="1">
      <alignment horizontal="left"/>
    </xf>
    <xf numFmtId="0" fontId="17" fillId="7" borderId="0" xfId="0" applyFont="1" applyFill="1" applyAlignment="1">
      <alignment horizontal="center"/>
    </xf>
    <xf numFmtId="0" fontId="43" fillId="6" borderId="0" xfId="0" applyFont="1" applyFill="1" applyAlignment="1">
      <alignment horizontal="right"/>
    </xf>
    <xf numFmtId="0" fontId="44" fillId="2" borderId="0" xfId="0" applyFont="1" applyFill="1"/>
    <xf numFmtId="0" fontId="44" fillId="2" borderId="0" xfId="0" applyFont="1" applyFill="1" applyAlignment="1">
      <alignment horizontal="left"/>
    </xf>
    <xf numFmtId="169" fontId="33" fillId="7" borderId="0" xfId="0" applyNumberFormat="1" applyFont="1" applyFill="1" applyAlignment="1">
      <alignment horizontal="right"/>
    </xf>
    <xf numFmtId="3" fontId="33" fillId="7" borderId="0" xfId="0" applyNumberFormat="1" applyFont="1" applyFill="1" applyAlignment="1">
      <alignment horizontal="right"/>
    </xf>
    <xf numFmtId="3" fontId="3" fillId="7" borderId="0" xfId="0" applyNumberFormat="1" applyFont="1" applyFill="1" applyAlignment="1">
      <alignment horizontal="right"/>
    </xf>
    <xf numFmtId="0" fontId="0" fillId="2" borderId="0" xfId="0" applyFill="1"/>
    <xf numFmtId="0" fontId="48" fillId="0" borderId="0" xfId="2" applyFont="1"/>
    <xf numFmtId="0" fontId="50" fillId="0" borderId="0" xfId="2" applyFont="1"/>
    <xf numFmtId="0" fontId="45" fillId="0" borderId="0" xfId="2" applyFont="1"/>
    <xf numFmtId="37" fontId="52" fillId="0" borderId="0" xfId="2" applyNumberFormat="1" applyFont="1" applyAlignment="1">
      <alignment vertical="center"/>
    </xf>
    <xf numFmtId="0" fontId="43" fillId="6" borderId="0" xfId="0" applyFont="1" applyFill="1"/>
    <xf numFmtId="0" fontId="54" fillId="0" borderId="0" xfId="0" applyFont="1"/>
    <xf numFmtId="0" fontId="55" fillId="0" borderId="0" xfId="0" applyFont="1"/>
    <xf numFmtId="0" fontId="53" fillId="0" borderId="0" xfId="0" applyFont="1"/>
    <xf numFmtId="0" fontId="53" fillId="0" borderId="0" xfId="0" applyFont="1" applyAlignment="1">
      <alignment horizontal="left"/>
    </xf>
    <xf numFmtId="0" fontId="53" fillId="7" borderId="0" xfId="0" applyFont="1" applyFill="1" applyAlignment="1">
      <alignment horizontal="left"/>
    </xf>
    <xf numFmtId="0" fontId="45" fillId="7" borderId="0" xfId="0" applyFont="1" applyFill="1" applyAlignment="1">
      <alignment horizontal="left"/>
    </xf>
    <xf numFmtId="0" fontId="50" fillId="7" borderId="0" xfId="0" applyFont="1" applyFill="1"/>
    <xf numFmtId="0" fontId="45" fillId="0" borderId="0" xfId="0" applyFont="1"/>
    <xf numFmtId="0" fontId="45" fillId="2" borderId="0" xfId="0" applyFont="1" applyFill="1"/>
    <xf numFmtId="0" fontId="56" fillId="6" borderId="0" xfId="0" applyFont="1" applyFill="1"/>
    <xf numFmtId="0" fontId="52" fillId="0" borderId="0" xfId="0" applyFont="1"/>
    <xf numFmtId="0" fontId="55" fillId="7" borderId="0" xfId="0" applyFont="1" applyFill="1"/>
    <xf numFmtId="0" fontId="45" fillId="7" borderId="0" xfId="0" applyFont="1" applyFill="1" applyAlignment="1">
      <alignment horizontal="center"/>
    </xf>
    <xf numFmtId="0" fontId="53" fillId="0" borderId="0" xfId="0" applyFont="1" applyAlignment="1">
      <alignment horizontal="center"/>
    </xf>
    <xf numFmtId="170" fontId="59" fillId="0" borderId="0" xfId="1" applyNumberFormat="1" applyFont="1"/>
    <xf numFmtId="0" fontId="2" fillId="0" borderId="0" xfId="0" applyFont="1"/>
    <xf numFmtId="0" fontId="45" fillId="0" borderId="0" xfId="0" applyFont="1" applyAlignment="1">
      <alignment horizontal="left"/>
    </xf>
    <xf numFmtId="0" fontId="64" fillId="7" borderId="0" xfId="0" applyFont="1" applyFill="1"/>
    <xf numFmtId="0" fontId="47" fillId="0" borderId="0" xfId="0" applyFont="1" applyAlignment="1">
      <alignment horizontal="left"/>
    </xf>
    <xf numFmtId="0" fontId="65" fillId="0" borderId="0" xfId="0" applyFont="1"/>
    <xf numFmtId="0" fontId="45" fillId="7" borderId="8" xfId="0" applyFont="1" applyFill="1" applyBorder="1" applyAlignment="1">
      <alignment horizontal="right"/>
    </xf>
    <xf numFmtId="0" fontId="50" fillId="7" borderId="8" xfId="0" applyFont="1" applyFill="1" applyBorder="1"/>
    <xf numFmtId="0" fontId="45" fillId="7" borderId="9" xfId="0" applyFont="1" applyFill="1" applyBorder="1" applyAlignment="1">
      <alignment horizontal="center"/>
    </xf>
    <xf numFmtId="10" fontId="0" fillId="0" borderId="0" xfId="0" applyNumberFormat="1"/>
    <xf numFmtId="0" fontId="32" fillId="6" borderId="0" xfId="0" applyFont="1" applyFill="1"/>
    <xf numFmtId="0" fontId="31" fillId="3" borderId="0" xfId="0" applyFont="1" applyFill="1"/>
    <xf numFmtId="0" fontId="67" fillId="0" borderId="0" xfId="0" applyFont="1"/>
    <xf numFmtId="0" fontId="59" fillId="0" borderId="0" xfId="0" applyFont="1"/>
    <xf numFmtId="0" fontId="34" fillId="0" borderId="0" xfId="0" applyFont="1" applyAlignment="1">
      <alignment vertical="center"/>
    </xf>
    <xf numFmtId="0" fontId="61" fillId="0" borderId="0" xfId="0" applyFont="1"/>
    <xf numFmtId="0" fontId="34" fillId="0" borderId="0" xfId="0" applyFont="1"/>
    <xf numFmtId="0" fontId="60" fillId="0" borderId="0" xfId="0" applyFont="1" applyAlignment="1">
      <alignment horizontal="right"/>
    </xf>
    <xf numFmtId="37" fontId="59" fillId="0" borderId="0" xfId="0" applyNumberFormat="1" applyFont="1" applyAlignment="1">
      <alignment vertical="top"/>
    </xf>
    <xf numFmtId="0" fontId="62" fillId="0" borderId="0" xfId="0" applyFont="1" applyAlignment="1">
      <alignment horizontal="right"/>
    </xf>
    <xf numFmtId="170" fontId="63" fillId="0" borderId="0" xfId="0" applyNumberFormat="1" applyFont="1"/>
    <xf numFmtId="171" fontId="48" fillId="0" borderId="0" xfId="2" applyNumberFormat="1" applyFont="1" applyAlignment="1">
      <alignment horizontal="right"/>
    </xf>
    <xf numFmtId="0" fontId="33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68" fillId="0" borderId="0" xfId="2" applyFont="1"/>
    <xf numFmtId="0" fontId="69" fillId="0" borderId="0" xfId="0" applyFont="1"/>
    <xf numFmtId="170" fontId="69" fillId="0" borderId="0" xfId="0" applyNumberFormat="1" applyFont="1"/>
    <xf numFmtId="43" fontId="0" fillId="0" borderId="0" xfId="1" applyFont="1"/>
    <xf numFmtId="0" fontId="56" fillId="0" borderId="0" xfId="0" applyFont="1"/>
    <xf numFmtId="0" fontId="33" fillId="7" borderId="6" xfId="0" applyFont="1" applyFill="1" applyBorder="1" applyAlignment="1">
      <alignment horizontal="centerContinuous"/>
    </xf>
    <xf numFmtId="0" fontId="50" fillId="7" borderId="6" xfId="0" applyFont="1" applyFill="1" applyBorder="1" applyAlignment="1">
      <alignment horizontal="centerContinuous"/>
    </xf>
    <xf numFmtId="0" fontId="34" fillId="7" borderId="6" xfId="0" applyFont="1" applyFill="1" applyBorder="1" applyAlignment="1">
      <alignment horizontal="centerContinuous"/>
    </xf>
    <xf numFmtId="0" fontId="70" fillId="7" borderId="6" xfId="0" applyFont="1" applyFill="1" applyBorder="1" applyAlignment="1">
      <alignment horizontal="centerContinuous"/>
    </xf>
    <xf numFmtId="43" fontId="50" fillId="7" borderId="0" xfId="1" applyFont="1" applyFill="1"/>
    <xf numFmtId="10" fontId="50" fillId="7" borderId="0" xfId="0" applyNumberFormat="1" applyFont="1" applyFill="1"/>
    <xf numFmtId="0" fontId="0" fillId="7" borderId="6" xfId="0" applyFill="1" applyBorder="1" applyAlignment="1">
      <alignment horizontal="centerContinuous"/>
    </xf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66" fillId="0" borderId="0" xfId="0" applyFont="1"/>
    <xf numFmtId="169" fontId="9" fillId="0" borderId="0" xfId="0" applyNumberFormat="1" applyFont="1" applyAlignment="1">
      <alignment horizontal="right"/>
    </xf>
    <xf numFmtId="0" fontId="77" fillId="3" borderId="0" xfId="0" applyFont="1" applyFill="1" applyAlignment="1">
      <alignment horizontal="left"/>
    </xf>
    <xf numFmtId="0" fontId="68" fillId="7" borderId="0" xfId="0" applyFont="1" applyFill="1"/>
    <xf numFmtId="0" fontId="78" fillId="0" borderId="0" xfId="0" applyFont="1"/>
    <xf numFmtId="0" fontId="8" fillId="3" borderId="0" xfId="0" applyFont="1" applyFill="1" applyAlignment="1">
      <alignment horizontal="right"/>
    </xf>
    <xf numFmtId="0" fontId="18" fillId="7" borderId="0" xfId="0" applyFont="1" applyFill="1" applyAlignment="1">
      <alignment horizontal="center"/>
    </xf>
    <xf numFmtId="6" fontId="4" fillId="3" borderId="0" xfId="0" applyNumberFormat="1" applyFont="1" applyFill="1" applyAlignment="1">
      <alignment horizontal="left"/>
    </xf>
    <xf numFmtId="0" fontId="19" fillId="7" borderId="0" xfId="0" applyFont="1" applyFill="1" applyAlignment="1">
      <alignment horizontal="center"/>
    </xf>
    <xf numFmtId="0" fontId="17" fillId="2" borderId="0" xfId="0" applyFont="1" applyFill="1" applyAlignment="1">
      <alignment horizontal="left" indent="1"/>
    </xf>
    <xf numFmtId="3" fontId="4" fillId="3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left" indent="1"/>
    </xf>
    <xf numFmtId="1" fontId="4" fillId="3" borderId="0" xfId="0" applyNumberFormat="1" applyFont="1" applyFill="1" applyAlignment="1">
      <alignment horizontal="center"/>
    </xf>
    <xf numFmtId="6" fontId="3" fillId="3" borderId="0" xfId="0" applyNumberFormat="1" applyFont="1" applyFill="1"/>
    <xf numFmtId="0" fontId="13" fillId="0" borderId="0" xfId="0" applyFont="1" applyAlignment="1">
      <alignment horizontal="left"/>
    </xf>
    <xf numFmtId="0" fontId="12" fillId="0" borderId="0" xfId="0" applyFont="1"/>
    <xf numFmtId="0" fontId="4" fillId="0" borderId="0" xfId="0" applyFont="1"/>
    <xf numFmtId="172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169" fontId="6" fillId="7" borderId="0" xfId="0" applyNumberFormat="1" applyFont="1" applyFill="1" applyAlignment="1">
      <alignment horizontal="right"/>
    </xf>
    <xf numFmtId="169" fontId="31" fillId="0" borderId="0" xfId="0" applyNumberFormat="1" applyFont="1"/>
    <xf numFmtId="169" fontId="0" fillId="0" borderId="0" xfId="0" applyNumberFormat="1"/>
    <xf numFmtId="0" fontId="3" fillId="0" borderId="0" xfId="0" applyFont="1"/>
    <xf numFmtId="0" fontId="1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3" fontId="9" fillId="9" borderId="0" xfId="0" applyNumberFormat="1" applyFont="1" applyFill="1" applyAlignment="1">
      <alignment horizontal="right"/>
    </xf>
    <xf numFmtId="3" fontId="38" fillId="9" borderId="1" xfId="0" applyNumberFormat="1" applyFont="1" applyFill="1" applyBorder="1" applyAlignment="1">
      <alignment horizontal="right"/>
    </xf>
    <xf numFmtId="3" fontId="9" fillId="9" borderId="1" xfId="0" applyNumberFormat="1" applyFont="1" applyFill="1" applyBorder="1" applyAlignment="1">
      <alignment horizontal="right"/>
    </xf>
    <xf numFmtId="3" fontId="33" fillId="9" borderId="0" xfId="0" applyNumberFormat="1" applyFont="1" applyFill="1" applyAlignment="1">
      <alignment horizontal="right"/>
    </xf>
    <xf numFmtId="3" fontId="38" fillId="9" borderId="0" xfId="0" applyNumberFormat="1" applyFont="1" applyFill="1" applyAlignment="1">
      <alignment horizontal="right"/>
    </xf>
    <xf numFmtId="14" fontId="9" fillId="9" borderId="0" xfId="0" applyNumberFormat="1" applyFont="1" applyFill="1" applyAlignment="1">
      <alignment horizontal="right"/>
    </xf>
    <xf numFmtId="3" fontId="6" fillId="9" borderId="0" xfId="0" applyNumberFormat="1" applyFont="1" applyFill="1" applyAlignment="1">
      <alignment horizontal="right"/>
    </xf>
    <xf numFmtId="3" fontId="34" fillId="9" borderId="0" xfId="0" applyNumberFormat="1" applyFont="1" applyFill="1" applyAlignment="1">
      <alignment horizontal="right"/>
    </xf>
    <xf numFmtId="3" fontId="34" fillId="9" borderId="3" xfId="0" applyNumberFormat="1" applyFont="1" applyFill="1" applyBorder="1" applyAlignment="1">
      <alignment horizontal="right"/>
    </xf>
    <xf numFmtId="3" fontId="33" fillId="9" borderId="1" xfId="0" applyNumberFormat="1" applyFont="1" applyFill="1" applyBorder="1" applyAlignment="1">
      <alignment horizontal="right"/>
    </xf>
    <xf numFmtId="173" fontId="3" fillId="9" borderId="0" xfId="0" applyNumberFormat="1" applyFont="1" applyFill="1" applyAlignment="1">
      <alignment horizontal="right"/>
    </xf>
    <xf numFmtId="169" fontId="3" fillId="9" borderId="0" xfId="0" applyNumberFormat="1" applyFont="1" applyFill="1" applyAlignment="1">
      <alignment horizontal="right"/>
    </xf>
    <xf numFmtId="169" fontId="3" fillId="9" borderId="1" xfId="0" applyNumberFormat="1" applyFont="1" applyFill="1" applyBorder="1" applyAlignment="1">
      <alignment horizontal="right"/>
    </xf>
    <xf numFmtId="173" fontId="3" fillId="9" borderId="1" xfId="0" applyNumberFormat="1" applyFont="1" applyFill="1" applyBorder="1" applyAlignment="1">
      <alignment horizontal="right"/>
    </xf>
    <xf numFmtId="172" fontId="13" fillId="9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right"/>
    </xf>
    <xf numFmtId="10" fontId="0" fillId="9" borderId="0" xfId="0" applyNumberFormat="1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3" fontId="0" fillId="9" borderId="0" xfId="1" applyFont="1" applyFill="1" applyAlignment="1">
      <alignment horizontal="right"/>
    </xf>
    <xf numFmtId="172" fontId="9" fillId="9" borderId="0" xfId="0" applyNumberFormat="1" applyFont="1" applyFill="1" applyAlignment="1">
      <alignment horizontal="right"/>
    </xf>
    <xf numFmtId="172" fontId="3" fillId="9" borderId="0" xfId="0" applyNumberFormat="1" applyFont="1" applyFill="1" applyAlignment="1">
      <alignment horizontal="right"/>
    </xf>
    <xf numFmtId="172" fontId="6" fillId="9" borderId="0" xfId="0" applyNumberFormat="1" applyFont="1" applyFill="1" applyAlignment="1">
      <alignment horizontal="right"/>
    </xf>
    <xf numFmtId="172" fontId="9" fillId="9" borderId="1" xfId="0" applyNumberFormat="1" applyFont="1" applyFill="1" applyBorder="1" applyAlignment="1">
      <alignment horizontal="right"/>
    </xf>
    <xf numFmtId="172" fontId="3" fillId="9" borderId="1" xfId="0" applyNumberFormat="1" applyFont="1" applyFill="1" applyBorder="1" applyAlignment="1">
      <alignment horizontal="right"/>
    </xf>
    <xf numFmtId="172" fontId="6" fillId="9" borderId="1" xfId="0" applyNumberFormat="1" applyFont="1" applyFill="1" applyBorder="1" applyAlignment="1">
      <alignment horizontal="right"/>
    </xf>
    <xf numFmtId="172" fontId="8" fillId="9" borderId="0" xfId="0" applyNumberFormat="1" applyFont="1" applyFill="1" applyAlignment="1">
      <alignment horizontal="right"/>
    </xf>
    <xf numFmtId="172" fontId="10" fillId="9" borderId="0" xfId="0" applyNumberFormat="1" applyFont="1" applyFill="1" applyAlignment="1">
      <alignment horizontal="right"/>
    </xf>
    <xf numFmtId="172" fontId="8" fillId="9" borderId="3" xfId="0" applyNumberFormat="1" applyFont="1" applyFill="1" applyBorder="1" applyAlignment="1">
      <alignment horizontal="right"/>
    </xf>
    <xf numFmtId="172" fontId="13" fillId="9" borderId="3" xfId="0" applyNumberFormat="1" applyFont="1" applyFill="1" applyBorder="1" applyAlignment="1">
      <alignment horizontal="right"/>
    </xf>
    <xf numFmtId="172" fontId="10" fillId="9" borderId="3" xfId="0" applyNumberFormat="1" applyFont="1" applyFill="1" applyBorder="1" applyAlignment="1">
      <alignment horizontal="right"/>
    </xf>
    <xf numFmtId="169" fontId="46" fillId="9" borderId="0" xfId="0" applyNumberFormat="1" applyFont="1" applyFill="1" applyAlignment="1">
      <alignment horizontal="right"/>
    </xf>
    <xf numFmtId="169" fontId="3" fillId="9" borderId="0" xfId="0" applyNumberFormat="1" applyFont="1" applyFill="1"/>
    <xf numFmtId="169" fontId="9" fillId="9" borderId="0" xfId="0" applyNumberFormat="1" applyFont="1" applyFill="1" applyAlignment="1">
      <alignment horizontal="right"/>
    </xf>
    <xf numFmtId="169" fontId="6" fillId="9" borderId="0" xfId="0" applyNumberFormat="1" applyFont="1" applyFill="1" applyAlignment="1">
      <alignment horizontal="right"/>
    </xf>
    <xf numFmtId="164" fontId="6" fillId="9" borderId="0" xfId="0" applyNumberFormat="1" applyFont="1" applyFill="1" applyAlignment="1">
      <alignment horizontal="right"/>
    </xf>
    <xf numFmtId="177" fontId="6" fillId="9" borderId="0" xfId="0" applyNumberFormat="1" applyFont="1" applyFill="1" applyAlignment="1">
      <alignment horizontal="right"/>
    </xf>
    <xf numFmtId="169" fontId="18" fillId="9" borderId="0" xfId="0" applyNumberFormat="1" applyFont="1" applyFill="1" applyAlignment="1">
      <alignment horizontal="center"/>
    </xf>
    <xf numFmtId="169" fontId="19" fillId="9" borderId="0" xfId="0" applyNumberFormat="1" applyFont="1" applyFill="1" applyAlignment="1">
      <alignment horizontal="center"/>
    </xf>
    <xf numFmtId="177" fontId="13" fillId="9" borderId="0" xfId="0" applyNumberFormat="1" applyFont="1" applyFill="1" applyAlignment="1">
      <alignment horizontal="right"/>
    </xf>
    <xf numFmtId="167" fontId="6" fillId="9" borderId="0" xfId="0" applyNumberFormat="1" applyFont="1" applyFill="1" applyAlignment="1">
      <alignment horizontal="right"/>
    </xf>
    <xf numFmtId="177" fontId="10" fillId="9" borderId="0" xfId="0" applyNumberFormat="1" applyFont="1" applyFill="1" applyAlignment="1">
      <alignment horizontal="right"/>
    </xf>
    <xf numFmtId="168" fontId="10" fillId="9" borderId="0" xfId="0" applyNumberFormat="1" applyFont="1" applyFill="1" applyAlignment="1">
      <alignment horizontal="right"/>
    </xf>
    <xf numFmtId="164" fontId="0" fillId="9" borderId="0" xfId="0" applyNumberFormat="1" applyFill="1" applyAlignment="1">
      <alignment horizontal="right"/>
    </xf>
    <xf numFmtId="164" fontId="0" fillId="9" borderId="0" xfId="0" applyNumberFormat="1" applyFill="1"/>
    <xf numFmtId="178" fontId="6" fillId="9" borderId="0" xfId="0" applyNumberFormat="1" applyFont="1" applyFill="1" applyAlignment="1">
      <alignment horizontal="right"/>
    </xf>
    <xf numFmtId="168" fontId="6" fillId="9" borderId="0" xfId="0" applyNumberFormat="1" applyFont="1" applyFill="1" applyAlignment="1">
      <alignment horizontal="right"/>
    </xf>
    <xf numFmtId="164" fontId="6" fillId="9" borderId="2" xfId="0" applyNumberFormat="1" applyFont="1" applyFill="1" applyBorder="1" applyAlignment="1">
      <alignment horizontal="right"/>
    </xf>
    <xf numFmtId="178" fontId="6" fillId="9" borderId="2" xfId="0" applyNumberFormat="1" applyFont="1" applyFill="1" applyBorder="1" applyAlignment="1">
      <alignment horizontal="right"/>
    </xf>
    <xf numFmtId="168" fontId="6" fillId="9" borderId="2" xfId="0" applyNumberFormat="1" applyFont="1" applyFill="1" applyBorder="1" applyAlignment="1">
      <alignment horizontal="right"/>
    </xf>
    <xf numFmtId="164" fontId="6" fillId="9" borderId="3" xfId="0" applyNumberFormat="1" applyFont="1" applyFill="1" applyBorder="1" applyAlignment="1">
      <alignment horizontal="right"/>
    </xf>
    <xf numFmtId="178" fontId="6" fillId="9" borderId="3" xfId="0" applyNumberFormat="1" applyFont="1" applyFill="1" applyBorder="1" applyAlignment="1">
      <alignment horizontal="right"/>
    </xf>
    <xf numFmtId="168" fontId="6" fillId="9" borderId="3" xfId="0" applyNumberFormat="1" applyFont="1" applyFill="1" applyBorder="1" applyAlignment="1">
      <alignment horizontal="right"/>
    </xf>
    <xf numFmtId="179" fontId="3" fillId="9" borderId="0" xfId="0" applyNumberFormat="1" applyFont="1" applyFill="1" applyAlignment="1">
      <alignment horizontal="right"/>
    </xf>
    <xf numFmtId="179" fontId="3" fillId="9" borderId="1" xfId="0" applyNumberFormat="1" applyFont="1" applyFill="1" applyBorder="1" applyAlignment="1">
      <alignment horizontal="right"/>
    </xf>
    <xf numFmtId="179" fontId="6" fillId="9" borderId="0" xfId="0" applyNumberFormat="1" applyFont="1" applyFill="1" applyAlignment="1">
      <alignment horizontal="right"/>
    </xf>
    <xf numFmtId="179" fontId="10" fillId="9" borderId="3" xfId="0" applyNumberFormat="1" applyFont="1" applyFill="1" applyBorder="1" applyAlignment="1">
      <alignment horizontal="right"/>
    </xf>
    <xf numFmtId="168" fontId="10" fillId="9" borderId="3" xfId="0" applyNumberFormat="1" applyFont="1" applyFill="1" applyBorder="1" applyAlignment="1">
      <alignment horizontal="right"/>
    </xf>
    <xf numFmtId="0" fontId="24" fillId="9" borderId="0" xfId="0" applyFont="1" applyFill="1" applyAlignment="1">
      <alignment horizontal="left"/>
    </xf>
    <xf numFmtId="169" fontId="13" fillId="9" borderId="4" xfId="0" applyNumberFormat="1" applyFont="1" applyFill="1" applyBorder="1" applyAlignment="1">
      <alignment horizontal="right"/>
    </xf>
    <xf numFmtId="169" fontId="34" fillId="9" borderId="4" xfId="0" applyNumberFormat="1" applyFont="1" applyFill="1" applyBorder="1" applyAlignment="1">
      <alignment horizontal="right"/>
    </xf>
    <xf numFmtId="164" fontId="6" fillId="9" borderId="0" xfId="0" applyNumberFormat="1" applyFont="1" applyFill="1"/>
    <xf numFmtId="0" fontId="55" fillId="9" borderId="0" xfId="0" applyFont="1" applyFill="1" applyAlignment="1">
      <alignment horizontal="right"/>
    </xf>
    <xf numFmtId="10" fontId="33" fillId="9" borderId="0" xfId="0" applyNumberFormat="1" applyFont="1" applyFill="1"/>
    <xf numFmtId="0" fontId="38" fillId="9" borderId="0" xfId="0" applyFont="1" applyFill="1" applyAlignment="1">
      <alignment horizontal="right"/>
    </xf>
    <xf numFmtId="14" fontId="38" fillId="9" borderId="0" xfId="0" applyNumberFormat="1" applyFont="1" applyFill="1" applyAlignment="1">
      <alignment horizontal="right"/>
    </xf>
    <xf numFmtId="43" fontId="47" fillId="9" borderId="2" xfId="1" applyFont="1" applyFill="1" applyBorder="1"/>
    <xf numFmtId="43" fontId="58" fillId="9" borderId="0" xfId="1" applyFont="1" applyFill="1"/>
    <xf numFmtId="43" fontId="47" fillId="9" borderId="0" xfId="1" applyFont="1" applyFill="1"/>
    <xf numFmtId="0" fontId="57" fillId="9" borderId="7" xfId="0" applyFont="1" applyFill="1" applyBorder="1" applyAlignment="1">
      <alignment horizontal="right"/>
    </xf>
    <xf numFmtId="10" fontId="2" fillId="9" borderId="0" xfId="0" applyNumberFormat="1" applyFont="1" applyFill="1" applyAlignment="1">
      <alignment horizontal="right"/>
    </xf>
    <xf numFmtId="43" fontId="58" fillId="9" borderId="0" xfId="1" applyFont="1" applyFill="1" applyAlignment="1">
      <alignment horizontal="right"/>
    </xf>
    <xf numFmtId="43" fontId="47" fillId="9" borderId="0" xfId="1" applyFont="1" applyFill="1" applyAlignment="1">
      <alignment horizontal="right"/>
    </xf>
    <xf numFmtId="43" fontId="2" fillId="9" borderId="2" xfId="1" applyFont="1" applyFill="1" applyBorder="1" applyAlignment="1">
      <alignment horizontal="right"/>
    </xf>
    <xf numFmtId="174" fontId="0" fillId="9" borderId="0" xfId="0" applyNumberFormat="1" applyFill="1"/>
    <xf numFmtId="0" fontId="6" fillId="9" borderId="0" xfId="0" applyFont="1" applyFill="1"/>
    <xf numFmtId="0" fontId="68" fillId="0" borderId="0" xfId="0" applyFont="1"/>
    <xf numFmtId="1" fontId="79" fillId="0" borderId="0" xfId="0" applyNumberFormat="1" applyFont="1" applyAlignment="1">
      <alignment horizontal="left"/>
    </xf>
    <xf numFmtId="1" fontId="78" fillId="0" borderId="0" xfId="0" applyNumberFormat="1" applyFont="1"/>
    <xf numFmtId="1" fontId="78" fillId="0" borderId="0" xfId="0" applyNumberFormat="1" applyFont="1" applyAlignment="1">
      <alignment horizontal="right"/>
    </xf>
    <xf numFmtId="0" fontId="78" fillId="0" borderId="0" xfId="0" applyFont="1" applyAlignment="1">
      <alignment horizontal="right"/>
    </xf>
    <xf numFmtId="0" fontId="79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80" fillId="7" borderId="0" xfId="0" applyFont="1" applyFill="1"/>
    <xf numFmtId="0" fontId="80" fillId="7" borderId="0" xfId="0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5" fillId="0" borderId="0" xfId="0" applyFont="1" applyAlignment="1">
      <alignment horizontal="left"/>
    </xf>
    <xf numFmtId="0" fontId="86" fillId="2" borderId="0" xfId="0" applyFont="1" applyFill="1" applyAlignment="1">
      <alignment horizontal="left"/>
    </xf>
    <xf numFmtId="3" fontId="0" fillId="0" borderId="0" xfId="0" applyNumberFormat="1" applyAlignment="1">
      <alignment horizontal="right"/>
    </xf>
    <xf numFmtId="177" fontId="10" fillId="5" borderId="0" xfId="0" applyNumberFormat="1" applyFont="1" applyFill="1" applyAlignment="1">
      <alignment horizontal="right"/>
    </xf>
    <xf numFmtId="180" fontId="3" fillId="9" borderId="0" xfId="0" applyNumberFormat="1" applyFont="1" applyFill="1" applyAlignment="1">
      <alignment horizontal="right"/>
    </xf>
    <xf numFmtId="1" fontId="3" fillId="9" borderId="0" xfId="0" applyNumberFormat="1" applyFont="1" applyFill="1" applyAlignment="1">
      <alignment horizontal="right"/>
    </xf>
    <xf numFmtId="181" fontId="3" fillId="9" borderId="0" xfId="0" applyNumberFormat="1" applyFont="1" applyFill="1" applyAlignment="1">
      <alignment horizontal="right"/>
    </xf>
    <xf numFmtId="0" fontId="89" fillId="7" borderId="0" xfId="0" applyFont="1" applyFill="1"/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8" fillId="7" borderId="0" xfId="0" applyFont="1" applyFill="1" applyAlignment="1">
      <alignment horizontal="center"/>
    </xf>
    <xf numFmtId="0" fontId="82" fillId="7" borderId="0" xfId="0" applyFont="1" applyFill="1" applyAlignment="1">
      <alignment horizontal="center"/>
    </xf>
    <xf numFmtId="0" fontId="81" fillId="7" borderId="0" xfId="0" applyFont="1" applyFill="1" applyAlignment="1">
      <alignment horizontal="center"/>
    </xf>
    <xf numFmtId="182" fontId="82" fillId="7" borderId="0" xfId="0" applyNumberFormat="1" applyFont="1" applyFill="1" applyAlignment="1">
      <alignment horizontal="center"/>
    </xf>
    <xf numFmtId="0" fontId="87" fillId="2" borderId="0" xfId="0" applyFont="1" applyFill="1" applyAlignment="1">
      <alignment horizontal="right"/>
    </xf>
    <xf numFmtId="181" fontId="13" fillId="9" borderId="0" xfId="0" applyNumberFormat="1" applyFont="1" applyFill="1" applyAlignment="1">
      <alignment horizontal="right"/>
    </xf>
    <xf numFmtId="10" fontId="3" fillId="8" borderId="0" xfId="0" applyNumberFormat="1" applyFont="1" applyFill="1" applyAlignment="1">
      <alignment horizontal="right"/>
    </xf>
    <xf numFmtId="183" fontId="3" fillId="8" borderId="0" xfId="0" applyNumberFormat="1" applyFont="1" applyFill="1" applyAlignment="1">
      <alignment horizontal="right"/>
    </xf>
    <xf numFmtId="10" fontId="13" fillId="8" borderId="0" xfId="0" applyNumberFormat="1" applyFont="1" applyFill="1" applyAlignment="1">
      <alignment horizontal="right"/>
    </xf>
    <xf numFmtId="169" fontId="3" fillId="8" borderId="0" xfId="0" applyNumberFormat="1" applyFont="1" applyFill="1" applyAlignment="1">
      <alignment horizontal="right"/>
    </xf>
    <xf numFmtId="10" fontId="4" fillId="8" borderId="0" xfId="0" applyNumberFormat="1" applyFont="1" applyFill="1" applyAlignment="1">
      <alignment horizontal="right"/>
    </xf>
    <xf numFmtId="181" fontId="3" fillId="8" borderId="0" xfId="0" applyNumberFormat="1" applyFont="1" applyFill="1" applyAlignment="1">
      <alignment horizontal="right"/>
    </xf>
    <xf numFmtId="181" fontId="13" fillId="8" borderId="0" xfId="0" applyNumberFormat="1" applyFont="1" applyFill="1" applyAlignment="1">
      <alignment horizontal="right"/>
    </xf>
    <xf numFmtId="173" fontId="3" fillId="8" borderId="0" xfId="0" applyNumberFormat="1" applyFont="1" applyFill="1" applyAlignment="1">
      <alignment horizontal="right"/>
    </xf>
    <xf numFmtId="177" fontId="6" fillId="0" borderId="0" xfId="0" applyNumberFormat="1" applyFont="1" applyAlignment="1">
      <alignment horizontal="right"/>
    </xf>
    <xf numFmtId="0" fontId="17" fillId="10" borderId="0" xfId="0" applyFont="1" applyFill="1" applyAlignment="1">
      <alignment horizontal="right"/>
    </xf>
    <xf numFmtId="0" fontId="92" fillId="10" borderId="0" xfId="0" applyFont="1" applyFill="1" applyAlignment="1">
      <alignment horizontal="right"/>
    </xf>
    <xf numFmtId="181" fontId="93" fillId="10" borderId="0" xfId="0" applyNumberFormat="1" applyFont="1" applyFill="1" applyAlignment="1">
      <alignment horizontal="right"/>
    </xf>
    <xf numFmtId="0" fontId="94" fillId="10" borderId="0" xfId="0" applyFont="1" applyFill="1" applyAlignment="1">
      <alignment horizontal="right"/>
    </xf>
    <xf numFmtId="181" fontId="94" fillId="10" borderId="0" xfId="0" applyNumberFormat="1" applyFont="1" applyFill="1" applyAlignment="1">
      <alignment horizontal="right"/>
    </xf>
    <xf numFmtId="0" fontId="95" fillId="3" borderId="0" xfId="0" applyFont="1" applyFill="1" applyAlignment="1">
      <alignment horizontal="center"/>
    </xf>
    <xf numFmtId="181" fontId="12" fillId="7" borderId="0" xfId="0" applyNumberFormat="1" applyFont="1" applyFill="1" applyAlignment="1">
      <alignment horizontal="right"/>
    </xf>
    <xf numFmtId="181" fontId="7" fillId="7" borderId="0" xfId="0" applyNumberFormat="1" applyFont="1" applyFill="1" applyAlignment="1">
      <alignment horizontal="right"/>
    </xf>
    <xf numFmtId="10" fontId="26" fillId="3" borderId="0" xfId="0" applyNumberFormat="1" applyFont="1" applyFill="1" applyAlignment="1">
      <alignment horizontal="center"/>
    </xf>
    <xf numFmtId="2" fontId="28" fillId="3" borderId="0" xfId="0" applyNumberFormat="1" applyFon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3" fontId="33" fillId="9" borderId="5" xfId="0" applyNumberFormat="1" applyFont="1" applyFill="1" applyBorder="1" applyAlignment="1">
      <alignment horizontal="right"/>
    </xf>
    <xf numFmtId="3" fontId="3" fillId="9" borderId="0" xfId="0" applyNumberFormat="1" applyFont="1" applyFill="1" applyAlignment="1">
      <alignment horizontal="right"/>
    </xf>
    <xf numFmtId="3" fontId="13" fillId="9" borderId="0" xfId="0" applyNumberFormat="1" applyFont="1" applyFill="1" applyAlignment="1">
      <alignment horizontal="right"/>
    </xf>
    <xf numFmtId="3" fontId="13" fillId="9" borderId="5" xfId="0" applyNumberFormat="1" applyFont="1" applyFill="1" applyBorder="1" applyAlignment="1">
      <alignment horizontal="right"/>
    </xf>
    <xf numFmtId="49" fontId="13" fillId="9" borderId="0" xfId="0" applyNumberFormat="1" applyFont="1" applyFill="1" applyAlignment="1">
      <alignment horizontal="right"/>
    </xf>
    <xf numFmtId="49" fontId="10" fillId="9" borderId="0" xfId="0" applyNumberFormat="1" applyFont="1" applyFill="1" applyAlignment="1">
      <alignment horizontal="right"/>
    </xf>
    <xf numFmtId="0" fontId="17" fillId="10" borderId="0" xfId="0" applyFont="1" applyFill="1"/>
    <xf numFmtId="0" fontId="92" fillId="10" borderId="0" xfId="0" applyFont="1" applyFill="1" applyAlignment="1">
      <alignment horizontal="left"/>
    </xf>
    <xf numFmtId="0" fontId="92" fillId="10" borderId="0" xfId="0" applyFont="1" applyFill="1"/>
    <xf numFmtId="3" fontId="47" fillId="9" borderId="0" xfId="0" applyNumberFormat="1" applyFont="1" applyFill="1"/>
    <xf numFmtId="3" fontId="96" fillId="9" borderId="0" xfId="0" applyNumberFormat="1" applyFont="1" applyFill="1"/>
    <xf numFmtId="169" fontId="98" fillId="9" borderId="0" xfId="0" applyNumberFormat="1" applyFont="1" applyFill="1"/>
    <xf numFmtId="49" fontId="98" fillId="9" borderId="0" xfId="0" applyNumberFormat="1" applyFont="1" applyFill="1"/>
    <xf numFmtId="169" fontId="34" fillId="9" borderId="0" xfId="0" applyNumberFormat="1" applyFont="1" applyFill="1" applyAlignment="1">
      <alignment horizontal="right"/>
    </xf>
    <xf numFmtId="184" fontId="18" fillId="0" borderId="0" xfId="0" applyNumberFormat="1" applyFont="1" applyAlignment="1">
      <alignment horizontal="center"/>
    </xf>
    <xf numFmtId="0" fontId="99" fillId="3" borderId="0" xfId="0" applyFont="1" applyFill="1" applyAlignment="1">
      <alignment horizontal="right"/>
    </xf>
    <xf numFmtId="0" fontId="101" fillId="7" borderId="0" xfId="0" applyFont="1" applyFill="1"/>
    <xf numFmtId="3" fontId="103" fillId="7" borderId="0" xfId="0" applyNumberFormat="1" applyFont="1" applyFill="1" applyAlignment="1">
      <alignment horizontal="right"/>
    </xf>
    <xf numFmtId="3" fontId="102" fillId="7" borderId="3" xfId="0" applyNumberFormat="1" applyFont="1" applyFill="1" applyBorder="1" applyAlignment="1">
      <alignment horizontal="right"/>
    </xf>
    <xf numFmtId="10" fontId="103" fillId="7" borderId="0" xfId="0" applyNumberFormat="1" applyFont="1" applyFill="1" applyAlignment="1">
      <alignment horizontal="right"/>
    </xf>
    <xf numFmtId="0" fontId="105" fillId="7" borderId="0" xfId="0" applyFont="1" applyFill="1" applyAlignment="1">
      <alignment horizontal="right"/>
    </xf>
    <xf numFmtId="0" fontId="48" fillId="7" borderId="0" xfId="0" applyFont="1" applyFill="1"/>
    <xf numFmtId="0" fontId="97" fillId="7" borderId="9" xfId="0" applyFont="1" applyFill="1" applyBorder="1" applyAlignment="1">
      <alignment horizontal="left"/>
    </xf>
    <xf numFmtId="0" fontId="97" fillId="7" borderId="0" xfId="0" applyFont="1" applyFill="1" applyAlignment="1">
      <alignment horizontal="left"/>
    </xf>
    <xf numFmtId="3" fontId="33" fillId="9" borderId="0" xfId="1" applyNumberFormat="1" applyFont="1" applyFill="1"/>
    <xf numFmtId="3" fontId="106" fillId="8" borderId="0" xfId="0" applyNumberFormat="1" applyFont="1" applyFill="1" applyAlignment="1">
      <alignment horizontal="right"/>
    </xf>
    <xf numFmtId="3" fontId="103" fillId="8" borderId="0" xfId="0" applyNumberFormat="1" applyFont="1" applyFill="1" applyAlignment="1">
      <alignment horizontal="right"/>
    </xf>
    <xf numFmtId="3" fontId="107" fillId="8" borderId="0" xfId="0" applyNumberFormat="1" applyFont="1" applyFill="1" applyAlignment="1">
      <alignment horizontal="right"/>
    </xf>
    <xf numFmtId="10" fontId="106" fillId="8" borderId="0" xfId="0" applyNumberFormat="1" applyFont="1" applyFill="1" applyAlignment="1">
      <alignment horizontal="right"/>
    </xf>
    <xf numFmtId="0" fontId="1" fillId="0" borderId="0" xfId="0" applyFont="1"/>
    <xf numFmtId="1" fontId="1" fillId="0" borderId="0" xfId="0" applyNumberFormat="1" applyFont="1"/>
    <xf numFmtId="3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2" fontId="9" fillId="9" borderId="0" xfId="0" applyNumberFormat="1" applyFont="1" applyFill="1" applyAlignment="1">
      <alignment horizontal="right"/>
    </xf>
    <xf numFmtId="10" fontId="9" fillId="0" borderId="0" xfId="0" applyNumberFormat="1" applyFont="1" applyAlignment="1">
      <alignment horizontal="right"/>
    </xf>
    <xf numFmtId="10" fontId="9" fillId="9" borderId="0" xfId="0" applyNumberFormat="1" applyFont="1" applyFill="1" applyAlignment="1">
      <alignment horizontal="right"/>
    </xf>
    <xf numFmtId="10" fontId="33" fillId="9" borderId="0" xfId="0" applyNumberFormat="1" applyFont="1" applyFill="1" applyAlignment="1">
      <alignment horizontal="right"/>
    </xf>
    <xf numFmtId="172" fontId="10" fillId="0" borderId="0" xfId="0" applyNumberFormat="1" applyFont="1" applyAlignment="1">
      <alignment horizontal="right"/>
    </xf>
    <xf numFmtId="168" fontId="9" fillId="8" borderId="0" xfId="0" applyNumberFormat="1" applyFont="1" applyFill="1" applyAlignment="1">
      <alignment horizontal="right"/>
    </xf>
    <xf numFmtId="164" fontId="9" fillId="8" borderId="0" xfId="0" applyNumberFormat="1" applyFont="1" applyFill="1" applyAlignment="1">
      <alignment horizontal="right"/>
    </xf>
    <xf numFmtId="178" fontId="3" fillId="8" borderId="0" xfId="0" applyNumberFormat="1" applyFont="1" applyFill="1" applyAlignment="1">
      <alignment horizontal="right"/>
    </xf>
    <xf numFmtId="168" fontId="9" fillId="8" borderId="1" xfId="0" applyNumberFormat="1" applyFont="1" applyFill="1" applyBorder="1" applyAlignment="1">
      <alignment horizontal="right"/>
    </xf>
    <xf numFmtId="164" fontId="9" fillId="8" borderId="1" xfId="0" applyNumberFormat="1" applyFont="1" applyFill="1" applyBorder="1" applyAlignment="1">
      <alignment horizontal="right"/>
    </xf>
    <xf numFmtId="178" fontId="3" fillId="8" borderId="1" xfId="0" applyNumberFormat="1" applyFont="1" applyFill="1" applyBorder="1" applyAlignment="1">
      <alignment horizontal="right"/>
    </xf>
    <xf numFmtId="2" fontId="24" fillId="9" borderId="0" xfId="0" applyNumberFormat="1" applyFont="1" applyFill="1"/>
    <xf numFmtId="2" fontId="24" fillId="9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9" borderId="0" xfId="0" applyNumberFormat="1" applyFill="1"/>
    <xf numFmtId="2" fontId="0" fillId="9" borderId="0" xfId="0" applyNumberFormat="1" applyFill="1" applyAlignment="1">
      <alignment horizontal="right"/>
    </xf>
    <xf numFmtId="0" fontId="1" fillId="7" borderId="0" xfId="0" applyFont="1" applyFill="1"/>
    <xf numFmtId="43" fontId="106" fillId="9" borderId="2" xfId="1" applyFont="1" applyFill="1" applyBorder="1"/>
    <xf numFmtId="43" fontId="106" fillId="9" borderId="0" xfId="1" applyFont="1" applyFill="1"/>
    <xf numFmtId="43" fontId="108" fillId="9" borderId="0" xfId="1" applyFont="1" applyFill="1"/>
    <xf numFmtId="0" fontId="102" fillId="0" borderId="0" xfId="0" applyFont="1" applyAlignment="1">
      <alignment horizontal="center"/>
    </xf>
    <xf numFmtId="0" fontId="6" fillId="10" borderId="0" xfId="0" applyFont="1" applyFill="1"/>
    <xf numFmtId="0" fontId="4" fillId="10" borderId="0" xfId="0" applyFont="1" applyFill="1"/>
    <xf numFmtId="0" fontId="10" fillId="10" borderId="0" xfId="0" applyFont="1" applyFill="1"/>
    <xf numFmtId="0" fontId="0" fillId="10" borderId="0" xfId="0" applyFill="1"/>
    <xf numFmtId="0" fontId="12" fillId="10" borderId="0" xfId="0" applyFont="1" applyFill="1"/>
    <xf numFmtId="0" fontId="68" fillId="10" borderId="0" xfId="2" applyFont="1" applyFill="1"/>
    <xf numFmtId="0" fontId="50" fillId="10" borderId="0" xfId="2" applyFont="1" applyFill="1"/>
    <xf numFmtId="0" fontId="69" fillId="10" borderId="0" xfId="0" applyFont="1" applyFill="1"/>
    <xf numFmtId="0" fontId="48" fillId="10" borderId="0" xfId="2" applyFont="1" applyFill="1"/>
    <xf numFmtId="0" fontId="45" fillId="10" borderId="0" xfId="2" applyFont="1" applyFill="1"/>
    <xf numFmtId="0" fontId="56" fillId="7" borderId="0" xfId="2" applyFont="1" applyFill="1"/>
    <xf numFmtId="0" fontId="12" fillId="0" borderId="0" xfId="0" applyFont="1" applyAlignment="1">
      <alignment horizontal="right"/>
    </xf>
    <xf numFmtId="0" fontId="81" fillId="2" borderId="0" xfId="0" applyFont="1" applyFill="1"/>
    <xf numFmtId="0" fontId="7" fillId="3" borderId="0" xfId="0" applyFont="1" applyFill="1" applyAlignment="1">
      <alignment horizontal="left"/>
    </xf>
    <xf numFmtId="0" fontId="81" fillId="0" borderId="0" xfId="0" applyFont="1" applyAlignment="1">
      <alignment horizontal="right"/>
    </xf>
    <xf numFmtId="0" fontId="39" fillId="3" borderId="0" xfId="0" applyFont="1" applyFill="1" applyAlignment="1">
      <alignment horizontal="left"/>
    </xf>
    <xf numFmtId="182" fontId="18" fillId="0" borderId="0" xfId="0" applyNumberFormat="1" applyFont="1" applyAlignment="1">
      <alignment horizontal="center"/>
    </xf>
    <xf numFmtId="182" fontId="19" fillId="0" borderId="0" xfId="0" applyNumberFormat="1" applyFont="1" applyAlignment="1">
      <alignment horizontal="center"/>
    </xf>
    <xf numFmtId="182" fontId="19" fillId="7" borderId="0" xfId="0" applyNumberFormat="1" applyFont="1" applyFill="1" applyAlignment="1">
      <alignment horizontal="center"/>
    </xf>
    <xf numFmtId="182" fontId="41" fillId="7" borderId="0" xfId="0" applyNumberFormat="1" applyFont="1" applyFill="1" applyAlignment="1">
      <alignment horizontal="center"/>
    </xf>
    <xf numFmtId="182" fontId="88" fillId="7" borderId="0" xfId="0" applyNumberFormat="1" applyFont="1" applyFill="1" applyAlignment="1">
      <alignment horizontal="center"/>
    </xf>
    <xf numFmtId="182" fontId="90" fillId="0" borderId="0" xfId="0" applyNumberFormat="1" applyFont="1" applyAlignment="1">
      <alignment horizontal="center"/>
    </xf>
    <xf numFmtId="182" fontId="90" fillId="7" borderId="0" xfId="0" applyNumberFormat="1" applyFont="1" applyFill="1" applyAlignment="1">
      <alignment horizontal="center"/>
    </xf>
    <xf numFmtId="182" fontId="91" fillId="0" borderId="0" xfId="0" applyNumberFormat="1" applyFont="1" applyAlignment="1">
      <alignment horizontal="center"/>
    </xf>
    <xf numFmtId="182" fontId="88" fillId="0" borderId="0" xfId="0" applyNumberFormat="1" applyFont="1" applyAlignment="1">
      <alignment horizontal="center"/>
    </xf>
    <xf numFmtId="182" fontId="82" fillId="0" borderId="0" xfId="0" applyNumberFormat="1" applyFont="1" applyAlignment="1">
      <alignment horizontal="center"/>
    </xf>
    <xf numFmtId="0" fontId="111" fillId="2" borderId="0" xfId="0" applyFont="1" applyFill="1" applyAlignment="1">
      <alignment horizontal="left"/>
    </xf>
    <xf numFmtId="0" fontId="113" fillId="7" borderId="0" xfId="0" applyFont="1" applyFill="1" applyAlignment="1">
      <alignment horizontal="left"/>
    </xf>
    <xf numFmtId="0" fontId="114" fillId="7" borderId="0" xfId="0" applyFont="1" applyFill="1" applyAlignment="1">
      <alignment horizontal="center"/>
    </xf>
    <xf numFmtId="0" fontId="115" fillId="7" borderId="0" xfId="0" applyFont="1" applyFill="1" applyAlignment="1">
      <alignment horizontal="left"/>
    </xf>
    <xf numFmtId="3" fontId="110" fillId="9" borderId="0" xfId="0" applyNumberFormat="1" applyFont="1" applyFill="1" applyAlignment="1">
      <alignment horizontal="right"/>
    </xf>
    <xf numFmtId="169" fontId="111" fillId="9" borderId="0" xfId="0" applyNumberFormat="1" applyFont="1" applyFill="1" applyAlignment="1">
      <alignment horizontal="right"/>
    </xf>
    <xf numFmtId="169" fontId="110" fillId="9" borderId="0" xfId="0" applyNumberFormat="1" applyFont="1" applyFill="1" applyAlignment="1">
      <alignment horizontal="right"/>
    </xf>
    <xf numFmtId="0" fontId="113" fillId="7" borderId="0" xfId="0" applyFont="1" applyFill="1" applyAlignment="1">
      <alignment horizontal="left" indent="1"/>
    </xf>
    <xf numFmtId="173" fontId="113" fillId="9" borderId="0" xfId="0" applyNumberFormat="1" applyFont="1" applyFill="1" applyAlignment="1">
      <alignment horizontal="right"/>
    </xf>
    <xf numFmtId="175" fontId="113" fillId="9" borderId="0" xfId="0" applyNumberFormat="1" applyFont="1" applyFill="1" applyAlignment="1">
      <alignment horizontal="right"/>
    </xf>
    <xf numFmtId="169" fontId="113" fillId="9" borderId="1" xfId="0" applyNumberFormat="1" applyFont="1" applyFill="1" applyBorder="1" applyAlignment="1">
      <alignment horizontal="right"/>
    </xf>
    <xf numFmtId="169" fontId="113" fillId="9" borderId="0" xfId="0" applyNumberFormat="1" applyFont="1" applyFill="1" applyAlignment="1">
      <alignment horizontal="right"/>
    </xf>
    <xf numFmtId="0" fontId="112" fillId="2" borderId="0" xfId="0" applyFont="1" applyFill="1" applyAlignment="1">
      <alignment horizontal="left"/>
    </xf>
    <xf numFmtId="186" fontId="3" fillId="9" borderId="0" xfId="0" applyNumberFormat="1" applyFont="1" applyFill="1" applyAlignment="1">
      <alignment horizontal="right"/>
    </xf>
    <xf numFmtId="0" fontId="47" fillId="9" borderId="0" xfId="0" applyFont="1" applyFill="1" applyAlignment="1">
      <alignment horizontal="left"/>
    </xf>
    <xf numFmtId="1" fontId="3" fillId="9" borderId="0" xfId="0" applyNumberFormat="1" applyFont="1" applyFill="1"/>
    <xf numFmtId="173" fontId="11" fillId="9" borderId="0" xfId="0" applyNumberFormat="1" applyFont="1" applyFill="1" applyAlignment="1">
      <alignment horizontal="right"/>
    </xf>
    <xf numFmtId="169" fontId="115" fillId="9" borderId="0" xfId="0" applyNumberFormat="1" applyFont="1" applyFill="1" applyAlignment="1">
      <alignment horizontal="right"/>
    </xf>
    <xf numFmtId="169" fontId="121" fillId="9" borderId="0" xfId="0" applyNumberFormat="1" applyFont="1" applyFill="1" applyAlignment="1">
      <alignment horizontal="right"/>
    </xf>
    <xf numFmtId="0" fontId="124" fillId="6" borderId="0" xfId="0" applyFont="1" applyFill="1" applyAlignment="1">
      <alignment horizontal="left"/>
    </xf>
    <xf numFmtId="0" fontId="125" fillId="6" borderId="0" xfId="0" applyFont="1" applyFill="1" applyAlignment="1">
      <alignment horizontal="right"/>
    </xf>
    <xf numFmtId="0" fontId="122" fillId="3" borderId="0" xfId="0" applyFont="1" applyFill="1" applyAlignment="1">
      <alignment horizontal="left"/>
    </xf>
    <xf numFmtId="0" fontId="122" fillId="3" borderId="0" xfId="0" applyFont="1" applyFill="1" applyAlignment="1">
      <alignment horizontal="center"/>
    </xf>
    <xf numFmtId="0" fontId="122" fillId="3" borderId="0" xfId="0" applyFont="1" applyFill="1" applyAlignment="1">
      <alignment horizontal="right"/>
    </xf>
    <xf numFmtId="0" fontId="110" fillId="9" borderId="0" xfId="0" applyFont="1" applyFill="1" applyAlignment="1">
      <alignment horizontal="center"/>
    </xf>
    <xf numFmtId="3" fontId="121" fillId="9" borderId="0" xfId="0" applyNumberFormat="1" applyFont="1" applyFill="1" applyAlignment="1">
      <alignment horizontal="right"/>
    </xf>
    <xf numFmtId="173" fontId="121" fillId="9" borderId="0" xfId="0" applyNumberFormat="1" applyFont="1" applyFill="1" applyAlignment="1">
      <alignment horizontal="right"/>
    </xf>
    <xf numFmtId="3" fontId="113" fillId="9" borderId="0" xfId="0" applyNumberFormat="1" applyFont="1" applyFill="1" applyAlignment="1">
      <alignment horizontal="right"/>
    </xf>
    <xf numFmtId="3" fontId="115" fillId="9" borderId="3" xfId="0" applyNumberFormat="1" applyFont="1" applyFill="1" applyBorder="1" applyAlignment="1">
      <alignment horizontal="right"/>
    </xf>
    <xf numFmtId="187" fontId="113" fillId="9" borderId="0" xfId="0" applyNumberFormat="1" applyFont="1" applyFill="1" applyAlignment="1">
      <alignment horizontal="right"/>
    </xf>
    <xf numFmtId="174" fontId="115" fillId="9" borderId="0" xfId="0" applyNumberFormat="1" applyFont="1" applyFill="1" applyAlignment="1">
      <alignment horizontal="right"/>
    </xf>
    <xf numFmtId="174" fontId="113" fillId="9" borderId="0" xfId="0" applyNumberFormat="1" applyFont="1" applyFill="1" applyAlignment="1">
      <alignment horizontal="right"/>
    </xf>
    <xf numFmtId="0" fontId="127" fillId="3" borderId="0" xfId="0" applyFont="1" applyFill="1" applyAlignment="1">
      <alignment horizontal="left"/>
    </xf>
    <xf numFmtId="173" fontId="127" fillId="3" borderId="0" xfId="0" applyNumberFormat="1" applyFont="1" applyFill="1" applyAlignment="1">
      <alignment horizontal="right"/>
    </xf>
    <xf numFmtId="174" fontId="126" fillId="9" borderId="0" xfId="0" applyNumberFormat="1" applyFont="1" applyFill="1" applyAlignment="1">
      <alignment horizontal="right"/>
    </xf>
    <xf numFmtId="174" fontId="128" fillId="5" borderId="0" xfId="0" applyNumberFormat="1" applyFont="1" applyFill="1" applyAlignment="1">
      <alignment horizontal="right"/>
    </xf>
    <xf numFmtId="0" fontId="123" fillId="7" borderId="0" xfId="0" applyFont="1" applyFill="1" applyAlignment="1">
      <alignment horizontal="left"/>
    </xf>
    <xf numFmtId="0" fontId="129" fillId="4" borderId="0" xfId="0" applyFont="1" applyFill="1" applyAlignment="1">
      <alignment horizontal="left"/>
    </xf>
    <xf numFmtId="0" fontId="116" fillId="4" borderId="0" xfId="0" applyFont="1" applyFill="1" applyAlignment="1">
      <alignment horizontal="left"/>
    </xf>
    <xf numFmtId="0" fontId="18" fillId="2" borderId="0" xfId="0" applyFont="1" applyFill="1" applyAlignment="1">
      <alignment horizontal="center"/>
    </xf>
    <xf numFmtId="173" fontId="110" fillId="9" borderId="0" xfId="0" applyNumberFormat="1" applyFont="1" applyFill="1" applyAlignment="1">
      <alignment horizontal="right"/>
    </xf>
    <xf numFmtId="173" fontId="111" fillId="9" borderId="0" xfId="0" applyNumberFormat="1" applyFont="1" applyFill="1" applyAlignment="1">
      <alignment horizontal="right"/>
    </xf>
    <xf numFmtId="3" fontId="111" fillId="9" borderId="0" xfId="0" applyNumberFormat="1" applyFont="1" applyFill="1" applyAlignment="1">
      <alignment horizontal="right"/>
    </xf>
    <xf numFmtId="0" fontId="50" fillId="2" borderId="0" xfId="0" applyFont="1" applyFill="1"/>
    <xf numFmtId="169" fontId="130" fillId="7" borderId="0" xfId="0" applyNumberFormat="1" applyFont="1" applyFill="1" applyAlignment="1">
      <alignment horizontal="left"/>
    </xf>
    <xf numFmtId="0" fontId="128" fillId="7" borderId="0" xfId="0" applyFont="1" applyFill="1" applyAlignment="1">
      <alignment horizontal="left"/>
    </xf>
    <xf numFmtId="0" fontId="119" fillId="9" borderId="0" xfId="0" applyFont="1" applyFill="1" applyAlignment="1">
      <alignment horizontal="right"/>
    </xf>
    <xf numFmtId="0" fontId="8" fillId="2" borderId="0" xfId="0" applyFont="1" applyFill="1" applyAlignment="1">
      <alignment horizontal="left" indent="1"/>
    </xf>
    <xf numFmtId="0" fontId="131" fillId="7" borderId="0" xfId="0" applyFont="1" applyFill="1" applyAlignment="1">
      <alignment horizontal="left"/>
    </xf>
    <xf numFmtId="172" fontId="110" fillId="9" borderId="0" xfId="0" applyNumberFormat="1" applyFont="1" applyFill="1" applyAlignment="1">
      <alignment horizontal="right"/>
    </xf>
    <xf numFmtId="172" fontId="113" fillId="9" borderId="0" xfId="0" applyNumberFormat="1" applyFont="1" applyFill="1" applyAlignment="1">
      <alignment horizontal="right"/>
    </xf>
    <xf numFmtId="172" fontId="111" fillId="9" borderId="0" xfId="0" applyNumberFormat="1" applyFont="1" applyFill="1" applyAlignment="1">
      <alignment horizontal="right"/>
    </xf>
    <xf numFmtId="172" fontId="115" fillId="9" borderId="0" xfId="0" applyNumberFormat="1" applyFont="1" applyFill="1" applyAlignment="1">
      <alignment horizontal="right"/>
    </xf>
    <xf numFmtId="189" fontId="115" fillId="9" borderId="0" xfId="0" applyNumberFormat="1" applyFont="1" applyFill="1" applyAlignment="1">
      <alignment horizontal="right"/>
    </xf>
    <xf numFmtId="189" fontId="113" fillId="9" borderId="0" xfId="0" applyNumberFormat="1" applyFont="1" applyFill="1" applyAlignment="1">
      <alignment horizontal="right"/>
    </xf>
    <xf numFmtId="0" fontId="132" fillId="2" borderId="0" xfId="0" applyFont="1" applyFill="1" applyAlignment="1">
      <alignment horizontal="left"/>
    </xf>
    <xf numFmtId="1" fontId="120" fillId="9" borderId="0" xfId="0" applyNumberFormat="1" applyFont="1" applyFill="1" applyAlignment="1">
      <alignment horizontal="right"/>
    </xf>
    <xf numFmtId="181" fontId="113" fillId="9" borderId="0" xfId="0" applyNumberFormat="1" applyFont="1" applyFill="1" applyAlignment="1">
      <alignment horizontal="right"/>
    </xf>
    <xf numFmtId="1" fontId="120" fillId="5" borderId="11" xfId="0" applyNumberFormat="1" applyFont="1" applyFill="1" applyBorder="1" applyAlignment="1">
      <alignment horizontal="right"/>
    </xf>
    <xf numFmtId="0" fontId="17" fillId="0" borderId="0" xfId="0" applyFont="1" applyFill="1"/>
    <xf numFmtId="169" fontId="3" fillId="0" borderId="0" xfId="0" applyNumberFormat="1" applyFont="1" applyFill="1"/>
    <xf numFmtId="169" fontId="46" fillId="0" borderId="0" xfId="0" applyNumberFormat="1" applyFont="1" applyFill="1" applyAlignment="1">
      <alignment horizontal="right"/>
    </xf>
    <xf numFmtId="169" fontId="9" fillId="0" borderId="0" xfId="0" applyNumberFormat="1" applyFont="1" applyFill="1" applyAlignment="1">
      <alignment horizontal="right"/>
    </xf>
    <xf numFmtId="169" fontId="6" fillId="0" borderId="0" xfId="0" applyNumberFormat="1" applyFont="1" applyFill="1" applyAlignment="1">
      <alignment horizontal="right"/>
    </xf>
    <xf numFmtId="1" fontId="3" fillId="0" borderId="0" xfId="0" applyNumberFormat="1" applyFont="1" applyFill="1" applyAlignment="1">
      <alignment horizontal="right"/>
    </xf>
    <xf numFmtId="0" fontId="133" fillId="7" borderId="0" xfId="0" applyFont="1" applyFill="1" applyAlignment="1">
      <alignment horizontal="left"/>
    </xf>
    <xf numFmtId="174" fontId="126" fillId="9" borderId="10" xfId="0" applyNumberFormat="1" applyFont="1" applyFill="1" applyBorder="1" applyAlignment="1">
      <alignment horizontal="right"/>
    </xf>
    <xf numFmtId="174" fontId="126" fillId="9" borderId="13" xfId="0" applyNumberFormat="1" applyFont="1" applyFill="1" applyBorder="1" applyAlignment="1">
      <alignment horizontal="right"/>
    </xf>
    <xf numFmtId="174" fontId="128" fillId="5" borderId="12" xfId="0" applyNumberFormat="1" applyFont="1" applyFill="1" applyBorder="1" applyAlignment="1">
      <alignment horizontal="right"/>
    </xf>
    <xf numFmtId="174" fontId="126" fillId="9" borderId="12" xfId="0" applyNumberFormat="1" applyFont="1" applyFill="1" applyBorder="1" applyAlignment="1">
      <alignment horizontal="right"/>
    </xf>
    <xf numFmtId="0" fontId="127" fillId="0" borderId="0" xfId="0" applyFont="1" applyFill="1" applyAlignment="1">
      <alignment horizontal="left"/>
    </xf>
    <xf numFmtId="0" fontId="33" fillId="7" borderId="0" xfId="0" applyFont="1" applyFill="1" applyBorder="1" applyAlignment="1">
      <alignment horizontal="centerContinuous"/>
    </xf>
    <xf numFmtId="172" fontId="13" fillId="0" borderId="0" xfId="0" applyNumberFormat="1" applyFont="1" applyFill="1" applyAlignment="1">
      <alignment horizontal="right"/>
    </xf>
    <xf numFmtId="172" fontId="115" fillId="9" borderId="3" xfId="0" applyNumberFormat="1" applyFont="1" applyFill="1" applyBorder="1" applyAlignment="1">
      <alignment horizontal="right"/>
    </xf>
    <xf numFmtId="0" fontId="0" fillId="0" borderId="0" xfId="0" applyFill="1"/>
    <xf numFmtId="0" fontId="111" fillId="0" borderId="6" xfId="0" applyFont="1" applyFill="1" applyBorder="1" applyAlignment="1">
      <alignment horizontal="centerContinuous"/>
    </xf>
    <xf numFmtId="2" fontId="115" fillId="7" borderId="0" xfId="0" applyNumberFormat="1" applyFont="1" applyFill="1" applyAlignment="1">
      <alignment horizontal="left"/>
    </xf>
    <xf numFmtId="0" fontId="55" fillId="9" borderId="0" xfId="0" applyFont="1" applyFill="1" applyAlignment="1">
      <alignment horizontal="left"/>
    </xf>
    <xf numFmtId="0" fontId="135" fillId="8" borderId="0" xfId="0" applyFont="1" applyFill="1" applyAlignment="1">
      <alignment horizontal="center"/>
    </xf>
    <xf numFmtId="0" fontId="136" fillId="8" borderId="0" xfId="0" applyFont="1" applyFill="1" applyAlignment="1">
      <alignment horizontal="center"/>
    </xf>
    <xf numFmtId="0" fontId="111" fillId="0" borderId="0" xfId="0" applyFont="1" applyFill="1" applyBorder="1" applyAlignment="1">
      <alignment horizontal="centerContinuous"/>
    </xf>
    <xf numFmtId="0" fontId="134" fillId="0" borderId="0" xfId="0" applyFont="1" applyFill="1" applyBorder="1" applyAlignment="1">
      <alignment horizontal="right"/>
    </xf>
    <xf numFmtId="0" fontId="100" fillId="7" borderId="0" xfId="0" applyFont="1" applyFill="1" applyBorder="1"/>
    <xf numFmtId="0" fontId="50" fillId="7" borderId="0" xfId="0" applyFont="1" applyFill="1" applyBorder="1"/>
    <xf numFmtId="0" fontId="50" fillId="7" borderId="0" xfId="0" applyFont="1" applyFill="1" applyBorder="1" applyAlignment="1">
      <alignment horizontal="centerContinuous"/>
    </xf>
    <xf numFmtId="0" fontId="48" fillId="7" borderId="0" xfId="0" applyFont="1" applyFill="1" applyAlignment="1">
      <alignment horizontal="left"/>
    </xf>
    <xf numFmtId="43" fontId="50" fillId="7" borderId="0" xfId="1" applyFont="1" applyFill="1" applyBorder="1"/>
    <xf numFmtId="0" fontId="47" fillId="0" borderId="0" xfId="0" applyFont="1" applyFill="1"/>
    <xf numFmtId="172" fontId="3" fillId="9" borderId="0" xfId="0" applyNumberFormat="1" applyFont="1" applyFill="1" applyBorder="1" applyAlignment="1">
      <alignment horizontal="right"/>
    </xf>
    <xf numFmtId="0" fontId="13" fillId="7" borderId="0" xfId="0" applyFont="1" applyFill="1" applyBorder="1" applyAlignment="1">
      <alignment horizontal="left"/>
    </xf>
    <xf numFmtId="172" fontId="13" fillId="7" borderId="0" xfId="0" applyNumberFormat="1" applyFont="1" applyFill="1" applyAlignment="1">
      <alignment horizontal="right"/>
    </xf>
    <xf numFmtId="172" fontId="3" fillId="9" borderId="14" xfId="0" applyNumberFormat="1" applyFont="1" applyFill="1" applyBorder="1" applyAlignment="1">
      <alignment horizontal="right"/>
    </xf>
    <xf numFmtId="172" fontId="13" fillId="9" borderId="7" xfId="0" applyNumberFormat="1" applyFont="1" applyFill="1" applyBorder="1" applyAlignment="1">
      <alignment horizontal="right"/>
    </xf>
    <xf numFmtId="172" fontId="13" fillId="9" borderId="0" xfId="0" applyNumberFormat="1" applyFont="1" applyFill="1" applyBorder="1" applyAlignment="1">
      <alignment horizontal="right"/>
    </xf>
    <xf numFmtId="172" fontId="13" fillId="0" borderId="0" xfId="0" applyNumberFormat="1" applyFont="1" applyFill="1" applyBorder="1" applyAlignment="1">
      <alignment horizontal="right"/>
    </xf>
    <xf numFmtId="0" fontId="134" fillId="10" borderId="0" xfId="0" applyFont="1" applyFill="1" applyAlignment="1">
      <alignment horizontal="right"/>
    </xf>
    <xf numFmtId="0" fontId="137" fillId="10" borderId="0" xfId="0" applyFont="1" applyFill="1" applyAlignment="1">
      <alignment horizontal="right"/>
    </xf>
    <xf numFmtId="172" fontId="13" fillId="9" borderId="15" xfId="0" applyNumberFormat="1" applyFont="1" applyFill="1" applyBorder="1" applyAlignment="1">
      <alignment horizontal="right"/>
    </xf>
    <xf numFmtId="0" fontId="104" fillId="0" borderId="0" xfId="0" applyFont="1" applyFill="1"/>
    <xf numFmtId="3" fontId="104" fillId="0" borderId="0" xfId="0" applyNumberFormat="1" applyFont="1" applyFill="1"/>
    <xf numFmtId="3" fontId="102" fillId="8" borderId="3" xfId="0" applyNumberFormat="1" applyFont="1" applyFill="1" applyBorder="1" applyAlignment="1">
      <alignment horizontal="right"/>
    </xf>
    <xf numFmtId="169" fontId="33" fillId="8" borderId="0" xfId="0" applyNumberFormat="1" applyFont="1" applyFill="1" applyAlignment="1">
      <alignment horizontal="right"/>
    </xf>
    <xf numFmtId="49" fontId="34" fillId="8" borderId="3" xfId="0" applyNumberFormat="1" applyFont="1" applyFill="1" applyBorder="1" applyAlignment="1">
      <alignment horizontal="right"/>
    </xf>
    <xf numFmtId="10" fontId="9" fillId="0" borderId="0" xfId="0" applyNumberFormat="1" applyFont="1" applyFill="1" applyAlignment="1">
      <alignment horizontal="right"/>
    </xf>
    <xf numFmtId="10" fontId="9" fillId="8" borderId="0" xfId="0" applyNumberFormat="1" applyFont="1" applyFill="1" applyAlignment="1">
      <alignment horizontal="right"/>
    </xf>
    <xf numFmtId="173" fontId="12" fillId="0" borderId="0" xfId="0" applyNumberFormat="1" applyFont="1" applyFill="1" applyAlignment="1">
      <alignment horizontal="right"/>
    </xf>
    <xf numFmtId="175" fontId="12" fillId="0" borderId="0" xfId="0" applyNumberFormat="1" applyFont="1" applyFill="1" applyAlignment="1">
      <alignment horizontal="right"/>
    </xf>
    <xf numFmtId="169" fontId="12" fillId="0" borderId="0" xfId="0" applyNumberFormat="1" applyFont="1" applyFill="1" applyAlignment="1">
      <alignment horizontal="right"/>
    </xf>
    <xf numFmtId="172" fontId="7" fillId="0" borderId="0" xfId="0" applyNumberFormat="1" applyFont="1" applyFill="1" applyAlignment="1">
      <alignment horizontal="right"/>
    </xf>
    <xf numFmtId="169" fontId="12" fillId="0" borderId="0" xfId="0" applyNumberFormat="1" applyFont="1" applyFill="1" applyBorder="1" applyAlignment="1">
      <alignment horizontal="right"/>
    </xf>
    <xf numFmtId="173" fontId="12" fillId="0" borderId="0" xfId="0" applyNumberFormat="1" applyFont="1" applyFill="1" applyBorder="1" applyAlignment="1">
      <alignment horizontal="right"/>
    </xf>
    <xf numFmtId="0" fontId="12" fillId="0" borderId="0" xfId="0" applyFont="1" applyBorder="1" applyAlignment="1">
      <alignment horizontal="right"/>
    </xf>
    <xf numFmtId="0" fontId="109" fillId="0" borderId="0" xfId="0" applyFont="1" applyFill="1" applyAlignment="1">
      <alignment horizontal="right"/>
    </xf>
    <xf numFmtId="10" fontId="1" fillId="0" borderId="0" xfId="0" applyNumberFormat="1" applyFont="1" applyFill="1" applyAlignment="1">
      <alignment horizontal="right"/>
    </xf>
    <xf numFmtId="0" fontId="1" fillId="0" borderId="0" xfId="0" applyFont="1" applyFill="1"/>
    <xf numFmtId="43" fontId="1" fillId="0" borderId="0" xfId="1" applyFont="1" applyFill="1"/>
    <xf numFmtId="0" fontId="0" fillId="8" borderId="0" xfId="0" applyFill="1" applyAlignment="1">
      <alignment horizontal="right"/>
    </xf>
    <xf numFmtId="172" fontId="0" fillId="8" borderId="0" xfId="0" applyNumberFormat="1" applyFill="1" applyAlignment="1">
      <alignment horizontal="right"/>
    </xf>
    <xf numFmtId="3" fontId="0" fillId="8" borderId="0" xfId="0" applyNumberFormat="1" applyFill="1" applyAlignment="1">
      <alignment horizontal="right"/>
    </xf>
    <xf numFmtId="169" fontId="0" fillId="8" borderId="0" xfId="0" applyNumberFormat="1" applyFill="1" applyAlignment="1">
      <alignment horizontal="right"/>
    </xf>
    <xf numFmtId="3" fontId="94" fillId="0" borderId="0" xfId="0" applyNumberFormat="1" applyFont="1" applyFill="1" applyAlignment="1">
      <alignment horizontal="right"/>
    </xf>
    <xf numFmtId="1" fontId="94" fillId="0" borderId="0" xfId="0" applyNumberFormat="1" applyFont="1" applyFill="1" applyAlignment="1">
      <alignment horizontal="right"/>
    </xf>
    <xf numFmtId="169" fontId="93" fillId="0" borderId="0" xfId="0" applyNumberFormat="1" applyFont="1" applyFill="1" applyAlignment="1">
      <alignment horizontal="right"/>
    </xf>
    <xf numFmtId="0" fontId="93" fillId="0" borderId="0" xfId="0" applyFont="1" applyFill="1" applyAlignment="1">
      <alignment horizontal="right"/>
    </xf>
    <xf numFmtId="0" fontId="122" fillId="10" borderId="0" xfId="0" applyFont="1" applyFill="1" applyAlignment="1">
      <alignment horizontal="left"/>
    </xf>
    <xf numFmtId="0" fontId="122" fillId="10" borderId="0" xfId="0" applyFont="1" applyFill="1" applyAlignment="1">
      <alignment horizontal="center"/>
    </xf>
    <xf numFmtId="0" fontId="122" fillId="10" borderId="0" xfId="0" applyFont="1" applyFill="1" applyAlignment="1">
      <alignment horizontal="right"/>
    </xf>
    <xf numFmtId="0" fontId="111" fillId="10" borderId="0" xfId="0" applyFont="1" applyFill="1" applyAlignment="1">
      <alignment horizontal="left"/>
    </xf>
    <xf numFmtId="169" fontId="115" fillId="9" borderId="3" xfId="0" applyNumberFormat="1" applyFont="1" applyFill="1" applyBorder="1" applyAlignment="1">
      <alignment horizontal="right"/>
    </xf>
    <xf numFmtId="0" fontId="4" fillId="5" borderId="0" xfId="0" applyFont="1" applyFill="1" applyAlignment="1">
      <alignment horizontal="left"/>
    </xf>
  </cellXfs>
  <cellStyles count="8">
    <cellStyle name="Comma 2" xfId="7" xr:uid="{00000000-0005-0000-0000-000007000000}"/>
    <cellStyle name="Currency 2" xfId="5" xr:uid="{00000000-0005-0000-0000-000005000000}"/>
    <cellStyle name="Hyperlink 2 2" xfId="3" xr:uid="{00000000-0005-0000-0000-000003000000}"/>
    <cellStyle name="Milliers" xfId="1" builtinId="3"/>
    <cellStyle name="Normal" xfId="0" builtinId="0"/>
    <cellStyle name="Normal 2" xfId="2" xr:uid="{00000000-0005-0000-0000-000002000000}"/>
    <cellStyle name="Normal 2 2" xfId="4" xr:uid="{00000000-0005-0000-0000-000004000000}"/>
    <cellStyle name="Percent 2" xfId="6" xr:uid="{00000000-0005-0000-0000-000006000000}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c:rich>
      </c:tx>
      <c:layout>
        <c:manualLayout>
          <c:xMode val="edge"/>
          <c:yMode val="edge"/>
          <c:x val="0.23700261672234271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RATIOS!$B$104</c:f>
              <c:strCache>
                <c:ptCount val="1"/>
                <c:pt idx="0">
                  <c:v>Free Cash Flow ($M)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RATIOS!$C$103:$H$103</c:f>
              <c:numCache>
                <c:formatCode>General</c:formatCode>
                <c:ptCount val="6"/>
              </c:numCache>
            </c:numRef>
          </c:cat>
          <c:val>
            <c:numRef>
              <c:f>RATIOS!$C$104:$H$104</c:f>
              <c:numCache>
                <c:formatCode>General</c:formatCode>
                <c:ptCount val="6"/>
                <c:pt idx="2" formatCode="&quot;€&quot;#\ ##0;\(&quot;€&quot;#\ ##0\);\-">
                  <c:v>38882</c:v>
                </c:pt>
                <c:pt idx="3" formatCode="&quot;€&quot;#\ ##0;\(&quot;€&quot;#\ ##0\);\-">
                  <c:v>12888</c:v>
                </c:pt>
                <c:pt idx="4" formatCode="&quot;€&quot;#\ ##0;\(&quot;€&quot;#\ ##0\);\-">
                  <c:v>23947</c:v>
                </c:pt>
                <c:pt idx="5" formatCode="&quot;€&quot;#\ ##0;\(&quot;€&quot;#\ ##0\);\-">
                  <c:v>10266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C-4709-819E-4A460E45B30D}"/>
            </c:ext>
          </c:extLst>
        </c:ser>
        <c:ser>
          <c:idx val="1"/>
          <c:order val="1"/>
          <c:tx>
            <c:strRef>
              <c:f>RATIOS!$B$105</c:f>
              <c:strCache>
                <c:ptCount val="1"/>
                <c:pt idx="0">
                  <c:v>CapEx ($M)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RATIOS!$C$103:$H$103</c:f>
              <c:numCache>
                <c:formatCode>General</c:formatCode>
                <c:ptCount val="6"/>
              </c:numCache>
            </c:numRef>
          </c:cat>
          <c:val>
            <c:numRef>
              <c:f>RATIOS!$C$105:$H$105</c:f>
              <c:numCache>
                <c:formatCode>General</c:formatCode>
                <c:ptCount val="6"/>
                <c:pt idx="2">
                  <c:v>15690</c:v>
                </c:pt>
                <c:pt idx="3">
                  <c:v>17722</c:v>
                </c:pt>
                <c:pt idx="4">
                  <c:v>14909</c:v>
                </c:pt>
                <c:pt idx="5">
                  <c:v>16953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2C-4709-819E-4A460E45B30D}"/>
            </c:ext>
          </c:extLst>
        </c:ser>
        <c:ser>
          <c:idx val="2"/>
          <c:order val="2"/>
          <c:tx>
            <c:strRef>
              <c:f>RATIOS!$B$106</c:f>
              <c:strCache>
                <c:ptCount val="1"/>
                <c:pt idx="0">
                  <c:v>Cash from Operations ($M)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RATIOS!$C$103:$H$103</c:f>
              <c:numCache>
                <c:formatCode>General</c:formatCode>
                <c:ptCount val="6"/>
              </c:numCache>
            </c:numRef>
          </c:cat>
          <c:val>
            <c:numRef>
              <c:f>RATIOS!$C$106:$H$106</c:f>
              <c:numCache>
                <c:formatCode>General</c:formatCode>
                <c:ptCount val="6"/>
                <c:pt idx="2" formatCode="#,##0">
                  <c:v>54572</c:v>
                </c:pt>
                <c:pt idx="3" formatCode="#,##0">
                  <c:v>30610</c:v>
                </c:pt>
                <c:pt idx="4" formatCode="#,##0">
                  <c:v>38856</c:v>
                </c:pt>
                <c:pt idx="5" formatCode="#,##0">
                  <c:v>27219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2C-4709-819E-4A460E45B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964032"/>
        <c:axId val="1926950112"/>
      </c:lineChart>
      <c:catAx>
        <c:axId val="192696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6950112"/>
        <c:crosses val="autoZero"/>
        <c:auto val="1"/>
        <c:lblAlgn val="ctr"/>
        <c:lblOffset val="100"/>
        <c:noMultiLvlLbl val="0"/>
      </c:catAx>
      <c:valAx>
        <c:axId val="192695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69640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RATIOS!$B$110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RATIOS!$C$109:$H$109</c:f>
              <c:numCache>
                <c:formatCode>General</c:formatCode>
                <c:ptCount val="6"/>
              </c:numCache>
            </c:numRef>
          </c:cat>
          <c:val>
            <c:numRef>
              <c:f>RATIOS!$C$110:$H$110</c:f>
              <c:numCache>
                <c:formatCode>General</c:formatCode>
                <c:ptCount val="6"/>
                <c:pt idx="2" formatCode="0.0%">
                  <c:v>0.24652583810922835</c:v>
                </c:pt>
                <c:pt idx="3" formatCode="0.0%">
                  <c:v>0.14973976779279974</c:v>
                </c:pt>
                <c:pt idx="4" formatCode="0.0%">
                  <c:v>0.10822180590300759</c:v>
                </c:pt>
                <c:pt idx="5" formatCode="0.0%">
                  <c:v>8.6853340468351928E-2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91-4827-A4B5-3B437C306B08}"/>
            </c:ext>
          </c:extLst>
        </c:ser>
        <c:ser>
          <c:idx val="1"/>
          <c:order val="1"/>
          <c:tx>
            <c:strRef>
              <c:f>RATIOS!$B$111</c:f>
              <c:strCache>
                <c:ptCount val="1"/>
                <c:pt idx="0">
                  <c:v>Return on Assets (ROA)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RATIOS!$C$109:$H$109</c:f>
              <c:numCache>
                <c:formatCode>General</c:formatCode>
                <c:ptCount val="6"/>
              </c:numCache>
            </c:numRef>
          </c:cat>
          <c:val>
            <c:numRef>
              <c:f>RATIOS!$C$111:$H$111</c:f>
              <c:numCache>
                <c:formatCode>General</c:formatCode>
                <c:ptCount val="6"/>
                <c:pt idx="2" formatCode="0.0%">
                  <c:v>0.16267703061856045</c:v>
                </c:pt>
                <c:pt idx="3" formatCode="0.0%">
                  <c:v>0.1144526413415501</c:v>
                </c:pt>
                <c:pt idx="4" formatCode="0.0%">
                  <c:v>9.2960284460204962E-2</c:v>
                </c:pt>
                <c:pt idx="5" formatCode="0.0%">
                  <c:v>7.0498475019593401E-2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91-4827-A4B5-3B437C306B08}"/>
            </c:ext>
          </c:extLst>
        </c:ser>
        <c:ser>
          <c:idx val="2"/>
          <c:order val="2"/>
          <c:tx>
            <c:strRef>
              <c:f>RATIOS!$B$112</c:f>
              <c:strCache>
                <c:ptCount val="1"/>
                <c:pt idx="0">
                  <c:v>Return on Invested Capital (ROIC)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RATIOS!$C$109:$H$109</c:f>
              <c:numCache>
                <c:formatCode>General</c:formatCode>
                <c:ptCount val="6"/>
              </c:numCache>
            </c:numRef>
          </c:cat>
          <c:val>
            <c:numRef>
              <c:f>RATIOS!$C$112:$H$112</c:f>
              <c:numCache>
                <c:formatCode>General</c:formatCode>
                <c:ptCount val="6"/>
                <c:pt idx="2" formatCode="0.0%">
                  <c:v>0.25038793370988766</c:v>
                </c:pt>
                <c:pt idx="3" formatCode="0.0%">
                  <c:v>0.15107677004095965</c:v>
                </c:pt>
                <c:pt idx="4" formatCode="0.0%">
                  <c:v>0.11016816055462694</c:v>
                </c:pt>
                <c:pt idx="5" formatCode="0.0%">
                  <c:v>9.2011034073591527E-2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91-4827-A4B5-3B437C306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670816"/>
        <c:axId val="1919671296"/>
      </c:lineChart>
      <c:catAx>
        <c:axId val="19196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671296"/>
        <c:crosses val="autoZero"/>
        <c:auto val="1"/>
        <c:lblAlgn val="ctr"/>
        <c:lblOffset val="100"/>
        <c:noMultiLvlLbl val="0"/>
      </c:catAx>
      <c:valAx>
        <c:axId val="19196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6708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DCF!$B$121</c:f>
              <c:strCache>
                <c:ptCount val="1"/>
                <c:pt idx="0">
                  <c:v>UFCF</c:v>
                </c:pt>
              </c:strCache>
            </c:strRef>
          </c:tx>
          <c:spPr>
            <a:solidFill>
              <a:srgbClr val="1B3E70"/>
            </a:solidFill>
            <a:ln>
              <a:solidFill>
                <a:srgbClr val="1B3E70"/>
              </a:solidFill>
              <a:prstDash val="solid"/>
            </a:ln>
          </c:spPr>
          <c:invertIfNegative val="0"/>
          <c:cat>
            <c:strRef>
              <c:f>DCF!$C$120:$G$120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DCF!$C$121:$G$121</c:f>
              <c:numCache>
                <c:formatCode>_(#\ ##0_);\(#\ ##0\);_("–"_);_(@_)</c:formatCode>
                <c:ptCount val="5"/>
                <c:pt idx="0">
                  <c:v>18200.397367113343</c:v>
                </c:pt>
                <c:pt idx="1">
                  <c:v>19048.81232795912</c:v>
                </c:pt>
                <c:pt idx="2">
                  <c:v>19936.776312448077</c:v>
                </c:pt>
                <c:pt idx="3">
                  <c:v>20866.132905787097</c:v>
                </c:pt>
                <c:pt idx="4">
                  <c:v>21838.811632255685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0-4A41-9366-37DE57629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3977584"/>
        <c:axId val="1373965104"/>
      </c:barChart>
      <c:catAx>
        <c:axId val="13739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4D4D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373965104"/>
        <c:crosses val="autoZero"/>
        <c:auto val="1"/>
        <c:lblAlgn val="ctr"/>
        <c:lblOffset val="100"/>
        <c:noMultiLvlLbl val="0"/>
      </c:catAx>
      <c:valAx>
        <c:axId val="137396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4D4D4"/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373977584"/>
        <c:crosses val="autoZero"/>
        <c:crossBetween val="between"/>
        <c:majorUnit val="30000"/>
      </c:valAx>
    </c:plotArea>
    <c:plotVisOnly val="1"/>
    <c:dispBlanksAs val="gap"/>
    <c:showDLblsOverMax val="1"/>
  </c:chart>
  <c:spPr>
    <a:solidFill>
      <a:srgbClr val="FFFFFF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DCF!$L$100</c:f>
              <c:strCache>
                <c:ptCount val="1"/>
                <c:pt idx="0">
                  <c:v>g=0%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DCF!$M$98:$Q$98</c:f>
              <c:strCache>
                <c:ptCount val="5"/>
                <c:pt idx="2">
                  <c:v>7,9%</c:v>
                </c:pt>
                <c:pt idx="3">
                  <c:v>8,9%</c:v>
                </c:pt>
                <c:pt idx="4">
                  <c:v>9,9%</c:v>
                </c:pt>
              </c:strCache>
            </c:strRef>
          </c:cat>
          <c:val>
            <c:numRef>
              <c:f>DCF!$M$99:$Q$99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 formatCode="&quot;€&quot;#\ ##0">
                  <c:v>101.55981477488764</c:v>
                </c:pt>
                <c:pt idx="3" formatCode="&quot;€&quot;#\ ##0">
                  <c:v>88.146208628623853</c:v>
                </c:pt>
                <c:pt idx="4" formatCode="&quot;€&quot;#\ ##0">
                  <c:v>77.60554042428582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9-48EA-899A-669B6ED70BAA}"/>
            </c:ext>
          </c:extLst>
        </c:ser>
        <c:ser>
          <c:idx val="1"/>
          <c:order val="1"/>
          <c:tx>
            <c:strRef>
              <c:f>DCF!$L$101</c:f>
              <c:strCache>
                <c:ptCount val="1"/>
                <c:pt idx="0">
                  <c:v>g=1%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DCF!$M$98:$Q$98</c:f>
              <c:strCache>
                <c:ptCount val="5"/>
                <c:pt idx="2">
                  <c:v>7,9%</c:v>
                </c:pt>
                <c:pt idx="3">
                  <c:v>8,9%</c:v>
                </c:pt>
                <c:pt idx="4">
                  <c:v>9,9%</c:v>
                </c:pt>
              </c:strCache>
            </c:strRef>
          </c:cat>
          <c:val>
            <c:numRef>
              <c:f>DCF!$M$100:$Q$100</c:f>
              <c:numCache>
                <c:formatCode>General</c:formatCode>
                <c:ptCount val="5"/>
                <c:pt idx="0">
                  <c:v>142.90121189160305</c:v>
                </c:pt>
                <c:pt idx="1">
                  <c:v>119.10708248182621</c:v>
                </c:pt>
                <c:pt idx="2" formatCode="&quot;€&quot;#\ ##0">
                  <c:v>115.30675864850038</c:v>
                </c:pt>
                <c:pt idx="3" formatCode="&quot;€&quot;#\ ##0">
                  <c:v>98.426521333972218</c:v>
                </c:pt>
                <c:pt idx="4" formatCode="&quot;€&quot;#\ ##0">
                  <c:v>85.51975560858871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C9-48EA-899A-669B6ED70BAA}"/>
            </c:ext>
          </c:extLst>
        </c:ser>
        <c:ser>
          <c:idx val="2"/>
          <c:order val="2"/>
          <c:tx>
            <c:strRef>
              <c:f>DCF!$L$102</c:f>
              <c:strCache>
                <c:ptCount val="1"/>
                <c:pt idx="0">
                  <c:v>g=2%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DCF!$M$98:$Q$98</c:f>
              <c:strCache>
                <c:ptCount val="5"/>
                <c:pt idx="2">
                  <c:v>7,9%</c:v>
                </c:pt>
                <c:pt idx="3">
                  <c:v>8,9%</c:v>
                </c:pt>
                <c:pt idx="4">
                  <c:v>9,9%</c:v>
                </c:pt>
              </c:strCache>
            </c:strRef>
          </c:cat>
          <c:val>
            <c:numRef>
              <c:f>DCF!$M$101:$Q$101</c:f>
              <c:numCache>
                <c:formatCode>"€"#\ ##0</c:formatCode>
                <c:ptCount val="5"/>
                <c:pt idx="0">
                  <c:v>170.76189333672673</c:v>
                </c:pt>
                <c:pt idx="1">
                  <c:v>138.19129631711206</c:v>
                </c:pt>
                <c:pt idx="2">
                  <c:v>133.69343338927666</c:v>
                </c:pt>
                <c:pt idx="3">
                  <c:v>111.67555566108901</c:v>
                </c:pt>
                <c:pt idx="4">
                  <c:v>95.431059934766225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C9-48EA-899A-669B6ED70BAA}"/>
            </c:ext>
          </c:extLst>
        </c:ser>
        <c:ser>
          <c:idx val="3"/>
          <c:order val="3"/>
          <c:tx>
            <c:strRef>
              <c:f>DCF!$L$103</c:f>
              <c:strCache>
                <c:ptCount val="1"/>
                <c:pt idx="0">
                  <c:v>g=3% (Base)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DCF!$M$98:$Q$98</c:f>
              <c:strCache>
                <c:ptCount val="5"/>
                <c:pt idx="2">
                  <c:v>7,9%</c:v>
                </c:pt>
                <c:pt idx="3">
                  <c:v>8,9%</c:v>
                </c:pt>
                <c:pt idx="4">
                  <c:v>9,9%</c:v>
                </c:pt>
              </c:strCache>
            </c:strRef>
          </c:cat>
          <c:val>
            <c:numRef>
              <c:f>DCF!$M$102:$Q$102</c:f>
              <c:numCache>
                <c:formatCode>"€"#\ ##0</c:formatCode>
                <c:ptCount val="5"/>
                <c:pt idx="0">
                  <c:v>212.81638616955047</c:v>
                </c:pt>
                <c:pt idx="1">
                  <c:v>165.02426382305919</c:v>
                </c:pt>
                <c:pt idx="2">
                  <c:v>159.5456403557198</c:v>
                </c:pt>
                <c:pt idx="3">
                  <c:v>129.39627141011277</c:v>
                </c:pt>
                <c:pt idx="4">
                  <c:v>108.20452461504868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C9-48EA-899A-669B6ED70BAA}"/>
            </c:ext>
          </c:extLst>
        </c:ser>
        <c:ser>
          <c:idx val="4"/>
          <c:order val="4"/>
          <c:tx>
            <c:strRef>
              <c:f>DCF!$L$104</c:f>
              <c:strCache>
                <c:ptCount val="1"/>
                <c:pt idx="0">
                  <c:v>g=4%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DCF!$M$98:$Q$98</c:f>
              <c:strCache>
                <c:ptCount val="5"/>
                <c:pt idx="2">
                  <c:v>7,9%</c:v>
                </c:pt>
                <c:pt idx="3">
                  <c:v>8,9%</c:v>
                </c:pt>
                <c:pt idx="4">
                  <c:v>9,9%</c:v>
                </c:pt>
              </c:strCache>
            </c:strRef>
          </c:cat>
          <c:val>
            <c:numRef>
              <c:f>DCF!$M$103:$Q$103</c:f>
              <c:numCache>
                <c:formatCode>"€"#\ ##0</c:formatCode>
                <c:ptCount val="5"/>
                <c:pt idx="0">
                  <c:v>283.61871111272001</c:v>
                </c:pt>
                <c:pt idx="1">
                  <c:v>205.52746694409237</c:v>
                </c:pt>
                <c:pt idx="2">
                  <c:v>198.56842788962794</c:v>
                </c:pt>
                <c:pt idx="3">
                  <c:v>154.3121203929251</c:v>
                </c:pt>
                <c:pt idx="4">
                  <c:v>125.28916121125705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C9-48EA-899A-669B6ED70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12480"/>
        <c:axId val="211413440"/>
      </c:lineChart>
      <c:catAx>
        <c:axId val="2114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13440"/>
        <c:crosses val="autoZero"/>
        <c:auto val="1"/>
        <c:lblAlgn val="ctr"/>
        <c:lblOffset val="100"/>
        <c:noMultiLvlLbl val="0"/>
      </c:catAx>
      <c:valAx>
        <c:axId val="21141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1248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DCF!$C$123:$G$123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DCF!$C$124:$G$124</c:f>
              <c:numCache>
                <c:formatCode>_(#\ ##0_);\(#\ ##0\);_("–"_);_(@_)</c:formatCode>
                <c:ptCount val="5"/>
                <c:pt idx="0">
                  <c:v>190844.00000000003</c:v>
                </c:pt>
                <c:pt idx="1">
                  <c:v>199740.22910542716</c:v>
                </c:pt>
                <c:pt idx="2">
                  <c:v>209051.15761086816</c:v>
                </c:pt>
                <c:pt idx="3">
                  <c:v>218796.11680718054</c:v>
                </c:pt>
                <c:pt idx="4">
                  <c:v>228995.33911699627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E-4D67-861A-3237786BF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42720"/>
        <c:axId val="211471040"/>
      </c:lineChart>
      <c:catAx>
        <c:axId val="21144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71040"/>
        <c:crosses val="autoZero"/>
        <c:auto val="1"/>
        <c:lblAlgn val="ctr"/>
        <c:lblOffset val="100"/>
        <c:noMultiLvlLbl val="0"/>
      </c:catAx>
      <c:valAx>
        <c:axId val="21147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\ ##0_);\(#\ ##0\);_(&quot;–&quot;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4272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COMPARABLES!$B$48</c:f>
              <c:strCache>
                <c:ptCount val="1"/>
                <c:pt idx="0">
                  <c:v>XOM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COMPARABLES!$C$48:$D$48</c:f>
              <c:numCache>
                <c:formatCode>0.00</c:formatCode>
                <c:ptCount val="2"/>
                <c:pt idx="0">
                  <c:v>9.8305978784956594</c:v>
                </c:pt>
                <c:pt idx="1">
                  <c:v>0.93668002006928897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F-409B-963A-7867BC55FB18}"/>
            </c:ext>
          </c:extLst>
        </c:ser>
        <c:ser>
          <c:idx val="1"/>
          <c:order val="1"/>
          <c:tx>
            <c:strRef>
              <c:f>COMPARABLES!$B$49</c:f>
              <c:strCache>
                <c:ptCount val="1"/>
                <c:pt idx="0">
                  <c:v>SHEL.L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COMPARABLES!$C$49:$D$49</c:f>
              <c:numCache>
                <c:formatCode>0.00</c:formatCode>
                <c:ptCount val="2"/>
                <c:pt idx="0">
                  <c:v>34.001770814018172</c:v>
                </c:pt>
                <c:pt idx="1">
                  <c:v>0.97919836494425783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5F-409B-963A-7867BC55FB18}"/>
            </c:ext>
          </c:extLst>
        </c:ser>
        <c:ser>
          <c:idx val="2"/>
          <c:order val="2"/>
          <c:tx>
            <c:strRef>
              <c:f>COMPARABLES!$B$50</c:f>
              <c:strCache>
                <c:ptCount val="1"/>
                <c:pt idx="0">
                  <c:v>BP.L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COMPARABLES!$C$50:$D$50</c:f>
              <c:numCache>
                <c:formatCode>0.00</c:formatCode>
                <c:ptCount val="2"/>
                <c:pt idx="0">
                  <c:v>13.085687885211792</c:v>
                </c:pt>
                <c:pt idx="1">
                  <c:v>6.6345894827980851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5F-409B-963A-7867BC55FB18}"/>
            </c:ext>
          </c:extLst>
        </c:ser>
        <c:ser>
          <c:idx val="3"/>
          <c:order val="3"/>
          <c:tx>
            <c:strRef>
              <c:f>COMPARABLES!$B$51</c:f>
              <c:strCache>
                <c:ptCount val="1"/>
                <c:pt idx="0">
                  <c:v>ENI.MI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COMPARABLES!$C$51:$D$51</c:f>
              <c:numCache>
                <c:formatCode>0.00</c:formatCode>
                <c:ptCount val="2"/>
                <c:pt idx="0">
                  <c:v>9.1735484690636522</c:v>
                </c:pt>
                <c:pt idx="1">
                  <c:v>1.0821038118288835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5F-409B-963A-7867BC55FB18}"/>
            </c:ext>
          </c:extLst>
        </c:ser>
        <c:ser>
          <c:idx val="4"/>
          <c:order val="4"/>
          <c:tx>
            <c:strRef>
              <c:f>COMPARABLES!$B$52</c:f>
              <c:strCache>
                <c:ptCount val="1"/>
                <c:pt idx="0">
                  <c:v>REP.MC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COMPARABLES!$C$52:$D$52</c:f>
              <c:numCache>
                <c:formatCode>0.00</c:formatCode>
                <c:ptCount val="2"/>
                <c:pt idx="0">
                  <c:v>10.649799110818376</c:v>
                </c:pt>
                <c:pt idx="1">
                  <c:v>0.80364856343173474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5F-409B-963A-7867BC55FB18}"/>
            </c:ext>
          </c:extLst>
        </c:ser>
        <c:ser>
          <c:idx val="5"/>
          <c:order val="5"/>
          <c:tx>
            <c:strRef>
              <c:f>COMPARABLES!$B$53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COMPARABLES!$C$47:$D$47</c:f>
              <c:strCache>
                <c:ptCount val="2"/>
                <c:pt idx="0">
                  <c:v>EV/EBITDA (x)</c:v>
                </c:pt>
                <c:pt idx="1">
                  <c:v>EV/Revenue (x)</c:v>
                </c:pt>
              </c:strCache>
            </c:strRef>
          </c:cat>
          <c:val>
            <c:numRef>
              <c:f>COMPARABLES!$C$53:$D$53</c:f>
              <c:numCache>
                <c:formatCode>0.00</c:formatCode>
                <c:ptCount val="2"/>
                <c:pt idx="0">
                  <c:v>15.34828083152153</c:v>
                </c:pt>
                <c:pt idx="1">
                  <c:v>2.0872440486144499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5F-409B-963A-7867BC55F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4804656"/>
        <c:axId val="2064801296"/>
      </c:barChart>
      <c:catAx>
        <c:axId val="206480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1296"/>
        <c:crosses val="autoZero"/>
        <c:auto val="1"/>
        <c:lblAlgn val="ctr"/>
        <c:lblOffset val="100"/>
        <c:noMultiLvlLbl val="0"/>
      </c:catAx>
      <c:valAx>
        <c:axId val="2064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46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COMPARABLES!$H$55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COMPARABLES!$I$54:$K$54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COMPARABLES!$I$55:$K$55</c:f>
              <c:numCache>
                <c:formatCode>General</c:formatCode>
                <c:ptCount val="3"/>
                <c:pt idx="0">
                  <c:v>45.219059434596971</c:v>
                </c:pt>
                <c:pt idx="1">
                  <c:v>524.91179878020955</c:v>
                </c:pt>
                <c:pt idx="2" formatCode="#,##0">
                  <c:v>77.69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3-435E-832D-88EEEE3AD7D8}"/>
            </c:ext>
          </c:extLst>
        </c:ser>
        <c:ser>
          <c:idx val="1"/>
          <c:order val="1"/>
          <c:tx>
            <c:strRef>
              <c:f>COMPARABLES!$H$56</c:f>
              <c:strCache>
                <c:ptCount val="1"/>
                <c:pt idx="0">
                  <c:v>EV/Revenue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COMPARABLES!$I$54:$K$54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COMPARABLES!$I$56:$K$56</c:f>
              <c:numCache>
                <c:formatCode>General</c:formatCode>
                <c:ptCount val="3"/>
                <c:pt idx="0">
                  <c:v>45.219059434596971</c:v>
                </c:pt>
                <c:pt idx="1">
                  <c:v>524.91179878020955</c:v>
                </c:pt>
                <c:pt idx="2" formatCode="#,##0">
                  <c:v>77.69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93-435E-832D-88EEEE3AD7D8}"/>
            </c:ext>
          </c:extLst>
        </c:ser>
        <c:ser>
          <c:idx val="2"/>
          <c:order val="2"/>
          <c:tx>
            <c:strRef>
              <c:f>COMPARABLES!$H$57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COMPARABLES!$I$54:$K$54</c:f>
              <c:strCache>
                <c:ptCount val="3"/>
                <c:pt idx="0">
                  <c:v>Low ($)</c:v>
                </c:pt>
                <c:pt idx="1">
                  <c:v>High ($)</c:v>
                </c:pt>
                <c:pt idx="2">
                  <c:v>Current ($)</c:v>
                </c:pt>
              </c:strCache>
            </c:strRef>
          </c:cat>
          <c:val>
            <c:numRef>
              <c:f>COMPARABLES!$I$57:$K$57</c:f>
              <c:numCache>
                <c:formatCode>General</c:formatCode>
                <c:ptCount val="3"/>
                <c:pt idx="0">
                  <c:v>45.219059434596971</c:v>
                </c:pt>
                <c:pt idx="1">
                  <c:v>524.91179878020955</c:v>
                </c:pt>
                <c:pt idx="2" formatCode="#,##0">
                  <c:v>77.69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93-435E-832D-88EEEE3AD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802736"/>
        <c:axId val="2064819536"/>
      </c:barChart>
      <c:catAx>
        <c:axId val="20648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19536"/>
        <c:crosses val="autoZero"/>
        <c:auto val="1"/>
        <c:lblAlgn val="ctr"/>
        <c:lblOffset val="100"/>
        <c:noMultiLvlLbl val="0"/>
      </c:catAx>
      <c:valAx>
        <c:axId val="20648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27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SCENARIOS!$B$57</c:f>
              <c:strCache>
                <c:ptCount val="1"/>
                <c:pt idx="0">
                  <c:v>Pessimistic</c:v>
                </c:pt>
              </c:strCache>
            </c:strRef>
          </c:tx>
          <c:spPr>
            <a:ln w="28575" cap="rnd">
              <a:solidFill>
                <a:srgbClr val="EB610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SCENARIOS!$C$56:$G$56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SCENARIOS!$C$57:$G$57</c:f>
              <c:numCache>
                <c:formatCode>#,##0</c:formatCode>
                <c:ptCount val="5"/>
                <c:pt idx="0" formatCode="_(#\ ##0_);\(#\ ##0\);_(&quot;–&quot;_);_(@_)">
                  <c:v>173226.8</c:v>
                </c:pt>
                <c:pt idx="1">
                  <c:v>164565.46</c:v>
                </c:pt>
                <c:pt idx="2" formatCode="_(#\ ##0_);\(#\ ##0\);_(&quot;–&quot;_);_(@_)">
                  <c:v>156337.18699999998</c:v>
                </c:pt>
                <c:pt idx="3" formatCode="_(#\ ##0_);\(#\ ##0\);_(&quot;–&quot;_);_(@_)">
                  <c:v>148520.32764999996</c:v>
                </c:pt>
                <c:pt idx="4" formatCode="_(#\ ##0_);\(#\ ##0\);_(&quot;–&quot;_);_(@_)">
                  <c:v>141094.31126749996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0-41E5-83E1-B3265ED1E7CA}"/>
            </c:ext>
          </c:extLst>
        </c:ser>
        <c:ser>
          <c:idx val="1"/>
          <c:order val="1"/>
          <c:tx>
            <c:strRef>
              <c:f>SCENARIOS!$B$58</c:f>
              <c:strCache>
                <c:ptCount val="1"/>
                <c:pt idx="0">
                  <c:v>Realistic</c:v>
                </c:pt>
              </c:strCache>
            </c:strRef>
          </c:tx>
          <c:spPr>
            <a:ln w="28575" cap="rnd">
              <a:solidFill>
                <a:srgbClr val="3271D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SCENARIOS!$C$56:$G$56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SCENARIOS!$C$58:$G$58</c:f>
              <c:numCache>
                <c:formatCode>#,##0</c:formatCode>
                <c:ptCount val="5"/>
                <c:pt idx="0" formatCode="_(#\ ##0_);\(#\ ##0\);_(&quot;–&quot;_);_(@_)">
                  <c:v>185990.88</c:v>
                </c:pt>
                <c:pt idx="1">
                  <c:v>189710.69760000001</c:v>
                </c:pt>
                <c:pt idx="2" formatCode="_(#\ ##0_);\(#\ ##0\);_(&quot;–&quot;_);_(@_)">
                  <c:v>193504.91155200001</c:v>
                </c:pt>
                <c:pt idx="3" formatCode="_(#\ ##0_);\(#\ ##0\);_(&quot;–&quot;_);_(@_)">
                  <c:v>197375.00978304</c:v>
                </c:pt>
                <c:pt idx="4" formatCode="_(#\ ##0_);\(#\ ##0\);_(&quot;–&quot;_);_(@_)">
                  <c:v>201322.50997870081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00-41E5-83E1-B3265ED1E7CA}"/>
            </c:ext>
          </c:extLst>
        </c:ser>
        <c:ser>
          <c:idx val="2"/>
          <c:order val="2"/>
          <c:tx>
            <c:strRef>
              <c:f>SCENARIOS!$B$59</c:f>
              <c:strCache>
                <c:ptCount val="1"/>
                <c:pt idx="0">
                  <c:v>Optimistic</c:v>
                </c:pt>
              </c:strCache>
            </c:strRef>
          </c:tx>
          <c:spPr>
            <a:ln w="28575" cap="rnd">
              <a:solidFill>
                <a:srgbClr val="1B3E7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SCENARIOS!$C$56:$G$56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SCENARIOS!$C$59:$G$59</c:f>
              <c:numCache>
                <c:formatCode>#,##0</c:formatCode>
                <c:ptCount val="5"/>
                <c:pt idx="0" formatCode="_(#\ ##0_);\(#\ ##0\);_(&quot;–&quot;_);_(@_)">
                  <c:v>193284.64</c:v>
                </c:pt>
                <c:pt idx="1">
                  <c:v>204881.71840000001</c:v>
                </c:pt>
                <c:pt idx="2" formatCode="_(#\ ##0_);\(#\ ##0\);_(&quot;–&quot;_);_(@_)">
                  <c:v>217174.62150400001</c:v>
                </c:pt>
                <c:pt idx="3" formatCode="_(#\ ##0_);\(#\ ##0\);_(&quot;–&quot;_);_(@_)">
                  <c:v>230205.09879424001</c:v>
                </c:pt>
                <c:pt idx="4" formatCode="_(#\ ##0_);\(#\ ##0\);_(&quot;–&quot;_);_(@_)">
                  <c:v>244017.40472189442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00-41E5-83E1-B3265ED1E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618623"/>
        <c:axId val="766619103"/>
      </c:lineChart>
      <c:catAx>
        <c:axId val="76661862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4D4D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766619103"/>
        <c:crosses val="autoZero"/>
        <c:auto val="1"/>
        <c:lblAlgn val="ctr"/>
        <c:lblOffset val="100"/>
        <c:noMultiLvlLbl val="0"/>
      </c:catAx>
      <c:valAx>
        <c:axId val="7666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4D4D4"/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766618623"/>
        <c:crosses val="autoZero"/>
        <c:crossBetween val="between"/>
        <c:majorUnit val="100000"/>
      </c:valAx>
    </c:plotArea>
    <c:legend>
      <c:legendPos val="b"/>
      <c:overlay val="0"/>
      <c:spPr>
        <a:solidFill>
          <a:srgbClr val="FFFFFF"/>
        </a:solidFill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SCENARIOS!$B$62</c:f>
              <c:strCache>
                <c:ptCount val="1"/>
                <c:pt idx="0">
                  <c:v>Pessimistic</c:v>
                </c:pt>
              </c:strCache>
            </c:strRef>
          </c:tx>
          <c:spPr>
            <a:ln w="28575" cap="rnd">
              <a:solidFill>
                <a:srgbClr val="EB610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SCENARIOS!$C$61:$G$61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SCENARIOS!$C$62:$G$62</c:f>
              <c:numCache>
                <c:formatCode>#,##0</c:formatCode>
                <c:ptCount val="5"/>
                <c:pt idx="0" formatCode="_(#\ ##0_);\(#\ ##0\);_(&quot;–&quot;_);_(@_)">
                  <c:v>25984.019999999997</c:v>
                </c:pt>
                <c:pt idx="1">
                  <c:v>24684.819</c:v>
                </c:pt>
                <c:pt idx="2" formatCode="_(#\ ##0_);\(#\ ##0\);_(&quot;–&quot;_);_(@_)">
                  <c:v>23450.578049999996</c:v>
                </c:pt>
                <c:pt idx="3" formatCode="_(#\ ##0_);\(#\ ##0\);_(&quot;–&quot;_);_(@_)">
                  <c:v>22278.049147499994</c:v>
                </c:pt>
                <c:pt idx="4" formatCode="_(#\ ##0_);\(#\ ##0\);_(&quot;–&quot;_);_(@_)">
                  <c:v>21164.146690124991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B-4013-BBE1-05BCACD3EFF4}"/>
            </c:ext>
          </c:extLst>
        </c:ser>
        <c:ser>
          <c:idx val="1"/>
          <c:order val="1"/>
          <c:tx>
            <c:strRef>
              <c:f>SCENARIOS!$B$63</c:f>
              <c:strCache>
                <c:ptCount val="1"/>
                <c:pt idx="0">
                  <c:v>Realistic</c:v>
                </c:pt>
              </c:strCache>
            </c:strRef>
          </c:tx>
          <c:spPr>
            <a:ln w="28575" cap="rnd">
              <a:solidFill>
                <a:srgbClr val="3271D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SCENARIOS!$C$61:$G$61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SCENARIOS!$C$63:$G$63</c:f>
              <c:numCache>
                <c:formatCode>#,##0</c:formatCode>
                <c:ptCount val="5"/>
                <c:pt idx="0" formatCode="_(#\ ##0_);\(#\ ##0\);_(&quot;–&quot;_);_(@_)">
                  <c:v>40917.993600000002</c:v>
                </c:pt>
                <c:pt idx="1">
                  <c:v>41736.353472000003</c:v>
                </c:pt>
                <c:pt idx="2" formatCode="_(#\ ##0_);\(#\ ##0\);_(&quot;–&quot;_);_(@_)">
                  <c:v>42571.080541440002</c:v>
                </c:pt>
                <c:pt idx="3" formatCode="_(#\ ##0_);\(#\ ##0\);_(&quot;–&quot;_);_(@_)">
                  <c:v>43422.502152268804</c:v>
                </c:pt>
                <c:pt idx="4" formatCode="_(#\ ##0_);\(#\ ##0\);_(&quot;–&quot;_);_(@_)">
                  <c:v>44290.952195314181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4B-4013-BBE1-05BCACD3EFF4}"/>
            </c:ext>
          </c:extLst>
        </c:ser>
        <c:ser>
          <c:idx val="2"/>
          <c:order val="2"/>
          <c:tx>
            <c:strRef>
              <c:f>SCENARIOS!$B$64</c:f>
              <c:strCache>
                <c:ptCount val="1"/>
                <c:pt idx="0">
                  <c:v>Optimistic</c:v>
                </c:pt>
              </c:strCache>
            </c:strRef>
          </c:tx>
          <c:spPr>
            <a:ln w="28575" cap="rnd">
              <a:solidFill>
                <a:srgbClr val="1B3E7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SCENARIOS!$C$61:$G$61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SCENARIOS!$C$64:$G$64</c:f>
              <c:numCache>
                <c:formatCode>#,##0</c:formatCode>
                <c:ptCount val="5"/>
                <c:pt idx="0" formatCode="_(#\ ##0_);\(#\ ##0\);_(&quot;–&quot;_);_(@_)">
                  <c:v>54119.69920000001</c:v>
                </c:pt>
                <c:pt idx="1">
                  <c:v>57366.881152000009</c:v>
                </c:pt>
                <c:pt idx="2" formatCode="_(#\ ##0_);\(#\ ##0\);_(&quot;–&quot;_);_(@_)">
                  <c:v>60808.89402112001</c:v>
                </c:pt>
                <c:pt idx="3" formatCode="_(#\ ##0_);\(#\ ##0\);_(&quot;–&quot;_);_(@_)">
                  <c:v>64457.427662387207</c:v>
                </c:pt>
                <c:pt idx="4" formatCode="_(#\ ##0_);\(#\ ##0\);_(&quot;–&quot;_);_(@_)">
                  <c:v>68324.873322130443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4B-4013-BBE1-05BCACD3E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816384"/>
        <c:axId val="1411817344"/>
      </c:lineChart>
      <c:catAx>
        <c:axId val="141181638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4D4D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411817344"/>
        <c:crosses val="autoZero"/>
        <c:auto val="1"/>
        <c:lblAlgn val="ctr"/>
        <c:lblOffset val="100"/>
        <c:noMultiLvlLbl val="0"/>
      </c:catAx>
      <c:valAx>
        <c:axId val="14118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4D4D4"/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411816384"/>
        <c:crosses val="autoZero"/>
        <c:crossBetween val="between"/>
        <c:majorUnit val="50000"/>
      </c:valAx>
    </c:plotArea>
    <c:legend>
      <c:legendPos val="b"/>
      <c:overlay val="0"/>
      <c:spPr>
        <a:solidFill>
          <a:srgbClr val="FFFFFF"/>
        </a:solidFill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DASHBOARD!$K$86:$N$86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DASHBOARD!$K$87:$N$87</c:f>
              <c:numCache>
                <c:formatCode>General</c:formatCode>
                <c:ptCount val="4"/>
                <c:pt idx="0">
                  <c:v>0.30842353119896698</c:v>
                </c:pt>
                <c:pt idx="1">
                  <c:v>0.28487976432437367</c:v>
                </c:pt>
                <c:pt idx="2">
                  <c:v>0.28389141659424366</c:v>
                </c:pt>
                <c:pt idx="3">
                  <c:v>0.28433619971043739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7-4AA2-B322-2C8E2DC0121A}"/>
            </c:ext>
          </c:extLst>
        </c:ser>
        <c:ser>
          <c:idx val="1"/>
          <c:order val="1"/>
          <c:tx>
            <c:v>EBITDA Margin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DASHBOARD!$K$86:$N$86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DASHBOARD!$K$88:$N$88</c:f>
              <c:numCache>
                <c:formatCode>General</c:formatCode>
                <c:ptCount val="4"/>
                <c:pt idx="0">
                  <c:v>0.28175914321522161</c:v>
                </c:pt>
                <c:pt idx="1">
                  <c:v>0.24482860992486696</c:v>
                </c:pt>
                <c:pt idx="2">
                  <c:v>0.23435407187771587</c:v>
                </c:pt>
                <c:pt idx="3">
                  <c:v>0.21718290703286097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7-4AA2-B322-2C8E2DC0121A}"/>
            </c:ext>
          </c:extLst>
        </c:ser>
        <c:ser>
          <c:idx val="2"/>
          <c:order val="2"/>
          <c:tx>
            <c:v>Net Margin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DASHBOARD!$K$86:$N$86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DASHBOARD!$K$89:$N$89</c:f>
              <c:numCache>
                <c:formatCode>General</c:formatCode>
                <c:ptCount val="4"/>
                <c:pt idx="0">
                  <c:v>0.13575633283961869</c:v>
                </c:pt>
                <c:pt idx="1">
                  <c:v>0.1110370184292859</c:v>
                </c:pt>
                <c:pt idx="2">
                  <c:v>9.8635039108430037E-2</c:v>
                </c:pt>
                <c:pt idx="3">
                  <c:v>8.1889176501557498E-2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57-4AA2-B322-2C8E2DC01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799856"/>
        <c:axId val="2064804176"/>
      </c:lineChart>
      <c:catAx>
        <c:axId val="20647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4176"/>
        <c:crosses val="autoZero"/>
        <c:auto val="1"/>
        <c:lblAlgn val="ctr"/>
        <c:lblOffset val="100"/>
        <c:noMultiLvlLbl val="0"/>
      </c:catAx>
      <c:valAx>
        <c:axId val="20648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799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SG&amp;A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DASHBOARD!$K$91:$N$91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DASHBOARD!$K$92:$N$92</c:f>
              <c:numCache>
                <c:formatCode>General</c:formatCode>
                <c:ptCount val="4"/>
                <c:pt idx="0">
                  <c:v>3946</c:v>
                </c:pt>
                <c:pt idx="1">
                  <c:v>4800</c:v>
                </c:pt>
                <c:pt idx="2">
                  <c:v>5150</c:v>
                </c:pt>
                <c:pt idx="3">
                  <c:v>5834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7-461A-B87A-96ADA580861E}"/>
            </c:ext>
          </c:extLst>
        </c:ser>
        <c:ser>
          <c:idx val="1"/>
          <c:order val="1"/>
          <c:tx>
            <c:v>R&amp;D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DASHBOARD!$K$91:$N$91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DASHBOARD!$K$93:$N$93</c:f>
              <c:numCache>
                <c:formatCode>General</c:formatCode>
                <c:ptCount val="4"/>
                <c:pt idx="0">
                  <c:v>3075</c:v>
                </c:pt>
                <c:pt idx="1">
                  <c:v>3969</c:v>
                </c:pt>
                <c:pt idx="2">
                  <c:v>4540</c:v>
                </c:pt>
                <c:pt idx="3">
                  <c:v>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D7-461A-B87A-96ADA580861E}"/>
            </c:ext>
          </c:extLst>
        </c:ser>
        <c:ser>
          <c:idx val="2"/>
          <c:order val="2"/>
          <c:tx>
            <c:v>D&amp;A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DASHBOARD!$K$91:$N$91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DASHBOARD!$K$94:$N$94</c:f>
              <c:numCache>
                <c:formatCode>General</c:formatCode>
                <c:ptCount val="4"/>
                <c:pt idx="0">
                  <c:v>13680</c:v>
                </c:pt>
                <c:pt idx="1">
                  <c:v>13818</c:v>
                </c:pt>
                <c:pt idx="2">
                  <c:v>13107</c:v>
                </c:pt>
                <c:pt idx="3">
                  <c:v>13847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D7-461A-B87A-96ADA580861E}"/>
            </c:ext>
          </c:extLst>
        </c:ser>
        <c:ser>
          <c:idx val="3"/>
          <c:order val="3"/>
          <c:tx>
            <c:v>Interest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DASHBOARD!$K$91:$N$91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DASHBOARD!$K$95:$N$95</c:f>
              <c:numCache>
                <c:formatCode>General</c:formatCode>
                <c:ptCount val="4"/>
                <c:pt idx="0">
                  <c:v>2076</c:v>
                </c:pt>
                <c:pt idx="1">
                  <c:v>2153</c:v>
                </c:pt>
                <c:pt idx="2">
                  <c:v>2364</c:v>
                </c:pt>
                <c:pt idx="3">
                  <c:v>2558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D7-461A-B87A-96ADA5808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4832016"/>
        <c:axId val="2064833936"/>
      </c:barChart>
      <c:catAx>
        <c:axId val="206483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33936"/>
        <c:crosses val="autoZero"/>
        <c:auto val="1"/>
        <c:lblAlgn val="ctr"/>
        <c:lblOffset val="100"/>
        <c:noMultiLvlLbl val="0"/>
      </c:catAx>
      <c:valAx>
        <c:axId val="20648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32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271D2"/>
            </a:solidFill>
            <a:ln>
              <a:noFill/>
              <a:prstDash val="solid"/>
            </a:ln>
          </c:spPr>
          <c:invertIfNegative val="0"/>
          <c:cat>
            <c:strRef>
              <c:f>DASHBOARD!$Q$7:$Q$10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DASHBOARD!$R$8:$R$11</c:f>
              <c:numCache>
                <c:formatCode>General</c:formatCode>
                <c:ptCount val="4"/>
                <c:pt idx="0">
                  <c:v>263310</c:v>
                </c:pt>
                <c:pt idx="1">
                  <c:v>218945</c:v>
                </c:pt>
                <c:pt idx="2">
                  <c:v>195610</c:v>
                </c:pt>
                <c:pt idx="3">
                  <c:v>182344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9-4931-860C-E569170493D0}"/>
            </c:ext>
          </c:extLst>
        </c:ser>
        <c:ser>
          <c:idx val="1"/>
          <c:order val="1"/>
          <c:tx>
            <c:strRef>
              <c:f>DASHBOARD!$S$7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2E8B57"/>
            </a:solidFill>
            <a:ln>
              <a:noFill/>
              <a:prstDash val="solid"/>
            </a:ln>
          </c:spPr>
          <c:invertIfNegative val="0"/>
          <c:cat>
            <c:strRef>
              <c:f>DASHBOARD!$Q$7:$Q$10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DASHBOARD!$S$8:$S$11</c:f>
              <c:numCache>
                <c:formatCode>General</c:formatCode>
                <c:ptCount val="4"/>
                <c:pt idx="0">
                  <c:v>24311</c:v>
                </c:pt>
                <c:pt idx="1">
                  <c:v>19294</c:v>
                </c:pt>
                <c:pt idx="2">
                  <c:v>19294</c:v>
                </c:pt>
                <c:pt idx="3">
                  <c:v>14932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9-4931-860C-E56917049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52320"/>
        <c:axId val="211469120"/>
      </c:barChart>
      <c:catAx>
        <c:axId val="21145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69120"/>
        <c:crosses val="autoZero"/>
        <c:auto val="1"/>
        <c:lblAlgn val="ctr"/>
        <c:lblOffset val="100"/>
        <c:noMultiLvlLbl val="0"/>
      </c:catAx>
      <c:valAx>
        <c:axId val="2114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52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2022–2025 LTM ($B)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DASHBOARD!$R$2</c:f>
              <c:strCache>
                <c:ptCount val="1"/>
                <c:pt idx="0">
                  <c:v>Cumul Revenue</c:v>
                </c:pt>
              </c:strCache>
            </c:strRef>
          </c:tx>
          <c:spPr>
            <a:ln w="28575" cap="rnd">
              <a:solidFill>
                <a:srgbClr val="3271D2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numFmt formatCode="#,##0.00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RATIOS!$E$76:$H$76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RATIOS!$E$99:$H$99</c:f>
              <c:numCache>
                <c:formatCode>General</c:formatCode>
                <c:ptCount val="4"/>
                <c:pt idx="0">
                  <c:v>482.255</c:v>
                </c:pt>
                <c:pt idx="1">
                  <c:v>677.86500000000001</c:v>
                </c:pt>
                <c:pt idx="2">
                  <c:v>677.86500000000001</c:v>
                </c:pt>
                <c:pt idx="3">
                  <c:v>860.20899999999995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A-4E44-95F0-F64F8A8DC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896928"/>
        <c:axId val="457886848"/>
      </c:lineChart>
      <c:catAx>
        <c:axId val="45789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86848"/>
        <c:crosses val="autoZero"/>
        <c:auto val="1"/>
        <c:lblAlgn val="ctr"/>
        <c:lblOffset val="100"/>
        <c:noMultiLvlLbl val="0"/>
      </c:catAx>
      <c:valAx>
        <c:axId val="457886848"/>
        <c:scaling>
          <c:orientation val="minMax"/>
        </c:scaling>
        <c:delete val="0"/>
        <c:axPos val="l"/>
        <c:numFmt formatCode="@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89692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6062494852202461"/>
          <c:y val="3.4725376351076899E-2"/>
          <c:w val="0.80445997103692268"/>
          <c:h val="0.86844854735213683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ysClr val="window" lastClr="FFFFFF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B8-4BE1-A7C4-F0CBEEA6C24E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B8-4BE1-A7C4-F0CBEEA6C24E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B8-4BE1-A7C4-F0CBEEA6C24E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B8-4BE1-A7C4-F0CBEEA6C24E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B8-4BE1-A7C4-F0CBEEA6C24E}"/>
                </c:ext>
              </c:extLst>
            </c:dLbl>
            <c:numFmt formatCode="#,##0.00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2'!$V$85:$V$89</c:f>
              <c:numCache>
                <c:formatCode>General</c:formatCode>
                <c:ptCount val="5"/>
                <c:pt idx="0">
                  <c:v>58.267499999999998</c:v>
                </c:pt>
                <c:pt idx="1">
                  <c:v>85.459000000000003</c:v>
                </c:pt>
                <c:pt idx="2">
                  <c:v>93.227999999999994</c:v>
                </c:pt>
                <c:pt idx="3">
                  <c:v>100.997</c:v>
                </c:pt>
                <c:pt idx="4">
                  <c:v>89.343499999999992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B8-4BE1-A7C4-F0CBEEA6C24E}"/>
            </c:ext>
          </c:extLst>
        </c:ser>
        <c:ser>
          <c:idx val="1"/>
          <c:order val="1"/>
          <c:spPr>
            <a:solidFill>
              <a:srgbClr val="1B3E70"/>
            </a:solidFill>
            <a:ln>
              <a:noFill/>
              <a:prstDash val="solid"/>
            </a:ln>
          </c:spPr>
          <c:invertIfNegative val="0"/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2'!$W$85:$W$89</c:f>
              <c:numCache>
                <c:formatCode>General</c:formatCode>
                <c:ptCount val="5"/>
                <c:pt idx="0">
                  <c:v>54.382999999999996</c:v>
                </c:pt>
                <c:pt idx="1">
                  <c:v>38.844999999999999</c:v>
                </c:pt>
                <c:pt idx="2">
                  <c:v>42.729499999999987</c:v>
                </c:pt>
                <c:pt idx="3">
                  <c:v>42.729500000000016</c:v>
                </c:pt>
                <c:pt idx="4">
                  <c:v>42.729499999999987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B8-4BE1-A7C4-F0CBEEA6C24E}"/>
            </c:ext>
          </c:extLst>
        </c:ser>
        <c:ser>
          <c:idx val="2"/>
          <c:order val="2"/>
          <c:spPr>
            <a:solidFill>
              <a:sysClr val="window" lastClr="FFFFFF"/>
            </a:solidFill>
            <a:ln>
              <a:noFill/>
              <a:prstDash val="solid"/>
            </a:ln>
          </c:spPr>
          <c:invertIfNegative val="0"/>
          <c:dLbls>
            <c:numFmt formatCode="#,##0.00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2'!$S$85:$S$89</c:f>
              <c:strCache>
                <c:ptCount val="5"/>
                <c:pt idx="0">
                  <c:v>52-Week Trading Range</c:v>
                </c:pt>
                <c:pt idx="1">
                  <c:v>Consensus Research</c:v>
                </c:pt>
                <c:pt idx="2">
                  <c:v>Precedent Trans.</c:v>
                </c:pt>
                <c:pt idx="3">
                  <c:v>Sum-of-the-Parts</c:v>
                </c:pt>
                <c:pt idx="4">
                  <c:v>Discounted Cash Flow</c:v>
                </c:pt>
              </c:strCache>
            </c:strRef>
          </c:cat>
          <c:val>
            <c:numRef>
              <c:f>'DASHBOARD 2'!$X$85:$X$89</c:f>
              <c:numCache>
                <c:formatCode>General</c:formatCode>
                <c:ptCount val="5"/>
                <c:pt idx="0">
                  <c:v>112.65049999999999</c:v>
                </c:pt>
                <c:pt idx="1">
                  <c:v>124.304</c:v>
                </c:pt>
                <c:pt idx="2">
                  <c:v>135.95749999999998</c:v>
                </c:pt>
                <c:pt idx="3">
                  <c:v>143.72650000000002</c:v>
                </c:pt>
                <c:pt idx="4">
                  <c:v>132.07299999999998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B8-4BE1-A7C4-F0CBEEA6C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5"/>
        <c:overlap val="100"/>
        <c:axId val="1578284831"/>
        <c:axId val="1578285791"/>
      </c:barChart>
      <c:catAx>
        <c:axId val="157828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578285791"/>
        <c:crosses val="autoZero"/>
        <c:auto val="1"/>
        <c:lblAlgn val="ctr"/>
        <c:lblOffset val="100"/>
        <c:noMultiLvlLbl val="0"/>
      </c:catAx>
      <c:valAx>
        <c:axId val="1578285791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endParaRPr lang="fr-FR"/>
          </a:p>
        </c:txPr>
        <c:crossAx val="157828483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 w="254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2'!$C$106:$G$106</c:f>
              <c:strCache>
                <c:ptCount val="5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 (LTM)</c:v>
                </c:pt>
              </c:strCache>
            </c:strRef>
          </c:cat>
          <c:val>
            <c:numRef>
              <c:f>'DASHBOARD 2'!$C$108:$G$108</c:f>
              <c:numCache>
                <c:formatCode>General</c:formatCode>
                <c:ptCount val="5"/>
                <c:pt idx="0">
                  <c:v>0</c:v>
                </c:pt>
                <c:pt idx="1">
                  <c:v>263310</c:v>
                </c:pt>
                <c:pt idx="2">
                  <c:v>218945</c:v>
                </c:pt>
                <c:pt idx="3">
                  <c:v>195610</c:v>
                </c:pt>
                <c:pt idx="4">
                  <c:v>182344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0-46FF-8E8B-9305963EB8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2"/>
        <c:overlap val="100"/>
        <c:axId val="1595827455"/>
        <c:axId val="1595828895"/>
      </c:barChart>
      <c:lineChart>
        <c:grouping val="standard"/>
        <c:varyColors val="0"/>
        <c:ser>
          <c:idx val="1"/>
          <c:order val="1"/>
          <c:tx>
            <c:v>Revenue Growth (%)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70-46FF-8E8B-9305963EB852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70-46FF-8E8B-9305963EB852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70-46FF-8E8B-9305963EB852}"/>
                </c:ext>
              </c:extLst>
            </c:dLbl>
            <c:numFmt formatCode="0.0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6000" tIns="36000" rIns="72000" bIns="108000" anchor="ctr" anchorCtr="1">
                <a:spAutoFit/>
              </a:bodyPr>
              <a:lstStyle/>
              <a:p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'DASHBOARD 2'!$C$106:$G$106</c:f>
              <c:strCache>
                <c:ptCount val="5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 (LTM)</c:v>
                </c:pt>
              </c:strCache>
            </c:strRef>
          </c:cat>
          <c:val>
            <c:numRef>
              <c:f>'DASHBOARD 2'!$C$107:$G$107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-0.16848961300368392</c:v>
                </c:pt>
                <c:pt idx="3">
                  <c:v>-0.10657927790084265</c:v>
                </c:pt>
                <c:pt idx="4">
                  <c:v>-6.7818618680026588E-2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70-46FF-8E8B-9305963EB8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8833696"/>
        <c:axId val="1028832736"/>
      </c:lineChart>
      <c:catAx>
        <c:axId val="159582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828895"/>
        <c:crosses val="autoZero"/>
        <c:auto val="1"/>
        <c:lblAlgn val="ctr"/>
        <c:lblOffset val="100"/>
        <c:noMultiLvlLbl val="0"/>
      </c:catAx>
      <c:valAx>
        <c:axId val="15958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827455"/>
        <c:crosses val="autoZero"/>
        <c:crossBetween val="between"/>
      </c:valAx>
      <c:catAx>
        <c:axId val="1028833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8832736"/>
        <c:crosses val="autoZero"/>
        <c:auto val="1"/>
        <c:lblAlgn val="ctr"/>
        <c:lblOffset val="100"/>
        <c:noMultiLvlLbl val="0"/>
      </c:catAx>
      <c:valAx>
        <c:axId val="1028832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833696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INPUT!$D$115</c:f>
              <c:strCache>
                <c:ptCount val="1"/>
                <c:pt idx="0">
                  <c:v>TTE.PA</c:v>
                </c:pt>
              </c:strCache>
            </c:strRef>
          </c:tx>
          <c:spPr>
            <a:ln w="28575" cap="rnd">
              <a:solidFill>
                <a:srgbClr val="E8612C"/>
              </a:solidFill>
              <a:prstDash val="solid"/>
              <a:round/>
            </a:ln>
          </c:spPr>
          <c:marker>
            <c:symbol val="none"/>
          </c:marker>
          <c:cat>
            <c:strRef>
              <c:f>STOCK_DATA!$B$3:$B$15</c:f>
              <c:strCache>
                <c:ptCount val="12"/>
                <c:pt idx="0">
                  <c:v>May-25</c:v>
                </c:pt>
                <c:pt idx="1">
                  <c:v>Jun-25</c:v>
                </c:pt>
                <c:pt idx="2">
                  <c:v>Jul-25</c:v>
                </c:pt>
                <c:pt idx="3">
                  <c:v>Aug-25</c:v>
                </c:pt>
                <c:pt idx="4">
                  <c:v>Sep-25</c:v>
                </c:pt>
                <c:pt idx="5">
                  <c:v>Oct-25</c:v>
                </c:pt>
                <c:pt idx="6">
                  <c:v>Nov-25</c:v>
                </c:pt>
                <c:pt idx="7">
                  <c:v>Dec-25</c:v>
                </c:pt>
                <c:pt idx="8">
                  <c:v>Jan-26</c:v>
                </c:pt>
                <c:pt idx="9">
                  <c:v>Feb-26</c:v>
                </c:pt>
                <c:pt idx="10">
                  <c:v>Mar-26</c:v>
                </c:pt>
                <c:pt idx="11">
                  <c:v>Apr-26</c:v>
                </c:pt>
              </c:strCache>
            </c:strRef>
          </c:cat>
          <c:val>
            <c:numRef>
              <c:f>STOCK_DATA!$C$3:$C$15</c:f>
              <c:numCache>
                <c:formatCode>"€"#\ ##0.00</c:formatCode>
                <c:ptCount val="13"/>
                <c:pt idx="0">
                  <c:v>48.75</c:v>
                </c:pt>
                <c:pt idx="1">
                  <c:v>49.16</c:v>
                </c:pt>
                <c:pt idx="2">
                  <c:v>49.87</c:v>
                </c:pt>
                <c:pt idx="3">
                  <c:v>51.28</c:v>
                </c:pt>
                <c:pt idx="4">
                  <c:v>49.59</c:v>
                </c:pt>
                <c:pt idx="5">
                  <c:v>51.72</c:v>
                </c:pt>
                <c:pt idx="6">
                  <c:v>55.36</c:v>
                </c:pt>
                <c:pt idx="7">
                  <c:v>54.18</c:v>
                </c:pt>
                <c:pt idx="8">
                  <c:v>60.51</c:v>
                </c:pt>
                <c:pt idx="9">
                  <c:v>66.569999999999993</c:v>
                </c:pt>
                <c:pt idx="10">
                  <c:v>80.06</c:v>
                </c:pt>
                <c:pt idx="11">
                  <c:v>77.69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90-4D5A-A720-D77E3A642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409328"/>
        <c:axId val="1116398288"/>
      </c:lineChart>
      <c:catAx>
        <c:axId val="11164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398288"/>
        <c:crosses val="autoZero"/>
        <c:auto val="1"/>
        <c:lblAlgn val="ctr"/>
        <c:lblOffset val="100"/>
        <c:tickLblSkip val="1"/>
        <c:noMultiLvlLbl val="0"/>
      </c:catAx>
      <c:valAx>
        <c:axId val="11163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c:spPr>
        </c:majorGridlines>
        <c:numFmt formatCode="&quot;€&quot;#\ 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4093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'DASHBOARD 2'!$R$96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2'!$S$95:$V$95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2'!$S$96:$V$96</c:f>
              <c:numCache>
                <c:formatCode>General</c:formatCode>
                <c:ptCount val="4"/>
                <c:pt idx="0">
                  <c:v>74190</c:v>
                </c:pt>
                <c:pt idx="1">
                  <c:v>53604</c:v>
                </c:pt>
                <c:pt idx="2">
                  <c:v>45842</c:v>
                </c:pt>
                <c:pt idx="3">
                  <c:v>39602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8-45C3-9DCF-F58CF608C20F}"/>
            </c:ext>
          </c:extLst>
        </c:ser>
        <c:ser>
          <c:idx val="1"/>
          <c:order val="1"/>
          <c:tx>
            <c:strRef>
              <c:f>'DASHBOARD 2'!$R$97</c:f>
              <c:strCache>
                <c:ptCount val="1"/>
                <c:pt idx="0">
                  <c:v>CFO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2'!$S$95:$V$95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2'!$S$97:$V$97</c:f>
              <c:numCache>
                <c:formatCode>General</c:formatCode>
                <c:ptCount val="4"/>
                <c:pt idx="0">
                  <c:v>54572</c:v>
                </c:pt>
                <c:pt idx="1">
                  <c:v>30610</c:v>
                </c:pt>
                <c:pt idx="2">
                  <c:v>38856</c:v>
                </c:pt>
                <c:pt idx="3">
                  <c:v>27219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E8-45C3-9DCF-F58CF608C20F}"/>
            </c:ext>
          </c:extLst>
        </c:ser>
        <c:ser>
          <c:idx val="2"/>
          <c:order val="2"/>
          <c:tx>
            <c:strRef>
              <c:f>'DASHBOARD 2'!$R$98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2'!$S$95:$V$95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2'!$S$98:$V$98</c:f>
              <c:numCache>
                <c:formatCode>General</c:formatCode>
                <c:ptCount val="4"/>
                <c:pt idx="0">
                  <c:v>35746</c:v>
                </c:pt>
                <c:pt idx="1">
                  <c:v>24311</c:v>
                </c:pt>
                <c:pt idx="2">
                  <c:v>19294</c:v>
                </c:pt>
                <c:pt idx="3">
                  <c:v>14932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E8-45C3-9DCF-F58CF608C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85920"/>
        <c:axId val="211486400"/>
      </c:lineChart>
      <c:catAx>
        <c:axId val="21148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86400"/>
        <c:crosses val="autoZero"/>
        <c:auto val="1"/>
        <c:lblAlgn val="ctr"/>
        <c:lblOffset val="100"/>
        <c:noMultiLvlLbl val="0"/>
      </c:catAx>
      <c:valAx>
        <c:axId val="2114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859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688731</xdr:colOff>
      <xdr:row>112</xdr:row>
      <xdr:rowOff>161193</xdr:rowOff>
    </xdr:from>
    <xdr:to>
      <xdr:col>9</xdr:col>
      <xdr:colOff>117231</xdr:colOff>
      <xdr:row>127</xdr:row>
      <xdr:rowOff>46893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112</xdr:row>
      <xdr:rowOff>161193</xdr:rowOff>
    </xdr:from>
    <xdr:to>
      <xdr:col>3</xdr:col>
      <xdr:colOff>419833</xdr:colOff>
      <xdr:row>127</xdr:row>
      <xdr:rowOff>46893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125</xdr:row>
      <xdr:rowOff>41275</xdr:rowOff>
    </xdr:from>
    <xdr:to>
      <xdr:col>3</xdr:col>
      <xdr:colOff>196850</xdr:colOff>
      <xdr:row>143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197896</xdr:colOff>
      <xdr:row>98</xdr:row>
      <xdr:rowOff>134471</xdr:rowOff>
    </xdr:from>
    <xdr:to>
      <xdr:col>14</xdr:col>
      <xdr:colOff>20506</xdr:colOff>
      <xdr:row>112</xdr:row>
      <xdr:rowOff>166184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425824</xdr:colOff>
      <xdr:row>126</xdr:row>
      <xdr:rowOff>168087</xdr:rowOff>
    </xdr:from>
    <xdr:to>
      <xdr:col>10</xdr:col>
      <xdr:colOff>336176</xdr:colOff>
      <xdr:row>143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816062</xdr:colOff>
      <xdr:row>45</xdr:row>
      <xdr:rowOff>116758</xdr:rowOff>
    </xdr:from>
    <xdr:to>
      <xdr:col>12</xdr:col>
      <xdr:colOff>39980</xdr:colOff>
      <xdr:row>60</xdr:row>
      <xdr:rowOff>46323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241140</xdr:colOff>
      <xdr:row>27</xdr:row>
      <xdr:rowOff>217025</xdr:rowOff>
    </xdr:from>
    <xdr:to>
      <xdr:col>12</xdr:col>
      <xdr:colOff>36171</xdr:colOff>
      <xdr:row>41</xdr:row>
      <xdr:rowOff>144685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67</xdr:row>
      <xdr:rowOff>28575</xdr:rowOff>
    </xdr:from>
    <xdr:to>
      <xdr:col>3</xdr:col>
      <xdr:colOff>758825</xdr:colOff>
      <xdr:row>82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117475</xdr:colOff>
      <xdr:row>67</xdr:row>
      <xdr:rowOff>28575</xdr:rowOff>
    </xdr:from>
    <xdr:to>
      <xdr:col>10</xdr:col>
      <xdr:colOff>34925</xdr:colOff>
      <xdr:row>82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84055</xdr:colOff>
      <xdr:row>7</xdr:row>
      <xdr:rowOff>119546</xdr:rowOff>
    </xdr:from>
    <xdr:to>
      <xdr:col>12</xdr:col>
      <xdr:colOff>651846</xdr:colOff>
      <xdr:row>21</xdr:row>
      <xdr:rowOff>115869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142294</xdr:colOff>
      <xdr:row>24</xdr:row>
      <xdr:rowOff>90900</xdr:rowOff>
    </xdr:from>
    <xdr:to>
      <xdr:col>12</xdr:col>
      <xdr:colOff>631339</xdr:colOff>
      <xdr:row>38</xdr:row>
      <xdr:rowOff>29807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25581</xdr:colOff>
      <xdr:row>7</xdr:row>
      <xdr:rowOff>113609</xdr:rowOff>
    </xdr:from>
    <xdr:to>
      <xdr:col>5</xdr:col>
      <xdr:colOff>1365213</xdr:colOff>
      <xdr:row>21</xdr:row>
      <xdr:rowOff>89647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168254</xdr:colOff>
      <xdr:row>24</xdr:row>
      <xdr:rowOff>83856</xdr:rowOff>
    </xdr:from>
    <xdr:to>
      <xdr:col>5</xdr:col>
      <xdr:colOff>1449369</xdr:colOff>
      <xdr:row>38</xdr:row>
      <xdr:rowOff>48633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431889</xdr:colOff>
      <xdr:row>22</xdr:row>
      <xdr:rowOff>83548</xdr:rowOff>
    </xdr:from>
    <xdr:to>
      <xdr:col>14</xdr:col>
      <xdr:colOff>74295</xdr:colOff>
      <xdr:row>39</xdr:row>
      <xdr:rowOff>11669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28576</xdr:colOff>
      <xdr:row>42</xdr:row>
      <xdr:rowOff>171449</xdr:rowOff>
    </xdr:from>
    <xdr:to>
      <xdr:col>7</xdr:col>
      <xdr:colOff>56030</xdr:colOff>
      <xdr:row>59</xdr:row>
      <xdr:rowOff>56028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11205</xdr:colOff>
      <xdr:row>22</xdr:row>
      <xdr:rowOff>100853</xdr:rowOff>
    </xdr:from>
    <xdr:to>
      <xdr:col>6</xdr:col>
      <xdr:colOff>818029</xdr:colOff>
      <xdr:row>39</xdr:row>
      <xdr:rowOff>30629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419917</xdr:colOff>
      <xdr:row>22</xdr:row>
      <xdr:rowOff>58509</xdr:rowOff>
    </xdr:from>
    <xdr:to>
      <xdr:col>19</xdr:col>
      <xdr:colOff>639536</xdr:colOff>
      <xdr:row>39</xdr:row>
      <xdr:rowOff>68035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67CCF9-8F4B-4432-A524-FA9EAD392B77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0965434b-3e4b-45ca-a5fc-a8604a3f588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1"/>
  <sheetViews>
    <sheetView showGridLines="0" tabSelected="1" topLeftCell="A17" zoomScaleNormal="100" workbookViewId="0">
      <selection activeCell="D32" sqref="D32"/>
    </sheetView>
  </sheetViews>
  <sheetFormatPr baseColWidth="10" defaultRowHeight="14.4" x14ac:dyDescent="0.3"/>
  <cols>
    <col min="1" max="1" width="11" customWidth="1"/>
    <col min="2" max="2" width="50" style="19" customWidth="1"/>
    <col min="3" max="3" width="15.6640625" customWidth="1"/>
    <col min="4" max="8" width="13.33203125" style="21" customWidth="1"/>
  </cols>
  <sheetData>
    <row r="1" spans="1:8" ht="54.9" customHeight="1" x14ac:dyDescent="0.6">
      <c r="A1" s="200"/>
      <c r="B1" s="96"/>
      <c r="C1" s="5"/>
      <c r="D1" s="5"/>
      <c r="E1" s="5"/>
      <c r="F1" s="95"/>
      <c r="G1" s="5"/>
      <c r="H1" s="5"/>
    </row>
    <row r="2" spans="1:8" ht="15" customHeight="1" x14ac:dyDescent="0.35">
      <c r="A2" s="3"/>
      <c r="B2" s="14"/>
      <c r="C2" s="3"/>
      <c r="D2" s="22"/>
      <c r="E2" s="22"/>
      <c r="F2" s="22"/>
      <c r="G2" s="22"/>
      <c r="H2" s="22"/>
    </row>
    <row r="3" spans="1:8" ht="18" customHeight="1" x14ac:dyDescent="0.5">
      <c r="A3" s="103"/>
      <c r="B3" s="15" t="s">
        <v>0</v>
      </c>
      <c r="C3" s="7"/>
      <c r="D3" s="7"/>
      <c r="E3" s="23"/>
      <c r="F3" s="23"/>
      <c r="G3" s="23"/>
      <c r="H3" s="23"/>
    </row>
    <row r="4" spans="1:8" ht="15" customHeight="1" x14ac:dyDescent="0.35">
      <c r="A4" s="3"/>
      <c r="B4" s="12" t="s">
        <v>1</v>
      </c>
      <c r="C4" s="3"/>
      <c r="D4" s="22"/>
      <c r="E4" s="22"/>
      <c r="F4" s="22"/>
      <c r="G4" s="22"/>
      <c r="H4" s="22"/>
    </row>
    <row r="5" spans="1:8" ht="15" customHeight="1" x14ac:dyDescent="0.35">
      <c r="A5" s="201"/>
      <c r="B5" s="16" t="s">
        <v>2</v>
      </c>
      <c r="C5" s="1" t="s">
        <v>3</v>
      </c>
      <c r="D5" s="1"/>
      <c r="E5" s="24">
        <v>2022</v>
      </c>
      <c r="F5" s="24">
        <v>2023</v>
      </c>
      <c r="G5" s="24">
        <v>2024</v>
      </c>
      <c r="H5" s="24" t="s">
        <v>4</v>
      </c>
    </row>
    <row r="6" spans="1:8" ht="15" customHeight="1" x14ac:dyDescent="0.35">
      <c r="A6" s="3"/>
      <c r="B6" s="14"/>
      <c r="C6" s="3"/>
      <c r="D6" s="22"/>
      <c r="E6" s="22"/>
      <c r="F6" s="22"/>
      <c r="G6" s="22"/>
      <c r="H6" s="22"/>
    </row>
    <row r="7" spans="1:8" ht="18" customHeight="1" x14ac:dyDescent="0.5">
      <c r="A7" s="103" t="s">
        <v>5</v>
      </c>
      <c r="B7" s="15" t="s">
        <v>6</v>
      </c>
      <c r="C7" s="7"/>
      <c r="D7" s="23"/>
      <c r="E7" s="23"/>
      <c r="F7" s="23"/>
      <c r="G7" s="23"/>
      <c r="H7" s="23"/>
    </row>
    <row r="8" spans="1:8" ht="18" customHeight="1" x14ac:dyDescent="0.5">
      <c r="A8" s="103"/>
      <c r="B8" s="102"/>
      <c r="C8" s="103"/>
      <c r="D8" s="101"/>
      <c r="E8" s="101"/>
      <c r="F8" s="101"/>
      <c r="G8" s="101"/>
      <c r="H8" s="101"/>
    </row>
    <row r="9" spans="1:8" ht="15" customHeight="1" x14ac:dyDescent="0.35">
      <c r="A9" s="3"/>
      <c r="B9" s="17" t="s">
        <v>7</v>
      </c>
      <c r="C9" s="40" t="s">
        <v>8</v>
      </c>
      <c r="D9" s="210"/>
      <c r="E9" s="210">
        <v>263310</v>
      </c>
      <c r="F9" s="210">
        <v>218945</v>
      </c>
      <c r="G9" s="210">
        <v>195610</v>
      </c>
      <c r="H9" s="210">
        <v>182344</v>
      </c>
    </row>
    <row r="10" spans="1:8" ht="15" customHeight="1" x14ac:dyDescent="0.35">
      <c r="A10" s="3"/>
      <c r="B10" s="17" t="s">
        <v>9</v>
      </c>
      <c r="C10" s="40" t="s">
        <v>8</v>
      </c>
      <c r="D10" s="211"/>
      <c r="E10" s="211">
        <v>-182099</v>
      </c>
      <c r="F10" s="211">
        <v>-156572</v>
      </c>
      <c r="G10" s="211">
        <v>-140078</v>
      </c>
      <c r="H10" s="211">
        <v>-130497</v>
      </c>
    </row>
    <row r="11" spans="1:8" ht="15" customHeight="1" x14ac:dyDescent="0.35">
      <c r="A11" s="3"/>
      <c r="B11" s="49" t="s">
        <v>10</v>
      </c>
      <c r="C11" s="50" t="s">
        <v>8</v>
      </c>
      <c r="D11" s="217">
        <f>D9+D10</f>
        <v>0</v>
      </c>
      <c r="E11" s="217">
        <f>E9+E10</f>
        <v>81211</v>
      </c>
      <c r="F11" s="217">
        <f>F9+F10</f>
        <v>62373</v>
      </c>
      <c r="G11" s="217">
        <f>G9+G10</f>
        <v>55532</v>
      </c>
      <c r="H11" s="217">
        <f>H9+H10</f>
        <v>51847</v>
      </c>
    </row>
    <row r="12" spans="1:8" ht="15" customHeight="1" x14ac:dyDescent="0.35">
      <c r="A12" s="3"/>
      <c r="B12" s="49"/>
      <c r="C12" s="50"/>
      <c r="D12" s="51"/>
      <c r="E12" s="51"/>
      <c r="F12" s="51"/>
      <c r="G12" s="51"/>
      <c r="H12" s="51"/>
    </row>
    <row r="13" spans="1:8" ht="15" customHeight="1" x14ac:dyDescent="0.35">
      <c r="A13" s="3"/>
      <c r="B13" s="49"/>
      <c r="C13" s="50"/>
      <c r="D13" s="217">
        <f>SUM(D14:D16)</f>
        <v>0</v>
      </c>
      <c r="E13" s="217">
        <f>SUM(E14:E16)</f>
        <v>-20701</v>
      </c>
      <c r="F13" s="217">
        <f>SUM(F14:F16)</f>
        <v>-22587</v>
      </c>
      <c r="G13" s="217">
        <f>SUM(G14:G16)</f>
        <v>-22797</v>
      </c>
      <c r="H13" s="217">
        <f>SUM(H14:H16)</f>
        <v>-26092</v>
      </c>
    </row>
    <row r="14" spans="1:8" ht="15" customHeight="1" x14ac:dyDescent="0.35">
      <c r="A14" s="3"/>
      <c r="B14" s="17" t="s">
        <v>11</v>
      </c>
      <c r="C14" s="40" t="s">
        <v>8</v>
      </c>
      <c r="D14" s="210"/>
      <c r="E14" s="210">
        <v>-3946</v>
      </c>
      <c r="F14" s="210">
        <v>-4800</v>
      </c>
      <c r="G14" s="210">
        <v>-5150</v>
      </c>
      <c r="H14" s="210">
        <v>-5834</v>
      </c>
    </row>
    <row r="15" spans="1:8" ht="15" customHeight="1" x14ac:dyDescent="0.35">
      <c r="A15" s="3"/>
      <c r="B15" s="17" t="s">
        <v>12</v>
      </c>
      <c r="C15" s="40" t="s">
        <v>8</v>
      </c>
      <c r="D15" s="210"/>
      <c r="E15" s="210">
        <v>-3075</v>
      </c>
      <c r="F15" s="210">
        <v>-3969</v>
      </c>
      <c r="G15" s="210">
        <v>-4540</v>
      </c>
      <c r="H15" s="210">
        <v>-6411</v>
      </c>
    </row>
    <row r="16" spans="1:8" ht="15" customHeight="1" x14ac:dyDescent="0.35">
      <c r="A16" s="3"/>
      <c r="B16" s="17" t="s">
        <v>13</v>
      </c>
      <c r="C16" s="40" t="s">
        <v>8</v>
      </c>
      <c r="D16" s="212"/>
      <c r="E16" s="212">
        <v>-13680</v>
      </c>
      <c r="F16" s="212">
        <v>-13818</v>
      </c>
      <c r="G16" s="212">
        <v>-13107</v>
      </c>
      <c r="H16" s="212">
        <v>-13847</v>
      </c>
    </row>
    <row r="17" spans="1:8" ht="15" customHeight="1" x14ac:dyDescent="0.35">
      <c r="A17" s="3"/>
      <c r="B17" s="49" t="s">
        <v>14</v>
      </c>
      <c r="C17" s="50" t="s">
        <v>8</v>
      </c>
      <c r="D17" s="217">
        <f>D11+D13</f>
        <v>0</v>
      </c>
      <c r="E17" s="217">
        <f>E11+E13</f>
        <v>60510</v>
      </c>
      <c r="F17" s="217">
        <f>F11+F13</f>
        <v>39786</v>
      </c>
      <c r="G17" s="217">
        <f>G11+G13</f>
        <v>32735</v>
      </c>
      <c r="H17" s="217">
        <f>H11+H13</f>
        <v>25755</v>
      </c>
    </row>
    <row r="18" spans="1:8" ht="15" customHeight="1" x14ac:dyDescent="0.35">
      <c r="A18" s="3"/>
      <c r="B18" s="49"/>
      <c r="C18" s="50"/>
      <c r="D18" s="51"/>
      <c r="E18" s="51"/>
      <c r="F18" s="51"/>
      <c r="G18" s="51"/>
      <c r="H18" s="51"/>
    </row>
    <row r="19" spans="1:8" ht="15" customHeight="1" x14ac:dyDescent="0.35">
      <c r="A19" s="3"/>
      <c r="B19" s="49"/>
      <c r="C19" s="50"/>
      <c r="D19" s="217">
        <f>D17+D20+D21</f>
        <v>0</v>
      </c>
      <c r="E19" s="217">
        <f>E17+E20+E21</f>
        <v>59577</v>
      </c>
      <c r="F19" s="217">
        <f>F17+F20+F21</f>
        <v>39434</v>
      </c>
      <c r="G19" s="217">
        <f>G17+G20+G21</f>
        <v>32157</v>
      </c>
      <c r="H19" s="217">
        <f>H17+H20+H21</f>
        <v>24312</v>
      </c>
    </row>
    <row r="20" spans="1:8" ht="15" customHeight="1" x14ac:dyDescent="0.35">
      <c r="A20" s="3"/>
      <c r="B20" s="17" t="s">
        <v>15</v>
      </c>
      <c r="C20" s="40" t="s">
        <v>8</v>
      </c>
      <c r="D20" s="210"/>
      <c r="E20" s="210">
        <v>-2076</v>
      </c>
      <c r="F20" s="210">
        <v>-2153</v>
      </c>
      <c r="G20" s="210">
        <v>-2364</v>
      </c>
      <c r="H20" s="210">
        <v>-2558</v>
      </c>
    </row>
    <row r="21" spans="1:8" ht="15" customHeight="1" x14ac:dyDescent="0.35">
      <c r="A21" s="3"/>
      <c r="B21" s="17" t="s">
        <v>16</v>
      </c>
      <c r="C21" s="40" t="s">
        <v>8</v>
      </c>
      <c r="D21" s="212"/>
      <c r="E21" s="212">
        <v>1143</v>
      </c>
      <c r="F21" s="212">
        <v>1801</v>
      </c>
      <c r="G21" s="212">
        <v>1786</v>
      </c>
      <c r="H21" s="212">
        <v>1115</v>
      </c>
    </row>
    <row r="22" spans="1:8" ht="15" customHeight="1" x14ac:dyDescent="0.35">
      <c r="A22" s="3"/>
      <c r="B22" s="49" t="s">
        <v>17</v>
      </c>
      <c r="C22" s="50" t="s">
        <v>8</v>
      </c>
      <c r="D22" s="217">
        <f>D19</f>
        <v>0</v>
      </c>
      <c r="E22" s="217">
        <f>E19</f>
        <v>59577</v>
      </c>
      <c r="F22" s="217">
        <f>F19</f>
        <v>39434</v>
      </c>
      <c r="G22" s="217">
        <f>G19</f>
        <v>32157</v>
      </c>
      <c r="H22" s="217">
        <f>H19</f>
        <v>24312</v>
      </c>
    </row>
    <row r="23" spans="1:8" ht="15" customHeight="1" x14ac:dyDescent="0.35">
      <c r="A23" s="3"/>
      <c r="B23" s="49"/>
      <c r="C23" s="50"/>
      <c r="D23" s="51"/>
      <c r="E23" s="51"/>
      <c r="F23" s="51"/>
      <c r="G23" s="51"/>
      <c r="H23" s="51"/>
    </row>
    <row r="24" spans="1:8" ht="15" customHeight="1" x14ac:dyDescent="0.35">
      <c r="A24" s="3"/>
      <c r="B24" s="49"/>
      <c r="C24" s="50"/>
      <c r="D24" s="217">
        <f>-ROUND(D22*0.21,0)</f>
        <v>0</v>
      </c>
      <c r="E24" s="217">
        <f>-ROUND(E22*E104,0)</f>
        <v>-23831</v>
      </c>
      <c r="F24" s="217">
        <f>-ROUND(F22*F104,0)</f>
        <v>-15123</v>
      </c>
      <c r="G24" s="217">
        <f>-ROUND(G22*G104,0)</f>
        <v>-12863</v>
      </c>
      <c r="H24" s="217">
        <f>-ROUND(H22*H104,0)</f>
        <v>-9380</v>
      </c>
    </row>
    <row r="25" spans="1:8" ht="15" customHeight="1" x14ac:dyDescent="0.35">
      <c r="A25" s="3"/>
      <c r="B25" s="17" t="s">
        <v>18</v>
      </c>
      <c r="C25" s="40" t="s">
        <v>8</v>
      </c>
      <c r="D25" s="210"/>
      <c r="E25" s="210">
        <v>-22242</v>
      </c>
      <c r="F25" s="210">
        <v>-13301</v>
      </c>
      <c r="G25" s="210">
        <v>-10775</v>
      </c>
      <c r="H25" s="210">
        <v>-9092</v>
      </c>
    </row>
    <row r="26" spans="1:8" ht="15" customHeight="1" thickBot="1" x14ac:dyDescent="0.4">
      <c r="A26" s="3"/>
      <c r="B26" s="52" t="s">
        <v>19</v>
      </c>
      <c r="C26" s="50" t="s">
        <v>8</v>
      </c>
      <c r="D26" s="218">
        <f>D22+D24</f>
        <v>0</v>
      </c>
      <c r="E26" s="218">
        <f>E22+E24</f>
        <v>35746</v>
      </c>
      <c r="F26" s="218">
        <f>F22+F24</f>
        <v>24311</v>
      </c>
      <c r="G26" s="218">
        <f>G22+G24</f>
        <v>19294</v>
      </c>
      <c r="H26" s="218">
        <f>H22+H24</f>
        <v>14932</v>
      </c>
    </row>
    <row r="27" spans="1:8" ht="15" customHeight="1" x14ac:dyDescent="0.35">
      <c r="A27" s="3"/>
      <c r="B27" s="52"/>
      <c r="C27" s="50"/>
      <c r="D27" s="51"/>
      <c r="E27" s="51"/>
      <c r="F27" s="51"/>
      <c r="G27" s="51"/>
      <c r="H27" s="51"/>
    </row>
    <row r="28" spans="1:8" ht="15" customHeight="1" x14ac:dyDescent="0.35">
      <c r="A28" s="3"/>
      <c r="B28" s="52"/>
      <c r="C28" s="50"/>
    </row>
    <row r="29" spans="1:8" ht="15" customHeight="1" x14ac:dyDescent="0.35">
      <c r="A29" s="3"/>
      <c r="B29" s="17" t="s">
        <v>20</v>
      </c>
      <c r="C29" s="40" t="s">
        <v>8</v>
      </c>
      <c r="D29" s="210"/>
      <c r="E29" s="210">
        <v>-7711</v>
      </c>
      <c r="F29" s="210">
        <v>-9167</v>
      </c>
      <c r="G29" s="210">
        <v>-7995</v>
      </c>
      <c r="H29" s="210">
        <v>-7714</v>
      </c>
    </row>
    <row r="30" spans="1:8" ht="15" customHeight="1" x14ac:dyDescent="0.35">
      <c r="A30" s="3"/>
      <c r="B30" s="49" t="s">
        <v>21</v>
      </c>
      <c r="C30" s="50" t="s">
        <v>8</v>
      </c>
      <c r="D30" s="217">
        <f>D17-D16</f>
        <v>0</v>
      </c>
      <c r="E30" s="217">
        <f>E17-E16</f>
        <v>74190</v>
      </c>
      <c r="F30" s="217">
        <f>F17-F16</f>
        <v>53604</v>
      </c>
      <c r="G30" s="217">
        <f>G17-G16</f>
        <v>45842</v>
      </c>
      <c r="H30" s="217">
        <f>H17-H16</f>
        <v>39602</v>
      </c>
    </row>
    <row r="31" spans="1:8" ht="15" customHeight="1" x14ac:dyDescent="0.35">
      <c r="A31" s="3"/>
      <c r="B31" s="14"/>
      <c r="C31" s="9"/>
      <c r="D31" s="41"/>
      <c r="E31" s="41"/>
      <c r="F31" s="41"/>
      <c r="G31" s="41"/>
      <c r="H31" s="41"/>
    </row>
    <row r="32" spans="1:8" ht="18" customHeight="1" x14ac:dyDescent="0.5">
      <c r="A32" s="103" t="s">
        <v>5</v>
      </c>
      <c r="B32" s="47" t="s">
        <v>22</v>
      </c>
      <c r="C32" s="42"/>
      <c r="D32" s="7"/>
      <c r="E32" s="43"/>
      <c r="F32" s="43"/>
      <c r="G32" s="43"/>
      <c r="H32" s="43"/>
    </row>
    <row r="33" spans="1:8" ht="18" customHeight="1" x14ac:dyDescent="0.5">
      <c r="A33" s="103"/>
      <c r="B33" s="105"/>
      <c r="C33" s="104"/>
      <c r="D33" s="106"/>
      <c r="E33" s="106"/>
      <c r="F33" s="106"/>
      <c r="G33" s="106"/>
      <c r="H33" s="106"/>
    </row>
    <row r="34" spans="1:8" ht="15" customHeight="1" x14ac:dyDescent="0.35">
      <c r="A34" s="3"/>
      <c r="B34" s="17" t="s">
        <v>23</v>
      </c>
      <c r="C34" s="40" t="s">
        <v>8</v>
      </c>
      <c r="D34" s="213"/>
      <c r="E34" s="213">
        <v>33026</v>
      </c>
      <c r="F34" s="213">
        <v>27263</v>
      </c>
      <c r="G34" s="213">
        <v>25844</v>
      </c>
      <c r="H34" s="213">
        <v>24152</v>
      </c>
    </row>
    <row r="35" spans="1:8" ht="15" customHeight="1" x14ac:dyDescent="0.35">
      <c r="A35" s="3"/>
      <c r="B35" s="17" t="s">
        <v>24</v>
      </c>
      <c r="C35" s="40" t="s">
        <v>8</v>
      </c>
      <c r="D35" s="210"/>
      <c r="E35" s="210">
        <v>24378</v>
      </c>
      <c r="F35" s="210">
        <v>23442</v>
      </c>
      <c r="G35" s="210">
        <v>19281</v>
      </c>
      <c r="H35" s="210">
        <v>18559</v>
      </c>
    </row>
    <row r="36" spans="1:8" ht="15" customHeight="1" x14ac:dyDescent="0.35">
      <c r="A36" s="3"/>
      <c r="B36" s="17" t="s">
        <v>25</v>
      </c>
      <c r="C36" s="40" t="s">
        <v>8</v>
      </c>
      <c r="D36" s="210"/>
      <c r="E36" s="210">
        <v>22936</v>
      </c>
      <c r="F36" s="210">
        <v>19317</v>
      </c>
      <c r="G36" s="210">
        <v>18868</v>
      </c>
      <c r="H36" s="210">
        <v>16663</v>
      </c>
    </row>
    <row r="37" spans="1:8" ht="15" customHeight="1" x14ac:dyDescent="0.35">
      <c r="A37" s="3"/>
      <c r="B37" s="17" t="s">
        <v>26</v>
      </c>
      <c r="C37" s="40" t="s">
        <v>8</v>
      </c>
      <c r="D37" s="212"/>
      <c r="E37" s="212">
        <v>63</v>
      </c>
      <c r="F37" s="212">
        <v>60</v>
      </c>
      <c r="G37" s="212">
        <v>71</v>
      </c>
      <c r="H37" s="212">
        <v>105</v>
      </c>
    </row>
    <row r="38" spans="1:8" ht="15" customHeight="1" x14ac:dyDescent="0.35">
      <c r="A38" s="3"/>
      <c r="B38" s="49" t="s">
        <v>27</v>
      </c>
      <c r="C38" s="50" t="s">
        <v>8</v>
      </c>
      <c r="D38" s="217">
        <f>SUM(D34:D37)</f>
        <v>0</v>
      </c>
      <c r="E38" s="217">
        <f>SUM(E34:E37)</f>
        <v>80403</v>
      </c>
      <c r="F38" s="217">
        <f>SUM(F34:F37)</f>
        <v>70082</v>
      </c>
      <c r="G38" s="217">
        <f>SUM(G34:G37)</f>
        <v>64064</v>
      </c>
      <c r="H38" s="217">
        <f>SUM(H34:H37)</f>
        <v>59479</v>
      </c>
    </row>
    <row r="39" spans="1:8" ht="15" customHeight="1" x14ac:dyDescent="0.35">
      <c r="A39" s="3"/>
      <c r="B39" s="49"/>
      <c r="C39" s="50"/>
      <c r="D39" s="51"/>
      <c r="E39" s="51"/>
      <c r="F39" s="51"/>
      <c r="G39" s="51"/>
      <c r="H39" s="51"/>
    </row>
    <row r="40" spans="1:8" ht="15" customHeight="1" x14ac:dyDescent="0.35">
      <c r="A40" s="3"/>
      <c r="B40" s="49"/>
      <c r="C40" s="50"/>
      <c r="D40" s="51"/>
      <c r="E40" s="51"/>
      <c r="F40" s="51"/>
      <c r="G40" s="51"/>
      <c r="H40" s="51"/>
    </row>
    <row r="41" spans="1:8" ht="15" customHeight="1" x14ac:dyDescent="0.35">
      <c r="A41" s="3"/>
      <c r="B41" s="17" t="s">
        <v>28</v>
      </c>
      <c r="C41" s="40" t="s">
        <v>8</v>
      </c>
      <c r="D41" s="210"/>
      <c r="E41" s="210">
        <v>128054</v>
      </c>
      <c r="F41" s="210">
        <v>129277</v>
      </c>
      <c r="G41" s="210">
        <v>128945</v>
      </c>
      <c r="H41" s="210">
        <v>135394</v>
      </c>
    </row>
    <row r="42" spans="1:8" ht="15" customHeight="1" x14ac:dyDescent="0.35">
      <c r="A42" s="3"/>
      <c r="B42" s="17" t="s">
        <v>29</v>
      </c>
      <c r="C42" s="40" t="s">
        <v>8</v>
      </c>
      <c r="D42" s="210"/>
      <c r="E42" s="210">
        <v>10978</v>
      </c>
      <c r="F42" s="210">
        <v>12722</v>
      </c>
      <c r="G42" s="210">
        <v>14388</v>
      </c>
      <c r="H42" s="210">
        <v>16645</v>
      </c>
    </row>
    <row r="43" spans="1:8" ht="15" customHeight="1" x14ac:dyDescent="0.35">
      <c r="A43" s="3"/>
      <c r="B43" s="17" t="s">
        <v>30</v>
      </c>
      <c r="C43" s="40" t="s">
        <v>8</v>
      </c>
      <c r="D43" s="210"/>
      <c r="E43" s="210">
        <v>301</v>
      </c>
      <c r="F43" s="210">
        <v>330</v>
      </c>
      <c r="G43" s="210">
        <v>154</v>
      </c>
      <c r="H43" s="210">
        <v>288</v>
      </c>
    </row>
    <row r="44" spans="1:8" ht="15" customHeight="1" thickBot="1" x14ac:dyDescent="0.4">
      <c r="A44" s="3"/>
      <c r="B44" s="49" t="s">
        <v>31</v>
      </c>
      <c r="C44" s="50" t="s">
        <v>8</v>
      </c>
      <c r="D44" s="218">
        <f>D38+SUM(D41:D43)</f>
        <v>0</v>
      </c>
      <c r="E44" s="218">
        <f>E38+SUM(E41:E43)</f>
        <v>219736</v>
      </c>
      <c r="F44" s="218">
        <f>F38+SUM(F41:F43)</f>
        <v>212411</v>
      </c>
      <c r="G44" s="218">
        <f>G38+SUM(G41:G43)</f>
        <v>207551</v>
      </c>
      <c r="H44" s="218">
        <f>H38+SUM(H41:H43)</f>
        <v>211806</v>
      </c>
    </row>
    <row r="45" spans="1:8" ht="15" customHeight="1" x14ac:dyDescent="0.35">
      <c r="A45" s="3"/>
      <c r="B45" s="49"/>
      <c r="C45" s="50"/>
      <c r="D45" s="51"/>
      <c r="E45" s="51"/>
      <c r="F45" s="51"/>
      <c r="G45" s="51"/>
      <c r="H45" s="51"/>
    </row>
    <row r="46" spans="1:8" ht="15" customHeight="1" x14ac:dyDescent="0.35">
      <c r="A46" s="3"/>
      <c r="B46" s="49"/>
      <c r="C46" s="50"/>
      <c r="D46" s="51"/>
      <c r="E46" s="51"/>
      <c r="F46" s="51"/>
      <c r="G46" s="51"/>
      <c r="H46" s="51"/>
    </row>
    <row r="47" spans="1:8" ht="15" customHeight="1" x14ac:dyDescent="0.35">
      <c r="A47" s="3"/>
      <c r="B47" s="17" t="s">
        <v>32</v>
      </c>
      <c r="C47" s="40" t="s">
        <v>8</v>
      </c>
      <c r="D47" s="210"/>
      <c r="E47" s="210">
        <v>41346</v>
      </c>
      <c r="F47" s="210">
        <v>41335</v>
      </c>
      <c r="G47" s="210">
        <v>39932</v>
      </c>
      <c r="H47" s="210">
        <v>38065</v>
      </c>
    </row>
    <row r="48" spans="1:8" ht="15" customHeight="1" x14ac:dyDescent="0.35">
      <c r="A48" s="3"/>
      <c r="B48" s="17" t="s">
        <v>33</v>
      </c>
      <c r="C48" s="40" t="s">
        <v>8</v>
      </c>
      <c r="D48" s="210"/>
      <c r="E48" s="210">
        <v>14065</v>
      </c>
      <c r="F48" s="210">
        <v>7869</v>
      </c>
      <c r="G48" s="210">
        <v>7929</v>
      </c>
      <c r="H48" s="210">
        <v>10162</v>
      </c>
    </row>
    <row r="49" spans="1:8" ht="15" customHeight="1" x14ac:dyDescent="0.35">
      <c r="A49" s="3"/>
      <c r="B49" s="17" t="s">
        <v>34</v>
      </c>
      <c r="C49" s="40" t="s">
        <v>8</v>
      </c>
      <c r="D49" s="210"/>
      <c r="E49" s="210">
        <v>14780</v>
      </c>
      <c r="F49" s="210">
        <v>13974</v>
      </c>
      <c r="G49" s="210">
        <v>12561</v>
      </c>
      <c r="H49" s="210">
        <v>10427</v>
      </c>
    </row>
    <row r="50" spans="1:8" ht="15" customHeight="1" x14ac:dyDescent="0.35">
      <c r="A50" s="3"/>
      <c r="B50" s="17" t="s">
        <v>35</v>
      </c>
      <c r="C50" s="40" t="s">
        <v>8</v>
      </c>
      <c r="D50" s="212"/>
      <c r="E50" s="212">
        <v>35841</v>
      </c>
      <c r="F50" s="212">
        <v>21070</v>
      </c>
      <c r="G50" s="212">
        <v>22285</v>
      </c>
      <c r="H50" s="212">
        <v>27890</v>
      </c>
    </row>
    <row r="51" spans="1:8" ht="15" customHeight="1" x14ac:dyDescent="0.35">
      <c r="A51" s="3"/>
      <c r="B51" s="49" t="s">
        <v>36</v>
      </c>
      <c r="C51" s="50" t="s">
        <v>8</v>
      </c>
      <c r="D51" s="217">
        <f>SUM(D47:D50)</f>
        <v>0</v>
      </c>
      <c r="E51" s="217">
        <f>SUM(E47:E50)</f>
        <v>106032</v>
      </c>
      <c r="F51" s="217">
        <f>SUM(F47:F50)</f>
        <v>84248</v>
      </c>
      <c r="G51" s="217">
        <f>SUM(G47:G50)</f>
        <v>82707</v>
      </c>
      <c r="H51" s="217">
        <f>SUM(H47:H50)</f>
        <v>86544</v>
      </c>
    </row>
    <row r="52" spans="1:8" ht="15" customHeight="1" x14ac:dyDescent="0.35">
      <c r="A52" s="3"/>
      <c r="B52" s="49"/>
      <c r="C52" s="50"/>
      <c r="D52" s="51"/>
      <c r="E52" s="51"/>
      <c r="F52" s="51"/>
      <c r="G52" s="51"/>
      <c r="H52" s="51"/>
    </row>
    <row r="53" spans="1:8" ht="15" customHeight="1" x14ac:dyDescent="0.35">
      <c r="A53" s="3"/>
      <c r="B53" s="49"/>
      <c r="C53" s="50"/>
      <c r="D53" s="51"/>
      <c r="E53" s="51"/>
      <c r="F53" s="51"/>
      <c r="G53" s="51"/>
      <c r="H53" s="51"/>
    </row>
    <row r="54" spans="1:8" ht="15" customHeight="1" x14ac:dyDescent="0.35">
      <c r="A54" s="3"/>
      <c r="B54" s="17" t="s">
        <v>37</v>
      </c>
      <c r="C54" s="40" t="s">
        <v>8</v>
      </c>
      <c r="D54" s="212"/>
      <c r="E54" s="212">
        <v>41518</v>
      </c>
      <c r="F54" s="212">
        <v>38280</v>
      </c>
      <c r="G54" s="212">
        <v>41220</v>
      </c>
      <c r="H54" s="212">
        <v>48033</v>
      </c>
    </row>
    <row r="55" spans="1:8" ht="15" customHeight="1" x14ac:dyDescent="0.35">
      <c r="A55" s="3"/>
      <c r="B55" s="52" t="s">
        <v>38</v>
      </c>
      <c r="C55" s="50" t="s">
        <v>8</v>
      </c>
      <c r="D55" s="217">
        <f>D51+D54</f>
        <v>0</v>
      </c>
      <c r="E55" s="217">
        <f>E51+E54</f>
        <v>147550</v>
      </c>
      <c r="F55" s="217">
        <f>F51+F54</f>
        <v>122528</v>
      </c>
      <c r="G55" s="217">
        <f>G51+G54</f>
        <v>123927</v>
      </c>
      <c r="H55" s="217">
        <f>H51+H54</f>
        <v>134577</v>
      </c>
    </row>
    <row r="56" spans="1:8" ht="15" customHeight="1" x14ac:dyDescent="0.35">
      <c r="A56" s="3"/>
      <c r="B56" s="52"/>
      <c r="C56" s="50"/>
      <c r="D56" s="51"/>
      <c r="E56" s="51"/>
      <c r="F56" s="51"/>
      <c r="G56" s="51"/>
      <c r="H56" s="51"/>
    </row>
    <row r="57" spans="1:8" ht="15" customHeight="1" x14ac:dyDescent="0.35">
      <c r="A57" s="3"/>
      <c r="B57" s="52"/>
      <c r="C57" s="50"/>
      <c r="D57" s="51"/>
      <c r="E57" s="51"/>
      <c r="F57" s="51"/>
      <c r="G57" s="51"/>
      <c r="H57" s="51"/>
    </row>
    <row r="58" spans="1:8" ht="15" customHeight="1" x14ac:dyDescent="0.35">
      <c r="A58" s="3"/>
      <c r="B58" s="17" t="s">
        <v>39</v>
      </c>
      <c r="C58" s="40" t="s">
        <v>8</v>
      </c>
      <c r="D58" s="210"/>
      <c r="E58" s="210">
        <v>132114</v>
      </c>
      <c r="F58" s="210">
        <v>134473</v>
      </c>
      <c r="G58" s="210">
        <v>143073</v>
      </c>
      <c r="H58" s="210">
        <v>132919</v>
      </c>
    </row>
    <row r="59" spans="1:8" ht="15" customHeight="1" x14ac:dyDescent="0.35">
      <c r="A59" s="3"/>
      <c r="B59" s="17" t="s">
        <v>40</v>
      </c>
      <c r="C59" s="40" t="s">
        <v>8</v>
      </c>
      <c r="D59" s="219"/>
      <c r="E59" s="219">
        <v>12885</v>
      </c>
      <c r="F59" s="219">
        <v>27882</v>
      </c>
      <c r="G59" s="219">
        <v>35209</v>
      </c>
      <c r="H59" s="219">
        <v>39003</v>
      </c>
    </row>
    <row r="60" spans="1:8" ht="15" customHeight="1" x14ac:dyDescent="0.35">
      <c r="A60" s="3"/>
      <c r="B60" s="52" t="s">
        <v>41</v>
      </c>
      <c r="C60" s="50" t="s">
        <v>8</v>
      </c>
      <c r="D60" s="217">
        <f>D58+D59</f>
        <v>0</v>
      </c>
      <c r="E60" s="217">
        <f>E58+E59</f>
        <v>144999</v>
      </c>
      <c r="F60" s="217">
        <f>F58+F59</f>
        <v>162355</v>
      </c>
      <c r="G60" s="217">
        <f>G58+G59</f>
        <v>178282</v>
      </c>
      <c r="H60" s="217">
        <f>H58+H59</f>
        <v>171922</v>
      </c>
    </row>
    <row r="61" spans="1:8" ht="15" customHeight="1" x14ac:dyDescent="0.35">
      <c r="A61" s="3"/>
      <c r="B61" s="52"/>
      <c r="C61" s="50"/>
      <c r="D61" s="51"/>
      <c r="E61" s="51"/>
      <c r="F61" s="51"/>
      <c r="G61" s="51"/>
      <c r="H61" s="51"/>
    </row>
    <row r="62" spans="1:8" ht="15" customHeight="1" x14ac:dyDescent="0.35">
      <c r="A62" s="3"/>
      <c r="B62" s="52"/>
      <c r="C62" s="50"/>
      <c r="D62" s="51"/>
      <c r="E62" s="51"/>
      <c r="F62" s="51"/>
      <c r="G62" s="51"/>
      <c r="H62" s="51"/>
    </row>
    <row r="63" spans="1:8" ht="15" customHeight="1" thickBot="1" x14ac:dyDescent="0.4">
      <c r="A63" s="3"/>
      <c r="B63" s="52" t="s">
        <v>42</v>
      </c>
      <c r="C63" s="50" t="s">
        <v>8</v>
      </c>
      <c r="D63" s="218">
        <f>D55+D60</f>
        <v>0</v>
      </c>
      <c r="E63" s="218">
        <f>E55+E60</f>
        <v>292549</v>
      </c>
      <c r="F63" s="218">
        <f>F55+F60</f>
        <v>284883</v>
      </c>
      <c r="G63" s="218">
        <f>G55+G60</f>
        <v>302209</v>
      </c>
      <c r="H63" s="218">
        <f>H55+H60</f>
        <v>306499</v>
      </c>
    </row>
    <row r="64" spans="1:8" ht="15" customHeight="1" x14ac:dyDescent="0.35">
      <c r="A64" s="3"/>
      <c r="B64" s="52"/>
      <c r="C64" s="50"/>
      <c r="D64" s="51"/>
      <c r="E64" s="51"/>
      <c r="F64" s="51"/>
      <c r="G64" s="51"/>
      <c r="H64" s="51"/>
    </row>
    <row r="65" spans="1:8" ht="15" customHeight="1" x14ac:dyDescent="0.35">
      <c r="A65" s="3"/>
      <c r="B65" s="52"/>
      <c r="C65" s="50"/>
      <c r="D65" s="51"/>
      <c r="E65" s="51"/>
      <c r="F65" s="51"/>
      <c r="G65" s="51"/>
      <c r="H65" s="51"/>
    </row>
    <row r="66" spans="1:8" ht="15" customHeight="1" x14ac:dyDescent="0.35">
      <c r="A66" s="3"/>
      <c r="B66" s="14"/>
      <c r="C66" s="9"/>
      <c r="D66" s="41"/>
      <c r="E66" s="41"/>
      <c r="F66" s="41"/>
      <c r="G66" s="41"/>
      <c r="H66" s="41"/>
    </row>
    <row r="67" spans="1:8" ht="18" customHeight="1" x14ac:dyDescent="0.5">
      <c r="A67" s="103"/>
      <c r="B67" s="47" t="s">
        <v>43</v>
      </c>
      <c r="C67" s="42"/>
      <c r="D67" s="7"/>
      <c r="E67" s="43"/>
      <c r="F67" s="43"/>
      <c r="G67" s="43"/>
      <c r="H67" s="43"/>
    </row>
    <row r="68" spans="1:8" ht="18" customHeight="1" x14ac:dyDescent="0.5">
      <c r="A68" s="103"/>
      <c r="B68" s="105"/>
      <c r="C68" s="104"/>
      <c r="D68" s="106"/>
      <c r="E68" s="106"/>
      <c r="F68" s="106"/>
      <c r="G68" s="106"/>
      <c r="H68" s="106"/>
    </row>
    <row r="69" spans="1:8" ht="15" customHeight="1" x14ac:dyDescent="0.35">
      <c r="A69" s="3"/>
      <c r="B69" s="17" t="s">
        <v>19</v>
      </c>
      <c r="C69" s="40" t="s">
        <v>8</v>
      </c>
      <c r="D69" s="213">
        <f>D26</f>
        <v>0</v>
      </c>
      <c r="E69" s="213">
        <f>E26</f>
        <v>35746</v>
      </c>
      <c r="F69" s="213">
        <f>F26</f>
        <v>24311</v>
      </c>
      <c r="G69" s="213">
        <f>G26</f>
        <v>19294</v>
      </c>
      <c r="H69" s="213">
        <f>H26</f>
        <v>14932</v>
      </c>
    </row>
    <row r="70" spans="1:8" ht="15" customHeight="1" x14ac:dyDescent="0.35">
      <c r="A70" s="3"/>
      <c r="B70" s="17" t="s">
        <v>13</v>
      </c>
      <c r="C70" s="40" t="s">
        <v>8</v>
      </c>
      <c r="D70" s="213">
        <f>-D16</f>
        <v>0</v>
      </c>
      <c r="E70" s="213">
        <f>-E16</f>
        <v>13680</v>
      </c>
      <c r="F70" s="213">
        <f>-F16</f>
        <v>13818</v>
      </c>
      <c r="G70" s="213">
        <f>-G16</f>
        <v>13107</v>
      </c>
      <c r="H70" s="213">
        <f>-H16</f>
        <v>13847</v>
      </c>
    </row>
    <row r="71" spans="1:8" ht="15" customHeight="1" x14ac:dyDescent="0.35">
      <c r="A71" s="3"/>
      <c r="B71" s="17" t="s">
        <v>44</v>
      </c>
      <c r="C71" s="40" t="s">
        <v>8</v>
      </c>
      <c r="D71" s="210"/>
      <c r="E71" s="210">
        <v>-3272</v>
      </c>
      <c r="F71" s="210">
        <v>306</v>
      </c>
      <c r="G71" s="210">
        <v>3884</v>
      </c>
      <c r="H71" s="210">
        <v>1406</v>
      </c>
    </row>
    <row r="72" spans="1:8" ht="15" customHeight="1" x14ac:dyDescent="0.35">
      <c r="A72" s="3"/>
      <c r="B72" s="17" t="s">
        <v>45</v>
      </c>
      <c r="C72" s="40" t="s">
        <v>8</v>
      </c>
      <c r="D72" s="210"/>
      <c r="E72" s="210">
        <v>-3805</v>
      </c>
      <c r="F72" s="210">
        <v>3159</v>
      </c>
      <c r="G72" s="210">
        <v>-203</v>
      </c>
      <c r="H72" s="210">
        <v>2848</v>
      </c>
    </row>
    <row r="73" spans="1:8" ht="15" customHeight="1" x14ac:dyDescent="0.35">
      <c r="A73" s="3"/>
      <c r="B73" s="17" t="s">
        <v>46</v>
      </c>
      <c r="C73" s="40" t="s">
        <v>8</v>
      </c>
      <c r="D73" s="210"/>
      <c r="E73" s="210">
        <v>11791</v>
      </c>
      <c r="F73" s="210">
        <v>-12234</v>
      </c>
      <c r="G73" s="210">
        <v>2239</v>
      </c>
      <c r="H73" s="210">
        <v>-6236</v>
      </c>
    </row>
    <row r="74" spans="1:8" ht="15" customHeight="1" x14ac:dyDescent="0.35">
      <c r="A74" s="3"/>
      <c r="B74" s="17" t="s">
        <v>47</v>
      </c>
      <c r="C74" s="40" t="s">
        <v>8</v>
      </c>
      <c r="D74" s="210"/>
      <c r="E74" s="210">
        <v>432</v>
      </c>
      <c r="F74" s="210">
        <v>1250</v>
      </c>
      <c r="G74" s="210">
        <v>535</v>
      </c>
      <c r="H74" s="210">
        <v>422</v>
      </c>
    </row>
    <row r="75" spans="1:8" ht="15" customHeight="1" thickBot="1" x14ac:dyDescent="0.4">
      <c r="A75" s="3"/>
      <c r="B75" s="49" t="s">
        <v>48</v>
      </c>
      <c r="C75" s="50" t="s">
        <v>8</v>
      </c>
      <c r="D75" s="218">
        <f>SUM(D69:D74)</f>
        <v>0</v>
      </c>
      <c r="E75" s="218">
        <f>SUM(E69:E74)</f>
        <v>54572</v>
      </c>
      <c r="F75" s="218">
        <f>SUM(F69:F74)</f>
        <v>30610</v>
      </c>
      <c r="G75" s="218">
        <f>SUM(G69:G74)</f>
        <v>38856</v>
      </c>
      <c r="H75" s="218">
        <f>SUM(H69:H74)</f>
        <v>27219</v>
      </c>
    </row>
    <row r="76" spans="1:8" ht="15" customHeight="1" x14ac:dyDescent="0.35">
      <c r="A76" s="3"/>
      <c r="B76" s="49"/>
      <c r="C76" s="50"/>
      <c r="D76" s="51"/>
      <c r="E76" s="51"/>
      <c r="F76" s="51"/>
      <c r="G76" s="51"/>
      <c r="H76" s="51"/>
    </row>
    <row r="77" spans="1:8" ht="15" customHeight="1" x14ac:dyDescent="0.35">
      <c r="A77" s="3"/>
      <c r="B77" s="49"/>
      <c r="C77" s="50"/>
      <c r="D77" s="51"/>
      <c r="E77" s="51"/>
      <c r="F77" s="51"/>
      <c r="G77" s="51"/>
      <c r="H77" s="51"/>
    </row>
    <row r="78" spans="1:8" ht="15" customHeight="1" x14ac:dyDescent="0.35">
      <c r="A78" s="3"/>
      <c r="B78" s="17" t="s">
        <v>49</v>
      </c>
      <c r="C78" s="40" t="s">
        <v>8</v>
      </c>
      <c r="D78" s="210"/>
      <c r="E78" s="210">
        <v>-15690</v>
      </c>
      <c r="F78" s="210">
        <v>-17722</v>
      </c>
      <c r="G78" s="210">
        <v>-14909</v>
      </c>
      <c r="H78" s="210">
        <v>-16953</v>
      </c>
    </row>
    <row r="79" spans="1:8" ht="15" customHeight="1" x14ac:dyDescent="0.35">
      <c r="A79" s="3"/>
      <c r="B79" s="17" t="s">
        <v>50</v>
      </c>
      <c r="C79" s="40" t="s">
        <v>8</v>
      </c>
      <c r="D79" s="210"/>
      <c r="E79" s="210">
        <v>577</v>
      </c>
      <c r="F79" s="210">
        <v>490</v>
      </c>
      <c r="G79" s="210">
        <v>347</v>
      </c>
      <c r="H79" s="210">
        <v>329</v>
      </c>
    </row>
    <row r="80" spans="1:8" ht="15" customHeight="1" thickBot="1" x14ac:dyDescent="0.4">
      <c r="A80" s="3"/>
      <c r="B80" s="52" t="s">
        <v>51</v>
      </c>
      <c r="C80" s="50" t="s">
        <v>8</v>
      </c>
      <c r="D80" s="218">
        <f>SUM(D78:D79)</f>
        <v>0</v>
      </c>
      <c r="E80" s="218">
        <f>SUM(E78:E79)</f>
        <v>-15113</v>
      </c>
      <c r="F80" s="218">
        <f>SUM(F78:F79)</f>
        <v>-17232</v>
      </c>
      <c r="G80" s="218">
        <f>SUM(G78:G79)</f>
        <v>-14562</v>
      </c>
      <c r="H80" s="218">
        <f>SUM(H78:H79)</f>
        <v>-16624</v>
      </c>
    </row>
    <row r="81" spans="1:8" ht="15" customHeight="1" x14ac:dyDescent="0.35">
      <c r="A81" s="3"/>
      <c r="B81" s="52"/>
      <c r="C81" s="50"/>
      <c r="D81" s="51"/>
      <c r="E81" s="51"/>
      <c r="F81" s="51"/>
      <c r="G81" s="51"/>
      <c r="H81" s="51"/>
    </row>
    <row r="82" spans="1:8" ht="15" customHeight="1" x14ac:dyDescent="0.35">
      <c r="A82" s="3"/>
      <c r="B82" s="52"/>
      <c r="C82" s="50"/>
      <c r="D82" s="51"/>
      <c r="E82" s="51"/>
      <c r="F82" s="51"/>
      <c r="G82" s="51"/>
      <c r="H82" s="51"/>
    </row>
    <row r="83" spans="1:8" ht="15" customHeight="1" x14ac:dyDescent="0.35">
      <c r="A83" s="3"/>
      <c r="B83" s="17" t="s">
        <v>52</v>
      </c>
      <c r="C83" s="40" t="s">
        <v>8</v>
      </c>
      <c r="D83" s="210"/>
      <c r="E83" s="210">
        <v>1148</v>
      </c>
      <c r="F83" s="210">
        <v>189</v>
      </c>
      <c r="G83" s="210">
        <v>7563</v>
      </c>
      <c r="H83" s="210">
        <v>8163</v>
      </c>
    </row>
    <row r="84" spans="1:8" ht="15" customHeight="1" x14ac:dyDescent="0.35">
      <c r="A84" s="3"/>
      <c r="B84" s="17" t="s">
        <v>53</v>
      </c>
      <c r="C84" s="40" t="s">
        <v>8</v>
      </c>
      <c r="D84" s="210"/>
      <c r="E84" s="210">
        <v>370</v>
      </c>
      <c r="F84" s="210">
        <v>383</v>
      </c>
      <c r="G84" s="210">
        <v>521</v>
      </c>
      <c r="H84" s="210">
        <v>492</v>
      </c>
    </row>
    <row r="85" spans="1:8" ht="15" customHeight="1" x14ac:dyDescent="0.35">
      <c r="A85" s="3"/>
      <c r="B85" s="17" t="s">
        <v>54</v>
      </c>
      <c r="C85" s="40" t="s">
        <v>8</v>
      </c>
      <c r="D85" s="210"/>
      <c r="E85" s="210">
        <v>-7711</v>
      </c>
      <c r="F85" s="210">
        <v>-9167</v>
      </c>
      <c r="G85" s="210">
        <v>-7995</v>
      </c>
      <c r="H85" s="210">
        <v>-7714</v>
      </c>
    </row>
    <row r="86" spans="1:8" ht="15" customHeight="1" thickBot="1" x14ac:dyDescent="0.4">
      <c r="A86" s="3"/>
      <c r="B86" s="49" t="s">
        <v>55</v>
      </c>
      <c r="C86" s="50" t="s">
        <v>8</v>
      </c>
      <c r="D86" s="218">
        <f>SUM(D83:D85)</f>
        <v>0</v>
      </c>
      <c r="E86" s="218">
        <f>SUM(E83:E85)</f>
        <v>-6193</v>
      </c>
      <c r="F86" s="218">
        <f>SUM(F83:F85)</f>
        <v>-8595</v>
      </c>
      <c r="G86" s="218">
        <f>SUM(G83:G85)</f>
        <v>89</v>
      </c>
      <c r="H86" s="218">
        <f>SUM(H83:H85)</f>
        <v>941</v>
      </c>
    </row>
    <row r="87" spans="1:8" ht="15" customHeight="1" x14ac:dyDescent="0.35">
      <c r="A87" s="3"/>
      <c r="B87" s="49"/>
      <c r="C87" s="50"/>
      <c r="D87" s="51"/>
      <c r="E87" s="51"/>
      <c r="F87" s="51"/>
      <c r="G87" s="51"/>
      <c r="H87" s="51"/>
    </row>
    <row r="88" spans="1:8" ht="15" customHeight="1" x14ac:dyDescent="0.35">
      <c r="A88" s="3"/>
      <c r="B88" s="49"/>
      <c r="C88" s="50"/>
      <c r="D88" s="51"/>
      <c r="E88" s="51"/>
      <c r="F88" s="51"/>
      <c r="G88" s="51"/>
      <c r="H88" s="51"/>
    </row>
    <row r="89" spans="1:8" ht="15" customHeight="1" x14ac:dyDescent="0.35">
      <c r="A89" s="3"/>
      <c r="B89" s="52" t="s">
        <v>56</v>
      </c>
      <c r="C89" s="50" t="s">
        <v>8</v>
      </c>
      <c r="D89" s="217">
        <f>D75+D80+D86</f>
        <v>0</v>
      </c>
      <c r="E89" s="217">
        <f>E75+E80+E86</f>
        <v>33266</v>
      </c>
      <c r="F89" s="217">
        <f>F75+F80+F86</f>
        <v>4783</v>
      </c>
      <c r="G89" s="217">
        <f>G75+G80+G86</f>
        <v>24383</v>
      </c>
      <c r="H89" s="217">
        <f>H75+H80+H86</f>
        <v>11536</v>
      </c>
    </row>
    <row r="90" spans="1:8" ht="15" customHeight="1" x14ac:dyDescent="0.35">
      <c r="A90" s="3"/>
      <c r="B90" s="17" t="s">
        <v>57</v>
      </c>
      <c r="C90" s="40" t="s">
        <v>8</v>
      </c>
      <c r="D90" s="210"/>
      <c r="E90" s="210">
        <v>21342</v>
      </c>
      <c r="F90" s="210">
        <v>33026</v>
      </c>
      <c r="G90" s="210">
        <v>27263</v>
      </c>
      <c r="H90" s="210">
        <v>25844</v>
      </c>
    </row>
    <row r="91" spans="1:8" ht="15" customHeight="1" thickBot="1" x14ac:dyDescent="0.4">
      <c r="A91" s="3"/>
      <c r="B91" s="52" t="s">
        <v>58</v>
      </c>
      <c r="C91" s="50" t="s">
        <v>8</v>
      </c>
      <c r="D91" s="218">
        <f>D90+D89</f>
        <v>0</v>
      </c>
      <c r="E91" s="218">
        <f>E90+E89</f>
        <v>54608</v>
      </c>
      <c r="F91" s="218">
        <f>F90+F89</f>
        <v>37809</v>
      </c>
      <c r="G91" s="218">
        <f>G90+G89</f>
        <v>51646</v>
      </c>
      <c r="H91" s="218">
        <f>H90+H89</f>
        <v>37380</v>
      </c>
    </row>
    <row r="92" spans="1:8" ht="15" customHeight="1" x14ac:dyDescent="0.35">
      <c r="A92" s="3"/>
      <c r="B92" s="14"/>
      <c r="C92" s="9"/>
      <c r="D92" s="41"/>
      <c r="E92" s="41"/>
      <c r="F92" s="41"/>
      <c r="G92" s="41"/>
      <c r="H92" s="41"/>
    </row>
    <row r="93" spans="1:8" ht="18" customHeight="1" x14ac:dyDescent="0.5">
      <c r="A93" s="103"/>
      <c r="B93" s="47" t="s">
        <v>59</v>
      </c>
      <c r="C93" s="42"/>
      <c r="D93" s="7"/>
      <c r="E93" s="43"/>
      <c r="F93" s="43"/>
      <c r="G93" s="43"/>
      <c r="H93" s="43"/>
    </row>
    <row r="94" spans="1:8" ht="18" customHeight="1" x14ac:dyDescent="0.5">
      <c r="A94" s="103"/>
      <c r="B94" s="105"/>
      <c r="C94" s="104"/>
      <c r="D94" s="106"/>
      <c r="E94" s="106"/>
      <c r="F94" s="106"/>
      <c r="G94" s="106"/>
      <c r="H94" s="106"/>
    </row>
    <row r="95" spans="1:8" ht="15" customHeight="1" x14ac:dyDescent="0.35">
      <c r="A95" s="3"/>
      <c r="B95" s="17" t="s">
        <v>60</v>
      </c>
      <c r="C95" s="40" t="s">
        <v>61</v>
      </c>
      <c r="D95" s="210"/>
      <c r="E95" s="210">
        <v>130</v>
      </c>
      <c r="F95" s="210">
        <v>175</v>
      </c>
      <c r="G95" s="210">
        <v>226</v>
      </c>
      <c r="H95" s="210">
        <v>77.69</v>
      </c>
    </row>
    <row r="96" spans="1:8" ht="15" customHeight="1" x14ac:dyDescent="0.35">
      <c r="A96" s="3"/>
      <c r="B96" s="17" t="s">
        <v>62</v>
      </c>
      <c r="C96" s="40" t="s">
        <v>63</v>
      </c>
      <c r="D96" s="214"/>
      <c r="E96" s="214">
        <v>16215</v>
      </c>
      <c r="F96" s="214">
        <v>15813</v>
      </c>
      <c r="G96" s="214">
        <v>15408</v>
      </c>
      <c r="H96" s="214">
        <v>2133.12</v>
      </c>
    </row>
    <row r="97" spans="1:8" ht="15" customHeight="1" x14ac:dyDescent="0.35">
      <c r="A97" s="3"/>
      <c r="B97" s="17" t="s">
        <v>64</v>
      </c>
      <c r="C97" s="40" t="s">
        <v>8</v>
      </c>
      <c r="D97" s="217">
        <f>D95*D96</f>
        <v>0</v>
      </c>
      <c r="E97" s="217">
        <f>E95*E96</f>
        <v>2107950</v>
      </c>
      <c r="F97" s="217">
        <f>F95*F96</f>
        <v>2767275</v>
      </c>
      <c r="G97" s="217">
        <f>G95*G96</f>
        <v>3482208</v>
      </c>
      <c r="H97" s="217">
        <f>H95*H96</f>
        <v>165722.09279999998</v>
      </c>
    </row>
    <row r="98" spans="1:8" ht="15" customHeight="1" x14ac:dyDescent="0.35">
      <c r="A98" s="3"/>
      <c r="B98" s="14" t="s">
        <v>65</v>
      </c>
      <c r="C98" s="40" t="s">
        <v>8</v>
      </c>
      <c r="D98" s="217">
        <f>D97+D54+D48-D34</f>
        <v>0</v>
      </c>
      <c r="E98" s="217">
        <f>E97+E54+E48-E34</f>
        <v>2130507</v>
      </c>
      <c r="F98" s="217">
        <f>F97+F54+F48-F34</f>
        <v>2786161</v>
      </c>
      <c r="G98" s="217">
        <f>G97+G54+G48-G34</f>
        <v>3505513</v>
      </c>
      <c r="H98" s="217">
        <f>H97+H54+H48-H34</f>
        <v>199765.09279999998</v>
      </c>
    </row>
    <row r="99" spans="1:8" ht="15" customHeight="1" x14ac:dyDescent="0.35">
      <c r="A99" s="3"/>
      <c r="B99" s="17" t="s">
        <v>66</v>
      </c>
      <c r="C99" s="40" t="s">
        <v>67</v>
      </c>
      <c r="D99" s="210"/>
      <c r="E99" s="367"/>
      <c r="F99" s="367"/>
      <c r="G99" s="367"/>
      <c r="H99" s="368">
        <v>1</v>
      </c>
    </row>
    <row r="100" spans="1:8" ht="15" customHeight="1" x14ac:dyDescent="0.35">
      <c r="A100" s="3"/>
      <c r="B100" s="17" t="s">
        <v>68</v>
      </c>
      <c r="C100" s="40" t="s">
        <v>69</v>
      </c>
      <c r="D100" s="210"/>
      <c r="E100" s="369"/>
      <c r="F100" s="369"/>
      <c r="G100" s="369"/>
      <c r="H100" s="370">
        <v>4.2599999999999999E-2</v>
      </c>
    </row>
    <row r="101" spans="1:8" ht="15" customHeight="1" x14ac:dyDescent="0.35">
      <c r="A101" s="3"/>
      <c r="B101" s="17" t="s">
        <v>70</v>
      </c>
      <c r="C101" s="40" t="s">
        <v>69</v>
      </c>
      <c r="D101" s="210"/>
      <c r="E101" s="369"/>
      <c r="F101" s="369"/>
      <c r="G101" s="369"/>
      <c r="H101" s="370">
        <v>5.5E-2</v>
      </c>
    </row>
    <row r="102" spans="1:8" ht="15" customHeight="1" x14ac:dyDescent="0.35">
      <c r="A102" s="3"/>
      <c r="B102" s="17" t="s">
        <v>71</v>
      </c>
      <c r="C102" s="40" t="s">
        <v>69</v>
      </c>
      <c r="D102" s="213">
        <v>0.10829999999999999</v>
      </c>
      <c r="E102" s="371">
        <v>0.10829999999999999</v>
      </c>
      <c r="F102" s="371">
        <v>0.10630000000000001</v>
      </c>
      <c r="G102" s="371">
        <v>0.10630000000000001</v>
      </c>
      <c r="H102" s="371">
        <v>0.10630000000000001</v>
      </c>
    </row>
    <row r="103" spans="1:8" ht="15" customHeight="1" x14ac:dyDescent="0.35">
      <c r="A103" s="3"/>
      <c r="B103" s="17" t="s">
        <v>72</v>
      </c>
      <c r="C103" s="40" t="s">
        <v>69</v>
      </c>
      <c r="D103" s="210"/>
      <c r="E103" s="370"/>
      <c r="F103" s="370"/>
      <c r="G103" s="370"/>
      <c r="H103" s="370">
        <v>4.3999999999999997E-2</v>
      </c>
    </row>
    <row r="104" spans="1:8" ht="15" customHeight="1" x14ac:dyDescent="0.35">
      <c r="A104" s="3"/>
      <c r="B104" s="17" t="s">
        <v>73</v>
      </c>
      <c r="C104" s="40" t="s">
        <v>69</v>
      </c>
      <c r="D104" s="210"/>
      <c r="E104" s="519">
        <v>0.4</v>
      </c>
      <c r="F104" s="519">
        <v>0.38350000000000001</v>
      </c>
      <c r="G104" s="519">
        <v>0.4</v>
      </c>
      <c r="H104" s="370">
        <v>0.38579999999999998</v>
      </c>
    </row>
    <row r="105" spans="1:8" ht="15" customHeight="1" x14ac:dyDescent="0.35">
      <c r="A105" s="3"/>
      <c r="B105" s="17" t="s">
        <v>74</v>
      </c>
      <c r="C105" s="40" t="s">
        <v>69</v>
      </c>
      <c r="D105" s="213">
        <v>3.7900000000000003E-2</v>
      </c>
      <c r="E105" s="371">
        <v>3.7900000000000003E-2</v>
      </c>
      <c r="F105" s="371">
        <v>3.6299999999999999E-2</v>
      </c>
      <c r="G105" s="371">
        <v>3.6299999999999999E-2</v>
      </c>
      <c r="H105" s="371">
        <v>3.6299999999999999E-2</v>
      </c>
    </row>
    <row r="106" spans="1:8" ht="15" customHeight="1" x14ac:dyDescent="0.35">
      <c r="A106" s="3"/>
      <c r="B106" s="17" t="s">
        <v>75</v>
      </c>
      <c r="C106" s="40" t="s">
        <v>69</v>
      </c>
      <c r="D106" s="210"/>
      <c r="E106" s="369"/>
      <c r="F106" s="369"/>
      <c r="G106" s="369"/>
      <c r="H106" s="370">
        <v>0.74009999999999998</v>
      </c>
    </row>
    <row r="107" spans="1:8" ht="15" customHeight="1" x14ac:dyDescent="0.35">
      <c r="A107" s="3"/>
      <c r="B107" s="17" t="s">
        <v>76</v>
      </c>
      <c r="C107" s="40" t="s">
        <v>69</v>
      </c>
      <c r="D107" s="210"/>
      <c r="E107" s="369"/>
      <c r="F107" s="369"/>
      <c r="G107" s="369"/>
      <c r="H107" s="370">
        <v>0.25990000000000002</v>
      </c>
    </row>
    <row r="108" spans="1:8" ht="15" customHeight="1" x14ac:dyDescent="0.35">
      <c r="A108" s="3"/>
      <c r="B108" s="14" t="s">
        <v>77</v>
      </c>
      <c r="C108" s="40" t="s">
        <v>69</v>
      </c>
      <c r="D108" s="210">
        <f>D106*(D100+D99*D101)+D107*D103*(1-D104)</f>
        <v>0</v>
      </c>
      <c r="E108" s="518"/>
      <c r="F108" s="518"/>
      <c r="G108" s="518"/>
      <c r="H108" s="370">
        <f>H106*(H100+H99*H101)+H107*H103*(1-H104)</f>
        <v>7.9257505519999993E-2</v>
      </c>
    </row>
    <row r="109" spans="1:8" ht="15" customHeight="1" x14ac:dyDescent="0.35">
      <c r="A109" s="3"/>
      <c r="B109" s="17" t="s">
        <v>78</v>
      </c>
      <c r="C109" s="40" t="s">
        <v>69</v>
      </c>
      <c r="D109" s="210"/>
      <c r="E109" s="518"/>
      <c r="F109" s="518"/>
      <c r="G109" s="518"/>
      <c r="H109" s="370">
        <v>2.5000000000000001E-2</v>
      </c>
    </row>
    <row r="110" spans="1:8" ht="15" customHeight="1" x14ac:dyDescent="0.35">
      <c r="A110" s="3"/>
      <c r="B110" s="17" t="s">
        <v>79</v>
      </c>
      <c r="C110" s="40" t="s">
        <v>80</v>
      </c>
      <c r="D110" s="210"/>
      <c r="E110" s="366"/>
      <c r="F110" s="366"/>
      <c r="G110" s="366"/>
      <c r="H110" s="210">
        <v>365</v>
      </c>
    </row>
    <row r="111" spans="1:8" ht="15" customHeight="1" x14ac:dyDescent="0.35">
      <c r="A111" s="3"/>
      <c r="B111" s="14"/>
      <c r="C111" s="9"/>
      <c r="D111" s="41"/>
      <c r="E111" s="41"/>
      <c r="F111" s="41"/>
      <c r="G111" s="41"/>
      <c r="H111" s="41"/>
    </row>
    <row r="112" spans="1:8" ht="18" customHeight="1" x14ac:dyDescent="0.5">
      <c r="A112" s="103"/>
      <c r="B112" s="47" t="s">
        <v>81</v>
      </c>
      <c r="C112" s="42"/>
      <c r="D112" s="7"/>
      <c r="E112" s="43"/>
      <c r="F112" s="43"/>
      <c r="G112" s="43"/>
      <c r="H112" s="43"/>
    </row>
    <row r="113" spans="1:11" ht="18" customHeight="1" x14ac:dyDescent="0.5">
      <c r="A113" s="103"/>
      <c r="B113" s="105"/>
      <c r="C113" s="104"/>
      <c r="D113" s="106"/>
      <c r="E113" s="106"/>
      <c r="F113" s="106"/>
      <c r="G113" s="106"/>
      <c r="H113" s="106"/>
    </row>
    <row r="114" spans="1:11" ht="15" customHeight="1" x14ac:dyDescent="0.35">
      <c r="A114" s="3"/>
      <c r="B114" s="14" t="s">
        <v>82</v>
      </c>
      <c r="C114" s="40" t="s">
        <v>83</v>
      </c>
      <c r="D114" s="210" t="s">
        <v>84</v>
      </c>
      <c r="E114" s="41"/>
      <c r="F114" s="41"/>
      <c r="G114" s="41"/>
      <c r="H114" s="41"/>
    </row>
    <row r="115" spans="1:11" ht="15" customHeight="1" x14ac:dyDescent="0.35">
      <c r="A115" s="3"/>
      <c r="B115" s="14" t="s">
        <v>85</v>
      </c>
      <c r="C115" s="40" t="s">
        <v>83</v>
      </c>
      <c r="D115" s="210" t="s">
        <v>84</v>
      </c>
      <c r="E115" s="41"/>
      <c r="F115" s="41"/>
      <c r="G115" s="41"/>
      <c r="H115" s="41"/>
    </row>
    <row r="116" spans="1:11" ht="15" customHeight="1" x14ac:dyDescent="0.35">
      <c r="A116" s="3"/>
      <c r="B116" s="14" t="s">
        <v>86</v>
      </c>
      <c r="C116" s="40" t="s">
        <v>83</v>
      </c>
      <c r="D116" s="440" t="s">
        <v>398</v>
      </c>
      <c r="E116" s="41"/>
      <c r="F116" s="41"/>
      <c r="G116" s="41"/>
      <c r="H116" s="41"/>
    </row>
    <row r="117" spans="1:11" ht="15" customHeight="1" x14ac:dyDescent="0.35">
      <c r="A117" s="3"/>
      <c r="B117" s="70" t="s">
        <v>87</v>
      </c>
      <c r="C117" s="40" t="s">
        <v>83</v>
      </c>
      <c r="D117" s="77">
        <v>2025</v>
      </c>
      <c r="E117" s="41"/>
      <c r="F117" s="41"/>
      <c r="G117" s="41"/>
      <c r="H117" s="41"/>
    </row>
    <row r="118" spans="1:11" ht="15" customHeight="1" x14ac:dyDescent="0.35">
      <c r="A118" s="3"/>
      <c r="B118" s="14" t="s">
        <v>88</v>
      </c>
      <c r="C118" s="40" t="s">
        <v>83</v>
      </c>
      <c r="D118" s="210" t="s">
        <v>89</v>
      </c>
      <c r="E118" s="41"/>
      <c r="F118" s="41"/>
      <c r="G118" s="41"/>
      <c r="H118" s="41"/>
    </row>
    <row r="119" spans="1:11" ht="15" customHeight="1" x14ac:dyDescent="0.35">
      <c r="A119" s="3"/>
      <c r="B119" s="14" t="s">
        <v>90</v>
      </c>
      <c r="C119" s="40" t="s">
        <v>83</v>
      </c>
      <c r="D119" s="210" t="s">
        <v>91</v>
      </c>
      <c r="E119" s="41"/>
      <c r="F119" s="41"/>
      <c r="G119" s="41"/>
      <c r="H119" s="41"/>
    </row>
    <row r="120" spans="1:11" ht="15" customHeight="1" x14ac:dyDescent="0.35">
      <c r="A120" s="3"/>
      <c r="B120" s="14" t="s">
        <v>92</v>
      </c>
      <c r="C120" s="40" t="s">
        <v>83</v>
      </c>
      <c r="D120" s="215" t="s">
        <v>93</v>
      </c>
      <c r="E120" s="216"/>
      <c r="F120" s="216"/>
      <c r="G120" s="216"/>
      <c r="H120" s="216"/>
    </row>
    <row r="121" spans="1:11" ht="15" customHeight="1" x14ac:dyDescent="0.35">
      <c r="A121" s="3"/>
      <c r="B121" s="14"/>
      <c r="C121" s="9"/>
      <c r="D121" s="41"/>
      <c r="E121" s="41"/>
      <c r="F121" s="41"/>
      <c r="G121" s="41"/>
      <c r="H121" s="41"/>
    </row>
    <row r="122" spans="1:11" ht="15" customHeight="1" x14ac:dyDescent="0.35">
      <c r="A122" s="3"/>
      <c r="B122" s="48" t="s">
        <v>94</v>
      </c>
      <c r="C122" s="3"/>
      <c r="D122" s="22"/>
      <c r="E122" s="22"/>
      <c r="F122" s="22"/>
      <c r="G122" s="22"/>
      <c r="H122" s="22"/>
    </row>
    <row r="123" spans="1:11" ht="15" customHeight="1" x14ac:dyDescent="0.35">
      <c r="A123" s="3"/>
      <c r="B123" s="14"/>
      <c r="C123" s="3"/>
      <c r="D123" s="22"/>
      <c r="E123" s="22"/>
      <c r="F123" s="22"/>
      <c r="G123" s="22"/>
      <c r="H123" s="22"/>
    </row>
    <row r="124" spans="1:11" ht="15" customHeight="1" x14ac:dyDescent="0.35">
      <c r="A124" s="200"/>
      <c r="B124" s="31" t="s">
        <v>95</v>
      </c>
      <c r="C124" s="2"/>
      <c r="D124" s="25"/>
      <c r="E124" s="25"/>
      <c r="F124" s="25"/>
      <c r="G124" s="25"/>
      <c r="H124" s="25"/>
    </row>
    <row r="125" spans="1:11" ht="15" customHeight="1" x14ac:dyDescent="0.35">
      <c r="A125" s="200"/>
      <c r="B125" s="31" t="s">
        <v>96</v>
      </c>
      <c r="C125" s="2"/>
      <c r="D125" s="25"/>
      <c r="E125" s="25"/>
      <c r="F125" s="25"/>
      <c r="G125" s="25"/>
      <c r="H125" s="25"/>
    </row>
    <row r="126" spans="1:11" ht="15" customHeight="1" x14ac:dyDescent="0.35">
      <c r="A126" s="200"/>
      <c r="B126" s="31" t="s">
        <v>97</v>
      </c>
      <c r="C126" s="2"/>
      <c r="D126" s="25"/>
      <c r="E126" s="25"/>
      <c r="F126" s="25"/>
      <c r="G126" s="25"/>
      <c r="H126" s="25"/>
    </row>
    <row r="127" spans="1:11" ht="15" customHeight="1" x14ac:dyDescent="0.3">
      <c r="B127" s="45"/>
    </row>
    <row r="128" spans="1:11" ht="3" customHeight="1" x14ac:dyDescent="0.3">
      <c r="A128" s="295"/>
      <c r="B128" s="296"/>
      <c r="C128" s="295"/>
      <c r="D128" s="297">
        <f>IF(COUNTA(D9,D10,D14,D15,D16,D20,D21,D25)=8,1,0)+IF(COUNTA(E9,E10,E14,E15,E16,E20,E21,E25)=8,1,0)+IF(COUNTA(F9,F10,F14,F15,F16,F20,F21,F25)=8,1,0)+IF(COUNTA(G9,G10,G14,G15,G16,G20,G21,G25)=8,1,0)</f>
        <v>3</v>
      </c>
      <c r="E128" s="297"/>
      <c r="F128" s="297">
        <f>IF(D9&lt;&gt;"",1,0)+IF(E9&lt;&gt;"",1,0)+IF(F9&lt;&gt;"",1,0)+IF(G9&lt;&gt;"",1,0)+IF(H9&lt;&gt;"",1,0)</f>
        <v>4</v>
      </c>
      <c r="G128" s="297">
        <f>IF(NOT(ISBLANK(H9)),F128,IF(NOT(ISBLANK(G9)),F128,IF(NOT(ISBLANK(F9)),F128,IF(NOT(ISBLANK(E9)),F128,IF(NOT(ISBLANK(D9)),F128,0)))))</f>
        <v>4</v>
      </c>
      <c r="H128" s="297"/>
      <c r="I128" s="295"/>
      <c r="J128" s="295"/>
      <c r="K128" s="295"/>
    </row>
    <row r="129" spans="2:8" ht="15" customHeight="1" x14ac:dyDescent="0.3">
      <c r="B129" s="45"/>
    </row>
    <row r="130" spans="2:8" ht="15" customHeight="1" x14ac:dyDescent="0.3">
      <c r="B130" s="45"/>
    </row>
    <row r="131" spans="2:8" ht="15" customHeight="1" x14ac:dyDescent="0.3">
      <c r="B131" s="45"/>
    </row>
    <row r="132" spans="2:8" ht="15" customHeight="1" x14ac:dyDescent="0.3">
      <c r="B132" s="45"/>
      <c r="E132">
        <v>2022</v>
      </c>
      <c r="F132">
        <v>2023</v>
      </c>
      <c r="G132">
        <v>2024</v>
      </c>
      <c r="H132" t="s">
        <v>4</v>
      </c>
    </row>
    <row r="133" spans="2:8" ht="15" customHeight="1" x14ac:dyDescent="0.3">
      <c r="B133" s="45"/>
    </row>
    <row r="134" spans="2:8" ht="15" customHeight="1" x14ac:dyDescent="0.3">
      <c r="B134" s="45"/>
    </row>
    <row r="135" spans="2:8" ht="15" customHeight="1" x14ac:dyDescent="0.3">
      <c r="B135" s="45"/>
    </row>
    <row r="136" spans="2:8" ht="15" customHeight="1" x14ac:dyDescent="0.3">
      <c r="B136" s="45"/>
    </row>
    <row r="137" spans="2:8" ht="15" customHeight="1" x14ac:dyDescent="0.3">
      <c r="B137" s="45"/>
    </row>
    <row r="138" spans="2:8" ht="15" customHeight="1" x14ac:dyDescent="0.3">
      <c r="B138" s="45"/>
    </row>
    <row r="139" spans="2:8" ht="15" customHeight="1" x14ac:dyDescent="0.3">
      <c r="B139" s="45"/>
    </row>
    <row r="140" spans="2:8" ht="15" customHeight="1" x14ac:dyDescent="0.3">
      <c r="B140" s="45"/>
    </row>
    <row r="141" spans="2:8" ht="15" customHeight="1" x14ac:dyDescent="0.3">
      <c r="B141" s="45"/>
    </row>
    <row r="142" spans="2:8" ht="15" customHeight="1" x14ac:dyDescent="0.3">
      <c r="B142" s="45"/>
    </row>
    <row r="143" spans="2:8" ht="15" customHeight="1" x14ac:dyDescent="0.3">
      <c r="B143" s="45"/>
    </row>
    <row r="144" spans="2:8" ht="15" customHeight="1" x14ac:dyDescent="0.3">
      <c r="B144" s="45"/>
    </row>
    <row r="145" spans="2:2" ht="15" customHeight="1" x14ac:dyDescent="0.3">
      <c r="B145" s="45"/>
    </row>
    <row r="146" spans="2:2" ht="15" customHeight="1" x14ac:dyDescent="0.3">
      <c r="B146" s="45"/>
    </row>
    <row r="147" spans="2:2" ht="15" customHeight="1" x14ac:dyDescent="0.3">
      <c r="B147" s="45"/>
    </row>
    <row r="148" spans="2:2" ht="15" customHeight="1" x14ac:dyDescent="0.3">
      <c r="B148" s="45"/>
    </row>
    <row r="149" spans="2:2" ht="15" customHeight="1" x14ac:dyDescent="0.3">
      <c r="B149" s="45"/>
    </row>
    <row r="150" spans="2:2" ht="15" customHeight="1" x14ac:dyDescent="0.3">
      <c r="B150" s="45"/>
    </row>
    <row r="151" spans="2:2" ht="15" customHeight="1" x14ac:dyDescent="0.3">
      <c r="B151" s="45"/>
    </row>
  </sheetData>
  <conditionalFormatting sqref="D1">
    <cfRule type="expression" dxfId="6" priority="2">
      <formula>$F$128&lt;4</formula>
    </cfRule>
  </conditionalFormatting>
  <conditionalFormatting sqref="D2 D4 D6 D8:D31 D33:D66 D68:D92 D94:D111 D113:D122">
    <cfRule type="expression" dxfId="5" priority="8">
      <formula>$F$128&lt;5</formula>
    </cfRule>
  </conditionalFormatting>
  <conditionalFormatting sqref="D7">
    <cfRule type="expression" dxfId="4" priority="1">
      <formula>$F$128&lt;4</formula>
    </cfRule>
  </conditionalFormatting>
  <conditionalFormatting sqref="E1:E122">
    <cfRule type="expression" dxfId="3" priority="9">
      <formula>$F$128&lt;4</formula>
    </cfRule>
  </conditionalFormatting>
  <conditionalFormatting sqref="F1:F122">
    <cfRule type="expression" dxfId="2" priority="10">
      <formula>$F$128&lt;3</formula>
    </cfRule>
  </conditionalFormatting>
  <conditionalFormatting sqref="G1:G122">
    <cfRule type="expression" dxfId="1" priority="11">
      <formula>$F$128&lt;2</formula>
    </cfRule>
  </conditionalFormatting>
  <conditionalFormatting sqref="H1:H122">
    <cfRule type="expression" dxfId="0" priority="12">
      <formula>$F$128&lt;1</formula>
    </cfRule>
  </conditionalFormatting>
  <dataValidations disablePrompts="1" count="1">
    <dataValidation type="list" allowBlank="1" showInputMessage="1" showErrorMessage="1" sqref="D116" xr:uid="{00000000-0002-0000-0000-000000000000}">
      <formula1>"Technologie / SaaS,Industrie / Manufacturing,Consommation / Retail,Luxe / Premium,Energie / Utilities,Sante / Pharma"</formula1>
    </dataValidation>
  </dataValidations>
  <printOptions horizontalCentered="1"/>
  <pageMargins left="5.5555555555555558E-3" right="5.5555555555555558E-3" top="6.9444444444444441E-3" bottom="6.9444444444444441E-3" header="2.7777777777777779E-3" footer="2.7777777777777779E-3"/>
  <pageSetup paperSize="9" scale="82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5"/>
  <sheetViews>
    <sheetView showGridLines="0" zoomScale="65" workbookViewId="0">
      <selection activeCell="C1" sqref="C1"/>
    </sheetView>
  </sheetViews>
  <sheetFormatPr baseColWidth="10" defaultRowHeight="14.4" x14ac:dyDescent="0.3"/>
  <cols>
    <col min="1" max="1" width="4.5546875" style="185" customWidth="1"/>
    <col min="2" max="2" width="49.5546875" style="19" customWidth="1"/>
    <col min="3" max="3" width="12.33203125" customWidth="1"/>
    <col min="4" max="8" width="13.33203125" style="21" customWidth="1"/>
  </cols>
  <sheetData>
    <row r="1" spans="1:8" ht="54.9" customHeight="1" x14ac:dyDescent="0.6">
      <c r="A1" s="181"/>
      <c r="B1" s="96" t="s">
        <v>98</v>
      </c>
      <c r="C1" s="5"/>
      <c r="D1" s="5"/>
      <c r="E1" s="29"/>
      <c r="F1" s="29"/>
      <c r="G1" s="29"/>
      <c r="H1" s="95" t="s">
        <v>99</v>
      </c>
    </row>
    <row r="2" spans="1:8" ht="15" customHeight="1" x14ac:dyDescent="0.35">
      <c r="A2" s="182"/>
      <c r="B2" s="14"/>
      <c r="C2" s="3"/>
      <c r="D2" s="400"/>
      <c r="E2" s="22"/>
      <c r="F2" s="22"/>
      <c r="G2" s="22"/>
      <c r="H2" s="22"/>
    </row>
    <row r="3" spans="1:8" ht="18" customHeight="1" x14ac:dyDescent="0.5">
      <c r="A3" s="183"/>
      <c r="B3" s="15" t="s">
        <v>100</v>
      </c>
      <c r="C3" s="7"/>
      <c r="D3" s="401"/>
      <c r="E3" s="23"/>
      <c r="F3" s="23"/>
      <c r="G3" s="23"/>
      <c r="H3" s="23"/>
    </row>
    <row r="4" spans="1:8" ht="15" customHeight="1" x14ac:dyDescent="0.35">
      <c r="A4" s="182"/>
      <c r="B4" s="13"/>
      <c r="C4" s="3"/>
      <c r="D4" s="400"/>
      <c r="E4" s="22"/>
      <c r="F4" s="22"/>
      <c r="G4" s="22"/>
      <c r="H4" s="22"/>
    </row>
    <row r="5" spans="1:8" ht="15" customHeight="1" x14ac:dyDescent="0.35">
      <c r="A5" s="184" t="s">
        <v>5</v>
      </c>
      <c r="B5" s="16" t="s">
        <v>101</v>
      </c>
      <c r="C5" s="16"/>
      <c r="D5" s="402"/>
      <c r="E5" s="1">
        <f>IF(INPUT!E5="","",INPUT!E5)</f>
        <v>2022</v>
      </c>
      <c r="F5" s="1">
        <f>IF(INPUT!F5="","",INPUT!F5)</f>
        <v>2023</v>
      </c>
      <c r="G5" s="1">
        <f>IF(INPUT!G5="","",INPUT!G5)</f>
        <v>2024</v>
      </c>
      <c r="H5" s="1" t="str">
        <f>IF(INPUT!H5="","",INPUT!H5)</f>
        <v>2025 (LTM)</v>
      </c>
    </row>
    <row r="6" spans="1:8" ht="15" customHeight="1" x14ac:dyDescent="0.35">
      <c r="A6" s="182"/>
      <c r="B6" s="14"/>
      <c r="C6" s="3"/>
      <c r="D6" s="400"/>
      <c r="E6" s="22"/>
      <c r="F6" s="22"/>
      <c r="G6" s="22"/>
      <c r="H6" s="22"/>
    </row>
    <row r="7" spans="1:8" ht="18" customHeight="1" x14ac:dyDescent="0.5">
      <c r="A7" s="183" t="s">
        <v>5</v>
      </c>
      <c r="B7" s="427" t="s">
        <v>383</v>
      </c>
      <c r="C7" s="7"/>
      <c r="D7" s="401"/>
      <c r="E7" s="23"/>
      <c r="F7" s="23"/>
      <c r="G7" s="23"/>
      <c r="H7" s="23"/>
    </row>
    <row r="8" spans="1:8" ht="18" customHeight="1" x14ac:dyDescent="0.5">
      <c r="A8" s="183"/>
      <c r="B8" s="102"/>
      <c r="C8" s="103"/>
      <c r="D8" s="403"/>
      <c r="E8" s="101"/>
      <c r="F8" s="101"/>
      <c r="G8" s="101"/>
      <c r="H8" s="101"/>
    </row>
    <row r="9" spans="1:8" ht="15" customHeight="1" x14ac:dyDescent="0.35">
      <c r="A9" s="182"/>
      <c r="B9" s="422" t="s">
        <v>390</v>
      </c>
      <c r="C9" s="417"/>
      <c r="D9" s="520" t="s">
        <v>125</v>
      </c>
      <c r="E9" s="431" t="s">
        <v>125</v>
      </c>
      <c r="F9" s="431" t="s">
        <v>125</v>
      </c>
      <c r="G9" s="431" t="s">
        <v>125</v>
      </c>
      <c r="H9" s="423">
        <f>IFERROR(INPUT!H98/(INPUT!H75+ABS(INPUT!H20)*(1-INPUT!H104)),"–")</f>
        <v>6.9386674255194931</v>
      </c>
    </row>
    <row r="10" spans="1:8" ht="15" customHeight="1" x14ac:dyDescent="0.35">
      <c r="A10" s="182"/>
      <c r="B10" s="422" t="s">
        <v>384</v>
      </c>
      <c r="C10" s="417"/>
      <c r="D10" s="520" t="s">
        <v>125</v>
      </c>
      <c r="E10" s="431" t="s">
        <v>125</v>
      </c>
      <c r="F10" s="431" t="s">
        <v>125</v>
      </c>
      <c r="G10" s="431" t="s">
        <v>125</v>
      </c>
      <c r="H10" s="423">
        <f>IFERROR(INPUT!H98/(INPUT!H30+ABS(INPUT!H15)),"–")</f>
        <v>4.3414924651728857</v>
      </c>
    </row>
    <row r="11" spans="1:8" ht="15" customHeight="1" x14ac:dyDescent="0.35">
      <c r="A11" s="182"/>
      <c r="B11" s="422" t="s">
        <v>103</v>
      </c>
      <c r="C11" s="417"/>
      <c r="D11" s="520" t="s">
        <v>125</v>
      </c>
      <c r="E11" s="431" t="s">
        <v>125</v>
      </c>
      <c r="F11" s="431" t="s">
        <v>125</v>
      </c>
      <c r="G11" s="431" t="s">
        <v>125</v>
      </c>
      <c r="H11" s="423">
        <f>IFERROR(INPUT!H98/INPUT!H9,"–")</f>
        <v>1.0955397095599526</v>
      </c>
    </row>
    <row r="12" spans="1:8" ht="15" customHeight="1" x14ac:dyDescent="0.35">
      <c r="A12" s="182"/>
      <c r="B12" s="422" t="s">
        <v>102</v>
      </c>
      <c r="C12" s="417"/>
      <c r="D12" s="520" t="s">
        <v>125</v>
      </c>
      <c r="E12" s="431" t="s">
        <v>125</v>
      </c>
      <c r="F12" s="431" t="s">
        <v>125</v>
      </c>
      <c r="G12" s="431" t="s">
        <v>125</v>
      </c>
      <c r="H12" s="423">
        <f>IFERROR(INPUT!H95/(INPUT!H26/INPUT!H96),"–")</f>
        <v>11.098452504687918</v>
      </c>
    </row>
    <row r="13" spans="1:8" ht="15" customHeight="1" x14ac:dyDescent="0.35">
      <c r="A13" s="182"/>
      <c r="B13" s="422" t="s">
        <v>385</v>
      </c>
      <c r="C13" s="417"/>
      <c r="D13" s="521" t="s">
        <v>125</v>
      </c>
      <c r="E13" s="424" t="s">
        <v>125</v>
      </c>
      <c r="F13" s="424" t="s">
        <v>125</v>
      </c>
      <c r="G13" s="424" t="s">
        <v>125</v>
      </c>
      <c r="H13" s="424" t="s">
        <v>125</v>
      </c>
    </row>
    <row r="14" spans="1:8" ht="15" customHeight="1" x14ac:dyDescent="0.35">
      <c r="A14" s="182"/>
      <c r="B14" s="422" t="s">
        <v>386</v>
      </c>
      <c r="C14" s="417"/>
      <c r="D14" s="521" t="s">
        <v>125</v>
      </c>
      <c r="E14" s="424" t="s">
        <v>125</v>
      </c>
      <c r="F14" s="424" t="s">
        <v>125</v>
      </c>
      <c r="G14" s="424" t="s">
        <v>125</v>
      </c>
      <c r="H14" s="424" t="s">
        <v>125</v>
      </c>
    </row>
    <row r="15" spans="1:8" ht="15" customHeight="1" x14ac:dyDescent="0.35">
      <c r="A15" s="182"/>
      <c r="B15" s="422" t="s">
        <v>387</v>
      </c>
      <c r="C15" s="417"/>
      <c r="D15" s="524" t="s">
        <v>125</v>
      </c>
      <c r="E15" s="425">
        <f>IFERROR((INPUT!E75+INPUT!E80)/INPUT!E97,"–")</f>
        <v>1.8719134704333593E-2</v>
      </c>
      <c r="F15" s="425">
        <f>IFERROR((INPUT!F75+INPUT!F80)/INPUT!F97,"–")</f>
        <v>4.8343587102835824E-3</v>
      </c>
      <c r="G15" s="425">
        <f>IFERROR((INPUT!G75+INPUT!G80)/INPUT!G97,"–")</f>
        <v>6.9766079453036697E-3</v>
      </c>
      <c r="H15" s="425">
        <f>IFERROR((INPUT!H75+INPUT!H80)/INPUT!H97,"–")</f>
        <v>6.3932332865156774E-2</v>
      </c>
    </row>
    <row r="16" spans="1:8" ht="15" customHeight="1" x14ac:dyDescent="0.35">
      <c r="A16" s="182"/>
      <c r="B16" s="28"/>
      <c r="C16" s="9"/>
      <c r="D16" s="400"/>
      <c r="E16" s="30"/>
      <c r="F16" s="30"/>
      <c r="G16" s="30"/>
      <c r="H16" s="30"/>
    </row>
    <row r="17" spans="1:8" ht="18" customHeight="1" x14ac:dyDescent="0.5">
      <c r="A17" s="183" t="s">
        <v>5</v>
      </c>
      <c r="B17" s="47" t="s">
        <v>104</v>
      </c>
      <c r="C17" s="42"/>
      <c r="D17" s="401"/>
      <c r="E17" s="23"/>
      <c r="F17" s="23"/>
      <c r="G17" s="23"/>
      <c r="H17" s="23"/>
    </row>
    <row r="18" spans="1:8" ht="18" customHeight="1" x14ac:dyDescent="0.5">
      <c r="A18" s="183"/>
      <c r="B18" s="105"/>
      <c r="C18" s="104"/>
      <c r="D18" s="403"/>
      <c r="E18" s="101"/>
      <c r="F18" s="101"/>
      <c r="G18" s="101"/>
      <c r="H18" s="101"/>
    </row>
    <row r="19" spans="1:8" ht="15" customHeight="1" x14ac:dyDescent="0.35">
      <c r="A19" s="182"/>
      <c r="B19" s="27" t="s">
        <v>105</v>
      </c>
      <c r="C19" s="9"/>
      <c r="D19" s="522" t="str">
        <f>IFERROR(INPUT!D11/INPUT!D9,"–")</f>
        <v>–</v>
      </c>
      <c r="E19" s="221">
        <f>IFERROR(INPUT!E11/INPUT!E9,"–")</f>
        <v>0.30842353119896698</v>
      </c>
      <c r="F19" s="221">
        <f>IFERROR(INPUT!F11/INPUT!F9,"–")</f>
        <v>0.28487976432437367</v>
      </c>
      <c r="G19" s="221">
        <f>IFERROR(INPUT!G11/INPUT!G9,"–")</f>
        <v>0.28389141659424366</v>
      </c>
      <c r="H19" s="221">
        <f>IFERROR(INPUT!H11/INPUT!H9,"–")</f>
        <v>0.28433619971043739</v>
      </c>
    </row>
    <row r="20" spans="1:8" ht="15" customHeight="1" x14ac:dyDescent="0.35">
      <c r="A20" s="182"/>
      <c r="B20" s="66" t="s">
        <v>388</v>
      </c>
      <c r="C20" s="9"/>
      <c r="D20" s="522" t="str">
        <f>IFERROR(INPUT!D30/INPUT!D9,"–")</f>
        <v>–</v>
      </c>
      <c r="E20" s="221">
        <f>IFERROR(INPUT!E30/INPUT!E9,"–")</f>
        <v>0.28175914321522161</v>
      </c>
      <c r="F20" s="221">
        <f>IFERROR(INPUT!F30/INPUT!F9,"–")</f>
        <v>0.24482860992486696</v>
      </c>
      <c r="G20" s="221">
        <f>IFERROR(INPUT!G30/INPUT!G9,"–")</f>
        <v>0.23435407187771587</v>
      </c>
      <c r="H20" s="221">
        <f>IFERROR(INPUT!H30/INPUT!H9,"–")</f>
        <v>0.21718290703286097</v>
      </c>
    </row>
    <row r="21" spans="1:8" ht="15" customHeight="1" x14ac:dyDescent="0.35">
      <c r="A21" s="182"/>
      <c r="B21" s="27" t="s">
        <v>107</v>
      </c>
      <c r="C21" s="9"/>
      <c r="D21" s="522" t="str">
        <f>IFERROR(INPUT!D17/INPUT!D9,"–")</f>
        <v>–</v>
      </c>
      <c r="E21" s="221">
        <f>IFERROR(INPUT!E17/INPUT!E9,"–")</f>
        <v>0.22980517261023128</v>
      </c>
      <c r="F21" s="221">
        <f>IFERROR(INPUT!F17/INPUT!F9,"–")</f>
        <v>0.18171686953344449</v>
      </c>
      <c r="G21" s="221">
        <f>IFERROR(INPUT!G17/INPUT!G9,"–")</f>
        <v>0.1673482950769388</v>
      </c>
      <c r="H21" s="221">
        <f>IFERROR(INPUT!H17/INPUT!H9,"–")</f>
        <v>0.14124402228754443</v>
      </c>
    </row>
    <row r="22" spans="1:8" ht="15" customHeight="1" x14ac:dyDescent="0.35">
      <c r="A22" s="182"/>
      <c r="B22" s="27" t="s">
        <v>108</v>
      </c>
      <c r="C22" s="9"/>
      <c r="D22" s="522" t="str">
        <f>IFERROR(INPUT!D26/INPUT!D9,"–")</f>
        <v>–</v>
      </c>
      <c r="E22" s="221">
        <f>IFERROR(INPUT!E26/INPUT!E9,"–")</f>
        <v>0.13575633283961869</v>
      </c>
      <c r="F22" s="221">
        <f>IFERROR(INPUT!F26/INPUT!F9,"–")</f>
        <v>0.1110370184292859</v>
      </c>
      <c r="G22" s="221">
        <f>IFERROR(INPUT!G26/INPUT!G9,"–")</f>
        <v>9.8635039108430037E-2</v>
      </c>
      <c r="H22" s="221">
        <f>IFERROR(INPUT!H26/INPUT!H9,"–")</f>
        <v>8.1889176501557498E-2</v>
      </c>
    </row>
    <row r="23" spans="1:8" ht="15" customHeight="1" x14ac:dyDescent="0.35">
      <c r="A23" s="182"/>
      <c r="B23" s="27" t="s">
        <v>109</v>
      </c>
      <c r="C23" s="9"/>
      <c r="D23" s="522" t="str">
        <f>IFERROR(INPUT!D26/INPUT!D60,"–")</f>
        <v>–</v>
      </c>
      <c r="E23" s="221">
        <f>IFERROR(INPUT!E26/INPUT!E60,"–")</f>
        <v>0.24652583810922835</v>
      </c>
      <c r="F23" s="221">
        <f>IFERROR(INPUT!F26/INPUT!F60,"–")</f>
        <v>0.14973976779279974</v>
      </c>
      <c r="G23" s="221">
        <f>IFERROR(INPUT!G26/INPUT!G60,"–")</f>
        <v>0.10822180590300759</v>
      </c>
      <c r="H23" s="221">
        <f>IFERROR(INPUT!H26/INPUT!H60,"–")</f>
        <v>8.6853340468351928E-2</v>
      </c>
    </row>
    <row r="24" spans="1:8" ht="15" customHeight="1" x14ac:dyDescent="0.35">
      <c r="A24" s="182"/>
      <c r="B24" s="27" t="s">
        <v>110</v>
      </c>
      <c r="C24" s="9"/>
      <c r="D24" s="522" t="str">
        <f>IFERROR(INPUT!D26/INPUT!D44,"–")</f>
        <v>–</v>
      </c>
      <c r="E24" s="221">
        <f>IFERROR(INPUT!E26/INPUT!E44,"–")</f>
        <v>0.16267703061856045</v>
      </c>
      <c r="F24" s="221">
        <f>IFERROR(INPUT!F26/INPUT!F44,"–")</f>
        <v>0.1144526413415501</v>
      </c>
      <c r="G24" s="221">
        <f>IFERROR(INPUT!G26/INPUT!G44,"–")</f>
        <v>9.2960284460204962E-2</v>
      </c>
      <c r="H24" s="221">
        <f>IFERROR(INPUT!H26/INPUT!H44,"–")</f>
        <v>7.0498475019593401E-2</v>
      </c>
    </row>
    <row r="25" spans="1:8" ht="15" customHeight="1" x14ac:dyDescent="0.35">
      <c r="A25" s="182"/>
      <c r="B25" s="27" t="s">
        <v>111</v>
      </c>
      <c r="C25" s="9"/>
      <c r="D25" s="524" t="str">
        <f>IFERROR(INPUT!D17*(1-INPUT!D104)/(INPUT!D58+INPUT!D59),"–")</f>
        <v>–</v>
      </c>
      <c r="E25" s="222">
        <f>IFERROR(INPUT!E17*(1-INPUT!E104)/(INPUT!E58+INPUT!E59),"–")</f>
        <v>0.25038793370988766</v>
      </c>
      <c r="F25" s="222">
        <f>IFERROR(INPUT!F17*(1-INPUT!F104)/(INPUT!F58+INPUT!F59),"–")</f>
        <v>0.15107677004095965</v>
      </c>
      <c r="G25" s="222">
        <f>IFERROR(INPUT!G17*(1-INPUT!G104)/(INPUT!G58+INPUT!G59),"–")</f>
        <v>0.11016816055462694</v>
      </c>
      <c r="H25" s="222">
        <f>IFERROR(INPUT!H17*(1-INPUT!H104)/(INPUT!H58+INPUT!H59),"–")</f>
        <v>9.2011034073591527E-2</v>
      </c>
    </row>
    <row r="26" spans="1:8" ht="15" customHeight="1" x14ac:dyDescent="0.35">
      <c r="A26" s="182"/>
      <c r="B26" s="28"/>
      <c r="C26" s="9"/>
      <c r="D26" s="400"/>
      <c r="E26" s="30"/>
      <c r="F26" s="30"/>
      <c r="G26" s="30"/>
      <c r="H26" s="30"/>
    </row>
    <row r="27" spans="1:8" ht="18" customHeight="1" x14ac:dyDescent="0.5">
      <c r="A27" s="183" t="s">
        <v>5</v>
      </c>
      <c r="B27" s="47" t="s">
        <v>112</v>
      </c>
      <c r="C27" s="42"/>
      <c r="D27" s="401"/>
      <c r="E27" s="23"/>
      <c r="F27" s="23"/>
      <c r="G27" s="23"/>
      <c r="H27" s="23"/>
    </row>
    <row r="28" spans="1:8" ht="18" customHeight="1" x14ac:dyDescent="0.5">
      <c r="A28" s="183"/>
      <c r="B28" s="105"/>
      <c r="C28" s="104"/>
      <c r="D28" s="403"/>
      <c r="E28" s="101"/>
      <c r="F28" s="101"/>
      <c r="G28" s="101"/>
      <c r="H28" s="101"/>
    </row>
    <row r="29" spans="1:8" ht="15" customHeight="1" x14ac:dyDescent="0.35">
      <c r="A29" s="182"/>
      <c r="B29" s="27" t="s">
        <v>113</v>
      </c>
      <c r="C29" s="9"/>
      <c r="D29" s="520" t="str">
        <f>IFERROR(INPUT!D38/INPUT!D51,"–")</f>
        <v>–</v>
      </c>
      <c r="E29" s="220">
        <f>IFERROR(INPUT!E38/INPUT!E51,"–")</f>
        <v>0.75828995020371204</v>
      </c>
      <c r="F29" s="220">
        <f>IFERROR(INPUT!F38/INPUT!F51,"–")</f>
        <v>0.83185357515905423</v>
      </c>
      <c r="G29" s="220">
        <f>IFERROR(INPUT!G38/INPUT!G51,"–")</f>
        <v>0.77458981706506103</v>
      </c>
      <c r="H29" s="220">
        <f>IFERROR(INPUT!H38/INPUT!H51,"–")</f>
        <v>0.68726890367905347</v>
      </c>
    </row>
    <row r="30" spans="1:8" ht="15" customHeight="1" x14ac:dyDescent="0.35">
      <c r="A30" s="182"/>
      <c r="B30" s="27" t="s">
        <v>114</v>
      </c>
      <c r="C30" s="9"/>
      <c r="D30" s="520" t="str">
        <f>IFERROR((INPUT!D38-INPUT!D36)/INPUT!D51,"–")</f>
        <v>–</v>
      </c>
      <c r="E30" s="220">
        <f>IFERROR((INPUT!E38-INPUT!E36)/INPUT!E51,"–")</f>
        <v>0.54197789346612346</v>
      </c>
      <c r="F30" s="220">
        <f>IFERROR((INPUT!F38-INPUT!F36)/INPUT!F51,"–")</f>
        <v>0.6025662330263033</v>
      </c>
      <c r="G30" s="220">
        <f>IFERROR((INPUT!G38-INPUT!G36)/INPUT!G51,"–")</f>
        <v>0.54645918725138143</v>
      </c>
      <c r="H30" s="220">
        <f>IFERROR((INPUT!H38-INPUT!H36)/INPUT!H51,"–")</f>
        <v>0.4947310038824182</v>
      </c>
    </row>
    <row r="31" spans="1:8" ht="15" customHeight="1" x14ac:dyDescent="0.35">
      <c r="A31" s="182"/>
      <c r="B31" s="27" t="s">
        <v>115</v>
      </c>
      <c r="C31" s="9"/>
      <c r="D31" s="520" t="str">
        <f>IFERROR(INPUT!D34/INPUT!D51,"–")</f>
        <v>–</v>
      </c>
      <c r="E31" s="220">
        <f>IFERROR(INPUT!E34/INPUT!E51,"–")</f>
        <v>0.31147200845027917</v>
      </c>
      <c r="F31" s="220">
        <f>IFERROR(INPUT!F34/INPUT!F51,"–")</f>
        <v>0.32360412116608112</v>
      </c>
      <c r="G31" s="220">
        <f>IFERROR(INPUT!G34/INPUT!G51,"–")</f>
        <v>0.31247657392965528</v>
      </c>
      <c r="H31" s="220">
        <f>IFERROR(INPUT!H34/INPUT!H51,"–")</f>
        <v>0.27907191717507857</v>
      </c>
    </row>
    <row r="32" spans="1:8" ht="15" customHeight="1" x14ac:dyDescent="0.35">
      <c r="A32" s="182"/>
      <c r="B32" s="27" t="s">
        <v>116</v>
      </c>
      <c r="C32" s="9"/>
      <c r="D32" s="520" t="str">
        <f>IFERROR((INPUT!D49+INPUT!D55)/INPUT!D60,"–")</f>
        <v>–</v>
      </c>
      <c r="E32" s="220">
        <f>IFERROR((INPUT!E49+INPUT!E55)/INPUT!E60,"–")</f>
        <v>1.119524962241119</v>
      </c>
      <c r="F32" s="220">
        <f>IFERROR((INPUT!F49+INPUT!F55)/INPUT!F60,"–")</f>
        <v>0.84076252656216321</v>
      </c>
      <c r="G32" s="220">
        <f>IFERROR((INPUT!G49+INPUT!G55)/INPUT!G60,"–")</f>
        <v>0.76557364175856224</v>
      </c>
      <c r="H32" s="220">
        <f>IFERROR((INPUT!H49+INPUT!H55)/INPUT!H60,"–")</f>
        <v>0.84342899687067396</v>
      </c>
    </row>
    <row r="33" spans="1:8" ht="15" customHeight="1" x14ac:dyDescent="0.35">
      <c r="A33" s="182"/>
      <c r="B33" s="27" t="s">
        <v>117</v>
      </c>
      <c r="C33" s="9"/>
      <c r="D33" s="520" t="str">
        <f>IFERROR((INPUT!D49+INPUT!D55-INPUT!D34)/INPUT!D30,"–")</f>
        <v>–</v>
      </c>
      <c r="E33" s="220">
        <f>IFERROR((INPUT!E49+INPUT!E55-INPUT!E34)/INPUT!E30,"–")</f>
        <v>1.742876398436447</v>
      </c>
      <c r="F33" s="220">
        <f>IFERROR((INPUT!F49+INPUT!F55-INPUT!F34)/INPUT!F30,"–")</f>
        <v>2.037888963510186</v>
      </c>
      <c r="G33" s="220">
        <f>IFERROR((INPUT!G49+INPUT!G55-INPUT!G34)/INPUT!G30,"–")</f>
        <v>2.4135945203088869</v>
      </c>
      <c r="H33" s="220">
        <f>IFERROR((INPUT!H49+INPUT!H55-INPUT!H34)/INPUT!H30,"–")</f>
        <v>3.0516640573708398</v>
      </c>
    </row>
    <row r="34" spans="1:8" ht="15" customHeight="1" x14ac:dyDescent="0.35">
      <c r="A34" s="182"/>
      <c r="B34" s="27" t="s">
        <v>118</v>
      </c>
      <c r="C34" s="9"/>
      <c r="D34" s="520" t="str">
        <f>IFERROR(INPUT!D17/ABS(INPUT!D20),"–")</f>
        <v>–</v>
      </c>
      <c r="E34" s="220">
        <f>IFERROR(INPUT!E17/ABS(INPUT!E20),"–")</f>
        <v>29.147398843930635</v>
      </c>
      <c r="F34" s="220">
        <f>IFERROR(INPUT!F17/ABS(INPUT!F20),"–")</f>
        <v>18.479331165815143</v>
      </c>
      <c r="G34" s="220">
        <f>IFERROR(INPUT!G17/ABS(INPUT!G20),"–")</f>
        <v>13.847292724196278</v>
      </c>
      <c r="H34" s="220">
        <f>IFERROR(INPUT!H17/ABS(INPUT!H20),"–")</f>
        <v>10.068412822517592</v>
      </c>
    </row>
    <row r="35" spans="1:8" ht="15" customHeight="1" x14ac:dyDescent="0.35">
      <c r="A35" s="182"/>
      <c r="B35" s="27" t="s">
        <v>119</v>
      </c>
      <c r="C35" s="9"/>
      <c r="D35" s="520" t="str">
        <f>IFERROR((INPUT!D49+INPUT!D55)/INPUT!D44,"–")</f>
        <v>–</v>
      </c>
      <c r="E35" s="220">
        <f>IFERROR((INPUT!E49+INPUT!E55)/INPUT!E44,"–")</f>
        <v>0.73875013652746935</v>
      </c>
      <c r="F35" s="220">
        <f>IFERROR((INPUT!F49+INPUT!F55)/INPUT!F44,"–")</f>
        <v>0.64263150213501186</v>
      </c>
      <c r="G35" s="220">
        <f>IFERROR((INPUT!G49+INPUT!G55)/INPUT!G44,"–")</f>
        <v>0.65761186407196304</v>
      </c>
      <c r="H35" s="220">
        <f>IFERROR((INPUT!H49+INPUT!H55)/INPUT!H44,"–")</f>
        <v>0.68460761262664893</v>
      </c>
    </row>
    <row r="36" spans="1:8" ht="15" customHeight="1" x14ac:dyDescent="0.35">
      <c r="A36" s="182"/>
      <c r="B36" s="27" t="s">
        <v>120</v>
      </c>
      <c r="C36" s="9"/>
      <c r="D36" s="525" t="str">
        <f>IFERROR(INPUT!D60/INPUT!D44,"–")</f>
        <v>–</v>
      </c>
      <c r="E36" s="223">
        <f>IFERROR(INPUT!E60/INPUT!E44,"–")</f>
        <v>0.65987821749736042</v>
      </c>
      <c r="F36" s="223">
        <f>IFERROR(INPUT!F60/INPUT!F44,"–")</f>
        <v>0.76434365451883379</v>
      </c>
      <c r="G36" s="223">
        <f>IFERROR(INPUT!G60/INPUT!G44,"–")</f>
        <v>0.85897923883768323</v>
      </c>
      <c r="H36" s="223">
        <f>IFERROR(INPUT!H60/INPUT!H44,"–")</f>
        <v>0.81169560824528109</v>
      </c>
    </row>
    <row r="37" spans="1:8" ht="15" customHeight="1" x14ac:dyDescent="0.35">
      <c r="A37" s="182"/>
      <c r="B37" s="28"/>
      <c r="C37" s="9"/>
      <c r="D37" s="526"/>
      <c r="E37" s="30"/>
      <c r="F37" s="30"/>
      <c r="G37" s="30"/>
      <c r="H37" s="30"/>
    </row>
    <row r="38" spans="1:8" ht="18" customHeight="1" x14ac:dyDescent="0.5">
      <c r="A38" s="183" t="s">
        <v>5</v>
      </c>
      <c r="B38" s="47" t="s">
        <v>121</v>
      </c>
      <c r="C38" s="42"/>
      <c r="D38" s="401"/>
      <c r="E38" s="23"/>
      <c r="F38" s="23"/>
      <c r="G38" s="23"/>
      <c r="H38" s="23"/>
    </row>
    <row r="39" spans="1:8" ht="18" customHeight="1" x14ac:dyDescent="0.5">
      <c r="A39" s="183"/>
      <c r="B39" s="105"/>
      <c r="C39" s="104"/>
      <c r="D39" s="403"/>
      <c r="E39" s="101"/>
      <c r="F39" s="101"/>
      <c r="G39" s="101"/>
      <c r="H39" s="101"/>
    </row>
    <row r="40" spans="1:8" ht="15" customHeight="1" x14ac:dyDescent="0.35">
      <c r="A40" s="182"/>
      <c r="B40" s="27" t="s">
        <v>122</v>
      </c>
      <c r="C40" s="9"/>
      <c r="D40" s="520" t="str">
        <f>IFERROR(INPUT!D9/INPUT!D44,"–")</f>
        <v>–</v>
      </c>
      <c r="E40" s="220">
        <f>IFERROR(INPUT!E9/INPUT!E44,"–")</f>
        <v>1.1983015982815743</v>
      </c>
      <c r="F40" s="220">
        <f>IFERROR(INPUT!F9/INPUT!F44,"–")</f>
        <v>1.0307611187744514</v>
      </c>
      <c r="G40" s="220">
        <f>IFERROR(INPUT!G9/INPUT!G44,"–")</f>
        <v>0.94246715265163739</v>
      </c>
      <c r="H40" s="220">
        <f>IFERROR(INPUT!H9/INPUT!H44,"–")</f>
        <v>0.86090101319131662</v>
      </c>
    </row>
    <row r="41" spans="1:8" ht="15" customHeight="1" x14ac:dyDescent="0.35">
      <c r="A41" s="182"/>
      <c r="B41" s="28"/>
      <c r="C41" s="9"/>
      <c r="D41" s="400"/>
      <c r="E41" s="30"/>
      <c r="F41" s="30"/>
      <c r="G41" s="30"/>
      <c r="H41" s="30"/>
    </row>
    <row r="42" spans="1:8" ht="18" customHeight="1" x14ac:dyDescent="0.5">
      <c r="A42" s="183" t="s">
        <v>5</v>
      </c>
      <c r="B42" s="47" t="s">
        <v>123</v>
      </c>
      <c r="C42" s="42"/>
      <c r="D42" s="401"/>
      <c r="E42" s="23"/>
      <c r="F42" s="23"/>
      <c r="G42" s="23"/>
      <c r="H42" s="23"/>
    </row>
    <row r="43" spans="1:8" ht="18" customHeight="1" x14ac:dyDescent="0.5">
      <c r="A43" s="183"/>
      <c r="B43" s="105"/>
      <c r="C43" s="104"/>
      <c r="D43" s="403"/>
      <c r="E43" s="101"/>
      <c r="F43" s="101"/>
      <c r="G43" s="101"/>
      <c r="H43" s="101"/>
    </row>
    <row r="44" spans="1:8" ht="15" customHeight="1" x14ac:dyDescent="0.35">
      <c r="A44" s="182"/>
      <c r="B44" s="27" t="s">
        <v>124</v>
      </c>
      <c r="C44" s="9"/>
      <c r="D44" s="522" t="s">
        <v>125</v>
      </c>
      <c r="E44" s="221" t="str">
        <f>IFERROR(INPUT!E9/INPUT!D9-1,"–")</f>
        <v>–</v>
      </c>
      <c r="F44" s="221">
        <f>IFERROR(INPUT!F9/INPUT!E9-1,"–")</f>
        <v>-0.16848961300368392</v>
      </c>
      <c r="G44" s="221">
        <f>IFERROR(INPUT!G9/INPUT!F9-1,"–")</f>
        <v>-0.10657927790084265</v>
      </c>
      <c r="H44" s="221">
        <f>IFERROR(INPUT!H9/INPUT!G9-1,"–")</f>
        <v>-6.7818618680026588E-2</v>
      </c>
    </row>
    <row r="45" spans="1:8" ht="15" customHeight="1" x14ac:dyDescent="0.35">
      <c r="A45" s="182"/>
      <c r="B45" s="27" t="s">
        <v>126</v>
      </c>
      <c r="C45" s="9"/>
      <c r="D45" s="522" t="s">
        <v>125</v>
      </c>
      <c r="E45" s="221" t="str">
        <f>IFERROR(INPUT!E30/INPUT!D30-1,"–")</f>
        <v>–</v>
      </c>
      <c r="F45" s="221">
        <f>IFERROR(INPUT!F30/INPUT!E30-1,"–")</f>
        <v>-0.27747674888799034</v>
      </c>
      <c r="G45" s="221">
        <f>IFERROR(INPUT!G30/INPUT!F30-1,"–")</f>
        <v>-0.14480262666965149</v>
      </c>
      <c r="H45" s="221">
        <f>IFERROR(INPUT!H30/INPUT!G30-1,"–")</f>
        <v>-0.13611971554469704</v>
      </c>
    </row>
    <row r="46" spans="1:8" ht="15" customHeight="1" x14ac:dyDescent="0.35">
      <c r="A46" s="182"/>
      <c r="B46" s="27" t="s">
        <v>127</v>
      </c>
      <c r="C46" s="9"/>
      <c r="D46" s="522" t="s">
        <v>125</v>
      </c>
      <c r="E46" s="221" t="str">
        <f>IFERROR(INPUT!E26/INPUT!D26-1,"–")</f>
        <v>–</v>
      </c>
      <c r="F46" s="221">
        <f>IFERROR(INPUT!F26/INPUT!E26-1,"–")</f>
        <v>-0.31989593241201808</v>
      </c>
      <c r="G46" s="221">
        <f>IFERROR(INPUT!G26/INPUT!F26-1,"–")</f>
        <v>-0.20636748796840931</v>
      </c>
      <c r="H46" s="221">
        <f>IFERROR(INPUT!H26/INPUT!G26-1,"–")</f>
        <v>-0.22608064683321238</v>
      </c>
    </row>
    <row r="47" spans="1:8" ht="15" customHeight="1" x14ac:dyDescent="0.35">
      <c r="A47" s="182"/>
      <c r="B47" s="27" t="s">
        <v>128</v>
      </c>
      <c r="C47" s="9"/>
      <c r="D47" s="522" t="s">
        <v>125</v>
      </c>
      <c r="E47" s="221" t="str">
        <f>IFERROR((INPUT!E26/INPUT!E96)/(INPUT!D26/INPUT!D96)-1,"–")</f>
        <v>–</v>
      </c>
      <c r="F47" s="221">
        <f>IFERROR((INPUT!F26/INPUT!F96)/(INPUT!E26/INPUT!E96)-1,"–")</f>
        <v>-0.30260624448623763</v>
      </c>
      <c r="G47" s="221">
        <f>IFERROR((INPUT!G26/INPUT!G96)/(INPUT!F26/INPUT!F96)-1,"–")</f>
        <v>-0.18550682030402754</v>
      </c>
      <c r="H47" s="221">
        <f>IFERROR((INPUT!H26/INPUT!H96)/(INPUT!G26/INPUT!G96)-1,"–")</f>
        <v>4.5901915474018642</v>
      </c>
    </row>
    <row r="48" spans="1:8" ht="15" customHeight="1" x14ac:dyDescent="0.35">
      <c r="A48" s="182"/>
      <c r="B48" s="27" t="s">
        <v>129</v>
      </c>
      <c r="C48" s="9"/>
      <c r="D48" s="524" t="s">
        <v>125</v>
      </c>
      <c r="E48" s="222" t="str">
        <f>IFERROR(INPUT!E44/INPUT!D44-1,"–")</f>
        <v>–</v>
      </c>
      <c r="F48" s="222">
        <f>IFERROR(INPUT!F44/INPUT!E44-1,"–")</f>
        <v>-3.3335457093967347E-2</v>
      </c>
      <c r="G48" s="222">
        <f>IFERROR(INPUT!G44/INPUT!F44-1,"–")</f>
        <v>-2.2880170989261428E-2</v>
      </c>
      <c r="H48" s="222">
        <f>IFERROR(INPUT!H44/INPUT!G44-1,"–")</f>
        <v>2.0500985299998664E-2</v>
      </c>
    </row>
    <row r="49" spans="1:8" ht="15" customHeight="1" x14ac:dyDescent="0.35">
      <c r="A49" s="182"/>
      <c r="B49" s="28"/>
      <c r="C49" s="9"/>
      <c r="D49" s="400"/>
      <c r="E49" s="30"/>
      <c r="F49" s="30"/>
      <c r="G49" s="30"/>
      <c r="H49" s="30"/>
    </row>
    <row r="50" spans="1:8" ht="18" customHeight="1" x14ac:dyDescent="0.5">
      <c r="A50" s="183" t="s">
        <v>5</v>
      </c>
      <c r="B50" s="47" t="s">
        <v>130</v>
      </c>
      <c r="C50" s="42"/>
      <c r="D50" s="401"/>
      <c r="E50" s="23"/>
      <c r="F50" s="23"/>
      <c r="G50" s="23"/>
      <c r="H50" s="23"/>
    </row>
    <row r="51" spans="1:8" ht="18" customHeight="1" x14ac:dyDescent="0.5">
      <c r="A51" s="183"/>
      <c r="B51" s="105"/>
      <c r="C51" s="104"/>
      <c r="D51" s="403"/>
      <c r="E51" s="101"/>
      <c r="F51" s="101"/>
      <c r="G51" s="101"/>
      <c r="H51" s="101"/>
    </row>
    <row r="52" spans="1:8" ht="15" customHeight="1" x14ac:dyDescent="0.35">
      <c r="A52" s="182"/>
      <c r="B52" s="27" t="s">
        <v>131</v>
      </c>
      <c r="C52" s="9"/>
      <c r="D52" s="522" t="str">
        <f>IFERROR(INPUT!D75/INPUT!D9,"–")</f>
        <v>–</v>
      </c>
      <c r="E52" s="221">
        <f>IFERROR(INPUT!E75/INPUT!E9,"–")</f>
        <v>0.20725380729938095</v>
      </c>
      <c r="F52" s="221">
        <f>IFERROR(INPUT!F75/INPUT!F9,"–")</f>
        <v>0.13980680079472013</v>
      </c>
      <c r="G52" s="221">
        <f>IFERROR(INPUT!G75/INPUT!G9,"–")</f>
        <v>0.19864015132150709</v>
      </c>
      <c r="H52" s="221">
        <f>IFERROR(INPUT!H75/INPUT!H9,"–")</f>
        <v>0.14927280305356908</v>
      </c>
    </row>
    <row r="53" spans="1:8" ht="15" customHeight="1" x14ac:dyDescent="0.35">
      <c r="A53" s="182"/>
      <c r="B53" s="59" t="s">
        <v>132</v>
      </c>
      <c r="C53" s="11"/>
      <c r="D53" s="523">
        <f>IFERROR(INPUT!D75+INPUT!D78,"–")</f>
        <v>0</v>
      </c>
      <c r="E53" s="224">
        <f>IFERROR(INPUT!E75+INPUT!E78,"–")</f>
        <v>38882</v>
      </c>
      <c r="F53" s="224">
        <f>IFERROR(INPUT!F75+INPUT!F78,"–")</f>
        <v>12888</v>
      </c>
      <c r="G53" s="224">
        <f>IFERROR(INPUT!G75+INPUT!G78,"–")</f>
        <v>23947</v>
      </c>
      <c r="H53" s="224">
        <f>IFERROR(INPUT!H75+INPUT!H78,"–")</f>
        <v>10266</v>
      </c>
    </row>
    <row r="54" spans="1:8" ht="15" customHeight="1" x14ac:dyDescent="0.35">
      <c r="A54" s="182"/>
      <c r="B54" s="27" t="s">
        <v>133</v>
      </c>
      <c r="C54" s="9"/>
      <c r="D54" s="522" t="str">
        <f>IFERROR(D53/INPUT!D9,"–")</f>
        <v>–</v>
      </c>
      <c r="E54" s="221">
        <f>IFERROR(E53/INPUT!E9,"–")</f>
        <v>0.1476662489081311</v>
      </c>
      <c r="F54" s="221">
        <f>IFERROR(F53/INPUT!F9,"–")</f>
        <v>5.8864098289524769E-2</v>
      </c>
      <c r="G54" s="221">
        <f>IFERROR(G53/INPUT!G9,"–")</f>
        <v>0.12242216655590205</v>
      </c>
      <c r="H54" s="221">
        <f>IFERROR(H53/INPUT!H9,"–")</f>
        <v>5.6300179879787651E-2</v>
      </c>
    </row>
    <row r="55" spans="1:8" ht="15" customHeight="1" x14ac:dyDescent="0.35">
      <c r="A55" s="182"/>
      <c r="B55" s="27" t="s">
        <v>134</v>
      </c>
      <c r="C55" s="9"/>
      <c r="D55" s="522" t="str">
        <f>IFERROR(ABS(INPUT!D78)/INPUT!D9,"–")</f>
        <v>–</v>
      </c>
      <c r="E55" s="221">
        <f>IFERROR(ABS(INPUT!E78)/INPUT!E9,"–")</f>
        <v>5.9587558391249858E-2</v>
      </c>
      <c r="F55" s="221">
        <f>IFERROR(ABS(INPUT!F78)/INPUT!F9,"–")</f>
        <v>8.0942702505195363E-2</v>
      </c>
      <c r="G55" s="221">
        <f>IFERROR(ABS(INPUT!G78)/INPUT!G9,"–")</f>
        <v>7.6217984765605026E-2</v>
      </c>
      <c r="H55" s="221">
        <f>IFERROR(ABS(INPUT!H78)/INPUT!H9,"–")</f>
        <v>9.2972623173781424E-2</v>
      </c>
    </row>
    <row r="56" spans="1:8" ht="15" customHeight="1" x14ac:dyDescent="0.35">
      <c r="A56" s="182"/>
      <c r="B56" s="27" t="s">
        <v>135</v>
      </c>
      <c r="C56" s="9"/>
      <c r="D56" s="522" t="str">
        <f>IFERROR(ABS(INPUT!D85)/INPUT!D26,"–")</f>
        <v>–</v>
      </c>
      <c r="E56" s="221">
        <f>IFERROR(ABS(INPUT!E85)/INPUT!E26,"–")</f>
        <v>0.21571644379790747</v>
      </c>
      <c r="F56" s="221">
        <f>IFERROR(ABS(INPUT!F85)/INPUT!F26,"–")</f>
        <v>0.3770721072765415</v>
      </c>
      <c r="G56" s="221">
        <f>IFERROR(ABS(INPUT!G85)/INPUT!G26,"–")</f>
        <v>0.41437752669223593</v>
      </c>
      <c r="H56" s="221">
        <f>IFERROR(ABS(INPUT!H85)/INPUT!H26,"–")</f>
        <v>0.51660862577015809</v>
      </c>
    </row>
    <row r="57" spans="1:8" ht="15" customHeight="1" x14ac:dyDescent="0.35">
      <c r="A57" s="182"/>
      <c r="B57" s="14"/>
      <c r="C57" s="9"/>
      <c r="D57" s="400"/>
      <c r="E57" s="22"/>
      <c r="F57" s="22"/>
      <c r="G57" s="22"/>
      <c r="H57" s="22"/>
    </row>
    <row r="58" spans="1:8" ht="15" customHeight="1" x14ac:dyDescent="0.35">
      <c r="A58" s="182"/>
      <c r="B58" s="415" t="s">
        <v>435</v>
      </c>
      <c r="C58" s="454"/>
      <c r="D58" s="415"/>
      <c r="E58" s="415"/>
      <c r="F58" s="415"/>
      <c r="G58" s="415"/>
      <c r="H58" s="415"/>
    </row>
    <row r="59" spans="1:8" ht="15" customHeight="1" x14ac:dyDescent="0.35">
      <c r="A59" s="182"/>
      <c r="B59" s="14"/>
      <c r="C59" s="9"/>
      <c r="D59" s="400"/>
      <c r="E59" s="22"/>
      <c r="F59" s="22"/>
      <c r="G59" s="22"/>
      <c r="H59" s="22"/>
    </row>
    <row r="60" spans="1:8" ht="15" customHeight="1" x14ac:dyDescent="0.35">
      <c r="A60" s="182"/>
      <c r="B60" s="416" t="s">
        <v>389</v>
      </c>
      <c r="C60" s="417"/>
      <c r="D60" s="400"/>
      <c r="E60" s="455">
        <f>IFERROR((INPUT!E49+INPUT!E55-INPUT!E34)/(INPUT!E30+ABS(INPUT!E15)),"–")</f>
        <v>1.6735132336763088</v>
      </c>
      <c r="F60" s="455">
        <f>IFERROR((INPUT!F49+INPUT!F55-INPUT!F34)/(INPUT!F30+ABS(INPUT!F15)),"–")</f>
        <v>1.89739982283362</v>
      </c>
      <c r="G60" s="455">
        <f>IFERROR((INPUT!G49+INPUT!G55-INPUT!G34)/(INPUT!G30+ABS(INPUT!G15)),"–")</f>
        <v>2.196101782382597</v>
      </c>
      <c r="H60" s="456">
        <f>IFERROR((INPUT!H49+INPUT!H55-INPUT!H34)/(INPUT!H30+ABS(INPUT!H15)),"–")</f>
        <v>2.626475126594658</v>
      </c>
    </row>
    <row r="61" spans="1:8" ht="15" customHeight="1" x14ac:dyDescent="0.35">
      <c r="A61" s="182"/>
      <c r="B61" s="416" t="s">
        <v>436</v>
      </c>
      <c r="C61" s="417"/>
      <c r="D61" s="400"/>
      <c r="E61" s="455">
        <f>IFERROR(ABS(INPUT!E78)/ABS(INPUT!E16),"–")</f>
        <v>1.1469298245614035</v>
      </c>
      <c r="F61" s="455">
        <f>IFERROR(ABS(INPUT!F78)/ABS(INPUT!F16),"–")</f>
        <v>1.2825300332899117</v>
      </c>
      <c r="G61" s="455">
        <f>IFERROR(ABS(INPUT!G78)/ABS(INPUT!G16),"–")</f>
        <v>1.1374837872892347</v>
      </c>
      <c r="H61" s="456">
        <f>IFERROR(ABS(INPUT!H78)/ABS(INPUT!H16),"–")</f>
        <v>1.2243085144796706</v>
      </c>
    </row>
    <row r="62" spans="1:8" ht="15" customHeight="1" x14ac:dyDescent="0.35">
      <c r="A62" s="182"/>
      <c r="B62" s="416" t="s">
        <v>437</v>
      </c>
      <c r="C62" s="417"/>
      <c r="D62" s="400"/>
      <c r="E62" s="419">
        <f>IFERROR(INPUT!E75+ABS(INPUT!E20)*(1-INPUT!E104),"–")</f>
        <v>55817.599999999999</v>
      </c>
      <c r="F62" s="419">
        <f>IFERROR(INPUT!F75+ABS(INPUT!F20)*(1-INPUT!F104),"–")</f>
        <v>31937.324499999999</v>
      </c>
      <c r="G62" s="419">
        <f>IFERROR(INPUT!G75+ABS(INPUT!G20)*(1-INPUT!G104),"–")</f>
        <v>40274.400000000001</v>
      </c>
      <c r="H62" s="457">
        <f>IFERROR(INPUT!H75+ABS(INPUT!H20)*(1-INPUT!H104),"–")</f>
        <v>28790.123599999999</v>
      </c>
    </row>
    <row r="63" spans="1:8" ht="15" customHeight="1" x14ac:dyDescent="0.35">
      <c r="A63" s="182"/>
      <c r="B63" s="416" t="s">
        <v>438</v>
      </c>
      <c r="C63" s="417"/>
      <c r="D63" s="400"/>
      <c r="E63" s="419">
        <f>IFERROR(INPUT!E30+ABS(INPUT!E15),"–")</f>
        <v>77265</v>
      </c>
      <c r="F63" s="419">
        <f>IFERROR(INPUT!F30+ABS(INPUT!F15),"–")</f>
        <v>57573</v>
      </c>
      <c r="G63" s="419">
        <f>IFERROR(INPUT!G30+ABS(INPUT!G15),"–")</f>
        <v>50382</v>
      </c>
      <c r="H63" s="457">
        <f>IFERROR(INPUT!H30+ABS(INPUT!H15),"–")</f>
        <v>46013</v>
      </c>
    </row>
    <row r="64" spans="1:8" ht="15" customHeight="1" x14ac:dyDescent="0.35">
      <c r="A64" s="182"/>
      <c r="B64" s="416" t="s">
        <v>439</v>
      </c>
      <c r="C64" s="417"/>
      <c r="D64" s="400"/>
      <c r="E64" s="421">
        <f>IFERROR((INPUT!E75+INPUT!E78)/INPUT!E97,"–")</f>
        <v>1.8445409046704143E-2</v>
      </c>
      <c r="F64" s="421">
        <f>IFERROR((INPUT!F75+INPUT!F78)/INPUT!F97,"–")</f>
        <v>4.6572892105049193E-3</v>
      </c>
      <c r="G64" s="421">
        <f>IFERROR((INPUT!G75+INPUT!G78)/INPUT!G97,"–")</f>
        <v>6.8769585274630349E-3</v>
      </c>
      <c r="H64" s="420">
        <f>IFERROR((INPUT!H75+INPUT!H78)/INPUT!H97,"–")</f>
        <v>6.1947081566182109E-2</v>
      </c>
    </row>
    <row r="65" spans="1:8" ht="15" customHeight="1" x14ac:dyDescent="0.35">
      <c r="A65" s="182"/>
      <c r="B65" s="416" t="s">
        <v>440</v>
      </c>
      <c r="C65" s="417"/>
      <c r="D65" s="400"/>
      <c r="E65" s="421">
        <f>IFERROR((ABS(INPUT!E85)+ABS(INPUT!E86))/INPUT!E97,"–")</f>
        <v>6.5959818781280389E-3</v>
      </c>
      <c r="F65" s="421">
        <f>IFERROR((ABS(INPUT!F85)+ABS(INPUT!F86))/INPUT!F97,"–")</f>
        <v>6.4185886838134991E-3</v>
      </c>
      <c r="G65" s="421">
        <f>IFERROR((ABS(INPUT!G85)+ABS(INPUT!G86))/INPUT!G97,"–")</f>
        <v>2.3215155441604868E-3</v>
      </c>
      <c r="H65" s="420">
        <f>IFERROR((ABS(INPUT!H85)+ABS(INPUT!H86))/INPUT!H97,"–")</f>
        <v>5.222598781953109E-2</v>
      </c>
    </row>
    <row r="66" spans="1:8" ht="15" customHeight="1" x14ac:dyDescent="0.35">
      <c r="A66" s="182"/>
      <c r="B66" s="14"/>
      <c r="C66" s="9"/>
      <c r="D66" s="400"/>
      <c r="E66" s="22"/>
      <c r="F66" s="22"/>
      <c r="G66" s="22"/>
      <c r="H66" s="22"/>
    </row>
    <row r="67" spans="1:8" ht="15" customHeight="1" x14ac:dyDescent="0.35">
      <c r="A67" s="182"/>
      <c r="B67" s="14"/>
      <c r="C67" s="9"/>
      <c r="D67" s="400"/>
      <c r="E67" s="22"/>
      <c r="F67" s="22"/>
      <c r="G67" s="22"/>
      <c r="H67" s="22"/>
    </row>
    <row r="68" spans="1:8" ht="15" customHeight="1" x14ac:dyDescent="0.35">
      <c r="A68" s="182"/>
      <c r="B68" s="14"/>
      <c r="C68" s="9"/>
      <c r="D68" s="400"/>
      <c r="E68" s="22"/>
      <c r="F68" s="22"/>
      <c r="G68" s="22"/>
      <c r="H68" s="22"/>
    </row>
    <row r="69" spans="1:8" ht="15" customHeight="1" x14ac:dyDescent="0.35">
      <c r="A69" s="182"/>
      <c r="B69" s="14"/>
      <c r="C69" s="9"/>
      <c r="D69" s="400"/>
      <c r="E69" s="22"/>
      <c r="F69" s="22"/>
      <c r="G69" s="22"/>
      <c r="H69" s="22"/>
    </row>
    <row r="70" spans="1:8" ht="15" customHeight="1" x14ac:dyDescent="0.35">
      <c r="A70" s="181"/>
      <c r="B70" s="31" t="s">
        <v>95</v>
      </c>
      <c r="C70" s="2"/>
      <c r="D70" s="2"/>
      <c r="E70" s="78"/>
      <c r="F70" s="78"/>
      <c r="G70" s="78"/>
      <c r="H70" s="78"/>
    </row>
    <row r="71" spans="1:8" ht="15" customHeight="1" x14ac:dyDescent="0.35">
      <c r="A71" s="181"/>
      <c r="B71" s="31" t="s">
        <v>96</v>
      </c>
      <c r="C71" s="2"/>
      <c r="D71" s="2"/>
      <c r="E71" s="78"/>
      <c r="F71" s="78"/>
      <c r="G71" s="78"/>
      <c r="H71" s="78"/>
    </row>
    <row r="72" spans="1:8" ht="15" customHeight="1" x14ac:dyDescent="0.35">
      <c r="A72" s="181"/>
      <c r="B72" s="31" t="s">
        <v>97</v>
      </c>
      <c r="C72" s="2"/>
      <c r="D72" s="2"/>
      <c r="E72" s="78"/>
      <c r="F72" s="78"/>
      <c r="G72" s="78"/>
      <c r="H72" s="78"/>
    </row>
    <row r="73" spans="1:8" ht="15" customHeight="1" x14ac:dyDescent="0.3">
      <c r="B73" s="45"/>
      <c r="D73" s="208"/>
    </row>
    <row r="74" spans="1:8" ht="15" customHeight="1" x14ac:dyDescent="0.3">
      <c r="B74" s="45"/>
      <c r="D74" s="208"/>
    </row>
    <row r="75" spans="1:8" ht="15" customHeight="1" x14ac:dyDescent="0.3">
      <c r="B75" s="97" t="s">
        <v>136</v>
      </c>
      <c r="C75" s="99"/>
      <c r="D75" s="20"/>
      <c r="E75" s="100"/>
      <c r="F75" s="100"/>
      <c r="G75" s="100"/>
      <c r="H75" s="100"/>
    </row>
    <row r="76" spans="1:8" ht="15" customHeight="1" x14ac:dyDescent="0.3">
      <c r="B76" s="83" t="s">
        <v>101</v>
      </c>
      <c r="C76" s="83"/>
      <c r="D76" s="404" t="str">
        <f>IF(INPUT!D9="","",D5)</f>
        <v/>
      </c>
      <c r="E76" s="83">
        <f>IF(INPUT!E9="",NA(),E5)</f>
        <v>2022</v>
      </c>
      <c r="F76" s="83">
        <f>IF(INPUT!F9="",NA(),F5)</f>
        <v>2023</v>
      </c>
      <c r="G76" s="83">
        <f>IF(INPUT!G9="",NA(),G5)</f>
        <v>2024</v>
      </c>
      <c r="H76" s="83" t="str">
        <f>IF(INPUT!H9="",NA(),H5)</f>
        <v>2025 (LTM)</v>
      </c>
    </row>
    <row r="77" spans="1:8" ht="15" customHeight="1" x14ac:dyDescent="0.3">
      <c r="B77" s="45" t="s">
        <v>137</v>
      </c>
      <c r="D77" s="527" t="str">
        <f>IF(INPUT!D9="","",INPUT!D9)</f>
        <v/>
      </c>
      <c r="E77" s="225">
        <f>IF(INPUT!E9="",NA(),INPUT!E9)</f>
        <v>263310</v>
      </c>
      <c r="F77" s="225">
        <f>IF(INPUT!F9="",NA(),INPUT!F9)</f>
        <v>218945</v>
      </c>
      <c r="G77" s="225">
        <f>IF(INPUT!G9="",NA(),INPUT!G9)</f>
        <v>195610</v>
      </c>
      <c r="H77" s="225">
        <f>IF(INPUT!H9="",NA(),INPUT!H9)</f>
        <v>182344</v>
      </c>
    </row>
    <row r="78" spans="1:8" ht="15" customHeight="1" x14ac:dyDescent="0.3">
      <c r="B78" s="45" t="s">
        <v>138</v>
      </c>
      <c r="D78" s="527">
        <f>IF(INPUT!E9="",NA(),INPUT!E30)</f>
        <v>74190</v>
      </c>
      <c r="E78" s="225">
        <f>IF(INPUT!F9="",NA(),INPUT!F30)</f>
        <v>53604</v>
      </c>
      <c r="F78" s="225">
        <f>IF(INPUT!G9="",NA(),INPUT!G30)</f>
        <v>45842</v>
      </c>
      <c r="G78" s="225">
        <f>IF(INPUT!G9="",NA(),INPUT!G30)</f>
        <v>45842</v>
      </c>
      <c r="H78" s="225">
        <f>IF(INPUT!H9="",NA(),INPUT!H30)</f>
        <v>39602</v>
      </c>
    </row>
    <row r="79" spans="1:8" ht="15" customHeight="1" x14ac:dyDescent="0.3">
      <c r="B79" s="45" t="s">
        <v>139</v>
      </c>
      <c r="D79" s="527">
        <f>IF(INPUT!E9="",NA(),INPUT!E26)</f>
        <v>35746</v>
      </c>
      <c r="E79" s="225">
        <f>IF(INPUT!F9="",NA(),INPUT!F26)</f>
        <v>24311</v>
      </c>
      <c r="F79" s="225">
        <f>IF(INPUT!G9="",NA(),INPUT!G26)</f>
        <v>19294</v>
      </c>
      <c r="G79" s="225">
        <f>IF(INPUT!G9="",NA(),INPUT!G26)</f>
        <v>19294</v>
      </c>
      <c r="H79" s="225">
        <f>IF(INPUT!H9="",NA(),INPUT!H26)</f>
        <v>14932</v>
      </c>
    </row>
    <row r="80" spans="1:8" ht="15" customHeight="1" x14ac:dyDescent="0.35">
      <c r="B80" s="45" t="s">
        <v>140</v>
      </c>
      <c r="D80" s="527">
        <f>IF(INPUT!E9="",NA(),INPUT!D9+INPUT!E9)</f>
        <v>263310</v>
      </c>
      <c r="E80" s="225">
        <f>IF(INPUT!F9="",NA(),INPUT!D9+INPUT!E9+INPUT!F9)</f>
        <v>482255</v>
      </c>
      <c r="F80" s="225">
        <f>IF(INPUT!G9="",NA(),INPUT!D9+INPUT!E9+INPUT!F9+INPUT!G9)</f>
        <v>677865</v>
      </c>
      <c r="G80" s="304">
        <f>IF(INPUT!G9="",NA(),INPUT!D9+INPUT!E9+INPUT!F9+INPUT!G9)</f>
        <v>677865</v>
      </c>
      <c r="H80" s="225">
        <f>IF(INPUT!H9="",NA(),INPUT!D9+INPUT!E9+INPUT!F9+INPUT!G9+INPUT!H9)</f>
        <v>860209</v>
      </c>
    </row>
    <row r="81" spans="2:8" ht="15" customHeight="1" x14ac:dyDescent="0.3">
      <c r="B81" s="45"/>
      <c r="D81" s="208"/>
    </row>
    <row r="82" spans="2:8" ht="15" customHeight="1" x14ac:dyDescent="0.3">
      <c r="B82" s="45" t="s">
        <v>105</v>
      </c>
      <c r="D82" s="528" t="str">
        <f>IF(INPUT!D9="","",D19)</f>
        <v/>
      </c>
      <c r="E82" s="226">
        <f>IF(INPUT!E9="",NA(),E19)</f>
        <v>0.30842353119896698</v>
      </c>
      <c r="F82" s="226">
        <f>IF(INPUT!F9="",NA(),F19)</f>
        <v>0.28487976432437367</v>
      </c>
      <c r="G82" s="226">
        <f>IF(INPUT!G9="",NA(),G19)</f>
        <v>0.28389141659424366</v>
      </c>
      <c r="H82" s="226">
        <f>IF(INPUT!H9="",NA(),H19)</f>
        <v>0.28433619971043739</v>
      </c>
    </row>
    <row r="83" spans="2:8" ht="15" customHeight="1" x14ac:dyDescent="0.3">
      <c r="B83" s="45" t="s">
        <v>106</v>
      </c>
      <c r="D83" s="528" t="str">
        <f>IF(INPUT!D9="","",D20)</f>
        <v/>
      </c>
      <c r="E83" s="226">
        <f>IF(INPUT!E9="",NA(),E20)</f>
        <v>0.28175914321522161</v>
      </c>
      <c r="F83" s="226">
        <f>IF(INPUT!F9="",NA(),F20)</f>
        <v>0.24482860992486696</v>
      </c>
      <c r="G83" s="226">
        <f>IF(INPUT!G9="",NA(),G20)</f>
        <v>0.23435407187771587</v>
      </c>
      <c r="H83" s="226">
        <f>IF(INPUT!H9="",NA(),H20)</f>
        <v>0.21718290703286097</v>
      </c>
    </row>
    <row r="84" spans="2:8" ht="15" customHeight="1" x14ac:dyDescent="0.3">
      <c r="B84" s="45" t="s">
        <v>108</v>
      </c>
      <c r="D84" s="528" t="str">
        <f>IF(INPUT!D9="","",D22)</f>
        <v/>
      </c>
      <c r="E84" s="226">
        <f>IF(INPUT!E9="",NA(),E22)</f>
        <v>0.13575633283961869</v>
      </c>
      <c r="F84" s="226">
        <f>IF(INPUT!F9="",NA(),F22)</f>
        <v>0.1110370184292859</v>
      </c>
      <c r="G84" s="226">
        <f>IF(INPUT!G9="",NA(),G22)</f>
        <v>9.8635039108430037E-2</v>
      </c>
      <c r="H84" s="226">
        <f>IF(INPUT!H9="",NA(),H22)</f>
        <v>8.1889176501557498E-2</v>
      </c>
    </row>
    <row r="85" spans="2:8" ht="15" customHeight="1" x14ac:dyDescent="0.3">
      <c r="B85" s="45"/>
      <c r="D85" s="208"/>
    </row>
    <row r="86" spans="2:8" ht="15" customHeight="1" x14ac:dyDescent="0.3">
      <c r="D86"/>
      <c r="E86"/>
      <c r="F86"/>
      <c r="G86"/>
      <c r="H86"/>
    </row>
    <row r="87" spans="2:8" ht="15" customHeight="1" x14ac:dyDescent="0.3">
      <c r="B87" s="45" t="s">
        <v>141</v>
      </c>
      <c r="D87" s="529" t="str">
        <f>IF(INPUT!D9="","",ABS(INPUT!D14))</f>
        <v/>
      </c>
      <c r="E87" s="228">
        <f>IF(INPUT!E9="",NA(),ABS(INPUT!E14))</f>
        <v>3946</v>
      </c>
      <c r="F87" s="228">
        <f>IF(INPUT!F9="",NA(),ABS(INPUT!F14))</f>
        <v>4800</v>
      </c>
      <c r="G87" s="228">
        <f>IF(INPUT!G9="",NA(),ABS(INPUT!G14))</f>
        <v>5150</v>
      </c>
      <c r="H87" s="228">
        <f>IF(INPUT!H9="",NA(),ABS(INPUT!H14))</f>
        <v>5834</v>
      </c>
    </row>
    <row r="88" spans="2:8" ht="15" customHeight="1" x14ac:dyDescent="0.3">
      <c r="B88" s="45" t="s">
        <v>142</v>
      </c>
      <c r="D88" s="529" t="str">
        <f>IF(INPUT!D9="","",ABS(INPUT!D15))</f>
        <v/>
      </c>
      <c r="E88" s="228">
        <f>IF(INPUT!E9="",NA(),ABS(INPUT!E15))</f>
        <v>3075</v>
      </c>
      <c r="F88" s="228">
        <f>IF(INPUT!F9="",NA(),ABS(INPUT!F15))</f>
        <v>3969</v>
      </c>
      <c r="G88" s="228">
        <f>IF(INPUT!G9="",NA(),ABS(INPUT!G15))</f>
        <v>4540</v>
      </c>
      <c r="H88" s="228">
        <f>IF(INPUT!H9="",NA(),ABS(INPUT!H15))</f>
        <v>6411</v>
      </c>
    </row>
    <row r="89" spans="2:8" ht="15" customHeight="1" x14ac:dyDescent="0.3">
      <c r="B89" s="45" t="s">
        <v>143</v>
      </c>
      <c r="D89" s="529" t="str">
        <f>IF(INPUT!D9="","",ABS(INPUT!D16))</f>
        <v/>
      </c>
      <c r="E89" s="228">
        <f>IF(INPUT!E9="",NA(),ABS(INPUT!E16))</f>
        <v>13680</v>
      </c>
      <c r="F89" s="228">
        <f>IF(INPUT!F9="",NA(),ABS(INPUT!F16))</f>
        <v>13818</v>
      </c>
      <c r="G89" s="228">
        <f>IF(INPUT!G9="",NA(),ABS(INPUT!G16))</f>
        <v>13107</v>
      </c>
      <c r="H89" s="228">
        <f>IF(INPUT!H9="",NA(),ABS(INPUT!H16))</f>
        <v>13847</v>
      </c>
    </row>
    <row r="90" spans="2:8" ht="15" customHeight="1" x14ac:dyDescent="0.3">
      <c r="B90" s="45" t="s">
        <v>144</v>
      </c>
      <c r="D90" s="529" t="str">
        <f>IF(INPUT!D9="","",ABS(INPUT!D20))</f>
        <v/>
      </c>
      <c r="E90" s="228">
        <f>IF(INPUT!E9="",NA(),ABS(INPUT!E20))</f>
        <v>2076</v>
      </c>
      <c r="F90" s="228">
        <f>IF(INPUT!F9="",NA(),ABS(INPUT!F20))</f>
        <v>2153</v>
      </c>
      <c r="G90" s="228">
        <f>IF(INPUT!G9="",NA(),ABS(INPUT!G20))</f>
        <v>2364</v>
      </c>
      <c r="H90" s="228">
        <f>IF(INPUT!H9="",NA(),ABS(INPUT!H20))</f>
        <v>2558</v>
      </c>
    </row>
    <row r="91" spans="2:8" ht="15" customHeight="1" x14ac:dyDescent="0.3">
      <c r="B91" s="45"/>
      <c r="D91" s="208"/>
    </row>
    <row r="92" spans="2:8" ht="15" customHeight="1" x14ac:dyDescent="0.3">
      <c r="D92"/>
      <c r="E92"/>
      <c r="F92"/>
      <c r="G92"/>
      <c r="H92"/>
    </row>
    <row r="93" spans="2:8" ht="15" customHeight="1" x14ac:dyDescent="0.3">
      <c r="B93" s="45" t="s">
        <v>141</v>
      </c>
      <c r="D93" s="530" t="str">
        <f>IF(INPUT!D9="","",D87/1000)</f>
        <v/>
      </c>
      <c r="E93" s="229">
        <f t="shared" ref="E93:H96" si="0">E87/1000</f>
        <v>3.9460000000000002</v>
      </c>
      <c r="F93" s="229">
        <f t="shared" si="0"/>
        <v>4.8</v>
      </c>
      <c r="G93" s="229">
        <f t="shared" si="0"/>
        <v>5.15</v>
      </c>
      <c r="H93" s="229">
        <f t="shared" si="0"/>
        <v>5.8339999999999996</v>
      </c>
    </row>
    <row r="94" spans="2:8" ht="15" customHeight="1" x14ac:dyDescent="0.3">
      <c r="B94" s="45" t="s">
        <v>142</v>
      </c>
      <c r="D94" s="530" t="str">
        <f>IF(INPUT!D9="","",D88/1000)</f>
        <v/>
      </c>
      <c r="E94" s="229">
        <f t="shared" si="0"/>
        <v>3.0750000000000002</v>
      </c>
      <c r="F94" s="229">
        <f t="shared" si="0"/>
        <v>3.9689999999999999</v>
      </c>
      <c r="G94" s="229">
        <f t="shared" si="0"/>
        <v>4.54</v>
      </c>
      <c r="H94" s="229">
        <f t="shared" si="0"/>
        <v>6.4109999999999996</v>
      </c>
    </row>
    <row r="95" spans="2:8" ht="15" customHeight="1" x14ac:dyDescent="0.3">
      <c r="B95" s="45" t="s">
        <v>143</v>
      </c>
      <c r="D95" s="530" t="str">
        <f>IF(INPUT!D9="","",D89/1000)</f>
        <v/>
      </c>
      <c r="E95" s="229">
        <f t="shared" si="0"/>
        <v>13.68</v>
      </c>
      <c r="F95" s="229">
        <f t="shared" si="0"/>
        <v>13.818</v>
      </c>
      <c r="G95" s="229">
        <f t="shared" si="0"/>
        <v>13.106999999999999</v>
      </c>
      <c r="H95" s="229">
        <f t="shared" si="0"/>
        <v>13.847</v>
      </c>
    </row>
    <row r="96" spans="2:8" ht="15" customHeight="1" x14ac:dyDescent="0.3">
      <c r="B96" s="45" t="s">
        <v>144</v>
      </c>
      <c r="D96" s="530" t="str">
        <f>IF(INPUT!D9="","",D90/1000)</f>
        <v/>
      </c>
      <c r="E96" s="229">
        <f t="shared" si="0"/>
        <v>2.0760000000000001</v>
      </c>
      <c r="F96" s="229">
        <f t="shared" si="0"/>
        <v>2.153</v>
      </c>
      <c r="G96" s="229">
        <f t="shared" si="0"/>
        <v>2.3639999999999999</v>
      </c>
      <c r="H96" s="229">
        <f t="shared" si="0"/>
        <v>2.5579999999999998</v>
      </c>
    </row>
    <row r="97" spans="2:8" ht="15" customHeight="1" x14ac:dyDescent="0.3">
      <c r="B97" s="45"/>
      <c r="D97" s="208"/>
      <c r="G97" s="228">
        <f>G90/1000</f>
        <v>2.3639999999999999</v>
      </c>
      <c r="H97" s="228">
        <f>H90/1000</f>
        <v>2.5579999999999998</v>
      </c>
    </row>
    <row r="98" spans="2:8" ht="15" customHeight="1" x14ac:dyDescent="0.3">
      <c r="B98" s="45"/>
      <c r="D98" s="208"/>
    </row>
    <row r="99" spans="2:8" ht="15" customHeight="1" x14ac:dyDescent="0.3">
      <c r="B99" s="45" t="s">
        <v>140</v>
      </c>
      <c r="D99" s="529">
        <f>D80/1000</f>
        <v>263.31</v>
      </c>
      <c r="E99" s="228">
        <f>E80/1000</f>
        <v>482.255</v>
      </c>
      <c r="F99" s="228">
        <f>F80/1000</f>
        <v>677.86500000000001</v>
      </c>
      <c r="G99" s="228">
        <f>G80/1000</f>
        <v>677.86500000000001</v>
      </c>
      <c r="H99" s="228">
        <f>H80/1000</f>
        <v>860.20899999999995</v>
      </c>
    </row>
    <row r="100" spans="2:8" ht="15" customHeight="1" x14ac:dyDescent="0.3">
      <c r="B100" s="45"/>
      <c r="D100" s="208"/>
    </row>
    <row r="101" spans="2:8" ht="15" customHeight="1" x14ac:dyDescent="0.3">
      <c r="B101" s="45"/>
      <c r="D101" s="208"/>
      <c r="G101" s="228">
        <f>G80/1000</f>
        <v>677.86500000000001</v>
      </c>
      <c r="H101" s="228">
        <f>H80/1000</f>
        <v>860.20899999999995</v>
      </c>
    </row>
    <row r="102" spans="2:8" ht="15" customHeight="1" x14ac:dyDescent="0.3">
      <c r="B102" s="83" t="s">
        <v>145</v>
      </c>
      <c r="C102" s="83"/>
      <c r="D102" s="404"/>
      <c r="E102" s="83"/>
      <c r="F102" s="83"/>
      <c r="G102" s="83"/>
      <c r="H102" s="83"/>
    </row>
    <row r="103" spans="2:8" ht="15" customHeight="1" x14ac:dyDescent="0.3">
      <c r="B103" s="298" t="s">
        <v>146</v>
      </c>
      <c r="D103"/>
      <c r="E103"/>
      <c r="F103"/>
      <c r="G103"/>
      <c r="H103"/>
    </row>
    <row r="104" spans="2:8" ht="15" customHeight="1" x14ac:dyDescent="0.3">
      <c r="B104" s="45" t="s">
        <v>147</v>
      </c>
      <c r="D104" s="208"/>
      <c r="E104" s="532">
        <f>E53</f>
        <v>38882</v>
      </c>
      <c r="F104" s="532">
        <f>F53</f>
        <v>12888</v>
      </c>
      <c r="G104" s="532">
        <f>G53</f>
        <v>23947</v>
      </c>
      <c r="H104" s="532">
        <f>H53</f>
        <v>10266</v>
      </c>
    </row>
    <row r="105" spans="2:8" ht="15" customHeight="1" x14ac:dyDescent="0.3">
      <c r="B105" s="45" t="s">
        <v>148</v>
      </c>
      <c r="D105" s="208"/>
      <c r="E105" s="531">
        <f>ABS(INPUT!E78)</f>
        <v>15690</v>
      </c>
      <c r="F105" s="531">
        <f>ABS(INPUT!F78)</f>
        <v>17722</v>
      </c>
      <c r="G105" s="531">
        <f>ABS(INPUT!G78)</f>
        <v>14909</v>
      </c>
      <c r="H105" s="531">
        <f>ABS(INPUT!H78)</f>
        <v>16953</v>
      </c>
    </row>
    <row r="106" spans="2:8" ht="15" customHeight="1" x14ac:dyDescent="0.3">
      <c r="B106" s="45" t="s">
        <v>149</v>
      </c>
      <c r="D106" s="208"/>
      <c r="E106" s="533">
        <f>INPUT!E75</f>
        <v>54572</v>
      </c>
      <c r="F106" s="533">
        <f>INPUT!F75</f>
        <v>30610</v>
      </c>
      <c r="G106" s="533">
        <f>INPUT!G75</f>
        <v>38856</v>
      </c>
      <c r="H106" s="533">
        <f>INPUT!H75</f>
        <v>27219</v>
      </c>
    </row>
    <row r="107" spans="2:8" ht="15" customHeight="1" x14ac:dyDescent="0.3">
      <c r="B107" s="45"/>
      <c r="D107" s="208"/>
    </row>
    <row r="108" spans="2:8" ht="15" customHeight="1" x14ac:dyDescent="0.3">
      <c r="B108" s="83" t="s">
        <v>150</v>
      </c>
      <c r="C108" s="83"/>
      <c r="D108" s="404"/>
      <c r="E108" s="83"/>
      <c r="F108" s="83"/>
      <c r="G108" s="83"/>
      <c r="H108" s="83"/>
    </row>
    <row r="109" spans="2:8" ht="15" customHeight="1" x14ac:dyDescent="0.3">
      <c r="B109" s="298" t="s">
        <v>146</v>
      </c>
      <c r="D109"/>
      <c r="E109"/>
      <c r="F109"/>
      <c r="G109"/>
      <c r="H109"/>
    </row>
    <row r="110" spans="2:8" ht="15" customHeight="1" x14ac:dyDescent="0.3">
      <c r="B110" s="45" t="s">
        <v>109</v>
      </c>
      <c r="D110" s="208"/>
      <c r="E110" s="534">
        <f t="shared" ref="E110:H112" si="1">E23</f>
        <v>0.24652583810922835</v>
      </c>
      <c r="F110" s="534">
        <f t="shared" si="1"/>
        <v>0.14973976779279974</v>
      </c>
      <c r="G110" s="534">
        <f t="shared" si="1"/>
        <v>0.10822180590300759</v>
      </c>
      <c r="H110" s="534">
        <f t="shared" si="1"/>
        <v>8.6853340468351928E-2</v>
      </c>
    </row>
    <row r="111" spans="2:8" ht="15" customHeight="1" x14ac:dyDescent="0.3">
      <c r="B111" s="45" t="s">
        <v>110</v>
      </c>
      <c r="D111" s="208"/>
      <c r="E111" s="534">
        <f t="shared" si="1"/>
        <v>0.16267703061856045</v>
      </c>
      <c r="F111" s="534">
        <f t="shared" si="1"/>
        <v>0.1144526413415501</v>
      </c>
      <c r="G111" s="534">
        <f t="shared" si="1"/>
        <v>9.2960284460204962E-2</v>
      </c>
      <c r="H111" s="534">
        <f t="shared" si="1"/>
        <v>7.0498475019593401E-2</v>
      </c>
    </row>
    <row r="112" spans="2:8" ht="15" customHeight="1" x14ac:dyDescent="0.3">
      <c r="B112" s="45" t="s">
        <v>111</v>
      </c>
      <c r="D112" s="208"/>
      <c r="E112" s="534">
        <f t="shared" si="1"/>
        <v>0.25038793370988766</v>
      </c>
      <c r="F112" s="534">
        <f t="shared" si="1"/>
        <v>0.15107677004095965</v>
      </c>
      <c r="G112" s="534">
        <f t="shared" si="1"/>
        <v>0.11016816055462694</v>
      </c>
      <c r="H112" s="534">
        <f t="shared" si="1"/>
        <v>9.2011034073591527E-2</v>
      </c>
    </row>
    <row r="113" spans="2:2" ht="15" customHeight="1" x14ac:dyDescent="0.3">
      <c r="B113" s="45"/>
    </row>
    <row r="114" spans="2:2" ht="15" customHeight="1" x14ac:dyDescent="0.3">
      <c r="B114" s="45"/>
    </row>
    <row r="115" spans="2:2" ht="15" customHeight="1" x14ac:dyDescent="0.3">
      <c r="B115" s="45"/>
    </row>
    <row r="116" spans="2:2" ht="15" customHeight="1" x14ac:dyDescent="0.3">
      <c r="B116" s="45"/>
    </row>
    <row r="117" spans="2:2" ht="15" customHeight="1" x14ac:dyDescent="0.3">
      <c r="B117" s="45"/>
    </row>
    <row r="118" spans="2:2" ht="15" customHeight="1" x14ac:dyDescent="0.3">
      <c r="B118" s="45"/>
    </row>
    <row r="119" spans="2:2" ht="15" customHeight="1" x14ac:dyDescent="0.3">
      <c r="B119" s="45"/>
    </row>
    <row r="120" spans="2:2" ht="15" customHeight="1" x14ac:dyDescent="0.3">
      <c r="B120" s="45"/>
    </row>
    <row r="121" spans="2:2" ht="15" customHeight="1" x14ac:dyDescent="0.3">
      <c r="B121" s="45"/>
    </row>
    <row r="122" spans="2:2" ht="15" customHeight="1" x14ac:dyDescent="0.3">
      <c r="B122" s="45"/>
    </row>
    <row r="123" spans="2:2" ht="15" customHeight="1" x14ac:dyDescent="0.3">
      <c r="B123" s="45"/>
    </row>
    <row r="124" spans="2:2" ht="15" customHeight="1" x14ac:dyDescent="0.3">
      <c r="B124" s="45"/>
    </row>
    <row r="125" spans="2:2" ht="15" customHeight="1" x14ac:dyDescent="0.3">
      <c r="B125" s="45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2" fitToHeight="0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27"/>
  <sheetViews>
    <sheetView showGridLines="0" zoomScale="85" zoomScaleNormal="85" workbookViewId="0">
      <selection activeCell="O20" sqref="O20"/>
    </sheetView>
  </sheetViews>
  <sheetFormatPr baseColWidth="10" defaultRowHeight="14.4" x14ac:dyDescent="0.3"/>
  <cols>
    <col min="1" max="1" width="11" customWidth="1"/>
    <col min="2" max="2" width="49.5546875" style="19" customWidth="1"/>
    <col min="3" max="3" width="10.88671875" customWidth="1"/>
    <col min="4" max="5" width="11" style="21" customWidth="1"/>
    <col min="6" max="6" width="11.6640625" style="21" bestFit="1" customWidth="1"/>
    <col min="7" max="14" width="11" style="21" customWidth="1"/>
  </cols>
  <sheetData>
    <row r="1" spans="1:14" ht="54.9" customHeight="1" x14ac:dyDescent="0.6">
      <c r="A1" s="6"/>
      <c r="B1" s="96" t="s">
        <v>98</v>
      </c>
      <c r="C1" s="5"/>
      <c r="D1" s="5"/>
      <c r="E1" s="29"/>
      <c r="F1" s="29"/>
      <c r="G1" s="29"/>
      <c r="H1" s="29"/>
      <c r="I1" s="29"/>
      <c r="J1" s="29"/>
      <c r="K1" s="95" t="s">
        <v>152</v>
      </c>
      <c r="L1" s="29"/>
      <c r="M1" s="29"/>
      <c r="N1" s="29"/>
    </row>
    <row r="2" spans="1:14" ht="15" customHeight="1" x14ac:dyDescent="0.35">
      <c r="A2" s="3"/>
      <c r="B2" s="14"/>
      <c r="C2" s="3"/>
      <c r="D2" s="3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18" customHeight="1" x14ac:dyDescent="0.5">
      <c r="A3" s="7" t="s">
        <v>5</v>
      </c>
      <c r="B3" s="15" t="s">
        <v>153</v>
      </c>
      <c r="C3" s="7"/>
      <c r="D3" s="7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5" customHeight="1" x14ac:dyDescent="0.35">
      <c r="A4" s="3" t="s">
        <v>5</v>
      </c>
      <c r="B4" s="12" t="s">
        <v>1</v>
      </c>
      <c r="C4" s="3"/>
      <c r="D4" s="3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15" customHeight="1" x14ac:dyDescent="0.35">
      <c r="A5" s="1" t="s">
        <v>5</v>
      </c>
      <c r="B5" s="16" t="s">
        <v>2</v>
      </c>
      <c r="C5" s="1" t="s">
        <v>154</v>
      </c>
      <c r="D5" s="1" t="str">
        <f>IF(INPUT!D5="","",INPUT!D5)</f>
        <v/>
      </c>
      <c r="E5" s="24">
        <f>IF(INPUT!E5="","",INPUT!E5)</f>
        <v>2022</v>
      </c>
      <c r="F5" s="24">
        <f>IF(INPUT!F5="","",INPUT!F5)</f>
        <v>2023</v>
      </c>
      <c r="G5" s="24">
        <f>IF(INPUT!G5="","",INPUT!G5)</f>
        <v>2024</v>
      </c>
      <c r="H5" s="24" t="str">
        <f>IF(INPUT!H5="","",INPUT!H5)</f>
        <v>2025 (LTM)</v>
      </c>
      <c r="I5" s="24" t="str">
        <f>TEXT(INPUT!D117+1,"0")&amp;"F"</f>
        <v>2026F</v>
      </c>
      <c r="J5" s="24" t="str">
        <f>TEXT(INPUT!D117+2,"0")&amp;"F"</f>
        <v>2027F</v>
      </c>
      <c r="K5" s="24" t="str">
        <f>TEXT(INPUT!D117+3,"0")&amp;"F"</f>
        <v>2028F</v>
      </c>
      <c r="L5" s="24" t="str">
        <f>TEXT(INPUT!D117+4,"0")&amp;"F"</f>
        <v>2029F</v>
      </c>
      <c r="M5" s="24" t="str">
        <f>TEXT(INPUT!D117+5,"0")&amp;"F"</f>
        <v>2030F</v>
      </c>
      <c r="N5" s="24" t="s">
        <v>155</v>
      </c>
    </row>
    <row r="6" spans="1:14" ht="15" customHeight="1" x14ac:dyDescent="0.35">
      <c r="A6" s="3"/>
      <c r="B6" s="14"/>
      <c r="C6" s="3"/>
      <c r="D6" s="3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4" ht="18" customHeight="1" x14ac:dyDescent="0.5">
      <c r="A7" s="7" t="s">
        <v>5</v>
      </c>
      <c r="B7" s="15" t="s">
        <v>156</v>
      </c>
      <c r="C7" s="7"/>
      <c r="D7" s="7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18" customHeight="1" x14ac:dyDescent="0.5">
      <c r="A8" s="108"/>
      <c r="B8" s="109"/>
      <c r="C8" s="108"/>
      <c r="D8" s="305"/>
      <c r="E8" s="110"/>
      <c r="F8" s="110"/>
      <c r="G8" s="110"/>
      <c r="H8" s="110"/>
      <c r="I8" s="110"/>
      <c r="J8" s="110"/>
      <c r="K8" s="110"/>
      <c r="L8" s="110"/>
      <c r="M8" s="110"/>
      <c r="N8" s="110"/>
    </row>
    <row r="9" spans="1:14" ht="15" customHeight="1" x14ac:dyDescent="0.35">
      <c r="A9" s="3"/>
      <c r="B9" s="17" t="s">
        <v>7</v>
      </c>
      <c r="C9" s="405"/>
      <c r="D9" s="410">
        <f>INPUT!D9</f>
        <v>0</v>
      </c>
      <c r="E9" s="230">
        <f>INPUT!E9</f>
        <v>263310</v>
      </c>
      <c r="F9" s="230">
        <f>INPUT!F9</f>
        <v>218945</v>
      </c>
      <c r="G9" s="230">
        <f>INPUT!G9</f>
        <v>195610</v>
      </c>
      <c r="H9" s="230">
        <f>IF(INPUT!H9&lt;&gt;"",INPUT!H9,INPUT!G9)</f>
        <v>182344</v>
      </c>
      <c r="I9" s="231">
        <f>H9*(1+$I$29)</f>
        <v>190844.00000000003</v>
      </c>
      <c r="J9" s="231">
        <f>I9*(1+$I$29)</f>
        <v>199740.22910542716</v>
      </c>
      <c r="K9" s="231">
        <f>J9*(1+$I$29)</f>
        <v>209051.15761086816</v>
      </c>
      <c r="L9" s="232">
        <f>K9*(1+$I$29)</f>
        <v>218796.11680718054</v>
      </c>
      <c r="M9" s="232">
        <f>L9*(1+$I$29)</f>
        <v>228995.33911699627</v>
      </c>
      <c r="N9" s="202"/>
    </row>
    <row r="10" spans="1:14" ht="15" customHeight="1" x14ac:dyDescent="0.35">
      <c r="A10" s="3"/>
      <c r="B10" s="17" t="s">
        <v>151</v>
      </c>
      <c r="C10" s="405"/>
      <c r="D10" s="410">
        <f>INPUT!D10</f>
        <v>0</v>
      </c>
      <c r="E10" s="233">
        <f>INPUT!E10</f>
        <v>-182099</v>
      </c>
      <c r="F10" s="233">
        <f>INPUT!F10</f>
        <v>-156572</v>
      </c>
      <c r="G10" s="234">
        <f>INPUT!G10</f>
        <v>-140078</v>
      </c>
      <c r="H10" s="234">
        <f>IF(INPUT!H10&lt;&gt;"",INPUT!H10,INPUT!G10)</f>
        <v>-130497</v>
      </c>
      <c r="I10" s="234">
        <f>-I9*(1-$I$30)</f>
        <v>-135426.19866577326</v>
      </c>
      <c r="J10" s="234">
        <f>-J9*(1-$I$30)</f>
        <v>-141739.11649503597</v>
      </c>
      <c r="K10" s="234">
        <f>-K9*(1-$I$30)</f>
        <v>-148346.31218125435</v>
      </c>
      <c r="L10" s="235">
        <f>-L9*(1-$I$30)</f>
        <v>-155261.50354231184</v>
      </c>
      <c r="M10" s="235">
        <f>-M9*(1-$I$30)</f>
        <v>-162499.04785476334</v>
      </c>
      <c r="N10" s="202"/>
    </row>
    <row r="11" spans="1:14" ht="15" customHeight="1" x14ac:dyDescent="0.35">
      <c r="A11" s="3"/>
      <c r="B11" s="52" t="s">
        <v>10</v>
      </c>
      <c r="C11" s="406"/>
      <c r="D11" s="412">
        <f t="shared" ref="D11:M11" si="0">SUM(D9:D10)</f>
        <v>0</v>
      </c>
      <c r="E11" s="236">
        <f t="shared" si="0"/>
        <v>81211</v>
      </c>
      <c r="F11" s="236">
        <f t="shared" si="0"/>
        <v>62373</v>
      </c>
      <c r="G11" s="224">
        <f t="shared" si="0"/>
        <v>55532</v>
      </c>
      <c r="H11" s="224">
        <f t="shared" si="0"/>
        <v>51847</v>
      </c>
      <c r="I11" s="224">
        <f t="shared" si="0"/>
        <v>55417.801334226766</v>
      </c>
      <c r="J11" s="224">
        <f t="shared" si="0"/>
        <v>58001.112610391196</v>
      </c>
      <c r="K11" s="224">
        <f t="shared" si="0"/>
        <v>60704.845429613808</v>
      </c>
      <c r="L11" s="237">
        <f t="shared" si="0"/>
        <v>63534.613264868705</v>
      </c>
      <c r="M11" s="237">
        <f t="shared" si="0"/>
        <v>66496.291262232931</v>
      </c>
      <c r="N11" s="372"/>
    </row>
    <row r="12" spans="1:14" ht="15" customHeight="1" x14ac:dyDescent="0.35">
      <c r="A12" s="112"/>
      <c r="B12" s="113"/>
      <c r="C12" s="408"/>
      <c r="D12" s="411"/>
      <c r="E12" s="114"/>
      <c r="F12" s="114"/>
      <c r="G12" s="114"/>
      <c r="H12" s="114"/>
      <c r="I12" s="114"/>
      <c r="J12" s="114"/>
      <c r="K12" s="114"/>
      <c r="L12" s="115"/>
      <c r="M12" s="115"/>
      <c r="N12" s="115"/>
    </row>
    <row r="13" spans="1:14" ht="15" customHeight="1" x14ac:dyDescent="0.35">
      <c r="A13" s="3"/>
      <c r="B13" s="17" t="s">
        <v>157</v>
      </c>
      <c r="C13" s="405"/>
      <c r="D13" s="410">
        <f>INPUT!D14</f>
        <v>0</v>
      </c>
      <c r="E13" s="230">
        <f>INPUT!E14</f>
        <v>-3946</v>
      </c>
      <c r="F13" s="230">
        <f>INPUT!F14</f>
        <v>-4800</v>
      </c>
      <c r="G13" s="231">
        <f>INPUT!G14</f>
        <v>-5150</v>
      </c>
      <c r="H13" s="231">
        <f>IF(INPUT!H14&lt;&gt;"",INPUT!H14,INPUT!G14)</f>
        <v>-5834</v>
      </c>
      <c r="I13" s="231">
        <f>-I9*$I$31</f>
        <v>-4543.6054317846401</v>
      </c>
      <c r="J13" s="231">
        <f>-J9*$I$31</f>
        <v>-4755.4064571552017</v>
      </c>
      <c r="K13" s="231">
        <f>-K9*$I$31</f>
        <v>-4977.08062732707</v>
      </c>
      <c r="L13" s="232">
        <f>-L9*$I$31</f>
        <v>-5209.0881808099393</v>
      </c>
      <c r="M13" s="232">
        <f>-M9*$I$31</f>
        <v>-5451.9108102185546</v>
      </c>
      <c r="N13" s="202"/>
    </row>
    <row r="14" spans="1:14" ht="15" customHeight="1" x14ac:dyDescent="0.35">
      <c r="A14" s="3"/>
      <c r="B14" s="17" t="s">
        <v>12</v>
      </c>
      <c r="C14" s="405"/>
      <c r="D14" s="410">
        <f>INPUT!D15</f>
        <v>0</v>
      </c>
      <c r="E14" s="233">
        <f>INPUT!E15</f>
        <v>-3075</v>
      </c>
      <c r="F14" s="233">
        <f>INPUT!F15</f>
        <v>-3969</v>
      </c>
      <c r="G14" s="234">
        <f>INPUT!G15</f>
        <v>-4540</v>
      </c>
      <c r="H14" s="234">
        <f>IF(INPUT!H15&lt;&gt;"",INPUT!H15,INPUT!G15)</f>
        <v>-6411</v>
      </c>
      <c r="I14" s="234">
        <f>-I9*$I$32</f>
        <v>-4206.8868115728101</v>
      </c>
      <c r="J14" s="234">
        <f>-J9*$I$32</f>
        <v>-4402.9916348648785</v>
      </c>
      <c r="K14" s="234">
        <f>-K9*$I$32</f>
        <v>-4608.2379215337651</v>
      </c>
      <c r="L14" s="235">
        <f>-L9*$I$32</f>
        <v>-4823.051802621364</v>
      </c>
      <c r="M14" s="235">
        <f>-M9*$I$32</f>
        <v>-5047.8792733485707</v>
      </c>
      <c r="N14" s="202"/>
    </row>
    <row r="15" spans="1:14" ht="15" customHeight="1" x14ac:dyDescent="0.35">
      <c r="A15" s="3"/>
      <c r="B15" s="52" t="s">
        <v>21</v>
      </c>
      <c r="C15" s="406"/>
      <c r="D15" s="412">
        <f>INPUT!D30</f>
        <v>0</v>
      </c>
      <c r="E15" s="236">
        <f>INPUT!E30</f>
        <v>74190</v>
      </c>
      <c r="F15" s="236">
        <f>INPUT!F30</f>
        <v>53604</v>
      </c>
      <c r="G15" s="224">
        <f>INPUT!G30</f>
        <v>45842</v>
      </c>
      <c r="H15" s="224">
        <f>IF(INPUT!H30&lt;&gt;"",INPUT!H30,INPUT!G30)</f>
        <v>39602</v>
      </c>
      <c r="I15" s="224">
        <f>I11+I13+I14</f>
        <v>46667.309090869312</v>
      </c>
      <c r="J15" s="224">
        <f>J11+J13+J14</f>
        <v>48842.714518371118</v>
      </c>
      <c r="K15" s="224">
        <f>K11+K13+K14</f>
        <v>51119.526880752972</v>
      </c>
      <c r="L15" s="237">
        <f>L11+L13+L14</f>
        <v>53502.473281437407</v>
      </c>
      <c r="M15" s="237">
        <f>M11+M13+M14</f>
        <v>55996.501178665807</v>
      </c>
      <c r="N15" s="372"/>
    </row>
    <row r="16" spans="1:14" ht="15" customHeight="1" x14ac:dyDescent="0.35">
      <c r="A16" s="112"/>
      <c r="B16" s="113"/>
      <c r="C16" s="408"/>
      <c r="D16" s="411"/>
      <c r="E16" s="114"/>
      <c r="F16" s="114"/>
      <c r="G16" s="114"/>
      <c r="H16" s="114"/>
      <c r="I16" s="114"/>
      <c r="J16" s="114"/>
      <c r="K16" s="114"/>
      <c r="L16" s="115"/>
      <c r="M16" s="115"/>
      <c r="N16" s="115"/>
    </row>
    <row r="17" spans="1:14" ht="15" customHeight="1" x14ac:dyDescent="0.35">
      <c r="A17" s="3"/>
      <c r="B17" s="17" t="s">
        <v>13</v>
      </c>
      <c r="C17" s="405"/>
      <c r="D17" s="410">
        <f>INPUT!D16</f>
        <v>0</v>
      </c>
      <c r="E17" s="233">
        <f>INPUT!E16</f>
        <v>-13680</v>
      </c>
      <c r="F17" s="233">
        <f>INPUT!F16</f>
        <v>-13818</v>
      </c>
      <c r="G17" s="234">
        <f>INPUT!G16</f>
        <v>-13107</v>
      </c>
      <c r="H17" s="234">
        <f>IF(INPUT!H16&lt;&gt;"",INPUT!H16,INPUT!G16)</f>
        <v>-13847</v>
      </c>
      <c r="I17" s="234">
        <f>-I9*$I$33</f>
        <v>-12309.932884375528</v>
      </c>
      <c r="J17" s="234">
        <f>-J9*$I$33</f>
        <v>-12883.762730804214</v>
      </c>
      <c r="K17" s="234">
        <f>-K9*$I$33</f>
        <v>-13484.341763905582</v>
      </c>
      <c r="L17" s="235">
        <f>-L9*$I$33</f>
        <v>-14112.916902068604</v>
      </c>
      <c r="M17" s="235">
        <f>-M9*$I$33</f>
        <v>-14770.793189018454</v>
      </c>
      <c r="N17" s="202"/>
    </row>
    <row r="18" spans="1:14" ht="15" customHeight="1" x14ac:dyDescent="0.35">
      <c r="A18" s="3"/>
      <c r="B18" s="52" t="s">
        <v>14</v>
      </c>
      <c r="C18" s="406"/>
      <c r="D18" s="412">
        <f t="shared" ref="D18:M18" si="1">D15+D17</f>
        <v>0</v>
      </c>
      <c r="E18" s="236">
        <f t="shared" si="1"/>
        <v>60510</v>
      </c>
      <c r="F18" s="236">
        <f t="shared" si="1"/>
        <v>39786</v>
      </c>
      <c r="G18" s="224">
        <f t="shared" si="1"/>
        <v>32735</v>
      </c>
      <c r="H18" s="224">
        <f t="shared" si="1"/>
        <v>25755</v>
      </c>
      <c r="I18" s="224">
        <f t="shared" si="1"/>
        <v>34357.376206493784</v>
      </c>
      <c r="J18" s="224">
        <f t="shared" si="1"/>
        <v>35958.951787566904</v>
      </c>
      <c r="K18" s="224">
        <f t="shared" si="1"/>
        <v>37635.185116847388</v>
      </c>
      <c r="L18" s="237">
        <f t="shared" si="1"/>
        <v>39389.556379368805</v>
      </c>
      <c r="M18" s="237">
        <f t="shared" si="1"/>
        <v>41225.707989647351</v>
      </c>
      <c r="N18" s="372"/>
    </row>
    <row r="19" spans="1:14" ht="15" customHeight="1" x14ac:dyDescent="0.35">
      <c r="A19" s="112"/>
      <c r="B19" s="113"/>
      <c r="C19" s="408"/>
      <c r="D19" s="411"/>
      <c r="E19" s="114"/>
      <c r="F19" s="114"/>
      <c r="G19" s="114"/>
      <c r="H19" s="114"/>
      <c r="I19" s="114"/>
      <c r="J19" s="114"/>
      <c r="K19" s="114"/>
      <c r="L19" s="115"/>
      <c r="M19" s="115"/>
      <c r="N19" s="115"/>
    </row>
    <row r="20" spans="1:14" ht="15" customHeight="1" x14ac:dyDescent="0.35">
      <c r="A20" s="3"/>
      <c r="B20" s="17" t="s">
        <v>15</v>
      </c>
      <c r="C20" s="405"/>
      <c r="D20" s="410">
        <f>INPUT!D20</f>
        <v>0</v>
      </c>
      <c r="E20" s="233">
        <f>INPUT!E20</f>
        <v>-2076</v>
      </c>
      <c r="F20" s="233">
        <f>INPUT!F20</f>
        <v>-2153</v>
      </c>
      <c r="G20" s="234">
        <f>INPUT!G20</f>
        <v>-2364</v>
      </c>
      <c r="H20" s="234">
        <f>IF(INPUT!H20&lt;&gt;"",INPUT!H20,INPUT!G20)</f>
        <v>-2558</v>
      </c>
      <c r="I20" s="234">
        <f>-I18*(INPUT!H103)/(1-$I$34)</f>
        <v>-2487.7188515007638</v>
      </c>
      <c r="J20" s="234">
        <f>-J18*(INPUT!H103)/(1-$I$34)</f>
        <v>-2603.6843356283275</v>
      </c>
      <c r="K20" s="234">
        <f>-K18*(INPUT!H103)/(1-$I$34)</f>
        <v>-2725.0555727013375</v>
      </c>
      <c r="L20" s="235">
        <f>-L18*(INPUT!H103)/(1-$I$34)</f>
        <v>-2852.0845529143498</v>
      </c>
      <c r="M20" s="235">
        <f>-M18*(INPUT!H103)/(1-$I$34)</f>
        <v>-2985.0350130324327</v>
      </c>
      <c r="N20" s="202"/>
    </row>
    <row r="21" spans="1:14" ht="15" customHeight="1" x14ac:dyDescent="0.35">
      <c r="A21" s="3"/>
      <c r="B21" s="52" t="s">
        <v>17</v>
      </c>
      <c r="C21" s="406"/>
      <c r="D21" s="412">
        <f t="shared" ref="D21:M21" si="2">D18+D20</f>
        <v>0</v>
      </c>
      <c r="E21" s="236">
        <f t="shared" si="2"/>
        <v>58434</v>
      </c>
      <c r="F21" s="236">
        <f t="shared" si="2"/>
        <v>37633</v>
      </c>
      <c r="G21" s="224">
        <f t="shared" si="2"/>
        <v>30371</v>
      </c>
      <c r="H21" s="224">
        <f t="shared" si="2"/>
        <v>23197</v>
      </c>
      <c r="I21" s="224">
        <f t="shared" si="2"/>
        <v>31869.657354993018</v>
      </c>
      <c r="J21" s="224">
        <f t="shared" si="2"/>
        <v>33355.267451938576</v>
      </c>
      <c r="K21" s="224">
        <f t="shared" si="2"/>
        <v>34910.129544146053</v>
      </c>
      <c r="L21" s="237">
        <f t="shared" si="2"/>
        <v>36537.471826454457</v>
      </c>
      <c r="M21" s="237">
        <f t="shared" si="2"/>
        <v>38240.672976614922</v>
      </c>
      <c r="N21" s="372"/>
    </row>
    <row r="22" spans="1:14" ht="15" customHeight="1" x14ac:dyDescent="0.35">
      <c r="A22" s="112"/>
      <c r="B22" s="113"/>
      <c r="C22" s="408"/>
      <c r="D22" s="411"/>
      <c r="E22" s="114"/>
      <c r="F22" s="114"/>
      <c r="G22" s="114"/>
      <c r="H22" s="114"/>
      <c r="I22" s="114"/>
      <c r="J22" s="114"/>
      <c r="K22" s="114"/>
      <c r="L22" s="115"/>
      <c r="M22" s="115"/>
      <c r="N22" s="115"/>
    </row>
    <row r="23" spans="1:14" ht="15" customHeight="1" x14ac:dyDescent="0.35">
      <c r="A23" s="3"/>
      <c r="B23" s="17" t="s">
        <v>158</v>
      </c>
      <c r="C23" s="405"/>
      <c r="D23" s="410">
        <f>INPUT!D24</f>
        <v>0</v>
      </c>
      <c r="E23" s="230">
        <f>INPUT!E24</f>
        <v>-23831</v>
      </c>
      <c r="F23" s="230">
        <f>INPUT!F24</f>
        <v>-15123</v>
      </c>
      <c r="G23" s="231">
        <f>INPUT!G24</f>
        <v>-12863</v>
      </c>
      <c r="H23" s="231">
        <f>IF(INPUT!H24&lt;&gt;"",INPUT!H24,INPUT!G24)</f>
        <v>-9380</v>
      </c>
      <c r="I23" s="231">
        <f>-I21*$I$34</f>
        <v>-12503.263321797634</v>
      </c>
      <c r="J23" s="231">
        <f>-J21*$I$34</f>
        <v>-13086.105303081802</v>
      </c>
      <c r="K23" s="231">
        <f>-K21*$I$34</f>
        <v>-13696.1165734071</v>
      </c>
      <c r="L23" s="232">
        <f>-L21*$I$34</f>
        <v>-14334.563634313745</v>
      </c>
      <c r="M23" s="232">
        <f>-M21*$I$34</f>
        <v>-15002.772025550448</v>
      </c>
      <c r="N23" s="202"/>
    </row>
    <row r="24" spans="1:14" ht="15" customHeight="1" thickBot="1" x14ac:dyDescent="0.4">
      <c r="A24" s="3"/>
      <c r="B24" s="52" t="s">
        <v>19</v>
      </c>
      <c r="C24" s="406"/>
      <c r="D24" s="412">
        <f t="shared" ref="D24:M24" si="3">D21+D23</f>
        <v>0</v>
      </c>
      <c r="E24" s="238">
        <f t="shared" si="3"/>
        <v>34603</v>
      </c>
      <c r="F24" s="238">
        <f t="shared" si="3"/>
        <v>22510</v>
      </c>
      <c r="G24" s="239">
        <f t="shared" si="3"/>
        <v>17508</v>
      </c>
      <c r="H24" s="239">
        <f t="shared" si="3"/>
        <v>13817</v>
      </c>
      <c r="I24" s="239">
        <f t="shared" si="3"/>
        <v>19366.394033195385</v>
      </c>
      <c r="J24" s="239">
        <f t="shared" si="3"/>
        <v>20269.162148856776</v>
      </c>
      <c r="K24" s="239">
        <f t="shared" si="3"/>
        <v>21214.012970738953</v>
      </c>
      <c r="L24" s="240">
        <f t="shared" si="3"/>
        <v>22202.908192140712</v>
      </c>
      <c r="M24" s="240">
        <f t="shared" si="3"/>
        <v>23237.900951064476</v>
      </c>
      <c r="N24" s="372"/>
    </row>
    <row r="25" spans="1:14" ht="15" customHeight="1" x14ac:dyDescent="0.35">
      <c r="A25" s="3"/>
      <c r="B25" s="14"/>
      <c r="C25" s="9"/>
      <c r="D25" s="9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8" customHeight="1" x14ac:dyDescent="0.5">
      <c r="A26" s="7" t="s">
        <v>5</v>
      </c>
      <c r="B26" s="47" t="s">
        <v>159</v>
      </c>
      <c r="C26" s="42"/>
      <c r="D26" s="42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 customHeight="1" x14ac:dyDescent="0.35">
      <c r="A27" s="3"/>
      <c r="B27" s="17" t="s">
        <v>1</v>
      </c>
      <c r="C27" s="9"/>
      <c r="D27" s="9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1:14" ht="15" customHeight="1" x14ac:dyDescent="0.35">
      <c r="A28" s="1" t="s">
        <v>5</v>
      </c>
      <c r="B28" s="79" t="s">
        <v>160</v>
      </c>
      <c r="C28" s="80"/>
      <c r="D28" s="80"/>
      <c r="E28" s="1"/>
      <c r="F28" s="1"/>
      <c r="G28" s="24"/>
      <c r="H28" s="24"/>
      <c r="I28" s="24"/>
      <c r="J28" s="24"/>
      <c r="K28" s="24"/>
      <c r="L28" s="24"/>
      <c r="M28" s="24"/>
      <c r="N28" s="190"/>
    </row>
    <row r="29" spans="1:14" ht="15" customHeight="1" x14ac:dyDescent="0.35">
      <c r="A29" s="3"/>
      <c r="B29" s="17" t="s">
        <v>161</v>
      </c>
      <c r="C29" s="9"/>
      <c r="D29" s="306">
        <f>IFERROR(IF(NOT(ISBLANK(INPUT!H9)),INPUT!H9/INPUT!G9-1,IF(NOT(ISBLANK(INPUT!G9)),INPUT!G9/INPUT!F9-1,IF(NOT(ISBLANK(INPUT!F9)),INPUT!F9/INPUT!E9-1,IF(NOT(ISBLANK(INPUT!E9)),INPUT!E9/INPUT!D9-1,0.05)))),0.05)</f>
        <v>-6.7818618680026588E-2</v>
      </c>
      <c r="E29"/>
      <c r="F29"/>
      <c r="G29"/>
      <c r="H29"/>
      <c r="I29" s="433">
        <f>IF(D46="Yes",D45,IFERROR(AVERAGE(IF(ISNUMBER(RATIOS!F44),RATIOS!F44,0),IF(ISNUMBER(RATIOS!G44),RATIOS!G44,0),IF(ISNUMBER(RATIOS!H44),RATIOS!H44,0)),0.05))</f>
        <v>4.6615188873777136E-2</v>
      </c>
      <c r="J29"/>
      <c r="K29"/>
      <c r="L29"/>
      <c r="M29"/>
      <c r="N29"/>
    </row>
    <row r="30" spans="1:14" ht="15" customHeight="1" x14ac:dyDescent="0.35">
      <c r="A30" s="3"/>
      <c r="B30" s="17" t="s">
        <v>162</v>
      </c>
      <c r="C30" s="9"/>
      <c r="D30" s="306">
        <f>IFERROR(INPUT!H11/INPUT!H9,0.4)</f>
        <v>0.28433619971043739</v>
      </c>
      <c r="E30"/>
      <c r="F30"/>
      <c r="G30"/>
      <c r="H30"/>
      <c r="I30" s="433">
        <f>IFERROR(AVERAGE(IF(INPUT!E9&lt;&gt;0,INPUT!E11/INPUT!E9),IF(INPUT!F9&lt;&gt;0,INPUT!F11/INPUT!F9),IF(INPUT!G9&lt;&gt;0,INPUT!G11/INPUT!G9),IF(INPUT!H9&lt;&gt;0,INPUT!H11/INPUT!H9)),0.4)</f>
        <v>0.29038272795700543</v>
      </c>
      <c r="J30"/>
      <c r="K30"/>
      <c r="L30"/>
      <c r="M30"/>
      <c r="N30"/>
    </row>
    <row r="31" spans="1:14" ht="15" customHeight="1" x14ac:dyDescent="0.35">
      <c r="A31" s="3"/>
      <c r="B31" s="17" t="s">
        <v>163</v>
      </c>
      <c r="C31" s="9"/>
      <c r="D31" s="306">
        <f>IFERROR(ABS(INPUT!H14)/INPUT!H9,0.15)</f>
        <v>3.1994471987013558E-2</v>
      </c>
      <c r="E31"/>
      <c r="F31"/>
      <c r="G31"/>
      <c r="H31"/>
      <c r="I31" s="433">
        <f>IFERROR(AVERAGE(IF(INPUT!E9&lt;&gt;0,ABS(INPUT!E14)/INPUT!E9),IF(INPUT!F9&lt;&gt;0,ABS(INPUT!F14)/INPUT!F9),IF(INPUT!G9&lt;&gt;0,ABS(INPUT!G14)/INPUT!G9),IF(INPUT!H9&lt;&gt;0,ABS(INPUT!H14)/INPUT!H9)),0.15)</f>
        <v>2.3807955355078701E-2</v>
      </c>
      <c r="J31"/>
      <c r="K31"/>
      <c r="L31"/>
      <c r="M31"/>
      <c r="N31"/>
    </row>
    <row r="32" spans="1:14" ht="15" customHeight="1" x14ac:dyDescent="0.35">
      <c r="A32" s="3"/>
      <c r="B32" s="17" t="s">
        <v>164</v>
      </c>
      <c r="C32" s="9"/>
      <c r="D32" s="306">
        <f>IFERROR(ABS(INPUT!H15)/INPUT!H9,0.05)</f>
        <v>3.5158820690562892E-2</v>
      </c>
      <c r="E32"/>
      <c r="F32"/>
      <c r="G32"/>
      <c r="H32"/>
      <c r="I32" s="433">
        <f>IFERROR(AVERAGE(IF(INPUT!E9&lt;&gt;0,ABS(INPUT!E15)/INPUT!E9),IF(INPUT!F9&lt;&gt;0,ABS(INPUT!F15)/INPUT!F9),IF(INPUT!G9&lt;&gt;0,ABS(INPUT!G15)/INPUT!G9),IF(INPUT!H9&lt;&gt;0,ABS(INPUT!H15)/INPUT!H9)),0.05)</f>
        <v>2.2043589589260386E-2</v>
      </c>
      <c r="J32"/>
      <c r="K32"/>
      <c r="L32"/>
      <c r="M32"/>
      <c r="N32"/>
    </row>
    <row r="33" spans="1:14" ht="15" customHeight="1" x14ac:dyDescent="0.35">
      <c r="A33" s="3"/>
      <c r="B33" s="17" t="s">
        <v>165</v>
      </c>
      <c r="C33" s="9"/>
      <c r="D33" s="306">
        <f>IFERROR(ABS(INPUT!H16)/INPUT!H9,0.04)</f>
        <v>7.5938884745316543E-2</v>
      </c>
      <c r="E33"/>
      <c r="F33"/>
      <c r="G33"/>
      <c r="H33"/>
      <c r="I33" s="433">
        <f>IFERROR(AVERAGE(IF(INPUT!E9&lt;&gt;0,ABS(INPUT!E16)/INPUT!E9),IF(INPUT!F9&lt;&gt;0,ABS(INPUT!F16)/INPUT!F9),IF(INPUT!G9&lt;&gt;0,ABS(INPUT!G16)/INPUT!G9),IF(INPUT!H9&lt;&gt;0,ABS(INPUT!H16)/INPUT!H9)),0.04)</f>
        <v>6.4502593135626618E-2</v>
      </c>
      <c r="J33"/>
      <c r="K33"/>
      <c r="L33"/>
      <c r="M33"/>
      <c r="N33"/>
    </row>
    <row r="34" spans="1:14" ht="15" customHeight="1" x14ac:dyDescent="0.35">
      <c r="A34" s="3"/>
      <c r="B34" s="17" t="s">
        <v>166</v>
      </c>
      <c r="C34" s="9"/>
      <c r="D34" s="306">
        <f>IFERROR(INPUT!H104,0.21)</f>
        <v>0.38579999999999998</v>
      </c>
      <c r="E34"/>
      <c r="F34"/>
      <c r="G34"/>
      <c r="H34"/>
      <c r="I34" s="433">
        <f>IFERROR(AVERAGEIF(INPUT!E104:H104,"&lt;&gt;0"),0.21)</f>
        <v>0.39232499999999998</v>
      </c>
      <c r="J34"/>
      <c r="K34"/>
      <c r="L34"/>
      <c r="M34"/>
      <c r="N34"/>
    </row>
    <row r="35" spans="1:14" ht="15" customHeight="1" x14ac:dyDescent="0.35">
      <c r="A35" s="3"/>
      <c r="B35" s="14"/>
      <c r="C35" s="9"/>
      <c r="D35" s="9"/>
      <c r="E35" s="68"/>
      <c r="F35" s="68"/>
      <c r="G35" s="22"/>
      <c r="H35" s="22"/>
      <c r="I35" s="22"/>
      <c r="J35" s="22"/>
      <c r="K35" s="22"/>
      <c r="L35" s="22"/>
      <c r="M35" s="22"/>
      <c r="N35" s="22"/>
    </row>
    <row r="36" spans="1:14" ht="18" customHeight="1" x14ac:dyDescent="0.5">
      <c r="A36" s="7" t="s">
        <v>5</v>
      </c>
      <c r="B36" s="415" t="s">
        <v>167</v>
      </c>
      <c r="C36" s="42"/>
      <c r="D36" s="42"/>
      <c r="E36" s="42"/>
      <c r="F36" s="42"/>
      <c r="G36" s="23"/>
      <c r="H36" s="23"/>
      <c r="I36" s="23"/>
      <c r="J36" s="23"/>
      <c r="K36" s="23"/>
      <c r="L36" s="23"/>
      <c r="M36" s="23"/>
      <c r="N36" s="23"/>
    </row>
    <row r="37" spans="1:14" ht="15" customHeight="1" x14ac:dyDescent="0.35">
      <c r="A37" s="3"/>
      <c r="B37" s="17" t="s">
        <v>168</v>
      </c>
      <c r="C37" s="9"/>
      <c r="D37" s="306">
        <f>IFERROR(ABS(INPUT!H78)/INPUT!H9,0.05)</f>
        <v>9.2972623173781424E-2</v>
      </c>
      <c r="E37" s="242">
        <f>I37</f>
        <v>7.7430217208957916E-2</v>
      </c>
      <c r="F37" s="242">
        <f>I37</f>
        <v>7.7430217208957916E-2</v>
      </c>
      <c r="G37" s="186"/>
      <c r="H37" s="186"/>
      <c r="I37" s="241">
        <f>IFERROR(AVERAGE(IF(INPUT!E9&lt;&gt;0,ABS(INPUT!E78)/INPUT!E9),IF(INPUT!F9&lt;&gt;0,ABS(INPUT!F78)/INPUT!F9),IF(INPUT!G9&lt;&gt;0,ABS(INPUT!G78)/INPUT!G9),IF(INPUT!H9&lt;&gt;0,ABS(INPUT!H78)/INPUT!H9)),0.05)</f>
        <v>7.7430217208957916E-2</v>
      </c>
      <c r="J37" s="243">
        <f>I37</f>
        <v>7.7430217208957916E-2</v>
      </c>
      <c r="K37" s="243">
        <f>I37</f>
        <v>7.7430217208957916E-2</v>
      </c>
      <c r="L37" s="244">
        <f>I37</f>
        <v>7.7430217208957916E-2</v>
      </c>
      <c r="M37" s="244">
        <f>I37</f>
        <v>7.7430217208957916E-2</v>
      </c>
      <c r="N37" s="203"/>
    </row>
    <row r="38" spans="1:14" ht="15" customHeight="1" x14ac:dyDescent="0.35">
      <c r="A38" s="3"/>
      <c r="B38" s="17" t="s">
        <v>169</v>
      </c>
      <c r="C38" s="9"/>
      <c r="D38" s="306">
        <f>IFERROR(ABS((INPUT!H71+INPUT!H72+INPUT!H73)/INPUT!H9),0.1)</f>
        <v>1.0869565217391304E-2</v>
      </c>
      <c r="E38" s="242">
        <f>I38</f>
        <v>2.4771968296109378E-2</v>
      </c>
      <c r="F38" s="242">
        <f>I38</f>
        <v>2.4771968296109378E-2</v>
      </c>
      <c r="G38" s="186"/>
      <c r="H38" s="186"/>
      <c r="I38" s="241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>2.4771968296109378E-2</v>
      </c>
      <c r="J38" s="243">
        <f>I38</f>
        <v>2.4771968296109378E-2</v>
      </c>
      <c r="K38" s="243">
        <f>I38</f>
        <v>2.4771968296109378E-2</v>
      </c>
      <c r="L38" s="244">
        <f>I38</f>
        <v>2.4771968296109378E-2</v>
      </c>
      <c r="M38" s="244">
        <f>I38</f>
        <v>2.4771968296109378E-2</v>
      </c>
      <c r="N38" s="203"/>
    </row>
    <row r="39" spans="1:14" ht="15" customHeight="1" x14ac:dyDescent="0.35">
      <c r="A39" s="3"/>
      <c r="B39" s="17"/>
      <c r="C39" s="9"/>
      <c r="D39" s="306"/>
      <c r="E39" s="475"/>
      <c r="F39" s="475"/>
      <c r="G39" s="186"/>
      <c r="H39" s="186"/>
      <c r="I39" s="476"/>
      <c r="J39" s="477"/>
      <c r="K39" s="477"/>
      <c r="L39" s="478"/>
      <c r="M39" s="478"/>
      <c r="N39" s="203"/>
    </row>
    <row r="40" spans="1:14" ht="15" customHeight="1" x14ac:dyDescent="0.35">
      <c r="A40" s="462"/>
      <c r="B40" s="462" t="s">
        <v>445</v>
      </c>
      <c r="C40" s="462"/>
      <c r="D40" s="462"/>
      <c r="E40" s="462"/>
      <c r="F40" s="462"/>
      <c r="G40" s="462"/>
      <c r="H40" s="462"/>
      <c r="I40" s="462"/>
      <c r="J40" s="462"/>
      <c r="K40" s="462"/>
      <c r="L40" s="462"/>
      <c r="M40" s="462"/>
      <c r="N40" s="462"/>
    </row>
    <row r="41" spans="1:14" ht="18" customHeight="1" thickBot="1" x14ac:dyDescent="0.55000000000000004">
      <c r="A41" s="474"/>
      <c r="B41" s="69" t="s">
        <v>450</v>
      </c>
      <c r="C41" s="191"/>
      <c r="D41" s="471" t="s">
        <v>455</v>
      </c>
      <c r="E41" s="471" t="s">
        <v>456</v>
      </c>
      <c r="F41" s="471" t="s">
        <v>457</v>
      </c>
      <c r="G41" s="463" t="s">
        <v>451</v>
      </c>
      <c r="H41"/>
      <c r="I41"/>
      <c r="J41"/>
      <c r="K41"/>
      <c r="L41"/>
      <c r="M41"/>
      <c r="N41"/>
    </row>
    <row r="42" spans="1:14" ht="18" customHeight="1" thickBot="1" x14ac:dyDescent="0.55000000000000004">
      <c r="A42" s="107"/>
      <c r="B42" s="64" t="s">
        <v>452</v>
      </c>
      <c r="C42" s="417"/>
      <c r="D42" s="473" t="s">
        <v>454</v>
      </c>
      <c r="E42" s="472">
        <f>IF(D42="Bear",60,IF(D42="Base",75,IF(D42="Bull",90,75)))</f>
        <v>75</v>
      </c>
      <c r="F42"/>
      <c r="G42"/>
      <c r="H42"/>
      <c r="I42"/>
      <c r="J42"/>
      <c r="K42"/>
      <c r="L42"/>
      <c r="M42"/>
      <c r="N42"/>
    </row>
    <row r="43" spans="1:14" ht="15" customHeight="1" x14ac:dyDescent="0.35">
      <c r="A43" s="3"/>
      <c r="B43" s="69" t="s">
        <v>446</v>
      </c>
      <c r="C43" s="191"/>
      <c r="D43" s="535">
        <v>1700</v>
      </c>
      <c r="E43" s="464">
        <f>E18</f>
        <v>60510</v>
      </c>
      <c r="F43" s="464">
        <f>F18</f>
        <v>39786</v>
      </c>
      <c r="G43" s="465">
        <f>G18</f>
        <v>32735</v>
      </c>
      <c r="H43" s="465">
        <f>H18</f>
        <v>25755</v>
      </c>
      <c r="I43" s="465">
        <f>I18</f>
        <v>34357.376206493784</v>
      </c>
      <c r="J43" s="465">
        <f>J18</f>
        <v>35958.951787566904</v>
      </c>
      <c r="K43" s="465">
        <f>K18</f>
        <v>37635.185116847388</v>
      </c>
      <c r="L43" s="465">
        <f>L18</f>
        <v>39389.556379368805</v>
      </c>
      <c r="M43" s="465">
        <f>M18</f>
        <v>41225.707989647351</v>
      </c>
      <c r="N43"/>
    </row>
    <row r="44" spans="1:14" ht="15" customHeight="1" x14ac:dyDescent="0.35">
      <c r="A44" s="3"/>
      <c r="B44" s="69" t="s">
        <v>447</v>
      </c>
      <c r="C44" s="191"/>
      <c r="D44" s="536">
        <v>70</v>
      </c>
      <c r="E44" s="464">
        <f>E18*(-INPUT!E104)</f>
        <v>-24204</v>
      </c>
      <c r="F44" s="464">
        <f>F18*(-INPUT!F104)</f>
        <v>-15257.931</v>
      </c>
      <c r="G44" s="465">
        <f>G18*(-INPUT!G104)</f>
        <v>-13094</v>
      </c>
      <c r="H44" s="465">
        <f>H18*(-INPUT!H104)</f>
        <v>-9936.2789999999986</v>
      </c>
      <c r="I44" s="465">
        <f>I18*(-$I$34)</f>
        <v>-13479.257620212673</v>
      </c>
      <c r="J44" s="465">
        <f>J18*(-$I$34)</f>
        <v>-14107.595760057186</v>
      </c>
      <c r="K44" s="465">
        <f>K18*(-$I$34)</f>
        <v>-14765.224000967151</v>
      </c>
      <c r="L44" s="465">
        <f>L18*(-$I$34)</f>
        <v>-15453.507706535866</v>
      </c>
      <c r="M44" s="469">
        <f>M18*(-$I$34)</f>
        <v>-16173.875887038397</v>
      </c>
      <c r="N44"/>
    </row>
    <row r="45" spans="1:14" ht="15" customHeight="1" x14ac:dyDescent="0.35">
      <c r="A45" s="3"/>
      <c r="B45" s="64" t="s">
        <v>448</v>
      </c>
      <c r="C45" s="191"/>
      <c r="D45" s="537">
        <f>IFERROR(((INPUT!H9+(E42-D44)*D43)/INPUT!H9)-1,0)</f>
        <v>4.6615188873777136E-2</v>
      </c>
      <c r="E45" s="466">
        <f>E43+E44</f>
        <v>36306</v>
      </c>
      <c r="F45" s="466">
        <f>F43+F44</f>
        <v>24528.069</v>
      </c>
      <c r="G45" s="467">
        <f>G43+G44</f>
        <v>19641</v>
      </c>
      <c r="H45" s="467">
        <f>H43+H44</f>
        <v>15818.721000000001</v>
      </c>
      <c r="I45" s="467">
        <f>I43+I44</f>
        <v>20878.118586281111</v>
      </c>
      <c r="J45" s="467">
        <f>J43+J44</f>
        <v>21851.356027509719</v>
      </c>
      <c r="K45" s="467">
        <f>K43+K44</f>
        <v>22869.961115880236</v>
      </c>
      <c r="L45" s="467">
        <f>L43+L44</f>
        <v>23936.048672832942</v>
      </c>
      <c r="M45" s="468">
        <f>M43+M44</f>
        <v>25051.832102608954</v>
      </c>
      <c r="N45"/>
    </row>
    <row r="46" spans="1:14" ht="15" customHeight="1" x14ac:dyDescent="0.35">
      <c r="A46" s="65"/>
      <c r="B46" s="48" t="s">
        <v>453</v>
      </c>
      <c r="C46" s="82"/>
      <c r="D46" s="538" t="s">
        <v>449</v>
      </c>
      <c r="E46"/>
      <c r="F46"/>
      <c r="G46"/>
      <c r="H46"/>
      <c r="I46"/>
      <c r="J46"/>
      <c r="K46"/>
      <c r="L46"/>
      <c r="M46"/>
      <c r="N46"/>
    </row>
    <row r="47" spans="1:14" ht="15" customHeight="1" x14ac:dyDescent="0.35">
      <c r="A47" s="65"/>
      <c r="B47" s="48"/>
      <c r="C47" s="82"/>
      <c r="D47" s="461"/>
      <c r="E47"/>
      <c r="F47"/>
      <c r="G47"/>
      <c r="H47"/>
      <c r="I47"/>
      <c r="J47"/>
      <c r="K47"/>
      <c r="L47"/>
      <c r="M47"/>
      <c r="N47"/>
    </row>
    <row r="48" spans="1:14" ht="15" customHeight="1" x14ac:dyDescent="0.35">
      <c r="A48" s="470"/>
      <c r="B48" s="470" t="s">
        <v>170</v>
      </c>
      <c r="C48" s="470"/>
      <c r="D48" s="470"/>
      <c r="E48" s="470"/>
      <c r="F48" s="470"/>
      <c r="G48" s="470"/>
      <c r="H48" s="470"/>
      <c r="I48" s="470"/>
      <c r="J48" s="470"/>
      <c r="K48" s="470"/>
      <c r="L48" s="470"/>
      <c r="M48" s="470"/>
      <c r="N48" s="470"/>
    </row>
    <row r="49" spans="1:14" ht="15" customHeight="1" x14ac:dyDescent="0.35">
      <c r="A49" s="65" t="s">
        <v>5</v>
      </c>
      <c r="B49" s="418" t="s">
        <v>171</v>
      </c>
      <c r="C49" s="417"/>
      <c r="D49"/>
      <c r="E49" s="464">
        <f>ABS(E17)</f>
        <v>13680</v>
      </c>
      <c r="F49" s="464">
        <f>ABS(F17)</f>
        <v>13818</v>
      </c>
      <c r="G49" s="465">
        <f>ABS(G17)</f>
        <v>13107</v>
      </c>
      <c r="H49" s="465">
        <f>ABS(H17)</f>
        <v>13847</v>
      </c>
      <c r="I49" s="465">
        <f>ABS(I17)</f>
        <v>12309.932884375528</v>
      </c>
      <c r="J49" s="465">
        <f>ABS(J17)</f>
        <v>12883.762730804214</v>
      </c>
      <c r="K49" s="465">
        <f>ABS(K17)</f>
        <v>13484.341763905582</v>
      </c>
      <c r="L49" s="465">
        <f>ABS(L17)</f>
        <v>14112.916902068604</v>
      </c>
      <c r="M49" s="465">
        <f>ABS(M17)</f>
        <v>14770.793189018454</v>
      </c>
      <c r="N49"/>
    </row>
    <row r="50" spans="1:14" ht="15" customHeight="1" x14ac:dyDescent="0.35">
      <c r="A50" s="3"/>
      <c r="B50" s="69" t="s">
        <v>172</v>
      </c>
      <c r="D50"/>
      <c r="E50" s="464">
        <f>INPUT!E78</f>
        <v>-15690</v>
      </c>
      <c r="F50" s="464">
        <f>INPUT!F78</f>
        <v>-17722</v>
      </c>
      <c r="G50" s="465">
        <f>INPUT!G78</f>
        <v>-14909</v>
      </c>
      <c r="H50" s="465">
        <f>IF(INPUT!H78&lt;&gt;"",INPUT!H78,INPUT!G78)</f>
        <v>-16953</v>
      </c>
      <c r="I50" s="465">
        <f>-I9*$I$37</f>
        <v>-14777.092373026368</v>
      </c>
      <c r="J50" s="465">
        <f>-J9*$I$37</f>
        <v>-15465.929325000243</v>
      </c>
      <c r="K50" s="465">
        <f>-K9*$I$37</f>
        <v>-16186.876541593618</v>
      </c>
      <c r="L50" s="465">
        <f>-L9*$I$37</f>
        <v>-16941.430848856518</v>
      </c>
      <c r="M50" s="465">
        <f>-M9*$I$37</f>
        <v>-17731.158847667997</v>
      </c>
      <c r="N50"/>
    </row>
    <row r="51" spans="1:14" ht="15" customHeight="1" x14ac:dyDescent="0.35">
      <c r="A51" s="3"/>
      <c r="B51" s="69" t="s">
        <v>173</v>
      </c>
      <c r="D51"/>
      <c r="E51" s="464">
        <f>INPUT!E70+INPUT!E71+INPUT!E72+INPUT!E73</f>
        <v>18394</v>
      </c>
      <c r="F51" s="464">
        <f>INPUT!F70+INPUT!F71+INPUT!F72+INPUT!F73</f>
        <v>5049</v>
      </c>
      <c r="G51" s="465">
        <f>INPUT!G70+INPUT!G71+INPUT!G72+INPUT!G73</f>
        <v>19027</v>
      </c>
      <c r="H51" s="465">
        <f>IF(INPUT!H70&lt;&gt;"",INPUT!H70,INPUT!G70)+IF(INPUT!H71&lt;&gt;"",INPUT!H71,INPUT!G71)+IF(INPUT!H72&lt;&gt;"",INPUT!H72,INPUT!G72)+IF(INPUT!H73&lt;&gt;"",INPUT!H73,INPUT!G73)</f>
        <v>11865</v>
      </c>
      <c r="I51" s="465">
        <f>-(I9-H9)*$I$38</f>
        <v>-210.56173051693042</v>
      </c>
      <c r="J51" s="465">
        <f>-(J9-I9)*$I$38</f>
        <v>-220.37710535456645</v>
      </c>
      <c r="K51" s="465">
        <f>-(K9-J9)*$I$38</f>
        <v>-230.65002574412551</v>
      </c>
      <c r="L51" s="465">
        <f>-(L9-K9)*$I$38</f>
        <v>-241.40182025792987</v>
      </c>
      <c r="M51" s="465">
        <f>-(M9-L9)*$I$38</f>
        <v>-252.65481170372664</v>
      </c>
      <c r="N51"/>
    </row>
    <row r="52" spans="1:14" ht="15" customHeight="1" x14ac:dyDescent="0.35">
      <c r="A52" s="65"/>
      <c r="B52" s="64" t="s">
        <v>174</v>
      </c>
      <c r="D52"/>
      <c r="E52" s="466">
        <f>E45+E49+E50+E51</f>
        <v>52690</v>
      </c>
      <c r="F52" s="466">
        <f>F45+F49+F50+F51</f>
        <v>25673.069000000003</v>
      </c>
      <c r="G52" s="467">
        <f>G45+G49+G50+G51</f>
        <v>36866</v>
      </c>
      <c r="H52" s="467">
        <f>H45+H49+H50+H51</f>
        <v>24577.721000000001</v>
      </c>
      <c r="I52" s="467">
        <f>I45+I49+I50+I51</f>
        <v>18200.397367113343</v>
      </c>
      <c r="J52" s="467">
        <f>J45+J49+J50+J51</f>
        <v>19048.81232795912</v>
      </c>
      <c r="K52" s="467">
        <f>K45+K49+K50+K51</f>
        <v>19936.776312448077</v>
      </c>
      <c r="L52" s="467">
        <f>L45+L49+L50+L51</f>
        <v>20866.132905787097</v>
      </c>
      <c r="M52" s="468">
        <f>M45+M49+M50+M51</f>
        <v>21838.811632255685</v>
      </c>
      <c r="N52"/>
    </row>
    <row r="53" spans="1:14" ht="18" customHeight="1" x14ac:dyDescent="0.35">
      <c r="A53" s="3"/>
      <c r="B53"/>
      <c r="D53"/>
      <c r="E53"/>
      <c r="F53"/>
      <c r="G53"/>
      <c r="H53"/>
      <c r="I53"/>
      <c r="J53"/>
      <c r="K53"/>
      <c r="L53"/>
      <c r="M53"/>
      <c r="N53"/>
    </row>
    <row r="54" spans="1:14" ht="18" customHeight="1" x14ac:dyDescent="0.5">
      <c r="A54" s="7"/>
      <c r="B54" s="47" t="s">
        <v>175</v>
      </c>
      <c r="C54" s="42"/>
      <c r="D54" s="42"/>
      <c r="E54" s="23"/>
      <c r="F54" s="23"/>
      <c r="G54" s="23"/>
      <c r="H54" s="23"/>
      <c r="I54" s="23"/>
      <c r="J54" s="23"/>
      <c r="K54" s="23"/>
      <c r="L54" s="23"/>
      <c r="M54" s="23"/>
      <c r="N54" s="313"/>
    </row>
    <row r="55" spans="1:14" ht="15" customHeight="1" x14ac:dyDescent="0.5">
      <c r="A55" s="107"/>
      <c r="B55" s="116"/>
      <c r="C55" s="117"/>
      <c r="D55" s="117"/>
      <c r="E55" s="98"/>
      <c r="F55" s="98"/>
      <c r="G55" s="98"/>
      <c r="H55" s="98"/>
      <c r="J55" s="98"/>
      <c r="K55" s="98"/>
      <c r="L55" s="98"/>
      <c r="M55" s="98"/>
      <c r="N55" s="98"/>
    </row>
    <row r="56" spans="1:14" ht="15" customHeight="1" x14ac:dyDescent="0.35">
      <c r="A56" s="3"/>
      <c r="B56" s="17" t="s">
        <v>176</v>
      </c>
      <c r="C56" s="9"/>
      <c r="D56" s="306">
        <f>INPUT!H100</f>
        <v>4.2599999999999999E-2</v>
      </c>
      <c r="E56" s="292"/>
      <c r="F56" s="292"/>
      <c r="G56" s="292"/>
      <c r="H56" s="292"/>
      <c r="J56" s="292"/>
      <c r="K56" s="292"/>
      <c r="L56" s="292"/>
      <c r="M56" s="292"/>
      <c r="N56" s="315">
        <f>D56</f>
        <v>4.2599999999999999E-2</v>
      </c>
    </row>
    <row r="57" spans="1:14" ht="15" customHeight="1" x14ac:dyDescent="0.35">
      <c r="A57" s="3"/>
      <c r="B57" s="17" t="s">
        <v>66</v>
      </c>
      <c r="C57" s="9"/>
      <c r="D57" s="306">
        <f>INPUT!H99</f>
        <v>1</v>
      </c>
      <c r="E57" s="292"/>
      <c r="F57" s="292"/>
      <c r="G57" s="292"/>
      <c r="H57" s="292"/>
      <c r="J57" s="292"/>
      <c r="K57" s="292"/>
      <c r="L57" s="292"/>
      <c r="M57" s="292"/>
      <c r="N57" s="316">
        <f>D57</f>
        <v>1</v>
      </c>
    </row>
    <row r="58" spans="1:14" ht="15" customHeight="1" x14ac:dyDescent="0.35">
      <c r="A58" s="3"/>
      <c r="B58" s="17" t="s">
        <v>70</v>
      </c>
      <c r="C58" s="9"/>
      <c r="D58" s="306">
        <f>INPUT!H101</f>
        <v>5.5E-2</v>
      </c>
      <c r="E58" s="292"/>
      <c r="F58" s="292"/>
      <c r="G58" s="292"/>
      <c r="H58" s="292"/>
      <c r="J58" s="292"/>
      <c r="K58" s="292"/>
      <c r="L58" s="292"/>
      <c r="M58" s="292"/>
      <c r="N58" s="315">
        <f>D58</f>
        <v>5.5E-2</v>
      </c>
    </row>
    <row r="59" spans="1:14" ht="15" customHeight="1" x14ac:dyDescent="0.35">
      <c r="A59" s="3"/>
      <c r="B59" s="52" t="s">
        <v>71</v>
      </c>
      <c r="C59" s="11"/>
      <c r="D59" s="307">
        <f>D56+D57*D58</f>
        <v>9.7599999999999992E-2</v>
      </c>
      <c r="E59" s="293"/>
      <c r="F59" s="293"/>
      <c r="G59" s="293"/>
      <c r="H59" s="293"/>
      <c r="J59" s="293"/>
      <c r="K59" s="293"/>
      <c r="L59" s="293"/>
      <c r="M59" s="293"/>
      <c r="N59" s="317">
        <f>D59</f>
        <v>9.7599999999999992E-2</v>
      </c>
    </row>
    <row r="60" spans="1:14" ht="15" customHeight="1" x14ac:dyDescent="0.35">
      <c r="A60" s="3"/>
      <c r="B60" s="17"/>
      <c r="C60" s="9"/>
      <c r="D60" s="9"/>
      <c r="E60" s="22"/>
      <c r="F60" s="22"/>
      <c r="G60" s="22"/>
      <c r="H60" s="22"/>
      <c r="J60" s="22"/>
      <c r="K60" s="22"/>
      <c r="L60" s="22"/>
      <c r="M60" s="22"/>
      <c r="N60" s="55"/>
    </row>
    <row r="61" spans="1:14" ht="15" customHeight="1" x14ac:dyDescent="0.35">
      <c r="A61" s="3"/>
      <c r="B61" s="17" t="s">
        <v>177</v>
      </c>
      <c r="C61" s="9"/>
      <c r="D61" s="306">
        <f>INPUT!H106</f>
        <v>0.74009999999999998</v>
      </c>
      <c r="E61" s="292"/>
      <c r="F61" s="292"/>
      <c r="G61" s="292"/>
      <c r="H61" s="292"/>
      <c r="J61" s="292"/>
      <c r="K61" s="292"/>
      <c r="L61" s="292"/>
      <c r="M61" s="292"/>
      <c r="N61" s="318">
        <f t="shared" ref="N61:N66" si="4">D61</f>
        <v>0.74009999999999998</v>
      </c>
    </row>
    <row r="62" spans="1:14" ht="15" customHeight="1" x14ac:dyDescent="0.35">
      <c r="A62" s="3"/>
      <c r="B62" s="17" t="s">
        <v>178</v>
      </c>
      <c r="C62" s="9"/>
      <c r="D62" s="306">
        <f>INPUT!H107</f>
        <v>0.25990000000000002</v>
      </c>
      <c r="E62" s="292"/>
      <c r="F62" s="292"/>
      <c r="G62" s="292"/>
      <c r="H62" s="292"/>
      <c r="J62" s="292"/>
      <c r="K62" s="292"/>
      <c r="L62" s="292"/>
      <c r="M62" s="292"/>
      <c r="N62" s="318">
        <f t="shared" si="4"/>
        <v>0.25990000000000002</v>
      </c>
    </row>
    <row r="63" spans="1:14" ht="15" customHeight="1" x14ac:dyDescent="0.35">
      <c r="A63" s="3"/>
      <c r="B63" s="17" t="s">
        <v>179</v>
      </c>
      <c r="C63" s="9"/>
      <c r="D63" s="306">
        <f>INPUT!H103</f>
        <v>4.3999999999999997E-2</v>
      </c>
      <c r="E63" s="292"/>
      <c r="F63" s="292"/>
      <c r="G63" s="292"/>
      <c r="H63" s="292"/>
      <c r="J63" s="292"/>
      <c r="K63" s="292"/>
      <c r="L63" s="292"/>
      <c r="M63" s="292"/>
      <c r="N63" s="315">
        <f t="shared" si="4"/>
        <v>4.3999999999999997E-2</v>
      </c>
    </row>
    <row r="64" spans="1:14" ht="15" customHeight="1" x14ac:dyDescent="0.35">
      <c r="A64" s="3"/>
      <c r="B64" s="17" t="s">
        <v>73</v>
      </c>
      <c r="C64" s="9"/>
      <c r="D64" s="306">
        <f>INPUT!H104</f>
        <v>0.38579999999999998</v>
      </c>
      <c r="E64" s="292"/>
      <c r="F64" s="292"/>
      <c r="G64" s="292"/>
      <c r="H64" s="292"/>
      <c r="J64" s="292"/>
      <c r="K64" s="292"/>
      <c r="L64" s="292"/>
      <c r="M64" s="292"/>
      <c r="N64" s="318">
        <f t="shared" si="4"/>
        <v>0.38579999999999998</v>
      </c>
    </row>
    <row r="65" spans="1:14" ht="15" customHeight="1" x14ac:dyDescent="0.35">
      <c r="A65" s="3"/>
      <c r="B65" s="17" t="s">
        <v>74</v>
      </c>
      <c r="C65" s="9"/>
      <c r="D65" s="306">
        <f>D63*(1-D64)</f>
        <v>2.7024800000000002E-2</v>
      </c>
      <c r="E65" s="292"/>
      <c r="F65" s="292"/>
      <c r="G65" s="292"/>
      <c r="H65" s="292"/>
      <c r="J65" s="292"/>
      <c r="K65" s="292"/>
      <c r="L65" s="292"/>
      <c r="M65" s="292"/>
      <c r="N65" s="315">
        <f t="shared" si="4"/>
        <v>2.7024800000000002E-2</v>
      </c>
    </row>
    <row r="66" spans="1:14" ht="15" customHeight="1" x14ac:dyDescent="0.35">
      <c r="A66" s="3"/>
      <c r="B66" s="49" t="s">
        <v>77</v>
      </c>
      <c r="C66" s="11"/>
      <c r="D66" s="307">
        <f>D61*D59+D65*D62</f>
        <v>7.9257505519999993E-2</v>
      </c>
      <c r="E66" s="293"/>
      <c r="F66" s="293"/>
      <c r="G66" s="293"/>
      <c r="H66" s="293"/>
      <c r="J66" s="293"/>
      <c r="K66" s="293"/>
      <c r="L66" s="293"/>
      <c r="M66" s="293"/>
      <c r="N66" s="319">
        <f t="shared" si="4"/>
        <v>7.9257505519999993E-2</v>
      </c>
    </row>
    <row r="67" spans="1:14" ht="18" customHeight="1" x14ac:dyDescent="0.35">
      <c r="A67" s="3"/>
      <c r="B67" s="14"/>
      <c r="C67" s="9"/>
      <c r="D67" s="9"/>
      <c r="E67" s="22"/>
      <c r="F67" s="22"/>
      <c r="G67" s="22"/>
      <c r="H67" s="22"/>
      <c r="I67" s="22"/>
      <c r="J67" s="22"/>
      <c r="K67" s="22"/>
      <c r="L67" s="22"/>
      <c r="M67" s="22"/>
      <c r="N67" s="55"/>
    </row>
    <row r="68" spans="1:14" ht="18" customHeight="1" x14ac:dyDescent="0.5">
      <c r="A68" s="7"/>
      <c r="B68" s="47" t="s">
        <v>180</v>
      </c>
      <c r="C68" s="42"/>
      <c r="D68" s="42"/>
      <c r="E68" s="23"/>
      <c r="F68" s="23"/>
      <c r="G68" s="23"/>
      <c r="H68" s="23"/>
      <c r="I68" s="23"/>
      <c r="J68" s="23"/>
      <c r="K68" s="23"/>
      <c r="L68" s="23"/>
      <c r="M68" s="23"/>
      <c r="N68" s="313"/>
    </row>
    <row r="69" spans="1:14" ht="15" customHeight="1" x14ac:dyDescent="0.5">
      <c r="A69" s="107"/>
      <c r="B69" s="116"/>
      <c r="C69" s="117"/>
      <c r="D69" s="117"/>
      <c r="E69" s="98"/>
      <c r="F69" s="98"/>
      <c r="G69" s="98"/>
      <c r="H69" s="98"/>
      <c r="I69" s="98"/>
      <c r="J69" s="98"/>
      <c r="K69" s="98"/>
      <c r="L69" s="98"/>
      <c r="M69" s="98"/>
      <c r="N69" s="98"/>
    </row>
    <row r="70" spans="1:14" ht="15" customHeight="1" x14ac:dyDescent="0.35">
      <c r="A70" s="3"/>
      <c r="B70" s="17" t="s">
        <v>181</v>
      </c>
      <c r="C70" s="9"/>
      <c r="D70" s="306">
        <f>INPUT!H109</f>
        <v>2.5000000000000001E-2</v>
      </c>
      <c r="E70" s="292"/>
      <c r="F70" s="292"/>
      <c r="G70" s="292"/>
      <c r="H70" s="292"/>
      <c r="I70" s="292"/>
      <c r="J70" s="292"/>
      <c r="K70" s="292"/>
      <c r="L70" s="292"/>
      <c r="M70" s="292"/>
      <c r="N70" s="318">
        <f t="shared" ref="N70:N75" si="5">D70</f>
        <v>2.5000000000000001E-2</v>
      </c>
    </row>
    <row r="71" spans="1:14" ht="15" customHeight="1" x14ac:dyDescent="0.35">
      <c r="A71" s="3"/>
      <c r="B71" s="17" t="s">
        <v>77</v>
      </c>
      <c r="C71" s="9"/>
      <c r="D71" s="306">
        <f>D66</f>
        <v>7.9257505519999993E-2</v>
      </c>
      <c r="E71" s="292"/>
      <c r="F71" s="292"/>
      <c r="G71" s="292"/>
      <c r="H71" s="292"/>
      <c r="I71" s="292"/>
      <c r="J71" s="292"/>
      <c r="K71" s="292"/>
      <c r="L71" s="292"/>
      <c r="M71" s="292"/>
      <c r="N71" s="315">
        <f t="shared" si="5"/>
        <v>7.9257505519999993E-2</v>
      </c>
    </row>
    <row r="72" spans="1:14" ht="15" customHeight="1" x14ac:dyDescent="0.35">
      <c r="A72" s="3"/>
      <c r="B72" s="17" t="s">
        <v>182</v>
      </c>
      <c r="C72" s="405"/>
      <c r="D72" s="413">
        <f>M52</f>
        <v>21838.811632255685</v>
      </c>
      <c r="E72" s="292"/>
      <c r="F72" s="292"/>
      <c r="G72" s="292"/>
      <c r="H72" s="292"/>
      <c r="I72" s="292"/>
      <c r="J72" s="292"/>
      <c r="K72" s="292"/>
      <c r="L72" s="292"/>
      <c r="M72" s="292"/>
      <c r="N72" s="320">
        <f t="shared" si="5"/>
        <v>21838.811632255685</v>
      </c>
    </row>
    <row r="73" spans="1:14" ht="15" customHeight="1" x14ac:dyDescent="0.35">
      <c r="A73" s="3"/>
      <c r="B73" s="17" t="s">
        <v>183</v>
      </c>
      <c r="C73" s="405"/>
      <c r="D73" s="413">
        <f>D72*(1+D70)</f>
        <v>22384.781923062077</v>
      </c>
      <c r="E73" s="292"/>
      <c r="F73" s="292"/>
      <c r="G73" s="292"/>
      <c r="H73" s="292"/>
      <c r="I73" s="293"/>
      <c r="J73" s="292"/>
      <c r="K73" s="292"/>
      <c r="L73" s="292"/>
      <c r="M73" s="292"/>
      <c r="N73" s="320">
        <f t="shared" si="5"/>
        <v>22384.781923062077</v>
      </c>
    </row>
    <row r="74" spans="1:14" ht="15" customHeight="1" x14ac:dyDescent="0.35">
      <c r="A74" s="3"/>
      <c r="B74" s="52" t="s">
        <v>184</v>
      </c>
      <c r="C74" s="406"/>
      <c r="D74" s="414">
        <f>IFERROR(D73/(D71-D70),"–")</f>
        <v>412565.62955720047</v>
      </c>
      <c r="E74" s="293"/>
      <c r="F74" s="293"/>
      <c r="G74" s="293"/>
      <c r="H74" s="293"/>
      <c r="I74" s="22"/>
      <c r="J74" s="293"/>
      <c r="K74" s="293"/>
      <c r="L74" s="293"/>
      <c r="M74" s="293"/>
      <c r="N74" s="321">
        <f t="shared" si="5"/>
        <v>412565.62955720047</v>
      </c>
    </row>
    <row r="75" spans="1:14" ht="15" customHeight="1" x14ac:dyDescent="0.35">
      <c r="A75" s="3"/>
      <c r="B75" s="17" t="s">
        <v>185</v>
      </c>
      <c r="C75" s="9"/>
      <c r="D75" s="306">
        <f>IFERROR(D74/M15,"–")</f>
        <v>7.3677037113594608</v>
      </c>
      <c r="E75" s="292"/>
      <c r="F75" s="292"/>
      <c r="G75" s="292"/>
      <c r="H75" s="292"/>
      <c r="I75" s="292"/>
      <c r="J75" s="292"/>
      <c r="K75" s="292"/>
      <c r="L75" s="292"/>
      <c r="M75" s="292"/>
      <c r="N75" s="322">
        <f t="shared" si="5"/>
        <v>7.3677037113594608</v>
      </c>
    </row>
    <row r="76" spans="1:14" ht="15" customHeight="1" x14ac:dyDescent="0.35">
      <c r="A76" s="3"/>
      <c r="B76" s="14" t="s">
        <v>186</v>
      </c>
      <c r="C76" s="9"/>
      <c r="D76" s="306">
        <f>1</f>
        <v>1</v>
      </c>
      <c r="E76" s="22"/>
      <c r="F76" s="22"/>
      <c r="G76" s="35"/>
      <c r="H76" s="35"/>
      <c r="I76" s="292"/>
      <c r="J76" s="303">
        <v>2</v>
      </c>
      <c r="K76" s="303">
        <v>3</v>
      </c>
      <c r="L76" s="303">
        <v>4</v>
      </c>
      <c r="M76" s="303">
        <v>5</v>
      </c>
      <c r="N76" s="303">
        <v>5</v>
      </c>
    </row>
    <row r="77" spans="1:14" ht="15" customHeight="1" x14ac:dyDescent="0.35">
      <c r="A77" s="3"/>
      <c r="B77" s="14"/>
      <c r="C77" s="9"/>
      <c r="D77" s="306"/>
      <c r="E77" s="22"/>
      <c r="F77" s="22"/>
      <c r="G77" s="35"/>
      <c r="H77" s="35"/>
      <c r="I77" s="292"/>
      <c r="J77" s="479"/>
      <c r="K77" s="479"/>
      <c r="L77" s="479"/>
      <c r="M77" s="479"/>
      <c r="N77" s="479"/>
    </row>
    <row r="78" spans="1:14" ht="15" customHeight="1" x14ac:dyDescent="0.35">
      <c r="A78" s="3"/>
      <c r="B78" s="14" t="s">
        <v>187</v>
      </c>
      <c r="C78" s="9"/>
      <c r="D78" s="306">
        <f>1/(1+$D$71)^I76</f>
        <v>1</v>
      </c>
      <c r="E78" s="22"/>
      <c r="F78" s="22"/>
      <c r="G78" s="36"/>
      <c r="H78" s="36"/>
      <c r="I78" s="292"/>
      <c r="J78" s="302">
        <f>1/(1+$D$71)^J76</f>
        <v>0.85851886919267673</v>
      </c>
      <c r="K78" s="302">
        <f>1/(1+$D$71)^K76</f>
        <v>0.79547176165249966</v>
      </c>
      <c r="L78" s="302">
        <f>1/(1+$D$71)^L76</f>
        <v>0.73705464875987237</v>
      </c>
      <c r="M78" s="302">
        <f>1/(1+$D$71)^M76</f>
        <v>0.68292751728861045</v>
      </c>
      <c r="N78" s="302">
        <f>1/(1+$D$71)^M76</f>
        <v>0.68292751728861045</v>
      </c>
    </row>
    <row r="79" spans="1:14" ht="15" customHeight="1" x14ac:dyDescent="0.35">
      <c r="A79" s="3"/>
      <c r="B79" s="14" t="s">
        <v>188</v>
      </c>
      <c r="C79" s="405"/>
      <c r="D79" s="413">
        <f>I52</f>
        <v>18200.397367113343</v>
      </c>
      <c r="E79" s="22"/>
      <c r="F79" s="22"/>
      <c r="G79" s="34"/>
      <c r="H79" s="34"/>
      <c r="I79" s="292"/>
      <c r="J79" s="304">
        <f>J52</f>
        <v>19048.81232795912</v>
      </c>
      <c r="K79" s="304">
        <f>K52</f>
        <v>19936.776312448077</v>
      </c>
      <c r="L79" s="304">
        <f>L52</f>
        <v>20866.132905787097</v>
      </c>
      <c r="M79" s="304">
        <f>M52</f>
        <v>21838.811632255685</v>
      </c>
      <c r="N79" s="34"/>
    </row>
    <row r="80" spans="1:14" ht="15" customHeight="1" x14ac:dyDescent="0.35">
      <c r="A80" s="3"/>
      <c r="B80" s="14" t="s">
        <v>189</v>
      </c>
      <c r="C80" s="405"/>
      <c r="D80" s="8"/>
      <c r="E80" s="22"/>
      <c r="F80" s="22"/>
      <c r="G80" s="34"/>
      <c r="H80" s="34"/>
      <c r="I80" s="293"/>
      <c r="J80" s="34"/>
      <c r="K80" s="34"/>
      <c r="L80" s="34"/>
      <c r="M80" s="34"/>
      <c r="N80" s="304">
        <f>D74</f>
        <v>412565.62955720047</v>
      </c>
    </row>
    <row r="81" spans="1:14" ht="15" customHeight="1" x14ac:dyDescent="0.35">
      <c r="A81" s="3"/>
      <c r="B81" s="14" t="s">
        <v>190</v>
      </c>
      <c r="C81" s="405"/>
      <c r="D81" s="8"/>
      <c r="E81" s="22"/>
      <c r="F81" s="22"/>
      <c r="G81" s="34"/>
      <c r="H81" s="34"/>
      <c r="I81" s="22"/>
      <c r="J81" s="304">
        <f>J78*J79</f>
        <v>16353.764819262984</v>
      </c>
      <c r="K81" s="304">
        <f>K78*K79</f>
        <v>15859.142574934898</v>
      </c>
      <c r="L81" s="304">
        <f>L78*L79</f>
        <v>15379.480259851724</v>
      </c>
      <c r="M81" s="304">
        <f>M78*M79</f>
        <v>14914.325408550001</v>
      </c>
      <c r="N81" s="314">
        <f>IFERROR(N78*N80,"–")</f>
        <v>281752.42111211148</v>
      </c>
    </row>
    <row r="82" spans="1:14" ht="18" customHeight="1" x14ac:dyDescent="0.5">
      <c r="A82" s="3"/>
      <c r="B82" s="14"/>
      <c r="C82" s="9"/>
      <c r="D82" s="9"/>
      <c r="E82" s="22"/>
      <c r="F82" s="22"/>
      <c r="G82" s="22"/>
      <c r="H82" s="22"/>
      <c r="I82" s="324"/>
      <c r="J82" s="22"/>
      <c r="K82" s="22"/>
      <c r="L82" s="22"/>
      <c r="M82" s="22"/>
      <c r="N82" s="55"/>
    </row>
    <row r="83" spans="1:14" ht="18" customHeight="1" x14ac:dyDescent="0.5">
      <c r="A83" s="7"/>
      <c r="B83" s="47" t="s">
        <v>191</v>
      </c>
      <c r="C83" s="42"/>
      <c r="D83" s="42"/>
      <c r="E83" s="23"/>
      <c r="F83" s="23"/>
      <c r="G83" s="23"/>
      <c r="H83" s="23"/>
      <c r="I83" s="42"/>
      <c r="J83" s="23"/>
      <c r="K83" s="23"/>
      <c r="L83" s="23"/>
      <c r="M83" s="23"/>
      <c r="N83" s="313"/>
    </row>
    <row r="84" spans="1:14" ht="15" customHeight="1" x14ac:dyDescent="0.5">
      <c r="A84" s="107"/>
      <c r="B84" s="116"/>
      <c r="C84" s="117"/>
      <c r="D84" s="311"/>
      <c r="E84" s="98"/>
      <c r="F84" s="98"/>
      <c r="G84" s="98"/>
      <c r="H84" s="98"/>
      <c r="J84" s="98"/>
      <c r="K84" s="98"/>
      <c r="L84" s="98"/>
      <c r="M84" s="98"/>
      <c r="N84" s="98"/>
    </row>
    <row r="85" spans="1:14" ht="15" customHeight="1" x14ac:dyDescent="0.35">
      <c r="A85" s="3"/>
      <c r="B85" s="52" t="s">
        <v>192</v>
      </c>
      <c r="C85" s="406"/>
      <c r="D85" s="312">
        <f>SUM(I81:M81)</f>
        <v>62506.713062599607</v>
      </c>
      <c r="E85" s="292"/>
      <c r="F85" s="292"/>
      <c r="G85" s="292"/>
      <c r="H85" s="292"/>
      <c r="J85" s="292"/>
      <c r="K85" s="292"/>
      <c r="L85" s="292"/>
      <c r="M85" s="292"/>
      <c r="N85" s="304">
        <f>D85</f>
        <v>62506.713062599607</v>
      </c>
    </row>
    <row r="86" spans="1:14" ht="15" customHeight="1" x14ac:dyDescent="0.35">
      <c r="A86" s="3"/>
      <c r="B86" s="17" t="s">
        <v>193</v>
      </c>
      <c r="C86" s="405"/>
      <c r="D86" s="409">
        <f>N81</f>
        <v>281752.42111211148</v>
      </c>
      <c r="E86" s="292"/>
      <c r="F86" s="292"/>
      <c r="G86" s="292"/>
      <c r="H86" s="292"/>
      <c r="J86" s="292"/>
      <c r="K86" s="292"/>
      <c r="L86" s="292"/>
      <c r="M86" s="292"/>
      <c r="N86" s="304">
        <f>D86</f>
        <v>281752.42111211148</v>
      </c>
    </row>
    <row r="87" spans="1:14" ht="15" customHeight="1" x14ac:dyDescent="0.35">
      <c r="A87" s="3"/>
      <c r="B87" s="52" t="s">
        <v>65</v>
      </c>
      <c r="C87" s="406"/>
      <c r="D87" s="312">
        <f>IFERROR(D85+D86,"–")</f>
        <v>344259.13417471107</v>
      </c>
      <c r="E87" s="293"/>
      <c r="F87" s="293"/>
      <c r="G87" s="293"/>
      <c r="H87" s="293"/>
      <c r="J87" s="293"/>
      <c r="K87" s="293"/>
      <c r="L87" s="293"/>
      <c r="M87" s="293"/>
      <c r="N87" s="304">
        <f>D87</f>
        <v>344259.13417471107</v>
      </c>
    </row>
    <row r="88" spans="1:14" ht="15" customHeight="1" x14ac:dyDescent="0.35">
      <c r="A88" s="65"/>
      <c r="B88" s="111"/>
      <c r="C88" s="407"/>
      <c r="D88" s="312"/>
      <c r="E88" s="294"/>
      <c r="F88" s="294"/>
      <c r="G88" s="294"/>
      <c r="H88" s="294"/>
      <c r="J88" s="294"/>
      <c r="K88" s="294"/>
      <c r="L88" s="294"/>
      <c r="M88" s="294"/>
      <c r="N88" s="58"/>
    </row>
    <row r="89" spans="1:14" ht="15" customHeight="1" x14ac:dyDescent="0.35">
      <c r="A89" s="3"/>
      <c r="B89" s="17" t="s">
        <v>194</v>
      </c>
      <c r="C89" s="405"/>
      <c r="D89" s="467">
        <f>-(INPUT!H48+INPUT!H54)</f>
        <v>-58195</v>
      </c>
      <c r="E89" s="292"/>
      <c r="F89" s="292"/>
      <c r="G89" s="292"/>
      <c r="H89" s="292"/>
      <c r="J89" s="292"/>
      <c r="K89" s="292"/>
      <c r="L89" s="292"/>
      <c r="M89" s="292"/>
      <c r="N89" s="304">
        <f>D89</f>
        <v>-58195</v>
      </c>
    </row>
    <row r="90" spans="1:14" ht="15" customHeight="1" x14ac:dyDescent="0.35">
      <c r="A90" s="3"/>
      <c r="B90" s="17" t="s">
        <v>195</v>
      </c>
      <c r="C90" s="405"/>
      <c r="D90" s="409">
        <f>INPUT!H34</f>
        <v>24152</v>
      </c>
      <c r="E90" s="292"/>
      <c r="F90" s="292"/>
      <c r="G90" s="292"/>
      <c r="H90" s="292"/>
      <c r="J90" s="292"/>
      <c r="K90" s="292"/>
      <c r="L90" s="292"/>
      <c r="M90" s="292"/>
      <c r="N90" s="304">
        <f>D90</f>
        <v>24152</v>
      </c>
    </row>
    <row r="91" spans="1:14" ht="15" customHeight="1" x14ac:dyDescent="0.35">
      <c r="A91" s="3"/>
      <c r="B91" s="52" t="s">
        <v>196</v>
      </c>
      <c r="C91" s="406"/>
      <c r="D91" s="312">
        <f>IFERROR(D87+D89+D90,"–")</f>
        <v>310216.13417471107</v>
      </c>
      <c r="E91" s="293"/>
      <c r="F91" s="293"/>
      <c r="G91" s="293"/>
      <c r="H91" s="293"/>
      <c r="J91" s="293"/>
      <c r="K91" s="293"/>
      <c r="L91" s="293"/>
      <c r="M91" s="293"/>
      <c r="N91" s="304">
        <f>D91</f>
        <v>310216.13417471107</v>
      </c>
    </row>
    <row r="92" spans="1:14" ht="15" customHeight="1" x14ac:dyDescent="0.35">
      <c r="A92" s="65"/>
      <c r="B92" s="111"/>
      <c r="C92" s="407"/>
      <c r="D92" s="312"/>
      <c r="E92" s="294"/>
      <c r="F92" s="294"/>
      <c r="G92" s="294"/>
      <c r="H92" s="294"/>
      <c r="J92" s="294"/>
      <c r="K92" s="294"/>
      <c r="L92" s="294"/>
      <c r="M92" s="294"/>
      <c r="N92" s="58"/>
    </row>
    <row r="93" spans="1:14" ht="15" customHeight="1" x14ac:dyDescent="0.35">
      <c r="A93" s="3"/>
      <c r="B93" s="17" t="s">
        <v>62</v>
      </c>
      <c r="C93" s="9"/>
      <c r="D93" s="309">
        <f>INPUT!H96</f>
        <v>2133.12</v>
      </c>
      <c r="E93" s="292"/>
      <c r="F93" s="292"/>
      <c r="G93" s="292"/>
      <c r="H93" s="292"/>
      <c r="J93" s="292"/>
      <c r="K93" s="292"/>
      <c r="L93" s="292"/>
      <c r="M93" s="292"/>
      <c r="N93" s="304">
        <f>D93</f>
        <v>2133.12</v>
      </c>
    </row>
    <row r="94" spans="1:14" ht="15" customHeight="1" x14ac:dyDescent="0.35">
      <c r="A94" s="3"/>
      <c r="B94" s="52" t="s">
        <v>197</v>
      </c>
      <c r="C94" s="11"/>
      <c r="D94" s="310">
        <f>IFERROR(D91/D93,"–")</f>
        <v>145.42835572996881</v>
      </c>
      <c r="E94" s="293"/>
      <c r="F94" s="293"/>
      <c r="G94" s="293"/>
      <c r="H94" s="293"/>
      <c r="J94" s="293"/>
      <c r="K94" s="293"/>
      <c r="L94" s="293"/>
      <c r="M94" s="293"/>
      <c r="N94" s="304">
        <f>D94</f>
        <v>145.42835572996881</v>
      </c>
    </row>
    <row r="95" spans="1:14" ht="15" customHeight="1" x14ac:dyDescent="0.35">
      <c r="A95" s="3"/>
      <c r="B95" s="17" t="s">
        <v>198</v>
      </c>
      <c r="C95" s="308" t="s">
        <v>61</v>
      </c>
      <c r="D95" s="309">
        <f>INPUT!H95</f>
        <v>77.69</v>
      </c>
      <c r="E95" s="292"/>
      <c r="F95" s="292"/>
      <c r="G95" s="292"/>
      <c r="H95" s="292"/>
      <c r="J95" s="292"/>
      <c r="K95" s="292"/>
      <c r="L95" s="292"/>
      <c r="M95" s="292"/>
      <c r="N95" s="304">
        <f>D95</f>
        <v>77.69</v>
      </c>
    </row>
    <row r="96" spans="1:14" ht="15" customHeight="1" x14ac:dyDescent="0.35">
      <c r="A96" s="3"/>
      <c r="B96" s="17" t="s">
        <v>199</v>
      </c>
      <c r="C96" s="308" t="s">
        <v>69</v>
      </c>
      <c r="D96" s="309">
        <f>IFERROR(D94/D95-1,"–")</f>
        <v>0.87190572441715553</v>
      </c>
      <c r="E96" s="292"/>
      <c r="F96" s="292"/>
      <c r="G96" s="292"/>
      <c r="H96" s="292"/>
      <c r="J96" s="292"/>
      <c r="K96" s="292"/>
      <c r="L96" s="292"/>
      <c r="M96" s="292"/>
      <c r="N96" s="304">
        <f>D96</f>
        <v>0.87190572441715553</v>
      </c>
    </row>
    <row r="97" spans="1:17" ht="15" customHeight="1" x14ac:dyDescent="0.35">
      <c r="A97" s="3"/>
      <c r="B97" s="93" t="s">
        <v>200</v>
      </c>
      <c r="C97" s="309" t="s">
        <v>69</v>
      </c>
      <c r="D97" s="426">
        <f>IFERROR(IRR(CHOOSE({1,2,3,4,5,6},-D87,I52,J52,K52,L52,M52+D74)),"–")</f>
        <v>9.0684526215026873E-2</v>
      </c>
      <c r="E97" s="292"/>
      <c r="F97" s="292"/>
      <c r="G97" s="292"/>
      <c r="H97" s="292"/>
      <c r="I97" s="292"/>
      <c r="J97" s="292"/>
      <c r="K97" s="292"/>
      <c r="L97" s="292"/>
      <c r="M97" s="292"/>
      <c r="N97" s="292"/>
    </row>
    <row r="98" spans="1:17" ht="18" customHeight="1" x14ac:dyDescent="0.5">
      <c r="A98" s="3"/>
      <c r="B98" s="93"/>
      <c r="C98" s="94"/>
      <c r="D98" s="309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325" t="str">
        <f>ROUND(C103*100,1)&amp;"%"</f>
        <v>7,9%</v>
      </c>
      <c r="P98" s="325" t="str">
        <f>ROUND(C104*100,1)&amp;"%"</f>
        <v>8,9%</v>
      </c>
      <c r="Q98" s="325" t="str">
        <f>ROUND(C105*100,1)&amp;"%"</f>
        <v>9,9%</v>
      </c>
    </row>
    <row r="99" spans="1:17" ht="15" customHeight="1" x14ac:dyDescent="0.5">
      <c r="A99" s="7"/>
      <c r="B99" s="47" t="s">
        <v>201</v>
      </c>
      <c r="C99" s="42"/>
      <c r="D99" s="42"/>
      <c r="E99" s="23"/>
      <c r="F99" s="23"/>
      <c r="G99" s="23"/>
      <c r="H99" s="23"/>
      <c r="I99" s="23"/>
      <c r="J99" s="23"/>
      <c r="K99" s="23"/>
      <c r="L99" s="23"/>
      <c r="M99" s="313" t="str">
        <f>ROUND(C101*100,1)&amp;"%"</f>
        <v>5,9%</v>
      </c>
      <c r="N99" s="313" t="str">
        <f>ROUND(C102*100,1)&amp;"%"</f>
        <v>6,9%</v>
      </c>
      <c r="O99" s="326">
        <f>D103</f>
        <v>101.55981477488764</v>
      </c>
      <c r="P99" s="326">
        <f>D104</f>
        <v>88.146208628623853</v>
      </c>
      <c r="Q99" s="326">
        <f>D105</f>
        <v>77.60554042428582</v>
      </c>
    </row>
    <row r="100" spans="1:17" ht="15" customHeight="1" x14ac:dyDescent="0.35">
      <c r="A100" s="1"/>
      <c r="B100" s="16" t="s">
        <v>202</v>
      </c>
      <c r="C100" s="80" t="s">
        <v>203</v>
      </c>
      <c r="D100" s="332">
        <v>0</v>
      </c>
      <c r="E100" s="332">
        <v>0.01</v>
      </c>
      <c r="F100" s="332">
        <v>0.02</v>
      </c>
      <c r="G100" s="332">
        <v>0.03</v>
      </c>
      <c r="H100" s="332">
        <v>0.04</v>
      </c>
      <c r="I100" s="80"/>
      <c r="J100" s="80"/>
      <c r="K100" s="80"/>
      <c r="L100" s="80" t="s">
        <v>204</v>
      </c>
      <c r="M100" s="329">
        <f>D101</f>
        <v>142.90121189160305</v>
      </c>
      <c r="N100" s="329">
        <f>D102</f>
        <v>119.10708248182621</v>
      </c>
      <c r="O100" s="328">
        <f>E103</f>
        <v>115.30675864850038</v>
      </c>
      <c r="P100" s="328">
        <f>E104</f>
        <v>98.426521333972218</v>
      </c>
      <c r="Q100" s="328">
        <f>E105</f>
        <v>85.51975560858871</v>
      </c>
    </row>
    <row r="101" spans="1:17" ht="15" customHeight="1" x14ac:dyDescent="0.35">
      <c r="A101" s="3"/>
      <c r="B101" s="14"/>
      <c r="C101" s="247">
        <f>D66-0.02</f>
        <v>5.9257505519999989E-2</v>
      </c>
      <c r="D101" s="247">
        <f>IFERROR((D85+((D72*(1+0))/(C101-0))/(1+C101)^5+D89+D90)/D93,"–")</f>
        <v>142.90121189160305</v>
      </c>
      <c r="E101" s="246">
        <f>IFERROR((D85+((D72*(1+0.01))/(C101-0.01))/(1+C101)^5+D89+D90)/D93,"–")</f>
        <v>170.76189333672673</v>
      </c>
      <c r="F101" s="246">
        <f>IFERROR((D85+((D72*(1+0.02))/(C101-0.02))/(1+C101)^5+D89+D90)/D93,"–")</f>
        <v>212.81638616955047</v>
      </c>
      <c r="G101" s="246">
        <f>IFERROR((D85+((D72*(1+0.03))/(C101-0.03))/(1+C101)^5+D89+D90)/D93,"–")</f>
        <v>283.61871111272001</v>
      </c>
      <c r="H101" s="246">
        <f>IFERROR((D85+((D72*(1+0.04))/(C101-0.04))/(1+C101)^5+D89+D90)/D93,"–")</f>
        <v>427.95322315004591</v>
      </c>
      <c r="I101" s="323"/>
      <c r="J101" s="323"/>
      <c r="K101" s="323"/>
      <c r="L101" s="327" t="s">
        <v>205</v>
      </c>
      <c r="M101" s="330">
        <f>E101</f>
        <v>170.76189333672673</v>
      </c>
      <c r="N101" s="330">
        <f>E102</f>
        <v>138.19129631711206</v>
      </c>
      <c r="O101" s="328">
        <f>F103</f>
        <v>133.69343338927666</v>
      </c>
      <c r="P101" s="328">
        <f>F104</f>
        <v>111.67555566108901</v>
      </c>
      <c r="Q101" s="328">
        <f>F105</f>
        <v>95.431059934766225</v>
      </c>
    </row>
    <row r="102" spans="1:17" ht="15" customHeight="1" x14ac:dyDescent="0.35">
      <c r="A102" s="3"/>
      <c r="B102" s="14"/>
      <c r="C102" s="247">
        <f>D66-0.01</f>
        <v>6.9257505519999998E-2</v>
      </c>
      <c r="D102" s="247">
        <f>IFERROR((D85+((D72*(1+0))/(C102-0))/(1+C102)^5+D89+D90)/D93,"–")</f>
        <v>119.10708248182621</v>
      </c>
      <c r="E102" s="246">
        <f>IFERROR((D85+((D72*(1+0.01))/(C102-0.01))/(1+C102)^5+D89+D90)/D93,"–")</f>
        <v>138.19129631711206</v>
      </c>
      <c r="F102" s="246">
        <f>IFERROR((D85+((D72*(1+0.02))/(C102-0.02))/(1+C102)^5+D89+D90)/D93,"–")</f>
        <v>165.02426382305919</v>
      </c>
      <c r="G102" s="246">
        <f>IFERROR((D85+((D72*(1+0.03))/(C102-0.03))/(1+C102)^5+D89+D90)/D93,"–")</f>
        <v>205.52746694409237</v>
      </c>
      <c r="H102" s="246">
        <f>IFERROR((D85+((D72*(1+0.04))/(C102-0.04))/(1+C102)^5+D89+D90)/D93,"–")</f>
        <v>273.71806336893667</v>
      </c>
      <c r="I102" s="323"/>
      <c r="J102" s="323"/>
      <c r="K102" s="323"/>
      <c r="L102" s="327" t="s">
        <v>206</v>
      </c>
      <c r="M102" s="330">
        <f>F101</f>
        <v>212.81638616955047</v>
      </c>
      <c r="N102" s="330">
        <f>F102</f>
        <v>165.02426382305919</v>
      </c>
      <c r="O102" s="326">
        <f>G103</f>
        <v>159.5456403557198</v>
      </c>
      <c r="P102" s="326">
        <f>G104</f>
        <v>129.39627141011277</v>
      </c>
      <c r="Q102" s="326">
        <f>G105</f>
        <v>108.20452461504868</v>
      </c>
    </row>
    <row r="103" spans="1:17" ht="15" customHeight="1" x14ac:dyDescent="0.35">
      <c r="A103" s="3"/>
      <c r="B103" s="14"/>
      <c r="C103" s="248">
        <f>D66</f>
        <v>7.9257505519999993E-2</v>
      </c>
      <c r="D103" s="248">
        <f>IFERROR((D85+((D72*(1+0))/(C103-0))/(1+C103)^5+D89+D90)/D93,"–")</f>
        <v>101.55981477488764</v>
      </c>
      <c r="E103" s="246">
        <f>IFERROR((D85+((D72*(1+0.01))/(C103-0.01))/(1+C103)^5+D89+D90)/D93,"–")</f>
        <v>115.30675864850038</v>
      </c>
      <c r="F103" s="249">
        <f>IFERROR((D85+((D72*(1+0.02))/(C103-0.02))/(1+C103)^5+D89+D90)/D93,"–")</f>
        <v>133.69343338927666</v>
      </c>
      <c r="G103" s="301">
        <f>IFERROR((D85+((D72*(1+0.03))/(C103-0.03))/(1+C103)^5+D89+D90)/D93,"–")</f>
        <v>159.5456403557198</v>
      </c>
      <c r="H103" s="246">
        <f>IFERROR((D85+((D72*(1+0.04))/(C103-0.04))/(1+C103)^5+D89+D90)/D93,"–")</f>
        <v>198.56842788962794</v>
      </c>
      <c r="I103" s="323"/>
      <c r="J103" s="323"/>
      <c r="K103" s="323"/>
      <c r="L103" s="327" t="s">
        <v>207</v>
      </c>
      <c r="M103" s="331">
        <f>G101</f>
        <v>283.61871111272001</v>
      </c>
      <c r="N103" s="331">
        <f>G102</f>
        <v>205.52746694409237</v>
      </c>
      <c r="O103" s="328">
        <f>H103</f>
        <v>198.56842788962794</v>
      </c>
      <c r="P103" s="328">
        <f>H104</f>
        <v>154.3121203929251</v>
      </c>
      <c r="Q103" s="328">
        <f>H105</f>
        <v>125.28916121125705</v>
      </c>
    </row>
    <row r="104" spans="1:17" ht="15" customHeight="1" x14ac:dyDescent="0.35">
      <c r="A104" s="3"/>
      <c r="B104" s="14"/>
      <c r="C104" s="247">
        <f>D66+0.01</f>
        <v>8.9257505519999988E-2</v>
      </c>
      <c r="D104" s="247">
        <f>IFERROR((D85+((D72*(1+0))/(C104-0))/(1+C104)^5+D89+D90)/D93,"–")</f>
        <v>88.146208628623853</v>
      </c>
      <c r="E104" s="246">
        <f>IFERROR((D85+((D72*(1+0.01))/(C104-0.01))/(1+C104)^5+D89+D90)/D93,"–")</f>
        <v>98.426521333972218</v>
      </c>
      <c r="F104" s="246">
        <f>IFERROR((D85+((D72*(1+0.02))/(C104-0.02))/(1+C104)^5+D89+D90)/D93,"–")</f>
        <v>111.67555566108901</v>
      </c>
      <c r="G104" s="246">
        <f>IFERROR((D85+((D72*(1+0.03))/(C104-0.03))/(1+C104)^5+D89+D90)/D93,"–")</f>
        <v>129.39627141011277</v>
      </c>
      <c r="H104" s="246">
        <f>IFERROR((D85+((D72*(1+0.04))/(C104-0.04))/(1+C104)^5+D89+D90)/D93,"–")</f>
        <v>154.3121203929251</v>
      </c>
      <c r="I104" s="323"/>
      <c r="J104" s="323"/>
      <c r="K104" s="323"/>
      <c r="L104" s="327" t="s">
        <v>208</v>
      </c>
      <c r="M104" s="330">
        <f>H101</f>
        <v>427.95322315004591</v>
      </c>
      <c r="N104" s="330">
        <f>H102</f>
        <v>273.71806336893667</v>
      </c>
    </row>
    <row r="105" spans="1:17" ht="15" customHeight="1" x14ac:dyDescent="0.35">
      <c r="A105" s="3"/>
      <c r="B105" s="14"/>
      <c r="C105" s="247">
        <f>D66+0.02</f>
        <v>9.9257505519999997E-2</v>
      </c>
      <c r="D105" s="247">
        <f>IFERROR((D85+((D72*(1+0))/(C105-0))/(1+C105)^5+D89+D90)/D93,"–")</f>
        <v>77.60554042428582</v>
      </c>
      <c r="E105" s="246">
        <f>IFERROR((D85+((D72*(1+0.01))/(C105-0.01))/(1+C105)^5+D89+D90)/D93,"–")</f>
        <v>85.51975560858871</v>
      </c>
      <c r="F105" s="246">
        <f>IFERROR((D85+((D72*(1+0.02))/(C105-0.02))/(1+C105)^5+D89+D90)/D93,"–")</f>
        <v>95.431059934766225</v>
      </c>
      <c r="G105" s="246">
        <f>IFERROR((D85+((D72*(1+0.03))/(C105-0.03))/(1+C105)^5+D89+D90)/D93,"–")</f>
        <v>108.20452461504868</v>
      </c>
      <c r="H105" s="246">
        <f>IFERROR((D85+((D72*(1+0.04))/(C105-0.04))/(1+C105)^5+D89+D90)/D93,"–")</f>
        <v>125.28916121125705</v>
      </c>
      <c r="I105" s="22"/>
      <c r="J105" s="22"/>
      <c r="K105" s="22"/>
      <c r="L105" s="22"/>
      <c r="M105" s="22"/>
      <c r="N105" s="22"/>
    </row>
    <row r="106" spans="1:17" ht="15" customHeight="1" x14ac:dyDescent="0.35">
      <c r="A106" s="3"/>
      <c r="B106" s="18" t="s">
        <v>209</v>
      </c>
      <c r="C106" s="9"/>
      <c r="D106" s="9"/>
      <c r="E106" s="22"/>
      <c r="F106" s="22"/>
      <c r="G106" s="22"/>
      <c r="H106" s="22"/>
      <c r="I106" s="22"/>
      <c r="J106" s="22"/>
      <c r="K106" s="22"/>
      <c r="L106" s="22"/>
      <c r="M106" s="22"/>
      <c r="N106" s="22"/>
    </row>
    <row r="107" spans="1:17" ht="18" customHeight="1" x14ac:dyDescent="0.35">
      <c r="A107" s="3"/>
      <c r="B107" s="14"/>
      <c r="C107" s="9"/>
      <c r="D107" s="9"/>
      <c r="E107" s="22"/>
      <c r="F107" s="22"/>
      <c r="G107" s="22"/>
      <c r="H107" s="22"/>
      <c r="I107" s="22"/>
      <c r="J107" s="22"/>
      <c r="K107" s="22"/>
      <c r="L107" s="22"/>
      <c r="M107" s="22"/>
      <c r="N107" s="22"/>
    </row>
    <row r="108" spans="1:17" ht="15" customHeight="1" x14ac:dyDescent="0.5">
      <c r="A108" s="7"/>
      <c r="B108" s="47" t="s">
        <v>210</v>
      </c>
      <c r="C108" s="42"/>
      <c r="D108" s="42"/>
      <c r="E108" s="23"/>
      <c r="F108" s="23"/>
      <c r="G108" s="23"/>
      <c r="H108" s="23"/>
      <c r="I108" s="23"/>
      <c r="J108" s="23"/>
      <c r="K108" s="23"/>
      <c r="L108" s="23"/>
      <c r="M108" s="23"/>
      <c r="N108" s="23"/>
    </row>
    <row r="109" spans="1:17" ht="15" customHeight="1" x14ac:dyDescent="0.35">
      <c r="A109" s="1"/>
      <c r="B109" s="16" t="s">
        <v>2</v>
      </c>
      <c r="C109" s="80"/>
      <c r="D109" s="80"/>
      <c r="E109" s="24" t="s">
        <v>211</v>
      </c>
      <c r="F109" s="24" t="s">
        <v>212</v>
      </c>
      <c r="G109" s="24" t="s">
        <v>213</v>
      </c>
      <c r="H109" s="24"/>
      <c r="I109" s="24"/>
      <c r="J109" s="24"/>
      <c r="K109" s="24"/>
      <c r="L109" s="24"/>
      <c r="M109" s="24"/>
    </row>
    <row r="110" spans="1:17" ht="15" customHeight="1" x14ac:dyDescent="0.35">
      <c r="A110" s="3"/>
      <c r="B110" s="17" t="s">
        <v>214</v>
      </c>
      <c r="C110" s="9"/>
      <c r="D110" s="306">
        <f>D29-0.03</f>
        <v>-9.7818618680026587E-2</v>
      </c>
      <c r="E110" s="244">
        <f>D29-0.02</f>
        <v>-8.7818618680026592E-2</v>
      </c>
      <c r="F110" s="244">
        <f>D29</f>
        <v>-6.7818618680026588E-2</v>
      </c>
      <c r="G110" s="250">
        <f>D29+0.02</f>
        <v>-4.7818618680026584E-2</v>
      </c>
      <c r="H110" s="22"/>
      <c r="I110" s="22"/>
      <c r="J110" s="22"/>
      <c r="K110" s="22"/>
      <c r="L110" s="22"/>
      <c r="M110" s="22"/>
    </row>
    <row r="111" spans="1:17" ht="15" customHeight="1" x14ac:dyDescent="0.35">
      <c r="A111" s="3"/>
      <c r="B111" s="17" t="s">
        <v>106</v>
      </c>
      <c r="C111" s="9"/>
      <c r="D111" s="306" t="str">
        <f>IFERROR(D15/D9-0.03,"–")</f>
        <v>–</v>
      </c>
      <c r="E111" s="244">
        <f>IFERROR(H15/H9-0.02,"–")</f>
        <v>0.19718290703286098</v>
      </c>
      <c r="F111" s="244">
        <f>IFERROR(H15/H9,"–")</f>
        <v>0.21718290703286097</v>
      </c>
      <c r="G111" s="250">
        <f>IFERROR(H15/H9+0.02,"–")</f>
        <v>0.23718290703286096</v>
      </c>
      <c r="H111" s="22"/>
      <c r="I111" s="22"/>
      <c r="J111" s="22"/>
      <c r="K111" s="22"/>
      <c r="L111" s="22"/>
      <c r="M111" s="22"/>
    </row>
    <row r="112" spans="1:17" ht="15" customHeight="1" x14ac:dyDescent="0.35">
      <c r="A112" s="3"/>
      <c r="B112" s="17" t="s">
        <v>78</v>
      </c>
      <c r="C112" s="9"/>
      <c r="D112" s="306">
        <f>D70-0.01</f>
        <v>1.5000000000000001E-2</v>
      </c>
      <c r="E112" s="244">
        <f>D70-0.01</f>
        <v>1.5000000000000001E-2</v>
      </c>
      <c r="F112" s="244">
        <f>D70</f>
        <v>2.5000000000000001E-2</v>
      </c>
      <c r="G112" s="250">
        <f>D70+0.01</f>
        <v>3.5000000000000003E-2</v>
      </c>
      <c r="H112" s="22"/>
      <c r="I112" s="22"/>
      <c r="J112" s="22"/>
      <c r="K112" s="22"/>
      <c r="L112" s="22"/>
      <c r="M112" s="22"/>
    </row>
    <row r="113" spans="1:14" ht="15" customHeight="1" x14ac:dyDescent="0.35">
      <c r="A113" s="3"/>
      <c r="B113" s="17" t="s">
        <v>77</v>
      </c>
      <c r="C113" s="9"/>
      <c r="D113" s="306">
        <f>D66+0.01</f>
        <v>8.9257505519999988E-2</v>
      </c>
      <c r="E113" s="244">
        <f>D66+0.01</f>
        <v>8.9257505519999988E-2</v>
      </c>
      <c r="F113" s="244">
        <f>D66</f>
        <v>7.9257505519999993E-2</v>
      </c>
      <c r="G113" s="250">
        <f>D66-0.01</f>
        <v>6.9257505519999998E-2</v>
      </c>
      <c r="H113" s="22"/>
      <c r="I113" s="22"/>
      <c r="J113" s="22"/>
      <c r="K113" s="22"/>
      <c r="L113" s="22"/>
      <c r="M113" s="22"/>
    </row>
    <row r="114" spans="1:14" ht="15" customHeight="1" x14ac:dyDescent="0.35">
      <c r="A114" s="3"/>
      <c r="B114" s="17" t="s">
        <v>215</v>
      </c>
      <c r="C114" s="9"/>
      <c r="D114" s="306">
        <f>IFERROR((D85+((D72*(1+D112))/(D113-D112))/(1+D113)^5+D89+D90)/D93,"–")</f>
        <v>104.60498815439226</v>
      </c>
      <c r="E114" s="246">
        <f>IFERROR((D85+((D72*(1+E112))/(E113-E112))/(1+E113)^5+D89+D90)/D93,"–")</f>
        <v>104.60498815439226</v>
      </c>
      <c r="F114" s="251">
        <f>IFERROR((D85+((D72*(1+F112))/(F113-F112))/(1+F113)^5+D89+D90)/D93,"–")</f>
        <v>145.42835572996881</v>
      </c>
      <c r="G114" s="252">
        <f>IFERROR((D85+((D72*(1+G112))/(G113-G112))/(1+G113)^5+D89+D90)/D93,"–")</f>
        <v>234.64643986737215</v>
      </c>
      <c r="H114" s="22"/>
      <c r="I114" s="22"/>
      <c r="J114" s="22"/>
      <c r="K114" s="22"/>
      <c r="L114" s="22"/>
      <c r="M114" s="22"/>
    </row>
    <row r="115" spans="1:14" ht="15" customHeight="1" x14ac:dyDescent="0.35">
      <c r="A115" s="3"/>
      <c r="B115" s="14"/>
      <c r="C115" s="9"/>
      <c r="D115" s="9"/>
      <c r="E115" s="22"/>
      <c r="F115" s="22"/>
      <c r="G115" s="22"/>
      <c r="H115" s="22"/>
      <c r="I115" s="22"/>
      <c r="J115" s="22"/>
      <c r="K115" s="22"/>
      <c r="L115" s="22"/>
      <c r="M115" s="22"/>
      <c r="N115" s="22"/>
    </row>
    <row r="116" spans="1:14" ht="15" customHeight="1" x14ac:dyDescent="0.35">
      <c r="A116" s="4"/>
      <c r="B116" s="31" t="s">
        <v>95</v>
      </c>
      <c r="C116" s="4"/>
      <c r="D116" s="4"/>
      <c r="E116" s="32"/>
      <c r="F116" s="32"/>
      <c r="G116" s="32"/>
      <c r="H116" s="32"/>
      <c r="I116" s="32"/>
      <c r="J116" s="32"/>
      <c r="K116" s="32"/>
      <c r="L116" s="32"/>
      <c r="M116" s="32"/>
      <c r="N116" s="32"/>
    </row>
    <row r="117" spans="1:14" ht="15" customHeight="1" x14ac:dyDescent="0.35">
      <c r="A117" s="4"/>
      <c r="B117" s="31" t="s">
        <v>96</v>
      </c>
      <c r="C117" s="4"/>
      <c r="D117" s="4"/>
      <c r="E117" s="32"/>
      <c r="F117" s="32"/>
      <c r="G117" s="32"/>
      <c r="H117" s="32"/>
      <c r="I117" s="32"/>
      <c r="J117" s="32"/>
      <c r="K117" s="32"/>
      <c r="L117" s="32"/>
      <c r="M117" s="32"/>
      <c r="N117" s="32"/>
    </row>
    <row r="118" spans="1:14" ht="15" customHeight="1" x14ac:dyDescent="0.35">
      <c r="A118" s="4"/>
      <c r="B118" s="31" t="s">
        <v>97</v>
      </c>
      <c r="C118" s="4"/>
      <c r="D118" s="4"/>
      <c r="E118" s="32"/>
      <c r="F118" s="32"/>
      <c r="G118" s="32"/>
      <c r="H118" s="32"/>
      <c r="I118" s="32"/>
      <c r="J118" s="32"/>
      <c r="K118" s="32"/>
      <c r="L118" s="32"/>
      <c r="M118" s="32"/>
      <c r="N118" s="32"/>
    </row>
    <row r="119" spans="1:14" ht="15" customHeight="1" x14ac:dyDescent="0.3">
      <c r="B119" s="45"/>
    </row>
    <row r="120" spans="1:14" ht="15" customHeight="1" x14ac:dyDescent="0.3">
      <c r="A120" s="81"/>
      <c r="B120" s="83" t="s">
        <v>216</v>
      </c>
      <c r="C120" s="83" t="str">
        <f>TEXT(INPUT!D117+1,"0")&amp;"F"</f>
        <v>2026F</v>
      </c>
      <c r="D120" s="83" t="str">
        <f>TEXT(INPUT!D117+2,"0")&amp;"F"</f>
        <v>2027F</v>
      </c>
      <c r="E120" s="83" t="str">
        <f>TEXT(INPUT!D117+3,"0")&amp;"F"</f>
        <v>2028F</v>
      </c>
      <c r="F120" s="83" t="str">
        <f>TEXT(INPUT!D117+4,"0")&amp;"F"</f>
        <v>2029F</v>
      </c>
      <c r="G120" s="83" t="str">
        <f>TEXT(INPUT!D117+5,"0")&amp;"F"</f>
        <v>2030F</v>
      </c>
      <c r="H120" s="82"/>
      <c r="I120" s="82"/>
      <c r="J120" s="82"/>
      <c r="K120" s="82"/>
      <c r="L120" s="82"/>
      <c r="M120" s="82"/>
      <c r="N120" s="82"/>
    </row>
    <row r="121" spans="1:14" ht="15" customHeight="1" x14ac:dyDescent="0.3">
      <c r="B121" s="45" t="s">
        <v>217</v>
      </c>
      <c r="C121" s="253">
        <f>IF(I52=0,NA(),I52)</f>
        <v>18200.397367113343</v>
      </c>
      <c r="D121" s="253">
        <f>IF(J52=0,NA(),J52)</f>
        <v>19048.81232795912</v>
      </c>
      <c r="E121" s="253">
        <f>IF(K52=0,NA(),K52)</f>
        <v>19936.776312448077</v>
      </c>
      <c r="F121" s="253">
        <f>IF(L52=0,NA(),L52)</f>
        <v>20866.132905787097</v>
      </c>
      <c r="G121" s="253">
        <f>IF(M52=0,NA(),M52)</f>
        <v>21838.811632255685</v>
      </c>
      <c r="H121" s="82"/>
      <c r="I121" s="82"/>
      <c r="J121" s="82"/>
      <c r="K121" s="82"/>
      <c r="L121" s="82"/>
      <c r="M121" s="82"/>
      <c r="N121" s="82"/>
    </row>
    <row r="122" spans="1:14" ht="15" customHeight="1" x14ac:dyDescent="0.3">
      <c r="B122" s="45"/>
      <c r="C122" s="21"/>
      <c r="H122" s="82"/>
      <c r="I122" s="82"/>
      <c r="J122" s="82"/>
      <c r="K122" s="82"/>
      <c r="L122" s="82"/>
      <c r="M122" s="82"/>
      <c r="N122" s="82"/>
    </row>
    <row r="123" spans="1:14" ht="15" customHeight="1" x14ac:dyDescent="0.3">
      <c r="A123" s="81"/>
      <c r="B123" s="83" t="s">
        <v>218</v>
      </c>
      <c r="C123" s="333" t="str">
        <f>IF(I9=0,NA(),C120)</f>
        <v>2026F</v>
      </c>
      <c r="D123" s="333" t="str">
        <f>IF(J9=0,NA(),D120)</f>
        <v>2027F</v>
      </c>
      <c r="E123" s="333" t="str">
        <f>IF(K9=0,NA(),E120)</f>
        <v>2028F</v>
      </c>
      <c r="F123" s="333" t="str">
        <f>IF(L9=0,NA(),F120)</f>
        <v>2029F</v>
      </c>
      <c r="G123" s="333" t="str">
        <f>IF(M9=0,NA(),G120)</f>
        <v>2030F</v>
      </c>
      <c r="H123" s="82"/>
      <c r="I123" s="82"/>
      <c r="J123" s="82"/>
      <c r="K123" s="82"/>
      <c r="L123" s="82"/>
      <c r="M123" s="82"/>
      <c r="N123" s="82"/>
    </row>
    <row r="124" spans="1:14" ht="15" customHeight="1" x14ac:dyDescent="0.3">
      <c r="B124" s="45" t="s">
        <v>7</v>
      </c>
      <c r="C124" s="254">
        <f>IF(I9=0,NA(),I9)</f>
        <v>190844.00000000003</v>
      </c>
      <c r="D124" s="254">
        <f>IF(J9=0,NA(),J9)</f>
        <v>199740.22910542716</v>
      </c>
      <c r="E124" s="253">
        <f>IF(K9=0,NA(),K9)</f>
        <v>209051.15761086816</v>
      </c>
      <c r="F124" s="253">
        <f>IF(L9=0,NA(),L9)</f>
        <v>218796.11680718054</v>
      </c>
      <c r="G124" s="253">
        <f>IF(M9=0,NA(),M9)</f>
        <v>228995.33911699627</v>
      </c>
      <c r="H124" s="82"/>
      <c r="I124" s="82"/>
      <c r="J124" s="82"/>
      <c r="K124" s="82"/>
      <c r="L124" s="82"/>
      <c r="M124" s="82"/>
      <c r="N124" s="82"/>
    </row>
    <row r="125" spans="1:14" ht="15" customHeight="1" x14ac:dyDescent="0.3">
      <c r="B125" s="45"/>
    </row>
    <row r="126" spans="1:14" ht="15" customHeight="1" x14ac:dyDescent="0.3">
      <c r="B126" s="45"/>
    </row>
    <row r="127" spans="1:14" x14ac:dyDescent="0.3">
      <c r="B127" s="45"/>
    </row>
  </sheetData>
  <dataValidations count="1">
    <dataValidation type="list" allowBlank="1" showInputMessage="1" showErrorMessage="1" errorTitle="Valeur invalide" error="Veuillez sélectionner Bear, Base ou Bull dans la liste." promptTitle="Scénario Brent" prompt="Choisissez : Bear ($60/bbl), Base ($75/bbl) ou Bull ($90/bbl)" sqref="D42" xr:uid="{B4F5C9AA-B04C-4E0A-9EF4-BFB6C4858D36}">
      <formula1>"Bear,Base,Bull"</formula1>
    </dataValidation>
  </dataValidations>
  <printOptions horizontalCentered="1"/>
  <pageMargins left="5.5555555555555558E-3" right="5.5555555555555558E-3" top="6.9444444444444441E-3" bottom="6.9444444444444441E-3" header="2.7777777777777779E-3" footer="2.7777777777777779E-3"/>
  <pageSetup paperSize="9" scale="32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CE83-238E-4616-821D-62B3E7E0B934}">
  <dimension ref="A1:K40"/>
  <sheetViews>
    <sheetView showGridLines="0" workbookViewId="0">
      <selection activeCell="H17" sqref="H17"/>
    </sheetView>
  </sheetViews>
  <sheetFormatPr baseColWidth="10" defaultRowHeight="14.4" x14ac:dyDescent="0.3"/>
  <cols>
    <col min="1" max="1" width="1.77734375" customWidth="1"/>
    <col min="2" max="2" width="43.44140625" customWidth="1"/>
    <col min="3" max="3" width="12.6640625" customWidth="1"/>
    <col min="4" max="4" width="12.5546875" bestFit="1" customWidth="1"/>
    <col min="5" max="5" width="13.88671875" bestFit="1" customWidth="1"/>
    <col min="6" max="6" width="15.6640625" bestFit="1" customWidth="1"/>
    <col min="7" max="7" width="13.109375" bestFit="1" customWidth="1"/>
    <col min="8" max="8" width="20.33203125" customWidth="1"/>
  </cols>
  <sheetData>
    <row r="1" spans="1:11" ht="26.4" x14ac:dyDescent="0.6">
      <c r="B1" s="434" t="s">
        <v>98</v>
      </c>
      <c r="C1" s="99"/>
      <c r="D1" s="99"/>
      <c r="E1" s="99"/>
      <c r="F1" s="99"/>
      <c r="G1" s="99"/>
      <c r="H1" s="99"/>
      <c r="I1" s="99"/>
      <c r="J1" s="435" t="s">
        <v>402</v>
      </c>
      <c r="K1" s="99"/>
    </row>
    <row r="2" spans="1:11" ht="21" x14ac:dyDescent="0.5">
      <c r="B2" s="427" t="s">
        <v>403</v>
      </c>
      <c r="C2" s="124"/>
      <c r="D2" s="124"/>
      <c r="E2" s="124"/>
      <c r="F2" s="124"/>
      <c r="G2" s="124"/>
      <c r="H2" s="124"/>
      <c r="I2" s="124"/>
      <c r="J2" s="124"/>
      <c r="K2" s="124"/>
    </row>
    <row r="3" spans="1:11" x14ac:dyDescent="0.3">
      <c r="B3" s="480" t="s">
        <v>404</v>
      </c>
    </row>
    <row r="4" spans="1:11" ht="15" x14ac:dyDescent="0.35">
      <c r="A4" s="82" t="s">
        <v>5</v>
      </c>
      <c r="B4" s="436" t="s">
        <v>405</v>
      </c>
      <c r="C4" s="437" t="s">
        <v>406</v>
      </c>
      <c r="D4" s="438" t="s">
        <v>138</v>
      </c>
      <c r="E4" s="438" t="s">
        <v>255</v>
      </c>
      <c r="F4" s="438" t="s">
        <v>407</v>
      </c>
      <c r="G4" s="438" t="s">
        <v>408</v>
      </c>
    </row>
    <row r="5" spans="1:11" ht="15" x14ac:dyDescent="0.35">
      <c r="B5" s="539"/>
      <c r="C5" s="540"/>
      <c r="D5" s="541"/>
      <c r="E5" s="541"/>
      <c r="F5" s="541"/>
      <c r="G5" s="541"/>
    </row>
    <row r="6" spans="1:11" ht="15" x14ac:dyDescent="0.35">
      <c r="B6" s="416" t="s">
        <v>409</v>
      </c>
      <c r="C6" s="439" t="s">
        <v>410</v>
      </c>
      <c r="D6" s="440">
        <v>18500</v>
      </c>
      <c r="E6" s="441">
        <v>5.5</v>
      </c>
      <c r="F6" s="442">
        <f>D6*E6</f>
        <v>101750</v>
      </c>
      <c r="G6" s="426">
        <f>IFERROR(F6/F11,"–")</f>
        <v>0.45495193382517324</v>
      </c>
    </row>
    <row r="7" spans="1:11" ht="15" x14ac:dyDescent="0.35">
      <c r="B7" s="416" t="s">
        <v>411</v>
      </c>
      <c r="C7" s="439" t="s">
        <v>412</v>
      </c>
      <c r="D7" s="440">
        <v>12000</v>
      </c>
      <c r="E7" s="441">
        <v>7.5</v>
      </c>
      <c r="F7" s="442">
        <f>D7*E7</f>
        <v>90000</v>
      </c>
      <c r="G7" s="426">
        <f>IFERROR(F7/F11,"–")</f>
        <v>0.4024144869215292</v>
      </c>
    </row>
    <row r="8" spans="1:11" ht="15" x14ac:dyDescent="0.35">
      <c r="B8" s="416" t="s">
        <v>413</v>
      </c>
      <c r="C8" s="439" t="s">
        <v>414</v>
      </c>
      <c r="D8" s="440">
        <v>2200</v>
      </c>
      <c r="E8" s="441">
        <v>12</v>
      </c>
      <c r="F8" s="442">
        <f>D8*E8</f>
        <v>26400</v>
      </c>
      <c r="G8" s="426">
        <f>IFERROR(F8/F11,"–")</f>
        <v>0.11804158283031523</v>
      </c>
    </row>
    <row r="9" spans="1:11" ht="15" x14ac:dyDescent="0.35">
      <c r="B9" s="416" t="s">
        <v>415</v>
      </c>
      <c r="C9" s="439" t="s">
        <v>416</v>
      </c>
      <c r="D9" s="440">
        <v>4500</v>
      </c>
      <c r="E9" s="441">
        <v>4</v>
      </c>
      <c r="F9" s="442">
        <f>D9*E9</f>
        <v>18000</v>
      </c>
      <c r="G9" s="426">
        <f>IFERROR(F9/F11,"–")</f>
        <v>8.0482897384305835E-2</v>
      </c>
    </row>
    <row r="10" spans="1:11" ht="15" x14ac:dyDescent="0.35">
      <c r="B10" s="416" t="s">
        <v>417</v>
      </c>
      <c r="C10" s="439" t="s">
        <v>418</v>
      </c>
      <c r="D10" s="440">
        <v>-2500</v>
      </c>
      <c r="E10" s="441">
        <v>5</v>
      </c>
      <c r="F10" s="442">
        <f>D10*E10</f>
        <v>-12500</v>
      </c>
      <c r="G10" s="426">
        <f>IFERROR(F10/F11,"–")</f>
        <v>-5.5890900961323493E-2</v>
      </c>
    </row>
    <row r="11" spans="1:11" ht="15.6" thickBot="1" x14ac:dyDescent="0.4">
      <c r="B11" s="418" t="s">
        <v>419</v>
      </c>
      <c r="F11" s="443">
        <f>SUM(F6:F10)</f>
        <v>223650</v>
      </c>
      <c r="G11" s="543">
        <f>IFERROR(F11/F11,"–")</f>
        <v>1</v>
      </c>
    </row>
    <row r="12" spans="1:11" x14ac:dyDescent="0.3">
      <c r="A12" s="82" t="s">
        <v>5</v>
      </c>
    </row>
    <row r="13" spans="1:11" ht="15" x14ac:dyDescent="0.35">
      <c r="B13" s="415" t="s">
        <v>420</v>
      </c>
      <c r="C13" s="124"/>
      <c r="D13" s="124"/>
      <c r="E13" s="124"/>
      <c r="F13" s="124"/>
    </row>
    <row r="14" spans="1:11" ht="15" x14ac:dyDescent="0.35">
      <c r="B14" s="542"/>
      <c r="C14" s="392"/>
      <c r="D14" s="392"/>
      <c r="E14" s="392"/>
      <c r="F14" s="392"/>
    </row>
    <row r="15" spans="1:11" ht="15" x14ac:dyDescent="0.35">
      <c r="B15" s="416" t="s">
        <v>421</v>
      </c>
      <c r="F15" s="442">
        <f>F11</f>
        <v>223650</v>
      </c>
    </row>
    <row r="16" spans="1:11" ht="15" x14ac:dyDescent="0.35">
      <c r="B16" s="416" t="s">
        <v>422</v>
      </c>
      <c r="C16" s="417"/>
      <c r="F16" s="465">
        <f>-(INPUT!H48+INPUT!H54-INPUT!H34)</f>
        <v>-34043</v>
      </c>
    </row>
    <row r="17" spans="1:7" ht="15" x14ac:dyDescent="0.35">
      <c r="B17" s="416" t="s">
        <v>423</v>
      </c>
      <c r="C17" s="417"/>
      <c r="F17" s="440">
        <v>-8000</v>
      </c>
    </row>
    <row r="18" spans="1:7" ht="15.6" thickBot="1" x14ac:dyDescent="0.4">
      <c r="B18" s="418" t="s">
        <v>424</v>
      </c>
      <c r="F18" s="443">
        <f>F15+F16+F17</f>
        <v>181607</v>
      </c>
    </row>
    <row r="20" spans="1:7" ht="15" x14ac:dyDescent="0.35">
      <c r="B20" s="416" t="s">
        <v>425</v>
      </c>
      <c r="C20" s="417"/>
      <c r="F20" s="444">
        <f>INPUT!H96</f>
        <v>2133.12</v>
      </c>
    </row>
    <row r="21" spans="1:7" ht="15" x14ac:dyDescent="0.35">
      <c r="B21" s="418" t="s">
        <v>426</v>
      </c>
      <c r="F21" s="445">
        <f>IFERROR(F18/(F20),"–")</f>
        <v>85.13679492949295</v>
      </c>
    </row>
    <row r="22" spans="1:7" ht="15" x14ac:dyDescent="0.35">
      <c r="B22" s="416" t="s">
        <v>251</v>
      </c>
      <c r="F22" s="446">
        <f>INPUT!H95</f>
        <v>77.69</v>
      </c>
    </row>
    <row r="23" spans="1:7" ht="15" x14ac:dyDescent="0.35">
      <c r="A23" s="82" t="s">
        <v>5</v>
      </c>
      <c r="B23" s="418" t="s">
        <v>252</v>
      </c>
      <c r="F23" s="432">
        <f>IFERROR(F21/F22-1,"–")</f>
        <v>9.5852682835538161E-2</v>
      </c>
    </row>
    <row r="25" spans="1:7" ht="15" x14ac:dyDescent="0.35">
      <c r="B25" s="415" t="s">
        <v>427</v>
      </c>
      <c r="C25" s="124"/>
      <c r="D25" s="124"/>
      <c r="E25" s="124"/>
      <c r="F25" s="124"/>
      <c r="G25" s="124"/>
    </row>
    <row r="26" spans="1:7" x14ac:dyDescent="0.3">
      <c r="B26" s="485" t="s">
        <v>428</v>
      </c>
      <c r="C26" s="447"/>
      <c r="D26" s="448">
        <v>6</v>
      </c>
      <c r="E26" s="448">
        <v>7.5</v>
      </c>
      <c r="F26" s="448">
        <v>9</v>
      </c>
    </row>
    <row r="27" spans="1:7" x14ac:dyDescent="0.3">
      <c r="B27" s="485" t="s">
        <v>429</v>
      </c>
      <c r="C27" s="448">
        <v>4.5</v>
      </c>
      <c r="D27" s="482">
        <f>IFERROR((D6*C27+D7*D26+F8+F9+F10+F16+F17)/(F20),"–")</f>
        <v>68.025708820882087</v>
      </c>
      <c r="E27" s="481">
        <f>IFERROR((D6*C27+D7*E26+F8+F9+F10+F16+F17)/(F20),"–")</f>
        <v>76.464052655265533</v>
      </c>
      <c r="F27" s="481">
        <f>IFERROR((D6*C27+D7*F26+F8+F9+F10+F16+F17)/(F20),"–")</f>
        <v>84.902396489648964</v>
      </c>
    </row>
    <row r="28" spans="1:7" x14ac:dyDescent="0.3">
      <c r="C28" s="448">
        <v>5.5</v>
      </c>
      <c r="D28" s="483">
        <f>IFERROR((D6*C28+D7*D26+F8+F9+F10+F16+F17)/(F20),"–")</f>
        <v>76.698451095109519</v>
      </c>
      <c r="E28" s="450">
        <f>IFERROR((D6*C28+D7*E26+F8+F9+F10+F16+F17)/(F20),"–")</f>
        <v>85.13679492949295</v>
      </c>
      <c r="F28" s="450">
        <f>IFERROR((D6*C28+D7*F26+F8+F9+F10+F16+F17)/(F20),"–")</f>
        <v>93.575138763876396</v>
      </c>
    </row>
    <row r="29" spans="1:7" x14ac:dyDescent="0.3">
      <c r="C29" s="448">
        <v>6.5</v>
      </c>
      <c r="D29" s="484">
        <f>IFERROR((D6*C29+D7*D26+F8+F9+F10+F16+F17)/(F20),"–")</f>
        <v>85.371193369336936</v>
      </c>
      <c r="E29" s="449">
        <f>IFERROR((D6*C29+D7*E26+F8+F9+F10+F16+F17)/(F20),"–")</f>
        <v>93.809537203720382</v>
      </c>
      <c r="F29" s="449">
        <f>IFERROR((D6*C29+D7*F26+F8+F9+F10+F16+F17)/(F20),"–")</f>
        <v>102.24788103810381</v>
      </c>
    </row>
    <row r="32" spans="1:7" ht="15" x14ac:dyDescent="0.35">
      <c r="B32" s="415" t="s">
        <v>430</v>
      </c>
      <c r="C32" s="124"/>
    </row>
    <row r="33" spans="2:2" x14ac:dyDescent="0.3">
      <c r="B33" s="451" t="s">
        <v>431</v>
      </c>
    </row>
    <row r="34" spans="2:2" x14ac:dyDescent="0.3">
      <c r="B34" s="451" t="s">
        <v>432</v>
      </c>
    </row>
    <row r="35" spans="2:2" x14ac:dyDescent="0.3">
      <c r="B35" s="451" t="s">
        <v>433</v>
      </c>
    </row>
    <row r="36" spans="2:2" x14ac:dyDescent="0.3">
      <c r="B36" s="451" t="s">
        <v>434</v>
      </c>
    </row>
    <row r="38" spans="2:2" ht="15" x14ac:dyDescent="0.35">
      <c r="B38" s="452" t="s">
        <v>95</v>
      </c>
    </row>
    <row r="39" spans="2:2" ht="15" x14ac:dyDescent="0.35">
      <c r="B39" s="452" t="s">
        <v>96</v>
      </c>
    </row>
    <row r="40" spans="2:2" ht="15" x14ac:dyDescent="0.35">
      <c r="B40" s="453" t="s">
        <v>97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21"/>
  <sheetViews>
    <sheetView showGridLines="0" zoomScale="79" zoomScaleNormal="100" workbookViewId="0">
      <selection activeCell="J10" sqref="J10"/>
    </sheetView>
  </sheetViews>
  <sheetFormatPr baseColWidth="10" defaultRowHeight="14.4" x14ac:dyDescent="0.3"/>
  <cols>
    <col min="1" max="1" width="6.88671875" customWidth="1"/>
    <col min="2" max="2" width="34.88671875" style="19" customWidth="1"/>
    <col min="3" max="3" width="11.6640625" customWidth="1"/>
    <col min="4" max="4" width="13.33203125" style="21" customWidth="1"/>
    <col min="5" max="6" width="14.44140625" style="21" customWidth="1"/>
    <col min="7" max="7" width="12.6640625" style="21" bestFit="1" customWidth="1"/>
    <col min="8" max="11" width="12" style="21" customWidth="1"/>
    <col min="12" max="12" width="16.88671875" style="21" customWidth="1"/>
    <col min="13" max="14" width="11.5546875" style="21" customWidth="1"/>
  </cols>
  <sheetData>
    <row r="1" spans="1:15" ht="54.9" customHeight="1" x14ac:dyDescent="0.6">
      <c r="A1" s="200"/>
      <c r="B1" s="96" t="s">
        <v>98</v>
      </c>
      <c r="C1" s="5"/>
      <c r="D1" s="29"/>
      <c r="E1" s="29"/>
      <c r="F1" s="29"/>
      <c r="G1" s="29"/>
      <c r="H1" s="29"/>
      <c r="I1" s="29"/>
      <c r="J1" s="29"/>
      <c r="K1" s="95" t="s">
        <v>219</v>
      </c>
      <c r="L1" s="29"/>
      <c r="M1" s="208"/>
      <c r="N1" s="208"/>
      <c r="O1" s="208"/>
    </row>
    <row r="2" spans="1:15" ht="15" customHeight="1" x14ac:dyDescent="0.35">
      <c r="A2" s="3"/>
      <c r="B2" s="14"/>
      <c r="C2" s="3"/>
      <c r="D2" s="22"/>
      <c r="E2" s="22"/>
      <c r="F2" s="22"/>
      <c r="G2" s="22"/>
      <c r="H2" s="22"/>
      <c r="I2" s="22"/>
      <c r="J2" s="22"/>
      <c r="K2" s="22"/>
      <c r="L2" s="22"/>
    </row>
    <row r="3" spans="1:15" ht="18" customHeight="1" x14ac:dyDescent="0.5">
      <c r="A3" s="103" t="s">
        <v>5</v>
      </c>
      <c r="B3" s="15" t="s">
        <v>220</v>
      </c>
      <c r="C3" s="7"/>
      <c r="D3" s="23"/>
      <c r="E3" s="23"/>
      <c r="F3" s="23"/>
      <c r="G3" s="23"/>
      <c r="H3" s="23"/>
      <c r="I3" s="23"/>
      <c r="J3" s="23"/>
      <c r="K3" s="23"/>
      <c r="L3" s="23"/>
      <c r="M3" s="87"/>
      <c r="N3" s="87"/>
    </row>
    <row r="4" spans="1:15" ht="15" customHeight="1" x14ac:dyDescent="0.35">
      <c r="A4" s="3"/>
      <c r="B4" s="12" t="s">
        <v>1</v>
      </c>
      <c r="C4" s="3"/>
      <c r="D4" s="22"/>
      <c r="E4" s="22"/>
      <c r="F4" s="22"/>
      <c r="G4" s="22"/>
      <c r="H4" s="22"/>
      <c r="I4" s="22"/>
      <c r="J4" s="22"/>
      <c r="K4" s="22"/>
      <c r="L4" s="22"/>
    </row>
    <row r="5" spans="1:15" ht="15" customHeight="1" x14ac:dyDescent="0.35">
      <c r="A5" s="3"/>
      <c r="B5" s="14"/>
      <c r="C5" s="3"/>
      <c r="D5" s="22"/>
      <c r="E5" s="22"/>
      <c r="F5" s="22"/>
      <c r="G5" s="22"/>
      <c r="H5" s="22"/>
      <c r="I5" s="22"/>
      <c r="J5" s="22"/>
      <c r="K5" s="22"/>
      <c r="L5" s="22"/>
    </row>
    <row r="6" spans="1:15" ht="18" customHeight="1" x14ac:dyDescent="0.5">
      <c r="A6" s="103" t="s">
        <v>5</v>
      </c>
      <c r="B6" s="15" t="s">
        <v>221</v>
      </c>
      <c r="C6" s="7"/>
      <c r="D6" s="23"/>
      <c r="E6" s="23"/>
      <c r="F6" s="23"/>
      <c r="G6" s="23"/>
      <c r="H6" s="23"/>
      <c r="I6" s="23"/>
      <c r="J6" s="23"/>
      <c r="K6" s="23"/>
      <c r="L6" s="23"/>
      <c r="M6" s="87"/>
      <c r="N6" s="87"/>
    </row>
    <row r="7" spans="1:15" ht="15" customHeight="1" x14ac:dyDescent="0.35">
      <c r="A7" s="201"/>
      <c r="B7" s="16"/>
      <c r="C7" s="1"/>
      <c r="D7" s="33" t="s">
        <v>222</v>
      </c>
      <c r="E7" s="33" t="s">
        <v>223</v>
      </c>
      <c r="F7" s="33" t="s">
        <v>224</v>
      </c>
      <c r="G7" s="33" t="s">
        <v>391</v>
      </c>
      <c r="H7" s="33" t="s">
        <v>225</v>
      </c>
      <c r="I7" s="33" t="s">
        <v>226</v>
      </c>
      <c r="J7" s="33" t="s">
        <v>227</v>
      </c>
      <c r="K7" s="33" t="s">
        <v>228</v>
      </c>
      <c r="L7" s="201"/>
    </row>
    <row r="8" spans="1:15" ht="15" customHeight="1" x14ac:dyDescent="0.35">
      <c r="A8" s="207"/>
      <c r="B8" s="28" t="s">
        <v>229</v>
      </c>
      <c r="C8" s="9" t="s">
        <v>230</v>
      </c>
      <c r="D8" s="30" t="s">
        <v>231</v>
      </c>
      <c r="E8" s="30" t="s">
        <v>8</v>
      </c>
      <c r="F8" s="30" t="s">
        <v>8</v>
      </c>
      <c r="G8" s="30" t="s">
        <v>8</v>
      </c>
      <c r="H8" s="30" t="s">
        <v>67</v>
      </c>
      <c r="I8" s="30" t="s">
        <v>67</v>
      </c>
      <c r="J8" s="30" t="s">
        <v>231</v>
      </c>
      <c r="K8" s="30" t="s">
        <v>67</v>
      </c>
    </row>
    <row r="9" spans="1:15" ht="15" customHeight="1" x14ac:dyDescent="0.35">
      <c r="A9" s="3"/>
      <c r="B9" s="38" t="s">
        <v>232</v>
      </c>
      <c r="C9" s="9" t="s">
        <v>232</v>
      </c>
      <c r="D9" s="373">
        <v>75.33</v>
      </c>
      <c r="E9" s="374">
        <v>173303.61</v>
      </c>
      <c r="F9" s="374">
        <v>185019.01</v>
      </c>
      <c r="G9" s="374">
        <v>17629</v>
      </c>
      <c r="H9" s="375">
        <f>IFERROR(E9/G9,"–")</f>
        <v>9.8305978784956594</v>
      </c>
      <c r="I9" s="375">
        <f>IFERROR(E9/F9,"–")</f>
        <v>0.93668002006928897</v>
      </c>
      <c r="J9" s="373">
        <v>15.98</v>
      </c>
      <c r="K9" s="375">
        <f>IFERROR(D9/J9,"–")</f>
        <v>4.7140175219023774</v>
      </c>
    </row>
    <row r="10" spans="1:15" ht="15" customHeight="1" x14ac:dyDescent="0.35">
      <c r="A10" s="3"/>
      <c r="B10" s="38" t="s">
        <v>233</v>
      </c>
      <c r="C10" s="9" t="s">
        <v>233</v>
      </c>
      <c r="D10" s="373">
        <v>11.62</v>
      </c>
      <c r="E10" s="374">
        <v>183371.55</v>
      </c>
      <c r="F10" s="374">
        <v>187267.01</v>
      </c>
      <c r="G10" s="374">
        <v>5393</v>
      </c>
      <c r="H10" s="375">
        <f>IFERROR(E10/G10,"–")</f>
        <v>34.001770814018172</v>
      </c>
      <c r="I10" s="375">
        <f>IFERROR(E10/F10,"–")</f>
        <v>0.97919836494425783</v>
      </c>
      <c r="J10" s="373">
        <v>10.81</v>
      </c>
      <c r="K10" s="375">
        <f>IFERROR(D10/J10,"–")</f>
        <v>1.0749306197964845</v>
      </c>
    </row>
    <row r="11" spans="1:15" ht="15" customHeight="1" x14ac:dyDescent="0.35">
      <c r="A11" s="3"/>
      <c r="B11" s="38" t="s">
        <v>234</v>
      </c>
      <c r="C11" s="9" t="s">
        <v>234</v>
      </c>
      <c r="D11" s="373">
        <v>525.72</v>
      </c>
      <c r="E11" s="374">
        <v>1333326.9099999999</v>
      </c>
      <c r="F11" s="374">
        <v>200966</v>
      </c>
      <c r="G11" s="374">
        <v>101892</v>
      </c>
      <c r="H11" s="375">
        <f>IFERROR(E11/G11,"–")</f>
        <v>13.085687885211792</v>
      </c>
      <c r="I11" s="375">
        <f>IFERROR(E11/F11,"–")</f>
        <v>6.6345894827980851</v>
      </c>
      <c r="J11" s="373">
        <v>23.5</v>
      </c>
      <c r="K11" s="375">
        <f>IFERROR(D11/J11,"–")</f>
        <v>22.371063829787236</v>
      </c>
    </row>
    <row r="12" spans="1:15" ht="15" customHeight="1" x14ac:dyDescent="0.35">
      <c r="A12" s="3"/>
      <c r="B12" s="38" t="s">
        <v>235</v>
      </c>
      <c r="C12" s="9" t="s">
        <v>235</v>
      </c>
      <c r="D12" s="373">
        <v>78.459999999999994</v>
      </c>
      <c r="E12" s="374">
        <v>144410</v>
      </c>
      <c r="F12" s="374">
        <v>133453</v>
      </c>
      <c r="G12" s="374">
        <v>15742</v>
      </c>
      <c r="H12" s="375">
        <f>IFERROR(E12/G12,"–")</f>
        <v>9.1735484690636522</v>
      </c>
      <c r="I12" s="375">
        <f>IFERROR(E12/F12,"–")</f>
        <v>1.0821038118288835</v>
      </c>
      <c r="J12" s="373">
        <v>1.3</v>
      </c>
      <c r="K12" s="375">
        <f>IFERROR(D12/J12,"–")</f>
        <v>60.353846153846149</v>
      </c>
    </row>
    <row r="13" spans="1:15" ht="15" customHeight="1" x14ac:dyDescent="0.35">
      <c r="A13" s="3"/>
      <c r="B13" s="38" t="s">
        <v>236</v>
      </c>
      <c r="C13" s="9" t="s">
        <v>236</v>
      </c>
      <c r="D13" s="376">
        <v>87.8</v>
      </c>
      <c r="E13" s="377">
        <v>258704.92</v>
      </c>
      <c r="F13" s="377">
        <v>321913</v>
      </c>
      <c r="G13" s="377">
        <v>24292</v>
      </c>
      <c r="H13" s="378">
        <f>IFERROR(E13/G13,"–")</f>
        <v>10.649799110818376</v>
      </c>
      <c r="I13" s="378">
        <f>IFERROR(E13/F13,"–")</f>
        <v>0.80364856343173474</v>
      </c>
      <c r="J13" s="376"/>
      <c r="K13" s="378" t="str">
        <f>IFERROR(D13/J13,"–")</f>
        <v>–</v>
      </c>
    </row>
    <row r="14" spans="1:15" ht="15" customHeight="1" x14ac:dyDescent="0.35">
      <c r="A14" s="3"/>
      <c r="B14" s="14"/>
      <c r="C14" s="9"/>
      <c r="D14" s="22"/>
      <c r="E14" s="22"/>
      <c r="F14" s="22"/>
      <c r="G14" s="22"/>
      <c r="H14" s="22"/>
      <c r="I14" s="22"/>
      <c r="J14" s="22"/>
      <c r="K14" s="22"/>
    </row>
    <row r="15" spans="1:15" ht="15" customHeight="1" x14ac:dyDescent="0.35">
      <c r="A15" s="3"/>
      <c r="B15" s="14" t="s">
        <v>237</v>
      </c>
      <c r="C15" s="9"/>
      <c r="D15" s="245">
        <f t="shared" ref="D15:K15" si="0">IFERROR(AVERAGE(D9:D13),"–")</f>
        <v>155.786</v>
      </c>
      <c r="E15" s="245">
        <f t="shared" si="0"/>
        <v>418623.39799999993</v>
      </c>
      <c r="F15" s="245">
        <f t="shared" si="0"/>
        <v>205723.60399999999</v>
      </c>
      <c r="G15" s="245">
        <f t="shared" si="0"/>
        <v>32989.599999999999</v>
      </c>
      <c r="H15" s="255">
        <f t="shared" si="0"/>
        <v>15.34828083152153</v>
      </c>
      <c r="I15" s="255">
        <f t="shared" si="0"/>
        <v>2.0872440486144499</v>
      </c>
      <c r="J15" s="256">
        <f t="shared" si="0"/>
        <v>12.897499999999999</v>
      </c>
      <c r="K15" s="255">
        <f t="shared" si="0"/>
        <v>22.128464531333062</v>
      </c>
    </row>
    <row r="16" spans="1:15" ht="15" customHeight="1" x14ac:dyDescent="0.35">
      <c r="A16" s="3"/>
      <c r="B16" s="14" t="s">
        <v>238</v>
      </c>
      <c r="C16" s="9"/>
      <c r="D16" s="245">
        <f t="shared" ref="D16:K16" si="1">IFERROR(MEDIAN(D9:D13),"–")</f>
        <v>78.459999999999994</v>
      </c>
      <c r="E16" s="245">
        <f t="shared" si="1"/>
        <v>183371.55</v>
      </c>
      <c r="F16" s="245">
        <f t="shared" si="1"/>
        <v>187267.01</v>
      </c>
      <c r="G16" s="245">
        <f t="shared" si="1"/>
        <v>17629</v>
      </c>
      <c r="H16" s="255">
        <f t="shared" si="1"/>
        <v>10.649799110818376</v>
      </c>
      <c r="I16" s="255">
        <f t="shared" si="1"/>
        <v>0.97919836494425783</v>
      </c>
      <c r="J16" s="256">
        <f t="shared" si="1"/>
        <v>13.395</v>
      </c>
      <c r="K16" s="255">
        <f t="shared" si="1"/>
        <v>13.542540675844807</v>
      </c>
    </row>
    <row r="17" spans="1:14" ht="15" customHeight="1" x14ac:dyDescent="0.35">
      <c r="A17" s="3"/>
      <c r="B17" s="14" t="s">
        <v>239</v>
      </c>
      <c r="C17" s="9"/>
      <c r="D17" s="257">
        <f t="shared" ref="D17:K17" si="2">IFERROR(MAX(D9:D13),"–")</f>
        <v>525.72</v>
      </c>
      <c r="E17" s="257">
        <f t="shared" si="2"/>
        <v>1333326.9099999999</v>
      </c>
      <c r="F17" s="257">
        <f t="shared" si="2"/>
        <v>321913</v>
      </c>
      <c r="G17" s="257">
        <f t="shared" si="2"/>
        <v>101892</v>
      </c>
      <c r="H17" s="258">
        <f t="shared" si="2"/>
        <v>34.001770814018172</v>
      </c>
      <c r="I17" s="258">
        <f t="shared" si="2"/>
        <v>6.6345894827980851</v>
      </c>
      <c r="J17" s="259">
        <f t="shared" si="2"/>
        <v>23.5</v>
      </c>
      <c r="K17" s="258">
        <f t="shared" si="2"/>
        <v>60.353846153846149</v>
      </c>
    </row>
    <row r="18" spans="1:14" ht="15" customHeight="1" thickBot="1" x14ac:dyDescent="0.4">
      <c r="A18" s="3"/>
      <c r="B18" s="14" t="s">
        <v>240</v>
      </c>
      <c r="C18" s="9"/>
      <c r="D18" s="260">
        <f t="shared" ref="D18:K18" si="3">IFERROR(MIN(D9:D13),"–")</f>
        <v>11.62</v>
      </c>
      <c r="E18" s="260">
        <f t="shared" si="3"/>
        <v>144410</v>
      </c>
      <c r="F18" s="260">
        <f t="shared" si="3"/>
        <v>133453</v>
      </c>
      <c r="G18" s="260">
        <f t="shared" si="3"/>
        <v>5393</v>
      </c>
      <c r="H18" s="261">
        <f t="shared" si="3"/>
        <v>9.1735484690636522</v>
      </c>
      <c r="I18" s="261">
        <f t="shared" si="3"/>
        <v>0.80364856343173474</v>
      </c>
      <c r="J18" s="262">
        <f t="shared" si="3"/>
        <v>1.3</v>
      </c>
      <c r="K18" s="261">
        <f t="shared" si="3"/>
        <v>1.0749306197964845</v>
      </c>
    </row>
    <row r="19" spans="1:14" ht="15" customHeight="1" x14ac:dyDescent="0.35">
      <c r="A19" s="3"/>
      <c r="B19" s="14"/>
      <c r="C19" s="9"/>
      <c r="D19" s="22"/>
      <c r="E19" s="22"/>
      <c r="F19" s="22"/>
      <c r="G19" s="22"/>
      <c r="H19" s="22"/>
      <c r="I19" s="22"/>
      <c r="J19" s="22"/>
      <c r="K19" s="22"/>
      <c r="L19" s="22"/>
    </row>
    <row r="20" spans="1:14" ht="18" customHeight="1" x14ac:dyDescent="0.5">
      <c r="A20" s="103" t="s">
        <v>5</v>
      </c>
      <c r="B20" s="47" t="s">
        <v>241</v>
      </c>
      <c r="C20" s="42"/>
      <c r="D20" s="23"/>
      <c r="E20" s="23"/>
      <c r="F20" s="23"/>
      <c r="G20" s="23"/>
      <c r="H20" s="23"/>
      <c r="I20" s="23"/>
      <c r="J20" s="23"/>
      <c r="K20" s="23"/>
      <c r="L20" s="23"/>
      <c r="M20" s="87"/>
      <c r="N20" s="87"/>
    </row>
    <row r="21" spans="1:14" ht="15" customHeight="1" x14ac:dyDescent="0.35">
      <c r="A21" s="201"/>
      <c r="B21" s="46" t="s">
        <v>242</v>
      </c>
      <c r="C21" s="10"/>
      <c r="D21" s="24" t="str">
        <f>INPUT!H5</f>
        <v>2025 (LTM)</v>
      </c>
      <c r="E21" s="24"/>
      <c r="F21" s="24"/>
      <c r="G21" s="24"/>
      <c r="H21" s="24"/>
      <c r="I21" s="24"/>
      <c r="J21" s="24"/>
      <c r="K21" s="24"/>
      <c r="L21" s="24"/>
      <c r="M21" s="201"/>
      <c r="N21" s="201"/>
    </row>
    <row r="22" spans="1:14" ht="15" customHeight="1" x14ac:dyDescent="0.35">
      <c r="A22" s="3"/>
      <c r="B22" s="17" t="s">
        <v>243</v>
      </c>
      <c r="C22" s="9" t="s">
        <v>8</v>
      </c>
      <c r="D22" s="263">
        <f>INPUT!H9/1000</f>
        <v>182.34399999999999</v>
      </c>
      <c r="E22" s="22"/>
      <c r="F22" s="22"/>
      <c r="G22" s="22"/>
      <c r="H22" s="22"/>
      <c r="I22" s="22"/>
      <c r="J22" s="22"/>
      <c r="K22" s="22"/>
      <c r="L22" s="22"/>
    </row>
    <row r="23" spans="1:14" ht="15" customHeight="1" x14ac:dyDescent="0.35">
      <c r="A23" s="3"/>
      <c r="B23" s="66" t="s">
        <v>392</v>
      </c>
      <c r="C23" s="9" t="s">
        <v>8</v>
      </c>
      <c r="D23" s="263">
        <f>INPUT!H30/1000</f>
        <v>39.601999999999997</v>
      </c>
      <c r="E23" s="22"/>
      <c r="F23" s="22"/>
      <c r="G23" s="22"/>
      <c r="H23" s="22"/>
      <c r="I23" s="22"/>
      <c r="J23" s="22"/>
      <c r="K23" s="22"/>
      <c r="L23" s="22"/>
    </row>
    <row r="24" spans="1:14" ht="15" customHeight="1" x14ac:dyDescent="0.35">
      <c r="A24" s="3"/>
      <c r="B24" s="66" t="s">
        <v>393</v>
      </c>
      <c r="C24" s="9" t="s">
        <v>61</v>
      </c>
      <c r="D24" s="428">
        <f>IFERROR(INPUT!H75+ABS(INPUT!H20)*(1-INPUT!H104),"–")</f>
        <v>28790.123599999999</v>
      </c>
      <c r="E24" s="22"/>
      <c r="F24" s="22"/>
      <c r="G24" s="22"/>
      <c r="H24" s="22"/>
      <c r="I24" s="22"/>
      <c r="J24" s="22"/>
      <c r="K24" s="22"/>
      <c r="L24" s="22"/>
    </row>
    <row r="25" spans="1:14" ht="15" customHeight="1" x14ac:dyDescent="0.35">
      <c r="A25" s="3"/>
      <c r="B25" s="17" t="s">
        <v>244</v>
      </c>
      <c r="C25" s="9" t="s">
        <v>8</v>
      </c>
      <c r="D25" s="263">
        <f>IFERROR((INPUT!H54+INPUT!H55-INPUT!H34)/1000,"–")</f>
        <v>158.458</v>
      </c>
      <c r="E25" s="22"/>
      <c r="F25" s="22"/>
      <c r="G25" s="22"/>
      <c r="H25" s="22"/>
      <c r="I25" s="22"/>
      <c r="J25" s="22"/>
      <c r="K25" s="22"/>
      <c r="L25" s="22"/>
    </row>
    <row r="26" spans="1:14" ht="15" customHeight="1" x14ac:dyDescent="0.35">
      <c r="A26" s="3"/>
      <c r="B26" s="17" t="s">
        <v>245</v>
      </c>
      <c r="C26" s="9" t="s">
        <v>63</v>
      </c>
      <c r="D26" s="264">
        <f>INPUT!H96/1000</f>
        <v>2.1331199999999999</v>
      </c>
      <c r="E26" s="22"/>
      <c r="F26" s="22"/>
      <c r="G26" s="22"/>
      <c r="H26" s="22"/>
      <c r="I26" s="22"/>
      <c r="J26" s="22"/>
      <c r="K26" s="22"/>
      <c r="L26" s="22"/>
    </row>
    <row r="27" spans="1:14" ht="15" customHeight="1" x14ac:dyDescent="0.35">
      <c r="A27" s="3"/>
      <c r="B27" s="14"/>
      <c r="C27" s="9"/>
      <c r="D27" s="22"/>
      <c r="E27" s="22"/>
      <c r="F27" s="22"/>
      <c r="G27" s="22"/>
      <c r="H27" s="22"/>
      <c r="I27" s="22"/>
      <c r="J27" s="22"/>
      <c r="K27" s="22"/>
      <c r="L27" s="22"/>
    </row>
    <row r="28" spans="1:14" ht="18" customHeight="1" x14ac:dyDescent="0.5">
      <c r="A28" s="103" t="s">
        <v>5</v>
      </c>
      <c r="B28" s="47" t="s">
        <v>246</v>
      </c>
      <c r="C28" s="42"/>
      <c r="D28" s="44"/>
      <c r="E28" s="44"/>
      <c r="F28" s="44"/>
      <c r="G28" s="44"/>
      <c r="H28" s="23"/>
      <c r="I28" s="23"/>
      <c r="J28" s="23"/>
      <c r="K28" s="23"/>
      <c r="L28" s="23"/>
      <c r="M28" s="87"/>
      <c r="N28" s="87"/>
    </row>
    <row r="29" spans="1:14" ht="15" customHeight="1" x14ac:dyDescent="0.35">
      <c r="A29" s="3"/>
      <c r="B29" s="66" t="s">
        <v>394</v>
      </c>
      <c r="C29" s="9"/>
      <c r="D29" s="265">
        <f>IFERROR(D23*H18,"–")</f>
        <v>363.29086647185875</v>
      </c>
      <c r="E29" s="265">
        <f>IFERROR(D23*H15,"–")</f>
        <v>607.82261748991561</v>
      </c>
      <c r="F29" s="265">
        <f>IFERROR(D23*H16,"–")</f>
        <v>421.75334438662929</v>
      </c>
      <c r="G29" s="265">
        <f>IFERROR(D23*H17,"–")</f>
        <v>1346.5381277767476</v>
      </c>
      <c r="H29" s="22"/>
      <c r="I29" s="22"/>
      <c r="J29" s="22"/>
      <c r="K29" s="22"/>
      <c r="L29" s="22"/>
    </row>
    <row r="30" spans="1:14" ht="15" customHeight="1" x14ac:dyDescent="0.35">
      <c r="A30" s="3"/>
      <c r="B30" s="66" t="s">
        <v>395</v>
      </c>
      <c r="C30" s="9"/>
      <c r="D30" s="265">
        <f>IFERROR(D22*I18,"–")</f>
        <v>146.54049365039623</v>
      </c>
      <c r="E30" s="265">
        <f>IFERROR(D22*I15,"–")</f>
        <v>380.59642880055321</v>
      </c>
      <c r="F30" s="265">
        <f>IFERROR(D22*I16,"–")</f>
        <v>178.55094665739574</v>
      </c>
      <c r="G30" s="265">
        <f>IFERROR(D22*I17,"–")</f>
        <v>1209.7775846513341</v>
      </c>
      <c r="H30" s="22"/>
      <c r="I30" s="22"/>
      <c r="J30" s="22"/>
      <c r="K30" s="22"/>
      <c r="L30" s="22"/>
    </row>
    <row r="31" spans="1:14" ht="15" customHeight="1" x14ac:dyDescent="0.35">
      <c r="A31" s="3"/>
      <c r="B31" s="17" t="s">
        <v>247</v>
      </c>
      <c r="C31" s="9"/>
      <c r="D31" s="265">
        <f>IFERROR(D24*K18*D26,"–")</f>
        <v>66014.486755893027</v>
      </c>
      <c r="E31" s="265">
        <f>IFERROR(D24*K15*D26,"–")</f>
        <v>1358970.7110664563</v>
      </c>
      <c r="F31" s="265">
        <f>IFERROR(D24*K16*D26,"–")</f>
        <v>831685.18565036356</v>
      </c>
      <c r="G31" s="265">
        <f>IFERROR(D24*K17*D26,"–")</f>
        <v>3706497.9862092044</v>
      </c>
      <c r="H31" s="22"/>
      <c r="I31" s="22"/>
      <c r="J31" s="22"/>
      <c r="K31" s="22"/>
      <c r="L31" s="22"/>
    </row>
    <row r="32" spans="1:14" ht="15" customHeight="1" x14ac:dyDescent="0.35">
      <c r="A32" s="3"/>
      <c r="B32" s="17"/>
      <c r="C32" s="9"/>
      <c r="D32" s="55"/>
      <c r="E32" s="22"/>
      <c r="F32" s="22"/>
      <c r="G32" s="55"/>
      <c r="H32" s="22"/>
      <c r="I32" s="22"/>
      <c r="J32" s="22"/>
      <c r="K32" s="22"/>
      <c r="L32" s="22"/>
    </row>
    <row r="33" spans="1:14" ht="15" customHeight="1" x14ac:dyDescent="0.35">
      <c r="A33" s="3"/>
      <c r="B33" s="17" t="s">
        <v>248</v>
      </c>
      <c r="C33" s="9" t="s">
        <v>8</v>
      </c>
      <c r="D33" s="265">
        <f>IFERROR(AVERAGE(D29,D30),"–")</f>
        <v>254.91568006112749</v>
      </c>
      <c r="E33" s="265">
        <f>IFERROR(AVERAGE(E29,E30),"–")</f>
        <v>494.20952314523441</v>
      </c>
      <c r="F33" s="265">
        <f>IFERROR(AVERAGE(F29,F30),"–")</f>
        <v>300.15214552201252</v>
      </c>
      <c r="G33" s="265">
        <f>IFERROR(AVERAGE(G29,G30),"–")</f>
        <v>1278.1578562140407</v>
      </c>
      <c r="H33" s="22"/>
      <c r="I33" s="22"/>
      <c r="J33" s="22"/>
      <c r="K33" s="22"/>
      <c r="L33" s="22"/>
    </row>
    <row r="34" spans="1:14" ht="15" customHeight="1" x14ac:dyDescent="0.35">
      <c r="A34" s="3"/>
      <c r="B34" s="17" t="s">
        <v>249</v>
      </c>
      <c r="C34" s="9" t="s">
        <v>8</v>
      </c>
      <c r="D34" s="265">
        <f>D25</f>
        <v>158.458</v>
      </c>
      <c r="E34" s="265">
        <f>D25</f>
        <v>158.458</v>
      </c>
      <c r="F34" s="265">
        <f>D25</f>
        <v>158.458</v>
      </c>
      <c r="G34" s="265">
        <f>D25</f>
        <v>158.458</v>
      </c>
      <c r="H34" s="22"/>
      <c r="I34" s="22"/>
      <c r="J34" s="22"/>
      <c r="K34" s="22"/>
      <c r="L34" s="22"/>
    </row>
    <row r="35" spans="1:14" ht="15" customHeight="1" x14ac:dyDescent="0.35">
      <c r="A35" s="3"/>
      <c r="B35" s="17" t="s">
        <v>250</v>
      </c>
      <c r="C35" s="9" t="s">
        <v>8</v>
      </c>
      <c r="D35" s="265">
        <f>IFERROR(D33-D34,"–")</f>
        <v>96.45768006112749</v>
      </c>
      <c r="E35" s="265">
        <f>IFERROR(E33-E34,"–")</f>
        <v>335.75152314523439</v>
      </c>
      <c r="F35" s="265">
        <f>IFERROR(F33-F34,"–")</f>
        <v>141.69414552201252</v>
      </c>
      <c r="G35" s="265">
        <f>IFERROR(G33-G34,"–")</f>
        <v>1119.6998562140407</v>
      </c>
      <c r="H35" s="22"/>
      <c r="I35" s="22"/>
      <c r="J35" s="22"/>
      <c r="K35" s="22"/>
      <c r="L35" s="22"/>
    </row>
    <row r="36" spans="1:14" ht="15" customHeight="1" thickBot="1" x14ac:dyDescent="0.4">
      <c r="A36" s="3"/>
      <c r="B36" s="52" t="s">
        <v>215</v>
      </c>
      <c r="C36" s="11" t="s">
        <v>61</v>
      </c>
      <c r="D36" s="266">
        <f>IFERROR(D35/D26,"–")</f>
        <v>45.219059434596971</v>
      </c>
      <c r="E36" s="266">
        <f>IFERROR(E35/D26,"–")</f>
        <v>157.39926640096871</v>
      </c>
      <c r="F36" s="266">
        <f>IFERROR(F35/D26,"–")</f>
        <v>66.425773290772455</v>
      </c>
      <c r="G36" s="266">
        <f>IFERROR(G35/D26,"–")</f>
        <v>524.91179878020955</v>
      </c>
      <c r="H36" s="294"/>
      <c r="I36" s="60"/>
      <c r="J36" s="60"/>
      <c r="K36" s="60"/>
      <c r="L36" s="60"/>
    </row>
    <row r="37" spans="1:14" ht="15" customHeight="1" x14ac:dyDescent="0.35">
      <c r="A37" s="3"/>
      <c r="B37" s="17" t="s">
        <v>251</v>
      </c>
      <c r="C37" s="9" t="s">
        <v>61</v>
      </c>
      <c r="D37" s="256">
        <f>INPUT!H95</f>
        <v>77.69</v>
      </c>
      <c r="E37" s="256">
        <f>INPUT!H95</f>
        <v>77.69</v>
      </c>
      <c r="F37" s="256">
        <f>INPUT!H95</f>
        <v>77.69</v>
      </c>
      <c r="G37" s="256">
        <f>INPUT!H95</f>
        <v>77.69</v>
      </c>
      <c r="H37" s="22"/>
      <c r="I37" s="22"/>
      <c r="J37" s="22"/>
      <c r="K37" s="22"/>
      <c r="L37" s="22"/>
    </row>
    <row r="38" spans="1:14" ht="15" customHeight="1" thickBot="1" x14ac:dyDescent="0.4">
      <c r="A38" s="3"/>
      <c r="B38" s="52" t="s">
        <v>252</v>
      </c>
      <c r="C38" s="11" t="s">
        <v>69</v>
      </c>
      <c r="D38" s="267">
        <f>IFERROR(D36/D37-1,"–")</f>
        <v>-0.41795521386797563</v>
      </c>
      <c r="E38" s="267">
        <f>IFERROR(E36/D37-1,"–")</f>
        <v>1.0259913296559238</v>
      </c>
      <c r="F38" s="267">
        <f>IFERROR(F36/D37-1,"–")</f>
        <v>-0.14498940287331119</v>
      </c>
      <c r="G38" s="267">
        <f>IFERROR(G36/D37-1,"–")</f>
        <v>5.7564911672056835</v>
      </c>
      <c r="H38" s="294"/>
      <c r="I38" s="60"/>
      <c r="J38" s="60"/>
      <c r="K38" s="60"/>
      <c r="L38" s="60"/>
    </row>
    <row r="39" spans="1:14" ht="15" customHeight="1" x14ac:dyDescent="0.35">
      <c r="A39" s="3"/>
      <c r="B39" s="52"/>
      <c r="C39" s="11"/>
      <c r="D39" s="252"/>
      <c r="E39" s="252"/>
      <c r="F39" s="252"/>
      <c r="G39" s="252"/>
      <c r="H39" s="294"/>
      <c r="I39" s="294"/>
      <c r="J39" s="294"/>
      <c r="K39" s="294"/>
      <c r="L39" s="294"/>
    </row>
    <row r="40" spans="1:14" ht="15" customHeight="1" x14ac:dyDescent="0.35">
      <c r="A40" s="3"/>
      <c r="B40" s="17"/>
      <c r="C40" s="9"/>
      <c r="D40" s="57"/>
      <c r="E40" s="37"/>
      <c r="F40" s="37"/>
      <c r="G40" s="57"/>
      <c r="H40" s="22"/>
      <c r="I40" s="22"/>
      <c r="J40" s="22"/>
      <c r="K40" s="22"/>
      <c r="L40" s="22"/>
    </row>
    <row r="41" spans="1:14" ht="15" customHeight="1" x14ac:dyDescent="0.35">
      <c r="A41" s="3"/>
      <c r="B41" s="18" t="s">
        <v>253</v>
      </c>
      <c r="C41" s="3"/>
      <c r="D41" s="22"/>
      <c r="E41" s="22"/>
      <c r="F41" s="22"/>
      <c r="G41" s="22"/>
      <c r="H41" s="22"/>
      <c r="I41" s="22"/>
      <c r="J41" s="22"/>
      <c r="K41" s="22"/>
      <c r="L41" s="22"/>
    </row>
    <row r="42" spans="1:14" ht="15" customHeight="1" x14ac:dyDescent="0.35">
      <c r="A42" s="3"/>
      <c r="B42" s="14"/>
      <c r="C42" s="3"/>
      <c r="D42" s="22"/>
      <c r="E42" s="22"/>
      <c r="F42" s="22"/>
      <c r="G42" s="22"/>
      <c r="H42" s="22"/>
      <c r="I42" s="22"/>
      <c r="J42" s="22"/>
      <c r="K42" s="22"/>
      <c r="L42" s="22"/>
    </row>
    <row r="43" spans="1:14" ht="15" customHeight="1" x14ac:dyDescent="0.35">
      <c r="A43" s="200"/>
      <c r="B43" s="31" t="s">
        <v>95</v>
      </c>
      <c r="C43" s="4"/>
      <c r="D43" s="32"/>
      <c r="E43" s="32"/>
      <c r="F43" s="32"/>
      <c r="G43" s="32"/>
      <c r="H43" s="32"/>
      <c r="I43" s="32"/>
      <c r="J43" s="32"/>
      <c r="K43" s="32"/>
      <c r="L43" s="32"/>
      <c r="M43" s="208"/>
      <c r="N43" s="208"/>
    </row>
    <row r="44" spans="1:14" ht="15" customHeight="1" x14ac:dyDescent="0.35">
      <c r="A44" s="200"/>
      <c r="B44" s="31" t="s">
        <v>96</v>
      </c>
      <c r="C44" s="4"/>
      <c r="D44" s="32"/>
      <c r="E44" s="32"/>
      <c r="F44" s="32"/>
      <c r="G44" s="32"/>
      <c r="H44" s="32"/>
      <c r="I44" s="32"/>
      <c r="J44" s="32"/>
      <c r="K44" s="32"/>
      <c r="L44" s="32"/>
      <c r="M44" s="208"/>
      <c r="N44" s="208"/>
    </row>
    <row r="45" spans="1:14" ht="15" customHeight="1" x14ac:dyDescent="0.35">
      <c r="A45" s="200"/>
      <c r="B45" s="31" t="s">
        <v>97</v>
      </c>
      <c r="C45" s="4"/>
      <c r="D45" s="32"/>
      <c r="E45" s="32"/>
      <c r="F45" s="32"/>
      <c r="G45" s="32"/>
      <c r="H45" s="32"/>
      <c r="I45" s="32"/>
      <c r="J45" s="32"/>
      <c r="K45" s="32"/>
      <c r="L45" s="32"/>
      <c r="M45" s="208"/>
      <c r="N45" s="208"/>
    </row>
    <row r="46" spans="1:14" ht="15" customHeight="1" x14ac:dyDescent="0.3">
      <c r="B46" s="45"/>
    </row>
    <row r="47" spans="1:14" ht="15" customHeight="1" x14ac:dyDescent="0.3">
      <c r="A47" s="90"/>
      <c r="B47" s="85" t="s">
        <v>254</v>
      </c>
      <c r="C47" s="86" t="s">
        <v>255</v>
      </c>
      <c r="D47" s="86" t="s">
        <v>256</v>
      </c>
      <c r="E47" s="84" t="s">
        <v>257</v>
      </c>
      <c r="F47" s="84"/>
      <c r="G47" s="84"/>
      <c r="H47" s="84"/>
      <c r="I47" s="84"/>
      <c r="J47" s="84"/>
      <c r="K47" s="84"/>
      <c r="L47" s="84"/>
      <c r="M47" s="209"/>
      <c r="N47" s="209"/>
    </row>
    <row r="48" spans="1:14" ht="15" customHeight="1" x14ac:dyDescent="0.3">
      <c r="B48" s="268" t="str">
        <f>B9</f>
        <v>XOM</v>
      </c>
      <c r="C48" s="379">
        <f t="shared" ref="C48:D52" si="4">IFERROR(H9*1,0)</f>
        <v>9.8305978784956594</v>
      </c>
      <c r="D48" s="380">
        <f t="shared" si="4"/>
        <v>0.93668002006928897</v>
      </c>
      <c r="E48" s="381">
        <f>IFERROR(K9*1,0)</f>
        <v>4.7140175219023774</v>
      </c>
    </row>
    <row r="49" spans="2:11" ht="15" customHeight="1" x14ac:dyDescent="0.3">
      <c r="B49" s="268" t="str">
        <f>B10</f>
        <v>SHEL.L</v>
      </c>
      <c r="C49" s="379">
        <f t="shared" si="4"/>
        <v>34.001770814018172</v>
      </c>
      <c r="D49" s="380">
        <f t="shared" si="4"/>
        <v>0.97919836494425783</v>
      </c>
      <c r="E49" s="381">
        <f>IFERROR(K10*1,0)</f>
        <v>1.0749306197964845</v>
      </c>
    </row>
    <row r="50" spans="2:11" ht="15" customHeight="1" x14ac:dyDescent="0.3">
      <c r="B50" s="268" t="str">
        <f>B11</f>
        <v>BP.L</v>
      </c>
      <c r="C50" s="379">
        <f t="shared" si="4"/>
        <v>13.085687885211792</v>
      </c>
      <c r="D50" s="380">
        <f t="shared" si="4"/>
        <v>6.6345894827980851</v>
      </c>
      <c r="E50" s="381">
        <f>IFERROR(K11*1,0)</f>
        <v>22.371063829787236</v>
      </c>
    </row>
    <row r="51" spans="2:11" ht="15" customHeight="1" x14ac:dyDescent="0.3">
      <c r="B51" s="268" t="str">
        <f>B12</f>
        <v>ENI.MI</v>
      </c>
      <c r="C51" s="379">
        <f t="shared" si="4"/>
        <v>9.1735484690636522</v>
      </c>
      <c r="D51" s="380">
        <f t="shared" si="4"/>
        <v>1.0821038118288835</v>
      </c>
      <c r="E51" s="381">
        <f>IFERROR(K12*1,0)</f>
        <v>60.353846153846149</v>
      </c>
    </row>
    <row r="52" spans="2:11" ht="15" customHeight="1" x14ac:dyDescent="0.3">
      <c r="B52" s="268" t="str">
        <f>B13</f>
        <v>REP.MC</v>
      </c>
      <c r="C52" s="379">
        <f t="shared" si="4"/>
        <v>10.649799110818376</v>
      </c>
      <c r="D52" s="380">
        <f t="shared" si="4"/>
        <v>0.80364856343173474</v>
      </c>
      <c r="E52" s="381">
        <f>IFERROR(K13*1,0)</f>
        <v>0</v>
      </c>
    </row>
    <row r="53" spans="2:11" ht="15" customHeight="1" x14ac:dyDescent="0.3">
      <c r="B53" s="268" t="str">
        <f>B15</f>
        <v>Mean</v>
      </c>
      <c r="C53" s="379">
        <f>IFERROR(H15*1,0)</f>
        <v>15.34828083152153</v>
      </c>
      <c r="D53" s="380">
        <f>IFERROR(I15*1,0)</f>
        <v>2.0872440486144499</v>
      </c>
      <c r="E53" s="381">
        <f>IFERROR(K15*1,0)</f>
        <v>22.128464531333062</v>
      </c>
    </row>
    <row r="54" spans="2:11" ht="15" customHeight="1" x14ac:dyDescent="0.3">
      <c r="B54" s="299" t="s">
        <v>258</v>
      </c>
      <c r="H54" s="21" t="s">
        <v>259</v>
      </c>
      <c r="I54" s="21" t="s">
        <v>260</v>
      </c>
      <c r="J54" s="21" t="s">
        <v>261</v>
      </c>
      <c r="K54" s="21" t="s">
        <v>262</v>
      </c>
    </row>
    <row r="55" spans="2:11" ht="15" customHeight="1" x14ac:dyDescent="0.3">
      <c r="B55" s="83" t="s">
        <v>259</v>
      </c>
      <c r="C55" s="81" t="s">
        <v>260</v>
      </c>
      <c r="D55" s="84" t="s">
        <v>263</v>
      </c>
      <c r="E55" s="84" t="s">
        <v>261</v>
      </c>
      <c r="H55" s="21" t="s">
        <v>264</v>
      </c>
      <c r="I55" s="21">
        <f>IFERROR(D36,0)</f>
        <v>45.219059434596971</v>
      </c>
      <c r="J55" s="21">
        <f>IFERROR(G36,0)</f>
        <v>524.91179878020955</v>
      </c>
      <c r="K55" s="300">
        <f>INPUT!H95</f>
        <v>77.69</v>
      </c>
    </row>
    <row r="56" spans="2:11" ht="15" customHeight="1" x14ac:dyDescent="0.3">
      <c r="B56" s="429" t="str">
        <f>B29</f>
        <v>EV / EBITDAX — Implied EV ($M)</v>
      </c>
      <c r="C56" s="382">
        <f>IFERROR(D36,"–")</f>
        <v>45.219059434596971</v>
      </c>
      <c r="D56" s="383">
        <f>IFERROR(F36,"–")</f>
        <v>66.425773290772455</v>
      </c>
      <c r="E56" s="383">
        <f>IFERROR(G36,"–")</f>
        <v>524.91179878020955</v>
      </c>
      <c r="H56" s="21" t="s">
        <v>265</v>
      </c>
      <c r="I56" s="21">
        <f>IFERROR(D36,0)</f>
        <v>45.219059434596971</v>
      </c>
      <c r="J56" s="21">
        <f>IFERROR(G36,0)</f>
        <v>524.91179878020955</v>
      </c>
      <c r="K56" s="300">
        <f>INPUT!H95</f>
        <v>77.69</v>
      </c>
    </row>
    <row r="57" spans="2:11" ht="15" customHeight="1" x14ac:dyDescent="0.3">
      <c r="B57" s="429" t="str">
        <f>B30</f>
        <v>EV / DACF — Implied EV ($M)</v>
      </c>
      <c r="C57" s="382">
        <f>IFERROR(D36,"–")</f>
        <v>45.219059434596971</v>
      </c>
      <c r="D57" s="383">
        <f>IFERROR(F36,"–")</f>
        <v>66.425773290772455</v>
      </c>
      <c r="E57" s="383">
        <f>IFERROR(G36,"–")</f>
        <v>524.91179878020955</v>
      </c>
      <c r="F57" s="21" t="s">
        <v>266</v>
      </c>
      <c r="H57" s="21" t="s">
        <v>267</v>
      </c>
      <c r="I57" s="21">
        <f>IFERROR(D36,0)</f>
        <v>45.219059434596971</v>
      </c>
      <c r="J57" s="21">
        <f>IFERROR(G36,0)</f>
        <v>524.91179878020955</v>
      </c>
      <c r="K57" s="300">
        <f>INPUT!H95</f>
        <v>77.69</v>
      </c>
    </row>
    <row r="58" spans="2:11" ht="15" customHeight="1" x14ac:dyDescent="0.3">
      <c r="B58" s="45"/>
    </row>
    <row r="59" spans="2:11" ht="15" customHeight="1" x14ac:dyDescent="0.3">
      <c r="B59" s="45"/>
    </row>
    <row r="60" spans="2:11" ht="15" customHeight="1" x14ac:dyDescent="0.3">
      <c r="B60" s="45"/>
    </row>
    <row r="61" spans="2:11" ht="15" customHeight="1" x14ac:dyDescent="0.3">
      <c r="B61" s="45"/>
    </row>
    <row r="62" spans="2:11" ht="15" customHeight="1" x14ac:dyDescent="0.3">
      <c r="B62" s="45"/>
    </row>
    <row r="63" spans="2:11" ht="15" customHeight="1" x14ac:dyDescent="0.3">
      <c r="B63" s="45"/>
    </row>
    <row r="64" spans="2:11" ht="15" customHeight="1" x14ac:dyDescent="0.3">
      <c r="B64" s="45"/>
    </row>
    <row r="65" spans="2:2" ht="15" customHeight="1" x14ac:dyDescent="0.3">
      <c r="B65" s="45"/>
    </row>
    <row r="66" spans="2:2" ht="15" customHeight="1" x14ac:dyDescent="0.3">
      <c r="B66" s="45"/>
    </row>
    <row r="67" spans="2:2" ht="15" customHeight="1" x14ac:dyDescent="0.3">
      <c r="B67" s="45"/>
    </row>
    <row r="68" spans="2:2" ht="15" customHeight="1" x14ac:dyDescent="0.3">
      <c r="B68" s="45"/>
    </row>
    <row r="69" spans="2:2" ht="15" customHeight="1" x14ac:dyDescent="0.3">
      <c r="B69" s="45"/>
    </row>
    <row r="70" spans="2:2" ht="15" customHeight="1" x14ac:dyDescent="0.3">
      <c r="B70" s="45"/>
    </row>
    <row r="71" spans="2:2" ht="15" customHeight="1" x14ac:dyDescent="0.3">
      <c r="B71" s="45"/>
    </row>
    <row r="72" spans="2:2" ht="15" customHeight="1" x14ac:dyDescent="0.3">
      <c r="B72" s="45"/>
    </row>
    <row r="73" spans="2:2" ht="15" customHeight="1" x14ac:dyDescent="0.3">
      <c r="B73" s="45"/>
    </row>
    <row r="74" spans="2:2" ht="15" customHeight="1" x14ac:dyDescent="0.3">
      <c r="B74" s="45"/>
    </row>
    <row r="75" spans="2:2" ht="15" customHeight="1" x14ac:dyDescent="0.3">
      <c r="B75" s="45"/>
    </row>
    <row r="76" spans="2:2" ht="15" customHeight="1" x14ac:dyDescent="0.3">
      <c r="B76" s="45"/>
    </row>
    <row r="77" spans="2:2" ht="15" customHeight="1" x14ac:dyDescent="0.3">
      <c r="B77" s="45"/>
    </row>
    <row r="78" spans="2:2" ht="15" customHeight="1" x14ac:dyDescent="0.3">
      <c r="B78" s="45"/>
    </row>
    <row r="79" spans="2:2" ht="15" customHeight="1" x14ac:dyDescent="0.3">
      <c r="B79" s="45"/>
    </row>
    <row r="80" spans="2:2" ht="15" customHeight="1" x14ac:dyDescent="0.3">
      <c r="B80" s="45"/>
    </row>
    <row r="81" spans="2:2" ht="15" customHeight="1" x14ac:dyDescent="0.3">
      <c r="B81" s="45"/>
    </row>
    <row r="82" spans="2:2" ht="15" customHeight="1" x14ac:dyDescent="0.3">
      <c r="B82" s="45"/>
    </row>
    <row r="83" spans="2:2" ht="15" customHeight="1" x14ac:dyDescent="0.3">
      <c r="B83" s="45"/>
    </row>
    <row r="84" spans="2:2" ht="15" customHeight="1" x14ac:dyDescent="0.3">
      <c r="B84" s="45"/>
    </row>
    <row r="85" spans="2:2" ht="15" customHeight="1" x14ac:dyDescent="0.3">
      <c r="B85" s="45"/>
    </row>
    <row r="86" spans="2:2" ht="15" customHeight="1" x14ac:dyDescent="0.3">
      <c r="B86" s="45"/>
    </row>
    <row r="87" spans="2:2" ht="15" customHeight="1" x14ac:dyDescent="0.3">
      <c r="B87" s="45"/>
    </row>
    <row r="88" spans="2:2" ht="15" customHeight="1" x14ac:dyDescent="0.3">
      <c r="B88" s="45"/>
    </row>
    <row r="89" spans="2:2" ht="15" customHeight="1" x14ac:dyDescent="0.3">
      <c r="B89" s="45"/>
    </row>
    <row r="90" spans="2:2" ht="15" customHeight="1" x14ac:dyDescent="0.3">
      <c r="B90" s="45"/>
    </row>
    <row r="91" spans="2:2" ht="15" customHeight="1" x14ac:dyDescent="0.3">
      <c r="B91" s="45"/>
    </row>
    <row r="92" spans="2:2" ht="15" customHeight="1" x14ac:dyDescent="0.3">
      <c r="B92" s="45"/>
    </row>
    <row r="93" spans="2:2" ht="15" customHeight="1" x14ac:dyDescent="0.3">
      <c r="B93" s="45"/>
    </row>
    <row r="94" spans="2:2" ht="15" customHeight="1" x14ac:dyDescent="0.3">
      <c r="B94" s="45"/>
    </row>
    <row r="95" spans="2:2" ht="15" customHeight="1" x14ac:dyDescent="0.3">
      <c r="B95" s="45"/>
    </row>
    <row r="96" spans="2:2" ht="15" customHeight="1" x14ac:dyDescent="0.3">
      <c r="B96" s="45"/>
    </row>
    <row r="97" spans="2:2" ht="15" customHeight="1" x14ac:dyDescent="0.3">
      <c r="B97" s="45"/>
    </row>
    <row r="98" spans="2:2" ht="15" customHeight="1" x14ac:dyDescent="0.3">
      <c r="B98" s="45"/>
    </row>
    <row r="99" spans="2:2" ht="15" customHeight="1" x14ac:dyDescent="0.3">
      <c r="B99" s="45"/>
    </row>
    <row r="100" spans="2:2" ht="15" customHeight="1" x14ac:dyDescent="0.3">
      <c r="B100" s="45"/>
    </row>
    <row r="101" spans="2:2" ht="15" customHeight="1" x14ac:dyDescent="0.3">
      <c r="B101" s="45"/>
    </row>
    <row r="102" spans="2:2" ht="15" customHeight="1" x14ac:dyDescent="0.3">
      <c r="B102" s="45"/>
    </row>
    <row r="103" spans="2:2" ht="15" customHeight="1" x14ac:dyDescent="0.3">
      <c r="B103" s="45"/>
    </row>
    <row r="104" spans="2:2" ht="15" customHeight="1" x14ac:dyDescent="0.3">
      <c r="B104" s="45"/>
    </row>
    <row r="105" spans="2:2" ht="15" customHeight="1" x14ac:dyDescent="0.3">
      <c r="B105" s="45"/>
    </row>
    <row r="106" spans="2:2" ht="15" customHeight="1" x14ac:dyDescent="0.3">
      <c r="B106" s="45"/>
    </row>
    <row r="107" spans="2:2" ht="15" customHeight="1" x14ac:dyDescent="0.3">
      <c r="B107" s="45"/>
    </row>
    <row r="108" spans="2:2" ht="15" customHeight="1" x14ac:dyDescent="0.3">
      <c r="B108" s="45"/>
    </row>
    <row r="109" spans="2:2" ht="15" customHeight="1" x14ac:dyDescent="0.3">
      <c r="B109" s="45"/>
    </row>
    <row r="110" spans="2:2" ht="15" customHeight="1" x14ac:dyDescent="0.3">
      <c r="B110" s="45"/>
    </row>
    <row r="111" spans="2:2" ht="15" customHeight="1" x14ac:dyDescent="0.3">
      <c r="B111" s="45"/>
    </row>
    <row r="112" spans="2:2" ht="15" customHeight="1" x14ac:dyDescent="0.3">
      <c r="B112" s="45"/>
    </row>
    <row r="113" spans="2:2" ht="15" customHeight="1" x14ac:dyDescent="0.3">
      <c r="B113" s="45"/>
    </row>
    <row r="114" spans="2:2" ht="15" customHeight="1" x14ac:dyDescent="0.3">
      <c r="B114" s="45"/>
    </row>
    <row r="115" spans="2:2" ht="15" customHeight="1" x14ac:dyDescent="0.3">
      <c r="B115" s="45"/>
    </row>
    <row r="116" spans="2:2" ht="15" customHeight="1" x14ac:dyDescent="0.3">
      <c r="B116" s="45"/>
    </row>
    <row r="117" spans="2:2" ht="15" customHeight="1" x14ac:dyDescent="0.3">
      <c r="B117" s="45"/>
    </row>
    <row r="118" spans="2:2" ht="15" customHeight="1" x14ac:dyDescent="0.3">
      <c r="B118" s="45"/>
    </row>
    <row r="119" spans="2:2" ht="15" customHeight="1" x14ac:dyDescent="0.3">
      <c r="B119" s="45"/>
    </row>
    <row r="120" spans="2:2" ht="15" customHeight="1" x14ac:dyDescent="0.3">
      <c r="B120" s="45"/>
    </row>
    <row r="121" spans="2:2" ht="15" customHeight="1" x14ac:dyDescent="0.3">
      <c r="B121" s="45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2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20"/>
  <sheetViews>
    <sheetView showGridLines="0" zoomScale="85" zoomScaleNormal="85" workbookViewId="0">
      <selection activeCell="K27" sqref="K27"/>
    </sheetView>
  </sheetViews>
  <sheetFormatPr baseColWidth="10" defaultRowHeight="14.4" x14ac:dyDescent="0.3"/>
  <cols>
    <col min="1" max="1" width="11" style="392" customWidth="1"/>
    <col min="2" max="2" width="51" style="19" bestFit="1" customWidth="1"/>
    <col min="3" max="3" width="15.6640625" customWidth="1"/>
    <col min="4" max="5" width="13.33203125" style="21" customWidth="1"/>
    <col min="6" max="6" width="13.88671875" style="21" bestFit="1" customWidth="1"/>
    <col min="7" max="7" width="14.44140625" style="21" bestFit="1" customWidth="1"/>
    <col min="8" max="9" width="13.33203125" style="21" customWidth="1"/>
    <col min="10" max="13" width="11" style="21" customWidth="1"/>
    <col min="14" max="14" width="11.44140625" style="89" customWidth="1"/>
  </cols>
  <sheetData>
    <row r="1" spans="1:14" ht="54.9" customHeight="1" x14ac:dyDescent="0.6">
      <c r="A1" s="96"/>
      <c r="B1" s="96" t="s">
        <v>98</v>
      </c>
      <c r="C1" s="5"/>
      <c r="D1" s="29"/>
      <c r="E1" s="29"/>
      <c r="F1" s="29"/>
      <c r="G1" s="29"/>
      <c r="H1" s="95" t="s">
        <v>268</v>
      </c>
      <c r="I1" s="29"/>
      <c r="J1" s="29"/>
      <c r="K1" s="29"/>
      <c r="L1" s="29"/>
      <c r="M1" s="29"/>
      <c r="N1" s="88"/>
    </row>
    <row r="2" spans="1:14" ht="15" customHeight="1" x14ac:dyDescent="0.35">
      <c r="A2" s="389"/>
      <c r="B2" s="14"/>
      <c r="C2" s="3"/>
      <c r="D2" s="22"/>
      <c r="E2" s="22"/>
      <c r="F2" s="22"/>
      <c r="G2" s="22"/>
      <c r="H2" s="22"/>
      <c r="I2" s="22"/>
      <c r="K2" s="22"/>
      <c r="L2" s="22"/>
      <c r="M2" s="22"/>
    </row>
    <row r="3" spans="1:14" ht="18" customHeight="1" x14ac:dyDescent="0.5">
      <c r="A3" s="341" t="s">
        <v>5</v>
      </c>
      <c r="B3" s="15" t="s">
        <v>269</v>
      </c>
      <c r="C3" s="7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4" ht="15" customHeight="1" x14ac:dyDescent="0.35">
      <c r="A4" s="389"/>
      <c r="B4" s="12" t="s">
        <v>270</v>
      </c>
      <c r="C4" s="3"/>
      <c r="D4" s="22"/>
      <c r="E4" s="22"/>
      <c r="F4" s="22"/>
      <c r="G4" s="22"/>
      <c r="H4" s="22"/>
      <c r="I4" s="22"/>
      <c r="K4" s="22"/>
      <c r="L4" s="22"/>
      <c r="M4" s="22"/>
    </row>
    <row r="5" spans="1:14" ht="15" customHeight="1" x14ac:dyDescent="0.35">
      <c r="A5" s="390" t="s">
        <v>5</v>
      </c>
      <c r="B5" s="16" t="s">
        <v>2</v>
      </c>
      <c r="C5" s="16"/>
      <c r="D5" s="350"/>
      <c r="E5" s="16" t="str">
        <f>TEXT(INPUT!D117-3,"0")</f>
        <v>2022</v>
      </c>
      <c r="F5" s="16" t="str">
        <f>TEXT(INPUT!D117-2,"0")</f>
        <v>2023</v>
      </c>
      <c r="G5" s="16" t="str">
        <f>TEXT(INPUT!D117-1,"0")</f>
        <v>2024</v>
      </c>
      <c r="H5" s="16" t="str">
        <f>INPUT!D117&amp;" (LTM)"</f>
        <v>2025 (LTM)</v>
      </c>
      <c r="I5" s="16" t="str">
        <f>TEXT(INPUT!D117+1,"0")&amp;"F"</f>
        <v>2026F</v>
      </c>
      <c r="J5" s="16" t="str">
        <f>TEXT(INPUT!D117+2,"0")&amp;"F"</f>
        <v>2027F</v>
      </c>
      <c r="K5" s="16" t="str">
        <f>TEXT(INPUT!D117+3,"0")&amp;"F"</f>
        <v>2028F</v>
      </c>
      <c r="L5" s="16" t="str">
        <f>TEXT(INPUT!D117+4,"0")&amp;"F"</f>
        <v>2029F</v>
      </c>
      <c r="M5" s="16" t="str">
        <f>TEXT(INPUT!D117+5,"0")&amp;"F"</f>
        <v>2030F</v>
      </c>
    </row>
    <row r="6" spans="1:14" ht="15" customHeight="1" x14ac:dyDescent="0.35">
      <c r="A6" s="389"/>
      <c r="B6" s="16" t="s">
        <v>271</v>
      </c>
      <c r="C6" s="72"/>
      <c r="D6" s="544" t="s">
        <v>212</v>
      </c>
      <c r="E6" s="74"/>
      <c r="F6" s="73"/>
      <c r="G6" s="74"/>
      <c r="H6" s="73"/>
      <c r="I6" s="73"/>
      <c r="J6" s="73"/>
      <c r="K6" s="73"/>
      <c r="L6" s="73"/>
      <c r="M6" s="73"/>
    </row>
    <row r="7" spans="1:14" ht="18" customHeight="1" x14ac:dyDescent="0.35">
      <c r="A7" s="390"/>
      <c r="B7" s="16" t="s">
        <v>272</v>
      </c>
      <c r="C7" s="16"/>
      <c r="D7" s="16" t="s">
        <v>211</v>
      </c>
      <c r="E7" s="71" t="s">
        <v>212</v>
      </c>
      <c r="F7" s="71" t="s">
        <v>213</v>
      </c>
      <c r="G7" s="24"/>
      <c r="H7" s="24"/>
      <c r="I7" s="24"/>
      <c r="J7" s="24"/>
      <c r="K7" s="24"/>
      <c r="L7" s="24"/>
      <c r="M7" s="24"/>
    </row>
    <row r="8" spans="1:14" ht="15" customHeight="1" x14ac:dyDescent="0.35">
      <c r="A8" s="389"/>
      <c r="B8" s="66" t="s">
        <v>273</v>
      </c>
      <c r="C8" s="191"/>
      <c r="D8" s="241" cm="1">
        <f t="array" ref="D8">IFERROR(INDEX(SECTOR_REF!$C$2:$E$71,MATCH(1,(SECTOR_REF!$A$2:$A$71=INPUT!$D$116)*(SECTOR_REF!$B$2:$B$71="Revenue Growth Rate (Y1-Y5)"),0),MATCH("Pessimiste",{"Pessimiste","Realiste","Optimiste"},0)),IFERROR(INPUT!H9/INPUT!G9-1,0.02))</f>
        <v>-0.05</v>
      </c>
      <c r="E8" s="241" cm="1">
        <f t="array" ref="E8">IFERROR(INDEX(SECTOR_REF!$C$2:$E$71,MATCH(1,(SECTOR_REF!$A$2:$A$71=INPUT!$D$116)*(SECTOR_REF!$B$2:$B$71="Revenue Growth Rate (Y1-Y5)"),0),MATCH("Realiste",{"Pessimiste","Realiste","Optimiste"},0)),IFERROR(INPUT!H9/INPUT!G9-1,0.05))</f>
        <v>0.02</v>
      </c>
      <c r="F8" s="241" cm="1">
        <f t="array" ref="F8">IFERROR(INDEX(SECTOR_REF!$C$2:$E$71,MATCH(1,(SECTOR_REF!$A$2:$A$71=INPUT!$D$116)*(SECTOR_REF!$B$2:$B$71="Revenue Growth Rate (Y1-Y5)"),0),MATCH("Optimiste",{"Pessimiste","Realiste","Optimiste"},0)),IFERROR(INPUT!H9/INPUT!G9-1,0.09))</f>
        <v>0.06</v>
      </c>
      <c r="G8" s="204"/>
      <c r="H8" s="203"/>
      <c r="I8" s="205"/>
      <c r="J8" s="206"/>
      <c r="K8" s="206"/>
      <c r="L8" s="206"/>
      <c r="M8" s="206"/>
    </row>
    <row r="9" spans="1:14" ht="15" customHeight="1" x14ac:dyDescent="0.35">
      <c r="A9" s="389"/>
      <c r="B9" s="66" t="s">
        <v>396</v>
      </c>
      <c r="C9" s="191"/>
      <c r="D9" s="241" cm="1">
        <f t="array" ref="D9">IFERROR(INDEX(SECTOR_REF!$C$2:$E$71,MATCH(1,(SECTOR_REF!$A$2:$A$71=INPUT!$D$116)*(SECTOR_REF!$B$2:$B$71="Gross Margin"),0),MATCH("Pessimiste",{"Pessimiste","Realiste","Optimiste"},0)),IFERROR(INPUT!H11/INPUT!H9,0.4)-0.03)</f>
        <v>0.25433619971043742</v>
      </c>
      <c r="E9" s="241" cm="1">
        <f t="array" ref="E9">IFERROR(INDEX(SECTOR_REF!$C$2:$E$71,MATCH(1,(SECTOR_REF!$A$2:$A$71=INPUT!$D$116)*(SECTOR_REF!$B$2:$B$71="Gross Margin"),0),MATCH("Realiste",{"Pessimiste","Realiste","Optimiste"},0)),IFERROR(INPUT!H11/INPUT!H9,0.4))</f>
        <v>0.28433619971043739</v>
      </c>
      <c r="F9" s="241" cm="1">
        <f t="array" ref="F9">IFERROR(INDEX(SECTOR_REF!$C$2:$E$71,MATCH(1,(SECTOR_REF!$A$2:$A$71=INPUT!$D$116)*(SECTOR_REF!$B$2:$B$71="Gross Margin"),0),MATCH("Optimiste",{"Pessimiste","Realiste","Optimiste"},0)),IFERROR(INPUT!H11/INPUT!H9,0.4)+0.03)</f>
        <v>0.31433619971043736</v>
      </c>
      <c r="G9" s="203"/>
      <c r="H9" s="203"/>
      <c r="I9" s="205"/>
      <c r="J9" s="206"/>
      <c r="K9" s="206"/>
      <c r="L9" s="206"/>
      <c r="M9" s="206"/>
    </row>
    <row r="10" spans="1:14" ht="15" customHeight="1" x14ac:dyDescent="0.35">
      <c r="A10" s="389"/>
      <c r="B10" s="66" t="s">
        <v>106</v>
      </c>
      <c r="C10" s="191"/>
      <c r="D10" s="241" cm="1">
        <f t="array" ref="D10">IFERROR(INDEX(SECTOR_REF!$C$2:$E$71,MATCH(1,(SECTOR_REF!$A$2:$A$71=INPUT!$D$116)*(SECTOR_REF!$B$2:$B$71="EBITDA Margin"),0),MATCH("Pessimiste",{"Pessimiste","Realiste","Optimiste"},0)),IFERROR(INPUT!H30/INPUT!H9,0.15)-0.03)</f>
        <v>0.15</v>
      </c>
      <c r="E10" s="241" cm="1">
        <f t="array" ref="E10">IFERROR(INDEX(SECTOR_REF!$C$2:$E$71,MATCH(1,(SECTOR_REF!$A$2:$A$71=INPUT!$D$116)*(SECTOR_REF!$B$2:$B$71="EBITDA Margin"),0),MATCH("Realiste",{"Pessimiste","Realiste","Optimiste"},0)),IFERROR(INPUT!H30/INPUT!H9,0.15))</f>
        <v>0.22</v>
      </c>
      <c r="F10" s="241" cm="1">
        <f t="array" ref="F10">IFERROR(INDEX(SECTOR_REF!$C$2:$E$71,MATCH(1,(SECTOR_REF!$A$2:$A$71=INPUT!$D$116)*(SECTOR_REF!$B$2:$B$71="EBITDA Margin"),0),MATCH("Optimiste",{"Pessimiste","Realiste","Optimiste"},0)),IFERROR(INPUT!H30/INPUT!H9,0.15)+0.03)</f>
        <v>0.28000000000000003</v>
      </c>
      <c r="G10" s="203"/>
      <c r="H10" s="203"/>
      <c r="I10" s="205"/>
      <c r="J10" s="206"/>
      <c r="K10" s="206"/>
      <c r="L10" s="206"/>
      <c r="M10" s="206"/>
    </row>
    <row r="11" spans="1:14" ht="15" customHeight="1" x14ac:dyDescent="0.35">
      <c r="A11" s="389"/>
      <c r="B11" s="66" t="s">
        <v>78</v>
      </c>
      <c r="C11" s="191"/>
      <c r="D11" s="241" cm="1">
        <f t="array" ref="D11">IFERROR(INDEX(SECTOR_REF!$C$2:$E$71,MATCH(1,(SECTOR_REF!$A$2:$A$71=INPUT!$D$116)*(SECTOR_REF!$B$2:$B$71="Terminal Growth Rate"),0),MATCH("Pessimiste",{"Pessimiste","Realiste","Optimiste"},0)),DCF!D70-0.01)</f>
        <v>0.01</v>
      </c>
      <c r="E11" s="241" cm="1">
        <f t="array" ref="E11">IFERROR(INDEX(SECTOR_REF!$C$2:$E$71,MATCH(1,(SECTOR_REF!$A$2:$A$71=INPUT!$D$116)*(SECTOR_REF!$B$2:$B$71="Terminal Growth Rate"),0),MATCH("Realiste",{"Pessimiste","Realiste","Optimiste"},0)),DCF!D70)</f>
        <v>0.02</v>
      </c>
      <c r="F11" s="241" cm="1">
        <f t="array" ref="F11">IFERROR(INDEX(SECTOR_REF!$C$2:$E$71,MATCH(1,(SECTOR_REF!$A$2:$A$71=INPUT!$D$116)*(SECTOR_REF!$B$2:$B$71="Terminal Growth Rate"),0),MATCH("Optimiste",{"Pessimiste","Realiste","Optimiste"},0)),DCF!D70+0.01)</f>
        <v>0.03</v>
      </c>
      <c r="G11" s="203"/>
      <c r="H11" s="203"/>
      <c r="I11" s="205"/>
      <c r="J11" s="206"/>
      <c r="K11" s="206"/>
      <c r="L11" s="206"/>
      <c r="M11" s="206"/>
    </row>
    <row r="12" spans="1:14" ht="15" customHeight="1" x14ac:dyDescent="0.35">
      <c r="A12" s="389"/>
      <c r="B12" s="66" t="s">
        <v>77</v>
      </c>
      <c r="C12" s="191"/>
      <c r="D12" s="241" cm="1">
        <f t="array" ref="D12">IFERROR(INDEX(SECTOR_REF!$C$2:$E$71,MATCH(1,(SECTOR_REF!$A$2:$A$71=INPUT!$D$116)*(SECTOR_REF!$B$2:$B$71="WACC"),0),MATCH("Pessimiste",{"Pessimiste","Realiste","Optimiste"},0)),DCF!D66+0.015)</f>
        <v>0.09</v>
      </c>
      <c r="E12" s="241" cm="1">
        <f t="array" ref="E12">IFERROR(INDEX(SECTOR_REF!$C$2:$E$71,MATCH(1,(SECTOR_REF!$A$2:$A$71=INPUT!$D$116)*(SECTOR_REF!$B$2:$B$71="WACC"),0),MATCH("Realiste",{"Pessimiste","Realiste","Optimiste"},0)),DCF!D66)</f>
        <v>0.08</v>
      </c>
      <c r="F12" s="241" cm="1">
        <f t="array" ref="F12">IFERROR(INDEX(SECTOR_REF!$C$2:$E$71,MATCH(1,(SECTOR_REF!$A$2:$A$71=INPUT!$D$116)*(SECTOR_REF!$B$2:$B$71="WACC"),0),MATCH("Optimiste",{"Pessimiste","Realiste","Optimiste"},0)),DCF!D66-0.015)</f>
        <v>7.0000000000000007E-2</v>
      </c>
      <c r="G12" s="203"/>
      <c r="H12" s="203"/>
      <c r="I12" s="205"/>
      <c r="J12" s="206"/>
      <c r="K12" s="206"/>
      <c r="L12" s="206"/>
      <c r="M12" s="206"/>
    </row>
    <row r="13" spans="1:14" ht="15" customHeight="1" x14ac:dyDescent="0.35">
      <c r="A13" s="389"/>
      <c r="B13" s="187" t="s">
        <v>274</v>
      </c>
      <c r="C13" s="72"/>
      <c r="D13" s="73" t="str">
        <f>IF(INPUT!$D$116="","— Aucun secteur sélectionné (INPUT!D116) —",INPUT!$D$116)</f>
        <v>Energie / Oil &amp; Gas</v>
      </c>
      <c r="E13" s="73"/>
      <c r="F13" s="73"/>
      <c r="G13" s="73"/>
      <c r="H13" s="73"/>
      <c r="I13" s="73"/>
      <c r="J13" s="73"/>
      <c r="K13" s="73"/>
      <c r="L13" s="73"/>
      <c r="M13" s="73"/>
    </row>
    <row r="14" spans="1:14" ht="15" customHeight="1" x14ac:dyDescent="0.5">
      <c r="A14" s="341" t="s">
        <v>5</v>
      </c>
      <c r="B14" s="15" t="s">
        <v>275</v>
      </c>
      <c r="C14" s="7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4" ht="18" customHeight="1" x14ac:dyDescent="0.35">
      <c r="A15" s="389"/>
      <c r="B15" s="79" t="s">
        <v>2</v>
      </c>
      <c r="C15" s="192"/>
      <c r="D15" s="334" t="str">
        <f>TEXT(INPUT!D117-3,"0")</f>
        <v>2022</v>
      </c>
      <c r="E15" s="334" t="str">
        <f>TEXT(INPUT!D117-2,"0")</f>
        <v>2023</v>
      </c>
      <c r="F15" s="334" t="str">
        <f>TEXT(INPUT!D117-1,"0")</f>
        <v>2024</v>
      </c>
      <c r="G15" s="16" t="str">
        <f>INPUT!D117&amp;" (LTM)"</f>
        <v>2025 (LTM)</v>
      </c>
      <c r="H15" s="192" t="str">
        <f>TEXT(INPUT!D117+1,"0")&amp;"F"</f>
        <v>2026F</v>
      </c>
      <c r="I15" s="192" t="str">
        <f>TEXT(INPUT!D117+2,"0")&amp;"F"</f>
        <v>2027F</v>
      </c>
      <c r="J15" s="192" t="str">
        <f>TEXT(INPUT!D117+3,"0")&amp;"F"</f>
        <v>2028F</v>
      </c>
      <c r="K15" s="192" t="str">
        <f>TEXT(INPUT!D117+4,"0")&amp;"F"</f>
        <v>2029F</v>
      </c>
      <c r="L15" s="192" t="str">
        <f>TEXT(INPUT!D117+5,"0")&amp;"F"</f>
        <v>2030F</v>
      </c>
      <c r="M15" s="89"/>
    </row>
    <row r="16" spans="1:14" ht="15" customHeight="1" x14ac:dyDescent="0.35">
      <c r="A16" s="389"/>
      <c r="B16" s="66" t="s">
        <v>7</v>
      </c>
      <c r="C16" s="349"/>
      <c r="D16" s="213">
        <f>INPUT!E9</f>
        <v>263310</v>
      </c>
      <c r="E16" s="213">
        <f>INPUT!F9</f>
        <v>218945</v>
      </c>
      <c r="F16" s="213">
        <f>INPUT!G9</f>
        <v>195610</v>
      </c>
      <c r="G16" s="213">
        <f>INPUT!H9</f>
        <v>182344</v>
      </c>
      <c r="H16" s="336">
        <f>INPUT!H9*(1+IF($D$6="Pessimistic",$D$8,IF($D$6="Realistic",$E$8,$F$8)))</f>
        <v>185990.88</v>
      </c>
      <c r="I16" s="336">
        <f>H16*(1+IF($D$6="Pessimistic",$D$8,IF($D$6="Realistic",$E$8,$F$8)))</f>
        <v>189710.69760000001</v>
      </c>
      <c r="J16" s="336">
        <f>I16*(1+IF($D$6="Pessimistic",$D$8,IF($D$6="Realistic",$E$8,$F$8)))</f>
        <v>193504.91155200001</v>
      </c>
      <c r="K16" s="336">
        <f>J16*(1+IF($D$6="Pessimistic",$D$8,IF($D$6="Realistic",$E$8,$F$8)))</f>
        <v>197375.00978304</v>
      </c>
      <c r="L16" s="336">
        <f>K16*(1+IF($D$6="Pessimistic",$D$8,IF($D$6="Realistic",$E$8,$F$8)))</f>
        <v>201322.50997870081</v>
      </c>
      <c r="M16" s="89"/>
    </row>
    <row r="17" spans="1:13" ht="15" customHeight="1" x14ac:dyDescent="0.35">
      <c r="A17" s="389"/>
      <c r="B17" s="62" t="s">
        <v>10</v>
      </c>
      <c r="C17" s="349"/>
      <c r="D17" s="213">
        <f>INPUT!E11</f>
        <v>81211</v>
      </c>
      <c r="E17" s="213">
        <f>INPUT!F11</f>
        <v>62373</v>
      </c>
      <c r="F17" s="213">
        <f>INPUT!G11</f>
        <v>55532</v>
      </c>
      <c r="G17" s="213">
        <f>INPUT!H11</f>
        <v>51847</v>
      </c>
      <c r="H17" s="337">
        <f>H16*IF($D$6="Pessimistic",$D$9,IF($D$6="Realistic",$E$9,$F$9))</f>
        <v>52883.939999999995</v>
      </c>
      <c r="I17" s="336">
        <f>I16*IF($D$6="Pessimistic",$D$9,IF($D$6="Realistic",$E$9,$F$9))</f>
        <v>53941.618799999997</v>
      </c>
      <c r="J17" s="336">
        <f>J16*IF($D$6="Pessimistic",$D$9,IF($D$6="Realistic",$E$9,$F$9))</f>
        <v>55020.451175999995</v>
      </c>
      <c r="K17" s="336">
        <f>K16*IF($D$6="Pessimistic",$D$9,IF($D$6="Realistic",$E$9,$F$9))</f>
        <v>56120.860199519993</v>
      </c>
      <c r="L17" s="336">
        <f>L16*IF($D$6="Pessimistic",$D$9,IF($D$6="Realistic",$E$9,$F$9))</f>
        <v>57243.277403510394</v>
      </c>
      <c r="M17" s="89"/>
    </row>
    <row r="18" spans="1:13" ht="15" customHeight="1" x14ac:dyDescent="0.35">
      <c r="A18" s="389"/>
      <c r="B18" s="62" t="s">
        <v>397</v>
      </c>
      <c r="C18" s="349"/>
      <c r="D18" s="213">
        <f>INPUT!E30</f>
        <v>74190</v>
      </c>
      <c r="E18" s="213">
        <f>INPUT!F30</f>
        <v>53604</v>
      </c>
      <c r="F18" s="213">
        <f>INPUT!G30</f>
        <v>45842</v>
      </c>
      <c r="G18" s="213">
        <f>INPUT!H30</f>
        <v>39602</v>
      </c>
      <c r="H18" s="337">
        <f>H16*IF($D$6="Pessimistic",$D$10,IF($D$6="Realistic",$E$10,$F$10))</f>
        <v>40917.993600000002</v>
      </c>
      <c r="I18" s="336">
        <f>I16*IF($D$6="Pessimistic",$D$10,IF($D$6="Realistic",$E$10,$F$10))</f>
        <v>41736.353472000003</v>
      </c>
      <c r="J18" s="336">
        <f>J16*IF($D$6="Pessimistic",$D$10,IF($D$6="Realistic",$E$10,$F$10))</f>
        <v>42571.080541440002</v>
      </c>
      <c r="K18" s="336">
        <f>K16*IF($D$6="Pessimistic",$D$10,IF($D$6="Realistic",$E$10,$F$10))</f>
        <v>43422.502152268804</v>
      </c>
      <c r="L18" s="336">
        <f>L16*IF($D$6="Pessimistic",$D$10,IF($D$6="Realistic",$E$10,$F$10))</f>
        <v>44290.952195314181</v>
      </c>
      <c r="M18" s="89"/>
    </row>
    <row r="19" spans="1:13" ht="15" customHeight="1" x14ac:dyDescent="0.35">
      <c r="A19" s="389"/>
      <c r="B19" s="66" t="s">
        <v>19</v>
      </c>
      <c r="C19" s="349"/>
      <c r="D19" s="213">
        <f>INPUT!E26</f>
        <v>35746</v>
      </c>
      <c r="E19" s="213">
        <f>INPUT!F26</f>
        <v>24311</v>
      </c>
      <c r="F19" s="213">
        <f>INPUT!G26</f>
        <v>19294</v>
      </c>
      <c r="G19" s="213">
        <f>INPUT!H26</f>
        <v>14932</v>
      </c>
      <c r="H19" s="336">
        <f>H18*0.6</f>
        <v>24550.796160000002</v>
      </c>
      <c r="I19" s="336">
        <f>I18*0.6</f>
        <v>25041.812083200002</v>
      </c>
      <c r="J19" s="336">
        <f>J18*0.6</f>
        <v>25542.648324864</v>
      </c>
      <c r="K19" s="336">
        <f>K18*0.6</f>
        <v>26053.501291361281</v>
      </c>
      <c r="L19" s="336">
        <f>L18*0.6</f>
        <v>26574.571317188507</v>
      </c>
      <c r="M19" s="89"/>
    </row>
    <row r="20" spans="1:13" ht="15" customHeight="1" x14ac:dyDescent="0.35">
      <c r="A20" s="389"/>
      <c r="B20" s="62" t="s">
        <v>276</v>
      </c>
      <c r="C20" s="349"/>
      <c r="D20" s="335">
        <f>IFERROR(INPUT!E75+INPUT!E78,"–")</f>
        <v>38882</v>
      </c>
      <c r="E20" s="335">
        <f>IFERROR(INPUT!F75+INPUT!F78,"–")</f>
        <v>12888</v>
      </c>
      <c r="F20" s="335">
        <f>IFERROR(INPUT!G75+INPUT!G78,"–")</f>
        <v>23947</v>
      </c>
      <c r="G20" s="335">
        <f>IFERROR(INPUT!H75+INPUT!H78,"–")</f>
        <v>10266</v>
      </c>
      <c r="H20" s="338">
        <f>H18*0.5</f>
        <v>20458.996800000001</v>
      </c>
      <c r="I20" s="338">
        <f>I18*0.5</f>
        <v>20868.176736000001</v>
      </c>
      <c r="J20" s="338">
        <f>J18*0.5</f>
        <v>21285.540270720001</v>
      </c>
      <c r="K20" s="338">
        <f>K18*0.5</f>
        <v>21711.251076134402</v>
      </c>
      <c r="L20" s="338">
        <f>L18*0.5</f>
        <v>22145.476097657091</v>
      </c>
      <c r="M20" s="89"/>
    </row>
    <row r="21" spans="1:13" ht="15" customHeight="1" thickBot="1" x14ac:dyDescent="0.4">
      <c r="A21" s="391"/>
      <c r="B21" s="62" t="s">
        <v>106</v>
      </c>
      <c r="C21" s="193"/>
      <c r="D21" s="270">
        <f>IFERROR(INPUT!E30/INPUT!E9,"–")</f>
        <v>0.28175914321522161</v>
      </c>
      <c r="E21" s="270">
        <f>IFERROR(INPUT!F30/INPUT!F9,"–")</f>
        <v>0.24482860992486696</v>
      </c>
      <c r="F21" s="270">
        <f>IFERROR(INPUT!G30/INPUT!G9,"–")</f>
        <v>0.23435407187771587</v>
      </c>
      <c r="G21" s="270">
        <f>IFERROR(INPUT!H30/INPUT!H9,"–")</f>
        <v>0.21718290703286097</v>
      </c>
      <c r="H21" s="269">
        <f>IFERROR(H18/H16,"–")</f>
        <v>0.22</v>
      </c>
      <c r="I21" s="269">
        <f>IFERROR(I18/I16,"–")</f>
        <v>0.22</v>
      </c>
      <c r="J21" s="269">
        <f>IFERROR(J18/J16,"–")</f>
        <v>0.22</v>
      </c>
      <c r="K21" s="269">
        <f>IFERROR(K18/K16,"–")</f>
        <v>0.22</v>
      </c>
      <c r="L21" s="269">
        <f>IFERROR(L18/L16,"–")</f>
        <v>0.22000000000000003</v>
      </c>
      <c r="M21" s="89"/>
    </row>
    <row r="22" spans="1:13" ht="15" customHeight="1" x14ac:dyDescent="0.35">
      <c r="A22" s="389"/>
      <c r="B22" s="64" t="s">
        <v>277</v>
      </c>
      <c r="C22" s="191"/>
      <c r="D22" s="22"/>
      <c r="E22" s="22"/>
      <c r="F22" s="55"/>
      <c r="G22" s="55"/>
      <c r="H22" s="22"/>
      <c r="I22" s="22"/>
      <c r="J22" s="22"/>
      <c r="K22" s="22"/>
      <c r="L22" s="22"/>
      <c r="M22" s="339" t="str">
        <f>IFERROR("$"&amp;TEXT(IF($D$6="Pessimistic",DCF!D94*(1+$D$8+$D$10-$E$8-$E$10)*0.8,IF($D$6="Realistic",DCF!D94,DCF!D94*(1+$F$8+$F$10-$E$8-$E$10)*1.2)),"#,##0.00"),"–")</f>
        <v>$145,428.36</v>
      </c>
    </row>
    <row r="23" spans="1:13" ht="15" customHeight="1" x14ac:dyDescent="0.35">
      <c r="B23" s="64"/>
    </row>
    <row r="24" spans="1:13" ht="18" customHeight="1" x14ac:dyDescent="0.5">
      <c r="A24" s="341" t="s">
        <v>5</v>
      </c>
      <c r="B24" s="194" t="s">
        <v>278</v>
      </c>
      <c r="C24" s="7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21" customHeight="1" x14ac:dyDescent="0.35">
      <c r="A25" s="389"/>
      <c r="B25" s="79" t="s">
        <v>279</v>
      </c>
      <c r="C25" s="195"/>
      <c r="D25" s="81" t="s">
        <v>211</v>
      </c>
      <c r="E25" s="195" t="s">
        <v>212</v>
      </c>
      <c r="F25" s="71" t="s">
        <v>213</v>
      </c>
      <c r="G25" s="195"/>
      <c r="H25" s="195"/>
      <c r="I25" s="195"/>
      <c r="J25" s="195"/>
      <c r="K25" s="195"/>
      <c r="L25" s="195"/>
      <c r="M25" s="195"/>
    </row>
    <row r="26" spans="1:13" ht="15" customHeight="1" x14ac:dyDescent="0.35">
      <c r="A26" s="389"/>
      <c r="B26" s="66" t="s">
        <v>280</v>
      </c>
      <c r="C26" s="349">
        <v>0</v>
      </c>
      <c r="D26" s="345">
        <f>INPUT!H9*(1+$D$8)^5</f>
        <v>141094.31126749999</v>
      </c>
      <c r="E26" s="213">
        <f>INPUT!H9*(1+$E$8)^5</f>
        <v>201322.50997870081</v>
      </c>
      <c r="F26" s="336">
        <f>INPUT!H9*(1+$F$8)^5</f>
        <v>244017.40472189448</v>
      </c>
      <c r="G26" s="30"/>
      <c r="H26" s="30"/>
      <c r="I26" s="89"/>
    </row>
    <row r="27" spans="1:13" ht="15" customHeight="1" x14ac:dyDescent="0.35">
      <c r="A27" s="389"/>
      <c r="B27" s="66" t="s">
        <v>281</v>
      </c>
      <c r="C27" s="349">
        <v>0</v>
      </c>
      <c r="D27" s="345">
        <f>D26*$D$10</f>
        <v>21164.146690124999</v>
      </c>
      <c r="E27" s="213">
        <f>E26*$E$10</f>
        <v>44290.952195314181</v>
      </c>
      <c r="F27" s="336">
        <f>F26*$F$10</f>
        <v>68324.873322130457</v>
      </c>
      <c r="G27" s="30"/>
      <c r="H27" s="30"/>
      <c r="I27" s="89"/>
    </row>
    <row r="28" spans="1:13" ht="15" customHeight="1" x14ac:dyDescent="0.35">
      <c r="A28" s="389"/>
      <c r="B28" s="66" t="s">
        <v>282</v>
      </c>
      <c r="C28" s="349">
        <v>0</v>
      </c>
      <c r="D28" s="345">
        <f>D27*0.6</f>
        <v>12698.488014074999</v>
      </c>
      <c r="E28" s="213">
        <f>E27*0.6</f>
        <v>26574.571317188507</v>
      </c>
      <c r="F28" s="336">
        <f>F27*0.6</f>
        <v>40994.923993278273</v>
      </c>
      <c r="G28" s="30"/>
      <c r="H28" s="30"/>
      <c r="I28" s="89"/>
    </row>
    <row r="29" spans="1:13" ht="15" customHeight="1" x14ac:dyDescent="0.35">
      <c r="A29" s="389"/>
      <c r="B29" s="66" t="s">
        <v>283</v>
      </c>
      <c r="C29" s="349">
        <v>0</v>
      </c>
      <c r="D29" s="345">
        <f>D27*0.5</f>
        <v>10582.073345062499</v>
      </c>
      <c r="E29" s="213">
        <f>E27*0.5</f>
        <v>22145.476097657091</v>
      </c>
      <c r="F29" s="213">
        <f>F27*0.5</f>
        <v>34162.436661065229</v>
      </c>
      <c r="G29" s="30"/>
      <c r="H29" s="30"/>
      <c r="I29" s="89"/>
    </row>
    <row r="30" spans="1:13" ht="15" customHeight="1" x14ac:dyDescent="0.35">
      <c r="A30" s="391"/>
      <c r="B30" s="62" t="s">
        <v>284</v>
      </c>
      <c r="C30" s="11"/>
      <c r="D30" s="346">
        <f>$D$10</f>
        <v>0.15</v>
      </c>
      <c r="E30" s="348">
        <f>$E$10</f>
        <v>0.22</v>
      </c>
      <c r="F30" s="348">
        <f>$F$10</f>
        <v>0.28000000000000003</v>
      </c>
      <c r="G30" s="30"/>
      <c r="H30" s="30"/>
      <c r="I30" s="89"/>
    </row>
    <row r="31" spans="1:13" ht="15" customHeight="1" x14ac:dyDescent="0.35">
      <c r="A31" s="389"/>
      <c r="B31" s="64" t="s">
        <v>277</v>
      </c>
      <c r="C31" s="9"/>
      <c r="D31" s="347" t="str">
        <f>IFERROR("$"&amp;TEXT(DCF!D94*(1+$D$8+$D$10-$E$8-$E$10)*0.8,"#,##0.00"),"–")</f>
        <v>$100,054.71</v>
      </c>
      <c r="E31" s="340" t="str">
        <f>IFERROR("$"&amp;TEXT(DCF!D94,"#,##0.00"),"–")</f>
        <v>$145,428.36</v>
      </c>
      <c r="F31" s="340" t="str">
        <f>IFERROR("$"&amp;TEXT(DCF!D94*(1+$F$8+$F$10-$E$8-$E$10)*1.2,"#,##0.00"),"–")</f>
        <v>$191,965.43</v>
      </c>
      <c r="G31" s="22"/>
      <c r="H31" s="22"/>
      <c r="I31" s="89"/>
    </row>
    <row r="32" spans="1:13" ht="15" customHeight="1" x14ac:dyDescent="0.5">
      <c r="A32" s="341" t="s">
        <v>5</v>
      </c>
      <c r="B32" s="199" t="s">
        <v>285</v>
      </c>
      <c r="C32" s="103"/>
      <c r="D32" s="348" t="str">
        <f>"—"</f>
        <v>—</v>
      </c>
      <c r="E32" s="348" t="str">
        <f>"—"</f>
        <v>—</v>
      </c>
      <c r="F32" s="348">
        <f>IFERROR(F26/D26-1,"–")</f>
        <v>0.72946309833330636</v>
      </c>
      <c r="G32" s="101"/>
      <c r="H32" s="101"/>
      <c r="I32" s="101"/>
      <c r="J32" s="101"/>
      <c r="K32" s="101"/>
      <c r="L32" s="101"/>
      <c r="M32" s="101"/>
    </row>
    <row r="33" spans="1:13" ht="18" customHeight="1" x14ac:dyDescent="0.35">
      <c r="A33" s="389"/>
      <c r="B33" s="66" t="s">
        <v>7</v>
      </c>
      <c r="C33" s="67"/>
      <c r="D33" s="123"/>
      <c r="E33" s="122"/>
      <c r="F33" s="122"/>
      <c r="G33" s="122"/>
      <c r="H33" s="122"/>
      <c r="I33" s="122"/>
      <c r="J33" s="30"/>
      <c r="K33" s="30"/>
      <c r="L33" s="30"/>
      <c r="M33" s="30"/>
    </row>
    <row r="34" spans="1:13" ht="15" customHeight="1" x14ac:dyDescent="0.35">
      <c r="A34" s="389"/>
      <c r="B34" s="198" t="str">
        <f>"▶ SCÉNARIO SÉLECTIONNÉ : "&amp;$D$6</f>
        <v>▶ SCÉNARIO SÉLECTIONNÉ : Realistic</v>
      </c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</row>
    <row r="35" spans="1:13" ht="15" customHeight="1" x14ac:dyDescent="0.35">
      <c r="A35" s="389"/>
      <c r="B35" s="66"/>
      <c r="C35" s="67"/>
      <c r="D35" s="123"/>
      <c r="E35" s="122"/>
      <c r="F35" s="122"/>
      <c r="G35" s="122"/>
      <c r="H35" s="122"/>
      <c r="I35" s="122"/>
      <c r="J35" s="30"/>
      <c r="K35" s="30"/>
      <c r="L35" s="30"/>
      <c r="M35" s="30"/>
    </row>
    <row r="36" spans="1:13" ht="15" customHeight="1" x14ac:dyDescent="0.35">
      <c r="A36" s="389"/>
      <c r="B36" s="196" t="s">
        <v>286</v>
      </c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</row>
    <row r="37" spans="1:13" ht="15" customHeight="1" x14ac:dyDescent="0.35">
      <c r="A37" s="389"/>
      <c r="B37" s="79" t="s">
        <v>101</v>
      </c>
      <c r="C37" s="79"/>
      <c r="D37" s="195" t="str">
        <f>TEXT(INPUT!D117+1,"0")&amp;"F"</f>
        <v>2026F</v>
      </c>
      <c r="E37" s="195" t="str">
        <f>TEXT(INPUT!D117+2,"0")&amp;"F"</f>
        <v>2027F</v>
      </c>
      <c r="F37" s="195" t="str">
        <f>TEXT(INPUT!D117+3,"0")&amp;"F"</f>
        <v>2028F</v>
      </c>
      <c r="G37" s="195" t="str">
        <f>TEXT(INPUT!D117+4,"0")&amp;"F"</f>
        <v>2029F</v>
      </c>
      <c r="H37" s="195" t="str">
        <f>TEXT(INPUT!D117+5,"0")&amp;"F"</f>
        <v>2030F</v>
      </c>
      <c r="I37" s="195"/>
      <c r="J37" s="195"/>
      <c r="K37" s="195"/>
      <c r="L37" s="195"/>
      <c r="M37" s="195"/>
    </row>
    <row r="38" spans="1:13" ht="15" customHeight="1" x14ac:dyDescent="0.35">
      <c r="A38" s="389"/>
      <c r="B38" s="66" t="s">
        <v>211</v>
      </c>
      <c r="C38" s="68"/>
      <c r="D38" s="216">
        <f>IF(INPUT!H9="",NA(),INPUT!H9*(1+$D$8))</f>
        <v>173226.8</v>
      </c>
      <c r="E38" s="217">
        <f>IF(INPUT!H9="",NA(),D38*(1+$D$8))</f>
        <v>164565.46</v>
      </c>
      <c r="F38" s="217">
        <f>IF(INPUT!H9="",NA(),E38*(1+$D$8))</f>
        <v>156337.18699999998</v>
      </c>
      <c r="G38" s="217">
        <f>IF(INPUT!H9="",NA(),F38*(1+$D$8))</f>
        <v>148520.32764999996</v>
      </c>
      <c r="H38" s="217">
        <f>IF(INPUT!H9="",NA(),G38*(1+$D$8))</f>
        <v>141094.31126749996</v>
      </c>
      <c r="I38" s="121"/>
      <c r="J38" s="30"/>
      <c r="K38" s="30"/>
      <c r="L38" s="30"/>
      <c r="M38" s="30"/>
    </row>
    <row r="39" spans="1:13" ht="15" customHeight="1" x14ac:dyDescent="0.35">
      <c r="A39" s="391"/>
      <c r="B39" s="62" t="s">
        <v>212</v>
      </c>
      <c r="C39" s="63"/>
      <c r="D39" s="216">
        <f>IF(INPUT!H9="",NA(),INPUT!H9*(1+$E$8))</f>
        <v>185990.88</v>
      </c>
      <c r="E39" s="217">
        <f>IF(INPUT!H9="",NA(),D39*(1+$E$8))</f>
        <v>189710.69760000001</v>
      </c>
      <c r="F39" s="217">
        <f>IF(INPUT!H9="",NA(),E39*(1+$E$8))</f>
        <v>193504.91155200001</v>
      </c>
      <c r="G39" s="217">
        <f>IF(INPUT!H9="",NA(),F39*(1+$E$8))</f>
        <v>197375.00978304</v>
      </c>
      <c r="H39" s="217">
        <f>IF(INPUT!H9="",NA(),G39*(1+$E$8))</f>
        <v>201322.50997870081</v>
      </c>
      <c r="I39" s="92"/>
      <c r="J39" s="30"/>
      <c r="K39" s="30"/>
      <c r="L39" s="30"/>
      <c r="M39" s="30"/>
    </row>
    <row r="40" spans="1:13" ht="15" customHeight="1" x14ac:dyDescent="0.35">
      <c r="A40" s="389"/>
      <c r="B40" s="69" t="s">
        <v>213</v>
      </c>
      <c r="C40" s="3"/>
      <c r="D40" s="216">
        <f>IF(INPUT!H9="",NA(),INPUT!H9*(1+$F$8))</f>
        <v>193284.64</v>
      </c>
      <c r="E40" s="216">
        <f>IF(INPUT!H9="",NA(),D40*(1+$F$8))</f>
        <v>204881.71840000001</v>
      </c>
      <c r="F40" s="216">
        <f>IF(INPUT!H9="",NA(),E40*(1+$F$8))</f>
        <v>217174.62150400001</v>
      </c>
      <c r="G40" s="216">
        <f>IF(INPUT!H9="",NA(),F40*(1+$F$8))</f>
        <v>230205.09879424001</v>
      </c>
      <c r="H40" s="216">
        <f>IF(INPUT!H9="",NA(),G40*(1+$F$8))</f>
        <v>244017.40472189442</v>
      </c>
      <c r="I40" s="22"/>
      <c r="J40" s="22"/>
      <c r="K40" s="22"/>
      <c r="L40" s="22"/>
      <c r="M40" s="22"/>
    </row>
    <row r="41" spans="1:13" ht="15" customHeight="1" x14ac:dyDescent="0.5">
      <c r="A41" s="341" t="s">
        <v>5</v>
      </c>
      <c r="B41" s="342" t="s">
        <v>278</v>
      </c>
      <c r="C41" s="343"/>
      <c r="D41" s="502"/>
      <c r="E41" s="325"/>
      <c r="F41" s="325"/>
      <c r="G41" s="325"/>
      <c r="H41" s="325"/>
      <c r="I41" s="325"/>
      <c r="J41" s="325"/>
      <c r="K41" s="325"/>
      <c r="L41" s="325"/>
      <c r="M41" s="325"/>
    </row>
    <row r="42" spans="1:13" ht="12.75" customHeight="1" x14ac:dyDescent="0.35">
      <c r="A42" s="390"/>
      <c r="B42" s="26" t="s">
        <v>287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 spans="1:13" ht="15" customHeight="1" x14ac:dyDescent="0.35">
      <c r="A43" s="389"/>
      <c r="B43" s="16" t="s">
        <v>101</v>
      </c>
      <c r="C43" s="79"/>
      <c r="D43" s="79" t="str">
        <f>TEXT(INPUT!D117+1,"0")&amp;"F"</f>
        <v>2026F</v>
      </c>
      <c r="E43" s="79" t="str">
        <f>TEXT(INPUT!D117+2,"0")&amp;"F"</f>
        <v>2027F</v>
      </c>
      <c r="F43" s="79" t="str">
        <f>TEXT(INPUT!D117+3,"0")&amp;"F"</f>
        <v>2028F</v>
      </c>
      <c r="G43" s="79" t="str">
        <f>TEXT(INPUT!D117+4,"0")&amp;"F"</f>
        <v>2029F</v>
      </c>
      <c r="H43" s="79" t="str">
        <f>TEXT(INPUT!D117+5,"0")&amp;"F"</f>
        <v>2030F</v>
      </c>
      <c r="I43" s="197"/>
      <c r="J43" s="197"/>
      <c r="K43" s="197"/>
      <c r="L43" s="197"/>
      <c r="M43" s="197"/>
    </row>
    <row r="44" spans="1:13" ht="15" customHeight="1" x14ac:dyDescent="0.35">
      <c r="A44" s="389"/>
      <c r="B44" s="69" t="s">
        <v>211</v>
      </c>
      <c r="C44" s="67"/>
      <c r="D44" s="231">
        <f>IF(D38=0,0,D38*$D$10)</f>
        <v>25984.019999999997</v>
      </c>
      <c r="E44" s="231">
        <f>IF(E38=0,0,E38*$D$10)</f>
        <v>24684.819</v>
      </c>
      <c r="F44" s="231">
        <f>IF(F38=0,0,F38*$D$10)</f>
        <v>23450.578049999996</v>
      </c>
      <c r="G44" s="231">
        <f>IF(G38=0,0,G38*$D$10)</f>
        <v>22278.049147499994</v>
      </c>
      <c r="H44" s="224">
        <f>IF(H38=0,0,H38*$D$10)</f>
        <v>21164.146690124991</v>
      </c>
      <c r="I44" s="53"/>
      <c r="J44" s="30"/>
      <c r="K44" s="30"/>
      <c r="L44" s="30"/>
      <c r="M44" s="30"/>
    </row>
    <row r="45" spans="1:13" ht="15" customHeight="1" x14ac:dyDescent="0.35">
      <c r="A45" s="389"/>
      <c r="B45" s="69" t="s">
        <v>212</v>
      </c>
      <c r="C45" s="67"/>
      <c r="D45" s="231">
        <f>IF(D39=0,0,D39*$E$10)</f>
        <v>40917.993600000002</v>
      </c>
      <c r="E45" s="231">
        <f>IF(E39=0,0,E39*$E$10)</f>
        <v>41736.353472000003</v>
      </c>
      <c r="F45" s="231">
        <f>IF(F39=0,0,F39*$E$10)</f>
        <v>42571.080541440002</v>
      </c>
      <c r="G45" s="231">
        <f>IF(G39=0,0,G39*$E$10)</f>
        <v>43422.502152268804</v>
      </c>
      <c r="H45" s="224">
        <f>IF(H39=0,0,H39*$E$10)</f>
        <v>44290.952195314181</v>
      </c>
      <c r="I45" s="53"/>
      <c r="J45" s="30"/>
      <c r="K45" s="30"/>
      <c r="L45" s="30"/>
      <c r="M45" s="30"/>
    </row>
    <row r="46" spans="1:13" ht="15" customHeight="1" x14ac:dyDescent="0.35">
      <c r="A46" s="389"/>
      <c r="B46" s="69" t="s">
        <v>213</v>
      </c>
      <c r="C46" s="67"/>
      <c r="D46" s="231">
        <f>IF(D40=0,0,D40*$F$10)</f>
        <v>54119.69920000001</v>
      </c>
      <c r="E46" s="231">
        <f>IF(E40=0,0,E40*$F$10)</f>
        <v>57366.881152000009</v>
      </c>
      <c r="F46" s="231">
        <f>IF(F40=0,0,F40*$F$10)</f>
        <v>60808.89402112001</v>
      </c>
      <c r="G46" s="231">
        <f>IF(G40=0,0,G40*$F$10)</f>
        <v>64457.427662387207</v>
      </c>
      <c r="H46" s="224">
        <f>IF(H40=0,0,H40*$F$10)</f>
        <v>68324.873322130443</v>
      </c>
      <c r="I46" s="53"/>
      <c r="J46" s="30"/>
      <c r="K46" s="30"/>
      <c r="L46" s="30"/>
      <c r="M46" s="30"/>
    </row>
    <row r="47" spans="1:13" ht="15" customHeight="1" x14ac:dyDescent="0.35">
      <c r="A47" s="389"/>
      <c r="B47" s="69" t="s">
        <v>284</v>
      </c>
      <c r="C47" s="68"/>
      <c r="D47" s="54"/>
      <c r="E47" s="516">
        <f>IFERROR(H44/H38,"–")</f>
        <v>0.15</v>
      </c>
      <c r="F47" s="516">
        <f>IFERROR(H45/H39,"–")</f>
        <v>0.22000000000000003</v>
      </c>
      <c r="G47" s="516">
        <f>IFERROR(H46/H40,"–")</f>
        <v>0.28000000000000003</v>
      </c>
      <c r="H47" s="75"/>
      <c r="I47" s="53"/>
      <c r="J47" s="30"/>
      <c r="K47" s="30"/>
      <c r="L47" s="30"/>
      <c r="M47" s="30"/>
    </row>
    <row r="48" spans="1:13" ht="15" customHeight="1" thickBot="1" x14ac:dyDescent="0.4">
      <c r="A48" s="391"/>
      <c r="B48" s="64" t="s">
        <v>277</v>
      </c>
      <c r="C48" s="63"/>
      <c r="D48" s="61"/>
      <c r="E48" s="517" t="str">
        <f>IFERROR("$"&amp;TEXT(DCF!D94*(1+$D$8+$D$10-$E$8-$E$10)*0.8,"#,##0.00"),"–")</f>
        <v>$100,054.71</v>
      </c>
      <c r="F48" s="517" t="str">
        <f>IFERROR("$"&amp;TEXT(DCF!D94,"#,##0.00"),"–")</f>
        <v>$145,428.36</v>
      </c>
      <c r="G48" s="517" t="str">
        <f>IFERROR("$"&amp;TEXT(DCF!D94*(1+$F$8+$F$10-$E$8-$E$10)*1.2,"#,##0.00"),"–")</f>
        <v>$191,965.43</v>
      </c>
      <c r="H48" s="75"/>
      <c r="I48" s="56"/>
      <c r="J48" s="30"/>
      <c r="K48" s="30"/>
      <c r="L48" s="30"/>
      <c r="M48" s="30"/>
    </row>
    <row r="49" spans="1:14" ht="15" customHeight="1" x14ac:dyDescent="0.35">
      <c r="A49" s="389"/>
      <c r="B49" s="14"/>
      <c r="C49" s="3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 spans="1:14" ht="15" customHeight="1" x14ac:dyDescent="0.35">
      <c r="A50" s="389"/>
      <c r="B50" s="39" t="s">
        <v>288</v>
      </c>
      <c r="C50" s="3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1:14" ht="15" customHeight="1" x14ac:dyDescent="0.35">
      <c r="A51" s="389"/>
      <c r="B51" s="14"/>
      <c r="C51" s="3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1:14" ht="15" customHeight="1" x14ac:dyDescent="0.35">
      <c r="A52" s="393"/>
      <c r="B52" s="31" t="s">
        <v>95</v>
      </c>
      <c r="C52" s="4"/>
      <c r="D52" s="4"/>
      <c r="E52" s="32"/>
      <c r="F52" s="32"/>
      <c r="G52" s="32"/>
      <c r="H52" s="32"/>
      <c r="I52" s="32"/>
      <c r="J52" s="32"/>
      <c r="K52" s="32"/>
      <c r="L52" s="32"/>
      <c r="M52" s="32"/>
      <c r="N52" s="88"/>
    </row>
    <row r="53" spans="1:14" ht="15" customHeight="1" x14ac:dyDescent="0.35">
      <c r="A53" s="393"/>
      <c r="B53" s="31" t="s">
        <v>96</v>
      </c>
      <c r="C53" s="4"/>
      <c r="D53" s="4"/>
      <c r="E53" s="32"/>
      <c r="F53" s="32"/>
      <c r="G53" s="32"/>
      <c r="H53" s="32"/>
      <c r="I53" s="32"/>
      <c r="J53" s="32"/>
      <c r="K53" s="32"/>
      <c r="L53" s="32"/>
      <c r="M53" s="32"/>
      <c r="N53" s="88"/>
    </row>
    <row r="54" spans="1:14" ht="15" customHeight="1" x14ac:dyDescent="0.35">
      <c r="A54" s="393"/>
      <c r="B54" s="31" t="s">
        <v>97</v>
      </c>
      <c r="C54" s="4"/>
      <c r="D54" s="4"/>
      <c r="E54" s="32"/>
      <c r="F54" s="32"/>
      <c r="G54" s="32"/>
      <c r="H54" s="32"/>
      <c r="I54" s="32"/>
      <c r="J54" s="32"/>
      <c r="K54" s="32"/>
      <c r="L54" s="32"/>
      <c r="M54" s="32"/>
      <c r="N54" s="88"/>
    </row>
    <row r="55" spans="1:14" ht="15" customHeight="1" x14ac:dyDescent="0.35">
      <c r="A55" s="389"/>
      <c r="B55" s="14"/>
      <c r="C55" s="3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1:14" ht="15" customHeight="1" x14ac:dyDescent="0.35">
      <c r="A56" s="390"/>
      <c r="B56" s="16" t="s">
        <v>289</v>
      </c>
      <c r="C56" s="76">
        <f>INPUT!D117+1</f>
        <v>2026</v>
      </c>
      <c r="D56" s="76">
        <f>INPUT!D117+2</f>
        <v>2027</v>
      </c>
      <c r="E56" s="76">
        <f>INPUT!D117+3</f>
        <v>2028</v>
      </c>
      <c r="F56" s="76">
        <f>INPUT!D117+4</f>
        <v>2029</v>
      </c>
      <c r="G56" s="76">
        <f>INPUT!D117+5</f>
        <v>2030</v>
      </c>
      <c r="H56" s="24"/>
      <c r="I56" s="24"/>
      <c r="J56" s="24"/>
      <c r="K56" s="24"/>
      <c r="L56" s="24"/>
      <c r="M56" s="24"/>
      <c r="N56" s="90"/>
    </row>
    <row r="57" spans="1:14" ht="15" customHeight="1" x14ac:dyDescent="0.35">
      <c r="A57" s="389"/>
      <c r="B57" s="14" t="s">
        <v>211</v>
      </c>
      <c r="C57" s="271">
        <f>IF(INPUT!H9="",NA(),INPUT!H9*(1+$D$8))</f>
        <v>173226.8</v>
      </c>
      <c r="D57" s="344">
        <f>IF(INPUT!H9="",NA(),C57*(1+$D$8))</f>
        <v>164565.46</v>
      </c>
      <c r="E57" s="271">
        <f>IF(INPUT!H9="",NA(),D57*(1+$D$8))</f>
        <v>156337.18699999998</v>
      </c>
      <c r="F57" s="271">
        <f>IF(INPUT!H9="",NA(),E57*(1+$D$8))</f>
        <v>148520.32764999996</v>
      </c>
      <c r="G57" s="271">
        <f>IF(INPUT!H9="",NA(),F57*(1+$D$8))</f>
        <v>141094.31126749996</v>
      </c>
      <c r="H57" s="22"/>
      <c r="I57" s="22"/>
      <c r="J57" s="22"/>
      <c r="K57" s="22"/>
      <c r="L57" s="22"/>
      <c r="M57" s="22"/>
    </row>
    <row r="58" spans="1:14" ht="15" customHeight="1" x14ac:dyDescent="0.35">
      <c r="A58" s="389"/>
      <c r="B58" s="14" t="s">
        <v>212</v>
      </c>
      <c r="C58" s="271">
        <f>IF(INPUT!H9="",NA(),INPUT!H9*(1+$E$8))</f>
        <v>185990.88</v>
      </c>
      <c r="D58" s="344">
        <f>IF(INPUT!H9="",NA(),C58*(1+$E$8))</f>
        <v>189710.69760000001</v>
      </c>
      <c r="E58" s="271">
        <f>IF(INPUT!H9="",NA(),D58*(1+$E$8))</f>
        <v>193504.91155200001</v>
      </c>
      <c r="F58" s="271">
        <f>IF(INPUT!H9="",NA(),E58*(1+$E$8))</f>
        <v>197375.00978304</v>
      </c>
      <c r="G58" s="271">
        <f>IF(INPUT!H9="",NA(),F58*(1+$E$8))</f>
        <v>201322.50997870081</v>
      </c>
      <c r="H58" s="22"/>
      <c r="I58" s="22"/>
      <c r="J58" s="22"/>
      <c r="K58" s="22"/>
      <c r="L58" s="22"/>
      <c r="M58" s="22"/>
    </row>
    <row r="59" spans="1:14" ht="15" customHeight="1" x14ac:dyDescent="0.35">
      <c r="A59" s="389"/>
      <c r="B59" s="14" t="s">
        <v>213</v>
      </c>
      <c r="C59" s="271">
        <f>IF(INPUT!H9="",NA(),INPUT!H9*(1+$F$8))</f>
        <v>193284.64</v>
      </c>
      <c r="D59" s="344">
        <f>IF(INPUT!H9="",NA(),C59*(1+$F$8))</f>
        <v>204881.71840000001</v>
      </c>
      <c r="E59" s="271">
        <f>IF(INPUT!H9="",NA(),D59*(1+$F$8))</f>
        <v>217174.62150400001</v>
      </c>
      <c r="F59" s="271">
        <f>IF(INPUT!H9="",NA(),E59*(1+$F$8))</f>
        <v>230205.09879424001</v>
      </c>
      <c r="G59" s="271">
        <f>IF(INPUT!H9="",NA(),F59*(1+$F$8))</f>
        <v>244017.40472189442</v>
      </c>
      <c r="H59" s="22"/>
      <c r="I59" s="22"/>
      <c r="J59" s="22"/>
      <c r="K59" s="22"/>
      <c r="L59" s="22"/>
      <c r="M59" s="22"/>
    </row>
    <row r="60" spans="1:14" ht="15" customHeight="1" x14ac:dyDescent="0.35">
      <c r="A60" s="389"/>
      <c r="B60" s="14"/>
      <c r="C60" s="3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spans="1:14" ht="15" customHeight="1" x14ac:dyDescent="0.35">
      <c r="A61" s="390"/>
      <c r="B61" s="16" t="s">
        <v>290</v>
      </c>
      <c r="C61" s="76">
        <f>INPUT!D117+1</f>
        <v>2026</v>
      </c>
      <c r="D61" s="76">
        <f>INPUT!D117+2</f>
        <v>2027</v>
      </c>
      <c r="E61" s="76">
        <f>INPUT!D117+3</f>
        <v>2028</v>
      </c>
      <c r="F61" s="76">
        <f>INPUT!D117+4</f>
        <v>2029</v>
      </c>
      <c r="G61" s="76">
        <f>INPUT!D117+5</f>
        <v>2030</v>
      </c>
      <c r="H61" s="24"/>
      <c r="I61" s="24"/>
      <c r="J61" s="24"/>
      <c r="K61" s="24"/>
      <c r="L61" s="24"/>
      <c r="M61" s="24"/>
      <c r="N61" s="90"/>
    </row>
    <row r="62" spans="1:14" ht="15" customHeight="1" x14ac:dyDescent="0.35">
      <c r="A62" s="389"/>
      <c r="B62" s="14" t="s">
        <v>211</v>
      </c>
      <c r="C62" s="271">
        <f>IF(INPUT!H9="",NA(),INPUT!H9*(1+$D$8)*$D$10)</f>
        <v>25984.019999999997</v>
      </c>
      <c r="D62" s="344">
        <f>IF(INPUT!H9="",NA(),C57*(1+$D$8)*$D$10)</f>
        <v>24684.819</v>
      </c>
      <c r="E62" s="271">
        <f>IF(INPUT!H9="",NA(),D57*(1+$D$8)*$D$10)</f>
        <v>23450.578049999996</v>
      </c>
      <c r="F62" s="271">
        <f>IF(INPUT!H9="",NA(),E57*(1+$D$8)*$D$10)</f>
        <v>22278.049147499994</v>
      </c>
      <c r="G62" s="271">
        <f>IF(INPUT!H9="",NA(),F57*(1+$D$8)*$D$10)</f>
        <v>21164.146690124991</v>
      </c>
      <c r="H62" s="22"/>
      <c r="I62" s="22"/>
      <c r="J62" s="22"/>
      <c r="K62" s="22"/>
      <c r="L62" s="22"/>
      <c r="M62" s="22"/>
    </row>
    <row r="63" spans="1:14" ht="15" customHeight="1" x14ac:dyDescent="0.35">
      <c r="A63" s="389"/>
      <c r="B63" s="14" t="s">
        <v>212</v>
      </c>
      <c r="C63" s="271">
        <f>IF(INPUT!H9="",NA(),INPUT!H9*(1+$E$8)*$E$10)</f>
        <v>40917.993600000002</v>
      </c>
      <c r="D63" s="344">
        <f>IF(INPUT!H9="",NA(),C58*(1+$E$8)*$E$10)</f>
        <v>41736.353472000003</v>
      </c>
      <c r="E63" s="271">
        <f>IF(INPUT!H9="",NA(),D58*(1+$E$8)*$E$10)</f>
        <v>42571.080541440002</v>
      </c>
      <c r="F63" s="271">
        <f>IF(INPUT!H9="",NA(),E58*(1+$E$8)*$E$10)</f>
        <v>43422.502152268804</v>
      </c>
      <c r="G63" s="271">
        <f>IF(INPUT!H9="",NA(),F58*(1+$E$8)*$E$10)</f>
        <v>44290.952195314181</v>
      </c>
      <c r="H63" s="22"/>
      <c r="I63" s="22"/>
      <c r="J63" s="22"/>
      <c r="K63" s="22"/>
      <c r="L63" s="22"/>
      <c r="M63" s="22"/>
    </row>
    <row r="64" spans="1:14" ht="15" customHeight="1" x14ac:dyDescent="0.35">
      <c r="A64" s="389"/>
      <c r="B64" s="14" t="s">
        <v>213</v>
      </c>
      <c r="C64" s="271">
        <f>IF(INPUT!H9="",NA(),INPUT!H9*(1+$F$8)*$F$10)</f>
        <v>54119.69920000001</v>
      </c>
      <c r="D64" s="344">
        <f>IF(INPUT!H9="",NA(),C59*(1+$F$8)*$F$10)</f>
        <v>57366.881152000009</v>
      </c>
      <c r="E64" s="271">
        <f>IF(INPUT!H9="",NA(),D59*(1+$F$8)*$F$10)</f>
        <v>60808.89402112001</v>
      </c>
      <c r="F64" s="271">
        <f>IF(INPUT!H9="",NA(),E59*(1+$F$8)*$F$10)</f>
        <v>64457.427662387207</v>
      </c>
      <c r="G64" s="271">
        <f>IF(INPUT!H9="",NA(),F59*(1+$F$8)*$F$10)</f>
        <v>68324.873322130443</v>
      </c>
      <c r="H64" s="22"/>
      <c r="I64" s="22"/>
      <c r="J64" s="22"/>
      <c r="K64" s="22"/>
      <c r="L64" s="22"/>
      <c r="M64" s="22"/>
    </row>
    <row r="65" spans="2:2" ht="15" customHeight="1" x14ac:dyDescent="0.3">
      <c r="B65" s="45"/>
    </row>
    <row r="66" spans="2:2" ht="15" customHeight="1" x14ac:dyDescent="0.3">
      <c r="B66" s="45"/>
    </row>
    <row r="67" spans="2:2" ht="15" customHeight="1" x14ac:dyDescent="0.3">
      <c r="B67" s="45"/>
    </row>
    <row r="68" spans="2:2" ht="15" customHeight="1" x14ac:dyDescent="0.3">
      <c r="B68" s="45"/>
    </row>
    <row r="69" spans="2:2" ht="15" customHeight="1" x14ac:dyDescent="0.3">
      <c r="B69" s="45"/>
    </row>
    <row r="70" spans="2:2" ht="15" customHeight="1" x14ac:dyDescent="0.3">
      <c r="B70" s="45"/>
    </row>
    <row r="71" spans="2:2" ht="15" customHeight="1" x14ac:dyDescent="0.3">
      <c r="B71" s="45"/>
    </row>
    <row r="72" spans="2:2" ht="15" customHeight="1" x14ac:dyDescent="0.3">
      <c r="B72" s="45"/>
    </row>
    <row r="73" spans="2:2" ht="15" customHeight="1" x14ac:dyDescent="0.3">
      <c r="B73" s="45"/>
    </row>
    <row r="74" spans="2:2" ht="15" customHeight="1" x14ac:dyDescent="0.3">
      <c r="B74" s="45"/>
    </row>
    <row r="75" spans="2:2" ht="15" customHeight="1" x14ac:dyDescent="0.3">
      <c r="B75" s="45"/>
    </row>
    <row r="76" spans="2:2" ht="15" customHeight="1" x14ac:dyDescent="0.3">
      <c r="B76" s="45"/>
    </row>
    <row r="77" spans="2:2" ht="15" customHeight="1" x14ac:dyDescent="0.3">
      <c r="B77" s="45"/>
    </row>
    <row r="78" spans="2:2" ht="15" customHeight="1" x14ac:dyDescent="0.3">
      <c r="B78" s="45"/>
    </row>
    <row r="79" spans="2:2" ht="15" customHeight="1" x14ac:dyDescent="0.3">
      <c r="B79" s="45"/>
    </row>
    <row r="80" spans="2:2" ht="15" customHeight="1" x14ac:dyDescent="0.3">
      <c r="B80" s="45"/>
    </row>
    <row r="81" spans="2:2" ht="15" customHeight="1" x14ac:dyDescent="0.3">
      <c r="B81" s="45"/>
    </row>
    <row r="82" spans="2:2" ht="15" customHeight="1" x14ac:dyDescent="0.3">
      <c r="B82" s="45"/>
    </row>
    <row r="83" spans="2:2" ht="15" customHeight="1" x14ac:dyDescent="0.3">
      <c r="B83" s="45"/>
    </row>
    <row r="84" spans="2:2" ht="15" customHeight="1" x14ac:dyDescent="0.3">
      <c r="B84" s="45"/>
    </row>
    <row r="85" spans="2:2" ht="15" customHeight="1" x14ac:dyDescent="0.3">
      <c r="B85" s="45"/>
    </row>
    <row r="86" spans="2:2" ht="15" customHeight="1" x14ac:dyDescent="0.3">
      <c r="B86" s="45"/>
    </row>
    <row r="87" spans="2:2" ht="15" customHeight="1" x14ac:dyDescent="0.3">
      <c r="B87" s="45"/>
    </row>
    <row r="88" spans="2:2" ht="15" customHeight="1" x14ac:dyDescent="0.3">
      <c r="B88" s="45"/>
    </row>
    <row r="89" spans="2:2" ht="15" customHeight="1" x14ac:dyDescent="0.3">
      <c r="B89" s="45"/>
    </row>
    <row r="90" spans="2:2" ht="15" customHeight="1" x14ac:dyDescent="0.3">
      <c r="B90" s="45"/>
    </row>
    <row r="91" spans="2:2" ht="15" customHeight="1" x14ac:dyDescent="0.3">
      <c r="B91" s="45"/>
    </row>
    <row r="92" spans="2:2" ht="15" customHeight="1" x14ac:dyDescent="0.3">
      <c r="B92" s="45"/>
    </row>
    <row r="93" spans="2:2" ht="15" customHeight="1" x14ac:dyDescent="0.3">
      <c r="B93" s="45"/>
    </row>
    <row r="94" spans="2:2" ht="15" customHeight="1" x14ac:dyDescent="0.3">
      <c r="B94" s="45"/>
    </row>
    <row r="95" spans="2:2" ht="15" customHeight="1" x14ac:dyDescent="0.3">
      <c r="B95" s="45"/>
    </row>
    <row r="96" spans="2:2" ht="15" customHeight="1" x14ac:dyDescent="0.3">
      <c r="B96" s="45"/>
    </row>
    <row r="97" spans="2:2" ht="15" customHeight="1" x14ac:dyDescent="0.3">
      <c r="B97" s="45"/>
    </row>
    <row r="98" spans="2:2" ht="15" customHeight="1" x14ac:dyDescent="0.3">
      <c r="B98" s="45"/>
    </row>
    <row r="99" spans="2:2" ht="15" customHeight="1" x14ac:dyDescent="0.3">
      <c r="B99" s="45"/>
    </row>
    <row r="100" spans="2:2" ht="15" customHeight="1" x14ac:dyDescent="0.3">
      <c r="B100" s="45"/>
    </row>
    <row r="101" spans="2:2" ht="15" customHeight="1" x14ac:dyDescent="0.3">
      <c r="B101" s="45"/>
    </row>
    <row r="102" spans="2:2" ht="15" customHeight="1" x14ac:dyDescent="0.3">
      <c r="B102" s="45"/>
    </row>
    <row r="103" spans="2:2" ht="15" customHeight="1" x14ac:dyDescent="0.3">
      <c r="B103" s="45"/>
    </row>
    <row r="104" spans="2:2" ht="15" customHeight="1" x14ac:dyDescent="0.3">
      <c r="B104" s="45"/>
    </row>
    <row r="105" spans="2:2" ht="15" customHeight="1" x14ac:dyDescent="0.3">
      <c r="B105" s="45"/>
    </row>
    <row r="106" spans="2:2" ht="15" customHeight="1" x14ac:dyDescent="0.3">
      <c r="B106" s="45"/>
    </row>
    <row r="107" spans="2:2" ht="15" customHeight="1" x14ac:dyDescent="0.3">
      <c r="B107" s="45"/>
    </row>
    <row r="108" spans="2:2" ht="15" customHeight="1" x14ac:dyDescent="0.3">
      <c r="B108" s="45"/>
    </row>
    <row r="109" spans="2:2" ht="15" customHeight="1" x14ac:dyDescent="0.3">
      <c r="B109" s="45"/>
    </row>
    <row r="110" spans="2:2" ht="15" customHeight="1" x14ac:dyDescent="0.3">
      <c r="B110" s="45"/>
    </row>
    <row r="111" spans="2:2" ht="15" customHeight="1" x14ac:dyDescent="0.3">
      <c r="B111" s="45"/>
    </row>
    <row r="112" spans="2:2" ht="15" customHeight="1" x14ac:dyDescent="0.3">
      <c r="B112" s="45"/>
    </row>
    <row r="113" spans="2:2" ht="15" customHeight="1" x14ac:dyDescent="0.3">
      <c r="B113" s="45"/>
    </row>
    <row r="114" spans="2:2" ht="15" customHeight="1" x14ac:dyDescent="0.3">
      <c r="B114" s="45"/>
    </row>
    <row r="115" spans="2:2" ht="15" customHeight="1" x14ac:dyDescent="0.3">
      <c r="B115" s="45"/>
    </row>
    <row r="116" spans="2:2" ht="15" customHeight="1" x14ac:dyDescent="0.3">
      <c r="B116" s="45"/>
    </row>
    <row r="117" spans="2:2" ht="15" customHeight="1" x14ac:dyDescent="0.3">
      <c r="B117" s="45"/>
    </row>
    <row r="118" spans="2:2" ht="15" customHeight="1" x14ac:dyDescent="0.3">
      <c r="B118" s="45"/>
    </row>
    <row r="119" spans="2:2" ht="15" customHeight="1" x14ac:dyDescent="0.3">
      <c r="B119" s="45"/>
    </row>
    <row r="120" spans="2:2" ht="15" customHeight="1" x14ac:dyDescent="0.3"/>
  </sheetData>
  <dataValidations count="1">
    <dataValidation type="list" allowBlank="1" showInputMessage="1" showErrorMessage="1" errorTitle="Invalid Selection" error="Please select Pessimistic, Realistic, or Optimistic" promptTitle="Select Scenario" prompt="Choose: Pessimistic, Realistic, or Optimistic" sqref="D6" xr:uid="{00000000-0002-0000-0600-000000000000}">
      <formula1>"Pessimistic,Realistic,Optimistic"</formula1>
    </dataValidation>
  </dataValidations>
  <printOptions horizontalCentered="1"/>
  <pageMargins left="5.5555555555555558E-3" right="5.5555555555555558E-3" top="6.9444444444444441E-3" bottom="6.9444444444444441E-3" header="2.7777777777777779E-3" footer="2.7777777777777779E-3"/>
  <pageSetup paperSize="9" scale="97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FD123"/>
  <sheetViews>
    <sheetView showGridLines="0" zoomScale="85" zoomScaleNormal="85" workbookViewId="0">
      <selection activeCell="A10" sqref="A10"/>
    </sheetView>
  </sheetViews>
  <sheetFormatPr baseColWidth="10" defaultColWidth="11.5546875" defaultRowHeight="14.4" outlineLevelRow="1" x14ac:dyDescent="0.3"/>
  <cols>
    <col min="1" max="1" width="10" customWidth="1"/>
    <col min="2" max="2" width="18.44140625" style="19" bestFit="1" customWidth="1"/>
    <col min="3" max="3" width="15.88671875" customWidth="1"/>
    <col min="4" max="4" width="21.21875" style="21" bestFit="1" customWidth="1"/>
    <col min="5" max="5" width="18.5546875" style="21" customWidth="1"/>
    <col min="6" max="6" width="10.88671875" style="21" customWidth="1"/>
    <col min="7" max="7" width="8.6640625" style="21" customWidth="1"/>
    <col min="8" max="8" width="17.5546875" style="21" customWidth="1"/>
    <col min="9" max="9" width="20.88671875" style="21" customWidth="1"/>
    <col min="10" max="10" width="16.109375" style="21" customWidth="1"/>
    <col min="11" max="12" width="12.33203125" style="21" bestFit="1" customWidth="1"/>
    <col min="13" max="13" width="4.6640625" style="21" customWidth="1"/>
    <col min="14" max="15" width="11.88671875" style="21" customWidth="1"/>
  </cols>
  <sheetData>
    <row r="1" spans="1:21" ht="50.1" customHeight="1" x14ac:dyDescent="0.6">
      <c r="A1" s="139"/>
      <c r="B1" s="96" t="s">
        <v>98</v>
      </c>
      <c r="C1" s="139"/>
      <c r="D1" s="139"/>
      <c r="E1" s="139"/>
      <c r="F1" s="139"/>
      <c r="G1" s="139"/>
      <c r="H1" s="139"/>
      <c r="I1" s="139"/>
      <c r="J1" s="139"/>
      <c r="K1" s="118"/>
      <c r="L1" s="129"/>
      <c r="M1" s="129"/>
      <c r="N1" s="129"/>
      <c r="Q1" s="364" t="s">
        <v>291</v>
      </c>
      <c r="R1" s="364">
        <v>2022</v>
      </c>
      <c r="S1" s="364">
        <v>2023</v>
      </c>
      <c r="T1" s="364">
        <v>2024</v>
      </c>
      <c r="U1" s="364"/>
    </row>
    <row r="2" spans="1:21" ht="15" customHeight="1" x14ac:dyDescent="0.35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Q2" s="364" t="s">
        <v>291</v>
      </c>
      <c r="R2" s="364" t="s">
        <v>292</v>
      </c>
      <c r="S2" s="364">
        <f>RATIOS!F80</f>
        <v>677865</v>
      </c>
      <c r="T2" s="364">
        <f>RATIOS!G80</f>
        <v>677865</v>
      </c>
      <c r="U2" s="364"/>
    </row>
    <row r="3" spans="1:21" ht="21" customHeight="1" x14ac:dyDescent="0.5">
      <c r="A3" s="140" t="s">
        <v>5</v>
      </c>
      <c r="B3" s="120" t="s">
        <v>293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Q3" s="365">
        <v>2022</v>
      </c>
      <c r="R3" s="364">
        <f>RATIOS!E80</f>
        <v>482255</v>
      </c>
    </row>
    <row r="4" spans="1:21" ht="11.4" customHeight="1" x14ac:dyDescent="0.35">
      <c r="A4" s="136"/>
      <c r="B4" s="492" t="str">
        <f>"All figures in "&amp;INPUT!D118&amp;" "&amp;INPUT!D119&amp;" unless stated"</f>
        <v>All figures in USD M unless stated</v>
      </c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Q4" s="365">
        <v>2023</v>
      </c>
      <c r="R4" s="364">
        <f>RATIOS!F80</f>
        <v>677865</v>
      </c>
    </row>
    <row r="5" spans="1:21" ht="15" customHeight="1" x14ac:dyDescent="0.35">
      <c r="A5" s="136"/>
      <c r="B5" s="136"/>
      <c r="C5" s="136"/>
      <c r="D5" s="136"/>
      <c r="E5" s="136"/>
      <c r="F5" s="136"/>
      <c r="G5" s="136"/>
      <c r="H5" s="136"/>
      <c r="I5" s="136"/>
      <c r="J5" s="136"/>
      <c r="N5" s="136"/>
      <c r="Q5" s="365">
        <v>2024</v>
      </c>
      <c r="R5" s="364">
        <f>RATIOS!G80</f>
        <v>677865</v>
      </c>
    </row>
    <row r="6" spans="1:21" ht="15" customHeight="1" x14ac:dyDescent="0.3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Q6" s="384" t="s">
        <v>101</v>
      </c>
    </row>
    <row r="7" spans="1:21" ht="15" customHeight="1" x14ac:dyDescent="0.35">
      <c r="A7" s="136"/>
      <c r="B7" s="176" t="s">
        <v>295</v>
      </c>
      <c r="C7" s="176"/>
      <c r="D7" s="176"/>
      <c r="E7" s="175"/>
      <c r="F7" s="175"/>
      <c r="G7" s="136"/>
      <c r="H7" s="176" t="s">
        <v>296</v>
      </c>
      <c r="I7" s="175"/>
      <c r="J7" s="175"/>
      <c r="K7" s="175"/>
      <c r="L7" s="175"/>
      <c r="M7" s="175"/>
      <c r="N7" s="136"/>
      <c r="Q7" s="384">
        <v>2022</v>
      </c>
      <c r="R7" s="384" t="s">
        <v>7</v>
      </c>
      <c r="S7" s="384" t="s">
        <v>19</v>
      </c>
      <c r="T7" s="384" t="s">
        <v>294</v>
      </c>
    </row>
    <row r="8" spans="1:21" ht="15" customHeight="1" x14ac:dyDescent="0.35">
      <c r="A8" s="136"/>
      <c r="B8" s="142"/>
      <c r="C8" s="142"/>
      <c r="D8" s="142"/>
      <c r="E8" s="142"/>
      <c r="F8" s="142"/>
      <c r="G8" s="136"/>
      <c r="H8" s="142"/>
      <c r="I8" s="175"/>
      <c r="J8" s="175"/>
      <c r="K8" s="175"/>
      <c r="L8" s="142"/>
      <c r="M8" s="136"/>
      <c r="N8" s="136"/>
      <c r="Q8" s="384">
        <v>2023</v>
      </c>
      <c r="R8" s="384">
        <f>RATIOS!E77</f>
        <v>263310</v>
      </c>
      <c r="S8" s="384">
        <f>RATIOS!E79</f>
        <v>24311</v>
      </c>
      <c r="T8" s="384">
        <f>RATIOS!E84</f>
        <v>0.13575633283961869</v>
      </c>
    </row>
    <row r="9" spans="1:21" ht="15" customHeight="1" x14ac:dyDescent="0.35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Q9" s="384">
        <v>2024</v>
      </c>
      <c r="R9" s="384">
        <f>RATIOS!F77</f>
        <v>218945</v>
      </c>
      <c r="S9" s="384">
        <f>RATIOS!F79</f>
        <v>19294</v>
      </c>
      <c r="T9" s="384">
        <f>RATIOS!F84</f>
        <v>0.1110370184292859</v>
      </c>
    </row>
    <row r="10" spans="1:21" ht="15" customHeight="1" x14ac:dyDescent="0.35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Q10" s="384" t="s">
        <v>4</v>
      </c>
      <c r="R10" s="384">
        <f>RATIOS!G77</f>
        <v>195610</v>
      </c>
      <c r="S10" s="384">
        <f>RATIOS!G79</f>
        <v>19294</v>
      </c>
      <c r="T10" s="384">
        <f>RATIOS!G84</f>
        <v>9.8635039108430037E-2</v>
      </c>
    </row>
    <row r="11" spans="1:21" ht="15" customHeight="1" x14ac:dyDescent="0.3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R11" s="384">
        <f>RATIOS!H77</f>
        <v>182344</v>
      </c>
      <c r="S11" s="384">
        <f>RATIOS!H79</f>
        <v>14932</v>
      </c>
      <c r="T11" s="384">
        <f>RATIOS!H84</f>
        <v>8.1889176501557498E-2</v>
      </c>
    </row>
    <row r="12" spans="1:21" ht="15" customHeight="1" x14ac:dyDescent="0.35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</row>
    <row r="13" spans="1:21" ht="15" customHeight="1" x14ac:dyDescent="0.35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</row>
    <row r="14" spans="1:21" ht="15" customHeight="1" x14ac:dyDescent="0.35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</row>
    <row r="15" spans="1:21" ht="15" customHeight="1" x14ac:dyDescent="0.35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</row>
    <row r="16" spans="1:21" ht="15" customHeight="1" x14ac:dyDescent="0.35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</row>
    <row r="17" spans="1:14" ht="15" customHeight="1" x14ac:dyDescent="0.35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</row>
    <row r="18" spans="1:14" ht="15" customHeight="1" x14ac:dyDescent="0.35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</row>
    <row r="19" spans="1:14" ht="15" customHeight="1" x14ac:dyDescent="0.35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</row>
    <row r="20" spans="1:14" ht="15" customHeight="1" x14ac:dyDescent="0.35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</row>
    <row r="21" spans="1:14" ht="15" customHeight="1" x14ac:dyDescent="0.35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</row>
    <row r="22" spans="1:14" ht="15" customHeight="1" x14ac:dyDescent="0.3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</row>
    <row r="23" spans="1:14" ht="15" customHeight="1" x14ac:dyDescent="0.35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</row>
    <row r="24" spans="1:14" ht="15" customHeight="1" x14ac:dyDescent="0.35">
      <c r="A24" s="136"/>
      <c r="B24" s="176" t="s">
        <v>297</v>
      </c>
      <c r="C24" s="176"/>
      <c r="D24" s="176"/>
      <c r="E24" s="176"/>
      <c r="F24" s="177"/>
      <c r="G24" s="136"/>
      <c r="H24" s="176" t="s">
        <v>298</v>
      </c>
      <c r="I24" s="175"/>
      <c r="J24" s="175"/>
      <c r="K24" s="175"/>
      <c r="L24" s="175"/>
      <c r="M24" s="175"/>
      <c r="N24" s="136"/>
    </row>
    <row r="25" spans="1:14" ht="15" customHeight="1" x14ac:dyDescent="0.35">
      <c r="A25" s="136"/>
      <c r="B25" s="142"/>
      <c r="C25" s="142"/>
      <c r="D25" s="142"/>
      <c r="E25" s="142"/>
      <c r="F25" s="142"/>
      <c r="G25" s="136"/>
      <c r="H25" s="142"/>
      <c r="I25" s="142"/>
      <c r="J25" s="142"/>
      <c r="K25" s="142"/>
      <c r="L25" s="142"/>
      <c r="M25" s="136"/>
      <c r="N25" s="136"/>
    </row>
    <row r="26" spans="1:14" ht="15" customHeight="1" x14ac:dyDescent="0.35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</row>
    <row r="27" spans="1:14" ht="15" customHeight="1" x14ac:dyDescent="0.35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</row>
    <row r="28" spans="1:14" ht="15" customHeight="1" x14ac:dyDescent="0.35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</row>
    <row r="29" spans="1:14" ht="15" customHeight="1" x14ac:dyDescent="0.3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</row>
    <row r="30" spans="1:14" ht="15" customHeight="1" x14ac:dyDescent="0.3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</row>
    <row r="31" spans="1:14" ht="15" customHeight="1" x14ac:dyDescent="0.3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</row>
    <row r="32" spans="1:14" ht="15" customHeight="1" x14ac:dyDescent="0.3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</row>
    <row r="33" spans="1:16" ht="15" customHeight="1" x14ac:dyDescent="0.3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</row>
    <row r="34" spans="1:16" ht="15" customHeight="1" x14ac:dyDescent="0.3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</row>
    <row r="35" spans="1:16" ht="15" customHeight="1" x14ac:dyDescent="0.3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</row>
    <row r="36" spans="1:16" ht="15" customHeight="1" x14ac:dyDescent="0.35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</row>
    <row r="37" spans="1:16" ht="15" customHeight="1" x14ac:dyDescent="0.35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</row>
    <row r="38" spans="1:16" ht="15" customHeight="1" x14ac:dyDescent="0.35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</row>
    <row r="39" spans="1:16" ht="15" customHeight="1" x14ac:dyDescent="0.35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</row>
    <row r="40" spans="1:16" ht="15" customHeight="1" x14ac:dyDescent="0.35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</row>
    <row r="41" spans="1:16" ht="15" customHeight="1" x14ac:dyDescent="0.35">
      <c r="A41" s="136"/>
      <c r="B41" s="174" t="s">
        <v>299</v>
      </c>
      <c r="C41" s="174"/>
      <c r="D41" s="174"/>
      <c r="E41" s="175"/>
      <c r="G41" s="136"/>
      <c r="H41" s="174" t="s">
        <v>300</v>
      </c>
      <c r="I41" s="175"/>
      <c r="J41" s="175"/>
      <c r="K41" s="175"/>
      <c r="L41" s="175"/>
      <c r="M41" s="175"/>
      <c r="N41" s="136"/>
    </row>
    <row r="42" spans="1:16" ht="15" customHeight="1" x14ac:dyDescent="0.35">
      <c r="A42" s="136"/>
      <c r="B42" s="136"/>
      <c r="C42" s="136"/>
      <c r="D42" s="136"/>
      <c r="E42" s="35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</row>
    <row r="43" spans="1:16" ht="15" customHeight="1" x14ac:dyDescent="0.35">
      <c r="A43" s="136"/>
      <c r="B43" s="136"/>
      <c r="C43" s="152" t="s">
        <v>301</v>
      </c>
      <c r="D43" s="357" t="s">
        <v>302</v>
      </c>
      <c r="E43" s="358"/>
      <c r="F43" s="355"/>
      <c r="H43" s="136"/>
      <c r="I43" s="152" t="s">
        <v>303</v>
      </c>
      <c r="J43" s="152" t="s">
        <v>304</v>
      </c>
      <c r="K43" s="152" t="s">
        <v>305</v>
      </c>
      <c r="L43" s="152" t="s">
        <v>306</v>
      </c>
      <c r="P43" s="136"/>
    </row>
    <row r="44" spans="1:16" ht="15" customHeight="1" x14ac:dyDescent="0.4">
      <c r="A44" s="136"/>
      <c r="B44" s="150" t="s">
        <v>7</v>
      </c>
      <c r="C44" s="362">
        <f>AVERAGE(INPUT!D9:H9)</f>
        <v>215052.25</v>
      </c>
      <c r="D44" s="493" t="str">
        <f>IF(INPUT!H9&gt;INPUT!G9,"▲",IF(INPUT!H9&lt;INPUT!G9,"▼","→"))</f>
        <v>▼</v>
      </c>
      <c r="E44" s="356"/>
      <c r="F44" s="352"/>
      <c r="H44" s="150" t="s">
        <v>7</v>
      </c>
      <c r="I44" s="359">
        <f>INPUT!H9</f>
        <v>182344</v>
      </c>
      <c r="J44" s="359">
        <f>INPUT!G9</f>
        <v>195610</v>
      </c>
      <c r="K44" s="359">
        <f>I44-J44</f>
        <v>-13266</v>
      </c>
      <c r="L44" s="273">
        <f>IF(J44=0,NA(),K44/ABS(J44))</f>
        <v>-6.7818618680026588E-2</v>
      </c>
      <c r="P44" s="136"/>
    </row>
    <row r="45" spans="1:16" ht="15" customHeight="1" outlineLevel="1" x14ac:dyDescent="0.35">
      <c r="A45" s="136"/>
      <c r="B45" s="151"/>
      <c r="C45" s="356"/>
      <c r="D45" s="356"/>
      <c r="E45" s="356"/>
      <c r="F45" s="136"/>
      <c r="H45" s="151"/>
      <c r="I45" s="178"/>
      <c r="J45" s="501"/>
      <c r="K45" s="178"/>
      <c r="L45" s="179"/>
      <c r="P45" s="136"/>
    </row>
    <row r="46" spans="1:16" ht="15" customHeight="1" x14ac:dyDescent="0.4">
      <c r="A46" s="136"/>
      <c r="B46" s="150" t="s">
        <v>307</v>
      </c>
      <c r="C46" s="360">
        <f>ABS(AVERAGE(INPUT!D10:H10))</f>
        <v>152311.5</v>
      </c>
      <c r="D46" s="493" t="str">
        <f>IF(ABS(INPUT!H10)&lt;ABS(INPUT!G10),"▲",IF(ABS(INPUT!H10)&gt;ABS(INPUT!G10),"▼","→"))</f>
        <v>▲</v>
      </c>
      <c r="E46" s="356"/>
      <c r="F46" s="352"/>
      <c r="H46" s="150" t="s">
        <v>307</v>
      </c>
      <c r="I46" s="359">
        <f>ABS(INPUT!H10)</f>
        <v>130497</v>
      </c>
      <c r="J46" s="360">
        <f>ABS(INPUT!G10)</f>
        <v>140078</v>
      </c>
      <c r="K46" s="359">
        <f>I46-J46</f>
        <v>-9581</v>
      </c>
      <c r="L46" s="273">
        <f>IF(J46=0,NA(),K46/ABS(J46))</f>
        <v>-6.8397607047502113E-2</v>
      </c>
      <c r="P46" s="136"/>
    </row>
    <row r="47" spans="1:16" ht="15" customHeight="1" outlineLevel="1" x14ac:dyDescent="0.35">
      <c r="A47" s="136"/>
      <c r="B47" s="151"/>
      <c r="C47" s="356"/>
      <c r="D47" s="356"/>
      <c r="E47" s="356"/>
      <c r="F47" s="136"/>
      <c r="H47" s="151"/>
      <c r="I47" s="178"/>
      <c r="J47" s="501"/>
      <c r="K47" s="178"/>
      <c r="L47" s="179"/>
      <c r="P47" s="136"/>
    </row>
    <row r="48" spans="1:16" ht="15" customHeight="1" x14ac:dyDescent="0.4">
      <c r="A48" s="136"/>
      <c r="B48" s="150" t="s">
        <v>308</v>
      </c>
      <c r="C48" s="360">
        <f>ABS(AVERAGE(INPUT!D13:H13))</f>
        <v>18435.400000000001</v>
      </c>
      <c r="D48" s="494" t="str">
        <f>IF(ABS(INPUT!H13)&lt;ABS(INPUT!G13),"▲",IF(ABS(INPUT!H13)&gt;ABS(INPUT!G13),"▼","→"))</f>
        <v>▼</v>
      </c>
      <c r="E48" s="356"/>
      <c r="F48" s="352"/>
      <c r="H48" s="150" t="s">
        <v>308</v>
      </c>
      <c r="I48" s="359">
        <f>ABS(INPUT!H13)</f>
        <v>26092</v>
      </c>
      <c r="J48" s="360">
        <f>ABS(INPUT!G13)</f>
        <v>22797</v>
      </c>
      <c r="K48" s="359">
        <f>I48-J48</f>
        <v>3295</v>
      </c>
      <c r="L48" s="273">
        <f>IF(J48=0,NA(),K48/ABS(J48))</f>
        <v>0.14453656182831073</v>
      </c>
      <c r="P48" s="136"/>
    </row>
    <row r="49" spans="1:30" ht="15" customHeight="1" outlineLevel="1" x14ac:dyDescent="0.35">
      <c r="A49" s="136"/>
      <c r="B49" s="151"/>
      <c r="C49" s="356"/>
      <c r="D49" s="356"/>
      <c r="E49" s="356"/>
      <c r="F49" s="136"/>
      <c r="H49" s="151"/>
      <c r="I49" s="178"/>
      <c r="J49" s="501"/>
      <c r="K49" s="178"/>
      <c r="L49" s="179"/>
      <c r="P49" s="136"/>
    </row>
    <row r="50" spans="1:30" ht="15" customHeight="1" x14ac:dyDescent="0.4">
      <c r="A50" s="136"/>
      <c r="B50" s="150" t="s">
        <v>19</v>
      </c>
      <c r="C50" s="360">
        <f>AVERAGE(INPUT!D26:H26)</f>
        <v>18856.599999999999</v>
      </c>
      <c r="D50" s="493" t="str">
        <f>IF(INPUT!H26&gt;INPUT!G26,"▲",IF(INPUT!H26&lt;INPUT!G26,"▼","→"))</f>
        <v>▼</v>
      </c>
      <c r="E50" s="356"/>
      <c r="F50" s="352"/>
      <c r="H50" s="150" t="s">
        <v>19</v>
      </c>
      <c r="I50" s="359">
        <f>INPUT!H26</f>
        <v>14932</v>
      </c>
      <c r="J50" s="360">
        <f>INPUT!G26</f>
        <v>19294</v>
      </c>
      <c r="K50" s="359">
        <f>I50-J50</f>
        <v>-4362</v>
      </c>
      <c r="L50" s="273">
        <f>IF(J50=0,NA(),K50/ABS(J50))</f>
        <v>-0.22608064683321238</v>
      </c>
      <c r="P50" s="136"/>
    </row>
    <row r="51" spans="1:30" ht="15" customHeight="1" outlineLevel="1" x14ac:dyDescent="0.35">
      <c r="A51" s="136"/>
      <c r="B51" s="151"/>
      <c r="C51" s="356"/>
      <c r="D51" s="356"/>
      <c r="E51" s="356"/>
      <c r="F51" s="136"/>
      <c r="H51" s="151"/>
      <c r="I51" s="136"/>
      <c r="J51" s="498"/>
      <c r="K51" s="136"/>
      <c r="L51" s="179"/>
      <c r="P51" s="136"/>
    </row>
    <row r="52" spans="1:30" ht="15" customHeight="1" x14ac:dyDescent="0.4">
      <c r="A52" s="136"/>
      <c r="B52" s="150" t="s">
        <v>309</v>
      </c>
      <c r="C52" s="363">
        <f>AVERAGE(INPUT!D26:H26)/AVERAGE(INPUT!D9:H9)</f>
        <v>8.7683807074792286E-2</v>
      </c>
      <c r="D52" s="493" t="str">
        <f>IF(INPUT!H26/INPUT!H9&gt;INPUT!G26/INPUT!G9,"▲",IF(INPUT!H26/INPUT!H9&lt;INPUT!G26/INPUT!G9,"▼","→"))</f>
        <v>▼</v>
      </c>
      <c r="E52" s="356"/>
      <c r="F52" s="354"/>
      <c r="H52" s="150" t="s">
        <v>309</v>
      </c>
      <c r="I52" s="273">
        <f>INPUT!H26/INPUT!H9</f>
        <v>8.1889176501557498E-2</v>
      </c>
      <c r="J52" s="273">
        <f>INPUT!G26/INPUT!G9</f>
        <v>9.8635039108430037E-2</v>
      </c>
      <c r="K52" s="273">
        <f>I52-J52</f>
        <v>-1.6745862606872539E-2</v>
      </c>
      <c r="L52" s="273">
        <f>IF(J52=0,NA(),K52/ABS(J52))</f>
        <v>-0.16977600210067054</v>
      </c>
      <c r="P52" s="136"/>
    </row>
    <row r="53" spans="1:30" ht="15" customHeight="1" x14ac:dyDescent="0.35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</row>
    <row r="54" spans="1:30" ht="15" customHeight="1" x14ac:dyDescent="0.35">
      <c r="A54" s="136"/>
      <c r="B54" s="415" t="s">
        <v>441</v>
      </c>
      <c r="C54" s="458"/>
      <c r="D54" s="458"/>
      <c r="E54" s="458"/>
      <c r="F54" s="458"/>
      <c r="G54" s="136"/>
      <c r="H54" s="136"/>
      <c r="I54" s="136"/>
      <c r="J54" s="136"/>
      <c r="K54" s="136"/>
      <c r="L54" s="136"/>
      <c r="M54" s="136"/>
      <c r="N54" s="136"/>
      <c r="O54" s="136"/>
      <c r="P54" s="136"/>
    </row>
    <row r="55" spans="1:30" ht="15" customHeight="1" x14ac:dyDescent="0.4">
      <c r="A55" s="136"/>
      <c r="B55" s="418" t="s">
        <v>442</v>
      </c>
      <c r="C55" s="491">
        <f>IFERROR(INPUT!H98/(INPUT!H75+ABS(INPUT!H20)*(1-INPUT!H104)),"–")</f>
        <v>6.9386674255194931</v>
      </c>
      <c r="D55" s="500" t="s">
        <v>443</v>
      </c>
      <c r="E55" s="459">
        <f>IFERROR((INPUT!H75+INPUT!H78)/INPUT!H97,"–")</f>
        <v>6.1947081566182109E-2</v>
      </c>
      <c r="F55" s="451"/>
      <c r="G55" s="136"/>
      <c r="H55" s="136"/>
      <c r="I55" s="136"/>
      <c r="J55" s="136"/>
      <c r="K55" s="136"/>
      <c r="L55" s="136"/>
      <c r="M55" s="136"/>
      <c r="N55" s="136"/>
      <c r="O55" s="136"/>
      <c r="P55" s="136"/>
    </row>
    <row r="56" spans="1:30" ht="15" customHeight="1" x14ac:dyDescent="0.35">
      <c r="A56" s="136"/>
      <c r="B56" s="418" t="s">
        <v>444</v>
      </c>
      <c r="C56" s="491">
        <f>IFERROR((INPUT!H49+INPUT!H55-INPUT!H34)/(INPUT!H30+ABS(INPUT!H15)),"–")</f>
        <v>2.626475126594658</v>
      </c>
      <c r="D56" s="460" t="str">
        <f>IFERROR(IF((INPUT!H49+INPUT!H55-INPUT!H34)/(INPUT!H30+ABS(INPUT!H15))&gt;2.5,"⚠️ Levier élevé (&gt;2.5x)",IF((INPUT!H49+INPUT!H55-INPUT!H34)/(INPUT!H30+ABS(INPUT!H15))&gt;1.5,"🟡 Levier modéré (1.5-2.5x)","✅ Levier faible (&lt;1.5x)")),"–")</f>
        <v>⚠️ Levier élevé (&gt;2.5x)</v>
      </c>
      <c r="E56" s="451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</row>
    <row r="57" spans="1:30" ht="15" customHeight="1" x14ac:dyDescent="0.35">
      <c r="A57" s="136"/>
      <c r="B57" s="418"/>
      <c r="C57" s="491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</row>
    <row r="58" spans="1:30" ht="15" customHeight="1" x14ac:dyDescent="0.35">
      <c r="A58" s="136"/>
      <c r="B58" s="174" t="s">
        <v>310</v>
      </c>
      <c r="C58" s="174"/>
      <c r="D58" s="174"/>
      <c r="E58" s="174"/>
      <c r="F58" s="174"/>
      <c r="G58" s="136"/>
      <c r="H58" s="174" t="s">
        <v>311</v>
      </c>
      <c r="I58" s="175"/>
      <c r="J58" s="490"/>
      <c r="K58" s="490"/>
      <c r="L58" s="175"/>
      <c r="M58" s="175"/>
      <c r="N58" s="136"/>
    </row>
    <row r="59" spans="1:30" ht="15" customHeight="1" x14ac:dyDescent="0.35">
      <c r="A59" s="136"/>
      <c r="B59" s="486"/>
      <c r="C59" s="486"/>
      <c r="D59" s="486"/>
      <c r="E59" s="486"/>
      <c r="F59" s="48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504"/>
    </row>
    <row r="60" spans="1:30" ht="15" customHeight="1" x14ac:dyDescent="0.35">
      <c r="A60" s="136"/>
      <c r="B60" s="486"/>
      <c r="C60" s="486"/>
      <c r="D60" s="510">
        <f>INPUT!G5</f>
        <v>2024</v>
      </c>
      <c r="E60" s="511" t="str">
        <f>INPUT!H5</f>
        <v>2025 (LTM)</v>
      </c>
      <c r="F60" s="486"/>
      <c r="G60" s="136"/>
      <c r="H60" s="136"/>
      <c r="I60" s="136"/>
      <c r="J60" s="496">
        <f>INPUT!G5</f>
        <v>2024</v>
      </c>
      <c r="K60" s="496" t="str">
        <f>INPUT!H5</f>
        <v>2025 (LTM)</v>
      </c>
      <c r="M60" s="136"/>
      <c r="R60" s="486"/>
      <c r="S60" s="506">
        <f>INPUT!G9</f>
        <v>195610</v>
      </c>
      <c r="T60" s="506">
        <f>INPUT!H9</f>
        <v>182344</v>
      </c>
      <c r="U60" s="486"/>
      <c r="V60" s="136"/>
      <c r="W60" s="486"/>
      <c r="X60" s="499"/>
      <c r="Y60" s="495"/>
      <c r="Z60" s="495"/>
      <c r="AA60" s="499"/>
      <c r="AB60" s="499"/>
      <c r="AC60" s="136"/>
      <c r="AD60" s="21"/>
    </row>
    <row r="61" spans="1:30" ht="15" customHeight="1" x14ac:dyDescent="0.35">
      <c r="A61" s="136"/>
      <c r="B61" s="136"/>
      <c r="C61" s="136"/>
      <c r="D61" s="136"/>
      <c r="E61" s="136"/>
      <c r="F61" s="136"/>
      <c r="G61" s="92"/>
      <c r="H61" s="134" t="s">
        <v>312</v>
      </c>
      <c r="I61" s="136"/>
      <c r="J61" s="498"/>
      <c r="K61" s="497"/>
    </row>
    <row r="62" spans="1:30" ht="15" customHeight="1" x14ac:dyDescent="0.35">
      <c r="A62" s="136"/>
      <c r="B62" s="69" t="s">
        <v>458</v>
      </c>
      <c r="C62" s="486"/>
      <c r="D62" s="507">
        <f>-ABS(INPUT!G10)</f>
        <v>-140078</v>
      </c>
      <c r="E62" s="507">
        <f>-ABS(INPUT!H10)</f>
        <v>-130497</v>
      </c>
      <c r="F62" s="136"/>
      <c r="G62" s="115"/>
      <c r="H62" s="135" t="s">
        <v>313</v>
      </c>
      <c r="I62" s="136"/>
      <c r="J62" s="465">
        <f>INPUT!G38</f>
        <v>64064</v>
      </c>
      <c r="K62" s="361">
        <f>INPUT!H38</f>
        <v>59479</v>
      </c>
    </row>
    <row r="63" spans="1:30" ht="15" customHeight="1" x14ac:dyDescent="0.35">
      <c r="A63" s="136"/>
      <c r="B63" s="199" t="s">
        <v>10</v>
      </c>
      <c r="C63" s="136"/>
      <c r="D63" s="505">
        <f>S60+D62</f>
        <v>55532</v>
      </c>
      <c r="E63" s="505">
        <f>T60+E62</f>
        <v>51847</v>
      </c>
      <c r="F63" s="92"/>
      <c r="G63" s="136"/>
      <c r="H63" s="135" t="s">
        <v>314</v>
      </c>
      <c r="I63" s="136"/>
      <c r="J63" s="465">
        <f>SUM(INPUT!G41:G43)</f>
        <v>143487</v>
      </c>
      <c r="K63" s="361">
        <f>SUM(INPUT!H41:H43)</f>
        <v>152327</v>
      </c>
    </row>
    <row r="64" spans="1:30" ht="15" customHeight="1" x14ac:dyDescent="0.35">
      <c r="A64" s="136"/>
      <c r="B64" s="64" t="s">
        <v>459</v>
      </c>
      <c r="C64" s="136"/>
      <c r="D64" s="224">
        <f>-ABS(INPUT!G14)</f>
        <v>-5150</v>
      </c>
      <c r="E64" s="224">
        <f>-ABS(INPUT!H14)</f>
        <v>-5834</v>
      </c>
      <c r="F64" s="115"/>
      <c r="G64" s="136"/>
      <c r="H64" s="136"/>
      <c r="I64" s="136"/>
      <c r="J64" s="136"/>
      <c r="K64" s="351"/>
    </row>
    <row r="65" spans="1:15 16369:16369" ht="15" customHeight="1" thickBot="1" x14ac:dyDescent="0.4">
      <c r="A65" s="136"/>
      <c r="B65" s="69" t="s">
        <v>460</v>
      </c>
      <c r="C65" s="136"/>
      <c r="D65" s="503">
        <f>-ABS(INPUT!G15)</f>
        <v>-4540</v>
      </c>
      <c r="E65" s="503">
        <f>-ABS(INPUT!H15)</f>
        <v>-6411</v>
      </c>
      <c r="F65" s="136"/>
      <c r="G65" s="115"/>
      <c r="H65" s="134" t="s">
        <v>31</v>
      </c>
      <c r="I65" s="136"/>
      <c r="J65" s="488">
        <f>INPUT!G44</f>
        <v>207551</v>
      </c>
      <c r="K65" s="515">
        <f>INPUT!H44</f>
        <v>211806</v>
      </c>
    </row>
    <row r="66" spans="1:15 16369:16369" ht="15" customHeight="1" x14ac:dyDescent="0.35">
      <c r="A66" s="136"/>
      <c r="B66" s="69" t="s">
        <v>461</v>
      </c>
      <c r="C66" s="136"/>
      <c r="D66" s="503">
        <f>-ABS(INPUT!G16)</f>
        <v>-13107</v>
      </c>
      <c r="E66" s="503">
        <f>-ABS(INPUT!H16)</f>
        <v>-13847</v>
      </c>
      <c r="F66" s="136"/>
      <c r="G66" s="115"/>
      <c r="H66" s="136"/>
      <c r="I66" s="136"/>
      <c r="J66" s="136"/>
      <c r="K66" s="351"/>
    </row>
    <row r="67" spans="1:15 16369:16369" ht="15" customHeight="1" x14ac:dyDescent="0.35">
      <c r="A67" s="136"/>
      <c r="B67" s="64" t="s">
        <v>14</v>
      </c>
      <c r="C67" s="136"/>
      <c r="D67" s="224">
        <f>D63+D64+D65+D66</f>
        <v>32735</v>
      </c>
      <c r="E67" s="224">
        <f>E63+E64+E65+E66</f>
        <v>25755</v>
      </c>
      <c r="F67" s="115"/>
      <c r="G67" s="115"/>
      <c r="H67" s="64" t="s">
        <v>318</v>
      </c>
      <c r="I67" s="136"/>
      <c r="J67" s="513"/>
      <c r="K67" s="514"/>
    </row>
    <row r="68" spans="1:15 16369:16369" ht="15" customHeight="1" x14ac:dyDescent="0.35">
      <c r="A68" s="136"/>
      <c r="B68" s="69" t="s">
        <v>462</v>
      </c>
      <c r="C68" s="136"/>
      <c r="D68" s="503">
        <f>-ABS(INPUT!G20)</f>
        <v>-2364</v>
      </c>
      <c r="E68" s="503">
        <f>-ABS(INPUT!H20)</f>
        <v>-2558</v>
      </c>
      <c r="F68" s="115"/>
      <c r="G68" s="115"/>
      <c r="H68" s="69" t="s">
        <v>320</v>
      </c>
      <c r="I68" s="136"/>
      <c r="J68" s="231">
        <f>INPUT!G51</f>
        <v>82707</v>
      </c>
      <c r="K68" s="231">
        <f>INPUT!H51</f>
        <v>86544</v>
      </c>
    </row>
    <row r="69" spans="1:15 16369:16369" ht="15" customHeight="1" thickBot="1" x14ac:dyDescent="0.4">
      <c r="A69" s="136"/>
      <c r="B69" s="64" t="s">
        <v>463</v>
      </c>
      <c r="C69" s="136"/>
      <c r="D69" s="353">
        <f>D67+D68</f>
        <v>30371</v>
      </c>
      <c r="E69" s="488">
        <f>E67+E68</f>
        <v>23197</v>
      </c>
      <c r="F69" s="115"/>
      <c r="G69" s="115"/>
      <c r="H69" s="69" t="s">
        <v>321</v>
      </c>
      <c r="I69" s="136"/>
      <c r="J69" s="465">
        <f>INPUT!G54</f>
        <v>41220</v>
      </c>
      <c r="K69" s="231">
        <f>INPUT!H54</f>
        <v>48033</v>
      </c>
    </row>
    <row r="70" spans="1:15 16369:16369" ht="15" customHeight="1" x14ac:dyDescent="0.35">
      <c r="A70" s="136"/>
      <c r="B70" s="69" t="s">
        <v>464</v>
      </c>
      <c r="C70" s="136"/>
      <c r="D70" s="508">
        <f>-ABS(INPUT!G21)</f>
        <v>-1786</v>
      </c>
      <c r="E70" s="508">
        <f>-ABS(INPUT!H21)</f>
        <v>-1115</v>
      </c>
      <c r="F70" s="115"/>
      <c r="G70" s="136"/>
      <c r="H70" s="64" t="s">
        <v>38</v>
      </c>
      <c r="I70" s="136"/>
      <c r="J70" s="467">
        <f>INPUT!G55</f>
        <v>123927</v>
      </c>
      <c r="K70" s="224">
        <f>INPUT!H55</f>
        <v>134577</v>
      </c>
    </row>
    <row r="71" spans="1:15 16369:16369" ht="15" customHeight="1" thickBot="1" x14ac:dyDescent="0.4">
      <c r="A71" s="136"/>
      <c r="B71" s="64" t="s">
        <v>19</v>
      </c>
      <c r="C71" s="136"/>
      <c r="D71" s="512">
        <f>D69+D70</f>
        <v>28585</v>
      </c>
      <c r="E71" s="512">
        <f>E69+E70</f>
        <v>22082</v>
      </c>
      <c r="F71" s="115"/>
      <c r="G71" s="136"/>
      <c r="H71" s="69" t="s">
        <v>322</v>
      </c>
      <c r="I71" s="136"/>
      <c r="J71" s="512">
        <f>INPUT!G60</f>
        <v>178282</v>
      </c>
      <c r="K71" s="512">
        <f>INPUT!H60</f>
        <v>171922</v>
      </c>
    </row>
    <row r="72" spans="1:15 16369:16369" ht="15" customHeight="1" thickTop="1" thickBot="1" x14ac:dyDescent="0.4">
      <c r="A72" s="136"/>
      <c r="B72" s="64" t="s">
        <v>21</v>
      </c>
      <c r="C72" s="136"/>
      <c r="D72" s="239">
        <f>D67+ABS(D66)</f>
        <v>45842</v>
      </c>
      <c r="E72" s="488">
        <f>E67+ABS(E66)</f>
        <v>39602</v>
      </c>
      <c r="F72" s="136"/>
      <c r="G72" s="92"/>
      <c r="H72" s="64" t="s">
        <v>42</v>
      </c>
      <c r="I72" s="136"/>
      <c r="J72" s="488">
        <f>INPUT!G63</f>
        <v>302209</v>
      </c>
      <c r="K72" s="239">
        <f>INPUT!H63</f>
        <v>306499</v>
      </c>
    </row>
    <row r="73" spans="1:15 16369:16369" ht="15" customHeight="1" x14ac:dyDescent="0.35">
      <c r="A73" s="136"/>
      <c r="B73" s="69"/>
      <c r="C73" s="136"/>
      <c r="D73" s="487"/>
      <c r="E73" s="487"/>
      <c r="F73" s="136"/>
      <c r="G73" s="136"/>
      <c r="H73" s="136"/>
      <c r="I73" s="136"/>
      <c r="J73" s="136"/>
      <c r="K73" s="136"/>
      <c r="L73" s="136"/>
    </row>
    <row r="74" spans="1:15 16369:16369" ht="15" customHeight="1" x14ac:dyDescent="0.35">
      <c r="B74" s="134"/>
      <c r="C74" s="136"/>
      <c r="D74" s="509"/>
      <c r="E74" s="509"/>
      <c r="F74" s="92"/>
      <c r="L74" s="136"/>
    </row>
    <row r="75" spans="1:15 16369:16369" ht="15" customHeight="1" x14ac:dyDescent="0.35">
      <c r="B75" s="136"/>
      <c r="C75" s="136"/>
      <c r="D75" s="136"/>
      <c r="E75" s="136"/>
      <c r="F75" s="136"/>
      <c r="K75" s="136"/>
    </row>
    <row r="76" spans="1:15 16369:16369" ht="15" customHeight="1" x14ac:dyDescent="0.35">
      <c r="K76" s="136"/>
      <c r="XEO76" s="136"/>
    </row>
    <row r="77" spans="1:15 16369:16369" ht="15" customHeight="1" x14ac:dyDescent="0.35">
      <c r="XEO77" s="136"/>
    </row>
    <row r="78" spans="1:15 16369:16369" ht="15" customHeight="1" x14ac:dyDescent="0.3"/>
    <row r="79" spans="1:15 16369:16369" ht="15" customHeight="1" x14ac:dyDescent="0.35">
      <c r="A79" s="188"/>
      <c r="G79" s="286"/>
      <c r="H79" s="286"/>
      <c r="I79" s="286"/>
      <c r="J79" s="286"/>
      <c r="K79" s="286"/>
      <c r="L79" s="286"/>
      <c r="M79" s="286"/>
      <c r="N79" s="189"/>
      <c r="O79" s="189"/>
    </row>
    <row r="80" spans="1:15 16369:16369" ht="15" customHeight="1" x14ac:dyDescent="0.35">
      <c r="A80" s="188"/>
      <c r="G80" s="286"/>
      <c r="H80" s="286"/>
      <c r="I80" s="286"/>
      <c r="J80" s="286"/>
      <c r="K80" s="286"/>
      <c r="L80" s="286"/>
      <c r="M80" s="189"/>
      <c r="N80" s="189"/>
      <c r="O80" s="189"/>
    </row>
    <row r="81" spans="1:15 16373:16384" ht="15" customHeight="1" x14ac:dyDescent="0.35">
      <c r="A81" s="188"/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189"/>
      <c r="N81" s="189"/>
      <c r="O81" s="189"/>
    </row>
    <row r="82" spans="1:15 16373:16384" ht="15" customHeight="1" x14ac:dyDescent="0.35">
      <c r="A82" s="189"/>
      <c r="B82" s="286"/>
      <c r="C82" s="286"/>
      <c r="D82" s="286"/>
      <c r="E82" s="286"/>
      <c r="F82" s="286"/>
      <c r="G82" s="289" t="str">
        <f>INPUT!H5</f>
        <v>2025 (LTM)</v>
      </c>
      <c r="H82" s="290"/>
      <c r="I82" s="289" t="e">
        <f>IF(INPUT!D5="",NA(),INPUT!D5)</f>
        <v>#N/A</v>
      </c>
      <c r="J82" s="289">
        <f>INPUT!E5</f>
        <v>2022</v>
      </c>
      <c r="K82" s="289">
        <f>INPUT!F5</f>
        <v>2023</v>
      </c>
      <c r="L82" s="289">
        <f>INPUT!G5</f>
        <v>2024</v>
      </c>
      <c r="M82" s="289" t="str">
        <f>INPUT!H5</f>
        <v>2025 (LTM)</v>
      </c>
      <c r="N82" s="290"/>
      <c r="O82" s="189"/>
    </row>
    <row r="83" spans="1:15 16373:16384" ht="15" customHeight="1" x14ac:dyDescent="0.35">
      <c r="A83" s="189"/>
      <c r="B83" s="286"/>
      <c r="C83" s="286"/>
      <c r="D83" s="286"/>
      <c r="E83" s="286"/>
      <c r="F83" s="286"/>
      <c r="G83" s="290">
        <f>IF(INPUT!H9="",NA(),INPUT!H9)</f>
        <v>182344</v>
      </c>
      <c r="H83" s="290"/>
      <c r="I83" s="290"/>
      <c r="J83" s="290"/>
      <c r="K83" s="290"/>
      <c r="L83" s="290"/>
      <c r="M83" s="290"/>
      <c r="N83" s="290"/>
      <c r="O83" s="189"/>
    </row>
    <row r="84" spans="1:15 16373:16384" ht="15" customHeight="1" x14ac:dyDescent="0.3">
      <c r="A84" s="189"/>
      <c r="B84" s="189"/>
      <c r="C84" s="287" t="e">
        <f>IF(INPUT!D5="",NA(),INPUT!D5)</f>
        <v>#N/A</v>
      </c>
      <c r="D84" s="288">
        <f>INPUT!E5</f>
        <v>2022</v>
      </c>
      <c r="E84" s="289">
        <f>INPUT!F5</f>
        <v>2023</v>
      </c>
      <c r="F84" s="289">
        <f>INPUT!G5</f>
        <v>2024</v>
      </c>
      <c r="G84" s="290">
        <f>IF(INPUT!G30="",NA(),INPUT!G30)</f>
        <v>45842</v>
      </c>
      <c r="H84" s="290">
        <f>IF(INPUT!H30="",NA(),INPUT!H30)</f>
        <v>39602</v>
      </c>
      <c r="I84" s="290"/>
      <c r="J84" s="290"/>
      <c r="K84" s="290"/>
      <c r="L84" s="290"/>
      <c r="M84" s="290"/>
      <c r="N84" s="290"/>
      <c r="O84" s="290"/>
    </row>
    <row r="85" spans="1:15 16373:16384" ht="15" customHeight="1" x14ac:dyDescent="0.3">
      <c r="A85" s="189"/>
      <c r="B85" s="189" t="s">
        <v>7</v>
      </c>
      <c r="C85" s="291" t="e">
        <f>IF(INPUT!D9="",NA(),INPUT!D9)</f>
        <v>#N/A</v>
      </c>
      <c r="D85" s="189">
        <f>IF(INPUT!E9="",NA(),INPUT!E9)</f>
        <v>263310</v>
      </c>
      <c r="E85" s="290">
        <f>IF(INPUT!F9="",NA(),INPUT!F9)</f>
        <v>218945</v>
      </c>
      <c r="F85" s="290">
        <f>IF(INPUT!G9="",NA(),INPUT!G9)</f>
        <v>195610</v>
      </c>
      <c r="G85" s="290">
        <f>IF(INPUT!G26="",NA(),INPUT!G26)</f>
        <v>19294</v>
      </c>
      <c r="H85" s="290">
        <f>IF(INPUT!H26="",NA(),INPUT!H26)</f>
        <v>14932</v>
      </c>
      <c r="I85" s="290"/>
      <c r="J85" s="290"/>
      <c r="K85" s="290"/>
      <c r="L85" s="290"/>
      <c r="M85" s="290"/>
      <c r="N85" s="290"/>
      <c r="O85" s="290"/>
    </row>
    <row r="86" spans="1:15 16373:16384" ht="15" customHeight="1" x14ac:dyDescent="0.3">
      <c r="A86" s="189"/>
      <c r="B86" s="189"/>
      <c r="C86" s="189" t="s">
        <v>21</v>
      </c>
      <c r="D86" s="291">
        <f>IF(INPUT!D30="",NA(),INPUT!D30)</f>
        <v>0</v>
      </c>
      <c r="E86" s="189">
        <f>IF(INPUT!E30="",NA(),INPUT!E30)</f>
        <v>74190</v>
      </c>
      <c r="F86" s="290">
        <f>IF(INPUT!F30="",NA(),INPUT!F30)</f>
        <v>53604</v>
      </c>
      <c r="G86" s="290"/>
      <c r="H86" s="290"/>
      <c r="I86" s="290"/>
      <c r="J86" s="289" t="e">
        <f>IF(INPUT!D5="",NA(),INPUT!D5)</f>
        <v>#N/A</v>
      </c>
      <c r="K86" s="289">
        <f>INPUT!E5</f>
        <v>2022</v>
      </c>
      <c r="L86" s="289">
        <f>INPUT!F5</f>
        <v>2023</v>
      </c>
      <c r="M86" s="289">
        <f>INPUT!G5</f>
        <v>2024</v>
      </c>
      <c r="N86" s="289" t="str">
        <f>INPUT!H5</f>
        <v>2025 (LTM)</v>
      </c>
      <c r="O86" s="290"/>
    </row>
    <row r="87" spans="1:15 16373:16384" ht="15" customHeight="1" x14ac:dyDescent="0.3">
      <c r="A87" s="189"/>
      <c r="B87" s="189"/>
      <c r="C87" s="189" t="s">
        <v>19</v>
      </c>
      <c r="D87" s="291">
        <f>IF(INPUT!D26="",NA(),INPUT!D26)</f>
        <v>0</v>
      </c>
      <c r="E87" s="189">
        <f>IF(INPUT!E26="",NA(),INPUT!E26)</f>
        <v>35746</v>
      </c>
      <c r="F87" s="290">
        <f>IF(INPUT!F26="",NA(),INPUT!F26)</f>
        <v>24311</v>
      </c>
      <c r="G87" s="290"/>
      <c r="H87" s="290"/>
      <c r="I87" s="290" t="s">
        <v>162</v>
      </c>
      <c r="J87" s="290" t="e">
        <f>IF(INPUT!D9="",NA(),INPUT!D11/INPUT!D9)</f>
        <v>#N/A</v>
      </c>
      <c r="K87" s="290">
        <f>IF(INPUT!E9="",NA(),INPUT!E11/INPUT!E9)</f>
        <v>0.30842353119896698</v>
      </c>
      <c r="L87" s="290">
        <f>IF(INPUT!F9="",NA(),INPUT!F11/INPUT!F9)</f>
        <v>0.28487976432437367</v>
      </c>
      <c r="M87" s="290">
        <f>IF(INPUT!G9="",NA(),INPUT!G11/INPUT!G9)</f>
        <v>0.28389141659424366</v>
      </c>
      <c r="N87" s="290">
        <f>IF(INPUT!H9="",NA(),INPUT!H11/INPUT!H9)</f>
        <v>0.28433619971043739</v>
      </c>
      <c r="O87" s="290"/>
    </row>
    <row r="88" spans="1:15 16373:16384" ht="15" customHeight="1" x14ac:dyDescent="0.3">
      <c r="A88" s="189"/>
      <c r="B88" s="189"/>
      <c r="C88" s="189"/>
      <c r="D88" s="291"/>
      <c r="E88" s="189"/>
      <c r="F88" s="290"/>
      <c r="G88" s="290"/>
      <c r="H88" s="290"/>
      <c r="I88" s="290" t="s">
        <v>106</v>
      </c>
      <c r="J88" s="290" t="e">
        <f>IF(INPUT!D9="",NA(),INPUT!D30/INPUT!D9)</f>
        <v>#N/A</v>
      </c>
      <c r="K88" s="290">
        <f>IF(INPUT!E9="",NA(),INPUT!E30/INPUT!E9)</f>
        <v>0.28175914321522161</v>
      </c>
      <c r="L88" s="290">
        <f>IF(INPUT!F9="",NA(),INPUT!F30/INPUT!F9)</f>
        <v>0.24482860992486696</v>
      </c>
      <c r="M88" s="290">
        <f>IF(INPUT!G9="",NA(),INPUT!G30/INPUT!G9)</f>
        <v>0.23435407187771587</v>
      </c>
      <c r="N88" s="290">
        <f>IF(INPUT!H9="",NA(),INPUT!H30/INPUT!H9)</f>
        <v>0.21718290703286097</v>
      </c>
      <c r="O88" s="290"/>
    </row>
    <row r="89" spans="1:15 16373:16384" ht="15" customHeight="1" x14ac:dyDescent="0.3">
      <c r="A89" s="189"/>
      <c r="B89" s="189"/>
      <c r="C89" s="189"/>
      <c r="D89" s="291"/>
      <c r="E89" s="189"/>
      <c r="F89" s="290"/>
      <c r="G89" s="289">
        <f>INPUT!G5</f>
        <v>2024</v>
      </c>
      <c r="H89" s="289" t="str">
        <f>INPUT!H5</f>
        <v>2025 (LTM)</v>
      </c>
      <c r="I89" s="290" t="s">
        <v>294</v>
      </c>
      <c r="J89" s="290" t="e">
        <f>IF(INPUT!D9="",NA(),INPUT!D26/INPUT!D9)</f>
        <v>#N/A</v>
      </c>
      <c r="K89" s="290">
        <f>IF(INPUT!E9="",NA(),INPUT!E26/INPUT!E9)</f>
        <v>0.13575633283961869</v>
      </c>
      <c r="L89" s="290">
        <f>IF(INPUT!F9="",NA(),INPUT!F26/INPUT!F9)</f>
        <v>0.1110370184292859</v>
      </c>
      <c r="M89" s="290">
        <f>IF(INPUT!G9="",NA(),INPUT!G26/INPUT!G9)</f>
        <v>9.8635039108430037E-2</v>
      </c>
      <c r="N89" s="290">
        <f>IF(INPUT!H9="",NA(),INPUT!H26/INPUT!H9)</f>
        <v>8.1889176501557498E-2</v>
      </c>
      <c r="O89" s="290"/>
    </row>
    <row r="90" spans="1:15 16373:16384" ht="15" customHeight="1" x14ac:dyDescent="0.3">
      <c r="A90" s="189"/>
      <c r="B90" s="189"/>
      <c r="C90" s="189"/>
      <c r="D90" s="291"/>
      <c r="E90" s="189"/>
      <c r="F90" s="290"/>
      <c r="G90" s="290">
        <f>IF(INPUT!G9="",NA(),INPUT!G9)</f>
        <v>195610</v>
      </c>
      <c r="H90" s="290">
        <f>IF(INPUT!H9="",NA(),INPUT!H9)</f>
        <v>182344</v>
      </c>
      <c r="I90" s="290"/>
      <c r="J90" s="290"/>
      <c r="K90" s="290"/>
      <c r="L90" s="290"/>
      <c r="M90" s="290"/>
      <c r="N90" s="290"/>
      <c r="O90" s="290"/>
    </row>
    <row r="91" spans="1:15 16373:16384" ht="15" customHeight="1" x14ac:dyDescent="0.3">
      <c r="A91" s="189"/>
      <c r="B91" s="189"/>
      <c r="C91" s="189"/>
      <c r="D91" s="287" t="e">
        <f>IF(INPUT!D5="",NA(),INPUT!D5)</f>
        <v>#N/A</v>
      </c>
      <c r="E91" s="288">
        <f>INPUT!E5</f>
        <v>2022</v>
      </c>
      <c r="F91" s="289">
        <f>INPUT!F5</f>
        <v>2023</v>
      </c>
      <c r="G91" s="290"/>
      <c r="H91" s="290"/>
      <c r="I91" s="290"/>
      <c r="J91" s="289" t="e">
        <f>IF(INPUT!D5="",NA(),INPUT!D5)</f>
        <v>#N/A</v>
      </c>
      <c r="K91" s="289">
        <f>INPUT!E5</f>
        <v>2022</v>
      </c>
      <c r="L91" s="289">
        <f>INPUT!F5</f>
        <v>2023</v>
      </c>
      <c r="M91" s="289">
        <f>INPUT!G5</f>
        <v>2024</v>
      </c>
      <c r="N91" s="289" t="str">
        <f>INPUT!H5</f>
        <v>2025 (LTM)</v>
      </c>
      <c r="O91" s="290"/>
    </row>
    <row r="92" spans="1:15 16373:16384" ht="15" customHeight="1" x14ac:dyDescent="0.3">
      <c r="A92" s="189"/>
      <c r="B92" s="189"/>
      <c r="C92" s="189" t="s">
        <v>7</v>
      </c>
      <c r="D92" s="291" t="e">
        <f>IF(INPUT!D9="",NA(),INPUT!D9)</f>
        <v>#N/A</v>
      </c>
      <c r="E92" s="189">
        <f>IF(INPUT!E9="",NA(),INPUT!E9)</f>
        <v>263310</v>
      </c>
      <c r="F92" s="290">
        <f>IF(INPUT!F9="",NA(),INPUT!F9)</f>
        <v>218945</v>
      </c>
      <c r="G92" s="290"/>
      <c r="H92" s="290"/>
      <c r="I92" s="290" t="s">
        <v>315</v>
      </c>
      <c r="J92" s="290" t="e">
        <f>IF(INPUT!D14="",NA(),ABS(INPUT!D14))</f>
        <v>#N/A</v>
      </c>
      <c r="K92" s="290">
        <f>IF(INPUT!E14="",NA(),ABS(INPUT!E14))</f>
        <v>3946</v>
      </c>
      <c r="L92" s="290">
        <f>IF(INPUT!F14="",NA(),ABS(INPUT!F14))</f>
        <v>4800</v>
      </c>
      <c r="M92" s="290">
        <f>IF(INPUT!G14="",NA(),ABS(INPUT!G14))</f>
        <v>5150</v>
      </c>
      <c r="N92" s="290">
        <f>IF(INPUT!H14="",NA(),ABS(INPUT!H14))</f>
        <v>5834</v>
      </c>
      <c r="O92" s="290"/>
    </row>
    <row r="93" spans="1:15 16373:16384" ht="15" customHeight="1" x14ac:dyDescent="0.3">
      <c r="A93" s="189"/>
      <c r="B93" s="189"/>
      <c r="C93" s="189"/>
      <c r="D93" s="291"/>
      <c r="E93" s="189"/>
      <c r="F93" s="290"/>
      <c r="G93" s="290"/>
      <c r="H93" s="290"/>
      <c r="I93" s="290" t="s">
        <v>316</v>
      </c>
      <c r="J93" s="290" t="e">
        <f>IF(INPUT!D15="",NA(),ABS(INPUT!D15))</f>
        <v>#N/A</v>
      </c>
      <c r="K93" s="290">
        <f>IF(INPUT!E15="",NA(),ABS(INPUT!E15))</f>
        <v>3075</v>
      </c>
      <c r="L93" s="290">
        <f>IF(INPUT!F15="",NA(),ABS(INPUT!F15))</f>
        <v>3969</v>
      </c>
      <c r="M93" s="290">
        <f>IF(INPUT!G15="",NA(),ABS(INPUT!G15))</f>
        <v>4540</v>
      </c>
      <c r="N93" s="290">
        <f>IF(INPUT!H15="",NA(),ABS(INPUT!H15))</f>
        <v>6411</v>
      </c>
      <c r="O93" s="290"/>
      <c r="XES93" s="45"/>
      <c r="XEU93" s="21"/>
      <c r="XEV93" s="21"/>
      <c r="XEW93" s="21"/>
      <c r="XEX93" s="21"/>
      <c r="XEY93" s="21"/>
      <c r="XEZ93" s="21"/>
      <c r="XFA93" s="21"/>
      <c r="XFB93" s="21"/>
      <c r="XFC93" s="21"/>
      <c r="XFD93" s="21"/>
    </row>
    <row r="94" spans="1:15 16373:16384" ht="15" customHeight="1" x14ac:dyDescent="0.3">
      <c r="A94" s="189"/>
      <c r="B94" s="189"/>
      <c r="C94" s="189"/>
      <c r="D94" s="291"/>
      <c r="E94" s="189"/>
      <c r="F94" s="290"/>
      <c r="G94" s="290"/>
      <c r="H94" s="290"/>
      <c r="I94" s="290" t="s">
        <v>317</v>
      </c>
      <c r="J94" s="290" t="e">
        <f>IF(INPUT!D16="",NA(),ABS(INPUT!D16))</f>
        <v>#N/A</v>
      </c>
      <c r="K94" s="290">
        <f>IF(INPUT!E16="",NA(),ABS(INPUT!E16))</f>
        <v>13680</v>
      </c>
      <c r="L94" s="290">
        <f>IF(INPUT!F16="",NA(),ABS(INPUT!F16))</f>
        <v>13818</v>
      </c>
      <c r="M94" s="290">
        <f>IF(INPUT!G16="",NA(),ABS(INPUT!G16))</f>
        <v>13107</v>
      </c>
      <c r="N94" s="290">
        <f>IF(INPUT!H16="",NA(),ABS(INPUT!H16))</f>
        <v>13847</v>
      </c>
      <c r="O94" s="290"/>
      <c r="XES94" s="45"/>
      <c r="XEU94" s="21"/>
      <c r="XEV94" s="21"/>
      <c r="XEW94" s="21"/>
      <c r="XEX94" s="21"/>
      <c r="XEY94" s="21"/>
      <c r="XEZ94" s="21"/>
      <c r="XFA94" s="21"/>
      <c r="XFB94" s="21"/>
      <c r="XFC94" s="21"/>
      <c r="XFD94" s="21"/>
    </row>
    <row r="95" spans="1:15 16373:16384" ht="15" customHeight="1" x14ac:dyDescent="0.3">
      <c r="A95" s="189"/>
      <c r="B95" s="189"/>
      <c r="C95" s="189"/>
      <c r="D95" s="291"/>
      <c r="E95" s="189"/>
      <c r="F95" s="290"/>
      <c r="G95" s="290"/>
      <c r="H95" s="290"/>
      <c r="I95" s="290" t="s">
        <v>319</v>
      </c>
      <c r="J95" s="290" t="e">
        <f>IF(INPUT!D5="",NA(),INPUT!D5)</f>
        <v>#N/A</v>
      </c>
      <c r="K95" s="290">
        <f>IF(INPUT!E14="",NA(),ABS(INPUT!E20))</f>
        <v>2076</v>
      </c>
      <c r="L95" s="290">
        <f>IF(INPUT!F14="",NA(),ABS(INPUT!F20))</f>
        <v>2153</v>
      </c>
      <c r="M95" s="290">
        <f>IF(INPUT!G14="",NA(),ABS(INPUT!G20))</f>
        <v>2364</v>
      </c>
      <c r="N95" s="290">
        <f>IF(INPUT!H14="",NA(),ABS(INPUT!H20))</f>
        <v>2558</v>
      </c>
      <c r="O95" s="290"/>
    </row>
    <row r="96" spans="1:15 16373:16384" ht="15" customHeight="1" x14ac:dyDescent="0.3">
      <c r="A96" s="189"/>
      <c r="B96" s="189"/>
      <c r="C96" s="189"/>
      <c r="D96" s="291"/>
      <c r="E96" s="189"/>
      <c r="F96" s="290"/>
      <c r="G96" s="290"/>
      <c r="H96" s="290"/>
      <c r="I96" s="290"/>
      <c r="J96" s="290"/>
      <c r="K96" s="290"/>
      <c r="L96" s="290"/>
      <c r="M96" s="290"/>
      <c r="N96" s="290"/>
      <c r="O96" s="290"/>
    </row>
    <row r="97" spans="2:6" ht="15" customHeight="1" x14ac:dyDescent="0.3">
      <c r="B97" s="189"/>
      <c r="C97" s="189"/>
      <c r="D97" s="291"/>
      <c r="E97" s="189"/>
      <c r="F97" s="290"/>
    </row>
    <row r="98" spans="2:6" ht="15" customHeight="1" x14ac:dyDescent="0.3">
      <c r="B98" s="189"/>
      <c r="C98" s="189"/>
      <c r="D98" s="291"/>
      <c r="E98" s="189"/>
      <c r="F98" s="290"/>
    </row>
    <row r="99" spans="2:6" ht="15" customHeight="1" x14ac:dyDescent="0.3">
      <c r="B99" s="45"/>
    </row>
    <row r="100" spans="2:6" ht="15" customHeight="1" x14ac:dyDescent="0.3">
      <c r="B100" s="45"/>
    </row>
    <row r="101" spans="2:6" ht="15" customHeight="1" x14ac:dyDescent="0.3">
      <c r="B101" s="45"/>
    </row>
    <row r="102" spans="2:6" ht="15" customHeight="1" x14ac:dyDescent="0.3">
      <c r="B102" s="45"/>
    </row>
    <row r="103" spans="2:6" ht="15" customHeight="1" x14ac:dyDescent="0.3">
      <c r="B103" s="45"/>
    </row>
    <row r="104" spans="2:6" ht="15" customHeight="1" x14ac:dyDescent="0.3">
      <c r="B104" s="45"/>
    </row>
    <row r="105" spans="2:6" ht="15" customHeight="1" x14ac:dyDescent="0.3">
      <c r="B105" s="45"/>
    </row>
    <row r="106" spans="2:6" ht="15" customHeight="1" x14ac:dyDescent="0.3">
      <c r="B106" s="45"/>
    </row>
    <row r="107" spans="2:6" ht="15" customHeight="1" x14ac:dyDescent="0.3">
      <c r="B107" s="45"/>
    </row>
    <row r="108" spans="2:6" ht="15" customHeight="1" x14ac:dyDescent="0.3">
      <c r="B108" s="45"/>
    </row>
    <row r="109" spans="2:6" ht="15" customHeight="1" x14ac:dyDescent="0.3">
      <c r="B109" s="45"/>
    </row>
    <row r="110" spans="2:6" ht="15" customHeight="1" x14ac:dyDescent="0.3">
      <c r="B110" s="45"/>
    </row>
    <row r="111" spans="2:6" ht="15" customHeight="1" x14ac:dyDescent="0.3">
      <c r="B111" s="45"/>
    </row>
    <row r="112" spans="2:6" ht="15" customHeight="1" x14ac:dyDescent="0.3">
      <c r="B112" s="45"/>
    </row>
    <row r="113" spans="2:2" ht="15" customHeight="1" x14ac:dyDescent="0.3">
      <c r="B113" s="45"/>
    </row>
    <row r="114" spans="2:2" ht="15" customHeight="1" x14ac:dyDescent="0.3">
      <c r="B114" s="45"/>
    </row>
    <row r="115" spans="2:2" ht="15" customHeight="1" x14ac:dyDescent="0.3">
      <c r="B115" s="45"/>
    </row>
    <row r="116" spans="2:2" ht="15" customHeight="1" x14ac:dyDescent="0.3">
      <c r="B116" s="45"/>
    </row>
    <row r="117" spans="2:2" ht="15" customHeight="1" x14ac:dyDescent="0.3">
      <c r="B117" s="45"/>
    </row>
    <row r="118" spans="2:2" ht="15" customHeight="1" x14ac:dyDescent="0.3">
      <c r="B118" s="45"/>
    </row>
    <row r="119" spans="2:2" ht="15" customHeight="1" x14ac:dyDescent="0.3">
      <c r="B119" s="45"/>
    </row>
    <row r="120" spans="2:2" ht="15" customHeight="1" x14ac:dyDescent="0.3">
      <c r="B120" s="45"/>
    </row>
    <row r="121" spans="2:2" ht="15" customHeight="1" x14ac:dyDescent="0.3">
      <c r="B121" s="45"/>
    </row>
    <row r="122" spans="2:2" ht="15" customHeight="1" x14ac:dyDescent="0.3">
      <c r="B122" s="45"/>
    </row>
    <row r="123" spans="2:2" x14ac:dyDescent="0.3">
      <c r="B123" s="45"/>
    </row>
  </sheetData>
  <printOptions horizontalCentered="1"/>
  <pageMargins left="5.5555555555555558E-3" right="5.5555555555555558E-3" top="5.5555555555555558E-3" bottom="5.5555555555555558E-3" header="2.7777777777777779E-3" footer="2.7777777777777779E-3"/>
  <pageSetup paperSize="9" scale="40" orientation="landscape"/>
  <rowBreaks count="2" manualBreakCount="2">
    <brk id="23" max="13" man="1"/>
    <brk id="41" max="16383" man="1"/>
  </rowBreaks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25"/>
  <sheetViews>
    <sheetView showGridLines="0" topLeftCell="A21" zoomScale="85" zoomScaleNormal="85" workbookViewId="0">
      <selection activeCell="Q5" sqref="Q5"/>
    </sheetView>
  </sheetViews>
  <sheetFormatPr baseColWidth="10" defaultColWidth="9.109375" defaultRowHeight="15" customHeight="1" x14ac:dyDescent="0.35"/>
  <cols>
    <col min="1" max="1" width="1.6640625" style="126" customWidth="1"/>
    <col min="2" max="2" width="12.33203125" style="126" customWidth="1"/>
    <col min="3" max="3" width="15.88671875" style="126" bestFit="1" customWidth="1"/>
    <col min="4" max="4" width="17.88671875" style="126" bestFit="1" customWidth="1"/>
    <col min="5" max="5" width="6.77734375" style="126" customWidth="1"/>
    <col min="6" max="7" width="12.44140625" style="126" customWidth="1"/>
    <col min="8" max="8" width="7.88671875" style="126" customWidth="1"/>
    <col min="9" max="10" width="9.109375" style="126" customWidth="1"/>
    <col min="11" max="11" width="10.6640625" style="126" customWidth="1"/>
    <col min="12" max="12" width="5.109375" style="126" customWidth="1"/>
    <col min="13" max="14" width="12.44140625" style="126" customWidth="1"/>
    <col min="15" max="15" width="9" style="127" customWidth="1"/>
    <col min="16" max="16" width="13.88671875" style="126" customWidth="1"/>
    <col min="17" max="17" width="10.5546875" style="126" customWidth="1"/>
    <col min="18" max="18" width="11.5546875" style="126" customWidth="1"/>
    <col min="19" max="19" width="11.6640625" style="126" customWidth="1"/>
    <col min="20" max="20" width="13.44140625" style="126" customWidth="1"/>
    <col min="21" max="21" width="18.33203125" style="126" customWidth="1"/>
    <col min="22" max="22" width="16.109375" style="126" customWidth="1"/>
    <col min="23" max="30" width="12.44140625" style="126" customWidth="1"/>
    <col min="31" max="33" width="9.109375" style="126" customWidth="1"/>
    <col min="34" max="16384" width="9.109375" style="126"/>
  </cols>
  <sheetData>
    <row r="1" spans="1:30" ht="50.1" customHeight="1" x14ac:dyDescent="0.6">
      <c r="A1" s="139"/>
      <c r="B1" s="96" t="s">
        <v>98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 t="str">
        <f>INPUT!D114&amp;" ("&amp;INPUT!D115&amp;")  — "&amp;INPUT!D116</f>
        <v>TTE.PA (TTE.PA)  — Energie / Oil &amp; Gas</v>
      </c>
      <c r="S1" s="139"/>
      <c r="T1" s="139"/>
      <c r="U1" s="139"/>
      <c r="V1" s="139"/>
      <c r="W1" s="139"/>
      <c r="X1" s="139"/>
      <c r="Y1" s="173"/>
      <c r="Z1" s="173"/>
      <c r="AA1" s="173"/>
      <c r="AB1" s="173"/>
      <c r="AC1" s="173"/>
      <c r="AD1" s="173"/>
    </row>
    <row r="2" spans="1:30" ht="15" customHeight="1" x14ac:dyDescent="0.3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 spans="1:30" s="128" customFormat="1" ht="21" customHeight="1" x14ac:dyDescent="0.5">
      <c r="B3" s="119" t="s">
        <v>323</v>
      </c>
      <c r="C3" s="124"/>
      <c r="D3" s="124"/>
      <c r="E3" s="124"/>
      <c r="F3" s="119" t="s">
        <v>324</v>
      </c>
      <c r="G3" s="124"/>
      <c r="H3" s="124"/>
      <c r="I3" s="124"/>
      <c r="J3" s="124"/>
      <c r="K3" s="124"/>
      <c r="L3" s="489"/>
      <c r="M3" s="119" t="s">
        <v>334</v>
      </c>
      <c r="N3" s="124"/>
      <c r="O3" s="124"/>
      <c r="P3" s="124"/>
      <c r="Q3" s="124"/>
      <c r="R3" s="124"/>
      <c r="S3" s="124"/>
      <c r="T3" s="124"/>
    </row>
    <row r="4" spans="1:30" s="128" customFormat="1" ht="15" customHeight="1" x14ac:dyDescent="0.35">
      <c r="A4" s="82"/>
      <c r="B4" s="82"/>
      <c r="C4" s="82"/>
      <c r="D4" s="82"/>
      <c r="E4" s="82"/>
      <c r="F4" s="126"/>
      <c r="G4" s="126"/>
      <c r="H4" s="126"/>
      <c r="I4" s="126"/>
      <c r="J4" s="126"/>
      <c r="K4" s="126"/>
      <c r="L4" s="126"/>
    </row>
    <row r="5" spans="1:30" s="128" customFormat="1" ht="15" customHeight="1" x14ac:dyDescent="0.35">
      <c r="A5" s="82"/>
      <c r="B5" s="141" t="s">
        <v>325</v>
      </c>
      <c r="C5" s="82"/>
      <c r="D5" s="82"/>
      <c r="E5" s="82"/>
      <c r="F5" s="126"/>
      <c r="G5" s="126"/>
      <c r="H5" s="126"/>
      <c r="I5" s="388" t="s">
        <v>260</v>
      </c>
      <c r="J5" s="143" t="s">
        <v>326</v>
      </c>
      <c r="K5" s="143" t="s">
        <v>261</v>
      </c>
      <c r="L5" s="126"/>
      <c r="M5" s="131" t="s">
        <v>325</v>
      </c>
      <c r="N5" s="125"/>
      <c r="O5" s="125"/>
      <c r="P5" s="279">
        <f>INPUT!E5</f>
        <v>2022</v>
      </c>
      <c r="Q5" s="279">
        <f>INPUT!F5</f>
        <v>2023</v>
      </c>
      <c r="R5" s="279">
        <f>INPUT!G5</f>
        <v>2024</v>
      </c>
      <c r="S5" s="279" t="str">
        <f>INPUT!H5</f>
        <v>2025 (LTM)</v>
      </c>
    </row>
    <row r="6" spans="1:30" ht="15" customHeight="1" x14ac:dyDescent="0.35">
      <c r="A6" s="82"/>
      <c r="B6" s="132" t="s">
        <v>327</v>
      </c>
      <c r="F6" s="146" t="s">
        <v>328</v>
      </c>
      <c r="I6" s="385">
        <f>INPUT!H95*0.75</f>
        <v>58.267499999999998</v>
      </c>
      <c r="J6" s="276">
        <f>K6-I6</f>
        <v>54.382999999999996</v>
      </c>
      <c r="K6" s="277">
        <f>INPUT!H95*1.45</f>
        <v>112.65049999999999</v>
      </c>
      <c r="M6" s="125"/>
      <c r="N6" s="125"/>
      <c r="O6" s="125"/>
      <c r="P6" s="125"/>
      <c r="Q6" s="125"/>
      <c r="R6" s="125"/>
      <c r="S6" s="125"/>
    </row>
    <row r="7" spans="1:30" ht="15" customHeight="1" x14ac:dyDescent="0.35">
      <c r="A7" s="82"/>
      <c r="C7" s="91" t="s">
        <v>82</v>
      </c>
      <c r="D7" s="274" t="str">
        <f>INPUT!D114</f>
        <v>TTE.PA</v>
      </c>
      <c r="F7" s="146" t="s">
        <v>329</v>
      </c>
      <c r="I7" s="386">
        <f>INPUT!H95*1.1</f>
        <v>85.459000000000003</v>
      </c>
      <c r="J7" s="278">
        <f>K7-I7</f>
        <v>38.844999999999999</v>
      </c>
      <c r="K7" s="277">
        <f>INPUT!H95*1.6</f>
        <v>124.304</v>
      </c>
      <c r="M7" s="137" t="s">
        <v>337</v>
      </c>
      <c r="N7" s="125"/>
      <c r="O7" s="125"/>
      <c r="P7" s="280" t="str">
        <f>IF(INPUT!D9=0,"",INPUT!E9/INPUT!D9-1)</f>
        <v/>
      </c>
      <c r="Q7" s="280">
        <f>IF(INPUT!E9=0,"",INPUT!F9/INPUT!E9-1)</f>
        <v>-0.16848961300368392</v>
      </c>
      <c r="R7" s="280">
        <f>IF(INPUT!F9=0,"",INPUT!G9/INPUT!F9-1)</f>
        <v>-0.10657927790084265</v>
      </c>
      <c r="S7" s="280">
        <f>IF(INPUT!G9=0,"",INPUT!H9/INPUT!G9-1)</f>
        <v>-6.7818618680026588E-2</v>
      </c>
    </row>
    <row r="8" spans="1:30" ht="15" customHeight="1" x14ac:dyDescent="0.35">
      <c r="A8" s="82"/>
      <c r="C8" s="91" t="s">
        <v>85</v>
      </c>
      <c r="D8" s="274" t="str">
        <f>INPUT!D115</f>
        <v>TTE.PA</v>
      </c>
      <c r="F8" s="146" t="s">
        <v>330</v>
      </c>
      <c r="G8" s="128"/>
      <c r="H8" s="128"/>
      <c r="I8" s="386">
        <f>INPUT!H95*1.2</f>
        <v>93.227999999999994</v>
      </c>
      <c r="J8" s="278">
        <f>K8-I8</f>
        <v>42.729499999999987</v>
      </c>
      <c r="K8" s="277">
        <f>INPUT!H95*1.75</f>
        <v>135.95749999999998</v>
      </c>
      <c r="L8" s="128"/>
      <c r="M8" s="145" t="s">
        <v>338</v>
      </c>
      <c r="N8" s="125"/>
      <c r="O8" s="125"/>
      <c r="P8" s="153" t="str">
        <f>""</f>
        <v/>
      </c>
      <c r="Q8" s="280" t="str">
        <f>IF(INPUT!D30=0,"",INPUT!F30/INPUT!E30-1)</f>
        <v/>
      </c>
      <c r="R8" s="280">
        <f>IF(INPUT!E30=0,"",INPUT!G30/INPUT!F30-1)</f>
        <v>-0.14480262666965149</v>
      </c>
      <c r="S8" s="280">
        <f>IF(INPUT!F30=0,"",INPUT!H30/INPUT!G30-1)</f>
        <v>-0.13611971554469704</v>
      </c>
    </row>
    <row r="9" spans="1:30" ht="15" customHeight="1" x14ac:dyDescent="0.35">
      <c r="A9" s="82"/>
      <c r="C9" s="91" t="s">
        <v>331</v>
      </c>
      <c r="D9" s="274" t="str">
        <f>INPUT!D116</f>
        <v>Energie / Oil &amp; Gas</v>
      </c>
      <c r="F9" s="146" t="s">
        <v>332</v>
      </c>
      <c r="G9" s="128"/>
      <c r="H9" s="128"/>
      <c r="I9" s="386">
        <f>INPUT!H95*1.3</f>
        <v>100.997</v>
      </c>
      <c r="J9" s="278">
        <f>K9-I9</f>
        <v>42.729500000000016</v>
      </c>
      <c r="K9" s="277">
        <f>INPUT!H95*1.85</f>
        <v>143.72650000000002</v>
      </c>
      <c r="L9" s="128"/>
      <c r="M9" s="125"/>
      <c r="N9" s="125"/>
      <c r="O9" s="125"/>
      <c r="P9" s="125"/>
      <c r="Q9" s="125"/>
      <c r="R9" s="125"/>
      <c r="S9" s="125"/>
    </row>
    <row r="10" spans="1:30" ht="15" customHeight="1" x14ac:dyDescent="0.35">
      <c r="A10" s="82"/>
      <c r="C10" s="91" t="s">
        <v>87</v>
      </c>
      <c r="D10" s="274">
        <f>INPUT!D117</f>
        <v>2025</v>
      </c>
      <c r="F10" s="146" t="s">
        <v>333</v>
      </c>
      <c r="G10" s="128"/>
      <c r="H10" s="128"/>
      <c r="I10" s="386">
        <f>INPUT!H95*1.15</f>
        <v>89.343499999999992</v>
      </c>
      <c r="J10" s="278">
        <f>K10-I10</f>
        <v>42.729499999999987</v>
      </c>
      <c r="K10" s="277">
        <f>INPUT!H95*1.7</f>
        <v>132.07299999999998</v>
      </c>
      <c r="L10" s="128"/>
      <c r="M10" s="132" t="s">
        <v>7</v>
      </c>
      <c r="N10" s="125"/>
      <c r="O10" s="125"/>
      <c r="P10" s="125"/>
      <c r="Q10" s="125"/>
      <c r="R10" s="125"/>
      <c r="S10" s="125"/>
      <c r="T10" s="125"/>
    </row>
    <row r="11" spans="1:30" ht="15" customHeight="1" x14ac:dyDescent="0.35">
      <c r="A11" s="82"/>
      <c r="C11" s="91" t="s">
        <v>88</v>
      </c>
      <c r="D11" s="274" t="str">
        <f>INPUT!D118</f>
        <v>USD</v>
      </c>
      <c r="F11" s="133" t="s">
        <v>198</v>
      </c>
      <c r="G11" s="128"/>
      <c r="H11" s="128"/>
      <c r="I11" s="387">
        <f>INPUT!H95</f>
        <v>77.69</v>
      </c>
      <c r="J11" s="172"/>
      <c r="K11" s="172"/>
      <c r="L11" s="128"/>
      <c r="M11" s="148" t="s">
        <v>339</v>
      </c>
      <c r="N11" s="125"/>
      <c r="O11" s="125"/>
      <c r="P11" s="281">
        <f>INPUT!E9</f>
        <v>263310</v>
      </c>
      <c r="Q11" s="281">
        <f>INPUT!E9</f>
        <v>263310</v>
      </c>
      <c r="R11" s="281">
        <f>INPUT!F9</f>
        <v>218945</v>
      </c>
      <c r="S11" s="281">
        <f>INPUT!G9</f>
        <v>195610</v>
      </c>
      <c r="T11" s="281">
        <f>INPUT!H9</f>
        <v>182344</v>
      </c>
    </row>
    <row r="12" spans="1:30" ht="15" customHeight="1" x14ac:dyDescent="0.35">
      <c r="A12" s="82"/>
      <c r="C12" s="91" t="s">
        <v>92</v>
      </c>
      <c r="D12" s="275" t="str">
        <f>INPUT!D120</f>
        <v>2026-04-15</v>
      </c>
      <c r="M12" s="148" t="s">
        <v>340</v>
      </c>
      <c r="N12" s="125"/>
      <c r="O12" s="125"/>
      <c r="P12" s="281">
        <f>ABS(INPUT!E10)</f>
        <v>182099</v>
      </c>
      <c r="Q12" s="281">
        <f>ABS(INPUT!E10)</f>
        <v>182099</v>
      </c>
      <c r="R12" s="281">
        <f>ABS(INPUT!F10)</f>
        <v>156572</v>
      </c>
      <c r="S12" s="281">
        <f>ABS(INPUT!G10)</f>
        <v>140078</v>
      </c>
      <c r="T12" s="281">
        <f>ABS(INPUT!H10)</f>
        <v>130497</v>
      </c>
      <c r="U12" s="128"/>
      <c r="V12" s="128"/>
      <c r="W12" s="128"/>
      <c r="X12" s="128"/>
    </row>
    <row r="13" spans="1:30" ht="15" customHeight="1" x14ac:dyDescent="0.35">
      <c r="A13" s="82"/>
      <c r="M13" s="148" t="s">
        <v>10</v>
      </c>
      <c r="N13" s="125"/>
      <c r="O13" s="125"/>
      <c r="P13" s="282">
        <f>INPUT!E11</f>
        <v>81211</v>
      </c>
      <c r="Q13" s="282">
        <f>INPUT!E11</f>
        <v>81211</v>
      </c>
      <c r="R13" s="282">
        <f>INPUT!F11</f>
        <v>62373</v>
      </c>
      <c r="S13" s="282">
        <f>INPUT!G11</f>
        <v>55532</v>
      </c>
      <c r="T13" s="282">
        <f>INPUT!H11</f>
        <v>51847</v>
      </c>
      <c r="U13" s="128"/>
      <c r="V13" s="128"/>
      <c r="W13" s="128"/>
      <c r="X13" s="128"/>
    </row>
    <row r="14" spans="1:30" ht="21" customHeight="1" x14ac:dyDescent="0.35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148" t="s">
        <v>315</v>
      </c>
      <c r="N14" s="125"/>
      <c r="O14" s="125"/>
      <c r="P14" s="281">
        <f>ABS(INPUT!E14)</f>
        <v>3946</v>
      </c>
      <c r="Q14" s="281">
        <f>ABS(INPUT!E14)</f>
        <v>3946</v>
      </c>
      <c r="R14" s="281">
        <f>ABS(INPUT!F14)</f>
        <v>4800</v>
      </c>
      <c r="S14" s="281">
        <f>ABS(INPUT!G14)</f>
        <v>5150</v>
      </c>
      <c r="T14" s="281">
        <f>ABS(INPUT!H14)</f>
        <v>5834</v>
      </c>
      <c r="U14" s="128"/>
      <c r="V14" s="128"/>
      <c r="W14" s="128"/>
      <c r="X14" s="128"/>
    </row>
    <row r="15" spans="1:30" ht="15" customHeight="1" x14ac:dyDescent="0.35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148" t="s">
        <v>341</v>
      </c>
      <c r="N15" s="125"/>
      <c r="O15" s="125"/>
      <c r="P15" s="283">
        <f>INPUT!E9</f>
        <v>263310</v>
      </c>
      <c r="Q15" s="283">
        <f>INPUT!E9</f>
        <v>263310</v>
      </c>
      <c r="R15" s="283">
        <f>INPUT!F9</f>
        <v>218945</v>
      </c>
      <c r="S15" s="283">
        <f>INPUT!G9</f>
        <v>195610</v>
      </c>
      <c r="T15" s="283">
        <f>INPUT!H9</f>
        <v>182344</v>
      </c>
    </row>
    <row r="16" spans="1:30" ht="15" customHeight="1" x14ac:dyDescent="0.35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125"/>
      <c r="N16" s="125"/>
      <c r="O16" s="125"/>
      <c r="P16" s="172"/>
      <c r="Q16" s="172"/>
      <c r="R16" s="172"/>
      <c r="S16" s="172"/>
      <c r="T16" s="172"/>
    </row>
    <row r="17" spans="1:20" ht="15" customHeight="1" x14ac:dyDescent="0.35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148" t="s">
        <v>21</v>
      </c>
      <c r="N17" s="125"/>
      <c r="O17" s="125"/>
      <c r="P17" s="281">
        <f>INPUT!E30</f>
        <v>74190</v>
      </c>
      <c r="Q17" s="281">
        <f>INPUT!E30</f>
        <v>74190</v>
      </c>
      <c r="R17" s="281">
        <f>INPUT!F30</f>
        <v>53604</v>
      </c>
      <c r="S17" s="281">
        <f>INPUT!G30</f>
        <v>45842</v>
      </c>
      <c r="T17" s="281">
        <f>INPUT!H30</f>
        <v>39602</v>
      </c>
    </row>
    <row r="18" spans="1:20" ht="15" customHeight="1" x14ac:dyDescent="0.35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148" t="s">
        <v>342</v>
      </c>
      <c r="N18" s="125"/>
      <c r="O18" s="125"/>
      <c r="P18" s="281">
        <f>INPUT!E75</f>
        <v>54572</v>
      </c>
      <c r="Q18" s="281">
        <f>INPUT!E75</f>
        <v>54572</v>
      </c>
      <c r="R18" s="281">
        <f>INPUT!F75</f>
        <v>30610</v>
      </c>
      <c r="S18" s="281">
        <f>INPUT!G75</f>
        <v>38856</v>
      </c>
      <c r="T18" s="281">
        <f>INPUT!H75</f>
        <v>27219</v>
      </c>
    </row>
    <row r="19" spans="1:20" s="128" customFormat="1" ht="15" customHeight="1" x14ac:dyDescent="0.35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148" t="s">
        <v>19</v>
      </c>
      <c r="N19" s="125"/>
      <c r="O19" s="125"/>
      <c r="P19" s="281">
        <f>INPUT!E26</f>
        <v>35746</v>
      </c>
      <c r="Q19" s="281">
        <f>INPUT!E26</f>
        <v>35746</v>
      </c>
      <c r="R19" s="281">
        <f>INPUT!F26</f>
        <v>24311</v>
      </c>
      <c r="S19" s="281">
        <f>INPUT!G26</f>
        <v>19294</v>
      </c>
      <c r="T19" s="281">
        <f>INPUT!H26</f>
        <v>14932</v>
      </c>
    </row>
    <row r="20" spans="1:20" s="128" customFormat="1" ht="15" customHeight="1" x14ac:dyDescent="0.3">
      <c r="A20" s="82"/>
      <c r="B20" s="82"/>
      <c r="C20" s="82"/>
      <c r="D20" s="82"/>
      <c r="E20" s="82"/>
      <c r="F20" s="82"/>
      <c r="G20" s="82"/>
      <c r="H20" s="82"/>
    </row>
    <row r="21" spans="1:20" s="128" customFormat="1" ht="15" customHeight="1" x14ac:dyDescent="0.3">
      <c r="A21" s="82"/>
      <c r="B21" s="82"/>
      <c r="C21" s="82"/>
      <c r="D21" s="82"/>
      <c r="E21" s="82"/>
      <c r="F21" s="82"/>
      <c r="G21" s="82"/>
      <c r="H21" s="82"/>
    </row>
    <row r="22" spans="1:20" s="128" customFormat="1" ht="15" customHeight="1" x14ac:dyDescent="0.35">
      <c r="A22" s="82"/>
      <c r="B22" s="176" t="s">
        <v>335</v>
      </c>
      <c r="C22" s="180"/>
      <c r="D22" s="180"/>
      <c r="E22" s="180"/>
      <c r="F22" s="180"/>
      <c r="G22" s="180"/>
      <c r="H22" s="82"/>
      <c r="I22" s="176" t="s">
        <v>336</v>
      </c>
      <c r="J22" s="180"/>
      <c r="K22" s="180"/>
      <c r="L22" s="180"/>
      <c r="M22" s="180"/>
      <c r="N22" s="180"/>
      <c r="P22" s="176" t="s">
        <v>344</v>
      </c>
      <c r="Q22" s="180"/>
      <c r="R22" s="180"/>
      <c r="S22" s="180"/>
    </row>
    <row r="23" spans="1:20" s="128" customFormat="1" ht="15" customHeight="1" x14ac:dyDescent="0.3">
      <c r="A23" s="82"/>
      <c r="B23" s="147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</row>
    <row r="24" spans="1:20" s="128" customFormat="1" ht="15" customHeight="1" x14ac:dyDescent="0.3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</row>
    <row r="25" spans="1:20" s="128" customFormat="1" ht="15" customHeight="1" x14ac:dyDescent="0.3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</row>
    <row r="26" spans="1:20" s="128" customFormat="1" ht="21" customHeight="1" x14ac:dyDescent="0.3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</row>
    <row r="27" spans="1:20" s="128" customFormat="1" ht="15" customHeight="1" x14ac:dyDescent="0.3">
      <c r="A27" s="82"/>
      <c r="B27" s="82"/>
      <c r="C27" s="82"/>
      <c r="D27" s="82"/>
      <c r="E27" s="82"/>
      <c r="F27" s="82"/>
      <c r="G27" s="82"/>
      <c r="H27" s="82"/>
      <c r="I27" s="82"/>
    </row>
    <row r="28" spans="1:20" s="125" customFormat="1" ht="15" customHeight="1" x14ac:dyDescent="0.35">
      <c r="A28" s="82"/>
      <c r="B28" s="82"/>
      <c r="C28" s="82"/>
      <c r="D28" s="82"/>
      <c r="E28" s="82"/>
      <c r="F28" s="82"/>
      <c r="G28" s="82"/>
      <c r="H28" s="82"/>
      <c r="I28" s="82"/>
    </row>
    <row r="29" spans="1:20" s="125" customFormat="1" ht="15" customHeight="1" x14ac:dyDescent="0.35">
      <c r="A29" s="82"/>
      <c r="B29" s="82"/>
      <c r="C29" s="82"/>
      <c r="D29" s="82"/>
      <c r="E29" s="82"/>
      <c r="F29" s="82"/>
      <c r="G29" s="82"/>
      <c r="H29" s="82"/>
      <c r="I29" s="82"/>
    </row>
    <row r="30" spans="1:20" s="125" customFormat="1" ht="1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</row>
    <row r="31" spans="1:20" s="125" customFormat="1" ht="15" customHeight="1" x14ac:dyDescent="0.35">
      <c r="A31" s="82"/>
      <c r="B31" s="82"/>
      <c r="C31" s="82"/>
      <c r="D31" s="82"/>
      <c r="E31" s="82"/>
      <c r="F31" s="82"/>
      <c r="G31" s="82"/>
      <c r="H31" s="82"/>
      <c r="I31" s="82"/>
    </row>
    <row r="32" spans="1:20" s="125" customFormat="1" ht="15" customHeight="1" x14ac:dyDescent="0.35">
      <c r="A32" s="82"/>
      <c r="B32" s="82"/>
      <c r="C32" s="82"/>
      <c r="D32" s="82"/>
      <c r="E32" s="82"/>
      <c r="F32" s="82"/>
      <c r="G32" s="82"/>
      <c r="H32" s="82"/>
      <c r="I32" s="82"/>
    </row>
    <row r="33" spans="1:28" s="125" customFormat="1" ht="15" customHeight="1" x14ac:dyDescent="0.35">
      <c r="A33" s="82"/>
      <c r="B33" s="82"/>
      <c r="C33" s="82"/>
      <c r="D33" s="82"/>
      <c r="E33" s="82"/>
      <c r="F33" s="82"/>
      <c r="G33" s="82"/>
      <c r="H33" s="82"/>
      <c r="I33" s="82"/>
    </row>
    <row r="34" spans="1:28" s="125" customFormat="1" ht="15" customHeight="1" x14ac:dyDescent="0.35">
      <c r="B34" s="82"/>
      <c r="C34" s="82"/>
      <c r="D34" s="82"/>
      <c r="E34" s="82"/>
      <c r="F34" s="82"/>
      <c r="G34" s="82"/>
      <c r="H34" s="82"/>
      <c r="I34" s="82"/>
    </row>
    <row r="35" spans="1:28" s="125" customFormat="1" ht="15" customHeight="1" x14ac:dyDescent="0.35"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</row>
    <row r="36" spans="1:28" s="125" customFormat="1" ht="15" customHeight="1" x14ac:dyDescent="0.35"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</row>
    <row r="37" spans="1:28" s="125" customFormat="1" ht="15" customHeight="1" x14ac:dyDescent="0.3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</row>
    <row r="38" spans="1:28" s="125" customFormat="1" ht="15" customHeight="1" x14ac:dyDescent="0.35"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</row>
    <row r="39" spans="1:28" s="125" customFormat="1" ht="15" customHeight="1" x14ac:dyDescent="0.35"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</row>
    <row r="40" spans="1:28" s="125" customFormat="1" ht="15" customHeight="1" x14ac:dyDescent="0.35">
      <c r="B40" s="82"/>
      <c r="C40" s="82"/>
      <c r="D40" s="82"/>
      <c r="E40" s="82"/>
      <c r="F40" s="82"/>
      <c r="G40" s="82"/>
      <c r="H40" s="82"/>
    </row>
    <row r="41" spans="1:28" s="125" customFormat="1" ht="15" customHeight="1" x14ac:dyDescent="0.35">
      <c r="B41" s="82"/>
      <c r="C41" s="82"/>
      <c r="D41" s="82"/>
      <c r="E41" s="82"/>
      <c r="F41" s="82"/>
      <c r="G41" s="82"/>
      <c r="H41" s="82"/>
    </row>
    <row r="42" spans="1:28" s="125" customFormat="1" ht="15" customHeight="1" x14ac:dyDescent="0.35">
      <c r="B42" s="176" t="s">
        <v>343</v>
      </c>
      <c r="C42" s="180"/>
      <c r="D42" s="180"/>
      <c r="E42" s="180"/>
      <c r="F42" s="180"/>
      <c r="G42" s="180"/>
      <c r="H42" s="82"/>
    </row>
    <row r="43" spans="1:28" s="125" customFormat="1" ht="15" customHeight="1" x14ac:dyDescent="0.35">
      <c r="H43" s="82"/>
    </row>
    <row r="44" spans="1:28" s="125" customFormat="1" ht="15" customHeight="1" x14ac:dyDescent="0.4">
      <c r="H44" s="82"/>
      <c r="Q44" s="149"/>
    </row>
    <row r="45" spans="1:28" s="125" customFormat="1" ht="15" customHeight="1" x14ac:dyDescent="0.35">
      <c r="H45" s="82"/>
      <c r="AB45" s="130"/>
    </row>
    <row r="46" spans="1:28" s="125" customFormat="1" ht="15" customHeight="1" x14ac:dyDescent="0.35">
      <c r="H46" s="82"/>
      <c r="AB46" s="130"/>
    </row>
    <row r="47" spans="1:28" s="125" customFormat="1" ht="15" customHeight="1" x14ac:dyDescent="0.35">
      <c r="H47" s="82"/>
    </row>
    <row r="48" spans="1:28" s="125" customFormat="1" ht="15" customHeight="1" x14ac:dyDescent="0.35">
      <c r="H48" s="82"/>
    </row>
    <row r="49" spans="1:24" s="125" customFormat="1" ht="15" customHeight="1" x14ac:dyDescent="0.35">
      <c r="H49" s="82"/>
    </row>
    <row r="50" spans="1:24" s="125" customFormat="1" ht="15" customHeight="1" x14ac:dyDescent="0.35">
      <c r="H50" s="82"/>
    </row>
    <row r="51" spans="1:24" s="125" customFormat="1" ht="15" customHeight="1" x14ac:dyDescent="0.35">
      <c r="H51" s="82"/>
      <c r="Q51" s="126"/>
      <c r="R51" s="126"/>
      <c r="S51" s="126"/>
      <c r="T51" s="126"/>
      <c r="U51" s="126"/>
      <c r="V51" s="126"/>
      <c r="W51" s="126"/>
      <c r="X51" s="126"/>
    </row>
    <row r="52" spans="1:24" s="125" customFormat="1" ht="15" customHeight="1" x14ac:dyDescent="0.35">
      <c r="H52" s="82"/>
      <c r="Q52" s="126"/>
      <c r="R52" s="126"/>
      <c r="S52" s="126"/>
      <c r="T52" s="126"/>
      <c r="U52" s="126"/>
      <c r="V52" s="126"/>
      <c r="W52" s="126"/>
      <c r="X52" s="126"/>
    </row>
    <row r="53" spans="1:24" s="125" customFormat="1" ht="15" customHeight="1" x14ac:dyDescent="0.35">
      <c r="H53" s="82"/>
      <c r="Q53" s="126"/>
      <c r="R53" s="126"/>
      <c r="S53" s="126"/>
      <c r="T53" s="126"/>
      <c r="U53" s="126"/>
      <c r="V53" s="126"/>
      <c r="W53" s="126"/>
      <c r="X53" s="126"/>
    </row>
    <row r="54" spans="1:24" s="125" customFormat="1" ht="15" customHeight="1" x14ac:dyDescent="0.35">
      <c r="H54" s="82"/>
      <c r="Q54" s="126"/>
      <c r="R54" s="126"/>
      <c r="S54" s="126"/>
      <c r="T54" s="126"/>
      <c r="U54" s="126"/>
      <c r="V54" s="126"/>
      <c r="W54" s="126"/>
      <c r="X54" s="126"/>
    </row>
    <row r="55" spans="1:24" s="125" customFormat="1" ht="15" customHeight="1" x14ac:dyDescent="0.35">
      <c r="H55" s="82"/>
      <c r="Q55" s="126"/>
      <c r="R55" s="126"/>
      <c r="S55" s="126"/>
      <c r="T55" s="126"/>
      <c r="U55" s="126"/>
      <c r="V55" s="126"/>
      <c r="W55" s="126"/>
      <c r="X55" s="126"/>
    </row>
    <row r="56" spans="1:24" s="125" customFormat="1" ht="15" customHeight="1" x14ac:dyDescent="0.35">
      <c r="H56" s="82"/>
      <c r="Q56" s="126"/>
      <c r="R56" s="126"/>
      <c r="S56" s="126"/>
      <c r="T56" s="126"/>
      <c r="U56" s="126"/>
      <c r="V56" s="126"/>
      <c r="W56" s="126"/>
      <c r="X56" s="126"/>
    </row>
    <row r="57" spans="1:24" s="125" customFormat="1" ht="15" customHeight="1" x14ac:dyDescent="0.4">
      <c r="A57" s="126"/>
      <c r="Q57" s="159"/>
      <c r="R57" s="159"/>
      <c r="S57" s="128"/>
      <c r="T57" s="126"/>
      <c r="U57" s="126"/>
      <c r="V57" s="126"/>
      <c r="W57" s="126"/>
      <c r="X57" s="126"/>
    </row>
    <row r="58" spans="1:24" s="125" customFormat="1" ht="15" customHeight="1" x14ac:dyDescent="0.4">
      <c r="A58" s="126"/>
      <c r="Q58" s="159"/>
      <c r="R58" s="159"/>
      <c r="S58" s="128"/>
      <c r="T58" s="126"/>
      <c r="U58" s="126"/>
      <c r="V58" s="126"/>
      <c r="W58" s="126"/>
      <c r="X58" s="126"/>
    </row>
    <row r="59" spans="1:24" s="125" customFormat="1" ht="15" customHeight="1" x14ac:dyDescent="0.35">
      <c r="A59" s="126"/>
      <c r="Q59" s="128"/>
      <c r="R59" s="128"/>
      <c r="S59" s="128"/>
      <c r="T59" s="126"/>
      <c r="U59" s="126"/>
      <c r="V59" s="126"/>
      <c r="W59" s="126"/>
      <c r="X59" s="126"/>
    </row>
    <row r="60" spans="1:24" s="125" customFormat="1" ht="15" customHeight="1" x14ac:dyDescent="0.35">
      <c r="A60" s="126"/>
      <c r="Q60" s="128"/>
      <c r="R60" s="128"/>
      <c r="S60" s="128"/>
      <c r="T60" s="126"/>
      <c r="U60" s="126"/>
      <c r="V60" s="126"/>
      <c r="W60" s="126"/>
      <c r="X60" s="126"/>
    </row>
    <row r="61" spans="1:24" s="125" customFormat="1" ht="15" customHeight="1" x14ac:dyDescent="0.35">
      <c r="A61" s="126"/>
      <c r="Q61" s="128"/>
      <c r="R61" s="128"/>
      <c r="S61" s="128"/>
      <c r="T61" s="126"/>
      <c r="U61" s="126"/>
      <c r="V61" s="126"/>
      <c r="W61" s="126"/>
      <c r="X61" s="126"/>
    </row>
    <row r="62" spans="1:24" ht="15" customHeight="1" x14ac:dyDescent="0.35"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Q62" s="128"/>
      <c r="R62" s="128"/>
      <c r="S62" s="128"/>
    </row>
    <row r="63" spans="1:24" ht="15" customHeight="1" x14ac:dyDescent="0.35">
      <c r="B63" s="125"/>
      <c r="C63" s="125"/>
      <c r="D63" s="125"/>
      <c r="E63" s="125"/>
      <c r="F63" s="125"/>
      <c r="G63" s="125"/>
      <c r="H63" s="125"/>
      <c r="Q63" s="128"/>
      <c r="R63" s="128"/>
      <c r="S63" s="128"/>
    </row>
    <row r="64" spans="1:24" ht="15" customHeight="1" x14ac:dyDescent="0.35">
      <c r="B64" s="125"/>
      <c r="C64" s="125"/>
      <c r="D64" s="125"/>
      <c r="E64" s="125"/>
      <c r="F64" s="125"/>
      <c r="G64" s="125"/>
      <c r="H64" s="125"/>
      <c r="Q64" s="128"/>
      <c r="R64" s="128"/>
      <c r="S64" s="128"/>
    </row>
    <row r="65" spans="2:24" ht="15" customHeight="1" x14ac:dyDescent="0.35">
      <c r="H65" s="125"/>
      <c r="Q65" s="128"/>
      <c r="R65" s="128"/>
      <c r="S65" s="128"/>
    </row>
    <row r="66" spans="2:24" ht="15" customHeight="1" x14ac:dyDescent="0.35">
      <c r="H66" s="125"/>
      <c r="Q66" s="125"/>
      <c r="R66" s="125"/>
      <c r="S66" s="125"/>
    </row>
    <row r="67" spans="2:24" ht="15" customHeight="1" x14ac:dyDescent="0.35">
      <c r="H67" s="125"/>
      <c r="O67" s="126"/>
      <c r="Q67" s="125"/>
      <c r="R67" s="125"/>
      <c r="S67" s="125"/>
    </row>
    <row r="68" spans="2:24" ht="15" customHeight="1" x14ac:dyDescent="0.4">
      <c r="H68" s="125"/>
      <c r="I68" s="157"/>
      <c r="J68" s="157"/>
      <c r="K68" s="157"/>
      <c r="M68" s="159"/>
      <c r="N68" s="159"/>
      <c r="O68" s="159"/>
      <c r="P68" s="159"/>
      <c r="Q68" s="125"/>
      <c r="R68" s="125"/>
      <c r="S68" s="125"/>
    </row>
    <row r="69" spans="2:24" ht="15" customHeight="1" x14ac:dyDescent="0.4">
      <c r="H69" s="125"/>
      <c r="I69" s="159"/>
      <c r="J69" s="159"/>
      <c r="K69" s="128"/>
      <c r="L69" s="160"/>
      <c r="M69" s="159"/>
      <c r="O69" s="159"/>
      <c r="P69" s="159"/>
      <c r="Q69" s="125"/>
      <c r="R69" s="125"/>
      <c r="S69" s="125"/>
    </row>
    <row r="70" spans="2:24" ht="15" customHeight="1" x14ac:dyDescent="0.4">
      <c r="C70" s="157"/>
      <c r="D70" s="157"/>
      <c r="E70" s="157"/>
      <c r="F70" s="157"/>
      <c r="G70" s="157"/>
      <c r="H70" s="125"/>
      <c r="I70" s="157"/>
      <c r="J70" s="157"/>
      <c r="K70" s="128"/>
      <c r="L70" s="160"/>
      <c r="M70" s="128"/>
      <c r="N70" s="128"/>
      <c r="O70" s="128"/>
      <c r="P70" s="128"/>
      <c r="Q70" s="125"/>
      <c r="R70" s="125"/>
      <c r="S70" s="125"/>
    </row>
    <row r="71" spans="2:24" ht="15" customHeight="1" x14ac:dyDescent="0.4">
      <c r="B71" s="128"/>
      <c r="C71" s="158"/>
      <c r="D71" s="159"/>
      <c r="E71" s="159"/>
      <c r="F71" s="159"/>
      <c r="G71" s="159"/>
      <c r="H71" s="125"/>
      <c r="I71" s="157"/>
      <c r="J71" s="128"/>
      <c r="K71" s="128"/>
      <c r="L71" s="128"/>
      <c r="M71" s="128"/>
      <c r="N71" s="128"/>
      <c r="O71" s="128"/>
      <c r="P71" s="128"/>
      <c r="Q71" s="125"/>
      <c r="R71" s="125"/>
      <c r="S71" s="125"/>
    </row>
    <row r="72" spans="2:24" ht="15" customHeight="1" x14ac:dyDescent="0.4">
      <c r="B72" s="128"/>
      <c r="C72" s="157"/>
      <c r="D72" s="157"/>
      <c r="E72" s="157"/>
      <c r="F72" s="157"/>
      <c r="G72" s="157"/>
      <c r="H72" s="125"/>
      <c r="I72" s="157"/>
      <c r="J72" s="128"/>
      <c r="K72" s="128"/>
      <c r="L72" s="128"/>
      <c r="M72" s="128"/>
      <c r="N72" s="128"/>
      <c r="O72" s="128"/>
      <c r="P72" s="128"/>
      <c r="Q72" s="125"/>
      <c r="R72" s="125"/>
      <c r="S72" s="125"/>
    </row>
    <row r="73" spans="2:24" ht="15" customHeight="1" x14ac:dyDescent="0.4">
      <c r="B73" s="128"/>
      <c r="C73" s="157"/>
      <c r="D73" s="157"/>
      <c r="E73" s="157"/>
      <c r="F73" s="157"/>
      <c r="G73" s="157"/>
      <c r="H73" s="125"/>
      <c r="I73" s="157"/>
      <c r="J73" s="128"/>
      <c r="K73" s="128"/>
      <c r="L73" s="128"/>
      <c r="M73" s="128"/>
      <c r="N73" s="128"/>
      <c r="O73" s="128"/>
      <c r="P73" s="128"/>
      <c r="Q73" s="125"/>
      <c r="R73" s="125"/>
      <c r="S73" s="125"/>
    </row>
    <row r="74" spans="2:24" ht="15" customHeight="1" x14ac:dyDescent="0.4">
      <c r="B74" s="128"/>
      <c r="C74" s="157"/>
      <c r="D74" s="157"/>
      <c r="E74" s="157"/>
      <c r="F74" s="157"/>
      <c r="G74" s="157"/>
      <c r="H74" s="125"/>
      <c r="I74" s="157"/>
      <c r="J74" s="128"/>
      <c r="K74" s="128"/>
      <c r="L74" s="128"/>
      <c r="M74" s="128"/>
      <c r="N74" s="128"/>
      <c r="O74" s="128"/>
      <c r="P74" s="128"/>
      <c r="Q74" s="125"/>
      <c r="R74" s="125"/>
      <c r="S74" s="125"/>
    </row>
    <row r="75" spans="2:24" ht="15" customHeight="1" x14ac:dyDescent="0.4">
      <c r="B75" s="125"/>
      <c r="C75" s="157"/>
      <c r="D75" s="157"/>
      <c r="E75" s="157"/>
      <c r="F75" s="157"/>
      <c r="G75" s="157"/>
      <c r="H75" s="125"/>
      <c r="I75" s="157"/>
      <c r="J75" s="128"/>
      <c r="K75" s="128"/>
      <c r="L75" s="128"/>
      <c r="M75" s="128"/>
      <c r="N75" s="128"/>
      <c r="O75" s="128"/>
      <c r="P75" s="128"/>
      <c r="Q75" s="125"/>
      <c r="R75" s="125"/>
      <c r="S75" s="125"/>
    </row>
    <row r="76" spans="2:24" ht="15" customHeight="1" x14ac:dyDescent="0.4">
      <c r="B76" s="128"/>
      <c r="C76" s="157"/>
      <c r="D76" s="157"/>
      <c r="E76" s="157"/>
      <c r="F76" s="157"/>
      <c r="G76" s="157"/>
      <c r="H76" s="125"/>
      <c r="I76" s="163"/>
      <c r="J76" s="128"/>
      <c r="K76" s="128"/>
      <c r="L76" s="128"/>
      <c r="M76" s="128"/>
      <c r="N76" s="128"/>
      <c r="O76" s="128"/>
      <c r="P76" s="128"/>
      <c r="Q76" s="164"/>
      <c r="R76" s="165"/>
      <c r="S76" s="125"/>
    </row>
    <row r="77" spans="2:24" ht="15" customHeight="1" x14ac:dyDescent="0.4">
      <c r="B77" s="128"/>
      <c r="C77" s="157"/>
      <c r="D77" s="157"/>
      <c r="E77" s="157"/>
      <c r="F77" s="157"/>
      <c r="G77" s="157"/>
      <c r="H77" s="125"/>
      <c r="I77" s="164"/>
      <c r="J77" s="128"/>
      <c r="K77" s="128"/>
      <c r="L77" s="128"/>
      <c r="M77" s="125"/>
      <c r="N77" s="125"/>
      <c r="O77" s="125"/>
      <c r="P77" s="125"/>
      <c r="Q77" s="168"/>
      <c r="R77" s="168"/>
      <c r="S77" s="125"/>
    </row>
    <row r="78" spans="2:24" ht="15" customHeight="1" x14ac:dyDescent="0.4">
      <c r="B78" s="128"/>
      <c r="C78" s="157"/>
      <c r="D78" s="157"/>
      <c r="E78" s="157"/>
      <c r="F78" s="157"/>
      <c r="G78" s="157"/>
      <c r="H78" s="125"/>
      <c r="I78" s="164"/>
      <c r="J78" s="125"/>
      <c r="K78" s="125"/>
      <c r="L78" s="125"/>
      <c r="M78" s="125"/>
      <c r="N78" s="125"/>
      <c r="O78" s="125"/>
      <c r="P78" s="125"/>
      <c r="Q78" s="170"/>
      <c r="R78" s="170"/>
      <c r="S78" s="169"/>
      <c r="T78" s="169"/>
      <c r="U78" s="169"/>
      <c r="V78" s="169"/>
      <c r="W78" s="169"/>
      <c r="X78" s="169"/>
    </row>
    <row r="79" spans="2:24" ht="15" customHeight="1" x14ac:dyDescent="0.4">
      <c r="B79" s="128"/>
      <c r="C79" s="157"/>
      <c r="D79" s="157"/>
      <c r="E79" s="157"/>
      <c r="F79" s="157"/>
      <c r="G79" s="157"/>
      <c r="I79" s="164"/>
      <c r="J79" s="125"/>
      <c r="K79" s="125"/>
      <c r="L79" s="125"/>
      <c r="M79" s="125"/>
      <c r="N79" s="125"/>
      <c r="O79" s="125"/>
      <c r="P79" s="125"/>
      <c r="Q79" s="171"/>
      <c r="R79" s="169"/>
      <c r="S79" s="169"/>
      <c r="T79" s="169"/>
      <c r="U79" s="169"/>
      <c r="V79" s="169"/>
      <c r="W79" s="169"/>
      <c r="X79" s="169"/>
    </row>
    <row r="80" spans="2:24" ht="15" customHeight="1" x14ac:dyDescent="0.4">
      <c r="B80" s="125"/>
      <c r="C80" s="157"/>
      <c r="D80" s="157"/>
      <c r="E80" s="157"/>
      <c r="F80" s="157"/>
      <c r="G80" s="157"/>
      <c r="I80" s="164"/>
      <c r="J80" s="125"/>
      <c r="K80" s="125"/>
      <c r="L80" s="125"/>
      <c r="M80" s="125"/>
      <c r="N80" s="125"/>
      <c r="O80" s="125"/>
      <c r="P80" s="125"/>
      <c r="Q80" s="171"/>
      <c r="R80" s="169"/>
      <c r="S80" s="169"/>
      <c r="T80" s="169"/>
      <c r="U80" s="169"/>
      <c r="V80" s="169"/>
      <c r="W80" s="169"/>
      <c r="X80" s="169"/>
    </row>
    <row r="81" spans="1:29" ht="15" customHeight="1" x14ac:dyDescent="0.4">
      <c r="B81" s="125"/>
      <c r="C81" s="157"/>
      <c r="D81" s="157"/>
      <c r="E81" s="157"/>
      <c r="F81" s="157"/>
      <c r="G81" s="157"/>
      <c r="I81" s="164"/>
      <c r="J81" s="125"/>
      <c r="K81" s="125"/>
      <c r="L81" s="125"/>
      <c r="M81" s="125"/>
      <c r="N81" s="125"/>
      <c r="O81" s="125"/>
      <c r="P81" s="125"/>
      <c r="Q81" s="171"/>
      <c r="R81" s="169"/>
      <c r="S81" s="169"/>
      <c r="T81" s="169"/>
      <c r="U81" s="169"/>
      <c r="V81" s="169"/>
      <c r="W81" s="169"/>
      <c r="X81" s="169"/>
    </row>
    <row r="82" spans="1:29" ht="15" customHeight="1" x14ac:dyDescent="0.4">
      <c r="B82" s="125"/>
      <c r="C82" s="157"/>
      <c r="D82" s="157"/>
      <c r="E82" s="157"/>
      <c r="F82" s="157"/>
      <c r="G82" s="157"/>
      <c r="I82" s="157"/>
      <c r="J82" s="125"/>
      <c r="K82" s="125"/>
      <c r="L82" s="125"/>
      <c r="M82" s="125"/>
      <c r="N82" s="125"/>
      <c r="O82" s="125"/>
      <c r="P82" s="125"/>
      <c r="Q82" s="171"/>
      <c r="R82" s="169"/>
      <c r="S82" s="169"/>
      <c r="T82" s="169"/>
      <c r="U82" s="169"/>
      <c r="V82" s="169"/>
      <c r="W82" s="169"/>
      <c r="X82" s="169"/>
    </row>
    <row r="83" spans="1:29" ht="15" customHeight="1" x14ac:dyDescent="0.4">
      <c r="B83" s="125"/>
      <c r="C83" s="157"/>
      <c r="D83" s="157"/>
      <c r="E83" s="157"/>
      <c r="F83" s="157"/>
      <c r="G83" s="157"/>
      <c r="I83" s="157"/>
      <c r="J83" s="157"/>
      <c r="K83" s="157"/>
      <c r="L83" s="125"/>
      <c r="M83" s="125"/>
      <c r="N83" s="125"/>
      <c r="O83" s="125"/>
      <c r="P83" s="125"/>
      <c r="Q83" s="394"/>
      <c r="R83" s="394"/>
      <c r="S83" s="394"/>
      <c r="T83" s="394"/>
      <c r="U83" s="394"/>
      <c r="V83" s="394"/>
      <c r="W83" s="394"/>
      <c r="X83" s="394"/>
    </row>
    <row r="84" spans="1:29" ht="15" customHeight="1" x14ac:dyDescent="0.4">
      <c r="A84" s="169"/>
      <c r="B84" s="125"/>
      <c r="C84" s="157"/>
      <c r="D84" s="157"/>
      <c r="E84" s="157"/>
      <c r="F84" s="157"/>
      <c r="G84" s="164"/>
      <c r="H84" s="157"/>
      <c r="I84" s="157"/>
      <c r="J84" s="157"/>
      <c r="K84" s="157"/>
      <c r="L84" s="125"/>
      <c r="M84" s="125"/>
      <c r="N84" s="125"/>
      <c r="O84" s="125"/>
      <c r="P84" s="125"/>
      <c r="Q84" s="394"/>
      <c r="R84" s="394"/>
      <c r="S84" s="394"/>
      <c r="T84" s="394"/>
      <c r="U84" s="394"/>
      <c r="V84" s="394" t="s">
        <v>345</v>
      </c>
      <c r="W84" s="394" t="s">
        <v>346</v>
      </c>
      <c r="X84" s="394" t="s">
        <v>347</v>
      </c>
    </row>
    <row r="85" spans="1:29" ht="15" customHeight="1" x14ac:dyDescent="0.4">
      <c r="A85" s="169"/>
      <c r="B85" s="125"/>
      <c r="C85" s="157"/>
      <c r="D85" s="157"/>
      <c r="E85" s="157"/>
      <c r="F85" s="157"/>
      <c r="G85" s="157"/>
      <c r="H85" s="159"/>
      <c r="I85" s="157"/>
      <c r="J85" s="157"/>
      <c r="K85" s="157"/>
      <c r="L85" s="125"/>
      <c r="M85" s="125"/>
      <c r="N85" s="125"/>
      <c r="O85" s="125"/>
      <c r="P85" s="125"/>
      <c r="Q85" s="394"/>
      <c r="R85" s="394"/>
      <c r="S85" s="394" t="s">
        <v>328</v>
      </c>
      <c r="T85" s="394"/>
      <c r="U85" s="394"/>
      <c r="V85" s="394">
        <f>I6</f>
        <v>58.267499999999998</v>
      </c>
      <c r="W85" s="394">
        <f>J6</f>
        <v>54.382999999999996</v>
      </c>
      <c r="X85" s="394">
        <f>K6</f>
        <v>112.65049999999999</v>
      </c>
    </row>
    <row r="86" spans="1:29" ht="15" customHeight="1" x14ac:dyDescent="0.4">
      <c r="A86" s="169"/>
      <c r="B86" s="125"/>
      <c r="C86" s="157"/>
      <c r="D86" s="157"/>
      <c r="E86" s="157"/>
      <c r="F86" s="157"/>
      <c r="G86" s="157"/>
      <c r="H86" s="161"/>
      <c r="I86" s="157"/>
      <c r="J86" s="157"/>
      <c r="K86" s="157"/>
      <c r="L86" s="125"/>
      <c r="M86" s="125"/>
      <c r="N86" s="125"/>
      <c r="O86" s="125"/>
      <c r="P86" s="125"/>
      <c r="Q86" s="394"/>
      <c r="R86" s="394"/>
      <c r="S86" s="394" t="s">
        <v>329</v>
      </c>
      <c r="T86" s="394"/>
      <c r="U86" s="394"/>
      <c r="V86" s="394">
        <f>I7</f>
        <v>85.459000000000003</v>
      </c>
      <c r="W86" s="394">
        <f>J7</f>
        <v>38.844999999999999</v>
      </c>
      <c r="X86" s="394">
        <f>K7</f>
        <v>124.304</v>
      </c>
    </row>
    <row r="87" spans="1:29" ht="15" customHeight="1" x14ac:dyDescent="0.4">
      <c r="A87" s="169"/>
      <c r="B87" s="125"/>
      <c r="C87" s="157"/>
      <c r="D87" s="157"/>
      <c r="E87" s="157"/>
      <c r="F87" s="157"/>
      <c r="G87" s="157"/>
      <c r="H87" s="144"/>
      <c r="I87" s="125"/>
      <c r="J87" s="125"/>
      <c r="K87" s="125"/>
      <c r="L87" s="125"/>
      <c r="M87" s="157"/>
      <c r="N87" s="157"/>
      <c r="O87" s="157"/>
      <c r="P87" s="157"/>
      <c r="Q87" s="394"/>
      <c r="R87" s="394"/>
      <c r="S87" s="394" t="s">
        <v>348</v>
      </c>
      <c r="T87" s="394"/>
      <c r="U87" s="394"/>
      <c r="V87" s="394">
        <f>I8</f>
        <v>93.227999999999994</v>
      </c>
      <c r="W87" s="394">
        <f>J8</f>
        <v>42.729499999999987</v>
      </c>
      <c r="X87" s="394">
        <f>K8</f>
        <v>135.95749999999998</v>
      </c>
    </row>
    <row r="88" spans="1:29" ht="15" customHeight="1" x14ac:dyDescent="0.4">
      <c r="A88" s="169"/>
      <c r="B88" s="125"/>
      <c r="C88" s="157"/>
      <c r="D88" s="157"/>
      <c r="E88" s="157"/>
      <c r="F88" s="157"/>
      <c r="G88" s="157"/>
      <c r="H88" s="144"/>
      <c r="I88" s="157"/>
      <c r="J88" s="157"/>
      <c r="K88" s="157"/>
      <c r="L88" s="157"/>
      <c r="M88" s="167"/>
      <c r="N88" s="167"/>
      <c r="O88" s="168"/>
      <c r="P88" s="168"/>
      <c r="Q88" s="394"/>
      <c r="R88" s="394"/>
      <c r="S88" s="394" t="s">
        <v>332</v>
      </c>
      <c r="T88" s="394"/>
      <c r="U88" s="394"/>
      <c r="V88" s="394">
        <f>I9</f>
        <v>100.997</v>
      </c>
      <c r="W88" s="394">
        <f>J9</f>
        <v>42.729500000000016</v>
      </c>
      <c r="X88" s="394">
        <f>K9</f>
        <v>143.72650000000002</v>
      </c>
    </row>
    <row r="89" spans="1:29" ht="15" customHeight="1" x14ac:dyDescent="0.4">
      <c r="A89" s="394"/>
      <c r="B89" s="125"/>
      <c r="C89" s="125"/>
      <c r="D89" s="125"/>
      <c r="E89" s="125"/>
      <c r="F89" s="125"/>
      <c r="G89" s="125"/>
      <c r="H89" s="144"/>
      <c r="I89" s="168"/>
      <c r="J89" s="168"/>
      <c r="K89" s="157"/>
      <c r="L89" s="166"/>
      <c r="M89" s="170"/>
      <c r="N89" s="170"/>
      <c r="O89" s="170"/>
      <c r="P89" s="170"/>
      <c r="Q89" s="394"/>
      <c r="R89" s="394"/>
      <c r="S89" s="394" t="s">
        <v>333</v>
      </c>
      <c r="T89" s="394"/>
      <c r="U89" s="394"/>
      <c r="V89" s="394">
        <f>I10</f>
        <v>89.343499999999992</v>
      </c>
      <c r="W89" s="394">
        <f>J10</f>
        <v>42.729499999999987</v>
      </c>
      <c r="X89" s="394">
        <f>K10</f>
        <v>132.07299999999998</v>
      </c>
      <c r="Y89" s="169"/>
      <c r="Z89" s="169"/>
      <c r="AA89" s="169"/>
      <c r="AB89" s="169"/>
      <c r="AC89" s="169"/>
    </row>
    <row r="90" spans="1:29" ht="15" customHeight="1" x14ac:dyDescent="0.4">
      <c r="A90" s="394"/>
      <c r="B90" s="125"/>
      <c r="C90" s="157"/>
      <c r="D90" s="157"/>
      <c r="E90" s="157"/>
      <c r="F90" s="157"/>
      <c r="G90" s="157"/>
      <c r="H90" s="162"/>
      <c r="I90" s="170"/>
      <c r="J90" s="170"/>
      <c r="K90" s="169"/>
      <c r="L90" s="170"/>
      <c r="M90" s="170"/>
      <c r="N90" s="170"/>
      <c r="O90" s="170"/>
      <c r="P90" s="170"/>
      <c r="Q90" s="394"/>
      <c r="R90" s="394"/>
      <c r="S90" s="394"/>
      <c r="T90" s="394"/>
      <c r="U90" s="394"/>
      <c r="V90" s="394"/>
      <c r="W90" s="394"/>
      <c r="X90" s="394"/>
      <c r="Y90" s="169"/>
      <c r="Z90" s="169"/>
      <c r="AA90" s="169"/>
      <c r="AB90" s="169"/>
      <c r="AC90" s="169"/>
    </row>
    <row r="91" spans="1:29" ht="15" customHeight="1" x14ac:dyDescent="0.4">
      <c r="A91" s="394"/>
      <c r="B91" s="125"/>
      <c r="C91" s="166"/>
      <c r="D91" s="167"/>
      <c r="E91" s="167"/>
      <c r="F91" s="168"/>
      <c r="G91" s="168"/>
      <c r="H91" s="157"/>
      <c r="I91" s="169"/>
      <c r="J91" s="169"/>
      <c r="K91" s="169"/>
      <c r="L91" s="170"/>
      <c r="M91" s="170"/>
      <c r="N91" s="170"/>
      <c r="O91" s="170"/>
      <c r="P91" s="170"/>
      <c r="Q91" s="394"/>
      <c r="R91" s="394"/>
      <c r="S91" s="394"/>
      <c r="T91" s="394"/>
      <c r="U91" s="394"/>
      <c r="V91" s="394"/>
      <c r="W91" s="394"/>
      <c r="X91" s="394"/>
      <c r="Y91" s="169"/>
      <c r="Z91" s="169"/>
      <c r="AA91" s="169"/>
      <c r="AB91" s="169"/>
      <c r="AC91" s="169"/>
    </row>
    <row r="92" spans="1:29" ht="15" customHeight="1" x14ac:dyDescent="0.4">
      <c r="A92" s="394"/>
      <c r="B92" s="169"/>
      <c r="C92" s="170"/>
      <c r="D92" s="170"/>
      <c r="E92" s="170"/>
      <c r="F92" s="170"/>
      <c r="G92" s="170"/>
      <c r="H92" s="157"/>
      <c r="I92" s="169"/>
      <c r="J92" s="169"/>
      <c r="K92" s="169"/>
      <c r="L92" s="170"/>
      <c r="M92" s="170"/>
      <c r="N92" s="170"/>
      <c r="O92" s="170"/>
      <c r="P92" s="170"/>
      <c r="Q92" s="394">
        <f>K104</f>
        <v>2022</v>
      </c>
      <c r="R92" s="394">
        <f>L104</f>
        <v>2023</v>
      </c>
      <c r="S92" s="394">
        <f>M103</f>
        <v>2024</v>
      </c>
      <c r="T92" s="394" t="str">
        <f>N103</f>
        <v>2025 (LTM)</v>
      </c>
      <c r="U92" s="394"/>
      <c r="V92" s="394"/>
      <c r="W92" s="394"/>
      <c r="X92" s="394"/>
      <c r="Y92" s="169"/>
      <c r="Z92" s="169"/>
      <c r="AA92" s="169"/>
      <c r="AB92" s="169"/>
      <c r="AC92" s="169"/>
    </row>
    <row r="93" spans="1:29" ht="15" customHeight="1" x14ac:dyDescent="0.4">
      <c r="A93" s="394"/>
      <c r="B93" s="169"/>
      <c r="C93" s="169"/>
      <c r="D93" s="169"/>
      <c r="E93" s="169"/>
      <c r="F93" s="169"/>
      <c r="G93" s="169"/>
      <c r="H93" s="157"/>
      <c r="I93" s="169"/>
      <c r="J93" s="169"/>
      <c r="K93" s="169"/>
      <c r="L93" s="170"/>
      <c r="M93" s="170"/>
      <c r="N93" s="170"/>
      <c r="O93" s="170"/>
      <c r="P93" s="170"/>
      <c r="Q93" s="394">
        <f>IF(INPUT!E9="",NA(),INPUT!E30/1000)</f>
        <v>74.19</v>
      </c>
      <c r="R93" s="394">
        <f>IF(INPUT!F9="",NA(),INPUT!F30/1000)</f>
        <v>53.603999999999999</v>
      </c>
      <c r="S93" s="394">
        <f>IF(INPUT!G9="",NA(),INPUT!G30/1000)</f>
        <v>45.841999999999999</v>
      </c>
      <c r="T93" s="394">
        <f>IF(INPUT!H9="",NA(),INPUT!H30/1000)</f>
        <v>39.601999999999997</v>
      </c>
      <c r="U93" s="394"/>
      <c r="V93" s="394"/>
      <c r="W93" s="394"/>
      <c r="X93" s="394"/>
      <c r="Y93" s="169"/>
      <c r="Z93" s="169"/>
      <c r="AA93" s="169"/>
      <c r="AB93" s="169"/>
      <c r="AC93" s="169"/>
    </row>
    <row r="94" spans="1:29" s="395" customFormat="1" ht="15" customHeight="1" x14ac:dyDescent="0.4">
      <c r="A94" s="394"/>
      <c r="B94" s="169"/>
      <c r="C94" s="169"/>
      <c r="D94" s="169"/>
      <c r="E94" s="169"/>
      <c r="F94" s="169"/>
      <c r="G94" s="169"/>
      <c r="H94" s="157"/>
      <c r="I94" s="169"/>
      <c r="J94" s="169"/>
      <c r="K94" s="169"/>
      <c r="L94" s="170"/>
      <c r="M94" s="394"/>
      <c r="N94" s="394"/>
      <c r="O94" s="394"/>
      <c r="P94" s="394"/>
      <c r="Q94" s="394">
        <f>IF(INPUT!E9="",NA(),INPUT!E75/1000)</f>
        <v>54.572000000000003</v>
      </c>
      <c r="R94" s="394">
        <f>IF(INPUT!F9="",NA(),INPUT!F75/1000)</f>
        <v>30.61</v>
      </c>
      <c r="S94" s="394">
        <f>IF(INPUT!G9="",NA(),INPUT!G75/1000)</f>
        <v>38.856000000000002</v>
      </c>
      <c r="T94" s="394">
        <f>IF(INPUT!H9="",NA(),INPUT!H75/1000)</f>
        <v>27.219000000000001</v>
      </c>
      <c r="U94" s="394"/>
      <c r="V94" s="394"/>
      <c r="W94" s="394"/>
      <c r="X94" s="394"/>
      <c r="Y94" s="394"/>
      <c r="Z94" s="394"/>
      <c r="AA94" s="394"/>
      <c r="AB94" s="394"/>
      <c r="AC94" s="394"/>
    </row>
    <row r="95" spans="1:29" s="395" customFormat="1" ht="15" customHeight="1" x14ac:dyDescent="0.4">
      <c r="A95" s="394"/>
      <c r="B95" s="169"/>
      <c r="C95" s="169"/>
      <c r="D95" s="169"/>
      <c r="E95" s="169"/>
      <c r="F95" s="169"/>
      <c r="G95" s="169"/>
      <c r="H95" s="157"/>
      <c r="I95" s="394"/>
      <c r="J95" s="394"/>
      <c r="K95" s="394"/>
      <c r="L95" s="394"/>
      <c r="M95" s="394"/>
      <c r="N95" s="394"/>
      <c r="O95" s="394"/>
      <c r="P95" s="394"/>
      <c r="Q95" s="394">
        <f>IF(INPUT!E9="",NA(),INPUT!E26/1000)</f>
        <v>35.746000000000002</v>
      </c>
      <c r="R95" s="399"/>
      <c r="S95" s="399">
        <v>2022</v>
      </c>
      <c r="T95" s="399">
        <v>2023</v>
      </c>
      <c r="U95" s="399">
        <v>2024</v>
      </c>
      <c r="V95" s="399" t="s">
        <v>4</v>
      </c>
      <c r="W95" s="394"/>
      <c r="X95" s="394"/>
      <c r="Y95" s="394"/>
      <c r="Z95" s="394"/>
      <c r="AA95" s="394"/>
      <c r="AB95" s="394"/>
      <c r="AC95" s="394"/>
    </row>
    <row r="96" spans="1:29" s="395" customFormat="1" ht="15" customHeight="1" x14ac:dyDescent="0.4">
      <c r="A96" s="394"/>
      <c r="B96" s="169"/>
      <c r="C96" s="169"/>
      <c r="D96" s="169"/>
      <c r="E96" s="169"/>
      <c r="F96" s="169"/>
      <c r="G96" s="169"/>
      <c r="H96" s="157"/>
      <c r="I96" s="394"/>
      <c r="J96" s="394"/>
      <c r="K96" s="394"/>
      <c r="L96" s="394"/>
      <c r="M96" s="394"/>
      <c r="N96" s="394"/>
      <c r="O96" s="394"/>
      <c r="P96" s="394"/>
      <c r="Q96" s="397"/>
      <c r="R96" s="399" t="s">
        <v>21</v>
      </c>
      <c r="S96" s="399">
        <f>Q17</f>
        <v>74190</v>
      </c>
      <c r="T96" s="399">
        <f>R17</f>
        <v>53604</v>
      </c>
      <c r="U96" s="399">
        <f>S17</f>
        <v>45842</v>
      </c>
      <c r="V96" s="399">
        <f>T17</f>
        <v>39602</v>
      </c>
      <c r="Y96" s="394"/>
      <c r="Z96" s="394"/>
      <c r="AA96" s="394"/>
      <c r="AB96" s="394"/>
      <c r="AC96" s="394"/>
    </row>
    <row r="97" spans="1:29" s="395" customFormat="1" ht="15" customHeight="1" x14ac:dyDescent="0.4">
      <c r="A97" s="394"/>
      <c r="B97" s="394"/>
      <c r="C97" s="394"/>
      <c r="D97" s="394"/>
      <c r="E97" s="394"/>
      <c r="F97" s="394"/>
      <c r="G97" s="394"/>
      <c r="H97" s="157"/>
      <c r="I97" s="394"/>
      <c r="J97" s="394"/>
      <c r="K97" s="394"/>
      <c r="L97" s="394"/>
      <c r="M97" s="394"/>
      <c r="N97" s="394"/>
      <c r="O97" s="394"/>
      <c r="P97" s="394"/>
      <c r="R97" s="399" t="s">
        <v>349</v>
      </c>
      <c r="S97" s="399">
        <f>Q18</f>
        <v>54572</v>
      </c>
      <c r="T97" s="399">
        <f>R18</f>
        <v>30610</v>
      </c>
      <c r="U97" s="399">
        <f>S18</f>
        <v>38856</v>
      </c>
      <c r="V97" s="399">
        <f>T18</f>
        <v>27219</v>
      </c>
      <c r="Y97" s="394"/>
      <c r="Z97" s="394"/>
      <c r="AA97" s="394"/>
      <c r="AB97" s="394"/>
      <c r="AC97" s="394"/>
    </row>
    <row r="98" spans="1:29" s="395" customFormat="1" ht="15" customHeight="1" x14ac:dyDescent="0.4">
      <c r="A98" s="394"/>
      <c r="B98" s="394"/>
      <c r="C98" s="394"/>
      <c r="D98" s="394"/>
      <c r="E98" s="394"/>
      <c r="F98" s="394"/>
      <c r="G98" s="394"/>
      <c r="H98" s="157"/>
      <c r="I98" s="394"/>
      <c r="J98" s="394"/>
      <c r="K98" s="394"/>
      <c r="L98" s="394"/>
      <c r="M98" s="394"/>
      <c r="N98" s="394"/>
      <c r="O98" s="394"/>
      <c r="P98" s="394"/>
      <c r="Q98" s="126"/>
      <c r="R98" s="399" t="s">
        <v>19</v>
      </c>
      <c r="S98" s="399">
        <f>Q19</f>
        <v>35746</v>
      </c>
      <c r="T98" s="399">
        <f>R19</f>
        <v>24311</v>
      </c>
      <c r="U98" s="399">
        <f>S19</f>
        <v>19294</v>
      </c>
      <c r="V98" s="399">
        <f>T19</f>
        <v>14932</v>
      </c>
      <c r="W98" s="126"/>
      <c r="X98" s="126"/>
      <c r="Y98" s="394"/>
      <c r="Z98" s="394"/>
      <c r="AA98" s="394"/>
      <c r="AB98" s="394"/>
      <c r="AC98" s="394"/>
    </row>
    <row r="99" spans="1:29" s="395" customFormat="1" ht="15" customHeight="1" x14ac:dyDescent="0.4">
      <c r="A99" s="394"/>
      <c r="B99" s="394"/>
      <c r="C99" s="394"/>
      <c r="D99" s="394"/>
      <c r="E99" s="394"/>
      <c r="F99" s="394"/>
      <c r="G99" s="394"/>
      <c r="H99" s="157"/>
      <c r="I99" s="394"/>
      <c r="J99" s="394"/>
      <c r="K99" s="394"/>
      <c r="L99" s="394"/>
      <c r="M99" s="394"/>
      <c r="N99" s="394"/>
      <c r="O99" s="394"/>
      <c r="P99" s="394"/>
      <c r="Q99" s="126"/>
      <c r="R99" s="126"/>
      <c r="S99" s="126"/>
      <c r="T99" s="126"/>
      <c r="U99" s="126"/>
      <c r="V99" s="126"/>
      <c r="W99" s="126"/>
      <c r="X99" s="126"/>
      <c r="Y99" s="394"/>
      <c r="Z99" s="394"/>
      <c r="AA99" s="394"/>
      <c r="AB99" s="394"/>
      <c r="AC99" s="394"/>
    </row>
    <row r="100" spans="1:29" s="395" customFormat="1" ht="15" customHeight="1" x14ac:dyDescent="0.4">
      <c r="A100" s="394"/>
      <c r="B100" s="394"/>
      <c r="C100" s="394"/>
      <c r="D100" s="394"/>
      <c r="E100" s="394"/>
      <c r="F100" s="394"/>
      <c r="G100" s="394"/>
      <c r="H100" s="157"/>
      <c r="I100" s="394"/>
      <c r="J100" s="394"/>
      <c r="K100" s="394"/>
      <c r="L100" s="394"/>
      <c r="M100" s="394"/>
      <c r="N100" s="394"/>
      <c r="O100" s="394"/>
      <c r="P100" s="394"/>
      <c r="Q100" s="126"/>
      <c r="R100" s="126"/>
      <c r="S100" s="126"/>
      <c r="T100" s="126"/>
      <c r="U100" s="126"/>
      <c r="V100" s="126"/>
      <c r="W100" s="126"/>
      <c r="X100" s="126"/>
      <c r="Y100" s="394"/>
      <c r="Z100" s="394"/>
      <c r="AA100" s="394"/>
      <c r="AB100" s="394"/>
      <c r="AC100" s="394"/>
    </row>
    <row r="101" spans="1:29" s="395" customFormat="1" ht="15" customHeight="1" x14ac:dyDescent="0.4">
      <c r="A101" s="394" t="s">
        <v>7</v>
      </c>
      <c r="B101" s="394"/>
      <c r="C101" s="394"/>
      <c r="D101" s="394"/>
      <c r="E101" s="394"/>
      <c r="F101" s="394"/>
      <c r="G101" s="394"/>
      <c r="H101" s="157"/>
      <c r="I101" s="394"/>
      <c r="J101" s="394"/>
      <c r="K101" s="394"/>
      <c r="L101" s="394"/>
      <c r="M101" s="394"/>
      <c r="N101" s="394"/>
      <c r="O101" s="394"/>
      <c r="P101" s="394"/>
      <c r="Q101" s="126"/>
      <c r="R101" s="126"/>
      <c r="S101" s="126"/>
      <c r="T101" s="126"/>
      <c r="U101" s="126"/>
      <c r="V101" s="126"/>
      <c r="W101" s="126"/>
      <c r="X101" s="126"/>
      <c r="Y101" s="394"/>
      <c r="Z101" s="394"/>
      <c r="AA101" s="394"/>
      <c r="AB101" s="394"/>
      <c r="AC101" s="394"/>
    </row>
    <row r="102" spans="1:29" s="395" customFormat="1" ht="15" customHeight="1" x14ac:dyDescent="0.4">
      <c r="B102" s="394"/>
      <c r="C102" s="394"/>
      <c r="D102" s="394"/>
      <c r="E102" s="394"/>
      <c r="F102" s="394"/>
      <c r="G102" s="394"/>
      <c r="H102" s="157"/>
      <c r="I102" s="394"/>
      <c r="J102" s="394"/>
      <c r="K102" s="394"/>
      <c r="L102" s="394"/>
      <c r="M102" s="394"/>
      <c r="N102" s="394"/>
      <c r="O102" s="394"/>
      <c r="P102" s="394"/>
      <c r="Q102" s="126"/>
      <c r="R102" s="126"/>
      <c r="S102" s="126"/>
      <c r="T102" s="126"/>
      <c r="U102" s="126"/>
      <c r="V102" s="126"/>
      <c r="W102" s="126"/>
      <c r="X102" s="126"/>
      <c r="Y102" s="394"/>
      <c r="Z102" s="394"/>
      <c r="AA102" s="394"/>
      <c r="AB102" s="394"/>
      <c r="AC102" s="394"/>
    </row>
    <row r="103" spans="1:29" s="395" customFormat="1" ht="15" customHeight="1" x14ac:dyDescent="0.35">
      <c r="B103" s="394"/>
      <c r="C103" s="394"/>
      <c r="D103" s="394"/>
      <c r="E103" s="394"/>
      <c r="F103" s="394"/>
      <c r="G103" s="394"/>
      <c r="H103" s="125"/>
      <c r="I103" s="394"/>
      <c r="J103" s="394"/>
      <c r="K103" s="394"/>
      <c r="L103" s="394"/>
      <c r="M103" s="394">
        <f>IF(INPUT!G9="",NA(),'DASHBOARD 2'!R5)</f>
        <v>2024</v>
      </c>
      <c r="N103" s="394" t="str">
        <f>IF(INPUT!H9="",NA(),'DASHBOARD 2'!S5)</f>
        <v>2025 (LTM)</v>
      </c>
      <c r="O103" s="394"/>
      <c r="P103" s="394" t="str">
        <f>J104</f>
        <v/>
      </c>
      <c r="Q103" s="126"/>
      <c r="R103" s="126"/>
      <c r="S103" s="126"/>
      <c r="T103" s="126"/>
      <c r="U103" s="126"/>
      <c r="V103" s="126"/>
      <c r="W103" s="126"/>
      <c r="X103" s="126"/>
      <c r="Y103" s="394"/>
      <c r="Z103" s="394"/>
      <c r="AA103" s="394"/>
      <c r="AB103" s="394"/>
      <c r="AC103" s="394"/>
    </row>
    <row r="104" spans="1:29" s="395" customFormat="1" ht="15" customHeight="1" x14ac:dyDescent="0.4">
      <c r="A104" s="126"/>
      <c r="B104" s="394"/>
      <c r="C104" s="394"/>
      <c r="D104" s="394"/>
      <c r="E104" s="394"/>
      <c r="F104" s="394"/>
      <c r="G104" s="394"/>
      <c r="H104" s="157"/>
      <c r="I104" s="394" t="s">
        <v>101</v>
      </c>
      <c r="J104" s="394" t="str">
        <f>IF(INPUT!D9="","",INPUT!D5)</f>
        <v/>
      </c>
      <c r="K104" s="394">
        <f>IF(INPUT!E9="",NA(),'DASHBOARD 2'!P5)</f>
        <v>2022</v>
      </c>
      <c r="L104" s="394">
        <f>IF(INPUT!F9="",NA(),'DASHBOARD 2'!Q5)</f>
        <v>2023</v>
      </c>
      <c r="M104" s="394">
        <f>IF(INPUT!G9="",NA(),INPUT!G30)</f>
        <v>45842</v>
      </c>
      <c r="N104" s="394">
        <f>IF(INPUT!H9="",NA(),INPUT!H30)</f>
        <v>39602</v>
      </c>
      <c r="O104" s="394"/>
      <c r="P104" s="394" t="e">
        <f>IF(INPUT!D9="",NA(),INPUT!D30/1000)</f>
        <v>#N/A</v>
      </c>
      <c r="Q104" s="126"/>
      <c r="R104" s="126"/>
      <c r="S104" s="126"/>
      <c r="T104" s="126"/>
      <c r="U104" s="126"/>
      <c r="V104" s="126"/>
      <c r="W104" s="126"/>
      <c r="X104" s="126"/>
      <c r="Y104" s="394"/>
      <c r="Z104" s="394"/>
      <c r="AA104" s="394"/>
      <c r="AB104" s="394"/>
      <c r="AC104" s="394"/>
    </row>
    <row r="105" spans="1:29" s="395" customFormat="1" ht="15" customHeight="1" x14ac:dyDescent="0.35">
      <c r="A105" s="126"/>
      <c r="B105" s="394"/>
      <c r="C105" s="394"/>
      <c r="D105" s="394"/>
      <c r="E105" s="394"/>
      <c r="F105" s="394"/>
      <c r="G105" s="394"/>
      <c r="H105" s="168"/>
      <c r="I105" s="394" t="s">
        <v>138</v>
      </c>
      <c r="J105" s="394" t="str">
        <f>IF(INPUT!D9="","",INPUT!D30)</f>
        <v/>
      </c>
      <c r="K105" s="394">
        <f>IF(INPUT!E9="",NA(),INPUT!E30)</f>
        <v>74190</v>
      </c>
      <c r="L105" s="394">
        <f>IF(INPUT!F9="",NA(),INPUT!F30)</f>
        <v>53604</v>
      </c>
      <c r="M105" s="394">
        <f>IF(INPUT!G9="",NA(),INPUT!G75)</f>
        <v>38856</v>
      </c>
      <c r="N105" s="394">
        <f>IF(INPUT!H9="",NA(),INPUT!H75)</f>
        <v>27219</v>
      </c>
      <c r="O105" s="394"/>
      <c r="P105" s="394" t="e">
        <f>IF(INPUT!D9="",NA(),INPUT!D75/1000)</f>
        <v>#N/A</v>
      </c>
      <c r="Q105" s="126"/>
      <c r="R105" s="126"/>
      <c r="S105" s="126"/>
      <c r="T105" s="126"/>
      <c r="U105" s="126"/>
      <c r="V105" s="126"/>
      <c r="W105" s="126"/>
      <c r="X105" s="126"/>
      <c r="Y105" s="394"/>
      <c r="Z105" s="394"/>
      <c r="AA105" s="394"/>
      <c r="AB105" s="394"/>
      <c r="AC105" s="394"/>
    </row>
    <row r="106" spans="1:29" s="395" customFormat="1" ht="15" customHeight="1" x14ac:dyDescent="0.4">
      <c r="A106" s="126"/>
      <c r="B106" s="394" t="s">
        <v>101</v>
      </c>
      <c r="C106" s="394" t="str">
        <f>IF(INPUT!D9="","",INPUT!D5)</f>
        <v/>
      </c>
      <c r="D106" s="394">
        <f>IF(INPUT!E9="",NA(),'DASHBOARD 2'!P5)</f>
        <v>2022</v>
      </c>
      <c r="E106" s="394">
        <f>IF(INPUT!F9="",NA(),'DASHBOARD 2'!Q5)</f>
        <v>2023</v>
      </c>
      <c r="F106" s="394">
        <f>IF(INPUT!G9="",NA(),'DASHBOARD 2'!R5)</f>
        <v>2024</v>
      </c>
      <c r="G106" s="394" t="str">
        <f>IF(INPUT!H9="",NA(),'DASHBOARD 2'!S5)</f>
        <v>2025 (LTM)</v>
      </c>
      <c r="H106" s="170"/>
      <c r="I106" s="394" t="s">
        <v>350</v>
      </c>
      <c r="J106" s="394" t="str">
        <f>IF(INPUT!D9="","",INPUT!D75)</f>
        <v/>
      </c>
      <c r="K106" s="394">
        <f>IF(INPUT!E9="",NA(),INPUT!E75)</f>
        <v>54572</v>
      </c>
      <c r="L106" s="394">
        <f>IF(INPUT!F9="",NA(),INPUT!F75)</f>
        <v>30610</v>
      </c>
      <c r="M106" s="394">
        <f>IF(INPUT!G9="",NA(),INPUT!G26)</f>
        <v>19294</v>
      </c>
      <c r="N106" s="394">
        <f>IF(INPUT!H9="",NA(),INPUT!H26)</f>
        <v>14932</v>
      </c>
      <c r="O106" s="394"/>
      <c r="P106" s="394" t="e">
        <f>IF(INPUT!D9="",NA(),INPUT!D26/1000)</f>
        <v>#N/A</v>
      </c>
      <c r="Q106" s="126"/>
      <c r="R106" s="126"/>
      <c r="S106" s="126"/>
      <c r="T106" s="126"/>
      <c r="U106" s="126"/>
      <c r="V106" s="126"/>
      <c r="W106" s="126"/>
      <c r="X106" s="126"/>
      <c r="Y106" s="394"/>
      <c r="Z106" s="394"/>
      <c r="AA106" s="394"/>
      <c r="AB106" s="394"/>
      <c r="AC106" s="394"/>
    </row>
    <row r="107" spans="1:29" s="395" customFormat="1" ht="15" customHeight="1" x14ac:dyDescent="0.35">
      <c r="A107" s="126"/>
      <c r="B107" s="394" t="s">
        <v>337</v>
      </c>
      <c r="C107" s="394" t="str">
        <f>""</f>
        <v/>
      </c>
      <c r="D107" s="394" t="str">
        <f>IF(INPUT!E9="",NA(),'DASHBOARD 2'!P7)</f>
        <v/>
      </c>
      <c r="E107" s="394">
        <f>IF(INPUT!F9="",NA(),'DASHBOARD 2'!Q7)</f>
        <v>-0.16848961300368392</v>
      </c>
      <c r="F107" s="394">
        <f>IF(INPUT!G9="",NA(),'DASHBOARD 2'!R7)</f>
        <v>-0.10657927790084265</v>
      </c>
      <c r="G107" s="394">
        <f>IF(INPUT!H9="",NA(),'DASHBOARD 2'!S7)</f>
        <v>-6.7818618680026588E-2</v>
      </c>
      <c r="H107" s="169"/>
      <c r="I107" s="394" t="s">
        <v>139</v>
      </c>
      <c r="J107" s="394" t="str">
        <f>IF(INPUT!D9="","",INPUT!D26)</f>
        <v/>
      </c>
      <c r="K107" s="394">
        <f>IF(INPUT!E9="",NA(),INPUT!E26)</f>
        <v>35746</v>
      </c>
      <c r="L107" s="394">
        <f>IF(INPUT!F9="",NA(),INPUT!F26)</f>
        <v>24311</v>
      </c>
      <c r="M107" s="397"/>
      <c r="N107" s="397"/>
      <c r="O107" s="397"/>
      <c r="P107" s="397"/>
      <c r="Q107" s="126"/>
      <c r="R107" s="126"/>
      <c r="S107" s="126"/>
      <c r="T107" s="126"/>
      <c r="U107" s="126"/>
      <c r="V107" s="126"/>
      <c r="W107" s="126"/>
      <c r="X107" s="126"/>
    </row>
    <row r="108" spans="1:29" s="395" customFormat="1" ht="15" customHeight="1" x14ac:dyDescent="0.4">
      <c r="A108" s="126"/>
      <c r="B108" s="394" t="s">
        <v>343</v>
      </c>
      <c r="C108" s="396" t="str">
        <f>IF(INPUT!D9="","",INPUT!D9)</f>
        <v/>
      </c>
      <c r="D108" s="396">
        <f>IF(INPUT!E9="",NA(),INPUT!E9)</f>
        <v>263310</v>
      </c>
      <c r="E108" s="396">
        <f>IF(INPUT!F9="",NA(),INPUT!F9)</f>
        <v>218945</v>
      </c>
      <c r="F108" s="396">
        <f>IF(INPUT!G9="",NA(),INPUT!G9)</f>
        <v>195610</v>
      </c>
      <c r="G108" s="396">
        <f>IF(INPUT!H9="",NA(),INPUT!H9)</f>
        <v>182344</v>
      </c>
      <c r="H108" s="169"/>
      <c r="I108" s="397"/>
      <c r="J108" s="397"/>
      <c r="K108" s="397"/>
      <c r="L108" s="397"/>
      <c r="O108" s="398"/>
      <c r="Q108" s="126"/>
      <c r="R108" s="126"/>
      <c r="S108" s="126"/>
      <c r="T108" s="126"/>
      <c r="U108" s="126"/>
      <c r="V108" s="126"/>
      <c r="W108" s="126"/>
      <c r="X108" s="126"/>
    </row>
    <row r="109" spans="1:29" ht="15" customHeight="1" x14ac:dyDescent="0.35">
      <c r="B109" s="394"/>
      <c r="C109" s="394"/>
      <c r="D109" s="394"/>
      <c r="E109" s="394"/>
      <c r="F109" s="394"/>
      <c r="G109" s="394"/>
      <c r="H109" s="169"/>
      <c r="I109" s="395"/>
      <c r="J109" s="395"/>
      <c r="K109" s="395"/>
      <c r="L109" s="395"/>
    </row>
    <row r="110" spans="1:29" ht="15" customHeight="1" x14ac:dyDescent="0.35">
      <c r="B110" s="397"/>
      <c r="C110" s="397"/>
      <c r="D110" s="397"/>
      <c r="E110" s="397"/>
      <c r="F110" s="397"/>
      <c r="G110" s="397"/>
      <c r="H110" s="169"/>
    </row>
    <row r="111" spans="1:29" ht="15" customHeight="1" x14ac:dyDescent="0.35">
      <c r="B111" s="395"/>
      <c r="C111" s="395"/>
      <c r="D111" s="395"/>
      <c r="E111" s="395"/>
      <c r="F111" s="395"/>
      <c r="G111" s="395"/>
      <c r="H111" s="394"/>
    </row>
    <row r="112" spans="1:29" ht="15" customHeight="1" x14ac:dyDescent="0.35">
      <c r="H112" s="394"/>
    </row>
    <row r="113" spans="8:8" ht="15" customHeight="1" x14ac:dyDescent="0.35">
      <c r="H113" s="394"/>
    </row>
    <row r="114" spans="8:8" ht="15" customHeight="1" x14ac:dyDescent="0.35">
      <c r="H114" s="394"/>
    </row>
    <row r="115" spans="8:8" ht="15" customHeight="1" x14ac:dyDescent="0.35">
      <c r="H115" s="394"/>
    </row>
    <row r="116" spans="8:8" ht="15" customHeight="1" x14ac:dyDescent="0.35">
      <c r="H116" s="394"/>
    </row>
    <row r="117" spans="8:8" ht="15" customHeight="1" x14ac:dyDescent="0.35">
      <c r="H117" s="394"/>
    </row>
    <row r="118" spans="8:8" ht="15" customHeight="1" x14ac:dyDescent="0.35">
      <c r="H118" s="394"/>
    </row>
    <row r="119" spans="8:8" ht="15" customHeight="1" x14ac:dyDescent="0.35">
      <c r="H119" s="394"/>
    </row>
    <row r="120" spans="8:8" ht="15" customHeight="1" x14ac:dyDescent="0.35">
      <c r="H120" s="394"/>
    </row>
    <row r="121" spans="8:8" ht="15" customHeight="1" x14ac:dyDescent="0.35">
      <c r="H121" s="394"/>
    </row>
    <row r="122" spans="8:8" ht="15" customHeight="1" x14ac:dyDescent="0.4">
      <c r="H122" s="396"/>
    </row>
    <row r="123" spans="8:8" ht="15" customHeight="1" x14ac:dyDescent="0.35">
      <c r="H123" s="394"/>
    </row>
    <row r="124" spans="8:8" ht="15" customHeight="1" x14ac:dyDescent="0.35">
      <c r="H124" s="397"/>
    </row>
    <row r="125" spans="8:8" ht="15" customHeight="1" x14ac:dyDescent="0.35">
      <c r="H125" s="395"/>
    </row>
  </sheetData>
  <pageMargins left="5.5555555555555558E-3" right="5.5555555555555558E-3" top="5.5555555555555558E-3" bottom="5.5555555555555558E-3" header="0.3" footer="0.3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>
      <selection activeCell="E32" sqref="E32"/>
    </sheetView>
  </sheetViews>
  <sheetFormatPr baseColWidth="10" defaultRowHeight="14.4" x14ac:dyDescent="0.3"/>
  <cols>
    <col min="1" max="1" width="55.33203125" bestFit="1" customWidth="1"/>
    <col min="2" max="2" width="6.6640625" bestFit="1" customWidth="1"/>
    <col min="3" max="3" width="14.109375" bestFit="1" customWidth="1"/>
    <col min="4" max="4" width="12.6640625" bestFit="1" customWidth="1"/>
  </cols>
  <sheetData>
    <row r="1" spans="1:3" x14ac:dyDescent="0.3">
      <c r="A1" s="154" t="s">
        <v>351</v>
      </c>
      <c r="B1" s="154"/>
      <c r="C1" s="154"/>
    </row>
    <row r="2" spans="1:3" x14ac:dyDescent="0.3">
      <c r="A2" s="155" t="s">
        <v>352</v>
      </c>
      <c r="B2" s="155" t="s">
        <v>353</v>
      </c>
      <c r="C2" s="155" t="s">
        <v>354</v>
      </c>
    </row>
    <row r="3" spans="1:3" x14ac:dyDescent="0.3">
      <c r="A3" s="227">
        <v>1</v>
      </c>
      <c r="B3" t="s">
        <v>355</v>
      </c>
      <c r="C3" s="284">
        <v>48.75</v>
      </c>
    </row>
    <row r="4" spans="1:3" x14ac:dyDescent="0.3">
      <c r="A4" s="227">
        <v>2</v>
      </c>
      <c r="B4" t="s">
        <v>356</v>
      </c>
      <c r="C4" s="284">
        <v>49.16</v>
      </c>
    </row>
    <row r="5" spans="1:3" x14ac:dyDescent="0.3">
      <c r="A5" s="227">
        <v>3</v>
      </c>
      <c r="B5" t="s">
        <v>357</v>
      </c>
      <c r="C5" s="284">
        <v>49.87</v>
      </c>
    </row>
    <row r="6" spans="1:3" x14ac:dyDescent="0.3">
      <c r="A6" s="227">
        <v>4</v>
      </c>
      <c r="B6" t="s">
        <v>358</v>
      </c>
      <c r="C6" s="284">
        <v>51.28</v>
      </c>
    </row>
    <row r="7" spans="1:3" x14ac:dyDescent="0.3">
      <c r="A7" s="227">
        <v>5</v>
      </c>
      <c r="B7" t="s">
        <v>359</v>
      </c>
      <c r="C7" s="284">
        <v>49.59</v>
      </c>
    </row>
    <row r="8" spans="1:3" x14ac:dyDescent="0.3">
      <c r="A8" s="227">
        <v>6</v>
      </c>
      <c r="B8" t="s">
        <v>360</v>
      </c>
      <c r="C8" s="284">
        <v>51.72</v>
      </c>
    </row>
    <row r="9" spans="1:3" x14ac:dyDescent="0.3">
      <c r="A9" s="227">
        <v>7</v>
      </c>
      <c r="B9" t="s">
        <v>361</v>
      </c>
      <c r="C9" s="284">
        <v>55.36</v>
      </c>
    </row>
    <row r="10" spans="1:3" x14ac:dyDescent="0.3">
      <c r="A10" s="227">
        <v>8</v>
      </c>
      <c r="B10" t="s">
        <v>362</v>
      </c>
      <c r="C10" s="284">
        <v>54.18</v>
      </c>
    </row>
    <row r="11" spans="1:3" x14ac:dyDescent="0.3">
      <c r="A11" s="227">
        <v>9</v>
      </c>
      <c r="B11" t="s">
        <v>363</v>
      </c>
      <c r="C11" s="284">
        <v>60.51</v>
      </c>
    </row>
    <row r="12" spans="1:3" x14ac:dyDescent="0.3">
      <c r="A12" s="227">
        <v>10</v>
      </c>
      <c r="B12" t="s">
        <v>364</v>
      </c>
      <c r="C12" s="284">
        <v>66.569999999999993</v>
      </c>
    </row>
    <row r="13" spans="1:3" x14ac:dyDescent="0.3">
      <c r="A13" s="227">
        <v>11</v>
      </c>
      <c r="B13" t="s">
        <v>365</v>
      </c>
      <c r="C13" s="284">
        <v>80.06</v>
      </c>
    </row>
    <row r="14" spans="1:3" x14ac:dyDescent="0.3">
      <c r="A14" s="227">
        <v>12</v>
      </c>
      <c r="B14" t="s">
        <v>366</v>
      </c>
      <c r="C14" s="284">
        <v>77.69</v>
      </c>
    </row>
    <row r="15" spans="1:3" x14ac:dyDescent="0.3">
      <c r="A15" s="227">
        <v>13</v>
      </c>
      <c r="C15" s="284"/>
    </row>
    <row r="17" spans="1:1" x14ac:dyDescent="0.3">
      <c r="A17" s="156" t="s">
        <v>367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71"/>
  <sheetViews>
    <sheetView topLeftCell="A38" workbookViewId="0"/>
  </sheetViews>
  <sheetFormatPr baseColWidth="10" defaultRowHeight="14.4" x14ac:dyDescent="0.3"/>
  <cols>
    <col min="1" max="1" width="23.109375" bestFit="1" customWidth="1"/>
    <col min="2" max="2" width="28.109375" bestFit="1" customWidth="1"/>
    <col min="3" max="3" width="11" bestFit="1" customWidth="1"/>
    <col min="4" max="4" width="8.44140625" bestFit="1" customWidth="1"/>
    <col min="5" max="5" width="10" bestFit="1" customWidth="1"/>
  </cols>
  <sheetData>
    <row r="1" spans="1:5" x14ac:dyDescent="0.3">
      <c r="A1" s="154">
        <v>0.08</v>
      </c>
      <c r="B1" s="154" t="s">
        <v>368</v>
      </c>
      <c r="C1" s="154" t="s">
        <v>369</v>
      </c>
      <c r="D1" s="154" t="s">
        <v>370</v>
      </c>
      <c r="E1" s="154" t="s">
        <v>371</v>
      </c>
    </row>
    <row r="2" spans="1:5" ht="15" customHeight="1" x14ac:dyDescent="0.35">
      <c r="A2" s="3" t="s">
        <v>372</v>
      </c>
      <c r="B2" s="3" t="s">
        <v>273</v>
      </c>
      <c r="C2" s="285">
        <v>0.05</v>
      </c>
      <c r="D2" s="285">
        <v>0.12</v>
      </c>
      <c r="E2" s="285">
        <v>0.22</v>
      </c>
    </row>
    <row r="3" spans="1:5" ht="15" customHeight="1" x14ac:dyDescent="0.35">
      <c r="A3" s="3" t="s">
        <v>372</v>
      </c>
      <c r="B3" s="3" t="s">
        <v>162</v>
      </c>
      <c r="C3" s="285">
        <v>0.55000000000000004</v>
      </c>
      <c r="D3" s="285">
        <v>0.68</v>
      </c>
      <c r="E3" s="285">
        <v>0.78</v>
      </c>
    </row>
    <row r="4" spans="1:5" ht="15" customHeight="1" x14ac:dyDescent="0.35">
      <c r="A4" s="3" t="s">
        <v>372</v>
      </c>
      <c r="B4" s="3" t="s">
        <v>106</v>
      </c>
      <c r="C4" s="285">
        <v>0.08</v>
      </c>
      <c r="D4" s="285">
        <v>0.18</v>
      </c>
      <c r="E4" s="285">
        <v>0.28000000000000003</v>
      </c>
    </row>
    <row r="5" spans="1:5" ht="15" customHeight="1" x14ac:dyDescent="0.35">
      <c r="A5" s="3" t="s">
        <v>372</v>
      </c>
      <c r="B5" s="3" t="s">
        <v>373</v>
      </c>
      <c r="C5" s="285">
        <v>0.3</v>
      </c>
      <c r="D5" s="285">
        <v>0.22</v>
      </c>
      <c r="E5" s="285">
        <v>0.15</v>
      </c>
    </row>
    <row r="6" spans="1:5" ht="15" customHeight="1" x14ac:dyDescent="0.35">
      <c r="A6" s="3" t="s">
        <v>372</v>
      </c>
      <c r="B6" s="3" t="s">
        <v>374</v>
      </c>
      <c r="C6" s="285">
        <v>0.18</v>
      </c>
      <c r="D6" s="285">
        <v>0.12</v>
      </c>
      <c r="E6" s="285">
        <v>0.08</v>
      </c>
    </row>
    <row r="7" spans="1:5" ht="15" customHeight="1" x14ac:dyDescent="0.35">
      <c r="A7" s="3" t="s">
        <v>372</v>
      </c>
      <c r="B7" s="3" t="s">
        <v>375</v>
      </c>
      <c r="C7" s="285">
        <v>0.08</v>
      </c>
      <c r="D7" s="285">
        <v>0.05</v>
      </c>
      <c r="E7" s="285">
        <v>0.03</v>
      </c>
    </row>
    <row r="8" spans="1:5" ht="15" customHeight="1" x14ac:dyDescent="0.35">
      <c r="A8" s="3" t="s">
        <v>372</v>
      </c>
      <c r="B8" s="3" t="s">
        <v>376</v>
      </c>
      <c r="C8" s="285">
        <v>0.05</v>
      </c>
      <c r="D8" s="285">
        <v>0.03</v>
      </c>
      <c r="E8" s="285">
        <v>0.02</v>
      </c>
    </row>
    <row r="9" spans="1:5" ht="15" customHeight="1" x14ac:dyDescent="0.35">
      <c r="A9" s="3" t="s">
        <v>372</v>
      </c>
      <c r="B9" s="3" t="s">
        <v>78</v>
      </c>
      <c r="C9" s="285">
        <v>0.02</v>
      </c>
      <c r="D9" s="285">
        <v>0.03</v>
      </c>
      <c r="E9" s="285">
        <v>0.04</v>
      </c>
    </row>
    <row r="10" spans="1:5" ht="15" customHeight="1" x14ac:dyDescent="0.35">
      <c r="A10" s="3" t="s">
        <v>372</v>
      </c>
      <c r="B10" s="3" t="s">
        <v>77</v>
      </c>
      <c r="C10" s="285">
        <v>0.11</v>
      </c>
      <c r="D10" s="285">
        <v>0.09</v>
      </c>
      <c r="E10" s="285">
        <v>7.0000000000000007E-2</v>
      </c>
    </row>
    <row r="11" spans="1:5" ht="15" customHeight="1" x14ac:dyDescent="0.35">
      <c r="A11" s="3" t="s">
        <v>372</v>
      </c>
      <c r="B11" s="3" t="s">
        <v>377</v>
      </c>
      <c r="C11" s="285">
        <v>12</v>
      </c>
      <c r="D11" s="285">
        <v>16</v>
      </c>
      <c r="E11" s="285">
        <v>22</v>
      </c>
    </row>
    <row r="12" spans="1:5" ht="15" customHeight="1" x14ac:dyDescent="0.35">
      <c r="A12" s="3" t="s">
        <v>378</v>
      </c>
      <c r="B12" s="3" t="s">
        <v>273</v>
      </c>
      <c r="C12" s="285">
        <v>0.01</v>
      </c>
      <c r="D12" s="285">
        <v>0.04</v>
      </c>
      <c r="E12" s="285">
        <v>7.0000000000000007E-2</v>
      </c>
    </row>
    <row r="13" spans="1:5" ht="15" customHeight="1" x14ac:dyDescent="0.35">
      <c r="A13" s="3" t="s">
        <v>378</v>
      </c>
      <c r="B13" s="3" t="s">
        <v>162</v>
      </c>
      <c r="C13" s="285">
        <v>0.18</v>
      </c>
      <c r="D13" s="285">
        <v>0.25</v>
      </c>
      <c r="E13" s="285">
        <v>0.32</v>
      </c>
    </row>
    <row r="14" spans="1:5" ht="15" customHeight="1" x14ac:dyDescent="0.35">
      <c r="A14" s="3" t="s">
        <v>378</v>
      </c>
      <c r="B14" s="3" t="s">
        <v>106</v>
      </c>
      <c r="C14" s="285">
        <v>0.06</v>
      </c>
      <c r="D14" s="285">
        <v>0.12</v>
      </c>
      <c r="E14" s="285">
        <v>0.18</v>
      </c>
    </row>
    <row r="15" spans="1:5" ht="15" customHeight="1" x14ac:dyDescent="0.35">
      <c r="A15" s="3" t="s">
        <v>378</v>
      </c>
      <c r="B15" s="3" t="s">
        <v>373</v>
      </c>
      <c r="C15" s="285">
        <v>0.1</v>
      </c>
      <c r="D15" s="285">
        <v>0.08</v>
      </c>
      <c r="E15" s="285">
        <v>0.06</v>
      </c>
    </row>
    <row r="16" spans="1:5" ht="15" customHeight="1" x14ac:dyDescent="0.35">
      <c r="A16" s="3" t="s">
        <v>378</v>
      </c>
      <c r="B16" s="3" t="s">
        <v>374</v>
      </c>
      <c r="C16" s="285">
        <v>0.03</v>
      </c>
      <c r="D16" s="285">
        <v>0.02</v>
      </c>
      <c r="E16" s="285">
        <v>0.01</v>
      </c>
    </row>
    <row r="17" spans="1:5" ht="15" customHeight="1" x14ac:dyDescent="0.35">
      <c r="A17" s="3" t="s">
        <v>378</v>
      </c>
      <c r="B17" s="3" t="s">
        <v>375</v>
      </c>
      <c r="C17" s="285">
        <v>0.1</v>
      </c>
      <c r="D17" s="285">
        <v>7.0000000000000007E-2</v>
      </c>
      <c r="E17" s="285">
        <v>0.04</v>
      </c>
    </row>
    <row r="18" spans="1:5" ht="15" customHeight="1" x14ac:dyDescent="0.35">
      <c r="A18" s="3" t="s">
        <v>378</v>
      </c>
      <c r="B18" s="3" t="s">
        <v>376</v>
      </c>
      <c r="C18" s="285">
        <v>0.12</v>
      </c>
      <c r="D18" s="285">
        <v>0.08</v>
      </c>
      <c r="E18" s="285">
        <v>0.05</v>
      </c>
    </row>
    <row r="19" spans="1:5" ht="15" customHeight="1" x14ac:dyDescent="0.35">
      <c r="A19" s="3" t="s">
        <v>378</v>
      </c>
      <c r="B19" s="3" t="s">
        <v>78</v>
      </c>
      <c r="C19" s="285">
        <v>0</v>
      </c>
      <c r="D19" s="285">
        <v>0.01</v>
      </c>
      <c r="E19" s="285">
        <v>0.02</v>
      </c>
    </row>
    <row r="20" spans="1:5" ht="15" customHeight="1" x14ac:dyDescent="0.35">
      <c r="A20" s="3" t="s">
        <v>378</v>
      </c>
      <c r="B20" s="3" t="s">
        <v>77</v>
      </c>
      <c r="C20" s="285">
        <v>0.09</v>
      </c>
      <c r="D20" s="285">
        <v>0.08</v>
      </c>
      <c r="E20" s="285">
        <v>0.06</v>
      </c>
    </row>
    <row r="21" spans="1:5" ht="15" customHeight="1" x14ac:dyDescent="0.35">
      <c r="A21" s="3" t="s">
        <v>378</v>
      </c>
      <c r="B21" s="3" t="s">
        <v>377</v>
      </c>
      <c r="C21" s="285">
        <v>5</v>
      </c>
      <c r="D21" s="285">
        <v>7</v>
      </c>
      <c r="E21" s="285">
        <v>10</v>
      </c>
    </row>
    <row r="22" spans="1:5" ht="15" customHeight="1" x14ac:dyDescent="0.35">
      <c r="A22" s="3" t="s">
        <v>379</v>
      </c>
      <c r="B22" s="3" t="s">
        <v>273</v>
      </c>
      <c r="C22" s="285">
        <v>0.01</v>
      </c>
      <c r="D22" s="285">
        <v>0.04</v>
      </c>
      <c r="E22" s="285">
        <v>0.08</v>
      </c>
    </row>
    <row r="23" spans="1:5" ht="15" customHeight="1" x14ac:dyDescent="0.35">
      <c r="A23" s="3" t="s">
        <v>379</v>
      </c>
      <c r="B23" s="3" t="s">
        <v>162</v>
      </c>
      <c r="C23" s="285">
        <v>0.25</v>
      </c>
      <c r="D23" s="285">
        <v>0.35</v>
      </c>
      <c r="E23" s="285">
        <v>0.45</v>
      </c>
    </row>
    <row r="24" spans="1:5" ht="15" customHeight="1" x14ac:dyDescent="0.35">
      <c r="A24" s="3" t="s">
        <v>379</v>
      </c>
      <c r="B24" s="3" t="s">
        <v>106</v>
      </c>
      <c r="C24" s="285">
        <v>0.04</v>
      </c>
      <c r="D24" s="285">
        <v>0.09</v>
      </c>
      <c r="E24" s="285">
        <v>0.14000000000000001</v>
      </c>
    </row>
    <row r="25" spans="1:5" ht="15" customHeight="1" x14ac:dyDescent="0.35">
      <c r="A25" s="3" t="s">
        <v>379</v>
      </c>
      <c r="B25" s="3" t="s">
        <v>373</v>
      </c>
      <c r="C25" s="285">
        <v>0.18</v>
      </c>
      <c r="D25" s="285">
        <v>0.14000000000000001</v>
      </c>
      <c r="E25" s="285">
        <v>0.1</v>
      </c>
    </row>
    <row r="26" spans="1:5" ht="15" customHeight="1" x14ac:dyDescent="0.35">
      <c r="A26" s="3" t="s">
        <v>379</v>
      </c>
      <c r="B26" s="3" t="s">
        <v>374</v>
      </c>
      <c r="C26" s="285">
        <v>0.01</v>
      </c>
      <c r="D26" s="285">
        <v>0.01</v>
      </c>
      <c r="E26" s="285">
        <v>0</v>
      </c>
    </row>
    <row r="27" spans="1:5" ht="15" customHeight="1" x14ac:dyDescent="0.35">
      <c r="A27" s="3" t="s">
        <v>379</v>
      </c>
      <c r="B27" s="3" t="s">
        <v>375</v>
      </c>
      <c r="C27" s="285">
        <v>0.05</v>
      </c>
      <c r="D27" s="285">
        <v>0.03</v>
      </c>
      <c r="E27" s="285">
        <v>0.02</v>
      </c>
    </row>
    <row r="28" spans="1:5" ht="15" customHeight="1" x14ac:dyDescent="0.35">
      <c r="A28" s="3" t="s">
        <v>379</v>
      </c>
      <c r="B28" s="3" t="s">
        <v>376</v>
      </c>
      <c r="C28" s="285">
        <v>0.1</v>
      </c>
      <c r="D28" s="285">
        <v>7.0000000000000007E-2</v>
      </c>
      <c r="E28" s="285">
        <v>0.04</v>
      </c>
    </row>
    <row r="29" spans="1:5" ht="15" customHeight="1" x14ac:dyDescent="0.35">
      <c r="A29" s="3" t="s">
        <v>379</v>
      </c>
      <c r="B29" s="3" t="s">
        <v>78</v>
      </c>
      <c r="C29" s="285">
        <v>0</v>
      </c>
      <c r="D29" s="285">
        <v>0.01</v>
      </c>
      <c r="E29" s="285">
        <v>0.02</v>
      </c>
    </row>
    <row r="30" spans="1:5" ht="15" customHeight="1" x14ac:dyDescent="0.35">
      <c r="A30" s="3" t="s">
        <v>379</v>
      </c>
      <c r="B30" s="3" t="s">
        <v>77</v>
      </c>
      <c r="C30" s="285">
        <v>0.09</v>
      </c>
      <c r="D30" s="285">
        <v>0.08</v>
      </c>
      <c r="E30" s="285">
        <v>0.06</v>
      </c>
    </row>
    <row r="31" spans="1:5" ht="15" customHeight="1" x14ac:dyDescent="0.35">
      <c r="A31" s="3" t="s">
        <v>379</v>
      </c>
      <c r="B31" s="3" t="s">
        <v>377</v>
      </c>
      <c r="C31" s="285">
        <v>5</v>
      </c>
      <c r="D31" s="285">
        <v>8</v>
      </c>
      <c r="E31" s="285">
        <v>11</v>
      </c>
    </row>
    <row r="32" spans="1:5" ht="15" customHeight="1" x14ac:dyDescent="0.35">
      <c r="A32" s="3" t="s">
        <v>380</v>
      </c>
      <c r="B32" s="3" t="s">
        <v>273</v>
      </c>
      <c r="C32" s="285">
        <v>0.03</v>
      </c>
      <c r="D32" s="285">
        <v>0.08</v>
      </c>
      <c r="E32" s="285">
        <v>0.15</v>
      </c>
    </row>
    <row r="33" spans="1:5" ht="15" customHeight="1" x14ac:dyDescent="0.35">
      <c r="A33" s="3" t="s">
        <v>380</v>
      </c>
      <c r="B33" s="3" t="s">
        <v>162</v>
      </c>
      <c r="C33" s="285">
        <v>0.55000000000000004</v>
      </c>
      <c r="D33" s="285">
        <v>0.65</v>
      </c>
      <c r="E33" s="285">
        <v>0.72</v>
      </c>
    </row>
    <row r="34" spans="1:5" ht="15" customHeight="1" x14ac:dyDescent="0.35">
      <c r="A34" s="3" t="s">
        <v>380</v>
      </c>
      <c r="B34" s="3" t="s">
        <v>106</v>
      </c>
      <c r="C34" s="285">
        <v>0.18</v>
      </c>
      <c r="D34" s="285">
        <v>0.28000000000000003</v>
      </c>
      <c r="E34" s="285">
        <v>0.35</v>
      </c>
    </row>
    <row r="35" spans="1:5" ht="15" customHeight="1" x14ac:dyDescent="0.35">
      <c r="A35" s="3" t="s">
        <v>380</v>
      </c>
      <c r="B35" s="3" t="s">
        <v>373</v>
      </c>
      <c r="C35" s="285">
        <v>0.25</v>
      </c>
      <c r="D35" s="285">
        <v>0.18</v>
      </c>
      <c r="E35" s="285">
        <v>0.12</v>
      </c>
    </row>
    <row r="36" spans="1:5" ht="15" customHeight="1" x14ac:dyDescent="0.35">
      <c r="A36" s="3" t="s">
        <v>380</v>
      </c>
      <c r="B36" s="3" t="s">
        <v>374</v>
      </c>
      <c r="C36" s="285">
        <v>0.02</v>
      </c>
      <c r="D36" s="285">
        <v>0.01</v>
      </c>
      <c r="E36" s="285">
        <v>0.01</v>
      </c>
    </row>
    <row r="37" spans="1:5" ht="15" customHeight="1" x14ac:dyDescent="0.35">
      <c r="A37" s="3" t="s">
        <v>380</v>
      </c>
      <c r="B37" s="3" t="s">
        <v>375</v>
      </c>
      <c r="C37" s="285">
        <v>0.06</v>
      </c>
      <c r="D37" s="285">
        <v>0.04</v>
      </c>
      <c r="E37" s="285">
        <v>0.03</v>
      </c>
    </row>
    <row r="38" spans="1:5" ht="15" customHeight="1" x14ac:dyDescent="0.35">
      <c r="A38" s="3" t="s">
        <v>380</v>
      </c>
      <c r="B38" s="3" t="s">
        <v>376</v>
      </c>
      <c r="C38" s="285">
        <v>0.08</v>
      </c>
      <c r="D38" s="285">
        <v>0.05</v>
      </c>
      <c r="E38" s="285">
        <v>0.03</v>
      </c>
    </row>
    <row r="39" spans="1:5" ht="15" customHeight="1" x14ac:dyDescent="0.35">
      <c r="A39" s="3" t="s">
        <v>380</v>
      </c>
      <c r="B39" s="3" t="s">
        <v>78</v>
      </c>
      <c r="C39" s="285">
        <v>0.01</v>
      </c>
      <c r="D39" s="285">
        <v>0.02</v>
      </c>
      <c r="E39" s="285">
        <v>0.03</v>
      </c>
    </row>
    <row r="40" spans="1:5" ht="15" customHeight="1" x14ac:dyDescent="0.35">
      <c r="A40" s="3" t="s">
        <v>380</v>
      </c>
      <c r="B40" s="3" t="s">
        <v>77</v>
      </c>
      <c r="C40" s="285">
        <v>0.08</v>
      </c>
      <c r="D40" s="285">
        <v>7.0000000000000007E-2</v>
      </c>
      <c r="E40" s="285">
        <v>0.05</v>
      </c>
    </row>
    <row r="41" spans="1:5" ht="15" customHeight="1" x14ac:dyDescent="0.35">
      <c r="A41" s="3" t="s">
        <v>380</v>
      </c>
      <c r="B41" s="3" t="s">
        <v>377</v>
      </c>
      <c r="C41" s="285">
        <v>12</v>
      </c>
      <c r="D41" s="285">
        <v>18</v>
      </c>
      <c r="E41" s="285">
        <v>25</v>
      </c>
    </row>
    <row r="42" spans="1:5" ht="15" customHeight="1" x14ac:dyDescent="0.35">
      <c r="A42" s="3" t="s">
        <v>381</v>
      </c>
      <c r="B42" s="3" t="s">
        <v>273</v>
      </c>
      <c r="C42" s="285">
        <v>-0.02</v>
      </c>
      <c r="D42" s="285">
        <v>0.02</v>
      </c>
      <c r="E42" s="285">
        <v>0.05</v>
      </c>
    </row>
    <row r="43" spans="1:5" ht="15" customHeight="1" x14ac:dyDescent="0.35">
      <c r="A43" s="3" t="s">
        <v>381</v>
      </c>
      <c r="B43" s="3" t="s">
        <v>162</v>
      </c>
      <c r="C43" s="285">
        <v>0.2</v>
      </c>
      <c r="D43" s="285">
        <v>0.3</v>
      </c>
      <c r="E43" s="285">
        <v>0.4</v>
      </c>
    </row>
    <row r="44" spans="1:5" ht="15" customHeight="1" x14ac:dyDescent="0.35">
      <c r="A44" s="3" t="s">
        <v>381</v>
      </c>
      <c r="B44" s="3" t="s">
        <v>106</v>
      </c>
      <c r="C44" s="285">
        <v>0.15</v>
      </c>
      <c r="D44" s="285">
        <v>0.25</v>
      </c>
      <c r="E44" s="285">
        <v>0.35</v>
      </c>
    </row>
    <row r="45" spans="1:5" ht="15" customHeight="1" x14ac:dyDescent="0.35">
      <c r="A45" s="3" t="s">
        <v>381</v>
      </c>
      <c r="B45" s="3" t="s">
        <v>373</v>
      </c>
      <c r="C45" s="285">
        <v>0.08</v>
      </c>
      <c r="D45" s="285">
        <v>0.06</v>
      </c>
      <c r="E45" s="285">
        <v>0.04</v>
      </c>
    </row>
    <row r="46" spans="1:5" ht="15" customHeight="1" x14ac:dyDescent="0.35">
      <c r="A46" s="3" t="s">
        <v>381</v>
      </c>
      <c r="B46" s="3" t="s">
        <v>374</v>
      </c>
      <c r="C46" s="285">
        <v>0.02</v>
      </c>
      <c r="D46" s="285">
        <v>0.01</v>
      </c>
      <c r="E46" s="285">
        <v>0.01</v>
      </c>
    </row>
    <row r="47" spans="1:5" ht="15" customHeight="1" x14ac:dyDescent="0.35">
      <c r="A47" s="3" t="s">
        <v>381</v>
      </c>
      <c r="B47" s="3" t="s">
        <v>375</v>
      </c>
      <c r="C47" s="285">
        <v>0.15</v>
      </c>
      <c r="D47" s="285">
        <v>0.1</v>
      </c>
      <c r="E47" s="285">
        <v>7.0000000000000007E-2</v>
      </c>
    </row>
    <row r="48" spans="1:5" ht="15" customHeight="1" x14ac:dyDescent="0.35">
      <c r="A48" s="3" t="s">
        <v>381</v>
      </c>
      <c r="B48" s="3" t="s">
        <v>376</v>
      </c>
      <c r="C48" s="285">
        <v>0.05</v>
      </c>
      <c r="D48" s="285">
        <v>0.04</v>
      </c>
      <c r="E48" s="285">
        <v>0.03</v>
      </c>
    </row>
    <row r="49" spans="1:5" ht="15" customHeight="1" x14ac:dyDescent="0.35">
      <c r="A49" s="3" t="s">
        <v>381</v>
      </c>
      <c r="B49" s="3" t="s">
        <v>78</v>
      </c>
      <c r="C49" s="285">
        <v>0</v>
      </c>
      <c r="D49" s="285">
        <v>0.01</v>
      </c>
      <c r="E49" s="285">
        <v>0.02</v>
      </c>
    </row>
    <row r="50" spans="1:5" ht="15" customHeight="1" x14ac:dyDescent="0.35">
      <c r="A50" s="3" t="s">
        <v>381</v>
      </c>
      <c r="B50" s="3" t="s">
        <v>77</v>
      </c>
      <c r="C50" s="285">
        <v>7.0000000000000007E-2</v>
      </c>
      <c r="D50" s="285">
        <v>0.06</v>
      </c>
      <c r="E50" s="285">
        <v>0.05</v>
      </c>
    </row>
    <row r="51" spans="1:5" ht="15" customHeight="1" x14ac:dyDescent="0.35">
      <c r="A51" s="3" t="s">
        <v>381</v>
      </c>
      <c r="B51" s="3" t="s">
        <v>377</v>
      </c>
      <c r="C51" s="285">
        <v>6</v>
      </c>
      <c r="D51" s="285">
        <v>8</v>
      </c>
      <c r="E51" s="285">
        <v>11</v>
      </c>
    </row>
    <row r="52" spans="1:5" ht="15" customHeight="1" x14ac:dyDescent="0.35">
      <c r="A52" s="3" t="s">
        <v>382</v>
      </c>
      <c r="B52" s="3" t="s">
        <v>273</v>
      </c>
      <c r="C52" s="285">
        <v>0.02</v>
      </c>
      <c r="D52" s="285">
        <v>0.06</v>
      </c>
      <c r="E52" s="285">
        <v>0.12</v>
      </c>
    </row>
    <row r="53" spans="1:5" ht="15" customHeight="1" x14ac:dyDescent="0.35">
      <c r="A53" s="3" t="s">
        <v>382</v>
      </c>
      <c r="B53" s="3" t="s">
        <v>162</v>
      </c>
      <c r="C53" s="285">
        <v>0.45</v>
      </c>
      <c r="D53" s="285">
        <v>0.6</v>
      </c>
      <c r="E53" s="285">
        <v>0.72</v>
      </c>
    </row>
    <row r="54" spans="1:5" ht="15" customHeight="1" x14ac:dyDescent="0.35">
      <c r="A54" s="3" t="s">
        <v>382</v>
      </c>
      <c r="B54" s="3" t="s">
        <v>106</v>
      </c>
      <c r="C54" s="285">
        <v>0.1</v>
      </c>
      <c r="D54" s="285">
        <v>0.2</v>
      </c>
      <c r="E54" s="285">
        <v>0.3</v>
      </c>
    </row>
    <row r="55" spans="1:5" ht="15" customHeight="1" x14ac:dyDescent="0.35">
      <c r="A55" s="3" t="s">
        <v>382</v>
      </c>
      <c r="B55" s="3" t="s">
        <v>373</v>
      </c>
      <c r="C55" s="285">
        <v>0.25</v>
      </c>
      <c r="D55" s="285">
        <v>0.18</v>
      </c>
      <c r="E55" s="285">
        <v>0.12</v>
      </c>
    </row>
    <row r="56" spans="1:5" ht="15" customHeight="1" x14ac:dyDescent="0.35">
      <c r="A56" s="3" t="s">
        <v>382</v>
      </c>
      <c r="B56" s="3" t="s">
        <v>374</v>
      </c>
      <c r="C56" s="285">
        <v>0.2</v>
      </c>
      <c r="D56" s="285">
        <v>0.15</v>
      </c>
      <c r="E56" s="285">
        <v>0.1</v>
      </c>
    </row>
    <row r="57" spans="1:5" ht="15" customHeight="1" x14ac:dyDescent="0.35">
      <c r="A57" s="3" t="s">
        <v>382</v>
      </c>
      <c r="B57" s="3" t="s">
        <v>375</v>
      </c>
      <c r="C57" s="285">
        <v>0.06</v>
      </c>
      <c r="D57" s="285">
        <v>0.04</v>
      </c>
      <c r="E57" s="285">
        <v>0.03</v>
      </c>
    </row>
    <row r="58" spans="1:5" ht="15" customHeight="1" x14ac:dyDescent="0.35">
      <c r="A58" s="3" t="s">
        <v>382</v>
      </c>
      <c r="B58" s="3" t="s">
        <v>376</v>
      </c>
      <c r="C58" s="285">
        <v>0.08</v>
      </c>
      <c r="D58" s="285">
        <v>0.05</v>
      </c>
      <c r="E58" s="285">
        <v>0.03</v>
      </c>
    </row>
    <row r="59" spans="1:5" ht="15" customHeight="1" x14ac:dyDescent="0.35">
      <c r="A59" s="3" t="s">
        <v>382</v>
      </c>
      <c r="B59" s="3" t="s">
        <v>78</v>
      </c>
      <c r="C59" s="285">
        <v>0.01</v>
      </c>
      <c r="D59" s="285">
        <v>0.02</v>
      </c>
      <c r="E59" s="285">
        <v>0.03</v>
      </c>
    </row>
    <row r="60" spans="1:5" ht="15" customHeight="1" x14ac:dyDescent="0.35">
      <c r="A60" s="3" t="s">
        <v>382</v>
      </c>
      <c r="B60" s="3" t="s">
        <v>77</v>
      </c>
      <c r="C60" s="285">
        <v>0.08</v>
      </c>
      <c r="D60" s="285">
        <v>7.0000000000000007E-2</v>
      </c>
      <c r="E60" s="285">
        <v>0.06</v>
      </c>
    </row>
    <row r="61" spans="1:5" ht="15" customHeight="1" x14ac:dyDescent="0.35">
      <c r="A61" s="3" t="s">
        <v>382</v>
      </c>
      <c r="B61" s="3" t="s">
        <v>377</v>
      </c>
      <c r="C61" s="285">
        <v>8</v>
      </c>
      <c r="D61" s="285">
        <v>12</v>
      </c>
      <c r="E61" s="285">
        <v>18</v>
      </c>
    </row>
    <row r="62" spans="1:5" ht="15" x14ac:dyDescent="0.35">
      <c r="A62" s="68" t="s">
        <v>398</v>
      </c>
      <c r="B62" s="68" t="s">
        <v>273</v>
      </c>
      <c r="C62" s="242">
        <v>-0.05</v>
      </c>
      <c r="D62" s="242">
        <v>0.02</v>
      </c>
      <c r="E62" s="242">
        <v>0.06</v>
      </c>
    </row>
    <row r="63" spans="1:5" ht="15" x14ac:dyDescent="0.35">
      <c r="A63" s="68" t="s">
        <v>398</v>
      </c>
      <c r="B63" s="68" t="s">
        <v>401</v>
      </c>
      <c r="C63" s="242">
        <v>0.22</v>
      </c>
      <c r="D63" s="242">
        <v>0.28000000000000003</v>
      </c>
      <c r="E63" s="242">
        <v>0.34</v>
      </c>
    </row>
    <row r="64" spans="1:5" ht="15" x14ac:dyDescent="0.35">
      <c r="A64" s="68" t="s">
        <v>398</v>
      </c>
      <c r="B64" s="68" t="s">
        <v>106</v>
      </c>
      <c r="C64" s="242">
        <v>0.15</v>
      </c>
      <c r="D64" s="242">
        <v>0.22</v>
      </c>
      <c r="E64" s="242">
        <v>0.28000000000000003</v>
      </c>
    </row>
    <row r="65" spans="1:5" ht="15" x14ac:dyDescent="0.35">
      <c r="A65" s="68" t="s">
        <v>398</v>
      </c>
      <c r="B65" s="68" t="s">
        <v>400</v>
      </c>
      <c r="C65" s="242">
        <v>0.04</v>
      </c>
      <c r="D65" s="242">
        <v>0.03</v>
      </c>
      <c r="E65" s="242">
        <v>0.02</v>
      </c>
    </row>
    <row r="66" spans="1:5" ht="15" x14ac:dyDescent="0.35">
      <c r="A66" s="68" t="s">
        <v>398</v>
      </c>
      <c r="B66" s="68" t="s">
        <v>399</v>
      </c>
      <c r="C66" s="242">
        <v>0.01</v>
      </c>
      <c r="D66" s="242">
        <v>0.01</v>
      </c>
      <c r="E66" s="242">
        <v>0.01</v>
      </c>
    </row>
    <row r="67" spans="1:5" ht="15" x14ac:dyDescent="0.35">
      <c r="A67" s="68" t="s">
        <v>398</v>
      </c>
      <c r="B67" s="68" t="s">
        <v>375</v>
      </c>
      <c r="C67" s="242">
        <v>0.12</v>
      </c>
      <c r="D67" s="242">
        <v>0.09</v>
      </c>
      <c r="E67" s="242">
        <v>7.0000000000000007E-2</v>
      </c>
    </row>
    <row r="68" spans="1:5" ht="15" x14ac:dyDescent="0.35">
      <c r="A68" s="68" t="s">
        <v>398</v>
      </c>
      <c r="B68" s="68" t="s">
        <v>376</v>
      </c>
      <c r="C68" s="242">
        <v>0.04</v>
      </c>
      <c r="D68" s="242">
        <v>0.03</v>
      </c>
      <c r="E68" s="242">
        <v>0.02</v>
      </c>
    </row>
    <row r="69" spans="1:5" ht="15" x14ac:dyDescent="0.35">
      <c r="A69" s="68" t="s">
        <v>398</v>
      </c>
      <c r="B69" s="68" t="s">
        <v>78</v>
      </c>
      <c r="C69" s="242">
        <v>0.01</v>
      </c>
      <c r="D69" s="242">
        <v>0.02</v>
      </c>
      <c r="E69" s="242">
        <v>0.03</v>
      </c>
    </row>
    <row r="70" spans="1:5" ht="15" x14ac:dyDescent="0.35">
      <c r="A70" s="68" t="s">
        <v>398</v>
      </c>
      <c r="B70" s="68" t="s">
        <v>77</v>
      </c>
      <c r="C70" s="242">
        <v>0.09</v>
      </c>
      <c r="D70" s="242">
        <v>0.08</v>
      </c>
      <c r="E70" s="242">
        <v>7.0000000000000007E-2</v>
      </c>
    </row>
    <row r="71" spans="1:5" ht="15" x14ac:dyDescent="0.35">
      <c r="A71" s="68" t="s">
        <v>398</v>
      </c>
      <c r="B71" s="68" t="s">
        <v>377</v>
      </c>
      <c r="C71" s="430">
        <v>4</v>
      </c>
      <c r="D71" s="430">
        <v>6</v>
      </c>
      <c r="E71" s="430">
        <v>8</v>
      </c>
    </row>
  </sheetData>
  <pageMargins left="0.7" right="0.7" top="0.75" bottom="0.75" header="0.3" footer="0.3"/>
  <pageSetup paperSize="9" scal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7</vt:i4>
      </vt:variant>
    </vt:vector>
  </HeadingPairs>
  <TitlesOfParts>
    <vt:vector size="17" baseType="lpstr">
      <vt:lpstr>INPUT</vt:lpstr>
      <vt:lpstr>RATIOS</vt:lpstr>
      <vt:lpstr>DCF</vt:lpstr>
      <vt:lpstr>SOTP</vt:lpstr>
      <vt:lpstr>COMPARABLES</vt:lpstr>
      <vt:lpstr>SCENARIOS</vt:lpstr>
      <vt:lpstr>DASHBOARD</vt:lpstr>
      <vt:lpstr>DASHBOARD 2</vt:lpstr>
      <vt:lpstr>STOCK_DATA</vt:lpstr>
      <vt:lpstr>SECTOR_REF</vt:lpstr>
      <vt:lpstr>COMPARABLES!Zone_d_impression</vt:lpstr>
      <vt:lpstr>DASHBOARD!Zone_d_impression</vt:lpstr>
      <vt:lpstr>'DASHBOARD 2'!Zone_d_impression</vt:lpstr>
      <vt:lpstr>DCF!Zone_d_impression</vt:lpstr>
      <vt:lpstr>INPUT!Zone_d_impression</vt:lpstr>
      <vt:lpstr>RATIOS!Zone_d_impression</vt:lpstr>
      <vt:lpstr>SCENARIOS!Zone_d_impression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jeh</dc:creator>
  <cp:lastModifiedBy>Baptiste jeh</cp:lastModifiedBy>
  <cp:lastPrinted>2026-03-07T11:51:18Z</cp:lastPrinted>
  <dcterms:created xsi:type="dcterms:W3CDTF">2026-03-05T17:41:12Z</dcterms:created>
  <dcterms:modified xsi:type="dcterms:W3CDTF">2026-04-15T17:35:19Z</dcterms:modified>
</cp:coreProperties>
</file>