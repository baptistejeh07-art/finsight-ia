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0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2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14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15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16.xml" ContentType="application/vnd.openxmlformats-officedocument.drawing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15357bc9330a16b/Perso/Excel Finsight/"/>
    </mc:Choice>
  </mc:AlternateContent>
  <xr:revisionPtr revIDLastSave="0" documentId="8_{55768F0B-DB62-4350-B014-D40C0AECF5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VALUE" sheetId="2" r:id="rId2"/>
    <sheet name="GROWTH" sheetId="3" r:id="rId3"/>
    <sheet name="QUALITY" sheetId="4" r:id="rId4"/>
    <sheet name="MOMENTUM" sheetId="5" r:id="rId5"/>
    <sheet name="PAR SECTEUR" sheetId="6" r:id="rId6"/>
    <sheet name="VUE SECTORIELLE" sheetId="7" r:id="rId7"/>
    <sheet name="TECHNOLOGIE" sheetId="8" r:id="rId8"/>
    <sheet name="CONSO. CYCL." sheetId="9" r:id="rId9"/>
    <sheet name="FINANCE" sheetId="10" r:id="rId10"/>
    <sheet name="INDUSTRIE" sheetId="11" state="hidden" r:id="rId11"/>
    <sheet name="SANTÉ" sheetId="12" r:id="rId12"/>
    <sheet name="ÉNERGIE" sheetId="13" r:id="rId13"/>
    <sheet name="MATÉRIAUX" sheetId="14" r:id="rId14"/>
    <sheet name="IMMOBILIER" sheetId="15" r:id="rId15"/>
    <sheet name="CONSO. DÉF." sheetId="16" r:id="rId16"/>
    <sheet name="DONNÉES BRUTES" sheetId="17" state="hidden" r:id="rId17"/>
  </sheets>
  <definedNames>
    <definedName name="_xlnm.Print_Area" localSheetId="0">DASHBOARD!$A$1:$N$30</definedName>
    <definedName name="_xlnm.Print_Area" localSheetId="5">'PAR SECTEUR'!$A$1:$K$35</definedName>
    <definedName name="_xlnm.Print_Area" localSheetId="6">'VUE SECTORIELLE'!$A$1:$L$50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" i="12" l="1" a="1"/>
  <c r="Q14" i="12" s="1"/>
  <c r="B8" i="15"/>
  <c r="B1" i="16"/>
  <c r="B1" i="15"/>
  <c r="B1" i="14"/>
  <c r="B1" i="13"/>
  <c r="B1" i="12"/>
  <c r="B1" i="10"/>
  <c r="B1" i="9"/>
  <c r="B1" i="8"/>
  <c r="L5" i="11"/>
  <c r="L5" i="8"/>
  <c r="L5" i="16"/>
  <c r="L5" i="14"/>
  <c r="L5" i="13"/>
  <c r="L5" i="12"/>
  <c r="L5" i="10"/>
  <c r="L5" i="9"/>
  <c r="L5" i="15"/>
  <c r="P5" i="11"/>
  <c r="P5" i="8"/>
  <c r="P5" i="15"/>
  <c r="P5" i="14"/>
  <c r="P5" i="13"/>
  <c r="P5" i="12"/>
  <c r="P5" i="10"/>
  <c r="P5" i="9"/>
  <c r="P5" i="16"/>
  <c r="H5" i="16" a="1"/>
  <c r="H5" i="16"/>
  <c r="H5" i="11" a="1"/>
  <c r="H5" i="11" s="1"/>
  <c r="E5" i="11"/>
  <c r="E5" i="16"/>
  <c r="C5" i="16"/>
  <c r="E5" i="15"/>
  <c r="C5" i="15"/>
  <c r="E5" i="14"/>
  <c r="C5" i="14"/>
  <c r="E5" i="13"/>
  <c r="C5" i="13"/>
  <c r="E5" i="12"/>
  <c r="C5" i="12"/>
  <c r="E5" i="10"/>
  <c r="C5" i="10"/>
  <c r="E5" i="9"/>
  <c r="C5" i="9"/>
  <c r="J11" i="10" a="1"/>
  <c r="J11" i="10" s="1"/>
  <c r="Q15" i="9" a="1"/>
  <c r="Q15" i="9" s="1"/>
  <c r="N5" i="8" a="1"/>
  <c r="N5" i="8" s="1"/>
  <c r="E5" i="8"/>
  <c r="C5" i="8"/>
  <c r="Q25" i="16" a="1"/>
  <c r="Q25" i="16"/>
  <c r="P25" i="16" a="1"/>
  <c r="P25" i="16" s="1"/>
  <c r="O25" i="16" a="1"/>
  <c r="O25" i="16" s="1"/>
  <c r="N25" i="16" a="1"/>
  <c r="N25" i="16"/>
  <c r="M25" i="16" a="1"/>
  <c r="M25" i="16" s="1"/>
  <c r="L25" i="16" a="1"/>
  <c r="L25" i="16" s="1"/>
  <c r="K25" i="16" a="1"/>
  <c r="K25" i="16"/>
  <c r="J25" i="16" a="1"/>
  <c r="J25" i="16" s="1"/>
  <c r="I25" i="16" a="1"/>
  <c r="I25" i="16"/>
  <c r="H25" i="16" a="1"/>
  <c r="H25" i="16" s="1"/>
  <c r="G25" i="16" a="1"/>
  <c r="G25" i="16"/>
  <c r="F25" i="16" a="1"/>
  <c r="F25" i="16"/>
  <c r="E25" i="16" a="1"/>
  <c r="E25" i="16" s="1"/>
  <c r="D25" i="16" a="1"/>
  <c r="D25" i="16" s="1"/>
  <c r="C25" i="16" a="1"/>
  <c r="C25" i="16" s="1"/>
  <c r="Q24" i="16" a="1"/>
  <c r="Q24" i="16"/>
  <c r="P24" i="16" a="1"/>
  <c r="P24" i="16" s="1"/>
  <c r="O24" i="16" a="1"/>
  <c r="O24" i="16"/>
  <c r="N24" i="16" a="1"/>
  <c r="N24" i="16" s="1"/>
  <c r="M24" i="16" a="1"/>
  <c r="M24" i="16" s="1"/>
  <c r="L24" i="16" a="1"/>
  <c r="L24" i="16" s="1"/>
  <c r="K24" i="16" a="1"/>
  <c r="K24" i="16"/>
  <c r="J24" i="16" a="1"/>
  <c r="J24" i="16" s="1"/>
  <c r="I24" i="16" a="1"/>
  <c r="I24" i="16" s="1"/>
  <c r="H24" i="16" a="1"/>
  <c r="H24" i="16" s="1"/>
  <c r="G24" i="16" a="1"/>
  <c r="G24" i="16" s="1"/>
  <c r="F24" i="16" a="1"/>
  <c r="F24" i="16"/>
  <c r="E24" i="16" a="1"/>
  <c r="E24" i="16" s="1"/>
  <c r="D24" i="16" a="1"/>
  <c r="D24" i="16" s="1"/>
  <c r="C24" i="16" a="1"/>
  <c r="C24" i="16"/>
  <c r="Q23" i="16" a="1"/>
  <c r="Q23" i="16" s="1"/>
  <c r="P23" i="16" a="1"/>
  <c r="P23" i="16"/>
  <c r="O23" i="16" a="1"/>
  <c r="O23" i="16" s="1"/>
  <c r="N23" i="16" a="1"/>
  <c r="N23" i="16"/>
  <c r="M23" i="16" a="1"/>
  <c r="M23" i="16" s="1"/>
  <c r="L23" i="16" a="1"/>
  <c r="L23" i="16" s="1"/>
  <c r="K23" i="16" a="1"/>
  <c r="K23" i="16"/>
  <c r="J23" i="16" a="1"/>
  <c r="J23" i="16" s="1"/>
  <c r="I23" i="16" a="1"/>
  <c r="I23" i="16"/>
  <c r="H23" i="16" a="1"/>
  <c r="H23" i="16"/>
  <c r="G23" i="16" a="1"/>
  <c r="G23" i="16"/>
  <c r="F23" i="16" a="1"/>
  <c r="F23" i="16" s="1"/>
  <c r="E23" i="16" a="1"/>
  <c r="E23" i="16" s="1"/>
  <c r="D23" i="16" a="1"/>
  <c r="D23" i="16"/>
  <c r="C23" i="16" a="1"/>
  <c r="C23" i="16" s="1"/>
  <c r="Q22" i="16" a="1"/>
  <c r="Q22" i="16" s="1"/>
  <c r="P22" i="16" a="1"/>
  <c r="P22" i="16" s="1"/>
  <c r="O22" i="16" a="1"/>
  <c r="O22" i="16" s="1"/>
  <c r="N22" i="16" a="1"/>
  <c r="N22" i="16"/>
  <c r="M22" i="16" a="1"/>
  <c r="M22" i="16" s="1"/>
  <c r="L22" i="16" a="1"/>
  <c r="L22" i="16" s="1"/>
  <c r="K22" i="16" a="1"/>
  <c r="K22" i="16" s="1"/>
  <c r="J22" i="16" a="1"/>
  <c r="J22" i="16" s="1"/>
  <c r="I22" i="16" a="1"/>
  <c r="I22" i="16"/>
  <c r="H22" i="16" a="1"/>
  <c r="H22" i="16" s="1"/>
  <c r="G22" i="16" a="1"/>
  <c r="G22" i="16"/>
  <c r="F22" i="16" a="1"/>
  <c r="F22" i="16" s="1"/>
  <c r="E22" i="16" a="1"/>
  <c r="E22" i="16" s="1"/>
  <c r="D22" i="16" a="1"/>
  <c r="D22" i="16" s="1"/>
  <c r="C22" i="16" a="1"/>
  <c r="C22" i="16"/>
  <c r="Q21" i="16" a="1"/>
  <c r="Q21" i="16" s="1"/>
  <c r="P21" i="16" a="1"/>
  <c r="P21" i="16" s="1"/>
  <c r="O21" i="16" a="1"/>
  <c r="O21" i="16" s="1"/>
  <c r="N21" i="16" a="1"/>
  <c r="N21" i="16" s="1"/>
  <c r="M21" i="16" a="1"/>
  <c r="M21" i="16" s="1"/>
  <c r="L21" i="16" a="1"/>
  <c r="L21" i="16" s="1"/>
  <c r="K21" i="16" a="1"/>
  <c r="K21" i="16" s="1"/>
  <c r="J21" i="16" a="1"/>
  <c r="J21" i="16"/>
  <c r="I21" i="16" a="1"/>
  <c r="I21" i="16"/>
  <c r="H21" i="16" a="1"/>
  <c r="H21" i="16" s="1"/>
  <c r="G21" i="16" a="1"/>
  <c r="G21" i="16"/>
  <c r="F21" i="16" a="1"/>
  <c r="F21" i="16" s="1"/>
  <c r="E21" i="16" a="1"/>
  <c r="E21" i="16" s="1"/>
  <c r="D21" i="16" a="1"/>
  <c r="D21" i="16" s="1"/>
  <c r="C21" i="16" a="1"/>
  <c r="C21" i="16" s="1"/>
  <c r="Q20" i="16" a="1"/>
  <c r="Q20" i="16" s="1"/>
  <c r="P20" i="16" a="1"/>
  <c r="P20" i="16" s="1"/>
  <c r="O20" i="16" a="1"/>
  <c r="O20" i="16" s="1"/>
  <c r="N20" i="16" a="1"/>
  <c r="N20" i="16"/>
  <c r="M20" i="16" a="1"/>
  <c r="M20" i="16" s="1"/>
  <c r="L20" i="16" a="1"/>
  <c r="L20" i="16" s="1"/>
  <c r="K20" i="16" a="1"/>
  <c r="K20" i="16" s="1"/>
  <c r="J20" i="16" a="1"/>
  <c r="J20" i="16"/>
  <c r="I20" i="16" a="1"/>
  <c r="I20" i="16" s="1"/>
  <c r="H20" i="16" a="1"/>
  <c r="H20" i="16" s="1"/>
  <c r="G20" i="16" a="1"/>
  <c r="G20" i="16"/>
  <c r="F20" i="16" a="1"/>
  <c r="F20" i="16" s="1"/>
  <c r="E20" i="16" a="1"/>
  <c r="E20" i="16" s="1"/>
  <c r="D20" i="16" a="1"/>
  <c r="D20" i="16" s="1"/>
  <c r="C20" i="16" a="1"/>
  <c r="C20" i="16"/>
  <c r="Q19" i="16" a="1"/>
  <c r="Q19" i="16" s="1"/>
  <c r="P19" i="16" a="1"/>
  <c r="P19" i="16" s="1"/>
  <c r="O19" i="16" a="1"/>
  <c r="O19" i="16" s="1"/>
  <c r="N19" i="16" a="1"/>
  <c r="N19" i="16" s="1"/>
  <c r="M19" i="16" a="1"/>
  <c r="M19" i="16" s="1"/>
  <c r="L19" i="16" a="1"/>
  <c r="L19" i="16" s="1"/>
  <c r="K19" i="16" a="1"/>
  <c r="K19" i="16" s="1"/>
  <c r="J19" i="16" a="1"/>
  <c r="J19" i="16" s="1"/>
  <c r="I19" i="16" a="1"/>
  <c r="I19" i="16"/>
  <c r="H19" i="16" a="1"/>
  <c r="H19" i="16" s="1"/>
  <c r="G19" i="16" a="1"/>
  <c r="G19" i="16" s="1"/>
  <c r="F19" i="16" a="1"/>
  <c r="F19" i="16"/>
  <c r="E19" i="16" a="1"/>
  <c r="E19" i="16" s="1"/>
  <c r="D19" i="16" a="1"/>
  <c r="D19" i="16" s="1"/>
  <c r="C19" i="16" a="1"/>
  <c r="C19" i="16" s="1"/>
  <c r="Q18" i="16" a="1"/>
  <c r="Q18" i="16" s="1"/>
  <c r="P18" i="16" a="1"/>
  <c r="P18" i="16"/>
  <c r="O18" i="16" a="1"/>
  <c r="O18" i="16" s="1"/>
  <c r="N18" i="16" a="1"/>
  <c r="N18" i="16" s="1"/>
  <c r="M18" i="16" a="1"/>
  <c r="M18" i="16" s="1"/>
  <c r="L18" i="16" a="1"/>
  <c r="L18" i="16" s="1"/>
  <c r="K18" i="16" a="1"/>
  <c r="K18" i="16" s="1"/>
  <c r="J18" i="16" a="1"/>
  <c r="J18" i="16"/>
  <c r="I18" i="16" a="1"/>
  <c r="I18" i="16" s="1"/>
  <c r="H18" i="16" a="1"/>
  <c r="H18" i="16" s="1"/>
  <c r="G18" i="16" a="1"/>
  <c r="G18" i="16"/>
  <c r="F18" i="16" a="1"/>
  <c r="F18" i="16" s="1"/>
  <c r="E18" i="16" a="1"/>
  <c r="E18" i="16" s="1"/>
  <c r="D18" i="16" a="1"/>
  <c r="D18" i="16" s="1"/>
  <c r="C18" i="16" a="1"/>
  <c r="C18" i="16"/>
  <c r="Q17" i="16" a="1"/>
  <c r="Q17" i="16" s="1"/>
  <c r="P17" i="16" a="1"/>
  <c r="P17" i="16" s="1"/>
  <c r="O17" i="16" a="1"/>
  <c r="O17" i="16" s="1"/>
  <c r="N17" i="16" a="1"/>
  <c r="N17" i="16" s="1"/>
  <c r="M17" i="16" a="1"/>
  <c r="M17" i="16" s="1"/>
  <c r="L17" i="16" a="1"/>
  <c r="L17" i="16" s="1"/>
  <c r="K17" i="16" a="1"/>
  <c r="K17" i="16" s="1"/>
  <c r="J17" i="16" a="1"/>
  <c r="J17" i="16" s="1"/>
  <c r="I17" i="16" a="1"/>
  <c r="I17" i="16" s="1"/>
  <c r="H17" i="16" a="1"/>
  <c r="H17" i="16"/>
  <c r="G17" i="16" a="1"/>
  <c r="G17" i="16" s="1"/>
  <c r="F17" i="16" a="1"/>
  <c r="F17" i="16" s="1"/>
  <c r="E17" i="16" a="1"/>
  <c r="E17" i="16" s="1"/>
  <c r="D17" i="16" a="1"/>
  <c r="D17" i="16" s="1"/>
  <c r="C17" i="16" a="1"/>
  <c r="C17" i="16" s="1"/>
  <c r="Q16" i="16" a="1"/>
  <c r="Q16" i="16" s="1"/>
  <c r="P16" i="16" a="1"/>
  <c r="P16" i="16"/>
  <c r="O16" i="16" a="1"/>
  <c r="O16" i="16" s="1"/>
  <c r="N16" i="16" a="1"/>
  <c r="N16" i="16" s="1"/>
  <c r="M16" i="16" a="1"/>
  <c r="M16" i="16" s="1"/>
  <c r="L16" i="16" a="1"/>
  <c r="L16" i="16" s="1"/>
  <c r="K16" i="16" a="1"/>
  <c r="K16" i="16"/>
  <c r="J16" i="16" a="1"/>
  <c r="J16" i="16" s="1"/>
  <c r="I16" i="16" a="1"/>
  <c r="I16" i="16" s="1"/>
  <c r="H16" i="16" a="1"/>
  <c r="H16" i="16"/>
  <c r="G16" i="16" a="1"/>
  <c r="G16" i="16" s="1"/>
  <c r="F16" i="16" a="1"/>
  <c r="F16" i="16"/>
  <c r="E16" i="16" a="1"/>
  <c r="E16" i="16" s="1"/>
  <c r="D16" i="16" a="1"/>
  <c r="D16" i="16" s="1"/>
  <c r="C16" i="16" a="1"/>
  <c r="C16" i="16" s="1"/>
  <c r="Q15" i="16" a="1"/>
  <c r="Q15" i="16"/>
  <c r="P15" i="16" a="1"/>
  <c r="P15" i="16"/>
  <c r="O15" i="16" a="1"/>
  <c r="O15" i="16" s="1"/>
  <c r="N15" i="16" a="1"/>
  <c r="N15" i="16" s="1"/>
  <c r="M15" i="16" a="1"/>
  <c r="M15" i="16" s="1"/>
  <c r="L15" i="16" a="1"/>
  <c r="L15" i="16" s="1"/>
  <c r="K15" i="16" a="1"/>
  <c r="K15" i="16" s="1"/>
  <c r="J15" i="16" a="1"/>
  <c r="J15" i="16"/>
  <c r="I15" i="16" a="1"/>
  <c r="I15" i="16" s="1"/>
  <c r="H15" i="16" a="1"/>
  <c r="H15" i="16" s="1"/>
  <c r="G15" i="16" a="1"/>
  <c r="G15" i="16"/>
  <c r="F15" i="16" a="1"/>
  <c r="F15" i="16" s="1"/>
  <c r="E15" i="16" a="1"/>
  <c r="E15" i="16" s="1"/>
  <c r="D15" i="16" a="1"/>
  <c r="D15" i="16" s="1"/>
  <c r="C15" i="16" a="1"/>
  <c r="C15" i="16" s="1"/>
  <c r="P14" i="16" a="1"/>
  <c r="P14" i="16" s="1"/>
  <c r="O14" i="16" a="1"/>
  <c r="O14" i="16"/>
  <c r="N14" i="16" a="1"/>
  <c r="N14" i="16" s="1"/>
  <c r="M14" i="16" a="1"/>
  <c r="M14" i="16" s="1"/>
  <c r="L14" i="16" a="1"/>
  <c r="L14" i="16" s="1"/>
  <c r="K14" i="16" a="1"/>
  <c r="K14" i="16" s="1"/>
  <c r="J14" i="16" a="1"/>
  <c r="J14" i="16" s="1"/>
  <c r="I14" i="16" a="1"/>
  <c r="I14" i="16"/>
  <c r="H14" i="16" a="1"/>
  <c r="H14" i="16" s="1"/>
  <c r="G14" i="16" a="1"/>
  <c r="G14" i="16" s="1"/>
  <c r="F14" i="16" a="1"/>
  <c r="F14" i="16" s="1"/>
  <c r="E14" i="16" a="1"/>
  <c r="E14" i="16" s="1"/>
  <c r="D14" i="16" a="1"/>
  <c r="D14" i="16" s="1"/>
  <c r="C14" i="16" a="1"/>
  <c r="C14" i="16" s="1"/>
  <c r="Q13" i="16" a="1"/>
  <c r="Q13" i="16" s="1"/>
  <c r="P13" i="16" a="1"/>
  <c r="P13" i="16" s="1"/>
  <c r="O13" i="16" a="1"/>
  <c r="O13" i="16"/>
  <c r="N13" i="16" a="1"/>
  <c r="N13" i="16" s="1"/>
  <c r="M13" i="16" a="1"/>
  <c r="M13" i="16"/>
  <c r="L13" i="16" a="1"/>
  <c r="L13" i="16" s="1"/>
  <c r="K13" i="16" a="1"/>
  <c r="K13" i="16" s="1"/>
  <c r="J13" i="16" a="1"/>
  <c r="J13" i="16" s="1"/>
  <c r="I13" i="16" a="1"/>
  <c r="I13" i="16"/>
  <c r="H13" i="16" a="1"/>
  <c r="H13" i="16" s="1"/>
  <c r="G13" i="16" a="1"/>
  <c r="G13" i="16" s="1"/>
  <c r="F13" i="16" a="1"/>
  <c r="F13" i="16"/>
  <c r="E13" i="16" a="1"/>
  <c r="E13" i="16" s="1"/>
  <c r="T31" i="16" s="1"/>
  <c r="D13" i="16" a="1"/>
  <c r="D13" i="16"/>
  <c r="S31" i="16" s="1"/>
  <c r="C13" i="16" a="1"/>
  <c r="C13" i="16" s="1"/>
  <c r="Q12" i="16" a="1"/>
  <c r="Q12" i="16" s="1"/>
  <c r="P12" i="16" a="1"/>
  <c r="P12" i="16" s="1"/>
  <c r="O12" i="16" a="1"/>
  <c r="O12" i="16" s="1"/>
  <c r="N12" i="16" a="1"/>
  <c r="N12" i="16"/>
  <c r="M12" i="16" a="1"/>
  <c r="M12" i="16" s="1"/>
  <c r="L12" i="16" a="1"/>
  <c r="L12" i="16" s="1"/>
  <c r="K12" i="16" a="1"/>
  <c r="K12" i="16" s="1"/>
  <c r="J12" i="16" a="1"/>
  <c r="J12" i="16" s="1"/>
  <c r="I12" i="16" a="1"/>
  <c r="I12" i="16" s="1"/>
  <c r="H12" i="16" a="1"/>
  <c r="H12" i="16" s="1"/>
  <c r="G12" i="16" a="1"/>
  <c r="G12" i="16" s="1"/>
  <c r="F12" i="16" a="1"/>
  <c r="F12" i="16" s="1"/>
  <c r="U30" i="16" s="1"/>
  <c r="E12" i="16" a="1"/>
  <c r="E12" i="16" s="1"/>
  <c r="T30" i="16" s="1"/>
  <c r="D12" i="16" a="1"/>
  <c r="D12" i="16" s="1"/>
  <c r="S30" i="16" s="1"/>
  <c r="C12" i="16" a="1"/>
  <c r="C12" i="16" s="1"/>
  <c r="Q11" i="16" a="1"/>
  <c r="Q11" i="16" s="1"/>
  <c r="P11" i="16" a="1"/>
  <c r="P11" i="16" s="1"/>
  <c r="O11" i="16" a="1"/>
  <c r="O11" i="16" s="1"/>
  <c r="N11" i="16" a="1"/>
  <c r="N11" i="16" s="1"/>
  <c r="M11" i="16" a="1"/>
  <c r="M11" i="16" s="1"/>
  <c r="L11" i="16" a="1"/>
  <c r="L11" i="16" s="1"/>
  <c r="K11" i="16" a="1"/>
  <c r="K11" i="16" s="1"/>
  <c r="J11" i="16" a="1"/>
  <c r="J11" i="16" s="1"/>
  <c r="I11" i="16" a="1"/>
  <c r="I11" i="16" s="1"/>
  <c r="H11" i="16" a="1"/>
  <c r="H11" i="16" s="1"/>
  <c r="G11" i="16" a="1"/>
  <c r="G11" i="16" s="1"/>
  <c r="F11" i="16" a="1"/>
  <c r="F11" i="16"/>
  <c r="E11" i="16" a="1"/>
  <c r="E11" i="16" s="1"/>
  <c r="T29" i="16" s="1"/>
  <c r="D11" i="16" a="1"/>
  <c r="D11" i="16" s="1"/>
  <c r="S29" i="16" s="1"/>
  <c r="C11" i="16" a="1"/>
  <c r="C11" i="16" s="1"/>
  <c r="B8" i="16"/>
  <c r="N5" i="16" a="1"/>
  <c r="N5" i="16" s="1"/>
  <c r="Q25" i="15" a="1"/>
  <c r="Q25" i="15" s="1"/>
  <c r="P25" i="15" a="1"/>
  <c r="P25" i="15" s="1"/>
  <c r="O25" i="15" a="1"/>
  <c r="O25" i="15" s="1"/>
  <c r="N25" i="15" a="1"/>
  <c r="N25" i="15"/>
  <c r="M25" i="15" a="1"/>
  <c r="M25" i="15"/>
  <c r="L25" i="15" a="1"/>
  <c r="L25" i="15" s="1"/>
  <c r="K25" i="15" a="1"/>
  <c r="K25" i="15" s="1"/>
  <c r="J25" i="15" a="1"/>
  <c r="J25" i="15" s="1"/>
  <c r="I25" i="15" a="1"/>
  <c r="I25" i="15" s="1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Q24" i="15" a="1"/>
  <c r="Q24" i="15" s="1"/>
  <c r="P24" i="15" a="1"/>
  <c r="P24" i="15" s="1"/>
  <c r="O24" i="15" a="1"/>
  <c r="O24" i="15" s="1"/>
  <c r="N24" i="15" a="1"/>
  <c r="N24" i="15" s="1"/>
  <c r="M24" i="15" a="1"/>
  <c r="M24" i="15" s="1"/>
  <c r="L24" i="15" a="1"/>
  <c r="L24" i="15" s="1"/>
  <c r="K24" i="15" a="1"/>
  <c r="K24" i="15" s="1"/>
  <c r="J24" i="15" a="1"/>
  <c r="J24" i="15" s="1"/>
  <c r="I24" i="15" a="1"/>
  <c r="I24" i="15" s="1"/>
  <c r="H24" i="15" a="1"/>
  <c r="H24" i="15" s="1"/>
  <c r="G24" i="15" a="1"/>
  <c r="G24" i="15"/>
  <c r="F24" i="15" a="1"/>
  <c r="F24" i="15" s="1"/>
  <c r="E24" i="15" a="1"/>
  <c r="E24" i="15" s="1"/>
  <c r="D24" i="15" a="1"/>
  <c r="D24" i="15"/>
  <c r="C24" i="15" a="1"/>
  <c r="C24" i="15" s="1"/>
  <c r="Q23" i="15" a="1"/>
  <c r="Q23" i="15" s="1"/>
  <c r="P23" i="15" a="1"/>
  <c r="P23" i="15"/>
  <c r="O23" i="15" a="1"/>
  <c r="O23" i="15" s="1"/>
  <c r="N23" i="15" a="1"/>
  <c r="N23" i="15" s="1"/>
  <c r="M23" i="15" a="1"/>
  <c r="M23" i="15"/>
  <c r="L23" i="15" a="1"/>
  <c r="L23" i="15"/>
  <c r="K23" i="15" a="1"/>
  <c r="K23" i="15" s="1"/>
  <c r="J23" i="15" a="1"/>
  <c r="J23" i="15" s="1"/>
  <c r="I23" i="15" a="1"/>
  <c r="I23" i="15" s="1"/>
  <c r="H23" i="15" a="1"/>
  <c r="H23" i="15"/>
  <c r="G23" i="15" a="1"/>
  <c r="G23" i="15"/>
  <c r="F23" i="15" a="1"/>
  <c r="F23" i="15" s="1"/>
  <c r="E23" i="15" a="1"/>
  <c r="E23" i="15" s="1"/>
  <c r="D23" i="15" a="1"/>
  <c r="D23" i="15"/>
  <c r="C23" i="15" a="1"/>
  <c r="C23" i="15" s="1"/>
  <c r="Q22" i="15" a="1"/>
  <c r="Q22" i="15" s="1"/>
  <c r="P22" i="15" a="1"/>
  <c r="P22" i="15"/>
  <c r="O22" i="15" a="1"/>
  <c r="O22" i="15" s="1"/>
  <c r="N22" i="15" a="1"/>
  <c r="N22" i="15" s="1"/>
  <c r="M22" i="15" a="1"/>
  <c r="M22" i="15"/>
  <c r="L22" i="15" a="1"/>
  <c r="L22" i="15" s="1"/>
  <c r="K22" i="15" a="1"/>
  <c r="K22" i="15" s="1"/>
  <c r="J22" i="15" a="1"/>
  <c r="J22" i="15" s="1"/>
  <c r="I22" i="15" a="1"/>
  <c r="I22" i="15" s="1"/>
  <c r="H22" i="15" a="1"/>
  <c r="H22" i="15"/>
  <c r="G22" i="15" a="1"/>
  <c r="G22" i="15" s="1"/>
  <c r="F22" i="15" a="1"/>
  <c r="F22" i="15"/>
  <c r="E22" i="15" a="1"/>
  <c r="E22" i="15"/>
  <c r="D22" i="15" a="1"/>
  <c r="D22" i="15" s="1"/>
  <c r="C22" i="15" a="1"/>
  <c r="C22" i="15" s="1"/>
  <c r="Q21" i="15" a="1"/>
  <c r="Q21" i="15" s="1"/>
  <c r="P21" i="15" a="1"/>
  <c r="P21" i="15" s="1"/>
  <c r="O21" i="15" a="1"/>
  <c r="O21" i="15" s="1"/>
  <c r="N21" i="15" a="1"/>
  <c r="N21" i="15"/>
  <c r="M21" i="15" a="1"/>
  <c r="M21" i="15" s="1"/>
  <c r="L21" i="15" a="1"/>
  <c r="L21" i="15" s="1"/>
  <c r="K21" i="15" a="1"/>
  <c r="K21" i="15" s="1"/>
  <c r="J21" i="15" a="1"/>
  <c r="J21" i="15" s="1"/>
  <c r="I21" i="15" a="1"/>
  <c r="I21" i="15" s="1"/>
  <c r="H21" i="15" a="1"/>
  <c r="H21" i="15" s="1"/>
  <c r="G21" i="15" a="1"/>
  <c r="G21" i="15"/>
  <c r="F21" i="15" a="1"/>
  <c r="F21" i="15" s="1"/>
  <c r="E21" i="15" a="1"/>
  <c r="E21" i="15" s="1"/>
  <c r="D21" i="15" a="1"/>
  <c r="D21" i="15"/>
  <c r="C21" i="15" a="1"/>
  <c r="C21" i="15" s="1"/>
  <c r="Q20" i="15" a="1"/>
  <c r="Q20" i="15" s="1"/>
  <c r="P20" i="15" a="1"/>
  <c r="P20" i="15"/>
  <c r="O20" i="15" a="1"/>
  <c r="O20" i="15" s="1"/>
  <c r="N20" i="15" a="1"/>
  <c r="N20" i="15" s="1"/>
  <c r="M20" i="15" a="1"/>
  <c r="M20" i="15" s="1"/>
  <c r="L20" i="15" a="1"/>
  <c r="L20" i="15" s="1"/>
  <c r="K20" i="15" a="1"/>
  <c r="K20" i="15" s="1"/>
  <c r="J20" i="15" a="1"/>
  <c r="J20" i="15" s="1"/>
  <c r="I20" i="15" a="1"/>
  <c r="I20" i="15" s="1"/>
  <c r="H20" i="15" a="1"/>
  <c r="H20" i="15" s="1"/>
  <c r="G20" i="15" a="1"/>
  <c r="G20" i="15"/>
  <c r="F20" i="15" a="1"/>
  <c r="F20" i="15" s="1"/>
  <c r="E20" i="15" a="1"/>
  <c r="E20" i="15" s="1"/>
  <c r="D20" i="15" a="1"/>
  <c r="D20" i="15" s="1"/>
  <c r="C20" i="15" a="1"/>
  <c r="C20" i="15" s="1"/>
  <c r="Q19" i="15" a="1"/>
  <c r="Q19" i="15" s="1"/>
  <c r="P19" i="15" a="1"/>
  <c r="P19" i="15"/>
  <c r="O19" i="15" a="1"/>
  <c r="O19" i="15" s="1"/>
  <c r="N19" i="15" a="1"/>
  <c r="N19" i="15" s="1"/>
  <c r="M19" i="15" a="1"/>
  <c r="M19" i="15" s="1"/>
  <c r="L19" i="15" a="1"/>
  <c r="L19" i="15" s="1"/>
  <c r="K19" i="15" a="1"/>
  <c r="K19" i="15"/>
  <c r="J19" i="15" a="1"/>
  <c r="J19" i="15" s="1"/>
  <c r="I19" i="15" a="1"/>
  <c r="I19" i="15" s="1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Q18" i="15" a="1"/>
  <c r="Q18" i="15" s="1"/>
  <c r="P18" i="15" a="1"/>
  <c r="P18" i="15" s="1"/>
  <c r="O18" i="15" a="1"/>
  <c r="O18" i="15" s="1"/>
  <c r="N18" i="15" a="1"/>
  <c r="N18" i="15"/>
  <c r="M18" i="15" a="1"/>
  <c r="M18" i="15"/>
  <c r="L18" i="15" a="1"/>
  <c r="L18" i="15" s="1"/>
  <c r="K18" i="15" a="1"/>
  <c r="K18" i="15"/>
  <c r="J18" i="15" a="1"/>
  <c r="J18" i="15" s="1"/>
  <c r="I18" i="15" a="1"/>
  <c r="I18" i="15" s="1"/>
  <c r="H18" i="15" a="1"/>
  <c r="H18" i="15" s="1"/>
  <c r="G18" i="15" a="1"/>
  <c r="G18" i="15" s="1"/>
  <c r="F18" i="15" a="1"/>
  <c r="F18" i="15"/>
  <c r="E18" i="15" a="1"/>
  <c r="E18" i="15" s="1"/>
  <c r="D18" i="15" a="1"/>
  <c r="D18" i="15" s="1"/>
  <c r="C18" i="15" a="1"/>
  <c r="C18" i="15" s="1"/>
  <c r="Q17" i="15" a="1"/>
  <c r="Q17" i="15" s="1"/>
  <c r="P17" i="15" a="1"/>
  <c r="P17" i="15" s="1"/>
  <c r="O17" i="15" a="1"/>
  <c r="O17" i="15" s="1"/>
  <c r="N17" i="15" a="1"/>
  <c r="N17" i="15"/>
  <c r="M17" i="15" a="1"/>
  <c r="M17" i="15" s="1"/>
  <c r="L17" i="15" a="1"/>
  <c r="L17" i="15" s="1"/>
  <c r="K17" i="15" a="1"/>
  <c r="K17" i="15" s="1"/>
  <c r="J17" i="15" a="1"/>
  <c r="J17" i="15" s="1"/>
  <c r="I17" i="15" a="1"/>
  <c r="I17" i="15" s="1"/>
  <c r="H17" i="15" a="1"/>
  <c r="H17" i="15"/>
  <c r="G17" i="15" a="1"/>
  <c r="G17" i="15" s="1"/>
  <c r="F17" i="15" a="1"/>
  <c r="F17" i="15"/>
  <c r="E17" i="15" a="1"/>
  <c r="E17" i="15" s="1"/>
  <c r="D17" i="15" a="1"/>
  <c r="D17" i="15" s="1"/>
  <c r="C17" i="15" a="1"/>
  <c r="C17" i="15" s="1"/>
  <c r="Q16" i="15" a="1"/>
  <c r="Q16" i="15" s="1"/>
  <c r="P16" i="15" a="1"/>
  <c r="P16" i="15" s="1"/>
  <c r="O16" i="15" a="1"/>
  <c r="O16" i="15"/>
  <c r="N16" i="15" a="1"/>
  <c r="N16" i="15" s="1"/>
  <c r="M16" i="15" a="1"/>
  <c r="M16" i="15"/>
  <c r="L16" i="15" a="1"/>
  <c r="L16" i="15" s="1"/>
  <c r="K16" i="15" a="1"/>
  <c r="K16" i="15"/>
  <c r="J16" i="15" a="1"/>
  <c r="J16" i="15" s="1"/>
  <c r="I16" i="15" a="1"/>
  <c r="I16" i="15" s="1"/>
  <c r="H16" i="15" a="1"/>
  <c r="H16" i="15" s="1"/>
  <c r="G16" i="15" a="1"/>
  <c r="G16" i="15" s="1"/>
  <c r="F16" i="15" a="1"/>
  <c r="F16" i="15" s="1"/>
  <c r="E16" i="15" a="1"/>
  <c r="E16" i="15"/>
  <c r="D16" i="15" a="1"/>
  <c r="D16" i="15"/>
  <c r="C16" i="15" a="1"/>
  <c r="C16" i="15" s="1"/>
  <c r="Q15" i="15" a="1"/>
  <c r="Q15" i="15" s="1"/>
  <c r="P15" i="15" a="1"/>
  <c r="P15" i="15" s="1"/>
  <c r="O15" i="15" a="1"/>
  <c r="O15" i="15" s="1"/>
  <c r="N15" i="15" a="1"/>
  <c r="N15" i="15" s="1"/>
  <c r="M15" i="15" a="1"/>
  <c r="M15" i="15" s="1"/>
  <c r="L15" i="15" a="1"/>
  <c r="L15" i="15"/>
  <c r="K15" i="15" a="1"/>
  <c r="K15" i="15" s="1"/>
  <c r="J15" i="15" a="1"/>
  <c r="J15" i="15"/>
  <c r="I15" i="15" a="1"/>
  <c r="I15" i="15" s="1"/>
  <c r="H15" i="15" a="1"/>
  <c r="H15" i="15"/>
  <c r="G15" i="15" a="1"/>
  <c r="G15" i="15" s="1"/>
  <c r="F15" i="15" a="1"/>
  <c r="F15" i="15" s="1"/>
  <c r="E15" i="15" a="1"/>
  <c r="E15" i="15" s="1"/>
  <c r="D15" i="15" a="1"/>
  <c r="D15" i="15" s="1"/>
  <c r="C15" i="15" a="1"/>
  <c r="C15" i="15"/>
  <c r="Q14" i="15" a="1"/>
  <c r="Q14" i="15" s="1"/>
  <c r="P14" i="15" a="1"/>
  <c r="P14" i="15" s="1"/>
  <c r="O14" i="15" a="1"/>
  <c r="O14" i="15"/>
  <c r="N14" i="15" a="1"/>
  <c r="N14" i="15"/>
  <c r="M14" i="15" a="1"/>
  <c r="M14" i="15"/>
  <c r="L14" i="15" a="1"/>
  <c r="L14" i="15" s="1"/>
  <c r="K14" i="15" a="1"/>
  <c r="K14" i="15" s="1"/>
  <c r="J14" i="15" a="1"/>
  <c r="J14" i="15"/>
  <c r="I14" i="15" a="1"/>
  <c r="I14" i="15" s="1"/>
  <c r="H14" i="15" a="1"/>
  <c r="H14" i="15" s="1"/>
  <c r="G14" i="15" a="1"/>
  <c r="G14" i="15"/>
  <c r="F14" i="15" a="1"/>
  <c r="F14" i="15"/>
  <c r="E14" i="15" a="1"/>
  <c r="E14" i="15" s="1"/>
  <c r="D14" i="15" a="1"/>
  <c r="D14" i="15"/>
  <c r="C14" i="15" a="1"/>
  <c r="C14" i="15" s="1"/>
  <c r="Q13" i="15" a="1"/>
  <c r="Q13" i="15" s="1"/>
  <c r="P13" i="15" a="1"/>
  <c r="P13" i="15" s="1"/>
  <c r="O13" i="15" a="1"/>
  <c r="O13" i="15" s="1"/>
  <c r="N13" i="15" a="1"/>
  <c r="N13" i="15" s="1"/>
  <c r="M13" i="15" a="1"/>
  <c r="M13" i="15" s="1"/>
  <c r="L13" i="15" a="1"/>
  <c r="L13" i="15" s="1"/>
  <c r="K13" i="15" a="1"/>
  <c r="K13" i="15" s="1"/>
  <c r="J13" i="15" a="1"/>
  <c r="J13" i="15" s="1"/>
  <c r="I13" i="15" a="1"/>
  <c r="I13" i="15" s="1"/>
  <c r="H13" i="15" a="1"/>
  <c r="H13" i="15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Q12" i="15" a="1"/>
  <c r="Q12" i="15" s="1"/>
  <c r="P12" i="15" a="1"/>
  <c r="P12" i="15" s="1"/>
  <c r="O12" i="15" a="1"/>
  <c r="O12" i="15"/>
  <c r="N12" i="15" a="1"/>
  <c r="N12" i="15" s="1"/>
  <c r="M12" i="15" a="1"/>
  <c r="M12" i="15"/>
  <c r="L12" i="15" a="1"/>
  <c r="L12" i="15" s="1"/>
  <c r="K12" i="15" a="1"/>
  <c r="K12" i="15" s="1"/>
  <c r="J12" i="15" a="1"/>
  <c r="J12" i="15" s="1"/>
  <c r="I12" i="15" a="1"/>
  <c r="I12" i="15" s="1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P11" i="15" a="1"/>
  <c r="P11" i="15"/>
  <c r="O11" i="15" a="1"/>
  <c r="O11" i="15" s="1"/>
  <c r="N11" i="15" a="1"/>
  <c r="N11" i="15" s="1"/>
  <c r="M11" i="15" a="1"/>
  <c r="M11" i="15" s="1"/>
  <c r="L11" i="15" a="1"/>
  <c r="L11" i="15" s="1"/>
  <c r="K11" i="15" a="1"/>
  <c r="K11" i="15" s="1"/>
  <c r="J11" i="15" a="1"/>
  <c r="J11" i="15" s="1"/>
  <c r="I11" i="15" a="1"/>
  <c r="I11" i="15" s="1"/>
  <c r="H11" i="15" a="1"/>
  <c r="H11" i="15" s="1"/>
  <c r="W29" i="15" s="1"/>
  <c r="G11" i="15" a="1"/>
  <c r="G11" i="15" s="1"/>
  <c r="Y29" i="15" s="1"/>
  <c r="F11" i="15" a="1"/>
  <c r="F11" i="15" s="1"/>
  <c r="X29" i="15" s="1"/>
  <c r="E11" i="15" a="1"/>
  <c r="E11" i="15" s="1"/>
  <c r="T29" i="15" s="1"/>
  <c r="D11" i="15" a="1"/>
  <c r="D11" i="15"/>
  <c r="S29" i="15" s="1"/>
  <c r="C11" i="15" a="1"/>
  <c r="C11" i="15" s="1"/>
  <c r="N5" i="15" a="1"/>
  <c r="N5" i="15" s="1"/>
  <c r="H5" i="15" a="1"/>
  <c r="H5" i="15" s="1"/>
  <c r="Q25" i="14" a="1"/>
  <c r="Q25" i="14"/>
  <c r="P25" i="14" a="1"/>
  <c r="P25" i="14" s="1"/>
  <c r="O25" i="14" a="1"/>
  <c r="O25" i="14" s="1"/>
  <c r="N25" i="14" a="1"/>
  <c r="N25" i="14"/>
  <c r="M25" i="14" a="1"/>
  <c r="M25" i="14" s="1"/>
  <c r="L25" i="14" a="1"/>
  <c r="L25" i="14" s="1"/>
  <c r="K25" i="14" a="1"/>
  <c r="K25" i="14" s="1"/>
  <c r="J25" i="14" a="1"/>
  <c r="J25" i="14" s="1"/>
  <c r="I25" i="14" a="1"/>
  <c r="I25" i="14" s="1"/>
  <c r="H25" i="14" a="1"/>
  <c r="H25" i="14" s="1"/>
  <c r="G25" i="14" a="1"/>
  <c r="G25" i="14"/>
  <c r="F25" i="14" a="1"/>
  <c r="F25" i="14"/>
  <c r="E25" i="14" a="1"/>
  <c r="E25" i="14" s="1"/>
  <c r="D25" i="14" a="1"/>
  <c r="D25" i="14" s="1"/>
  <c r="C25" i="14" a="1"/>
  <c r="C25" i="14"/>
  <c r="Q24" i="14" a="1"/>
  <c r="Q24" i="14" s="1"/>
  <c r="P24" i="14" a="1"/>
  <c r="P24" i="14" s="1"/>
  <c r="O24" i="14" a="1"/>
  <c r="O24" i="14" s="1"/>
  <c r="N24" i="14" a="1"/>
  <c r="N24" i="14"/>
  <c r="M24" i="14" a="1"/>
  <c r="M24" i="14" s="1"/>
  <c r="L24" i="14" a="1"/>
  <c r="L24" i="14" s="1"/>
  <c r="K24" i="14" a="1"/>
  <c r="K24" i="14" s="1"/>
  <c r="J24" i="14" a="1"/>
  <c r="J24" i="14" s="1"/>
  <c r="I24" i="14" a="1"/>
  <c r="I24" i="14" s="1"/>
  <c r="H24" i="14" a="1"/>
  <c r="H24" i="14"/>
  <c r="G24" i="14" a="1"/>
  <c r="G24" i="14" s="1"/>
  <c r="F24" i="14" a="1"/>
  <c r="F24" i="14" s="1"/>
  <c r="E24" i="14" a="1"/>
  <c r="E24" i="14" s="1"/>
  <c r="D24" i="14" a="1"/>
  <c r="D24" i="14" s="1"/>
  <c r="C24" i="14" a="1"/>
  <c r="C24" i="14"/>
  <c r="Q23" i="14" a="1"/>
  <c r="Q23" i="14" s="1"/>
  <c r="P23" i="14" a="1"/>
  <c r="P23" i="14" s="1"/>
  <c r="O23" i="14" a="1"/>
  <c r="O23" i="14"/>
  <c r="N23" i="14" a="1"/>
  <c r="N23" i="14" s="1"/>
  <c r="M23" i="14" a="1"/>
  <c r="M23" i="14" s="1"/>
  <c r="L23" i="14" a="1"/>
  <c r="L23" i="14"/>
  <c r="K23" i="14" a="1"/>
  <c r="K23" i="14" s="1"/>
  <c r="J23" i="14" a="1"/>
  <c r="J23" i="14" s="1"/>
  <c r="I23" i="14" a="1"/>
  <c r="I23" i="14" s="1"/>
  <c r="H23" i="14" a="1"/>
  <c r="H23" i="14" s="1"/>
  <c r="G23" i="14" a="1"/>
  <c r="G23" i="14" s="1"/>
  <c r="F23" i="14" a="1"/>
  <c r="F23" i="14"/>
  <c r="E23" i="14" a="1"/>
  <c r="E23" i="14"/>
  <c r="D23" i="14" a="1"/>
  <c r="D23" i="14" s="1"/>
  <c r="C23" i="14" a="1"/>
  <c r="C23" i="14" s="1"/>
  <c r="Q22" i="14" a="1"/>
  <c r="Q22" i="14" s="1"/>
  <c r="P22" i="14" a="1"/>
  <c r="P22" i="14" s="1"/>
  <c r="O22" i="14" a="1"/>
  <c r="O22" i="14" s="1"/>
  <c r="N22" i="14" a="1"/>
  <c r="N22" i="14" s="1"/>
  <c r="M22" i="14" a="1"/>
  <c r="M22" i="14" s="1"/>
  <c r="L22" i="14" a="1"/>
  <c r="L22" i="14"/>
  <c r="K22" i="14" a="1"/>
  <c r="K22" i="14" s="1"/>
  <c r="J22" i="14" a="1"/>
  <c r="J22" i="14"/>
  <c r="I22" i="14" a="1"/>
  <c r="I22" i="14" s="1"/>
  <c r="H22" i="14" a="1"/>
  <c r="H22" i="14" s="1"/>
  <c r="G22" i="14" a="1"/>
  <c r="G22" i="14" s="1"/>
  <c r="F22" i="14" a="1"/>
  <c r="F22" i="14"/>
  <c r="E22" i="14" a="1"/>
  <c r="E22" i="14" s="1"/>
  <c r="D22" i="14" a="1"/>
  <c r="D22" i="14" s="1"/>
  <c r="C22" i="14" a="1"/>
  <c r="C22" i="14"/>
  <c r="Q21" i="14" a="1"/>
  <c r="Q21" i="14"/>
  <c r="P21" i="14" a="1"/>
  <c r="P21" i="14" s="1"/>
  <c r="O21" i="14" a="1"/>
  <c r="O21" i="14" s="1"/>
  <c r="N21" i="14" a="1"/>
  <c r="N21" i="14"/>
  <c r="M21" i="14" a="1"/>
  <c r="M21" i="14" s="1"/>
  <c r="L21" i="14" a="1"/>
  <c r="L21" i="14" s="1"/>
  <c r="K21" i="14" a="1"/>
  <c r="K21" i="14" s="1"/>
  <c r="J21" i="14" a="1"/>
  <c r="J21" i="14" s="1"/>
  <c r="I21" i="14" a="1"/>
  <c r="I21" i="14" s="1"/>
  <c r="H21" i="14" a="1"/>
  <c r="H21" i="14"/>
  <c r="G21" i="14" a="1"/>
  <c r="G21" i="14" s="1"/>
  <c r="F21" i="14" a="1"/>
  <c r="F21" i="14"/>
  <c r="E21" i="14" a="1"/>
  <c r="E21" i="14"/>
  <c r="D21" i="14" a="1"/>
  <c r="D21" i="14" s="1"/>
  <c r="C21" i="14" a="1"/>
  <c r="C21" i="14" s="1"/>
  <c r="Q20" i="14" a="1"/>
  <c r="Q20" i="14" s="1"/>
  <c r="P20" i="14" a="1"/>
  <c r="P20" i="14" s="1"/>
  <c r="O20" i="14" a="1"/>
  <c r="O20" i="14" s="1"/>
  <c r="N20" i="14" a="1"/>
  <c r="N20" i="14" s="1"/>
  <c r="M20" i="14" a="1"/>
  <c r="M20" i="14"/>
  <c r="L20" i="14" a="1"/>
  <c r="L20" i="14"/>
  <c r="K20" i="14" a="1"/>
  <c r="K20" i="14" s="1"/>
  <c r="J20" i="14" a="1"/>
  <c r="J20" i="14" s="1"/>
  <c r="I20" i="14" a="1"/>
  <c r="I20" i="14"/>
  <c r="H20" i="14" a="1"/>
  <c r="H20" i="14" s="1"/>
  <c r="G20" i="14" a="1"/>
  <c r="G20" i="14" s="1"/>
  <c r="F20" i="14" a="1"/>
  <c r="F20" i="14" s="1"/>
  <c r="E20" i="14" a="1"/>
  <c r="E20" i="14" s="1"/>
  <c r="D20" i="14" a="1"/>
  <c r="D20" i="14" s="1"/>
  <c r="C20" i="14" a="1"/>
  <c r="C20" i="14" s="1"/>
  <c r="Q19" i="14" a="1"/>
  <c r="Q19" i="14" s="1"/>
  <c r="P19" i="14" a="1"/>
  <c r="P19" i="14"/>
  <c r="O19" i="14" a="1"/>
  <c r="O19" i="14"/>
  <c r="N19" i="14" a="1"/>
  <c r="N19" i="14"/>
  <c r="M19" i="14" a="1"/>
  <c r="M19" i="14" s="1"/>
  <c r="L19" i="14" a="1"/>
  <c r="L19" i="14" s="1"/>
  <c r="K19" i="14" a="1"/>
  <c r="K19" i="14" s="1"/>
  <c r="J19" i="14" a="1"/>
  <c r="J19" i="14"/>
  <c r="I19" i="14" a="1"/>
  <c r="I19" i="14" s="1"/>
  <c r="H19" i="14" a="1"/>
  <c r="H19" i="14"/>
  <c r="G19" i="14" a="1"/>
  <c r="G19" i="14"/>
  <c r="F19" i="14" a="1"/>
  <c r="F19" i="14"/>
  <c r="E19" i="14" a="1"/>
  <c r="E19" i="14" s="1"/>
  <c r="D19" i="14" a="1"/>
  <c r="D19" i="14" s="1"/>
  <c r="C19" i="14" a="1"/>
  <c r="C19" i="14" s="1"/>
  <c r="Q18" i="14" a="1"/>
  <c r="Q18" i="14" s="1"/>
  <c r="P18" i="14" a="1"/>
  <c r="P18" i="14" s="1"/>
  <c r="O18" i="14" a="1"/>
  <c r="O18" i="14"/>
  <c r="N18" i="14" a="1"/>
  <c r="N18" i="14" s="1"/>
  <c r="M18" i="14" a="1"/>
  <c r="M18" i="14"/>
  <c r="L18" i="14" a="1"/>
  <c r="L18" i="14" s="1"/>
  <c r="K18" i="14" a="1"/>
  <c r="K18" i="14" s="1"/>
  <c r="J18" i="14" a="1"/>
  <c r="J18" i="14"/>
  <c r="I18" i="14" a="1"/>
  <c r="I18" i="14" s="1"/>
  <c r="H18" i="14" a="1"/>
  <c r="H18" i="14" s="1"/>
  <c r="G18" i="14" a="1"/>
  <c r="G18" i="14" s="1"/>
  <c r="F18" i="14" a="1"/>
  <c r="F18" i="14" s="1"/>
  <c r="E18" i="14" a="1"/>
  <c r="E18" i="14" s="1"/>
  <c r="D18" i="14" a="1"/>
  <c r="D18" i="14"/>
  <c r="C18" i="14" a="1"/>
  <c r="C18" i="14" s="1"/>
  <c r="Q17" i="14" a="1"/>
  <c r="Q17" i="14" s="1"/>
  <c r="P17" i="14" a="1"/>
  <c r="P17" i="14" s="1"/>
  <c r="O17" i="14" a="1"/>
  <c r="O17" i="14" s="1"/>
  <c r="N17" i="14" a="1"/>
  <c r="N17" i="14"/>
  <c r="M17" i="14" a="1"/>
  <c r="M17" i="14" s="1"/>
  <c r="L17" i="14" a="1"/>
  <c r="L17" i="14" s="1"/>
  <c r="K17" i="14" a="1"/>
  <c r="K17" i="14" s="1"/>
  <c r="J17" i="14" a="1"/>
  <c r="J17" i="14" s="1"/>
  <c r="I17" i="14" a="1"/>
  <c r="I17" i="14" s="1"/>
  <c r="H17" i="14" a="1"/>
  <c r="H17" i="14"/>
  <c r="G17" i="14" a="1"/>
  <c r="G17" i="14" s="1"/>
  <c r="F17" i="14" a="1"/>
  <c r="F17" i="14" s="1"/>
  <c r="E17" i="14" a="1"/>
  <c r="E17" i="14" s="1"/>
  <c r="D17" i="14" a="1"/>
  <c r="D17" i="14" s="1"/>
  <c r="C17" i="14" a="1"/>
  <c r="C17" i="14"/>
  <c r="Q16" i="14" a="1"/>
  <c r="Q16" i="14" s="1"/>
  <c r="P16" i="14" a="1"/>
  <c r="P16" i="14" s="1"/>
  <c r="O16" i="14" a="1"/>
  <c r="O16" i="14" s="1"/>
  <c r="N16" i="14" a="1"/>
  <c r="N16" i="14"/>
  <c r="M16" i="14" a="1"/>
  <c r="M16" i="14" s="1"/>
  <c r="L16" i="14" a="1"/>
  <c r="L16" i="14" s="1"/>
  <c r="K16" i="14" a="1"/>
  <c r="K16" i="14" s="1"/>
  <c r="J16" i="14" a="1"/>
  <c r="J16" i="14" s="1"/>
  <c r="I16" i="14" a="1"/>
  <c r="I16" i="14" s="1"/>
  <c r="H16" i="14" a="1"/>
  <c r="H16" i="14"/>
  <c r="G16" i="14" a="1"/>
  <c r="G16" i="14" s="1"/>
  <c r="F16" i="14" a="1"/>
  <c r="F16" i="14" s="1"/>
  <c r="E16" i="14" a="1"/>
  <c r="E16" i="14" s="1"/>
  <c r="D16" i="14" a="1"/>
  <c r="D16" i="14"/>
  <c r="C16" i="14" a="1"/>
  <c r="C16" i="14" s="1"/>
  <c r="Q15" i="14" a="1"/>
  <c r="Q15" i="14" s="1"/>
  <c r="P15" i="14" a="1"/>
  <c r="P15" i="14" s="1"/>
  <c r="O15" i="14" a="1"/>
  <c r="O15" i="14" s="1"/>
  <c r="N15" i="14" a="1"/>
  <c r="N15" i="14"/>
  <c r="M15" i="14" a="1"/>
  <c r="M15" i="14" s="1"/>
  <c r="L15" i="14" a="1"/>
  <c r="L15" i="14" s="1"/>
  <c r="K15" i="14" a="1"/>
  <c r="K15" i="14" s="1"/>
  <c r="J15" i="14" a="1"/>
  <c r="J15" i="14" s="1"/>
  <c r="I15" i="14" a="1"/>
  <c r="I15" i="14" s="1"/>
  <c r="H15" i="14" a="1"/>
  <c r="H15" i="14" s="1"/>
  <c r="G15" i="14" a="1"/>
  <c r="G15" i="14" s="1"/>
  <c r="F15" i="14" a="1"/>
  <c r="F15" i="14" s="1"/>
  <c r="E15" i="14" a="1"/>
  <c r="E15" i="14" s="1"/>
  <c r="D15" i="14" a="1"/>
  <c r="D15" i="14" s="1"/>
  <c r="C15" i="14" a="1"/>
  <c r="C15" i="14" s="1"/>
  <c r="Q14" i="14" a="1"/>
  <c r="Q14" i="14"/>
  <c r="P14" i="14" a="1"/>
  <c r="P14" i="14" s="1"/>
  <c r="O14" i="14" a="1"/>
  <c r="O14" i="14" s="1"/>
  <c r="N14" i="14" a="1"/>
  <c r="N14" i="14" s="1"/>
  <c r="M14" i="14" a="1"/>
  <c r="M14" i="14"/>
  <c r="L14" i="14" a="1"/>
  <c r="L14" i="14"/>
  <c r="K14" i="14" a="1"/>
  <c r="K14" i="14" s="1"/>
  <c r="J14" i="14" a="1"/>
  <c r="J14" i="14" s="1"/>
  <c r="I14" i="14" a="1"/>
  <c r="I14" i="14" s="1"/>
  <c r="H14" i="14" a="1"/>
  <c r="H14" i="14" s="1"/>
  <c r="G14" i="14" a="1"/>
  <c r="G14" i="14" s="1"/>
  <c r="F14" i="14" a="1"/>
  <c r="F14" i="14"/>
  <c r="E14" i="14" a="1"/>
  <c r="E14" i="14" s="1"/>
  <c r="D14" i="14" a="1"/>
  <c r="D14" i="14"/>
  <c r="C14" i="14" a="1"/>
  <c r="C14" i="14"/>
  <c r="Q13" i="14" a="1"/>
  <c r="Q13" i="14"/>
  <c r="P13" i="14" a="1"/>
  <c r="P13" i="14"/>
  <c r="O13" i="14" a="1"/>
  <c r="O13" i="14" s="1"/>
  <c r="N13" i="14" a="1"/>
  <c r="N13" i="14" s="1"/>
  <c r="M13" i="14" a="1"/>
  <c r="M13" i="14" s="1"/>
  <c r="L13" i="14" a="1"/>
  <c r="L13" i="14" s="1"/>
  <c r="K13" i="14" a="1"/>
  <c r="K13" i="14"/>
  <c r="J13" i="14" a="1"/>
  <c r="J13" i="14" s="1"/>
  <c r="I13" i="14" a="1"/>
  <c r="I13" i="14" s="1"/>
  <c r="H13" i="14" a="1"/>
  <c r="H13" i="14" s="1"/>
  <c r="G13" i="14" a="1"/>
  <c r="G13" i="14"/>
  <c r="F13" i="14" a="1"/>
  <c r="F13" i="14"/>
  <c r="E13" i="14" a="1"/>
  <c r="E13" i="14" s="1"/>
  <c r="D13" i="14" a="1"/>
  <c r="D13" i="14" s="1"/>
  <c r="C13" i="14" a="1"/>
  <c r="C13" i="14" s="1"/>
  <c r="Q12" i="14" a="1"/>
  <c r="Q12" i="14"/>
  <c r="P12" i="14" a="1"/>
  <c r="P12" i="14" s="1"/>
  <c r="O12" i="14" a="1"/>
  <c r="O12" i="14" s="1"/>
  <c r="N12" i="14" a="1"/>
  <c r="N12" i="14" s="1"/>
  <c r="M12" i="14" a="1"/>
  <c r="M12" i="14"/>
  <c r="L12" i="14" a="1"/>
  <c r="L12" i="14" s="1"/>
  <c r="K12" i="14" a="1"/>
  <c r="K12" i="14" s="1"/>
  <c r="J12" i="14" a="1"/>
  <c r="J12" i="14" s="1"/>
  <c r="I12" i="14" a="1"/>
  <c r="I12" i="14" s="1"/>
  <c r="H12" i="14" a="1"/>
  <c r="H12" i="14" s="1"/>
  <c r="G12" i="14" a="1"/>
  <c r="G12" i="14"/>
  <c r="V30" i="14" s="1"/>
  <c r="F12" i="14" a="1"/>
  <c r="F12" i="14"/>
  <c r="E12" i="14" a="1"/>
  <c r="E12" i="14" s="1"/>
  <c r="T30" i="14" s="1"/>
  <c r="D12" i="14" a="1"/>
  <c r="D12" i="14"/>
  <c r="S30" i="14" s="1"/>
  <c r="C12" i="14" a="1"/>
  <c r="C12" i="14" s="1"/>
  <c r="Q11" i="14" a="1"/>
  <c r="Q11" i="14" s="1"/>
  <c r="P11" i="14" a="1"/>
  <c r="P11" i="14" s="1"/>
  <c r="O11" i="14" a="1"/>
  <c r="O11" i="14" s="1"/>
  <c r="N11" i="14" a="1"/>
  <c r="N11" i="14" s="1"/>
  <c r="M11" i="14" a="1"/>
  <c r="M11" i="14"/>
  <c r="L11" i="14" a="1"/>
  <c r="L11" i="14" s="1"/>
  <c r="K11" i="14" a="1"/>
  <c r="K11" i="14"/>
  <c r="J11" i="14" a="1"/>
  <c r="J11" i="14" s="1"/>
  <c r="I11" i="14" a="1"/>
  <c r="I11" i="14"/>
  <c r="H11" i="14" a="1"/>
  <c r="H11" i="14" s="1"/>
  <c r="G11" i="14" a="1"/>
  <c r="G11" i="14" s="1"/>
  <c r="F11" i="14" a="1"/>
  <c r="F11" i="14" s="1"/>
  <c r="U29" i="14" s="1"/>
  <c r="E11" i="14" a="1"/>
  <c r="E11" i="14"/>
  <c r="T29" i="14" s="1"/>
  <c r="D11" i="14" a="1"/>
  <c r="D11" i="14" s="1"/>
  <c r="S29" i="14" s="1"/>
  <c r="C11" i="14" a="1"/>
  <c r="C11" i="14" s="1"/>
  <c r="B8" i="14"/>
  <c r="N5" i="14" a="1"/>
  <c r="N5" i="14"/>
  <c r="H5" i="14" a="1"/>
  <c r="H5" i="14"/>
  <c r="W29" i="13"/>
  <c r="Q25" i="13" a="1"/>
  <c r="Q25" i="13" s="1"/>
  <c r="P25" i="13" a="1"/>
  <c r="P25" i="13"/>
  <c r="O25" i="13" a="1"/>
  <c r="O25" i="13" s="1"/>
  <c r="N25" i="13" a="1"/>
  <c r="N25" i="13"/>
  <c r="M25" i="13" a="1"/>
  <c r="M25" i="13"/>
  <c r="L25" i="13" a="1"/>
  <c r="L25" i="13"/>
  <c r="K25" i="13" a="1"/>
  <c r="K25" i="13" s="1"/>
  <c r="J25" i="13" a="1"/>
  <c r="J25" i="13" s="1"/>
  <c r="I25" i="13" a="1"/>
  <c r="I25" i="13" s="1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/>
  <c r="Q24" i="13" a="1"/>
  <c r="Q24" i="13" s="1"/>
  <c r="P24" i="13" a="1"/>
  <c r="P24" i="13"/>
  <c r="O24" i="13" a="1"/>
  <c r="O24" i="13" s="1"/>
  <c r="N24" i="13" a="1"/>
  <c r="N24" i="13" s="1"/>
  <c r="M24" i="13" a="1"/>
  <c r="M24" i="13"/>
  <c r="L24" i="13" a="1"/>
  <c r="L24" i="13" s="1"/>
  <c r="K24" i="13" a="1"/>
  <c r="K24" i="13" s="1"/>
  <c r="J24" i="13" a="1"/>
  <c r="J24" i="13" s="1"/>
  <c r="I24" i="13" a="1"/>
  <c r="I24" i="13" s="1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Q23" i="13" a="1"/>
  <c r="Q23" i="13" s="1"/>
  <c r="P23" i="13" a="1"/>
  <c r="P23" i="13" s="1"/>
  <c r="O23" i="13" a="1"/>
  <c r="O23" i="13" s="1"/>
  <c r="N23" i="13" a="1"/>
  <c r="N23" i="13" s="1"/>
  <c r="M23" i="13" a="1"/>
  <c r="M23" i="13" s="1"/>
  <c r="L23" i="13" a="1"/>
  <c r="L23" i="13"/>
  <c r="K23" i="13" a="1"/>
  <c r="K23" i="13"/>
  <c r="J23" i="13" a="1"/>
  <c r="J23" i="13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/>
  <c r="D23" i="13" a="1"/>
  <c r="D23" i="13" s="1"/>
  <c r="C23" i="13" a="1"/>
  <c r="C23" i="13" s="1"/>
  <c r="Q22" i="13" a="1"/>
  <c r="Q22" i="13"/>
  <c r="P22" i="13" a="1"/>
  <c r="P22" i="13"/>
  <c r="O22" i="13" a="1"/>
  <c r="O22" i="13" s="1"/>
  <c r="N22" i="13" a="1"/>
  <c r="N22" i="13" s="1"/>
  <c r="M22" i="13" a="1"/>
  <c r="M22" i="13" s="1"/>
  <c r="L22" i="13" a="1"/>
  <c r="L22" i="13"/>
  <c r="K22" i="13" a="1"/>
  <c r="K22" i="13" s="1"/>
  <c r="J22" i="13" a="1"/>
  <c r="J22" i="13" s="1"/>
  <c r="I22" i="13" a="1"/>
  <c r="I22" i="13" s="1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/>
  <c r="Q21" i="13" a="1"/>
  <c r="Q21" i="13" s="1"/>
  <c r="P21" i="13" a="1"/>
  <c r="P21" i="13"/>
  <c r="O21" i="13" a="1"/>
  <c r="O21" i="13" s="1"/>
  <c r="N21" i="13" a="1"/>
  <c r="N21" i="13" s="1"/>
  <c r="M21" i="13" a="1"/>
  <c r="M21" i="13" s="1"/>
  <c r="L21" i="13" a="1"/>
  <c r="L21" i="13" s="1"/>
  <c r="K21" i="13" a="1"/>
  <c r="K21" i="13" s="1"/>
  <c r="J21" i="13" a="1"/>
  <c r="J21" i="13" s="1"/>
  <c r="I21" i="13" a="1"/>
  <c r="I21" i="13" s="1"/>
  <c r="H21" i="13" a="1"/>
  <c r="H21" i="13" s="1"/>
  <c r="G21" i="13" a="1"/>
  <c r="G21" i="13"/>
  <c r="F21" i="13" a="1"/>
  <c r="F21" i="13"/>
  <c r="E21" i="13" a="1"/>
  <c r="E21" i="13"/>
  <c r="D21" i="13" a="1"/>
  <c r="D21" i="13" s="1"/>
  <c r="C21" i="13" a="1"/>
  <c r="C21" i="13" s="1"/>
  <c r="Q20" i="13" a="1"/>
  <c r="Q20" i="13" s="1"/>
  <c r="P20" i="13" a="1"/>
  <c r="P20" i="13" s="1"/>
  <c r="O20" i="13" a="1"/>
  <c r="O20" i="13" s="1"/>
  <c r="N20" i="13" a="1"/>
  <c r="N20" i="13" s="1"/>
  <c r="M20" i="13" a="1"/>
  <c r="M20" i="13" s="1"/>
  <c r="L20" i="13" a="1"/>
  <c r="L20" i="13"/>
  <c r="K20" i="13" a="1"/>
  <c r="K20" i="13"/>
  <c r="J20" i="13" a="1"/>
  <c r="J20" i="13"/>
  <c r="I20" i="13" a="1"/>
  <c r="I20" i="13" s="1"/>
  <c r="H20" i="13" a="1"/>
  <c r="H20" i="13" s="1"/>
  <c r="G20" i="13" a="1"/>
  <c r="G20" i="13" s="1"/>
  <c r="F20" i="13" a="1"/>
  <c r="F20" i="13" s="1"/>
  <c r="E20" i="13" a="1"/>
  <c r="E20" i="13"/>
  <c r="D20" i="13" a="1"/>
  <c r="D20" i="13"/>
  <c r="C20" i="13" a="1"/>
  <c r="C20" i="13" s="1"/>
  <c r="Q19" i="13" a="1"/>
  <c r="Q19" i="13" s="1"/>
  <c r="P19" i="13" a="1"/>
  <c r="P19" i="13" s="1"/>
  <c r="O19" i="13" a="1"/>
  <c r="O19" i="13" s="1"/>
  <c r="N19" i="13" a="1"/>
  <c r="N19" i="13" s="1"/>
  <c r="M19" i="13" a="1"/>
  <c r="M19" i="13" s="1"/>
  <c r="L19" i="13" a="1"/>
  <c r="L19" i="13" s="1"/>
  <c r="K19" i="13" a="1"/>
  <c r="K19" i="13" s="1"/>
  <c r="J19" i="13" a="1"/>
  <c r="J19" i="13" s="1"/>
  <c r="I19" i="13" a="1"/>
  <c r="I19" i="13"/>
  <c r="H19" i="13" a="1"/>
  <c r="H19" i="13"/>
  <c r="G19" i="13" a="1"/>
  <c r="G19" i="13"/>
  <c r="F19" i="13" a="1"/>
  <c r="F19" i="13" s="1"/>
  <c r="E19" i="13" a="1"/>
  <c r="E19" i="13"/>
  <c r="D19" i="13" a="1"/>
  <c r="D19" i="13" s="1"/>
  <c r="C19" i="13" a="1"/>
  <c r="C19" i="13" s="1"/>
  <c r="Q18" i="13" a="1"/>
  <c r="Q18" i="13" s="1"/>
  <c r="P18" i="13" a="1"/>
  <c r="P18" i="13" s="1"/>
  <c r="O18" i="13" a="1"/>
  <c r="O18" i="13" s="1"/>
  <c r="N18" i="13" a="1"/>
  <c r="N18" i="13" s="1"/>
  <c r="M18" i="13" a="1"/>
  <c r="M18" i="13" s="1"/>
  <c r="L18" i="13" a="1"/>
  <c r="L18" i="13"/>
  <c r="K18" i="13" a="1"/>
  <c r="K18" i="13" s="1"/>
  <c r="J18" i="13" a="1"/>
  <c r="J18" i="13"/>
  <c r="I18" i="13" a="1"/>
  <c r="I18" i="13" s="1"/>
  <c r="H18" i="13" a="1"/>
  <c r="H18" i="13" s="1"/>
  <c r="G18" i="13" a="1"/>
  <c r="G18" i="13" s="1"/>
  <c r="F18" i="13" a="1"/>
  <c r="F18" i="13" s="1"/>
  <c r="E18" i="13" a="1"/>
  <c r="E18" i="13"/>
  <c r="D18" i="13" a="1"/>
  <c r="D18" i="13" s="1"/>
  <c r="C18" i="13" a="1"/>
  <c r="C18" i="13" s="1"/>
  <c r="Q17" i="13" a="1"/>
  <c r="Q17" i="13"/>
  <c r="P17" i="13" a="1"/>
  <c r="P17" i="13" s="1"/>
  <c r="O17" i="13" a="1"/>
  <c r="O17" i="13" s="1"/>
  <c r="N17" i="13" a="1"/>
  <c r="N17" i="13" s="1"/>
  <c r="M17" i="13" a="1"/>
  <c r="M17" i="13" s="1"/>
  <c r="L17" i="13" a="1"/>
  <c r="L17" i="13" s="1"/>
  <c r="K17" i="13" a="1"/>
  <c r="K17" i="13" s="1"/>
  <c r="J17" i="13" a="1"/>
  <c r="J17" i="13"/>
  <c r="I17" i="13" a="1"/>
  <c r="I17" i="13" s="1"/>
  <c r="H17" i="13" a="1"/>
  <c r="H17" i="13"/>
  <c r="G17" i="13" a="1"/>
  <c r="G17" i="13"/>
  <c r="F17" i="13" a="1"/>
  <c r="F17" i="13" s="1"/>
  <c r="E17" i="13" a="1"/>
  <c r="E17" i="13" s="1"/>
  <c r="D17" i="13" a="1"/>
  <c r="D17" i="13" s="1"/>
  <c r="C17" i="13" a="1"/>
  <c r="C17" i="13" s="1"/>
  <c r="Q16" i="13" a="1"/>
  <c r="Q16" i="13" s="1"/>
  <c r="P16" i="13" a="1"/>
  <c r="P16" i="13" s="1"/>
  <c r="O16" i="13" a="1"/>
  <c r="O16" i="13" s="1"/>
  <c r="N16" i="13" a="1"/>
  <c r="N16" i="13"/>
  <c r="M16" i="13" a="1"/>
  <c r="M16" i="13" s="1"/>
  <c r="L16" i="13" a="1"/>
  <c r="L16" i="13"/>
  <c r="K16" i="13" a="1"/>
  <c r="K16" i="13"/>
  <c r="J16" i="13" a="1"/>
  <c r="J16" i="13" s="1"/>
  <c r="I16" i="13" a="1"/>
  <c r="I16" i="13"/>
  <c r="H16" i="13" a="1"/>
  <c r="H16" i="13" s="1"/>
  <c r="G16" i="13" a="1"/>
  <c r="G16" i="13"/>
  <c r="F16" i="13" a="1"/>
  <c r="F16" i="13" s="1"/>
  <c r="E16" i="13" a="1"/>
  <c r="E16" i="13" s="1"/>
  <c r="D16" i="13" a="1"/>
  <c r="D16" i="13"/>
  <c r="C16" i="13" a="1"/>
  <c r="C16" i="13"/>
  <c r="Q15" i="13" a="1"/>
  <c r="Q15" i="13" s="1"/>
  <c r="P15" i="13" a="1"/>
  <c r="P15" i="13" s="1"/>
  <c r="O15" i="13" a="1"/>
  <c r="O15" i="13" s="1"/>
  <c r="N15" i="13" a="1"/>
  <c r="N15" i="13" s="1"/>
  <c r="M15" i="13" a="1"/>
  <c r="M15" i="13" s="1"/>
  <c r="L15" i="13" a="1"/>
  <c r="L15" i="13" s="1"/>
  <c r="K15" i="13" a="1"/>
  <c r="K15" i="13"/>
  <c r="J15" i="13" a="1"/>
  <c r="J15" i="13" s="1"/>
  <c r="I15" i="13" a="1"/>
  <c r="I15" i="13" s="1"/>
  <c r="H15" i="13" a="1"/>
  <c r="H15" i="13"/>
  <c r="G15" i="13" a="1"/>
  <c r="G15" i="13" s="1"/>
  <c r="F15" i="13" a="1"/>
  <c r="F15" i="13"/>
  <c r="E15" i="13" a="1"/>
  <c r="E15" i="13" s="1"/>
  <c r="D15" i="13" a="1"/>
  <c r="D15" i="13" s="1"/>
  <c r="C15" i="13" a="1"/>
  <c r="C15" i="13" s="1"/>
  <c r="Q14" i="13" a="1"/>
  <c r="Q14" i="13"/>
  <c r="P14" i="13" a="1"/>
  <c r="P14" i="13" s="1"/>
  <c r="O14" i="13" a="1"/>
  <c r="O14" i="13" s="1"/>
  <c r="N14" i="13" a="1"/>
  <c r="N14" i="13"/>
  <c r="M14" i="13" a="1"/>
  <c r="M14" i="13"/>
  <c r="L14" i="13" a="1"/>
  <c r="L14" i="13"/>
  <c r="K14" i="13" a="1"/>
  <c r="K14" i="13" s="1"/>
  <c r="J14" i="13" a="1"/>
  <c r="J14" i="13" s="1"/>
  <c r="I14" i="13" a="1"/>
  <c r="I14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/>
  <c r="C14" i="13" a="1"/>
  <c r="C14" i="13" s="1"/>
  <c r="Q13" i="13" a="1"/>
  <c r="Q13" i="13" s="1"/>
  <c r="P13" i="13" a="1"/>
  <c r="P13" i="13" s="1"/>
  <c r="O13" i="13" a="1"/>
  <c r="O13" i="13" s="1"/>
  <c r="N13" i="13" a="1"/>
  <c r="N13" i="13"/>
  <c r="M13" i="13" a="1"/>
  <c r="M13" i="13" s="1"/>
  <c r="L13" i="13" a="1"/>
  <c r="L13" i="13" s="1"/>
  <c r="K13" i="13" a="1"/>
  <c r="K13" i="13"/>
  <c r="J13" i="13" a="1"/>
  <c r="J13" i="13" s="1"/>
  <c r="I13" i="13" a="1"/>
  <c r="I13" i="13" s="1"/>
  <c r="H13" i="13" a="1"/>
  <c r="H13" i="13" s="1"/>
  <c r="G13" i="13" a="1"/>
  <c r="G13" i="13" s="1"/>
  <c r="F13" i="13" a="1"/>
  <c r="F13" i="13" s="1"/>
  <c r="E13" i="13" a="1"/>
  <c r="E13" i="13" s="1"/>
  <c r="D13" i="13" a="1"/>
  <c r="D13" i="13"/>
  <c r="C13" i="13" a="1"/>
  <c r="C13" i="13" s="1"/>
  <c r="Q12" i="13" a="1"/>
  <c r="Q12" i="13" s="1"/>
  <c r="P12" i="13" a="1"/>
  <c r="P12" i="13" s="1"/>
  <c r="O12" i="13" a="1"/>
  <c r="O12" i="13"/>
  <c r="N12" i="13" a="1"/>
  <c r="N12" i="13"/>
  <c r="M12" i="13" a="1"/>
  <c r="M12" i="13" s="1"/>
  <c r="L12" i="13" a="1"/>
  <c r="L12" i="13"/>
  <c r="K12" i="13" a="1"/>
  <c r="K12" i="13" s="1"/>
  <c r="J12" i="13" a="1"/>
  <c r="J12" i="13" s="1"/>
  <c r="I12" i="13" a="1"/>
  <c r="I12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/>
  <c r="C12" i="13" a="1"/>
  <c r="C12" i="13" s="1"/>
  <c r="Q11" i="13" a="1"/>
  <c r="Q11" i="13" s="1"/>
  <c r="P11" i="13" a="1"/>
  <c r="P11" i="13"/>
  <c r="O11" i="13" a="1"/>
  <c r="O11" i="13" s="1"/>
  <c r="N11" i="13" a="1"/>
  <c r="N11" i="13" s="1"/>
  <c r="M11" i="13" a="1"/>
  <c r="M11" i="13" s="1"/>
  <c r="L11" i="13" a="1"/>
  <c r="L11" i="13"/>
  <c r="K11" i="13" a="1"/>
  <c r="K11" i="13" s="1"/>
  <c r="J11" i="13" a="1"/>
  <c r="J11" i="13"/>
  <c r="I11" i="13" a="1"/>
  <c r="I11" i="13" s="1"/>
  <c r="H11" i="13" a="1"/>
  <c r="H11" i="13"/>
  <c r="Z29" i="13" s="1"/>
  <c r="G11" i="13" a="1"/>
  <c r="G11" i="13" s="1"/>
  <c r="F11" i="13" a="1"/>
  <c r="F11" i="13" s="1"/>
  <c r="E11" i="13" a="1"/>
  <c r="E11" i="13"/>
  <c r="T29" i="13" s="1"/>
  <c r="D11" i="13" a="1"/>
  <c r="D11" i="13" s="1"/>
  <c r="S29" i="13" s="1"/>
  <c r="C11" i="13" a="1"/>
  <c r="C11" i="13"/>
  <c r="B8" i="13"/>
  <c r="N5" i="13" a="1"/>
  <c r="N5" i="13" s="1"/>
  <c r="H5" i="13" a="1"/>
  <c r="H5" i="13" s="1"/>
  <c r="V31" i="12"/>
  <c r="Z30" i="12"/>
  <c r="T30" i="12"/>
  <c r="W29" i="12"/>
  <c r="Q25" i="12" a="1"/>
  <c r="Q25" i="12" s="1"/>
  <c r="P25" i="12" a="1"/>
  <c r="P25" i="12"/>
  <c r="O25" i="12" a="1"/>
  <c r="O25" i="12" s="1"/>
  <c r="N25" i="12" a="1"/>
  <c r="N25" i="12"/>
  <c r="M25" i="12" a="1"/>
  <c r="M25" i="12"/>
  <c r="L25" i="12" a="1"/>
  <c r="L25" i="12"/>
  <c r="K25" i="12" a="1"/>
  <c r="K25" i="12"/>
  <c r="J25" i="12" a="1"/>
  <c r="J25" i="12"/>
  <c r="I25" i="12" a="1"/>
  <c r="I25" i="12" s="1"/>
  <c r="H25" i="12" a="1"/>
  <c r="H25" i="12" s="1"/>
  <c r="G25" i="12" a="1"/>
  <c r="G25" i="12"/>
  <c r="F25" i="12" a="1"/>
  <c r="F25" i="12"/>
  <c r="E25" i="12" a="1"/>
  <c r="E25" i="12"/>
  <c r="D25" i="12" a="1"/>
  <c r="D25" i="12" s="1"/>
  <c r="C25" i="12" a="1"/>
  <c r="C25" i="12" s="1"/>
  <c r="Q24" i="12" a="1"/>
  <c r="Q24" i="12" s="1"/>
  <c r="P24" i="12" a="1"/>
  <c r="P24" i="12" s="1"/>
  <c r="O24" i="12" a="1"/>
  <c r="O24" i="12"/>
  <c r="N24" i="12" a="1"/>
  <c r="N24" i="12"/>
  <c r="M24" i="12" a="1"/>
  <c r="M24" i="12"/>
  <c r="L24" i="12" a="1"/>
  <c r="L24" i="12"/>
  <c r="K24" i="12" a="1"/>
  <c r="K24" i="12"/>
  <c r="J24" i="12" a="1"/>
  <c r="J24" i="12"/>
  <c r="I24" i="12" a="1"/>
  <c r="I24" i="12" s="1"/>
  <c r="H24" i="12" a="1"/>
  <c r="H24" i="12"/>
  <c r="G24" i="12" a="1"/>
  <c r="G24" i="12"/>
  <c r="F24" i="12" a="1"/>
  <c r="F24" i="12"/>
  <c r="E24" i="12" a="1"/>
  <c r="E24" i="12"/>
  <c r="D24" i="12" a="1"/>
  <c r="D24" i="12" s="1"/>
  <c r="C24" i="12" a="1"/>
  <c r="C24" i="12" s="1"/>
  <c r="Q23" i="12" a="1"/>
  <c r="Q23" i="12" s="1"/>
  <c r="P23" i="12" a="1"/>
  <c r="P23" i="12"/>
  <c r="O23" i="12" a="1"/>
  <c r="O23" i="12"/>
  <c r="N23" i="12" a="1"/>
  <c r="N23" i="12"/>
  <c r="M23" i="12" a="1"/>
  <c r="M23" i="12"/>
  <c r="L23" i="12" a="1"/>
  <c r="L23" i="12"/>
  <c r="K23" i="12" a="1"/>
  <c r="K23" i="12"/>
  <c r="J23" i="12" a="1"/>
  <c r="J23" i="12" s="1"/>
  <c r="I23" i="12" a="1"/>
  <c r="I23" i="12"/>
  <c r="H23" i="12" a="1"/>
  <c r="H23" i="12"/>
  <c r="G23" i="12" a="1"/>
  <c r="G23" i="12"/>
  <c r="F23" i="12" a="1"/>
  <c r="F23" i="12"/>
  <c r="E23" i="12" a="1"/>
  <c r="E23" i="12"/>
  <c r="D23" i="12" a="1"/>
  <c r="D23" i="12" s="1"/>
  <c r="C23" i="12" a="1"/>
  <c r="C23" i="12" s="1"/>
  <c r="Q22" i="12" a="1"/>
  <c r="Q22" i="12"/>
  <c r="P22" i="12" a="1"/>
  <c r="P22" i="12" s="1"/>
  <c r="O22" i="12" a="1"/>
  <c r="O22" i="12"/>
  <c r="N22" i="12" a="1"/>
  <c r="N22" i="12"/>
  <c r="M22" i="12" a="1"/>
  <c r="M22" i="12"/>
  <c r="L22" i="12" a="1"/>
  <c r="L22" i="12"/>
  <c r="K22" i="12" a="1"/>
  <c r="K22" i="12" s="1"/>
  <c r="J22" i="12" a="1"/>
  <c r="J22" i="12"/>
  <c r="I22" i="12" a="1"/>
  <c r="I22" i="12" s="1"/>
  <c r="H22" i="12" a="1"/>
  <c r="H22" i="12"/>
  <c r="G22" i="12" a="1"/>
  <c r="G22" i="12"/>
  <c r="F22" i="12" a="1"/>
  <c r="F22" i="12"/>
  <c r="E22" i="12" a="1"/>
  <c r="E22" i="12"/>
  <c r="D22" i="12" a="1"/>
  <c r="D22" i="12" s="1"/>
  <c r="C22" i="12" a="1"/>
  <c r="C22" i="12"/>
  <c r="Q21" i="12" a="1"/>
  <c r="Q21" i="12"/>
  <c r="P21" i="12" a="1"/>
  <c r="P21" i="12" s="1"/>
  <c r="O21" i="12" a="1"/>
  <c r="O21" i="12"/>
  <c r="N21" i="12" a="1"/>
  <c r="N21" i="12"/>
  <c r="M21" i="12" a="1"/>
  <c r="M21" i="12"/>
  <c r="L21" i="12" a="1"/>
  <c r="L21" i="12" s="1"/>
  <c r="K21" i="12" a="1"/>
  <c r="K21" i="12"/>
  <c r="J21" i="12" a="1"/>
  <c r="J21" i="12" s="1"/>
  <c r="I21" i="12" a="1"/>
  <c r="I21" i="12" s="1"/>
  <c r="H21" i="12" a="1"/>
  <c r="H21" i="12"/>
  <c r="G21" i="12" a="1"/>
  <c r="G21" i="12"/>
  <c r="F21" i="12" a="1"/>
  <c r="F21" i="12"/>
  <c r="E21" i="12" a="1"/>
  <c r="E21" i="12" s="1"/>
  <c r="D21" i="12" a="1"/>
  <c r="D21" i="12"/>
  <c r="C21" i="12" a="1"/>
  <c r="C21" i="12"/>
  <c r="Q20" i="12" a="1"/>
  <c r="Q20" i="12"/>
  <c r="P20" i="12" a="1"/>
  <c r="P20" i="12" s="1"/>
  <c r="O20" i="12" a="1"/>
  <c r="O20" i="12"/>
  <c r="N20" i="12" a="1"/>
  <c r="N20" i="12"/>
  <c r="M20" i="12" a="1"/>
  <c r="M20" i="12" s="1"/>
  <c r="L20" i="12" a="1"/>
  <c r="L20" i="12"/>
  <c r="K20" i="12" a="1"/>
  <c r="K20" i="12" s="1"/>
  <c r="J20" i="12" a="1"/>
  <c r="J20" i="12"/>
  <c r="I20" i="12" a="1"/>
  <c r="I20" i="12"/>
  <c r="H20" i="12" a="1"/>
  <c r="H20" i="12" s="1"/>
  <c r="G20" i="12" a="1"/>
  <c r="G20" i="12"/>
  <c r="F20" i="12" a="1"/>
  <c r="F20" i="12" s="1"/>
  <c r="E20" i="12" a="1"/>
  <c r="E20" i="12" s="1"/>
  <c r="D20" i="12" a="1"/>
  <c r="D20" i="12" s="1"/>
  <c r="C20" i="12" a="1"/>
  <c r="C20" i="12"/>
  <c r="Q19" i="12" a="1"/>
  <c r="Q19" i="12" s="1"/>
  <c r="P19" i="12" a="1"/>
  <c r="P19" i="12" s="1"/>
  <c r="O19" i="12" a="1"/>
  <c r="O19" i="12" s="1"/>
  <c r="N19" i="12" a="1"/>
  <c r="N19" i="12" s="1"/>
  <c r="M19" i="12" a="1"/>
  <c r="M19" i="12"/>
  <c r="L19" i="12" a="1"/>
  <c r="L19" i="12" s="1"/>
  <c r="K19" i="12" a="1"/>
  <c r="K19" i="12" s="1"/>
  <c r="J19" i="12" a="1"/>
  <c r="J19" i="12"/>
  <c r="I19" i="12" a="1"/>
  <c r="I19" i="12"/>
  <c r="H19" i="12" a="1"/>
  <c r="H19" i="12"/>
  <c r="G19" i="12" a="1"/>
  <c r="G19" i="12" s="1"/>
  <c r="F19" i="12" a="1"/>
  <c r="F19" i="12" s="1"/>
  <c r="E19" i="12" a="1"/>
  <c r="E19" i="12"/>
  <c r="D19" i="12" a="1"/>
  <c r="D19" i="12" s="1"/>
  <c r="C19" i="12" a="1"/>
  <c r="C19" i="12" s="1"/>
  <c r="Q18" i="12" a="1"/>
  <c r="Q18" i="12"/>
  <c r="P18" i="12" a="1"/>
  <c r="P18" i="12"/>
  <c r="O18" i="12" a="1"/>
  <c r="O18" i="12" s="1"/>
  <c r="N18" i="12" a="1"/>
  <c r="N18" i="12"/>
  <c r="M18" i="12" a="1"/>
  <c r="M18" i="12"/>
  <c r="L18" i="12" a="1"/>
  <c r="L18" i="12" s="1"/>
  <c r="K18" i="12" a="1"/>
  <c r="K18" i="12" s="1"/>
  <c r="J18" i="12" a="1"/>
  <c r="J18" i="12" s="1"/>
  <c r="I18" i="12" a="1"/>
  <c r="I18" i="12"/>
  <c r="H18" i="12" a="1"/>
  <c r="H18" i="12" s="1"/>
  <c r="G18" i="12" a="1"/>
  <c r="G18" i="12"/>
  <c r="F18" i="12" a="1"/>
  <c r="F18" i="12" s="1"/>
  <c r="E18" i="12" a="1"/>
  <c r="E18" i="12"/>
  <c r="D18" i="12" a="1"/>
  <c r="D18" i="12" s="1"/>
  <c r="C18" i="12" a="1"/>
  <c r="C18" i="12" s="1"/>
  <c r="Q17" i="12" a="1"/>
  <c r="Q17" i="12"/>
  <c r="P17" i="12" a="1"/>
  <c r="P17" i="12" s="1"/>
  <c r="O17" i="12" a="1"/>
  <c r="O17" i="12"/>
  <c r="N17" i="12" a="1"/>
  <c r="N17" i="12" s="1"/>
  <c r="M17" i="12" a="1"/>
  <c r="M17" i="12"/>
  <c r="L17" i="12" a="1"/>
  <c r="L17" i="12" s="1"/>
  <c r="K17" i="12" a="1"/>
  <c r="K17" i="12" s="1"/>
  <c r="J17" i="12" a="1"/>
  <c r="J17" i="12" s="1"/>
  <c r="I17" i="12" a="1"/>
  <c r="I17" i="12" s="1"/>
  <c r="H17" i="12" a="1"/>
  <c r="H17" i="12" s="1"/>
  <c r="G17" i="12" a="1"/>
  <c r="G17" i="12"/>
  <c r="F17" i="12" a="1"/>
  <c r="F17" i="12" s="1"/>
  <c r="E17" i="12" a="1"/>
  <c r="E17" i="12"/>
  <c r="D17" i="12" a="1"/>
  <c r="D17" i="12"/>
  <c r="C17" i="12" a="1"/>
  <c r="C17" i="12"/>
  <c r="Q16" i="12" a="1"/>
  <c r="Q16" i="12" s="1"/>
  <c r="P16" i="12" a="1"/>
  <c r="P16" i="12" s="1"/>
  <c r="O16" i="12" a="1"/>
  <c r="O16" i="12" s="1"/>
  <c r="N16" i="12" a="1"/>
  <c r="N16" i="12" s="1"/>
  <c r="M16" i="12" a="1"/>
  <c r="M16" i="12" s="1"/>
  <c r="L16" i="12" a="1"/>
  <c r="L16" i="12"/>
  <c r="K16" i="12" a="1"/>
  <c r="K16" i="12"/>
  <c r="J16" i="12" a="1"/>
  <c r="J16" i="12" s="1"/>
  <c r="I16" i="12" a="1"/>
  <c r="I16" i="12" s="1"/>
  <c r="H16" i="12" a="1"/>
  <c r="H16" i="12"/>
  <c r="G16" i="12" a="1"/>
  <c r="G16" i="12"/>
  <c r="F16" i="12" a="1"/>
  <c r="F16" i="12" s="1"/>
  <c r="E16" i="12" a="1"/>
  <c r="E16" i="12" s="1"/>
  <c r="D16" i="12" a="1"/>
  <c r="D16" i="12"/>
  <c r="C16" i="12" a="1"/>
  <c r="C16" i="12" s="1"/>
  <c r="Q15" i="12" a="1"/>
  <c r="Q15" i="12" s="1"/>
  <c r="P15" i="12" a="1"/>
  <c r="P15" i="12" s="1"/>
  <c r="O15" i="12" a="1"/>
  <c r="O15" i="12"/>
  <c r="N15" i="12" a="1"/>
  <c r="N15" i="12" s="1"/>
  <c r="M15" i="12" a="1"/>
  <c r="M15" i="12" s="1"/>
  <c r="L15" i="12" a="1"/>
  <c r="L15" i="12" s="1"/>
  <c r="K15" i="12" a="1"/>
  <c r="K15" i="12"/>
  <c r="J15" i="12" a="1"/>
  <c r="J15" i="12" s="1"/>
  <c r="I15" i="12" a="1"/>
  <c r="I15" i="12" s="1"/>
  <c r="H15" i="12" a="1"/>
  <c r="H15" i="12"/>
  <c r="G15" i="12" a="1"/>
  <c r="G15" i="12"/>
  <c r="F15" i="12" a="1"/>
  <c r="F15" i="12" s="1"/>
  <c r="E15" i="12" a="1"/>
  <c r="E15" i="12" s="1"/>
  <c r="D15" i="12" a="1"/>
  <c r="D15" i="12" s="1"/>
  <c r="C15" i="12" a="1"/>
  <c r="C15" i="12" s="1"/>
  <c r="P14" i="12" a="1"/>
  <c r="P14" i="12"/>
  <c r="O14" i="12" a="1"/>
  <c r="O14" i="12" s="1"/>
  <c r="N14" i="12" a="1"/>
  <c r="N14" i="12"/>
  <c r="M14" i="12" a="1"/>
  <c r="M14" i="12"/>
  <c r="L14" i="12" a="1"/>
  <c r="L14" i="12"/>
  <c r="K14" i="12" a="1"/>
  <c r="K14" i="12" s="1"/>
  <c r="J14" i="12" a="1"/>
  <c r="J14" i="12" s="1"/>
  <c r="I14" i="12" a="1"/>
  <c r="I14" i="12"/>
  <c r="H14" i="12" a="1"/>
  <c r="H14" i="12" s="1"/>
  <c r="G14" i="12" a="1"/>
  <c r="G14" i="12"/>
  <c r="F14" i="12" a="1"/>
  <c r="F14" i="12"/>
  <c r="E14" i="12" a="1"/>
  <c r="E14" i="12"/>
  <c r="D14" i="12" a="1"/>
  <c r="D14" i="12"/>
  <c r="C14" i="12" a="1"/>
  <c r="C14" i="12" s="1"/>
  <c r="Q13" i="12" a="1"/>
  <c r="Q13" i="12" s="1"/>
  <c r="P13" i="12" a="1"/>
  <c r="P13" i="12" s="1"/>
  <c r="O13" i="12" a="1"/>
  <c r="O13" i="12" s="1"/>
  <c r="N13" i="12" a="1"/>
  <c r="N13" i="12" s="1"/>
  <c r="M13" i="12" a="1"/>
  <c r="M13" i="12"/>
  <c r="L13" i="12" a="1"/>
  <c r="L13" i="12"/>
  <c r="K13" i="12" a="1"/>
  <c r="K13" i="12" s="1"/>
  <c r="J13" i="12" a="1"/>
  <c r="J13" i="12"/>
  <c r="I13" i="12" a="1"/>
  <c r="I13" i="12" s="1"/>
  <c r="H13" i="12" a="1"/>
  <c r="H13" i="12" s="1"/>
  <c r="G13" i="12" a="1"/>
  <c r="G13" i="12"/>
  <c r="Y31" i="12" s="1"/>
  <c r="F13" i="12" a="1"/>
  <c r="F13" i="12"/>
  <c r="X31" i="12" s="1"/>
  <c r="E13" i="12" a="1"/>
  <c r="E13" i="12"/>
  <c r="T31" i="12" s="1"/>
  <c r="D13" i="12" a="1"/>
  <c r="D13" i="12" s="1"/>
  <c r="S31" i="12" s="1"/>
  <c r="C13" i="12" a="1"/>
  <c r="C13" i="12"/>
  <c r="Q12" i="12" a="1"/>
  <c r="Q12" i="12"/>
  <c r="P12" i="12" a="1"/>
  <c r="P12" i="12" s="1"/>
  <c r="O12" i="12" a="1"/>
  <c r="O12" i="12"/>
  <c r="N12" i="12" a="1"/>
  <c r="N12" i="12"/>
  <c r="M12" i="12" a="1"/>
  <c r="M12" i="12" s="1"/>
  <c r="L12" i="12" a="1"/>
  <c r="L12" i="12" s="1"/>
  <c r="K12" i="12" a="1"/>
  <c r="K12" i="12"/>
  <c r="J12" i="12" a="1"/>
  <c r="J12" i="12"/>
  <c r="I12" i="12" a="1"/>
  <c r="I12" i="12" s="1"/>
  <c r="H12" i="12" a="1"/>
  <c r="H12" i="12"/>
  <c r="W30" i="12" s="1"/>
  <c r="G12" i="12" a="1"/>
  <c r="G12" i="12" s="1"/>
  <c r="F12" i="12" a="1"/>
  <c r="F12" i="12" s="1"/>
  <c r="E12" i="12" a="1"/>
  <c r="E12" i="12" s="1"/>
  <c r="D12" i="12" a="1"/>
  <c r="D12" i="12" s="1"/>
  <c r="S30" i="12" s="1"/>
  <c r="C12" i="12" a="1"/>
  <c r="C12" i="12" s="1"/>
  <c r="Q11" i="12" a="1"/>
  <c r="Q11" i="12"/>
  <c r="P11" i="12" a="1"/>
  <c r="P11" i="12"/>
  <c r="O11" i="12" a="1"/>
  <c r="O11" i="12"/>
  <c r="N11" i="12" a="1"/>
  <c r="N11" i="12"/>
  <c r="M11" i="12" a="1"/>
  <c r="M11" i="12" s="1"/>
  <c r="L11" i="12" a="1"/>
  <c r="L11" i="12" s="1"/>
  <c r="K11" i="12" a="1"/>
  <c r="K11" i="12" s="1"/>
  <c r="J11" i="12" a="1"/>
  <c r="J11" i="12"/>
  <c r="I11" i="12" a="1"/>
  <c r="I11" i="12"/>
  <c r="H11" i="12" a="1"/>
  <c r="H11" i="12"/>
  <c r="Z29" i="12" s="1"/>
  <c r="G11" i="12" a="1"/>
  <c r="G11" i="12"/>
  <c r="Y29" i="12" s="1"/>
  <c r="F11" i="12" a="1"/>
  <c r="F11" i="12" s="1"/>
  <c r="X29" i="12" s="1"/>
  <c r="E11" i="12" a="1"/>
  <c r="E11" i="12" s="1"/>
  <c r="T29" i="12" s="1"/>
  <c r="D11" i="12" a="1"/>
  <c r="D11" i="12" s="1"/>
  <c r="S29" i="12" s="1"/>
  <c r="C11" i="12" a="1"/>
  <c r="C11" i="12" s="1"/>
  <c r="B8" i="12"/>
  <c r="N5" i="12" a="1"/>
  <c r="N5" i="12" s="1"/>
  <c r="H5" i="12" a="1"/>
  <c r="H5" i="12" s="1"/>
  <c r="T39" i="11"/>
  <c r="P32" i="11" a="1"/>
  <c r="P32" i="11"/>
  <c r="J32" i="11" a="1"/>
  <c r="J32" i="11" s="1"/>
  <c r="Z31" i="11"/>
  <c r="Y31" i="11"/>
  <c r="Q30" i="11" a="1"/>
  <c r="Q30" i="11" s="1"/>
  <c r="P30" i="11" a="1"/>
  <c r="P30" i="11" s="1"/>
  <c r="O30" i="11" a="1"/>
  <c r="O30" i="11"/>
  <c r="N30" i="11" a="1"/>
  <c r="N30" i="11"/>
  <c r="M30" i="11" a="1"/>
  <c r="M30" i="11"/>
  <c r="L30" i="11" a="1"/>
  <c r="L30" i="11"/>
  <c r="K30" i="11" a="1"/>
  <c r="K30" i="11" s="1"/>
  <c r="J30" i="11" a="1"/>
  <c r="J30" i="11" s="1"/>
  <c r="I30" i="11" a="1"/>
  <c r="I30" i="11" s="1"/>
  <c r="H30" i="11" a="1"/>
  <c r="H30" i="11" s="1"/>
  <c r="G30" i="11" a="1"/>
  <c r="G30" i="11"/>
  <c r="F30" i="11" a="1"/>
  <c r="F30" i="11"/>
  <c r="E30" i="11" a="1"/>
  <c r="E30" i="11"/>
  <c r="D30" i="11" a="1"/>
  <c r="D30" i="11" s="1"/>
  <c r="C30" i="11" a="1"/>
  <c r="C30" i="11" s="1"/>
  <c r="Q29" i="11" a="1"/>
  <c r="Q29" i="11"/>
  <c r="P29" i="11" a="1"/>
  <c r="P29" i="11"/>
  <c r="O29" i="11" a="1"/>
  <c r="O29" i="11" s="1"/>
  <c r="N29" i="11" a="1"/>
  <c r="N29" i="11"/>
  <c r="M29" i="11" a="1"/>
  <c r="M29" i="11"/>
  <c r="L29" i="11" a="1"/>
  <c r="L29" i="11" s="1"/>
  <c r="K29" i="11" a="1"/>
  <c r="K29" i="11" s="1"/>
  <c r="J29" i="11" a="1"/>
  <c r="J29" i="11"/>
  <c r="I29" i="11" a="1"/>
  <c r="I29" i="11"/>
  <c r="H29" i="11" a="1"/>
  <c r="H29" i="11" s="1"/>
  <c r="G29" i="11" a="1"/>
  <c r="G29" i="11" s="1"/>
  <c r="F29" i="11" a="1"/>
  <c r="F29" i="11"/>
  <c r="E29" i="11" a="1"/>
  <c r="E29" i="11"/>
  <c r="D29" i="11" a="1"/>
  <c r="D29" i="11" s="1"/>
  <c r="C29" i="11" a="1"/>
  <c r="C29" i="11" s="1"/>
  <c r="Q28" i="11" a="1"/>
  <c r="Q28" i="11"/>
  <c r="P28" i="11" a="1"/>
  <c r="P28" i="11"/>
  <c r="O28" i="11" a="1"/>
  <c r="O28" i="11" s="1"/>
  <c r="N28" i="11" a="1"/>
  <c r="N28" i="11" s="1"/>
  <c r="M28" i="11" a="1"/>
  <c r="M28" i="11"/>
  <c r="L28" i="11" a="1"/>
  <c r="L28" i="11" s="1"/>
  <c r="K28" i="11" a="1"/>
  <c r="K28" i="11" s="1"/>
  <c r="J28" i="11" a="1"/>
  <c r="J28" i="11"/>
  <c r="I28" i="11" a="1"/>
  <c r="I28" i="11"/>
  <c r="H28" i="11" a="1"/>
  <c r="H28" i="11"/>
  <c r="G28" i="11" a="1"/>
  <c r="G28" i="11" s="1"/>
  <c r="F28" i="11" a="1"/>
  <c r="F28" i="11" s="1"/>
  <c r="E28" i="11" a="1"/>
  <c r="E28" i="11" s="1"/>
  <c r="D28" i="11" a="1"/>
  <c r="D28" i="11"/>
  <c r="C28" i="11" a="1"/>
  <c r="C28" i="11" s="1"/>
  <c r="Q27" i="11" a="1"/>
  <c r="Q27" i="11" s="1"/>
  <c r="P27" i="11" a="1"/>
  <c r="P27" i="11"/>
  <c r="O27" i="11" a="1"/>
  <c r="O27" i="11"/>
  <c r="N27" i="11" a="1"/>
  <c r="N27" i="11"/>
  <c r="M27" i="11" a="1"/>
  <c r="M27" i="11" s="1"/>
  <c r="L27" i="11" a="1"/>
  <c r="L27" i="11"/>
  <c r="K27" i="11" a="1"/>
  <c r="K27" i="11" s="1"/>
  <c r="J27" i="11" a="1"/>
  <c r="J27" i="11"/>
  <c r="I27" i="11" a="1"/>
  <c r="I27" i="11"/>
  <c r="H27" i="11" a="1"/>
  <c r="H27" i="11"/>
  <c r="G27" i="11" a="1"/>
  <c r="G27" i="11"/>
  <c r="F27" i="11" a="1"/>
  <c r="F27" i="11" s="1"/>
  <c r="E27" i="11" a="1"/>
  <c r="E27" i="11" s="1"/>
  <c r="D27" i="11" a="1"/>
  <c r="D27" i="11" s="1"/>
  <c r="C27" i="11" a="1"/>
  <c r="C27" i="11" s="1"/>
  <c r="Q26" i="11" a="1"/>
  <c r="Q26" i="11" s="1"/>
  <c r="P26" i="11" a="1"/>
  <c r="P26" i="11"/>
  <c r="O26" i="11" a="1"/>
  <c r="O26" i="11"/>
  <c r="N26" i="11" a="1"/>
  <c r="N26" i="11" s="1"/>
  <c r="M26" i="11" a="1"/>
  <c r="M26" i="11"/>
  <c r="L26" i="11" a="1"/>
  <c r="L26" i="11" s="1"/>
  <c r="K26" i="11" a="1"/>
  <c r="K26" i="11" s="1"/>
  <c r="J26" i="11" a="1"/>
  <c r="J26" i="11"/>
  <c r="I26" i="11" a="1"/>
  <c r="I26" i="11"/>
  <c r="H26" i="11" a="1"/>
  <c r="H26" i="11" s="1"/>
  <c r="G26" i="11" a="1"/>
  <c r="G26" i="11" s="1"/>
  <c r="F26" i="11" a="1"/>
  <c r="F26" i="11" s="1"/>
  <c r="E26" i="11" a="1"/>
  <c r="E26" i="11"/>
  <c r="D26" i="11" a="1"/>
  <c r="D26" i="11" s="1"/>
  <c r="C26" i="11" a="1"/>
  <c r="C26" i="11"/>
  <c r="Q25" i="11" a="1"/>
  <c r="Q25" i="11"/>
  <c r="P25" i="11" a="1"/>
  <c r="P25" i="11" s="1"/>
  <c r="O25" i="11" a="1"/>
  <c r="O25" i="11" s="1"/>
  <c r="N25" i="11" a="1"/>
  <c r="N25" i="11" s="1"/>
  <c r="M25" i="11" a="1"/>
  <c r="M25" i="11"/>
  <c r="L25" i="11" a="1"/>
  <c r="L25" i="11" s="1"/>
  <c r="K25" i="11" a="1"/>
  <c r="K25" i="11"/>
  <c r="J25" i="11" a="1"/>
  <c r="J25" i="11"/>
  <c r="I25" i="11" a="1"/>
  <c r="I25" i="11"/>
  <c r="H25" i="11" a="1"/>
  <c r="H25" i="11" s="1"/>
  <c r="G25" i="11" a="1"/>
  <c r="G25" i="11" s="1"/>
  <c r="F25" i="11" a="1"/>
  <c r="F25" i="11"/>
  <c r="E25" i="11" a="1"/>
  <c r="E25" i="11" s="1"/>
  <c r="D25" i="11" a="1"/>
  <c r="D25" i="11"/>
  <c r="C25" i="11" a="1"/>
  <c r="C25" i="11"/>
  <c r="Q24" i="11" a="1"/>
  <c r="Q24" i="11"/>
  <c r="P24" i="11" a="1"/>
  <c r="P24" i="11" s="1"/>
  <c r="O24" i="11" a="1"/>
  <c r="O24" i="11" s="1"/>
  <c r="N24" i="11" a="1"/>
  <c r="N24" i="11" s="1"/>
  <c r="M24" i="11" a="1"/>
  <c r="M24" i="11"/>
  <c r="L24" i="11" a="1"/>
  <c r="L24" i="11" s="1"/>
  <c r="K24" i="11" a="1"/>
  <c r="K24" i="11"/>
  <c r="J24" i="11" a="1"/>
  <c r="J24" i="11"/>
  <c r="I24" i="11" a="1"/>
  <c r="I24" i="11" s="1"/>
  <c r="H24" i="11" a="1"/>
  <c r="H24" i="11" s="1"/>
  <c r="G24" i="11" a="1"/>
  <c r="G24" i="11"/>
  <c r="F24" i="11" a="1"/>
  <c r="F24" i="11" s="1"/>
  <c r="E24" i="11" a="1"/>
  <c r="E24" i="11"/>
  <c r="D24" i="11" a="1"/>
  <c r="D24" i="11" s="1"/>
  <c r="C24" i="11" a="1"/>
  <c r="C24" i="11" s="1"/>
  <c r="Q23" i="11" a="1"/>
  <c r="Q23" i="11" s="1"/>
  <c r="P23" i="11" a="1"/>
  <c r="P23" i="11"/>
  <c r="O23" i="11" a="1"/>
  <c r="O23" i="11" s="1"/>
  <c r="N23" i="11" a="1"/>
  <c r="N23" i="11"/>
  <c r="M23" i="11" a="1"/>
  <c r="M23" i="11"/>
  <c r="L23" i="11" a="1"/>
  <c r="L23" i="11" s="1"/>
  <c r="K23" i="11" a="1"/>
  <c r="K23" i="11" s="1"/>
  <c r="J23" i="11" a="1"/>
  <c r="J23" i="11" s="1"/>
  <c r="I23" i="11" a="1"/>
  <c r="I23" i="11" s="1"/>
  <c r="H23" i="11" a="1"/>
  <c r="H23" i="11" s="1"/>
  <c r="G23" i="11" a="1"/>
  <c r="G23" i="11" s="1"/>
  <c r="F23" i="11" a="1"/>
  <c r="F23" i="11"/>
  <c r="E23" i="11" a="1"/>
  <c r="E23" i="11"/>
  <c r="D23" i="11" a="1"/>
  <c r="D23" i="11"/>
  <c r="C23" i="11" a="1"/>
  <c r="C23" i="11" s="1"/>
  <c r="Q22" i="11" a="1"/>
  <c r="Q22" i="11"/>
  <c r="P22" i="11" a="1"/>
  <c r="P22" i="11"/>
  <c r="O22" i="11" a="1"/>
  <c r="O22" i="11" s="1"/>
  <c r="N22" i="11" a="1"/>
  <c r="N22" i="11"/>
  <c r="M22" i="11" a="1"/>
  <c r="M22" i="11"/>
  <c r="L22" i="11" a="1"/>
  <c r="L22" i="11"/>
  <c r="K22" i="11" a="1"/>
  <c r="K22" i="11" s="1"/>
  <c r="J22" i="11" a="1"/>
  <c r="J22" i="11" s="1"/>
  <c r="I22" i="11" a="1"/>
  <c r="I22" i="11" s="1"/>
  <c r="H22" i="11" a="1"/>
  <c r="H22" i="11"/>
  <c r="G22" i="11" a="1"/>
  <c r="G22" i="11" s="1"/>
  <c r="F22" i="11" a="1"/>
  <c r="F22" i="11"/>
  <c r="E22" i="11" a="1"/>
  <c r="E22" i="11"/>
  <c r="D22" i="11" a="1"/>
  <c r="D22" i="11" s="1"/>
  <c r="C22" i="11" a="1"/>
  <c r="C22" i="11" s="1"/>
  <c r="Q21" i="11" a="1"/>
  <c r="Q21" i="11"/>
  <c r="P21" i="11" a="1"/>
  <c r="P21" i="11" s="1"/>
  <c r="O21" i="11" a="1"/>
  <c r="O21" i="11"/>
  <c r="N21" i="11" a="1"/>
  <c r="N21" i="11"/>
  <c r="M21" i="11" a="1"/>
  <c r="M21" i="11" s="1"/>
  <c r="L21" i="11" a="1"/>
  <c r="L21" i="11" s="1"/>
  <c r="K21" i="11" a="1"/>
  <c r="K21" i="11"/>
  <c r="J21" i="11" a="1"/>
  <c r="J21" i="11" s="1"/>
  <c r="I21" i="11" a="1"/>
  <c r="I21" i="11"/>
  <c r="H21" i="11" a="1"/>
  <c r="H21" i="11"/>
  <c r="Z39" i="11" s="1"/>
  <c r="G21" i="11" a="1"/>
  <c r="G21" i="11" s="1"/>
  <c r="Y39" i="11" s="1"/>
  <c r="F21" i="11" a="1"/>
  <c r="F21" i="11"/>
  <c r="X39" i="11" s="1"/>
  <c r="E21" i="11" a="1"/>
  <c r="E21" i="11" s="1"/>
  <c r="D21" i="11" a="1"/>
  <c r="D21" i="11" s="1"/>
  <c r="W39" i="11" s="1"/>
  <c r="C21" i="11" a="1"/>
  <c r="C21" i="11" s="1"/>
  <c r="Q20" i="11" a="1"/>
  <c r="Q20" i="11"/>
  <c r="P20" i="11" a="1"/>
  <c r="P20" i="11"/>
  <c r="O20" i="11" a="1"/>
  <c r="O20" i="11"/>
  <c r="N20" i="11" a="1"/>
  <c r="N20" i="11" s="1"/>
  <c r="M20" i="11" a="1"/>
  <c r="M20" i="11" s="1"/>
  <c r="L20" i="11" a="1"/>
  <c r="L20" i="11" s="1"/>
  <c r="K20" i="11" a="1"/>
  <c r="K20" i="11" s="1"/>
  <c r="J20" i="11" a="1"/>
  <c r="J20" i="11" s="1"/>
  <c r="I20" i="11" a="1"/>
  <c r="I20" i="11" s="1"/>
  <c r="H20" i="11" a="1"/>
  <c r="H20" i="11"/>
  <c r="Z38" i="11" s="1"/>
  <c r="G20" i="11" a="1"/>
  <c r="G20" i="11" s="1"/>
  <c r="Y38" i="11" s="1"/>
  <c r="F20" i="11" a="1"/>
  <c r="F20" i="11" s="1"/>
  <c r="X38" i="11" s="1"/>
  <c r="E20" i="11" a="1"/>
  <c r="E20" i="11"/>
  <c r="T38" i="11" s="1"/>
  <c r="D20" i="11" a="1"/>
  <c r="D20" i="11" s="1"/>
  <c r="C20" i="11" a="1"/>
  <c r="C20" i="11" s="1"/>
  <c r="Q19" i="11" a="1"/>
  <c r="Q19" i="11"/>
  <c r="P19" i="11" a="1"/>
  <c r="P19" i="11"/>
  <c r="O19" i="11" a="1"/>
  <c r="O19" i="11" s="1"/>
  <c r="N19" i="11" a="1"/>
  <c r="N19" i="11" s="1"/>
  <c r="M19" i="11" a="1"/>
  <c r="M19" i="11"/>
  <c r="L19" i="11" a="1"/>
  <c r="L19" i="11"/>
  <c r="K19" i="11" a="1"/>
  <c r="K19" i="11" s="1"/>
  <c r="J19" i="11" a="1"/>
  <c r="J19" i="11"/>
  <c r="I19" i="11" a="1"/>
  <c r="I19" i="11"/>
  <c r="H19" i="11" a="1"/>
  <c r="H19" i="11"/>
  <c r="Z37" i="11" s="1"/>
  <c r="G19" i="11" a="1"/>
  <c r="G19" i="11" s="1"/>
  <c r="Y37" i="11" s="1"/>
  <c r="F19" i="11" a="1"/>
  <c r="F19" i="11" s="1"/>
  <c r="X37" i="11" s="1"/>
  <c r="E19" i="11" a="1"/>
  <c r="E19" i="11"/>
  <c r="T37" i="11" s="1"/>
  <c r="D19" i="11" a="1"/>
  <c r="D19" i="11"/>
  <c r="C19" i="11" a="1"/>
  <c r="C19" i="11"/>
  <c r="Q18" i="11" a="1"/>
  <c r="Q18" i="11"/>
  <c r="P18" i="11" a="1"/>
  <c r="P18" i="11"/>
  <c r="O18" i="11" a="1"/>
  <c r="O18" i="11" s="1"/>
  <c r="N18" i="11" a="1"/>
  <c r="N18" i="11" s="1"/>
  <c r="M18" i="11" a="1"/>
  <c r="M18" i="11" s="1"/>
  <c r="L18" i="11" a="1"/>
  <c r="L18" i="11"/>
  <c r="K18" i="11" a="1"/>
  <c r="K18" i="11"/>
  <c r="J18" i="11" a="1"/>
  <c r="J18" i="11"/>
  <c r="I18" i="11" a="1"/>
  <c r="I18" i="11"/>
  <c r="H18" i="11" a="1"/>
  <c r="H18" i="11" s="1"/>
  <c r="Z36" i="11" s="1"/>
  <c r="G18" i="11" a="1"/>
  <c r="G18" i="11" s="1"/>
  <c r="Y36" i="11" s="1"/>
  <c r="F18" i="11" a="1"/>
  <c r="F18" i="11" s="1"/>
  <c r="X36" i="11" s="1"/>
  <c r="E18" i="11" a="1"/>
  <c r="E18" i="11" s="1"/>
  <c r="T36" i="11" s="1"/>
  <c r="D18" i="11" a="1"/>
  <c r="D18" i="11"/>
  <c r="W36" i="11" s="1"/>
  <c r="C18" i="11" a="1"/>
  <c r="C18" i="11"/>
  <c r="Q17" i="11" a="1"/>
  <c r="Q17" i="11"/>
  <c r="P17" i="11" a="1"/>
  <c r="P17" i="11" s="1"/>
  <c r="O17" i="11" a="1"/>
  <c r="O17" i="11"/>
  <c r="N17" i="11" a="1"/>
  <c r="N17" i="11" s="1"/>
  <c r="M17" i="11" a="1"/>
  <c r="M17" i="11"/>
  <c r="L17" i="11" a="1"/>
  <c r="L17" i="11" s="1"/>
  <c r="K17" i="11" a="1"/>
  <c r="K17" i="11"/>
  <c r="J17" i="11" a="1"/>
  <c r="J17" i="11" s="1"/>
  <c r="I17" i="11" a="1"/>
  <c r="I17" i="11" s="1"/>
  <c r="H17" i="11" a="1"/>
  <c r="H17" i="11"/>
  <c r="Z35" i="11" s="1"/>
  <c r="G17" i="11" a="1"/>
  <c r="G17" i="11"/>
  <c r="Y35" i="11" s="1"/>
  <c r="F17" i="11" a="1"/>
  <c r="F17" i="11" s="1"/>
  <c r="X35" i="11" s="1"/>
  <c r="E17" i="11" a="1"/>
  <c r="E17" i="11" s="1"/>
  <c r="T35" i="11" s="1"/>
  <c r="D17" i="11" a="1"/>
  <c r="D17" i="11" s="1"/>
  <c r="S35" i="11" s="1"/>
  <c r="C17" i="11" a="1"/>
  <c r="C17" i="11" s="1"/>
  <c r="Q16" i="11" a="1"/>
  <c r="Q16" i="11" s="1"/>
  <c r="P16" i="11" a="1"/>
  <c r="P16" i="11"/>
  <c r="O16" i="11" a="1"/>
  <c r="O16" i="11"/>
  <c r="N16" i="11" a="1"/>
  <c r="N16" i="11" s="1"/>
  <c r="M16" i="11" a="1"/>
  <c r="M16" i="11"/>
  <c r="L16" i="11" a="1"/>
  <c r="L16" i="11"/>
  <c r="K16" i="11" a="1"/>
  <c r="K16" i="11"/>
  <c r="J16" i="11" a="1"/>
  <c r="J16" i="11" s="1"/>
  <c r="I16" i="11" a="1"/>
  <c r="I16" i="11"/>
  <c r="H16" i="11" a="1"/>
  <c r="H16" i="11"/>
  <c r="Z34" i="11" s="1"/>
  <c r="G16" i="11" a="1"/>
  <c r="G16" i="11"/>
  <c r="Y34" i="11" s="1"/>
  <c r="F16" i="11" a="1"/>
  <c r="F16" i="11"/>
  <c r="X34" i="11" s="1"/>
  <c r="E16" i="11" a="1"/>
  <c r="E16" i="11" s="1"/>
  <c r="T34" i="11" s="1"/>
  <c r="D16" i="11" a="1"/>
  <c r="D16" i="11" s="1"/>
  <c r="C16" i="11" a="1"/>
  <c r="C16" i="11" s="1"/>
  <c r="Q15" i="11" a="1"/>
  <c r="Q15" i="11" s="1"/>
  <c r="P15" i="11" a="1"/>
  <c r="P15" i="11" s="1"/>
  <c r="O15" i="11" a="1"/>
  <c r="O15" i="11"/>
  <c r="N15" i="11" a="1"/>
  <c r="N15" i="11"/>
  <c r="M15" i="11" a="1"/>
  <c r="M15" i="11" s="1"/>
  <c r="L15" i="11" a="1"/>
  <c r="L15" i="11" s="1"/>
  <c r="K15" i="11" a="1"/>
  <c r="K15" i="11" s="1"/>
  <c r="J15" i="11" a="1"/>
  <c r="J15" i="11" s="1"/>
  <c r="I15" i="11" a="1"/>
  <c r="I15" i="11"/>
  <c r="H15" i="11" a="1"/>
  <c r="H15" i="11" s="1"/>
  <c r="G15" i="11" a="1"/>
  <c r="G15" i="11" s="1"/>
  <c r="F15" i="11" a="1"/>
  <c r="F15" i="11"/>
  <c r="X33" i="11" s="1"/>
  <c r="E15" i="11" a="1"/>
  <c r="E15" i="11"/>
  <c r="T33" i="11" s="1"/>
  <c r="D15" i="11" a="1"/>
  <c r="D15" i="11" s="1"/>
  <c r="S33" i="11" s="1"/>
  <c r="C15" i="11" a="1"/>
  <c r="C15" i="11"/>
  <c r="Q14" i="11" a="1"/>
  <c r="Q14" i="11" s="1"/>
  <c r="P14" i="11" a="1"/>
  <c r="P14" i="11" s="1"/>
  <c r="O14" i="11" a="1"/>
  <c r="O14" i="11" s="1"/>
  <c r="N14" i="11" a="1"/>
  <c r="N14" i="11" s="1"/>
  <c r="M14" i="11" a="1"/>
  <c r="M14" i="11"/>
  <c r="L14" i="11" a="1"/>
  <c r="L14" i="11" s="1"/>
  <c r="K14" i="11" a="1"/>
  <c r="K14" i="11" s="1"/>
  <c r="J14" i="11" a="1"/>
  <c r="J14" i="11" s="1"/>
  <c r="I14" i="11" a="1"/>
  <c r="I14" i="11"/>
  <c r="H14" i="11" a="1"/>
  <c r="H14" i="11"/>
  <c r="G14" i="11" a="1"/>
  <c r="G14" i="11"/>
  <c r="F14" i="11" a="1"/>
  <c r="F14" i="11"/>
  <c r="E14" i="11" a="1"/>
  <c r="E14" i="11" s="1"/>
  <c r="D14" i="11" a="1"/>
  <c r="D14" i="11"/>
  <c r="C14" i="11" a="1"/>
  <c r="C14" i="11" s="1"/>
  <c r="Q13" i="11" a="1"/>
  <c r="Q13" i="11" s="1"/>
  <c r="P13" i="11" a="1"/>
  <c r="P13" i="11" s="1"/>
  <c r="O13" i="11" a="1"/>
  <c r="O13" i="11"/>
  <c r="N13" i="11" a="1"/>
  <c r="N13" i="11" s="1"/>
  <c r="M13" i="11" a="1"/>
  <c r="M13" i="11" s="1"/>
  <c r="L13" i="11" a="1"/>
  <c r="L13" i="11"/>
  <c r="K13" i="11" a="1"/>
  <c r="K13" i="11"/>
  <c r="J13" i="11" a="1"/>
  <c r="J13" i="11" s="1"/>
  <c r="I13" i="11" a="1"/>
  <c r="I13" i="11"/>
  <c r="H13" i="11" a="1"/>
  <c r="H13" i="11"/>
  <c r="W31" i="11" s="1"/>
  <c r="G13" i="11" a="1"/>
  <c r="G13" i="11"/>
  <c r="V31" i="11" s="1"/>
  <c r="F13" i="11" a="1"/>
  <c r="F13" i="11" s="1"/>
  <c r="E13" i="11" a="1"/>
  <c r="E13" i="11"/>
  <c r="T31" i="11" s="1"/>
  <c r="D13" i="11" a="1"/>
  <c r="D13" i="11"/>
  <c r="S31" i="11" s="1"/>
  <c r="C13" i="11" a="1"/>
  <c r="C13" i="11"/>
  <c r="Q12" i="11" a="1"/>
  <c r="Q12" i="11" s="1"/>
  <c r="P12" i="11" a="1"/>
  <c r="P12" i="11"/>
  <c r="O12" i="11" a="1"/>
  <c r="O12" i="11" s="1"/>
  <c r="N12" i="11" a="1"/>
  <c r="N12" i="11" s="1"/>
  <c r="M12" i="11" a="1"/>
  <c r="M12" i="11" s="1"/>
  <c r="L12" i="11" a="1"/>
  <c r="L12" i="11"/>
  <c r="K12" i="11" a="1"/>
  <c r="K12" i="11" s="1"/>
  <c r="J12" i="11" a="1"/>
  <c r="J12" i="11" s="1"/>
  <c r="I12" i="11" a="1"/>
  <c r="I12" i="11" s="1"/>
  <c r="H12" i="11" a="1"/>
  <c r="H12" i="11"/>
  <c r="G12" i="11" a="1"/>
  <c r="G12" i="11" s="1"/>
  <c r="F12" i="11" a="1"/>
  <c r="F12" i="11" s="1"/>
  <c r="E12" i="11" a="1"/>
  <c r="E12" i="11"/>
  <c r="D12" i="11" a="1"/>
  <c r="D12" i="11"/>
  <c r="C12" i="11" a="1"/>
  <c r="C12" i="11" s="1"/>
  <c r="Q11" i="11" a="1"/>
  <c r="Q11" i="11" s="1"/>
  <c r="P11" i="11" a="1"/>
  <c r="P11" i="11" s="1"/>
  <c r="O11" i="11" a="1"/>
  <c r="O11" i="11" s="1"/>
  <c r="N11" i="11" a="1"/>
  <c r="N11" i="11"/>
  <c r="M11" i="11" a="1"/>
  <c r="M11" i="11" s="1"/>
  <c r="L11" i="11" a="1"/>
  <c r="L11" i="11"/>
  <c r="K11" i="11" a="1"/>
  <c r="K11" i="11"/>
  <c r="J11" i="11" a="1"/>
  <c r="J11" i="11" s="1"/>
  <c r="I11" i="11" a="1"/>
  <c r="I11" i="11" s="1"/>
  <c r="H11" i="11" a="1"/>
  <c r="H11" i="11" s="1"/>
  <c r="G11" i="11" a="1"/>
  <c r="G11" i="11" s="1"/>
  <c r="F11" i="11" a="1"/>
  <c r="F11" i="11" s="1"/>
  <c r="E11" i="11" a="1"/>
  <c r="E11" i="11" s="1"/>
  <c r="D11" i="11" a="1"/>
  <c r="D11" i="11"/>
  <c r="C11" i="11" a="1"/>
  <c r="C11" i="11"/>
  <c r="B8" i="11" a="1"/>
  <c r="B8" i="11" s="1"/>
  <c r="N5" i="11" a="1"/>
  <c r="N5" i="11" s="1"/>
  <c r="B5" i="11" a="1"/>
  <c r="B5" i="11"/>
  <c r="A1" i="11" a="1"/>
  <c r="A1" i="11"/>
  <c r="Q25" i="10" a="1"/>
  <c r="Q25" i="10"/>
  <c r="P25" i="10" a="1"/>
  <c r="P25" i="10"/>
  <c r="O25" i="10" a="1"/>
  <c r="O25" i="10" s="1"/>
  <c r="N25" i="10" a="1"/>
  <c r="N25" i="10" s="1"/>
  <c r="M25" i="10" a="1"/>
  <c r="M25" i="10"/>
  <c r="L25" i="10" a="1"/>
  <c r="L25" i="10" s="1"/>
  <c r="K25" i="10" a="1"/>
  <c r="K25" i="10"/>
  <c r="J25" i="10" a="1"/>
  <c r="J25" i="10"/>
  <c r="I25" i="10" a="1"/>
  <c r="I25" i="10"/>
  <c r="H25" i="10" a="1"/>
  <c r="H25" i="10" s="1"/>
  <c r="G25" i="10" a="1"/>
  <c r="G25" i="10"/>
  <c r="F25" i="10" a="1"/>
  <c r="F25" i="10" s="1"/>
  <c r="E25" i="10" a="1"/>
  <c r="E25" i="10" s="1"/>
  <c r="D25" i="10" a="1"/>
  <c r="D25" i="10" s="1"/>
  <c r="C25" i="10" a="1"/>
  <c r="C25" i="10"/>
  <c r="Q24" i="10" a="1"/>
  <c r="Q24" i="10" s="1"/>
  <c r="P24" i="10" a="1"/>
  <c r="P24" i="10" s="1"/>
  <c r="O24" i="10" a="1"/>
  <c r="O24" i="10"/>
  <c r="N24" i="10" a="1"/>
  <c r="N24" i="10" s="1"/>
  <c r="M24" i="10" a="1"/>
  <c r="M24" i="10"/>
  <c r="L24" i="10" a="1"/>
  <c r="L24" i="10" s="1"/>
  <c r="K24" i="10" a="1"/>
  <c r="K24" i="10" s="1"/>
  <c r="J24" i="10" a="1"/>
  <c r="J24" i="10" s="1"/>
  <c r="I24" i="10" a="1"/>
  <c r="I24" i="10" s="1"/>
  <c r="H24" i="10" a="1"/>
  <c r="H24" i="10"/>
  <c r="G24" i="10" a="1"/>
  <c r="G24" i="10"/>
  <c r="F24" i="10" a="1"/>
  <c r="F24" i="10" s="1"/>
  <c r="E24" i="10" a="1"/>
  <c r="E24" i="10"/>
  <c r="D24" i="10" a="1"/>
  <c r="D24" i="10"/>
  <c r="C24" i="10" a="1"/>
  <c r="C24" i="10"/>
  <c r="Q23" i="10" a="1"/>
  <c r="Q23" i="10" s="1"/>
  <c r="P23" i="10" a="1"/>
  <c r="P23" i="10"/>
  <c r="O23" i="10" a="1"/>
  <c r="O23" i="10"/>
  <c r="N23" i="10" a="1"/>
  <c r="N23" i="10" s="1"/>
  <c r="M23" i="10" a="1"/>
  <c r="M23" i="10"/>
  <c r="L23" i="10" a="1"/>
  <c r="L23" i="10"/>
  <c r="K23" i="10" a="1"/>
  <c r="K23" i="10"/>
  <c r="J23" i="10" a="1"/>
  <c r="J23" i="10" s="1"/>
  <c r="I23" i="10" a="1"/>
  <c r="I23" i="10" s="1"/>
  <c r="H23" i="10" a="1"/>
  <c r="H23" i="10" s="1"/>
  <c r="G23" i="10" a="1"/>
  <c r="G23" i="10"/>
  <c r="F23" i="10" a="1"/>
  <c r="F23" i="10"/>
  <c r="E23" i="10" a="1"/>
  <c r="E23" i="10"/>
  <c r="D23" i="10" a="1"/>
  <c r="D23" i="10" s="1"/>
  <c r="C23" i="10" a="1"/>
  <c r="C23" i="10" s="1"/>
  <c r="Q22" i="10" a="1"/>
  <c r="Q22" i="10"/>
  <c r="P22" i="10" a="1"/>
  <c r="P22" i="10" s="1"/>
  <c r="O22" i="10" a="1"/>
  <c r="O22" i="10"/>
  <c r="N22" i="10" a="1"/>
  <c r="N22" i="10"/>
  <c r="M22" i="10" a="1"/>
  <c r="M22" i="10" s="1"/>
  <c r="L22" i="10" a="1"/>
  <c r="L22" i="10"/>
  <c r="K22" i="10" a="1"/>
  <c r="K22" i="10" s="1"/>
  <c r="J22" i="10" a="1"/>
  <c r="J22" i="10"/>
  <c r="I22" i="10" a="1"/>
  <c r="I22" i="10" s="1"/>
  <c r="H22" i="10" a="1"/>
  <c r="H22" i="10"/>
  <c r="G22" i="10" a="1"/>
  <c r="G22" i="10"/>
  <c r="F22" i="10" a="1"/>
  <c r="F22" i="10"/>
  <c r="E22" i="10" a="1"/>
  <c r="E22" i="10" s="1"/>
  <c r="D22" i="10" a="1"/>
  <c r="D22" i="10" s="1"/>
  <c r="C22" i="10" a="1"/>
  <c r="C22" i="10"/>
  <c r="Q21" i="10" a="1"/>
  <c r="Q21" i="10"/>
  <c r="P21" i="10" a="1"/>
  <c r="P21" i="10" s="1"/>
  <c r="O21" i="10" a="1"/>
  <c r="O21" i="10"/>
  <c r="N21" i="10" a="1"/>
  <c r="N21" i="10"/>
  <c r="M21" i="10" a="1"/>
  <c r="M21" i="10" s="1"/>
  <c r="L21" i="10" a="1"/>
  <c r="L21" i="10" s="1"/>
  <c r="K21" i="10" a="1"/>
  <c r="K21" i="10" s="1"/>
  <c r="J21" i="10" a="1"/>
  <c r="J21" i="10"/>
  <c r="I21" i="10" a="1"/>
  <c r="I21" i="10"/>
  <c r="H21" i="10" a="1"/>
  <c r="H21" i="10"/>
  <c r="G21" i="10" a="1"/>
  <c r="G21" i="10"/>
  <c r="F21" i="10" a="1"/>
  <c r="F21" i="10" s="1"/>
  <c r="E21" i="10" a="1"/>
  <c r="E21" i="10" s="1"/>
  <c r="D21" i="10" a="1"/>
  <c r="D21" i="10"/>
  <c r="C21" i="10" a="1"/>
  <c r="C21" i="10" s="1"/>
  <c r="Q20" i="10" a="1"/>
  <c r="Q20" i="10"/>
  <c r="P20" i="10" a="1"/>
  <c r="P20" i="10"/>
  <c r="O20" i="10" a="1"/>
  <c r="O20" i="10"/>
  <c r="N20" i="10" a="1"/>
  <c r="N20" i="10"/>
  <c r="M20" i="10" a="1"/>
  <c r="M20" i="10" s="1"/>
  <c r="L20" i="10" a="1"/>
  <c r="L20" i="10" s="1"/>
  <c r="K20" i="10" a="1"/>
  <c r="K20" i="10" s="1"/>
  <c r="J20" i="10" a="1"/>
  <c r="J20" i="10"/>
  <c r="I20" i="10" a="1"/>
  <c r="I20" i="10"/>
  <c r="H20" i="10" a="1"/>
  <c r="H20" i="10"/>
  <c r="G20" i="10" a="1"/>
  <c r="G20" i="10"/>
  <c r="F20" i="10" a="1"/>
  <c r="F20" i="10" s="1"/>
  <c r="E20" i="10" a="1"/>
  <c r="E20" i="10"/>
  <c r="D20" i="10" a="1"/>
  <c r="D20" i="10" s="1"/>
  <c r="C20" i="10" a="1"/>
  <c r="C20" i="10" s="1"/>
  <c r="Q19" i="10" a="1"/>
  <c r="Q19" i="10"/>
  <c r="P19" i="10" a="1"/>
  <c r="P19" i="10" s="1"/>
  <c r="O19" i="10" a="1"/>
  <c r="O19" i="10" s="1"/>
  <c r="N19" i="10" a="1"/>
  <c r="N19" i="10" s="1"/>
  <c r="M19" i="10" a="1"/>
  <c r="M19" i="10"/>
  <c r="L19" i="10" a="1"/>
  <c r="L19" i="10" s="1"/>
  <c r="K19" i="10" a="1"/>
  <c r="K19" i="10" s="1"/>
  <c r="J19" i="10" a="1"/>
  <c r="J19" i="10"/>
  <c r="I19" i="10" a="1"/>
  <c r="I19" i="10" s="1"/>
  <c r="H19" i="10" a="1"/>
  <c r="H19" i="10"/>
  <c r="G19" i="10" a="1"/>
  <c r="G19" i="10" s="1"/>
  <c r="F19" i="10" a="1"/>
  <c r="F19" i="10" s="1"/>
  <c r="E19" i="10" a="1"/>
  <c r="E19" i="10"/>
  <c r="D19" i="10" a="1"/>
  <c r="D19" i="10" s="1"/>
  <c r="C19" i="10" a="1"/>
  <c r="C19" i="10"/>
  <c r="Q18" i="10" a="1"/>
  <c r="Q18" i="10"/>
  <c r="P18" i="10" a="1"/>
  <c r="P18" i="10" s="1"/>
  <c r="O18" i="10" a="1"/>
  <c r="O18" i="10" s="1"/>
  <c r="N18" i="10" a="1"/>
  <c r="N18" i="10" s="1"/>
  <c r="M18" i="10" a="1"/>
  <c r="M18" i="10" s="1"/>
  <c r="L18" i="10" a="1"/>
  <c r="L18" i="10" s="1"/>
  <c r="K18" i="10" a="1"/>
  <c r="K18" i="10" s="1"/>
  <c r="J18" i="10" a="1"/>
  <c r="J18" i="10"/>
  <c r="I18" i="10" a="1"/>
  <c r="I18" i="10"/>
  <c r="H18" i="10" a="1"/>
  <c r="H18" i="10"/>
  <c r="G18" i="10" a="1"/>
  <c r="G18" i="10" s="1"/>
  <c r="F18" i="10" a="1"/>
  <c r="F18" i="10"/>
  <c r="E18" i="10" a="1"/>
  <c r="E18" i="10" s="1"/>
  <c r="D18" i="10" a="1"/>
  <c r="D18" i="10" s="1"/>
  <c r="C18" i="10" a="1"/>
  <c r="C18" i="10" s="1"/>
  <c r="Q17" i="10" a="1"/>
  <c r="Q17" i="10"/>
  <c r="P17" i="10" a="1"/>
  <c r="P17" i="10"/>
  <c r="O17" i="10" a="1"/>
  <c r="O17" i="10" s="1"/>
  <c r="N17" i="10" a="1"/>
  <c r="N17" i="10" s="1"/>
  <c r="M17" i="10" a="1"/>
  <c r="M17" i="10" s="1"/>
  <c r="L17" i="10" a="1"/>
  <c r="L17" i="10"/>
  <c r="K17" i="10" a="1"/>
  <c r="K17" i="10" s="1"/>
  <c r="J17" i="10" a="1"/>
  <c r="J17" i="10" s="1"/>
  <c r="I17" i="10" a="1"/>
  <c r="I17" i="10"/>
  <c r="H17" i="10" a="1"/>
  <c r="H17" i="10"/>
  <c r="G17" i="10" a="1"/>
  <c r="G17" i="10" s="1"/>
  <c r="F17" i="10" a="1"/>
  <c r="F17" i="10" s="1"/>
  <c r="E17" i="10" a="1"/>
  <c r="E17" i="10"/>
  <c r="D17" i="10" a="1"/>
  <c r="D17" i="10" s="1"/>
  <c r="C17" i="10" a="1"/>
  <c r="C17" i="10"/>
  <c r="Q16" i="10" a="1"/>
  <c r="Q16" i="10"/>
  <c r="P16" i="10" a="1"/>
  <c r="P16" i="10" s="1"/>
  <c r="O16" i="10" a="1"/>
  <c r="O16" i="10" s="1"/>
  <c r="N16" i="10" a="1"/>
  <c r="N16" i="10" s="1"/>
  <c r="M16" i="10" a="1"/>
  <c r="M16" i="10"/>
  <c r="L16" i="10" a="1"/>
  <c r="L16" i="10"/>
  <c r="K16" i="10" a="1"/>
  <c r="K16" i="10" s="1"/>
  <c r="J16" i="10" a="1"/>
  <c r="J16" i="10"/>
  <c r="I16" i="10" a="1"/>
  <c r="I16" i="10" s="1"/>
  <c r="H16" i="10" a="1"/>
  <c r="H16" i="10" s="1"/>
  <c r="G16" i="10" a="1"/>
  <c r="G16" i="10" s="1"/>
  <c r="F16" i="10" a="1"/>
  <c r="F16" i="10"/>
  <c r="E16" i="10" a="1"/>
  <c r="E16" i="10"/>
  <c r="D16" i="10" a="1"/>
  <c r="D16" i="10" s="1"/>
  <c r="C16" i="10" a="1"/>
  <c r="C16" i="10"/>
  <c r="Q15" i="10" a="1"/>
  <c r="Q15" i="10"/>
  <c r="P15" i="10" a="1"/>
  <c r="P15" i="10" s="1"/>
  <c r="O15" i="10" a="1"/>
  <c r="O15" i="10" s="1"/>
  <c r="N15" i="10" a="1"/>
  <c r="N15" i="10" s="1"/>
  <c r="M15" i="10" a="1"/>
  <c r="M15" i="10"/>
  <c r="L15" i="10" a="1"/>
  <c r="L15" i="10"/>
  <c r="K15" i="10" a="1"/>
  <c r="K15" i="10" s="1"/>
  <c r="J15" i="10" a="1"/>
  <c r="J15" i="10"/>
  <c r="I15" i="10" a="1"/>
  <c r="I15" i="10" s="1"/>
  <c r="H15" i="10" a="1"/>
  <c r="H15" i="10" s="1"/>
  <c r="G15" i="10" a="1"/>
  <c r="G15" i="10" s="1"/>
  <c r="F15" i="10" a="1"/>
  <c r="F15" i="10" s="1"/>
  <c r="E15" i="10" a="1"/>
  <c r="E15" i="10" s="1"/>
  <c r="D15" i="10" a="1"/>
  <c r="D15" i="10" s="1"/>
  <c r="C15" i="10" a="1"/>
  <c r="C15" i="10"/>
  <c r="Q14" i="10" a="1"/>
  <c r="Q14" i="10"/>
  <c r="P14" i="10" a="1"/>
  <c r="P14" i="10" s="1"/>
  <c r="O14" i="10" a="1"/>
  <c r="O14" i="10" s="1"/>
  <c r="N14" i="10" a="1"/>
  <c r="N14" i="10" s="1"/>
  <c r="M14" i="10" a="1"/>
  <c r="M14" i="10" s="1"/>
  <c r="L14" i="10" a="1"/>
  <c r="L14" i="10" s="1"/>
  <c r="K14" i="10" a="1"/>
  <c r="K14" i="10" s="1"/>
  <c r="J14" i="10" a="1"/>
  <c r="J14" i="10" s="1"/>
  <c r="I14" i="10" a="1"/>
  <c r="I14" i="10" s="1"/>
  <c r="H14" i="10" a="1"/>
  <c r="H14" i="10"/>
  <c r="Z32" i="10" s="1"/>
  <c r="G14" i="10" a="1"/>
  <c r="G14" i="10" s="1"/>
  <c r="F14" i="10" a="1"/>
  <c r="F14" i="10" s="1"/>
  <c r="X32" i="10" s="1"/>
  <c r="E14" i="10" a="1"/>
  <c r="E14" i="10"/>
  <c r="T32" i="10" s="1"/>
  <c r="D14" i="10" a="1"/>
  <c r="D14" i="10" s="1"/>
  <c r="S32" i="10" s="1"/>
  <c r="C14" i="10" a="1"/>
  <c r="C14" i="10"/>
  <c r="Q13" i="10" a="1"/>
  <c r="Q13" i="10" s="1"/>
  <c r="P13" i="10" a="1"/>
  <c r="P13" i="10" s="1"/>
  <c r="O13" i="10" a="1"/>
  <c r="O13" i="10"/>
  <c r="N13" i="10" a="1"/>
  <c r="N13" i="10" s="1"/>
  <c r="M13" i="10" a="1"/>
  <c r="M13" i="10"/>
  <c r="L13" i="10" a="1"/>
  <c r="L13" i="10"/>
  <c r="K13" i="10" a="1"/>
  <c r="K13" i="10" s="1"/>
  <c r="J13" i="10" a="1"/>
  <c r="J13" i="10" s="1"/>
  <c r="I13" i="10" a="1"/>
  <c r="I13" i="10"/>
  <c r="H13" i="10" a="1"/>
  <c r="H13" i="10"/>
  <c r="W31" i="10" s="1"/>
  <c r="G13" i="10" a="1"/>
  <c r="G13" i="10" s="1"/>
  <c r="F13" i="10" a="1"/>
  <c r="F13" i="10"/>
  <c r="U31" i="10" s="1"/>
  <c r="E13" i="10" a="1"/>
  <c r="E13" i="10"/>
  <c r="T31" i="10" s="1"/>
  <c r="D13" i="10" a="1"/>
  <c r="D13" i="10" s="1"/>
  <c r="S31" i="10" s="1"/>
  <c r="C13" i="10" a="1"/>
  <c r="C13" i="10" s="1"/>
  <c r="Q12" i="10" a="1"/>
  <c r="Q12" i="10"/>
  <c r="P12" i="10" a="1"/>
  <c r="P12" i="10" s="1"/>
  <c r="O12" i="10" a="1"/>
  <c r="O12" i="10" s="1"/>
  <c r="N12" i="10" a="1"/>
  <c r="N12" i="10" s="1"/>
  <c r="M12" i="10" a="1"/>
  <c r="M12" i="10" s="1"/>
  <c r="L12" i="10" a="1"/>
  <c r="L12" i="10"/>
  <c r="K12" i="10" a="1"/>
  <c r="K12" i="10" s="1"/>
  <c r="J12" i="10" a="1"/>
  <c r="J12" i="10" s="1"/>
  <c r="I12" i="10" a="1"/>
  <c r="I12" i="10"/>
  <c r="H12" i="10" a="1"/>
  <c r="H12" i="10"/>
  <c r="Z30" i="10" s="1"/>
  <c r="G12" i="10" a="1"/>
  <c r="G12" i="10" s="1"/>
  <c r="F12" i="10" a="1"/>
  <c r="F12" i="10" s="1"/>
  <c r="E12" i="10" a="1"/>
  <c r="E12" i="10" s="1"/>
  <c r="T30" i="10" s="1"/>
  <c r="D12" i="10" a="1"/>
  <c r="D12" i="10" s="1"/>
  <c r="S30" i="10" s="1"/>
  <c r="C12" i="10" a="1"/>
  <c r="C12" i="10" s="1"/>
  <c r="Q11" i="10" a="1"/>
  <c r="Q11" i="10"/>
  <c r="P11" i="10" a="1"/>
  <c r="P11" i="10"/>
  <c r="O11" i="10" a="1"/>
  <c r="O11" i="10"/>
  <c r="N11" i="10" a="1"/>
  <c r="N11" i="10" s="1"/>
  <c r="M11" i="10" a="1"/>
  <c r="M11" i="10"/>
  <c r="L11" i="10" a="1"/>
  <c r="L11" i="10" s="1"/>
  <c r="K11" i="10" a="1"/>
  <c r="K11" i="10" s="1"/>
  <c r="I11" i="10" a="1"/>
  <c r="I11" i="10" s="1"/>
  <c r="H11" i="10" a="1"/>
  <c r="H11" i="10"/>
  <c r="Z29" i="10" s="1"/>
  <c r="G11" i="10" a="1"/>
  <c r="G11" i="10" s="1"/>
  <c r="F11" i="10" a="1"/>
  <c r="F11" i="10"/>
  <c r="U29" i="10" s="1"/>
  <c r="E11" i="10" a="1"/>
  <c r="E11" i="10" s="1"/>
  <c r="T29" i="10" s="1"/>
  <c r="D11" i="10" a="1"/>
  <c r="D11" i="10"/>
  <c r="S29" i="10" s="1"/>
  <c r="C11" i="10" a="1"/>
  <c r="C11" i="10" s="1"/>
  <c r="B8" i="10"/>
  <c r="N5" i="10" a="1"/>
  <c r="N5" i="10"/>
  <c r="H5" i="10" a="1"/>
  <c r="H5" i="10" s="1"/>
  <c r="W31" i="9"/>
  <c r="V29" i="9"/>
  <c r="U29" i="9"/>
  <c r="Q25" i="9" a="1"/>
  <c r="Q25" i="9"/>
  <c r="P25" i="9" a="1"/>
  <c r="P25" i="9"/>
  <c r="O25" i="9" a="1"/>
  <c r="O25" i="9" s="1"/>
  <c r="N25" i="9" a="1"/>
  <c r="N25" i="9" s="1"/>
  <c r="M25" i="9" a="1"/>
  <c r="M25" i="9"/>
  <c r="L25" i="9" a="1"/>
  <c r="L25" i="9" s="1"/>
  <c r="K25" i="9" a="1"/>
  <c r="K25" i="9" s="1"/>
  <c r="J25" i="9" a="1"/>
  <c r="J25" i="9" s="1"/>
  <c r="I25" i="9" a="1"/>
  <c r="I25" i="9"/>
  <c r="H25" i="9" a="1"/>
  <c r="H25" i="9"/>
  <c r="G25" i="9" a="1"/>
  <c r="G25" i="9" s="1"/>
  <c r="F25" i="9" a="1"/>
  <c r="F25" i="9"/>
  <c r="E25" i="9" a="1"/>
  <c r="E25" i="9" s="1"/>
  <c r="D25" i="9" a="1"/>
  <c r="D25" i="9" s="1"/>
  <c r="C25" i="9" a="1"/>
  <c r="C25" i="9" s="1"/>
  <c r="Q24" i="9" a="1"/>
  <c r="Q24" i="9"/>
  <c r="P24" i="9" a="1"/>
  <c r="P24" i="9"/>
  <c r="O24" i="9" a="1"/>
  <c r="O24" i="9" s="1"/>
  <c r="N24" i="9" a="1"/>
  <c r="N24" i="9"/>
  <c r="M24" i="9" a="1"/>
  <c r="M24" i="9"/>
  <c r="L24" i="9" a="1"/>
  <c r="L24" i="9" s="1"/>
  <c r="K24" i="9" a="1"/>
  <c r="K24" i="9" s="1"/>
  <c r="J24" i="9" a="1"/>
  <c r="J24" i="9" s="1"/>
  <c r="I24" i="9" a="1"/>
  <c r="I24" i="9" s="1"/>
  <c r="H24" i="9" a="1"/>
  <c r="H24" i="9"/>
  <c r="G24" i="9" a="1"/>
  <c r="G24" i="9" s="1"/>
  <c r="F24" i="9" a="1"/>
  <c r="F24" i="9"/>
  <c r="E24" i="9" a="1"/>
  <c r="E24" i="9" s="1"/>
  <c r="D24" i="9" a="1"/>
  <c r="D24" i="9" s="1"/>
  <c r="C24" i="9" a="1"/>
  <c r="C24" i="9" s="1"/>
  <c r="Q23" i="9" a="1"/>
  <c r="Q23" i="9"/>
  <c r="P23" i="9" a="1"/>
  <c r="P23" i="9" s="1"/>
  <c r="O23" i="9" a="1"/>
  <c r="O23" i="9" s="1"/>
  <c r="N23" i="9" a="1"/>
  <c r="N23" i="9"/>
  <c r="M23" i="9" a="1"/>
  <c r="M23" i="9" s="1"/>
  <c r="L23" i="9" a="1"/>
  <c r="L23" i="9"/>
  <c r="K23" i="9" a="1"/>
  <c r="K23" i="9"/>
  <c r="J23" i="9" a="1"/>
  <c r="J23" i="9" s="1"/>
  <c r="I23" i="9" a="1"/>
  <c r="I23" i="9"/>
  <c r="H23" i="9" a="1"/>
  <c r="H23" i="9" s="1"/>
  <c r="G23" i="9" a="1"/>
  <c r="G23" i="9" s="1"/>
  <c r="F23" i="9" a="1"/>
  <c r="F23" i="9" s="1"/>
  <c r="E23" i="9" a="1"/>
  <c r="E23" i="9"/>
  <c r="D23" i="9" a="1"/>
  <c r="D23" i="9"/>
  <c r="C23" i="9" a="1"/>
  <c r="C23" i="9" s="1"/>
  <c r="Q22" i="9" a="1"/>
  <c r="Q22" i="9"/>
  <c r="P22" i="9" a="1"/>
  <c r="P22" i="9"/>
  <c r="O22" i="9" a="1"/>
  <c r="O22" i="9" s="1"/>
  <c r="N22" i="9" a="1"/>
  <c r="N22" i="9" s="1"/>
  <c r="M22" i="9" a="1"/>
  <c r="M22" i="9" s="1"/>
  <c r="L22" i="9" a="1"/>
  <c r="L22" i="9"/>
  <c r="K22" i="9" a="1"/>
  <c r="K22" i="9"/>
  <c r="J22" i="9" a="1"/>
  <c r="J22" i="9" s="1"/>
  <c r="I22" i="9" a="1"/>
  <c r="I22" i="9"/>
  <c r="H22" i="9" a="1"/>
  <c r="H22" i="9" s="1"/>
  <c r="G22" i="9" a="1"/>
  <c r="G22" i="9" s="1"/>
  <c r="F22" i="9" a="1"/>
  <c r="F22" i="9"/>
  <c r="E22" i="9" a="1"/>
  <c r="E22" i="9" s="1"/>
  <c r="D22" i="9" a="1"/>
  <c r="D22" i="9"/>
  <c r="C22" i="9" a="1"/>
  <c r="C22" i="9" s="1"/>
  <c r="Q21" i="9" a="1"/>
  <c r="Q21" i="9"/>
  <c r="P21" i="9" a="1"/>
  <c r="P21" i="9"/>
  <c r="O21" i="9" a="1"/>
  <c r="O21" i="9" s="1"/>
  <c r="N21" i="9" a="1"/>
  <c r="N21" i="9" s="1"/>
  <c r="M21" i="9" a="1"/>
  <c r="M21" i="9"/>
  <c r="L21" i="9" a="1"/>
  <c r="L21" i="9" s="1"/>
  <c r="K21" i="9" a="1"/>
  <c r="K21" i="9" s="1"/>
  <c r="J21" i="9" a="1"/>
  <c r="J21" i="9" s="1"/>
  <c r="I21" i="9" a="1"/>
  <c r="I21" i="9"/>
  <c r="H21" i="9" a="1"/>
  <c r="H21" i="9" s="1"/>
  <c r="G21" i="9" a="1"/>
  <c r="G21" i="9" s="1"/>
  <c r="F21" i="9" a="1"/>
  <c r="F21" i="9"/>
  <c r="E21" i="9" a="1"/>
  <c r="E21" i="9" s="1"/>
  <c r="D21" i="9" a="1"/>
  <c r="D21" i="9"/>
  <c r="C21" i="9" a="1"/>
  <c r="C21" i="9" s="1"/>
  <c r="Q20" i="9" a="1"/>
  <c r="Q20" i="9" s="1"/>
  <c r="P20" i="9" a="1"/>
  <c r="P20" i="9" s="1"/>
  <c r="O20" i="9" a="1"/>
  <c r="O20" i="9"/>
  <c r="N20" i="9" a="1"/>
  <c r="N20" i="9" s="1"/>
  <c r="M20" i="9" a="1"/>
  <c r="M20" i="9"/>
  <c r="L20" i="9" a="1"/>
  <c r="L20" i="9"/>
  <c r="K20" i="9" a="1"/>
  <c r="K20" i="9" s="1"/>
  <c r="J20" i="9" a="1"/>
  <c r="J20" i="9" s="1"/>
  <c r="I20" i="9" a="1"/>
  <c r="I20" i="9" s="1"/>
  <c r="H20" i="9" a="1"/>
  <c r="H20" i="9" s="1"/>
  <c r="G20" i="9" a="1"/>
  <c r="G20" i="9" s="1"/>
  <c r="F20" i="9" a="1"/>
  <c r="F20" i="9"/>
  <c r="E20" i="9" a="1"/>
  <c r="E20" i="9"/>
  <c r="D20" i="9" a="1"/>
  <c r="D20" i="9"/>
  <c r="C20" i="9" a="1"/>
  <c r="C20" i="9" s="1"/>
  <c r="Q19" i="9" a="1"/>
  <c r="Q19" i="9" s="1"/>
  <c r="P19" i="9" a="1"/>
  <c r="P19" i="9" s="1"/>
  <c r="O19" i="9" a="1"/>
  <c r="O19" i="9"/>
  <c r="N19" i="9" a="1"/>
  <c r="N19" i="9" s="1"/>
  <c r="M19" i="9" a="1"/>
  <c r="M19" i="9" s="1"/>
  <c r="L19" i="9" a="1"/>
  <c r="L19" i="9"/>
  <c r="K19" i="9" a="1"/>
  <c r="K19" i="9"/>
  <c r="J19" i="9" a="1"/>
  <c r="J19" i="9" s="1"/>
  <c r="I19" i="9" a="1"/>
  <c r="I19" i="9"/>
  <c r="H19" i="9" a="1"/>
  <c r="H19" i="9" s="1"/>
  <c r="G19" i="9" a="1"/>
  <c r="G19" i="9" s="1"/>
  <c r="F19" i="9" a="1"/>
  <c r="F19" i="9" s="1"/>
  <c r="E19" i="9" a="1"/>
  <c r="E19" i="9" s="1"/>
  <c r="D19" i="9" a="1"/>
  <c r="D19" i="9"/>
  <c r="C19" i="9" a="1"/>
  <c r="C19" i="9" s="1"/>
  <c r="Q18" i="9" a="1"/>
  <c r="Q18" i="9"/>
  <c r="P18" i="9" a="1"/>
  <c r="P18" i="9"/>
  <c r="O18" i="9" a="1"/>
  <c r="O18" i="9" s="1"/>
  <c r="N18" i="9" a="1"/>
  <c r="N18" i="9" s="1"/>
  <c r="M18" i="9" a="1"/>
  <c r="M18" i="9" s="1"/>
  <c r="L18" i="9" a="1"/>
  <c r="L18" i="9"/>
  <c r="K18" i="9" a="1"/>
  <c r="K18" i="9" s="1"/>
  <c r="J18" i="9" a="1"/>
  <c r="J18" i="9"/>
  <c r="I18" i="9" a="1"/>
  <c r="I18" i="9"/>
  <c r="H18" i="9" a="1"/>
  <c r="H18" i="9" s="1"/>
  <c r="G18" i="9" a="1"/>
  <c r="G18" i="9"/>
  <c r="F18" i="9" a="1"/>
  <c r="F18" i="9"/>
  <c r="E18" i="9" a="1"/>
  <c r="E18" i="9" s="1"/>
  <c r="D18" i="9" a="1"/>
  <c r="D18" i="9" s="1"/>
  <c r="C18" i="9" a="1"/>
  <c r="C18" i="9"/>
  <c r="Q17" i="9" a="1"/>
  <c r="Q17" i="9" s="1"/>
  <c r="P17" i="9" a="1"/>
  <c r="P17" i="9" s="1"/>
  <c r="O17" i="9" a="1"/>
  <c r="O17" i="9"/>
  <c r="N17" i="9" a="1"/>
  <c r="N17" i="9"/>
  <c r="M17" i="9" a="1"/>
  <c r="M17" i="9"/>
  <c r="L17" i="9" a="1"/>
  <c r="L17" i="9" s="1"/>
  <c r="K17" i="9" a="1"/>
  <c r="K17" i="9"/>
  <c r="J17" i="9" a="1"/>
  <c r="J17" i="9"/>
  <c r="I17" i="9" a="1"/>
  <c r="I17" i="9" s="1"/>
  <c r="H17" i="9" a="1"/>
  <c r="H17" i="9"/>
  <c r="G17" i="9" a="1"/>
  <c r="G17" i="9"/>
  <c r="F17" i="9" a="1"/>
  <c r="F17" i="9"/>
  <c r="E17" i="9" a="1"/>
  <c r="E17" i="9" s="1"/>
  <c r="D17" i="9" a="1"/>
  <c r="D17" i="9"/>
  <c r="C17" i="9" a="1"/>
  <c r="C17" i="9"/>
  <c r="Q16" i="9" a="1"/>
  <c r="Q16" i="9" s="1"/>
  <c r="P16" i="9" a="1"/>
  <c r="P16" i="9" s="1"/>
  <c r="O16" i="9" a="1"/>
  <c r="O16" i="9"/>
  <c r="N16" i="9" a="1"/>
  <c r="N16" i="9"/>
  <c r="M16" i="9" a="1"/>
  <c r="M16" i="9" s="1"/>
  <c r="L16" i="9" a="1"/>
  <c r="L16" i="9"/>
  <c r="K16" i="9" a="1"/>
  <c r="K16" i="9"/>
  <c r="J16" i="9" a="1"/>
  <c r="J16" i="9" s="1"/>
  <c r="I16" i="9" a="1"/>
  <c r="I16" i="9"/>
  <c r="H16" i="9" a="1"/>
  <c r="H16" i="9" s="1"/>
  <c r="G16" i="9" a="1"/>
  <c r="G16" i="9"/>
  <c r="F16" i="9" a="1"/>
  <c r="F16" i="9" s="1"/>
  <c r="E16" i="9" a="1"/>
  <c r="E16" i="9"/>
  <c r="D16" i="9" a="1"/>
  <c r="D16" i="9"/>
  <c r="C16" i="9" a="1"/>
  <c r="C16" i="9" s="1"/>
  <c r="P15" i="9" a="1"/>
  <c r="P15" i="9" s="1"/>
  <c r="O15" i="9" a="1"/>
  <c r="O15" i="9"/>
  <c r="N15" i="9" a="1"/>
  <c r="N15" i="9" s="1"/>
  <c r="M15" i="9" a="1"/>
  <c r="M15" i="9" s="1"/>
  <c r="L15" i="9" a="1"/>
  <c r="L15" i="9"/>
  <c r="K15" i="9" a="1"/>
  <c r="K15" i="9" s="1"/>
  <c r="J15" i="9" a="1"/>
  <c r="J15" i="9"/>
  <c r="I15" i="9" a="1"/>
  <c r="I15" i="9"/>
  <c r="H15" i="9" a="1"/>
  <c r="H15" i="9" s="1"/>
  <c r="G15" i="9" a="1"/>
  <c r="G15" i="9" s="1"/>
  <c r="F15" i="9" a="1"/>
  <c r="F15" i="9"/>
  <c r="E15" i="9" a="1"/>
  <c r="E15" i="9"/>
  <c r="D15" i="9" a="1"/>
  <c r="D15" i="9" s="1"/>
  <c r="C15" i="9" a="1"/>
  <c r="C15" i="9"/>
  <c r="Q14" i="9" a="1"/>
  <c r="Q14" i="9"/>
  <c r="P14" i="9" a="1"/>
  <c r="P14" i="9"/>
  <c r="O14" i="9" a="1"/>
  <c r="O14" i="9" s="1"/>
  <c r="N14" i="9" a="1"/>
  <c r="N14" i="9"/>
  <c r="M14" i="9" a="1"/>
  <c r="M14" i="9"/>
  <c r="L14" i="9" a="1"/>
  <c r="L14" i="9" s="1"/>
  <c r="K14" i="9" a="1"/>
  <c r="K14" i="9" s="1"/>
  <c r="J14" i="9" a="1"/>
  <c r="J14" i="9"/>
  <c r="I14" i="9" a="1"/>
  <c r="I14" i="9"/>
  <c r="H14" i="9" a="1"/>
  <c r="H14" i="9" s="1"/>
  <c r="G14" i="9" a="1"/>
  <c r="G14" i="9"/>
  <c r="Y32" i="9" s="1"/>
  <c r="F14" i="9" a="1"/>
  <c r="F14" i="9"/>
  <c r="X32" i="9" s="1"/>
  <c r="E14" i="9" a="1"/>
  <c r="E14" i="9" s="1"/>
  <c r="T32" i="9" s="1"/>
  <c r="D14" i="9" a="1"/>
  <c r="D14" i="9"/>
  <c r="S32" i="9" s="1"/>
  <c r="C14" i="9" a="1"/>
  <c r="C14" i="9" s="1"/>
  <c r="Q13" i="9" a="1"/>
  <c r="Q13" i="9"/>
  <c r="P13" i="9" a="1"/>
  <c r="P13" i="9" s="1"/>
  <c r="O13" i="9" a="1"/>
  <c r="O13" i="9"/>
  <c r="N13" i="9" a="1"/>
  <c r="N13" i="9"/>
  <c r="M13" i="9" a="1"/>
  <c r="M13" i="9" s="1"/>
  <c r="L13" i="9" a="1"/>
  <c r="L13" i="9" s="1"/>
  <c r="K13" i="9" a="1"/>
  <c r="K13" i="9"/>
  <c r="J13" i="9" a="1"/>
  <c r="J13" i="9" s="1"/>
  <c r="I13" i="9" a="1"/>
  <c r="I13" i="9" s="1"/>
  <c r="H13" i="9" a="1"/>
  <c r="H13" i="9"/>
  <c r="Z31" i="9" s="1"/>
  <c r="G13" i="9" a="1"/>
  <c r="G13" i="9"/>
  <c r="V31" i="9" s="1"/>
  <c r="F13" i="9" a="1"/>
  <c r="F13" i="9" s="1"/>
  <c r="E13" i="9" a="1"/>
  <c r="E13" i="9" s="1"/>
  <c r="T31" i="9" s="1"/>
  <c r="D13" i="9" a="1"/>
  <c r="D13" i="9"/>
  <c r="S31" i="9" s="1"/>
  <c r="C13" i="9" a="1"/>
  <c r="C13" i="9"/>
  <c r="Q12" i="9" a="1"/>
  <c r="Q12" i="9" s="1"/>
  <c r="P12" i="9" a="1"/>
  <c r="P12" i="9" s="1"/>
  <c r="O12" i="9" a="1"/>
  <c r="O12" i="9"/>
  <c r="N12" i="9" a="1"/>
  <c r="N12" i="9" s="1"/>
  <c r="M12" i="9" a="1"/>
  <c r="M12" i="9"/>
  <c r="L12" i="9" a="1"/>
  <c r="L12" i="9" s="1"/>
  <c r="K12" i="9" a="1"/>
  <c r="K12" i="9"/>
  <c r="J12" i="9" a="1"/>
  <c r="J12" i="9" s="1"/>
  <c r="I12" i="9" a="1"/>
  <c r="I12" i="9"/>
  <c r="H12" i="9" a="1"/>
  <c r="H12" i="9"/>
  <c r="Z30" i="9" s="1"/>
  <c r="G12" i="9" a="1"/>
  <c r="G12" i="9" s="1"/>
  <c r="F12" i="9" a="1"/>
  <c r="F12" i="9"/>
  <c r="X30" i="9" s="1"/>
  <c r="E12" i="9" a="1"/>
  <c r="E12" i="9"/>
  <c r="T30" i="9" s="1"/>
  <c r="D12" i="9" a="1"/>
  <c r="D12" i="9" s="1"/>
  <c r="S30" i="9" s="1"/>
  <c r="C12" i="9" a="1"/>
  <c r="C12" i="9" s="1"/>
  <c r="Q11" i="9" a="1"/>
  <c r="Q11" i="9"/>
  <c r="P11" i="9" a="1"/>
  <c r="P11" i="9" s="1"/>
  <c r="O11" i="9" a="1"/>
  <c r="O11" i="9" s="1"/>
  <c r="N11" i="9" a="1"/>
  <c r="N11" i="9"/>
  <c r="M11" i="9" a="1"/>
  <c r="M11" i="9" s="1"/>
  <c r="L11" i="9" a="1"/>
  <c r="L11" i="9"/>
  <c r="K11" i="9" a="1"/>
  <c r="K11" i="9" s="1"/>
  <c r="J11" i="9" a="1"/>
  <c r="J11" i="9"/>
  <c r="I11" i="9" a="1"/>
  <c r="I11" i="9"/>
  <c r="H11" i="9" a="1"/>
  <c r="H11" i="9" s="1"/>
  <c r="G11" i="9" a="1"/>
  <c r="G11" i="9"/>
  <c r="Y29" i="9" s="1"/>
  <c r="F11" i="9" a="1"/>
  <c r="F11" i="9"/>
  <c r="X29" i="9" s="1"/>
  <c r="E11" i="9" a="1"/>
  <c r="E11" i="9" s="1"/>
  <c r="T29" i="9" s="1"/>
  <c r="D11" i="9" a="1"/>
  <c r="D11" i="9" s="1"/>
  <c r="S29" i="9" s="1"/>
  <c r="C11" i="9" a="1"/>
  <c r="C11" i="9"/>
  <c r="B8" i="9"/>
  <c r="N5" i="9" a="1"/>
  <c r="N5" i="9" s="1"/>
  <c r="H5" i="9" a="1"/>
  <c r="H5" i="9"/>
  <c r="X32" i="8"/>
  <c r="S31" i="8"/>
  <c r="Q25" i="8" a="1"/>
  <c r="Q25" i="8" s="1"/>
  <c r="P25" i="8" a="1"/>
  <c r="P25" i="8"/>
  <c r="O25" i="8" a="1"/>
  <c r="O25" i="8"/>
  <c r="N25" i="8" a="1"/>
  <c r="N25" i="8" s="1"/>
  <c r="M25" i="8" a="1"/>
  <c r="M25" i="8"/>
  <c r="L25" i="8" a="1"/>
  <c r="L25" i="8" s="1"/>
  <c r="K25" i="8" a="1"/>
  <c r="K25" i="8"/>
  <c r="J25" i="8" a="1"/>
  <c r="J25" i="8" s="1"/>
  <c r="I25" i="8" a="1"/>
  <c r="I25" i="8" s="1"/>
  <c r="H25" i="8" a="1"/>
  <c r="H25" i="8"/>
  <c r="G25" i="8" a="1"/>
  <c r="G25" i="8" s="1"/>
  <c r="F25" i="8" a="1"/>
  <c r="F25" i="8"/>
  <c r="E25" i="8" a="1"/>
  <c r="E25" i="8"/>
  <c r="D25" i="8" a="1"/>
  <c r="D25" i="8"/>
  <c r="C25" i="8" a="1"/>
  <c r="C25" i="8" s="1"/>
  <c r="Q24" i="8" a="1"/>
  <c r="Q24" i="8"/>
  <c r="P24" i="8" a="1"/>
  <c r="P24" i="8" s="1"/>
  <c r="O24" i="8" a="1"/>
  <c r="O24" i="8" s="1"/>
  <c r="N24" i="8" a="1"/>
  <c r="N24" i="8"/>
  <c r="M24" i="8" a="1"/>
  <c r="M24" i="8"/>
  <c r="L24" i="8" a="1"/>
  <c r="L24" i="8" s="1"/>
  <c r="K24" i="8" a="1"/>
  <c r="K24" i="8" s="1"/>
  <c r="J24" i="8" a="1"/>
  <c r="J24" i="8"/>
  <c r="I24" i="8" a="1"/>
  <c r="I24" i="8" s="1"/>
  <c r="H24" i="8" a="1"/>
  <c r="H24" i="8" s="1"/>
  <c r="G24" i="8" a="1"/>
  <c r="G24" i="8"/>
  <c r="F24" i="8" a="1"/>
  <c r="F24" i="8"/>
  <c r="E24" i="8" a="1"/>
  <c r="E24" i="8"/>
  <c r="D24" i="8" a="1"/>
  <c r="D24" i="8" s="1"/>
  <c r="C24" i="8" a="1"/>
  <c r="C24" i="8"/>
  <c r="Q23" i="8" a="1"/>
  <c r="Q23" i="8"/>
  <c r="P23" i="8" a="1"/>
  <c r="P23" i="8" s="1"/>
  <c r="O23" i="8" a="1"/>
  <c r="O23" i="8"/>
  <c r="N23" i="8" a="1"/>
  <c r="N23" i="8"/>
  <c r="M23" i="8" a="1"/>
  <c r="M23" i="8"/>
  <c r="L23" i="8" a="1"/>
  <c r="L23" i="8" s="1"/>
  <c r="K23" i="8" a="1"/>
  <c r="K23" i="8"/>
  <c r="J23" i="8" a="1"/>
  <c r="J23" i="8"/>
  <c r="I23" i="8" a="1"/>
  <c r="I23" i="8" s="1"/>
  <c r="H23" i="8" a="1"/>
  <c r="H23" i="8" s="1"/>
  <c r="G23" i="8" a="1"/>
  <c r="G23" i="8"/>
  <c r="F23" i="8" a="1"/>
  <c r="F23" i="8"/>
  <c r="E23" i="8" a="1"/>
  <c r="E23" i="8" s="1"/>
  <c r="D23" i="8" a="1"/>
  <c r="D23" i="8"/>
  <c r="C23" i="8" a="1"/>
  <c r="C23" i="8"/>
  <c r="Q22" i="8" a="1"/>
  <c r="Q22" i="8" s="1"/>
  <c r="P22" i="8" a="1"/>
  <c r="P22" i="8"/>
  <c r="O22" i="8" a="1"/>
  <c r="O22" i="8" s="1"/>
  <c r="N22" i="8" a="1"/>
  <c r="N22" i="8"/>
  <c r="M22" i="8" a="1"/>
  <c r="M22" i="8" s="1"/>
  <c r="L22" i="8" a="1"/>
  <c r="L22" i="8"/>
  <c r="K22" i="8" a="1"/>
  <c r="K22" i="8"/>
  <c r="J22" i="8" a="1"/>
  <c r="J22" i="8" s="1"/>
  <c r="I22" i="8" a="1"/>
  <c r="I22" i="8" s="1"/>
  <c r="H22" i="8" a="1"/>
  <c r="H22" i="8"/>
  <c r="G22" i="8" a="1"/>
  <c r="G22" i="8" s="1"/>
  <c r="F22" i="8" a="1"/>
  <c r="F22" i="8" s="1"/>
  <c r="E22" i="8" a="1"/>
  <c r="E22" i="8"/>
  <c r="D22" i="8" a="1"/>
  <c r="D22" i="8"/>
  <c r="C22" i="8" a="1"/>
  <c r="C22" i="8" s="1"/>
  <c r="Q21" i="8" a="1"/>
  <c r="Q21" i="8"/>
  <c r="P21" i="8" a="1"/>
  <c r="P21" i="8" s="1"/>
  <c r="O21" i="8" a="1"/>
  <c r="O21" i="8"/>
  <c r="N21" i="8" a="1"/>
  <c r="N21" i="8" s="1"/>
  <c r="M21" i="8" a="1"/>
  <c r="M21" i="8" s="1"/>
  <c r="L21" i="8" a="1"/>
  <c r="L21" i="8"/>
  <c r="K21" i="8" a="1"/>
  <c r="K21" i="8" s="1"/>
  <c r="J21" i="8" a="1"/>
  <c r="J21" i="8"/>
  <c r="I21" i="8" a="1"/>
  <c r="I21" i="8"/>
  <c r="H21" i="8" a="1"/>
  <c r="H21" i="8" s="1"/>
  <c r="G21" i="8" a="1"/>
  <c r="G21" i="8" s="1"/>
  <c r="F21" i="8" a="1"/>
  <c r="F21" i="8"/>
  <c r="E21" i="8" a="1"/>
  <c r="E21" i="8" s="1"/>
  <c r="D21" i="8" a="1"/>
  <c r="D21" i="8" s="1"/>
  <c r="C21" i="8" a="1"/>
  <c r="C21" i="8"/>
  <c r="Q20" i="8" a="1"/>
  <c r="Q20" i="8"/>
  <c r="P20" i="8" a="1"/>
  <c r="P20" i="8"/>
  <c r="O20" i="8" a="1"/>
  <c r="O20" i="8" s="1"/>
  <c r="N20" i="8" a="1"/>
  <c r="N20" i="8"/>
  <c r="M20" i="8" a="1"/>
  <c r="M20" i="8"/>
  <c r="L20" i="8" a="1"/>
  <c r="L20" i="8" s="1"/>
  <c r="K20" i="8" a="1"/>
  <c r="K20" i="8"/>
  <c r="J20" i="8" a="1"/>
  <c r="J20" i="8"/>
  <c r="I20" i="8" a="1"/>
  <c r="I20" i="8"/>
  <c r="H20" i="8" a="1"/>
  <c r="H20" i="8" s="1"/>
  <c r="G20" i="8" a="1"/>
  <c r="G20" i="8"/>
  <c r="F20" i="8" a="1"/>
  <c r="F20" i="8"/>
  <c r="E20" i="8" a="1"/>
  <c r="E20" i="8" s="1"/>
  <c r="D20" i="8" a="1"/>
  <c r="D20" i="8" s="1"/>
  <c r="C20" i="8" a="1"/>
  <c r="C20" i="8"/>
  <c r="Q19" i="8" a="1"/>
  <c r="Q19" i="8"/>
  <c r="P19" i="8" a="1"/>
  <c r="P19" i="8" s="1"/>
  <c r="O19" i="8" a="1"/>
  <c r="O19" i="8"/>
  <c r="N19" i="8" a="1"/>
  <c r="N19" i="8"/>
  <c r="M19" i="8" a="1"/>
  <c r="M19" i="8" s="1"/>
  <c r="L19" i="8" a="1"/>
  <c r="L19" i="8"/>
  <c r="K19" i="8" a="1"/>
  <c r="K19" i="8" s="1"/>
  <c r="J19" i="8" a="1"/>
  <c r="J19" i="8"/>
  <c r="I19" i="8" a="1"/>
  <c r="I19" i="8" s="1"/>
  <c r="H19" i="8" a="1"/>
  <c r="H19" i="8"/>
  <c r="G19" i="8" a="1"/>
  <c r="G19" i="8"/>
  <c r="F19" i="8" a="1"/>
  <c r="F19" i="8" s="1"/>
  <c r="E19" i="8" a="1"/>
  <c r="E19" i="8" s="1"/>
  <c r="D19" i="8" a="1"/>
  <c r="D19" i="8"/>
  <c r="C19" i="8" a="1"/>
  <c r="C19" i="8" s="1"/>
  <c r="Q18" i="8" a="1"/>
  <c r="Q18" i="8" s="1"/>
  <c r="P18" i="8" a="1"/>
  <c r="P18" i="8"/>
  <c r="O18" i="8" a="1"/>
  <c r="O18" i="8"/>
  <c r="N18" i="8" a="1"/>
  <c r="N18" i="8" s="1"/>
  <c r="M18" i="8" a="1"/>
  <c r="M18" i="8"/>
  <c r="L18" i="8" a="1"/>
  <c r="L18" i="8" s="1"/>
  <c r="K18" i="8" a="1"/>
  <c r="K18" i="8"/>
  <c r="J18" i="8" a="1"/>
  <c r="J18" i="8" s="1"/>
  <c r="I18" i="8" a="1"/>
  <c r="I18" i="8" s="1"/>
  <c r="H18" i="8" a="1"/>
  <c r="H18" i="8"/>
  <c r="G18" i="8" a="1"/>
  <c r="G18" i="8" s="1"/>
  <c r="F18" i="8" a="1"/>
  <c r="F18" i="8"/>
  <c r="E18" i="8" a="1"/>
  <c r="E18" i="8"/>
  <c r="D18" i="8" a="1"/>
  <c r="D18" i="8" s="1"/>
  <c r="C18" i="8" a="1"/>
  <c r="C18" i="8" s="1"/>
  <c r="Q17" i="8" a="1"/>
  <c r="Q17" i="8"/>
  <c r="P17" i="8" a="1"/>
  <c r="P17" i="8" s="1"/>
  <c r="O17" i="8" a="1"/>
  <c r="O17" i="8" s="1"/>
  <c r="N17" i="8" a="1"/>
  <c r="N17" i="8"/>
  <c r="M17" i="8" a="1"/>
  <c r="M17" i="8"/>
  <c r="L17" i="8" a="1"/>
  <c r="L17" i="8"/>
  <c r="K17" i="8" a="1"/>
  <c r="K17" i="8" s="1"/>
  <c r="J17" i="8" a="1"/>
  <c r="J17" i="8"/>
  <c r="I17" i="8" a="1"/>
  <c r="I17" i="8"/>
  <c r="H17" i="8" a="1"/>
  <c r="H17" i="8" s="1"/>
  <c r="G17" i="8" a="1"/>
  <c r="G17" i="8"/>
  <c r="F17" i="8" a="1"/>
  <c r="F17" i="8"/>
  <c r="E17" i="8" a="1"/>
  <c r="E17" i="8"/>
  <c r="D17" i="8" a="1"/>
  <c r="D17" i="8" s="1"/>
  <c r="C17" i="8" a="1"/>
  <c r="C17" i="8"/>
  <c r="Q16" i="8" a="1"/>
  <c r="Q16" i="8"/>
  <c r="P16" i="8" a="1"/>
  <c r="P16" i="8" s="1"/>
  <c r="O16" i="8" a="1"/>
  <c r="O16" i="8" s="1"/>
  <c r="N16" i="8" a="1"/>
  <c r="N16" i="8"/>
  <c r="M16" i="8" a="1"/>
  <c r="M16" i="8"/>
  <c r="L16" i="8" a="1"/>
  <c r="L16" i="8" s="1"/>
  <c r="K16" i="8" a="1"/>
  <c r="K16" i="8"/>
  <c r="J16" i="8" a="1"/>
  <c r="J16" i="8"/>
  <c r="I16" i="8" a="1"/>
  <c r="I16" i="8" s="1"/>
  <c r="H16" i="8" a="1"/>
  <c r="H16" i="8"/>
  <c r="G16" i="8" a="1"/>
  <c r="G16" i="8" s="1"/>
  <c r="F16" i="8" a="1"/>
  <c r="F16" i="8"/>
  <c r="E16" i="8" a="1"/>
  <c r="E16" i="8" s="1"/>
  <c r="D16" i="8" a="1"/>
  <c r="D16" i="8"/>
  <c r="C16" i="8" a="1"/>
  <c r="C16" i="8"/>
  <c r="Q15" i="8" a="1"/>
  <c r="Q15" i="8" s="1"/>
  <c r="P15" i="8" a="1"/>
  <c r="P15" i="8" s="1"/>
  <c r="O15" i="8" a="1"/>
  <c r="O15" i="8"/>
  <c r="N15" i="8" a="1"/>
  <c r="N15" i="8" s="1"/>
  <c r="M15" i="8" a="1"/>
  <c r="M15" i="8" s="1"/>
  <c r="L15" i="8" a="1"/>
  <c r="L15" i="8"/>
  <c r="K15" i="8" a="1"/>
  <c r="K15" i="8"/>
  <c r="J15" i="8" a="1"/>
  <c r="J15" i="8" s="1"/>
  <c r="I15" i="8" a="1"/>
  <c r="I15" i="8"/>
  <c r="H15" i="8" a="1"/>
  <c r="H15" i="8" s="1"/>
  <c r="G15" i="8" a="1"/>
  <c r="G15" i="8"/>
  <c r="F15" i="8" a="1"/>
  <c r="F15" i="8" s="1"/>
  <c r="E15" i="8" a="1"/>
  <c r="E15" i="8" s="1"/>
  <c r="D15" i="8" a="1"/>
  <c r="D15" i="8"/>
  <c r="C15" i="8" a="1"/>
  <c r="C15" i="8" s="1"/>
  <c r="Q14" i="8" a="1"/>
  <c r="Q14" i="8"/>
  <c r="P14" i="8" a="1"/>
  <c r="P14" i="8"/>
  <c r="O14" i="8" a="1"/>
  <c r="O14" i="8" s="1"/>
  <c r="N14" i="8" a="1"/>
  <c r="N14" i="8" s="1"/>
  <c r="M14" i="8" a="1"/>
  <c r="M14" i="8"/>
  <c r="L14" i="8" a="1"/>
  <c r="L14" i="8" s="1"/>
  <c r="K14" i="8" a="1"/>
  <c r="K14" i="8" s="1"/>
  <c r="J14" i="8" a="1"/>
  <c r="J14" i="8"/>
  <c r="I14" i="8" a="1"/>
  <c r="I14" i="8"/>
  <c r="H14" i="8" a="1"/>
  <c r="H14" i="8"/>
  <c r="Z32" i="8" s="1"/>
  <c r="G14" i="8" a="1"/>
  <c r="G14" i="8" s="1"/>
  <c r="F14" i="8" a="1"/>
  <c r="F14" i="8"/>
  <c r="U32" i="8" s="1"/>
  <c r="E14" i="8" a="1"/>
  <c r="E14" i="8"/>
  <c r="T32" i="8" s="1"/>
  <c r="D14" i="8" a="1"/>
  <c r="D14" i="8" s="1"/>
  <c r="S32" i="8" s="1"/>
  <c r="C14" i="8" a="1"/>
  <c r="C14" i="8"/>
  <c r="Q13" i="8" a="1"/>
  <c r="Q13" i="8"/>
  <c r="P13" i="8" a="1"/>
  <c r="P13" i="8"/>
  <c r="O13" i="8" a="1"/>
  <c r="O13" i="8" s="1"/>
  <c r="N13" i="8" a="1"/>
  <c r="N13" i="8"/>
  <c r="M13" i="8" a="1"/>
  <c r="M13" i="8"/>
  <c r="L13" i="8" a="1"/>
  <c r="L13" i="8" s="1"/>
  <c r="K13" i="8" a="1"/>
  <c r="K13" i="8" s="1"/>
  <c r="J13" i="8" a="1"/>
  <c r="J13" i="8"/>
  <c r="I13" i="8" a="1"/>
  <c r="I13" i="8"/>
  <c r="H13" i="8" a="1"/>
  <c r="H13" i="8" s="1"/>
  <c r="G13" i="8" a="1"/>
  <c r="G13" i="8"/>
  <c r="Y31" i="8" s="1"/>
  <c r="F13" i="8" a="1"/>
  <c r="F13" i="8"/>
  <c r="X31" i="8" s="1"/>
  <c r="E13" i="8" a="1"/>
  <c r="E13" i="8" s="1"/>
  <c r="T31" i="8" s="1"/>
  <c r="D13" i="8" a="1"/>
  <c r="D13" i="8"/>
  <c r="C13" i="8" a="1"/>
  <c r="C13" i="8" s="1"/>
  <c r="Q12" i="8" a="1"/>
  <c r="Q12" i="8"/>
  <c r="P12" i="8" a="1"/>
  <c r="P12" i="8" s="1"/>
  <c r="O12" i="8" a="1"/>
  <c r="O12" i="8"/>
  <c r="N12" i="8" a="1"/>
  <c r="N12" i="8"/>
  <c r="M12" i="8" a="1"/>
  <c r="M12" i="8" s="1"/>
  <c r="L12" i="8" a="1"/>
  <c r="L12" i="8" s="1"/>
  <c r="K12" i="8" a="1"/>
  <c r="K12" i="8"/>
  <c r="J12" i="8" a="1"/>
  <c r="J12" i="8" s="1"/>
  <c r="I12" i="8" a="1"/>
  <c r="I12" i="8" s="1"/>
  <c r="H12" i="8" a="1"/>
  <c r="H12" i="8"/>
  <c r="W30" i="8" s="1"/>
  <c r="G12" i="8" a="1"/>
  <c r="G12" i="8"/>
  <c r="V30" i="8" s="1"/>
  <c r="F12" i="8" a="1"/>
  <c r="F12" i="8" s="1"/>
  <c r="E12" i="8" a="1"/>
  <c r="E12" i="8"/>
  <c r="T30" i="8" s="1"/>
  <c r="D12" i="8" a="1"/>
  <c r="D12" i="8" s="1"/>
  <c r="S30" i="8" s="1"/>
  <c r="C12" i="8" a="1"/>
  <c r="C12" i="8"/>
  <c r="Q11" i="8" a="1"/>
  <c r="Q11" i="8" s="1"/>
  <c r="P11" i="8" a="1"/>
  <c r="P11" i="8" s="1"/>
  <c r="O11" i="8" a="1"/>
  <c r="O11" i="8"/>
  <c r="N11" i="8" a="1"/>
  <c r="N11" i="8" s="1"/>
  <c r="M11" i="8" a="1"/>
  <c r="M11" i="8"/>
  <c r="L11" i="8" a="1"/>
  <c r="L11" i="8"/>
  <c r="K11" i="8" a="1"/>
  <c r="K11" i="8" s="1"/>
  <c r="J11" i="8" a="1"/>
  <c r="J11" i="8" s="1"/>
  <c r="I11" i="8" a="1"/>
  <c r="I11" i="8"/>
  <c r="H11" i="8" a="1"/>
  <c r="H11" i="8" s="1"/>
  <c r="G11" i="8" a="1"/>
  <c r="G11" i="8" s="1"/>
  <c r="F11" i="8" a="1"/>
  <c r="F11" i="8"/>
  <c r="X29" i="8" s="1"/>
  <c r="E11" i="8" a="1"/>
  <c r="E11" i="8"/>
  <c r="T29" i="8" s="1"/>
  <c r="D11" i="8" a="1"/>
  <c r="D11" i="8"/>
  <c r="S29" i="8" s="1"/>
  <c r="C11" i="8" a="1"/>
  <c r="C11" i="8" s="1"/>
  <c r="B8" i="8"/>
  <c r="H5" i="8" a="1"/>
  <c r="H5" i="8"/>
  <c r="K19" i="7"/>
  <c r="J19" i="7"/>
  <c r="I19" i="7" a="1"/>
  <c r="I19" i="7"/>
  <c r="F19" i="7"/>
  <c r="E19" i="7"/>
  <c r="D19" i="7"/>
  <c r="C19" i="7"/>
  <c r="B19" i="7"/>
  <c r="K18" i="7"/>
  <c r="J18" i="7"/>
  <c r="I18" i="7" a="1"/>
  <c r="I18" i="7"/>
  <c r="F18" i="7"/>
  <c r="D18" i="7"/>
  <c r="C18" i="7"/>
  <c r="B18" i="7"/>
  <c r="K17" i="7"/>
  <c r="J17" i="7"/>
  <c r="I17" i="7" a="1"/>
  <c r="I17" i="7" s="1"/>
  <c r="F17" i="7"/>
  <c r="D17" i="7"/>
  <c r="C17" i="7"/>
  <c r="B17" i="7"/>
  <c r="K16" i="7"/>
  <c r="J16" i="7"/>
  <c r="I16" i="7" a="1"/>
  <c r="I16" i="7"/>
  <c r="F16" i="7"/>
  <c r="E16" i="7"/>
  <c r="D16" i="7"/>
  <c r="C16" i="7"/>
  <c r="B16" i="7"/>
  <c r="K15" i="7"/>
  <c r="J15" i="7"/>
  <c r="I15" i="7" a="1"/>
  <c r="I15" i="7"/>
  <c r="F15" i="7"/>
  <c r="E15" i="7"/>
  <c r="D15" i="7"/>
  <c r="C15" i="7"/>
  <c r="B15" i="7"/>
  <c r="K14" i="7"/>
  <c r="J14" i="7"/>
  <c r="I14" i="7" a="1"/>
  <c r="I14" i="7"/>
  <c r="F14" i="7"/>
  <c r="E14" i="7"/>
  <c r="D14" i="7"/>
  <c r="C14" i="7"/>
  <c r="B14" i="7"/>
  <c r="K13" i="7"/>
  <c r="J13" i="7"/>
  <c r="I13" i="7" a="1"/>
  <c r="I13" i="7" s="1"/>
  <c r="F13" i="7"/>
  <c r="E13" i="7"/>
  <c r="D13" i="7"/>
  <c r="C13" i="7"/>
  <c r="B13" i="7"/>
  <c r="K12" i="7"/>
  <c r="J12" i="7"/>
  <c r="I12" i="7" a="1"/>
  <c r="I12" i="7"/>
  <c r="F12" i="7"/>
  <c r="E12" i="7"/>
  <c r="D12" i="7"/>
  <c r="C12" i="7"/>
  <c r="B12" i="7"/>
  <c r="K11" i="7"/>
  <c r="J11" i="7"/>
  <c r="I11" i="7" a="1"/>
  <c r="I11" i="7" s="1"/>
  <c r="F11" i="7"/>
  <c r="E11" i="7"/>
  <c r="D11" i="7"/>
  <c r="C11" i="7"/>
  <c r="B11" i="7"/>
  <c r="K10" i="7"/>
  <c r="J10" i="7"/>
  <c r="I10" i="7" a="1"/>
  <c r="I10" i="7"/>
  <c r="F10" i="7"/>
  <c r="E10" i="7"/>
  <c r="D10" i="7"/>
  <c r="C10" i="7"/>
  <c r="B10" i="7"/>
  <c r="K9" i="7"/>
  <c r="J9" i="7"/>
  <c r="I9" i="7" a="1"/>
  <c r="I9" i="7" s="1"/>
  <c r="F9" i="7"/>
  <c r="E9" i="7"/>
  <c r="D9" i="7"/>
  <c r="C9" i="7"/>
  <c r="B9" i="7"/>
  <c r="K8" i="7"/>
  <c r="J8" i="7"/>
  <c r="I8" i="7" a="1"/>
  <c r="I8" i="7"/>
  <c r="F8" i="7"/>
  <c r="E8" i="7"/>
  <c r="D8" i="7"/>
  <c r="C8" i="7"/>
  <c r="B8" i="7"/>
  <c r="P11" i="5"/>
  <c r="O11" i="5"/>
  <c r="P10" i="5"/>
  <c r="O10" i="5"/>
  <c r="P9" i="5"/>
  <c r="O9" i="5"/>
  <c r="P8" i="5"/>
  <c r="O8" i="5"/>
  <c r="P7" i="5"/>
  <c r="O7" i="5"/>
  <c r="P6" i="5"/>
  <c r="O6" i="5"/>
  <c r="P5" i="5"/>
  <c r="O5" i="5"/>
  <c r="P4" i="5"/>
  <c r="O4" i="5"/>
  <c r="P3" i="5"/>
  <c r="O3" i="5"/>
  <c r="P2" i="5"/>
  <c r="O2" i="5"/>
  <c r="R11" i="4"/>
  <c r="Q11" i="4"/>
  <c r="P11" i="4"/>
  <c r="O11" i="4"/>
  <c r="R10" i="4"/>
  <c r="Q10" i="4"/>
  <c r="P10" i="4"/>
  <c r="O10" i="4"/>
  <c r="R9" i="4"/>
  <c r="Q9" i="4"/>
  <c r="P9" i="4"/>
  <c r="O9" i="4"/>
  <c r="R8" i="4"/>
  <c r="Q8" i="4"/>
  <c r="P8" i="4"/>
  <c r="O8" i="4"/>
  <c r="R7" i="4"/>
  <c r="Q7" i="4"/>
  <c r="P7" i="4"/>
  <c r="O7" i="4"/>
  <c r="R6" i="4"/>
  <c r="Q6" i="4"/>
  <c r="P6" i="4"/>
  <c r="O6" i="4"/>
  <c r="R5" i="4"/>
  <c r="Q5" i="4"/>
  <c r="P5" i="4"/>
  <c r="O5" i="4"/>
  <c r="R4" i="4"/>
  <c r="Q4" i="4"/>
  <c r="P4" i="4"/>
  <c r="O4" i="4"/>
  <c r="R3" i="4"/>
  <c r="Q3" i="4"/>
  <c r="P3" i="4"/>
  <c r="O3" i="4"/>
  <c r="R2" i="4"/>
  <c r="Q2" i="4"/>
  <c r="P2" i="4"/>
  <c r="O2" i="4"/>
  <c r="P11" i="3"/>
  <c r="O11" i="3"/>
  <c r="P10" i="3"/>
  <c r="O10" i="3"/>
  <c r="P9" i="3"/>
  <c r="O9" i="3"/>
  <c r="P8" i="3"/>
  <c r="O8" i="3"/>
  <c r="P7" i="3"/>
  <c r="O7" i="3"/>
  <c r="P6" i="3"/>
  <c r="O6" i="3"/>
  <c r="P5" i="3"/>
  <c r="O5" i="3"/>
  <c r="P4" i="3"/>
  <c r="O4" i="3"/>
  <c r="P3" i="3"/>
  <c r="O3" i="3"/>
  <c r="P2" i="3"/>
  <c r="O2" i="3"/>
  <c r="P16" i="2"/>
  <c r="O16" i="2"/>
  <c r="P15" i="2"/>
  <c r="O15" i="2"/>
  <c r="P14" i="2"/>
  <c r="O14" i="2"/>
  <c r="P13" i="2"/>
  <c r="O13" i="2"/>
  <c r="P12" i="2"/>
  <c r="O12" i="2"/>
  <c r="P11" i="2"/>
  <c r="O11" i="2"/>
  <c r="P10" i="2"/>
  <c r="O10" i="2"/>
  <c r="P9" i="2"/>
  <c r="O9" i="2"/>
  <c r="P8" i="2"/>
  <c r="O8" i="2"/>
  <c r="P7" i="2"/>
  <c r="O7" i="2"/>
  <c r="P6" i="2"/>
  <c r="O6" i="2"/>
  <c r="P5" i="2"/>
  <c r="O5" i="2"/>
  <c r="P4" i="2"/>
  <c r="O4" i="2"/>
  <c r="P3" i="2"/>
  <c r="O3" i="2"/>
  <c r="P2" i="2"/>
  <c r="O2" i="2"/>
  <c r="O25" i="1" a="1"/>
  <c r="O25" i="1" s="1"/>
  <c r="N25" i="1" a="1"/>
  <c r="N25" i="1"/>
  <c r="L25" i="1" a="1"/>
  <c r="L25" i="1"/>
  <c r="K25" i="1" a="1"/>
  <c r="K25" i="1" s="1"/>
  <c r="J25" i="1" a="1"/>
  <c r="J25" i="1" s="1"/>
  <c r="I25" i="1" a="1"/>
  <c r="I25" i="1"/>
  <c r="H25" i="1" a="1"/>
  <c r="H25" i="1"/>
  <c r="F25" i="1" a="1"/>
  <c r="F25" i="1" s="1"/>
  <c r="E25" i="1" a="1"/>
  <c r="E25" i="1" s="1"/>
  <c r="D25" i="1" a="1"/>
  <c r="D25" i="1"/>
  <c r="C25" i="1" a="1"/>
  <c r="C25" i="1" s="1"/>
  <c r="O24" i="1" a="1"/>
  <c r="O24" i="1"/>
  <c r="N24" i="1" a="1"/>
  <c r="N24" i="1" s="1"/>
  <c r="L24" i="1" a="1"/>
  <c r="L24" i="1"/>
  <c r="K24" i="1" a="1"/>
  <c r="K24" i="1" s="1"/>
  <c r="J24" i="1" a="1"/>
  <c r="J24" i="1"/>
  <c r="I24" i="1" a="1"/>
  <c r="I24" i="1"/>
  <c r="H24" i="1" a="1"/>
  <c r="H24" i="1" s="1"/>
  <c r="F24" i="1" a="1"/>
  <c r="F24" i="1"/>
  <c r="E24" i="1" a="1"/>
  <c r="E24" i="1"/>
  <c r="D24" i="1" a="1"/>
  <c r="D24" i="1" s="1"/>
  <c r="C24" i="1" a="1"/>
  <c r="C24" i="1" s="1"/>
  <c r="O23" i="1" a="1"/>
  <c r="O23" i="1"/>
  <c r="N23" i="1" a="1"/>
  <c r="N23" i="1"/>
  <c r="L23" i="1" a="1"/>
  <c r="L23" i="1" s="1"/>
  <c r="K23" i="1" a="1"/>
  <c r="K23" i="1"/>
  <c r="J23" i="1" a="1"/>
  <c r="J23" i="1"/>
  <c r="I23" i="1" a="1"/>
  <c r="I23" i="1"/>
  <c r="H23" i="1" a="1"/>
  <c r="H23" i="1" s="1"/>
  <c r="F23" i="1" a="1"/>
  <c r="F23" i="1"/>
  <c r="E23" i="1" a="1"/>
  <c r="E23" i="1"/>
  <c r="D23" i="1" a="1"/>
  <c r="D23" i="1" s="1"/>
  <c r="C23" i="1" a="1"/>
  <c r="C23" i="1"/>
  <c r="O22" i="1" a="1"/>
  <c r="O22" i="1"/>
  <c r="N22" i="1" a="1"/>
  <c r="N22" i="1"/>
  <c r="L22" i="1" a="1"/>
  <c r="L22" i="1" s="1"/>
  <c r="K22" i="1" a="1"/>
  <c r="K22" i="1" s="1"/>
  <c r="J22" i="1" a="1"/>
  <c r="J22" i="1"/>
  <c r="I22" i="1" a="1"/>
  <c r="I22" i="1" s="1"/>
  <c r="H22" i="1" a="1"/>
  <c r="H22" i="1"/>
  <c r="F22" i="1" a="1"/>
  <c r="F22" i="1"/>
  <c r="E22" i="1" a="1"/>
  <c r="E22" i="1"/>
  <c r="D22" i="1" a="1"/>
  <c r="D22" i="1" s="1"/>
  <c r="C22" i="1" a="1"/>
  <c r="C22" i="1"/>
  <c r="O21" i="1" a="1"/>
  <c r="O21" i="1" s="1"/>
  <c r="N21" i="1" a="1"/>
  <c r="N21" i="1" s="1"/>
  <c r="L21" i="1" a="1"/>
  <c r="L21" i="1"/>
  <c r="K21" i="1" a="1"/>
  <c r="K21" i="1"/>
  <c r="J21" i="1" a="1"/>
  <c r="J21" i="1"/>
  <c r="I21" i="1" a="1"/>
  <c r="I21" i="1" s="1"/>
  <c r="H21" i="1" a="1"/>
  <c r="H21" i="1"/>
  <c r="F21" i="1" a="1"/>
  <c r="F21" i="1"/>
  <c r="E21" i="1" a="1"/>
  <c r="E21" i="1" s="1"/>
  <c r="D21" i="1" a="1"/>
  <c r="D21" i="1" s="1"/>
  <c r="C21" i="1" a="1"/>
  <c r="C21" i="1"/>
  <c r="O20" i="1" a="1"/>
  <c r="O20" i="1"/>
  <c r="N20" i="1" a="1"/>
  <c r="N20" i="1" s="1"/>
  <c r="L20" i="1" a="1"/>
  <c r="L20" i="1"/>
  <c r="K20" i="1" a="1"/>
  <c r="K20" i="1"/>
  <c r="J20" i="1" a="1"/>
  <c r="J20" i="1" s="1"/>
  <c r="I20" i="1" a="1"/>
  <c r="I20" i="1"/>
  <c r="H20" i="1" a="1"/>
  <c r="H20" i="1" s="1"/>
  <c r="F20" i="1" a="1"/>
  <c r="F20" i="1"/>
  <c r="E20" i="1" a="1"/>
  <c r="E20" i="1" s="1"/>
  <c r="D20" i="1" a="1"/>
  <c r="D20" i="1"/>
  <c r="C20" i="1" a="1"/>
  <c r="C20" i="1"/>
  <c r="O19" i="1" a="1"/>
  <c r="O19" i="1" s="1"/>
  <c r="N19" i="1" a="1"/>
  <c r="N19" i="1"/>
  <c r="L19" i="1" a="1"/>
  <c r="L19" i="1"/>
  <c r="K19" i="1" a="1"/>
  <c r="K19" i="1" s="1"/>
  <c r="J19" i="1" a="1"/>
  <c r="J19" i="1" s="1"/>
  <c r="I19" i="1" a="1"/>
  <c r="I19" i="1"/>
  <c r="H19" i="1" a="1"/>
  <c r="H19" i="1"/>
  <c r="F19" i="1" a="1"/>
  <c r="F19" i="1" s="1"/>
  <c r="E19" i="1" a="1"/>
  <c r="E19" i="1"/>
  <c r="D19" i="1" a="1"/>
  <c r="D19" i="1"/>
  <c r="C19" i="1" a="1"/>
  <c r="C19" i="1"/>
  <c r="O18" i="1" a="1"/>
  <c r="O18" i="1" s="1"/>
  <c r="N18" i="1" a="1"/>
  <c r="N18" i="1"/>
  <c r="L18" i="1" a="1"/>
  <c r="L18" i="1"/>
  <c r="K18" i="1" a="1"/>
  <c r="K18" i="1" s="1"/>
  <c r="J18" i="1" a="1"/>
  <c r="J18" i="1"/>
  <c r="I18" i="1" a="1"/>
  <c r="I18" i="1"/>
  <c r="H18" i="1" a="1"/>
  <c r="H18" i="1"/>
  <c r="F18" i="1" a="1"/>
  <c r="F18" i="1" s="1"/>
  <c r="E18" i="1" a="1"/>
  <c r="E18" i="1" s="1"/>
  <c r="D18" i="1" a="1"/>
  <c r="D18" i="1"/>
  <c r="C18" i="1" a="1"/>
  <c r="C18" i="1" s="1"/>
  <c r="O17" i="1" a="1"/>
  <c r="O17" i="1"/>
  <c r="N17" i="1" a="1"/>
  <c r="N17" i="1"/>
  <c r="L17" i="1" a="1"/>
  <c r="L17" i="1"/>
  <c r="K17" i="1" a="1"/>
  <c r="K17" i="1" s="1"/>
  <c r="J17" i="1" a="1"/>
  <c r="J17" i="1"/>
  <c r="I17" i="1" a="1"/>
  <c r="I17" i="1" s="1"/>
  <c r="H17" i="1" a="1"/>
  <c r="H17" i="1" s="1"/>
  <c r="F17" i="1" a="1"/>
  <c r="F17" i="1"/>
  <c r="E17" i="1" a="1"/>
  <c r="E17" i="1"/>
  <c r="D17" i="1" a="1"/>
  <c r="D17" i="1"/>
  <c r="C17" i="1" a="1"/>
  <c r="C17" i="1" s="1"/>
  <c r="O16" i="1" a="1"/>
  <c r="O16" i="1"/>
  <c r="N16" i="1" a="1"/>
  <c r="N16" i="1"/>
  <c r="L16" i="1" a="1"/>
  <c r="L16" i="1" s="1"/>
  <c r="K16" i="1" a="1"/>
  <c r="K16" i="1" s="1"/>
  <c r="J16" i="1" a="1"/>
  <c r="J16" i="1"/>
  <c r="I16" i="1" a="1"/>
  <c r="I16" i="1"/>
  <c r="H16" i="1" a="1"/>
  <c r="H16" i="1" s="1"/>
  <c r="F16" i="1" a="1"/>
  <c r="F16" i="1"/>
  <c r="E16" i="1" a="1"/>
  <c r="E16" i="1"/>
  <c r="D16" i="1" a="1"/>
  <c r="D16" i="1" s="1"/>
  <c r="C16" i="1" a="1"/>
  <c r="C16" i="1"/>
  <c r="X12" i="1" a="1"/>
  <c r="X12" i="1" s="1"/>
  <c r="W12" i="1" a="1"/>
  <c r="W12" i="1"/>
  <c r="V12" i="1" a="1"/>
  <c r="V12" i="1" s="1"/>
  <c r="U12" i="1" a="1"/>
  <c r="U12" i="1"/>
  <c r="R12" i="1" a="1"/>
  <c r="R12" i="1"/>
  <c r="Q12" i="1" a="1"/>
  <c r="Q12" i="1" s="1"/>
  <c r="P12" i="1" a="1"/>
  <c r="P12" i="1"/>
  <c r="O12" i="1" a="1"/>
  <c r="O12" i="1"/>
  <c r="L12" i="1" a="1"/>
  <c r="L12" i="1" s="1"/>
  <c r="K12" i="1" a="1"/>
  <c r="K12" i="1" s="1"/>
  <c r="J12" i="1" a="1"/>
  <c r="J12" i="1"/>
  <c r="I12" i="1" a="1"/>
  <c r="I12" i="1"/>
  <c r="F12" i="1" a="1"/>
  <c r="F12" i="1" s="1"/>
  <c r="E12" i="1" a="1"/>
  <c r="E12" i="1"/>
  <c r="D12" i="1" a="1"/>
  <c r="D12" i="1"/>
  <c r="C12" i="1" a="1"/>
  <c r="C12" i="1"/>
  <c r="X11" i="1" a="1"/>
  <c r="X11" i="1" s="1"/>
  <c r="W11" i="1" a="1"/>
  <c r="W11" i="1"/>
  <c r="V11" i="1" a="1"/>
  <c r="V11" i="1"/>
  <c r="U11" i="1" a="1"/>
  <c r="U11" i="1" s="1"/>
  <c r="R11" i="1" a="1"/>
  <c r="R11" i="1"/>
  <c r="Q11" i="1" a="1"/>
  <c r="Q11" i="1"/>
  <c r="P11" i="1" a="1"/>
  <c r="P11" i="1"/>
  <c r="O11" i="1" a="1"/>
  <c r="O11" i="1" s="1"/>
  <c r="L11" i="1" a="1"/>
  <c r="L11" i="1" s="1"/>
  <c r="K11" i="1" a="1"/>
  <c r="K11" i="1"/>
  <c r="J11" i="1" a="1"/>
  <c r="J11" i="1" s="1"/>
  <c r="I11" i="1" a="1"/>
  <c r="I11" i="1"/>
  <c r="F11" i="1" a="1"/>
  <c r="F11" i="1"/>
  <c r="E11" i="1" a="1"/>
  <c r="E11" i="1"/>
  <c r="D11" i="1" a="1"/>
  <c r="D11" i="1" s="1"/>
  <c r="C11" i="1" a="1"/>
  <c r="C11" i="1"/>
  <c r="X10" i="1" a="1"/>
  <c r="X10" i="1" s="1"/>
  <c r="W10" i="1" a="1"/>
  <c r="W10" i="1" s="1"/>
  <c r="V10" i="1" a="1"/>
  <c r="V10" i="1"/>
  <c r="U10" i="1" a="1"/>
  <c r="U10" i="1"/>
  <c r="R10" i="1" a="1"/>
  <c r="R10" i="1"/>
  <c r="Q10" i="1" a="1"/>
  <c r="Q10" i="1" s="1"/>
  <c r="P10" i="1" a="1"/>
  <c r="P10" i="1"/>
  <c r="O10" i="1" a="1"/>
  <c r="O10" i="1"/>
  <c r="L10" i="1" a="1"/>
  <c r="L10" i="1" s="1"/>
  <c r="K10" i="1" a="1"/>
  <c r="K10" i="1" s="1"/>
  <c r="J10" i="1" a="1"/>
  <c r="J10" i="1"/>
  <c r="I10" i="1" a="1"/>
  <c r="I10" i="1"/>
  <c r="F10" i="1" a="1"/>
  <c r="F10" i="1" s="1"/>
  <c r="E10" i="1" a="1"/>
  <c r="E10" i="1"/>
  <c r="D10" i="1" a="1"/>
  <c r="D10" i="1"/>
  <c r="C10" i="1" a="1"/>
  <c r="C10" i="1" s="1"/>
  <c r="X9" i="1" a="1"/>
  <c r="X9" i="1"/>
  <c r="W9" i="1" a="1"/>
  <c r="W9" i="1" s="1"/>
  <c r="V9" i="1" a="1"/>
  <c r="V9" i="1"/>
  <c r="U9" i="1" a="1"/>
  <c r="U9" i="1" s="1"/>
  <c r="R9" i="1" a="1"/>
  <c r="R9" i="1"/>
  <c r="Q9" i="1" a="1"/>
  <c r="Q9" i="1"/>
  <c r="P9" i="1" a="1"/>
  <c r="P9" i="1" s="1"/>
  <c r="O9" i="1" a="1"/>
  <c r="O9" i="1"/>
  <c r="L9" i="1" a="1"/>
  <c r="L9" i="1"/>
  <c r="K9" i="1" a="1"/>
  <c r="K9" i="1" s="1"/>
  <c r="J9" i="1" a="1"/>
  <c r="J9" i="1" s="1"/>
  <c r="I9" i="1" a="1"/>
  <c r="I9" i="1"/>
  <c r="F9" i="1" a="1"/>
  <c r="F9" i="1"/>
  <c r="E9" i="1" a="1"/>
  <c r="E9" i="1" s="1"/>
  <c r="D9" i="1" a="1"/>
  <c r="D9" i="1"/>
  <c r="C9" i="1" a="1"/>
  <c r="C9" i="1"/>
  <c r="X8" i="1" a="1"/>
  <c r="X8" i="1"/>
  <c r="W8" i="1" a="1"/>
  <c r="W8" i="1" s="1"/>
  <c r="V8" i="1" a="1"/>
  <c r="V8" i="1"/>
  <c r="U8" i="1" a="1"/>
  <c r="U8" i="1"/>
  <c r="R8" i="1" a="1"/>
  <c r="R8" i="1" s="1"/>
  <c r="Q8" i="1" a="1"/>
  <c r="Q8" i="1"/>
  <c r="P8" i="1" a="1"/>
  <c r="P8" i="1"/>
  <c r="O8" i="1" a="1"/>
  <c r="O8" i="1"/>
  <c r="L8" i="1" a="1"/>
  <c r="L8" i="1" s="1"/>
  <c r="K8" i="1" a="1"/>
  <c r="K8" i="1" s="1"/>
  <c r="J8" i="1" a="1"/>
  <c r="J8" i="1"/>
  <c r="I8" i="1" a="1"/>
  <c r="I8" i="1" s="1"/>
  <c r="F8" i="1" a="1"/>
  <c r="F8" i="1"/>
  <c r="E8" i="1" a="1"/>
  <c r="E8" i="1"/>
  <c r="D8" i="1" a="1"/>
  <c r="D8" i="1"/>
  <c r="C8" i="1" a="1"/>
  <c r="C8" i="1" s="1"/>
  <c r="P3" i="1"/>
  <c r="J3" i="1" a="1"/>
  <c r="J3" i="1"/>
  <c r="D3" i="1"/>
  <c r="X30" i="10" l="1"/>
  <c r="U30" i="10"/>
  <c r="Z29" i="8"/>
  <c r="W29" i="8"/>
  <c r="Y29" i="13"/>
  <c r="V29" i="13"/>
  <c r="V33" i="11"/>
  <c r="Y33" i="11"/>
  <c r="S34" i="11"/>
  <c r="W34" i="11"/>
  <c r="W31" i="12"/>
  <c r="Z31" i="12"/>
  <c r="X30" i="14"/>
  <c r="U30" i="14"/>
  <c r="U29" i="8"/>
  <c r="Y30" i="8"/>
  <c r="W30" i="14"/>
  <c r="Z30" i="14"/>
  <c r="V29" i="15"/>
  <c r="Z30" i="8"/>
  <c r="U32" i="10"/>
  <c r="X29" i="10"/>
  <c r="Y31" i="9"/>
  <c r="V31" i="8"/>
  <c r="U29" i="12"/>
  <c r="X31" i="10"/>
  <c r="U31" i="8"/>
  <c r="V29" i="12"/>
  <c r="W38" i="11"/>
  <c r="S38" i="11"/>
  <c r="Y30" i="9"/>
  <c r="V30" i="9"/>
  <c r="V32" i="8"/>
  <c r="Y32" i="8"/>
  <c r="V32" i="10"/>
  <c r="Y32" i="10"/>
  <c r="Z31" i="8"/>
  <c r="W31" i="8"/>
  <c r="Y31" i="10"/>
  <c r="V31" i="10"/>
  <c r="X30" i="12"/>
  <c r="U30" i="12"/>
  <c r="X30" i="8"/>
  <c r="U30" i="8"/>
  <c r="Z29" i="9"/>
  <c r="W29" i="9"/>
  <c r="Z33" i="11"/>
  <c r="W33" i="11"/>
  <c r="Y30" i="10"/>
  <c r="V30" i="10"/>
  <c r="V29" i="8"/>
  <c r="Y29" i="8"/>
  <c r="X31" i="9"/>
  <c r="U31" i="9"/>
  <c r="X29" i="13"/>
  <c r="U29" i="13"/>
  <c r="W32" i="9"/>
  <c r="Z32" i="9"/>
  <c r="V29" i="10"/>
  <c r="Y29" i="10"/>
  <c r="Z30" i="16"/>
  <c r="W30" i="16"/>
  <c r="W32" i="10"/>
  <c r="W35" i="11"/>
  <c r="W29" i="14"/>
  <c r="Z29" i="14"/>
  <c r="X31" i="11"/>
  <c r="U31" i="11"/>
  <c r="S39" i="11"/>
  <c r="Z29" i="15"/>
  <c r="W29" i="10"/>
  <c r="Z31" i="10"/>
  <c r="U30" i="9"/>
  <c r="W37" i="11"/>
  <c r="S37" i="11"/>
  <c r="U32" i="9"/>
  <c r="W30" i="10"/>
  <c r="S36" i="11"/>
  <c r="X31" i="16"/>
  <c r="U31" i="16"/>
  <c r="U33" i="11"/>
  <c r="U29" i="15"/>
  <c r="Y31" i="16"/>
  <c r="V31" i="16"/>
  <c r="W32" i="8"/>
  <c r="Y30" i="14"/>
  <c r="W29" i="16"/>
  <c r="Z29" i="16"/>
  <c r="V29" i="14"/>
  <c r="Y29" i="14"/>
  <c r="Y30" i="16"/>
  <c r="V30" i="16"/>
  <c r="V30" i="12"/>
  <c r="Y30" i="12"/>
  <c r="W30" i="9"/>
  <c r="V32" i="9"/>
  <c r="U31" i="12"/>
  <c r="V29" i="16"/>
  <c r="Y29" i="16"/>
  <c r="X30" i="16"/>
  <c r="X29" i="16"/>
  <c r="U29" i="16"/>
  <c r="X29" i="14"/>
  <c r="Z31" i="16"/>
  <c r="W31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<sst xmlns="http://schemas.openxmlformats.org/spreadsheetml/2006/main" count="1856" uniqueCount="737">
  <si>
    <t>FinSight IA  ·  Tableau de Bord — Screening FTSE 100</t>
  </si>
  <si>
    <t>Confidentiel  ·  Usage interne</t>
  </si>
  <si>
    <t>17/04/2026</t>
  </si>
  <si>
    <t>SOCIÉTÉS ANALYSÉES</t>
  </si>
  <si>
    <t>SECTEURS COUVERTS</t>
  </si>
  <si>
    <t>MEILLEUR SCORE GLOBAL</t>
  </si>
  <si>
    <t>DATE D'ANALYSE</t>
  </si>
  <si>
    <t>TOP 5  ·  Classements par Facteur d'Investissement</t>
  </si>
  <si>
    <t>#</t>
  </si>
  <si>
    <t>Ticker</t>
  </si>
  <si>
    <t>Société</t>
  </si>
  <si>
    <t>Score</t>
  </si>
  <si>
    <t>Mét.</t>
  </si>
  <si>
    <t>TOP 10  GLOBAL  ·  Score Composite  ·  Value / Growth / Quality / Momentum</t>
  </si>
  <si>
    <t>Secteur</t>
  </si>
  <si>
    <t>Growth</t>
  </si>
  <si>
    <t>Quality</t>
  </si>
  <si>
    <t>Momentum</t>
  </si>
  <si>
    <t>Mg.EBITDA</t>
  </si>
  <si>
    <t>Croiss.</t>
  </si>
  <si>
    <t>Next Earn.</t>
  </si>
  <si>
    <t>Signal</t>
  </si>
  <si>
    <t>FinSight IA  ·  Données issues de Supabase/Python  ·  Scores calculés sur métriques Value, Growth, Quality, Momentum  ·  Usage confidentiel</t>
  </si>
  <si>
    <t>FinSight IA  ·  Analyse VALUE  ·  FTSE 100</t>
  </si>
  <si>
    <t>Score Global</t>
  </si>
  <si>
    <t>Usage confidentiel  ·  Calculs Python/yfinance</t>
  </si>
  <si>
    <t>Rang</t>
  </si>
  <si>
    <t>EV/EBITDA</t>
  </si>
  <si>
    <t>EV/Revenue</t>
  </si>
  <si>
    <t>P/E</t>
  </si>
  <si>
    <t>Marge Brute</t>
  </si>
  <si>
    <t>Marge EBITDA</t>
  </si>
  <si>
    <t>Altman Z</t>
  </si>
  <si>
    <t>FCF Yield</t>
  </si>
  <si>
    <t>Décote DCF estimée</t>
  </si>
  <si>
    <t>SDR.L</t>
  </si>
  <si>
    <t>Schroders plc</t>
  </si>
  <si>
    <t>Finance</t>
  </si>
  <si>
    <t>79/100</t>
  </si>
  <si>
    <t>78.1%</t>
  </si>
  <si>
    <t>26.8%</t>
  </si>
  <si>
    <t>—</t>
  </si>
  <si>
    <t>+0.1%</t>
  </si>
  <si>
    <t>PRU.L</t>
  </si>
  <si>
    <t>Prudential plc</t>
  </si>
  <si>
    <t>73/100</t>
  </si>
  <si>
    <t>41.4%</t>
  </si>
  <si>
    <t>44.9%</t>
  </si>
  <si>
    <t>JD.L</t>
  </si>
  <si>
    <t>JD Sports Fashion Plc</t>
  </si>
  <si>
    <t>Conso. Cycl.</t>
  </si>
  <si>
    <t>71/100</t>
  </si>
  <si>
    <t>47.7%</t>
  </si>
  <si>
    <t>14.4%</t>
  </si>
  <si>
    <t>+0.2%</t>
  </si>
  <si>
    <t>PSON.L</t>
  </si>
  <si>
    <t>Pearson plc</t>
  </si>
  <si>
    <t>Télécoms</t>
  </si>
  <si>
    <t>70/100</t>
  </si>
  <si>
    <t>52.0%</t>
  </si>
  <si>
    <t>16.4%</t>
  </si>
  <si>
    <t>CPG.L</t>
  </si>
  <si>
    <t>Compass Group PLC</t>
  </si>
  <si>
    <t>33.4%</t>
  </si>
  <si>
    <t>9.0%</t>
  </si>
  <si>
    <t>+5.1%</t>
  </si>
  <si>
    <t>BME.L</t>
  </si>
  <si>
    <t>B&amp;M European Value Retail plc</t>
  </si>
  <si>
    <t>Consumer Defensive</t>
  </si>
  <si>
    <t>68/100</t>
  </si>
  <si>
    <t>37.6%</t>
  </si>
  <si>
    <t>15.1%</t>
  </si>
  <si>
    <t>+0.3%</t>
  </si>
  <si>
    <t>SPX.L</t>
  </si>
  <si>
    <t>Spirax Group plc</t>
  </si>
  <si>
    <t>Industrie</t>
  </si>
  <si>
    <t>67/100</t>
  </si>
  <si>
    <t>76.5%</t>
  </si>
  <si>
    <t>22.1%</t>
  </si>
  <si>
    <t>+0.0%</t>
  </si>
  <si>
    <t>IHG.L</t>
  </si>
  <si>
    <t>InterContinental Hotels Group PLC</t>
  </si>
  <si>
    <t>31.3%</t>
  </si>
  <si>
    <t>27.3%</t>
  </si>
  <si>
    <t>+3.7%</t>
  </si>
  <si>
    <t>HIK.L</t>
  </si>
  <si>
    <t>Hikma Pharmaceuticals PLC</t>
  </si>
  <si>
    <t>Santé</t>
  </si>
  <si>
    <t>45.3%</t>
  </si>
  <si>
    <t>23.2%</t>
  </si>
  <si>
    <t>AHT.L</t>
  </si>
  <si>
    <t>Sunbelt Rentals Holdings Inc</t>
  </si>
  <si>
    <t>66/100</t>
  </si>
  <si>
    <t>88.0%</t>
  </si>
  <si>
    <t>46.3%</t>
  </si>
  <si>
    <t>BNZL.L</t>
  </si>
  <si>
    <t>Bunzl plc</t>
  </si>
  <si>
    <t>65/100</t>
  </si>
  <si>
    <t>28.9%</t>
  </si>
  <si>
    <t>8.0%</t>
  </si>
  <si>
    <t>BATS.L</t>
  </si>
  <si>
    <t>British American Tobacco p.l.c.</t>
  </si>
  <si>
    <t>63/100</t>
  </si>
  <si>
    <t>83.5%</t>
  </si>
  <si>
    <t>54.9%</t>
  </si>
  <si>
    <t>RIO.L</t>
  </si>
  <si>
    <t>Rio Tinto Group</t>
  </si>
  <si>
    <t>Matériaux</t>
  </si>
  <si>
    <t>57.4%</t>
  </si>
  <si>
    <t>39.9%</t>
  </si>
  <si>
    <t>CCH.L</t>
  </si>
  <si>
    <t>Coca-Cola HBC AG</t>
  </si>
  <si>
    <t>62/100</t>
  </si>
  <si>
    <t>36.8%</t>
  </si>
  <si>
    <t>14.7%</t>
  </si>
  <si>
    <t>SN.L</t>
  </si>
  <si>
    <t>Smith &amp; Nephew plc</t>
  </si>
  <si>
    <t>61/100</t>
  </si>
  <si>
    <t>68.0%</t>
  </si>
  <si>
    <t>24.9%</t>
  </si>
  <si>
    <t>FinSight IA  ·  Analyse GROWTH  ·  FTSE 100</t>
  </si>
  <si>
    <t>Score Gr</t>
  </si>
  <si>
    <t>Croissance Rev. YoY</t>
  </si>
  <si>
    <t>Marge Nette</t>
  </si>
  <si>
    <t>ROE</t>
  </si>
  <si>
    <t>Croissance EPS</t>
  </si>
  <si>
    <t>Révisions Analystes</t>
  </si>
  <si>
    <t>EDV.L</t>
  </si>
  <si>
    <t>Endeavour Mining plc</t>
  </si>
  <si>
    <t>91/100</t>
  </si>
  <si>
    <t>+58.2%</t>
  </si>
  <si>
    <t>49.0%</t>
  </si>
  <si>
    <t>16.0%</t>
  </si>
  <si>
    <t>+22.4%</t>
  </si>
  <si>
    <t>+326.2%</t>
  </si>
  <si>
    <t>0</t>
  </si>
  <si>
    <t>Surpondérer</t>
  </si>
  <si>
    <t>III.L</t>
  </si>
  <si>
    <t>3i Group Ord</t>
  </si>
  <si>
    <t>88/100</t>
  </si>
  <si>
    <t>+30.2%</t>
  </si>
  <si>
    <t>98.9%</t>
  </si>
  <si>
    <t>97.1%</t>
  </si>
  <si>
    <t>+20.5%</t>
  </si>
  <si>
    <t>+60.6%</t>
  </si>
  <si>
    <t>RR.L</t>
  </si>
  <si>
    <t>Rolls-Royce Holdings plc</t>
  </si>
  <si>
    <t>+12.2%</t>
  </si>
  <si>
    <t>38.4%</t>
  </si>
  <si>
    <t>27.5%</t>
  </si>
  <si>
    <t>+214.3%</t>
  </si>
  <si>
    <t>+4.1%</t>
  </si>
  <si>
    <t>UU.L</t>
  </si>
  <si>
    <t>United Utilities Group PLC</t>
  </si>
  <si>
    <t>Serv. Publ.</t>
  </si>
  <si>
    <t>78/100</t>
  </si>
  <si>
    <t>+10.0%</t>
  </si>
  <si>
    <t>55.6%</t>
  </si>
  <si>
    <t>12.3%</t>
  </si>
  <si>
    <t>+13.2%</t>
  </si>
  <si>
    <t>+132.4%</t>
  </si>
  <si>
    <t>Neutre</t>
  </si>
  <si>
    <t>RMV.L</t>
  </si>
  <si>
    <t>Rightmove plc</t>
  </si>
  <si>
    <t>+7.0%</t>
  </si>
  <si>
    <t>67.9%</t>
  </si>
  <si>
    <t>49.4%</t>
  </si>
  <si>
    <t>+238.3%</t>
  </si>
  <si>
    <t>+16.8%</t>
  </si>
  <si>
    <t>Sous-pondérer</t>
  </si>
  <si>
    <t>AZN.L</t>
  </si>
  <si>
    <t>AstraZeneca PLC</t>
  </si>
  <si>
    <t>+8.6%</t>
  </si>
  <si>
    <t>33.2%</t>
  </si>
  <si>
    <t>17.4%</t>
  </si>
  <si>
    <t>+21.0%</t>
  </si>
  <si>
    <t>+53.9%</t>
  </si>
  <si>
    <t>-1</t>
  </si>
  <si>
    <t>AUTO.L</t>
  </si>
  <si>
    <t>Autotrader Group plc</t>
  </si>
  <si>
    <t>+5.3%</t>
  </si>
  <si>
    <t>66.2%</t>
  </si>
  <si>
    <t>47.0%</t>
  </si>
  <si>
    <t>+49.6%</t>
  </si>
  <si>
    <t>+10.9%</t>
  </si>
  <si>
    <t>NXT.L</t>
  </si>
  <si>
    <t>NEXT plc</t>
  </si>
  <si>
    <t>72/100</t>
  </si>
  <si>
    <t>+11.4%</t>
  </si>
  <si>
    <t>22.8%</t>
  </si>
  <si>
    <t>12.0%</t>
  </si>
  <si>
    <t>+45.0%</t>
  </si>
  <si>
    <t>+24.9%</t>
  </si>
  <si>
    <t>ICG.L</t>
  </si>
  <si>
    <t>ICG plc</t>
  </si>
  <si>
    <t>+2.8%</t>
  </si>
  <si>
    <t>61.7%</t>
  </si>
  <si>
    <t>47.4%</t>
  </si>
  <si>
    <t>+18.1%</t>
  </si>
  <si>
    <t>+95.6%</t>
  </si>
  <si>
    <t>DPLM.L</t>
  </si>
  <si>
    <t>Diploma PLC</t>
  </si>
  <si>
    <t>69/100</t>
  </si>
  <si>
    <t>+11.8%</t>
  </si>
  <si>
    <t>24.0%</t>
  </si>
  <si>
    <t>12.1%</t>
  </si>
  <si>
    <t>+18.7%</t>
  </si>
  <si>
    <t>+24.5%</t>
  </si>
  <si>
    <t>SGE.L</t>
  </si>
  <si>
    <t>The Sage Group plc</t>
  </si>
  <si>
    <t>Technologie</t>
  </si>
  <si>
    <t>+7.8%</t>
  </si>
  <si>
    <t>25.0%</t>
  </si>
  <si>
    <t>+51.2%</t>
  </si>
  <si>
    <t>+16.9%</t>
  </si>
  <si>
    <t>EXPN.L</t>
  </si>
  <si>
    <t>Experian plc</t>
  </si>
  <si>
    <t>+6.0%</t>
  </si>
  <si>
    <t>33.0%</t>
  </si>
  <si>
    <t>15.5%</t>
  </si>
  <si>
    <t>+23.1%</t>
  </si>
  <si>
    <t>+36.0%</t>
  </si>
  <si>
    <t>GSK.L</t>
  </si>
  <si>
    <t>GSK plc</t>
  </si>
  <si>
    <t>31.8%</t>
  </si>
  <si>
    <t>17.5%</t>
  </si>
  <si>
    <t>+34.9%</t>
  </si>
  <si>
    <t>+54.7%</t>
  </si>
  <si>
    <t>+2</t>
  </si>
  <si>
    <t>ADM.L</t>
  </si>
  <si>
    <t>Admiral Group plc</t>
  </si>
  <si>
    <t>+37.0%</t>
  </si>
  <si>
    <t>19.6%</t>
  </si>
  <si>
    <t>13.6%</t>
  </si>
  <si>
    <t>+48.4%</t>
  </si>
  <si>
    <t>-20.5%</t>
  </si>
  <si>
    <t>HLMA.L</t>
  </si>
  <si>
    <t>Halma plc</t>
  </si>
  <si>
    <t>+10.5%</t>
  </si>
  <si>
    <t>23.9%</t>
  </si>
  <si>
    <t>13.2%</t>
  </si>
  <si>
    <t>+15.6%</t>
  </si>
  <si>
    <t>FinSight IA  ·  Analyse QUALITY  ·  FTSE 100</t>
  </si>
  <si>
    <t>Score Qual</t>
  </si>
  <si>
    <t>Beneish M</t>
  </si>
  <si>
    <t>Altman Z-Score</t>
  </si>
  <si>
    <t>Signal Z</t>
  </si>
  <si>
    <t>Signal M</t>
  </si>
  <si>
    <t>Interest Coverage</t>
  </si>
  <si>
    <t>Current Ratio</t>
  </si>
  <si>
    <t>93/100</t>
  </si>
  <si>
    <t>Sain</t>
  </si>
  <si>
    <t>FRES.L</t>
  </si>
  <si>
    <t>Fresnillo plc</t>
  </si>
  <si>
    <t>83/100</t>
  </si>
  <si>
    <t>Ok</t>
  </si>
  <si>
    <t>41.0%</t>
  </si>
  <si>
    <t>BKG.L</t>
  </si>
  <si>
    <t>The Berkeley Group Holdings plc</t>
  </si>
  <si>
    <t>22.6%</t>
  </si>
  <si>
    <t>+10.7%</t>
  </si>
  <si>
    <t>ANTO.L</t>
  </si>
  <si>
    <t>Antofagasta plc</t>
  </si>
  <si>
    <t>76/100</t>
  </si>
  <si>
    <t>60.0%</t>
  </si>
  <si>
    <t>+8.8%</t>
  </si>
  <si>
    <t>TW.L</t>
  </si>
  <si>
    <t>Taylor Wimpey plc</t>
  </si>
  <si>
    <t>10.6%</t>
  </si>
  <si>
    <t>+5.0%</t>
  </si>
  <si>
    <t>74/100</t>
  </si>
  <si>
    <t>PSN.L</t>
  </si>
  <si>
    <t>Persimmon Plc</t>
  </si>
  <si>
    <t>12.2%</t>
  </si>
  <si>
    <t>+7.9%</t>
  </si>
  <si>
    <t>+16.0%</t>
  </si>
  <si>
    <t>CRDA.L</t>
  </si>
  <si>
    <t>Croda International Plc</t>
  </si>
  <si>
    <t>23.0%</t>
  </si>
  <si>
    <t>+6.9%</t>
  </si>
  <si>
    <t>64/100</t>
  </si>
  <si>
    <t>Zone grise</t>
  </si>
  <si>
    <t>FinSight IA  ·  Analyse MOMENTUM  ·  FTSE 100</t>
  </si>
  <si>
    <t>Score Mom</t>
  </si>
  <si>
    <t>Momentum 52W</t>
  </si>
  <si>
    <t>Cours actuel (€)</t>
  </si>
  <si>
    <t>Mkt Cap (Mds€)</t>
  </si>
  <si>
    <t>Next Earnings</t>
  </si>
  <si>
    <t>100/100</t>
  </si>
  <si>
    <t>+225.2%</t>
  </si>
  <si>
    <t>99/100</t>
  </si>
  <si>
    <t>+123.6%</t>
  </si>
  <si>
    <t>98/100</t>
  </si>
  <si>
    <t>+121.5%</t>
  </si>
  <si>
    <t>2026-05-07</t>
  </si>
  <si>
    <t>GLEN.L</t>
  </si>
  <si>
    <t>Glencore plc</t>
  </si>
  <si>
    <t>97/100</t>
  </si>
  <si>
    <t>+93.1%</t>
  </si>
  <si>
    <t>AAL.L</t>
  </si>
  <si>
    <t>Anglo American plc</t>
  </si>
  <si>
    <t>96/100</t>
  </si>
  <si>
    <t>+71.6%</t>
  </si>
  <si>
    <t>95/100</t>
  </si>
  <si>
    <t>+69.3%</t>
  </si>
  <si>
    <t>+63.0%</t>
  </si>
  <si>
    <t>STAN.L</t>
  </si>
  <si>
    <t>Standard Chartered PLC</t>
  </si>
  <si>
    <t>92/100</t>
  </si>
  <si>
    <t>+58.1%</t>
  </si>
  <si>
    <t>2026-04-30</t>
  </si>
  <si>
    <t>HSBA.L</t>
  </si>
  <si>
    <t>HSBC Holdings plc</t>
  </si>
  <si>
    <t>+56.4%</t>
  </si>
  <si>
    <t>2026-05-05</t>
  </si>
  <si>
    <t>90/100</t>
  </si>
  <si>
    <t>+55.5%</t>
  </si>
  <si>
    <t>2026-06-11</t>
  </si>
  <si>
    <t>89/100</t>
  </si>
  <si>
    <t>+51.3%</t>
  </si>
  <si>
    <t>BP.L</t>
  </si>
  <si>
    <t>BP p.l.c.</t>
  </si>
  <si>
    <t>Énergie</t>
  </si>
  <si>
    <t>+50.5%</t>
  </si>
  <si>
    <t>2026-04-28</t>
  </si>
  <si>
    <t>VOD.L</t>
  </si>
  <si>
    <t>Vodafone Group Public Limited Company</t>
  </si>
  <si>
    <t>87/100</t>
  </si>
  <si>
    <t>+48.9%</t>
  </si>
  <si>
    <t>2026-05-12</t>
  </si>
  <si>
    <t>86/100</t>
  </si>
  <si>
    <t>+48.7%</t>
  </si>
  <si>
    <t>2026-05-19</t>
  </si>
  <si>
    <t>FERG.L</t>
  </si>
  <si>
    <t>Ferguson Enterprises Inc.</t>
  </si>
  <si>
    <t>85/100</t>
  </si>
  <si>
    <t>+43.6%</t>
  </si>
  <si>
    <t>FinSight IA  ·  FTSE 100 — Vue Macro Sectorielle</t>
  </si>
  <si>
    <t>Usage confidentiel  ·  Calculs Python/NumPy depuis cache Supabase</t>
  </si>
  <si>
    <t>Scoring composite Value / Growth / Quality / Momentum  ·  Métriques médianes par secteur  ·  Usage confidentiel</t>
  </si>
  <si>
    <t>SCORECARD SECTORIELLE  ·  Score composite, metriques Médianes, signal d'investissement — FTSE 100</t>
  </si>
  <si>
    <t>Immobilier</t>
  </si>
  <si>
    <t># Soc.</t>
  </si>
  <si>
    <t xml:space="preserve">  Score (indicateur)  </t>
  </si>
  <si>
    <t>Top Société</t>
  </si>
  <si>
    <t>Mg. EBITDA</t>
  </si>
  <si>
    <t>Croiss. Rev.</t>
  </si>
  <si>
    <t>██████░░░░</t>
  </si>
  <si>
    <t>█████░░░░░</t>
  </si>
  <si>
    <t>Rolls-Royce Holdings</t>
  </si>
  <si>
    <t>SEGRO Plc</t>
  </si>
  <si>
    <t>████░░░░░░</t>
  </si>
  <si>
    <t>United Utilities Gro</t>
  </si>
  <si>
    <t>Négatif</t>
  </si>
  <si>
    <t>Mg EBITDA Méd.</t>
  </si>
  <si>
    <t>Financials</t>
  </si>
  <si>
    <t>Real Estate</t>
  </si>
  <si>
    <t>Shell plc</t>
  </si>
  <si>
    <t>Consumer Disc.</t>
  </si>
  <si>
    <t>Healthcare</t>
  </si>
  <si>
    <t>FTSE 100 — Total</t>
  </si>
  <si>
    <t>Médiane</t>
  </si>
  <si>
    <t>Materials</t>
  </si>
  <si>
    <t>COMPOSITION DÉTAIL  ·  Nb sociétés, score moyen, orientation — données pour allocation</t>
  </si>
  <si>
    <t>Consumer Staples</t>
  </si>
  <si>
    <t>Mg EBITDA %</t>
  </si>
  <si>
    <t>Nb Soc.</t>
  </si>
  <si>
    <t>Score Moyen</t>
  </si>
  <si>
    <t>Score (barre)</t>
  </si>
  <si>
    <t>Orientation</t>
  </si>
  <si>
    <t>55/100</t>
  </si>
  <si>
    <t>→ Neutre</t>
  </si>
  <si>
    <t>46/100</t>
  </si>
  <si>
    <t>45/100</t>
  </si>
  <si>
    <t>44/100</t>
  </si>
  <si>
    <t>↓ Négatif</t>
  </si>
  <si>
    <t>43/100</t>
  </si>
  <si>
    <t>41/100</t>
  </si>
  <si>
    <t>39/100</t>
  </si>
  <si>
    <t>Comm. Services</t>
  </si>
  <si>
    <t>Energy</t>
  </si>
  <si>
    <t>Utilities</t>
  </si>
  <si>
    <t>FinSight IA  ·  CAC 40 — Analyse Sectorielle</t>
  </si>
  <si>
    <t>Mg EBITDA</t>
  </si>
  <si>
    <t>Screening quantitatif  ·  Scores composites Value / Growth / Quality / Momentum  ·  Usage confidentiel  ·  Calculs Python/NumPy</t>
  </si>
  <si>
    <t>SCORECARD SECTORIELLE  ·  Score FinSight composite, métriques médianes, signal d'investissement</t>
  </si>
  <si>
    <t>Industrials</t>
  </si>
  <si>
    <t>Score /100</t>
  </si>
  <si>
    <t>Mg. EBITDA Méd.</t>
  </si>
  <si>
    <t>Score Gr. Méd.</t>
  </si>
  <si>
    <t>Altman Z Méd.</t>
  </si>
  <si>
    <t>Tendance</t>
  </si>
  <si>
    <t>27.2%</t>
  </si>
  <si>
    <t>23</t>
  </si>
  <si>
    <t>28.3%</t>
  </si>
  <si>
    <t>66</t>
  </si>
  <si>
    <t>Technology</t>
  </si>
  <si>
    <t>16.1%</t>
  </si>
  <si>
    <t>59</t>
  </si>
  <si>
    <t>103.4%</t>
  </si>
  <si>
    <t>55</t>
  </si>
  <si>
    <t>72</t>
  </si>
  <si>
    <t>15.7%</t>
  </si>
  <si>
    <t>31</t>
  </si>
  <si>
    <t>22.7%</t>
  </si>
  <si>
    <t>19.8%</t>
  </si>
  <si>
    <t>50</t>
  </si>
  <si>
    <t>█████░░░░░  50</t>
  </si>
  <si>
    <t>████░░░░░░  36</t>
  </si>
  <si>
    <t>45</t>
  </si>
  <si>
    <t>20.0%</t>
  </si>
  <si>
    <t>49</t>
  </si>
  <si>
    <t>Zoom sectoriel  ·  Ratios clés  ·  Score FinSight  ·  Usage confidentiel</t>
  </si>
  <si>
    <t>Sociétés</t>
  </si>
  <si>
    <t>Score moyen</t>
  </si>
  <si>
    <t>Meilleure société</t>
  </si>
  <si>
    <t>Score Growth Méd.</t>
  </si>
  <si>
    <t>Gr.</t>
  </si>
  <si>
    <t>Qual.</t>
  </si>
  <si>
    <t>Mom.</t>
  </si>
  <si>
    <t>Mg. Brute</t>
  </si>
  <si>
    <t>Mg. Nette</t>
  </si>
  <si>
    <t>Curr. R.</t>
  </si>
  <si>
    <t>ND/EBITDA</t>
  </si>
  <si>
    <t>{=IFERROR(IF(1</t>
  </si>
  <si>
    <t>{=IFERROR(IF(2</t>
  </si>
  <si>
    <t>MÉDIANE SECTEUR</t>
  </si>
  <si>
    <t>{=IFERROR(IF(4</t>
  </si>
  <si>
    <t>FinSight IA  ·  Scores composites calculés sur métriques Value/Growth/Quality/Momentum  ·  Ne constitue pas un conseil en investissement  ·  Usage confidentiel</t>
  </si>
  <si>
    <t>FinSight IA  ·  FTSE 100  ·  Données brutes</t>
  </si>
  <si>
    <t>Cours</t>
  </si>
  <si>
    <t>Mkt Cap</t>
  </si>
  <si>
    <t>EV</t>
  </si>
  <si>
    <t>Rev LTM</t>
  </si>
  <si>
    <t>EBITDA LTM</t>
  </si>
  <si>
    <t>EV/Rev</t>
  </si>
  <si>
    <t>EPS</t>
  </si>
  <si>
    <t>Mg Brute</t>
  </si>
  <si>
    <t>Mg Nette</t>
  </si>
  <si>
    <t>Cro Rev</t>
  </si>
  <si>
    <t>ROA</t>
  </si>
  <si>
    <t>Current R</t>
  </si>
  <si>
    <t>Mom 52W</t>
  </si>
  <si>
    <t>Score Val</t>
  </si>
  <si>
    <t>Next Earn</t>
  </si>
  <si>
    <t>RMS.PA</t>
  </si>
  <si>
    <t>4.2</t>
  </si>
  <si>
    <t>2.1</t>
  </si>
  <si>
    <t>+12.1%</t>
  </si>
  <si>
    <t>0.1x</t>
  </si>
  <si>
    <t>AI.PA</t>
  </si>
  <si>
    <t>57.6</t>
  </si>
  <si>
    <t>23.0</t>
  </si>
  <si>
    <t>17.3%</t>
  </si>
  <si>
    <t>+7.4%</t>
  </si>
  <si>
    <t>0.7x</t>
  </si>
  <si>
    <t>DSY.PA</t>
  </si>
  <si>
    <t>3.5</t>
  </si>
  <si>
    <t>1.4</t>
  </si>
  <si>
    <t>35.6%</t>
  </si>
  <si>
    <t>4.0%</t>
  </si>
  <si>
    <t>+29.3%</t>
  </si>
  <si>
    <t>+2.4%</t>
  </si>
  <si>
    <t>-0.2x</t>
  </si>
  <si>
    <t>ERF.PA</t>
  </si>
  <si>
    <t>6.6</t>
  </si>
  <si>
    <t>4.0</t>
  </si>
  <si>
    <t>37.9%</t>
  </si>
  <si>
    <t>12.5%</t>
  </si>
  <si>
    <t>+4.6%</t>
  </si>
  <si>
    <t>0.8x</t>
  </si>
  <si>
    <t>SAN.PA</t>
  </si>
  <si>
    <t>21.2</t>
  </si>
  <si>
    <t>8.1</t>
  </si>
  <si>
    <t>29.1%</t>
  </si>
  <si>
    <t>+15.3%</t>
  </si>
  <si>
    <t>-0.4x</t>
  </si>
  <si>
    <t>ALO.PA</t>
  </si>
  <si>
    <t>2.2</t>
  </si>
  <si>
    <t>0.5</t>
  </si>
  <si>
    <t>50.4%</t>
  </si>
  <si>
    <t>+9.1%</t>
  </si>
  <si>
    <t>URW.PA</t>
  </si>
  <si>
    <t>1.5</t>
  </si>
  <si>
    <t>0.4</t>
  </si>
  <si>
    <t>+10.2%</t>
  </si>
  <si>
    <t>AIR.PA</t>
  </si>
  <si>
    <t>32.7</t>
  </si>
  <si>
    <t>10.4</t>
  </si>
  <si>
    <t>72.4%</t>
  </si>
  <si>
    <t>+9.4%</t>
  </si>
  <si>
    <t>1.3x</t>
  </si>
  <si>
    <t>+42.3%</t>
  </si>
  <si>
    <t>2026-04-29</t>
  </si>
  <si>
    <t>SAF.PA</t>
  </si>
  <si>
    <t>0.3</t>
  </si>
  <si>
    <t>100.0%</t>
  </si>
  <si>
    <t>+162.6%</t>
  </si>
  <si>
    <t>-0.1x</t>
  </si>
  <si>
    <t>-37.7%</t>
  </si>
  <si>
    <t>ACA.PA</t>
  </si>
  <si>
    <t>25.6</t>
  </si>
  <si>
    <t>14.1</t>
  </si>
  <si>
    <t>30.3%</t>
  </si>
  <si>
    <t>-1.0%</t>
  </si>
  <si>
    <t>+16.2%</t>
  </si>
  <si>
    <t>+7.1%</t>
  </si>
  <si>
    <t>2.2x</t>
  </si>
  <si>
    <t>+24.3%</t>
  </si>
  <si>
    <t>EL.PA</t>
  </si>
  <si>
    <t>6.2</t>
  </si>
  <si>
    <t>10.1%</t>
  </si>
  <si>
    <t>+6.1%</t>
  </si>
  <si>
    <t>1.7x</t>
  </si>
  <si>
    <t>+18.0%</t>
  </si>
  <si>
    <t>OR.PA</t>
  </si>
  <si>
    <t>0.6</t>
  </si>
  <si>
    <t>78.7%</t>
  </si>
  <si>
    <t>+44.2%</t>
  </si>
  <si>
    <t>-0.0x</t>
  </si>
  <si>
    <t>-34.1%</t>
  </si>
  <si>
    <t>2026-05-21</t>
  </si>
  <si>
    <t>LR.PA</t>
  </si>
  <si>
    <t>58.7</t>
  </si>
  <si>
    <t>19.5</t>
  </si>
  <si>
    <t>81.9%</t>
  </si>
  <si>
    <t>+9.0%</t>
  </si>
  <si>
    <t>1.1x</t>
  </si>
  <si>
    <t>+41.1%</t>
  </si>
  <si>
    <t>BNP.PA</t>
  </si>
  <si>
    <t>6.1</t>
  </si>
  <si>
    <t>43.2%</t>
  </si>
  <si>
    <t>+15.1%</t>
  </si>
  <si>
    <t>0.5x</t>
  </si>
  <si>
    <t>+4.5%</t>
  </si>
  <si>
    <t>2026-03-26</t>
  </si>
  <si>
    <t>CA.PA</t>
  </si>
  <si>
    <t>CRH.L</t>
  </si>
  <si>
    <t>CRH plc</t>
  </si>
  <si>
    <t>37.5</t>
  </si>
  <si>
    <t>7.8</t>
  </si>
  <si>
    <t>36.1%</t>
  </si>
  <si>
    <t>20.8%</t>
  </si>
  <si>
    <t>10.0%</t>
  </si>
  <si>
    <t>+15.5%</t>
  </si>
  <si>
    <t>+6.4%</t>
  </si>
  <si>
    <t>+31.3%</t>
  </si>
  <si>
    <t>EN.PA</t>
  </si>
  <si>
    <t>15.8%</t>
  </si>
  <si>
    <t>SU.PA</t>
  </si>
  <si>
    <t>18.6</t>
  </si>
  <si>
    <t>51.7%</t>
  </si>
  <si>
    <t>21.8%</t>
  </si>
  <si>
    <t>-20.2%</t>
  </si>
  <si>
    <t>-20.8%</t>
  </si>
  <si>
    <t>-6.7%</t>
  </si>
  <si>
    <t>2.0x</t>
  </si>
  <si>
    <t>KER.PA</t>
  </si>
  <si>
    <t>5.2</t>
  </si>
  <si>
    <t>14.6%</t>
  </si>
  <si>
    <t>+5.4%</t>
  </si>
  <si>
    <t>-27.7%</t>
  </si>
  <si>
    <t>+14.2%</t>
  </si>
  <si>
    <t>+30.5%</t>
  </si>
  <si>
    <t>MC.PA</t>
  </si>
  <si>
    <t>5.1</t>
  </si>
  <si>
    <t>+19.3%</t>
  </si>
  <si>
    <t>0.2x</t>
  </si>
  <si>
    <t>-28.6%</t>
  </si>
  <si>
    <t>2026-05-14</t>
  </si>
  <si>
    <t>CAP.PA</t>
  </si>
  <si>
    <t>1.2</t>
  </si>
  <si>
    <t>93.3%</t>
  </si>
  <si>
    <t>+1.6%</t>
  </si>
  <si>
    <t>7.6x</t>
  </si>
  <si>
    <t>+15.4%</t>
  </si>
  <si>
    <t>BN.PA</t>
  </si>
  <si>
    <t>SHEL.L</t>
  </si>
  <si>
    <t>266.9</t>
  </si>
  <si>
    <t>56.7</t>
  </si>
  <si>
    <t>15.9%</t>
  </si>
  <si>
    <t>21.2%</t>
  </si>
  <si>
    <t>6.7%</t>
  </si>
  <si>
    <t>-6.1%</t>
  </si>
  <si>
    <t>+4.8%</t>
  </si>
  <si>
    <t>0.3x</t>
  </si>
  <si>
    <t>RI.PA</t>
  </si>
  <si>
    <t>11.5</t>
  </si>
  <si>
    <t>1.6</t>
  </si>
  <si>
    <t>4.3%</t>
  </si>
  <si>
    <t>+8.7%</t>
  </si>
  <si>
    <t>+4.9%</t>
  </si>
  <si>
    <t>-8.1%</t>
  </si>
  <si>
    <t>VIV.PA</t>
  </si>
  <si>
    <t>2.5</t>
  </si>
  <si>
    <t>26.6%</t>
  </si>
  <si>
    <t>15.4%</t>
  </si>
  <si>
    <t>+0.9%</t>
  </si>
  <si>
    <t>+5.7%</t>
  </si>
  <si>
    <t>-0.6x</t>
  </si>
  <si>
    <t>-15.3%</t>
  </si>
  <si>
    <t>2026-06-24</t>
  </si>
  <si>
    <t>HO.PA</t>
  </si>
  <si>
    <t>27.6%</t>
  </si>
  <si>
    <t>+34.0%</t>
  </si>
  <si>
    <t>DG.PA</t>
  </si>
  <si>
    <t>HSX.L</t>
  </si>
  <si>
    <t>Hiscox Ltd</t>
  </si>
  <si>
    <t>0.9</t>
  </si>
  <si>
    <t>24.7%</t>
  </si>
  <si>
    <t>21.9%</t>
  </si>
  <si>
    <t>15.3%</t>
  </si>
  <si>
    <t>+7.5%</t>
  </si>
  <si>
    <t>+27.5%</t>
  </si>
  <si>
    <t>ENGI.PA</t>
  </si>
  <si>
    <t>3.1</t>
  </si>
  <si>
    <t>0.7</t>
  </si>
  <si>
    <t>11.5%</t>
  </si>
  <si>
    <t>1.5x</t>
  </si>
  <si>
    <t>-35.5%</t>
  </si>
  <si>
    <t>BVI.PA</t>
  </si>
  <si>
    <t>3.8</t>
  </si>
  <si>
    <t>7.6%</t>
  </si>
  <si>
    <t>+17.2%</t>
  </si>
  <si>
    <t>-0.3x</t>
  </si>
  <si>
    <t>-9.7%</t>
  </si>
  <si>
    <t>ML.PA</t>
  </si>
  <si>
    <t>7.5</t>
  </si>
  <si>
    <t>55.1%</t>
  </si>
  <si>
    <t>1.8x</t>
  </si>
  <si>
    <t>-22.4%</t>
  </si>
  <si>
    <t>2026-05-20</t>
  </si>
  <si>
    <t>PUB.PA</t>
  </si>
  <si>
    <t>MNG.L</t>
  </si>
  <si>
    <t>M&amp;G plc</t>
  </si>
  <si>
    <t>21.7</t>
  </si>
  <si>
    <t>1.9</t>
  </si>
  <si>
    <t>60.1%</t>
  </si>
  <si>
    <t>8.9%</t>
  </si>
  <si>
    <t>1.4%</t>
  </si>
  <si>
    <t>+9.6%</t>
  </si>
  <si>
    <t>0.9x</t>
  </si>
  <si>
    <t>+27.3%</t>
  </si>
  <si>
    <t>SGO.PA</t>
  </si>
  <si>
    <t>BARC.L</t>
  </si>
  <si>
    <t>Barclays PLC</t>
  </si>
  <si>
    <t>29.1</t>
  </si>
  <si>
    <t>32.5</t>
  </si>
  <si>
    <t>24.6%</t>
  </si>
  <si>
    <t>+11.1%</t>
  </si>
  <si>
    <t>+9.2%</t>
  </si>
  <si>
    <t>+0.5%</t>
  </si>
  <si>
    <t>+38.3%</t>
  </si>
  <si>
    <t>MT.AS</t>
  </si>
  <si>
    <t>SGRO.L</t>
  </si>
  <si>
    <t>78.8%</t>
  </si>
  <si>
    <t>91.0%</t>
  </si>
  <si>
    <t>75.9%</t>
  </si>
  <si>
    <t>+7.6%</t>
  </si>
  <si>
    <t>+3.0%</t>
  </si>
  <si>
    <t>8.3x</t>
  </si>
  <si>
    <t>+5.9%</t>
  </si>
  <si>
    <t>GLE.PA</t>
  </si>
  <si>
    <t>NWG.L</t>
  </si>
  <si>
    <t>NatWest Group plc</t>
  </si>
  <si>
    <t>16.6</t>
  </si>
  <si>
    <t>35.1%</t>
  </si>
  <si>
    <t>+13.3%</t>
  </si>
  <si>
    <t>+13.7%</t>
  </si>
  <si>
    <t>+0.8%</t>
  </si>
  <si>
    <t>+19.4%</t>
  </si>
  <si>
    <t>2026-05-01</t>
  </si>
  <si>
    <t>VIE.PA</t>
  </si>
  <si>
    <t>66.2</t>
  </si>
  <si>
    <t>97.1</t>
  </si>
  <si>
    <t>33.7%</t>
  </si>
  <si>
    <t>-1.7%</t>
  </si>
  <si>
    <t>+11.2%</t>
  </si>
  <si>
    <t>+0.7%</t>
  </si>
  <si>
    <t>-0.5x</t>
  </si>
  <si>
    <t>ORA.PA</t>
  </si>
  <si>
    <t>10.8</t>
  </si>
  <si>
    <t>5.0</t>
  </si>
  <si>
    <t>14.0%</t>
  </si>
  <si>
    <t>-0.6%</t>
  </si>
  <si>
    <t>+19.7%</t>
  </si>
  <si>
    <t>1.6x</t>
  </si>
  <si>
    <t>RNO.PA</t>
  </si>
  <si>
    <t>20.6</t>
  </si>
  <si>
    <t>26.7</t>
  </si>
  <si>
    <t>+2.5%</t>
  </si>
  <si>
    <t>+0.6%</t>
  </si>
  <si>
    <t>1.0x</t>
  </si>
  <si>
    <t>STMPA.PA</t>
  </si>
  <si>
    <t>BT-A.L</t>
  </si>
  <si>
    <t>BT Group plc</t>
  </si>
  <si>
    <t>20.4</t>
  </si>
  <si>
    <t>73.6%</t>
  </si>
  <si>
    <t>36.7%</t>
  </si>
  <si>
    <t>5.2%</t>
  </si>
  <si>
    <t>-2.1%</t>
  </si>
  <si>
    <t>+8.2%</t>
  </si>
  <si>
    <t>+2.1%</t>
  </si>
  <si>
    <t>2.5x</t>
  </si>
  <si>
    <t>+21.3%</t>
  </si>
  <si>
    <t>STLAM.MI</t>
  </si>
  <si>
    <t>NG.L</t>
  </si>
  <si>
    <t>National Grid plc</t>
  </si>
  <si>
    <t>18.4</t>
  </si>
  <si>
    <t>7.6</t>
  </si>
  <si>
    <t>77.4%</t>
  </si>
  <si>
    <t>41.5%</t>
  </si>
  <si>
    <t>-7.4%</t>
  </si>
  <si>
    <t>+7.7%</t>
  </si>
  <si>
    <t>+2.7%</t>
  </si>
  <si>
    <t>6.0x</t>
  </si>
  <si>
    <t>+21.9%</t>
  </si>
  <si>
    <t>WLN.PA</t>
  </si>
  <si>
    <t>SVT.L</t>
  </si>
  <si>
    <t>Severn Trent PLC</t>
  </si>
  <si>
    <t>2.4</t>
  </si>
  <si>
    <t>92.0%</t>
  </si>
  <si>
    <t>9.5%</t>
  </si>
  <si>
    <t>+3.8%</t>
  </si>
  <si>
    <t>+13.0%</t>
  </si>
  <si>
    <t>+1.4%</t>
  </si>
  <si>
    <t>7.4x</t>
  </si>
  <si>
    <t>+16.6%</t>
  </si>
  <si>
    <t>11.6</t>
  </si>
  <si>
    <t>31.0%</t>
  </si>
  <si>
    <t>-11.1%</t>
  </si>
  <si>
    <t>+2.0%</t>
  </si>
  <si>
    <t>-7.9%</t>
  </si>
  <si>
    <t>-3.2%</t>
  </si>
  <si>
    <t>2.9x</t>
  </si>
  <si>
    <t>9.6%</t>
  </si>
  <si>
    <t>Conso. Déf.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</si>
</sst>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0" x14ac:knownFonts="1">
    <font>
      <sz val="11"/>
      <color theme="1"/>
      <name val="Calibri"/>
      <family val="2"/>
      <scheme val="minor"/>
    </font>
    <font>
      <sz val="8"/>
      <color rgb="FF0D0D0D"/>
      <name val="Calibri"/>
      <family val="2"/>
    </font>
    <font>
      <b/>
      <sz val="7"/>
      <color rgb="FFFFFFFF"/>
      <name val="Calibri"/>
      <family val="2"/>
    </font>
    <font>
      <sz val="7"/>
      <color rgb="FF0D0D0D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8"/>
      <color rgb="FF6B7A99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8"/>
      <color rgb="FF0D0D0D"/>
      <name val="Calibri"/>
      <family val="2"/>
      <scheme val="minor"/>
    </font>
    <font>
      <b/>
      <sz val="8"/>
      <color rgb="FFFFFFFF"/>
      <name val="Calibri"/>
      <family val="2"/>
      <scheme val="minor"/>
    </font>
    <font>
      <b/>
      <sz val="8"/>
      <color rgb="FF2E5FA3"/>
      <name val="Calibri"/>
      <family val="2"/>
      <scheme val="minor"/>
    </font>
    <font>
      <i/>
      <sz val="8"/>
      <color rgb="FF8BA8C8"/>
      <name val="Calibri"/>
      <family val="2"/>
      <scheme val="minor"/>
    </font>
    <font>
      <b/>
      <sz val="20"/>
      <color rgb="FF0A2342"/>
      <name val="Calibri"/>
      <family val="2"/>
      <scheme val="minor"/>
    </font>
    <font>
      <sz val="7.5"/>
      <color rgb="FF6E7B8B"/>
      <name val="Calibri"/>
      <family val="2"/>
      <scheme val="minor"/>
    </font>
    <font>
      <b/>
      <sz val="14"/>
      <color rgb="FF0A2342"/>
      <name val="Calibri"/>
      <family val="2"/>
      <scheme val="minor"/>
    </font>
    <font>
      <b/>
      <sz val="9"/>
      <color rgb="FF1A3A5C"/>
      <name val="Calibri"/>
      <family val="2"/>
      <scheme val="minor"/>
    </font>
    <font>
      <sz val="7.5"/>
      <color rgb="FF111827"/>
      <name val="Calibri"/>
      <family val="2"/>
      <scheme val="minor"/>
    </font>
    <font>
      <b/>
      <sz val="7.5"/>
      <color rgb="FF1F5C99"/>
      <name val="Calibri"/>
      <family val="2"/>
      <scheme val="minor"/>
    </font>
    <font>
      <i/>
      <sz val="7"/>
      <color rgb="FF6E7B8B"/>
      <name val="Calibri"/>
      <family val="2"/>
      <scheme val="minor"/>
    </font>
    <font>
      <b/>
      <sz val="7.5"/>
      <color rgb="FF0D5C34"/>
      <name val="Calibri"/>
      <family val="2"/>
      <scheme val="minor"/>
    </font>
    <font>
      <sz val="7.5"/>
      <color rgb="FF0D6B3A"/>
      <name val="Calibri"/>
      <family val="2"/>
      <scheme val="minor"/>
    </font>
    <font>
      <sz val="7.5"/>
      <color rgb="FFB91C1C"/>
      <name val="Calibri"/>
      <family val="2"/>
      <scheme val="minor"/>
    </font>
    <font>
      <b/>
      <sz val="7.5"/>
      <color rgb="FF0A3D6B"/>
      <name val="Calibri"/>
      <family val="2"/>
      <scheme val="minor"/>
    </font>
    <font>
      <b/>
      <sz val="7.5"/>
      <color rgb="FF7A1A1A"/>
      <name val="Calibri"/>
      <family val="2"/>
      <scheme val="minor"/>
    </font>
    <font>
      <b/>
      <sz val="7.5"/>
      <color rgb="FF0A2342"/>
      <name val="Calibri"/>
      <family val="2"/>
      <scheme val="minor"/>
    </font>
    <font>
      <b/>
      <sz val="7.5"/>
      <color rgb="FF0D6B3A"/>
      <name val="Calibri"/>
      <family val="2"/>
      <scheme val="minor"/>
    </font>
    <font>
      <sz val="7.5"/>
      <color rgb="FF1F5C99"/>
      <name val="Calibri"/>
      <family val="2"/>
      <scheme val="minor"/>
    </font>
    <font>
      <b/>
      <sz val="8"/>
      <color rgb="FF0D5C34"/>
      <name val="Calibri"/>
      <family val="2"/>
      <scheme val="minor"/>
    </font>
    <font>
      <sz val="8"/>
      <color rgb="FF111827"/>
      <name val="Calibri"/>
      <family val="2"/>
      <scheme val="minor"/>
    </font>
    <font>
      <b/>
      <sz val="8"/>
      <color rgb="FF1F5C99"/>
      <name val="Calibri"/>
      <family val="2"/>
      <scheme val="minor"/>
    </font>
    <font>
      <b/>
      <sz val="8"/>
      <color rgb="FF7A1A1A"/>
      <name val="Calibri"/>
      <family val="2"/>
      <scheme val="minor"/>
    </font>
    <font>
      <b/>
      <i/>
      <sz val="8"/>
      <color rgb="FFFFFFFF"/>
      <name val="Calibri"/>
      <family val="2"/>
      <scheme val="minor"/>
    </font>
    <font>
      <sz val="8"/>
      <color rgb="FF1F5C99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9"/>
      <color rgb="FF7A9CC4"/>
      <name val="Calibri"/>
      <family val="2"/>
      <scheme val="minor"/>
    </font>
    <font>
      <sz val="8"/>
      <color rgb="FF5A6478"/>
      <name val="Calibri"/>
      <family val="2"/>
      <scheme val="minor"/>
    </font>
    <font>
      <i/>
      <sz val="8"/>
      <color rgb="FF5A6478"/>
      <name val="Calibri"/>
      <family val="2"/>
      <scheme val="minor"/>
    </font>
    <font>
      <b/>
      <sz val="8"/>
      <color rgb="FF0A2342"/>
      <name val="Calibri"/>
      <family val="2"/>
      <scheme val="minor"/>
    </font>
    <font>
      <b/>
      <sz val="8"/>
      <color rgb="FFB91C1C"/>
      <name val="Calibri"/>
      <family val="2"/>
      <scheme val="minor"/>
    </font>
    <font>
      <sz val="8"/>
      <color rgb="FFB91C1C"/>
      <name val="Calibri"/>
      <family val="2"/>
      <scheme val="minor"/>
    </font>
    <font>
      <i/>
      <sz val="8"/>
      <color rgb="FF111827"/>
      <name val="Calibri"/>
      <family val="2"/>
      <scheme val="minor"/>
    </font>
    <font>
      <b/>
      <sz val="8"/>
      <color rgb="FF0D6B3A"/>
      <name val="Calibri"/>
      <family val="2"/>
      <scheme val="minor"/>
    </font>
    <font>
      <sz val="8"/>
      <color rgb="FF0D6B3A"/>
      <name val="Calibri"/>
      <family val="2"/>
      <scheme val="minor"/>
    </font>
    <font>
      <i/>
      <sz val="7"/>
      <color rgb="FF5A6478"/>
      <name val="Calibri"/>
      <family val="2"/>
      <scheme val="minor"/>
    </font>
    <font>
      <i/>
      <sz val="7.5"/>
      <color rgb="FF5A6478"/>
      <name val="Calibri"/>
      <family val="2"/>
      <scheme val="minor"/>
    </font>
    <font>
      <b/>
      <sz val="7.5"/>
      <color rgb="FFFFFFFF"/>
      <name val="Calibri"/>
      <family val="2"/>
      <scheme val="minor"/>
    </font>
    <font>
      <b/>
      <sz val="7.5"/>
      <color rgb="FFB91C1C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6"/>
      <color rgb="FF0D6B3A"/>
      <name val="Calibri"/>
      <family val="2"/>
      <scheme val="minor"/>
    </font>
    <font>
      <b/>
      <i/>
      <sz val="9"/>
      <color rgb="FF7A9CC4"/>
      <name val="Calibri"/>
      <family val="2"/>
      <scheme val="minor"/>
    </font>
    <font>
      <sz val="8"/>
      <color rgb="FF6B7280"/>
      <name val="Calibri"/>
      <family val="2"/>
      <scheme val="minor"/>
    </font>
    <font>
      <sz val="8"/>
      <color rgb="FF0B1F3A"/>
      <name val="Calibri"/>
      <family val="2"/>
      <scheme val="minor"/>
    </font>
    <font>
      <b/>
      <sz val="8"/>
      <color rgb="FF0B1F3A"/>
      <name val="Calibri"/>
      <family val="2"/>
      <scheme val="minor"/>
    </font>
    <font>
      <i/>
      <sz val="8"/>
      <color rgb="FF0B1F3A"/>
      <name val="Calibri"/>
      <family val="2"/>
      <scheme val="minor"/>
    </font>
    <font>
      <sz val="8"/>
      <color rgb="FFFFFFFF"/>
      <name val="Calibri"/>
      <family val="2"/>
      <scheme val="minor"/>
    </font>
    <font>
      <b/>
      <sz val="22"/>
      <color rgb="FF0B1F3A"/>
      <name val="Calibri"/>
      <family val="2"/>
      <scheme val="minor"/>
    </font>
    <font>
      <sz val="7.5"/>
      <color rgb="FF6B7280"/>
      <name val="Calibri"/>
      <family val="2"/>
      <scheme val="minor"/>
    </font>
    <font>
      <b/>
      <sz val="11"/>
      <color rgb="FF0B1F3A"/>
      <name val="Calibri"/>
      <family val="2"/>
      <scheme val="minor"/>
    </font>
    <font>
      <b/>
      <sz val="16"/>
      <color rgb="FF0B1F3A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8.5"/>
      <color rgb="FFFFFFFF"/>
      <name val="Calibri"/>
      <family val="2"/>
      <scheme val="minor"/>
    </font>
    <font>
      <b/>
      <sz val="22"/>
      <color rgb="FF16A34A"/>
      <name val="Calibri"/>
      <family val="2"/>
      <scheme val="minor"/>
    </font>
    <font>
      <b/>
      <sz val="22"/>
      <color rgb="FF7C3AED"/>
      <name val="Calibri"/>
      <family val="2"/>
      <scheme val="minor"/>
    </font>
    <font>
      <b/>
      <sz val="22"/>
      <color rgb="FFD97706"/>
      <name val="Calibri"/>
      <family val="2"/>
      <scheme val="minor"/>
    </font>
    <font>
      <b/>
      <sz val="22"/>
      <color rgb="FF0D9488"/>
      <name val="Calibri"/>
      <family val="2"/>
      <scheme val="minor"/>
    </font>
    <font>
      <b/>
      <sz val="22"/>
      <color rgb="FF0369A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3"/>
      <color rgb="FF000000"/>
      <name val="Calibri"/>
      <family val="2"/>
      <scheme val="minor"/>
    </font>
    <font>
      <i/>
      <sz val="7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12355B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rgb="FFB45309"/>
      <name val="Calibri"/>
      <family val="2"/>
      <scheme val="minor"/>
    </font>
    <font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888888"/>
      </patternFill>
    </fill>
    <fill>
      <patternFill patternType="solid">
        <fgColor rgb="FF1B3A6B"/>
        <bgColor indexed="64"/>
      </patternFill>
    </fill>
    <fill>
      <patternFill patternType="solid">
        <fgColor rgb="FFF2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0A2342"/>
        <bgColor indexed="64"/>
      </patternFill>
    </fill>
    <fill>
      <patternFill patternType="solid">
        <fgColor rgb="FF2A5F9E"/>
        <bgColor indexed="64"/>
      </patternFill>
    </fill>
    <fill>
      <patternFill patternType="solid">
        <fgColor rgb="FFEEF1F6"/>
        <bgColor indexed="64"/>
      </patternFill>
    </fill>
    <fill>
      <patternFill patternType="solid">
        <fgColor rgb="FFD8DFE8"/>
        <bgColor indexed="64"/>
      </patternFill>
    </fill>
    <fill>
      <patternFill patternType="solid">
        <fgColor rgb="FF7B4F00"/>
        <bgColor indexed="64"/>
      </patternFill>
    </fill>
    <fill>
      <patternFill patternType="solid">
        <fgColor rgb="FF0D5C34"/>
        <bgColor indexed="64"/>
      </patternFill>
    </fill>
    <fill>
      <patternFill patternType="solid">
        <fgColor rgb="FF0A3D6B"/>
        <bgColor indexed="64"/>
      </patternFill>
    </fill>
    <fill>
      <patternFill patternType="solid">
        <fgColor rgb="FF7A1A1A"/>
        <bgColor indexed="64"/>
      </patternFill>
    </fill>
    <fill>
      <patternFill patternType="solid">
        <fgColor rgb="FFF7F8FA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E8F0FB"/>
        <bgColor indexed="64"/>
      </patternFill>
    </fill>
    <fill>
      <patternFill patternType="solid">
        <fgColor rgb="FFE8F4ED"/>
        <bgColor indexed="64"/>
      </patternFill>
    </fill>
    <fill>
      <patternFill patternType="solid">
        <fgColor rgb="FFFBE9E9"/>
        <bgColor indexed="64"/>
      </patternFill>
    </fill>
    <fill>
      <patternFill patternType="solid">
        <fgColor rgb="FF1F5C99"/>
        <bgColor indexed="64"/>
      </patternFill>
    </fill>
    <fill>
      <patternFill patternType="solid">
        <fgColor rgb="FF12355B"/>
        <bgColor indexed="64"/>
      </patternFill>
    </fill>
    <fill>
      <patternFill patternType="solid">
        <fgColor rgb="FFEAF0FB"/>
        <bgColor indexed="64"/>
      </patternFill>
    </fill>
    <fill>
      <patternFill patternType="solid">
        <fgColor rgb="FF0B1F3A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14532D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78350F"/>
        <bgColor indexed="64"/>
      </patternFill>
    </fill>
    <fill>
      <patternFill patternType="solid">
        <fgColor rgb="FF134E4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theme="0"/>
        <bgColor indexed="64"/>
      </patternFill>
    </fill>
  </fills>
  <borders count="7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DE2EE"/>
      </left>
      <right style="thin">
        <color rgb="FFDDE2EE"/>
      </right>
      <top/>
      <bottom style="thin">
        <color rgb="FFDDE2EE"/>
      </bottom>
      <diagonal/>
    </border>
    <border>
      <left/>
      <right/>
      <top/>
      <bottom style="medium">
        <color rgb="FF4A6FA5"/>
      </bottom>
      <diagonal/>
    </border>
    <border>
      <left style="thin">
        <color rgb="FFDDE2EE"/>
      </left>
      <right style="thin">
        <color rgb="FFDDE2EE"/>
      </right>
      <top style="medium">
        <color rgb="FFDDE2EE"/>
      </top>
      <bottom style="medium">
        <color rgb="FFDDE2EE"/>
      </bottom>
      <diagonal/>
    </border>
    <border>
      <left style="thin">
        <color rgb="FFDDE2EE"/>
      </left>
      <right style="thin">
        <color rgb="FFDDE2EE"/>
      </right>
      <top style="medium">
        <color rgb="FFDDE2EE"/>
      </top>
      <bottom style="thin">
        <color rgb="FFDDE2EE"/>
      </bottom>
      <diagonal/>
    </border>
    <border>
      <left/>
      <right/>
      <top/>
      <bottom style="thin">
        <color rgb="FFD0D5DD"/>
      </bottom>
      <diagonal/>
    </border>
    <border>
      <left/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 style="thin">
        <color rgb="FFE8ECF2"/>
      </right>
      <top style="thin">
        <color rgb="FFD0D5DD"/>
      </top>
      <bottom style="thin">
        <color rgb="FFD0D5DD"/>
      </bottom>
      <diagonal/>
    </border>
    <border>
      <left style="thin">
        <color rgb="FFE8ECF2"/>
      </left>
      <right style="thin">
        <color rgb="FFE8ECF2"/>
      </right>
      <top style="thin">
        <color rgb="FFD0D5DD"/>
      </top>
      <bottom style="thin">
        <color rgb="FFD0D5DD"/>
      </bottom>
      <diagonal/>
    </border>
    <border>
      <left style="thin">
        <color rgb="FFE8ECF2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medium">
        <color rgb="FFD0D5DD"/>
      </bottom>
      <diagonal/>
    </border>
    <border>
      <left/>
      <right/>
      <top style="thin">
        <color rgb="FFD0D5DD"/>
      </top>
      <bottom style="medium">
        <color rgb="FFD0D5DD"/>
      </bottom>
      <diagonal/>
    </border>
    <border>
      <left/>
      <right style="thin">
        <color rgb="FFD0D5DD"/>
      </right>
      <top style="thin">
        <color rgb="FFD0D5DD"/>
      </top>
      <bottom style="medium">
        <color rgb="FFD0D5DD"/>
      </bottom>
      <diagonal/>
    </border>
    <border>
      <left style="thin">
        <color rgb="FFD0D5DD"/>
      </left>
      <right style="thin">
        <color rgb="FFE8ECF2"/>
      </right>
      <top style="medium">
        <color rgb="FFD0D5DD"/>
      </top>
      <bottom style="medium">
        <color rgb="FFD0D5DD"/>
      </bottom>
      <diagonal/>
    </border>
    <border>
      <left style="thin">
        <color rgb="FFE8ECF2"/>
      </left>
      <right style="thin">
        <color rgb="FFE8ECF2"/>
      </right>
      <top style="medium">
        <color rgb="FFD0D5DD"/>
      </top>
      <bottom style="medium">
        <color rgb="FFD0D5DD"/>
      </bottom>
      <diagonal/>
    </border>
    <border>
      <left style="thin">
        <color rgb="FFE8ECF2"/>
      </left>
      <right style="thin">
        <color rgb="FFD0D5DD"/>
      </right>
      <top style="medium">
        <color rgb="FFD0D5DD"/>
      </top>
      <bottom style="medium">
        <color rgb="FFD0D5DD"/>
      </bottom>
      <diagonal/>
    </border>
    <border>
      <left style="thin">
        <color rgb="FFD0D5DD"/>
      </left>
      <right style="thin">
        <color rgb="FFE8ECF2"/>
      </right>
      <top style="medium">
        <color rgb="FFD0D5DD"/>
      </top>
      <bottom style="thin">
        <color rgb="FFD0D5DD"/>
      </bottom>
      <diagonal/>
    </border>
    <border>
      <left style="thin">
        <color rgb="FFE8ECF2"/>
      </left>
      <right style="thin">
        <color rgb="FFE8ECF2"/>
      </right>
      <top style="medium">
        <color rgb="FFD0D5DD"/>
      </top>
      <bottom style="thin">
        <color rgb="FFD0D5DD"/>
      </bottom>
      <diagonal/>
    </border>
    <border>
      <left style="thin">
        <color rgb="FFE8ECF2"/>
      </left>
      <right style="thin">
        <color rgb="FFD0D5DD"/>
      </right>
      <top style="medium">
        <color rgb="FFD0D5DD"/>
      </top>
      <bottom style="thin">
        <color rgb="FFD0D5DD"/>
      </bottom>
      <diagonal/>
    </border>
    <border>
      <left/>
      <right/>
      <top/>
      <bottom style="medium">
        <color rgb="FF2A5F9E"/>
      </bottom>
      <diagonal/>
    </border>
    <border>
      <left/>
      <right/>
      <top style="medium">
        <color rgb="FF0A2342"/>
      </top>
      <bottom/>
      <diagonal/>
    </border>
    <border>
      <left style="thin">
        <color rgb="FFE8ECF2"/>
      </left>
      <right style="thin">
        <color rgb="FFE8ECF2"/>
      </right>
      <top style="thin">
        <color rgb="FFD0D5DD"/>
      </top>
      <bottom style="thin">
        <color rgb="FFE8ECF2"/>
      </bottom>
      <diagonal/>
    </border>
    <border>
      <left style="thin">
        <color rgb="FFE8ECF2"/>
      </left>
      <right style="thin">
        <color rgb="FFD0D5DD"/>
      </right>
      <top style="thin">
        <color rgb="FFD0D5DD"/>
      </top>
      <bottom style="thin">
        <color rgb="FFE8ECF2"/>
      </bottom>
      <diagonal/>
    </border>
    <border>
      <left style="thin">
        <color rgb="FFE8ECF2"/>
      </left>
      <right style="thin">
        <color rgb="FFE8ECF2"/>
      </right>
      <top style="thin">
        <color rgb="FFE8ECF2"/>
      </top>
      <bottom style="thin">
        <color rgb="FFE8ECF2"/>
      </bottom>
      <diagonal/>
    </border>
    <border>
      <left style="thin">
        <color rgb="FFE8ECF2"/>
      </left>
      <right style="thin">
        <color rgb="FFD0D5DD"/>
      </right>
      <top style="thin">
        <color rgb="FFE8ECF2"/>
      </top>
      <bottom style="thin">
        <color rgb="FFE8ECF2"/>
      </bottom>
      <diagonal/>
    </border>
    <border>
      <left style="thin">
        <color rgb="FFE8ECF2"/>
      </left>
      <right style="thin">
        <color rgb="FFE8ECF2"/>
      </right>
      <top style="thin">
        <color rgb="FFE8ECF2"/>
      </top>
      <bottom style="thin">
        <color rgb="FFD0D5DD"/>
      </bottom>
      <diagonal/>
    </border>
    <border>
      <left style="thin">
        <color rgb="FFE8ECF2"/>
      </left>
      <right style="thin">
        <color rgb="FFD0D5DD"/>
      </right>
      <top style="thin">
        <color rgb="FFE8ECF2"/>
      </top>
      <bottom style="thin">
        <color rgb="FFD0D5DD"/>
      </bottom>
      <diagonal/>
    </border>
    <border>
      <left/>
      <right style="thin">
        <color rgb="FFE8ECF2"/>
      </right>
      <top style="thin">
        <color rgb="FFD0D5DD"/>
      </top>
      <bottom style="thin">
        <color rgb="FFE8ECF2"/>
      </bottom>
      <diagonal/>
    </border>
    <border>
      <left/>
      <right style="thin">
        <color rgb="FFE8ECF2"/>
      </right>
      <top style="thin">
        <color rgb="FFE8ECF2"/>
      </top>
      <bottom style="thin">
        <color rgb="FFE8ECF2"/>
      </bottom>
      <diagonal/>
    </border>
    <border>
      <left/>
      <right style="thin">
        <color rgb="FFE8ECF2"/>
      </right>
      <top style="thin">
        <color rgb="FFE8ECF2"/>
      </top>
      <bottom style="thin">
        <color rgb="FFD0D5DD"/>
      </bottom>
      <diagonal/>
    </border>
    <border>
      <left style="medium">
        <color rgb="FF1F5C99"/>
      </left>
      <right style="thin">
        <color rgb="FFE8ECF2"/>
      </right>
      <top style="thin">
        <color rgb="FFD0D5DD"/>
      </top>
      <bottom style="thin">
        <color rgb="FFE8ECF2"/>
      </bottom>
      <diagonal/>
    </border>
    <border>
      <left style="medium">
        <color rgb="FF1F5C99"/>
      </left>
      <right style="thin">
        <color rgb="FFE8ECF2"/>
      </right>
      <top style="thin">
        <color rgb="FFE8ECF2"/>
      </top>
      <bottom style="thin">
        <color rgb="FFE8ECF2"/>
      </bottom>
      <diagonal/>
    </border>
    <border>
      <left style="medium">
        <color rgb="FF1F5C99"/>
      </left>
      <right style="thin">
        <color rgb="FFE8ECF2"/>
      </right>
      <top style="thin">
        <color rgb="FFE8ECF2"/>
      </top>
      <bottom style="thin">
        <color rgb="FFD0D5DD"/>
      </bottom>
      <diagonal/>
    </border>
    <border>
      <left/>
      <right style="thin">
        <color rgb="FF12355B"/>
      </right>
      <top/>
      <bottom/>
      <diagonal/>
    </border>
    <border>
      <left style="thin">
        <color rgb="FF12355B"/>
      </left>
      <right style="thin">
        <color rgb="FFD1D9E6"/>
      </right>
      <top style="thin">
        <color rgb="FF12355B"/>
      </top>
      <bottom style="thin">
        <color rgb="FF1B4F8A"/>
      </bottom>
      <diagonal/>
    </border>
    <border>
      <left style="thin">
        <color rgb="FFD1D9E6"/>
      </left>
      <right style="thin">
        <color rgb="FFD1D9E6"/>
      </right>
      <top style="thin">
        <color rgb="FF12355B"/>
      </top>
      <bottom style="thin">
        <color rgb="FF1B4F8A"/>
      </bottom>
      <diagonal/>
    </border>
    <border>
      <left style="thin">
        <color rgb="FFD1D9E6"/>
      </left>
      <right style="thin">
        <color rgb="FF12355B"/>
      </right>
      <top style="thin">
        <color rgb="FF12355B"/>
      </top>
      <bottom style="thin">
        <color rgb="FF1B4F8A"/>
      </bottom>
      <diagonal/>
    </border>
    <border>
      <left style="thin">
        <color rgb="FF12355B"/>
      </left>
      <right style="thin">
        <color rgb="FFD1D9E6"/>
      </right>
      <top/>
      <bottom/>
      <diagonal/>
    </border>
    <border>
      <left style="thin">
        <color rgb="FFD1D9E6"/>
      </left>
      <right style="thin">
        <color rgb="FFD1D9E6"/>
      </right>
      <top/>
      <bottom/>
      <diagonal/>
    </border>
    <border>
      <left style="thin">
        <color rgb="FFD1D9E6"/>
      </left>
      <right style="thin">
        <color rgb="FF12355B"/>
      </right>
      <top/>
      <bottom/>
      <diagonal/>
    </border>
    <border>
      <left style="thin">
        <color rgb="FF12355B"/>
      </left>
      <right style="thin">
        <color rgb="FFD1D9E6"/>
      </right>
      <top style="thin">
        <color rgb="FFD1D9E6"/>
      </top>
      <bottom/>
      <diagonal/>
    </border>
    <border>
      <left style="thin">
        <color rgb="FFD1D9E6"/>
      </left>
      <right style="thin">
        <color rgb="FFD1D9E6"/>
      </right>
      <top style="thin">
        <color rgb="FFD1D9E6"/>
      </top>
      <bottom/>
      <diagonal/>
    </border>
    <border>
      <left style="thin">
        <color rgb="FFD1D9E6"/>
      </left>
      <right style="thin">
        <color rgb="FF12355B"/>
      </right>
      <top style="thin">
        <color rgb="FFD1D9E6"/>
      </top>
      <bottom/>
      <diagonal/>
    </border>
    <border>
      <left style="thin">
        <color rgb="FF12355B"/>
      </left>
      <right style="thin">
        <color rgb="FFD1D9E6"/>
      </right>
      <top style="thin">
        <color rgb="FFD1D9E6"/>
      </top>
      <bottom style="thin">
        <color rgb="FFD1D9E6"/>
      </bottom>
      <diagonal/>
    </border>
    <border>
      <left style="thin">
        <color rgb="FFD1D9E6"/>
      </left>
      <right style="thin">
        <color rgb="FFD1D9E6"/>
      </right>
      <top style="thin">
        <color rgb="FFD1D9E6"/>
      </top>
      <bottom style="thin">
        <color rgb="FFD1D9E6"/>
      </bottom>
      <diagonal/>
    </border>
    <border>
      <left style="thin">
        <color rgb="FFD1D9E6"/>
      </left>
      <right style="thin">
        <color rgb="FF12355B"/>
      </right>
      <top style="thin">
        <color rgb="FFD1D9E6"/>
      </top>
      <bottom style="thin">
        <color rgb="FFD1D9E6"/>
      </bottom>
      <diagonal/>
    </border>
    <border>
      <left style="thin">
        <color rgb="FF12355B"/>
      </left>
      <right style="thin">
        <color rgb="FFD1D9E6"/>
      </right>
      <top style="thin">
        <color rgb="FF12355B"/>
      </top>
      <bottom/>
      <diagonal/>
    </border>
    <border>
      <left style="thin">
        <color rgb="FFD1D9E6"/>
      </left>
      <right style="thin">
        <color rgb="FFD1D9E6"/>
      </right>
      <top style="thin">
        <color rgb="FF12355B"/>
      </top>
      <bottom/>
      <diagonal/>
    </border>
    <border>
      <left style="thin">
        <color rgb="FFD1D9E6"/>
      </left>
      <right style="thin">
        <color rgb="FF12355B"/>
      </right>
      <top style="thin">
        <color rgb="FF12355B"/>
      </top>
      <bottom/>
      <diagonal/>
    </border>
    <border>
      <left style="thin">
        <color rgb="FF12355B"/>
      </left>
      <right style="thin">
        <color rgb="FFD1D9E6"/>
      </right>
      <top style="thin">
        <color rgb="FF1B4F8A"/>
      </top>
      <bottom/>
      <diagonal/>
    </border>
    <border>
      <left style="thin">
        <color rgb="FFD1D9E6"/>
      </left>
      <right style="thin">
        <color rgb="FFD1D9E6"/>
      </right>
      <top style="thin">
        <color rgb="FF1B4F8A"/>
      </top>
      <bottom/>
      <diagonal/>
    </border>
    <border>
      <left style="thin">
        <color rgb="FFD1D9E6"/>
      </left>
      <right style="thin">
        <color rgb="FF12355B"/>
      </right>
      <top style="thin">
        <color rgb="FF1B4F8A"/>
      </top>
      <bottom/>
      <diagonal/>
    </border>
    <border>
      <left style="medium">
        <color rgb="FF1F5C99"/>
      </left>
      <right/>
      <top style="thin">
        <color rgb="FFE8ECF2"/>
      </top>
      <bottom style="thin">
        <color rgb="FFE8ECF2"/>
      </bottom>
      <diagonal/>
    </border>
    <border>
      <left/>
      <right style="thin">
        <color rgb="FFE8ECF2"/>
      </right>
      <top style="thin">
        <color rgb="FFE8ECF2"/>
      </top>
      <bottom/>
      <diagonal/>
    </border>
    <border>
      <left style="thin">
        <color rgb="FFE8ECF2"/>
      </left>
      <right style="thin">
        <color rgb="FFE8ECF2"/>
      </right>
      <top style="thin">
        <color rgb="FFE8ECF2"/>
      </top>
      <bottom/>
      <diagonal/>
    </border>
    <border>
      <left style="thin">
        <color rgb="FFE8ECF2"/>
      </left>
      <right style="thin">
        <color rgb="FFD0D5DD"/>
      </right>
      <top style="thin">
        <color rgb="FFE8ECF2"/>
      </top>
      <bottom/>
      <diagonal/>
    </border>
    <border>
      <left/>
      <right style="thin">
        <color rgb="FFE8ECF2"/>
      </right>
      <top/>
      <bottom style="thin">
        <color rgb="FFE8ECF2"/>
      </bottom>
      <diagonal/>
    </border>
    <border>
      <left style="thin">
        <color rgb="FFE8ECF2"/>
      </left>
      <right style="thin">
        <color rgb="FFE8ECF2"/>
      </right>
      <top/>
      <bottom style="thin">
        <color rgb="FFE8ECF2"/>
      </bottom>
      <diagonal/>
    </border>
    <border>
      <left style="thin">
        <color rgb="FFE8ECF2"/>
      </left>
      <right style="thin">
        <color rgb="FFD0D5DD"/>
      </right>
      <top/>
      <bottom style="thin">
        <color rgb="FFE8ECF2"/>
      </bottom>
      <diagonal/>
    </border>
    <border>
      <left style="medium">
        <color rgb="FF0D5C34"/>
      </left>
      <right/>
      <top style="thin">
        <color rgb="FFD0D5DD"/>
      </top>
      <bottom style="medium">
        <color rgb="FFD0D5DD"/>
      </bottom>
      <diagonal/>
    </border>
    <border>
      <left style="medium">
        <color rgb="FF0D5C34"/>
      </left>
      <right/>
      <top style="medium">
        <color rgb="FFD0D5DD"/>
      </top>
      <bottom style="medium">
        <color rgb="FFD0D5DD"/>
      </bottom>
      <diagonal/>
    </border>
    <border>
      <left style="medium">
        <color rgb="FF0D5C34"/>
      </left>
      <right/>
      <top style="medium">
        <color rgb="FFD0D5DD"/>
      </top>
      <bottom style="thin">
        <color rgb="FFD0D5DD"/>
      </bottom>
      <diagonal/>
    </border>
    <border>
      <left style="medium">
        <color rgb="FF1F5C99"/>
      </left>
      <right/>
      <top style="thin">
        <color rgb="FFD0D5DD"/>
      </top>
      <bottom style="medium">
        <color rgb="FFD0D5DD"/>
      </bottom>
      <diagonal/>
    </border>
    <border>
      <left style="medium">
        <color rgb="FF7A1A1A"/>
      </left>
      <right/>
      <top style="thin">
        <color rgb="FFD0D5DD"/>
      </top>
      <bottom style="medium">
        <color rgb="FFD0D5DD"/>
      </bottom>
      <diagonal/>
    </border>
    <border>
      <left style="thin">
        <color rgb="FF12355B"/>
      </left>
      <right style="thin">
        <color rgb="FFD1D9E6"/>
      </right>
      <top style="medium">
        <color rgb="FFD1D9E6"/>
      </top>
      <bottom/>
      <diagonal/>
    </border>
    <border>
      <left style="thin">
        <color rgb="FFD1D9E6"/>
      </left>
      <right style="thin">
        <color rgb="FFD1D9E6"/>
      </right>
      <top style="medium">
        <color rgb="FFD1D9E6"/>
      </top>
      <bottom/>
      <diagonal/>
    </border>
    <border>
      <left style="thin">
        <color rgb="FFD1D9E6"/>
      </left>
      <right style="thin">
        <color rgb="FF12355B"/>
      </right>
      <top style="medium">
        <color rgb="FFD1D9E6"/>
      </top>
      <bottom/>
      <diagonal/>
    </border>
    <border>
      <left style="thin">
        <color rgb="FFD0D5DD"/>
      </left>
      <right style="thin">
        <color rgb="FF12355B"/>
      </right>
      <top/>
      <bottom/>
      <diagonal/>
    </border>
    <border>
      <left/>
      <right style="thin">
        <color rgb="FFD0D5DD"/>
      </right>
      <top/>
      <bottom/>
      <diagonal/>
    </border>
    <border>
      <left style="thin">
        <color rgb="FFD0D5DD"/>
      </left>
      <right/>
      <top/>
      <bottom/>
      <diagonal/>
    </border>
    <border>
      <left style="thin">
        <color rgb="FFD1D9E6"/>
      </left>
      <right/>
      <top style="thin">
        <color rgb="FF12355B"/>
      </top>
      <bottom/>
      <diagonal/>
    </border>
  </borders>
  <cellStyleXfs count="1">
    <xf numFmtId="0" fontId="0" fillId="0" borderId="0"/>
  </cellStyleXfs>
  <cellXfs count="434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6" fillId="6" borderId="0" xfId="0" applyFont="1" applyFill="1"/>
    <xf numFmtId="0" fontId="5" fillId="5" borderId="4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left"/>
    </xf>
    <xf numFmtId="0" fontId="8" fillId="7" borderId="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left"/>
    </xf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left"/>
    </xf>
    <xf numFmtId="0" fontId="8" fillId="6" borderId="6" xfId="0" applyFont="1" applyFill="1" applyBorder="1" applyAlignment="1">
      <alignment horizontal="center"/>
    </xf>
    <xf numFmtId="0" fontId="5" fillId="9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14" fillId="11" borderId="0" xfId="0" applyFont="1" applyFill="1" applyAlignment="1">
      <alignment horizontal="left"/>
    </xf>
    <xf numFmtId="0" fontId="0" fillId="11" borderId="7" xfId="0" applyFill="1" applyBorder="1" applyAlignment="1">
      <alignment horizontal="left" vertical="center"/>
    </xf>
    <xf numFmtId="0" fontId="13" fillId="11" borderId="7" xfId="0" applyFont="1" applyFill="1" applyBorder="1" applyAlignment="1">
      <alignment horizontal="left" vertical="top"/>
    </xf>
    <xf numFmtId="0" fontId="0" fillId="12" borderId="7" xfId="0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7" xfId="0" applyFill="1" applyBorder="1" applyAlignment="1">
      <alignment horizontal="left" vertical="center"/>
    </xf>
    <xf numFmtId="0" fontId="16" fillId="7" borderId="0" xfId="0" applyFont="1" applyFill="1" applyAlignment="1">
      <alignment horizontal="center"/>
    </xf>
    <xf numFmtId="0" fontId="16" fillId="17" borderId="0" xfId="0" applyFont="1" applyFill="1" applyAlignment="1">
      <alignment horizontal="center"/>
    </xf>
    <xf numFmtId="0" fontId="15" fillId="7" borderId="0" xfId="0" applyFont="1" applyFill="1" applyAlignment="1">
      <alignment horizontal="left" vertical="center"/>
    </xf>
    <xf numFmtId="0" fontId="9" fillId="13" borderId="11" xfId="0" applyFont="1" applyFill="1" applyBorder="1" applyAlignment="1">
      <alignment horizontal="center" vertical="center"/>
    </xf>
    <xf numFmtId="0" fontId="9" fillId="13" borderId="12" xfId="0" applyFont="1" applyFill="1" applyBorder="1" applyAlignment="1">
      <alignment horizontal="center" vertical="center"/>
    </xf>
    <xf numFmtId="0" fontId="9" fillId="13" borderId="12" xfId="0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/>
    </xf>
    <xf numFmtId="0" fontId="16" fillId="7" borderId="12" xfId="0" applyFont="1" applyFill="1" applyBorder="1" applyAlignment="1">
      <alignment horizontal="center"/>
    </xf>
    <xf numFmtId="0" fontId="16" fillId="7" borderId="12" xfId="0" applyFont="1" applyFill="1" applyBorder="1" applyAlignment="1">
      <alignment horizontal="left"/>
    </xf>
    <xf numFmtId="0" fontId="16" fillId="7" borderId="13" xfId="0" applyFont="1" applyFill="1" applyBorder="1" applyAlignment="1">
      <alignment horizontal="center"/>
    </xf>
    <xf numFmtId="0" fontId="16" fillId="17" borderId="11" xfId="0" applyFont="1" applyFill="1" applyBorder="1" applyAlignment="1">
      <alignment horizontal="center"/>
    </xf>
    <xf numFmtId="0" fontId="16" fillId="17" borderId="12" xfId="0" applyFont="1" applyFill="1" applyBorder="1" applyAlignment="1">
      <alignment horizontal="center"/>
    </xf>
    <xf numFmtId="0" fontId="16" fillId="17" borderId="12" xfId="0" applyFont="1" applyFill="1" applyBorder="1" applyAlignment="1">
      <alignment horizontal="left"/>
    </xf>
    <xf numFmtId="0" fontId="16" fillId="17" borderId="13" xfId="0" applyFont="1" applyFill="1" applyBorder="1" applyAlignment="1">
      <alignment horizontal="center"/>
    </xf>
    <xf numFmtId="0" fontId="9" fillId="14" borderId="11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/>
    </xf>
    <xf numFmtId="0" fontId="9" fillId="14" borderId="12" xfId="0" applyFont="1" applyFill="1" applyBorder="1" applyAlignment="1">
      <alignment horizontal="left"/>
    </xf>
    <xf numFmtId="0" fontId="9" fillId="14" borderId="13" xfId="0" applyFont="1" applyFill="1" applyBorder="1" applyAlignment="1">
      <alignment horizontal="center"/>
    </xf>
    <xf numFmtId="0" fontId="9" fillId="15" borderId="11" xfId="0" applyFont="1" applyFill="1" applyBorder="1" applyAlignment="1">
      <alignment horizontal="center"/>
    </xf>
    <xf numFmtId="0" fontId="9" fillId="15" borderId="12" xfId="0" applyFont="1" applyFill="1" applyBorder="1" applyAlignment="1">
      <alignment horizontal="center"/>
    </xf>
    <xf numFmtId="0" fontId="9" fillId="15" borderId="12" xfId="0" applyFont="1" applyFill="1" applyBorder="1" applyAlignment="1">
      <alignment horizontal="left"/>
    </xf>
    <xf numFmtId="0" fontId="9" fillId="15" borderId="13" xfId="0" applyFont="1" applyFill="1" applyBorder="1" applyAlignment="1">
      <alignment horizontal="center"/>
    </xf>
    <xf numFmtId="0" fontId="9" fillId="16" borderId="11" xfId="0" applyFont="1" applyFill="1" applyBorder="1" applyAlignment="1">
      <alignment horizontal="center"/>
    </xf>
    <xf numFmtId="0" fontId="9" fillId="16" borderId="12" xfId="0" applyFont="1" applyFill="1" applyBorder="1" applyAlignment="1">
      <alignment horizontal="center"/>
    </xf>
    <xf numFmtId="0" fontId="9" fillId="16" borderId="12" xfId="0" applyFont="1" applyFill="1" applyBorder="1" applyAlignment="1">
      <alignment horizontal="left"/>
    </xf>
    <xf numFmtId="0" fontId="9" fillId="16" borderId="13" xfId="0" applyFont="1" applyFill="1" applyBorder="1" applyAlignment="1">
      <alignment horizontal="center"/>
    </xf>
    <xf numFmtId="0" fontId="7" fillId="18" borderId="0" xfId="0" applyFont="1" applyFill="1" applyAlignment="1">
      <alignment horizontal="left" vertical="center"/>
    </xf>
    <xf numFmtId="0" fontId="0" fillId="19" borderId="0" xfId="0" applyFill="1"/>
    <xf numFmtId="0" fontId="18" fillId="17" borderId="0" xfId="0" applyFont="1" applyFill="1" applyAlignment="1">
      <alignment horizontal="left" vertical="center"/>
    </xf>
    <xf numFmtId="0" fontId="19" fillId="7" borderId="12" xfId="0" applyFont="1" applyFill="1" applyBorder="1" applyAlignment="1">
      <alignment horizontal="center"/>
    </xf>
    <xf numFmtId="10" fontId="20" fillId="7" borderId="13" xfId="0" applyNumberFormat="1" applyFont="1" applyFill="1" applyBorder="1" applyAlignment="1">
      <alignment horizontal="center"/>
    </xf>
    <xf numFmtId="0" fontId="19" fillId="17" borderId="12" xfId="0" applyFont="1" applyFill="1" applyBorder="1" applyAlignment="1">
      <alignment horizontal="center"/>
    </xf>
    <xf numFmtId="10" fontId="20" fillId="17" borderId="13" xfId="0" applyNumberFormat="1" applyFont="1" applyFill="1" applyBorder="1" applyAlignment="1">
      <alignment horizontal="center"/>
    </xf>
    <xf numFmtId="10" fontId="21" fillId="17" borderId="13" xfId="0" applyNumberFormat="1" applyFont="1" applyFill="1" applyBorder="1" applyAlignment="1">
      <alignment horizontal="center"/>
    </xf>
    <xf numFmtId="0" fontId="22" fillId="7" borderId="12" xfId="0" applyFont="1" applyFill="1" applyBorder="1" applyAlignment="1">
      <alignment horizontal="center"/>
    </xf>
    <xf numFmtId="0" fontId="22" fillId="17" borderId="12" xfId="0" applyFont="1" applyFill="1" applyBorder="1" applyAlignment="1">
      <alignment horizontal="center"/>
    </xf>
    <xf numFmtId="0" fontId="23" fillId="7" borderId="12" xfId="0" applyFont="1" applyFill="1" applyBorder="1" applyAlignment="1">
      <alignment horizontal="center"/>
    </xf>
    <xf numFmtId="0" fontId="23" fillId="17" borderId="12" xfId="0" applyFont="1" applyFill="1" applyBorder="1" applyAlignment="1">
      <alignment horizontal="center"/>
    </xf>
    <xf numFmtId="0" fontId="17" fillId="19" borderId="14" xfId="0" applyFont="1" applyFill="1" applyBorder="1" applyAlignment="1">
      <alignment horizontal="center"/>
    </xf>
    <xf numFmtId="0" fontId="17" fillId="19" borderId="15" xfId="0" applyFont="1" applyFill="1" applyBorder="1" applyAlignment="1">
      <alignment horizontal="center"/>
    </xf>
    <xf numFmtId="0" fontId="17" fillId="19" borderId="15" xfId="0" applyFont="1" applyFill="1" applyBorder="1" applyAlignment="1">
      <alignment horizontal="left"/>
    </xf>
    <xf numFmtId="0" fontId="0" fillId="19" borderId="15" xfId="0" applyFill="1" applyBorder="1"/>
    <xf numFmtId="0" fontId="17" fillId="19" borderId="16" xfId="0" applyFont="1" applyFill="1" applyBorder="1" applyAlignment="1">
      <alignment horizontal="center"/>
    </xf>
    <xf numFmtId="0" fontId="16" fillId="7" borderId="17" xfId="0" applyFont="1" applyFill="1" applyBorder="1" applyAlignment="1">
      <alignment horizontal="center"/>
    </xf>
    <xf numFmtId="0" fontId="16" fillId="7" borderId="18" xfId="0" applyFont="1" applyFill="1" applyBorder="1" applyAlignment="1">
      <alignment horizontal="center"/>
    </xf>
    <xf numFmtId="0" fontId="16" fillId="7" borderId="18" xfId="0" applyFont="1" applyFill="1" applyBorder="1" applyAlignment="1">
      <alignment horizontal="left"/>
    </xf>
    <xf numFmtId="0" fontId="24" fillId="7" borderId="18" xfId="0" applyFont="1" applyFill="1" applyBorder="1" applyAlignment="1">
      <alignment horizontal="center"/>
    </xf>
    <xf numFmtId="10" fontId="16" fillId="7" borderId="18" xfId="0" applyNumberFormat="1" applyFont="1" applyFill="1" applyBorder="1" applyAlignment="1">
      <alignment horizontal="center"/>
    </xf>
    <xf numFmtId="10" fontId="20" fillId="7" borderId="18" xfId="0" applyNumberFormat="1" applyFont="1" applyFill="1" applyBorder="1" applyAlignment="1">
      <alignment horizontal="center"/>
    </xf>
    <xf numFmtId="0" fontId="25" fillId="7" borderId="19" xfId="0" applyFont="1" applyFill="1" applyBorder="1" applyAlignment="1">
      <alignment horizontal="center"/>
    </xf>
    <xf numFmtId="0" fontId="16" fillId="17" borderId="17" xfId="0" applyFont="1" applyFill="1" applyBorder="1" applyAlignment="1">
      <alignment horizontal="center"/>
    </xf>
    <xf numFmtId="0" fontId="16" fillId="17" borderId="18" xfId="0" applyFont="1" applyFill="1" applyBorder="1" applyAlignment="1">
      <alignment horizontal="center"/>
    </xf>
    <xf numFmtId="0" fontId="16" fillId="17" borderId="18" xfId="0" applyFont="1" applyFill="1" applyBorder="1" applyAlignment="1">
      <alignment horizontal="left"/>
    </xf>
    <xf numFmtId="0" fontId="24" fillId="17" borderId="18" xfId="0" applyFont="1" applyFill="1" applyBorder="1" applyAlignment="1">
      <alignment horizontal="center"/>
    </xf>
    <xf numFmtId="10" fontId="16" fillId="17" borderId="18" xfId="0" applyNumberFormat="1" applyFont="1" applyFill="1" applyBorder="1" applyAlignment="1">
      <alignment horizontal="center"/>
    </xf>
    <xf numFmtId="10" fontId="21" fillId="17" borderId="18" xfId="0" applyNumberFormat="1" applyFont="1" applyFill="1" applyBorder="1" applyAlignment="1">
      <alignment horizontal="center"/>
    </xf>
    <xf numFmtId="0" fontId="26" fillId="17" borderId="19" xfId="0" applyFont="1" applyFill="1" applyBorder="1" applyAlignment="1">
      <alignment horizontal="center"/>
    </xf>
    <xf numFmtId="14" fontId="16" fillId="7" borderId="18" xfId="0" applyNumberFormat="1" applyFont="1" applyFill="1" applyBorder="1" applyAlignment="1">
      <alignment horizontal="center"/>
    </xf>
    <xf numFmtId="0" fontId="26" fillId="7" borderId="19" xfId="0" applyFont="1" applyFill="1" applyBorder="1" applyAlignment="1">
      <alignment horizontal="center"/>
    </xf>
    <xf numFmtId="10" fontId="20" fillId="17" borderId="18" xfId="0" applyNumberFormat="1" applyFont="1" applyFill="1" applyBorder="1" applyAlignment="1">
      <alignment horizontal="center"/>
    </xf>
    <xf numFmtId="14" fontId="16" fillId="17" borderId="18" xfId="0" applyNumberFormat="1" applyFont="1" applyFill="1" applyBorder="1" applyAlignment="1">
      <alignment horizontal="center"/>
    </xf>
    <xf numFmtId="0" fontId="16" fillId="17" borderId="20" xfId="0" applyFont="1" applyFill="1" applyBorder="1" applyAlignment="1">
      <alignment horizontal="center"/>
    </xf>
    <xf numFmtId="0" fontId="16" fillId="17" borderId="21" xfId="0" applyFont="1" applyFill="1" applyBorder="1" applyAlignment="1">
      <alignment horizontal="center"/>
    </xf>
    <xf numFmtId="0" fontId="16" fillId="17" borderId="21" xfId="0" applyFont="1" applyFill="1" applyBorder="1" applyAlignment="1">
      <alignment horizontal="left"/>
    </xf>
    <xf numFmtId="0" fontId="24" fillId="17" borderId="21" xfId="0" applyFont="1" applyFill="1" applyBorder="1" applyAlignment="1">
      <alignment horizontal="center"/>
    </xf>
    <xf numFmtId="10" fontId="20" fillId="17" borderId="21" xfId="0" applyNumberFormat="1" applyFont="1" applyFill="1" applyBorder="1" applyAlignment="1">
      <alignment horizontal="center"/>
    </xf>
    <xf numFmtId="14" fontId="16" fillId="17" borderId="21" xfId="0" applyNumberFormat="1" applyFont="1" applyFill="1" applyBorder="1" applyAlignment="1">
      <alignment horizontal="center"/>
    </xf>
    <xf numFmtId="0" fontId="26" fillId="17" borderId="22" xfId="0" applyFont="1" applyFill="1" applyBorder="1" applyAlignment="1">
      <alignment horizontal="center"/>
    </xf>
    <xf numFmtId="0" fontId="5" fillId="9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center" vertical="center"/>
    </xf>
    <xf numFmtId="0" fontId="28" fillId="17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left"/>
    </xf>
    <xf numFmtId="0" fontId="29" fillId="19" borderId="0" xfId="0" applyFont="1" applyFill="1" applyAlignment="1">
      <alignment horizontal="center"/>
    </xf>
    <xf numFmtId="0" fontId="29" fillId="19" borderId="8" xfId="0" applyFont="1" applyFill="1" applyBorder="1" applyAlignment="1">
      <alignment horizontal="center"/>
    </xf>
    <xf numFmtId="0" fontId="29" fillId="19" borderId="9" xfId="0" applyFont="1" applyFill="1" applyBorder="1" applyAlignment="1">
      <alignment horizontal="center"/>
    </xf>
    <xf numFmtId="0" fontId="29" fillId="19" borderId="10" xfId="0" applyFont="1" applyFill="1" applyBorder="1" applyAlignment="1">
      <alignment horizontal="center"/>
    </xf>
    <xf numFmtId="0" fontId="31" fillId="18" borderId="0" xfId="0" applyFont="1" applyFill="1" applyAlignment="1">
      <alignment horizontal="center"/>
    </xf>
    <xf numFmtId="0" fontId="31" fillId="18" borderId="0" xfId="0" applyFont="1" applyFill="1"/>
    <xf numFmtId="0" fontId="31" fillId="18" borderId="3" xfId="0" applyFont="1" applyFill="1" applyBorder="1" applyAlignment="1">
      <alignment horizontal="center" vertical="center"/>
    </xf>
    <xf numFmtId="0" fontId="0" fillId="22" borderId="0" xfId="0" applyFill="1"/>
    <xf numFmtId="0" fontId="36" fillId="17" borderId="7" xfId="0" applyFont="1" applyFill="1" applyBorder="1" applyAlignment="1">
      <alignment horizontal="left" vertical="center"/>
    </xf>
    <xf numFmtId="0" fontId="7" fillId="23" borderId="0" xfId="0" applyFont="1" applyFill="1" applyAlignment="1">
      <alignment horizontal="left" vertical="center"/>
    </xf>
    <xf numFmtId="0" fontId="42" fillId="7" borderId="0" xfId="0" applyFont="1" applyFill="1" applyAlignment="1">
      <alignment horizontal="center" vertical="center"/>
    </xf>
    <xf numFmtId="0" fontId="33" fillId="9" borderId="24" xfId="0" applyFont="1" applyFill="1" applyBorder="1" applyAlignment="1">
      <alignment horizontal="left" vertical="center"/>
    </xf>
    <xf numFmtId="0" fontId="34" fillId="9" borderId="24" xfId="0" applyFont="1" applyFill="1" applyBorder="1" applyAlignment="1">
      <alignment horizontal="right" vertical="center"/>
    </xf>
    <xf numFmtId="0" fontId="44" fillId="11" borderId="7" xfId="0" applyFont="1" applyFill="1" applyBorder="1" applyAlignment="1">
      <alignment vertical="center"/>
    </xf>
    <xf numFmtId="0" fontId="17" fillId="19" borderId="25" xfId="0" applyFont="1" applyFill="1" applyBorder="1" applyAlignment="1">
      <alignment horizontal="center" vertical="center"/>
    </xf>
    <xf numFmtId="0" fontId="17" fillId="19" borderId="25" xfId="0" applyFont="1" applyFill="1" applyBorder="1" applyAlignment="1">
      <alignment horizontal="left" vertical="center"/>
    </xf>
    <xf numFmtId="0" fontId="16" fillId="7" borderId="27" xfId="0" applyFont="1" applyFill="1" applyBorder="1" applyAlignment="1">
      <alignment horizontal="center" vertical="center"/>
    </xf>
    <xf numFmtId="0" fontId="16" fillId="7" borderId="27" xfId="0" applyFont="1" applyFill="1" applyBorder="1" applyAlignment="1">
      <alignment horizontal="left" vertical="center"/>
    </xf>
    <xf numFmtId="0" fontId="17" fillId="7" borderId="27" xfId="0" applyFont="1" applyFill="1" applyBorder="1" applyAlignment="1">
      <alignment horizontal="center" vertical="center"/>
    </xf>
    <xf numFmtId="0" fontId="16" fillId="7" borderId="28" xfId="0" applyFont="1" applyFill="1" applyBorder="1" applyAlignment="1">
      <alignment horizontal="center" vertical="center"/>
    </xf>
    <xf numFmtId="0" fontId="16" fillId="17" borderId="27" xfId="0" applyFont="1" applyFill="1" applyBorder="1" applyAlignment="1">
      <alignment horizontal="center" vertical="center"/>
    </xf>
    <xf numFmtId="0" fontId="16" fillId="17" borderId="27" xfId="0" applyFont="1" applyFill="1" applyBorder="1" applyAlignment="1">
      <alignment horizontal="left" vertical="center"/>
    </xf>
    <xf numFmtId="0" fontId="17" fillId="17" borderId="27" xfId="0" applyFont="1" applyFill="1" applyBorder="1" applyAlignment="1">
      <alignment horizontal="center" vertical="center"/>
    </xf>
    <xf numFmtId="0" fontId="16" fillId="17" borderId="28" xfId="0" applyFont="1" applyFill="1" applyBorder="1" applyAlignment="1">
      <alignment horizontal="center" vertical="center"/>
    </xf>
    <xf numFmtId="0" fontId="17" fillId="19" borderId="31" xfId="0" applyFont="1" applyFill="1" applyBorder="1" applyAlignment="1">
      <alignment horizontal="center" vertical="center"/>
    </xf>
    <xf numFmtId="0" fontId="16" fillId="7" borderId="32" xfId="0" applyFont="1" applyFill="1" applyBorder="1" applyAlignment="1">
      <alignment horizontal="center" vertical="center"/>
    </xf>
    <xf numFmtId="0" fontId="16" fillId="17" borderId="32" xfId="0" applyFont="1" applyFill="1" applyBorder="1" applyAlignment="1">
      <alignment horizontal="center" vertical="center"/>
    </xf>
    <xf numFmtId="0" fontId="17" fillId="19" borderId="34" xfId="0" applyFont="1" applyFill="1" applyBorder="1" applyAlignment="1">
      <alignment horizontal="center" vertical="center"/>
    </xf>
    <xf numFmtId="0" fontId="16" fillId="7" borderId="35" xfId="0" applyFont="1" applyFill="1" applyBorder="1" applyAlignment="1">
      <alignment horizontal="center" vertical="center"/>
    </xf>
    <xf numFmtId="0" fontId="16" fillId="17" borderId="35" xfId="0" applyFont="1" applyFill="1" applyBorder="1" applyAlignment="1">
      <alignment horizontal="center" vertical="center"/>
    </xf>
    <xf numFmtId="0" fontId="45" fillId="23" borderId="27" xfId="0" applyFont="1" applyFill="1" applyBorder="1" applyAlignment="1">
      <alignment horizontal="center" vertical="center"/>
    </xf>
    <xf numFmtId="0" fontId="45" fillId="23" borderId="35" xfId="0" applyFont="1" applyFill="1" applyBorder="1" applyAlignment="1">
      <alignment horizontal="center" vertical="center"/>
    </xf>
    <xf numFmtId="0" fontId="45" fillId="23" borderId="32" xfId="0" applyFont="1" applyFill="1" applyBorder="1" applyAlignment="1">
      <alignment horizontal="center" vertical="center"/>
    </xf>
    <xf numFmtId="0" fontId="45" fillId="23" borderId="27" xfId="0" applyFont="1" applyFill="1" applyBorder="1" applyAlignment="1">
      <alignment horizontal="left" vertical="center"/>
    </xf>
    <xf numFmtId="0" fontId="16" fillId="7" borderId="29" xfId="0" applyFont="1" applyFill="1" applyBorder="1" applyAlignment="1">
      <alignment horizontal="center" vertical="center"/>
    </xf>
    <xf numFmtId="0" fontId="16" fillId="7" borderId="29" xfId="0" applyFont="1" applyFill="1" applyBorder="1" applyAlignment="1">
      <alignment horizontal="left" vertical="center"/>
    </xf>
    <xf numFmtId="0" fontId="17" fillId="7" borderId="29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36" xfId="0" applyFont="1" applyFill="1" applyBorder="1" applyAlignment="1">
      <alignment horizontal="center" vertical="center"/>
    </xf>
    <xf numFmtId="0" fontId="47" fillId="9" borderId="23" xfId="0" applyFont="1" applyFill="1" applyBorder="1" applyAlignment="1">
      <alignment horizontal="left" vertical="center"/>
    </xf>
    <xf numFmtId="0" fontId="44" fillId="11" borderId="7" xfId="0" applyFont="1" applyFill="1" applyBorder="1" applyAlignment="1">
      <alignment horizontal="left" vertical="center"/>
    </xf>
    <xf numFmtId="0" fontId="49" fillId="9" borderId="23" xfId="0" applyFont="1" applyFill="1" applyBorder="1" applyAlignment="1">
      <alignment horizontal="right" vertical="center"/>
    </xf>
    <xf numFmtId="0" fontId="29" fillId="19" borderId="0" xfId="0" applyFont="1" applyFill="1" applyAlignment="1">
      <alignment horizontal="center" vertical="center"/>
    </xf>
    <xf numFmtId="0" fontId="4" fillId="0" borderId="0" xfId="0" applyFont="1"/>
    <xf numFmtId="0" fontId="50" fillId="7" borderId="0" xfId="0" applyFont="1" applyFill="1" applyAlignment="1">
      <alignment horizontal="center" vertical="center"/>
    </xf>
    <xf numFmtId="0" fontId="51" fillId="7" borderId="0" xfId="0" applyFont="1" applyFill="1" applyAlignment="1">
      <alignment vertical="center"/>
    </xf>
    <xf numFmtId="0" fontId="52" fillId="7" borderId="0" xfId="0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0" fontId="51" fillId="17" borderId="0" xfId="0" applyFont="1" applyFill="1" applyAlignment="1">
      <alignment vertical="center"/>
    </xf>
    <xf numFmtId="0" fontId="50" fillId="17" borderId="0" xfId="0" applyFont="1" applyFill="1" applyAlignment="1">
      <alignment horizontal="center" vertical="center"/>
    </xf>
    <xf numFmtId="0" fontId="53" fillId="7" borderId="0" xfId="0" applyFont="1" applyFill="1" applyAlignment="1">
      <alignment vertical="center"/>
    </xf>
    <xf numFmtId="0" fontId="55" fillId="24" borderId="0" xfId="0" applyFont="1" applyFill="1" applyAlignment="1">
      <alignment horizontal="center" vertical="center"/>
    </xf>
    <xf numFmtId="0" fontId="56" fillId="24" borderId="0" xfId="0" applyFont="1" applyFill="1" applyAlignment="1">
      <alignment vertical="top"/>
    </xf>
    <xf numFmtId="0" fontId="56" fillId="24" borderId="0" xfId="0" applyFont="1" applyFill="1" applyAlignment="1">
      <alignment horizontal="center" vertical="top"/>
    </xf>
    <xf numFmtId="0" fontId="57" fillId="24" borderId="0" xfId="0" applyFont="1" applyFill="1" applyAlignment="1">
      <alignment horizontal="left" vertical="center"/>
    </xf>
    <xf numFmtId="0" fontId="56" fillId="24" borderId="0" xfId="0" applyFont="1" applyFill="1" applyAlignment="1">
      <alignment horizontal="left" vertical="top"/>
    </xf>
    <xf numFmtId="0" fontId="48" fillId="24" borderId="0" xfId="0" applyFont="1" applyFill="1" applyAlignment="1">
      <alignment horizontal="center" vertical="center"/>
    </xf>
    <xf numFmtId="0" fontId="59" fillId="24" borderId="0" xfId="0" applyFont="1" applyFill="1" applyAlignment="1">
      <alignment horizontal="center" vertical="center"/>
    </xf>
    <xf numFmtId="0" fontId="0" fillId="24" borderId="0" xfId="0" applyFill="1" applyAlignment="1">
      <alignment vertical="center"/>
    </xf>
    <xf numFmtId="0" fontId="61" fillId="24" borderId="0" xfId="0" applyFont="1" applyFill="1" applyAlignment="1">
      <alignment horizontal="center" vertical="center"/>
    </xf>
    <xf numFmtId="0" fontId="62" fillId="24" borderId="0" xfId="0" applyFont="1" applyFill="1" applyAlignment="1">
      <alignment horizontal="center" vertical="center"/>
    </xf>
    <xf numFmtId="0" fontId="63" fillId="24" borderId="0" xfId="0" applyFont="1" applyFill="1" applyAlignment="1">
      <alignment horizontal="center" vertical="center"/>
    </xf>
    <xf numFmtId="0" fontId="64" fillId="24" borderId="0" xfId="0" applyFont="1" applyFill="1" applyAlignment="1">
      <alignment horizontal="center" vertical="center"/>
    </xf>
    <xf numFmtId="0" fontId="65" fillId="24" borderId="0" xfId="0" applyFont="1" applyFill="1" applyAlignment="1">
      <alignment horizontal="center" vertical="center"/>
    </xf>
    <xf numFmtId="0" fontId="12" fillId="11" borderId="0" xfId="0" applyFont="1" applyFill="1" applyAlignment="1">
      <alignment horizontal="center"/>
    </xf>
    <xf numFmtId="0" fontId="0" fillId="11" borderId="0" xfId="0" applyFill="1" applyAlignment="1">
      <alignment horizontal="center" vertical="center"/>
    </xf>
    <xf numFmtId="4" fontId="0" fillId="0" borderId="0" xfId="0" applyNumberFormat="1"/>
    <xf numFmtId="0" fontId="66" fillId="24" borderId="0" xfId="0" applyFont="1" applyFill="1" applyAlignment="1">
      <alignment vertical="center"/>
    </xf>
    <xf numFmtId="0" fontId="67" fillId="24" borderId="0" xfId="0" applyFont="1" applyFill="1" applyAlignment="1">
      <alignment horizontal="center" vertical="center"/>
    </xf>
    <xf numFmtId="0" fontId="58" fillId="24" borderId="25" xfId="0" applyFont="1" applyFill="1" applyBorder="1" applyAlignment="1">
      <alignment horizontal="center" vertical="center"/>
    </xf>
    <xf numFmtId="0" fontId="48" fillId="24" borderId="25" xfId="0" applyFont="1" applyFill="1" applyBorder="1" applyAlignment="1">
      <alignment horizontal="center" vertical="center"/>
    </xf>
    <xf numFmtId="0" fontId="67" fillId="24" borderId="26" xfId="0" applyFont="1" applyFill="1" applyBorder="1" applyAlignment="1">
      <alignment horizontal="center" vertical="center"/>
    </xf>
    <xf numFmtId="0" fontId="56" fillId="24" borderId="27" xfId="0" applyFont="1" applyFill="1" applyBorder="1" applyAlignment="1">
      <alignment horizontal="center" vertical="center"/>
    </xf>
    <xf numFmtId="0" fontId="56" fillId="24" borderId="28" xfId="0" applyFont="1" applyFill="1" applyBorder="1" applyAlignment="1">
      <alignment horizontal="center" vertical="center"/>
    </xf>
    <xf numFmtId="0" fontId="13" fillId="11" borderId="7" xfId="0" applyFont="1" applyFill="1" applyBorder="1" applyAlignment="1">
      <alignment horizontal="center" vertical="top"/>
    </xf>
    <xf numFmtId="0" fontId="12" fillId="11" borderId="0" xfId="0" applyFont="1" applyFill="1"/>
    <xf numFmtId="0" fontId="13" fillId="11" borderId="7" xfId="0" applyFont="1" applyFill="1" applyBorder="1" applyAlignment="1">
      <alignment vertical="top"/>
    </xf>
    <xf numFmtId="49" fontId="14" fillId="11" borderId="0" xfId="0" applyNumberFormat="1" applyFont="1" applyFill="1" applyAlignment="1">
      <alignment horizontal="center"/>
    </xf>
    <xf numFmtId="0" fontId="35" fillId="17" borderId="7" xfId="0" applyFont="1" applyFill="1" applyBorder="1" applyAlignment="1">
      <alignment horizontal="left" vertical="center"/>
    </xf>
    <xf numFmtId="0" fontId="7" fillId="33" borderId="0" xfId="0" applyFont="1" applyFill="1" applyAlignment="1">
      <alignment horizontal="left" vertical="center"/>
    </xf>
    <xf numFmtId="0" fontId="0" fillId="33" borderId="0" xfId="0" applyFill="1"/>
    <xf numFmtId="1" fontId="0" fillId="33" borderId="0" xfId="0" applyNumberFormat="1" applyFill="1"/>
    <xf numFmtId="49" fontId="0" fillId="33" borderId="0" xfId="0" applyNumberFormat="1" applyFill="1"/>
    <xf numFmtId="0" fontId="4" fillId="33" borderId="0" xfId="0" applyFont="1" applyFill="1"/>
    <xf numFmtId="0" fontId="37" fillId="33" borderId="0" xfId="0" applyFont="1" applyFill="1" applyAlignment="1">
      <alignment horizontal="center"/>
    </xf>
    <xf numFmtId="10" fontId="58" fillId="24" borderId="0" xfId="0" applyNumberFormat="1" applyFont="1" applyFill="1" applyAlignment="1">
      <alignment horizontal="center" vertical="center"/>
    </xf>
    <xf numFmtId="164" fontId="58" fillId="24" borderId="0" xfId="0" applyNumberFormat="1" applyFont="1" applyFill="1" applyAlignment="1">
      <alignment horizontal="center" vertical="center"/>
    </xf>
    <xf numFmtId="0" fontId="69" fillId="19" borderId="0" xfId="0" applyFont="1" applyFill="1"/>
    <xf numFmtId="0" fontId="43" fillId="0" borderId="0" xfId="0" applyFont="1" applyAlignment="1">
      <alignment horizontal="left" vertical="center"/>
    </xf>
    <xf numFmtId="0" fontId="68" fillId="0" borderId="0" xfId="0" applyFont="1" applyAlignment="1">
      <alignment horizontal="left" vertical="center"/>
    </xf>
    <xf numFmtId="0" fontId="75" fillId="0" borderId="0" xfId="0" applyFont="1"/>
    <xf numFmtId="0" fontId="76" fillId="0" borderId="0" xfId="0" applyFont="1" applyAlignment="1">
      <alignment vertical="center"/>
    </xf>
    <xf numFmtId="0" fontId="73" fillId="0" borderId="0" xfId="0" applyFont="1" applyAlignment="1">
      <alignment vertical="center"/>
    </xf>
    <xf numFmtId="0" fontId="77" fillId="0" borderId="0" xfId="0" applyFont="1" applyAlignment="1">
      <alignment vertical="center"/>
    </xf>
    <xf numFmtId="0" fontId="70" fillId="0" borderId="0" xfId="0" applyFont="1" applyAlignment="1">
      <alignment vertical="center"/>
    </xf>
    <xf numFmtId="0" fontId="77" fillId="0" borderId="0" xfId="0" applyFont="1"/>
    <xf numFmtId="0" fontId="70" fillId="0" borderId="0" xfId="0" applyFont="1"/>
    <xf numFmtId="0" fontId="7" fillId="0" borderId="0" xfId="0" applyFont="1" applyAlignment="1">
      <alignment horizontal="left" vertical="center"/>
    </xf>
    <xf numFmtId="0" fontId="29" fillId="19" borderId="38" xfId="0" applyFont="1" applyFill="1" applyBorder="1" applyAlignment="1">
      <alignment horizontal="left" vertical="center"/>
    </xf>
    <xf numFmtId="0" fontId="29" fillId="19" borderId="39" xfId="0" applyFont="1" applyFill="1" applyBorder="1" applyAlignment="1">
      <alignment horizontal="center" vertical="center"/>
    </xf>
    <xf numFmtId="0" fontId="29" fillId="19" borderId="39" xfId="0" applyFont="1" applyFill="1" applyBorder="1" applyAlignment="1">
      <alignment horizontal="left" vertical="center"/>
    </xf>
    <xf numFmtId="0" fontId="29" fillId="19" borderId="40" xfId="0" applyFont="1" applyFill="1" applyBorder="1" applyAlignment="1">
      <alignment horizontal="center" vertical="center"/>
    </xf>
    <xf numFmtId="0" fontId="51" fillId="17" borderId="41" xfId="0" applyFont="1" applyFill="1" applyBorder="1" applyAlignment="1">
      <alignment vertical="center"/>
    </xf>
    <xf numFmtId="0" fontId="50" fillId="17" borderId="42" xfId="0" applyFont="1" applyFill="1" applyBorder="1" applyAlignment="1">
      <alignment horizontal="center" vertical="center"/>
    </xf>
    <xf numFmtId="0" fontId="52" fillId="17" borderId="42" xfId="0" applyFont="1" applyFill="1" applyBorder="1" applyAlignment="1">
      <alignment horizontal="center" vertical="center"/>
    </xf>
    <xf numFmtId="0" fontId="51" fillId="17" borderId="42" xfId="0" applyFont="1" applyFill="1" applyBorder="1" applyAlignment="1">
      <alignment horizontal="center" vertical="center"/>
    </xf>
    <xf numFmtId="0" fontId="53" fillId="17" borderId="42" xfId="0" applyFont="1" applyFill="1" applyBorder="1" applyAlignment="1">
      <alignment vertical="center"/>
    </xf>
    <xf numFmtId="0" fontId="42" fillId="17" borderId="42" xfId="0" applyFont="1" applyFill="1" applyBorder="1" applyAlignment="1">
      <alignment horizontal="center" vertical="center"/>
    </xf>
    <xf numFmtId="0" fontId="50" fillId="17" borderId="43" xfId="0" applyFont="1" applyFill="1" applyBorder="1" applyAlignment="1">
      <alignment horizontal="center" vertical="center"/>
    </xf>
    <xf numFmtId="0" fontId="51" fillId="7" borderId="44" xfId="0" applyFont="1" applyFill="1" applyBorder="1" applyAlignment="1">
      <alignment vertical="center"/>
    </xf>
    <xf numFmtId="0" fontId="50" fillId="7" borderId="45" xfId="0" applyFont="1" applyFill="1" applyBorder="1" applyAlignment="1">
      <alignment horizontal="center" vertical="center"/>
    </xf>
    <xf numFmtId="0" fontId="52" fillId="7" borderId="45" xfId="0" applyFont="1" applyFill="1" applyBorder="1" applyAlignment="1">
      <alignment horizontal="center" vertical="center"/>
    </xf>
    <xf numFmtId="0" fontId="51" fillId="7" borderId="45" xfId="0" applyFont="1" applyFill="1" applyBorder="1" applyAlignment="1">
      <alignment horizontal="center" vertical="center"/>
    </xf>
    <xf numFmtId="0" fontId="53" fillId="7" borderId="45" xfId="0" applyFont="1" applyFill="1" applyBorder="1" applyAlignment="1">
      <alignment vertical="center"/>
    </xf>
    <xf numFmtId="0" fontId="42" fillId="7" borderId="45" xfId="0" applyFont="1" applyFill="1" applyBorder="1" applyAlignment="1">
      <alignment horizontal="center" vertical="center"/>
    </xf>
    <xf numFmtId="0" fontId="50" fillId="7" borderId="46" xfId="0" applyFont="1" applyFill="1" applyBorder="1" applyAlignment="1">
      <alignment horizontal="center" vertical="center"/>
    </xf>
    <xf numFmtId="0" fontId="51" fillId="17" borderId="44" xfId="0" applyFont="1" applyFill="1" applyBorder="1" applyAlignment="1">
      <alignment vertical="center"/>
    </xf>
    <xf numFmtId="0" fontId="50" fillId="17" borderId="45" xfId="0" applyFont="1" applyFill="1" applyBorder="1" applyAlignment="1">
      <alignment horizontal="center" vertical="center"/>
    </xf>
    <xf numFmtId="0" fontId="52" fillId="17" borderId="45" xfId="0" applyFont="1" applyFill="1" applyBorder="1" applyAlignment="1">
      <alignment horizontal="center" vertical="center"/>
    </xf>
    <xf numFmtId="0" fontId="51" fillId="17" borderId="45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vertical="center"/>
    </xf>
    <xf numFmtId="0" fontId="42" fillId="17" borderId="45" xfId="0" applyFont="1" applyFill="1" applyBorder="1" applyAlignment="1">
      <alignment horizontal="center" vertical="center"/>
    </xf>
    <xf numFmtId="0" fontId="50" fillId="17" borderId="46" xfId="0" applyFont="1" applyFill="1" applyBorder="1" applyAlignment="1">
      <alignment horizontal="center" vertical="center"/>
    </xf>
    <xf numFmtId="0" fontId="51" fillId="17" borderId="47" xfId="0" applyFont="1" applyFill="1" applyBorder="1" applyAlignment="1">
      <alignment vertical="center"/>
    </xf>
    <xf numFmtId="0" fontId="50" fillId="17" borderId="48" xfId="0" applyFont="1" applyFill="1" applyBorder="1" applyAlignment="1">
      <alignment horizontal="center" vertical="center"/>
    </xf>
    <xf numFmtId="0" fontId="52" fillId="17" borderId="48" xfId="0" applyFont="1" applyFill="1" applyBorder="1" applyAlignment="1">
      <alignment horizontal="center" vertical="center"/>
    </xf>
    <xf numFmtId="0" fontId="51" fillId="17" borderId="48" xfId="0" applyFont="1" applyFill="1" applyBorder="1" applyAlignment="1">
      <alignment horizontal="center" vertical="center"/>
    </xf>
    <xf numFmtId="0" fontId="53" fillId="17" borderId="48" xfId="0" applyFont="1" applyFill="1" applyBorder="1" applyAlignment="1">
      <alignment vertical="center"/>
    </xf>
    <xf numFmtId="0" fontId="42" fillId="17" borderId="48" xfId="0" applyFont="1" applyFill="1" applyBorder="1" applyAlignment="1">
      <alignment horizontal="center" vertical="center"/>
    </xf>
    <xf numFmtId="0" fontId="50" fillId="17" borderId="49" xfId="0" applyFont="1" applyFill="1" applyBorder="1" applyAlignment="1">
      <alignment horizontal="center" vertical="center"/>
    </xf>
    <xf numFmtId="0" fontId="45" fillId="26" borderId="50" xfId="0" applyFont="1" applyFill="1" applyBorder="1"/>
    <xf numFmtId="0" fontId="45" fillId="26" borderId="51" xfId="0" applyFont="1" applyFill="1" applyBorder="1"/>
    <xf numFmtId="0" fontId="45" fillId="26" borderId="52" xfId="0" applyFont="1" applyFill="1" applyBorder="1"/>
    <xf numFmtId="0" fontId="45" fillId="31" borderId="50" xfId="0" applyFont="1" applyFill="1" applyBorder="1" applyAlignment="1">
      <alignment horizontal="center" vertical="center"/>
    </xf>
    <xf numFmtId="0" fontId="45" fillId="31" borderId="51" xfId="0" applyFont="1" applyFill="1" applyBorder="1" applyAlignment="1">
      <alignment horizontal="left" vertical="center"/>
    </xf>
    <xf numFmtId="0" fontId="45" fillId="31" borderId="51" xfId="0" applyFont="1" applyFill="1" applyBorder="1" applyAlignment="1">
      <alignment horizontal="center" vertical="center"/>
    </xf>
    <xf numFmtId="0" fontId="45" fillId="31" borderId="52" xfId="0" applyFont="1" applyFill="1" applyBorder="1" applyAlignment="1">
      <alignment horizontal="center" vertical="center"/>
    </xf>
    <xf numFmtId="0" fontId="45" fillId="28" borderId="50" xfId="0" applyFont="1" applyFill="1" applyBorder="1" applyAlignment="1">
      <alignment horizontal="center" vertical="center"/>
    </xf>
    <xf numFmtId="0" fontId="45" fillId="28" borderId="51" xfId="0" applyFont="1" applyFill="1" applyBorder="1" applyAlignment="1">
      <alignment horizontal="left" vertical="center"/>
    </xf>
    <xf numFmtId="0" fontId="45" fillId="28" borderId="51" xfId="0" applyFont="1" applyFill="1" applyBorder="1" applyAlignment="1">
      <alignment horizontal="center" vertical="center"/>
    </xf>
    <xf numFmtId="0" fontId="16" fillId="7" borderId="56" xfId="0" applyFont="1" applyFill="1" applyBorder="1" applyAlignment="1">
      <alignment horizontal="center" vertical="center"/>
    </xf>
    <xf numFmtId="0" fontId="16" fillId="17" borderId="56" xfId="0" applyFont="1" applyFill="1" applyBorder="1" applyAlignment="1">
      <alignment horizontal="center" vertical="center"/>
    </xf>
    <xf numFmtId="0" fontId="16" fillId="17" borderId="57" xfId="0" applyFont="1" applyFill="1" applyBorder="1" applyAlignment="1">
      <alignment horizontal="center" vertical="center"/>
    </xf>
    <xf numFmtId="0" fontId="16" fillId="17" borderId="58" xfId="0" applyFont="1" applyFill="1" applyBorder="1" applyAlignment="1">
      <alignment horizontal="left" vertical="center"/>
    </xf>
    <xf numFmtId="0" fontId="17" fillId="17" borderId="58" xfId="0" applyFont="1" applyFill="1" applyBorder="1" applyAlignment="1">
      <alignment horizontal="center" vertical="center"/>
    </xf>
    <xf numFmtId="0" fontId="16" fillId="17" borderId="58" xfId="0" applyFont="1" applyFill="1" applyBorder="1" applyAlignment="1">
      <alignment horizontal="center" vertical="center"/>
    </xf>
    <xf numFmtId="0" fontId="20" fillId="17" borderId="58" xfId="0" applyFont="1" applyFill="1" applyBorder="1" applyAlignment="1">
      <alignment horizontal="center" vertical="center"/>
    </xf>
    <xf numFmtId="0" fontId="26" fillId="17" borderId="59" xfId="0" applyFont="1" applyFill="1" applyBorder="1" applyAlignment="1">
      <alignment horizontal="center" vertical="center"/>
    </xf>
    <xf numFmtId="0" fontId="16" fillId="7" borderId="52" xfId="0" applyFont="1" applyFill="1" applyBorder="1" applyAlignment="1">
      <alignment horizontal="center" vertical="center"/>
    </xf>
    <xf numFmtId="0" fontId="16" fillId="7" borderId="50" xfId="0" applyFont="1" applyFill="1" applyBorder="1" applyAlignment="1">
      <alignment horizontal="center" vertical="center"/>
    </xf>
    <xf numFmtId="0" fontId="16" fillId="7" borderId="51" xfId="0" applyFont="1" applyFill="1" applyBorder="1" applyAlignment="1">
      <alignment horizontal="left" vertical="center"/>
    </xf>
    <xf numFmtId="0" fontId="17" fillId="7" borderId="51" xfId="0" applyFont="1" applyFill="1" applyBorder="1" applyAlignment="1">
      <alignment horizontal="center" vertical="center"/>
    </xf>
    <xf numFmtId="0" fontId="16" fillId="7" borderId="51" xfId="0" applyFont="1" applyFill="1" applyBorder="1" applyAlignment="1">
      <alignment horizontal="center" vertical="center"/>
    </xf>
    <xf numFmtId="0" fontId="20" fillId="7" borderId="51" xfId="0" applyFont="1" applyFill="1" applyBorder="1" applyAlignment="1">
      <alignment horizontal="center" vertical="center"/>
    </xf>
    <xf numFmtId="0" fontId="26" fillId="7" borderId="51" xfId="0" applyFont="1" applyFill="1" applyBorder="1" applyAlignment="1">
      <alignment horizontal="center" vertical="center"/>
    </xf>
    <xf numFmtId="0" fontId="45" fillId="29" borderId="50" xfId="0" applyFont="1" applyFill="1" applyBorder="1" applyAlignment="1">
      <alignment horizontal="center" vertical="center"/>
    </xf>
    <xf numFmtId="0" fontId="45" fillId="29" borderId="51" xfId="0" applyFont="1" applyFill="1" applyBorder="1" applyAlignment="1">
      <alignment horizontal="left" vertical="center"/>
    </xf>
    <xf numFmtId="0" fontId="45" fillId="29" borderId="51" xfId="0" applyFont="1" applyFill="1" applyBorder="1" applyAlignment="1">
      <alignment horizontal="center" vertical="center"/>
    </xf>
    <xf numFmtId="0" fontId="45" fillId="29" borderId="52" xfId="0" applyFont="1" applyFill="1" applyBorder="1" applyAlignment="1">
      <alignment horizontal="center" vertical="center"/>
    </xf>
    <xf numFmtId="0" fontId="45" fillId="30" borderId="50" xfId="0" applyFont="1" applyFill="1" applyBorder="1" applyAlignment="1">
      <alignment horizontal="center" vertical="center"/>
    </xf>
    <xf numFmtId="0" fontId="45" fillId="30" borderId="51" xfId="0" applyFont="1" applyFill="1" applyBorder="1" applyAlignment="1">
      <alignment horizontal="left" vertical="center"/>
    </xf>
    <xf numFmtId="0" fontId="45" fillId="30" borderId="51" xfId="0" applyFont="1" applyFill="1" applyBorder="1" applyAlignment="1">
      <alignment horizontal="center" vertical="center"/>
    </xf>
    <xf numFmtId="0" fontId="45" fillId="30" borderId="52" xfId="0" applyFont="1" applyFill="1" applyBorder="1" applyAlignment="1">
      <alignment horizontal="center" vertical="center"/>
    </xf>
    <xf numFmtId="0" fontId="45" fillId="32" borderId="50" xfId="0" applyFont="1" applyFill="1" applyBorder="1" applyAlignment="1">
      <alignment horizontal="center" vertical="center"/>
    </xf>
    <xf numFmtId="0" fontId="45" fillId="32" borderId="51" xfId="0" applyFont="1" applyFill="1" applyBorder="1" applyAlignment="1">
      <alignment horizontal="left" vertical="center"/>
    </xf>
    <xf numFmtId="0" fontId="45" fillId="32" borderId="51" xfId="0" applyFont="1" applyFill="1" applyBorder="1" applyAlignment="1">
      <alignment horizontal="center" vertical="center"/>
    </xf>
    <xf numFmtId="0" fontId="45" fillId="32" borderId="52" xfId="0" applyFont="1" applyFill="1" applyBorder="1" applyAlignment="1">
      <alignment horizontal="center" vertical="center"/>
    </xf>
    <xf numFmtId="0" fontId="27" fillId="20" borderId="63" xfId="0" applyFont="1" applyFill="1" applyBorder="1" applyAlignment="1">
      <alignment horizontal="center" vertical="center"/>
    </xf>
    <xf numFmtId="0" fontId="28" fillId="7" borderId="64" xfId="0" applyFont="1" applyFill="1" applyBorder="1" applyAlignment="1">
      <alignment horizontal="center" vertical="center"/>
    </xf>
    <xf numFmtId="0" fontId="28" fillId="17" borderId="64" xfId="0" applyFont="1" applyFill="1" applyBorder="1" applyAlignment="1">
      <alignment horizontal="center" vertical="center"/>
    </xf>
    <xf numFmtId="0" fontId="28" fillId="7" borderId="65" xfId="0" applyFont="1" applyFill="1" applyBorder="1" applyAlignment="1">
      <alignment horizontal="center" vertical="center"/>
    </xf>
    <xf numFmtId="0" fontId="4" fillId="0" borderId="51" xfId="0" applyFont="1" applyBorder="1"/>
    <xf numFmtId="0" fontId="4" fillId="0" borderId="52" xfId="0" applyFont="1" applyBorder="1"/>
    <xf numFmtId="0" fontId="27" fillId="20" borderId="50" xfId="0" applyFont="1" applyFill="1" applyBorder="1" applyAlignment="1">
      <alignment horizontal="center" vertical="center"/>
    </xf>
    <xf numFmtId="0" fontId="27" fillId="20" borderId="51" xfId="0" applyFont="1" applyFill="1" applyBorder="1" applyAlignment="1">
      <alignment horizontal="left" vertical="center"/>
    </xf>
    <xf numFmtId="0" fontId="27" fillId="20" borderId="51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/>
    </xf>
    <xf numFmtId="0" fontId="28" fillId="7" borderId="54" xfId="0" applyFont="1" applyFill="1" applyBorder="1" applyAlignment="1">
      <alignment horizontal="left" vertical="center"/>
    </xf>
    <xf numFmtId="0" fontId="27" fillId="7" borderId="54" xfId="0" applyFont="1" applyFill="1" applyBorder="1" applyAlignment="1">
      <alignment horizontal="center" vertical="center"/>
    </xf>
    <xf numFmtId="0" fontId="28" fillId="7" borderId="54" xfId="0" applyFont="1" applyFill="1" applyBorder="1" applyAlignment="1">
      <alignment horizontal="center" vertical="center"/>
    </xf>
    <xf numFmtId="0" fontId="28" fillId="17" borderId="48" xfId="0" applyFont="1" applyFill="1" applyBorder="1" applyAlignment="1">
      <alignment horizontal="center" vertical="center"/>
    </xf>
    <xf numFmtId="0" fontId="28" fillId="17" borderId="44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left" vertical="center"/>
    </xf>
    <xf numFmtId="0" fontId="27" fillId="17" borderId="45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/>
    </xf>
    <xf numFmtId="0" fontId="28" fillId="7" borderId="47" xfId="0" applyFont="1" applyFill="1" applyBorder="1" applyAlignment="1">
      <alignment horizontal="center" vertical="center"/>
    </xf>
    <xf numFmtId="0" fontId="28" fillId="7" borderId="48" xfId="0" applyFont="1" applyFill="1" applyBorder="1" applyAlignment="1">
      <alignment horizontal="left" vertical="center"/>
    </xf>
    <xf numFmtId="0" fontId="27" fillId="7" borderId="48" xfId="0" applyFont="1" applyFill="1" applyBorder="1" applyAlignment="1">
      <alignment horizontal="center" vertical="center"/>
    </xf>
    <xf numFmtId="0" fontId="28" fillId="7" borderId="48" xfId="0" applyFont="1" applyFill="1" applyBorder="1" applyAlignment="1">
      <alignment horizontal="center" vertical="center"/>
    </xf>
    <xf numFmtId="0" fontId="28" fillId="7" borderId="44" xfId="0" applyFont="1" applyFill="1" applyBorder="1" applyAlignment="1">
      <alignment horizontal="center" vertical="center"/>
    </xf>
    <xf numFmtId="0" fontId="28" fillId="7" borderId="45" xfId="0" applyFont="1" applyFill="1" applyBorder="1" applyAlignment="1">
      <alignment horizontal="left" vertical="center"/>
    </xf>
    <xf numFmtId="0" fontId="27" fillId="7" borderId="45" xfId="0" applyFont="1" applyFill="1" applyBorder="1" applyAlignment="1">
      <alignment horizontal="center" vertical="center"/>
    </xf>
    <xf numFmtId="0" fontId="28" fillId="7" borderId="45" xfId="0" applyFont="1" applyFill="1" applyBorder="1" applyAlignment="1">
      <alignment horizontal="center" vertical="center"/>
    </xf>
    <xf numFmtId="0" fontId="0" fillId="0" borderId="51" xfId="0" applyBorder="1"/>
    <xf numFmtId="0" fontId="29" fillId="19" borderId="66" xfId="0" applyFont="1" applyFill="1" applyBorder="1" applyAlignment="1">
      <alignment horizontal="center" vertical="center"/>
    </xf>
    <xf numFmtId="0" fontId="29" fillId="19" borderId="50" xfId="0" applyFont="1" applyFill="1" applyBorder="1" applyAlignment="1">
      <alignment horizontal="center" vertical="center"/>
    </xf>
    <xf numFmtId="0" fontId="29" fillId="19" borderId="51" xfId="0" applyFont="1" applyFill="1" applyBorder="1" applyAlignment="1">
      <alignment horizontal="left" vertical="center"/>
    </xf>
    <xf numFmtId="0" fontId="29" fillId="19" borderId="51" xfId="0" applyFont="1" applyFill="1" applyBorder="1" applyAlignment="1">
      <alignment horizontal="center" vertical="center"/>
    </xf>
    <xf numFmtId="0" fontId="30" fillId="21" borderId="67" xfId="0" applyFont="1" applyFill="1" applyBorder="1" applyAlignment="1">
      <alignment horizontal="center" vertical="center"/>
    </xf>
    <xf numFmtId="0" fontId="30" fillId="21" borderId="50" xfId="0" applyFont="1" applyFill="1" applyBorder="1" applyAlignment="1">
      <alignment horizontal="center" vertical="center"/>
    </xf>
    <xf numFmtId="0" fontId="30" fillId="21" borderId="51" xfId="0" applyFont="1" applyFill="1" applyBorder="1" applyAlignment="1">
      <alignment horizontal="left" vertical="center"/>
    </xf>
    <xf numFmtId="0" fontId="30" fillId="21" borderId="51" xfId="0" applyFont="1" applyFill="1" applyBorder="1" applyAlignment="1">
      <alignment horizontal="center" vertical="center"/>
    </xf>
    <xf numFmtId="0" fontId="29" fillId="19" borderId="50" xfId="0" applyFont="1" applyFill="1" applyBorder="1" applyAlignment="1">
      <alignment horizontal="left" vertical="center"/>
    </xf>
    <xf numFmtId="0" fontId="29" fillId="19" borderId="52" xfId="0" applyFont="1" applyFill="1" applyBorder="1" applyAlignment="1">
      <alignment horizontal="center" vertical="center"/>
    </xf>
    <xf numFmtId="0" fontId="37" fillId="7" borderId="53" xfId="0" applyFont="1" applyFill="1" applyBorder="1" applyAlignment="1">
      <alignment horizontal="left" vertical="center"/>
    </xf>
    <xf numFmtId="0" fontId="38" fillId="7" borderId="54" xfId="0" applyFont="1" applyFill="1" applyBorder="1" applyAlignment="1">
      <alignment horizontal="center" vertical="center"/>
    </xf>
    <xf numFmtId="0" fontId="39" fillId="7" borderId="54" xfId="0" applyFont="1" applyFill="1" applyBorder="1" applyAlignment="1">
      <alignment horizontal="left" vertical="center"/>
    </xf>
    <xf numFmtId="0" fontId="40" fillId="7" borderId="54" xfId="0" applyFont="1" applyFill="1" applyBorder="1" applyAlignment="1">
      <alignment horizontal="left" vertical="center"/>
    </xf>
    <xf numFmtId="10" fontId="28" fillId="7" borderId="54" xfId="0" applyNumberFormat="1" applyFont="1" applyFill="1" applyBorder="1" applyAlignment="1">
      <alignment horizontal="center" vertical="center"/>
    </xf>
    <xf numFmtId="10" fontId="39" fillId="7" borderId="54" xfId="0" applyNumberFormat="1" applyFont="1" applyFill="1" applyBorder="1" applyAlignment="1">
      <alignment horizontal="center" vertical="center"/>
    </xf>
    <xf numFmtId="0" fontId="74" fillId="7" borderId="55" xfId="0" applyFont="1" applyFill="1" applyBorder="1" applyAlignment="1">
      <alignment horizontal="center" vertical="center"/>
    </xf>
    <xf numFmtId="0" fontId="37" fillId="17" borderId="47" xfId="0" applyFont="1" applyFill="1" applyBorder="1" applyAlignment="1">
      <alignment horizontal="left" vertical="center"/>
    </xf>
    <xf numFmtId="0" fontId="37" fillId="17" borderId="44" xfId="0" applyFont="1" applyFill="1" applyBorder="1" applyAlignment="1">
      <alignment horizontal="left" vertical="center"/>
    </xf>
    <xf numFmtId="0" fontId="38" fillId="17" borderId="45" xfId="0" applyFont="1" applyFill="1" applyBorder="1" applyAlignment="1">
      <alignment horizontal="center" vertical="center"/>
    </xf>
    <xf numFmtId="0" fontId="39" fillId="17" borderId="45" xfId="0" applyFont="1" applyFill="1" applyBorder="1" applyAlignment="1">
      <alignment horizontal="left" vertical="center"/>
    </xf>
    <xf numFmtId="0" fontId="40" fillId="17" borderId="45" xfId="0" applyFont="1" applyFill="1" applyBorder="1" applyAlignment="1">
      <alignment horizontal="left" vertical="center"/>
    </xf>
    <xf numFmtId="10" fontId="28" fillId="17" borderId="45" xfId="0" applyNumberFormat="1" applyFont="1" applyFill="1" applyBorder="1" applyAlignment="1">
      <alignment horizontal="center" vertical="center"/>
    </xf>
    <xf numFmtId="10" fontId="39" fillId="17" borderId="45" xfId="0" applyNumberFormat="1" applyFont="1" applyFill="1" applyBorder="1" applyAlignment="1">
      <alignment horizontal="center" vertical="center"/>
    </xf>
    <xf numFmtId="0" fontId="74" fillId="17" borderId="46" xfId="0" applyFont="1" applyFill="1" applyBorder="1" applyAlignment="1">
      <alignment horizontal="center" vertical="center"/>
    </xf>
    <xf numFmtId="0" fontId="37" fillId="7" borderId="44" xfId="0" applyFont="1" applyFill="1" applyBorder="1" applyAlignment="1">
      <alignment horizontal="left" vertical="center"/>
    </xf>
    <xf numFmtId="0" fontId="38" fillId="7" borderId="45" xfId="0" applyFont="1" applyFill="1" applyBorder="1" applyAlignment="1">
      <alignment horizontal="center" vertical="center"/>
    </xf>
    <xf numFmtId="0" fontId="39" fillId="7" borderId="45" xfId="0" applyFont="1" applyFill="1" applyBorder="1" applyAlignment="1">
      <alignment horizontal="left" vertical="center"/>
    </xf>
    <xf numFmtId="0" fontId="40" fillId="7" borderId="45" xfId="0" applyFont="1" applyFill="1" applyBorder="1" applyAlignment="1">
      <alignment horizontal="left" vertical="center"/>
    </xf>
    <xf numFmtId="10" fontId="28" fillId="7" borderId="45" xfId="0" applyNumberFormat="1" applyFont="1" applyFill="1" applyBorder="1" applyAlignment="1">
      <alignment horizontal="center" vertical="center"/>
    </xf>
    <xf numFmtId="10" fontId="39" fillId="7" borderId="45" xfId="0" applyNumberFormat="1" applyFont="1" applyFill="1" applyBorder="1" applyAlignment="1">
      <alignment horizontal="center" vertical="center"/>
    </xf>
    <xf numFmtId="0" fontId="74" fillId="7" borderId="46" xfId="0" applyFont="1" applyFill="1" applyBorder="1" applyAlignment="1">
      <alignment horizontal="center" vertical="center"/>
    </xf>
    <xf numFmtId="0" fontId="39" fillId="17" borderId="49" xfId="0" applyFont="1" applyFill="1" applyBorder="1" applyAlignment="1">
      <alignment horizontal="center" vertical="center"/>
    </xf>
    <xf numFmtId="0" fontId="41" fillId="17" borderId="45" xfId="0" applyFont="1" applyFill="1" applyBorder="1" applyAlignment="1">
      <alignment horizontal="center" vertical="center"/>
    </xf>
    <xf numFmtId="0" fontId="42" fillId="17" borderId="45" xfId="0" applyFont="1" applyFill="1" applyBorder="1" applyAlignment="1">
      <alignment horizontal="left" vertical="center"/>
    </xf>
    <xf numFmtId="10" fontId="42" fillId="17" borderId="45" xfId="0" applyNumberFormat="1" applyFont="1" applyFill="1" applyBorder="1" applyAlignment="1">
      <alignment horizontal="center" vertical="center"/>
    </xf>
    <xf numFmtId="0" fontId="39" fillId="17" borderId="46" xfId="0" applyFont="1" applyFill="1" applyBorder="1" applyAlignment="1">
      <alignment horizontal="center" vertical="center"/>
    </xf>
    <xf numFmtId="0" fontId="29" fillId="7" borderId="45" xfId="0" applyFont="1" applyFill="1" applyBorder="1" applyAlignment="1">
      <alignment horizontal="center" vertical="center"/>
    </xf>
    <xf numFmtId="0" fontId="32" fillId="7" borderId="45" xfId="0" applyFont="1" applyFill="1" applyBorder="1" applyAlignment="1">
      <alignment horizontal="left" vertical="center"/>
    </xf>
    <xf numFmtId="10" fontId="42" fillId="7" borderId="45" xfId="0" applyNumberFormat="1" applyFont="1" applyFill="1" applyBorder="1" applyAlignment="1">
      <alignment horizontal="center" vertical="center"/>
    </xf>
    <xf numFmtId="0" fontId="39" fillId="7" borderId="46" xfId="0" applyFont="1" applyFill="1" applyBorder="1" applyAlignment="1">
      <alignment horizontal="center" vertical="center"/>
    </xf>
    <xf numFmtId="0" fontId="29" fillId="17" borderId="45" xfId="0" applyFont="1" applyFill="1" applyBorder="1" applyAlignment="1">
      <alignment horizontal="center" vertical="center"/>
    </xf>
    <xf numFmtId="0" fontId="32" fillId="17" borderId="45" xfId="0" applyFont="1" applyFill="1" applyBorder="1" applyAlignment="1">
      <alignment horizontal="left" vertical="center"/>
    </xf>
    <xf numFmtId="0" fontId="39" fillId="7" borderId="45" xfId="0" applyFont="1" applyFill="1" applyBorder="1" applyAlignment="1">
      <alignment horizontal="center" vertical="center"/>
    </xf>
    <xf numFmtId="0" fontId="37" fillId="17" borderId="68" xfId="0" applyFont="1" applyFill="1" applyBorder="1" applyAlignment="1">
      <alignment horizontal="left" vertical="center"/>
    </xf>
    <xf numFmtId="0" fontId="28" fillId="17" borderId="69" xfId="0" applyFont="1" applyFill="1" applyBorder="1" applyAlignment="1">
      <alignment horizontal="center" vertical="center"/>
    </xf>
    <xf numFmtId="0" fontId="29" fillId="17" borderId="69" xfId="0" applyFont="1" applyFill="1" applyBorder="1" applyAlignment="1">
      <alignment horizontal="center" vertical="center"/>
    </xf>
    <xf numFmtId="0" fontId="32" fillId="17" borderId="69" xfId="0" applyFont="1" applyFill="1" applyBorder="1" applyAlignment="1">
      <alignment horizontal="left" vertical="center"/>
    </xf>
    <xf numFmtId="0" fontId="40" fillId="17" borderId="69" xfId="0" applyFont="1" applyFill="1" applyBorder="1" applyAlignment="1">
      <alignment horizontal="left" vertical="center"/>
    </xf>
    <xf numFmtId="10" fontId="28" fillId="17" borderId="69" xfId="0" applyNumberFormat="1" applyFont="1" applyFill="1" applyBorder="1" applyAlignment="1">
      <alignment horizontal="center" vertical="center"/>
    </xf>
    <xf numFmtId="10" fontId="42" fillId="17" borderId="69" xfId="0" applyNumberFormat="1" applyFont="1" applyFill="1" applyBorder="1" applyAlignment="1">
      <alignment horizontal="center" vertical="center"/>
    </xf>
    <xf numFmtId="0" fontId="39" fillId="17" borderId="70" xfId="0" applyFont="1" applyFill="1" applyBorder="1" applyAlignment="1">
      <alignment horizontal="center" vertical="center"/>
    </xf>
    <xf numFmtId="0" fontId="38" fillId="17" borderId="46" xfId="0" applyFont="1" applyFill="1" applyBorder="1" applyAlignment="1">
      <alignment horizontal="center" vertical="center"/>
    </xf>
    <xf numFmtId="0" fontId="38" fillId="7" borderId="46" xfId="0" applyFont="1" applyFill="1" applyBorder="1" applyAlignment="1">
      <alignment horizontal="center" vertical="center"/>
    </xf>
    <xf numFmtId="0" fontId="71" fillId="7" borderId="45" xfId="0" applyFont="1" applyFill="1" applyBorder="1" applyAlignment="1">
      <alignment horizontal="center" vertical="center"/>
    </xf>
    <xf numFmtId="0" fontId="69" fillId="7" borderId="45" xfId="0" applyFont="1" applyFill="1" applyBorder="1" applyAlignment="1">
      <alignment horizontal="left" vertical="center"/>
    </xf>
    <xf numFmtId="0" fontId="71" fillId="17" borderId="48" xfId="0" applyFont="1" applyFill="1" applyBorder="1" applyAlignment="1">
      <alignment horizontal="center" vertical="center"/>
    </xf>
    <xf numFmtId="0" fontId="69" fillId="17" borderId="48" xfId="0" applyFont="1" applyFill="1" applyBorder="1" applyAlignment="1">
      <alignment horizontal="left" vertical="center"/>
    </xf>
    <xf numFmtId="0" fontId="0" fillId="7" borderId="54" xfId="0" applyFill="1" applyBorder="1"/>
    <xf numFmtId="0" fontId="0" fillId="17" borderId="45" xfId="0" applyFill="1" applyBorder="1"/>
    <xf numFmtId="0" fontId="0" fillId="7" borderId="45" xfId="0" applyFill="1" applyBorder="1"/>
    <xf numFmtId="0" fontId="0" fillId="7" borderId="48" xfId="0" applyFill="1" applyBorder="1"/>
    <xf numFmtId="0" fontId="4" fillId="7" borderId="54" xfId="0" applyFont="1" applyFill="1" applyBorder="1"/>
    <xf numFmtId="0" fontId="4" fillId="7" borderId="55" xfId="0" applyFont="1" applyFill="1" applyBorder="1"/>
    <xf numFmtId="0" fontId="4" fillId="17" borderId="45" xfId="0" applyFont="1" applyFill="1" applyBorder="1"/>
    <xf numFmtId="0" fontId="4" fillId="17" borderId="46" xfId="0" applyFont="1" applyFill="1" applyBorder="1"/>
    <xf numFmtId="0" fontId="4" fillId="7" borderId="45" xfId="0" applyFont="1" applyFill="1" applyBorder="1"/>
    <xf numFmtId="0" fontId="4" fillId="7" borderId="46" xfId="0" applyFont="1" applyFill="1" applyBorder="1"/>
    <xf numFmtId="0" fontId="4" fillId="7" borderId="48" xfId="0" applyFont="1" applyFill="1" applyBorder="1"/>
    <xf numFmtId="0" fontId="4" fillId="7" borderId="49" xfId="0" applyFont="1" applyFill="1" applyBorder="1"/>
    <xf numFmtId="0" fontId="72" fillId="7" borderId="47" xfId="0" applyFont="1" applyFill="1" applyBorder="1" applyAlignment="1">
      <alignment horizontal="left" vertical="center"/>
    </xf>
    <xf numFmtId="0" fontId="72" fillId="7" borderId="48" xfId="0" applyFont="1" applyFill="1" applyBorder="1" applyAlignment="1">
      <alignment horizontal="center" vertical="center"/>
    </xf>
    <xf numFmtId="0" fontId="72" fillId="7" borderId="49" xfId="0" applyFont="1" applyFill="1" applyBorder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0" borderId="37" xfId="0" applyBorder="1"/>
    <xf numFmtId="0" fontId="28" fillId="0" borderId="37" xfId="0" applyFont="1" applyBorder="1" applyAlignment="1">
      <alignment horizontal="center" vertical="center"/>
    </xf>
    <xf numFmtId="0" fontId="28" fillId="0" borderId="71" xfId="0" applyFont="1" applyBorder="1" applyAlignment="1">
      <alignment horizontal="center" vertical="center"/>
    </xf>
    <xf numFmtId="0" fontId="29" fillId="0" borderId="71" xfId="0" applyFont="1" applyBorder="1" applyAlignment="1">
      <alignment horizontal="center" vertical="center"/>
    </xf>
    <xf numFmtId="0" fontId="29" fillId="19" borderId="37" xfId="0" applyFont="1" applyFill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0" fontId="54" fillId="27" borderId="0" xfId="0" applyFont="1" applyFill="1" applyAlignment="1">
      <alignment horizontal="left" vertical="center" indent="1"/>
    </xf>
    <xf numFmtId="0" fontId="0" fillId="0" borderId="0" xfId="0"/>
    <xf numFmtId="0" fontId="5" fillId="25" borderId="0" xfId="0" applyFont="1" applyFill="1" applyAlignment="1">
      <alignment horizontal="left" vertical="center" indent="1"/>
    </xf>
    <xf numFmtId="0" fontId="60" fillId="25" borderId="0" xfId="0" applyFont="1" applyFill="1" applyAlignment="1">
      <alignment horizontal="left" vertical="center" indent="1"/>
    </xf>
    <xf numFmtId="0" fontId="54" fillId="28" borderId="0" xfId="0" applyFont="1" applyFill="1" applyAlignment="1">
      <alignment horizontal="left" vertical="center" indent="1"/>
    </xf>
    <xf numFmtId="0" fontId="54" fillId="29" borderId="0" xfId="0" applyFont="1" applyFill="1" applyAlignment="1">
      <alignment horizontal="left" vertical="center" indent="1"/>
    </xf>
    <xf numFmtId="0" fontId="54" fillId="30" borderId="0" xfId="0" applyFont="1" applyFill="1" applyAlignment="1">
      <alignment horizontal="left" vertical="center" indent="1"/>
    </xf>
    <xf numFmtId="0" fontId="54" fillId="31" borderId="0" xfId="0" applyFont="1" applyFill="1" applyAlignment="1">
      <alignment horizontal="left" vertical="center" indent="1"/>
    </xf>
    <xf numFmtId="0" fontId="54" fillId="32" borderId="0" xfId="0" applyFont="1" applyFill="1" applyAlignment="1">
      <alignment horizontal="left" vertical="center" indent="1"/>
    </xf>
    <xf numFmtId="0" fontId="0" fillId="0" borderId="0" xfId="0" applyFill="1" applyBorder="1"/>
    <xf numFmtId="0" fontId="16" fillId="0" borderId="0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left" vertical="center"/>
    </xf>
    <xf numFmtId="0" fontId="16" fillId="0" borderId="0" xfId="0" applyFont="1" applyFill="1" applyAlignment="1">
      <alignment horizontal="center"/>
    </xf>
    <xf numFmtId="0" fontId="18" fillId="0" borderId="0" xfId="0" applyFont="1" applyFill="1" applyAlignment="1">
      <alignment horizontal="left" vertical="center"/>
    </xf>
    <xf numFmtId="0" fontId="0" fillId="0" borderId="73" xfId="0" applyFill="1" applyBorder="1"/>
    <xf numFmtId="0" fontId="0" fillId="7" borderId="0" xfId="0" applyFill="1" applyBorder="1"/>
    <xf numFmtId="0" fontId="0" fillId="0" borderId="0" xfId="0" applyBorder="1"/>
    <xf numFmtId="0" fontId="0" fillId="17" borderId="0" xfId="0" applyFill="1" applyBorder="1"/>
    <xf numFmtId="0" fontId="78" fillId="7" borderId="0" xfId="0" applyFont="1" applyFill="1" applyBorder="1"/>
    <xf numFmtId="0" fontId="45" fillId="28" borderId="74" xfId="0" applyFont="1" applyFill="1" applyBorder="1" applyAlignment="1">
      <alignment horizontal="center" vertical="center"/>
    </xf>
    <xf numFmtId="0" fontId="0" fillId="7" borderId="0" xfId="0" applyFill="1" applyBorder="1" applyAlignment="1">
      <alignment horizontal="right"/>
    </xf>
    <xf numFmtId="0" fontId="0" fillId="17" borderId="0" xfId="0" applyFill="1" applyBorder="1" applyAlignment="1">
      <alignment horizontal="right"/>
    </xf>
    <xf numFmtId="0" fontId="0" fillId="0" borderId="0" xfId="0" applyBorder="1" applyAlignment="1">
      <alignment horizontal="right"/>
    </xf>
    <xf numFmtId="0" fontId="79" fillId="24" borderId="0" xfId="0" applyFont="1" applyFill="1" applyAlignment="1">
      <alignment vertical="center"/>
    </xf>
    <xf numFmtId="0" fontId="0" fillId="7" borderId="0" xfId="0" applyFill="1" applyBorder="1" applyAlignment="1">
      <alignment horizontal="center"/>
    </xf>
    <xf numFmtId="0" fontId="0" fillId="17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45" fillId="26" borderId="52" xfId="0" applyFont="1" applyFill="1" applyBorder="1" applyAlignment="1">
      <alignment horizontal="center"/>
    </xf>
    <xf numFmtId="0" fontId="45" fillId="23" borderId="56" xfId="0" applyFont="1" applyFill="1" applyBorder="1" applyAlignment="1">
      <alignment horizontal="center" vertical="center"/>
    </xf>
    <xf numFmtId="0" fontId="16" fillId="7" borderId="60" xfId="0" applyFont="1" applyFill="1" applyBorder="1" applyAlignment="1">
      <alignment horizontal="center" vertical="center"/>
    </xf>
    <xf numFmtId="0" fontId="16" fillId="7" borderId="61" xfId="0" applyFont="1" applyFill="1" applyBorder="1" applyAlignment="1">
      <alignment horizontal="left" vertical="center"/>
    </xf>
    <xf numFmtId="0" fontId="17" fillId="7" borderId="61" xfId="0" applyFont="1" applyFill="1" applyBorder="1" applyAlignment="1">
      <alignment horizontal="center" vertical="center"/>
    </xf>
    <xf numFmtId="0" fontId="16" fillId="7" borderId="61" xfId="0" applyFont="1" applyFill="1" applyBorder="1" applyAlignment="1">
      <alignment horizontal="center" vertical="center"/>
    </xf>
    <xf numFmtId="0" fontId="16" fillId="7" borderId="62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left" vertical="center"/>
    </xf>
    <xf numFmtId="0" fontId="17" fillId="7" borderId="0" xfId="0" applyFont="1" applyFill="1" applyBorder="1" applyAlignment="1">
      <alignment horizontal="center" vertical="center"/>
    </xf>
    <xf numFmtId="0" fontId="20" fillId="7" borderId="0" xfId="0" applyFont="1" applyFill="1" applyBorder="1" applyAlignment="1">
      <alignment horizontal="center" vertical="center"/>
    </xf>
    <xf numFmtId="0" fontId="26" fillId="7" borderId="0" xfId="0" applyFont="1" applyFill="1" applyBorder="1" applyAlignment="1">
      <alignment horizontal="center" vertical="center"/>
    </xf>
    <xf numFmtId="0" fontId="16" fillId="17" borderId="0" xfId="0" applyFont="1" applyFill="1" applyBorder="1" applyAlignment="1">
      <alignment horizontal="center" vertical="center"/>
    </xf>
    <xf numFmtId="0" fontId="16" fillId="17" borderId="0" xfId="0" applyFont="1" applyFill="1" applyBorder="1" applyAlignment="1">
      <alignment horizontal="left" vertical="center"/>
    </xf>
    <xf numFmtId="0" fontId="17" fillId="17" borderId="0" xfId="0" applyFont="1" applyFill="1" applyBorder="1" applyAlignment="1">
      <alignment horizontal="center" vertical="center"/>
    </xf>
    <xf numFmtId="0" fontId="20" fillId="17" borderId="0" xfId="0" applyFont="1" applyFill="1" applyBorder="1" applyAlignment="1">
      <alignment horizontal="center" vertical="center"/>
    </xf>
    <xf numFmtId="0" fontId="26" fillId="17" borderId="0" xfId="0" applyFont="1" applyFill="1" applyBorder="1" applyAlignment="1">
      <alignment horizontal="center" vertical="center"/>
    </xf>
    <xf numFmtId="0" fontId="21" fillId="17" borderId="0" xfId="0" applyFont="1" applyFill="1" applyBorder="1" applyAlignment="1">
      <alignment horizontal="center" vertical="center"/>
    </xf>
    <xf numFmtId="0" fontId="21" fillId="7" borderId="0" xfId="0" applyFont="1" applyFill="1" applyBorder="1" applyAlignment="1">
      <alignment horizontal="center" vertical="center"/>
    </xf>
    <xf numFmtId="0" fontId="45" fillId="23" borderId="0" xfId="0" applyFont="1" applyFill="1" applyBorder="1" applyAlignment="1">
      <alignment horizontal="center" vertical="center"/>
    </xf>
    <xf numFmtId="0" fontId="45" fillId="23" borderId="0" xfId="0" applyFont="1" applyFill="1" applyBorder="1" applyAlignment="1">
      <alignment horizontal="left" vertical="center"/>
    </xf>
    <xf numFmtId="0" fontId="46" fillId="23" borderId="0" xfId="0" applyFont="1" applyFill="1" applyBorder="1" applyAlignment="1">
      <alignment horizontal="center" vertical="center"/>
    </xf>
    <xf numFmtId="0" fontId="21" fillId="23" borderId="0" xfId="0" applyFont="1" applyFill="1" applyBorder="1" applyAlignment="1">
      <alignment horizontal="center" vertical="center"/>
    </xf>
    <xf numFmtId="0" fontId="25" fillId="7" borderId="0" xfId="0" applyFont="1" applyFill="1" applyBorder="1" applyAlignment="1">
      <alignment horizontal="center" vertical="center"/>
    </xf>
    <xf numFmtId="0" fontId="25" fillId="17" borderId="0" xfId="0" applyFont="1" applyFill="1" applyBorder="1" applyAlignment="1">
      <alignment horizontal="center" vertical="center"/>
    </xf>
  </cellXfs>
  <cellStyles count="1">
    <cellStyle name="Normal" xfId="0" builtinId="0"/>
  </cellStyles>
  <dxfs count="1306"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12355B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D1D9E6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7F8FA"/>
        </patternFill>
      </fill>
      <border>
        <left style="thin">
          <color rgb="FF12355B"/>
        </left>
        <right style="thin">
          <color rgb="FFD1D9E6"/>
        </right>
        <top style="thin">
          <color rgb="FFD1D9E6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border>
        <left style="thin">
          <color rgb="FF12355B"/>
        </left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12355B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D1D9E6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 style="thin">
          <color rgb="FF12355B"/>
        </left>
        <right style="thin">
          <color rgb="FFD1D9E6"/>
        </right>
        <top style="thin">
          <color rgb="FF1B4F8A"/>
        </top>
        <bottom style="thin">
          <color rgb="FFD1D9E6"/>
        </bottom>
      </border>
    </dxf>
    <dxf>
      <fill>
        <patternFill patternType="solid">
          <fgColor indexed="64"/>
          <bgColor rgb="FFFFFFFF"/>
        </patternFill>
      </fill>
      <border>
        <left/>
      </border>
    </dxf>
    <dxf>
      <fill>
        <patternFill patternType="solid">
          <fgColor indexed="64"/>
          <bgColor rgb="FFFFFFFF"/>
        </patternFill>
      </fill>
      <border>
        <left/>
        <right/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Sociétés — Score Global FinSight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 Global /100</c:v>
          </c:tx>
          <c:spPr>
            <a:solidFill>
              <a:srgbClr val="1E3A5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VALUE!$O$2:$O$16</c:f>
              <c:strCache>
                <c:ptCount val="15"/>
                <c:pt idx="0">
                  <c:v>Schroders plc</c:v>
                </c:pt>
                <c:pt idx="1">
                  <c:v>Prudential plc</c:v>
                </c:pt>
                <c:pt idx="2">
                  <c:v>JD Sports Fashion Pl</c:v>
                </c:pt>
                <c:pt idx="3">
                  <c:v>Pearson plc</c:v>
                </c:pt>
                <c:pt idx="4">
                  <c:v>Compass Group PLC</c:v>
                </c:pt>
                <c:pt idx="5">
                  <c:v>B&amp;M European Value R</c:v>
                </c:pt>
                <c:pt idx="6">
                  <c:v>Spirax Group plc</c:v>
                </c:pt>
                <c:pt idx="7">
                  <c:v>InterContinental Hot</c:v>
                </c:pt>
                <c:pt idx="8">
                  <c:v>Hikma Pharmaceutical</c:v>
                </c:pt>
                <c:pt idx="9">
                  <c:v>Sunbelt Rentals Hold</c:v>
                </c:pt>
                <c:pt idx="10">
                  <c:v>Bunzl plc</c:v>
                </c:pt>
                <c:pt idx="11">
                  <c:v>British American Tob</c:v>
                </c:pt>
                <c:pt idx="12">
                  <c:v>Rio Tinto Group</c:v>
                </c:pt>
                <c:pt idx="13">
                  <c:v>Coca-Cola HBC AG</c:v>
                </c:pt>
                <c:pt idx="14">
                  <c:v>Smith &amp; Nephew plc</c:v>
                </c:pt>
              </c:strCache>
            </c:strRef>
          </c:cat>
          <c:val>
            <c:numRef>
              <c:f>VALUE!$P$2:$P$16</c:f>
              <c:numCache>
                <c:formatCode>General</c:formatCode>
                <c:ptCount val="15"/>
                <c:pt idx="0">
                  <c:v>79</c:v>
                </c:pt>
                <c:pt idx="1">
                  <c:v>73</c:v>
                </c:pt>
                <c:pt idx="2">
                  <c:v>71</c:v>
                </c:pt>
                <c:pt idx="3">
                  <c:v>70</c:v>
                </c:pt>
                <c:pt idx="4">
                  <c:v>70</c:v>
                </c:pt>
                <c:pt idx="5">
                  <c:v>68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66</c:v>
                </c:pt>
                <c:pt idx="10">
                  <c:v>65</c:v>
                </c:pt>
                <c:pt idx="11">
                  <c:v>63</c:v>
                </c:pt>
                <c:pt idx="12">
                  <c:v>63</c:v>
                </c:pt>
                <c:pt idx="13">
                  <c:v>62</c:v>
                </c:pt>
                <c:pt idx="14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7B-4C00-9878-D88F202DD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1261023"/>
        <c:axId val="361262463"/>
      </c:barChart>
      <c:catAx>
        <c:axId val="36126102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62463"/>
        <c:crosses val="autoZero"/>
        <c:auto val="1"/>
        <c:lblAlgn val="ctr"/>
        <c:lblOffset val="100"/>
        <c:noMultiLvlLbl val="0"/>
      </c:catAx>
      <c:valAx>
        <c:axId val="361262463"/>
        <c:scaling>
          <c:orientation val="minMax"/>
          <c:max val="1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6102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Sociétés — Score Croissance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GROWTH!$P$1</c:f>
              <c:strCache>
                <c:ptCount val="1"/>
                <c:pt idx="0">
                  <c:v>Score Gr</c:v>
                </c:pt>
              </c:strCache>
            </c:strRef>
          </c:tx>
          <c:spPr>
            <a:solidFill>
              <a:srgbClr val="2D8A6E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GROWTH!$O$2:$O$11</c:f>
              <c:strCache>
                <c:ptCount val="10"/>
                <c:pt idx="0">
                  <c:v>Endeavour Mining p</c:v>
                </c:pt>
                <c:pt idx="1">
                  <c:v>3i Group Ord</c:v>
                </c:pt>
                <c:pt idx="2">
                  <c:v>Rolls-Royce Holdin</c:v>
                </c:pt>
                <c:pt idx="3">
                  <c:v>United Utilities G</c:v>
                </c:pt>
                <c:pt idx="4">
                  <c:v>Rightmove plc</c:v>
                </c:pt>
                <c:pt idx="5">
                  <c:v>AstraZeneca PLC</c:v>
                </c:pt>
                <c:pt idx="6">
                  <c:v>Autotrader Group p</c:v>
                </c:pt>
                <c:pt idx="7">
                  <c:v>NEXT plc</c:v>
                </c:pt>
                <c:pt idx="8">
                  <c:v>ICG plc</c:v>
                </c:pt>
                <c:pt idx="9">
                  <c:v>Diploma PLC</c:v>
                </c:pt>
              </c:strCache>
            </c:strRef>
          </c:cat>
          <c:val>
            <c:numRef>
              <c:f>GROWTH!$P$2:$P$11</c:f>
              <c:numCache>
                <c:formatCode>General</c:formatCode>
                <c:ptCount val="10"/>
                <c:pt idx="0">
                  <c:v>91</c:v>
                </c:pt>
                <c:pt idx="1">
                  <c:v>88</c:v>
                </c:pt>
                <c:pt idx="2">
                  <c:v>79</c:v>
                </c:pt>
                <c:pt idx="3">
                  <c:v>78</c:v>
                </c:pt>
                <c:pt idx="4">
                  <c:v>78</c:v>
                </c:pt>
                <c:pt idx="5">
                  <c:v>73</c:v>
                </c:pt>
                <c:pt idx="6">
                  <c:v>73</c:v>
                </c:pt>
                <c:pt idx="7">
                  <c:v>72</c:v>
                </c:pt>
                <c:pt idx="8">
                  <c:v>70</c:v>
                </c:pt>
                <c:pt idx="9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FB-456C-B460-46B7EA210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1265823"/>
        <c:axId val="361266303"/>
      </c:barChart>
      <c:catAx>
        <c:axId val="36126582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66303"/>
        <c:crosses val="autoZero"/>
        <c:auto val="1"/>
        <c:lblAlgn val="ctr"/>
        <c:lblOffset val="100"/>
        <c:noMultiLvlLbl val="0"/>
      </c:catAx>
      <c:valAx>
        <c:axId val="361266303"/>
        <c:scaling>
          <c:orientation val="minMax"/>
          <c:max val="1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6582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Sociétés — Score Qualité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QUALITY!$P$1</c:f>
              <c:strCache>
                <c:ptCount val="1"/>
                <c:pt idx="0">
                  <c:v>Score Qual</c:v>
                </c:pt>
              </c:strCache>
            </c:strRef>
          </c:tx>
          <c:spPr>
            <a:solidFill>
              <a:srgbClr val="8E7BB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QUALITY!$O$2:$O$11</c:f>
              <c:strCache>
                <c:ptCount val="10"/>
                <c:pt idx="0">
                  <c:v>Rightmove plc</c:v>
                </c:pt>
                <c:pt idx="1">
                  <c:v>Autotrader Grou</c:v>
                </c:pt>
                <c:pt idx="2">
                  <c:v>Fresnillo plc</c:v>
                </c:pt>
                <c:pt idx="3">
                  <c:v>The Berkeley Gr</c:v>
                </c:pt>
                <c:pt idx="4">
                  <c:v>Antofagasta plc</c:v>
                </c:pt>
                <c:pt idx="5">
                  <c:v>Taylor Wimpey p</c:v>
                </c:pt>
                <c:pt idx="6">
                  <c:v>Endeavour Minin</c:v>
                </c:pt>
                <c:pt idx="7">
                  <c:v>Persimmon Plc</c:v>
                </c:pt>
                <c:pt idx="8">
                  <c:v>Halma plc</c:v>
                </c:pt>
                <c:pt idx="9">
                  <c:v>NEXT plc</c:v>
                </c:pt>
              </c:strCache>
            </c:strRef>
          </c:cat>
          <c:val>
            <c:numRef>
              <c:f>QUALITY!$P$2:$P$11</c:f>
              <c:numCache>
                <c:formatCode>General</c:formatCode>
                <c:ptCount val="10"/>
                <c:pt idx="0">
                  <c:v>93</c:v>
                </c:pt>
                <c:pt idx="1">
                  <c:v>88</c:v>
                </c:pt>
                <c:pt idx="2">
                  <c:v>83</c:v>
                </c:pt>
                <c:pt idx="3">
                  <c:v>83</c:v>
                </c:pt>
                <c:pt idx="4">
                  <c:v>76</c:v>
                </c:pt>
                <c:pt idx="5">
                  <c:v>76</c:v>
                </c:pt>
                <c:pt idx="6">
                  <c:v>74</c:v>
                </c:pt>
                <c:pt idx="7">
                  <c:v>74</c:v>
                </c:pt>
                <c:pt idx="8">
                  <c:v>73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ED-4744-8844-4A0521AFD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1298192"/>
        <c:axId val="651296752"/>
      </c:barChart>
      <c:catAx>
        <c:axId val="6512981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296752"/>
        <c:crosses val="autoZero"/>
        <c:auto val="1"/>
        <c:lblAlgn val="ctr"/>
        <c:lblOffset val="100"/>
        <c:noMultiLvlLbl val="0"/>
      </c:catAx>
      <c:valAx>
        <c:axId val="651296752"/>
        <c:scaling>
          <c:orientation val="minMax"/>
          <c:max val="1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298192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Sociétés — Score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MOMENTUM!$P$1</c:f>
              <c:strCache>
                <c:ptCount val="1"/>
                <c:pt idx="0">
                  <c:v>Score Mom</c:v>
                </c:pt>
              </c:strCache>
            </c:strRef>
          </c:tx>
          <c:spPr>
            <a:solidFill>
              <a:srgbClr val="C8A95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MOMENTUM!$O$2:$O$11</c:f>
              <c:strCache>
                <c:ptCount val="10"/>
                <c:pt idx="0">
                  <c:v>Fresnillo plc</c:v>
                </c:pt>
                <c:pt idx="1">
                  <c:v>Antofagasta plc</c:v>
                </c:pt>
                <c:pt idx="2">
                  <c:v>Endeavour Mining p</c:v>
                </c:pt>
                <c:pt idx="3">
                  <c:v>Glencore plc</c:v>
                </c:pt>
                <c:pt idx="4">
                  <c:v>Anglo American plc</c:v>
                </c:pt>
                <c:pt idx="5">
                  <c:v>Rio Tinto Group</c:v>
                </c:pt>
                <c:pt idx="6">
                  <c:v>Schroders plc</c:v>
                </c:pt>
                <c:pt idx="7">
                  <c:v>Standard Chartered</c:v>
                </c:pt>
                <c:pt idx="8">
                  <c:v>HSBC Holdings plc</c:v>
                </c:pt>
                <c:pt idx="9">
                  <c:v>Halma plc</c:v>
                </c:pt>
              </c:strCache>
            </c:strRef>
          </c:cat>
          <c:val>
            <c:numRef>
              <c:f>MOMENTUM!$P$2:$P$11</c:f>
              <c:numCache>
                <c:formatCode>General</c:formatCode>
                <c:ptCount val="10"/>
                <c:pt idx="0">
                  <c:v>100</c:v>
                </c:pt>
                <c:pt idx="1">
                  <c:v>99</c:v>
                </c:pt>
                <c:pt idx="2">
                  <c:v>98</c:v>
                </c:pt>
                <c:pt idx="3">
                  <c:v>97</c:v>
                </c:pt>
                <c:pt idx="4">
                  <c:v>96</c:v>
                </c:pt>
                <c:pt idx="5">
                  <c:v>95</c:v>
                </c:pt>
                <c:pt idx="6">
                  <c:v>93</c:v>
                </c:pt>
                <c:pt idx="7">
                  <c:v>92</c:v>
                </c:pt>
                <c:pt idx="8">
                  <c:v>91</c:v>
                </c:pt>
                <c:pt idx="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2A-4C4C-841B-385FA2249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1271583"/>
        <c:axId val="361270143"/>
      </c:barChart>
      <c:catAx>
        <c:axId val="36127158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70143"/>
        <c:crosses val="autoZero"/>
        <c:auto val="1"/>
        <c:lblAlgn val="ctr"/>
        <c:lblOffset val="100"/>
        <c:noMultiLvlLbl val="0"/>
      </c:catAx>
      <c:valAx>
        <c:axId val="361270143"/>
        <c:scaling>
          <c:orientation val="minMax"/>
          <c:max val="1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7158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Composite FinSight par Secteur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 /100</c:v>
          </c:tx>
          <c:spPr>
            <a:solidFill>
              <a:srgbClr val="1E3A5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 SECTEUR'!$L$2:$L$11</c:f>
              <c:strCache>
                <c:ptCount val="10"/>
                <c:pt idx="0">
                  <c:v>Matériaux</c:v>
                </c:pt>
                <c:pt idx="1">
                  <c:v>Santé</c:v>
                </c:pt>
                <c:pt idx="2">
                  <c:v>Industrie</c:v>
                </c:pt>
                <c:pt idx="3">
                  <c:v>Immobilier</c:v>
                </c:pt>
                <c:pt idx="4">
                  <c:v>Serv. Publ.</c:v>
                </c:pt>
                <c:pt idx="5">
                  <c:v>Conso. Cycl.</c:v>
                </c:pt>
                <c:pt idx="6">
                  <c:v>Finance</c:v>
                </c:pt>
                <c:pt idx="7">
                  <c:v>Télécoms</c:v>
                </c:pt>
                <c:pt idx="8">
                  <c:v>Énergie</c:v>
                </c:pt>
                <c:pt idx="9">
                  <c:v>Technologie</c:v>
                </c:pt>
              </c:strCache>
            </c:strRef>
          </c:cat>
          <c:val>
            <c:numRef>
              <c:f>'PAR SECTEUR'!$M$2:$M$11</c:f>
              <c:numCache>
                <c:formatCode>General</c:formatCode>
                <c:ptCount val="10"/>
                <c:pt idx="0">
                  <c:v>55</c:v>
                </c:pt>
                <c:pt idx="1">
                  <c:v>55</c:v>
                </c:pt>
                <c:pt idx="2">
                  <c:v>46</c:v>
                </c:pt>
                <c:pt idx="3">
                  <c:v>46</c:v>
                </c:pt>
                <c:pt idx="4">
                  <c:v>45</c:v>
                </c:pt>
                <c:pt idx="5">
                  <c:v>44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AB-4D48-8C87-3E2CAF0A4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1250943"/>
        <c:axId val="361245663"/>
      </c:barChart>
      <c:catAx>
        <c:axId val="36125094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45663"/>
        <c:crosses val="autoZero"/>
        <c:auto val="1"/>
        <c:lblAlgn val="ctr"/>
        <c:lblOffset val="100"/>
        <c:noMultiLvlLbl val="0"/>
      </c:catAx>
      <c:valAx>
        <c:axId val="361245663"/>
        <c:scaling>
          <c:orientation val="minMax"/>
          <c:max val="1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5094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 EBITDA Médiane par Secteur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Mg EBITDA %</c:v>
          </c:tx>
          <c:spPr>
            <a:solidFill>
              <a:srgbClr val="C8A95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 SECTEUR'!$L$14:$L$22</c:f>
              <c:strCache>
                <c:ptCount val="6"/>
                <c:pt idx="0">
                  <c:v>Financials</c:v>
                </c:pt>
                <c:pt idx="1">
                  <c:v>Real Estate</c:v>
                </c:pt>
                <c:pt idx="2">
                  <c:v>Consumer Disc.</c:v>
                </c:pt>
                <c:pt idx="3">
                  <c:v>Healthcare</c:v>
                </c:pt>
                <c:pt idx="4">
                  <c:v>Materials</c:v>
                </c:pt>
                <c:pt idx="5">
                  <c:v>Consumer Staples</c:v>
                </c:pt>
              </c:strCache>
            </c:strRef>
          </c:cat>
          <c:val>
            <c:numRef>
              <c:f>'PAR SECTEUR'!$M$14:$M$22</c:f>
              <c:numCache>
                <c:formatCode>General</c:formatCode>
                <c:ptCount val="9"/>
                <c:pt idx="0">
                  <c:v>103.4</c:v>
                </c:pt>
                <c:pt idx="1">
                  <c:v>89.1</c:v>
                </c:pt>
                <c:pt idx="2">
                  <c:v>28.3</c:v>
                </c:pt>
                <c:pt idx="3">
                  <c:v>23.2</c:v>
                </c:pt>
                <c:pt idx="4">
                  <c:v>22.7</c:v>
                </c:pt>
                <c:pt idx="5">
                  <c:v>16.100000000000001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90-41F7-BAAB-5ADBBDFDB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1249023"/>
        <c:axId val="361252383"/>
      </c:barChart>
      <c:catAx>
        <c:axId val="36124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52383"/>
        <c:crosses val="autoZero"/>
        <c:auto val="1"/>
        <c:lblAlgn val="ctr"/>
        <c:lblOffset val="100"/>
        <c:noMultiLvlLbl val="0"/>
      </c:catAx>
      <c:valAx>
        <c:axId val="36125238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4902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Composition CAC 40 par Secteur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'PAR SECTEUR'!$I$25</c:f>
              <c:strCache>
                <c:ptCount val="1"/>
                <c:pt idx="0">
                  <c:v>25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E3A5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62B-4A6B-B18A-F4F197082E1A}"/>
              </c:ext>
            </c:extLst>
          </c:dPt>
          <c:dPt>
            <c:idx val="1"/>
            <c:bubble3D val="0"/>
            <c:spPr>
              <a:solidFill>
                <a:srgbClr val="2E6DA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62B-4A6B-B18A-F4F197082E1A}"/>
              </c:ext>
            </c:extLst>
          </c:dPt>
          <c:dPt>
            <c:idx val="2"/>
            <c:bubble3D val="0"/>
            <c:spPr>
              <a:solidFill>
                <a:srgbClr val="4A9BD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62B-4A6B-B18A-F4F197082E1A}"/>
              </c:ext>
            </c:extLst>
          </c:dPt>
          <c:dPt>
            <c:idx val="3"/>
            <c:bubble3D val="0"/>
            <c:spPr>
              <a:solidFill>
                <a:srgbClr val="C8A95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62B-4A6B-B18A-F4F197082E1A}"/>
              </c:ext>
            </c:extLst>
          </c:dPt>
          <c:dPt>
            <c:idx val="4"/>
            <c:bubble3D val="0"/>
            <c:spPr>
              <a:solidFill>
                <a:srgbClr val="E8C97A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62B-4A6B-B18A-F4F197082E1A}"/>
              </c:ext>
            </c:extLst>
          </c:dPt>
          <c:dPt>
            <c:idx val="5"/>
            <c:bubble3D val="0"/>
            <c:spPr>
              <a:solidFill>
                <a:srgbClr val="2D8A6E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62B-4A6B-B18A-F4F197082E1A}"/>
              </c:ext>
            </c:extLst>
          </c:dPt>
          <c:dPt>
            <c:idx val="6"/>
            <c:bubble3D val="0"/>
            <c:spPr>
              <a:solidFill>
                <a:srgbClr val="47B39C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62B-4A6B-B18A-F4F197082E1A}"/>
              </c:ext>
            </c:extLst>
          </c:dPt>
          <c:dPt>
            <c:idx val="7"/>
            <c:bubble3D val="0"/>
            <c:spPr>
              <a:solidFill>
                <a:srgbClr val="8E7BB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62B-4A6B-B18A-F4F197082E1A}"/>
              </c:ext>
            </c:extLst>
          </c:dPt>
          <c:dPt>
            <c:idx val="8"/>
            <c:bubble3D val="0"/>
            <c:spPr>
              <a:solidFill>
                <a:srgbClr val="B5A8D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62B-4A6B-B18A-F4F197082E1A}"/>
              </c:ext>
            </c:extLst>
          </c:dPt>
          <c:dPt>
            <c:idx val="9"/>
            <c:bubble3D val="0"/>
            <c:spPr>
              <a:solidFill>
                <a:srgbClr val="D4626B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62B-4A6B-B18A-F4F197082E1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'PAR SECTEUR'!$L$26:$L$35</c:f>
              <c:strCache>
                <c:ptCount val="10"/>
                <c:pt idx="5">
                  <c:v>Healthcare</c:v>
                </c:pt>
                <c:pt idx="6">
                  <c:v>Comm. Services</c:v>
                </c:pt>
                <c:pt idx="7">
                  <c:v>Materials</c:v>
                </c:pt>
                <c:pt idx="8">
                  <c:v>Real Estate</c:v>
                </c:pt>
                <c:pt idx="9">
                  <c:v>Energy</c:v>
                </c:pt>
              </c:strCache>
            </c:strRef>
          </c:cat>
          <c:val>
            <c:numRef>
              <c:f>'PAR SECTEUR'!$M$26:$M$35</c:f>
              <c:numCache>
                <c:formatCode>General</c:formatCode>
                <c:ptCount val="10"/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62B-4A6B-B18A-F4F197082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Composite FinSight — CAC 40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 /100</c:v>
          </c:tx>
          <c:spPr>
            <a:solidFill>
              <a:srgbClr val="1E3A5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'VUE SECTORIELLE'!$O$2:$O$12</c:f>
              <c:strCache>
                <c:ptCount val="11"/>
                <c:pt idx="0">
                  <c:v>Healthcare</c:v>
                </c:pt>
                <c:pt idx="1">
                  <c:v>Real Estate</c:v>
                </c:pt>
                <c:pt idx="2">
                  <c:v>Consumer Staples</c:v>
                </c:pt>
                <c:pt idx="3">
                  <c:v>Financials</c:v>
                </c:pt>
                <c:pt idx="4">
                  <c:v>Industrials</c:v>
                </c:pt>
                <c:pt idx="5">
                  <c:v>Materials</c:v>
                </c:pt>
                <c:pt idx="6">
                  <c:v>Utilities</c:v>
                </c:pt>
                <c:pt idx="7">
                  <c:v>Technology</c:v>
                </c:pt>
                <c:pt idx="8">
                  <c:v>Consumer Disc.</c:v>
                </c:pt>
                <c:pt idx="9">
                  <c:v>Comm. Services</c:v>
                </c:pt>
                <c:pt idx="10">
                  <c:v>Energy</c:v>
                </c:pt>
              </c:strCache>
            </c:strRef>
          </c:cat>
          <c:val>
            <c:numRef>
              <c:f>'VUE SECTORIELLE'!$P$2:$P$12</c:f>
              <c:numCache>
                <c:formatCode>General</c:formatCode>
                <c:ptCount val="11"/>
                <c:pt idx="0">
                  <c:v>69</c:v>
                </c:pt>
                <c:pt idx="1">
                  <c:v>69</c:v>
                </c:pt>
                <c:pt idx="2">
                  <c:v>56</c:v>
                </c:pt>
                <c:pt idx="3">
                  <c:v>55</c:v>
                </c:pt>
                <c:pt idx="4">
                  <c:v>54</c:v>
                </c:pt>
                <c:pt idx="5">
                  <c:v>54</c:v>
                </c:pt>
                <c:pt idx="6">
                  <c:v>46</c:v>
                </c:pt>
                <c:pt idx="7">
                  <c:v>36</c:v>
                </c:pt>
                <c:pt idx="8">
                  <c:v>41</c:v>
                </c:pt>
                <c:pt idx="9">
                  <c:v>38</c:v>
                </c:pt>
                <c:pt idx="1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07-44DE-B2D2-3A8A05E1E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1258143"/>
        <c:axId val="361246623"/>
      </c:barChart>
      <c:catAx>
        <c:axId val="36125814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46623"/>
        <c:crosses val="autoZero"/>
        <c:auto val="1"/>
        <c:lblAlgn val="ctr"/>
        <c:lblOffset val="100"/>
        <c:noMultiLvlLbl val="0"/>
      </c:catAx>
      <c:valAx>
        <c:axId val="361246623"/>
        <c:scaling>
          <c:orientation val="minMax"/>
          <c:max val="1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6125814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TECHNOLOGIE!$S$29:$S$32</c:f>
            </c:strRef>
          </c:cat>
          <c:val>
            <c:numRef>
              <c:f>TECHNOLOGIE!$T$29:$T$32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9-4DE2-867C-420789BEC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351023"/>
        <c:axId val="103349583"/>
      </c:barChart>
      <c:catAx>
        <c:axId val="103351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3349583"/>
        <c:crosses val="autoZero"/>
        <c:auto val="1"/>
        <c:lblAlgn val="ctr"/>
        <c:lblOffset val="100"/>
        <c:noMultiLvlLbl val="0"/>
      </c:catAx>
      <c:valAx>
        <c:axId val="103349583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335102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TECHNOLOGIE!$S$29:$S$32</c:f>
            </c:strRef>
          </c:cat>
          <c:val>
            <c:numRef>
              <c:f>TECHNOLOGIE!$U$29:$U$32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9-418C-9B4F-F9FE493C6493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TECHNOLOGIE!$S$29:$S$32</c:f>
            </c:strRef>
          </c:cat>
          <c:val>
            <c:numRef>
              <c:f>TECHNOLOGIE!$V$29:$V$32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79-418C-9B4F-F9FE493C6493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TECHNOLOGIE!$S$29:$S$32</c:f>
            </c:strRef>
          </c:cat>
          <c:val>
            <c:numRef>
              <c:f>TECHNOLOGIE!$W$29:$W$32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79-418C-9B4F-F9FE493C6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715855"/>
        <c:axId val="651260752"/>
      </c:barChart>
      <c:catAx>
        <c:axId val="358715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260752"/>
        <c:crosses val="autoZero"/>
        <c:auto val="1"/>
        <c:lblAlgn val="ctr"/>
        <c:lblOffset val="100"/>
        <c:noMultiLvlLbl val="0"/>
      </c:catAx>
      <c:valAx>
        <c:axId val="65126075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871585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'CONSO. CYCL.'!$S$29:$S$32</c:f>
              <c:strCache>
                <c:ptCount val="4"/>
                <c:pt idx="0">
                  <c:v>NEXT plc</c:v>
                </c:pt>
                <c:pt idx="1">
                  <c:v>InterContinent</c:v>
                </c:pt>
                <c:pt idx="2">
                  <c:v>JD Sports Fash</c:v>
                </c:pt>
                <c:pt idx="3">
                  <c:v>The Berkeley G</c:v>
                </c:pt>
              </c:strCache>
            </c:strRef>
          </c:cat>
          <c:val>
            <c:numRef>
              <c:f>'CONSO. CYCL.'!$T$29:$T$32</c:f>
              <c:numCache>
                <c:formatCode>General</c:formatCode>
                <c:ptCount val="4"/>
                <c:pt idx="0">
                  <c:v>58</c:v>
                </c:pt>
                <c:pt idx="1">
                  <c:v>54</c:v>
                </c:pt>
                <c:pt idx="2">
                  <c:v>53</c:v>
                </c:pt>
                <c:pt idx="3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0-4270-81E1-D99B38FE2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351023"/>
        <c:axId val="103349583"/>
      </c:barChart>
      <c:catAx>
        <c:axId val="103351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3349583"/>
        <c:crosses val="autoZero"/>
        <c:auto val="1"/>
        <c:lblAlgn val="ctr"/>
        <c:lblOffset val="100"/>
        <c:noMultiLvlLbl val="0"/>
      </c:catAx>
      <c:valAx>
        <c:axId val="103349583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335102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'CONSO. CYCL.'!$S$29:$S$32</c:f>
              <c:strCache>
                <c:ptCount val="4"/>
                <c:pt idx="0">
                  <c:v>NEXT plc</c:v>
                </c:pt>
                <c:pt idx="1">
                  <c:v>InterContinent</c:v>
                </c:pt>
                <c:pt idx="2">
                  <c:v>JD Sports Fash</c:v>
                </c:pt>
                <c:pt idx="3">
                  <c:v>The Berkeley G</c:v>
                </c:pt>
              </c:strCache>
            </c:strRef>
          </c:cat>
          <c:val>
            <c:numRef>
              <c:f>'CONSO. CYCL.'!$U$29:$U$32</c:f>
              <c:numCache>
                <c:formatCode>General</c:formatCode>
                <c:ptCount val="4"/>
                <c:pt idx="0">
                  <c:v>72</c:v>
                </c:pt>
                <c:pt idx="1">
                  <c:v>46</c:v>
                </c:pt>
                <c:pt idx="2">
                  <c:v>60</c:v>
                </c:pt>
                <c:pt idx="3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1-4352-B798-4E3087612083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'CONSO. CYCL.'!$S$29:$S$32</c:f>
              <c:strCache>
                <c:ptCount val="4"/>
                <c:pt idx="0">
                  <c:v>NEXT plc</c:v>
                </c:pt>
                <c:pt idx="1">
                  <c:v>InterContinent</c:v>
                </c:pt>
                <c:pt idx="2">
                  <c:v>JD Sports Fash</c:v>
                </c:pt>
                <c:pt idx="3">
                  <c:v>The Berkeley G</c:v>
                </c:pt>
              </c:strCache>
            </c:strRef>
          </c:cat>
          <c:val>
            <c:numRef>
              <c:f>'CONSO. CYCL.'!$V$29:$V$32</c:f>
              <c:numCache>
                <c:formatCode>General</c:formatCode>
                <c:ptCount val="4"/>
                <c:pt idx="0">
                  <c:v>71</c:v>
                </c:pt>
                <c:pt idx="1">
                  <c:v>36</c:v>
                </c:pt>
                <c:pt idx="2">
                  <c:v>49</c:v>
                </c:pt>
                <c:pt idx="3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1-4352-B798-4E3087612083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'CONSO. CYCL.'!$S$29:$S$32</c:f>
              <c:strCache>
                <c:ptCount val="4"/>
                <c:pt idx="0">
                  <c:v>NEXT plc</c:v>
                </c:pt>
                <c:pt idx="1">
                  <c:v>InterContinent</c:v>
                </c:pt>
                <c:pt idx="2">
                  <c:v>JD Sports Fash</c:v>
                </c:pt>
                <c:pt idx="3">
                  <c:v>The Berkeley G</c:v>
                </c:pt>
              </c:strCache>
            </c:strRef>
          </c:cat>
          <c:val>
            <c:numRef>
              <c:f>'CONSO. CYCL.'!$W$29:$W$32</c:f>
              <c:numCache>
                <c:formatCode>General</c:formatCode>
                <c:ptCount val="4"/>
                <c:pt idx="0">
                  <c:v>38</c:v>
                </c:pt>
                <c:pt idx="1">
                  <c:v>72</c:v>
                </c:pt>
                <c:pt idx="2">
                  <c:v>25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21-4352-B798-4E3087612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715855"/>
        <c:axId val="651260752"/>
      </c:barChart>
      <c:catAx>
        <c:axId val="358715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260752"/>
        <c:crosses val="autoZero"/>
        <c:auto val="1"/>
        <c:lblAlgn val="ctr"/>
        <c:lblOffset val="100"/>
        <c:noMultiLvlLbl val="0"/>
      </c:catAx>
      <c:valAx>
        <c:axId val="65126075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871585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FINANCE!$S$29:$S$32</c:f>
              <c:strCache>
                <c:ptCount val="4"/>
                <c:pt idx="0">
                  <c:v>Schroders plc</c:v>
                </c:pt>
                <c:pt idx="1">
                  <c:v>3i Group Ord</c:v>
                </c:pt>
                <c:pt idx="2">
                  <c:v>Hiscox Ltd</c:v>
                </c:pt>
                <c:pt idx="3">
                  <c:v>Prudential plc</c:v>
                </c:pt>
              </c:strCache>
            </c:strRef>
          </c:cat>
          <c:val>
            <c:numRef>
              <c:f>FINANCE!$T$29:$T$32</c:f>
              <c:numCache>
                <c:formatCode>General</c:formatCode>
                <c:ptCount val="4"/>
                <c:pt idx="0">
                  <c:v>55</c:v>
                </c:pt>
                <c:pt idx="1">
                  <c:v>54</c:v>
                </c:pt>
                <c:pt idx="2">
                  <c:v>50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6-4537-A2F0-975EFC3C9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964608"/>
        <c:axId val="1291967968"/>
      </c:barChart>
      <c:catAx>
        <c:axId val="1291964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67968"/>
        <c:crosses val="autoZero"/>
        <c:auto val="1"/>
        <c:lblAlgn val="ctr"/>
        <c:lblOffset val="100"/>
        <c:noMultiLvlLbl val="0"/>
      </c:catAx>
      <c:valAx>
        <c:axId val="1291967968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6460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FINANCE!$S$29:$S$32</c:f>
              <c:strCache>
                <c:ptCount val="4"/>
                <c:pt idx="0">
                  <c:v>Schroders plc</c:v>
                </c:pt>
                <c:pt idx="1">
                  <c:v>3i Group Ord</c:v>
                </c:pt>
                <c:pt idx="2">
                  <c:v>Hiscox Ltd</c:v>
                </c:pt>
                <c:pt idx="3">
                  <c:v>Prudential plc</c:v>
                </c:pt>
              </c:strCache>
            </c:strRef>
          </c:cat>
          <c:val>
            <c:numRef>
              <c:f>FINANCE!$U$29:$U$32</c:f>
              <c:numCache>
                <c:formatCode>General</c:formatCode>
                <c:ptCount val="4"/>
                <c:pt idx="0">
                  <c:v>32</c:v>
                </c:pt>
                <c:pt idx="1">
                  <c:v>88</c:v>
                </c:pt>
                <c:pt idx="2">
                  <c:v>55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78-4E67-903B-EBB94CA07B5D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FINANCE!$S$29:$S$32</c:f>
              <c:strCache>
                <c:ptCount val="4"/>
                <c:pt idx="0">
                  <c:v>Schroders plc</c:v>
                </c:pt>
                <c:pt idx="1">
                  <c:v>3i Group Ord</c:v>
                </c:pt>
                <c:pt idx="2">
                  <c:v>Hiscox Ltd</c:v>
                </c:pt>
                <c:pt idx="3">
                  <c:v>Prudential plc</c:v>
                </c:pt>
              </c:strCache>
            </c:strRef>
          </c:cat>
          <c:val>
            <c:numRef>
              <c:f>FINANCE!$V$29:$V$32</c:f>
              <c:numCache>
                <c:formatCode>General</c:formatCode>
                <c:ptCount val="4"/>
                <c:pt idx="0">
                  <c:v>29</c:v>
                </c:pt>
                <c:pt idx="1">
                  <c:v>47</c:v>
                </c:pt>
                <c:pt idx="2">
                  <c:v>37</c:v>
                </c:pt>
                <c:pt idx="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78-4E67-903B-EBB94CA07B5D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FINANCE!$S$29:$S$32</c:f>
              <c:strCache>
                <c:ptCount val="4"/>
                <c:pt idx="0">
                  <c:v>Schroders plc</c:v>
                </c:pt>
                <c:pt idx="1">
                  <c:v>3i Group Ord</c:v>
                </c:pt>
                <c:pt idx="2">
                  <c:v>Hiscox Ltd</c:v>
                </c:pt>
                <c:pt idx="3">
                  <c:v>Prudential plc</c:v>
                </c:pt>
              </c:strCache>
            </c:strRef>
          </c:cat>
          <c:val>
            <c:numRef>
              <c:f>FINANCE!$W$29:$W$32</c:f>
              <c:numCache>
                <c:formatCode>General</c:formatCode>
                <c:ptCount val="4"/>
                <c:pt idx="0">
                  <c:v>93</c:v>
                </c:pt>
                <c:pt idx="1">
                  <c:v>10</c:v>
                </c:pt>
                <c:pt idx="2">
                  <c:v>70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78-4E67-903B-EBB94CA07B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1977568"/>
        <c:axId val="1291969408"/>
      </c:barChart>
      <c:catAx>
        <c:axId val="129197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69408"/>
        <c:crosses val="autoZero"/>
        <c:auto val="1"/>
        <c:lblAlgn val="ctr"/>
        <c:lblOffset val="100"/>
        <c:noMultiLvlLbl val="0"/>
      </c:catAx>
      <c:valAx>
        <c:axId val="129196940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775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INDUSTRIE!$S$29:$S$33</c:f>
              <c:strCache>
                <c:ptCount val="5"/>
                <c:pt idx="0">
                  <c:v>{=IFERROR(IF(1</c:v>
                </c:pt>
                <c:pt idx="1">
                  <c:v>{=IFERROR(IF(2</c:v>
                </c:pt>
                <c:pt idx="2">
                  <c:v>Diploma PLC</c:v>
                </c:pt>
                <c:pt idx="3">
                  <c:v>{=IFERROR(IF(4</c:v>
                </c:pt>
                <c:pt idx="4">
                  <c:v>Sunbelt Rental</c:v>
                </c:pt>
              </c:strCache>
            </c:strRef>
          </c:cat>
          <c:val>
            <c:numRef>
              <c:f>INDUSTRIE!$T$29:$T$33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62</c:v>
                </c:pt>
                <c:pt idx="3">
                  <c:v>0</c:v>
                </c:pt>
                <c:pt idx="4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B-49CC-83E8-32649C5B2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2010208"/>
        <c:axId val="1292010688"/>
      </c:barChart>
      <c:catAx>
        <c:axId val="1292010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10688"/>
        <c:crosses val="autoZero"/>
        <c:auto val="1"/>
        <c:lblAlgn val="ctr"/>
        <c:lblOffset val="100"/>
        <c:noMultiLvlLbl val="0"/>
      </c:catAx>
      <c:valAx>
        <c:axId val="1292010688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1020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INDUSTRIE!$S$29:$S$33</c:f>
              <c:strCache>
                <c:ptCount val="5"/>
                <c:pt idx="0">
                  <c:v>{=IFERROR(IF(1</c:v>
                </c:pt>
                <c:pt idx="1">
                  <c:v>{=IFERROR(IF(2</c:v>
                </c:pt>
                <c:pt idx="2">
                  <c:v>Diploma PLC</c:v>
                </c:pt>
                <c:pt idx="3">
                  <c:v>{=IFERROR(IF(4</c:v>
                </c:pt>
                <c:pt idx="4">
                  <c:v>Sunbelt Rental</c:v>
                </c:pt>
              </c:strCache>
            </c:strRef>
          </c:cat>
          <c:val>
            <c:numRef>
              <c:f>INDUSTRIE!$U$29:$U$33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69</c:v>
                </c:pt>
                <c:pt idx="3">
                  <c:v>0</c:v>
                </c:pt>
                <c:pt idx="4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EA-4557-8B5D-B3FBAC5227EC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INDUSTRIE!$S$29:$S$33</c:f>
              <c:strCache>
                <c:ptCount val="5"/>
                <c:pt idx="0">
                  <c:v>{=IFERROR(IF(1</c:v>
                </c:pt>
                <c:pt idx="1">
                  <c:v>{=IFERROR(IF(2</c:v>
                </c:pt>
                <c:pt idx="2">
                  <c:v>Diploma PLC</c:v>
                </c:pt>
                <c:pt idx="3">
                  <c:v>{=IFERROR(IF(4</c:v>
                </c:pt>
                <c:pt idx="4">
                  <c:v>Sunbelt Rental</c:v>
                </c:pt>
              </c:strCache>
            </c:strRef>
          </c:cat>
          <c:val>
            <c:numRef>
              <c:f>INDUSTRIE!$V$29:$V$33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69</c:v>
                </c:pt>
                <c:pt idx="3">
                  <c:v>0</c:v>
                </c:pt>
                <c:pt idx="4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EA-4557-8B5D-B3FBAC5227EC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INDUSTRIE!$S$29:$S$33</c:f>
              <c:strCache>
                <c:ptCount val="5"/>
                <c:pt idx="0">
                  <c:v>{=IFERROR(IF(1</c:v>
                </c:pt>
                <c:pt idx="1">
                  <c:v>{=IFERROR(IF(2</c:v>
                </c:pt>
                <c:pt idx="2">
                  <c:v>Diploma PLC</c:v>
                </c:pt>
                <c:pt idx="3">
                  <c:v>{=IFERROR(IF(4</c:v>
                </c:pt>
                <c:pt idx="4">
                  <c:v>Sunbelt Rental</c:v>
                </c:pt>
              </c:strCache>
            </c:strRef>
          </c:cat>
          <c:val>
            <c:numRef>
              <c:f>INDUSTRIE!$W$29:$W$33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86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EA-4557-8B5D-B3FBAC522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2012128"/>
        <c:axId val="1292021248"/>
      </c:barChart>
      <c:catAx>
        <c:axId val="129201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21248"/>
        <c:crosses val="autoZero"/>
        <c:auto val="1"/>
        <c:lblAlgn val="ctr"/>
        <c:lblOffset val="100"/>
        <c:noMultiLvlLbl val="0"/>
      </c:catAx>
      <c:valAx>
        <c:axId val="129202124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1212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SANTÉ!$S$29:$S$31</c:f>
              <c:strCache>
                <c:ptCount val="3"/>
                <c:pt idx="0">
                  <c:v>GSK plc</c:v>
                </c:pt>
                <c:pt idx="1">
                  <c:v>Smith &amp; Nephew</c:v>
                </c:pt>
                <c:pt idx="2">
                  <c:v>AstraZeneca PL</c:v>
                </c:pt>
              </c:strCache>
            </c:strRef>
          </c:cat>
          <c:val>
            <c:numRef>
              <c:f>SANTÉ!$T$29:$T$31</c:f>
              <c:numCache>
                <c:formatCode>General</c:formatCode>
                <c:ptCount val="3"/>
                <c:pt idx="0">
                  <c:v>61</c:v>
                </c:pt>
                <c:pt idx="1">
                  <c:v>60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10-49A1-AF61-7F34E15D9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980448"/>
        <c:axId val="1291980928"/>
      </c:barChart>
      <c:catAx>
        <c:axId val="1291980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0928"/>
        <c:crosses val="autoZero"/>
        <c:auto val="1"/>
        <c:lblAlgn val="ctr"/>
        <c:lblOffset val="100"/>
        <c:noMultiLvlLbl val="0"/>
      </c:catAx>
      <c:valAx>
        <c:axId val="1291980928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044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SANTÉ!$S$29:$S$31</c:f>
              <c:strCache>
                <c:ptCount val="3"/>
                <c:pt idx="0">
                  <c:v>GSK plc</c:v>
                </c:pt>
                <c:pt idx="1">
                  <c:v>Smith &amp; Nephew</c:v>
                </c:pt>
                <c:pt idx="2">
                  <c:v>AstraZeneca PL</c:v>
                </c:pt>
              </c:strCache>
            </c:strRef>
          </c:cat>
          <c:val>
            <c:numRef>
              <c:f>SANTÉ!$U$29:$U$31</c:f>
              <c:numCache>
                <c:formatCode>General</c:formatCode>
                <c:ptCount val="3"/>
                <c:pt idx="0">
                  <c:v>66</c:v>
                </c:pt>
                <c:pt idx="1">
                  <c:v>60</c:v>
                </c:pt>
                <c:pt idx="2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63-4993-91A0-F05AD0EC6C43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SANTÉ!$S$29:$S$31</c:f>
              <c:strCache>
                <c:ptCount val="3"/>
                <c:pt idx="0">
                  <c:v>GSK plc</c:v>
                </c:pt>
                <c:pt idx="1">
                  <c:v>Smith &amp; Nephew</c:v>
                </c:pt>
                <c:pt idx="2">
                  <c:v>AstraZeneca PL</c:v>
                </c:pt>
              </c:strCache>
            </c:strRef>
          </c:cat>
          <c:val>
            <c:numRef>
              <c:f>SANTÉ!$V$29:$V$31</c:f>
              <c:numCache>
                <c:formatCode>General</c:formatCode>
                <c:ptCount val="3"/>
                <c:pt idx="0">
                  <c:v>43</c:v>
                </c:pt>
                <c:pt idx="1">
                  <c:v>65</c:v>
                </c:pt>
                <c:pt idx="2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63-4993-91A0-F05AD0EC6C43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SANTÉ!$S$29:$S$31</c:f>
              <c:strCache>
                <c:ptCount val="3"/>
                <c:pt idx="0">
                  <c:v>GSK plc</c:v>
                </c:pt>
                <c:pt idx="1">
                  <c:v>Smith &amp; Nephew</c:v>
                </c:pt>
                <c:pt idx="2">
                  <c:v>AstraZeneca PL</c:v>
                </c:pt>
              </c:strCache>
            </c:strRef>
          </c:cat>
          <c:val>
            <c:numRef>
              <c:f>SANTÉ!$W$29:$W$31</c:f>
              <c:numCache>
                <c:formatCode>General</c:formatCode>
                <c:ptCount val="3"/>
                <c:pt idx="0">
                  <c:v>84</c:v>
                </c:pt>
                <c:pt idx="1">
                  <c:v>54</c:v>
                </c:pt>
                <c:pt idx="2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63-4993-91A0-F05AD0EC6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1987168"/>
        <c:axId val="1291983328"/>
      </c:barChart>
      <c:catAx>
        <c:axId val="129198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3328"/>
        <c:crosses val="autoZero"/>
        <c:auto val="1"/>
        <c:lblAlgn val="ctr"/>
        <c:lblOffset val="100"/>
        <c:noMultiLvlLbl val="0"/>
      </c:catAx>
      <c:valAx>
        <c:axId val="12919833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7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ÉNERGIE!$S$29</c:f>
              <c:strCache>
                <c:ptCount val="1"/>
                <c:pt idx="0">
                  <c:v>Shell plc</c:v>
                </c:pt>
              </c:strCache>
            </c:strRef>
          </c:cat>
          <c:val>
            <c:numRef>
              <c:f>ÉNERGIE!$T$29</c:f>
              <c:numCache>
                <c:formatCode>General</c:formatCode>
                <c:ptCount val="1"/>
                <c:pt idx="0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D8-4CFF-ACA5-53B7A0C00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984288"/>
        <c:axId val="1291991008"/>
      </c:barChart>
      <c:catAx>
        <c:axId val="1291984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91008"/>
        <c:crosses val="autoZero"/>
        <c:auto val="1"/>
        <c:lblAlgn val="ctr"/>
        <c:lblOffset val="100"/>
        <c:noMultiLvlLbl val="0"/>
      </c:catAx>
      <c:valAx>
        <c:axId val="1291991008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428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ÉNERGIE!$S$29</c:f>
              <c:strCache>
                <c:ptCount val="1"/>
                <c:pt idx="0">
                  <c:v>Shell plc</c:v>
                </c:pt>
              </c:strCache>
            </c:strRef>
          </c:cat>
          <c:val>
            <c:numRef>
              <c:f>ÉNERGIE!$U$29</c:f>
              <c:numCache>
                <c:formatCode>General</c:formatCode>
                <c:ptCount val="1"/>
                <c:pt idx="0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24-42A6-9B15-A94B0079FC72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ÉNERGIE!$S$29</c:f>
              <c:strCache>
                <c:ptCount val="1"/>
                <c:pt idx="0">
                  <c:v>Shell plc</c:v>
                </c:pt>
              </c:strCache>
            </c:strRef>
          </c:cat>
          <c:val>
            <c:numRef>
              <c:f>ÉNERGIE!$V$29</c:f>
              <c:numCache>
                <c:formatCode>General</c:formatCode>
                <c:ptCount val="1"/>
                <c:pt idx="0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24-42A6-9B15-A94B0079FC72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ÉNERGIE!$S$29</c:f>
              <c:strCache>
                <c:ptCount val="1"/>
                <c:pt idx="0">
                  <c:v>Shell plc</c:v>
                </c:pt>
              </c:strCache>
            </c:strRef>
          </c:cat>
          <c:val>
            <c:numRef>
              <c:f>ÉNERGIE!$W$29</c:f>
              <c:numCache>
                <c:formatCode>General</c:formatCode>
                <c:ptCount val="1"/>
                <c:pt idx="0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24-42A6-9B15-A94B0079F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1987648"/>
        <c:axId val="1291988128"/>
      </c:barChart>
      <c:catAx>
        <c:axId val="129198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8128"/>
        <c:crosses val="autoZero"/>
        <c:auto val="1"/>
        <c:lblAlgn val="ctr"/>
        <c:lblOffset val="100"/>
        <c:noMultiLvlLbl val="0"/>
      </c:catAx>
      <c:valAx>
        <c:axId val="12919881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764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MATÉRIAUX!$S$29:$S$30</c:f>
              <c:strCache>
                <c:ptCount val="2"/>
                <c:pt idx="0">
                  <c:v>Endeavour Mini</c:v>
                </c:pt>
                <c:pt idx="1">
                  <c:v>Rio Tinto Grou</c:v>
                </c:pt>
              </c:strCache>
            </c:strRef>
          </c:cat>
          <c:val>
            <c:numRef>
              <c:f>MATÉRIAUX!$T$29:$T$30</c:f>
              <c:numCache>
                <c:formatCode>General</c:formatCode>
                <c:ptCount val="2"/>
                <c:pt idx="0">
                  <c:v>80</c:v>
                </c:pt>
                <c:pt idx="1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19-4387-9D58-F3C92EEAF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2005408"/>
        <c:axId val="1292001088"/>
      </c:barChart>
      <c:catAx>
        <c:axId val="1292005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01088"/>
        <c:crosses val="autoZero"/>
        <c:auto val="1"/>
        <c:lblAlgn val="ctr"/>
        <c:lblOffset val="100"/>
        <c:noMultiLvlLbl val="0"/>
      </c:catAx>
      <c:valAx>
        <c:axId val="1292001088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0540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MATÉRIAUX!$S$29:$S$30</c:f>
              <c:strCache>
                <c:ptCount val="2"/>
                <c:pt idx="0">
                  <c:v>Endeavour Mini</c:v>
                </c:pt>
                <c:pt idx="1">
                  <c:v>Rio Tinto Grou</c:v>
                </c:pt>
              </c:strCache>
            </c:strRef>
          </c:cat>
          <c:val>
            <c:numRef>
              <c:f>MATÉRIAUX!$U$29:$U$30</c:f>
              <c:numCache>
                <c:formatCode>General</c:formatCode>
                <c:ptCount val="2"/>
                <c:pt idx="0">
                  <c:v>91</c:v>
                </c:pt>
                <c:pt idx="1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F-4F79-9235-6AF7BA4DC396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MATÉRIAUX!$S$29:$S$30</c:f>
              <c:strCache>
                <c:ptCount val="2"/>
                <c:pt idx="0">
                  <c:v>Endeavour Mini</c:v>
                </c:pt>
                <c:pt idx="1">
                  <c:v>Rio Tinto Grou</c:v>
                </c:pt>
              </c:strCache>
            </c:strRef>
          </c:cat>
          <c:val>
            <c:numRef>
              <c:f>MATÉRIAUX!$V$29:$V$30</c:f>
              <c:numCache>
                <c:formatCode>General</c:formatCode>
                <c:ptCount val="2"/>
                <c:pt idx="0">
                  <c:v>74</c:v>
                </c:pt>
                <c:pt idx="1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FF-4F79-9235-6AF7BA4DC396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MATÉRIAUX!$S$29:$S$30</c:f>
              <c:strCache>
                <c:ptCount val="2"/>
                <c:pt idx="0">
                  <c:v>Endeavour Mini</c:v>
                </c:pt>
                <c:pt idx="1">
                  <c:v>Rio Tinto Grou</c:v>
                </c:pt>
              </c:strCache>
            </c:strRef>
          </c:cat>
          <c:val>
            <c:numRef>
              <c:f>MATÉRIAUX!$W$29:$W$30</c:f>
              <c:numCache>
                <c:formatCode>General</c:formatCode>
                <c:ptCount val="2"/>
                <c:pt idx="0">
                  <c:v>98</c:v>
                </c:pt>
                <c:pt idx="1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FF-4F79-9235-6AF7BA4DC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2004448"/>
        <c:axId val="1292003008"/>
      </c:barChart>
      <c:catAx>
        <c:axId val="129200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03008"/>
        <c:crosses val="autoZero"/>
        <c:auto val="1"/>
        <c:lblAlgn val="ctr"/>
        <c:lblOffset val="100"/>
        <c:noMultiLvlLbl val="0"/>
      </c:catAx>
      <c:valAx>
        <c:axId val="129200300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0444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IMMOBILIER!$S$29</c:f>
              <c:strCache>
                <c:ptCount val="1"/>
                <c:pt idx="0">
                  <c:v>United Utiliti</c:v>
                </c:pt>
              </c:strCache>
            </c:strRef>
          </c:cat>
          <c:val>
            <c:numRef>
              <c:f>IMMOBILIER!$T$29</c:f>
              <c:numCache>
                <c:formatCode>General</c:formatCode>
                <c:ptCount val="1"/>
                <c:pt idx="0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39-427C-995A-B1DE4B217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2008768"/>
        <c:axId val="1291993888"/>
      </c:barChart>
      <c:catAx>
        <c:axId val="1292008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93888"/>
        <c:crosses val="autoZero"/>
        <c:auto val="1"/>
        <c:lblAlgn val="ctr"/>
        <c:lblOffset val="100"/>
        <c:noMultiLvlLbl val="0"/>
      </c:catAx>
      <c:valAx>
        <c:axId val="1291993888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0876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IMMOBILIER!$S$29</c:f>
              <c:strCache>
                <c:ptCount val="1"/>
                <c:pt idx="0">
                  <c:v>United Utiliti</c:v>
                </c:pt>
              </c:strCache>
            </c:strRef>
          </c:cat>
          <c:val>
            <c:numRef>
              <c:f>IMMOBILIER!$U$29</c:f>
              <c:numCache>
                <c:formatCode>General</c:formatCode>
                <c:ptCount val="1"/>
                <c:pt idx="0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D0-4DE9-B855-26465A5CF597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IMMOBILIER!$S$29</c:f>
              <c:strCache>
                <c:ptCount val="1"/>
                <c:pt idx="0">
                  <c:v>United Utiliti</c:v>
                </c:pt>
              </c:strCache>
            </c:strRef>
          </c:cat>
          <c:val>
            <c:numRef>
              <c:f>IMMOBILIER!$V$29</c:f>
              <c:numCache>
                <c:formatCode>General</c:formatCode>
                <c:ptCount val="1"/>
                <c:pt idx="0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D0-4DE9-B855-26465A5CF597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IMMOBILIER!$S$29</c:f>
              <c:strCache>
                <c:ptCount val="1"/>
                <c:pt idx="0">
                  <c:v>United Utiliti</c:v>
                </c:pt>
              </c:strCache>
            </c:strRef>
          </c:cat>
          <c:val>
            <c:numRef>
              <c:f>IMMOBILIER!$W$29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D0-4DE9-B855-26465A5CF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2002528"/>
        <c:axId val="1291999648"/>
      </c:barChart>
      <c:catAx>
        <c:axId val="129200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99648"/>
        <c:crosses val="autoZero"/>
        <c:auto val="1"/>
        <c:lblAlgn val="ctr"/>
        <c:lblOffset val="100"/>
        <c:noMultiLvlLbl val="0"/>
      </c:catAx>
      <c:valAx>
        <c:axId val="129199964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200252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/100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Score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'CONSO. DÉF.'!$S$29:$S$31</c:f>
              <c:strCache>
                <c:ptCount val="1"/>
                <c:pt idx="0">
                  <c:v>British Americ</c:v>
                </c:pt>
              </c:strCache>
            </c:strRef>
          </c:cat>
          <c:val>
            <c:numRef>
              <c:f>'CONSO. DÉF.'!$T$29:$T$31</c:f>
              <c:numCache>
                <c:formatCode>General</c:formatCode>
                <c:ptCount val="3"/>
                <c:pt idx="0">
                  <c:v>60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D7-4FF7-B9E9-6BFDC4F9E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980448"/>
        <c:axId val="1291980928"/>
      </c:barChart>
      <c:catAx>
        <c:axId val="1291980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0928"/>
        <c:crosses val="autoZero"/>
        <c:auto val="1"/>
        <c:lblAlgn val="ctr"/>
        <c:lblOffset val="100"/>
        <c:noMultiLvlLbl val="0"/>
      </c:catAx>
      <c:valAx>
        <c:axId val="1291980928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044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· Quality · Momentum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Growth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'CONSO. DÉF.'!$S$29:$S$31</c:f>
              <c:strCache>
                <c:ptCount val="1"/>
                <c:pt idx="0">
                  <c:v>British Americ</c:v>
                </c:pt>
              </c:strCache>
            </c:strRef>
          </c:cat>
          <c:val>
            <c:numRef>
              <c:f>'CONSO. DÉF.'!$U$29:$U$31</c:f>
              <c:numCache>
                <c:formatCode>General</c:formatCode>
                <c:ptCount val="3"/>
                <c:pt idx="0">
                  <c:v>63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5-4625-8FFA-FF970FC84C53}"/>
            </c:ext>
          </c:extLst>
        </c:ser>
        <c:ser>
          <c:idx val="1"/>
          <c:order val="1"/>
          <c:tx>
            <c:v>Quality</c:v>
          </c:tx>
          <c:spPr>
            <a:solidFill>
              <a:srgbClr val="1F3864"/>
            </a:solidFill>
            <a:ln>
              <a:noFill/>
              <a:prstDash val="solid"/>
            </a:ln>
          </c:spPr>
          <c:invertIfNegative val="0"/>
          <c:cat>
            <c:strRef>
              <c:f>'CONSO. DÉF.'!$S$29:$S$31</c:f>
              <c:strCache>
                <c:ptCount val="1"/>
                <c:pt idx="0">
                  <c:v>British Americ</c:v>
                </c:pt>
              </c:strCache>
            </c:strRef>
          </c:cat>
          <c:val>
            <c:numRef>
              <c:f>'CONSO. DÉF.'!$V$29:$V$31</c:f>
              <c:numCache>
                <c:formatCode>General</c:formatCode>
                <c:ptCount val="3"/>
                <c:pt idx="0">
                  <c:v>48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5-4625-8FFA-FF970FC84C53}"/>
            </c:ext>
          </c:extLst>
        </c:ser>
        <c:ser>
          <c:idx val="2"/>
          <c:order val="2"/>
          <c:tx>
            <c:v>Momentum</c:v>
          </c:tx>
          <c:spPr>
            <a:solidFill>
              <a:srgbClr val="E26B0A"/>
            </a:solidFill>
            <a:ln>
              <a:noFill/>
              <a:prstDash val="solid"/>
            </a:ln>
          </c:spPr>
          <c:invertIfNegative val="0"/>
          <c:cat>
            <c:strRef>
              <c:f>'CONSO. DÉF.'!$S$29:$S$31</c:f>
              <c:strCache>
                <c:ptCount val="1"/>
                <c:pt idx="0">
                  <c:v>British Americ</c:v>
                </c:pt>
              </c:strCache>
            </c:strRef>
          </c:cat>
          <c:val>
            <c:numRef>
              <c:f>'CONSO. DÉF.'!$W$29:$W$31</c:f>
              <c:numCache>
                <c:formatCode>General</c:formatCode>
                <c:ptCount val="3"/>
                <c:pt idx="0">
                  <c:v>65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F5-4625-8FFA-FF970FC84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1987168"/>
        <c:axId val="1291983328"/>
      </c:barChart>
      <c:catAx>
        <c:axId val="129198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3328"/>
        <c:crosses val="autoZero"/>
        <c:auto val="1"/>
        <c:lblAlgn val="ctr"/>
        <c:lblOffset val="100"/>
        <c:noMultiLvlLbl val="0"/>
      </c:catAx>
      <c:valAx>
        <c:axId val="12919833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1987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Global vs Marge EBITDA — CAC 40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'DONNÉES BRUTES'!$AH$1</c:f>
              <c:strCache>
                <c:ptCount val="1"/>
                <c:pt idx="0">
                  <c:v>Mg EBITDA</c:v>
                </c:pt>
              </c:strCache>
            </c:strRef>
          </c:tx>
          <c:spPr>
            <a:ln w="19050" cap="rnd">
              <a:solidFill>
                <a:srgbClr val="1E3A5F"/>
              </a:solidFill>
              <a:prstDash val="solid"/>
              <a:round/>
            </a:ln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'DONNÉES BRUTES'!$AG$2:$AG$39</c:f>
              <c:numCache>
                <c:formatCode>General</c:formatCode>
                <c:ptCount val="38"/>
                <c:pt idx="0">
                  <c:v>75</c:v>
                </c:pt>
                <c:pt idx="1">
                  <c:v>74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70</c:v>
                </c:pt>
                <c:pt idx="6">
                  <c:v>69</c:v>
                </c:pt>
                <c:pt idx="7">
                  <c:v>68</c:v>
                </c:pt>
                <c:pt idx="8">
                  <c:v>68</c:v>
                </c:pt>
                <c:pt idx="9">
                  <c:v>65</c:v>
                </c:pt>
                <c:pt idx="10">
                  <c:v>64</c:v>
                </c:pt>
                <c:pt idx="11">
                  <c:v>64</c:v>
                </c:pt>
                <c:pt idx="12">
                  <c:v>64</c:v>
                </c:pt>
                <c:pt idx="13">
                  <c:v>62</c:v>
                </c:pt>
                <c:pt idx="14">
                  <c:v>58</c:v>
                </c:pt>
                <c:pt idx="15">
                  <c:v>57</c:v>
                </c:pt>
                <c:pt idx="16">
                  <c:v>57</c:v>
                </c:pt>
                <c:pt idx="17">
                  <c:v>55</c:v>
                </c:pt>
                <c:pt idx="18">
                  <c:v>54</c:v>
                </c:pt>
                <c:pt idx="19">
                  <c:v>53</c:v>
                </c:pt>
                <c:pt idx="20">
                  <c:v>52</c:v>
                </c:pt>
                <c:pt idx="21">
                  <c:v>51</c:v>
                </c:pt>
                <c:pt idx="22">
                  <c:v>51</c:v>
                </c:pt>
                <c:pt idx="23">
                  <c:v>48</c:v>
                </c:pt>
                <c:pt idx="24">
                  <c:v>47</c:v>
                </c:pt>
                <c:pt idx="25">
                  <c:v>46</c:v>
                </c:pt>
                <c:pt idx="26">
                  <c:v>46</c:v>
                </c:pt>
                <c:pt idx="27">
                  <c:v>40</c:v>
                </c:pt>
                <c:pt idx="28">
                  <c:v>39</c:v>
                </c:pt>
                <c:pt idx="29">
                  <c:v>37</c:v>
                </c:pt>
                <c:pt idx="30">
                  <c:v>33</c:v>
                </c:pt>
                <c:pt idx="31">
                  <c:v>29</c:v>
                </c:pt>
                <c:pt idx="32">
                  <c:v>29</c:v>
                </c:pt>
                <c:pt idx="33">
                  <c:v>23</c:v>
                </c:pt>
                <c:pt idx="34">
                  <c:v>18</c:v>
                </c:pt>
                <c:pt idx="35">
                  <c:v>17</c:v>
                </c:pt>
                <c:pt idx="36">
                  <c:v>5</c:v>
                </c:pt>
                <c:pt idx="37">
                  <c:v>2</c:v>
                </c:pt>
              </c:numCache>
            </c:numRef>
          </c:xVal>
          <c:yVal>
            <c:numRef>
              <c:f>'DONNÉES BRUTES'!$AH$2:$AH$39</c:f>
              <c:numCache>
                <c:formatCode>General</c:formatCode>
                <c:ptCount val="38"/>
                <c:pt idx="0">
                  <c:v>46.8</c:v>
                </c:pt>
                <c:pt idx="1">
                  <c:v>27.9</c:v>
                </c:pt>
                <c:pt idx="2">
                  <c:v>30.4</c:v>
                </c:pt>
                <c:pt idx="3">
                  <c:v>21</c:v>
                </c:pt>
                <c:pt idx="4">
                  <c:v>26.7</c:v>
                </c:pt>
                <c:pt idx="5">
                  <c:v>6.8</c:v>
                </c:pt>
                <c:pt idx="6">
                  <c:v>89.1</c:v>
                </c:pt>
                <c:pt idx="7">
                  <c:v>14</c:v>
                </c:pt>
                <c:pt idx="8">
                  <c:v>39.200000000000003</c:v>
                </c:pt>
                <c:pt idx="9">
                  <c:v>192.6</c:v>
                </c:pt>
                <c:pt idx="10">
                  <c:v>23.2</c:v>
                </c:pt>
                <c:pt idx="11">
                  <c:v>24.3</c:v>
                </c:pt>
                <c:pt idx="12">
                  <c:v>23.9</c:v>
                </c:pt>
                <c:pt idx="13">
                  <c:v>108.7</c:v>
                </c:pt>
                <c:pt idx="14">
                  <c:v>5.6</c:v>
                </c:pt>
                <c:pt idx="15">
                  <c:v>12.8</c:v>
                </c:pt>
                <c:pt idx="16">
                  <c:v>20.9</c:v>
                </c:pt>
                <c:pt idx="17">
                  <c:v>25</c:v>
                </c:pt>
                <c:pt idx="18">
                  <c:v>32</c:v>
                </c:pt>
                <c:pt idx="19">
                  <c:v>13.6</c:v>
                </c:pt>
                <c:pt idx="20">
                  <c:v>16.100000000000001</c:v>
                </c:pt>
                <c:pt idx="21">
                  <c:v>29.1</c:v>
                </c:pt>
                <c:pt idx="22">
                  <c:v>54.4</c:v>
                </c:pt>
                <c:pt idx="23">
                  <c:v>15.4</c:v>
                </c:pt>
                <c:pt idx="24">
                  <c:v>18</c:v>
                </c:pt>
                <c:pt idx="25">
                  <c:v>20</c:v>
                </c:pt>
                <c:pt idx="26">
                  <c:v>19.600000000000001</c:v>
                </c:pt>
                <c:pt idx="27">
                  <c:v>17.899999999999999</c:v>
                </c:pt>
                <c:pt idx="28">
                  <c:v>17.899999999999999</c:v>
                </c:pt>
                <c:pt idx="29">
                  <c:v>16.2</c:v>
                </c:pt>
                <c:pt idx="30">
                  <c:v>11.6</c:v>
                </c:pt>
                <c:pt idx="31">
                  <c:v>98.1</c:v>
                </c:pt>
                <c:pt idx="32">
                  <c:v>14.1</c:v>
                </c:pt>
                <c:pt idx="33">
                  <c:v>21.6</c:v>
                </c:pt>
                <c:pt idx="34">
                  <c:v>-9.6999999999999993</c:v>
                </c:pt>
                <c:pt idx="35">
                  <c:v>19.600000000000001</c:v>
                </c:pt>
                <c:pt idx="36">
                  <c:v>-11.8</c:v>
                </c:pt>
                <c:pt idx="37">
                  <c:v>-112.2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D4-46D6-AC73-300803B58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1301552"/>
        <c:axId val="651285232"/>
      </c:scatterChart>
      <c:valAx>
        <c:axId val="651301552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Score Global /100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285232"/>
        <c:crosses val="autoZero"/>
        <c:crossBetween val="midCat"/>
      </c:valAx>
      <c:valAx>
        <c:axId val="65128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Marge EBITDA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301552"/>
        <c:crosses val="autoZero"/>
        <c:crossBetween val="midCat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43094</xdr:colOff>
      <xdr:row>0</xdr:row>
      <xdr:rowOff>273316</xdr:rowOff>
    </xdr:from>
    <xdr:to>
      <xdr:col>25</xdr:col>
      <xdr:colOff>323022</xdr:colOff>
      <xdr:row>18</xdr:row>
      <xdr:rowOff>138725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37465</xdr:colOff>
      <xdr:row>1</xdr:row>
      <xdr:rowOff>157269</xdr:rowOff>
    </xdr:from>
    <xdr:to>
      <xdr:col>25</xdr:col>
      <xdr:colOff>0</xdr:colOff>
      <xdr:row>18</xdr:row>
      <xdr:rowOff>10373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27456</xdr:colOff>
      <xdr:row>0</xdr:row>
      <xdr:rowOff>401084</xdr:rowOff>
    </xdr:from>
    <xdr:to>
      <xdr:col>24</xdr:col>
      <xdr:colOff>251012</xdr:colOff>
      <xdr:row>16</xdr:row>
      <xdr:rowOff>63811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26458</xdr:colOff>
      <xdr:row>1</xdr:row>
      <xdr:rowOff>7830</xdr:rowOff>
    </xdr:from>
    <xdr:to>
      <xdr:col>21</xdr:col>
      <xdr:colOff>406400</xdr:colOff>
      <xdr:row>16</xdr:row>
      <xdr:rowOff>88474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33022</xdr:colOff>
      <xdr:row>4</xdr:row>
      <xdr:rowOff>100752</xdr:rowOff>
    </xdr:from>
    <xdr:to>
      <xdr:col>26</xdr:col>
      <xdr:colOff>270934</xdr:colOff>
      <xdr:row>17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29211</xdr:colOff>
      <xdr:row>18</xdr:row>
      <xdr:rowOff>44660</xdr:rowOff>
    </xdr:from>
    <xdr:to>
      <xdr:col>26</xdr:col>
      <xdr:colOff>313267</xdr:colOff>
      <xdr:row>32</xdr:row>
      <xdr:rowOff>20743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69</xdr:row>
      <xdr:rowOff>106679</xdr:rowOff>
    </xdr:from>
    <xdr:to>
      <xdr:col>9</xdr:col>
      <xdr:colOff>908685</xdr:colOff>
      <xdr:row>87</xdr:row>
      <xdr:rowOff>106679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109193</xdr:colOff>
      <xdr:row>4</xdr:row>
      <xdr:rowOff>26639</xdr:rowOff>
    </xdr:from>
    <xdr:to>
      <xdr:col>22</xdr:col>
      <xdr:colOff>64851</xdr:colOff>
      <xdr:row>17</xdr:row>
      <xdr:rowOff>178510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145414</xdr:colOff>
      <xdr:row>15</xdr:row>
      <xdr:rowOff>140334</xdr:rowOff>
    </xdr:from>
    <xdr:to>
      <xdr:col>25</xdr:col>
      <xdr:colOff>121284</xdr:colOff>
      <xdr:row>31</xdr:row>
      <xdr:rowOff>43814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145415</xdr:colOff>
      <xdr:row>0</xdr:row>
      <xdr:rowOff>114300</xdr:rowOff>
    </xdr:from>
    <xdr:to>
      <xdr:col>23</xdr:col>
      <xdr:colOff>461010</xdr:colOff>
      <xdr:row>15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145414</xdr:colOff>
      <xdr:row>16</xdr:row>
      <xdr:rowOff>69850</xdr:rowOff>
    </xdr:from>
    <xdr:to>
      <xdr:col>25</xdr:col>
      <xdr:colOff>121284</xdr:colOff>
      <xdr:row>31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145415</xdr:colOff>
      <xdr:row>0</xdr:row>
      <xdr:rowOff>114300</xdr:rowOff>
    </xdr:from>
    <xdr:to>
      <xdr:col>23</xdr:col>
      <xdr:colOff>461010</xdr:colOff>
      <xdr:row>15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145414</xdr:colOff>
      <xdr:row>15</xdr:row>
      <xdr:rowOff>140334</xdr:rowOff>
    </xdr:from>
    <xdr:to>
      <xdr:col>25</xdr:col>
      <xdr:colOff>121284</xdr:colOff>
      <xdr:row>31</xdr:row>
      <xdr:rowOff>43814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145415</xdr:colOff>
      <xdr:row>0</xdr:row>
      <xdr:rowOff>114300</xdr:rowOff>
    </xdr:from>
    <xdr:to>
      <xdr:col>23</xdr:col>
      <xdr:colOff>461010</xdr:colOff>
      <xdr:row>15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145414</xdr:colOff>
      <xdr:row>17</xdr:row>
      <xdr:rowOff>35560</xdr:rowOff>
    </xdr:from>
    <xdr:to>
      <xdr:col>25</xdr:col>
      <xdr:colOff>121284</xdr:colOff>
      <xdr:row>32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145415</xdr:colOff>
      <xdr:row>0</xdr:row>
      <xdr:rowOff>114300</xdr:rowOff>
    </xdr:from>
    <xdr:to>
      <xdr:col>23</xdr:col>
      <xdr:colOff>461010</xdr:colOff>
      <xdr:row>16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318551</xdr:colOff>
      <xdr:row>15</xdr:row>
      <xdr:rowOff>138237</xdr:rowOff>
    </xdr:from>
    <xdr:to>
      <xdr:col>24</xdr:col>
      <xdr:colOff>302648</xdr:colOff>
      <xdr:row>31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341491</xdr:colOff>
      <xdr:row>0</xdr:row>
      <xdr:rowOff>115958</xdr:rowOff>
    </xdr:from>
    <xdr:to>
      <xdr:col>23</xdr:col>
      <xdr:colOff>66260</xdr:colOff>
      <xdr:row>15</xdr:row>
      <xdr:rowOff>13998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145415</xdr:colOff>
      <xdr:row>15</xdr:row>
      <xdr:rowOff>140334</xdr:rowOff>
    </xdr:from>
    <xdr:to>
      <xdr:col>25</xdr:col>
      <xdr:colOff>96520</xdr:colOff>
      <xdr:row>31</xdr:row>
      <xdr:rowOff>51434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145415</xdr:colOff>
      <xdr:row>0</xdr:row>
      <xdr:rowOff>114300</xdr:rowOff>
    </xdr:from>
    <xdr:to>
      <xdr:col>23</xdr:col>
      <xdr:colOff>428625</xdr:colOff>
      <xdr:row>15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145414</xdr:colOff>
      <xdr:row>15</xdr:row>
      <xdr:rowOff>140334</xdr:rowOff>
    </xdr:from>
    <xdr:to>
      <xdr:col>25</xdr:col>
      <xdr:colOff>121284</xdr:colOff>
      <xdr:row>31</xdr:row>
      <xdr:rowOff>51434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145415</xdr:colOff>
      <xdr:row>0</xdr:row>
      <xdr:rowOff>114300</xdr:rowOff>
    </xdr:from>
    <xdr:to>
      <xdr:col>23</xdr:col>
      <xdr:colOff>461010</xdr:colOff>
      <xdr:row>15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145414</xdr:colOff>
      <xdr:row>15</xdr:row>
      <xdr:rowOff>140334</xdr:rowOff>
    </xdr:from>
    <xdr:to>
      <xdr:col>25</xdr:col>
      <xdr:colOff>109854</xdr:colOff>
      <xdr:row>31</xdr:row>
      <xdr:rowOff>51434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145415</xdr:colOff>
      <xdr:row>0</xdr:row>
      <xdr:rowOff>114300</xdr:rowOff>
    </xdr:from>
    <xdr:to>
      <xdr:col>23</xdr:col>
      <xdr:colOff>447675</xdr:colOff>
      <xdr:row>15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318551</xdr:colOff>
      <xdr:row>15</xdr:row>
      <xdr:rowOff>138237</xdr:rowOff>
    </xdr:from>
    <xdr:to>
      <xdr:col>24</xdr:col>
      <xdr:colOff>302648</xdr:colOff>
      <xdr:row>31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341491</xdr:colOff>
      <xdr:row>0</xdr:row>
      <xdr:rowOff>115958</xdr:rowOff>
    </xdr:from>
    <xdr:to>
      <xdr:col>23</xdr:col>
      <xdr:colOff>66260</xdr:colOff>
      <xdr:row>15</xdr:row>
      <xdr:rowOff>13998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560070</xdr:colOff>
      <xdr:row>43</xdr:row>
      <xdr:rowOff>78104</xdr:rowOff>
    </xdr:from>
    <xdr:to>
      <xdr:col>40</xdr:col>
      <xdr:colOff>521970</xdr:colOff>
      <xdr:row>60</xdr:row>
      <xdr:rowOff>78104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D14F5E-A33A-478A-B395-A98F30D93B51}">
  <we:reference id="wa200009404" version="1.0.0.8" store="fr-FR" storeType="OMEX"/>
  <we:alternateReferences>
    <we:reference id="wa200009404" version="1.0.0.8" store="" storeType="OMEX"/>
  </we:alternateReferences>
  <we:properties>
    <we:property name="claude.fileId" value="&quot;ecf59981-f109-49f5-b6d1-bdc19e40b9b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"/>
  <sheetViews>
    <sheetView showGridLines="0" tabSelected="1" zoomScaleNormal="100" workbookViewId="0">
      <selection activeCell="F12" sqref="F12"/>
    </sheetView>
  </sheetViews>
  <sheetFormatPr baseColWidth="10" defaultColWidth="8.88671875" defaultRowHeight="14.4" x14ac:dyDescent="0.3"/>
  <cols>
    <col min="1" max="1" width="0.6640625" customWidth="1"/>
    <col min="2" max="2" width="17.109375" customWidth="1"/>
    <col min="3" max="3" width="9.109375" customWidth="1"/>
    <col min="4" max="4" width="24.6640625" customWidth="1"/>
    <col min="5" max="5" width="14.33203125" customWidth="1"/>
    <col min="6" max="6" width="9.109375" customWidth="1"/>
    <col min="7" max="7" width="0.6640625" customWidth="1"/>
    <col min="8" max="8" width="17.109375" customWidth="1"/>
    <col min="9" max="9" width="8.5546875" customWidth="1"/>
    <col min="10" max="11" width="9.88671875" customWidth="1"/>
    <col min="12" max="12" width="9.109375" customWidth="1"/>
    <col min="13" max="13" width="0.6640625" customWidth="1"/>
    <col min="14" max="14" width="12.44140625" customWidth="1"/>
    <col min="15" max="15" width="10.6640625" bestFit="1" customWidth="1"/>
    <col min="16" max="16" width="21" customWidth="1"/>
    <col min="17" max="17" width="9.109375" customWidth="1"/>
    <col min="18" max="18" width="10.44140625" customWidth="1"/>
    <col min="19" max="19" width="0.6640625" customWidth="1"/>
    <col min="20" max="20" width="5.33203125" customWidth="1"/>
    <col min="21" max="21" width="9.88671875" customWidth="1"/>
    <col min="22" max="22" width="24.6640625" customWidth="1"/>
    <col min="23" max="24" width="9.88671875" customWidth="1"/>
  </cols>
  <sheetData>
    <row r="1" spans="1:24" ht="32.1" customHeight="1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1" t="s">
        <v>1</v>
      </c>
      <c r="S1" s="21"/>
      <c r="T1" s="21"/>
      <c r="U1" s="21"/>
      <c r="V1" s="21"/>
      <c r="W1" s="21"/>
      <c r="X1" s="21"/>
    </row>
    <row r="2" spans="1:24" ht="3" customHeight="1" x14ac:dyDescent="0.3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</row>
    <row r="3" spans="1:24" ht="20.100000000000001" customHeight="1" x14ac:dyDescent="0.5">
      <c r="A3" s="24"/>
      <c r="B3" s="24"/>
      <c r="C3" s="24"/>
      <c r="D3" s="170">
        <f>COUNTA('DONNÉES BRUTES'!A:A)-2</f>
        <v>40</v>
      </c>
      <c r="E3" s="24"/>
      <c r="F3" s="24"/>
      <c r="G3" s="25"/>
      <c r="H3" s="171"/>
      <c r="I3" s="171"/>
      <c r="J3" s="181">
        <f t="array" ref="J3">COUNTA(_xlfn.UNIQUE(_xlfn._xlws.FILTER('DONNÉES BRUTES'!C3:C42,'DONNÉES BRUTES'!C3:C42&lt;&gt;"")))</f>
        <v>10</v>
      </c>
      <c r="K3" s="171"/>
      <c r="L3" s="171"/>
      <c r="M3" s="25"/>
      <c r="N3" s="24"/>
      <c r="O3" s="24"/>
      <c r="P3" s="26" t="str">
        <f>_xlfn.XLOOKUP(MAX('DONNÉES BRUTES'!AB3:AB42),'DONNÉES BRUTES'!AB3:AB42,'DONNÉES BRUTES'!A3:A42)&amp;" — "&amp;MAX('DONNÉES BRUTES'!AB3:AB42)&amp;"/100"</f>
        <v>EDV.L — 80/100</v>
      </c>
      <c r="Q3" s="24"/>
      <c r="R3" s="24"/>
      <c r="S3" s="25"/>
      <c r="T3" s="24"/>
      <c r="U3" s="24"/>
      <c r="V3" s="183" t="s">
        <v>2</v>
      </c>
      <c r="W3" s="24"/>
      <c r="X3" s="24"/>
    </row>
    <row r="4" spans="1:24" ht="14.1" customHeight="1" x14ac:dyDescent="0.3">
      <c r="A4" s="27"/>
      <c r="B4" s="27"/>
      <c r="C4" s="27"/>
      <c r="D4" s="180" t="s">
        <v>3</v>
      </c>
      <c r="E4" s="27"/>
      <c r="F4" s="27"/>
      <c r="G4" s="29"/>
      <c r="H4" s="27"/>
      <c r="I4" s="27"/>
      <c r="J4" s="182" t="s">
        <v>4</v>
      </c>
      <c r="K4" s="27"/>
      <c r="L4" s="27"/>
      <c r="M4" s="29"/>
      <c r="N4" s="27"/>
      <c r="O4" s="27"/>
      <c r="P4" s="28" t="s">
        <v>5</v>
      </c>
      <c r="Q4" s="27"/>
      <c r="R4" s="27"/>
      <c r="S4" s="29"/>
      <c r="T4" s="27"/>
      <c r="U4" s="27"/>
      <c r="V4" s="180" t="s">
        <v>6</v>
      </c>
      <c r="W4" s="27"/>
      <c r="X4" s="27"/>
    </row>
    <row r="5" spans="1:24" ht="8.1" customHeight="1" x14ac:dyDescent="0.3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</row>
    <row r="6" spans="1:24" ht="20.100000000000001" customHeight="1" x14ac:dyDescent="0.3">
      <c r="A6" s="30"/>
      <c r="B6" s="34" t="s">
        <v>7</v>
      </c>
      <c r="C6" s="30"/>
      <c r="D6" s="30"/>
      <c r="E6" s="30"/>
      <c r="F6" s="30"/>
      <c r="G6" s="31"/>
      <c r="H6" s="30"/>
      <c r="I6" s="30"/>
      <c r="J6" s="30"/>
      <c r="K6" s="30"/>
      <c r="L6" s="30"/>
      <c r="M6" s="31"/>
      <c r="N6" s="30"/>
      <c r="O6" s="30"/>
      <c r="P6" s="30"/>
      <c r="Q6" s="30"/>
      <c r="R6" s="30"/>
      <c r="S6" s="31"/>
      <c r="T6" s="30"/>
      <c r="U6" s="30"/>
      <c r="V6" s="30"/>
      <c r="W6" s="30"/>
      <c r="X6" s="30"/>
    </row>
    <row r="7" spans="1:24" ht="18" customHeight="1" x14ac:dyDescent="0.3">
      <c r="B7" s="35" t="s">
        <v>8</v>
      </c>
      <c r="C7" s="36" t="s">
        <v>9</v>
      </c>
      <c r="D7" s="37" t="s">
        <v>10</v>
      </c>
      <c r="E7" s="36" t="s">
        <v>11</v>
      </c>
      <c r="F7" s="38" t="s">
        <v>12</v>
      </c>
      <c r="H7" s="47" t="s">
        <v>8</v>
      </c>
      <c r="I7" s="48" t="s">
        <v>9</v>
      </c>
      <c r="J7" s="49" t="s">
        <v>10</v>
      </c>
      <c r="K7" s="48" t="s">
        <v>11</v>
      </c>
      <c r="L7" s="50" t="s">
        <v>12</v>
      </c>
      <c r="N7" s="51" t="s">
        <v>8</v>
      </c>
      <c r="O7" s="52" t="s">
        <v>9</v>
      </c>
      <c r="P7" s="53" t="s">
        <v>10</v>
      </c>
      <c r="Q7" s="52" t="s">
        <v>11</v>
      </c>
      <c r="R7" s="54" t="s">
        <v>12</v>
      </c>
      <c r="T7" s="55" t="s">
        <v>8</v>
      </c>
      <c r="U7" s="56" t="s">
        <v>9</v>
      </c>
      <c r="V7" s="57" t="s">
        <v>10</v>
      </c>
      <c r="W7" s="56" t="s">
        <v>11</v>
      </c>
      <c r="X7" s="58" t="s">
        <v>12</v>
      </c>
    </row>
    <row r="8" spans="1:24" ht="15.9" customHeight="1" x14ac:dyDescent="0.3">
      <c r="B8" s="39">
        <v>1</v>
      </c>
      <c r="C8" s="40" t="str">
        <f t="array" ref="C8">IFERROR(INDEX('DONNÉES BRUTES'!A$3:A$42,MATCH(_xlfn.AGGREGATE(14,6,'DONNÉES BRUTES'!AB$3:AB$42*1000+(40-ROW('DONNÉES BRUTES'!AB$3:AB$42)+ROW('DONNÉES BRUTES'!AB$3)),1),'DONNÉES BRUTES'!AB$3:AB$42*1000+(40-ROW('DONNÉES BRUTES'!AB$3:AB$42)+ROW('DONNÉES BRUTES'!AB$3)),0)),"—")</f>
        <v>EDV.L</v>
      </c>
      <c r="D8" s="41" t="str">
        <f t="array" ref="D8">IFERROR(LEFT(INDEX('DONNÉES BRUTES'!B$3:B$42,MATCH(_xlfn.AGGREGATE(14,6,'DONNÉES BRUTES'!AB$3:AB$42*1000+(40-ROW('DONNÉES BRUTES'!AB$3:AB$42)+ROW('DONNÉES BRUTES'!AB$3)),1),'DONNÉES BRUTES'!AB$3:AB$42*1000+(40-ROW('DONNÉES BRUTES'!AB$3:AB$42)+ROW('DONNÉES BRUTES'!AB$3)),0)),18),"—")</f>
        <v>Endeavour Mining p</v>
      </c>
      <c r="E8" s="40" t="str">
        <f t="array" ref="E8">IFERROR(INT(_xlfn.AGGREGATE(14,6,'DONNÉES BRUTES'!AB$3:AB$42*1000+(40-ROW('DONNÉES BRUTES'!AB$3:AB$42)+ROW('DONNÉES BRUTES'!AB$3)),1)/1000)&amp;"/100","—")</f>
        <v>80/100</v>
      </c>
      <c r="F8" s="42">
        <f t="array" ref="F8">IFERROR(INDEX('DONNÉES BRUTES'!I$3:I$42,MATCH(_xlfn.AGGREGATE(14,6,'DONNÉES BRUTES'!AB$3:AB$42*1000+(40-ROW('DONNÉES BRUTES'!AB$3:AB$42)+ROW('DONNÉES BRUTES'!AB$3)),1),'DONNÉES BRUTES'!AB$3:AB$42*1000+(40-ROW('DONNÉES BRUTES'!AB$3:AB$42)+ROW('DONNÉES BRUTES'!AB$3)),0)),"—")</f>
        <v>583.1</v>
      </c>
      <c r="H8" s="39">
        <v>1</v>
      </c>
      <c r="I8" s="40" t="str">
        <f t="array" ref="I8">IFERROR(INDEX('DONNÉES BRUTES'!A$3:A$42,MATCH(_xlfn.AGGREGATE(14,6,'DONNÉES BRUTES'!Y$3:Y$42*1000+(40-ROW('DONNÉES BRUTES'!Y$3:Y$42)+ROW('DONNÉES BRUTES'!Y$3)),1),'DONNÉES BRUTES'!Y$3:Y$42*1000+(40-ROW('DONNÉES BRUTES'!Y$3:Y$42)+ROW('DONNÉES BRUTES'!Y$3)),0)),"—")</f>
        <v>EDV.L</v>
      </c>
      <c r="J8" s="41" t="str">
        <f t="array" ref="J8">IFERROR(LEFT(INDEX('DONNÉES BRUTES'!B$3:B$42,MATCH(_xlfn.AGGREGATE(14,6,'DONNÉES BRUTES'!Y$3:Y$42*1000+(40-ROW('DONNÉES BRUTES'!Y$3:Y$42)+ROW('DONNÉES BRUTES'!Y$3)),1),'DONNÉES BRUTES'!Y$3:Y$42*1000+(40-ROW('DONNÉES BRUTES'!Y$3:Y$42)+ROW('DONNÉES BRUTES'!Y$3)),0)),18),"—")</f>
        <v>Endeavour Mining p</v>
      </c>
      <c r="K8" s="62" t="str">
        <f t="array" ref="K8">IFERROR(INT(_xlfn.AGGREGATE(14,6,'DONNÉES BRUTES'!Y$3:Y$42*1000+(40-ROW('DONNÉES BRUTES'!Y$3:Y$42)+ROW('DONNÉES BRUTES'!Y$3)),1)/1000)&amp;"/100","—")</f>
        <v>91/100</v>
      </c>
      <c r="L8" s="63" t="str">
        <f t="array" ref="L8">IFERROR(INDEX('DONNÉES BRUTES'!P$3:P$42,MATCH(_xlfn.AGGREGATE(14,6,'DONNÉES BRUTES'!Y$3:Y$42*1000+(40-ROW('DONNÉES BRUTES'!Y$3:Y$42)+ROW('DONNÉES BRUTES'!Y$3)),1),'DONNÉES BRUTES'!Y$3:Y$42*1000+(40-ROW('DONNÉES BRUTES'!Y$3:Y$42)+ROW('DONNÉES BRUTES'!Y$3)),0)),"—")</f>
        <v>+58.2%</v>
      </c>
      <c r="N8" s="39">
        <v>1</v>
      </c>
      <c r="O8" s="40" t="str">
        <f t="array" ref="O8">IFERROR(INDEX('DONNÉES BRUTES'!A$3:A$42,MATCH(_xlfn.AGGREGATE(14,6,'DONNÉES BRUTES'!Z$3:Z$42*1000+(40-ROW('DONNÉES BRUTES'!Z$3:Z$42)+ROW('DONNÉES BRUTES'!Z$3)),1),'DONNÉES BRUTES'!Z$3:Z$42*1000+(40-ROW('DONNÉES BRUTES'!Z$3:Z$42)+ROW('DONNÉES BRUTES'!Z$3)),0)),"—")</f>
        <v>RMV.L</v>
      </c>
      <c r="P8" s="41" t="str">
        <f t="array" ref="P8">IFERROR(LEFT(INDEX('DONNÉES BRUTES'!B$3:B$42,MATCH(_xlfn.AGGREGATE(14,6,'DONNÉES BRUTES'!Z$3:Z$42*1000+(40-ROW('DONNÉES BRUTES'!Z$3:Z$42)+ROW('DONNÉES BRUTES'!Z$3)),1),'DONNÉES BRUTES'!Z$3:Z$42*1000+(40-ROW('DONNÉES BRUTES'!Z$3:Z$42)+ROW('DONNÉES BRUTES'!Z$3)),0)),18),"—")</f>
        <v>Rightmove plc</v>
      </c>
      <c r="Q8" s="67" t="str">
        <f t="array" ref="Q8">IFERROR(INT(_xlfn.AGGREGATE(14,6,'DONNÉES BRUTES'!Z$3:Z$42*1000+(40-ROW('DONNÉES BRUTES'!Z$3:Z$42)+ROW('DONNÉES BRUTES'!Z$3)),1)/1000)&amp;"/100","—")</f>
        <v>93/100</v>
      </c>
      <c r="R8" s="42">
        <f t="array" ref="R8">IFERROR(INDEX('DONNÉES BRUTES'!U$3:U$42,MATCH(_xlfn.AGGREGATE(14,6,'DONNÉES BRUTES'!Z$3:Z$42*1000+(40-ROW('DONNÉES BRUTES'!Z$3:Z$42)+ROW('DONNÉES BRUTES'!Z$3)),1),'DONNÉES BRUTES'!Z$3:Z$42*1000+(40-ROW('DONNÉES BRUTES'!Z$3:Z$42)+ROW('DONNÉES BRUTES'!Z$3)),0)),"—")</f>
        <v>21.85</v>
      </c>
      <c r="T8" s="39">
        <v>1</v>
      </c>
      <c r="U8" s="40" t="str">
        <f t="array" ref="U8">IFERROR(INDEX('DONNÉES BRUTES'!A$3:A$42,MATCH(_xlfn.AGGREGATE(14,6,'DONNÉES BRUTES'!AA$3:AA$42*1000+(40-ROW('DONNÉES BRUTES'!AA$3:AA$42)+ROW('DONNÉES BRUTES'!AA$3)),1),'DONNÉES BRUTES'!AA$3:AA$42*1000+(40-ROW('DONNÉES BRUTES'!AA$3:AA$42)+ROW('DONNÉES BRUTES'!AA$3)),0)),"—")</f>
        <v>FRES.L</v>
      </c>
      <c r="V8" s="41" t="str">
        <f t="array" ref="V8">IFERROR(LEFT(INDEX('DONNÉES BRUTES'!B$3:B$42,MATCH(_xlfn.AGGREGATE(14,6,'DONNÉES BRUTES'!AA$3:AA$42*1000+(40-ROW('DONNÉES BRUTES'!AA$3:AA$42)+ROW('DONNÉES BRUTES'!AA$3)),1),'DONNÉES BRUTES'!AA$3:AA$42*1000+(40-ROW('DONNÉES BRUTES'!AA$3:AA$42)+ROW('DONNÉES BRUTES'!AA$3)),0)),18),"—")</f>
        <v>Fresnillo plc</v>
      </c>
      <c r="W8" s="69" t="str">
        <f t="array" ref="W8">IFERROR(INT(_xlfn.AGGREGATE(14,6,'DONNÉES BRUTES'!AA$3:AA$42*1000+(40-ROW('DONNÉES BRUTES'!AA$3:AA$42)+ROW('DONNÉES BRUTES'!AA$3)),1)/1000)&amp;"/100","—")</f>
        <v>100/100</v>
      </c>
      <c r="X8" s="42" t="str">
        <f t="array" ref="X8">IFERROR(INDEX('DONNÉES BRUTES'!P$3:P$42,MATCH(_xlfn.AGGREGATE(14,6,'DONNÉES BRUTES'!AA$3:AA$42*1000+(40-ROW('DONNÉES BRUTES'!AA$3:AA$42)+ROW('DONNÉES BRUTES'!AA$3)),1),'DONNÉES BRUTES'!AA$3:AA$42*1000+(40-ROW('DONNÉES BRUTES'!AA$3:AA$42)+ROW('DONNÉES BRUTES'!AA$3)),0)),"—")</f>
        <v>+29.3%</v>
      </c>
    </row>
    <row r="9" spans="1:24" ht="15.9" customHeight="1" x14ac:dyDescent="0.3">
      <c r="B9" s="43">
        <v>2</v>
      </c>
      <c r="C9" s="44" t="str">
        <f t="array" ref="C9">IFERROR(INDEX('DONNÉES BRUTES'!A$3:A$42,MATCH(_xlfn.AGGREGATE(14,6,'DONNÉES BRUTES'!AB$3:AB$42*1000+(40-ROW('DONNÉES BRUTES'!AB$3:AB$42)+ROW('DONNÉES BRUTES'!AB$3)),2),'DONNÉES BRUTES'!AB$3:AB$42*1000+(40-ROW('DONNÉES BRUTES'!AB$3:AB$42)+ROW('DONNÉES BRUTES'!AB$3)),0)),"—")</f>
        <v>RIO.L</v>
      </c>
      <c r="D9" s="45" t="str">
        <f t="array" ref="D9">IFERROR(LEFT(INDEX('DONNÉES BRUTES'!B$3:B$42,MATCH(_xlfn.AGGREGATE(14,6,'DONNÉES BRUTES'!AB$3:AB$42*1000+(40-ROW('DONNÉES BRUTES'!AB$3:AB$42)+ROW('DONNÉES BRUTES'!AB$3)),2),'DONNÉES BRUTES'!AB$3:AB$42*1000+(40-ROW('DONNÉES BRUTES'!AB$3:AB$42)+ROW('DONNÉES BRUTES'!AB$3)),0)),18),"—")</f>
        <v>Rio Tinto Group</v>
      </c>
      <c r="E9" s="44" t="str">
        <f t="array" ref="E9">IFERROR(INT(_xlfn.AGGREGATE(14,6,'DONNÉES BRUTES'!AB$3:AB$42*1000+(40-ROW('DONNÉES BRUTES'!AB$3:AB$42)+ROW('DONNÉES BRUTES'!AB$3)),2)/1000)&amp;"/100","—")</f>
        <v>71/100</v>
      </c>
      <c r="F9" s="46">
        <f t="array" ref="F9">IFERROR(INDEX('DONNÉES BRUTES'!I$3:I$42,MATCH(_xlfn.AGGREGATE(14,6,'DONNÉES BRUTES'!AB$3:AB$42*1000+(40-ROW('DONNÉES BRUTES'!AB$3:AB$42)+ROW('DONNÉES BRUTES'!AB$3)),2),'DONNÉES BRUTES'!AB$3:AB$42*1000+(40-ROW('DONNÉES BRUTES'!AB$3:AB$42)+ROW('DONNÉES BRUTES'!AB$3)),0)),"—")</f>
        <v>407.4</v>
      </c>
      <c r="H9" s="43">
        <v>2</v>
      </c>
      <c r="I9" s="44" t="str">
        <f t="array" ref="I9">IFERROR(INDEX('DONNÉES BRUTES'!A$3:A$42,MATCH(_xlfn.AGGREGATE(14,6,'DONNÉES BRUTES'!Y$3:Y$42*1000+(40-ROW('DONNÉES BRUTES'!Y$3:Y$42)+ROW('DONNÉES BRUTES'!Y$3)),2),'DONNÉES BRUTES'!Y$3:Y$42*1000+(40-ROW('DONNÉES BRUTES'!Y$3:Y$42)+ROW('DONNÉES BRUTES'!Y$3)),0)),"—")</f>
        <v>III.L</v>
      </c>
      <c r="J9" s="45" t="str">
        <f t="array" ref="J9">IFERROR(LEFT(INDEX('DONNÉES BRUTES'!B$3:B$42,MATCH(_xlfn.AGGREGATE(14,6,'DONNÉES BRUTES'!Y$3:Y$42*1000+(40-ROW('DONNÉES BRUTES'!Y$3:Y$42)+ROW('DONNÉES BRUTES'!Y$3)),2),'DONNÉES BRUTES'!Y$3:Y$42*1000+(40-ROW('DONNÉES BRUTES'!Y$3:Y$42)+ROW('DONNÉES BRUTES'!Y$3)),0)),18),"—")</f>
        <v>3i Group Ord</v>
      </c>
      <c r="K9" s="64" t="str">
        <f t="array" ref="K9">IFERROR(INT(_xlfn.AGGREGATE(14,6,'DONNÉES BRUTES'!Y$3:Y$42*1000+(40-ROW('DONNÉES BRUTES'!Y$3:Y$42)+ROW('DONNÉES BRUTES'!Y$3)),2)/1000)&amp;"/100","—")</f>
        <v>88/100</v>
      </c>
      <c r="L9" s="65" t="str">
        <f t="array" ref="L9">IFERROR(INDEX('DONNÉES BRUTES'!P$3:P$42,MATCH(_xlfn.AGGREGATE(14,6,'DONNÉES BRUTES'!Y$3:Y$42*1000+(40-ROW('DONNÉES BRUTES'!Y$3:Y$42)+ROW('DONNÉES BRUTES'!Y$3)),2),'DONNÉES BRUTES'!Y$3:Y$42*1000+(40-ROW('DONNÉES BRUTES'!Y$3:Y$42)+ROW('DONNÉES BRUTES'!Y$3)),0)),"—")</f>
        <v>+30.2%</v>
      </c>
      <c r="N9" s="43">
        <v>2</v>
      </c>
      <c r="O9" s="44" t="str">
        <f t="array" ref="O9">IFERROR(INDEX('DONNÉES BRUTES'!A$3:A$42,MATCH(_xlfn.AGGREGATE(14,6,'DONNÉES BRUTES'!Z$3:Z$42*1000+(40-ROW('DONNÉES BRUTES'!Z$3:Z$42)+ROW('DONNÉES BRUTES'!Z$3)),2),'DONNÉES BRUTES'!Z$3:Z$42*1000+(40-ROW('DONNÉES BRUTES'!Z$3:Z$42)+ROW('DONNÉES BRUTES'!Z$3)),0)),"—")</f>
        <v>AUTO.L</v>
      </c>
      <c r="P9" s="45" t="str">
        <f t="array" ref="P9">IFERROR(LEFT(INDEX('DONNÉES BRUTES'!B$3:B$42,MATCH(_xlfn.AGGREGATE(14,6,'DONNÉES BRUTES'!Z$3:Z$42*1000+(40-ROW('DONNÉES BRUTES'!Z$3:Z$42)+ROW('DONNÉES BRUTES'!Z$3)),2),'DONNÉES BRUTES'!Z$3:Z$42*1000+(40-ROW('DONNÉES BRUTES'!Z$3:Z$42)+ROW('DONNÉES BRUTES'!Z$3)),0)),18),"—")</f>
        <v>Autotrader Group p</v>
      </c>
      <c r="Q9" s="68" t="str">
        <f t="array" ref="Q9">IFERROR(INT(_xlfn.AGGREGATE(14,6,'DONNÉES BRUTES'!Z$3:Z$42*1000+(40-ROW('DONNÉES BRUTES'!Z$3:Z$42)+ROW('DONNÉES BRUTES'!Z$3)),2)/1000)&amp;"/100","—")</f>
        <v>88/100</v>
      </c>
      <c r="R9" s="46">
        <f t="array" ref="R9">IFERROR(INDEX('DONNÉES BRUTES'!U$3:U$42,MATCH(_xlfn.AGGREGATE(14,6,'DONNÉES BRUTES'!Z$3:Z$42*1000+(40-ROW('DONNÉES BRUTES'!Z$3:Z$42)+ROW('DONNÉES BRUTES'!Z$3)),2),'DONNÉES BRUTES'!Z$3:Z$42*1000+(40-ROW('DONNÉES BRUTES'!Z$3:Z$42)+ROW('DONNÉES BRUTES'!Z$3)),0)),"—")</f>
        <v>20.25</v>
      </c>
      <c r="T9" s="43">
        <v>2</v>
      </c>
      <c r="U9" s="44" t="str">
        <f t="array" ref="U9">IFERROR(INDEX('DONNÉES BRUTES'!A$3:A$42,MATCH(_xlfn.AGGREGATE(14,6,'DONNÉES BRUTES'!AA$3:AA$42*1000+(40-ROW('DONNÉES BRUTES'!AA$3:AA$42)+ROW('DONNÉES BRUTES'!AA$3)),2),'DONNÉES BRUTES'!AA$3:AA$42*1000+(40-ROW('DONNÉES BRUTES'!AA$3:AA$42)+ROW('DONNÉES BRUTES'!AA$3)),0)),"—")</f>
        <v>ANTO.L</v>
      </c>
      <c r="V9" s="45" t="str">
        <f t="array" ref="V9">IFERROR(LEFT(INDEX('DONNÉES BRUTES'!B$3:B$42,MATCH(_xlfn.AGGREGATE(14,6,'DONNÉES BRUTES'!AA$3:AA$42*1000+(40-ROW('DONNÉES BRUTES'!AA$3:AA$42)+ROW('DONNÉES BRUTES'!AA$3)),2),'DONNÉES BRUTES'!AA$3:AA$42*1000+(40-ROW('DONNÉES BRUTES'!AA$3:AA$42)+ROW('DONNÉES BRUTES'!AA$3)),0)),18),"—")</f>
        <v>Antofagasta plc</v>
      </c>
      <c r="W9" s="70" t="str">
        <f t="array" ref="W9">IFERROR(INT(_xlfn.AGGREGATE(14,6,'DONNÉES BRUTES'!AA$3:AA$42*1000+(40-ROW('DONNÉES BRUTES'!AA$3:AA$42)+ROW('DONNÉES BRUTES'!AA$3)),2)/1000)&amp;"/100","—")</f>
        <v>99/100</v>
      </c>
      <c r="X9" s="46" t="str">
        <f t="array" ref="X9">IFERROR(INDEX('DONNÉES BRUTES'!P$3:P$42,MATCH(_xlfn.AGGREGATE(14,6,'DONNÉES BRUTES'!AA$3:AA$42*1000+(40-ROW('DONNÉES BRUTES'!AA$3:AA$42)+ROW('DONNÉES BRUTES'!AA$3)),2),'DONNÉES BRUTES'!AA$3:AA$42*1000+(40-ROW('DONNÉES BRUTES'!AA$3:AA$42)+ROW('DONNÉES BRUTES'!AA$3)),0)),"—")</f>
        <v>+4.6%</v>
      </c>
    </row>
    <row r="10" spans="1:24" ht="15.9" customHeight="1" x14ac:dyDescent="0.3">
      <c r="B10" s="39">
        <v>3</v>
      </c>
      <c r="C10" s="40" t="str">
        <f t="array" ref="C10">IFERROR(INDEX('DONNÉES BRUTES'!A$3:A$42,MATCH(_xlfn.AGGREGATE(14,6,'DONNÉES BRUTES'!AB$3:AB$42*1000+(40-ROW('DONNÉES BRUTES'!AB$3:AB$42)+ROW('DONNÉES BRUTES'!AB$3)),3),'DONNÉES BRUTES'!AB$3:AB$42*1000+(40-ROW('DONNÉES BRUTES'!AB$3:AB$42)+ROW('DONNÉES BRUTES'!AB$3)),0)),"—")</f>
        <v>FRES.L</v>
      </c>
      <c r="D10" s="41" t="str">
        <f t="array" ref="D10">IFERROR(LEFT(INDEX('DONNÉES BRUTES'!B$3:B$42,MATCH(_xlfn.AGGREGATE(14,6,'DONNÉES BRUTES'!AB$3:AB$42*1000+(40-ROW('DONNÉES BRUTES'!AB$3:AB$42)+ROW('DONNÉES BRUTES'!AB$3)),3),'DONNÉES BRUTES'!AB$3:AB$42*1000+(40-ROW('DONNÉES BRUTES'!AB$3:AB$42)+ROW('DONNÉES BRUTES'!AB$3)),0)),18),"—")</f>
        <v>Fresnillo plc</v>
      </c>
      <c r="E10" s="40" t="str">
        <f t="array" ref="E10">IFERROR(INT(_xlfn.AGGREGATE(14,6,'DONNÉES BRUTES'!AB$3:AB$42*1000+(40-ROW('DONNÉES BRUTES'!AB$3:AB$42)+ROW('DONNÉES BRUTES'!AB$3)),3)/1000)&amp;"/100","—")</f>
        <v>66/100</v>
      </c>
      <c r="F10" s="42">
        <f t="array" ref="F10">IFERROR(INDEX('DONNÉES BRUTES'!I$3:I$42,MATCH(_xlfn.AGGREGATE(14,6,'DONNÉES BRUTES'!AB$3:AB$42*1000+(40-ROW('DONNÉES BRUTES'!AB$3:AB$42)+ROW('DONNÉES BRUTES'!AB$3)),3),'DONNÉES BRUTES'!AB$3:AB$42*1000+(40-ROW('DONNÉES BRUTES'!AB$3:AB$42)+ROW('DONNÉES BRUTES'!AB$3)),0)),"—")</f>
        <v>1935.2</v>
      </c>
      <c r="H10" s="39">
        <v>3</v>
      </c>
      <c r="I10" s="40" t="str">
        <f t="array" ref="I10">IFERROR(INDEX('DONNÉES BRUTES'!A$3:A$42,MATCH(_xlfn.AGGREGATE(14,6,'DONNÉES BRUTES'!Y$3:Y$42*1000+(40-ROW('DONNÉES BRUTES'!Y$3:Y$42)+ROW('DONNÉES BRUTES'!Y$3)),3),'DONNÉES BRUTES'!Y$3:Y$42*1000+(40-ROW('DONNÉES BRUTES'!Y$3:Y$42)+ROW('DONNÉES BRUTES'!Y$3)),0)),"—")</f>
        <v>RR.L</v>
      </c>
      <c r="J10" s="41" t="str">
        <f t="array" ref="J10">IFERROR(LEFT(INDEX('DONNÉES BRUTES'!B$3:B$42,MATCH(_xlfn.AGGREGATE(14,6,'DONNÉES BRUTES'!Y$3:Y$42*1000+(40-ROW('DONNÉES BRUTES'!Y$3:Y$42)+ROW('DONNÉES BRUTES'!Y$3)),3),'DONNÉES BRUTES'!Y$3:Y$42*1000+(40-ROW('DONNÉES BRUTES'!Y$3:Y$42)+ROW('DONNÉES BRUTES'!Y$3)),0)),18),"—")</f>
        <v>Rolls-Royce Holdin</v>
      </c>
      <c r="K10" s="62" t="str">
        <f t="array" ref="K10">IFERROR(INT(_xlfn.AGGREGATE(14,6,'DONNÉES BRUTES'!Y$3:Y$42*1000+(40-ROW('DONNÉES BRUTES'!Y$3:Y$42)+ROW('DONNÉES BRUTES'!Y$3)),3)/1000)&amp;"/100","—")</f>
        <v>79/100</v>
      </c>
      <c r="L10" s="63" t="str">
        <f t="array" ref="L10">IFERROR(INDEX('DONNÉES BRUTES'!P$3:P$42,MATCH(_xlfn.AGGREGATE(14,6,'DONNÉES BRUTES'!Y$3:Y$42*1000+(40-ROW('DONNÉES BRUTES'!Y$3:Y$42)+ROW('DONNÉES BRUTES'!Y$3)),3),'DONNÉES BRUTES'!Y$3:Y$42*1000+(40-ROW('DONNÉES BRUTES'!Y$3:Y$42)+ROW('DONNÉES BRUTES'!Y$3)),0)),"—")</f>
        <v>+12.2%</v>
      </c>
      <c r="N10" s="39">
        <v>3</v>
      </c>
      <c r="O10" s="40" t="str">
        <f t="array" ref="O10">IFERROR(INDEX('DONNÉES BRUTES'!A$3:A$42,MATCH(_xlfn.AGGREGATE(14,6,'DONNÉES BRUTES'!Z$3:Z$42*1000+(40-ROW('DONNÉES BRUTES'!Z$3:Z$42)+ROW('DONNÉES BRUTES'!Z$3)),3),'DONNÉES BRUTES'!Z$3:Z$42*1000+(40-ROW('DONNÉES BRUTES'!Z$3:Z$42)+ROW('DONNÉES BRUTES'!Z$3)),0)),"—")</f>
        <v>FRES.L</v>
      </c>
      <c r="P10" s="41" t="str">
        <f t="array" ref="P10">IFERROR(LEFT(INDEX('DONNÉES BRUTES'!B$3:B$42,MATCH(_xlfn.AGGREGATE(14,6,'DONNÉES BRUTES'!Z$3:Z$42*1000+(40-ROW('DONNÉES BRUTES'!Z$3:Z$42)+ROW('DONNÉES BRUTES'!Z$3)),3),'DONNÉES BRUTES'!Z$3:Z$42*1000+(40-ROW('DONNÉES BRUTES'!Z$3:Z$42)+ROW('DONNÉES BRUTES'!Z$3)),0)),18),"—")</f>
        <v>Fresnillo plc</v>
      </c>
      <c r="Q10" s="67" t="str">
        <f t="array" ref="Q10">IFERROR(INT(_xlfn.AGGREGATE(14,6,'DONNÉES BRUTES'!Z$3:Z$42*1000+(40-ROW('DONNÉES BRUTES'!Z$3:Z$42)+ROW('DONNÉES BRUTES'!Z$3)),3)/1000)&amp;"/100","—")</f>
        <v>83/100</v>
      </c>
      <c r="R10" s="42">
        <f t="array" ref="R10">IFERROR(INDEX('DONNÉES BRUTES'!U$3:U$42,MATCH(_xlfn.AGGREGATE(14,6,'DONNÉES BRUTES'!Z$3:Z$42*1000+(40-ROW('DONNÉES BRUTES'!Z$3:Z$42)+ROW('DONNÉES BRUTES'!Z$3)),3),'DONNÉES BRUTES'!Z$3:Z$42*1000+(40-ROW('DONNÉES BRUTES'!Z$3:Z$42)+ROW('DONNÉES BRUTES'!Z$3)),0)),"—")</f>
        <v>7.22</v>
      </c>
      <c r="T10" s="39">
        <v>3</v>
      </c>
      <c r="U10" s="40" t="str">
        <f t="array" ref="U10">IFERROR(INDEX('DONNÉES BRUTES'!A$3:A$42,MATCH(_xlfn.AGGREGATE(14,6,'DONNÉES BRUTES'!AA$3:AA$42*1000+(40-ROW('DONNÉES BRUTES'!AA$3:AA$42)+ROW('DONNÉES BRUTES'!AA$3)),3),'DONNÉES BRUTES'!AA$3:AA$42*1000+(40-ROW('DONNÉES BRUTES'!AA$3:AA$42)+ROW('DONNÉES BRUTES'!AA$3)),0)),"—")</f>
        <v>EDV.L</v>
      </c>
      <c r="V10" s="41" t="str">
        <f t="array" ref="V10">IFERROR(LEFT(INDEX('DONNÉES BRUTES'!B$3:B$42,MATCH(_xlfn.AGGREGATE(14,6,'DONNÉES BRUTES'!AA$3:AA$42*1000+(40-ROW('DONNÉES BRUTES'!AA$3:AA$42)+ROW('DONNÉES BRUTES'!AA$3)),3),'DONNÉES BRUTES'!AA$3:AA$42*1000+(40-ROW('DONNÉES BRUTES'!AA$3:AA$42)+ROW('DONNÉES BRUTES'!AA$3)),0)),18),"—")</f>
        <v>Endeavour Mining p</v>
      </c>
      <c r="W10" s="69" t="str">
        <f t="array" ref="W10">IFERROR(INT(_xlfn.AGGREGATE(14,6,'DONNÉES BRUTES'!AA$3:AA$42*1000+(40-ROW('DONNÉES BRUTES'!AA$3:AA$42)+ROW('DONNÉES BRUTES'!AA$3)),3)/1000)&amp;"/100","—")</f>
        <v>98/100</v>
      </c>
      <c r="X10" s="42" t="str">
        <f t="array" ref="X10">IFERROR(INDEX('DONNÉES BRUTES'!P$3:P$42,MATCH(_xlfn.AGGREGATE(14,6,'DONNÉES BRUTES'!AA$3:AA$42*1000+(40-ROW('DONNÉES BRUTES'!AA$3:AA$42)+ROW('DONNÉES BRUTES'!AA$3)),3),'DONNÉES BRUTES'!AA$3:AA$42*1000+(40-ROW('DONNÉES BRUTES'!AA$3:AA$42)+ROW('DONNÉES BRUTES'!AA$3)),0)),"—")</f>
        <v>+58.2%</v>
      </c>
    </row>
    <row r="11" spans="1:24" ht="15.9" customHeight="1" x14ac:dyDescent="0.3">
      <c r="B11" s="43">
        <v>4</v>
      </c>
      <c r="C11" s="44" t="str">
        <f t="array" ref="C11">IFERROR(INDEX('DONNÉES BRUTES'!A$3:A$42,MATCH(_xlfn.AGGREGATE(14,6,'DONNÉES BRUTES'!AB$3:AB$42*1000+(40-ROW('DONNÉES BRUTES'!AB$3:AB$42)+ROW('DONNÉES BRUTES'!AB$3)),4),'DONNÉES BRUTES'!AB$3:AB$42*1000+(40-ROW('DONNÉES BRUTES'!AB$3:AB$42)+ROW('DONNÉES BRUTES'!AB$3)),0)),"—")</f>
        <v>ANTO.L</v>
      </c>
      <c r="D11" s="45" t="str">
        <f t="array" ref="D11">IFERROR(LEFT(INDEX('DONNÉES BRUTES'!B$3:B$42,MATCH(_xlfn.AGGREGATE(14,6,'DONNÉES BRUTES'!AB$3:AB$42*1000+(40-ROW('DONNÉES BRUTES'!AB$3:AB$42)+ROW('DONNÉES BRUTES'!AB$3)),4),'DONNÉES BRUTES'!AB$3:AB$42*1000+(40-ROW('DONNÉES BRUTES'!AB$3:AB$42)+ROW('DONNÉES BRUTES'!AB$3)),0)),18),"—")</f>
        <v>Antofagasta plc</v>
      </c>
      <c r="E11" s="44" t="str">
        <f t="array" ref="E11">IFERROR(INT(_xlfn.AGGREGATE(14,6,'DONNÉES BRUTES'!AB$3:AB$42*1000+(40-ROW('DONNÉES BRUTES'!AB$3:AB$42)+ROW('DONNÉES BRUTES'!AB$3)),4)/1000)&amp;"/100","—")</f>
        <v>65/100</v>
      </c>
      <c r="F11" s="46">
        <f t="array" ref="F11">IFERROR(INDEX('DONNÉES BRUTES'!I$3:I$42,MATCH(_xlfn.AGGREGATE(14,6,'DONNÉES BRUTES'!AB$3:AB$42*1000+(40-ROW('DONNÉES BRUTES'!AB$3:AB$42)+ROW('DONNÉES BRUTES'!AB$3)),4),'DONNÉES BRUTES'!AB$3:AB$42*1000+(40-ROW('DONNÉES BRUTES'!AB$3:AB$42)+ROW('DONNÉES BRUTES'!AB$3)),0)),"—")</f>
        <v>983.9</v>
      </c>
      <c r="H11" s="43">
        <v>4</v>
      </c>
      <c r="I11" s="44" t="str">
        <f t="array" ref="I11">IFERROR(INDEX('DONNÉES BRUTES'!A$3:A$42,MATCH(_xlfn.AGGREGATE(14,6,'DONNÉES BRUTES'!Y$3:Y$42*1000+(40-ROW('DONNÉES BRUTES'!Y$3:Y$42)+ROW('DONNÉES BRUTES'!Y$3)),4),'DONNÉES BRUTES'!Y$3:Y$42*1000+(40-ROW('DONNÉES BRUTES'!Y$3:Y$42)+ROW('DONNÉES BRUTES'!Y$3)),0)),"—")</f>
        <v>RMV.L</v>
      </c>
      <c r="J11" s="45" t="str">
        <f t="array" ref="J11">IFERROR(LEFT(INDEX('DONNÉES BRUTES'!B$3:B$42,MATCH(_xlfn.AGGREGATE(14,6,'DONNÉES BRUTES'!Y$3:Y$42*1000+(40-ROW('DONNÉES BRUTES'!Y$3:Y$42)+ROW('DONNÉES BRUTES'!Y$3)),4),'DONNÉES BRUTES'!Y$3:Y$42*1000+(40-ROW('DONNÉES BRUTES'!Y$3:Y$42)+ROW('DONNÉES BRUTES'!Y$3)),0)),18),"—")</f>
        <v>Rightmove plc</v>
      </c>
      <c r="K11" s="64" t="str">
        <f t="array" ref="K11">IFERROR(INT(_xlfn.AGGREGATE(14,6,'DONNÉES BRUTES'!Y$3:Y$42*1000+(40-ROW('DONNÉES BRUTES'!Y$3:Y$42)+ROW('DONNÉES BRUTES'!Y$3)),4)/1000)&amp;"/100","—")</f>
        <v>78/100</v>
      </c>
      <c r="L11" s="66" t="str">
        <f t="array" ref="L11">IFERROR(INDEX('DONNÉES BRUTES'!P$3:P$42,MATCH(_xlfn.AGGREGATE(14,6,'DONNÉES BRUTES'!Y$3:Y$42*1000+(40-ROW('DONNÉES BRUTES'!Y$3:Y$42)+ROW('DONNÉES BRUTES'!Y$3)),4),'DONNÉES BRUTES'!Y$3:Y$42*1000+(40-ROW('DONNÉES BRUTES'!Y$3:Y$42)+ROW('DONNÉES BRUTES'!Y$3)),0)),"—")</f>
        <v>+7.0%</v>
      </c>
      <c r="N11" s="43">
        <v>4</v>
      </c>
      <c r="O11" s="44" t="str">
        <f t="array" ref="O11">IFERROR(INDEX('DONNÉES BRUTES'!A$3:A$42,MATCH(_xlfn.AGGREGATE(14,6,'DONNÉES BRUTES'!Z$3:Z$42*1000+(40-ROW('DONNÉES BRUTES'!Z$3:Z$42)+ROW('DONNÉES BRUTES'!Z$3)),4),'DONNÉES BRUTES'!Z$3:Z$42*1000+(40-ROW('DONNÉES BRUTES'!Z$3:Z$42)+ROW('DONNÉES BRUTES'!Z$3)),0)),"—")</f>
        <v>BKG.L</v>
      </c>
      <c r="P11" s="45" t="str">
        <f t="array" ref="P11">IFERROR(LEFT(INDEX('DONNÉES BRUTES'!B$3:B$42,MATCH(_xlfn.AGGREGATE(14,6,'DONNÉES BRUTES'!Z$3:Z$42*1000+(40-ROW('DONNÉES BRUTES'!Z$3:Z$42)+ROW('DONNÉES BRUTES'!Z$3)),4),'DONNÉES BRUTES'!Z$3:Z$42*1000+(40-ROW('DONNÉES BRUTES'!Z$3:Z$42)+ROW('DONNÉES BRUTES'!Z$3)),0)),18),"—")</f>
        <v>The Berkeley Group</v>
      </c>
      <c r="Q11" s="68" t="str">
        <f t="array" ref="Q11">IFERROR(INT(_xlfn.AGGREGATE(14,6,'DONNÉES BRUTES'!Z$3:Z$42*1000+(40-ROW('DONNÉES BRUTES'!Z$3:Z$42)+ROW('DONNÉES BRUTES'!Z$3)),4)/1000)&amp;"/100","—")</f>
        <v>83/100</v>
      </c>
      <c r="R11" s="46">
        <f t="array" ref="R11">IFERROR(INDEX('DONNÉES BRUTES'!U$3:U$42,MATCH(_xlfn.AGGREGATE(14,6,'DONNÉES BRUTES'!Z$3:Z$42*1000+(40-ROW('DONNÉES BRUTES'!Z$3:Z$42)+ROW('DONNÉES BRUTES'!Z$3)),4),'DONNÉES BRUTES'!Z$3:Z$42*1000+(40-ROW('DONNÉES BRUTES'!Z$3:Z$42)+ROW('DONNÉES BRUTES'!Z$3)),0)),"—")</f>
        <v>8.16</v>
      </c>
      <c r="T11" s="43">
        <v>4</v>
      </c>
      <c r="U11" s="44" t="str">
        <f t="array" ref="U11">IFERROR(INDEX('DONNÉES BRUTES'!A$3:A$42,MATCH(_xlfn.AGGREGATE(14,6,'DONNÉES BRUTES'!AA$3:AA$42*1000+(40-ROW('DONNÉES BRUTES'!AA$3:AA$42)+ROW('DONNÉES BRUTES'!AA$3)),4),'DONNÉES BRUTES'!AA$3:AA$42*1000+(40-ROW('DONNÉES BRUTES'!AA$3:AA$42)+ROW('DONNÉES BRUTES'!AA$3)),0)),"—")</f>
        <v>AAL.L</v>
      </c>
      <c r="V11" s="45" t="str">
        <f t="array" ref="V11">IFERROR(LEFT(INDEX('DONNÉES BRUTES'!B$3:B$42,MATCH(_xlfn.AGGREGATE(14,6,'DONNÉES BRUTES'!AA$3:AA$42*1000+(40-ROW('DONNÉES BRUTES'!AA$3:AA$42)+ROW('DONNÉES BRUTES'!AA$3)),4),'DONNÉES BRUTES'!AA$3:AA$42*1000+(40-ROW('DONNÉES BRUTES'!AA$3:AA$42)+ROW('DONNÉES BRUTES'!AA$3)),0)),18),"—")</f>
        <v>Anglo American plc</v>
      </c>
      <c r="W11" s="70" t="str">
        <f t="array" ref="W11">IFERROR(INT(_xlfn.AGGREGATE(14,6,'DONNÉES BRUTES'!AA$3:AA$42*1000+(40-ROW('DONNÉES BRUTES'!AA$3:AA$42)+ROW('DONNÉES BRUTES'!AA$3)),4)/1000)&amp;"/100","—")</f>
        <v>96/100</v>
      </c>
      <c r="X11" s="46" t="str">
        <f t="array" ref="X11">IFERROR(INDEX('DONNÉES BRUTES'!P$3:P$42,MATCH(_xlfn.AGGREGATE(14,6,'DONNÉES BRUTES'!AA$3:AA$42*1000+(40-ROW('DONNÉES BRUTES'!AA$3:AA$42)+ROW('DONNÉES BRUTES'!AA$3)),4),'DONNÉES BRUTES'!AA$3:AA$42*1000+(40-ROW('DONNÉES BRUTES'!AA$3:AA$42)+ROW('DONNÉES BRUTES'!AA$3)),0)),"—")</f>
        <v>+4.5%</v>
      </c>
    </row>
    <row r="12" spans="1:24" ht="15.9" customHeight="1" x14ac:dyDescent="0.3">
      <c r="B12" s="39">
        <v>5</v>
      </c>
      <c r="C12" s="40" t="str">
        <f t="array" ref="C12">IFERROR(INDEX('DONNÉES BRUTES'!A$3:A$42,MATCH(_xlfn.AGGREGATE(14,6,'DONNÉES BRUTES'!AB$3:AB$42*1000+(40-ROW('DONNÉES BRUTES'!AB$3:AB$42)+ROW('DONNÉES BRUTES'!AB$3)),5),'DONNÉES BRUTES'!AB$3:AB$42*1000+(40-ROW('DONNÉES BRUTES'!AB$3:AB$42)+ROW('DONNÉES BRUTES'!AB$3)),0)),"—")</f>
        <v>RR.L</v>
      </c>
      <c r="D12" s="41" t="str">
        <f t="array" ref="D12">IFERROR(LEFT(INDEX('DONNÉES BRUTES'!B$3:B$42,MATCH(_xlfn.AGGREGATE(14,6,'DONNÉES BRUTES'!AB$3:AB$42*1000+(40-ROW('DONNÉES BRUTES'!AB$3:AB$42)+ROW('DONNÉES BRUTES'!AB$3)),5),'DONNÉES BRUTES'!AB$3:AB$42*1000+(40-ROW('DONNÉES BRUTES'!AB$3:AB$42)+ROW('DONNÉES BRUTES'!AB$3)),0)),18),"—")</f>
        <v>Rolls-Royce Holdin</v>
      </c>
      <c r="E12" s="40" t="str">
        <f t="array" ref="E12">IFERROR(INT(_xlfn.AGGREGATE(14,6,'DONNÉES BRUTES'!AB$3:AB$42*1000+(40-ROW('DONNÉES BRUTES'!AB$3:AB$42)+ROW('DONNÉES BRUTES'!AB$3)),5)/1000)&amp;"/100","—")</f>
        <v>64/100</v>
      </c>
      <c r="F12" s="42">
        <f t="array" ref="F12">IFERROR(INDEX('DONNÉES BRUTES'!I$3:I$42,MATCH(_xlfn.AGGREGATE(14,6,'DONNÉES BRUTES'!AB$3:AB$42*1000+(40-ROW('DONNÉES BRUTES'!AB$3:AB$42)+ROW('DONNÉES BRUTES'!AB$3)),5),'DONNÉES BRUTES'!AB$3:AB$42*1000+(40-ROW('DONNÉES BRUTES'!AB$3:AB$42)+ROW('DONNÉES BRUTES'!AB$3)),0)),"—")</f>
        <v>1340.7</v>
      </c>
      <c r="H12" s="39">
        <v>5</v>
      </c>
      <c r="I12" s="40" t="str">
        <f t="array" ref="I12">IFERROR(INDEX('DONNÉES BRUTES'!A$3:A$42,MATCH(_xlfn.AGGREGATE(14,6,'DONNÉES BRUTES'!Y$3:Y$42*1000+(40-ROW('DONNÉES BRUTES'!Y$3:Y$42)+ROW('DONNÉES BRUTES'!Y$3)),5),'DONNÉES BRUTES'!Y$3:Y$42*1000+(40-ROW('DONNÉES BRUTES'!Y$3:Y$42)+ROW('DONNÉES BRUTES'!Y$3)),0)),"—")</f>
        <v>UU.L</v>
      </c>
      <c r="J12" s="41" t="str">
        <f t="array" ref="J12">IFERROR(LEFT(INDEX('DONNÉES BRUTES'!B$3:B$42,MATCH(_xlfn.AGGREGATE(14,6,'DONNÉES BRUTES'!Y$3:Y$42*1000+(40-ROW('DONNÉES BRUTES'!Y$3:Y$42)+ROW('DONNÉES BRUTES'!Y$3)),5),'DONNÉES BRUTES'!Y$3:Y$42*1000+(40-ROW('DONNÉES BRUTES'!Y$3:Y$42)+ROW('DONNÉES BRUTES'!Y$3)),0)),18),"—")</f>
        <v>United Utilities G</v>
      </c>
      <c r="K12" s="62" t="str">
        <f t="array" ref="K12">IFERROR(INT(_xlfn.AGGREGATE(14,6,'DONNÉES BRUTES'!Y$3:Y$42*1000+(40-ROW('DONNÉES BRUTES'!Y$3:Y$42)+ROW('DONNÉES BRUTES'!Y$3)),5)/1000)&amp;"/100","—")</f>
        <v>78/100</v>
      </c>
      <c r="L12" s="63" t="str">
        <f t="array" ref="L12">IFERROR(INDEX('DONNÉES BRUTES'!P$3:P$42,MATCH(_xlfn.AGGREGATE(14,6,'DONNÉES BRUTES'!Y$3:Y$42*1000+(40-ROW('DONNÉES BRUTES'!Y$3:Y$42)+ROW('DONNÉES BRUTES'!Y$3)),5),'DONNÉES BRUTES'!Y$3:Y$42*1000+(40-ROW('DONNÉES BRUTES'!Y$3:Y$42)+ROW('DONNÉES BRUTES'!Y$3)),0)),"—")</f>
        <v>+10.0%</v>
      </c>
      <c r="N12" s="39">
        <v>5</v>
      </c>
      <c r="O12" s="40" t="str">
        <f t="array" ref="O12">IFERROR(INDEX('DONNÉES BRUTES'!A$3:A$42,MATCH(_xlfn.AGGREGATE(14,6,'DONNÉES BRUTES'!Z$3:Z$42*1000+(40-ROW('DONNÉES BRUTES'!Z$3:Z$42)+ROW('DONNÉES BRUTES'!Z$3)),5),'DONNÉES BRUTES'!Z$3:Z$42*1000+(40-ROW('DONNÉES BRUTES'!Z$3:Z$42)+ROW('DONNÉES BRUTES'!Z$3)),0)),"—")</f>
        <v>ANTO.L</v>
      </c>
      <c r="P12" s="41" t="str">
        <f t="array" ref="P12">IFERROR(LEFT(INDEX('DONNÉES BRUTES'!B$3:B$42,MATCH(_xlfn.AGGREGATE(14,6,'DONNÉES BRUTES'!Z$3:Z$42*1000+(40-ROW('DONNÉES BRUTES'!Z$3:Z$42)+ROW('DONNÉES BRUTES'!Z$3)),5),'DONNÉES BRUTES'!Z$3:Z$42*1000+(40-ROW('DONNÉES BRUTES'!Z$3:Z$42)+ROW('DONNÉES BRUTES'!Z$3)),0)),18),"—")</f>
        <v>Antofagasta plc</v>
      </c>
      <c r="Q12" s="67" t="str">
        <f t="array" ref="Q12">IFERROR(INT(_xlfn.AGGREGATE(14,6,'DONNÉES BRUTES'!Z$3:Z$42*1000+(40-ROW('DONNÉES BRUTES'!Z$3:Z$42)+ROW('DONNÉES BRUTES'!Z$3)),5)/1000)&amp;"/100","—")</f>
        <v>76/100</v>
      </c>
      <c r="R12" s="42">
        <f t="array" ref="R12">IFERROR(INDEX('DONNÉES BRUTES'!U$3:U$42,MATCH(_xlfn.AGGREGATE(14,6,'DONNÉES BRUTES'!Z$3:Z$42*1000+(40-ROW('DONNÉES BRUTES'!Z$3:Z$42)+ROW('DONNÉES BRUTES'!Z$3)),5),'DONNÉES BRUTES'!Z$3:Z$42*1000+(40-ROW('DONNÉES BRUTES'!Z$3:Z$42)+ROW('DONNÉES BRUTES'!Z$3)),0)),"—")</f>
        <v>4.04</v>
      </c>
      <c r="T12" s="39">
        <v>5</v>
      </c>
      <c r="U12" s="40" t="str">
        <f t="array" ref="U12">IFERROR(INDEX('DONNÉES BRUTES'!A$3:A$42,MATCH(_xlfn.AGGREGATE(14,6,'DONNÉES BRUTES'!AA$3:AA$42*1000+(40-ROW('DONNÉES BRUTES'!AA$3:AA$42)+ROW('DONNÉES BRUTES'!AA$3)),5),'DONNÉES BRUTES'!AA$3:AA$42*1000+(40-ROW('DONNÉES BRUTES'!AA$3:AA$42)+ROW('DONNÉES BRUTES'!AA$3)),0)),"—")</f>
        <v>RIO.L</v>
      </c>
      <c r="V12" s="41" t="str">
        <f t="array" ref="V12">IFERROR(LEFT(INDEX('DONNÉES BRUTES'!B$3:B$42,MATCH(_xlfn.AGGREGATE(14,6,'DONNÉES BRUTES'!AA$3:AA$42*1000+(40-ROW('DONNÉES BRUTES'!AA$3:AA$42)+ROW('DONNÉES BRUTES'!AA$3)),5),'DONNÉES BRUTES'!AA$3:AA$42*1000+(40-ROW('DONNÉES BRUTES'!AA$3:AA$42)+ROW('DONNÉES BRUTES'!AA$3)),0)),18),"—")</f>
        <v>Rio Tinto Group</v>
      </c>
      <c r="W12" s="69" t="str">
        <f t="array" ref="W12">IFERROR(INT(_xlfn.AGGREGATE(14,6,'DONNÉES BRUTES'!AA$3:AA$42*1000+(40-ROW('DONNÉES BRUTES'!AA$3:AA$42)+ROW('DONNÉES BRUTES'!AA$3)),5)/1000)&amp;"/100","—")</f>
        <v>95/100</v>
      </c>
      <c r="X12" s="42" t="str">
        <f t="array" ref="X12">IFERROR(INDEX('DONNÉES BRUTES'!P$3:P$42,MATCH(_xlfn.AGGREGATE(14,6,'DONNÉES BRUTES'!AA$3:AA$42*1000+(40-ROW('DONNÉES BRUTES'!AA$3:AA$42)+ROW('DONNÉES BRUTES'!AA$3)),5),'DONNÉES BRUTES'!AA$3:AA$42*1000+(40-ROW('DONNÉES BRUTES'!AA$3:AA$42)+ROW('DONNÉES BRUTES'!AA$3)),0)),"—")</f>
        <v>+7.4%</v>
      </c>
    </row>
    <row r="13" spans="1:24" ht="8.1" customHeight="1" x14ac:dyDescent="0.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</row>
    <row r="14" spans="1:24" ht="20.100000000000001" customHeight="1" x14ac:dyDescent="0.3">
      <c r="A14" s="59"/>
      <c r="B14" s="59" t="s">
        <v>13</v>
      </c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</row>
    <row r="15" spans="1:24" ht="18" customHeight="1" thickBot="1" x14ac:dyDescent="0.35">
      <c r="A15" s="380"/>
      <c r="B15" s="71" t="s">
        <v>8</v>
      </c>
      <c r="C15" s="72" t="s">
        <v>9</v>
      </c>
      <c r="D15" s="73" t="s">
        <v>10</v>
      </c>
      <c r="E15" s="73" t="s">
        <v>14</v>
      </c>
      <c r="F15" s="72" t="s">
        <v>11</v>
      </c>
      <c r="G15" s="74"/>
      <c r="H15" s="72" t="s">
        <v>15</v>
      </c>
      <c r="I15" s="72" t="s">
        <v>16</v>
      </c>
      <c r="J15" s="72" t="s">
        <v>17</v>
      </c>
      <c r="K15" s="72" t="s">
        <v>18</v>
      </c>
      <c r="L15" s="72" t="s">
        <v>19</v>
      </c>
      <c r="M15" s="74"/>
      <c r="N15" s="72" t="s">
        <v>20</v>
      </c>
      <c r="O15" s="75" t="s">
        <v>21</v>
      </c>
      <c r="Q15" s="390"/>
      <c r="R15" s="390"/>
      <c r="S15" s="390"/>
      <c r="T15" s="390"/>
      <c r="U15" s="390"/>
    </row>
    <row r="16" spans="1:24" ht="15.9" customHeight="1" thickBot="1" x14ac:dyDescent="0.35">
      <c r="A16" s="32"/>
      <c r="B16" s="76">
        <v>1</v>
      </c>
      <c r="C16" s="77" t="str">
        <f t="array" ref="C16">IFERROR(INDEX('DONNÉES BRUTES'!A$3:A$42,MATCH(_xlfn.AGGREGATE(14,6,'DONNÉES BRUTES'!AB$3:AB$42*1000+(40-ROW('DONNÉES BRUTES'!AB$3:AB$42)+ROW('DONNÉES BRUTES'!AB$3)),1),'DONNÉES BRUTES'!AB$3:AB$42*1000+(40-ROW('DONNÉES BRUTES'!AB$3:AB$42)+ROW('DONNÉES BRUTES'!AB$3)),0)),"—")</f>
        <v>EDV.L</v>
      </c>
      <c r="D16" s="78" t="str">
        <f t="array" ref="D16">IFERROR(LEFT(IFERROR(INDEX('DONNÉES BRUTES'!B$3:B$42,MATCH(_xlfn.AGGREGATE(14,6,'DONNÉES BRUTES'!AB$3:AB$42*1000+(40-ROW('DONNÉES BRUTES'!AB$3:AB$42)+ROW('DONNÉES BRUTES'!AB$3)),1),'DONNÉES BRUTES'!AB$3:AB$42*1000+(40-ROW('DONNÉES BRUTES'!AB$3:AB$42)+ROW('DONNÉES BRUTES'!AB$3)),0)),"—"),18),"—")</f>
        <v>Endeavour Mining p</v>
      </c>
      <c r="E16" s="78" t="str">
        <f t="array" ref="E16">IFERROR(INDEX('DONNÉES BRUTES'!C$3:C$42,MATCH(_xlfn.AGGREGATE(14,6,'DONNÉES BRUTES'!AB$3:AB$42*1000+(40-ROW('DONNÉES BRUTES'!AB$3:AB$42)+ROW('DONNÉES BRUTES'!AB$3)),1),'DONNÉES BRUTES'!AB$3:AB$42*1000+(40-ROW('DONNÉES BRUTES'!AB$3:AB$42)+ROW('DONNÉES BRUTES'!AB$3)),0)),"—")</f>
        <v>Matériaux</v>
      </c>
      <c r="F16" s="79" t="str">
        <f t="array" ref="F16">IFERROR(INT(_xlfn.AGGREGATE(14,6,'DONNÉES BRUTES'!AB$3:AB$42*1000+(40-ROW('DONNÉES BRUTES'!AB$3:AB$42)+ROW('DONNÉES BRUTES'!AB$3)),1)/1000)&amp;"/100","—")</f>
        <v>80/100</v>
      </c>
      <c r="G16" s="77"/>
      <c r="H16" s="77">
        <f t="array" ref="H16">IFERROR(INDEX('DONNÉES BRUTES'!Y$3:Y$42,MATCH(_xlfn.AGGREGATE(14,6,'DONNÉES BRUTES'!AB$3:AB$42*1000+(40-ROW('DONNÉES BRUTES'!AB$3:AB$42)+ROW('DONNÉES BRUTES'!AB$3)),1),'DONNÉES BRUTES'!AB$3:AB$42*1000+(40-ROW('DONNÉES BRUTES'!AB$3:AB$42)+ROW('DONNÉES BRUTES'!AB$3)),0)),"—")</f>
        <v>91</v>
      </c>
      <c r="I16" s="77">
        <f t="array" ref="I16">IFERROR(INDEX('DONNÉES BRUTES'!Z$3:Z$42,MATCH(_xlfn.AGGREGATE(14,6,'DONNÉES BRUTES'!AB$3:AB$42*1000+(40-ROW('DONNÉES BRUTES'!AB$3:AB$42)+ROW('DONNÉES BRUTES'!AB$3)),1),'DONNÉES BRUTES'!AB$3:AB$42*1000+(40-ROW('DONNÉES BRUTES'!AB$3:AB$42)+ROW('DONNÉES BRUTES'!AB$3)),0)),"—")</f>
        <v>74</v>
      </c>
      <c r="J16" s="77">
        <f t="array" ref="J16">IFERROR(INDEX('DONNÉES BRUTES'!AA$3:AA$42,MATCH(_xlfn.AGGREGATE(14,6,'DONNÉES BRUTES'!AB$3:AB$42*1000+(40-ROW('DONNÉES BRUTES'!AB$3:AB$42)+ROW('DONNÉES BRUTES'!AB$3)),1),'DONNÉES BRUTES'!AB$3:AB$42*1000+(40-ROW('DONNÉES BRUTES'!AB$3:AB$42)+ROW('DONNÉES BRUTES'!AB$3)),0)),"—")</f>
        <v>98</v>
      </c>
      <c r="K16" s="80" t="str">
        <f t="array" ref="K16">IFERROR(INDEX('DONNÉES BRUTES'!N$3:N$42,MATCH(_xlfn.AGGREGATE(14,6,'DONNÉES BRUTES'!AB$3:AB$42*1000+(40-ROW('DONNÉES BRUTES'!AB$3:AB$42)+ROW('DONNÉES BRUTES'!AB$3)),1),'DONNÉES BRUTES'!AB$3:AB$42*1000+(40-ROW('DONNÉES BRUTES'!AB$3:AB$42)+ROW('DONNÉES BRUTES'!AB$3)),0)),"—")</f>
        <v>49.0%</v>
      </c>
      <c r="L16" s="81" t="str">
        <f t="array" ref="L16">IFERROR(INDEX('DONNÉES BRUTES'!P$3:P$42,MATCH(_xlfn.AGGREGATE(14,6,'DONNÉES BRUTES'!AB$3:AB$42*1000+(40-ROW('DONNÉES BRUTES'!AB$3:AB$42)+ROW('DONNÉES BRUTES'!AB$3)),1),'DONNÉES BRUTES'!AB$3:AB$42*1000+(40-ROW('DONNÉES BRUTES'!AB$3:AB$42)+ROW('DONNÉES BRUTES'!AB$3)),0)),"—")</f>
        <v>+58.2%</v>
      </c>
      <c r="M16" s="77"/>
      <c r="N16" s="77" t="str">
        <f t="array" ref="N16">IFERROR(INDEX('DONNÉES BRUTES'!AC$3:AC$42,MATCH(_xlfn.AGGREGATE(14,6,'DONNÉES BRUTES'!AB$3:AB$42*1000+(40-ROW('DONNÉES BRUTES'!AB$3:AB$42)+ROW('DONNÉES BRUTES'!AB$3)),1),'DONNÉES BRUTES'!AB$3:AB$42*1000+(40-ROW('DONNÉES BRUTES'!AB$3:AB$42)+ROW('DONNÉES BRUTES'!AB$3)),0)),"—")</f>
        <v>2026-05-07</v>
      </c>
      <c r="O16" s="82" t="str">
        <f t="array" ref="O16">IFERROR(INDEX('DONNÉES BRUTES'!AD$3:AD$42,MATCH(_xlfn.AGGREGATE(14,6,'DONNÉES BRUTES'!AB$3:AB$42*1000+(40-ROW('DONNÉES BRUTES'!AB$3:AB$42)+ROW('DONNÉES BRUTES'!AB$3)),1),'DONNÉES BRUTES'!AB$3:AB$42*1000+(40-ROW('DONNÉES BRUTES'!AB$3:AB$42)+ROW('DONNÉES BRUTES'!AB$3)),0)),"—")</f>
        <v>Surpondérer</v>
      </c>
      <c r="P16" s="395"/>
      <c r="Q16" s="391"/>
      <c r="R16" s="391"/>
      <c r="S16" s="391"/>
      <c r="T16" s="391"/>
      <c r="U16" s="391"/>
    </row>
    <row r="17" spans="1:21" ht="15.9" customHeight="1" thickBot="1" x14ac:dyDescent="0.35">
      <c r="A17" s="33"/>
      <c r="B17" s="83">
        <v>2</v>
      </c>
      <c r="C17" s="84" t="str">
        <f t="array" ref="C17">IFERROR(INDEX('DONNÉES BRUTES'!A$3:A$42,MATCH(_xlfn.AGGREGATE(14,6,'DONNÉES BRUTES'!AB$3:AB$42*1000+(40-ROW('DONNÉES BRUTES'!AB$3:AB$42)+ROW('DONNÉES BRUTES'!AB$3)),2),'DONNÉES BRUTES'!AB$3:AB$42*1000+(40-ROW('DONNÉES BRUTES'!AB$3:AB$42)+ROW('DONNÉES BRUTES'!AB$3)),0)),"—")</f>
        <v>RIO.L</v>
      </c>
      <c r="D17" s="85" t="str">
        <f t="array" ref="D17">IFERROR(LEFT(IFERROR(INDEX('DONNÉES BRUTES'!B$3:B$42,MATCH(_xlfn.AGGREGATE(14,6,'DONNÉES BRUTES'!AB$3:AB$42*1000+(40-ROW('DONNÉES BRUTES'!AB$3:AB$42)+ROW('DONNÉES BRUTES'!AB$3)),2),'DONNÉES BRUTES'!AB$3:AB$42*1000+(40-ROW('DONNÉES BRUTES'!AB$3:AB$42)+ROW('DONNÉES BRUTES'!AB$3)),0)),"—"),18),"—")</f>
        <v>Rio Tinto Group</v>
      </c>
      <c r="E17" s="85" t="str">
        <f t="array" ref="E17">IFERROR(INDEX('DONNÉES BRUTES'!C$3:C$42,MATCH(_xlfn.AGGREGATE(14,6,'DONNÉES BRUTES'!AB$3:AB$42*1000+(40-ROW('DONNÉES BRUTES'!AB$3:AB$42)+ROW('DONNÉES BRUTES'!AB$3)),2),'DONNÉES BRUTES'!AB$3:AB$42*1000+(40-ROW('DONNÉES BRUTES'!AB$3:AB$42)+ROW('DONNÉES BRUTES'!AB$3)),0)),"—")</f>
        <v>Matériaux</v>
      </c>
      <c r="F17" s="86" t="str">
        <f t="array" ref="F17">IFERROR(INT(_xlfn.AGGREGATE(14,6,'DONNÉES BRUTES'!AB$3:AB$42*1000+(40-ROW('DONNÉES BRUTES'!AB$3:AB$42)+ROW('DONNÉES BRUTES'!AB$3)),2)/1000)&amp;"/100","—")</f>
        <v>71/100</v>
      </c>
      <c r="G17" s="84"/>
      <c r="H17" s="84">
        <f t="array" ref="H17">IFERROR(INDEX('DONNÉES BRUTES'!Y$3:Y$42,MATCH(_xlfn.AGGREGATE(14,6,'DONNÉES BRUTES'!AB$3:AB$42*1000+(40-ROW('DONNÉES BRUTES'!AB$3:AB$42)+ROW('DONNÉES BRUTES'!AB$3)),2),'DONNÉES BRUTES'!AB$3:AB$42*1000+(40-ROW('DONNÉES BRUTES'!AB$3:AB$42)+ROW('DONNÉES BRUTES'!AB$3)),0)),"—")</f>
        <v>64</v>
      </c>
      <c r="I17" s="84">
        <f t="array" ref="I17">IFERROR(INDEX('DONNÉES BRUTES'!Z$3:Z$42,MATCH(_xlfn.AGGREGATE(14,6,'DONNÉES BRUTES'!AB$3:AB$42*1000+(40-ROW('DONNÉES BRUTES'!AB$3:AB$42)+ROW('DONNÉES BRUTES'!AB$3)),2),'DONNÉES BRUTES'!AB$3:AB$42*1000+(40-ROW('DONNÉES BRUTES'!AB$3:AB$42)+ROW('DONNÉES BRUTES'!AB$3)),0)),"—")</f>
        <v>70</v>
      </c>
      <c r="J17" s="84">
        <f t="array" ref="J17">IFERROR(INDEX('DONNÉES BRUTES'!AA$3:AA$42,MATCH(_xlfn.AGGREGATE(14,6,'DONNÉES BRUTES'!AB$3:AB$42*1000+(40-ROW('DONNÉES BRUTES'!AB$3:AB$42)+ROW('DONNÉES BRUTES'!AB$3)),2),'DONNÉES BRUTES'!AB$3:AB$42*1000+(40-ROW('DONNÉES BRUTES'!AB$3:AB$42)+ROW('DONNÉES BRUTES'!AB$3)),0)),"—")</f>
        <v>95</v>
      </c>
      <c r="K17" s="87" t="str">
        <f t="array" ref="K17">IFERROR(INDEX('DONNÉES BRUTES'!N$3:N$42,MATCH(_xlfn.AGGREGATE(14,6,'DONNÉES BRUTES'!AB$3:AB$42*1000+(40-ROW('DONNÉES BRUTES'!AB$3:AB$42)+ROW('DONNÉES BRUTES'!AB$3)),2),'DONNÉES BRUTES'!AB$3:AB$42*1000+(40-ROW('DONNÉES BRUTES'!AB$3:AB$42)+ROW('DONNÉES BRUTES'!AB$3)),0)),"—")</f>
        <v>39.9%</v>
      </c>
      <c r="L17" s="88" t="str">
        <f t="array" ref="L17">IFERROR(INDEX('DONNÉES BRUTES'!P$3:P$42,MATCH(_xlfn.AGGREGATE(14,6,'DONNÉES BRUTES'!AB$3:AB$42*1000+(40-ROW('DONNÉES BRUTES'!AB$3:AB$42)+ROW('DONNÉES BRUTES'!AB$3)),2),'DONNÉES BRUTES'!AB$3:AB$42*1000+(40-ROW('DONNÉES BRUTES'!AB$3:AB$42)+ROW('DONNÉES BRUTES'!AB$3)),0)),"—")</f>
        <v>+7.4%</v>
      </c>
      <c r="M17" s="84"/>
      <c r="N17" s="84" t="str">
        <f t="array" ref="N17">IFERROR(INDEX('DONNÉES BRUTES'!AC$3:AC$42,MATCH(_xlfn.AGGREGATE(14,6,'DONNÉES BRUTES'!AB$3:AB$42*1000+(40-ROW('DONNÉES BRUTES'!AB$3:AB$42)+ROW('DONNÉES BRUTES'!AB$3)),2),'DONNÉES BRUTES'!AB$3:AB$42*1000+(40-ROW('DONNÉES BRUTES'!AB$3:AB$42)+ROW('DONNÉES BRUTES'!AB$3)),0)),"—")</f>
        <v>—</v>
      </c>
      <c r="O17" s="89" t="str">
        <f t="array" ref="O17">IFERROR(INDEX('DONNÉES BRUTES'!AD$3:AD$42,MATCH(_xlfn.AGGREGATE(14,6,'DONNÉES BRUTES'!AB$3:AB$42*1000+(40-ROW('DONNÉES BRUTES'!AB$3:AB$42)+ROW('DONNÉES BRUTES'!AB$3)),2),'DONNÉES BRUTES'!AB$3:AB$42*1000+(40-ROW('DONNÉES BRUTES'!AB$3:AB$42)+ROW('DONNÉES BRUTES'!AB$3)),0)),"—")</f>
        <v>Surpondérer</v>
      </c>
      <c r="P17" s="393"/>
      <c r="Q17" s="391"/>
      <c r="R17" s="391"/>
      <c r="S17" s="391"/>
      <c r="T17" s="391"/>
      <c r="U17" s="391"/>
    </row>
    <row r="18" spans="1:21" ht="15.9" customHeight="1" thickBot="1" x14ac:dyDescent="0.35">
      <c r="A18" s="32"/>
      <c r="B18" s="76">
        <v>3</v>
      </c>
      <c r="C18" s="77" t="str">
        <f t="array" ref="C18">IFERROR(INDEX('DONNÉES BRUTES'!A$3:A$42,MATCH(_xlfn.AGGREGATE(14,6,'DONNÉES BRUTES'!AB$3:AB$42*1000+(40-ROW('DONNÉES BRUTES'!AB$3:AB$42)+ROW('DONNÉES BRUTES'!AB$3)),3),'DONNÉES BRUTES'!AB$3:AB$42*1000+(40-ROW('DONNÉES BRUTES'!AB$3:AB$42)+ROW('DONNÉES BRUTES'!AB$3)),0)),"—")</f>
        <v>FRES.L</v>
      </c>
      <c r="D18" s="78" t="str">
        <f t="array" ref="D18">IFERROR(LEFT(IFERROR(INDEX('DONNÉES BRUTES'!B$3:B$42,MATCH(_xlfn.AGGREGATE(14,6,'DONNÉES BRUTES'!AB$3:AB$42*1000+(40-ROW('DONNÉES BRUTES'!AB$3:AB$42)+ROW('DONNÉES BRUTES'!AB$3)),3),'DONNÉES BRUTES'!AB$3:AB$42*1000+(40-ROW('DONNÉES BRUTES'!AB$3:AB$42)+ROW('DONNÉES BRUTES'!AB$3)),0)),"—"),18),"—")</f>
        <v>Fresnillo plc</v>
      </c>
      <c r="E18" s="78" t="str">
        <f t="array" ref="E18">IFERROR(INDEX('DONNÉES BRUTES'!C$3:C$42,MATCH(_xlfn.AGGREGATE(14,6,'DONNÉES BRUTES'!AB$3:AB$42*1000+(40-ROW('DONNÉES BRUTES'!AB$3:AB$42)+ROW('DONNÉES BRUTES'!AB$3)),3),'DONNÉES BRUTES'!AB$3:AB$42*1000+(40-ROW('DONNÉES BRUTES'!AB$3:AB$42)+ROW('DONNÉES BRUTES'!AB$3)),0)),"—")</f>
        <v>Matériaux</v>
      </c>
      <c r="F18" s="79" t="str">
        <f t="array" ref="F18">IFERROR(INT(_xlfn.AGGREGATE(14,6,'DONNÉES BRUTES'!AB$3:AB$42*1000+(40-ROW('DONNÉES BRUTES'!AB$3:AB$42)+ROW('DONNÉES BRUTES'!AB$3)),3)/1000)&amp;"/100","—")</f>
        <v>66/100</v>
      </c>
      <c r="G18" s="77"/>
      <c r="H18" s="77">
        <f t="array" ref="H18">IFERROR(INDEX('DONNÉES BRUTES'!Y$3:Y$42,MATCH(_xlfn.AGGREGATE(14,6,'DONNÉES BRUTES'!AB$3:AB$42*1000+(40-ROW('DONNÉES BRUTES'!AB$3:AB$42)+ROW('DONNÉES BRUTES'!AB$3)),3),'DONNÉES BRUTES'!AB$3:AB$42*1000+(40-ROW('DONNÉES BRUTES'!AB$3:AB$42)+ROW('DONNÉES BRUTES'!AB$3)),0)),"—")</f>
        <v>61</v>
      </c>
      <c r="I18" s="77">
        <f t="array" ref="I18">IFERROR(INDEX('DONNÉES BRUTES'!Z$3:Z$42,MATCH(_xlfn.AGGREGATE(14,6,'DONNÉES BRUTES'!AB$3:AB$42*1000+(40-ROW('DONNÉES BRUTES'!AB$3:AB$42)+ROW('DONNÉES BRUTES'!AB$3)),3),'DONNÉES BRUTES'!AB$3:AB$42*1000+(40-ROW('DONNÉES BRUTES'!AB$3:AB$42)+ROW('DONNÉES BRUTES'!AB$3)),0)),"—")</f>
        <v>83</v>
      </c>
      <c r="J18" s="77">
        <f t="array" ref="J18">IFERROR(INDEX('DONNÉES BRUTES'!AA$3:AA$42,MATCH(_xlfn.AGGREGATE(14,6,'DONNÉES BRUTES'!AB$3:AB$42*1000+(40-ROW('DONNÉES BRUTES'!AB$3:AB$42)+ROW('DONNÉES BRUTES'!AB$3)),3),'DONNÉES BRUTES'!AB$3:AB$42*1000+(40-ROW('DONNÉES BRUTES'!AB$3:AB$42)+ROW('DONNÉES BRUTES'!AB$3)),0)),"—")</f>
        <v>100</v>
      </c>
      <c r="K18" s="80" t="str">
        <f t="array" ref="K18">IFERROR(INDEX('DONNÉES BRUTES'!N$3:N$42,MATCH(_xlfn.AGGREGATE(14,6,'DONNÉES BRUTES'!AB$3:AB$42*1000+(40-ROW('DONNÉES BRUTES'!AB$3:AB$42)+ROW('DONNÉES BRUTES'!AB$3)),3),'DONNÉES BRUTES'!AB$3:AB$42*1000+(40-ROW('DONNÉES BRUTES'!AB$3:AB$42)+ROW('DONNÉES BRUTES'!AB$3)),0)),"—")</f>
        <v>41.0%</v>
      </c>
      <c r="L18" s="81" t="str">
        <f t="array" ref="L18">IFERROR(INDEX('DONNÉES BRUTES'!P$3:P$42,MATCH(_xlfn.AGGREGATE(14,6,'DONNÉES BRUTES'!AB$3:AB$42*1000+(40-ROW('DONNÉES BRUTES'!AB$3:AB$42)+ROW('DONNÉES BRUTES'!AB$3)),3),'DONNÉES BRUTES'!AB$3:AB$42*1000+(40-ROW('DONNÉES BRUTES'!AB$3:AB$42)+ROW('DONNÉES BRUTES'!AB$3)),0)),"—")</f>
        <v>+29.3%</v>
      </c>
      <c r="M18" s="77"/>
      <c r="N18" s="90" t="str">
        <f t="array" ref="N18">IFERROR(INDEX('DONNÉES BRUTES'!AC$3:AC$42,MATCH(_xlfn.AGGREGATE(14,6,'DONNÉES BRUTES'!AB$3:AB$42*1000+(40-ROW('DONNÉES BRUTES'!AB$3:AB$42)+ROW('DONNÉES BRUTES'!AB$3)),3),'DONNÉES BRUTES'!AB$3:AB$42*1000+(40-ROW('DONNÉES BRUTES'!AB$3:AB$42)+ROW('DONNÉES BRUTES'!AB$3)),0)),"—")</f>
        <v>—</v>
      </c>
      <c r="O18" s="91" t="str">
        <f t="array" ref="O18">IFERROR(INDEX('DONNÉES BRUTES'!AD$3:AD$42,MATCH(_xlfn.AGGREGATE(14,6,'DONNÉES BRUTES'!AB$3:AB$42*1000+(40-ROW('DONNÉES BRUTES'!AB$3:AB$42)+ROW('DONNÉES BRUTES'!AB$3)),3),'DONNÉES BRUTES'!AB$3:AB$42*1000+(40-ROW('DONNÉES BRUTES'!AB$3:AB$42)+ROW('DONNÉES BRUTES'!AB$3)),0)),"—")</f>
        <v>Surpondérer</v>
      </c>
      <c r="P18" s="393"/>
      <c r="Q18" s="391"/>
      <c r="R18" s="391"/>
      <c r="S18" s="391"/>
      <c r="T18" s="391"/>
      <c r="U18" s="391"/>
    </row>
    <row r="19" spans="1:21" ht="15.9" customHeight="1" thickBot="1" x14ac:dyDescent="0.35">
      <c r="A19" s="33"/>
      <c r="B19" s="83">
        <v>4</v>
      </c>
      <c r="C19" s="84" t="str">
        <f t="array" ref="C19">IFERROR(INDEX('DONNÉES BRUTES'!A$3:A$42,MATCH(_xlfn.AGGREGATE(14,6,'DONNÉES BRUTES'!AB$3:AB$42*1000+(40-ROW('DONNÉES BRUTES'!AB$3:AB$42)+ROW('DONNÉES BRUTES'!AB$3)),4),'DONNÉES BRUTES'!AB$3:AB$42*1000+(40-ROW('DONNÉES BRUTES'!AB$3:AB$42)+ROW('DONNÉES BRUTES'!AB$3)),0)),"—")</f>
        <v>ANTO.L</v>
      </c>
      <c r="D19" s="85" t="str">
        <f t="array" ref="D19">IFERROR(LEFT(IFERROR(INDEX('DONNÉES BRUTES'!B$3:B$42,MATCH(_xlfn.AGGREGATE(14,6,'DONNÉES BRUTES'!AB$3:AB$42*1000+(40-ROW('DONNÉES BRUTES'!AB$3:AB$42)+ROW('DONNÉES BRUTES'!AB$3)),4),'DONNÉES BRUTES'!AB$3:AB$42*1000+(40-ROW('DONNÉES BRUTES'!AB$3:AB$42)+ROW('DONNÉES BRUTES'!AB$3)),0)),"—"),18),"—")</f>
        <v>Antofagasta plc</v>
      </c>
      <c r="E19" s="85" t="str">
        <f t="array" ref="E19">IFERROR(INDEX('DONNÉES BRUTES'!C$3:C$42,MATCH(_xlfn.AGGREGATE(14,6,'DONNÉES BRUTES'!AB$3:AB$42*1000+(40-ROW('DONNÉES BRUTES'!AB$3:AB$42)+ROW('DONNÉES BRUTES'!AB$3)),4),'DONNÉES BRUTES'!AB$3:AB$42*1000+(40-ROW('DONNÉES BRUTES'!AB$3:AB$42)+ROW('DONNÉES BRUTES'!AB$3)),0)),"—")</f>
        <v>Matériaux</v>
      </c>
      <c r="F19" s="86" t="str">
        <f t="array" ref="F19">IFERROR(INT(_xlfn.AGGREGATE(14,6,'DONNÉES BRUTES'!AB$3:AB$42*1000+(40-ROW('DONNÉES BRUTES'!AB$3:AB$42)+ROW('DONNÉES BRUTES'!AB$3)),4)/1000)&amp;"/100","—")</f>
        <v>65/100</v>
      </c>
      <c r="G19" s="84"/>
      <c r="H19" s="84">
        <f t="array" ref="H19">IFERROR(INDEX('DONNÉES BRUTES'!Y$3:Y$42,MATCH(_xlfn.AGGREGATE(14,6,'DONNÉES BRUTES'!AB$3:AB$42*1000+(40-ROW('DONNÉES BRUTES'!AB$3:AB$42)+ROW('DONNÉES BRUTES'!AB$3)),4),'DONNÉES BRUTES'!AB$3:AB$42*1000+(40-ROW('DONNÉES BRUTES'!AB$3:AB$42)+ROW('DONNÉES BRUTES'!AB$3)),0)),"—")</f>
        <v>61</v>
      </c>
      <c r="I19" s="84">
        <f t="array" ref="I19">IFERROR(INDEX('DONNÉES BRUTES'!Z$3:Z$42,MATCH(_xlfn.AGGREGATE(14,6,'DONNÉES BRUTES'!AB$3:AB$42*1000+(40-ROW('DONNÉES BRUTES'!AB$3:AB$42)+ROW('DONNÉES BRUTES'!AB$3)),4),'DONNÉES BRUTES'!AB$3:AB$42*1000+(40-ROW('DONNÉES BRUTES'!AB$3:AB$42)+ROW('DONNÉES BRUTES'!AB$3)),0)),"—")</f>
        <v>76</v>
      </c>
      <c r="J19" s="84">
        <f t="array" ref="J19">IFERROR(INDEX('DONNÉES BRUTES'!AA$3:AA$42,MATCH(_xlfn.AGGREGATE(14,6,'DONNÉES BRUTES'!AB$3:AB$42*1000+(40-ROW('DONNÉES BRUTES'!AB$3:AB$42)+ROW('DONNÉES BRUTES'!AB$3)),4),'DONNÉES BRUTES'!AB$3:AB$42*1000+(40-ROW('DONNÉES BRUTES'!AB$3:AB$42)+ROW('DONNÉES BRUTES'!AB$3)),0)),"—")</f>
        <v>99</v>
      </c>
      <c r="K19" s="87" t="str">
        <f t="array" ref="K19">IFERROR(INDEX('DONNÉES BRUTES'!N$3:N$42,MATCH(_xlfn.AGGREGATE(14,6,'DONNÉES BRUTES'!AB$3:AB$42*1000+(40-ROW('DONNÉES BRUTES'!AB$3:AB$42)+ROW('DONNÉES BRUTES'!AB$3)),4),'DONNÉES BRUTES'!AB$3:AB$42*1000+(40-ROW('DONNÉES BRUTES'!AB$3:AB$42)+ROW('DONNÉES BRUTES'!AB$3)),0)),"—")</f>
        <v>60.0%</v>
      </c>
      <c r="L19" s="92" t="str">
        <f t="array" ref="L19">IFERROR(INDEX('DONNÉES BRUTES'!P$3:P$42,MATCH(_xlfn.AGGREGATE(14,6,'DONNÉES BRUTES'!AB$3:AB$42*1000+(40-ROW('DONNÉES BRUTES'!AB$3:AB$42)+ROW('DONNÉES BRUTES'!AB$3)),4),'DONNÉES BRUTES'!AB$3:AB$42*1000+(40-ROW('DONNÉES BRUTES'!AB$3:AB$42)+ROW('DONNÉES BRUTES'!AB$3)),0)),"—")</f>
        <v>+4.6%</v>
      </c>
      <c r="M19" s="84"/>
      <c r="N19" s="84" t="str">
        <f t="array" ref="N19">IFERROR(INDEX('DONNÉES BRUTES'!AC$3:AC$42,MATCH(_xlfn.AGGREGATE(14,6,'DONNÉES BRUTES'!AB$3:AB$42*1000+(40-ROW('DONNÉES BRUTES'!AB$3:AB$42)+ROW('DONNÉES BRUTES'!AB$3)),4),'DONNÉES BRUTES'!AB$3:AB$42*1000+(40-ROW('DONNÉES BRUTES'!AB$3:AB$42)+ROW('DONNÉES BRUTES'!AB$3)),0)),"—")</f>
        <v>—</v>
      </c>
      <c r="O19" s="89" t="str">
        <f t="array" ref="O19">IFERROR(INDEX('DONNÉES BRUTES'!AD$3:AD$42,MATCH(_xlfn.AGGREGATE(14,6,'DONNÉES BRUTES'!AB$3:AB$42*1000+(40-ROW('DONNÉES BRUTES'!AB$3:AB$42)+ROW('DONNÉES BRUTES'!AB$3)),4),'DONNÉES BRUTES'!AB$3:AB$42*1000+(40-ROW('DONNÉES BRUTES'!AB$3:AB$42)+ROW('DONNÉES BRUTES'!AB$3)),0)),"—")</f>
        <v>Surpondérer</v>
      </c>
      <c r="P19" s="393"/>
      <c r="Q19" s="391"/>
      <c r="R19" s="391"/>
      <c r="S19" s="391"/>
      <c r="T19" s="391"/>
      <c r="U19" s="391"/>
    </row>
    <row r="20" spans="1:21" ht="15.9" customHeight="1" thickBot="1" x14ac:dyDescent="0.35">
      <c r="A20" s="32"/>
      <c r="B20" s="76">
        <v>5</v>
      </c>
      <c r="C20" s="77" t="str">
        <f t="array" ref="C20">IFERROR(INDEX('DONNÉES BRUTES'!A$3:A$42,MATCH(_xlfn.AGGREGATE(14,6,'DONNÉES BRUTES'!AB$3:AB$42*1000+(40-ROW('DONNÉES BRUTES'!AB$3:AB$42)+ROW('DONNÉES BRUTES'!AB$3)),5),'DONNÉES BRUTES'!AB$3:AB$42*1000+(40-ROW('DONNÉES BRUTES'!AB$3:AB$42)+ROW('DONNÉES BRUTES'!AB$3)),0)),"—")</f>
        <v>RR.L</v>
      </c>
      <c r="D20" s="78" t="str">
        <f t="array" ref="D20">IFERROR(LEFT(IFERROR(INDEX('DONNÉES BRUTES'!B$3:B$42,MATCH(_xlfn.AGGREGATE(14,6,'DONNÉES BRUTES'!AB$3:AB$42*1000+(40-ROW('DONNÉES BRUTES'!AB$3:AB$42)+ROW('DONNÉES BRUTES'!AB$3)),5),'DONNÉES BRUTES'!AB$3:AB$42*1000+(40-ROW('DONNÉES BRUTES'!AB$3:AB$42)+ROW('DONNÉES BRUTES'!AB$3)),0)),"—"),18),"—")</f>
        <v>Rolls-Royce Holdin</v>
      </c>
      <c r="E20" s="78" t="str">
        <f t="array" ref="E20">IFERROR(INDEX('DONNÉES BRUTES'!C$3:C$42,MATCH(_xlfn.AGGREGATE(14,6,'DONNÉES BRUTES'!AB$3:AB$42*1000+(40-ROW('DONNÉES BRUTES'!AB$3:AB$42)+ROW('DONNÉES BRUTES'!AB$3)),5),'DONNÉES BRUTES'!AB$3:AB$42*1000+(40-ROW('DONNÉES BRUTES'!AB$3:AB$42)+ROW('DONNÉES BRUTES'!AB$3)),0)),"—")</f>
        <v>Industrie</v>
      </c>
      <c r="F20" s="79" t="str">
        <f t="array" ref="F20">IFERROR(INT(_xlfn.AGGREGATE(14,6,'DONNÉES BRUTES'!AB$3:AB$42*1000+(40-ROW('DONNÉES BRUTES'!AB$3:AB$42)+ROW('DONNÉES BRUTES'!AB$3)),5)/1000)&amp;"/100","—")</f>
        <v>64/100</v>
      </c>
      <c r="G20" s="77"/>
      <c r="H20" s="77">
        <f t="array" ref="H20">IFERROR(INDEX('DONNÉES BRUTES'!Y$3:Y$42,MATCH(_xlfn.AGGREGATE(14,6,'DONNÉES BRUTES'!AB$3:AB$42*1000+(40-ROW('DONNÉES BRUTES'!AB$3:AB$42)+ROW('DONNÉES BRUTES'!AB$3)),5),'DONNÉES BRUTES'!AB$3:AB$42*1000+(40-ROW('DONNÉES BRUTES'!AB$3:AB$42)+ROW('DONNÉES BRUTES'!AB$3)),0)),"—")</f>
        <v>79</v>
      </c>
      <c r="I20" s="77">
        <f t="array" ref="I20">IFERROR(INDEX('DONNÉES BRUTES'!Z$3:Z$42,MATCH(_xlfn.AGGREGATE(14,6,'DONNÉES BRUTES'!AB$3:AB$42*1000+(40-ROW('DONNÉES BRUTES'!AB$3:AB$42)+ROW('DONNÉES BRUTES'!AB$3)),5),'DONNÉES BRUTES'!AB$3:AB$42*1000+(40-ROW('DONNÉES BRUTES'!AB$3:AB$42)+ROW('DONNÉES BRUTES'!AB$3)),0)),"—")</f>
        <v>64</v>
      </c>
      <c r="J20" s="77">
        <f t="array" ref="J20">IFERROR(INDEX('DONNÉES BRUTES'!AA$3:AA$42,MATCH(_xlfn.AGGREGATE(14,6,'DONNÉES BRUTES'!AB$3:AB$42*1000+(40-ROW('DONNÉES BRUTES'!AB$3:AB$42)+ROW('DONNÉES BRUTES'!AB$3)),5),'DONNÉES BRUTES'!AB$3:AB$42*1000+(40-ROW('DONNÉES BRUTES'!AB$3:AB$42)+ROW('DONNÉES BRUTES'!AB$3)),0)),"—")</f>
        <v>89</v>
      </c>
      <c r="K20" s="80" t="str">
        <f t="array" ref="K20">IFERROR(INDEX('DONNÉES BRUTES'!N$3:N$42,MATCH(_xlfn.AGGREGATE(14,6,'DONNÉES BRUTES'!AB$3:AB$42*1000+(40-ROW('DONNÉES BRUTES'!AB$3:AB$42)+ROW('DONNÉES BRUTES'!AB$3)),5),'DONNÉES BRUTES'!AB$3:AB$42*1000+(40-ROW('DONNÉES BRUTES'!AB$3:AB$42)+ROW('DONNÉES BRUTES'!AB$3)),0)),"—")</f>
        <v>38.4%</v>
      </c>
      <c r="L20" s="81" t="str">
        <f t="array" ref="L20">IFERROR(INDEX('DONNÉES BRUTES'!P$3:P$42,MATCH(_xlfn.AGGREGATE(14,6,'DONNÉES BRUTES'!AB$3:AB$42*1000+(40-ROW('DONNÉES BRUTES'!AB$3:AB$42)+ROW('DONNÉES BRUTES'!AB$3)),5),'DONNÉES BRUTES'!AB$3:AB$42*1000+(40-ROW('DONNÉES BRUTES'!AB$3:AB$42)+ROW('DONNÉES BRUTES'!AB$3)),0)),"—")</f>
        <v>+12.2%</v>
      </c>
      <c r="M20" s="77"/>
      <c r="N20" s="90" t="str">
        <f t="array" ref="N20">IFERROR(INDEX('DONNÉES BRUTES'!AC$3:AC$42,MATCH(_xlfn.AGGREGATE(14,6,'DONNÉES BRUTES'!AB$3:AB$42*1000+(40-ROW('DONNÉES BRUTES'!AB$3:AB$42)+ROW('DONNÉES BRUTES'!AB$3)),5),'DONNÉES BRUTES'!AB$3:AB$42*1000+(40-ROW('DONNÉES BRUTES'!AB$3:AB$42)+ROW('DONNÉES BRUTES'!AB$3)),0)),"—")</f>
        <v>—</v>
      </c>
      <c r="O20" s="91" t="str">
        <f t="array" ref="O20">IFERROR(INDEX('DONNÉES BRUTES'!AD$3:AD$42,MATCH(_xlfn.AGGREGATE(14,6,'DONNÉES BRUTES'!AB$3:AB$42*1000+(40-ROW('DONNÉES BRUTES'!AB$3:AB$42)+ROW('DONNÉES BRUTES'!AB$3)),5),'DONNÉES BRUTES'!AB$3:AB$42*1000+(40-ROW('DONNÉES BRUTES'!AB$3:AB$42)+ROW('DONNÉES BRUTES'!AB$3)),0)),"—")</f>
        <v>Surpondérer</v>
      </c>
      <c r="P20" s="393"/>
      <c r="Q20" s="391"/>
      <c r="R20" s="391"/>
      <c r="S20" s="391"/>
      <c r="T20" s="391"/>
      <c r="U20" s="391"/>
    </row>
    <row r="21" spans="1:21" ht="15.9" customHeight="1" thickBot="1" x14ac:dyDescent="0.35">
      <c r="A21" s="33"/>
      <c r="B21" s="83">
        <v>6</v>
      </c>
      <c r="C21" s="84" t="str">
        <f t="array" ref="C21">IFERROR(INDEX('DONNÉES BRUTES'!A$3:A$42,MATCH(_xlfn.AGGREGATE(14,6,'DONNÉES BRUTES'!AB$3:AB$42*1000+(40-ROW('DONNÉES BRUTES'!AB$3:AB$42)+ROW('DONNÉES BRUTES'!AB$3)),6),'DONNÉES BRUTES'!AB$3:AB$42*1000+(40-ROW('DONNÉES BRUTES'!AB$3:AB$42)+ROW('DONNÉES BRUTES'!AB$3)),0)),"—")</f>
        <v>HLMA.L</v>
      </c>
      <c r="D21" s="85" t="str">
        <f t="array" ref="D21">IFERROR(LEFT(IFERROR(INDEX('DONNÉES BRUTES'!B$3:B$42,MATCH(_xlfn.AGGREGATE(14,6,'DONNÉES BRUTES'!AB$3:AB$42*1000+(40-ROW('DONNÉES BRUTES'!AB$3:AB$42)+ROW('DONNÉES BRUTES'!AB$3)),6),'DONNÉES BRUTES'!AB$3:AB$42*1000+(40-ROW('DONNÉES BRUTES'!AB$3:AB$42)+ROW('DONNÉES BRUTES'!AB$3)),0)),"—"),18),"—")</f>
        <v>Halma plc</v>
      </c>
      <c r="E21" s="85" t="str">
        <f t="array" ref="E21">IFERROR(INDEX('DONNÉES BRUTES'!C$3:C$42,MATCH(_xlfn.AGGREGATE(14,6,'DONNÉES BRUTES'!AB$3:AB$42*1000+(40-ROW('DONNÉES BRUTES'!AB$3:AB$42)+ROW('DONNÉES BRUTES'!AB$3)),6),'DONNÉES BRUTES'!AB$3:AB$42*1000+(40-ROW('DONNÉES BRUTES'!AB$3:AB$42)+ROW('DONNÉES BRUTES'!AB$3)),0)),"—")</f>
        <v>Industrie</v>
      </c>
      <c r="F21" s="86" t="str">
        <f t="array" ref="F21">IFERROR(INT(_xlfn.AGGREGATE(14,6,'DONNÉES BRUTES'!AB$3:AB$42*1000+(40-ROW('DONNÉES BRUTES'!AB$3:AB$42)+ROW('DONNÉES BRUTES'!AB$3)),6)/1000)&amp;"/100","—")</f>
        <v>63/100</v>
      </c>
      <c r="G21" s="84"/>
      <c r="H21" s="84">
        <f t="array" ref="H21">IFERROR(INDEX('DONNÉES BRUTES'!Y$3:Y$42,MATCH(_xlfn.AGGREGATE(14,6,'DONNÉES BRUTES'!AB$3:AB$42*1000+(40-ROW('DONNÉES BRUTES'!AB$3:AB$42)+ROW('DONNÉES BRUTES'!AB$3)),6),'DONNÉES BRUTES'!AB$3:AB$42*1000+(40-ROW('DONNÉES BRUTES'!AB$3:AB$42)+ROW('DONNÉES BRUTES'!AB$3)),0)),"—")</f>
        <v>66</v>
      </c>
      <c r="I21" s="84">
        <f t="array" ref="I21">IFERROR(INDEX('DONNÉES BRUTES'!Z$3:Z$42,MATCH(_xlfn.AGGREGATE(14,6,'DONNÉES BRUTES'!AB$3:AB$42*1000+(40-ROW('DONNÉES BRUTES'!AB$3:AB$42)+ROW('DONNÉES BRUTES'!AB$3)),6),'DONNÉES BRUTES'!AB$3:AB$42*1000+(40-ROW('DONNÉES BRUTES'!AB$3:AB$42)+ROW('DONNÉES BRUTES'!AB$3)),0)),"—")</f>
        <v>73</v>
      </c>
      <c r="J21" s="84">
        <f t="array" ref="J21">IFERROR(INDEX('DONNÉES BRUTES'!AA$3:AA$42,MATCH(_xlfn.AGGREGATE(14,6,'DONNÉES BRUTES'!AB$3:AB$42*1000+(40-ROW('DONNÉES BRUTES'!AB$3:AB$42)+ROW('DONNÉES BRUTES'!AB$3)),6),'DONNÉES BRUTES'!AB$3:AB$42*1000+(40-ROW('DONNÉES BRUTES'!AB$3:AB$42)+ROW('DONNÉES BRUTES'!AB$3)),0)),"—")</f>
        <v>90</v>
      </c>
      <c r="K21" s="87" t="str">
        <f t="array" ref="K21">IFERROR(INDEX('DONNÉES BRUTES'!N$3:N$42,MATCH(_xlfn.AGGREGATE(14,6,'DONNÉES BRUTES'!AB$3:AB$42*1000+(40-ROW('DONNÉES BRUTES'!AB$3:AB$42)+ROW('DONNÉES BRUTES'!AB$3)),6),'DONNÉES BRUTES'!AB$3:AB$42*1000+(40-ROW('DONNÉES BRUTES'!AB$3:AB$42)+ROW('DONNÉES BRUTES'!AB$3)),0)),"—")</f>
        <v>23.9%</v>
      </c>
      <c r="L21" s="92" t="str">
        <f t="array" ref="L21">IFERROR(INDEX('DONNÉES BRUTES'!P$3:P$42,MATCH(_xlfn.AGGREGATE(14,6,'DONNÉES BRUTES'!AB$3:AB$42*1000+(40-ROW('DONNÉES BRUTES'!AB$3:AB$42)+ROW('DONNÉES BRUTES'!AB$3)),6),'DONNÉES BRUTES'!AB$3:AB$42*1000+(40-ROW('DONNÉES BRUTES'!AB$3:AB$42)+ROW('DONNÉES BRUTES'!AB$3)),0)),"—")</f>
        <v>+10.5%</v>
      </c>
      <c r="M21" s="84"/>
      <c r="N21" s="93" t="str">
        <f t="array" ref="N21">IFERROR(INDEX('DONNÉES BRUTES'!AC$3:AC$42,MATCH(_xlfn.AGGREGATE(14,6,'DONNÉES BRUTES'!AB$3:AB$42*1000+(40-ROW('DONNÉES BRUTES'!AB$3:AB$42)+ROW('DONNÉES BRUTES'!AB$3)),6),'DONNÉES BRUTES'!AB$3:AB$42*1000+(40-ROW('DONNÉES BRUTES'!AB$3:AB$42)+ROW('DONNÉES BRUTES'!AB$3)),0)),"—")</f>
        <v>2026-06-11</v>
      </c>
      <c r="O21" s="89" t="str">
        <f t="array" ref="O21">IFERROR(INDEX('DONNÉES BRUTES'!AD$3:AD$42,MATCH(_xlfn.AGGREGATE(14,6,'DONNÉES BRUTES'!AB$3:AB$42*1000+(40-ROW('DONNÉES BRUTES'!AB$3:AB$42)+ROW('DONNÉES BRUTES'!AB$3)),6),'DONNÉES BRUTES'!AB$3:AB$42*1000+(40-ROW('DONNÉES BRUTES'!AB$3:AB$42)+ROW('DONNÉES BRUTES'!AB$3)),0)),"—")</f>
        <v>Surpondérer</v>
      </c>
      <c r="P21" s="393"/>
      <c r="Q21" s="391"/>
      <c r="R21" s="391"/>
      <c r="S21" s="391"/>
      <c r="T21" s="391"/>
      <c r="U21" s="391"/>
    </row>
    <row r="22" spans="1:21" ht="15.9" customHeight="1" thickBot="1" x14ac:dyDescent="0.35">
      <c r="A22" s="32"/>
      <c r="B22" s="76">
        <v>7</v>
      </c>
      <c r="C22" s="77" t="str">
        <f t="array" ref="C22">IFERROR(INDEX('DONNÉES BRUTES'!A$3:A$42,MATCH(_xlfn.AGGREGATE(14,6,'DONNÉES BRUTES'!AB$3:AB$42*1000+(40-ROW('DONNÉES BRUTES'!AB$3:AB$42)+ROW('DONNÉES BRUTES'!AB$3)),7),'DONNÉES BRUTES'!AB$3:AB$42*1000+(40-ROW('DONNÉES BRUTES'!AB$3:AB$42)+ROW('DONNÉES BRUTES'!AB$3)),0)),"—")</f>
        <v>DPLM.L</v>
      </c>
      <c r="D22" s="78" t="str">
        <f t="array" ref="D22">IFERROR(LEFT(IFERROR(INDEX('DONNÉES BRUTES'!B$3:B$42,MATCH(_xlfn.AGGREGATE(14,6,'DONNÉES BRUTES'!AB$3:AB$42*1000+(40-ROW('DONNÉES BRUTES'!AB$3:AB$42)+ROW('DONNÉES BRUTES'!AB$3)),7),'DONNÉES BRUTES'!AB$3:AB$42*1000+(40-ROW('DONNÉES BRUTES'!AB$3:AB$42)+ROW('DONNÉES BRUTES'!AB$3)),0)),"—"),18),"—")</f>
        <v>Diploma PLC</v>
      </c>
      <c r="E22" s="78" t="str">
        <f t="array" ref="E22">IFERROR(INDEX('DONNÉES BRUTES'!C$3:C$42,MATCH(_xlfn.AGGREGATE(14,6,'DONNÉES BRUTES'!AB$3:AB$42*1000+(40-ROW('DONNÉES BRUTES'!AB$3:AB$42)+ROW('DONNÉES BRUTES'!AB$3)),7),'DONNÉES BRUTES'!AB$3:AB$42*1000+(40-ROW('DONNÉES BRUTES'!AB$3:AB$42)+ROW('DONNÉES BRUTES'!AB$3)),0)),"—")</f>
        <v>Industrie</v>
      </c>
      <c r="F22" s="79" t="str">
        <f t="array" ref="F22">IFERROR(INT(_xlfn.AGGREGATE(14,6,'DONNÉES BRUTES'!AB$3:AB$42*1000+(40-ROW('DONNÉES BRUTES'!AB$3:AB$42)+ROW('DONNÉES BRUTES'!AB$3)),7)/1000)&amp;"/100","—")</f>
        <v>62/100</v>
      </c>
      <c r="G22" s="77"/>
      <c r="H22" s="77">
        <f t="array" ref="H22">IFERROR(INDEX('DONNÉES BRUTES'!Y$3:Y$42,MATCH(_xlfn.AGGREGATE(14,6,'DONNÉES BRUTES'!AB$3:AB$42*1000+(40-ROW('DONNÉES BRUTES'!AB$3:AB$42)+ROW('DONNÉES BRUTES'!AB$3)),7),'DONNÉES BRUTES'!AB$3:AB$42*1000+(40-ROW('DONNÉES BRUTES'!AB$3:AB$42)+ROW('DONNÉES BRUTES'!AB$3)),0)),"—")</f>
        <v>69</v>
      </c>
      <c r="I22" s="77">
        <f t="array" ref="I22">IFERROR(INDEX('DONNÉES BRUTES'!Z$3:Z$42,MATCH(_xlfn.AGGREGATE(14,6,'DONNÉES BRUTES'!AB$3:AB$42*1000+(40-ROW('DONNÉES BRUTES'!AB$3:AB$42)+ROW('DONNÉES BRUTES'!AB$3)),7),'DONNÉES BRUTES'!AB$3:AB$42*1000+(40-ROW('DONNÉES BRUTES'!AB$3:AB$42)+ROW('DONNÉES BRUTES'!AB$3)),0)),"—")</f>
        <v>69</v>
      </c>
      <c r="J22" s="77">
        <f t="array" ref="J22">IFERROR(INDEX('DONNÉES BRUTES'!AA$3:AA$42,MATCH(_xlfn.AGGREGATE(14,6,'DONNÉES BRUTES'!AB$3:AB$42*1000+(40-ROW('DONNÉES BRUTES'!AB$3:AB$42)+ROW('DONNÉES BRUTES'!AB$3)),7),'DONNÉES BRUTES'!AB$3:AB$42*1000+(40-ROW('DONNÉES BRUTES'!AB$3:AB$42)+ROW('DONNÉES BRUTES'!AB$3)),0)),"—")</f>
        <v>86</v>
      </c>
      <c r="K22" s="80" t="str">
        <f t="array" ref="K22">IFERROR(INDEX('DONNÉES BRUTES'!N$3:N$42,MATCH(_xlfn.AGGREGATE(14,6,'DONNÉES BRUTES'!AB$3:AB$42*1000+(40-ROW('DONNÉES BRUTES'!AB$3:AB$42)+ROW('DONNÉES BRUTES'!AB$3)),7),'DONNÉES BRUTES'!AB$3:AB$42*1000+(40-ROW('DONNÉES BRUTES'!AB$3:AB$42)+ROW('DONNÉES BRUTES'!AB$3)),0)),"—")</f>
        <v>24.0%</v>
      </c>
      <c r="L22" s="80" t="str">
        <f t="array" ref="L22">IFERROR(INDEX('DONNÉES BRUTES'!P$3:P$42,MATCH(_xlfn.AGGREGATE(14,6,'DONNÉES BRUTES'!AB$3:AB$42*1000+(40-ROW('DONNÉES BRUTES'!AB$3:AB$42)+ROW('DONNÉES BRUTES'!AB$3)),7),'DONNÉES BRUTES'!AB$3:AB$42*1000+(40-ROW('DONNÉES BRUTES'!AB$3:AB$42)+ROW('DONNÉES BRUTES'!AB$3)),0)),"—")</f>
        <v>+11.8%</v>
      </c>
      <c r="M22" s="77"/>
      <c r="N22" s="77" t="str">
        <f t="array" ref="N22">IFERROR(INDEX('DONNÉES BRUTES'!AC$3:AC$42,MATCH(_xlfn.AGGREGATE(14,6,'DONNÉES BRUTES'!AB$3:AB$42*1000+(40-ROW('DONNÉES BRUTES'!AB$3:AB$42)+ROW('DONNÉES BRUTES'!AB$3)),7),'DONNÉES BRUTES'!AB$3:AB$42*1000+(40-ROW('DONNÉES BRUTES'!AB$3:AB$42)+ROW('DONNÉES BRUTES'!AB$3)),0)),"—")</f>
        <v>2026-05-19</v>
      </c>
      <c r="O22" s="91" t="str">
        <f t="array" ref="O22">IFERROR(INDEX('DONNÉES BRUTES'!AD$3:AD$42,MATCH(_xlfn.AGGREGATE(14,6,'DONNÉES BRUTES'!AB$3:AB$42*1000+(40-ROW('DONNÉES BRUTES'!AB$3:AB$42)+ROW('DONNÉES BRUTES'!AB$3)),7),'DONNÉES BRUTES'!AB$3:AB$42*1000+(40-ROW('DONNÉES BRUTES'!AB$3:AB$42)+ROW('DONNÉES BRUTES'!AB$3)),0)),"—")</f>
        <v>Surpondérer</v>
      </c>
      <c r="P22" s="393"/>
      <c r="Q22" s="391"/>
      <c r="R22" s="391"/>
      <c r="S22" s="391"/>
      <c r="T22" s="391"/>
      <c r="U22" s="391"/>
    </row>
    <row r="23" spans="1:21" ht="15.9" customHeight="1" thickBot="1" x14ac:dyDescent="0.35">
      <c r="A23" s="33"/>
      <c r="B23" s="83">
        <v>8</v>
      </c>
      <c r="C23" s="84" t="str">
        <f t="array" ref="C23">IFERROR(INDEX('DONNÉES BRUTES'!A$3:A$42,MATCH(_xlfn.AGGREGATE(14,6,'DONNÉES BRUTES'!AB$3:AB$42*1000+(40-ROW('DONNÉES BRUTES'!AB$3:AB$42)+ROW('DONNÉES BRUTES'!AB$3)),8),'DONNÉES BRUTES'!AB$3:AB$42*1000+(40-ROW('DONNÉES BRUTES'!AB$3:AB$42)+ROW('DONNÉES BRUTES'!AB$3)),0)),"—")</f>
        <v>GSK.L</v>
      </c>
      <c r="D23" s="85" t="str">
        <f t="array" ref="D23">IFERROR(LEFT(IFERROR(INDEX('DONNÉES BRUTES'!B$3:B$42,MATCH(_xlfn.AGGREGATE(14,6,'DONNÉES BRUTES'!AB$3:AB$42*1000+(40-ROW('DONNÉES BRUTES'!AB$3:AB$42)+ROW('DONNÉES BRUTES'!AB$3)),8),'DONNÉES BRUTES'!AB$3:AB$42*1000+(40-ROW('DONNÉES BRUTES'!AB$3:AB$42)+ROW('DONNÉES BRUTES'!AB$3)),0)),"—"),18),"—")</f>
        <v>GSK plc</v>
      </c>
      <c r="E23" s="85" t="str">
        <f t="array" ref="E23">IFERROR(INDEX('DONNÉES BRUTES'!C$3:C$42,MATCH(_xlfn.AGGREGATE(14,6,'DONNÉES BRUTES'!AB$3:AB$42*1000+(40-ROW('DONNÉES BRUTES'!AB$3:AB$42)+ROW('DONNÉES BRUTES'!AB$3)),8),'DONNÉES BRUTES'!AB$3:AB$42*1000+(40-ROW('DONNÉES BRUTES'!AB$3:AB$42)+ROW('DONNÉES BRUTES'!AB$3)),0)),"—")</f>
        <v>Santé</v>
      </c>
      <c r="F23" s="86" t="str">
        <f t="array" ref="F23">IFERROR(INT(_xlfn.AGGREGATE(14,6,'DONNÉES BRUTES'!AB$3:AB$42*1000+(40-ROW('DONNÉES BRUTES'!AB$3:AB$42)+ROW('DONNÉES BRUTES'!AB$3)),8)/1000)&amp;"/100","—")</f>
        <v>61/100</v>
      </c>
      <c r="G23" s="84"/>
      <c r="H23" s="84">
        <f t="array" ref="H23">IFERROR(INDEX('DONNÉES BRUTES'!Y$3:Y$42,MATCH(_xlfn.AGGREGATE(14,6,'DONNÉES BRUTES'!AB$3:AB$42*1000+(40-ROW('DONNÉES BRUTES'!AB$3:AB$42)+ROW('DONNÉES BRUTES'!AB$3)),8),'DONNÉES BRUTES'!AB$3:AB$42*1000+(40-ROW('DONNÉES BRUTES'!AB$3:AB$42)+ROW('DONNÉES BRUTES'!AB$3)),0)),"—")</f>
        <v>66</v>
      </c>
      <c r="I23" s="84">
        <f t="array" ref="I23">IFERROR(INDEX('DONNÉES BRUTES'!Z$3:Z$42,MATCH(_xlfn.AGGREGATE(14,6,'DONNÉES BRUTES'!AB$3:AB$42*1000+(40-ROW('DONNÉES BRUTES'!AB$3:AB$42)+ROW('DONNÉES BRUTES'!AB$3)),8),'DONNÉES BRUTES'!AB$3:AB$42*1000+(40-ROW('DONNÉES BRUTES'!AB$3:AB$42)+ROW('DONNÉES BRUTES'!AB$3)),0)),"—")</f>
        <v>43</v>
      </c>
      <c r="J23" s="84">
        <f t="array" ref="J23">IFERROR(INDEX('DONNÉES BRUTES'!AA$3:AA$42,MATCH(_xlfn.AGGREGATE(14,6,'DONNÉES BRUTES'!AB$3:AB$42*1000+(40-ROW('DONNÉES BRUTES'!AB$3:AB$42)+ROW('DONNÉES BRUTES'!AB$3)),8),'DONNÉES BRUTES'!AB$3:AB$42*1000+(40-ROW('DONNÉES BRUTES'!AB$3:AB$42)+ROW('DONNÉES BRUTES'!AB$3)),0)),"—")</f>
        <v>84</v>
      </c>
      <c r="K23" s="87" t="str">
        <f t="array" ref="K23">IFERROR(INDEX('DONNÉES BRUTES'!N$3:N$42,MATCH(_xlfn.AGGREGATE(14,6,'DONNÉES BRUTES'!AB$3:AB$42*1000+(40-ROW('DONNÉES BRUTES'!AB$3:AB$42)+ROW('DONNÉES BRUTES'!AB$3)),8),'DONNÉES BRUTES'!AB$3:AB$42*1000+(40-ROW('DONNÉES BRUTES'!AB$3:AB$42)+ROW('DONNÉES BRUTES'!AB$3)),0)),"—")</f>
        <v>31.8%</v>
      </c>
      <c r="L23" s="92" t="str">
        <f t="array" ref="L23">IFERROR(INDEX('DONNÉES BRUTES'!P$3:P$42,MATCH(_xlfn.AGGREGATE(14,6,'DONNÉES BRUTES'!AB$3:AB$42*1000+(40-ROW('DONNÉES BRUTES'!AB$3:AB$42)+ROW('DONNÉES BRUTES'!AB$3)),8),'DONNÉES BRUTES'!AB$3:AB$42*1000+(40-ROW('DONNÉES BRUTES'!AB$3:AB$42)+ROW('DONNÉES BRUTES'!AB$3)),0)),"—")</f>
        <v>+4.1%</v>
      </c>
      <c r="M23" s="84"/>
      <c r="N23" s="93" t="str">
        <f t="array" ref="N23">IFERROR(INDEX('DONNÉES BRUTES'!AC$3:AC$42,MATCH(_xlfn.AGGREGATE(14,6,'DONNÉES BRUTES'!AB$3:AB$42*1000+(40-ROW('DONNÉES BRUTES'!AB$3:AB$42)+ROW('DONNÉES BRUTES'!AB$3)),8),'DONNÉES BRUTES'!AB$3:AB$42*1000+(40-ROW('DONNÉES BRUTES'!AB$3:AB$42)+ROW('DONNÉES BRUTES'!AB$3)),0)),"—")</f>
        <v>2026-04-29</v>
      </c>
      <c r="O23" s="89" t="str">
        <f t="array" ref="O23">IFERROR(INDEX('DONNÉES BRUTES'!AD$3:AD$42,MATCH(_xlfn.AGGREGATE(14,6,'DONNÉES BRUTES'!AB$3:AB$42*1000+(40-ROW('DONNÉES BRUTES'!AB$3:AB$42)+ROW('DONNÉES BRUTES'!AB$3)),8),'DONNÉES BRUTES'!AB$3:AB$42*1000+(40-ROW('DONNÉES BRUTES'!AB$3:AB$42)+ROW('DONNÉES BRUTES'!AB$3)),0)),"—")</f>
        <v>Surpondérer</v>
      </c>
      <c r="P23" s="393"/>
      <c r="Q23" s="391"/>
      <c r="R23" s="391"/>
      <c r="S23" s="391"/>
      <c r="T23" s="391"/>
      <c r="U23" s="391"/>
    </row>
    <row r="24" spans="1:21" ht="15.9" customHeight="1" thickBot="1" x14ac:dyDescent="0.35">
      <c r="A24" s="32"/>
      <c r="B24" s="76">
        <v>9</v>
      </c>
      <c r="C24" s="77" t="str">
        <f t="array" ref="C24">IFERROR(INDEX('DONNÉES BRUTES'!A$3:A$42,MATCH(_xlfn.AGGREGATE(14,6,'DONNÉES BRUTES'!AB$3:AB$42*1000+(40-ROW('DONNÉES BRUTES'!AB$3:AB$42)+ROW('DONNÉES BRUTES'!AB$3)),9),'DONNÉES BRUTES'!AB$3:AB$42*1000+(40-ROW('DONNÉES BRUTES'!AB$3:AB$42)+ROW('DONNÉES BRUTES'!AB$3)),0)),"—")</f>
        <v>RMV.L</v>
      </c>
      <c r="D24" s="78" t="str">
        <f t="array" ref="D24">IFERROR(LEFT(IFERROR(INDEX('DONNÉES BRUTES'!B$3:B$42,MATCH(_xlfn.AGGREGATE(14,6,'DONNÉES BRUTES'!AB$3:AB$42*1000+(40-ROW('DONNÉES BRUTES'!AB$3:AB$42)+ROW('DONNÉES BRUTES'!AB$3)),9),'DONNÉES BRUTES'!AB$3:AB$42*1000+(40-ROW('DONNÉES BRUTES'!AB$3:AB$42)+ROW('DONNÉES BRUTES'!AB$3)),0)),"—"),18),"—")</f>
        <v>Rightmove plc</v>
      </c>
      <c r="E24" s="78" t="str">
        <f t="array" ref="E24">IFERROR(INDEX('DONNÉES BRUTES'!C$3:C$42,MATCH(_xlfn.AGGREGATE(14,6,'DONNÉES BRUTES'!AB$3:AB$42*1000+(40-ROW('DONNÉES BRUTES'!AB$3:AB$42)+ROW('DONNÉES BRUTES'!AB$3)),9),'DONNÉES BRUTES'!AB$3:AB$42*1000+(40-ROW('DONNÉES BRUTES'!AB$3:AB$42)+ROW('DONNÉES BRUTES'!AB$3)),0)),"—")</f>
        <v>Télécoms</v>
      </c>
      <c r="F24" s="79" t="str">
        <f t="array" ref="F24">IFERROR(INT(_xlfn.AGGREGATE(14,6,'DONNÉES BRUTES'!AB$3:AB$42*1000+(40-ROW('DONNÉES BRUTES'!AB$3:AB$42)+ROW('DONNÉES BRUTES'!AB$3)),9)/1000)&amp;"/100","—")</f>
        <v>61/100</v>
      </c>
      <c r="G24" s="77"/>
      <c r="H24" s="77">
        <f t="array" ref="H24">IFERROR(INDEX('DONNÉES BRUTES'!Y$3:Y$42,MATCH(_xlfn.AGGREGATE(14,6,'DONNÉES BRUTES'!AB$3:AB$42*1000+(40-ROW('DONNÉES BRUTES'!AB$3:AB$42)+ROW('DONNÉES BRUTES'!AB$3)),9),'DONNÉES BRUTES'!AB$3:AB$42*1000+(40-ROW('DONNÉES BRUTES'!AB$3:AB$42)+ROW('DONNÉES BRUTES'!AB$3)),0)),"—")</f>
        <v>78</v>
      </c>
      <c r="I24" s="77">
        <f t="array" ref="I24">IFERROR(INDEX('DONNÉES BRUTES'!Z$3:Z$42,MATCH(_xlfn.AGGREGATE(14,6,'DONNÉES BRUTES'!AB$3:AB$42*1000+(40-ROW('DONNÉES BRUTES'!AB$3:AB$42)+ROW('DONNÉES BRUTES'!AB$3)),9),'DONNÉES BRUTES'!AB$3:AB$42*1000+(40-ROW('DONNÉES BRUTES'!AB$3:AB$42)+ROW('DONNÉES BRUTES'!AB$3)),0)),"—")</f>
        <v>93</v>
      </c>
      <c r="J24" s="77">
        <f t="array" ref="J24">IFERROR(INDEX('DONNÉES BRUTES'!AA$3:AA$42,MATCH(_xlfn.AGGREGATE(14,6,'DONNÉES BRUTES'!AB$3:AB$42*1000+(40-ROW('DONNÉES BRUTES'!AB$3:AB$42)+ROW('DONNÉES BRUTES'!AB$3)),9),'DONNÉES BRUTES'!AB$3:AB$42*1000+(40-ROW('DONNÉES BRUTES'!AB$3:AB$42)+ROW('DONNÉES BRUTES'!AB$3)),0)),"—")</f>
        <v>4</v>
      </c>
      <c r="K24" s="80" t="str">
        <f t="array" ref="K24">IFERROR(INDEX('DONNÉES BRUTES'!N$3:N$42,MATCH(_xlfn.AGGREGATE(14,6,'DONNÉES BRUTES'!AB$3:AB$42*1000+(40-ROW('DONNÉES BRUTES'!AB$3:AB$42)+ROW('DONNÉES BRUTES'!AB$3)),9),'DONNÉES BRUTES'!AB$3:AB$42*1000+(40-ROW('DONNÉES BRUTES'!AB$3:AB$42)+ROW('DONNÉES BRUTES'!AB$3)),0)),"—")</f>
        <v>67.9%</v>
      </c>
      <c r="L24" s="81" t="str">
        <f t="array" ref="L24">IFERROR(INDEX('DONNÉES BRUTES'!P$3:P$42,MATCH(_xlfn.AGGREGATE(14,6,'DONNÉES BRUTES'!AB$3:AB$42*1000+(40-ROW('DONNÉES BRUTES'!AB$3:AB$42)+ROW('DONNÉES BRUTES'!AB$3)),9),'DONNÉES BRUTES'!AB$3:AB$42*1000+(40-ROW('DONNÉES BRUTES'!AB$3:AB$42)+ROW('DONNÉES BRUTES'!AB$3)),0)),"—")</f>
        <v>+7.0%</v>
      </c>
      <c r="M24" s="77"/>
      <c r="N24" s="77" t="str">
        <f t="array" ref="N24">IFERROR(INDEX('DONNÉES BRUTES'!AC$3:AC$42,MATCH(_xlfn.AGGREGATE(14,6,'DONNÉES BRUTES'!AB$3:AB$42*1000+(40-ROW('DONNÉES BRUTES'!AB$3:AB$42)+ROW('DONNÉES BRUTES'!AB$3)),9),'DONNÉES BRUTES'!AB$3:AB$42*1000+(40-ROW('DONNÉES BRUTES'!AB$3:AB$42)+ROW('DONNÉES BRUTES'!AB$3)),0)),"—")</f>
        <v>—</v>
      </c>
      <c r="O24" s="91" t="str">
        <f t="array" ref="O24">IFERROR(INDEX('DONNÉES BRUTES'!AD$3:AD$42,MATCH(_xlfn.AGGREGATE(14,6,'DONNÉES BRUTES'!AB$3:AB$42*1000+(40-ROW('DONNÉES BRUTES'!AB$3:AB$42)+ROW('DONNÉES BRUTES'!AB$3)),9),'DONNÉES BRUTES'!AB$3:AB$42*1000+(40-ROW('DONNÉES BRUTES'!AB$3:AB$42)+ROW('DONNÉES BRUTES'!AB$3)),0)),"—")</f>
        <v>Surpondérer</v>
      </c>
      <c r="P24" s="393"/>
      <c r="Q24" s="391"/>
      <c r="R24" s="391"/>
      <c r="S24" s="391"/>
      <c r="T24" s="391"/>
      <c r="U24" s="391"/>
    </row>
    <row r="25" spans="1:21" ht="15.9" customHeight="1" x14ac:dyDescent="0.3">
      <c r="A25" s="33"/>
      <c r="B25" s="94">
        <v>10</v>
      </c>
      <c r="C25" s="95" t="str">
        <f t="array" ref="C25">IFERROR(INDEX('DONNÉES BRUTES'!A$3:A$42,MATCH(_xlfn.AGGREGATE(14,6,'DONNÉES BRUTES'!AB$3:AB$42*1000+(40-ROW('DONNÉES BRUTES'!AB$3:AB$42)+ROW('DONNÉES BRUTES'!AB$3)),10),'DONNÉES BRUTES'!AB$3:AB$42*1000+(40-ROW('DONNÉES BRUTES'!AB$3:AB$42)+ROW('DONNÉES BRUTES'!AB$3)),0)),"—")</f>
        <v>BATS.L</v>
      </c>
      <c r="D25" s="96" t="str">
        <f t="array" ref="D25">IFERROR(LEFT(IFERROR(INDEX('DONNÉES BRUTES'!B$3:B$42,MATCH(_xlfn.AGGREGATE(14,6,'DONNÉES BRUTES'!AB$3:AB$42*1000+(40-ROW('DONNÉES BRUTES'!AB$3:AB$42)+ROW('DONNÉES BRUTES'!AB$3)),10),'DONNÉES BRUTES'!AB$3:AB$42*1000+(40-ROW('DONNÉES BRUTES'!AB$3:AB$42)+ROW('DONNÉES BRUTES'!AB$3)),0)),"—"),18),"—")</f>
        <v>British American T</v>
      </c>
      <c r="E25" s="96" t="str">
        <f t="array" ref="E25">IFERROR(INDEX('DONNÉES BRUTES'!C$3:C$42,MATCH(_xlfn.AGGREGATE(14,6,'DONNÉES BRUTES'!AB$3:AB$42*1000+(40-ROW('DONNÉES BRUTES'!AB$3:AB$42)+ROW('DONNÉES BRUTES'!AB$3)),10),'DONNÉES BRUTES'!AB$3:AB$42*1000+(40-ROW('DONNÉES BRUTES'!AB$3:AB$42)+ROW('DONNÉES BRUTES'!AB$3)),0)),"—")</f>
        <v>Conso. Déf.</v>
      </c>
      <c r="F25" s="97" t="str">
        <f t="array" ref="F25">IFERROR(INT(_xlfn.AGGREGATE(14,6,'DONNÉES BRUTES'!AB$3:AB$42*1000+(40-ROW('DONNÉES BRUTES'!AB$3:AB$42)+ROW('DONNÉES BRUTES'!AB$3)),10)/1000)&amp;"/100","—")</f>
        <v>60/100</v>
      </c>
      <c r="G25" s="95"/>
      <c r="H25" s="95">
        <f t="array" ref="H25">IFERROR(INDEX('DONNÉES BRUTES'!Y$3:Y$42,MATCH(_xlfn.AGGREGATE(14,6,'DONNÉES BRUTES'!AB$3:AB$42*1000+(40-ROW('DONNÉES BRUTES'!AB$3:AB$42)+ROW('DONNÉES BRUTES'!AB$3)),10),'DONNÉES BRUTES'!AB$3:AB$42*1000+(40-ROW('DONNÉES BRUTES'!AB$3:AB$42)+ROW('DONNÉES BRUTES'!AB$3)),0)),"—")</f>
        <v>63</v>
      </c>
      <c r="I25" s="95">
        <f t="array" ref="I25">IFERROR(INDEX('DONNÉES BRUTES'!Z$3:Z$42,MATCH(_xlfn.AGGREGATE(14,6,'DONNÉES BRUTES'!AB$3:AB$42*1000+(40-ROW('DONNÉES BRUTES'!AB$3:AB$42)+ROW('DONNÉES BRUTES'!AB$3)),10),'DONNÉES BRUTES'!AB$3:AB$42*1000+(40-ROW('DONNÉES BRUTES'!AB$3:AB$42)+ROW('DONNÉES BRUTES'!AB$3)),0)),"—")</f>
        <v>48</v>
      </c>
      <c r="J25" s="95">
        <f t="array" ref="J25">IFERROR(INDEX('DONNÉES BRUTES'!AA$3:AA$42,MATCH(_xlfn.AGGREGATE(14,6,'DONNÉES BRUTES'!AB$3:AB$42*1000+(40-ROW('DONNÉES BRUTES'!AB$3:AB$42)+ROW('DONNÉES BRUTES'!AB$3)),10),'DONNÉES BRUTES'!AB$3:AB$42*1000+(40-ROW('DONNÉES BRUTES'!AB$3:AB$42)+ROW('DONNÉES BRUTES'!AB$3)),0)),"—")</f>
        <v>65</v>
      </c>
      <c r="K25" s="95" t="str">
        <f t="array" ref="K25">IFERROR(INDEX('DONNÉES BRUTES'!N$3:N$42,MATCH(_xlfn.AGGREGATE(14,6,'DONNÉES BRUTES'!AB$3:AB$42*1000+(40-ROW('DONNÉES BRUTES'!AB$3:AB$42)+ROW('DONNÉES BRUTES'!AB$3)),10),'DONNÉES BRUTES'!AB$3:AB$42*1000+(40-ROW('DONNÉES BRUTES'!AB$3:AB$42)+ROW('DONNÉES BRUTES'!AB$3)),0)),"—")</f>
        <v>54.9%</v>
      </c>
      <c r="L25" s="98" t="str">
        <f t="array" ref="L25">IFERROR(INDEX('DONNÉES BRUTES'!P$3:P$42,MATCH(_xlfn.AGGREGATE(14,6,'DONNÉES BRUTES'!AB$3:AB$42*1000+(40-ROW('DONNÉES BRUTES'!AB$3:AB$42)+ROW('DONNÉES BRUTES'!AB$3)),10),'DONNÉES BRUTES'!AB$3:AB$42*1000+(40-ROW('DONNÉES BRUTES'!AB$3:AB$42)+ROW('DONNÉES BRUTES'!AB$3)),0)),"—")</f>
        <v>-1.0%</v>
      </c>
      <c r="M25" s="95"/>
      <c r="N25" s="99" t="str">
        <f t="array" ref="N25">IFERROR(INDEX('DONNÉES BRUTES'!AC$3:AC$42,MATCH(_xlfn.AGGREGATE(14,6,'DONNÉES BRUTES'!AB$3:AB$42*1000+(40-ROW('DONNÉES BRUTES'!AB$3:AB$42)+ROW('DONNÉES BRUTES'!AB$3)),10),'DONNÉES BRUTES'!AB$3:AB$42*1000+(40-ROW('DONNÉES BRUTES'!AB$3:AB$42)+ROW('DONNÉES BRUTES'!AB$3)),0)),"—")</f>
        <v>—</v>
      </c>
      <c r="O25" s="100" t="str">
        <f t="array" ref="O25">IFERROR(INDEX('DONNÉES BRUTES'!AD$3:AD$42,MATCH(_xlfn.AGGREGATE(14,6,'DONNÉES BRUTES'!AB$3:AB$42*1000+(40-ROW('DONNÉES BRUTES'!AB$3:AB$42)+ROW('DONNÉES BRUTES'!AB$3)),10),'DONNÉES BRUTES'!AB$3:AB$42*1000+(40-ROW('DONNÉES BRUTES'!AB$3:AB$42)+ROW('DONNÉES BRUTES'!AB$3)),0)),"—")</f>
        <v>Surpondérer</v>
      </c>
      <c r="P25" s="393"/>
      <c r="Q25" s="391"/>
      <c r="R25" s="391"/>
      <c r="S25" s="391"/>
      <c r="T25" s="391"/>
      <c r="U25" s="391"/>
    </row>
    <row r="26" spans="1:21" ht="14.1" customHeight="1" x14ac:dyDescent="0.3">
      <c r="A26" s="61"/>
      <c r="B26" s="61" t="s">
        <v>22</v>
      </c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394"/>
      <c r="Q26" s="392"/>
      <c r="R26" s="392"/>
      <c r="S26" s="392"/>
      <c r="T26" s="392"/>
      <c r="U26" s="392"/>
    </row>
    <row r="27" spans="1:21" ht="18" customHeight="1" x14ac:dyDescent="0.3"/>
    <row r="28" spans="1:21" ht="18" customHeight="1" x14ac:dyDescent="0.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showGridLines="0" topLeftCell="D1" zoomScale="92" zoomScaleNormal="100" workbookViewId="0">
      <selection activeCell="M18" sqref="M3:M18"/>
    </sheetView>
  </sheetViews>
  <sheetFormatPr baseColWidth="10" defaultColWidth="8.88671875" defaultRowHeight="14.4" x14ac:dyDescent="0.3"/>
  <cols>
    <col min="1" max="1" width="5.33203125" customWidth="1"/>
    <col min="2" max="2" width="9.109375" customWidth="1"/>
    <col min="3" max="3" width="26.6640625" customWidth="1"/>
    <col min="4" max="4" width="15.33203125" customWidth="1"/>
    <col min="5" max="5" width="9.109375" customWidth="1"/>
    <col min="6" max="6" width="10.44140625" customWidth="1"/>
    <col min="7" max="7" width="12.44140625" customWidth="1"/>
    <col min="8" max="8" width="10.44140625" customWidth="1"/>
    <col min="9" max="10" width="12.44140625" customWidth="1"/>
    <col min="11" max="11" width="10.44140625" customWidth="1"/>
    <col min="12" max="12" width="12.44140625" customWidth="1"/>
    <col min="13" max="13" width="18.6640625" bestFit="1" customWidth="1"/>
    <col min="14" max="18" width="8.88671875" style="149" customWidth="1"/>
  </cols>
  <sheetData>
    <row r="1" spans="1:17" ht="32.1" customHeight="1" thickBot="1" x14ac:dyDescent="0.35">
      <c r="A1" s="101" t="s">
        <v>23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49" t="s">
        <v>10</v>
      </c>
      <c r="P1" s="149" t="s">
        <v>24</v>
      </c>
      <c r="Q1" s="149" t="s">
        <v>21</v>
      </c>
    </row>
    <row r="2" spans="1:17" ht="14.25" customHeight="1" x14ac:dyDescent="0.3">
      <c r="A2" s="22" t="s">
        <v>25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O2" s="149" t="str">
        <f t="shared" ref="O2:O16" si="0">IF(B4&lt;&gt;"—",LEFT(C4,20),"—")</f>
        <v>Schroders plc</v>
      </c>
      <c r="P2" s="149">
        <f t="shared" ref="P2:P16" si="1">IF(E4&lt;&gt;"—",VALUE(LEFT(E4,FIND("/",E4)-1)),"")</f>
        <v>79</v>
      </c>
    </row>
    <row r="3" spans="1:17" ht="18" customHeight="1" thickBot="1" x14ac:dyDescent="0.35">
      <c r="A3" s="273" t="s">
        <v>26</v>
      </c>
      <c r="B3" s="279" t="s">
        <v>9</v>
      </c>
      <c r="C3" s="280" t="s">
        <v>10</v>
      </c>
      <c r="D3" s="280" t="s">
        <v>14</v>
      </c>
      <c r="E3" s="281" t="s">
        <v>11</v>
      </c>
      <c r="F3" s="281" t="s">
        <v>27</v>
      </c>
      <c r="G3" s="281" t="s">
        <v>28</v>
      </c>
      <c r="H3" s="281" t="s">
        <v>29</v>
      </c>
      <c r="I3" s="281" t="s">
        <v>30</v>
      </c>
      <c r="J3" s="281" t="s">
        <v>31</v>
      </c>
      <c r="K3" s="281" t="s">
        <v>32</v>
      </c>
      <c r="L3" s="281" t="s">
        <v>33</v>
      </c>
      <c r="M3" s="281" t="s">
        <v>34</v>
      </c>
      <c r="N3" s="277"/>
      <c r="O3" s="277" t="str">
        <f t="shared" si="0"/>
        <v>Prudential plc</v>
      </c>
      <c r="P3" s="277">
        <f t="shared" si="1"/>
        <v>73</v>
      </c>
      <c r="Q3" s="278"/>
    </row>
    <row r="4" spans="1:17" ht="15.9" customHeight="1" thickBot="1" x14ac:dyDescent="0.35">
      <c r="A4" s="274">
        <v>1</v>
      </c>
      <c r="B4" s="282" t="s">
        <v>35</v>
      </c>
      <c r="C4" s="283" t="s">
        <v>36</v>
      </c>
      <c r="D4" s="283" t="s">
        <v>37</v>
      </c>
      <c r="E4" s="284" t="s">
        <v>38</v>
      </c>
      <c r="F4" s="285">
        <v>4.3</v>
      </c>
      <c r="G4" s="285">
        <v>1.1000000000000001</v>
      </c>
      <c r="H4" s="285">
        <v>17</v>
      </c>
      <c r="I4" s="285" t="s">
        <v>39</v>
      </c>
      <c r="J4" s="285" t="s">
        <v>40</v>
      </c>
      <c r="K4" s="285" t="s">
        <v>41</v>
      </c>
      <c r="L4" s="285" t="s">
        <v>42</v>
      </c>
      <c r="M4" s="285" t="s">
        <v>41</v>
      </c>
      <c r="N4" s="362"/>
      <c r="O4" s="362" t="str">
        <f t="shared" si="0"/>
        <v>JD Sports Fashion Pl</v>
      </c>
      <c r="P4" s="362">
        <f t="shared" si="1"/>
        <v>71</v>
      </c>
      <c r="Q4" s="363"/>
    </row>
    <row r="5" spans="1:17" ht="15.9" customHeight="1" thickBot="1" x14ac:dyDescent="0.35">
      <c r="A5" s="275">
        <v>2</v>
      </c>
      <c r="B5" s="287" t="s">
        <v>43</v>
      </c>
      <c r="C5" s="288" t="s">
        <v>44</v>
      </c>
      <c r="D5" s="288" t="s">
        <v>37</v>
      </c>
      <c r="E5" s="289" t="s">
        <v>45</v>
      </c>
      <c r="F5" s="290">
        <v>4.9000000000000004</v>
      </c>
      <c r="G5" s="290">
        <v>2.2000000000000002</v>
      </c>
      <c r="H5" s="290">
        <v>10</v>
      </c>
      <c r="I5" s="290" t="s">
        <v>46</v>
      </c>
      <c r="J5" s="290" t="s">
        <v>47</v>
      </c>
      <c r="K5" s="290" t="s">
        <v>41</v>
      </c>
      <c r="L5" s="290" t="s">
        <v>42</v>
      </c>
      <c r="M5" s="290" t="s">
        <v>41</v>
      </c>
      <c r="N5" s="364"/>
      <c r="O5" s="364" t="str">
        <f t="shared" si="0"/>
        <v>Pearson plc</v>
      </c>
      <c r="P5" s="364">
        <f t="shared" si="1"/>
        <v>70</v>
      </c>
      <c r="Q5" s="365"/>
    </row>
    <row r="6" spans="1:17" ht="15.9" customHeight="1" thickBot="1" x14ac:dyDescent="0.35">
      <c r="A6" s="274">
        <v>3</v>
      </c>
      <c r="B6" s="295" t="s">
        <v>48</v>
      </c>
      <c r="C6" s="296" t="s">
        <v>49</v>
      </c>
      <c r="D6" s="296" t="s">
        <v>50</v>
      </c>
      <c r="E6" s="297" t="s">
        <v>51</v>
      </c>
      <c r="F6" s="298">
        <v>226.8</v>
      </c>
      <c r="G6" s="298">
        <v>32.700000000000003</v>
      </c>
      <c r="H6" s="298">
        <v>772.6</v>
      </c>
      <c r="I6" s="298" t="s">
        <v>52</v>
      </c>
      <c r="J6" s="298" t="s">
        <v>53</v>
      </c>
      <c r="K6" s="298">
        <v>2.38</v>
      </c>
      <c r="L6" s="298" t="s">
        <v>54</v>
      </c>
      <c r="M6" s="298" t="s">
        <v>41</v>
      </c>
      <c r="N6" s="366"/>
      <c r="O6" s="366" t="str">
        <f t="shared" si="0"/>
        <v>Compass Group PLC</v>
      </c>
      <c r="P6" s="366">
        <f t="shared" si="1"/>
        <v>70</v>
      </c>
      <c r="Q6" s="367"/>
    </row>
    <row r="7" spans="1:17" ht="15.9" customHeight="1" thickBot="1" x14ac:dyDescent="0.35">
      <c r="A7" s="275">
        <v>4</v>
      </c>
      <c r="B7" s="287" t="s">
        <v>55</v>
      </c>
      <c r="C7" s="288" t="s">
        <v>56</v>
      </c>
      <c r="D7" s="288" t="s">
        <v>57</v>
      </c>
      <c r="E7" s="289" t="s">
        <v>58</v>
      </c>
      <c r="F7" s="290">
        <v>13.7</v>
      </c>
      <c r="G7" s="290">
        <v>2.2000000000000002</v>
      </c>
      <c r="H7" s="290">
        <v>21.2</v>
      </c>
      <c r="I7" s="290" t="s">
        <v>59</v>
      </c>
      <c r="J7" s="290" t="s">
        <v>60</v>
      </c>
      <c r="K7" s="290" t="s">
        <v>41</v>
      </c>
      <c r="L7" s="290" t="s">
        <v>42</v>
      </c>
      <c r="M7" s="290" t="s">
        <v>41</v>
      </c>
      <c r="N7" s="364"/>
      <c r="O7" s="364" t="str">
        <f t="shared" si="0"/>
        <v>B&amp;M European Value R</v>
      </c>
      <c r="P7" s="364">
        <f t="shared" si="1"/>
        <v>68</v>
      </c>
      <c r="Q7" s="365"/>
    </row>
    <row r="8" spans="1:17" ht="15.9" customHeight="1" thickBot="1" x14ac:dyDescent="0.35">
      <c r="A8" s="274">
        <v>5</v>
      </c>
      <c r="B8" s="295" t="s">
        <v>61</v>
      </c>
      <c r="C8" s="296" t="s">
        <v>62</v>
      </c>
      <c r="D8" s="296" t="s">
        <v>50</v>
      </c>
      <c r="E8" s="297" t="s">
        <v>58</v>
      </c>
      <c r="F8" s="298">
        <v>12.8</v>
      </c>
      <c r="G8" s="298">
        <v>1.2</v>
      </c>
      <c r="H8" s="298">
        <v>25.9</v>
      </c>
      <c r="I8" s="298" t="s">
        <v>63</v>
      </c>
      <c r="J8" s="298" t="s">
        <v>64</v>
      </c>
      <c r="K8" s="298">
        <v>0.74</v>
      </c>
      <c r="L8" s="298" t="s">
        <v>65</v>
      </c>
      <c r="M8" s="298" t="s">
        <v>41</v>
      </c>
      <c r="N8" s="366"/>
      <c r="O8" s="366" t="str">
        <f t="shared" si="0"/>
        <v>Spirax Group plc</v>
      </c>
      <c r="P8" s="366">
        <f t="shared" si="1"/>
        <v>67</v>
      </c>
      <c r="Q8" s="367"/>
    </row>
    <row r="9" spans="1:17" ht="15.9" customHeight="1" thickBot="1" x14ac:dyDescent="0.35">
      <c r="A9" s="275">
        <v>6</v>
      </c>
      <c r="B9" s="287" t="s">
        <v>66</v>
      </c>
      <c r="C9" s="288" t="s">
        <v>67</v>
      </c>
      <c r="D9" s="288" t="s">
        <v>68</v>
      </c>
      <c r="E9" s="289" t="s">
        <v>69</v>
      </c>
      <c r="F9" s="290">
        <v>217.2</v>
      </c>
      <c r="G9" s="290">
        <v>32.799999999999997</v>
      </c>
      <c r="H9" s="290">
        <v>564.4</v>
      </c>
      <c r="I9" s="290" t="s">
        <v>70</v>
      </c>
      <c r="J9" s="290" t="s">
        <v>71</v>
      </c>
      <c r="K9" s="290">
        <v>1.88</v>
      </c>
      <c r="L9" s="290" t="s">
        <v>72</v>
      </c>
      <c r="M9" s="290" t="s">
        <v>41</v>
      </c>
      <c r="N9" s="364"/>
      <c r="O9" s="364" t="str">
        <f t="shared" si="0"/>
        <v>InterContinental Hot</v>
      </c>
      <c r="P9" s="364">
        <f t="shared" si="1"/>
        <v>67</v>
      </c>
      <c r="Q9" s="365"/>
    </row>
    <row r="10" spans="1:17" ht="15.9" customHeight="1" thickBot="1" x14ac:dyDescent="0.35">
      <c r="A10" s="274">
        <v>7</v>
      </c>
      <c r="B10" s="295" t="s">
        <v>73</v>
      </c>
      <c r="C10" s="296" t="s">
        <v>74</v>
      </c>
      <c r="D10" s="296" t="s">
        <v>75</v>
      </c>
      <c r="E10" s="297" t="s">
        <v>76</v>
      </c>
      <c r="F10" s="298">
        <v>16.399999999999999</v>
      </c>
      <c r="G10" s="298">
        <v>3.6</v>
      </c>
      <c r="H10" s="298">
        <v>34.700000000000003</v>
      </c>
      <c r="I10" s="298" t="s">
        <v>77</v>
      </c>
      <c r="J10" s="298" t="s">
        <v>78</v>
      </c>
      <c r="K10" s="298" t="s">
        <v>41</v>
      </c>
      <c r="L10" s="298" t="s">
        <v>79</v>
      </c>
      <c r="M10" s="298" t="s">
        <v>41</v>
      </c>
      <c r="N10" s="366"/>
      <c r="O10" s="366" t="str">
        <f t="shared" si="0"/>
        <v>Hikma Pharmaceutical</v>
      </c>
      <c r="P10" s="366">
        <f t="shared" si="1"/>
        <v>67</v>
      </c>
      <c r="Q10" s="367"/>
    </row>
    <row r="11" spans="1:17" ht="15.9" customHeight="1" thickBot="1" x14ac:dyDescent="0.35">
      <c r="A11" s="275">
        <v>8</v>
      </c>
      <c r="B11" s="287" t="s">
        <v>80</v>
      </c>
      <c r="C11" s="288" t="s">
        <v>81</v>
      </c>
      <c r="D11" s="288" t="s">
        <v>50</v>
      </c>
      <c r="E11" s="289" t="s">
        <v>76</v>
      </c>
      <c r="F11" s="290">
        <v>17.7</v>
      </c>
      <c r="G11" s="290">
        <v>4.8</v>
      </c>
      <c r="H11" s="290">
        <v>29</v>
      </c>
      <c r="I11" s="290" t="s">
        <v>82</v>
      </c>
      <c r="J11" s="290" t="s">
        <v>83</v>
      </c>
      <c r="K11" s="290">
        <v>0.99</v>
      </c>
      <c r="L11" s="290" t="s">
        <v>84</v>
      </c>
      <c r="M11" s="290" t="s">
        <v>41</v>
      </c>
      <c r="N11" s="364"/>
      <c r="O11" s="364" t="str">
        <f t="shared" si="0"/>
        <v>Sunbelt Rentals Hold</v>
      </c>
      <c r="P11" s="364">
        <f t="shared" si="1"/>
        <v>66</v>
      </c>
      <c r="Q11" s="365"/>
    </row>
    <row r="12" spans="1:17" ht="15.9" customHeight="1" thickBot="1" x14ac:dyDescent="0.35">
      <c r="A12" s="274">
        <v>9</v>
      </c>
      <c r="B12" s="295" t="s">
        <v>85</v>
      </c>
      <c r="C12" s="296" t="s">
        <v>86</v>
      </c>
      <c r="D12" s="296" t="s">
        <v>87</v>
      </c>
      <c r="E12" s="297" t="s">
        <v>76</v>
      </c>
      <c r="F12" s="298">
        <v>409.4</v>
      </c>
      <c r="G12" s="298">
        <v>95.5</v>
      </c>
      <c r="H12" s="298">
        <v>830.7</v>
      </c>
      <c r="I12" s="298" t="s">
        <v>88</v>
      </c>
      <c r="J12" s="298" t="s">
        <v>89</v>
      </c>
      <c r="K12" s="298">
        <v>3.42</v>
      </c>
      <c r="L12" s="298" t="s">
        <v>42</v>
      </c>
      <c r="M12" s="298" t="s">
        <v>41</v>
      </c>
      <c r="N12" s="366"/>
      <c r="O12" s="366" t="str">
        <f t="shared" si="0"/>
        <v>Bunzl plc</v>
      </c>
      <c r="P12" s="366">
        <f t="shared" si="1"/>
        <v>65</v>
      </c>
      <c r="Q12" s="367"/>
    </row>
    <row r="13" spans="1:17" ht="15.9" customHeight="1" thickBot="1" x14ac:dyDescent="0.35">
      <c r="A13" s="275">
        <v>10</v>
      </c>
      <c r="B13" s="287" t="s">
        <v>90</v>
      </c>
      <c r="C13" s="288" t="s">
        <v>91</v>
      </c>
      <c r="D13" s="288" t="s">
        <v>75</v>
      </c>
      <c r="E13" s="289" t="s">
        <v>92</v>
      </c>
      <c r="F13" s="290">
        <v>442.1</v>
      </c>
      <c r="G13" s="290">
        <v>204.9</v>
      </c>
      <c r="H13" s="290">
        <v>1459.2</v>
      </c>
      <c r="I13" s="290" t="s">
        <v>93</v>
      </c>
      <c r="J13" s="290" t="s">
        <v>94</v>
      </c>
      <c r="K13" s="290">
        <v>2.85</v>
      </c>
      <c r="L13" s="290" t="s">
        <v>42</v>
      </c>
      <c r="M13" s="290" t="s">
        <v>41</v>
      </c>
      <c r="N13" s="364"/>
      <c r="O13" s="364" t="str">
        <f t="shared" si="0"/>
        <v>British American Tob</v>
      </c>
      <c r="P13" s="364">
        <f t="shared" si="1"/>
        <v>63</v>
      </c>
      <c r="Q13" s="365"/>
    </row>
    <row r="14" spans="1:17" ht="15.9" customHeight="1" thickBot="1" x14ac:dyDescent="0.35">
      <c r="A14" s="274">
        <v>11</v>
      </c>
      <c r="B14" s="295" t="s">
        <v>95</v>
      </c>
      <c r="C14" s="296" t="s">
        <v>96</v>
      </c>
      <c r="D14" s="296" t="s">
        <v>68</v>
      </c>
      <c r="E14" s="297" t="s">
        <v>97</v>
      </c>
      <c r="F14" s="298">
        <v>10.4</v>
      </c>
      <c r="G14" s="298">
        <v>0.8</v>
      </c>
      <c r="H14" s="298">
        <v>16.7</v>
      </c>
      <c r="I14" s="298" t="s">
        <v>98</v>
      </c>
      <c r="J14" s="298" t="s">
        <v>99</v>
      </c>
      <c r="K14" s="298" t="s">
        <v>41</v>
      </c>
      <c r="L14" s="298" t="s">
        <v>42</v>
      </c>
      <c r="M14" s="298" t="s">
        <v>41</v>
      </c>
      <c r="N14" s="366"/>
      <c r="O14" s="366" t="str">
        <f t="shared" si="0"/>
        <v>Rio Tinto Group</v>
      </c>
      <c r="P14" s="366">
        <f t="shared" si="1"/>
        <v>63</v>
      </c>
      <c r="Q14" s="367"/>
    </row>
    <row r="15" spans="1:17" ht="15.9" customHeight="1" thickBot="1" x14ac:dyDescent="0.35">
      <c r="A15" s="275">
        <v>12</v>
      </c>
      <c r="B15" s="287" t="s">
        <v>100</v>
      </c>
      <c r="C15" s="288" t="s">
        <v>101</v>
      </c>
      <c r="D15" s="288" t="s">
        <v>68</v>
      </c>
      <c r="E15" s="289" t="s">
        <v>102</v>
      </c>
      <c r="F15" s="290">
        <v>640</v>
      </c>
      <c r="G15" s="290">
        <v>351.4</v>
      </c>
      <c r="H15" s="290">
        <v>1153.8</v>
      </c>
      <c r="I15" s="290" t="s">
        <v>103</v>
      </c>
      <c r="J15" s="290" t="s">
        <v>104</v>
      </c>
      <c r="K15" s="290">
        <v>2.25</v>
      </c>
      <c r="L15" s="290" t="s">
        <v>42</v>
      </c>
      <c r="M15" s="290" t="s">
        <v>41</v>
      </c>
      <c r="N15" s="364"/>
      <c r="O15" s="364" t="str">
        <f t="shared" si="0"/>
        <v>Coca-Cola HBC AG</v>
      </c>
      <c r="P15" s="364">
        <f t="shared" si="1"/>
        <v>62</v>
      </c>
      <c r="Q15" s="365"/>
    </row>
    <row r="16" spans="1:17" ht="15.9" customHeight="1" thickBot="1" x14ac:dyDescent="0.35">
      <c r="A16" s="274">
        <v>13</v>
      </c>
      <c r="B16" s="295" t="s">
        <v>105</v>
      </c>
      <c r="C16" s="296" t="s">
        <v>106</v>
      </c>
      <c r="D16" s="296" t="s">
        <v>107</v>
      </c>
      <c r="E16" s="297" t="s">
        <v>102</v>
      </c>
      <c r="F16" s="298">
        <v>407.4</v>
      </c>
      <c r="G16" s="298">
        <v>162.4</v>
      </c>
      <c r="H16" s="298">
        <v>938</v>
      </c>
      <c r="I16" s="298" t="s">
        <v>108</v>
      </c>
      <c r="J16" s="298" t="s">
        <v>109</v>
      </c>
      <c r="K16" s="298">
        <v>3.45</v>
      </c>
      <c r="L16" s="298" t="s">
        <v>79</v>
      </c>
      <c r="M16" s="298" t="s">
        <v>41</v>
      </c>
      <c r="N16" s="366"/>
      <c r="O16" s="366" t="str">
        <f t="shared" si="0"/>
        <v>Smith &amp; Nephew plc</v>
      </c>
      <c r="P16" s="366">
        <f t="shared" si="1"/>
        <v>61</v>
      </c>
      <c r="Q16" s="367"/>
    </row>
    <row r="17" spans="1:17" ht="15.9" customHeight="1" thickBot="1" x14ac:dyDescent="0.35">
      <c r="A17" s="275">
        <v>14</v>
      </c>
      <c r="B17" s="287" t="s">
        <v>110</v>
      </c>
      <c r="C17" s="288" t="s">
        <v>111</v>
      </c>
      <c r="D17" s="288" t="s">
        <v>68</v>
      </c>
      <c r="E17" s="289" t="s">
        <v>112</v>
      </c>
      <c r="F17" s="290">
        <v>10.1</v>
      </c>
      <c r="G17" s="290">
        <v>1.5</v>
      </c>
      <c r="H17" s="290">
        <v>19.600000000000001</v>
      </c>
      <c r="I17" s="290" t="s">
        <v>113</v>
      </c>
      <c r="J17" s="290" t="s">
        <v>114</v>
      </c>
      <c r="K17" s="290" t="s">
        <v>41</v>
      </c>
      <c r="L17" s="290" t="s">
        <v>79</v>
      </c>
      <c r="M17" s="290" t="s">
        <v>41</v>
      </c>
      <c r="N17" s="364"/>
      <c r="O17" s="364"/>
      <c r="P17" s="364"/>
      <c r="Q17" s="365"/>
    </row>
    <row r="18" spans="1:17" ht="15.9" customHeight="1" x14ac:dyDescent="0.3">
      <c r="A18" s="276">
        <v>15</v>
      </c>
      <c r="B18" s="291" t="s">
        <v>115</v>
      </c>
      <c r="C18" s="292" t="s">
        <v>116</v>
      </c>
      <c r="D18" s="292" t="s">
        <v>87</v>
      </c>
      <c r="E18" s="293" t="s">
        <v>117</v>
      </c>
      <c r="F18" s="294">
        <v>709.1</v>
      </c>
      <c r="G18" s="294">
        <v>176.1</v>
      </c>
      <c r="H18" s="294">
        <v>1737</v>
      </c>
      <c r="I18" s="294" t="s">
        <v>118</v>
      </c>
      <c r="J18" s="294" t="s">
        <v>119</v>
      </c>
      <c r="K18" s="294">
        <v>4.92</v>
      </c>
      <c r="L18" s="294" t="s">
        <v>42</v>
      </c>
      <c r="M18" s="294" t="s">
        <v>41</v>
      </c>
      <c r="N18" s="368"/>
      <c r="O18" s="368"/>
      <c r="P18" s="368"/>
      <c r="Q18" s="369"/>
    </row>
    <row r="19" spans="1:17" ht="15.9" customHeigh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</row>
    <row r="20" spans="1:17" ht="6" customHeight="1" x14ac:dyDescent="0.3">
      <c r="A20" s="107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8"/>
    </row>
    <row r="21" spans="1:17" ht="15.9" customHeight="1" x14ac:dyDescent="0.3">
      <c r="A21" s="109"/>
      <c r="B21" s="109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</row>
    <row r="22" spans="1:17" ht="15.9" customHeight="1" x14ac:dyDescent="0.3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</row>
    <row r="23" spans="1:17" ht="13.95" customHeight="1" x14ac:dyDescent="0.3"/>
    <row r="24" spans="1:17" ht="13.95" customHeight="1" x14ac:dyDescent="0.3"/>
    <row r="25" spans="1:17" ht="13.95" customHeight="1" x14ac:dyDescent="0.3"/>
    <row r="26" spans="1:17" ht="13.95" customHeight="1" x14ac:dyDescent="0.3"/>
    <row r="27" spans="1:17" ht="13.95" customHeight="1" x14ac:dyDescent="0.3"/>
    <row r="28" spans="1:17" ht="13.95" customHeight="1" x14ac:dyDescent="0.3"/>
    <row r="29" spans="1:17" ht="13.95" customHeight="1" x14ac:dyDescent="0.3"/>
    <row r="30" spans="1:17" ht="13.95" customHeight="1" x14ac:dyDescent="0.3"/>
    <row r="31" spans="1:17" ht="13.95" customHeight="1" x14ac:dyDescent="0.3"/>
    <row r="32" spans="1:17" ht="13.95" customHeight="1" x14ac:dyDescent="0.3"/>
    <row r="33" ht="13.95" customHeight="1" x14ac:dyDescent="0.3"/>
    <row r="34" ht="13.95" customHeight="1" x14ac:dyDescent="0.3"/>
    <row r="35" ht="13.95" customHeight="1" x14ac:dyDescent="0.3"/>
    <row r="36" ht="13.95" customHeight="1" x14ac:dyDescent="0.3"/>
    <row r="37" ht="13.95" customHeight="1" x14ac:dyDescent="0.3"/>
    <row r="38" ht="13.95" customHeight="1" x14ac:dyDescent="0.3"/>
    <row r="39" ht="13.95" customHeight="1" x14ac:dyDescent="0.3"/>
    <row r="40" ht="13.95" customHeight="1" x14ac:dyDescent="0.3"/>
    <row r="41" ht="13.95" customHeight="1" x14ac:dyDescent="0.3"/>
    <row r="42" ht="13.95" customHeight="1" x14ac:dyDescent="0.3"/>
    <row r="44" ht="16.2" customHeight="1" x14ac:dyDescent="0.3"/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4"/>
  <sheetViews>
    <sheetView showGridLines="0" zoomScale="83" zoomScaleNormal="100" workbookViewId="0">
      <selection activeCell="K3" sqref="K3"/>
    </sheetView>
  </sheetViews>
  <sheetFormatPr baseColWidth="10" defaultColWidth="8.88671875" defaultRowHeight="14.4" x14ac:dyDescent="0.3"/>
  <cols>
    <col min="1" max="1" width="5.33203125" customWidth="1"/>
    <col min="2" max="2" width="9.109375" customWidth="1"/>
    <col min="3" max="3" width="26.6640625" customWidth="1"/>
    <col min="4" max="4" width="15.33203125" customWidth="1"/>
    <col min="5" max="5" width="9.109375" customWidth="1"/>
    <col min="6" max="8" width="12.44140625" customWidth="1"/>
    <col min="9" max="9" width="10.44140625" customWidth="1"/>
    <col min="10" max="12" width="12.44140625" customWidth="1"/>
    <col min="14" max="16" width="8.88671875" style="149" customWidth="1"/>
  </cols>
  <sheetData>
    <row r="1" spans="1:16" ht="32.1" customHeight="1" thickBot="1" x14ac:dyDescent="0.35">
      <c r="A1" s="101" t="s">
        <v>120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O1" s="149" t="s">
        <v>10</v>
      </c>
      <c r="P1" s="149" t="s">
        <v>121</v>
      </c>
    </row>
    <row r="2" spans="1:16" x14ac:dyDescent="0.3">
      <c r="A2" s="22" t="s">
        <v>25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O2" s="149" t="str">
        <f t="shared" ref="O2:O11" si="0">IF(B4&lt;&gt;"—",LEFT(C4,18),"—")</f>
        <v>Endeavour Mining p</v>
      </c>
      <c r="P2" s="149">
        <f t="shared" ref="P2:P11" si="1">IF(E4&lt;&gt;"—",VALUE(LEFT(E4,FIND("/",E4)-1)),"")</f>
        <v>91</v>
      </c>
    </row>
    <row r="3" spans="1:16" ht="18" customHeight="1" thickBot="1" x14ac:dyDescent="0.35">
      <c r="A3" s="273" t="s">
        <v>26</v>
      </c>
      <c r="B3" s="279" t="s">
        <v>9</v>
      </c>
      <c r="C3" s="280" t="s">
        <v>10</v>
      </c>
      <c r="D3" s="280" t="s">
        <v>14</v>
      </c>
      <c r="E3" s="281" t="s">
        <v>11</v>
      </c>
      <c r="F3" s="281" t="s">
        <v>122</v>
      </c>
      <c r="G3" s="281" t="s">
        <v>31</v>
      </c>
      <c r="H3" s="281" t="s">
        <v>123</v>
      </c>
      <c r="I3" s="281" t="s">
        <v>124</v>
      </c>
      <c r="J3" s="281" t="s">
        <v>125</v>
      </c>
      <c r="K3" s="281" t="s">
        <v>126</v>
      </c>
      <c r="L3" s="281" t="s">
        <v>21</v>
      </c>
      <c r="M3" s="299"/>
      <c r="N3" s="277"/>
      <c r="O3" s="277" t="str">
        <f t="shared" si="0"/>
        <v>3i Group Ord</v>
      </c>
      <c r="P3" s="278">
        <f t="shared" si="1"/>
        <v>88</v>
      </c>
    </row>
    <row r="4" spans="1:16" ht="15.9" customHeight="1" thickBot="1" x14ac:dyDescent="0.35">
      <c r="A4" s="274">
        <v>1</v>
      </c>
      <c r="B4" s="282" t="s">
        <v>127</v>
      </c>
      <c r="C4" s="283" t="s">
        <v>128</v>
      </c>
      <c r="D4" s="283" t="s">
        <v>107</v>
      </c>
      <c r="E4" s="284" t="s">
        <v>129</v>
      </c>
      <c r="F4" s="285" t="s">
        <v>130</v>
      </c>
      <c r="G4" s="285" t="s">
        <v>131</v>
      </c>
      <c r="H4" s="285" t="s">
        <v>132</v>
      </c>
      <c r="I4" s="285" t="s">
        <v>133</v>
      </c>
      <c r="J4" s="285" t="s">
        <v>134</v>
      </c>
      <c r="K4" s="285" t="s">
        <v>135</v>
      </c>
      <c r="L4" s="285" t="s">
        <v>136</v>
      </c>
      <c r="M4" s="358"/>
      <c r="N4" s="362"/>
      <c r="O4" s="362" t="str">
        <f t="shared" si="0"/>
        <v>Rolls-Royce Holdin</v>
      </c>
      <c r="P4" s="363">
        <f t="shared" si="1"/>
        <v>79</v>
      </c>
    </row>
    <row r="5" spans="1:16" ht="15.9" customHeight="1" thickBot="1" x14ac:dyDescent="0.35">
      <c r="A5" s="275">
        <v>2</v>
      </c>
      <c r="B5" s="287" t="s">
        <v>137</v>
      </c>
      <c r="C5" s="288" t="s">
        <v>138</v>
      </c>
      <c r="D5" s="288" t="s">
        <v>37</v>
      </c>
      <c r="E5" s="289" t="s">
        <v>139</v>
      </c>
      <c r="F5" s="290" t="s">
        <v>140</v>
      </c>
      <c r="G5" s="290" t="s">
        <v>141</v>
      </c>
      <c r="H5" s="290" t="s">
        <v>142</v>
      </c>
      <c r="I5" s="290" t="s">
        <v>143</v>
      </c>
      <c r="J5" s="290" t="s">
        <v>144</v>
      </c>
      <c r="K5" s="290" t="s">
        <v>41</v>
      </c>
      <c r="L5" s="290" t="s">
        <v>136</v>
      </c>
      <c r="M5" s="359"/>
      <c r="N5" s="364"/>
      <c r="O5" s="364" t="str">
        <f t="shared" si="0"/>
        <v>United Utilities G</v>
      </c>
      <c r="P5" s="365">
        <f t="shared" si="1"/>
        <v>78</v>
      </c>
    </row>
    <row r="6" spans="1:16" ht="15.9" customHeight="1" thickBot="1" x14ac:dyDescent="0.35">
      <c r="A6" s="274">
        <v>3</v>
      </c>
      <c r="B6" s="295" t="s">
        <v>145</v>
      </c>
      <c r="C6" s="296" t="s">
        <v>146</v>
      </c>
      <c r="D6" s="296" t="s">
        <v>75</v>
      </c>
      <c r="E6" s="297" t="s">
        <v>38</v>
      </c>
      <c r="F6" s="298" t="s">
        <v>147</v>
      </c>
      <c r="G6" s="298" t="s">
        <v>148</v>
      </c>
      <c r="H6" s="298" t="s">
        <v>149</v>
      </c>
      <c r="I6" s="298" t="s">
        <v>150</v>
      </c>
      <c r="J6" s="298" t="s">
        <v>151</v>
      </c>
      <c r="K6" s="298" t="s">
        <v>41</v>
      </c>
      <c r="L6" s="298" t="s">
        <v>136</v>
      </c>
      <c r="M6" s="360"/>
      <c r="N6" s="366"/>
      <c r="O6" s="366" t="str">
        <f t="shared" si="0"/>
        <v>Rightmove plc</v>
      </c>
      <c r="P6" s="367">
        <f t="shared" si="1"/>
        <v>78</v>
      </c>
    </row>
    <row r="7" spans="1:16" ht="15.9" customHeight="1" thickBot="1" x14ac:dyDescent="0.35">
      <c r="A7" s="275">
        <v>4</v>
      </c>
      <c r="B7" s="287" t="s">
        <v>152</v>
      </c>
      <c r="C7" s="288" t="s">
        <v>153</v>
      </c>
      <c r="D7" s="288" t="s">
        <v>154</v>
      </c>
      <c r="E7" s="289" t="s">
        <v>155</v>
      </c>
      <c r="F7" s="290" t="s">
        <v>156</v>
      </c>
      <c r="G7" s="290" t="s">
        <v>157</v>
      </c>
      <c r="H7" s="290" t="s">
        <v>158</v>
      </c>
      <c r="I7" s="290" t="s">
        <v>159</v>
      </c>
      <c r="J7" s="290" t="s">
        <v>160</v>
      </c>
      <c r="K7" s="290" t="s">
        <v>41</v>
      </c>
      <c r="L7" s="290" t="s">
        <v>161</v>
      </c>
      <c r="M7" s="359"/>
      <c r="N7" s="364"/>
      <c r="O7" s="364" t="str">
        <f t="shared" si="0"/>
        <v>AstraZeneca PLC</v>
      </c>
      <c r="P7" s="365">
        <f t="shared" si="1"/>
        <v>73</v>
      </c>
    </row>
    <row r="8" spans="1:16" ht="15.9" customHeight="1" thickBot="1" x14ac:dyDescent="0.35">
      <c r="A8" s="274">
        <v>5</v>
      </c>
      <c r="B8" s="295" t="s">
        <v>162</v>
      </c>
      <c r="C8" s="296" t="s">
        <v>163</v>
      </c>
      <c r="D8" s="296" t="s">
        <v>57</v>
      </c>
      <c r="E8" s="297" t="s">
        <v>155</v>
      </c>
      <c r="F8" s="298" t="s">
        <v>164</v>
      </c>
      <c r="G8" s="298" t="s">
        <v>165</v>
      </c>
      <c r="H8" s="298" t="s">
        <v>166</v>
      </c>
      <c r="I8" s="298" t="s">
        <v>167</v>
      </c>
      <c r="J8" s="298" t="s">
        <v>168</v>
      </c>
      <c r="K8" s="298" t="s">
        <v>41</v>
      </c>
      <c r="L8" s="298" t="s">
        <v>169</v>
      </c>
      <c r="M8" s="360"/>
      <c r="N8" s="366"/>
      <c r="O8" s="366" t="str">
        <f t="shared" si="0"/>
        <v>Autotrader Group p</v>
      </c>
      <c r="P8" s="367">
        <f t="shared" si="1"/>
        <v>73</v>
      </c>
    </row>
    <row r="9" spans="1:16" ht="15.9" customHeight="1" thickBot="1" x14ac:dyDescent="0.35">
      <c r="A9" s="275">
        <v>6</v>
      </c>
      <c r="B9" s="287" t="s">
        <v>170</v>
      </c>
      <c r="C9" s="288" t="s">
        <v>171</v>
      </c>
      <c r="D9" s="288" t="s">
        <v>87</v>
      </c>
      <c r="E9" s="289" t="s">
        <v>45</v>
      </c>
      <c r="F9" s="290" t="s">
        <v>172</v>
      </c>
      <c r="G9" s="290" t="s">
        <v>173</v>
      </c>
      <c r="H9" s="290" t="s">
        <v>174</v>
      </c>
      <c r="I9" s="290" t="s">
        <v>175</v>
      </c>
      <c r="J9" s="290" t="s">
        <v>176</v>
      </c>
      <c r="K9" s="290" t="s">
        <v>177</v>
      </c>
      <c r="L9" s="290" t="s">
        <v>136</v>
      </c>
      <c r="M9" s="359"/>
      <c r="N9" s="364"/>
      <c r="O9" s="364" t="str">
        <f t="shared" si="0"/>
        <v>NEXT plc</v>
      </c>
      <c r="P9" s="365">
        <f t="shared" si="1"/>
        <v>72</v>
      </c>
    </row>
    <row r="10" spans="1:16" ht="15.9" customHeight="1" thickBot="1" x14ac:dyDescent="0.35">
      <c r="A10" s="274">
        <v>7</v>
      </c>
      <c r="B10" s="295" t="s">
        <v>178</v>
      </c>
      <c r="C10" s="296" t="s">
        <v>179</v>
      </c>
      <c r="D10" s="296" t="s">
        <v>57</v>
      </c>
      <c r="E10" s="297" t="s">
        <v>45</v>
      </c>
      <c r="F10" s="298" t="s">
        <v>180</v>
      </c>
      <c r="G10" s="298" t="s">
        <v>181</v>
      </c>
      <c r="H10" s="298" t="s">
        <v>182</v>
      </c>
      <c r="I10" s="298" t="s">
        <v>183</v>
      </c>
      <c r="J10" s="298" t="s">
        <v>184</v>
      </c>
      <c r="K10" s="298" t="s">
        <v>41</v>
      </c>
      <c r="L10" s="298" t="s">
        <v>161</v>
      </c>
      <c r="M10" s="360"/>
      <c r="N10" s="366"/>
      <c r="O10" s="366" t="str">
        <f t="shared" si="0"/>
        <v>ICG plc</v>
      </c>
      <c r="P10" s="367">
        <f t="shared" si="1"/>
        <v>70</v>
      </c>
    </row>
    <row r="11" spans="1:16" ht="15.9" customHeight="1" thickBot="1" x14ac:dyDescent="0.35">
      <c r="A11" s="275">
        <v>8</v>
      </c>
      <c r="B11" s="287" t="s">
        <v>185</v>
      </c>
      <c r="C11" s="288" t="s">
        <v>186</v>
      </c>
      <c r="D11" s="288" t="s">
        <v>50</v>
      </c>
      <c r="E11" s="289" t="s">
        <v>187</v>
      </c>
      <c r="F11" s="290" t="s">
        <v>188</v>
      </c>
      <c r="G11" s="290" t="s">
        <v>189</v>
      </c>
      <c r="H11" s="290" t="s">
        <v>190</v>
      </c>
      <c r="I11" s="290" t="s">
        <v>191</v>
      </c>
      <c r="J11" s="290" t="s">
        <v>192</v>
      </c>
      <c r="K11" s="290" t="s">
        <v>41</v>
      </c>
      <c r="L11" s="290" t="s">
        <v>161</v>
      </c>
      <c r="M11" s="359"/>
      <c r="N11" s="364"/>
      <c r="O11" s="364" t="str">
        <f t="shared" si="0"/>
        <v>Diploma PLC</v>
      </c>
      <c r="P11" s="365">
        <f t="shared" si="1"/>
        <v>69</v>
      </c>
    </row>
    <row r="12" spans="1:16" ht="15.9" customHeight="1" thickBot="1" x14ac:dyDescent="0.35">
      <c r="A12" s="274">
        <v>9</v>
      </c>
      <c r="B12" s="295" t="s">
        <v>193</v>
      </c>
      <c r="C12" s="296" t="s">
        <v>194</v>
      </c>
      <c r="D12" s="296" t="s">
        <v>37</v>
      </c>
      <c r="E12" s="297" t="s">
        <v>58</v>
      </c>
      <c r="F12" s="298" t="s">
        <v>195</v>
      </c>
      <c r="G12" s="298" t="s">
        <v>196</v>
      </c>
      <c r="H12" s="298" t="s">
        <v>197</v>
      </c>
      <c r="I12" s="298" t="s">
        <v>198</v>
      </c>
      <c r="J12" s="298" t="s">
        <v>199</v>
      </c>
      <c r="K12" s="298" t="s">
        <v>41</v>
      </c>
      <c r="L12" s="298" t="s">
        <v>161</v>
      </c>
      <c r="M12" s="360"/>
      <c r="N12" s="366"/>
      <c r="O12" s="366"/>
      <c r="P12" s="367"/>
    </row>
    <row r="13" spans="1:16" ht="15.9" customHeight="1" thickBot="1" x14ac:dyDescent="0.35">
      <c r="A13" s="275">
        <v>10</v>
      </c>
      <c r="B13" s="287" t="s">
        <v>200</v>
      </c>
      <c r="C13" s="288" t="s">
        <v>201</v>
      </c>
      <c r="D13" s="288" t="s">
        <v>75</v>
      </c>
      <c r="E13" s="289" t="s">
        <v>202</v>
      </c>
      <c r="F13" s="290" t="s">
        <v>203</v>
      </c>
      <c r="G13" s="290" t="s">
        <v>204</v>
      </c>
      <c r="H13" s="290" t="s">
        <v>205</v>
      </c>
      <c r="I13" s="290" t="s">
        <v>206</v>
      </c>
      <c r="J13" s="290" t="s">
        <v>207</v>
      </c>
      <c r="K13" s="290" t="s">
        <v>41</v>
      </c>
      <c r="L13" s="290" t="s">
        <v>161</v>
      </c>
      <c r="M13" s="359"/>
      <c r="N13" s="364"/>
      <c r="O13" s="364"/>
      <c r="P13" s="365"/>
    </row>
    <row r="14" spans="1:16" ht="15.9" customHeight="1" thickBot="1" x14ac:dyDescent="0.35">
      <c r="A14" s="274">
        <v>11</v>
      </c>
      <c r="B14" s="295" t="s">
        <v>208</v>
      </c>
      <c r="C14" s="296" t="s">
        <v>209</v>
      </c>
      <c r="D14" s="296" t="s">
        <v>210</v>
      </c>
      <c r="E14" s="297" t="s">
        <v>202</v>
      </c>
      <c r="F14" s="298" t="s">
        <v>211</v>
      </c>
      <c r="G14" s="298" t="s">
        <v>212</v>
      </c>
      <c r="H14" s="298" t="s">
        <v>114</v>
      </c>
      <c r="I14" s="298" t="s">
        <v>213</v>
      </c>
      <c r="J14" s="298" t="s">
        <v>214</v>
      </c>
      <c r="K14" s="298" t="s">
        <v>41</v>
      </c>
      <c r="L14" s="298" t="s">
        <v>161</v>
      </c>
      <c r="M14" s="360"/>
      <c r="N14" s="366"/>
      <c r="O14" s="366"/>
      <c r="P14" s="367"/>
    </row>
    <row r="15" spans="1:16" ht="15.9" customHeight="1" thickBot="1" x14ac:dyDescent="0.35">
      <c r="A15" s="275">
        <v>12</v>
      </c>
      <c r="B15" s="287" t="s">
        <v>215</v>
      </c>
      <c r="C15" s="288" t="s">
        <v>216</v>
      </c>
      <c r="D15" s="288" t="s">
        <v>75</v>
      </c>
      <c r="E15" s="289" t="s">
        <v>202</v>
      </c>
      <c r="F15" s="290" t="s">
        <v>217</v>
      </c>
      <c r="G15" s="290" t="s">
        <v>218</v>
      </c>
      <c r="H15" s="290" t="s">
        <v>219</v>
      </c>
      <c r="I15" s="290" t="s">
        <v>220</v>
      </c>
      <c r="J15" s="290" t="s">
        <v>221</v>
      </c>
      <c r="K15" s="290" t="s">
        <v>41</v>
      </c>
      <c r="L15" s="290" t="s">
        <v>169</v>
      </c>
      <c r="M15" s="359"/>
      <c r="N15" s="364"/>
      <c r="O15" s="364"/>
      <c r="P15" s="365"/>
    </row>
    <row r="16" spans="1:16" ht="15.9" customHeight="1" thickBot="1" x14ac:dyDescent="0.35">
      <c r="A16" s="274">
        <v>13</v>
      </c>
      <c r="B16" s="295" t="s">
        <v>222</v>
      </c>
      <c r="C16" s="296" t="s">
        <v>223</v>
      </c>
      <c r="D16" s="296" t="s">
        <v>87</v>
      </c>
      <c r="E16" s="297" t="s">
        <v>92</v>
      </c>
      <c r="F16" s="298" t="s">
        <v>151</v>
      </c>
      <c r="G16" s="298" t="s">
        <v>224</v>
      </c>
      <c r="H16" s="298" t="s">
        <v>225</v>
      </c>
      <c r="I16" s="298" t="s">
        <v>226</v>
      </c>
      <c r="J16" s="298" t="s">
        <v>227</v>
      </c>
      <c r="K16" s="298" t="s">
        <v>228</v>
      </c>
      <c r="L16" s="298" t="s">
        <v>136</v>
      </c>
      <c r="M16" s="360"/>
      <c r="N16" s="366"/>
      <c r="O16" s="366"/>
      <c r="P16" s="367"/>
    </row>
    <row r="17" spans="1:16" ht="15.9" customHeight="1" thickBot="1" x14ac:dyDescent="0.35">
      <c r="A17" s="275">
        <v>14</v>
      </c>
      <c r="B17" s="287" t="s">
        <v>229</v>
      </c>
      <c r="C17" s="288" t="s">
        <v>230</v>
      </c>
      <c r="D17" s="288" t="s">
        <v>37</v>
      </c>
      <c r="E17" s="289" t="s">
        <v>92</v>
      </c>
      <c r="F17" s="290" t="s">
        <v>231</v>
      </c>
      <c r="G17" s="290" t="s">
        <v>232</v>
      </c>
      <c r="H17" s="290" t="s">
        <v>233</v>
      </c>
      <c r="I17" s="290" t="s">
        <v>234</v>
      </c>
      <c r="J17" s="290" t="s">
        <v>235</v>
      </c>
      <c r="K17" s="290" t="s">
        <v>41</v>
      </c>
      <c r="L17" s="290" t="s">
        <v>136</v>
      </c>
      <c r="M17" s="359"/>
      <c r="N17" s="364"/>
      <c r="O17" s="364"/>
      <c r="P17" s="365"/>
    </row>
    <row r="18" spans="1:16" ht="15.9" customHeight="1" x14ac:dyDescent="0.3">
      <c r="A18" s="276">
        <v>15</v>
      </c>
      <c r="B18" s="291" t="s">
        <v>236</v>
      </c>
      <c r="C18" s="292" t="s">
        <v>237</v>
      </c>
      <c r="D18" s="292" t="s">
        <v>75</v>
      </c>
      <c r="E18" s="293" t="s">
        <v>92</v>
      </c>
      <c r="F18" s="294" t="s">
        <v>238</v>
      </c>
      <c r="G18" s="294" t="s">
        <v>239</v>
      </c>
      <c r="H18" s="294" t="s">
        <v>240</v>
      </c>
      <c r="I18" s="294" t="s">
        <v>241</v>
      </c>
      <c r="J18" s="294" t="s">
        <v>231</v>
      </c>
      <c r="K18" s="294" t="s">
        <v>41</v>
      </c>
      <c r="L18" s="294" t="s">
        <v>161</v>
      </c>
      <c r="M18" s="361"/>
      <c r="N18" s="368"/>
      <c r="O18" s="368"/>
      <c r="P18" s="369"/>
    </row>
    <row r="19" spans="1:16" ht="15.9" customHeigh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</row>
    <row r="20" spans="1:16" ht="6" customHeight="1" x14ac:dyDescent="0.3">
      <c r="A20" s="107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8"/>
    </row>
    <row r="21" spans="1:16" ht="15.9" customHeight="1" x14ac:dyDescent="0.3">
      <c r="A21" s="109"/>
      <c r="B21" s="109"/>
      <c r="C21" s="110"/>
      <c r="D21" s="110"/>
      <c r="E21" s="110"/>
      <c r="F21" s="110"/>
      <c r="G21" s="110"/>
      <c r="H21" s="110"/>
      <c r="I21" s="110"/>
      <c r="J21" s="110"/>
      <c r="K21" s="110"/>
      <c r="L21" s="110"/>
    </row>
    <row r="22" spans="1:16" ht="15.9" customHeight="1" x14ac:dyDescent="0.3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</row>
    <row r="23" spans="1:16" ht="13.95" customHeight="1" x14ac:dyDescent="0.3"/>
    <row r="24" spans="1:16" ht="13.95" customHeight="1" x14ac:dyDescent="0.3"/>
    <row r="25" spans="1:16" ht="13.95" customHeight="1" x14ac:dyDescent="0.3"/>
    <row r="26" spans="1:16" ht="13.95" customHeight="1" x14ac:dyDescent="0.3"/>
    <row r="27" spans="1:16" ht="13.95" customHeight="1" x14ac:dyDescent="0.3"/>
    <row r="28" spans="1:16" ht="13.95" customHeight="1" x14ac:dyDescent="0.3"/>
    <row r="29" spans="1:16" ht="13.95" customHeight="1" x14ac:dyDescent="0.3"/>
    <row r="30" spans="1:16" ht="13.95" customHeight="1" x14ac:dyDescent="0.3"/>
    <row r="31" spans="1:16" ht="13.95" customHeight="1" x14ac:dyDescent="0.3"/>
    <row r="32" spans="1:16" ht="13.95" customHeight="1" x14ac:dyDescent="0.3"/>
    <row r="33" ht="13.95" customHeight="1" x14ac:dyDescent="0.3"/>
    <row r="34" ht="13.95" customHeight="1" x14ac:dyDescent="0.3"/>
    <row r="35" ht="13.95" customHeight="1" x14ac:dyDescent="0.3"/>
    <row r="36" ht="13.95" customHeight="1" x14ac:dyDescent="0.3"/>
    <row r="37" ht="13.95" customHeight="1" x14ac:dyDescent="0.3"/>
    <row r="38" ht="13.95" customHeight="1" x14ac:dyDescent="0.3"/>
    <row r="39" ht="13.95" customHeight="1" x14ac:dyDescent="0.3"/>
    <row r="40" ht="13.95" customHeight="1" x14ac:dyDescent="0.3"/>
    <row r="41" ht="13.95" customHeight="1" x14ac:dyDescent="0.3"/>
    <row r="42" ht="13.95" customHeight="1" x14ac:dyDescent="0.3"/>
    <row r="44" ht="16.2" customHeight="1" x14ac:dyDescent="0.3"/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4"/>
  <sheetViews>
    <sheetView showGridLines="0" zoomScale="85" workbookViewId="0">
      <selection activeCell="L22" sqref="L22"/>
    </sheetView>
  </sheetViews>
  <sheetFormatPr baseColWidth="10" defaultColWidth="8.88671875" defaultRowHeight="14.4" x14ac:dyDescent="0.3"/>
  <cols>
    <col min="1" max="1" width="5.33203125" customWidth="1"/>
    <col min="2" max="2" width="9.109375" customWidth="1"/>
    <col min="3" max="3" width="26.6640625" customWidth="1"/>
    <col min="4" max="4" width="15.33203125" customWidth="1"/>
    <col min="5" max="5" width="9.109375" customWidth="1"/>
    <col min="6" max="7" width="10.44140625" customWidth="1"/>
    <col min="8" max="8" width="12.44140625" customWidth="1"/>
    <col min="9" max="9" width="10.44140625" customWidth="1"/>
    <col min="10" max="10" width="12.44140625" customWidth="1"/>
    <col min="11" max="11" width="10.44140625" customWidth="1"/>
    <col min="12" max="13" width="12.44140625" customWidth="1"/>
    <col min="15" max="19" width="8.88671875" style="149" customWidth="1"/>
  </cols>
  <sheetData>
    <row r="1" spans="1:18" ht="32.1" customHeight="1" thickBot="1" x14ac:dyDescent="0.35">
      <c r="A1" s="101" t="s">
        <v>242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49" t="s">
        <v>10</v>
      </c>
      <c r="P1" s="149" t="s">
        <v>243</v>
      </c>
      <c r="Q1" s="149" t="s">
        <v>32</v>
      </c>
      <c r="R1" s="149" t="s">
        <v>244</v>
      </c>
    </row>
    <row r="2" spans="1:18" x14ac:dyDescent="0.3">
      <c r="A2" s="22" t="s">
        <v>25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O2" s="149" t="str">
        <f t="shared" ref="O2:O11" si="0">IF(B4&lt;&gt;"—",LEFT(C4,15),"—")</f>
        <v>Rightmove plc</v>
      </c>
      <c r="P2" s="149">
        <f t="shared" ref="P2:P11" si="1">IF(E4&lt;&gt;"—",VALUE(LEFT(E4,FIND("/",E4)-1)),"")</f>
        <v>93</v>
      </c>
      <c r="Q2" s="149">
        <f t="shared" ref="Q2:Q11" si="2">IF(F4&lt;&gt;"—",F4,"")</f>
        <v>21.85</v>
      </c>
      <c r="R2" s="149" t="str">
        <f t="shared" ref="R2:R11" si="3">IF(H4&lt;&gt;"—",H4,"")</f>
        <v/>
      </c>
    </row>
    <row r="3" spans="1:18" ht="18" customHeight="1" thickBot="1" x14ac:dyDescent="0.35">
      <c r="A3" s="300" t="s">
        <v>26</v>
      </c>
      <c r="B3" s="301" t="s">
        <v>9</v>
      </c>
      <c r="C3" s="302" t="s">
        <v>10</v>
      </c>
      <c r="D3" s="302" t="s">
        <v>14</v>
      </c>
      <c r="E3" s="303" t="s">
        <v>11</v>
      </c>
      <c r="F3" s="303" t="s">
        <v>245</v>
      </c>
      <c r="G3" s="303" t="s">
        <v>246</v>
      </c>
      <c r="H3" s="303" t="s">
        <v>244</v>
      </c>
      <c r="I3" s="303" t="s">
        <v>247</v>
      </c>
      <c r="J3" s="303" t="s">
        <v>31</v>
      </c>
      <c r="K3" s="303" t="s">
        <v>124</v>
      </c>
      <c r="L3" s="303" t="s">
        <v>248</v>
      </c>
      <c r="M3" s="303" t="s">
        <v>249</v>
      </c>
      <c r="N3" s="299"/>
      <c r="O3" s="277" t="str">
        <f t="shared" si="0"/>
        <v>Autotrader Grou</v>
      </c>
      <c r="P3" s="277">
        <f t="shared" si="1"/>
        <v>88</v>
      </c>
      <c r="Q3" s="277">
        <f t="shared" si="2"/>
        <v>20.25</v>
      </c>
      <c r="R3" s="278" t="str">
        <f t="shared" si="3"/>
        <v/>
      </c>
    </row>
    <row r="4" spans="1:18" ht="15.9" customHeight="1" thickBot="1" x14ac:dyDescent="0.35">
      <c r="A4" s="274">
        <v>1</v>
      </c>
      <c r="B4" s="282" t="s">
        <v>162</v>
      </c>
      <c r="C4" s="283" t="s">
        <v>163</v>
      </c>
      <c r="D4" s="283" t="s">
        <v>57</v>
      </c>
      <c r="E4" s="284" t="s">
        <v>250</v>
      </c>
      <c r="F4" s="285">
        <v>21.85</v>
      </c>
      <c r="G4" s="285" t="s">
        <v>251</v>
      </c>
      <c r="H4" s="285" t="s">
        <v>41</v>
      </c>
      <c r="I4" s="285" t="s">
        <v>41</v>
      </c>
      <c r="J4" s="285" t="s">
        <v>165</v>
      </c>
      <c r="K4" s="285" t="s">
        <v>167</v>
      </c>
      <c r="L4" s="285">
        <v>1724</v>
      </c>
      <c r="M4" s="285">
        <v>2.21</v>
      </c>
      <c r="N4" s="358"/>
      <c r="O4" s="362" t="str">
        <f t="shared" si="0"/>
        <v>Fresnillo plc</v>
      </c>
      <c r="P4" s="362">
        <f t="shared" si="1"/>
        <v>83</v>
      </c>
      <c r="Q4" s="362">
        <f t="shared" si="2"/>
        <v>7.22</v>
      </c>
      <c r="R4" s="363">
        <f t="shared" si="3"/>
        <v>-3.17</v>
      </c>
    </row>
    <row r="5" spans="1:18" ht="15.9" customHeight="1" thickBot="1" x14ac:dyDescent="0.35">
      <c r="A5" s="275">
        <v>2</v>
      </c>
      <c r="B5" s="287" t="s">
        <v>178</v>
      </c>
      <c r="C5" s="288" t="s">
        <v>179</v>
      </c>
      <c r="D5" s="288" t="s">
        <v>57</v>
      </c>
      <c r="E5" s="289" t="s">
        <v>139</v>
      </c>
      <c r="F5" s="290">
        <v>20.25</v>
      </c>
      <c r="G5" s="290" t="s">
        <v>251</v>
      </c>
      <c r="H5" s="290" t="s">
        <v>41</v>
      </c>
      <c r="I5" s="290" t="s">
        <v>41</v>
      </c>
      <c r="J5" s="290" t="s">
        <v>181</v>
      </c>
      <c r="K5" s="290" t="s">
        <v>183</v>
      </c>
      <c r="L5" s="290">
        <v>251</v>
      </c>
      <c r="M5" s="290">
        <v>1.7</v>
      </c>
      <c r="N5" s="359"/>
      <c r="O5" s="364" t="str">
        <f t="shared" si="0"/>
        <v>The Berkeley Gr</v>
      </c>
      <c r="P5" s="364">
        <f t="shared" si="1"/>
        <v>83</v>
      </c>
      <c r="Q5" s="364">
        <f t="shared" si="2"/>
        <v>8.16</v>
      </c>
      <c r="R5" s="365">
        <f t="shared" si="3"/>
        <v>-3.11</v>
      </c>
    </row>
    <row r="6" spans="1:18" ht="15.9" customHeight="1" thickBot="1" x14ac:dyDescent="0.35">
      <c r="A6" s="274">
        <v>3</v>
      </c>
      <c r="B6" s="295" t="s">
        <v>252</v>
      </c>
      <c r="C6" s="296" t="s">
        <v>253</v>
      </c>
      <c r="D6" s="296" t="s">
        <v>107</v>
      </c>
      <c r="E6" s="297" t="s">
        <v>254</v>
      </c>
      <c r="F6" s="298">
        <v>7.22</v>
      </c>
      <c r="G6" s="298" t="s">
        <v>251</v>
      </c>
      <c r="H6" s="298">
        <v>-3.17</v>
      </c>
      <c r="I6" s="298" t="s">
        <v>255</v>
      </c>
      <c r="J6" s="298" t="s">
        <v>256</v>
      </c>
      <c r="K6" s="298" t="s">
        <v>84</v>
      </c>
      <c r="L6" s="298">
        <v>12</v>
      </c>
      <c r="M6" s="298">
        <v>6.63</v>
      </c>
      <c r="N6" s="360"/>
      <c r="O6" s="366" t="str">
        <f t="shared" si="0"/>
        <v>Antofagasta plc</v>
      </c>
      <c r="P6" s="366">
        <f t="shared" si="1"/>
        <v>76</v>
      </c>
      <c r="Q6" s="366">
        <f t="shared" si="2"/>
        <v>4.04</v>
      </c>
      <c r="R6" s="367">
        <f t="shared" si="3"/>
        <v>-3.05</v>
      </c>
    </row>
    <row r="7" spans="1:18" ht="15.9" customHeight="1" thickBot="1" x14ac:dyDescent="0.35">
      <c r="A7" s="275">
        <v>4</v>
      </c>
      <c r="B7" s="287" t="s">
        <v>257</v>
      </c>
      <c r="C7" s="288" t="s">
        <v>258</v>
      </c>
      <c r="D7" s="288" t="s">
        <v>50</v>
      </c>
      <c r="E7" s="289" t="s">
        <v>254</v>
      </c>
      <c r="F7" s="290">
        <v>8.16</v>
      </c>
      <c r="G7" s="290" t="s">
        <v>251</v>
      </c>
      <c r="H7" s="290">
        <v>-3.11</v>
      </c>
      <c r="I7" s="290" t="s">
        <v>255</v>
      </c>
      <c r="J7" s="290" t="s">
        <v>259</v>
      </c>
      <c r="K7" s="290" t="s">
        <v>260</v>
      </c>
      <c r="L7" s="290">
        <v>19</v>
      </c>
      <c r="M7" s="290">
        <v>3.36</v>
      </c>
      <c r="N7" s="359"/>
      <c r="O7" s="364" t="str">
        <f t="shared" si="0"/>
        <v>Taylor Wimpey p</v>
      </c>
      <c r="P7" s="364">
        <f t="shared" si="1"/>
        <v>76</v>
      </c>
      <c r="Q7" s="364">
        <f t="shared" si="2"/>
        <v>9.4</v>
      </c>
      <c r="R7" s="365">
        <f t="shared" si="3"/>
        <v>-3.35</v>
      </c>
    </row>
    <row r="8" spans="1:18" ht="15.9" customHeight="1" thickBot="1" x14ac:dyDescent="0.35">
      <c r="A8" s="274">
        <v>5</v>
      </c>
      <c r="B8" s="295" t="s">
        <v>261</v>
      </c>
      <c r="C8" s="296" t="s">
        <v>262</v>
      </c>
      <c r="D8" s="296" t="s">
        <v>107</v>
      </c>
      <c r="E8" s="297" t="s">
        <v>263</v>
      </c>
      <c r="F8" s="298">
        <v>4.04</v>
      </c>
      <c r="G8" s="298" t="s">
        <v>251</v>
      </c>
      <c r="H8" s="298">
        <v>-3.05</v>
      </c>
      <c r="I8" s="298" t="s">
        <v>255</v>
      </c>
      <c r="J8" s="298" t="s">
        <v>264</v>
      </c>
      <c r="K8" s="298" t="s">
        <v>265</v>
      </c>
      <c r="L8" s="298">
        <v>7</v>
      </c>
      <c r="M8" s="298">
        <v>2.2200000000000002</v>
      </c>
      <c r="N8" s="360"/>
      <c r="O8" s="366" t="str">
        <f t="shared" si="0"/>
        <v>Endeavour Minin</v>
      </c>
      <c r="P8" s="366">
        <f t="shared" si="1"/>
        <v>74</v>
      </c>
      <c r="Q8" s="366">
        <f t="shared" si="2"/>
        <v>4.67</v>
      </c>
      <c r="R8" s="367">
        <f t="shared" si="3"/>
        <v>-3.54</v>
      </c>
    </row>
    <row r="9" spans="1:18" ht="15.9" customHeight="1" thickBot="1" x14ac:dyDescent="0.35">
      <c r="A9" s="275">
        <v>6</v>
      </c>
      <c r="B9" s="287" t="s">
        <v>266</v>
      </c>
      <c r="C9" s="288" t="s">
        <v>267</v>
      </c>
      <c r="D9" s="288" t="s">
        <v>50</v>
      </c>
      <c r="E9" s="289" t="s">
        <v>263</v>
      </c>
      <c r="F9" s="290">
        <v>9.4</v>
      </c>
      <c r="G9" s="290" t="s">
        <v>251</v>
      </c>
      <c r="H9" s="290">
        <v>-3.35</v>
      </c>
      <c r="I9" s="290" t="s">
        <v>255</v>
      </c>
      <c r="J9" s="290" t="s">
        <v>268</v>
      </c>
      <c r="K9" s="290" t="s">
        <v>269</v>
      </c>
      <c r="L9" s="290">
        <v>13</v>
      </c>
      <c r="M9" s="290">
        <v>4.9000000000000004</v>
      </c>
      <c r="N9" s="359"/>
      <c r="O9" s="364" t="str">
        <f t="shared" si="0"/>
        <v>Persimmon Plc</v>
      </c>
      <c r="P9" s="364">
        <f t="shared" si="1"/>
        <v>74</v>
      </c>
      <c r="Q9" s="364">
        <f t="shared" si="2"/>
        <v>9.14</v>
      </c>
      <c r="R9" s="365">
        <f t="shared" si="3"/>
        <v>-2.2599999999999998</v>
      </c>
    </row>
    <row r="10" spans="1:18" ht="15.9" customHeight="1" thickBot="1" x14ac:dyDescent="0.35">
      <c r="A10" s="274">
        <v>7</v>
      </c>
      <c r="B10" s="295" t="s">
        <v>127</v>
      </c>
      <c r="C10" s="296" t="s">
        <v>128</v>
      </c>
      <c r="D10" s="296" t="s">
        <v>107</v>
      </c>
      <c r="E10" s="297" t="s">
        <v>270</v>
      </c>
      <c r="F10" s="298">
        <v>4.67</v>
      </c>
      <c r="G10" s="298" t="s">
        <v>251</v>
      </c>
      <c r="H10" s="298">
        <v>-3.54</v>
      </c>
      <c r="I10" s="298" t="s">
        <v>255</v>
      </c>
      <c r="J10" s="298" t="s">
        <v>131</v>
      </c>
      <c r="K10" s="298" t="s">
        <v>133</v>
      </c>
      <c r="L10" s="298">
        <v>17</v>
      </c>
      <c r="M10" s="298">
        <v>1.1100000000000001</v>
      </c>
      <c r="N10" s="360"/>
      <c r="O10" s="366" t="str">
        <f t="shared" si="0"/>
        <v>Halma plc</v>
      </c>
      <c r="P10" s="366">
        <f t="shared" si="1"/>
        <v>73</v>
      </c>
      <c r="Q10" s="366">
        <f t="shared" si="2"/>
        <v>5.44</v>
      </c>
      <c r="R10" s="367">
        <f t="shared" si="3"/>
        <v>-3.13</v>
      </c>
    </row>
    <row r="11" spans="1:18" ht="15.9" customHeight="1" thickBot="1" x14ac:dyDescent="0.35">
      <c r="A11" s="275">
        <v>8</v>
      </c>
      <c r="B11" s="287" t="s">
        <v>271</v>
      </c>
      <c r="C11" s="288" t="s">
        <v>272</v>
      </c>
      <c r="D11" s="288" t="s">
        <v>50</v>
      </c>
      <c r="E11" s="289" t="s">
        <v>270</v>
      </c>
      <c r="F11" s="290">
        <v>9.14</v>
      </c>
      <c r="G11" s="290" t="s">
        <v>251</v>
      </c>
      <c r="H11" s="290">
        <v>-2.2599999999999998</v>
      </c>
      <c r="I11" s="290" t="s">
        <v>255</v>
      </c>
      <c r="J11" s="290" t="s">
        <v>273</v>
      </c>
      <c r="K11" s="290" t="s">
        <v>274</v>
      </c>
      <c r="L11" s="290">
        <v>11</v>
      </c>
      <c r="M11" s="290">
        <v>3.99</v>
      </c>
      <c r="N11" s="359"/>
      <c r="O11" s="364" t="str">
        <f t="shared" si="0"/>
        <v>NEXT plc</v>
      </c>
      <c r="P11" s="364">
        <f t="shared" si="1"/>
        <v>71</v>
      </c>
      <c r="Q11" s="364">
        <f t="shared" si="2"/>
        <v>5.79</v>
      </c>
      <c r="R11" s="365">
        <f t="shared" si="3"/>
        <v>-3.12</v>
      </c>
    </row>
    <row r="12" spans="1:18" ht="15.9" customHeight="1" thickBot="1" x14ac:dyDescent="0.35">
      <c r="A12" s="274">
        <v>9</v>
      </c>
      <c r="B12" s="295" t="s">
        <v>236</v>
      </c>
      <c r="C12" s="296" t="s">
        <v>237</v>
      </c>
      <c r="D12" s="296" t="s">
        <v>75</v>
      </c>
      <c r="E12" s="297" t="s">
        <v>45</v>
      </c>
      <c r="F12" s="298">
        <v>5.44</v>
      </c>
      <c r="G12" s="298" t="s">
        <v>251</v>
      </c>
      <c r="H12" s="298">
        <v>-3.13</v>
      </c>
      <c r="I12" s="298" t="s">
        <v>255</v>
      </c>
      <c r="J12" s="298" t="s">
        <v>239</v>
      </c>
      <c r="K12" s="298" t="s">
        <v>241</v>
      </c>
      <c r="L12" s="298">
        <v>13</v>
      </c>
      <c r="M12" s="298">
        <v>2.44</v>
      </c>
      <c r="N12" s="360"/>
      <c r="O12" s="366"/>
      <c r="P12" s="366"/>
      <c r="Q12" s="366"/>
      <c r="R12" s="367"/>
    </row>
    <row r="13" spans="1:18" ht="15.9" customHeight="1" thickBot="1" x14ac:dyDescent="0.35">
      <c r="A13" s="275">
        <v>10</v>
      </c>
      <c r="B13" s="287" t="s">
        <v>185</v>
      </c>
      <c r="C13" s="288" t="s">
        <v>186</v>
      </c>
      <c r="D13" s="288" t="s">
        <v>50</v>
      </c>
      <c r="E13" s="289" t="s">
        <v>51</v>
      </c>
      <c r="F13" s="290">
        <v>5.79</v>
      </c>
      <c r="G13" s="290" t="s">
        <v>251</v>
      </c>
      <c r="H13" s="290">
        <v>-3.12</v>
      </c>
      <c r="I13" s="290" t="s">
        <v>255</v>
      </c>
      <c r="J13" s="290" t="s">
        <v>189</v>
      </c>
      <c r="K13" s="290" t="s">
        <v>191</v>
      </c>
      <c r="L13" s="290">
        <v>11</v>
      </c>
      <c r="M13" s="290">
        <v>1.69</v>
      </c>
      <c r="N13" s="359"/>
      <c r="O13" s="364"/>
      <c r="P13" s="364"/>
      <c r="Q13" s="364"/>
      <c r="R13" s="365"/>
    </row>
    <row r="14" spans="1:18" ht="15.9" customHeight="1" thickBot="1" x14ac:dyDescent="0.35">
      <c r="A14" s="274">
        <v>11</v>
      </c>
      <c r="B14" s="295" t="s">
        <v>105</v>
      </c>
      <c r="C14" s="296" t="s">
        <v>106</v>
      </c>
      <c r="D14" s="296" t="s">
        <v>107</v>
      </c>
      <c r="E14" s="297" t="s">
        <v>58</v>
      </c>
      <c r="F14" s="298">
        <v>3.45</v>
      </c>
      <c r="G14" s="298" t="s">
        <v>251</v>
      </c>
      <c r="H14" s="298">
        <v>-2.93</v>
      </c>
      <c r="I14" s="298" t="s">
        <v>255</v>
      </c>
      <c r="J14" s="298" t="s">
        <v>109</v>
      </c>
      <c r="K14" s="298" t="s">
        <v>275</v>
      </c>
      <c r="L14" s="298">
        <v>9</v>
      </c>
      <c r="M14" s="298">
        <v>1.44</v>
      </c>
      <c r="N14" s="360"/>
      <c r="O14" s="366"/>
      <c r="P14" s="366"/>
      <c r="Q14" s="366"/>
      <c r="R14" s="367"/>
    </row>
    <row r="15" spans="1:18" ht="15.9" customHeight="1" thickBot="1" x14ac:dyDescent="0.35">
      <c r="A15" s="275">
        <v>12</v>
      </c>
      <c r="B15" s="287" t="s">
        <v>200</v>
      </c>
      <c r="C15" s="288" t="s">
        <v>201</v>
      </c>
      <c r="D15" s="288" t="s">
        <v>75</v>
      </c>
      <c r="E15" s="289" t="s">
        <v>202</v>
      </c>
      <c r="F15" s="290">
        <v>4.47</v>
      </c>
      <c r="G15" s="290" t="s">
        <v>251</v>
      </c>
      <c r="H15" s="290">
        <v>-3.03</v>
      </c>
      <c r="I15" s="290" t="s">
        <v>255</v>
      </c>
      <c r="J15" s="290" t="s">
        <v>204</v>
      </c>
      <c r="K15" s="290" t="s">
        <v>206</v>
      </c>
      <c r="L15" s="290">
        <v>11</v>
      </c>
      <c r="M15" s="290">
        <v>2.04</v>
      </c>
      <c r="N15" s="359"/>
      <c r="O15" s="364"/>
      <c r="P15" s="364"/>
      <c r="Q15" s="364"/>
      <c r="R15" s="365"/>
    </row>
    <row r="16" spans="1:18" ht="15.9" customHeight="1" thickBot="1" x14ac:dyDescent="0.35">
      <c r="A16" s="274">
        <v>13</v>
      </c>
      <c r="B16" s="295" t="s">
        <v>276</v>
      </c>
      <c r="C16" s="296" t="s">
        <v>277</v>
      </c>
      <c r="D16" s="296" t="s">
        <v>107</v>
      </c>
      <c r="E16" s="297" t="s">
        <v>76</v>
      </c>
      <c r="F16" s="298">
        <v>5</v>
      </c>
      <c r="G16" s="298" t="s">
        <v>251</v>
      </c>
      <c r="H16" s="298">
        <v>-3.28</v>
      </c>
      <c r="I16" s="298" t="s">
        <v>255</v>
      </c>
      <c r="J16" s="298" t="s">
        <v>278</v>
      </c>
      <c r="K16" s="298" t="s">
        <v>279</v>
      </c>
      <c r="L16" s="298">
        <v>8</v>
      </c>
      <c r="M16" s="298">
        <v>2.63</v>
      </c>
      <c r="N16" s="360"/>
      <c r="O16" s="366"/>
      <c r="P16" s="366"/>
      <c r="Q16" s="366"/>
      <c r="R16" s="367"/>
    </row>
    <row r="17" spans="1:18" ht="15.9" customHeight="1" thickBot="1" x14ac:dyDescent="0.35">
      <c r="A17" s="275">
        <v>14</v>
      </c>
      <c r="B17" s="287" t="s">
        <v>115</v>
      </c>
      <c r="C17" s="288" t="s">
        <v>116</v>
      </c>
      <c r="D17" s="288" t="s">
        <v>87</v>
      </c>
      <c r="E17" s="289" t="s">
        <v>97</v>
      </c>
      <c r="F17" s="290">
        <v>4.92</v>
      </c>
      <c r="G17" s="290" t="s">
        <v>251</v>
      </c>
      <c r="H17" s="290">
        <v>-2.97</v>
      </c>
      <c r="I17" s="290" t="s">
        <v>255</v>
      </c>
      <c r="J17" s="290" t="s">
        <v>119</v>
      </c>
      <c r="K17" s="290" t="s">
        <v>203</v>
      </c>
      <c r="L17" s="290">
        <v>5</v>
      </c>
      <c r="M17" s="290">
        <v>2.57</v>
      </c>
      <c r="N17" s="359"/>
      <c r="O17" s="364"/>
      <c r="P17" s="364"/>
      <c r="Q17" s="364"/>
      <c r="R17" s="365"/>
    </row>
    <row r="18" spans="1:18" ht="15.9" customHeight="1" x14ac:dyDescent="0.3">
      <c r="A18" s="276">
        <v>15</v>
      </c>
      <c r="B18" s="291" t="s">
        <v>145</v>
      </c>
      <c r="C18" s="292" t="s">
        <v>146</v>
      </c>
      <c r="D18" s="292" t="s">
        <v>75</v>
      </c>
      <c r="E18" s="293" t="s">
        <v>280</v>
      </c>
      <c r="F18" s="294">
        <v>2.08</v>
      </c>
      <c r="G18" s="294" t="s">
        <v>281</v>
      </c>
      <c r="H18" s="294">
        <v>-3.27</v>
      </c>
      <c r="I18" s="294" t="s">
        <v>255</v>
      </c>
      <c r="J18" s="294" t="s">
        <v>148</v>
      </c>
      <c r="K18" s="294" t="s">
        <v>150</v>
      </c>
      <c r="L18" s="294">
        <v>24</v>
      </c>
      <c r="M18" s="294">
        <v>1.2</v>
      </c>
      <c r="N18" s="361"/>
      <c r="O18" s="368"/>
      <c r="P18" s="368"/>
      <c r="Q18" s="368"/>
      <c r="R18" s="369"/>
    </row>
    <row r="19" spans="1:18" ht="15.9" customHeigh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</row>
    <row r="20" spans="1:18" ht="6" customHeight="1" x14ac:dyDescent="0.3">
      <c r="A20" s="107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8"/>
    </row>
    <row r="21" spans="1:18" ht="15.9" customHeight="1" x14ac:dyDescent="0.3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</row>
    <row r="22" spans="1:18" ht="15.9" customHeight="1" x14ac:dyDescent="0.3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</row>
    <row r="23" spans="1:18" ht="13.95" customHeight="1" x14ac:dyDescent="0.3"/>
    <row r="24" spans="1:18" ht="13.95" customHeight="1" x14ac:dyDescent="0.3"/>
    <row r="25" spans="1:18" ht="13.95" customHeight="1" x14ac:dyDescent="0.3"/>
    <row r="26" spans="1:18" ht="13.95" customHeight="1" x14ac:dyDescent="0.3"/>
    <row r="27" spans="1:18" ht="13.95" customHeight="1" x14ac:dyDescent="0.3"/>
    <row r="28" spans="1:18" ht="13.95" customHeight="1" x14ac:dyDescent="0.3"/>
    <row r="29" spans="1:18" ht="13.95" customHeight="1" x14ac:dyDescent="0.3"/>
    <row r="30" spans="1:18" ht="13.95" customHeight="1" x14ac:dyDescent="0.3"/>
    <row r="31" spans="1:18" ht="13.95" customHeight="1" x14ac:dyDescent="0.3"/>
    <row r="32" spans="1:18" ht="13.95" customHeight="1" x14ac:dyDescent="0.3"/>
    <row r="33" ht="13.95" customHeight="1" x14ac:dyDescent="0.3"/>
    <row r="34" ht="13.95" customHeight="1" x14ac:dyDescent="0.3"/>
    <row r="35" ht="13.95" customHeight="1" x14ac:dyDescent="0.3"/>
    <row r="36" ht="13.95" customHeight="1" x14ac:dyDescent="0.3"/>
    <row r="37" ht="13.95" customHeight="1" x14ac:dyDescent="0.3"/>
    <row r="38" ht="13.95" customHeight="1" x14ac:dyDescent="0.3"/>
    <row r="39" ht="13.95" customHeight="1" x14ac:dyDescent="0.3"/>
    <row r="40" ht="13.95" customHeight="1" x14ac:dyDescent="0.3"/>
    <row r="41" ht="13.95" customHeight="1" x14ac:dyDescent="0.3"/>
    <row r="42" ht="13.95" customHeight="1" x14ac:dyDescent="0.3"/>
    <row r="44" ht="16.2" customHeight="1" x14ac:dyDescent="0.3"/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44"/>
  <sheetViews>
    <sheetView showGridLines="0" zoomScale="90" workbookViewId="0">
      <selection activeCell="J4" sqref="J4:J18"/>
    </sheetView>
  </sheetViews>
  <sheetFormatPr baseColWidth="10" defaultColWidth="8.88671875" defaultRowHeight="14.4" x14ac:dyDescent="0.3"/>
  <cols>
    <col min="1" max="1" width="5.33203125" customWidth="1"/>
    <col min="2" max="2" width="9.109375" customWidth="1"/>
    <col min="3" max="3" width="26.6640625" customWidth="1"/>
    <col min="4" max="4" width="15.33203125" customWidth="1"/>
    <col min="5" max="5" width="9.109375" customWidth="1"/>
    <col min="6" max="9" width="12.44140625" customWidth="1"/>
    <col min="10" max="10" width="15.33203125" customWidth="1"/>
    <col min="11" max="11" width="12.44140625" customWidth="1"/>
    <col min="15" max="16" width="8.88671875" style="149" customWidth="1"/>
  </cols>
  <sheetData>
    <row r="1" spans="1:18" ht="32.1" customHeight="1" thickBot="1" x14ac:dyDescent="0.35">
      <c r="A1" s="101" t="s">
        <v>282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O1" s="149" t="s">
        <v>10</v>
      </c>
      <c r="P1" s="149" t="s">
        <v>283</v>
      </c>
    </row>
    <row r="2" spans="1:18" x14ac:dyDescent="0.3">
      <c r="A2" s="22" t="s">
        <v>25</v>
      </c>
      <c r="B2" s="22"/>
      <c r="C2" s="22"/>
      <c r="D2" s="22"/>
      <c r="E2" s="22"/>
      <c r="F2" s="22"/>
      <c r="G2" s="22"/>
      <c r="H2" s="22"/>
      <c r="I2" s="22"/>
      <c r="J2" s="22"/>
      <c r="K2" s="22"/>
      <c r="O2" s="149" t="str">
        <f t="shared" ref="O2:O11" si="0">IF(B4&lt;&gt;"—",LEFT(C4,18),"—")</f>
        <v>Fresnillo plc</v>
      </c>
      <c r="P2" s="149">
        <f t="shared" ref="P2:P11" si="1">IF(E4&lt;&gt;"—",VALUE(LEFT(E4,FIND("/",E4)-1)),"")</f>
        <v>100</v>
      </c>
    </row>
    <row r="3" spans="1:18" ht="18" customHeight="1" thickBot="1" x14ac:dyDescent="0.35">
      <c r="A3" s="304" t="s">
        <v>26</v>
      </c>
      <c r="B3" s="305" t="s">
        <v>9</v>
      </c>
      <c r="C3" s="306" t="s">
        <v>10</v>
      </c>
      <c r="D3" s="306" t="s">
        <v>14</v>
      </c>
      <c r="E3" s="307" t="s">
        <v>11</v>
      </c>
      <c r="F3" s="307" t="s">
        <v>284</v>
      </c>
      <c r="G3" s="307" t="s">
        <v>285</v>
      </c>
      <c r="H3" s="307" t="s">
        <v>286</v>
      </c>
      <c r="I3" s="307" t="s">
        <v>24</v>
      </c>
      <c r="J3" s="307" t="s">
        <v>287</v>
      </c>
      <c r="K3" s="307" t="s">
        <v>21</v>
      </c>
      <c r="L3" s="299"/>
      <c r="M3" s="299"/>
      <c r="N3" s="299"/>
      <c r="O3" s="277" t="str">
        <f t="shared" si="0"/>
        <v>Antofagasta plc</v>
      </c>
      <c r="P3" s="278">
        <f t="shared" si="1"/>
        <v>99</v>
      </c>
    </row>
    <row r="4" spans="1:18" ht="15.9" customHeight="1" thickBot="1" x14ac:dyDescent="0.35">
      <c r="A4" s="274">
        <v>1</v>
      </c>
      <c r="B4" s="282" t="s">
        <v>252</v>
      </c>
      <c r="C4" s="283" t="s">
        <v>253</v>
      </c>
      <c r="D4" s="283" t="s">
        <v>107</v>
      </c>
      <c r="E4" s="284" t="s">
        <v>288</v>
      </c>
      <c r="F4" s="285" t="s">
        <v>289</v>
      </c>
      <c r="G4" s="285">
        <v>3782</v>
      </c>
      <c r="H4" s="285">
        <v>2786.9</v>
      </c>
      <c r="I4" s="285">
        <v>66</v>
      </c>
      <c r="J4" s="285" t="s">
        <v>41</v>
      </c>
      <c r="K4" s="285" t="s">
        <v>161</v>
      </c>
      <c r="L4" s="358"/>
      <c r="M4" s="358"/>
      <c r="N4" s="358"/>
      <c r="O4" s="362" t="str">
        <f t="shared" si="0"/>
        <v>Endeavour Mining p</v>
      </c>
      <c r="P4" s="363">
        <f t="shared" si="1"/>
        <v>98</v>
      </c>
    </row>
    <row r="5" spans="1:18" ht="15.9" customHeight="1" thickBot="1" x14ac:dyDescent="0.35">
      <c r="A5" s="275">
        <v>2</v>
      </c>
      <c r="B5" s="287" t="s">
        <v>261</v>
      </c>
      <c r="C5" s="288" t="s">
        <v>262</v>
      </c>
      <c r="D5" s="288" t="s">
        <v>107</v>
      </c>
      <c r="E5" s="289" t="s">
        <v>290</v>
      </c>
      <c r="F5" s="290" t="s">
        <v>291</v>
      </c>
      <c r="G5" s="290">
        <v>3959</v>
      </c>
      <c r="H5" s="290">
        <v>3903</v>
      </c>
      <c r="I5" s="290">
        <v>65</v>
      </c>
      <c r="J5" s="290" t="s">
        <v>41</v>
      </c>
      <c r="K5" s="290" t="s">
        <v>161</v>
      </c>
      <c r="L5" s="359"/>
      <c r="M5" s="359"/>
      <c r="N5" s="359"/>
      <c r="O5" s="364" t="str">
        <f t="shared" si="0"/>
        <v>Glencore plc</v>
      </c>
      <c r="P5" s="365">
        <f t="shared" si="1"/>
        <v>97</v>
      </c>
    </row>
    <row r="6" spans="1:18" ht="15.9" customHeight="1" thickBot="1" x14ac:dyDescent="0.35">
      <c r="A6" s="274">
        <v>3</v>
      </c>
      <c r="B6" s="295" t="s">
        <v>127</v>
      </c>
      <c r="C6" s="296" t="s">
        <v>128</v>
      </c>
      <c r="D6" s="296" t="s">
        <v>107</v>
      </c>
      <c r="E6" s="297" t="s">
        <v>292</v>
      </c>
      <c r="F6" s="298" t="s">
        <v>293</v>
      </c>
      <c r="G6" s="298">
        <v>4987</v>
      </c>
      <c r="H6" s="298">
        <v>1212.8</v>
      </c>
      <c r="I6" s="298">
        <v>80</v>
      </c>
      <c r="J6" s="298" t="s">
        <v>294</v>
      </c>
      <c r="K6" s="298" t="s">
        <v>136</v>
      </c>
      <c r="L6" s="360"/>
      <c r="M6" s="360"/>
      <c r="N6" s="360"/>
      <c r="O6" s="366" t="str">
        <f t="shared" si="0"/>
        <v>Anglo American plc</v>
      </c>
      <c r="P6" s="367">
        <f t="shared" si="1"/>
        <v>96</v>
      </c>
    </row>
    <row r="7" spans="1:18" ht="15.9" customHeight="1" thickBot="1" x14ac:dyDescent="0.35">
      <c r="A7" s="275">
        <v>4</v>
      </c>
      <c r="B7" s="287" t="s">
        <v>295</v>
      </c>
      <c r="C7" s="288" t="s">
        <v>296</v>
      </c>
      <c r="D7" s="288" t="s">
        <v>107</v>
      </c>
      <c r="E7" s="289" t="s">
        <v>297</v>
      </c>
      <c r="F7" s="290" t="s">
        <v>298</v>
      </c>
      <c r="G7" s="290">
        <v>547.1</v>
      </c>
      <c r="H7" s="290">
        <v>6409.5</v>
      </c>
      <c r="I7" s="290">
        <v>40</v>
      </c>
      <c r="J7" s="290" t="s">
        <v>41</v>
      </c>
      <c r="K7" s="290" t="s">
        <v>161</v>
      </c>
      <c r="L7" s="359"/>
      <c r="M7" s="359"/>
      <c r="N7" s="359"/>
      <c r="O7" s="364" t="str">
        <f t="shared" si="0"/>
        <v>Rio Tinto Group</v>
      </c>
      <c r="P7" s="365">
        <f t="shared" si="1"/>
        <v>95</v>
      </c>
    </row>
    <row r="8" spans="1:18" ht="15.9" customHeight="1" thickBot="1" x14ac:dyDescent="0.35">
      <c r="A8" s="274">
        <v>5</v>
      </c>
      <c r="B8" s="295" t="s">
        <v>299</v>
      </c>
      <c r="C8" s="296" t="s">
        <v>300</v>
      </c>
      <c r="D8" s="296" t="s">
        <v>107</v>
      </c>
      <c r="E8" s="297" t="s">
        <v>301</v>
      </c>
      <c r="F8" s="298" t="s">
        <v>302</v>
      </c>
      <c r="G8" s="298">
        <v>3711</v>
      </c>
      <c r="H8" s="298">
        <v>3976.3</v>
      </c>
      <c r="I8" s="298">
        <v>54</v>
      </c>
      <c r="J8" s="298" t="s">
        <v>41</v>
      </c>
      <c r="K8" s="298" t="s">
        <v>136</v>
      </c>
      <c r="L8" s="360"/>
      <c r="M8" s="360"/>
      <c r="N8" s="360"/>
      <c r="O8" s="366" t="str">
        <f t="shared" si="0"/>
        <v>Schroders plc</v>
      </c>
      <c r="P8" s="367">
        <f t="shared" si="1"/>
        <v>93</v>
      </c>
    </row>
    <row r="9" spans="1:18" ht="15.9" customHeight="1" thickBot="1" x14ac:dyDescent="0.35">
      <c r="A9" s="275">
        <v>6</v>
      </c>
      <c r="B9" s="287" t="s">
        <v>105</v>
      </c>
      <c r="C9" s="288" t="s">
        <v>106</v>
      </c>
      <c r="D9" s="288" t="s">
        <v>107</v>
      </c>
      <c r="E9" s="289" t="s">
        <v>303</v>
      </c>
      <c r="F9" s="290" t="s">
        <v>304</v>
      </c>
      <c r="G9" s="290">
        <v>7448</v>
      </c>
      <c r="H9" s="290">
        <v>9343.2999999999993</v>
      </c>
      <c r="I9" s="290">
        <v>71</v>
      </c>
      <c r="J9" s="290" t="s">
        <v>41</v>
      </c>
      <c r="K9" s="290" t="s">
        <v>136</v>
      </c>
      <c r="L9" s="359"/>
      <c r="M9" s="359"/>
      <c r="N9" s="359"/>
      <c r="O9" s="364" t="str">
        <f t="shared" si="0"/>
        <v>Standard Chartered</v>
      </c>
      <c r="P9" s="365">
        <f t="shared" si="1"/>
        <v>92</v>
      </c>
    </row>
    <row r="10" spans="1:18" ht="15.9" customHeight="1" thickBot="1" x14ac:dyDescent="0.35">
      <c r="A10" s="274">
        <v>7</v>
      </c>
      <c r="B10" s="295" t="s">
        <v>35</v>
      </c>
      <c r="C10" s="296" t="s">
        <v>36</v>
      </c>
      <c r="D10" s="296" t="s">
        <v>37</v>
      </c>
      <c r="E10" s="297" t="s">
        <v>250</v>
      </c>
      <c r="F10" s="298" t="s">
        <v>305</v>
      </c>
      <c r="G10" s="298">
        <v>579</v>
      </c>
      <c r="H10" s="298">
        <v>902.9</v>
      </c>
      <c r="I10" s="298">
        <v>55</v>
      </c>
      <c r="J10" s="298" t="s">
        <v>41</v>
      </c>
      <c r="K10" s="298" t="s">
        <v>136</v>
      </c>
      <c r="L10" s="360"/>
      <c r="M10" s="360"/>
      <c r="N10" s="360"/>
      <c r="O10" s="366" t="str">
        <f t="shared" si="0"/>
        <v>HSBC Holdings plc</v>
      </c>
      <c r="P10" s="367">
        <f t="shared" si="1"/>
        <v>91</v>
      </c>
    </row>
    <row r="11" spans="1:18" ht="15.9" customHeight="1" thickBot="1" x14ac:dyDescent="0.35">
      <c r="A11" s="275">
        <v>8</v>
      </c>
      <c r="B11" s="287" t="s">
        <v>306</v>
      </c>
      <c r="C11" s="288" t="s">
        <v>307</v>
      </c>
      <c r="D11" s="288" t="s">
        <v>37</v>
      </c>
      <c r="E11" s="289" t="s">
        <v>308</v>
      </c>
      <c r="F11" s="290" t="s">
        <v>309</v>
      </c>
      <c r="G11" s="290">
        <v>1830</v>
      </c>
      <c r="H11" s="290">
        <v>4043</v>
      </c>
      <c r="I11" s="290">
        <v>46</v>
      </c>
      <c r="J11" s="290" t="s">
        <v>310</v>
      </c>
      <c r="K11" s="290" t="s">
        <v>136</v>
      </c>
      <c r="L11" s="359"/>
      <c r="M11" s="359"/>
      <c r="N11" s="359"/>
      <c r="O11" s="364" t="str">
        <f t="shared" si="0"/>
        <v>Halma plc</v>
      </c>
      <c r="P11" s="365">
        <f t="shared" si="1"/>
        <v>90</v>
      </c>
    </row>
    <row r="12" spans="1:18" ht="15.9" customHeight="1" thickBot="1" x14ac:dyDescent="0.35">
      <c r="A12" s="274">
        <v>9</v>
      </c>
      <c r="B12" s="295" t="s">
        <v>311</v>
      </c>
      <c r="C12" s="296" t="s">
        <v>312</v>
      </c>
      <c r="D12" s="296" t="s">
        <v>37</v>
      </c>
      <c r="E12" s="297" t="s">
        <v>129</v>
      </c>
      <c r="F12" s="298" t="s">
        <v>313</v>
      </c>
      <c r="G12" s="298">
        <v>1365.2</v>
      </c>
      <c r="H12" s="298">
        <v>23410.7</v>
      </c>
      <c r="I12" s="298">
        <v>47</v>
      </c>
      <c r="J12" s="298" t="s">
        <v>314</v>
      </c>
      <c r="K12" s="298" t="s">
        <v>136</v>
      </c>
      <c r="L12" s="360"/>
      <c r="M12" s="360"/>
      <c r="N12" s="360"/>
      <c r="O12" s="366"/>
      <c r="P12" s="367"/>
    </row>
    <row r="13" spans="1:18" ht="15.9" customHeight="1" thickBot="1" x14ac:dyDescent="0.35">
      <c r="A13" s="275">
        <v>10</v>
      </c>
      <c r="B13" s="287" t="s">
        <v>236</v>
      </c>
      <c r="C13" s="288" t="s">
        <v>237</v>
      </c>
      <c r="D13" s="288" t="s">
        <v>75</v>
      </c>
      <c r="E13" s="289" t="s">
        <v>315</v>
      </c>
      <c r="F13" s="290" t="s">
        <v>316</v>
      </c>
      <c r="G13" s="290">
        <v>4518</v>
      </c>
      <c r="H13" s="290">
        <v>1706.5</v>
      </c>
      <c r="I13" s="290">
        <v>63</v>
      </c>
      <c r="J13" s="290" t="s">
        <v>317</v>
      </c>
      <c r="K13" s="290" t="s">
        <v>161</v>
      </c>
      <c r="L13" s="359"/>
      <c r="M13" s="359"/>
      <c r="N13" s="359"/>
      <c r="O13" s="364"/>
      <c r="P13" s="365"/>
    </row>
    <row r="14" spans="1:18" ht="15.9" customHeight="1" thickBot="1" x14ac:dyDescent="0.35">
      <c r="A14" s="274">
        <v>11</v>
      </c>
      <c r="B14" s="295" t="s">
        <v>145</v>
      </c>
      <c r="C14" s="296" t="s">
        <v>146</v>
      </c>
      <c r="D14" s="296" t="s">
        <v>75</v>
      </c>
      <c r="E14" s="297" t="s">
        <v>318</v>
      </c>
      <c r="F14" s="298" t="s">
        <v>319</v>
      </c>
      <c r="G14" s="298">
        <v>1310.5999999999999</v>
      </c>
      <c r="H14" s="298">
        <v>10916.8</v>
      </c>
      <c r="I14" s="298">
        <v>64</v>
      </c>
      <c r="J14" s="298" t="s">
        <v>41</v>
      </c>
      <c r="K14" s="298" t="s">
        <v>136</v>
      </c>
      <c r="L14" s="360"/>
      <c r="M14" s="360"/>
      <c r="N14" s="360"/>
      <c r="O14" s="366"/>
      <c r="P14" s="367"/>
    </row>
    <row r="15" spans="1:18" ht="15.9" customHeight="1" thickBot="1" x14ac:dyDescent="0.35">
      <c r="A15" s="275">
        <v>12</v>
      </c>
      <c r="B15" s="287" t="s">
        <v>320</v>
      </c>
      <c r="C15" s="288" t="s">
        <v>321</v>
      </c>
      <c r="D15" s="288" t="s">
        <v>322</v>
      </c>
      <c r="E15" s="289" t="s">
        <v>139</v>
      </c>
      <c r="F15" s="290" t="s">
        <v>323</v>
      </c>
      <c r="G15" s="290">
        <v>541</v>
      </c>
      <c r="H15" s="290">
        <v>8357.7999999999993</v>
      </c>
      <c r="I15" s="290">
        <v>44</v>
      </c>
      <c r="J15" s="290" t="s">
        <v>324</v>
      </c>
      <c r="K15" s="290" t="s">
        <v>161</v>
      </c>
      <c r="L15" s="359"/>
      <c r="M15" s="359"/>
      <c r="N15" s="359"/>
      <c r="O15" s="364"/>
      <c r="P15" s="365"/>
      <c r="R15" s="149"/>
    </row>
    <row r="16" spans="1:18" ht="15.9" customHeight="1" thickBot="1" x14ac:dyDescent="0.35">
      <c r="A16" s="274">
        <v>13</v>
      </c>
      <c r="B16" s="295" t="s">
        <v>325</v>
      </c>
      <c r="C16" s="296" t="s">
        <v>326</v>
      </c>
      <c r="D16" s="296" t="s">
        <v>57</v>
      </c>
      <c r="E16" s="297" t="s">
        <v>327</v>
      </c>
      <c r="F16" s="298" t="s">
        <v>328</v>
      </c>
      <c r="G16" s="298">
        <v>114.45</v>
      </c>
      <c r="H16" s="298">
        <v>2640.4</v>
      </c>
      <c r="I16" s="298">
        <v>46</v>
      </c>
      <c r="J16" s="298" t="s">
        <v>329</v>
      </c>
      <c r="K16" s="298" t="s">
        <v>161</v>
      </c>
      <c r="L16" s="360"/>
      <c r="M16" s="360"/>
      <c r="N16" s="360"/>
      <c r="O16" s="366"/>
      <c r="P16" s="367"/>
    </row>
    <row r="17" spans="1:16" ht="15.9" customHeight="1" thickBot="1" x14ac:dyDescent="0.35">
      <c r="A17" s="275">
        <v>14</v>
      </c>
      <c r="B17" s="287" t="s">
        <v>200</v>
      </c>
      <c r="C17" s="288" t="s">
        <v>201</v>
      </c>
      <c r="D17" s="288" t="s">
        <v>75</v>
      </c>
      <c r="E17" s="289" t="s">
        <v>330</v>
      </c>
      <c r="F17" s="290" t="s">
        <v>331</v>
      </c>
      <c r="G17" s="290">
        <v>6965</v>
      </c>
      <c r="H17" s="290">
        <v>934</v>
      </c>
      <c r="I17" s="290">
        <v>62</v>
      </c>
      <c r="J17" s="290" t="s">
        <v>332</v>
      </c>
      <c r="K17" s="290" t="s">
        <v>161</v>
      </c>
      <c r="L17" s="359"/>
      <c r="M17" s="359"/>
      <c r="N17" s="359"/>
      <c r="O17" s="364"/>
      <c r="P17" s="365"/>
    </row>
    <row r="18" spans="1:16" ht="15.9" customHeight="1" x14ac:dyDescent="0.3">
      <c r="A18" s="276">
        <v>15</v>
      </c>
      <c r="B18" s="291" t="s">
        <v>333</v>
      </c>
      <c r="C18" s="292" t="s">
        <v>334</v>
      </c>
      <c r="D18" s="292" t="s">
        <v>75</v>
      </c>
      <c r="E18" s="293" t="s">
        <v>335</v>
      </c>
      <c r="F18" s="294" t="s">
        <v>336</v>
      </c>
      <c r="G18" s="294">
        <v>19430</v>
      </c>
      <c r="H18" s="294">
        <v>3899.3</v>
      </c>
      <c r="I18" s="294">
        <v>40</v>
      </c>
      <c r="J18" s="294" t="s">
        <v>314</v>
      </c>
      <c r="K18" s="294" t="s">
        <v>136</v>
      </c>
      <c r="L18" s="361"/>
      <c r="M18" s="361"/>
      <c r="N18" s="361"/>
      <c r="O18" s="368"/>
      <c r="P18" s="369"/>
    </row>
    <row r="19" spans="1:16" ht="15.9" customHeigh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</row>
    <row r="20" spans="1:16" ht="6" customHeight="1" x14ac:dyDescent="0.3">
      <c r="A20" s="107"/>
      <c r="B20" s="106"/>
      <c r="C20" s="106"/>
      <c r="D20" s="106"/>
      <c r="E20" s="106"/>
      <c r="F20" s="106"/>
      <c r="G20" s="106"/>
      <c r="H20" s="106"/>
      <c r="I20" s="106"/>
      <c r="J20" s="106"/>
      <c r="K20" s="108"/>
    </row>
    <row r="21" spans="1:16" ht="15.9" customHeight="1" x14ac:dyDescent="0.3">
      <c r="A21" s="109"/>
      <c r="B21" s="109"/>
      <c r="C21" s="110"/>
      <c r="D21" s="110"/>
      <c r="E21" s="110"/>
      <c r="F21" s="110"/>
      <c r="G21" s="110"/>
      <c r="H21" s="110"/>
      <c r="I21" s="110"/>
      <c r="J21" s="110"/>
      <c r="K21" s="110"/>
    </row>
    <row r="22" spans="1:16" ht="15.9" customHeight="1" x14ac:dyDescent="0.3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</row>
    <row r="23" spans="1:16" ht="13.95" customHeight="1" x14ac:dyDescent="0.3"/>
    <row r="24" spans="1:16" ht="13.95" customHeight="1" x14ac:dyDescent="0.3"/>
    <row r="25" spans="1:16" ht="13.95" customHeight="1" x14ac:dyDescent="0.3"/>
    <row r="26" spans="1:16" ht="13.95" customHeight="1" x14ac:dyDescent="0.3"/>
    <row r="27" spans="1:16" ht="13.95" customHeight="1" x14ac:dyDescent="0.3"/>
    <row r="28" spans="1:16" ht="13.95" customHeight="1" x14ac:dyDescent="0.3"/>
    <row r="29" spans="1:16" ht="13.95" customHeight="1" x14ac:dyDescent="0.3"/>
    <row r="30" spans="1:16" ht="13.95" customHeight="1" x14ac:dyDescent="0.3"/>
    <row r="31" spans="1:16" ht="13.95" customHeight="1" x14ac:dyDescent="0.3"/>
    <row r="32" spans="1:16" ht="13.95" customHeight="1" x14ac:dyDescent="0.3"/>
    <row r="33" ht="13.95" customHeight="1" x14ac:dyDescent="0.3"/>
    <row r="34" ht="13.95" customHeight="1" x14ac:dyDescent="0.3"/>
    <row r="35" ht="13.95" customHeight="1" x14ac:dyDescent="0.3"/>
    <row r="36" ht="13.95" customHeight="1" x14ac:dyDescent="0.3"/>
    <row r="37" ht="13.95" customHeight="1" x14ac:dyDescent="0.3"/>
    <row r="38" ht="13.95" customHeight="1" x14ac:dyDescent="0.3"/>
    <row r="39" ht="13.95" customHeight="1" x14ac:dyDescent="0.3"/>
    <row r="40" ht="13.95" customHeight="1" x14ac:dyDescent="0.3"/>
    <row r="41" ht="13.95" customHeight="1" x14ac:dyDescent="0.3"/>
    <row r="42" ht="13.95" customHeight="1" x14ac:dyDescent="0.3"/>
    <row r="44" ht="16.2" customHeight="1" x14ac:dyDescent="0.3"/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"/>
  <sheetViews>
    <sheetView showGridLines="0" zoomScale="84" workbookViewId="0">
      <selection activeCell="C23" sqref="C23"/>
    </sheetView>
  </sheetViews>
  <sheetFormatPr baseColWidth="10" defaultColWidth="8.88671875" defaultRowHeight="14.4" x14ac:dyDescent="0.3"/>
  <cols>
    <col min="1" max="1" width="1.109375" customWidth="1"/>
    <col min="2" max="2" width="17.109375" customWidth="1"/>
    <col min="3" max="3" width="7.33203125" customWidth="1"/>
    <col min="4" max="4" width="9.5546875" customWidth="1"/>
    <col min="5" max="5" width="10.44140625" customWidth="1"/>
    <col min="6" max="6" width="24.6640625" customWidth="1"/>
    <col min="7" max="9" width="12.44140625" customWidth="1"/>
    <col min="10" max="10" width="13.6640625" customWidth="1"/>
    <col min="11" max="12" width="1.109375" style="149" customWidth="1"/>
    <col min="13" max="13" width="10.44140625" style="149" customWidth="1"/>
    <col min="14" max="16" width="1.109375" customWidth="1"/>
  </cols>
  <sheetData>
    <row r="1" spans="1:13" ht="32.1" customHeight="1" thickBot="1" x14ac:dyDescent="0.35">
      <c r="A1" s="145"/>
      <c r="B1" s="145" t="s">
        <v>337</v>
      </c>
      <c r="C1" s="145"/>
      <c r="D1" s="145"/>
      <c r="E1" s="145"/>
      <c r="F1" s="145"/>
      <c r="G1" s="145"/>
      <c r="H1" s="147" t="s">
        <v>2</v>
      </c>
      <c r="I1" s="147"/>
      <c r="J1" s="147"/>
      <c r="L1" s="149" t="s">
        <v>14</v>
      </c>
      <c r="M1" s="149" t="s">
        <v>11</v>
      </c>
    </row>
    <row r="2" spans="1:13" x14ac:dyDescent="0.3">
      <c r="A2" s="22" t="s">
        <v>338</v>
      </c>
      <c r="B2" s="112"/>
      <c r="C2" s="112"/>
      <c r="D2" s="112"/>
      <c r="E2" s="112"/>
      <c r="F2" s="112"/>
      <c r="G2" s="112"/>
      <c r="H2" s="112"/>
      <c r="I2" s="112"/>
      <c r="J2" s="112"/>
      <c r="L2" s="149" t="s">
        <v>107</v>
      </c>
      <c r="M2" s="149">
        <v>55</v>
      </c>
    </row>
    <row r="3" spans="1:13" ht="15.9" customHeight="1" x14ac:dyDescent="0.3">
      <c r="A3" s="146"/>
      <c r="B3" s="146" t="s">
        <v>339</v>
      </c>
      <c r="C3" s="146"/>
      <c r="D3" s="146"/>
      <c r="E3" s="146"/>
      <c r="F3" s="146"/>
      <c r="G3" s="146"/>
      <c r="H3" s="146"/>
      <c r="I3" s="146"/>
      <c r="J3" s="146"/>
      <c r="L3" s="149" t="s">
        <v>87</v>
      </c>
      <c r="M3" s="149">
        <v>55</v>
      </c>
    </row>
    <row r="4" spans="1:13" ht="8.1" customHeight="1" x14ac:dyDescent="0.3">
      <c r="A4" s="5"/>
      <c r="B4" s="193"/>
      <c r="C4" s="193"/>
      <c r="D4" s="193"/>
      <c r="E4" s="193"/>
      <c r="F4" s="193"/>
      <c r="G4" s="193"/>
      <c r="H4" s="193"/>
      <c r="I4" s="193"/>
      <c r="J4" s="193"/>
      <c r="K4" s="202"/>
      <c r="L4" s="202" t="s">
        <v>75</v>
      </c>
      <c r="M4" s="149">
        <v>46</v>
      </c>
    </row>
    <row r="5" spans="1:13" ht="20.100000000000001" customHeight="1" x14ac:dyDescent="0.3">
      <c r="A5" s="114"/>
      <c r="B5" s="114" t="s">
        <v>340</v>
      </c>
      <c r="C5" s="114"/>
      <c r="D5" s="114"/>
      <c r="E5" s="114"/>
      <c r="F5" s="114"/>
      <c r="G5" s="114"/>
      <c r="H5" s="114"/>
      <c r="I5" s="114"/>
      <c r="J5" s="114"/>
      <c r="K5" s="203"/>
      <c r="L5" s="203" t="s">
        <v>341</v>
      </c>
      <c r="M5" s="149">
        <v>46</v>
      </c>
    </row>
    <row r="6" spans="1:13" ht="5.0999999999999996" customHeight="1" x14ac:dyDescent="0.3">
      <c r="A6" s="60"/>
      <c r="B6" s="60"/>
      <c r="C6" s="60"/>
      <c r="D6" s="60"/>
      <c r="E6" s="60"/>
      <c r="F6" s="60"/>
      <c r="G6" s="60"/>
      <c r="H6" s="60"/>
      <c r="I6" s="60"/>
      <c r="J6" s="60"/>
      <c r="L6" s="149" t="s">
        <v>154</v>
      </c>
      <c r="M6" s="149">
        <v>45</v>
      </c>
    </row>
    <row r="7" spans="1:13" ht="20.100000000000001" customHeight="1" x14ac:dyDescent="0.3">
      <c r="A7" s="377"/>
      <c r="B7" s="308" t="s">
        <v>14</v>
      </c>
      <c r="C7" s="303" t="s">
        <v>342</v>
      </c>
      <c r="D7" s="303" t="s">
        <v>11</v>
      </c>
      <c r="E7" s="302" t="s">
        <v>343</v>
      </c>
      <c r="F7" s="302" t="s">
        <v>344</v>
      </c>
      <c r="G7" s="303" t="s">
        <v>345</v>
      </c>
      <c r="H7" s="303" t="s">
        <v>346</v>
      </c>
      <c r="I7" s="303" t="s">
        <v>32</v>
      </c>
      <c r="J7" s="309" t="s">
        <v>21</v>
      </c>
      <c r="L7" s="149" t="s">
        <v>50</v>
      </c>
      <c r="M7" s="149">
        <v>44</v>
      </c>
    </row>
    <row r="8" spans="1:13" ht="20.100000000000001" customHeight="1" x14ac:dyDescent="0.3">
      <c r="A8" s="376"/>
      <c r="B8" s="310" t="s">
        <v>107</v>
      </c>
      <c r="C8" s="285">
        <v>10</v>
      </c>
      <c r="D8" s="311">
        <v>55</v>
      </c>
      <c r="E8" s="312" t="s">
        <v>347</v>
      </c>
      <c r="F8" s="313" t="s">
        <v>128</v>
      </c>
      <c r="G8" s="314">
        <v>0.224</v>
      </c>
      <c r="H8" s="315">
        <v>0.05</v>
      </c>
      <c r="I8" s="285">
        <v>3.59</v>
      </c>
      <c r="J8" s="316" t="s">
        <v>161</v>
      </c>
      <c r="L8" s="149" t="s">
        <v>37</v>
      </c>
      <c r="M8" s="149">
        <v>43</v>
      </c>
    </row>
    <row r="9" spans="1:13" ht="20.100000000000001" customHeight="1" x14ac:dyDescent="0.3">
      <c r="A9" s="376"/>
      <c r="B9" s="318" t="s">
        <v>87</v>
      </c>
      <c r="C9" s="290">
        <v>5</v>
      </c>
      <c r="D9" s="319">
        <v>55</v>
      </c>
      <c r="E9" s="320" t="s">
        <v>347</v>
      </c>
      <c r="F9" s="321" t="s">
        <v>223</v>
      </c>
      <c r="G9" s="322">
        <v>0.25900000000000001</v>
      </c>
      <c r="H9" s="323">
        <v>6.0999999999999999E-2</v>
      </c>
      <c r="I9" s="290">
        <v>3.42</v>
      </c>
      <c r="J9" s="324" t="s">
        <v>161</v>
      </c>
      <c r="L9" s="149" t="s">
        <v>57</v>
      </c>
      <c r="M9" s="149">
        <v>43</v>
      </c>
    </row>
    <row r="10" spans="1:13" ht="20.100000000000001" customHeight="1" x14ac:dyDescent="0.3">
      <c r="A10" s="376"/>
      <c r="B10" s="325" t="s">
        <v>75</v>
      </c>
      <c r="C10" s="298">
        <v>15</v>
      </c>
      <c r="D10" s="326">
        <v>46</v>
      </c>
      <c r="E10" s="327" t="s">
        <v>348</v>
      </c>
      <c r="F10" s="328" t="s">
        <v>349</v>
      </c>
      <c r="G10" s="329">
        <v>0.221</v>
      </c>
      <c r="H10" s="330">
        <v>0.06</v>
      </c>
      <c r="I10" s="298">
        <v>3.66</v>
      </c>
      <c r="J10" s="331" t="s">
        <v>161</v>
      </c>
      <c r="L10" s="149" t="s">
        <v>322</v>
      </c>
      <c r="M10" s="149">
        <v>43</v>
      </c>
    </row>
    <row r="11" spans="1:13" ht="20.100000000000001" customHeight="1" x14ac:dyDescent="0.3">
      <c r="A11" s="376"/>
      <c r="B11" s="318" t="s">
        <v>341</v>
      </c>
      <c r="C11" s="290">
        <v>2</v>
      </c>
      <c r="D11" s="333">
        <v>46</v>
      </c>
      <c r="E11" s="334" t="s">
        <v>348</v>
      </c>
      <c r="F11" s="321" t="s">
        <v>350</v>
      </c>
      <c r="G11" s="322">
        <v>0.76200000000000001</v>
      </c>
      <c r="H11" s="335">
        <v>4.2999999999999997E-2</v>
      </c>
      <c r="I11" s="290">
        <v>3.25</v>
      </c>
      <c r="J11" s="336" t="s">
        <v>161</v>
      </c>
      <c r="L11" s="149" t="s">
        <v>210</v>
      </c>
      <c r="M11" s="149">
        <v>41</v>
      </c>
    </row>
    <row r="12" spans="1:13" ht="20.100000000000001" customHeight="1" x14ac:dyDescent="0.3">
      <c r="A12" s="376"/>
      <c r="B12" s="325" t="s">
        <v>154</v>
      </c>
      <c r="C12" s="298">
        <v>5</v>
      </c>
      <c r="D12" s="337">
        <v>45</v>
      </c>
      <c r="E12" s="338" t="s">
        <v>351</v>
      </c>
      <c r="F12" s="328" t="s">
        <v>352</v>
      </c>
      <c r="G12" s="329">
        <v>0.41499999999999998</v>
      </c>
      <c r="H12" s="339">
        <v>-2.1000000000000001E-2</v>
      </c>
      <c r="I12" s="298">
        <v>2.1</v>
      </c>
      <c r="J12" s="340" t="s">
        <v>161</v>
      </c>
      <c r="L12" s="149" t="s">
        <v>68</v>
      </c>
      <c r="M12">
        <v>39</v>
      </c>
    </row>
    <row r="13" spans="1:13" ht="20.100000000000001" customHeight="1" x14ac:dyDescent="0.3">
      <c r="A13" s="376"/>
      <c r="B13" s="318" t="s">
        <v>50</v>
      </c>
      <c r="C13" s="290">
        <v>12</v>
      </c>
      <c r="D13" s="341">
        <v>44</v>
      </c>
      <c r="E13" s="342" t="s">
        <v>351</v>
      </c>
      <c r="F13" s="321" t="s">
        <v>186</v>
      </c>
      <c r="G13" s="322">
        <v>0.13300000000000001</v>
      </c>
      <c r="H13" s="323">
        <v>5.7000000000000002E-2</v>
      </c>
      <c r="I13" s="290">
        <v>2.66</v>
      </c>
      <c r="J13" s="336" t="s">
        <v>353</v>
      </c>
      <c r="L13" s="149" t="s">
        <v>14</v>
      </c>
      <c r="M13" s="149" t="s">
        <v>354</v>
      </c>
    </row>
    <row r="14" spans="1:13" ht="20.100000000000001" customHeight="1" x14ac:dyDescent="0.3">
      <c r="A14" s="376"/>
      <c r="B14" s="325" t="s">
        <v>37</v>
      </c>
      <c r="C14" s="298">
        <v>19</v>
      </c>
      <c r="D14" s="337">
        <v>43</v>
      </c>
      <c r="E14" s="338" t="s">
        <v>351</v>
      </c>
      <c r="F14" s="328" t="s">
        <v>36</v>
      </c>
      <c r="G14" s="329">
        <v>0.20699999999999999</v>
      </c>
      <c r="H14" s="339">
        <v>0.13300000000000001</v>
      </c>
      <c r="I14" s="298">
        <v>0.05</v>
      </c>
      <c r="J14" s="340" t="s">
        <v>353</v>
      </c>
      <c r="L14" s="149" t="s">
        <v>355</v>
      </c>
      <c r="M14" s="149">
        <v>103.4</v>
      </c>
    </row>
    <row r="15" spans="1:13" ht="20.100000000000001" customHeight="1" x14ac:dyDescent="0.3">
      <c r="A15" s="375"/>
      <c r="B15" s="318" t="s">
        <v>57</v>
      </c>
      <c r="C15" s="290">
        <v>7</v>
      </c>
      <c r="D15" s="341">
        <v>43</v>
      </c>
      <c r="E15" s="342" t="s">
        <v>351</v>
      </c>
      <c r="F15" s="321" t="s">
        <v>163</v>
      </c>
      <c r="G15" s="322">
        <v>0.31</v>
      </c>
      <c r="H15" s="335">
        <v>5.2999999999999999E-2</v>
      </c>
      <c r="I15" s="290">
        <v>1.08</v>
      </c>
      <c r="J15" s="336" t="s">
        <v>353</v>
      </c>
      <c r="L15" s="149" t="s">
        <v>356</v>
      </c>
      <c r="M15" s="149">
        <v>89.1</v>
      </c>
    </row>
    <row r="16" spans="1:13" ht="15" customHeight="1" thickBot="1" x14ac:dyDescent="0.35">
      <c r="A16" s="374"/>
      <c r="B16" s="325" t="s">
        <v>322</v>
      </c>
      <c r="C16" s="298">
        <v>3</v>
      </c>
      <c r="D16" s="337">
        <v>43</v>
      </c>
      <c r="E16" s="338" t="s">
        <v>351</v>
      </c>
      <c r="F16" s="296" t="s">
        <v>357</v>
      </c>
      <c r="G16" s="298">
        <v>0.16200000000000001</v>
      </c>
      <c r="H16" s="343">
        <v>-4.4999999999999998E-2</v>
      </c>
      <c r="I16" s="298">
        <v>2.78</v>
      </c>
      <c r="J16" s="340" t="s">
        <v>353</v>
      </c>
      <c r="L16" s="149" t="s">
        <v>358</v>
      </c>
      <c r="M16" s="149">
        <v>28.3</v>
      </c>
    </row>
    <row r="17" spans="1:13" ht="20.100000000000001" customHeight="1" x14ac:dyDescent="0.3">
      <c r="A17" s="373"/>
      <c r="B17" s="344" t="s">
        <v>210</v>
      </c>
      <c r="C17" s="345">
        <v>1</v>
      </c>
      <c r="D17" s="346">
        <v>41</v>
      </c>
      <c r="E17" s="347" t="s">
        <v>351</v>
      </c>
      <c r="F17" s="348" t="s">
        <v>209</v>
      </c>
      <c r="G17" s="349">
        <v>0.25</v>
      </c>
      <c r="H17" s="350">
        <v>7.8E-2</v>
      </c>
      <c r="I17" s="345">
        <v>0.82</v>
      </c>
      <c r="J17" s="351" t="s">
        <v>353</v>
      </c>
      <c r="L17" s="149" t="s">
        <v>359</v>
      </c>
      <c r="M17" s="149">
        <v>23.2</v>
      </c>
    </row>
    <row r="18" spans="1:13" ht="15.9" customHeight="1" x14ac:dyDescent="0.3">
      <c r="A18" s="5"/>
      <c r="B18" s="370" t="s">
        <v>360</v>
      </c>
      <c r="C18" s="371">
        <v>94</v>
      </c>
      <c r="D18" s="371">
        <v>45</v>
      </c>
      <c r="E18" s="371"/>
      <c r="F18" s="371" t="s">
        <v>361</v>
      </c>
      <c r="G18" s="371">
        <v>0.224</v>
      </c>
      <c r="H18" s="371">
        <v>5.2999999999999999E-2</v>
      </c>
      <c r="I18" s="371"/>
      <c r="J18" s="372"/>
      <c r="L18" s="149" t="s">
        <v>362</v>
      </c>
      <c r="M18" s="149">
        <v>22.7</v>
      </c>
    </row>
    <row r="19" spans="1:13" ht="12.75" customHeight="1" x14ac:dyDescent="0.3">
      <c r="A19" s="114"/>
      <c r="B19" s="114" t="s">
        <v>363</v>
      </c>
      <c r="C19" s="114"/>
      <c r="D19" s="114"/>
      <c r="E19" s="114"/>
      <c r="F19" s="114"/>
      <c r="G19" s="114"/>
      <c r="H19" s="114"/>
      <c r="I19" s="114"/>
      <c r="J19" s="114"/>
      <c r="K19" s="203">
        <v>4</v>
      </c>
      <c r="L19" s="203" t="s">
        <v>364</v>
      </c>
      <c r="M19" s="149">
        <v>16.100000000000001</v>
      </c>
    </row>
    <row r="20" spans="1:13" ht="9" customHeight="1" x14ac:dyDescent="0.3">
      <c r="A20" s="60"/>
      <c r="B20" s="193"/>
      <c r="C20" s="193"/>
      <c r="D20" s="193"/>
      <c r="E20" s="193"/>
      <c r="F20" s="193"/>
      <c r="G20" s="201"/>
      <c r="H20" s="202" t="s">
        <v>14</v>
      </c>
      <c r="I20" s="202" t="s">
        <v>365</v>
      </c>
    </row>
    <row r="21" spans="1:13" ht="9" customHeight="1" x14ac:dyDescent="0.3">
      <c r="A21" s="378"/>
      <c r="B21" s="308" t="s">
        <v>14</v>
      </c>
      <c r="C21" s="303" t="s">
        <v>366</v>
      </c>
      <c r="D21" s="303" t="s">
        <v>367</v>
      </c>
      <c r="E21" s="302" t="s">
        <v>368</v>
      </c>
      <c r="F21" s="309" t="s">
        <v>369</v>
      </c>
      <c r="G21" s="196"/>
      <c r="H21" s="149" t="s">
        <v>341</v>
      </c>
      <c r="I21" s="149">
        <v>76.2</v>
      </c>
    </row>
    <row r="22" spans="1:13" ht="17.100000000000001" customHeight="1" x14ac:dyDescent="0.3">
      <c r="A22" s="375"/>
      <c r="B22" s="310" t="s">
        <v>107</v>
      </c>
      <c r="C22" s="285">
        <v>10</v>
      </c>
      <c r="D22" s="311" t="s">
        <v>370</v>
      </c>
      <c r="E22" s="312" t="s">
        <v>347</v>
      </c>
      <c r="F22" s="316" t="s">
        <v>371</v>
      </c>
      <c r="G22" s="199"/>
      <c r="H22" s="200" t="s">
        <v>154</v>
      </c>
      <c r="I22" s="200">
        <v>41.5</v>
      </c>
    </row>
    <row r="23" spans="1:13" ht="17.100000000000001" customHeight="1" x14ac:dyDescent="0.3">
      <c r="A23" s="375"/>
      <c r="B23" s="318" t="s">
        <v>87</v>
      </c>
      <c r="C23" s="290">
        <v>5</v>
      </c>
      <c r="D23" s="319" t="s">
        <v>370</v>
      </c>
      <c r="E23" s="320" t="s">
        <v>347</v>
      </c>
      <c r="F23" s="324" t="s">
        <v>371</v>
      </c>
      <c r="G23" s="199"/>
      <c r="H23" s="200" t="s">
        <v>57</v>
      </c>
      <c r="I23" s="200">
        <v>31</v>
      </c>
    </row>
    <row r="24" spans="1:13" ht="17.100000000000001" customHeight="1" x14ac:dyDescent="0.3">
      <c r="A24" s="376"/>
      <c r="B24" s="325" t="s">
        <v>75</v>
      </c>
      <c r="C24" s="298">
        <v>15</v>
      </c>
      <c r="D24" s="326" t="s">
        <v>372</v>
      </c>
      <c r="E24" s="327" t="s">
        <v>348</v>
      </c>
      <c r="F24" s="331" t="s">
        <v>371</v>
      </c>
      <c r="G24" s="199"/>
      <c r="H24" s="200" t="s">
        <v>87</v>
      </c>
      <c r="I24" s="200">
        <v>25.9</v>
      </c>
    </row>
    <row r="25" spans="1:13" ht="17.100000000000001" customHeight="1" x14ac:dyDescent="0.3">
      <c r="A25" s="376"/>
      <c r="B25" s="318" t="s">
        <v>341</v>
      </c>
      <c r="C25" s="290">
        <v>2</v>
      </c>
      <c r="D25" s="333" t="s">
        <v>372</v>
      </c>
      <c r="E25" s="334" t="s">
        <v>348</v>
      </c>
      <c r="F25" s="352" t="s">
        <v>371</v>
      </c>
      <c r="G25" s="199"/>
      <c r="H25" s="200" t="s">
        <v>210</v>
      </c>
      <c r="I25" s="200">
        <v>25</v>
      </c>
    </row>
    <row r="26" spans="1:13" ht="17.100000000000001" customHeight="1" x14ac:dyDescent="0.3">
      <c r="A26" s="376"/>
      <c r="B26" s="325" t="s">
        <v>154</v>
      </c>
      <c r="C26" s="298">
        <v>5</v>
      </c>
      <c r="D26" s="337" t="s">
        <v>373</v>
      </c>
      <c r="E26" s="338" t="s">
        <v>351</v>
      </c>
      <c r="F26" s="340" t="s">
        <v>371</v>
      </c>
      <c r="G26" s="199"/>
      <c r="H26" s="200" t="s">
        <v>107</v>
      </c>
      <c r="I26" s="200">
        <v>22.4</v>
      </c>
    </row>
    <row r="27" spans="1:13" ht="17.100000000000001" customHeight="1" x14ac:dyDescent="0.3">
      <c r="A27" s="376"/>
      <c r="B27" s="318" t="s">
        <v>50</v>
      </c>
      <c r="C27" s="290">
        <v>12</v>
      </c>
      <c r="D27" s="341" t="s">
        <v>374</v>
      </c>
      <c r="E27" s="342" t="s">
        <v>351</v>
      </c>
      <c r="F27" s="352" t="s">
        <v>375</v>
      </c>
      <c r="G27" s="199"/>
      <c r="H27" s="200" t="s">
        <v>75</v>
      </c>
      <c r="I27" s="200">
        <v>22.1</v>
      </c>
    </row>
    <row r="28" spans="1:13" ht="17.100000000000001" customHeight="1" x14ac:dyDescent="0.3">
      <c r="A28" s="376"/>
      <c r="B28" s="325" t="s">
        <v>37</v>
      </c>
      <c r="C28" s="298">
        <v>19</v>
      </c>
      <c r="D28" s="337" t="s">
        <v>376</v>
      </c>
      <c r="E28" s="338" t="s">
        <v>351</v>
      </c>
      <c r="F28" s="353" t="s">
        <v>375</v>
      </c>
      <c r="G28" s="199"/>
      <c r="H28" s="200" t="s">
        <v>37</v>
      </c>
      <c r="I28" s="200">
        <v>20.8</v>
      </c>
    </row>
    <row r="29" spans="1:13" ht="17.100000000000001" customHeight="1" x14ac:dyDescent="0.3">
      <c r="A29" s="376"/>
      <c r="B29" s="318" t="s">
        <v>57</v>
      </c>
      <c r="C29" s="290">
        <v>7</v>
      </c>
      <c r="D29" s="341" t="s">
        <v>376</v>
      </c>
      <c r="E29" s="342" t="s">
        <v>351</v>
      </c>
      <c r="F29" s="336" t="s">
        <v>375</v>
      </c>
      <c r="G29" s="199"/>
      <c r="H29" s="200" t="s">
        <v>322</v>
      </c>
      <c r="I29" s="200">
        <v>16.2</v>
      </c>
    </row>
    <row r="30" spans="1:13" ht="18" customHeight="1" x14ac:dyDescent="0.3">
      <c r="A30" s="379"/>
      <c r="B30" s="325" t="s">
        <v>322</v>
      </c>
      <c r="C30" s="298">
        <v>3</v>
      </c>
      <c r="D30" s="354" t="s">
        <v>376</v>
      </c>
      <c r="E30" s="355" t="s">
        <v>351</v>
      </c>
      <c r="F30" s="340" t="s">
        <v>375</v>
      </c>
      <c r="G30" s="199"/>
      <c r="H30" s="200" t="s">
        <v>68</v>
      </c>
      <c r="I30" s="200">
        <v>14.2</v>
      </c>
    </row>
    <row r="31" spans="1:13" ht="9.9" customHeight="1" x14ac:dyDescent="0.3">
      <c r="B31" s="317" t="s">
        <v>210</v>
      </c>
      <c r="C31" s="286">
        <v>1</v>
      </c>
      <c r="D31" s="356" t="s">
        <v>377</v>
      </c>
      <c r="E31" s="357" t="s">
        <v>351</v>
      </c>
      <c r="F31" s="332" t="s">
        <v>375</v>
      </c>
      <c r="G31" s="199"/>
      <c r="H31" s="199" t="s">
        <v>50</v>
      </c>
      <c r="I31" s="199">
        <v>13.3</v>
      </c>
      <c r="L31" s="149" t="s">
        <v>359</v>
      </c>
      <c r="M31" s="149">
        <v>3</v>
      </c>
    </row>
    <row r="32" spans="1:13" ht="14.1" customHeight="1" x14ac:dyDescent="0.3">
      <c r="A32" s="194"/>
      <c r="B32" s="194" t="s">
        <v>68</v>
      </c>
      <c r="C32" s="194">
        <v>12</v>
      </c>
      <c r="D32" s="194" t="s">
        <v>378</v>
      </c>
      <c r="E32" s="194" t="s">
        <v>351</v>
      </c>
      <c r="F32" s="194" t="s">
        <v>375</v>
      </c>
      <c r="G32" s="194"/>
      <c r="H32" s="195"/>
      <c r="I32" s="195"/>
      <c r="J32" s="194"/>
      <c r="L32" s="149" t="s">
        <v>379</v>
      </c>
      <c r="M32" s="149">
        <v>3</v>
      </c>
    </row>
    <row r="33" spans="1:13" x14ac:dyDescent="0.3">
      <c r="A33" s="196"/>
      <c r="D33" s="197"/>
      <c r="E33" s="197"/>
      <c r="F33" s="197"/>
      <c r="G33" s="197"/>
      <c r="H33" s="198" t="s">
        <v>14</v>
      </c>
      <c r="I33" s="198" t="s">
        <v>366</v>
      </c>
      <c r="L33" s="149" t="s">
        <v>362</v>
      </c>
      <c r="M33" s="149">
        <v>2</v>
      </c>
    </row>
    <row r="34" spans="1:13" x14ac:dyDescent="0.3">
      <c r="A34" s="196"/>
      <c r="D34" s="199"/>
      <c r="E34" s="199"/>
      <c r="F34" s="199"/>
      <c r="G34" s="199"/>
      <c r="H34" s="200" t="s">
        <v>14</v>
      </c>
      <c r="I34" s="200" t="s">
        <v>366</v>
      </c>
      <c r="L34" s="149" t="s">
        <v>356</v>
      </c>
      <c r="M34" s="149">
        <v>1</v>
      </c>
    </row>
    <row r="35" spans="1:13" x14ac:dyDescent="0.3">
      <c r="A35" s="196"/>
      <c r="D35" s="199"/>
      <c r="E35" s="199"/>
      <c r="F35" s="199"/>
      <c r="G35" s="199"/>
      <c r="H35" s="200" t="s">
        <v>37</v>
      </c>
      <c r="I35" s="200">
        <v>19</v>
      </c>
      <c r="L35" s="149" t="s">
        <v>380</v>
      </c>
      <c r="M35" s="149">
        <v>1</v>
      </c>
    </row>
    <row r="36" spans="1:13" x14ac:dyDescent="0.3">
      <c r="A36" s="196"/>
      <c r="D36" s="199"/>
      <c r="E36" s="199"/>
      <c r="F36" s="199"/>
      <c r="G36" s="199"/>
      <c r="H36" s="200" t="s">
        <v>75</v>
      </c>
      <c r="I36" s="200">
        <v>15</v>
      </c>
      <c r="L36" s="149" t="s">
        <v>381</v>
      </c>
      <c r="M36" s="149">
        <v>1</v>
      </c>
    </row>
    <row r="37" spans="1:13" x14ac:dyDescent="0.3">
      <c r="A37" s="196"/>
      <c r="D37" s="199"/>
      <c r="E37" s="199"/>
      <c r="F37" s="199"/>
      <c r="G37" s="199"/>
      <c r="H37" s="200" t="s">
        <v>68</v>
      </c>
      <c r="I37" s="200">
        <v>12</v>
      </c>
    </row>
    <row r="38" spans="1:13" x14ac:dyDescent="0.3">
      <c r="A38" s="196"/>
      <c r="D38" s="199"/>
      <c r="E38" s="199"/>
      <c r="F38" s="199"/>
      <c r="G38" s="199"/>
      <c r="H38" s="200" t="s">
        <v>50</v>
      </c>
      <c r="I38" s="200">
        <v>12</v>
      </c>
    </row>
    <row r="39" spans="1:13" x14ac:dyDescent="0.3">
      <c r="A39" s="196"/>
      <c r="D39" s="199"/>
      <c r="E39" s="199"/>
      <c r="F39" s="199"/>
      <c r="G39" s="199"/>
      <c r="H39" s="200" t="s">
        <v>107</v>
      </c>
      <c r="I39" s="200">
        <v>10</v>
      </c>
    </row>
    <row r="40" spans="1:13" x14ac:dyDescent="0.3">
      <c r="A40" s="196"/>
      <c r="D40" s="199"/>
      <c r="E40" s="199"/>
      <c r="F40" s="199"/>
      <c r="G40" s="199"/>
      <c r="H40" s="200" t="s">
        <v>57</v>
      </c>
      <c r="I40" s="200">
        <v>7</v>
      </c>
    </row>
    <row r="41" spans="1:13" x14ac:dyDescent="0.3">
      <c r="A41" s="196"/>
      <c r="D41" s="199"/>
      <c r="E41" s="199"/>
      <c r="F41" s="199"/>
      <c r="G41" s="199"/>
      <c r="H41" s="200" t="s">
        <v>87</v>
      </c>
      <c r="I41" s="200">
        <v>5</v>
      </c>
    </row>
    <row r="42" spans="1:13" x14ac:dyDescent="0.3">
      <c r="A42" s="196"/>
      <c r="D42" s="199"/>
      <c r="E42" s="199"/>
      <c r="F42" s="199"/>
      <c r="G42" s="199"/>
      <c r="H42" s="200" t="s">
        <v>154</v>
      </c>
      <c r="I42" s="200">
        <v>5</v>
      </c>
    </row>
    <row r="43" spans="1:13" x14ac:dyDescent="0.3">
      <c r="A43" s="196"/>
      <c r="D43" s="199"/>
      <c r="E43" s="199"/>
      <c r="F43" s="199"/>
      <c r="G43" s="199"/>
      <c r="H43" s="200" t="s">
        <v>322</v>
      </c>
      <c r="I43" s="200">
        <v>3</v>
      </c>
    </row>
    <row r="44" spans="1:13" x14ac:dyDescent="0.3">
      <c r="H44" t="s">
        <v>341</v>
      </c>
      <c r="I44">
        <v>2</v>
      </c>
    </row>
    <row r="45" spans="1:13" x14ac:dyDescent="0.3">
      <c r="H45" t="s">
        <v>210</v>
      </c>
      <c r="I45">
        <v>1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2"/>
  <sheetViews>
    <sheetView showGridLines="0" zoomScale="94" workbookViewId="0">
      <selection activeCell="E16" sqref="E16"/>
    </sheetView>
  </sheetViews>
  <sheetFormatPr baseColWidth="10" defaultRowHeight="14.4" x14ac:dyDescent="0.3"/>
  <cols>
    <col min="1" max="1" width="1.5546875" customWidth="1"/>
    <col min="2" max="2" width="17.109375" customWidth="1"/>
    <col min="3" max="3" width="7.5546875" customWidth="1"/>
    <col min="4" max="4" width="9.109375" customWidth="1"/>
    <col min="5" max="5" width="22.88671875" customWidth="1"/>
    <col min="6" max="6" width="24.6640625" customWidth="1"/>
    <col min="7" max="9" width="12.44140625" customWidth="1"/>
    <col min="10" max="10" width="13.33203125" customWidth="1"/>
    <col min="11" max="11" width="12.44140625" customWidth="1"/>
    <col min="12" max="12" width="1.5546875" customWidth="1"/>
    <col min="13" max="13" width="13" hidden="1" customWidth="1"/>
    <col min="15" max="18" width="11.44140625" style="149" customWidth="1"/>
  </cols>
  <sheetData>
    <row r="1" spans="1:17" ht="38.1" customHeight="1" x14ac:dyDescent="0.3">
      <c r="A1" s="116"/>
      <c r="B1" s="116" t="s">
        <v>382</v>
      </c>
      <c r="C1" s="116"/>
      <c r="D1" s="116"/>
      <c r="E1" s="116"/>
      <c r="F1" s="116"/>
      <c r="G1" s="116"/>
      <c r="H1" s="116"/>
      <c r="I1" s="116"/>
      <c r="J1" s="117" t="s">
        <v>2</v>
      </c>
      <c r="K1" s="117"/>
      <c r="L1" s="117"/>
      <c r="M1" t="s">
        <v>50</v>
      </c>
      <c r="O1" s="149" t="s">
        <v>14</v>
      </c>
      <c r="P1" s="149" t="s">
        <v>11</v>
      </c>
      <c r="Q1" s="149" t="s">
        <v>383</v>
      </c>
    </row>
    <row r="2" spans="1:17" x14ac:dyDescent="0.3">
      <c r="A2" s="22" t="s">
        <v>338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t="s">
        <v>68</v>
      </c>
      <c r="O2" s="149" t="s">
        <v>359</v>
      </c>
      <c r="P2" s="149">
        <v>69</v>
      </c>
      <c r="Q2" s="149">
        <v>23.2</v>
      </c>
    </row>
    <row r="3" spans="1:17" ht="20.100000000000001" customHeight="1" x14ac:dyDescent="0.3">
      <c r="A3" s="113"/>
      <c r="B3" s="184" t="s">
        <v>384</v>
      </c>
      <c r="C3" s="113"/>
      <c r="D3" s="113"/>
      <c r="E3" s="113"/>
      <c r="F3" s="113"/>
      <c r="G3" s="113"/>
      <c r="H3" s="113"/>
      <c r="I3" s="113"/>
      <c r="J3" s="113"/>
      <c r="K3" s="113"/>
      <c r="L3" s="113"/>
      <c r="M3" t="s">
        <v>37</v>
      </c>
      <c r="O3" s="149" t="s">
        <v>356</v>
      </c>
      <c r="P3" s="149">
        <v>69</v>
      </c>
      <c r="Q3" s="149">
        <v>89.1</v>
      </c>
    </row>
    <row r="4" spans="1:17" ht="8.1" customHeight="1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t="s">
        <v>341</v>
      </c>
      <c r="O4" s="149" t="s">
        <v>364</v>
      </c>
      <c r="P4" s="149">
        <v>56</v>
      </c>
      <c r="Q4" s="149">
        <v>16.100000000000001</v>
      </c>
    </row>
    <row r="5" spans="1:17" ht="27.9" customHeight="1" x14ac:dyDescent="0.3">
      <c r="A5" s="114"/>
      <c r="B5" s="114" t="s">
        <v>385</v>
      </c>
      <c r="C5" s="114"/>
      <c r="D5" s="114"/>
      <c r="E5" s="114"/>
      <c r="F5" s="114"/>
      <c r="G5" s="114"/>
      <c r="H5" s="114"/>
      <c r="I5" s="114"/>
      <c r="J5" s="114"/>
      <c r="K5" s="114"/>
      <c r="L5" s="114"/>
      <c r="M5" t="s">
        <v>75</v>
      </c>
      <c r="O5" s="149" t="s">
        <v>355</v>
      </c>
      <c r="P5" s="149">
        <v>55</v>
      </c>
      <c r="Q5" s="149">
        <v>103.4</v>
      </c>
    </row>
    <row r="6" spans="1:17" ht="5.0999999999999996" customHeight="1" x14ac:dyDescent="0.3">
      <c r="A6" s="60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t="s">
        <v>107</v>
      </c>
      <c r="O6" s="149" t="s">
        <v>386</v>
      </c>
      <c r="P6" s="149">
        <v>54</v>
      </c>
      <c r="Q6" s="149">
        <v>15.7</v>
      </c>
    </row>
    <row r="7" spans="1:17" ht="20.100000000000001" customHeight="1" x14ac:dyDescent="0.3">
      <c r="A7" s="148"/>
      <c r="B7" s="204" t="s">
        <v>14</v>
      </c>
      <c r="C7" s="205" t="s">
        <v>342</v>
      </c>
      <c r="D7" s="205" t="s">
        <v>387</v>
      </c>
      <c r="E7" s="205" t="s">
        <v>368</v>
      </c>
      <c r="F7" s="206" t="s">
        <v>344</v>
      </c>
      <c r="G7" s="205" t="s">
        <v>388</v>
      </c>
      <c r="H7" s="205" t="s">
        <v>389</v>
      </c>
      <c r="I7" s="205" t="s">
        <v>390</v>
      </c>
      <c r="J7" s="205" t="s">
        <v>21</v>
      </c>
      <c r="K7" s="207" t="s">
        <v>391</v>
      </c>
      <c r="L7" s="148"/>
      <c r="M7" s="148" t="s">
        <v>87</v>
      </c>
      <c r="O7" s="149" t="s">
        <v>362</v>
      </c>
      <c r="P7" s="149">
        <v>54</v>
      </c>
      <c r="Q7" s="149">
        <v>22.7</v>
      </c>
    </row>
    <row r="8" spans="1:17" ht="18" customHeight="1" x14ac:dyDescent="0.3">
      <c r="A8" s="102"/>
      <c r="B8" s="208" t="str">
        <f>IFERROR(INDEX('VUE SECTORIELLE'!M$1:M$21,1),"")</f>
        <v>Conso. Cycl.</v>
      </c>
      <c r="C8" s="209">
        <f>IFERROR(IF(ISNUMBER(MATCH(INDEX('VUE SECTORIELLE'!M$1:M$21,1),'DONNÉES BRUTES'!C$3:C$42,0)),COUNTIF('DONNÉES BRUTES'!C$3:C$42,INDEX('VUE SECTORIELLE'!M$1:M$21,1)),""),"")</f>
        <v>5</v>
      </c>
      <c r="D8" s="210">
        <f>IFERROR(IF(ISNUMBER(MATCH(INDEX('VUE SECTORIELLE'!M$1:M$21,1),'DONNÉES BRUTES'!C$3:C$42,0)),ROUND(AVERAGEIF('DONNÉES BRUTES'!C$3:C$42,INDEX('VUE SECTORIELLE'!M$1:M$21,1),'DONNÉES BRUTES'!AB$3:AB$42),0),""),"")</f>
        <v>53</v>
      </c>
      <c r="E8" s="211" t="str">
        <f>IFERROR(IF(ISNUMBER(MATCH(INDEX('VUE SECTORIELLE'!M$1:M$21,1),'DONNÉES BRUTES'!C$3:C$42,0)),REPT("█",ROUND(AVERAGEIF('DONNÉES BRUTES'!C$3:C$42,INDEX('VUE SECTORIELLE'!M$1:M$21,1),'DONNÉES BRUTES'!AB$3:AB$42)/10,0))&amp;REPT("░",10-ROUND(AVERAGEIF('DONNÉES BRUTES'!C$3:C$42,INDEX('VUE SECTORIELLE'!M$1:M$21,1),'DONNÉES BRUTES'!AB$3:AB$42)/10,0))&amp;"  "&amp;ROUND(AVERAGEIF('DONNÉES BRUTES'!C$3:C$42,INDEX('VUE SECTORIELLE'!M$1:M$21,1),'DONNÉES BRUTES'!AB$3:AB$42),0),""),"")</f>
        <v>█████░░░░░  53</v>
      </c>
      <c r="F8" s="212" t="str">
        <f>IFERROR(IF(ISNUMBER(MATCH(INDEX('VUE SECTORIELLE'!M$1:M$21,1),'DONNÉES BRUTES'!C$3:C$42,0)),_xlfn.XLOOKUP(_xlfn.MAXIFS('DONNÉES BRUTES'!AB$3:AB$42,'DONNÉES BRUTES'!C$3:C$42,INDEX('VUE SECTORIELLE'!M$1:M$21,1)),'DONNÉES BRUTES'!AB$3:AB$42,'DONNÉES BRUTES'!B$3:B$42),"—"),"—")</f>
        <v>NEXT plc</v>
      </c>
      <c r="G8" s="211" t="s">
        <v>392</v>
      </c>
      <c r="H8" s="213" t="s">
        <v>393</v>
      </c>
      <c r="I8" s="211">
        <f t="array" ref="I8">IFERROR(IF(ISNUMBER(MATCH(INDEX('VUE SECTORIELLE'!M$1:M$21,1),'DONNÉES BRUTES'!C$3:C$42,0)),ROUND(MEDIAN(IF('DONNÉES BRUTES'!C$3:C$42=INDEX('VUE SECTORIELLE'!M$1:M$21,1),IF(ISNUMBER('DONNÉES BRUTES'!U$3:U$42),'DONNÉES BRUTES'!U$3:U$42))),2),"—"),"—")</f>
        <v>5.79</v>
      </c>
      <c r="J8" s="211" t="str">
        <f>IFERROR(IF(ISNUMBER(MATCH(INDEX('VUE SECTORIELLE'!M$1:M$21,1),'DONNÉES BRUTES'!C$3:C$42,0)),IF(COUNTIFS('DONNÉES BRUTES'!C$3:C$42,INDEX('VUE SECTORIELLE'!M$1:M$21,1),'DONNÉES BRUTES'!AD$3:AD$42,"Surpondérer")&gt;0,"Surpondérer",IF(COUNTIFS('DONNÉES BRUTES'!C$3:C$42,INDEX('VUE SECTORIELLE'!M$1:M$21,1),'DONNÉES BRUTES'!AD$3:AD$42,"Neutre")&gt;=COUNTIFS('DONNÉES BRUTES'!C$3:C$42,INDEX('VUE SECTORIELLE'!M$1:M$21,1),'DONNÉES BRUTES'!AD$3:AD$42,"Sous-pondérer"),"Neutre","Sous-pondérer")),"—"),"—")</f>
        <v>Neutre</v>
      </c>
      <c r="K8" s="214" t="str">
        <f>IFERROR(IF(ISNUMBER(MATCH(INDEX('VUE SECTORIELLE'!M$1:M$21,1),'DONNÉES BRUTES'!C$3:C$42,0)),IF(AVERAGEIF('DONNÉES BRUTES'!C$3:C$42,INDEX('VUE SECTORIELLE'!M$1:M$21,1),'DONNÉES BRUTES'!AB$3:AB$42)&gt;=65,"↑ Positif",IF(AVERAGEIF('DONNÉES BRUTES'!C$3:C$42,INDEX('VUE SECTORIELLE'!M$1:M$21,1),'DONNÉES BRUTES'!AB$3:AB$42)&gt;=50,"→ Neutre","↓ Négatif")),"—"),"—")</f>
        <v>→ Neutre</v>
      </c>
      <c r="L8" s="154"/>
      <c r="M8" t="s">
        <v>154</v>
      </c>
      <c r="O8" s="149" t="s">
        <v>381</v>
      </c>
      <c r="P8" s="149">
        <v>46</v>
      </c>
      <c r="Q8" s="149">
        <v>20</v>
      </c>
    </row>
    <row r="9" spans="1:17" ht="18" customHeight="1" x14ac:dyDescent="0.3">
      <c r="A9" s="103"/>
      <c r="B9" s="215" t="str">
        <f>IFERROR(INDEX('VUE SECTORIELLE'!M$1:M$21,2),"")</f>
        <v>Consumer Defensive</v>
      </c>
      <c r="C9" s="216" t="str">
        <f>IFERROR(IF(ISNUMBER(MATCH(INDEX('VUE SECTORIELLE'!M$1:M$21,2),'DONNÉES BRUTES'!C$3:C$42,0)),COUNTIF('DONNÉES BRUTES'!C$3:C$42,INDEX('VUE SECTORIELLE'!M$1:M$21,2)),""),"")</f>
        <v/>
      </c>
      <c r="D9" s="217" t="str">
        <f>IFERROR(IF(ISNUMBER(MATCH(INDEX('VUE SECTORIELLE'!M$1:M$21,2),'DONNÉES BRUTES'!C$3:C$42,0)),ROUND(AVERAGEIF('DONNÉES BRUTES'!C$3:C$42,INDEX('VUE SECTORIELLE'!M$1:M$21,2),'DONNÉES BRUTES'!AB$3:AB$42),0),""),"")</f>
        <v/>
      </c>
      <c r="E9" s="218" t="str">
        <f>IFERROR(IF(ISNUMBER(MATCH(INDEX('VUE SECTORIELLE'!M$1:M$21,2),'DONNÉES BRUTES'!C$3:C$42,0)),REPT("█",ROUND(AVERAGEIF('DONNÉES BRUTES'!C$3:C$42,INDEX('VUE SECTORIELLE'!M$1:M$21,2),'DONNÉES BRUTES'!AB$3:AB$42)/10,0))&amp;REPT("░",10-ROUND(AVERAGEIF('DONNÉES BRUTES'!C$3:C$42,INDEX('VUE SECTORIELLE'!M$1:M$21,2),'DONNÉES BRUTES'!AB$3:AB$42)/10,0))&amp;"  "&amp;ROUND(AVERAGEIF('DONNÉES BRUTES'!C$3:C$42,INDEX('VUE SECTORIELLE'!M$1:M$21,2),'DONNÉES BRUTES'!AB$3:AB$42),0),""),"")</f>
        <v/>
      </c>
      <c r="F9" s="219" t="str">
        <f>IFERROR(IF(ISNUMBER(MATCH(INDEX('VUE SECTORIELLE'!M$1:M$21,2),'DONNÉES BRUTES'!C$3:C$42,0)),_xlfn.XLOOKUP(_xlfn.MAXIFS('DONNÉES BRUTES'!AB$3:AB$42,'DONNÉES BRUTES'!C$3:C$42,INDEX('VUE SECTORIELLE'!M$1:M$21,2)),'DONNÉES BRUTES'!AB$3:AB$42,'DONNÉES BRUTES'!B$3:B$42),"—"),"—")</f>
        <v>—</v>
      </c>
      <c r="G9" s="218" t="s">
        <v>394</v>
      </c>
      <c r="H9" s="220" t="s">
        <v>395</v>
      </c>
      <c r="I9" s="218" t="str">
        <f t="array" ref="I9">IFERROR(IF(ISNUMBER(MATCH(INDEX('VUE SECTORIELLE'!M$1:M$21,2),'DONNÉES BRUTES'!C$3:C$42,0)),ROUND(MEDIAN(IF('DONNÉES BRUTES'!C$3:C$42=INDEX('VUE SECTORIELLE'!M$1:M$21,2),IF(ISNUMBER('DONNÉES BRUTES'!U$3:U$42),'DONNÉES BRUTES'!U$3:U$42))),2),"—"),"—")</f>
        <v>—</v>
      </c>
      <c r="J9" s="218" t="str">
        <f>IFERROR(IF(ISNUMBER(MATCH(INDEX('VUE SECTORIELLE'!M$1:M$21,2),'DONNÉES BRUTES'!C$3:C$42,0)),IF(COUNTIFS('DONNÉES BRUTES'!C$3:C$42,INDEX('VUE SECTORIELLE'!M$1:M$21,2),'DONNÉES BRUTES'!AD$3:AD$42,"Surpondérer")&gt;0,"Surpondérer",IF(COUNTIFS('DONNÉES BRUTES'!C$3:C$42,INDEX('VUE SECTORIELLE'!M$1:M$21,2),'DONNÉES BRUTES'!AD$3:AD$42,"Neutre")&gt;=COUNTIFS('DONNÉES BRUTES'!C$3:C$42,INDEX('VUE SECTORIELLE'!M$1:M$21,2),'DONNÉES BRUTES'!AD$3:AD$42,"Sous-pondérer"),"Neutre","Sous-pondérer")),"—"),"—")</f>
        <v>—</v>
      </c>
      <c r="K9" s="221" t="str">
        <f>IFERROR(IF(ISNUMBER(MATCH(INDEX('VUE SECTORIELLE'!M$1:M$21,2),'DONNÉES BRUTES'!C$3:C$42,0)),IF(AVERAGEIF('DONNÉES BRUTES'!C$3:C$42,INDEX('VUE SECTORIELLE'!M$1:M$21,2),'DONNÉES BRUTES'!AB$3:AB$42)&gt;=65,"↑ Positif",IF(AVERAGEIF('DONNÉES BRUTES'!C$3:C$42,INDEX('VUE SECTORIELLE'!M$1:M$21,2),'DONNÉES BRUTES'!AB$3:AB$42)&gt;=50,"→ Neutre","↓ Négatif")),"—"),"—")</f>
        <v>—</v>
      </c>
      <c r="L9" s="151"/>
      <c r="M9" t="s">
        <v>210</v>
      </c>
      <c r="O9" s="149" t="s">
        <v>396</v>
      </c>
      <c r="P9" s="149">
        <v>36</v>
      </c>
      <c r="Q9" s="149">
        <v>19.600000000000001</v>
      </c>
    </row>
    <row r="10" spans="1:17" ht="18" customHeight="1" x14ac:dyDescent="0.3">
      <c r="A10" s="102"/>
      <c r="B10" s="222" t="str">
        <f>IFERROR(INDEX('VUE SECTORIELLE'!M$1:M$21,3),"")</f>
        <v>Finance</v>
      </c>
      <c r="C10" s="223">
        <f>IFERROR(IF(ISNUMBER(MATCH(INDEX('VUE SECTORIELLE'!M$1:M$21,3),'DONNÉES BRUTES'!C$3:C$42,0)),COUNTIF('DONNÉES BRUTES'!C$3:C$42,INDEX('VUE SECTORIELLE'!M$1:M$21,3)),""),"")</f>
        <v>9</v>
      </c>
      <c r="D10" s="224">
        <f>IFERROR(IF(ISNUMBER(MATCH(INDEX('VUE SECTORIELLE'!M$1:M$21,3),'DONNÉES BRUTES'!C$3:C$42,0)),ROUND(AVERAGEIF('DONNÉES BRUTES'!C$3:C$42,INDEX('VUE SECTORIELLE'!M$1:M$21,3),'DONNÉES BRUTES'!AB$3:AB$42),0),""),"")</f>
        <v>50</v>
      </c>
      <c r="E10" s="225" t="str">
        <f>IFERROR(IF(ISNUMBER(MATCH(INDEX('VUE SECTORIELLE'!M$1:M$21,3),'DONNÉES BRUTES'!C$3:C$42,0)),REPT("█",ROUND(AVERAGEIF('DONNÉES BRUTES'!C$3:C$42,INDEX('VUE SECTORIELLE'!M$1:M$21,3),'DONNÉES BRUTES'!AB$3:AB$42)/10,0))&amp;REPT("░",10-ROUND(AVERAGEIF('DONNÉES BRUTES'!C$3:C$42,INDEX('VUE SECTORIELLE'!M$1:M$21,3),'DONNÉES BRUTES'!AB$3:AB$42)/10,0))&amp;"  "&amp;ROUND(AVERAGEIF('DONNÉES BRUTES'!C$3:C$42,INDEX('VUE SECTORIELLE'!M$1:M$21,3),'DONNÉES BRUTES'!AB$3:AB$42),0),""),"")</f>
        <v>█████░░░░░  50</v>
      </c>
      <c r="F10" s="226" t="str">
        <f>IFERROR(IF(ISNUMBER(MATCH(INDEX('VUE SECTORIELLE'!M$1:M$21,3),'DONNÉES BRUTES'!C$3:C$42,0)),_xlfn.XLOOKUP(_xlfn.MAXIFS('DONNÉES BRUTES'!AB$3:AB$42,'DONNÉES BRUTES'!C$3:C$42,INDEX('VUE SECTORIELLE'!M$1:M$21,3)),'DONNÉES BRUTES'!AB$3:AB$42,'DONNÉES BRUTES'!B$3:B$42),"—"),"—")</f>
        <v>Schroders plc</v>
      </c>
      <c r="G10" s="225" t="s">
        <v>397</v>
      </c>
      <c r="H10" s="227" t="s">
        <v>398</v>
      </c>
      <c r="I10" s="225" t="str">
        <f t="array" ref="I10">IFERROR(IF(ISNUMBER(MATCH(INDEX('VUE SECTORIELLE'!M$1:M$21,3),'DONNÉES BRUTES'!C$3:C$42,0)),ROUND(MEDIAN(IF('DONNÉES BRUTES'!C$3:C$42=INDEX('VUE SECTORIELLE'!M$1:M$21,3),IF(ISNUMBER('DONNÉES BRUTES'!U$3:U$42),'DONNÉES BRUTES'!U$3:U$42))),2),"—"),"—")</f>
        <v>—</v>
      </c>
      <c r="J10" s="225" t="str">
        <f>IFERROR(IF(ISNUMBER(MATCH(INDEX('VUE SECTORIELLE'!M$1:M$21,3),'DONNÉES BRUTES'!C$3:C$42,0)),IF(COUNTIFS('DONNÉES BRUTES'!C$3:C$42,INDEX('VUE SECTORIELLE'!M$1:M$21,3),'DONNÉES BRUTES'!AD$3:AD$42,"Surpondérer")&gt;0,"Surpondérer",IF(COUNTIFS('DONNÉES BRUTES'!C$3:C$42,INDEX('VUE SECTORIELLE'!M$1:M$21,3),'DONNÉES BRUTES'!AD$3:AD$42,"Neutre")&gt;=COUNTIFS('DONNÉES BRUTES'!C$3:C$42,INDEX('VUE SECTORIELLE'!M$1:M$21,3),'DONNÉES BRUTES'!AD$3:AD$42,"Sous-pondérer"),"Neutre","Sous-pondérer")),"—"),"—")</f>
        <v>Neutre</v>
      </c>
      <c r="K10" s="228" t="str">
        <f>IFERROR(IF(ISNUMBER(MATCH(INDEX('VUE SECTORIELLE'!M$1:M$21,3),'DONNÉES BRUTES'!C$3:C$42,0)),IF(AVERAGEIF('DONNÉES BRUTES'!C$3:C$42,INDEX('VUE SECTORIELLE'!M$1:M$21,3),'DONNÉES BRUTES'!AB$3:AB$42)&gt;=65,"↑ Positif",IF(AVERAGEIF('DONNÉES BRUTES'!C$3:C$42,INDEX('VUE SECTORIELLE'!M$1:M$21,3),'DONNÉES BRUTES'!AB$3:AB$42)&gt;=50,"→ Neutre","↓ Négatif")),"—"),"—")</f>
        <v>↓ Négatif</v>
      </c>
      <c r="L10" s="154"/>
      <c r="M10" t="s">
        <v>57</v>
      </c>
      <c r="O10" s="149" t="s">
        <v>358</v>
      </c>
      <c r="P10" s="149">
        <v>41</v>
      </c>
      <c r="Q10" s="149">
        <v>28.3</v>
      </c>
    </row>
    <row r="11" spans="1:17" ht="18" customHeight="1" x14ac:dyDescent="0.3">
      <c r="A11" s="103"/>
      <c r="B11" s="215" t="str">
        <f>IFERROR(INDEX('VUE SECTORIELLE'!M$1:M$21,4),"")</f>
        <v>Immobilier</v>
      </c>
      <c r="C11" s="216">
        <f>IFERROR(IF(ISNUMBER(MATCH(INDEX('VUE SECTORIELLE'!M$1:M$21,4),'DONNÉES BRUTES'!C$3:C$42,0)),COUNTIF('DONNÉES BRUTES'!C$3:C$42,INDEX('VUE SECTORIELLE'!M$1:M$21,4)),""),"")</f>
        <v>1</v>
      </c>
      <c r="D11" s="217">
        <f>IFERROR(IF(ISNUMBER(MATCH(INDEX('VUE SECTORIELLE'!M$1:M$21,4),'DONNÉES BRUTES'!C$3:C$42,0)),ROUND(AVERAGEIF('DONNÉES BRUTES'!C$3:C$42,INDEX('VUE SECTORIELLE'!M$1:M$21,4),'DONNÉES BRUTES'!AB$3:AB$42),0),""),"")</f>
        <v>48</v>
      </c>
      <c r="E11" s="218" t="str">
        <f>IFERROR(IF(ISNUMBER(MATCH(INDEX('VUE SECTORIELLE'!M$1:M$21,4),'DONNÉES BRUTES'!C$3:C$42,0)),REPT("█",ROUND(AVERAGEIF('DONNÉES BRUTES'!C$3:C$42,INDEX('VUE SECTORIELLE'!M$1:M$21,4),'DONNÉES BRUTES'!AB$3:AB$42)/10,0))&amp;REPT("░",10-ROUND(AVERAGEIF('DONNÉES BRUTES'!C$3:C$42,INDEX('VUE SECTORIELLE'!M$1:M$21,4),'DONNÉES BRUTES'!AB$3:AB$42)/10,0))&amp;"  "&amp;ROUND(AVERAGEIF('DONNÉES BRUTES'!C$3:C$42,INDEX('VUE SECTORIELLE'!M$1:M$21,4),'DONNÉES BRUTES'!AB$3:AB$42),0),""),"")</f>
        <v>█████░░░░░  48</v>
      </c>
      <c r="F11" s="219" t="str">
        <f>IFERROR(IF(ISNUMBER(MATCH(INDEX('VUE SECTORIELLE'!M$1:M$21,4),'DONNÉES BRUTES'!C$3:C$42,0)),_xlfn.XLOOKUP(_xlfn.MAXIFS('DONNÉES BRUTES'!AB$3:AB$42,'DONNÉES BRUTES'!C$3:C$42,INDEX('VUE SECTORIELLE'!M$1:M$21,4)),'DONNÉES BRUTES'!AB$3:AB$42,'DONNÉES BRUTES'!B$3:B$42),"—"),"—")</f>
        <v>SEGRO Plc</v>
      </c>
      <c r="G11" s="218" t="s">
        <v>41</v>
      </c>
      <c r="H11" s="220" t="s">
        <v>41</v>
      </c>
      <c r="I11" s="218">
        <f t="array" ref="I11">IFERROR(IF(ISNUMBER(MATCH(INDEX('VUE SECTORIELLE'!M$1:M$21,4),'DONNÉES BRUTES'!C$3:C$42,0)),ROUND(MEDIAN(IF('DONNÉES BRUTES'!C$3:C$42=INDEX('VUE SECTORIELLE'!M$1:M$21,4),IF(ISNUMBER('DONNÉES BRUTES'!U$3:U$42),'DONNÉES BRUTES'!U$3:U$42))),2),"—"),"—")</f>
        <v>3.42</v>
      </c>
      <c r="J11" s="218" t="str">
        <f>IFERROR(IF(ISNUMBER(MATCH(INDEX('VUE SECTORIELLE'!M$1:M$21,4),'DONNÉES BRUTES'!C$3:C$42,0)),IF(COUNTIFS('DONNÉES BRUTES'!C$3:C$42,INDEX('VUE SECTORIELLE'!M$1:M$21,4),'DONNÉES BRUTES'!AD$3:AD$42,"Surpondérer")&gt;0,"Surpondérer",IF(COUNTIFS('DONNÉES BRUTES'!C$3:C$42,INDEX('VUE SECTORIELLE'!M$1:M$21,4),'DONNÉES BRUTES'!AD$3:AD$42,"Neutre")&gt;=COUNTIFS('DONNÉES BRUTES'!C$3:C$42,INDEX('VUE SECTORIELLE'!M$1:M$21,4),'DONNÉES BRUTES'!AD$3:AD$42,"Sous-pondérer"),"Neutre","Sous-pondérer")),"—"),"—")</f>
        <v>Neutre</v>
      </c>
      <c r="K11" s="221" t="str">
        <f>IFERROR(IF(ISNUMBER(MATCH(INDEX('VUE SECTORIELLE'!M$1:M$21,4),'DONNÉES BRUTES'!C$3:C$42,0)),IF(AVERAGEIF('DONNÉES BRUTES'!C$3:C$42,INDEX('VUE SECTORIELLE'!M$1:M$21,4),'DONNÉES BRUTES'!AB$3:AB$42)&gt;=65,"↑ Positif",IF(AVERAGEIF('DONNÉES BRUTES'!C$3:C$42,INDEX('VUE SECTORIELLE'!M$1:M$21,4),'DONNÉES BRUTES'!AB$3:AB$42)&gt;=50,"→ Neutre","↓ Négatif")),"—"),"—")</f>
        <v>↓ Négatif</v>
      </c>
      <c r="L11" s="151"/>
      <c r="M11" t="s">
        <v>322</v>
      </c>
      <c r="O11" s="149" t="s">
        <v>379</v>
      </c>
      <c r="P11" s="149">
        <v>38</v>
      </c>
      <c r="Q11" s="149">
        <v>27.2</v>
      </c>
    </row>
    <row r="12" spans="1:17" ht="18" customHeight="1" x14ac:dyDescent="0.3">
      <c r="A12" s="102"/>
      <c r="B12" s="222" t="str">
        <f>IFERROR(INDEX('VUE SECTORIELLE'!M$1:M$21,5),"")</f>
        <v>Industrie</v>
      </c>
      <c r="C12" s="223">
        <f>IFERROR(IF(ISNUMBER(MATCH(INDEX('VUE SECTORIELLE'!M$1:M$21,5),'DONNÉES BRUTES'!C$3:C$42,0)),COUNTIF('DONNÉES BRUTES'!C$3:C$42,INDEX('VUE SECTORIELLE'!M$1:M$21,5)),""),"")</f>
        <v>6</v>
      </c>
      <c r="D12" s="224">
        <f>IFERROR(IF(ISNUMBER(MATCH(INDEX('VUE SECTORIELLE'!M$1:M$21,5),'DONNÉES BRUTES'!C$3:C$42,0)),ROUND(AVERAGEIF('DONNÉES BRUTES'!C$3:C$42,INDEX('VUE SECTORIELLE'!M$1:M$21,5),'DONNÉES BRUTES'!AB$3:AB$42),0),""),"")</f>
        <v>55</v>
      </c>
      <c r="E12" s="225" t="str">
        <f>IFERROR(IF(ISNUMBER(MATCH(INDEX('VUE SECTORIELLE'!M$1:M$21,5),'DONNÉES BRUTES'!C$3:C$42,0)),REPT("█",ROUND(AVERAGEIF('DONNÉES BRUTES'!C$3:C$42,INDEX('VUE SECTORIELLE'!M$1:M$21,5),'DONNÉES BRUTES'!AB$3:AB$42)/10,0))&amp;REPT("░",10-ROUND(AVERAGEIF('DONNÉES BRUTES'!C$3:C$42,INDEX('VUE SECTORIELLE'!M$1:M$21,5),'DONNÉES BRUTES'!AB$3:AB$42)/10,0))&amp;"  "&amp;ROUND(AVERAGEIF('DONNÉES BRUTES'!C$3:C$42,INDEX('VUE SECTORIELLE'!M$1:M$21,5),'DONNÉES BRUTES'!AB$3:AB$42),0),""),"")</f>
        <v>██████░░░░  55</v>
      </c>
      <c r="F12" s="226" t="str">
        <f>IFERROR(IF(ISNUMBER(MATCH(INDEX('VUE SECTORIELLE'!M$1:M$21,5),'DONNÉES BRUTES'!C$3:C$42,0)),_xlfn.XLOOKUP(_xlfn.MAXIFS('DONNÉES BRUTES'!AB$3:AB$42,'DONNÉES BRUTES'!C$3:C$42,INDEX('VUE SECTORIELLE'!M$1:M$21,5)),'DONNÉES BRUTES'!AB$3:AB$42,'DONNÉES BRUTES'!B$3:B$42),"—"),"—")</f>
        <v>Rolls-Royce Holdings plc</v>
      </c>
      <c r="G12" s="225" t="s">
        <v>399</v>
      </c>
      <c r="H12" s="227" t="s">
        <v>400</v>
      </c>
      <c r="I12" s="225">
        <f t="array" ref="I12">IFERROR(IF(ISNUMBER(MATCH(INDEX('VUE SECTORIELLE'!M$1:M$21,5),'DONNÉES BRUTES'!C$3:C$42,0)),ROUND(MEDIAN(IF('DONNÉES BRUTES'!C$3:C$42=INDEX('VUE SECTORIELLE'!M$1:M$21,5),IF(ISNUMBER('DONNÉES BRUTES'!U$3:U$42),'DONNÉES BRUTES'!U$3:U$42))),2),"—"),"—")</f>
        <v>4.47</v>
      </c>
      <c r="J12" s="225" t="str">
        <f>IFERROR(IF(ISNUMBER(MATCH(INDEX('VUE SECTORIELLE'!M$1:M$21,5),'DONNÉES BRUTES'!C$3:C$42,0)),IF(COUNTIFS('DONNÉES BRUTES'!C$3:C$42,INDEX('VUE SECTORIELLE'!M$1:M$21,5),'DONNÉES BRUTES'!AD$3:AD$42,"Surpondérer")&gt;0,"Surpondérer",IF(COUNTIFS('DONNÉES BRUTES'!C$3:C$42,INDEX('VUE SECTORIELLE'!M$1:M$21,5),'DONNÉES BRUTES'!AD$3:AD$42,"Neutre")&gt;=COUNTIFS('DONNÉES BRUTES'!C$3:C$42,INDEX('VUE SECTORIELLE'!M$1:M$21,5),'DONNÉES BRUTES'!AD$3:AD$42,"Sous-pondérer"),"Neutre","Sous-pondérer")),"—"),"—")</f>
        <v>Surpondérer</v>
      </c>
      <c r="K12" s="228" t="str">
        <f>IFERROR(IF(ISNUMBER(MATCH(INDEX('VUE SECTORIELLE'!M$1:M$21,5),'DONNÉES BRUTES'!C$3:C$42,0)),IF(AVERAGEIF('DONNÉES BRUTES'!C$3:C$42,INDEX('VUE SECTORIELLE'!M$1:M$21,5),'DONNÉES BRUTES'!AB$3:AB$42)&gt;=65,"↑ Positif",IF(AVERAGEIF('DONNÉES BRUTES'!C$3:C$42,INDEX('VUE SECTORIELLE'!M$1:M$21,5),'DONNÉES BRUTES'!AB$3:AB$42)&gt;=50,"→ Neutre","↓ Négatif")),"—"),"—")</f>
        <v>→ Neutre</v>
      </c>
      <c r="L12" s="154"/>
      <c r="O12" s="149" t="s">
        <v>380</v>
      </c>
      <c r="P12" s="149">
        <v>18</v>
      </c>
      <c r="Q12" s="149">
        <v>0</v>
      </c>
    </row>
    <row r="13" spans="1:17" ht="18" customHeight="1" x14ac:dyDescent="0.3">
      <c r="A13" s="103"/>
      <c r="B13" s="215" t="str">
        <f>IFERROR(INDEX('VUE SECTORIELLE'!M$1:M$21,6),"")</f>
        <v>Matériaux</v>
      </c>
      <c r="C13" s="216">
        <f>IFERROR(IF(ISNUMBER(MATCH(INDEX('VUE SECTORIELLE'!M$1:M$21,6),'DONNÉES BRUTES'!C$3:C$42,0)),COUNTIF('DONNÉES BRUTES'!C$3:C$42,INDEX('VUE SECTORIELLE'!M$1:M$21,6)),""),"")</f>
        <v>6</v>
      </c>
      <c r="D13" s="217">
        <f>IFERROR(IF(ISNUMBER(MATCH(INDEX('VUE SECTORIELLE'!M$1:M$21,6),'DONNÉES BRUTES'!C$3:C$42,0)),ROUND(AVERAGEIF('DONNÉES BRUTES'!C$3:C$42,INDEX('VUE SECTORIELLE'!M$1:M$21,6),'DONNÉES BRUTES'!AB$3:AB$42),0),""),"")</f>
        <v>65</v>
      </c>
      <c r="E13" s="218" t="str">
        <f>IFERROR(IF(ISNUMBER(MATCH(INDEX('VUE SECTORIELLE'!M$1:M$21,6),'DONNÉES BRUTES'!C$3:C$42,0)),REPT("█",ROUND(AVERAGEIF('DONNÉES BRUTES'!C$3:C$42,INDEX('VUE SECTORIELLE'!M$1:M$21,6),'DONNÉES BRUTES'!AB$3:AB$42)/10,0))&amp;REPT("░",10-ROUND(AVERAGEIF('DONNÉES BRUTES'!C$3:C$42,INDEX('VUE SECTORIELLE'!M$1:M$21,6),'DONNÉES BRUTES'!AB$3:AB$42)/10,0))&amp;"  "&amp;ROUND(AVERAGEIF('DONNÉES BRUTES'!C$3:C$42,INDEX('VUE SECTORIELLE'!M$1:M$21,6),'DONNÉES BRUTES'!AB$3:AB$42),0),""),"")</f>
        <v>███████░░░  65</v>
      </c>
      <c r="F13" s="219" t="str">
        <f>IFERROR(IF(ISNUMBER(MATCH(INDEX('VUE SECTORIELLE'!M$1:M$21,6),'DONNÉES BRUTES'!C$3:C$42,0)),_xlfn.XLOOKUP(_xlfn.MAXIFS('DONNÉES BRUTES'!AB$3:AB$42,'DONNÉES BRUTES'!C$3:C$42,INDEX('VUE SECTORIELLE'!M$1:M$21,6)),'DONNÉES BRUTES'!AB$3:AB$42,'DONNÉES BRUTES'!B$3:B$42),"—"),"—")</f>
        <v>Endeavour Mining plc</v>
      </c>
      <c r="G13" s="218" t="s">
        <v>89</v>
      </c>
      <c r="H13" s="220" t="s">
        <v>401</v>
      </c>
      <c r="I13" s="218">
        <f t="array" ref="I13">IFERROR(IF(ISNUMBER(MATCH(INDEX('VUE SECTORIELLE'!M$1:M$21,6),'DONNÉES BRUTES'!C$3:C$42,0)),ROUND(MEDIAN(IF('DONNÉES BRUTES'!C$3:C$42=INDEX('VUE SECTORIELLE'!M$1:M$21,6),IF(ISNUMBER('DONNÉES BRUTES'!U$3:U$42),'DONNÉES BRUTES'!U$3:U$42))),2),"—"),"—")</f>
        <v>3.82</v>
      </c>
      <c r="J13" s="218" t="str">
        <f>IFERROR(IF(ISNUMBER(MATCH(INDEX('VUE SECTORIELLE'!M$1:M$21,6),'DONNÉES BRUTES'!C$3:C$42,0)),IF(COUNTIFS('DONNÉES BRUTES'!C$3:C$42,INDEX('VUE SECTORIELLE'!M$1:M$21,6),'DONNÉES BRUTES'!AD$3:AD$42,"Surpondérer")&gt;0,"Surpondérer",IF(COUNTIFS('DONNÉES BRUTES'!C$3:C$42,INDEX('VUE SECTORIELLE'!M$1:M$21,6),'DONNÉES BRUTES'!AD$3:AD$42,"Neutre")&gt;=COUNTIFS('DONNÉES BRUTES'!C$3:C$42,INDEX('VUE SECTORIELLE'!M$1:M$21,6),'DONNÉES BRUTES'!AD$3:AD$42,"Sous-pondérer"),"Neutre","Sous-pondérer")),"—"),"—")</f>
        <v>Surpondérer</v>
      </c>
      <c r="K13" s="221" t="str">
        <f>IFERROR(IF(ISNUMBER(MATCH(INDEX('VUE SECTORIELLE'!M$1:M$21,6),'DONNÉES BRUTES'!C$3:C$42,0)),IF(AVERAGEIF('DONNÉES BRUTES'!C$3:C$42,INDEX('VUE SECTORIELLE'!M$1:M$21,6),'DONNÉES BRUTES'!AB$3:AB$42)&gt;=65,"↑ Positif",IF(AVERAGEIF('DONNÉES BRUTES'!C$3:C$42,INDEX('VUE SECTORIELLE'!M$1:M$21,6),'DONNÉES BRUTES'!AB$3:AB$42)&gt;=50,"→ Neutre","↓ Négatif")),"—"),"—")</f>
        <v>↑ Positif</v>
      </c>
      <c r="L13" s="151"/>
    </row>
    <row r="14" spans="1:17" ht="18" customHeight="1" x14ac:dyDescent="0.3">
      <c r="A14" s="102"/>
      <c r="B14" s="222" t="str">
        <f>IFERROR(INDEX('VUE SECTORIELLE'!M$1:M$21,7),"")</f>
        <v>Santé</v>
      </c>
      <c r="C14" s="223">
        <f>IFERROR(IF(ISNUMBER(MATCH(INDEX('VUE SECTORIELLE'!M$1:M$21,7),'DONNÉES BRUTES'!C$3:C$42,0)),COUNTIF('DONNÉES BRUTES'!C$3:C$42,INDEX('VUE SECTORIELLE'!M$1:M$21,7)),""),"")</f>
        <v>4</v>
      </c>
      <c r="D14" s="224">
        <f>IFERROR(IF(ISNUMBER(MATCH(INDEX('VUE SECTORIELLE'!M$1:M$21,7),'DONNÉES BRUTES'!C$3:C$42,0)),ROUND(AVERAGEIF('DONNÉES BRUTES'!C$3:C$42,INDEX('VUE SECTORIELLE'!M$1:M$21,7),'DONNÉES BRUTES'!AB$3:AB$42),0),""),"")</f>
        <v>58</v>
      </c>
      <c r="E14" s="225" t="str">
        <f>IFERROR(IF(ISNUMBER(MATCH(INDEX('VUE SECTORIELLE'!M$1:M$21,7),'DONNÉES BRUTES'!C$3:C$42,0)),REPT("█",ROUND(AVERAGEIF('DONNÉES BRUTES'!C$3:C$42,INDEX('VUE SECTORIELLE'!M$1:M$21,7),'DONNÉES BRUTES'!AB$3:AB$42)/10,0))&amp;REPT("░",10-ROUND(AVERAGEIF('DONNÉES BRUTES'!C$3:C$42,INDEX('VUE SECTORIELLE'!M$1:M$21,7),'DONNÉES BRUTES'!AB$3:AB$42)/10,0))&amp;"  "&amp;ROUND(AVERAGEIF('DONNÉES BRUTES'!C$3:C$42,INDEX('VUE SECTORIELLE'!M$1:M$21,7),'DONNÉES BRUTES'!AB$3:AB$42),0),""),"")</f>
        <v>██████░░░░  58</v>
      </c>
      <c r="F14" s="226" t="str">
        <f>IFERROR(IF(ISNUMBER(MATCH(INDEX('VUE SECTORIELLE'!M$1:M$21,7),'DONNÉES BRUTES'!C$3:C$42,0)),_xlfn.XLOOKUP(_xlfn.MAXIFS('DONNÉES BRUTES'!AB$3:AB$42,'DONNÉES BRUTES'!C$3:C$42,INDEX('VUE SECTORIELLE'!M$1:M$21,7)),'DONNÉES BRUTES'!AB$3:AB$42,'DONNÉES BRUTES'!B$3:B$42),"—"),"—")</f>
        <v>GSK plc</v>
      </c>
      <c r="G14" s="225" t="s">
        <v>402</v>
      </c>
      <c r="H14" s="227" t="s">
        <v>403</v>
      </c>
      <c r="I14" s="225">
        <f t="array" ref="I14">IFERROR(IF(ISNUMBER(MATCH(INDEX('VUE SECTORIELLE'!M$1:M$21,7),'DONNÉES BRUTES'!C$3:C$42,0)),ROUND(MEDIAN(IF('DONNÉES BRUTES'!C$3:C$42=INDEX('VUE SECTORIELLE'!M$1:M$21,7),IF(ISNUMBER('DONNÉES BRUTES'!U$3:U$42),'DONNÉES BRUTES'!U$3:U$42))),2),"—"),"—")</f>
        <v>2.62</v>
      </c>
      <c r="J14" s="225" t="str">
        <f>IFERROR(IF(ISNUMBER(MATCH(INDEX('VUE SECTORIELLE'!M$1:M$21,7),'DONNÉES BRUTES'!C$3:C$42,0)),IF(COUNTIFS('DONNÉES BRUTES'!C$3:C$42,INDEX('VUE SECTORIELLE'!M$1:M$21,7),'DONNÉES BRUTES'!AD$3:AD$42,"Surpondérer")&gt;0,"Surpondérer",IF(COUNTIFS('DONNÉES BRUTES'!C$3:C$42,INDEX('VUE SECTORIELLE'!M$1:M$21,7),'DONNÉES BRUTES'!AD$3:AD$42,"Neutre")&gt;=COUNTIFS('DONNÉES BRUTES'!C$3:C$42,INDEX('VUE SECTORIELLE'!M$1:M$21,7),'DONNÉES BRUTES'!AD$3:AD$42,"Sous-pondérer"),"Neutre","Sous-pondérer")),"—"),"—")</f>
        <v>Surpondérer</v>
      </c>
      <c r="K14" s="228" t="str">
        <f>IFERROR(IF(ISNUMBER(MATCH(INDEX('VUE SECTORIELLE'!M$1:M$21,7),'DONNÉES BRUTES'!C$3:C$42,0)),IF(AVERAGEIF('DONNÉES BRUTES'!C$3:C$42,INDEX('VUE SECTORIELLE'!M$1:M$21,7),'DONNÉES BRUTES'!AB$3:AB$42)&gt;=65,"↑ Positif",IF(AVERAGEIF('DONNÉES BRUTES'!C$3:C$42,INDEX('VUE SECTORIELLE'!M$1:M$21,7),'DONNÉES BRUTES'!AB$3:AB$42)&gt;=50,"→ Neutre","↓ Négatif")),"—"),"—")</f>
        <v>→ Neutre</v>
      </c>
      <c r="L14" s="154"/>
    </row>
    <row r="15" spans="1:17" ht="18" customHeight="1" x14ac:dyDescent="0.3">
      <c r="A15" s="103"/>
      <c r="B15" s="215" t="str">
        <f>IFERROR(INDEX('VUE SECTORIELLE'!M$1:M$21,8),"")</f>
        <v>Serv. Publ.</v>
      </c>
      <c r="C15" s="216">
        <f>IFERROR(IF(ISNUMBER(MATCH(INDEX('VUE SECTORIELLE'!M$1:M$21,8),'DONNÉES BRUTES'!C$3:C$42,0)),COUNTIF('DONNÉES BRUTES'!C$3:C$42,INDEX('VUE SECTORIELLE'!M$1:M$21,8)),""),"")</f>
        <v>3</v>
      </c>
      <c r="D15" s="217">
        <f>IFERROR(IF(ISNUMBER(MATCH(INDEX('VUE SECTORIELLE'!M$1:M$21,8),'DONNÉES BRUTES'!C$3:C$42,0)),ROUND(AVERAGEIF('DONNÉES BRUTES'!C$3:C$42,INDEX('VUE SECTORIELLE'!M$1:M$21,8),'DONNÉES BRUTES'!AB$3:AB$42),0),""),"")</f>
        <v>49</v>
      </c>
      <c r="E15" s="218" t="str">
        <f>IFERROR(IF(ISNUMBER(MATCH(INDEX('VUE SECTORIELLE'!M$1:M$21,8),'DONNÉES BRUTES'!C$3:C$42,0)),REPT("█",ROUND(AVERAGEIF('DONNÉES BRUTES'!C$3:C$42,INDEX('VUE SECTORIELLE'!M$1:M$21,8),'DONNÉES BRUTES'!AB$3:AB$42)/10,0))&amp;REPT("░",10-ROUND(AVERAGEIF('DONNÉES BRUTES'!C$3:C$42,INDEX('VUE SECTORIELLE'!M$1:M$21,8),'DONNÉES BRUTES'!AB$3:AB$42)/10,0))&amp;"  "&amp;ROUND(AVERAGEIF('DONNÉES BRUTES'!C$3:C$42,INDEX('VUE SECTORIELLE'!M$1:M$21,8),'DONNÉES BRUTES'!AB$3:AB$42),0),""),"")</f>
        <v>█████░░░░░  49</v>
      </c>
      <c r="F15" s="219" t="str">
        <f>IFERROR(IF(ISNUMBER(MATCH(INDEX('VUE SECTORIELLE'!M$1:M$21,8),'DONNÉES BRUTES'!C$3:C$42,0)),_xlfn.XLOOKUP(_xlfn.MAXIFS('DONNÉES BRUTES'!AB$3:AB$42,'DONNÉES BRUTES'!C$3:C$42,INDEX('VUE SECTORIELLE'!M$1:M$21,8)),'DONNÉES BRUTES'!AB$3:AB$42,'DONNÉES BRUTES'!B$3:B$42),"—"),"—")</f>
        <v>Anglo American plc</v>
      </c>
      <c r="G15" s="218" t="s">
        <v>404</v>
      </c>
      <c r="H15" s="220" t="s">
        <v>395</v>
      </c>
      <c r="I15" s="218">
        <f t="array" ref="I15">IFERROR(IF(ISNUMBER(MATCH(INDEX('VUE SECTORIELLE'!M$1:M$21,8),'DONNÉES BRUTES'!C$3:C$42,0)),ROUND(MEDIAN(IF('DONNÉES BRUTES'!C$3:C$42=INDEX('VUE SECTORIELLE'!M$1:M$21,8),IF(ISNUMBER('DONNÉES BRUTES'!U$3:U$42),'DONNÉES BRUTES'!U$3:U$42))),2),"—"),"—")</f>
        <v>1.06</v>
      </c>
      <c r="J15" s="218" t="str">
        <f>IFERROR(IF(ISNUMBER(MATCH(INDEX('VUE SECTORIELLE'!M$1:M$21,8),'DONNÉES BRUTES'!C$3:C$42,0)),IF(COUNTIFS('DONNÉES BRUTES'!C$3:C$42,INDEX('VUE SECTORIELLE'!M$1:M$21,8),'DONNÉES BRUTES'!AD$3:AD$42,"Surpondérer")&gt;0,"Surpondérer",IF(COUNTIFS('DONNÉES BRUTES'!C$3:C$42,INDEX('VUE SECTORIELLE'!M$1:M$21,8),'DONNÉES BRUTES'!AD$3:AD$42,"Neutre")&gt;=COUNTIFS('DONNÉES BRUTES'!C$3:C$42,INDEX('VUE SECTORIELLE'!M$1:M$21,8),'DONNÉES BRUTES'!AD$3:AD$42,"Sous-pondérer"),"Neutre","Sous-pondérer")),"—"),"—")</f>
        <v>Neutre</v>
      </c>
      <c r="K15" s="221" t="str">
        <f>IFERROR(IF(ISNUMBER(MATCH(INDEX('VUE SECTORIELLE'!M$1:M$21,8),'DONNÉES BRUTES'!C$3:C$42,0)),IF(AVERAGEIF('DONNÉES BRUTES'!C$3:C$42,INDEX('VUE SECTORIELLE'!M$1:M$21,8),'DONNÉES BRUTES'!AB$3:AB$42)&gt;=65,"↑ Positif",IF(AVERAGEIF('DONNÉES BRUTES'!C$3:C$42,INDEX('VUE SECTORIELLE'!M$1:M$21,8),'DONNÉES BRUTES'!AB$3:AB$42)&gt;=50,"→ Neutre","↓ Négatif")),"—"),"—")</f>
        <v>↓ Négatif</v>
      </c>
      <c r="L15" s="151"/>
    </row>
    <row r="16" spans="1:17" ht="18" customHeight="1" x14ac:dyDescent="0.3">
      <c r="A16" s="5"/>
      <c r="B16" s="222" t="str">
        <f>IFERROR(INDEX('VUE SECTORIELLE'!M$1:M$21,9),"")</f>
        <v>Technologie</v>
      </c>
      <c r="C16" s="223" t="str">
        <f>IFERROR(IF(ISNUMBER(MATCH(INDEX('VUE SECTORIELLE'!M$1:M$21,9),'DONNÉES BRUTES'!C$3:C$42,0)),COUNTIF('DONNÉES BRUTES'!C$3:C$42,INDEX('VUE SECTORIELLE'!M$1:M$21,9)),""),"")</f>
        <v/>
      </c>
      <c r="D16" s="224" t="str">
        <f>IFERROR(IF(ISNUMBER(MATCH(INDEX('VUE SECTORIELLE'!M$1:M$21,9),'DONNÉES BRUTES'!C$3:C$42,0)),ROUND(AVERAGEIF('DONNÉES BRUTES'!C$3:C$42,INDEX('VUE SECTORIELLE'!M$1:M$21,9),'DONNÉES BRUTES'!AB$3:AB$42),0),""),"")</f>
        <v/>
      </c>
      <c r="E16" s="225" t="str">
        <f>IFERROR(IF(ISNUMBER(MATCH(INDEX('VUE SECTORIELLE'!M$1:M$21,9),'DONNÉES BRUTES'!C$3:C$42,0)),REPT("█",ROUND(AVERAGEIF('DONNÉES BRUTES'!C$3:C$42,INDEX('VUE SECTORIELLE'!M$1:M$21,9),'DONNÉES BRUTES'!AB$3:AB$42)/10,0))&amp;REPT("░",10-ROUND(AVERAGEIF('DONNÉES BRUTES'!C$3:C$42,INDEX('VUE SECTORIELLE'!M$1:M$21,9),'DONNÉES BRUTES'!AB$3:AB$42)/10,0))&amp;"  "&amp;ROUND(AVERAGEIF('DONNÉES BRUTES'!C$3:C$42,INDEX('VUE SECTORIELLE'!M$1:M$21,9),'DONNÉES BRUTES'!AB$3:AB$42),0),""),"")</f>
        <v/>
      </c>
      <c r="F16" s="226" t="str">
        <f>IFERROR(IF(ISNUMBER(MATCH(INDEX('VUE SECTORIELLE'!M$1:M$21,9),'DONNÉES BRUTES'!C$3:C$42,0)),_xlfn.XLOOKUP(_xlfn.MAXIFS('DONNÉES BRUTES'!AB$3:AB$42,'DONNÉES BRUTES'!C$3:C$42,INDEX('VUE SECTORIELLE'!M$1:M$21,9)),'DONNÉES BRUTES'!AB$3:AB$42,'DONNÉES BRUTES'!B$3:B$42),"—"),"—")</f>
        <v>—</v>
      </c>
      <c r="G16" s="225" t="s">
        <v>405</v>
      </c>
      <c r="H16" s="227" t="s">
        <v>406</v>
      </c>
      <c r="I16" s="225" t="str">
        <f t="array" ref="I16">IFERROR(IF(ISNUMBER(MATCH(INDEX('VUE SECTORIELLE'!M$1:M$21,9),'DONNÉES BRUTES'!C$3:C$42,0)),ROUND(MEDIAN(IF('DONNÉES BRUTES'!C$3:C$42=INDEX('VUE SECTORIELLE'!M$1:M$21,9),IF(ISNUMBER('DONNÉES BRUTES'!U$3:U$42),'DONNÉES BRUTES'!U$3:U$42))),2),"—"),"—")</f>
        <v>—</v>
      </c>
      <c r="J16" s="225" t="str">
        <f>IFERROR(IF(ISNUMBER(MATCH(INDEX('VUE SECTORIELLE'!M$1:M$21,9),'DONNÉES BRUTES'!C$3:C$42,0)),IF(COUNTIFS('DONNÉES BRUTES'!C$3:C$42,INDEX('VUE SECTORIELLE'!M$1:M$21,9),'DONNÉES BRUTES'!AD$3:AD$42,"Surpondérer")&gt;0,"Surpondérer",IF(COUNTIFS('DONNÉES BRUTES'!C$3:C$42,INDEX('VUE SECTORIELLE'!M$1:M$21,9),'DONNÉES BRUTES'!AD$3:AD$42,"Neutre")&gt;=COUNTIFS('DONNÉES BRUTES'!C$3:C$42,INDEX('VUE SECTORIELLE'!M$1:M$21,9),'DONNÉES BRUTES'!AD$3:AD$42,"Sous-pondérer"),"Neutre","Sous-pondérer")),"—"),"—")</f>
        <v>—</v>
      </c>
      <c r="K16" s="228" t="str">
        <f>IFERROR(IF(ISNUMBER(MATCH(INDEX('VUE SECTORIELLE'!M$1:M$21,9),'DONNÉES BRUTES'!C$3:C$42,0)),IF(AVERAGEIF('DONNÉES BRUTES'!C$3:C$42,INDEX('VUE SECTORIELLE'!M$1:M$21,9),'DONNÉES BRUTES'!AB$3:AB$42)&gt;=65,"↑ Positif",IF(AVERAGEIF('DONNÉES BRUTES'!C$3:C$42,INDEX('VUE SECTORIELLE'!M$1:M$21,9),'DONNÉES BRUTES'!AB$3:AB$42)&gt;=50,"→ Neutre","↓ Négatif")),"—"),"—")</f>
        <v>—</v>
      </c>
      <c r="L16" s="154"/>
    </row>
    <row r="17" spans="1:18" ht="18" customHeight="1" x14ac:dyDescent="0.3">
      <c r="A17" s="190"/>
      <c r="B17" s="215" t="str">
        <f>COUNTA('DONNÉES BRUTES'!A3:A42)&amp;" sociétés — CAC 40"</f>
        <v>40 sociétés — CAC 40</v>
      </c>
      <c r="C17" s="216">
        <f>COUNTA('DONNÉES BRUTES'!A3:A42)</f>
        <v>40</v>
      </c>
      <c r="D17" s="217">
        <f>ROUND(AVERAGE('DONNÉES BRUTES'!AB3:AB42),0)</f>
        <v>55</v>
      </c>
      <c r="E17" s="218" t="s">
        <v>407</v>
      </c>
      <c r="F17" s="219" t="str">
        <f>IFERROR(_xlfn.XLOOKUP(MAX('DONNÉES BRUTES'!AB$3:AB$42),'DONNÉES BRUTES'!AB$3:AB$42,'DONNÉES BRUTES'!B$3:B$42),"—")</f>
        <v>Endeavour Mining plc</v>
      </c>
      <c r="G17" s="218" t="s">
        <v>405</v>
      </c>
      <c r="H17" s="220" t="s">
        <v>406</v>
      </c>
      <c r="I17" s="218">
        <f t="array" ref="I17">IFERROR(IF(ISNUMBER(MATCH(INDEX('VUE SECTORIELLE'!M$1:M$21,10),'DONNÉES BRUTES'!C$3:C$42,0)),ROUND(MEDIAN(IF('DONNÉES BRUTES'!C$3:C$42=INDEX('VUE SECTORIELLE'!M$1:M$21,10),IF(ISNUMBER('DONNÉES BRUTES'!U$3:U$42),'DONNÉES BRUTES'!U$3:U$42))),2),"—"),"—")</f>
        <v>10.67</v>
      </c>
      <c r="J17" s="218" t="str">
        <f>IFERROR(IF(ISNUMBER(MATCH(INDEX('VUE SECTORIELLE'!M$1:M$21,10),'DONNÉES BRUTES'!C$3:C$42,0)),IF(COUNTIFS('DONNÉES BRUTES'!C$3:C$42,INDEX('VUE SECTORIELLE'!M$1:M$21,10),'DONNÉES BRUTES'!AD$3:AD$42,"Surpondérer")&gt;0,"Surpondérer",IF(COUNTIFS('DONNÉES BRUTES'!C$3:C$42,INDEX('VUE SECTORIELLE'!M$1:M$21,10),'DONNÉES BRUTES'!AD$3:AD$42,"Neutre")&gt;=COUNTIFS('DONNÉES BRUTES'!C$3:C$42,INDEX('VUE SECTORIELLE'!M$1:M$21,10),'DONNÉES BRUTES'!AD$3:AD$42,"Sous-pondérer"),"Neutre","Sous-pondérer")),"—"),"—")</f>
        <v>Surpondérer</v>
      </c>
      <c r="K17" s="221" t="str">
        <f>IFERROR(IF(ISNUMBER(MATCH(INDEX('VUE SECTORIELLE'!M$1:M$21,10),'DONNÉES BRUTES'!C$3:C$42,0)),IF(AVERAGEIF('DONNÉES BRUTES'!C$3:C$42,INDEX('VUE SECTORIELLE'!M$1:M$21,10),'DONNÉES BRUTES'!AB$3:AB$42)&gt;=65,"↑ Positif",IF(AVERAGEIF('DONNÉES BRUTES'!C$3:C$42,INDEX('VUE SECTORIELLE'!M$1:M$21,10),'DONNÉES BRUTES'!AB$3:AB$42)&gt;=50,"→ Neutre","↓ Négatif")),"—"),"—")</f>
        <v>→ Neutre</v>
      </c>
      <c r="L17" s="150"/>
    </row>
    <row r="18" spans="1:18" ht="18" customHeight="1" x14ac:dyDescent="0.3">
      <c r="A18" s="190"/>
      <c r="B18" s="229" t="str">
        <f>IFERROR(INDEX('VUE SECTORIELLE'!M$1:M$20,10),"")</f>
        <v>Télécoms</v>
      </c>
      <c r="C18" s="230">
        <f>IFERROR(IF(ISNUMBER(MATCH(INDEX('VUE SECTORIELLE'!M$1:M$20,10),'DONNÉES BRUTES'!C$3:C$42,0)),COUNTIF('DONNÉES BRUTES'!C$3:C$42,INDEX('VUE SECTORIELLE'!M$1:M$20,10)),""),"")</f>
        <v>4</v>
      </c>
      <c r="D18" s="231">
        <f>IFERROR(IF(ISNUMBER(MATCH(INDEX('VUE SECTORIELLE'!M$1:M$20,10),'DONNÉES BRUTES'!C$3:C$42,0)),ROUND(AVERAGEIF('DONNÉES BRUTES'!C$3:C$42,INDEX('VUE SECTORIELLE'!M$1:M$20,10),'DONNÉES BRUTES'!AB$3:AB$42),0),""),"")</f>
        <v>53</v>
      </c>
      <c r="E18" s="232" t="s">
        <v>408</v>
      </c>
      <c r="F18" s="233" t="str">
        <f>IFERROR(_xlfn.XLOOKUP(_xlfn.MAXIFS('DONNÉES BRUTES'!AB$3:AB$42,'DONNÉES BRUTES'!C$3:C$42,INDEX('VUE SECTORIELLE'!M$1:M$20,10)),'DONNÉES BRUTES'!AB$3:AB$42,'DONNÉES BRUTES'!B$3:B$42),"—")</f>
        <v>GSK plc</v>
      </c>
      <c r="G18" s="232" t="s">
        <v>232</v>
      </c>
      <c r="H18" s="234" t="s">
        <v>409</v>
      </c>
      <c r="I18" s="232">
        <f t="array" ref="I18">IFERROR(ROUND(MEDIAN(IF('DONNÉES BRUTES'!C$3:C$42=INDEX('VUE SECTORIELLE'!M$1:M$20,10),IF(ISNUMBER('DONNÉES BRUTES'!U$3:U$42),'DONNÉES BRUTES'!U$3:U$42))),2),"—")</f>
        <v>10.67</v>
      </c>
      <c r="J18" s="232" t="str">
        <f>IFERROR(IF(ISNUMBER(MATCH(INDEX('VUE SECTORIELLE'!M$1:M$20,10),'DONNÉES BRUTES'!C$3:C$42,0)),IF(COUNTIFS('DONNÉES BRUTES'!C$3:C$42,INDEX('VUE SECTORIELLE'!M$1:M$20,10),'DONNÉES BRUTES'!AD$3:AD$42,"Surpondérer")&gt;0,"Surpondérer",IF(COUNTIFS('DONNÉES BRUTES'!C$3:C$42,INDEX('VUE SECTORIELLE'!M$1:M$20,10),'DONNÉES BRUTES'!AD$3:AD$42,"Neutre")&gt;=COUNTIFS('DONNÉES BRUTES'!C$3:C$42,INDEX('VUE SECTORIELLE'!M$1:M$20,10),'DONNÉES BRUTES'!AD$3:AD$42,"Sous-pondérer"),"Neutre","Sous-pondérer")),"—"),"—")</f>
        <v>Surpondérer</v>
      </c>
      <c r="K18" s="235" t="str">
        <f>IFERROR(IF(AVERAGEIF('DONNÉES BRUTES'!C$3:C$42,INDEX('VUE SECTORIELLE'!M$1:M$20,10),'DONNÉES BRUTES'!AB$3:AB$42)&gt;=65,"↑ Positif",IF(AVERAGEIF('DONNÉES BRUTES'!C$3:C$42,INDEX('VUE SECTORIELLE'!M$1:M$20,10),'DONNÉES BRUTES'!AB$3:AB$42)&gt;=50,"→ Neutre","↓ Négatif")),"—")</f>
        <v>→ Neutre</v>
      </c>
      <c r="L18" s="155"/>
    </row>
    <row r="19" spans="1:18" ht="18" customHeight="1" x14ac:dyDescent="0.3">
      <c r="A19" s="5"/>
      <c r="B19" s="151" t="str">
        <f>IFERROR(INDEX('VUE SECTORIELLE'!M$1:M$21,11),"")</f>
        <v>Énergie</v>
      </c>
      <c r="C19" s="150">
        <f>IFERROR(IF(ISNUMBER(MATCH(INDEX('VUE SECTORIELLE'!M$1:M$21,11),'DONNÉES BRUTES'!C$3:C$42,0)),COUNTIF('DONNÉES BRUTES'!C$3:C$42,INDEX('VUE SECTORIELLE'!M$1:M$21,11)),""),"")</f>
        <v>1</v>
      </c>
      <c r="D19" s="152">
        <f>IFERROR(IF(ISNUMBER(MATCH(INDEX('VUE SECTORIELLE'!M$1:M$21,11),'DONNÉES BRUTES'!C$3:C$42,0)),ROUND(AVERAGEIF('DONNÉES BRUTES'!C$3:C$42,INDEX('VUE SECTORIELLE'!M$1:M$21,11),'DONNÉES BRUTES'!AB$3:AB$42),0),""),"")</f>
        <v>54</v>
      </c>
      <c r="E19" s="153" t="str">
        <f>IFERROR(IF(ISNUMBER(MATCH(INDEX('VUE SECTORIELLE'!M$1:M$21,11),'DONNÉES BRUTES'!C$3:C$42,0)),REPT("█",ROUND(AVERAGEIF('DONNÉES BRUTES'!C$3:C$42,INDEX('VUE SECTORIELLE'!M$1:M$21,11),'DONNÉES BRUTES'!AB$3:AB$42)/10,0))&amp;REPT("░",10-ROUND(AVERAGEIF('DONNÉES BRUTES'!C$3:C$42,INDEX('VUE SECTORIELLE'!M$1:M$21,11),'DONNÉES BRUTES'!AB$3:AB$42)/10,0))&amp;"  "&amp;ROUND(AVERAGEIF('DONNÉES BRUTES'!C$3:C$42,INDEX('VUE SECTORIELLE'!M$1:M$21,11),'DONNÉES BRUTES'!AB$3:AB$42),0),""),"")</f>
        <v>█████░░░░░  54</v>
      </c>
      <c r="F19" s="156" t="str">
        <f>IFERROR(IF(ISNUMBER(MATCH(INDEX('VUE SECTORIELLE'!M$1:M$21,11),'DONNÉES BRUTES'!C$3:C$42,0)),_xlfn.XLOOKUP(_xlfn.MAXIFS('DONNÉES BRUTES'!AB$3:AB$42,'DONNÉES BRUTES'!C$3:C$42,INDEX('VUE SECTORIELLE'!M$1:M$21,11)),'DONNÉES BRUTES'!AB$3:AB$42,'DONNÉES BRUTES'!B$3:B$42),"—"),"—")</f>
        <v>Anglo American plc</v>
      </c>
      <c r="G19" s="153" t="s">
        <v>410</v>
      </c>
      <c r="H19" s="115" t="s">
        <v>411</v>
      </c>
      <c r="I19" s="153">
        <f t="array" ref="I19">IFERROR(IF(ISNUMBER(MATCH(INDEX('VUE SECTORIELLE'!M$1:M$21,11),'DONNÉES BRUTES'!C$3:C$42,0)),ROUND(MEDIAN(IF('DONNÉES BRUTES'!C$3:C$42=INDEX('VUE SECTORIELLE'!M$1:M$21,11),IF(ISNUMBER('DONNÉES BRUTES'!U$3:U$42),'DONNÉES BRUTES'!U$3:U$42))),2),"—"),"—")</f>
        <v>3.35</v>
      </c>
      <c r="J19" s="153" t="str">
        <f>IFERROR(IF(ISNUMBER(MATCH(INDEX('VUE SECTORIELLE'!M$1:M$21,11),'DONNÉES BRUTES'!C$3:C$42,0)),IF(COUNTIFS('DONNÉES BRUTES'!C$3:C$42,INDEX('VUE SECTORIELLE'!M$1:M$21,11),'DONNÉES BRUTES'!AD$3:AD$42,"Surpondérer")&gt;0,"Surpondérer",IF(COUNTIFS('DONNÉES BRUTES'!C$3:C$42,INDEX('VUE SECTORIELLE'!M$1:M$21,11),'DONNÉES BRUTES'!AD$3:AD$42,"Neutre")&gt;=COUNTIFS('DONNÉES BRUTES'!C$3:C$42,INDEX('VUE SECTORIELLE'!M$1:M$21,11),'DONNÉES BRUTES'!AD$3:AD$42,"Sous-pondérer"),"Neutre","Sous-pondérer")),"—"),"—")</f>
        <v>Neutre</v>
      </c>
      <c r="K19" s="150" t="str">
        <f>IFERROR(IF(ISNUMBER(MATCH(INDEX('VUE SECTORIELLE'!M$1:M$21,11),'DONNÉES BRUTES'!C$3:C$42,0)),IF(AVERAGEIF('DONNÉES BRUTES'!C$3:C$42,INDEX('VUE SECTORIELLE'!M$1:M$21,11),'DONNÉES BRUTES'!AB$3:AB$42)&gt;=65,"↑ Positif",IF(AVERAGEIF('DONNÉES BRUTES'!C$3:C$42,INDEX('VUE SECTORIELLE'!M$1:M$21,11),'DONNÉES BRUTES'!AB$3:AB$42)&gt;=50,"→ Neutre","↓ Négatif")),"—"),"—")</f>
        <v>→ Neutre</v>
      </c>
      <c r="L19" s="150"/>
    </row>
    <row r="20" spans="1:18" ht="20.100000000000001" customHeight="1" x14ac:dyDescent="0.3">
      <c r="A20" s="185"/>
    </row>
    <row r="21" spans="1:18" s="186" customFormat="1" ht="5.0999999999999996" customHeight="1" x14ac:dyDescent="0.3">
      <c r="D21" s="187"/>
      <c r="E21" s="188"/>
      <c r="G21" s="188"/>
      <c r="H21" s="188"/>
      <c r="O21" s="189"/>
      <c r="P21" s="189"/>
      <c r="Q21" s="189"/>
      <c r="R21" s="189"/>
    </row>
    <row r="22" spans="1:18" ht="18" customHeight="1" x14ac:dyDescent="0.3"/>
    <row r="23" spans="1:18" ht="15.9" customHeight="1" x14ac:dyDescent="0.3"/>
    <row r="24" spans="1:18" ht="15.9" customHeight="1" x14ac:dyDescent="0.3"/>
    <row r="25" spans="1:18" ht="15.9" customHeight="1" x14ac:dyDescent="0.3"/>
    <row r="26" spans="1:18" ht="15.9" customHeight="1" x14ac:dyDescent="0.3"/>
    <row r="27" spans="1:18" ht="15.9" customHeight="1" x14ac:dyDescent="0.3"/>
    <row r="28" spans="1:18" ht="15.9" customHeight="1" x14ac:dyDescent="0.3"/>
    <row r="29" spans="1:18" ht="15.9" customHeight="1" x14ac:dyDescent="0.3"/>
    <row r="30" spans="1:18" ht="15.9" customHeight="1" x14ac:dyDescent="0.3"/>
    <row r="31" spans="1:18" ht="9.9" customHeight="1" x14ac:dyDescent="0.3"/>
    <row r="32" spans="1:18" ht="14.1" customHeight="1" x14ac:dyDescent="0.3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B32"/>
  <sheetViews>
    <sheetView showGridLines="0" zoomScale="90" workbookViewId="0">
      <selection activeCell="P11" sqref="P11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10" width="8" customWidth="1"/>
    <col min="11" max="11" width="7.33203125" customWidth="1"/>
    <col min="12" max="12" width="8.88671875" bestFit="1" customWidth="1"/>
    <col min="13" max="13" width="8" customWidth="1"/>
    <col min="14" max="14" width="6.44140625" customWidth="1"/>
    <col min="15" max="15" width="7.33203125" customWidth="1"/>
    <col min="16" max="16" width="6.44140625" customWidth="1"/>
    <col min="17" max="17" width="14.109375" bestFit="1" customWidth="1"/>
  </cols>
  <sheetData>
    <row r="1" spans="2:18" ht="30" customHeight="1" x14ac:dyDescent="0.3">
      <c r="B1" s="383" t="str">
        <f>"FinSight IA  ·  Technologie  ·  "&amp;TRIM(MID('DONNÉES BRUTES'!A$1,FIND("·",'DONNÉES BRUTES'!A$1)+1,FIND("·",'DONNÉES BRUTES'!A$1,FIND("·",'DONNÉES BRUTES'!A$1)+1)-FIND("·",'DONNÉES BRUTES'!A$1)-1))&amp;"  ·  "&amp;COUNTIF('DONNÉES BRUTES'!C$3:C$42,"Technologie")&amp;" sociétés  ·  17/04/2026"</f>
        <v>FinSight IA  ·  Technologie  ·  FTSE 100  ·  0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2" spans="2:18" ht="18" customHeight="1" x14ac:dyDescent="0.3">
      <c r="B2" s="381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</row>
    <row r="3" spans="2:18" ht="8.1" customHeight="1" x14ac:dyDescent="0.3"/>
    <row r="4" spans="2:18" ht="8.1" customHeight="1" x14ac:dyDescent="0.3"/>
    <row r="5" spans="2:18" ht="39.9" customHeight="1" x14ac:dyDescent="0.3">
      <c r="B5" s="164"/>
      <c r="C5" s="157">
        <f>COUNTIF('DONNÉES BRUTES'!C$3:C$42,"Technologie")</f>
        <v>0</v>
      </c>
      <c r="D5" s="164"/>
      <c r="E5" s="164" t="str">
        <f>IFERROR(ROUND(AVERAGEIF('DONNÉES BRUTES'!C$3:C$42,"Technologie",'DONNÉES BRUTES'!AB$3:AB$42),0)&amp;"/100","—")</f>
        <v>—</v>
      </c>
      <c r="F5" s="164"/>
      <c r="G5" s="164"/>
      <c r="H5" s="164" t="str">
        <f t="array" ref="H5">IFERROR(INDEX('DONNÉES BRUTES'!B$3:B$42,MATCH(LARGE(IF('DONNÉES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BRUTES'!A$3))/1000,0),0)),"—")</f>
        <v>Endeavour Mining plc</v>
      </c>
      <c r="I5" s="164"/>
      <c r="J5" s="164"/>
      <c r="K5" s="164"/>
      <c r="L5" s="192">
        <f>IFERROR(VLOOKUP("Technologie",'PAR SECTEUR'!B$8:G$17,6,0),"—")</f>
        <v>0.25</v>
      </c>
      <c r="M5" s="164"/>
      <c r="N5" s="162" t="str" cm="1">
        <f t="array" ref="N5">IFERROR(ROUND(MEDIAN(IF('DONNÉES BRUTES'!C$3:C$42="Technologie",IF(ISNUMBER('DONNÉES BRUTES'!Y$3:Y$42),'DONNÉES BRUTES'!Y$3:Y$42))),0),"—")</f>
        <v>—</v>
      </c>
      <c r="O5" s="164"/>
      <c r="P5" s="174" t="str">
        <f>IFERROR(VLOOKUP("Technologie",'PAR SECTEUR'!B$8:J$17,9,0),"—")</f>
        <v>Négatif</v>
      </c>
      <c r="Q5" s="164"/>
    </row>
    <row r="6" spans="2:18" ht="15.9" customHeight="1" x14ac:dyDescent="0.3">
      <c r="B6" s="164"/>
      <c r="C6" s="158" t="s">
        <v>413</v>
      </c>
      <c r="D6" s="158"/>
      <c r="E6" s="158" t="s">
        <v>414</v>
      </c>
      <c r="F6" s="158"/>
      <c r="G6" s="158"/>
      <c r="H6" s="158" t="s">
        <v>415</v>
      </c>
      <c r="I6" s="158"/>
      <c r="J6" s="158"/>
      <c r="K6" s="164"/>
      <c r="L6" s="159" t="s">
        <v>388</v>
      </c>
      <c r="M6" s="164"/>
      <c r="N6" s="159" t="s">
        <v>416</v>
      </c>
      <c r="O6" s="164"/>
      <c r="P6" s="159" t="s">
        <v>21</v>
      </c>
      <c r="Q6" s="158"/>
    </row>
    <row r="7" spans="2:18" ht="8.1" customHeight="1" x14ac:dyDescent="0.3"/>
    <row r="8" spans="2:18" ht="21.9" customHeight="1" x14ac:dyDescent="0.3">
      <c r="B8" s="384" t="str">
        <f>"ANALYSE DÉTAILLÉE  ·  "&amp;UPPER("Technologie")&amp;"  ·  "&amp;COUNTIF('DONNÉES BRUTES'!C$3:C$42,"Technologie")&amp;" sociétés  ·  Triée par Score Global"</f>
        <v>ANALYSE DÉTAILLÉE  ·  TECHNOLOGIE  ·  0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</row>
    <row r="9" spans="2:18" ht="6" customHeight="1" x14ac:dyDescent="0.3"/>
    <row r="10" spans="2:18" ht="20.100000000000001" customHeight="1" x14ac:dyDescent="0.3">
      <c r="B10" s="236" t="s">
        <v>8</v>
      </c>
      <c r="C10" s="237" t="s">
        <v>9</v>
      </c>
      <c r="D10" s="237" t="s">
        <v>10</v>
      </c>
      <c r="E10" s="237" t="s">
        <v>11</v>
      </c>
      <c r="F10" s="237" t="s">
        <v>417</v>
      </c>
      <c r="G10" s="237" t="s">
        <v>418</v>
      </c>
      <c r="H10" s="237" t="s">
        <v>419</v>
      </c>
      <c r="I10" s="237" t="s">
        <v>420</v>
      </c>
      <c r="J10" s="237" t="s">
        <v>345</v>
      </c>
      <c r="K10" s="237" t="s">
        <v>421</v>
      </c>
      <c r="L10" s="237" t="s">
        <v>346</v>
      </c>
      <c r="M10" s="237" t="s">
        <v>124</v>
      </c>
      <c r="N10" s="237" t="s">
        <v>422</v>
      </c>
      <c r="O10" s="237" t="s">
        <v>423</v>
      </c>
      <c r="P10" s="237" t="s">
        <v>32</v>
      </c>
      <c r="Q10" s="238" t="s">
        <v>21</v>
      </c>
    </row>
    <row r="11" spans="2:18" ht="18" customHeight="1" x14ac:dyDescent="0.3">
      <c r="B11" s="396">
        <v>1</v>
      </c>
      <c r="C11" s="396" t="str">
        <f t="array" ref="C11">IFERROR(IF(1&gt;COUNTIF('DONNÉES BRUTES'!C$3:C$42,"Technologie"),"",INDEX('DONNÉES BRUTES'!A$3:A$42,MATCH(LARGE(IF('DONNÉES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D11" s="396" t="str">
        <f t="array" ref="D11">IFERROR(IF(1&gt;COUNTIF('DONNÉES BRUTES'!C$3:C$42,"Technologie"),"",INDEX('DONNÉES BRUTES'!B$3:B$42,MATCH(LARGE(IF('DONNÉES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E11" s="396" t="str">
        <f t="array" ref="E11">IFERROR(IF(1&gt;COUNTIF('DONNÉES BRUTES'!C$3:C$42,"Technologie"),"",INT(LARGE(IF('DONNÉES BRUTES'!C$3:C$42="Technologie",'DONNÉES BRUTES'!AB$3:AB$42+(ROW('DONNÉES BRUTES'!A$3:A$42)-ROW('DONNÉES BRUTES'!A$3))/1000,0),1))&amp;"/100"),"—")</f>
        <v/>
      </c>
      <c r="F11" s="396" t="str">
        <f t="array" ref="F11">IFERROR(IF(1&gt;COUNTIF('DONNÉES BRUTES'!C$3:C$42,"Technologie"),"",INDEX('DONNÉES BRUTES'!Y$3:Y$42,MATCH(LARGE(IF('DONNÉES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G11" s="396" t="str">
        <f t="array" ref="G11">IFERROR(IF(1&gt;COUNTIF('DONNÉES BRUTES'!C$3:C$42,"Technologie"),"",INDEX('DONNÉES BRUTES'!Z$3:Z$42,MATCH(LARGE(IF('DONNÉES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H11" s="396" t="str">
        <f t="array" ref="H11">IFERROR(IF(1&gt;COUNTIF('DONNÉES BRUTES'!C$3:C$42,"Technologie"),"",INDEX('DONNÉES BRUTES'!AA$3:AA$42,MATCH(LARGE(IF('DONNÉES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I11" s="396" t="str">
        <f t="array" ref="I11">IFERROR(IF(1&gt;COUNTIF('DONNÉES BRUTES'!C$3:C$42,"Technologie"),"",INDEX('DONNÉES BRUTES'!M$3:M$42,MATCH(LARGE(IF('DONNÉES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J11" s="396" t="str">
        <f t="array" ref="J11">IFERROR(IF(1&gt;COUNTIF('DONNÉES BRUTES'!C$3:C$42,"Technologie"),"",INDEX('DONNÉES BRUTES'!N$3:N$42,MATCH(LARGE(IF('DONNÉES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K11" s="396" t="str">
        <f t="array" ref="K11">IFERROR(IF(1&gt;COUNTIF('DONNÉES BRUTES'!C$3:C$42,"Technologie"),"",INDEX('DONNÉES BRUTES'!O$3:O$42,MATCH(LARGE(IF('DONNÉES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L11" s="396" t="str">
        <f t="array" ref="L11">IFERROR(IF(1&gt;COUNTIF('DONNÉES BRUTES'!C$3:C$42,"Technologie"),"",INDEX('DONNÉES BRUTES'!P$3:P$42,MATCH(LARGE(IF('DONNÉES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M11" s="396" t="str">
        <f t="array" ref="M11">IFERROR(IF(1&gt;COUNTIF('DONNÉES BRUTES'!C$3:C$42,"Technologie"),"",INDEX('DONNÉES BRUTES'!Q$3:Q$42,MATCH(LARGE(IF('DONNÉES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N11" s="396" t="str">
        <f t="array" ref="N11">IFERROR(IF(1&gt;COUNTIF('DONNÉES BRUTES'!C$3:C$42,"Technologie"),"",INDEX('DONNÉES BRUTES'!S$3:S$42,MATCH(LARGE(IF('DONNÉES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O11" s="396" t="str">
        <f t="array" ref="O11">IFERROR(IF(1&gt;COUNTIF('DONNÉES BRUTES'!C$3:C$42,"Technologie"),"",INDEX('DONNÉES BRUTES'!T$3:T$42,MATCH(LARGE(IF('DONNÉES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P11" s="396" t="str">
        <f t="array" ref="P11">IFERROR(IF(1&gt;COUNTIF('DONNÉES BRUTES'!C$3:C$42,"Technologie"),"",INDEX('DONNÉES BRUTES'!U$3:U$42,MATCH(LARGE(IF('DONNÉES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Q11" s="396" t="str">
        <f t="array" ref="Q11">IFERROR(IF(1&gt;COUNTIF('DONNÉES BRUTES'!C$3:C$42,"Technologie"),"",INDEX('DONNÉES BRUTES'!AD$3:AD$42,MATCH(LARGE(IF('DONNÉES BRUTES'!C$3:C$42="Technologie",'DONNÉES BRUTES'!AB$3:AB$42+(ROW('DONNÉES BRUTES'!A$3:A$42)-ROW('DONNÉES BRUTES'!A$3))/1000,0),1),IF('DONNÉES BRUTES'!C$3:C$42="Technologie",'DONNÉES BRUTES'!AB$3:AB$42+(ROW('DONNÉES BRUTES'!A$3:A$42)-ROW('DONNÉES BRUTES'!A$3))/1000,0),0))),"—")</f>
        <v/>
      </c>
      <c r="R11" s="397"/>
    </row>
    <row r="12" spans="2:18" ht="15.9" customHeight="1" x14ac:dyDescent="0.3">
      <c r="B12" s="398">
        <v>2</v>
      </c>
      <c r="C12" s="398" t="str">
        <f t="array" ref="C12">IFERROR(IF(2&gt;COUNTIF('DONNÉES BRUTES'!C$3:C$42,"Technologie"),"",INDEX('DONNÉES BRUTES'!A$3:A$42,MATCH(LARGE(IF('DONNÉES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D12" s="398" t="str">
        <f t="array" ref="D12">IFERROR(IF(2&gt;COUNTIF('DONNÉES BRUTES'!C$3:C$42,"Technologie"),"",INDEX('DONNÉES BRUTES'!B$3:B$42,MATCH(LARGE(IF('DONNÉES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E12" s="398" t="str">
        <f t="array" ref="E12">IFERROR(IF(2&gt;COUNTIF('DONNÉES BRUTES'!C$3:C$42,"Technologie"),"",INT(LARGE(IF('DONNÉES BRUTES'!C$3:C$42="Technologie",'DONNÉES BRUTES'!AB$3:AB$42+(ROW('DONNÉES BRUTES'!A$3:A$42)-ROW('DONNÉES BRUTES'!A$3))/1000,0),2))&amp;"/100"),"—")</f>
        <v/>
      </c>
      <c r="F12" s="398" t="str">
        <f t="array" ref="F12">IFERROR(IF(2&gt;COUNTIF('DONNÉES BRUTES'!C$3:C$42,"Technologie"),"",INDEX('DONNÉES BRUTES'!Y$3:Y$42,MATCH(LARGE(IF('DONNÉES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G12" s="398" t="str">
        <f t="array" ref="G12">IFERROR(IF(2&gt;COUNTIF('DONNÉES BRUTES'!C$3:C$42,"Technologie"),"",INDEX('DONNÉES BRUTES'!Z$3:Z$42,MATCH(LARGE(IF('DONNÉES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H12" s="398" t="str">
        <f t="array" ref="H12">IFERROR(IF(2&gt;COUNTIF('DONNÉES BRUTES'!C$3:C$42,"Technologie"),"",INDEX('DONNÉES BRUTES'!AA$3:AA$42,MATCH(LARGE(IF('DONNÉES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I12" s="398" t="str">
        <f t="array" ref="I12">IFERROR(IF(2&gt;COUNTIF('DONNÉES BRUTES'!C$3:C$42,"Technologie"),"",INDEX('DONNÉES BRUTES'!M$3:M$42,MATCH(LARGE(IF('DONNÉES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J12" s="398" t="str">
        <f t="array" ref="J12">IFERROR(IF(2&gt;COUNTIF('DONNÉES BRUTES'!C$3:C$42,"Technologie"),"",INDEX('DONNÉES BRUTES'!N$3:N$42,MATCH(LARGE(IF('DONNÉES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K12" s="398" t="str">
        <f t="array" ref="K12">IFERROR(IF(2&gt;COUNTIF('DONNÉES BRUTES'!C$3:C$42,"Technologie"),"",INDEX('DONNÉES BRUTES'!O$3:O$42,MATCH(LARGE(IF('DONNÉES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L12" s="398" t="str">
        <f t="array" ref="L12">IFERROR(IF(2&gt;COUNTIF('DONNÉES BRUTES'!C$3:C$42,"Technologie"),"",INDEX('DONNÉES BRUTES'!P$3:P$42,MATCH(LARGE(IF('DONNÉES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M12" s="398" t="str">
        <f t="array" ref="M12">IFERROR(IF(2&gt;COUNTIF('DONNÉES BRUTES'!C$3:C$42,"Technologie"),"",INDEX('DONNÉES BRUTES'!Q$3:Q$42,MATCH(LARGE(IF('DONNÉES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N12" s="398" t="str">
        <f t="array" ref="N12">IFERROR(IF(2&gt;COUNTIF('DONNÉES BRUTES'!C$3:C$42,"Technologie"),"",INDEX('DONNÉES BRUTES'!S$3:S$42,MATCH(LARGE(IF('DONNÉES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O12" s="398" t="str">
        <f t="array" ref="O12">IFERROR(IF(2&gt;COUNTIF('DONNÉES BRUTES'!C$3:C$42,"Technologie"),"",INDEX('DONNÉES BRUTES'!T$3:T$42,MATCH(LARGE(IF('DONNÉES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P12" s="398" t="str">
        <f t="array" ref="P12">IFERROR(IF(2&gt;COUNTIF('DONNÉES BRUTES'!C$3:C$42,"Technologie"),"",INDEX('DONNÉES BRUTES'!U$3:U$42,MATCH(LARGE(IF('DONNÉES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Q12" s="398" t="str">
        <f t="array" ref="Q12">IFERROR(IF(2&gt;COUNTIF('DONNÉES BRUTES'!C$3:C$42,"Technologie"),"",INDEX('DONNÉES BRUTES'!AD$3:AD$42,MATCH(LARGE(IF('DONNÉES BRUTES'!C$3:C$42="Technologie",'DONNÉES BRUTES'!AB$3:AB$42+(ROW('DONNÉES BRUTES'!A$3:A$42)-ROW('DONNÉES BRUTES'!A$3))/1000,0),2),IF('DONNÉES BRUTES'!C$3:C$42="Technologie",'DONNÉES BRUTES'!AB$3:AB$42+(ROW('DONNÉES BRUTES'!A$3:A$42)-ROW('DONNÉES BRUTES'!A$3))/1000,0),0))),"—")</f>
        <v/>
      </c>
      <c r="R12" s="397"/>
    </row>
    <row r="13" spans="2:18" ht="15.9" customHeight="1" x14ac:dyDescent="0.3">
      <c r="B13" s="396">
        <v>3</v>
      </c>
      <c r="C13" s="396" t="str">
        <f t="array" ref="C13">IFERROR(IF(3&gt;COUNTIF('DONNÉES BRUTES'!C$3:C$42,"Technologie"),"",INDEX('DONNÉES BRUTES'!A$3:A$42,MATCH(LARGE(IF('DONNÉES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D13" s="396" t="str">
        <f t="array" ref="D13">IFERROR(IF(3&gt;COUNTIF('DONNÉES BRUTES'!C$3:C$42,"Technologie"),"",INDEX('DONNÉES BRUTES'!B$3:B$42,MATCH(LARGE(IF('DONNÉES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E13" s="396" t="str">
        <f t="array" ref="E13">IFERROR(IF(3&gt;COUNTIF('DONNÉES BRUTES'!C$3:C$42,"Technologie"),"",INT(LARGE(IF('DONNÉES BRUTES'!C$3:C$42="Technologie",'DONNÉES BRUTES'!AB$3:AB$42+(ROW('DONNÉES BRUTES'!A$3:A$42)-ROW('DONNÉES BRUTES'!A$3))/1000,0),3))&amp;"/100"),"—")</f>
        <v/>
      </c>
      <c r="F13" s="396" t="str">
        <f t="array" ref="F13">IFERROR(IF(3&gt;COUNTIF('DONNÉES BRUTES'!C$3:C$42,"Technologie"),"",INDEX('DONNÉES BRUTES'!Y$3:Y$42,MATCH(LARGE(IF('DONNÉES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G13" s="396" t="str">
        <f t="array" ref="G13">IFERROR(IF(3&gt;COUNTIF('DONNÉES BRUTES'!C$3:C$42,"Technologie"),"",INDEX('DONNÉES BRUTES'!Z$3:Z$42,MATCH(LARGE(IF('DONNÉES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H13" s="396" t="str">
        <f t="array" ref="H13">IFERROR(IF(3&gt;COUNTIF('DONNÉES BRUTES'!C$3:C$42,"Technologie"),"",INDEX('DONNÉES BRUTES'!AA$3:AA$42,MATCH(LARGE(IF('DONNÉES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I13" s="396" t="str">
        <f t="array" ref="I13">IFERROR(IF(3&gt;COUNTIF('DONNÉES BRUTES'!C$3:C$42,"Technologie"),"",INDEX('DONNÉES BRUTES'!M$3:M$42,MATCH(LARGE(IF('DONNÉES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J13" s="396" t="str">
        <f t="array" ref="J13">IFERROR(IF(3&gt;COUNTIF('DONNÉES BRUTES'!C$3:C$42,"Technologie"),"",INDEX('DONNÉES BRUTES'!N$3:N$42,MATCH(LARGE(IF('DONNÉES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K13" s="396" t="str">
        <f t="array" ref="K13">IFERROR(IF(3&gt;COUNTIF('DONNÉES BRUTES'!C$3:C$42,"Technologie"),"",INDEX('DONNÉES BRUTES'!O$3:O$42,MATCH(LARGE(IF('DONNÉES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L13" s="396" t="str">
        <f t="array" ref="L13">IFERROR(IF(3&gt;COUNTIF('DONNÉES BRUTES'!C$3:C$42,"Technologie"),"",INDEX('DONNÉES BRUTES'!P$3:P$42,MATCH(LARGE(IF('DONNÉES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M13" s="396" t="str">
        <f t="array" ref="M13">IFERROR(IF(3&gt;COUNTIF('DONNÉES BRUTES'!C$3:C$42,"Technologie"),"",INDEX('DONNÉES BRUTES'!Q$3:Q$42,MATCH(LARGE(IF('DONNÉES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N13" s="396" t="str">
        <f t="array" ref="N13">IFERROR(IF(3&gt;COUNTIF('DONNÉES BRUTES'!C$3:C$42,"Technologie"),"",INDEX('DONNÉES BRUTES'!S$3:S$42,MATCH(LARGE(IF('DONNÉES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O13" s="396" t="str">
        <f t="array" ref="O13">IFERROR(IF(3&gt;COUNTIF('DONNÉES BRUTES'!C$3:C$42,"Technologie"),"",INDEX('DONNÉES BRUTES'!T$3:T$42,MATCH(LARGE(IF('DONNÉES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P13" s="396" t="str">
        <f t="array" ref="P13">IFERROR(IF(3&gt;COUNTIF('DONNÉES BRUTES'!C$3:C$42,"Technologie"),"",INDEX('DONNÉES BRUTES'!U$3:U$42,MATCH(LARGE(IF('DONNÉES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Q13" s="396" t="str">
        <f t="array" ref="Q13">IFERROR(IF(3&gt;COUNTIF('DONNÉES BRUTES'!C$3:C$42,"Technologie"),"",INDEX('DONNÉES BRUTES'!AD$3:AD$42,MATCH(LARGE(IF('DONNÉES BRUTES'!C$3:C$42="Technologie",'DONNÉES BRUTES'!AB$3:AB$42+(ROW('DONNÉES BRUTES'!A$3:A$42)-ROW('DONNÉES BRUTES'!A$3))/1000,0),3),IF('DONNÉES BRUTES'!C$3:C$42="Technologie",'DONNÉES BRUTES'!AB$3:AB$42+(ROW('DONNÉES BRUTES'!A$3:A$42)-ROW('DONNÉES BRUTES'!A$3))/1000,0),0))),"—")</f>
        <v/>
      </c>
      <c r="R13" s="397"/>
    </row>
    <row r="14" spans="2:18" ht="15.9" customHeight="1" x14ac:dyDescent="0.3">
      <c r="B14" s="398">
        <v>4</v>
      </c>
      <c r="C14" s="398" t="str">
        <f t="array" ref="C14">IFERROR(IF(4&gt;COUNTIF('DONNÉES BRUTES'!C$3:C$42,"Technologie"),"",INDEX('DONNÉES BRUTES'!A$3:A$42,MATCH(LARGE(IF('DONNÉES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D14" s="398" t="str">
        <f t="array" ref="D14">IFERROR(IF(4&gt;COUNTIF('DONNÉES BRUTES'!C$3:C$42,"Technologie"),"",INDEX('DONNÉES BRUTES'!B$3:B$42,MATCH(LARGE(IF('DONNÉES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E14" s="398" t="str">
        <f t="array" ref="E14">IFERROR(IF(4&gt;COUNTIF('DONNÉES BRUTES'!C$3:C$42,"Technologie"),"",INT(LARGE(IF('DONNÉES BRUTES'!C$3:C$42="Technologie",'DONNÉES BRUTES'!AB$3:AB$42+(ROW('DONNÉES BRUTES'!A$3:A$42)-ROW('DONNÉES BRUTES'!A$3))/1000,0),4))&amp;"/100"),"—")</f>
        <v/>
      </c>
      <c r="F14" s="398" t="str">
        <f t="array" ref="F14">IFERROR(IF(4&gt;COUNTIF('DONNÉES BRUTES'!C$3:C$42,"Technologie"),"",INDEX('DONNÉES BRUTES'!Y$3:Y$42,MATCH(LARGE(IF('DONNÉES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G14" s="398" t="str">
        <f t="array" ref="G14">IFERROR(IF(4&gt;COUNTIF('DONNÉES BRUTES'!C$3:C$42,"Technologie"),"",INDEX('DONNÉES BRUTES'!Z$3:Z$42,MATCH(LARGE(IF('DONNÉES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H14" s="398" t="str">
        <f t="array" ref="H14">IFERROR(IF(4&gt;COUNTIF('DONNÉES BRUTES'!C$3:C$42,"Technologie"),"",INDEX('DONNÉES BRUTES'!AA$3:AA$42,MATCH(LARGE(IF('DONNÉES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I14" s="398" t="str">
        <f t="array" ref="I14">IFERROR(IF(4&gt;COUNTIF('DONNÉES BRUTES'!C$3:C$42,"Technologie"),"",INDEX('DONNÉES BRUTES'!M$3:M$42,MATCH(LARGE(IF('DONNÉES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J14" s="398" t="str">
        <f t="array" ref="J14">IFERROR(IF(4&gt;COUNTIF('DONNÉES BRUTES'!C$3:C$42,"Technologie"),"",INDEX('DONNÉES BRUTES'!N$3:N$42,MATCH(LARGE(IF('DONNÉES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K14" s="398" t="str">
        <f t="array" ref="K14">IFERROR(IF(4&gt;COUNTIF('DONNÉES BRUTES'!C$3:C$42,"Technologie"),"",INDEX('DONNÉES BRUTES'!O$3:O$42,MATCH(LARGE(IF('DONNÉES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L14" s="398" t="str">
        <f t="array" ref="L14">IFERROR(IF(4&gt;COUNTIF('DONNÉES BRUTES'!C$3:C$42,"Technologie"),"",INDEX('DONNÉES BRUTES'!P$3:P$42,MATCH(LARGE(IF('DONNÉES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M14" s="398" t="str">
        <f t="array" ref="M14">IFERROR(IF(4&gt;COUNTIF('DONNÉES BRUTES'!C$3:C$42,"Technologie"),"",INDEX('DONNÉES BRUTES'!Q$3:Q$42,MATCH(LARGE(IF('DONNÉES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N14" s="398" t="str">
        <f t="array" ref="N14">IFERROR(IF(4&gt;COUNTIF('DONNÉES BRUTES'!C$3:C$42,"Technologie"),"",INDEX('DONNÉES BRUTES'!S$3:S$42,MATCH(LARGE(IF('DONNÉES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O14" s="398" t="str">
        <f t="array" ref="O14">IFERROR(IF(4&gt;COUNTIF('DONNÉES BRUTES'!C$3:C$42,"Technologie"),"",INDEX('DONNÉES BRUTES'!T$3:T$42,MATCH(LARGE(IF('DONNÉES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P14" s="398" t="str">
        <f t="array" ref="P14">IFERROR(IF(4&gt;COUNTIF('DONNÉES BRUTES'!C$3:C$42,"Technologie"),"",INDEX('DONNÉES BRUTES'!U$3:U$42,MATCH(LARGE(IF('DONNÉES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Q14" s="398" t="str">
        <f t="array" ref="Q14">IFERROR(IF(4&gt;COUNTIF('DONNÉES BRUTES'!C$3:C$42,"Technologie"),"",INDEX('DONNÉES BRUTES'!AD$3:AD$42,MATCH(LARGE(IF('DONNÉES BRUTES'!C$3:C$42="Technologie",'DONNÉES BRUTES'!AB$3:AB$42+(ROW('DONNÉES BRUTES'!A$3:A$42)-ROW('DONNÉES BRUTES'!A$3))/1000,0),4),IF('DONNÉES BRUTES'!C$3:C$42="Technologie",'DONNÉES BRUTES'!AB$3:AB$42+(ROW('DONNÉES BRUTES'!A$3:A$42)-ROW('DONNÉES BRUTES'!A$3))/1000,0),0))),"—")</f>
        <v/>
      </c>
      <c r="R14" s="397"/>
    </row>
    <row r="15" spans="2:18" ht="15.9" customHeight="1" x14ac:dyDescent="0.3">
      <c r="B15" s="397">
        <v>5</v>
      </c>
      <c r="C15" s="397" t="str">
        <f t="array" ref="C15">IFERROR(IF(5&gt;COUNTIF('DONNÉES BRUTES'!C$3:C$42,"Technologie"),"",INDEX('DONNÉES BRUTES'!A$3:A$42,MATCH(LARGE(IF('DONNÉES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D15" s="397" t="str">
        <f t="array" ref="D15">IFERROR(IF(5&gt;COUNTIF('DONNÉES BRUTES'!C$3:C$42,"Technologie"),"",INDEX('DONNÉES BRUTES'!B$3:B$42,MATCH(LARGE(IF('DONNÉES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E15" s="397" t="str">
        <f t="array" ref="E15">IFERROR(IF(5&gt;COUNTIF('DONNÉES BRUTES'!C$3:C$42,"Technologie"),"",INT(LARGE(IF('DONNÉES BRUTES'!C$3:C$42="Technologie",'DONNÉES BRUTES'!AB$3:AB$42+(ROW('DONNÉES BRUTES'!A$3:A$42)-ROW('DONNÉES BRUTES'!A$3))/1000,0),5))&amp;"/100"),"—")</f>
        <v/>
      </c>
      <c r="F15" s="397" t="str">
        <f t="array" ref="F15">IFERROR(IF(5&gt;COUNTIF('DONNÉES BRUTES'!C$3:C$42,"Technologie"),"",INDEX('DONNÉES BRUTES'!Y$3:Y$42,MATCH(LARGE(IF('DONNÉES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G15" s="397" t="str">
        <f t="array" ref="G15">IFERROR(IF(5&gt;COUNTIF('DONNÉES BRUTES'!C$3:C$42,"Technologie"),"",INDEX('DONNÉES BRUTES'!Z$3:Z$42,MATCH(LARGE(IF('DONNÉES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H15" s="397" t="str">
        <f t="array" ref="H15">IFERROR(IF(5&gt;COUNTIF('DONNÉES BRUTES'!C$3:C$42,"Technologie"),"",INDEX('DONNÉES BRUTES'!AA$3:AA$42,MATCH(LARGE(IF('DONNÉES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I15" s="397" t="str">
        <f t="array" ref="I15">IFERROR(IF(5&gt;COUNTIF('DONNÉES BRUTES'!C$3:C$42,"Technologie"),"",INDEX('DONNÉES BRUTES'!M$3:M$42,MATCH(LARGE(IF('DONNÉES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J15" s="397" t="str">
        <f t="array" ref="J15">IFERROR(IF(5&gt;COUNTIF('DONNÉES BRUTES'!C$3:C$42,"Technologie"),"",INDEX('DONNÉES BRUTES'!N$3:N$42,MATCH(LARGE(IF('DONNÉES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K15" s="397" t="str">
        <f t="array" ref="K15">IFERROR(IF(5&gt;COUNTIF('DONNÉES BRUTES'!C$3:C$42,"Technologie"),"",INDEX('DONNÉES BRUTES'!O$3:O$42,MATCH(LARGE(IF('DONNÉES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L15" s="397" t="str">
        <f t="array" ref="L15">IFERROR(IF(5&gt;COUNTIF('DONNÉES BRUTES'!C$3:C$42,"Technologie"),"",INDEX('DONNÉES BRUTES'!P$3:P$42,MATCH(LARGE(IF('DONNÉES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M15" s="397" t="str">
        <f t="array" ref="M15">IFERROR(IF(5&gt;COUNTIF('DONNÉES BRUTES'!C$3:C$42,"Technologie"),"",INDEX('DONNÉES BRUTES'!Q$3:Q$42,MATCH(LARGE(IF('DONNÉES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N15" s="397" t="str">
        <f t="array" ref="N15">IFERROR(IF(5&gt;COUNTIF('DONNÉES BRUTES'!C$3:C$42,"Technologie"),"",INDEX('DONNÉES BRUTES'!S$3:S$42,MATCH(LARGE(IF('DONNÉES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O15" s="397" t="str">
        <f t="array" ref="O15">IFERROR(IF(5&gt;COUNTIF('DONNÉES BRUTES'!C$3:C$42,"Technologie"),"",INDEX('DONNÉES BRUTES'!T$3:T$42,MATCH(LARGE(IF('DONNÉES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P15" s="397" t="str">
        <f t="array" ref="P15">IFERROR(IF(5&gt;COUNTIF('DONNÉES BRUTES'!C$3:C$42,"Technologie"),"",INDEX('DONNÉES BRUTES'!U$3:U$42,MATCH(LARGE(IF('DONNÉES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Q15" s="397" t="str">
        <f t="array" ref="Q15">IFERROR(IF(5&gt;COUNTIF('DONNÉES BRUTES'!C$3:C$42,"Technologie"),"",INDEX('DONNÉES BRUTES'!AD$3:AD$42,MATCH(LARGE(IF('DONNÉES BRUTES'!C$3:C$42="Technologie",'DONNÉES BRUTES'!AB$3:AB$42+(ROW('DONNÉES BRUTES'!A$3:A$42)-ROW('DONNÉES BRUTES'!A$3))/1000,0),5),IF('DONNÉES BRUTES'!C$3:C$42="Technologie",'DONNÉES BRUTES'!AB$3:AB$42+(ROW('DONNÉES BRUTES'!A$3:A$42)-ROW('DONNÉES BRUTES'!A$3))/1000,0),0))),"—")</f>
        <v/>
      </c>
      <c r="R15" s="397"/>
    </row>
    <row r="16" spans="2:18" ht="15.9" customHeight="1" x14ac:dyDescent="0.3">
      <c r="B16" s="397">
        <v>6</v>
      </c>
      <c r="C16" s="397" t="str">
        <f t="array" ref="C16">IFERROR(IF(6&gt;COUNTIF('DONNÉES BRUTES'!C$3:C$42,"Technologie"),"",INDEX('DONNÉES BRUTES'!A$3:A$42,MATCH(LARGE(IF('DONNÉES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D16" s="397" t="str">
        <f t="array" ref="D16">IFERROR(IF(6&gt;COUNTIF('DONNÉES BRUTES'!C$3:C$42,"Technologie"),"",INDEX('DONNÉES BRUTES'!B$3:B$42,MATCH(LARGE(IF('DONNÉES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E16" s="397" t="str">
        <f t="array" ref="E16">IFERROR(IF(6&gt;COUNTIF('DONNÉES BRUTES'!C$3:C$42,"Technologie"),"",INT(LARGE(IF('DONNÉES BRUTES'!C$3:C$42="Technologie",'DONNÉES BRUTES'!AB$3:AB$42+(ROW('DONNÉES BRUTES'!A$3:A$42)-ROW('DONNÉES BRUTES'!A$3))/1000,0),6))&amp;"/100"),"—")</f>
        <v/>
      </c>
      <c r="F16" s="397" t="str">
        <f t="array" ref="F16">IFERROR(IF(6&gt;COUNTIF('DONNÉES BRUTES'!C$3:C$42,"Technologie"),"",INDEX('DONNÉES BRUTES'!Y$3:Y$42,MATCH(LARGE(IF('DONNÉES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G16" s="397" t="str">
        <f t="array" ref="G16">IFERROR(IF(6&gt;COUNTIF('DONNÉES BRUTES'!C$3:C$42,"Technologie"),"",INDEX('DONNÉES BRUTES'!Z$3:Z$42,MATCH(LARGE(IF('DONNÉES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H16" s="397" t="str">
        <f t="array" ref="H16">IFERROR(IF(6&gt;COUNTIF('DONNÉES BRUTES'!C$3:C$42,"Technologie"),"",INDEX('DONNÉES BRUTES'!AA$3:AA$42,MATCH(LARGE(IF('DONNÉES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I16" s="397" t="str">
        <f t="array" ref="I16">IFERROR(IF(6&gt;COUNTIF('DONNÉES BRUTES'!C$3:C$42,"Technologie"),"",INDEX('DONNÉES BRUTES'!M$3:M$42,MATCH(LARGE(IF('DONNÉES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J16" s="397" t="str">
        <f t="array" ref="J16">IFERROR(IF(6&gt;COUNTIF('DONNÉES BRUTES'!C$3:C$42,"Technologie"),"",INDEX('DONNÉES BRUTES'!N$3:N$42,MATCH(LARGE(IF('DONNÉES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K16" s="397" t="str">
        <f t="array" ref="K16">IFERROR(IF(6&gt;COUNTIF('DONNÉES BRUTES'!C$3:C$42,"Technologie"),"",INDEX('DONNÉES BRUTES'!O$3:O$42,MATCH(LARGE(IF('DONNÉES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L16" s="397" t="str">
        <f t="array" ref="L16">IFERROR(IF(6&gt;COUNTIF('DONNÉES BRUTES'!C$3:C$42,"Technologie"),"",INDEX('DONNÉES BRUTES'!P$3:P$42,MATCH(LARGE(IF('DONNÉES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M16" s="397" t="str">
        <f t="array" ref="M16">IFERROR(IF(6&gt;COUNTIF('DONNÉES BRUTES'!C$3:C$42,"Technologie"),"",INDEX('DONNÉES BRUTES'!Q$3:Q$42,MATCH(LARGE(IF('DONNÉES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N16" s="397" t="str">
        <f t="array" ref="N16">IFERROR(IF(6&gt;COUNTIF('DONNÉES BRUTES'!C$3:C$42,"Technologie"),"",INDEX('DONNÉES BRUTES'!S$3:S$42,MATCH(LARGE(IF('DONNÉES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O16" s="397" t="str">
        <f t="array" ref="O16">IFERROR(IF(6&gt;COUNTIF('DONNÉES BRUTES'!C$3:C$42,"Technologie"),"",INDEX('DONNÉES BRUTES'!T$3:T$42,MATCH(LARGE(IF('DONNÉES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P16" s="397" t="str">
        <f t="array" ref="P16">IFERROR(IF(6&gt;COUNTIF('DONNÉES BRUTES'!C$3:C$42,"Technologie"),"",INDEX('DONNÉES BRUTES'!U$3:U$42,MATCH(LARGE(IF('DONNÉES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Q16" s="397" t="str">
        <f t="array" ref="Q16">IFERROR(IF(6&gt;COUNTIF('DONNÉES BRUTES'!C$3:C$42,"Technologie"),"",INDEX('DONNÉES BRUTES'!AD$3:AD$42,MATCH(LARGE(IF('DONNÉES BRUTES'!C$3:C$42="Technologie",'DONNÉES BRUTES'!AB$3:AB$42+(ROW('DONNÉES BRUTES'!A$3:A$42)-ROW('DONNÉES BRUTES'!A$3))/1000,0),6),IF('DONNÉES BRUTES'!C$3:C$42="Technologie",'DONNÉES BRUTES'!AB$3:AB$42+(ROW('DONNÉES BRUTES'!A$3:A$42)-ROW('DONNÉES BRUTES'!A$3))/1000,0),0))),"—")</f>
        <v/>
      </c>
      <c r="R16" s="397"/>
    </row>
    <row r="17" spans="2:28" ht="15.9" customHeight="1" x14ac:dyDescent="0.3">
      <c r="B17" s="397">
        <v>7</v>
      </c>
      <c r="C17" s="397" t="str">
        <f t="array" ref="C17">IFERROR(IF(7&gt;COUNTIF('DONNÉES BRUTES'!C$3:C$42,"Technologie"),"",INDEX('DONNÉES BRUTES'!A$3:A$42,MATCH(LARGE(IF('DONNÉES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D17" s="397" t="str">
        <f t="array" ref="D17">IFERROR(IF(7&gt;COUNTIF('DONNÉES BRUTES'!C$3:C$42,"Technologie"),"",INDEX('DONNÉES BRUTES'!B$3:B$42,MATCH(LARGE(IF('DONNÉES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E17" s="397" t="str">
        <f t="array" ref="E17">IFERROR(IF(7&gt;COUNTIF('DONNÉES BRUTES'!C$3:C$42,"Technologie"),"",INT(LARGE(IF('DONNÉES BRUTES'!C$3:C$42="Technologie",'DONNÉES BRUTES'!AB$3:AB$42+(ROW('DONNÉES BRUTES'!A$3:A$42)-ROW('DONNÉES BRUTES'!A$3))/1000,0),7))&amp;"/100"),"—")</f>
        <v/>
      </c>
      <c r="F17" s="397" t="str">
        <f t="array" ref="F17">IFERROR(IF(7&gt;COUNTIF('DONNÉES BRUTES'!C$3:C$42,"Technologie"),"",INDEX('DONNÉES BRUTES'!Y$3:Y$42,MATCH(LARGE(IF('DONNÉES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G17" s="397" t="str">
        <f t="array" ref="G17">IFERROR(IF(7&gt;COUNTIF('DONNÉES BRUTES'!C$3:C$42,"Technologie"),"",INDEX('DONNÉES BRUTES'!Z$3:Z$42,MATCH(LARGE(IF('DONNÉES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H17" s="397" t="str">
        <f t="array" ref="H17">IFERROR(IF(7&gt;COUNTIF('DONNÉES BRUTES'!C$3:C$42,"Technologie"),"",INDEX('DONNÉES BRUTES'!AA$3:AA$42,MATCH(LARGE(IF('DONNÉES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I17" s="397" t="str">
        <f t="array" ref="I17">IFERROR(IF(7&gt;COUNTIF('DONNÉES BRUTES'!C$3:C$42,"Technologie"),"",INDEX('DONNÉES BRUTES'!M$3:M$42,MATCH(LARGE(IF('DONNÉES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J17" s="397" t="str">
        <f t="array" ref="J17">IFERROR(IF(7&gt;COUNTIF('DONNÉES BRUTES'!C$3:C$42,"Technologie"),"",INDEX('DONNÉES BRUTES'!N$3:N$42,MATCH(LARGE(IF('DONNÉES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K17" s="397" t="str">
        <f t="array" ref="K17">IFERROR(IF(7&gt;COUNTIF('DONNÉES BRUTES'!C$3:C$42,"Technologie"),"",INDEX('DONNÉES BRUTES'!O$3:O$42,MATCH(LARGE(IF('DONNÉES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L17" s="397" t="str">
        <f t="array" ref="L17">IFERROR(IF(7&gt;COUNTIF('DONNÉES BRUTES'!C$3:C$42,"Technologie"),"",INDEX('DONNÉES BRUTES'!P$3:P$42,MATCH(LARGE(IF('DONNÉES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M17" s="397" t="str">
        <f t="array" ref="M17">IFERROR(IF(7&gt;COUNTIF('DONNÉES BRUTES'!C$3:C$42,"Technologie"),"",INDEX('DONNÉES BRUTES'!Q$3:Q$42,MATCH(LARGE(IF('DONNÉES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N17" s="397" t="str">
        <f t="array" ref="N17">IFERROR(IF(7&gt;COUNTIF('DONNÉES BRUTES'!C$3:C$42,"Technologie"),"",INDEX('DONNÉES BRUTES'!S$3:S$42,MATCH(LARGE(IF('DONNÉES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O17" s="397" t="str">
        <f t="array" ref="O17">IFERROR(IF(7&gt;COUNTIF('DONNÉES BRUTES'!C$3:C$42,"Technologie"),"",INDEX('DONNÉES BRUTES'!T$3:T$42,MATCH(LARGE(IF('DONNÉES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P17" s="397" t="str">
        <f t="array" ref="P17">IFERROR(IF(7&gt;COUNTIF('DONNÉES BRUTES'!C$3:C$42,"Technologie"),"",INDEX('DONNÉES BRUTES'!U$3:U$42,MATCH(LARGE(IF('DONNÉES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Q17" s="397" t="str">
        <f t="array" ref="Q17">IFERROR(IF(7&gt;COUNTIF('DONNÉES BRUTES'!C$3:C$42,"Technologie"),"",INDEX('DONNÉES BRUTES'!AD$3:AD$42,MATCH(LARGE(IF('DONNÉES BRUTES'!C$3:C$42="Technologie",'DONNÉES BRUTES'!AB$3:AB$42+(ROW('DONNÉES BRUTES'!A$3:A$42)-ROW('DONNÉES BRUTES'!A$3))/1000,0),7),IF('DONNÉES BRUTES'!C$3:C$42="Technologie",'DONNÉES BRUTES'!AB$3:AB$42+(ROW('DONNÉES BRUTES'!A$3:A$42)-ROW('DONNÉES BRUTES'!A$3))/1000,0),0))),"—")</f>
        <v/>
      </c>
      <c r="R17" s="397"/>
    </row>
    <row r="18" spans="2:28" ht="15.9" customHeight="1" x14ac:dyDescent="0.3">
      <c r="B18" s="397">
        <v>8</v>
      </c>
      <c r="C18" s="397" t="str">
        <f t="array" ref="C18">IFERROR(IF(8&gt;COUNTIF('DONNÉES BRUTES'!C$3:C$42,"Technologie"),"",INDEX('DONNÉES BRUTES'!A$3:A$42,MATCH(LARGE(IF('DONNÉES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D18" s="397" t="str">
        <f t="array" ref="D18">IFERROR(IF(8&gt;COUNTIF('DONNÉES BRUTES'!C$3:C$42,"Technologie"),"",INDEX('DONNÉES BRUTES'!B$3:B$42,MATCH(LARGE(IF('DONNÉES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E18" s="397" t="str">
        <f t="array" ref="E18">IFERROR(IF(8&gt;COUNTIF('DONNÉES BRUTES'!C$3:C$42,"Technologie"),"",INT(LARGE(IF('DONNÉES BRUTES'!C$3:C$42="Technologie",'DONNÉES BRUTES'!AB$3:AB$42+(ROW('DONNÉES BRUTES'!A$3:A$42)-ROW('DONNÉES BRUTES'!A$3))/1000,0),8))&amp;"/100"),"—")</f>
        <v/>
      </c>
      <c r="F18" s="397" t="str">
        <f t="array" ref="F18">IFERROR(IF(8&gt;COUNTIF('DONNÉES BRUTES'!C$3:C$42,"Technologie"),"",INDEX('DONNÉES BRUTES'!Y$3:Y$42,MATCH(LARGE(IF('DONNÉES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G18" s="397" t="str">
        <f t="array" ref="G18">IFERROR(IF(8&gt;COUNTIF('DONNÉES BRUTES'!C$3:C$42,"Technologie"),"",INDEX('DONNÉES BRUTES'!Z$3:Z$42,MATCH(LARGE(IF('DONNÉES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H18" s="397" t="str">
        <f t="array" ref="H18">IFERROR(IF(8&gt;COUNTIF('DONNÉES BRUTES'!C$3:C$42,"Technologie"),"",INDEX('DONNÉES BRUTES'!AA$3:AA$42,MATCH(LARGE(IF('DONNÉES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I18" s="397" t="str">
        <f t="array" ref="I18">IFERROR(IF(8&gt;COUNTIF('DONNÉES BRUTES'!C$3:C$42,"Technologie"),"",INDEX('DONNÉES BRUTES'!M$3:M$42,MATCH(LARGE(IF('DONNÉES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J18" s="397" t="str">
        <f t="array" ref="J18">IFERROR(IF(8&gt;COUNTIF('DONNÉES BRUTES'!C$3:C$42,"Technologie"),"",INDEX('DONNÉES BRUTES'!N$3:N$42,MATCH(LARGE(IF('DONNÉES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K18" s="397" t="str">
        <f t="array" ref="K18">IFERROR(IF(8&gt;COUNTIF('DONNÉES BRUTES'!C$3:C$42,"Technologie"),"",INDEX('DONNÉES BRUTES'!O$3:O$42,MATCH(LARGE(IF('DONNÉES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L18" s="397" t="str">
        <f t="array" ref="L18">IFERROR(IF(8&gt;COUNTIF('DONNÉES BRUTES'!C$3:C$42,"Technologie"),"",INDEX('DONNÉES BRUTES'!P$3:P$42,MATCH(LARGE(IF('DONNÉES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M18" s="397" t="str">
        <f t="array" ref="M18">IFERROR(IF(8&gt;COUNTIF('DONNÉES BRUTES'!C$3:C$42,"Technologie"),"",INDEX('DONNÉES BRUTES'!Q$3:Q$42,MATCH(LARGE(IF('DONNÉES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N18" s="397" t="str">
        <f t="array" ref="N18">IFERROR(IF(8&gt;COUNTIF('DONNÉES BRUTES'!C$3:C$42,"Technologie"),"",INDEX('DONNÉES BRUTES'!S$3:S$42,MATCH(LARGE(IF('DONNÉES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O18" s="397" t="str">
        <f t="array" ref="O18">IFERROR(IF(8&gt;COUNTIF('DONNÉES BRUTES'!C$3:C$42,"Technologie"),"",INDEX('DONNÉES BRUTES'!T$3:T$42,MATCH(LARGE(IF('DONNÉES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P18" s="397" t="str">
        <f t="array" ref="P18">IFERROR(IF(8&gt;COUNTIF('DONNÉES BRUTES'!C$3:C$42,"Technologie"),"",INDEX('DONNÉES BRUTES'!U$3:U$42,MATCH(LARGE(IF('DONNÉES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Q18" s="397" t="str">
        <f t="array" ref="Q18">IFERROR(IF(8&gt;COUNTIF('DONNÉES BRUTES'!C$3:C$42,"Technologie"),"",INDEX('DONNÉES BRUTES'!AD$3:AD$42,MATCH(LARGE(IF('DONNÉES BRUTES'!C$3:C$42="Technologie",'DONNÉES BRUTES'!AB$3:AB$42+(ROW('DONNÉES BRUTES'!A$3:A$42)-ROW('DONNÉES BRUTES'!A$3))/1000,0),8),IF('DONNÉES BRUTES'!C$3:C$42="Technologie",'DONNÉES BRUTES'!AB$3:AB$42+(ROW('DONNÉES BRUTES'!A$3:A$42)-ROW('DONNÉES BRUTES'!A$3))/1000,0),0))),"—")</f>
        <v/>
      </c>
      <c r="R18" s="397"/>
    </row>
    <row r="19" spans="2:28" ht="15.9" customHeight="1" x14ac:dyDescent="0.3">
      <c r="B19" s="397">
        <v>9</v>
      </c>
      <c r="C19" s="397" t="str">
        <f t="array" ref="C19">IFERROR(IF(9&gt;COUNTIF('DONNÉES BRUTES'!C$3:C$42,"Technologie"),"",INDEX('DONNÉES BRUTES'!A$3:A$42,MATCH(LARGE(IF('DONNÉES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D19" s="397" t="str">
        <f t="array" ref="D19">IFERROR(IF(9&gt;COUNTIF('DONNÉES BRUTES'!C$3:C$42,"Technologie"),"",INDEX('DONNÉES BRUTES'!B$3:B$42,MATCH(LARGE(IF('DONNÉES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E19" s="397" t="str">
        <f t="array" ref="E19">IFERROR(IF(9&gt;COUNTIF('DONNÉES BRUTES'!C$3:C$42,"Technologie"),"",INT(LARGE(IF('DONNÉES BRUTES'!C$3:C$42="Technologie",'DONNÉES BRUTES'!AB$3:AB$42+(ROW('DONNÉES BRUTES'!A$3:A$42)-ROW('DONNÉES BRUTES'!A$3))/1000,0),9))&amp;"/100"),"—")</f>
        <v/>
      </c>
      <c r="F19" s="397" t="str">
        <f t="array" ref="F19">IFERROR(IF(9&gt;COUNTIF('DONNÉES BRUTES'!C$3:C$42,"Technologie"),"",INDEX('DONNÉES BRUTES'!Y$3:Y$42,MATCH(LARGE(IF('DONNÉES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G19" s="397" t="str">
        <f t="array" ref="G19">IFERROR(IF(9&gt;COUNTIF('DONNÉES BRUTES'!C$3:C$42,"Technologie"),"",INDEX('DONNÉES BRUTES'!Z$3:Z$42,MATCH(LARGE(IF('DONNÉES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H19" s="397" t="str">
        <f t="array" ref="H19">IFERROR(IF(9&gt;COUNTIF('DONNÉES BRUTES'!C$3:C$42,"Technologie"),"",INDEX('DONNÉES BRUTES'!AA$3:AA$42,MATCH(LARGE(IF('DONNÉES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I19" s="397" t="str">
        <f t="array" ref="I19">IFERROR(IF(9&gt;COUNTIF('DONNÉES BRUTES'!C$3:C$42,"Technologie"),"",INDEX('DONNÉES BRUTES'!M$3:M$42,MATCH(LARGE(IF('DONNÉES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J19" s="397" t="str">
        <f t="array" ref="J19">IFERROR(IF(9&gt;COUNTIF('DONNÉES BRUTES'!C$3:C$42,"Technologie"),"",INDEX('DONNÉES BRUTES'!N$3:N$42,MATCH(LARGE(IF('DONNÉES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K19" s="397" t="str">
        <f t="array" ref="K19">IFERROR(IF(9&gt;COUNTIF('DONNÉES BRUTES'!C$3:C$42,"Technologie"),"",INDEX('DONNÉES BRUTES'!O$3:O$42,MATCH(LARGE(IF('DONNÉES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L19" s="397" t="str">
        <f t="array" ref="L19">IFERROR(IF(9&gt;COUNTIF('DONNÉES BRUTES'!C$3:C$42,"Technologie"),"",INDEX('DONNÉES BRUTES'!P$3:P$42,MATCH(LARGE(IF('DONNÉES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M19" s="397" t="str">
        <f t="array" ref="M19">IFERROR(IF(9&gt;COUNTIF('DONNÉES BRUTES'!C$3:C$42,"Technologie"),"",INDEX('DONNÉES BRUTES'!Q$3:Q$42,MATCH(LARGE(IF('DONNÉES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N19" s="397" t="str">
        <f t="array" ref="N19">IFERROR(IF(9&gt;COUNTIF('DONNÉES BRUTES'!C$3:C$42,"Technologie"),"",INDEX('DONNÉES BRUTES'!S$3:S$42,MATCH(LARGE(IF('DONNÉES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O19" s="397" t="str">
        <f t="array" ref="O19">IFERROR(IF(9&gt;COUNTIF('DONNÉES BRUTES'!C$3:C$42,"Technologie"),"",INDEX('DONNÉES BRUTES'!T$3:T$42,MATCH(LARGE(IF('DONNÉES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P19" s="397" t="str">
        <f t="array" ref="P19">IFERROR(IF(9&gt;COUNTIF('DONNÉES BRUTES'!C$3:C$42,"Technologie"),"",INDEX('DONNÉES BRUTES'!U$3:U$42,MATCH(LARGE(IF('DONNÉES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Q19" s="397" t="str">
        <f t="array" ref="Q19">IFERROR(IF(9&gt;COUNTIF('DONNÉES BRUTES'!C$3:C$42,"Technologie"),"",INDEX('DONNÉES BRUTES'!AD$3:AD$42,MATCH(LARGE(IF('DONNÉES BRUTES'!C$3:C$42="Technologie",'DONNÉES BRUTES'!AB$3:AB$42+(ROW('DONNÉES BRUTES'!A$3:A$42)-ROW('DONNÉES BRUTES'!A$3))/1000,0),9),IF('DONNÉES BRUTES'!C$3:C$42="Technologie",'DONNÉES BRUTES'!AB$3:AB$42+(ROW('DONNÉES BRUTES'!A$3:A$42)-ROW('DONNÉES BRUTES'!A$3))/1000,0),0))),"—")</f>
        <v/>
      </c>
      <c r="R19" s="397"/>
    </row>
    <row r="20" spans="2:28" ht="15.9" customHeight="1" x14ac:dyDescent="0.3">
      <c r="B20" s="397">
        <v>10</v>
      </c>
      <c r="C20" s="397" t="str">
        <f t="array" ref="C20">IFERROR(IF(10&gt;COUNTIF('DONNÉES BRUTES'!C$3:C$42,"Technologie"),"",INDEX('DONNÉES BRUTES'!A$3:A$42,MATCH(LARGE(IF('DONNÉES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D20" s="397" t="str">
        <f t="array" ref="D20">IFERROR(IF(10&gt;COUNTIF('DONNÉES BRUTES'!C$3:C$42,"Technologie"),"",INDEX('DONNÉES BRUTES'!B$3:B$42,MATCH(LARGE(IF('DONNÉES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E20" s="397" t="str">
        <f t="array" ref="E20">IFERROR(IF(10&gt;COUNTIF('DONNÉES BRUTES'!C$3:C$42,"Technologie"),"",INT(LARGE(IF('DONNÉES BRUTES'!C$3:C$42="Technologie",'DONNÉES BRUTES'!AB$3:AB$42+(ROW('DONNÉES BRUTES'!A$3:A$42)-ROW('DONNÉES BRUTES'!A$3))/1000,0),10))&amp;"/100"),"—")</f>
        <v/>
      </c>
      <c r="F20" s="397" t="str">
        <f t="array" ref="F20">IFERROR(IF(10&gt;COUNTIF('DONNÉES BRUTES'!C$3:C$42,"Technologie"),"",INDEX('DONNÉES BRUTES'!Y$3:Y$42,MATCH(LARGE(IF('DONNÉES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G20" s="397" t="str">
        <f t="array" ref="G20">IFERROR(IF(10&gt;COUNTIF('DONNÉES BRUTES'!C$3:C$42,"Technologie"),"",INDEX('DONNÉES BRUTES'!Z$3:Z$42,MATCH(LARGE(IF('DONNÉES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H20" s="397" t="str">
        <f t="array" ref="H20">IFERROR(IF(10&gt;COUNTIF('DONNÉES BRUTES'!C$3:C$42,"Technologie"),"",INDEX('DONNÉES BRUTES'!AA$3:AA$42,MATCH(LARGE(IF('DONNÉES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I20" s="397" t="str">
        <f t="array" ref="I20">IFERROR(IF(10&gt;COUNTIF('DONNÉES BRUTES'!C$3:C$42,"Technologie"),"",INDEX('DONNÉES BRUTES'!M$3:M$42,MATCH(LARGE(IF('DONNÉES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J20" s="397" t="str">
        <f t="array" ref="J20">IFERROR(IF(10&gt;COUNTIF('DONNÉES BRUTES'!C$3:C$42,"Technologie"),"",INDEX('DONNÉES BRUTES'!N$3:N$42,MATCH(LARGE(IF('DONNÉES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K20" s="397" t="str">
        <f t="array" ref="K20">IFERROR(IF(10&gt;COUNTIF('DONNÉES BRUTES'!C$3:C$42,"Technologie"),"",INDEX('DONNÉES BRUTES'!O$3:O$42,MATCH(LARGE(IF('DONNÉES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L20" s="397" t="str">
        <f t="array" ref="L20">IFERROR(IF(10&gt;COUNTIF('DONNÉES BRUTES'!C$3:C$42,"Technologie"),"",INDEX('DONNÉES BRUTES'!P$3:P$42,MATCH(LARGE(IF('DONNÉES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M20" s="397" t="str">
        <f t="array" ref="M20">IFERROR(IF(10&gt;COUNTIF('DONNÉES BRUTES'!C$3:C$42,"Technologie"),"",INDEX('DONNÉES BRUTES'!Q$3:Q$42,MATCH(LARGE(IF('DONNÉES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N20" s="397" t="str">
        <f t="array" ref="N20">IFERROR(IF(10&gt;COUNTIF('DONNÉES BRUTES'!C$3:C$42,"Technologie"),"",INDEX('DONNÉES BRUTES'!S$3:S$42,MATCH(LARGE(IF('DONNÉES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O20" s="397" t="str">
        <f t="array" ref="O20">IFERROR(IF(10&gt;COUNTIF('DONNÉES BRUTES'!C$3:C$42,"Technologie"),"",INDEX('DONNÉES BRUTES'!T$3:T$42,MATCH(LARGE(IF('DONNÉES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P20" s="397" t="str">
        <f t="array" ref="P20">IFERROR(IF(10&gt;COUNTIF('DONNÉES BRUTES'!C$3:C$42,"Technologie"),"",INDEX('DONNÉES BRUTES'!U$3:U$42,MATCH(LARGE(IF('DONNÉES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Q20" s="397" t="str">
        <f t="array" ref="Q20">IFERROR(IF(10&gt;COUNTIF('DONNÉES BRUTES'!C$3:C$42,"Technologie"),"",INDEX('DONNÉES BRUTES'!AD$3:AD$42,MATCH(LARGE(IF('DONNÉES BRUTES'!C$3:C$42="Technologie",'DONNÉES BRUTES'!AB$3:AB$42+(ROW('DONNÉES BRUTES'!A$3:A$42)-ROW('DONNÉES BRUTES'!A$3))/1000,0),10),IF('DONNÉES BRUTES'!C$3:C$42="Technologie",'DONNÉES BRUTES'!AB$3:AB$42+(ROW('DONNÉES BRUTES'!A$3:A$42)-ROW('DONNÉES BRUTES'!A$3))/1000,0),0))),"—")</f>
        <v/>
      </c>
      <c r="R20" s="397"/>
    </row>
    <row r="21" spans="2:28" ht="15.9" customHeight="1" x14ac:dyDescent="0.3">
      <c r="B21" s="397">
        <v>11</v>
      </c>
      <c r="C21" s="397" t="str">
        <f t="array" ref="C21">IFERROR(IF(11&gt;COUNTIF('DONNÉES BRUTES'!C$3:C$42,"Technologie"),"",INDEX('DONNÉES BRUTES'!A$3:A$42,MATCH(LARGE(IF('DONNÉES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D21" s="397" t="str">
        <f t="array" ref="D21">IFERROR(IF(11&gt;COUNTIF('DONNÉES BRUTES'!C$3:C$42,"Technologie"),"",INDEX('DONNÉES BRUTES'!B$3:B$42,MATCH(LARGE(IF('DONNÉES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E21" s="397" t="str">
        <f t="array" ref="E21">IFERROR(IF(11&gt;COUNTIF('DONNÉES BRUTES'!C$3:C$42,"Technologie"),"",INT(LARGE(IF('DONNÉES BRUTES'!C$3:C$42="Technologie",'DONNÉES BRUTES'!AB$3:AB$42+(ROW('DONNÉES BRUTES'!A$3:A$42)-ROW('DONNÉES BRUTES'!A$3))/1000,0),11))&amp;"/100"),"—")</f>
        <v/>
      </c>
      <c r="F21" s="397" t="str">
        <f t="array" ref="F21">IFERROR(IF(11&gt;COUNTIF('DONNÉES BRUTES'!C$3:C$42,"Technologie"),"",INDEX('DONNÉES BRUTES'!Y$3:Y$42,MATCH(LARGE(IF('DONNÉES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G21" s="397" t="str">
        <f t="array" ref="G21">IFERROR(IF(11&gt;COUNTIF('DONNÉES BRUTES'!C$3:C$42,"Technologie"),"",INDEX('DONNÉES BRUTES'!Z$3:Z$42,MATCH(LARGE(IF('DONNÉES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H21" s="397" t="str">
        <f t="array" ref="H21">IFERROR(IF(11&gt;COUNTIF('DONNÉES BRUTES'!C$3:C$42,"Technologie"),"",INDEX('DONNÉES BRUTES'!AA$3:AA$42,MATCH(LARGE(IF('DONNÉES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I21" s="397" t="str">
        <f t="array" ref="I21">IFERROR(IF(11&gt;COUNTIF('DONNÉES BRUTES'!C$3:C$42,"Technologie"),"",INDEX('DONNÉES BRUTES'!M$3:M$42,MATCH(LARGE(IF('DONNÉES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J21" s="397" t="str">
        <f t="array" ref="J21">IFERROR(IF(11&gt;COUNTIF('DONNÉES BRUTES'!C$3:C$42,"Technologie"),"",INDEX('DONNÉES BRUTES'!N$3:N$42,MATCH(LARGE(IF('DONNÉES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K21" s="397" t="str">
        <f t="array" ref="K21">IFERROR(IF(11&gt;COUNTIF('DONNÉES BRUTES'!C$3:C$42,"Technologie"),"",INDEX('DONNÉES BRUTES'!O$3:O$42,MATCH(LARGE(IF('DONNÉES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L21" s="397" t="str">
        <f t="array" ref="L21">IFERROR(IF(11&gt;COUNTIF('DONNÉES BRUTES'!C$3:C$42,"Technologie"),"",INDEX('DONNÉES BRUTES'!P$3:P$42,MATCH(LARGE(IF('DONNÉES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M21" s="397" t="str">
        <f t="array" ref="M21">IFERROR(IF(11&gt;COUNTIF('DONNÉES BRUTES'!C$3:C$42,"Technologie"),"",INDEX('DONNÉES BRUTES'!Q$3:Q$42,MATCH(LARGE(IF('DONNÉES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N21" s="397" t="str">
        <f t="array" ref="N21">IFERROR(IF(11&gt;COUNTIF('DONNÉES BRUTES'!C$3:C$42,"Technologie"),"",INDEX('DONNÉES BRUTES'!S$3:S$42,MATCH(LARGE(IF('DONNÉES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O21" s="397" t="str">
        <f t="array" ref="O21">IFERROR(IF(11&gt;COUNTIF('DONNÉES BRUTES'!C$3:C$42,"Technologie"),"",INDEX('DONNÉES BRUTES'!T$3:T$42,MATCH(LARGE(IF('DONNÉES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P21" s="397" t="str">
        <f t="array" ref="P21">IFERROR(IF(11&gt;COUNTIF('DONNÉES BRUTES'!C$3:C$42,"Technologie"),"",INDEX('DONNÉES BRUTES'!U$3:U$42,MATCH(LARGE(IF('DONNÉES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Q21" s="397" t="str">
        <f t="array" ref="Q21">IFERROR(IF(11&gt;COUNTIF('DONNÉES BRUTES'!C$3:C$42,"Technologie"),"",INDEX('DONNÉES BRUTES'!AD$3:AD$42,MATCH(LARGE(IF('DONNÉES BRUTES'!C$3:C$42="Technologie",'DONNÉES BRUTES'!AB$3:AB$42+(ROW('DONNÉES BRUTES'!A$3:A$42)-ROW('DONNÉES BRUTES'!A$3))/1000,0),11),IF('DONNÉES BRUTES'!C$3:C$42="Technologie",'DONNÉES BRUTES'!AB$3:AB$42+(ROW('DONNÉES BRUTES'!A$3:A$42)-ROW('DONNÉES BRUTES'!A$3))/1000,0),0))),"—")</f>
        <v/>
      </c>
      <c r="R21" s="397"/>
    </row>
    <row r="22" spans="2:28" ht="15.9" customHeight="1" x14ac:dyDescent="0.3">
      <c r="B22" s="397">
        <v>12</v>
      </c>
      <c r="C22" s="397" t="str">
        <f t="array" ref="C22">IFERROR(IF(12&gt;COUNTIF('DONNÉES BRUTES'!C$3:C$42,"Technologie"),"",INDEX('DONNÉES BRUTES'!A$3:A$42,MATCH(LARGE(IF('DONNÉES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D22" s="397" t="str">
        <f t="array" ref="D22">IFERROR(IF(12&gt;COUNTIF('DONNÉES BRUTES'!C$3:C$42,"Technologie"),"",INDEX('DONNÉES BRUTES'!B$3:B$42,MATCH(LARGE(IF('DONNÉES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E22" s="397" t="str">
        <f t="array" ref="E22">IFERROR(IF(12&gt;COUNTIF('DONNÉES BRUTES'!C$3:C$42,"Technologie"),"",INT(LARGE(IF('DONNÉES BRUTES'!C$3:C$42="Technologie",'DONNÉES BRUTES'!AB$3:AB$42+(ROW('DONNÉES BRUTES'!A$3:A$42)-ROW('DONNÉES BRUTES'!A$3))/1000,0),12))&amp;"/100"),"—")</f>
        <v/>
      </c>
      <c r="F22" s="397" t="str">
        <f t="array" ref="F22">IFERROR(IF(12&gt;COUNTIF('DONNÉES BRUTES'!C$3:C$42,"Technologie"),"",INDEX('DONNÉES BRUTES'!Y$3:Y$42,MATCH(LARGE(IF('DONNÉES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G22" s="397" t="str">
        <f t="array" ref="G22">IFERROR(IF(12&gt;COUNTIF('DONNÉES BRUTES'!C$3:C$42,"Technologie"),"",INDEX('DONNÉES BRUTES'!Z$3:Z$42,MATCH(LARGE(IF('DONNÉES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H22" s="397" t="str">
        <f t="array" ref="H22">IFERROR(IF(12&gt;COUNTIF('DONNÉES BRUTES'!C$3:C$42,"Technologie"),"",INDEX('DONNÉES BRUTES'!AA$3:AA$42,MATCH(LARGE(IF('DONNÉES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I22" s="397" t="str">
        <f t="array" ref="I22">IFERROR(IF(12&gt;COUNTIF('DONNÉES BRUTES'!C$3:C$42,"Technologie"),"",INDEX('DONNÉES BRUTES'!M$3:M$42,MATCH(LARGE(IF('DONNÉES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J22" s="397" t="str">
        <f t="array" ref="J22">IFERROR(IF(12&gt;COUNTIF('DONNÉES BRUTES'!C$3:C$42,"Technologie"),"",INDEX('DONNÉES BRUTES'!N$3:N$42,MATCH(LARGE(IF('DONNÉES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K22" s="397" t="str">
        <f t="array" ref="K22">IFERROR(IF(12&gt;COUNTIF('DONNÉES BRUTES'!C$3:C$42,"Technologie"),"",INDEX('DONNÉES BRUTES'!O$3:O$42,MATCH(LARGE(IF('DONNÉES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L22" s="397" t="str">
        <f t="array" ref="L22">IFERROR(IF(12&gt;COUNTIF('DONNÉES BRUTES'!C$3:C$42,"Technologie"),"",INDEX('DONNÉES BRUTES'!P$3:P$42,MATCH(LARGE(IF('DONNÉES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M22" s="397" t="str">
        <f t="array" ref="M22">IFERROR(IF(12&gt;COUNTIF('DONNÉES BRUTES'!C$3:C$42,"Technologie"),"",INDEX('DONNÉES BRUTES'!Q$3:Q$42,MATCH(LARGE(IF('DONNÉES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N22" s="397" t="str">
        <f t="array" ref="N22">IFERROR(IF(12&gt;COUNTIF('DONNÉES BRUTES'!C$3:C$42,"Technologie"),"",INDEX('DONNÉES BRUTES'!S$3:S$42,MATCH(LARGE(IF('DONNÉES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O22" s="397" t="str">
        <f t="array" ref="O22">IFERROR(IF(12&gt;COUNTIF('DONNÉES BRUTES'!C$3:C$42,"Technologie"),"",INDEX('DONNÉES BRUTES'!T$3:T$42,MATCH(LARGE(IF('DONNÉES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P22" s="397" t="str">
        <f t="array" ref="P22">IFERROR(IF(12&gt;COUNTIF('DONNÉES BRUTES'!C$3:C$42,"Technologie"),"",INDEX('DONNÉES BRUTES'!U$3:U$42,MATCH(LARGE(IF('DONNÉES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Q22" s="397" t="str">
        <f t="array" ref="Q22">IFERROR(IF(12&gt;COUNTIF('DONNÉES BRUTES'!C$3:C$42,"Technologie"),"",INDEX('DONNÉES BRUTES'!AD$3:AD$42,MATCH(LARGE(IF('DONNÉES BRUTES'!C$3:C$42="Technologie",'DONNÉES BRUTES'!AB$3:AB$42+(ROW('DONNÉES BRUTES'!A$3:A$42)-ROW('DONNÉES BRUTES'!A$3))/1000,0),12),IF('DONNÉES BRUTES'!C$3:C$42="Technologie",'DONNÉES BRUTES'!AB$3:AB$42+(ROW('DONNÉES BRUTES'!A$3:A$42)-ROW('DONNÉES BRUTES'!A$3))/1000,0),0))),"—")</f>
        <v/>
      </c>
      <c r="R22" s="397"/>
    </row>
    <row r="23" spans="2:28" ht="15.9" customHeight="1" x14ac:dyDescent="0.3">
      <c r="B23" s="397">
        <v>13</v>
      </c>
      <c r="C23" s="397" t="str">
        <f t="array" ref="C23">IFERROR(IF(13&gt;COUNTIF('DONNÉES BRUTES'!C$3:C$42,"Technologie"),"",INDEX('DONNÉES BRUTES'!A$3:A$42,MATCH(LARGE(IF('DONNÉES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D23" s="397" t="str">
        <f t="array" ref="D23">IFERROR(IF(13&gt;COUNTIF('DONNÉES BRUTES'!C$3:C$42,"Technologie"),"",INDEX('DONNÉES BRUTES'!B$3:B$42,MATCH(LARGE(IF('DONNÉES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E23" s="397" t="str">
        <f t="array" ref="E23">IFERROR(IF(13&gt;COUNTIF('DONNÉES BRUTES'!C$3:C$42,"Technologie"),"",INT(LARGE(IF('DONNÉES BRUTES'!C$3:C$42="Technologie",'DONNÉES BRUTES'!AB$3:AB$42+(ROW('DONNÉES BRUTES'!A$3:A$42)-ROW('DONNÉES BRUTES'!A$3))/1000,0),13))&amp;"/100"),"—")</f>
        <v/>
      </c>
      <c r="F23" s="397" t="str">
        <f t="array" ref="F23">IFERROR(IF(13&gt;COUNTIF('DONNÉES BRUTES'!C$3:C$42,"Technologie"),"",INDEX('DONNÉES BRUTES'!Y$3:Y$42,MATCH(LARGE(IF('DONNÉES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G23" s="397" t="str">
        <f t="array" ref="G23">IFERROR(IF(13&gt;COUNTIF('DONNÉES BRUTES'!C$3:C$42,"Technologie"),"",INDEX('DONNÉES BRUTES'!Z$3:Z$42,MATCH(LARGE(IF('DONNÉES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H23" s="397" t="str">
        <f t="array" ref="H23">IFERROR(IF(13&gt;COUNTIF('DONNÉES BRUTES'!C$3:C$42,"Technologie"),"",INDEX('DONNÉES BRUTES'!AA$3:AA$42,MATCH(LARGE(IF('DONNÉES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I23" s="397" t="str">
        <f t="array" ref="I23">IFERROR(IF(13&gt;COUNTIF('DONNÉES BRUTES'!C$3:C$42,"Technologie"),"",INDEX('DONNÉES BRUTES'!M$3:M$42,MATCH(LARGE(IF('DONNÉES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J23" s="397" t="str">
        <f t="array" ref="J23">IFERROR(IF(13&gt;COUNTIF('DONNÉES BRUTES'!C$3:C$42,"Technologie"),"",INDEX('DONNÉES BRUTES'!N$3:N$42,MATCH(LARGE(IF('DONNÉES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K23" s="397" t="str">
        <f t="array" ref="K23">IFERROR(IF(13&gt;COUNTIF('DONNÉES BRUTES'!C$3:C$42,"Technologie"),"",INDEX('DONNÉES BRUTES'!O$3:O$42,MATCH(LARGE(IF('DONNÉES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L23" s="397" t="str">
        <f t="array" ref="L23">IFERROR(IF(13&gt;COUNTIF('DONNÉES BRUTES'!C$3:C$42,"Technologie"),"",INDEX('DONNÉES BRUTES'!P$3:P$42,MATCH(LARGE(IF('DONNÉES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M23" s="397" t="str">
        <f t="array" ref="M23">IFERROR(IF(13&gt;COUNTIF('DONNÉES BRUTES'!C$3:C$42,"Technologie"),"",INDEX('DONNÉES BRUTES'!Q$3:Q$42,MATCH(LARGE(IF('DONNÉES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N23" s="397" t="str">
        <f t="array" ref="N23">IFERROR(IF(13&gt;COUNTIF('DONNÉES BRUTES'!C$3:C$42,"Technologie"),"",INDEX('DONNÉES BRUTES'!S$3:S$42,MATCH(LARGE(IF('DONNÉES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O23" s="397" t="str">
        <f t="array" ref="O23">IFERROR(IF(13&gt;COUNTIF('DONNÉES BRUTES'!C$3:C$42,"Technologie"),"",INDEX('DONNÉES BRUTES'!T$3:T$42,MATCH(LARGE(IF('DONNÉES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P23" s="397" t="str">
        <f t="array" ref="P23">IFERROR(IF(13&gt;COUNTIF('DONNÉES BRUTES'!C$3:C$42,"Technologie"),"",INDEX('DONNÉES BRUTES'!U$3:U$42,MATCH(LARGE(IF('DONNÉES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Q23" s="397" t="str">
        <f t="array" ref="Q23">IFERROR(IF(13&gt;COUNTIF('DONNÉES BRUTES'!C$3:C$42,"Technologie"),"",INDEX('DONNÉES BRUTES'!AD$3:AD$42,MATCH(LARGE(IF('DONNÉES BRUTES'!C$3:C$42="Technologie",'DONNÉES BRUTES'!AB$3:AB$42+(ROW('DONNÉES BRUTES'!A$3:A$42)-ROW('DONNÉES BRUTES'!A$3))/1000,0),13),IF('DONNÉES BRUTES'!C$3:C$42="Technologie",'DONNÉES BRUTES'!AB$3:AB$42+(ROW('DONNÉES BRUTES'!A$3:A$42)-ROW('DONNÉES BRUTES'!A$3))/1000,0),0))),"—")</f>
        <v/>
      </c>
      <c r="R23" s="397"/>
    </row>
    <row r="24" spans="2:28" ht="15.9" customHeight="1" x14ac:dyDescent="0.3">
      <c r="B24" s="397">
        <v>14</v>
      </c>
      <c r="C24" s="397" t="str">
        <f t="array" ref="C24">IFERROR(IF(14&gt;COUNTIF('DONNÉES BRUTES'!C$3:C$42,"Technologie"),"",INDEX('DONNÉES BRUTES'!A$3:A$42,MATCH(LARGE(IF('DONNÉES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D24" s="397" t="str">
        <f t="array" ref="D24">IFERROR(IF(14&gt;COUNTIF('DONNÉES BRUTES'!C$3:C$42,"Technologie"),"",INDEX('DONNÉES BRUTES'!B$3:B$42,MATCH(LARGE(IF('DONNÉES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E24" s="397" t="str">
        <f t="array" ref="E24">IFERROR(IF(14&gt;COUNTIF('DONNÉES BRUTES'!C$3:C$42,"Technologie"),"",INT(LARGE(IF('DONNÉES BRUTES'!C$3:C$42="Technologie",'DONNÉES BRUTES'!AB$3:AB$42+(ROW('DONNÉES BRUTES'!A$3:A$42)-ROW('DONNÉES BRUTES'!A$3))/1000,0),14))&amp;"/100"),"—")</f>
        <v/>
      </c>
      <c r="F24" s="397" t="str">
        <f t="array" ref="F24">IFERROR(IF(14&gt;COUNTIF('DONNÉES BRUTES'!C$3:C$42,"Technologie"),"",INDEX('DONNÉES BRUTES'!Y$3:Y$42,MATCH(LARGE(IF('DONNÉES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G24" s="397" t="str">
        <f t="array" ref="G24">IFERROR(IF(14&gt;COUNTIF('DONNÉES BRUTES'!C$3:C$42,"Technologie"),"",INDEX('DONNÉES BRUTES'!Z$3:Z$42,MATCH(LARGE(IF('DONNÉES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H24" s="397" t="str">
        <f t="array" ref="H24">IFERROR(IF(14&gt;COUNTIF('DONNÉES BRUTES'!C$3:C$42,"Technologie"),"",INDEX('DONNÉES BRUTES'!AA$3:AA$42,MATCH(LARGE(IF('DONNÉES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I24" s="397" t="str">
        <f t="array" ref="I24">IFERROR(IF(14&gt;COUNTIF('DONNÉES BRUTES'!C$3:C$42,"Technologie"),"",INDEX('DONNÉES BRUTES'!M$3:M$42,MATCH(LARGE(IF('DONNÉES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J24" s="397" t="str">
        <f t="array" ref="J24">IFERROR(IF(14&gt;COUNTIF('DONNÉES BRUTES'!C$3:C$42,"Technologie"),"",INDEX('DONNÉES BRUTES'!N$3:N$42,MATCH(LARGE(IF('DONNÉES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K24" s="397" t="str">
        <f t="array" ref="K24">IFERROR(IF(14&gt;COUNTIF('DONNÉES BRUTES'!C$3:C$42,"Technologie"),"",INDEX('DONNÉES BRUTES'!O$3:O$42,MATCH(LARGE(IF('DONNÉES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L24" s="397" t="str">
        <f t="array" ref="L24">IFERROR(IF(14&gt;COUNTIF('DONNÉES BRUTES'!C$3:C$42,"Technologie"),"",INDEX('DONNÉES BRUTES'!P$3:P$42,MATCH(LARGE(IF('DONNÉES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M24" s="397" t="str">
        <f t="array" ref="M24">IFERROR(IF(14&gt;COUNTIF('DONNÉES BRUTES'!C$3:C$42,"Technologie"),"",INDEX('DONNÉES BRUTES'!Q$3:Q$42,MATCH(LARGE(IF('DONNÉES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N24" s="397" t="str">
        <f t="array" ref="N24">IFERROR(IF(14&gt;COUNTIF('DONNÉES BRUTES'!C$3:C$42,"Technologie"),"",INDEX('DONNÉES BRUTES'!S$3:S$42,MATCH(LARGE(IF('DONNÉES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O24" s="397" t="str">
        <f t="array" ref="O24">IFERROR(IF(14&gt;COUNTIF('DONNÉES BRUTES'!C$3:C$42,"Technologie"),"",INDEX('DONNÉES BRUTES'!T$3:T$42,MATCH(LARGE(IF('DONNÉES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P24" s="397" t="str">
        <f t="array" ref="P24">IFERROR(IF(14&gt;COUNTIF('DONNÉES BRUTES'!C$3:C$42,"Technologie"),"",INDEX('DONNÉES BRUTES'!U$3:U$42,MATCH(LARGE(IF('DONNÉES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Q24" s="397" t="str">
        <f t="array" ref="Q24">IFERROR(IF(14&gt;COUNTIF('DONNÉES BRUTES'!C$3:C$42,"Technologie"),"",INDEX('DONNÉES BRUTES'!AD$3:AD$42,MATCH(LARGE(IF('DONNÉES BRUTES'!C$3:C$42="Technologie",'DONNÉES BRUTES'!AB$3:AB$42+(ROW('DONNÉES BRUTES'!A$3:A$42)-ROW('DONNÉES BRUTES'!A$3))/1000,0),14),IF('DONNÉES BRUTES'!C$3:C$42="Technologie",'DONNÉES BRUTES'!AB$3:AB$42+(ROW('DONNÉES BRUTES'!A$3:A$42)-ROW('DONNÉES BRUTES'!A$3))/1000,0),0))),"—")</f>
        <v/>
      </c>
      <c r="R24" s="397"/>
    </row>
    <row r="25" spans="2:28" ht="15.9" customHeight="1" x14ac:dyDescent="0.3">
      <c r="B25" s="397">
        <v>15</v>
      </c>
      <c r="C25" s="397" t="str">
        <f t="array" ref="C25">IFERROR(IF(15&gt;COUNTIF('DONNÉES BRUTES'!C$3:C$42,"Technologie"),"",INDEX('DONNÉES BRUTES'!A$3:A$42,MATCH(LARGE(IF('DONNÉES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D25" s="397" t="str">
        <f t="array" ref="D25">IFERROR(IF(15&gt;COUNTIF('DONNÉES BRUTES'!C$3:C$42,"Technologie"),"",INDEX('DONNÉES BRUTES'!B$3:B$42,MATCH(LARGE(IF('DONNÉES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E25" s="397" t="str">
        <f t="array" ref="E25">IFERROR(IF(15&gt;COUNTIF('DONNÉES BRUTES'!C$3:C$42,"Technologie"),"",INT(LARGE(IF('DONNÉES BRUTES'!C$3:C$42="Technologie",'DONNÉES BRUTES'!AB$3:AB$42+(ROW('DONNÉES BRUTES'!A$3:A$42)-ROW('DONNÉES BRUTES'!A$3))/1000,0),15))&amp;"/100"),"—")</f>
        <v/>
      </c>
      <c r="F25" s="397" t="str">
        <f t="array" ref="F25">IFERROR(IF(15&gt;COUNTIF('DONNÉES BRUTES'!C$3:C$42,"Technologie"),"",INDEX('DONNÉES BRUTES'!Y$3:Y$42,MATCH(LARGE(IF('DONNÉES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G25" s="397" t="str">
        <f t="array" ref="G25">IFERROR(IF(15&gt;COUNTIF('DONNÉES BRUTES'!C$3:C$42,"Technologie"),"",INDEX('DONNÉES BRUTES'!Z$3:Z$42,MATCH(LARGE(IF('DONNÉES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H25" s="397" t="str">
        <f t="array" ref="H25">IFERROR(IF(15&gt;COUNTIF('DONNÉES BRUTES'!C$3:C$42,"Technologie"),"",INDEX('DONNÉES BRUTES'!AA$3:AA$42,MATCH(LARGE(IF('DONNÉES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I25" s="397" t="str">
        <f t="array" ref="I25">IFERROR(IF(15&gt;COUNTIF('DONNÉES BRUTES'!C$3:C$42,"Technologie"),"",INDEX('DONNÉES BRUTES'!M$3:M$42,MATCH(LARGE(IF('DONNÉES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J25" s="397" t="str">
        <f t="array" ref="J25">IFERROR(IF(15&gt;COUNTIF('DONNÉES BRUTES'!C$3:C$42,"Technologie"),"",INDEX('DONNÉES BRUTES'!N$3:N$42,MATCH(LARGE(IF('DONNÉES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K25" s="397" t="str">
        <f t="array" ref="K25">IFERROR(IF(15&gt;COUNTIF('DONNÉES BRUTES'!C$3:C$42,"Technologie"),"",INDEX('DONNÉES BRUTES'!O$3:O$42,MATCH(LARGE(IF('DONNÉES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L25" s="397" t="str">
        <f t="array" ref="L25">IFERROR(IF(15&gt;COUNTIF('DONNÉES BRUTES'!C$3:C$42,"Technologie"),"",INDEX('DONNÉES BRUTES'!P$3:P$42,MATCH(LARGE(IF('DONNÉES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M25" s="397" t="str">
        <f t="array" ref="M25">IFERROR(IF(15&gt;COUNTIF('DONNÉES BRUTES'!C$3:C$42,"Technologie"),"",INDEX('DONNÉES BRUTES'!Q$3:Q$42,MATCH(LARGE(IF('DONNÉES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N25" s="397" t="str">
        <f t="array" ref="N25">IFERROR(IF(15&gt;COUNTIF('DONNÉES BRUTES'!C$3:C$42,"Technologie"),"",INDEX('DONNÉES BRUTES'!S$3:S$42,MATCH(LARGE(IF('DONNÉES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O25" s="397" t="str">
        <f t="array" ref="O25">IFERROR(IF(15&gt;COUNTIF('DONNÉES BRUTES'!C$3:C$42,"Technologie"),"",INDEX('DONNÉES BRUTES'!T$3:T$42,MATCH(LARGE(IF('DONNÉES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P25" s="397" t="str">
        <f t="array" ref="P25">IFERROR(IF(15&gt;COUNTIF('DONNÉES BRUTES'!C$3:C$42,"Technologie"),"",INDEX('DONNÉES BRUTES'!U$3:U$42,MATCH(LARGE(IF('DONNÉES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Q25" s="397" t="str">
        <f t="array" ref="Q25">IFERROR(IF(15&gt;COUNTIF('DONNÉES BRUTES'!C$3:C$42,"Technologie"),"",INDEX('DONNÉES BRUTES'!AD$3:AD$42,MATCH(LARGE(IF('DONNÉES BRUTES'!C$3:C$42="Technologie",'DONNÉES BRUTES'!AB$3:AB$42+(ROW('DONNÉES BRUTES'!A$3:A$42)-ROW('DONNÉES BRUTES'!A$3))/1000,0),15),IF('DONNÉES BRUTES'!C$3:C$42="Technologie",'DONNÉES BRUTES'!AB$3:AB$42+(ROW('DONNÉES BRUTES'!A$3:A$42)-ROW('DONNÉES BRUTES'!A$3))/1000,0),0))),"—")</f>
        <v/>
      </c>
      <c r="R25" s="397"/>
    </row>
    <row r="26" spans="2:28" ht="15.9" customHeight="1" x14ac:dyDescent="0.3"/>
    <row r="27" spans="2:28" ht="15.9" customHeight="1" x14ac:dyDescent="0.3"/>
    <row r="28" spans="2:28" ht="15.9" customHeight="1" x14ac:dyDescent="0.3">
      <c r="S28" s="149" t="s">
        <v>10</v>
      </c>
      <c r="T28" s="149" t="s">
        <v>11</v>
      </c>
      <c r="U28" s="149" t="s">
        <v>15</v>
      </c>
      <c r="V28" s="149" t="s">
        <v>16</v>
      </c>
      <c r="W28" s="149" t="s">
        <v>17</v>
      </c>
      <c r="X28" s="149"/>
      <c r="Y28" s="149" t="s">
        <v>10</v>
      </c>
      <c r="Z28" s="149" t="s">
        <v>15</v>
      </c>
      <c r="AA28" s="149" t="s">
        <v>16</v>
      </c>
      <c r="AB28" s="149" t="s">
        <v>17</v>
      </c>
    </row>
    <row r="29" spans="2:28" ht="15.9" customHeight="1" x14ac:dyDescent="0.3">
      <c r="S29" s="149" t="str">
        <f>IF(D11="","",LEFT(D11,14))</f>
        <v/>
      </c>
      <c r="T29" s="149" t="str">
        <f>IF(E11="","",IFERROR(VALUE(LEFT(E11,FIND("/",E11)-1)),0))</f>
        <v/>
      </c>
      <c r="U29" s="149">
        <f t="shared" ref="U29:W32" si="0">IF(ISNUMBER(F11),F11,0)</f>
        <v>0</v>
      </c>
      <c r="V29" s="149">
        <f t="shared" si="0"/>
        <v>0</v>
      </c>
      <c r="W29" s="149">
        <f t="shared" si="0"/>
        <v>0</v>
      </c>
      <c r="X29" s="149" t="str">
        <f t="shared" ref="X29:Z32" si="1">IF(ISNUMBER(F11),F11,"")</f>
        <v/>
      </c>
      <c r="Y29" s="149" t="str">
        <f t="shared" si="1"/>
        <v/>
      </c>
      <c r="Z29" s="149" t="str">
        <f t="shared" si="1"/>
        <v/>
      </c>
      <c r="AA29" s="149">
        <v>100</v>
      </c>
      <c r="AB29" s="149">
        <v>74</v>
      </c>
    </row>
    <row r="30" spans="2:28" ht="15.9" customHeight="1" x14ac:dyDescent="0.3">
      <c r="S30" s="149" t="str">
        <f>IF(D12="","",LEFT(D12,14))</f>
        <v/>
      </c>
      <c r="T30" s="149" t="str">
        <f>IF(E12="","",IFERROR(VALUE(LEFT(E12,FIND("/",E12)-1)),0))</f>
        <v/>
      </c>
      <c r="U30" s="149">
        <f t="shared" si="0"/>
        <v>0</v>
      </c>
      <c r="V30" s="149">
        <f t="shared" si="0"/>
        <v>0</v>
      </c>
      <c r="W30" s="149">
        <f t="shared" si="0"/>
        <v>0</v>
      </c>
      <c r="X30" s="149" t="str">
        <f t="shared" si="1"/>
        <v/>
      </c>
      <c r="Y30" s="149" t="str">
        <f t="shared" si="1"/>
        <v/>
      </c>
      <c r="Z30" s="149" t="str">
        <f t="shared" si="1"/>
        <v/>
      </c>
      <c r="AA30" s="149">
        <v>36</v>
      </c>
      <c r="AB30" s="149">
        <v>87</v>
      </c>
    </row>
    <row r="31" spans="2:28" ht="15.9" customHeight="1" x14ac:dyDescent="0.3">
      <c r="S31" s="149" t="str">
        <f>IF(D13="","",LEFT(D13,14))</f>
        <v/>
      </c>
      <c r="T31" s="149" t="str">
        <f>IF(E13="","",IFERROR(VALUE(LEFT(E13,FIND("/",E13)-1)),0))</f>
        <v/>
      </c>
      <c r="U31" s="149">
        <f t="shared" si="0"/>
        <v>0</v>
      </c>
      <c r="V31" s="149">
        <f t="shared" si="0"/>
        <v>0</v>
      </c>
      <c r="W31" s="149">
        <f t="shared" si="0"/>
        <v>0</v>
      </c>
      <c r="X31" s="149" t="str">
        <f t="shared" si="1"/>
        <v/>
      </c>
      <c r="Y31" s="149" t="str">
        <f t="shared" si="1"/>
        <v/>
      </c>
      <c r="Z31" s="149" t="str">
        <f t="shared" si="1"/>
        <v/>
      </c>
      <c r="AA31" s="149">
        <v>44</v>
      </c>
      <c r="AB31" s="149">
        <v>0</v>
      </c>
    </row>
    <row r="32" spans="2:28" x14ac:dyDescent="0.3">
      <c r="S32" s="149" t="str">
        <f>IF(D14="","",LEFT(D14,14))</f>
        <v/>
      </c>
      <c r="T32" s="149" t="str">
        <f>IF(E14="","",IFERROR(VALUE(LEFT(E14,FIND("/",E14)-1)),0))</f>
        <v/>
      </c>
      <c r="U32" s="149">
        <f t="shared" si="0"/>
        <v>0</v>
      </c>
      <c r="V32" s="149">
        <f t="shared" si="0"/>
        <v>0</v>
      </c>
      <c r="W32" s="149">
        <f t="shared" si="0"/>
        <v>0</v>
      </c>
      <c r="X32" s="149" t="str">
        <f t="shared" si="1"/>
        <v/>
      </c>
      <c r="Y32" s="149" t="str">
        <f t="shared" si="1"/>
        <v/>
      </c>
      <c r="Z32" s="149" t="str">
        <f t="shared" si="1"/>
        <v/>
      </c>
      <c r="AA32" s="149">
        <v>0</v>
      </c>
      <c r="AB32" s="149">
        <v>5</v>
      </c>
    </row>
  </sheetData>
  <mergeCells count="3">
    <mergeCell ref="B2:Q2"/>
    <mergeCell ref="B1:Q1"/>
    <mergeCell ref="B8:Q8"/>
  </mergeCells>
  <conditionalFormatting sqref="B11">
    <cfRule type="expression" dxfId="359" priority="1">
      <formula>C11=""</formula>
    </cfRule>
  </conditionalFormatting>
  <conditionalFormatting sqref="B11">
    <cfRule type="expression" dxfId="358" priority="2">
      <formula>C11&lt;&gt;""</formula>
    </cfRule>
  </conditionalFormatting>
  <conditionalFormatting sqref="C11:P11">
    <cfRule type="expression" dxfId="357" priority="3">
      <formula>C11=""</formula>
    </cfRule>
  </conditionalFormatting>
  <conditionalFormatting sqref="C11:P11">
    <cfRule type="expression" dxfId="356" priority="4">
      <formula>C11&lt;&gt;""</formula>
    </cfRule>
  </conditionalFormatting>
  <conditionalFormatting sqref="Q11">
    <cfRule type="expression" dxfId="355" priority="5">
      <formula>C11=""</formula>
    </cfRule>
  </conditionalFormatting>
  <conditionalFormatting sqref="Q11">
    <cfRule type="expression" dxfId="354" priority="6">
      <formula>C11&lt;&gt;""</formula>
    </cfRule>
  </conditionalFormatting>
  <conditionalFormatting sqref="R11">
    <cfRule type="expression" dxfId="353" priority="7">
      <formula>C11=""</formula>
    </cfRule>
  </conditionalFormatting>
  <conditionalFormatting sqref="R11">
    <cfRule type="expression" dxfId="352" priority="8">
      <formula>C11&lt;&gt;""</formula>
    </cfRule>
  </conditionalFormatting>
  <conditionalFormatting sqref="B12">
    <cfRule type="expression" dxfId="351" priority="9">
      <formula>C12=""</formula>
    </cfRule>
  </conditionalFormatting>
  <conditionalFormatting sqref="B12">
    <cfRule type="expression" dxfId="350" priority="10">
      <formula>C12&lt;&gt;""</formula>
    </cfRule>
  </conditionalFormatting>
  <conditionalFormatting sqref="C12:P12">
    <cfRule type="expression" dxfId="349" priority="11">
      <formula>C12=""</formula>
    </cfRule>
  </conditionalFormatting>
  <conditionalFormatting sqref="C12:P12">
    <cfRule type="expression" dxfId="348" priority="12">
      <formula>C12&lt;&gt;""</formula>
    </cfRule>
  </conditionalFormatting>
  <conditionalFormatting sqref="Q12">
    <cfRule type="expression" dxfId="347" priority="13">
      <formula>C12=""</formula>
    </cfRule>
  </conditionalFormatting>
  <conditionalFormatting sqref="Q12">
    <cfRule type="expression" dxfId="346" priority="14">
      <formula>C12&lt;&gt;""</formula>
    </cfRule>
  </conditionalFormatting>
  <conditionalFormatting sqref="R12">
    <cfRule type="expression" dxfId="345" priority="15">
      <formula>C12=""</formula>
    </cfRule>
  </conditionalFormatting>
  <conditionalFormatting sqref="R12">
    <cfRule type="expression" dxfId="344" priority="16">
      <formula>C12&lt;&gt;""</formula>
    </cfRule>
  </conditionalFormatting>
  <conditionalFormatting sqref="B13">
    <cfRule type="expression" dxfId="343" priority="17">
      <formula>C13=""</formula>
    </cfRule>
  </conditionalFormatting>
  <conditionalFormatting sqref="B13">
    <cfRule type="expression" dxfId="342" priority="18">
      <formula>C13&lt;&gt;""</formula>
    </cfRule>
  </conditionalFormatting>
  <conditionalFormatting sqref="C13:P13">
    <cfRule type="expression" dxfId="341" priority="19">
      <formula>C13=""</formula>
    </cfRule>
  </conditionalFormatting>
  <conditionalFormatting sqref="C13:P13">
    <cfRule type="expression" dxfId="340" priority="20">
      <formula>C13&lt;&gt;""</formula>
    </cfRule>
  </conditionalFormatting>
  <conditionalFormatting sqref="Q13">
    <cfRule type="expression" dxfId="339" priority="21">
      <formula>C13=""</formula>
    </cfRule>
  </conditionalFormatting>
  <conditionalFormatting sqref="Q13">
    <cfRule type="expression" dxfId="338" priority="22">
      <formula>C13&lt;&gt;""</formula>
    </cfRule>
  </conditionalFormatting>
  <conditionalFormatting sqref="R13">
    <cfRule type="expression" dxfId="337" priority="23">
      <formula>C13=""</formula>
    </cfRule>
  </conditionalFormatting>
  <conditionalFormatting sqref="R13">
    <cfRule type="expression" dxfId="336" priority="24">
      <formula>C13&lt;&gt;""</formula>
    </cfRule>
  </conditionalFormatting>
  <conditionalFormatting sqref="B14">
    <cfRule type="expression" dxfId="335" priority="25">
      <formula>C14=""</formula>
    </cfRule>
  </conditionalFormatting>
  <conditionalFormatting sqref="B14">
    <cfRule type="expression" dxfId="334" priority="26">
      <formula>C14&lt;&gt;""</formula>
    </cfRule>
  </conditionalFormatting>
  <conditionalFormatting sqref="C14:P14">
    <cfRule type="expression" dxfId="333" priority="27">
      <formula>C14=""</formula>
    </cfRule>
  </conditionalFormatting>
  <conditionalFormatting sqref="C14:P14">
    <cfRule type="expression" dxfId="332" priority="28">
      <formula>C14&lt;&gt;""</formula>
    </cfRule>
  </conditionalFormatting>
  <conditionalFormatting sqref="Q14">
    <cfRule type="expression" dxfId="331" priority="29">
      <formula>C14=""</formula>
    </cfRule>
  </conditionalFormatting>
  <conditionalFormatting sqref="Q14">
    <cfRule type="expression" dxfId="330" priority="30">
      <formula>C14&lt;&gt;""</formula>
    </cfRule>
  </conditionalFormatting>
  <conditionalFormatting sqref="R14">
    <cfRule type="expression" dxfId="329" priority="31">
      <formula>C14=""</formula>
    </cfRule>
  </conditionalFormatting>
  <conditionalFormatting sqref="R14">
    <cfRule type="expression" dxfId="328" priority="32">
      <formula>C14&lt;&gt;""</formula>
    </cfRule>
  </conditionalFormatting>
  <conditionalFormatting sqref="B15">
    <cfRule type="expression" dxfId="327" priority="33">
      <formula>C15=""</formula>
    </cfRule>
  </conditionalFormatting>
  <conditionalFormatting sqref="B15">
    <cfRule type="expression" dxfId="326" priority="34">
      <formula>C15&lt;&gt;""</formula>
    </cfRule>
  </conditionalFormatting>
  <conditionalFormatting sqref="C15:P15">
    <cfRule type="expression" dxfId="325" priority="35">
      <formula>C15=""</formula>
    </cfRule>
  </conditionalFormatting>
  <conditionalFormatting sqref="C15:P15">
    <cfRule type="expression" dxfId="324" priority="36">
      <formula>C15&lt;&gt;""</formula>
    </cfRule>
  </conditionalFormatting>
  <conditionalFormatting sqref="Q15">
    <cfRule type="expression" dxfId="323" priority="37">
      <formula>C15=""</formula>
    </cfRule>
  </conditionalFormatting>
  <conditionalFormatting sqref="Q15">
    <cfRule type="expression" dxfId="322" priority="38">
      <formula>C15&lt;&gt;""</formula>
    </cfRule>
  </conditionalFormatting>
  <conditionalFormatting sqref="R15">
    <cfRule type="expression" dxfId="321" priority="39">
      <formula>C15=""</formula>
    </cfRule>
  </conditionalFormatting>
  <conditionalFormatting sqref="R15">
    <cfRule type="expression" dxfId="320" priority="40">
      <formula>C15&lt;&gt;""</formula>
    </cfRule>
  </conditionalFormatting>
  <conditionalFormatting sqref="B16">
    <cfRule type="expression" dxfId="319" priority="41">
      <formula>C16=""</formula>
    </cfRule>
  </conditionalFormatting>
  <conditionalFormatting sqref="B16">
    <cfRule type="expression" dxfId="318" priority="42">
      <formula>C16&lt;&gt;""</formula>
    </cfRule>
  </conditionalFormatting>
  <conditionalFormatting sqref="C16:P16">
    <cfRule type="expression" dxfId="317" priority="43">
      <formula>C16=""</formula>
    </cfRule>
  </conditionalFormatting>
  <conditionalFormatting sqref="C16:P16">
    <cfRule type="expression" dxfId="316" priority="44">
      <formula>C16&lt;&gt;""</formula>
    </cfRule>
  </conditionalFormatting>
  <conditionalFormatting sqref="Q16">
    <cfRule type="expression" dxfId="315" priority="45">
      <formula>C16=""</formula>
    </cfRule>
  </conditionalFormatting>
  <conditionalFormatting sqref="Q16">
    <cfRule type="expression" dxfId="314" priority="46">
      <formula>C16&lt;&gt;""</formula>
    </cfRule>
  </conditionalFormatting>
  <conditionalFormatting sqref="R16">
    <cfRule type="expression" dxfId="313" priority="47">
      <formula>C16=""</formula>
    </cfRule>
  </conditionalFormatting>
  <conditionalFormatting sqref="R16">
    <cfRule type="expression" dxfId="312" priority="48">
      <formula>C16&lt;&gt;""</formula>
    </cfRule>
  </conditionalFormatting>
  <conditionalFormatting sqref="B17">
    <cfRule type="expression" dxfId="311" priority="49">
      <formula>C17=""</formula>
    </cfRule>
  </conditionalFormatting>
  <conditionalFormatting sqref="B17">
    <cfRule type="expression" dxfId="310" priority="50">
      <formula>C17&lt;&gt;""</formula>
    </cfRule>
  </conditionalFormatting>
  <conditionalFormatting sqref="C17:P17">
    <cfRule type="expression" dxfId="309" priority="51">
      <formula>C17=""</formula>
    </cfRule>
  </conditionalFormatting>
  <conditionalFormatting sqref="C17:P17">
    <cfRule type="expression" dxfId="308" priority="52">
      <formula>C17&lt;&gt;""</formula>
    </cfRule>
  </conditionalFormatting>
  <conditionalFormatting sqref="Q17">
    <cfRule type="expression" dxfId="307" priority="53">
      <formula>C17=""</formula>
    </cfRule>
  </conditionalFormatting>
  <conditionalFormatting sqref="Q17">
    <cfRule type="expression" dxfId="306" priority="54">
      <formula>C17&lt;&gt;""</formula>
    </cfRule>
  </conditionalFormatting>
  <conditionalFormatting sqref="R17">
    <cfRule type="expression" dxfId="305" priority="55">
      <formula>C17=""</formula>
    </cfRule>
  </conditionalFormatting>
  <conditionalFormatting sqref="R17">
    <cfRule type="expression" dxfId="304" priority="56">
      <formula>C17&lt;&gt;""</formula>
    </cfRule>
  </conditionalFormatting>
  <conditionalFormatting sqref="B18">
    <cfRule type="expression" dxfId="303" priority="57">
      <formula>C18=""</formula>
    </cfRule>
  </conditionalFormatting>
  <conditionalFormatting sqref="B18">
    <cfRule type="expression" dxfId="302" priority="58">
      <formula>C18&lt;&gt;""</formula>
    </cfRule>
  </conditionalFormatting>
  <conditionalFormatting sqref="C18:P18">
    <cfRule type="expression" dxfId="301" priority="59">
      <formula>C18=""</formula>
    </cfRule>
  </conditionalFormatting>
  <conditionalFormatting sqref="C18:P18">
    <cfRule type="expression" dxfId="300" priority="60">
      <formula>C18&lt;&gt;""</formula>
    </cfRule>
  </conditionalFormatting>
  <conditionalFormatting sqref="Q18">
    <cfRule type="expression" dxfId="299" priority="61">
      <formula>C18=""</formula>
    </cfRule>
  </conditionalFormatting>
  <conditionalFormatting sqref="Q18">
    <cfRule type="expression" dxfId="298" priority="62">
      <formula>C18&lt;&gt;""</formula>
    </cfRule>
  </conditionalFormatting>
  <conditionalFormatting sqref="R18">
    <cfRule type="expression" dxfId="297" priority="63">
      <formula>C18=""</formula>
    </cfRule>
  </conditionalFormatting>
  <conditionalFormatting sqref="R18">
    <cfRule type="expression" dxfId="296" priority="64">
      <formula>C18&lt;&gt;""</formula>
    </cfRule>
  </conditionalFormatting>
  <conditionalFormatting sqref="B19">
    <cfRule type="expression" dxfId="295" priority="65">
      <formula>C19=""</formula>
    </cfRule>
  </conditionalFormatting>
  <conditionalFormatting sqref="B19">
    <cfRule type="expression" dxfId="294" priority="66">
      <formula>C19&lt;&gt;""</formula>
    </cfRule>
  </conditionalFormatting>
  <conditionalFormatting sqref="C19:P19">
    <cfRule type="expression" dxfId="293" priority="67">
      <formula>C19=""</formula>
    </cfRule>
  </conditionalFormatting>
  <conditionalFormatting sqref="C19:P19">
    <cfRule type="expression" dxfId="292" priority="68">
      <formula>C19&lt;&gt;""</formula>
    </cfRule>
  </conditionalFormatting>
  <conditionalFormatting sqref="Q19">
    <cfRule type="expression" dxfId="291" priority="69">
      <formula>C19=""</formula>
    </cfRule>
  </conditionalFormatting>
  <conditionalFormatting sqref="Q19">
    <cfRule type="expression" dxfId="290" priority="70">
      <formula>C19&lt;&gt;""</formula>
    </cfRule>
  </conditionalFormatting>
  <conditionalFormatting sqref="R19">
    <cfRule type="expression" dxfId="289" priority="71">
      <formula>C19=""</formula>
    </cfRule>
  </conditionalFormatting>
  <conditionalFormatting sqref="R19">
    <cfRule type="expression" dxfId="288" priority="72">
      <formula>C19&lt;&gt;""</formula>
    </cfRule>
  </conditionalFormatting>
  <conditionalFormatting sqref="B20">
    <cfRule type="expression" dxfId="287" priority="73">
      <formula>C20=""</formula>
    </cfRule>
  </conditionalFormatting>
  <conditionalFormatting sqref="B20">
    <cfRule type="expression" dxfId="286" priority="74">
      <formula>C20&lt;&gt;""</formula>
    </cfRule>
  </conditionalFormatting>
  <conditionalFormatting sqref="C20:P20">
    <cfRule type="expression" dxfId="285" priority="75">
      <formula>C20=""</formula>
    </cfRule>
  </conditionalFormatting>
  <conditionalFormatting sqref="C20:P20">
    <cfRule type="expression" dxfId="284" priority="76">
      <formula>C20&lt;&gt;""</formula>
    </cfRule>
  </conditionalFormatting>
  <conditionalFormatting sqref="Q20">
    <cfRule type="expression" dxfId="283" priority="77">
      <formula>C20=""</formula>
    </cfRule>
  </conditionalFormatting>
  <conditionalFormatting sqref="Q20">
    <cfRule type="expression" dxfId="282" priority="78">
      <formula>C20&lt;&gt;""</formula>
    </cfRule>
  </conditionalFormatting>
  <conditionalFormatting sqref="R20">
    <cfRule type="expression" dxfId="281" priority="79">
      <formula>C20=""</formula>
    </cfRule>
  </conditionalFormatting>
  <conditionalFormatting sqref="R20">
    <cfRule type="expression" dxfId="280" priority="80">
      <formula>C20&lt;&gt;""</formula>
    </cfRule>
  </conditionalFormatting>
  <conditionalFormatting sqref="B21">
    <cfRule type="expression" dxfId="279" priority="81">
      <formula>C21=""</formula>
    </cfRule>
  </conditionalFormatting>
  <conditionalFormatting sqref="B21">
    <cfRule type="expression" dxfId="278" priority="82">
      <formula>C21&lt;&gt;""</formula>
    </cfRule>
  </conditionalFormatting>
  <conditionalFormatting sqref="C21:P21">
    <cfRule type="expression" dxfId="277" priority="83">
      <formula>C21=""</formula>
    </cfRule>
  </conditionalFormatting>
  <conditionalFormatting sqref="C21:P21">
    <cfRule type="expression" dxfId="276" priority="84">
      <formula>C21&lt;&gt;""</formula>
    </cfRule>
  </conditionalFormatting>
  <conditionalFormatting sqref="Q21">
    <cfRule type="expression" dxfId="275" priority="85">
      <formula>C21=""</formula>
    </cfRule>
  </conditionalFormatting>
  <conditionalFormatting sqref="Q21">
    <cfRule type="expression" dxfId="274" priority="86">
      <formula>C21&lt;&gt;""</formula>
    </cfRule>
  </conditionalFormatting>
  <conditionalFormatting sqref="R21">
    <cfRule type="expression" dxfId="273" priority="87">
      <formula>C21=""</formula>
    </cfRule>
  </conditionalFormatting>
  <conditionalFormatting sqref="R21">
    <cfRule type="expression" dxfId="272" priority="88">
      <formula>C21&lt;&gt;""</formula>
    </cfRule>
  </conditionalFormatting>
  <conditionalFormatting sqref="B22">
    <cfRule type="expression" dxfId="271" priority="89">
      <formula>C22=""</formula>
    </cfRule>
  </conditionalFormatting>
  <conditionalFormatting sqref="B22">
    <cfRule type="expression" dxfId="270" priority="90">
      <formula>C22&lt;&gt;""</formula>
    </cfRule>
  </conditionalFormatting>
  <conditionalFormatting sqref="C22:P22">
    <cfRule type="expression" dxfId="269" priority="91">
      <formula>C22=""</formula>
    </cfRule>
  </conditionalFormatting>
  <conditionalFormatting sqref="C22:P22">
    <cfRule type="expression" dxfId="268" priority="92">
      <formula>C22&lt;&gt;""</formula>
    </cfRule>
  </conditionalFormatting>
  <conditionalFormatting sqref="Q22">
    <cfRule type="expression" dxfId="267" priority="93">
      <formula>C22=""</formula>
    </cfRule>
  </conditionalFormatting>
  <conditionalFormatting sqref="Q22">
    <cfRule type="expression" dxfId="266" priority="94">
      <formula>C22&lt;&gt;""</formula>
    </cfRule>
  </conditionalFormatting>
  <conditionalFormatting sqref="R22">
    <cfRule type="expression" dxfId="265" priority="95">
      <formula>C22=""</formula>
    </cfRule>
  </conditionalFormatting>
  <conditionalFormatting sqref="R22">
    <cfRule type="expression" dxfId="264" priority="96">
      <formula>C22&lt;&gt;""</formula>
    </cfRule>
  </conditionalFormatting>
  <conditionalFormatting sqref="B23">
    <cfRule type="expression" dxfId="263" priority="97">
      <formula>C23=""</formula>
    </cfRule>
  </conditionalFormatting>
  <conditionalFormatting sqref="B23">
    <cfRule type="expression" dxfId="262" priority="98">
      <formula>C23&lt;&gt;""</formula>
    </cfRule>
  </conditionalFormatting>
  <conditionalFormatting sqref="C23:P23">
    <cfRule type="expression" dxfId="261" priority="99">
      <formula>C23=""</formula>
    </cfRule>
  </conditionalFormatting>
  <conditionalFormatting sqref="C23:P23">
    <cfRule type="expression" dxfId="260" priority="100">
      <formula>C23&lt;&gt;""</formula>
    </cfRule>
  </conditionalFormatting>
  <conditionalFormatting sqref="Q23">
    <cfRule type="expression" dxfId="259" priority="101">
      <formula>C23=""</formula>
    </cfRule>
  </conditionalFormatting>
  <conditionalFormatting sqref="Q23">
    <cfRule type="expression" dxfId="258" priority="102">
      <formula>C23&lt;&gt;""</formula>
    </cfRule>
  </conditionalFormatting>
  <conditionalFormatting sqref="R23">
    <cfRule type="expression" dxfId="257" priority="103">
      <formula>C23=""</formula>
    </cfRule>
  </conditionalFormatting>
  <conditionalFormatting sqref="R23">
    <cfRule type="expression" dxfId="256" priority="104">
      <formula>C23&lt;&gt;""</formula>
    </cfRule>
  </conditionalFormatting>
  <conditionalFormatting sqref="B24">
    <cfRule type="expression" dxfId="255" priority="105">
      <formula>C24=""</formula>
    </cfRule>
  </conditionalFormatting>
  <conditionalFormatting sqref="B24">
    <cfRule type="expression" dxfId="254" priority="106">
      <formula>C24&lt;&gt;""</formula>
    </cfRule>
  </conditionalFormatting>
  <conditionalFormatting sqref="C24:P24">
    <cfRule type="expression" dxfId="253" priority="107">
      <formula>C24=""</formula>
    </cfRule>
  </conditionalFormatting>
  <conditionalFormatting sqref="C24:P24">
    <cfRule type="expression" dxfId="252" priority="108">
      <formula>C24&lt;&gt;""</formula>
    </cfRule>
  </conditionalFormatting>
  <conditionalFormatting sqref="Q24">
    <cfRule type="expression" dxfId="251" priority="109">
      <formula>C24=""</formula>
    </cfRule>
  </conditionalFormatting>
  <conditionalFormatting sqref="Q24">
    <cfRule type="expression" dxfId="250" priority="110">
      <formula>C24&lt;&gt;""</formula>
    </cfRule>
  </conditionalFormatting>
  <conditionalFormatting sqref="R24">
    <cfRule type="expression" dxfId="249" priority="111">
      <formula>C24=""</formula>
    </cfRule>
  </conditionalFormatting>
  <conditionalFormatting sqref="R24">
    <cfRule type="expression" dxfId="248" priority="112">
      <formula>C24&lt;&gt;""</formula>
    </cfRule>
  </conditionalFormatting>
  <conditionalFormatting sqref="B25">
    <cfRule type="expression" dxfId="247" priority="113">
      <formula>C25=""</formula>
    </cfRule>
  </conditionalFormatting>
  <conditionalFormatting sqref="B25">
    <cfRule type="expression" dxfId="246" priority="114">
      <formula>C25&lt;&gt;""</formula>
    </cfRule>
  </conditionalFormatting>
  <conditionalFormatting sqref="C25:P25">
    <cfRule type="expression" dxfId="245" priority="115">
      <formula>C25=""</formula>
    </cfRule>
  </conditionalFormatting>
  <conditionalFormatting sqref="C25:P25">
    <cfRule type="expression" dxfId="244" priority="116">
      <formula>C25&lt;&gt;""</formula>
    </cfRule>
  </conditionalFormatting>
  <conditionalFormatting sqref="Q25">
    <cfRule type="expression" dxfId="243" priority="117">
      <formula>C25=""</formula>
    </cfRule>
  </conditionalFormatting>
  <conditionalFormatting sqref="Q25">
    <cfRule type="expression" dxfId="242" priority="118">
      <formula>C25&lt;&gt;""</formula>
    </cfRule>
  </conditionalFormatting>
  <conditionalFormatting sqref="R25">
    <cfRule type="expression" dxfId="241" priority="119">
      <formula>C25=""</formula>
    </cfRule>
  </conditionalFormatting>
  <conditionalFormatting sqref="R25">
    <cfRule type="expression" dxfId="240" priority="120">
      <formula>C25&lt;&gt;""</formula>
    </cfRule>
  </conditionalFormatting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B32"/>
  <sheetViews>
    <sheetView showGridLines="0" zoomScaleNormal="100" workbookViewId="0">
      <selection activeCell="P10" sqref="P10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9" width="8" customWidth="1"/>
    <col min="10" max="10" width="10.109375" bestFit="1" customWidth="1"/>
    <col min="11" max="11" width="8.5546875" bestFit="1" customWidth="1"/>
    <col min="12" max="12" width="10.44140625" bestFit="1" customWidth="1"/>
    <col min="13" max="13" width="8" customWidth="1"/>
    <col min="14" max="14" width="6.44140625" customWidth="1"/>
    <col min="15" max="15" width="9.6640625" bestFit="1" customWidth="1"/>
    <col min="16" max="16" width="7.88671875" bestFit="1" customWidth="1"/>
    <col min="17" max="17" width="14.109375" style="408" bestFit="1" customWidth="1"/>
  </cols>
  <sheetData>
    <row r="1" spans="2:18" ht="30" customHeight="1" x14ac:dyDescent="0.3">
      <c r="B1" s="383" t="str">
        <f>"FinSight IA  ·  Conso. Cycl.  ·  "&amp;TRIM(MID('DONNÉES BRUTES'!A$1,FIND("·",'DONNÉES BRUTES'!A$1)+1,FIND("·",'DONNÉES BRUTES'!A$1,FIND("·",'DONNÉES BRUTES'!A$1)+1)-FIND("·",'DONNÉES BRUTES'!A$1)-1))&amp;"  ·  "&amp;COUNTIF('DONNÉES BRUTES'!C$3:C$42,"Conso. Cycl.")&amp;" sociétés  ·  17/04/2026"</f>
        <v>FinSight IA  ·  Conso. Cycl.  ·  FTSE 100  ·  5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2" spans="2:18" ht="18" customHeight="1" x14ac:dyDescent="0.3">
      <c r="B2" s="381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</row>
    <row r="3" spans="2:18" ht="8.1" customHeight="1" x14ac:dyDescent="0.3">
      <c r="Q3"/>
    </row>
    <row r="4" spans="2:18" ht="8.1" customHeight="1" x14ac:dyDescent="0.3">
      <c r="Q4"/>
    </row>
    <row r="5" spans="2:18" ht="30" customHeight="1" x14ac:dyDescent="0.3">
      <c r="B5" s="164"/>
      <c r="C5" s="157">
        <f>COUNTIF('DONNÉES BRUTES'!C$3:C$42,"Conso. Cycl.")</f>
        <v>5</v>
      </c>
      <c r="D5" s="164"/>
      <c r="E5" s="164" t="str">
        <f>IFERROR(ROUND(AVERAGEIF('DONNÉES BRUTES'!C$3:C$42,"Conso. Cycl.",'DONNÉES BRUTES'!AB$3:AB$42),0)&amp;"/100","—")</f>
        <v>53/100</v>
      </c>
      <c r="F5" s="164"/>
      <c r="G5" s="164"/>
      <c r="H5" s="173" t="str">
        <f t="array" ref="H5">LEFT(IFERROR(INDEX('DONNÉES BRUTES'!B$3:B$42,MATCH(LARGE(IF('DONNÉES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BRUTES'!A$3))/1000,0),0)),"—"),18)</f>
        <v>NEXT plc</v>
      </c>
      <c r="I5" s="164"/>
      <c r="J5" s="164"/>
      <c r="K5" s="164"/>
      <c r="L5" s="191">
        <f>IFERROR(VLOOKUP("Conso. Cycl.",'PAR SECTEUR'!B$8:G$17,6,0),"—")</f>
        <v>0.13300000000000001</v>
      </c>
      <c r="M5" s="164"/>
      <c r="N5" s="162">
        <f t="array" ref="N5">IFERROR(ROUND(MEDIAN(IF('DONNÉES BRUTES'!C$3:C$42="Conso. Cycl.",IF(ISNUMBER('DONNÉES BRUTES'!Y$3:Y$42),'DONNÉES BRUTES'!Y$3:Y$42))),0),"—")</f>
        <v>54</v>
      </c>
      <c r="O5" s="164"/>
      <c r="P5" s="174" t="str">
        <f>IFERROR(VLOOKUP("Conso. Cycl.",'PAR SECTEUR'!B$8:J$17,9,0),"—")</f>
        <v>Négatif</v>
      </c>
      <c r="Q5" s="164"/>
    </row>
    <row r="6" spans="2:18" ht="15" customHeight="1" x14ac:dyDescent="0.3">
      <c r="B6" s="164"/>
      <c r="C6" s="158" t="s">
        <v>413</v>
      </c>
      <c r="D6" s="158"/>
      <c r="E6" s="158" t="s">
        <v>414</v>
      </c>
      <c r="F6" s="158"/>
      <c r="G6" s="158"/>
      <c r="H6" s="158" t="s">
        <v>415</v>
      </c>
      <c r="I6" s="158"/>
      <c r="J6" s="158"/>
      <c r="K6" s="164"/>
      <c r="L6" s="159" t="s">
        <v>388</v>
      </c>
      <c r="M6" s="164"/>
      <c r="N6" s="159" t="s">
        <v>416</v>
      </c>
      <c r="O6" s="164"/>
      <c r="P6" s="159" t="s">
        <v>21</v>
      </c>
      <c r="Q6" s="158"/>
    </row>
    <row r="7" spans="2:18" ht="8.1" customHeight="1" x14ac:dyDescent="0.3">
      <c r="Q7"/>
    </row>
    <row r="8" spans="2:18" ht="21.9" customHeight="1" x14ac:dyDescent="0.3">
      <c r="B8" s="384" t="str">
        <f>"ANALYSE DÉTAILLÉE  ·  "&amp;UPPER("Conso. Cycl.")&amp;"  ·  "&amp;COUNTIF('DONNÉES BRUTES'!C$3:C$42,"Conso. Cycl.")&amp;" sociétés  ·  Triée par Score Global"</f>
        <v>ANALYSE DÉTAILLÉE  ·  CONSO. CYCL.  ·  5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</row>
    <row r="9" spans="2:18" ht="6" customHeight="1" x14ac:dyDescent="0.3">
      <c r="Q9"/>
    </row>
    <row r="10" spans="2:18" ht="20.100000000000001" customHeight="1" x14ac:dyDescent="0.3">
      <c r="B10" s="236" t="s">
        <v>8</v>
      </c>
      <c r="C10" s="237" t="s">
        <v>9</v>
      </c>
      <c r="D10" s="237" t="s">
        <v>10</v>
      </c>
      <c r="E10" s="237" t="s">
        <v>11</v>
      </c>
      <c r="F10" s="237" t="s">
        <v>417</v>
      </c>
      <c r="G10" s="237" t="s">
        <v>418</v>
      </c>
      <c r="H10" s="237" t="s">
        <v>419</v>
      </c>
      <c r="I10" s="237" t="s">
        <v>420</v>
      </c>
      <c r="J10" s="237" t="s">
        <v>345</v>
      </c>
      <c r="K10" s="237" t="s">
        <v>421</v>
      </c>
      <c r="L10" s="237" t="s">
        <v>346</v>
      </c>
      <c r="M10" s="237" t="s">
        <v>124</v>
      </c>
      <c r="N10" s="237" t="s">
        <v>422</v>
      </c>
      <c r="O10" s="237" t="s">
        <v>423</v>
      </c>
      <c r="P10" s="237" t="s">
        <v>32</v>
      </c>
      <c r="Q10" s="409" t="s">
        <v>21</v>
      </c>
    </row>
    <row r="11" spans="2:18" ht="18" customHeight="1" x14ac:dyDescent="0.3">
      <c r="B11" s="396">
        <v>1</v>
      </c>
      <c r="C11" s="396" t="str">
        <f t="array" ref="C11">IFERROR(IF(1&gt;COUNTIF('DONNÉES BRUTES'!C$3:C$42,"Conso. Cycl."),"",INDEX('DONNÉES BRUTES'!A$3:A$42,MATCH(LARGE(IF('DONNÉES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NXT.L</v>
      </c>
      <c r="D11" s="396" t="str">
        <f t="array" ref="D11">IFERROR(IF(1&gt;COUNTIF('DONNÉES BRUTES'!C$3:C$42,"Conso. Cycl."),"",INDEX('DONNÉES BRUTES'!B$3:B$42,MATCH(LARGE(IF('DONNÉES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NEXT plc</v>
      </c>
      <c r="E11" s="396" t="str">
        <f t="array" ref="E11">IFERROR(IF(1&gt;COUNTIF('DONNÉES BRUTES'!C$3:C$42,"Conso. Cycl."),"",INT(LARGE(IF('DONNÉES BRUTES'!C$3:C$42="Conso. Cycl.",'DONNÉES BRUTES'!AB$3:AB$42+(ROW('DONNÉES BRUTES'!A$3:A$42)-ROW('DONNÉES BRUTES'!A$3))/1000,0),1))&amp;"/100"),"—")</f>
        <v>58/100</v>
      </c>
      <c r="F11" s="401">
        <f t="array" ref="F11">IFERROR(IF(1&gt;COUNTIF('DONNÉES BRUTES'!C$3:C$42,"Conso. Cycl."),"",INDEX('DONNÉES BRUTES'!Y$3:Y$42,MATCH(LARGE(IF('DONNÉES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72</v>
      </c>
      <c r="G11" s="401">
        <f t="array" ref="G11">IFERROR(IF(1&gt;COUNTIF('DONNÉES BRUTES'!C$3:C$42,"Conso. Cycl."),"",INDEX('DONNÉES BRUTES'!Z$3:Z$42,MATCH(LARGE(IF('DONNÉES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71</v>
      </c>
      <c r="H11" s="401">
        <f t="array" ref="H11">IFERROR(IF(1&gt;COUNTIF('DONNÉES BRUTES'!C$3:C$42,"Conso. Cycl."),"",INDEX('DONNÉES BRUTES'!AA$3:AA$42,MATCH(LARGE(IF('DONNÉES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38</v>
      </c>
      <c r="I11" s="401" t="str">
        <f t="array" ref="I11">IFERROR(IF(1&gt;COUNTIF('DONNÉES BRUTES'!C$3:C$42,"Conso. Cycl."),"",INDEX('DONNÉES BRUTES'!M$3:M$42,MATCH(LARGE(IF('DONNÉES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43.2%</v>
      </c>
      <c r="J11" s="401" t="str">
        <f t="array" ref="J11">IFERROR(IF(1&gt;COUNTIF('DONNÉES BRUTES'!C$3:C$42,"Conso. Cycl."),"",INDEX('DONNÉES BRUTES'!N$3:N$42,MATCH(LARGE(IF('DONNÉES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22.8%</v>
      </c>
      <c r="K11" s="401" t="str">
        <f t="array" ref="K11">IFERROR(IF(1&gt;COUNTIF('DONNÉES BRUTES'!C$3:C$42,"Conso. Cycl."),"",INDEX('DONNÉES BRUTES'!O$3:O$42,MATCH(LARGE(IF('DONNÉES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12.0%</v>
      </c>
      <c r="L11" s="401" t="str">
        <f t="array" ref="L11">IFERROR(IF(1&gt;COUNTIF('DONNÉES BRUTES'!C$3:C$42,"Conso. Cycl."),"",INDEX('DONNÉES BRUTES'!P$3:P$42,MATCH(LARGE(IF('DONNÉES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+11.4%</v>
      </c>
      <c r="M11" s="401" t="str">
        <f t="array" ref="M11">IFERROR(IF(1&gt;COUNTIF('DONNÉES BRUTES'!C$3:C$42,"Conso. Cycl."),"",INDEX('DONNÉES BRUTES'!Q$3:Q$42,MATCH(LARGE(IF('DONNÉES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+45.0%</v>
      </c>
      <c r="N11" s="401">
        <f t="array" ref="N11">IFERROR(IF(1&gt;COUNTIF('DONNÉES BRUTES'!C$3:C$42,"Conso. Cycl."),"",INDEX('DONNÉES BRUTES'!S$3:S$42,MATCH(LARGE(IF('DONNÉES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1.69</v>
      </c>
      <c r="O11" s="401" t="str">
        <f t="array" ref="O11">IFERROR(IF(1&gt;COUNTIF('DONNÉES BRUTES'!C$3:C$42,"Conso. Cycl."),"",INDEX('DONNÉES BRUTES'!T$3:T$42,MATCH(LARGE(IF('DONNÉES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0.5x</v>
      </c>
      <c r="P11" s="401">
        <f t="array" ref="P11">IFERROR(IF(1&gt;COUNTIF('DONNÉES BRUTES'!C$3:C$42,"Conso. Cycl."),"",INDEX('DONNÉES BRUTES'!U$3:U$42,MATCH(LARGE(IF('DONNÉES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5.79</v>
      </c>
      <c r="Q11" s="405" t="str">
        <f t="array" ref="Q11">IFERROR(IF(1&gt;COUNTIF('DONNÉES BRUTES'!C$3:C$42,"Conso. Cycl."),"",INDEX('DONNÉES BRUTES'!AD$3:AD$42,MATCH(LARGE(IF('DONNÉES BRUTES'!C$3:C$42="Conso. Cycl.",'DONNÉES BRUTES'!AB$3:AB$42+(ROW('DONNÉES BRUTES'!A$3:A$42)-ROW('DONNÉES BRUTES'!A$3))/1000,0),1),IF('DONNÉES BRUTES'!C$3:C$42="Conso. Cycl.",'DONNÉES BRUTES'!AB$3:AB$42+(ROW('DONNÉES BRUTES'!A$3:A$42)-ROW('DONNÉES BRUTES'!A$3))/1000,0),0))),"—")</f>
        <v>Neutre</v>
      </c>
      <c r="R11" s="397"/>
    </row>
    <row r="12" spans="2:18" ht="15.9" customHeight="1" x14ac:dyDescent="0.3">
      <c r="B12" s="398">
        <v>2</v>
      </c>
      <c r="C12" s="398" t="str">
        <f t="array" ref="C12">IFERROR(IF(2&gt;COUNTIF('DONNÉES BRUTES'!C$3:C$42,"Conso. Cycl."),"",INDEX('DONNÉES BRUTES'!A$3:A$42,MATCH(LARGE(IF('DONNÉES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IHG.L</v>
      </c>
      <c r="D12" s="398" t="str">
        <f t="array" ref="D12">IFERROR(IF(2&gt;COUNTIF('DONNÉES BRUTES'!C$3:C$42,"Conso. Cycl."),"",INDEX('DONNÉES BRUTES'!B$3:B$42,MATCH(LARGE(IF('DONNÉES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InterContinental Hotels Group PLC</v>
      </c>
      <c r="E12" s="398" t="str">
        <f t="array" ref="E12">IFERROR(IF(2&gt;COUNTIF('DONNÉES BRUTES'!C$3:C$42,"Conso. Cycl."),"",INT(LARGE(IF('DONNÉES BRUTES'!C$3:C$42="Conso. Cycl.",'DONNÉES BRUTES'!AB$3:AB$42+(ROW('DONNÉES BRUTES'!A$3:A$42)-ROW('DONNÉES BRUTES'!A$3))/1000,0),2))&amp;"/100"),"—")</f>
        <v>54/100</v>
      </c>
      <c r="F12" s="402">
        <f t="array" ref="F12">IFERROR(IF(2&gt;COUNTIF('DONNÉES BRUTES'!C$3:C$42,"Conso. Cycl."),"",INDEX('DONNÉES BRUTES'!Y$3:Y$42,MATCH(LARGE(IF('DONNÉES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46</v>
      </c>
      <c r="G12" s="402">
        <f t="array" ref="G12">IFERROR(IF(2&gt;COUNTIF('DONNÉES BRUTES'!C$3:C$42,"Conso. Cycl."),"",INDEX('DONNÉES BRUTES'!Z$3:Z$42,MATCH(LARGE(IF('DONNÉES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36</v>
      </c>
      <c r="H12" s="402">
        <f t="array" ref="H12">IFERROR(IF(2&gt;COUNTIF('DONNÉES BRUTES'!C$3:C$42,"Conso. Cycl."),"",INDEX('DONNÉES BRUTES'!AA$3:AA$42,MATCH(LARGE(IF('DONNÉES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72</v>
      </c>
      <c r="I12" s="402" t="str">
        <f t="array" ref="I12">IFERROR(IF(2&gt;COUNTIF('DONNÉES BRUTES'!C$3:C$42,"Conso. Cycl."),"",INDEX('DONNÉES BRUTES'!M$3:M$42,MATCH(LARGE(IF('DONNÉES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31.3%</v>
      </c>
      <c r="J12" s="402" t="str">
        <f t="array" ref="J12">IFERROR(IF(2&gt;COUNTIF('DONNÉES BRUTES'!C$3:C$42,"Conso. Cycl."),"",INDEX('DONNÉES BRUTES'!N$3:N$42,MATCH(LARGE(IF('DONNÉES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27.3%</v>
      </c>
      <c r="K12" s="402" t="str">
        <f t="array" ref="K12">IFERROR(IF(2&gt;COUNTIF('DONNÉES BRUTES'!C$3:C$42,"Conso. Cycl."),"",INDEX('DONNÉES BRUTES'!O$3:O$42,MATCH(LARGE(IF('DONNÉES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14.6%</v>
      </c>
      <c r="L12" s="402" t="str">
        <f t="array" ref="L12">IFERROR(IF(2&gt;COUNTIF('DONNÉES BRUTES'!C$3:C$42,"Conso. Cycl."),"",INDEX('DONNÉES BRUTES'!P$3:P$42,MATCH(LARGE(IF('DONNÉES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+5.4%</v>
      </c>
      <c r="M12" s="402" t="str">
        <f t="array" ref="M12">IFERROR(IF(2&gt;COUNTIF('DONNÉES BRUTES'!C$3:C$42,"Conso. Cycl."),"",INDEX('DONNÉES BRUTES'!Q$3:Q$42,MATCH(LARGE(IF('DONNÉES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-27.7%</v>
      </c>
      <c r="N12" s="402">
        <f t="array" ref="N12">IFERROR(IF(2&gt;COUNTIF('DONNÉES BRUTES'!C$3:C$42,"Conso. Cycl."),"",INDEX('DONNÉES BRUTES'!S$3:S$42,MATCH(LARGE(IF('DONNÉES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0.98</v>
      </c>
      <c r="O12" s="402" t="str">
        <f t="array" ref="O12">IFERROR(IF(2&gt;COUNTIF('DONNÉES BRUTES'!C$3:C$42,"Conso. Cycl."),"",INDEX('DONNÉES BRUTES'!T$3:T$42,MATCH(LARGE(IF('DONNÉES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2.2x</v>
      </c>
      <c r="P12" s="402">
        <f t="array" ref="P12">IFERROR(IF(2&gt;COUNTIF('DONNÉES BRUTES'!C$3:C$42,"Conso. Cycl."),"",INDEX('DONNÉES BRUTES'!U$3:U$42,MATCH(LARGE(IF('DONNÉES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0.99</v>
      </c>
      <c r="Q12" s="406" t="str">
        <f t="array" ref="Q12">IFERROR(IF(2&gt;COUNTIF('DONNÉES BRUTES'!C$3:C$42,"Conso. Cycl."),"",INDEX('DONNÉES BRUTES'!AD$3:AD$42,MATCH(LARGE(IF('DONNÉES BRUTES'!C$3:C$42="Conso. Cycl.",'DONNÉES BRUTES'!AB$3:AB$42+(ROW('DONNÉES BRUTES'!A$3:A$42)-ROW('DONNÉES BRUTES'!A$3))/1000,0),2),IF('DONNÉES BRUTES'!C$3:C$42="Conso. Cycl.",'DONNÉES BRUTES'!AB$3:AB$42+(ROW('DONNÉES BRUTES'!A$3:A$42)-ROW('DONNÉES BRUTES'!A$3))/1000,0),0))),"—")</f>
        <v>Neutre</v>
      </c>
      <c r="R12" s="397"/>
    </row>
    <row r="13" spans="2:18" ht="15.9" customHeight="1" x14ac:dyDescent="0.3">
      <c r="B13" s="396">
        <v>3</v>
      </c>
      <c r="C13" s="396" t="str">
        <f t="array" ref="C13">IFERROR(IF(3&gt;COUNTIF('DONNÉES BRUTES'!C$3:C$42,"Conso. Cycl."),"",INDEX('DONNÉES BRUTES'!A$3:A$42,MATCH(LARGE(IF('DONNÉES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JD.L</v>
      </c>
      <c r="D13" s="396" t="str">
        <f t="array" ref="D13">IFERROR(IF(3&gt;COUNTIF('DONNÉES BRUTES'!C$3:C$42,"Conso. Cycl."),"",INDEX('DONNÉES BRUTES'!B$3:B$42,MATCH(LARGE(IF('DONNÉES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JD Sports Fashion Plc</v>
      </c>
      <c r="E13" s="396" t="str">
        <f t="array" ref="E13">IFERROR(IF(3&gt;COUNTIF('DONNÉES BRUTES'!C$3:C$42,"Conso. Cycl."),"",INT(LARGE(IF('DONNÉES BRUTES'!C$3:C$42="Conso. Cycl.",'DONNÉES BRUTES'!AB$3:AB$42+(ROW('DONNÉES BRUTES'!A$3:A$42)-ROW('DONNÉES BRUTES'!A$3))/1000,0),3))&amp;"/100"),"—")</f>
        <v>53/100</v>
      </c>
      <c r="F13" s="401">
        <f t="array" ref="F13">IFERROR(IF(3&gt;COUNTIF('DONNÉES BRUTES'!C$3:C$42,"Conso. Cycl."),"",INDEX('DONNÉES BRUTES'!Y$3:Y$42,MATCH(LARGE(IF('DONNÉES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60</v>
      </c>
      <c r="G13" s="401">
        <f t="array" ref="G13">IFERROR(IF(3&gt;COUNTIF('DONNÉES BRUTES'!C$3:C$42,"Conso. Cycl."),"",INDEX('DONNÉES BRUTES'!Z$3:Z$42,MATCH(LARGE(IF('DONNÉES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49</v>
      </c>
      <c r="H13" s="401">
        <f t="array" ref="H13">IFERROR(IF(3&gt;COUNTIF('DONNÉES BRUTES'!C$3:C$42,"Conso. Cycl."),"",INDEX('DONNÉES BRUTES'!AA$3:AA$42,MATCH(LARGE(IF('DONNÉES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25</v>
      </c>
      <c r="I13" s="401" t="str">
        <f t="array" ref="I13">IFERROR(IF(3&gt;COUNTIF('DONNÉES BRUTES'!C$3:C$42,"Conso. Cycl."),"",INDEX('DONNÉES BRUTES'!M$3:M$42,MATCH(LARGE(IF('DONNÉES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47.7%</v>
      </c>
      <c r="J13" s="401" t="str">
        <f t="array" ref="J13">IFERROR(IF(3&gt;COUNTIF('DONNÉES BRUTES'!C$3:C$42,"Conso. Cycl."),"",INDEX('DONNÉES BRUTES'!N$3:N$42,MATCH(LARGE(IF('DONNÉES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14.4%</v>
      </c>
      <c r="K13" s="401" t="str">
        <f t="array" ref="K13">IFERROR(IF(3&gt;COUNTIF('DONNÉES BRUTES'!C$3:C$42,"Conso. Cycl."),"",INDEX('DONNÉES BRUTES'!O$3:O$42,MATCH(LARGE(IF('DONNÉES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4.3%</v>
      </c>
      <c r="L13" s="401" t="str">
        <f t="array" ref="L13">IFERROR(IF(3&gt;COUNTIF('DONNÉES BRUTES'!C$3:C$42,"Conso. Cycl."),"",INDEX('DONNÉES BRUTES'!P$3:P$42,MATCH(LARGE(IF('DONNÉES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+8.7%</v>
      </c>
      <c r="M13" s="401" t="str">
        <f t="array" ref="M13">IFERROR(IF(3&gt;COUNTIF('DONNÉES BRUTES'!C$3:C$42,"Conso. Cycl."),"",INDEX('DONNÉES BRUTES'!Q$3:Q$42,MATCH(LARGE(IF('DONNÉES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+16.8%</v>
      </c>
      <c r="N13" s="401">
        <f t="array" ref="N13">IFERROR(IF(3&gt;COUNTIF('DONNÉES BRUTES'!C$3:C$42,"Conso. Cycl."),"",INDEX('DONNÉES BRUTES'!S$3:S$42,MATCH(LARGE(IF('DONNÉES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1.29</v>
      </c>
      <c r="O13" s="401" t="str">
        <f t="array" ref="O13">IFERROR(IF(3&gt;COUNTIF('DONNÉES BRUTES'!C$3:C$42,"Conso. Cycl."),"",INDEX('DONNÉES BRUTES'!T$3:T$42,MATCH(LARGE(IF('DONNÉES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-0.0x</v>
      </c>
      <c r="P13" s="401">
        <f t="array" ref="P13">IFERROR(IF(3&gt;COUNTIF('DONNÉES BRUTES'!C$3:C$42,"Conso. Cycl."),"",INDEX('DONNÉES BRUTES'!U$3:U$42,MATCH(LARGE(IF('DONNÉES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2.38</v>
      </c>
      <c r="Q13" s="405" t="str">
        <f t="array" ref="Q13">IFERROR(IF(3&gt;COUNTIF('DONNÉES BRUTES'!C$3:C$42,"Conso. Cycl."),"",INDEX('DONNÉES BRUTES'!AD$3:AD$42,MATCH(LARGE(IF('DONNÉES BRUTES'!C$3:C$42="Conso. Cycl.",'DONNÉES BRUTES'!AB$3:AB$42+(ROW('DONNÉES BRUTES'!A$3:A$42)-ROW('DONNÉES BRUTES'!A$3))/1000,0),3),IF('DONNÉES BRUTES'!C$3:C$42="Conso. Cycl.",'DONNÉES BRUTES'!AB$3:AB$42+(ROW('DONNÉES BRUTES'!A$3:A$42)-ROW('DONNÉES BRUTES'!A$3))/1000,0),0))),"—")</f>
        <v>Neutre</v>
      </c>
      <c r="R13" s="397"/>
    </row>
    <row r="14" spans="2:18" ht="15.9" customHeight="1" x14ac:dyDescent="0.3">
      <c r="B14" s="398">
        <v>4</v>
      </c>
      <c r="C14" s="398" t="str">
        <f t="array" ref="C14">IFERROR(IF(4&gt;COUNTIF('DONNÉES BRUTES'!C$3:C$42,"Conso. Cycl."),"",INDEX('DONNÉES BRUTES'!A$3:A$42,MATCH(LARGE(IF('DONNÉES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BKG.L</v>
      </c>
      <c r="D14" s="398" t="str">
        <f t="array" ref="D14">IFERROR(IF(4&gt;COUNTIF('DONNÉES BRUTES'!C$3:C$42,"Conso. Cycl."),"",INDEX('DONNÉES BRUTES'!B$3:B$42,MATCH(LARGE(IF('DONNÉES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The Berkeley Group Holdings plc</v>
      </c>
      <c r="E14" s="398" t="str">
        <f t="array" ref="E14">IFERROR(IF(4&gt;COUNTIF('DONNÉES BRUTES'!C$3:C$42,"Conso. Cycl."),"",INT(LARGE(IF('DONNÉES BRUTES'!C$3:C$42="Conso. Cycl.",'DONNÉES BRUTES'!AB$3:AB$42+(ROW('DONNÉES BRUTES'!A$3:A$42)-ROW('DONNÉES BRUTES'!A$3))/1000,0),4))&amp;"/100"),"—")</f>
        <v>51/100</v>
      </c>
      <c r="F14" s="402">
        <f t="array" ref="F14">IFERROR(IF(4&gt;COUNTIF('DONNÉES BRUTES'!C$3:C$42,"Conso. Cycl."),"",INDEX('DONNÉES BRUTES'!Y$3:Y$42,MATCH(LARGE(IF('DONNÉES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42</v>
      </c>
      <c r="G14" s="402">
        <f t="array" ref="G14">IFERROR(IF(4&gt;COUNTIF('DONNÉES BRUTES'!C$3:C$42,"Conso. Cycl."),"",INDEX('DONNÉES BRUTES'!Z$3:Z$42,MATCH(LARGE(IF('DONNÉES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83</v>
      </c>
      <c r="H14" s="402">
        <f t="array" ref="H14">IFERROR(IF(4&gt;COUNTIF('DONNÉES BRUTES'!C$3:C$42,"Conso. Cycl."),"",INDEX('DONNÉES BRUTES'!AA$3:AA$42,MATCH(LARGE(IF('DONNÉES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18</v>
      </c>
      <c r="I14" s="402" t="str">
        <f t="array" ref="I14">IFERROR(IF(4&gt;COUNTIF('DONNÉES BRUTES'!C$3:C$42,"Conso. Cycl."),"",INDEX('DONNÉES BRUTES'!M$3:M$42,MATCH(LARGE(IF('DONNÉES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26.6%</v>
      </c>
      <c r="J14" s="402" t="str">
        <f t="array" ref="J14">IFERROR(IF(4&gt;COUNTIF('DONNÉES BRUTES'!C$3:C$42,"Conso. Cycl."),"",INDEX('DONNÉES BRUTES'!N$3:N$42,MATCH(LARGE(IF('DONNÉES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22.6%</v>
      </c>
      <c r="K14" s="402" t="str">
        <f t="array" ref="K14">IFERROR(IF(4&gt;COUNTIF('DONNÉES BRUTES'!C$3:C$42,"Conso. Cycl."),"",INDEX('DONNÉES BRUTES'!O$3:O$42,MATCH(LARGE(IF('DONNÉES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15.4%</v>
      </c>
      <c r="L14" s="402" t="str">
        <f t="array" ref="L14">IFERROR(IF(4&gt;COUNTIF('DONNÉES BRUTES'!C$3:C$42,"Conso. Cycl."),"",INDEX('DONNÉES BRUTES'!P$3:P$42,MATCH(LARGE(IF('DONNÉES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+0.9%</v>
      </c>
      <c r="M14" s="402" t="str">
        <f t="array" ref="M14">IFERROR(IF(4&gt;COUNTIF('DONNÉES BRUTES'!C$3:C$42,"Conso. Cycl."),"",INDEX('DONNÉES BRUTES'!Q$3:Q$42,MATCH(LARGE(IF('DONNÉES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+10.7%</v>
      </c>
      <c r="N14" s="402">
        <f t="array" ref="N14">IFERROR(IF(4&gt;COUNTIF('DONNÉES BRUTES'!C$3:C$42,"Conso. Cycl."),"",INDEX('DONNÉES BRUTES'!S$3:S$42,MATCH(LARGE(IF('DONNÉES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3.36</v>
      </c>
      <c r="O14" s="402" t="str">
        <f t="array" ref="O14">IFERROR(IF(4&gt;COUNTIF('DONNÉES BRUTES'!C$3:C$42,"Conso. Cycl."),"",INDEX('DONNÉES BRUTES'!T$3:T$42,MATCH(LARGE(IF('DONNÉES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-0.6x</v>
      </c>
      <c r="P14" s="402">
        <f t="array" ref="P14">IFERROR(IF(4&gt;COUNTIF('DONNÉES BRUTES'!C$3:C$42,"Conso. Cycl."),"",INDEX('DONNÉES BRUTES'!U$3:U$42,MATCH(LARGE(IF('DONNÉES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8.16</v>
      </c>
      <c r="Q14" s="406" t="str">
        <f t="array" ref="Q14">IFERROR(IF(4&gt;COUNTIF('DONNÉES BRUTES'!C$3:C$42,"Conso. Cycl."),"",INDEX('DONNÉES BRUTES'!AD$3:AD$42,MATCH(LARGE(IF('DONNÉES BRUTES'!C$3:C$42="Conso. Cycl.",'DONNÉES BRUTES'!AB$3:AB$42+(ROW('DONNÉES BRUTES'!A$3:A$42)-ROW('DONNÉES BRUTES'!A$3))/1000,0),4),IF('DONNÉES BRUTES'!C$3:C$42="Conso. Cycl.",'DONNÉES BRUTES'!AB$3:AB$42+(ROW('DONNÉES BRUTES'!A$3:A$42)-ROW('DONNÉES BRUTES'!A$3))/1000,0),0))),"—")</f>
        <v>Neutre</v>
      </c>
      <c r="R14" s="397"/>
    </row>
    <row r="15" spans="2:18" ht="15.9" customHeight="1" x14ac:dyDescent="0.3">
      <c r="B15" s="396">
        <v>5</v>
      </c>
      <c r="C15" s="396" t="str">
        <f t="array" ref="C15">IFERROR(IF(5&gt;COUNTIF('DONNÉES BRUTES'!C$3:C$42,"Conso. Cycl."),"",INDEX('DONNÉES BRUTES'!A$3:A$42,MATCH(LARGE(IF('DONNÉES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PSN.L</v>
      </c>
      <c r="D15" s="396" t="str">
        <f t="array" ref="D15">IFERROR(IF(5&gt;COUNTIF('DONNÉES BRUTES'!C$3:C$42,"Conso. Cycl."),"",INDEX('DONNÉES BRUTES'!B$3:B$42,MATCH(LARGE(IF('DONNÉES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Persimmon Plc</v>
      </c>
      <c r="E15" s="396" t="str">
        <f t="array" ref="E15">IFERROR(IF(5&gt;COUNTIF('DONNÉES BRUTES'!C$3:C$42,"Conso. Cycl."),"",INT(LARGE(IF('DONNÉES BRUTES'!C$3:C$42="Conso. Cycl.",'DONNÉES BRUTES'!AB$3:AB$42+(ROW('DONNÉES BRUTES'!A$3:A$42)-ROW('DONNÉES BRUTES'!A$3))/1000,0),5))&amp;"/100"),"—")</f>
        <v>50/100</v>
      </c>
      <c r="F15" s="401">
        <f t="array" ref="F15">IFERROR(IF(5&gt;COUNTIF('DONNÉES BRUTES'!C$3:C$42,"Conso. Cycl."),"",INDEX('DONNÉES BRUTES'!Y$3:Y$42,MATCH(LARGE(IF('DONNÉES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54</v>
      </c>
      <c r="G15" s="401">
        <f t="array" ref="G15">IFERROR(IF(5&gt;COUNTIF('DONNÉES BRUTES'!C$3:C$42,"Conso. Cycl."),"",INDEX('DONNÉES BRUTES'!Z$3:Z$42,MATCH(LARGE(IF('DONNÉES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74</v>
      </c>
      <c r="H15" s="401">
        <f t="array" ref="H15">IFERROR(IF(5&gt;COUNTIF('DONNÉES BRUTES'!C$3:C$42,"Conso. Cycl."),"",INDEX('DONNÉES BRUTES'!AA$3:AA$42,MATCH(LARGE(IF('DONNÉES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24</v>
      </c>
      <c r="I15" s="401" t="str">
        <f t="array" ref="I15">IFERROR(IF(5&gt;COUNTIF('DONNÉES BRUTES'!C$3:C$42,"Conso. Cycl."),"",INDEX('DONNÉES BRUTES'!M$3:M$42,MATCH(LARGE(IF('DONNÉES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16.4%</v>
      </c>
      <c r="J15" s="401" t="str">
        <f t="array" ref="J15">IFERROR(IF(5&gt;COUNTIF('DONNÉES BRUTES'!C$3:C$42,"Conso. Cycl."),"",INDEX('DONNÉES BRUTES'!N$3:N$42,MATCH(LARGE(IF('DONNÉES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12.2%</v>
      </c>
      <c r="K15" s="401" t="str">
        <f t="array" ref="K15">IFERROR(IF(5&gt;COUNTIF('DONNÉES BRUTES'!C$3:C$42,"Conso. Cycl."),"",INDEX('DONNÉES BRUTES'!O$3:O$42,MATCH(LARGE(IF('DONNÉES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7.6%</v>
      </c>
      <c r="L15" s="401" t="str">
        <f t="array" ref="L15">IFERROR(IF(5&gt;COUNTIF('DONNÉES BRUTES'!C$3:C$42,"Conso. Cycl."),"",INDEX('DONNÉES BRUTES'!P$3:P$42,MATCH(LARGE(IF('DONNÉES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+17.2%</v>
      </c>
      <c r="M15" s="401" t="str">
        <f t="array" ref="M15">IFERROR(IF(5&gt;COUNTIF('DONNÉES BRUTES'!C$3:C$42,"Conso. Cycl."),"",INDEX('DONNÉES BRUTES'!Q$3:Q$42,MATCH(LARGE(IF('DONNÉES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+7.9%</v>
      </c>
      <c r="N15" s="401">
        <f t="array" ref="N15">IFERROR(IF(5&gt;COUNTIF('DONNÉES BRUTES'!C$3:C$42,"Conso. Cycl."),"",INDEX('DONNÉES BRUTES'!S$3:S$42,MATCH(LARGE(IF('DONNÉES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3.99</v>
      </c>
      <c r="O15" s="401" t="str">
        <f t="array" ref="O15">IFERROR(IF(5&gt;COUNTIF('DONNÉES BRUTES'!C$3:C$42,"Conso. Cycl."),"",INDEX('DONNÉES BRUTES'!T$3:T$42,MATCH(LARGE(IF('DONNÉES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-0.3x</v>
      </c>
      <c r="P15" s="401">
        <f t="array" ref="P15">IFERROR(IF(5&gt;COUNTIF('DONNÉES BRUTES'!C$3:C$42,"Conso. Cycl."),"",INDEX('DONNÉES BRUTES'!U$3:U$42,MATCH(LARGE(IF('DONNÉES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9.14</v>
      </c>
      <c r="Q15" s="405" t="str">
        <f t="array" ref="Q15">IFERROR(IF(5&gt;COUNTIF('DONNÉES BRUTES'!C$3:C$42,"Conso. Cycl."),"",INDEX('DONNÉES BRUTES'!AD$3:AD$42,MATCH(LARGE(IF('DONNÉES BRUTES'!C$3:C$42="Conso. Cycl.",'DONNÉES BRUTES'!AB$3:AB$42+(ROW('DONNÉES BRUTES'!A$3:A$42)-ROW('DONNÉES BRUTES'!A$3))/1000,0),5),IF('DONNÉES BRUTES'!C$3:C$42="Conso. Cycl.",'DONNÉES BRUTES'!AB$3:AB$42+(ROW('DONNÉES BRUTES'!A$3:A$42)-ROW('DONNÉES BRUTES'!A$3))/1000,0),0))),"—")</f>
        <v>Neutre</v>
      </c>
      <c r="R15" s="397"/>
    </row>
    <row r="16" spans="2:18" ht="15.9" customHeight="1" x14ac:dyDescent="0.3">
      <c r="B16" s="398">
        <v>6</v>
      </c>
      <c r="C16" s="398" t="str">
        <f t="array" ref="C16">IFERROR(IF(6&gt;COUNTIF('DONNÉES BRUTES'!C$3:C$42,"Conso. Cycl."),"",INDEX('DONNÉES BRUTES'!A$3:A$42,MATCH(LARGE(IF('DONNÉES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D16" s="398" t="str">
        <f t="array" ref="D16">IFERROR(IF(6&gt;COUNTIF('DONNÉES BRUTES'!C$3:C$42,"Conso. Cycl."),"",INDEX('DONNÉES BRUTES'!B$3:B$42,MATCH(LARGE(IF('DONNÉES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E16" s="398" t="str">
        <f t="array" ref="E16">IFERROR(IF(6&gt;COUNTIF('DONNÉES BRUTES'!C$3:C$42,"Conso. Cycl."),"",INT(LARGE(IF('DONNÉES BRUTES'!C$3:C$42="Conso. Cycl.",'DONNÉES BRUTES'!AB$3:AB$42+(ROW('DONNÉES BRUTES'!A$3:A$42)-ROW('DONNÉES BRUTES'!A$3))/1000,0),6))&amp;"/100"),"—")</f>
        <v/>
      </c>
      <c r="F16" s="398" t="str">
        <f t="array" ref="F16">IFERROR(IF(6&gt;COUNTIF('DONNÉES BRUTES'!C$3:C$42,"Conso. Cycl."),"",INDEX('DONNÉES BRUTES'!Y$3:Y$42,MATCH(LARGE(IF('DONNÉES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G16" s="398" t="str">
        <f t="array" ref="G16">IFERROR(IF(6&gt;COUNTIF('DONNÉES BRUTES'!C$3:C$42,"Conso. Cycl."),"",INDEX('DONNÉES BRUTES'!Z$3:Z$42,MATCH(LARGE(IF('DONNÉES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H16" s="398" t="str">
        <f t="array" ref="H16">IFERROR(IF(6&gt;COUNTIF('DONNÉES BRUTES'!C$3:C$42,"Conso. Cycl."),"",INDEX('DONNÉES BRUTES'!AA$3:AA$42,MATCH(LARGE(IF('DONNÉES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I16" s="398" t="str">
        <f t="array" ref="I16">IFERROR(IF(6&gt;COUNTIF('DONNÉES BRUTES'!C$3:C$42,"Conso. Cycl."),"",INDEX('DONNÉES BRUTES'!M$3:M$42,MATCH(LARGE(IF('DONNÉES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J16" s="398" t="str">
        <f t="array" ref="J16">IFERROR(IF(6&gt;COUNTIF('DONNÉES BRUTES'!C$3:C$42,"Conso. Cycl."),"",INDEX('DONNÉES BRUTES'!N$3:N$42,MATCH(LARGE(IF('DONNÉES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K16" s="398" t="str">
        <f t="array" ref="K16">IFERROR(IF(6&gt;COUNTIF('DONNÉES BRUTES'!C$3:C$42,"Conso. Cycl."),"",INDEX('DONNÉES BRUTES'!O$3:O$42,MATCH(LARGE(IF('DONNÉES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L16" s="398" t="str">
        <f t="array" ref="L16">IFERROR(IF(6&gt;COUNTIF('DONNÉES BRUTES'!C$3:C$42,"Conso. Cycl."),"",INDEX('DONNÉES BRUTES'!P$3:P$42,MATCH(LARGE(IF('DONNÉES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M16" s="398" t="str">
        <f t="array" ref="M16">IFERROR(IF(6&gt;COUNTIF('DONNÉES BRUTES'!C$3:C$42,"Conso. Cycl."),"",INDEX('DONNÉES BRUTES'!Q$3:Q$42,MATCH(LARGE(IF('DONNÉES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N16" s="398" t="str">
        <f t="array" ref="N16">IFERROR(IF(6&gt;COUNTIF('DONNÉES BRUTES'!C$3:C$42,"Conso. Cycl."),"",INDEX('DONNÉES BRUTES'!S$3:S$42,MATCH(LARGE(IF('DONNÉES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O16" s="398" t="str">
        <f t="array" ref="O16">IFERROR(IF(6&gt;COUNTIF('DONNÉES BRUTES'!C$3:C$42,"Conso. Cycl."),"",INDEX('DONNÉES BRUTES'!T$3:T$42,MATCH(LARGE(IF('DONNÉES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P16" s="398" t="str">
        <f t="array" ref="P16">IFERROR(IF(6&gt;COUNTIF('DONNÉES BRUTES'!C$3:C$42,"Conso. Cycl."),"",INDEX('DONNÉES BRUTES'!U$3:U$42,MATCH(LARGE(IF('DONNÉES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Q16" s="406" t="str">
        <f t="array" ref="Q16">IFERROR(IF(6&gt;COUNTIF('DONNÉES BRUTES'!C$3:C$42,"Conso. Cycl."),"",INDEX('DONNÉES BRUTES'!AD$3:AD$42,MATCH(LARGE(IF('DONNÉES BRUTES'!C$3:C$42="Conso. Cycl.",'DONNÉES BRUTES'!AB$3:AB$42+(ROW('DONNÉES BRUTES'!A$3:A$42)-ROW('DONNÉES BRUTES'!A$3))/1000,0),6),IF('DONNÉES BRUTES'!C$3:C$42="Conso. Cycl.",'DONNÉES BRUTES'!AB$3:AB$42+(ROW('DONNÉES BRUTES'!A$3:A$42)-ROW('DONNÉES BRUTES'!A$3))/1000,0),0))),"—")</f>
        <v/>
      </c>
      <c r="R16" s="397"/>
    </row>
    <row r="17" spans="2:28" ht="15.9" customHeight="1" x14ac:dyDescent="0.3">
      <c r="B17" s="396">
        <v>7</v>
      </c>
      <c r="C17" s="396" t="str">
        <f t="array" ref="C17">IFERROR(IF(7&gt;COUNTIF('DONNÉES BRUTES'!C$3:C$42,"Conso. Cycl."),"",INDEX('DONNÉES BRUTES'!A$3:A$42,MATCH(LARGE(IF('DONNÉES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D17" s="396" t="str">
        <f t="array" ref="D17">IFERROR(IF(7&gt;COUNTIF('DONNÉES BRUTES'!C$3:C$42,"Conso. Cycl."),"",INDEX('DONNÉES BRUTES'!B$3:B$42,MATCH(LARGE(IF('DONNÉES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E17" s="396" t="str">
        <f t="array" ref="E17">IFERROR(IF(7&gt;COUNTIF('DONNÉES BRUTES'!C$3:C$42,"Conso. Cycl."),"",INT(LARGE(IF('DONNÉES BRUTES'!C$3:C$42="Conso. Cycl.",'DONNÉES BRUTES'!AB$3:AB$42+(ROW('DONNÉES BRUTES'!A$3:A$42)-ROW('DONNÉES BRUTES'!A$3))/1000,0),7))&amp;"/100"),"—")</f>
        <v/>
      </c>
      <c r="F17" s="396" t="str">
        <f t="array" ref="F17">IFERROR(IF(7&gt;COUNTIF('DONNÉES BRUTES'!C$3:C$42,"Conso. Cycl."),"",INDEX('DONNÉES BRUTES'!Y$3:Y$42,MATCH(LARGE(IF('DONNÉES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G17" s="396" t="str">
        <f t="array" ref="G17">IFERROR(IF(7&gt;COUNTIF('DONNÉES BRUTES'!C$3:C$42,"Conso. Cycl."),"",INDEX('DONNÉES BRUTES'!Z$3:Z$42,MATCH(LARGE(IF('DONNÉES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H17" s="396" t="str">
        <f t="array" ref="H17">IFERROR(IF(7&gt;COUNTIF('DONNÉES BRUTES'!C$3:C$42,"Conso. Cycl."),"",INDEX('DONNÉES BRUTES'!AA$3:AA$42,MATCH(LARGE(IF('DONNÉES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I17" s="396" t="str">
        <f t="array" ref="I17">IFERROR(IF(7&gt;COUNTIF('DONNÉES BRUTES'!C$3:C$42,"Conso. Cycl."),"",INDEX('DONNÉES BRUTES'!M$3:M$42,MATCH(LARGE(IF('DONNÉES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J17" s="396" t="str">
        <f t="array" ref="J17">IFERROR(IF(7&gt;COUNTIF('DONNÉES BRUTES'!C$3:C$42,"Conso. Cycl."),"",INDEX('DONNÉES BRUTES'!N$3:N$42,MATCH(LARGE(IF('DONNÉES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K17" s="396" t="str">
        <f t="array" ref="K17">IFERROR(IF(7&gt;COUNTIF('DONNÉES BRUTES'!C$3:C$42,"Conso. Cycl."),"",INDEX('DONNÉES BRUTES'!O$3:O$42,MATCH(LARGE(IF('DONNÉES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L17" s="396" t="str">
        <f t="array" ref="L17">IFERROR(IF(7&gt;COUNTIF('DONNÉES BRUTES'!C$3:C$42,"Conso. Cycl."),"",INDEX('DONNÉES BRUTES'!P$3:P$42,MATCH(LARGE(IF('DONNÉES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M17" s="396" t="str">
        <f t="array" ref="M17">IFERROR(IF(7&gt;COUNTIF('DONNÉES BRUTES'!C$3:C$42,"Conso. Cycl."),"",INDEX('DONNÉES BRUTES'!Q$3:Q$42,MATCH(LARGE(IF('DONNÉES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N17" s="396" t="str">
        <f t="array" ref="N17">IFERROR(IF(7&gt;COUNTIF('DONNÉES BRUTES'!C$3:C$42,"Conso. Cycl."),"",INDEX('DONNÉES BRUTES'!S$3:S$42,MATCH(LARGE(IF('DONNÉES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O17" s="396" t="str">
        <f t="array" ref="O17">IFERROR(IF(7&gt;COUNTIF('DONNÉES BRUTES'!C$3:C$42,"Conso. Cycl."),"",INDEX('DONNÉES BRUTES'!T$3:T$42,MATCH(LARGE(IF('DONNÉES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P17" s="396" t="str">
        <f t="array" ref="P17">IFERROR(IF(7&gt;COUNTIF('DONNÉES BRUTES'!C$3:C$42,"Conso. Cycl."),"",INDEX('DONNÉES BRUTES'!U$3:U$42,MATCH(LARGE(IF('DONNÉES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Q17" s="405" t="str">
        <f t="array" ref="Q17">IFERROR(IF(7&gt;COUNTIF('DONNÉES BRUTES'!C$3:C$42,"Conso. Cycl."),"",INDEX('DONNÉES BRUTES'!AD$3:AD$42,MATCH(LARGE(IF('DONNÉES BRUTES'!C$3:C$42="Conso. Cycl.",'DONNÉES BRUTES'!AB$3:AB$42+(ROW('DONNÉES BRUTES'!A$3:A$42)-ROW('DONNÉES BRUTES'!A$3))/1000,0),7),IF('DONNÉES BRUTES'!C$3:C$42="Conso. Cycl.",'DONNÉES BRUTES'!AB$3:AB$42+(ROW('DONNÉES BRUTES'!A$3:A$42)-ROW('DONNÉES BRUTES'!A$3))/1000,0),0))),"—")</f>
        <v/>
      </c>
      <c r="R17" s="397"/>
    </row>
    <row r="18" spans="2:28" ht="15.9" customHeight="1" x14ac:dyDescent="0.3">
      <c r="B18" s="397">
        <v>8</v>
      </c>
      <c r="C18" s="397" t="str">
        <f t="array" ref="C18">IFERROR(IF(8&gt;COUNTIF('DONNÉES BRUTES'!C$3:C$42,"Conso. Cycl."),"",INDEX('DONNÉES BRUTES'!A$3:A$42,MATCH(LARGE(IF('DONNÉES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D18" s="397" t="str">
        <f t="array" ref="D18">IFERROR(IF(8&gt;COUNTIF('DONNÉES BRUTES'!C$3:C$42,"Conso. Cycl."),"",INDEX('DONNÉES BRUTES'!B$3:B$42,MATCH(LARGE(IF('DONNÉES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E18" s="397" t="str">
        <f t="array" ref="E18">IFERROR(IF(8&gt;COUNTIF('DONNÉES BRUTES'!C$3:C$42,"Conso. Cycl."),"",INT(LARGE(IF('DONNÉES BRUTES'!C$3:C$42="Conso. Cycl.",'DONNÉES BRUTES'!AB$3:AB$42+(ROW('DONNÉES BRUTES'!A$3:A$42)-ROW('DONNÉES BRUTES'!A$3))/1000,0),8))&amp;"/100"),"—")</f>
        <v/>
      </c>
      <c r="F18" s="397" t="str">
        <f t="array" ref="F18">IFERROR(IF(8&gt;COUNTIF('DONNÉES BRUTES'!C$3:C$42,"Conso. Cycl."),"",INDEX('DONNÉES BRUTES'!Y$3:Y$42,MATCH(LARGE(IF('DONNÉES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G18" s="397" t="str">
        <f t="array" ref="G18">IFERROR(IF(8&gt;COUNTIF('DONNÉES BRUTES'!C$3:C$42,"Conso. Cycl."),"",INDEX('DONNÉES BRUTES'!Z$3:Z$42,MATCH(LARGE(IF('DONNÉES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H18" s="397" t="str">
        <f t="array" ref="H18">IFERROR(IF(8&gt;COUNTIF('DONNÉES BRUTES'!C$3:C$42,"Conso. Cycl."),"",INDEX('DONNÉES BRUTES'!AA$3:AA$42,MATCH(LARGE(IF('DONNÉES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I18" s="397" t="str">
        <f t="array" ref="I18">IFERROR(IF(8&gt;COUNTIF('DONNÉES BRUTES'!C$3:C$42,"Conso. Cycl."),"",INDEX('DONNÉES BRUTES'!M$3:M$42,MATCH(LARGE(IF('DONNÉES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J18" s="397" t="str">
        <f t="array" ref="J18">IFERROR(IF(8&gt;COUNTIF('DONNÉES BRUTES'!C$3:C$42,"Conso. Cycl."),"",INDEX('DONNÉES BRUTES'!N$3:N$42,MATCH(LARGE(IF('DONNÉES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K18" s="397" t="str">
        <f t="array" ref="K18">IFERROR(IF(8&gt;COUNTIF('DONNÉES BRUTES'!C$3:C$42,"Conso. Cycl."),"",INDEX('DONNÉES BRUTES'!O$3:O$42,MATCH(LARGE(IF('DONNÉES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L18" s="397" t="str">
        <f t="array" ref="L18">IFERROR(IF(8&gt;COUNTIF('DONNÉES BRUTES'!C$3:C$42,"Conso. Cycl."),"",INDEX('DONNÉES BRUTES'!P$3:P$42,MATCH(LARGE(IF('DONNÉES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M18" s="397" t="str">
        <f t="array" ref="M18">IFERROR(IF(8&gt;COUNTIF('DONNÉES BRUTES'!C$3:C$42,"Conso. Cycl."),"",INDEX('DONNÉES BRUTES'!Q$3:Q$42,MATCH(LARGE(IF('DONNÉES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N18" s="397" t="str">
        <f t="array" ref="N18">IFERROR(IF(8&gt;COUNTIF('DONNÉES BRUTES'!C$3:C$42,"Conso. Cycl."),"",INDEX('DONNÉES BRUTES'!S$3:S$42,MATCH(LARGE(IF('DONNÉES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O18" s="397" t="str">
        <f t="array" ref="O18">IFERROR(IF(8&gt;COUNTIF('DONNÉES BRUTES'!C$3:C$42,"Conso. Cycl."),"",INDEX('DONNÉES BRUTES'!T$3:T$42,MATCH(LARGE(IF('DONNÉES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P18" s="397" t="str">
        <f t="array" ref="P18">IFERROR(IF(8&gt;COUNTIF('DONNÉES BRUTES'!C$3:C$42,"Conso. Cycl."),"",INDEX('DONNÉES BRUTES'!U$3:U$42,MATCH(LARGE(IF('DONNÉES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Q18" s="407" t="str">
        <f t="array" ref="Q18">IFERROR(IF(8&gt;COUNTIF('DONNÉES BRUTES'!C$3:C$42,"Conso. Cycl."),"",INDEX('DONNÉES BRUTES'!AD$3:AD$42,MATCH(LARGE(IF('DONNÉES BRUTES'!C$3:C$42="Conso. Cycl.",'DONNÉES BRUTES'!AB$3:AB$42+(ROW('DONNÉES BRUTES'!A$3:A$42)-ROW('DONNÉES BRUTES'!A$3))/1000,0),8),IF('DONNÉES BRUTES'!C$3:C$42="Conso. Cycl.",'DONNÉES BRUTES'!AB$3:AB$42+(ROW('DONNÉES BRUTES'!A$3:A$42)-ROW('DONNÉES BRUTES'!A$3))/1000,0),0))),"—")</f>
        <v/>
      </c>
      <c r="R18" s="397"/>
    </row>
    <row r="19" spans="2:28" ht="15.9" customHeight="1" x14ac:dyDescent="0.3">
      <c r="B19" s="397">
        <v>9</v>
      </c>
      <c r="C19" s="397" t="str">
        <f t="array" ref="C19">IFERROR(IF(9&gt;COUNTIF('DONNÉES BRUTES'!C$3:C$42,"Conso. Cycl."),"",INDEX('DONNÉES BRUTES'!A$3:A$42,MATCH(LARGE(IF('DONNÉES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D19" s="397" t="str">
        <f t="array" ref="D19">IFERROR(IF(9&gt;COUNTIF('DONNÉES BRUTES'!C$3:C$42,"Conso. Cycl."),"",INDEX('DONNÉES BRUTES'!B$3:B$42,MATCH(LARGE(IF('DONNÉES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E19" s="397" t="str">
        <f t="array" ref="E19">IFERROR(IF(9&gt;COUNTIF('DONNÉES BRUTES'!C$3:C$42,"Conso. Cycl."),"",INT(LARGE(IF('DONNÉES BRUTES'!C$3:C$42="Conso. Cycl.",'DONNÉES BRUTES'!AB$3:AB$42+(ROW('DONNÉES BRUTES'!A$3:A$42)-ROW('DONNÉES BRUTES'!A$3))/1000,0),9))&amp;"/100"),"—")</f>
        <v/>
      </c>
      <c r="F19" s="397" t="str">
        <f t="array" ref="F19">IFERROR(IF(9&gt;COUNTIF('DONNÉES BRUTES'!C$3:C$42,"Conso. Cycl."),"",INDEX('DONNÉES BRUTES'!Y$3:Y$42,MATCH(LARGE(IF('DONNÉES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G19" s="397" t="str">
        <f t="array" ref="G19">IFERROR(IF(9&gt;COUNTIF('DONNÉES BRUTES'!C$3:C$42,"Conso. Cycl."),"",INDEX('DONNÉES BRUTES'!Z$3:Z$42,MATCH(LARGE(IF('DONNÉES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H19" s="397" t="str">
        <f t="array" ref="H19">IFERROR(IF(9&gt;COUNTIF('DONNÉES BRUTES'!C$3:C$42,"Conso. Cycl."),"",INDEX('DONNÉES BRUTES'!AA$3:AA$42,MATCH(LARGE(IF('DONNÉES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I19" s="397" t="str">
        <f t="array" ref="I19">IFERROR(IF(9&gt;COUNTIF('DONNÉES BRUTES'!C$3:C$42,"Conso. Cycl."),"",INDEX('DONNÉES BRUTES'!M$3:M$42,MATCH(LARGE(IF('DONNÉES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J19" s="397" t="str">
        <f t="array" ref="J19">IFERROR(IF(9&gt;COUNTIF('DONNÉES BRUTES'!C$3:C$42,"Conso. Cycl."),"",INDEX('DONNÉES BRUTES'!N$3:N$42,MATCH(LARGE(IF('DONNÉES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K19" s="397" t="str">
        <f t="array" ref="K19">IFERROR(IF(9&gt;COUNTIF('DONNÉES BRUTES'!C$3:C$42,"Conso. Cycl."),"",INDEX('DONNÉES BRUTES'!O$3:O$42,MATCH(LARGE(IF('DONNÉES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L19" s="397" t="str">
        <f t="array" ref="L19">IFERROR(IF(9&gt;COUNTIF('DONNÉES BRUTES'!C$3:C$42,"Conso. Cycl."),"",INDEX('DONNÉES BRUTES'!P$3:P$42,MATCH(LARGE(IF('DONNÉES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M19" s="397" t="str">
        <f t="array" ref="M19">IFERROR(IF(9&gt;COUNTIF('DONNÉES BRUTES'!C$3:C$42,"Conso. Cycl."),"",INDEX('DONNÉES BRUTES'!Q$3:Q$42,MATCH(LARGE(IF('DONNÉES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N19" s="397" t="str">
        <f t="array" ref="N19">IFERROR(IF(9&gt;COUNTIF('DONNÉES BRUTES'!C$3:C$42,"Conso. Cycl."),"",INDEX('DONNÉES BRUTES'!S$3:S$42,MATCH(LARGE(IF('DONNÉES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O19" s="397" t="str">
        <f t="array" ref="O19">IFERROR(IF(9&gt;COUNTIF('DONNÉES BRUTES'!C$3:C$42,"Conso. Cycl."),"",INDEX('DONNÉES BRUTES'!T$3:T$42,MATCH(LARGE(IF('DONNÉES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P19" s="397" t="str">
        <f t="array" ref="P19">IFERROR(IF(9&gt;COUNTIF('DONNÉES BRUTES'!C$3:C$42,"Conso. Cycl."),"",INDEX('DONNÉES BRUTES'!U$3:U$42,MATCH(LARGE(IF('DONNÉES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Q19" s="407" t="str">
        <f t="array" ref="Q19">IFERROR(IF(9&gt;COUNTIF('DONNÉES BRUTES'!C$3:C$42,"Conso. Cycl."),"",INDEX('DONNÉES BRUTES'!AD$3:AD$42,MATCH(LARGE(IF('DONNÉES BRUTES'!C$3:C$42="Conso. Cycl.",'DONNÉES BRUTES'!AB$3:AB$42+(ROW('DONNÉES BRUTES'!A$3:A$42)-ROW('DONNÉES BRUTES'!A$3))/1000,0),9),IF('DONNÉES BRUTES'!C$3:C$42="Conso. Cycl.",'DONNÉES BRUTES'!AB$3:AB$42+(ROW('DONNÉES BRUTES'!A$3:A$42)-ROW('DONNÉES BRUTES'!A$3))/1000,0),0))),"—")</f>
        <v/>
      </c>
      <c r="R19" s="397"/>
    </row>
    <row r="20" spans="2:28" ht="15.9" customHeight="1" x14ac:dyDescent="0.3">
      <c r="B20" s="397">
        <v>10</v>
      </c>
      <c r="C20" s="397" t="str">
        <f t="array" ref="C20">IFERROR(IF(10&gt;COUNTIF('DONNÉES BRUTES'!C$3:C$42,"Conso. Cycl."),"",INDEX('DONNÉES BRUTES'!A$3:A$42,MATCH(LARGE(IF('DONNÉES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D20" s="397" t="str">
        <f t="array" ref="D20">IFERROR(IF(10&gt;COUNTIF('DONNÉES BRUTES'!C$3:C$42,"Conso. Cycl."),"",INDEX('DONNÉES BRUTES'!B$3:B$42,MATCH(LARGE(IF('DONNÉES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E20" s="397" t="str">
        <f t="array" ref="E20">IFERROR(IF(10&gt;COUNTIF('DONNÉES BRUTES'!C$3:C$42,"Conso. Cycl."),"",INT(LARGE(IF('DONNÉES BRUTES'!C$3:C$42="Conso. Cycl.",'DONNÉES BRUTES'!AB$3:AB$42+(ROW('DONNÉES BRUTES'!A$3:A$42)-ROW('DONNÉES BRUTES'!A$3))/1000,0),10))&amp;"/100"),"—")</f>
        <v/>
      </c>
      <c r="F20" s="397" t="str">
        <f t="array" ref="F20">IFERROR(IF(10&gt;COUNTIF('DONNÉES BRUTES'!C$3:C$42,"Conso. Cycl."),"",INDEX('DONNÉES BRUTES'!Y$3:Y$42,MATCH(LARGE(IF('DONNÉES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G20" s="397" t="str">
        <f t="array" ref="G20">IFERROR(IF(10&gt;COUNTIF('DONNÉES BRUTES'!C$3:C$42,"Conso. Cycl."),"",INDEX('DONNÉES BRUTES'!Z$3:Z$42,MATCH(LARGE(IF('DONNÉES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H20" s="397" t="str">
        <f t="array" ref="H20">IFERROR(IF(10&gt;COUNTIF('DONNÉES BRUTES'!C$3:C$42,"Conso. Cycl."),"",INDEX('DONNÉES BRUTES'!AA$3:AA$42,MATCH(LARGE(IF('DONNÉES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I20" s="397" t="str">
        <f t="array" ref="I20">IFERROR(IF(10&gt;COUNTIF('DONNÉES BRUTES'!C$3:C$42,"Conso. Cycl."),"",INDEX('DONNÉES BRUTES'!M$3:M$42,MATCH(LARGE(IF('DONNÉES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J20" s="397" t="str">
        <f t="array" ref="J20">IFERROR(IF(10&gt;COUNTIF('DONNÉES BRUTES'!C$3:C$42,"Conso. Cycl."),"",INDEX('DONNÉES BRUTES'!N$3:N$42,MATCH(LARGE(IF('DONNÉES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K20" s="397" t="str">
        <f t="array" ref="K20">IFERROR(IF(10&gt;COUNTIF('DONNÉES BRUTES'!C$3:C$42,"Conso. Cycl."),"",INDEX('DONNÉES BRUTES'!O$3:O$42,MATCH(LARGE(IF('DONNÉES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L20" s="397" t="str">
        <f t="array" ref="L20">IFERROR(IF(10&gt;COUNTIF('DONNÉES BRUTES'!C$3:C$42,"Conso. Cycl."),"",INDEX('DONNÉES BRUTES'!P$3:P$42,MATCH(LARGE(IF('DONNÉES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M20" s="397" t="str">
        <f t="array" ref="M20">IFERROR(IF(10&gt;COUNTIF('DONNÉES BRUTES'!C$3:C$42,"Conso. Cycl."),"",INDEX('DONNÉES BRUTES'!Q$3:Q$42,MATCH(LARGE(IF('DONNÉES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N20" s="397" t="str">
        <f t="array" ref="N20">IFERROR(IF(10&gt;COUNTIF('DONNÉES BRUTES'!C$3:C$42,"Conso. Cycl."),"",INDEX('DONNÉES BRUTES'!S$3:S$42,MATCH(LARGE(IF('DONNÉES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O20" s="397" t="str">
        <f t="array" ref="O20">IFERROR(IF(10&gt;COUNTIF('DONNÉES BRUTES'!C$3:C$42,"Conso. Cycl."),"",INDEX('DONNÉES BRUTES'!T$3:T$42,MATCH(LARGE(IF('DONNÉES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P20" s="397" t="str">
        <f t="array" ref="P20">IFERROR(IF(10&gt;COUNTIF('DONNÉES BRUTES'!C$3:C$42,"Conso. Cycl."),"",INDEX('DONNÉES BRUTES'!U$3:U$42,MATCH(LARGE(IF('DONNÉES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Q20" s="407" t="str">
        <f t="array" ref="Q20">IFERROR(IF(10&gt;COUNTIF('DONNÉES BRUTES'!C$3:C$42,"Conso. Cycl."),"",INDEX('DONNÉES BRUTES'!AD$3:AD$42,MATCH(LARGE(IF('DONNÉES BRUTES'!C$3:C$42="Conso. Cycl.",'DONNÉES BRUTES'!AB$3:AB$42+(ROW('DONNÉES BRUTES'!A$3:A$42)-ROW('DONNÉES BRUTES'!A$3))/1000,0),10),IF('DONNÉES BRUTES'!C$3:C$42="Conso. Cycl.",'DONNÉES BRUTES'!AB$3:AB$42+(ROW('DONNÉES BRUTES'!A$3:A$42)-ROW('DONNÉES BRUTES'!A$3))/1000,0),0))),"—")</f>
        <v/>
      </c>
      <c r="R20" s="397"/>
    </row>
    <row r="21" spans="2:28" ht="15.9" customHeight="1" x14ac:dyDescent="0.3">
      <c r="B21" s="397">
        <v>11</v>
      </c>
      <c r="C21" s="397" t="str">
        <f t="array" ref="C21">IFERROR(IF(11&gt;COUNTIF('DONNÉES BRUTES'!C$3:C$42,"Conso. Cycl."),"",INDEX('DONNÉES BRUTES'!A$3:A$42,MATCH(LARGE(IF('DONNÉES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D21" s="397" t="str">
        <f t="array" ref="D21">IFERROR(IF(11&gt;COUNTIF('DONNÉES BRUTES'!C$3:C$42,"Conso. Cycl."),"",INDEX('DONNÉES BRUTES'!B$3:B$42,MATCH(LARGE(IF('DONNÉES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E21" s="397" t="str">
        <f t="array" ref="E21">IFERROR(IF(11&gt;COUNTIF('DONNÉES BRUTES'!C$3:C$42,"Conso. Cycl."),"",INT(LARGE(IF('DONNÉES BRUTES'!C$3:C$42="Conso. Cycl.",'DONNÉES BRUTES'!AB$3:AB$42+(ROW('DONNÉES BRUTES'!A$3:A$42)-ROW('DONNÉES BRUTES'!A$3))/1000,0),11))&amp;"/100"),"—")</f>
        <v/>
      </c>
      <c r="F21" s="397" t="str">
        <f t="array" ref="F21">IFERROR(IF(11&gt;COUNTIF('DONNÉES BRUTES'!C$3:C$42,"Conso. Cycl."),"",INDEX('DONNÉES BRUTES'!Y$3:Y$42,MATCH(LARGE(IF('DONNÉES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G21" s="397" t="str">
        <f t="array" ref="G21">IFERROR(IF(11&gt;COUNTIF('DONNÉES BRUTES'!C$3:C$42,"Conso. Cycl."),"",INDEX('DONNÉES BRUTES'!Z$3:Z$42,MATCH(LARGE(IF('DONNÉES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H21" s="397" t="str">
        <f t="array" ref="H21">IFERROR(IF(11&gt;COUNTIF('DONNÉES BRUTES'!C$3:C$42,"Conso. Cycl."),"",INDEX('DONNÉES BRUTES'!AA$3:AA$42,MATCH(LARGE(IF('DONNÉES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I21" s="397" t="str">
        <f t="array" ref="I21">IFERROR(IF(11&gt;COUNTIF('DONNÉES BRUTES'!C$3:C$42,"Conso. Cycl."),"",INDEX('DONNÉES BRUTES'!M$3:M$42,MATCH(LARGE(IF('DONNÉES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J21" s="397" t="str">
        <f t="array" ref="J21">IFERROR(IF(11&gt;COUNTIF('DONNÉES BRUTES'!C$3:C$42,"Conso. Cycl."),"",INDEX('DONNÉES BRUTES'!N$3:N$42,MATCH(LARGE(IF('DONNÉES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K21" s="397" t="str">
        <f t="array" ref="K21">IFERROR(IF(11&gt;COUNTIF('DONNÉES BRUTES'!C$3:C$42,"Conso. Cycl."),"",INDEX('DONNÉES BRUTES'!O$3:O$42,MATCH(LARGE(IF('DONNÉES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L21" s="397" t="str">
        <f t="array" ref="L21">IFERROR(IF(11&gt;COUNTIF('DONNÉES BRUTES'!C$3:C$42,"Conso. Cycl."),"",INDEX('DONNÉES BRUTES'!P$3:P$42,MATCH(LARGE(IF('DONNÉES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M21" s="397" t="str">
        <f t="array" ref="M21">IFERROR(IF(11&gt;COUNTIF('DONNÉES BRUTES'!C$3:C$42,"Conso. Cycl."),"",INDEX('DONNÉES BRUTES'!Q$3:Q$42,MATCH(LARGE(IF('DONNÉES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N21" s="397" t="str">
        <f t="array" ref="N21">IFERROR(IF(11&gt;COUNTIF('DONNÉES BRUTES'!C$3:C$42,"Conso. Cycl."),"",INDEX('DONNÉES BRUTES'!S$3:S$42,MATCH(LARGE(IF('DONNÉES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O21" s="397" t="str">
        <f t="array" ref="O21">IFERROR(IF(11&gt;COUNTIF('DONNÉES BRUTES'!C$3:C$42,"Conso. Cycl."),"",INDEX('DONNÉES BRUTES'!T$3:T$42,MATCH(LARGE(IF('DONNÉES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P21" s="397" t="str">
        <f t="array" ref="P21">IFERROR(IF(11&gt;COUNTIF('DONNÉES BRUTES'!C$3:C$42,"Conso. Cycl."),"",INDEX('DONNÉES BRUTES'!U$3:U$42,MATCH(LARGE(IF('DONNÉES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Q21" s="407" t="str">
        <f t="array" ref="Q21">IFERROR(IF(11&gt;COUNTIF('DONNÉES BRUTES'!C$3:C$42,"Conso. Cycl."),"",INDEX('DONNÉES BRUTES'!AD$3:AD$42,MATCH(LARGE(IF('DONNÉES BRUTES'!C$3:C$42="Conso. Cycl.",'DONNÉES BRUTES'!AB$3:AB$42+(ROW('DONNÉES BRUTES'!A$3:A$42)-ROW('DONNÉES BRUTES'!A$3))/1000,0),11),IF('DONNÉES BRUTES'!C$3:C$42="Conso. Cycl.",'DONNÉES BRUTES'!AB$3:AB$42+(ROW('DONNÉES BRUTES'!A$3:A$42)-ROW('DONNÉES BRUTES'!A$3))/1000,0),0))),"—")</f>
        <v/>
      </c>
      <c r="R21" s="397"/>
    </row>
    <row r="22" spans="2:28" ht="15.9" customHeight="1" x14ac:dyDescent="0.3">
      <c r="B22" s="397">
        <v>12</v>
      </c>
      <c r="C22" s="397" t="str">
        <f t="array" ref="C22">IFERROR(IF(12&gt;COUNTIF('DONNÉES BRUTES'!C$3:C$42,"Conso. Cycl."),"",INDEX('DONNÉES BRUTES'!A$3:A$42,MATCH(LARGE(IF('DONNÉES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D22" s="397" t="str">
        <f t="array" ref="D22">IFERROR(IF(12&gt;COUNTIF('DONNÉES BRUTES'!C$3:C$42,"Conso. Cycl."),"",INDEX('DONNÉES BRUTES'!B$3:B$42,MATCH(LARGE(IF('DONNÉES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E22" s="397" t="str">
        <f t="array" ref="E22">IFERROR(IF(12&gt;COUNTIF('DONNÉES BRUTES'!C$3:C$42,"Conso. Cycl."),"",INT(LARGE(IF('DONNÉES BRUTES'!C$3:C$42="Conso. Cycl.",'DONNÉES BRUTES'!AB$3:AB$42+(ROW('DONNÉES BRUTES'!A$3:A$42)-ROW('DONNÉES BRUTES'!A$3))/1000,0),12))&amp;"/100"),"—")</f>
        <v/>
      </c>
      <c r="F22" s="397" t="str">
        <f t="array" ref="F22">IFERROR(IF(12&gt;COUNTIF('DONNÉES BRUTES'!C$3:C$42,"Conso. Cycl."),"",INDEX('DONNÉES BRUTES'!Y$3:Y$42,MATCH(LARGE(IF('DONNÉES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G22" s="397" t="str">
        <f t="array" ref="G22">IFERROR(IF(12&gt;COUNTIF('DONNÉES BRUTES'!C$3:C$42,"Conso. Cycl."),"",INDEX('DONNÉES BRUTES'!Z$3:Z$42,MATCH(LARGE(IF('DONNÉES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H22" s="397" t="str">
        <f t="array" ref="H22">IFERROR(IF(12&gt;COUNTIF('DONNÉES BRUTES'!C$3:C$42,"Conso. Cycl."),"",INDEX('DONNÉES BRUTES'!AA$3:AA$42,MATCH(LARGE(IF('DONNÉES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I22" s="397" t="str">
        <f t="array" ref="I22">IFERROR(IF(12&gt;COUNTIF('DONNÉES BRUTES'!C$3:C$42,"Conso. Cycl."),"",INDEX('DONNÉES BRUTES'!M$3:M$42,MATCH(LARGE(IF('DONNÉES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J22" s="397" t="str">
        <f t="array" ref="J22">IFERROR(IF(12&gt;COUNTIF('DONNÉES BRUTES'!C$3:C$42,"Conso. Cycl."),"",INDEX('DONNÉES BRUTES'!N$3:N$42,MATCH(LARGE(IF('DONNÉES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K22" s="397" t="str">
        <f t="array" ref="K22">IFERROR(IF(12&gt;COUNTIF('DONNÉES BRUTES'!C$3:C$42,"Conso. Cycl."),"",INDEX('DONNÉES BRUTES'!O$3:O$42,MATCH(LARGE(IF('DONNÉES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L22" s="397" t="str">
        <f t="array" ref="L22">IFERROR(IF(12&gt;COUNTIF('DONNÉES BRUTES'!C$3:C$42,"Conso. Cycl."),"",INDEX('DONNÉES BRUTES'!P$3:P$42,MATCH(LARGE(IF('DONNÉES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M22" s="397" t="str">
        <f t="array" ref="M22">IFERROR(IF(12&gt;COUNTIF('DONNÉES BRUTES'!C$3:C$42,"Conso. Cycl."),"",INDEX('DONNÉES BRUTES'!Q$3:Q$42,MATCH(LARGE(IF('DONNÉES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N22" s="397" t="str">
        <f t="array" ref="N22">IFERROR(IF(12&gt;COUNTIF('DONNÉES BRUTES'!C$3:C$42,"Conso. Cycl."),"",INDEX('DONNÉES BRUTES'!S$3:S$42,MATCH(LARGE(IF('DONNÉES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O22" s="397" t="str">
        <f t="array" ref="O22">IFERROR(IF(12&gt;COUNTIF('DONNÉES BRUTES'!C$3:C$42,"Conso. Cycl."),"",INDEX('DONNÉES BRUTES'!T$3:T$42,MATCH(LARGE(IF('DONNÉES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P22" s="397" t="str">
        <f t="array" ref="P22">IFERROR(IF(12&gt;COUNTIF('DONNÉES BRUTES'!C$3:C$42,"Conso. Cycl."),"",INDEX('DONNÉES BRUTES'!U$3:U$42,MATCH(LARGE(IF('DONNÉES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Q22" s="407" t="str">
        <f t="array" ref="Q22">IFERROR(IF(12&gt;COUNTIF('DONNÉES BRUTES'!C$3:C$42,"Conso. Cycl."),"",INDEX('DONNÉES BRUTES'!AD$3:AD$42,MATCH(LARGE(IF('DONNÉES BRUTES'!C$3:C$42="Conso. Cycl.",'DONNÉES BRUTES'!AB$3:AB$42+(ROW('DONNÉES BRUTES'!A$3:A$42)-ROW('DONNÉES BRUTES'!A$3))/1000,0),12),IF('DONNÉES BRUTES'!C$3:C$42="Conso. Cycl.",'DONNÉES BRUTES'!AB$3:AB$42+(ROW('DONNÉES BRUTES'!A$3:A$42)-ROW('DONNÉES BRUTES'!A$3))/1000,0),0))),"—")</f>
        <v/>
      </c>
      <c r="R22" s="397"/>
    </row>
    <row r="23" spans="2:28" ht="15.9" customHeight="1" x14ac:dyDescent="0.3">
      <c r="B23" s="397">
        <v>13</v>
      </c>
      <c r="C23" s="397" t="str">
        <f t="array" ref="C23">IFERROR(IF(13&gt;COUNTIF('DONNÉES BRUTES'!C$3:C$42,"Conso. Cycl."),"",INDEX('DONNÉES BRUTES'!A$3:A$42,MATCH(LARGE(IF('DONNÉES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D23" s="397" t="str">
        <f t="array" ref="D23">IFERROR(IF(13&gt;COUNTIF('DONNÉES BRUTES'!C$3:C$42,"Conso. Cycl."),"",INDEX('DONNÉES BRUTES'!B$3:B$42,MATCH(LARGE(IF('DONNÉES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E23" s="397" t="str">
        <f t="array" ref="E23">IFERROR(IF(13&gt;COUNTIF('DONNÉES BRUTES'!C$3:C$42,"Conso. Cycl."),"",INT(LARGE(IF('DONNÉES BRUTES'!C$3:C$42="Conso. Cycl.",'DONNÉES BRUTES'!AB$3:AB$42+(ROW('DONNÉES BRUTES'!A$3:A$42)-ROW('DONNÉES BRUTES'!A$3))/1000,0),13))&amp;"/100"),"—")</f>
        <v/>
      </c>
      <c r="F23" s="397" t="str">
        <f t="array" ref="F23">IFERROR(IF(13&gt;COUNTIF('DONNÉES BRUTES'!C$3:C$42,"Conso. Cycl."),"",INDEX('DONNÉES BRUTES'!Y$3:Y$42,MATCH(LARGE(IF('DONNÉES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G23" s="397" t="str">
        <f t="array" ref="G23">IFERROR(IF(13&gt;COUNTIF('DONNÉES BRUTES'!C$3:C$42,"Conso. Cycl."),"",INDEX('DONNÉES BRUTES'!Z$3:Z$42,MATCH(LARGE(IF('DONNÉES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H23" s="397" t="str">
        <f t="array" ref="H23">IFERROR(IF(13&gt;COUNTIF('DONNÉES BRUTES'!C$3:C$42,"Conso. Cycl."),"",INDEX('DONNÉES BRUTES'!AA$3:AA$42,MATCH(LARGE(IF('DONNÉES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I23" s="397" t="str">
        <f t="array" ref="I23">IFERROR(IF(13&gt;COUNTIF('DONNÉES BRUTES'!C$3:C$42,"Conso. Cycl."),"",INDEX('DONNÉES BRUTES'!M$3:M$42,MATCH(LARGE(IF('DONNÉES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J23" s="397" t="str">
        <f t="array" ref="J23">IFERROR(IF(13&gt;COUNTIF('DONNÉES BRUTES'!C$3:C$42,"Conso. Cycl."),"",INDEX('DONNÉES BRUTES'!N$3:N$42,MATCH(LARGE(IF('DONNÉES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K23" s="397" t="str">
        <f t="array" ref="K23">IFERROR(IF(13&gt;COUNTIF('DONNÉES BRUTES'!C$3:C$42,"Conso. Cycl."),"",INDEX('DONNÉES BRUTES'!O$3:O$42,MATCH(LARGE(IF('DONNÉES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L23" s="397" t="str">
        <f t="array" ref="L23">IFERROR(IF(13&gt;COUNTIF('DONNÉES BRUTES'!C$3:C$42,"Conso. Cycl."),"",INDEX('DONNÉES BRUTES'!P$3:P$42,MATCH(LARGE(IF('DONNÉES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M23" s="397" t="str">
        <f t="array" ref="M23">IFERROR(IF(13&gt;COUNTIF('DONNÉES BRUTES'!C$3:C$42,"Conso. Cycl."),"",INDEX('DONNÉES BRUTES'!Q$3:Q$42,MATCH(LARGE(IF('DONNÉES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N23" s="397" t="str">
        <f t="array" ref="N23">IFERROR(IF(13&gt;COUNTIF('DONNÉES BRUTES'!C$3:C$42,"Conso. Cycl."),"",INDEX('DONNÉES BRUTES'!S$3:S$42,MATCH(LARGE(IF('DONNÉES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O23" s="397" t="str">
        <f t="array" ref="O23">IFERROR(IF(13&gt;COUNTIF('DONNÉES BRUTES'!C$3:C$42,"Conso. Cycl."),"",INDEX('DONNÉES BRUTES'!T$3:T$42,MATCH(LARGE(IF('DONNÉES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P23" s="397" t="str">
        <f t="array" ref="P23">IFERROR(IF(13&gt;COUNTIF('DONNÉES BRUTES'!C$3:C$42,"Conso. Cycl."),"",INDEX('DONNÉES BRUTES'!U$3:U$42,MATCH(LARGE(IF('DONNÉES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Q23" s="407" t="str">
        <f t="array" ref="Q23">IFERROR(IF(13&gt;COUNTIF('DONNÉES BRUTES'!C$3:C$42,"Conso. Cycl."),"",INDEX('DONNÉES BRUTES'!AD$3:AD$42,MATCH(LARGE(IF('DONNÉES BRUTES'!C$3:C$42="Conso. Cycl.",'DONNÉES BRUTES'!AB$3:AB$42+(ROW('DONNÉES BRUTES'!A$3:A$42)-ROW('DONNÉES BRUTES'!A$3))/1000,0),13),IF('DONNÉES BRUTES'!C$3:C$42="Conso. Cycl.",'DONNÉES BRUTES'!AB$3:AB$42+(ROW('DONNÉES BRUTES'!A$3:A$42)-ROW('DONNÉES BRUTES'!A$3))/1000,0),0))),"—")</f>
        <v/>
      </c>
      <c r="R23" s="397"/>
    </row>
    <row r="24" spans="2:28" ht="15.9" customHeight="1" x14ac:dyDescent="0.3">
      <c r="B24" s="397">
        <v>14</v>
      </c>
      <c r="C24" s="397" t="str">
        <f t="array" ref="C24">IFERROR(IF(14&gt;COUNTIF('DONNÉES BRUTES'!C$3:C$42,"Conso. Cycl."),"",INDEX('DONNÉES BRUTES'!A$3:A$42,MATCH(LARGE(IF('DONNÉES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D24" s="397" t="str">
        <f t="array" ref="D24">IFERROR(IF(14&gt;COUNTIF('DONNÉES BRUTES'!C$3:C$42,"Conso. Cycl."),"",INDEX('DONNÉES BRUTES'!B$3:B$42,MATCH(LARGE(IF('DONNÉES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E24" s="397" t="str">
        <f t="array" ref="E24">IFERROR(IF(14&gt;COUNTIF('DONNÉES BRUTES'!C$3:C$42,"Conso. Cycl."),"",INT(LARGE(IF('DONNÉES BRUTES'!C$3:C$42="Conso. Cycl.",'DONNÉES BRUTES'!AB$3:AB$42+(ROW('DONNÉES BRUTES'!A$3:A$42)-ROW('DONNÉES BRUTES'!A$3))/1000,0),14))&amp;"/100"),"—")</f>
        <v/>
      </c>
      <c r="F24" s="397" t="str">
        <f t="array" ref="F24">IFERROR(IF(14&gt;COUNTIF('DONNÉES BRUTES'!C$3:C$42,"Conso. Cycl."),"",INDEX('DONNÉES BRUTES'!Y$3:Y$42,MATCH(LARGE(IF('DONNÉES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G24" s="397" t="str">
        <f t="array" ref="G24">IFERROR(IF(14&gt;COUNTIF('DONNÉES BRUTES'!C$3:C$42,"Conso. Cycl."),"",INDEX('DONNÉES BRUTES'!Z$3:Z$42,MATCH(LARGE(IF('DONNÉES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H24" s="397" t="str">
        <f t="array" ref="H24">IFERROR(IF(14&gt;COUNTIF('DONNÉES BRUTES'!C$3:C$42,"Conso. Cycl."),"",INDEX('DONNÉES BRUTES'!AA$3:AA$42,MATCH(LARGE(IF('DONNÉES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I24" s="397" t="str">
        <f t="array" ref="I24">IFERROR(IF(14&gt;COUNTIF('DONNÉES BRUTES'!C$3:C$42,"Conso. Cycl."),"",INDEX('DONNÉES BRUTES'!M$3:M$42,MATCH(LARGE(IF('DONNÉES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J24" s="397" t="str">
        <f t="array" ref="J24">IFERROR(IF(14&gt;COUNTIF('DONNÉES BRUTES'!C$3:C$42,"Conso. Cycl."),"",INDEX('DONNÉES BRUTES'!N$3:N$42,MATCH(LARGE(IF('DONNÉES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K24" s="397" t="str">
        <f t="array" ref="K24">IFERROR(IF(14&gt;COUNTIF('DONNÉES BRUTES'!C$3:C$42,"Conso. Cycl."),"",INDEX('DONNÉES BRUTES'!O$3:O$42,MATCH(LARGE(IF('DONNÉES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L24" s="397" t="str">
        <f t="array" ref="L24">IFERROR(IF(14&gt;COUNTIF('DONNÉES BRUTES'!C$3:C$42,"Conso. Cycl."),"",INDEX('DONNÉES BRUTES'!P$3:P$42,MATCH(LARGE(IF('DONNÉES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M24" s="397" t="str">
        <f t="array" ref="M24">IFERROR(IF(14&gt;COUNTIF('DONNÉES BRUTES'!C$3:C$42,"Conso. Cycl."),"",INDEX('DONNÉES BRUTES'!Q$3:Q$42,MATCH(LARGE(IF('DONNÉES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N24" s="397" t="str">
        <f t="array" ref="N24">IFERROR(IF(14&gt;COUNTIF('DONNÉES BRUTES'!C$3:C$42,"Conso. Cycl."),"",INDEX('DONNÉES BRUTES'!S$3:S$42,MATCH(LARGE(IF('DONNÉES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O24" s="397" t="str">
        <f t="array" ref="O24">IFERROR(IF(14&gt;COUNTIF('DONNÉES BRUTES'!C$3:C$42,"Conso. Cycl."),"",INDEX('DONNÉES BRUTES'!T$3:T$42,MATCH(LARGE(IF('DONNÉES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P24" s="397" t="str">
        <f t="array" ref="P24">IFERROR(IF(14&gt;COUNTIF('DONNÉES BRUTES'!C$3:C$42,"Conso. Cycl."),"",INDEX('DONNÉES BRUTES'!U$3:U$42,MATCH(LARGE(IF('DONNÉES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Q24" s="407" t="str">
        <f t="array" ref="Q24">IFERROR(IF(14&gt;COUNTIF('DONNÉES BRUTES'!C$3:C$42,"Conso. Cycl."),"",INDEX('DONNÉES BRUTES'!AD$3:AD$42,MATCH(LARGE(IF('DONNÉES BRUTES'!C$3:C$42="Conso. Cycl.",'DONNÉES BRUTES'!AB$3:AB$42+(ROW('DONNÉES BRUTES'!A$3:A$42)-ROW('DONNÉES BRUTES'!A$3))/1000,0),14),IF('DONNÉES BRUTES'!C$3:C$42="Conso. Cycl.",'DONNÉES BRUTES'!AB$3:AB$42+(ROW('DONNÉES BRUTES'!A$3:A$42)-ROW('DONNÉES BRUTES'!A$3))/1000,0),0))),"—")</f>
        <v/>
      </c>
      <c r="R24" s="397"/>
    </row>
    <row r="25" spans="2:28" ht="15.9" customHeight="1" x14ac:dyDescent="0.3">
      <c r="B25" s="397">
        <v>15</v>
      </c>
      <c r="C25" s="397" t="str">
        <f t="array" ref="C25">IFERROR(IF(15&gt;COUNTIF('DONNÉES BRUTES'!C$3:C$42,"Conso. Cycl."),"",INDEX('DONNÉES BRUTES'!A$3:A$42,MATCH(LARGE(IF('DONNÉES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D25" s="397" t="str">
        <f t="array" ref="D25">IFERROR(IF(15&gt;COUNTIF('DONNÉES BRUTES'!C$3:C$42,"Conso. Cycl."),"",INDEX('DONNÉES BRUTES'!B$3:B$42,MATCH(LARGE(IF('DONNÉES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E25" s="397" t="str">
        <f t="array" ref="E25">IFERROR(IF(15&gt;COUNTIF('DONNÉES BRUTES'!C$3:C$42,"Conso. Cycl."),"",INT(LARGE(IF('DONNÉES BRUTES'!C$3:C$42="Conso. Cycl.",'DONNÉES BRUTES'!AB$3:AB$42+(ROW('DONNÉES BRUTES'!A$3:A$42)-ROW('DONNÉES BRUTES'!A$3))/1000,0),15))&amp;"/100"),"—")</f>
        <v/>
      </c>
      <c r="F25" s="397" t="str">
        <f t="array" ref="F25">IFERROR(IF(15&gt;COUNTIF('DONNÉES BRUTES'!C$3:C$42,"Conso. Cycl."),"",INDEX('DONNÉES BRUTES'!Y$3:Y$42,MATCH(LARGE(IF('DONNÉES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G25" s="397" t="str">
        <f t="array" ref="G25">IFERROR(IF(15&gt;COUNTIF('DONNÉES BRUTES'!C$3:C$42,"Conso. Cycl."),"",INDEX('DONNÉES BRUTES'!Z$3:Z$42,MATCH(LARGE(IF('DONNÉES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H25" s="397" t="str">
        <f t="array" ref="H25">IFERROR(IF(15&gt;COUNTIF('DONNÉES BRUTES'!C$3:C$42,"Conso. Cycl."),"",INDEX('DONNÉES BRUTES'!AA$3:AA$42,MATCH(LARGE(IF('DONNÉES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I25" s="397" t="str">
        <f t="array" ref="I25">IFERROR(IF(15&gt;COUNTIF('DONNÉES BRUTES'!C$3:C$42,"Conso. Cycl."),"",INDEX('DONNÉES BRUTES'!M$3:M$42,MATCH(LARGE(IF('DONNÉES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J25" s="397" t="str">
        <f t="array" ref="J25">IFERROR(IF(15&gt;COUNTIF('DONNÉES BRUTES'!C$3:C$42,"Conso. Cycl."),"",INDEX('DONNÉES BRUTES'!N$3:N$42,MATCH(LARGE(IF('DONNÉES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K25" s="397" t="str">
        <f t="array" ref="K25">IFERROR(IF(15&gt;COUNTIF('DONNÉES BRUTES'!C$3:C$42,"Conso. Cycl."),"",INDEX('DONNÉES BRUTES'!O$3:O$42,MATCH(LARGE(IF('DONNÉES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L25" s="397" t="str">
        <f t="array" ref="L25">IFERROR(IF(15&gt;COUNTIF('DONNÉES BRUTES'!C$3:C$42,"Conso. Cycl."),"",INDEX('DONNÉES BRUTES'!P$3:P$42,MATCH(LARGE(IF('DONNÉES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M25" s="397" t="str">
        <f t="array" ref="M25">IFERROR(IF(15&gt;COUNTIF('DONNÉES BRUTES'!C$3:C$42,"Conso. Cycl."),"",INDEX('DONNÉES BRUTES'!Q$3:Q$42,MATCH(LARGE(IF('DONNÉES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N25" s="397" t="str">
        <f t="array" ref="N25">IFERROR(IF(15&gt;COUNTIF('DONNÉES BRUTES'!C$3:C$42,"Conso. Cycl."),"",INDEX('DONNÉES BRUTES'!S$3:S$42,MATCH(LARGE(IF('DONNÉES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O25" s="397" t="str">
        <f t="array" ref="O25">IFERROR(IF(15&gt;COUNTIF('DONNÉES BRUTES'!C$3:C$42,"Conso. Cycl."),"",INDEX('DONNÉES BRUTES'!T$3:T$42,MATCH(LARGE(IF('DONNÉES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P25" s="397" t="str">
        <f t="array" ref="P25">IFERROR(IF(15&gt;COUNTIF('DONNÉES BRUTES'!C$3:C$42,"Conso. Cycl."),"",INDEX('DONNÉES BRUTES'!U$3:U$42,MATCH(LARGE(IF('DONNÉES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Q25" s="407" t="str">
        <f t="array" ref="Q25">IFERROR(IF(15&gt;COUNTIF('DONNÉES BRUTES'!C$3:C$42,"Conso. Cycl."),"",INDEX('DONNÉES BRUTES'!AD$3:AD$42,MATCH(LARGE(IF('DONNÉES BRUTES'!C$3:C$42="Conso. Cycl.",'DONNÉES BRUTES'!AB$3:AB$42+(ROW('DONNÉES BRUTES'!A$3:A$42)-ROW('DONNÉES BRUTES'!A$3))/1000,0),15),IF('DONNÉES BRUTES'!C$3:C$42="Conso. Cycl.",'DONNÉES BRUTES'!AB$3:AB$42+(ROW('DONNÉES BRUTES'!A$3:A$42)-ROW('DONNÉES BRUTES'!A$3))/1000,0),0))),"—")</f>
        <v/>
      </c>
      <c r="R25" s="397"/>
    </row>
    <row r="26" spans="2:28" ht="15.9" customHeight="1" x14ac:dyDescent="0.3"/>
    <row r="27" spans="2:28" ht="15.9" customHeight="1" x14ac:dyDescent="0.3"/>
    <row r="28" spans="2:28" ht="15.9" customHeight="1" x14ac:dyDescent="0.3">
      <c r="S28" s="149" t="s">
        <v>10</v>
      </c>
      <c r="T28" s="149" t="s">
        <v>11</v>
      </c>
      <c r="U28" s="149" t="s">
        <v>15</v>
      </c>
      <c r="V28" s="149" t="s">
        <v>16</v>
      </c>
      <c r="W28" s="149" t="s">
        <v>17</v>
      </c>
      <c r="X28" s="149"/>
      <c r="Y28" s="149" t="s">
        <v>10</v>
      </c>
      <c r="Z28" s="149" t="s">
        <v>15</v>
      </c>
      <c r="AA28" s="149" t="s">
        <v>16</v>
      </c>
      <c r="AB28" s="149" t="s">
        <v>17</v>
      </c>
    </row>
    <row r="29" spans="2:28" ht="15.9" customHeight="1" x14ac:dyDescent="0.3">
      <c r="S29" s="149" t="str">
        <f>IF(D11="","",LEFT(D11,14))</f>
        <v>NEXT plc</v>
      </c>
      <c r="T29" s="149">
        <f>IF(E11="","",IFERROR(VALUE(LEFT(E11,FIND("/",E11)-1)),0))</f>
        <v>58</v>
      </c>
      <c r="U29" s="149">
        <f t="shared" ref="U29:W32" si="0">IF(ISNUMBER(F11),F11,0)</f>
        <v>72</v>
      </c>
      <c r="V29" s="149">
        <f t="shared" si="0"/>
        <v>71</v>
      </c>
      <c r="W29" s="149">
        <f t="shared" si="0"/>
        <v>38</v>
      </c>
      <c r="X29" s="149">
        <f t="shared" ref="X29:Z32" si="1">IF(ISNUMBER(F11),F11,"")</f>
        <v>72</v>
      </c>
      <c r="Y29" s="149">
        <f t="shared" si="1"/>
        <v>71</v>
      </c>
      <c r="Z29" s="149">
        <f t="shared" si="1"/>
        <v>38</v>
      </c>
      <c r="AA29" s="149">
        <v>100</v>
      </c>
      <c r="AB29" s="149">
        <v>74</v>
      </c>
    </row>
    <row r="30" spans="2:28" ht="15.9" customHeight="1" x14ac:dyDescent="0.3">
      <c r="S30" s="149" t="str">
        <f>IF(D12="","",LEFT(D12,14))</f>
        <v>InterContinent</v>
      </c>
      <c r="T30" s="149">
        <f>IF(E12="","",IFERROR(VALUE(LEFT(E12,FIND("/",E12)-1)),0))</f>
        <v>54</v>
      </c>
      <c r="U30" s="149">
        <f t="shared" si="0"/>
        <v>46</v>
      </c>
      <c r="V30" s="149">
        <f t="shared" si="0"/>
        <v>36</v>
      </c>
      <c r="W30" s="149">
        <f t="shared" si="0"/>
        <v>72</v>
      </c>
      <c r="X30" s="149">
        <f t="shared" si="1"/>
        <v>46</v>
      </c>
      <c r="Y30" s="149">
        <f t="shared" si="1"/>
        <v>36</v>
      </c>
      <c r="Z30" s="149">
        <f t="shared" si="1"/>
        <v>72</v>
      </c>
      <c r="AA30" s="149">
        <v>36</v>
      </c>
      <c r="AB30" s="149">
        <v>87</v>
      </c>
    </row>
    <row r="31" spans="2:28" ht="15.9" customHeight="1" x14ac:dyDescent="0.3">
      <c r="S31" s="149" t="str">
        <f>IF(D13="","",LEFT(D13,14))</f>
        <v>JD Sports Fash</v>
      </c>
      <c r="T31" s="149">
        <f>IF(E13="","",IFERROR(VALUE(LEFT(E13,FIND("/",E13)-1)),0))</f>
        <v>53</v>
      </c>
      <c r="U31" s="149">
        <f t="shared" si="0"/>
        <v>60</v>
      </c>
      <c r="V31" s="149">
        <f t="shared" si="0"/>
        <v>49</v>
      </c>
      <c r="W31" s="149">
        <f t="shared" si="0"/>
        <v>25</v>
      </c>
      <c r="X31" s="149">
        <f t="shared" si="1"/>
        <v>60</v>
      </c>
      <c r="Y31" s="149">
        <f t="shared" si="1"/>
        <v>49</v>
      </c>
      <c r="Z31" s="149">
        <f t="shared" si="1"/>
        <v>25</v>
      </c>
      <c r="AA31" s="149">
        <v>44</v>
      </c>
      <c r="AB31" s="149">
        <v>0</v>
      </c>
    </row>
    <row r="32" spans="2:28" x14ac:dyDescent="0.3">
      <c r="S32" s="149" t="str">
        <f>IF(D14="","",LEFT(D14,14))</f>
        <v>The Berkeley G</v>
      </c>
      <c r="T32" s="149">
        <f>IF(E14="","",IFERROR(VALUE(LEFT(E14,FIND("/",E14)-1)),0))</f>
        <v>51</v>
      </c>
      <c r="U32" s="149">
        <f t="shared" si="0"/>
        <v>42</v>
      </c>
      <c r="V32" s="149">
        <f t="shared" si="0"/>
        <v>83</v>
      </c>
      <c r="W32" s="149">
        <f t="shared" si="0"/>
        <v>18</v>
      </c>
      <c r="X32" s="149">
        <f t="shared" si="1"/>
        <v>42</v>
      </c>
      <c r="Y32" s="149">
        <f t="shared" si="1"/>
        <v>83</v>
      </c>
      <c r="Z32" s="149">
        <f t="shared" si="1"/>
        <v>18</v>
      </c>
      <c r="AA32" s="149">
        <v>0</v>
      </c>
      <c r="AB32" s="149">
        <v>5</v>
      </c>
    </row>
  </sheetData>
  <mergeCells count="3">
    <mergeCell ref="B2:Q2"/>
    <mergeCell ref="B1:Q1"/>
    <mergeCell ref="B8:Q8"/>
  </mergeCells>
  <conditionalFormatting sqref="B11">
    <cfRule type="expression" dxfId="239" priority="1">
      <formula>C11=""</formula>
    </cfRule>
  </conditionalFormatting>
  <conditionalFormatting sqref="B11">
    <cfRule type="expression" dxfId="238" priority="2">
      <formula>C11&lt;&gt;""</formula>
    </cfRule>
  </conditionalFormatting>
  <conditionalFormatting sqref="C11:P11">
    <cfRule type="expression" dxfId="237" priority="3">
      <formula>C11=""</formula>
    </cfRule>
  </conditionalFormatting>
  <conditionalFormatting sqref="C11:P11">
    <cfRule type="expression" dxfId="236" priority="4">
      <formula>C11&lt;&gt;""</formula>
    </cfRule>
  </conditionalFormatting>
  <conditionalFormatting sqref="Q11">
    <cfRule type="expression" dxfId="235" priority="5">
      <formula>C11=""</formula>
    </cfRule>
  </conditionalFormatting>
  <conditionalFormatting sqref="Q11">
    <cfRule type="expression" dxfId="234" priority="6">
      <formula>C11&lt;&gt;""</formula>
    </cfRule>
  </conditionalFormatting>
  <conditionalFormatting sqref="R11">
    <cfRule type="expression" dxfId="233" priority="7">
      <formula>C11=""</formula>
    </cfRule>
  </conditionalFormatting>
  <conditionalFormatting sqref="R11">
    <cfRule type="expression" dxfId="232" priority="8">
      <formula>C11&lt;&gt;""</formula>
    </cfRule>
  </conditionalFormatting>
  <conditionalFormatting sqref="B12">
    <cfRule type="expression" dxfId="231" priority="9">
      <formula>C12=""</formula>
    </cfRule>
  </conditionalFormatting>
  <conditionalFormatting sqref="B12">
    <cfRule type="expression" dxfId="230" priority="10">
      <formula>C12&lt;&gt;""</formula>
    </cfRule>
  </conditionalFormatting>
  <conditionalFormatting sqref="C12:P12">
    <cfRule type="expression" dxfId="229" priority="11">
      <formula>C12=""</formula>
    </cfRule>
  </conditionalFormatting>
  <conditionalFormatting sqref="C12:P12">
    <cfRule type="expression" dxfId="228" priority="12">
      <formula>C12&lt;&gt;""</formula>
    </cfRule>
  </conditionalFormatting>
  <conditionalFormatting sqref="Q12">
    <cfRule type="expression" dxfId="227" priority="13">
      <formula>C12=""</formula>
    </cfRule>
  </conditionalFormatting>
  <conditionalFormatting sqref="Q12">
    <cfRule type="expression" dxfId="226" priority="14">
      <formula>C12&lt;&gt;""</formula>
    </cfRule>
  </conditionalFormatting>
  <conditionalFormatting sqref="R12">
    <cfRule type="expression" dxfId="225" priority="15">
      <formula>C12=""</formula>
    </cfRule>
  </conditionalFormatting>
  <conditionalFormatting sqref="R12">
    <cfRule type="expression" dxfId="224" priority="16">
      <formula>C12&lt;&gt;""</formula>
    </cfRule>
  </conditionalFormatting>
  <conditionalFormatting sqref="B13">
    <cfRule type="expression" dxfId="223" priority="17">
      <formula>C13=""</formula>
    </cfRule>
  </conditionalFormatting>
  <conditionalFormatting sqref="B13">
    <cfRule type="expression" dxfId="222" priority="18">
      <formula>C13&lt;&gt;""</formula>
    </cfRule>
  </conditionalFormatting>
  <conditionalFormatting sqref="C13:P13">
    <cfRule type="expression" dxfId="221" priority="19">
      <formula>C13=""</formula>
    </cfRule>
  </conditionalFormatting>
  <conditionalFormatting sqref="C13:P13">
    <cfRule type="expression" dxfId="220" priority="20">
      <formula>C13&lt;&gt;""</formula>
    </cfRule>
  </conditionalFormatting>
  <conditionalFormatting sqref="Q13">
    <cfRule type="expression" dxfId="219" priority="21">
      <formula>C13=""</formula>
    </cfRule>
  </conditionalFormatting>
  <conditionalFormatting sqref="Q13">
    <cfRule type="expression" dxfId="218" priority="22">
      <formula>C13&lt;&gt;""</formula>
    </cfRule>
  </conditionalFormatting>
  <conditionalFormatting sqref="R13">
    <cfRule type="expression" dxfId="217" priority="23">
      <formula>C13=""</formula>
    </cfRule>
  </conditionalFormatting>
  <conditionalFormatting sqref="R13">
    <cfRule type="expression" dxfId="216" priority="24">
      <formula>C13&lt;&gt;""</formula>
    </cfRule>
  </conditionalFormatting>
  <conditionalFormatting sqref="B14">
    <cfRule type="expression" dxfId="215" priority="25">
      <formula>C14=""</formula>
    </cfRule>
  </conditionalFormatting>
  <conditionalFormatting sqref="B14">
    <cfRule type="expression" dxfId="214" priority="26">
      <formula>C14&lt;&gt;""</formula>
    </cfRule>
  </conditionalFormatting>
  <conditionalFormatting sqref="C14:P14">
    <cfRule type="expression" dxfId="213" priority="27">
      <formula>C14=""</formula>
    </cfRule>
  </conditionalFormatting>
  <conditionalFormatting sqref="C14:P14">
    <cfRule type="expression" dxfId="212" priority="28">
      <formula>C14&lt;&gt;""</formula>
    </cfRule>
  </conditionalFormatting>
  <conditionalFormatting sqref="Q14">
    <cfRule type="expression" dxfId="211" priority="29">
      <formula>C14=""</formula>
    </cfRule>
  </conditionalFormatting>
  <conditionalFormatting sqref="Q14">
    <cfRule type="expression" dxfId="210" priority="30">
      <formula>C14&lt;&gt;""</formula>
    </cfRule>
  </conditionalFormatting>
  <conditionalFormatting sqref="R14">
    <cfRule type="expression" dxfId="209" priority="31">
      <formula>C14=""</formula>
    </cfRule>
  </conditionalFormatting>
  <conditionalFormatting sqref="R14">
    <cfRule type="expression" dxfId="208" priority="32">
      <formula>C14&lt;&gt;""</formula>
    </cfRule>
  </conditionalFormatting>
  <conditionalFormatting sqref="B15">
    <cfRule type="expression" dxfId="207" priority="33">
      <formula>C15=""</formula>
    </cfRule>
  </conditionalFormatting>
  <conditionalFormatting sqref="B15">
    <cfRule type="expression" dxfId="206" priority="34">
      <formula>C15&lt;&gt;""</formula>
    </cfRule>
  </conditionalFormatting>
  <conditionalFormatting sqref="C15:P15">
    <cfRule type="expression" dxfId="205" priority="35">
      <formula>C15=""</formula>
    </cfRule>
  </conditionalFormatting>
  <conditionalFormatting sqref="C15:P15">
    <cfRule type="expression" dxfId="204" priority="36">
      <formula>C15&lt;&gt;""</formula>
    </cfRule>
  </conditionalFormatting>
  <conditionalFormatting sqref="Q15">
    <cfRule type="expression" dxfId="203" priority="37">
      <formula>C15=""</formula>
    </cfRule>
  </conditionalFormatting>
  <conditionalFormatting sqref="Q15">
    <cfRule type="expression" dxfId="202" priority="38">
      <formula>C15&lt;&gt;""</formula>
    </cfRule>
  </conditionalFormatting>
  <conditionalFormatting sqref="R15">
    <cfRule type="expression" dxfId="201" priority="39">
      <formula>C15=""</formula>
    </cfRule>
  </conditionalFormatting>
  <conditionalFormatting sqref="R15">
    <cfRule type="expression" dxfId="200" priority="40">
      <formula>C15&lt;&gt;""</formula>
    </cfRule>
  </conditionalFormatting>
  <conditionalFormatting sqref="B16">
    <cfRule type="expression" dxfId="199" priority="41">
      <formula>C16=""</formula>
    </cfRule>
  </conditionalFormatting>
  <conditionalFormatting sqref="B16">
    <cfRule type="expression" dxfId="198" priority="42">
      <formula>C16&lt;&gt;""</formula>
    </cfRule>
  </conditionalFormatting>
  <conditionalFormatting sqref="C16:P16">
    <cfRule type="expression" dxfId="197" priority="43">
      <formula>C16=""</formula>
    </cfRule>
  </conditionalFormatting>
  <conditionalFormatting sqref="C16:P16">
    <cfRule type="expression" dxfId="196" priority="44">
      <formula>C16&lt;&gt;""</formula>
    </cfRule>
  </conditionalFormatting>
  <conditionalFormatting sqref="Q16">
    <cfRule type="expression" dxfId="195" priority="45">
      <formula>C16=""</formula>
    </cfRule>
  </conditionalFormatting>
  <conditionalFormatting sqref="Q16">
    <cfRule type="expression" dxfId="194" priority="46">
      <formula>C16&lt;&gt;""</formula>
    </cfRule>
  </conditionalFormatting>
  <conditionalFormatting sqref="R16">
    <cfRule type="expression" dxfId="193" priority="47">
      <formula>C16=""</formula>
    </cfRule>
  </conditionalFormatting>
  <conditionalFormatting sqref="R16">
    <cfRule type="expression" dxfId="192" priority="48">
      <formula>C16&lt;&gt;""</formula>
    </cfRule>
  </conditionalFormatting>
  <conditionalFormatting sqref="B17">
    <cfRule type="expression" dxfId="191" priority="49">
      <formula>C17=""</formula>
    </cfRule>
  </conditionalFormatting>
  <conditionalFormatting sqref="B17">
    <cfRule type="expression" dxfId="190" priority="50">
      <formula>C17&lt;&gt;""</formula>
    </cfRule>
  </conditionalFormatting>
  <conditionalFormatting sqref="C17:P17">
    <cfRule type="expression" dxfId="189" priority="51">
      <formula>C17=""</formula>
    </cfRule>
  </conditionalFormatting>
  <conditionalFormatting sqref="C17:P17">
    <cfRule type="expression" dxfId="188" priority="52">
      <formula>C17&lt;&gt;""</formula>
    </cfRule>
  </conditionalFormatting>
  <conditionalFormatting sqref="Q17">
    <cfRule type="expression" dxfId="187" priority="53">
      <formula>C17=""</formula>
    </cfRule>
  </conditionalFormatting>
  <conditionalFormatting sqref="Q17">
    <cfRule type="expression" dxfId="186" priority="54">
      <formula>C17&lt;&gt;""</formula>
    </cfRule>
  </conditionalFormatting>
  <conditionalFormatting sqref="R17">
    <cfRule type="expression" dxfId="185" priority="55">
      <formula>C17=""</formula>
    </cfRule>
  </conditionalFormatting>
  <conditionalFormatting sqref="R17">
    <cfRule type="expression" dxfId="184" priority="56">
      <formula>C17&lt;&gt;""</formula>
    </cfRule>
  </conditionalFormatting>
  <conditionalFormatting sqref="B18">
    <cfRule type="expression" dxfId="183" priority="57">
      <formula>C18=""</formula>
    </cfRule>
  </conditionalFormatting>
  <conditionalFormatting sqref="B18">
    <cfRule type="expression" dxfId="182" priority="58">
      <formula>C18&lt;&gt;""</formula>
    </cfRule>
  </conditionalFormatting>
  <conditionalFormatting sqref="C18:P18">
    <cfRule type="expression" dxfId="181" priority="59">
      <formula>C18=""</formula>
    </cfRule>
  </conditionalFormatting>
  <conditionalFormatting sqref="C18:P18">
    <cfRule type="expression" dxfId="180" priority="60">
      <formula>C18&lt;&gt;""</formula>
    </cfRule>
  </conditionalFormatting>
  <conditionalFormatting sqref="Q18">
    <cfRule type="expression" dxfId="179" priority="61">
      <formula>C18=""</formula>
    </cfRule>
  </conditionalFormatting>
  <conditionalFormatting sqref="Q18">
    <cfRule type="expression" dxfId="178" priority="62">
      <formula>C18&lt;&gt;""</formula>
    </cfRule>
  </conditionalFormatting>
  <conditionalFormatting sqref="R18">
    <cfRule type="expression" dxfId="177" priority="63">
      <formula>C18=""</formula>
    </cfRule>
  </conditionalFormatting>
  <conditionalFormatting sqref="R18">
    <cfRule type="expression" dxfId="176" priority="64">
      <formula>C18&lt;&gt;""</formula>
    </cfRule>
  </conditionalFormatting>
  <conditionalFormatting sqref="B19">
    <cfRule type="expression" dxfId="175" priority="65">
      <formula>C19=""</formula>
    </cfRule>
  </conditionalFormatting>
  <conditionalFormatting sqref="B19">
    <cfRule type="expression" dxfId="174" priority="66">
      <formula>C19&lt;&gt;""</formula>
    </cfRule>
  </conditionalFormatting>
  <conditionalFormatting sqref="C19:P19">
    <cfRule type="expression" dxfId="173" priority="67">
      <formula>C19=""</formula>
    </cfRule>
  </conditionalFormatting>
  <conditionalFormatting sqref="C19:P19">
    <cfRule type="expression" dxfId="172" priority="68">
      <formula>C19&lt;&gt;""</formula>
    </cfRule>
  </conditionalFormatting>
  <conditionalFormatting sqref="Q19">
    <cfRule type="expression" dxfId="171" priority="69">
      <formula>C19=""</formula>
    </cfRule>
  </conditionalFormatting>
  <conditionalFormatting sqref="Q19">
    <cfRule type="expression" dxfId="170" priority="70">
      <formula>C19&lt;&gt;""</formula>
    </cfRule>
  </conditionalFormatting>
  <conditionalFormatting sqref="R19">
    <cfRule type="expression" dxfId="169" priority="71">
      <formula>C19=""</formula>
    </cfRule>
  </conditionalFormatting>
  <conditionalFormatting sqref="R19">
    <cfRule type="expression" dxfId="168" priority="72">
      <formula>C19&lt;&gt;""</formula>
    </cfRule>
  </conditionalFormatting>
  <conditionalFormatting sqref="B20">
    <cfRule type="expression" dxfId="167" priority="73">
      <formula>C20=""</formula>
    </cfRule>
  </conditionalFormatting>
  <conditionalFormatting sqref="B20">
    <cfRule type="expression" dxfId="166" priority="74">
      <formula>C20&lt;&gt;""</formula>
    </cfRule>
  </conditionalFormatting>
  <conditionalFormatting sqref="C20:P20">
    <cfRule type="expression" dxfId="165" priority="75">
      <formula>C20=""</formula>
    </cfRule>
  </conditionalFormatting>
  <conditionalFormatting sqref="C20:P20">
    <cfRule type="expression" dxfId="164" priority="76">
      <formula>C20&lt;&gt;""</formula>
    </cfRule>
  </conditionalFormatting>
  <conditionalFormatting sqref="Q20">
    <cfRule type="expression" dxfId="163" priority="77">
      <formula>C20=""</formula>
    </cfRule>
  </conditionalFormatting>
  <conditionalFormatting sqref="Q20">
    <cfRule type="expression" dxfId="162" priority="78">
      <formula>C20&lt;&gt;""</formula>
    </cfRule>
  </conditionalFormatting>
  <conditionalFormatting sqref="R20">
    <cfRule type="expression" dxfId="161" priority="79">
      <formula>C20=""</formula>
    </cfRule>
  </conditionalFormatting>
  <conditionalFormatting sqref="R20">
    <cfRule type="expression" dxfId="160" priority="80">
      <formula>C20&lt;&gt;""</formula>
    </cfRule>
  </conditionalFormatting>
  <conditionalFormatting sqref="B21">
    <cfRule type="expression" dxfId="159" priority="81">
      <formula>C21=""</formula>
    </cfRule>
  </conditionalFormatting>
  <conditionalFormatting sqref="B21">
    <cfRule type="expression" dxfId="158" priority="82">
      <formula>C21&lt;&gt;""</formula>
    </cfRule>
  </conditionalFormatting>
  <conditionalFormatting sqref="C21:P21">
    <cfRule type="expression" dxfId="157" priority="83">
      <formula>C21=""</formula>
    </cfRule>
  </conditionalFormatting>
  <conditionalFormatting sqref="C21:P21">
    <cfRule type="expression" dxfId="156" priority="84">
      <formula>C21&lt;&gt;""</formula>
    </cfRule>
  </conditionalFormatting>
  <conditionalFormatting sqref="Q21">
    <cfRule type="expression" dxfId="155" priority="85">
      <formula>C21=""</formula>
    </cfRule>
  </conditionalFormatting>
  <conditionalFormatting sqref="Q21">
    <cfRule type="expression" dxfId="154" priority="86">
      <formula>C21&lt;&gt;""</formula>
    </cfRule>
  </conditionalFormatting>
  <conditionalFormatting sqref="R21">
    <cfRule type="expression" dxfId="153" priority="87">
      <formula>C21=""</formula>
    </cfRule>
  </conditionalFormatting>
  <conditionalFormatting sqref="R21">
    <cfRule type="expression" dxfId="152" priority="88">
      <formula>C21&lt;&gt;""</formula>
    </cfRule>
  </conditionalFormatting>
  <conditionalFormatting sqref="B22">
    <cfRule type="expression" dxfId="151" priority="89">
      <formula>C22=""</formula>
    </cfRule>
  </conditionalFormatting>
  <conditionalFormatting sqref="B22">
    <cfRule type="expression" dxfId="150" priority="90">
      <formula>C22&lt;&gt;""</formula>
    </cfRule>
  </conditionalFormatting>
  <conditionalFormatting sqref="C22:P22">
    <cfRule type="expression" dxfId="149" priority="91">
      <formula>C22=""</formula>
    </cfRule>
  </conditionalFormatting>
  <conditionalFormatting sqref="C22:P22">
    <cfRule type="expression" dxfId="148" priority="92">
      <formula>C22&lt;&gt;""</formula>
    </cfRule>
  </conditionalFormatting>
  <conditionalFormatting sqref="Q22">
    <cfRule type="expression" dxfId="147" priority="93">
      <formula>C22=""</formula>
    </cfRule>
  </conditionalFormatting>
  <conditionalFormatting sqref="Q22">
    <cfRule type="expression" dxfId="146" priority="94">
      <formula>C22&lt;&gt;""</formula>
    </cfRule>
  </conditionalFormatting>
  <conditionalFormatting sqref="R22">
    <cfRule type="expression" dxfId="145" priority="95">
      <formula>C22=""</formula>
    </cfRule>
  </conditionalFormatting>
  <conditionalFormatting sqref="R22">
    <cfRule type="expression" dxfId="144" priority="96">
      <formula>C22&lt;&gt;""</formula>
    </cfRule>
  </conditionalFormatting>
  <conditionalFormatting sqref="B23">
    <cfRule type="expression" dxfId="143" priority="97">
      <formula>C23=""</formula>
    </cfRule>
  </conditionalFormatting>
  <conditionalFormatting sqref="B23">
    <cfRule type="expression" dxfId="142" priority="98">
      <formula>C23&lt;&gt;""</formula>
    </cfRule>
  </conditionalFormatting>
  <conditionalFormatting sqref="C23:P23">
    <cfRule type="expression" dxfId="141" priority="99">
      <formula>C23=""</formula>
    </cfRule>
  </conditionalFormatting>
  <conditionalFormatting sqref="C23:P23">
    <cfRule type="expression" dxfId="140" priority="100">
      <formula>C23&lt;&gt;""</formula>
    </cfRule>
  </conditionalFormatting>
  <conditionalFormatting sqref="Q23">
    <cfRule type="expression" dxfId="139" priority="101">
      <formula>C23=""</formula>
    </cfRule>
  </conditionalFormatting>
  <conditionalFormatting sqref="Q23">
    <cfRule type="expression" dxfId="138" priority="102">
      <formula>C23&lt;&gt;""</formula>
    </cfRule>
  </conditionalFormatting>
  <conditionalFormatting sqref="R23">
    <cfRule type="expression" dxfId="137" priority="103">
      <formula>C23=""</formula>
    </cfRule>
  </conditionalFormatting>
  <conditionalFormatting sqref="R23">
    <cfRule type="expression" dxfId="136" priority="104">
      <formula>C23&lt;&gt;""</formula>
    </cfRule>
  </conditionalFormatting>
  <conditionalFormatting sqref="B24">
    <cfRule type="expression" dxfId="135" priority="105">
      <formula>C24=""</formula>
    </cfRule>
  </conditionalFormatting>
  <conditionalFormatting sqref="B24">
    <cfRule type="expression" dxfId="134" priority="106">
      <formula>C24&lt;&gt;""</formula>
    </cfRule>
  </conditionalFormatting>
  <conditionalFormatting sqref="C24:P24">
    <cfRule type="expression" dxfId="133" priority="107">
      <formula>C24=""</formula>
    </cfRule>
  </conditionalFormatting>
  <conditionalFormatting sqref="C24:P24">
    <cfRule type="expression" dxfId="132" priority="108">
      <formula>C24&lt;&gt;""</formula>
    </cfRule>
  </conditionalFormatting>
  <conditionalFormatting sqref="Q24">
    <cfRule type="expression" dxfId="131" priority="109">
      <formula>C24=""</formula>
    </cfRule>
  </conditionalFormatting>
  <conditionalFormatting sqref="Q24">
    <cfRule type="expression" dxfId="130" priority="110">
      <formula>C24&lt;&gt;""</formula>
    </cfRule>
  </conditionalFormatting>
  <conditionalFormatting sqref="R24">
    <cfRule type="expression" dxfId="129" priority="111">
      <formula>C24=""</formula>
    </cfRule>
  </conditionalFormatting>
  <conditionalFormatting sqref="R24">
    <cfRule type="expression" dxfId="128" priority="112">
      <formula>C24&lt;&gt;""</formula>
    </cfRule>
  </conditionalFormatting>
  <conditionalFormatting sqref="B25">
    <cfRule type="expression" dxfId="127" priority="113">
      <formula>C25=""</formula>
    </cfRule>
  </conditionalFormatting>
  <conditionalFormatting sqref="B25">
    <cfRule type="expression" dxfId="126" priority="114">
      <formula>C25&lt;&gt;""</formula>
    </cfRule>
  </conditionalFormatting>
  <conditionalFormatting sqref="C25:P25">
    <cfRule type="expression" dxfId="125" priority="115">
      <formula>C25=""</formula>
    </cfRule>
  </conditionalFormatting>
  <conditionalFormatting sqref="C25:P25">
    <cfRule type="expression" dxfId="124" priority="116">
      <formula>C25&lt;&gt;""</formula>
    </cfRule>
  </conditionalFormatting>
  <conditionalFormatting sqref="Q25">
    <cfRule type="expression" dxfId="123" priority="117">
      <formula>C25=""</formula>
    </cfRule>
  </conditionalFormatting>
  <conditionalFormatting sqref="Q25">
    <cfRule type="expression" dxfId="122" priority="118">
      <formula>C25&lt;&gt;""</formula>
    </cfRule>
  </conditionalFormatting>
  <conditionalFormatting sqref="R25">
    <cfRule type="expression" dxfId="121" priority="119">
      <formula>C25=""</formula>
    </cfRule>
  </conditionalFormatting>
  <conditionalFormatting sqref="R25">
    <cfRule type="expression" dxfId="120" priority="120">
      <formula>C25&lt;&gt;""</formula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34"/>
  <sheetViews>
    <sheetView showGridLines="0" zoomScale="97" workbookViewId="0">
      <selection activeCell="P10" sqref="P10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9" width="8.88671875" bestFit="1" customWidth="1"/>
    <col min="10" max="10" width="10.44140625" bestFit="1" customWidth="1"/>
    <col min="11" max="11" width="8.88671875" bestFit="1" customWidth="1"/>
    <col min="12" max="12" width="10.44140625" bestFit="1" customWidth="1"/>
    <col min="13" max="13" width="8" customWidth="1"/>
    <col min="14" max="14" width="6.44140625" customWidth="1"/>
    <col min="15" max="15" width="10" bestFit="1" customWidth="1"/>
    <col min="16" max="16" width="8.21875" bestFit="1" customWidth="1"/>
    <col min="17" max="17" width="14.109375" style="408" bestFit="1" customWidth="1"/>
  </cols>
  <sheetData>
    <row r="1" spans="2:29" ht="30" customHeight="1" x14ac:dyDescent="0.3">
      <c r="B1" s="383" t="str">
        <f>"FinSight IA  ·  Finance  ·  "&amp;TRIM(MID('DONNÉES BRUTES'!A$1,FIND("·",'DONNÉES BRUTES'!A$1)+1,FIND("·",'DONNÉES BRUTES'!A$1,FIND("·",'DONNÉES BRUTES'!A$1)+1)-FIND("·",'DONNÉES BRUTES'!A$1)-1))&amp;"  ·  "&amp;COUNTIF('DONNÉES BRUTES'!C$3:C$42,"Finance")&amp;" sociétés  ·  17/04/2026"</f>
        <v>FinSight IA  ·  Finance  ·  FTSE 100  ·  9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  <c r="R1" s="399"/>
      <c r="S1" s="399"/>
      <c r="T1" s="399"/>
      <c r="U1" s="399"/>
      <c r="V1" s="399"/>
      <c r="W1" s="399"/>
      <c r="X1" s="399"/>
      <c r="Y1" s="399"/>
      <c r="Z1" s="399"/>
      <c r="AA1" s="399"/>
      <c r="AB1" s="399"/>
      <c r="AC1" s="399"/>
    </row>
    <row r="2" spans="2:29" ht="18" customHeight="1" x14ac:dyDescent="0.3">
      <c r="B2" s="385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  <c r="R2" s="399"/>
      <c r="S2" s="399"/>
      <c r="T2" s="399"/>
      <c r="U2" s="399"/>
      <c r="V2" s="399"/>
      <c r="W2" s="399"/>
      <c r="X2" s="399"/>
      <c r="Y2" s="399"/>
      <c r="Z2" s="399"/>
      <c r="AA2" s="399"/>
      <c r="AB2" s="399"/>
      <c r="AC2" s="399"/>
    </row>
    <row r="3" spans="2:29" ht="8.1" customHeight="1" x14ac:dyDescent="0.3">
      <c r="Q3"/>
      <c r="R3" s="399"/>
      <c r="S3" s="399"/>
      <c r="T3" s="399"/>
      <c r="U3" s="399"/>
      <c r="V3" s="399"/>
      <c r="W3" s="399"/>
      <c r="X3" s="399"/>
      <c r="Y3" s="399"/>
      <c r="Z3" s="399"/>
      <c r="AA3" s="399"/>
      <c r="AB3" s="399"/>
      <c r="AC3" s="399"/>
    </row>
    <row r="4" spans="2:29" ht="8.1" customHeight="1" x14ac:dyDescent="0.3">
      <c r="Q4"/>
      <c r="R4" s="399"/>
      <c r="S4" s="399"/>
      <c r="T4" s="399"/>
      <c r="U4" s="399"/>
      <c r="V4" s="399"/>
      <c r="W4" s="399"/>
      <c r="X4" s="399"/>
      <c r="Y4" s="399"/>
      <c r="Z4" s="399"/>
      <c r="AA4" s="399"/>
      <c r="AB4" s="399"/>
      <c r="AC4" s="399"/>
    </row>
    <row r="5" spans="2:29" ht="39.9" customHeight="1" x14ac:dyDescent="0.3">
      <c r="B5" s="165"/>
      <c r="C5" s="157">
        <f>COUNTIF('DONNÉES BRUTES'!C$3:C$42,"Finance")</f>
        <v>9</v>
      </c>
      <c r="D5" s="165"/>
      <c r="E5" s="164" t="str">
        <f>IFERROR(ROUND(AVERAGEIF('DONNÉES BRUTES'!C$3:C$42,"Finance",'DONNÉES BRUTES'!AB$3:AB$42),0)&amp;"/100","—")</f>
        <v>50/100</v>
      </c>
      <c r="F5" s="164"/>
      <c r="G5" s="164"/>
      <c r="H5" s="160" t="str">
        <f t="array" ref="H5">IFERROR(INDEX('DONNÉES BRUTES'!B$3:B$42,MATCH(LARGE(IF('DONNÉES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BRUTES'!A$3))/1000,0),0)),"—")</f>
        <v>Schroders plc</v>
      </c>
      <c r="I5" s="164"/>
      <c r="J5" s="164"/>
      <c r="K5" s="165"/>
      <c r="L5" s="191">
        <f>IFERROR(VLOOKUP("Finance",'PAR SECTEUR'!B$8:G$17,6,0),"—")</f>
        <v>0.20699999999999999</v>
      </c>
      <c r="M5" s="165"/>
      <c r="N5" s="162">
        <f t="array" ref="N5">IFERROR(ROUND(MEDIAN(IF('DONNÉES BRUTES'!C$3:C$42="Finance",IF(ISNUMBER('DONNÉES BRUTES'!Y$3:Y$42),'DONNÉES BRUTES'!Y$3:Y$42))),0),"—")</f>
        <v>43</v>
      </c>
      <c r="O5" s="165"/>
      <c r="P5" s="174" t="str">
        <f>IFERROR(VLOOKUP("Finance",'PAR SECTEUR'!B$8:J$17,9,0),"—")</f>
        <v>Négatif</v>
      </c>
      <c r="Q5" s="164"/>
      <c r="R5" s="399"/>
      <c r="S5" s="399"/>
      <c r="T5" s="399"/>
      <c r="U5" s="399"/>
      <c r="V5" s="399"/>
      <c r="W5" s="399"/>
      <c r="X5" s="399"/>
      <c r="Y5" s="399"/>
      <c r="Z5" s="399"/>
      <c r="AA5" s="399"/>
      <c r="AB5" s="399"/>
      <c r="AC5" s="399"/>
    </row>
    <row r="6" spans="2:29" ht="15.9" customHeight="1" x14ac:dyDescent="0.3">
      <c r="B6" s="165"/>
      <c r="C6" s="159" t="s">
        <v>413</v>
      </c>
      <c r="D6" s="159"/>
      <c r="E6" s="158" t="s">
        <v>414</v>
      </c>
      <c r="F6" s="158"/>
      <c r="G6" s="158"/>
      <c r="H6" s="161" t="s">
        <v>415</v>
      </c>
      <c r="I6" s="158"/>
      <c r="J6" s="158"/>
      <c r="K6" s="165"/>
      <c r="L6" s="159" t="s">
        <v>388</v>
      </c>
      <c r="M6" s="165"/>
      <c r="N6" s="159" t="s">
        <v>416</v>
      </c>
      <c r="O6" s="165"/>
      <c r="P6" s="159" t="s">
        <v>21</v>
      </c>
      <c r="Q6" s="158"/>
      <c r="R6" s="399"/>
      <c r="S6" s="399"/>
      <c r="T6" s="399"/>
      <c r="U6" s="399"/>
      <c r="V6" s="399"/>
      <c r="W6" s="399"/>
      <c r="X6" s="399"/>
      <c r="Y6" s="399"/>
      <c r="Z6" s="399"/>
      <c r="AA6" s="399"/>
      <c r="AB6" s="399"/>
      <c r="AC6" s="399"/>
    </row>
    <row r="7" spans="2:29" ht="8.1" customHeight="1" x14ac:dyDescent="0.3">
      <c r="Q7"/>
      <c r="R7" s="399"/>
      <c r="S7" s="399"/>
      <c r="T7" s="399"/>
      <c r="U7" s="399"/>
      <c r="V7" s="399"/>
      <c r="W7" s="399"/>
      <c r="X7" s="399"/>
      <c r="Y7" s="399"/>
      <c r="Z7" s="399"/>
      <c r="AA7" s="399"/>
      <c r="AB7" s="399"/>
      <c r="AC7" s="399"/>
    </row>
    <row r="8" spans="2:29" ht="21.9" customHeight="1" x14ac:dyDescent="0.3">
      <c r="B8" s="384" t="str">
        <f>"ANALYSE DÉTAILLÉE  ·  "&amp;UPPER("Finance")&amp;"  ·  "&amp;COUNTIF('DONNÉES BRUTES'!C$3:C$42,"Finance")&amp;" sociétés  ·  Triée par Score Global"</f>
        <v>ANALYSE DÉTAILLÉE  ·  FINANCE  ·  9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  <c r="R8" s="399"/>
      <c r="S8" s="399"/>
      <c r="T8" s="399"/>
      <c r="U8" s="399"/>
      <c r="V8" s="399"/>
      <c r="W8" s="399"/>
      <c r="X8" s="399"/>
      <c r="Y8" s="399"/>
      <c r="Z8" s="399"/>
      <c r="AA8" s="399"/>
      <c r="AB8" s="399"/>
      <c r="AC8" s="399"/>
    </row>
    <row r="9" spans="2:29" ht="6" customHeight="1" x14ac:dyDescent="0.3">
      <c r="Q9"/>
      <c r="R9" s="399"/>
      <c r="S9" s="399"/>
      <c r="T9" s="399"/>
      <c r="U9" s="399"/>
      <c r="V9" s="399"/>
      <c r="W9" s="399"/>
      <c r="X9" s="399"/>
      <c r="Y9" s="399"/>
      <c r="Z9" s="399"/>
      <c r="AA9" s="399"/>
      <c r="AB9" s="399"/>
      <c r="AC9" s="399"/>
    </row>
    <row r="10" spans="2:29" ht="20.100000000000001" customHeight="1" x14ac:dyDescent="0.3">
      <c r="B10" s="243" t="s">
        <v>8</v>
      </c>
      <c r="C10" s="244" t="s">
        <v>9</v>
      </c>
      <c r="D10" s="244" t="s">
        <v>10</v>
      </c>
      <c r="E10" s="245" t="s">
        <v>11</v>
      </c>
      <c r="F10" s="245" t="s">
        <v>417</v>
      </c>
      <c r="G10" s="245" t="s">
        <v>418</v>
      </c>
      <c r="H10" s="245" t="s">
        <v>419</v>
      </c>
      <c r="I10" s="245" t="s">
        <v>420</v>
      </c>
      <c r="J10" s="245" t="s">
        <v>345</v>
      </c>
      <c r="K10" s="245" t="s">
        <v>421</v>
      </c>
      <c r="L10" s="245" t="s">
        <v>346</v>
      </c>
      <c r="M10" s="245" t="s">
        <v>124</v>
      </c>
      <c r="N10" s="245" t="s">
        <v>422</v>
      </c>
      <c r="O10" s="245" t="s">
        <v>423</v>
      </c>
      <c r="P10" s="245" t="s">
        <v>32</v>
      </c>
      <c r="Q10" s="400" t="s">
        <v>21</v>
      </c>
      <c r="R10" s="399"/>
      <c r="S10" s="399"/>
      <c r="T10" s="399"/>
      <c r="U10" s="399"/>
      <c r="V10" s="399"/>
      <c r="W10" s="399"/>
      <c r="X10" s="399"/>
      <c r="Y10" s="399"/>
      <c r="Z10" s="399"/>
      <c r="AA10" s="399"/>
      <c r="AB10" s="399"/>
      <c r="AC10" s="399"/>
    </row>
    <row r="11" spans="2:29" ht="18" customHeight="1" x14ac:dyDescent="0.3">
      <c r="B11" s="396">
        <v>1</v>
      </c>
      <c r="C11" s="396" t="str">
        <f t="array" ref="C11">IFERROR(IF(1&gt;COUNTIF('DONNÉES BRUTES'!C$3:C$42,"Finance"),"",INDEX('DONNÉES BRUTES'!A$3:A$42,MATCH(LARGE(IF('DONNÉES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SDR.L</v>
      </c>
      <c r="D11" s="396" t="str">
        <f t="array" ref="D11">IFERROR(IF(1&gt;COUNTIF('DONNÉES BRUTES'!C$3:C$42,"Finance"),"",INDEX('DONNÉES BRUTES'!B$3:B$42,MATCH(LARGE(IF('DONNÉES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Schroders plc</v>
      </c>
      <c r="E11" s="396" t="str">
        <f t="array" ref="E11">IFERROR(IF(1&gt;COUNTIF('DONNÉES BRUTES'!C$3:C$42,"Finance"),"",INT(LARGE(IF('DONNÉES BRUTES'!C$3:C$42="Finance",'DONNÉES BRUTES'!AB$3:AB$42+(ROW('DONNÉES BRUTES'!A$3:A$42)-ROW('DONNÉES BRUTES'!A$3))/1000,0),1))&amp;"/100"),"—")</f>
        <v>55/100</v>
      </c>
      <c r="F11" s="401">
        <f t="array" ref="F11">IFERROR(IF(1&gt;COUNTIF('DONNÉES BRUTES'!C$3:C$42,"Finance"),"",INDEX('DONNÉES BRUTES'!Y$3:Y$42,MATCH(LARGE(IF('DONNÉES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32</v>
      </c>
      <c r="G11" s="401">
        <f t="array" ref="G11">IFERROR(IF(1&gt;COUNTIF('DONNÉES BRUTES'!C$3:C$42,"Finance"),"",INDEX('DONNÉES BRUTES'!Z$3:Z$42,MATCH(LARGE(IF('DONNÉES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29</v>
      </c>
      <c r="H11" s="401">
        <f t="array" ref="H11">IFERROR(IF(1&gt;COUNTIF('DONNÉES BRUTES'!C$3:C$42,"Finance"),"",INDEX('DONNÉES BRUTES'!AA$3:AA$42,MATCH(LARGE(IF('DONNÉES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93</v>
      </c>
      <c r="I11" s="401" t="str">
        <f t="array" ref="I11">IFERROR(IF(1&gt;COUNTIF('DONNÉES BRUTES'!C$3:C$42,"Finance"),"",INDEX('DONNÉES BRUTES'!M$3:M$42,MATCH(LARGE(IF('DONNÉES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78.1%</v>
      </c>
      <c r="J11" s="401" t="str">
        <f t="array" ref="J11">IFERROR(IF(1&gt;COUNTIF('DONNÉES BRUTES'!C$3:C$42,"Finance"),"",INDEX('DONNÉES BRUTES'!N$3:N$42,MATCH(LARGE(IF('DONNÉES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26.8%</v>
      </c>
      <c r="K11" s="401" t="str">
        <f t="array" ref="K11">IFERROR(IF(1&gt;COUNTIF('DONNÉES BRUTES'!C$3:C$42,"Finance"),"",INDEX('DONNÉES BRUTES'!O$3:O$42,MATCH(LARGE(IF('DONNÉES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15.8%</v>
      </c>
      <c r="L11" s="401" t="str">
        <f t="array" ref="L11">IFERROR(IF(1&gt;COUNTIF('DONNÉES BRUTES'!C$3:C$42,"Finance"),"",INDEX('DONNÉES BRUTES'!P$3:P$42,MATCH(LARGE(IF('DONNÉES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—</v>
      </c>
      <c r="M11" s="401" t="str">
        <f t="array" ref="M11">IFERROR(IF(1&gt;COUNTIF('DONNÉES BRUTES'!C$3:C$42,"Finance"),"",INDEX('DONNÉES BRUTES'!Q$3:Q$42,MATCH(LARGE(IF('DONNÉES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—</v>
      </c>
      <c r="N11" s="401">
        <f t="array" ref="N11">IFERROR(IF(1&gt;COUNTIF('DONNÉES BRUTES'!C$3:C$42,"Finance"),"",INDEX('DONNÉES BRUTES'!S$3:S$42,MATCH(LARGE(IF('DONNÉES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1.29</v>
      </c>
      <c r="O11" s="401" t="str">
        <f t="array" ref="O11">IFERROR(IF(1&gt;COUNTIF('DONNÉES BRUTES'!C$3:C$42,"Finance"),"",INDEX('DONNÉES BRUTES'!T$3:T$42,MATCH(LARGE(IF('DONNÉES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—</v>
      </c>
      <c r="P11" s="401" t="str">
        <f t="array" ref="P11">IFERROR(IF(1&gt;COUNTIF('DONNÉES BRUTES'!C$3:C$42,"Finance"),"",INDEX('DONNÉES BRUTES'!U$3:U$42,MATCH(LARGE(IF('DONNÉES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—</v>
      </c>
      <c r="Q11" s="405" t="str">
        <f t="array" ref="Q11">IFERROR(IF(1&gt;COUNTIF('DONNÉES BRUTES'!C$3:C$42,"Finance"),"",INDEX('DONNÉES BRUTES'!AD$3:AD$42,MATCH(LARGE(IF('DONNÉES BRUTES'!C$3:C$42="Finance",'DONNÉES BRUTES'!AB$3:AB$42+(ROW('DONNÉES BRUTES'!A$3:A$42)-ROW('DONNÉES BRUTES'!A$3))/1000,0),1),IF('DONNÉES BRUTES'!C$3:C$42="Finance",'DONNÉES BRUTES'!AB$3:AB$42+(ROW('DONNÉES BRUTES'!A$3:A$42)-ROW('DONNÉES BRUTES'!A$3))/1000,0),0))),"—")</f>
        <v>Neutre</v>
      </c>
      <c r="R11" s="399"/>
      <c r="S11" s="399"/>
      <c r="T11" s="399"/>
      <c r="U11" s="399"/>
      <c r="V11" s="399"/>
      <c r="W11" s="399"/>
      <c r="X11" s="399"/>
      <c r="Y11" s="399"/>
      <c r="Z11" s="399"/>
      <c r="AA11" s="399"/>
      <c r="AB11" s="399"/>
      <c r="AC11" s="399"/>
    </row>
    <row r="12" spans="2:29" ht="15.9" customHeight="1" x14ac:dyDescent="0.3">
      <c r="B12" s="398">
        <v>2</v>
      </c>
      <c r="C12" s="398" t="str">
        <f t="array" ref="C12">IFERROR(IF(2&gt;COUNTIF('DONNÉES BRUTES'!C$3:C$42,"Finance"),"",INDEX('DONNÉES BRUTES'!A$3:A$42,MATCH(LARGE(IF('DONNÉES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III.L</v>
      </c>
      <c r="D12" s="398" t="str">
        <f t="array" ref="D12">IFERROR(IF(2&gt;COUNTIF('DONNÉES BRUTES'!C$3:C$42,"Finance"),"",INDEX('DONNÉES BRUTES'!B$3:B$42,MATCH(LARGE(IF('DONNÉES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3i Group Ord</v>
      </c>
      <c r="E12" s="398" t="str">
        <f t="array" ref="E12">IFERROR(IF(2&gt;COUNTIF('DONNÉES BRUTES'!C$3:C$42,"Finance"),"",INT(LARGE(IF('DONNÉES BRUTES'!C$3:C$42="Finance",'DONNÉES BRUTES'!AB$3:AB$42+(ROW('DONNÉES BRUTES'!A$3:A$42)-ROW('DONNÉES BRUTES'!A$3))/1000,0),2))&amp;"/100"),"—")</f>
        <v>54/100</v>
      </c>
      <c r="F12" s="402">
        <f t="array" ref="F12">IFERROR(IF(2&gt;COUNTIF('DONNÉES BRUTES'!C$3:C$42,"Finance"),"",INDEX('DONNÉES BRUTES'!Y$3:Y$42,MATCH(LARGE(IF('DONNÉES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88</v>
      </c>
      <c r="G12" s="402">
        <f t="array" ref="G12">IFERROR(IF(2&gt;COUNTIF('DONNÉES BRUTES'!C$3:C$42,"Finance"),"",INDEX('DONNÉES BRUTES'!Z$3:Z$42,MATCH(LARGE(IF('DONNÉES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47</v>
      </c>
      <c r="H12" s="402">
        <f t="array" ref="H12">IFERROR(IF(2&gt;COUNTIF('DONNÉES BRUTES'!C$3:C$42,"Finance"),"",INDEX('DONNÉES BRUTES'!AA$3:AA$42,MATCH(LARGE(IF('DONNÉES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10</v>
      </c>
      <c r="I12" s="402" t="str">
        <f t="array" ref="I12">IFERROR(IF(2&gt;COUNTIF('DONNÉES BRUTES'!C$3:C$42,"Finance"),"",INDEX('DONNÉES BRUTES'!M$3:M$42,MATCH(LARGE(IF('DONNÉES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100.0%</v>
      </c>
      <c r="J12" s="402" t="str">
        <f t="array" ref="J12">IFERROR(IF(2&gt;COUNTIF('DONNÉES BRUTES'!C$3:C$42,"Finance"),"",INDEX('DONNÉES BRUTES'!N$3:N$42,MATCH(LARGE(IF('DONNÉES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98.9%</v>
      </c>
      <c r="K12" s="402" t="str">
        <f t="array" ref="K12">IFERROR(IF(2&gt;COUNTIF('DONNÉES BRUTES'!C$3:C$42,"Finance"),"",INDEX('DONNÉES BRUTES'!O$3:O$42,MATCH(LARGE(IF('DONNÉES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97.1%</v>
      </c>
      <c r="L12" s="402" t="str">
        <f t="array" ref="L12">IFERROR(IF(2&gt;COUNTIF('DONNÉES BRUTES'!C$3:C$42,"Finance"),"",INDEX('DONNÉES BRUTES'!P$3:P$42,MATCH(LARGE(IF('DONNÉES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+30.2%</v>
      </c>
      <c r="M12" s="402" t="str">
        <f t="array" ref="M12">IFERROR(IF(2&gt;COUNTIF('DONNÉES BRUTES'!C$3:C$42,"Finance"),"",INDEX('DONNÉES BRUTES'!Q$3:Q$42,MATCH(LARGE(IF('DONNÉES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+20.5%</v>
      </c>
      <c r="N12" s="402" t="str">
        <f t="array" ref="N12">IFERROR(IF(2&gt;COUNTIF('DONNÉES BRUTES'!C$3:C$42,"Finance"),"",INDEX('DONNÉES BRUTES'!S$3:S$42,MATCH(LARGE(IF('DONNÉES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—</v>
      </c>
      <c r="O12" s="402" t="str">
        <f t="array" ref="O12">IFERROR(IF(2&gt;COUNTIF('DONNÉES BRUTES'!C$3:C$42,"Finance"),"",INDEX('DONNÉES BRUTES'!T$3:T$42,MATCH(LARGE(IF('DONNÉES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0.2x</v>
      </c>
      <c r="P12" s="402" t="str">
        <f t="array" ref="P12">IFERROR(IF(2&gt;COUNTIF('DONNÉES BRUTES'!C$3:C$42,"Finance"),"",INDEX('DONNÉES BRUTES'!U$3:U$42,MATCH(LARGE(IF('DONNÉES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—</v>
      </c>
      <c r="Q12" s="406" t="str">
        <f t="array" ref="Q12">IFERROR(IF(2&gt;COUNTIF('DONNÉES BRUTES'!C$3:C$42,"Finance"),"",INDEX('DONNÉES BRUTES'!AD$3:AD$42,MATCH(LARGE(IF('DONNÉES BRUTES'!C$3:C$42="Finance",'DONNÉES BRUTES'!AB$3:AB$42+(ROW('DONNÉES BRUTES'!A$3:A$42)-ROW('DONNÉES BRUTES'!A$3))/1000,0),2),IF('DONNÉES BRUTES'!C$3:C$42="Finance",'DONNÉES BRUTES'!AB$3:AB$42+(ROW('DONNÉES BRUTES'!A$3:A$42)-ROW('DONNÉES BRUTES'!A$3))/1000,0),0))),"—")</f>
        <v>Neutre</v>
      </c>
      <c r="R12" s="399"/>
      <c r="S12" s="399"/>
      <c r="T12" s="399"/>
      <c r="U12" s="399"/>
      <c r="V12" s="399"/>
      <c r="W12" s="399"/>
      <c r="X12" s="399"/>
      <c r="Y12" s="399"/>
      <c r="Z12" s="399"/>
      <c r="AA12" s="399"/>
      <c r="AB12" s="399"/>
      <c r="AC12" s="399"/>
    </row>
    <row r="13" spans="2:29" ht="15.9" customHeight="1" x14ac:dyDescent="0.3">
      <c r="B13" s="396">
        <v>3</v>
      </c>
      <c r="C13" s="396" t="str">
        <f t="array" ref="C13">IFERROR(IF(3&gt;COUNTIF('DONNÉES BRUTES'!C$3:C$42,"Finance"),"",INDEX('DONNÉES BRUTES'!A$3:A$42,MATCH(LARGE(IF('DONNÉES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HSX.L</v>
      </c>
      <c r="D13" s="396" t="str">
        <f t="array" ref="D13">IFERROR(IF(3&gt;COUNTIF('DONNÉES BRUTES'!C$3:C$42,"Finance"),"",INDEX('DONNÉES BRUTES'!B$3:B$42,MATCH(LARGE(IF('DONNÉES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Hiscox Ltd</v>
      </c>
      <c r="E13" s="396" t="str">
        <f t="array" ref="E13">IFERROR(IF(3&gt;COUNTIF('DONNÉES BRUTES'!C$3:C$42,"Finance"),"",INT(LARGE(IF('DONNÉES BRUTES'!C$3:C$42="Finance",'DONNÉES BRUTES'!AB$3:AB$42+(ROW('DONNÉES BRUTES'!A$3:A$42)-ROW('DONNÉES BRUTES'!A$3))/1000,0),3))&amp;"/100"),"—")</f>
        <v>50/100</v>
      </c>
      <c r="F13" s="401">
        <f t="array" ref="F13">IFERROR(IF(3&gt;COUNTIF('DONNÉES BRUTES'!C$3:C$42,"Finance"),"",INDEX('DONNÉES BRUTES'!Y$3:Y$42,MATCH(LARGE(IF('DONNÉES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55</v>
      </c>
      <c r="G13" s="401">
        <f t="array" ref="G13">IFERROR(IF(3&gt;COUNTIF('DONNÉES BRUTES'!C$3:C$42,"Finance"),"",INDEX('DONNÉES BRUTES'!Z$3:Z$42,MATCH(LARGE(IF('DONNÉES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37</v>
      </c>
      <c r="H13" s="401">
        <f t="array" ref="H13">IFERROR(IF(3&gt;COUNTIF('DONNÉES BRUTES'!C$3:C$42,"Finance"),"",INDEX('DONNÉES BRUTES'!AA$3:AA$42,MATCH(LARGE(IF('DONNÉES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70</v>
      </c>
      <c r="I13" s="401" t="str">
        <f t="array" ref="I13">IFERROR(IF(3&gt;COUNTIF('DONNÉES BRUTES'!C$3:C$42,"Finance"),"",INDEX('DONNÉES BRUTES'!M$3:M$42,MATCH(LARGE(IF('DONNÉES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24.7%</v>
      </c>
      <c r="J13" s="401" t="str">
        <f t="array" ref="J13">IFERROR(IF(3&gt;COUNTIF('DONNÉES BRUTES'!C$3:C$42,"Finance"),"",INDEX('DONNÉES BRUTES'!N$3:N$42,MATCH(LARGE(IF('DONNÉES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21.9%</v>
      </c>
      <c r="K13" s="401" t="str">
        <f t="array" ref="K13">IFERROR(IF(3&gt;COUNTIF('DONNÉES BRUTES'!C$3:C$42,"Finance"),"",INDEX('DONNÉES BRUTES'!O$3:O$42,MATCH(LARGE(IF('DONNÉES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15.3%</v>
      </c>
      <c r="L13" s="401" t="str">
        <f t="array" ref="L13">IFERROR(IF(3&gt;COUNTIF('DONNÉES BRUTES'!C$3:C$42,"Finance"),"",INDEX('DONNÉES BRUTES'!P$3:P$42,MATCH(LARGE(IF('DONNÉES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+7.5%</v>
      </c>
      <c r="M13" s="401" t="str">
        <f t="array" ref="M13">IFERROR(IF(3&gt;COUNTIF('DONNÉES BRUTES'!C$3:C$42,"Finance"),"",INDEX('DONNÉES BRUTES'!Q$3:Q$42,MATCH(LARGE(IF('DONNÉES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+15.3%</v>
      </c>
      <c r="N13" s="401" t="str">
        <f t="array" ref="N13">IFERROR(IF(3&gt;COUNTIF('DONNÉES BRUTES'!C$3:C$42,"Finance"),"",INDEX('DONNÉES BRUTES'!S$3:S$42,MATCH(LARGE(IF('DONNÉES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—</v>
      </c>
      <c r="O13" s="401" t="str">
        <f t="array" ref="O13">IFERROR(IF(3&gt;COUNTIF('DONNÉES BRUTES'!C$3:C$42,"Finance"),"",INDEX('DONNÉES BRUTES'!T$3:T$42,MATCH(LARGE(IF('DONNÉES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-0.0x</v>
      </c>
      <c r="P13" s="401" t="str">
        <f t="array" ref="P13">IFERROR(IF(3&gt;COUNTIF('DONNÉES BRUTES'!C$3:C$42,"Finance"),"",INDEX('DONNÉES BRUTES'!U$3:U$42,MATCH(LARGE(IF('DONNÉES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—</v>
      </c>
      <c r="Q13" s="405" t="str">
        <f t="array" ref="Q13">IFERROR(IF(3&gt;COUNTIF('DONNÉES BRUTES'!C$3:C$42,"Finance"),"",INDEX('DONNÉES BRUTES'!AD$3:AD$42,MATCH(LARGE(IF('DONNÉES BRUTES'!C$3:C$42="Finance",'DONNÉES BRUTES'!AB$3:AB$42+(ROW('DONNÉES BRUTES'!A$3:A$42)-ROW('DONNÉES BRUTES'!A$3))/1000,0),3),IF('DONNÉES BRUTES'!C$3:C$42="Finance",'DONNÉES BRUTES'!AB$3:AB$42+(ROW('DONNÉES BRUTES'!A$3:A$42)-ROW('DONNÉES BRUTES'!A$3))/1000,0),0))),"—")</f>
        <v>Neutre</v>
      </c>
      <c r="R13" s="399"/>
      <c r="S13" s="399"/>
      <c r="T13" s="399"/>
      <c r="U13" s="399"/>
      <c r="V13" s="399"/>
      <c r="W13" s="399"/>
      <c r="X13" s="399"/>
      <c r="Y13" s="399"/>
      <c r="Z13" s="399"/>
      <c r="AA13" s="399"/>
      <c r="AB13" s="399"/>
      <c r="AC13" s="399"/>
    </row>
    <row r="14" spans="2:29" ht="15.9" customHeight="1" x14ac:dyDescent="0.3">
      <c r="B14" s="398">
        <v>4</v>
      </c>
      <c r="C14" s="398" t="str">
        <f t="array" ref="C14">IFERROR(IF(4&gt;COUNTIF('DONNÉES BRUTES'!C$3:C$42,"Finance"),"",INDEX('DONNÉES BRUTES'!A$3:A$42,MATCH(LARGE(IF('DONNÉES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PRU.L</v>
      </c>
      <c r="D14" s="398" t="str">
        <f t="array" ref="D14">IFERROR(IF(4&gt;COUNTIF('DONNÉES BRUTES'!C$3:C$42,"Finance"),"",INDEX('DONNÉES BRUTES'!B$3:B$42,MATCH(LARGE(IF('DONNÉES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Prudential plc</v>
      </c>
      <c r="E14" s="398" t="str">
        <f t="array" ref="E14">IFERROR(IF(4&gt;COUNTIF('DONNÉES BRUTES'!C$3:C$42,"Finance"),"",INT(LARGE(IF('DONNÉES BRUTES'!C$3:C$42="Finance",'DONNÉES BRUTES'!AB$3:AB$42+(ROW('DONNÉES BRUTES'!A$3:A$42)-ROW('DONNÉES BRUTES'!A$3))/1000,0),4))&amp;"/100"),"—")</f>
        <v>50/100</v>
      </c>
      <c r="F14" s="402">
        <f t="array" ref="F14">IFERROR(IF(4&gt;COUNTIF('DONNÉES BRUTES'!C$3:C$42,"Finance"),"",INDEX('DONNÉES BRUTES'!Y$3:Y$42,MATCH(LARGE(IF('DONNÉES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35</v>
      </c>
      <c r="G14" s="402">
        <f t="array" ref="G14">IFERROR(IF(4&gt;COUNTIF('DONNÉES BRUTES'!C$3:C$42,"Finance"),"",INDEX('DONNÉES BRUTES'!Z$3:Z$42,MATCH(LARGE(IF('DONNÉES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26</v>
      </c>
      <c r="H14" s="402">
        <f t="array" ref="H14">IFERROR(IF(4&gt;COUNTIF('DONNÉES BRUTES'!C$3:C$42,"Finance"),"",INDEX('DONNÉES BRUTES'!AA$3:AA$42,MATCH(LARGE(IF('DONNÉES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75</v>
      </c>
      <c r="I14" s="402" t="str">
        <f t="array" ref="I14">IFERROR(IF(4&gt;COUNTIF('DONNÉES BRUTES'!C$3:C$42,"Finance"),"",INDEX('DONNÉES BRUTES'!M$3:M$42,MATCH(LARGE(IF('DONNÉES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41.4%</v>
      </c>
      <c r="J14" s="402" t="str">
        <f t="array" ref="J14">IFERROR(IF(4&gt;COUNTIF('DONNÉES BRUTES'!C$3:C$42,"Finance"),"",INDEX('DONNÉES BRUTES'!N$3:N$42,MATCH(LARGE(IF('DONNÉES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44.9%</v>
      </c>
      <c r="K14" s="402" t="str">
        <f t="array" ref="K14">IFERROR(IF(4&gt;COUNTIF('DONNÉES BRUTES'!C$3:C$42,"Finance"),"",INDEX('DONNÉES BRUTES'!O$3:O$42,MATCH(LARGE(IF('DONNÉES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27.6%</v>
      </c>
      <c r="L14" s="402" t="str">
        <f t="array" ref="L14">IFERROR(IF(4&gt;COUNTIF('DONNÉES BRUTES'!C$3:C$42,"Finance"),"",INDEX('DONNÉES BRUTES'!P$3:P$42,MATCH(LARGE(IF('DONNÉES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—</v>
      </c>
      <c r="M14" s="402" t="str">
        <f t="array" ref="M14">IFERROR(IF(4&gt;COUNTIF('DONNÉES BRUTES'!C$3:C$42,"Finance"),"",INDEX('DONNÉES BRUTES'!Q$3:Q$42,MATCH(LARGE(IF('DONNÉES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—</v>
      </c>
      <c r="N14" s="402" t="str">
        <f t="array" ref="N14">IFERROR(IF(4&gt;COUNTIF('DONNÉES BRUTES'!C$3:C$42,"Finance"),"",INDEX('DONNÉES BRUTES'!S$3:S$42,MATCH(LARGE(IF('DONNÉES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—</v>
      </c>
      <c r="O14" s="402" t="str">
        <f t="array" ref="O14">IFERROR(IF(4&gt;COUNTIF('DONNÉES BRUTES'!C$3:C$42,"Finance"),"",INDEX('DONNÉES BRUTES'!T$3:T$42,MATCH(LARGE(IF('DONNÉES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—</v>
      </c>
      <c r="P14" s="402" t="str">
        <f t="array" ref="P14">IFERROR(IF(4&gt;COUNTIF('DONNÉES BRUTES'!C$3:C$42,"Finance"),"",INDEX('DONNÉES BRUTES'!U$3:U$42,MATCH(LARGE(IF('DONNÉES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—</v>
      </c>
      <c r="Q14" s="406" t="str">
        <f t="array" ref="Q14">IFERROR(IF(4&gt;COUNTIF('DONNÉES BRUTES'!C$3:C$42,"Finance"),"",INDEX('DONNÉES BRUTES'!AD$3:AD$42,MATCH(LARGE(IF('DONNÉES BRUTES'!C$3:C$42="Finance",'DONNÉES BRUTES'!AB$3:AB$42+(ROW('DONNÉES BRUTES'!A$3:A$42)-ROW('DONNÉES BRUTES'!A$3))/1000,0),4),IF('DONNÉES BRUTES'!C$3:C$42="Finance",'DONNÉES BRUTES'!AB$3:AB$42+(ROW('DONNÉES BRUTES'!A$3:A$42)-ROW('DONNÉES BRUTES'!A$3))/1000,0),0))),"—")</f>
        <v>Neutre</v>
      </c>
      <c r="R14" s="399"/>
      <c r="S14" s="399"/>
      <c r="T14" s="399"/>
      <c r="U14" s="399"/>
      <c r="V14" s="399"/>
      <c r="W14" s="399"/>
      <c r="X14" s="399"/>
      <c r="Y14" s="399"/>
      <c r="Z14" s="399"/>
      <c r="AA14" s="399"/>
      <c r="AB14" s="399"/>
      <c r="AC14" s="399"/>
    </row>
    <row r="15" spans="2:29" ht="15.9" customHeight="1" x14ac:dyDescent="0.3">
      <c r="B15" s="396">
        <v>5</v>
      </c>
      <c r="C15" s="396" t="str">
        <f t="array" ref="C15">IFERROR(IF(5&gt;COUNTIF('DONNÉES BRUTES'!C$3:C$42,"Finance"),"",INDEX('DONNÉES BRUTES'!A$3:A$42,MATCH(LARGE(IF('DONNÉES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BARC.L</v>
      </c>
      <c r="D15" s="396" t="str">
        <f t="array" ref="D15">IFERROR(IF(5&gt;COUNTIF('DONNÉES BRUTES'!C$3:C$42,"Finance"),"",INDEX('DONNÉES BRUTES'!B$3:B$42,MATCH(LARGE(IF('DONNÉES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Barclays PLC</v>
      </c>
      <c r="E15" s="396" t="str">
        <f t="array" ref="E15">IFERROR(IF(5&gt;COUNTIF('DONNÉES BRUTES'!C$3:C$42,"Finance"),"",INT(LARGE(IF('DONNÉES BRUTES'!C$3:C$42="Finance",'DONNÉES BRUTES'!AB$3:AB$42+(ROW('DONNÉES BRUTES'!A$3:A$42)-ROW('DONNÉES BRUTES'!A$3))/1000,0),5))&amp;"/100"),"—")</f>
        <v>49/100</v>
      </c>
      <c r="F15" s="401">
        <f t="array" ref="F15">IFERROR(IF(5&gt;COUNTIF('DONNÉES BRUTES'!C$3:C$42,"Finance"),"",INDEX('DONNÉES BRUTES'!Y$3:Y$42,MATCH(LARGE(IF('DONNÉES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43</v>
      </c>
      <c r="G15" s="401">
        <f t="array" ref="G15">IFERROR(IF(5&gt;COUNTIF('DONNÉES BRUTES'!C$3:C$42,"Finance"),"",INDEX('DONNÉES BRUTES'!Z$3:Z$42,MATCH(LARGE(IF('DONNÉES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30</v>
      </c>
      <c r="H15" s="401">
        <f t="array" ref="H15">IFERROR(IF(5&gt;COUNTIF('DONNÉES BRUTES'!C$3:C$42,"Finance"),"",INDEX('DONNÉES BRUTES'!AA$3:AA$42,MATCH(LARGE(IF('DONNÉES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79</v>
      </c>
      <c r="I15" s="401" t="str">
        <f t="array" ref="I15">IFERROR(IF(5&gt;COUNTIF('DONNÉES BRUTES'!C$3:C$42,"Finance"),"",INDEX('DONNÉES BRUTES'!M$3:M$42,MATCH(LARGE(IF('DONNÉES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—</v>
      </c>
      <c r="J15" s="401" t="str">
        <f t="array" ref="J15">IFERROR(IF(5&gt;COUNTIF('DONNÉES BRUTES'!C$3:C$42,"Finance"),"",INDEX('DONNÉES BRUTES'!N$3:N$42,MATCH(LARGE(IF('DONNÉES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—</v>
      </c>
      <c r="K15" s="401" t="str">
        <f t="array" ref="K15">IFERROR(IF(5&gt;COUNTIF('DONNÉES BRUTES'!C$3:C$42,"Finance"),"",INDEX('DONNÉES BRUTES'!O$3:O$42,MATCH(LARGE(IF('DONNÉES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24.6%</v>
      </c>
      <c r="L15" s="401" t="str">
        <f t="array" ref="L15">IFERROR(IF(5&gt;COUNTIF('DONNÉES BRUTES'!C$3:C$42,"Finance"),"",INDEX('DONNÉES BRUTES'!P$3:P$42,MATCH(LARGE(IF('DONNÉES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+11.1%</v>
      </c>
      <c r="M15" s="401" t="str">
        <f t="array" ref="M15">IFERROR(IF(5&gt;COUNTIF('DONNÉES BRUTES'!C$3:C$42,"Finance"),"",INDEX('DONNÉES BRUTES'!Q$3:Q$42,MATCH(LARGE(IF('DONNÉES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+9.2%</v>
      </c>
      <c r="N15" s="401" t="str">
        <f t="array" ref="N15">IFERROR(IF(5&gt;COUNTIF('DONNÉES BRUTES'!C$3:C$42,"Finance"),"",INDEX('DONNÉES BRUTES'!S$3:S$42,MATCH(LARGE(IF('DONNÉES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—</v>
      </c>
      <c r="O15" s="401" t="str">
        <f t="array" ref="O15">IFERROR(IF(5&gt;COUNTIF('DONNÉES BRUTES'!C$3:C$42,"Finance"),"",INDEX('DONNÉES BRUTES'!T$3:T$42,MATCH(LARGE(IF('DONNÉES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-0.3x</v>
      </c>
      <c r="P15" s="401" t="str">
        <f t="array" ref="P15">IFERROR(IF(5&gt;COUNTIF('DONNÉES BRUTES'!C$3:C$42,"Finance"),"",INDEX('DONNÉES BRUTES'!U$3:U$42,MATCH(LARGE(IF('DONNÉES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—</v>
      </c>
      <c r="Q15" s="405" t="str">
        <f t="array" ref="Q15">IFERROR(IF(5&gt;COUNTIF('DONNÉES BRUTES'!C$3:C$42,"Finance"),"",INDEX('DONNÉES BRUTES'!AD$3:AD$42,MATCH(LARGE(IF('DONNÉES BRUTES'!C$3:C$42="Finance",'DONNÉES BRUTES'!AB$3:AB$42+(ROW('DONNÉES BRUTES'!A$3:A$42)-ROW('DONNÉES BRUTES'!A$3))/1000,0),5),IF('DONNÉES BRUTES'!C$3:C$42="Finance",'DONNÉES BRUTES'!AB$3:AB$42+(ROW('DONNÉES BRUTES'!A$3:A$42)-ROW('DONNÉES BRUTES'!A$3))/1000,0),0))),"—")</f>
        <v>Neutre</v>
      </c>
      <c r="R15" s="399"/>
      <c r="S15" s="399"/>
      <c r="T15" s="399"/>
      <c r="U15" s="399"/>
      <c r="V15" s="399"/>
      <c r="W15" s="399"/>
      <c r="X15" s="399"/>
      <c r="Y15" s="399"/>
      <c r="Z15" s="399"/>
      <c r="AA15" s="399"/>
      <c r="AB15" s="399"/>
      <c r="AC15" s="399"/>
    </row>
    <row r="16" spans="2:29" ht="15.9" customHeight="1" x14ac:dyDescent="0.3">
      <c r="B16" s="397">
        <v>6</v>
      </c>
      <c r="C16" s="397" t="str">
        <f t="array" ref="C16">IFERROR(IF(6&gt;COUNTIF('DONNÉES BRUTES'!C$3:C$42,"Finance"),"",INDEX('DONNÉES BRUTES'!A$3:A$42,MATCH(LARGE(IF('DONNÉES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MNG.L</v>
      </c>
      <c r="D16" s="397" t="str">
        <f t="array" ref="D16">IFERROR(IF(6&gt;COUNTIF('DONNÉES BRUTES'!C$3:C$42,"Finance"),"",INDEX('DONNÉES BRUTES'!B$3:B$42,MATCH(LARGE(IF('DONNÉES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M&amp;G plc</v>
      </c>
      <c r="E16" s="397" t="str">
        <f t="array" ref="E16">IFERROR(IF(6&gt;COUNTIF('DONNÉES BRUTES'!C$3:C$42,"Finance"),"",INT(LARGE(IF('DONNÉES BRUTES'!C$3:C$42="Finance",'DONNÉES BRUTES'!AB$3:AB$42+(ROW('DONNÉES BRUTES'!A$3:A$42)-ROW('DONNÉES BRUTES'!A$3))/1000,0),6))&amp;"/100"),"—")</f>
        <v>49/100</v>
      </c>
      <c r="F16" s="403">
        <f t="array" ref="F16">IFERROR(IF(6&gt;COUNTIF('DONNÉES BRUTES'!C$3:C$42,"Finance"),"",INDEX('DONNÉES BRUTES'!Y$3:Y$42,MATCH(LARGE(IF('DONNÉES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59</v>
      </c>
      <c r="G16" s="403">
        <f t="array" ref="G16">IFERROR(IF(6&gt;COUNTIF('DONNÉES BRUTES'!C$3:C$42,"Finance"),"",INDEX('DONNÉES BRUTES'!Z$3:Z$42,MATCH(LARGE(IF('DONNÉES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19</v>
      </c>
      <c r="H16" s="403">
        <f t="array" ref="H16">IFERROR(IF(6&gt;COUNTIF('DONNÉES BRUTES'!C$3:C$42,"Finance"),"",INDEX('DONNÉES BRUTES'!AA$3:AA$42,MATCH(LARGE(IF('DONNÉES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68</v>
      </c>
      <c r="I16" s="403" t="str">
        <f t="array" ref="I16">IFERROR(IF(6&gt;COUNTIF('DONNÉES BRUTES'!C$3:C$42,"Finance"),"",INDEX('DONNÉES BRUTES'!M$3:M$42,MATCH(LARGE(IF('DONNÉES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60.1%</v>
      </c>
      <c r="J16" s="403" t="str">
        <f t="array" ref="J16">IFERROR(IF(6&gt;COUNTIF('DONNÉES BRUTES'!C$3:C$42,"Finance"),"",INDEX('DONNÉES BRUTES'!N$3:N$42,MATCH(LARGE(IF('DONNÉES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8.9%</v>
      </c>
      <c r="K16" s="403" t="str">
        <f t="array" ref="K16">IFERROR(IF(6&gt;COUNTIF('DONNÉES BRUTES'!C$3:C$42,"Finance"),"",INDEX('DONNÉES BRUTES'!O$3:O$42,MATCH(LARGE(IF('DONNÉES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1.4%</v>
      </c>
      <c r="L16" s="403" t="str">
        <f t="array" ref="L16">IFERROR(IF(6&gt;COUNTIF('DONNÉES BRUTES'!C$3:C$42,"Finance"),"",INDEX('DONNÉES BRUTES'!P$3:P$42,MATCH(LARGE(IF('DONNÉES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+48.7%</v>
      </c>
      <c r="M16" s="403" t="str">
        <f t="array" ref="M16">IFERROR(IF(6&gt;COUNTIF('DONNÉES BRUTES'!C$3:C$42,"Finance"),"",INDEX('DONNÉES BRUTES'!Q$3:Q$42,MATCH(LARGE(IF('DONNÉES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+9.6%</v>
      </c>
      <c r="N16" s="403" t="str">
        <f t="array" ref="N16">IFERROR(IF(6&gt;COUNTIF('DONNÉES BRUTES'!C$3:C$42,"Finance"),"",INDEX('DONNÉES BRUTES'!S$3:S$42,MATCH(LARGE(IF('DONNÉES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—</v>
      </c>
      <c r="O16" s="403" t="str">
        <f t="array" ref="O16">IFERROR(IF(6&gt;COUNTIF('DONNÉES BRUTES'!C$3:C$42,"Finance"),"",INDEX('DONNÉES BRUTES'!T$3:T$42,MATCH(LARGE(IF('DONNÉES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0.9x</v>
      </c>
      <c r="P16" s="403" t="str">
        <f t="array" ref="P16">IFERROR(IF(6&gt;COUNTIF('DONNÉES BRUTES'!C$3:C$42,"Finance"),"",INDEX('DONNÉES BRUTES'!U$3:U$42,MATCH(LARGE(IF('DONNÉES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—</v>
      </c>
      <c r="Q16" s="407" t="str">
        <f t="array" ref="Q16">IFERROR(IF(6&gt;COUNTIF('DONNÉES BRUTES'!C$3:C$42,"Finance"),"",INDEX('DONNÉES BRUTES'!AD$3:AD$42,MATCH(LARGE(IF('DONNÉES BRUTES'!C$3:C$42="Finance",'DONNÉES BRUTES'!AB$3:AB$42+(ROW('DONNÉES BRUTES'!A$3:A$42)-ROW('DONNÉES BRUTES'!A$3))/1000,0),6),IF('DONNÉES BRUTES'!C$3:C$42="Finance",'DONNÉES BRUTES'!AB$3:AB$42+(ROW('DONNÉES BRUTES'!A$3:A$42)-ROW('DONNÉES BRUTES'!A$3))/1000,0),0))),"—")</f>
        <v>Neutre</v>
      </c>
      <c r="R16" s="399"/>
      <c r="S16" s="399"/>
      <c r="T16" s="399"/>
      <c r="U16" s="399"/>
      <c r="V16" s="399"/>
      <c r="W16" s="399"/>
      <c r="X16" s="399"/>
      <c r="Y16" s="399"/>
      <c r="Z16" s="399"/>
      <c r="AA16" s="399"/>
      <c r="AB16" s="399"/>
      <c r="AC16" s="399"/>
    </row>
    <row r="17" spans="2:29" ht="15.9" customHeight="1" x14ac:dyDescent="0.3">
      <c r="B17" s="397">
        <v>7</v>
      </c>
      <c r="C17" s="397" t="str">
        <f t="array" ref="C17">IFERROR(IF(7&gt;COUNTIF('DONNÉES BRUTES'!C$3:C$42,"Finance"),"",INDEX('DONNÉES BRUTES'!A$3:A$42,MATCH(LARGE(IF('DONNÉES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HSBA.L</v>
      </c>
      <c r="D17" s="397" t="str">
        <f t="array" ref="D17">IFERROR(IF(7&gt;COUNTIF('DONNÉES BRUTES'!C$3:C$42,"Finance"),"",INDEX('DONNÉES BRUTES'!B$3:B$42,MATCH(LARGE(IF('DONNÉES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HSBC Holdings plc</v>
      </c>
      <c r="E17" s="397" t="str">
        <f t="array" ref="E17">IFERROR(IF(7&gt;COUNTIF('DONNÉES BRUTES'!C$3:C$42,"Finance"),"",INT(LARGE(IF('DONNÉES BRUTES'!C$3:C$42="Finance",'DONNÉES BRUTES'!AB$3:AB$42+(ROW('DONNÉES BRUTES'!A$3:A$42)-ROW('DONNÉES BRUTES'!A$3))/1000,0),7))&amp;"/100"),"—")</f>
        <v>47/100</v>
      </c>
      <c r="F17" s="403">
        <f t="array" ref="F17">IFERROR(IF(7&gt;COUNTIF('DONNÉES BRUTES'!C$3:C$42,"Finance"),"",INDEX('DONNÉES BRUTES'!Y$3:Y$42,MATCH(LARGE(IF('DONNÉES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32</v>
      </c>
      <c r="G17" s="403">
        <f t="array" ref="G17">IFERROR(IF(7&gt;COUNTIF('DONNÉES BRUTES'!C$3:C$42,"Finance"),"",INDEX('DONNÉES BRUTES'!Z$3:Z$42,MATCH(LARGE(IF('DONNÉES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32</v>
      </c>
      <c r="H17" s="403">
        <f t="array" ref="H17">IFERROR(IF(7&gt;COUNTIF('DONNÉES BRUTES'!C$3:C$42,"Finance"),"",INDEX('DONNÉES BRUTES'!AA$3:AA$42,MATCH(LARGE(IF('DONNÉES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91</v>
      </c>
      <c r="I17" s="403" t="str">
        <f t="array" ref="I17">IFERROR(IF(7&gt;COUNTIF('DONNÉES BRUTES'!C$3:C$42,"Finance"),"",INDEX('DONNÉES BRUTES'!M$3:M$42,MATCH(LARGE(IF('DONNÉES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—</v>
      </c>
      <c r="J17" s="403" t="str">
        <f t="array" ref="J17">IFERROR(IF(7&gt;COUNTIF('DONNÉES BRUTES'!C$3:C$42,"Finance"),"",INDEX('DONNÉES BRUTES'!N$3:N$42,MATCH(LARGE(IF('DONNÉES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—</v>
      </c>
      <c r="K17" s="403" t="str">
        <f t="array" ref="K17">IFERROR(IF(7&gt;COUNTIF('DONNÉES BRUTES'!C$3:C$42,"Finance"),"",INDEX('DONNÉES BRUTES'!O$3:O$42,MATCH(LARGE(IF('DONNÉES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33.7%</v>
      </c>
      <c r="L17" s="403" t="str">
        <f t="array" ref="L17">IFERROR(IF(7&gt;COUNTIF('DONNÉES BRUTES'!C$3:C$42,"Finance"),"",INDEX('DONNÉES BRUTES'!P$3:P$42,MATCH(LARGE(IF('DONNÉES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-1.7%</v>
      </c>
      <c r="M17" s="403" t="str">
        <f t="array" ref="M17">IFERROR(IF(7&gt;COUNTIF('DONNÉES BRUTES'!C$3:C$42,"Finance"),"",INDEX('DONNÉES BRUTES'!Q$3:Q$42,MATCH(LARGE(IF('DONNÉES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+11.2%</v>
      </c>
      <c r="N17" s="403" t="str">
        <f t="array" ref="N17">IFERROR(IF(7&gt;COUNTIF('DONNÉES BRUTES'!C$3:C$42,"Finance"),"",INDEX('DONNÉES BRUTES'!S$3:S$42,MATCH(LARGE(IF('DONNÉES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—</v>
      </c>
      <c r="O17" s="403" t="str">
        <f t="array" ref="O17">IFERROR(IF(7&gt;COUNTIF('DONNÉES BRUTES'!C$3:C$42,"Finance"),"",INDEX('DONNÉES BRUTES'!T$3:T$42,MATCH(LARGE(IF('DONNÉES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-0.5x</v>
      </c>
      <c r="P17" s="403" t="str">
        <f t="array" ref="P17">IFERROR(IF(7&gt;COUNTIF('DONNÉES BRUTES'!C$3:C$42,"Finance"),"",INDEX('DONNÉES BRUTES'!U$3:U$42,MATCH(LARGE(IF('DONNÉES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—</v>
      </c>
      <c r="Q17" s="407" t="str">
        <f t="array" ref="Q17">IFERROR(IF(7&gt;COUNTIF('DONNÉES BRUTES'!C$3:C$42,"Finance"),"",INDEX('DONNÉES BRUTES'!AD$3:AD$42,MATCH(LARGE(IF('DONNÉES BRUTES'!C$3:C$42="Finance",'DONNÉES BRUTES'!AB$3:AB$42+(ROW('DONNÉES BRUTES'!A$3:A$42)-ROW('DONNÉES BRUTES'!A$3))/1000,0),7),IF('DONNÉES BRUTES'!C$3:C$42="Finance",'DONNÉES BRUTES'!AB$3:AB$42+(ROW('DONNÉES BRUTES'!A$3:A$42)-ROW('DONNÉES BRUTES'!A$3))/1000,0),0))),"—")</f>
        <v>Neutre</v>
      </c>
      <c r="R17" s="399"/>
      <c r="S17" s="399"/>
      <c r="T17" s="399"/>
      <c r="U17" s="399"/>
      <c r="V17" s="399"/>
      <c r="W17" s="399"/>
      <c r="X17" s="399"/>
      <c r="Y17" s="399"/>
      <c r="Z17" s="399"/>
      <c r="AA17" s="399"/>
      <c r="AB17" s="399"/>
      <c r="AC17" s="399"/>
    </row>
    <row r="18" spans="2:29" ht="15.9" customHeight="1" x14ac:dyDescent="0.3">
      <c r="B18" s="397">
        <v>8</v>
      </c>
      <c r="C18" s="397" t="str">
        <f t="array" ref="C18">IFERROR(IF(8&gt;COUNTIF('DONNÉES BRUTES'!C$3:C$42,"Finance"),"",INDEX('DONNÉES BRUTES'!A$3:A$42,MATCH(LARGE(IF('DONNÉES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NWG.L</v>
      </c>
      <c r="D18" s="397" t="str">
        <f t="array" ref="D18">IFERROR(IF(8&gt;COUNTIF('DONNÉES BRUTES'!C$3:C$42,"Finance"),"",INDEX('DONNÉES BRUTES'!B$3:B$42,MATCH(LARGE(IF('DONNÉES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NatWest Group plc</v>
      </c>
      <c r="E18" s="397" t="str">
        <f t="array" ref="E18">IFERROR(IF(8&gt;COUNTIF('DONNÉES BRUTES'!C$3:C$42,"Finance"),"",INT(LARGE(IF('DONNÉES BRUTES'!C$3:C$42="Finance",'DONNÉES BRUTES'!AB$3:AB$42+(ROW('DONNÉES BRUTES'!A$3:A$42)-ROW('DONNÉES BRUTES'!A$3))/1000,0),8))&amp;"/100"),"—")</f>
        <v>47/100</v>
      </c>
      <c r="F18" s="403">
        <f t="array" ref="F18">IFERROR(IF(8&gt;COUNTIF('DONNÉES BRUTES'!C$3:C$42,"Finance"),"",INDEX('DONNÉES BRUTES'!Y$3:Y$42,MATCH(LARGE(IF('DONNÉES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49</v>
      </c>
      <c r="G18" s="403">
        <f t="array" ref="G18">IFERROR(IF(8&gt;COUNTIF('DONNÉES BRUTES'!C$3:C$42,"Finance"),"",INDEX('DONNÉES BRUTES'!Z$3:Z$42,MATCH(LARGE(IF('DONNÉES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32</v>
      </c>
      <c r="H18" s="403">
        <f t="array" ref="H18">IFERROR(IF(8&gt;COUNTIF('DONNÉES BRUTES'!C$3:C$42,"Finance"),"",INDEX('DONNÉES BRUTES'!AA$3:AA$42,MATCH(LARGE(IF('DONNÉES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58</v>
      </c>
      <c r="I18" s="403" t="str">
        <f t="array" ref="I18">IFERROR(IF(8&gt;COUNTIF('DONNÉES BRUTES'!C$3:C$42,"Finance"),"",INDEX('DONNÉES BRUTES'!M$3:M$42,MATCH(LARGE(IF('DONNÉES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—</v>
      </c>
      <c r="J18" s="403" t="str">
        <f t="array" ref="J18">IFERROR(IF(8&gt;COUNTIF('DONNÉES BRUTES'!C$3:C$42,"Finance"),"",INDEX('DONNÉES BRUTES'!N$3:N$42,MATCH(LARGE(IF('DONNÉES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—</v>
      </c>
      <c r="K18" s="403" t="str">
        <f t="array" ref="K18">IFERROR(IF(8&gt;COUNTIF('DONNÉES BRUTES'!C$3:C$42,"Finance"),"",INDEX('DONNÉES BRUTES'!O$3:O$42,MATCH(LARGE(IF('DONNÉES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35.1%</v>
      </c>
      <c r="L18" s="403" t="str">
        <f t="array" ref="L18">IFERROR(IF(8&gt;COUNTIF('DONNÉES BRUTES'!C$3:C$42,"Finance"),"",INDEX('DONNÉES BRUTES'!P$3:P$42,MATCH(LARGE(IF('DONNÉES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+13.3%</v>
      </c>
      <c r="M18" s="403" t="str">
        <f t="array" ref="M18">IFERROR(IF(8&gt;COUNTIF('DONNÉES BRUTES'!C$3:C$42,"Finance"),"",INDEX('DONNÉES BRUTES'!Q$3:Q$42,MATCH(LARGE(IF('DONNÉES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+13.7%</v>
      </c>
      <c r="N18" s="403" t="str">
        <f t="array" ref="N18">IFERROR(IF(8&gt;COUNTIF('DONNÉES BRUTES'!C$3:C$42,"Finance"),"",INDEX('DONNÉES BRUTES'!S$3:S$42,MATCH(LARGE(IF('DONNÉES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—</v>
      </c>
      <c r="O18" s="403" t="str">
        <f t="array" ref="O18">IFERROR(IF(8&gt;COUNTIF('DONNÉES BRUTES'!C$3:C$42,"Finance"),"",INDEX('DONNÉES BRUTES'!T$3:T$42,MATCH(LARGE(IF('DONNÉES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-0.6x</v>
      </c>
      <c r="P18" s="403" t="str">
        <f t="array" ref="P18">IFERROR(IF(8&gt;COUNTIF('DONNÉES BRUTES'!C$3:C$42,"Finance"),"",INDEX('DONNÉES BRUTES'!U$3:U$42,MATCH(LARGE(IF('DONNÉES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—</v>
      </c>
      <c r="Q18" s="407" t="str">
        <f t="array" ref="Q18">IFERROR(IF(8&gt;COUNTIF('DONNÉES BRUTES'!C$3:C$42,"Finance"),"",INDEX('DONNÉES BRUTES'!AD$3:AD$42,MATCH(LARGE(IF('DONNÉES BRUTES'!C$3:C$42="Finance",'DONNÉES BRUTES'!AB$3:AB$42+(ROW('DONNÉES BRUTES'!A$3:A$42)-ROW('DONNÉES BRUTES'!A$3))/1000,0),8),IF('DONNÉES BRUTES'!C$3:C$42="Finance",'DONNÉES BRUTES'!AB$3:AB$42+(ROW('DONNÉES BRUTES'!A$3:A$42)-ROW('DONNÉES BRUTES'!A$3))/1000,0),0))),"—")</f>
        <v>Neutre</v>
      </c>
      <c r="R18" s="399"/>
      <c r="S18" s="399"/>
      <c r="T18" s="399"/>
      <c r="U18" s="399"/>
      <c r="V18" s="399"/>
      <c r="W18" s="399"/>
      <c r="X18" s="399"/>
      <c r="Y18" s="399"/>
      <c r="Z18" s="399"/>
      <c r="AA18" s="399"/>
      <c r="AB18" s="399"/>
      <c r="AC18" s="399"/>
    </row>
    <row r="19" spans="2:29" ht="15.9" customHeight="1" x14ac:dyDescent="0.3">
      <c r="B19" s="397">
        <v>9</v>
      </c>
      <c r="C19" s="397" t="str">
        <f t="array" ref="C19">IFERROR(IF(9&gt;COUNTIF('DONNÉES BRUTES'!C$3:C$42,"Finance"),"",INDEX('DONNÉES BRUTES'!A$3:A$42,MATCH(LARGE(IF('DONNÉES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STAN.L</v>
      </c>
      <c r="D19" s="397" t="str">
        <f t="array" ref="D19">IFERROR(IF(9&gt;COUNTIF('DONNÉES BRUTES'!C$3:C$42,"Finance"),"",INDEX('DONNÉES BRUTES'!B$3:B$42,MATCH(LARGE(IF('DONNÉES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Standard Chartered PLC</v>
      </c>
      <c r="E19" s="397" t="str">
        <f t="array" ref="E19">IFERROR(IF(9&gt;COUNTIF('DONNÉES BRUTES'!C$3:C$42,"Finance"),"",INT(LARGE(IF('DONNÉES BRUTES'!C$3:C$42="Finance",'DONNÉES BRUTES'!AB$3:AB$42+(ROW('DONNÉES BRUTES'!A$3:A$42)-ROW('DONNÉES BRUTES'!A$3))/1000,0),9))&amp;"/100"),"—")</f>
        <v>46/100</v>
      </c>
      <c r="F19" s="403">
        <f t="array" ref="F19">IFERROR(IF(9&gt;COUNTIF('DONNÉES BRUTES'!C$3:C$42,"Finance"),"",INDEX('DONNÉES BRUTES'!Y$3:Y$42,MATCH(LARGE(IF('DONNÉES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27</v>
      </c>
      <c r="G19" s="403">
        <f t="array" ref="G19">IFERROR(IF(9&gt;COUNTIF('DONNÉES BRUTES'!C$3:C$42,"Finance"),"",INDEX('DONNÉES BRUTES'!Z$3:Z$42,MATCH(LARGE(IF('DONNÉES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22</v>
      </c>
      <c r="H19" s="403">
        <f t="array" ref="H19">IFERROR(IF(9&gt;COUNTIF('DONNÉES BRUTES'!C$3:C$42,"Finance"),"",INDEX('DONNÉES BRUTES'!AA$3:AA$42,MATCH(LARGE(IF('DONNÉES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92</v>
      </c>
      <c r="I19" s="403" t="str">
        <f t="array" ref="I19">IFERROR(IF(9&gt;COUNTIF('DONNÉES BRUTES'!C$3:C$42,"Finance"),"",INDEX('DONNÉES BRUTES'!M$3:M$42,MATCH(LARGE(IF('DONNÉES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—</v>
      </c>
      <c r="J19" s="403" t="str">
        <f t="array" ref="J19">IFERROR(IF(9&gt;COUNTIF('DONNÉES BRUTES'!C$3:C$42,"Finance"),"",INDEX('DONNÉES BRUTES'!N$3:N$42,MATCH(LARGE(IF('DONNÉES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—</v>
      </c>
      <c r="K19" s="403" t="str">
        <f t="array" ref="K19">IFERROR(IF(9&gt;COUNTIF('DONNÉES BRUTES'!C$3:C$42,"Finance"),"",INDEX('DONNÉES BRUTES'!O$3:O$42,MATCH(LARGE(IF('DONNÉES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24.7%</v>
      </c>
      <c r="L19" s="403" t="str">
        <f t="array" ref="L19">IFERROR(IF(9&gt;COUNTIF('DONNÉES BRUTES'!C$3:C$42,"Finance"),"",INDEX('DONNÉES BRUTES'!P$3:P$42,MATCH(LARGE(IF('DONNÉES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+2.5%</v>
      </c>
      <c r="M19" s="403" t="str">
        <f t="array" ref="M19">IFERROR(IF(9&gt;COUNTIF('DONNÉES BRUTES'!C$3:C$42,"Finance"),"",INDEX('DONNÉES BRUTES'!Q$3:Q$42,MATCH(LARGE(IF('DONNÉES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+9.4%</v>
      </c>
      <c r="N19" s="403" t="str">
        <f t="array" ref="N19">IFERROR(IF(9&gt;COUNTIF('DONNÉES BRUTES'!C$3:C$42,"Finance"),"",INDEX('DONNÉES BRUTES'!S$3:S$42,MATCH(LARGE(IF('DONNÉES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—</v>
      </c>
      <c r="O19" s="403" t="str">
        <f t="array" ref="O19">IFERROR(IF(9&gt;COUNTIF('DONNÉES BRUTES'!C$3:C$42,"Finance"),"",INDEX('DONNÉES BRUTES'!T$3:T$42,MATCH(LARGE(IF('DONNÉES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1.0x</v>
      </c>
      <c r="P19" s="403" t="str">
        <f t="array" ref="P19">IFERROR(IF(9&gt;COUNTIF('DONNÉES BRUTES'!C$3:C$42,"Finance"),"",INDEX('DONNÉES BRUTES'!U$3:U$42,MATCH(LARGE(IF('DONNÉES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—</v>
      </c>
      <c r="Q19" s="407" t="str">
        <f t="array" ref="Q19">IFERROR(IF(9&gt;COUNTIF('DONNÉES BRUTES'!C$3:C$42,"Finance"),"",INDEX('DONNÉES BRUTES'!AD$3:AD$42,MATCH(LARGE(IF('DONNÉES BRUTES'!C$3:C$42="Finance",'DONNÉES BRUTES'!AB$3:AB$42+(ROW('DONNÉES BRUTES'!A$3:A$42)-ROW('DONNÉES BRUTES'!A$3))/1000,0),9),IF('DONNÉES BRUTES'!C$3:C$42="Finance",'DONNÉES BRUTES'!AB$3:AB$42+(ROW('DONNÉES BRUTES'!A$3:A$42)-ROW('DONNÉES BRUTES'!A$3))/1000,0),0))),"—")</f>
        <v>Neutre</v>
      </c>
      <c r="R19" s="399"/>
      <c r="S19" s="399"/>
      <c r="T19" s="399"/>
      <c r="U19" s="399"/>
      <c r="V19" s="399"/>
      <c r="W19" s="399"/>
      <c r="X19" s="399"/>
      <c r="Y19" s="399"/>
      <c r="Z19" s="399"/>
      <c r="AA19" s="399"/>
      <c r="AB19" s="399"/>
      <c r="AC19" s="399"/>
    </row>
    <row r="20" spans="2:29" ht="15.9" customHeight="1" x14ac:dyDescent="0.3">
      <c r="B20" s="397">
        <v>10</v>
      </c>
      <c r="C20" s="397" t="str">
        <f t="array" ref="C20">IFERROR(IF(10&gt;COUNTIF('DONNÉES BRUTES'!C$3:C$42,"Finance"),"",INDEX('DONNÉES BRUTES'!A$3:A$42,MATCH(LARGE(IF('DONNÉES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D20" s="397" t="str">
        <f t="array" ref="D20">IFERROR(IF(10&gt;COUNTIF('DONNÉES BRUTES'!C$3:C$42,"Finance"),"",INDEX('DONNÉES BRUTES'!B$3:B$42,MATCH(LARGE(IF('DONNÉES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E20" s="397" t="str">
        <f t="array" ref="E20">IFERROR(IF(10&gt;COUNTIF('DONNÉES BRUTES'!C$3:C$42,"Finance"),"",INT(LARGE(IF('DONNÉES BRUTES'!C$3:C$42="Finance",'DONNÉES BRUTES'!AB$3:AB$42+(ROW('DONNÉES BRUTES'!A$3:A$42)-ROW('DONNÉES BRUTES'!A$3))/1000,0),10))&amp;"/100"),"—")</f>
        <v/>
      </c>
      <c r="F20" s="397" t="str">
        <f t="array" ref="F20">IFERROR(IF(10&gt;COUNTIF('DONNÉES BRUTES'!C$3:C$42,"Finance"),"",INDEX('DONNÉES BRUTES'!Y$3:Y$42,MATCH(LARGE(IF('DONNÉES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G20" s="397" t="str">
        <f t="array" ref="G20">IFERROR(IF(10&gt;COUNTIF('DONNÉES BRUTES'!C$3:C$42,"Finance"),"",INDEX('DONNÉES BRUTES'!Z$3:Z$42,MATCH(LARGE(IF('DONNÉES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H20" s="397" t="str">
        <f t="array" ref="H20">IFERROR(IF(10&gt;COUNTIF('DONNÉES BRUTES'!C$3:C$42,"Finance"),"",INDEX('DONNÉES BRUTES'!AA$3:AA$42,MATCH(LARGE(IF('DONNÉES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I20" s="397" t="str">
        <f t="array" ref="I20">IFERROR(IF(10&gt;COUNTIF('DONNÉES BRUTES'!C$3:C$42,"Finance"),"",INDEX('DONNÉES BRUTES'!M$3:M$42,MATCH(LARGE(IF('DONNÉES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J20" s="397" t="str">
        <f t="array" ref="J20">IFERROR(IF(10&gt;COUNTIF('DONNÉES BRUTES'!C$3:C$42,"Finance"),"",INDEX('DONNÉES BRUTES'!N$3:N$42,MATCH(LARGE(IF('DONNÉES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K20" s="397" t="str">
        <f t="array" ref="K20">IFERROR(IF(10&gt;COUNTIF('DONNÉES BRUTES'!C$3:C$42,"Finance"),"",INDEX('DONNÉES BRUTES'!O$3:O$42,MATCH(LARGE(IF('DONNÉES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L20" s="397" t="str">
        <f t="array" ref="L20">IFERROR(IF(10&gt;COUNTIF('DONNÉES BRUTES'!C$3:C$42,"Finance"),"",INDEX('DONNÉES BRUTES'!P$3:P$42,MATCH(LARGE(IF('DONNÉES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M20" s="397" t="str">
        <f t="array" ref="M20">IFERROR(IF(10&gt;COUNTIF('DONNÉES BRUTES'!C$3:C$42,"Finance"),"",INDEX('DONNÉES BRUTES'!Q$3:Q$42,MATCH(LARGE(IF('DONNÉES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N20" s="397" t="str">
        <f t="array" ref="N20">IFERROR(IF(10&gt;COUNTIF('DONNÉES BRUTES'!C$3:C$42,"Finance"),"",INDEX('DONNÉES BRUTES'!S$3:S$42,MATCH(LARGE(IF('DONNÉES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O20" s="403" t="str">
        <f t="array" ref="O20">IFERROR(IF(10&gt;COUNTIF('DONNÉES BRUTES'!C$3:C$42,"Finance"),"",INDEX('DONNÉES BRUTES'!T$3:T$42,MATCH(LARGE(IF('DONNÉES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P20" s="397" t="str">
        <f t="array" ref="P20">IFERROR(IF(10&gt;COUNTIF('DONNÉES BRUTES'!C$3:C$42,"Finance"),"",INDEX('DONNÉES BRUTES'!U$3:U$42,MATCH(LARGE(IF('DONNÉES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Q20" s="407" t="str">
        <f t="array" ref="Q20">IFERROR(IF(10&gt;COUNTIF('DONNÉES BRUTES'!C$3:C$42,"Finance"),"",INDEX('DONNÉES BRUTES'!AD$3:AD$42,MATCH(LARGE(IF('DONNÉES BRUTES'!C$3:C$42="Finance",'DONNÉES BRUTES'!AB$3:AB$42+(ROW('DONNÉES BRUTES'!A$3:A$42)-ROW('DONNÉES BRUTES'!A$3))/1000,0),10),IF('DONNÉES BRUTES'!C$3:C$42="Finance",'DONNÉES BRUTES'!AB$3:AB$42+(ROW('DONNÉES BRUTES'!A$3:A$42)-ROW('DONNÉES BRUTES'!A$3))/1000,0),0))),"—")</f>
        <v/>
      </c>
      <c r="R20" s="399"/>
      <c r="S20" s="399"/>
      <c r="T20" s="399"/>
      <c r="U20" s="399"/>
      <c r="V20" s="399"/>
      <c r="W20" s="399"/>
      <c r="X20" s="399"/>
      <c r="Y20" s="399"/>
      <c r="Z20" s="399"/>
      <c r="AA20" s="399"/>
      <c r="AB20" s="399"/>
      <c r="AC20" s="399"/>
    </row>
    <row r="21" spans="2:29" ht="15.9" customHeight="1" x14ac:dyDescent="0.3">
      <c r="B21" s="397">
        <v>11</v>
      </c>
      <c r="C21" s="397" t="str">
        <f t="array" ref="C21">IFERROR(IF(11&gt;COUNTIF('DONNÉES BRUTES'!C$3:C$42,"Finance"),"",INDEX('DONNÉES BRUTES'!A$3:A$42,MATCH(LARGE(IF('DONNÉES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D21" s="397" t="str">
        <f t="array" ref="D21">IFERROR(IF(11&gt;COUNTIF('DONNÉES BRUTES'!C$3:C$42,"Finance"),"",INDEX('DONNÉES BRUTES'!B$3:B$42,MATCH(LARGE(IF('DONNÉES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E21" s="397" t="str">
        <f t="array" ref="E21">IFERROR(IF(11&gt;COUNTIF('DONNÉES BRUTES'!C$3:C$42,"Finance"),"",INT(LARGE(IF('DONNÉES BRUTES'!C$3:C$42="Finance",'DONNÉES BRUTES'!AB$3:AB$42+(ROW('DONNÉES BRUTES'!A$3:A$42)-ROW('DONNÉES BRUTES'!A$3))/1000,0),11))&amp;"/100"),"—")</f>
        <v/>
      </c>
      <c r="F21" s="397" t="str">
        <f t="array" ref="F21">IFERROR(IF(11&gt;COUNTIF('DONNÉES BRUTES'!C$3:C$42,"Finance"),"",INDEX('DONNÉES BRUTES'!Y$3:Y$42,MATCH(LARGE(IF('DONNÉES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G21" s="397" t="str">
        <f t="array" ref="G21">IFERROR(IF(11&gt;COUNTIF('DONNÉES BRUTES'!C$3:C$42,"Finance"),"",INDEX('DONNÉES BRUTES'!Z$3:Z$42,MATCH(LARGE(IF('DONNÉES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H21" s="397" t="str">
        <f t="array" ref="H21">IFERROR(IF(11&gt;COUNTIF('DONNÉES BRUTES'!C$3:C$42,"Finance"),"",INDEX('DONNÉES BRUTES'!AA$3:AA$42,MATCH(LARGE(IF('DONNÉES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I21" s="397" t="str">
        <f t="array" ref="I21">IFERROR(IF(11&gt;COUNTIF('DONNÉES BRUTES'!C$3:C$42,"Finance"),"",INDEX('DONNÉES BRUTES'!M$3:M$42,MATCH(LARGE(IF('DONNÉES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J21" s="397" t="str">
        <f t="array" ref="J21">IFERROR(IF(11&gt;COUNTIF('DONNÉES BRUTES'!C$3:C$42,"Finance"),"",INDEX('DONNÉES BRUTES'!N$3:N$42,MATCH(LARGE(IF('DONNÉES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K21" s="397" t="str">
        <f t="array" ref="K21">IFERROR(IF(11&gt;COUNTIF('DONNÉES BRUTES'!C$3:C$42,"Finance"),"",INDEX('DONNÉES BRUTES'!O$3:O$42,MATCH(LARGE(IF('DONNÉES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L21" s="397" t="str">
        <f t="array" ref="L21">IFERROR(IF(11&gt;COUNTIF('DONNÉES BRUTES'!C$3:C$42,"Finance"),"",INDEX('DONNÉES BRUTES'!P$3:P$42,MATCH(LARGE(IF('DONNÉES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M21" s="397" t="str">
        <f t="array" ref="M21">IFERROR(IF(11&gt;COUNTIF('DONNÉES BRUTES'!C$3:C$42,"Finance"),"",INDEX('DONNÉES BRUTES'!Q$3:Q$42,MATCH(LARGE(IF('DONNÉES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N21" s="397" t="str">
        <f t="array" ref="N21">IFERROR(IF(11&gt;COUNTIF('DONNÉES BRUTES'!C$3:C$42,"Finance"),"",INDEX('DONNÉES BRUTES'!S$3:S$42,MATCH(LARGE(IF('DONNÉES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O21" s="403" t="str">
        <f t="array" ref="O21">IFERROR(IF(11&gt;COUNTIF('DONNÉES BRUTES'!C$3:C$42,"Finance"),"",INDEX('DONNÉES BRUTES'!T$3:T$42,MATCH(LARGE(IF('DONNÉES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P21" s="397" t="str">
        <f t="array" ref="P21">IFERROR(IF(11&gt;COUNTIF('DONNÉES BRUTES'!C$3:C$42,"Finance"),"",INDEX('DONNÉES BRUTES'!U$3:U$42,MATCH(LARGE(IF('DONNÉES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Q21" s="407" t="str">
        <f t="array" ref="Q21">IFERROR(IF(11&gt;COUNTIF('DONNÉES BRUTES'!C$3:C$42,"Finance"),"",INDEX('DONNÉES BRUTES'!AD$3:AD$42,MATCH(LARGE(IF('DONNÉES BRUTES'!C$3:C$42="Finance",'DONNÉES BRUTES'!AB$3:AB$42+(ROW('DONNÉES BRUTES'!A$3:A$42)-ROW('DONNÉES BRUTES'!A$3))/1000,0),11),IF('DONNÉES BRUTES'!C$3:C$42="Finance",'DONNÉES BRUTES'!AB$3:AB$42+(ROW('DONNÉES BRUTES'!A$3:A$42)-ROW('DONNÉES BRUTES'!A$3))/1000,0),0))),"—")</f>
        <v/>
      </c>
      <c r="R21" s="399"/>
      <c r="S21" s="399"/>
      <c r="T21" s="399"/>
      <c r="U21" s="399"/>
      <c r="V21" s="399"/>
      <c r="W21" s="399"/>
      <c r="X21" s="399"/>
      <c r="Y21" s="399"/>
      <c r="Z21" s="399"/>
      <c r="AA21" s="399"/>
      <c r="AB21" s="399"/>
      <c r="AC21" s="399"/>
    </row>
    <row r="22" spans="2:29" ht="15.9" customHeight="1" x14ac:dyDescent="0.3">
      <c r="B22" s="397">
        <v>12</v>
      </c>
      <c r="C22" s="397" t="str">
        <f t="array" ref="C22">IFERROR(IF(12&gt;COUNTIF('DONNÉES BRUTES'!C$3:C$42,"Finance"),"",INDEX('DONNÉES BRUTES'!A$3:A$42,MATCH(LARGE(IF('DONNÉES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D22" s="397" t="str">
        <f t="array" ref="D22">IFERROR(IF(12&gt;COUNTIF('DONNÉES BRUTES'!C$3:C$42,"Finance"),"",INDEX('DONNÉES BRUTES'!B$3:B$42,MATCH(LARGE(IF('DONNÉES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E22" s="397" t="str">
        <f t="array" ref="E22">IFERROR(IF(12&gt;COUNTIF('DONNÉES BRUTES'!C$3:C$42,"Finance"),"",INT(LARGE(IF('DONNÉES BRUTES'!C$3:C$42="Finance",'DONNÉES BRUTES'!AB$3:AB$42+(ROW('DONNÉES BRUTES'!A$3:A$42)-ROW('DONNÉES BRUTES'!A$3))/1000,0),12))&amp;"/100"),"—")</f>
        <v/>
      </c>
      <c r="F22" s="397" t="str">
        <f t="array" ref="F22">IFERROR(IF(12&gt;COUNTIF('DONNÉES BRUTES'!C$3:C$42,"Finance"),"",INDEX('DONNÉES BRUTES'!Y$3:Y$42,MATCH(LARGE(IF('DONNÉES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G22" s="397" t="str">
        <f t="array" ref="G22">IFERROR(IF(12&gt;COUNTIF('DONNÉES BRUTES'!C$3:C$42,"Finance"),"",INDEX('DONNÉES BRUTES'!Z$3:Z$42,MATCH(LARGE(IF('DONNÉES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H22" s="397" t="str">
        <f t="array" ref="H22">IFERROR(IF(12&gt;COUNTIF('DONNÉES BRUTES'!C$3:C$42,"Finance"),"",INDEX('DONNÉES BRUTES'!AA$3:AA$42,MATCH(LARGE(IF('DONNÉES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I22" s="397" t="str">
        <f t="array" ref="I22">IFERROR(IF(12&gt;COUNTIF('DONNÉES BRUTES'!C$3:C$42,"Finance"),"",INDEX('DONNÉES BRUTES'!M$3:M$42,MATCH(LARGE(IF('DONNÉES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J22" s="397" t="str">
        <f t="array" ref="J22">IFERROR(IF(12&gt;COUNTIF('DONNÉES BRUTES'!C$3:C$42,"Finance"),"",INDEX('DONNÉES BRUTES'!N$3:N$42,MATCH(LARGE(IF('DONNÉES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K22" s="397" t="str">
        <f t="array" ref="K22">IFERROR(IF(12&gt;COUNTIF('DONNÉES BRUTES'!C$3:C$42,"Finance"),"",INDEX('DONNÉES BRUTES'!O$3:O$42,MATCH(LARGE(IF('DONNÉES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L22" s="397" t="str">
        <f t="array" ref="L22">IFERROR(IF(12&gt;COUNTIF('DONNÉES BRUTES'!C$3:C$42,"Finance"),"",INDEX('DONNÉES BRUTES'!P$3:P$42,MATCH(LARGE(IF('DONNÉES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M22" s="397" t="str">
        <f t="array" ref="M22">IFERROR(IF(12&gt;COUNTIF('DONNÉES BRUTES'!C$3:C$42,"Finance"),"",INDEX('DONNÉES BRUTES'!Q$3:Q$42,MATCH(LARGE(IF('DONNÉES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N22" s="397" t="str">
        <f t="array" ref="N22">IFERROR(IF(12&gt;COUNTIF('DONNÉES BRUTES'!C$3:C$42,"Finance"),"",INDEX('DONNÉES BRUTES'!S$3:S$42,MATCH(LARGE(IF('DONNÉES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O22" s="403" t="str">
        <f t="array" ref="O22">IFERROR(IF(12&gt;COUNTIF('DONNÉES BRUTES'!C$3:C$42,"Finance"),"",INDEX('DONNÉES BRUTES'!T$3:T$42,MATCH(LARGE(IF('DONNÉES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P22" s="397" t="str">
        <f t="array" ref="P22">IFERROR(IF(12&gt;COUNTIF('DONNÉES BRUTES'!C$3:C$42,"Finance"),"",INDEX('DONNÉES BRUTES'!U$3:U$42,MATCH(LARGE(IF('DONNÉES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Q22" s="407" t="str">
        <f t="array" ref="Q22">IFERROR(IF(12&gt;COUNTIF('DONNÉES BRUTES'!C$3:C$42,"Finance"),"",INDEX('DONNÉES BRUTES'!AD$3:AD$42,MATCH(LARGE(IF('DONNÉES BRUTES'!C$3:C$42="Finance",'DONNÉES BRUTES'!AB$3:AB$42+(ROW('DONNÉES BRUTES'!A$3:A$42)-ROW('DONNÉES BRUTES'!A$3))/1000,0),12),IF('DONNÉES BRUTES'!C$3:C$42="Finance",'DONNÉES BRUTES'!AB$3:AB$42+(ROW('DONNÉES BRUTES'!A$3:A$42)-ROW('DONNÉES BRUTES'!A$3))/1000,0),0))),"—")</f>
        <v/>
      </c>
      <c r="R22" s="399"/>
      <c r="S22" s="399"/>
      <c r="T22" s="399"/>
      <c r="U22" s="399"/>
      <c r="V22" s="399"/>
      <c r="W22" s="399"/>
      <c r="X22" s="399"/>
      <c r="Y22" s="399"/>
      <c r="Z22" s="399"/>
      <c r="AA22" s="399"/>
      <c r="AB22" s="399"/>
      <c r="AC22" s="399"/>
    </row>
    <row r="23" spans="2:29" ht="15.9" customHeight="1" x14ac:dyDescent="0.3">
      <c r="B23" s="397">
        <v>13</v>
      </c>
      <c r="C23" s="397" t="str">
        <f t="array" ref="C23">IFERROR(IF(13&gt;COUNTIF('DONNÉES BRUTES'!C$3:C$42,"Finance"),"",INDEX('DONNÉES BRUTES'!A$3:A$42,MATCH(LARGE(IF('DONNÉES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D23" s="397" t="str">
        <f t="array" ref="D23">IFERROR(IF(13&gt;COUNTIF('DONNÉES BRUTES'!C$3:C$42,"Finance"),"",INDEX('DONNÉES BRUTES'!B$3:B$42,MATCH(LARGE(IF('DONNÉES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E23" s="397" t="str">
        <f t="array" ref="E23">IFERROR(IF(13&gt;COUNTIF('DONNÉES BRUTES'!C$3:C$42,"Finance"),"",INT(LARGE(IF('DONNÉES BRUTES'!C$3:C$42="Finance",'DONNÉES BRUTES'!AB$3:AB$42+(ROW('DONNÉES BRUTES'!A$3:A$42)-ROW('DONNÉES BRUTES'!A$3))/1000,0),13))&amp;"/100"),"—")</f>
        <v/>
      </c>
      <c r="F23" s="397" t="str">
        <f t="array" ref="F23">IFERROR(IF(13&gt;COUNTIF('DONNÉES BRUTES'!C$3:C$42,"Finance"),"",INDEX('DONNÉES BRUTES'!Y$3:Y$42,MATCH(LARGE(IF('DONNÉES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G23" s="397" t="str">
        <f t="array" ref="G23">IFERROR(IF(13&gt;COUNTIF('DONNÉES BRUTES'!C$3:C$42,"Finance"),"",INDEX('DONNÉES BRUTES'!Z$3:Z$42,MATCH(LARGE(IF('DONNÉES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H23" s="397" t="str">
        <f t="array" ref="H23">IFERROR(IF(13&gt;COUNTIF('DONNÉES BRUTES'!C$3:C$42,"Finance"),"",INDEX('DONNÉES BRUTES'!AA$3:AA$42,MATCH(LARGE(IF('DONNÉES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I23" s="397" t="str">
        <f t="array" ref="I23">IFERROR(IF(13&gt;COUNTIF('DONNÉES BRUTES'!C$3:C$42,"Finance"),"",INDEX('DONNÉES BRUTES'!M$3:M$42,MATCH(LARGE(IF('DONNÉES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J23" s="397" t="str">
        <f t="array" ref="J23">IFERROR(IF(13&gt;COUNTIF('DONNÉES BRUTES'!C$3:C$42,"Finance"),"",INDEX('DONNÉES BRUTES'!N$3:N$42,MATCH(LARGE(IF('DONNÉES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K23" s="397" t="str">
        <f t="array" ref="K23">IFERROR(IF(13&gt;COUNTIF('DONNÉES BRUTES'!C$3:C$42,"Finance"),"",INDEX('DONNÉES BRUTES'!O$3:O$42,MATCH(LARGE(IF('DONNÉES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L23" s="397" t="str">
        <f t="array" ref="L23">IFERROR(IF(13&gt;COUNTIF('DONNÉES BRUTES'!C$3:C$42,"Finance"),"",INDEX('DONNÉES BRUTES'!P$3:P$42,MATCH(LARGE(IF('DONNÉES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M23" s="397" t="str">
        <f t="array" ref="M23">IFERROR(IF(13&gt;COUNTIF('DONNÉES BRUTES'!C$3:C$42,"Finance"),"",INDEX('DONNÉES BRUTES'!Q$3:Q$42,MATCH(LARGE(IF('DONNÉES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N23" s="397" t="str">
        <f t="array" ref="N23">IFERROR(IF(13&gt;COUNTIF('DONNÉES BRUTES'!C$3:C$42,"Finance"),"",INDEX('DONNÉES BRUTES'!S$3:S$42,MATCH(LARGE(IF('DONNÉES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O23" s="403" t="str">
        <f t="array" ref="O23">IFERROR(IF(13&gt;COUNTIF('DONNÉES BRUTES'!C$3:C$42,"Finance"),"",INDEX('DONNÉES BRUTES'!T$3:T$42,MATCH(LARGE(IF('DONNÉES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P23" s="397" t="str">
        <f t="array" ref="P23">IFERROR(IF(13&gt;COUNTIF('DONNÉES BRUTES'!C$3:C$42,"Finance"),"",INDEX('DONNÉES BRUTES'!U$3:U$42,MATCH(LARGE(IF('DONNÉES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Q23" s="407" t="str">
        <f t="array" ref="Q23">IFERROR(IF(13&gt;COUNTIF('DONNÉES BRUTES'!C$3:C$42,"Finance"),"",INDEX('DONNÉES BRUTES'!AD$3:AD$42,MATCH(LARGE(IF('DONNÉES BRUTES'!C$3:C$42="Finance",'DONNÉES BRUTES'!AB$3:AB$42+(ROW('DONNÉES BRUTES'!A$3:A$42)-ROW('DONNÉES BRUTES'!A$3))/1000,0),13),IF('DONNÉES BRUTES'!C$3:C$42="Finance",'DONNÉES BRUTES'!AB$3:AB$42+(ROW('DONNÉES BRUTES'!A$3:A$42)-ROW('DONNÉES BRUTES'!A$3))/1000,0),0))),"—")</f>
        <v/>
      </c>
      <c r="R23" s="399"/>
      <c r="S23" s="399"/>
      <c r="T23" s="399"/>
      <c r="U23" s="399"/>
      <c r="V23" s="399"/>
      <c r="W23" s="399"/>
      <c r="X23" s="399"/>
      <c r="Y23" s="399"/>
      <c r="Z23" s="399"/>
      <c r="AA23" s="399"/>
      <c r="AB23" s="399"/>
      <c r="AC23" s="399"/>
    </row>
    <row r="24" spans="2:29" ht="15.9" customHeight="1" x14ac:dyDescent="0.3">
      <c r="B24" s="397">
        <v>14</v>
      </c>
      <c r="C24" s="397" t="str">
        <f t="array" ref="C24">IFERROR(IF(14&gt;COUNTIF('DONNÉES BRUTES'!C$3:C$42,"Finance"),"",INDEX('DONNÉES BRUTES'!A$3:A$42,MATCH(LARGE(IF('DONNÉES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D24" s="397" t="str">
        <f t="array" ref="D24">IFERROR(IF(14&gt;COUNTIF('DONNÉES BRUTES'!C$3:C$42,"Finance"),"",INDEX('DONNÉES BRUTES'!B$3:B$42,MATCH(LARGE(IF('DONNÉES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E24" s="397" t="str">
        <f t="array" ref="E24">IFERROR(IF(14&gt;COUNTIF('DONNÉES BRUTES'!C$3:C$42,"Finance"),"",INT(LARGE(IF('DONNÉES BRUTES'!C$3:C$42="Finance",'DONNÉES BRUTES'!AB$3:AB$42+(ROW('DONNÉES BRUTES'!A$3:A$42)-ROW('DONNÉES BRUTES'!A$3))/1000,0),14))&amp;"/100"),"—")</f>
        <v/>
      </c>
      <c r="F24" s="397" t="str">
        <f t="array" ref="F24">IFERROR(IF(14&gt;COUNTIF('DONNÉES BRUTES'!C$3:C$42,"Finance"),"",INDEX('DONNÉES BRUTES'!Y$3:Y$42,MATCH(LARGE(IF('DONNÉES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G24" s="397" t="str">
        <f t="array" ref="G24">IFERROR(IF(14&gt;COUNTIF('DONNÉES BRUTES'!C$3:C$42,"Finance"),"",INDEX('DONNÉES BRUTES'!Z$3:Z$42,MATCH(LARGE(IF('DONNÉES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H24" s="397" t="str">
        <f t="array" ref="H24">IFERROR(IF(14&gt;COUNTIF('DONNÉES BRUTES'!C$3:C$42,"Finance"),"",INDEX('DONNÉES BRUTES'!AA$3:AA$42,MATCH(LARGE(IF('DONNÉES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I24" s="397" t="str">
        <f t="array" ref="I24">IFERROR(IF(14&gt;COUNTIF('DONNÉES BRUTES'!C$3:C$42,"Finance"),"",INDEX('DONNÉES BRUTES'!M$3:M$42,MATCH(LARGE(IF('DONNÉES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J24" s="397" t="str">
        <f t="array" ref="J24">IFERROR(IF(14&gt;COUNTIF('DONNÉES BRUTES'!C$3:C$42,"Finance"),"",INDEX('DONNÉES BRUTES'!N$3:N$42,MATCH(LARGE(IF('DONNÉES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K24" s="397" t="str">
        <f t="array" ref="K24">IFERROR(IF(14&gt;COUNTIF('DONNÉES BRUTES'!C$3:C$42,"Finance"),"",INDEX('DONNÉES BRUTES'!O$3:O$42,MATCH(LARGE(IF('DONNÉES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L24" s="397" t="str">
        <f t="array" ref="L24">IFERROR(IF(14&gt;COUNTIF('DONNÉES BRUTES'!C$3:C$42,"Finance"),"",INDEX('DONNÉES BRUTES'!P$3:P$42,MATCH(LARGE(IF('DONNÉES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M24" s="397" t="str">
        <f t="array" ref="M24">IFERROR(IF(14&gt;COUNTIF('DONNÉES BRUTES'!C$3:C$42,"Finance"),"",INDEX('DONNÉES BRUTES'!Q$3:Q$42,MATCH(LARGE(IF('DONNÉES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N24" s="397" t="str">
        <f t="array" ref="N24">IFERROR(IF(14&gt;COUNTIF('DONNÉES BRUTES'!C$3:C$42,"Finance"),"",INDEX('DONNÉES BRUTES'!S$3:S$42,MATCH(LARGE(IF('DONNÉES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O24" s="403" t="str">
        <f t="array" ref="O24">IFERROR(IF(14&gt;COUNTIF('DONNÉES BRUTES'!C$3:C$42,"Finance"),"",INDEX('DONNÉES BRUTES'!T$3:T$42,MATCH(LARGE(IF('DONNÉES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P24" s="397" t="str">
        <f t="array" ref="P24">IFERROR(IF(14&gt;COUNTIF('DONNÉES BRUTES'!C$3:C$42,"Finance"),"",INDEX('DONNÉES BRUTES'!U$3:U$42,MATCH(LARGE(IF('DONNÉES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Q24" s="407" t="str">
        <f t="array" ref="Q24">IFERROR(IF(14&gt;COUNTIF('DONNÉES BRUTES'!C$3:C$42,"Finance"),"",INDEX('DONNÉES BRUTES'!AD$3:AD$42,MATCH(LARGE(IF('DONNÉES BRUTES'!C$3:C$42="Finance",'DONNÉES BRUTES'!AB$3:AB$42+(ROW('DONNÉES BRUTES'!A$3:A$42)-ROW('DONNÉES BRUTES'!A$3))/1000,0),14),IF('DONNÉES BRUTES'!C$3:C$42="Finance",'DONNÉES BRUTES'!AB$3:AB$42+(ROW('DONNÉES BRUTES'!A$3:A$42)-ROW('DONNÉES BRUTES'!A$3))/1000,0),0))),"—")</f>
        <v/>
      </c>
      <c r="R24" s="399"/>
      <c r="S24" s="399"/>
      <c r="T24" s="399"/>
      <c r="U24" s="399"/>
      <c r="V24" s="399"/>
      <c r="W24" s="399"/>
      <c r="X24" s="399"/>
      <c r="Y24" s="399"/>
      <c r="Z24" s="399"/>
      <c r="AA24" s="399"/>
      <c r="AB24" s="399"/>
      <c r="AC24" s="399"/>
    </row>
    <row r="25" spans="2:29" ht="15.9" customHeight="1" x14ac:dyDescent="0.3">
      <c r="B25" s="397">
        <v>15</v>
      </c>
      <c r="C25" s="397" t="str">
        <f t="array" ref="C25">IFERROR(IF(15&gt;COUNTIF('DONNÉES BRUTES'!C$3:C$42,"Finance"),"",INDEX('DONNÉES BRUTES'!A$3:A$42,MATCH(LARGE(IF('DONNÉES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D25" s="397" t="str">
        <f t="array" ref="D25">IFERROR(IF(15&gt;COUNTIF('DONNÉES BRUTES'!C$3:C$42,"Finance"),"",INDEX('DONNÉES BRUTES'!B$3:B$42,MATCH(LARGE(IF('DONNÉES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E25" s="397" t="str">
        <f t="array" ref="E25">IFERROR(IF(15&gt;COUNTIF('DONNÉES BRUTES'!C$3:C$42,"Finance"),"",INT(LARGE(IF('DONNÉES BRUTES'!C$3:C$42="Finance",'DONNÉES BRUTES'!AB$3:AB$42+(ROW('DONNÉES BRUTES'!A$3:A$42)-ROW('DONNÉES BRUTES'!A$3))/1000,0),15))&amp;"/100"),"—")</f>
        <v/>
      </c>
      <c r="F25" s="397" t="str">
        <f t="array" ref="F25">IFERROR(IF(15&gt;COUNTIF('DONNÉES BRUTES'!C$3:C$42,"Finance"),"",INDEX('DONNÉES BRUTES'!Y$3:Y$42,MATCH(LARGE(IF('DONNÉES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G25" s="397" t="str">
        <f t="array" ref="G25">IFERROR(IF(15&gt;COUNTIF('DONNÉES BRUTES'!C$3:C$42,"Finance"),"",INDEX('DONNÉES BRUTES'!Z$3:Z$42,MATCH(LARGE(IF('DONNÉES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H25" s="397" t="str">
        <f t="array" ref="H25">IFERROR(IF(15&gt;COUNTIF('DONNÉES BRUTES'!C$3:C$42,"Finance"),"",INDEX('DONNÉES BRUTES'!AA$3:AA$42,MATCH(LARGE(IF('DONNÉES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I25" s="397" t="str">
        <f t="array" ref="I25">IFERROR(IF(15&gt;COUNTIF('DONNÉES BRUTES'!C$3:C$42,"Finance"),"",INDEX('DONNÉES BRUTES'!M$3:M$42,MATCH(LARGE(IF('DONNÉES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J25" s="397" t="str">
        <f t="array" ref="J25">IFERROR(IF(15&gt;COUNTIF('DONNÉES BRUTES'!C$3:C$42,"Finance"),"",INDEX('DONNÉES BRUTES'!N$3:N$42,MATCH(LARGE(IF('DONNÉES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K25" s="397" t="str">
        <f t="array" ref="K25">IFERROR(IF(15&gt;COUNTIF('DONNÉES BRUTES'!C$3:C$42,"Finance"),"",INDEX('DONNÉES BRUTES'!O$3:O$42,MATCH(LARGE(IF('DONNÉES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L25" s="397" t="str">
        <f t="array" ref="L25">IFERROR(IF(15&gt;COUNTIF('DONNÉES BRUTES'!C$3:C$42,"Finance"),"",INDEX('DONNÉES BRUTES'!P$3:P$42,MATCH(LARGE(IF('DONNÉES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M25" s="397" t="str">
        <f t="array" ref="M25">IFERROR(IF(15&gt;COUNTIF('DONNÉES BRUTES'!C$3:C$42,"Finance"),"",INDEX('DONNÉES BRUTES'!Q$3:Q$42,MATCH(LARGE(IF('DONNÉES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N25" s="397" t="str">
        <f t="array" ref="N25">IFERROR(IF(15&gt;COUNTIF('DONNÉES BRUTES'!C$3:C$42,"Finance"),"",INDEX('DONNÉES BRUTES'!S$3:S$42,MATCH(LARGE(IF('DONNÉES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O25" s="403" t="str">
        <f t="array" ref="O25">IFERROR(IF(15&gt;COUNTIF('DONNÉES BRUTES'!C$3:C$42,"Finance"),"",INDEX('DONNÉES BRUTES'!T$3:T$42,MATCH(LARGE(IF('DONNÉES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P25" s="397" t="str">
        <f t="array" ref="P25">IFERROR(IF(15&gt;COUNTIF('DONNÉES BRUTES'!C$3:C$42,"Finance"),"",INDEX('DONNÉES BRUTES'!U$3:U$42,MATCH(LARGE(IF('DONNÉES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Q25" s="407" t="str">
        <f t="array" ref="Q25">IFERROR(IF(15&gt;COUNTIF('DONNÉES BRUTES'!C$3:C$42,"Finance"),"",INDEX('DONNÉES BRUTES'!AD$3:AD$42,MATCH(LARGE(IF('DONNÉES BRUTES'!C$3:C$42="Finance",'DONNÉES BRUTES'!AB$3:AB$42+(ROW('DONNÉES BRUTES'!A$3:A$42)-ROW('DONNÉES BRUTES'!A$3))/1000,0),15),IF('DONNÉES BRUTES'!C$3:C$42="Finance",'DONNÉES BRUTES'!AB$3:AB$42+(ROW('DONNÉES BRUTES'!A$3:A$42)-ROW('DONNÉES BRUTES'!A$3))/1000,0),0))),"—")</f>
        <v/>
      </c>
      <c r="R25" s="399"/>
      <c r="S25" s="399"/>
      <c r="T25" s="399"/>
      <c r="U25" s="399"/>
      <c r="V25" s="399"/>
      <c r="W25" s="399"/>
      <c r="X25" s="399"/>
      <c r="Y25" s="399"/>
      <c r="Z25" s="399"/>
      <c r="AA25" s="399"/>
      <c r="AB25" s="399"/>
      <c r="AC25" s="399"/>
    </row>
    <row r="26" spans="2:29" ht="15.9" customHeight="1" x14ac:dyDescent="0.3">
      <c r="R26" s="399"/>
      <c r="S26" s="399"/>
      <c r="T26" s="399"/>
      <c r="U26" s="399"/>
      <c r="V26" s="399"/>
      <c r="W26" s="399"/>
      <c r="X26" s="399"/>
      <c r="Y26" s="399"/>
      <c r="Z26" s="399"/>
      <c r="AA26" s="399"/>
      <c r="AB26" s="399"/>
      <c r="AC26" s="399"/>
    </row>
    <row r="27" spans="2:29" ht="15.9" customHeight="1" x14ac:dyDescent="0.3">
      <c r="R27" s="399"/>
      <c r="S27" s="399"/>
      <c r="T27" s="399"/>
      <c r="U27" s="399"/>
      <c r="V27" s="399"/>
      <c r="W27" s="399"/>
      <c r="X27" s="399"/>
      <c r="Y27" s="399"/>
      <c r="Z27" s="399"/>
      <c r="AA27" s="399"/>
      <c r="AB27" s="399"/>
      <c r="AC27" s="399"/>
    </row>
    <row r="28" spans="2:29" ht="15.9" customHeight="1" x14ac:dyDescent="0.3">
      <c r="R28" s="399"/>
      <c r="S28" s="399" t="s">
        <v>10</v>
      </c>
      <c r="T28" s="399" t="s">
        <v>11</v>
      </c>
      <c r="U28" s="399" t="s">
        <v>15</v>
      </c>
      <c r="V28" s="399" t="s">
        <v>16</v>
      </c>
      <c r="W28" s="399" t="s">
        <v>17</v>
      </c>
      <c r="X28" s="399"/>
      <c r="Y28" s="399" t="s">
        <v>10</v>
      </c>
      <c r="Z28" s="399" t="s">
        <v>15</v>
      </c>
      <c r="AA28" s="399" t="s">
        <v>16</v>
      </c>
      <c r="AB28" s="399" t="s">
        <v>17</v>
      </c>
      <c r="AC28" s="399"/>
    </row>
    <row r="29" spans="2:29" ht="15.9" customHeight="1" x14ac:dyDescent="0.3">
      <c r="R29" s="399"/>
      <c r="S29" s="399" t="str">
        <f>IF(D11="","",LEFT(D11,14))</f>
        <v>Schroders plc</v>
      </c>
      <c r="T29" s="399">
        <f>IF(E11="","",IFERROR(VALUE(LEFT(E11,FIND("/",E11)-1)),0))</f>
        <v>55</v>
      </c>
      <c r="U29" s="399">
        <f t="shared" ref="U29:W32" si="0">IF(ISNUMBER(F11),F11,0)</f>
        <v>32</v>
      </c>
      <c r="V29" s="399">
        <f t="shared" si="0"/>
        <v>29</v>
      </c>
      <c r="W29" s="399">
        <f t="shared" si="0"/>
        <v>93</v>
      </c>
      <c r="X29" s="399">
        <f t="shared" ref="X29:Z32" si="1">IF(ISNUMBER(F11),F11,"")</f>
        <v>32</v>
      </c>
      <c r="Y29" s="399">
        <f t="shared" si="1"/>
        <v>29</v>
      </c>
      <c r="Z29" s="399">
        <f t="shared" si="1"/>
        <v>93</v>
      </c>
      <c r="AA29" s="399">
        <v>92</v>
      </c>
      <c r="AB29" s="399">
        <v>82</v>
      </c>
      <c r="AC29" s="399"/>
    </row>
    <row r="30" spans="2:29" ht="15.9" customHeight="1" x14ac:dyDescent="0.3">
      <c r="R30" s="399"/>
      <c r="S30" s="399" t="str">
        <f>IF(D12="","",LEFT(D12,14))</f>
        <v>3i Group Ord</v>
      </c>
      <c r="T30" s="399">
        <f>IF(E12="","",IFERROR(VALUE(LEFT(E12,FIND("/",E12)-1)),0))</f>
        <v>54</v>
      </c>
      <c r="U30" s="399">
        <f t="shared" si="0"/>
        <v>88</v>
      </c>
      <c r="V30" s="399">
        <f t="shared" si="0"/>
        <v>47</v>
      </c>
      <c r="W30" s="399">
        <f t="shared" si="0"/>
        <v>10</v>
      </c>
      <c r="X30" s="399">
        <f t="shared" si="1"/>
        <v>88</v>
      </c>
      <c r="Y30" s="399">
        <f t="shared" si="1"/>
        <v>47</v>
      </c>
      <c r="Z30" s="399">
        <f t="shared" si="1"/>
        <v>10</v>
      </c>
      <c r="AA30" s="399">
        <v>28</v>
      </c>
      <c r="AB30" s="399">
        <v>92</v>
      </c>
      <c r="AC30" s="399"/>
    </row>
    <row r="31" spans="2:29" ht="15.9" customHeight="1" x14ac:dyDescent="0.3">
      <c r="R31" s="399"/>
      <c r="S31" s="399" t="str">
        <f>IF(D13="","",LEFT(D13,14))</f>
        <v>Hiscox Ltd</v>
      </c>
      <c r="T31" s="399">
        <f>IF(E13="","",IFERROR(VALUE(LEFT(E13,FIND("/",E13)-1)),0))</f>
        <v>50</v>
      </c>
      <c r="U31" s="399">
        <f t="shared" si="0"/>
        <v>55</v>
      </c>
      <c r="V31" s="399">
        <f t="shared" si="0"/>
        <v>37</v>
      </c>
      <c r="W31" s="399">
        <f t="shared" si="0"/>
        <v>70</v>
      </c>
      <c r="X31" s="399">
        <f t="shared" si="1"/>
        <v>55</v>
      </c>
      <c r="Y31" s="399">
        <f t="shared" si="1"/>
        <v>37</v>
      </c>
      <c r="Z31" s="399">
        <f t="shared" si="1"/>
        <v>70</v>
      </c>
      <c r="AA31" s="399">
        <v>64</v>
      </c>
      <c r="AB31" s="399">
        <v>95</v>
      </c>
      <c r="AC31" s="399"/>
    </row>
    <row r="32" spans="2:29" x14ac:dyDescent="0.3">
      <c r="R32" s="399"/>
      <c r="S32" s="399" t="str">
        <f>IF(D14="","",LEFT(D14,14))</f>
        <v>Prudential plc</v>
      </c>
      <c r="T32" s="399">
        <f>IF(E14="","",IFERROR(VALUE(LEFT(E14,FIND("/",E14)-1)),0))</f>
        <v>50</v>
      </c>
      <c r="U32" s="399">
        <f t="shared" si="0"/>
        <v>35</v>
      </c>
      <c r="V32" s="399">
        <f t="shared" si="0"/>
        <v>26</v>
      </c>
      <c r="W32" s="399">
        <f t="shared" si="0"/>
        <v>75</v>
      </c>
      <c r="X32" s="399">
        <f t="shared" si="1"/>
        <v>35</v>
      </c>
      <c r="Y32" s="399">
        <f t="shared" si="1"/>
        <v>26</v>
      </c>
      <c r="Z32" s="399">
        <f t="shared" si="1"/>
        <v>75</v>
      </c>
      <c r="AA32" s="399">
        <v>46</v>
      </c>
      <c r="AB32" s="399">
        <v>26</v>
      </c>
      <c r="AC32" s="399"/>
    </row>
    <row r="33" spans="18:29" x14ac:dyDescent="0.3">
      <c r="R33" s="399"/>
      <c r="S33" s="399"/>
      <c r="T33" s="399"/>
      <c r="U33" s="399"/>
      <c r="V33" s="399"/>
      <c r="W33" s="399"/>
      <c r="X33" s="399"/>
      <c r="Y33" s="399"/>
      <c r="Z33" s="399"/>
      <c r="AA33" s="399"/>
      <c r="AB33" s="399"/>
      <c r="AC33" s="399"/>
    </row>
    <row r="34" spans="18:29" x14ac:dyDescent="0.3">
      <c r="R34" s="399"/>
      <c r="S34" s="399"/>
      <c r="T34" s="399"/>
      <c r="U34" s="399"/>
      <c r="V34" s="399"/>
      <c r="W34" s="399"/>
      <c r="X34" s="399"/>
      <c r="Y34" s="399"/>
      <c r="Z34" s="399"/>
      <c r="AA34" s="399"/>
      <c r="AB34" s="399"/>
      <c r="AC34" s="399"/>
    </row>
  </sheetData>
  <mergeCells count="3">
    <mergeCell ref="B2:Q2"/>
    <mergeCell ref="B1:Q1"/>
    <mergeCell ref="B8:Q8"/>
  </mergeCells>
  <conditionalFormatting sqref="B11">
    <cfRule type="expression" dxfId="1095" priority="1">
      <formula>C11=""</formula>
    </cfRule>
  </conditionalFormatting>
  <conditionalFormatting sqref="B11">
    <cfRule type="expression" dxfId="1094" priority="2">
      <formula>C11&lt;&gt;""</formula>
    </cfRule>
  </conditionalFormatting>
  <conditionalFormatting sqref="C11:P11">
    <cfRule type="expression" dxfId="1093" priority="3">
      <formula>C11=""</formula>
    </cfRule>
  </conditionalFormatting>
  <conditionalFormatting sqref="C11:P11">
    <cfRule type="expression" dxfId="1092" priority="4">
      <formula>C11&lt;&gt;""</formula>
    </cfRule>
  </conditionalFormatting>
  <conditionalFormatting sqref="Q11">
    <cfRule type="expression" dxfId="1091" priority="5">
      <formula>C11=""</formula>
    </cfRule>
  </conditionalFormatting>
  <conditionalFormatting sqref="Q11">
    <cfRule type="expression" dxfId="1090" priority="6">
      <formula>C11&lt;&gt;""</formula>
    </cfRule>
  </conditionalFormatting>
  <conditionalFormatting sqref="B12">
    <cfRule type="expression" dxfId="1087" priority="9">
      <formula>C12=""</formula>
    </cfRule>
  </conditionalFormatting>
  <conditionalFormatting sqref="B12">
    <cfRule type="expression" dxfId="1086" priority="10">
      <formula>C12&lt;&gt;""</formula>
    </cfRule>
  </conditionalFormatting>
  <conditionalFormatting sqref="C12:P12">
    <cfRule type="expression" dxfId="1085" priority="11">
      <formula>C12=""</formula>
    </cfRule>
  </conditionalFormatting>
  <conditionalFormatting sqref="C12:P12">
    <cfRule type="expression" dxfId="1084" priority="12">
      <formula>C12&lt;&gt;""</formula>
    </cfRule>
  </conditionalFormatting>
  <conditionalFormatting sqref="Q12">
    <cfRule type="expression" dxfId="1083" priority="13">
      <formula>C12=""</formula>
    </cfRule>
  </conditionalFormatting>
  <conditionalFormatting sqref="Q12">
    <cfRule type="expression" dxfId="1082" priority="14">
      <formula>C12&lt;&gt;""</formula>
    </cfRule>
  </conditionalFormatting>
  <conditionalFormatting sqref="B13">
    <cfRule type="expression" dxfId="1079" priority="17">
      <formula>C13=""</formula>
    </cfRule>
  </conditionalFormatting>
  <conditionalFormatting sqref="B13">
    <cfRule type="expression" dxfId="1078" priority="18">
      <formula>C13&lt;&gt;""</formula>
    </cfRule>
  </conditionalFormatting>
  <conditionalFormatting sqref="C13:P13">
    <cfRule type="expression" dxfId="1077" priority="19">
      <formula>C13=""</formula>
    </cfRule>
  </conditionalFormatting>
  <conditionalFormatting sqref="C13:P13">
    <cfRule type="expression" dxfId="1076" priority="20">
      <formula>C13&lt;&gt;""</formula>
    </cfRule>
  </conditionalFormatting>
  <conditionalFormatting sqref="Q13">
    <cfRule type="expression" dxfId="1075" priority="21">
      <formula>C13=""</formula>
    </cfRule>
  </conditionalFormatting>
  <conditionalFormatting sqref="Q13">
    <cfRule type="expression" dxfId="1074" priority="22">
      <formula>C13&lt;&gt;""</formula>
    </cfRule>
  </conditionalFormatting>
  <conditionalFormatting sqref="B14">
    <cfRule type="expression" dxfId="1071" priority="25">
      <formula>C14=""</formula>
    </cfRule>
  </conditionalFormatting>
  <conditionalFormatting sqref="B14">
    <cfRule type="expression" dxfId="1070" priority="26">
      <formula>C14&lt;&gt;""</formula>
    </cfRule>
  </conditionalFormatting>
  <conditionalFormatting sqref="C14:P14">
    <cfRule type="expression" dxfId="1069" priority="27">
      <formula>C14=""</formula>
    </cfRule>
  </conditionalFormatting>
  <conditionalFormatting sqref="C14:P14">
    <cfRule type="expression" dxfId="1068" priority="28">
      <formula>C14&lt;&gt;""</formula>
    </cfRule>
  </conditionalFormatting>
  <conditionalFormatting sqref="Q14">
    <cfRule type="expression" dxfId="1067" priority="29">
      <formula>C14=""</formula>
    </cfRule>
  </conditionalFormatting>
  <conditionalFormatting sqref="Q14">
    <cfRule type="expression" dxfId="1066" priority="30">
      <formula>C14&lt;&gt;""</formula>
    </cfRule>
  </conditionalFormatting>
  <conditionalFormatting sqref="B15">
    <cfRule type="expression" dxfId="1063" priority="33">
      <formula>C15=""</formula>
    </cfRule>
  </conditionalFormatting>
  <conditionalFormatting sqref="B15">
    <cfRule type="expression" dxfId="1062" priority="34">
      <formula>C15&lt;&gt;""</formula>
    </cfRule>
  </conditionalFormatting>
  <conditionalFormatting sqref="C15:P15">
    <cfRule type="expression" dxfId="1061" priority="35">
      <formula>C15=""</formula>
    </cfRule>
  </conditionalFormatting>
  <conditionalFormatting sqref="C15:P15">
    <cfRule type="expression" dxfId="1060" priority="36">
      <formula>C15&lt;&gt;""</formula>
    </cfRule>
  </conditionalFormatting>
  <conditionalFormatting sqref="Q15">
    <cfRule type="expression" dxfId="1059" priority="37">
      <formula>C15=""</formula>
    </cfRule>
  </conditionalFormatting>
  <conditionalFormatting sqref="Q15">
    <cfRule type="expression" dxfId="1058" priority="38">
      <formula>C15&lt;&gt;""</formula>
    </cfRule>
  </conditionalFormatting>
  <conditionalFormatting sqref="B16">
    <cfRule type="expression" dxfId="1055" priority="41">
      <formula>C16=""</formula>
    </cfRule>
  </conditionalFormatting>
  <conditionalFormatting sqref="B16">
    <cfRule type="expression" dxfId="1054" priority="42">
      <formula>C16&lt;&gt;""</formula>
    </cfRule>
  </conditionalFormatting>
  <conditionalFormatting sqref="C16:P16">
    <cfRule type="expression" dxfId="1053" priority="43">
      <formula>C16=""</formula>
    </cfRule>
  </conditionalFormatting>
  <conditionalFormatting sqref="C16:P16">
    <cfRule type="expression" dxfId="1052" priority="44">
      <formula>C16&lt;&gt;""</formula>
    </cfRule>
  </conditionalFormatting>
  <conditionalFormatting sqref="Q16">
    <cfRule type="expression" dxfId="1051" priority="45">
      <formula>C16=""</formula>
    </cfRule>
  </conditionalFormatting>
  <conditionalFormatting sqref="Q16">
    <cfRule type="expression" dxfId="1050" priority="46">
      <formula>C16&lt;&gt;""</formula>
    </cfRule>
  </conditionalFormatting>
  <conditionalFormatting sqref="B17">
    <cfRule type="expression" dxfId="1047" priority="49">
      <formula>C17=""</formula>
    </cfRule>
  </conditionalFormatting>
  <conditionalFormatting sqref="B17">
    <cfRule type="expression" dxfId="1046" priority="50">
      <formula>C17&lt;&gt;""</formula>
    </cfRule>
  </conditionalFormatting>
  <conditionalFormatting sqref="C17:P17">
    <cfRule type="expression" dxfId="1045" priority="51">
      <formula>C17=""</formula>
    </cfRule>
  </conditionalFormatting>
  <conditionalFormatting sqref="C17:P17">
    <cfRule type="expression" dxfId="1044" priority="52">
      <formula>C17&lt;&gt;""</formula>
    </cfRule>
  </conditionalFormatting>
  <conditionalFormatting sqref="Q17">
    <cfRule type="expression" dxfId="1043" priority="53">
      <formula>C17=""</formula>
    </cfRule>
  </conditionalFormatting>
  <conditionalFormatting sqref="Q17">
    <cfRule type="expression" dxfId="1042" priority="54">
      <formula>C17&lt;&gt;""</formula>
    </cfRule>
  </conditionalFormatting>
  <conditionalFormatting sqref="B18">
    <cfRule type="expression" dxfId="1039" priority="57">
      <formula>C18=""</formula>
    </cfRule>
  </conditionalFormatting>
  <conditionalFormatting sqref="B18">
    <cfRule type="expression" dxfId="1038" priority="58">
      <formula>C18&lt;&gt;""</formula>
    </cfRule>
  </conditionalFormatting>
  <conditionalFormatting sqref="C18:P18">
    <cfRule type="expression" dxfId="1037" priority="59">
      <formula>C18=""</formula>
    </cfRule>
  </conditionalFormatting>
  <conditionalFormatting sqref="C18:P18">
    <cfRule type="expression" dxfId="1036" priority="60">
      <formula>C18&lt;&gt;""</formula>
    </cfRule>
  </conditionalFormatting>
  <conditionalFormatting sqref="Q18">
    <cfRule type="expression" dxfId="1035" priority="61">
      <formula>C18=""</formula>
    </cfRule>
  </conditionalFormatting>
  <conditionalFormatting sqref="Q18">
    <cfRule type="expression" dxfId="1034" priority="62">
      <formula>C18&lt;&gt;""</formula>
    </cfRule>
  </conditionalFormatting>
  <conditionalFormatting sqref="B19">
    <cfRule type="expression" dxfId="1031" priority="65">
      <formula>C19=""</formula>
    </cfRule>
  </conditionalFormatting>
  <conditionalFormatting sqref="B19">
    <cfRule type="expression" dxfId="1030" priority="66">
      <formula>C19&lt;&gt;""</formula>
    </cfRule>
  </conditionalFormatting>
  <conditionalFormatting sqref="C19:P19">
    <cfRule type="expression" dxfId="1029" priority="67">
      <formula>C19=""</formula>
    </cfRule>
  </conditionalFormatting>
  <conditionalFormatting sqref="C19:P19">
    <cfRule type="expression" dxfId="1028" priority="68">
      <formula>C19&lt;&gt;""</formula>
    </cfRule>
  </conditionalFormatting>
  <conditionalFormatting sqref="Q19">
    <cfRule type="expression" dxfId="1027" priority="69">
      <formula>C19=""</formula>
    </cfRule>
  </conditionalFormatting>
  <conditionalFormatting sqref="Q19">
    <cfRule type="expression" dxfId="1026" priority="70">
      <formula>C19&lt;&gt;""</formula>
    </cfRule>
  </conditionalFormatting>
  <conditionalFormatting sqref="B20">
    <cfRule type="expression" dxfId="1023" priority="73">
      <formula>C20=""</formula>
    </cfRule>
  </conditionalFormatting>
  <conditionalFormatting sqref="B20">
    <cfRule type="expression" dxfId="1022" priority="74">
      <formula>C20&lt;&gt;""</formula>
    </cfRule>
  </conditionalFormatting>
  <conditionalFormatting sqref="C20:P20">
    <cfRule type="expression" dxfId="1021" priority="75">
      <formula>C20=""</formula>
    </cfRule>
  </conditionalFormatting>
  <conditionalFormatting sqref="C20:P20">
    <cfRule type="expression" dxfId="1020" priority="76">
      <formula>C20&lt;&gt;""</formula>
    </cfRule>
  </conditionalFormatting>
  <conditionalFormatting sqref="Q20">
    <cfRule type="expression" dxfId="1019" priority="77">
      <formula>C20=""</formula>
    </cfRule>
  </conditionalFormatting>
  <conditionalFormatting sqref="Q20">
    <cfRule type="expression" dxfId="1018" priority="78">
      <formula>C20&lt;&gt;""</formula>
    </cfRule>
  </conditionalFormatting>
  <conditionalFormatting sqref="B21">
    <cfRule type="expression" dxfId="1015" priority="81">
      <formula>C21=""</formula>
    </cfRule>
  </conditionalFormatting>
  <conditionalFormatting sqref="B21">
    <cfRule type="expression" dxfId="1014" priority="82">
      <formula>C21&lt;&gt;""</formula>
    </cfRule>
  </conditionalFormatting>
  <conditionalFormatting sqref="C21:P21">
    <cfRule type="expression" dxfId="1013" priority="83">
      <formula>C21=""</formula>
    </cfRule>
  </conditionalFormatting>
  <conditionalFormatting sqref="C21:P21">
    <cfRule type="expression" dxfId="1012" priority="84">
      <formula>C21&lt;&gt;""</formula>
    </cfRule>
  </conditionalFormatting>
  <conditionalFormatting sqref="Q21">
    <cfRule type="expression" dxfId="1011" priority="85">
      <formula>C21=""</formula>
    </cfRule>
  </conditionalFormatting>
  <conditionalFormatting sqref="Q21">
    <cfRule type="expression" dxfId="1010" priority="86">
      <formula>C21&lt;&gt;""</formula>
    </cfRule>
  </conditionalFormatting>
  <conditionalFormatting sqref="B22">
    <cfRule type="expression" dxfId="1007" priority="89">
      <formula>C22=""</formula>
    </cfRule>
  </conditionalFormatting>
  <conditionalFormatting sqref="B22">
    <cfRule type="expression" dxfId="1006" priority="90">
      <formula>C22&lt;&gt;""</formula>
    </cfRule>
  </conditionalFormatting>
  <conditionalFormatting sqref="C22:P22">
    <cfRule type="expression" dxfId="1005" priority="91">
      <formula>C22=""</formula>
    </cfRule>
  </conditionalFormatting>
  <conditionalFormatting sqref="C22:P22">
    <cfRule type="expression" dxfId="1004" priority="92">
      <formula>C22&lt;&gt;""</formula>
    </cfRule>
  </conditionalFormatting>
  <conditionalFormatting sqref="Q22">
    <cfRule type="expression" dxfId="1003" priority="93">
      <formula>C22=""</formula>
    </cfRule>
  </conditionalFormatting>
  <conditionalFormatting sqref="Q22">
    <cfRule type="expression" dxfId="1002" priority="94">
      <formula>C22&lt;&gt;""</formula>
    </cfRule>
  </conditionalFormatting>
  <conditionalFormatting sqref="B23">
    <cfRule type="expression" dxfId="999" priority="97">
      <formula>C23=""</formula>
    </cfRule>
  </conditionalFormatting>
  <conditionalFormatting sqref="B23">
    <cfRule type="expression" dxfId="998" priority="98">
      <formula>C23&lt;&gt;""</formula>
    </cfRule>
  </conditionalFormatting>
  <conditionalFormatting sqref="C23:P23">
    <cfRule type="expression" dxfId="997" priority="99">
      <formula>C23=""</formula>
    </cfRule>
  </conditionalFormatting>
  <conditionalFormatting sqref="C23:P23">
    <cfRule type="expression" dxfId="996" priority="100">
      <formula>C23&lt;&gt;""</formula>
    </cfRule>
  </conditionalFormatting>
  <conditionalFormatting sqref="Q23">
    <cfRule type="expression" dxfId="995" priority="101">
      <formula>C23=""</formula>
    </cfRule>
  </conditionalFormatting>
  <conditionalFormatting sqref="Q23">
    <cfRule type="expression" dxfId="994" priority="102">
      <formula>C23&lt;&gt;""</formula>
    </cfRule>
  </conditionalFormatting>
  <conditionalFormatting sqref="B24">
    <cfRule type="expression" dxfId="991" priority="105">
      <formula>C24=""</formula>
    </cfRule>
  </conditionalFormatting>
  <conditionalFormatting sqref="B24">
    <cfRule type="expression" dxfId="990" priority="106">
      <formula>C24&lt;&gt;""</formula>
    </cfRule>
  </conditionalFormatting>
  <conditionalFormatting sqref="C24:P24">
    <cfRule type="expression" dxfId="989" priority="107">
      <formula>C24=""</formula>
    </cfRule>
  </conditionalFormatting>
  <conditionalFormatting sqref="C24:P24">
    <cfRule type="expression" dxfId="988" priority="108">
      <formula>C24&lt;&gt;""</formula>
    </cfRule>
  </conditionalFormatting>
  <conditionalFormatting sqref="Q24">
    <cfRule type="expression" dxfId="987" priority="109">
      <formula>C24=""</formula>
    </cfRule>
  </conditionalFormatting>
  <conditionalFormatting sqref="Q24">
    <cfRule type="expression" dxfId="986" priority="110">
      <formula>C24&lt;&gt;""</formula>
    </cfRule>
  </conditionalFormatting>
  <conditionalFormatting sqref="B25">
    <cfRule type="expression" dxfId="983" priority="113">
      <formula>C25=""</formula>
    </cfRule>
  </conditionalFormatting>
  <conditionalFormatting sqref="B25">
    <cfRule type="expression" dxfId="982" priority="114">
      <formula>C25&lt;&gt;""</formula>
    </cfRule>
  </conditionalFormatting>
  <conditionalFormatting sqref="C25:P25">
    <cfRule type="expression" dxfId="981" priority="115">
      <formula>C25=""</formula>
    </cfRule>
  </conditionalFormatting>
  <conditionalFormatting sqref="C25:P25">
    <cfRule type="expression" dxfId="980" priority="116">
      <formula>C25&lt;&gt;""</formula>
    </cfRule>
  </conditionalFormatting>
  <conditionalFormatting sqref="Q25">
    <cfRule type="expression" dxfId="979" priority="117">
      <formula>C25=""</formula>
    </cfRule>
  </conditionalFormatting>
  <conditionalFormatting sqref="Q25">
    <cfRule type="expression" dxfId="978" priority="118">
      <formula>C25&lt;&gt;""</formula>
    </cfRule>
  </conditionalFormatting>
  <conditionalFormatting sqref="B11">
    <cfRule type="expression" dxfId="975" priority="121">
      <formula>C11=""</formula>
    </cfRule>
  </conditionalFormatting>
  <conditionalFormatting sqref="B12">
    <cfRule type="expression" dxfId="974" priority="122">
      <formula>C12=""</formula>
    </cfRule>
  </conditionalFormatting>
  <conditionalFormatting sqref="B13">
    <cfRule type="expression" dxfId="973" priority="123">
      <formula>C13=""</formula>
    </cfRule>
  </conditionalFormatting>
  <conditionalFormatting sqref="B14">
    <cfRule type="expression" dxfId="972" priority="124">
      <formula>C14=""</formula>
    </cfRule>
  </conditionalFormatting>
  <conditionalFormatting sqref="B15">
    <cfRule type="expression" dxfId="971" priority="125">
      <formula>C15=""</formula>
    </cfRule>
  </conditionalFormatting>
  <conditionalFormatting sqref="B16">
    <cfRule type="expression" dxfId="970" priority="126">
      <formula>C16=""</formula>
    </cfRule>
  </conditionalFormatting>
  <conditionalFormatting sqref="B17">
    <cfRule type="expression" dxfId="969" priority="127">
      <formula>C17=""</formula>
    </cfRule>
  </conditionalFormatting>
  <conditionalFormatting sqref="B18">
    <cfRule type="expression" dxfId="968" priority="128">
      <formula>C18=""</formula>
    </cfRule>
  </conditionalFormatting>
  <conditionalFormatting sqref="B19">
    <cfRule type="expression" dxfId="967" priority="129">
      <formula>C19=""</formula>
    </cfRule>
  </conditionalFormatting>
  <conditionalFormatting sqref="B20">
    <cfRule type="expression" dxfId="966" priority="130">
      <formula>C20=""</formula>
    </cfRule>
  </conditionalFormatting>
  <conditionalFormatting sqref="B21">
    <cfRule type="expression" dxfId="965" priority="131">
      <formula>C21=""</formula>
    </cfRule>
  </conditionalFormatting>
  <conditionalFormatting sqref="B22">
    <cfRule type="expression" dxfId="964" priority="132">
      <formula>C22=""</formula>
    </cfRule>
  </conditionalFormatting>
  <conditionalFormatting sqref="B23">
    <cfRule type="expression" dxfId="963" priority="133">
      <formula>C23=""</formula>
    </cfRule>
  </conditionalFormatting>
  <conditionalFormatting sqref="B24">
    <cfRule type="expression" dxfId="962" priority="134">
      <formula>C24=""</formula>
    </cfRule>
  </conditionalFormatting>
  <conditionalFormatting sqref="B25">
    <cfRule type="expression" dxfId="961" priority="135">
      <formula>C25=""</formula>
    </cfRule>
  </conditionalFormatting>
  <conditionalFormatting sqref="R1:AC34">
    <cfRule type="expression" dxfId="960" priority="136">
      <formula>TRUE()</formula>
    </cfRule>
  </conditionalFormatting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"/>
  <sheetViews>
    <sheetView showGridLines="0" zoomScale="90" workbookViewId="0">
      <selection activeCell="J25" sqref="J25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10" width="8" customWidth="1"/>
    <col min="11" max="11" width="7.33203125" customWidth="1"/>
    <col min="12" max="13" width="8" customWidth="1"/>
    <col min="14" max="14" width="6.44140625" customWidth="1"/>
    <col min="15" max="15" width="7.33203125" customWidth="1"/>
    <col min="16" max="17" width="6.44140625" customWidth="1"/>
  </cols>
  <sheetData>
    <row r="1" spans="1:18" ht="32.1" customHeight="1" thickBot="1" x14ac:dyDescent="0.35">
      <c r="A1" s="101" t="str">
        <f t="array" ref="A1">"FinSight IA  ·  Industrials  ·  CAC 40  ·  "&amp;COUNTA(_xlfn._xlws.FILTER('DONNÉES BRUTES'!A$3:A$42,'DONNÉES BRUTES'!C$3:C$42="Industrie"))&amp;" sociétés  ·  22/03/2026"</f>
        <v>FinSight IA  ·  Industrials  ·  CAC 40  ·  6 sociétés  ·  22/03/2026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</row>
    <row r="2" spans="1:18" ht="3.9" customHeight="1" x14ac:dyDescent="0.3">
      <c r="A2" s="112" t="s">
        <v>412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</row>
    <row r="3" spans="1:18" ht="15.9" customHeight="1" x14ac:dyDescent="0.3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</row>
    <row r="4" spans="1:18" ht="6" customHeight="1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</row>
    <row r="5" spans="1:18" ht="18" customHeight="1" x14ac:dyDescent="0.3">
      <c r="A5" s="132"/>
      <c r="B5" s="129">
        <f t="array" ref="B5">COUNTA(_xlfn._xlws.FILTER('DONNÉES BRUTES'!A$3:A$42,'DONNÉES BRUTES'!C$3:C$42="Industrie"))</f>
        <v>6</v>
      </c>
      <c r="C5" s="120"/>
      <c r="D5" s="120"/>
      <c r="E5" s="119" t="str">
        <f>IFERROR(ROUND(AVERAGEIF('DONNÉES BRUTES'!C$3:C$42,"Industrie",'DONNÉES BRUTES'!AB$3:AB$42),0)&amp;"/100","—")</f>
        <v>55/100</v>
      </c>
      <c r="F5" s="119"/>
      <c r="G5" s="119"/>
      <c r="H5" s="119" t="str" cm="1">
        <f t="array" ref="H5">IFERROR(INDEX('DONNÉES BRUTES'!B$3:B$42,MATCH(LARGE(IF('DONNÉES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BRUTES'!A$3))/1000,0),0)),"—")</f>
        <v>Rolls-Royce Holdings plc</v>
      </c>
      <c r="I5" s="119"/>
      <c r="J5" s="119"/>
      <c r="L5" s="175">
        <f>IFERROR(VLOOKUP("Industrie",'PAR SECTEUR'!B$8:G$17,6,0),"—")</f>
        <v>0.221</v>
      </c>
      <c r="N5" s="176">
        <f t="array" ref="N5">IFERROR(ROUND(MEDIAN(IF('DONNÉES BRUTES'!C$3:C$42="Industrie",IF(ISNUMBER('DONNÉES BRUTES'!Y$3:Y$42),'DONNÉES BRUTES'!Y$3:Y$42))),0),"—")</f>
        <v>68</v>
      </c>
      <c r="P5" s="177" t="str">
        <f>IFERROR(VLOOKUP("Industrie",'PAR SECTEUR'!B$8:J$17,9,0),"—")</f>
        <v>Neutre</v>
      </c>
    </row>
    <row r="6" spans="1:18" ht="15.9" customHeight="1" x14ac:dyDescent="0.3">
      <c r="A6" s="136"/>
      <c r="B6" s="137" t="s">
        <v>413</v>
      </c>
      <c r="C6" s="138"/>
      <c r="D6" s="138"/>
      <c r="E6" s="135" t="s">
        <v>414</v>
      </c>
      <c r="F6" s="135"/>
      <c r="G6" s="135"/>
      <c r="H6" s="135" t="s">
        <v>415</v>
      </c>
      <c r="I6" s="135"/>
      <c r="J6" s="135"/>
      <c r="L6" s="178" t="s">
        <v>388</v>
      </c>
      <c r="N6" s="178" t="s">
        <v>416</v>
      </c>
      <c r="P6" s="179" t="s">
        <v>21</v>
      </c>
    </row>
    <row r="7" spans="1:18" ht="15.9" customHeight="1" x14ac:dyDescent="0.3">
      <c r="A7" s="134"/>
      <c r="B7" s="131"/>
      <c r="C7" s="126"/>
      <c r="D7" s="126"/>
      <c r="E7" s="127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8"/>
    </row>
    <row r="8" spans="1:18" ht="15.9" customHeight="1" x14ac:dyDescent="0.3">
      <c r="A8" s="133"/>
      <c r="B8" s="130" t="str">
        <f t="array" ref="B8">"ANALYSE DÉTAILLÉE  ·  "&amp;UPPER("Industrie")&amp;"  ·  "&amp;COUNTA(_xlfn._xlws.FILTER('DONNÉES BRUTES'!A$3:A$42,'DONNÉES BRUTES'!C$3:C$42="Industrie"))&amp;" sociétés  ·  Triée par Score Global"</f>
        <v>ANALYSE DÉTAILLÉE  ·  INDUSTRIE  ·  6 sociétés  ·  Triée par Score Global</v>
      </c>
      <c r="C8" s="122"/>
      <c r="D8" s="122"/>
      <c r="E8" s="123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4"/>
    </row>
    <row r="9" spans="1:18" ht="15.9" customHeight="1" x14ac:dyDescent="0.3">
      <c r="A9" s="134"/>
      <c r="B9" s="248"/>
      <c r="C9" s="249"/>
      <c r="D9" s="249"/>
      <c r="E9" s="250"/>
      <c r="F9" s="251"/>
      <c r="G9" s="251"/>
      <c r="H9" s="251"/>
      <c r="I9" s="251"/>
      <c r="J9" s="251"/>
      <c r="K9" s="251"/>
      <c r="L9" s="251"/>
      <c r="M9" s="251"/>
      <c r="N9" s="251"/>
      <c r="O9" s="252"/>
      <c r="P9" s="253"/>
    </row>
    <row r="10" spans="1:18" ht="15.9" customHeight="1" x14ac:dyDescent="0.3">
      <c r="A10" s="246"/>
      <c r="B10" s="255" t="s">
        <v>8</v>
      </c>
      <c r="C10" s="256" t="s">
        <v>9</v>
      </c>
      <c r="D10" s="256" t="s">
        <v>10</v>
      </c>
      <c r="E10" s="257" t="s">
        <v>11</v>
      </c>
      <c r="F10" s="258" t="s">
        <v>417</v>
      </c>
      <c r="G10" s="258" t="s">
        <v>418</v>
      </c>
      <c r="H10" s="258" t="s">
        <v>419</v>
      </c>
      <c r="I10" s="258" t="s">
        <v>420</v>
      </c>
      <c r="J10" s="258" t="s">
        <v>345</v>
      </c>
      <c r="K10" s="258" t="s">
        <v>421</v>
      </c>
      <c r="L10" s="258" t="s">
        <v>346</v>
      </c>
      <c r="M10" s="258" t="s">
        <v>124</v>
      </c>
      <c r="N10" s="258" t="s">
        <v>422</v>
      </c>
      <c r="O10" s="259" t="s">
        <v>423</v>
      </c>
      <c r="P10" s="260" t="s">
        <v>32</v>
      </c>
      <c r="Q10" s="254" t="s">
        <v>21</v>
      </c>
    </row>
    <row r="11" spans="1:18" ht="15.9" customHeight="1" x14ac:dyDescent="0.3">
      <c r="A11" s="247"/>
      <c r="B11" s="416">
        <v>1</v>
      </c>
      <c r="C11" s="417" t="str">
        <f t="array" ref="C11">IFERROR(IF(1&gt;COUNTIF('DONNÉES BRUTES'!C$3:C$42,"Industrie"),"",INDEX('DONNÉES BRUTES'!A$3:A$42,MATCH(LARGE(IF('DONNÉES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RR.L</v>
      </c>
      <c r="D11" s="417" t="str">
        <f t="array" ref="D11">IFERROR(IF(1&gt;COUNTIF('DONNÉES BRUTES'!C$3:C$42,"Industrie"),"",INDEX('DONNÉES BRUTES'!B$3:B$42,MATCH(LARGE(IF('DONNÉES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Rolls-Royce Holdings plc</v>
      </c>
      <c r="E11" s="418" t="str">
        <f t="array" ref="E11">IFERROR(IF(1&gt;COUNTIF('DONNÉES BRUTES'!C$3:C$42,"Industrie"),"",INT(LARGE(IF('DONNÉES BRUTES'!C$3:C$42="Industrie",'DONNÉES BRUTES'!AB$3:AB$42+(ROW('DONNÉES BRUTES'!A$3:A$42)-ROW('DONNÉES BRUTES'!A$3))/1000,0),1))&amp;"/100"),"—")</f>
        <v>64/100</v>
      </c>
      <c r="F11" s="416">
        <f t="array" ref="F11">IFERROR(IF(1&gt;COUNTIF('DONNÉES BRUTES'!C$3:C$42,"Industrie"),"",INDEX('DONNÉES BRUTES'!Y$3:Y$42,MATCH(LARGE(IF('DONNÉES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79</v>
      </c>
      <c r="G11" s="416">
        <f t="array" ref="G11">IFERROR(IF(1&gt;COUNTIF('DONNÉES BRUTES'!C$3:C$42,"Industrie"),"",INDEX('DONNÉES BRUTES'!Z$3:Z$42,MATCH(LARGE(IF('DONNÉES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64</v>
      </c>
      <c r="H11" s="416">
        <f t="array" ref="H11">IFERROR(IF(1&gt;COUNTIF('DONNÉES BRUTES'!C$3:C$42,"Industrie"),"",INDEX('DONNÉES BRUTES'!AA$3:AA$42,MATCH(LARGE(IF('DONNÉES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89</v>
      </c>
      <c r="I11" s="416" t="str">
        <f t="array" ref="I11">IFERROR(IF(1&gt;COUNTIF('DONNÉES BRUTES'!C$3:C$42,"Industrie"),"",INDEX('DONNÉES BRUTES'!M$3:M$42,MATCH(LARGE(IF('DONNÉES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29.1%</v>
      </c>
      <c r="J11" s="416" t="str">
        <f t="array" ref="J11">IFERROR(IF(1&gt;COUNTIF('DONNÉES BRUTES'!C$3:C$42,"Industrie"),"",INDEX('DONNÉES BRUTES'!N$3:N$42,MATCH(LARGE(IF('DONNÉES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38.4%</v>
      </c>
      <c r="K11" s="416" t="str">
        <f t="array" ref="K11">IFERROR(IF(1&gt;COUNTIF('DONNÉES BRUTES'!C$3:C$42,"Industrie"),"",INDEX('DONNÉES BRUTES'!O$3:O$42,MATCH(LARGE(IF('DONNÉES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27.5%</v>
      </c>
      <c r="L11" s="416" t="str">
        <f t="array" ref="L11">IFERROR(IF(1&gt;COUNTIF('DONNÉES BRUTES'!C$3:C$42,"Industrie"),"",INDEX('DONNÉES BRUTES'!P$3:P$42,MATCH(LARGE(IF('DONNÉES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+12.2%</v>
      </c>
      <c r="M11" s="416" t="str">
        <f t="array" ref="M11">IFERROR(IF(1&gt;COUNTIF('DONNÉES BRUTES'!C$3:C$42,"Industrie"),"",INDEX('DONNÉES BRUTES'!Q$3:Q$42,MATCH(LARGE(IF('DONNÉES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+214.3%</v>
      </c>
      <c r="N11" s="416">
        <f t="array" ref="N11">IFERROR(IF(1&gt;COUNTIF('DONNÉES BRUTES'!C$3:C$42,"Industrie"),"",INDEX('DONNÉES BRUTES'!S$3:S$42,MATCH(LARGE(IF('DONNÉES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1.2</v>
      </c>
      <c r="O11" s="419" t="str">
        <f t="array" ref="O11">IFERROR(IF(1&gt;COUNTIF('DONNÉES BRUTES'!C$3:C$42,"Industrie"),"",INDEX('DONNÉES BRUTES'!T$3:T$42,MATCH(LARGE(IF('DONNÉES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-0.4x</v>
      </c>
      <c r="P11" s="420">
        <f t="array" ref="P11">IFERROR(IF(1&gt;COUNTIF('DONNÉES BRUTES'!C$3:C$42,"Industrie"),"",INDEX('DONNÉES BRUTES'!U$3:U$42,MATCH(LARGE(IF('DONNÉES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2.08</v>
      </c>
      <c r="Q11" s="396" t="str">
        <f t="array" ref="Q11">IFERROR(IF(1&gt;COUNTIF('DONNÉES BRUTES'!C$3:C$42,"Industrie"),"",INDEX('DONNÉES BRUTES'!AD$3:AD$42,MATCH(LARGE(IF('DONNÉES BRUTES'!C$3:C$42="Industrie",'DONNÉES BRUTES'!AB$3:AB$42+(ROW('DONNÉES BRUTES'!A$3:A$42)-ROW('DONNÉES BRUTES'!A$3))/1000,0),1),IF('DONNÉES BRUTES'!C$3:C$42="Industrie",'DONNÉES BRUTES'!AB$3:AB$42+(ROW('DONNÉES BRUTES'!A$3:A$42)-ROW('DONNÉES BRUTES'!A$3))/1000,0),0))),"—")</f>
        <v>Surpondérer</v>
      </c>
      <c r="R11" s="397"/>
    </row>
    <row r="12" spans="1:18" ht="15.9" customHeight="1" x14ac:dyDescent="0.3">
      <c r="A12" s="246"/>
      <c r="B12" s="421">
        <v>2</v>
      </c>
      <c r="C12" s="422" t="str">
        <f t="array" ref="C12">IFERROR(IF(2&gt;COUNTIF('DONNÉES BRUTES'!C$3:C$42,"Industrie"),"",INDEX('DONNÉES BRUTES'!A$3:A$42,MATCH(LARGE(IF('DONNÉES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HLMA.L</v>
      </c>
      <c r="D12" s="422" t="str">
        <f t="array" ref="D12">IFERROR(IF(2&gt;COUNTIF('DONNÉES BRUTES'!C$3:C$42,"Industrie"),"",INDEX('DONNÉES BRUTES'!B$3:B$42,MATCH(LARGE(IF('DONNÉES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Halma plc</v>
      </c>
      <c r="E12" s="423" t="str">
        <f t="array" ref="E12">IFERROR(IF(2&gt;COUNTIF('DONNÉES BRUTES'!C$3:C$42,"Industrie"),"",INT(LARGE(IF('DONNÉES BRUTES'!C$3:C$42="Industrie",'DONNÉES BRUTES'!AB$3:AB$42+(ROW('DONNÉES BRUTES'!A$3:A$42)-ROW('DONNÉES BRUTES'!A$3))/1000,0),2))&amp;"/100"),"—")</f>
        <v>63/100</v>
      </c>
      <c r="F12" s="421">
        <f t="array" ref="F12">IFERROR(IF(2&gt;COUNTIF('DONNÉES BRUTES'!C$3:C$42,"Industrie"),"",INDEX('DONNÉES BRUTES'!Y$3:Y$42,MATCH(LARGE(IF('DONNÉES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66</v>
      </c>
      <c r="G12" s="421">
        <f t="array" ref="G12">IFERROR(IF(2&gt;COUNTIF('DONNÉES BRUTES'!C$3:C$42,"Industrie"),"",INDEX('DONNÉES BRUTES'!Z$3:Z$42,MATCH(LARGE(IF('DONNÉES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73</v>
      </c>
      <c r="H12" s="421">
        <f t="array" ref="H12">IFERROR(IF(2&gt;COUNTIF('DONNÉES BRUTES'!C$3:C$42,"Industrie"),"",INDEX('DONNÉES BRUTES'!AA$3:AA$42,MATCH(LARGE(IF('DONNÉES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90</v>
      </c>
      <c r="I12" s="421" t="str">
        <f t="array" ref="I12">IFERROR(IF(2&gt;COUNTIF('DONNÉES BRUTES'!C$3:C$42,"Industrie"),"",INDEX('DONNÉES BRUTES'!M$3:M$42,MATCH(LARGE(IF('DONNÉES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50.4%</v>
      </c>
      <c r="J12" s="421" t="str">
        <f t="array" ref="J12">IFERROR(IF(2&gt;COUNTIF('DONNÉES BRUTES'!C$3:C$42,"Industrie"),"",INDEX('DONNÉES BRUTES'!N$3:N$42,MATCH(LARGE(IF('DONNÉES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23.9%</v>
      </c>
      <c r="K12" s="421" t="str">
        <f t="array" ref="K12">IFERROR(IF(2&gt;COUNTIF('DONNÉES BRUTES'!C$3:C$42,"Industrie"),"",INDEX('DONNÉES BRUTES'!O$3:O$42,MATCH(LARGE(IF('DONNÉES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13.2%</v>
      </c>
      <c r="L12" s="421" t="str">
        <f t="array" ref="L12">IFERROR(IF(2&gt;COUNTIF('DONNÉES BRUTES'!C$3:C$42,"Industrie"),"",INDEX('DONNÉES BRUTES'!P$3:P$42,MATCH(LARGE(IF('DONNÉES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+10.5%</v>
      </c>
      <c r="M12" s="421" t="str">
        <f t="array" ref="M12">IFERROR(IF(2&gt;COUNTIF('DONNÉES BRUTES'!C$3:C$42,"Industrie"),"",INDEX('DONNÉES BRUTES'!Q$3:Q$42,MATCH(LARGE(IF('DONNÉES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+15.6%</v>
      </c>
      <c r="N12" s="421">
        <f t="array" ref="N12">IFERROR(IF(2&gt;COUNTIF('DONNÉES BRUTES'!C$3:C$42,"Industrie"),"",INDEX('DONNÉES BRUTES'!S$3:S$42,MATCH(LARGE(IF('DONNÉES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2.44</v>
      </c>
      <c r="O12" s="424" t="str">
        <f t="array" ref="O12">IFERROR(IF(2&gt;COUNTIF('DONNÉES BRUTES'!C$3:C$42,"Industrie"),"",INDEX('DONNÉES BRUTES'!T$3:T$42,MATCH(LARGE(IF('DONNÉES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0.8x</v>
      </c>
      <c r="P12" s="425">
        <f t="array" ref="P12">IFERROR(IF(2&gt;COUNTIF('DONNÉES BRUTES'!C$3:C$42,"Industrie"),"",INDEX('DONNÉES BRUTES'!U$3:U$42,MATCH(LARGE(IF('DONNÉES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5.44</v>
      </c>
      <c r="Q12" s="398" t="str">
        <f t="array" ref="Q12">IFERROR(IF(2&gt;COUNTIF('DONNÉES BRUTES'!C$3:C$42,"Industrie"),"",INDEX('DONNÉES BRUTES'!AD$3:AD$42,MATCH(LARGE(IF('DONNÉES BRUTES'!C$3:C$42="Industrie",'DONNÉES BRUTES'!AB$3:AB$42+(ROW('DONNÉES BRUTES'!A$3:A$42)-ROW('DONNÉES BRUTES'!A$3))/1000,0),2),IF('DONNÉES BRUTES'!C$3:C$42="Industrie",'DONNÉES BRUTES'!AB$3:AB$42+(ROW('DONNÉES BRUTES'!A$3:A$42)-ROW('DONNÉES BRUTES'!A$3))/1000,0),0))),"—")</f>
        <v>Surpondérer</v>
      </c>
      <c r="R12" s="397"/>
    </row>
    <row r="13" spans="1:18" ht="15.9" customHeight="1" x14ac:dyDescent="0.3">
      <c r="A13" s="247"/>
      <c r="B13" s="416">
        <v>3</v>
      </c>
      <c r="C13" s="417" t="str">
        <f t="array" ref="C13">IFERROR(IF(3&gt;COUNTIF('DONNÉES BRUTES'!C$3:C$42,"Industrie"),"",INDEX('DONNÉES BRUTES'!A$3:A$42,MATCH(LARGE(IF('DONNÉES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DPLM.L</v>
      </c>
      <c r="D13" s="417" t="str">
        <f t="array" ref="D13">IFERROR(IF(3&gt;COUNTIF('DONNÉES BRUTES'!C$3:C$42,"Industrie"),"",INDEX('DONNÉES BRUTES'!B$3:B$42,MATCH(LARGE(IF('DONNÉES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Diploma PLC</v>
      </c>
      <c r="E13" s="418" t="str">
        <f t="array" ref="E13">IFERROR(IF(3&gt;COUNTIF('DONNÉES BRUTES'!C$3:C$42,"Industrie"),"",INT(LARGE(IF('DONNÉES BRUTES'!C$3:C$42="Industrie",'DONNÉES BRUTES'!AB$3:AB$42+(ROW('DONNÉES BRUTES'!A$3:A$42)-ROW('DONNÉES BRUTES'!A$3))/1000,0),3))&amp;"/100"),"—")</f>
        <v>62/100</v>
      </c>
      <c r="F13" s="416">
        <f t="array" ref="F13">IFERROR(IF(3&gt;COUNTIF('DONNÉES BRUTES'!C$3:C$42,"Industrie"),"",INDEX('DONNÉES BRUTES'!Y$3:Y$42,MATCH(LARGE(IF('DONNÉES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69</v>
      </c>
      <c r="G13" s="416">
        <f t="array" ref="G13">IFERROR(IF(3&gt;COUNTIF('DONNÉES BRUTES'!C$3:C$42,"Industrie"),"",INDEX('DONNÉES BRUTES'!Z$3:Z$42,MATCH(LARGE(IF('DONNÉES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69</v>
      </c>
      <c r="H13" s="416">
        <f t="array" ref="H13">IFERROR(IF(3&gt;COUNTIF('DONNÉES BRUTES'!C$3:C$42,"Industrie"),"",INDEX('DONNÉES BRUTES'!AA$3:AA$42,MATCH(LARGE(IF('DONNÉES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86</v>
      </c>
      <c r="I13" s="416" t="str">
        <f t="array" ref="I13">IFERROR(IF(3&gt;COUNTIF('DONNÉES BRUTES'!C$3:C$42,"Industrie"),"",INDEX('DONNÉES BRUTES'!M$3:M$42,MATCH(LARGE(IF('DONNÉES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46.3%</v>
      </c>
      <c r="J13" s="416" t="str">
        <f t="array" ref="J13">IFERROR(IF(3&gt;COUNTIF('DONNÉES BRUTES'!C$3:C$42,"Industrie"),"",INDEX('DONNÉES BRUTES'!N$3:N$42,MATCH(LARGE(IF('DONNÉES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24.0%</v>
      </c>
      <c r="K13" s="416" t="str">
        <f t="array" ref="K13">IFERROR(IF(3&gt;COUNTIF('DONNÉES BRUTES'!C$3:C$42,"Industrie"),"",INDEX('DONNÉES BRUTES'!O$3:O$42,MATCH(LARGE(IF('DONNÉES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12.1%</v>
      </c>
      <c r="L13" s="416" t="str">
        <f t="array" ref="L13">IFERROR(IF(3&gt;COUNTIF('DONNÉES BRUTES'!C$3:C$42,"Industrie"),"",INDEX('DONNÉES BRUTES'!P$3:P$42,MATCH(LARGE(IF('DONNÉES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+11.8%</v>
      </c>
      <c r="M13" s="416" t="str">
        <f t="array" ref="M13">IFERROR(IF(3&gt;COUNTIF('DONNÉES BRUTES'!C$3:C$42,"Industrie"),"",INDEX('DONNÉES BRUTES'!Q$3:Q$42,MATCH(LARGE(IF('DONNÉES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+18.7%</v>
      </c>
      <c r="N13" s="416">
        <f t="array" ref="N13">IFERROR(IF(3&gt;COUNTIF('DONNÉES BRUTES'!C$3:C$42,"Industrie"),"",INDEX('DONNÉES BRUTES'!S$3:S$42,MATCH(LARGE(IF('DONNÉES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2.04</v>
      </c>
      <c r="O13" s="419" t="str">
        <f t="array" ref="O13">IFERROR(IF(3&gt;COUNTIF('DONNÉES BRUTES'!C$3:C$42,"Industrie"),"",INDEX('DONNÉES BRUTES'!T$3:T$42,MATCH(LARGE(IF('DONNÉES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0.8x</v>
      </c>
      <c r="P13" s="420">
        <f t="array" ref="P13">IFERROR(IF(3&gt;COUNTIF('DONNÉES BRUTES'!C$3:C$42,"Industrie"),"",INDEX('DONNÉES BRUTES'!U$3:U$42,MATCH(LARGE(IF('DONNÉES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4.47</v>
      </c>
      <c r="Q13" s="396" t="str">
        <f t="array" ref="Q13">IFERROR(IF(3&gt;COUNTIF('DONNÉES BRUTES'!C$3:C$42,"Industrie"),"",INDEX('DONNÉES BRUTES'!AD$3:AD$42,MATCH(LARGE(IF('DONNÉES BRUTES'!C$3:C$42="Industrie",'DONNÉES BRUTES'!AB$3:AB$42+(ROW('DONNÉES BRUTES'!A$3:A$42)-ROW('DONNÉES BRUTES'!A$3))/1000,0),3),IF('DONNÉES BRUTES'!C$3:C$42="Industrie",'DONNÉES BRUTES'!AB$3:AB$42+(ROW('DONNÉES BRUTES'!A$3:A$42)-ROW('DONNÉES BRUTES'!A$3))/1000,0),0))),"—")</f>
        <v>Surpondérer</v>
      </c>
      <c r="R13" s="397"/>
    </row>
    <row r="14" spans="1:18" ht="15.9" customHeight="1" x14ac:dyDescent="0.3">
      <c r="A14" s="246"/>
      <c r="B14" s="421">
        <v>4</v>
      </c>
      <c r="C14" s="422" t="str">
        <f t="array" ref="C14">IFERROR(IF(4&gt;COUNTIF('DONNÉES BRUTES'!C$3:C$42,"Industrie"),"",INDEX('DONNÉES BRUTES'!A$3:A$42,MATCH(LARGE(IF('DONNÉES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EXPN.L</v>
      </c>
      <c r="D14" s="422" t="str">
        <f t="array" ref="D14">IFERROR(IF(4&gt;COUNTIF('DONNÉES BRUTES'!C$3:C$42,"Industrie"),"",INDEX('DONNÉES BRUTES'!B$3:B$42,MATCH(LARGE(IF('DONNÉES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Experian plc</v>
      </c>
      <c r="E14" s="423" t="str">
        <f t="array" ref="E14">IFERROR(IF(4&gt;COUNTIF('DONNÉES BRUTES'!C$3:C$42,"Industrie"),"",INT(LARGE(IF('DONNÉES BRUTES'!C$3:C$42="Industrie",'DONNÉES BRUTES'!AB$3:AB$42+(ROW('DONNÉES BRUTES'!A$3:A$42)-ROW('DONNÉES BRUTES'!A$3))/1000,0),4))&amp;"/100"),"—")</f>
        <v>50/100</v>
      </c>
      <c r="F14" s="421">
        <f t="array" ref="F14">IFERROR(IF(4&gt;COUNTIF('DONNÉES BRUTES'!C$3:C$42,"Industrie"),"",INDEX('DONNÉES BRUTES'!Y$3:Y$42,MATCH(LARGE(IF('DONNÉES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69</v>
      </c>
      <c r="G14" s="421">
        <f t="array" ref="G14">IFERROR(IF(4&gt;COUNTIF('DONNÉES BRUTES'!C$3:C$42,"Industrie"),"",INDEX('DONNÉES BRUTES'!Z$3:Z$42,MATCH(LARGE(IF('DONNÉES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58</v>
      </c>
      <c r="H14" s="421">
        <f t="array" ref="H14">IFERROR(IF(4&gt;COUNTIF('DONNÉES BRUTES'!C$3:C$42,"Industrie"),"",INDEX('DONNÉES BRUTES'!AA$3:AA$42,MATCH(LARGE(IF('DONNÉES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16</v>
      </c>
      <c r="I14" s="421" t="str">
        <f t="array" ref="I14">IFERROR(IF(4&gt;COUNTIF('DONNÉES BRUTES'!C$3:C$42,"Industrie"),"",INDEX('DONNÉES BRUTES'!M$3:M$42,MATCH(LARGE(IF('DONNÉES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55.1%</v>
      </c>
      <c r="J14" s="421" t="str">
        <f t="array" ref="J14">IFERROR(IF(4&gt;COUNTIF('DONNÉES BRUTES'!C$3:C$42,"Industrie"),"",INDEX('DONNÉES BRUTES'!N$3:N$42,MATCH(LARGE(IF('DONNÉES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33.0%</v>
      </c>
      <c r="K14" s="421" t="str">
        <f t="array" ref="K14">IFERROR(IF(4&gt;COUNTIF('DONNÉES BRUTES'!C$3:C$42,"Industrie"),"",INDEX('DONNÉES BRUTES'!O$3:O$42,MATCH(LARGE(IF('DONNÉES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15.5%</v>
      </c>
      <c r="L14" s="421" t="str">
        <f t="array" ref="L14">IFERROR(IF(4&gt;COUNTIF('DONNÉES BRUTES'!C$3:C$42,"Industrie"),"",INDEX('DONNÉES BRUTES'!P$3:P$42,MATCH(LARGE(IF('DONNÉES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+6.0%</v>
      </c>
      <c r="M14" s="421" t="str">
        <f t="array" ref="M14">IFERROR(IF(4&gt;COUNTIF('DONNÉES BRUTES'!C$3:C$42,"Industrie"),"",INDEX('DONNÉES BRUTES'!Q$3:Q$42,MATCH(LARGE(IF('DONNÉES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+23.1%</v>
      </c>
      <c r="N14" s="421">
        <f t="array" ref="N14">IFERROR(IF(4&gt;COUNTIF('DONNÉES BRUTES'!C$3:C$42,"Industrie"),"",INDEX('DONNÉES BRUTES'!S$3:S$42,MATCH(LARGE(IF('DONNÉES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0.71</v>
      </c>
      <c r="O14" s="424" t="str">
        <f t="array" ref="O14">IFERROR(IF(4&gt;COUNTIF('DONNÉES BRUTES'!C$3:C$42,"Industrie"),"",INDEX('DONNÉES BRUTES'!T$3:T$42,MATCH(LARGE(IF('DONNÉES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1.8x</v>
      </c>
      <c r="P14" s="425">
        <f t="array" ref="P14">IFERROR(IF(4&gt;COUNTIF('DONNÉES BRUTES'!C$3:C$42,"Industrie"),"",INDEX('DONNÉES BRUTES'!U$3:U$42,MATCH(LARGE(IF('DONNÉES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6.66</v>
      </c>
      <c r="Q14" s="398" t="str">
        <f t="array" ref="Q14">IFERROR(IF(4&gt;COUNTIF('DONNÉES BRUTES'!C$3:C$42,"Industrie"),"",INDEX('DONNÉES BRUTES'!AD$3:AD$42,MATCH(LARGE(IF('DONNÉES BRUTES'!C$3:C$42="Industrie",'DONNÉES BRUTES'!AB$3:AB$42+(ROW('DONNÉES BRUTES'!A$3:A$42)-ROW('DONNÉES BRUTES'!A$3))/1000,0),4),IF('DONNÉES BRUTES'!C$3:C$42="Industrie",'DONNÉES BRUTES'!AB$3:AB$42+(ROW('DONNÉES BRUTES'!A$3:A$42)-ROW('DONNÉES BRUTES'!A$3))/1000,0),0))),"—")</f>
        <v>Neutre</v>
      </c>
      <c r="R14" s="397"/>
    </row>
    <row r="15" spans="1:18" ht="15.9" customHeight="1" x14ac:dyDescent="0.3">
      <c r="A15" s="247"/>
      <c r="B15" s="421">
        <v>5</v>
      </c>
      <c r="C15" s="422" t="str">
        <f t="array" ref="C15">IFERROR(IF(5&gt;COUNTIF('DONNÉES BRUTES'!C$3:C$42,"Industrie"),"",INDEX('DONNÉES BRUTES'!A$3:A$42,MATCH(LARGE(IF('DONNÉES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AHT.L</v>
      </c>
      <c r="D15" s="422" t="str">
        <f t="array" ref="D15">IFERROR(IF(5&gt;COUNTIF('DONNÉES BRUTES'!C$3:C$42,"Industrie"),"",INDEX('DONNÉES BRUTES'!B$3:B$42,MATCH(LARGE(IF('DONNÉES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Sunbelt Rentals Holdings Inc</v>
      </c>
      <c r="E15" s="423" t="str">
        <f t="array" ref="E15">IFERROR(IF(5&gt;COUNTIF('DONNÉES BRUTES'!C$3:C$42,"Industrie"),"",INT(LARGE(IF('DONNÉES BRUTES'!C$3:C$42="Industrie",'DONNÉES BRUTES'!AB$3:AB$42+(ROW('DONNÉES BRUTES'!A$3:A$42)-ROW('DONNÉES BRUTES'!A$3))/1000,0),5))&amp;"/100"),"—")</f>
        <v>47/100</v>
      </c>
      <c r="F15" s="421">
        <f t="array" ref="F15">IFERROR(IF(5&gt;COUNTIF('DONNÉES BRUTES'!C$3:C$42,"Industrie"),"",INDEX('DONNÉES BRUTES'!Y$3:Y$42,MATCH(LARGE(IF('DONNÉES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54</v>
      </c>
      <c r="G15" s="421">
        <f t="array" ref="G15">IFERROR(IF(5&gt;COUNTIF('DONNÉES BRUTES'!C$3:C$42,"Industrie"),"",INDEX('DONNÉES BRUTES'!Z$3:Z$42,MATCH(LARGE(IF('DONNÉES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57</v>
      </c>
      <c r="H15" s="421">
        <f t="array" ref="H15">IFERROR(IF(5&gt;COUNTIF('DONNÉES BRUTES'!C$3:C$42,"Industrie"),"",INDEX('DONNÉES BRUTES'!AA$3:AA$42,MATCH(LARGE(IF('DONNÉES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0</v>
      </c>
      <c r="I15" s="421" t="str">
        <f t="array" ref="I15">IFERROR(IF(5&gt;COUNTIF('DONNÉES BRUTES'!C$3:C$42,"Industrie"),"",INDEX('DONNÉES BRUTES'!M$3:M$42,MATCH(LARGE(IF('DONNÉES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88.0%</v>
      </c>
      <c r="J15" s="421" t="str">
        <f t="array" ref="J15">IFERROR(IF(5&gt;COUNTIF('DONNÉES BRUTES'!C$3:C$42,"Industrie"),"",INDEX('DONNÉES BRUTES'!N$3:N$42,MATCH(LARGE(IF('DONNÉES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46.3%</v>
      </c>
      <c r="K15" s="421" t="str">
        <f t="array" ref="K15">IFERROR(IF(5&gt;COUNTIF('DONNÉES BRUTES'!C$3:C$42,"Industrie"),"",INDEX('DONNÉES BRUTES'!O$3:O$42,MATCH(LARGE(IF('DONNÉES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14.0%</v>
      </c>
      <c r="L15" s="421" t="str">
        <f t="array" ref="L15">IFERROR(IF(5&gt;COUNTIF('DONNÉES BRUTES'!C$3:C$42,"Industrie"),"",INDEX('DONNÉES BRUTES'!P$3:P$42,MATCH(LARGE(IF('DONNÉES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-0.6%</v>
      </c>
      <c r="M15" s="421" t="str">
        <f t="array" ref="M15">IFERROR(IF(5&gt;COUNTIF('DONNÉES BRUTES'!C$3:C$42,"Industrie"),"",INDEX('DONNÉES BRUTES'!Q$3:Q$42,MATCH(LARGE(IF('DONNÉES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+19.7%</v>
      </c>
      <c r="N15" s="421">
        <f t="array" ref="N15">IFERROR(IF(5&gt;COUNTIF('DONNÉES BRUTES'!C$3:C$42,"Industrie"),"",INDEX('DONNÉES BRUTES'!S$3:S$42,MATCH(LARGE(IF('DONNÉES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1.29</v>
      </c>
      <c r="O15" s="424" t="str">
        <f t="array" ref="O15">IFERROR(IF(5&gt;COUNTIF('DONNÉES BRUTES'!C$3:C$42,"Industrie"),"",INDEX('DONNÉES BRUTES'!T$3:T$42,MATCH(LARGE(IF('DONNÉES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1.6x</v>
      </c>
      <c r="P15" s="426">
        <f t="array" ref="P15">IFERROR(IF(5&gt;COUNTIF('DONNÉES BRUTES'!C$3:C$42,"Industrie"),"",INDEX('DONNÉES BRUTES'!U$3:U$42,MATCH(LARGE(IF('DONNÉES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2.85</v>
      </c>
      <c r="Q15" s="397" t="str">
        <f t="array" ref="Q15">IFERROR(IF(5&gt;COUNTIF('DONNÉES BRUTES'!C$3:C$42,"Industrie"),"",INDEX('DONNÉES BRUTES'!AD$3:AD$42,MATCH(LARGE(IF('DONNÉES BRUTES'!C$3:C$42="Industrie",'DONNÉES BRUTES'!AB$3:AB$42+(ROW('DONNÉES BRUTES'!A$3:A$42)-ROW('DONNÉES BRUTES'!A$3))/1000,0),5),IF('DONNÉES BRUTES'!C$3:C$42="Industrie",'DONNÉES BRUTES'!AB$3:AB$42+(ROW('DONNÉES BRUTES'!A$3:A$42)-ROW('DONNÉES BRUTES'!A$3))/1000,0),0))),"—")</f>
        <v>Neutre</v>
      </c>
      <c r="R15" s="397"/>
    </row>
    <row r="16" spans="1:18" ht="15.9" customHeight="1" x14ac:dyDescent="0.3">
      <c r="A16" s="246"/>
      <c r="B16" s="416">
        <v>6</v>
      </c>
      <c r="C16" s="417" t="str">
        <f t="array" ref="C16">IFERROR(IF(6&gt;COUNTIF('DONNÉES BRUTES'!C$3:C$42,"Industrie"),"",INDEX('DONNÉES BRUTES'!A$3:A$42,MATCH(LARGE(IF('DONNÉES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SPX.L</v>
      </c>
      <c r="D16" s="417" t="str">
        <f t="array" ref="D16">IFERROR(IF(6&gt;COUNTIF('DONNÉES BRUTES'!C$3:C$42,"Industrie"),"",INDEX('DONNÉES BRUTES'!B$3:B$42,MATCH(LARGE(IF('DONNÉES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Spirax Group plc</v>
      </c>
      <c r="E16" s="418" t="str">
        <f t="array" ref="E16">IFERROR(IF(6&gt;COUNTIF('DONNÉES BRUTES'!C$3:C$42,"Industrie"),"",INT(LARGE(IF('DONNÉES BRUTES'!C$3:C$42="Industrie",'DONNÉES BRUTES'!AB$3:AB$42+(ROW('DONNÉES BRUTES'!A$3:A$42)-ROW('DONNÉES BRUTES'!A$3))/1000,0),6))&amp;"/100"),"—")</f>
        <v>45/100</v>
      </c>
      <c r="F16" s="416">
        <f t="array" ref="F16">IFERROR(IF(6&gt;COUNTIF('DONNÉES BRUTES'!C$3:C$42,"Industrie"),"",INDEX('DONNÉES BRUTES'!Y$3:Y$42,MATCH(LARGE(IF('DONNÉES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21</v>
      </c>
      <c r="G16" s="416">
        <f t="array" ref="G16">IFERROR(IF(6&gt;COUNTIF('DONNÉES BRUTES'!C$3:C$42,"Industrie"),"",INDEX('DONNÉES BRUTES'!Z$3:Z$42,MATCH(LARGE(IF('DONNÉES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27</v>
      </c>
      <c r="H16" s="416">
        <f t="array" ref="H16">IFERROR(IF(6&gt;COUNTIF('DONNÉES BRUTES'!C$3:C$42,"Industrie"),"",INDEX('DONNÉES BRUTES'!AA$3:AA$42,MATCH(LARGE(IF('DONNÉES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74</v>
      </c>
      <c r="I16" s="416" t="str">
        <f t="array" ref="I16">IFERROR(IF(6&gt;COUNTIF('DONNÉES BRUTES'!C$3:C$42,"Industrie"),"",INDEX('DONNÉES BRUTES'!M$3:M$42,MATCH(LARGE(IF('DONNÉES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76.5%</v>
      </c>
      <c r="J16" s="416" t="str">
        <f t="array" ref="J16">IFERROR(IF(6&gt;COUNTIF('DONNÉES BRUTES'!C$3:C$42,"Industrie"),"",INDEX('DONNÉES BRUTES'!N$3:N$42,MATCH(LARGE(IF('DONNÉES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22.1%</v>
      </c>
      <c r="K16" s="416" t="str">
        <f t="array" ref="K16">IFERROR(IF(6&gt;COUNTIF('DONNÉES BRUTES'!C$3:C$42,"Industrie"),"",INDEX('DONNÉES BRUTES'!O$3:O$42,MATCH(LARGE(IF('DONNÉES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9.6%</v>
      </c>
      <c r="L16" s="416" t="str">
        <f t="array" ref="L16">IFERROR(IF(6&gt;COUNTIF('DONNÉES BRUTES'!C$3:C$42,"Industrie"),"",INDEX('DONNÉES BRUTES'!P$3:P$42,MATCH(LARGE(IF('DONNÉES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—</v>
      </c>
      <c r="M16" s="416" t="str">
        <f t="array" ref="M16">IFERROR(IF(6&gt;COUNTIF('DONNÉES BRUTES'!C$3:C$42,"Industrie"),"",INDEX('DONNÉES BRUTES'!Q$3:Q$42,MATCH(LARGE(IF('DONNÉES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—</v>
      </c>
      <c r="N16" s="416">
        <f t="array" ref="N16">IFERROR(IF(6&gt;COUNTIF('DONNÉES BRUTES'!C$3:C$42,"Industrie"),"",INDEX('DONNÉES BRUTES'!S$3:S$42,MATCH(LARGE(IF('DONNÉES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1.85</v>
      </c>
      <c r="O16" s="419" t="str">
        <f t="array" ref="O16">IFERROR(IF(6&gt;COUNTIF('DONNÉES BRUTES'!C$3:C$42,"Industrie"),"",INDEX('DONNÉES BRUTES'!T$3:T$42,MATCH(LARGE(IF('DONNÉES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—</v>
      </c>
      <c r="P16" s="427" t="str">
        <f t="array" ref="P16">IFERROR(IF(6&gt;COUNTIF('DONNÉES BRUTES'!C$3:C$42,"Industrie"),"",INDEX('DONNÉES BRUTES'!U$3:U$42,MATCH(LARGE(IF('DONNÉES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—</v>
      </c>
      <c r="Q16" s="397" t="str">
        <f t="array" ref="Q16">IFERROR(IF(6&gt;COUNTIF('DONNÉES BRUTES'!C$3:C$42,"Industrie"),"",INDEX('DONNÉES BRUTES'!AD$3:AD$42,MATCH(LARGE(IF('DONNÉES BRUTES'!C$3:C$42="Industrie",'DONNÉES BRUTES'!AB$3:AB$42+(ROW('DONNÉES BRUTES'!A$3:A$42)-ROW('DONNÉES BRUTES'!A$3))/1000,0),6),IF('DONNÉES BRUTES'!C$3:C$42="Industrie",'DONNÉES BRUTES'!AB$3:AB$42+(ROW('DONNÉES BRUTES'!A$3:A$42)-ROW('DONNÉES BRUTES'!A$3))/1000,0),0))),"—")</f>
        <v>Neutre</v>
      </c>
      <c r="R16" s="397"/>
    </row>
    <row r="17" spans="1:26" ht="15.9" customHeight="1" x14ac:dyDescent="0.3">
      <c r="A17" s="247"/>
      <c r="B17" s="421">
        <v>7</v>
      </c>
      <c r="C17" s="422" t="str">
        <f t="array" ref="C17">IFERROR(IF(7&gt;COUNTIF('DONNÉES BRUTES'!C$3:C$42,"Industrie"),"",INDEX('DONNÉES BRUTES'!A$3:A$42,MATCH(LARGE(IF('DONNÉES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D17" s="422" t="str">
        <f t="array" ref="D17">IFERROR(IF(7&gt;COUNTIF('DONNÉES BRUTES'!C$3:C$42,"Industrie"),"",INDEX('DONNÉES BRUTES'!B$3:B$42,MATCH(LARGE(IF('DONNÉES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E17" s="423" t="str">
        <f t="array" ref="E17">IFERROR(IF(7&gt;COUNTIF('DONNÉES BRUTES'!C$3:C$42,"Industrie"),"",INT(LARGE(IF('DONNÉES BRUTES'!C$3:C$42="Industrie",'DONNÉES BRUTES'!AB$3:AB$42+(ROW('DONNÉES BRUTES'!A$3:A$42)-ROW('DONNÉES BRUTES'!A$3))/1000,0),7))&amp;"/100"),"—")</f>
        <v/>
      </c>
      <c r="F17" s="421" t="str">
        <f t="array" ref="F17">IFERROR(IF(7&gt;COUNTIF('DONNÉES BRUTES'!C$3:C$42,"Industrie"),"",INDEX('DONNÉES BRUTES'!Y$3:Y$42,MATCH(LARGE(IF('DONNÉES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G17" s="421" t="str">
        <f t="array" ref="G17">IFERROR(IF(7&gt;COUNTIF('DONNÉES BRUTES'!C$3:C$42,"Industrie"),"",INDEX('DONNÉES BRUTES'!Z$3:Z$42,MATCH(LARGE(IF('DONNÉES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H17" s="421" t="str">
        <f t="array" ref="H17">IFERROR(IF(7&gt;COUNTIF('DONNÉES BRUTES'!C$3:C$42,"Industrie"),"",INDEX('DONNÉES BRUTES'!AA$3:AA$42,MATCH(LARGE(IF('DONNÉES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I17" s="421" t="str">
        <f t="array" ref="I17">IFERROR(IF(7&gt;COUNTIF('DONNÉES BRUTES'!C$3:C$42,"Industrie"),"",INDEX('DONNÉES BRUTES'!M$3:M$42,MATCH(LARGE(IF('DONNÉES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J17" s="421" t="str">
        <f t="array" ref="J17">IFERROR(IF(7&gt;COUNTIF('DONNÉES BRUTES'!C$3:C$42,"Industrie"),"",INDEX('DONNÉES BRUTES'!N$3:N$42,MATCH(LARGE(IF('DONNÉES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K17" s="421" t="str">
        <f t="array" ref="K17">IFERROR(IF(7&gt;COUNTIF('DONNÉES BRUTES'!C$3:C$42,"Industrie"),"",INDEX('DONNÉES BRUTES'!O$3:O$42,MATCH(LARGE(IF('DONNÉES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L17" s="421" t="str">
        <f t="array" ref="L17">IFERROR(IF(7&gt;COUNTIF('DONNÉES BRUTES'!C$3:C$42,"Industrie"),"",INDEX('DONNÉES BRUTES'!P$3:P$42,MATCH(LARGE(IF('DONNÉES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M17" s="421" t="str">
        <f t="array" ref="M17">IFERROR(IF(7&gt;COUNTIF('DONNÉES BRUTES'!C$3:C$42,"Industrie"),"",INDEX('DONNÉES BRUTES'!Q$3:Q$42,MATCH(LARGE(IF('DONNÉES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N17" s="421" t="str">
        <f t="array" ref="N17">IFERROR(IF(7&gt;COUNTIF('DONNÉES BRUTES'!C$3:C$42,"Industrie"),"",INDEX('DONNÉES BRUTES'!S$3:S$42,MATCH(LARGE(IF('DONNÉES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O17" s="421" t="str">
        <f t="array" ref="O17">IFERROR(IF(7&gt;COUNTIF('DONNÉES BRUTES'!C$3:C$42,"Industrie"),"",INDEX('DONNÉES BRUTES'!T$3:T$42,MATCH(LARGE(IF('DONNÉES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P17" s="421" t="str">
        <f t="array" ref="P17">IFERROR(IF(7&gt;COUNTIF('DONNÉES BRUTES'!C$3:C$42,"Industrie"),"",INDEX('DONNÉES BRUTES'!U$3:U$42,MATCH(LARGE(IF('DONNÉES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Q17" s="397" t="str">
        <f t="array" ref="Q17">IFERROR(IF(7&gt;COUNTIF('DONNÉES BRUTES'!C$3:C$42,"Industrie"),"",INDEX('DONNÉES BRUTES'!AD$3:AD$42,MATCH(LARGE(IF('DONNÉES BRUTES'!C$3:C$42="Industrie",'DONNÉES BRUTES'!AB$3:AB$42+(ROW('DONNÉES BRUTES'!A$3:A$42)-ROW('DONNÉES BRUTES'!A$3))/1000,0),7),IF('DONNÉES BRUTES'!C$3:C$42="Industrie",'DONNÉES BRUTES'!AB$3:AB$42+(ROW('DONNÉES BRUTES'!A$3:A$42)-ROW('DONNÉES BRUTES'!A$3))/1000,0),0))),"—")</f>
        <v/>
      </c>
      <c r="R17" s="397"/>
    </row>
    <row r="18" spans="1:26" ht="15.9" customHeight="1" x14ac:dyDescent="0.3">
      <c r="A18" s="410"/>
      <c r="B18" s="428">
        <v>8</v>
      </c>
      <c r="C18" s="429" t="str">
        <f t="array" ref="C18">IFERROR(IF(8&gt;COUNTIF('DONNÉES BRUTES'!C$3:C$42,"Industrie"),"",INDEX('DONNÉES BRUTES'!A$3:A$42,MATCH(LARGE(IF('DONNÉES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D18" s="429" t="str">
        <f t="array" ref="D18">IFERROR(IF(8&gt;COUNTIF('DONNÉES BRUTES'!C$3:C$42,"Industrie"),"",INDEX('DONNÉES BRUTES'!B$3:B$42,MATCH(LARGE(IF('DONNÉES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E18" s="428" t="str">
        <f t="array" ref="E18">IFERROR(IF(8&gt;COUNTIF('DONNÉES BRUTES'!C$3:C$42,"Industrie"),"",INT(LARGE(IF('DONNÉES BRUTES'!C$3:C$42="Industrie",'DONNÉES BRUTES'!AB$3:AB$42+(ROW('DONNÉES BRUTES'!A$3:A$42)-ROW('DONNÉES BRUTES'!A$3))/1000,0),8))&amp;"/100"),"—")</f>
        <v/>
      </c>
      <c r="F18" s="428" t="str">
        <f t="array" ref="F18">IFERROR(IF(8&gt;COUNTIF('DONNÉES BRUTES'!C$3:C$42,"Industrie"),"",INDEX('DONNÉES BRUTES'!Y$3:Y$42,MATCH(LARGE(IF('DONNÉES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G18" s="428" t="str">
        <f t="array" ref="G18">IFERROR(IF(8&gt;COUNTIF('DONNÉES BRUTES'!C$3:C$42,"Industrie"),"",INDEX('DONNÉES BRUTES'!Z$3:Z$42,MATCH(LARGE(IF('DONNÉES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H18" s="428" t="str">
        <f t="array" ref="H18">IFERROR(IF(8&gt;COUNTIF('DONNÉES BRUTES'!C$3:C$42,"Industrie"),"",INDEX('DONNÉES BRUTES'!AA$3:AA$42,MATCH(LARGE(IF('DONNÉES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I18" s="428" t="str">
        <f t="array" ref="I18">IFERROR(IF(8&gt;COUNTIF('DONNÉES BRUTES'!C$3:C$42,"Industrie"),"",INDEX('DONNÉES BRUTES'!M$3:M$42,MATCH(LARGE(IF('DONNÉES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J18" s="428" t="str">
        <f t="array" ref="J18">IFERROR(IF(8&gt;COUNTIF('DONNÉES BRUTES'!C$3:C$42,"Industrie"),"",INDEX('DONNÉES BRUTES'!N$3:N$42,MATCH(LARGE(IF('DONNÉES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K18" s="428" t="str">
        <f t="array" ref="K18">IFERROR(IF(8&gt;COUNTIF('DONNÉES BRUTES'!C$3:C$42,"Industrie"),"",INDEX('DONNÉES BRUTES'!O$3:O$42,MATCH(LARGE(IF('DONNÉES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L18" s="428" t="str">
        <f t="array" ref="L18">IFERROR(IF(8&gt;COUNTIF('DONNÉES BRUTES'!C$3:C$42,"Industrie"),"",INDEX('DONNÉES BRUTES'!P$3:P$42,MATCH(LARGE(IF('DONNÉES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M18" s="428" t="str">
        <f t="array" ref="M18">IFERROR(IF(8&gt;COUNTIF('DONNÉES BRUTES'!C$3:C$42,"Industrie"),"",INDEX('DONNÉES BRUTES'!Q$3:Q$42,MATCH(LARGE(IF('DONNÉES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N18" s="428" t="str">
        <f t="array" ref="N18">IFERROR(IF(8&gt;COUNTIF('DONNÉES BRUTES'!C$3:C$42,"Industrie"),"",INDEX('DONNÉES BRUTES'!S$3:S$42,MATCH(LARGE(IF('DONNÉES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O18" s="430" t="str">
        <f t="array" ref="O18">IFERROR(IF(8&gt;COUNTIF('DONNÉES BRUTES'!C$3:C$42,"Industrie"),"",INDEX('DONNÉES BRUTES'!T$3:T$42,MATCH(LARGE(IF('DONNÉES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P18" s="431" t="str">
        <f t="array" ref="P18">IFERROR(IF(8&gt;COUNTIF('DONNÉES BRUTES'!C$3:C$42,"Industrie"),"",INDEX('DONNÉES BRUTES'!U$3:U$42,MATCH(LARGE(IF('DONNÉES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Q18" s="397" t="str">
        <f t="array" ref="Q18">IFERROR(IF(8&gt;COUNTIF('DONNÉES BRUTES'!C$3:C$42,"Industrie"),"",INDEX('DONNÉES BRUTES'!AD$3:AD$42,MATCH(LARGE(IF('DONNÉES BRUTES'!C$3:C$42="Industrie",'DONNÉES BRUTES'!AB$3:AB$42+(ROW('DONNÉES BRUTES'!A$3:A$42)-ROW('DONNÉES BRUTES'!A$3))/1000,0),8),IF('DONNÉES BRUTES'!C$3:C$42="Industrie",'DONNÉES BRUTES'!AB$3:AB$42+(ROW('DONNÉES BRUTES'!A$3:A$42)-ROW('DONNÉES BRUTES'!A$3))/1000,0),0))),"—")</f>
        <v/>
      </c>
      <c r="R18" s="397"/>
    </row>
    <row r="19" spans="1:26" ht="15.9" customHeight="1" x14ac:dyDescent="0.3">
      <c r="A19" s="247"/>
      <c r="B19" s="421">
        <v>9</v>
      </c>
      <c r="C19" s="422" t="str">
        <f t="array" ref="C19">IFERROR(IF(9&gt;COUNTIF('DONNÉES BRUTES'!C$3:C$42,"Industrie"),"",INDEX('DONNÉES BRUTES'!A$3:A$42,MATCH(LARGE(IF('DONNÉES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D19" s="422" t="str">
        <f t="array" ref="D19">IFERROR(IF(9&gt;COUNTIF('DONNÉES BRUTES'!C$3:C$42,"Industrie"),"",INDEX('DONNÉES BRUTES'!B$3:B$42,MATCH(LARGE(IF('DONNÉES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E19" s="423" t="str">
        <f t="array" ref="E19">IFERROR(IF(9&gt;COUNTIF('DONNÉES BRUTES'!C$3:C$42,"Industrie"),"",INT(LARGE(IF('DONNÉES BRUTES'!C$3:C$42="Industrie",'DONNÉES BRUTES'!AB$3:AB$42+(ROW('DONNÉES BRUTES'!A$3:A$42)-ROW('DONNÉES BRUTES'!A$3))/1000,0),9))&amp;"/100"),"—")</f>
        <v/>
      </c>
      <c r="F19" s="421" t="str">
        <f t="array" ref="F19">IFERROR(IF(9&gt;COUNTIF('DONNÉES BRUTES'!C$3:C$42,"Industrie"),"",INDEX('DONNÉES BRUTES'!Y$3:Y$42,MATCH(LARGE(IF('DONNÉES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G19" s="421" t="str">
        <f t="array" ref="G19">IFERROR(IF(9&gt;COUNTIF('DONNÉES BRUTES'!C$3:C$42,"Industrie"),"",INDEX('DONNÉES BRUTES'!Z$3:Z$42,MATCH(LARGE(IF('DONNÉES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H19" s="421" t="str">
        <f t="array" ref="H19">IFERROR(IF(9&gt;COUNTIF('DONNÉES BRUTES'!C$3:C$42,"Industrie"),"",INDEX('DONNÉES BRUTES'!AA$3:AA$42,MATCH(LARGE(IF('DONNÉES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I19" s="421" t="str">
        <f t="array" ref="I19">IFERROR(IF(9&gt;COUNTIF('DONNÉES BRUTES'!C$3:C$42,"Industrie"),"",INDEX('DONNÉES BRUTES'!M$3:M$42,MATCH(LARGE(IF('DONNÉES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J19" s="421" t="str">
        <f t="array" ref="J19">IFERROR(IF(9&gt;COUNTIF('DONNÉES BRUTES'!C$3:C$42,"Industrie"),"",INDEX('DONNÉES BRUTES'!N$3:N$42,MATCH(LARGE(IF('DONNÉES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K19" s="421" t="str">
        <f t="array" ref="K19">IFERROR(IF(9&gt;COUNTIF('DONNÉES BRUTES'!C$3:C$42,"Industrie"),"",INDEX('DONNÉES BRUTES'!O$3:O$42,MATCH(LARGE(IF('DONNÉES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L19" s="421" t="str">
        <f t="array" ref="L19">IFERROR(IF(9&gt;COUNTIF('DONNÉES BRUTES'!C$3:C$42,"Industrie"),"",INDEX('DONNÉES BRUTES'!P$3:P$42,MATCH(LARGE(IF('DONNÉES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M19" s="421" t="str">
        <f t="array" ref="M19">IFERROR(IF(9&gt;COUNTIF('DONNÉES BRUTES'!C$3:C$42,"Industrie"),"",INDEX('DONNÉES BRUTES'!Q$3:Q$42,MATCH(LARGE(IF('DONNÉES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N19" s="421" t="str">
        <f t="array" ref="N19">IFERROR(IF(9&gt;COUNTIF('DONNÉES BRUTES'!C$3:C$42,"Industrie"),"",INDEX('DONNÉES BRUTES'!S$3:S$42,MATCH(LARGE(IF('DONNÉES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O19" s="426" t="str">
        <f t="array" ref="O19">IFERROR(IF(9&gt;COUNTIF('DONNÉES BRUTES'!C$3:C$42,"Industrie"),"",INDEX('DONNÉES BRUTES'!T$3:T$42,MATCH(LARGE(IF('DONNÉES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P19" s="426" t="str">
        <f t="array" ref="P19">IFERROR(IF(9&gt;COUNTIF('DONNÉES BRUTES'!C$3:C$42,"Industrie"),"",INDEX('DONNÉES BRUTES'!U$3:U$42,MATCH(LARGE(IF('DONNÉES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Q19" s="397" t="str">
        <f t="array" ref="Q19">IFERROR(IF(9&gt;COUNTIF('DONNÉES BRUTES'!C$3:C$42,"Industrie"),"",INDEX('DONNÉES BRUTES'!AD$3:AD$42,MATCH(LARGE(IF('DONNÉES BRUTES'!C$3:C$42="Industrie",'DONNÉES BRUTES'!AB$3:AB$42+(ROW('DONNÉES BRUTES'!A$3:A$42)-ROW('DONNÉES BRUTES'!A$3))/1000,0),9),IF('DONNÉES BRUTES'!C$3:C$42="Industrie",'DONNÉES BRUTES'!AB$3:AB$42+(ROW('DONNÉES BRUTES'!A$3:A$42)-ROW('DONNÉES BRUTES'!A$3))/1000,0),0))),"—")</f>
        <v/>
      </c>
      <c r="R19" s="397"/>
    </row>
    <row r="20" spans="1:26" ht="15.9" customHeight="1" x14ac:dyDescent="0.3">
      <c r="A20" s="246"/>
      <c r="B20" s="416">
        <v>10</v>
      </c>
      <c r="C20" s="417" t="str">
        <f t="array" ref="C20">IFERROR(IF(10&gt;COUNTIF('DONNÉES BRUTES'!C$3:C$42,"Industrie"),"",INDEX('DONNÉES BRUTES'!A$3:A$42,MATCH(LARGE(IF('DONNÉES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D20" s="417" t="str">
        <f t="array" ref="D20">IFERROR(IF(10&gt;COUNTIF('DONNÉES BRUTES'!C$3:C$42,"Industrie"),"",INDEX('DONNÉES BRUTES'!B$3:B$42,MATCH(LARGE(IF('DONNÉES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E20" s="418" t="str">
        <f t="array" ref="E20">IFERROR(IF(10&gt;COUNTIF('DONNÉES BRUTES'!C$3:C$42,"Industrie"),"",INT(LARGE(IF('DONNÉES BRUTES'!C$3:C$42="Industrie",'DONNÉES BRUTES'!AB$3:AB$42+(ROW('DONNÉES BRUTES'!A$3:A$42)-ROW('DONNÉES BRUTES'!A$3))/1000,0),10))&amp;"/100"),"—")</f>
        <v/>
      </c>
      <c r="F20" s="416" t="str">
        <f t="array" ref="F20">IFERROR(IF(10&gt;COUNTIF('DONNÉES BRUTES'!C$3:C$42,"Industrie"),"",INDEX('DONNÉES BRUTES'!Y$3:Y$42,MATCH(LARGE(IF('DONNÉES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G20" s="416" t="str">
        <f t="array" ref="G20">IFERROR(IF(10&gt;COUNTIF('DONNÉES BRUTES'!C$3:C$42,"Industrie"),"",INDEX('DONNÉES BRUTES'!Z$3:Z$42,MATCH(LARGE(IF('DONNÉES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H20" s="416" t="str">
        <f t="array" ref="H20">IFERROR(IF(10&gt;COUNTIF('DONNÉES BRUTES'!C$3:C$42,"Industrie"),"",INDEX('DONNÉES BRUTES'!AA$3:AA$42,MATCH(LARGE(IF('DONNÉES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I20" s="416" t="str">
        <f t="array" ref="I20">IFERROR(IF(10&gt;COUNTIF('DONNÉES BRUTES'!C$3:C$42,"Industrie"),"",INDEX('DONNÉES BRUTES'!M$3:M$42,MATCH(LARGE(IF('DONNÉES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J20" s="416" t="str">
        <f t="array" ref="J20">IFERROR(IF(10&gt;COUNTIF('DONNÉES BRUTES'!C$3:C$42,"Industrie"),"",INDEX('DONNÉES BRUTES'!N$3:N$42,MATCH(LARGE(IF('DONNÉES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K20" s="416" t="str">
        <f t="array" ref="K20">IFERROR(IF(10&gt;COUNTIF('DONNÉES BRUTES'!C$3:C$42,"Industrie"),"",INDEX('DONNÉES BRUTES'!O$3:O$42,MATCH(LARGE(IF('DONNÉES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L20" s="416" t="str">
        <f t="array" ref="L20">IFERROR(IF(10&gt;COUNTIF('DONNÉES BRUTES'!C$3:C$42,"Industrie"),"",INDEX('DONNÉES BRUTES'!P$3:P$42,MATCH(LARGE(IF('DONNÉES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M20" s="416" t="str">
        <f t="array" ref="M20">IFERROR(IF(10&gt;COUNTIF('DONNÉES BRUTES'!C$3:C$42,"Industrie"),"",INDEX('DONNÉES BRUTES'!Q$3:Q$42,MATCH(LARGE(IF('DONNÉES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N20" s="416" t="str">
        <f t="array" ref="N20">IFERROR(IF(10&gt;COUNTIF('DONNÉES BRUTES'!C$3:C$42,"Industrie"),"",INDEX('DONNÉES BRUTES'!S$3:S$42,MATCH(LARGE(IF('DONNÉES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O20" s="416" t="str">
        <f t="array" ref="O20">IFERROR(IF(10&gt;COUNTIF('DONNÉES BRUTES'!C$3:C$42,"Industrie"),"",INDEX('DONNÉES BRUTES'!T$3:T$42,MATCH(LARGE(IF('DONNÉES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P20" s="416" t="str">
        <f t="array" ref="P20">IFERROR(IF(10&gt;COUNTIF('DONNÉES BRUTES'!C$3:C$42,"Industrie"),"",INDEX('DONNÉES BRUTES'!U$3:U$42,MATCH(LARGE(IF('DONNÉES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Q20" s="397" t="str">
        <f t="array" ref="Q20">IFERROR(IF(10&gt;COUNTIF('DONNÉES BRUTES'!C$3:C$42,"Industrie"),"",INDEX('DONNÉES BRUTES'!AD$3:AD$42,MATCH(LARGE(IF('DONNÉES BRUTES'!C$3:C$42="Industrie",'DONNÉES BRUTES'!AB$3:AB$42+(ROW('DONNÉES BRUTES'!A$3:A$42)-ROW('DONNÉES BRUTES'!A$3))/1000,0),10),IF('DONNÉES BRUTES'!C$3:C$42="Industrie",'DONNÉES BRUTES'!AB$3:AB$42+(ROW('DONNÉES BRUTES'!A$3:A$42)-ROW('DONNÉES BRUTES'!A$3))/1000,0),0))),"—")</f>
        <v/>
      </c>
      <c r="R20" s="397"/>
    </row>
    <row r="21" spans="1:26" ht="15.9" customHeight="1" x14ac:dyDescent="0.3">
      <c r="A21" s="247"/>
      <c r="B21" s="421">
        <v>11</v>
      </c>
      <c r="C21" s="422" t="str">
        <f t="array" ref="C21">IFERROR(IF(11&gt;COUNTIF('DONNÉES BRUTES'!C$3:C$42,"Industrie"),"",INDEX('DONNÉES BRUTES'!A$3:A$42,MATCH(LARGE(IF('DONNÉES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D21" s="422" t="str">
        <f t="array" ref="D21">IFERROR(IF(11&gt;COUNTIF('DONNÉES BRUTES'!C$3:C$42,"Industrie"),"",INDEX('DONNÉES BRUTES'!B$3:B$42,MATCH(LARGE(IF('DONNÉES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E21" s="423" t="str">
        <f t="array" ref="E21">IFERROR(IF(11&gt;COUNTIF('DONNÉES BRUTES'!C$3:C$42,"Industrie"),"",INT(LARGE(IF('DONNÉES BRUTES'!C$3:C$42="Industrie",'DONNÉES BRUTES'!AB$3:AB$42+(ROW('DONNÉES BRUTES'!A$3:A$42)-ROW('DONNÉES BRUTES'!A$3))/1000,0),11))&amp;"/100"),"—")</f>
        <v/>
      </c>
      <c r="F21" s="421" t="str">
        <f t="array" ref="F21">IFERROR(IF(11&gt;COUNTIF('DONNÉES BRUTES'!C$3:C$42,"Industrie"),"",INDEX('DONNÉES BRUTES'!Y$3:Y$42,MATCH(LARGE(IF('DONNÉES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G21" s="421" t="str">
        <f t="array" ref="G21">IFERROR(IF(11&gt;COUNTIF('DONNÉES BRUTES'!C$3:C$42,"Industrie"),"",INDEX('DONNÉES BRUTES'!Z$3:Z$42,MATCH(LARGE(IF('DONNÉES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H21" s="421" t="str">
        <f t="array" ref="H21">IFERROR(IF(11&gt;COUNTIF('DONNÉES BRUTES'!C$3:C$42,"Industrie"),"",INDEX('DONNÉES BRUTES'!AA$3:AA$42,MATCH(LARGE(IF('DONNÉES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I21" s="421" t="str">
        <f t="array" ref="I21">IFERROR(IF(11&gt;COUNTIF('DONNÉES BRUTES'!C$3:C$42,"Industrie"),"",INDEX('DONNÉES BRUTES'!M$3:M$42,MATCH(LARGE(IF('DONNÉES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J21" s="421" t="str">
        <f t="array" ref="J21">IFERROR(IF(11&gt;COUNTIF('DONNÉES BRUTES'!C$3:C$42,"Industrie"),"",INDEX('DONNÉES BRUTES'!N$3:N$42,MATCH(LARGE(IF('DONNÉES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K21" s="421" t="str">
        <f t="array" ref="K21">IFERROR(IF(11&gt;COUNTIF('DONNÉES BRUTES'!C$3:C$42,"Industrie"),"",INDEX('DONNÉES BRUTES'!O$3:O$42,MATCH(LARGE(IF('DONNÉES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L21" s="421" t="str">
        <f t="array" ref="L21">IFERROR(IF(11&gt;COUNTIF('DONNÉES BRUTES'!C$3:C$42,"Industrie"),"",INDEX('DONNÉES BRUTES'!P$3:P$42,MATCH(LARGE(IF('DONNÉES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M21" s="421" t="str">
        <f t="array" ref="M21">IFERROR(IF(11&gt;COUNTIF('DONNÉES BRUTES'!C$3:C$42,"Industrie"),"",INDEX('DONNÉES BRUTES'!Q$3:Q$42,MATCH(LARGE(IF('DONNÉES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N21" s="421" t="str">
        <f t="array" ref="N21">IFERROR(IF(11&gt;COUNTIF('DONNÉES BRUTES'!C$3:C$42,"Industrie"),"",INDEX('DONNÉES BRUTES'!S$3:S$42,MATCH(LARGE(IF('DONNÉES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O21" s="421" t="str">
        <f t="array" ref="O21">IFERROR(IF(11&gt;COUNTIF('DONNÉES BRUTES'!C$3:C$42,"Industrie"),"",INDEX('DONNÉES BRUTES'!T$3:T$42,MATCH(LARGE(IF('DONNÉES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P21" s="421" t="str">
        <f t="array" ref="P21">IFERROR(IF(11&gt;COUNTIF('DONNÉES BRUTES'!C$3:C$42,"Industrie"),"",INDEX('DONNÉES BRUTES'!U$3:U$42,MATCH(LARGE(IF('DONNÉES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Q21" s="397" t="str">
        <f t="array" ref="Q21">IFERROR(IF(11&gt;COUNTIF('DONNÉES BRUTES'!C$3:C$42,"Industrie"),"",INDEX('DONNÉES BRUTES'!AD$3:AD$42,MATCH(LARGE(IF('DONNÉES BRUTES'!C$3:C$42="Industrie",'DONNÉES BRUTES'!AB$3:AB$42+(ROW('DONNÉES BRUTES'!A$3:A$42)-ROW('DONNÉES BRUTES'!A$3))/1000,0),11),IF('DONNÉES BRUTES'!C$3:C$42="Industrie",'DONNÉES BRUTES'!AB$3:AB$42+(ROW('DONNÉES BRUTES'!A$3:A$42)-ROW('DONNÉES BRUTES'!A$3))/1000,0),0))),"—")</f>
        <v/>
      </c>
      <c r="R21" s="397"/>
    </row>
    <row r="22" spans="1:26" ht="15.9" customHeight="1" x14ac:dyDescent="0.3">
      <c r="A22" s="246"/>
      <c r="B22" s="416">
        <v>12</v>
      </c>
      <c r="C22" s="417" t="str">
        <f t="array" ref="C22">IFERROR(IF(12&gt;COUNTIF('DONNÉES BRUTES'!C$3:C$42,"Industrie"),"",INDEX('DONNÉES BRUTES'!A$3:A$42,MATCH(LARGE(IF('DONNÉES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D22" s="417" t="str">
        <f t="array" ref="D22">IFERROR(IF(12&gt;COUNTIF('DONNÉES BRUTES'!C$3:C$42,"Industrie"),"",INDEX('DONNÉES BRUTES'!B$3:B$42,MATCH(LARGE(IF('DONNÉES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E22" s="418" t="str">
        <f t="array" ref="E22">IFERROR(IF(12&gt;COUNTIF('DONNÉES BRUTES'!C$3:C$42,"Industrie"),"",INT(LARGE(IF('DONNÉES BRUTES'!C$3:C$42="Industrie",'DONNÉES BRUTES'!AB$3:AB$42+(ROW('DONNÉES BRUTES'!A$3:A$42)-ROW('DONNÉES BRUTES'!A$3))/1000,0),12))&amp;"/100"),"—")</f>
        <v/>
      </c>
      <c r="F22" s="416" t="str">
        <f t="array" ref="F22">IFERROR(IF(12&gt;COUNTIF('DONNÉES BRUTES'!C$3:C$42,"Industrie"),"",INDEX('DONNÉES BRUTES'!Y$3:Y$42,MATCH(LARGE(IF('DONNÉES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G22" s="416" t="str">
        <f t="array" ref="G22">IFERROR(IF(12&gt;COUNTIF('DONNÉES BRUTES'!C$3:C$42,"Industrie"),"",INDEX('DONNÉES BRUTES'!Z$3:Z$42,MATCH(LARGE(IF('DONNÉES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H22" s="416" t="str">
        <f t="array" ref="H22">IFERROR(IF(12&gt;COUNTIF('DONNÉES BRUTES'!C$3:C$42,"Industrie"),"",INDEX('DONNÉES BRUTES'!AA$3:AA$42,MATCH(LARGE(IF('DONNÉES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I22" s="416" t="str">
        <f t="array" ref="I22">IFERROR(IF(12&gt;COUNTIF('DONNÉES BRUTES'!C$3:C$42,"Industrie"),"",INDEX('DONNÉES BRUTES'!M$3:M$42,MATCH(LARGE(IF('DONNÉES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J22" s="416" t="str">
        <f t="array" ref="J22">IFERROR(IF(12&gt;COUNTIF('DONNÉES BRUTES'!C$3:C$42,"Industrie"),"",INDEX('DONNÉES BRUTES'!N$3:N$42,MATCH(LARGE(IF('DONNÉES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K22" s="416" t="str">
        <f t="array" ref="K22">IFERROR(IF(12&gt;COUNTIF('DONNÉES BRUTES'!C$3:C$42,"Industrie"),"",INDEX('DONNÉES BRUTES'!O$3:O$42,MATCH(LARGE(IF('DONNÉES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L22" s="416" t="str">
        <f t="array" ref="L22">IFERROR(IF(12&gt;COUNTIF('DONNÉES BRUTES'!C$3:C$42,"Industrie"),"",INDEX('DONNÉES BRUTES'!P$3:P$42,MATCH(LARGE(IF('DONNÉES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M22" s="416" t="str">
        <f t="array" ref="M22">IFERROR(IF(12&gt;COUNTIF('DONNÉES BRUTES'!C$3:C$42,"Industrie"),"",INDEX('DONNÉES BRUTES'!Q$3:Q$42,MATCH(LARGE(IF('DONNÉES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N22" s="416" t="str">
        <f t="array" ref="N22">IFERROR(IF(12&gt;COUNTIF('DONNÉES BRUTES'!C$3:C$42,"Industrie"),"",INDEX('DONNÉES BRUTES'!S$3:S$42,MATCH(LARGE(IF('DONNÉES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O22" s="416" t="str">
        <f t="array" ref="O22">IFERROR(IF(12&gt;COUNTIF('DONNÉES BRUTES'!C$3:C$42,"Industrie"),"",INDEX('DONNÉES BRUTES'!T$3:T$42,MATCH(LARGE(IF('DONNÉES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P22" s="416" t="str">
        <f t="array" ref="P22">IFERROR(IF(12&gt;COUNTIF('DONNÉES BRUTES'!C$3:C$42,"Industrie"),"",INDEX('DONNÉES BRUTES'!U$3:U$42,MATCH(LARGE(IF('DONNÉES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Q22" s="397" t="str">
        <f t="array" ref="Q22">IFERROR(IF(12&gt;COUNTIF('DONNÉES BRUTES'!C$3:C$42,"Industrie"),"",INDEX('DONNÉES BRUTES'!AD$3:AD$42,MATCH(LARGE(IF('DONNÉES BRUTES'!C$3:C$42="Industrie",'DONNÉES BRUTES'!AB$3:AB$42+(ROW('DONNÉES BRUTES'!A$3:A$42)-ROW('DONNÉES BRUTES'!A$3))/1000,0),12),IF('DONNÉES BRUTES'!C$3:C$42="Industrie",'DONNÉES BRUTES'!AB$3:AB$42+(ROW('DONNÉES BRUTES'!A$3:A$42)-ROW('DONNÉES BRUTES'!A$3))/1000,0),0))),"—")</f>
        <v/>
      </c>
      <c r="R22" s="397"/>
    </row>
    <row r="23" spans="1:26" ht="15.9" customHeight="1" x14ac:dyDescent="0.3">
      <c r="A23" s="247"/>
      <c r="B23" s="421">
        <v>13</v>
      </c>
      <c r="C23" s="422" t="str">
        <f t="array" ref="C23">IFERROR(IF(13&gt;COUNTIF('DONNÉES BRUTES'!C$3:C$42,"Industrie"),"",INDEX('DONNÉES BRUTES'!A$3:A$42,MATCH(LARGE(IF('DONNÉES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D23" s="422" t="str">
        <f t="array" ref="D23">IFERROR(IF(13&gt;COUNTIF('DONNÉES BRUTES'!C$3:C$42,"Industrie"),"",INDEX('DONNÉES BRUTES'!B$3:B$42,MATCH(LARGE(IF('DONNÉES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E23" s="423" t="str">
        <f t="array" ref="E23">IFERROR(IF(13&gt;COUNTIF('DONNÉES BRUTES'!C$3:C$42,"Industrie"),"",INT(LARGE(IF('DONNÉES BRUTES'!C$3:C$42="Industrie",'DONNÉES BRUTES'!AB$3:AB$42+(ROW('DONNÉES BRUTES'!A$3:A$42)-ROW('DONNÉES BRUTES'!A$3))/1000,0),13))&amp;"/100"),"—")</f>
        <v/>
      </c>
      <c r="F23" s="421" t="str">
        <f t="array" ref="F23">IFERROR(IF(13&gt;COUNTIF('DONNÉES BRUTES'!C$3:C$42,"Industrie"),"",INDEX('DONNÉES BRUTES'!Y$3:Y$42,MATCH(LARGE(IF('DONNÉES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G23" s="421" t="str">
        <f t="array" ref="G23">IFERROR(IF(13&gt;COUNTIF('DONNÉES BRUTES'!C$3:C$42,"Industrie"),"",INDEX('DONNÉES BRUTES'!Z$3:Z$42,MATCH(LARGE(IF('DONNÉES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H23" s="421" t="str">
        <f t="array" ref="H23">IFERROR(IF(13&gt;COUNTIF('DONNÉES BRUTES'!C$3:C$42,"Industrie"),"",INDEX('DONNÉES BRUTES'!AA$3:AA$42,MATCH(LARGE(IF('DONNÉES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I23" s="421" t="str">
        <f t="array" ref="I23">IFERROR(IF(13&gt;COUNTIF('DONNÉES BRUTES'!C$3:C$42,"Industrie"),"",INDEX('DONNÉES BRUTES'!M$3:M$42,MATCH(LARGE(IF('DONNÉES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J23" s="421" t="str">
        <f t="array" ref="J23">IFERROR(IF(13&gt;COUNTIF('DONNÉES BRUTES'!C$3:C$42,"Industrie"),"",INDEX('DONNÉES BRUTES'!N$3:N$42,MATCH(LARGE(IF('DONNÉES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K23" s="421" t="str">
        <f t="array" ref="K23">IFERROR(IF(13&gt;COUNTIF('DONNÉES BRUTES'!C$3:C$42,"Industrie"),"",INDEX('DONNÉES BRUTES'!O$3:O$42,MATCH(LARGE(IF('DONNÉES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L23" s="421" t="str">
        <f t="array" ref="L23">IFERROR(IF(13&gt;COUNTIF('DONNÉES BRUTES'!C$3:C$42,"Industrie"),"",INDEX('DONNÉES BRUTES'!P$3:P$42,MATCH(LARGE(IF('DONNÉES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M23" s="421" t="str">
        <f t="array" ref="M23">IFERROR(IF(13&gt;COUNTIF('DONNÉES BRUTES'!C$3:C$42,"Industrie"),"",INDEX('DONNÉES BRUTES'!Q$3:Q$42,MATCH(LARGE(IF('DONNÉES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N23" s="421" t="str">
        <f t="array" ref="N23">IFERROR(IF(13&gt;COUNTIF('DONNÉES BRUTES'!C$3:C$42,"Industrie"),"",INDEX('DONNÉES BRUTES'!S$3:S$42,MATCH(LARGE(IF('DONNÉES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O23" s="421" t="str">
        <f t="array" ref="O23">IFERROR(IF(13&gt;COUNTIF('DONNÉES BRUTES'!C$3:C$42,"Industrie"),"",INDEX('DONNÉES BRUTES'!T$3:T$42,MATCH(LARGE(IF('DONNÉES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P23" s="421" t="str">
        <f t="array" ref="P23">IFERROR(IF(13&gt;COUNTIF('DONNÉES BRUTES'!C$3:C$42,"Industrie"),"",INDEX('DONNÉES BRUTES'!U$3:U$42,MATCH(LARGE(IF('DONNÉES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Q23" s="397" t="str">
        <f t="array" ref="Q23">IFERROR(IF(13&gt;COUNTIF('DONNÉES BRUTES'!C$3:C$42,"Industrie"),"",INDEX('DONNÉES BRUTES'!AD$3:AD$42,MATCH(LARGE(IF('DONNÉES BRUTES'!C$3:C$42="Industrie",'DONNÉES BRUTES'!AB$3:AB$42+(ROW('DONNÉES BRUTES'!A$3:A$42)-ROW('DONNÉES BRUTES'!A$3))/1000,0),13),IF('DONNÉES BRUTES'!C$3:C$42="Industrie",'DONNÉES BRUTES'!AB$3:AB$42+(ROW('DONNÉES BRUTES'!A$3:A$42)-ROW('DONNÉES BRUTES'!A$3))/1000,0),0))),"—")</f>
        <v/>
      </c>
      <c r="R23" s="397"/>
    </row>
    <row r="24" spans="1:26" ht="15.9" customHeight="1" x14ac:dyDescent="0.3">
      <c r="A24" s="246"/>
      <c r="B24" s="416">
        <v>14</v>
      </c>
      <c r="C24" s="417" t="str">
        <f t="array" ref="C24">IFERROR(IF(14&gt;COUNTIF('DONNÉES BRUTES'!C$3:C$42,"Industrie"),"",INDEX('DONNÉES BRUTES'!A$3:A$42,MATCH(LARGE(IF('DONNÉES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D24" s="417" t="str">
        <f t="array" ref="D24">IFERROR(IF(14&gt;COUNTIF('DONNÉES BRUTES'!C$3:C$42,"Industrie"),"",INDEX('DONNÉES BRUTES'!B$3:B$42,MATCH(LARGE(IF('DONNÉES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E24" s="432" t="str">
        <f t="array" ref="E24">IFERROR(IF(14&gt;COUNTIF('DONNÉES BRUTES'!C$3:C$42,"Industrie"),"",INT(LARGE(IF('DONNÉES BRUTES'!C$3:C$42="Industrie",'DONNÉES BRUTES'!AB$3:AB$42+(ROW('DONNÉES BRUTES'!A$3:A$42)-ROW('DONNÉES BRUTES'!A$3))/1000,0),14))&amp;"/100"),"—")</f>
        <v/>
      </c>
      <c r="F24" s="419" t="str">
        <f t="array" ref="F24">IFERROR(IF(14&gt;COUNTIF('DONNÉES BRUTES'!C$3:C$42,"Industrie"),"",INDEX('DONNÉES BRUTES'!Y$3:Y$42,MATCH(LARGE(IF('DONNÉES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G24" s="419" t="str">
        <f t="array" ref="G24">IFERROR(IF(14&gt;COUNTIF('DONNÉES BRUTES'!C$3:C$42,"Industrie"),"",INDEX('DONNÉES BRUTES'!Z$3:Z$42,MATCH(LARGE(IF('DONNÉES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H24" s="419" t="str">
        <f t="array" ref="H24">IFERROR(IF(14&gt;COUNTIF('DONNÉES BRUTES'!C$3:C$42,"Industrie"),"",INDEX('DONNÉES BRUTES'!AA$3:AA$42,MATCH(LARGE(IF('DONNÉES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I24" s="419" t="str">
        <f t="array" ref="I24">IFERROR(IF(14&gt;COUNTIF('DONNÉES BRUTES'!C$3:C$42,"Industrie"),"",INDEX('DONNÉES BRUTES'!M$3:M$42,MATCH(LARGE(IF('DONNÉES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J24" s="419" t="str">
        <f t="array" ref="J24">IFERROR(IF(14&gt;COUNTIF('DONNÉES BRUTES'!C$3:C$42,"Industrie"),"",INDEX('DONNÉES BRUTES'!N$3:N$42,MATCH(LARGE(IF('DONNÉES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K24" s="427" t="str">
        <f t="array" ref="K24">IFERROR(IF(14&gt;COUNTIF('DONNÉES BRUTES'!C$3:C$42,"Industrie"),"",INDEX('DONNÉES BRUTES'!O$3:O$42,MATCH(LARGE(IF('DONNÉES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L24" s="427" t="str">
        <f t="array" ref="L24">IFERROR(IF(14&gt;COUNTIF('DONNÉES BRUTES'!C$3:C$42,"Industrie"),"",INDEX('DONNÉES BRUTES'!P$3:P$42,MATCH(LARGE(IF('DONNÉES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M24" s="419" t="str">
        <f t="array" ref="M24">IFERROR(IF(14&gt;COUNTIF('DONNÉES BRUTES'!C$3:C$42,"Industrie"),"",INDEX('DONNÉES BRUTES'!Q$3:Q$42,MATCH(LARGE(IF('DONNÉES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N24" s="416" t="str">
        <f t="array" ref="N24">IFERROR(IF(14&gt;COUNTIF('DONNÉES BRUTES'!C$3:C$42,"Industrie"),"",INDEX('DONNÉES BRUTES'!S$3:S$42,MATCH(LARGE(IF('DONNÉES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O24" s="416" t="str">
        <f t="array" ref="O24">IFERROR(IF(14&gt;COUNTIF('DONNÉES BRUTES'!C$3:C$42,"Industrie"),"",INDEX('DONNÉES BRUTES'!T$3:T$42,MATCH(LARGE(IF('DONNÉES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P24" s="416" t="str">
        <f t="array" ref="P24">IFERROR(IF(14&gt;COUNTIF('DONNÉES BRUTES'!C$3:C$42,"Industrie"),"",INDEX('DONNÉES BRUTES'!U$3:U$42,MATCH(LARGE(IF('DONNÉES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Q24" s="397" t="str">
        <f t="array" ref="Q24">IFERROR(IF(14&gt;COUNTIF('DONNÉES BRUTES'!C$3:C$42,"Industrie"),"",INDEX('DONNÉES BRUTES'!AD$3:AD$42,MATCH(LARGE(IF('DONNÉES BRUTES'!C$3:C$42="Industrie",'DONNÉES BRUTES'!AB$3:AB$42+(ROW('DONNÉES BRUTES'!A$3:A$42)-ROW('DONNÉES BRUTES'!A$3))/1000,0),14),IF('DONNÉES BRUTES'!C$3:C$42="Industrie",'DONNÉES BRUTES'!AB$3:AB$42+(ROW('DONNÉES BRUTES'!A$3:A$42)-ROW('DONNÉES BRUTES'!A$3))/1000,0),0))),"—")</f>
        <v/>
      </c>
      <c r="R24" s="397"/>
    </row>
    <row r="25" spans="1:26" ht="15.9" customHeight="1" x14ac:dyDescent="0.3">
      <c r="A25" s="247"/>
      <c r="B25" s="421">
        <v>15</v>
      </c>
      <c r="C25" s="422" t="str">
        <f t="array" ref="C25">IFERROR(IF(15&gt;COUNTIF('DONNÉES BRUTES'!C$3:C$42,"Industrie"),"",INDEX('DONNÉES BRUTES'!A$3:A$42,MATCH(LARGE(IF('DONNÉES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D25" s="422" t="str">
        <f t="array" ref="D25">IFERROR(IF(15&gt;COUNTIF('DONNÉES BRUTES'!C$3:C$42,"Industrie"),"",INDEX('DONNÉES BRUTES'!B$3:B$42,MATCH(LARGE(IF('DONNÉES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E25" s="433" t="str">
        <f t="array" ref="E25">IFERROR(IF(15&gt;COUNTIF('DONNÉES BRUTES'!C$3:C$42,"Industrie"),"",INT(LARGE(IF('DONNÉES BRUTES'!C$3:C$42="Industrie",'DONNÉES BRUTES'!AB$3:AB$42+(ROW('DONNÉES BRUTES'!A$3:A$42)-ROW('DONNÉES BRUTES'!A$3))/1000,0),15))&amp;"/100"),"—")</f>
        <v/>
      </c>
      <c r="F25" s="424" t="str">
        <f t="array" ref="F25">IFERROR(IF(15&gt;COUNTIF('DONNÉES BRUTES'!C$3:C$42,"Industrie"),"",INDEX('DONNÉES BRUTES'!Y$3:Y$42,MATCH(LARGE(IF('DONNÉES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G25" s="424" t="str">
        <f t="array" ref="G25">IFERROR(IF(15&gt;COUNTIF('DONNÉES BRUTES'!C$3:C$42,"Industrie"),"",INDEX('DONNÉES BRUTES'!Z$3:Z$42,MATCH(LARGE(IF('DONNÉES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H25" s="424" t="str">
        <f t="array" ref="H25">IFERROR(IF(15&gt;COUNTIF('DONNÉES BRUTES'!C$3:C$42,"Industrie"),"",INDEX('DONNÉES BRUTES'!AA$3:AA$42,MATCH(LARGE(IF('DONNÉES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I25" s="424" t="str">
        <f t="array" ref="I25">IFERROR(IF(15&gt;COUNTIF('DONNÉES BRUTES'!C$3:C$42,"Industrie"),"",INDEX('DONNÉES BRUTES'!M$3:M$42,MATCH(LARGE(IF('DONNÉES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J25" s="424" t="str">
        <f t="array" ref="J25">IFERROR(IF(15&gt;COUNTIF('DONNÉES BRUTES'!C$3:C$42,"Industrie"),"",INDEX('DONNÉES BRUTES'!N$3:N$42,MATCH(LARGE(IF('DONNÉES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K25" s="424" t="str">
        <f t="array" ref="K25">IFERROR(IF(15&gt;COUNTIF('DONNÉES BRUTES'!C$3:C$42,"Industrie"),"",INDEX('DONNÉES BRUTES'!O$3:O$42,MATCH(LARGE(IF('DONNÉES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L25" s="424" t="str">
        <f t="array" ref="L25">IFERROR(IF(15&gt;COUNTIF('DONNÉES BRUTES'!C$3:C$42,"Industrie"),"",INDEX('DONNÉES BRUTES'!P$3:P$42,MATCH(LARGE(IF('DONNÉES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M25" s="424" t="str">
        <f t="array" ref="M25">IFERROR(IF(15&gt;COUNTIF('DONNÉES BRUTES'!C$3:C$42,"Industrie"),"",INDEX('DONNÉES BRUTES'!Q$3:Q$42,MATCH(LARGE(IF('DONNÉES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N25" s="421" t="str">
        <f t="array" ref="N25">IFERROR(IF(15&gt;COUNTIF('DONNÉES BRUTES'!C$3:C$42,"Industrie"),"",INDEX('DONNÉES BRUTES'!S$3:S$42,MATCH(LARGE(IF('DONNÉES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O25" s="421" t="str">
        <f t="array" ref="O25">IFERROR(IF(15&gt;COUNTIF('DONNÉES BRUTES'!C$3:C$42,"Industrie"),"",INDEX('DONNÉES BRUTES'!T$3:T$42,MATCH(LARGE(IF('DONNÉES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P25" s="421" t="str">
        <f t="array" ref="P25">IFERROR(IF(15&gt;COUNTIF('DONNÉES BRUTES'!C$3:C$42,"Industrie"),"",INDEX('DONNÉES BRUTES'!U$3:U$42,MATCH(LARGE(IF('DONNÉES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Q25" s="397" t="str">
        <f t="array" ref="Q25">IFERROR(IF(15&gt;COUNTIF('DONNÉES BRUTES'!C$3:C$42,"Industrie"),"",INDEX('DONNÉES BRUTES'!AD$3:AD$42,MATCH(LARGE(IF('DONNÉES BRUTES'!C$3:C$42="Industrie",'DONNÉES BRUTES'!AB$3:AB$42+(ROW('DONNÉES BRUTES'!A$3:A$42)-ROW('DONNÉES BRUTES'!A$3))/1000,0),15),IF('DONNÉES BRUTES'!C$3:C$42="Industrie",'DONNÉES BRUTES'!AB$3:AB$42+(ROW('DONNÉES BRUTES'!A$3:A$42)-ROW('DONNÉES BRUTES'!A$3))/1000,0),0))),"—")</f>
        <v/>
      </c>
      <c r="R25" s="397"/>
    </row>
    <row r="26" spans="1:26" ht="15.9" customHeight="1" x14ac:dyDescent="0.3">
      <c r="A26" s="133"/>
      <c r="B26" s="411"/>
      <c r="C26" s="412" t="str">
        <f t="array" ref="C26">IFERROR(IF(16&gt;COUNTIF('DONNÉES BRUTES'!C$3:C$42,"Industrie"),"",INDEX('DONNÉES BRUTES'!A$3:A$42,MATCH(LARGE(IF('DONNÉES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D26" s="412" t="str">
        <f t="array" ref="D26">IFERROR(IF(16&gt;COUNTIF('DONNÉES BRUTES'!C$3:C$42,"Industrie"),"",INDEX('DONNÉES BRUTES'!B$3:B$42,MATCH(LARGE(IF('DONNÉES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E26" s="413" t="str">
        <f t="array" ref="E26">IFERROR(IF(16&gt;COUNTIF('DONNÉES BRUTES'!C$3:C$42,"Industrie"),"",INT(LARGE(IF('DONNÉES BRUTES'!C$3:C$42="Industrie",'DONNÉES BRUTES'!AB$3:AB$42+(ROW('DONNÉES BRUTES'!A$3:A$42)-ROW('DONNÉES BRUTES'!A$3))/1000,0),16))&amp;"/100"),"—")</f>
        <v/>
      </c>
      <c r="F26" s="414" t="str">
        <f t="array" ref="F26">IFERROR(IF(16&gt;COUNTIF('DONNÉES BRUTES'!C$3:C$42,"Industrie"),"",INDEX('DONNÉES BRUTES'!Y$3:Y$42,MATCH(LARGE(IF('DONNÉES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G26" s="414" t="str">
        <f t="array" ref="G26">IFERROR(IF(16&gt;COUNTIF('DONNÉES BRUTES'!C$3:C$42,"Industrie"),"",INDEX('DONNÉES BRUTES'!Z$3:Z$42,MATCH(LARGE(IF('DONNÉES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H26" s="414" t="str">
        <f t="array" ref="H26">IFERROR(IF(16&gt;COUNTIF('DONNÉES BRUTES'!C$3:C$42,"Industrie"),"",INDEX('DONNÉES BRUTES'!AA$3:AA$42,MATCH(LARGE(IF('DONNÉES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I26" s="414" t="str">
        <f t="array" ref="I26">IFERROR(IF(16&gt;COUNTIF('DONNÉES BRUTES'!C$3:C$42,"Industrie"),"",INDEX('DONNÉES BRUTES'!M$3:M$42,MATCH(LARGE(IF('DONNÉES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J26" s="414" t="str">
        <f t="array" ref="J26">IFERROR(IF(16&gt;COUNTIF('DONNÉES BRUTES'!C$3:C$42,"Industrie"),"",INDEX('DONNÉES BRUTES'!N$3:N$42,MATCH(LARGE(IF('DONNÉES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K26" s="414" t="str">
        <f t="array" ref="K26">IFERROR(IF(16&gt;COUNTIF('DONNÉES BRUTES'!C$3:C$42,"Industrie"),"",INDEX('DONNÉES BRUTES'!O$3:O$42,MATCH(LARGE(IF('DONNÉES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L26" s="414" t="str">
        <f t="array" ref="L26">IFERROR(IF(16&gt;COUNTIF('DONNÉES BRUTES'!C$3:C$42,"Industrie"),"",INDEX('DONNÉES BRUTES'!P$3:P$42,MATCH(LARGE(IF('DONNÉES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M26" s="414" t="str">
        <f t="array" ref="M26">IFERROR(IF(16&gt;COUNTIF('DONNÉES BRUTES'!C$3:C$42,"Industrie"),"",INDEX('DONNÉES BRUTES'!Q$3:Q$42,MATCH(LARGE(IF('DONNÉES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N26" s="414" t="str">
        <f t="array" ref="N26">IFERROR(IF(16&gt;COUNTIF('DONNÉES BRUTES'!C$3:C$42,"Industrie"),"",INDEX('DONNÉES BRUTES'!S$3:S$42,MATCH(LARGE(IF('DONNÉES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O26" s="414" t="str">
        <f t="array" ref="O26">IFERROR(IF(16&gt;COUNTIF('DONNÉES BRUTES'!C$3:C$42,"Industrie"),"",INDEX('DONNÉES BRUTES'!T$3:T$42,MATCH(LARGE(IF('DONNÉES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P26" s="415" t="str">
        <f t="array" ref="P26">IFERROR(IF(16&gt;COUNTIF('DONNÉES BRUTES'!C$3:C$42,"Industrie"),"",INDEX('DONNÉES BRUTES'!U$3:U$42,MATCH(LARGE(IF('DONNÉES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  <c r="Q26" t="str">
        <f t="array" ref="Q26">IFERROR(IF(16&gt;COUNTIF('DONNÉES BRUTES'!C$3:C$42,"Industrie"),"",INDEX('DONNÉES BRUTES'!AD$3:AD$42,MATCH(LARGE(IF('DONNÉES BRUTES'!C$3:C$42="Industrie",'DONNÉES BRUTES'!AB$3:AB$42+(ROW('DONNÉES BRUTES'!A$3:A$42)-ROW('DONNÉES BRUTES'!A$3))/1000,0),16),IF('DONNÉES BRUTES'!C$3:C$42="Industrie",'DONNÉES BRUTES'!AB$3:AB$42+(ROW('DONNÉES BRUTES'!A$3:A$42)-ROW('DONNÉES BRUTES'!A$3))/1000,0),0))),"—")</f>
        <v/>
      </c>
    </row>
    <row r="27" spans="1:26" ht="15.9" customHeight="1" x14ac:dyDescent="0.3">
      <c r="A27" s="134"/>
      <c r="B27" s="131"/>
      <c r="C27" s="126" t="str">
        <f t="array" ref="C27">IFERROR(IF(17&gt;COUNTIF('DONNÉES BRUTES'!C$3:C$42,"Industrie"),"",INDEX('DONNÉES BRUTES'!A$3:A$42,MATCH(LARGE(IF('DONNÉES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D27" s="126" t="str">
        <f t="array" ref="D27">IFERROR(IF(17&gt;COUNTIF('DONNÉES BRUTES'!C$3:C$42,"Industrie"),"",INDEX('DONNÉES BRUTES'!B$3:B$42,MATCH(LARGE(IF('DONNÉES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E27" s="127" t="str">
        <f t="array" ref="E27">IFERROR(IF(17&gt;COUNTIF('DONNÉES BRUTES'!C$3:C$42,"Industrie"),"",INT(LARGE(IF('DONNÉES BRUTES'!C$3:C$42="Industrie",'DONNÉES BRUTES'!AB$3:AB$42+(ROW('DONNÉES BRUTES'!A$3:A$42)-ROW('DONNÉES BRUTES'!A$3))/1000,0),17))&amp;"/100"),"—")</f>
        <v/>
      </c>
      <c r="F27" s="125" t="str">
        <f t="array" ref="F27">IFERROR(IF(17&gt;COUNTIF('DONNÉES BRUTES'!C$3:C$42,"Industrie"),"",INDEX('DONNÉES BRUTES'!Y$3:Y$42,MATCH(LARGE(IF('DONNÉES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G27" s="125" t="str">
        <f t="array" ref="G27">IFERROR(IF(17&gt;COUNTIF('DONNÉES BRUTES'!C$3:C$42,"Industrie"),"",INDEX('DONNÉES BRUTES'!Z$3:Z$42,MATCH(LARGE(IF('DONNÉES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H27" s="125" t="str">
        <f t="array" ref="H27">IFERROR(IF(17&gt;COUNTIF('DONNÉES BRUTES'!C$3:C$42,"Industrie"),"",INDEX('DONNÉES BRUTES'!AA$3:AA$42,MATCH(LARGE(IF('DONNÉES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I27" s="125" t="str">
        <f t="array" ref="I27">IFERROR(IF(17&gt;COUNTIF('DONNÉES BRUTES'!C$3:C$42,"Industrie"),"",INDEX('DONNÉES BRUTES'!M$3:M$42,MATCH(LARGE(IF('DONNÉES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J27" s="125" t="str">
        <f t="array" ref="J27">IFERROR(IF(17&gt;COUNTIF('DONNÉES BRUTES'!C$3:C$42,"Industrie"),"",INDEX('DONNÉES BRUTES'!N$3:N$42,MATCH(LARGE(IF('DONNÉES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K27" s="125" t="str">
        <f t="array" ref="K27">IFERROR(IF(17&gt;COUNTIF('DONNÉES BRUTES'!C$3:C$42,"Industrie"),"",INDEX('DONNÉES BRUTES'!O$3:O$42,MATCH(LARGE(IF('DONNÉES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L27" s="125" t="str">
        <f t="array" ref="L27">IFERROR(IF(17&gt;COUNTIF('DONNÉES BRUTES'!C$3:C$42,"Industrie"),"",INDEX('DONNÉES BRUTES'!P$3:P$42,MATCH(LARGE(IF('DONNÉES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M27" s="125" t="str">
        <f t="array" ref="M27">IFERROR(IF(17&gt;COUNTIF('DONNÉES BRUTES'!C$3:C$42,"Industrie"),"",INDEX('DONNÉES BRUTES'!Q$3:Q$42,MATCH(LARGE(IF('DONNÉES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N27" s="125" t="str">
        <f t="array" ref="N27">IFERROR(IF(17&gt;COUNTIF('DONNÉES BRUTES'!C$3:C$42,"Industrie"),"",INDEX('DONNÉES BRUTES'!S$3:S$42,MATCH(LARGE(IF('DONNÉES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O27" s="125" t="str">
        <f t="array" ref="O27">IFERROR(IF(17&gt;COUNTIF('DONNÉES BRUTES'!C$3:C$42,"Industrie"),"",INDEX('DONNÉES BRUTES'!T$3:T$42,MATCH(LARGE(IF('DONNÉES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P27" s="128" t="str">
        <f t="array" ref="P27">IFERROR(IF(17&gt;COUNTIF('DONNÉES BRUTES'!C$3:C$42,"Industrie"),"",INDEX('DONNÉES BRUTES'!U$3:U$42,MATCH(LARGE(IF('DONNÉES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  <c r="Q27" t="str">
        <f t="array" ref="Q27">IFERROR(IF(17&gt;COUNTIF('DONNÉES BRUTES'!C$3:C$42,"Industrie"),"",INDEX('DONNÉES BRUTES'!AD$3:AD$42,MATCH(LARGE(IF('DONNÉES BRUTES'!C$3:C$42="Industrie",'DONNÉES BRUTES'!AB$3:AB$42+(ROW('DONNÉES BRUTES'!A$3:A$42)-ROW('DONNÉES BRUTES'!A$3))/1000,0),17),IF('DONNÉES BRUTES'!C$3:C$42="Industrie",'DONNÉES BRUTES'!AB$3:AB$42+(ROW('DONNÉES BRUTES'!A$3:A$42)-ROW('DONNÉES BRUTES'!A$3))/1000,0),0))),"—")</f>
        <v/>
      </c>
    </row>
    <row r="28" spans="1:26" ht="15.9" customHeight="1" x14ac:dyDescent="0.3">
      <c r="A28" s="133"/>
      <c r="B28" s="130"/>
      <c r="C28" s="122" t="str">
        <f t="array" ref="C28">IFERROR(IF(18&gt;COUNTIF('DONNÉES BRUTES'!C$3:C$42,"Industrie"),"",INDEX('DONNÉES BRUTES'!A$3:A$42,MATCH(LARGE(IF('DONNÉES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D28" s="122" t="str">
        <f t="array" ref="D28">IFERROR(IF(18&gt;COUNTIF('DONNÉES BRUTES'!C$3:C$42,"Industrie"),"",INDEX('DONNÉES BRUTES'!B$3:B$42,MATCH(LARGE(IF('DONNÉES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E28" s="123" t="str">
        <f t="array" ref="E28">IFERROR(IF(18&gt;COUNTIF('DONNÉES BRUTES'!C$3:C$42,"Industrie"),"",INT(LARGE(IF('DONNÉES BRUTES'!C$3:C$42="Industrie",'DONNÉES BRUTES'!AB$3:AB$42+(ROW('DONNÉES BRUTES'!A$3:A$42)-ROW('DONNÉES BRUTES'!A$3))/1000,0),18))&amp;"/100"),"—")</f>
        <v/>
      </c>
      <c r="F28" s="121" t="str">
        <f t="array" ref="F28">IFERROR(IF(18&gt;COUNTIF('DONNÉES BRUTES'!C$3:C$42,"Industrie"),"",INDEX('DONNÉES BRUTES'!Y$3:Y$42,MATCH(LARGE(IF('DONNÉES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G28" s="121" t="str">
        <f t="array" ref="G28">IFERROR(IF(18&gt;COUNTIF('DONNÉES BRUTES'!C$3:C$42,"Industrie"),"",INDEX('DONNÉES BRUTES'!Z$3:Z$42,MATCH(LARGE(IF('DONNÉES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H28" s="121" t="str">
        <f t="array" ref="H28">IFERROR(IF(18&gt;COUNTIF('DONNÉES BRUTES'!C$3:C$42,"Industrie"),"",INDEX('DONNÉES BRUTES'!AA$3:AA$42,MATCH(LARGE(IF('DONNÉES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I28" s="121" t="str">
        <f t="array" ref="I28">IFERROR(IF(18&gt;COUNTIF('DONNÉES BRUTES'!C$3:C$42,"Industrie"),"",INDEX('DONNÉES BRUTES'!M$3:M$42,MATCH(LARGE(IF('DONNÉES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J28" s="121" t="str">
        <f t="array" ref="J28">IFERROR(IF(18&gt;COUNTIF('DONNÉES BRUTES'!C$3:C$42,"Industrie"),"",INDEX('DONNÉES BRUTES'!N$3:N$42,MATCH(LARGE(IF('DONNÉES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K28" s="121" t="str">
        <f t="array" ref="K28">IFERROR(IF(18&gt;COUNTIF('DONNÉES BRUTES'!C$3:C$42,"Industrie"),"",INDEX('DONNÉES BRUTES'!O$3:O$42,MATCH(LARGE(IF('DONNÉES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L28" s="121" t="str">
        <f t="array" ref="L28">IFERROR(IF(18&gt;COUNTIF('DONNÉES BRUTES'!C$3:C$42,"Industrie"),"",INDEX('DONNÉES BRUTES'!P$3:P$42,MATCH(LARGE(IF('DONNÉES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M28" s="121" t="str">
        <f t="array" ref="M28">IFERROR(IF(18&gt;COUNTIF('DONNÉES BRUTES'!C$3:C$42,"Industrie"),"",INDEX('DONNÉES BRUTES'!Q$3:Q$42,MATCH(LARGE(IF('DONNÉES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N28" s="121" t="str">
        <f t="array" ref="N28">IFERROR(IF(18&gt;COUNTIF('DONNÉES BRUTES'!C$3:C$42,"Industrie"),"",INDEX('DONNÉES BRUTES'!S$3:S$42,MATCH(LARGE(IF('DONNÉES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O28" s="121" t="str">
        <f t="array" ref="O28">IFERROR(IF(18&gt;COUNTIF('DONNÉES BRUTES'!C$3:C$42,"Industrie"),"",INDEX('DONNÉES BRUTES'!T$3:T$42,MATCH(LARGE(IF('DONNÉES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P28" s="124" t="str">
        <f t="array" ref="P28">IFERROR(IF(18&gt;COUNTIF('DONNÉES BRUTES'!C$3:C$42,"Industrie"),"",INDEX('DONNÉES BRUTES'!U$3:U$42,MATCH(LARGE(IF('DONNÉES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Q28" t="str">
        <f t="array" ref="Q28">IFERROR(IF(18&gt;COUNTIF('DONNÉES BRUTES'!C$3:C$42,"Industrie"),"",INDEX('DONNÉES BRUTES'!AD$3:AD$42,MATCH(LARGE(IF('DONNÉES BRUTES'!C$3:C$42="Industrie",'DONNÉES BRUTES'!AB$3:AB$42+(ROW('DONNÉES BRUTES'!A$3:A$42)-ROW('DONNÉES BRUTES'!A$3))/1000,0),18),IF('DONNÉES BRUTES'!C$3:C$42="Industrie",'DONNÉES BRUTES'!AB$3:AB$42+(ROW('DONNÉES BRUTES'!A$3:A$42)-ROW('DONNÉES BRUTES'!A$3))/1000,0),0))),"—")</f>
        <v/>
      </c>
      <c r="S28" t="s">
        <v>10</v>
      </c>
      <c r="T28" t="s">
        <v>11</v>
      </c>
      <c r="U28" t="s">
        <v>15</v>
      </c>
      <c r="V28" t="s">
        <v>16</v>
      </c>
      <c r="W28" t="s">
        <v>17</v>
      </c>
      <c r="X28" t="s">
        <v>15</v>
      </c>
      <c r="Y28" t="s">
        <v>16</v>
      </c>
      <c r="Z28" t="s">
        <v>17</v>
      </c>
    </row>
    <row r="29" spans="1:26" ht="15.9" customHeight="1" x14ac:dyDescent="0.3">
      <c r="A29" s="134"/>
      <c r="B29" s="131"/>
      <c r="C29" s="126" t="str">
        <f t="array" ref="C29">IFERROR(IF(19&gt;COUNTIF('DONNÉES BRUTES'!C$3:C$42,"Industrie"),"",INDEX('DONNÉES BRUTES'!A$3:A$42,MATCH(LARGE(IF('DONNÉES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D29" s="126" t="str">
        <f t="array" ref="D29">IFERROR(IF(19&gt;COUNTIF('DONNÉES BRUTES'!C$3:C$42,"Industrie"),"",INDEX('DONNÉES BRUTES'!B$3:B$42,MATCH(LARGE(IF('DONNÉES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E29" s="127" t="str">
        <f t="array" ref="E29">IFERROR(IF(19&gt;COUNTIF('DONNÉES BRUTES'!C$3:C$42,"Industrie"),"",INT(LARGE(IF('DONNÉES BRUTES'!C$3:C$42="Industrie",'DONNÉES BRUTES'!AB$3:AB$42+(ROW('DONNÉES BRUTES'!A$3:A$42)-ROW('DONNÉES BRUTES'!A$3))/1000,0),19))&amp;"/100"),"—")</f>
        <v/>
      </c>
      <c r="F29" s="125" t="str">
        <f t="array" ref="F29">IFERROR(IF(19&gt;COUNTIF('DONNÉES BRUTES'!C$3:C$42,"Industrie"),"",INDEX('DONNÉES BRUTES'!Y$3:Y$42,MATCH(LARGE(IF('DONNÉES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G29" s="125" t="str">
        <f t="array" ref="G29">IFERROR(IF(19&gt;COUNTIF('DONNÉES BRUTES'!C$3:C$42,"Industrie"),"",INDEX('DONNÉES BRUTES'!Z$3:Z$42,MATCH(LARGE(IF('DONNÉES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H29" s="125" t="str">
        <f t="array" ref="H29">IFERROR(IF(19&gt;COUNTIF('DONNÉES BRUTES'!C$3:C$42,"Industrie"),"",INDEX('DONNÉES BRUTES'!AA$3:AA$42,MATCH(LARGE(IF('DONNÉES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I29" s="125" t="str">
        <f t="array" ref="I29">IFERROR(IF(19&gt;COUNTIF('DONNÉES BRUTES'!C$3:C$42,"Industrie"),"",INDEX('DONNÉES BRUTES'!M$3:M$42,MATCH(LARGE(IF('DONNÉES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J29" s="125" t="str">
        <f t="array" ref="J29">IFERROR(IF(19&gt;COUNTIF('DONNÉES BRUTES'!C$3:C$42,"Industrie"),"",INDEX('DONNÉES BRUTES'!N$3:N$42,MATCH(LARGE(IF('DONNÉES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K29" s="125" t="str">
        <f t="array" ref="K29">IFERROR(IF(19&gt;COUNTIF('DONNÉES BRUTES'!C$3:C$42,"Industrie"),"",INDEX('DONNÉES BRUTES'!O$3:O$42,MATCH(LARGE(IF('DONNÉES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L29" s="125" t="str">
        <f t="array" ref="L29">IFERROR(IF(19&gt;COUNTIF('DONNÉES BRUTES'!C$3:C$42,"Industrie"),"",INDEX('DONNÉES BRUTES'!P$3:P$42,MATCH(LARGE(IF('DONNÉES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M29" s="125" t="str">
        <f t="array" ref="M29">IFERROR(IF(19&gt;COUNTIF('DONNÉES BRUTES'!C$3:C$42,"Industrie"),"",INDEX('DONNÉES BRUTES'!Q$3:Q$42,MATCH(LARGE(IF('DONNÉES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N29" s="125" t="str">
        <f t="array" ref="N29">IFERROR(IF(19&gt;COUNTIF('DONNÉES BRUTES'!C$3:C$42,"Industrie"),"",INDEX('DONNÉES BRUTES'!S$3:S$42,MATCH(LARGE(IF('DONNÉES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O29" s="125" t="str">
        <f t="array" ref="O29">IFERROR(IF(19&gt;COUNTIF('DONNÉES BRUTES'!C$3:C$42,"Industrie"),"",INDEX('DONNÉES BRUTES'!T$3:T$42,MATCH(LARGE(IF('DONNÉES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P29" s="128" t="str">
        <f t="array" ref="P29">IFERROR(IF(19&gt;COUNTIF('DONNÉES BRUTES'!C$3:C$42,"Industrie"),"",INDEX('DONNÉES BRUTES'!U$3:U$42,MATCH(LARGE(IF('DONNÉES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Q29" t="str">
        <f t="array" ref="Q29">IFERROR(IF(19&gt;COUNTIF('DONNÉES BRUTES'!C$3:C$42,"Industrie"),"",INDEX('DONNÉES BRUTES'!AD$3:AD$42,MATCH(LARGE(IF('DONNÉES BRUTES'!C$3:C$42="Industrie",'DONNÉES BRUTES'!AB$3:AB$42+(ROW('DONNÉES BRUTES'!A$3:A$42)-ROW('DONNÉES BRUTES'!A$3))/1000,0),19),IF('DONNÉES BRUTES'!C$3:C$42="Industrie",'DONNÉES BRUTES'!AB$3:AB$42+(ROW('DONNÉES BRUTES'!A$3:A$42)-ROW('DONNÉES BRUTES'!A$3))/1000,0),0))),"—")</f>
        <v/>
      </c>
      <c r="S29" t="s">
        <v>424</v>
      </c>
      <c r="T29">
        <v>0</v>
      </c>
      <c r="U29">
        <v>0</v>
      </c>
      <c r="V29">
        <v>0</v>
      </c>
      <c r="W29">
        <v>0</v>
      </c>
    </row>
    <row r="30" spans="1:26" ht="15.9" customHeight="1" x14ac:dyDescent="0.3">
      <c r="A30" s="144"/>
      <c r="B30" s="143"/>
      <c r="C30" s="140" t="str">
        <f t="array" ref="C30">IFERROR(IF(20&gt;COUNTIF('DONNÉES BRUTES'!C$3:C$42,"Industrie"),"",INDEX('DONNÉES BRUTES'!A$3:A$42,MATCH(LARGE(IF('DONNÉES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D30" s="140" t="str">
        <f t="array" ref="D30">IFERROR(IF(20&gt;COUNTIF('DONNÉES BRUTES'!C$3:C$42,"Industrie"),"",INDEX('DONNÉES BRUTES'!B$3:B$42,MATCH(LARGE(IF('DONNÉES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E30" s="141" t="str">
        <f t="array" ref="E30">IFERROR(IF(20&gt;COUNTIF('DONNÉES BRUTES'!C$3:C$42,"Industrie"),"",INT(LARGE(IF('DONNÉES BRUTES'!C$3:C$42="Industrie",'DONNÉES BRUTES'!AB$3:AB$42+(ROW('DONNÉES BRUTES'!A$3:A$42)-ROW('DONNÉES BRUTES'!A$3))/1000,0),20))&amp;"/100"),"—")</f>
        <v/>
      </c>
      <c r="F30" s="139" t="str">
        <f t="array" ref="F30">IFERROR(IF(20&gt;COUNTIF('DONNÉES BRUTES'!C$3:C$42,"Industrie"),"",INDEX('DONNÉES BRUTES'!Y$3:Y$42,MATCH(LARGE(IF('DONNÉES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G30" s="139" t="str">
        <f t="array" ref="G30">IFERROR(IF(20&gt;COUNTIF('DONNÉES BRUTES'!C$3:C$42,"Industrie"),"",INDEX('DONNÉES BRUTES'!Z$3:Z$42,MATCH(LARGE(IF('DONNÉES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H30" s="139" t="str">
        <f t="array" ref="H30">IFERROR(IF(20&gt;COUNTIF('DONNÉES BRUTES'!C$3:C$42,"Industrie"),"",INDEX('DONNÉES BRUTES'!AA$3:AA$42,MATCH(LARGE(IF('DONNÉES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I30" s="139" t="str">
        <f t="array" ref="I30">IFERROR(IF(20&gt;COUNTIF('DONNÉES BRUTES'!C$3:C$42,"Industrie"),"",INDEX('DONNÉES BRUTES'!M$3:M$42,MATCH(LARGE(IF('DONNÉES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J30" s="139" t="str">
        <f t="array" ref="J30">IFERROR(IF(20&gt;COUNTIF('DONNÉES BRUTES'!C$3:C$42,"Industrie"),"",INDEX('DONNÉES BRUTES'!N$3:N$42,MATCH(LARGE(IF('DONNÉES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K30" s="139" t="str">
        <f t="array" ref="K30">IFERROR(IF(20&gt;COUNTIF('DONNÉES BRUTES'!C$3:C$42,"Industrie"),"",INDEX('DONNÉES BRUTES'!O$3:O$42,MATCH(LARGE(IF('DONNÉES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L30" s="139" t="str">
        <f t="array" ref="L30">IFERROR(IF(20&gt;COUNTIF('DONNÉES BRUTES'!C$3:C$42,"Industrie"),"",INDEX('DONNÉES BRUTES'!P$3:P$42,MATCH(LARGE(IF('DONNÉES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M30" s="139" t="str">
        <f t="array" ref="M30">IFERROR(IF(20&gt;COUNTIF('DONNÉES BRUTES'!C$3:C$42,"Industrie"),"",INDEX('DONNÉES BRUTES'!Q$3:Q$42,MATCH(LARGE(IF('DONNÉES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N30" s="139" t="str">
        <f t="array" ref="N30">IFERROR(IF(20&gt;COUNTIF('DONNÉES BRUTES'!C$3:C$42,"Industrie"),"",INDEX('DONNÉES BRUTES'!S$3:S$42,MATCH(LARGE(IF('DONNÉES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O30" s="139" t="str">
        <f t="array" ref="O30">IFERROR(IF(20&gt;COUNTIF('DONNÉES BRUTES'!C$3:C$42,"Industrie"),"",INDEX('DONNÉES BRUTES'!T$3:T$42,MATCH(LARGE(IF('DONNÉES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P30" s="142" t="str">
        <f t="array" ref="P30">IFERROR(IF(20&gt;COUNTIF('DONNÉES BRUTES'!C$3:C$42,"Industrie"),"",INDEX('DONNÉES BRUTES'!U$3:U$42,MATCH(LARGE(IF('DONNÉES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Q30" t="str">
        <f t="array" ref="Q30">IFERROR(IF(20&gt;COUNTIF('DONNÉES BRUTES'!C$3:C$42,"Industrie"),"",INDEX('DONNÉES BRUTES'!AD$3:AD$42,MATCH(LARGE(IF('DONNÉES BRUTES'!C$3:C$42="Industrie",'DONNÉES BRUTES'!AB$3:AB$42+(ROW('DONNÉES BRUTES'!A$3:A$42)-ROW('DONNÉES BRUTES'!A$3))/1000,0),20),IF('DONNÉES BRUTES'!C$3:C$42="Industrie",'DONNÉES BRUTES'!AB$3:AB$42+(ROW('DONNÉES BRUTES'!A$3:A$42)-ROW('DONNÉES BRUTES'!A$3))/1000,0),0))),"—")</f>
        <v/>
      </c>
      <c r="S30" t="s">
        <v>425</v>
      </c>
      <c r="T30">
        <v>0</v>
      </c>
      <c r="U30">
        <v>0</v>
      </c>
      <c r="V30">
        <v>0</v>
      </c>
      <c r="W30">
        <v>0</v>
      </c>
    </row>
    <row r="31" spans="1:26" x14ac:dyDescent="0.3">
      <c r="S31" t="str">
        <f>IF(D13="","",LEFT(D13,14))</f>
        <v>Diploma PLC</v>
      </c>
      <c r="T31">
        <f>IF(E13="","",IFERROR(VALUE(LEFT(E13,FIND("/",E13)-1)),0))</f>
        <v>62</v>
      </c>
      <c r="U31">
        <f>IF(ISNUMBER(F13),F13,0)</f>
        <v>69</v>
      </c>
      <c r="V31">
        <f>IF(ISNUMBER(G13),G13,0)</f>
        <v>69</v>
      </c>
      <c r="W31">
        <f>IF(ISNUMBER(H13),H13,0)</f>
        <v>86</v>
      </c>
      <c r="X31">
        <f>IF(ISNUMBER(F13),F13,"")</f>
        <v>69</v>
      </c>
      <c r="Y31">
        <f>IF(ISNUMBER(G13),G13,"")</f>
        <v>69</v>
      </c>
      <c r="Z31">
        <f>IF(ISNUMBER(H13),H13,"")</f>
        <v>86</v>
      </c>
    </row>
    <row r="32" spans="1:26" x14ac:dyDescent="0.3">
      <c r="B32" t="s">
        <v>426</v>
      </c>
      <c r="E32" t="s">
        <v>377</v>
      </c>
      <c r="J32" t="str">
        <f t="array" ref="J32">IFERROR(TEXT(MEDIAN(IF('DONNÉES BRUTES'!C$3:C$42="Industrie",IF(ISNUMBER('DONNÉES BRUTES'!N$3:N$42),'DONNÉES BRUTES'!N$3:N$42))),"0.0%"),"—")</f>
        <v>—</v>
      </c>
      <c r="P32" t="str">
        <f t="array" ref="P32">IFERROR(TEXT(MEDIAN(IF('DONNÉES BRUTES'!C$3:C$42="Industrie",IF(ISNUMBER('DONNÉES BRUTES'!U$3:U$42),'DONNÉES BRUTES'!U$3:U$42))),"0.00"),"—")</f>
        <v>0.04</v>
      </c>
      <c r="S32" t="s">
        <v>427</v>
      </c>
      <c r="T32">
        <v>0</v>
      </c>
      <c r="U32">
        <v>0</v>
      </c>
      <c r="V32">
        <v>0</v>
      </c>
      <c r="W32">
        <v>0</v>
      </c>
    </row>
    <row r="33" spans="2:26" x14ac:dyDescent="0.3">
      <c r="B33" t="s">
        <v>428</v>
      </c>
      <c r="S33" t="str">
        <f>IF(D15="","",LEFT(D15,14))</f>
        <v>Sunbelt Rental</v>
      </c>
      <c r="T33">
        <f>IF(E15="","",IFERROR(VALUE(LEFT(E15,FIND("/",E15)-1)),0))</f>
        <v>47</v>
      </c>
      <c r="U33">
        <f>IF(ISNUMBER(F15),F15,0)</f>
        <v>54</v>
      </c>
      <c r="V33">
        <f>IF(ISNUMBER(G15),G15,0)</f>
        <v>57</v>
      </c>
      <c r="W33">
        <f>IF(ISNUMBER(H15),H15,0)</f>
        <v>0</v>
      </c>
      <c r="X33">
        <f t="shared" ref="X33:Z39" si="0">IF(ISNUMBER(F15),F15,"")</f>
        <v>54</v>
      </c>
      <c r="Y33">
        <f t="shared" si="0"/>
        <v>57</v>
      </c>
      <c r="Z33">
        <f t="shared" si="0"/>
        <v>0</v>
      </c>
    </row>
    <row r="34" spans="2:26" x14ac:dyDescent="0.3">
      <c r="S34" t="str">
        <f t="shared" ref="S34:S39" si="1">IF(D16="","",LEFT(D16,12))</f>
        <v>Spirax Group</v>
      </c>
      <c r="T34">
        <f t="shared" ref="T34:T39" si="2">IF(E16="","",IFERROR(VALUE(LEFT(E16,FIND("/",E16)-1)),""))</f>
        <v>45</v>
      </c>
      <c r="W34" t="str">
        <f t="shared" ref="W34:W39" si="3">IF(D16="","",LEFT(D16,12))</f>
        <v>Spirax Group</v>
      </c>
      <c r="X34">
        <f t="shared" si="0"/>
        <v>21</v>
      </c>
      <c r="Y34">
        <f t="shared" si="0"/>
        <v>27</v>
      </c>
      <c r="Z34">
        <f t="shared" si="0"/>
        <v>74</v>
      </c>
    </row>
    <row r="35" spans="2:26" x14ac:dyDescent="0.3">
      <c r="S35" t="str">
        <f t="shared" si="1"/>
        <v/>
      </c>
      <c r="T35" t="str">
        <f t="shared" si="2"/>
        <v/>
      </c>
      <c r="W35" t="str">
        <f t="shared" si="3"/>
        <v/>
      </c>
      <c r="X35" t="str">
        <f t="shared" si="0"/>
        <v/>
      </c>
      <c r="Y35" t="str">
        <f t="shared" si="0"/>
        <v/>
      </c>
      <c r="Z35" t="str">
        <f t="shared" si="0"/>
        <v/>
      </c>
    </row>
    <row r="36" spans="2:26" x14ac:dyDescent="0.3">
      <c r="S36" t="str">
        <f t="shared" si="1"/>
        <v/>
      </c>
      <c r="T36" t="str">
        <f t="shared" si="2"/>
        <v/>
      </c>
      <c r="W36" t="str">
        <f t="shared" si="3"/>
        <v/>
      </c>
      <c r="X36" t="str">
        <f t="shared" si="0"/>
        <v/>
      </c>
      <c r="Y36" t="str">
        <f t="shared" si="0"/>
        <v/>
      </c>
      <c r="Z36" t="str">
        <f t="shared" si="0"/>
        <v/>
      </c>
    </row>
    <row r="37" spans="2:26" x14ac:dyDescent="0.3">
      <c r="S37" t="str">
        <f t="shared" si="1"/>
        <v/>
      </c>
      <c r="T37" t="str">
        <f t="shared" si="2"/>
        <v/>
      </c>
      <c r="W37" t="str">
        <f t="shared" si="3"/>
        <v/>
      </c>
      <c r="X37" t="str">
        <f t="shared" si="0"/>
        <v/>
      </c>
      <c r="Y37" t="str">
        <f t="shared" si="0"/>
        <v/>
      </c>
      <c r="Z37" t="str">
        <f t="shared" si="0"/>
        <v/>
      </c>
    </row>
    <row r="38" spans="2:26" x14ac:dyDescent="0.3">
      <c r="S38" t="str">
        <f t="shared" si="1"/>
        <v/>
      </c>
      <c r="T38" t="str">
        <f t="shared" si="2"/>
        <v/>
      </c>
      <c r="W38" t="str">
        <f t="shared" si="3"/>
        <v/>
      </c>
      <c r="X38" t="str">
        <f t="shared" si="0"/>
        <v/>
      </c>
      <c r="Y38" t="str">
        <f t="shared" si="0"/>
        <v/>
      </c>
      <c r="Z38" t="str">
        <f t="shared" si="0"/>
        <v/>
      </c>
    </row>
    <row r="39" spans="2:26" x14ac:dyDescent="0.3">
      <c r="S39" t="str">
        <f t="shared" si="1"/>
        <v/>
      </c>
      <c r="T39" t="str">
        <f t="shared" si="2"/>
        <v/>
      </c>
      <c r="W39" t="str">
        <f t="shared" si="3"/>
        <v/>
      </c>
      <c r="X39" t="str">
        <f t="shared" si="0"/>
        <v/>
      </c>
      <c r="Y39" t="str">
        <f t="shared" si="0"/>
        <v/>
      </c>
      <c r="Z39" t="str">
        <f t="shared" si="0"/>
        <v/>
      </c>
    </row>
  </sheetData>
  <conditionalFormatting sqref="B11">
    <cfRule type="expression" dxfId="119" priority="1">
      <formula>C11=""</formula>
    </cfRule>
  </conditionalFormatting>
  <conditionalFormatting sqref="B11">
    <cfRule type="expression" dxfId="118" priority="2">
      <formula>C11&lt;&gt;""</formula>
    </cfRule>
  </conditionalFormatting>
  <conditionalFormatting sqref="C11:P11">
    <cfRule type="expression" dxfId="117" priority="3">
      <formula>C11=""</formula>
    </cfRule>
  </conditionalFormatting>
  <conditionalFormatting sqref="C11:P11">
    <cfRule type="expression" dxfId="116" priority="4">
      <formula>C11&lt;&gt;""</formula>
    </cfRule>
  </conditionalFormatting>
  <conditionalFormatting sqref="Q11">
    <cfRule type="expression" dxfId="115" priority="5">
      <formula>C11=""</formula>
    </cfRule>
  </conditionalFormatting>
  <conditionalFormatting sqref="Q11">
    <cfRule type="expression" dxfId="114" priority="6">
      <formula>C11&lt;&gt;""</formula>
    </cfRule>
  </conditionalFormatting>
  <conditionalFormatting sqref="R11">
    <cfRule type="expression" dxfId="113" priority="7">
      <formula>C11=""</formula>
    </cfRule>
  </conditionalFormatting>
  <conditionalFormatting sqref="R11">
    <cfRule type="expression" dxfId="112" priority="8">
      <formula>C11&lt;&gt;""</formula>
    </cfRule>
  </conditionalFormatting>
  <conditionalFormatting sqref="B12">
    <cfRule type="expression" dxfId="111" priority="9">
      <formula>C12=""</formula>
    </cfRule>
  </conditionalFormatting>
  <conditionalFormatting sqref="B12">
    <cfRule type="expression" dxfId="110" priority="10">
      <formula>C12&lt;&gt;""</formula>
    </cfRule>
  </conditionalFormatting>
  <conditionalFormatting sqref="C12:P12">
    <cfRule type="expression" dxfId="109" priority="11">
      <formula>C12=""</formula>
    </cfRule>
  </conditionalFormatting>
  <conditionalFormatting sqref="C12:P12">
    <cfRule type="expression" dxfId="108" priority="12">
      <formula>C12&lt;&gt;""</formula>
    </cfRule>
  </conditionalFormatting>
  <conditionalFormatting sqref="Q12">
    <cfRule type="expression" dxfId="107" priority="13">
      <formula>C12=""</formula>
    </cfRule>
  </conditionalFormatting>
  <conditionalFormatting sqref="Q12">
    <cfRule type="expression" dxfId="106" priority="14">
      <formula>C12&lt;&gt;""</formula>
    </cfRule>
  </conditionalFormatting>
  <conditionalFormatting sqref="R12">
    <cfRule type="expression" dxfId="105" priority="15">
      <formula>C12=""</formula>
    </cfRule>
  </conditionalFormatting>
  <conditionalFormatting sqref="R12">
    <cfRule type="expression" dxfId="104" priority="16">
      <formula>C12&lt;&gt;""</formula>
    </cfRule>
  </conditionalFormatting>
  <conditionalFormatting sqref="B13">
    <cfRule type="expression" dxfId="103" priority="17">
      <formula>C13=""</formula>
    </cfRule>
  </conditionalFormatting>
  <conditionalFormatting sqref="B13">
    <cfRule type="expression" dxfId="102" priority="18">
      <formula>C13&lt;&gt;""</formula>
    </cfRule>
  </conditionalFormatting>
  <conditionalFormatting sqref="C13:P13">
    <cfRule type="expression" dxfId="101" priority="19">
      <formula>C13=""</formula>
    </cfRule>
  </conditionalFormatting>
  <conditionalFormatting sqref="C13:P13">
    <cfRule type="expression" dxfId="100" priority="20">
      <formula>C13&lt;&gt;""</formula>
    </cfRule>
  </conditionalFormatting>
  <conditionalFormatting sqref="Q13">
    <cfRule type="expression" dxfId="99" priority="21">
      <formula>C13=""</formula>
    </cfRule>
  </conditionalFormatting>
  <conditionalFormatting sqref="Q13">
    <cfRule type="expression" dxfId="98" priority="22">
      <formula>C13&lt;&gt;""</formula>
    </cfRule>
  </conditionalFormatting>
  <conditionalFormatting sqref="R13">
    <cfRule type="expression" dxfId="97" priority="23">
      <formula>C13=""</formula>
    </cfRule>
  </conditionalFormatting>
  <conditionalFormatting sqref="R13">
    <cfRule type="expression" dxfId="96" priority="24">
      <formula>C13&lt;&gt;""</formula>
    </cfRule>
  </conditionalFormatting>
  <conditionalFormatting sqref="B14">
    <cfRule type="expression" dxfId="95" priority="25">
      <formula>C14=""</formula>
    </cfRule>
  </conditionalFormatting>
  <conditionalFormatting sqref="B14">
    <cfRule type="expression" dxfId="94" priority="26">
      <formula>C14&lt;&gt;""</formula>
    </cfRule>
  </conditionalFormatting>
  <conditionalFormatting sqref="C14:P14">
    <cfRule type="expression" dxfId="93" priority="27">
      <formula>C14=""</formula>
    </cfRule>
  </conditionalFormatting>
  <conditionalFormatting sqref="C14:P14">
    <cfRule type="expression" dxfId="92" priority="28">
      <formula>C14&lt;&gt;""</formula>
    </cfRule>
  </conditionalFormatting>
  <conditionalFormatting sqref="Q14">
    <cfRule type="expression" dxfId="91" priority="29">
      <formula>C14=""</formula>
    </cfRule>
  </conditionalFormatting>
  <conditionalFormatting sqref="Q14">
    <cfRule type="expression" dxfId="90" priority="30">
      <formula>C14&lt;&gt;""</formula>
    </cfRule>
  </conditionalFormatting>
  <conditionalFormatting sqref="R14">
    <cfRule type="expression" dxfId="89" priority="31">
      <formula>C14=""</formula>
    </cfRule>
  </conditionalFormatting>
  <conditionalFormatting sqref="R14">
    <cfRule type="expression" dxfId="88" priority="32">
      <formula>C14&lt;&gt;""</formula>
    </cfRule>
  </conditionalFormatting>
  <conditionalFormatting sqref="B15">
    <cfRule type="expression" dxfId="87" priority="33">
      <formula>C15=""</formula>
    </cfRule>
  </conditionalFormatting>
  <conditionalFormatting sqref="B15">
    <cfRule type="expression" dxfId="86" priority="34">
      <formula>C15&lt;&gt;""</formula>
    </cfRule>
  </conditionalFormatting>
  <conditionalFormatting sqref="C15:P15">
    <cfRule type="expression" dxfId="85" priority="35">
      <formula>C15=""</formula>
    </cfRule>
  </conditionalFormatting>
  <conditionalFormatting sqref="C15:P15">
    <cfRule type="expression" dxfId="84" priority="36">
      <formula>C15&lt;&gt;""</formula>
    </cfRule>
  </conditionalFormatting>
  <conditionalFormatting sqref="Q15">
    <cfRule type="expression" dxfId="83" priority="37">
      <formula>C15=""</formula>
    </cfRule>
  </conditionalFormatting>
  <conditionalFormatting sqref="Q15">
    <cfRule type="expression" dxfId="82" priority="38">
      <formula>C15&lt;&gt;""</formula>
    </cfRule>
  </conditionalFormatting>
  <conditionalFormatting sqref="R15">
    <cfRule type="expression" dxfId="81" priority="39">
      <formula>C15=""</formula>
    </cfRule>
  </conditionalFormatting>
  <conditionalFormatting sqref="R15">
    <cfRule type="expression" dxfId="80" priority="40">
      <formula>C15&lt;&gt;""</formula>
    </cfRule>
  </conditionalFormatting>
  <conditionalFormatting sqref="B16">
    <cfRule type="expression" dxfId="79" priority="41">
      <formula>C16=""</formula>
    </cfRule>
  </conditionalFormatting>
  <conditionalFormatting sqref="B16">
    <cfRule type="expression" dxfId="78" priority="42">
      <formula>C16&lt;&gt;""</formula>
    </cfRule>
  </conditionalFormatting>
  <conditionalFormatting sqref="C16:P16">
    <cfRule type="expression" dxfId="77" priority="43">
      <formula>C16=""</formula>
    </cfRule>
  </conditionalFormatting>
  <conditionalFormatting sqref="C16:P16">
    <cfRule type="expression" dxfId="76" priority="44">
      <formula>C16&lt;&gt;""</formula>
    </cfRule>
  </conditionalFormatting>
  <conditionalFormatting sqref="Q16">
    <cfRule type="expression" dxfId="75" priority="45">
      <formula>C16=""</formula>
    </cfRule>
  </conditionalFormatting>
  <conditionalFormatting sqref="Q16">
    <cfRule type="expression" dxfId="74" priority="46">
      <formula>C16&lt;&gt;""</formula>
    </cfRule>
  </conditionalFormatting>
  <conditionalFormatting sqref="R16">
    <cfRule type="expression" dxfId="73" priority="47">
      <formula>C16=""</formula>
    </cfRule>
  </conditionalFormatting>
  <conditionalFormatting sqref="R16">
    <cfRule type="expression" dxfId="72" priority="48">
      <formula>C16&lt;&gt;""</formula>
    </cfRule>
  </conditionalFormatting>
  <conditionalFormatting sqref="B17">
    <cfRule type="expression" dxfId="71" priority="49">
      <formula>C17=""</formula>
    </cfRule>
  </conditionalFormatting>
  <conditionalFormatting sqref="B17">
    <cfRule type="expression" dxfId="70" priority="50">
      <formula>C17&lt;&gt;""</formula>
    </cfRule>
  </conditionalFormatting>
  <conditionalFormatting sqref="C17:P17">
    <cfRule type="expression" dxfId="69" priority="51">
      <formula>C17=""</formula>
    </cfRule>
  </conditionalFormatting>
  <conditionalFormatting sqref="C17:P17">
    <cfRule type="expression" dxfId="68" priority="52">
      <formula>C17&lt;&gt;""</formula>
    </cfRule>
  </conditionalFormatting>
  <conditionalFormatting sqref="Q17">
    <cfRule type="expression" dxfId="67" priority="53">
      <formula>C17=""</formula>
    </cfRule>
  </conditionalFormatting>
  <conditionalFormatting sqref="Q17">
    <cfRule type="expression" dxfId="66" priority="54">
      <formula>C17&lt;&gt;""</formula>
    </cfRule>
  </conditionalFormatting>
  <conditionalFormatting sqref="R17">
    <cfRule type="expression" dxfId="65" priority="55">
      <formula>C17=""</formula>
    </cfRule>
  </conditionalFormatting>
  <conditionalFormatting sqref="R17">
    <cfRule type="expression" dxfId="64" priority="56">
      <formula>C17&lt;&gt;""</formula>
    </cfRule>
  </conditionalFormatting>
  <conditionalFormatting sqref="B18">
    <cfRule type="expression" dxfId="63" priority="57">
      <formula>C18=""</formula>
    </cfRule>
  </conditionalFormatting>
  <conditionalFormatting sqref="B18">
    <cfRule type="expression" dxfId="62" priority="58">
      <formula>C18&lt;&gt;""</formula>
    </cfRule>
  </conditionalFormatting>
  <conditionalFormatting sqref="C18:P18">
    <cfRule type="expression" dxfId="61" priority="59">
      <formula>C18=""</formula>
    </cfRule>
  </conditionalFormatting>
  <conditionalFormatting sqref="C18:P18">
    <cfRule type="expression" dxfId="60" priority="60">
      <formula>C18&lt;&gt;""</formula>
    </cfRule>
  </conditionalFormatting>
  <conditionalFormatting sqref="Q18">
    <cfRule type="expression" dxfId="59" priority="61">
      <formula>C18=""</formula>
    </cfRule>
  </conditionalFormatting>
  <conditionalFormatting sqref="Q18">
    <cfRule type="expression" dxfId="58" priority="62">
      <formula>C18&lt;&gt;""</formula>
    </cfRule>
  </conditionalFormatting>
  <conditionalFormatting sqref="R18">
    <cfRule type="expression" dxfId="57" priority="63">
      <formula>C18=""</formula>
    </cfRule>
  </conditionalFormatting>
  <conditionalFormatting sqref="R18">
    <cfRule type="expression" dxfId="56" priority="64">
      <formula>C18&lt;&gt;""</formula>
    </cfRule>
  </conditionalFormatting>
  <conditionalFormatting sqref="B19">
    <cfRule type="expression" dxfId="55" priority="65">
      <formula>C19=""</formula>
    </cfRule>
  </conditionalFormatting>
  <conditionalFormatting sqref="B19">
    <cfRule type="expression" dxfId="54" priority="66">
      <formula>C19&lt;&gt;""</formula>
    </cfRule>
  </conditionalFormatting>
  <conditionalFormatting sqref="C19:P19">
    <cfRule type="expression" dxfId="53" priority="67">
      <formula>C19=""</formula>
    </cfRule>
  </conditionalFormatting>
  <conditionalFormatting sqref="C19:P19">
    <cfRule type="expression" dxfId="52" priority="68">
      <formula>C19&lt;&gt;""</formula>
    </cfRule>
  </conditionalFormatting>
  <conditionalFormatting sqref="Q19">
    <cfRule type="expression" dxfId="51" priority="69">
      <formula>C19=""</formula>
    </cfRule>
  </conditionalFormatting>
  <conditionalFormatting sqref="Q19">
    <cfRule type="expression" dxfId="50" priority="70">
      <formula>C19&lt;&gt;""</formula>
    </cfRule>
  </conditionalFormatting>
  <conditionalFormatting sqref="R19">
    <cfRule type="expression" dxfId="49" priority="71">
      <formula>C19=""</formula>
    </cfRule>
  </conditionalFormatting>
  <conditionalFormatting sqref="R19">
    <cfRule type="expression" dxfId="48" priority="72">
      <formula>C19&lt;&gt;""</formula>
    </cfRule>
  </conditionalFormatting>
  <conditionalFormatting sqref="B20">
    <cfRule type="expression" dxfId="47" priority="73">
      <formula>C20=""</formula>
    </cfRule>
  </conditionalFormatting>
  <conditionalFormatting sqref="B20">
    <cfRule type="expression" dxfId="46" priority="74">
      <formula>C20&lt;&gt;""</formula>
    </cfRule>
  </conditionalFormatting>
  <conditionalFormatting sqref="C20:P20">
    <cfRule type="expression" dxfId="45" priority="75">
      <formula>C20=""</formula>
    </cfRule>
  </conditionalFormatting>
  <conditionalFormatting sqref="C20:P20">
    <cfRule type="expression" dxfId="44" priority="76">
      <formula>C20&lt;&gt;""</formula>
    </cfRule>
  </conditionalFormatting>
  <conditionalFormatting sqref="Q20">
    <cfRule type="expression" dxfId="43" priority="77">
      <formula>C20=""</formula>
    </cfRule>
  </conditionalFormatting>
  <conditionalFormatting sqref="Q20">
    <cfRule type="expression" dxfId="42" priority="78">
      <formula>C20&lt;&gt;""</formula>
    </cfRule>
  </conditionalFormatting>
  <conditionalFormatting sqref="R20">
    <cfRule type="expression" dxfId="41" priority="79">
      <formula>C20=""</formula>
    </cfRule>
  </conditionalFormatting>
  <conditionalFormatting sqref="R20">
    <cfRule type="expression" dxfId="40" priority="80">
      <formula>C20&lt;&gt;""</formula>
    </cfRule>
  </conditionalFormatting>
  <conditionalFormatting sqref="B21">
    <cfRule type="expression" dxfId="39" priority="81">
      <formula>C21=""</formula>
    </cfRule>
  </conditionalFormatting>
  <conditionalFormatting sqref="B21">
    <cfRule type="expression" dxfId="38" priority="82">
      <formula>C21&lt;&gt;""</formula>
    </cfRule>
  </conditionalFormatting>
  <conditionalFormatting sqref="C21:P21">
    <cfRule type="expression" dxfId="37" priority="83">
      <formula>C21=""</formula>
    </cfRule>
  </conditionalFormatting>
  <conditionalFormatting sqref="C21:P21">
    <cfRule type="expression" dxfId="36" priority="84">
      <formula>C21&lt;&gt;""</formula>
    </cfRule>
  </conditionalFormatting>
  <conditionalFormatting sqref="Q21">
    <cfRule type="expression" dxfId="35" priority="85">
      <formula>C21=""</formula>
    </cfRule>
  </conditionalFormatting>
  <conditionalFormatting sqref="Q21">
    <cfRule type="expression" dxfId="34" priority="86">
      <formula>C21&lt;&gt;""</formula>
    </cfRule>
  </conditionalFormatting>
  <conditionalFormatting sqref="R21">
    <cfRule type="expression" dxfId="33" priority="87">
      <formula>C21=""</formula>
    </cfRule>
  </conditionalFormatting>
  <conditionalFormatting sqref="R21">
    <cfRule type="expression" dxfId="32" priority="88">
      <formula>C21&lt;&gt;""</formula>
    </cfRule>
  </conditionalFormatting>
  <conditionalFormatting sqref="B22">
    <cfRule type="expression" dxfId="31" priority="89">
      <formula>C22=""</formula>
    </cfRule>
  </conditionalFormatting>
  <conditionalFormatting sqref="B22">
    <cfRule type="expression" dxfId="30" priority="90">
      <formula>C22&lt;&gt;""</formula>
    </cfRule>
  </conditionalFormatting>
  <conditionalFormatting sqref="C22:P22">
    <cfRule type="expression" dxfId="29" priority="91">
      <formula>C22=""</formula>
    </cfRule>
  </conditionalFormatting>
  <conditionalFormatting sqref="C22:P22">
    <cfRule type="expression" dxfId="28" priority="92">
      <formula>C22&lt;&gt;""</formula>
    </cfRule>
  </conditionalFormatting>
  <conditionalFormatting sqref="Q22">
    <cfRule type="expression" dxfId="27" priority="93">
      <formula>C22=""</formula>
    </cfRule>
  </conditionalFormatting>
  <conditionalFormatting sqref="Q22">
    <cfRule type="expression" dxfId="26" priority="94">
      <formula>C22&lt;&gt;""</formula>
    </cfRule>
  </conditionalFormatting>
  <conditionalFormatting sqref="R22">
    <cfRule type="expression" dxfId="25" priority="95">
      <formula>C22=""</formula>
    </cfRule>
  </conditionalFormatting>
  <conditionalFormatting sqref="R22">
    <cfRule type="expression" dxfId="24" priority="96">
      <formula>C22&lt;&gt;""</formula>
    </cfRule>
  </conditionalFormatting>
  <conditionalFormatting sqref="B23">
    <cfRule type="expression" dxfId="23" priority="97">
      <formula>C23=""</formula>
    </cfRule>
  </conditionalFormatting>
  <conditionalFormatting sqref="B23">
    <cfRule type="expression" dxfId="22" priority="98">
      <formula>C23&lt;&gt;""</formula>
    </cfRule>
  </conditionalFormatting>
  <conditionalFormatting sqref="C23:P23">
    <cfRule type="expression" dxfId="21" priority="99">
      <formula>C23=""</formula>
    </cfRule>
  </conditionalFormatting>
  <conditionalFormatting sqref="C23:P23">
    <cfRule type="expression" dxfId="20" priority="100">
      <formula>C23&lt;&gt;""</formula>
    </cfRule>
  </conditionalFormatting>
  <conditionalFormatting sqref="Q23">
    <cfRule type="expression" dxfId="19" priority="101">
      <formula>C23=""</formula>
    </cfRule>
  </conditionalFormatting>
  <conditionalFormatting sqref="Q23">
    <cfRule type="expression" dxfId="18" priority="102">
      <formula>C23&lt;&gt;""</formula>
    </cfRule>
  </conditionalFormatting>
  <conditionalFormatting sqref="R23">
    <cfRule type="expression" dxfId="17" priority="103">
      <formula>C23=""</formula>
    </cfRule>
  </conditionalFormatting>
  <conditionalFormatting sqref="R23">
    <cfRule type="expression" dxfId="16" priority="104">
      <formula>C23&lt;&gt;""</formula>
    </cfRule>
  </conditionalFormatting>
  <conditionalFormatting sqref="B24">
    <cfRule type="expression" dxfId="15" priority="105">
      <formula>C24=""</formula>
    </cfRule>
  </conditionalFormatting>
  <conditionalFormatting sqref="B24">
    <cfRule type="expression" dxfId="14" priority="106">
      <formula>C24&lt;&gt;""</formula>
    </cfRule>
  </conditionalFormatting>
  <conditionalFormatting sqref="C24:P24">
    <cfRule type="expression" dxfId="13" priority="107">
      <formula>C24=""</formula>
    </cfRule>
  </conditionalFormatting>
  <conditionalFormatting sqref="C24:P24">
    <cfRule type="expression" dxfId="12" priority="108">
      <formula>C24&lt;&gt;""</formula>
    </cfRule>
  </conditionalFormatting>
  <conditionalFormatting sqref="Q24">
    <cfRule type="expression" dxfId="11" priority="109">
      <formula>C24=""</formula>
    </cfRule>
  </conditionalFormatting>
  <conditionalFormatting sqref="Q24">
    <cfRule type="expression" dxfId="10" priority="110">
      <formula>C24&lt;&gt;""</formula>
    </cfRule>
  </conditionalFormatting>
  <conditionalFormatting sqref="R24">
    <cfRule type="expression" dxfId="9" priority="111">
      <formula>C24=""</formula>
    </cfRule>
  </conditionalFormatting>
  <conditionalFormatting sqref="R24">
    <cfRule type="expression" dxfId="8" priority="112">
      <formula>C24&lt;&gt;""</formula>
    </cfRule>
  </conditionalFormatting>
  <conditionalFormatting sqref="B25">
    <cfRule type="expression" dxfId="7" priority="113">
      <formula>C25=""</formula>
    </cfRule>
  </conditionalFormatting>
  <conditionalFormatting sqref="B25">
    <cfRule type="expression" dxfId="6" priority="114">
      <formula>C25&lt;&gt;""</formula>
    </cfRule>
  </conditionalFormatting>
  <conditionalFormatting sqref="C25:P25">
    <cfRule type="expression" dxfId="5" priority="115">
      <formula>C25=""</formula>
    </cfRule>
  </conditionalFormatting>
  <conditionalFormatting sqref="C25:P25">
    <cfRule type="expression" dxfId="4" priority="116">
      <formula>C25&lt;&gt;""</formula>
    </cfRule>
  </conditionalFormatting>
  <conditionalFormatting sqref="Q25">
    <cfRule type="expression" dxfId="3" priority="117">
      <formula>C25=""</formula>
    </cfRule>
  </conditionalFormatting>
  <conditionalFormatting sqref="Q25">
    <cfRule type="expression" dxfId="2" priority="118">
      <formula>C25&lt;&gt;""</formula>
    </cfRule>
  </conditionalFormatting>
  <conditionalFormatting sqref="R25">
    <cfRule type="expression" dxfId="1" priority="119">
      <formula>C25=""</formula>
    </cfRule>
  </conditionalFormatting>
  <conditionalFormatting sqref="R25">
    <cfRule type="expression" dxfId="0" priority="120">
      <formula>C25&lt;&gt;""</formula>
    </cfRule>
  </conditionalFormatting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B31"/>
  <sheetViews>
    <sheetView showGridLines="0" zoomScaleNormal="100" workbookViewId="0">
      <selection activeCell="R31" sqref="R31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9" width="8.5546875" bestFit="1" customWidth="1"/>
    <col min="10" max="10" width="10.109375" bestFit="1" customWidth="1"/>
    <col min="11" max="11" width="8.5546875" bestFit="1" customWidth="1"/>
    <col min="12" max="12" width="10.44140625" bestFit="1" customWidth="1"/>
    <col min="13" max="13" width="8" customWidth="1"/>
    <col min="14" max="14" width="7.109375" bestFit="1" customWidth="1"/>
    <col min="15" max="15" width="9.6640625" bestFit="1" customWidth="1"/>
    <col min="16" max="16" width="7.88671875" bestFit="1" customWidth="1"/>
    <col min="17" max="17" width="14" style="408" bestFit="1" customWidth="1"/>
  </cols>
  <sheetData>
    <row r="1" spans="2:18" ht="30" customHeight="1" x14ac:dyDescent="0.3">
      <c r="B1" s="383" t="str">
        <f>"FinSight IA  ·  Santé  ·  "&amp;TRIM(MID('DONNÉES BRUTES'!A$1,FIND("·",'DONNÉES BRUTES'!A$1)+1,FIND("·",'DONNÉES BRUTES'!A$1,FIND("·",'DONNÉES BRUTES'!A$1)+1)-FIND("·",'DONNÉES BRUTES'!A$1)-1))&amp;"  ·  "&amp;COUNTIF('DONNÉES BRUTES'!C$3:C$42,"Santé")&amp;" sociétés  ·  17/04/2026"</f>
        <v>FinSight IA  ·  Santé  ·  FTSE 100  ·  4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2" spans="2:18" ht="18" customHeight="1" x14ac:dyDescent="0.3">
      <c r="B2" s="386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</row>
    <row r="3" spans="2:18" ht="8.1" customHeight="1" x14ac:dyDescent="0.3">
      <c r="Q3"/>
    </row>
    <row r="4" spans="2:18" ht="8.1" customHeight="1" x14ac:dyDescent="0.3">
      <c r="Q4"/>
    </row>
    <row r="5" spans="2:18" ht="39.9" customHeight="1" x14ac:dyDescent="0.3">
      <c r="B5" s="166"/>
      <c r="C5" s="157">
        <f>COUNTIF('DONNÉES BRUTES'!C$3:C$42,"Santé")</f>
        <v>4</v>
      </c>
      <c r="D5" s="166"/>
      <c r="E5" s="164" t="str">
        <f>IFERROR(ROUND(AVERAGEIF('DONNÉES BRUTES'!C$3:C$42,"Santé",'DONNÉES BRUTES'!AB$3:AB$42),0)&amp;"/100","—")</f>
        <v>58/100</v>
      </c>
      <c r="F5" s="164"/>
      <c r="G5" s="164"/>
      <c r="H5" s="160" t="str">
        <f t="array" ref="H5">IFERROR(INDEX('DONNÉES BRUTES'!B$3:B$42,MATCH(LARGE(IF('DONNÉES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BRUTES'!A$3))/1000,0),0)),"—")</f>
        <v>GSK plc</v>
      </c>
      <c r="I5" s="164"/>
      <c r="J5" s="164"/>
      <c r="K5" s="164"/>
      <c r="L5" s="191">
        <f>IFERROR(VLOOKUP("Santé",'PAR SECTEUR'!B$8:G$17,6,0),"—")</f>
        <v>0.25900000000000001</v>
      </c>
      <c r="M5" s="164"/>
      <c r="N5" s="162">
        <f t="array" ref="N5">IFERROR(ROUND(MEDIAN(IF('DONNÉES BRUTES'!C$3:C$42="Santé",IF(ISNUMBER('DONNÉES BRUTES'!Y$3:Y$42),'DONNÉES BRUTES'!Y$3:Y$42))),0),"—")</f>
        <v>65</v>
      </c>
      <c r="O5" s="164"/>
      <c r="P5" s="163" t="str">
        <f>IFERROR(VLOOKUP("Santé",'PAR SECTEUR'!B$8:J$17,9,0),"—")</f>
        <v>Neutre</v>
      </c>
      <c r="Q5" s="164"/>
    </row>
    <row r="6" spans="2:18" ht="15.9" customHeight="1" x14ac:dyDescent="0.3">
      <c r="B6" s="166"/>
      <c r="C6" s="159" t="s">
        <v>413</v>
      </c>
      <c r="D6" s="159"/>
      <c r="E6" s="158" t="s">
        <v>414</v>
      </c>
      <c r="F6" s="158"/>
      <c r="G6" s="158"/>
      <c r="H6" s="161" t="s">
        <v>415</v>
      </c>
      <c r="I6" s="158"/>
      <c r="J6" s="158"/>
      <c r="K6" s="159"/>
      <c r="L6" s="158" t="s">
        <v>388</v>
      </c>
      <c r="M6" s="159"/>
      <c r="N6" s="158" t="s">
        <v>416</v>
      </c>
      <c r="O6" s="159"/>
      <c r="P6" s="158" t="s">
        <v>21</v>
      </c>
      <c r="Q6" s="158"/>
    </row>
    <row r="7" spans="2:18" ht="8.1" customHeight="1" x14ac:dyDescent="0.3">
      <c r="Q7"/>
    </row>
    <row r="8" spans="2:18" ht="21.9" customHeight="1" x14ac:dyDescent="0.3">
      <c r="B8" s="384" t="str">
        <f>"ANALYSE DÉTAILLÉE  ·  "&amp;UPPER("Santé")&amp;"  ·  "&amp;COUNTIF('DONNÉES BRUTES'!C$3:C$42,"Santé")&amp;" sociétés  ·  Triée par Score Global"</f>
        <v>ANALYSE DÉTAILLÉE  ·  SANTÉ  ·  4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</row>
    <row r="9" spans="2:18" ht="6" customHeight="1" x14ac:dyDescent="0.3">
      <c r="Q9"/>
    </row>
    <row r="10" spans="2:18" ht="20.100000000000001" customHeight="1" x14ac:dyDescent="0.3">
      <c r="B10" s="261" t="s">
        <v>8</v>
      </c>
      <c r="C10" s="262" t="s">
        <v>9</v>
      </c>
      <c r="D10" s="262" t="s">
        <v>10</v>
      </c>
      <c r="E10" s="263" t="s">
        <v>11</v>
      </c>
      <c r="F10" s="263" t="s">
        <v>417</v>
      </c>
      <c r="G10" s="263" t="s">
        <v>418</v>
      </c>
      <c r="H10" s="263" t="s">
        <v>419</v>
      </c>
      <c r="I10" s="263" t="s">
        <v>420</v>
      </c>
      <c r="J10" s="263" t="s">
        <v>345</v>
      </c>
      <c r="K10" s="263" t="s">
        <v>421</v>
      </c>
      <c r="L10" s="263" t="s">
        <v>346</v>
      </c>
      <c r="M10" s="263" t="s">
        <v>124</v>
      </c>
      <c r="N10" s="263" t="s">
        <v>422</v>
      </c>
      <c r="O10" s="263" t="s">
        <v>423</v>
      </c>
      <c r="P10" s="263" t="s">
        <v>32</v>
      </c>
      <c r="Q10" s="264" t="s">
        <v>21</v>
      </c>
    </row>
    <row r="11" spans="2:18" ht="18" customHeight="1" x14ac:dyDescent="0.3">
      <c r="B11" s="396">
        <v>1</v>
      </c>
      <c r="C11" s="396" t="str">
        <f t="array" ref="C11">IFERROR(IF(1&gt;COUNTIF('DONNÉES BRUTES'!C$3:C$42,"Santé"),"",INDEX('DONNÉES BRUTES'!A$3:A$42,MATCH(LARGE(IF('DONNÉES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GSK.L</v>
      </c>
      <c r="D11" s="396" t="str">
        <f t="array" ref="D11">IFERROR(IF(1&gt;COUNTIF('DONNÉES BRUTES'!C$3:C$42,"Santé"),"",INDEX('DONNÉES BRUTES'!B$3:B$42,MATCH(LARGE(IF('DONNÉES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GSK plc</v>
      </c>
      <c r="E11" s="396" t="str">
        <f t="array" ref="E11">IFERROR(IF(1&gt;COUNTIF('DONNÉES BRUTES'!C$3:C$42,"Santé"),"",INT(LARGE(IF('DONNÉES BRUTES'!C$3:C$42="Santé",'DONNÉES BRUTES'!AB$3:AB$42+(ROW('DONNÉES BRUTES'!A$3:A$42)-ROW('DONNÉES BRUTES'!A$3))/1000,0),1))&amp;"/100"),"—")</f>
        <v>61/100</v>
      </c>
      <c r="F11" s="401">
        <f t="array" ref="F11">IFERROR(IF(1&gt;COUNTIF('DONNÉES BRUTES'!C$3:C$42,"Santé"),"",INDEX('DONNÉES BRUTES'!Y$3:Y$42,MATCH(LARGE(IF('DONNÉES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66</v>
      </c>
      <c r="G11" s="401">
        <f t="array" ref="G11">IFERROR(IF(1&gt;COUNTIF('DONNÉES BRUTES'!C$3:C$42,"Santé"),"",INDEX('DONNÉES BRUTES'!Z$3:Z$42,MATCH(LARGE(IF('DONNÉES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43</v>
      </c>
      <c r="H11" s="401">
        <f t="array" ref="H11">IFERROR(IF(1&gt;COUNTIF('DONNÉES BRUTES'!C$3:C$42,"Santé"),"",INDEX('DONNÉES BRUTES'!AA$3:AA$42,MATCH(LARGE(IF('DONNÉES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84</v>
      </c>
      <c r="I11" s="401" t="str">
        <f t="array" ref="I11">IFERROR(IF(1&gt;COUNTIF('DONNÉES BRUTES'!C$3:C$42,"Santé"),"",INDEX('DONNÉES BRUTES'!M$3:M$42,MATCH(LARGE(IF('DONNÉES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72.4%</v>
      </c>
      <c r="J11" s="401" t="str">
        <f t="array" ref="J11">IFERROR(IF(1&gt;COUNTIF('DONNÉES BRUTES'!C$3:C$42,"Santé"),"",INDEX('DONNÉES BRUTES'!N$3:N$42,MATCH(LARGE(IF('DONNÉES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31.8%</v>
      </c>
      <c r="K11" s="401" t="str">
        <f t="array" ref="K11">IFERROR(IF(1&gt;COUNTIF('DONNÉES BRUTES'!C$3:C$42,"Santé"),"",INDEX('DONNÉES BRUTES'!O$3:O$42,MATCH(LARGE(IF('DONNÉES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17.5%</v>
      </c>
      <c r="L11" s="401" t="str">
        <f t="array" ref="L11">IFERROR(IF(1&gt;COUNTIF('DONNÉES BRUTES'!C$3:C$42,"Santé"),"",INDEX('DONNÉES BRUTES'!P$3:P$42,MATCH(LARGE(IF('DONNÉES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+4.1%</v>
      </c>
      <c r="M11" s="401" t="str">
        <f t="array" ref="M11">IFERROR(IF(1&gt;COUNTIF('DONNÉES BRUTES'!C$3:C$42,"Santé"),"",INDEX('DONNÉES BRUTES'!Q$3:Q$42,MATCH(LARGE(IF('DONNÉES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+34.9%</v>
      </c>
      <c r="N11" s="401">
        <f t="array" ref="N11">IFERROR(IF(1&gt;COUNTIF('DONNÉES BRUTES'!C$3:C$42,"Santé"),"",INDEX('DONNÉES BRUTES'!S$3:S$42,MATCH(LARGE(IF('DONNÉES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0.82</v>
      </c>
      <c r="O11" s="401" t="str">
        <f t="array" ref="O11">IFERROR(IF(1&gt;COUNTIF('DONNÉES BRUTES'!C$3:C$42,"Santé"),"",INDEX('DONNÉES BRUTES'!T$3:T$42,MATCH(LARGE(IF('DONNÉES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1.3x</v>
      </c>
      <c r="P11" s="401">
        <f t="array" ref="P11">IFERROR(IF(1&gt;COUNTIF('DONNÉES BRUTES'!C$3:C$42,"Santé"),"",INDEX('DONNÉES BRUTES'!U$3:U$42,MATCH(LARGE(IF('DONNÉES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1.4</v>
      </c>
      <c r="Q11" s="405" t="str">
        <f t="array" ref="Q11">IFERROR(IF(1&gt;COUNTIF('DONNÉES BRUTES'!C$3:C$42,"Santé"),"",INDEX('DONNÉES BRUTES'!AD$3:AD$42,MATCH(LARGE(IF('DONNÉES BRUTES'!C$3:C$42="Santé",'DONNÉES BRUTES'!AB$3:AB$42+(ROW('DONNÉES BRUTES'!A$3:A$42)-ROW('DONNÉES BRUTES'!A$3))/1000,0),1),IF('DONNÉES BRUTES'!C$3:C$42="Santé",'DONNÉES BRUTES'!AB$3:AB$42+(ROW('DONNÉES BRUTES'!A$3:A$42)-ROW('DONNÉES BRUTES'!A$3))/1000,0),0))),"—")</f>
        <v>Surpondérer</v>
      </c>
      <c r="R11" s="397"/>
    </row>
    <row r="12" spans="2:18" ht="15.9" customHeight="1" x14ac:dyDescent="0.3">
      <c r="B12" s="398">
        <v>2</v>
      </c>
      <c r="C12" s="398" t="str">
        <f t="array" ref="C12">IFERROR(IF(2&gt;COUNTIF('DONNÉES BRUTES'!C$3:C$42,"Santé"),"",INDEX('DONNÉES BRUTES'!A$3:A$42,MATCH(LARGE(IF('DONNÉES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SN.L</v>
      </c>
      <c r="D12" s="398" t="str">
        <f t="array" ref="D12">IFERROR(IF(2&gt;COUNTIF('DONNÉES BRUTES'!C$3:C$42,"Santé"),"",INDEX('DONNÉES BRUTES'!B$3:B$42,MATCH(LARGE(IF('DONNÉES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Smith &amp; Nephew plc</v>
      </c>
      <c r="E12" s="398" t="str">
        <f t="array" ref="E12">IFERROR(IF(2&gt;COUNTIF('DONNÉES BRUTES'!C$3:C$42,"Santé"),"",INT(LARGE(IF('DONNÉES BRUTES'!C$3:C$42="Santé",'DONNÉES BRUTES'!AB$3:AB$42+(ROW('DONNÉES BRUTES'!A$3:A$42)-ROW('DONNÉES BRUTES'!A$3))/1000,0),2))&amp;"/100"),"—")</f>
        <v>60/100</v>
      </c>
      <c r="F12" s="402">
        <f t="array" ref="F12">IFERROR(IF(2&gt;COUNTIF('DONNÉES BRUTES'!C$3:C$42,"Santé"),"",INDEX('DONNÉES BRUTES'!Y$3:Y$42,MATCH(LARGE(IF('DONNÉES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60</v>
      </c>
      <c r="G12" s="402">
        <f t="array" ref="G12">IFERROR(IF(2&gt;COUNTIF('DONNÉES BRUTES'!C$3:C$42,"Santé"),"",INDEX('DONNÉES BRUTES'!Z$3:Z$42,MATCH(LARGE(IF('DONNÉES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65</v>
      </c>
      <c r="H12" s="402">
        <f t="array" ref="H12">IFERROR(IF(2&gt;COUNTIF('DONNÉES BRUTES'!C$3:C$42,"Santé"),"",INDEX('DONNÉES BRUTES'!AA$3:AA$42,MATCH(LARGE(IF('DONNÉES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54</v>
      </c>
      <c r="I12" s="402" t="str">
        <f t="array" ref="I12">IFERROR(IF(2&gt;COUNTIF('DONNÉES BRUTES'!C$3:C$42,"Santé"),"",INDEX('DONNÉES BRUTES'!M$3:M$42,MATCH(LARGE(IF('DONNÉES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68.0%</v>
      </c>
      <c r="J12" s="402" t="str">
        <f t="array" ref="J12">IFERROR(IF(2&gt;COUNTIF('DONNÉES BRUTES'!C$3:C$42,"Santé"),"",INDEX('DONNÉES BRUTES'!N$3:N$42,MATCH(LARGE(IF('DONNÉES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24.9%</v>
      </c>
      <c r="K12" s="402" t="str">
        <f t="array" ref="K12">IFERROR(IF(2&gt;COUNTIF('DONNÉES BRUTES'!C$3:C$42,"Santé"),"",INDEX('DONNÉES BRUTES'!O$3:O$42,MATCH(LARGE(IF('DONNÉES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10.1%</v>
      </c>
      <c r="L12" s="402" t="str">
        <f t="array" ref="L12">IFERROR(IF(2&gt;COUNTIF('DONNÉES BRUTES'!C$3:C$42,"Santé"),"",INDEX('DONNÉES BRUTES'!P$3:P$42,MATCH(LARGE(IF('DONNÉES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+6.1%</v>
      </c>
      <c r="M12" s="402" t="str">
        <f t="array" ref="M12">IFERROR(IF(2&gt;COUNTIF('DONNÉES BRUTES'!C$3:C$42,"Santé"),"",INDEX('DONNÉES BRUTES'!Q$3:Q$42,MATCH(LARGE(IF('DONNÉES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+11.8%</v>
      </c>
      <c r="N12" s="402">
        <f t="array" ref="N12">IFERROR(IF(2&gt;COUNTIF('DONNÉES BRUTES'!C$3:C$42,"Santé"),"",INDEX('DONNÉES BRUTES'!S$3:S$42,MATCH(LARGE(IF('DONNÉES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2.57</v>
      </c>
      <c r="O12" s="402" t="str">
        <f t="array" ref="O12">IFERROR(IF(2&gt;COUNTIF('DONNÉES BRUTES'!C$3:C$42,"Santé"),"",INDEX('DONNÉES BRUTES'!T$3:T$42,MATCH(LARGE(IF('DONNÉES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1.7x</v>
      </c>
      <c r="P12" s="402">
        <f t="array" ref="P12">IFERROR(IF(2&gt;COUNTIF('DONNÉES BRUTES'!C$3:C$42,"Santé"),"",INDEX('DONNÉES BRUTES'!U$3:U$42,MATCH(LARGE(IF('DONNÉES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4.92</v>
      </c>
      <c r="Q12" s="406" t="str">
        <f t="array" ref="Q12">IFERROR(IF(2&gt;COUNTIF('DONNÉES BRUTES'!C$3:C$42,"Santé"),"",INDEX('DONNÉES BRUTES'!AD$3:AD$42,MATCH(LARGE(IF('DONNÉES BRUTES'!C$3:C$42="Santé",'DONNÉES BRUTES'!AB$3:AB$42+(ROW('DONNÉES BRUTES'!A$3:A$42)-ROW('DONNÉES BRUTES'!A$3))/1000,0),2),IF('DONNÉES BRUTES'!C$3:C$42="Santé",'DONNÉES BRUTES'!AB$3:AB$42+(ROW('DONNÉES BRUTES'!A$3:A$42)-ROW('DONNÉES BRUTES'!A$3))/1000,0),0))),"—")</f>
        <v>Surpondérer</v>
      </c>
      <c r="R12" s="397"/>
    </row>
    <row r="13" spans="2:18" ht="15.9" customHeight="1" x14ac:dyDescent="0.3">
      <c r="B13" s="396">
        <v>3</v>
      </c>
      <c r="C13" s="396" t="str">
        <f t="array" ref="C13">IFERROR(IF(3&gt;COUNTIF('DONNÉES BRUTES'!C$3:C$42,"Santé"),"",INDEX('DONNÉES BRUTES'!A$3:A$42,MATCH(LARGE(IF('DONNÉES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AZN.L</v>
      </c>
      <c r="D13" s="396" t="str">
        <f t="array" ref="D13">IFERROR(IF(3&gt;COUNTIF('DONNÉES BRUTES'!C$3:C$42,"Santé"),"",INDEX('DONNÉES BRUTES'!B$3:B$42,MATCH(LARGE(IF('DONNÉES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AstraZeneca PLC</v>
      </c>
      <c r="E13" s="396" t="str">
        <f t="array" ref="E13">IFERROR(IF(3&gt;COUNTIF('DONNÉES BRUTES'!C$3:C$42,"Santé"),"",INT(LARGE(IF('DONNÉES BRUTES'!C$3:C$42="Santé",'DONNÉES BRUTES'!AB$3:AB$42+(ROW('DONNÉES BRUTES'!A$3:A$42)-ROW('DONNÉES BRUTES'!A$3))/1000,0),3))&amp;"/100"),"—")</f>
        <v>59/100</v>
      </c>
      <c r="F13" s="401">
        <f t="array" ref="F13">IFERROR(IF(3&gt;COUNTIF('DONNÉES BRUTES'!C$3:C$42,"Santé"),"",INDEX('DONNÉES BRUTES'!Y$3:Y$42,MATCH(LARGE(IF('DONNÉES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73</v>
      </c>
      <c r="G13" s="401">
        <f t="array" ref="G13">IFERROR(IF(3&gt;COUNTIF('DONNÉES BRUTES'!C$3:C$42,"Santé"),"",INDEX('DONNÉES BRUTES'!Z$3:Z$42,MATCH(LARGE(IF('DONNÉES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49</v>
      </c>
      <c r="H13" s="401">
        <f t="array" ref="H13">IFERROR(IF(3&gt;COUNTIF('DONNÉES BRUTES'!C$3:C$42,"Santé"),"",INDEX('DONNÉES BRUTES'!AA$3:AA$42,MATCH(LARGE(IF('DONNÉES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82</v>
      </c>
      <c r="I13" s="401" t="str">
        <f t="array" ref="I13">IFERROR(IF(3&gt;COUNTIF('DONNÉES BRUTES'!C$3:C$42,"Santé"),"",INDEX('DONNÉES BRUTES'!M$3:M$42,MATCH(LARGE(IF('DONNÉES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81.9%</v>
      </c>
      <c r="J13" s="401" t="str">
        <f t="array" ref="J13">IFERROR(IF(3&gt;COUNTIF('DONNÉES BRUTES'!C$3:C$42,"Santé"),"",INDEX('DONNÉES BRUTES'!N$3:N$42,MATCH(LARGE(IF('DONNÉES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33.2%</v>
      </c>
      <c r="K13" s="401" t="str">
        <f t="array" ref="K13">IFERROR(IF(3&gt;COUNTIF('DONNÉES BRUTES'!C$3:C$42,"Santé"),"",INDEX('DONNÉES BRUTES'!O$3:O$42,MATCH(LARGE(IF('DONNÉES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17.4%</v>
      </c>
      <c r="L13" s="401" t="str">
        <f t="array" ref="L13">IFERROR(IF(3&gt;COUNTIF('DONNÉES BRUTES'!C$3:C$42,"Santé"),"",INDEX('DONNÉES BRUTES'!P$3:P$42,MATCH(LARGE(IF('DONNÉES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+8.6%</v>
      </c>
      <c r="M13" s="401" t="str">
        <f t="array" ref="M13">IFERROR(IF(3&gt;COUNTIF('DONNÉES BRUTES'!C$3:C$42,"Santé"),"",INDEX('DONNÉES BRUTES'!Q$3:Q$42,MATCH(LARGE(IF('DONNÉES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+21.0%</v>
      </c>
      <c r="N13" s="401">
        <f t="array" ref="N13">IFERROR(IF(3&gt;COUNTIF('DONNÉES BRUTES'!C$3:C$42,"Santé"),"",INDEX('DONNÉES BRUTES'!S$3:S$42,MATCH(LARGE(IF('DONNÉES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0.94</v>
      </c>
      <c r="O13" s="401" t="str">
        <f t="array" ref="O13">IFERROR(IF(3&gt;COUNTIF('DONNÉES BRUTES'!C$3:C$42,"Santé"),"",INDEX('DONNÉES BRUTES'!T$3:T$42,MATCH(LARGE(IF('DONNÉES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1.1x</v>
      </c>
      <c r="P13" s="401">
        <f t="array" ref="P13">IFERROR(IF(3&gt;COUNTIF('DONNÉES BRUTES'!C$3:C$42,"Santé"),"",INDEX('DONNÉES BRUTES'!U$3:U$42,MATCH(LARGE(IF('DONNÉES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1.81</v>
      </c>
      <c r="Q13" s="405" t="str">
        <f t="array" ref="Q13">IFERROR(IF(3&gt;COUNTIF('DONNÉES BRUTES'!C$3:C$42,"Santé"),"",INDEX('DONNÉES BRUTES'!AD$3:AD$42,MATCH(LARGE(IF('DONNÉES BRUTES'!C$3:C$42="Santé",'DONNÉES BRUTES'!AB$3:AB$42+(ROW('DONNÉES BRUTES'!A$3:A$42)-ROW('DONNÉES BRUTES'!A$3))/1000,0),3),IF('DONNÉES BRUTES'!C$3:C$42="Santé",'DONNÉES BRUTES'!AB$3:AB$42+(ROW('DONNÉES BRUTES'!A$3:A$42)-ROW('DONNÉES BRUTES'!A$3))/1000,0),0))),"—")</f>
        <v>Neutre</v>
      </c>
      <c r="R13" s="397"/>
    </row>
    <row r="14" spans="2:18" ht="15.9" customHeight="1" x14ac:dyDescent="0.3">
      <c r="B14" s="398">
        <v>4</v>
      </c>
      <c r="C14" s="398" t="str">
        <f t="array" ref="C14">IFERROR(IF(4&gt;COUNTIF('DONNÉES BRUTES'!C$3:C$42,"Santé"),"",INDEX('DONNÉES BRUTES'!A$3:A$42,MATCH(LARGE(IF('DONNÉES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HIK.L</v>
      </c>
      <c r="D14" s="398" t="str">
        <f t="array" ref="D14">IFERROR(IF(4&gt;COUNTIF('DONNÉES BRUTES'!C$3:C$42,"Santé"),"",INDEX('DONNÉES BRUTES'!B$3:B$42,MATCH(LARGE(IF('DONNÉES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Hikma Pharmaceuticals PLC</v>
      </c>
      <c r="E14" s="398" t="str">
        <f t="array" ref="E14">IFERROR(IF(4&gt;COUNTIF('DONNÉES BRUTES'!C$3:C$42,"Santé"),"",INT(LARGE(IF('DONNÉES BRUTES'!C$3:C$42="Santé",'DONNÉES BRUTES'!AB$3:AB$42+(ROW('DONNÉES BRUTES'!A$3:A$42)-ROW('DONNÉES BRUTES'!A$3))/1000,0),4))&amp;"/100"),"—")</f>
        <v>50/100</v>
      </c>
      <c r="F14" s="402">
        <f t="array" ref="F14">IFERROR(IF(4&gt;COUNTIF('DONNÉES BRUTES'!C$3:C$42,"Santé"),"",INDEX('DONNÉES BRUTES'!Y$3:Y$42,MATCH(LARGE(IF('DONNÉES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63</v>
      </c>
      <c r="G14" s="402">
        <f t="array" ref="G14">IFERROR(IF(4&gt;COUNTIF('DONNÉES BRUTES'!C$3:C$42,"Santé"),"",INDEX('DONNÉES BRUTES'!Z$3:Z$42,MATCH(LARGE(IF('DONNÉES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53</v>
      </c>
      <c r="H14" s="402">
        <f t="array" ref="H14">IFERROR(IF(4&gt;COUNTIF('DONNÉES BRUTES'!C$3:C$42,"Santé"),"",INDEX('DONNÉES BRUTES'!AA$3:AA$42,MATCH(LARGE(IF('DONNÉES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5</v>
      </c>
      <c r="I14" s="402" t="str">
        <f t="array" ref="I14">IFERROR(IF(4&gt;COUNTIF('DONNÉES BRUTES'!C$3:C$42,"Santé"),"",INDEX('DONNÉES BRUTES'!M$3:M$42,MATCH(LARGE(IF('DONNÉES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45.3%</v>
      </c>
      <c r="J14" s="402" t="str">
        <f t="array" ref="J14">IFERROR(IF(4&gt;COUNTIF('DONNÉES BRUTES'!C$3:C$42,"Santé"),"",INDEX('DONNÉES BRUTES'!N$3:N$42,MATCH(LARGE(IF('DONNÉES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23.2%</v>
      </c>
      <c r="K14" s="402" t="str">
        <f t="array" ref="K14">IFERROR(IF(4&gt;COUNTIF('DONNÉES BRUTES'!C$3:C$42,"Santé"),"",INDEX('DONNÉES BRUTES'!O$3:O$42,MATCH(LARGE(IF('DONNÉES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11.5%</v>
      </c>
      <c r="L14" s="402" t="str">
        <f t="array" ref="L14">IFERROR(IF(4&gt;COUNTIF('DONNÉES BRUTES'!C$3:C$42,"Santé"),"",INDEX('DONNÉES BRUTES'!P$3:P$42,MATCH(LARGE(IF('DONNÉES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+8.8%</v>
      </c>
      <c r="M14" s="402" t="str">
        <f t="array" ref="M14">IFERROR(IF(4&gt;COUNTIF('DONNÉES BRUTES'!C$3:C$42,"Santé"),"",INDEX('DONNÉES BRUTES'!Q$3:Q$42,MATCH(LARGE(IF('DONNÉES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+15.5%</v>
      </c>
      <c r="N14" s="402">
        <f t="array" ref="N14">IFERROR(IF(4&gt;COUNTIF('DONNÉES BRUTES'!C$3:C$42,"Santé"),"",INDEX('DONNÉES BRUTES'!S$3:S$42,MATCH(LARGE(IF('DONNÉES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1.1399999999999999</v>
      </c>
      <c r="O14" s="402" t="str">
        <f t="array" ref="O14">IFERROR(IF(4&gt;COUNTIF('DONNÉES BRUTES'!C$3:C$42,"Santé"),"",INDEX('DONNÉES BRUTES'!T$3:T$42,MATCH(LARGE(IF('DONNÉES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1.5x</v>
      </c>
      <c r="P14" s="402">
        <f t="array" ref="P14">IFERROR(IF(4&gt;COUNTIF('DONNÉES BRUTES'!C$3:C$42,"Santé"),"",INDEX('DONNÉES BRUTES'!U$3:U$42,MATCH(LARGE(IF('DONNÉES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3.42</v>
      </c>
      <c r="Q14" s="406" t="str" cm="1">
        <f t="array" ref="Q14">IFERROR(IF(4&gt;COUNTIF('DONNÉES BRUTES'!C$3:C$42,"Santé"),"",INDEX('DONNÉES BRUTES'!AD$3:AD$42,MATCH(LARGE(IF('DONNÉES BRUTES'!C$3:C$42="Santé",'DONNÉES BRUTES'!AB$3:AB$42+(ROW('DONNÉES BRUTES'!A$3:A$42)-ROW('DONNÉES BRUTES'!A$3))/1000,0),4),IF('DONNÉES BRUTES'!C$3:C$42="Santé",'DONNÉES BRUTES'!AB$3:AB$42+(ROW('DONNÉES BRUTES'!A$3:A$42)-ROW('DONNÉES BRUTES'!A$3))/1000,0),0))),"—")</f>
        <v>Neutre</v>
      </c>
      <c r="R14" s="397"/>
    </row>
    <row r="15" spans="2:18" ht="15.9" customHeight="1" x14ac:dyDescent="0.3">
      <c r="B15" s="396">
        <v>5</v>
      </c>
      <c r="C15" s="396" t="str">
        <f t="array" ref="C15">IFERROR(IF(5&gt;COUNTIF('DONNÉES BRUTES'!C$3:C$42,"Santé"),"",INDEX('DONNÉES BRUTES'!A$3:A$42,MATCH(LARGE(IF('DONNÉES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D15" s="396" t="str">
        <f t="array" ref="D15">IFERROR(IF(5&gt;COUNTIF('DONNÉES BRUTES'!C$3:C$42,"Santé"),"",INDEX('DONNÉES BRUTES'!B$3:B$42,MATCH(LARGE(IF('DONNÉES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E15" s="396" t="str">
        <f t="array" ref="E15">IFERROR(IF(5&gt;COUNTIF('DONNÉES BRUTES'!C$3:C$42,"Santé"),"",INT(LARGE(IF('DONNÉES BRUTES'!C$3:C$42="Santé",'DONNÉES BRUTES'!AB$3:AB$42+(ROW('DONNÉES BRUTES'!A$3:A$42)-ROW('DONNÉES BRUTES'!A$3))/1000,0),5))&amp;"/100"),"—")</f>
        <v/>
      </c>
      <c r="F15" s="396" t="str">
        <f t="array" ref="F15">IFERROR(IF(5&gt;COUNTIF('DONNÉES BRUTES'!C$3:C$42,"Santé"),"",INDEX('DONNÉES BRUTES'!Y$3:Y$42,MATCH(LARGE(IF('DONNÉES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G15" s="396" t="str">
        <f t="array" ref="G15">IFERROR(IF(5&gt;COUNTIF('DONNÉES BRUTES'!C$3:C$42,"Santé"),"",INDEX('DONNÉES BRUTES'!Z$3:Z$42,MATCH(LARGE(IF('DONNÉES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H15" s="396" t="str">
        <f t="array" ref="H15">IFERROR(IF(5&gt;COUNTIF('DONNÉES BRUTES'!C$3:C$42,"Santé"),"",INDEX('DONNÉES BRUTES'!AA$3:AA$42,MATCH(LARGE(IF('DONNÉES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I15" s="396" t="str">
        <f t="array" ref="I15">IFERROR(IF(5&gt;COUNTIF('DONNÉES BRUTES'!C$3:C$42,"Santé"),"",INDEX('DONNÉES BRUTES'!M$3:M$42,MATCH(LARGE(IF('DONNÉES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J15" s="396" t="str">
        <f t="array" ref="J15">IFERROR(IF(5&gt;COUNTIF('DONNÉES BRUTES'!C$3:C$42,"Santé"),"",INDEX('DONNÉES BRUTES'!N$3:N$42,MATCH(LARGE(IF('DONNÉES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K15" s="396" t="str">
        <f t="array" ref="K15">IFERROR(IF(5&gt;COUNTIF('DONNÉES BRUTES'!C$3:C$42,"Santé"),"",INDEX('DONNÉES BRUTES'!O$3:O$42,MATCH(LARGE(IF('DONNÉES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L15" s="396" t="str">
        <f t="array" ref="L15">IFERROR(IF(5&gt;COUNTIF('DONNÉES BRUTES'!C$3:C$42,"Santé"),"",INDEX('DONNÉES BRUTES'!P$3:P$42,MATCH(LARGE(IF('DONNÉES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M15" s="396" t="str">
        <f t="array" ref="M15">IFERROR(IF(5&gt;COUNTIF('DONNÉES BRUTES'!C$3:C$42,"Santé"),"",INDEX('DONNÉES BRUTES'!Q$3:Q$42,MATCH(LARGE(IF('DONNÉES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N15" s="396" t="str">
        <f t="array" ref="N15">IFERROR(IF(5&gt;COUNTIF('DONNÉES BRUTES'!C$3:C$42,"Santé"),"",INDEX('DONNÉES BRUTES'!S$3:S$42,MATCH(LARGE(IF('DONNÉES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O15" s="396" t="str">
        <f t="array" ref="O15">IFERROR(IF(5&gt;COUNTIF('DONNÉES BRUTES'!C$3:C$42,"Santé"),"",INDEX('DONNÉES BRUTES'!T$3:T$42,MATCH(LARGE(IF('DONNÉES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P15" s="396" t="str">
        <f t="array" ref="P15">IFERROR(IF(5&gt;COUNTIF('DONNÉES BRUTES'!C$3:C$42,"Santé"),"",INDEX('DONNÉES BRUTES'!U$3:U$42,MATCH(LARGE(IF('DONNÉES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Q15" s="405" t="str">
        <f t="array" ref="Q15">IFERROR(IF(5&gt;COUNTIF('DONNÉES BRUTES'!C$3:C$42,"Santé"),"",INDEX('DONNÉES BRUTES'!AD$3:AD$42,MATCH(LARGE(IF('DONNÉES BRUTES'!C$3:C$42="Santé",'DONNÉES BRUTES'!AB$3:AB$42+(ROW('DONNÉES BRUTES'!A$3:A$42)-ROW('DONNÉES BRUTES'!A$3))/1000,0),5),IF('DONNÉES BRUTES'!C$3:C$42="Santé",'DONNÉES BRUTES'!AB$3:AB$42+(ROW('DONNÉES BRUTES'!A$3:A$42)-ROW('DONNÉES BRUTES'!A$3))/1000,0),0))),"—")</f>
        <v/>
      </c>
      <c r="R15" s="397"/>
    </row>
    <row r="16" spans="2:18" ht="15.9" customHeight="1" x14ac:dyDescent="0.3">
      <c r="B16" s="397">
        <v>6</v>
      </c>
      <c r="C16" s="397" t="str">
        <f t="array" ref="C16">IFERROR(IF(6&gt;COUNTIF('DONNÉES BRUTES'!C$3:C$42,"Santé"),"",INDEX('DONNÉES BRUTES'!A$3:A$42,MATCH(LARGE(IF('DONNÉES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D16" s="397" t="str">
        <f t="array" ref="D16">IFERROR(IF(6&gt;COUNTIF('DONNÉES BRUTES'!C$3:C$42,"Santé"),"",INDEX('DONNÉES BRUTES'!B$3:B$42,MATCH(LARGE(IF('DONNÉES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E16" s="397" t="str">
        <f t="array" ref="E16">IFERROR(IF(6&gt;COUNTIF('DONNÉES BRUTES'!C$3:C$42,"Santé"),"",INT(LARGE(IF('DONNÉES BRUTES'!C$3:C$42="Santé",'DONNÉES BRUTES'!AB$3:AB$42+(ROW('DONNÉES BRUTES'!A$3:A$42)-ROW('DONNÉES BRUTES'!A$3))/1000,0),6))&amp;"/100"),"—")</f>
        <v/>
      </c>
      <c r="F16" s="397" t="str">
        <f t="array" ref="F16">IFERROR(IF(6&gt;COUNTIF('DONNÉES BRUTES'!C$3:C$42,"Santé"),"",INDEX('DONNÉES BRUTES'!Y$3:Y$42,MATCH(LARGE(IF('DONNÉES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G16" s="397" t="str">
        <f t="array" ref="G16">IFERROR(IF(6&gt;COUNTIF('DONNÉES BRUTES'!C$3:C$42,"Santé"),"",INDEX('DONNÉES BRUTES'!Z$3:Z$42,MATCH(LARGE(IF('DONNÉES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H16" s="397" t="str">
        <f t="array" ref="H16">IFERROR(IF(6&gt;COUNTIF('DONNÉES BRUTES'!C$3:C$42,"Santé"),"",INDEX('DONNÉES BRUTES'!AA$3:AA$42,MATCH(LARGE(IF('DONNÉES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I16" s="397" t="str">
        <f t="array" ref="I16">IFERROR(IF(6&gt;COUNTIF('DONNÉES BRUTES'!C$3:C$42,"Santé"),"",INDEX('DONNÉES BRUTES'!M$3:M$42,MATCH(LARGE(IF('DONNÉES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J16" s="397" t="str">
        <f t="array" ref="J16">IFERROR(IF(6&gt;COUNTIF('DONNÉES BRUTES'!C$3:C$42,"Santé"),"",INDEX('DONNÉES BRUTES'!N$3:N$42,MATCH(LARGE(IF('DONNÉES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K16" s="397" t="str">
        <f t="array" ref="K16">IFERROR(IF(6&gt;COUNTIF('DONNÉES BRUTES'!C$3:C$42,"Santé"),"",INDEX('DONNÉES BRUTES'!O$3:O$42,MATCH(LARGE(IF('DONNÉES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L16" s="397" t="str">
        <f t="array" ref="L16">IFERROR(IF(6&gt;COUNTIF('DONNÉES BRUTES'!C$3:C$42,"Santé"),"",INDEX('DONNÉES BRUTES'!P$3:P$42,MATCH(LARGE(IF('DONNÉES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M16" s="397" t="str">
        <f t="array" ref="M16">IFERROR(IF(6&gt;COUNTIF('DONNÉES BRUTES'!C$3:C$42,"Santé"),"",INDEX('DONNÉES BRUTES'!Q$3:Q$42,MATCH(LARGE(IF('DONNÉES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N16" s="397" t="str">
        <f t="array" ref="N16">IFERROR(IF(6&gt;COUNTIF('DONNÉES BRUTES'!C$3:C$42,"Santé"),"",INDEX('DONNÉES BRUTES'!S$3:S$42,MATCH(LARGE(IF('DONNÉES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O16" s="397" t="str">
        <f t="array" ref="O16">IFERROR(IF(6&gt;COUNTIF('DONNÉES BRUTES'!C$3:C$42,"Santé"),"",INDEX('DONNÉES BRUTES'!T$3:T$42,MATCH(LARGE(IF('DONNÉES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P16" s="397" t="str">
        <f t="array" ref="P16">IFERROR(IF(6&gt;COUNTIF('DONNÉES BRUTES'!C$3:C$42,"Santé"),"",INDEX('DONNÉES BRUTES'!U$3:U$42,MATCH(LARGE(IF('DONNÉES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Q16" s="407" t="str">
        <f t="array" ref="Q16">IFERROR(IF(6&gt;COUNTIF('DONNÉES BRUTES'!C$3:C$42,"Santé"),"",INDEX('DONNÉES BRUTES'!AD$3:AD$42,MATCH(LARGE(IF('DONNÉES BRUTES'!C$3:C$42="Santé",'DONNÉES BRUTES'!AB$3:AB$42+(ROW('DONNÉES BRUTES'!A$3:A$42)-ROW('DONNÉES BRUTES'!A$3))/1000,0),6),IF('DONNÉES BRUTES'!C$3:C$42="Santé",'DONNÉES BRUTES'!AB$3:AB$42+(ROW('DONNÉES BRUTES'!A$3:A$42)-ROW('DONNÉES BRUTES'!A$3))/1000,0),0))),"—")</f>
        <v/>
      </c>
      <c r="R16" s="397"/>
    </row>
    <row r="17" spans="2:28" ht="15.9" customHeight="1" x14ac:dyDescent="0.3">
      <c r="B17" s="397">
        <v>7</v>
      </c>
      <c r="C17" s="397" t="str">
        <f t="array" ref="C17">IFERROR(IF(7&gt;COUNTIF('DONNÉES BRUTES'!C$3:C$42,"Santé"),"",INDEX('DONNÉES BRUTES'!A$3:A$42,MATCH(LARGE(IF('DONNÉES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D17" s="397" t="str">
        <f t="array" ref="D17">IFERROR(IF(7&gt;COUNTIF('DONNÉES BRUTES'!C$3:C$42,"Santé"),"",INDEX('DONNÉES BRUTES'!B$3:B$42,MATCH(LARGE(IF('DONNÉES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E17" s="397" t="str">
        <f t="array" ref="E17">IFERROR(IF(7&gt;COUNTIF('DONNÉES BRUTES'!C$3:C$42,"Santé"),"",INT(LARGE(IF('DONNÉES BRUTES'!C$3:C$42="Santé",'DONNÉES BRUTES'!AB$3:AB$42+(ROW('DONNÉES BRUTES'!A$3:A$42)-ROW('DONNÉES BRUTES'!A$3))/1000,0),7))&amp;"/100"),"—")</f>
        <v/>
      </c>
      <c r="F17" s="397" t="str">
        <f t="array" ref="F17">IFERROR(IF(7&gt;COUNTIF('DONNÉES BRUTES'!C$3:C$42,"Santé"),"",INDEX('DONNÉES BRUTES'!Y$3:Y$42,MATCH(LARGE(IF('DONNÉES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G17" s="397" t="str">
        <f t="array" ref="G17">IFERROR(IF(7&gt;COUNTIF('DONNÉES BRUTES'!C$3:C$42,"Santé"),"",INDEX('DONNÉES BRUTES'!Z$3:Z$42,MATCH(LARGE(IF('DONNÉES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H17" s="397" t="str">
        <f t="array" ref="H17">IFERROR(IF(7&gt;COUNTIF('DONNÉES BRUTES'!C$3:C$42,"Santé"),"",INDEX('DONNÉES BRUTES'!AA$3:AA$42,MATCH(LARGE(IF('DONNÉES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I17" s="397" t="str">
        <f t="array" ref="I17">IFERROR(IF(7&gt;COUNTIF('DONNÉES BRUTES'!C$3:C$42,"Santé"),"",INDEX('DONNÉES BRUTES'!M$3:M$42,MATCH(LARGE(IF('DONNÉES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J17" s="397" t="str">
        <f t="array" ref="J17">IFERROR(IF(7&gt;COUNTIF('DONNÉES BRUTES'!C$3:C$42,"Santé"),"",INDEX('DONNÉES BRUTES'!N$3:N$42,MATCH(LARGE(IF('DONNÉES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K17" s="397" t="str">
        <f t="array" ref="K17">IFERROR(IF(7&gt;COUNTIF('DONNÉES BRUTES'!C$3:C$42,"Santé"),"",INDEX('DONNÉES BRUTES'!O$3:O$42,MATCH(LARGE(IF('DONNÉES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L17" s="397" t="str">
        <f t="array" ref="L17">IFERROR(IF(7&gt;COUNTIF('DONNÉES BRUTES'!C$3:C$42,"Santé"),"",INDEX('DONNÉES BRUTES'!P$3:P$42,MATCH(LARGE(IF('DONNÉES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M17" s="397" t="str">
        <f t="array" ref="M17">IFERROR(IF(7&gt;COUNTIF('DONNÉES BRUTES'!C$3:C$42,"Santé"),"",INDEX('DONNÉES BRUTES'!Q$3:Q$42,MATCH(LARGE(IF('DONNÉES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N17" s="397" t="str">
        <f t="array" ref="N17">IFERROR(IF(7&gt;COUNTIF('DONNÉES BRUTES'!C$3:C$42,"Santé"),"",INDEX('DONNÉES BRUTES'!S$3:S$42,MATCH(LARGE(IF('DONNÉES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O17" s="397" t="str">
        <f t="array" ref="O17">IFERROR(IF(7&gt;COUNTIF('DONNÉES BRUTES'!C$3:C$42,"Santé"),"",INDEX('DONNÉES BRUTES'!T$3:T$42,MATCH(LARGE(IF('DONNÉES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P17" s="397" t="str">
        <f t="array" ref="P17">IFERROR(IF(7&gt;COUNTIF('DONNÉES BRUTES'!C$3:C$42,"Santé"),"",INDEX('DONNÉES BRUTES'!U$3:U$42,MATCH(LARGE(IF('DONNÉES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Q17" s="407" t="str">
        <f t="array" ref="Q17">IFERROR(IF(7&gt;COUNTIF('DONNÉES BRUTES'!C$3:C$42,"Santé"),"",INDEX('DONNÉES BRUTES'!AD$3:AD$42,MATCH(LARGE(IF('DONNÉES BRUTES'!C$3:C$42="Santé",'DONNÉES BRUTES'!AB$3:AB$42+(ROW('DONNÉES BRUTES'!A$3:A$42)-ROW('DONNÉES BRUTES'!A$3))/1000,0),7),IF('DONNÉES BRUTES'!C$3:C$42="Santé",'DONNÉES BRUTES'!AB$3:AB$42+(ROW('DONNÉES BRUTES'!A$3:A$42)-ROW('DONNÉES BRUTES'!A$3))/1000,0),0))),"—")</f>
        <v/>
      </c>
      <c r="R17" s="397"/>
    </row>
    <row r="18" spans="2:28" ht="15.9" customHeight="1" x14ac:dyDescent="0.3">
      <c r="B18" s="397">
        <v>8</v>
      </c>
      <c r="C18" s="397" t="str">
        <f t="array" ref="C18">IFERROR(IF(8&gt;COUNTIF('DONNÉES BRUTES'!C$3:C$42,"Santé"),"",INDEX('DONNÉES BRUTES'!A$3:A$42,MATCH(LARGE(IF('DONNÉES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D18" s="397" t="str">
        <f t="array" ref="D18">IFERROR(IF(8&gt;COUNTIF('DONNÉES BRUTES'!C$3:C$42,"Santé"),"",INDEX('DONNÉES BRUTES'!B$3:B$42,MATCH(LARGE(IF('DONNÉES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E18" s="397" t="str">
        <f t="array" ref="E18">IFERROR(IF(8&gt;COUNTIF('DONNÉES BRUTES'!C$3:C$42,"Santé"),"",INT(LARGE(IF('DONNÉES BRUTES'!C$3:C$42="Santé",'DONNÉES BRUTES'!AB$3:AB$42+(ROW('DONNÉES BRUTES'!A$3:A$42)-ROW('DONNÉES BRUTES'!A$3))/1000,0),8))&amp;"/100"),"—")</f>
        <v/>
      </c>
      <c r="F18" s="397" t="str">
        <f t="array" ref="F18">IFERROR(IF(8&gt;COUNTIF('DONNÉES BRUTES'!C$3:C$42,"Santé"),"",INDEX('DONNÉES BRUTES'!Y$3:Y$42,MATCH(LARGE(IF('DONNÉES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G18" s="397" t="str">
        <f t="array" ref="G18">IFERROR(IF(8&gt;COUNTIF('DONNÉES BRUTES'!C$3:C$42,"Santé"),"",INDEX('DONNÉES BRUTES'!Z$3:Z$42,MATCH(LARGE(IF('DONNÉES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H18" s="397" t="str">
        <f t="array" ref="H18">IFERROR(IF(8&gt;COUNTIF('DONNÉES BRUTES'!C$3:C$42,"Santé"),"",INDEX('DONNÉES BRUTES'!AA$3:AA$42,MATCH(LARGE(IF('DONNÉES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I18" s="397" t="str">
        <f t="array" ref="I18">IFERROR(IF(8&gt;COUNTIF('DONNÉES BRUTES'!C$3:C$42,"Santé"),"",INDEX('DONNÉES BRUTES'!M$3:M$42,MATCH(LARGE(IF('DONNÉES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J18" s="397" t="str">
        <f t="array" ref="J18">IFERROR(IF(8&gt;COUNTIF('DONNÉES BRUTES'!C$3:C$42,"Santé"),"",INDEX('DONNÉES BRUTES'!N$3:N$42,MATCH(LARGE(IF('DONNÉES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K18" s="397" t="str">
        <f t="array" ref="K18">IFERROR(IF(8&gt;COUNTIF('DONNÉES BRUTES'!C$3:C$42,"Santé"),"",INDEX('DONNÉES BRUTES'!O$3:O$42,MATCH(LARGE(IF('DONNÉES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L18" s="397" t="str">
        <f t="array" ref="L18">IFERROR(IF(8&gt;COUNTIF('DONNÉES BRUTES'!C$3:C$42,"Santé"),"",INDEX('DONNÉES BRUTES'!P$3:P$42,MATCH(LARGE(IF('DONNÉES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M18" s="397" t="str">
        <f t="array" ref="M18">IFERROR(IF(8&gt;COUNTIF('DONNÉES BRUTES'!C$3:C$42,"Santé"),"",INDEX('DONNÉES BRUTES'!Q$3:Q$42,MATCH(LARGE(IF('DONNÉES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N18" s="397" t="str">
        <f t="array" ref="N18">IFERROR(IF(8&gt;COUNTIF('DONNÉES BRUTES'!C$3:C$42,"Santé"),"",INDEX('DONNÉES BRUTES'!S$3:S$42,MATCH(LARGE(IF('DONNÉES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O18" s="397" t="str">
        <f t="array" ref="O18">IFERROR(IF(8&gt;COUNTIF('DONNÉES BRUTES'!C$3:C$42,"Santé"),"",INDEX('DONNÉES BRUTES'!T$3:T$42,MATCH(LARGE(IF('DONNÉES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P18" s="397" t="str">
        <f t="array" ref="P18">IFERROR(IF(8&gt;COUNTIF('DONNÉES BRUTES'!C$3:C$42,"Santé"),"",INDEX('DONNÉES BRUTES'!U$3:U$42,MATCH(LARGE(IF('DONNÉES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Q18" s="407" t="str">
        <f t="array" ref="Q18">IFERROR(IF(8&gt;COUNTIF('DONNÉES BRUTES'!C$3:C$42,"Santé"),"",INDEX('DONNÉES BRUTES'!AD$3:AD$42,MATCH(LARGE(IF('DONNÉES BRUTES'!C$3:C$42="Santé",'DONNÉES BRUTES'!AB$3:AB$42+(ROW('DONNÉES BRUTES'!A$3:A$42)-ROW('DONNÉES BRUTES'!A$3))/1000,0),8),IF('DONNÉES BRUTES'!C$3:C$42="Santé",'DONNÉES BRUTES'!AB$3:AB$42+(ROW('DONNÉES BRUTES'!A$3:A$42)-ROW('DONNÉES BRUTES'!A$3))/1000,0),0))),"—")</f>
        <v/>
      </c>
      <c r="R18" s="397"/>
    </row>
    <row r="19" spans="2:28" ht="15.9" customHeight="1" x14ac:dyDescent="0.3">
      <c r="B19" s="397">
        <v>9</v>
      </c>
      <c r="C19" s="397" t="str">
        <f t="array" ref="C19">IFERROR(IF(9&gt;COUNTIF('DONNÉES BRUTES'!C$3:C$42,"Santé"),"",INDEX('DONNÉES BRUTES'!A$3:A$42,MATCH(LARGE(IF('DONNÉES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D19" s="397" t="str">
        <f t="array" ref="D19">IFERROR(IF(9&gt;COUNTIF('DONNÉES BRUTES'!C$3:C$42,"Santé"),"",INDEX('DONNÉES BRUTES'!B$3:B$42,MATCH(LARGE(IF('DONNÉES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E19" s="397" t="str">
        <f t="array" ref="E19">IFERROR(IF(9&gt;COUNTIF('DONNÉES BRUTES'!C$3:C$42,"Santé"),"",INT(LARGE(IF('DONNÉES BRUTES'!C$3:C$42="Santé",'DONNÉES BRUTES'!AB$3:AB$42+(ROW('DONNÉES BRUTES'!A$3:A$42)-ROW('DONNÉES BRUTES'!A$3))/1000,0),9))&amp;"/100"),"—")</f>
        <v/>
      </c>
      <c r="F19" s="397" t="str">
        <f t="array" ref="F19">IFERROR(IF(9&gt;COUNTIF('DONNÉES BRUTES'!C$3:C$42,"Santé"),"",INDEX('DONNÉES BRUTES'!Y$3:Y$42,MATCH(LARGE(IF('DONNÉES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G19" s="397" t="str">
        <f t="array" ref="G19">IFERROR(IF(9&gt;COUNTIF('DONNÉES BRUTES'!C$3:C$42,"Santé"),"",INDEX('DONNÉES BRUTES'!Z$3:Z$42,MATCH(LARGE(IF('DONNÉES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H19" s="397" t="str">
        <f t="array" ref="H19">IFERROR(IF(9&gt;COUNTIF('DONNÉES BRUTES'!C$3:C$42,"Santé"),"",INDEX('DONNÉES BRUTES'!AA$3:AA$42,MATCH(LARGE(IF('DONNÉES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I19" s="397" t="str">
        <f t="array" ref="I19">IFERROR(IF(9&gt;COUNTIF('DONNÉES BRUTES'!C$3:C$42,"Santé"),"",INDEX('DONNÉES BRUTES'!M$3:M$42,MATCH(LARGE(IF('DONNÉES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J19" s="397" t="str">
        <f t="array" ref="J19">IFERROR(IF(9&gt;COUNTIF('DONNÉES BRUTES'!C$3:C$42,"Santé"),"",INDEX('DONNÉES BRUTES'!N$3:N$42,MATCH(LARGE(IF('DONNÉES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K19" s="397" t="str">
        <f t="array" ref="K19">IFERROR(IF(9&gt;COUNTIF('DONNÉES BRUTES'!C$3:C$42,"Santé"),"",INDEX('DONNÉES BRUTES'!O$3:O$42,MATCH(LARGE(IF('DONNÉES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L19" s="397" t="str">
        <f t="array" ref="L19">IFERROR(IF(9&gt;COUNTIF('DONNÉES BRUTES'!C$3:C$42,"Santé"),"",INDEX('DONNÉES BRUTES'!P$3:P$42,MATCH(LARGE(IF('DONNÉES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M19" s="397" t="str">
        <f t="array" ref="M19">IFERROR(IF(9&gt;COUNTIF('DONNÉES BRUTES'!C$3:C$42,"Santé"),"",INDEX('DONNÉES BRUTES'!Q$3:Q$42,MATCH(LARGE(IF('DONNÉES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N19" s="397" t="str">
        <f t="array" ref="N19">IFERROR(IF(9&gt;COUNTIF('DONNÉES BRUTES'!C$3:C$42,"Santé"),"",INDEX('DONNÉES BRUTES'!S$3:S$42,MATCH(LARGE(IF('DONNÉES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O19" s="397" t="str">
        <f t="array" ref="O19">IFERROR(IF(9&gt;COUNTIF('DONNÉES BRUTES'!C$3:C$42,"Santé"),"",INDEX('DONNÉES BRUTES'!T$3:T$42,MATCH(LARGE(IF('DONNÉES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P19" s="397" t="str">
        <f t="array" ref="P19">IFERROR(IF(9&gt;COUNTIF('DONNÉES BRUTES'!C$3:C$42,"Santé"),"",INDEX('DONNÉES BRUTES'!U$3:U$42,MATCH(LARGE(IF('DONNÉES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Q19" s="407" t="str">
        <f t="array" ref="Q19">IFERROR(IF(9&gt;COUNTIF('DONNÉES BRUTES'!C$3:C$42,"Santé"),"",INDEX('DONNÉES BRUTES'!AD$3:AD$42,MATCH(LARGE(IF('DONNÉES BRUTES'!C$3:C$42="Santé",'DONNÉES BRUTES'!AB$3:AB$42+(ROW('DONNÉES BRUTES'!A$3:A$42)-ROW('DONNÉES BRUTES'!A$3))/1000,0),9),IF('DONNÉES BRUTES'!C$3:C$42="Santé",'DONNÉES BRUTES'!AB$3:AB$42+(ROW('DONNÉES BRUTES'!A$3:A$42)-ROW('DONNÉES BRUTES'!A$3))/1000,0),0))),"—")</f>
        <v/>
      </c>
      <c r="R19" s="397"/>
    </row>
    <row r="20" spans="2:28" ht="15.9" customHeight="1" x14ac:dyDescent="0.3">
      <c r="B20" s="397">
        <v>10</v>
      </c>
      <c r="C20" s="397" t="str">
        <f t="array" ref="C20">IFERROR(IF(10&gt;COUNTIF('DONNÉES BRUTES'!C$3:C$42,"Santé"),"",INDEX('DONNÉES BRUTES'!A$3:A$42,MATCH(LARGE(IF('DONNÉES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D20" s="397" t="str">
        <f t="array" ref="D20">IFERROR(IF(10&gt;COUNTIF('DONNÉES BRUTES'!C$3:C$42,"Santé"),"",INDEX('DONNÉES BRUTES'!B$3:B$42,MATCH(LARGE(IF('DONNÉES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E20" s="397" t="str">
        <f t="array" ref="E20">IFERROR(IF(10&gt;COUNTIF('DONNÉES BRUTES'!C$3:C$42,"Santé"),"",INT(LARGE(IF('DONNÉES BRUTES'!C$3:C$42="Santé",'DONNÉES BRUTES'!AB$3:AB$42+(ROW('DONNÉES BRUTES'!A$3:A$42)-ROW('DONNÉES BRUTES'!A$3))/1000,0),10))&amp;"/100"),"—")</f>
        <v/>
      </c>
      <c r="F20" s="397" t="str">
        <f t="array" ref="F20">IFERROR(IF(10&gt;COUNTIF('DONNÉES BRUTES'!C$3:C$42,"Santé"),"",INDEX('DONNÉES BRUTES'!Y$3:Y$42,MATCH(LARGE(IF('DONNÉES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G20" s="397" t="str">
        <f t="array" ref="G20">IFERROR(IF(10&gt;COUNTIF('DONNÉES BRUTES'!C$3:C$42,"Santé"),"",INDEX('DONNÉES BRUTES'!Z$3:Z$42,MATCH(LARGE(IF('DONNÉES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H20" s="397" t="str">
        <f t="array" ref="H20">IFERROR(IF(10&gt;COUNTIF('DONNÉES BRUTES'!C$3:C$42,"Santé"),"",INDEX('DONNÉES BRUTES'!AA$3:AA$42,MATCH(LARGE(IF('DONNÉES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I20" s="397" t="str">
        <f t="array" ref="I20">IFERROR(IF(10&gt;COUNTIF('DONNÉES BRUTES'!C$3:C$42,"Santé"),"",INDEX('DONNÉES BRUTES'!M$3:M$42,MATCH(LARGE(IF('DONNÉES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J20" s="397" t="str">
        <f t="array" ref="J20">IFERROR(IF(10&gt;COUNTIF('DONNÉES BRUTES'!C$3:C$42,"Santé"),"",INDEX('DONNÉES BRUTES'!N$3:N$42,MATCH(LARGE(IF('DONNÉES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K20" s="397" t="str">
        <f t="array" ref="K20">IFERROR(IF(10&gt;COUNTIF('DONNÉES BRUTES'!C$3:C$42,"Santé"),"",INDEX('DONNÉES BRUTES'!O$3:O$42,MATCH(LARGE(IF('DONNÉES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L20" s="397" t="str">
        <f t="array" ref="L20">IFERROR(IF(10&gt;COUNTIF('DONNÉES BRUTES'!C$3:C$42,"Santé"),"",INDEX('DONNÉES BRUTES'!P$3:P$42,MATCH(LARGE(IF('DONNÉES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M20" s="397" t="str">
        <f t="array" ref="M20">IFERROR(IF(10&gt;COUNTIF('DONNÉES BRUTES'!C$3:C$42,"Santé"),"",INDEX('DONNÉES BRUTES'!Q$3:Q$42,MATCH(LARGE(IF('DONNÉES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N20" s="397" t="str">
        <f t="array" ref="N20">IFERROR(IF(10&gt;COUNTIF('DONNÉES BRUTES'!C$3:C$42,"Santé"),"",INDEX('DONNÉES BRUTES'!S$3:S$42,MATCH(LARGE(IF('DONNÉES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O20" s="397" t="str">
        <f t="array" ref="O20">IFERROR(IF(10&gt;COUNTIF('DONNÉES BRUTES'!C$3:C$42,"Santé"),"",INDEX('DONNÉES BRUTES'!T$3:T$42,MATCH(LARGE(IF('DONNÉES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P20" s="397" t="str">
        <f t="array" ref="P20">IFERROR(IF(10&gt;COUNTIF('DONNÉES BRUTES'!C$3:C$42,"Santé"),"",INDEX('DONNÉES BRUTES'!U$3:U$42,MATCH(LARGE(IF('DONNÉES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Q20" s="407" t="str">
        <f t="array" ref="Q20">IFERROR(IF(10&gt;COUNTIF('DONNÉES BRUTES'!C$3:C$42,"Santé"),"",INDEX('DONNÉES BRUTES'!AD$3:AD$42,MATCH(LARGE(IF('DONNÉES BRUTES'!C$3:C$42="Santé",'DONNÉES BRUTES'!AB$3:AB$42+(ROW('DONNÉES BRUTES'!A$3:A$42)-ROW('DONNÉES BRUTES'!A$3))/1000,0),10),IF('DONNÉES BRUTES'!C$3:C$42="Santé",'DONNÉES BRUTES'!AB$3:AB$42+(ROW('DONNÉES BRUTES'!A$3:A$42)-ROW('DONNÉES BRUTES'!A$3))/1000,0),0))),"—")</f>
        <v/>
      </c>
      <c r="R20" s="397"/>
    </row>
    <row r="21" spans="2:28" ht="15.9" customHeight="1" x14ac:dyDescent="0.3">
      <c r="B21" s="397">
        <v>11</v>
      </c>
      <c r="C21" s="397" t="str">
        <f t="array" ref="C21">IFERROR(IF(11&gt;COUNTIF('DONNÉES BRUTES'!C$3:C$42,"Santé"),"",INDEX('DONNÉES BRUTES'!A$3:A$42,MATCH(LARGE(IF('DONNÉES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D21" s="397" t="str">
        <f t="array" ref="D21">IFERROR(IF(11&gt;COUNTIF('DONNÉES BRUTES'!C$3:C$42,"Santé"),"",INDEX('DONNÉES BRUTES'!B$3:B$42,MATCH(LARGE(IF('DONNÉES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E21" s="397" t="str">
        <f t="array" ref="E21">IFERROR(IF(11&gt;COUNTIF('DONNÉES BRUTES'!C$3:C$42,"Santé"),"",INT(LARGE(IF('DONNÉES BRUTES'!C$3:C$42="Santé",'DONNÉES BRUTES'!AB$3:AB$42+(ROW('DONNÉES BRUTES'!A$3:A$42)-ROW('DONNÉES BRUTES'!A$3))/1000,0),11))&amp;"/100"),"—")</f>
        <v/>
      </c>
      <c r="F21" s="397" t="str">
        <f t="array" ref="F21">IFERROR(IF(11&gt;COUNTIF('DONNÉES BRUTES'!C$3:C$42,"Santé"),"",INDEX('DONNÉES BRUTES'!Y$3:Y$42,MATCH(LARGE(IF('DONNÉES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G21" s="397" t="str">
        <f t="array" ref="G21">IFERROR(IF(11&gt;COUNTIF('DONNÉES BRUTES'!C$3:C$42,"Santé"),"",INDEX('DONNÉES BRUTES'!Z$3:Z$42,MATCH(LARGE(IF('DONNÉES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H21" s="397" t="str">
        <f t="array" ref="H21">IFERROR(IF(11&gt;COUNTIF('DONNÉES BRUTES'!C$3:C$42,"Santé"),"",INDEX('DONNÉES BRUTES'!AA$3:AA$42,MATCH(LARGE(IF('DONNÉES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I21" s="397" t="str">
        <f t="array" ref="I21">IFERROR(IF(11&gt;COUNTIF('DONNÉES BRUTES'!C$3:C$42,"Santé"),"",INDEX('DONNÉES BRUTES'!M$3:M$42,MATCH(LARGE(IF('DONNÉES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J21" s="397" t="str">
        <f t="array" ref="J21">IFERROR(IF(11&gt;COUNTIF('DONNÉES BRUTES'!C$3:C$42,"Santé"),"",INDEX('DONNÉES BRUTES'!N$3:N$42,MATCH(LARGE(IF('DONNÉES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K21" s="397" t="str">
        <f t="array" ref="K21">IFERROR(IF(11&gt;COUNTIF('DONNÉES BRUTES'!C$3:C$42,"Santé"),"",INDEX('DONNÉES BRUTES'!O$3:O$42,MATCH(LARGE(IF('DONNÉES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L21" s="397" t="str">
        <f t="array" ref="L21">IFERROR(IF(11&gt;COUNTIF('DONNÉES BRUTES'!C$3:C$42,"Santé"),"",INDEX('DONNÉES BRUTES'!P$3:P$42,MATCH(LARGE(IF('DONNÉES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M21" s="397" t="str">
        <f t="array" ref="M21">IFERROR(IF(11&gt;COUNTIF('DONNÉES BRUTES'!C$3:C$42,"Santé"),"",INDEX('DONNÉES BRUTES'!Q$3:Q$42,MATCH(LARGE(IF('DONNÉES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N21" s="397" t="str">
        <f t="array" ref="N21">IFERROR(IF(11&gt;COUNTIF('DONNÉES BRUTES'!C$3:C$42,"Santé"),"",INDEX('DONNÉES BRUTES'!S$3:S$42,MATCH(LARGE(IF('DONNÉES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O21" s="397" t="str">
        <f t="array" ref="O21">IFERROR(IF(11&gt;COUNTIF('DONNÉES BRUTES'!C$3:C$42,"Santé"),"",INDEX('DONNÉES BRUTES'!T$3:T$42,MATCH(LARGE(IF('DONNÉES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P21" s="397" t="str">
        <f t="array" ref="P21">IFERROR(IF(11&gt;COUNTIF('DONNÉES BRUTES'!C$3:C$42,"Santé"),"",INDEX('DONNÉES BRUTES'!U$3:U$42,MATCH(LARGE(IF('DONNÉES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Q21" s="407" t="str">
        <f t="array" ref="Q21">IFERROR(IF(11&gt;COUNTIF('DONNÉES BRUTES'!C$3:C$42,"Santé"),"",INDEX('DONNÉES BRUTES'!AD$3:AD$42,MATCH(LARGE(IF('DONNÉES BRUTES'!C$3:C$42="Santé",'DONNÉES BRUTES'!AB$3:AB$42+(ROW('DONNÉES BRUTES'!A$3:A$42)-ROW('DONNÉES BRUTES'!A$3))/1000,0),11),IF('DONNÉES BRUTES'!C$3:C$42="Santé",'DONNÉES BRUTES'!AB$3:AB$42+(ROW('DONNÉES BRUTES'!A$3:A$42)-ROW('DONNÉES BRUTES'!A$3))/1000,0),0))),"—")</f>
        <v/>
      </c>
      <c r="R21" s="397"/>
    </row>
    <row r="22" spans="2:28" ht="15.9" customHeight="1" x14ac:dyDescent="0.3">
      <c r="B22" s="397">
        <v>12</v>
      </c>
      <c r="C22" s="397" t="str">
        <f t="array" ref="C22">IFERROR(IF(12&gt;COUNTIF('DONNÉES BRUTES'!C$3:C$42,"Santé"),"",INDEX('DONNÉES BRUTES'!A$3:A$42,MATCH(LARGE(IF('DONNÉES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D22" s="397" t="str">
        <f t="array" ref="D22">IFERROR(IF(12&gt;COUNTIF('DONNÉES BRUTES'!C$3:C$42,"Santé"),"",INDEX('DONNÉES BRUTES'!B$3:B$42,MATCH(LARGE(IF('DONNÉES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E22" s="397" t="str">
        <f t="array" ref="E22">IFERROR(IF(12&gt;COUNTIF('DONNÉES BRUTES'!C$3:C$42,"Santé"),"",INT(LARGE(IF('DONNÉES BRUTES'!C$3:C$42="Santé",'DONNÉES BRUTES'!AB$3:AB$42+(ROW('DONNÉES BRUTES'!A$3:A$42)-ROW('DONNÉES BRUTES'!A$3))/1000,0),12))&amp;"/100"),"—")</f>
        <v/>
      </c>
      <c r="F22" s="397" t="str">
        <f t="array" ref="F22">IFERROR(IF(12&gt;COUNTIF('DONNÉES BRUTES'!C$3:C$42,"Santé"),"",INDEX('DONNÉES BRUTES'!Y$3:Y$42,MATCH(LARGE(IF('DONNÉES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G22" s="397" t="str">
        <f t="array" ref="G22">IFERROR(IF(12&gt;COUNTIF('DONNÉES BRUTES'!C$3:C$42,"Santé"),"",INDEX('DONNÉES BRUTES'!Z$3:Z$42,MATCH(LARGE(IF('DONNÉES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H22" s="397" t="str">
        <f t="array" ref="H22">IFERROR(IF(12&gt;COUNTIF('DONNÉES BRUTES'!C$3:C$42,"Santé"),"",INDEX('DONNÉES BRUTES'!AA$3:AA$42,MATCH(LARGE(IF('DONNÉES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I22" s="397" t="str">
        <f t="array" ref="I22">IFERROR(IF(12&gt;COUNTIF('DONNÉES BRUTES'!C$3:C$42,"Santé"),"",INDEX('DONNÉES BRUTES'!M$3:M$42,MATCH(LARGE(IF('DONNÉES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J22" s="397" t="str">
        <f t="array" ref="J22">IFERROR(IF(12&gt;COUNTIF('DONNÉES BRUTES'!C$3:C$42,"Santé"),"",INDEX('DONNÉES BRUTES'!N$3:N$42,MATCH(LARGE(IF('DONNÉES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K22" s="397" t="str">
        <f t="array" ref="K22">IFERROR(IF(12&gt;COUNTIF('DONNÉES BRUTES'!C$3:C$42,"Santé"),"",INDEX('DONNÉES BRUTES'!O$3:O$42,MATCH(LARGE(IF('DONNÉES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L22" s="397" t="str">
        <f t="array" ref="L22">IFERROR(IF(12&gt;COUNTIF('DONNÉES BRUTES'!C$3:C$42,"Santé"),"",INDEX('DONNÉES BRUTES'!P$3:P$42,MATCH(LARGE(IF('DONNÉES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M22" s="397" t="str">
        <f t="array" ref="M22">IFERROR(IF(12&gt;COUNTIF('DONNÉES BRUTES'!C$3:C$42,"Santé"),"",INDEX('DONNÉES BRUTES'!Q$3:Q$42,MATCH(LARGE(IF('DONNÉES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N22" s="397" t="str">
        <f t="array" ref="N22">IFERROR(IF(12&gt;COUNTIF('DONNÉES BRUTES'!C$3:C$42,"Santé"),"",INDEX('DONNÉES BRUTES'!S$3:S$42,MATCH(LARGE(IF('DONNÉES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O22" s="397" t="str">
        <f t="array" ref="O22">IFERROR(IF(12&gt;COUNTIF('DONNÉES BRUTES'!C$3:C$42,"Santé"),"",INDEX('DONNÉES BRUTES'!T$3:T$42,MATCH(LARGE(IF('DONNÉES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P22" s="397" t="str">
        <f t="array" ref="P22">IFERROR(IF(12&gt;COUNTIF('DONNÉES BRUTES'!C$3:C$42,"Santé"),"",INDEX('DONNÉES BRUTES'!U$3:U$42,MATCH(LARGE(IF('DONNÉES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Q22" s="407" t="str">
        <f t="array" ref="Q22">IFERROR(IF(12&gt;COUNTIF('DONNÉES BRUTES'!C$3:C$42,"Santé"),"",INDEX('DONNÉES BRUTES'!AD$3:AD$42,MATCH(LARGE(IF('DONNÉES BRUTES'!C$3:C$42="Santé",'DONNÉES BRUTES'!AB$3:AB$42+(ROW('DONNÉES BRUTES'!A$3:A$42)-ROW('DONNÉES BRUTES'!A$3))/1000,0),12),IF('DONNÉES BRUTES'!C$3:C$42="Santé",'DONNÉES BRUTES'!AB$3:AB$42+(ROW('DONNÉES BRUTES'!A$3:A$42)-ROW('DONNÉES BRUTES'!A$3))/1000,0),0))),"—")</f>
        <v/>
      </c>
      <c r="R22" s="397"/>
    </row>
    <row r="23" spans="2:28" ht="15.9" customHeight="1" x14ac:dyDescent="0.3">
      <c r="B23" s="397">
        <v>13</v>
      </c>
      <c r="C23" s="397" t="str">
        <f t="array" ref="C23">IFERROR(IF(13&gt;COUNTIF('DONNÉES BRUTES'!C$3:C$42,"Santé"),"",INDEX('DONNÉES BRUTES'!A$3:A$42,MATCH(LARGE(IF('DONNÉES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D23" s="397" t="str">
        <f t="array" ref="D23">IFERROR(IF(13&gt;COUNTIF('DONNÉES BRUTES'!C$3:C$42,"Santé"),"",INDEX('DONNÉES BRUTES'!B$3:B$42,MATCH(LARGE(IF('DONNÉES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E23" s="397" t="str">
        <f t="array" ref="E23">IFERROR(IF(13&gt;COUNTIF('DONNÉES BRUTES'!C$3:C$42,"Santé"),"",INT(LARGE(IF('DONNÉES BRUTES'!C$3:C$42="Santé",'DONNÉES BRUTES'!AB$3:AB$42+(ROW('DONNÉES BRUTES'!A$3:A$42)-ROW('DONNÉES BRUTES'!A$3))/1000,0),13))&amp;"/100"),"—")</f>
        <v/>
      </c>
      <c r="F23" s="397" t="str">
        <f t="array" ref="F23">IFERROR(IF(13&gt;COUNTIF('DONNÉES BRUTES'!C$3:C$42,"Santé"),"",INDEX('DONNÉES BRUTES'!Y$3:Y$42,MATCH(LARGE(IF('DONNÉES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G23" s="397" t="str">
        <f t="array" ref="G23">IFERROR(IF(13&gt;COUNTIF('DONNÉES BRUTES'!C$3:C$42,"Santé"),"",INDEX('DONNÉES BRUTES'!Z$3:Z$42,MATCH(LARGE(IF('DONNÉES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H23" s="397" t="str">
        <f t="array" ref="H23">IFERROR(IF(13&gt;COUNTIF('DONNÉES BRUTES'!C$3:C$42,"Santé"),"",INDEX('DONNÉES BRUTES'!AA$3:AA$42,MATCH(LARGE(IF('DONNÉES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I23" s="397" t="str">
        <f t="array" ref="I23">IFERROR(IF(13&gt;COUNTIF('DONNÉES BRUTES'!C$3:C$42,"Santé"),"",INDEX('DONNÉES BRUTES'!M$3:M$42,MATCH(LARGE(IF('DONNÉES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J23" s="397" t="str">
        <f t="array" ref="J23">IFERROR(IF(13&gt;COUNTIF('DONNÉES BRUTES'!C$3:C$42,"Santé"),"",INDEX('DONNÉES BRUTES'!N$3:N$42,MATCH(LARGE(IF('DONNÉES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K23" s="397" t="str">
        <f t="array" ref="K23">IFERROR(IF(13&gt;COUNTIF('DONNÉES BRUTES'!C$3:C$42,"Santé"),"",INDEX('DONNÉES BRUTES'!O$3:O$42,MATCH(LARGE(IF('DONNÉES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L23" s="397" t="str">
        <f t="array" ref="L23">IFERROR(IF(13&gt;COUNTIF('DONNÉES BRUTES'!C$3:C$42,"Santé"),"",INDEX('DONNÉES BRUTES'!P$3:P$42,MATCH(LARGE(IF('DONNÉES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M23" s="397" t="str">
        <f t="array" ref="M23">IFERROR(IF(13&gt;COUNTIF('DONNÉES BRUTES'!C$3:C$42,"Santé"),"",INDEX('DONNÉES BRUTES'!Q$3:Q$42,MATCH(LARGE(IF('DONNÉES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N23" s="397" t="str">
        <f t="array" ref="N23">IFERROR(IF(13&gt;COUNTIF('DONNÉES BRUTES'!C$3:C$42,"Santé"),"",INDEX('DONNÉES BRUTES'!S$3:S$42,MATCH(LARGE(IF('DONNÉES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O23" s="397" t="str">
        <f t="array" ref="O23">IFERROR(IF(13&gt;COUNTIF('DONNÉES BRUTES'!C$3:C$42,"Santé"),"",INDEX('DONNÉES BRUTES'!T$3:T$42,MATCH(LARGE(IF('DONNÉES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P23" s="397" t="str">
        <f t="array" ref="P23">IFERROR(IF(13&gt;COUNTIF('DONNÉES BRUTES'!C$3:C$42,"Santé"),"",INDEX('DONNÉES BRUTES'!U$3:U$42,MATCH(LARGE(IF('DONNÉES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Q23" s="407" t="str">
        <f t="array" ref="Q23">IFERROR(IF(13&gt;COUNTIF('DONNÉES BRUTES'!C$3:C$42,"Santé"),"",INDEX('DONNÉES BRUTES'!AD$3:AD$42,MATCH(LARGE(IF('DONNÉES BRUTES'!C$3:C$42="Santé",'DONNÉES BRUTES'!AB$3:AB$42+(ROW('DONNÉES BRUTES'!A$3:A$42)-ROW('DONNÉES BRUTES'!A$3))/1000,0),13),IF('DONNÉES BRUTES'!C$3:C$42="Santé",'DONNÉES BRUTES'!AB$3:AB$42+(ROW('DONNÉES BRUTES'!A$3:A$42)-ROW('DONNÉES BRUTES'!A$3))/1000,0),0))),"—")</f>
        <v/>
      </c>
      <c r="R23" s="397"/>
    </row>
    <row r="24" spans="2:28" ht="15.9" customHeight="1" x14ac:dyDescent="0.3">
      <c r="B24" s="397">
        <v>14</v>
      </c>
      <c r="C24" s="397" t="str">
        <f t="array" ref="C24">IFERROR(IF(14&gt;COUNTIF('DONNÉES BRUTES'!C$3:C$42,"Santé"),"",INDEX('DONNÉES BRUTES'!A$3:A$42,MATCH(LARGE(IF('DONNÉES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D24" s="397" t="str">
        <f t="array" ref="D24">IFERROR(IF(14&gt;COUNTIF('DONNÉES BRUTES'!C$3:C$42,"Santé"),"",INDEX('DONNÉES BRUTES'!B$3:B$42,MATCH(LARGE(IF('DONNÉES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E24" s="397" t="str">
        <f t="array" ref="E24">IFERROR(IF(14&gt;COUNTIF('DONNÉES BRUTES'!C$3:C$42,"Santé"),"",INT(LARGE(IF('DONNÉES BRUTES'!C$3:C$42="Santé",'DONNÉES BRUTES'!AB$3:AB$42+(ROW('DONNÉES BRUTES'!A$3:A$42)-ROW('DONNÉES BRUTES'!A$3))/1000,0),14))&amp;"/100"),"—")</f>
        <v/>
      </c>
      <c r="F24" s="397" t="str">
        <f t="array" ref="F24">IFERROR(IF(14&gt;COUNTIF('DONNÉES BRUTES'!C$3:C$42,"Santé"),"",INDEX('DONNÉES BRUTES'!Y$3:Y$42,MATCH(LARGE(IF('DONNÉES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G24" s="397" t="str">
        <f t="array" ref="G24">IFERROR(IF(14&gt;COUNTIF('DONNÉES BRUTES'!C$3:C$42,"Santé"),"",INDEX('DONNÉES BRUTES'!Z$3:Z$42,MATCH(LARGE(IF('DONNÉES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H24" s="397" t="str">
        <f t="array" ref="H24">IFERROR(IF(14&gt;COUNTIF('DONNÉES BRUTES'!C$3:C$42,"Santé"),"",INDEX('DONNÉES BRUTES'!AA$3:AA$42,MATCH(LARGE(IF('DONNÉES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I24" s="397" t="str">
        <f t="array" ref="I24">IFERROR(IF(14&gt;COUNTIF('DONNÉES BRUTES'!C$3:C$42,"Santé"),"",INDEX('DONNÉES BRUTES'!M$3:M$42,MATCH(LARGE(IF('DONNÉES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J24" s="397" t="str">
        <f t="array" ref="J24">IFERROR(IF(14&gt;COUNTIF('DONNÉES BRUTES'!C$3:C$42,"Santé"),"",INDEX('DONNÉES BRUTES'!N$3:N$42,MATCH(LARGE(IF('DONNÉES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K24" s="397" t="str">
        <f t="array" ref="K24">IFERROR(IF(14&gt;COUNTIF('DONNÉES BRUTES'!C$3:C$42,"Santé"),"",INDEX('DONNÉES BRUTES'!O$3:O$42,MATCH(LARGE(IF('DONNÉES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L24" s="397" t="str">
        <f t="array" ref="L24">IFERROR(IF(14&gt;COUNTIF('DONNÉES BRUTES'!C$3:C$42,"Santé"),"",INDEX('DONNÉES BRUTES'!P$3:P$42,MATCH(LARGE(IF('DONNÉES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M24" s="397" t="str">
        <f t="array" ref="M24">IFERROR(IF(14&gt;COUNTIF('DONNÉES BRUTES'!C$3:C$42,"Santé"),"",INDEX('DONNÉES BRUTES'!Q$3:Q$42,MATCH(LARGE(IF('DONNÉES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N24" s="397" t="str">
        <f t="array" ref="N24">IFERROR(IF(14&gt;COUNTIF('DONNÉES BRUTES'!C$3:C$42,"Santé"),"",INDEX('DONNÉES BRUTES'!S$3:S$42,MATCH(LARGE(IF('DONNÉES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O24" s="397" t="str">
        <f t="array" ref="O24">IFERROR(IF(14&gt;COUNTIF('DONNÉES BRUTES'!C$3:C$42,"Santé"),"",INDEX('DONNÉES BRUTES'!T$3:T$42,MATCH(LARGE(IF('DONNÉES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P24" s="397" t="str">
        <f t="array" ref="P24">IFERROR(IF(14&gt;COUNTIF('DONNÉES BRUTES'!C$3:C$42,"Santé"),"",INDEX('DONNÉES BRUTES'!U$3:U$42,MATCH(LARGE(IF('DONNÉES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Q24" s="407" t="str">
        <f t="array" ref="Q24">IFERROR(IF(14&gt;COUNTIF('DONNÉES BRUTES'!C$3:C$42,"Santé"),"",INDEX('DONNÉES BRUTES'!AD$3:AD$42,MATCH(LARGE(IF('DONNÉES BRUTES'!C$3:C$42="Santé",'DONNÉES BRUTES'!AB$3:AB$42+(ROW('DONNÉES BRUTES'!A$3:A$42)-ROW('DONNÉES BRUTES'!A$3))/1000,0),14),IF('DONNÉES BRUTES'!C$3:C$42="Santé",'DONNÉES BRUTES'!AB$3:AB$42+(ROW('DONNÉES BRUTES'!A$3:A$42)-ROW('DONNÉES BRUTES'!A$3))/1000,0),0))),"—")</f>
        <v/>
      </c>
      <c r="R24" s="397"/>
    </row>
    <row r="25" spans="2:28" ht="15.9" customHeight="1" x14ac:dyDescent="0.3">
      <c r="B25" s="397">
        <v>15</v>
      </c>
      <c r="C25" s="397" t="str">
        <f t="array" ref="C25">IFERROR(IF(15&gt;COUNTIF('DONNÉES BRUTES'!C$3:C$42,"Santé"),"",INDEX('DONNÉES BRUTES'!A$3:A$42,MATCH(LARGE(IF('DONNÉES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D25" s="397" t="str">
        <f t="array" ref="D25">IFERROR(IF(15&gt;COUNTIF('DONNÉES BRUTES'!C$3:C$42,"Santé"),"",INDEX('DONNÉES BRUTES'!B$3:B$42,MATCH(LARGE(IF('DONNÉES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E25" s="397" t="str">
        <f t="array" ref="E25">IFERROR(IF(15&gt;COUNTIF('DONNÉES BRUTES'!C$3:C$42,"Santé"),"",INT(LARGE(IF('DONNÉES BRUTES'!C$3:C$42="Santé",'DONNÉES BRUTES'!AB$3:AB$42+(ROW('DONNÉES BRUTES'!A$3:A$42)-ROW('DONNÉES BRUTES'!A$3))/1000,0),15))&amp;"/100"),"—")</f>
        <v/>
      </c>
      <c r="F25" s="397" t="str">
        <f t="array" ref="F25">IFERROR(IF(15&gt;COUNTIF('DONNÉES BRUTES'!C$3:C$42,"Santé"),"",INDEX('DONNÉES BRUTES'!Y$3:Y$42,MATCH(LARGE(IF('DONNÉES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G25" s="397" t="str">
        <f t="array" ref="G25">IFERROR(IF(15&gt;COUNTIF('DONNÉES BRUTES'!C$3:C$42,"Santé"),"",INDEX('DONNÉES BRUTES'!Z$3:Z$42,MATCH(LARGE(IF('DONNÉES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H25" s="397" t="str">
        <f t="array" ref="H25">IFERROR(IF(15&gt;COUNTIF('DONNÉES BRUTES'!C$3:C$42,"Santé"),"",INDEX('DONNÉES BRUTES'!AA$3:AA$42,MATCH(LARGE(IF('DONNÉES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I25" s="397" t="str">
        <f t="array" ref="I25">IFERROR(IF(15&gt;COUNTIF('DONNÉES BRUTES'!C$3:C$42,"Santé"),"",INDEX('DONNÉES BRUTES'!M$3:M$42,MATCH(LARGE(IF('DONNÉES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J25" s="397" t="str">
        <f t="array" ref="J25">IFERROR(IF(15&gt;COUNTIF('DONNÉES BRUTES'!C$3:C$42,"Santé"),"",INDEX('DONNÉES BRUTES'!N$3:N$42,MATCH(LARGE(IF('DONNÉES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K25" s="397" t="str">
        <f t="array" ref="K25">IFERROR(IF(15&gt;COUNTIF('DONNÉES BRUTES'!C$3:C$42,"Santé"),"",INDEX('DONNÉES BRUTES'!O$3:O$42,MATCH(LARGE(IF('DONNÉES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L25" s="397" t="str">
        <f t="array" ref="L25">IFERROR(IF(15&gt;COUNTIF('DONNÉES BRUTES'!C$3:C$42,"Santé"),"",INDEX('DONNÉES BRUTES'!P$3:P$42,MATCH(LARGE(IF('DONNÉES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M25" s="397" t="str">
        <f t="array" ref="M25">IFERROR(IF(15&gt;COUNTIF('DONNÉES BRUTES'!C$3:C$42,"Santé"),"",INDEX('DONNÉES BRUTES'!Q$3:Q$42,MATCH(LARGE(IF('DONNÉES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N25" s="397" t="str">
        <f t="array" ref="N25">IFERROR(IF(15&gt;COUNTIF('DONNÉES BRUTES'!C$3:C$42,"Santé"),"",INDEX('DONNÉES BRUTES'!S$3:S$42,MATCH(LARGE(IF('DONNÉES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O25" s="397" t="str">
        <f t="array" ref="O25">IFERROR(IF(15&gt;COUNTIF('DONNÉES BRUTES'!C$3:C$42,"Santé"),"",INDEX('DONNÉES BRUTES'!T$3:T$42,MATCH(LARGE(IF('DONNÉES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P25" s="397" t="str">
        <f t="array" ref="P25">IFERROR(IF(15&gt;COUNTIF('DONNÉES BRUTES'!C$3:C$42,"Santé"),"",INDEX('DONNÉES BRUTES'!U$3:U$42,MATCH(LARGE(IF('DONNÉES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Q25" s="407" t="str">
        <f t="array" ref="Q25">IFERROR(IF(15&gt;COUNTIF('DONNÉES BRUTES'!C$3:C$42,"Santé"),"",INDEX('DONNÉES BRUTES'!AD$3:AD$42,MATCH(LARGE(IF('DONNÉES BRUTES'!C$3:C$42="Santé",'DONNÉES BRUTES'!AB$3:AB$42+(ROW('DONNÉES BRUTES'!A$3:A$42)-ROW('DONNÉES BRUTES'!A$3))/1000,0),15),IF('DONNÉES BRUTES'!C$3:C$42="Santé",'DONNÉES BRUTES'!AB$3:AB$42+(ROW('DONNÉES BRUTES'!A$3:A$42)-ROW('DONNÉES BRUTES'!A$3))/1000,0),0))),"—")</f>
        <v/>
      </c>
      <c r="R25" s="397"/>
    </row>
    <row r="26" spans="2:28" ht="15.9" customHeight="1" x14ac:dyDescent="0.3"/>
    <row r="27" spans="2:28" ht="15.9" customHeight="1" x14ac:dyDescent="0.3"/>
    <row r="28" spans="2:28" ht="15.9" customHeight="1" x14ac:dyDescent="0.3">
      <c r="S28" s="149" t="s">
        <v>10</v>
      </c>
      <c r="T28" s="149" t="s">
        <v>11</v>
      </c>
      <c r="U28" t="s">
        <v>15</v>
      </c>
      <c r="V28" t="s">
        <v>16</v>
      </c>
      <c r="W28" s="149" t="s">
        <v>17</v>
      </c>
      <c r="X28" s="149"/>
      <c r="Y28" s="149" t="s">
        <v>10</v>
      </c>
      <c r="Z28" s="149" t="s">
        <v>15</v>
      </c>
      <c r="AA28" s="149" t="s">
        <v>16</v>
      </c>
      <c r="AB28" s="149" t="s">
        <v>17</v>
      </c>
    </row>
    <row r="29" spans="2:28" ht="15.9" customHeight="1" x14ac:dyDescent="0.3">
      <c r="S29" s="149" t="str">
        <f>IF(D11="","",LEFT(D11,14))</f>
        <v>GSK plc</v>
      </c>
      <c r="T29" s="149">
        <f>IF(E11="","",IFERROR(VALUE(LEFT(E11,FIND("/",E11)-1)),0))</f>
        <v>61</v>
      </c>
      <c r="U29" s="149">
        <f t="shared" ref="U29:W31" si="0">IF(ISNUMBER(F11),F11,0)</f>
        <v>66</v>
      </c>
      <c r="V29" s="149">
        <f t="shared" si="0"/>
        <v>43</v>
      </c>
      <c r="W29" s="149">
        <f t="shared" si="0"/>
        <v>84</v>
      </c>
      <c r="X29" s="149">
        <f t="shared" ref="X29:Z31" si="1">IF(ISNUMBER(F11),F11,"")</f>
        <v>66</v>
      </c>
      <c r="Y29" s="149">
        <f t="shared" si="1"/>
        <v>43</v>
      </c>
      <c r="Z29" s="149">
        <f t="shared" si="1"/>
        <v>84</v>
      </c>
      <c r="AA29" s="149">
        <v>97</v>
      </c>
      <c r="AB29" s="149">
        <v>31</v>
      </c>
    </row>
    <row r="30" spans="2:28" ht="15.9" customHeight="1" x14ac:dyDescent="0.3">
      <c r="S30" s="149" t="str">
        <f>IF(D12="","",LEFT(D12,14))</f>
        <v>Smith &amp; Nephew</v>
      </c>
      <c r="T30" s="149">
        <f>IF(E12="","",IFERROR(VALUE(LEFT(E12,FIND("/",E12)-1)),0))</f>
        <v>60</v>
      </c>
      <c r="U30" s="149">
        <f t="shared" si="0"/>
        <v>60</v>
      </c>
      <c r="V30" s="149">
        <f t="shared" si="0"/>
        <v>65</v>
      </c>
      <c r="W30" s="149">
        <f t="shared" si="0"/>
        <v>54</v>
      </c>
      <c r="X30" s="149">
        <f t="shared" si="1"/>
        <v>60</v>
      </c>
      <c r="Y30" s="149">
        <f t="shared" si="1"/>
        <v>65</v>
      </c>
      <c r="Z30" s="149">
        <f t="shared" si="1"/>
        <v>54</v>
      </c>
      <c r="AA30" s="149">
        <v>72</v>
      </c>
      <c r="AB30" s="149">
        <v>67</v>
      </c>
    </row>
    <row r="31" spans="2:28" x14ac:dyDescent="0.3">
      <c r="S31" s="149" t="str">
        <f>IF(D13="","",LEFT(D13,14))</f>
        <v>AstraZeneca PL</v>
      </c>
      <c r="T31" s="149">
        <f>IF(E13="","",IFERROR(VALUE(LEFT(E13,FIND("/",E13)-1)),0))</f>
        <v>59</v>
      </c>
      <c r="U31" s="149">
        <f t="shared" si="0"/>
        <v>73</v>
      </c>
      <c r="V31" s="149">
        <f t="shared" si="0"/>
        <v>49</v>
      </c>
      <c r="W31" s="149">
        <f t="shared" si="0"/>
        <v>82</v>
      </c>
      <c r="X31" s="149">
        <f t="shared" si="1"/>
        <v>73</v>
      </c>
      <c r="Y31" s="149">
        <f t="shared" si="1"/>
        <v>49</v>
      </c>
      <c r="Z31" s="149">
        <f t="shared" si="1"/>
        <v>82</v>
      </c>
      <c r="AA31" s="149">
        <v>62</v>
      </c>
      <c r="AB31" s="149">
        <v>69</v>
      </c>
    </row>
  </sheetData>
  <mergeCells count="3">
    <mergeCell ref="B2:Q2"/>
    <mergeCell ref="B1:Q1"/>
    <mergeCell ref="B8:Q8"/>
  </mergeCells>
  <conditionalFormatting sqref="B11">
    <cfRule type="expression" dxfId="479" priority="1">
      <formula>C11=""</formula>
    </cfRule>
  </conditionalFormatting>
  <conditionalFormatting sqref="B11">
    <cfRule type="expression" dxfId="478" priority="2">
      <formula>C11&lt;&gt;""</formula>
    </cfRule>
  </conditionalFormatting>
  <conditionalFormatting sqref="C11:P11">
    <cfRule type="expression" dxfId="477" priority="3">
      <formula>C11=""</formula>
    </cfRule>
  </conditionalFormatting>
  <conditionalFormatting sqref="C11:P11">
    <cfRule type="expression" dxfId="476" priority="4">
      <formula>C11&lt;&gt;""</formula>
    </cfRule>
  </conditionalFormatting>
  <conditionalFormatting sqref="Q11">
    <cfRule type="expression" dxfId="475" priority="5">
      <formula>C11=""</formula>
    </cfRule>
  </conditionalFormatting>
  <conditionalFormatting sqref="Q11">
    <cfRule type="expression" dxfId="474" priority="6">
      <formula>C11&lt;&gt;""</formula>
    </cfRule>
  </conditionalFormatting>
  <conditionalFormatting sqref="R11">
    <cfRule type="expression" dxfId="473" priority="7">
      <formula>C11=""</formula>
    </cfRule>
  </conditionalFormatting>
  <conditionalFormatting sqref="R11">
    <cfRule type="expression" dxfId="472" priority="8">
      <formula>C11&lt;&gt;""</formula>
    </cfRule>
  </conditionalFormatting>
  <conditionalFormatting sqref="B12">
    <cfRule type="expression" dxfId="471" priority="9">
      <formula>C12=""</formula>
    </cfRule>
  </conditionalFormatting>
  <conditionalFormatting sqref="B12">
    <cfRule type="expression" dxfId="470" priority="10">
      <formula>C12&lt;&gt;""</formula>
    </cfRule>
  </conditionalFormatting>
  <conditionalFormatting sqref="C12:P12">
    <cfRule type="expression" dxfId="469" priority="11">
      <formula>C12=""</formula>
    </cfRule>
  </conditionalFormatting>
  <conditionalFormatting sqref="C12:P12">
    <cfRule type="expression" dxfId="468" priority="12">
      <formula>C12&lt;&gt;""</formula>
    </cfRule>
  </conditionalFormatting>
  <conditionalFormatting sqref="Q12">
    <cfRule type="expression" dxfId="467" priority="13">
      <formula>C12=""</formula>
    </cfRule>
  </conditionalFormatting>
  <conditionalFormatting sqref="Q12">
    <cfRule type="expression" dxfId="466" priority="14">
      <formula>C12&lt;&gt;""</formula>
    </cfRule>
  </conditionalFormatting>
  <conditionalFormatting sqref="R12">
    <cfRule type="expression" dxfId="465" priority="15">
      <formula>C12=""</formula>
    </cfRule>
  </conditionalFormatting>
  <conditionalFormatting sqref="R12">
    <cfRule type="expression" dxfId="464" priority="16">
      <formula>C12&lt;&gt;""</formula>
    </cfRule>
  </conditionalFormatting>
  <conditionalFormatting sqref="B13">
    <cfRule type="expression" dxfId="463" priority="17">
      <formula>C13=""</formula>
    </cfRule>
  </conditionalFormatting>
  <conditionalFormatting sqref="B13">
    <cfRule type="expression" dxfId="462" priority="18">
      <formula>C13&lt;&gt;""</formula>
    </cfRule>
  </conditionalFormatting>
  <conditionalFormatting sqref="C13:P13">
    <cfRule type="expression" dxfId="461" priority="19">
      <formula>C13=""</formula>
    </cfRule>
  </conditionalFormatting>
  <conditionalFormatting sqref="C13:P13">
    <cfRule type="expression" dxfId="460" priority="20">
      <formula>C13&lt;&gt;""</formula>
    </cfRule>
  </conditionalFormatting>
  <conditionalFormatting sqref="Q13">
    <cfRule type="expression" dxfId="459" priority="21">
      <formula>C13=""</formula>
    </cfRule>
  </conditionalFormatting>
  <conditionalFormatting sqref="Q13">
    <cfRule type="expression" dxfId="458" priority="22">
      <formula>C13&lt;&gt;""</formula>
    </cfRule>
  </conditionalFormatting>
  <conditionalFormatting sqref="R13">
    <cfRule type="expression" dxfId="457" priority="23">
      <formula>C13=""</formula>
    </cfRule>
  </conditionalFormatting>
  <conditionalFormatting sqref="R13">
    <cfRule type="expression" dxfId="456" priority="24">
      <formula>C13&lt;&gt;""</formula>
    </cfRule>
  </conditionalFormatting>
  <conditionalFormatting sqref="B14">
    <cfRule type="expression" dxfId="455" priority="25">
      <formula>C14=""</formula>
    </cfRule>
  </conditionalFormatting>
  <conditionalFormatting sqref="B14">
    <cfRule type="expression" dxfId="454" priority="26">
      <formula>C14&lt;&gt;""</formula>
    </cfRule>
  </conditionalFormatting>
  <conditionalFormatting sqref="C14:P14">
    <cfRule type="expression" dxfId="453" priority="27">
      <formula>C14=""</formula>
    </cfRule>
  </conditionalFormatting>
  <conditionalFormatting sqref="C14:P14">
    <cfRule type="expression" dxfId="452" priority="28">
      <formula>C14&lt;&gt;""</formula>
    </cfRule>
  </conditionalFormatting>
  <conditionalFormatting sqref="Q14">
    <cfRule type="expression" dxfId="451" priority="29">
      <formula>C14=""</formula>
    </cfRule>
  </conditionalFormatting>
  <conditionalFormatting sqref="Q14">
    <cfRule type="expression" dxfId="450" priority="30">
      <formula>C14&lt;&gt;""</formula>
    </cfRule>
  </conditionalFormatting>
  <conditionalFormatting sqref="R14">
    <cfRule type="expression" dxfId="449" priority="31">
      <formula>C14=""</formula>
    </cfRule>
  </conditionalFormatting>
  <conditionalFormatting sqref="R14">
    <cfRule type="expression" dxfId="448" priority="32">
      <formula>C14&lt;&gt;""</formula>
    </cfRule>
  </conditionalFormatting>
  <conditionalFormatting sqref="B15">
    <cfRule type="expression" dxfId="447" priority="33">
      <formula>C15=""</formula>
    </cfRule>
  </conditionalFormatting>
  <conditionalFormatting sqref="B15">
    <cfRule type="expression" dxfId="446" priority="34">
      <formula>C15&lt;&gt;""</formula>
    </cfRule>
  </conditionalFormatting>
  <conditionalFormatting sqref="C15:P15">
    <cfRule type="expression" dxfId="445" priority="35">
      <formula>C15=""</formula>
    </cfRule>
  </conditionalFormatting>
  <conditionalFormatting sqref="C15:P15">
    <cfRule type="expression" dxfId="444" priority="36">
      <formula>C15&lt;&gt;""</formula>
    </cfRule>
  </conditionalFormatting>
  <conditionalFormatting sqref="Q15">
    <cfRule type="expression" dxfId="443" priority="37">
      <formula>C15=""</formula>
    </cfRule>
  </conditionalFormatting>
  <conditionalFormatting sqref="Q15">
    <cfRule type="expression" dxfId="442" priority="38">
      <formula>C15&lt;&gt;""</formula>
    </cfRule>
  </conditionalFormatting>
  <conditionalFormatting sqref="R15">
    <cfRule type="expression" dxfId="441" priority="39">
      <formula>C15=""</formula>
    </cfRule>
  </conditionalFormatting>
  <conditionalFormatting sqref="R15">
    <cfRule type="expression" dxfId="440" priority="40">
      <formula>C15&lt;&gt;""</formula>
    </cfRule>
  </conditionalFormatting>
  <conditionalFormatting sqref="B16">
    <cfRule type="expression" dxfId="439" priority="41">
      <formula>C16=""</formula>
    </cfRule>
  </conditionalFormatting>
  <conditionalFormatting sqref="B16">
    <cfRule type="expression" dxfId="438" priority="42">
      <formula>C16&lt;&gt;""</formula>
    </cfRule>
  </conditionalFormatting>
  <conditionalFormatting sqref="C16:P16">
    <cfRule type="expression" dxfId="437" priority="43">
      <formula>C16=""</formula>
    </cfRule>
  </conditionalFormatting>
  <conditionalFormatting sqref="C16:P16">
    <cfRule type="expression" dxfId="436" priority="44">
      <formula>C16&lt;&gt;""</formula>
    </cfRule>
  </conditionalFormatting>
  <conditionalFormatting sqref="Q16">
    <cfRule type="expression" dxfId="435" priority="45">
      <formula>C16=""</formula>
    </cfRule>
  </conditionalFormatting>
  <conditionalFormatting sqref="Q16">
    <cfRule type="expression" dxfId="434" priority="46">
      <formula>C16&lt;&gt;""</formula>
    </cfRule>
  </conditionalFormatting>
  <conditionalFormatting sqref="R16">
    <cfRule type="expression" dxfId="433" priority="47">
      <formula>C16=""</formula>
    </cfRule>
  </conditionalFormatting>
  <conditionalFormatting sqref="R16">
    <cfRule type="expression" dxfId="432" priority="48">
      <formula>C16&lt;&gt;""</formula>
    </cfRule>
  </conditionalFormatting>
  <conditionalFormatting sqref="B17">
    <cfRule type="expression" dxfId="431" priority="49">
      <formula>C17=""</formula>
    </cfRule>
  </conditionalFormatting>
  <conditionalFormatting sqref="B17">
    <cfRule type="expression" dxfId="430" priority="50">
      <formula>C17&lt;&gt;""</formula>
    </cfRule>
  </conditionalFormatting>
  <conditionalFormatting sqref="C17:P17">
    <cfRule type="expression" dxfId="429" priority="51">
      <formula>C17=""</formula>
    </cfRule>
  </conditionalFormatting>
  <conditionalFormatting sqref="C17:P17">
    <cfRule type="expression" dxfId="428" priority="52">
      <formula>C17&lt;&gt;""</formula>
    </cfRule>
  </conditionalFormatting>
  <conditionalFormatting sqref="Q17">
    <cfRule type="expression" dxfId="427" priority="53">
      <formula>C17=""</formula>
    </cfRule>
  </conditionalFormatting>
  <conditionalFormatting sqref="Q17">
    <cfRule type="expression" dxfId="426" priority="54">
      <formula>C17&lt;&gt;""</formula>
    </cfRule>
  </conditionalFormatting>
  <conditionalFormatting sqref="R17">
    <cfRule type="expression" dxfId="425" priority="55">
      <formula>C17=""</formula>
    </cfRule>
  </conditionalFormatting>
  <conditionalFormatting sqref="R17">
    <cfRule type="expression" dxfId="424" priority="56">
      <formula>C17&lt;&gt;""</formula>
    </cfRule>
  </conditionalFormatting>
  <conditionalFormatting sqref="B18">
    <cfRule type="expression" dxfId="423" priority="57">
      <formula>C18=""</formula>
    </cfRule>
  </conditionalFormatting>
  <conditionalFormatting sqref="B18">
    <cfRule type="expression" dxfId="422" priority="58">
      <formula>C18&lt;&gt;""</formula>
    </cfRule>
  </conditionalFormatting>
  <conditionalFormatting sqref="C18:P18">
    <cfRule type="expression" dxfId="421" priority="59">
      <formula>C18=""</formula>
    </cfRule>
  </conditionalFormatting>
  <conditionalFormatting sqref="C18:P18">
    <cfRule type="expression" dxfId="420" priority="60">
      <formula>C18&lt;&gt;""</formula>
    </cfRule>
  </conditionalFormatting>
  <conditionalFormatting sqref="Q18">
    <cfRule type="expression" dxfId="419" priority="61">
      <formula>C18=""</formula>
    </cfRule>
  </conditionalFormatting>
  <conditionalFormatting sqref="Q18">
    <cfRule type="expression" dxfId="418" priority="62">
      <formula>C18&lt;&gt;""</formula>
    </cfRule>
  </conditionalFormatting>
  <conditionalFormatting sqref="R18">
    <cfRule type="expression" dxfId="417" priority="63">
      <formula>C18=""</formula>
    </cfRule>
  </conditionalFormatting>
  <conditionalFormatting sqref="R18">
    <cfRule type="expression" dxfId="416" priority="64">
      <formula>C18&lt;&gt;""</formula>
    </cfRule>
  </conditionalFormatting>
  <conditionalFormatting sqref="B19">
    <cfRule type="expression" dxfId="415" priority="65">
      <formula>C19=""</formula>
    </cfRule>
  </conditionalFormatting>
  <conditionalFormatting sqref="B19">
    <cfRule type="expression" dxfId="414" priority="66">
      <formula>C19&lt;&gt;""</formula>
    </cfRule>
  </conditionalFormatting>
  <conditionalFormatting sqref="C19:P19">
    <cfRule type="expression" dxfId="413" priority="67">
      <formula>C19=""</formula>
    </cfRule>
  </conditionalFormatting>
  <conditionalFormatting sqref="C19:P19">
    <cfRule type="expression" dxfId="412" priority="68">
      <formula>C19&lt;&gt;""</formula>
    </cfRule>
  </conditionalFormatting>
  <conditionalFormatting sqref="Q19">
    <cfRule type="expression" dxfId="411" priority="69">
      <formula>C19=""</formula>
    </cfRule>
  </conditionalFormatting>
  <conditionalFormatting sqref="Q19">
    <cfRule type="expression" dxfId="410" priority="70">
      <formula>C19&lt;&gt;""</formula>
    </cfRule>
  </conditionalFormatting>
  <conditionalFormatting sqref="R19">
    <cfRule type="expression" dxfId="409" priority="71">
      <formula>C19=""</formula>
    </cfRule>
  </conditionalFormatting>
  <conditionalFormatting sqref="R19">
    <cfRule type="expression" dxfId="408" priority="72">
      <formula>C19&lt;&gt;""</formula>
    </cfRule>
  </conditionalFormatting>
  <conditionalFormatting sqref="B20">
    <cfRule type="expression" dxfId="407" priority="73">
      <formula>C20=""</formula>
    </cfRule>
  </conditionalFormatting>
  <conditionalFormatting sqref="B20">
    <cfRule type="expression" dxfId="406" priority="74">
      <formula>C20&lt;&gt;""</formula>
    </cfRule>
  </conditionalFormatting>
  <conditionalFormatting sqref="C20:P20">
    <cfRule type="expression" dxfId="405" priority="75">
      <formula>C20=""</formula>
    </cfRule>
  </conditionalFormatting>
  <conditionalFormatting sqref="C20:P20">
    <cfRule type="expression" dxfId="404" priority="76">
      <formula>C20&lt;&gt;""</formula>
    </cfRule>
  </conditionalFormatting>
  <conditionalFormatting sqref="Q20">
    <cfRule type="expression" dxfId="403" priority="77">
      <formula>C20=""</formula>
    </cfRule>
  </conditionalFormatting>
  <conditionalFormatting sqref="Q20">
    <cfRule type="expression" dxfId="402" priority="78">
      <formula>C20&lt;&gt;""</formula>
    </cfRule>
  </conditionalFormatting>
  <conditionalFormatting sqref="R20">
    <cfRule type="expression" dxfId="401" priority="79">
      <formula>C20=""</formula>
    </cfRule>
  </conditionalFormatting>
  <conditionalFormatting sqref="R20">
    <cfRule type="expression" dxfId="400" priority="80">
      <formula>C20&lt;&gt;""</formula>
    </cfRule>
  </conditionalFormatting>
  <conditionalFormatting sqref="B21">
    <cfRule type="expression" dxfId="399" priority="81">
      <formula>C21=""</formula>
    </cfRule>
  </conditionalFormatting>
  <conditionalFormatting sqref="B21">
    <cfRule type="expression" dxfId="398" priority="82">
      <formula>C21&lt;&gt;""</formula>
    </cfRule>
  </conditionalFormatting>
  <conditionalFormatting sqref="C21:P21">
    <cfRule type="expression" dxfId="397" priority="83">
      <formula>C21=""</formula>
    </cfRule>
  </conditionalFormatting>
  <conditionalFormatting sqref="C21:P21">
    <cfRule type="expression" dxfId="396" priority="84">
      <formula>C21&lt;&gt;""</formula>
    </cfRule>
  </conditionalFormatting>
  <conditionalFormatting sqref="Q21">
    <cfRule type="expression" dxfId="395" priority="85">
      <formula>C21=""</formula>
    </cfRule>
  </conditionalFormatting>
  <conditionalFormatting sqref="Q21">
    <cfRule type="expression" dxfId="394" priority="86">
      <formula>C21&lt;&gt;""</formula>
    </cfRule>
  </conditionalFormatting>
  <conditionalFormatting sqref="R21">
    <cfRule type="expression" dxfId="393" priority="87">
      <formula>C21=""</formula>
    </cfRule>
  </conditionalFormatting>
  <conditionalFormatting sqref="R21">
    <cfRule type="expression" dxfId="392" priority="88">
      <formula>C21&lt;&gt;""</formula>
    </cfRule>
  </conditionalFormatting>
  <conditionalFormatting sqref="B22">
    <cfRule type="expression" dxfId="391" priority="89">
      <formula>C22=""</formula>
    </cfRule>
  </conditionalFormatting>
  <conditionalFormatting sqref="B22">
    <cfRule type="expression" dxfId="390" priority="90">
      <formula>C22&lt;&gt;""</formula>
    </cfRule>
  </conditionalFormatting>
  <conditionalFormatting sqref="C22:P22">
    <cfRule type="expression" dxfId="389" priority="91">
      <formula>C22=""</formula>
    </cfRule>
  </conditionalFormatting>
  <conditionalFormatting sqref="C22:P22">
    <cfRule type="expression" dxfId="388" priority="92">
      <formula>C22&lt;&gt;""</formula>
    </cfRule>
  </conditionalFormatting>
  <conditionalFormatting sqref="Q22">
    <cfRule type="expression" dxfId="387" priority="93">
      <formula>C22=""</formula>
    </cfRule>
  </conditionalFormatting>
  <conditionalFormatting sqref="Q22">
    <cfRule type="expression" dxfId="386" priority="94">
      <formula>C22&lt;&gt;""</formula>
    </cfRule>
  </conditionalFormatting>
  <conditionalFormatting sqref="R22">
    <cfRule type="expression" dxfId="385" priority="95">
      <formula>C22=""</formula>
    </cfRule>
  </conditionalFormatting>
  <conditionalFormatting sqref="R22">
    <cfRule type="expression" dxfId="384" priority="96">
      <formula>C22&lt;&gt;""</formula>
    </cfRule>
  </conditionalFormatting>
  <conditionalFormatting sqref="B23">
    <cfRule type="expression" dxfId="383" priority="97">
      <formula>C23=""</formula>
    </cfRule>
  </conditionalFormatting>
  <conditionalFormatting sqref="B23">
    <cfRule type="expression" dxfId="382" priority="98">
      <formula>C23&lt;&gt;""</formula>
    </cfRule>
  </conditionalFormatting>
  <conditionalFormatting sqref="C23:P23">
    <cfRule type="expression" dxfId="381" priority="99">
      <formula>C23=""</formula>
    </cfRule>
  </conditionalFormatting>
  <conditionalFormatting sqref="C23:P23">
    <cfRule type="expression" dxfId="380" priority="100">
      <formula>C23&lt;&gt;""</formula>
    </cfRule>
  </conditionalFormatting>
  <conditionalFormatting sqref="Q23">
    <cfRule type="expression" dxfId="379" priority="101">
      <formula>C23=""</formula>
    </cfRule>
  </conditionalFormatting>
  <conditionalFormatting sqref="Q23">
    <cfRule type="expression" dxfId="378" priority="102">
      <formula>C23&lt;&gt;""</formula>
    </cfRule>
  </conditionalFormatting>
  <conditionalFormatting sqref="R23">
    <cfRule type="expression" dxfId="377" priority="103">
      <formula>C23=""</formula>
    </cfRule>
  </conditionalFormatting>
  <conditionalFormatting sqref="R23">
    <cfRule type="expression" dxfId="376" priority="104">
      <formula>C23&lt;&gt;""</formula>
    </cfRule>
  </conditionalFormatting>
  <conditionalFormatting sqref="B24">
    <cfRule type="expression" dxfId="375" priority="105">
      <formula>C24=""</formula>
    </cfRule>
  </conditionalFormatting>
  <conditionalFormatting sqref="B24">
    <cfRule type="expression" dxfId="374" priority="106">
      <formula>C24&lt;&gt;""</formula>
    </cfRule>
  </conditionalFormatting>
  <conditionalFormatting sqref="C24:P24">
    <cfRule type="expression" dxfId="373" priority="107">
      <formula>C24=""</formula>
    </cfRule>
  </conditionalFormatting>
  <conditionalFormatting sqref="C24:P24">
    <cfRule type="expression" dxfId="372" priority="108">
      <formula>C24&lt;&gt;""</formula>
    </cfRule>
  </conditionalFormatting>
  <conditionalFormatting sqref="Q24">
    <cfRule type="expression" dxfId="371" priority="109">
      <formula>C24=""</formula>
    </cfRule>
  </conditionalFormatting>
  <conditionalFormatting sqref="Q24">
    <cfRule type="expression" dxfId="370" priority="110">
      <formula>C24&lt;&gt;""</formula>
    </cfRule>
  </conditionalFormatting>
  <conditionalFormatting sqref="R24">
    <cfRule type="expression" dxfId="369" priority="111">
      <formula>C24=""</formula>
    </cfRule>
  </conditionalFormatting>
  <conditionalFormatting sqref="R24">
    <cfRule type="expression" dxfId="368" priority="112">
      <formula>C24&lt;&gt;""</formula>
    </cfRule>
  </conditionalFormatting>
  <conditionalFormatting sqref="B25">
    <cfRule type="expression" dxfId="367" priority="113">
      <formula>C25=""</formula>
    </cfRule>
  </conditionalFormatting>
  <conditionalFormatting sqref="B25">
    <cfRule type="expression" dxfId="366" priority="114">
      <formula>C25&lt;&gt;""</formula>
    </cfRule>
  </conditionalFormatting>
  <conditionalFormatting sqref="C25:P25">
    <cfRule type="expression" dxfId="365" priority="115">
      <formula>C25=""</formula>
    </cfRule>
  </conditionalFormatting>
  <conditionalFormatting sqref="C25:P25">
    <cfRule type="expression" dxfId="364" priority="116">
      <formula>C25&lt;&gt;""</formula>
    </cfRule>
  </conditionalFormatting>
  <conditionalFormatting sqref="Q25">
    <cfRule type="expression" dxfId="363" priority="117">
      <formula>C25=""</formula>
    </cfRule>
  </conditionalFormatting>
  <conditionalFormatting sqref="Q25">
    <cfRule type="expression" dxfId="362" priority="118">
      <formula>C25&lt;&gt;""</formula>
    </cfRule>
  </conditionalFormatting>
  <conditionalFormatting sqref="R25">
    <cfRule type="expression" dxfId="361" priority="119">
      <formula>C25=""</formula>
    </cfRule>
  </conditionalFormatting>
  <conditionalFormatting sqref="R25">
    <cfRule type="expression" dxfId="360" priority="120">
      <formula>C25&lt;&gt;""</formula>
    </cfRule>
  </conditionalFormatting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B47"/>
  <sheetViews>
    <sheetView showGridLines="0" zoomScaleNormal="100" workbookViewId="0">
      <selection activeCell="F11" sqref="F11:P11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10" width="8" customWidth="1"/>
    <col min="11" max="11" width="7.33203125" customWidth="1"/>
    <col min="12" max="12" width="10.44140625" bestFit="1" customWidth="1"/>
    <col min="13" max="13" width="8" customWidth="1"/>
    <col min="14" max="14" width="6.44140625" customWidth="1"/>
    <col min="15" max="15" width="7.33203125" customWidth="1"/>
    <col min="16" max="16" width="6.44140625" customWidth="1"/>
    <col min="17" max="17" width="14.109375" bestFit="1" customWidth="1"/>
    <col min="20" max="23" width="9" bestFit="1" customWidth="1"/>
  </cols>
  <sheetData>
    <row r="1" spans="2:18" ht="30" customHeight="1" x14ac:dyDescent="0.3">
      <c r="B1" s="383" t="str">
        <f>"FinSight IA  ·  Énergie  ·  "&amp;TRIM(MID('DONNÉES BRUTES'!A$1,FIND("·",'DONNÉES BRUTES'!A$1)+1,FIND("·",'DONNÉES BRUTES'!A$1,FIND("·",'DONNÉES BRUTES'!A$1)+1)-FIND("·",'DONNÉES BRUTES'!A$1)-1))&amp;"  ·  "&amp;COUNTIF('DONNÉES BRUTES'!C$3:C$42,"Énergie")&amp;" sociétés  ·  17/04/2026"</f>
        <v>FinSight IA  ·  Énergie  ·  FTSE 100  ·  1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2" spans="2:18" ht="18" customHeight="1" x14ac:dyDescent="0.3">
      <c r="B2" s="387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</row>
    <row r="3" spans="2:18" ht="8.1" customHeight="1" x14ac:dyDescent="0.3"/>
    <row r="4" spans="2:18" ht="8.1" customHeight="1" x14ac:dyDescent="0.3"/>
    <row r="5" spans="2:18" ht="39.9" customHeight="1" x14ac:dyDescent="0.3">
      <c r="B5" s="167"/>
      <c r="C5" s="157">
        <f>COUNTIF('DONNÉES BRUTES'!C$3:C$42,"Énergie")</f>
        <v>1</v>
      </c>
      <c r="D5" s="167"/>
      <c r="E5" s="164" t="str">
        <f>IFERROR(ROUND(AVERAGEIF('DONNÉES BRUTES'!C$3:C$42,"Énergie",'DONNÉES BRUTES'!AB$3:AB$42),0)&amp;"/100","—")</f>
        <v>54/100</v>
      </c>
      <c r="F5" s="164"/>
      <c r="G5" s="164"/>
      <c r="H5" s="160" t="str">
        <f t="array" ref="H5">IFERROR(INDEX('DONNÉES BRUTES'!B$3:B$42,MATCH(LARGE(IF('DONNÉES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BRUTES'!A$3))/1000,0),0)),"—")</f>
        <v>Shell plc</v>
      </c>
      <c r="I5" s="164"/>
      <c r="J5" s="164"/>
      <c r="K5" s="164"/>
      <c r="L5" s="191">
        <f>IFERROR(VLOOKUP("Énergie",'PAR SECTEUR'!B$8:G$17,6,0),"—")</f>
        <v>0.16200000000000001</v>
      </c>
      <c r="M5" s="164"/>
      <c r="N5" s="162">
        <f t="array" ref="N5">IFERROR(ROUND(MEDIAN(IF('DONNÉES BRUTES'!C$3:C$42="Énergie",IF(ISNUMBER('DONNÉES BRUTES'!Y$3:Y$42),'DONNÉES BRUTES'!Y$3:Y$42))),0),"—")</f>
        <v>40</v>
      </c>
      <c r="O5" s="164"/>
      <c r="P5" s="174" t="str">
        <f>IFERROR(VLOOKUP("Énergie",'PAR SECTEUR'!B$8:J$17,9,0),"—")</f>
        <v>Négatif</v>
      </c>
      <c r="Q5" s="164"/>
    </row>
    <row r="6" spans="2:18" ht="15.9" customHeight="1" x14ac:dyDescent="0.3">
      <c r="B6" s="159"/>
      <c r="C6" s="159" t="s">
        <v>413</v>
      </c>
      <c r="D6" s="159"/>
      <c r="E6" s="158" t="s">
        <v>414</v>
      </c>
      <c r="F6" s="158"/>
      <c r="G6" s="158"/>
      <c r="H6" s="161" t="s">
        <v>415</v>
      </c>
      <c r="I6" s="158"/>
      <c r="J6" s="158"/>
      <c r="K6" s="158"/>
      <c r="L6" s="159" t="s">
        <v>388</v>
      </c>
      <c r="M6" s="158"/>
      <c r="N6" s="159" t="s">
        <v>416</v>
      </c>
      <c r="O6" s="158"/>
      <c r="P6" s="159" t="s">
        <v>21</v>
      </c>
      <c r="Q6" s="158"/>
    </row>
    <row r="7" spans="2:18" ht="8.1" customHeight="1" x14ac:dyDescent="0.3"/>
    <row r="8" spans="2:18" ht="21.9" customHeight="1" x14ac:dyDescent="0.3">
      <c r="B8" s="384" t="str">
        <f>"ANALYSE DÉTAILLÉE  ·  "&amp;UPPER("Énergie")&amp;"  ·  "&amp;COUNTIF('DONNÉES BRUTES'!C$3:C$42,"Énergie")&amp;" sociétés  ·  Triée par Score Global"</f>
        <v>ANALYSE DÉTAILLÉE  ·  ÉNERGIE  ·  1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</row>
    <row r="9" spans="2:18" ht="6" customHeight="1" x14ac:dyDescent="0.3"/>
    <row r="10" spans="2:18" ht="20.100000000000001" customHeight="1" x14ac:dyDescent="0.3">
      <c r="B10" s="265" t="s">
        <v>8</v>
      </c>
      <c r="C10" s="266" t="s">
        <v>9</v>
      </c>
      <c r="D10" s="266" t="s">
        <v>10</v>
      </c>
      <c r="E10" s="267" t="s">
        <v>11</v>
      </c>
      <c r="F10" s="267" t="s">
        <v>417</v>
      </c>
      <c r="G10" s="267" t="s">
        <v>418</v>
      </c>
      <c r="H10" s="267" t="s">
        <v>419</v>
      </c>
      <c r="I10" s="267" t="s">
        <v>420</v>
      </c>
      <c r="J10" s="267" t="s">
        <v>345</v>
      </c>
      <c r="K10" s="267" t="s">
        <v>421</v>
      </c>
      <c r="L10" s="267" t="s">
        <v>346</v>
      </c>
      <c r="M10" s="267" t="s">
        <v>124</v>
      </c>
      <c r="N10" s="267" t="s">
        <v>422</v>
      </c>
      <c r="O10" s="267" t="s">
        <v>423</v>
      </c>
      <c r="P10" s="267" t="s">
        <v>32</v>
      </c>
      <c r="Q10" s="268" t="s">
        <v>21</v>
      </c>
    </row>
    <row r="11" spans="2:18" ht="18" customHeight="1" x14ac:dyDescent="0.3">
      <c r="B11" s="396">
        <v>1</v>
      </c>
      <c r="C11" s="396" t="str">
        <f t="array" ref="C11">IFERROR(IF(1&gt;COUNTIF('DONNÉES BRUTES'!C$3:C$42,"Énergie"),"",INDEX('DONNÉES BRUTES'!A$3:A$42,MATCH(LARGE(IF('DONNÉES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SHEL.L</v>
      </c>
      <c r="D11" s="396" t="str">
        <f t="array" ref="D11">IFERROR(IF(1&gt;COUNTIF('DONNÉES BRUTES'!C$3:C$42,"Énergie"),"",INDEX('DONNÉES BRUTES'!B$3:B$42,MATCH(LARGE(IF('DONNÉES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Shell plc</v>
      </c>
      <c r="E11" s="396" t="str">
        <f t="array" ref="E11">IFERROR(IF(1&gt;COUNTIF('DONNÉES BRUTES'!C$3:C$42,"Énergie"),"",INT(LARGE(IF('DONNÉES BRUTES'!C$3:C$42="Énergie",'DONNÉES BRUTES'!AB$3:AB$42+(ROW('DONNÉES BRUTES'!A$3:A$42)-ROW('DONNÉES BRUTES'!A$3))/1000,0),1))&amp;"/100"),"—")</f>
        <v>54/100</v>
      </c>
      <c r="F11" s="401">
        <f t="array" ref="F11">IFERROR(IF(1&gt;COUNTIF('DONNÉES BRUTES'!C$3:C$42,"Énergie"),"",INDEX('DONNÉES BRUTES'!Y$3:Y$42,MATCH(LARGE(IF('DONNÉES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40</v>
      </c>
      <c r="G11" s="401">
        <f t="array" ref="G11">IFERROR(IF(1&gt;COUNTIF('DONNÉES BRUTES'!C$3:C$42,"Énergie"),"",INDEX('DONNÉES BRUTES'!Z$3:Z$42,MATCH(LARGE(IF('DONNÉES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57</v>
      </c>
      <c r="H11" s="401">
        <f t="array" ref="H11">IFERROR(IF(1&gt;COUNTIF('DONNÉES BRUTES'!C$3:C$42,"Énergie"),"",INDEX('DONNÉES BRUTES'!AA$3:AA$42,MATCH(LARGE(IF('DONNÉES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71</v>
      </c>
      <c r="I11" s="401" t="str">
        <f t="array" ref="I11">IFERROR(IF(1&gt;COUNTIF('DONNÉES BRUTES'!C$3:C$42,"Énergie"),"",INDEX('DONNÉES BRUTES'!M$3:M$42,MATCH(LARGE(IF('DONNÉES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15.9%</v>
      </c>
      <c r="J11" s="401" t="str">
        <f t="array" ref="J11">IFERROR(IF(1&gt;COUNTIF('DONNÉES BRUTES'!C$3:C$42,"Énergie"),"",INDEX('DONNÉES BRUTES'!N$3:N$42,MATCH(LARGE(IF('DONNÉES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21.2%</v>
      </c>
      <c r="K11" s="401" t="str">
        <f t="array" ref="K11">IFERROR(IF(1&gt;COUNTIF('DONNÉES BRUTES'!C$3:C$42,"Énergie"),"",INDEX('DONNÉES BRUTES'!O$3:O$42,MATCH(LARGE(IF('DONNÉES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6.7%</v>
      </c>
      <c r="L11" s="401" t="str">
        <f t="array" ref="L11">IFERROR(IF(1&gt;COUNTIF('DONNÉES BRUTES'!C$3:C$42,"Énergie"),"",INDEX('DONNÉES BRUTES'!P$3:P$42,MATCH(LARGE(IF('DONNÉES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-6.1%</v>
      </c>
      <c r="M11" s="401" t="str">
        <f t="array" ref="M11">IFERROR(IF(1&gt;COUNTIF('DONNÉES BRUTES'!C$3:C$42,"Énergie"),"",INDEX('DONNÉES BRUTES'!Q$3:Q$42,MATCH(LARGE(IF('DONNÉES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+10.2%</v>
      </c>
      <c r="N11" s="401">
        <f t="array" ref="N11">IFERROR(IF(1&gt;COUNTIF('DONNÉES BRUTES'!C$3:C$42,"Énergie"),"",INDEX('DONNÉES BRUTES'!S$3:S$42,MATCH(LARGE(IF('DONNÉES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1.3</v>
      </c>
      <c r="O11" s="401" t="str">
        <f t="array" ref="O11">IFERROR(IF(1&gt;COUNTIF('DONNÉES BRUTES'!C$3:C$42,"Énergie"),"",INDEX('DONNÉES BRUTES'!T$3:T$42,MATCH(LARGE(IF('DONNÉES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0.3x</v>
      </c>
      <c r="P11" s="401">
        <f t="array" ref="P11">IFERROR(IF(1&gt;COUNTIF('DONNÉES BRUTES'!C$3:C$42,"Énergie"),"",INDEX('DONNÉES BRUTES'!U$3:U$42,MATCH(LARGE(IF('DONNÉES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3.35</v>
      </c>
      <c r="Q11" s="405" t="str">
        <f t="array" ref="Q11">IFERROR(IF(1&gt;COUNTIF('DONNÉES BRUTES'!C$3:C$42,"Énergie"),"",INDEX('DONNÉES BRUTES'!AD$3:AD$42,MATCH(LARGE(IF('DONNÉES BRUTES'!C$3:C$42="Énergie",'DONNÉES BRUTES'!AB$3:AB$42+(ROW('DONNÉES BRUTES'!A$3:A$42)-ROW('DONNÉES BRUTES'!A$3))/1000,0),1),IF('DONNÉES BRUTES'!C$3:C$42="Énergie",'DONNÉES BRUTES'!AB$3:AB$42+(ROW('DONNÉES BRUTES'!A$3:A$42)-ROW('DONNÉES BRUTES'!A$3))/1000,0),0))),"—")</f>
        <v>Neutre</v>
      </c>
      <c r="R11" s="397"/>
    </row>
    <row r="12" spans="2:18" ht="15.9" customHeight="1" x14ac:dyDescent="0.3">
      <c r="B12" s="398">
        <v>2</v>
      </c>
      <c r="C12" s="398" t="str">
        <f t="array" ref="C12">IFERROR(IF(2&gt;COUNTIF('DONNÉES BRUTES'!C$3:C$42,"Énergie"),"",INDEX('DONNÉES BRUTES'!A$3:A$42,MATCH(LARGE(IF('DONNÉES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D12" s="398" t="str">
        <f t="array" ref="D12">IFERROR(IF(2&gt;COUNTIF('DONNÉES BRUTES'!C$3:C$42,"Énergie"),"",INDEX('DONNÉES BRUTES'!B$3:B$42,MATCH(LARGE(IF('DONNÉES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E12" s="398" t="str">
        <f t="array" ref="E12">IFERROR(IF(2&gt;COUNTIF('DONNÉES BRUTES'!C$3:C$42,"Énergie"),"",INT(LARGE(IF('DONNÉES BRUTES'!C$3:C$42="Énergie",'DONNÉES BRUTES'!AB$3:AB$42+(ROW('DONNÉES BRUTES'!A$3:A$42)-ROW('DONNÉES BRUTES'!A$3))/1000,0),2))&amp;"/100"),"—")</f>
        <v/>
      </c>
      <c r="F12" s="398" t="str">
        <f t="array" ref="F12">IFERROR(IF(2&gt;COUNTIF('DONNÉES BRUTES'!C$3:C$42,"Énergie"),"",INDEX('DONNÉES BRUTES'!Y$3:Y$42,MATCH(LARGE(IF('DONNÉES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G12" s="398" t="str">
        <f t="array" ref="G12">IFERROR(IF(2&gt;COUNTIF('DONNÉES BRUTES'!C$3:C$42,"Énergie"),"",INDEX('DONNÉES BRUTES'!Z$3:Z$42,MATCH(LARGE(IF('DONNÉES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H12" s="398" t="str">
        <f t="array" ref="H12">IFERROR(IF(2&gt;COUNTIF('DONNÉES BRUTES'!C$3:C$42,"Énergie"),"",INDEX('DONNÉES BRUTES'!AA$3:AA$42,MATCH(LARGE(IF('DONNÉES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I12" s="398" t="str">
        <f t="array" ref="I12">IFERROR(IF(2&gt;COUNTIF('DONNÉES BRUTES'!C$3:C$42,"Énergie"),"",INDEX('DONNÉES BRUTES'!M$3:M$42,MATCH(LARGE(IF('DONNÉES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J12" s="398" t="str">
        <f t="array" ref="J12">IFERROR(IF(2&gt;COUNTIF('DONNÉES BRUTES'!C$3:C$42,"Énergie"),"",INDEX('DONNÉES BRUTES'!N$3:N$42,MATCH(LARGE(IF('DONNÉES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K12" s="398" t="str">
        <f t="array" ref="K12">IFERROR(IF(2&gt;COUNTIF('DONNÉES BRUTES'!C$3:C$42,"Énergie"),"",INDEX('DONNÉES BRUTES'!O$3:O$42,MATCH(LARGE(IF('DONNÉES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L12" s="398" t="str">
        <f t="array" ref="L12">IFERROR(IF(2&gt;COUNTIF('DONNÉES BRUTES'!C$3:C$42,"Énergie"),"",INDEX('DONNÉES BRUTES'!P$3:P$42,MATCH(LARGE(IF('DONNÉES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M12" s="398" t="str">
        <f t="array" ref="M12">IFERROR(IF(2&gt;COUNTIF('DONNÉES BRUTES'!C$3:C$42,"Énergie"),"",INDEX('DONNÉES BRUTES'!Q$3:Q$42,MATCH(LARGE(IF('DONNÉES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N12" s="398" t="str">
        <f t="array" ref="N12">IFERROR(IF(2&gt;COUNTIF('DONNÉES BRUTES'!C$3:C$42,"Énergie"),"",INDEX('DONNÉES BRUTES'!S$3:S$42,MATCH(LARGE(IF('DONNÉES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O12" s="398" t="str">
        <f t="array" ref="O12">IFERROR(IF(2&gt;COUNTIF('DONNÉES BRUTES'!C$3:C$42,"Énergie"),"",INDEX('DONNÉES BRUTES'!T$3:T$42,MATCH(LARGE(IF('DONNÉES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P12" s="398" t="str">
        <f t="array" ref="P12">IFERROR(IF(2&gt;COUNTIF('DONNÉES BRUTES'!C$3:C$42,"Énergie"),"",INDEX('DONNÉES BRUTES'!U$3:U$42,MATCH(LARGE(IF('DONNÉES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Q12" s="406" t="str">
        <f t="array" ref="Q12">IFERROR(IF(2&gt;COUNTIF('DONNÉES BRUTES'!C$3:C$42,"Énergie"),"",INDEX('DONNÉES BRUTES'!AD$3:AD$42,MATCH(LARGE(IF('DONNÉES BRUTES'!C$3:C$42="Énergie",'DONNÉES BRUTES'!AB$3:AB$42+(ROW('DONNÉES BRUTES'!A$3:A$42)-ROW('DONNÉES BRUTES'!A$3))/1000,0),2),IF('DONNÉES BRUTES'!C$3:C$42="Énergie",'DONNÉES BRUTES'!AB$3:AB$42+(ROW('DONNÉES BRUTES'!A$3:A$42)-ROW('DONNÉES BRUTES'!A$3))/1000,0),0))),"—")</f>
        <v/>
      </c>
      <c r="R12" s="397"/>
    </row>
    <row r="13" spans="2:18" ht="15.9" customHeight="1" x14ac:dyDescent="0.3">
      <c r="B13" s="396">
        <v>3</v>
      </c>
      <c r="C13" s="396" t="str">
        <f t="array" ref="C13">IFERROR(IF(3&gt;COUNTIF('DONNÉES BRUTES'!C$3:C$42,"Énergie"),"",INDEX('DONNÉES BRUTES'!A$3:A$42,MATCH(LARGE(IF('DONNÉES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D13" s="396" t="str">
        <f t="array" ref="D13">IFERROR(IF(3&gt;COUNTIF('DONNÉES BRUTES'!C$3:C$42,"Énergie"),"",INDEX('DONNÉES BRUTES'!B$3:B$42,MATCH(LARGE(IF('DONNÉES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E13" s="396" t="str">
        <f t="array" ref="E13">IFERROR(IF(3&gt;COUNTIF('DONNÉES BRUTES'!C$3:C$42,"Énergie"),"",INT(LARGE(IF('DONNÉES BRUTES'!C$3:C$42="Énergie",'DONNÉES BRUTES'!AB$3:AB$42+(ROW('DONNÉES BRUTES'!A$3:A$42)-ROW('DONNÉES BRUTES'!A$3))/1000,0),3))&amp;"/100"),"—")</f>
        <v/>
      </c>
      <c r="F13" s="396" t="str">
        <f t="array" ref="F13">IFERROR(IF(3&gt;COUNTIF('DONNÉES BRUTES'!C$3:C$42,"Énergie"),"",INDEX('DONNÉES BRUTES'!Y$3:Y$42,MATCH(LARGE(IF('DONNÉES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G13" s="396" t="str">
        <f t="array" ref="G13">IFERROR(IF(3&gt;COUNTIF('DONNÉES BRUTES'!C$3:C$42,"Énergie"),"",INDEX('DONNÉES BRUTES'!Z$3:Z$42,MATCH(LARGE(IF('DONNÉES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H13" s="396" t="str">
        <f t="array" ref="H13">IFERROR(IF(3&gt;COUNTIF('DONNÉES BRUTES'!C$3:C$42,"Énergie"),"",INDEX('DONNÉES BRUTES'!AA$3:AA$42,MATCH(LARGE(IF('DONNÉES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I13" s="396" t="str">
        <f t="array" ref="I13">IFERROR(IF(3&gt;COUNTIF('DONNÉES BRUTES'!C$3:C$42,"Énergie"),"",INDEX('DONNÉES BRUTES'!M$3:M$42,MATCH(LARGE(IF('DONNÉES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J13" s="396" t="str">
        <f t="array" ref="J13">IFERROR(IF(3&gt;COUNTIF('DONNÉES BRUTES'!C$3:C$42,"Énergie"),"",INDEX('DONNÉES BRUTES'!N$3:N$42,MATCH(LARGE(IF('DONNÉES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K13" s="396" t="str">
        <f t="array" ref="K13">IFERROR(IF(3&gt;COUNTIF('DONNÉES BRUTES'!C$3:C$42,"Énergie"),"",INDEX('DONNÉES BRUTES'!O$3:O$42,MATCH(LARGE(IF('DONNÉES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L13" s="396" t="str">
        <f t="array" ref="L13">IFERROR(IF(3&gt;COUNTIF('DONNÉES BRUTES'!C$3:C$42,"Énergie"),"",INDEX('DONNÉES BRUTES'!P$3:P$42,MATCH(LARGE(IF('DONNÉES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M13" s="396" t="str">
        <f t="array" ref="M13">IFERROR(IF(3&gt;COUNTIF('DONNÉES BRUTES'!C$3:C$42,"Énergie"),"",INDEX('DONNÉES BRUTES'!Q$3:Q$42,MATCH(LARGE(IF('DONNÉES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N13" s="396" t="str">
        <f t="array" ref="N13">IFERROR(IF(3&gt;COUNTIF('DONNÉES BRUTES'!C$3:C$42,"Énergie"),"",INDEX('DONNÉES BRUTES'!S$3:S$42,MATCH(LARGE(IF('DONNÉES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O13" s="396" t="str">
        <f t="array" ref="O13">IFERROR(IF(3&gt;COUNTIF('DONNÉES BRUTES'!C$3:C$42,"Énergie"),"",INDEX('DONNÉES BRUTES'!T$3:T$42,MATCH(LARGE(IF('DONNÉES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P13" s="396" t="str">
        <f t="array" ref="P13">IFERROR(IF(3&gt;COUNTIF('DONNÉES BRUTES'!C$3:C$42,"Énergie"),"",INDEX('DONNÉES BRUTES'!U$3:U$42,MATCH(LARGE(IF('DONNÉES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Q13" s="405" t="str">
        <f t="array" ref="Q13">IFERROR(IF(3&gt;COUNTIF('DONNÉES BRUTES'!C$3:C$42,"Énergie"),"",INDEX('DONNÉES BRUTES'!AD$3:AD$42,MATCH(LARGE(IF('DONNÉES BRUTES'!C$3:C$42="Énergie",'DONNÉES BRUTES'!AB$3:AB$42+(ROW('DONNÉES BRUTES'!A$3:A$42)-ROW('DONNÉES BRUTES'!A$3))/1000,0),3),IF('DONNÉES BRUTES'!C$3:C$42="Énergie",'DONNÉES BRUTES'!AB$3:AB$42+(ROW('DONNÉES BRUTES'!A$3:A$42)-ROW('DONNÉES BRUTES'!A$3))/1000,0),0))),"—")</f>
        <v/>
      </c>
      <c r="R13" s="397"/>
    </row>
    <row r="14" spans="2:18" ht="15.9" customHeight="1" x14ac:dyDescent="0.3">
      <c r="B14" s="397">
        <v>4</v>
      </c>
      <c r="C14" s="397" t="str">
        <f t="array" ref="C14">IFERROR(IF(4&gt;COUNTIF('DONNÉES BRUTES'!C$3:C$42,"Énergie"),"",INDEX('DONNÉES BRUTES'!A$3:A$42,MATCH(LARGE(IF('DONNÉES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D14" s="397" t="str">
        <f t="array" ref="D14">IFERROR(IF(4&gt;COUNTIF('DONNÉES BRUTES'!C$3:C$42,"Énergie"),"",INDEX('DONNÉES BRUTES'!B$3:B$42,MATCH(LARGE(IF('DONNÉES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E14" s="397" t="str">
        <f t="array" ref="E14">IFERROR(IF(4&gt;COUNTIF('DONNÉES BRUTES'!C$3:C$42,"Énergie"),"",INT(LARGE(IF('DONNÉES BRUTES'!C$3:C$42="Énergie",'DONNÉES BRUTES'!AB$3:AB$42+(ROW('DONNÉES BRUTES'!A$3:A$42)-ROW('DONNÉES BRUTES'!A$3))/1000,0),4))&amp;"/100"),"—")</f>
        <v/>
      </c>
      <c r="F14" s="397" t="str">
        <f t="array" ref="F14">IFERROR(IF(4&gt;COUNTIF('DONNÉES BRUTES'!C$3:C$42,"Énergie"),"",INDEX('DONNÉES BRUTES'!Y$3:Y$42,MATCH(LARGE(IF('DONNÉES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G14" s="397" t="str">
        <f t="array" ref="G14">IFERROR(IF(4&gt;COUNTIF('DONNÉES BRUTES'!C$3:C$42,"Énergie"),"",INDEX('DONNÉES BRUTES'!Z$3:Z$42,MATCH(LARGE(IF('DONNÉES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H14" s="397" t="str">
        <f t="array" ref="H14">IFERROR(IF(4&gt;COUNTIF('DONNÉES BRUTES'!C$3:C$42,"Énergie"),"",INDEX('DONNÉES BRUTES'!AA$3:AA$42,MATCH(LARGE(IF('DONNÉES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I14" s="397" t="str">
        <f t="array" ref="I14">IFERROR(IF(4&gt;COUNTIF('DONNÉES BRUTES'!C$3:C$42,"Énergie"),"",INDEX('DONNÉES BRUTES'!M$3:M$42,MATCH(LARGE(IF('DONNÉES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J14" s="397" t="str">
        <f t="array" ref="J14">IFERROR(IF(4&gt;COUNTIF('DONNÉES BRUTES'!C$3:C$42,"Énergie"),"",INDEX('DONNÉES BRUTES'!N$3:N$42,MATCH(LARGE(IF('DONNÉES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K14" s="397" t="str">
        <f t="array" ref="K14">IFERROR(IF(4&gt;COUNTIF('DONNÉES BRUTES'!C$3:C$42,"Énergie"),"",INDEX('DONNÉES BRUTES'!O$3:O$42,MATCH(LARGE(IF('DONNÉES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L14" s="397" t="str">
        <f t="array" ref="L14">IFERROR(IF(4&gt;COUNTIF('DONNÉES BRUTES'!C$3:C$42,"Énergie"),"",INDEX('DONNÉES BRUTES'!P$3:P$42,MATCH(LARGE(IF('DONNÉES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M14" s="397" t="str">
        <f t="array" ref="M14">IFERROR(IF(4&gt;COUNTIF('DONNÉES BRUTES'!C$3:C$42,"Énergie"),"",INDEX('DONNÉES BRUTES'!Q$3:Q$42,MATCH(LARGE(IF('DONNÉES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N14" s="397" t="str">
        <f t="array" ref="N14">IFERROR(IF(4&gt;COUNTIF('DONNÉES BRUTES'!C$3:C$42,"Énergie"),"",INDEX('DONNÉES BRUTES'!S$3:S$42,MATCH(LARGE(IF('DONNÉES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O14" s="397" t="str">
        <f t="array" ref="O14">IFERROR(IF(4&gt;COUNTIF('DONNÉES BRUTES'!C$3:C$42,"Énergie"),"",INDEX('DONNÉES BRUTES'!T$3:T$42,MATCH(LARGE(IF('DONNÉES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P14" s="397" t="str">
        <f t="array" ref="P14">IFERROR(IF(4&gt;COUNTIF('DONNÉES BRUTES'!C$3:C$42,"Énergie"),"",INDEX('DONNÉES BRUTES'!U$3:U$42,MATCH(LARGE(IF('DONNÉES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Q14" s="407" t="str">
        <f t="array" ref="Q14">IFERROR(IF(4&gt;COUNTIF('DONNÉES BRUTES'!C$3:C$42,"Énergie"),"",INDEX('DONNÉES BRUTES'!AD$3:AD$42,MATCH(LARGE(IF('DONNÉES BRUTES'!C$3:C$42="Énergie",'DONNÉES BRUTES'!AB$3:AB$42+(ROW('DONNÉES BRUTES'!A$3:A$42)-ROW('DONNÉES BRUTES'!A$3))/1000,0),4),IF('DONNÉES BRUTES'!C$3:C$42="Énergie",'DONNÉES BRUTES'!AB$3:AB$42+(ROW('DONNÉES BRUTES'!A$3:A$42)-ROW('DONNÉES BRUTES'!A$3))/1000,0),0))),"—")</f>
        <v/>
      </c>
      <c r="R14" s="397"/>
    </row>
    <row r="15" spans="2:18" ht="15.9" customHeight="1" x14ac:dyDescent="0.3">
      <c r="B15" s="397">
        <v>5</v>
      </c>
      <c r="C15" s="397" t="str">
        <f t="array" ref="C15">IFERROR(IF(5&gt;COUNTIF('DONNÉES BRUTES'!C$3:C$42,"Énergie"),"",INDEX('DONNÉES BRUTES'!A$3:A$42,MATCH(LARGE(IF('DONNÉES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D15" s="397" t="str">
        <f t="array" ref="D15">IFERROR(IF(5&gt;COUNTIF('DONNÉES BRUTES'!C$3:C$42,"Énergie"),"",INDEX('DONNÉES BRUTES'!B$3:B$42,MATCH(LARGE(IF('DONNÉES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E15" s="397" t="str">
        <f t="array" ref="E15">IFERROR(IF(5&gt;COUNTIF('DONNÉES BRUTES'!C$3:C$42,"Énergie"),"",INT(LARGE(IF('DONNÉES BRUTES'!C$3:C$42="Énergie",'DONNÉES BRUTES'!AB$3:AB$42+(ROW('DONNÉES BRUTES'!A$3:A$42)-ROW('DONNÉES BRUTES'!A$3))/1000,0),5))&amp;"/100"),"—")</f>
        <v/>
      </c>
      <c r="F15" s="397" t="str">
        <f t="array" ref="F15">IFERROR(IF(5&gt;COUNTIF('DONNÉES BRUTES'!C$3:C$42,"Énergie"),"",INDEX('DONNÉES BRUTES'!Y$3:Y$42,MATCH(LARGE(IF('DONNÉES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G15" s="397" t="str">
        <f t="array" ref="G15">IFERROR(IF(5&gt;COUNTIF('DONNÉES BRUTES'!C$3:C$42,"Énergie"),"",INDEX('DONNÉES BRUTES'!Z$3:Z$42,MATCH(LARGE(IF('DONNÉES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H15" s="397" t="str">
        <f t="array" ref="H15">IFERROR(IF(5&gt;COUNTIF('DONNÉES BRUTES'!C$3:C$42,"Énergie"),"",INDEX('DONNÉES BRUTES'!AA$3:AA$42,MATCH(LARGE(IF('DONNÉES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I15" s="397" t="str">
        <f t="array" ref="I15">IFERROR(IF(5&gt;COUNTIF('DONNÉES BRUTES'!C$3:C$42,"Énergie"),"",INDEX('DONNÉES BRUTES'!M$3:M$42,MATCH(LARGE(IF('DONNÉES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J15" s="397" t="str">
        <f t="array" ref="J15">IFERROR(IF(5&gt;COUNTIF('DONNÉES BRUTES'!C$3:C$42,"Énergie"),"",INDEX('DONNÉES BRUTES'!N$3:N$42,MATCH(LARGE(IF('DONNÉES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K15" s="397" t="str">
        <f t="array" ref="K15">IFERROR(IF(5&gt;COUNTIF('DONNÉES BRUTES'!C$3:C$42,"Énergie"),"",INDEX('DONNÉES BRUTES'!O$3:O$42,MATCH(LARGE(IF('DONNÉES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L15" s="397" t="str">
        <f t="array" ref="L15">IFERROR(IF(5&gt;COUNTIF('DONNÉES BRUTES'!C$3:C$42,"Énergie"),"",INDEX('DONNÉES BRUTES'!P$3:P$42,MATCH(LARGE(IF('DONNÉES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M15" s="397" t="str">
        <f t="array" ref="M15">IFERROR(IF(5&gt;COUNTIF('DONNÉES BRUTES'!C$3:C$42,"Énergie"),"",INDEX('DONNÉES BRUTES'!Q$3:Q$42,MATCH(LARGE(IF('DONNÉES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N15" s="397" t="str">
        <f t="array" ref="N15">IFERROR(IF(5&gt;COUNTIF('DONNÉES BRUTES'!C$3:C$42,"Énergie"),"",INDEX('DONNÉES BRUTES'!S$3:S$42,MATCH(LARGE(IF('DONNÉES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O15" s="397" t="str">
        <f t="array" ref="O15">IFERROR(IF(5&gt;COUNTIF('DONNÉES BRUTES'!C$3:C$42,"Énergie"),"",INDEX('DONNÉES BRUTES'!T$3:T$42,MATCH(LARGE(IF('DONNÉES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P15" s="397" t="str">
        <f t="array" ref="P15">IFERROR(IF(5&gt;COUNTIF('DONNÉES BRUTES'!C$3:C$42,"Énergie"),"",INDEX('DONNÉES BRUTES'!U$3:U$42,MATCH(LARGE(IF('DONNÉES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Q15" s="407" t="str">
        <f t="array" ref="Q15">IFERROR(IF(5&gt;COUNTIF('DONNÉES BRUTES'!C$3:C$42,"Énergie"),"",INDEX('DONNÉES BRUTES'!AD$3:AD$42,MATCH(LARGE(IF('DONNÉES BRUTES'!C$3:C$42="Énergie",'DONNÉES BRUTES'!AB$3:AB$42+(ROW('DONNÉES BRUTES'!A$3:A$42)-ROW('DONNÉES BRUTES'!A$3))/1000,0),5),IF('DONNÉES BRUTES'!C$3:C$42="Énergie",'DONNÉES BRUTES'!AB$3:AB$42+(ROW('DONNÉES BRUTES'!A$3:A$42)-ROW('DONNÉES BRUTES'!A$3))/1000,0),0))),"—")</f>
        <v/>
      </c>
      <c r="R15" s="397"/>
    </row>
    <row r="16" spans="2:18" ht="15.9" customHeight="1" x14ac:dyDescent="0.3">
      <c r="B16" s="397">
        <v>6</v>
      </c>
      <c r="C16" s="397" t="str">
        <f t="array" ref="C16">IFERROR(IF(6&gt;COUNTIF('DONNÉES BRUTES'!C$3:C$42,"Énergie"),"",INDEX('DONNÉES BRUTES'!A$3:A$42,MATCH(LARGE(IF('DONNÉES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D16" s="397" t="str">
        <f t="array" ref="D16">IFERROR(IF(6&gt;COUNTIF('DONNÉES BRUTES'!C$3:C$42,"Énergie"),"",INDEX('DONNÉES BRUTES'!B$3:B$42,MATCH(LARGE(IF('DONNÉES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E16" s="397" t="str">
        <f t="array" ref="E16">IFERROR(IF(6&gt;COUNTIF('DONNÉES BRUTES'!C$3:C$42,"Énergie"),"",INT(LARGE(IF('DONNÉES BRUTES'!C$3:C$42="Énergie",'DONNÉES BRUTES'!AB$3:AB$42+(ROW('DONNÉES BRUTES'!A$3:A$42)-ROW('DONNÉES BRUTES'!A$3))/1000,0),6))&amp;"/100"),"—")</f>
        <v/>
      </c>
      <c r="F16" s="397" t="str">
        <f t="array" ref="F16">IFERROR(IF(6&gt;COUNTIF('DONNÉES BRUTES'!C$3:C$42,"Énergie"),"",INDEX('DONNÉES BRUTES'!Y$3:Y$42,MATCH(LARGE(IF('DONNÉES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G16" s="397" t="str">
        <f t="array" ref="G16">IFERROR(IF(6&gt;COUNTIF('DONNÉES BRUTES'!C$3:C$42,"Énergie"),"",INDEX('DONNÉES BRUTES'!Z$3:Z$42,MATCH(LARGE(IF('DONNÉES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H16" s="397" t="str">
        <f t="array" ref="H16">IFERROR(IF(6&gt;COUNTIF('DONNÉES BRUTES'!C$3:C$42,"Énergie"),"",INDEX('DONNÉES BRUTES'!AA$3:AA$42,MATCH(LARGE(IF('DONNÉES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I16" s="397" t="str">
        <f t="array" ref="I16">IFERROR(IF(6&gt;COUNTIF('DONNÉES BRUTES'!C$3:C$42,"Énergie"),"",INDEX('DONNÉES BRUTES'!M$3:M$42,MATCH(LARGE(IF('DONNÉES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J16" s="397" t="str">
        <f t="array" ref="J16">IFERROR(IF(6&gt;COUNTIF('DONNÉES BRUTES'!C$3:C$42,"Énergie"),"",INDEX('DONNÉES BRUTES'!N$3:N$42,MATCH(LARGE(IF('DONNÉES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K16" s="397" t="str">
        <f t="array" ref="K16">IFERROR(IF(6&gt;COUNTIF('DONNÉES BRUTES'!C$3:C$42,"Énergie"),"",INDEX('DONNÉES BRUTES'!O$3:O$42,MATCH(LARGE(IF('DONNÉES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L16" s="397" t="str">
        <f t="array" ref="L16">IFERROR(IF(6&gt;COUNTIF('DONNÉES BRUTES'!C$3:C$42,"Énergie"),"",INDEX('DONNÉES BRUTES'!P$3:P$42,MATCH(LARGE(IF('DONNÉES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M16" s="397" t="str">
        <f t="array" ref="M16">IFERROR(IF(6&gt;COUNTIF('DONNÉES BRUTES'!C$3:C$42,"Énergie"),"",INDEX('DONNÉES BRUTES'!Q$3:Q$42,MATCH(LARGE(IF('DONNÉES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N16" s="397" t="str">
        <f t="array" ref="N16">IFERROR(IF(6&gt;COUNTIF('DONNÉES BRUTES'!C$3:C$42,"Énergie"),"",INDEX('DONNÉES BRUTES'!S$3:S$42,MATCH(LARGE(IF('DONNÉES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O16" s="397" t="str">
        <f t="array" ref="O16">IFERROR(IF(6&gt;COUNTIF('DONNÉES BRUTES'!C$3:C$42,"Énergie"),"",INDEX('DONNÉES BRUTES'!T$3:T$42,MATCH(LARGE(IF('DONNÉES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P16" s="397" t="str">
        <f t="array" ref="P16">IFERROR(IF(6&gt;COUNTIF('DONNÉES BRUTES'!C$3:C$42,"Énergie"),"",INDEX('DONNÉES BRUTES'!U$3:U$42,MATCH(LARGE(IF('DONNÉES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Q16" s="407" t="str">
        <f t="array" ref="Q16">IFERROR(IF(6&gt;COUNTIF('DONNÉES BRUTES'!C$3:C$42,"Énergie"),"",INDEX('DONNÉES BRUTES'!AD$3:AD$42,MATCH(LARGE(IF('DONNÉES BRUTES'!C$3:C$42="Énergie",'DONNÉES BRUTES'!AB$3:AB$42+(ROW('DONNÉES BRUTES'!A$3:A$42)-ROW('DONNÉES BRUTES'!A$3))/1000,0),6),IF('DONNÉES BRUTES'!C$3:C$42="Énergie",'DONNÉES BRUTES'!AB$3:AB$42+(ROW('DONNÉES BRUTES'!A$3:A$42)-ROW('DONNÉES BRUTES'!A$3))/1000,0),0))),"—")</f>
        <v/>
      </c>
      <c r="R16" s="397"/>
    </row>
    <row r="17" spans="2:28" ht="15.9" customHeight="1" x14ac:dyDescent="0.3">
      <c r="B17" s="397">
        <v>7</v>
      </c>
      <c r="C17" s="397" t="str">
        <f t="array" ref="C17">IFERROR(IF(7&gt;COUNTIF('DONNÉES BRUTES'!C$3:C$42,"Énergie"),"",INDEX('DONNÉES BRUTES'!A$3:A$42,MATCH(LARGE(IF('DONNÉES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D17" s="397" t="str">
        <f t="array" ref="D17">IFERROR(IF(7&gt;COUNTIF('DONNÉES BRUTES'!C$3:C$42,"Énergie"),"",INDEX('DONNÉES BRUTES'!B$3:B$42,MATCH(LARGE(IF('DONNÉES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E17" s="397" t="str">
        <f t="array" ref="E17">IFERROR(IF(7&gt;COUNTIF('DONNÉES BRUTES'!C$3:C$42,"Énergie"),"",INT(LARGE(IF('DONNÉES BRUTES'!C$3:C$42="Énergie",'DONNÉES BRUTES'!AB$3:AB$42+(ROW('DONNÉES BRUTES'!A$3:A$42)-ROW('DONNÉES BRUTES'!A$3))/1000,0),7))&amp;"/100"),"—")</f>
        <v/>
      </c>
      <c r="F17" s="397" t="str">
        <f t="array" ref="F17">IFERROR(IF(7&gt;COUNTIF('DONNÉES BRUTES'!C$3:C$42,"Énergie"),"",INDEX('DONNÉES BRUTES'!Y$3:Y$42,MATCH(LARGE(IF('DONNÉES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G17" s="397" t="str">
        <f t="array" ref="G17">IFERROR(IF(7&gt;COUNTIF('DONNÉES BRUTES'!C$3:C$42,"Énergie"),"",INDEX('DONNÉES BRUTES'!Z$3:Z$42,MATCH(LARGE(IF('DONNÉES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H17" s="397" t="str">
        <f t="array" ref="H17">IFERROR(IF(7&gt;COUNTIF('DONNÉES BRUTES'!C$3:C$42,"Énergie"),"",INDEX('DONNÉES BRUTES'!AA$3:AA$42,MATCH(LARGE(IF('DONNÉES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I17" s="397" t="str">
        <f t="array" ref="I17">IFERROR(IF(7&gt;COUNTIF('DONNÉES BRUTES'!C$3:C$42,"Énergie"),"",INDEX('DONNÉES BRUTES'!M$3:M$42,MATCH(LARGE(IF('DONNÉES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J17" s="397" t="str">
        <f t="array" ref="J17">IFERROR(IF(7&gt;COUNTIF('DONNÉES BRUTES'!C$3:C$42,"Énergie"),"",INDEX('DONNÉES BRUTES'!N$3:N$42,MATCH(LARGE(IF('DONNÉES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K17" s="397" t="str">
        <f t="array" ref="K17">IFERROR(IF(7&gt;COUNTIF('DONNÉES BRUTES'!C$3:C$42,"Énergie"),"",INDEX('DONNÉES BRUTES'!O$3:O$42,MATCH(LARGE(IF('DONNÉES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L17" s="397" t="str">
        <f t="array" ref="L17">IFERROR(IF(7&gt;COUNTIF('DONNÉES BRUTES'!C$3:C$42,"Énergie"),"",INDEX('DONNÉES BRUTES'!P$3:P$42,MATCH(LARGE(IF('DONNÉES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M17" s="397" t="str">
        <f t="array" ref="M17">IFERROR(IF(7&gt;COUNTIF('DONNÉES BRUTES'!C$3:C$42,"Énergie"),"",INDEX('DONNÉES BRUTES'!Q$3:Q$42,MATCH(LARGE(IF('DONNÉES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N17" s="397" t="str">
        <f t="array" ref="N17">IFERROR(IF(7&gt;COUNTIF('DONNÉES BRUTES'!C$3:C$42,"Énergie"),"",INDEX('DONNÉES BRUTES'!S$3:S$42,MATCH(LARGE(IF('DONNÉES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O17" s="397" t="str">
        <f t="array" ref="O17">IFERROR(IF(7&gt;COUNTIF('DONNÉES BRUTES'!C$3:C$42,"Énergie"),"",INDEX('DONNÉES BRUTES'!T$3:T$42,MATCH(LARGE(IF('DONNÉES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P17" s="397" t="str">
        <f t="array" ref="P17">IFERROR(IF(7&gt;COUNTIF('DONNÉES BRUTES'!C$3:C$42,"Énergie"),"",INDEX('DONNÉES BRUTES'!U$3:U$42,MATCH(LARGE(IF('DONNÉES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Q17" s="407" t="str">
        <f t="array" ref="Q17">IFERROR(IF(7&gt;COUNTIF('DONNÉES BRUTES'!C$3:C$42,"Énergie"),"",INDEX('DONNÉES BRUTES'!AD$3:AD$42,MATCH(LARGE(IF('DONNÉES BRUTES'!C$3:C$42="Énergie",'DONNÉES BRUTES'!AB$3:AB$42+(ROW('DONNÉES BRUTES'!A$3:A$42)-ROW('DONNÉES BRUTES'!A$3))/1000,0),7),IF('DONNÉES BRUTES'!C$3:C$42="Énergie",'DONNÉES BRUTES'!AB$3:AB$42+(ROW('DONNÉES BRUTES'!A$3:A$42)-ROW('DONNÉES BRUTES'!A$3))/1000,0),0))),"—")</f>
        <v/>
      </c>
      <c r="R17" s="397"/>
    </row>
    <row r="18" spans="2:28" ht="15.9" customHeight="1" x14ac:dyDescent="0.3">
      <c r="B18" s="397">
        <v>8</v>
      </c>
      <c r="C18" s="397" t="str">
        <f t="array" ref="C18">IFERROR(IF(8&gt;COUNTIF('DONNÉES BRUTES'!C$3:C$42,"Énergie"),"",INDEX('DONNÉES BRUTES'!A$3:A$42,MATCH(LARGE(IF('DONNÉES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D18" s="397" t="str">
        <f t="array" ref="D18">IFERROR(IF(8&gt;COUNTIF('DONNÉES BRUTES'!C$3:C$42,"Énergie"),"",INDEX('DONNÉES BRUTES'!B$3:B$42,MATCH(LARGE(IF('DONNÉES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E18" s="397" t="str">
        <f t="array" ref="E18">IFERROR(IF(8&gt;COUNTIF('DONNÉES BRUTES'!C$3:C$42,"Énergie"),"",INT(LARGE(IF('DONNÉES BRUTES'!C$3:C$42="Énergie",'DONNÉES BRUTES'!AB$3:AB$42+(ROW('DONNÉES BRUTES'!A$3:A$42)-ROW('DONNÉES BRUTES'!A$3))/1000,0),8))&amp;"/100"),"—")</f>
        <v/>
      </c>
      <c r="F18" s="397" t="str">
        <f t="array" ref="F18">IFERROR(IF(8&gt;COUNTIF('DONNÉES BRUTES'!C$3:C$42,"Énergie"),"",INDEX('DONNÉES BRUTES'!Y$3:Y$42,MATCH(LARGE(IF('DONNÉES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G18" s="397" t="str">
        <f t="array" ref="G18">IFERROR(IF(8&gt;COUNTIF('DONNÉES BRUTES'!C$3:C$42,"Énergie"),"",INDEX('DONNÉES BRUTES'!Z$3:Z$42,MATCH(LARGE(IF('DONNÉES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H18" s="397" t="str">
        <f t="array" ref="H18">IFERROR(IF(8&gt;COUNTIF('DONNÉES BRUTES'!C$3:C$42,"Énergie"),"",INDEX('DONNÉES BRUTES'!AA$3:AA$42,MATCH(LARGE(IF('DONNÉES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I18" s="397" t="str">
        <f t="array" ref="I18">IFERROR(IF(8&gt;COUNTIF('DONNÉES BRUTES'!C$3:C$42,"Énergie"),"",INDEX('DONNÉES BRUTES'!M$3:M$42,MATCH(LARGE(IF('DONNÉES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J18" s="397" t="str">
        <f t="array" ref="J18">IFERROR(IF(8&gt;COUNTIF('DONNÉES BRUTES'!C$3:C$42,"Énergie"),"",INDEX('DONNÉES BRUTES'!N$3:N$42,MATCH(LARGE(IF('DONNÉES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K18" s="397" t="str">
        <f t="array" ref="K18">IFERROR(IF(8&gt;COUNTIF('DONNÉES BRUTES'!C$3:C$42,"Énergie"),"",INDEX('DONNÉES BRUTES'!O$3:O$42,MATCH(LARGE(IF('DONNÉES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L18" s="397" t="str">
        <f t="array" ref="L18">IFERROR(IF(8&gt;COUNTIF('DONNÉES BRUTES'!C$3:C$42,"Énergie"),"",INDEX('DONNÉES BRUTES'!P$3:P$42,MATCH(LARGE(IF('DONNÉES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M18" s="397" t="str">
        <f t="array" ref="M18">IFERROR(IF(8&gt;COUNTIF('DONNÉES BRUTES'!C$3:C$42,"Énergie"),"",INDEX('DONNÉES BRUTES'!Q$3:Q$42,MATCH(LARGE(IF('DONNÉES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N18" s="397" t="str">
        <f t="array" ref="N18">IFERROR(IF(8&gt;COUNTIF('DONNÉES BRUTES'!C$3:C$42,"Énergie"),"",INDEX('DONNÉES BRUTES'!S$3:S$42,MATCH(LARGE(IF('DONNÉES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O18" s="397" t="str">
        <f t="array" ref="O18">IFERROR(IF(8&gt;COUNTIF('DONNÉES BRUTES'!C$3:C$42,"Énergie"),"",INDEX('DONNÉES BRUTES'!T$3:T$42,MATCH(LARGE(IF('DONNÉES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P18" s="397" t="str">
        <f t="array" ref="P18">IFERROR(IF(8&gt;COUNTIF('DONNÉES BRUTES'!C$3:C$42,"Énergie"),"",INDEX('DONNÉES BRUTES'!U$3:U$42,MATCH(LARGE(IF('DONNÉES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Q18" s="407" t="str">
        <f t="array" ref="Q18">IFERROR(IF(8&gt;COUNTIF('DONNÉES BRUTES'!C$3:C$42,"Énergie"),"",INDEX('DONNÉES BRUTES'!AD$3:AD$42,MATCH(LARGE(IF('DONNÉES BRUTES'!C$3:C$42="Énergie",'DONNÉES BRUTES'!AB$3:AB$42+(ROW('DONNÉES BRUTES'!A$3:A$42)-ROW('DONNÉES BRUTES'!A$3))/1000,0),8),IF('DONNÉES BRUTES'!C$3:C$42="Énergie",'DONNÉES BRUTES'!AB$3:AB$42+(ROW('DONNÉES BRUTES'!A$3:A$42)-ROW('DONNÉES BRUTES'!A$3))/1000,0),0))),"—")</f>
        <v/>
      </c>
      <c r="R18" s="397"/>
    </row>
    <row r="19" spans="2:28" ht="15.9" customHeight="1" x14ac:dyDescent="0.3">
      <c r="B19" s="397">
        <v>9</v>
      </c>
      <c r="C19" s="397" t="str">
        <f t="array" ref="C19">IFERROR(IF(9&gt;COUNTIF('DONNÉES BRUTES'!C$3:C$42,"Énergie"),"",INDEX('DONNÉES BRUTES'!A$3:A$42,MATCH(LARGE(IF('DONNÉES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D19" s="397" t="str">
        <f t="array" ref="D19">IFERROR(IF(9&gt;COUNTIF('DONNÉES BRUTES'!C$3:C$42,"Énergie"),"",INDEX('DONNÉES BRUTES'!B$3:B$42,MATCH(LARGE(IF('DONNÉES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E19" s="397" t="str">
        <f t="array" ref="E19">IFERROR(IF(9&gt;COUNTIF('DONNÉES BRUTES'!C$3:C$42,"Énergie"),"",INT(LARGE(IF('DONNÉES BRUTES'!C$3:C$42="Énergie",'DONNÉES BRUTES'!AB$3:AB$42+(ROW('DONNÉES BRUTES'!A$3:A$42)-ROW('DONNÉES BRUTES'!A$3))/1000,0),9))&amp;"/100"),"—")</f>
        <v/>
      </c>
      <c r="F19" s="397" t="str">
        <f t="array" ref="F19">IFERROR(IF(9&gt;COUNTIF('DONNÉES BRUTES'!C$3:C$42,"Énergie"),"",INDEX('DONNÉES BRUTES'!Y$3:Y$42,MATCH(LARGE(IF('DONNÉES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G19" s="397" t="str">
        <f t="array" ref="G19">IFERROR(IF(9&gt;COUNTIF('DONNÉES BRUTES'!C$3:C$42,"Énergie"),"",INDEX('DONNÉES BRUTES'!Z$3:Z$42,MATCH(LARGE(IF('DONNÉES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H19" s="397" t="str">
        <f t="array" ref="H19">IFERROR(IF(9&gt;COUNTIF('DONNÉES BRUTES'!C$3:C$42,"Énergie"),"",INDEX('DONNÉES BRUTES'!AA$3:AA$42,MATCH(LARGE(IF('DONNÉES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I19" s="397" t="str">
        <f t="array" ref="I19">IFERROR(IF(9&gt;COUNTIF('DONNÉES BRUTES'!C$3:C$42,"Énergie"),"",INDEX('DONNÉES BRUTES'!M$3:M$42,MATCH(LARGE(IF('DONNÉES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J19" s="397" t="str">
        <f t="array" ref="J19">IFERROR(IF(9&gt;COUNTIF('DONNÉES BRUTES'!C$3:C$42,"Énergie"),"",INDEX('DONNÉES BRUTES'!N$3:N$42,MATCH(LARGE(IF('DONNÉES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K19" s="397" t="str">
        <f t="array" ref="K19">IFERROR(IF(9&gt;COUNTIF('DONNÉES BRUTES'!C$3:C$42,"Énergie"),"",INDEX('DONNÉES BRUTES'!O$3:O$42,MATCH(LARGE(IF('DONNÉES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L19" s="397" t="str">
        <f t="array" ref="L19">IFERROR(IF(9&gt;COUNTIF('DONNÉES BRUTES'!C$3:C$42,"Énergie"),"",INDEX('DONNÉES BRUTES'!P$3:P$42,MATCH(LARGE(IF('DONNÉES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M19" s="397" t="str">
        <f t="array" ref="M19">IFERROR(IF(9&gt;COUNTIF('DONNÉES BRUTES'!C$3:C$42,"Énergie"),"",INDEX('DONNÉES BRUTES'!Q$3:Q$42,MATCH(LARGE(IF('DONNÉES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N19" s="397" t="str">
        <f t="array" ref="N19">IFERROR(IF(9&gt;COUNTIF('DONNÉES BRUTES'!C$3:C$42,"Énergie"),"",INDEX('DONNÉES BRUTES'!S$3:S$42,MATCH(LARGE(IF('DONNÉES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O19" s="397" t="str">
        <f t="array" ref="O19">IFERROR(IF(9&gt;COUNTIF('DONNÉES BRUTES'!C$3:C$42,"Énergie"),"",INDEX('DONNÉES BRUTES'!T$3:T$42,MATCH(LARGE(IF('DONNÉES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P19" s="397" t="str">
        <f t="array" ref="P19">IFERROR(IF(9&gt;COUNTIF('DONNÉES BRUTES'!C$3:C$42,"Énergie"),"",INDEX('DONNÉES BRUTES'!U$3:U$42,MATCH(LARGE(IF('DONNÉES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Q19" s="407" t="str">
        <f t="array" ref="Q19">IFERROR(IF(9&gt;COUNTIF('DONNÉES BRUTES'!C$3:C$42,"Énergie"),"",INDEX('DONNÉES BRUTES'!AD$3:AD$42,MATCH(LARGE(IF('DONNÉES BRUTES'!C$3:C$42="Énergie",'DONNÉES BRUTES'!AB$3:AB$42+(ROW('DONNÉES BRUTES'!A$3:A$42)-ROW('DONNÉES BRUTES'!A$3))/1000,0),9),IF('DONNÉES BRUTES'!C$3:C$42="Énergie",'DONNÉES BRUTES'!AB$3:AB$42+(ROW('DONNÉES BRUTES'!A$3:A$42)-ROW('DONNÉES BRUTES'!A$3))/1000,0),0))),"—")</f>
        <v/>
      </c>
      <c r="R19" s="397"/>
    </row>
    <row r="20" spans="2:28" ht="15.9" customHeight="1" x14ac:dyDescent="0.3">
      <c r="B20" s="397">
        <v>10</v>
      </c>
      <c r="C20" s="397" t="str">
        <f t="array" ref="C20">IFERROR(IF(10&gt;COUNTIF('DONNÉES BRUTES'!C$3:C$42,"Énergie"),"",INDEX('DONNÉES BRUTES'!A$3:A$42,MATCH(LARGE(IF('DONNÉES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D20" s="397" t="str">
        <f t="array" ref="D20">IFERROR(IF(10&gt;COUNTIF('DONNÉES BRUTES'!C$3:C$42,"Énergie"),"",INDEX('DONNÉES BRUTES'!B$3:B$42,MATCH(LARGE(IF('DONNÉES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E20" s="397" t="str">
        <f t="array" ref="E20">IFERROR(IF(10&gt;COUNTIF('DONNÉES BRUTES'!C$3:C$42,"Énergie"),"",INT(LARGE(IF('DONNÉES BRUTES'!C$3:C$42="Énergie",'DONNÉES BRUTES'!AB$3:AB$42+(ROW('DONNÉES BRUTES'!A$3:A$42)-ROW('DONNÉES BRUTES'!A$3))/1000,0),10))&amp;"/100"),"—")</f>
        <v/>
      </c>
      <c r="F20" s="397" t="str">
        <f t="array" ref="F20">IFERROR(IF(10&gt;COUNTIF('DONNÉES BRUTES'!C$3:C$42,"Énergie"),"",INDEX('DONNÉES BRUTES'!Y$3:Y$42,MATCH(LARGE(IF('DONNÉES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G20" s="397" t="str">
        <f t="array" ref="G20">IFERROR(IF(10&gt;COUNTIF('DONNÉES BRUTES'!C$3:C$42,"Énergie"),"",INDEX('DONNÉES BRUTES'!Z$3:Z$42,MATCH(LARGE(IF('DONNÉES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H20" s="397" t="str">
        <f t="array" ref="H20">IFERROR(IF(10&gt;COUNTIF('DONNÉES BRUTES'!C$3:C$42,"Énergie"),"",INDEX('DONNÉES BRUTES'!AA$3:AA$42,MATCH(LARGE(IF('DONNÉES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I20" s="397" t="str">
        <f t="array" ref="I20">IFERROR(IF(10&gt;COUNTIF('DONNÉES BRUTES'!C$3:C$42,"Énergie"),"",INDEX('DONNÉES BRUTES'!M$3:M$42,MATCH(LARGE(IF('DONNÉES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J20" s="397" t="str">
        <f t="array" ref="J20">IFERROR(IF(10&gt;COUNTIF('DONNÉES BRUTES'!C$3:C$42,"Énergie"),"",INDEX('DONNÉES BRUTES'!N$3:N$42,MATCH(LARGE(IF('DONNÉES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K20" s="397" t="str">
        <f t="array" ref="K20">IFERROR(IF(10&gt;COUNTIF('DONNÉES BRUTES'!C$3:C$42,"Énergie"),"",INDEX('DONNÉES BRUTES'!O$3:O$42,MATCH(LARGE(IF('DONNÉES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L20" s="397" t="str">
        <f t="array" ref="L20">IFERROR(IF(10&gt;COUNTIF('DONNÉES BRUTES'!C$3:C$42,"Énergie"),"",INDEX('DONNÉES BRUTES'!P$3:P$42,MATCH(LARGE(IF('DONNÉES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M20" s="397" t="str">
        <f t="array" ref="M20">IFERROR(IF(10&gt;COUNTIF('DONNÉES BRUTES'!C$3:C$42,"Énergie"),"",INDEX('DONNÉES BRUTES'!Q$3:Q$42,MATCH(LARGE(IF('DONNÉES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N20" s="397" t="str">
        <f t="array" ref="N20">IFERROR(IF(10&gt;COUNTIF('DONNÉES BRUTES'!C$3:C$42,"Énergie"),"",INDEX('DONNÉES BRUTES'!S$3:S$42,MATCH(LARGE(IF('DONNÉES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O20" s="397" t="str">
        <f t="array" ref="O20">IFERROR(IF(10&gt;COUNTIF('DONNÉES BRUTES'!C$3:C$42,"Énergie"),"",INDEX('DONNÉES BRUTES'!T$3:T$42,MATCH(LARGE(IF('DONNÉES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P20" s="397" t="str">
        <f t="array" ref="P20">IFERROR(IF(10&gt;COUNTIF('DONNÉES BRUTES'!C$3:C$42,"Énergie"),"",INDEX('DONNÉES BRUTES'!U$3:U$42,MATCH(LARGE(IF('DONNÉES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Q20" s="407" t="str">
        <f t="array" ref="Q20">IFERROR(IF(10&gt;COUNTIF('DONNÉES BRUTES'!C$3:C$42,"Énergie"),"",INDEX('DONNÉES BRUTES'!AD$3:AD$42,MATCH(LARGE(IF('DONNÉES BRUTES'!C$3:C$42="Énergie",'DONNÉES BRUTES'!AB$3:AB$42+(ROW('DONNÉES BRUTES'!A$3:A$42)-ROW('DONNÉES BRUTES'!A$3))/1000,0),10),IF('DONNÉES BRUTES'!C$3:C$42="Énergie",'DONNÉES BRUTES'!AB$3:AB$42+(ROW('DONNÉES BRUTES'!A$3:A$42)-ROW('DONNÉES BRUTES'!A$3))/1000,0),0))),"—")</f>
        <v/>
      </c>
      <c r="R20" s="397"/>
    </row>
    <row r="21" spans="2:28" ht="15.9" customHeight="1" x14ac:dyDescent="0.3">
      <c r="B21" s="397">
        <v>11</v>
      </c>
      <c r="C21" s="397" t="str">
        <f t="array" ref="C21">IFERROR(IF(11&gt;COUNTIF('DONNÉES BRUTES'!C$3:C$42,"Énergie"),"",INDEX('DONNÉES BRUTES'!A$3:A$42,MATCH(LARGE(IF('DONNÉES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D21" s="397" t="str">
        <f t="array" ref="D21">IFERROR(IF(11&gt;COUNTIF('DONNÉES BRUTES'!C$3:C$42,"Énergie"),"",INDEX('DONNÉES BRUTES'!B$3:B$42,MATCH(LARGE(IF('DONNÉES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E21" s="397" t="str">
        <f t="array" ref="E21">IFERROR(IF(11&gt;COUNTIF('DONNÉES BRUTES'!C$3:C$42,"Énergie"),"",INT(LARGE(IF('DONNÉES BRUTES'!C$3:C$42="Énergie",'DONNÉES BRUTES'!AB$3:AB$42+(ROW('DONNÉES BRUTES'!A$3:A$42)-ROW('DONNÉES BRUTES'!A$3))/1000,0),11))&amp;"/100"),"—")</f>
        <v/>
      </c>
      <c r="F21" s="397" t="str">
        <f t="array" ref="F21">IFERROR(IF(11&gt;COUNTIF('DONNÉES BRUTES'!C$3:C$42,"Énergie"),"",INDEX('DONNÉES BRUTES'!Y$3:Y$42,MATCH(LARGE(IF('DONNÉES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G21" s="397" t="str">
        <f t="array" ref="G21">IFERROR(IF(11&gt;COUNTIF('DONNÉES BRUTES'!C$3:C$42,"Énergie"),"",INDEX('DONNÉES BRUTES'!Z$3:Z$42,MATCH(LARGE(IF('DONNÉES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H21" s="397" t="str">
        <f t="array" ref="H21">IFERROR(IF(11&gt;COUNTIF('DONNÉES BRUTES'!C$3:C$42,"Énergie"),"",INDEX('DONNÉES BRUTES'!AA$3:AA$42,MATCH(LARGE(IF('DONNÉES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I21" s="397" t="str">
        <f t="array" ref="I21">IFERROR(IF(11&gt;COUNTIF('DONNÉES BRUTES'!C$3:C$42,"Énergie"),"",INDEX('DONNÉES BRUTES'!M$3:M$42,MATCH(LARGE(IF('DONNÉES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J21" s="397" t="str">
        <f t="array" ref="J21">IFERROR(IF(11&gt;COUNTIF('DONNÉES BRUTES'!C$3:C$42,"Énergie"),"",INDEX('DONNÉES BRUTES'!N$3:N$42,MATCH(LARGE(IF('DONNÉES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K21" s="397" t="str">
        <f t="array" ref="K21">IFERROR(IF(11&gt;COUNTIF('DONNÉES BRUTES'!C$3:C$42,"Énergie"),"",INDEX('DONNÉES BRUTES'!O$3:O$42,MATCH(LARGE(IF('DONNÉES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L21" s="397" t="str">
        <f t="array" ref="L21">IFERROR(IF(11&gt;COUNTIF('DONNÉES BRUTES'!C$3:C$42,"Énergie"),"",INDEX('DONNÉES BRUTES'!P$3:P$42,MATCH(LARGE(IF('DONNÉES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M21" s="397" t="str">
        <f t="array" ref="M21">IFERROR(IF(11&gt;COUNTIF('DONNÉES BRUTES'!C$3:C$42,"Énergie"),"",INDEX('DONNÉES BRUTES'!Q$3:Q$42,MATCH(LARGE(IF('DONNÉES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N21" s="397" t="str">
        <f t="array" ref="N21">IFERROR(IF(11&gt;COUNTIF('DONNÉES BRUTES'!C$3:C$42,"Énergie"),"",INDEX('DONNÉES BRUTES'!S$3:S$42,MATCH(LARGE(IF('DONNÉES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O21" s="397" t="str">
        <f t="array" ref="O21">IFERROR(IF(11&gt;COUNTIF('DONNÉES BRUTES'!C$3:C$42,"Énergie"),"",INDEX('DONNÉES BRUTES'!T$3:T$42,MATCH(LARGE(IF('DONNÉES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P21" s="397" t="str">
        <f t="array" ref="P21">IFERROR(IF(11&gt;COUNTIF('DONNÉES BRUTES'!C$3:C$42,"Énergie"),"",INDEX('DONNÉES BRUTES'!U$3:U$42,MATCH(LARGE(IF('DONNÉES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Q21" s="407" t="str">
        <f t="array" ref="Q21">IFERROR(IF(11&gt;COUNTIF('DONNÉES BRUTES'!C$3:C$42,"Énergie"),"",INDEX('DONNÉES BRUTES'!AD$3:AD$42,MATCH(LARGE(IF('DONNÉES BRUTES'!C$3:C$42="Énergie",'DONNÉES BRUTES'!AB$3:AB$42+(ROW('DONNÉES BRUTES'!A$3:A$42)-ROW('DONNÉES BRUTES'!A$3))/1000,0),11),IF('DONNÉES BRUTES'!C$3:C$42="Énergie",'DONNÉES BRUTES'!AB$3:AB$42+(ROW('DONNÉES BRUTES'!A$3:A$42)-ROW('DONNÉES BRUTES'!A$3))/1000,0),0))),"—")</f>
        <v/>
      </c>
      <c r="R21" s="397"/>
    </row>
    <row r="22" spans="2:28" ht="15.9" customHeight="1" x14ac:dyDescent="0.3">
      <c r="B22" s="397">
        <v>12</v>
      </c>
      <c r="C22" s="397" t="str">
        <f t="array" ref="C22">IFERROR(IF(12&gt;COUNTIF('DONNÉES BRUTES'!C$3:C$42,"Énergie"),"",INDEX('DONNÉES BRUTES'!A$3:A$42,MATCH(LARGE(IF('DONNÉES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D22" s="397" t="str">
        <f t="array" ref="D22">IFERROR(IF(12&gt;COUNTIF('DONNÉES BRUTES'!C$3:C$42,"Énergie"),"",INDEX('DONNÉES BRUTES'!B$3:B$42,MATCH(LARGE(IF('DONNÉES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E22" s="397" t="str">
        <f t="array" ref="E22">IFERROR(IF(12&gt;COUNTIF('DONNÉES BRUTES'!C$3:C$42,"Énergie"),"",INT(LARGE(IF('DONNÉES BRUTES'!C$3:C$42="Énergie",'DONNÉES BRUTES'!AB$3:AB$42+(ROW('DONNÉES BRUTES'!A$3:A$42)-ROW('DONNÉES BRUTES'!A$3))/1000,0),12))&amp;"/100"),"—")</f>
        <v/>
      </c>
      <c r="F22" s="397" t="str">
        <f t="array" ref="F22">IFERROR(IF(12&gt;COUNTIF('DONNÉES BRUTES'!C$3:C$42,"Énergie"),"",INDEX('DONNÉES BRUTES'!Y$3:Y$42,MATCH(LARGE(IF('DONNÉES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G22" s="397" t="str">
        <f t="array" ref="G22">IFERROR(IF(12&gt;COUNTIF('DONNÉES BRUTES'!C$3:C$42,"Énergie"),"",INDEX('DONNÉES BRUTES'!Z$3:Z$42,MATCH(LARGE(IF('DONNÉES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H22" s="397" t="str">
        <f t="array" ref="H22">IFERROR(IF(12&gt;COUNTIF('DONNÉES BRUTES'!C$3:C$42,"Énergie"),"",INDEX('DONNÉES BRUTES'!AA$3:AA$42,MATCH(LARGE(IF('DONNÉES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I22" s="397" t="str">
        <f t="array" ref="I22">IFERROR(IF(12&gt;COUNTIF('DONNÉES BRUTES'!C$3:C$42,"Énergie"),"",INDEX('DONNÉES BRUTES'!M$3:M$42,MATCH(LARGE(IF('DONNÉES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J22" s="397" t="str">
        <f t="array" ref="J22">IFERROR(IF(12&gt;COUNTIF('DONNÉES BRUTES'!C$3:C$42,"Énergie"),"",INDEX('DONNÉES BRUTES'!N$3:N$42,MATCH(LARGE(IF('DONNÉES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K22" s="397" t="str">
        <f t="array" ref="K22">IFERROR(IF(12&gt;COUNTIF('DONNÉES BRUTES'!C$3:C$42,"Énergie"),"",INDEX('DONNÉES BRUTES'!O$3:O$42,MATCH(LARGE(IF('DONNÉES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L22" s="397" t="str">
        <f t="array" ref="L22">IFERROR(IF(12&gt;COUNTIF('DONNÉES BRUTES'!C$3:C$42,"Énergie"),"",INDEX('DONNÉES BRUTES'!P$3:P$42,MATCH(LARGE(IF('DONNÉES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M22" s="397" t="str">
        <f t="array" ref="M22">IFERROR(IF(12&gt;COUNTIF('DONNÉES BRUTES'!C$3:C$42,"Énergie"),"",INDEX('DONNÉES BRUTES'!Q$3:Q$42,MATCH(LARGE(IF('DONNÉES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N22" s="397" t="str">
        <f t="array" ref="N22">IFERROR(IF(12&gt;COUNTIF('DONNÉES BRUTES'!C$3:C$42,"Énergie"),"",INDEX('DONNÉES BRUTES'!S$3:S$42,MATCH(LARGE(IF('DONNÉES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O22" s="397" t="str">
        <f t="array" ref="O22">IFERROR(IF(12&gt;COUNTIF('DONNÉES BRUTES'!C$3:C$42,"Énergie"),"",INDEX('DONNÉES BRUTES'!T$3:T$42,MATCH(LARGE(IF('DONNÉES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P22" s="397" t="str">
        <f t="array" ref="P22">IFERROR(IF(12&gt;COUNTIF('DONNÉES BRUTES'!C$3:C$42,"Énergie"),"",INDEX('DONNÉES BRUTES'!U$3:U$42,MATCH(LARGE(IF('DONNÉES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Q22" s="407" t="str">
        <f t="array" ref="Q22">IFERROR(IF(12&gt;COUNTIF('DONNÉES BRUTES'!C$3:C$42,"Énergie"),"",INDEX('DONNÉES BRUTES'!AD$3:AD$42,MATCH(LARGE(IF('DONNÉES BRUTES'!C$3:C$42="Énergie",'DONNÉES BRUTES'!AB$3:AB$42+(ROW('DONNÉES BRUTES'!A$3:A$42)-ROW('DONNÉES BRUTES'!A$3))/1000,0),12),IF('DONNÉES BRUTES'!C$3:C$42="Énergie",'DONNÉES BRUTES'!AB$3:AB$42+(ROW('DONNÉES BRUTES'!A$3:A$42)-ROW('DONNÉES BRUTES'!A$3))/1000,0),0))),"—")</f>
        <v/>
      </c>
      <c r="R22" s="397"/>
    </row>
    <row r="23" spans="2:28" ht="15.9" customHeight="1" x14ac:dyDescent="0.3">
      <c r="B23" s="397">
        <v>13</v>
      </c>
      <c r="C23" s="397" t="str">
        <f t="array" ref="C23">IFERROR(IF(13&gt;COUNTIF('DONNÉES BRUTES'!C$3:C$42,"Énergie"),"",INDEX('DONNÉES BRUTES'!A$3:A$42,MATCH(LARGE(IF('DONNÉES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D23" s="397" t="str">
        <f t="array" ref="D23">IFERROR(IF(13&gt;COUNTIF('DONNÉES BRUTES'!C$3:C$42,"Énergie"),"",INDEX('DONNÉES BRUTES'!B$3:B$42,MATCH(LARGE(IF('DONNÉES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E23" s="397" t="str">
        <f t="array" ref="E23">IFERROR(IF(13&gt;COUNTIF('DONNÉES BRUTES'!C$3:C$42,"Énergie"),"",INT(LARGE(IF('DONNÉES BRUTES'!C$3:C$42="Énergie",'DONNÉES BRUTES'!AB$3:AB$42+(ROW('DONNÉES BRUTES'!A$3:A$42)-ROW('DONNÉES BRUTES'!A$3))/1000,0),13))&amp;"/100"),"—")</f>
        <v/>
      </c>
      <c r="F23" s="397" t="str">
        <f t="array" ref="F23">IFERROR(IF(13&gt;COUNTIF('DONNÉES BRUTES'!C$3:C$42,"Énergie"),"",INDEX('DONNÉES BRUTES'!Y$3:Y$42,MATCH(LARGE(IF('DONNÉES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G23" s="397" t="str">
        <f t="array" ref="G23">IFERROR(IF(13&gt;COUNTIF('DONNÉES BRUTES'!C$3:C$42,"Énergie"),"",INDEX('DONNÉES BRUTES'!Z$3:Z$42,MATCH(LARGE(IF('DONNÉES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H23" s="397" t="str">
        <f t="array" ref="H23">IFERROR(IF(13&gt;COUNTIF('DONNÉES BRUTES'!C$3:C$42,"Énergie"),"",INDEX('DONNÉES BRUTES'!AA$3:AA$42,MATCH(LARGE(IF('DONNÉES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I23" s="397" t="str">
        <f t="array" ref="I23">IFERROR(IF(13&gt;COUNTIF('DONNÉES BRUTES'!C$3:C$42,"Énergie"),"",INDEX('DONNÉES BRUTES'!M$3:M$42,MATCH(LARGE(IF('DONNÉES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J23" s="397" t="str">
        <f t="array" ref="J23">IFERROR(IF(13&gt;COUNTIF('DONNÉES BRUTES'!C$3:C$42,"Énergie"),"",INDEX('DONNÉES BRUTES'!N$3:N$42,MATCH(LARGE(IF('DONNÉES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K23" s="397" t="str">
        <f t="array" ref="K23">IFERROR(IF(13&gt;COUNTIF('DONNÉES BRUTES'!C$3:C$42,"Énergie"),"",INDEX('DONNÉES BRUTES'!O$3:O$42,MATCH(LARGE(IF('DONNÉES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L23" s="397" t="str">
        <f t="array" ref="L23">IFERROR(IF(13&gt;COUNTIF('DONNÉES BRUTES'!C$3:C$42,"Énergie"),"",INDEX('DONNÉES BRUTES'!P$3:P$42,MATCH(LARGE(IF('DONNÉES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M23" s="397" t="str">
        <f t="array" ref="M23">IFERROR(IF(13&gt;COUNTIF('DONNÉES BRUTES'!C$3:C$42,"Énergie"),"",INDEX('DONNÉES BRUTES'!Q$3:Q$42,MATCH(LARGE(IF('DONNÉES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N23" s="397" t="str">
        <f t="array" ref="N23">IFERROR(IF(13&gt;COUNTIF('DONNÉES BRUTES'!C$3:C$42,"Énergie"),"",INDEX('DONNÉES BRUTES'!S$3:S$42,MATCH(LARGE(IF('DONNÉES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O23" s="397" t="str">
        <f t="array" ref="O23">IFERROR(IF(13&gt;COUNTIF('DONNÉES BRUTES'!C$3:C$42,"Énergie"),"",INDEX('DONNÉES BRUTES'!T$3:T$42,MATCH(LARGE(IF('DONNÉES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P23" s="397" t="str">
        <f t="array" ref="P23">IFERROR(IF(13&gt;COUNTIF('DONNÉES BRUTES'!C$3:C$42,"Énergie"),"",INDEX('DONNÉES BRUTES'!U$3:U$42,MATCH(LARGE(IF('DONNÉES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Q23" s="407" t="str">
        <f t="array" ref="Q23">IFERROR(IF(13&gt;COUNTIF('DONNÉES BRUTES'!C$3:C$42,"Énergie"),"",INDEX('DONNÉES BRUTES'!AD$3:AD$42,MATCH(LARGE(IF('DONNÉES BRUTES'!C$3:C$42="Énergie",'DONNÉES BRUTES'!AB$3:AB$42+(ROW('DONNÉES BRUTES'!A$3:A$42)-ROW('DONNÉES BRUTES'!A$3))/1000,0),13),IF('DONNÉES BRUTES'!C$3:C$42="Énergie",'DONNÉES BRUTES'!AB$3:AB$42+(ROW('DONNÉES BRUTES'!A$3:A$42)-ROW('DONNÉES BRUTES'!A$3))/1000,0),0))),"—")</f>
        <v/>
      </c>
      <c r="R23" s="397"/>
    </row>
    <row r="24" spans="2:28" ht="15.9" customHeight="1" x14ac:dyDescent="0.3">
      <c r="B24" s="397">
        <v>14</v>
      </c>
      <c r="C24" s="397" t="str">
        <f t="array" ref="C24">IFERROR(IF(14&gt;COUNTIF('DONNÉES BRUTES'!C$3:C$42,"Énergie"),"",INDEX('DONNÉES BRUTES'!A$3:A$42,MATCH(LARGE(IF('DONNÉES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D24" s="397" t="str">
        <f t="array" ref="D24">IFERROR(IF(14&gt;COUNTIF('DONNÉES BRUTES'!C$3:C$42,"Énergie"),"",INDEX('DONNÉES BRUTES'!B$3:B$42,MATCH(LARGE(IF('DONNÉES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E24" s="397" t="str">
        <f t="array" ref="E24">IFERROR(IF(14&gt;COUNTIF('DONNÉES BRUTES'!C$3:C$42,"Énergie"),"",INT(LARGE(IF('DONNÉES BRUTES'!C$3:C$42="Énergie",'DONNÉES BRUTES'!AB$3:AB$42+(ROW('DONNÉES BRUTES'!A$3:A$42)-ROW('DONNÉES BRUTES'!A$3))/1000,0),14))&amp;"/100"),"—")</f>
        <v/>
      </c>
      <c r="F24" s="397" t="str">
        <f t="array" ref="F24">IFERROR(IF(14&gt;COUNTIF('DONNÉES BRUTES'!C$3:C$42,"Énergie"),"",INDEX('DONNÉES BRUTES'!Y$3:Y$42,MATCH(LARGE(IF('DONNÉES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G24" s="397" t="str">
        <f t="array" ref="G24">IFERROR(IF(14&gt;COUNTIF('DONNÉES BRUTES'!C$3:C$42,"Énergie"),"",INDEX('DONNÉES BRUTES'!Z$3:Z$42,MATCH(LARGE(IF('DONNÉES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H24" s="397" t="str">
        <f t="array" ref="H24">IFERROR(IF(14&gt;COUNTIF('DONNÉES BRUTES'!C$3:C$42,"Énergie"),"",INDEX('DONNÉES BRUTES'!AA$3:AA$42,MATCH(LARGE(IF('DONNÉES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I24" s="397" t="str">
        <f t="array" ref="I24">IFERROR(IF(14&gt;COUNTIF('DONNÉES BRUTES'!C$3:C$42,"Énergie"),"",INDEX('DONNÉES BRUTES'!M$3:M$42,MATCH(LARGE(IF('DONNÉES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J24" s="397" t="str">
        <f t="array" ref="J24">IFERROR(IF(14&gt;COUNTIF('DONNÉES BRUTES'!C$3:C$42,"Énergie"),"",INDEX('DONNÉES BRUTES'!N$3:N$42,MATCH(LARGE(IF('DONNÉES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K24" s="397" t="str">
        <f t="array" ref="K24">IFERROR(IF(14&gt;COUNTIF('DONNÉES BRUTES'!C$3:C$42,"Énergie"),"",INDEX('DONNÉES BRUTES'!O$3:O$42,MATCH(LARGE(IF('DONNÉES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L24" s="397" t="str">
        <f t="array" ref="L24">IFERROR(IF(14&gt;COUNTIF('DONNÉES BRUTES'!C$3:C$42,"Énergie"),"",INDEX('DONNÉES BRUTES'!P$3:P$42,MATCH(LARGE(IF('DONNÉES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M24" s="397" t="str">
        <f t="array" ref="M24">IFERROR(IF(14&gt;COUNTIF('DONNÉES BRUTES'!C$3:C$42,"Énergie"),"",INDEX('DONNÉES BRUTES'!Q$3:Q$42,MATCH(LARGE(IF('DONNÉES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N24" s="397" t="str">
        <f t="array" ref="N24">IFERROR(IF(14&gt;COUNTIF('DONNÉES BRUTES'!C$3:C$42,"Énergie"),"",INDEX('DONNÉES BRUTES'!S$3:S$42,MATCH(LARGE(IF('DONNÉES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O24" s="397" t="str">
        <f t="array" ref="O24">IFERROR(IF(14&gt;COUNTIF('DONNÉES BRUTES'!C$3:C$42,"Énergie"),"",INDEX('DONNÉES BRUTES'!T$3:T$42,MATCH(LARGE(IF('DONNÉES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P24" s="397" t="str">
        <f t="array" ref="P24">IFERROR(IF(14&gt;COUNTIF('DONNÉES BRUTES'!C$3:C$42,"Énergie"),"",INDEX('DONNÉES BRUTES'!U$3:U$42,MATCH(LARGE(IF('DONNÉES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Q24" s="407" t="str">
        <f t="array" ref="Q24">IFERROR(IF(14&gt;COUNTIF('DONNÉES BRUTES'!C$3:C$42,"Énergie"),"",INDEX('DONNÉES BRUTES'!AD$3:AD$42,MATCH(LARGE(IF('DONNÉES BRUTES'!C$3:C$42="Énergie",'DONNÉES BRUTES'!AB$3:AB$42+(ROW('DONNÉES BRUTES'!A$3:A$42)-ROW('DONNÉES BRUTES'!A$3))/1000,0),14),IF('DONNÉES BRUTES'!C$3:C$42="Énergie",'DONNÉES BRUTES'!AB$3:AB$42+(ROW('DONNÉES BRUTES'!A$3:A$42)-ROW('DONNÉES BRUTES'!A$3))/1000,0),0))),"—")</f>
        <v/>
      </c>
      <c r="R24" s="397"/>
    </row>
    <row r="25" spans="2:28" ht="15.9" customHeight="1" x14ac:dyDescent="0.3">
      <c r="B25" s="397">
        <v>15</v>
      </c>
      <c r="C25" s="397" t="str">
        <f t="array" ref="C25">IFERROR(IF(15&gt;COUNTIF('DONNÉES BRUTES'!C$3:C$42,"Énergie"),"",INDEX('DONNÉES BRUTES'!A$3:A$42,MATCH(LARGE(IF('DONNÉES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D25" s="397" t="str">
        <f t="array" ref="D25">IFERROR(IF(15&gt;COUNTIF('DONNÉES BRUTES'!C$3:C$42,"Énergie"),"",INDEX('DONNÉES BRUTES'!B$3:B$42,MATCH(LARGE(IF('DONNÉES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E25" s="397" t="str">
        <f t="array" ref="E25">IFERROR(IF(15&gt;COUNTIF('DONNÉES BRUTES'!C$3:C$42,"Énergie"),"",INT(LARGE(IF('DONNÉES BRUTES'!C$3:C$42="Énergie",'DONNÉES BRUTES'!AB$3:AB$42+(ROW('DONNÉES BRUTES'!A$3:A$42)-ROW('DONNÉES BRUTES'!A$3))/1000,0),15))&amp;"/100"),"—")</f>
        <v/>
      </c>
      <c r="F25" s="397" t="str">
        <f t="array" ref="F25">IFERROR(IF(15&gt;COUNTIF('DONNÉES BRUTES'!C$3:C$42,"Énergie"),"",INDEX('DONNÉES BRUTES'!Y$3:Y$42,MATCH(LARGE(IF('DONNÉES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G25" s="397" t="str">
        <f t="array" ref="G25">IFERROR(IF(15&gt;COUNTIF('DONNÉES BRUTES'!C$3:C$42,"Énergie"),"",INDEX('DONNÉES BRUTES'!Z$3:Z$42,MATCH(LARGE(IF('DONNÉES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H25" s="397" t="str">
        <f t="array" ref="H25">IFERROR(IF(15&gt;COUNTIF('DONNÉES BRUTES'!C$3:C$42,"Énergie"),"",INDEX('DONNÉES BRUTES'!AA$3:AA$42,MATCH(LARGE(IF('DONNÉES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I25" s="397" t="str">
        <f t="array" ref="I25">IFERROR(IF(15&gt;COUNTIF('DONNÉES BRUTES'!C$3:C$42,"Énergie"),"",INDEX('DONNÉES BRUTES'!M$3:M$42,MATCH(LARGE(IF('DONNÉES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J25" s="397" t="str">
        <f t="array" ref="J25">IFERROR(IF(15&gt;COUNTIF('DONNÉES BRUTES'!C$3:C$42,"Énergie"),"",INDEX('DONNÉES BRUTES'!N$3:N$42,MATCH(LARGE(IF('DONNÉES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K25" s="397" t="str">
        <f t="array" ref="K25">IFERROR(IF(15&gt;COUNTIF('DONNÉES BRUTES'!C$3:C$42,"Énergie"),"",INDEX('DONNÉES BRUTES'!O$3:O$42,MATCH(LARGE(IF('DONNÉES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L25" s="397" t="str">
        <f t="array" ref="L25">IFERROR(IF(15&gt;COUNTIF('DONNÉES BRUTES'!C$3:C$42,"Énergie"),"",INDEX('DONNÉES BRUTES'!P$3:P$42,MATCH(LARGE(IF('DONNÉES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M25" s="397" t="str">
        <f t="array" ref="M25">IFERROR(IF(15&gt;COUNTIF('DONNÉES BRUTES'!C$3:C$42,"Énergie"),"",INDEX('DONNÉES BRUTES'!Q$3:Q$42,MATCH(LARGE(IF('DONNÉES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N25" s="397" t="str">
        <f t="array" ref="N25">IFERROR(IF(15&gt;COUNTIF('DONNÉES BRUTES'!C$3:C$42,"Énergie"),"",INDEX('DONNÉES BRUTES'!S$3:S$42,MATCH(LARGE(IF('DONNÉES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O25" s="397" t="str">
        <f t="array" ref="O25">IFERROR(IF(15&gt;COUNTIF('DONNÉES BRUTES'!C$3:C$42,"Énergie"),"",INDEX('DONNÉES BRUTES'!T$3:T$42,MATCH(LARGE(IF('DONNÉES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P25" s="397" t="str">
        <f t="array" ref="P25">IFERROR(IF(15&gt;COUNTIF('DONNÉES BRUTES'!C$3:C$42,"Énergie"),"",INDEX('DONNÉES BRUTES'!U$3:U$42,MATCH(LARGE(IF('DONNÉES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Q25" s="407" t="str">
        <f t="array" ref="Q25">IFERROR(IF(15&gt;COUNTIF('DONNÉES BRUTES'!C$3:C$42,"Énergie"),"",INDEX('DONNÉES BRUTES'!AD$3:AD$42,MATCH(LARGE(IF('DONNÉES BRUTES'!C$3:C$42="Énergie",'DONNÉES BRUTES'!AB$3:AB$42+(ROW('DONNÉES BRUTES'!A$3:A$42)-ROW('DONNÉES BRUTES'!A$3))/1000,0),15),IF('DONNÉES BRUTES'!C$3:C$42="Énergie",'DONNÉES BRUTES'!AB$3:AB$42+(ROW('DONNÉES BRUTES'!A$3:A$42)-ROW('DONNÉES BRUTES'!A$3))/1000,0),0))),"—")</f>
        <v/>
      </c>
      <c r="R25" s="397"/>
    </row>
    <row r="26" spans="2:28" ht="15.9" customHeight="1" x14ac:dyDescent="0.3">
      <c r="Q26" s="408"/>
    </row>
    <row r="27" spans="2:28" ht="15.9" customHeight="1" x14ac:dyDescent="0.3">
      <c r="Q27" s="408"/>
    </row>
    <row r="28" spans="2:28" ht="15.9" customHeight="1" x14ac:dyDescent="0.3">
      <c r="Q28" s="408"/>
      <c r="S28" s="149" t="s">
        <v>10</v>
      </c>
      <c r="T28" s="149" t="s">
        <v>11</v>
      </c>
      <c r="U28" s="149" t="s">
        <v>15</v>
      </c>
      <c r="V28" s="149" t="s">
        <v>16</v>
      </c>
      <c r="W28" s="149" t="s">
        <v>17</v>
      </c>
      <c r="X28" s="149"/>
      <c r="Y28" s="149" t="s">
        <v>10</v>
      </c>
      <c r="Z28" s="149" t="s">
        <v>15</v>
      </c>
      <c r="AA28" s="149" t="s">
        <v>16</v>
      </c>
      <c r="AB28" s="149" t="s">
        <v>17</v>
      </c>
    </row>
    <row r="29" spans="2:28" ht="15.9" customHeight="1" x14ac:dyDescent="0.3">
      <c r="Q29" s="408"/>
      <c r="S29" s="149" t="str">
        <f>IF(D11="","",LEFT(D11,14))</f>
        <v>Shell plc</v>
      </c>
      <c r="T29" s="149">
        <f>IF(E11="","",IFERROR(VALUE(LEFT(E11,FIND("/",E11)-1)),0))</f>
        <v>54</v>
      </c>
      <c r="U29" s="149">
        <f>IF(ISNUMBER(F11),F11,0)</f>
        <v>40</v>
      </c>
      <c r="V29" s="149">
        <f>IF(ISNUMBER(G11),G11,0)</f>
        <v>57</v>
      </c>
      <c r="W29" s="149">
        <f>IF(ISNUMBER(H11),H11,0)</f>
        <v>71</v>
      </c>
      <c r="X29" s="149">
        <f>IF(ISNUMBER(F11),F11,"")</f>
        <v>40</v>
      </c>
      <c r="Y29" s="149">
        <f>IF(ISNUMBER(G11),G11,"")</f>
        <v>57</v>
      </c>
      <c r="Z29" s="149">
        <f>IF(ISNUMBER(H11),H11,"")</f>
        <v>71</v>
      </c>
      <c r="AA29" s="149">
        <v>8</v>
      </c>
      <c r="AB29" s="149">
        <v>28</v>
      </c>
    </row>
    <row r="30" spans="2:28" ht="15.9" customHeight="1" x14ac:dyDescent="0.3">
      <c r="Q30" s="408"/>
    </row>
    <row r="31" spans="2:28" x14ac:dyDescent="0.3">
      <c r="Q31" s="408"/>
    </row>
    <row r="32" spans="2:28" x14ac:dyDescent="0.3">
      <c r="Q32" s="408"/>
    </row>
    <row r="33" spans="17:19" x14ac:dyDescent="0.3">
      <c r="Q33" s="408"/>
    </row>
    <row r="34" spans="17:19" x14ac:dyDescent="0.3">
      <c r="Q34" s="408"/>
    </row>
    <row r="35" spans="17:19" x14ac:dyDescent="0.3">
      <c r="Q35" s="408"/>
    </row>
    <row r="36" spans="17:19" x14ac:dyDescent="0.3">
      <c r="Q36" s="408"/>
      <c r="S36" s="172"/>
    </row>
    <row r="37" spans="17:19" x14ac:dyDescent="0.3">
      <c r="Q37" s="408"/>
    </row>
    <row r="38" spans="17:19" x14ac:dyDescent="0.3">
      <c r="Q38" s="408"/>
    </row>
    <row r="39" spans="17:19" x14ac:dyDescent="0.3">
      <c r="Q39" s="408"/>
    </row>
    <row r="40" spans="17:19" x14ac:dyDescent="0.3">
      <c r="Q40" s="408"/>
    </row>
    <row r="41" spans="17:19" x14ac:dyDescent="0.3">
      <c r="Q41" s="408"/>
    </row>
    <row r="42" spans="17:19" x14ac:dyDescent="0.3">
      <c r="Q42" s="408"/>
    </row>
    <row r="43" spans="17:19" x14ac:dyDescent="0.3">
      <c r="Q43" s="408"/>
    </row>
    <row r="44" spans="17:19" x14ac:dyDescent="0.3">
      <c r="Q44" s="408"/>
    </row>
    <row r="45" spans="17:19" x14ac:dyDescent="0.3">
      <c r="Q45" s="408"/>
    </row>
    <row r="46" spans="17:19" x14ac:dyDescent="0.3">
      <c r="Q46" s="408"/>
    </row>
    <row r="47" spans="17:19" x14ac:dyDescent="0.3">
      <c r="Q47" s="408"/>
    </row>
  </sheetData>
  <mergeCells count="3">
    <mergeCell ref="B2:Q2"/>
    <mergeCell ref="B1:Q1"/>
    <mergeCell ref="B8:Q8"/>
  </mergeCells>
  <conditionalFormatting sqref="B11">
    <cfRule type="expression" dxfId="959" priority="1">
      <formula>C11=""</formula>
    </cfRule>
  </conditionalFormatting>
  <conditionalFormatting sqref="B11">
    <cfRule type="expression" dxfId="958" priority="2">
      <formula>C11&lt;&gt;""</formula>
    </cfRule>
  </conditionalFormatting>
  <conditionalFormatting sqref="C11:P11">
    <cfRule type="expression" dxfId="957" priority="3">
      <formula>C11=""</formula>
    </cfRule>
  </conditionalFormatting>
  <conditionalFormatting sqref="C11:P11">
    <cfRule type="expression" dxfId="956" priority="4">
      <formula>C11&lt;&gt;""</formula>
    </cfRule>
  </conditionalFormatting>
  <conditionalFormatting sqref="Q11">
    <cfRule type="expression" dxfId="955" priority="5">
      <formula>C11=""</formula>
    </cfRule>
  </conditionalFormatting>
  <conditionalFormatting sqref="Q11">
    <cfRule type="expression" dxfId="954" priority="6">
      <formula>C11&lt;&gt;""</formula>
    </cfRule>
  </conditionalFormatting>
  <conditionalFormatting sqref="R11">
    <cfRule type="expression" dxfId="953" priority="7">
      <formula>C11=""</formula>
    </cfRule>
  </conditionalFormatting>
  <conditionalFormatting sqref="R11">
    <cfRule type="expression" dxfId="952" priority="8">
      <formula>C11&lt;&gt;""</formula>
    </cfRule>
  </conditionalFormatting>
  <conditionalFormatting sqref="B12">
    <cfRule type="expression" dxfId="951" priority="9">
      <formula>C12=""</formula>
    </cfRule>
  </conditionalFormatting>
  <conditionalFormatting sqref="B12">
    <cfRule type="expression" dxfId="950" priority="10">
      <formula>C12&lt;&gt;""</formula>
    </cfRule>
  </conditionalFormatting>
  <conditionalFormatting sqref="C12:P12">
    <cfRule type="expression" dxfId="949" priority="11">
      <formula>C12=""</formula>
    </cfRule>
  </conditionalFormatting>
  <conditionalFormatting sqref="C12:P12">
    <cfRule type="expression" dxfId="948" priority="12">
      <formula>C12&lt;&gt;""</formula>
    </cfRule>
  </conditionalFormatting>
  <conditionalFormatting sqref="Q12">
    <cfRule type="expression" dxfId="947" priority="13">
      <formula>C12=""</formula>
    </cfRule>
  </conditionalFormatting>
  <conditionalFormatting sqref="Q12">
    <cfRule type="expression" dxfId="946" priority="14">
      <formula>C12&lt;&gt;""</formula>
    </cfRule>
  </conditionalFormatting>
  <conditionalFormatting sqref="R12">
    <cfRule type="expression" dxfId="945" priority="15">
      <formula>C12=""</formula>
    </cfRule>
  </conditionalFormatting>
  <conditionalFormatting sqref="R12">
    <cfRule type="expression" dxfId="944" priority="16">
      <formula>C12&lt;&gt;""</formula>
    </cfRule>
  </conditionalFormatting>
  <conditionalFormatting sqref="B13">
    <cfRule type="expression" dxfId="943" priority="17">
      <formula>C13=""</formula>
    </cfRule>
  </conditionalFormatting>
  <conditionalFormatting sqref="B13">
    <cfRule type="expression" dxfId="942" priority="18">
      <formula>C13&lt;&gt;""</formula>
    </cfRule>
  </conditionalFormatting>
  <conditionalFormatting sqref="C13:P13">
    <cfRule type="expression" dxfId="941" priority="19">
      <formula>C13=""</formula>
    </cfRule>
  </conditionalFormatting>
  <conditionalFormatting sqref="C13:P13">
    <cfRule type="expression" dxfId="940" priority="20">
      <formula>C13&lt;&gt;""</formula>
    </cfRule>
  </conditionalFormatting>
  <conditionalFormatting sqref="Q13">
    <cfRule type="expression" dxfId="939" priority="21">
      <formula>C13=""</formula>
    </cfRule>
  </conditionalFormatting>
  <conditionalFormatting sqref="Q13">
    <cfRule type="expression" dxfId="938" priority="22">
      <formula>C13&lt;&gt;""</formula>
    </cfRule>
  </conditionalFormatting>
  <conditionalFormatting sqref="R13">
    <cfRule type="expression" dxfId="937" priority="23">
      <formula>C13=""</formula>
    </cfRule>
  </conditionalFormatting>
  <conditionalFormatting sqref="R13">
    <cfRule type="expression" dxfId="936" priority="24">
      <formula>C13&lt;&gt;""</formula>
    </cfRule>
  </conditionalFormatting>
  <conditionalFormatting sqref="B14">
    <cfRule type="expression" dxfId="935" priority="25">
      <formula>C14=""</formula>
    </cfRule>
  </conditionalFormatting>
  <conditionalFormatting sqref="B14">
    <cfRule type="expression" dxfId="934" priority="26">
      <formula>C14&lt;&gt;""</formula>
    </cfRule>
  </conditionalFormatting>
  <conditionalFormatting sqref="C14:P14">
    <cfRule type="expression" dxfId="933" priority="27">
      <formula>C14=""</formula>
    </cfRule>
  </conditionalFormatting>
  <conditionalFormatting sqref="C14:P14">
    <cfRule type="expression" dxfId="932" priority="28">
      <formula>C14&lt;&gt;""</formula>
    </cfRule>
  </conditionalFormatting>
  <conditionalFormatting sqref="Q14">
    <cfRule type="expression" dxfId="931" priority="29">
      <formula>C14=""</formula>
    </cfRule>
  </conditionalFormatting>
  <conditionalFormatting sqref="Q14">
    <cfRule type="expression" dxfId="930" priority="30">
      <formula>C14&lt;&gt;""</formula>
    </cfRule>
  </conditionalFormatting>
  <conditionalFormatting sqref="R14">
    <cfRule type="expression" dxfId="929" priority="31">
      <formula>C14=""</formula>
    </cfRule>
  </conditionalFormatting>
  <conditionalFormatting sqref="R14">
    <cfRule type="expression" dxfId="928" priority="32">
      <formula>C14&lt;&gt;""</formula>
    </cfRule>
  </conditionalFormatting>
  <conditionalFormatting sqref="B15">
    <cfRule type="expression" dxfId="927" priority="33">
      <formula>C15=""</formula>
    </cfRule>
  </conditionalFormatting>
  <conditionalFormatting sqref="B15">
    <cfRule type="expression" dxfId="926" priority="34">
      <formula>C15&lt;&gt;""</formula>
    </cfRule>
  </conditionalFormatting>
  <conditionalFormatting sqref="C15:P15">
    <cfRule type="expression" dxfId="925" priority="35">
      <formula>C15=""</formula>
    </cfRule>
  </conditionalFormatting>
  <conditionalFormatting sqref="C15:P15">
    <cfRule type="expression" dxfId="924" priority="36">
      <formula>C15&lt;&gt;""</formula>
    </cfRule>
  </conditionalFormatting>
  <conditionalFormatting sqref="Q15">
    <cfRule type="expression" dxfId="923" priority="37">
      <formula>C15=""</formula>
    </cfRule>
  </conditionalFormatting>
  <conditionalFormatting sqref="Q15">
    <cfRule type="expression" dxfId="922" priority="38">
      <formula>C15&lt;&gt;""</formula>
    </cfRule>
  </conditionalFormatting>
  <conditionalFormatting sqref="R15">
    <cfRule type="expression" dxfId="921" priority="39">
      <formula>C15=""</formula>
    </cfRule>
  </conditionalFormatting>
  <conditionalFormatting sqref="R15">
    <cfRule type="expression" dxfId="920" priority="40">
      <formula>C15&lt;&gt;""</formula>
    </cfRule>
  </conditionalFormatting>
  <conditionalFormatting sqref="B16">
    <cfRule type="expression" dxfId="919" priority="41">
      <formula>C16=""</formula>
    </cfRule>
  </conditionalFormatting>
  <conditionalFormatting sqref="B16">
    <cfRule type="expression" dxfId="918" priority="42">
      <formula>C16&lt;&gt;""</formula>
    </cfRule>
  </conditionalFormatting>
  <conditionalFormatting sqref="C16:P16">
    <cfRule type="expression" dxfId="917" priority="43">
      <formula>C16=""</formula>
    </cfRule>
  </conditionalFormatting>
  <conditionalFormatting sqref="C16:P16">
    <cfRule type="expression" dxfId="916" priority="44">
      <formula>C16&lt;&gt;""</formula>
    </cfRule>
  </conditionalFormatting>
  <conditionalFormatting sqref="Q16">
    <cfRule type="expression" dxfId="915" priority="45">
      <formula>C16=""</formula>
    </cfRule>
  </conditionalFormatting>
  <conditionalFormatting sqref="Q16">
    <cfRule type="expression" dxfId="914" priority="46">
      <formula>C16&lt;&gt;""</formula>
    </cfRule>
  </conditionalFormatting>
  <conditionalFormatting sqref="R16">
    <cfRule type="expression" dxfId="913" priority="47">
      <formula>C16=""</formula>
    </cfRule>
  </conditionalFormatting>
  <conditionalFormatting sqref="R16">
    <cfRule type="expression" dxfId="912" priority="48">
      <formula>C16&lt;&gt;""</formula>
    </cfRule>
  </conditionalFormatting>
  <conditionalFormatting sqref="B17">
    <cfRule type="expression" dxfId="911" priority="49">
      <formula>C17=""</formula>
    </cfRule>
  </conditionalFormatting>
  <conditionalFormatting sqref="B17">
    <cfRule type="expression" dxfId="910" priority="50">
      <formula>C17&lt;&gt;""</formula>
    </cfRule>
  </conditionalFormatting>
  <conditionalFormatting sqref="C17:P17">
    <cfRule type="expression" dxfId="909" priority="51">
      <formula>C17=""</formula>
    </cfRule>
  </conditionalFormatting>
  <conditionalFormatting sqref="C17:P17">
    <cfRule type="expression" dxfId="908" priority="52">
      <formula>C17&lt;&gt;""</formula>
    </cfRule>
  </conditionalFormatting>
  <conditionalFormatting sqref="Q17">
    <cfRule type="expression" dxfId="907" priority="53">
      <formula>C17=""</formula>
    </cfRule>
  </conditionalFormatting>
  <conditionalFormatting sqref="Q17">
    <cfRule type="expression" dxfId="906" priority="54">
      <formula>C17&lt;&gt;""</formula>
    </cfRule>
  </conditionalFormatting>
  <conditionalFormatting sqref="R17">
    <cfRule type="expression" dxfId="905" priority="55">
      <formula>C17=""</formula>
    </cfRule>
  </conditionalFormatting>
  <conditionalFormatting sqref="R17">
    <cfRule type="expression" dxfId="904" priority="56">
      <formula>C17&lt;&gt;""</formula>
    </cfRule>
  </conditionalFormatting>
  <conditionalFormatting sqref="B18">
    <cfRule type="expression" dxfId="903" priority="57">
      <formula>C18=""</formula>
    </cfRule>
  </conditionalFormatting>
  <conditionalFormatting sqref="B18">
    <cfRule type="expression" dxfId="902" priority="58">
      <formula>C18&lt;&gt;""</formula>
    </cfRule>
  </conditionalFormatting>
  <conditionalFormatting sqref="C18:P18">
    <cfRule type="expression" dxfId="901" priority="59">
      <formula>C18=""</formula>
    </cfRule>
  </conditionalFormatting>
  <conditionalFormatting sqref="C18:P18">
    <cfRule type="expression" dxfId="900" priority="60">
      <formula>C18&lt;&gt;""</formula>
    </cfRule>
  </conditionalFormatting>
  <conditionalFormatting sqref="Q18">
    <cfRule type="expression" dxfId="899" priority="61">
      <formula>C18=""</formula>
    </cfRule>
  </conditionalFormatting>
  <conditionalFormatting sqref="Q18">
    <cfRule type="expression" dxfId="898" priority="62">
      <formula>C18&lt;&gt;""</formula>
    </cfRule>
  </conditionalFormatting>
  <conditionalFormatting sqref="R18">
    <cfRule type="expression" dxfId="897" priority="63">
      <formula>C18=""</formula>
    </cfRule>
  </conditionalFormatting>
  <conditionalFormatting sqref="R18">
    <cfRule type="expression" dxfId="896" priority="64">
      <formula>C18&lt;&gt;""</formula>
    </cfRule>
  </conditionalFormatting>
  <conditionalFormatting sqref="B19">
    <cfRule type="expression" dxfId="895" priority="65">
      <formula>C19=""</formula>
    </cfRule>
  </conditionalFormatting>
  <conditionalFormatting sqref="B19">
    <cfRule type="expression" dxfId="894" priority="66">
      <formula>C19&lt;&gt;""</formula>
    </cfRule>
  </conditionalFormatting>
  <conditionalFormatting sqref="C19:P19">
    <cfRule type="expression" dxfId="893" priority="67">
      <formula>C19=""</formula>
    </cfRule>
  </conditionalFormatting>
  <conditionalFormatting sqref="C19:P19">
    <cfRule type="expression" dxfId="892" priority="68">
      <formula>C19&lt;&gt;""</formula>
    </cfRule>
  </conditionalFormatting>
  <conditionalFormatting sqref="Q19">
    <cfRule type="expression" dxfId="891" priority="69">
      <formula>C19=""</formula>
    </cfRule>
  </conditionalFormatting>
  <conditionalFormatting sqref="Q19">
    <cfRule type="expression" dxfId="890" priority="70">
      <formula>C19&lt;&gt;""</formula>
    </cfRule>
  </conditionalFormatting>
  <conditionalFormatting sqref="R19">
    <cfRule type="expression" dxfId="889" priority="71">
      <formula>C19=""</formula>
    </cfRule>
  </conditionalFormatting>
  <conditionalFormatting sqref="R19">
    <cfRule type="expression" dxfId="888" priority="72">
      <formula>C19&lt;&gt;""</formula>
    </cfRule>
  </conditionalFormatting>
  <conditionalFormatting sqref="B20">
    <cfRule type="expression" dxfId="887" priority="73">
      <formula>C20=""</formula>
    </cfRule>
  </conditionalFormatting>
  <conditionalFormatting sqref="B20">
    <cfRule type="expression" dxfId="886" priority="74">
      <formula>C20&lt;&gt;""</formula>
    </cfRule>
  </conditionalFormatting>
  <conditionalFormatting sqref="C20:P20">
    <cfRule type="expression" dxfId="885" priority="75">
      <formula>C20=""</formula>
    </cfRule>
  </conditionalFormatting>
  <conditionalFormatting sqref="C20:P20">
    <cfRule type="expression" dxfId="884" priority="76">
      <formula>C20&lt;&gt;""</formula>
    </cfRule>
  </conditionalFormatting>
  <conditionalFormatting sqref="Q20">
    <cfRule type="expression" dxfId="883" priority="77">
      <formula>C20=""</formula>
    </cfRule>
  </conditionalFormatting>
  <conditionalFormatting sqref="Q20">
    <cfRule type="expression" dxfId="882" priority="78">
      <formula>C20&lt;&gt;""</formula>
    </cfRule>
  </conditionalFormatting>
  <conditionalFormatting sqref="R20">
    <cfRule type="expression" dxfId="881" priority="79">
      <formula>C20=""</formula>
    </cfRule>
  </conditionalFormatting>
  <conditionalFormatting sqref="R20">
    <cfRule type="expression" dxfId="880" priority="80">
      <formula>C20&lt;&gt;""</formula>
    </cfRule>
  </conditionalFormatting>
  <conditionalFormatting sqref="B21">
    <cfRule type="expression" dxfId="879" priority="81">
      <formula>C21=""</formula>
    </cfRule>
  </conditionalFormatting>
  <conditionalFormatting sqref="B21">
    <cfRule type="expression" dxfId="878" priority="82">
      <formula>C21&lt;&gt;""</formula>
    </cfRule>
  </conditionalFormatting>
  <conditionalFormatting sqref="C21:P21">
    <cfRule type="expression" dxfId="877" priority="83">
      <formula>C21=""</formula>
    </cfRule>
  </conditionalFormatting>
  <conditionalFormatting sqref="C21:P21">
    <cfRule type="expression" dxfId="876" priority="84">
      <formula>C21&lt;&gt;""</formula>
    </cfRule>
  </conditionalFormatting>
  <conditionalFormatting sqref="Q21">
    <cfRule type="expression" dxfId="875" priority="85">
      <formula>C21=""</formula>
    </cfRule>
  </conditionalFormatting>
  <conditionalFormatting sqref="Q21">
    <cfRule type="expression" dxfId="874" priority="86">
      <formula>C21&lt;&gt;""</formula>
    </cfRule>
  </conditionalFormatting>
  <conditionalFormatting sqref="R21">
    <cfRule type="expression" dxfId="873" priority="87">
      <formula>C21=""</formula>
    </cfRule>
  </conditionalFormatting>
  <conditionalFormatting sqref="R21">
    <cfRule type="expression" dxfId="872" priority="88">
      <formula>C21&lt;&gt;""</formula>
    </cfRule>
  </conditionalFormatting>
  <conditionalFormatting sqref="B22">
    <cfRule type="expression" dxfId="871" priority="89">
      <formula>C22=""</formula>
    </cfRule>
  </conditionalFormatting>
  <conditionalFormatting sqref="B22">
    <cfRule type="expression" dxfId="870" priority="90">
      <formula>C22&lt;&gt;""</formula>
    </cfRule>
  </conditionalFormatting>
  <conditionalFormatting sqref="C22:P22">
    <cfRule type="expression" dxfId="869" priority="91">
      <formula>C22=""</formula>
    </cfRule>
  </conditionalFormatting>
  <conditionalFormatting sqref="C22:P22">
    <cfRule type="expression" dxfId="868" priority="92">
      <formula>C22&lt;&gt;""</formula>
    </cfRule>
  </conditionalFormatting>
  <conditionalFormatting sqref="Q22">
    <cfRule type="expression" dxfId="867" priority="93">
      <formula>C22=""</formula>
    </cfRule>
  </conditionalFormatting>
  <conditionalFormatting sqref="Q22">
    <cfRule type="expression" dxfId="866" priority="94">
      <formula>C22&lt;&gt;""</formula>
    </cfRule>
  </conditionalFormatting>
  <conditionalFormatting sqref="R22">
    <cfRule type="expression" dxfId="865" priority="95">
      <formula>C22=""</formula>
    </cfRule>
  </conditionalFormatting>
  <conditionalFormatting sqref="R22">
    <cfRule type="expression" dxfId="864" priority="96">
      <formula>C22&lt;&gt;""</formula>
    </cfRule>
  </conditionalFormatting>
  <conditionalFormatting sqref="B23">
    <cfRule type="expression" dxfId="863" priority="97">
      <formula>C23=""</formula>
    </cfRule>
  </conditionalFormatting>
  <conditionalFormatting sqref="B23">
    <cfRule type="expression" dxfId="862" priority="98">
      <formula>C23&lt;&gt;""</formula>
    </cfRule>
  </conditionalFormatting>
  <conditionalFormatting sqref="C23:P23">
    <cfRule type="expression" dxfId="861" priority="99">
      <formula>C23=""</formula>
    </cfRule>
  </conditionalFormatting>
  <conditionalFormatting sqref="C23:P23">
    <cfRule type="expression" dxfId="860" priority="100">
      <formula>C23&lt;&gt;""</formula>
    </cfRule>
  </conditionalFormatting>
  <conditionalFormatting sqref="Q23">
    <cfRule type="expression" dxfId="859" priority="101">
      <formula>C23=""</formula>
    </cfRule>
  </conditionalFormatting>
  <conditionalFormatting sqref="Q23">
    <cfRule type="expression" dxfId="858" priority="102">
      <formula>C23&lt;&gt;""</formula>
    </cfRule>
  </conditionalFormatting>
  <conditionalFormatting sqref="R23">
    <cfRule type="expression" dxfId="857" priority="103">
      <formula>C23=""</formula>
    </cfRule>
  </conditionalFormatting>
  <conditionalFormatting sqref="R23">
    <cfRule type="expression" dxfId="856" priority="104">
      <formula>C23&lt;&gt;""</formula>
    </cfRule>
  </conditionalFormatting>
  <conditionalFormatting sqref="B24">
    <cfRule type="expression" dxfId="855" priority="105">
      <formula>C24=""</formula>
    </cfRule>
  </conditionalFormatting>
  <conditionalFormatting sqref="B24">
    <cfRule type="expression" dxfId="854" priority="106">
      <formula>C24&lt;&gt;""</formula>
    </cfRule>
  </conditionalFormatting>
  <conditionalFormatting sqref="C24:P24">
    <cfRule type="expression" dxfId="853" priority="107">
      <formula>C24=""</formula>
    </cfRule>
  </conditionalFormatting>
  <conditionalFormatting sqref="C24:P24">
    <cfRule type="expression" dxfId="852" priority="108">
      <formula>C24&lt;&gt;""</formula>
    </cfRule>
  </conditionalFormatting>
  <conditionalFormatting sqref="Q24">
    <cfRule type="expression" dxfId="851" priority="109">
      <formula>C24=""</formula>
    </cfRule>
  </conditionalFormatting>
  <conditionalFormatting sqref="Q24">
    <cfRule type="expression" dxfId="850" priority="110">
      <formula>C24&lt;&gt;""</formula>
    </cfRule>
  </conditionalFormatting>
  <conditionalFormatting sqref="R24">
    <cfRule type="expression" dxfId="849" priority="111">
      <formula>C24=""</formula>
    </cfRule>
  </conditionalFormatting>
  <conditionalFormatting sqref="R24">
    <cfRule type="expression" dxfId="848" priority="112">
      <formula>C24&lt;&gt;""</formula>
    </cfRule>
  </conditionalFormatting>
  <conditionalFormatting sqref="B25">
    <cfRule type="expression" dxfId="847" priority="113">
      <formula>C25=""</formula>
    </cfRule>
  </conditionalFormatting>
  <conditionalFormatting sqref="B25">
    <cfRule type="expression" dxfId="846" priority="114">
      <formula>C25&lt;&gt;""</formula>
    </cfRule>
  </conditionalFormatting>
  <conditionalFormatting sqref="C25:P25">
    <cfRule type="expression" dxfId="845" priority="115">
      <formula>C25=""</formula>
    </cfRule>
  </conditionalFormatting>
  <conditionalFormatting sqref="C25:P25">
    <cfRule type="expression" dxfId="844" priority="116">
      <formula>C25&lt;&gt;""</formula>
    </cfRule>
  </conditionalFormatting>
  <conditionalFormatting sqref="Q25">
    <cfRule type="expression" dxfId="843" priority="117">
      <formula>C25=""</formula>
    </cfRule>
  </conditionalFormatting>
  <conditionalFormatting sqref="Q25">
    <cfRule type="expression" dxfId="842" priority="118">
      <formula>C25&lt;&gt;""</formula>
    </cfRule>
  </conditionalFormatting>
  <conditionalFormatting sqref="R25">
    <cfRule type="expression" dxfId="841" priority="119">
      <formula>C25=""</formula>
    </cfRule>
  </conditionalFormatting>
  <conditionalFormatting sqref="R25">
    <cfRule type="expression" dxfId="840" priority="120">
      <formula>C25&lt;&gt;""</formula>
    </cfRule>
  </conditionalFormatting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B46"/>
  <sheetViews>
    <sheetView showGridLines="0" topLeftCell="A4" zoomScale="90" workbookViewId="0">
      <selection activeCell="Q11" sqref="Q11:Q46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9" width="8.88671875" bestFit="1" customWidth="1"/>
    <col min="10" max="10" width="10.6640625" bestFit="1" customWidth="1"/>
    <col min="11" max="11" width="8.88671875" bestFit="1" customWidth="1"/>
    <col min="12" max="12" width="10.6640625" bestFit="1" customWidth="1"/>
    <col min="13" max="13" width="8" customWidth="1"/>
    <col min="14" max="14" width="7.33203125" bestFit="1" customWidth="1"/>
    <col min="15" max="15" width="10.109375" bestFit="1" customWidth="1"/>
    <col min="16" max="16" width="8.109375" bestFit="1" customWidth="1"/>
    <col min="17" max="17" width="14.109375" bestFit="1" customWidth="1"/>
  </cols>
  <sheetData>
    <row r="1" spans="2:18" ht="30" customHeight="1" x14ac:dyDescent="0.3">
      <c r="B1" s="383" t="str">
        <f>"FinSight IA  ·  Matériaux  ·  "&amp;TRIM(MID('DONNÉES BRUTES'!A$1,FIND("·",'DONNÉES BRUTES'!A$1)+1,FIND("·",'DONNÉES BRUTES'!A$1,FIND("·",'DONNÉES BRUTES'!A$1)+1)-FIND("·",'DONNÉES BRUTES'!A$1)-1))&amp;"  ·  "&amp;COUNTIF('DONNÉES BRUTES'!C$3:C$42,"Matériaux")&amp;" sociétés  ·  17/04/2026"</f>
        <v>FinSight IA  ·  Matériaux  ·  FTSE 100  ·  6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2" spans="2:18" ht="18" customHeight="1" x14ac:dyDescent="0.3">
      <c r="B2" s="388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</row>
    <row r="3" spans="2:18" ht="8.1" customHeight="1" x14ac:dyDescent="0.3"/>
    <row r="4" spans="2:18" ht="8.1" customHeight="1" x14ac:dyDescent="0.3"/>
    <row r="5" spans="2:18" ht="39.9" customHeight="1" x14ac:dyDescent="0.3">
      <c r="B5" s="168"/>
      <c r="C5" s="157">
        <f>COUNTIF('DONNÉES BRUTES'!C$3:C$42,"Matériaux")</f>
        <v>6</v>
      </c>
      <c r="D5" s="168"/>
      <c r="E5" s="164" t="str">
        <f>IFERROR(ROUND(AVERAGEIF('DONNÉES BRUTES'!C$3:C$42,"Matériaux",'DONNÉES BRUTES'!AB$3:AB$42),0)&amp;"/100","—")</f>
        <v>65/100</v>
      </c>
      <c r="F5" s="164"/>
      <c r="G5" s="164"/>
      <c r="H5" s="160" t="str">
        <f t="array" ref="H5">IFERROR(INDEX('DONNÉES BRUTES'!B$3:B$42,MATCH(LARGE(IF('DONNÉES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BRUTES'!A$3))/1000,0),0)),"—")</f>
        <v>Endeavour Mining plc</v>
      </c>
      <c r="I5" s="164"/>
      <c r="J5" s="164"/>
      <c r="K5" s="168"/>
      <c r="L5" s="192">
        <f>IFERROR(VLOOKUP("Matériaux",'PAR SECTEUR'!B$8:G$17,6,0),"—")</f>
        <v>0.224</v>
      </c>
      <c r="M5" s="168"/>
      <c r="N5" s="162">
        <f t="array" ref="N5">IFERROR(ROUND(MEDIAN(IF('DONNÉES BRUTES'!C$3:C$42="Matériaux",IF(ISNUMBER('DONNÉES BRUTES'!Y$3:Y$42),'DONNÉES BRUTES'!Y$3:Y$42))),0),"—")</f>
        <v>61</v>
      </c>
      <c r="O5" s="168"/>
      <c r="P5" s="174" t="str">
        <f>IFERROR(VLOOKUP("Matériaux",'PAR SECTEUR'!B$8:J$17,9,0),"—")</f>
        <v>Neutre</v>
      </c>
      <c r="Q5" s="164"/>
    </row>
    <row r="6" spans="2:18" ht="15.9" customHeight="1" x14ac:dyDescent="0.3">
      <c r="B6" s="159"/>
      <c r="C6" s="159" t="s">
        <v>413</v>
      </c>
      <c r="D6" s="159"/>
      <c r="E6" s="158" t="s">
        <v>414</v>
      </c>
      <c r="F6" s="158"/>
      <c r="G6" s="158"/>
      <c r="H6" s="161" t="s">
        <v>415</v>
      </c>
      <c r="I6" s="158"/>
      <c r="J6" s="158"/>
      <c r="K6" s="159"/>
      <c r="L6" s="159" t="s">
        <v>388</v>
      </c>
      <c r="M6" s="159"/>
      <c r="N6" s="159" t="s">
        <v>416</v>
      </c>
      <c r="O6" s="159"/>
      <c r="P6" s="159" t="s">
        <v>21</v>
      </c>
      <c r="Q6" s="158"/>
    </row>
    <row r="7" spans="2:18" ht="8.1" customHeight="1" x14ac:dyDescent="0.3"/>
    <row r="8" spans="2:18" ht="21.9" customHeight="1" x14ac:dyDescent="0.3">
      <c r="B8" s="384" t="str">
        <f>"ANALYSE DÉTAILLÉE  ·  "&amp;UPPER("Matériaux")&amp;"  ·  "&amp;COUNTIF('DONNÉES BRUTES'!C$3:C$42,"Matériaux")&amp;" sociétés  ·  Triée par Score Global"</f>
        <v>ANALYSE DÉTAILLÉE  ·  MATÉRIAUX  ·  6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</row>
    <row r="9" spans="2:18" ht="6" customHeight="1" x14ac:dyDescent="0.3"/>
    <row r="10" spans="2:18" ht="20.100000000000001" customHeight="1" x14ac:dyDescent="0.3">
      <c r="B10" s="239" t="s">
        <v>8</v>
      </c>
      <c r="C10" s="240" t="s">
        <v>9</v>
      </c>
      <c r="D10" s="240" t="s">
        <v>10</v>
      </c>
      <c r="E10" s="241" t="s">
        <v>11</v>
      </c>
      <c r="F10" s="241" t="s">
        <v>417</v>
      </c>
      <c r="G10" s="241" t="s">
        <v>418</v>
      </c>
      <c r="H10" s="241" t="s">
        <v>419</v>
      </c>
      <c r="I10" s="241" t="s">
        <v>420</v>
      </c>
      <c r="J10" s="241" t="s">
        <v>345</v>
      </c>
      <c r="K10" s="241" t="s">
        <v>421</v>
      </c>
      <c r="L10" s="241" t="s">
        <v>346</v>
      </c>
      <c r="M10" s="241" t="s">
        <v>124</v>
      </c>
      <c r="N10" s="241" t="s">
        <v>422</v>
      </c>
      <c r="O10" s="241" t="s">
        <v>423</v>
      </c>
      <c r="P10" s="241" t="s">
        <v>32</v>
      </c>
      <c r="Q10" s="242" t="s">
        <v>21</v>
      </c>
    </row>
    <row r="11" spans="2:18" ht="18" customHeight="1" x14ac:dyDescent="0.3">
      <c r="B11" s="396">
        <v>1</v>
      </c>
      <c r="C11" s="396" t="str">
        <f t="array" ref="C11">IFERROR(IF(1&gt;COUNTIF('DONNÉES BRUTES'!C$3:C$42,"Matériaux"),"",INDEX('DONNÉES BRUTES'!A$3:A$42,MATCH(LARGE(IF('DONNÉES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EDV.L</v>
      </c>
      <c r="D11" s="396" t="str">
        <f t="array" ref="D11">IFERROR(IF(1&gt;COUNTIF('DONNÉES BRUTES'!C$3:C$42,"Matériaux"),"",INDEX('DONNÉES BRUTES'!B$3:B$42,MATCH(LARGE(IF('DONNÉES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Endeavour Mining plc</v>
      </c>
      <c r="E11" s="396" t="str">
        <f t="array" ref="E11">IFERROR(IF(1&gt;COUNTIF('DONNÉES BRUTES'!C$3:C$42,"Matériaux"),"",INT(LARGE(IF('DONNÉES BRUTES'!C$3:C$42="Matériaux",'DONNÉES BRUTES'!AB$3:AB$42+(ROW('DONNÉES BRUTES'!A$3:A$42)-ROW('DONNÉES BRUTES'!A$3))/1000,0),1))&amp;"/100"),"—")</f>
        <v>80/100</v>
      </c>
      <c r="F11" s="401">
        <f t="array" ref="F11">IFERROR(IF(1&gt;COUNTIF('DONNÉES BRUTES'!C$3:C$42,"Matériaux"),"",INDEX('DONNÉES BRUTES'!Y$3:Y$42,MATCH(LARGE(IF('DONNÉES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91</v>
      </c>
      <c r="G11" s="401">
        <f t="array" ref="G11">IFERROR(IF(1&gt;COUNTIF('DONNÉES BRUTES'!C$3:C$42,"Matériaux"),"",INDEX('DONNÉES BRUTES'!Z$3:Z$42,MATCH(LARGE(IF('DONNÉES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74</v>
      </c>
      <c r="H11" s="401">
        <f t="array" ref="H11">IFERROR(IF(1&gt;COUNTIF('DONNÉES BRUTES'!C$3:C$42,"Matériaux"),"",INDEX('DONNÉES BRUTES'!AA$3:AA$42,MATCH(LARGE(IF('DONNÉES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98</v>
      </c>
      <c r="I11" s="401" t="str">
        <f t="array" ref="I11">IFERROR(IF(1&gt;COUNTIF('DONNÉES BRUTES'!C$3:C$42,"Matériaux"),"",INDEX('DONNÉES BRUTES'!M$3:M$42,MATCH(LARGE(IF('DONNÉES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49.4%</v>
      </c>
      <c r="J11" s="401" t="str">
        <f t="array" ref="J11">IFERROR(IF(1&gt;COUNTIF('DONNÉES BRUTES'!C$3:C$42,"Matériaux"),"",INDEX('DONNÉES BRUTES'!N$3:N$42,MATCH(LARGE(IF('DONNÉES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49.0%</v>
      </c>
      <c r="K11" s="401" t="str">
        <f t="array" ref="K11">IFERROR(IF(1&gt;COUNTIF('DONNÉES BRUTES'!C$3:C$42,"Matériaux"),"",INDEX('DONNÉES BRUTES'!O$3:O$42,MATCH(LARGE(IF('DONNÉES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16.0%</v>
      </c>
      <c r="L11" s="401" t="str">
        <f t="array" ref="L11">IFERROR(IF(1&gt;COUNTIF('DONNÉES BRUTES'!C$3:C$42,"Matériaux"),"",INDEX('DONNÉES BRUTES'!P$3:P$42,MATCH(LARGE(IF('DONNÉES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+58.2%</v>
      </c>
      <c r="M11" s="401" t="str">
        <f t="array" ref="M11">IFERROR(IF(1&gt;COUNTIF('DONNÉES BRUTES'!C$3:C$42,"Matériaux"),"",INDEX('DONNÉES BRUTES'!Q$3:Q$42,MATCH(LARGE(IF('DONNÉES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+22.4%</v>
      </c>
      <c r="N11" s="401">
        <f t="array" ref="N11">IFERROR(IF(1&gt;COUNTIF('DONNÉES BRUTES'!C$3:C$42,"Matériaux"),"",INDEX('DONNÉES BRUTES'!S$3:S$42,MATCH(LARGE(IF('DONNÉES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1.1100000000000001</v>
      </c>
      <c r="O11" s="401" t="str">
        <f t="array" ref="O11">IFERROR(IF(1&gt;COUNTIF('DONNÉES BRUTES'!C$3:C$42,"Matériaux"),"",INDEX('DONNÉES BRUTES'!T$3:T$42,MATCH(LARGE(IF('DONNÉES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0.1x</v>
      </c>
      <c r="P11" s="401">
        <f t="array" ref="P11">IFERROR(IF(1&gt;COUNTIF('DONNÉES BRUTES'!C$3:C$42,"Matériaux"),"",INDEX('DONNÉES BRUTES'!U$3:U$42,MATCH(LARGE(IF('DONNÉES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4.67</v>
      </c>
      <c r="Q11" s="405" t="str">
        <f t="array" ref="Q11">IFERROR(IF(1&gt;COUNTIF('DONNÉES BRUTES'!C$3:C$42,"Matériaux"),"",INDEX('DONNÉES BRUTES'!AD$3:AD$42,MATCH(LARGE(IF('DONNÉES BRUTES'!C$3:C$42="Matériaux",'DONNÉES BRUTES'!AB$3:AB$42+(ROW('DONNÉES BRUTES'!A$3:A$42)-ROW('DONNÉES BRUTES'!A$3))/1000,0),1),IF('DONNÉES BRUTES'!C$3:C$42="Matériaux",'DONNÉES BRUTES'!AB$3:AB$42+(ROW('DONNÉES BRUTES'!A$3:A$42)-ROW('DONNÉES BRUTES'!A$3))/1000,0),0))),"—")</f>
        <v>Surpondérer</v>
      </c>
      <c r="R11" s="397"/>
    </row>
    <row r="12" spans="2:18" ht="15.9" customHeight="1" x14ac:dyDescent="0.3">
      <c r="B12" s="398">
        <v>2</v>
      </c>
      <c r="C12" s="398" t="str">
        <f t="array" ref="C12">IFERROR(IF(2&gt;COUNTIF('DONNÉES BRUTES'!C$3:C$42,"Matériaux"),"",INDEX('DONNÉES BRUTES'!A$3:A$42,MATCH(LARGE(IF('DONNÉES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RIO.L</v>
      </c>
      <c r="D12" s="398" t="str">
        <f t="array" ref="D12">IFERROR(IF(2&gt;COUNTIF('DONNÉES BRUTES'!C$3:C$42,"Matériaux"),"",INDEX('DONNÉES BRUTES'!B$3:B$42,MATCH(LARGE(IF('DONNÉES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Rio Tinto Group</v>
      </c>
      <c r="E12" s="398" t="str">
        <f t="array" ref="E12">IFERROR(IF(2&gt;COUNTIF('DONNÉES BRUTES'!C$3:C$42,"Matériaux"),"",INT(LARGE(IF('DONNÉES BRUTES'!C$3:C$42="Matériaux",'DONNÉES BRUTES'!AB$3:AB$42+(ROW('DONNÉES BRUTES'!A$3:A$42)-ROW('DONNÉES BRUTES'!A$3))/1000,0),2))&amp;"/100"),"—")</f>
        <v>71/100</v>
      </c>
      <c r="F12" s="402">
        <f t="array" ref="F12">IFERROR(IF(2&gt;COUNTIF('DONNÉES BRUTES'!C$3:C$42,"Matériaux"),"",INDEX('DONNÉES BRUTES'!Y$3:Y$42,MATCH(LARGE(IF('DONNÉES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64</v>
      </c>
      <c r="G12" s="402">
        <f t="array" ref="G12">IFERROR(IF(2&gt;COUNTIF('DONNÉES BRUTES'!C$3:C$42,"Matériaux"),"",INDEX('DONNÉES BRUTES'!Z$3:Z$42,MATCH(LARGE(IF('DONNÉES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70</v>
      </c>
      <c r="H12" s="402">
        <f t="array" ref="H12">IFERROR(IF(2&gt;COUNTIF('DONNÉES BRUTES'!C$3:C$42,"Matériaux"),"",INDEX('DONNÉES BRUTES'!AA$3:AA$42,MATCH(LARGE(IF('DONNÉES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95</v>
      </c>
      <c r="I12" s="402" t="str">
        <f t="array" ref="I12">IFERROR(IF(2&gt;COUNTIF('DONNÉES BRUTES'!C$3:C$42,"Matériaux"),"",INDEX('DONNÉES BRUTES'!M$3:M$42,MATCH(LARGE(IF('DONNÉES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57.4%</v>
      </c>
      <c r="J12" s="402" t="str">
        <f t="array" ref="J12">IFERROR(IF(2&gt;COUNTIF('DONNÉES BRUTES'!C$3:C$42,"Matériaux"),"",INDEX('DONNÉES BRUTES'!N$3:N$42,MATCH(LARGE(IF('DONNÉES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39.9%</v>
      </c>
      <c r="K12" s="402" t="str">
        <f t="array" ref="K12">IFERROR(IF(2&gt;COUNTIF('DONNÉES BRUTES'!C$3:C$42,"Matériaux"),"",INDEX('DONNÉES BRUTES'!O$3:O$42,MATCH(LARGE(IF('DONNÉES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17.3%</v>
      </c>
      <c r="L12" s="402" t="str">
        <f t="array" ref="L12">IFERROR(IF(2&gt;COUNTIF('DONNÉES BRUTES'!C$3:C$42,"Matériaux"),"",INDEX('DONNÉES BRUTES'!P$3:P$42,MATCH(LARGE(IF('DONNÉES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+7.4%</v>
      </c>
      <c r="M12" s="402" t="str">
        <f t="array" ref="M12">IFERROR(IF(2&gt;COUNTIF('DONNÉES BRUTES'!C$3:C$42,"Matériaux"),"",INDEX('DONNÉES BRUTES'!Q$3:Q$42,MATCH(LARGE(IF('DONNÉES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+16.0%</v>
      </c>
      <c r="N12" s="402">
        <f t="array" ref="N12">IFERROR(IF(2&gt;COUNTIF('DONNÉES BRUTES'!C$3:C$42,"Matériaux"),"",INDEX('DONNÉES BRUTES'!S$3:S$42,MATCH(LARGE(IF('DONNÉES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1.44</v>
      </c>
      <c r="O12" s="402" t="str">
        <f t="array" ref="O12">IFERROR(IF(2&gt;COUNTIF('DONNÉES BRUTES'!C$3:C$42,"Matériaux"),"",INDEX('DONNÉES BRUTES'!T$3:T$42,MATCH(LARGE(IF('DONNÉES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0.7x</v>
      </c>
      <c r="P12" s="402">
        <f t="array" ref="P12">IFERROR(IF(2&gt;COUNTIF('DONNÉES BRUTES'!C$3:C$42,"Matériaux"),"",INDEX('DONNÉES BRUTES'!U$3:U$42,MATCH(LARGE(IF('DONNÉES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3.45</v>
      </c>
      <c r="Q12" s="406" t="str">
        <f t="array" ref="Q12">IFERROR(IF(2&gt;COUNTIF('DONNÉES BRUTES'!C$3:C$42,"Matériaux"),"",INDEX('DONNÉES BRUTES'!AD$3:AD$42,MATCH(LARGE(IF('DONNÉES BRUTES'!C$3:C$42="Matériaux",'DONNÉES BRUTES'!AB$3:AB$42+(ROW('DONNÉES BRUTES'!A$3:A$42)-ROW('DONNÉES BRUTES'!A$3))/1000,0),2),IF('DONNÉES BRUTES'!C$3:C$42="Matériaux",'DONNÉES BRUTES'!AB$3:AB$42+(ROW('DONNÉES BRUTES'!A$3:A$42)-ROW('DONNÉES BRUTES'!A$3))/1000,0),0))),"—")</f>
        <v>Surpondérer</v>
      </c>
      <c r="R12" s="397"/>
    </row>
    <row r="13" spans="2:18" ht="15.9" customHeight="1" x14ac:dyDescent="0.3">
      <c r="B13" s="396">
        <v>3</v>
      </c>
      <c r="C13" s="396" t="str">
        <f t="array" ref="C13">IFERROR(IF(3&gt;COUNTIF('DONNÉES BRUTES'!C$3:C$42,"Matériaux"),"",INDEX('DONNÉES BRUTES'!A$3:A$42,MATCH(LARGE(IF('DONNÉES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FRES.L</v>
      </c>
      <c r="D13" s="396" t="str">
        <f t="array" ref="D13">IFERROR(IF(3&gt;COUNTIF('DONNÉES BRUTES'!C$3:C$42,"Matériaux"),"",INDEX('DONNÉES BRUTES'!B$3:B$42,MATCH(LARGE(IF('DONNÉES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Fresnillo plc</v>
      </c>
      <c r="E13" s="396" t="str">
        <f t="array" ref="E13">IFERROR(IF(3&gt;COUNTIF('DONNÉES BRUTES'!C$3:C$42,"Matériaux"),"",INT(LARGE(IF('DONNÉES BRUTES'!C$3:C$42="Matériaux",'DONNÉES BRUTES'!AB$3:AB$42+(ROW('DONNÉES BRUTES'!A$3:A$42)-ROW('DONNÉES BRUTES'!A$3))/1000,0),3))&amp;"/100"),"—")</f>
        <v>66/100</v>
      </c>
      <c r="F13" s="401">
        <f t="array" ref="F13">IFERROR(IF(3&gt;COUNTIF('DONNÉES BRUTES'!C$3:C$42,"Matériaux"),"",INDEX('DONNÉES BRUTES'!Y$3:Y$42,MATCH(LARGE(IF('DONNÉES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61</v>
      </c>
      <c r="G13" s="401">
        <f t="array" ref="G13">IFERROR(IF(3&gt;COUNTIF('DONNÉES BRUTES'!C$3:C$42,"Matériaux"),"",INDEX('DONNÉES BRUTES'!Z$3:Z$42,MATCH(LARGE(IF('DONNÉES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83</v>
      </c>
      <c r="H13" s="401">
        <f t="array" ref="H13">IFERROR(IF(3&gt;COUNTIF('DONNÉES BRUTES'!C$3:C$42,"Matériaux"),"",INDEX('DONNÉES BRUTES'!AA$3:AA$42,MATCH(LARGE(IF('DONNÉES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100</v>
      </c>
      <c r="I13" s="401" t="str">
        <f t="array" ref="I13">IFERROR(IF(3&gt;COUNTIF('DONNÉES BRUTES'!C$3:C$42,"Matériaux"),"",INDEX('DONNÉES BRUTES'!M$3:M$42,MATCH(LARGE(IF('DONNÉES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35.6%</v>
      </c>
      <c r="J13" s="401" t="str">
        <f t="array" ref="J13">IFERROR(IF(3&gt;COUNTIF('DONNÉES BRUTES'!C$3:C$42,"Matériaux"),"",INDEX('DONNÉES BRUTES'!N$3:N$42,MATCH(LARGE(IF('DONNÉES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41.0%</v>
      </c>
      <c r="K13" s="401" t="str">
        <f t="array" ref="K13">IFERROR(IF(3&gt;COUNTIF('DONNÉES BRUTES'!C$3:C$42,"Matériaux"),"",INDEX('DONNÉES BRUTES'!O$3:O$42,MATCH(LARGE(IF('DONNÉES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4.0%</v>
      </c>
      <c r="L13" s="401" t="str">
        <f t="array" ref="L13">IFERROR(IF(3&gt;COUNTIF('DONNÉES BRUTES'!C$3:C$42,"Matériaux"),"",INDEX('DONNÉES BRUTES'!P$3:P$42,MATCH(LARGE(IF('DONNÉES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+29.3%</v>
      </c>
      <c r="M13" s="401" t="str">
        <f t="array" ref="M13">IFERROR(IF(3&gt;COUNTIF('DONNÉES BRUTES'!C$3:C$42,"Matériaux"),"",INDEX('DONNÉES BRUTES'!Q$3:Q$42,MATCH(LARGE(IF('DONNÉES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+3.7%</v>
      </c>
      <c r="N13" s="401">
        <f t="array" ref="N13">IFERROR(IF(3&gt;COUNTIF('DONNÉES BRUTES'!C$3:C$42,"Matériaux"),"",INDEX('DONNÉES BRUTES'!S$3:S$42,MATCH(LARGE(IF('DONNÉES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6.63</v>
      </c>
      <c r="O13" s="401" t="str">
        <f t="array" ref="O13">IFERROR(IF(3&gt;COUNTIF('DONNÉES BRUTES'!C$3:C$42,"Matériaux"),"",INDEX('DONNÉES BRUTES'!T$3:T$42,MATCH(LARGE(IF('DONNÉES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-0.2x</v>
      </c>
      <c r="P13" s="401">
        <f t="array" ref="P13">IFERROR(IF(3&gt;COUNTIF('DONNÉES BRUTES'!C$3:C$42,"Matériaux"),"",INDEX('DONNÉES BRUTES'!U$3:U$42,MATCH(LARGE(IF('DONNÉES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7.22</v>
      </c>
      <c r="Q13" s="405" t="str">
        <f t="array" ref="Q13">IFERROR(IF(3&gt;COUNTIF('DONNÉES BRUTES'!C$3:C$42,"Matériaux"),"",INDEX('DONNÉES BRUTES'!AD$3:AD$42,MATCH(LARGE(IF('DONNÉES BRUTES'!C$3:C$42="Matériaux",'DONNÉES BRUTES'!AB$3:AB$42+(ROW('DONNÉES BRUTES'!A$3:A$42)-ROW('DONNÉES BRUTES'!A$3))/1000,0),3),IF('DONNÉES BRUTES'!C$3:C$42="Matériaux",'DONNÉES BRUTES'!AB$3:AB$42+(ROW('DONNÉES BRUTES'!A$3:A$42)-ROW('DONNÉES BRUTES'!A$3))/1000,0),0))),"—")</f>
        <v>Surpondérer</v>
      </c>
      <c r="R13" s="397"/>
    </row>
    <row r="14" spans="2:18" ht="15.9" customHeight="1" x14ac:dyDescent="0.3">
      <c r="B14" s="397">
        <v>4</v>
      </c>
      <c r="C14" s="397" t="str">
        <f t="array" ref="C14">IFERROR(IF(4&gt;COUNTIF('DONNÉES BRUTES'!C$3:C$42,"Matériaux"),"",INDEX('DONNÉES BRUTES'!A$3:A$42,MATCH(LARGE(IF('DONNÉES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ANTO.L</v>
      </c>
      <c r="D14" s="397" t="str">
        <f t="array" ref="D14">IFERROR(IF(4&gt;COUNTIF('DONNÉES BRUTES'!C$3:C$42,"Matériaux"),"",INDEX('DONNÉES BRUTES'!B$3:B$42,MATCH(LARGE(IF('DONNÉES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Antofagasta plc</v>
      </c>
      <c r="E14" s="397" t="str">
        <f t="array" ref="E14">IFERROR(IF(4&gt;COUNTIF('DONNÉES BRUTES'!C$3:C$42,"Matériaux"),"",INT(LARGE(IF('DONNÉES BRUTES'!C$3:C$42="Matériaux",'DONNÉES BRUTES'!AB$3:AB$42+(ROW('DONNÉES BRUTES'!A$3:A$42)-ROW('DONNÉES BRUTES'!A$3))/1000,0),4))&amp;"/100"),"—")</f>
        <v>65/100</v>
      </c>
      <c r="F14" s="403">
        <f t="array" ref="F14">IFERROR(IF(4&gt;COUNTIF('DONNÉES BRUTES'!C$3:C$42,"Matériaux"),"",INDEX('DONNÉES BRUTES'!Y$3:Y$42,MATCH(LARGE(IF('DONNÉES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61</v>
      </c>
      <c r="G14" s="403">
        <f t="array" ref="G14">IFERROR(IF(4&gt;COUNTIF('DONNÉES BRUTES'!C$3:C$42,"Matériaux"),"",INDEX('DONNÉES BRUTES'!Z$3:Z$42,MATCH(LARGE(IF('DONNÉES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76</v>
      </c>
      <c r="H14" s="403">
        <f t="array" ref="H14">IFERROR(IF(4&gt;COUNTIF('DONNÉES BRUTES'!C$3:C$42,"Matériaux"),"",INDEX('DONNÉES BRUTES'!AA$3:AA$42,MATCH(LARGE(IF('DONNÉES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99</v>
      </c>
      <c r="I14" s="403" t="str">
        <f t="array" ref="I14">IFERROR(IF(4&gt;COUNTIF('DONNÉES BRUTES'!C$3:C$42,"Matériaux"),"",INDEX('DONNÉES BRUTES'!M$3:M$42,MATCH(LARGE(IF('DONNÉES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37.9%</v>
      </c>
      <c r="J14" s="403" t="str">
        <f t="array" ref="J14">IFERROR(IF(4&gt;COUNTIF('DONNÉES BRUTES'!C$3:C$42,"Matériaux"),"",INDEX('DONNÉES BRUTES'!N$3:N$42,MATCH(LARGE(IF('DONNÉES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60.0%</v>
      </c>
      <c r="K14" s="403" t="str">
        <f t="array" ref="K14">IFERROR(IF(4&gt;COUNTIF('DONNÉES BRUTES'!C$3:C$42,"Matériaux"),"",INDEX('DONNÉES BRUTES'!O$3:O$42,MATCH(LARGE(IF('DONNÉES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12.5%</v>
      </c>
      <c r="L14" s="403" t="str">
        <f t="array" ref="L14">IFERROR(IF(4&gt;COUNTIF('DONNÉES BRUTES'!C$3:C$42,"Matériaux"),"",INDEX('DONNÉES BRUTES'!P$3:P$42,MATCH(LARGE(IF('DONNÉES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+4.6%</v>
      </c>
      <c r="M14" s="403" t="str">
        <f t="array" ref="M14">IFERROR(IF(4&gt;COUNTIF('DONNÉES BRUTES'!C$3:C$42,"Matériaux"),"",INDEX('DONNÉES BRUTES'!Q$3:Q$42,MATCH(LARGE(IF('DONNÉES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+8.8%</v>
      </c>
      <c r="N14" s="403">
        <f t="array" ref="N14">IFERROR(IF(4&gt;COUNTIF('DONNÉES BRUTES'!C$3:C$42,"Matériaux"),"",INDEX('DONNÉES BRUTES'!S$3:S$42,MATCH(LARGE(IF('DONNÉES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2.2200000000000002</v>
      </c>
      <c r="O14" s="403" t="str">
        <f t="array" ref="O14">IFERROR(IF(4&gt;COUNTIF('DONNÉES BRUTES'!C$3:C$42,"Matériaux"),"",INDEX('DONNÉES BRUTES'!T$3:T$42,MATCH(LARGE(IF('DONNÉES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0.8x</v>
      </c>
      <c r="P14" s="403">
        <f t="array" ref="P14">IFERROR(IF(4&gt;COUNTIF('DONNÉES BRUTES'!C$3:C$42,"Matériaux"),"",INDEX('DONNÉES BRUTES'!U$3:U$42,MATCH(LARGE(IF('DONNÉES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4.04</v>
      </c>
      <c r="Q14" s="407" t="str">
        <f t="array" ref="Q14">IFERROR(IF(4&gt;COUNTIF('DONNÉES BRUTES'!C$3:C$42,"Matériaux"),"",INDEX('DONNÉES BRUTES'!AD$3:AD$42,MATCH(LARGE(IF('DONNÉES BRUTES'!C$3:C$42="Matériaux",'DONNÉES BRUTES'!AB$3:AB$42+(ROW('DONNÉES BRUTES'!A$3:A$42)-ROW('DONNÉES BRUTES'!A$3))/1000,0),4),IF('DONNÉES BRUTES'!C$3:C$42="Matériaux",'DONNÉES BRUTES'!AB$3:AB$42+(ROW('DONNÉES BRUTES'!A$3:A$42)-ROW('DONNÉES BRUTES'!A$3))/1000,0),0))),"—")</f>
        <v>Surpondérer</v>
      </c>
      <c r="R14" s="397"/>
    </row>
    <row r="15" spans="2:18" ht="15.9" customHeight="1" x14ac:dyDescent="0.3">
      <c r="B15" s="397">
        <v>5</v>
      </c>
      <c r="C15" s="397" t="str">
        <f t="array" ref="C15">IFERROR(IF(5&gt;COUNTIF('DONNÉES BRUTES'!C$3:C$42,"Matériaux"),"",INDEX('DONNÉES BRUTES'!A$3:A$42,MATCH(LARGE(IF('DONNÉES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CRH.L</v>
      </c>
      <c r="D15" s="397" t="str">
        <f t="array" ref="D15">IFERROR(IF(5&gt;COUNTIF('DONNÉES BRUTES'!C$3:C$42,"Matériaux"),"",INDEX('DONNÉES BRUTES'!B$3:B$42,MATCH(LARGE(IF('DONNÉES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CRH plc</v>
      </c>
      <c r="E15" s="397" t="str">
        <f t="array" ref="E15">IFERROR(IF(5&gt;COUNTIF('DONNÉES BRUTES'!C$3:C$42,"Matériaux"),"",INT(LARGE(IF('DONNÉES BRUTES'!C$3:C$42="Matériaux",'DONNÉES BRUTES'!AB$3:AB$42+(ROW('DONNÉES BRUTES'!A$3:A$42)-ROW('DONNÉES BRUTES'!A$3))/1000,0),5))&amp;"/100"),"—")</f>
        <v>56/100</v>
      </c>
      <c r="F15" s="403">
        <f t="array" ref="F15">IFERROR(IF(5&gt;COUNTIF('DONNÉES BRUTES'!C$3:C$42,"Matériaux"),"",INDEX('DONNÉES BRUTES'!Y$3:Y$42,MATCH(LARGE(IF('DONNÉES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54</v>
      </c>
      <c r="G15" s="403">
        <f t="array" ref="G15">IFERROR(IF(5&gt;COUNTIF('DONNÉES BRUTES'!C$3:C$42,"Matériaux"),"",INDEX('DONNÉES BRUTES'!Z$3:Z$42,MATCH(LARGE(IF('DONNÉES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56</v>
      </c>
      <c r="H15" s="403">
        <f t="array" ref="H15">IFERROR(IF(5&gt;COUNTIF('DONNÉES BRUTES'!C$3:C$42,"Matériaux"),"",INDEX('DONNÉES BRUTES'!AA$3:AA$42,MATCH(LARGE(IF('DONNÉES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73</v>
      </c>
      <c r="I15" s="403" t="str">
        <f t="array" ref="I15">IFERROR(IF(5&gt;COUNTIF('DONNÉES BRUTES'!C$3:C$42,"Matériaux"),"",INDEX('DONNÉES BRUTES'!M$3:M$42,MATCH(LARGE(IF('DONNÉES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36.1%</v>
      </c>
      <c r="J15" s="403" t="str">
        <f t="array" ref="J15">IFERROR(IF(5&gt;COUNTIF('DONNÉES BRUTES'!C$3:C$42,"Matériaux"),"",INDEX('DONNÉES BRUTES'!N$3:N$42,MATCH(LARGE(IF('DONNÉES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20.8%</v>
      </c>
      <c r="K15" s="403" t="str">
        <f t="array" ref="K15">IFERROR(IF(5&gt;COUNTIF('DONNÉES BRUTES'!C$3:C$42,"Matériaux"),"",INDEX('DONNÉES BRUTES'!O$3:O$42,MATCH(LARGE(IF('DONNÉES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10.0%</v>
      </c>
      <c r="L15" s="403" t="str">
        <f t="array" ref="L15">IFERROR(IF(5&gt;COUNTIF('DONNÉES BRUTES'!C$3:C$42,"Matériaux"),"",INDEX('DONNÉES BRUTES'!P$3:P$42,MATCH(LARGE(IF('DONNÉES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+5.3%</v>
      </c>
      <c r="M15" s="403" t="str">
        <f t="array" ref="M15">IFERROR(IF(5&gt;COUNTIF('DONNÉES BRUTES'!C$3:C$42,"Matériaux"),"",INDEX('DONNÉES BRUTES'!Q$3:Q$42,MATCH(LARGE(IF('DONNÉES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+15.5%</v>
      </c>
      <c r="N15" s="403">
        <f t="array" ref="N15">IFERROR(IF(5&gt;COUNTIF('DONNÉES BRUTES'!C$3:C$42,"Matériaux"),"",INDEX('DONNÉES BRUTES'!S$3:S$42,MATCH(LARGE(IF('DONNÉES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1.74</v>
      </c>
      <c r="O15" s="403" t="str">
        <f t="array" ref="O15">IFERROR(IF(5&gt;COUNTIF('DONNÉES BRUTES'!C$3:C$42,"Matériaux"),"",INDEX('DONNÉES BRUTES'!T$3:T$42,MATCH(LARGE(IF('DONNÉES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1.7x</v>
      </c>
      <c r="P15" s="403">
        <f t="array" ref="P15">IFERROR(IF(5&gt;COUNTIF('DONNÉES BRUTES'!C$3:C$42,"Matériaux"),"",INDEX('DONNÉES BRUTES'!U$3:U$42,MATCH(LARGE(IF('DONNÉES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3.58</v>
      </c>
      <c r="Q15" s="407" t="str">
        <f t="array" ref="Q15">IFERROR(IF(5&gt;COUNTIF('DONNÉES BRUTES'!C$3:C$42,"Matériaux"),"",INDEX('DONNÉES BRUTES'!AD$3:AD$42,MATCH(LARGE(IF('DONNÉES BRUTES'!C$3:C$42="Matériaux",'DONNÉES BRUTES'!AB$3:AB$42+(ROW('DONNÉES BRUTES'!A$3:A$42)-ROW('DONNÉES BRUTES'!A$3))/1000,0),5),IF('DONNÉES BRUTES'!C$3:C$42="Matériaux",'DONNÉES BRUTES'!AB$3:AB$42+(ROW('DONNÉES BRUTES'!A$3:A$42)-ROW('DONNÉES BRUTES'!A$3))/1000,0),0))),"—")</f>
        <v>Neutre</v>
      </c>
      <c r="R15" s="397"/>
    </row>
    <row r="16" spans="2:18" ht="15.9" customHeight="1" x14ac:dyDescent="0.3">
      <c r="B16" s="397">
        <v>6</v>
      </c>
      <c r="C16" s="397" t="str">
        <f t="array" ref="C16">IFERROR(IF(6&gt;COUNTIF('DONNÉES BRUTES'!C$3:C$42,"Matériaux"),"",INDEX('DONNÉES BRUTES'!A$3:A$42,MATCH(LARGE(IF('DONNÉES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AAL.L</v>
      </c>
      <c r="D16" s="397" t="str">
        <f t="array" ref="D16">IFERROR(IF(6&gt;COUNTIF('DONNÉES BRUTES'!C$3:C$42,"Matériaux"),"",INDEX('DONNÉES BRUTES'!B$3:B$42,MATCH(LARGE(IF('DONNÉES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Anglo American plc</v>
      </c>
      <c r="E16" s="397" t="str">
        <f t="array" ref="E16">IFERROR(IF(6&gt;COUNTIF('DONNÉES BRUTES'!C$3:C$42,"Matériaux"),"",INT(LARGE(IF('DONNÉES BRUTES'!C$3:C$42="Matériaux",'DONNÉES BRUTES'!AB$3:AB$42+(ROW('DONNÉES BRUTES'!A$3:A$42)-ROW('DONNÉES BRUTES'!A$3))/1000,0),6))&amp;"/100"),"—")</f>
        <v>54/100</v>
      </c>
      <c r="F16" s="403">
        <f t="array" ref="F16">IFERROR(IF(6&gt;COUNTIF('DONNÉES BRUTES'!C$3:C$42,"Matériaux"),"",INDEX('DONNÉES BRUTES'!Y$3:Y$42,MATCH(LARGE(IF('DONNÉES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35</v>
      </c>
      <c r="G16" s="403">
        <f t="array" ref="G16">IFERROR(IF(6&gt;COUNTIF('DONNÉES BRUTES'!C$3:C$42,"Matériaux"),"",INDEX('DONNÉES BRUTES'!Z$3:Z$42,MATCH(LARGE(IF('DONNÉES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52</v>
      </c>
      <c r="H16" s="403">
        <f t="array" ref="H16">IFERROR(IF(6&gt;COUNTIF('DONNÉES BRUTES'!C$3:C$42,"Matériaux"),"",INDEX('DONNÉES BRUTES'!AA$3:AA$42,MATCH(LARGE(IF('DONNÉES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96</v>
      </c>
      <c r="I16" s="403" t="str">
        <f t="array" ref="I16">IFERROR(IF(6&gt;COUNTIF('DONNÉES BRUTES'!C$3:C$42,"Matériaux"),"",INDEX('DONNÉES BRUTES'!M$3:M$42,MATCH(LARGE(IF('DONNÉES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51.7%</v>
      </c>
      <c r="J16" s="403" t="str">
        <f t="array" ref="J16">IFERROR(IF(6&gt;COUNTIF('DONNÉES BRUTES'!C$3:C$42,"Matériaux"),"",INDEX('DONNÉES BRUTES'!N$3:N$42,MATCH(LARGE(IF('DONNÉES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21.8%</v>
      </c>
      <c r="K16" s="403" t="str">
        <f t="array" ref="K16">IFERROR(IF(6&gt;COUNTIF('DONNÉES BRUTES'!C$3:C$42,"Matériaux"),"",INDEX('DONNÉES BRUTES'!O$3:O$42,MATCH(LARGE(IF('DONNÉES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-20.2%</v>
      </c>
      <c r="L16" s="403" t="str">
        <f t="array" ref="L16">IFERROR(IF(6&gt;COUNTIF('DONNÉES BRUTES'!C$3:C$42,"Matériaux"),"",INDEX('DONNÉES BRUTES'!P$3:P$42,MATCH(LARGE(IF('DONNÉES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+4.5%</v>
      </c>
      <c r="M16" s="403" t="str">
        <f t="array" ref="M16">IFERROR(IF(6&gt;COUNTIF('DONNÉES BRUTES'!C$3:C$42,"Matériaux"),"",INDEX('DONNÉES BRUTES'!Q$3:Q$42,MATCH(LARGE(IF('DONNÉES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-20.8%</v>
      </c>
      <c r="N16" s="403">
        <f t="array" ref="N16">IFERROR(IF(6&gt;COUNTIF('DONNÉES BRUTES'!C$3:C$42,"Matériaux"),"",INDEX('DONNÉES BRUTES'!S$3:S$42,MATCH(LARGE(IF('DONNÉES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2.19</v>
      </c>
      <c r="O16" s="403" t="str">
        <f t="array" ref="O16">IFERROR(IF(6&gt;COUNTIF('DONNÉES BRUTES'!C$3:C$42,"Matériaux"),"",INDEX('DONNÉES BRUTES'!T$3:T$42,MATCH(LARGE(IF('DONNÉES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2.0x</v>
      </c>
      <c r="P16" s="403">
        <f t="array" ref="P16">IFERROR(IF(6&gt;COUNTIF('DONNÉES BRUTES'!C$3:C$42,"Matériaux"),"",INDEX('DONNÉES BRUTES'!U$3:U$42,MATCH(LARGE(IF('DONNÉES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3.6</v>
      </c>
      <c r="Q16" s="407" t="str">
        <f t="array" ref="Q16">IFERROR(IF(6&gt;COUNTIF('DONNÉES BRUTES'!C$3:C$42,"Matériaux"),"",INDEX('DONNÉES BRUTES'!AD$3:AD$42,MATCH(LARGE(IF('DONNÉES BRUTES'!C$3:C$42="Matériaux",'DONNÉES BRUTES'!AB$3:AB$42+(ROW('DONNÉES BRUTES'!A$3:A$42)-ROW('DONNÉES BRUTES'!A$3))/1000,0),6),IF('DONNÉES BRUTES'!C$3:C$42="Matériaux",'DONNÉES BRUTES'!AB$3:AB$42+(ROW('DONNÉES BRUTES'!A$3:A$42)-ROW('DONNÉES BRUTES'!A$3))/1000,0),0))),"—")</f>
        <v>Neutre</v>
      </c>
      <c r="R16" s="397"/>
    </row>
    <row r="17" spans="2:28" ht="15.9" customHeight="1" x14ac:dyDescent="0.3">
      <c r="B17" s="397">
        <v>7</v>
      </c>
      <c r="C17" s="397" t="str">
        <f t="array" ref="C17">IFERROR(IF(7&gt;COUNTIF('DONNÉES BRUTES'!C$3:C$42,"Matériaux"),"",INDEX('DONNÉES BRUTES'!A$3:A$42,MATCH(LARGE(IF('DONNÉES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D17" s="397" t="str">
        <f t="array" ref="D17">IFERROR(IF(7&gt;COUNTIF('DONNÉES BRUTES'!C$3:C$42,"Matériaux"),"",INDEX('DONNÉES BRUTES'!B$3:B$42,MATCH(LARGE(IF('DONNÉES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E17" s="397" t="str">
        <f t="array" ref="E17">IFERROR(IF(7&gt;COUNTIF('DONNÉES BRUTES'!C$3:C$42,"Matériaux"),"",INT(LARGE(IF('DONNÉES BRUTES'!C$3:C$42="Matériaux",'DONNÉES BRUTES'!AB$3:AB$42+(ROW('DONNÉES BRUTES'!A$3:A$42)-ROW('DONNÉES BRUTES'!A$3))/1000,0),7))&amp;"/100"),"—")</f>
        <v/>
      </c>
      <c r="F17" s="397" t="str">
        <f t="array" ref="F17">IFERROR(IF(7&gt;COUNTIF('DONNÉES BRUTES'!C$3:C$42,"Matériaux"),"",INDEX('DONNÉES BRUTES'!Y$3:Y$42,MATCH(LARGE(IF('DONNÉES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G17" s="397" t="str">
        <f t="array" ref="G17">IFERROR(IF(7&gt;COUNTIF('DONNÉES BRUTES'!C$3:C$42,"Matériaux"),"",INDEX('DONNÉES BRUTES'!Z$3:Z$42,MATCH(LARGE(IF('DONNÉES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H17" s="397" t="str">
        <f t="array" ref="H17">IFERROR(IF(7&gt;COUNTIF('DONNÉES BRUTES'!C$3:C$42,"Matériaux"),"",INDEX('DONNÉES BRUTES'!AA$3:AA$42,MATCH(LARGE(IF('DONNÉES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I17" s="397" t="str">
        <f t="array" ref="I17">IFERROR(IF(7&gt;COUNTIF('DONNÉES BRUTES'!C$3:C$42,"Matériaux"),"",INDEX('DONNÉES BRUTES'!M$3:M$42,MATCH(LARGE(IF('DONNÉES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J17" s="397" t="str">
        <f t="array" ref="J17">IFERROR(IF(7&gt;COUNTIF('DONNÉES BRUTES'!C$3:C$42,"Matériaux"),"",INDEX('DONNÉES BRUTES'!N$3:N$42,MATCH(LARGE(IF('DONNÉES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K17" s="397" t="str">
        <f t="array" ref="K17">IFERROR(IF(7&gt;COUNTIF('DONNÉES BRUTES'!C$3:C$42,"Matériaux"),"",INDEX('DONNÉES BRUTES'!O$3:O$42,MATCH(LARGE(IF('DONNÉES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L17" s="397" t="str">
        <f t="array" ref="L17">IFERROR(IF(7&gt;COUNTIF('DONNÉES BRUTES'!C$3:C$42,"Matériaux"),"",INDEX('DONNÉES BRUTES'!P$3:P$42,MATCH(LARGE(IF('DONNÉES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M17" s="397" t="str">
        <f t="array" ref="M17">IFERROR(IF(7&gt;COUNTIF('DONNÉES BRUTES'!C$3:C$42,"Matériaux"),"",INDEX('DONNÉES BRUTES'!Q$3:Q$42,MATCH(LARGE(IF('DONNÉES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N17" s="397" t="str">
        <f t="array" ref="N17">IFERROR(IF(7&gt;COUNTIF('DONNÉES BRUTES'!C$3:C$42,"Matériaux"),"",INDEX('DONNÉES BRUTES'!S$3:S$42,MATCH(LARGE(IF('DONNÉES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O17" s="397" t="str">
        <f t="array" ref="O17">IFERROR(IF(7&gt;COUNTIF('DONNÉES BRUTES'!C$3:C$42,"Matériaux"),"",INDEX('DONNÉES BRUTES'!T$3:T$42,MATCH(LARGE(IF('DONNÉES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P17" s="397" t="str">
        <f t="array" ref="P17">IFERROR(IF(7&gt;COUNTIF('DONNÉES BRUTES'!C$3:C$42,"Matériaux"),"",INDEX('DONNÉES BRUTES'!U$3:U$42,MATCH(LARGE(IF('DONNÉES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Q17" s="407" t="str">
        <f t="array" ref="Q17">IFERROR(IF(7&gt;COUNTIF('DONNÉES BRUTES'!C$3:C$42,"Matériaux"),"",INDEX('DONNÉES BRUTES'!AD$3:AD$42,MATCH(LARGE(IF('DONNÉES BRUTES'!C$3:C$42="Matériaux",'DONNÉES BRUTES'!AB$3:AB$42+(ROW('DONNÉES BRUTES'!A$3:A$42)-ROW('DONNÉES BRUTES'!A$3))/1000,0),7),IF('DONNÉES BRUTES'!C$3:C$42="Matériaux",'DONNÉES BRUTES'!AB$3:AB$42+(ROW('DONNÉES BRUTES'!A$3:A$42)-ROW('DONNÉES BRUTES'!A$3))/1000,0),0))),"—")</f>
        <v/>
      </c>
      <c r="R17" s="397"/>
    </row>
    <row r="18" spans="2:28" ht="15.9" customHeight="1" x14ac:dyDescent="0.3">
      <c r="B18" s="397">
        <v>8</v>
      </c>
      <c r="C18" s="397" t="str">
        <f t="array" ref="C18">IFERROR(IF(8&gt;COUNTIF('DONNÉES BRUTES'!C$3:C$42,"Matériaux"),"",INDEX('DONNÉES BRUTES'!A$3:A$42,MATCH(LARGE(IF('DONNÉES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D18" s="397" t="str">
        <f t="array" ref="D18">IFERROR(IF(8&gt;COUNTIF('DONNÉES BRUTES'!C$3:C$42,"Matériaux"),"",INDEX('DONNÉES BRUTES'!B$3:B$42,MATCH(LARGE(IF('DONNÉES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E18" s="397" t="str">
        <f t="array" ref="E18">IFERROR(IF(8&gt;COUNTIF('DONNÉES BRUTES'!C$3:C$42,"Matériaux"),"",INT(LARGE(IF('DONNÉES BRUTES'!C$3:C$42="Matériaux",'DONNÉES BRUTES'!AB$3:AB$42+(ROW('DONNÉES BRUTES'!A$3:A$42)-ROW('DONNÉES BRUTES'!A$3))/1000,0),8))&amp;"/100"),"—")</f>
        <v/>
      </c>
      <c r="F18" s="397" t="str">
        <f t="array" ref="F18">IFERROR(IF(8&gt;COUNTIF('DONNÉES BRUTES'!C$3:C$42,"Matériaux"),"",INDEX('DONNÉES BRUTES'!Y$3:Y$42,MATCH(LARGE(IF('DONNÉES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G18" s="397" t="str">
        <f t="array" ref="G18">IFERROR(IF(8&gt;COUNTIF('DONNÉES BRUTES'!C$3:C$42,"Matériaux"),"",INDEX('DONNÉES BRUTES'!Z$3:Z$42,MATCH(LARGE(IF('DONNÉES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H18" s="397" t="str">
        <f t="array" ref="H18">IFERROR(IF(8&gt;COUNTIF('DONNÉES BRUTES'!C$3:C$42,"Matériaux"),"",INDEX('DONNÉES BRUTES'!AA$3:AA$42,MATCH(LARGE(IF('DONNÉES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I18" s="397" t="str">
        <f t="array" ref="I18">IFERROR(IF(8&gt;COUNTIF('DONNÉES BRUTES'!C$3:C$42,"Matériaux"),"",INDEX('DONNÉES BRUTES'!M$3:M$42,MATCH(LARGE(IF('DONNÉES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J18" s="397" t="str">
        <f t="array" ref="J18">IFERROR(IF(8&gt;COUNTIF('DONNÉES BRUTES'!C$3:C$42,"Matériaux"),"",INDEX('DONNÉES BRUTES'!N$3:N$42,MATCH(LARGE(IF('DONNÉES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K18" s="397" t="str">
        <f t="array" ref="K18">IFERROR(IF(8&gt;COUNTIF('DONNÉES BRUTES'!C$3:C$42,"Matériaux"),"",INDEX('DONNÉES BRUTES'!O$3:O$42,MATCH(LARGE(IF('DONNÉES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L18" s="397" t="str">
        <f t="array" ref="L18">IFERROR(IF(8&gt;COUNTIF('DONNÉES BRUTES'!C$3:C$42,"Matériaux"),"",INDEX('DONNÉES BRUTES'!P$3:P$42,MATCH(LARGE(IF('DONNÉES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M18" s="397" t="str">
        <f t="array" ref="M18">IFERROR(IF(8&gt;COUNTIF('DONNÉES BRUTES'!C$3:C$42,"Matériaux"),"",INDEX('DONNÉES BRUTES'!Q$3:Q$42,MATCH(LARGE(IF('DONNÉES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N18" s="397" t="str">
        <f t="array" ref="N18">IFERROR(IF(8&gt;COUNTIF('DONNÉES BRUTES'!C$3:C$42,"Matériaux"),"",INDEX('DONNÉES BRUTES'!S$3:S$42,MATCH(LARGE(IF('DONNÉES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O18" s="397" t="str">
        <f t="array" ref="O18">IFERROR(IF(8&gt;COUNTIF('DONNÉES BRUTES'!C$3:C$42,"Matériaux"),"",INDEX('DONNÉES BRUTES'!T$3:T$42,MATCH(LARGE(IF('DONNÉES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P18" s="397" t="str">
        <f t="array" ref="P18">IFERROR(IF(8&gt;COUNTIF('DONNÉES BRUTES'!C$3:C$42,"Matériaux"),"",INDEX('DONNÉES BRUTES'!U$3:U$42,MATCH(LARGE(IF('DONNÉES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Q18" s="407" t="str">
        <f t="array" ref="Q18">IFERROR(IF(8&gt;COUNTIF('DONNÉES BRUTES'!C$3:C$42,"Matériaux"),"",INDEX('DONNÉES BRUTES'!AD$3:AD$42,MATCH(LARGE(IF('DONNÉES BRUTES'!C$3:C$42="Matériaux",'DONNÉES BRUTES'!AB$3:AB$42+(ROW('DONNÉES BRUTES'!A$3:A$42)-ROW('DONNÉES BRUTES'!A$3))/1000,0),8),IF('DONNÉES BRUTES'!C$3:C$42="Matériaux",'DONNÉES BRUTES'!AB$3:AB$42+(ROW('DONNÉES BRUTES'!A$3:A$42)-ROW('DONNÉES BRUTES'!A$3))/1000,0),0))),"—")</f>
        <v/>
      </c>
      <c r="R18" s="397"/>
    </row>
    <row r="19" spans="2:28" ht="15.9" customHeight="1" x14ac:dyDescent="0.3">
      <c r="B19" s="397">
        <v>9</v>
      </c>
      <c r="C19" s="397" t="str">
        <f t="array" ref="C19">IFERROR(IF(9&gt;COUNTIF('DONNÉES BRUTES'!C$3:C$42,"Matériaux"),"",INDEX('DONNÉES BRUTES'!A$3:A$42,MATCH(LARGE(IF('DONNÉES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D19" s="397" t="str">
        <f t="array" ref="D19">IFERROR(IF(9&gt;COUNTIF('DONNÉES BRUTES'!C$3:C$42,"Matériaux"),"",INDEX('DONNÉES BRUTES'!B$3:B$42,MATCH(LARGE(IF('DONNÉES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E19" s="397" t="str">
        <f t="array" ref="E19">IFERROR(IF(9&gt;COUNTIF('DONNÉES BRUTES'!C$3:C$42,"Matériaux"),"",INT(LARGE(IF('DONNÉES BRUTES'!C$3:C$42="Matériaux",'DONNÉES BRUTES'!AB$3:AB$42+(ROW('DONNÉES BRUTES'!A$3:A$42)-ROW('DONNÉES BRUTES'!A$3))/1000,0),9))&amp;"/100"),"—")</f>
        <v/>
      </c>
      <c r="F19" s="397" t="str">
        <f t="array" ref="F19">IFERROR(IF(9&gt;COUNTIF('DONNÉES BRUTES'!C$3:C$42,"Matériaux"),"",INDEX('DONNÉES BRUTES'!Y$3:Y$42,MATCH(LARGE(IF('DONNÉES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G19" s="397" t="str">
        <f t="array" ref="G19">IFERROR(IF(9&gt;COUNTIF('DONNÉES BRUTES'!C$3:C$42,"Matériaux"),"",INDEX('DONNÉES BRUTES'!Z$3:Z$42,MATCH(LARGE(IF('DONNÉES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H19" s="397" t="str">
        <f t="array" ref="H19">IFERROR(IF(9&gt;COUNTIF('DONNÉES BRUTES'!C$3:C$42,"Matériaux"),"",INDEX('DONNÉES BRUTES'!AA$3:AA$42,MATCH(LARGE(IF('DONNÉES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I19" s="397" t="str">
        <f t="array" ref="I19">IFERROR(IF(9&gt;COUNTIF('DONNÉES BRUTES'!C$3:C$42,"Matériaux"),"",INDEX('DONNÉES BRUTES'!M$3:M$42,MATCH(LARGE(IF('DONNÉES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J19" s="397" t="str">
        <f t="array" ref="J19">IFERROR(IF(9&gt;COUNTIF('DONNÉES BRUTES'!C$3:C$42,"Matériaux"),"",INDEX('DONNÉES BRUTES'!N$3:N$42,MATCH(LARGE(IF('DONNÉES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K19" s="397" t="str">
        <f t="array" ref="K19">IFERROR(IF(9&gt;COUNTIF('DONNÉES BRUTES'!C$3:C$42,"Matériaux"),"",INDEX('DONNÉES BRUTES'!O$3:O$42,MATCH(LARGE(IF('DONNÉES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L19" s="397" t="str">
        <f t="array" ref="L19">IFERROR(IF(9&gt;COUNTIF('DONNÉES BRUTES'!C$3:C$42,"Matériaux"),"",INDEX('DONNÉES BRUTES'!P$3:P$42,MATCH(LARGE(IF('DONNÉES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M19" s="397" t="str">
        <f t="array" ref="M19">IFERROR(IF(9&gt;COUNTIF('DONNÉES BRUTES'!C$3:C$42,"Matériaux"),"",INDEX('DONNÉES BRUTES'!Q$3:Q$42,MATCH(LARGE(IF('DONNÉES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N19" s="397" t="str">
        <f t="array" ref="N19">IFERROR(IF(9&gt;COUNTIF('DONNÉES BRUTES'!C$3:C$42,"Matériaux"),"",INDEX('DONNÉES BRUTES'!S$3:S$42,MATCH(LARGE(IF('DONNÉES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O19" s="397" t="str">
        <f t="array" ref="O19">IFERROR(IF(9&gt;COUNTIF('DONNÉES BRUTES'!C$3:C$42,"Matériaux"),"",INDEX('DONNÉES BRUTES'!T$3:T$42,MATCH(LARGE(IF('DONNÉES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P19" s="397" t="str">
        <f t="array" ref="P19">IFERROR(IF(9&gt;COUNTIF('DONNÉES BRUTES'!C$3:C$42,"Matériaux"),"",INDEX('DONNÉES BRUTES'!U$3:U$42,MATCH(LARGE(IF('DONNÉES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Q19" s="407" t="str">
        <f t="array" ref="Q19">IFERROR(IF(9&gt;COUNTIF('DONNÉES BRUTES'!C$3:C$42,"Matériaux"),"",INDEX('DONNÉES BRUTES'!AD$3:AD$42,MATCH(LARGE(IF('DONNÉES BRUTES'!C$3:C$42="Matériaux",'DONNÉES BRUTES'!AB$3:AB$42+(ROW('DONNÉES BRUTES'!A$3:A$42)-ROW('DONNÉES BRUTES'!A$3))/1000,0),9),IF('DONNÉES BRUTES'!C$3:C$42="Matériaux",'DONNÉES BRUTES'!AB$3:AB$42+(ROW('DONNÉES BRUTES'!A$3:A$42)-ROW('DONNÉES BRUTES'!A$3))/1000,0),0))),"—")</f>
        <v/>
      </c>
      <c r="R19" s="397"/>
    </row>
    <row r="20" spans="2:28" ht="15.9" customHeight="1" x14ac:dyDescent="0.3">
      <c r="B20" s="397">
        <v>10</v>
      </c>
      <c r="C20" s="397" t="str">
        <f t="array" ref="C20">IFERROR(IF(10&gt;COUNTIF('DONNÉES BRUTES'!C$3:C$42,"Matériaux"),"",INDEX('DONNÉES BRUTES'!A$3:A$42,MATCH(LARGE(IF('DONNÉES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D20" s="397" t="str">
        <f t="array" ref="D20">IFERROR(IF(10&gt;COUNTIF('DONNÉES BRUTES'!C$3:C$42,"Matériaux"),"",INDEX('DONNÉES BRUTES'!B$3:B$42,MATCH(LARGE(IF('DONNÉES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E20" s="397" t="str">
        <f t="array" ref="E20">IFERROR(IF(10&gt;COUNTIF('DONNÉES BRUTES'!C$3:C$42,"Matériaux"),"",INT(LARGE(IF('DONNÉES BRUTES'!C$3:C$42="Matériaux",'DONNÉES BRUTES'!AB$3:AB$42+(ROW('DONNÉES BRUTES'!A$3:A$42)-ROW('DONNÉES BRUTES'!A$3))/1000,0),10))&amp;"/100"),"—")</f>
        <v/>
      </c>
      <c r="F20" s="397" t="str">
        <f t="array" ref="F20">IFERROR(IF(10&gt;COUNTIF('DONNÉES BRUTES'!C$3:C$42,"Matériaux"),"",INDEX('DONNÉES BRUTES'!Y$3:Y$42,MATCH(LARGE(IF('DONNÉES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G20" s="397" t="str">
        <f t="array" ref="G20">IFERROR(IF(10&gt;COUNTIF('DONNÉES BRUTES'!C$3:C$42,"Matériaux"),"",INDEX('DONNÉES BRUTES'!Z$3:Z$42,MATCH(LARGE(IF('DONNÉES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H20" s="397" t="str">
        <f t="array" ref="H20">IFERROR(IF(10&gt;COUNTIF('DONNÉES BRUTES'!C$3:C$42,"Matériaux"),"",INDEX('DONNÉES BRUTES'!AA$3:AA$42,MATCH(LARGE(IF('DONNÉES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I20" s="397" t="str">
        <f t="array" ref="I20">IFERROR(IF(10&gt;COUNTIF('DONNÉES BRUTES'!C$3:C$42,"Matériaux"),"",INDEX('DONNÉES BRUTES'!M$3:M$42,MATCH(LARGE(IF('DONNÉES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J20" s="397" t="str">
        <f t="array" ref="J20">IFERROR(IF(10&gt;COUNTIF('DONNÉES BRUTES'!C$3:C$42,"Matériaux"),"",INDEX('DONNÉES BRUTES'!N$3:N$42,MATCH(LARGE(IF('DONNÉES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K20" s="397" t="str">
        <f t="array" ref="K20">IFERROR(IF(10&gt;COUNTIF('DONNÉES BRUTES'!C$3:C$42,"Matériaux"),"",INDEX('DONNÉES BRUTES'!O$3:O$42,MATCH(LARGE(IF('DONNÉES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L20" s="397" t="str">
        <f t="array" ref="L20">IFERROR(IF(10&gt;COUNTIF('DONNÉES BRUTES'!C$3:C$42,"Matériaux"),"",INDEX('DONNÉES BRUTES'!P$3:P$42,MATCH(LARGE(IF('DONNÉES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M20" s="397" t="str">
        <f t="array" ref="M20">IFERROR(IF(10&gt;COUNTIF('DONNÉES BRUTES'!C$3:C$42,"Matériaux"),"",INDEX('DONNÉES BRUTES'!Q$3:Q$42,MATCH(LARGE(IF('DONNÉES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N20" s="397" t="str">
        <f t="array" ref="N20">IFERROR(IF(10&gt;COUNTIF('DONNÉES BRUTES'!C$3:C$42,"Matériaux"),"",INDEX('DONNÉES BRUTES'!S$3:S$42,MATCH(LARGE(IF('DONNÉES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O20" s="397" t="str">
        <f t="array" ref="O20">IFERROR(IF(10&gt;COUNTIF('DONNÉES BRUTES'!C$3:C$42,"Matériaux"),"",INDEX('DONNÉES BRUTES'!T$3:T$42,MATCH(LARGE(IF('DONNÉES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P20" s="397" t="str">
        <f t="array" ref="P20">IFERROR(IF(10&gt;COUNTIF('DONNÉES BRUTES'!C$3:C$42,"Matériaux"),"",INDEX('DONNÉES BRUTES'!U$3:U$42,MATCH(LARGE(IF('DONNÉES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Q20" s="407" t="str">
        <f t="array" ref="Q20">IFERROR(IF(10&gt;COUNTIF('DONNÉES BRUTES'!C$3:C$42,"Matériaux"),"",INDEX('DONNÉES BRUTES'!AD$3:AD$42,MATCH(LARGE(IF('DONNÉES BRUTES'!C$3:C$42="Matériaux",'DONNÉES BRUTES'!AB$3:AB$42+(ROW('DONNÉES BRUTES'!A$3:A$42)-ROW('DONNÉES BRUTES'!A$3))/1000,0),10),IF('DONNÉES BRUTES'!C$3:C$42="Matériaux",'DONNÉES BRUTES'!AB$3:AB$42+(ROW('DONNÉES BRUTES'!A$3:A$42)-ROW('DONNÉES BRUTES'!A$3))/1000,0),0))),"—")</f>
        <v/>
      </c>
      <c r="R20" s="397"/>
    </row>
    <row r="21" spans="2:28" ht="15.9" customHeight="1" x14ac:dyDescent="0.3">
      <c r="B21" s="397">
        <v>11</v>
      </c>
      <c r="C21" s="397" t="str">
        <f t="array" ref="C21">IFERROR(IF(11&gt;COUNTIF('DONNÉES BRUTES'!C$3:C$42,"Matériaux"),"",INDEX('DONNÉES BRUTES'!A$3:A$42,MATCH(LARGE(IF('DONNÉES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D21" s="397" t="str">
        <f t="array" ref="D21">IFERROR(IF(11&gt;COUNTIF('DONNÉES BRUTES'!C$3:C$42,"Matériaux"),"",INDEX('DONNÉES BRUTES'!B$3:B$42,MATCH(LARGE(IF('DONNÉES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E21" s="397" t="str">
        <f t="array" ref="E21">IFERROR(IF(11&gt;COUNTIF('DONNÉES BRUTES'!C$3:C$42,"Matériaux"),"",INT(LARGE(IF('DONNÉES BRUTES'!C$3:C$42="Matériaux",'DONNÉES BRUTES'!AB$3:AB$42+(ROW('DONNÉES BRUTES'!A$3:A$42)-ROW('DONNÉES BRUTES'!A$3))/1000,0),11))&amp;"/100"),"—")</f>
        <v/>
      </c>
      <c r="F21" s="397" t="str">
        <f t="array" ref="F21">IFERROR(IF(11&gt;COUNTIF('DONNÉES BRUTES'!C$3:C$42,"Matériaux"),"",INDEX('DONNÉES BRUTES'!Y$3:Y$42,MATCH(LARGE(IF('DONNÉES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G21" s="397" t="str">
        <f t="array" ref="G21">IFERROR(IF(11&gt;COUNTIF('DONNÉES BRUTES'!C$3:C$42,"Matériaux"),"",INDEX('DONNÉES BRUTES'!Z$3:Z$42,MATCH(LARGE(IF('DONNÉES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H21" s="397" t="str">
        <f t="array" ref="H21">IFERROR(IF(11&gt;COUNTIF('DONNÉES BRUTES'!C$3:C$42,"Matériaux"),"",INDEX('DONNÉES BRUTES'!AA$3:AA$42,MATCH(LARGE(IF('DONNÉES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I21" s="397" t="str">
        <f t="array" ref="I21">IFERROR(IF(11&gt;COUNTIF('DONNÉES BRUTES'!C$3:C$42,"Matériaux"),"",INDEX('DONNÉES BRUTES'!M$3:M$42,MATCH(LARGE(IF('DONNÉES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J21" s="397" t="str">
        <f t="array" ref="J21">IFERROR(IF(11&gt;COUNTIF('DONNÉES BRUTES'!C$3:C$42,"Matériaux"),"",INDEX('DONNÉES BRUTES'!N$3:N$42,MATCH(LARGE(IF('DONNÉES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K21" s="397" t="str">
        <f t="array" ref="K21">IFERROR(IF(11&gt;COUNTIF('DONNÉES BRUTES'!C$3:C$42,"Matériaux"),"",INDEX('DONNÉES BRUTES'!O$3:O$42,MATCH(LARGE(IF('DONNÉES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L21" s="397" t="str">
        <f t="array" ref="L21">IFERROR(IF(11&gt;COUNTIF('DONNÉES BRUTES'!C$3:C$42,"Matériaux"),"",INDEX('DONNÉES BRUTES'!P$3:P$42,MATCH(LARGE(IF('DONNÉES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M21" s="397" t="str">
        <f t="array" ref="M21">IFERROR(IF(11&gt;COUNTIF('DONNÉES BRUTES'!C$3:C$42,"Matériaux"),"",INDEX('DONNÉES BRUTES'!Q$3:Q$42,MATCH(LARGE(IF('DONNÉES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N21" s="397" t="str">
        <f t="array" ref="N21">IFERROR(IF(11&gt;COUNTIF('DONNÉES BRUTES'!C$3:C$42,"Matériaux"),"",INDEX('DONNÉES BRUTES'!S$3:S$42,MATCH(LARGE(IF('DONNÉES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O21" s="397" t="str">
        <f t="array" ref="O21">IFERROR(IF(11&gt;COUNTIF('DONNÉES BRUTES'!C$3:C$42,"Matériaux"),"",INDEX('DONNÉES BRUTES'!T$3:T$42,MATCH(LARGE(IF('DONNÉES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P21" s="397" t="str">
        <f t="array" ref="P21">IFERROR(IF(11&gt;COUNTIF('DONNÉES BRUTES'!C$3:C$42,"Matériaux"),"",INDEX('DONNÉES BRUTES'!U$3:U$42,MATCH(LARGE(IF('DONNÉES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Q21" s="407" t="str">
        <f t="array" ref="Q21">IFERROR(IF(11&gt;COUNTIF('DONNÉES BRUTES'!C$3:C$42,"Matériaux"),"",INDEX('DONNÉES BRUTES'!AD$3:AD$42,MATCH(LARGE(IF('DONNÉES BRUTES'!C$3:C$42="Matériaux",'DONNÉES BRUTES'!AB$3:AB$42+(ROW('DONNÉES BRUTES'!A$3:A$42)-ROW('DONNÉES BRUTES'!A$3))/1000,0),11),IF('DONNÉES BRUTES'!C$3:C$42="Matériaux",'DONNÉES BRUTES'!AB$3:AB$42+(ROW('DONNÉES BRUTES'!A$3:A$42)-ROW('DONNÉES BRUTES'!A$3))/1000,0),0))),"—")</f>
        <v/>
      </c>
      <c r="R21" s="397"/>
    </row>
    <row r="22" spans="2:28" ht="15.9" customHeight="1" x14ac:dyDescent="0.3">
      <c r="B22" s="397">
        <v>12</v>
      </c>
      <c r="C22" s="397" t="str">
        <f t="array" ref="C22">IFERROR(IF(12&gt;COUNTIF('DONNÉES BRUTES'!C$3:C$42,"Matériaux"),"",INDEX('DONNÉES BRUTES'!A$3:A$42,MATCH(LARGE(IF('DONNÉES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D22" s="397" t="str">
        <f t="array" ref="D22">IFERROR(IF(12&gt;COUNTIF('DONNÉES BRUTES'!C$3:C$42,"Matériaux"),"",INDEX('DONNÉES BRUTES'!B$3:B$42,MATCH(LARGE(IF('DONNÉES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E22" s="397" t="str">
        <f t="array" ref="E22">IFERROR(IF(12&gt;COUNTIF('DONNÉES BRUTES'!C$3:C$42,"Matériaux"),"",INT(LARGE(IF('DONNÉES BRUTES'!C$3:C$42="Matériaux",'DONNÉES BRUTES'!AB$3:AB$42+(ROW('DONNÉES BRUTES'!A$3:A$42)-ROW('DONNÉES BRUTES'!A$3))/1000,0),12))&amp;"/100"),"—")</f>
        <v/>
      </c>
      <c r="F22" s="397" t="str">
        <f t="array" ref="F22">IFERROR(IF(12&gt;COUNTIF('DONNÉES BRUTES'!C$3:C$42,"Matériaux"),"",INDEX('DONNÉES BRUTES'!Y$3:Y$42,MATCH(LARGE(IF('DONNÉES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G22" s="397" t="str">
        <f t="array" ref="G22">IFERROR(IF(12&gt;COUNTIF('DONNÉES BRUTES'!C$3:C$42,"Matériaux"),"",INDEX('DONNÉES BRUTES'!Z$3:Z$42,MATCH(LARGE(IF('DONNÉES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H22" s="397" t="str">
        <f t="array" ref="H22">IFERROR(IF(12&gt;COUNTIF('DONNÉES BRUTES'!C$3:C$42,"Matériaux"),"",INDEX('DONNÉES BRUTES'!AA$3:AA$42,MATCH(LARGE(IF('DONNÉES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I22" s="397" t="str">
        <f t="array" ref="I22">IFERROR(IF(12&gt;COUNTIF('DONNÉES BRUTES'!C$3:C$42,"Matériaux"),"",INDEX('DONNÉES BRUTES'!M$3:M$42,MATCH(LARGE(IF('DONNÉES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J22" s="397" t="str">
        <f t="array" ref="J22">IFERROR(IF(12&gt;COUNTIF('DONNÉES BRUTES'!C$3:C$42,"Matériaux"),"",INDEX('DONNÉES BRUTES'!N$3:N$42,MATCH(LARGE(IF('DONNÉES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K22" s="397" t="str">
        <f t="array" ref="K22">IFERROR(IF(12&gt;COUNTIF('DONNÉES BRUTES'!C$3:C$42,"Matériaux"),"",INDEX('DONNÉES BRUTES'!O$3:O$42,MATCH(LARGE(IF('DONNÉES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L22" s="397" t="str">
        <f t="array" ref="L22">IFERROR(IF(12&gt;COUNTIF('DONNÉES BRUTES'!C$3:C$42,"Matériaux"),"",INDEX('DONNÉES BRUTES'!P$3:P$42,MATCH(LARGE(IF('DONNÉES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M22" s="397" t="str">
        <f t="array" ref="M22">IFERROR(IF(12&gt;COUNTIF('DONNÉES BRUTES'!C$3:C$42,"Matériaux"),"",INDEX('DONNÉES BRUTES'!Q$3:Q$42,MATCH(LARGE(IF('DONNÉES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N22" s="397" t="str">
        <f t="array" ref="N22">IFERROR(IF(12&gt;COUNTIF('DONNÉES BRUTES'!C$3:C$42,"Matériaux"),"",INDEX('DONNÉES BRUTES'!S$3:S$42,MATCH(LARGE(IF('DONNÉES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O22" s="397" t="str">
        <f t="array" ref="O22">IFERROR(IF(12&gt;COUNTIF('DONNÉES BRUTES'!C$3:C$42,"Matériaux"),"",INDEX('DONNÉES BRUTES'!T$3:T$42,MATCH(LARGE(IF('DONNÉES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P22" s="397" t="str">
        <f t="array" ref="P22">IFERROR(IF(12&gt;COUNTIF('DONNÉES BRUTES'!C$3:C$42,"Matériaux"),"",INDEX('DONNÉES BRUTES'!U$3:U$42,MATCH(LARGE(IF('DONNÉES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Q22" s="407" t="str">
        <f t="array" ref="Q22">IFERROR(IF(12&gt;COUNTIF('DONNÉES BRUTES'!C$3:C$42,"Matériaux"),"",INDEX('DONNÉES BRUTES'!AD$3:AD$42,MATCH(LARGE(IF('DONNÉES BRUTES'!C$3:C$42="Matériaux",'DONNÉES BRUTES'!AB$3:AB$42+(ROW('DONNÉES BRUTES'!A$3:A$42)-ROW('DONNÉES BRUTES'!A$3))/1000,0),12),IF('DONNÉES BRUTES'!C$3:C$42="Matériaux",'DONNÉES BRUTES'!AB$3:AB$42+(ROW('DONNÉES BRUTES'!A$3:A$42)-ROW('DONNÉES BRUTES'!A$3))/1000,0),0))),"—")</f>
        <v/>
      </c>
      <c r="R22" s="397"/>
    </row>
    <row r="23" spans="2:28" ht="15.9" customHeight="1" x14ac:dyDescent="0.3">
      <c r="B23" s="397">
        <v>13</v>
      </c>
      <c r="C23" s="397" t="str">
        <f t="array" ref="C23">IFERROR(IF(13&gt;COUNTIF('DONNÉES BRUTES'!C$3:C$42,"Matériaux"),"",INDEX('DONNÉES BRUTES'!A$3:A$42,MATCH(LARGE(IF('DONNÉES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D23" s="397" t="str">
        <f t="array" ref="D23">IFERROR(IF(13&gt;COUNTIF('DONNÉES BRUTES'!C$3:C$42,"Matériaux"),"",INDEX('DONNÉES BRUTES'!B$3:B$42,MATCH(LARGE(IF('DONNÉES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E23" s="397" t="str">
        <f t="array" ref="E23">IFERROR(IF(13&gt;COUNTIF('DONNÉES BRUTES'!C$3:C$42,"Matériaux"),"",INT(LARGE(IF('DONNÉES BRUTES'!C$3:C$42="Matériaux",'DONNÉES BRUTES'!AB$3:AB$42+(ROW('DONNÉES BRUTES'!A$3:A$42)-ROW('DONNÉES BRUTES'!A$3))/1000,0),13))&amp;"/100"),"—")</f>
        <v/>
      </c>
      <c r="F23" s="397" t="str">
        <f t="array" ref="F23">IFERROR(IF(13&gt;COUNTIF('DONNÉES BRUTES'!C$3:C$42,"Matériaux"),"",INDEX('DONNÉES BRUTES'!Y$3:Y$42,MATCH(LARGE(IF('DONNÉES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G23" s="397" t="str">
        <f t="array" ref="G23">IFERROR(IF(13&gt;COUNTIF('DONNÉES BRUTES'!C$3:C$42,"Matériaux"),"",INDEX('DONNÉES BRUTES'!Z$3:Z$42,MATCH(LARGE(IF('DONNÉES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H23" s="397" t="str">
        <f t="array" ref="H23">IFERROR(IF(13&gt;COUNTIF('DONNÉES BRUTES'!C$3:C$42,"Matériaux"),"",INDEX('DONNÉES BRUTES'!AA$3:AA$42,MATCH(LARGE(IF('DONNÉES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I23" s="397" t="str">
        <f t="array" ref="I23">IFERROR(IF(13&gt;COUNTIF('DONNÉES BRUTES'!C$3:C$42,"Matériaux"),"",INDEX('DONNÉES BRUTES'!M$3:M$42,MATCH(LARGE(IF('DONNÉES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J23" s="397" t="str">
        <f t="array" ref="J23">IFERROR(IF(13&gt;COUNTIF('DONNÉES BRUTES'!C$3:C$42,"Matériaux"),"",INDEX('DONNÉES BRUTES'!N$3:N$42,MATCH(LARGE(IF('DONNÉES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K23" s="397" t="str">
        <f t="array" ref="K23">IFERROR(IF(13&gt;COUNTIF('DONNÉES BRUTES'!C$3:C$42,"Matériaux"),"",INDEX('DONNÉES BRUTES'!O$3:O$42,MATCH(LARGE(IF('DONNÉES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L23" s="397" t="str">
        <f t="array" ref="L23">IFERROR(IF(13&gt;COUNTIF('DONNÉES BRUTES'!C$3:C$42,"Matériaux"),"",INDEX('DONNÉES BRUTES'!P$3:P$42,MATCH(LARGE(IF('DONNÉES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M23" s="397" t="str">
        <f t="array" ref="M23">IFERROR(IF(13&gt;COUNTIF('DONNÉES BRUTES'!C$3:C$42,"Matériaux"),"",INDEX('DONNÉES BRUTES'!Q$3:Q$42,MATCH(LARGE(IF('DONNÉES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N23" s="397" t="str">
        <f t="array" ref="N23">IFERROR(IF(13&gt;COUNTIF('DONNÉES BRUTES'!C$3:C$42,"Matériaux"),"",INDEX('DONNÉES BRUTES'!S$3:S$42,MATCH(LARGE(IF('DONNÉES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O23" s="397" t="str">
        <f t="array" ref="O23">IFERROR(IF(13&gt;COUNTIF('DONNÉES BRUTES'!C$3:C$42,"Matériaux"),"",INDEX('DONNÉES BRUTES'!T$3:T$42,MATCH(LARGE(IF('DONNÉES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P23" s="397" t="str">
        <f t="array" ref="P23">IFERROR(IF(13&gt;COUNTIF('DONNÉES BRUTES'!C$3:C$42,"Matériaux"),"",INDEX('DONNÉES BRUTES'!U$3:U$42,MATCH(LARGE(IF('DONNÉES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Q23" s="407" t="str">
        <f t="array" ref="Q23">IFERROR(IF(13&gt;COUNTIF('DONNÉES BRUTES'!C$3:C$42,"Matériaux"),"",INDEX('DONNÉES BRUTES'!AD$3:AD$42,MATCH(LARGE(IF('DONNÉES BRUTES'!C$3:C$42="Matériaux",'DONNÉES BRUTES'!AB$3:AB$42+(ROW('DONNÉES BRUTES'!A$3:A$42)-ROW('DONNÉES BRUTES'!A$3))/1000,0),13),IF('DONNÉES BRUTES'!C$3:C$42="Matériaux",'DONNÉES BRUTES'!AB$3:AB$42+(ROW('DONNÉES BRUTES'!A$3:A$42)-ROW('DONNÉES BRUTES'!A$3))/1000,0),0))),"—")</f>
        <v/>
      </c>
      <c r="R23" s="397"/>
    </row>
    <row r="24" spans="2:28" ht="15.9" customHeight="1" x14ac:dyDescent="0.3">
      <c r="B24" s="397">
        <v>14</v>
      </c>
      <c r="C24" s="397" t="str">
        <f t="array" ref="C24">IFERROR(IF(14&gt;COUNTIF('DONNÉES BRUTES'!C$3:C$42,"Matériaux"),"",INDEX('DONNÉES BRUTES'!A$3:A$42,MATCH(LARGE(IF('DONNÉES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D24" s="397" t="str">
        <f t="array" ref="D24">IFERROR(IF(14&gt;COUNTIF('DONNÉES BRUTES'!C$3:C$42,"Matériaux"),"",INDEX('DONNÉES BRUTES'!B$3:B$42,MATCH(LARGE(IF('DONNÉES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E24" s="397" t="str">
        <f t="array" ref="E24">IFERROR(IF(14&gt;COUNTIF('DONNÉES BRUTES'!C$3:C$42,"Matériaux"),"",INT(LARGE(IF('DONNÉES BRUTES'!C$3:C$42="Matériaux",'DONNÉES BRUTES'!AB$3:AB$42+(ROW('DONNÉES BRUTES'!A$3:A$42)-ROW('DONNÉES BRUTES'!A$3))/1000,0),14))&amp;"/100"),"—")</f>
        <v/>
      </c>
      <c r="F24" s="397" t="str">
        <f t="array" ref="F24">IFERROR(IF(14&gt;COUNTIF('DONNÉES BRUTES'!C$3:C$42,"Matériaux"),"",INDEX('DONNÉES BRUTES'!Y$3:Y$42,MATCH(LARGE(IF('DONNÉES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G24" s="397" t="str">
        <f t="array" ref="G24">IFERROR(IF(14&gt;COUNTIF('DONNÉES BRUTES'!C$3:C$42,"Matériaux"),"",INDEX('DONNÉES BRUTES'!Z$3:Z$42,MATCH(LARGE(IF('DONNÉES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H24" s="397" t="str">
        <f t="array" ref="H24">IFERROR(IF(14&gt;COUNTIF('DONNÉES BRUTES'!C$3:C$42,"Matériaux"),"",INDEX('DONNÉES BRUTES'!AA$3:AA$42,MATCH(LARGE(IF('DONNÉES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I24" s="397" t="str">
        <f t="array" ref="I24">IFERROR(IF(14&gt;COUNTIF('DONNÉES BRUTES'!C$3:C$42,"Matériaux"),"",INDEX('DONNÉES BRUTES'!M$3:M$42,MATCH(LARGE(IF('DONNÉES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J24" s="397" t="str">
        <f t="array" ref="J24">IFERROR(IF(14&gt;COUNTIF('DONNÉES BRUTES'!C$3:C$42,"Matériaux"),"",INDEX('DONNÉES BRUTES'!N$3:N$42,MATCH(LARGE(IF('DONNÉES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K24" s="397" t="str">
        <f t="array" ref="K24">IFERROR(IF(14&gt;COUNTIF('DONNÉES BRUTES'!C$3:C$42,"Matériaux"),"",INDEX('DONNÉES BRUTES'!O$3:O$42,MATCH(LARGE(IF('DONNÉES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L24" s="397" t="str">
        <f t="array" ref="L24">IFERROR(IF(14&gt;COUNTIF('DONNÉES BRUTES'!C$3:C$42,"Matériaux"),"",INDEX('DONNÉES BRUTES'!P$3:P$42,MATCH(LARGE(IF('DONNÉES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M24" s="397" t="str">
        <f t="array" ref="M24">IFERROR(IF(14&gt;COUNTIF('DONNÉES BRUTES'!C$3:C$42,"Matériaux"),"",INDEX('DONNÉES BRUTES'!Q$3:Q$42,MATCH(LARGE(IF('DONNÉES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N24" s="397" t="str">
        <f t="array" ref="N24">IFERROR(IF(14&gt;COUNTIF('DONNÉES BRUTES'!C$3:C$42,"Matériaux"),"",INDEX('DONNÉES BRUTES'!S$3:S$42,MATCH(LARGE(IF('DONNÉES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O24" s="397" t="str">
        <f t="array" ref="O24">IFERROR(IF(14&gt;COUNTIF('DONNÉES BRUTES'!C$3:C$42,"Matériaux"),"",INDEX('DONNÉES BRUTES'!T$3:T$42,MATCH(LARGE(IF('DONNÉES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P24" s="397" t="str">
        <f t="array" ref="P24">IFERROR(IF(14&gt;COUNTIF('DONNÉES BRUTES'!C$3:C$42,"Matériaux"),"",INDEX('DONNÉES BRUTES'!U$3:U$42,MATCH(LARGE(IF('DONNÉES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Q24" s="407" t="str">
        <f t="array" ref="Q24">IFERROR(IF(14&gt;COUNTIF('DONNÉES BRUTES'!C$3:C$42,"Matériaux"),"",INDEX('DONNÉES BRUTES'!AD$3:AD$42,MATCH(LARGE(IF('DONNÉES BRUTES'!C$3:C$42="Matériaux",'DONNÉES BRUTES'!AB$3:AB$42+(ROW('DONNÉES BRUTES'!A$3:A$42)-ROW('DONNÉES BRUTES'!A$3))/1000,0),14),IF('DONNÉES BRUTES'!C$3:C$42="Matériaux",'DONNÉES BRUTES'!AB$3:AB$42+(ROW('DONNÉES BRUTES'!A$3:A$42)-ROW('DONNÉES BRUTES'!A$3))/1000,0),0))),"—")</f>
        <v/>
      </c>
      <c r="R24" s="397"/>
    </row>
    <row r="25" spans="2:28" ht="15.9" customHeight="1" x14ac:dyDescent="0.3">
      <c r="B25" s="397">
        <v>15</v>
      </c>
      <c r="C25" s="397" t="str">
        <f t="array" ref="C25">IFERROR(IF(15&gt;COUNTIF('DONNÉES BRUTES'!C$3:C$42,"Matériaux"),"",INDEX('DONNÉES BRUTES'!A$3:A$42,MATCH(LARGE(IF('DONNÉES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D25" s="397" t="str">
        <f t="array" ref="D25">IFERROR(IF(15&gt;COUNTIF('DONNÉES BRUTES'!C$3:C$42,"Matériaux"),"",INDEX('DONNÉES BRUTES'!B$3:B$42,MATCH(LARGE(IF('DONNÉES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E25" s="397" t="str">
        <f t="array" ref="E25">IFERROR(IF(15&gt;COUNTIF('DONNÉES BRUTES'!C$3:C$42,"Matériaux"),"",INT(LARGE(IF('DONNÉES BRUTES'!C$3:C$42="Matériaux",'DONNÉES BRUTES'!AB$3:AB$42+(ROW('DONNÉES BRUTES'!A$3:A$42)-ROW('DONNÉES BRUTES'!A$3))/1000,0),15))&amp;"/100"),"—")</f>
        <v/>
      </c>
      <c r="F25" s="397" t="str">
        <f t="array" ref="F25">IFERROR(IF(15&gt;COUNTIF('DONNÉES BRUTES'!C$3:C$42,"Matériaux"),"",INDEX('DONNÉES BRUTES'!Y$3:Y$42,MATCH(LARGE(IF('DONNÉES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G25" s="397" t="str">
        <f t="array" ref="G25">IFERROR(IF(15&gt;COUNTIF('DONNÉES BRUTES'!C$3:C$42,"Matériaux"),"",INDEX('DONNÉES BRUTES'!Z$3:Z$42,MATCH(LARGE(IF('DONNÉES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H25" s="397" t="str">
        <f t="array" ref="H25">IFERROR(IF(15&gt;COUNTIF('DONNÉES BRUTES'!C$3:C$42,"Matériaux"),"",INDEX('DONNÉES BRUTES'!AA$3:AA$42,MATCH(LARGE(IF('DONNÉES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I25" s="397" t="str">
        <f t="array" ref="I25">IFERROR(IF(15&gt;COUNTIF('DONNÉES BRUTES'!C$3:C$42,"Matériaux"),"",INDEX('DONNÉES BRUTES'!M$3:M$42,MATCH(LARGE(IF('DONNÉES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J25" s="397" t="str">
        <f t="array" ref="J25">IFERROR(IF(15&gt;COUNTIF('DONNÉES BRUTES'!C$3:C$42,"Matériaux"),"",INDEX('DONNÉES BRUTES'!N$3:N$42,MATCH(LARGE(IF('DONNÉES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K25" s="397" t="str">
        <f t="array" ref="K25">IFERROR(IF(15&gt;COUNTIF('DONNÉES BRUTES'!C$3:C$42,"Matériaux"),"",INDEX('DONNÉES BRUTES'!O$3:O$42,MATCH(LARGE(IF('DONNÉES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L25" s="397" t="str">
        <f t="array" ref="L25">IFERROR(IF(15&gt;COUNTIF('DONNÉES BRUTES'!C$3:C$42,"Matériaux"),"",INDEX('DONNÉES BRUTES'!P$3:P$42,MATCH(LARGE(IF('DONNÉES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M25" s="397" t="str">
        <f t="array" ref="M25">IFERROR(IF(15&gt;COUNTIF('DONNÉES BRUTES'!C$3:C$42,"Matériaux"),"",INDEX('DONNÉES BRUTES'!Q$3:Q$42,MATCH(LARGE(IF('DONNÉES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N25" s="397" t="str">
        <f t="array" ref="N25">IFERROR(IF(15&gt;COUNTIF('DONNÉES BRUTES'!C$3:C$42,"Matériaux"),"",INDEX('DONNÉES BRUTES'!S$3:S$42,MATCH(LARGE(IF('DONNÉES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O25" s="397" t="str">
        <f t="array" ref="O25">IFERROR(IF(15&gt;COUNTIF('DONNÉES BRUTES'!C$3:C$42,"Matériaux"),"",INDEX('DONNÉES BRUTES'!T$3:T$42,MATCH(LARGE(IF('DONNÉES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P25" s="397" t="str">
        <f t="array" ref="P25">IFERROR(IF(15&gt;COUNTIF('DONNÉES BRUTES'!C$3:C$42,"Matériaux"),"",INDEX('DONNÉES BRUTES'!U$3:U$42,MATCH(LARGE(IF('DONNÉES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Q25" s="407" t="str">
        <f t="array" ref="Q25">IFERROR(IF(15&gt;COUNTIF('DONNÉES BRUTES'!C$3:C$42,"Matériaux"),"",INDEX('DONNÉES BRUTES'!AD$3:AD$42,MATCH(LARGE(IF('DONNÉES BRUTES'!C$3:C$42="Matériaux",'DONNÉES BRUTES'!AB$3:AB$42+(ROW('DONNÉES BRUTES'!A$3:A$42)-ROW('DONNÉES BRUTES'!A$3))/1000,0),15),IF('DONNÉES BRUTES'!C$3:C$42="Matériaux",'DONNÉES BRUTES'!AB$3:AB$42+(ROW('DONNÉES BRUTES'!A$3:A$42)-ROW('DONNÉES BRUTES'!A$3))/1000,0),0))),"—")</f>
        <v/>
      </c>
      <c r="R25" s="397"/>
    </row>
    <row r="26" spans="2:28" ht="15.9" customHeight="1" x14ac:dyDescent="0.3">
      <c r="Q26" s="408"/>
    </row>
    <row r="27" spans="2:28" ht="15.9" customHeight="1" x14ac:dyDescent="0.3">
      <c r="Q27" s="408"/>
    </row>
    <row r="28" spans="2:28" ht="15.9" customHeight="1" x14ac:dyDescent="0.3">
      <c r="Q28" s="408"/>
      <c r="S28" s="149" t="s">
        <v>10</v>
      </c>
      <c r="T28" s="149" t="s">
        <v>11</v>
      </c>
      <c r="U28" t="s">
        <v>15</v>
      </c>
      <c r="V28" t="s">
        <v>16</v>
      </c>
      <c r="W28" s="149" t="s">
        <v>17</v>
      </c>
      <c r="X28" s="149"/>
      <c r="Y28" s="149" t="s">
        <v>10</v>
      </c>
      <c r="Z28" s="149" t="s">
        <v>15</v>
      </c>
      <c r="AA28" s="149" t="s">
        <v>16</v>
      </c>
      <c r="AB28" s="149" t="s">
        <v>17</v>
      </c>
    </row>
    <row r="29" spans="2:28" ht="15.9" customHeight="1" x14ac:dyDescent="0.3">
      <c r="Q29" s="408"/>
      <c r="S29" s="149" t="str">
        <f>IF(D11="","",LEFT(D11,14))</f>
        <v>Endeavour Mini</v>
      </c>
      <c r="T29" s="149">
        <f>IF(E11="","",IFERROR(VALUE(LEFT(E11,FIND("/",E11)-1)),0))</f>
        <v>80</v>
      </c>
      <c r="U29">
        <f t="shared" ref="U29:W30" si="0">IF(ISNUMBER(F11),F11,0)</f>
        <v>91</v>
      </c>
      <c r="V29">
        <f t="shared" si="0"/>
        <v>74</v>
      </c>
      <c r="W29" s="149">
        <f t="shared" si="0"/>
        <v>98</v>
      </c>
      <c r="X29" s="149">
        <f t="shared" ref="X29:Z30" si="1">IF(ISNUMBER(F11),F11,"")</f>
        <v>91</v>
      </c>
      <c r="Y29" s="149">
        <f t="shared" si="1"/>
        <v>74</v>
      </c>
      <c r="Z29" s="149">
        <f t="shared" si="1"/>
        <v>98</v>
      </c>
      <c r="AA29" s="149">
        <v>77</v>
      </c>
      <c r="AB29" s="149">
        <v>90</v>
      </c>
    </row>
    <row r="30" spans="2:28" ht="15.9" customHeight="1" x14ac:dyDescent="0.3">
      <c r="Q30" s="408"/>
      <c r="S30" s="149" t="str">
        <f>IF(D12="","",LEFT(D12,14))</f>
        <v>Rio Tinto Grou</v>
      </c>
      <c r="T30" s="149">
        <f>IF(E12="","",IFERROR(VALUE(LEFT(E12,FIND("/",E12)-1)),0))</f>
        <v>71</v>
      </c>
      <c r="U30">
        <f t="shared" si="0"/>
        <v>64</v>
      </c>
      <c r="V30">
        <f t="shared" si="0"/>
        <v>70</v>
      </c>
      <c r="W30" s="149">
        <f t="shared" si="0"/>
        <v>95</v>
      </c>
      <c r="X30" s="149">
        <f t="shared" si="1"/>
        <v>64</v>
      </c>
      <c r="Y30" s="149">
        <f t="shared" si="1"/>
        <v>70</v>
      </c>
      <c r="Z30" s="149">
        <f t="shared" si="1"/>
        <v>95</v>
      </c>
      <c r="AA30" s="149">
        <v>13</v>
      </c>
      <c r="AB30" s="149">
        <v>8</v>
      </c>
    </row>
    <row r="31" spans="2:28" x14ac:dyDescent="0.3">
      <c r="Q31" s="408"/>
    </row>
    <row r="32" spans="2:28" x14ac:dyDescent="0.3">
      <c r="Q32" s="408"/>
    </row>
    <row r="33" spans="17:17" x14ac:dyDescent="0.3">
      <c r="Q33" s="408"/>
    </row>
    <row r="34" spans="17:17" x14ac:dyDescent="0.3">
      <c r="Q34" s="408"/>
    </row>
    <row r="35" spans="17:17" x14ac:dyDescent="0.3">
      <c r="Q35" s="408"/>
    </row>
    <row r="36" spans="17:17" x14ac:dyDescent="0.3">
      <c r="Q36" s="408"/>
    </row>
    <row r="37" spans="17:17" x14ac:dyDescent="0.3">
      <c r="Q37" s="408"/>
    </row>
    <row r="38" spans="17:17" x14ac:dyDescent="0.3">
      <c r="Q38" s="408"/>
    </row>
    <row r="39" spans="17:17" x14ac:dyDescent="0.3">
      <c r="Q39" s="408"/>
    </row>
    <row r="40" spans="17:17" x14ac:dyDescent="0.3">
      <c r="Q40" s="408"/>
    </row>
    <row r="41" spans="17:17" x14ac:dyDescent="0.3">
      <c r="Q41" s="408"/>
    </row>
    <row r="42" spans="17:17" x14ac:dyDescent="0.3">
      <c r="Q42" s="408"/>
    </row>
    <row r="43" spans="17:17" x14ac:dyDescent="0.3">
      <c r="Q43" s="408"/>
    </row>
    <row r="44" spans="17:17" x14ac:dyDescent="0.3">
      <c r="Q44" s="408"/>
    </row>
    <row r="45" spans="17:17" x14ac:dyDescent="0.3">
      <c r="Q45" s="408"/>
    </row>
    <row r="46" spans="17:17" x14ac:dyDescent="0.3">
      <c r="Q46" s="408"/>
    </row>
  </sheetData>
  <mergeCells count="3">
    <mergeCell ref="B2:Q2"/>
    <mergeCell ref="B1:Q1"/>
    <mergeCell ref="B8:Q8"/>
  </mergeCells>
  <conditionalFormatting sqref="B11">
    <cfRule type="expression" dxfId="839" priority="1">
      <formula>C11=""</formula>
    </cfRule>
  </conditionalFormatting>
  <conditionalFormatting sqref="B11">
    <cfRule type="expression" dxfId="838" priority="2">
      <formula>C11&lt;&gt;""</formula>
    </cfRule>
  </conditionalFormatting>
  <conditionalFormatting sqref="C11:P11">
    <cfRule type="expression" dxfId="837" priority="3">
      <formula>C11=""</formula>
    </cfRule>
  </conditionalFormatting>
  <conditionalFormatting sqref="C11:P11">
    <cfRule type="expression" dxfId="836" priority="4">
      <formula>C11&lt;&gt;""</formula>
    </cfRule>
  </conditionalFormatting>
  <conditionalFormatting sqref="Q11">
    <cfRule type="expression" dxfId="835" priority="5">
      <formula>C11=""</formula>
    </cfRule>
  </conditionalFormatting>
  <conditionalFormatting sqref="Q11">
    <cfRule type="expression" dxfId="834" priority="6">
      <formula>C11&lt;&gt;""</formula>
    </cfRule>
  </conditionalFormatting>
  <conditionalFormatting sqref="R11">
    <cfRule type="expression" dxfId="833" priority="7">
      <formula>C11=""</formula>
    </cfRule>
  </conditionalFormatting>
  <conditionalFormatting sqref="R11">
    <cfRule type="expression" dxfId="832" priority="8">
      <formula>C11&lt;&gt;""</formula>
    </cfRule>
  </conditionalFormatting>
  <conditionalFormatting sqref="B12">
    <cfRule type="expression" dxfId="831" priority="9">
      <formula>C12=""</formula>
    </cfRule>
  </conditionalFormatting>
  <conditionalFormatting sqref="B12">
    <cfRule type="expression" dxfId="830" priority="10">
      <formula>C12&lt;&gt;""</formula>
    </cfRule>
  </conditionalFormatting>
  <conditionalFormatting sqref="C12:P12">
    <cfRule type="expression" dxfId="829" priority="11">
      <formula>C12=""</formula>
    </cfRule>
  </conditionalFormatting>
  <conditionalFormatting sqref="C12:P12">
    <cfRule type="expression" dxfId="828" priority="12">
      <formula>C12&lt;&gt;""</formula>
    </cfRule>
  </conditionalFormatting>
  <conditionalFormatting sqref="Q12">
    <cfRule type="expression" dxfId="827" priority="13">
      <formula>C12=""</formula>
    </cfRule>
  </conditionalFormatting>
  <conditionalFormatting sqref="Q12">
    <cfRule type="expression" dxfId="826" priority="14">
      <formula>C12&lt;&gt;""</formula>
    </cfRule>
  </conditionalFormatting>
  <conditionalFormatting sqref="R12">
    <cfRule type="expression" dxfId="825" priority="15">
      <formula>C12=""</formula>
    </cfRule>
  </conditionalFormatting>
  <conditionalFormatting sqref="R12">
    <cfRule type="expression" dxfId="824" priority="16">
      <formula>C12&lt;&gt;""</formula>
    </cfRule>
  </conditionalFormatting>
  <conditionalFormatting sqref="B13">
    <cfRule type="expression" dxfId="823" priority="17">
      <formula>C13=""</formula>
    </cfRule>
  </conditionalFormatting>
  <conditionalFormatting sqref="B13">
    <cfRule type="expression" dxfId="822" priority="18">
      <formula>C13&lt;&gt;""</formula>
    </cfRule>
  </conditionalFormatting>
  <conditionalFormatting sqref="C13:P13">
    <cfRule type="expression" dxfId="821" priority="19">
      <formula>C13=""</formula>
    </cfRule>
  </conditionalFormatting>
  <conditionalFormatting sqref="C13:P13">
    <cfRule type="expression" dxfId="820" priority="20">
      <formula>C13&lt;&gt;""</formula>
    </cfRule>
  </conditionalFormatting>
  <conditionalFormatting sqref="Q13">
    <cfRule type="expression" dxfId="819" priority="21">
      <formula>C13=""</formula>
    </cfRule>
  </conditionalFormatting>
  <conditionalFormatting sqref="Q13">
    <cfRule type="expression" dxfId="818" priority="22">
      <formula>C13&lt;&gt;""</formula>
    </cfRule>
  </conditionalFormatting>
  <conditionalFormatting sqref="R13">
    <cfRule type="expression" dxfId="817" priority="23">
      <formula>C13=""</formula>
    </cfRule>
  </conditionalFormatting>
  <conditionalFormatting sqref="R13">
    <cfRule type="expression" dxfId="816" priority="24">
      <formula>C13&lt;&gt;""</formula>
    </cfRule>
  </conditionalFormatting>
  <conditionalFormatting sqref="B14">
    <cfRule type="expression" dxfId="815" priority="25">
      <formula>C14=""</formula>
    </cfRule>
  </conditionalFormatting>
  <conditionalFormatting sqref="B14">
    <cfRule type="expression" dxfId="814" priority="26">
      <formula>C14&lt;&gt;""</formula>
    </cfRule>
  </conditionalFormatting>
  <conditionalFormatting sqref="C14:P14">
    <cfRule type="expression" dxfId="813" priority="27">
      <formula>C14=""</formula>
    </cfRule>
  </conditionalFormatting>
  <conditionalFormatting sqref="C14:P14">
    <cfRule type="expression" dxfId="812" priority="28">
      <formula>C14&lt;&gt;""</formula>
    </cfRule>
  </conditionalFormatting>
  <conditionalFormatting sqref="Q14">
    <cfRule type="expression" dxfId="811" priority="29">
      <formula>C14=""</formula>
    </cfRule>
  </conditionalFormatting>
  <conditionalFormatting sqref="Q14">
    <cfRule type="expression" dxfId="810" priority="30">
      <formula>C14&lt;&gt;""</formula>
    </cfRule>
  </conditionalFormatting>
  <conditionalFormatting sqref="R14">
    <cfRule type="expression" dxfId="809" priority="31">
      <formula>C14=""</formula>
    </cfRule>
  </conditionalFormatting>
  <conditionalFormatting sqref="R14">
    <cfRule type="expression" dxfId="808" priority="32">
      <formula>C14&lt;&gt;""</formula>
    </cfRule>
  </conditionalFormatting>
  <conditionalFormatting sqref="B15">
    <cfRule type="expression" dxfId="807" priority="33">
      <formula>C15=""</formula>
    </cfRule>
  </conditionalFormatting>
  <conditionalFormatting sqref="B15">
    <cfRule type="expression" dxfId="806" priority="34">
      <formula>C15&lt;&gt;""</formula>
    </cfRule>
  </conditionalFormatting>
  <conditionalFormatting sqref="C15:P15">
    <cfRule type="expression" dxfId="805" priority="35">
      <formula>C15=""</formula>
    </cfRule>
  </conditionalFormatting>
  <conditionalFormatting sqref="C15:P15">
    <cfRule type="expression" dxfId="804" priority="36">
      <formula>C15&lt;&gt;""</formula>
    </cfRule>
  </conditionalFormatting>
  <conditionalFormatting sqref="Q15">
    <cfRule type="expression" dxfId="803" priority="37">
      <formula>C15=""</formula>
    </cfRule>
  </conditionalFormatting>
  <conditionalFormatting sqref="Q15">
    <cfRule type="expression" dxfId="802" priority="38">
      <formula>C15&lt;&gt;""</formula>
    </cfRule>
  </conditionalFormatting>
  <conditionalFormatting sqref="R15">
    <cfRule type="expression" dxfId="801" priority="39">
      <formula>C15=""</formula>
    </cfRule>
  </conditionalFormatting>
  <conditionalFormatting sqref="R15">
    <cfRule type="expression" dxfId="800" priority="40">
      <formula>C15&lt;&gt;""</formula>
    </cfRule>
  </conditionalFormatting>
  <conditionalFormatting sqref="B16">
    <cfRule type="expression" dxfId="799" priority="41">
      <formula>C16=""</formula>
    </cfRule>
  </conditionalFormatting>
  <conditionalFormatting sqref="B16">
    <cfRule type="expression" dxfId="798" priority="42">
      <formula>C16&lt;&gt;""</formula>
    </cfRule>
  </conditionalFormatting>
  <conditionalFormatting sqref="C16:P16">
    <cfRule type="expression" dxfId="797" priority="43">
      <formula>C16=""</formula>
    </cfRule>
  </conditionalFormatting>
  <conditionalFormatting sqref="C16:P16">
    <cfRule type="expression" dxfId="796" priority="44">
      <formula>C16&lt;&gt;""</formula>
    </cfRule>
  </conditionalFormatting>
  <conditionalFormatting sqref="Q16">
    <cfRule type="expression" dxfId="795" priority="45">
      <formula>C16=""</formula>
    </cfRule>
  </conditionalFormatting>
  <conditionalFormatting sqref="Q16">
    <cfRule type="expression" dxfId="794" priority="46">
      <formula>C16&lt;&gt;""</formula>
    </cfRule>
  </conditionalFormatting>
  <conditionalFormatting sqref="R16">
    <cfRule type="expression" dxfId="793" priority="47">
      <formula>C16=""</formula>
    </cfRule>
  </conditionalFormatting>
  <conditionalFormatting sqref="R16">
    <cfRule type="expression" dxfId="792" priority="48">
      <formula>C16&lt;&gt;""</formula>
    </cfRule>
  </conditionalFormatting>
  <conditionalFormatting sqref="B17">
    <cfRule type="expression" dxfId="791" priority="49">
      <formula>C17=""</formula>
    </cfRule>
  </conditionalFormatting>
  <conditionalFormatting sqref="B17">
    <cfRule type="expression" dxfId="790" priority="50">
      <formula>C17&lt;&gt;""</formula>
    </cfRule>
  </conditionalFormatting>
  <conditionalFormatting sqref="C17:P17">
    <cfRule type="expression" dxfId="789" priority="51">
      <formula>C17=""</formula>
    </cfRule>
  </conditionalFormatting>
  <conditionalFormatting sqref="C17:P17">
    <cfRule type="expression" dxfId="788" priority="52">
      <formula>C17&lt;&gt;""</formula>
    </cfRule>
  </conditionalFormatting>
  <conditionalFormatting sqref="Q17">
    <cfRule type="expression" dxfId="787" priority="53">
      <formula>C17=""</formula>
    </cfRule>
  </conditionalFormatting>
  <conditionalFormatting sqref="Q17">
    <cfRule type="expression" dxfId="786" priority="54">
      <formula>C17&lt;&gt;""</formula>
    </cfRule>
  </conditionalFormatting>
  <conditionalFormatting sqref="R17">
    <cfRule type="expression" dxfId="785" priority="55">
      <formula>C17=""</formula>
    </cfRule>
  </conditionalFormatting>
  <conditionalFormatting sqref="R17">
    <cfRule type="expression" dxfId="784" priority="56">
      <formula>C17&lt;&gt;""</formula>
    </cfRule>
  </conditionalFormatting>
  <conditionalFormatting sqref="B18">
    <cfRule type="expression" dxfId="783" priority="57">
      <formula>C18=""</formula>
    </cfRule>
  </conditionalFormatting>
  <conditionalFormatting sqref="B18">
    <cfRule type="expression" dxfId="782" priority="58">
      <formula>C18&lt;&gt;""</formula>
    </cfRule>
  </conditionalFormatting>
  <conditionalFormatting sqref="C18:P18">
    <cfRule type="expression" dxfId="781" priority="59">
      <formula>C18=""</formula>
    </cfRule>
  </conditionalFormatting>
  <conditionalFormatting sqref="C18:P18">
    <cfRule type="expression" dxfId="780" priority="60">
      <formula>C18&lt;&gt;""</formula>
    </cfRule>
  </conditionalFormatting>
  <conditionalFormatting sqref="Q18">
    <cfRule type="expression" dxfId="779" priority="61">
      <formula>C18=""</formula>
    </cfRule>
  </conditionalFormatting>
  <conditionalFormatting sqref="Q18">
    <cfRule type="expression" dxfId="778" priority="62">
      <formula>C18&lt;&gt;""</formula>
    </cfRule>
  </conditionalFormatting>
  <conditionalFormatting sqref="R18">
    <cfRule type="expression" dxfId="777" priority="63">
      <formula>C18=""</formula>
    </cfRule>
  </conditionalFormatting>
  <conditionalFormatting sqref="R18">
    <cfRule type="expression" dxfId="776" priority="64">
      <formula>C18&lt;&gt;""</formula>
    </cfRule>
  </conditionalFormatting>
  <conditionalFormatting sqref="B19">
    <cfRule type="expression" dxfId="775" priority="65">
      <formula>C19=""</formula>
    </cfRule>
  </conditionalFormatting>
  <conditionalFormatting sqref="B19">
    <cfRule type="expression" dxfId="774" priority="66">
      <formula>C19&lt;&gt;""</formula>
    </cfRule>
  </conditionalFormatting>
  <conditionalFormatting sqref="C19:P19">
    <cfRule type="expression" dxfId="773" priority="67">
      <formula>C19=""</formula>
    </cfRule>
  </conditionalFormatting>
  <conditionalFormatting sqref="C19:P19">
    <cfRule type="expression" dxfId="772" priority="68">
      <formula>C19&lt;&gt;""</formula>
    </cfRule>
  </conditionalFormatting>
  <conditionalFormatting sqref="Q19">
    <cfRule type="expression" dxfId="771" priority="69">
      <formula>C19=""</formula>
    </cfRule>
  </conditionalFormatting>
  <conditionalFormatting sqref="Q19">
    <cfRule type="expression" dxfId="770" priority="70">
      <formula>C19&lt;&gt;""</formula>
    </cfRule>
  </conditionalFormatting>
  <conditionalFormatting sqref="R19">
    <cfRule type="expression" dxfId="769" priority="71">
      <formula>C19=""</formula>
    </cfRule>
  </conditionalFormatting>
  <conditionalFormatting sqref="R19">
    <cfRule type="expression" dxfId="768" priority="72">
      <formula>C19&lt;&gt;""</formula>
    </cfRule>
  </conditionalFormatting>
  <conditionalFormatting sqref="B20">
    <cfRule type="expression" dxfId="767" priority="73">
      <formula>C20=""</formula>
    </cfRule>
  </conditionalFormatting>
  <conditionalFormatting sqref="B20">
    <cfRule type="expression" dxfId="766" priority="74">
      <formula>C20&lt;&gt;""</formula>
    </cfRule>
  </conditionalFormatting>
  <conditionalFormatting sqref="C20:P20">
    <cfRule type="expression" dxfId="765" priority="75">
      <formula>C20=""</formula>
    </cfRule>
  </conditionalFormatting>
  <conditionalFormatting sqref="C20:P20">
    <cfRule type="expression" dxfId="764" priority="76">
      <formula>C20&lt;&gt;""</formula>
    </cfRule>
  </conditionalFormatting>
  <conditionalFormatting sqref="Q20">
    <cfRule type="expression" dxfId="763" priority="77">
      <formula>C20=""</formula>
    </cfRule>
  </conditionalFormatting>
  <conditionalFormatting sqref="Q20">
    <cfRule type="expression" dxfId="762" priority="78">
      <formula>C20&lt;&gt;""</formula>
    </cfRule>
  </conditionalFormatting>
  <conditionalFormatting sqref="R20">
    <cfRule type="expression" dxfId="761" priority="79">
      <formula>C20=""</formula>
    </cfRule>
  </conditionalFormatting>
  <conditionalFormatting sqref="R20">
    <cfRule type="expression" dxfId="760" priority="80">
      <formula>C20&lt;&gt;""</formula>
    </cfRule>
  </conditionalFormatting>
  <conditionalFormatting sqref="B21">
    <cfRule type="expression" dxfId="759" priority="81">
      <formula>C21=""</formula>
    </cfRule>
  </conditionalFormatting>
  <conditionalFormatting sqref="B21">
    <cfRule type="expression" dxfId="758" priority="82">
      <formula>C21&lt;&gt;""</formula>
    </cfRule>
  </conditionalFormatting>
  <conditionalFormatting sqref="C21:P21">
    <cfRule type="expression" dxfId="757" priority="83">
      <formula>C21=""</formula>
    </cfRule>
  </conditionalFormatting>
  <conditionalFormatting sqref="C21:P21">
    <cfRule type="expression" dxfId="756" priority="84">
      <formula>C21&lt;&gt;""</formula>
    </cfRule>
  </conditionalFormatting>
  <conditionalFormatting sqref="Q21">
    <cfRule type="expression" dxfId="755" priority="85">
      <formula>C21=""</formula>
    </cfRule>
  </conditionalFormatting>
  <conditionalFormatting sqref="Q21">
    <cfRule type="expression" dxfId="754" priority="86">
      <formula>C21&lt;&gt;""</formula>
    </cfRule>
  </conditionalFormatting>
  <conditionalFormatting sqref="R21">
    <cfRule type="expression" dxfId="753" priority="87">
      <formula>C21=""</formula>
    </cfRule>
  </conditionalFormatting>
  <conditionalFormatting sqref="R21">
    <cfRule type="expression" dxfId="752" priority="88">
      <formula>C21&lt;&gt;""</formula>
    </cfRule>
  </conditionalFormatting>
  <conditionalFormatting sqref="B22">
    <cfRule type="expression" dxfId="751" priority="89">
      <formula>C22=""</formula>
    </cfRule>
  </conditionalFormatting>
  <conditionalFormatting sqref="B22">
    <cfRule type="expression" dxfId="750" priority="90">
      <formula>C22&lt;&gt;""</formula>
    </cfRule>
  </conditionalFormatting>
  <conditionalFormatting sqref="C22:P22">
    <cfRule type="expression" dxfId="749" priority="91">
      <formula>C22=""</formula>
    </cfRule>
  </conditionalFormatting>
  <conditionalFormatting sqref="C22:P22">
    <cfRule type="expression" dxfId="748" priority="92">
      <formula>C22&lt;&gt;""</formula>
    </cfRule>
  </conditionalFormatting>
  <conditionalFormatting sqref="Q22">
    <cfRule type="expression" dxfId="747" priority="93">
      <formula>C22=""</formula>
    </cfRule>
  </conditionalFormatting>
  <conditionalFormatting sqref="Q22">
    <cfRule type="expression" dxfId="746" priority="94">
      <formula>C22&lt;&gt;""</formula>
    </cfRule>
  </conditionalFormatting>
  <conditionalFormatting sqref="R22">
    <cfRule type="expression" dxfId="745" priority="95">
      <formula>C22=""</formula>
    </cfRule>
  </conditionalFormatting>
  <conditionalFormatting sqref="R22">
    <cfRule type="expression" dxfId="744" priority="96">
      <formula>C22&lt;&gt;""</formula>
    </cfRule>
  </conditionalFormatting>
  <conditionalFormatting sqref="B23">
    <cfRule type="expression" dxfId="743" priority="97">
      <formula>C23=""</formula>
    </cfRule>
  </conditionalFormatting>
  <conditionalFormatting sqref="B23">
    <cfRule type="expression" dxfId="742" priority="98">
      <formula>C23&lt;&gt;""</formula>
    </cfRule>
  </conditionalFormatting>
  <conditionalFormatting sqref="C23:P23">
    <cfRule type="expression" dxfId="741" priority="99">
      <formula>C23=""</formula>
    </cfRule>
  </conditionalFormatting>
  <conditionalFormatting sqref="C23:P23">
    <cfRule type="expression" dxfId="740" priority="100">
      <formula>C23&lt;&gt;""</formula>
    </cfRule>
  </conditionalFormatting>
  <conditionalFormatting sqref="Q23">
    <cfRule type="expression" dxfId="739" priority="101">
      <formula>C23=""</formula>
    </cfRule>
  </conditionalFormatting>
  <conditionalFormatting sqref="Q23">
    <cfRule type="expression" dxfId="738" priority="102">
      <formula>C23&lt;&gt;""</formula>
    </cfRule>
  </conditionalFormatting>
  <conditionalFormatting sqref="R23">
    <cfRule type="expression" dxfId="737" priority="103">
      <formula>C23=""</formula>
    </cfRule>
  </conditionalFormatting>
  <conditionalFormatting sqref="R23">
    <cfRule type="expression" dxfId="736" priority="104">
      <formula>C23&lt;&gt;""</formula>
    </cfRule>
  </conditionalFormatting>
  <conditionalFormatting sqref="B24">
    <cfRule type="expression" dxfId="735" priority="105">
      <formula>C24=""</formula>
    </cfRule>
  </conditionalFormatting>
  <conditionalFormatting sqref="B24">
    <cfRule type="expression" dxfId="734" priority="106">
      <formula>C24&lt;&gt;""</formula>
    </cfRule>
  </conditionalFormatting>
  <conditionalFormatting sqref="C24:P24">
    <cfRule type="expression" dxfId="733" priority="107">
      <formula>C24=""</formula>
    </cfRule>
  </conditionalFormatting>
  <conditionalFormatting sqref="C24:P24">
    <cfRule type="expression" dxfId="732" priority="108">
      <formula>C24&lt;&gt;""</formula>
    </cfRule>
  </conditionalFormatting>
  <conditionalFormatting sqref="Q24">
    <cfRule type="expression" dxfId="731" priority="109">
      <formula>C24=""</formula>
    </cfRule>
  </conditionalFormatting>
  <conditionalFormatting sqref="Q24">
    <cfRule type="expression" dxfId="730" priority="110">
      <formula>C24&lt;&gt;""</formula>
    </cfRule>
  </conditionalFormatting>
  <conditionalFormatting sqref="R24">
    <cfRule type="expression" dxfId="729" priority="111">
      <formula>C24=""</formula>
    </cfRule>
  </conditionalFormatting>
  <conditionalFormatting sqref="R24">
    <cfRule type="expression" dxfId="728" priority="112">
      <formula>C24&lt;&gt;""</formula>
    </cfRule>
  </conditionalFormatting>
  <conditionalFormatting sqref="B25">
    <cfRule type="expression" dxfId="727" priority="113">
      <formula>C25=""</formula>
    </cfRule>
  </conditionalFormatting>
  <conditionalFormatting sqref="B25">
    <cfRule type="expression" dxfId="726" priority="114">
      <formula>C25&lt;&gt;""</formula>
    </cfRule>
  </conditionalFormatting>
  <conditionalFormatting sqref="C25:P25">
    <cfRule type="expression" dxfId="725" priority="115">
      <formula>C25=""</formula>
    </cfRule>
  </conditionalFormatting>
  <conditionalFormatting sqref="C25:P25">
    <cfRule type="expression" dxfId="724" priority="116">
      <formula>C25&lt;&gt;""</formula>
    </cfRule>
  </conditionalFormatting>
  <conditionalFormatting sqref="Q25">
    <cfRule type="expression" dxfId="723" priority="117">
      <formula>C25=""</formula>
    </cfRule>
  </conditionalFormatting>
  <conditionalFormatting sqref="Q25">
    <cfRule type="expression" dxfId="722" priority="118">
      <formula>C25&lt;&gt;""</formula>
    </cfRule>
  </conditionalFormatting>
  <conditionalFormatting sqref="R25">
    <cfRule type="expression" dxfId="721" priority="119">
      <formula>C25=""</formula>
    </cfRule>
  </conditionalFormatting>
  <conditionalFormatting sqref="R25">
    <cfRule type="expression" dxfId="720" priority="120">
      <formula>C25&lt;&gt;""</formula>
    </cfRule>
  </conditionalFormatting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B30"/>
  <sheetViews>
    <sheetView showGridLines="0" zoomScaleNormal="100" workbookViewId="0">
      <selection activeCell="Q11" sqref="Q11:Q30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9" width="8.5546875" bestFit="1" customWidth="1"/>
    <col min="10" max="10" width="10.109375" bestFit="1" customWidth="1"/>
    <col min="11" max="11" width="8.5546875" bestFit="1" customWidth="1"/>
    <col min="12" max="12" width="10.44140625" bestFit="1" customWidth="1"/>
    <col min="13" max="13" width="8" customWidth="1"/>
    <col min="14" max="14" width="6.44140625" customWidth="1"/>
    <col min="15" max="15" width="9.6640625" bestFit="1" customWidth="1"/>
    <col min="16" max="16" width="7.88671875" bestFit="1" customWidth="1"/>
    <col min="17" max="17" width="14" bestFit="1" customWidth="1"/>
    <col min="20" max="21" width="9" bestFit="1" customWidth="1"/>
  </cols>
  <sheetData>
    <row r="1" spans="2:18" ht="30" customHeight="1" x14ac:dyDescent="0.3">
      <c r="B1" s="383" t="str">
        <f>"FinSight IA  ·  Immobilier  ·  "&amp;TRIM(MID('DONNÉES BRUTES'!A$1,FIND("·",'DONNÉES BRUTES'!A$1)+1,FIND("·",'DONNÉES BRUTES'!A$1,FIND("·",'DONNÉES BRUTES'!A$1)+1)-FIND("·",'DONNÉES BRUTES'!A$1)-1))&amp;"  ·  "&amp;COUNTIF('DONNÉES BRUTES'!C$3:C$42,"Immobilier")&amp;" sociétés  ·  17/04/2026"</f>
        <v>FinSight IA  ·  Immobilier  ·  FTSE 100  ·  1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2" spans="2:18" ht="18" customHeight="1" x14ac:dyDescent="0.3">
      <c r="B2" s="389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</row>
    <row r="3" spans="2:18" ht="8.1" customHeight="1" x14ac:dyDescent="0.3"/>
    <row r="4" spans="2:18" ht="8.1" customHeight="1" x14ac:dyDescent="0.3"/>
    <row r="5" spans="2:18" ht="39.9" customHeight="1" x14ac:dyDescent="0.3">
      <c r="B5" s="169"/>
      <c r="C5" s="157">
        <f>COUNTIF('DONNÉES BRUTES'!C$3:C$42,"Immobilier")</f>
        <v>1</v>
      </c>
      <c r="D5" s="169"/>
      <c r="E5" s="404" t="str">
        <f>IFERROR(ROUND(AVERAGEIF('DONNÉES BRUTES'!C$3:C$42,"Immobilier",'DONNÉES BRUTES'!AB$3:AB$42),0)&amp;"/100","—")</f>
        <v>48/100</v>
      </c>
      <c r="F5" s="164"/>
      <c r="G5" s="164"/>
      <c r="H5" s="160" t="str">
        <f t="array" ref="H5">IFERROR(INDEX('DONNÉES BRUTES'!B$3:B$42,MATCH(LARGE(IF('DONNÉES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BRUTES'!A$3))/1000,0),0)),"—")</f>
        <v>United Utilities Group PLC</v>
      </c>
      <c r="I5" s="164"/>
      <c r="J5" s="164"/>
      <c r="K5" s="169"/>
      <c r="L5" s="191">
        <f>IFERROR(VLOOKUP("Immobilier",'PAR SECTEUR'!B$8:G$17,6,0),"—")</f>
        <v>0.76200000000000001</v>
      </c>
      <c r="M5" s="169"/>
      <c r="N5" s="162">
        <f t="array" ref="N5">IFERROR(ROUND(MEDIAN(IF('DONNÉES BRUTES'!C$3:C$42="Serv. Publ.",IF(ISNUMBER('DONNÉES BRUTES'!Y$3:Y$42),'DONNÉES BRUTES'!Y$3:Y$42))),0),"—")</f>
        <v>64</v>
      </c>
      <c r="O5" s="169"/>
      <c r="P5" s="174" t="str">
        <f>IFERROR(VLOOKUP("Immobilier",'PAR SECTEUR'!B$8:J$17,9,0),"—")</f>
        <v>Neutre</v>
      </c>
      <c r="Q5" s="164"/>
    </row>
    <row r="6" spans="2:18" ht="15.9" customHeight="1" x14ac:dyDescent="0.3">
      <c r="B6" s="159"/>
      <c r="C6" s="159" t="s">
        <v>413</v>
      </c>
      <c r="D6" s="159"/>
      <c r="E6" s="158" t="s">
        <v>414</v>
      </c>
      <c r="F6" s="158"/>
      <c r="G6" s="158"/>
      <c r="H6" s="161" t="s">
        <v>415</v>
      </c>
      <c r="I6" s="158"/>
      <c r="J6" s="158"/>
      <c r="K6" s="159"/>
      <c r="L6" s="159" t="s">
        <v>388</v>
      </c>
      <c r="M6" s="159"/>
      <c r="N6" s="159" t="s">
        <v>416</v>
      </c>
      <c r="O6" s="159"/>
      <c r="P6" s="159" t="s">
        <v>21</v>
      </c>
      <c r="Q6" s="158"/>
    </row>
    <row r="7" spans="2:18" ht="8.1" customHeight="1" x14ac:dyDescent="0.3"/>
    <row r="8" spans="2:18" ht="21.9" customHeight="1" x14ac:dyDescent="0.3">
      <c r="B8" s="384" t="str">
        <f>"ANALYSE DÉTAILLÉE  ·  "&amp;UPPER("Immobilier")&amp;"  ·  "&amp;COUNTIF('DONNÉES BRUTES'!C$3:C$42,"Immobilier")&amp;" sociétés  ·  Triée par Score Global"</f>
        <v>ANALYSE DÉTAILLÉE  ·  IMMOBILIER  ·  1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</row>
    <row r="9" spans="2:18" ht="6" customHeight="1" x14ac:dyDescent="0.3"/>
    <row r="10" spans="2:18" ht="20.100000000000001" customHeight="1" x14ac:dyDescent="0.3">
      <c r="B10" s="269" t="s">
        <v>8</v>
      </c>
      <c r="C10" s="270" t="s">
        <v>9</v>
      </c>
      <c r="D10" s="270" t="s">
        <v>10</v>
      </c>
      <c r="E10" s="271" t="s">
        <v>11</v>
      </c>
      <c r="F10" s="271" t="s">
        <v>417</v>
      </c>
      <c r="G10" s="271" t="s">
        <v>418</v>
      </c>
      <c r="H10" s="271" t="s">
        <v>419</v>
      </c>
      <c r="I10" s="271" t="s">
        <v>420</v>
      </c>
      <c r="J10" s="271" t="s">
        <v>345</v>
      </c>
      <c r="K10" s="271" t="s">
        <v>421</v>
      </c>
      <c r="L10" s="271" t="s">
        <v>346</v>
      </c>
      <c r="M10" s="271" t="s">
        <v>124</v>
      </c>
      <c r="N10" s="271" t="s">
        <v>422</v>
      </c>
      <c r="O10" s="271" t="s">
        <v>423</v>
      </c>
      <c r="P10" s="271" t="s">
        <v>32</v>
      </c>
      <c r="Q10" s="272" t="s">
        <v>21</v>
      </c>
    </row>
    <row r="11" spans="2:18" ht="18" customHeight="1" x14ac:dyDescent="0.3">
      <c r="B11" s="396">
        <v>1</v>
      </c>
      <c r="C11" s="396" t="str">
        <f t="array" ref="C11">IFERROR(IF(1&gt;COUNTIF('DONNÉES BRUTES'!C$3:C$42,"Serv. Publ."),"",INDEX('DONNÉES BRUTES'!A$3:A$42,MATCH(LARGE(IF('DONNÉES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UU.L</v>
      </c>
      <c r="D11" s="396" t="str">
        <f t="array" ref="D11">IFERROR(IF(1&gt;COUNTIF('DONNÉES BRUTES'!C$3:C$42,"Serv. Publ."),"",INDEX('DONNÉES BRUTES'!B$3:B$42,MATCH(LARGE(IF('DONNÉES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United Utilities Group PLC</v>
      </c>
      <c r="E11" s="396" t="str">
        <f t="array" ref="E11">IFERROR(IF(1&gt;COUNTIF('DONNÉES BRUTES'!C$3:C$42,"Serv. Publ."),"",INT(LARGE(IF('DONNÉES BRUTES'!C$3:C$42="Serv. Publ.",'DONNÉES BRUTES'!AB$3:AB$42+(ROW('DONNÉES BRUTES'!A$3:A$42)-ROW('DONNÉES BRUTES'!A$3))/1000,0),1))&amp;"/100"),"—")</f>
        <v>54/100</v>
      </c>
      <c r="F11" s="401">
        <f t="array" ref="F11">IFERROR(IF(1&gt;COUNTIF('DONNÉES BRUTES'!C$3:C$42,"Serv. Publ."),"",INDEX('DONNÉES BRUTES'!Y$3:Y$42,MATCH(LARGE(IF('DONNÉES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78</v>
      </c>
      <c r="G11" s="401">
        <f t="array" ref="G11">IFERROR(IF(1&gt;COUNTIF('DONNÉES BRUTES'!C$3:C$42,"Serv. Publ."),"",INDEX('DONNÉES BRUTES'!Z$3:Z$42,MATCH(LARGE(IF('DONNÉES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42</v>
      </c>
      <c r="H11" s="401">
        <f t="array" ref="H11">IFERROR(IF(1&gt;COUNTIF('DONNÉES BRUTES'!C$3:C$42,"Serv. Publ."),"",INDEX('DONNÉES BRUTES'!AA$3:AA$42,MATCH(LARGE(IF('DONNÉES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51</v>
      </c>
      <c r="I11" s="401" t="str">
        <f t="array" ref="I11">IFERROR(IF(1&gt;COUNTIF('DONNÉES BRUTES'!C$3:C$42,"Serv. Publ."),"",INDEX('DONNÉES BRUTES'!M$3:M$42,MATCH(LARGE(IF('DONNÉES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93.3%</v>
      </c>
      <c r="J11" s="401" t="str">
        <f t="array" ref="J11">IFERROR(IF(1&gt;COUNTIF('DONNÉES BRUTES'!C$3:C$42,"Serv. Publ."),"",INDEX('DONNÉES BRUTES'!N$3:N$42,MATCH(LARGE(IF('DONNÉES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55.6%</v>
      </c>
      <c r="K11" s="401" t="str">
        <f t="array" ref="K11">IFERROR(IF(1&gt;COUNTIF('DONNÉES BRUTES'!C$3:C$42,"Serv. Publ."),"",INDEX('DONNÉES BRUTES'!O$3:O$42,MATCH(LARGE(IF('DONNÉES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12.3%</v>
      </c>
      <c r="L11" s="401" t="str">
        <f t="array" ref="L11">IFERROR(IF(1&gt;COUNTIF('DONNÉES BRUTES'!C$3:C$42,"Serv. Publ."),"",INDEX('DONNÉES BRUTES'!P$3:P$42,MATCH(LARGE(IF('DONNÉES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+10.0%</v>
      </c>
      <c r="M11" s="401" t="str">
        <f t="array" ref="M11">IFERROR(IF(1&gt;COUNTIF('DONNÉES BRUTES'!C$3:C$42,"Serv. Publ."),"",INDEX('DONNÉES BRUTES'!Q$3:Q$42,MATCH(LARGE(IF('DONNÉES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+13.2%</v>
      </c>
      <c r="N11" s="401">
        <f t="array" ref="N11">IFERROR(IF(1&gt;COUNTIF('DONNÉES BRUTES'!C$3:C$42,"Serv. Publ."),"",INDEX('DONNÉES BRUTES'!S$3:S$42,MATCH(LARGE(IF('DONNÉES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1.94</v>
      </c>
      <c r="O11" s="401" t="str">
        <f t="array" ref="O11">IFERROR(IF(1&gt;COUNTIF('DONNÉES BRUTES'!C$3:C$42,"Serv. Publ."),"",INDEX('DONNÉES BRUTES'!T$3:T$42,MATCH(LARGE(IF('DONNÉES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7.6x</v>
      </c>
      <c r="P11" s="401">
        <f t="array" ref="P11">IFERROR(IF(1&gt;COUNTIF('DONNÉES BRUTES'!C$3:C$42,"Serv. Publ."),"",INDEX('DONNÉES BRUTES'!U$3:U$42,MATCH(LARGE(IF('DONNÉES BRUTES'!C$3:C$42="Serv. Publ.",'DONNÉES BRUTES'!AB$3:AB$42+(ROW('DONNÉES BRUTES'!A$3:A$42)-ROW('DONNÉES BRUTES'!A$3))/1000,0),1),IF('DONNÉES BRUTES'!C$3:C$42="Serv. Publ.",'DONNÉES BRUTES'!AB$3:AB$42+(ROW('DONNÉES BRUTES'!A$3:A$42)-ROW('DONNÉES BRUTES'!A$3))/1000,0),0))),"—")</f>
        <v>1.06</v>
      </c>
      <c r="Q11" s="405" t="s">
        <v>161</v>
      </c>
      <c r="R11" s="397"/>
    </row>
    <row r="12" spans="2:18" ht="15.9" customHeight="1" x14ac:dyDescent="0.3">
      <c r="B12" s="398">
        <v>2</v>
      </c>
      <c r="C12" s="398" t="str">
        <f t="array" ref="C12">IFERROR(IF(2&gt;COUNTIF('DONNÉES BRUTES'!C$3:C$42,"Serv. Publ."),"",INDEX('DONNÉES BRUTES'!A$3:A$42,MATCH(LARGE(IF('DONNÉES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SVT.L</v>
      </c>
      <c r="D12" s="398" t="str">
        <f t="array" ref="D12">IFERROR(IF(2&gt;COUNTIF('DONNÉES BRUTES'!C$3:C$42,"Serv. Publ."),"",INDEX('DONNÉES BRUTES'!B$3:B$42,MATCH(LARGE(IF('DONNÉES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Severn Trent PLC</v>
      </c>
      <c r="E12" s="398" t="str">
        <f t="array" ref="E12">IFERROR(IF(2&gt;COUNTIF('DONNÉES BRUTES'!C$3:C$42,"Serv. Publ."),"",INT(LARGE(IF('DONNÉES BRUTES'!C$3:C$42="Serv. Publ.",'DONNÉES BRUTES'!AB$3:AB$42+(ROW('DONNÉES BRUTES'!A$3:A$42)-ROW('DONNÉES BRUTES'!A$3))/1000,0),2))&amp;"/100"),"—")</f>
        <v>46/100</v>
      </c>
      <c r="F12" s="402">
        <f t="array" ref="F12">IFERROR(IF(2&gt;COUNTIF('DONNÉES BRUTES'!C$3:C$42,"Serv. Publ."),"",INDEX('DONNÉES BRUTES'!Y$3:Y$42,MATCH(LARGE(IF('DONNÉES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64</v>
      </c>
      <c r="G12" s="402">
        <f t="array" ref="G12">IFERROR(IF(2&gt;COUNTIF('DONNÉES BRUTES'!C$3:C$42,"Serv. Publ."),"",INDEX('DONNÉES BRUTES'!Z$3:Z$42,MATCH(LARGE(IF('DONNÉES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34</v>
      </c>
      <c r="H12" s="402">
        <f t="array" ref="H12">IFERROR(IF(2&gt;COUNTIF('DONNÉES BRUTES'!C$3:C$42,"Serv. Publ."),"",INDEX('DONNÉES BRUTES'!AA$3:AA$42,MATCH(LARGE(IF('DONNÉES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52</v>
      </c>
      <c r="I12" s="402" t="str">
        <f t="array" ref="I12">IFERROR(IF(2&gt;COUNTIF('DONNÉES BRUTES'!C$3:C$42,"Serv. Publ."),"",INDEX('DONNÉES BRUTES'!M$3:M$42,MATCH(LARGE(IF('DONNÉES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92.0%</v>
      </c>
      <c r="J12" s="402" t="str">
        <f t="array" ref="J12">IFERROR(IF(2&gt;COUNTIF('DONNÉES BRUTES'!C$3:C$42,"Serv. Publ."),"",INDEX('DONNÉES BRUTES'!N$3:N$42,MATCH(LARGE(IF('DONNÉES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47.7%</v>
      </c>
      <c r="K12" s="402" t="str">
        <f t="array" ref="K12">IFERROR(IF(2&gt;COUNTIF('DONNÉES BRUTES'!C$3:C$42,"Serv. Publ."),"",INDEX('DONNÉES BRUTES'!O$3:O$42,MATCH(LARGE(IF('DONNÉES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9.5%</v>
      </c>
      <c r="L12" s="402" t="str">
        <f t="array" ref="L12">IFERROR(IF(2&gt;COUNTIF('DONNÉES BRUTES'!C$3:C$42,"Serv. Publ."),"",INDEX('DONNÉES BRUTES'!P$3:P$42,MATCH(LARGE(IF('DONNÉES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+3.8%</v>
      </c>
      <c r="M12" s="402" t="str">
        <f t="array" ref="M12">IFERROR(IF(2&gt;COUNTIF('DONNÉES BRUTES'!C$3:C$42,"Serv. Publ."),"",INDEX('DONNÉES BRUTES'!Q$3:Q$42,MATCH(LARGE(IF('DONNÉES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+13.0%</v>
      </c>
      <c r="N12" s="402">
        <f t="array" ref="N12">IFERROR(IF(2&gt;COUNTIF('DONNÉES BRUTES'!C$3:C$42,"Serv. Publ."),"",INDEX('DONNÉES BRUTES'!S$3:S$42,MATCH(LARGE(IF('DONNÉES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1.37</v>
      </c>
      <c r="O12" s="402" t="str">
        <f t="array" ref="O12">IFERROR(IF(2&gt;COUNTIF('DONNÉES BRUTES'!C$3:C$42,"Serv. Publ."),"",INDEX('DONNÉES BRUTES'!T$3:T$42,MATCH(LARGE(IF('DONNÉES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7.4x</v>
      </c>
      <c r="P12" s="402">
        <f t="array" ref="P12">IFERROR(IF(2&gt;COUNTIF('DONNÉES BRUTES'!C$3:C$42,"Serv. Publ."),"",INDEX('DONNÉES BRUTES'!U$3:U$42,MATCH(LARGE(IF('DONNÉES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0.63</v>
      </c>
      <c r="Q12" s="406" t="str">
        <f t="array" ref="Q12">IFERROR(IF(2&gt;COUNTIF('DONNÉES BRUTES'!C$3:C$42,"Serv. Publ."),"",INDEX('DONNÉES BRUTES'!AD$3:AD$42,MATCH(LARGE(IF('DONNÉES BRUTES'!C$3:C$42="Serv. Publ.",'DONNÉES BRUTES'!AB$3:AB$42+(ROW('DONNÉES BRUTES'!A$3:A$42)-ROW('DONNÉES BRUTES'!A$3))/1000,0),2),IF('DONNÉES BRUTES'!C$3:C$42="Serv. Publ.",'DONNÉES BRUTES'!AB$3:AB$42+(ROW('DONNÉES BRUTES'!A$3:A$42)-ROW('DONNÉES BRUTES'!A$3))/1000,0),0))),"—")</f>
        <v>Neutre</v>
      </c>
      <c r="R12" s="397"/>
    </row>
    <row r="13" spans="2:18" ht="15.9" customHeight="1" x14ac:dyDescent="0.3">
      <c r="B13" s="396">
        <v>3</v>
      </c>
      <c r="C13" s="396" t="str">
        <f t="array" ref="C13">IFERROR(IF(3&gt;COUNTIF('DONNÉES BRUTES'!C$3:C$42,"Serv. Publ."),"",INDEX('DONNÉES BRUTES'!A$3:A$42,MATCH(LARGE(IF('DONNÉES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NG.L</v>
      </c>
      <c r="D13" s="396" t="str">
        <f t="array" ref="D13">IFERROR(IF(3&gt;COUNTIF('DONNÉES BRUTES'!C$3:C$42,"Serv. Publ."),"",INDEX('DONNÉES BRUTES'!B$3:B$42,MATCH(LARGE(IF('DONNÉES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National Grid plc</v>
      </c>
      <c r="E13" s="396" t="str">
        <f t="array" ref="E13">IFERROR(IF(3&gt;COUNTIF('DONNÉES BRUTES'!C$3:C$42,"Serv. Publ."),"",INT(LARGE(IF('DONNÉES BRUTES'!C$3:C$42="Serv. Publ.",'DONNÉES BRUTES'!AB$3:AB$42+(ROW('DONNÉES BRUTES'!A$3:A$42)-ROW('DONNÉES BRUTES'!A$3))/1000,0),3))&amp;"/100"),"—")</f>
        <v>46/100</v>
      </c>
      <c r="F13" s="401">
        <f t="array" ref="F13">IFERROR(IF(3&gt;COUNTIF('DONNÉES BRUTES'!C$3:C$42,"Serv. Publ."),"",INDEX('DONNÉES BRUTES'!Y$3:Y$42,MATCH(LARGE(IF('DONNÉES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36</v>
      </c>
      <c r="G13" s="401">
        <f t="array" ref="G13">IFERROR(IF(3&gt;COUNTIF('DONNÉES BRUTES'!C$3:C$42,"Serv. Publ."),"",INDEX('DONNÉES BRUTES'!Z$3:Z$42,MATCH(LARGE(IF('DONNÉES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47</v>
      </c>
      <c r="H13" s="401">
        <f t="array" ref="H13">IFERROR(IF(3&gt;COUNTIF('DONNÉES BRUTES'!C$3:C$42,"Serv. Publ."),"",INDEX('DONNÉES BRUTES'!AA$3:AA$42,MATCH(LARGE(IF('DONNÉES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62</v>
      </c>
      <c r="I13" s="401" t="str">
        <f t="array" ref="I13">IFERROR(IF(3&gt;COUNTIF('DONNÉES BRUTES'!C$3:C$42,"Serv. Publ."),"",INDEX('DONNÉES BRUTES'!M$3:M$42,MATCH(LARGE(IF('DONNÉES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77.4%</v>
      </c>
      <c r="J13" s="401" t="str">
        <f t="array" ref="J13">IFERROR(IF(3&gt;COUNTIF('DONNÉES BRUTES'!C$3:C$42,"Serv. Publ."),"",INDEX('DONNÉES BRUTES'!N$3:N$42,MATCH(LARGE(IF('DONNÉES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41.5%</v>
      </c>
      <c r="K13" s="401" t="str">
        <f t="array" ref="K13">IFERROR(IF(3&gt;COUNTIF('DONNÉES BRUTES'!C$3:C$42,"Serv. Publ."),"",INDEX('DONNÉES BRUTES'!O$3:O$42,MATCH(LARGE(IF('DONNÉES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15.8%</v>
      </c>
      <c r="L13" s="401" t="str">
        <f t="array" ref="L13">IFERROR(IF(3&gt;COUNTIF('DONNÉES BRUTES'!C$3:C$42,"Serv. Publ."),"",INDEX('DONNÉES BRUTES'!P$3:P$42,MATCH(LARGE(IF('DONNÉES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-7.4%</v>
      </c>
      <c r="M13" s="401" t="str">
        <f t="array" ref="M13">IFERROR(IF(3&gt;COUNTIF('DONNÉES BRUTES'!C$3:C$42,"Serv. Publ."),"",INDEX('DONNÉES BRUTES'!Q$3:Q$42,MATCH(LARGE(IF('DONNÉES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+7.7%</v>
      </c>
      <c r="N13" s="401">
        <f t="array" ref="N13">IFERROR(IF(3&gt;COUNTIF('DONNÉES BRUTES'!C$3:C$42,"Serv. Publ."),"",INDEX('DONNÉES BRUTES'!S$3:S$42,MATCH(LARGE(IF('DONNÉES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1.35</v>
      </c>
      <c r="O13" s="401" t="str">
        <f t="array" ref="O13">IFERROR(IF(3&gt;COUNTIF('DONNÉES BRUTES'!C$3:C$42,"Serv. Publ."),"",INDEX('DONNÉES BRUTES'!T$3:T$42,MATCH(LARGE(IF('DONNÉES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6.0x</v>
      </c>
      <c r="P13" s="401">
        <f t="array" ref="P13">IFERROR(IF(3&gt;COUNTIF('DONNÉES BRUTES'!C$3:C$42,"Serv. Publ."),"",INDEX('DONNÉES BRUTES'!U$3:U$42,MATCH(LARGE(IF('DONNÉES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2.37</v>
      </c>
      <c r="Q13" s="405" t="str">
        <f t="array" ref="Q13">IFERROR(IF(3&gt;COUNTIF('DONNÉES BRUTES'!C$3:C$42,"Serv. Publ."),"",INDEX('DONNÉES BRUTES'!AD$3:AD$42,MATCH(LARGE(IF('DONNÉES BRUTES'!C$3:C$42="Serv. Publ.",'DONNÉES BRUTES'!AB$3:AB$42+(ROW('DONNÉES BRUTES'!A$3:A$42)-ROW('DONNÉES BRUTES'!A$3))/1000,0),3),IF('DONNÉES BRUTES'!C$3:C$42="Serv. Publ.",'DONNÉES BRUTES'!AB$3:AB$42+(ROW('DONNÉES BRUTES'!A$3:A$42)-ROW('DONNÉES BRUTES'!A$3))/1000,0),0))),"—")</f>
        <v>Neutre</v>
      </c>
      <c r="R13" s="397"/>
    </row>
    <row r="14" spans="2:18" ht="15.9" customHeight="1" x14ac:dyDescent="0.3">
      <c r="B14" s="397">
        <v>4</v>
      </c>
      <c r="C14" s="397" t="str">
        <f t="array" ref="C14">IFERROR(IF(4&gt;COUNTIF('DONNÉES BRUTES'!C$3:C$42,"Serv. Publ."),"",INDEX('DONNÉES BRUTES'!A$3:A$42,MATCH(LARGE(IF('DONNÉES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D14" s="397" t="str">
        <f t="array" ref="D14">IFERROR(IF(4&gt;COUNTIF('DONNÉES BRUTES'!C$3:C$42,"Serv. Publ."),"",INDEX('DONNÉES BRUTES'!B$3:B$42,MATCH(LARGE(IF('DONNÉES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E14" s="397" t="str">
        <f t="array" ref="E14">IFERROR(IF(4&gt;COUNTIF('DONNÉES BRUTES'!C$3:C$42,"Serv. Publ."),"",INT(LARGE(IF('DONNÉES BRUTES'!C$3:C$42="Serv. Publ.",'DONNÉES BRUTES'!AB$3:AB$42+(ROW('DONNÉES BRUTES'!A$3:A$42)-ROW('DONNÉES BRUTES'!A$3))/1000,0),4))&amp;"/100"),"—")</f>
        <v/>
      </c>
      <c r="F14" s="397" t="str">
        <f t="array" ref="F14">IFERROR(IF(4&gt;COUNTIF('DONNÉES BRUTES'!C$3:C$42,"Serv. Publ."),"",INDEX('DONNÉES BRUTES'!Y$3:Y$42,MATCH(LARGE(IF('DONNÉES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G14" s="397" t="str">
        <f t="array" ref="G14">IFERROR(IF(4&gt;COUNTIF('DONNÉES BRUTES'!C$3:C$42,"Serv. Publ."),"",INDEX('DONNÉES BRUTES'!Z$3:Z$42,MATCH(LARGE(IF('DONNÉES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H14" s="397" t="str">
        <f t="array" ref="H14">IFERROR(IF(4&gt;COUNTIF('DONNÉES BRUTES'!C$3:C$42,"Serv. Publ."),"",INDEX('DONNÉES BRUTES'!AA$3:AA$42,MATCH(LARGE(IF('DONNÉES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I14" s="397" t="str">
        <f t="array" ref="I14">IFERROR(IF(4&gt;COUNTIF('DONNÉES BRUTES'!C$3:C$42,"Serv. Publ."),"",INDEX('DONNÉES BRUTES'!M$3:M$42,MATCH(LARGE(IF('DONNÉES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J14" s="397" t="str">
        <f t="array" ref="J14">IFERROR(IF(4&gt;COUNTIF('DONNÉES BRUTES'!C$3:C$42,"Serv. Publ."),"",INDEX('DONNÉES BRUTES'!N$3:N$42,MATCH(LARGE(IF('DONNÉES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K14" s="397" t="str">
        <f t="array" ref="K14">IFERROR(IF(4&gt;COUNTIF('DONNÉES BRUTES'!C$3:C$42,"Serv. Publ."),"",INDEX('DONNÉES BRUTES'!O$3:O$42,MATCH(LARGE(IF('DONNÉES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L14" s="397" t="str">
        <f t="array" ref="L14">IFERROR(IF(4&gt;COUNTIF('DONNÉES BRUTES'!C$3:C$42,"Serv. Publ."),"",INDEX('DONNÉES BRUTES'!P$3:P$42,MATCH(LARGE(IF('DONNÉES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M14" s="397" t="str">
        <f t="array" ref="M14">IFERROR(IF(4&gt;COUNTIF('DONNÉES BRUTES'!C$3:C$42,"Serv. Publ."),"",INDEX('DONNÉES BRUTES'!Q$3:Q$42,MATCH(LARGE(IF('DONNÉES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N14" s="397" t="str">
        <f t="array" ref="N14">IFERROR(IF(4&gt;COUNTIF('DONNÉES BRUTES'!C$3:C$42,"Serv. Publ."),"",INDEX('DONNÉES BRUTES'!S$3:S$42,MATCH(LARGE(IF('DONNÉES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O14" s="397" t="str">
        <f t="array" ref="O14">IFERROR(IF(4&gt;COUNTIF('DONNÉES BRUTES'!C$3:C$42,"Serv. Publ."),"",INDEX('DONNÉES BRUTES'!T$3:T$42,MATCH(LARGE(IF('DONNÉES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P14" s="397" t="str">
        <f t="array" ref="P14">IFERROR(IF(4&gt;COUNTIF('DONNÉES BRUTES'!C$3:C$42,"Serv. Publ."),"",INDEX('DONNÉES BRUTES'!U$3:U$42,MATCH(LARGE(IF('DONNÉES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Q14" s="407" t="str">
        <f t="array" ref="Q14">IFERROR(IF(4&gt;COUNTIF('DONNÉES BRUTES'!C$3:C$42,"Serv. Publ."),"",INDEX('DONNÉES BRUTES'!AD$3:AD$42,MATCH(LARGE(IF('DONNÉES BRUTES'!C$3:C$42="Serv. Publ.",'DONNÉES BRUTES'!AB$3:AB$42+(ROW('DONNÉES BRUTES'!A$3:A$42)-ROW('DONNÉES BRUTES'!A$3))/1000,0),4),IF('DONNÉES BRUTES'!C$3:C$42="Serv. Publ.",'DONNÉES BRUTES'!AB$3:AB$42+(ROW('DONNÉES BRUTES'!A$3:A$42)-ROW('DONNÉES BRUTES'!A$3))/1000,0),0))),"—")</f>
        <v/>
      </c>
      <c r="R14" s="397"/>
    </row>
    <row r="15" spans="2:18" ht="15.9" customHeight="1" x14ac:dyDescent="0.3">
      <c r="B15" s="397">
        <v>5</v>
      </c>
      <c r="C15" s="397" t="str">
        <f t="array" ref="C15">IFERROR(IF(5&gt;COUNTIF('DONNÉES BRUTES'!C$3:C$42,"Serv. Publ."),"",INDEX('DONNÉES BRUTES'!A$3:A$42,MATCH(LARGE(IF('DONNÉES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D15" s="397" t="str">
        <f t="array" ref="D15">IFERROR(IF(5&gt;COUNTIF('DONNÉES BRUTES'!C$3:C$42,"Serv. Publ."),"",INDEX('DONNÉES BRUTES'!B$3:B$42,MATCH(LARGE(IF('DONNÉES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E15" s="397" t="str">
        <f t="array" ref="E15">IFERROR(IF(5&gt;COUNTIF('DONNÉES BRUTES'!C$3:C$42,"Serv. Publ."),"",INT(LARGE(IF('DONNÉES BRUTES'!C$3:C$42="Serv. Publ.",'DONNÉES BRUTES'!AB$3:AB$42+(ROW('DONNÉES BRUTES'!A$3:A$42)-ROW('DONNÉES BRUTES'!A$3))/1000,0),5))&amp;"/100"),"—")</f>
        <v/>
      </c>
      <c r="F15" s="397" t="str">
        <f t="array" ref="F15">IFERROR(IF(5&gt;COUNTIF('DONNÉES BRUTES'!C$3:C$42,"Serv. Publ."),"",INDEX('DONNÉES BRUTES'!Y$3:Y$42,MATCH(LARGE(IF('DONNÉES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G15" s="397" t="str">
        <f t="array" ref="G15">IFERROR(IF(5&gt;COUNTIF('DONNÉES BRUTES'!C$3:C$42,"Serv. Publ."),"",INDEX('DONNÉES BRUTES'!Z$3:Z$42,MATCH(LARGE(IF('DONNÉES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H15" s="397" t="str">
        <f t="array" ref="H15">IFERROR(IF(5&gt;COUNTIF('DONNÉES BRUTES'!C$3:C$42,"Serv. Publ."),"",INDEX('DONNÉES BRUTES'!AA$3:AA$42,MATCH(LARGE(IF('DONNÉES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I15" s="397" t="str">
        <f t="array" ref="I15">IFERROR(IF(5&gt;COUNTIF('DONNÉES BRUTES'!C$3:C$42,"Serv. Publ."),"",INDEX('DONNÉES BRUTES'!M$3:M$42,MATCH(LARGE(IF('DONNÉES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J15" s="397" t="str">
        <f t="array" ref="J15">IFERROR(IF(5&gt;COUNTIF('DONNÉES BRUTES'!C$3:C$42,"Serv. Publ."),"",INDEX('DONNÉES BRUTES'!N$3:N$42,MATCH(LARGE(IF('DONNÉES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K15" s="397" t="str">
        <f t="array" ref="K15">IFERROR(IF(5&gt;COUNTIF('DONNÉES BRUTES'!C$3:C$42,"Serv. Publ."),"",INDEX('DONNÉES BRUTES'!O$3:O$42,MATCH(LARGE(IF('DONNÉES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L15" s="397" t="str">
        <f t="array" ref="L15">IFERROR(IF(5&gt;COUNTIF('DONNÉES BRUTES'!C$3:C$42,"Serv. Publ."),"",INDEX('DONNÉES BRUTES'!P$3:P$42,MATCH(LARGE(IF('DONNÉES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M15" s="397" t="str">
        <f t="array" ref="M15">IFERROR(IF(5&gt;COUNTIF('DONNÉES BRUTES'!C$3:C$42,"Serv. Publ."),"",INDEX('DONNÉES BRUTES'!Q$3:Q$42,MATCH(LARGE(IF('DONNÉES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N15" s="397" t="str">
        <f t="array" ref="N15">IFERROR(IF(5&gt;COUNTIF('DONNÉES BRUTES'!C$3:C$42,"Serv. Publ."),"",INDEX('DONNÉES BRUTES'!S$3:S$42,MATCH(LARGE(IF('DONNÉES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O15" s="397" t="str">
        <f t="array" ref="O15">IFERROR(IF(5&gt;COUNTIF('DONNÉES BRUTES'!C$3:C$42,"Serv. Publ."),"",INDEX('DONNÉES BRUTES'!T$3:T$42,MATCH(LARGE(IF('DONNÉES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P15" s="397" t="str">
        <f t="array" ref="P15">IFERROR(IF(5&gt;COUNTIF('DONNÉES BRUTES'!C$3:C$42,"Serv. Publ."),"",INDEX('DONNÉES BRUTES'!U$3:U$42,MATCH(LARGE(IF('DONNÉES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Q15" s="407" t="str">
        <f t="array" ref="Q15">IFERROR(IF(5&gt;COUNTIF('DONNÉES BRUTES'!C$3:C$42,"Serv. Publ."),"",INDEX('DONNÉES BRUTES'!AD$3:AD$42,MATCH(LARGE(IF('DONNÉES BRUTES'!C$3:C$42="Serv. Publ.",'DONNÉES BRUTES'!AB$3:AB$42+(ROW('DONNÉES BRUTES'!A$3:A$42)-ROW('DONNÉES BRUTES'!A$3))/1000,0),5),IF('DONNÉES BRUTES'!C$3:C$42="Serv. Publ.",'DONNÉES BRUTES'!AB$3:AB$42+(ROW('DONNÉES BRUTES'!A$3:A$42)-ROW('DONNÉES BRUTES'!A$3))/1000,0),0))),"—")</f>
        <v/>
      </c>
      <c r="R15" s="397"/>
    </row>
    <row r="16" spans="2:18" ht="15.9" customHeight="1" x14ac:dyDescent="0.3">
      <c r="B16" s="397">
        <v>6</v>
      </c>
      <c r="C16" s="397" t="str">
        <f t="array" ref="C16">IFERROR(IF(6&gt;COUNTIF('DONNÉES BRUTES'!C$3:C$42,"Serv. Publ."),"",INDEX('DONNÉES BRUTES'!A$3:A$42,MATCH(LARGE(IF('DONNÉES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D16" s="397" t="str">
        <f t="array" ref="D16">IFERROR(IF(6&gt;COUNTIF('DONNÉES BRUTES'!C$3:C$42,"Serv. Publ."),"",INDEX('DONNÉES BRUTES'!B$3:B$42,MATCH(LARGE(IF('DONNÉES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E16" s="397" t="str">
        <f t="array" ref="E16">IFERROR(IF(6&gt;COUNTIF('DONNÉES BRUTES'!C$3:C$42,"Serv. Publ."),"",INT(LARGE(IF('DONNÉES BRUTES'!C$3:C$42="Serv. Publ.",'DONNÉES BRUTES'!AB$3:AB$42+(ROW('DONNÉES BRUTES'!A$3:A$42)-ROW('DONNÉES BRUTES'!A$3))/1000,0),6))&amp;"/100"),"—")</f>
        <v/>
      </c>
      <c r="F16" s="397" t="str">
        <f t="array" ref="F16">IFERROR(IF(6&gt;COUNTIF('DONNÉES BRUTES'!C$3:C$42,"Serv. Publ."),"",INDEX('DONNÉES BRUTES'!Y$3:Y$42,MATCH(LARGE(IF('DONNÉES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G16" s="397" t="str">
        <f t="array" ref="G16">IFERROR(IF(6&gt;COUNTIF('DONNÉES BRUTES'!C$3:C$42,"Serv. Publ."),"",INDEX('DONNÉES BRUTES'!Z$3:Z$42,MATCH(LARGE(IF('DONNÉES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H16" s="397" t="str">
        <f t="array" ref="H16">IFERROR(IF(6&gt;COUNTIF('DONNÉES BRUTES'!C$3:C$42,"Serv. Publ."),"",INDEX('DONNÉES BRUTES'!AA$3:AA$42,MATCH(LARGE(IF('DONNÉES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I16" s="397" t="str">
        <f t="array" ref="I16">IFERROR(IF(6&gt;COUNTIF('DONNÉES BRUTES'!C$3:C$42,"Serv. Publ."),"",INDEX('DONNÉES BRUTES'!M$3:M$42,MATCH(LARGE(IF('DONNÉES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J16" s="397" t="str">
        <f t="array" ref="J16">IFERROR(IF(6&gt;COUNTIF('DONNÉES BRUTES'!C$3:C$42,"Serv. Publ."),"",INDEX('DONNÉES BRUTES'!N$3:N$42,MATCH(LARGE(IF('DONNÉES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K16" s="397" t="str">
        <f t="array" ref="K16">IFERROR(IF(6&gt;COUNTIF('DONNÉES BRUTES'!C$3:C$42,"Serv. Publ."),"",INDEX('DONNÉES BRUTES'!O$3:O$42,MATCH(LARGE(IF('DONNÉES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L16" s="397" t="str">
        <f t="array" ref="L16">IFERROR(IF(6&gt;COUNTIF('DONNÉES BRUTES'!C$3:C$42,"Serv. Publ."),"",INDEX('DONNÉES BRUTES'!P$3:P$42,MATCH(LARGE(IF('DONNÉES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M16" s="397" t="str">
        <f t="array" ref="M16">IFERROR(IF(6&gt;COUNTIF('DONNÉES BRUTES'!C$3:C$42,"Serv. Publ."),"",INDEX('DONNÉES BRUTES'!Q$3:Q$42,MATCH(LARGE(IF('DONNÉES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N16" s="397" t="str">
        <f t="array" ref="N16">IFERROR(IF(6&gt;COUNTIF('DONNÉES BRUTES'!C$3:C$42,"Serv. Publ."),"",INDEX('DONNÉES BRUTES'!S$3:S$42,MATCH(LARGE(IF('DONNÉES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O16" s="397" t="str">
        <f t="array" ref="O16">IFERROR(IF(6&gt;COUNTIF('DONNÉES BRUTES'!C$3:C$42,"Serv. Publ."),"",INDEX('DONNÉES BRUTES'!T$3:T$42,MATCH(LARGE(IF('DONNÉES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P16" s="397" t="str">
        <f t="array" ref="P16">IFERROR(IF(6&gt;COUNTIF('DONNÉES BRUTES'!C$3:C$42,"Serv. Publ."),"",INDEX('DONNÉES BRUTES'!U$3:U$42,MATCH(LARGE(IF('DONNÉES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Q16" s="407" t="str">
        <f t="array" ref="Q16">IFERROR(IF(6&gt;COUNTIF('DONNÉES BRUTES'!C$3:C$42,"Serv. Publ."),"",INDEX('DONNÉES BRUTES'!AD$3:AD$42,MATCH(LARGE(IF('DONNÉES BRUTES'!C$3:C$42="Serv. Publ.",'DONNÉES BRUTES'!AB$3:AB$42+(ROW('DONNÉES BRUTES'!A$3:A$42)-ROW('DONNÉES BRUTES'!A$3))/1000,0),6),IF('DONNÉES BRUTES'!C$3:C$42="Serv. Publ.",'DONNÉES BRUTES'!AB$3:AB$42+(ROW('DONNÉES BRUTES'!A$3:A$42)-ROW('DONNÉES BRUTES'!A$3))/1000,0),0))),"—")</f>
        <v/>
      </c>
      <c r="R16" s="397"/>
    </row>
    <row r="17" spans="2:28" ht="15.9" customHeight="1" x14ac:dyDescent="0.3">
      <c r="B17" s="397">
        <v>7</v>
      </c>
      <c r="C17" s="397" t="str">
        <f t="array" ref="C17">IFERROR(IF(7&gt;COUNTIF('DONNÉES BRUTES'!C$3:C$42,"Serv. Publ."),"",INDEX('DONNÉES BRUTES'!A$3:A$42,MATCH(LARGE(IF('DONNÉES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D17" s="397" t="str">
        <f t="array" ref="D17">IFERROR(IF(7&gt;COUNTIF('DONNÉES BRUTES'!C$3:C$42,"Serv. Publ."),"",INDEX('DONNÉES BRUTES'!B$3:B$42,MATCH(LARGE(IF('DONNÉES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E17" s="397" t="str">
        <f t="array" ref="E17">IFERROR(IF(7&gt;COUNTIF('DONNÉES BRUTES'!C$3:C$42,"Serv. Publ."),"",INT(LARGE(IF('DONNÉES BRUTES'!C$3:C$42="Serv. Publ.",'DONNÉES BRUTES'!AB$3:AB$42+(ROW('DONNÉES BRUTES'!A$3:A$42)-ROW('DONNÉES BRUTES'!A$3))/1000,0),7))&amp;"/100"),"—")</f>
        <v/>
      </c>
      <c r="F17" s="397" t="str">
        <f t="array" ref="F17">IFERROR(IF(7&gt;COUNTIF('DONNÉES BRUTES'!C$3:C$42,"Serv. Publ."),"",INDEX('DONNÉES BRUTES'!Y$3:Y$42,MATCH(LARGE(IF('DONNÉES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G17" s="397" t="str">
        <f t="array" ref="G17">IFERROR(IF(7&gt;COUNTIF('DONNÉES BRUTES'!C$3:C$42,"Serv. Publ."),"",INDEX('DONNÉES BRUTES'!Z$3:Z$42,MATCH(LARGE(IF('DONNÉES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H17" s="397" t="str">
        <f t="array" ref="H17">IFERROR(IF(7&gt;COUNTIF('DONNÉES BRUTES'!C$3:C$42,"Serv. Publ."),"",INDEX('DONNÉES BRUTES'!AA$3:AA$42,MATCH(LARGE(IF('DONNÉES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I17" s="397" t="str">
        <f t="array" ref="I17">IFERROR(IF(7&gt;COUNTIF('DONNÉES BRUTES'!C$3:C$42,"Serv. Publ."),"",INDEX('DONNÉES BRUTES'!M$3:M$42,MATCH(LARGE(IF('DONNÉES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J17" s="397" t="str">
        <f t="array" ref="J17">IFERROR(IF(7&gt;COUNTIF('DONNÉES BRUTES'!C$3:C$42,"Serv. Publ."),"",INDEX('DONNÉES BRUTES'!N$3:N$42,MATCH(LARGE(IF('DONNÉES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K17" s="397" t="str">
        <f t="array" ref="K17">IFERROR(IF(7&gt;COUNTIF('DONNÉES BRUTES'!C$3:C$42,"Serv. Publ."),"",INDEX('DONNÉES BRUTES'!O$3:O$42,MATCH(LARGE(IF('DONNÉES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L17" s="397" t="str">
        <f t="array" ref="L17">IFERROR(IF(7&gt;COUNTIF('DONNÉES BRUTES'!C$3:C$42,"Serv. Publ."),"",INDEX('DONNÉES BRUTES'!P$3:P$42,MATCH(LARGE(IF('DONNÉES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M17" s="397" t="str">
        <f t="array" ref="M17">IFERROR(IF(7&gt;COUNTIF('DONNÉES BRUTES'!C$3:C$42,"Serv. Publ."),"",INDEX('DONNÉES BRUTES'!Q$3:Q$42,MATCH(LARGE(IF('DONNÉES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N17" s="397" t="str">
        <f t="array" ref="N17">IFERROR(IF(7&gt;COUNTIF('DONNÉES BRUTES'!C$3:C$42,"Serv. Publ."),"",INDEX('DONNÉES BRUTES'!S$3:S$42,MATCH(LARGE(IF('DONNÉES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O17" s="397" t="str">
        <f t="array" ref="O17">IFERROR(IF(7&gt;COUNTIF('DONNÉES BRUTES'!C$3:C$42,"Serv. Publ."),"",INDEX('DONNÉES BRUTES'!T$3:T$42,MATCH(LARGE(IF('DONNÉES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P17" s="397" t="str">
        <f t="array" ref="P17">IFERROR(IF(7&gt;COUNTIF('DONNÉES BRUTES'!C$3:C$42,"Serv. Publ."),"",INDEX('DONNÉES BRUTES'!U$3:U$42,MATCH(LARGE(IF('DONNÉES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Q17" s="407" t="str">
        <f t="array" ref="Q17">IFERROR(IF(7&gt;COUNTIF('DONNÉES BRUTES'!C$3:C$42,"Serv. Publ."),"",INDEX('DONNÉES BRUTES'!AD$3:AD$42,MATCH(LARGE(IF('DONNÉES BRUTES'!C$3:C$42="Serv. Publ.",'DONNÉES BRUTES'!AB$3:AB$42+(ROW('DONNÉES BRUTES'!A$3:A$42)-ROW('DONNÉES BRUTES'!A$3))/1000,0),7),IF('DONNÉES BRUTES'!C$3:C$42="Serv. Publ.",'DONNÉES BRUTES'!AB$3:AB$42+(ROW('DONNÉES BRUTES'!A$3:A$42)-ROW('DONNÉES BRUTES'!A$3))/1000,0),0))),"—")</f>
        <v/>
      </c>
      <c r="R17" s="397"/>
    </row>
    <row r="18" spans="2:28" ht="15.9" customHeight="1" x14ac:dyDescent="0.3">
      <c r="B18" s="397">
        <v>8</v>
      </c>
      <c r="C18" s="397" t="str">
        <f t="array" ref="C18">IFERROR(IF(8&gt;COUNTIF('DONNÉES BRUTES'!C$3:C$42,"Serv. Publ."),"",INDEX('DONNÉES BRUTES'!A$3:A$42,MATCH(LARGE(IF('DONNÉES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D18" s="397" t="str">
        <f t="array" ref="D18">IFERROR(IF(8&gt;COUNTIF('DONNÉES BRUTES'!C$3:C$42,"Serv. Publ."),"",INDEX('DONNÉES BRUTES'!B$3:B$42,MATCH(LARGE(IF('DONNÉES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E18" s="397" t="str">
        <f t="array" ref="E18">IFERROR(IF(8&gt;COUNTIF('DONNÉES BRUTES'!C$3:C$42,"Serv. Publ."),"",INT(LARGE(IF('DONNÉES BRUTES'!C$3:C$42="Serv. Publ.",'DONNÉES BRUTES'!AB$3:AB$42+(ROW('DONNÉES BRUTES'!A$3:A$42)-ROW('DONNÉES BRUTES'!A$3))/1000,0),8))&amp;"/100"),"—")</f>
        <v/>
      </c>
      <c r="F18" s="397" t="str">
        <f t="array" ref="F18">IFERROR(IF(8&gt;COUNTIF('DONNÉES BRUTES'!C$3:C$42,"Serv. Publ."),"",INDEX('DONNÉES BRUTES'!Y$3:Y$42,MATCH(LARGE(IF('DONNÉES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G18" s="397" t="str">
        <f t="array" ref="G18">IFERROR(IF(8&gt;COUNTIF('DONNÉES BRUTES'!C$3:C$42,"Serv. Publ."),"",INDEX('DONNÉES BRUTES'!Z$3:Z$42,MATCH(LARGE(IF('DONNÉES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H18" s="397" t="str">
        <f t="array" ref="H18">IFERROR(IF(8&gt;COUNTIF('DONNÉES BRUTES'!C$3:C$42,"Serv. Publ."),"",INDEX('DONNÉES BRUTES'!AA$3:AA$42,MATCH(LARGE(IF('DONNÉES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I18" s="397" t="str">
        <f t="array" ref="I18">IFERROR(IF(8&gt;COUNTIF('DONNÉES BRUTES'!C$3:C$42,"Serv. Publ."),"",INDEX('DONNÉES BRUTES'!M$3:M$42,MATCH(LARGE(IF('DONNÉES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J18" s="397" t="str">
        <f t="array" ref="J18">IFERROR(IF(8&gt;COUNTIF('DONNÉES BRUTES'!C$3:C$42,"Serv. Publ."),"",INDEX('DONNÉES BRUTES'!N$3:N$42,MATCH(LARGE(IF('DONNÉES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K18" s="397" t="str">
        <f t="array" ref="K18">IFERROR(IF(8&gt;COUNTIF('DONNÉES BRUTES'!C$3:C$42,"Serv. Publ."),"",INDEX('DONNÉES BRUTES'!O$3:O$42,MATCH(LARGE(IF('DONNÉES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L18" s="397" t="str">
        <f t="array" ref="L18">IFERROR(IF(8&gt;COUNTIF('DONNÉES BRUTES'!C$3:C$42,"Serv. Publ."),"",INDEX('DONNÉES BRUTES'!P$3:P$42,MATCH(LARGE(IF('DONNÉES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M18" s="397" t="str">
        <f t="array" ref="M18">IFERROR(IF(8&gt;COUNTIF('DONNÉES BRUTES'!C$3:C$42,"Serv. Publ."),"",INDEX('DONNÉES BRUTES'!Q$3:Q$42,MATCH(LARGE(IF('DONNÉES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N18" s="397" t="str">
        <f t="array" ref="N18">IFERROR(IF(8&gt;COUNTIF('DONNÉES BRUTES'!C$3:C$42,"Serv. Publ."),"",INDEX('DONNÉES BRUTES'!S$3:S$42,MATCH(LARGE(IF('DONNÉES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O18" s="397" t="str">
        <f t="array" ref="O18">IFERROR(IF(8&gt;COUNTIF('DONNÉES BRUTES'!C$3:C$42,"Serv. Publ."),"",INDEX('DONNÉES BRUTES'!T$3:T$42,MATCH(LARGE(IF('DONNÉES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P18" s="397" t="str">
        <f t="array" ref="P18">IFERROR(IF(8&gt;COUNTIF('DONNÉES BRUTES'!C$3:C$42,"Serv. Publ."),"",INDEX('DONNÉES BRUTES'!U$3:U$42,MATCH(LARGE(IF('DONNÉES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Q18" s="407" t="str">
        <f t="array" ref="Q18">IFERROR(IF(8&gt;COUNTIF('DONNÉES BRUTES'!C$3:C$42,"Serv. Publ."),"",INDEX('DONNÉES BRUTES'!AD$3:AD$42,MATCH(LARGE(IF('DONNÉES BRUTES'!C$3:C$42="Serv. Publ.",'DONNÉES BRUTES'!AB$3:AB$42+(ROW('DONNÉES BRUTES'!A$3:A$42)-ROW('DONNÉES BRUTES'!A$3))/1000,0),8),IF('DONNÉES BRUTES'!C$3:C$42="Serv. Publ.",'DONNÉES BRUTES'!AB$3:AB$42+(ROW('DONNÉES BRUTES'!A$3:A$42)-ROW('DONNÉES BRUTES'!A$3))/1000,0),0))),"—")</f>
        <v/>
      </c>
      <c r="R18" s="397"/>
    </row>
    <row r="19" spans="2:28" ht="15.9" customHeight="1" x14ac:dyDescent="0.3">
      <c r="B19" s="397">
        <v>9</v>
      </c>
      <c r="C19" s="397" t="str">
        <f t="array" ref="C19">IFERROR(IF(9&gt;COUNTIF('DONNÉES BRUTES'!C$3:C$42,"Serv. Publ."),"",INDEX('DONNÉES BRUTES'!A$3:A$42,MATCH(LARGE(IF('DONNÉES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D19" s="397" t="str">
        <f t="array" ref="D19">IFERROR(IF(9&gt;COUNTIF('DONNÉES BRUTES'!C$3:C$42,"Serv. Publ."),"",INDEX('DONNÉES BRUTES'!B$3:B$42,MATCH(LARGE(IF('DONNÉES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E19" s="397" t="str">
        <f t="array" ref="E19">IFERROR(IF(9&gt;COUNTIF('DONNÉES BRUTES'!C$3:C$42,"Serv. Publ."),"",INT(LARGE(IF('DONNÉES BRUTES'!C$3:C$42="Serv. Publ.",'DONNÉES BRUTES'!AB$3:AB$42+(ROW('DONNÉES BRUTES'!A$3:A$42)-ROW('DONNÉES BRUTES'!A$3))/1000,0),9))&amp;"/100"),"—")</f>
        <v/>
      </c>
      <c r="F19" s="397" t="str">
        <f t="array" ref="F19">IFERROR(IF(9&gt;COUNTIF('DONNÉES BRUTES'!C$3:C$42,"Serv. Publ."),"",INDEX('DONNÉES BRUTES'!Y$3:Y$42,MATCH(LARGE(IF('DONNÉES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G19" s="397" t="str">
        <f t="array" ref="G19">IFERROR(IF(9&gt;COUNTIF('DONNÉES BRUTES'!C$3:C$42,"Serv. Publ."),"",INDEX('DONNÉES BRUTES'!Z$3:Z$42,MATCH(LARGE(IF('DONNÉES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H19" s="397" t="str">
        <f t="array" ref="H19">IFERROR(IF(9&gt;COUNTIF('DONNÉES BRUTES'!C$3:C$42,"Serv. Publ."),"",INDEX('DONNÉES BRUTES'!AA$3:AA$42,MATCH(LARGE(IF('DONNÉES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I19" s="397" t="str">
        <f t="array" ref="I19">IFERROR(IF(9&gt;COUNTIF('DONNÉES BRUTES'!C$3:C$42,"Serv. Publ."),"",INDEX('DONNÉES BRUTES'!M$3:M$42,MATCH(LARGE(IF('DONNÉES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J19" s="397" t="str">
        <f t="array" ref="J19">IFERROR(IF(9&gt;COUNTIF('DONNÉES BRUTES'!C$3:C$42,"Serv. Publ."),"",INDEX('DONNÉES BRUTES'!N$3:N$42,MATCH(LARGE(IF('DONNÉES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K19" s="397" t="str">
        <f t="array" ref="K19">IFERROR(IF(9&gt;COUNTIF('DONNÉES BRUTES'!C$3:C$42,"Serv. Publ."),"",INDEX('DONNÉES BRUTES'!O$3:O$42,MATCH(LARGE(IF('DONNÉES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L19" s="397" t="str">
        <f t="array" ref="L19">IFERROR(IF(9&gt;COUNTIF('DONNÉES BRUTES'!C$3:C$42,"Serv. Publ."),"",INDEX('DONNÉES BRUTES'!P$3:P$42,MATCH(LARGE(IF('DONNÉES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M19" s="397" t="str">
        <f t="array" ref="M19">IFERROR(IF(9&gt;COUNTIF('DONNÉES BRUTES'!C$3:C$42,"Serv. Publ."),"",INDEX('DONNÉES BRUTES'!Q$3:Q$42,MATCH(LARGE(IF('DONNÉES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N19" s="397" t="str">
        <f t="array" ref="N19">IFERROR(IF(9&gt;COUNTIF('DONNÉES BRUTES'!C$3:C$42,"Serv. Publ."),"",INDEX('DONNÉES BRUTES'!S$3:S$42,MATCH(LARGE(IF('DONNÉES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O19" s="397" t="str">
        <f t="array" ref="O19">IFERROR(IF(9&gt;COUNTIF('DONNÉES BRUTES'!C$3:C$42,"Serv. Publ."),"",INDEX('DONNÉES BRUTES'!T$3:T$42,MATCH(LARGE(IF('DONNÉES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P19" s="397" t="str">
        <f t="array" ref="P19">IFERROR(IF(9&gt;COUNTIF('DONNÉES BRUTES'!C$3:C$42,"Serv. Publ."),"",INDEX('DONNÉES BRUTES'!U$3:U$42,MATCH(LARGE(IF('DONNÉES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Q19" s="407" t="str">
        <f t="array" ref="Q19">IFERROR(IF(9&gt;COUNTIF('DONNÉES BRUTES'!C$3:C$42,"Serv. Publ."),"",INDEX('DONNÉES BRUTES'!AD$3:AD$42,MATCH(LARGE(IF('DONNÉES BRUTES'!C$3:C$42="Serv. Publ.",'DONNÉES BRUTES'!AB$3:AB$42+(ROW('DONNÉES BRUTES'!A$3:A$42)-ROW('DONNÉES BRUTES'!A$3))/1000,0),9),IF('DONNÉES BRUTES'!C$3:C$42="Serv. Publ.",'DONNÉES BRUTES'!AB$3:AB$42+(ROW('DONNÉES BRUTES'!A$3:A$42)-ROW('DONNÉES BRUTES'!A$3))/1000,0),0))),"—")</f>
        <v/>
      </c>
      <c r="R19" s="397"/>
    </row>
    <row r="20" spans="2:28" ht="15.9" customHeight="1" x14ac:dyDescent="0.3">
      <c r="B20" s="397">
        <v>10</v>
      </c>
      <c r="C20" s="397" t="str">
        <f t="array" ref="C20">IFERROR(IF(10&gt;COUNTIF('DONNÉES BRUTES'!C$3:C$42,"Serv. Publ."),"",INDEX('DONNÉES BRUTES'!A$3:A$42,MATCH(LARGE(IF('DONNÉES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D20" s="397" t="str">
        <f t="array" ref="D20">IFERROR(IF(10&gt;COUNTIF('DONNÉES BRUTES'!C$3:C$42,"Serv. Publ."),"",INDEX('DONNÉES BRUTES'!B$3:B$42,MATCH(LARGE(IF('DONNÉES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E20" s="397" t="str">
        <f t="array" ref="E20">IFERROR(IF(10&gt;COUNTIF('DONNÉES BRUTES'!C$3:C$42,"Serv. Publ."),"",INT(LARGE(IF('DONNÉES BRUTES'!C$3:C$42="Serv. Publ.",'DONNÉES BRUTES'!AB$3:AB$42+(ROW('DONNÉES BRUTES'!A$3:A$42)-ROW('DONNÉES BRUTES'!A$3))/1000,0),10))&amp;"/100"),"—")</f>
        <v/>
      </c>
      <c r="F20" s="397" t="str">
        <f t="array" ref="F20">IFERROR(IF(10&gt;COUNTIF('DONNÉES BRUTES'!C$3:C$42,"Serv. Publ."),"",INDEX('DONNÉES BRUTES'!Y$3:Y$42,MATCH(LARGE(IF('DONNÉES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G20" s="397" t="str">
        <f t="array" ref="G20">IFERROR(IF(10&gt;COUNTIF('DONNÉES BRUTES'!C$3:C$42,"Serv. Publ."),"",INDEX('DONNÉES BRUTES'!Z$3:Z$42,MATCH(LARGE(IF('DONNÉES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H20" s="397" t="str">
        <f t="array" ref="H20">IFERROR(IF(10&gt;COUNTIF('DONNÉES BRUTES'!C$3:C$42,"Serv. Publ."),"",INDEX('DONNÉES BRUTES'!AA$3:AA$42,MATCH(LARGE(IF('DONNÉES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I20" s="397" t="str">
        <f t="array" ref="I20">IFERROR(IF(10&gt;COUNTIF('DONNÉES BRUTES'!C$3:C$42,"Serv. Publ."),"",INDEX('DONNÉES BRUTES'!M$3:M$42,MATCH(LARGE(IF('DONNÉES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J20" s="397" t="str">
        <f t="array" ref="J20">IFERROR(IF(10&gt;COUNTIF('DONNÉES BRUTES'!C$3:C$42,"Serv. Publ."),"",INDEX('DONNÉES BRUTES'!N$3:N$42,MATCH(LARGE(IF('DONNÉES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K20" s="397" t="str">
        <f t="array" ref="K20">IFERROR(IF(10&gt;COUNTIF('DONNÉES BRUTES'!C$3:C$42,"Serv. Publ."),"",INDEX('DONNÉES BRUTES'!O$3:O$42,MATCH(LARGE(IF('DONNÉES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L20" s="397" t="str">
        <f t="array" ref="L20">IFERROR(IF(10&gt;COUNTIF('DONNÉES BRUTES'!C$3:C$42,"Serv. Publ."),"",INDEX('DONNÉES BRUTES'!P$3:P$42,MATCH(LARGE(IF('DONNÉES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M20" s="397" t="str">
        <f t="array" ref="M20">IFERROR(IF(10&gt;COUNTIF('DONNÉES BRUTES'!C$3:C$42,"Serv. Publ."),"",INDEX('DONNÉES BRUTES'!Q$3:Q$42,MATCH(LARGE(IF('DONNÉES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N20" s="397" t="str">
        <f t="array" ref="N20">IFERROR(IF(10&gt;COUNTIF('DONNÉES BRUTES'!C$3:C$42,"Serv. Publ."),"",INDEX('DONNÉES BRUTES'!S$3:S$42,MATCH(LARGE(IF('DONNÉES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O20" s="397" t="str">
        <f t="array" ref="O20">IFERROR(IF(10&gt;COUNTIF('DONNÉES BRUTES'!C$3:C$42,"Serv. Publ."),"",INDEX('DONNÉES BRUTES'!T$3:T$42,MATCH(LARGE(IF('DONNÉES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P20" s="397" t="str">
        <f t="array" ref="P20">IFERROR(IF(10&gt;COUNTIF('DONNÉES BRUTES'!C$3:C$42,"Serv. Publ."),"",INDEX('DONNÉES BRUTES'!U$3:U$42,MATCH(LARGE(IF('DONNÉES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Q20" s="407" t="str">
        <f t="array" ref="Q20">IFERROR(IF(10&gt;COUNTIF('DONNÉES BRUTES'!C$3:C$42,"Serv. Publ."),"",INDEX('DONNÉES BRUTES'!AD$3:AD$42,MATCH(LARGE(IF('DONNÉES BRUTES'!C$3:C$42="Serv. Publ.",'DONNÉES BRUTES'!AB$3:AB$42+(ROW('DONNÉES BRUTES'!A$3:A$42)-ROW('DONNÉES BRUTES'!A$3))/1000,0),10),IF('DONNÉES BRUTES'!C$3:C$42="Serv. Publ.",'DONNÉES BRUTES'!AB$3:AB$42+(ROW('DONNÉES BRUTES'!A$3:A$42)-ROW('DONNÉES BRUTES'!A$3))/1000,0),0))),"—")</f>
        <v/>
      </c>
      <c r="R20" s="397"/>
    </row>
    <row r="21" spans="2:28" ht="15.9" customHeight="1" x14ac:dyDescent="0.3">
      <c r="B21" s="397">
        <v>11</v>
      </c>
      <c r="C21" s="397" t="str">
        <f t="array" ref="C21">IFERROR(IF(11&gt;COUNTIF('DONNÉES BRUTES'!C$3:C$42,"Serv. Publ."),"",INDEX('DONNÉES BRUTES'!A$3:A$42,MATCH(LARGE(IF('DONNÉES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D21" s="397" t="str">
        <f t="array" ref="D21">IFERROR(IF(11&gt;COUNTIF('DONNÉES BRUTES'!C$3:C$42,"Serv. Publ."),"",INDEX('DONNÉES BRUTES'!B$3:B$42,MATCH(LARGE(IF('DONNÉES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E21" s="397" t="str">
        <f t="array" ref="E21">IFERROR(IF(11&gt;COUNTIF('DONNÉES BRUTES'!C$3:C$42,"Serv. Publ."),"",INT(LARGE(IF('DONNÉES BRUTES'!C$3:C$42="Serv. Publ.",'DONNÉES BRUTES'!AB$3:AB$42+(ROW('DONNÉES BRUTES'!A$3:A$42)-ROW('DONNÉES BRUTES'!A$3))/1000,0),11))&amp;"/100"),"—")</f>
        <v/>
      </c>
      <c r="F21" s="397" t="str">
        <f t="array" ref="F21">IFERROR(IF(11&gt;COUNTIF('DONNÉES BRUTES'!C$3:C$42,"Serv. Publ."),"",INDEX('DONNÉES BRUTES'!Y$3:Y$42,MATCH(LARGE(IF('DONNÉES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G21" s="397" t="str">
        <f t="array" ref="G21">IFERROR(IF(11&gt;COUNTIF('DONNÉES BRUTES'!C$3:C$42,"Serv. Publ."),"",INDEX('DONNÉES BRUTES'!Z$3:Z$42,MATCH(LARGE(IF('DONNÉES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H21" s="397" t="str">
        <f t="array" ref="H21">IFERROR(IF(11&gt;COUNTIF('DONNÉES BRUTES'!C$3:C$42,"Serv. Publ."),"",INDEX('DONNÉES BRUTES'!AA$3:AA$42,MATCH(LARGE(IF('DONNÉES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I21" s="397" t="str">
        <f t="array" ref="I21">IFERROR(IF(11&gt;COUNTIF('DONNÉES BRUTES'!C$3:C$42,"Serv. Publ."),"",INDEX('DONNÉES BRUTES'!M$3:M$42,MATCH(LARGE(IF('DONNÉES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J21" s="397" t="str">
        <f t="array" ref="J21">IFERROR(IF(11&gt;COUNTIF('DONNÉES BRUTES'!C$3:C$42,"Serv. Publ."),"",INDEX('DONNÉES BRUTES'!N$3:N$42,MATCH(LARGE(IF('DONNÉES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K21" s="397" t="str">
        <f t="array" ref="K21">IFERROR(IF(11&gt;COUNTIF('DONNÉES BRUTES'!C$3:C$42,"Serv. Publ."),"",INDEX('DONNÉES BRUTES'!O$3:O$42,MATCH(LARGE(IF('DONNÉES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L21" s="397" t="str">
        <f t="array" ref="L21">IFERROR(IF(11&gt;COUNTIF('DONNÉES BRUTES'!C$3:C$42,"Serv. Publ."),"",INDEX('DONNÉES BRUTES'!P$3:P$42,MATCH(LARGE(IF('DONNÉES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M21" s="397" t="str">
        <f t="array" ref="M21">IFERROR(IF(11&gt;COUNTIF('DONNÉES BRUTES'!C$3:C$42,"Serv. Publ."),"",INDEX('DONNÉES BRUTES'!Q$3:Q$42,MATCH(LARGE(IF('DONNÉES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N21" s="397" t="str">
        <f t="array" ref="N21">IFERROR(IF(11&gt;COUNTIF('DONNÉES BRUTES'!C$3:C$42,"Serv. Publ."),"",INDEX('DONNÉES BRUTES'!S$3:S$42,MATCH(LARGE(IF('DONNÉES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O21" s="397" t="str">
        <f t="array" ref="O21">IFERROR(IF(11&gt;COUNTIF('DONNÉES BRUTES'!C$3:C$42,"Serv. Publ."),"",INDEX('DONNÉES BRUTES'!T$3:T$42,MATCH(LARGE(IF('DONNÉES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P21" s="397" t="str">
        <f t="array" ref="P21">IFERROR(IF(11&gt;COUNTIF('DONNÉES BRUTES'!C$3:C$42,"Serv. Publ."),"",INDEX('DONNÉES BRUTES'!U$3:U$42,MATCH(LARGE(IF('DONNÉES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Q21" s="407" t="str">
        <f t="array" ref="Q21">IFERROR(IF(11&gt;COUNTIF('DONNÉES BRUTES'!C$3:C$42,"Serv. Publ."),"",INDEX('DONNÉES BRUTES'!AD$3:AD$42,MATCH(LARGE(IF('DONNÉES BRUTES'!C$3:C$42="Serv. Publ.",'DONNÉES BRUTES'!AB$3:AB$42+(ROW('DONNÉES BRUTES'!A$3:A$42)-ROW('DONNÉES BRUTES'!A$3))/1000,0),11),IF('DONNÉES BRUTES'!C$3:C$42="Serv. Publ.",'DONNÉES BRUTES'!AB$3:AB$42+(ROW('DONNÉES BRUTES'!A$3:A$42)-ROW('DONNÉES BRUTES'!A$3))/1000,0),0))),"—")</f>
        <v/>
      </c>
      <c r="R21" s="397"/>
    </row>
    <row r="22" spans="2:28" ht="15.9" customHeight="1" x14ac:dyDescent="0.3">
      <c r="B22" s="397">
        <v>12</v>
      </c>
      <c r="C22" s="397" t="str">
        <f t="array" ref="C22">IFERROR(IF(12&gt;COUNTIF('DONNÉES BRUTES'!C$3:C$42,"Serv. Publ."),"",INDEX('DONNÉES BRUTES'!A$3:A$42,MATCH(LARGE(IF('DONNÉES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D22" s="397" t="str">
        <f t="array" ref="D22">IFERROR(IF(12&gt;COUNTIF('DONNÉES BRUTES'!C$3:C$42,"Serv. Publ."),"",INDEX('DONNÉES BRUTES'!B$3:B$42,MATCH(LARGE(IF('DONNÉES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E22" s="397" t="str">
        <f t="array" ref="E22">IFERROR(IF(12&gt;COUNTIF('DONNÉES BRUTES'!C$3:C$42,"Serv. Publ."),"",INT(LARGE(IF('DONNÉES BRUTES'!C$3:C$42="Serv. Publ.",'DONNÉES BRUTES'!AB$3:AB$42+(ROW('DONNÉES BRUTES'!A$3:A$42)-ROW('DONNÉES BRUTES'!A$3))/1000,0),12))&amp;"/100"),"—")</f>
        <v/>
      </c>
      <c r="F22" s="397" t="str">
        <f t="array" ref="F22">IFERROR(IF(12&gt;COUNTIF('DONNÉES BRUTES'!C$3:C$42,"Serv. Publ."),"",INDEX('DONNÉES BRUTES'!Y$3:Y$42,MATCH(LARGE(IF('DONNÉES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G22" s="397" t="str">
        <f t="array" ref="G22">IFERROR(IF(12&gt;COUNTIF('DONNÉES BRUTES'!C$3:C$42,"Serv. Publ."),"",INDEX('DONNÉES BRUTES'!Z$3:Z$42,MATCH(LARGE(IF('DONNÉES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H22" s="397" t="str">
        <f t="array" ref="H22">IFERROR(IF(12&gt;COUNTIF('DONNÉES BRUTES'!C$3:C$42,"Serv. Publ."),"",INDEX('DONNÉES BRUTES'!AA$3:AA$42,MATCH(LARGE(IF('DONNÉES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I22" s="397" t="str">
        <f t="array" ref="I22">IFERROR(IF(12&gt;COUNTIF('DONNÉES BRUTES'!C$3:C$42,"Serv. Publ."),"",INDEX('DONNÉES BRUTES'!M$3:M$42,MATCH(LARGE(IF('DONNÉES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J22" s="397" t="str">
        <f t="array" ref="J22">IFERROR(IF(12&gt;COUNTIF('DONNÉES BRUTES'!C$3:C$42,"Serv. Publ."),"",INDEX('DONNÉES BRUTES'!N$3:N$42,MATCH(LARGE(IF('DONNÉES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K22" s="397" t="str">
        <f t="array" ref="K22">IFERROR(IF(12&gt;COUNTIF('DONNÉES BRUTES'!C$3:C$42,"Serv. Publ."),"",INDEX('DONNÉES BRUTES'!O$3:O$42,MATCH(LARGE(IF('DONNÉES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L22" s="397" t="str">
        <f t="array" ref="L22">IFERROR(IF(12&gt;COUNTIF('DONNÉES BRUTES'!C$3:C$42,"Serv. Publ."),"",INDEX('DONNÉES BRUTES'!P$3:P$42,MATCH(LARGE(IF('DONNÉES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M22" s="397" t="str">
        <f t="array" ref="M22">IFERROR(IF(12&gt;COUNTIF('DONNÉES BRUTES'!C$3:C$42,"Serv. Publ."),"",INDEX('DONNÉES BRUTES'!Q$3:Q$42,MATCH(LARGE(IF('DONNÉES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N22" s="397" t="str">
        <f t="array" ref="N22">IFERROR(IF(12&gt;COUNTIF('DONNÉES BRUTES'!C$3:C$42,"Serv. Publ."),"",INDEX('DONNÉES BRUTES'!S$3:S$42,MATCH(LARGE(IF('DONNÉES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O22" s="397" t="str">
        <f t="array" ref="O22">IFERROR(IF(12&gt;COUNTIF('DONNÉES BRUTES'!C$3:C$42,"Serv. Publ."),"",INDEX('DONNÉES BRUTES'!T$3:T$42,MATCH(LARGE(IF('DONNÉES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P22" s="397" t="str">
        <f t="array" ref="P22">IFERROR(IF(12&gt;COUNTIF('DONNÉES BRUTES'!C$3:C$42,"Serv. Publ."),"",INDEX('DONNÉES BRUTES'!U$3:U$42,MATCH(LARGE(IF('DONNÉES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Q22" s="407" t="str">
        <f t="array" ref="Q22">IFERROR(IF(12&gt;COUNTIF('DONNÉES BRUTES'!C$3:C$42,"Serv. Publ."),"",INDEX('DONNÉES BRUTES'!AD$3:AD$42,MATCH(LARGE(IF('DONNÉES BRUTES'!C$3:C$42="Serv. Publ.",'DONNÉES BRUTES'!AB$3:AB$42+(ROW('DONNÉES BRUTES'!A$3:A$42)-ROW('DONNÉES BRUTES'!A$3))/1000,0),12),IF('DONNÉES BRUTES'!C$3:C$42="Serv. Publ.",'DONNÉES BRUTES'!AB$3:AB$42+(ROW('DONNÉES BRUTES'!A$3:A$42)-ROW('DONNÉES BRUTES'!A$3))/1000,0),0))),"—")</f>
        <v/>
      </c>
      <c r="R22" s="397"/>
    </row>
    <row r="23" spans="2:28" ht="15.9" customHeight="1" x14ac:dyDescent="0.3">
      <c r="B23" s="397">
        <v>13</v>
      </c>
      <c r="C23" s="397" t="str">
        <f t="array" ref="C23">IFERROR(IF(13&gt;COUNTIF('DONNÉES BRUTES'!C$3:C$42,"Serv. Publ."),"",INDEX('DONNÉES BRUTES'!A$3:A$42,MATCH(LARGE(IF('DONNÉES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D23" s="397" t="str">
        <f t="array" ref="D23">IFERROR(IF(13&gt;COUNTIF('DONNÉES BRUTES'!C$3:C$42,"Serv. Publ."),"",INDEX('DONNÉES BRUTES'!B$3:B$42,MATCH(LARGE(IF('DONNÉES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E23" s="397" t="str">
        <f t="array" ref="E23">IFERROR(IF(13&gt;COUNTIF('DONNÉES BRUTES'!C$3:C$42,"Serv. Publ."),"",INT(LARGE(IF('DONNÉES BRUTES'!C$3:C$42="Serv. Publ.",'DONNÉES BRUTES'!AB$3:AB$42+(ROW('DONNÉES BRUTES'!A$3:A$42)-ROW('DONNÉES BRUTES'!A$3))/1000,0),13))&amp;"/100"),"—")</f>
        <v/>
      </c>
      <c r="F23" s="397" t="str">
        <f t="array" ref="F23">IFERROR(IF(13&gt;COUNTIF('DONNÉES BRUTES'!C$3:C$42,"Serv. Publ."),"",INDEX('DONNÉES BRUTES'!Y$3:Y$42,MATCH(LARGE(IF('DONNÉES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G23" s="397" t="str">
        <f t="array" ref="G23">IFERROR(IF(13&gt;COUNTIF('DONNÉES BRUTES'!C$3:C$42,"Serv. Publ."),"",INDEX('DONNÉES BRUTES'!Z$3:Z$42,MATCH(LARGE(IF('DONNÉES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H23" s="397" t="str">
        <f t="array" ref="H23">IFERROR(IF(13&gt;COUNTIF('DONNÉES BRUTES'!C$3:C$42,"Serv. Publ."),"",INDEX('DONNÉES BRUTES'!AA$3:AA$42,MATCH(LARGE(IF('DONNÉES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I23" s="397" t="str">
        <f t="array" ref="I23">IFERROR(IF(13&gt;COUNTIF('DONNÉES BRUTES'!C$3:C$42,"Serv. Publ."),"",INDEX('DONNÉES BRUTES'!M$3:M$42,MATCH(LARGE(IF('DONNÉES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J23" s="397" t="str">
        <f t="array" ref="J23">IFERROR(IF(13&gt;COUNTIF('DONNÉES BRUTES'!C$3:C$42,"Serv. Publ."),"",INDEX('DONNÉES BRUTES'!N$3:N$42,MATCH(LARGE(IF('DONNÉES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K23" s="397" t="str">
        <f t="array" ref="K23">IFERROR(IF(13&gt;COUNTIF('DONNÉES BRUTES'!C$3:C$42,"Serv. Publ."),"",INDEX('DONNÉES BRUTES'!O$3:O$42,MATCH(LARGE(IF('DONNÉES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L23" s="397" t="str">
        <f t="array" ref="L23">IFERROR(IF(13&gt;COUNTIF('DONNÉES BRUTES'!C$3:C$42,"Serv. Publ."),"",INDEX('DONNÉES BRUTES'!P$3:P$42,MATCH(LARGE(IF('DONNÉES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M23" s="397" t="str">
        <f t="array" ref="M23">IFERROR(IF(13&gt;COUNTIF('DONNÉES BRUTES'!C$3:C$42,"Serv. Publ."),"",INDEX('DONNÉES BRUTES'!Q$3:Q$42,MATCH(LARGE(IF('DONNÉES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N23" s="397" t="str">
        <f t="array" ref="N23">IFERROR(IF(13&gt;COUNTIF('DONNÉES BRUTES'!C$3:C$42,"Serv. Publ."),"",INDEX('DONNÉES BRUTES'!S$3:S$42,MATCH(LARGE(IF('DONNÉES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O23" s="397" t="str">
        <f t="array" ref="O23">IFERROR(IF(13&gt;COUNTIF('DONNÉES BRUTES'!C$3:C$42,"Serv. Publ."),"",INDEX('DONNÉES BRUTES'!T$3:T$42,MATCH(LARGE(IF('DONNÉES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P23" s="397" t="str">
        <f t="array" ref="P23">IFERROR(IF(13&gt;COUNTIF('DONNÉES BRUTES'!C$3:C$42,"Serv. Publ."),"",INDEX('DONNÉES BRUTES'!U$3:U$42,MATCH(LARGE(IF('DONNÉES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Q23" s="407" t="str">
        <f t="array" ref="Q23">IFERROR(IF(13&gt;COUNTIF('DONNÉES BRUTES'!C$3:C$42,"Serv. Publ."),"",INDEX('DONNÉES BRUTES'!AD$3:AD$42,MATCH(LARGE(IF('DONNÉES BRUTES'!C$3:C$42="Serv. Publ.",'DONNÉES BRUTES'!AB$3:AB$42+(ROW('DONNÉES BRUTES'!A$3:A$42)-ROW('DONNÉES BRUTES'!A$3))/1000,0),13),IF('DONNÉES BRUTES'!C$3:C$42="Serv. Publ.",'DONNÉES BRUTES'!AB$3:AB$42+(ROW('DONNÉES BRUTES'!A$3:A$42)-ROW('DONNÉES BRUTES'!A$3))/1000,0),0))),"—")</f>
        <v/>
      </c>
      <c r="R23" s="397"/>
    </row>
    <row r="24" spans="2:28" ht="15.9" customHeight="1" x14ac:dyDescent="0.3">
      <c r="B24" s="397">
        <v>14</v>
      </c>
      <c r="C24" s="397" t="str">
        <f t="array" ref="C24">IFERROR(IF(14&gt;COUNTIF('DONNÉES BRUTES'!C$3:C$42,"Serv. Publ."),"",INDEX('DONNÉES BRUTES'!A$3:A$42,MATCH(LARGE(IF('DONNÉES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D24" s="397" t="str">
        <f t="array" ref="D24">IFERROR(IF(14&gt;COUNTIF('DONNÉES BRUTES'!C$3:C$42,"Serv. Publ."),"",INDEX('DONNÉES BRUTES'!B$3:B$42,MATCH(LARGE(IF('DONNÉES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E24" s="397" t="str">
        <f t="array" ref="E24">IFERROR(IF(14&gt;COUNTIF('DONNÉES BRUTES'!C$3:C$42,"Serv. Publ."),"",INT(LARGE(IF('DONNÉES BRUTES'!C$3:C$42="Serv. Publ.",'DONNÉES BRUTES'!AB$3:AB$42+(ROW('DONNÉES BRUTES'!A$3:A$42)-ROW('DONNÉES BRUTES'!A$3))/1000,0),14))&amp;"/100"),"—")</f>
        <v/>
      </c>
      <c r="F24" s="397" t="str">
        <f t="array" ref="F24">IFERROR(IF(14&gt;COUNTIF('DONNÉES BRUTES'!C$3:C$42,"Serv. Publ."),"",INDEX('DONNÉES BRUTES'!Y$3:Y$42,MATCH(LARGE(IF('DONNÉES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G24" s="397" t="str">
        <f t="array" ref="G24">IFERROR(IF(14&gt;COUNTIF('DONNÉES BRUTES'!C$3:C$42,"Serv. Publ."),"",INDEX('DONNÉES BRUTES'!Z$3:Z$42,MATCH(LARGE(IF('DONNÉES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H24" s="397" t="str">
        <f t="array" ref="H24">IFERROR(IF(14&gt;COUNTIF('DONNÉES BRUTES'!C$3:C$42,"Serv. Publ."),"",INDEX('DONNÉES BRUTES'!AA$3:AA$42,MATCH(LARGE(IF('DONNÉES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I24" s="397" t="str">
        <f t="array" ref="I24">IFERROR(IF(14&gt;COUNTIF('DONNÉES BRUTES'!C$3:C$42,"Serv. Publ."),"",INDEX('DONNÉES BRUTES'!M$3:M$42,MATCH(LARGE(IF('DONNÉES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J24" s="397" t="str">
        <f t="array" ref="J24">IFERROR(IF(14&gt;COUNTIF('DONNÉES BRUTES'!C$3:C$42,"Serv. Publ."),"",INDEX('DONNÉES BRUTES'!N$3:N$42,MATCH(LARGE(IF('DONNÉES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K24" s="397" t="str">
        <f t="array" ref="K24">IFERROR(IF(14&gt;COUNTIF('DONNÉES BRUTES'!C$3:C$42,"Serv. Publ."),"",INDEX('DONNÉES BRUTES'!O$3:O$42,MATCH(LARGE(IF('DONNÉES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L24" s="397" t="str">
        <f t="array" ref="L24">IFERROR(IF(14&gt;COUNTIF('DONNÉES BRUTES'!C$3:C$42,"Serv. Publ."),"",INDEX('DONNÉES BRUTES'!P$3:P$42,MATCH(LARGE(IF('DONNÉES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M24" s="397" t="str">
        <f t="array" ref="M24">IFERROR(IF(14&gt;COUNTIF('DONNÉES BRUTES'!C$3:C$42,"Serv. Publ."),"",INDEX('DONNÉES BRUTES'!Q$3:Q$42,MATCH(LARGE(IF('DONNÉES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N24" s="397" t="str">
        <f t="array" ref="N24">IFERROR(IF(14&gt;COUNTIF('DONNÉES BRUTES'!C$3:C$42,"Serv. Publ."),"",INDEX('DONNÉES BRUTES'!S$3:S$42,MATCH(LARGE(IF('DONNÉES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O24" s="397" t="str">
        <f t="array" ref="O24">IFERROR(IF(14&gt;COUNTIF('DONNÉES BRUTES'!C$3:C$42,"Serv. Publ."),"",INDEX('DONNÉES BRUTES'!T$3:T$42,MATCH(LARGE(IF('DONNÉES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P24" s="397" t="str">
        <f t="array" ref="P24">IFERROR(IF(14&gt;COUNTIF('DONNÉES BRUTES'!C$3:C$42,"Serv. Publ."),"",INDEX('DONNÉES BRUTES'!U$3:U$42,MATCH(LARGE(IF('DONNÉES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Q24" s="407" t="str">
        <f t="array" ref="Q24">IFERROR(IF(14&gt;COUNTIF('DONNÉES BRUTES'!C$3:C$42,"Serv. Publ."),"",INDEX('DONNÉES BRUTES'!AD$3:AD$42,MATCH(LARGE(IF('DONNÉES BRUTES'!C$3:C$42="Serv. Publ.",'DONNÉES BRUTES'!AB$3:AB$42+(ROW('DONNÉES BRUTES'!A$3:A$42)-ROW('DONNÉES BRUTES'!A$3))/1000,0),14),IF('DONNÉES BRUTES'!C$3:C$42="Serv. Publ.",'DONNÉES BRUTES'!AB$3:AB$42+(ROW('DONNÉES BRUTES'!A$3:A$42)-ROW('DONNÉES BRUTES'!A$3))/1000,0),0))),"—")</f>
        <v/>
      </c>
      <c r="R24" s="397"/>
    </row>
    <row r="25" spans="2:28" ht="15.9" customHeight="1" x14ac:dyDescent="0.3">
      <c r="B25" s="397">
        <v>15</v>
      </c>
      <c r="C25" s="397" t="str">
        <f t="array" ref="C25">IFERROR(IF(15&gt;COUNTIF('DONNÉES BRUTES'!C$3:C$42,"Serv. Publ."),"",INDEX('DONNÉES BRUTES'!A$3:A$42,MATCH(LARGE(IF('DONNÉES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D25" s="397" t="str">
        <f t="array" ref="D25">IFERROR(IF(15&gt;COUNTIF('DONNÉES BRUTES'!C$3:C$42,"Serv. Publ."),"",INDEX('DONNÉES BRUTES'!B$3:B$42,MATCH(LARGE(IF('DONNÉES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E25" s="397" t="str">
        <f t="array" ref="E25">IFERROR(IF(15&gt;COUNTIF('DONNÉES BRUTES'!C$3:C$42,"Serv. Publ."),"",INT(LARGE(IF('DONNÉES BRUTES'!C$3:C$42="Serv. Publ.",'DONNÉES BRUTES'!AB$3:AB$42+(ROW('DONNÉES BRUTES'!A$3:A$42)-ROW('DONNÉES BRUTES'!A$3))/1000,0),15))&amp;"/100"),"—")</f>
        <v/>
      </c>
      <c r="F25" s="397" t="str">
        <f t="array" ref="F25">IFERROR(IF(15&gt;COUNTIF('DONNÉES BRUTES'!C$3:C$42,"Serv. Publ."),"",INDEX('DONNÉES BRUTES'!Y$3:Y$42,MATCH(LARGE(IF('DONNÉES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G25" s="397" t="str">
        <f t="array" ref="G25">IFERROR(IF(15&gt;COUNTIF('DONNÉES BRUTES'!C$3:C$42,"Serv. Publ."),"",INDEX('DONNÉES BRUTES'!Z$3:Z$42,MATCH(LARGE(IF('DONNÉES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H25" s="397" t="str">
        <f t="array" ref="H25">IFERROR(IF(15&gt;COUNTIF('DONNÉES BRUTES'!C$3:C$42,"Serv. Publ."),"",INDEX('DONNÉES BRUTES'!AA$3:AA$42,MATCH(LARGE(IF('DONNÉES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I25" s="397" t="str">
        <f t="array" ref="I25">IFERROR(IF(15&gt;COUNTIF('DONNÉES BRUTES'!C$3:C$42,"Serv. Publ."),"",INDEX('DONNÉES BRUTES'!M$3:M$42,MATCH(LARGE(IF('DONNÉES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J25" s="397" t="str">
        <f t="array" ref="J25">IFERROR(IF(15&gt;COUNTIF('DONNÉES BRUTES'!C$3:C$42,"Serv. Publ."),"",INDEX('DONNÉES BRUTES'!N$3:N$42,MATCH(LARGE(IF('DONNÉES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K25" s="397" t="str">
        <f t="array" ref="K25">IFERROR(IF(15&gt;COUNTIF('DONNÉES BRUTES'!C$3:C$42,"Serv. Publ."),"",INDEX('DONNÉES BRUTES'!O$3:O$42,MATCH(LARGE(IF('DONNÉES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L25" s="397" t="str">
        <f t="array" ref="L25">IFERROR(IF(15&gt;COUNTIF('DONNÉES BRUTES'!C$3:C$42,"Serv. Publ."),"",INDEX('DONNÉES BRUTES'!P$3:P$42,MATCH(LARGE(IF('DONNÉES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M25" s="397" t="str">
        <f t="array" ref="M25">IFERROR(IF(15&gt;COUNTIF('DONNÉES BRUTES'!C$3:C$42,"Serv. Publ."),"",INDEX('DONNÉES BRUTES'!Q$3:Q$42,MATCH(LARGE(IF('DONNÉES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N25" s="397" t="str">
        <f t="array" ref="N25">IFERROR(IF(15&gt;COUNTIF('DONNÉES BRUTES'!C$3:C$42,"Serv. Publ."),"",INDEX('DONNÉES BRUTES'!S$3:S$42,MATCH(LARGE(IF('DONNÉES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O25" s="397" t="str">
        <f t="array" ref="O25">IFERROR(IF(15&gt;COUNTIF('DONNÉES BRUTES'!C$3:C$42,"Serv. Publ."),"",INDEX('DONNÉES BRUTES'!T$3:T$42,MATCH(LARGE(IF('DONNÉES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P25" s="397" t="str">
        <f t="array" ref="P25">IFERROR(IF(15&gt;COUNTIF('DONNÉES BRUTES'!C$3:C$42,"Serv. Publ."),"",INDEX('DONNÉES BRUTES'!U$3:U$42,MATCH(LARGE(IF('DONNÉES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Q25" s="407" t="str">
        <f t="array" ref="Q25">IFERROR(IF(15&gt;COUNTIF('DONNÉES BRUTES'!C$3:C$42,"Serv. Publ."),"",INDEX('DONNÉES BRUTES'!AD$3:AD$42,MATCH(LARGE(IF('DONNÉES BRUTES'!C$3:C$42="Serv. Publ.",'DONNÉES BRUTES'!AB$3:AB$42+(ROW('DONNÉES BRUTES'!A$3:A$42)-ROW('DONNÉES BRUTES'!A$3))/1000,0),15),IF('DONNÉES BRUTES'!C$3:C$42="Serv. Publ.",'DONNÉES BRUTES'!AB$3:AB$42+(ROW('DONNÉES BRUTES'!A$3:A$42)-ROW('DONNÉES BRUTES'!A$3))/1000,0),0))),"—")</f>
        <v/>
      </c>
      <c r="R25" s="397"/>
    </row>
    <row r="26" spans="2:28" ht="15.9" customHeight="1" x14ac:dyDescent="0.3">
      <c r="Q26" s="408"/>
    </row>
    <row r="27" spans="2:28" ht="15.9" customHeight="1" x14ac:dyDescent="0.3">
      <c r="Q27" s="408"/>
    </row>
    <row r="28" spans="2:28" ht="15.9" customHeight="1" x14ac:dyDescent="0.3">
      <c r="Q28" s="408"/>
      <c r="S28" s="149" t="s">
        <v>10</v>
      </c>
      <c r="T28" s="149" t="s">
        <v>11</v>
      </c>
      <c r="U28" s="149" t="s">
        <v>15</v>
      </c>
      <c r="V28" s="149" t="s">
        <v>16</v>
      </c>
      <c r="W28" s="149" t="s">
        <v>17</v>
      </c>
      <c r="X28" s="149"/>
      <c r="Y28" s="149" t="s">
        <v>10</v>
      </c>
      <c r="Z28" s="149" t="s">
        <v>15</v>
      </c>
      <c r="AA28" s="149" t="s">
        <v>16</v>
      </c>
      <c r="AB28" s="149" t="s">
        <v>17</v>
      </c>
    </row>
    <row r="29" spans="2:28" ht="15.9" customHeight="1" x14ac:dyDescent="0.3">
      <c r="Q29" s="408"/>
      <c r="S29" s="149" t="str">
        <f>IF(D11="","",LEFT(D11,14))</f>
        <v>United Utiliti</v>
      </c>
      <c r="T29" s="149">
        <f>IF(E11="","",IFERROR(VALUE(LEFT(E11,FIND("/",E11)-1)),0))</f>
        <v>54</v>
      </c>
      <c r="U29" s="149">
        <f>IF(ISNUMBER(F11),F11,0)</f>
        <v>78</v>
      </c>
      <c r="V29" s="149">
        <f>IF(ISNUMBER(G11),G11,0)</f>
        <v>42</v>
      </c>
      <c r="W29" s="149">
        <f>IF(ISNUMBER(H11),H11,0)</f>
        <v>51</v>
      </c>
      <c r="X29" s="149">
        <f>IF(ISNUMBER(F11),F11,"")</f>
        <v>78</v>
      </c>
      <c r="Y29" s="149">
        <f>IF(ISNUMBER(G11),G11,"")</f>
        <v>42</v>
      </c>
      <c r="Z29" s="149">
        <f>IF(ISNUMBER(H11),H11,"")</f>
        <v>51</v>
      </c>
      <c r="AA29" s="149">
        <v>95</v>
      </c>
      <c r="AB29" s="149">
        <v>21</v>
      </c>
    </row>
    <row r="30" spans="2:28" ht="15.9" customHeight="1" x14ac:dyDescent="0.3">
      <c r="Q30" s="408"/>
    </row>
  </sheetData>
  <mergeCells count="3">
    <mergeCell ref="B2:Q2"/>
    <mergeCell ref="B1:Q1"/>
    <mergeCell ref="B8:Q8"/>
  </mergeCells>
  <conditionalFormatting sqref="B11">
    <cfRule type="expression" dxfId="719" priority="1">
      <formula>C11=""</formula>
    </cfRule>
  </conditionalFormatting>
  <conditionalFormatting sqref="B11">
    <cfRule type="expression" dxfId="718" priority="2">
      <formula>C11&lt;&gt;""</formula>
    </cfRule>
  </conditionalFormatting>
  <conditionalFormatting sqref="C11:P11">
    <cfRule type="expression" dxfId="717" priority="3">
      <formula>C11=""</formula>
    </cfRule>
  </conditionalFormatting>
  <conditionalFormatting sqref="C11:P11">
    <cfRule type="expression" dxfId="716" priority="4">
      <formula>C11&lt;&gt;""</formula>
    </cfRule>
  </conditionalFormatting>
  <conditionalFormatting sqref="Q11">
    <cfRule type="expression" dxfId="715" priority="5">
      <formula>C11=""</formula>
    </cfRule>
  </conditionalFormatting>
  <conditionalFormatting sqref="Q11">
    <cfRule type="expression" dxfId="714" priority="6">
      <formula>C11&lt;&gt;""</formula>
    </cfRule>
  </conditionalFormatting>
  <conditionalFormatting sqref="R11">
    <cfRule type="expression" dxfId="713" priority="7">
      <formula>C11=""</formula>
    </cfRule>
  </conditionalFormatting>
  <conditionalFormatting sqref="R11">
    <cfRule type="expression" dxfId="712" priority="8">
      <formula>C11&lt;&gt;""</formula>
    </cfRule>
  </conditionalFormatting>
  <conditionalFormatting sqref="B12">
    <cfRule type="expression" dxfId="711" priority="9">
      <formula>C12=""</formula>
    </cfRule>
  </conditionalFormatting>
  <conditionalFormatting sqref="B12">
    <cfRule type="expression" dxfId="710" priority="10">
      <formula>C12&lt;&gt;""</formula>
    </cfRule>
  </conditionalFormatting>
  <conditionalFormatting sqref="C12:P12">
    <cfRule type="expression" dxfId="709" priority="11">
      <formula>C12=""</formula>
    </cfRule>
  </conditionalFormatting>
  <conditionalFormatting sqref="C12:P12">
    <cfRule type="expression" dxfId="708" priority="12">
      <formula>C12&lt;&gt;""</formula>
    </cfRule>
  </conditionalFormatting>
  <conditionalFormatting sqref="Q12">
    <cfRule type="expression" dxfId="707" priority="13">
      <formula>C12=""</formula>
    </cfRule>
  </conditionalFormatting>
  <conditionalFormatting sqref="Q12">
    <cfRule type="expression" dxfId="706" priority="14">
      <formula>C12&lt;&gt;""</formula>
    </cfRule>
  </conditionalFormatting>
  <conditionalFormatting sqref="R12">
    <cfRule type="expression" dxfId="705" priority="15">
      <formula>C12=""</formula>
    </cfRule>
  </conditionalFormatting>
  <conditionalFormatting sqref="R12">
    <cfRule type="expression" dxfId="704" priority="16">
      <formula>C12&lt;&gt;""</formula>
    </cfRule>
  </conditionalFormatting>
  <conditionalFormatting sqref="B13">
    <cfRule type="expression" dxfId="703" priority="17">
      <formula>C13=""</formula>
    </cfRule>
  </conditionalFormatting>
  <conditionalFormatting sqref="B13">
    <cfRule type="expression" dxfId="702" priority="18">
      <formula>C13&lt;&gt;""</formula>
    </cfRule>
  </conditionalFormatting>
  <conditionalFormatting sqref="C13:P13">
    <cfRule type="expression" dxfId="701" priority="19">
      <formula>C13=""</formula>
    </cfRule>
  </conditionalFormatting>
  <conditionalFormatting sqref="C13:P13">
    <cfRule type="expression" dxfId="700" priority="20">
      <formula>C13&lt;&gt;""</formula>
    </cfRule>
  </conditionalFormatting>
  <conditionalFormatting sqref="Q13">
    <cfRule type="expression" dxfId="699" priority="21">
      <formula>C13=""</formula>
    </cfRule>
  </conditionalFormatting>
  <conditionalFormatting sqref="Q13">
    <cfRule type="expression" dxfId="698" priority="22">
      <formula>C13&lt;&gt;""</formula>
    </cfRule>
  </conditionalFormatting>
  <conditionalFormatting sqref="R13">
    <cfRule type="expression" dxfId="697" priority="23">
      <formula>C13=""</formula>
    </cfRule>
  </conditionalFormatting>
  <conditionalFormatting sqref="R13">
    <cfRule type="expression" dxfId="696" priority="24">
      <formula>C13&lt;&gt;""</formula>
    </cfRule>
  </conditionalFormatting>
  <conditionalFormatting sqref="B14">
    <cfRule type="expression" dxfId="695" priority="25">
      <formula>C14=""</formula>
    </cfRule>
  </conditionalFormatting>
  <conditionalFormatting sqref="B14">
    <cfRule type="expression" dxfId="694" priority="26">
      <formula>C14&lt;&gt;""</formula>
    </cfRule>
  </conditionalFormatting>
  <conditionalFormatting sqref="C14:P14">
    <cfRule type="expression" dxfId="693" priority="27">
      <formula>C14=""</formula>
    </cfRule>
  </conditionalFormatting>
  <conditionalFormatting sqref="C14:P14">
    <cfRule type="expression" dxfId="692" priority="28">
      <formula>C14&lt;&gt;""</formula>
    </cfRule>
  </conditionalFormatting>
  <conditionalFormatting sqref="Q14">
    <cfRule type="expression" dxfId="691" priority="29">
      <formula>C14=""</formula>
    </cfRule>
  </conditionalFormatting>
  <conditionalFormatting sqref="Q14">
    <cfRule type="expression" dxfId="690" priority="30">
      <formula>C14&lt;&gt;""</formula>
    </cfRule>
  </conditionalFormatting>
  <conditionalFormatting sqref="R14">
    <cfRule type="expression" dxfId="689" priority="31">
      <formula>C14=""</formula>
    </cfRule>
  </conditionalFormatting>
  <conditionalFormatting sqref="R14">
    <cfRule type="expression" dxfId="688" priority="32">
      <formula>C14&lt;&gt;""</formula>
    </cfRule>
  </conditionalFormatting>
  <conditionalFormatting sqref="B15">
    <cfRule type="expression" dxfId="687" priority="33">
      <formula>C15=""</formula>
    </cfRule>
  </conditionalFormatting>
  <conditionalFormatting sqref="B15">
    <cfRule type="expression" dxfId="686" priority="34">
      <formula>C15&lt;&gt;""</formula>
    </cfRule>
  </conditionalFormatting>
  <conditionalFormatting sqref="C15:P15">
    <cfRule type="expression" dxfId="685" priority="35">
      <formula>C15=""</formula>
    </cfRule>
  </conditionalFormatting>
  <conditionalFormatting sqref="C15:P15">
    <cfRule type="expression" dxfId="684" priority="36">
      <formula>C15&lt;&gt;""</formula>
    </cfRule>
  </conditionalFormatting>
  <conditionalFormatting sqref="Q15">
    <cfRule type="expression" dxfId="683" priority="37">
      <formula>C15=""</formula>
    </cfRule>
  </conditionalFormatting>
  <conditionalFormatting sqref="Q15">
    <cfRule type="expression" dxfId="682" priority="38">
      <formula>C15&lt;&gt;""</formula>
    </cfRule>
  </conditionalFormatting>
  <conditionalFormatting sqref="R15">
    <cfRule type="expression" dxfId="681" priority="39">
      <formula>C15=""</formula>
    </cfRule>
  </conditionalFormatting>
  <conditionalFormatting sqref="R15">
    <cfRule type="expression" dxfId="680" priority="40">
      <formula>C15&lt;&gt;""</formula>
    </cfRule>
  </conditionalFormatting>
  <conditionalFormatting sqref="B16">
    <cfRule type="expression" dxfId="679" priority="41">
      <formula>C16=""</formula>
    </cfRule>
  </conditionalFormatting>
  <conditionalFormatting sqref="B16">
    <cfRule type="expression" dxfId="678" priority="42">
      <formula>C16&lt;&gt;""</formula>
    </cfRule>
  </conditionalFormatting>
  <conditionalFormatting sqref="C16:P16">
    <cfRule type="expression" dxfId="677" priority="43">
      <formula>C16=""</formula>
    </cfRule>
  </conditionalFormatting>
  <conditionalFormatting sqref="C16:P16">
    <cfRule type="expression" dxfId="676" priority="44">
      <formula>C16&lt;&gt;""</formula>
    </cfRule>
  </conditionalFormatting>
  <conditionalFormatting sqref="Q16">
    <cfRule type="expression" dxfId="675" priority="45">
      <formula>C16=""</formula>
    </cfRule>
  </conditionalFormatting>
  <conditionalFormatting sqref="Q16">
    <cfRule type="expression" dxfId="674" priority="46">
      <formula>C16&lt;&gt;""</formula>
    </cfRule>
  </conditionalFormatting>
  <conditionalFormatting sqref="R16">
    <cfRule type="expression" dxfId="673" priority="47">
      <formula>C16=""</formula>
    </cfRule>
  </conditionalFormatting>
  <conditionalFormatting sqref="R16">
    <cfRule type="expression" dxfId="672" priority="48">
      <formula>C16&lt;&gt;""</formula>
    </cfRule>
  </conditionalFormatting>
  <conditionalFormatting sqref="B17">
    <cfRule type="expression" dxfId="671" priority="49">
      <formula>C17=""</formula>
    </cfRule>
  </conditionalFormatting>
  <conditionalFormatting sqref="B17">
    <cfRule type="expression" dxfId="670" priority="50">
      <formula>C17&lt;&gt;""</formula>
    </cfRule>
  </conditionalFormatting>
  <conditionalFormatting sqref="C17:P17">
    <cfRule type="expression" dxfId="669" priority="51">
      <formula>C17=""</formula>
    </cfRule>
  </conditionalFormatting>
  <conditionalFormatting sqref="C17:P17">
    <cfRule type="expression" dxfId="668" priority="52">
      <formula>C17&lt;&gt;""</formula>
    </cfRule>
  </conditionalFormatting>
  <conditionalFormatting sqref="Q17">
    <cfRule type="expression" dxfId="667" priority="53">
      <formula>C17=""</formula>
    </cfRule>
  </conditionalFormatting>
  <conditionalFormatting sqref="Q17">
    <cfRule type="expression" dxfId="666" priority="54">
      <formula>C17&lt;&gt;""</formula>
    </cfRule>
  </conditionalFormatting>
  <conditionalFormatting sqref="R17">
    <cfRule type="expression" dxfId="665" priority="55">
      <formula>C17=""</formula>
    </cfRule>
  </conditionalFormatting>
  <conditionalFormatting sqref="R17">
    <cfRule type="expression" dxfId="664" priority="56">
      <formula>C17&lt;&gt;""</formula>
    </cfRule>
  </conditionalFormatting>
  <conditionalFormatting sqref="B18">
    <cfRule type="expression" dxfId="663" priority="57">
      <formula>C18=""</formula>
    </cfRule>
  </conditionalFormatting>
  <conditionalFormatting sqref="B18">
    <cfRule type="expression" dxfId="662" priority="58">
      <formula>C18&lt;&gt;""</formula>
    </cfRule>
  </conditionalFormatting>
  <conditionalFormatting sqref="C18:P18">
    <cfRule type="expression" dxfId="661" priority="59">
      <formula>C18=""</formula>
    </cfRule>
  </conditionalFormatting>
  <conditionalFormatting sqref="C18:P18">
    <cfRule type="expression" dxfId="660" priority="60">
      <formula>C18&lt;&gt;""</formula>
    </cfRule>
  </conditionalFormatting>
  <conditionalFormatting sqref="Q18">
    <cfRule type="expression" dxfId="659" priority="61">
      <formula>C18=""</formula>
    </cfRule>
  </conditionalFormatting>
  <conditionalFormatting sqref="Q18">
    <cfRule type="expression" dxfId="658" priority="62">
      <formula>C18&lt;&gt;""</formula>
    </cfRule>
  </conditionalFormatting>
  <conditionalFormatting sqref="R18">
    <cfRule type="expression" dxfId="657" priority="63">
      <formula>C18=""</formula>
    </cfRule>
  </conditionalFormatting>
  <conditionalFormatting sqref="R18">
    <cfRule type="expression" dxfId="656" priority="64">
      <formula>C18&lt;&gt;""</formula>
    </cfRule>
  </conditionalFormatting>
  <conditionalFormatting sqref="B19">
    <cfRule type="expression" dxfId="655" priority="65">
      <formula>C19=""</formula>
    </cfRule>
  </conditionalFormatting>
  <conditionalFormatting sqref="B19">
    <cfRule type="expression" dxfId="654" priority="66">
      <formula>C19&lt;&gt;""</formula>
    </cfRule>
  </conditionalFormatting>
  <conditionalFormatting sqref="C19:P19">
    <cfRule type="expression" dxfId="653" priority="67">
      <formula>C19=""</formula>
    </cfRule>
  </conditionalFormatting>
  <conditionalFormatting sqref="C19:P19">
    <cfRule type="expression" dxfId="652" priority="68">
      <formula>C19&lt;&gt;""</formula>
    </cfRule>
  </conditionalFormatting>
  <conditionalFormatting sqref="Q19">
    <cfRule type="expression" dxfId="651" priority="69">
      <formula>C19=""</formula>
    </cfRule>
  </conditionalFormatting>
  <conditionalFormatting sqref="Q19">
    <cfRule type="expression" dxfId="650" priority="70">
      <formula>C19&lt;&gt;""</formula>
    </cfRule>
  </conditionalFormatting>
  <conditionalFormatting sqref="R19">
    <cfRule type="expression" dxfId="649" priority="71">
      <formula>C19=""</formula>
    </cfRule>
  </conditionalFormatting>
  <conditionalFormatting sqref="R19">
    <cfRule type="expression" dxfId="648" priority="72">
      <formula>C19&lt;&gt;""</formula>
    </cfRule>
  </conditionalFormatting>
  <conditionalFormatting sqref="B20">
    <cfRule type="expression" dxfId="647" priority="73">
      <formula>C20=""</formula>
    </cfRule>
  </conditionalFormatting>
  <conditionalFormatting sqref="B20">
    <cfRule type="expression" dxfId="646" priority="74">
      <formula>C20&lt;&gt;""</formula>
    </cfRule>
  </conditionalFormatting>
  <conditionalFormatting sqref="C20:P20">
    <cfRule type="expression" dxfId="645" priority="75">
      <formula>C20=""</formula>
    </cfRule>
  </conditionalFormatting>
  <conditionalFormatting sqref="C20:P20">
    <cfRule type="expression" dxfId="644" priority="76">
      <formula>C20&lt;&gt;""</formula>
    </cfRule>
  </conditionalFormatting>
  <conditionalFormatting sqref="Q20">
    <cfRule type="expression" dxfId="643" priority="77">
      <formula>C20=""</formula>
    </cfRule>
  </conditionalFormatting>
  <conditionalFormatting sqref="Q20">
    <cfRule type="expression" dxfId="642" priority="78">
      <formula>C20&lt;&gt;""</formula>
    </cfRule>
  </conditionalFormatting>
  <conditionalFormatting sqref="R20">
    <cfRule type="expression" dxfId="641" priority="79">
      <formula>C20=""</formula>
    </cfRule>
  </conditionalFormatting>
  <conditionalFormatting sqref="R20">
    <cfRule type="expression" dxfId="640" priority="80">
      <formula>C20&lt;&gt;""</formula>
    </cfRule>
  </conditionalFormatting>
  <conditionalFormatting sqref="B21">
    <cfRule type="expression" dxfId="639" priority="81">
      <formula>C21=""</formula>
    </cfRule>
  </conditionalFormatting>
  <conditionalFormatting sqref="B21">
    <cfRule type="expression" dxfId="638" priority="82">
      <formula>C21&lt;&gt;""</formula>
    </cfRule>
  </conditionalFormatting>
  <conditionalFormatting sqref="C21:P21">
    <cfRule type="expression" dxfId="637" priority="83">
      <formula>C21=""</formula>
    </cfRule>
  </conditionalFormatting>
  <conditionalFormatting sqref="C21:P21">
    <cfRule type="expression" dxfId="636" priority="84">
      <formula>C21&lt;&gt;""</formula>
    </cfRule>
  </conditionalFormatting>
  <conditionalFormatting sqref="Q21">
    <cfRule type="expression" dxfId="635" priority="85">
      <formula>C21=""</formula>
    </cfRule>
  </conditionalFormatting>
  <conditionalFormatting sqref="Q21">
    <cfRule type="expression" dxfId="634" priority="86">
      <formula>C21&lt;&gt;""</formula>
    </cfRule>
  </conditionalFormatting>
  <conditionalFormatting sqref="R21">
    <cfRule type="expression" dxfId="633" priority="87">
      <formula>C21=""</formula>
    </cfRule>
  </conditionalFormatting>
  <conditionalFormatting sqref="R21">
    <cfRule type="expression" dxfId="632" priority="88">
      <formula>C21&lt;&gt;""</formula>
    </cfRule>
  </conditionalFormatting>
  <conditionalFormatting sqref="B22">
    <cfRule type="expression" dxfId="631" priority="89">
      <formula>C22=""</formula>
    </cfRule>
  </conditionalFormatting>
  <conditionalFormatting sqref="B22">
    <cfRule type="expression" dxfId="630" priority="90">
      <formula>C22&lt;&gt;""</formula>
    </cfRule>
  </conditionalFormatting>
  <conditionalFormatting sqref="C22:P22">
    <cfRule type="expression" dxfId="629" priority="91">
      <formula>C22=""</formula>
    </cfRule>
  </conditionalFormatting>
  <conditionalFormatting sqref="C22:P22">
    <cfRule type="expression" dxfId="628" priority="92">
      <formula>C22&lt;&gt;""</formula>
    </cfRule>
  </conditionalFormatting>
  <conditionalFormatting sqref="Q22">
    <cfRule type="expression" dxfId="627" priority="93">
      <formula>C22=""</formula>
    </cfRule>
  </conditionalFormatting>
  <conditionalFormatting sqref="Q22">
    <cfRule type="expression" dxfId="626" priority="94">
      <formula>C22&lt;&gt;""</formula>
    </cfRule>
  </conditionalFormatting>
  <conditionalFormatting sqref="R22">
    <cfRule type="expression" dxfId="625" priority="95">
      <formula>C22=""</formula>
    </cfRule>
  </conditionalFormatting>
  <conditionalFormatting sqref="R22">
    <cfRule type="expression" dxfId="624" priority="96">
      <formula>C22&lt;&gt;""</formula>
    </cfRule>
  </conditionalFormatting>
  <conditionalFormatting sqref="B23">
    <cfRule type="expression" dxfId="623" priority="97">
      <formula>C23=""</formula>
    </cfRule>
  </conditionalFormatting>
  <conditionalFormatting sqref="B23">
    <cfRule type="expression" dxfId="622" priority="98">
      <formula>C23&lt;&gt;""</formula>
    </cfRule>
  </conditionalFormatting>
  <conditionalFormatting sqref="C23:P23">
    <cfRule type="expression" dxfId="621" priority="99">
      <formula>C23=""</formula>
    </cfRule>
  </conditionalFormatting>
  <conditionalFormatting sqref="C23:P23">
    <cfRule type="expression" dxfId="620" priority="100">
      <formula>C23&lt;&gt;""</formula>
    </cfRule>
  </conditionalFormatting>
  <conditionalFormatting sqref="Q23">
    <cfRule type="expression" dxfId="619" priority="101">
      <formula>C23=""</formula>
    </cfRule>
  </conditionalFormatting>
  <conditionalFormatting sqref="Q23">
    <cfRule type="expression" dxfId="618" priority="102">
      <formula>C23&lt;&gt;""</formula>
    </cfRule>
  </conditionalFormatting>
  <conditionalFormatting sqref="R23">
    <cfRule type="expression" dxfId="617" priority="103">
      <formula>C23=""</formula>
    </cfRule>
  </conditionalFormatting>
  <conditionalFormatting sqref="R23">
    <cfRule type="expression" dxfId="616" priority="104">
      <formula>C23&lt;&gt;""</formula>
    </cfRule>
  </conditionalFormatting>
  <conditionalFormatting sqref="B24">
    <cfRule type="expression" dxfId="615" priority="105">
      <formula>C24=""</formula>
    </cfRule>
  </conditionalFormatting>
  <conditionalFormatting sqref="B24">
    <cfRule type="expression" dxfId="614" priority="106">
      <formula>C24&lt;&gt;""</formula>
    </cfRule>
  </conditionalFormatting>
  <conditionalFormatting sqref="C24:P24">
    <cfRule type="expression" dxfId="613" priority="107">
      <formula>C24=""</formula>
    </cfRule>
  </conditionalFormatting>
  <conditionalFormatting sqref="C24:P24">
    <cfRule type="expression" dxfId="612" priority="108">
      <formula>C24&lt;&gt;""</formula>
    </cfRule>
  </conditionalFormatting>
  <conditionalFormatting sqref="Q24">
    <cfRule type="expression" dxfId="611" priority="109">
      <formula>C24=""</formula>
    </cfRule>
  </conditionalFormatting>
  <conditionalFormatting sqref="Q24">
    <cfRule type="expression" dxfId="610" priority="110">
      <formula>C24&lt;&gt;""</formula>
    </cfRule>
  </conditionalFormatting>
  <conditionalFormatting sqref="R24">
    <cfRule type="expression" dxfId="609" priority="111">
      <formula>C24=""</formula>
    </cfRule>
  </conditionalFormatting>
  <conditionalFormatting sqref="R24">
    <cfRule type="expression" dxfId="608" priority="112">
      <formula>C24&lt;&gt;""</formula>
    </cfRule>
  </conditionalFormatting>
  <conditionalFormatting sqref="B25">
    <cfRule type="expression" dxfId="607" priority="113">
      <formula>C25=""</formula>
    </cfRule>
  </conditionalFormatting>
  <conditionalFormatting sqref="B25">
    <cfRule type="expression" dxfId="606" priority="114">
      <formula>C25&lt;&gt;""</formula>
    </cfRule>
  </conditionalFormatting>
  <conditionalFormatting sqref="C25:P25">
    <cfRule type="expression" dxfId="605" priority="115">
      <formula>C25=""</formula>
    </cfRule>
  </conditionalFormatting>
  <conditionalFormatting sqref="C25:P25">
    <cfRule type="expression" dxfId="604" priority="116">
      <formula>C25&lt;&gt;""</formula>
    </cfRule>
  </conditionalFormatting>
  <conditionalFormatting sqref="Q25">
    <cfRule type="expression" dxfId="603" priority="117">
      <formula>C25=""</formula>
    </cfRule>
  </conditionalFormatting>
  <conditionalFormatting sqref="Q25">
    <cfRule type="expression" dxfId="602" priority="118">
      <formula>C25&lt;&gt;""</formula>
    </cfRule>
  </conditionalFormatting>
  <conditionalFormatting sqref="R25">
    <cfRule type="expression" dxfId="601" priority="119">
      <formula>C25=""</formula>
    </cfRule>
  </conditionalFormatting>
  <conditionalFormatting sqref="R25">
    <cfRule type="expression" dxfId="600" priority="120">
      <formula>C25&lt;&gt;""</formula>
    </cfRule>
  </conditionalFormatting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B31"/>
  <sheetViews>
    <sheetView showGridLines="0" zoomScaleNormal="100" workbookViewId="0">
      <selection activeCell="Q11" sqref="Q11:Q26"/>
    </sheetView>
  </sheetViews>
  <sheetFormatPr baseColWidth="10" defaultColWidth="8.88671875" defaultRowHeight="14.4" x14ac:dyDescent="0.3"/>
  <cols>
    <col min="1" max="1" width="1.5546875" customWidth="1"/>
    <col min="2" max="2" width="5.33203125" customWidth="1"/>
    <col min="3" max="3" width="10.44140625" customWidth="1"/>
    <col min="4" max="4" width="21.88671875" customWidth="1"/>
    <col min="5" max="5" width="10.44140625" customWidth="1"/>
    <col min="6" max="8" width="5.33203125" customWidth="1"/>
    <col min="9" max="9" width="8.5546875" bestFit="1" customWidth="1"/>
    <col min="10" max="10" width="10.109375" bestFit="1" customWidth="1"/>
    <col min="11" max="11" width="8.5546875" bestFit="1" customWidth="1"/>
    <col min="12" max="12" width="10.44140625" bestFit="1" customWidth="1"/>
    <col min="13" max="13" width="8" customWidth="1"/>
    <col min="14" max="14" width="7.109375" bestFit="1" customWidth="1"/>
    <col min="15" max="15" width="9.6640625" bestFit="1" customWidth="1"/>
    <col min="16" max="16" width="7.88671875" bestFit="1" customWidth="1"/>
    <col min="17" max="17" width="14" bestFit="1" customWidth="1"/>
  </cols>
  <sheetData>
    <row r="1" spans="2:18" ht="30" customHeight="1" x14ac:dyDescent="0.3">
      <c r="B1" s="383" t="str">
        <f>"FinSight IA  ·  Conso. Déf.  ·  "&amp;TRIM(MID('DONNÉES BRUTES'!A$1,FIND("·",'DONNÉES BRUTES'!A$1)+1,FIND("·",'DONNÉES BRUTES'!A$1,FIND("·",'DONNÉES BRUTES'!A$1)+1)-FIND("·",'DONNÉES BRUTES'!A$1)-1))&amp;"  ·  "&amp;COUNTIF('DONNÉES BRUTES'!C$3:C$42,"Conso. Déf.")&amp;" sociétés  ·  17/04/2026"</f>
        <v>FinSight IA  ·  Conso. Déf.  ·  FTSE 100  ·  1 sociétés  ·  17/04/2026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2" spans="2:18" ht="18" customHeight="1" x14ac:dyDescent="0.3">
      <c r="B2" s="386" t="s">
        <v>412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</row>
    <row r="3" spans="2:18" ht="8.1" customHeight="1" x14ac:dyDescent="0.3"/>
    <row r="4" spans="2:18" ht="8.1" customHeight="1" x14ac:dyDescent="0.3"/>
    <row r="5" spans="2:18" ht="39.9" customHeight="1" x14ac:dyDescent="0.3">
      <c r="B5" s="166"/>
      <c r="C5" s="157">
        <f>COUNTIF('DONNÉES BRUTES'!C$3:C$42,"Conso. Déf.")</f>
        <v>1</v>
      </c>
      <c r="D5" s="166"/>
      <c r="E5" s="164" t="str">
        <f>IFERROR(ROUND(AVERAGEIF('DONNÉES BRUTES'!C$3:C$42,"Conso. Déf.",'DONNÉES BRUTES'!AB$3:AB$42),0)&amp;"/100","—")</f>
        <v>60/100</v>
      </c>
      <c r="F5" s="164"/>
      <c r="G5" s="164"/>
      <c r="H5" s="160" t="str" cm="1">
        <f t="array" ref="H5">IFERROR(IF(COUNTIF('DONNÉES BRUTES'!C$3:C$42,"Conso. Déf.")=0,"—",INDEX('DONNÉES BRUTES'!B$3:B$42,MATCH(LARGE(IF('DONNÉES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British American Tobacco p.l.c.</v>
      </c>
      <c r="I5" s="164"/>
      <c r="J5" s="164"/>
      <c r="K5" s="164"/>
      <c r="L5" s="191" t="str">
        <f>IFERROR(VLOOKUP("Conso. Déf.",'PAR SECTEUR'!B$8:G$17,6,0),"—")</f>
        <v>—</v>
      </c>
      <c r="M5" s="164"/>
      <c r="N5" s="162">
        <f t="array" ref="N5">IFERROR(ROUND(MEDIAN(IF('DONNÉES BRUTES'!C$3:C$42="Conso. Déf.",IF(ISNUMBER('DONNÉES BRUTES'!Y$3:Y$42),'DONNÉES BRUTES'!Y$3:Y$42))),0),"—")</f>
        <v>63</v>
      </c>
      <c r="O5" s="164"/>
      <c r="P5" s="163" t="str">
        <f>IFERROR(VLOOKUP("Conso. Déf.",'PAR SECTEUR'!B$8:J$17,9,0),"—")</f>
        <v>—</v>
      </c>
      <c r="Q5" s="164"/>
    </row>
    <row r="6" spans="2:18" ht="15.9" customHeight="1" x14ac:dyDescent="0.3">
      <c r="B6" s="166"/>
      <c r="C6" s="159" t="s">
        <v>413</v>
      </c>
      <c r="D6" s="159"/>
      <c r="E6" s="158" t="s">
        <v>414</v>
      </c>
      <c r="F6" s="158"/>
      <c r="G6" s="158"/>
      <c r="H6" s="161" t="s">
        <v>415</v>
      </c>
      <c r="I6" s="158"/>
      <c r="J6" s="158"/>
      <c r="K6" s="159"/>
      <c r="L6" s="158" t="s">
        <v>388</v>
      </c>
      <c r="M6" s="159"/>
      <c r="N6" s="158" t="s">
        <v>416</v>
      </c>
      <c r="O6" s="159"/>
      <c r="P6" s="158" t="s">
        <v>21</v>
      </c>
      <c r="Q6" s="158"/>
    </row>
    <row r="7" spans="2:18" ht="8.1" customHeight="1" x14ac:dyDescent="0.3"/>
    <row r="8" spans="2:18" ht="21.9" customHeight="1" x14ac:dyDescent="0.3">
      <c r="B8" s="384" t="str">
        <f>"ANALYSE DÉTAILLÉE  ·  "&amp;UPPER("Conso. Déf.")&amp;"  ·  "&amp;COUNTIF('DONNÉES BRUTES'!C$3:C$42,"Conso. Déf.")&amp;" sociétés  ·  Triée par Score Global"</f>
        <v>ANALYSE DÉTAILLÉE  ·  CONSO. DÉF.  ·  1 sociétés  ·  Triée par Score Global</v>
      </c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</row>
    <row r="9" spans="2:18" ht="6" customHeight="1" x14ac:dyDescent="0.3"/>
    <row r="10" spans="2:18" ht="20.100000000000001" customHeight="1" x14ac:dyDescent="0.3">
      <c r="B10" s="261" t="s">
        <v>8</v>
      </c>
      <c r="C10" s="262" t="s">
        <v>9</v>
      </c>
      <c r="D10" s="262" t="s">
        <v>10</v>
      </c>
      <c r="E10" s="263" t="s">
        <v>11</v>
      </c>
      <c r="F10" s="263" t="s">
        <v>417</v>
      </c>
      <c r="G10" s="263" t="s">
        <v>418</v>
      </c>
      <c r="H10" s="263" t="s">
        <v>419</v>
      </c>
      <c r="I10" s="263" t="s">
        <v>420</v>
      </c>
      <c r="J10" s="263" t="s">
        <v>345</v>
      </c>
      <c r="K10" s="263" t="s">
        <v>421</v>
      </c>
      <c r="L10" s="263" t="s">
        <v>346</v>
      </c>
      <c r="M10" s="263" t="s">
        <v>124</v>
      </c>
      <c r="N10" s="263" t="s">
        <v>422</v>
      </c>
      <c r="O10" s="263" t="s">
        <v>423</v>
      </c>
      <c r="P10" s="263" t="s">
        <v>32</v>
      </c>
      <c r="Q10" s="264" t="s">
        <v>21</v>
      </c>
    </row>
    <row r="11" spans="2:18" ht="18" customHeight="1" x14ac:dyDescent="0.3">
      <c r="B11" s="396">
        <v>1</v>
      </c>
      <c r="C11" s="396" t="str">
        <f t="array" ref="C11">IFERROR(IF(1&gt;COUNTIF('DONNÉES BRUTES'!C$3:C$42,"Conso. Déf."),"",INDEX('DONNÉES BRUTES'!A$3:A$42,MATCH(LARGE(IF('DONNÉES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BATS.L</v>
      </c>
      <c r="D11" s="396" t="str">
        <f t="array" ref="D11">IFERROR(IF(1&gt;COUNTIF('DONNÉES BRUTES'!C$3:C$42,"Conso. Déf."),"",INDEX('DONNÉES BRUTES'!B$3:B$42,MATCH(LARGE(IF('DONNÉES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British American Tobacco p.l.c.</v>
      </c>
      <c r="E11" s="396" t="str">
        <f t="array" ref="E11">IFERROR(IF(1&gt;COUNTIF('DONNÉES BRUTES'!C$3:C$42,"Conso. Déf."),"",INT(LARGE(IF('DONNÉES BRUTES'!C$3:C$42="Conso. Déf.",'DONNÉES BRUTES'!AB$3:AB$42+(ROW('DONNÉES BRUTES'!A$3:A$42)-ROW('DONNÉES BRUTES'!A$3))/1000,0),1))&amp;"/100"),"—")</f>
        <v>60/100</v>
      </c>
      <c r="F11" s="396">
        <f t="array" ref="F11">IFERROR(IF(1&gt;COUNTIF('DONNÉES BRUTES'!C$3:C$42,"Conso. Déf."),"",INDEX('DONNÉES BRUTES'!Y$3:Y$42,MATCH(LARGE(IF('DONNÉES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63</v>
      </c>
      <c r="G11" s="396">
        <f t="array" ref="G11">IFERROR(IF(1&gt;COUNTIF('DONNÉES BRUTES'!C$3:C$42,"Conso. Déf."),"",INDEX('DONNÉES BRUTES'!Z$3:Z$42,MATCH(LARGE(IF('DONNÉES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48</v>
      </c>
      <c r="H11" s="396">
        <f t="array" ref="H11">IFERROR(IF(1&gt;COUNTIF('DONNÉES BRUTES'!C$3:C$42,"Conso. Déf."),"",INDEX('DONNÉES BRUTES'!AA$3:AA$42,MATCH(LARGE(IF('DONNÉES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65</v>
      </c>
      <c r="I11" s="396" t="str">
        <f t="array" ref="I11">IFERROR(IF(1&gt;COUNTIF('DONNÉES BRUTES'!C$3:C$42,"Conso. Déf."),"",INDEX('DONNÉES BRUTES'!M$3:M$42,MATCH(LARGE(IF('DONNÉES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83.5%</v>
      </c>
      <c r="J11" s="396" t="str">
        <f t="array" ref="J11">IFERROR(IF(1&gt;COUNTIF('DONNÉES BRUTES'!C$3:C$42,"Conso. Déf."),"",INDEX('DONNÉES BRUTES'!N$3:N$42,MATCH(LARGE(IF('DONNÉES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54.9%</v>
      </c>
      <c r="K11" s="396" t="str">
        <f t="array" ref="K11">IFERROR(IF(1&gt;COUNTIF('DONNÉES BRUTES'!C$3:C$42,"Conso. Déf."),"",INDEX('DONNÉES BRUTES'!O$3:O$42,MATCH(LARGE(IF('DONNÉES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30.3%</v>
      </c>
      <c r="L11" s="396" t="str">
        <f t="array" ref="L11">IFERROR(IF(1&gt;COUNTIF('DONNÉES BRUTES'!C$3:C$42,"Conso. Déf."),"",INDEX('DONNÉES BRUTES'!P$3:P$42,MATCH(LARGE(IF('DONNÉES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-1.0%</v>
      </c>
      <c r="M11" s="396" t="str">
        <f t="array" ref="M11">IFERROR(IF(1&gt;COUNTIF('DONNÉES BRUTES'!C$3:C$42,"Conso. Déf."),"",INDEX('DONNÉES BRUTES'!Q$3:Q$42,MATCH(LARGE(IF('DONNÉES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+16.2%</v>
      </c>
      <c r="N11" s="396">
        <f t="array" ref="N11">IFERROR(IF(1&gt;COUNTIF('DONNÉES BRUTES'!C$3:C$42,"Conso. Déf."),"",INDEX('DONNÉES BRUTES'!S$3:S$42,MATCH(LARGE(IF('DONNÉES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0.87</v>
      </c>
      <c r="O11" s="396" t="str">
        <f t="array" ref="O11">IFERROR(IF(1&gt;COUNTIF('DONNÉES BRUTES'!C$3:C$42,"Conso. Déf."),"",INDEX('DONNÉES BRUTES'!T$3:T$42,MATCH(LARGE(IF('DONNÉES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2.2x</v>
      </c>
      <c r="P11" s="396">
        <f t="array" ref="P11">IFERROR(IF(1&gt;COUNTIF('DONNÉES BRUTES'!C$3:C$42,"Conso. Déf."),"",INDEX('DONNÉES BRUTES'!U$3:U$42,MATCH(LARGE(IF('DONNÉES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2.25</v>
      </c>
      <c r="Q11" s="405" t="str">
        <f t="array" ref="Q11">IFERROR(IF(1&gt;COUNTIF('DONNÉES BRUTES'!C$3:C$42,"Conso. Déf."),"",INDEX('DONNÉES BRUTES'!AD$3:AD$42,MATCH(LARGE(IF('DONNÉES BRUTES'!C$3:C$42="Conso. Déf.",'DONNÉES BRUTES'!AB$3:AB$42+(ROW('DONNÉES BRUTES'!A$3:A$42)-ROW('DONNÉES BRUTES'!A$3))/1000,0),1),IF('DONNÉES BRUTES'!C$3:C$42="Conso. Déf.",'DONNÉES BRUTES'!AB$3:AB$42+(ROW('DONNÉES BRUTES'!A$3:A$42)-ROW('DONNÉES BRUTES'!A$3))/1000,0),0))),"—")</f>
        <v>Surpondérer</v>
      </c>
      <c r="R11" s="397"/>
    </row>
    <row r="12" spans="2:18" ht="15.9" customHeight="1" x14ac:dyDescent="0.3">
      <c r="B12" s="398">
        <v>2</v>
      </c>
      <c r="C12" s="398" t="str">
        <f t="array" ref="C12">IFERROR(IF(2&gt;COUNTIF('DONNÉES BRUTES'!C$3:C$42,"Conso. Déf."),"",INDEX('DONNÉES BRUTES'!A$3:A$42,MATCH(LARGE(IF('DONNÉES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D12" s="398" t="str">
        <f t="array" ref="D12">IFERROR(IF(2&gt;COUNTIF('DONNÉES BRUTES'!C$3:C$42,"Conso. Déf."),"",INDEX('DONNÉES BRUTES'!B$3:B$42,MATCH(LARGE(IF('DONNÉES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E12" s="398" t="str">
        <f t="array" ref="E12">IFERROR(IF(2&gt;COUNTIF('DONNÉES BRUTES'!C$3:C$42,"Conso. Déf."),"",INT(LARGE(IF('DONNÉES BRUTES'!C$3:C$42="Conso. Déf.",'DONNÉES BRUTES'!AB$3:AB$42+(ROW('DONNÉES BRUTES'!A$3:A$42)-ROW('DONNÉES BRUTES'!A$3))/1000,0),2))&amp;"/100"),"—")</f>
        <v/>
      </c>
      <c r="F12" s="398" t="str">
        <f t="array" ref="F12">IFERROR(IF(2&gt;COUNTIF('DONNÉES BRUTES'!C$3:C$42,"Conso. Déf."),"",INDEX('DONNÉES BRUTES'!Y$3:Y$42,MATCH(LARGE(IF('DONNÉES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G12" s="398" t="str">
        <f t="array" ref="G12">IFERROR(IF(2&gt;COUNTIF('DONNÉES BRUTES'!C$3:C$42,"Conso. Déf."),"",INDEX('DONNÉES BRUTES'!Z$3:Z$42,MATCH(LARGE(IF('DONNÉES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H12" s="398" t="str">
        <f t="array" ref="H12">IFERROR(IF(2&gt;COUNTIF('DONNÉES BRUTES'!C$3:C$42,"Conso. Déf."),"",INDEX('DONNÉES BRUTES'!AA$3:AA$42,MATCH(LARGE(IF('DONNÉES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I12" s="398" t="str">
        <f t="array" ref="I12">IFERROR(IF(2&gt;COUNTIF('DONNÉES BRUTES'!C$3:C$42,"Conso. Déf."),"",INDEX('DONNÉES BRUTES'!M$3:M$42,MATCH(LARGE(IF('DONNÉES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J12" s="398" t="str">
        <f t="array" ref="J12">IFERROR(IF(2&gt;COUNTIF('DONNÉES BRUTES'!C$3:C$42,"Conso. Déf."),"",INDEX('DONNÉES BRUTES'!N$3:N$42,MATCH(LARGE(IF('DONNÉES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K12" s="398" t="str">
        <f t="array" ref="K12">IFERROR(IF(2&gt;COUNTIF('DONNÉES BRUTES'!C$3:C$42,"Conso. Déf."),"",INDEX('DONNÉES BRUTES'!O$3:O$42,MATCH(LARGE(IF('DONNÉES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L12" s="398" t="str">
        <f t="array" ref="L12">IFERROR(IF(2&gt;COUNTIF('DONNÉES BRUTES'!C$3:C$42,"Conso. Déf."),"",INDEX('DONNÉES BRUTES'!P$3:P$42,MATCH(LARGE(IF('DONNÉES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M12" s="398" t="str">
        <f t="array" ref="M12">IFERROR(IF(2&gt;COUNTIF('DONNÉES BRUTES'!C$3:C$42,"Conso. Déf."),"",INDEX('DONNÉES BRUTES'!Q$3:Q$42,MATCH(LARGE(IF('DONNÉES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N12" s="398" t="str">
        <f t="array" ref="N12">IFERROR(IF(2&gt;COUNTIF('DONNÉES BRUTES'!C$3:C$42,"Conso. Déf."),"",INDEX('DONNÉES BRUTES'!S$3:S$42,MATCH(LARGE(IF('DONNÉES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O12" s="398" t="str">
        <f t="array" ref="O12">IFERROR(IF(2&gt;COUNTIF('DONNÉES BRUTES'!C$3:C$42,"Conso. Déf."),"",INDEX('DONNÉES BRUTES'!T$3:T$42,MATCH(LARGE(IF('DONNÉES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P12" s="398" t="str">
        <f t="array" ref="P12">IFERROR(IF(2&gt;COUNTIF('DONNÉES BRUTES'!C$3:C$42,"Conso. Déf."),"",INDEX('DONNÉES BRUTES'!U$3:U$42,MATCH(LARGE(IF('DONNÉES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Q12" s="406" t="str">
        <f t="array" ref="Q12">IFERROR(IF(2&gt;COUNTIF('DONNÉES BRUTES'!C$3:C$42,"Conso. Déf."),"",INDEX('DONNÉES BRUTES'!AD$3:AD$42,MATCH(LARGE(IF('DONNÉES BRUTES'!C$3:C$42="Conso. Déf.",'DONNÉES BRUTES'!AB$3:AB$42+(ROW('DONNÉES BRUTES'!A$3:A$42)-ROW('DONNÉES BRUTES'!A$3))/1000,0),2),IF('DONNÉES BRUTES'!C$3:C$42="Conso. Déf.",'DONNÉES BRUTES'!AB$3:AB$42+(ROW('DONNÉES BRUTES'!A$3:A$42)-ROW('DONNÉES BRUTES'!A$3))/1000,0),0))),"—")</f>
        <v/>
      </c>
      <c r="R12" s="397"/>
    </row>
    <row r="13" spans="2:18" ht="15.9" customHeight="1" x14ac:dyDescent="0.3">
      <c r="B13" s="396">
        <v>3</v>
      </c>
      <c r="C13" s="396" t="str">
        <f t="array" ref="C13">IFERROR(IF(3&gt;COUNTIF('DONNÉES BRUTES'!C$3:C$42,"Conso. Déf."),"",INDEX('DONNÉES BRUTES'!A$3:A$42,MATCH(LARGE(IF('DONNÉES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D13" s="396" t="str">
        <f t="array" ref="D13">IFERROR(IF(3&gt;COUNTIF('DONNÉES BRUTES'!C$3:C$42,"Conso. Déf."),"",INDEX('DONNÉES BRUTES'!B$3:B$42,MATCH(LARGE(IF('DONNÉES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E13" s="396" t="str">
        <f t="array" ref="E13">IFERROR(IF(3&gt;COUNTIF('DONNÉES BRUTES'!C$3:C$42,"Conso. Déf."),"",INT(LARGE(IF('DONNÉES BRUTES'!C$3:C$42="Conso. Déf.",'DONNÉES BRUTES'!AB$3:AB$42+(ROW('DONNÉES BRUTES'!A$3:A$42)-ROW('DONNÉES BRUTES'!A$3))/1000,0),3))&amp;"/100"),"—")</f>
        <v/>
      </c>
      <c r="F13" s="396" t="str">
        <f t="array" ref="F13">IFERROR(IF(3&gt;COUNTIF('DONNÉES BRUTES'!C$3:C$42,"Conso. Déf."),"",INDEX('DONNÉES BRUTES'!Y$3:Y$42,MATCH(LARGE(IF('DONNÉES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G13" s="396" t="str">
        <f t="array" ref="G13">IFERROR(IF(3&gt;COUNTIF('DONNÉES BRUTES'!C$3:C$42,"Conso. Déf."),"",INDEX('DONNÉES BRUTES'!Z$3:Z$42,MATCH(LARGE(IF('DONNÉES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H13" s="396" t="str">
        <f t="array" ref="H13">IFERROR(IF(3&gt;COUNTIF('DONNÉES BRUTES'!C$3:C$42,"Conso. Déf."),"",INDEX('DONNÉES BRUTES'!AA$3:AA$42,MATCH(LARGE(IF('DONNÉES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I13" s="396" t="str">
        <f t="array" ref="I13">IFERROR(IF(3&gt;COUNTIF('DONNÉES BRUTES'!C$3:C$42,"Conso. Déf."),"",INDEX('DONNÉES BRUTES'!M$3:M$42,MATCH(LARGE(IF('DONNÉES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J13" s="396" t="str">
        <f t="array" ref="J13">IFERROR(IF(3&gt;COUNTIF('DONNÉES BRUTES'!C$3:C$42,"Conso. Déf."),"",INDEX('DONNÉES BRUTES'!N$3:N$42,MATCH(LARGE(IF('DONNÉES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K13" s="396" t="str">
        <f t="array" ref="K13">IFERROR(IF(3&gt;COUNTIF('DONNÉES BRUTES'!C$3:C$42,"Conso. Déf."),"",INDEX('DONNÉES BRUTES'!O$3:O$42,MATCH(LARGE(IF('DONNÉES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L13" s="396" t="str">
        <f t="array" ref="L13">IFERROR(IF(3&gt;COUNTIF('DONNÉES BRUTES'!C$3:C$42,"Conso. Déf."),"",INDEX('DONNÉES BRUTES'!P$3:P$42,MATCH(LARGE(IF('DONNÉES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M13" s="396" t="str">
        <f t="array" ref="M13">IFERROR(IF(3&gt;COUNTIF('DONNÉES BRUTES'!C$3:C$42,"Conso. Déf."),"",INDEX('DONNÉES BRUTES'!Q$3:Q$42,MATCH(LARGE(IF('DONNÉES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N13" s="396" t="str">
        <f t="array" ref="N13">IFERROR(IF(3&gt;COUNTIF('DONNÉES BRUTES'!C$3:C$42,"Conso. Déf."),"",INDEX('DONNÉES BRUTES'!S$3:S$42,MATCH(LARGE(IF('DONNÉES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O13" s="396" t="str">
        <f t="array" ref="O13">IFERROR(IF(3&gt;COUNTIF('DONNÉES BRUTES'!C$3:C$42,"Conso. Déf."),"",INDEX('DONNÉES BRUTES'!T$3:T$42,MATCH(LARGE(IF('DONNÉES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P13" s="396" t="str">
        <f t="array" ref="P13">IFERROR(IF(3&gt;COUNTIF('DONNÉES BRUTES'!C$3:C$42,"Conso. Déf."),"",INDEX('DONNÉES BRUTES'!U$3:U$42,MATCH(LARGE(IF('DONNÉES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Q13" s="405" t="str">
        <f t="array" ref="Q13">IFERROR(IF(3&gt;COUNTIF('DONNÉES BRUTES'!C$3:C$42,"Conso. Déf."),"",INDEX('DONNÉES BRUTES'!AD$3:AD$42,MATCH(LARGE(IF('DONNÉES BRUTES'!C$3:C$42="Conso. Déf.",'DONNÉES BRUTES'!AB$3:AB$42+(ROW('DONNÉES BRUTES'!A$3:A$42)-ROW('DONNÉES BRUTES'!A$3))/1000,0),3),IF('DONNÉES BRUTES'!C$3:C$42="Conso. Déf.",'DONNÉES BRUTES'!AB$3:AB$42+(ROW('DONNÉES BRUTES'!A$3:A$42)-ROW('DONNÉES BRUTES'!A$3))/1000,0),0))),"—")</f>
        <v/>
      </c>
      <c r="R13" s="397"/>
    </row>
    <row r="14" spans="2:18" ht="15.9" customHeight="1" x14ac:dyDescent="0.3">
      <c r="B14" s="398">
        <v>4</v>
      </c>
      <c r="C14" s="398" t="str">
        <f t="array" ref="C14">IFERROR(IF(4&gt;COUNTIF('DONNÉES BRUTES'!C$3:C$42,"Conso. Déf."),"",INDEX('DONNÉES BRUTES'!A$3:A$42,MATCH(LARGE(IF('DONNÉES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D14" s="398" t="str">
        <f t="array" ref="D14">IFERROR(IF(4&gt;COUNTIF('DONNÉES BRUTES'!C$3:C$42,"Conso. Déf."),"",INDEX('DONNÉES BRUTES'!B$3:B$42,MATCH(LARGE(IF('DONNÉES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E14" s="398" t="str">
        <f t="array" ref="E14">IFERROR(IF(4&gt;COUNTIF('DONNÉES BRUTES'!C$3:C$42,"Conso. Déf."),"",INT(LARGE(IF('DONNÉES BRUTES'!C$3:C$42="Conso. Déf.",'DONNÉES BRUTES'!AB$3:AB$42+(ROW('DONNÉES BRUTES'!A$3:A$42)-ROW('DONNÉES BRUTES'!A$3))/1000,0),4))&amp;"/100"),"—")</f>
        <v/>
      </c>
      <c r="F14" s="398" t="str">
        <f t="array" ref="F14">IFERROR(IF(4&gt;COUNTIF('DONNÉES BRUTES'!C$3:C$42,"Conso. Déf."),"",INDEX('DONNÉES BRUTES'!Y$3:Y$42,MATCH(LARGE(IF('DONNÉES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G14" s="398" t="str">
        <f t="array" ref="G14">IFERROR(IF(4&gt;COUNTIF('DONNÉES BRUTES'!C$3:C$42,"Conso. Déf."),"",INDEX('DONNÉES BRUTES'!Z$3:Z$42,MATCH(LARGE(IF('DONNÉES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H14" s="398" t="str">
        <f t="array" ref="H14">IFERROR(IF(4&gt;COUNTIF('DONNÉES BRUTES'!C$3:C$42,"Conso. Déf."),"",INDEX('DONNÉES BRUTES'!AA$3:AA$42,MATCH(LARGE(IF('DONNÉES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I14" s="398" t="str">
        <f t="array" ref="I14">IFERROR(IF(4&gt;COUNTIF('DONNÉES BRUTES'!C$3:C$42,"Conso. Déf."),"",INDEX('DONNÉES BRUTES'!M$3:M$42,MATCH(LARGE(IF('DONNÉES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J14" s="398" t="str">
        <f t="array" ref="J14">IFERROR(IF(4&gt;COUNTIF('DONNÉES BRUTES'!C$3:C$42,"Conso. Déf."),"",INDEX('DONNÉES BRUTES'!N$3:N$42,MATCH(LARGE(IF('DONNÉES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K14" s="398" t="str">
        <f t="array" ref="K14">IFERROR(IF(4&gt;COUNTIF('DONNÉES BRUTES'!C$3:C$42,"Conso. Déf."),"",INDEX('DONNÉES BRUTES'!O$3:O$42,MATCH(LARGE(IF('DONNÉES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L14" s="398" t="str">
        <f t="array" ref="L14">IFERROR(IF(4&gt;COUNTIF('DONNÉES BRUTES'!C$3:C$42,"Conso. Déf."),"",INDEX('DONNÉES BRUTES'!P$3:P$42,MATCH(LARGE(IF('DONNÉES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M14" s="398" t="str">
        <f t="array" ref="M14">IFERROR(IF(4&gt;COUNTIF('DONNÉES BRUTES'!C$3:C$42,"Conso. Déf."),"",INDEX('DONNÉES BRUTES'!Q$3:Q$42,MATCH(LARGE(IF('DONNÉES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N14" s="398" t="str">
        <f t="array" ref="N14">IFERROR(IF(4&gt;COUNTIF('DONNÉES BRUTES'!C$3:C$42,"Conso. Déf."),"",INDEX('DONNÉES BRUTES'!S$3:S$42,MATCH(LARGE(IF('DONNÉES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O14" s="398" t="str">
        <f t="array" ref="O14">IFERROR(IF(4&gt;COUNTIF('DONNÉES BRUTES'!C$3:C$42,"Conso. Déf."),"",INDEX('DONNÉES BRUTES'!T$3:T$42,MATCH(LARGE(IF('DONNÉES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P14" s="398" t="str">
        <f t="array" ref="P14">IFERROR(IF(4&gt;COUNTIF('DONNÉES BRUTES'!C$3:C$42,"Conso. Déf."),"",INDEX('DONNÉES BRUTES'!U$3:U$42,MATCH(LARGE(IF('DONNÉES BRUTES'!C$3:C$42="Conso. Déf.",'DONNÉES BRUTES'!AB$3:AB$42+(ROW('DONNÉES BRUTES'!A$3:A$42)-ROW('DONNÉES BRUTES'!A$3))/1000,0),4),IF('DONNÉES BRUTES'!C$3:C$42="Conso. Déf.",'DONNÉES BRUTES'!AB$3:AB$42+(ROW('DONNÉES BRUTES'!A$3:A$42)-ROW('DONNÉES BRUTES'!A$3))/1000,0),0))),"—")</f>
        <v/>
      </c>
      <c r="Q14" s="406"/>
      <c r="R14" s="397"/>
    </row>
    <row r="15" spans="2:18" ht="15.9" customHeight="1" x14ac:dyDescent="0.3">
      <c r="B15" s="397">
        <v>5</v>
      </c>
      <c r="C15" s="397" t="str">
        <f t="array" ref="C15">IFERROR(IF(5&gt;COUNTIF('DONNÉES BRUTES'!C$3:C$42,"Conso. Déf."),"",INDEX('DONNÉES BRUTES'!A$3:A$42,MATCH(LARGE(IF('DONNÉES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D15" s="397" t="str">
        <f t="array" ref="D15">IFERROR(IF(5&gt;COUNTIF('DONNÉES BRUTES'!C$3:C$42,"Conso. Déf."),"",INDEX('DONNÉES BRUTES'!B$3:B$42,MATCH(LARGE(IF('DONNÉES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E15" s="397" t="str">
        <f t="array" ref="E15">IFERROR(IF(5&gt;COUNTIF('DONNÉES BRUTES'!C$3:C$42,"Conso. Déf."),"",INT(LARGE(IF('DONNÉES BRUTES'!C$3:C$42="Conso. Déf.",'DONNÉES BRUTES'!AB$3:AB$42+(ROW('DONNÉES BRUTES'!A$3:A$42)-ROW('DONNÉES BRUTES'!A$3))/1000,0),5))&amp;"/100"),"—")</f>
        <v/>
      </c>
      <c r="F15" s="397" t="str">
        <f t="array" ref="F15">IFERROR(IF(5&gt;COUNTIF('DONNÉES BRUTES'!C$3:C$42,"Conso. Déf."),"",INDEX('DONNÉES BRUTES'!Y$3:Y$42,MATCH(LARGE(IF('DONNÉES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G15" s="397" t="str">
        <f t="array" ref="G15">IFERROR(IF(5&gt;COUNTIF('DONNÉES BRUTES'!C$3:C$42,"Conso. Déf."),"",INDEX('DONNÉES BRUTES'!Z$3:Z$42,MATCH(LARGE(IF('DONNÉES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H15" s="397" t="str">
        <f t="array" ref="H15">IFERROR(IF(5&gt;COUNTIF('DONNÉES BRUTES'!C$3:C$42,"Conso. Déf."),"",INDEX('DONNÉES BRUTES'!AA$3:AA$42,MATCH(LARGE(IF('DONNÉES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I15" s="397" t="str">
        <f t="array" ref="I15">IFERROR(IF(5&gt;COUNTIF('DONNÉES BRUTES'!C$3:C$42,"Conso. Déf."),"",INDEX('DONNÉES BRUTES'!M$3:M$42,MATCH(LARGE(IF('DONNÉES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J15" s="397" t="str">
        <f t="array" ref="J15">IFERROR(IF(5&gt;COUNTIF('DONNÉES BRUTES'!C$3:C$42,"Conso. Déf."),"",INDEX('DONNÉES BRUTES'!N$3:N$42,MATCH(LARGE(IF('DONNÉES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K15" s="397" t="str">
        <f t="array" ref="K15">IFERROR(IF(5&gt;COUNTIF('DONNÉES BRUTES'!C$3:C$42,"Conso. Déf."),"",INDEX('DONNÉES BRUTES'!O$3:O$42,MATCH(LARGE(IF('DONNÉES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L15" s="397" t="str">
        <f t="array" ref="L15">IFERROR(IF(5&gt;COUNTIF('DONNÉES BRUTES'!C$3:C$42,"Conso. Déf."),"",INDEX('DONNÉES BRUTES'!P$3:P$42,MATCH(LARGE(IF('DONNÉES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M15" s="397" t="str">
        <f t="array" ref="M15">IFERROR(IF(5&gt;COUNTIF('DONNÉES BRUTES'!C$3:C$42,"Conso. Déf."),"",INDEX('DONNÉES BRUTES'!Q$3:Q$42,MATCH(LARGE(IF('DONNÉES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N15" s="397" t="str">
        <f t="array" ref="N15">IFERROR(IF(5&gt;COUNTIF('DONNÉES BRUTES'!C$3:C$42,"Conso. Déf."),"",INDEX('DONNÉES BRUTES'!S$3:S$42,MATCH(LARGE(IF('DONNÉES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O15" s="397" t="str">
        <f t="array" ref="O15">IFERROR(IF(5&gt;COUNTIF('DONNÉES BRUTES'!C$3:C$42,"Conso. Déf."),"",INDEX('DONNÉES BRUTES'!T$3:T$42,MATCH(LARGE(IF('DONNÉES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P15" s="397" t="str">
        <f t="array" ref="P15">IFERROR(IF(5&gt;COUNTIF('DONNÉES BRUTES'!C$3:C$42,"Conso. Déf."),"",INDEX('DONNÉES BRUTES'!U$3:U$42,MATCH(LARGE(IF('DONNÉES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Q15" s="407" t="str">
        <f t="array" ref="Q15">IFERROR(IF(5&gt;COUNTIF('DONNÉES BRUTES'!C$3:C$42,"Conso. Déf."),"",INDEX('DONNÉES BRUTES'!AD$3:AD$42,MATCH(LARGE(IF('DONNÉES BRUTES'!C$3:C$42="Conso. Déf.",'DONNÉES BRUTES'!AB$3:AB$42+(ROW('DONNÉES BRUTES'!A$3:A$42)-ROW('DONNÉES BRUTES'!A$3))/1000,0),5),IF('DONNÉES BRUTES'!C$3:C$42="Conso. Déf.",'DONNÉES BRUTES'!AB$3:AB$42+(ROW('DONNÉES BRUTES'!A$3:A$42)-ROW('DONNÉES BRUTES'!A$3))/1000,0),0))),"—")</f>
        <v/>
      </c>
      <c r="R15" s="397"/>
    </row>
    <row r="16" spans="2:18" ht="15.9" customHeight="1" x14ac:dyDescent="0.3">
      <c r="B16" s="397">
        <v>6</v>
      </c>
      <c r="C16" s="397" t="str">
        <f t="array" ref="C16">IFERROR(IF(6&gt;COUNTIF('DONNÉES BRUTES'!C$3:C$42,"Conso. Déf."),"",INDEX('DONNÉES BRUTES'!A$3:A$42,MATCH(LARGE(IF('DONNÉES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D16" s="397" t="str">
        <f t="array" ref="D16">IFERROR(IF(6&gt;COUNTIF('DONNÉES BRUTES'!C$3:C$42,"Conso. Déf."),"",INDEX('DONNÉES BRUTES'!B$3:B$42,MATCH(LARGE(IF('DONNÉES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E16" s="397" t="str">
        <f t="array" ref="E16">IFERROR(IF(6&gt;COUNTIF('DONNÉES BRUTES'!C$3:C$42,"Conso. Déf."),"",INT(LARGE(IF('DONNÉES BRUTES'!C$3:C$42="Conso. Déf.",'DONNÉES BRUTES'!AB$3:AB$42+(ROW('DONNÉES BRUTES'!A$3:A$42)-ROW('DONNÉES BRUTES'!A$3))/1000,0),6))&amp;"/100"),"—")</f>
        <v/>
      </c>
      <c r="F16" s="397" t="str">
        <f t="array" ref="F16">IFERROR(IF(6&gt;COUNTIF('DONNÉES BRUTES'!C$3:C$42,"Conso. Déf."),"",INDEX('DONNÉES BRUTES'!Y$3:Y$42,MATCH(LARGE(IF('DONNÉES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G16" s="397" t="str">
        <f t="array" ref="G16">IFERROR(IF(6&gt;COUNTIF('DONNÉES BRUTES'!C$3:C$42,"Conso. Déf."),"",INDEX('DONNÉES BRUTES'!Z$3:Z$42,MATCH(LARGE(IF('DONNÉES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H16" s="397" t="str">
        <f t="array" ref="H16">IFERROR(IF(6&gt;COUNTIF('DONNÉES BRUTES'!C$3:C$42,"Conso. Déf."),"",INDEX('DONNÉES BRUTES'!AA$3:AA$42,MATCH(LARGE(IF('DONNÉES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I16" s="397" t="str">
        <f t="array" ref="I16">IFERROR(IF(6&gt;COUNTIF('DONNÉES BRUTES'!C$3:C$42,"Conso. Déf."),"",INDEX('DONNÉES BRUTES'!M$3:M$42,MATCH(LARGE(IF('DONNÉES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J16" s="397" t="str">
        <f t="array" ref="J16">IFERROR(IF(6&gt;COUNTIF('DONNÉES BRUTES'!C$3:C$42,"Conso. Déf."),"",INDEX('DONNÉES BRUTES'!N$3:N$42,MATCH(LARGE(IF('DONNÉES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K16" s="397" t="str">
        <f t="array" ref="K16">IFERROR(IF(6&gt;COUNTIF('DONNÉES BRUTES'!C$3:C$42,"Conso. Déf."),"",INDEX('DONNÉES BRUTES'!O$3:O$42,MATCH(LARGE(IF('DONNÉES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L16" s="397" t="str">
        <f t="array" ref="L16">IFERROR(IF(6&gt;COUNTIF('DONNÉES BRUTES'!C$3:C$42,"Conso. Déf."),"",INDEX('DONNÉES BRUTES'!P$3:P$42,MATCH(LARGE(IF('DONNÉES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M16" s="397" t="str">
        <f t="array" ref="M16">IFERROR(IF(6&gt;COUNTIF('DONNÉES BRUTES'!C$3:C$42,"Conso. Déf."),"",INDEX('DONNÉES BRUTES'!Q$3:Q$42,MATCH(LARGE(IF('DONNÉES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N16" s="397" t="str">
        <f t="array" ref="N16">IFERROR(IF(6&gt;COUNTIF('DONNÉES BRUTES'!C$3:C$42,"Conso. Déf."),"",INDEX('DONNÉES BRUTES'!S$3:S$42,MATCH(LARGE(IF('DONNÉES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O16" s="397" t="str">
        <f t="array" ref="O16">IFERROR(IF(6&gt;COUNTIF('DONNÉES BRUTES'!C$3:C$42,"Conso. Déf."),"",INDEX('DONNÉES BRUTES'!T$3:T$42,MATCH(LARGE(IF('DONNÉES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P16" s="397" t="str">
        <f t="array" ref="P16">IFERROR(IF(6&gt;COUNTIF('DONNÉES BRUTES'!C$3:C$42,"Conso. Déf."),"",INDEX('DONNÉES BRUTES'!U$3:U$42,MATCH(LARGE(IF('DONNÉES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Q16" s="407" t="str">
        <f t="array" ref="Q16">IFERROR(IF(6&gt;COUNTIF('DONNÉES BRUTES'!C$3:C$42,"Conso. Déf."),"",INDEX('DONNÉES BRUTES'!AD$3:AD$42,MATCH(LARGE(IF('DONNÉES BRUTES'!C$3:C$42="Conso. Déf.",'DONNÉES BRUTES'!AB$3:AB$42+(ROW('DONNÉES BRUTES'!A$3:A$42)-ROW('DONNÉES BRUTES'!A$3))/1000,0),6),IF('DONNÉES BRUTES'!C$3:C$42="Conso. Déf.",'DONNÉES BRUTES'!AB$3:AB$42+(ROW('DONNÉES BRUTES'!A$3:A$42)-ROW('DONNÉES BRUTES'!A$3))/1000,0),0))),"—")</f>
        <v/>
      </c>
      <c r="R16" s="397"/>
    </row>
    <row r="17" spans="2:28" ht="15.9" customHeight="1" x14ac:dyDescent="0.3">
      <c r="B17" s="397">
        <v>7</v>
      </c>
      <c r="C17" s="397" t="str">
        <f t="array" ref="C17">IFERROR(IF(7&gt;COUNTIF('DONNÉES BRUTES'!C$3:C$42,"Conso. Déf."),"",INDEX('DONNÉES BRUTES'!A$3:A$42,MATCH(LARGE(IF('DONNÉES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D17" s="397" t="str">
        <f t="array" ref="D17">IFERROR(IF(7&gt;COUNTIF('DONNÉES BRUTES'!C$3:C$42,"Conso. Déf."),"",INDEX('DONNÉES BRUTES'!B$3:B$42,MATCH(LARGE(IF('DONNÉES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E17" s="397" t="str">
        <f t="array" ref="E17">IFERROR(IF(7&gt;COUNTIF('DONNÉES BRUTES'!C$3:C$42,"Conso. Déf."),"",INT(LARGE(IF('DONNÉES BRUTES'!C$3:C$42="Conso. Déf.",'DONNÉES BRUTES'!AB$3:AB$42+(ROW('DONNÉES BRUTES'!A$3:A$42)-ROW('DONNÉES BRUTES'!A$3))/1000,0),7))&amp;"/100"),"—")</f>
        <v/>
      </c>
      <c r="F17" s="397" t="str">
        <f t="array" ref="F17">IFERROR(IF(7&gt;COUNTIF('DONNÉES BRUTES'!C$3:C$42,"Conso. Déf."),"",INDEX('DONNÉES BRUTES'!Y$3:Y$42,MATCH(LARGE(IF('DONNÉES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G17" s="397" t="str">
        <f t="array" ref="G17">IFERROR(IF(7&gt;COUNTIF('DONNÉES BRUTES'!C$3:C$42,"Conso. Déf."),"",INDEX('DONNÉES BRUTES'!Z$3:Z$42,MATCH(LARGE(IF('DONNÉES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H17" s="397" t="str">
        <f t="array" ref="H17">IFERROR(IF(7&gt;COUNTIF('DONNÉES BRUTES'!C$3:C$42,"Conso. Déf."),"",INDEX('DONNÉES BRUTES'!AA$3:AA$42,MATCH(LARGE(IF('DONNÉES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I17" s="397" t="str">
        <f t="array" ref="I17">IFERROR(IF(7&gt;COUNTIF('DONNÉES BRUTES'!C$3:C$42,"Conso. Déf."),"",INDEX('DONNÉES BRUTES'!M$3:M$42,MATCH(LARGE(IF('DONNÉES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J17" s="397" t="str">
        <f t="array" ref="J17">IFERROR(IF(7&gt;COUNTIF('DONNÉES BRUTES'!C$3:C$42,"Conso. Déf."),"",INDEX('DONNÉES BRUTES'!N$3:N$42,MATCH(LARGE(IF('DONNÉES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K17" s="397" t="str">
        <f t="array" ref="K17">IFERROR(IF(7&gt;COUNTIF('DONNÉES BRUTES'!C$3:C$42,"Conso. Déf."),"",INDEX('DONNÉES BRUTES'!O$3:O$42,MATCH(LARGE(IF('DONNÉES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L17" s="397" t="str">
        <f t="array" ref="L17">IFERROR(IF(7&gt;COUNTIF('DONNÉES BRUTES'!C$3:C$42,"Conso. Déf."),"",INDEX('DONNÉES BRUTES'!P$3:P$42,MATCH(LARGE(IF('DONNÉES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M17" s="397" t="str">
        <f t="array" ref="M17">IFERROR(IF(7&gt;COUNTIF('DONNÉES BRUTES'!C$3:C$42,"Conso. Déf."),"",INDEX('DONNÉES BRUTES'!Q$3:Q$42,MATCH(LARGE(IF('DONNÉES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N17" s="397" t="str">
        <f t="array" ref="N17">IFERROR(IF(7&gt;COUNTIF('DONNÉES BRUTES'!C$3:C$42,"Conso. Déf."),"",INDEX('DONNÉES BRUTES'!S$3:S$42,MATCH(LARGE(IF('DONNÉES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O17" s="397" t="str">
        <f t="array" ref="O17">IFERROR(IF(7&gt;COUNTIF('DONNÉES BRUTES'!C$3:C$42,"Conso. Déf."),"",INDEX('DONNÉES BRUTES'!T$3:T$42,MATCH(LARGE(IF('DONNÉES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P17" s="397" t="str">
        <f t="array" ref="P17">IFERROR(IF(7&gt;COUNTIF('DONNÉES BRUTES'!C$3:C$42,"Conso. Déf."),"",INDEX('DONNÉES BRUTES'!U$3:U$42,MATCH(LARGE(IF('DONNÉES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Q17" s="407" t="str">
        <f t="array" ref="Q17">IFERROR(IF(7&gt;COUNTIF('DONNÉES BRUTES'!C$3:C$42,"Conso. Déf."),"",INDEX('DONNÉES BRUTES'!AD$3:AD$42,MATCH(LARGE(IF('DONNÉES BRUTES'!C$3:C$42="Conso. Déf.",'DONNÉES BRUTES'!AB$3:AB$42+(ROW('DONNÉES BRUTES'!A$3:A$42)-ROW('DONNÉES BRUTES'!A$3))/1000,0),7),IF('DONNÉES BRUTES'!C$3:C$42="Conso. Déf.",'DONNÉES BRUTES'!AB$3:AB$42+(ROW('DONNÉES BRUTES'!A$3:A$42)-ROW('DONNÉES BRUTES'!A$3))/1000,0),0))),"—")</f>
        <v/>
      </c>
      <c r="R17" s="397"/>
    </row>
    <row r="18" spans="2:28" ht="15.9" customHeight="1" x14ac:dyDescent="0.3">
      <c r="B18" s="397">
        <v>8</v>
      </c>
      <c r="C18" s="397" t="str">
        <f t="array" ref="C18">IFERROR(IF(8&gt;COUNTIF('DONNÉES BRUTES'!C$3:C$42,"Conso. Déf."),"",INDEX('DONNÉES BRUTES'!A$3:A$42,MATCH(LARGE(IF('DONNÉES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D18" s="397" t="str">
        <f t="array" ref="D18">IFERROR(IF(8&gt;COUNTIF('DONNÉES BRUTES'!C$3:C$42,"Conso. Déf."),"",INDEX('DONNÉES BRUTES'!B$3:B$42,MATCH(LARGE(IF('DONNÉES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E18" s="397" t="str">
        <f t="array" ref="E18">IFERROR(IF(8&gt;COUNTIF('DONNÉES BRUTES'!C$3:C$42,"Conso. Déf."),"",INT(LARGE(IF('DONNÉES BRUTES'!C$3:C$42="Conso. Déf.",'DONNÉES BRUTES'!AB$3:AB$42+(ROW('DONNÉES BRUTES'!A$3:A$42)-ROW('DONNÉES BRUTES'!A$3))/1000,0),8))&amp;"/100"),"—")</f>
        <v/>
      </c>
      <c r="F18" s="397" t="str">
        <f t="array" ref="F18">IFERROR(IF(8&gt;COUNTIF('DONNÉES BRUTES'!C$3:C$42,"Conso. Déf."),"",INDEX('DONNÉES BRUTES'!Y$3:Y$42,MATCH(LARGE(IF('DONNÉES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G18" s="397" t="str">
        <f t="array" ref="G18">IFERROR(IF(8&gt;COUNTIF('DONNÉES BRUTES'!C$3:C$42,"Conso. Déf."),"",INDEX('DONNÉES BRUTES'!Z$3:Z$42,MATCH(LARGE(IF('DONNÉES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H18" s="397" t="str">
        <f t="array" ref="H18">IFERROR(IF(8&gt;COUNTIF('DONNÉES BRUTES'!C$3:C$42,"Conso. Déf."),"",INDEX('DONNÉES BRUTES'!AA$3:AA$42,MATCH(LARGE(IF('DONNÉES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I18" s="397" t="str">
        <f t="array" ref="I18">IFERROR(IF(8&gt;COUNTIF('DONNÉES BRUTES'!C$3:C$42,"Conso. Déf."),"",INDEX('DONNÉES BRUTES'!M$3:M$42,MATCH(LARGE(IF('DONNÉES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J18" s="397" t="str">
        <f t="array" ref="J18">IFERROR(IF(8&gt;COUNTIF('DONNÉES BRUTES'!C$3:C$42,"Conso. Déf."),"",INDEX('DONNÉES BRUTES'!N$3:N$42,MATCH(LARGE(IF('DONNÉES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K18" s="397" t="str">
        <f t="array" ref="K18">IFERROR(IF(8&gt;COUNTIF('DONNÉES BRUTES'!C$3:C$42,"Conso. Déf."),"",INDEX('DONNÉES BRUTES'!O$3:O$42,MATCH(LARGE(IF('DONNÉES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L18" s="397" t="str">
        <f t="array" ref="L18">IFERROR(IF(8&gt;COUNTIF('DONNÉES BRUTES'!C$3:C$42,"Conso. Déf."),"",INDEX('DONNÉES BRUTES'!P$3:P$42,MATCH(LARGE(IF('DONNÉES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M18" s="397" t="str">
        <f t="array" ref="M18">IFERROR(IF(8&gt;COUNTIF('DONNÉES BRUTES'!C$3:C$42,"Conso. Déf."),"",INDEX('DONNÉES BRUTES'!Q$3:Q$42,MATCH(LARGE(IF('DONNÉES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N18" s="397" t="str">
        <f t="array" ref="N18">IFERROR(IF(8&gt;COUNTIF('DONNÉES BRUTES'!C$3:C$42,"Conso. Déf."),"",INDEX('DONNÉES BRUTES'!S$3:S$42,MATCH(LARGE(IF('DONNÉES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O18" s="397" t="str">
        <f t="array" ref="O18">IFERROR(IF(8&gt;COUNTIF('DONNÉES BRUTES'!C$3:C$42,"Conso. Déf."),"",INDEX('DONNÉES BRUTES'!T$3:T$42,MATCH(LARGE(IF('DONNÉES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P18" s="397" t="str">
        <f t="array" ref="P18">IFERROR(IF(8&gt;COUNTIF('DONNÉES BRUTES'!C$3:C$42,"Conso. Déf."),"",INDEX('DONNÉES BRUTES'!U$3:U$42,MATCH(LARGE(IF('DONNÉES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Q18" s="407" t="str">
        <f t="array" ref="Q18">IFERROR(IF(8&gt;COUNTIF('DONNÉES BRUTES'!C$3:C$42,"Conso. Déf."),"",INDEX('DONNÉES BRUTES'!AD$3:AD$42,MATCH(LARGE(IF('DONNÉES BRUTES'!C$3:C$42="Conso. Déf.",'DONNÉES BRUTES'!AB$3:AB$42+(ROW('DONNÉES BRUTES'!A$3:A$42)-ROW('DONNÉES BRUTES'!A$3))/1000,0),8),IF('DONNÉES BRUTES'!C$3:C$42="Conso. Déf.",'DONNÉES BRUTES'!AB$3:AB$42+(ROW('DONNÉES BRUTES'!A$3:A$42)-ROW('DONNÉES BRUTES'!A$3))/1000,0),0))),"—")</f>
        <v/>
      </c>
      <c r="R18" s="397"/>
    </row>
    <row r="19" spans="2:28" ht="15.9" customHeight="1" x14ac:dyDescent="0.3">
      <c r="B19" s="397">
        <v>9</v>
      </c>
      <c r="C19" s="397" t="str">
        <f t="array" ref="C19">IFERROR(IF(9&gt;COUNTIF('DONNÉES BRUTES'!C$3:C$42,"Conso. Déf."),"",INDEX('DONNÉES BRUTES'!A$3:A$42,MATCH(LARGE(IF('DONNÉES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D19" s="397" t="str">
        <f t="array" ref="D19">IFERROR(IF(9&gt;COUNTIF('DONNÉES BRUTES'!C$3:C$42,"Conso. Déf."),"",INDEX('DONNÉES BRUTES'!B$3:B$42,MATCH(LARGE(IF('DONNÉES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E19" s="397" t="str">
        <f t="array" ref="E19">IFERROR(IF(9&gt;COUNTIF('DONNÉES BRUTES'!C$3:C$42,"Conso. Déf."),"",INT(LARGE(IF('DONNÉES BRUTES'!C$3:C$42="Conso. Déf.",'DONNÉES BRUTES'!AB$3:AB$42+(ROW('DONNÉES BRUTES'!A$3:A$42)-ROW('DONNÉES BRUTES'!A$3))/1000,0),9))&amp;"/100"),"—")</f>
        <v/>
      </c>
      <c r="F19" s="397" t="str">
        <f t="array" ref="F19">IFERROR(IF(9&gt;COUNTIF('DONNÉES BRUTES'!C$3:C$42,"Conso. Déf."),"",INDEX('DONNÉES BRUTES'!Y$3:Y$42,MATCH(LARGE(IF('DONNÉES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G19" s="397" t="str">
        <f t="array" ref="G19">IFERROR(IF(9&gt;COUNTIF('DONNÉES BRUTES'!C$3:C$42,"Conso. Déf."),"",INDEX('DONNÉES BRUTES'!Z$3:Z$42,MATCH(LARGE(IF('DONNÉES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H19" s="397" t="str">
        <f t="array" ref="H19">IFERROR(IF(9&gt;COUNTIF('DONNÉES BRUTES'!C$3:C$42,"Conso. Déf."),"",INDEX('DONNÉES BRUTES'!AA$3:AA$42,MATCH(LARGE(IF('DONNÉES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I19" s="397" t="str">
        <f t="array" ref="I19">IFERROR(IF(9&gt;COUNTIF('DONNÉES BRUTES'!C$3:C$42,"Conso. Déf."),"",INDEX('DONNÉES BRUTES'!M$3:M$42,MATCH(LARGE(IF('DONNÉES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J19" s="397" t="str">
        <f t="array" ref="J19">IFERROR(IF(9&gt;COUNTIF('DONNÉES BRUTES'!C$3:C$42,"Conso. Déf."),"",INDEX('DONNÉES BRUTES'!N$3:N$42,MATCH(LARGE(IF('DONNÉES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K19" s="397" t="str">
        <f t="array" ref="K19">IFERROR(IF(9&gt;COUNTIF('DONNÉES BRUTES'!C$3:C$42,"Conso. Déf."),"",INDEX('DONNÉES BRUTES'!O$3:O$42,MATCH(LARGE(IF('DONNÉES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L19" s="397" t="str">
        <f t="array" ref="L19">IFERROR(IF(9&gt;COUNTIF('DONNÉES BRUTES'!C$3:C$42,"Conso. Déf."),"",INDEX('DONNÉES BRUTES'!P$3:P$42,MATCH(LARGE(IF('DONNÉES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M19" s="397" t="str">
        <f t="array" ref="M19">IFERROR(IF(9&gt;COUNTIF('DONNÉES BRUTES'!C$3:C$42,"Conso. Déf."),"",INDEX('DONNÉES BRUTES'!Q$3:Q$42,MATCH(LARGE(IF('DONNÉES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N19" s="397" t="str">
        <f t="array" ref="N19">IFERROR(IF(9&gt;COUNTIF('DONNÉES BRUTES'!C$3:C$42,"Conso. Déf."),"",INDEX('DONNÉES BRUTES'!S$3:S$42,MATCH(LARGE(IF('DONNÉES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O19" s="397" t="str">
        <f t="array" ref="O19">IFERROR(IF(9&gt;COUNTIF('DONNÉES BRUTES'!C$3:C$42,"Conso. Déf."),"",INDEX('DONNÉES BRUTES'!T$3:T$42,MATCH(LARGE(IF('DONNÉES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P19" s="397" t="str">
        <f t="array" ref="P19">IFERROR(IF(9&gt;COUNTIF('DONNÉES BRUTES'!C$3:C$42,"Conso. Déf."),"",INDEX('DONNÉES BRUTES'!U$3:U$42,MATCH(LARGE(IF('DONNÉES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Q19" s="407" t="str">
        <f t="array" ref="Q19">IFERROR(IF(9&gt;COUNTIF('DONNÉES BRUTES'!C$3:C$42,"Conso. Déf."),"",INDEX('DONNÉES BRUTES'!AD$3:AD$42,MATCH(LARGE(IF('DONNÉES BRUTES'!C$3:C$42="Conso. Déf.",'DONNÉES BRUTES'!AB$3:AB$42+(ROW('DONNÉES BRUTES'!A$3:A$42)-ROW('DONNÉES BRUTES'!A$3))/1000,0),9),IF('DONNÉES BRUTES'!C$3:C$42="Conso. Déf.",'DONNÉES BRUTES'!AB$3:AB$42+(ROW('DONNÉES BRUTES'!A$3:A$42)-ROW('DONNÉES BRUTES'!A$3))/1000,0),0))),"—")</f>
        <v/>
      </c>
      <c r="R19" s="397"/>
    </row>
    <row r="20" spans="2:28" ht="15.9" customHeight="1" x14ac:dyDescent="0.3">
      <c r="B20" s="397">
        <v>10</v>
      </c>
      <c r="C20" s="397" t="str">
        <f t="array" ref="C20">IFERROR(IF(10&gt;COUNTIF('DONNÉES BRUTES'!C$3:C$42,"Conso. Déf."),"",INDEX('DONNÉES BRUTES'!A$3:A$42,MATCH(LARGE(IF('DONNÉES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D20" s="397" t="str">
        <f t="array" ref="D20">IFERROR(IF(10&gt;COUNTIF('DONNÉES BRUTES'!C$3:C$42,"Conso. Déf."),"",INDEX('DONNÉES BRUTES'!B$3:B$42,MATCH(LARGE(IF('DONNÉES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E20" s="397" t="str">
        <f t="array" ref="E20">IFERROR(IF(10&gt;COUNTIF('DONNÉES BRUTES'!C$3:C$42,"Conso. Déf."),"",INT(LARGE(IF('DONNÉES BRUTES'!C$3:C$42="Conso. Déf.",'DONNÉES BRUTES'!AB$3:AB$42+(ROW('DONNÉES BRUTES'!A$3:A$42)-ROW('DONNÉES BRUTES'!A$3))/1000,0),10))&amp;"/100"),"—")</f>
        <v/>
      </c>
      <c r="F20" s="397" t="str">
        <f t="array" ref="F20">IFERROR(IF(10&gt;COUNTIF('DONNÉES BRUTES'!C$3:C$42,"Conso. Déf."),"",INDEX('DONNÉES BRUTES'!Y$3:Y$42,MATCH(LARGE(IF('DONNÉES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G20" s="397" t="str">
        <f t="array" ref="G20">IFERROR(IF(10&gt;COUNTIF('DONNÉES BRUTES'!C$3:C$42,"Conso. Déf."),"",INDEX('DONNÉES BRUTES'!Z$3:Z$42,MATCH(LARGE(IF('DONNÉES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H20" s="397" t="str">
        <f t="array" ref="H20">IFERROR(IF(10&gt;COUNTIF('DONNÉES BRUTES'!C$3:C$42,"Conso. Déf."),"",INDEX('DONNÉES BRUTES'!AA$3:AA$42,MATCH(LARGE(IF('DONNÉES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I20" s="397" t="str">
        <f t="array" ref="I20">IFERROR(IF(10&gt;COUNTIF('DONNÉES BRUTES'!C$3:C$42,"Conso. Déf."),"",INDEX('DONNÉES BRUTES'!M$3:M$42,MATCH(LARGE(IF('DONNÉES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J20" s="397" t="str">
        <f t="array" ref="J20">IFERROR(IF(10&gt;COUNTIF('DONNÉES BRUTES'!C$3:C$42,"Conso. Déf."),"",INDEX('DONNÉES BRUTES'!N$3:N$42,MATCH(LARGE(IF('DONNÉES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K20" s="397" t="str">
        <f t="array" ref="K20">IFERROR(IF(10&gt;COUNTIF('DONNÉES BRUTES'!C$3:C$42,"Conso. Déf."),"",INDEX('DONNÉES BRUTES'!O$3:O$42,MATCH(LARGE(IF('DONNÉES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L20" s="397" t="str">
        <f t="array" ref="L20">IFERROR(IF(10&gt;COUNTIF('DONNÉES BRUTES'!C$3:C$42,"Conso. Déf."),"",INDEX('DONNÉES BRUTES'!P$3:P$42,MATCH(LARGE(IF('DONNÉES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M20" s="397" t="str">
        <f t="array" ref="M20">IFERROR(IF(10&gt;COUNTIF('DONNÉES BRUTES'!C$3:C$42,"Conso. Déf."),"",INDEX('DONNÉES BRUTES'!Q$3:Q$42,MATCH(LARGE(IF('DONNÉES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N20" s="397" t="str">
        <f t="array" ref="N20">IFERROR(IF(10&gt;COUNTIF('DONNÉES BRUTES'!C$3:C$42,"Conso. Déf."),"",INDEX('DONNÉES BRUTES'!S$3:S$42,MATCH(LARGE(IF('DONNÉES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O20" s="397" t="str">
        <f t="array" ref="O20">IFERROR(IF(10&gt;COUNTIF('DONNÉES BRUTES'!C$3:C$42,"Conso. Déf."),"",INDEX('DONNÉES BRUTES'!T$3:T$42,MATCH(LARGE(IF('DONNÉES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P20" s="397" t="str">
        <f t="array" ref="P20">IFERROR(IF(10&gt;COUNTIF('DONNÉES BRUTES'!C$3:C$42,"Conso. Déf."),"",INDEX('DONNÉES BRUTES'!U$3:U$42,MATCH(LARGE(IF('DONNÉES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Q20" s="407" t="str">
        <f t="array" ref="Q20">IFERROR(IF(10&gt;COUNTIF('DONNÉES BRUTES'!C$3:C$42,"Conso. Déf."),"",INDEX('DONNÉES BRUTES'!AD$3:AD$42,MATCH(LARGE(IF('DONNÉES BRUTES'!C$3:C$42="Conso. Déf.",'DONNÉES BRUTES'!AB$3:AB$42+(ROW('DONNÉES BRUTES'!A$3:A$42)-ROW('DONNÉES BRUTES'!A$3))/1000,0),10),IF('DONNÉES BRUTES'!C$3:C$42="Conso. Déf.",'DONNÉES BRUTES'!AB$3:AB$42+(ROW('DONNÉES BRUTES'!A$3:A$42)-ROW('DONNÉES BRUTES'!A$3))/1000,0),0))),"—")</f>
        <v/>
      </c>
      <c r="R20" s="397"/>
    </row>
    <row r="21" spans="2:28" ht="15.9" customHeight="1" x14ac:dyDescent="0.3">
      <c r="B21" s="397">
        <v>11</v>
      </c>
      <c r="C21" s="397" t="str">
        <f t="array" ref="C21">IFERROR(IF(11&gt;COUNTIF('DONNÉES BRUTES'!C$3:C$42,"Conso. Déf."),"",INDEX('DONNÉES BRUTES'!A$3:A$42,MATCH(LARGE(IF('DONNÉES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D21" s="397" t="str">
        <f t="array" ref="D21">IFERROR(IF(11&gt;COUNTIF('DONNÉES BRUTES'!C$3:C$42,"Conso. Déf."),"",INDEX('DONNÉES BRUTES'!B$3:B$42,MATCH(LARGE(IF('DONNÉES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E21" s="397" t="str">
        <f t="array" ref="E21">IFERROR(IF(11&gt;COUNTIF('DONNÉES BRUTES'!C$3:C$42,"Conso. Déf."),"",INT(LARGE(IF('DONNÉES BRUTES'!C$3:C$42="Conso. Déf.",'DONNÉES BRUTES'!AB$3:AB$42+(ROW('DONNÉES BRUTES'!A$3:A$42)-ROW('DONNÉES BRUTES'!A$3))/1000,0),11))&amp;"/100"),"—")</f>
        <v/>
      </c>
      <c r="F21" s="397" t="str">
        <f t="array" ref="F21">IFERROR(IF(11&gt;COUNTIF('DONNÉES BRUTES'!C$3:C$42,"Conso. Déf."),"",INDEX('DONNÉES BRUTES'!Y$3:Y$42,MATCH(LARGE(IF('DONNÉES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G21" s="397" t="str">
        <f t="array" ref="G21">IFERROR(IF(11&gt;COUNTIF('DONNÉES BRUTES'!C$3:C$42,"Conso. Déf."),"",INDEX('DONNÉES BRUTES'!Z$3:Z$42,MATCH(LARGE(IF('DONNÉES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H21" s="397" t="str">
        <f t="array" ref="H21">IFERROR(IF(11&gt;COUNTIF('DONNÉES BRUTES'!C$3:C$42,"Conso. Déf."),"",INDEX('DONNÉES BRUTES'!AA$3:AA$42,MATCH(LARGE(IF('DONNÉES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I21" s="397" t="str">
        <f t="array" ref="I21">IFERROR(IF(11&gt;COUNTIF('DONNÉES BRUTES'!C$3:C$42,"Conso. Déf."),"",INDEX('DONNÉES BRUTES'!M$3:M$42,MATCH(LARGE(IF('DONNÉES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J21" s="397" t="str">
        <f t="array" ref="J21">IFERROR(IF(11&gt;COUNTIF('DONNÉES BRUTES'!C$3:C$42,"Conso. Déf."),"",INDEX('DONNÉES BRUTES'!N$3:N$42,MATCH(LARGE(IF('DONNÉES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K21" s="397" t="str">
        <f t="array" ref="K21">IFERROR(IF(11&gt;COUNTIF('DONNÉES BRUTES'!C$3:C$42,"Conso. Déf."),"",INDEX('DONNÉES BRUTES'!O$3:O$42,MATCH(LARGE(IF('DONNÉES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L21" s="397" t="str">
        <f t="array" ref="L21">IFERROR(IF(11&gt;COUNTIF('DONNÉES BRUTES'!C$3:C$42,"Conso. Déf."),"",INDEX('DONNÉES BRUTES'!P$3:P$42,MATCH(LARGE(IF('DONNÉES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M21" s="397" t="str">
        <f t="array" ref="M21">IFERROR(IF(11&gt;COUNTIF('DONNÉES BRUTES'!C$3:C$42,"Conso. Déf."),"",INDEX('DONNÉES BRUTES'!Q$3:Q$42,MATCH(LARGE(IF('DONNÉES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N21" s="397" t="str">
        <f t="array" ref="N21">IFERROR(IF(11&gt;COUNTIF('DONNÉES BRUTES'!C$3:C$42,"Conso. Déf."),"",INDEX('DONNÉES BRUTES'!S$3:S$42,MATCH(LARGE(IF('DONNÉES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O21" s="397" t="str">
        <f t="array" ref="O21">IFERROR(IF(11&gt;COUNTIF('DONNÉES BRUTES'!C$3:C$42,"Conso. Déf."),"",INDEX('DONNÉES BRUTES'!T$3:T$42,MATCH(LARGE(IF('DONNÉES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P21" s="397" t="str">
        <f t="array" ref="P21">IFERROR(IF(11&gt;COUNTIF('DONNÉES BRUTES'!C$3:C$42,"Conso. Déf."),"",INDEX('DONNÉES BRUTES'!U$3:U$42,MATCH(LARGE(IF('DONNÉES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Q21" s="407" t="str">
        <f t="array" ref="Q21">IFERROR(IF(11&gt;COUNTIF('DONNÉES BRUTES'!C$3:C$42,"Conso. Déf."),"",INDEX('DONNÉES BRUTES'!AD$3:AD$42,MATCH(LARGE(IF('DONNÉES BRUTES'!C$3:C$42="Conso. Déf.",'DONNÉES BRUTES'!AB$3:AB$42+(ROW('DONNÉES BRUTES'!A$3:A$42)-ROW('DONNÉES BRUTES'!A$3))/1000,0),11),IF('DONNÉES BRUTES'!C$3:C$42="Conso. Déf.",'DONNÉES BRUTES'!AB$3:AB$42+(ROW('DONNÉES BRUTES'!A$3:A$42)-ROW('DONNÉES BRUTES'!A$3))/1000,0),0))),"—")</f>
        <v/>
      </c>
      <c r="R21" s="397"/>
    </row>
    <row r="22" spans="2:28" ht="15.9" customHeight="1" x14ac:dyDescent="0.3">
      <c r="B22" s="397">
        <v>12</v>
      </c>
      <c r="C22" s="397" t="str">
        <f t="array" ref="C22">IFERROR(IF(12&gt;COUNTIF('DONNÉES BRUTES'!C$3:C$42,"Conso. Déf."),"",INDEX('DONNÉES BRUTES'!A$3:A$42,MATCH(LARGE(IF('DONNÉES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D22" s="397" t="str">
        <f t="array" ref="D22">IFERROR(IF(12&gt;COUNTIF('DONNÉES BRUTES'!C$3:C$42,"Conso. Déf."),"",INDEX('DONNÉES BRUTES'!B$3:B$42,MATCH(LARGE(IF('DONNÉES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E22" s="397" t="str">
        <f t="array" ref="E22">IFERROR(IF(12&gt;COUNTIF('DONNÉES BRUTES'!C$3:C$42,"Conso. Déf."),"",INT(LARGE(IF('DONNÉES BRUTES'!C$3:C$42="Conso. Déf.",'DONNÉES BRUTES'!AB$3:AB$42+(ROW('DONNÉES BRUTES'!A$3:A$42)-ROW('DONNÉES BRUTES'!A$3))/1000,0),12))&amp;"/100"),"—")</f>
        <v/>
      </c>
      <c r="F22" s="397" t="str">
        <f t="array" ref="F22">IFERROR(IF(12&gt;COUNTIF('DONNÉES BRUTES'!C$3:C$42,"Conso. Déf."),"",INDEX('DONNÉES BRUTES'!Y$3:Y$42,MATCH(LARGE(IF('DONNÉES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G22" s="397" t="str">
        <f t="array" ref="G22">IFERROR(IF(12&gt;COUNTIF('DONNÉES BRUTES'!C$3:C$42,"Conso. Déf."),"",INDEX('DONNÉES BRUTES'!Z$3:Z$42,MATCH(LARGE(IF('DONNÉES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H22" s="397" t="str">
        <f t="array" ref="H22">IFERROR(IF(12&gt;COUNTIF('DONNÉES BRUTES'!C$3:C$42,"Conso. Déf."),"",INDEX('DONNÉES BRUTES'!AA$3:AA$42,MATCH(LARGE(IF('DONNÉES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I22" s="397" t="str">
        <f t="array" ref="I22">IFERROR(IF(12&gt;COUNTIF('DONNÉES BRUTES'!C$3:C$42,"Conso. Déf."),"",INDEX('DONNÉES BRUTES'!M$3:M$42,MATCH(LARGE(IF('DONNÉES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J22" s="397" t="str">
        <f t="array" ref="J22">IFERROR(IF(12&gt;COUNTIF('DONNÉES BRUTES'!C$3:C$42,"Conso. Déf."),"",INDEX('DONNÉES BRUTES'!N$3:N$42,MATCH(LARGE(IF('DONNÉES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K22" s="397" t="str">
        <f t="array" ref="K22">IFERROR(IF(12&gt;COUNTIF('DONNÉES BRUTES'!C$3:C$42,"Conso. Déf."),"",INDEX('DONNÉES BRUTES'!O$3:O$42,MATCH(LARGE(IF('DONNÉES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L22" s="397" t="str">
        <f t="array" ref="L22">IFERROR(IF(12&gt;COUNTIF('DONNÉES BRUTES'!C$3:C$42,"Conso. Déf."),"",INDEX('DONNÉES BRUTES'!P$3:P$42,MATCH(LARGE(IF('DONNÉES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M22" s="397" t="str">
        <f t="array" ref="M22">IFERROR(IF(12&gt;COUNTIF('DONNÉES BRUTES'!C$3:C$42,"Conso. Déf."),"",INDEX('DONNÉES BRUTES'!Q$3:Q$42,MATCH(LARGE(IF('DONNÉES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N22" s="397" t="str">
        <f t="array" ref="N22">IFERROR(IF(12&gt;COUNTIF('DONNÉES BRUTES'!C$3:C$42,"Conso. Déf."),"",INDEX('DONNÉES BRUTES'!S$3:S$42,MATCH(LARGE(IF('DONNÉES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O22" s="397" t="str">
        <f t="array" ref="O22">IFERROR(IF(12&gt;COUNTIF('DONNÉES BRUTES'!C$3:C$42,"Conso. Déf."),"",INDEX('DONNÉES BRUTES'!T$3:T$42,MATCH(LARGE(IF('DONNÉES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P22" s="397" t="str">
        <f t="array" ref="P22">IFERROR(IF(12&gt;COUNTIF('DONNÉES BRUTES'!C$3:C$42,"Conso. Déf."),"",INDEX('DONNÉES BRUTES'!U$3:U$42,MATCH(LARGE(IF('DONNÉES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Q22" s="407" t="str">
        <f t="array" ref="Q22">IFERROR(IF(12&gt;COUNTIF('DONNÉES BRUTES'!C$3:C$42,"Conso. Déf."),"",INDEX('DONNÉES BRUTES'!AD$3:AD$42,MATCH(LARGE(IF('DONNÉES BRUTES'!C$3:C$42="Conso. Déf.",'DONNÉES BRUTES'!AB$3:AB$42+(ROW('DONNÉES BRUTES'!A$3:A$42)-ROW('DONNÉES BRUTES'!A$3))/1000,0),12),IF('DONNÉES BRUTES'!C$3:C$42="Conso. Déf.",'DONNÉES BRUTES'!AB$3:AB$42+(ROW('DONNÉES BRUTES'!A$3:A$42)-ROW('DONNÉES BRUTES'!A$3))/1000,0),0))),"—")</f>
        <v/>
      </c>
      <c r="R22" s="397"/>
    </row>
    <row r="23" spans="2:28" ht="15.9" customHeight="1" x14ac:dyDescent="0.3">
      <c r="B23" s="397">
        <v>13</v>
      </c>
      <c r="C23" s="397" t="str">
        <f t="array" ref="C23">IFERROR(IF(13&gt;COUNTIF('DONNÉES BRUTES'!C$3:C$42,"Conso. Déf."),"",INDEX('DONNÉES BRUTES'!A$3:A$42,MATCH(LARGE(IF('DONNÉES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D23" s="397" t="str">
        <f t="array" ref="D23">IFERROR(IF(13&gt;COUNTIF('DONNÉES BRUTES'!C$3:C$42,"Conso. Déf."),"",INDEX('DONNÉES BRUTES'!B$3:B$42,MATCH(LARGE(IF('DONNÉES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E23" s="397" t="str">
        <f t="array" ref="E23">IFERROR(IF(13&gt;COUNTIF('DONNÉES BRUTES'!C$3:C$42,"Conso. Déf."),"",INT(LARGE(IF('DONNÉES BRUTES'!C$3:C$42="Conso. Déf.",'DONNÉES BRUTES'!AB$3:AB$42+(ROW('DONNÉES BRUTES'!A$3:A$42)-ROW('DONNÉES BRUTES'!A$3))/1000,0),13))&amp;"/100"),"—")</f>
        <v/>
      </c>
      <c r="F23" s="397" t="str">
        <f t="array" ref="F23">IFERROR(IF(13&gt;COUNTIF('DONNÉES BRUTES'!C$3:C$42,"Conso. Déf."),"",INDEX('DONNÉES BRUTES'!Y$3:Y$42,MATCH(LARGE(IF('DONNÉES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G23" s="397" t="str">
        <f t="array" ref="G23">IFERROR(IF(13&gt;COUNTIF('DONNÉES BRUTES'!C$3:C$42,"Conso. Déf."),"",INDEX('DONNÉES BRUTES'!Z$3:Z$42,MATCH(LARGE(IF('DONNÉES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H23" s="397" t="str">
        <f t="array" ref="H23">IFERROR(IF(13&gt;COUNTIF('DONNÉES BRUTES'!C$3:C$42,"Conso. Déf."),"",INDEX('DONNÉES BRUTES'!AA$3:AA$42,MATCH(LARGE(IF('DONNÉES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I23" s="397" t="str">
        <f t="array" ref="I23">IFERROR(IF(13&gt;COUNTIF('DONNÉES BRUTES'!C$3:C$42,"Conso. Déf."),"",INDEX('DONNÉES BRUTES'!M$3:M$42,MATCH(LARGE(IF('DONNÉES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J23" s="397" t="str">
        <f t="array" ref="J23">IFERROR(IF(13&gt;COUNTIF('DONNÉES BRUTES'!C$3:C$42,"Conso. Déf."),"",INDEX('DONNÉES BRUTES'!N$3:N$42,MATCH(LARGE(IF('DONNÉES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K23" s="397" t="str">
        <f t="array" ref="K23">IFERROR(IF(13&gt;COUNTIF('DONNÉES BRUTES'!C$3:C$42,"Conso. Déf."),"",INDEX('DONNÉES BRUTES'!O$3:O$42,MATCH(LARGE(IF('DONNÉES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L23" s="397" t="str">
        <f t="array" ref="L23">IFERROR(IF(13&gt;COUNTIF('DONNÉES BRUTES'!C$3:C$42,"Conso. Déf."),"",INDEX('DONNÉES BRUTES'!P$3:P$42,MATCH(LARGE(IF('DONNÉES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M23" s="397" t="str">
        <f t="array" ref="M23">IFERROR(IF(13&gt;COUNTIF('DONNÉES BRUTES'!C$3:C$42,"Conso. Déf."),"",INDEX('DONNÉES BRUTES'!Q$3:Q$42,MATCH(LARGE(IF('DONNÉES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N23" s="397" t="str">
        <f t="array" ref="N23">IFERROR(IF(13&gt;COUNTIF('DONNÉES BRUTES'!C$3:C$42,"Conso. Déf."),"",INDEX('DONNÉES BRUTES'!S$3:S$42,MATCH(LARGE(IF('DONNÉES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O23" s="397" t="str">
        <f t="array" ref="O23">IFERROR(IF(13&gt;COUNTIF('DONNÉES BRUTES'!C$3:C$42,"Conso. Déf."),"",INDEX('DONNÉES BRUTES'!T$3:T$42,MATCH(LARGE(IF('DONNÉES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P23" s="397" t="str">
        <f t="array" ref="P23">IFERROR(IF(13&gt;COUNTIF('DONNÉES BRUTES'!C$3:C$42,"Conso. Déf."),"",INDEX('DONNÉES BRUTES'!U$3:U$42,MATCH(LARGE(IF('DONNÉES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Q23" s="407" t="str">
        <f t="array" ref="Q23">IFERROR(IF(13&gt;COUNTIF('DONNÉES BRUTES'!C$3:C$42,"Conso. Déf."),"",INDEX('DONNÉES BRUTES'!AD$3:AD$42,MATCH(LARGE(IF('DONNÉES BRUTES'!C$3:C$42="Conso. Déf.",'DONNÉES BRUTES'!AB$3:AB$42+(ROW('DONNÉES BRUTES'!A$3:A$42)-ROW('DONNÉES BRUTES'!A$3))/1000,0),13),IF('DONNÉES BRUTES'!C$3:C$42="Conso. Déf.",'DONNÉES BRUTES'!AB$3:AB$42+(ROW('DONNÉES BRUTES'!A$3:A$42)-ROW('DONNÉES BRUTES'!A$3))/1000,0),0))),"—")</f>
        <v/>
      </c>
      <c r="R23" s="397"/>
    </row>
    <row r="24" spans="2:28" ht="15.9" customHeight="1" x14ac:dyDescent="0.3">
      <c r="B24" s="397">
        <v>14</v>
      </c>
      <c r="C24" s="397" t="str">
        <f t="array" ref="C24">IFERROR(IF(14&gt;COUNTIF('DONNÉES BRUTES'!C$3:C$42,"Conso. Déf."),"",INDEX('DONNÉES BRUTES'!A$3:A$42,MATCH(LARGE(IF('DONNÉES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D24" s="397" t="str">
        <f t="array" ref="D24">IFERROR(IF(14&gt;COUNTIF('DONNÉES BRUTES'!C$3:C$42,"Conso. Déf."),"",INDEX('DONNÉES BRUTES'!B$3:B$42,MATCH(LARGE(IF('DONNÉES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E24" s="397" t="str">
        <f t="array" ref="E24">IFERROR(IF(14&gt;COUNTIF('DONNÉES BRUTES'!C$3:C$42,"Conso. Déf."),"",INT(LARGE(IF('DONNÉES BRUTES'!C$3:C$42="Conso. Déf.",'DONNÉES BRUTES'!AB$3:AB$42+(ROW('DONNÉES BRUTES'!A$3:A$42)-ROW('DONNÉES BRUTES'!A$3))/1000,0),14))&amp;"/100"),"—")</f>
        <v/>
      </c>
      <c r="F24" s="397" t="str">
        <f t="array" ref="F24">IFERROR(IF(14&gt;COUNTIF('DONNÉES BRUTES'!C$3:C$42,"Conso. Déf."),"",INDEX('DONNÉES BRUTES'!Y$3:Y$42,MATCH(LARGE(IF('DONNÉES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G24" s="397" t="str">
        <f t="array" ref="G24">IFERROR(IF(14&gt;COUNTIF('DONNÉES BRUTES'!C$3:C$42,"Conso. Déf."),"",INDEX('DONNÉES BRUTES'!Z$3:Z$42,MATCH(LARGE(IF('DONNÉES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H24" s="397" t="str">
        <f t="array" ref="H24">IFERROR(IF(14&gt;COUNTIF('DONNÉES BRUTES'!C$3:C$42,"Conso. Déf."),"",INDEX('DONNÉES BRUTES'!AA$3:AA$42,MATCH(LARGE(IF('DONNÉES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I24" s="397" t="str">
        <f t="array" ref="I24">IFERROR(IF(14&gt;COUNTIF('DONNÉES BRUTES'!C$3:C$42,"Conso. Déf."),"",INDEX('DONNÉES BRUTES'!M$3:M$42,MATCH(LARGE(IF('DONNÉES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J24" s="397" t="str">
        <f t="array" ref="J24">IFERROR(IF(14&gt;COUNTIF('DONNÉES BRUTES'!C$3:C$42,"Conso. Déf."),"",INDEX('DONNÉES BRUTES'!N$3:N$42,MATCH(LARGE(IF('DONNÉES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K24" s="397" t="str">
        <f t="array" ref="K24">IFERROR(IF(14&gt;COUNTIF('DONNÉES BRUTES'!C$3:C$42,"Conso. Déf."),"",INDEX('DONNÉES BRUTES'!O$3:O$42,MATCH(LARGE(IF('DONNÉES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L24" s="397" t="str">
        <f t="array" ref="L24">IFERROR(IF(14&gt;COUNTIF('DONNÉES BRUTES'!C$3:C$42,"Conso. Déf."),"",INDEX('DONNÉES BRUTES'!P$3:P$42,MATCH(LARGE(IF('DONNÉES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M24" s="397" t="str">
        <f t="array" ref="M24">IFERROR(IF(14&gt;COUNTIF('DONNÉES BRUTES'!C$3:C$42,"Conso. Déf."),"",INDEX('DONNÉES BRUTES'!Q$3:Q$42,MATCH(LARGE(IF('DONNÉES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N24" s="397" t="str">
        <f t="array" ref="N24">IFERROR(IF(14&gt;COUNTIF('DONNÉES BRUTES'!C$3:C$42,"Conso. Déf."),"",INDEX('DONNÉES BRUTES'!S$3:S$42,MATCH(LARGE(IF('DONNÉES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O24" s="397" t="str">
        <f t="array" ref="O24">IFERROR(IF(14&gt;COUNTIF('DONNÉES BRUTES'!C$3:C$42,"Conso. Déf."),"",INDEX('DONNÉES BRUTES'!T$3:T$42,MATCH(LARGE(IF('DONNÉES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P24" s="397" t="str">
        <f t="array" ref="P24">IFERROR(IF(14&gt;COUNTIF('DONNÉES BRUTES'!C$3:C$42,"Conso. Déf."),"",INDEX('DONNÉES BRUTES'!U$3:U$42,MATCH(LARGE(IF('DONNÉES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Q24" s="407" t="str">
        <f t="array" ref="Q24">IFERROR(IF(14&gt;COUNTIF('DONNÉES BRUTES'!C$3:C$42,"Conso. Déf."),"",INDEX('DONNÉES BRUTES'!AD$3:AD$42,MATCH(LARGE(IF('DONNÉES BRUTES'!C$3:C$42="Conso. Déf.",'DONNÉES BRUTES'!AB$3:AB$42+(ROW('DONNÉES BRUTES'!A$3:A$42)-ROW('DONNÉES BRUTES'!A$3))/1000,0),14),IF('DONNÉES BRUTES'!C$3:C$42="Conso. Déf.",'DONNÉES BRUTES'!AB$3:AB$42+(ROW('DONNÉES BRUTES'!A$3:A$42)-ROW('DONNÉES BRUTES'!A$3))/1000,0),0))),"—")</f>
        <v/>
      </c>
      <c r="R24" s="397"/>
    </row>
    <row r="25" spans="2:28" ht="15.9" customHeight="1" x14ac:dyDescent="0.3">
      <c r="B25" s="397">
        <v>15</v>
      </c>
      <c r="C25" s="397" t="str">
        <f t="array" ref="C25">IFERROR(IF(15&gt;COUNTIF('DONNÉES BRUTES'!C$3:C$42,"Conso. Déf."),"",INDEX('DONNÉES BRUTES'!A$3:A$42,MATCH(LARGE(IF('DONNÉES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D25" s="397" t="str">
        <f t="array" ref="D25">IFERROR(IF(15&gt;COUNTIF('DONNÉES BRUTES'!C$3:C$42,"Conso. Déf."),"",INDEX('DONNÉES BRUTES'!B$3:B$42,MATCH(LARGE(IF('DONNÉES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E25" s="397" t="str">
        <f t="array" ref="E25">IFERROR(IF(15&gt;COUNTIF('DONNÉES BRUTES'!C$3:C$42,"Conso. Déf."),"",INT(LARGE(IF('DONNÉES BRUTES'!C$3:C$42="Conso. Déf.",'DONNÉES BRUTES'!AB$3:AB$42+(ROW('DONNÉES BRUTES'!A$3:A$42)-ROW('DONNÉES BRUTES'!A$3))/1000,0),15))&amp;"/100"),"—")</f>
        <v/>
      </c>
      <c r="F25" s="397" t="str">
        <f t="array" ref="F25">IFERROR(IF(15&gt;COUNTIF('DONNÉES BRUTES'!C$3:C$42,"Conso. Déf."),"",INDEX('DONNÉES BRUTES'!Y$3:Y$42,MATCH(LARGE(IF('DONNÉES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G25" s="397" t="str">
        <f t="array" ref="G25">IFERROR(IF(15&gt;COUNTIF('DONNÉES BRUTES'!C$3:C$42,"Conso. Déf."),"",INDEX('DONNÉES BRUTES'!Z$3:Z$42,MATCH(LARGE(IF('DONNÉES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H25" s="397" t="str">
        <f t="array" ref="H25">IFERROR(IF(15&gt;COUNTIF('DONNÉES BRUTES'!C$3:C$42,"Conso. Déf."),"",INDEX('DONNÉES BRUTES'!AA$3:AA$42,MATCH(LARGE(IF('DONNÉES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I25" s="397" t="str">
        <f t="array" ref="I25">IFERROR(IF(15&gt;COUNTIF('DONNÉES BRUTES'!C$3:C$42,"Conso. Déf."),"",INDEX('DONNÉES BRUTES'!M$3:M$42,MATCH(LARGE(IF('DONNÉES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J25" s="397" t="str">
        <f t="array" ref="J25">IFERROR(IF(15&gt;COUNTIF('DONNÉES BRUTES'!C$3:C$42,"Conso. Déf."),"",INDEX('DONNÉES BRUTES'!N$3:N$42,MATCH(LARGE(IF('DONNÉES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K25" s="397" t="str">
        <f t="array" ref="K25">IFERROR(IF(15&gt;COUNTIF('DONNÉES BRUTES'!C$3:C$42,"Conso. Déf."),"",INDEX('DONNÉES BRUTES'!O$3:O$42,MATCH(LARGE(IF('DONNÉES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L25" s="397" t="str">
        <f t="array" ref="L25">IFERROR(IF(15&gt;COUNTIF('DONNÉES BRUTES'!C$3:C$42,"Conso. Déf."),"",INDEX('DONNÉES BRUTES'!P$3:P$42,MATCH(LARGE(IF('DONNÉES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M25" s="397" t="str">
        <f t="array" ref="M25">IFERROR(IF(15&gt;COUNTIF('DONNÉES BRUTES'!C$3:C$42,"Conso. Déf."),"",INDEX('DONNÉES BRUTES'!Q$3:Q$42,MATCH(LARGE(IF('DONNÉES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N25" s="397" t="str">
        <f t="array" ref="N25">IFERROR(IF(15&gt;COUNTIF('DONNÉES BRUTES'!C$3:C$42,"Conso. Déf."),"",INDEX('DONNÉES BRUTES'!S$3:S$42,MATCH(LARGE(IF('DONNÉES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O25" s="397" t="str">
        <f t="array" ref="O25">IFERROR(IF(15&gt;COUNTIF('DONNÉES BRUTES'!C$3:C$42,"Conso. Déf."),"",INDEX('DONNÉES BRUTES'!T$3:T$42,MATCH(LARGE(IF('DONNÉES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P25" s="397" t="str">
        <f t="array" ref="P25">IFERROR(IF(15&gt;COUNTIF('DONNÉES BRUTES'!C$3:C$42,"Conso. Déf."),"",INDEX('DONNÉES BRUTES'!U$3:U$42,MATCH(LARGE(IF('DONNÉES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Q25" s="407" t="str">
        <f t="array" ref="Q25">IFERROR(IF(15&gt;COUNTIF('DONNÉES BRUTES'!C$3:C$42,"Conso. Déf."),"",INDEX('DONNÉES BRUTES'!AD$3:AD$42,MATCH(LARGE(IF('DONNÉES BRUTES'!C$3:C$42="Conso. Déf.",'DONNÉES BRUTES'!AB$3:AB$42+(ROW('DONNÉES BRUTES'!A$3:A$42)-ROW('DONNÉES BRUTES'!A$3))/1000,0),15),IF('DONNÉES BRUTES'!C$3:C$42="Conso. Déf.",'DONNÉES BRUTES'!AB$3:AB$42+(ROW('DONNÉES BRUTES'!A$3:A$42)-ROW('DONNÉES BRUTES'!A$3))/1000,0),0))),"—")</f>
        <v/>
      </c>
      <c r="R25" s="397"/>
    </row>
    <row r="26" spans="2:28" ht="15.9" customHeight="1" x14ac:dyDescent="0.3">
      <c r="Q26" s="408"/>
    </row>
    <row r="27" spans="2:28" ht="15.9" customHeight="1" x14ac:dyDescent="0.3"/>
    <row r="28" spans="2:28" ht="15.9" customHeight="1" x14ac:dyDescent="0.3">
      <c r="S28" s="149" t="s">
        <v>10</v>
      </c>
      <c r="T28" s="149" t="s">
        <v>11</v>
      </c>
      <c r="U28" t="s">
        <v>15</v>
      </c>
      <c r="V28" t="s">
        <v>16</v>
      </c>
      <c r="W28" s="149" t="s">
        <v>17</v>
      </c>
      <c r="X28" s="149"/>
      <c r="Y28" s="149" t="s">
        <v>10</v>
      </c>
      <c r="Z28" s="149" t="s">
        <v>15</v>
      </c>
      <c r="AA28" s="149" t="s">
        <v>16</v>
      </c>
      <c r="AB28" s="149" t="s">
        <v>17</v>
      </c>
    </row>
    <row r="29" spans="2:28" ht="15.9" customHeight="1" x14ac:dyDescent="0.3">
      <c r="S29" s="149" t="str">
        <f>IF(D11="","",LEFT(D11,14))</f>
        <v>British Americ</v>
      </c>
      <c r="T29" s="149">
        <f>IF(E11="","",IFERROR(VALUE(LEFT(E11,FIND("/",E11)-1)),0))</f>
        <v>60</v>
      </c>
      <c r="U29" s="149">
        <f t="shared" ref="U29:W31" si="0">IF(ISNUMBER(F11),F11,0)</f>
        <v>63</v>
      </c>
      <c r="V29" s="149">
        <f t="shared" si="0"/>
        <v>48</v>
      </c>
      <c r="W29" s="149">
        <f t="shared" si="0"/>
        <v>65</v>
      </c>
      <c r="X29" s="149">
        <f t="shared" ref="X29:Z31" si="1">IF(ISNUMBER(F11),F11,"")</f>
        <v>63</v>
      </c>
      <c r="Y29" s="149">
        <f t="shared" si="1"/>
        <v>48</v>
      </c>
      <c r="Z29" s="149">
        <f t="shared" si="1"/>
        <v>65</v>
      </c>
      <c r="AA29" s="149">
        <v>97</v>
      </c>
      <c r="AB29" s="149">
        <v>31</v>
      </c>
    </row>
    <row r="30" spans="2:28" ht="15.9" customHeight="1" x14ac:dyDescent="0.3">
      <c r="S30" s="149" t="str">
        <f>IF(D12="","",LEFT(D12,14))</f>
        <v/>
      </c>
      <c r="T30" s="149" t="str">
        <f>IF(E12="","",IFERROR(VALUE(LEFT(E12,FIND("/",E12)-1)),0))</f>
        <v/>
      </c>
      <c r="U30" s="149">
        <f t="shared" si="0"/>
        <v>0</v>
      </c>
      <c r="V30" s="149">
        <f t="shared" si="0"/>
        <v>0</v>
      </c>
      <c r="W30" s="149">
        <f t="shared" si="0"/>
        <v>0</v>
      </c>
      <c r="X30" s="149" t="str">
        <f t="shared" si="1"/>
        <v/>
      </c>
      <c r="Y30" s="149" t="str">
        <f t="shared" si="1"/>
        <v/>
      </c>
      <c r="Z30" s="149" t="str">
        <f t="shared" si="1"/>
        <v/>
      </c>
      <c r="AA30" s="149">
        <v>72</v>
      </c>
      <c r="AB30" s="149">
        <v>67</v>
      </c>
    </row>
    <row r="31" spans="2:28" x14ac:dyDescent="0.3">
      <c r="S31" s="149" t="str">
        <f>IF(D13="","",LEFT(D13,14))</f>
        <v/>
      </c>
      <c r="T31" s="149" t="str">
        <f>IF(E13="","",IFERROR(VALUE(LEFT(E13,FIND("/",E13)-1)),0))</f>
        <v/>
      </c>
      <c r="U31" s="149">
        <f t="shared" si="0"/>
        <v>0</v>
      </c>
      <c r="V31" s="149">
        <f t="shared" si="0"/>
        <v>0</v>
      </c>
      <c r="W31" s="149">
        <f t="shared" si="0"/>
        <v>0</v>
      </c>
      <c r="X31" s="149" t="str">
        <f t="shared" si="1"/>
        <v/>
      </c>
      <c r="Y31" s="149" t="str">
        <f t="shared" si="1"/>
        <v/>
      </c>
      <c r="Z31" s="149" t="str">
        <f t="shared" si="1"/>
        <v/>
      </c>
      <c r="AA31" s="149">
        <v>62</v>
      </c>
      <c r="AB31" s="149">
        <v>69</v>
      </c>
    </row>
  </sheetData>
  <mergeCells count="3">
    <mergeCell ref="B2:Q2"/>
    <mergeCell ref="B1:Q1"/>
    <mergeCell ref="B8:Q8"/>
  </mergeCells>
  <conditionalFormatting sqref="B11">
    <cfRule type="expression" dxfId="599" priority="1">
      <formula>C11=""</formula>
    </cfRule>
  </conditionalFormatting>
  <conditionalFormatting sqref="B11">
    <cfRule type="expression" dxfId="598" priority="2">
      <formula>C11&lt;&gt;""</formula>
    </cfRule>
  </conditionalFormatting>
  <conditionalFormatting sqref="C11:P11">
    <cfRule type="expression" dxfId="597" priority="3">
      <formula>C11=""</formula>
    </cfRule>
  </conditionalFormatting>
  <conditionalFormatting sqref="C11:P11">
    <cfRule type="expression" dxfId="596" priority="4">
      <formula>C11&lt;&gt;""</formula>
    </cfRule>
  </conditionalFormatting>
  <conditionalFormatting sqref="Q11">
    <cfRule type="expression" dxfId="595" priority="5">
      <formula>C11=""</formula>
    </cfRule>
  </conditionalFormatting>
  <conditionalFormatting sqref="Q11">
    <cfRule type="expression" dxfId="594" priority="6">
      <formula>C11&lt;&gt;""</formula>
    </cfRule>
  </conditionalFormatting>
  <conditionalFormatting sqref="R11">
    <cfRule type="expression" dxfId="593" priority="7">
      <formula>C11=""</formula>
    </cfRule>
  </conditionalFormatting>
  <conditionalFormatting sqref="R11">
    <cfRule type="expression" dxfId="592" priority="8">
      <formula>C11&lt;&gt;""</formula>
    </cfRule>
  </conditionalFormatting>
  <conditionalFormatting sqref="B12">
    <cfRule type="expression" dxfId="591" priority="9">
      <formula>C12=""</formula>
    </cfRule>
  </conditionalFormatting>
  <conditionalFormatting sqref="B12">
    <cfRule type="expression" dxfId="590" priority="10">
      <formula>C12&lt;&gt;""</formula>
    </cfRule>
  </conditionalFormatting>
  <conditionalFormatting sqref="C12:P12">
    <cfRule type="expression" dxfId="589" priority="11">
      <formula>C12=""</formula>
    </cfRule>
  </conditionalFormatting>
  <conditionalFormatting sqref="C12:P12">
    <cfRule type="expression" dxfId="588" priority="12">
      <formula>C12&lt;&gt;""</formula>
    </cfRule>
  </conditionalFormatting>
  <conditionalFormatting sqref="Q12">
    <cfRule type="expression" dxfId="587" priority="13">
      <formula>C12=""</formula>
    </cfRule>
  </conditionalFormatting>
  <conditionalFormatting sqref="Q12">
    <cfRule type="expression" dxfId="586" priority="14">
      <formula>C12&lt;&gt;""</formula>
    </cfRule>
  </conditionalFormatting>
  <conditionalFormatting sqref="R12">
    <cfRule type="expression" dxfId="585" priority="15">
      <formula>C12=""</formula>
    </cfRule>
  </conditionalFormatting>
  <conditionalFormatting sqref="R12">
    <cfRule type="expression" dxfId="584" priority="16">
      <formula>C12&lt;&gt;""</formula>
    </cfRule>
  </conditionalFormatting>
  <conditionalFormatting sqref="B13">
    <cfRule type="expression" dxfId="583" priority="17">
      <formula>C13=""</formula>
    </cfRule>
  </conditionalFormatting>
  <conditionalFormatting sqref="B13">
    <cfRule type="expression" dxfId="582" priority="18">
      <formula>C13&lt;&gt;""</formula>
    </cfRule>
  </conditionalFormatting>
  <conditionalFormatting sqref="C13:P13">
    <cfRule type="expression" dxfId="581" priority="19">
      <formula>C13=""</formula>
    </cfRule>
  </conditionalFormatting>
  <conditionalFormatting sqref="C13:P13">
    <cfRule type="expression" dxfId="580" priority="20">
      <formula>C13&lt;&gt;""</formula>
    </cfRule>
  </conditionalFormatting>
  <conditionalFormatting sqref="Q13">
    <cfRule type="expression" dxfId="579" priority="21">
      <formula>C13=""</formula>
    </cfRule>
  </conditionalFormatting>
  <conditionalFormatting sqref="Q13">
    <cfRule type="expression" dxfId="578" priority="22">
      <formula>C13&lt;&gt;""</formula>
    </cfRule>
  </conditionalFormatting>
  <conditionalFormatting sqref="R13">
    <cfRule type="expression" dxfId="577" priority="23">
      <formula>C13=""</formula>
    </cfRule>
  </conditionalFormatting>
  <conditionalFormatting sqref="R13">
    <cfRule type="expression" dxfId="576" priority="24">
      <formula>C13&lt;&gt;""</formula>
    </cfRule>
  </conditionalFormatting>
  <conditionalFormatting sqref="B14">
    <cfRule type="expression" dxfId="575" priority="25">
      <formula>C14=""</formula>
    </cfRule>
  </conditionalFormatting>
  <conditionalFormatting sqref="B14">
    <cfRule type="expression" dxfId="574" priority="26">
      <formula>C14&lt;&gt;""</formula>
    </cfRule>
  </conditionalFormatting>
  <conditionalFormatting sqref="C14:P14">
    <cfRule type="expression" dxfId="573" priority="27">
      <formula>C14=""</formula>
    </cfRule>
  </conditionalFormatting>
  <conditionalFormatting sqref="C14:P14">
    <cfRule type="expression" dxfId="572" priority="28">
      <formula>C14&lt;&gt;""</formula>
    </cfRule>
  </conditionalFormatting>
  <conditionalFormatting sqref="Q14">
    <cfRule type="expression" dxfId="571" priority="29">
      <formula>C14=""</formula>
    </cfRule>
  </conditionalFormatting>
  <conditionalFormatting sqref="Q14">
    <cfRule type="expression" dxfId="570" priority="30">
      <formula>C14&lt;&gt;""</formula>
    </cfRule>
  </conditionalFormatting>
  <conditionalFormatting sqref="R14">
    <cfRule type="expression" dxfId="569" priority="31">
      <formula>C14=""</formula>
    </cfRule>
  </conditionalFormatting>
  <conditionalFormatting sqref="R14">
    <cfRule type="expression" dxfId="568" priority="32">
      <formula>C14&lt;&gt;""</formula>
    </cfRule>
  </conditionalFormatting>
  <conditionalFormatting sqref="B15">
    <cfRule type="expression" dxfId="567" priority="33">
      <formula>C15=""</formula>
    </cfRule>
  </conditionalFormatting>
  <conditionalFormatting sqref="B15">
    <cfRule type="expression" dxfId="566" priority="34">
      <formula>C15&lt;&gt;""</formula>
    </cfRule>
  </conditionalFormatting>
  <conditionalFormatting sqref="C15:P15">
    <cfRule type="expression" dxfId="565" priority="35">
      <formula>C15=""</formula>
    </cfRule>
  </conditionalFormatting>
  <conditionalFormatting sqref="C15:P15">
    <cfRule type="expression" dxfId="564" priority="36">
      <formula>C15&lt;&gt;""</formula>
    </cfRule>
  </conditionalFormatting>
  <conditionalFormatting sqref="Q15">
    <cfRule type="expression" dxfId="563" priority="37">
      <formula>C15=""</formula>
    </cfRule>
  </conditionalFormatting>
  <conditionalFormatting sqref="Q15">
    <cfRule type="expression" dxfId="562" priority="38">
      <formula>C15&lt;&gt;""</formula>
    </cfRule>
  </conditionalFormatting>
  <conditionalFormatting sqref="R15">
    <cfRule type="expression" dxfId="561" priority="39">
      <formula>C15=""</formula>
    </cfRule>
  </conditionalFormatting>
  <conditionalFormatting sqref="R15">
    <cfRule type="expression" dxfId="560" priority="40">
      <formula>C15&lt;&gt;""</formula>
    </cfRule>
  </conditionalFormatting>
  <conditionalFormatting sqref="B16">
    <cfRule type="expression" dxfId="559" priority="41">
      <formula>C16=""</formula>
    </cfRule>
  </conditionalFormatting>
  <conditionalFormatting sqref="B16">
    <cfRule type="expression" dxfId="558" priority="42">
      <formula>C16&lt;&gt;""</formula>
    </cfRule>
  </conditionalFormatting>
  <conditionalFormatting sqref="C16:P16">
    <cfRule type="expression" dxfId="557" priority="43">
      <formula>C16=""</formula>
    </cfRule>
  </conditionalFormatting>
  <conditionalFormatting sqref="C16:P16">
    <cfRule type="expression" dxfId="556" priority="44">
      <formula>C16&lt;&gt;""</formula>
    </cfRule>
  </conditionalFormatting>
  <conditionalFormatting sqref="Q16">
    <cfRule type="expression" dxfId="555" priority="45">
      <formula>C16=""</formula>
    </cfRule>
  </conditionalFormatting>
  <conditionalFormatting sqref="Q16">
    <cfRule type="expression" dxfId="554" priority="46">
      <formula>C16&lt;&gt;""</formula>
    </cfRule>
  </conditionalFormatting>
  <conditionalFormatting sqref="R16">
    <cfRule type="expression" dxfId="553" priority="47">
      <formula>C16=""</formula>
    </cfRule>
  </conditionalFormatting>
  <conditionalFormatting sqref="R16">
    <cfRule type="expression" dxfId="552" priority="48">
      <formula>C16&lt;&gt;""</formula>
    </cfRule>
  </conditionalFormatting>
  <conditionalFormatting sqref="B17">
    <cfRule type="expression" dxfId="551" priority="49">
      <formula>C17=""</formula>
    </cfRule>
  </conditionalFormatting>
  <conditionalFormatting sqref="B17">
    <cfRule type="expression" dxfId="550" priority="50">
      <formula>C17&lt;&gt;""</formula>
    </cfRule>
  </conditionalFormatting>
  <conditionalFormatting sqref="C17:P17">
    <cfRule type="expression" dxfId="549" priority="51">
      <formula>C17=""</formula>
    </cfRule>
  </conditionalFormatting>
  <conditionalFormatting sqref="C17:P17">
    <cfRule type="expression" dxfId="548" priority="52">
      <formula>C17&lt;&gt;""</formula>
    </cfRule>
  </conditionalFormatting>
  <conditionalFormatting sqref="Q17">
    <cfRule type="expression" dxfId="547" priority="53">
      <formula>C17=""</formula>
    </cfRule>
  </conditionalFormatting>
  <conditionalFormatting sqref="Q17">
    <cfRule type="expression" dxfId="546" priority="54">
      <formula>C17&lt;&gt;""</formula>
    </cfRule>
  </conditionalFormatting>
  <conditionalFormatting sqref="R17">
    <cfRule type="expression" dxfId="545" priority="55">
      <formula>C17=""</formula>
    </cfRule>
  </conditionalFormatting>
  <conditionalFormatting sqref="R17">
    <cfRule type="expression" dxfId="544" priority="56">
      <formula>C17&lt;&gt;""</formula>
    </cfRule>
  </conditionalFormatting>
  <conditionalFormatting sqref="B18">
    <cfRule type="expression" dxfId="543" priority="57">
      <formula>C18=""</formula>
    </cfRule>
  </conditionalFormatting>
  <conditionalFormatting sqref="B18">
    <cfRule type="expression" dxfId="542" priority="58">
      <formula>C18&lt;&gt;""</formula>
    </cfRule>
  </conditionalFormatting>
  <conditionalFormatting sqref="C18:P18">
    <cfRule type="expression" dxfId="541" priority="59">
      <formula>C18=""</formula>
    </cfRule>
  </conditionalFormatting>
  <conditionalFormatting sqref="C18:P18">
    <cfRule type="expression" dxfId="540" priority="60">
      <formula>C18&lt;&gt;""</formula>
    </cfRule>
  </conditionalFormatting>
  <conditionalFormatting sqref="Q18">
    <cfRule type="expression" dxfId="539" priority="61">
      <formula>C18=""</formula>
    </cfRule>
  </conditionalFormatting>
  <conditionalFormatting sqref="Q18">
    <cfRule type="expression" dxfId="538" priority="62">
      <formula>C18&lt;&gt;""</formula>
    </cfRule>
  </conditionalFormatting>
  <conditionalFormatting sqref="R18">
    <cfRule type="expression" dxfId="537" priority="63">
      <formula>C18=""</formula>
    </cfRule>
  </conditionalFormatting>
  <conditionalFormatting sqref="R18">
    <cfRule type="expression" dxfId="536" priority="64">
      <formula>C18&lt;&gt;""</formula>
    </cfRule>
  </conditionalFormatting>
  <conditionalFormatting sqref="B19">
    <cfRule type="expression" dxfId="535" priority="65">
      <formula>C19=""</formula>
    </cfRule>
  </conditionalFormatting>
  <conditionalFormatting sqref="B19">
    <cfRule type="expression" dxfId="534" priority="66">
      <formula>C19&lt;&gt;""</formula>
    </cfRule>
  </conditionalFormatting>
  <conditionalFormatting sqref="C19:P19">
    <cfRule type="expression" dxfId="533" priority="67">
      <formula>C19=""</formula>
    </cfRule>
  </conditionalFormatting>
  <conditionalFormatting sqref="C19:P19">
    <cfRule type="expression" dxfId="532" priority="68">
      <formula>C19&lt;&gt;""</formula>
    </cfRule>
  </conditionalFormatting>
  <conditionalFormatting sqref="Q19">
    <cfRule type="expression" dxfId="531" priority="69">
      <formula>C19=""</formula>
    </cfRule>
  </conditionalFormatting>
  <conditionalFormatting sqref="Q19">
    <cfRule type="expression" dxfId="530" priority="70">
      <formula>C19&lt;&gt;""</formula>
    </cfRule>
  </conditionalFormatting>
  <conditionalFormatting sqref="R19">
    <cfRule type="expression" dxfId="529" priority="71">
      <formula>C19=""</formula>
    </cfRule>
  </conditionalFormatting>
  <conditionalFormatting sqref="R19">
    <cfRule type="expression" dxfId="528" priority="72">
      <formula>C19&lt;&gt;""</formula>
    </cfRule>
  </conditionalFormatting>
  <conditionalFormatting sqref="B20">
    <cfRule type="expression" dxfId="527" priority="73">
      <formula>C20=""</formula>
    </cfRule>
  </conditionalFormatting>
  <conditionalFormatting sqref="B20">
    <cfRule type="expression" dxfId="526" priority="74">
      <formula>C20&lt;&gt;""</formula>
    </cfRule>
  </conditionalFormatting>
  <conditionalFormatting sqref="C20:P20">
    <cfRule type="expression" dxfId="525" priority="75">
      <formula>C20=""</formula>
    </cfRule>
  </conditionalFormatting>
  <conditionalFormatting sqref="C20:P20">
    <cfRule type="expression" dxfId="524" priority="76">
      <formula>C20&lt;&gt;""</formula>
    </cfRule>
  </conditionalFormatting>
  <conditionalFormatting sqref="Q20">
    <cfRule type="expression" dxfId="523" priority="77">
      <formula>C20=""</formula>
    </cfRule>
  </conditionalFormatting>
  <conditionalFormatting sqref="Q20">
    <cfRule type="expression" dxfId="522" priority="78">
      <formula>C20&lt;&gt;""</formula>
    </cfRule>
  </conditionalFormatting>
  <conditionalFormatting sqref="R20">
    <cfRule type="expression" dxfId="521" priority="79">
      <formula>C20=""</formula>
    </cfRule>
  </conditionalFormatting>
  <conditionalFormatting sqref="R20">
    <cfRule type="expression" dxfId="520" priority="80">
      <formula>C20&lt;&gt;""</formula>
    </cfRule>
  </conditionalFormatting>
  <conditionalFormatting sqref="B21">
    <cfRule type="expression" dxfId="519" priority="81">
      <formula>C21=""</formula>
    </cfRule>
  </conditionalFormatting>
  <conditionalFormatting sqref="B21">
    <cfRule type="expression" dxfId="518" priority="82">
      <formula>C21&lt;&gt;""</formula>
    </cfRule>
  </conditionalFormatting>
  <conditionalFormatting sqref="C21:P21">
    <cfRule type="expression" dxfId="517" priority="83">
      <formula>C21=""</formula>
    </cfRule>
  </conditionalFormatting>
  <conditionalFormatting sqref="C21:P21">
    <cfRule type="expression" dxfId="516" priority="84">
      <formula>C21&lt;&gt;""</formula>
    </cfRule>
  </conditionalFormatting>
  <conditionalFormatting sqref="Q21">
    <cfRule type="expression" dxfId="515" priority="85">
      <formula>C21=""</formula>
    </cfRule>
  </conditionalFormatting>
  <conditionalFormatting sqref="Q21">
    <cfRule type="expression" dxfId="514" priority="86">
      <formula>C21&lt;&gt;""</formula>
    </cfRule>
  </conditionalFormatting>
  <conditionalFormatting sqref="R21">
    <cfRule type="expression" dxfId="513" priority="87">
      <formula>C21=""</formula>
    </cfRule>
  </conditionalFormatting>
  <conditionalFormatting sqref="R21">
    <cfRule type="expression" dxfId="512" priority="88">
      <formula>C21&lt;&gt;""</formula>
    </cfRule>
  </conditionalFormatting>
  <conditionalFormatting sqref="B22">
    <cfRule type="expression" dxfId="511" priority="89">
      <formula>C22=""</formula>
    </cfRule>
  </conditionalFormatting>
  <conditionalFormatting sqref="B22">
    <cfRule type="expression" dxfId="510" priority="90">
      <formula>C22&lt;&gt;""</formula>
    </cfRule>
  </conditionalFormatting>
  <conditionalFormatting sqref="C22:P22">
    <cfRule type="expression" dxfId="509" priority="91">
      <formula>C22=""</formula>
    </cfRule>
  </conditionalFormatting>
  <conditionalFormatting sqref="C22:P22">
    <cfRule type="expression" dxfId="508" priority="92">
      <formula>C22&lt;&gt;""</formula>
    </cfRule>
  </conditionalFormatting>
  <conditionalFormatting sqref="Q22">
    <cfRule type="expression" dxfId="507" priority="93">
      <formula>C22=""</formula>
    </cfRule>
  </conditionalFormatting>
  <conditionalFormatting sqref="Q22">
    <cfRule type="expression" dxfId="506" priority="94">
      <formula>C22&lt;&gt;""</formula>
    </cfRule>
  </conditionalFormatting>
  <conditionalFormatting sqref="R22">
    <cfRule type="expression" dxfId="505" priority="95">
      <formula>C22=""</formula>
    </cfRule>
  </conditionalFormatting>
  <conditionalFormatting sqref="R22">
    <cfRule type="expression" dxfId="504" priority="96">
      <formula>C22&lt;&gt;""</formula>
    </cfRule>
  </conditionalFormatting>
  <conditionalFormatting sqref="B23">
    <cfRule type="expression" dxfId="503" priority="97">
      <formula>C23=""</formula>
    </cfRule>
  </conditionalFormatting>
  <conditionalFormatting sqref="B23">
    <cfRule type="expression" dxfId="502" priority="98">
      <formula>C23&lt;&gt;""</formula>
    </cfRule>
  </conditionalFormatting>
  <conditionalFormatting sqref="C23:P23">
    <cfRule type="expression" dxfId="501" priority="99">
      <formula>C23=""</formula>
    </cfRule>
  </conditionalFormatting>
  <conditionalFormatting sqref="C23:P23">
    <cfRule type="expression" dxfId="500" priority="100">
      <formula>C23&lt;&gt;""</formula>
    </cfRule>
  </conditionalFormatting>
  <conditionalFormatting sqref="Q23">
    <cfRule type="expression" dxfId="499" priority="101">
      <formula>C23=""</formula>
    </cfRule>
  </conditionalFormatting>
  <conditionalFormatting sqref="Q23">
    <cfRule type="expression" dxfId="498" priority="102">
      <formula>C23&lt;&gt;""</formula>
    </cfRule>
  </conditionalFormatting>
  <conditionalFormatting sqref="R23">
    <cfRule type="expression" dxfId="497" priority="103">
      <formula>C23=""</formula>
    </cfRule>
  </conditionalFormatting>
  <conditionalFormatting sqref="R23">
    <cfRule type="expression" dxfId="496" priority="104">
      <formula>C23&lt;&gt;""</formula>
    </cfRule>
  </conditionalFormatting>
  <conditionalFormatting sqref="B24">
    <cfRule type="expression" dxfId="495" priority="105">
      <formula>C24=""</formula>
    </cfRule>
  </conditionalFormatting>
  <conditionalFormatting sqref="B24">
    <cfRule type="expression" dxfId="494" priority="106">
      <formula>C24&lt;&gt;""</formula>
    </cfRule>
  </conditionalFormatting>
  <conditionalFormatting sqref="C24:P24">
    <cfRule type="expression" dxfId="493" priority="107">
      <formula>C24=""</formula>
    </cfRule>
  </conditionalFormatting>
  <conditionalFormatting sqref="C24:P24">
    <cfRule type="expression" dxfId="492" priority="108">
      <formula>C24&lt;&gt;""</formula>
    </cfRule>
  </conditionalFormatting>
  <conditionalFormatting sqref="Q24">
    <cfRule type="expression" dxfId="491" priority="109">
      <formula>C24=""</formula>
    </cfRule>
  </conditionalFormatting>
  <conditionalFormatting sqref="Q24">
    <cfRule type="expression" dxfId="490" priority="110">
      <formula>C24&lt;&gt;""</formula>
    </cfRule>
  </conditionalFormatting>
  <conditionalFormatting sqref="R24">
    <cfRule type="expression" dxfId="489" priority="111">
      <formula>C24=""</formula>
    </cfRule>
  </conditionalFormatting>
  <conditionalFormatting sqref="R24">
    <cfRule type="expression" dxfId="488" priority="112">
      <formula>C24&lt;&gt;""</formula>
    </cfRule>
  </conditionalFormatting>
  <conditionalFormatting sqref="B25">
    <cfRule type="expression" dxfId="487" priority="113">
      <formula>C25=""</formula>
    </cfRule>
  </conditionalFormatting>
  <conditionalFormatting sqref="B25">
    <cfRule type="expression" dxfId="486" priority="114">
      <formula>C25&lt;&gt;""</formula>
    </cfRule>
  </conditionalFormatting>
  <conditionalFormatting sqref="C25:P25">
    <cfRule type="expression" dxfId="485" priority="115">
      <formula>C25=""</formula>
    </cfRule>
  </conditionalFormatting>
  <conditionalFormatting sqref="C25:P25">
    <cfRule type="expression" dxfId="484" priority="116">
      <formula>C25&lt;&gt;""</formula>
    </cfRule>
  </conditionalFormatting>
  <conditionalFormatting sqref="Q25">
    <cfRule type="expression" dxfId="483" priority="117">
      <formula>C25=""</formula>
    </cfRule>
  </conditionalFormatting>
  <conditionalFormatting sqref="Q25">
    <cfRule type="expression" dxfId="482" priority="118">
      <formula>C25&lt;&gt;""</formula>
    </cfRule>
  </conditionalFormatting>
  <conditionalFormatting sqref="R25">
    <cfRule type="expression" dxfId="481" priority="119">
      <formula>C25=""</formula>
    </cfRule>
  </conditionalFormatting>
  <conditionalFormatting sqref="R25">
    <cfRule type="expression" dxfId="480" priority="120">
      <formula>C25&lt;&gt;""</formula>
    </cfRule>
  </conditionalFormatting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H42"/>
  <sheetViews>
    <sheetView showGridLines="0" zoomScale="90" workbookViewId="0"/>
  </sheetViews>
  <sheetFormatPr baseColWidth="10" defaultColWidth="8.88671875" defaultRowHeight="14.4" x14ac:dyDescent="0.3"/>
  <cols>
    <col min="1" max="1" width="14.6640625" customWidth="1"/>
    <col min="2" max="2" width="25.88671875" customWidth="1"/>
    <col min="3" max="3" width="21.33203125" customWidth="1"/>
    <col min="4" max="4" width="13.88671875" customWidth="1"/>
    <col min="5" max="5" width="14.6640625" customWidth="1"/>
    <col min="6" max="6" width="13.88671875" customWidth="1"/>
    <col min="7" max="7" width="15.6640625" customWidth="1"/>
    <col min="8" max="8" width="17.5546875" customWidth="1"/>
    <col min="9" max="9" width="17" customWidth="1"/>
    <col min="10" max="10" width="14.109375" customWidth="1"/>
    <col min="11" max="12" width="12.5546875" customWidth="1"/>
    <col min="13" max="13" width="15.33203125" customWidth="1"/>
    <col min="14" max="14" width="16.6640625" customWidth="1"/>
    <col min="15" max="15" width="15.33203125" customWidth="1"/>
    <col min="16" max="16" width="14.109375" customWidth="1"/>
    <col min="17" max="18" width="12.5546875" customWidth="1"/>
    <col min="19" max="19" width="14.6640625" customWidth="1"/>
    <col min="20" max="20" width="17.5546875" customWidth="1"/>
    <col min="21" max="21" width="14.6640625" customWidth="1"/>
    <col min="22" max="22" width="16.33203125" customWidth="1"/>
    <col min="23" max="24" width="15.33203125" customWidth="1"/>
    <col min="25" max="25" width="14.109375" customWidth="1"/>
    <col min="26" max="27" width="15.88671875" customWidth="1"/>
    <col min="28" max="28" width="17.44140625" customWidth="1"/>
    <col min="29" max="29" width="17" customWidth="1"/>
    <col min="30" max="30" width="15.33203125" customWidth="1"/>
  </cols>
  <sheetData>
    <row r="1" spans="1:34" ht="28.2" customHeight="1" thickBot="1" x14ac:dyDescent="0.35">
      <c r="A1" s="7" t="s">
        <v>429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F1" t="s">
        <v>9</v>
      </c>
      <c r="AG1" t="s">
        <v>24</v>
      </c>
      <c r="AH1" t="s">
        <v>383</v>
      </c>
    </row>
    <row r="2" spans="1:34" x14ac:dyDescent="0.3">
      <c r="A2" s="6" t="s">
        <v>9</v>
      </c>
      <c r="B2" s="6" t="s">
        <v>10</v>
      </c>
      <c r="C2" s="6" t="s">
        <v>14</v>
      </c>
      <c r="D2" s="6" t="s">
        <v>430</v>
      </c>
      <c r="E2" s="6" t="s">
        <v>431</v>
      </c>
      <c r="F2" s="6" t="s">
        <v>432</v>
      </c>
      <c r="G2" s="6" t="s">
        <v>433</v>
      </c>
      <c r="H2" s="6" t="s">
        <v>434</v>
      </c>
      <c r="I2" s="6" t="s">
        <v>27</v>
      </c>
      <c r="J2" s="6" t="s">
        <v>435</v>
      </c>
      <c r="K2" s="6" t="s">
        <v>29</v>
      </c>
      <c r="L2" s="6" t="s">
        <v>436</v>
      </c>
      <c r="M2" s="6" t="s">
        <v>437</v>
      </c>
      <c r="N2" s="6" t="s">
        <v>383</v>
      </c>
      <c r="O2" s="6" t="s">
        <v>438</v>
      </c>
      <c r="P2" s="6" t="s">
        <v>439</v>
      </c>
      <c r="Q2" s="6" t="s">
        <v>124</v>
      </c>
      <c r="R2" s="6" t="s">
        <v>440</v>
      </c>
      <c r="S2" s="6" t="s">
        <v>441</v>
      </c>
      <c r="T2" s="6" t="s">
        <v>423</v>
      </c>
      <c r="U2" s="6" t="s">
        <v>32</v>
      </c>
      <c r="V2" s="6" t="s">
        <v>244</v>
      </c>
      <c r="W2" s="6" t="s">
        <v>442</v>
      </c>
      <c r="X2" s="6" t="s">
        <v>443</v>
      </c>
      <c r="Y2" s="6" t="s">
        <v>121</v>
      </c>
      <c r="Z2" s="6" t="s">
        <v>243</v>
      </c>
      <c r="AA2" s="1" t="s">
        <v>283</v>
      </c>
      <c r="AB2" s="1" t="s">
        <v>24</v>
      </c>
      <c r="AC2" s="1" t="s">
        <v>444</v>
      </c>
      <c r="AD2" s="1" t="s">
        <v>21</v>
      </c>
      <c r="AF2" t="s">
        <v>445</v>
      </c>
      <c r="AG2">
        <v>75</v>
      </c>
      <c r="AH2">
        <v>46.8</v>
      </c>
    </row>
    <row r="3" spans="1:34" ht="13.2" customHeight="1" thickBot="1" x14ac:dyDescent="0.35">
      <c r="A3" s="4" t="s">
        <v>127</v>
      </c>
      <c r="B3" s="4" t="s">
        <v>128</v>
      </c>
      <c r="C3" s="4" t="s">
        <v>107</v>
      </c>
      <c r="D3" s="4">
        <v>4987</v>
      </c>
      <c r="E3" s="4">
        <v>1212.8</v>
      </c>
      <c r="F3" s="4">
        <v>1212.9000000000001</v>
      </c>
      <c r="G3" s="4" t="s">
        <v>446</v>
      </c>
      <c r="H3" s="4" t="s">
        <v>447</v>
      </c>
      <c r="I3" s="4">
        <v>583.1</v>
      </c>
      <c r="J3" s="4">
        <v>286.7</v>
      </c>
      <c r="K3" s="4">
        <v>1787.5</v>
      </c>
      <c r="L3" s="4">
        <v>2.79</v>
      </c>
      <c r="M3" s="4" t="s">
        <v>166</v>
      </c>
      <c r="N3" s="4" t="s">
        <v>131</v>
      </c>
      <c r="O3" s="4" t="s">
        <v>132</v>
      </c>
      <c r="P3" s="4" t="s">
        <v>130</v>
      </c>
      <c r="Q3" s="4" t="s">
        <v>133</v>
      </c>
      <c r="R3" s="4" t="s">
        <v>448</v>
      </c>
      <c r="S3" s="4">
        <v>1.1100000000000001</v>
      </c>
      <c r="T3" s="4" t="s">
        <v>449</v>
      </c>
      <c r="U3" s="4">
        <v>4.67</v>
      </c>
      <c r="V3" s="4">
        <v>-3.54</v>
      </c>
      <c r="W3" s="4" t="s">
        <v>293</v>
      </c>
      <c r="X3" s="4">
        <v>60</v>
      </c>
      <c r="Y3" s="4">
        <v>91</v>
      </c>
      <c r="Z3" s="4">
        <v>74</v>
      </c>
      <c r="AA3" s="2">
        <v>98</v>
      </c>
      <c r="AB3" s="2">
        <v>80</v>
      </c>
      <c r="AC3" s="2" t="s">
        <v>294</v>
      </c>
      <c r="AD3" s="2" t="s">
        <v>136</v>
      </c>
      <c r="AF3" t="s">
        <v>450</v>
      </c>
      <c r="AG3">
        <v>74</v>
      </c>
      <c r="AH3">
        <v>27.9</v>
      </c>
    </row>
    <row r="4" spans="1:34" ht="13.2" customHeight="1" thickBot="1" x14ac:dyDescent="0.35">
      <c r="A4" s="13" t="s">
        <v>105</v>
      </c>
      <c r="B4" s="13" t="s">
        <v>106</v>
      </c>
      <c r="C4" s="13" t="s">
        <v>107</v>
      </c>
      <c r="D4" s="13">
        <v>7448</v>
      </c>
      <c r="E4" s="13">
        <v>9343.2999999999993</v>
      </c>
      <c r="F4" s="13">
        <v>9358.2999999999993</v>
      </c>
      <c r="G4" s="13" t="s">
        <v>451</v>
      </c>
      <c r="H4" s="13" t="s">
        <v>452</v>
      </c>
      <c r="I4" s="13">
        <v>407.4</v>
      </c>
      <c r="J4" s="13">
        <v>162.4</v>
      </c>
      <c r="K4" s="13">
        <v>938</v>
      </c>
      <c r="L4" s="13">
        <v>7.94</v>
      </c>
      <c r="M4" s="13" t="s">
        <v>108</v>
      </c>
      <c r="N4" s="13" t="s">
        <v>109</v>
      </c>
      <c r="O4" s="13" t="s">
        <v>453</v>
      </c>
      <c r="P4" s="13" t="s">
        <v>454</v>
      </c>
      <c r="Q4" s="13" t="s">
        <v>275</v>
      </c>
      <c r="R4" s="13" t="s">
        <v>211</v>
      </c>
      <c r="S4" s="13">
        <v>1.44</v>
      </c>
      <c r="T4" s="13" t="s">
        <v>455</v>
      </c>
      <c r="U4" s="13">
        <v>3.45</v>
      </c>
      <c r="V4" s="13">
        <v>-2.93</v>
      </c>
      <c r="W4" s="13" t="s">
        <v>304</v>
      </c>
      <c r="X4" s="13">
        <v>63</v>
      </c>
      <c r="Y4" s="13">
        <v>64</v>
      </c>
      <c r="Z4" s="13">
        <v>70</v>
      </c>
      <c r="AA4" s="8">
        <v>95</v>
      </c>
      <c r="AB4" s="3">
        <v>71</v>
      </c>
      <c r="AC4" s="3" t="s">
        <v>41</v>
      </c>
      <c r="AD4" s="3" t="s">
        <v>136</v>
      </c>
      <c r="AF4" t="s">
        <v>456</v>
      </c>
      <c r="AG4">
        <v>72</v>
      </c>
      <c r="AH4">
        <v>30.4</v>
      </c>
    </row>
    <row r="5" spans="1:34" ht="15.9" customHeight="1" thickBot="1" x14ac:dyDescent="0.35">
      <c r="A5" s="14" t="s">
        <v>252</v>
      </c>
      <c r="B5" s="15" t="s">
        <v>253</v>
      </c>
      <c r="C5" s="14" t="s">
        <v>107</v>
      </c>
      <c r="D5" s="15">
        <v>3782</v>
      </c>
      <c r="E5" s="15">
        <v>2786.9</v>
      </c>
      <c r="F5" s="15">
        <v>2786.7</v>
      </c>
      <c r="G5" s="15" t="s">
        <v>457</v>
      </c>
      <c r="H5" s="15" t="s">
        <v>458</v>
      </c>
      <c r="I5" s="15">
        <v>1935.2</v>
      </c>
      <c r="J5" s="15">
        <v>796.2</v>
      </c>
      <c r="K5" s="15">
        <v>19905.3</v>
      </c>
      <c r="L5" s="15">
        <v>0.19</v>
      </c>
      <c r="M5" s="15" t="s">
        <v>459</v>
      </c>
      <c r="N5" s="15" t="s">
        <v>256</v>
      </c>
      <c r="O5" s="15" t="s">
        <v>460</v>
      </c>
      <c r="P5" s="15" t="s">
        <v>461</v>
      </c>
      <c r="Q5" s="15" t="s">
        <v>84</v>
      </c>
      <c r="R5" s="15" t="s">
        <v>462</v>
      </c>
      <c r="S5" s="15">
        <v>6.63</v>
      </c>
      <c r="T5" s="15" t="s">
        <v>463</v>
      </c>
      <c r="U5" s="15">
        <v>7.22</v>
      </c>
      <c r="V5" s="15">
        <v>-3.17</v>
      </c>
      <c r="W5" s="15" t="s">
        <v>289</v>
      </c>
      <c r="X5" s="15">
        <v>26</v>
      </c>
      <c r="Y5" s="15">
        <v>61</v>
      </c>
      <c r="Z5" s="15">
        <v>83</v>
      </c>
      <c r="AA5" s="11">
        <v>100</v>
      </c>
      <c r="AB5" s="9">
        <v>66</v>
      </c>
      <c r="AC5" s="9" t="s">
        <v>41</v>
      </c>
      <c r="AD5" s="9" t="s">
        <v>136</v>
      </c>
      <c r="AF5" t="s">
        <v>464</v>
      </c>
      <c r="AG5">
        <v>72</v>
      </c>
      <c r="AH5">
        <v>21</v>
      </c>
    </row>
    <row r="6" spans="1:34" ht="15.9" customHeight="1" thickBot="1" x14ac:dyDescent="0.35">
      <c r="A6" s="16" t="s">
        <v>261</v>
      </c>
      <c r="B6" s="17" t="s">
        <v>262</v>
      </c>
      <c r="C6" s="16" t="s">
        <v>107</v>
      </c>
      <c r="D6" s="17">
        <v>3959</v>
      </c>
      <c r="E6" s="17">
        <v>3903</v>
      </c>
      <c r="F6" s="17">
        <v>3906</v>
      </c>
      <c r="G6" s="17" t="s">
        <v>465</v>
      </c>
      <c r="H6" s="17" t="s">
        <v>466</v>
      </c>
      <c r="I6" s="17">
        <v>983.9</v>
      </c>
      <c r="J6" s="17">
        <v>590.9</v>
      </c>
      <c r="K6" s="17">
        <v>4713.1000000000004</v>
      </c>
      <c r="L6" s="17">
        <v>0.84</v>
      </c>
      <c r="M6" s="17" t="s">
        <v>467</v>
      </c>
      <c r="N6" s="17" t="s">
        <v>264</v>
      </c>
      <c r="O6" s="17" t="s">
        <v>468</v>
      </c>
      <c r="P6" s="17" t="s">
        <v>469</v>
      </c>
      <c r="Q6" s="17" t="s">
        <v>265</v>
      </c>
      <c r="R6" s="17" t="s">
        <v>84</v>
      </c>
      <c r="S6" s="17">
        <v>2.2200000000000002</v>
      </c>
      <c r="T6" s="17" t="s">
        <v>470</v>
      </c>
      <c r="U6" s="17">
        <v>4.04</v>
      </c>
      <c r="V6" s="17">
        <v>-3.05</v>
      </c>
      <c r="W6" s="17" t="s">
        <v>291</v>
      </c>
      <c r="X6" s="17">
        <v>33</v>
      </c>
      <c r="Y6" s="17">
        <v>61</v>
      </c>
      <c r="Z6" s="17">
        <v>76</v>
      </c>
      <c r="AA6" s="12">
        <v>99</v>
      </c>
      <c r="AB6" s="10">
        <v>65</v>
      </c>
      <c r="AC6" s="10" t="s">
        <v>41</v>
      </c>
      <c r="AD6" s="10" t="s">
        <v>136</v>
      </c>
      <c r="AF6" t="s">
        <v>471</v>
      </c>
      <c r="AG6">
        <v>72</v>
      </c>
      <c r="AH6">
        <v>26.7</v>
      </c>
    </row>
    <row r="7" spans="1:34" ht="15.9" customHeight="1" thickBot="1" x14ac:dyDescent="0.35">
      <c r="A7" s="14" t="s">
        <v>145</v>
      </c>
      <c r="B7" s="15" t="s">
        <v>146</v>
      </c>
      <c r="C7" s="14" t="s">
        <v>75</v>
      </c>
      <c r="D7" s="15">
        <v>1310.5999999999999</v>
      </c>
      <c r="E7" s="15">
        <v>10916.8</v>
      </c>
      <c r="F7" s="15">
        <v>10913.5</v>
      </c>
      <c r="G7" s="15" t="s">
        <v>472</v>
      </c>
      <c r="H7" s="15" t="s">
        <v>473</v>
      </c>
      <c r="I7" s="15">
        <v>1340.7</v>
      </c>
      <c r="J7" s="15">
        <v>514.5</v>
      </c>
      <c r="K7" s="15">
        <v>1872.3</v>
      </c>
      <c r="L7" s="15">
        <v>0.7</v>
      </c>
      <c r="M7" s="15" t="s">
        <v>474</v>
      </c>
      <c r="N7" s="15" t="s">
        <v>148</v>
      </c>
      <c r="O7" s="15" t="s">
        <v>149</v>
      </c>
      <c r="P7" s="15" t="s">
        <v>147</v>
      </c>
      <c r="Q7" s="15" t="s">
        <v>150</v>
      </c>
      <c r="R7" s="15" t="s">
        <v>475</v>
      </c>
      <c r="S7" s="15">
        <v>1.2</v>
      </c>
      <c r="T7" s="15" t="s">
        <v>476</v>
      </c>
      <c r="U7" s="15">
        <v>2.08</v>
      </c>
      <c r="V7" s="15">
        <v>-3.27</v>
      </c>
      <c r="W7" s="15" t="s">
        <v>319</v>
      </c>
      <c r="X7" s="15">
        <v>25</v>
      </c>
      <c r="Y7" s="15">
        <v>79</v>
      </c>
      <c r="Z7" s="15">
        <v>64</v>
      </c>
      <c r="AA7" s="11">
        <v>89</v>
      </c>
      <c r="AB7" s="9">
        <v>64</v>
      </c>
      <c r="AC7" s="9" t="s">
        <v>41</v>
      </c>
      <c r="AD7" s="9" t="s">
        <v>136</v>
      </c>
      <c r="AF7" t="s">
        <v>477</v>
      </c>
      <c r="AG7">
        <v>70</v>
      </c>
      <c r="AH7">
        <v>6.8</v>
      </c>
    </row>
    <row r="8" spans="1:34" ht="15.9" customHeight="1" thickBot="1" x14ac:dyDescent="0.35">
      <c r="A8" s="16" t="s">
        <v>236</v>
      </c>
      <c r="B8" s="17" t="s">
        <v>237</v>
      </c>
      <c r="C8" s="16" t="s">
        <v>75</v>
      </c>
      <c r="D8" s="17">
        <v>4518</v>
      </c>
      <c r="E8" s="17">
        <v>1706.5</v>
      </c>
      <c r="F8" s="17">
        <v>1706.9</v>
      </c>
      <c r="G8" s="17" t="s">
        <v>478</v>
      </c>
      <c r="H8" s="17" t="s">
        <v>479</v>
      </c>
      <c r="I8" s="17">
        <v>3160.9</v>
      </c>
      <c r="J8" s="17">
        <v>758.6</v>
      </c>
      <c r="K8" s="17">
        <v>5792.3</v>
      </c>
      <c r="L8" s="17">
        <v>0.78</v>
      </c>
      <c r="M8" s="17" t="s">
        <v>480</v>
      </c>
      <c r="N8" s="17" t="s">
        <v>239</v>
      </c>
      <c r="O8" s="17" t="s">
        <v>240</v>
      </c>
      <c r="P8" s="17" t="s">
        <v>238</v>
      </c>
      <c r="Q8" s="17" t="s">
        <v>241</v>
      </c>
      <c r="R8" s="17" t="s">
        <v>481</v>
      </c>
      <c r="S8" s="17">
        <v>2.44</v>
      </c>
      <c r="T8" s="17" t="s">
        <v>470</v>
      </c>
      <c r="U8" s="17">
        <v>5.44</v>
      </c>
      <c r="V8" s="17">
        <v>-3.13</v>
      </c>
      <c r="W8" s="17" t="s">
        <v>316</v>
      </c>
      <c r="X8" s="17">
        <v>29</v>
      </c>
      <c r="Y8" s="17">
        <v>66</v>
      </c>
      <c r="Z8" s="17">
        <v>73</v>
      </c>
      <c r="AA8" s="12">
        <v>90</v>
      </c>
      <c r="AB8" s="10">
        <v>63</v>
      </c>
      <c r="AC8" s="10" t="s">
        <v>317</v>
      </c>
      <c r="AD8" s="10" t="s">
        <v>136</v>
      </c>
      <c r="AF8" t="s">
        <v>482</v>
      </c>
      <c r="AG8">
        <v>69</v>
      </c>
      <c r="AH8">
        <v>89.1</v>
      </c>
    </row>
    <row r="9" spans="1:34" ht="15.9" customHeight="1" thickBot="1" x14ac:dyDescent="0.35">
      <c r="A9" s="14" t="s">
        <v>200</v>
      </c>
      <c r="B9" s="15" t="s">
        <v>201</v>
      </c>
      <c r="C9" s="14" t="s">
        <v>75</v>
      </c>
      <c r="D9" s="15">
        <v>6965</v>
      </c>
      <c r="E9" s="15">
        <v>934</v>
      </c>
      <c r="F9" s="15">
        <v>934.3</v>
      </c>
      <c r="G9" s="15" t="s">
        <v>483</v>
      </c>
      <c r="H9" s="15" t="s">
        <v>484</v>
      </c>
      <c r="I9" s="15">
        <v>2525.1</v>
      </c>
      <c r="J9" s="15">
        <v>614.70000000000005</v>
      </c>
      <c r="K9" s="15">
        <v>5047.1000000000004</v>
      </c>
      <c r="L9" s="15">
        <v>1.38</v>
      </c>
      <c r="M9" s="15" t="s">
        <v>94</v>
      </c>
      <c r="N9" s="15" t="s">
        <v>204</v>
      </c>
      <c r="O9" s="15" t="s">
        <v>205</v>
      </c>
      <c r="P9" s="15" t="s">
        <v>203</v>
      </c>
      <c r="Q9" s="15" t="s">
        <v>206</v>
      </c>
      <c r="R9" s="15" t="s">
        <v>485</v>
      </c>
      <c r="S9" s="15">
        <v>2.04</v>
      </c>
      <c r="T9" s="15" t="s">
        <v>470</v>
      </c>
      <c r="U9" s="15">
        <v>4.47</v>
      </c>
      <c r="V9" s="15">
        <v>-3.03</v>
      </c>
      <c r="W9" s="15" t="s">
        <v>331</v>
      </c>
      <c r="X9" s="15">
        <v>28</v>
      </c>
      <c r="Y9" s="15">
        <v>69</v>
      </c>
      <c r="Z9" s="15">
        <v>69</v>
      </c>
      <c r="AA9" s="11">
        <v>86</v>
      </c>
      <c r="AB9" s="9">
        <v>62</v>
      </c>
      <c r="AC9" s="9" t="s">
        <v>332</v>
      </c>
      <c r="AD9" s="9" t="s">
        <v>136</v>
      </c>
      <c r="AF9" t="s">
        <v>486</v>
      </c>
      <c r="AG9">
        <v>68</v>
      </c>
      <c r="AH9">
        <v>14</v>
      </c>
    </row>
    <row r="10" spans="1:34" ht="15.9" customHeight="1" thickBot="1" x14ac:dyDescent="0.35">
      <c r="A10" s="16" t="s">
        <v>222</v>
      </c>
      <c r="B10" s="17" t="s">
        <v>223</v>
      </c>
      <c r="C10" s="16" t="s">
        <v>87</v>
      </c>
      <c r="D10" s="17">
        <v>2144</v>
      </c>
      <c r="E10" s="17">
        <v>8563.6</v>
      </c>
      <c r="F10" s="17">
        <v>8577.4</v>
      </c>
      <c r="G10" s="17" t="s">
        <v>487</v>
      </c>
      <c r="H10" s="17" t="s">
        <v>488</v>
      </c>
      <c r="I10" s="17">
        <v>824.7</v>
      </c>
      <c r="J10" s="17">
        <v>262.5</v>
      </c>
      <c r="K10" s="17">
        <v>1499.3</v>
      </c>
      <c r="L10" s="17">
        <v>1.43</v>
      </c>
      <c r="M10" s="17" t="s">
        <v>489</v>
      </c>
      <c r="N10" s="17" t="s">
        <v>224</v>
      </c>
      <c r="O10" s="17" t="s">
        <v>225</v>
      </c>
      <c r="P10" s="17" t="s">
        <v>151</v>
      </c>
      <c r="Q10" s="17" t="s">
        <v>226</v>
      </c>
      <c r="R10" s="17" t="s">
        <v>490</v>
      </c>
      <c r="S10" s="17">
        <v>0.82</v>
      </c>
      <c r="T10" s="17" t="s">
        <v>491</v>
      </c>
      <c r="U10" s="17">
        <v>1.4</v>
      </c>
      <c r="V10" s="17">
        <v>-3.01</v>
      </c>
      <c r="W10" s="17" t="s">
        <v>492</v>
      </c>
      <c r="X10" s="17">
        <v>53</v>
      </c>
      <c r="Y10" s="17">
        <v>66</v>
      </c>
      <c r="Z10" s="17">
        <v>43</v>
      </c>
      <c r="AA10" s="12">
        <v>84</v>
      </c>
      <c r="AB10" s="10">
        <v>61</v>
      </c>
      <c r="AC10" s="10" t="s">
        <v>493</v>
      </c>
      <c r="AD10" s="10" t="s">
        <v>136</v>
      </c>
      <c r="AF10" t="s">
        <v>494</v>
      </c>
      <c r="AG10">
        <v>68</v>
      </c>
      <c r="AH10">
        <v>39.200000000000003</v>
      </c>
    </row>
    <row r="11" spans="1:34" ht="15.9" customHeight="1" thickBot="1" x14ac:dyDescent="0.35">
      <c r="A11" s="14" t="s">
        <v>162</v>
      </c>
      <c r="B11" s="15" t="s">
        <v>163</v>
      </c>
      <c r="C11" s="14" t="s">
        <v>57</v>
      </c>
      <c r="D11" s="15">
        <v>464</v>
      </c>
      <c r="E11" s="15">
        <v>349.2</v>
      </c>
      <c r="F11" s="15">
        <v>349.2</v>
      </c>
      <c r="G11" s="15" t="s">
        <v>484</v>
      </c>
      <c r="H11" s="15" t="s">
        <v>495</v>
      </c>
      <c r="I11" s="15">
        <v>1343</v>
      </c>
      <c r="J11" s="15">
        <v>895.3</v>
      </c>
      <c r="K11" s="15">
        <v>1784.6</v>
      </c>
      <c r="L11" s="15">
        <v>0.26</v>
      </c>
      <c r="M11" s="15" t="s">
        <v>496</v>
      </c>
      <c r="N11" s="15" t="s">
        <v>165</v>
      </c>
      <c r="O11" s="15" t="s">
        <v>166</v>
      </c>
      <c r="P11" s="15" t="s">
        <v>164</v>
      </c>
      <c r="Q11" s="15" t="s">
        <v>167</v>
      </c>
      <c r="R11" s="15" t="s">
        <v>497</v>
      </c>
      <c r="S11" s="15">
        <v>2.21</v>
      </c>
      <c r="T11" s="15" t="s">
        <v>498</v>
      </c>
      <c r="U11" s="15">
        <v>21.85</v>
      </c>
      <c r="V11" s="15" t="s">
        <v>41</v>
      </c>
      <c r="W11" s="15" t="s">
        <v>499</v>
      </c>
      <c r="X11" s="15">
        <v>54</v>
      </c>
      <c r="Y11" s="15">
        <v>78</v>
      </c>
      <c r="Z11" s="15">
        <v>93</v>
      </c>
      <c r="AA11" s="11">
        <v>4</v>
      </c>
      <c r="AB11" s="9">
        <v>61</v>
      </c>
      <c r="AC11" s="9" t="s">
        <v>41</v>
      </c>
      <c r="AD11" s="9" t="s">
        <v>136</v>
      </c>
      <c r="AF11" t="s">
        <v>500</v>
      </c>
      <c r="AG11">
        <v>65</v>
      </c>
      <c r="AH11">
        <v>192.6</v>
      </c>
    </row>
    <row r="12" spans="1:34" ht="15.9" customHeight="1" thickBot="1" x14ac:dyDescent="0.35">
      <c r="A12" s="16" t="s">
        <v>100</v>
      </c>
      <c r="B12" s="17" t="s">
        <v>101</v>
      </c>
      <c r="C12" s="16" t="s">
        <v>736</v>
      </c>
      <c r="D12" s="17">
        <v>4142</v>
      </c>
      <c r="E12" s="17">
        <v>8968</v>
      </c>
      <c r="F12" s="17">
        <v>8999</v>
      </c>
      <c r="G12" s="17" t="s">
        <v>501</v>
      </c>
      <c r="H12" s="17" t="s">
        <v>502</v>
      </c>
      <c r="I12" s="17">
        <v>640</v>
      </c>
      <c r="J12" s="17">
        <v>351.4</v>
      </c>
      <c r="K12" s="17">
        <v>1153.8</v>
      </c>
      <c r="L12" s="17">
        <v>3.59</v>
      </c>
      <c r="M12" s="17" t="s">
        <v>103</v>
      </c>
      <c r="N12" s="17" t="s">
        <v>104</v>
      </c>
      <c r="O12" s="17" t="s">
        <v>503</v>
      </c>
      <c r="P12" s="17" t="s">
        <v>504</v>
      </c>
      <c r="Q12" s="17" t="s">
        <v>505</v>
      </c>
      <c r="R12" s="17" t="s">
        <v>506</v>
      </c>
      <c r="S12" s="17">
        <v>0.87</v>
      </c>
      <c r="T12" s="17" t="s">
        <v>507</v>
      </c>
      <c r="U12" s="17">
        <v>2.25</v>
      </c>
      <c r="V12" s="17">
        <v>-3.03</v>
      </c>
      <c r="W12" s="17" t="s">
        <v>508</v>
      </c>
      <c r="X12" s="17">
        <v>63</v>
      </c>
      <c r="Y12" s="17">
        <v>63</v>
      </c>
      <c r="Z12" s="17">
        <v>48</v>
      </c>
      <c r="AA12" s="12">
        <v>65</v>
      </c>
      <c r="AB12" s="10">
        <v>60</v>
      </c>
      <c r="AC12" s="10" t="s">
        <v>41</v>
      </c>
      <c r="AD12" s="10" t="s">
        <v>136</v>
      </c>
      <c r="AF12" t="s">
        <v>509</v>
      </c>
      <c r="AG12">
        <v>64</v>
      </c>
      <c r="AH12">
        <v>23.2</v>
      </c>
    </row>
    <row r="13" spans="1:34" ht="15.9" customHeight="1" thickBot="1" x14ac:dyDescent="0.35">
      <c r="A13" s="14" t="s">
        <v>115</v>
      </c>
      <c r="B13" s="15" t="s">
        <v>116</v>
      </c>
      <c r="C13" s="14" t="s">
        <v>87</v>
      </c>
      <c r="D13" s="15">
        <v>1268</v>
      </c>
      <c r="E13" s="15">
        <v>1082.3</v>
      </c>
      <c r="F13" s="15">
        <v>1084.9000000000001</v>
      </c>
      <c r="G13" s="15" t="s">
        <v>510</v>
      </c>
      <c r="H13" s="15" t="s">
        <v>483</v>
      </c>
      <c r="I13" s="15">
        <v>709.1</v>
      </c>
      <c r="J13" s="15">
        <v>176.1</v>
      </c>
      <c r="K13" s="15">
        <v>1737</v>
      </c>
      <c r="L13" s="15">
        <v>0.73</v>
      </c>
      <c r="M13" s="15" t="s">
        <v>118</v>
      </c>
      <c r="N13" s="15" t="s">
        <v>119</v>
      </c>
      <c r="O13" s="15" t="s">
        <v>511</v>
      </c>
      <c r="P13" s="15" t="s">
        <v>512</v>
      </c>
      <c r="Q13" s="15" t="s">
        <v>203</v>
      </c>
      <c r="R13" s="15" t="s">
        <v>217</v>
      </c>
      <c r="S13" s="15">
        <v>2.57</v>
      </c>
      <c r="T13" s="15" t="s">
        <v>513</v>
      </c>
      <c r="U13" s="15">
        <v>4.92</v>
      </c>
      <c r="V13" s="15">
        <v>-2.97</v>
      </c>
      <c r="W13" s="15" t="s">
        <v>514</v>
      </c>
      <c r="X13" s="15">
        <v>61</v>
      </c>
      <c r="Y13" s="15">
        <v>60</v>
      </c>
      <c r="Z13" s="15">
        <v>65</v>
      </c>
      <c r="AA13" s="11">
        <v>54</v>
      </c>
      <c r="AB13" s="9">
        <v>60</v>
      </c>
      <c r="AC13" s="9" t="s">
        <v>41</v>
      </c>
      <c r="AD13" s="9" t="s">
        <v>136</v>
      </c>
      <c r="AF13" t="s">
        <v>515</v>
      </c>
      <c r="AG13">
        <v>64</v>
      </c>
      <c r="AH13">
        <v>24.3</v>
      </c>
    </row>
    <row r="14" spans="1:34" ht="15.9" customHeight="1" thickBot="1" x14ac:dyDescent="0.35">
      <c r="A14" s="16" t="s">
        <v>178</v>
      </c>
      <c r="B14" s="17" t="s">
        <v>179</v>
      </c>
      <c r="C14" s="16" t="s">
        <v>57</v>
      </c>
      <c r="D14" s="17">
        <v>523.4</v>
      </c>
      <c r="E14" s="17">
        <v>429.4</v>
      </c>
      <c r="F14" s="17">
        <v>429.4</v>
      </c>
      <c r="G14" s="17" t="s">
        <v>516</v>
      </c>
      <c r="H14" s="17" t="s">
        <v>484</v>
      </c>
      <c r="I14" s="17">
        <v>1073.5</v>
      </c>
      <c r="J14" s="17">
        <v>715.7</v>
      </c>
      <c r="K14" s="17">
        <v>1539.4</v>
      </c>
      <c r="L14" s="17">
        <v>0.34</v>
      </c>
      <c r="M14" s="17" t="s">
        <v>517</v>
      </c>
      <c r="N14" s="17" t="s">
        <v>181</v>
      </c>
      <c r="O14" s="17" t="s">
        <v>182</v>
      </c>
      <c r="P14" s="17" t="s">
        <v>180</v>
      </c>
      <c r="Q14" s="17" t="s">
        <v>183</v>
      </c>
      <c r="R14" s="17" t="s">
        <v>518</v>
      </c>
      <c r="S14" s="17">
        <v>1.7</v>
      </c>
      <c r="T14" s="17" t="s">
        <v>519</v>
      </c>
      <c r="U14" s="17">
        <v>20.25</v>
      </c>
      <c r="V14" s="17" t="s">
        <v>41</v>
      </c>
      <c r="W14" s="17" t="s">
        <v>520</v>
      </c>
      <c r="X14" s="17">
        <v>57</v>
      </c>
      <c r="Y14" s="17">
        <v>73</v>
      </c>
      <c r="Z14" s="17">
        <v>88</v>
      </c>
      <c r="AA14" s="12">
        <v>7</v>
      </c>
      <c r="AB14" s="10">
        <v>60</v>
      </c>
      <c r="AC14" s="10" t="s">
        <v>521</v>
      </c>
      <c r="AD14" s="10" t="s">
        <v>136</v>
      </c>
      <c r="AF14" t="s">
        <v>522</v>
      </c>
      <c r="AG14">
        <v>64</v>
      </c>
      <c r="AH14">
        <v>23.9</v>
      </c>
    </row>
    <row r="15" spans="1:34" ht="15.9" customHeight="1" thickBot="1" x14ac:dyDescent="0.35">
      <c r="A15" s="14" t="s">
        <v>170</v>
      </c>
      <c r="B15" s="15" t="s">
        <v>171</v>
      </c>
      <c r="C15" s="14" t="s">
        <v>87</v>
      </c>
      <c r="D15" s="15">
        <v>15118</v>
      </c>
      <c r="E15" s="15">
        <v>23445.5</v>
      </c>
      <c r="F15" s="15">
        <v>23467.1</v>
      </c>
      <c r="G15" s="15" t="s">
        <v>523</v>
      </c>
      <c r="H15" s="15" t="s">
        <v>524</v>
      </c>
      <c r="I15" s="15">
        <v>1202.8</v>
      </c>
      <c r="J15" s="15">
        <v>399.5</v>
      </c>
      <c r="K15" s="15">
        <v>2294.1</v>
      </c>
      <c r="L15" s="15">
        <v>6.59</v>
      </c>
      <c r="M15" s="15" t="s">
        <v>525</v>
      </c>
      <c r="N15" s="15" t="s">
        <v>173</v>
      </c>
      <c r="O15" s="15" t="s">
        <v>174</v>
      </c>
      <c r="P15" s="15" t="s">
        <v>172</v>
      </c>
      <c r="Q15" s="15" t="s">
        <v>175</v>
      </c>
      <c r="R15" s="15" t="s">
        <v>526</v>
      </c>
      <c r="S15" s="15">
        <v>0.94</v>
      </c>
      <c r="T15" s="15" t="s">
        <v>527</v>
      </c>
      <c r="U15" s="15">
        <v>1.81</v>
      </c>
      <c r="V15" s="15">
        <v>-2.92</v>
      </c>
      <c r="W15" s="15" t="s">
        <v>528</v>
      </c>
      <c r="X15" s="15">
        <v>35</v>
      </c>
      <c r="Y15" s="15">
        <v>73</v>
      </c>
      <c r="Z15" s="15">
        <v>49</v>
      </c>
      <c r="AA15" s="11">
        <v>82</v>
      </c>
      <c r="AB15" s="9">
        <v>59</v>
      </c>
      <c r="AC15" s="9" t="s">
        <v>493</v>
      </c>
      <c r="AD15" s="9" t="s">
        <v>161</v>
      </c>
      <c r="AF15" t="s">
        <v>529</v>
      </c>
      <c r="AG15">
        <v>62</v>
      </c>
      <c r="AH15">
        <v>108.7</v>
      </c>
    </row>
    <row r="16" spans="1:34" ht="15.9" customHeight="1" thickBot="1" x14ac:dyDescent="0.35">
      <c r="A16" s="16" t="s">
        <v>185</v>
      </c>
      <c r="B16" s="17" t="s">
        <v>186</v>
      </c>
      <c r="C16" s="16" t="s">
        <v>50</v>
      </c>
      <c r="D16" s="17">
        <v>13440</v>
      </c>
      <c r="E16" s="17">
        <v>1550.8</v>
      </c>
      <c r="F16" s="17">
        <v>1551.4</v>
      </c>
      <c r="G16" s="17" t="s">
        <v>530</v>
      </c>
      <c r="H16" s="17" t="s">
        <v>458</v>
      </c>
      <c r="I16" s="17">
        <v>1116.0999999999999</v>
      </c>
      <c r="J16" s="17">
        <v>253.5</v>
      </c>
      <c r="K16" s="17">
        <v>2106.6</v>
      </c>
      <c r="L16" s="17">
        <v>6.38</v>
      </c>
      <c r="M16" s="17" t="s">
        <v>531</v>
      </c>
      <c r="N16" s="17" t="s">
        <v>189</v>
      </c>
      <c r="O16" s="17" t="s">
        <v>190</v>
      </c>
      <c r="P16" s="17" t="s">
        <v>188</v>
      </c>
      <c r="Q16" s="17" t="s">
        <v>191</v>
      </c>
      <c r="R16" s="17" t="s">
        <v>532</v>
      </c>
      <c r="S16" s="17">
        <v>1.69</v>
      </c>
      <c r="T16" s="17" t="s">
        <v>533</v>
      </c>
      <c r="U16" s="17">
        <v>5.79</v>
      </c>
      <c r="V16" s="17">
        <v>-3.12</v>
      </c>
      <c r="W16" s="17" t="s">
        <v>534</v>
      </c>
      <c r="X16" s="17">
        <v>45</v>
      </c>
      <c r="Y16" s="17">
        <v>72</v>
      </c>
      <c r="Z16" s="17">
        <v>71</v>
      </c>
      <c r="AA16" s="12">
        <v>38</v>
      </c>
      <c r="AB16" s="10">
        <v>58</v>
      </c>
      <c r="AC16" s="10" t="s">
        <v>535</v>
      </c>
      <c r="AD16" s="10" t="s">
        <v>161</v>
      </c>
      <c r="AF16" t="s">
        <v>536</v>
      </c>
      <c r="AG16">
        <v>58</v>
      </c>
      <c r="AH16">
        <v>5.6</v>
      </c>
    </row>
    <row r="17" spans="1:34" ht="15.9" customHeight="1" thickBot="1" x14ac:dyDescent="0.35">
      <c r="A17" s="14" t="s">
        <v>537</v>
      </c>
      <c r="B17" s="15" t="s">
        <v>538</v>
      </c>
      <c r="C17" s="14" t="s">
        <v>107</v>
      </c>
      <c r="D17" s="15">
        <v>8790</v>
      </c>
      <c r="E17" s="15">
        <v>5873.5</v>
      </c>
      <c r="F17" s="15">
        <v>5887</v>
      </c>
      <c r="G17" s="15" t="s">
        <v>539</v>
      </c>
      <c r="H17" s="15" t="s">
        <v>540</v>
      </c>
      <c r="I17" s="15">
        <v>757.7</v>
      </c>
      <c r="J17" s="15">
        <v>157.19999999999999</v>
      </c>
      <c r="K17" s="15">
        <v>1575.3</v>
      </c>
      <c r="L17" s="15">
        <v>5.58</v>
      </c>
      <c r="M17" s="15" t="s">
        <v>541</v>
      </c>
      <c r="N17" s="15" t="s">
        <v>542</v>
      </c>
      <c r="O17" s="15" t="s">
        <v>543</v>
      </c>
      <c r="P17" s="15" t="s">
        <v>180</v>
      </c>
      <c r="Q17" s="15" t="s">
        <v>544</v>
      </c>
      <c r="R17" s="15" t="s">
        <v>545</v>
      </c>
      <c r="S17" s="15">
        <v>1.74</v>
      </c>
      <c r="T17" s="15" t="s">
        <v>513</v>
      </c>
      <c r="U17" s="15">
        <v>3.58</v>
      </c>
      <c r="V17" s="15">
        <v>-2.98</v>
      </c>
      <c r="W17" s="15" t="s">
        <v>546</v>
      </c>
      <c r="X17" s="15">
        <v>44</v>
      </c>
      <c r="Y17" s="15">
        <v>54</v>
      </c>
      <c r="Z17" s="15">
        <v>56</v>
      </c>
      <c r="AA17" s="11">
        <v>73</v>
      </c>
      <c r="AB17" s="9">
        <v>56</v>
      </c>
      <c r="AC17" s="9" t="s">
        <v>493</v>
      </c>
      <c r="AD17" s="9" t="s">
        <v>161</v>
      </c>
      <c r="AF17" t="s">
        <v>547</v>
      </c>
      <c r="AG17">
        <v>57</v>
      </c>
      <c r="AH17">
        <v>12.8</v>
      </c>
    </row>
    <row r="18" spans="1:34" ht="15.9" customHeight="1" thickBot="1" x14ac:dyDescent="0.35">
      <c r="A18" s="16" t="s">
        <v>35</v>
      </c>
      <c r="B18" s="17" t="s">
        <v>36</v>
      </c>
      <c r="C18" s="16" t="s">
        <v>37</v>
      </c>
      <c r="D18" s="17">
        <v>579</v>
      </c>
      <c r="E18" s="17">
        <v>902.9</v>
      </c>
      <c r="F18" s="17">
        <v>898.9</v>
      </c>
      <c r="G18" s="17" t="s">
        <v>41</v>
      </c>
      <c r="H18" s="17" t="s">
        <v>41</v>
      </c>
      <c r="I18" s="17">
        <v>4.3</v>
      </c>
      <c r="J18" s="17">
        <v>1.1000000000000001</v>
      </c>
      <c r="K18" s="17">
        <v>17</v>
      </c>
      <c r="L18" s="17" t="s">
        <v>41</v>
      </c>
      <c r="M18" s="17" t="s">
        <v>39</v>
      </c>
      <c r="N18" s="17" t="s">
        <v>40</v>
      </c>
      <c r="O18" s="17" t="s">
        <v>548</v>
      </c>
      <c r="P18" s="17" t="s">
        <v>41</v>
      </c>
      <c r="Q18" s="17" t="s">
        <v>41</v>
      </c>
      <c r="R18" s="17" t="s">
        <v>41</v>
      </c>
      <c r="S18" s="17">
        <v>1.29</v>
      </c>
      <c r="T18" s="17" t="s">
        <v>41</v>
      </c>
      <c r="U18" s="17" t="s">
        <v>41</v>
      </c>
      <c r="V18" s="17" t="s">
        <v>41</v>
      </c>
      <c r="W18" s="17" t="s">
        <v>305</v>
      </c>
      <c r="X18" s="17">
        <v>79</v>
      </c>
      <c r="Y18" s="17">
        <v>32</v>
      </c>
      <c r="Z18" s="17">
        <v>29</v>
      </c>
      <c r="AA18" s="12">
        <v>93</v>
      </c>
      <c r="AB18" s="10">
        <v>55</v>
      </c>
      <c r="AC18" s="10" t="s">
        <v>41</v>
      </c>
      <c r="AD18" s="10" t="s">
        <v>161</v>
      </c>
      <c r="AF18" t="s">
        <v>549</v>
      </c>
      <c r="AG18">
        <v>57</v>
      </c>
      <c r="AH18">
        <v>20.9</v>
      </c>
    </row>
    <row r="19" spans="1:34" ht="15.9" customHeight="1" thickBot="1" x14ac:dyDescent="0.35">
      <c r="A19" s="14" t="s">
        <v>299</v>
      </c>
      <c r="B19" s="15" t="s">
        <v>300</v>
      </c>
      <c r="C19" s="14" t="s">
        <v>107</v>
      </c>
      <c r="D19" s="15">
        <v>3711</v>
      </c>
      <c r="E19" s="15">
        <v>3976.3</v>
      </c>
      <c r="F19" s="15">
        <v>3984.4</v>
      </c>
      <c r="G19" s="15" t="s">
        <v>550</v>
      </c>
      <c r="H19" s="15" t="s">
        <v>466</v>
      </c>
      <c r="I19" s="15">
        <v>983.8</v>
      </c>
      <c r="J19" s="15">
        <v>214.8</v>
      </c>
      <c r="K19" s="15" t="s">
        <v>41</v>
      </c>
      <c r="L19" s="15">
        <v>-3.49</v>
      </c>
      <c r="M19" s="15" t="s">
        <v>551</v>
      </c>
      <c r="N19" s="15" t="s">
        <v>552</v>
      </c>
      <c r="O19" s="15" t="s">
        <v>553</v>
      </c>
      <c r="P19" s="15" t="s">
        <v>534</v>
      </c>
      <c r="Q19" s="15" t="s">
        <v>554</v>
      </c>
      <c r="R19" s="15" t="s">
        <v>555</v>
      </c>
      <c r="S19" s="15">
        <v>2.19</v>
      </c>
      <c r="T19" s="15" t="s">
        <v>556</v>
      </c>
      <c r="U19" s="15">
        <v>3.6</v>
      </c>
      <c r="V19" s="15">
        <v>-2.77</v>
      </c>
      <c r="W19" s="15" t="s">
        <v>302</v>
      </c>
      <c r="X19" s="15">
        <v>44</v>
      </c>
      <c r="Y19" s="15">
        <v>35</v>
      </c>
      <c r="Z19" s="15">
        <v>52</v>
      </c>
      <c r="AA19" s="11">
        <v>96</v>
      </c>
      <c r="AB19" s="9">
        <v>54</v>
      </c>
      <c r="AC19" s="9" t="s">
        <v>41</v>
      </c>
      <c r="AD19" s="9" t="s">
        <v>161</v>
      </c>
      <c r="AF19" t="s">
        <v>557</v>
      </c>
      <c r="AG19">
        <v>55</v>
      </c>
      <c r="AH19">
        <v>25</v>
      </c>
    </row>
    <row r="20" spans="1:34" ht="15.9" customHeight="1" thickBot="1" x14ac:dyDescent="0.35">
      <c r="A20" s="16" t="s">
        <v>80</v>
      </c>
      <c r="B20" s="17" t="s">
        <v>81</v>
      </c>
      <c r="C20" s="16" t="s">
        <v>50</v>
      </c>
      <c r="D20" s="17">
        <v>147.35</v>
      </c>
      <c r="E20" s="17">
        <v>22</v>
      </c>
      <c r="F20" s="17">
        <v>25.1</v>
      </c>
      <c r="G20" s="17" t="s">
        <v>558</v>
      </c>
      <c r="H20" s="17" t="s">
        <v>458</v>
      </c>
      <c r="I20" s="17">
        <v>17.7</v>
      </c>
      <c r="J20" s="17">
        <v>4.8</v>
      </c>
      <c r="K20" s="17">
        <v>29</v>
      </c>
      <c r="L20" s="17">
        <v>5.08</v>
      </c>
      <c r="M20" s="17" t="s">
        <v>82</v>
      </c>
      <c r="N20" s="17" t="s">
        <v>83</v>
      </c>
      <c r="O20" s="17" t="s">
        <v>559</v>
      </c>
      <c r="P20" s="17" t="s">
        <v>560</v>
      </c>
      <c r="Q20" s="17" t="s">
        <v>561</v>
      </c>
      <c r="R20" s="17" t="s">
        <v>562</v>
      </c>
      <c r="S20" s="17">
        <v>0.98</v>
      </c>
      <c r="T20" s="17" t="s">
        <v>507</v>
      </c>
      <c r="U20" s="17">
        <v>0.99</v>
      </c>
      <c r="V20" s="17">
        <v>-3.05</v>
      </c>
      <c r="W20" s="17" t="s">
        <v>563</v>
      </c>
      <c r="X20" s="17">
        <v>67</v>
      </c>
      <c r="Y20" s="17">
        <v>46</v>
      </c>
      <c r="Z20" s="17">
        <v>36</v>
      </c>
      <c r="AA20" s="12">
        <v>72</v>
      </c>
      <c r="AB20" s="10">
        <v>54</v>
      </c>
      <c r="AC20" s="10" t="s">
        <v>41</v>
      </c>
      <c r="AD20" s="10" t="s">
        <v>161</v>
      </c>
      <c r="AF20" t="s">
        <v>564</v>
      </c>
      <c r="AG20">
        <v>54</v>
      </c>
      <c r="AH20">
        <v>32</v>
      </c>
    </row>
    <row r="21" spans="1:34" ht="15.9" customHeight="1" thickBot="1" x14ac:dyDescent="0.35">
      <c r="A21" s="14" t="s">
        <v>137</v>
      </c>
      <c r="B21" s="15" t="s">
        <v>138</v>
      </c>
      <c r="C21" s="14" t="s">
        <v>37</v>
      </c>
      <c r="D21" s="15">
        <v>2907.5</v>
      </c>
      <c r="E21" s="15">
        <v>2959.5</v>
      </c>
      <c r="F21" s="15">
        <v>2960.3</v>
      </c>
      <c r="G21" s="15" t="s">
        <v>558</v>
      </c>
      <c r="H21" s="15" t="s">
        <v>565</v>
      </c>
      <c r="I21" s="15">
        <v>577.1</v>
      </c>
      <c r="J21" s="15">
        <v>570.4</v>
      </c>
      <c r="K21" s="15">
        <v>587.4</v>
      </c>
      <c r="L21" s="15">
        <v>4.95</v>
      </c>
      <c r="M21" s="15" t="s">
        <v>496</v>
      </c>
      <c r="N21" s="15" t="s">
        <v>141</v>
      </c>
      <c r="O21" s="15" t="s">
        <v>142</v>
      </c>
      <c r="P21" s="15" t="s">
        <v>140</v>
      </c>
      <c r="Q21" s="15" t="s">
        <v>143</v>
      </c>
      <c r="R21" s="15" t="s">
        <v>566</v>
      </c>
      <c r="S21" s="15" t="s">
        <v>41</v>
      </c>
      <c r="T21" s="15" t="s">
        <v>567</v>
      </c>
      <c r="U21" s="15" t="s">
        <v>41</v>
      </c>
      <c r="V21" s="15" t="s">
        <v>41</v>
      </c>
      <c r="W21" s="15" t="s">
        <v>568</v>
      </c>
      <c r="X21" s="15">
        <v>57</v>
      </c>
      <c r="Y21" s="15">
        <v>88</v>
      </c>
      <c r="Z21" s="15">
        <v>47</v>
      </c>
      <c r="AA21" s="11">
        <v>10</v>
      </c>
      <c r="AB21" s="9">
        <v>54</v>
      </c>
      <c r="AC21" s="9" t="s">
        <v>569</v>
      </c>
      <c r="AD21" s="9" t="s">
        <v>161</v>
      </c>
      <c r="AF21" t="s">
        <v>570</v>
      </c>
      <c r="AG21">
        <v>53</v>
      </c>
      <c r="AH21">
        <v>13.6</v>
      </c>
    </row>
    <row r="22" spans="1:34" ht="15.9" customHeight="1" thickBot="1" x14ac:dyDescent="0.35">
      <c r="A22" s="16" t="s">
        <v>152</v>
      </c>
      <c r="B22" s="17" t="s">
        <v>153</v>
      </c>
      <c r="C22" s="16" t="s">
        <v>154</v>
      </c>
      <c r="D22" s="17">
        <v>1350.5</v>
      </c>
      <c r="E22" s="17">
        <v>920.9</v>
      </c>
      <c r="F22" s="17">
        <v>929.9</v>
      </c>
      <c r="G22" s="17" t="s">
        <v>447</v>
      </c>
      <c r="H22" s="17" t="s">
        <v>571</v>
      </c>
      <c r="I22" s="17">
        <v>781.4</v>
      </c>
      <c r="J22" s="17">
        <v>432.5</v>
      </c>
      <c r="K22" s="17">
        <v>3462.8</v>
      </c>
      <c r="L22" s="17">
        <v>0.39</v>
      </c>
      <c r="M22" s="17" t="s">
        <v>572</v>
      </c>
      <c r="N22" s="17" t="s">
        <v>157</v>
      </c>
      <c r="O22" s="17" t="s">
        <v>158</v>
      </c>
      <c r="P22" s="17" t="s">
        <v>156</v>
      </c>
      <c r="Q22" s="17" t="s">
        <v>159</v>
      </c>
      <c r="R22" s="17" t="s">
        <v>573</v>
      </c>
      <c r="S22" s="17">
        <v>1.94</v>
      </c>
      <c r="T22" s="17" t="s">
        <v>574</v>
      </c>
      <c r="U22" s="17">
        <v>1.06</v>
      </c>
      <c r="V22" s="17">
        <v>-2.78</v>
      </c>
      <c r="W22" s="17" t="s">
        <v>575</v>
      </c>
      <c r="X22" s="17">
        <v>39</v>
      </c>
      <c r="Y22" s="17">
        <v>78</v>
      </c>
      <c r="Z22" s="17">
        <v>42</v>
      </c>
      <c r="AA22" s="12">
        <v>51</v>
      </c>
      <c r="AB22" s="10">
        <v>54</v>
      </c>
      <c r="AC22" s="10" t="s">
        <v>569</v>
      </c>
      <c r="AD22" s="10" t="s">
        <v>161</v>
      </c>
      <c r="AF22" t="s">
        <v>576</v>
      </c>
      <c r="AG22">
        <v>52</v>
      </c>
      <c r="AH22">
        <v>16.100000000000001</v>
      </c>
    </row>
    <row r="23" spans="1:34" ht="15.9" customHeight="1" thickBot="1" x14ac:dyDescent="0.35">
      <c r="A23" s="14" t="s">
        <v>577</v>
      </c>
      <c r="B23" s="15" t="s">
        <v>357</v>
      </c>
      <c r="C23" s="14" t="s">
        <v>322</v>
      </c>
      <c r="D23" s="15">
        <v>3196</v>
      </c>
      <c r="E23" s="15">
        <v>17874</v>
      </c>
      <c r="F23" s="15">
        <v>17891.099999999999</v>
      </c>
      <c r="G23" s="15" t="s">
        <v>578</v>
      </c>
      <c r="H23" s="15" t="s">
        <v>579</v>
      </c>
      <c r="I23" s="15">
        <v>315.8</v>
      </c>
      <c r="J23" s="15">
        <v>67</v>
      </c>
      <c r="K23" s="15">
        <v>1001.9</v>
      </c>
      <c r="L23" s="15">
        <v>3.19</v>
      </c>
      <c r="M23" s="15" t="s">
        <v>580</v>
      </c>
      <c r="N23" s="15" t="s">
        <v>581</v>
      </c>
      <c r="O23" s="15" t="s">
        <v>582</v>
      </c>
      <c r="P23" s="15" t="s">
        <v>583</v>
      </c>
      <c r="Q23" s="15" t="s">
        <v>485</v>
      </c>
      <c r="R23" s="15" t="s">
        <v>584</v>
      </c>
      <c r="S23" s="15">
        <v>1.3</v>
      </c>
      <c r="T23" s="15" t="s">
        <v>585</v>
      </c>
      <c r="U23" s="15">
        <v>3.35</v>
      </c>
      <c r="V23" s="15">
        <v>-3.05</v>
      </c>
      <c r="W23" s="15" t="s">
        <v>563</v>
      </c>
      <c r="X23" s="15">
        <v>56</v>
      </c>
      <c r="Y23" s="15">
        <v>40</v>
      </c>
      <c r="Z23" s="15">
        <v>57</v>
      </c>
      <c r="AA23" s="11">
        <v>71</v>
      </c>
      <c r="AB23" s="9">
        <v>54</v>
      </c>
      <c r="AC23" s="9" t="s">
        <v>294</v>
      </c>
      <c r="AD23" s="9" t="s">
        <v>161</v>
      </c>
      <c r="AF23" t="s">
        <v>586</v>
      </c>
      <c r="AG23">
        <v>51</v>
      </c>
      <c r="AH23">
        <v>29.1</v>
      </c>
    </row>
    <row r="24" spans="1:34" ht="15.9" customHeight="1" thickBot="1" x14ac:dyDescent="0.35">
      <c r="A24" s="16" t="s">
        <v>48</v>
      </c>
      <c r="B24" s="17" t="s">
        <v>49</v>
      </c>
      <c r="C24" s="16" t="s">
        <v>50</v>
      </c>
      <c r="D24" s="17">
        <v>77.260000000000005</v>
      </c>
      <c r="E24" s="17">
        <v>374.3</v>
      </c>
      <c r="F24" s="17">
        <v>374.2</v>
      </c>
      <c r="G24" s="17" t="s">
        <v>587</v>
      </c>
      <c r="H24" s="17" t="s">
        <v>588</v>
      </c>
      <c r="I24" s="17">
        <v>226.8</v>
      </c>
      <c r="J24" s="17">
        <v>32.700000000000003</v>
      </c>
      <c r="K24" s="17">
        <v>772.6</v>
      </c>
      <c r="L24" s="17">
        <v>0.1</v>
      </c>
      <c r="M24" s="17" t="s">
        <v>52</v>
      </c>
      <c r="N24" s="17" t="s">
        <v>53</v>
      </c>
      <c r="O24" s="17" t="s">
        <v>589</v>
      </c>
      <c r="P24" s="17" t="s">
        <v>590</v>
      </c>
      <c r="Q24" s="17" t="s">
        <v>168</v>
      </c>
      <c r="R24" s="17" t="s">
        <v>591</v>
      </c>
      <c r="S24" s="17">
        <v>1.29</v>
      </c>
      <c r="T24" s="17" t="s">
        <v>519</v>
      </c>
      <c r="U24" s="17">
        <v>2.38</v>
      </c>
      <c r="V24" s="17">
        <v>-3.11</v>
      </c>
      <c r="W24" s="17" t="s">
        <v>592</v>
      </c>
      <c r="X24" s="17">
        <v>71</v>
      </c>
      <c r="Y24" s="17">
        <v>60</v>
      </c>
      <c r="Z24" s="17">
        <v>49</v>
      </c>
      <c r="AA24" s="12">
        <v>25</v>
      </c>
      <c r="AB24" s="10">
        <v>53</v>
      </c>
      <c r="AC24" s="10" t="s">
        <v>294</v>
      </c>
      <c r="AD24" s="10" t="s">
        <v>161</v>
      </c>
      <c r="AF24" t="s">
        <v>593</v>
      </c>
      <c r="AG24">
        <v>51</v>
      </c>
      <c r="AH24">
        <v>54.4</v>
      </c>
    </row>
    <row r="25" spans="1:34" ht="15.9" customHeight="1" thickBot="1" x14ac:dyDescent="0.35">
      <c r="A25" s="14" t="s">
        <v>257</v>
      </c>
      <c r="B25" s="15" t="s">
        <v>258</v>
      </c>
      <c r="C25" s="14" t="s">
        <v>50</v>
      </c>
      <c r="D25" s="15">
        <v>3576</v>
      </c>
      <c r="E25" s="15">
        <v>334.9</v>
      </c>
      <c r="F25" s="15">
        <v>334.6</v>
      </c>
      <c r="G25" s="15" t="s">
        <v>594</v>
      </c>
      <c r="H25" s="15" t="s">
        <v>516</v>
      </c>
      <c r="I25" s="15">
        <v>597.5</v>
      </c>
      <c r="J25" s="15">
        <v>134.4</v>
      </c>
      <c r="K25" s="15">
        <v>876.5</v>
      </c>
      <c r="L25" s="15">
        <v>4.08</v>
      </c>
      <c r="M25" s="15" t="s">
        <v>595</v>
      </c>
      <c r="N25" s="15" t="s">
        <v>259</v>
      </c>
      <c r="O25" s="15" t="s">
        <v>596</v>
      </c>
      <c r="P25" s="15" t="s">
        <v>597</v>
      </c>
      <c r="Q25" s="15" t="s">
        <v>260</v>
      </c>
      <c r="R25" s="15" t="s">
        <v>598</v>
      </c>
      <c r="S25" s="15">
        <v>3.36</v>
      </c>
      <c r="T25" s="15" t="s">
        <v>599</v>
      </c>
      <c r="U25" s="15">
        <v>8.16</v>
      </c>
      <c r="V25" s="15">
        <v>-3.11</v>
      </c>
      <c r="W25" s="15" t="s">
        <v>600</v>
      </c>
      <c r="X25" s="15">
        <v>56</v>
      </c>
      <c r="Y25" s="15">
        <v>42</v>
      </c>
      <c r="Z25" s="15">
        <v>83</v>
      </c>
      <c r="AA25" s="11">
        <v>18</v>
      </c>
      <c r="AB25" s="9">
        <v>51</v>
      </c>
      <c r="AC25" s="9" t="s">
        <v>601</v>
      </c>
      <c r="AD25" s="9" t="s">
        <v>161</v>
      </c>
      <c r="AF25" t="s">
        <v>602</v>
      </c>
      <c r="AG25">
        <v>48</v>
      </c>
      <c r="AH25">
        <v>15.4</v>
      </c>
    </row>
    <row r="26" spans="1:34" ht="15.9" customHeight="1" thickBot="1" x14ac:dyDescent="0.35">
      <c r="A26" s="16" t="s">
        <v>43</v>
      </c>
      <c r="B26" s="17" t="s">
        <v>44</v>
      </c>
      <c r="C26" s="16" t="s">
        <v>37</v>
      </c>
      <c r="D26" s="17">
        <v>1132</v>
      </c>
      <c r="E26" s="17">
        <v>2838.7</v>
      </c>
      <c r="F26" s="17">
        <v>2840.8</v>
      </c>
      <c r="G26" s="17" t="s">
        <v>41</v>
      </c>
      <c r="H26" s="17" t="s">
        <v>41</v>
      </c>
      <c r="I26" s="17">
        <v>4.9000000000000004</v>
      </c>
      <c r="J26" s="17">
        <v>2.2000000000000002</v>
      </c>
      <c r="K26" s="17">
        <v>10</v>
      </c>
      <c r="L26" s="17" t="s">
        <v>41</v>
      </c>
      <c r="M26" s="17" t="s">
        <v>46</v>
      </c>
      <c r="N26" s="17" t="s">
        <v>47</v>
      </c>
      <c r="O26" s="17" t="s">
        <v>603</v>
      </c>
      <c r="P26" s="17" t="s">
        <v>41</v>
      </c>
      <c r="Q26" s="17" t="s">
        <v>41</v>
      </c>
      <c r="R26" s="17" t="s">
        <v>41</v>
      </c>
      <c r="S26" s="17" t="s">
        <v>41</v>
      </c>
      <c r="T26" s="17" t="s">
        <v>41</v>
      </c>
      <c r="U26" s="17" t="s">
        <v>41</v>
      </c>
      <c r="V26" s="17" t="s">
        <v>41</v>
      </c>
      <c r="W26" s="17" t="s">
        <v>604</v>
      </c>
      <c r="X26" s="17">
        <v>73</v>
      </c>
      <c r="Y26" s="17">
        <v>35</v>
      </c>
      <c r="Z26" s="17">
        <v>26</v>
      </c>
      <c r="AA26" s="12">
        <v>75</v>
      </c>
      <c r="AB26" s="10">
        <v>50</v>
      </c>
      <c r="AC26" s="10" t="s">
        <v>41</v>
      </c>
      <c r="AD26" s="10" t="s">
        <v>161</v>
      </c>
      <c r="AF26" t="s">
        <v>605</v>
      </c>
      <c r="AG26">
        <v>47</v>
      </c>
      <c r="AH26">
        <v>18</v>
      </c>
    </row>
    <row r="27" spans="1:34" ht="15.9" customHeight="1" thickBot="1" x14ac:dyDescent="0.35">
      <c r="A27" s="14" t="s">
        <v>606</v>
      </c>
      <c r="B27" s="15" t="s">
        <v>607</v>
      </c>
      <c r="C27" s="14" t="s">
        <v>37</v>
      </c>
      <c r="D27" s="15">
        <v>1608</v>
      </c>
      <c r="E27" s="15">
        <v>518.20000000000005</v>
      </c>
      <c r="F27" s="15">
        <v>518.20000000000005</v>
      </c>
      <c r="G27" s="15" t="s">
        <v>466</v>
      </c>
      <c r="H27" s="15" t="s">
        <v>608</v>
      </c>
      <c r="I27" s="15">
        <v>595.6</v>
      </c>
      <c r="J27" s="15">
        <v>131.19999999999999</v>
      </c>
      <c r="K27" s="15">
        <v>859.9</v>
      </c>
      <c r="L27" s="15">
        <v>1.87</v>
      </c>
      <c r="M27" s="15" t="s">
        <v>609</v>
      </c>
      <c r="N27" s="15" t="s">
        <v>610</v>
      </c>
      <c r="O27" s="15" t="s">
        <v>611</v>
      </c>
      <c r="P27" s="15" t="s">
        <v>612</v>
      </c>
      <c r="Q27" s="15" t="s">
        <v>475</v>
      </c>
      <c r="R27" s="15" t="s">
        <v>269</v>
      </c>
      <c r="S27" s="15" t="s">
        <v>41</v>
      </c>
      <c r="T27" s="15" t="s">
        <v>519</v>
      </c>
      <c r="U27" s="15" t="s">
        <v>41</v>
      </c>
      <c r="V27" s="15" t="s">
        <v>41</v>
      </c>
      <c r="W27" s="15" t="s">
        <v>613</v>
      </c>
      <c r="X27" s="15">
        <v>40</v>
      </c>
      <c r="Y27" s="15">
        <v>55</v>
      </c>
      <c r="Z27" s="15">
        <v>37</v>
      </c>
      <c r="AA27" s="11">
        <v>70</v>
      </c>
      <c r="AB27" s="9">
        <v>50</v>
      </c>
      <c r="AC27" s="9" t="s">
        <v>41</v>
      </c>
      <c r="AD27" s="9" t="s">
        <v>161</v>
      </c>
      <c r="AF27" t="s">
        <v>614</v>
      </c>
      <c r="AG27">
        <v>46</v>
      </c>
      <c r="AH27">
        <v>20</v>
      </c>
    </row>
    <row r="28" spans="1:34" ht="15.9" customHeight="1" thickBot="1" x14ac:dyDescent="0.35">
      <c r="A28" s="16" t="s">
        <v>85</v>
      </c>
      <c r="B28" s="17" t="s">
        <v>86</v>
      </c>
      <c r="C28" s="16" t="s">
        <v>87</v>
      </c>
      <c r="D28" s="17">
        <v>1379</v>
      </c>
      <c r="E28" s="17">
        <v>297.8</v>
      </c>
      <c r="F28" s="17">
        <v>298.89999999999998</v>
      </c>
      <c r="G28" s="17" t="s">
        <v>615</v>
      </c>
      <c r="H28" s="17" t="s">
        <v>616</v>
      </c>
      <c r="I28" s="17">
        <v>409.4</v>
      </c>
      <c r="J28" s="17">
        <v>95.5</v>
      </c>
      <c r="K28" s="17">
        <v>830.7</v>
      </c>
      <c r="L28" s="17">
        <v>1.66</v>
      </c>
      <c r="M28" s="17" t="s">
        <v>88</v>
      </c>
      <c r="N28" s="17" t="s">
        <v>89</v>
      </c>
      <c r="O28" s="17" t="s">
        <v>617</v>
      </c>
      <c r="P28" s="17" t="s">
        <v>265</v>
      </c>
      <c r="Q28" s="17" t="s">
        <v>544</v>
      </c>
      <c r="R28" s="17" t="s">
        <v>164</v>
      </c>
      <c r="S28" s="17">
        <v>1.1399999999999999</v>
      </c>
      <c r="T28" s="17" t="s">
        <v>618</v>
      </c>
      <c r="U28" s="17">
        <v>3.42</v>
      </c>
      <c r="V28" s="17">
        <v>-2.92</v>
      </c>
      <c r="W28" s="17" t="s">
        <v>619</v>
      </c>
      <c r="X28" s="17">
        <v>67</v>
      </c>
      <c r="Y28" s="17">
        <v>63</v>
      </c>
      <c r="Z28" s="17">
        <v>53</v>
      </c>
      <c r="AA28" s="12">
        <v>5</v>
      </c>
      <c r="AB28" s="10">
        <v>50</v>
      </c>
      <c r="AC28" s="10" t="s">
        <v>41</v>
      </c>
      <c r="AD28" s="10" t="s">
        <v>161</v>
      </c>
      <c r="AF28" t="s">
        <v>620</v>
      </c>
      <c r="AG28">
        <v>46</v>
      </c>
      <c r="AH28">
        <v>19.600000000000001</v>
      </c>
    </row>
    <row r="29" spans="1:34" ht="15.9" customHeight="1" thickBot="1" x14ac:dyDescent="0.35">
      <c r="A29" s="14" t="s">
        <v>271</v>
      </c>
      <c r="B29" s="15" t="s">
        <v>272</v>
      </c>
      <c r="C29" s="14" t="s">
        <v>50</v>
      </c>
      <c r="D29" s="15">
        <v>1203</v>
      </c>
      <c r="E29" s="15">
        <v>386.1</v>
      </c>
      <c r="F29" s="15">
        <v>386</v>
      </c>
      <c r="G29" s="15" t="s">
        <v>621</v>
      </c>
      <c r="H29" s="15" t="s">
        <v>479</v>
      </c>
      <c r="I29" s="15">
        <v>839.1</v>
      </c>
      <c r="J29" s="15">
        <v>102.9</v>
      </c>
      <c r="K29" s="15">
        <v>1351.7</v>
      </c>
      <c r="L29" s="15">
        <v>0.89</v>
      </c>
      <c r="M29" s="15" t="s">
        <v>60</v>
      </c>
      <c r="N29" s="15" t="s">
        <v>273</v>
      </c>
      <c r="O29" s="15" t="s">
        <v>622</v>
      </c>
      <c r="P29" s="15" t="s">
        <v>623</v>
      </c>
      <c r="Q29" s="15" t="s">
        <v>274</v>
      </c>
      <c r="R29" s="15" t="s">
        <v>560</v>
      </c>
      <c r="S29" s="15">
        <v>3.99</v>
      </c>
      <c r="T29" s="15" t="s">
        <v>624</v>
      </c>
      <c r="U29" s="15">
        <v>9.14</v>
      </c>
      <c r="V29" s="15">
        <v>-2.2599999999999998</v>
      </c>
      <c r="W29" s="15" t="s">
        <v>625</v>
      </c>
      <c r="X29" s="15">
        <v>40</v>
      </c>
      <c r="Y29" s="15">
        <v>54</v>
      </c>
      <c r="Z29" s="15">
        <v>74</v>
      </c>
      <c r="AA29" s="11">
        <v>24</v>
      </c>
      <c r="AB29" s="9">
        <v>50</v>
      </c>
      <c r="AC29" s="9" t="s">
        <v>41</v>
      </c>
      <c r="AD29" s="9" t="s">
        <v>161</v>
      </c>
      <c r="AF29" t="s">
        <v>626</v>
      </c>
      <c r="AG29">
        <v>40</v>
      </c>
      <c r="AH29">
        <v>17.899999999999999</v>
      </c>
    </row>
    <row r="30" spans="1:34" ht="15.9" customHeight="1" thickBot="1" x14ac:dyDescent="0.35">
      <c r="A30" s="16" t="s">
        <v>215</v>
      </c>
      <c r="B30" s="17" t="s">
        <v>216</v>
      </c>
      <c r="C30" s="16" t="s">
        <v>75</v>
      </c>
      <c r="D30" s="17">
        <v>2865.5</v>
      </c>
      <c r="E30" s="17">
        <v>2571.6999999999998</v>
      </c>
      <c r="F30" s="17">
        <v>2576.1999999999998</v>
      </c>
      <c r="G30" s="17" t="s">
        <v>627</v>
      </c>
      <c r="H30" s="17" t="s">
        <v>594</v>
      </c>
      <c r="I30" s="17">
        <v>1038.8</v>
      </c>
      <c r="J30" s="17">
        <v>342.6</v>
      </c>
      <c r="K30" s="17">
        <v>2204.1999999999998</v>
      </c>
      <c r="L30" s="17">
        <v>1.3</v>
      </c>
      <c r="M30" s="17" t="s">
        <v>628</v>
      </c>
      <c r="N30" s="17" t="s">
        <v>218</v>
      </c>
      <c r="O30" s="17" t="s">
        <v>219</v>
      </c>
      <c r="P30" s="17" t="s">
        <v>217</v>
      </c>
      <c r="Q30" s="17" t="s">
        <v>220</v>
      </c>
      <c r="R30" s="17" t="s">
        <v>526</v>
      </c>
      <c r="S30" s="17">
        <v>0.71</v>
      </c>
      <c r="T30" s="17" t="s">
        <v>629</v>
      </c>
      <c r="U30" s="17">
        <v>6.66</v>
      </c>
      <c r="V30" s="17">
        <v>-3.06</v>
      </c>
      <c r="W30" s="17" t="s">
        <v>630</v>
      </c>
      <c r="X30" s="17">
        <v>47</v>
      </c>
      <c r="Y30" s="17">
        <v>69</v>
      </c>
      <c r="Z30" s="17">
        <v>58</v>
      </c>
      <c r="AA30" s="12">
        <v>16</v>
      </c>
      <c r="AB30" s="10">
        <v>50</v>
      </c>
      <c r="AC30" s="10" t="s">
        <v>631</v>
      </c>
      <c r="AD30" s="10" t="s">
        <v>161</v>
      </c>
      <c r="AF30" t="s">
        <v>632</v>
      </c>
      <c r="AG30">
        <v>39</v>
      </c>
      <c r="AH30">
        <v>17.899999999999999</v>
      </c>
    </row>
    <row r="31" spans="1:34" ht="15.9" customHeight="1" thickBot="1" x14ac:dyDescent="0.35">
      <c r="A31" s="14" t="s">
        <v>633</v>
      </c>
      <c r="B31" s="15" t="s">
        <v>634</v>
      </c>
      <c r="C31" s="14" t="s">
        <v>37</v>
      </c>
      <c r="D31" s="15">
        <v>301.10000000000002</v>
      </c>
      <c r="E31" s="15">
        <v>717.3</v>
      </c>
      <c r="F31" s="15">
        <v>718.9</v>
      </c>
      <c r="G31" s="15" t="s">
        <v>635</v>
      </c>
      <c r="H31" s="15" t="s">
        <v>636</v>
      </c>
      <c r="I31" s="15">
        <v>370.6</v>
      </c>
      <c r="J31" s="15">
        <v>33.1</v>
      </c>
      <c r="K31" s="15">
        <v>2316.1999999999998</v>
      </c>
      <c r="L31" s="15">
        <v>0.13</v>
      </c>
      <c r="M31" s="15" t="s">
        <v>637</v>
      </c>
      <c r="N31" s="15" t="s">
        <v>638</v>
      </c>
      <c r="O31" s="15" t="s">
        <v>639</v>
      </c>
      <c r="P31" s="15" t="s">
        <v>331</v>
      </c>
      <c r="Q31" s="15" t="s">
        <v>640</v>
      </c>
      <c r="R31" s="15" t="s">
        <v>54</v>
      </c>
      <c r="S31" s="15" t="s">
        <v>41</v>
      </c>
      <c r="T31" s="15" t="s">
        <v>641</v>
      </c>
      <c r="U31" s="15" t="s">
        <v>41</v>
      </c>
      <c r="V31" s="15" t="s">
        <v>41</v>
      </c>
      <c r="W31" s="15" t="s">
        <v>642</v>
      </c>
      <c r="X31" s="15">
        <v>51</v>
      </c>
      <c r="Y31" s="15">
        <v>59</v>
      </c>
      <c r="Z31" s="15">
        <v>19</v>
      </c>
      <c r="AA31" s="11">
        <v>68</v>
      </c>
      <c r="AB31" s="9">
        <v>49</v>
      </c>
      <c r="AC31" s="9" t="s">
        <v>41</v>
      </c>
      <c r="AD31" s="9" t="s">
        <v>161</v>
      </c>
      <c r="AF31" t="s">
        <v>643</v>
      </c>
      <c r="AG31">
        <v>37</v>
      </c>
      <c r="AH31">
        <v>16.2</v>
      </c>
    </row>
    <row r="32" spans="1:34" ht="15.9" customHeight="1" thickBot="1" x14ac:dyDescent="0.35">
      <c r="A32" s="16" t="s">
        <v>644</v>
      </c>
      <c r="B32" s="17" t="s">
        <v>645</v>
      </c>
      <c r="C32" s="16" t="s">
        <v>37</v>
      </c>
      <c r="D32" s="17">
        <v>452.85</v>
      </c>
      <c r="E32" s="17">
        <v>6200.6</v>
      </c>
      <c r="F32" s="17">
        <v>6190.8</v>
      </c>
      <c r="G32" s="17" t="s">
        <v>646</v>
      </c>
      <c r="H32" s="17" t="s">
        <v>647</v>
      </c>
      <c r="I32" s="17">
        <v>190.3</v>
      </c>
      <c r="J32" s="17">
        <v>212.4</v>
      </c>
      <c r="K32" s="17">
        <v>870.9</v>
      </c>
      <c r="L32" s="17">
        <v>0.52</v>
      </c>
      <c r="M32" s="17" t="s">
        <v>41</v>
      </c>
      <c r="N32" s="17" t="s">
        <v>41</v>
      </c>
      <c r="O32" s="17" t="s">
        <v>648</v>
      </c>
      <c r="P32" s="17" t="s">
        <v>649</v>
      </c>
      <c r="Q32" s="17" t="s">
        <v>650</v>
      </c>
      <c r="R32" s="17" t="s">
        <v>651</v>
      </c>
      <c r="S32" s="17" t="s">
        <v>41</v>
      </c>
      <c r="T32" s="17" t="s">
        <v>624</v>
      </c>
      <c r="U32" s="17" t="s">
        <v>41</v>
      </c>
      <c r="V32" s="17" t="s">
        <v>41</v>
      </c>
      <c r="W32" s="17" t="s">
        <v>652</v>
      </c>
      <c r="X32" s="17">
        <v>53</v>
      </c>
      <c r="Y32" s="17">
        <v>43</v>
      </c>
      <c r="Z32" s="17">
        <v>30</v>
      </c>
      <c r="AA32" s="12">
        <v>79</v>
      </c>
      <c r="AB32" s="10">
        <v>49</v>
      </c>
      <c r="AC32" s="10" t="s">
        <v>324</v>
      </c>
      <c r="AD32" s="10" t="s">
        <v>161</v>
      </c>
      <c r="AF32" t="s">
        <v>653</v>
      </c>
      <c r="AG32">
        <v>33</v>
      </c>
      <c r="AH32">
        <v>11.6</v>
      </c>
    </row>
    <row r="33" spans="1:34" ht="15.9" customHeight="1" thickBot="1" x14ac:dyDescent="0.35">
      <c r="A33" s="14" t="s">
        <v>654</v>
      </c>
      <c r="B33" s="15" t="s">
        <v>350</v>
      </c>
      <c r="C33" s="14" t="s">
        <v>341</v>
      </c>
      <c r="D33" s="15">
        <v>737.6</v>
      </c>
      <c r="E33" s="15">
        <v>997.7</v>
      </c>
      <c r="F33" s="15">
        <v>1003.2</v>
      </c>
      <c r="G33" s="15" t="s">
        <v>616</v>
      </c>
      <c r="H33" s="15" t="s">
        <v>616</v>
      </c>
      <c r="I33" s="15">
        <v>1520</v>
      </c>
      <c r="J33" s="15">
        <v>1374.2</v>
      </c>
      <c r="K33" s="15">
        <v>1799</v>
      </c>
      <c r="L33" s="15">
        <v>0.41</v>
      </c>
      <c r="M33" s="15" t="s">
        <v>655</v>
      </c>
      <c r="N33" s="15" t="s">
        <v>656</v>
      </c>
      <c r="O33" s="15" t="s">
        <v>657</v>
      </c>
      <c r="P33" s="15" t="s">
        <v>658</v>
      </c>
      <c r="Q33" s="15" t="s">
        <v>534</v>
      </c>
      <c r="R33" s="15" t="s">
        <v>659</v>
      </c>
      <c r="S33" s="15">
        <v>0.28000000000000003</v>
      </c>
      <c r="T33" s="15" t="s">
        <v>660</v>
      </c>
      <c r="U33" s="15">
        <v>3.42</v>
      </c>
      <c r="V33" s="15">
        <v>-3.01</v>
      </c>
      <c r="W33" s="15" t="s">
        <v>661</v>
      </c>
      <c r="X33" s="15">
        <v>38</v>
      </c>
      <c r="Y33" s="15">
        <v>59</v>
      </c>
      <c r="Z33" s="15">
        <v>50</v>
      </c>
      <c r="AA33" s="11">
        <v>40</v>
      </c>
      <c r="AB33" s="9">
        <v>48</v>
      </c>
      <c r="AC33" s="9" t="s">
        <v>41</v>
      </c>
      <c r="AD33" s="9" t="s">
        <v>161</v>
      </c>
      <c r="AF33" t="s">
        <v>662</v>
      </c>
      <c r="AG33">
        <v>29</v>
      </c>
      <c r="AH33">
        <v>98.1</v>
      </c>
    </row>
    <row r="34" spans="1:34" ht="15.9" customHeight="1" thickBot="1" x14ac:dyDescent="0.35">
      <c r="A34" s="16" t="s">
        <v>663</v>
      </c>
      <c r="B34" s="17" t="s">
        <v>664</v>
      </c>
      <c r="C34" s="16" t="s">
        <v>37</v>
      </c>
      <c r="D34" s="17">
        <v>626</v>
      </c>
      <c r="E34" s="17">
        <v>4990.1000000000004</v>
      </c>
      <c r="F34" s="17">
        <v>4976.6000000000004</v>
      </c>
      <c r="G34" s="17" t="s">
        <v>665</v>
      </c>
      <c r="H34" s="17" t="s">
        <v>635</v>
      </c>
      <c r="I34" s="17">
        <v>229</v>
      </c>
      <c r="J34" s="17">
        <v>299.60000000000002</v>
      </c>
      <c r="K34" s="17">
        <v>857.5</v>
      </c>
      <c r="L34" s="17">
        <v>0.73</v>
      </c>
      <c r="M34" s="17" t="s">
        <v>41</v>
      </c>
      <c r="N34" s="17" t="s">
        <v>41</v>
      </c>
      <c r="O34" s="17" t="s">
        <v>666</v>
      </c>
      <c r="P34" s="17" t="s">
        <v>667</v>
      </c>
      <c r="Q34" s="17" t="s">
        <v>668</v>
      </c>
      <c r="R34" s="17" t="s">
        <v>669</v>
      </c>
      <c r="S34" s="17" t="s">
        <v>41</v>
      </c>
      <c r="T34" s="17" t="s">
        <v>599</v>
      </c>
      <c r="U34" s="17" t="s">
        <v>41</v>
      </c>
      <c r="V34" s="17" t="s">
        <v>41</v>
      </c>
      <c r="W34" s="17" t="s">
        <v>670</v>
      </c>
      <c r="X34" s="17">
        <v>50</v>
      </c>
      <c r="Y34" s="17">
        <v>49</v>
      </c>
      <c r="Z34" s="17">
        <v>32</v>
      </c>
      <c r="AA34" s="12">
        <v>58</v>
      </c>
      <c r="AB34" s="10">
        <v>47</v>
      </c>
      <c r="AC34" s="10" t="s">
        <v>671</v>
      </c>
      <c r="AD34" s="10" t="s">
        <v>161</v>
      </c>
      <c r="AF34" t="s">
        <v>672</v>
      </c>
      <c r="AG34">
        <v>29</v>
      </c>
      <c r="AH34">
        <v>14.1</v>
      </c>
    </row>
    <row r="35" spans="1:34" ht="15.9" customHeight="1" thickBot="1" x14ac:dyDescent="0.35">
      <c r="A35" s="14" t="s">
        <v>311</v>
      </c>
      <c r="B35" s="15" t="s">
        <v>312</v>
      </c>
      <c r="C35" s="14" t="s">
        <v>37</v>
      </c>
      <c r="D35" s="15">
        <v>1365.2</v>
      </c>
      <c r="E35" s="15">
        <v>23410.7</v>
      </c>
      <c r="F35" s="15">
        <v>23359.1</v>
      </c>
      <c r="G35" s="15" t="s">
        <v>673</v>
      </c>
      <c r="H35" s="15" t="s">
        <v>674</v>
      </c>
      <c r="I35" s="15">
        <v>240.7</v>
      </c>
      <c r="J35" s="15">
        <v>352.8</v>
      </c>
      <c r="K35" s="15">
        <v>1050.2</v>
      </c>
      <c r="L35" s="15">
        <v>1.3</v>
      </c>
      <c r="M35" s="15" t="s">
        <v>41</v>
      </c>
      <c r="N35" s="15" t="s">
        <v>41</v>
      </c>
      <c r="O35" s="15" t="s">
        <v>675</v>
      </c>
      <c r="P35" s="15" t="s">
        <v>676</v>
      </c>
      <c r="Q35" s="15" t="s">
        <v>677</v>
      </c>
      <c r="R35" s="15" t="s">
        <v>678</v>
      </c>
      <c r="S35" s="15" t="s">
        <v>41</v>
      </c>
      <c r="T35" s="15" t="s">
        <v>679</v>
      </c>
      <c r="U35" s="15" t="s">
        <v>41</v>
      </c>
      <c r="V35" s="15" t="s">
        <v>41</v>
      </c>
      <c r="W35" s="15" t="s">
        <v>313</v>
      </c>
      <c r="X35" s="15">
        <v>46</v>
      </c>
      <c r="Y35" s="15">
        <v>32</v>
      </c>
      <c r="Z35" s="15">
        <v>32</v>
      </c>
      <c r="AA35" s="11">
        <v>91</v>
      </c>
      <c r="AB35" s="9">
        <v>47</v>
      </c>
      <c r="AC35" s="9" t="s">
        <v>314</v>
      </c>
      <c r="AD35" s="9" t="s">
        <v>161</v>
      </c>
      <c r="AF35" t="s">
        <v>680</v>
      </c>
      <c r="AG35">
        <v>23</v>
      </c>
      <c r="AH35">
        <v>21.6</v>
      </c>
    </row>
    <row r="36" spans="1:34" ht="15.9" customHeight="1" thickBot="1" x14ac:dyDescent="0.35">
      <c r="A36" s="16" t="s">
        <v>90</v>
      </c>
      <c r="B36" s="17" t="s">
        <v>91</v>
      </c>
      <c r="C36" s="16" t="s">
        <v>75</v>
      </c>
      <c r="D36" s="17">
        <v>5326</v>
      </c>
      <c r="E36" s="17">
        <v>2202.6</v>
      </c>
      <c r="F36" s="17">
        <v>2210.4</v>
      </c>
      <c r="G36" s="17" t="s">
        <v>681</v>
      </c>
      <c r="H36" s="17" t="s">
        <v>682</v>
      </c>
      <c r="I36" s="17">
        <v>442.1</v>
      </c>
      <c r="J36" s="17">
        <v>204.9</v>
      </c>
      <c r="K36" s="17">
        <v>1459.2</v>
      </c>
      <c r="L36" s="17">
        <v>3.65</v>
      </c>
      <c r="M36" s="17" t="s">
        <v>93</v>
      </c>
      <c r="N36" s="17" t="s">
        <v>94</v>
      </c>
      <c r="O36" s="17" t="s">
        <v>683</v>
      </c>
      <c r="P36" s="17" t="s">
        <v>684</v>
      </c>
      <c r="Q36" s="17" t="s">
        <v>685</v>
      </c>
      <c r="R36" s="17" t="s">
        <v>164</v>
      </c>
      <c r="S36" s="17">
        <v>1.29</v>
      </c>
      <c r="T36" s="17" t="s">
        <v>686</v>
      </c>
      <c r="U36" s="17">
        <v>2.85</v>
      </c>
      <c r="V36" s="17">
        <v>-3.12</v>
      </c>
      <c r="W36" s="17" t="s">
        <v>41</v>
      </c>
      <c r="X36" s="17">
        <v>66</v>
      </c>
      <c r="Y36" s="17">
        <v>54</v>
      </c>
      <c r="Z36" s="17">
        <v>57</v>
      </c>
      <c r="AA36" s="12">
        <v>0</v>
      </c>
      <c r="AB36" s="10">
        <v>47</v>
      </c>
      <c r="AC36" s="10" t="s">
        <v>41</v>
      </c>
      <c r="AD36" s="10" t="s">
        <v>161</v>
      </c>
      <c r="AF36" t="s">
        <v>687</v>
      </c>
      <c r="AG36">
        <v>18</v>
      </c>
      <c r="AH36">
        <v>-9.6999999999999993</v>
      </c>
    </row>
    <row r="37" spans="1:34" ht="15.9" customHeight="1" thickBot="1" x14ac:dyDescent="0.35">
      <c r="A37" s="14" t="s">
        <v>306</v>
      </c>
      <c r="B37" s="15" t="s">
        <v>307</v>
      </c>
      <c r="C37" s="14" t="s">
        <v>37</v>
      </c>
      <c r="D37" s="15">
        <v>1830</v>
      </c>
      <c r="E37" s="15">
        <v>4043</v>
      </c>
      <c r="F37" s="15">
        <v>4070.7</v>
      </c>
      <c r="G37" s="15" t="s">
        <v>688</v>
      </c>
      <c r="H37" s="15" t="s">
        <v>689</v>
      </c>
      <c r="I37" s="15">
        <v>152.4</v>
      </c>
      <c r="J37" s="15">
        <v>198.1</v>
      </c>
      <c r="K37" s="15">
        <v>795.7</v>
      </c>
      <c r="L37" s="15">
        <v>2.2999999999999998</v>
      </c>
      <c r="M37" s="15" t="s">
        <v>41</v>
      </c>
      <c r="N37" s="15" t="s">
        <v>41</v>
      </c>
      <c r="O37" s="15" t="s">
        <v>609</v>
      </c>
      <c r="P37" s="15" t="s">
        <v>690</v>
      </c>
      <c r="Q37" s="15" t="s">
        <v>490</v>
      </c>
      <c r="R37" s="15" t="s">
        <v>691</v>
      </c>
      <c r="S37" s="15" t="s">
        <v>41</v>
      </c>
      <c r="T37" s="15" t="s">
        <v>692</v>
      </c>
      <c r="U37" s="15" t="s">
        <v>41</v>
      </c>
      <c r="V37" s="15" t="s">
        <v>41</v>
      </c>
      <c r="W37" s="15" t="s">
        <v>309</v>
      </c>
      <c r="X37" s="15">
        <v>55</v>
      </c>
      <c r="Y37" s="15">
        <v>27</v>
      </c>
      <c r="Z37" s="15">
        <v>22</v>
      </c>
      <c r="AA37" s="11">
        <v>92</v>
      </c>
      <c r="AB37" s="9">
        <v>46</v>
      </c>
      <c r="AC37" s="9" t="s">
        <v>310</v>
      </c>
      <c r="AD37" s="9" t="s">
        <v>161</v>
      </c>
      <c r="AF37" t="s">
        <v>693</v>
      </c>
      <c r="AG37">
        <v>17</v>
      </c>
      <c r="AH37">
        <v>19.600000000000001</v>
      </c>
    </row>
    <row r="38" spans="1:34" ht="15.9" customHeight="1" thickBot="1" x14ac:dyDescent="0.35">
      <c r="A38" s="16" t="s">
        <v>694</v>
      </c>
      <c r="B38" s="17" t="s">
        <v>695</v>
      </c>
      <c r="C38" s="16" t="s">
        <v>57</v>
      </c>
      <c r="D38" s="17">
        <v>217.55</v>
      </c>
      <c r="E38" s="17">
        <v>2119.1</v>
      </c>
      <c r="F38" s="17">
        <v>2137.6999999999998</v>
      </c>
      <c r="G38" s="17" t="s">
        <v>696</v>
      </c>
      <c r="H38" s="17" t="s">
        <v>627</v>
      </c>
      <c r="I38" s="17">
        <v>286.2</v>
      </c>
      <c r="J38" s="17">
        <v>105</v>
      </c>
      <c r="K38" s="17">
        <v>1977.7</v>
      </c>
      <c r="L38" s="17">
        <v>0.11</v>
      </c>
      <c r="M38" s="17" t="s">
        <v>697</v>
      </c>
      <c r="N38" s="17" t="s">
        <v>698</v>
      </c>
      <c r="O38" s="17" t="s">
        <v>699</v>
      </c>
      <c r="P38" s="17" t="s">
        <v>700</v>
      </c>
      <c r="Q38" s="17" t="s">
        <v>701</v>
      </c>
      <c r="R38" s="17" t="s">
        <v>702</v>
      </c>
      <c r="S38" s="17">
        <v>0.81</v>
      </c>
      <c r="T38" s="17" t="s">
        <v>703</v>
      </c>
      <c r="U38" s="17">
        <v>1.08</v>
      </c>
      <c r="V38" s="17">
        <v>-3.29</v>
      </c>
      <c r="W38" s="17" t="s">
        <v>704</v>
      </c>
      <c r="X38" s="17">
        <v>57</v>
      </c>
      <c r="Y38" s="17">
        <v>39</v>
      </c>
      <c r="Z38" s="17">
        <v>32</v>
      </c>
      <c r="AA38" s="12">
        <v>61</v>
      </c>
      <c r="AB38" s="10">
        <v>46</v>
      </c>
      <c r="AC38" s="10" t="s">
        <v>521</v>
      </c>
      <c r="AD38" s="10" t="s">
        <v>161</v>
      </c>
      <c r="AF38" t="s">
        <v>705</v>
      </c>
      <c r="AG38">
        <v>5</v>
      </c>
      <c r="AH38">
        <v>-11.8</v>
      </c>
    </row>
    <row r="39" spans="1:34" ht="15.9" customHeight="1" thickBot="1" x14ac:dyDescent="0.35">
      <c r="A39" s="14" t="s">
        <v>706</v>
      </c>
      <c r="B39" s="15" t="s">
        <v>707</v>
      </c>
      <c r="C39" s="14" t="s">
        <v>154</v>
      </c>
      <c r="D39" s="15">
        <v>1274.8</v>
      </c>
      <c r="E39" s="15">
        <v>6340.1</v>
      </c>
      <c r="F39" s="15">
        <v>6385.6</v>
      </c>
      <c r="G39" s="15" t="s">
        <v>708</v>
      </c>
      <c r="H39" s="15" t="s">
        <v>709</v>
      </c>
      <c r="I39" s="15">
        <v>836.9</v>
      </c>
      <c r="J39" s="15">
        <v>347.4</v>
      </c>
      <c r="K39" s="15">
        <v>2197.9</v>
      </c>
      <c r="L39" s="15">
        <v>0.57999999999999996</v>
      </c>
      <c r="M39" s="15" t="s">
        <v>710</v>
      </c>
      <c r="N39" s="15" t="s">
        <v>711</v>
      </c>
      <c r="O39" s="15" t="s">
        <v>548</v>
      </c>
      <c r="P39" s="15" t="s">
        <v>712</v>
      </c>
      <c r="Q39" s="15" t="s">
        <v>713</v>
      </c>
      <c r="R39" s="15" t="s">
        <v>714</v>
      </c>
      <c r="S39" s="15">
        <v>1.35</v>
      </c>
      <c r="T39" s="15" t="s">
        <v>715</v>
      </c>
      <c r="U39" s="15">
        <v>2.37</v>
      </c>
      <c r="V39" s="15">
        <v>-3</v>
      </c>
      <c r="W39" s="15" t="s">
        <v>716</v>
      </c>
      <c r="X39" s="15">
        <v>43</v>
      </c>
      <c r="Y39" s="15">
        <v>36</v>
      </c>
      <c r="Z39" s="15">
        <v>47</v>
      </c>
      <c r="AA39" s="11">
        <v>62</v>
      </c>
      <c r="AB39" s="9">
        <v>46</v>
      </c>
      <c r="AC39" s="9" t="s">
        <v>569</v>
      </c>
      <c r="AD39" s="9" t="s">
        <v>161</v>
      </c>
      <c r="AF39" t="s">
        <v>717</v>
      </c>
      <c r="AG39">
        <v>2</v>
      </c>
      <c r="AH39">
        <v>-112.2</v>
      </c>
    </row>
    <row r="40" spans="1:34" ht="15.9" customHeight="1" thickBot="1" x14ac:dyDescent="0.35">
      <c r="A40" s="16" t="s">
        <v>718</v>
      </c>
      <c r="B40" s="17" t="s">
        <v>719</v>
      </c>
      <c r="C40" s="16" t="s">
        <v>154</v>
      </c>
      <c r="D40" s="17">
        <v>3151</v>
      </c>
      <c r="E40" s="17">
        <v>948.7</v>
      </c>
      <c r="F40" s="17">
        <v>957.3</v>
      </c>
      <c r="G40" s="17" t="s">
        <v>720</v>
      </c>
      <c r="H40" s="17" t="s">
        <v>571</v>
      </c>
      <c r="I40" s="17">
        <v>825.3</v>
      </c>
      <c r="J40" s="17">
        <v>394</v>
      </c>
      <c r="K40" s="17">
        <v>4146.1000000000004</v>
      </c>
      <c r="L40" s="17">
        <v>0.76</v>
      </c>
      <c r="M40" s="17" t="s">
        <v>721</v>
      </c>
      <c r="N40" s="17" t="s">
        <v>52</v>
      </c>
      <c r="O40" s="17" t="s">
        <v>722</v>
      </c>
      <c r="P40" s="17" t="s">
        <v>723</v>
      </c>
      <c r="Q40" s="17" t="s">
        <v>724</v>
      </c>
      <c r="R40" s="17" t="s">
        <v>725</v>
      </c>
      <c r="S40" s="17">
        <v>1.37</v>
      </c>
      <c r="T40" s="17" t="s">
        <v>726</v>
      </c>
      <c r="U40" s="17">
        <v>0.63</v>
      </c>
      <c r="V40" s="17">
        <v>-3.1</v>
      </c>
      <c r="W40" s="17" t="s">
        <v>727</v>
      </c>
      <c r="X40" s="17">
        <v>33</v>
      </c>
      <c r="Y40" s="17">
        <v>64</v>
      </c>
      <c r="Z40" s="17">
        <v>34</v>
      </c>
      <c r="AA40" s="12">
        <v>52</v>
      </c>
      <c r="AB40" s="10">
        <v>46</v>
      </c>
      <c r="AC40" s="10" t="s">
        <v>631</v>
      </c>
      <c r="AD40" s="10" t="s">
        <v>161</v>
      </c>
    </row>
    <row r="41" spans="1:34" ht="15.9" customHeight="1" thickBot="1" x14ac:dyDescent="0.35">
      <c r="A41" s="14" t="s">
        <v>325</v>
      </c>
      <c r="B41" s="15" t="s">
        <v>326</v>
      </c>
      <c r="C41" s="14" t="s">
        <v>57</v>
      </c>
      <c r="D41" s="15">
        <v>114.45</v>
      </c>
      <c r="E41" s="15">
        <v>2640.4</v>
      </c>
      <c r="F41" s="15">
        <v>2673.7</v>
      </c>
      <c r="G41" s="15" t="s">
        <v>539</v>
      </c>
      <c r="H41" s="15" t="s">
        <v>728</v>
      </c>
      <c r="I41" s="15">
        <v>230.3</v>
      </c>
      <c r="J41" s="15">
        <v>71.400000000000006</v>
      </c>
      <c r="K41" s="15" t="s">
        <v>41</v>
      </c>
      <c r="L41" s="15">
        <v>-0.18</v>
      </c>
      <c r="M41" s="15" t="s">
        <v>63</v>
      </c>
      <c r="N41" s="15" t="s">
        <v>729</v>
      </c>
      <c r="O41" s="15" t="s">
        <v>730</v>
      </c>
      <c r="P41" s="15" t="s">
        <v>731</v>
      </c>
      <c r="Q41" s="15" t="s">
        <v>732</v>
      </c>
      <c r="R41" s="15" t="s">
        <v>733</v>
      </c>
      <c r="S41" s="15">
        <v>1.26</v>
      </c>
      <c r="T41" s="15" t="s">
        <v>734</v>
      </c>
      <c r="U41" s="15">
        <v>-2.0499999999999998</v>
      </c>
      <c r="V41" s="15">
        <v>-2.98</v>
      </c>
      <c r="W41" s="15" t="s">
        <v>328</v>
      </c>
      <c r="X41" s="15">
        <v>44</v>
      </c>
      <c r="Y41" s="15">
        <v>39</v>
      </c>
      <c r="Z41" s="15">
        <v>25</v>
      </c>
      <c r="AA41" s="11">
        <v>87</v>
      </c>
      <c r="AB41" s="9">
        <v>46</v>
      </c>
      <c r="AC41" s="9" t="s">
        <v>329</v>
      </c>
      <c r="AD41" s="9" t="s">
        <v>161</v>
      </c>
    </row>
    <row r="42" spans="1:34" ht="15.9" customHeight="1" x14ac:dyDescent="0.3">
      <c r="A42" s="18" t="s">
        <v>73</v>
      </c>
      <c r="B42" s="19" t="s">
        <v>74</v>
      </c>
      <c r="C42" s="18" t="s">
        <v>75</v>
      </c>
      <c r="D42" s="19">
        <v>7660</v>
      </c>
      <c r="E42" s="19">
        <v>565.29999999999995</v>
      </c>
      <c r="F42" s="19">
        <v>565.9</v>
      </c>
      <c r="G42" s="19" t="s">
        <v>41</v>
      </c>
      <c r="H42" s="19" t="s">
        <v>41</v>
      </c>
      <c r="I42" s="19">
        <v>16.399999999999999</v>
      </c>
      <c r="J42" s="19">
        <v>3.6</v>
      </c>
      <c r="K42" s="19">
        <v>34.700000000000003</v>
      </c>
      <c r="L42" s="19" t="s">
        <v>41</v>
      </c>
      <c r="M42" s="19" t="s">
        <v>77</v>
      </c>
      <c r="N42" s="19" t="s">
        <v>78</v>
      </c>
      <c r="O42" s="19" t="s">
        <v>735</v>
      </c>
      <c r="P42" s="19" t="s">
        <v>41</v>
      </c>
      <c r="Q42" s="19" t="s">
        <v>41</v>
      </c>
      <c r="R42" s="19" t="s">
        <v>41</v>
      </c>
      <c r="S42" s="19">
        <v>1.85</v>
      </c>
      <c r="T42" s="19" t="s">
        <v>41</v>
      </c>
      <c r="U42" s="19" t="s">
        <v>41</v>
      </c>
      <c r="V42" s="19" t="s">
        <v>41</v>
      </c>
      <c r="W42" s="19" t="s">
        <v>604</v>
      </c>
      <c r="X42" s="19">
        <v>67</v>
      </c>
      <c r="Y42" s="19">
        <v>21</v>
      </c>
      <c r="Z42" s="19">
        <v>27</v>
      </c>
      <c r="AA42" s="12">
        <v>74</v>
      </c>
      <c r="AB42" s="10">
        <v>45</v>
      </c>
      <c r="AC42" s="10" t="s">
        <v>41</v>
      </c>
      <c r="AD42" s="10" t="s">
        <v>161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3</vt:i4>
      </vt:variant>
    </vt:vector>
  </HeadingPairs>
  <TitlesOfParts>
    <vt:vector size="20" baseType="lpstr">
      <vt:lpstr>DASHBOARD</vt:lpstr>
      <vt:lpstr>VALUE</vt:lpstr>
      <vt:lpstr>GROWTH</vt:lpstr>
      <vt:lpstr>QUALITY</vt:lpstr>
      <vt:lpstr>MOMENTUM</vt:lpstr>
      <vt:lpstr>PAR SECTEUR</vt:lpstr>
      <vt:lpstr>VUE SECTORIELLE</vt:lpstr>
      <vt:lpstr>TECHNOLOGIE</vt:lpstr>
      <vt:lpstr>CONSO. CYCL.</vt:lpstr>
      <vt:lpstr>FINANCE</vt:lpstr>
      <vt:lpstr>INDUSTRIE</vt:lpstr>
      <vt:lpstr>SANTÉ</vt:lpstr>
      <vt:lpstr>ÉNERGIE</vt:lpstr>
      <vt:lpstr>MATÉRIAUX</vt:lpstr>
      <vt:lpstr>IMMOBILIER</vt:lpstr>
      <vt:lpstr>CONSO. DÉF.</vt:lpstr>
      <vt:lpstr>DONNÉES BRUTES</vt:lpstr>
      <vt:lpstr>DASHBOARD!Zone_d_impression</vt:lpstr>
      <vt:lpstr>'PAR SECTEUR'!Zone_d_impression</vt:lpstr>
      <vt:lpstr>'VUE SECTORIELLE'!Zone_d_impression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Baptiste jeh</cp:lastModifiedBy>
  <dcterms:created xsi:type="dcterms:W3CDTF">2026-03-22T08:37:34Z</dcterms:created>
  <dcterms:modified xsi:type="dcterms:W3CDTF">2026-04-17T17:56:21Z</dcterms:modified>
</cp:coreProperties>
</file>