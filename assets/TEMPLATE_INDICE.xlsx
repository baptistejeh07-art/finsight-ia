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15357bc9330a16b/Perso/"/>
    </mc:Choice>
  </mc:AlternateContent>
  <xr:revisionPtr revIDLastSave="934" documentId="8_{9E24E4A6-F24C-4DBE-955D-61D1C78B0579}" xr6:coauthVersionLast="47" xr6:coauthVersionMax="47" xr10:uidLastSave="{787E9025-CE6B-40B9-8993-27C273A7FC3A}"/>
  <bookViews>
    <workbookView xWindow="-108" yWindow="-108" windowWidth="23256" windowHeight="13896" firstSheet="1" activeTab="1" xr2:uid="{00000000-000D-0000-FFFF-FFFF00000000}"/>
  </bookViews>
  <sheets>
    <sheet name="DASHBOARD" sheetId="1" r:id="rId1"/>
    <sheet name="VALUE" sheetId="2" r:id="rId2"/>
    <sheet name="GROWTH" sheetId="3" r:id="rId3"/>
    <sheet name="QUALITY" sheetId="4" r:id="rId4"/>
    <sheet name="MOMENTUM" sheetId="5" r:id="rId5"/>
    <sheet name="PAR SECTEUR" sheetId="6" r:id="rId6"/>
    <sheet name="SECTOR OVERVIEW" sheetId="16" r:id="rId7"/>
    <sheet name="TECHNOLOGY" sheetId="7" r:id="rId8"/>
    <sheet name="CONSUMER DISC." sheetId="17" r:id="rId9"/>
    <sheet name="FINANCIALS" sheetId="9" r:id="rId10"/>
    <sheet name="INDUSTRIALS" sheetId="10" state="hidden" r:id="rId11"/>
    <sheet name="HEALTHCARE" sheetId="11" r:id="rId12"/>
    <sheet name="ENERGY" sheetId="12" r:id="rId13"/>
    <sheet name="MATERIALS" sheetId="13" r:id="rId14"/>
    <sheet name="REAL ESTATE" sheetId="14" r:id="rId15"/>
    <sheet name="DONNÉES BRUTES" sheetId="15" state="hidden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6" l="1"/>
  <c r="C19" i="16"/>
  <c r="D19" i="16"/>
  <c r="E19" i="16"/>
  <c r="F19" i="16"/>
  <c r="I19" i="16" a="1"/>
  <c r="I19" i="16" s="1"/>
  <c r="J19" i="16"/>
  <c r="K19" i="16"/>
  <c r="B18" i="16"/>
  <c r="C18" i="16"/>
  <c r="D18" i="16"/>
  <c r="F18" i="16"/>
  <c r="I18" i="16" a="1"/>
  <c r="I18" i="16"/>
  <c r="J18" i="16"/>
  <c r="K18" i="16"/>
  <c r="B17" i="16"/>
  <c r="C17" i="16"/>
  <c r="D17" i="16"/>
  <c r="F17" i="16"/>
  <c r="I17" i="16" a="1"/>
  <c r="I17" i="16"/>
  <c r="J17" i="16"/>
  <c r="K17" i="16"/>
  <c r="B11" i="14"/>
  <c r="C11" i="14" a="1"/>
  <c r="C11" i="14"/>
  <c r="D11" i="14" a="1"/>
  <c r="D11" i="14"/>
  <c r="E11" i="14" a="1"/>
  <c r="E11" i="14"/>
  <c r="T29" i="14" s="1"/>
  <c r="F11" i="14" a="1"/>
  <c r="F11" i="14"/>
  <c r="G11" i="14" a="1"/>
  <c r="G11" i="14" s="1"/>
  <c r="V29" i="14" s="1"/>
  <c r="H11" i="14" a="1"/>
  <c r="H11" i="14"/>
  <c r="I11" i="14" a="1"/>
  <c r="I11" i="14" s="1"/>
  <c r="J11" i="14" a="1"/>
  <c r="J11" i="14"/>
  <c r="K11" i="14" a="1"/>
  <c r="K11" i="14"/>
  <c r="L11" i="14" a="1"/>
  <c r="L11" i="14"/>
  <c r="M11" i="14" a="1"/>
  <c r="M11" i="14"/>
  <c r="N11" i="14" a="1"/>
  <c r="N11" i="14" s="1"/>
  <c r="O11" i="14" a="1"/>
  <c r="O11" i="14"/>
  <c r="P11" i="14" a="1"/>
  <c r="P11" i="14" s="1"/>
  <c r="S29" i="14"/>
  <c r="B11" i="12"/>
  <c r="C11" i="12" a="1"/>
  <c r="C11" i="12" s="1"/>
  <c r="D11" i="12" a="1"/>
  <c r="D11" i="12" s="1"/>
  <c r="S29" i="12" s="1"/>
  <c r="E11" i="12" a="1"/>
  <c r="E11" i="12"/>
  <c r="T29" i="12" s="1"/>
  <c r="F11" i="12" a="1"/>
  <c r="F11" i="12" s="1"/>
  <c r="U29" i="12" s="1"/>
  <c r="G11" i="12" a="1"/>
  <c r="G11" i="12" s="1"/>
  <c r="H11" i="12" a="1"/>
  <c r="H11" i="12"/>
  <c r="W29" i="12" s="1"/>
  <c r="I11" i="12" a="1"/>
  <c r="I11" i="12" s="1"/>
  <c r="J11" i="12" a="1"/>
  <c r="J11" i="12" s="1"/>
  <c r="K11" i="12" a="1"/>
  <c r="K11" i="12" s="1"/>
  <c r="L11" i="12" a="1"/>
  <c r="L11" i="12"/>
  <c r="M11" i="12" a="1"/>
  <c r="M11" i="12" s="1"/>
  <c r="N11" i="12" a="1"/>
  <c r="N11" i="12" s="1"/>
  <c r="O11" i="12" a="1"/>
  <c r="O11" i="12"/>
  <c r="P11" i="12" a="1"/>
  <c r="P11" i="12" s="1"/>
  <c r="Q11" i="12" a="1"/>
  <c r="Q11" i="12" s="1"/>
  <c r="B11" i="11"/>
  <c r="C11" i="11" a="1"/>
  <c r="C11" i="11"/>
  <c r="D11" i="11" a="1"/>
  <c r="D11" i="11"/>
  <c r="S29" i="11" s="1"/>
  <c r="E11" i="11" a="1"/>
  <c r="E11" i="11"/>
  <c r="T29" i="11" s="1"/>
  <c r="F11" i="11" a="1"/>
  <c r="F11" i="11"/>
  <c r="G11" i="11" a="1"/>
  <c r="G11" i="11"/>
  <c r="Y29" i="11" s="1"/>
  <c r="H11" i="11" a="1"/>
  <c r="H11" i="11"/>
  <c r="W29" i="11" s="1"/>
  <c r="I11" i="11" a="1"/>
  <c r="I11" i="11" s="1"/>
  <c r="J11" i="11" a="1"/>
  <c r="J11" i="11"/>
  <c r="K11" i="11" a="1"/>
  <c r="K11" i="11"/>
  <c r="L11" i="11" a="1"/>
  <c r="L11" i="11"/>
  <c r="M11" i="11" a="1"/>
  <c r="M11" i="11"/>
  <c r="N11" i="11" a="1"/>
  <c r="N11" i="11"/>
  <c r="O11" i="11" a="1"/>
  <c r="O11" i="11"/>
  <c r="P11" i="11" a="1"/>
  <c r="P11" i="11" s="1"/>
  <c r="Q11" i="11" a="1"/>
  <c r="Q11" i="11"/>
  <c r="P5" i="10"/>
  <c r="N5" i="10" a="1"/>
  <c r="N5" i="10" s="1"/>
  <c r="P5" i="14"/>
  <c r="N5" i="14" a="1"/>
  <c r="N5" i="14"/>
  <c r="P5" i="13"/>
  <c r="N5" i="13" a="1"/>
  <c r="N5" i="13" s="1"/>
  <c r="P5" i="12"/>
  <c r="N5" i="12" a="1"/>
  <c r="N5" i="12"/>
  <c r="P5" i="9"/>
  <c r="N5" i="9" a="1"/>
  <c r="N5" i="9"/>
  <c r="P5" i="17"/>
  <c r="N5" i="17" a="1"/>
  <c r="N5" i="17" s="1"/>
  <c r="P5" i="7"/>
  <c r="N5" i="7" a="1"/>
  <c r="N5" i="7"/>
  <c r="H5" i="17" a="1"/>
  <c r="H5" i="17" s="1"/>
  <c r="B1" i="17"/>
  <c r="C5" i="17"/>
  <c r="E5" i="17"/>
  <c r="B8" i="17"/>
  <c r="B11" i="17"/>
  <c r="C11" i="17" a="1"/>
  <c r="C11" i="17" s="1"/>
  <c r="D11" i="17" a="1"/>
  <c r="D11" i="17" s="1"/>
  <c r="S29" i="17" s="1"/>
  <c r="E11" i="17" a="1"/>
  <c r="E11" i="17" s="1"/>
  <c r="T29" i="17" s="1"/>
  <c r="F11" i="17" a="1"/>
  <c r="F11" i="17" s="1"/>
  <c r="G11" i="17" a="1"/>
  <c r="G11" i="17" s="1"/>
  <c r="V29" i="17" s="1"/>
  <c r="H11" i="17" a="1"/>
  <c r="H11" i="17" s="1"/>
  <c r="Z29" i="17" s="1"/>
  <c r="I11" i="17" a="1"/>
  <c r="I11" i="17" s="1"/>
  <c r="J11" i="17" a="1"/>
  <c r="J11" i="17" s="1"/>
  <c r="K11" i="17" a="1"/>
  <c r="K11" i="17" s="1"/>
  <c r="L11" i="17" a="1"/>
  <c r="L11" i="17" s="1"/>
  <c r="M11" i="17" a="1"/>
  <c r="M11" i="17" s="1"/>
  <c r="N11" i="17" a="1"/>
  <c r="N11" i="17" s="1"/>
  <c r="O11" i="17" a="1"/>
  <c r="O11" i="17" s="1"/>
  <c r="P11" i="17" a="1"/>
  <c r="P11" i="17" s="1"/>
  <c r="Q11" i="17" a="1"/>
  <c r="Q11" i="17" s="1"/>
  <c r="B12" i="17"/>
  <c r="C12" i="17" a="1"/>
  <c r="C12" i="17" s="1"/>
  <c r="D12" i="17" a="1"/>
  <c r="D12" i="17" s="1"/>
  <c r="S30" i="17" s="1"/>
  <c r="E12" i="17" a="1"/>
  <c r="E12" i="17" s="1"/>
  <c r="T30" i="17" s="1"/>
  <c r="F12" i="17" a="1"/>
  <c r="F12" i="17" s="1"/>
  <c r="G12" i="17" a="1"/>
  <c r="G12" i="17" s="1"/>
  <c r="H12" i="17" a="1"/>
  <c r="H12" i="17" s="1"/>
  <c r="I12" i="17" a="1"/>
  <c r="I12" i="17" s="1"/>
  <c r="J12" i="17" a="1"/>
  <c r="J12" i="17" s="1"/>
  <c r="K12" i="17" a="1"/>
  <c r="K12" i="17" s="1"/>
  <c r="L12" i="17" a="1"/>
  <c r="L12" i="17" s="1"/>
  <c r="M12" i="17" a="1"/>
  <c r="M12" i="17" s="1"/>
  <c r="N12" i="17" a="1"/>
  <c r="N12" i="17" s="1"/>
  <c r="O12" i="17" a="1"/>
  <c r="O12" i="17" s="1"/>
  <c r="P12" i="17" a="1"/>
  <c r="P12" i="17" s="1"/>
  <c r="Q12" i="17" a="1"/>
  <c r="Q12" i="17" s="1"/>
  <c r="B13" i="17"/>
  <c r="C13" i="17" a="1"/>
  <c r="C13" i="17" s="1"/>
  <c r="D13" i="17" a="1"/>
  <c r="D13" i="17" s="1"/>
  <c r="S31" i="17" s="1"/>
  <c r="E13" i="17" a="1"/>
  <c r="E13" i="17" s="1"/>
  <c r="T31" i="17" s="1"/>
  <c r="F13" i="17" a="1"/>
  <c r="F13" i="17" s="1"/>
  <c r="X31" i="17" s="1"/>
  <c r="G13" i="17" a="1"/>
  <c r="G13" i="17" s="1"/>
  <c r="V31" i="17" s="1"/>
  <c r="H13" i="17" a="1"/>
  <c r="H13" i="17" s="1"/>
  <c r="I13" i="17" a="1"/>
  <c r="I13" i="17" s="1"/>
  <c r="J13" i="17" a="1"/>
  <c r="J13" i="17"/>
  <c r="K13" i="17" a="1"/>
  <c r="K13" i="17" s="1"/>
  <c r="L13" i="17" a="1"/>
  <c r="L13" i="17" s="1"/>
  <c r="M13" i="17" a="1"/>
  <c r="M13" i="17" s="1"/>
  <c r="N13" i="17" a="1"/>
  <c r="N13" i="17" s="1"/>
  <c r="O13" i="17" a="1"/>
  <c r="O13" i="17" s="1"/>
  <c r="P13" i="17" a="1"/>
  <c r="P13" i="17" s="1"/>
  <c r="Q13" i="17" a="1"/>
  <c r="Q13" i="17" s="1"/>
  <c r="B14" i="17"/>
  <c r="C14" i="17" a="1"/>
  <c r="C14" i="17"/>
  <c r="D14" i="17" a="1"/>
  <c r="D14" i="17" s="1"/>
  <c r="S32" i="17" s="1"/>
  <c r="E14" i="17" a="1"/>
  <c r="E14" i="17" s="1"/>
  <c r="T32" i="17" s="1"/>
  <c r="F14" i="17" a="1"/>
  <c r="F14" i="17" s="1"/>
  <c r="X32" i="17" s="1"/>
  <c r="G14" i="17" a="1"/>
  <c r="G14" i="17" s="1"/>
  <c r="H14" i="17" a="1"/>
  <c r="H14" i="17"/>
  <c r="Z32" i="17" s="1"/>
  <c r="I14" i="17" a="1"/>
  <c r="I14" i="17" s="1"/>
  <c r="J14" i="17" a="1"/>
  <c r="J14" i="17" s="1"/>
  <c r="K14" i="17" a="1"/>
  <c r="K14" i="17" s="1"/>
  <c r="L14" i="17" a="1"/>
  <c r="L14" i="17" s="1"/>
  <c r="M14" i="17" a="1"/>
  <c r="M14" i="17" s="1"/>
  <c r="N14" i="17" a="1"/>
  <c r="N14" i="17" s="1"/>
  <c r="O14" i="17" a="1"/>
  <c r="O14" i="17" s="1"/>
  <c r="P14" i="17" a="1"/>
  <c r="P14" i="17" s="1"/>
  <c r="Q14" i="17" a="1"/>
  <c r="Q14" i="17" s="1"/>
  <c r="B15" i="17"/>
  <c r="C15" i="17" a="1"/>
  <c r="C15" i="17"/>
  <c r="D15" i="17" a="1"/>
  <c r="D15" i="17" s="1"/>
  <c r="E15" i="17" a="1"/>
  <c r="E15" i="17" s="1"/>
  <c r="F15" i="17" a="1"/>
  <c r="F15" i="17" s="1"/>
  <c r="G15" i="17" a="1"/>
  <c r="G15" i="17" s="1"/>
  <c r="H15" i="17" a="1"/>
  <c r="H15" i="17" s="1"/>
  <c r="I15" i="17" a="1"/>
  <c r="I15" i="17" s="1"/>
  <c r="J15" i="17" a="1"/>
  <c r="J15" i="17" s="1"/>
  <c r="K15" i="17" a="1"/>
  <c r="K15" i="17" s="1"/>
  <c r="L15" i="17" a="1"/>
  <c r="L15" i="17" s="1"/>
  <c r="M15" i="17" a="1"/>
  <c r="M15" i="17" s="1"/>
  <c r="N15" i="17" a="1"/>
  <c r="N15" i="17" s="1"/>
  <c r="O15" i="17" a="1"/>
  <c r="O15" i="17"/>
  <c r="P15" i="17" a="1"/>
  <c r="P15" i="17" s="1"/>
  <c r="Q15" i="17" a="1"/>
  <c r="Q15" i="17" s="1"/>
  <c r="B16" i="17"/>
  <c r="C16" i="17" a="1"/>
  <c r="C16" i="17" s="1"/>
  <c r="D16" i="17" a="1"/>
  <c r="D16" i="17" s="1"/>
  <c r="E16" i="17" a="1"/>
  <c r="E16" i="17" s="1"/>
  <c r="F16" i="17" a="1"/>
  <c r="F16" i="17" s="1"/>
  <c r="G16" i="17" a="1"/>
  <c r="G16" i="17" s="1"/>
  <c r="H16" i="17" a="1"/>
  <c r="H16" i="17" s="1"/>
  <c r="I16" i="17" a="1"/>
  <c r="I16" i="17" s="1"/>
  <c r="J16" i="17" a="1"/>
  <c r="J16" i="17" s="1"/>
  <c r="K16" i="17" a="1"/>
  <c r="K16" i="17"/>
  <c r="L16" i="17" a="1"/>
  <c r="L16" i="17" s="1"/>
  <c r="M16" i="17" a="1"/>
  <c r="M16" i="17" s="1"/>
  <c r="N16" i="17" a="1"/>
  <c r="N16" i="17" s="1"/>
  <c r="O16" i="17" a="1"/>
  <c r="O16" i="17" s="1"/>
  <c r="P16" i="17" a="1"/>
  <c r="P16" i="17" s="1"/>
  <c r="Q16" i="17" a="1"/>
  <c r="Q16" i="17" s="1"/>
  <c r="B17" i="17"/>
  <c r="C17" i="17" a="1"/>
  <c r="C17" i="17" s="1"/>
  <c r="D17" i="17" a="1"/>
  <c r="D17" i="17" s="1"/>
  <c r="E17" i="17" a="1"/>
  <c r="E17" i="17" s="1"/>
  <c r="F17" i="17" a="1"/>
  <c r="F17" i="17" s="1"/>
  <c r="G17" i="17" a="1"/>
  <c r="G17" i="17" s="1"/>
  <c r="H17" i="17" a="1"/>
  <c r="H17" i="17" s="1"/>
  <c r="I17" i="17" a="1"/>
  <c r="I17" i="17" s="1"/>
  <c r="J17" i="17" a="1"/>
  <c r="J17" i="17" s="1"/>
  <c r="K17" i="17" a="1"/>
  <c r="K17" i="17" s="1"/>
  <c r="L17" i="17" a="1"/>
  <c r="L17" i="17"/>
  <c r="M17" i="17" a="1"/>
  <c r="M17" i="17" s="1"/>
  <c r="N17" i="17" a="1"/>
  <c r="N17" i="17" s="1"/>
  <c r="O17" i="17" a="1"/>
  <c r="O17" i="17" s="1"/>
  <c r="P17" i="17" a="1"/>
  <c r="P17" i="17" s="1"/>
  <c r="Q17" i="17" a="1"/>
  <c r="Q17" i="17" s="1"/>
  <c r="B18" i="17"/>
  <c r="C18" i="17" a="1"/>
  <c r="C18" i="17" s="1"/>
  <c r="D18" i="17" a="1"/>
  <c r="D18" i="17" s="1"/>
  <c r="E18" i="17" a="1"/>
  <c r="E18" i="17" s="1"/>
  <c r="F18" i="17" a="1"/>
  <c r="F18" i="17" s="1"/>
  <c r="G18" i="17" a="1"/>
  <c r="G18" i="17"/>
  <c r="H18" i="17" a="1"/>
  <c r="H18" i="17" s="1"/>
  <c r="I18" i="17" a="1"/>
  <c r="I18" i="17" s="1"/>
  <c r="J18" i="17" a="1"/>
  <c r="J18" i="17" s="1"/>
  <c r="K18" i="17" a="1"/>
  <c r="K18" i="17" s="1"/>
  <c r="L18" i="17" a="1"/>
  <c r="L18" i="17" s="1"/>
  <c r="M18" i="17" a="1"/>
  <c r="M18" i="17" s="1"/>
  <c r="N18" i="17" a="1"/>
  <c r="N18" i="17" s="1"/>
  <c r="O18" i="17" a="1"/>
  <c r="O18" i="17" s="1"/>
  <c r="P18" i="17" a="1"/>
  <c r="P18" i="17" s="1"/>
  <c r="Q18" i="17" a="1"/>
  <c r="Q18" i="17" s="1"/>
  <c r="B19" i="17"/>
  <c r="C19" i="17" a="1"/>
  <c r="C19" i="17" s="1"/>
  <c r="D19" i="17" a="1"/>
  <c r="D19" i="17" s="1"/>
  <c r="E19" i="17" a="1"/>
  <c r="E19" i="17" s="1"/>
  <c r="F19" i="17" a="1"/>
  <c r="F19" i="17" s="1"/>
  <c r="G19" i="17" a="1"/>
  <c r="G19" i="17" s="1"/>
  <c r="H19" i="17" a="1"/>
  <c r="H19" i="17" s="1"/>
  <c r="I19" i="17" a="1"/>
  <c r="I19" i="17"/>
  <c r="J19" i="17" a="1"/>
  <c r="J19" i="17" s="1"/>
  <c r="K19" i="17" a="1"/>
  <c r="K19" i="17"/>
  <c r="L19" i="17" a="1"/>
  <c r="L19" i="17" s="1"/>
  <c r="M19" i="17" a="1"/>
  <c r="M19" i="17" s="1"/>
  <c r="N19" i="17" a="1"/>
  <c r="N19" i="17" s="1"/>
  <c r="O19" i="17" a="1"/>
  <c r="O19" i="17" s="1"/>
  <c r="P19" i="17" a="1"/>
  <c r="P19" i="17" s="1"/>
  <c r="Q19" i="17" a="1"/>
  <c r="Q19" i="17" s="1"/>
  <c r="B20" i="17"/>
  <c r="C20" i="17" a="1"/>
  <c r="C20" i="17" s="1"/>
  <c r="D20" i="17" a="1"/>
  <c r="D20" i="17" s="1"/>
  <c r="E20" i="17" a="1"/>
  <c r="E20" i="17"/>
  <c r="F20" i="17" a="1"/>
  <c r="F20" i="17" s="1"/>
  <c r="G20" i="17" a="1"/>
  <c r="G20" i="17" s="1"/>
  <c r="H20" i="17" a="1"/>
  <c r="H20" i="17" s="1"/>
  <c r="I20" i="17" a="1"/>
  <c r="I20" i="17" s="1"/>
  <c r="J20" i="17" a="1"/>
  <c r="J20" i="17" s="1"/>
  <c r="K20" i="17" a="1"/>
  <c r="K20" i="17" s="1"/>
  <c r="L20" i="17" a="1"/>
  <c r="L20" i="17" s="1"/>
  <c r="M20" i="17" a="1"/>
  <c r="M20" i="17" s="1"/>
  <c r="N20" i="17" a="1"/>
  <c r="N20" i="17" s="1"/>
  <c r="O20" i="17" a="1"/>
  <c r="O20" i="17"/>
  <c r="P20" i="17" a="1"/>
  <c r="P20" i="17" s="1"/>
  <c r="Q20" i="17" a="1"/>
  <c r="Q20" i="17" s="1"/>
  <c r="B21" i="17"/>
  <c r="C21" i="17" a="1"/>
  <c r="C21" i="17" s="1"/>
  <c r="D21" i="17" a="1"/>
  <c r="D21" i="17" s="1"/>
  <c r="E21" i="17" a="1"/>
  <c r="E21" i="17" s="1"/>
  <c r="F21" i="17" a="1"/>
  <c r="F21" i="17" s="1"/>
  <c r="G21" i="17" a="1"/>
  <c r="G21" i="17" s="1"/>
  <c r="H21" i="17" a="1"/>
  <c r="H21" i="17" s="1"/>
  <c r="I21" i="17" a="1"/>
  <c r="I21" i="17" s="1"/>
  <c r="J21" i="17" a="1"/>
  <c r="J21" i="17" s="1"/>
  <c r="K21" i="17" a="1"/>
  <c r="K21" i="17" s="1"/>
  <c r="L21" i="17" a="1"/>
  <c r="L21" i="17" s="1"/>
  <c r="M21" i="17" a="1"/>
  <c r="M21" i="17" s="1"/>
  <c r="N21" i="17" a="1"/>
  <c r="N21" i="17" s="1"/>
  <c r="O21" i="17" a="1"/>
  <c r="O21" i="17" s="1"/>
  <c r="P21" i="17" a="1"/>
  <c r="P21" i="17"/>
  <c r="Q21" i="17" a="1"/>
  <c r="Q21" i="17" s="1"/>
  <c r="B22" i="17"/>
  <c r="C22" i="17" a="1"/>
  <c r="C22" i="17" s="1"/>
  <c r="D22" i="17" a="1"/>
  <c r="D22" i="17"/>
  <c r="E22" i="17" a="1"/>
  <c r="E22" i="17"/>
  <c r="F22" i="17" a="1"/>
  <c r="F22" i="17" s="1"/>
  <c r="G22" i="17" a="1"/>
  <c r="G22" i="17" s="1"/>
  <c r="H22" i="17" a="1"/>
  <c r="H22" i="17" s="1"/>
  <c r="I22" i="17" a="1"/>
  <c r="I22" i="17"/>
  <c r="J22" i="17" a="1"/>
  <c r="J22" i="17" s="1"/>
  <c r="K22" i="17" a="1"/>
  <c r="K22" i="17"/>
  <c r="L22" i="17" a="1"/>
  <c r="L22" i="17" s="1"/>
  <c r="M22" i="17" a="1"/>
  <c r="M22" i="17" s="1"/>
  <c r="N22" i="17" a="1"/>
  <c r="N22" i="17" s="1"/>
  <c r="O22" i="17" a="1"/>
  <c r="O22" i="17"/>
  <c r="P22" i="17" a="1"/>
  <c r="P22" i="17" s="1"/>
  <c r="Q22" i="17" a="1"/>
  <c r="Q22" i="17" s="1"/>
  <c r="B23" i="17"/>
  <c r="C23" i="17" a="1"/>
  <c r="C23" i="17" s="1"/>
  <c r="D23" i="17" a="1"/>
  <c r="D23" i="17" s="1"/>
  <c r="E23" i="17" a="1"/>
  <c r="E23" i="17"/>
  <c r="F23" i="17" a="1"/>
  <c r="F23" i="17" s="1"/>
  <c r="G23" i="17" a="1"/>
  <c r="G23" i="17" s="1"/>
  <c r="H23" i="17" a="1"/>
  <c r="H23" i="17" s="1"/>
  <c r="I23" i="17" a="1"/>
  <c r="I23" i="17" s="1"/>
  <c r="J23" i="17" a="1"/>
  <c r="J23" i="17" s="1"/>
  <c r="K23" i="17" a="1"/>
  <c r="K23" i="17" s="1"/>
  <c r="L23" i="17" a="1"/>
  <c r="L23" i="17" s="1"/>
  <c r="M23" i="17" a="1"/>
  <c r="M23" i="17"/>
  <c r="N23" i="17" a="1"/>
  <c r="N23" i="17" s="1"/>
  <c r="O23" i="17" a="1"/>
  <c r="O23" i="17" s="1"/>
  <c r="P23" i="17" a="1"/>
  <c r="P23" i="17" s="1"/>
  <c r="Q23" i="17" a="1"/>
  <c r="Q23" i="17" s="1"/>
  <c r="B24" i="17"/>
  <c r="C24" i="17" a="1"/>
  <c r="C24" i="17"/>
  <c r="D24" i="17" a="1"/>
  <c r="D24" i="17" s="1"/>
  <c r="E24" i="17" a="1"/>
  <c r="E24" i="17"/>
  <c r="F24" i="17" a="1"/>
  <c r="F24" i="17" s="1"/>
  <c r="G24" i="17" a="1"/>
  <c r="G24" i="17" s="1"/>
  <c r="H24" i="17" a="1"/>
  <c r="H24" i="17"/>
  <c r="I24" i="17" a="1"/>
  <c r="I24" i="17"/>
  <c r="J24" i="17" a="1"/>
  <c r="J24" i="17" s="1"/>
  <c r="K24" i="17" a="1"/>
  <c r="K24" i="17"/>
  <c r="L24" i="17" a="1"/>
  <c r="L24" i="17" s="1"/>
  <c r="M24" i="17" a="1"/>
  <c r="M24" i="17" s="1"/>
  <c r="N24" i="17" a="1"/>
  <c r="N24" i="17" s="1"/>
  <c r="O24" i="17" a="1"/>
  <c r="O24" i="17" s="1"/>
  <c r="P24" i="17" a="1"/>
  <c r="P24" i="17" s="1"/>
  <c r="Q24" i="17" a="1"/>
  <c r="Q24" i="17"/>
  <c r="B25" i="17"/>
  <c r="C25" i="17" a="1"/>
  <c r="C25" i="17" s="1"/>
  <c r="D25" i="17" a="1"/>
  <c r="D25" i="17" s="1"/>
  <c r="E25" i="17" a="1"/>
  <c r="E25" i="17" s="1"/>
  <c r="F25" i="17" a="1"/>
  <c r="F25" i="17"/>
  <c r="G25" i="17" a="1"/>
  <c r="G25" i="17" s="1"/>
  <c r="H25" i="17" a="1"/>
  <c r="H25" i="17" s="1"/>
  <c r="I25" i="17" a="1"/>
  <c r="I25" i="17" s="1"/>
  <c r="J25" i="17" a="1"/>
  <c r="J25" i="17"/>
  <c r="K25" i="17" a="1"/>
  <c r="K25" i="17" s="1"/>
  <c r="L25" i="17" a="1"/>
  <c r="L25" i="17" s="1"/>
  <c r="M25" i="17" a="1"/>
  <c r="M25" i="17"/>
  <c r="N25" i="17" a="1"/>
  <c r="N25" i="17" s="1"/>
  <c r="O25" i="17" a="1"/>
  <c r="O25" i="17" s="1"/>
  <c r="P25" i="17" a="1"/>
  <c r="P25" i="17" s="1"/>
  <c r="Q25" i="17" a="1"/>
  <c r="Q25" i="17" s="1"/>
  <c r="B11" i="13"/>
  <c r="C11" i="13" a="1"/>
  <c r="C11" i="13" s="1"/>
  <c r="D11" i="13" a="1"/>
  <c r="D11" i="13"/>
  <c r="S29" i="13" s="1"/>
  <c r="E11" i="13" a="1"/>
  <c r="E11" i="13"/>
  <c r="T29" i="13" s="1"/>
  <c r="F11" i="13" a="1"/>
  <c r="F11" i="13"/>
  <c r="G11" i="13" a="1"/>
  <c r="G11" i="13" s="1"/>
  <c r="Y29" i="13" s="1"/>
  <c r="H11" i="13" a="1"/>
  <c r="H11" i="13"/>
  <c r="I11" i="13" a="1"/>
  <c r="I11" i="13" s="1"/>
  <c r="J11" i="13" a="1"/>
  <c r="J11" i="13" s="1"/>
  <c r="K11" i="13" a="1"/>
  <c r="K11" i="13" s="1"/>
  <c r="L11" i="13" a="1"/>
  <c r="L11" i="13" s="1"/>
  <c r="M11" i="13" a="1"/>
  <c r="M11" i="13" s="1"/>
  <c r="N11" i="13" a="1"/>
  <c r="N11" i="13" s="1"/>
  <c r="O11" i="13" a="1"/>
  <c r="O11" i="13"/>
  <c r="P11" i="13" a="1"/>
  <c r="P11" i="13" s="1"/>
  <c r="Q11" i="13" a="1"/>
  <c r="Q11" i="13" s="1"/>
  <c r="B11" i="9"/>
  <c r="C11" i="9" a="1"/>
  <c r="C11" i="9" s="1"/>
  <c r="D11" i="9" a="1"/>
  <c r="D11" i="9" s="1"/>
  <c r="S29" i="9" s="1"/>
  <c r="E11" i="9" a="1"/>
  <c r="E11" i="9" s="1"/>
  <c r="T29" i="9" s="1"/>
  <c r="F11" i="9" a="1"/>
  <c r="F11" i="9" s="1"/>
  <c r="G11" i="9" a="1"/>
  <c r="G11" i="9" s="1"/>
  <c r="H11" i="9" a="1"/>
  <c r="H11" i="9" s="1"/>
  <c r="I11" i="9" a="1"/>
  <c r="I11" i="9" s="1"/>
  <c r="J11" i="9" a="1"/>
  <c r="J11" i="9" s="1"/>
  <c r="K11" i="9" a="1"/>
  <c r="K11" i="9" s="1"/>
  <c r="L11" i="9" a="1"/>
  <c r="L11" i="9"/>
  <c r="M11" i="9" a="1"/>
  <c r="M11" i="9" s="1"/>
  <c r="N11" i="9" a="1"/>
  <c r="N11" i="9" s="1"/>
  <c r="O11" i="9" a="1"/>
  <c r="O11" i="9" s="1"/>
  <c r="P11" i="9" a="1"/>
  <c r="P11" i="9" s="1"/>
  <c r="Q11" i="9" a="1"/>
  <c r="Q11" i="9" s="1"/>
  <c r="V30" i="13"/>
  <c r="S31" i="11"/>
  <c r="T32" i="9"/>
  <c r="T31" i="9"/>
  <c r="U32" i="7"/>
  <c r="T32" i="7"/>
  <c r="X32" i="9"/>
  <c r="X32" i="7"/>
  <c r="E25" i="14" a="1"/>
  <c r="E25" i="14"/>
  <c r="E24" i="14" a="1"/>
  <c r="E24" i="14"/>
  <c r="E23" i="14" a="1"/>
  <c r="E23" i="14" s="1"/>
  <c r="E22" i="14" a="1"/>
  <c r="E22" i="14" s="1"/>
  <c r="E21" i="14" a="1"/>
  <c r="E21" i="14"/>
  <c r="E20" i="14" a="1"/>
  <c r="E20" i="14"/>
  <c r="E19" i="14" a="1"/>
  <c r="E19" i="14"/>
  <c r="E18" i="14" a="1"/>
  <c r="E18" i="14" s="1"/>
  <c r="E17" i="14" a="1"/>
  <c r="E17" i="14"/>
  <c r="E16" i="14" a="1"/>
  <c r="E16" i="14" s="1"/>
  <c r="E15" i="14" a="1"/>
  <c r="E15" i="14"/>
  <c r="E14" i="14" a="1"/>
  <c r="E14" i="14"/>
  <c r="E13" i="14" a="1"/>
  <c r="E13" i="14"/>
  <c r="E12" i="14" a="1"/>
  <c r="E12" i="14"/>
  <c r="E25" i="13" a="1"/>
  <c r="E25" i="13"/>
  <c r="E24" i="13" a="1"/>
  <c r="E24" i="13" s="1"/>
  <c r="E23" i="13" a="1"/>
  <c r="E23" i="13"/>
  <c r="E22" i="13" a="1"/>
  <c r="E22" i="13"/>
  <c r="E21" i="13" a="1"/>
  <c r="E21" i="13" s="1"/>
  <c r="E20" i="13" a="1"/>
  <c r="E20" i="13" s="1"/>
  <c r="E19" i="13" a="1"/>
  <c r="E19" i="13" s="1"/>
  <c r="E18" i="13" a="1"/>
  <c r="E18" i="13"/>
  <c r="E17" i="13" a="1"/>
  <c r="E17" i="13"/>
  <c r="E16" i="13" a="1"/>
  <c r="E16" i="13" s="1"/>
  <c r="E15" i="13" a="1"/>
  <c r="E15" i="13" s="1"/>
  <c r="E14" i="13" a="1"/>
  <c r="E14" i="13" s="1"/>
  <c r="E13" i="13" a="1"/>
  <c r="E13" i="13"/>
  <c r="E12" i="13" a="1"/>
  <c r="E12" i="13"/>
  <c r="T30" i="13" s="1"/>
  <c r="E25" i="12" a="1"/>
  <c r="E25" i="12" s="1"/>
  <c r="E24" i="12" a="1"/>
  <c r="E24" i="12"/>
  <c r="E23" i="12" a="1"/>
  <c r="E23" i="12" s="1"/>
  <c r="E22" i="12" a="1"/>
  <c r="E22" i="12" s="1"/>
  <c r="E21" i="12" a="1"/>
  <c r="E21" i="12" s="1"/>
  <c r="E20" i="12" a="1"/>
  <c r="E20" i="12" s="1"/>
  <c r="E19" i="12" a="1"/>
  <c r="E19" i="12" s="1"/>
  <c r="E18" i="12" a="1"/>
  <c r="E18" i="12" s="1"/>
  <c r="E17" i="12" a="1"/>
  <c r="E17" i="12"/>
  <c r="E16" i="12" a="1"/>
  <c r="E16" i="12" s="1"/>
  <c r="E15" i="12" a="1"/>
  <c r="E15" i="12" s="1"/>
  <c r="E14" i="12" a="1"/>
  <c r="E14" i="12"/>
  <c r="E13" i="12" a="1"/>
  <c r="E13" i="12"/>
  <c r="E12" i="12" a="1"/>
  <c r="E12" i="12"/>
  <c r="E25" i="11" a="1"/>
  <c r="E25" i="11" s="1"/>
  <c r="E24" i="11" a="1"/>
  <c r="E24" i="11"/>
  <c r="E23" i="11" a="1"/>
  <c r="E23" i="11"/>
  <c r="E22" i="11" a="1"/>
  <c r="E22" i="11" s="1"/>
  <c r="E21" i="11" a="1"/>
  <c r="E21" i="11" s="1"/>
  <c r="E20" i="11" a="1"/>
  <c r="E20" i="11" s="1"/>
  <c r="E19" i="11" a="1"/>
  <c r="E19" i="11" s="1"/>
  <c r="E18" i="11" a="1"/>
  <c r="E18" i="11" s="1"/>
  <c r="E17" i="11" a="1"/>
  <c r="E17" i="11" s="1"/>
  <c r="E16" i="11" a="1"/>
  <c r="E16" i="11"/>
  <c r="E15" i="11" a="1"/>
  <c r="E15" i="11" s="1"/>
  <c r="E14" i="11" a="1"/>
  <c r="E14" i="11"/>
  <c r="E13" i="11" a="1"/>
  <c r="E13" i="11"/>
  <c r="T31" i="11" s="1"/>
  <c r="E12" i="11" a="1"/>
  <c r="E12" i="11"/>
  <c r="T30" i="11" s="1"/>
  <c r="E25" i="9" a="1"/>
  <c r="E25" i="9" s="1"/>
  <c r="E24" i="9" a="1"/>
  <c r="E24" i="9"/>
  <c r="E23" i="9" a="1"/>
  <c r="E23" i="9"/>
  <c r="E22" i="9" a="1"/>
  <c r="E22" i="9" s="1"/>
  <c r="E21" i="9" a="1"/>
  <c r="E21" i="9"/>
  <c r="E20" i="9" a="1"/>
  <c r="E20" i="9" s="1"/>
  <c r="E19" i="9" a="1"/>
  <c r="E19" i="9"/>
  <c r="E18" i="9" a="1"/>
  <c r="E18" i="9"/>
  <c r="E17" i="9" a="1"/>
  <c r="E17" i="9" s="1"/>
  <c r="E16" i="9" a="1"/>
  <c r="E16" i="9"/>
  <c r="E15" i="9" a="1"/>
  <c r="E15" i="9" s="1"/>
  <c r="E14" i="9" a="1"/>
  <c r="E14" i="9"/>
  <c r="E13" i="9" a="1"/>
  <c r="E13" i="9" s="1"/>
  <c r="E12" i="9" a="1"/>
  <c r="E12" i="9" s="1"/>
  <c r="T30" i="9" s="1"/>
  <c r="E25" i="7" a="1"/>
  <c r="E25" i="7"/>
  <c r="E24" i="7" a="1"/>
  <c r="E24" i="7" s="1"/>
  <c r="E23" i="7" a="1"/>
  <c r="E23" i="7"/>
  <c r="E22" i="7" a="1"/>
  <c r="E22" i="7"/>
  <c r="E21" i="7" a="1"/>
  <c r="E21" i="7"/>
  <c r="E20" i="7" a="1"/>
  <c r="E20" i="7" s="1"/>
  <c r="E19" i="7" a="1"/>
  <c r="E19" i="7"/>
  <c r="E18" i="7" a="1"/>
  <c r="E18" i="7" s="1"/>
  <c r="E17" i="7" a="1"/>
  <c r="E17" i="7" s="1"/>
  <c r="E16" i="7" a="1"/>
  <c r="E16" i="7"/>
  <c r="E15" i="7" a="1"/>
  <c r="E15" i="7" s="1"/>
  <c r="E14" i="7" a="1"/>
  <c r="E14" i="7"/>
  <c r="E13" i="7" a="1"/>
  <c r="E13" i="7" s="1"/>
  <c r="T31" i="7" s="1"/>
  <c r="E12" i="7" a="1"/>
  <c r="E12" i="7"/>
  <c r="T30" i="7" s="1"/>
  <c r="E11" i="7" a="1"/>
  <c r="E11" i="7"/>
  <c r="T29" i="7" s="1"/>
  <c r="H5" i="14" a="1"/>
  <c r="H5" i="14" s="1"/>
  <c r="H5" i="13" a="1"/>
  <c r="H5" i="13" s="1"/>
  <c r="H5" i="12" a="1"/>
  <c r="H5" i="12" s="1"/>
  <c r="H5" i="11" a="1"/>
  <c r="H5" i="11"/>
  <c r="H5" i="9" a="1"/>
  <c r="H5" i="9"/>
  <c r="H5" i="7" a="1"/>
  <c r="H5" i="7" s="1"/>
  <c r="B25" i="14"/>
  <c r="C25" i="14" a="1"/>
  <c r="C25" i="14" s="1"/>
  <c r="D25" i="14" a="1"/>
  <c r="D25" i="14" s="1"/>
  <c r="F25" i="14" a="1"/>
  <c r="F25" i="14" s="1"/>
  <c r="G25" i="14" a="1"/>
  <c r="G25" i="14" s="1"/>
  <c r="H25" i="14" a="1"/>
  <c r="H25" i="14" s="1"/>
  <c r="I25" i="14" a="1"/>
  <c r="I25" i="14" s="1"/>
  <c r="J25" i="14" a="1"/>
  <c r="J25" i="14" s="1"/>
  <c r="K25" i="14" a="1"/>
  <c r="K25" i="14" s="1"/>
  <c r="L25" i="14" a="1"/>
  <c r="L25" i="14" s="1"/>
  <c r="M25" i="14" a="1"/>
  <c r="M25" i="14" s="1"/>
  <c r="N25" i="14" a="1"/>
  <c r="N25" i="14"/>
  <c r="O25" i="14" a="1"/>
  <c r="O25" i="14" s="1"/>
  <c r="P25" i="14" a="1"/>
  <c r="P25" i="14" s="1"/>
  <c r="Q25" i="14" a="1"/>
  <c r="Q25" i="14" s="1"/>
  <c r="B24" i="14"/>
  <c r="C24" i="14" a="1"/>
  <c r="C24" i="14" s="1"/>
  <c r="D24" i="14" a="1"/>
  <c r="D24" i="14"/>
  <c r="F24" i="14" a="1"/>
  <c r="F24" i="14" s="1"/>
  <c r="G24" i="14" a="1"/>
  <c r="G24" i="14" s="1"/>
  <c r="H24" i="14" a="1"/>
  <c r="H24" i="14" s="1"/>
  <c r="I24" i="14" a="1"/>
  <c r="I24" i="14" s="1"/>
  <c r="J24" i="14" a="1"/>
  <c r="J24" i="14"/>
  <c r="K24" i="14" a="1"/>
  <c r="K24" i="14"/>
  <c r="L24" i="14" a="1"/>
  <c r="L24" i="14"/>
  <c r="M24" i="14" a="1"/>
  <c r="M24" i="14" s="1"/>
  <c r="N24" i="14" a="1"/>
  <c r="N24" i="14" s="1"/>
  <c r="O24" i="14" a="1"/>
  <c r="O24" i="14" s="1"/>
  <c r="P24" i="14" a="1"/>
  <c r="P24" i="14" s="1"/>
  <c r="Q24" i="14" a="1"/>
  <c r="Q24" i="14" s="1"/>
  <c r="B23" i="14"/>
  <c r="C23" i="14" a="1"/>
  <c r="C23" i="14"/>
  <c r="D23" i="14" a="1"/>
  <c r="D23" i="14"/>
  <c r="F23" i="14" a="1"/>
  <c r="F23" i="14" s="1"/>
  <c r="G23" i="14" a="1"/>
  <c r="G23" i="14" s="1"/>
  <c r="H23" i="14" a="1"/>
  <c r="H23" i="14" s="1"/>
  <c r="I23" i="14" a="1"/>
  <c r="I23" i="14" s="1"/>
  <c r="J23" i="14" a="1"/>
  <c r="J23" i="14"/>
  <c r="K23" i="14" a="1"/>
  <c r="K23" i="14" s="1"/>
  <c r="L23" i="14" a="1"/>
  <c r="L23" i="14"/>
  <c r="M23" i="14" a="1"/>
  <c r="M23" i="14" s="1"/>
  <c r="N23" i="14" a="1"/>
  <c r="N23" i="14" s="1"/>
  <c r="O23" i="14" a="1"/>
  <c r="O23" i="14"/>
  <c r="P23" i="14" a="1"/>
  <c r="P23" i="14" s="1"/>
  <c r="Q23" i="14" a="1"/>
  <c r="Q23" i="14"/>
  <c r="B22" i="14"/>
  <c r="C22" i="14" a="1"/>
  <c r="C22" i="14"/>
  <c r="D22" i="14" a="1"/>
  <c r="D22" i="14" s="1"/>
  <c r="F22" i="14" a="1"/>
  <c r="F22" i="14" s="1"/>
  <c r="G22" i="14" a="1"/>
  <c r="G22" i="14"/>
  <c r="H22" i="14" a="1"/>
  <c r="H22" i="14"/>
  <c r="I22" i="14" a="1"/>
  <c r="I22" i="14" s="1"/>
  <c r="J22" i="14" a="1"/>
  <c r="J22" i="14" s="1"/>
  <c r="K22" i="14" a="1"/>
  <c r="K22" i="14"/>
  <c r="L22" i="14" a="1"/>
  <c r="L22" i="14" s="1"/>
  <c r="M22" i="14" a="1"/>
  <c r="M22" i="14" s="1"/>
  <c r="N22" i="14" a="1"/>
  <c r="N22" i="14"/>
  <c r="O22" i="14" a="1"/>
  <c r="O22" i="14" s="1"/>
  <c r="P22" i="14" a="1"/>
  <c r="P22" i="14" s="1"/>
  <c r="Q22" i="14" a="1"/>
  <c r="Q22" i="14" s="1"/>
  <c r="B21" i="14"/>
  <c r="C21" i="14" a="1"/>
  <c r="C21" i="14" s="1"/>
  <c r="D21" i="14" a="1"/>
  <c r="D21" i="14" s="1"/>
  <c r="F21" i="14" a="1"/>
  <c r="F21" i="14" s="1"/>
  <c r="G21" i="14" a="1"/>
  <c r="G21" i="14" s="1"/>
  <c r="H21" i="14" a="1"/>
  <c r="H21" i="14"/>
  <c r="I21" i="14" a="1"/>
  <c r="I21" i="14"/>
  <c r="J21" i="14" a="1"/>
  <c r="J21" i="14" s="1"/>
  <c r="K21" i="14" a="1"/>
  <c r="K21" i="14" s="1"/>
  <c r="L21" i="14" a="1"/>
  <c r="L21" i="14"/>
  <c r="M21" i="14" a="1"/>
  <c r="M21" i="14" s="1"/>
  <c r="N21" i="14" a="1"/>
  <c r="N21" i="14" s="1"/>
  <c r="O21" i="14" a="1"/>
  <c r="O21" i="14" s="1"/>
  <c r="P21" i="14" a="1"/>
  <c r="P21" i="14"/>
  <c r="Q21" i="14" a="1"/>
  <c r="Q21" i="14" s="1"/>
  <c r="B20" i="14"/>
  <c r="C20" i="14" a="1"/>
  <c r="C20" i="14" s="1"/>
  <c r="D20" i="14" a="1"/>
  <c r="D20" i="14" s="1"/>
  <c r="F20" i="14" a="1"/>
  <c r="F20" i="14" s="1"/>
  <c r="G20" i="14" a="1"/>
  <c r="G20" i="14" s="1"/>
  <c r="H20" i="14" a="1"/>
  <c r="H20" i="14" s="1"/>
  <c r="I20" i="14" a="1"/>
  <c r="I20" i="14" s="1"/>
  <c r="J20" i="14" a="1"/>
  <c r="J20" i="14" s="1"/>
  <c r="K20" i="14" a="1"/>
  <c r="K20" i="14"/>
  <c r="L20" i="14" a="1"/>
  <c r="L20" i="14"/>
  <c r="M20" i="14" a="1"/>
  <c r="M20" i="14" s="1"/>
  <c r="N20" i="14" a="1"/>
  <c r="N20" i="14" s="1"/>
  <c r="O20" i="14" a="1"/>
  <c r="O20" i="14" s="1"/>
  <c r="P20" i="14" a="1"/>
  <c r="P20" i="14" s="1"/>
  <c r="Q20" i="14" a="1"/>
  <c r="Q20" i="14" s="1"/>
  <c r="B19" i="14"/>
  <c r="C19" i="14" a="1"/>
  <c r="C19" i="14" s="1"/>
  <c r="D19" i="14" a="1"/>
  <c r="D19" i="14" s="1"/>
  <c r="F19" i="14" a="1"/>
  <c r="F19" i="14" s="1"/>
  <c r="G19" i="14" a="1"/>
  <c r="G19" i="14" s="1"/>
  <c r="H19" i="14" a="1"/>
  <c r="H19" i="14" s="1"/>
  <c r="I19" i="14" a="1"/>
  <c r="I19" i="14"/>
  <c r="J19" i="14" a="1"/>
  <c r="J19" i="14" s="1"/>
  <c r="K19" i="14" a="1"/>
  <c r="K19" i="14" s="1"/>
  <c r="L19" i="14" a="1"/>
  <c r="L19" i="14" s="1"/>
  <c r="M19" i="14" a="1"/>
  <c r="M19" i="14" s="1"/>
  <c r="N19" i="14" a="1"/>
  <c r="N19" i="14" s="1"/>
  <c r="O19" i="14" a="1"/>
  <c r="O19" i="14" s="1"/>
  <c r="P19" i="14" a="1"/>
  <c r="P19" i="14" s="1"/>
  <c r="Q19" i="14" a="1"/>
  <c r="Q19" i="14" s="1"/>
  <c r="B18" i="14"/>
  <c r="C18" i="14" a="1"/>
  <c r="C18" i="14"/>
  <c r="D18" i="14" a="1"/>
  <c r="D18" i="14"/>
  <c r="F18" i="14" a="1"/>
  <c r="F18" i="14" s="1"/>
  <c r="G18" i="14" a="1"/>
  <c r="G18" i="14" s="1"/>
  <c r="H18" i="14" a="1"/>
  <c r="H18" i="14"/>
  <c r="I18" i="14" a="1"/>
  <c r="I18" i="14" s="1"/>
  <c r="J18" i="14" a="1"/>
  <c r="J18" i="14" s="1"/>
  <c r="K18" i="14" a="1"/>
  <c r="K18" i="14"/>
  <c r="L18" i="14" a="1"/>
  <c r="L18" i="14" s="1"/>
  <c r="M18" i="14" a="1"/>
  <c r="M18" i="14" s="1"/>
  <c r="N18" i="14" a="1"/>
  <c r="N18" i="14" s="1"/>
  <c r="O18" i="14" a="1"/>
  <c r="O18" i="14" s="1"/>
  <c r="P18" i="14" a="1"/>
  <c r="P18" i="14" s="1"/>
  <c r="Q18" i="14" a="1"/>
  <c r="Q18" i="14"/>
  <c r="B17" i="14"/>
  <c r="C17" i="14" a="1"/>
  <c r="C17" i="14" s="1"/>
  <c r="D17" i="14" a="1"/>
  <c r="D17" i="14" s="1"/>
  <c r="F17" i="14" a="1"/>
  <c r="F17" i="14"/>
  <c r="G17" i="14" a="1"/>
  <c r="G17" i="14" s="1"/>
  <c r="H17" i="14" a="1"/>
  <c r="H17" i="14" s="1"/>
  <c r="I17" i="14" a="1"/>
  <c r="I17" i="14"/>
  <c r="J17" i="14" a="1"/>
  <c r="J17" i="14" s="1"/>
  <c r="K17" i="14" a="1"/>
  <c r="K17" i="14" s="1"/>
  <c r="L17" i="14" a="1"/>
  <c r="L17" i="14" s="1"/>
  <c r="M17" i="14" a="1"/>
  <c r="M17" i="14" s="1"/>
  <c r="N17" i="14" a="1"/>
  <c r="N17" i="14" s="1"/>
  <c r="O17" i="14" a="1"/>
  <c r="O17" i="14"/>
  <c r="P17" i="14" a="1"/>
  <c r="P17" i="14" s="1"/>
  <c r="Q17" i="14" a="1"/>
  <c r="Q17" i="14" s="1"/>
  <c r="B16" i="14"/>
  <c r="C16" i="14" a="1"/>
  <c r="C16" i="14" s="1"/>
  <c r="D16" i="14" a="1"/>
  <c r="D16" i="14" s="1"/>
  <c r="F16" i="14" a="1"/>
  <c r="F16" i="14" s="1"/>
  <c r="G16" i="14" a="1"/>
  <c r="G16" i="14"/>
  <c r="H16" i="14" a="1"/>
  <c r="H16" i="14" s="1"/>
  <c r="I16" i="14" a="1"/>
  <c r="I16" i="14" s="1"/>
  <c r="J16" i="14" a="1"/>
  <c r="J16" i="14" s="1"/>
  <c r="K16" i="14" a="1"/>
  <c r="K16" i="14" s="1"/>
  <c r="L16" i="14" a="1"/>
  <c r="L16" i="14" s="1"/>
  <c r="M16" i="14" a="1"/>
  <c r="M16" i="14"/>
  <c r="N16" i="14" a="1"/>
  <c r="N16" i="14" s="1"/>
  <c r="O16" i="14" a="1"/>
  <c r="O16" i="14" s="1"/>
  <c r="P16" i="14" a="1"/>
  <c r="P16" i="14" s="1"/>
  <c r="Q16" i="14" a="1"/>
  <c r="Q16" i="14" s="1"/>
  <c r="B15" i="14"/>
  <c r="C15" i="14" a="1"/>
  <c r="C15" i="14"/>
  <c r="D15" i="14" a="1"/>
  <c r="D15" i="14" s="1"/>
  <c r="F15" i="14" a="1"/>
  <c r="F15" i="14" s="1"/>
  <c r="G15" i="14" a="1"/>
  <c r="G15" i="14" s="1"/>
  <c r="H15" i="14" a="1"/>
  <c r="H15" i="14" s="1"/>
  <c r="I15" i="14" a="1"/>
  <c r="I15" i="14" s="1"/>
  <c r="J15" i="14" a="1"/>
  <c r="J15" i="14" s="1"/>
  <c r="K15" i="14" a="1"/>
  <c r="K15" i="14" s="1"/>
  <c r="L15" i="14" a="1"/>
  <c r="L15" i="14"/>
  <c r="M15" i="14" a="1"/>
  <c r="M15" i="14" s="1"/>
  <c r="N15" i="14" a="1"/>
  <c r="N15" i="14" s="1"/>
  <c r="O15" i="14" a="1"/>
  <c r="O15" i="14" s="1"/>
  <c r="P15" i="14" a="1"/>
  <c r="P15" i="14" s="1"/>
  <c r="Q15" i="14" a="1"/>
  <c r="Q15" i="14" s="1"/>
  <c r="B14" i="14"/>
  <c r="C14" i="14" a="1"/>
  <c r="C14" i="14"/>
  <c r="D14" i="14" a="1"/>
  <c r="D14" i="14" s="1"/>
  <c r="F14" i="14" a="1"/>
  <c r="F14" i="14" s="1"/>
  <c r="G14" i="14" a="1"/>
  <c r="G14" i="14" s="1"/>
  <c r="H14" i="14" a="1"/>
  <c r="H14" i="14" s="1"/>
  <c r="I14" i="14" a="1"/>
  <c r="I14" i="14" s="1"/>
  <c r="J14" i="14" a="1"/>
  <c r="J14" i="14" s="1"/>
  <c r="K14" i="14" a="1"/>
  <c r="K14" i="14" s="1"/>
  <c r="L14" i="14" a="1"/>
  <c r="L14" i="14" s="1"/>
  <c r="M14" i="14" a="1"/>
  <c r="M14" i="14"/>
  <c r="N14" i="14" a="1"/>
  <c r="N14" i="14" s="1"/>
  <c r="O14" i="14" a="1"/>
  <c r="O14" i="14" s="1"/>
  <c r="P14" i="14" a="1"/>
  <c r="P14" i="14" s="1"/>
  <c r="Q14" i="14" a="1"/>
  <c r="Q14" i="14"/>
  <c r="B13" i="14"/>
  <c r="C13" i="14" a="1"/>
  <c r="C13" i="14"/>
  <c r="D13" i="14" a="1"/>
  <c r="D13" i="14"/>
  <c r="F13" i="14" a="1"/>
  <c r="F13" i="14" s="1"/>
  <c r="G13" i="14" a="1"/>
  <c r="G13" i="14"/>
  <c r="H13" i="14" a="1"/>
  <c r="H13" i="14" s="1"/>
  <c r="I13" i="14" a="1"/>
  <c r="I13" i="14" s="1"/>
  <c r="J13" i="14" a="1"/>
  <c r="J13" i="14" s="1"/>
  <c r="K13" i="14" a="1"/>
  <c r="K13" i="14"/>
  <c r="L13" i="14" a="1"/>
  <c r="L13" i="14" s="1"/>
  <c r="M13" i="14" a="1"/>
  <c r="M13" i="14" s="1"/>
  <c r="N13" i="14" a="1"/>
  <c r="N13" i="14" s="1"/>
  <c r="O13" i="14" a="1"/>
  <c r="O13" i="14" s="1"/>
  <c r="P13" i="14" a="1"/>
  <c r="P13" i="14"/>
  <c r="Q13" i="14" a="1"/>
  <c r="Q13" i="14"/>
  <c r="B12" i="14"/>
  <c r="C12" i="14" a="1"/>
  <c r="C12" i="14" s="1"/>
  <c r="D12" i="14" a="1"/>
  <c r="D12" i="14" s="1"/>
  <c r="F12" i="14" a="1"/>
  <c r="F12" i="14"/>
  <c r="G12" i="14" a="1"/>
  <c r="G12" i="14"/>
  <c r="H12" i="14" a="1"/>
  <c r="H12" i="14" s="1"/>
  <c r="I12" i="14" a="1"/>
  <c r="I12" i="14" s="1"/>
  <c r="J12" i="14" a="1"/>
  <c r="J12" i="14"/>
  <c r="K12" i="14" a="1"/>
  <c r="K12" i="14" s="1"/>
  <c r="L12" i="14" a="1"/>
  <c r="L12" i="14" s="1"/>
  <c r="M12" i="14" a="1"/>
  <c r="M12" i="14"/>
  <c r="N12" i="14" a="1"/>
  <c r="N12" i="14" s="1"/>
  <c r="O12" i="14" a="1"/>
  <c r="O12" i="14" s="1"/>
  <c r="P12" i="14" a="1"/>
  <c r="P12" i="14" s="1"/>
  <c r="Q12" i="14" a="1"/>
  <c r="Q12" i="14" s="1"/>
  <c r="B8" i="14"/>
  <c r="E5" i="14"/>
  <c r="C5" i="14"/>
  <c r="B1" i="14"/>
  <c r="B25" i="13"/>
  <c r="C25" i="13" a="1"/>
  <c r="C25" i="13" s="1"/>
  <c r="D25" i="13" a="1"/>
  <c r="D25" i="13"/>
  <c r="F25" i="13" a="1"/>
  <c r="F25" i="13"/>
  <c r="G25" i="13" a="1"/>
  <c r="G25" i="13" s="1"/>
  <c r="H25" i="13" a="1"/>
  <c r="H25" i="13"/>
  <c r="I25" i="13" a="1"/>
  <c r="I25" i="13" s="1"/>
  <c r="J25" i="13" a="1"/>
  <c r="J25" i="13" s="1"/>
  <c r="K25" i="13" a="1"/>
  <c r="K25" i="13" s="1"/>
  <c r="L25" i="13" a="1"/>
  <c r="L25" i="13"/>
  <c r="M25" i="13" a="1"/>
  <c r="M25" i="13"/>
  <c r="N25" i="13" a="1"/>
  <c r="N25" i="13"/>
  <c r="O25" i="13" a="1"/>
  <c r="O25" i="13" s="1"/>
  <c r="P25" i="13" a="1"/>
  <c r="P25" i="13"/>
  <c r="Q25" i="13" a="1"/>
  <c r="Q25" i="13" s="1"/>
  <c r="B24" i="13"/>
  <c r="C24" i="13" a="1"/>
  <c r="C24" i="13" s="1"/>
  <c r="D24" i="13" a="1"/>
  <c r="D24" i="13" s="1"/>
  <c r="F24" i="13" a="1"/>
  <c r="F24" i="13" s="1"/>
  <c r="G24" i="13" a="1"/>
  <c r="G24" i="13" s="1"/>
  <c r="H24" i="13" a="1"/>
  <c r="H24" i="13" s="1"/>
  <c r="I24" i="13" a="1"/>
  <c r="I24" i="13" s="1"/>
  <c r="J24" i="13" a="1"/>
  <c r="J24" i="13" s="1"/>
  <c r="K24" i="13" a="1"/>
  <c r="K24" i="13" s="1"/>
  <c r="L24" i="13" a="1"/>
  <c r="L24" i="13" s="1"/>
  <c r="M24" i="13" a="1"/>
  <c r="M24" i="13"/>
  <c r="N24" i="13" a="1"/>
  <c r="N24" i="13" s="1"/>
  <c r="O24" i="13" a="1"/>
  <c r="O24" i="13" s="1"/>
  <c r="P24" i="13" a="1"/>
  <c r="P24" i="13" s="1"/>
  <c r="Q24" i="13" a="1"/>
  <c r="Q24" i="13" s="1"/>
  <c r="B23" i="13"/>
  <c r="C23" i="13" a="1"/>
  <c r="C23" i="13" s="1"/>
  <c r="D23" i="13" a="1"/>
  <c r="D23" i="13" s="1"/>
  <c r="F23" i="13" a="1"/>
  <c r="F23" i="13" s="1"/>
  <c r="G23" i="13" a="1"/>
  <c r="G23" i="13" s="1"/>
  <c r="H23" i="13" a="1"/>
  <c r="H23" i="13" s="1"/>
  <c r="I23" i="13" a="1"/>
  <c r="I23" i="13" s="1"/>
  <c r="J23" i="13" a="1"/>
  <c r="J23" i="13"/>
  <c r="K23" i="13" a="1"/>
  <c r="K23" i="13" s="1"/>
  <c r="L23" i="13" a="1"/>
  <c r="L23" i="13" s="1"/>
  <c r="M23" i="13" a="1"/>
  <c r="M23" i="13" s="1"/>
  <c r="N23" i="13" a="1"/>
  <c r="N23" i="13" s="1"/>
  <c r="O23" i="13" a="1"/>
  <c r="O23" i="13" s="1"/>
  <c r="P23" i="13" a="1"/>
  <c r="P23" i="13"/>
  <c r="Q23" i="13" a="1"/>
  <c r="Q23" i="13" s="1"/>
  <c r="B22" i="13"/>
  <c r="C22" i="13" a="1"/>
  <c r="C22" i="13" s="1"/>
  <c r="D22" i="13" a="1"/>
  <c r="D22" i="13" s="1"/>
  <c r="F22" i="13" a="1"/>
  <c r="F22" i="13" s="1"/>
  <c r="G22" i="13" a="1"/>
  <c r="G22" i="13" s="1"/>
  <c r="H22" i="13" a="1"/>
  <c r="H22" i="13" s="1"/>
  <c r="I22" i="13" a="1"/>
  <c r="I22" i="13" s="1"/>
  <c r="J22" i="13" a="1"/>
  <c r="J22" i="13"/>
  <c r="K22" i="13" a="1"/>
  <c r="K22" i="13" s="1"/>
  <c r="L22" i="13" a="1"/>
  <c r="L22" i="13" s="1"/>
  <c r="M22" i="13" a="1"/>
  <c r="M22" i="13" s="1"/>
  <c r="N22" i="13" a="1"/>
  <c r="N22" i="13" s="1"/>
  <c r="O22" i="13" a="1"/>
  <c r="O22" i="13" s="1"/>
  <c r="P22" i="13" a="1"/>
  <c r="P22" i="13" s="1"/>
  <c r="Q22" i="13" a="1"/>
  <c r="Q22" i="13"/>
  <c r="B21" i="13"/>
  <c r="C21" i="13" a="1"/>
  <c r="C21" i="13" s="1"/>
  <c r="D21" i="13" a="1"/>
  <c r="D21" i="13" s="1"/>
  <c r="F21" i="13" a="1"/>
  <c r="F21" i="13" s="1"/>
  <c r="G21" i="13" a="1"/>
  <c r="G21" i="13"/>
  <c r="H21" i="13" a="1"/>
  <c r="H21" i="13" s="1"/>
  <c r="I21" i="13" a="1"/>
  <c r="I21" i="13" s="1"/>
  <c r="J21" i="13" a="1"/>
  <c r="J21" i="13"/>
  <c r="K21" i="13" a="1"/>
  <c r="K21" i="13" s="1"/>
  <c r="L21" i="13" a="1"/>
  <c r="L21" i="13" s="1"/>
  <c r="M21" i="13" a="1"/>
  <c r="M21" i="13" s="1"/>
  <c r="N21" i="13" a="1"/>
  <c r="N21" i="13" s="1"/>
  <c r="O21" i="13" a="1"/>
  <c r="O21" i="13"/>
  <c r="P21" i="13" a="1"/>
  <c r="P21" i="13" s="1"/>
  <c r="Q21" i="13" a="1"/>
  <c r="Q21" i="13"/>
  <c r="B20" i="13"/>
  <c r="C20" i="13" a="1"/>
  <c r="C20" i="13" s="1"/>
  <c r="D20" i="13" a="1"/>
  <c r="D20" i="13" s="1"/>
  <c r="F20" i="13" a="1"/>
  <c r="F20" i="13"/>
  <c r="G20" i="13" a="1"/>
  <c r="G20" i="13" s="1"/>
  <c r="H20" i="13" a="1"/>
  <c r="H20" i="13"/>
  <c r="I20" i="13" a="1"/>
  <c r="I20" i="13" s="1"/>
  <c r="J20" i="13" a="1"/>
  <c r="J20" i="13" s="1"/>
  <c r="K20" i="13" a="1"/>
  <c r="K20" i="13" s="1"/>
  <c r="L20" i="13" a="1"/>
  <c r="L20" i="13" s="1"/>
  <c r="M20" i="13" a="1"/>
  <c r="M20" i="13" s="1"/>
  <c r="N20" i="13" a="1"/>
  <c r="N20" i="13" s="1"/>
  <c r="O20" i="13" a="1"/>
  <c r="O20" i="13" s="1"/>
  <c r="P20" i="13" a="1"/>
  <c r="P20" i="13" s="1"/>
  <c r="Q20" i="13" a="1"/>
  <c r="Q20" i="13" s="1"/>
  <c r="B19" i="13"/>
  <c r="C19" i="13" a="1"/>
  <c r="C19" i="13"/>
  <c r="D19" i="13" a="1"/>
  <c r="D19" i="13" s="1"/>
  <c r="F19" i="13" a="1"/>
  <c r="F19" i="13" s="1"/>
  <c r="G19" i="13" a="1"/>
  <c r="G19" i="13" s="1"/>
  <c r="H19" i="13" a="1"/>
  <c r="H19" i="13" s="1"/>
  <c r="I19" i="13" a="1"/>
  <c r="I19" i="13"/>
  <c r="J19" i="13" a="1"/>
  <c r="J19" i="13"/>
  <c r="K19" i="13" a="1"/>
  <c r="K19" i="13" s="1"/>
  <c r="L19" i="13" a="1"/>
  <c r="L19" i="13"/>
  <c r="M19" i="13" a="1"/>
  <c r="M19" i="13" s="1"/>
  <c r="N19" i="13" a="1"/>
  <c r="N19" i="13" s="1"/>
  <c r="O19" i="13" a="1"/>
  <c r="O19" i="13" s="1"/>
  <c r="P19" i="13" a="1"/>
  <c r="P19" i="13"/>
  <c r="Q19" i="13" a="1"/>
  <c r="Q19" i="13"/>
  <c r="B18" i="13"/>
  <c r="C18" i="13" a="1"/>
  <c r="C18" i="13"/>
  <c r="D18" i="13" a="1"/>
  <c r="D18" i="13" s="1"/>
  <c r="F18" i="13" a="1"/>
  <c r="F18" i="13" s="1"/>
  <c r="G18" i="13" a="1"/>
  <c r="G18" i="13" s="1"/>
  <c r="H18" i="13" a="1"/>
  <c r="H18" i="13" s="1"/>
  <c r="I18" i="13" a="1"/>
  <c r="I18" i="13" s="1"/>
  <c r="J18" i="13" a="1"/>
  <c r="J18" i="13"/>
  <c r="K18" i="13" a="1"/>
  <c r="K18" i="13" s="1"/>
  <c r="L18" i="13" a="1"/>
  <c r="L18" i="13" s="1"/>
  <c r="M18" i="13" a="1"/>
  <c r="M18" i="13" s="1"/>
  <c r="N18" i="13" a="1"/>
  <c r="N18" i="13" s="1"/>
  <c r="O18" i="13" a="1"/>
  <c r="O18" i="13" s="1"/>
  <c r="P18" i="13" a="1"/>
  <c r="P18" i="13" s="1"/>
  <c r="Q18" i="13" a="1"/>
  <c r="Q18" i="13"/>
  <c r="B17" i="13"/>
  <c r="C17" i="13" a="1"/>
  <c r="C17" i="13" s="1"/>
  <c r="D17" i="13" a="1"/>
  <c r="D17" i="13"/>
  <c r="F17" i="13" a="1"/>
  <c r="F17" i="13" s="1"/>
  <c r="G17" i="13" a="1"/>
  <c r="G17" i="13" s="1"/>
  <c r="H17" i="13" a="1"/>
  <c r="H17" i="13" s="1"/>
  <c r="I17" i="13" a="1"/>
  <c r="I17" i="13" s="1"/>
  <c r="J17" i="13" a="1"/>
  <c r="J17" i="13"/>
  <c r="K17" i="13" a="1"/>
  <c r="K17" i="13" s="1"/>
  <c r="L17" i="13" a="1"/>
  <c r="L17" i="13" s="1"/>
  <c r="M17" i="13" a="1"/>
  <c r="M17" i="13"/>
  <c r="N17" i="13" a="1"/>
  <c r="N17" i="13"/>
  <c r="O17" i="13" a="1"/>
  <c r="O17" i="13"/>
  <c r="P17" i="13" a="1"/>
  <c r="P17" i="13" s="1"/>
  <c r="Q17" i="13" a="1"/>
  <c r="Q17" i="13" s="1"/>
  <c r="B16" i="13"/>
  <c r="C16" i="13" a="1"/>
  <c r="C16" i="13" s="1"/>
  <c r="D16" i="13" a="1"/>
  <c r="D16" i="13" s="1"/>
  <c r="F16" i="13" a="1"/>
  <c r="F16" i="13" s="1"/>
  <c r="G16" i="13" a="1"/>
  <c r="G16" i="13"/>
  <c r="H16" i="13" a="1"/>
  <c r="H16" i="13" s="1"/>
  <c r="I16" i="13" a="1"/>
  <c r="I16" i="13" s="1"/>
  <c r="J16" i="13" a="1"/>
  <c r="J16" i="13" s="1"/>
  <c r="K16" i="13" a="1"/>
  <c r="K16" i="13" s="1"/>
  <c r="L16" i="13" a="1"/>
  <c r="L16" i="13" s="1"/>
  <c r="M16" i="13" a="1"/>
  <c r="M16" i="13" s="1"/>
  <c r="N16" i="13" a="1"/>
  <c r="N16" i="13"/>
  <c r="O16" i="13" a="1"/>
  <c r="O16" i="13" s="1"/>
  <c r="P16" i="13" a="1"/>
  <c r="P16" i="13"/>
  <c r="Q16" i="13" a="1"/>
  <c r="Q16" i="13" s="1"/>
  <c r="B15" i="13"/>
  <c r="C15" i="13" a="1"/>
  <c r="C15" i="13"/>
  <c r="D15" i="13" a="1"/>
  <c r="D15" i="13"/>
  <c r="F15" i="13" a="1"/>
  <c r="F15" i="13" s="1"/>
  <c r="G15" i="13" a="1"/>
  <c r="G15" i="13"/>
  <c r="H15" i="13" a="1"/>
  <c r="H15" i="13" s="1"/>
  <c r="I15" i="13" a="1"/>
  <c r="I15" i="13" s="1"/>
  <c r="J15" i="13" a="1"/>
  <c r="J15" i="13"/>
  <c r="K15" i="13" a="1"/>
  <c r="K15" i="13" s="1"/>
  <c r="L15" i="13" a="1"/>
  <c r="L15" i="13" s="1"/>
  <c r="M15" i="13" a="1"/>
  <c r="M15" i="13" s="1"/>
  <c r="N15" i="13" a="1"/>
  <c r="N15" i="13" s="1"/>
  <c r="O15" i="13" a="1"/>
  <c r="O15" i="13" s="1"/>
  <c r="P15" i="13" a="1"/>
  <c r="P15" i="13" s="1"/>
  <c r="Q15" i="13" a="1"/>
  <c r="Q15" i="13" s="1"/>
  <c r="B14" i="13"/>
  <c r="C14" i="13" a="1"/>
  <c r="C14" i="13" s="1"/>
  <c r="D14" i="13" a="1"/>
  <c r="D14" i="13"/>
  <c r="F14" i="13" a="1"/>
  <c r="F14" i="13"/>
  <c r="G14" i="13" a="1"/>
  <c r="G14" i="13" s="1"/>
  <c r="H14" i="13" a="1"/>
  <c r="H14" i="13" s="1"/>
  <c r="I14" i="13" a="1"/>
  <c r="I14" i="13" s="1"/>
  <c r="J14" i="13" a="1"/>
  <c r="J14" i="13" s="1"/>
  <c r="K14" i="13" a="1"/>
  <c r="K14" i="13"/>
  <c r="L14" i="13" a="1"/>
  <c r="L14" i="13" s="1"/>
  <c r="M14" i="13" a="1"/>
  <c r="M14" i="13" s="1"/>
  <c r="N14" i="13" a="1"/>
  <c r="N14" i="13" s="1"/>
  <c r="O14" i="13" a="1"/>
  <c r="O14" i="13" s="1"/>
  <c r="P14" i="13" a="1"/>
  <c r="P14" i="13" s="1"/>
  <c r="Q14" i="13" a="1"/>
  <c r="Q14" i="13" s="1"/>
  <c r="B13" i="13"/>
  <c r="C13" i="13" a="1"/>
  <c r="C13" i="13" s="1"/>
  <c r="D13" i="13" a="1"/>
  <c r="D13" i="13"/>
  <c r="F13" i="13" a="1"/>
  <c r="F13" i="13" s="1"/>
  <c r="G13" i="13" a="1"/>
  <c r="G13" i="13"/>
  <c r="H13" i="13" a="1"/>
  <c r="H13" i="13" s="1"/>
  <c r="I13" i="13" a="1"/>
  <c r="I13" i="13"/>
  <c r="J13" i="13" a="1"/>
  <c r="J13" i="13"/>
  <c r="K13" i="13" a="1"/>
  <c r="K13" i="13"/>
  <c r="L13" i="13" a="1"/>
  <c r="L13" i="13"/>
  <c r="M13" i="13" a="1"/>
  <c r="M13" i="13" s="1"/>
  <c r="N13" i="13" a="1"/>
  <c r="N13" i="13" s="1"/>
  <c r="O13" i="13" a="1"/>
  <c r="O13" i="13"/>
  <c r="P13" i="13" a="1"/>
  <c r="P13" i="13" s="1"/>
  <c r="Q13" i="13" a="1"/>
  <c r="Q13" i="13"/>
  <c r="B12" i="13"/>
  <c r="C12" i="13" a="1"/>
  <c r="C12" i="13"/>
  <c r="D12" i="13" a="1"/>
  <c r="D12" i="13" s="1"/>
  <c r="S30" i="13" s="1"/>
  <c r="F12" i="13" a="1"/>
  <c r="F12" i="13" s="1"/>
  <c r="G12" i="13" a="1"/>
  <c r="G12" i="13" s="1"/>
  <c r="Y30" i="13" s="1"/>
  <c r="H12" i="13" a="1"/>
  <c r="H12" i="13" s="1"/>
  <c r="Z30" i="13" s="1"/>
  <c r="I12" i="13" a="1"/>
  <c r="I12" i="13"/>
  <c r="J12" i="13" a="1"/>
  <c r="J12" i="13" s="1"/>
  <c r="K12" i="13" a="1"/>
  <c r="K12" i="13" s="1"/>
  <c r="L12" i="13" a="1"/>
  <c r="L12" i="13" s="1"/>
  <c r="M12" i="13" a="1"/>
  <c r="M12" i="13" s="1"/>
  <c r="N12" i="13" a="1"/>
  <c r="N12" i="13" s="1"/>
  <c r="O12" i="13" a="1"/>
  <c r="O12" i="13" s="1"/>
  <c r="P12" i="13" a="1"/>
  <c r="P12" i="13" s="1"/>
  <c r="Q12" i="13" a="1"/>
  <c r="Q12" i="13" s="1"/>
  <c r="B8" i="13"/>
  <c r="E5" i="13"/>
  <c r="C5" i="13"/>
  <c r="B1" i="13"/>
  <c r="B25" i="12"/>
  <c r="C25" i="12" a="1"/>
  <c r="C25" i="12" s="1"/>
  <c r="D25" i="12" a="1"/>
  <c r="D25" i="12" s="1"/>
  <c r="F25" i="12" a="1"/>
  <c r="F25" i="12" s="1"/>
  <c r="G25" i="12" a="1"/>
  <c r="G25" i="12"/>
  <c r="H25" i="12" a="1"/>
  <c r="H25" i="12" s="1"/>
  <c r="I25" i="12" a="1"/>
  <c r="I25" i="12"/>
  <c r="J25" i="12" a="1"/>
  <c r="J25" i="12" s="1"/>
  <c r="K25" i="12" a="1"/>
  <c r="K25" i="12" s="1"/>
  <c r="L25" i="12" a="1"/>
  <c r="L25" i="12" s="1"/>
  <c r="M25" i="12" a="1"/>
  <c r="M25" i="12" s="1"/>
  <c r="N25" i="12" a="1"/>
  <c r="N25" i="12" s="1"/>
  <c r="O25" i="12" a="1"/>
  <c r="O25" i="12" s="1"/>
  <c r="P25" i="12" a="1"/>
  <c r="P25" i="12" s="1"/>
  <c r="Q25" i="12" a="1"/>
  <c r="Q25" i="12" s="1"/>
  <c r="B24" i="12"/>
  <c r="C24" i="12" a="1"/>
  <c r="C24" i="12" s="1"/>
  <c r="D24" i="12" a="1"/>
  <c r="D24" i="12"/>
  <c r="F24" i="12" a="1"/>
  <c r="F24" i="12" s="1"/>
  <c r="G24" i="12" a="1"/>
  <c r="G24" i="12"/>
  <c r="H24" i="12" a="1"/>
  <c r="H24" i="12" s="1"/>
  <c r="I24" i="12" a="1"/>
  <c r="I24" i="12" s="1"/>
  <c r="J24" i="12" a="1"/>
  <c r="J24" i="12" s="1"/>
  <c r="K24" i="12" a="1"/>
  <c r="K24" i="12"/>
  <c r="L24" i="12" a="1"/>
  <c r="L24" i="12" s="1"/>
  <c r="M24" i="12" a="1"/>
  <c r="M24" i="12"/>
  <c r="N24" i="12" a="1"/>
  <c r="N24" i="12" s="1"/>
  <c r="O24" i="12" a="1"/>
  <c r="O24" i="12"/>
  <c r="P24" i="12" a="1"/>
  <c r="P24" i="12" s="1"/>
  <c r="Q24" i="12" a="1"/>
  <c r="Q24" i="12" s="1"/>
  <c r="B23" i="12"/>
  <c r="C23" i="12" a="1"/>
  <c r="C23" i="12" s="1"/>
  <c r="D23" i="12" a="1"/>
  <c r="D23" i="12"/>
  <c r="F23" i="12" a="1"/>
  <c r="F23" i="12" s="1"/>
  <c r="G23" i="12" a="1"/>
  <c r="G23" i="12"/>
  <c r="H23" i="12" a="1"/>
  <c r="H23" i="12" s="1"/>
  <c r="I23" i="12" a="1"/>
  <c r="I23" i="12" s="1"/>
  <c r="J23" i="12" a="1"/>
  <c r="J23" i="12" s="1"/>
  <c r="K23" i="12" a="1"/>
  <c r="K23" i="12" s="1"/>
  <c r="L23" i="12" a="1"/>
  <c r="L23" i="12"/>
  <c r="M23" i="12" a="1"/>
  <c r="M23" i="12"/>
  <c r="N23" i="12" a="1"/>
  <c r="N23" i="12" s="1"/>
  <c r="O23" i="12" a="1"/>
  <c r="O23" i="12" s="1"/>
  <c r="P23" i="12" a="1"/>
  <c r="P23" i="12" s="1"/>
  <c r="Q23" i="12" a="1"/>
  <c r="Q23" i="12" s="1"/>
  <c r="B22" i="12"/>
  <c r="C22" i="12" a="1"/>
  <c r="C22" i="12"/>
  <c r="D22" i="12" a="1"/>
  <c r="D22" i="12" s="1"/>
  <c r="F22" i="12" a="1"/>
  <c r="F22" i="12" s="1"/>
  <c r="G22" i="12" a="1"/>
  <c r="G22" i="12" s="1"/>
  <c r="H22" i="12" a="1"/>
  <c r="H22" i="12"/>
  <c r="I22" i="12" a="1"/>
  <c r="I22" i="12"/>
  <c r="J22" i="12" a="1"/>
  <c r="J22" i="12" s="1"/>
  <c r="K22" i="12" a="1"/>
  <c r="K22" i="12" s="1"/>
  <c r="L22" i="12" a="1"/>
  <c r="L22" i="12" s="1"/>
  <c r="M22" i="12" a="1"/>
  <c r="M22" i="12" s="1"/>
  <c r="N22" i="12" a="1"/>
  <c r="N22" i="12" s="1"/>
  <c r="O22" i="12" a="1"/>
  <c r="O22" i="12" s="1"/>
  <c r="P22" i="12" a="1"/>
  <c r="P22" i="12"/>
  <c r="Q22" i="12" a="1"/>
  <c r="Q22" i="12" s="1"/>
  <c r="B21" i="12"/>
  <c r="C21" i="12" a="1"/>
  <c r="C21" i="12"/>
  <c r="D21" i="12" a="1"/>
  <c r="D21" i="12" s="1"/>
  <c r="F21" i="12" a="1"/>
  <c r="F21" i="12" s="1"/>
  <c r="G21" i="12" a="1"/>
  <c r="G21" i="12" s="1"/>
  <c r="H21" i="12" a="1"/>
  <c r="H21" i="12" s="1"/>
  <c r="I21" i="12" a="1"/>
  <c r="I21" i="12" s="1"/>
  <c r="J21" i="12" a="1"/>
  <c r="J21" i="12" s="1"/>
  <c r="K21" i="12" a="1"/>
  <c r="K21" i="12" s="1"/>
  <c r="L21" i="12" a="1"/>
  <c r="L21" i="12" s="1"/>
  <c r="M21" i="12" a="1"/>
  <c r="M21" i="12" s="1"/>
  <c r="N21" i="12" a="1"/>
  <c r="N21" i="12" s="1"/>
  <c r="O21" i="12" a="1"/>
  <c r="O21" i="12" s="1"/>
  <c r="P21" i="12" a="1"/>
  <c r="P21" i="12" s="1"/>
  <c r="Q21" i="12" a="1"/>
  <c r="Q21" i="12" s="1"/>
  <c r="B20" i="12"/>
  <c r="C20" i="12" a="1"/>
  <c r="C20" i="12" s="1"/>
  <c r="D20" i="12" a="1"/>
  <c r="D20" i="12" s="1"/>
  <c r="F20" i="12" a="1"/>
  <c r="F20" i="12"/>
  <c r="G20" i="12" a="1"/>
  <c r="G20" i="12" s="1"/>
  <c r="H20" i="12" a="1"/>
  <c r="H20" i="12"/>
  <c r="I20" i="12" a="1"/>
  <c r="I20" i="12"/>
  <c r="J20" i="12" a="1"/>
  <c r="J20" i="12" s="1"/>
  <c r="K20" i="12" a="1"/>
  <c r="K20" i="12" s="1"/>
  <c r="L20" i="12" a="1"/>
  <c r="L20" i="12"/>
  <c r="M20" i="12" a="1"/>
  <c r="M20" i="12" s="1"/>
  <c r="N20" i="12" a="1"/>
  <c r="N20" i="12"/>
  <c r="O20" i="12" a="1"/>
  <c r="O20" i="12" s="1"/>
  <c r="P20" i="12" a="1"/>
  <c r="P20" i="12" s="1"/>
  <c r="Q20" i="12" a="1"/>
  <c r="Q20" i="12" s="1"/>
  <c r="B19" i="12"/>
  <c r="C19" i="12" a="1"/>
  <c r="C19" i="12" s="1"/>
  <c r="D19" i="12" a="1"/>
  <c r="D19" i="12" s="1"/>
  <c r="F19" i="12" a="1"/>
  <c r="F19" i="12" s="1"/>
  <c r="G19" i="12" a="1"/>
  <c r="G19" i="12" s="1"/>
  <c r="H19" i="12" a="1"/>
  <c r="H19" i="12" s="1"/>
  <c r="I19" i="12" a="1"/>
  <c r="I19" i="12" s="1"/>
  <c r="J19" i="12" a="1"/>
  <c r="J19" i="12" s="1"/>
  <c r="K19" i="12" a="1"/>
  <c r="K19" i="12" s="1"/>
  <c r="L19" i="12" a="1"/>
  <c r="L19" i="12" s="1"/>
  <c r="M19" i="12" a="1"/>
  <c r="M19" i="12" s="1"/>
  <c r="N19" i="12" a="1"/>
  <c r="N19" i="12"/>
  <c r="O19" i="12" a="1"/>
  <c r="O19" i="12"/>
  <c r="P19" i="12" a="1"/>
  <c r="P19" i="12" s="1"/>
  <c r="Q19" i="12" a="1"/>
  <c r="Q19" i="12" s="1"/>
  <c r="B18" i="12"/>
  <c r="C18" i="12" a="1"/>
  <c r="C18" i="12"/>
  <c r="D18" i="12" a="1"/>
  <c r="D18" i="12" s="1"/>
  <c r="F18" i="12" a="1"/>
  <c r="F18" i="12" s="1"/>
  <c r="G18" i="12" a="1"/>
  <c r="G18" i="12" s="1"/>
  <c r="H18" i="12" a="1"/>
  <c r="H18" i="12" s="1"/>
  <c r="I18" i="12" a="1"/>
  <c r="I18" i="12"/>
  <c r="J18" i="12" a="1"/>
  <c r="J18" i="12"/>
  <c r="K18" i="12" a="1"/>
  <c r="K18" i="12" s="1"/>
  <c r="L18" i="12" a="1"/>
  <c r="L18" i="12" s="1"/>
  <c r="M18" i="12" a="1"/>
  <c r="M18" i="12" s="1"/>
  <c r="N18" i="12" a="1"/>
  <c r="N18" i="12" s="1"/>
  <c r="O18" i="12" a="1"/>
  <c r="O18" i="12" s="1"/>
  <c r="P18" i="12" a="1"/>
  <c r="P18" i="12"/>
  <c r="Q18" i="12" a="1"/>
  <c r="Q18" i="12" s="1"/>
  <c r="B17" i="12"/>
  <c r="C17" i="12" a="1"/>
  <c r="C17" i="12"/>
  <c r="D17" i="12" a="1"/>
  <c r="D17" i="12" s="1"/>
  <c r="F17" i="12" a="1"/>
  <c r="F17" i="12" s="1"/>
  <c r="G17" i="12" a="1"/>
  <c r="G17" i="12" s="1"/>
  <c r="H17" i="12" a="1"/>
  <c r="H17" i="12" s="1"/>
  <c r="I17" i="12" a="1"/>
  <c r="I17" i="12" s="1"/>
  <c r="J17" i="12" a="1"/>
  <c r="J17" i="12" s="1"/>
  <c r="K17" i="12" a="1"/>
  <c r="K17" i="12" s="1"/>
  <c r="L17" i="12" a="1"/>
  <c r="L17" i="12" s="1"/>
  <c r="M17" i="12" a="1"/>
  <c r="M17" i="12" s="1"/>
  <c r="N17" i="12" a="1"/>
  <c r="N17" i="12" s="1"/>
  <c r="O17" i="12" a="1"/>
  <c r="O17" i="12" s="1"/>
  <c r="P17" i="12" a="1"/>
  <c r="P17" i="12"/>
  <c r="Q17" i="12" a="1"/>
  <c r="Q17" i="12"/>
  <c r="B16" i="12"/>
  <c r="C16" i="12" a="1"/>
  <c r="C16" i="12" s="1"/>
  <c r="D16" i="12" a="1"/>
  <c r="D16" i="12" s="1"/>
  <c r="F16" i="12" a="1"/>
  <c r="F16" i="12"/>
  <c r="G16" i="12" a="1"/>
  <c r="G16" i="12" s="1"/>
  <c r="H16" i="12" a="1"/>
  <c r="H16" i="12" s="1"/>
  <c r="I16" i="12" a="1"/>
  <c r="I16" i="12" s="1"/>
  <c r="J16" i="12" a="1"/>
  <c r="J16" i="12" s="1"/>
  <c r="K16" i="12" a="1"/>
  <c r="K16" i="12" s="1"/>
  <c r="L16" i="12" a="1"/>
  <c r="L16" i="12" s="1"/>
  <c r="M16" i="12" a="1"/>
  <c r="M16" i="12" s="1"/>
  <c r="N16" i="12" a="1"/>
  <c r="N16" i="12" s="1"/>
  <c r="O16" i="12" a="1"/>
  <c r="O16" i="12" s="1"/>
  <c r="P16" i="12" a="1"/>
  <c r="P16" i="12" s="1"/>
  <c r="Q16" i="12" a="1"/>
  <c r="Q16" i="12" s="1"/>
  <c r="B15" i="12"/>
  <c r="C15" i="12" a="1"/>
  <c r="C15" i="12" s="1"/>
  <c r="D15" i="12" a="1"/>
  <c r="D15" i="12" s="1"/>
  <c r="F15" i="12" a="1"/>
  <c r="F15" i="12" s="1"/>
  <c r="G15" i="12" a="1"/>
  <c r="G15" i="12" s="1"/>
  <c r="H15" i="12" a="1"/>
  <c r="H15" i="12"/>
  <c r="I15" i="12" a="1"/>
  <c r="I15" i="12" s="1"/>
  <c r="J15" i="12" a="1"/>
  <c r="J15" i="12" s="1"/>
  <c r="K15" i="12" a="1"/>
  <c r="K15" i="12" s="1"/>
  <c r="L15" i="12" a="1"/>
  <c r="L15" i="12" s="1"/>
  <c r="M15" i="12" a="1"/>
  <c r="M15" i="12"/>
  <c r="N15" i="12" a="1"/>
  <c r="N15" i="12" s="1"/>
  <c r="O15" i="12" a="1"/>
  <c r="O15" i="12" s="1"/>
  <c r="P15" i="12" a="1"/>
  <c r="P15" i="12"/>
  <c r="Q15" i="12" a="1"/>
  <c r="Q15" i="12" s="1"/>
  <c r="B14" i="12"/>
  <c r="C14" i="12" a="1"/>
  <c r="C14" i="12" s="1"/>
  <c r="D14" i="12" a="1"/>
  <c r="D14" i="12"/>
  <c r="F14" i="12" a="1"/>
  <c r="F14" i="12" s="1"/>
  <c r="G14" i="12" a="1"/>
  <c r="G14" i="12"/>
  <c r="H14" i="12" a="1"/>
  <c r="H14" i="12" s="1"/>
  <c r="I14" i="12" a="1"/>
  <c r="I14" i="12" s="1"/>
  <c r="J14" i="12" a="1"/>
  <c r="J14" i="12"/>
  <c r="K14" i="12" a="1"/>
  <c r="K14" i="12"/>
  <c r="L14" i="12" a="1"/>
  <c r="L14" i="12"/>
  <c r="M14" i="12" a="1"/>
  <c r="M14" i="12"/>
  <c r="N14" i="12" a="1"/>
  <c r="N14" i="12" s="1"/>
  <c r="O14" i="12" a="1"/>
  <c r="O14" i="12" s="1"/>
  <c r="P14" i="12" a="1"/>
  <c r="P14" i="12" s="1"/>
  <c r="Q14" i="12" a="1"/>
  <c r="Q14" i="12"/>
  <c r="B13" i="12"/>
  <c r="C13" i="12" a="1"/>
  <c r="C13" i="12" s="1"/>
  <c r="D13" i="12" a="1"/>
  <c r="D13" i="12" s="1"/>
  <c r="F13" i="12" a="1"/>
  <c r="F13" i="12"/>
  <c r="G13" i="12" a="1"/>
  <c r="G13" i="12" s="1"/>
  <c r="H13" i="12" a="1"/>
  <c r="H13" i="12" s="1"/>
  <c r="I13" i="12" a="1"/>
  <c r="I13" i="12" s="1"/>
  <c r="J13" i="12" a="1"/>
  <c r="J13" i="12"/>
  <c r="K13" i="12" a="1"/>
  <c r="K13" i="12" s="1"/>
  <c r="L13" i="12" a="1"/>
  <c r="L13" i="12"/>
  <c r="M13" i="12" a="1"/>
  <c r="M13" i="12" s="1"/>
  <c r="N13" i="12" a="1"/>
  <c r="N13" i="12" s="1"/>
  <c r="O13" i="12" a="1"/>
  <c r="O13" i="12" s="1"/>
  <c r="P13" i="12" a="1"/>
  <c r="P13" i="12" s="1"/>
  <c r="Q13" i="12" a="1"/>
  <c r="Q13" i="12" s="1"/>
  <c r="B12" i="12"/>
  <c r="C12" i="12" a="1"/>
  <c r="C12" i="12" s="1"/>
  <c r="D12" i="12" a="1"/>
  <c r="D12" i="12" s="1"/>
  <c r="F12" i="12" a="1"/>
  <c r="F12" i="12" s="1"/>
  <c r="G12" i="12" a="1"/>
  <c r="G12" i="12" s="1"/>
  <c r="H12" i="12" a="1"/>
  <c r="H12" i="12"/>
  <c r="I12" i="12" a="1"/>
  <c r="I12" i="12" s="1"/>
  <c r="J12" i="12" a="1"/>
  <c r="J12" i="12"/>
  <c r="K12" i="12" a="1"/>
  <c r="K12" i="12"/>
  <c r="L12" i="12" a="1"/>
  <c r="L12" i="12" s="1"/>
  <c r="M12" i="12" a="1"/>
  <c r="M12" i="12" s="1"/>
  <c r="N12" i="12" a="1"/>
  <c r="N12" i="12"/>
  <c r="O12" i="12" a="1"/>
  <c r="O12" i="12" s="1"/>
  <c r="P12" i="12" a="1"/>
  <c r="P12" i="12"/>
  <c r="Q12" i="12" a="1"/>
  <c r="Q12" i="12" s="1"/>
  <c r="B8" i="12"/>
  <c r="E5" i="12"/>
  <c r="C5" i="12"/>
  <c r="B1" i="12"/>
  <c r="B25" i="11"/>
  <c r="C25" i="11" a="1"/>
  <c r="C25" i="11"/>
  <c r="D25" i="11" a="1"/>
  <c r="D25" i="11" s="1"/>
  <c r="F25" i="11" a="1"/>
  <c r="F25" i="11"/>
  <c r="G25" i="11" a="1"/>
  <c r="G25" i="11" s="1"/>
  <c r="H25" i="11" a="1"/>
  <c r="H25" i="11" s="1"/>
  <c r="I25" i="11" a="1"/>
  <c r="I25" i="11"/>
  <c r="J25" i="11" a="1"/>
  <c r="J25" i="11" s="1"/>
  <c r="K25" i="11" a="1"/>
  <c r="K25" i="11" s="1"/>
  <c r="L25" i="11" a="1"/>
  <c r="L25" i="11" s="1"/>
  <c r="M25" i="11" a="1"/>
  <c r="M25" i="11"/>
  <c r="N25" i="11" a="1"/>
  <c r="N25" i="11" s="1"/>
  <c r="O25" i="11" a="1"/>
  <c r="O25" i="11"/>
  <c r="P25" i="11" a="1"/>
  <c r="P25" i="11" s="1"/>
  <c r="Q25" i="11" a="1"/>
  <c r="Q25" i="11" s="1"/>
  <c r="B24" i="11"/>
  <c r="C24" i="11" a="1"/>
  <c r="C24" i="11" s="1"/>
  <c r="D24" i="11" a="1"/>
  <c r="D24" i="11" s="1"/>
  <c r="F24" i="11" a="1"/>
  <c r="F24" i="11" s="1"/>
  <c r="G24" i="11" a="1"/>
  <c r="G24" i="11" s="1"/>
  <c r="H24" i="11" a="1"/>
  <c r="H24" i="11" s="1"/>
  <c r="I24" i="11" a="1"/>
  <c r="I24" i="11"/>
  <c r="J24" i="11" a="1"/>
  <c r="J24" i="11" s="1"/>
  <c r="K24" i="11" a="1"/>
  <c r="K24" i="11" s="1"/>
  <c r="L24" i="11" a="1"/>
  <c r="L24" i="11" s="1"/>
  <c r="M24" i="11" a="1"/>
  <c r="M24" i="11" s="1"/>
  <c r="N24" i="11" a="1"/>
  <c r="N24" i="11" s="1"/>
  <c r="O24" i="11" a="1"/>
  <c r="O24" i="11" s="1"/>
  <c r="P24" i="11" a="1"/>
  <c r="P24" i="11" s="1"/>
  <c r="Q24" i="11" a="1"/>
  <c r="Q24" i="11" s="1"/>
  <c r="B23" i="11"/>
  <c r="C23" i="11" a="1"/>
  <c r="C23" i="11" s="1"/>
  <c r="D23" i="11" a="1"/>
  <c r="D23" i="11"/>
  <c r="F23" i="11" a="1"/>
  <c r="F23" i="11" s="1"/>
  <c r="G23" i="11" a="1"/>
  <c r="G23" i="11" s="1"/>
  <c r="H23" i="11" a="1"/>
  <c r="H23" i="11" s="1"/>
  <c r="I23" i="11" a="1"/>
  <c r="I23" i="11"/>
  <c r="J23" i="11" a="1"/>
  <c r="J23" i="11" s="1"/>
  <c r="K23" i="11" a="1"/>
  <c r="K23" i="11"/>
  <c r="L23" i="11" a="1"/>
  <c r="L23" i="11" s="1"/>
  <c r="M23" i="11" a="1"/>
  <c r="M23" i="11" s="1"/>
  <c r="N23" i="11" a="1"/>
  <c r="N23" i="11"/>
  <c r="O23" i="11" a="1"/>
  <c r="O23" i="11" s="1"/>
  <c r="P23" i="11" a="1"/>
  <c r="P23" i="11" s="1"/>
  <c r="Q23" i="11" a="1"/>
  <c r="Q23" i="11" s="1"/>
  <c r="B22" i="11"/>
  <c r="C22" i="11" a="1"/>
  <c r="C22" i="11" s="1"/>
  <c r="D22" i="11" a="1"/>
  <c r="D22" i="11"/>
  <c r="F22" i="11" a="1"/>
  <c r="F22" i="11" s="1"/>
  <c r="G22" i="11" a="1"/>
  <c r="G22" i="11" s="1"/>
  <c r="H22" i="11" a="1"/>
  <c r="H22" i="11" s="1"/>
  <c r="I22" i="11" a="1"/>
  <c r="I22" i="11" s="1"/>
  <c r="J22" i="11" a="1"/>
  <c r="J22" i="11"/>
  <c r="K22" i="11" a="1"/>
  <c r="K22" i="11" s="1"/>
  <c r="L22" i="11" a="1"/>
  <c r="L22" i="11" s="1"/>
  <c r="M22" i="11" a="1"/>
  <c r="M22" i="11" s="1"/>
  <c r="N22" i="11" a="1"/>
  <c r="N22" i="11" s="1"/>
  <c r="O22" i="11" a="1"/>
  <c r="O22" i="11" s="1"/>
  <c r="P22" i="11" a="1"/>
  <c r="P22" i="11" s="1"/>
  <c r="Q22" i="11" a="1"/>
  <c r="Q22" i="11"/>
  <c r="B21" i="11"/>
  <c r="C21" i="11" a="1"/>
  <c r="C21" i="11" s="1"/>
  <c r="D21" i="11" a="1"/>
  <c r="D21" i="11" s="1"/>
  <c r="F21" i="11" a="1"/>
  <c r="F21" i="11"/>
  <c r="G21" i="11" a="1"/>
  <c r="G21" i="11"/>
  <c r="H21" i="11" a="1"/>
  <c r="H21" i="11"/>
  <c r="I21" i="11" a="1"/>
  <c r="I21" i="11" s="1"/>
  <c r="J21" i="11" a="1"/>
  <c r="J21" i="11" s="1"/>
  <c r="K21" i="11" a="1"/>
  <c r="K21" i="11" s="1"/>
  <c r="L21" i="11" a="1"/>
  <c r="L21" i="11" s="1"/>
  <c r="M21" i="11" a="1"/>
  <c r="M21" i="11" s="1"/>
  <c r="N21" i="11" a="1"/>
  <c r="N21" i="11"/>
  <c r="O21" i="11" a="1"/>
  <c r="O21" i="11" s="1"/>
  <c r="P21" i="11" a="1"/>
  <c r="P21" i="11" s="1"/>
  <c r="Q21" i="11" a="1"/>
  <c r="Q21" i="11"/>
  <c r="B20" i="11"/>
  <c r="C20" i="11" a="1"/>
  <c r="C20" i="11" s="1"/>
  <c r="D20" i="11" a="1"/>
  <c r="D20" i="11" s="1"/>
  <c r="F20" i="11" a="1"/>
  <c r="F20" i="11" s="1"/>
  <c r="G20" i="11" a="1"/>
  <c r="G20" i="11" s="1"/>
  <c r="H20" i="11" a="1"/>
  <c r="H20" i="11" s="1"/>
  <c r="I20" i="11" a="1"/>
  <c r="I20" i="11" s="1"/>
  <c r="J20" i="11" a="1"/>
  <c r="J20" i="11" s="1"/>
  <c r="K20" i="11" a="1"/>
  <c r="K20" i="11" s="1"/>
  <c r="L20" i="11" a="1"/>
  <c r="L20" i="11" s="1"/>
  <c r="M20" i="11" a="1"/>
  <c r="M20" i="11" s="1"/>
  <c r="N20" i="11" a="1"/>
  <c r="N20" i="11" s="1"/>
  <c r="O20" i="11" a="1"/>
  <c r="O20" i="11"/>
  <c r="P20" i="11" a="1"/>
  <c r="P20" i="11" s="1"/>
  <c r="Q20" i="11" a="1"/>
  <c r="Q20" i="11" s="1"/>
  <c r="B19" i="11"/>
  <c r="C19" i="11" a="1"/>
  <c r="C19" i="11"/>
  <c r="D19" i="11" a="1"/>
  <c r="D19" i="11"/>
  <c r="F19" i="11" a="1"/>
  <c r="F19" i="11" s="1"/>
  <c r="G19" i="11" a="1"/>
  <c r="G19" i="11"/>
  <c r="H19" i="11" a="1"/>
  <c r="H19" i="11" s="1"/>
  <c r="I19" i="11" a="1"/>
  <c r="I19" i="11" s="1"/>
  <c r="J19" i="11" a="1"/>
  <c r="J19" i="11"/>
  <c r="K19" i="11" a="1"/>
  <c r="K19" i="11" s="1"/>
  <c r="L19" i="11" a="1"/>
  <c r="L19" i="11"/>
  <c r="M19" i="11" a="1"/>
  <c r="M19" i="11" s="1"/>
  <c r="N19" i="11" a="1"/>
  <c r="N19" i="11"/>
  <c r="O19" i="11" a="1"/>
  <c r="O19" i="11" s="1"/>
  <c r="P19" i="11" a="1"/>
  <c r="P19" i="11" s="1"/>
  <c r="Q19" i="11" a="1"/>
  <c r="Q19" i="11" s="1"/>
  <c r="B18" i="11"/>
  <c r="C18" i="11" a="1"/>
  <c r="C18" i="11" s="1"/>
  <c r="D18" i="11" a="1"/>
  <c r="D18" i="11" s="1"/>
  <c r="F18" i="11" a="1"/>
  <c r="F18" i="11" s="1"/>
  <c r="G18" i="11" a="1"/>
  <c r="G18" i="11" s="1"/>
  <c r="H18" i="11" a="1"/>
  <c r="H18" i="11" s="1"/>
  <c r="I18" i="11" a="1"/>
  <c r="I18" i="11" s="1"/>
  <c r="J18" i="11" a="1"/>
  <c r="J18" i="11" s="1"/>
  <c r="K18" i="11" a="1"/>
  <c r="K18" i="11" s="1"/>
  <c r="L18" i="11" a="1"/>
  <c r="L18" i="11"/>
  <c r="M18" i="11" a="1"/>
  <c r="M18" i="11" s="1"/>
  <c r="N18" i="11" a="1"/>
  <c r="N18" i="11"/>
  <c r="O18" i="11" a="1"/>
  <c r="O18" i="11" s="1"/>
  <c r="P18" i="11" a="1"/>
  <c r="P18" i="11" s="1"/>
  <c r="Q18" i="11" a="1"/>
  <c r="Q18" i="11" s="1"/>
  <c r="B17" i="11"/>
  <c r="C17" i="11" a="1"/>
  <c r="C17" i="11"/>
  <c r="D17" i="11" a="1"/>
  <c r="D17" i="11" s="1"/>
  <c r="F17" i="11" a="1"/>
  <c r="F17" i="11" s="1"/>
  <c r="G17" i="11" a="1"/>
  <c r="G17" i="11"/>
  <c r="H17" i="11" a="1"/>
  <c r="H17" i="11" s="1"/>
  <c r="I17" i="11" a="1"/>
  <c r="I17" i="11"/>
  <c r="J17" i="11" a="1"/>
  <c r="J17" i="11" s="1"/>
  <c r="K17" i="11" a="1"/>
  <c r="K17" i="11" s="1"/>
  <c r="L17" i="11" a="1"/>
  <c r="L17" i="11"/>
  <c r="M17" i="11" a="1"/>
  <c r="M17" i="11"/>
  <c r="N17" i="11" a="1"/>
  <c r="N17" i="11"/>
  <c r="O17" i="11" a="1"/>
  <c r="O17" i="11" s="1"/>
  <c r="P17" i="11" a="1"/>
  <c r="P17" i="11"/>
  <c r="Q17" i="11" a="1"/>
  <c r="Q17" i="11" s="1"/>
  <c r="B16" i="11"/>
  <c r="C16" i="11" a="1"/>
  <c r="C16" i="11" s="1"/>
  <c r="D16" i="11" a="1"/>
  <c r="D16" i="11" s="1"/>
  <c r="F16" i="11" a="1"/>
  <c r="F16" i="11" s="1"/>
  <c r="G16" i="11" a="1"/>
  <c r="G16" i="11" s="1"/>
  <c r="H16" i="11" a="1"/>
  <c r="H16" i="11" s="1"/>
  <c r="I16" i="11" a="1"/>
  <c r="I16" i="11"/>
  <c r="J16" i="11" a="1"/>
  <c r="J16" i="11" s="1"/>
  <c r="K16" i="11" a="1"/>
  <c r="K16" i="11" s="1"/>
  <c r="L16" i="11" a="1"/>
  <c r="L16" i="11" s="1"/>
  <c r="M16" i="11" a="1"/>
  <c r="M16" i="11" s="1"/>
  <c r="N16" i="11" a="1"/>
  <c r="N16" i="11" s="1"/>
  <c r="O16" i="11" a="1"/>
  <c r="O16" i="11" s="1"/>
  <c r="P16" i="11" a="1"/>
  <c r="P16" i="11" s="1"/>
  <c r="Q16" i="11" a="1"/>
  <c r="Q16" i="11" s="1"/>
  <c r="B15" i="11"/>
  <c r="C15" i="11" a="1"/>
  <c r="C15" i="11" s="1"/>
  <c r="D15" i="11" a="1"/>
  <c r="D15" i="11" s="1"/>
  <c r="F15" i="11" a="1"/>
  <c r="F15" i="11" s="1"/>
  <c r="G15" i="11" a="1"/>
  <c r="G15" i="11"/>
  <c r="H15" i="11" a="1"/>
  <c r="H15" i="11" s="1"/>
  <c r="I15" i="11" a="1"/>
  <c r="I15" i="11"/>
  <c r="J15" i="11" a="1"/>
  <c r="J15" i="11"/>
  <c r="K15" i="11" a="1"/>
  <c r="K15" i="11"/>
  <c r="L15" i="11" a="1"/>
  <c r="L15" i="11"/>
  <c r="M15" i="11" a="1"/>
  <c r="M15" i="11" s="1"/>
  <c r="N15" i="11" a="1"/>
  <c r="N15" i="11"/>
  <c r="O15" i="11" a="1"/>
  <c r="O15" i="11" s="1"/>
  <c r="P15" i="11" a="1"/>
  <c r="P15" i="11" s="1"/>
  <c r="Q15" i="11" a="1"/>
  <c r="Q15" i="11" s="1"/>
  <c r="B14" i="11"/>
  <c r="C14" i="11" a="1"/>
  <c r="C14" i="11" s="1"/>
  <c r="D14" i="11" a="1"/>
  <c r="D14" i="11" s="1"/>
  <c r="F14" i="11" a="1"/>
  <c r="F14" i="11" s="1"/>
  <c r="G14" i="11" a="1"/>
  <c r="G14" i="11"/>
  <c r="H14" i="11" a="1"/>
  <c r="H14" i="11" s="1"/>
  <c r="I14" i="11" a="1"/>
  <c r="I14" i="11" s="1"/>
  <c r="J14" i="11" a="1"/>
  <c r="J14" i="11" s="1"/>
  <c r="K14" i="11" a="1"/>
  <c r="K14" i="11" s="1"/>
  <c r="L14" i="11" a="1"/>
  <c r="L14" i="11" s="1"/>
  <c r="M14" i="11" a="1"/>
  <c r="M14" i="11"/>
  <c r="N14" i="11" a="1"/>
  <c r="N14" i="11"/>
  <c r="O14" i="11" a="1"/>
  <c r="O14" i="11"/>
  <c r="P14" i="11" a="1"/>
  <c r="P14" i="11" s="1"/>
  <c r="B13" i="11"/>
  <c r="C13" i="11" a="1"/>
  <c r="C13" i="11" s="1"/>
  <c r="D13" i="11" a="1"/>
  <c r="D13" i="11" s="1"/>
  <c r="F13" i="11" a="1"/>
  <c r="F13" i="11" s="1"/>
  <c r="G13" i="11" a="1"/>
  <c r="G13" i="11" s="1"/>
  <c r="Y31" i="11" s="1"/>
  <c r="H13" i="11" a="1"/>
  <c r="H13" i="11"/>
  <c r="Z31" i="11" s="1"/>
  <c r="I13" i="11" a="1"/>
  <c r="I13" i="11"/>
  <c r="J13" i="11" a="1"/>
  <c r="J13" i="11"/>
  <c r="K13" i="11" a="1"/>
  <c r="K13" i="11" s="1"/>
  <c r="L13" i="11" a="1"/>
  <c r="L13" i="11" s="1"/>
  <c r="M13" i="11" a="1"/>
  <c r="M13" i="11" s="1"/>
  <c r="N13" i="11" a="1"/>
  <c r="N13" i="11" s="1"/>
  <c r="O13" i="11" a="1"/>
  <c r="O13" i="11"/>
  <c r="P13" i="11" a="1"/>
  <c r="P13" i="11" s="1"/>
  <c r="Q13" i="11" a="1"/>
  <c r="Q13" i="11" s="1"/>
  <c r="B12" i="11"/>
  <c r="C12" i="11" a="1"/>
  <c r="C12" i="11" s="1"/>
  <c r="D12" i="11" a="1"/>
  <c r="D12" i="11"/>
  <c r="S30" i="11" s="1"/>
  <c r="F12" i="11" a="1"/>
  <c r="F12" i="11" s="1"/>
  <c r="X30" i="11" s="1"/>
  <c r="G12" i="11" a="1"/>
  <c r="G12" i="11" s="1"/>
  <c r="H12" i="11" a="1"/>
  <c r="H12" i="11" s="1"/>
  <c r="Z30" i="11" s="1"/>
  <c r="I12" i="11" a="1"/>
  <c r="I12" i="11" s="1"/>
  <c r="J12" i="11" a="1"/>
  <c r="J12" i="11" s="1"/>
  <c r="K12" i="11" a="1"/>
  <c r="K12" i="11" s="1"/>
  <c r="L12" i="11" a="1"/>
  <c r="L12" i="11" s="1"/>
  <c r="M12" i="11" a="1"/>
  <c r="M12" i="11" s="1"/>
  <c r="N12" i="11" a="1"/>
  <c r="N12" i="11" s="1"/>
  <c r="O12" i="11" a="1"/>
  <c r="O12" i="11" s="1"/>
  <c r="P12" i="11" a="1"/>
  <c r="P12" i="11"/>
  <c r="Q12" i="11" a="1"/>
  <c r="Q12" i="11" s="1"/>
  <c r="B8" i="11"/>
  <c r="P5" i="11"/>
  <c r="N5" i="11" a="1"/>
  <c r="N5" i="11" s="1"/>
  <c r="E5" i="11"/>
  <c r="C5" i="11"/>
  <c r="B1" i="11"/>
  <c r="B25" i="9"/>
  <c r="C25" i="9" a="1"/>
  <c r="C25" i="9" s="1"/>
  <c r="D25" i="9" a="1"/>
  <c r="D25" i="9"/>
  <c r="F25" i="9" a="1"/>
  <c r="F25" i="9" s="1"/>
  <c r="G25" i="9" a="1"/>
  <c r="G25" i="9" s="1"/>
  <c r="H25" i="9" a="1"/>
  <c r="H25" i="9" s="1"/>
  <c r="I25" i="9" a="1"/>
  <c r="I25" i="9" s="1"/>
  <c r="J25" i="9" a="1"/>
  <c r="J25" i="9" s="1"/>
  <c r="K25" i="9" a="1"/>
  <c r="K25" i="9" s="1"/>
  <c r="L25" i="9" a="1"/>
  <c r="L25" i="9" s="1"/>
  <c r="M25" i="9" a="1"/>
  <c r="M25" i="9" s="1"/>
  <c r="N25" i="9" a="1"/>
  <c r="N25" i="9" s="1"/>
  <c r="O25" i="9" a="1"/>
  <c r="O25" i="9" s="1"/>
  <c r="P25" i="9" a="1"/>
  <c r="P25" i="9" s="1"/>
  <c r="Q25" i="9" a="1"/>
  <c r="Q25" i="9" s="1"/>
  <c r="B24" i="9"/>
  <c r="C24" i="9" a="1"/>
  <c r="C24" i="9"/>
  <c r="D24" i="9" a="1"/>
  <c r="D24" i="9" s="1"/>
  <c r="F24" i="9" a="1"/>
  <c r="F24" i="9" s="1"/>
  <c r="G24" i="9" a="1"/>
  <c r="G24" i="9" s="1"/>
  <c r="H24" i="9" a="1"/>
  <c r="H24" i="9" s="1"/>
  <c r="I24" i="9" a="1"/>
  <c r="I24" i="9" s="1"/>
  <c r="J24" i="9" a="1"/>
  <c r="J24" i="9" s="1"/>
  <c r="K24" i="9" a="1"/>
  <c r="K24" i="9" s="1"/>
  <c r="L24" i="9" a="1"/>
  <c r="L24" i="9" s="1"/>
  <c r="M24" i="9" a="1"/>
  <c r="M24" i="9" s="1"/>
  <c r="N24" i="9" a="1"/>
  <c r="N24" i="9" s="1"/>
  <c r="O24" i="9" a="1"/>
  <c r="O24" i="9" s="1"/>
  <c r="P24" i="9" a="1"/>
  <c r="P24" i="9" s="1"/>
  <c r="Q24" i="9" a="1"/>
  <c r="Q24" i="9"/>
  <c r="B23" i="9"/>
  <c r="C23" i="9" a="1"/>
  <c r="C23" i="9" s="1"/>
  <c r="D23" i="9" a="1"/>
  <c r="D23" i="9" s="1"/>
  <c r="F23" i="9" a="1"/>
  <c r="F23" i="9" s="1"/>
  <c r="G23" i="9" a="1"/>
  <c r="G23" i="9"/>
  <c r="H23" i="9" a="1"/>
  <c r="H23" i="9"/>
  <c r="I23" i="9" a="1"/>
  <c r="I23" i="9" s="1"/>
  <c r="J23" i="9" a="1"/>
  <c r="J23" i="9" s="1"/>
  <c r="K23" i="9" a="1"/>
  <c r="K23" i="9" s="1"/>
  <c r="L23" i="9" a="1"/>
  <c r="L23" i="9" s="1"/>
  <c r="M23" i="9" a="1"/>
  <c r="M23" i="9" s="1"/>
  <c r="N23" i="9" a="1"/>
  <c r="N23" i="9" s="1"/>
  <c r="O23" i="9" a="1"/>
  <c r="O23" i="9" s="1"/>
  <c r="P23" i="9" a="1"/>
  <c r="P23" i="9" s="1"/>
  <c r="Q23" i="9" a="1"/>
  <c r="Q23" i="9" s="1"/>
  <c r="B22" i="9"/>
  <c r="C22" i="9" a="1"/>
  <c r="C22" i="9"/>
  <c r="D22" i="9" a="1"/>
  <c r="D22" i="9" s="1"/>
  <c r="F22" i="9" a="1"/>
  <c r="F22" i="9" s="1"/>
  <c r="G22" i="9" a="1"/>
  <c r="G22" i="9" s="1"/>
  <c r="H22" i="9" a="1"/>
  <c r="H22" i="9" s="1"/>
  <c r="I22" i="9" a="1"/>
  <c r="I22" i="9" s="1"/>
  <c r="J22" i="9" a="1"/>
  <c r="J22" i="9"/>
  <c r="K22" i="9" a="1"/>
  <c r="K22" i="9" s="1"/>
  <c r="L22" i="9" a="1"/>
  <c r="L22" i="9" s="1"/>
  <c r="M22" i="9" a="1"/>
  <c r="M22" i="9" s="1"/>
  <c r="N22" i="9" a="1"/>
  <c r="N22" i="9" s="1"/>
  <c r="O22" i="9" a="1"/>
  <c r="O22" i="9" s="1"/>
  <c r="P22" i="9" a="1"/>
  <c r="P22" i="9" s="1"/>
  <c r="Q22" i="9" a="1"/>
  <c r="Q22" i="9" s="1"/>
  <c r="B21" i="9"/>
  <c r="C21" i="9" a="1"/>
  <c r="C21" i="9" s="1"/>
  <c r="D21" i="9" a="1"/>
  <c r="D21" i="9" s="1"/>
  <c r="F21" i="9" a="1"/>
  <c r="F21" i="9" s="1"/>
  <c r="G21" i="9" a="1"/>
  <c r="G21" i="9" s="1"/>
  <c r="H21" i="9" a="1"/>
  <c r="H21" i="9" s="1"/>
  <c r="I21" i="9" a="1"/>
  <c r="I21" i="9"/>
  <c r="J21" i="9" a="1"/>
  <c r="J21" i="9" s="1"/>
  <c r="K21" i="9" a="1"/>
  <c r="K21" i="9" s="1"/>
  <c r="L21" i="9" a="1"/>
  <c r="L21" i="9"/>
  <c r="M21" i="9" a="1"/>
  <c r="M21" i="9" s="1"/>
  <c r="N21" i="9" a="1"/>
  <c r="N21" i="9" s="1"/>
  <c r="O21" i="9" a="1"/>
  <c r="O21" i="9" s="1"/>
  <c r="P21" i="9" a="1"/>
  <c r="P21" i="9" s="1"/>
  <c r="Q21" i="9" a="1"/>
  <c r="Q21" i="9" s="1"/>
  <c r="B20" i="9"/>
  <c r="C20" i="9" a="1"/>
  <c r="C20" i="9" s="1"/>
  <c r="D20" i="9" a="1"/>
  <c r="D20" i="9" s="1"/>
  <c r="F20" i="9" a="1"/>
  <c r="F20" i="9" s="1"/>
  <c r="G20" i="9" a="1"/>
  <c r="G20" i="9" s="1"/>
  <c r="H20" i="9" a="1"/>
  <c r="H20" i="9"/>
  <c r="I20" i="9" a="1"/>
  <c r="I20" i="9" s="1"/>
  <c r="J20" i="9" a="1"/>
  <c r="J20" i="9"/>
  <c r="K20" i="9" a="1"/>
  <c r="K20" i="9" s="1"/>
  <c r="L20" i="9" a="1"/>
  <c r="L20" i="9" s="1"/>
  <c r="M20" i="9" a="1"/>
  <c r="M20" i="9" s="1"/>
  <c r="N20" i="9" a="1"/>
  <c r="N20" i="9"/>
  <c r="O20" i="9" a="1"/>
  <c r="O20" i="9"/>
  <c r="P20" i="9" a="1"/>
  <c r="P20" i="9"/>
  <c r="Q20" i="9" a="1"/>
  <c r="Q20" i="9" s="1"/>
  <c r="B19" i="9"/>
  <c r="C19" i="9" a="1"/>
  <c r="C19" i="9" s="1"/>
  <c r="D19" i="9" a="1"/>
  <c r="D19" i="9" s="1"/>
  <c r="F19" i="9" a="1"/>
  <c r="F19" i="9"/>
  <c r="G19" i="9" a="1"/>
  <c r="G19" i="9" s="1"/>
  <c r="H19" i="9" a="1"/>
  <c r="H19" i="9"/>
  <c r="I19" i="9" a="1"/>
  <c r="I19" i="9"/>
  <c r="J19" i="9" a="1"/>
  <c r="J19" i="9" s="1"/>
  <c r="K19" i="9" a="1"/>
  <c r="K19" i="9" s="1"/>
  <c r="L19" i="9" a="1"/>
  <c r="L19" i="9" s="1"/>
  <c r="M19" i="9" a="1"/>
  <c r="M19" i="9" s="1"/>
  <c r="N19" i="9" a="1"/>
  <c r="N19" i="9" s="1"/>
  <c r="O19" i="9" a="1"/>
  <c r="O19" i="9" s="1"/>
  <c r="P19" i="9" a="1"/>
  <c r="P19" i="9" s="1"/>
  <c r="Q19" i="9" a="1"/>
  <c r="Q19" i="9" s="1"/>
  <c r="B18" i="9"/>
  <c r="C18" i="9" a="1"/>
  <c r="C18" i="9" s="1"/>
  <c r="D18" i="9" a="1"/>
  <c r="D18" i="9" s="1"/>
  <c r="F18" i="9" a="1"/>
  <c r="F18" i="9" s="1"/>
  <c r="G18" i="9" a="1"/>
  <c r="G18" i="9" s="1"/>
  <c r="H18" i="9" a="1"/>
  <c r="H18" i="9" s="1"/>
  <c r="I18" i="9" a="1"/>
  <c r="I18" i="9" s="1"/>
  <c r="J18" i="9" a="1"/>
  <c r="J18" i="9" s="1"/>
  <c r="K18" i="9" a="1"/>
  <c r="K18" i="9" s="1"/>
  <c r="L18" i="9" a="1"/>
  <c r="L18" i="9" s="1"/>
  <c r="M18" i="9" a="1"/>
  <c r="M18" i="9" s="1"/>
  <c r="N18" i="9" a="1"/>
  <c r="N18" i="9" s="1"/>
  <c r="O18" i="9" a="1"/>
  <c r="O18" i="9" s="1"/>
  <c r="P18" i="9" a="1"/>
  <c r="P18" i="9"/>
  <c r="Q18" i="9" a="1"/>
  <c r="Q18" i="9" s="1"/>
  <c r="B17" i="9"/>
  <c r="C17" i="9" a="1"/>
  <c r="C17" i="9" s="1"/>
  <c r="D17" i="9" a="1"/>
  <c r="D17" i="9" s="1"/>
  <c r="F17" i="9" a="1"/>
  <c r="F17" i="9" s="1"/>
  <c r="G17" i="9" a="1"/>
  <c r="G17" i="9" s="1"/>
  <c r="H17" i="9" a="1"/>
  <c r="H17" i="9" s="1"/>
  <c r="I17" i="9" a="1"/>
  <c r="I17" i="9" s="1"/>
  <c r="J17" i="9" a="1"/>
  <c r="J17" i="9" s="1"/>
  <c r="K17" i="9" a="1"/>
  <c r="K17" i="9" s="1"/>
  <c r="L17" i="9" a="1"/>
  <c r="L17" i="9" s="1"/>
  <c r="M17" i="9" a="1"/>
  <c r="M17" i="9" s="1"/>
  <c r="N17" i="9" a="1"/>
  <c r="N17" i="9" s="1"/>
  <c r="O17" i="9" a="1"/>
  <c r="O17" i="9" s="1"/>
  <c r="P17" i="9" a="1"/>
  <c r="P17" i="9" s="1"/>
  <c r="Q17" i="9" a="1"/>
  <c r="Q17" i="9" s="1"/>
  <c r="B16" i="9"/>
  <c r="C16" i="9" a="1"/>
  <c r="C16" i="9" s="1"/>
  <c r="D16" i="9" a="1"/>
  <c r="D16" i="9"/>
  <c r="F16" i="9" a="1"/>
  <c r="F16" i="9"/>
  <c r="G16" i="9" a="1"/>
  <c r="G16" i="9"/>
  <c r="H16" i="9" a="1"/>
  <c r="H16" i="9" s="1"/>
  <c r="I16" i="9" a="1"/>
  <c r="I16" i="9" s="1"/>
  <c r="J16" i="9" a="1"/>
  <c r="J16" i="9" s="1"/>
  <c r="K16" i="9" a="1"/>
  <c r="K16" i="9" s="1"/>
  <c r="L16" i="9" a="1"/>
  <c r="L16" i="9" s="1"/>
  <c r="M16" i="9" a="1"/>
  <c r="M16" i="9"/>
  <c r="N16" i="9" a="1"/>
  <c r="N16" i="9" s="1"/>
  <c r="O16" i="9" a="1"/>
  <c r="O16" i="9" s="1"/>
  <c r="P16" i="9" a="1"/>
  <c r="P16" i="9" s="1"/>
  <c r="Q16" i="9" a="1"/>
  <c r="Q16" i="9" s="1"/>
  <c r="B15" i="9"/>
  <c r="C15" i="9" a="1"/>
  <c r="C15" i="9" s="1"/>
  <c r="D15" i="9" a="1"/>
  <c r="D15" i="9" s="1"/>
  <c r="F15" i="9" a="1"/>
  <c r="F15" i="9" s="1"/>
  <c r="G15" i="9" a="1"/>
  <c r="G15" i="9" s="1"/>
  <c r="H15" i="9" a="1"/>
  <c r="H15" i="9" s="1"/>
  <c r="I15" i="9" a="1"/>
  <c r="I15" i="9" s="1"/>
  <c r="J15" i="9" a="1"/>
  <c r="J15" i="9" s="1"/>
  <c r="K15" i="9" a="1"/>
  <c r="K15" i="9" s="1"/>
  <c r="L15" i="9" a="1"/>
  <c r="L15" i="9" s="1"/>
  <c r="M15" i="9" a="1"/>
  <c r="M15" i="9" s="1"/>
  <c r="N15" i="9" a="1"/>
  <c r="N15" i="9"/>
  <c r="O15" i="9" a="1"/>
  <c r="O15" i="9" s="1"/>
  <c r="P15" i="9" a="1"/>
  <c r="P15" i="9" s="1"/>
  <c r="Q15" i="9" a="1"/>
  <c r="Q15" i="9"/>
  <c r="B14" i="9"/>
  <c r="C14" i="9" a="1"/>
  <c r="C14" i="9" s="1"/>
  <c r="D14" i="9" a="1"/>
  <c r="D14" i="9"/>
  <c r="S32" i="9" s="1"/>
  <c r="F14" i="9" a="1"/>
  <c r="F14" i="9" s="1"/>
  <c r="U32" i="9" s="1"/>
  <c r="G14" i="9" a="1"/>
  <c r="G14" i="9" s="1"/>
  <c r="H14" i="9" a="1"/>
  <c r="H14" i="9" s="1"/>
  <c r="W32" i="9" s="1"/>
  <c r="I14" i="9" a="1"/>
  <c r="I14" i="9" s="1"/>
  <c r="J14" i="9" a="1"/>
  <c r="J14" i="9"/>
  <c r="K14" i="9" a="1"/>
  <c r="K14" i="9" s="1"/>
  <c r="L14" i="9" a="1"/>
  <c r="L14" i="9" s="1"/>
  <c r="M14" i="9" a="1"/>
  <c r="M14" i="9" s="1"/>
  <c r="N14" i="9" a="1"/>
  <c r="N14" i="9" s="1"/>
  <c r="O14" i="9" a="1"/>
  <c r="O14" i="9" s="1"/>
  <c r="P14" i="9" a="1"/>
  <c r="P14" i="9" s="1"/>
  <c r="Q14" i="9" a="1"/>
  <c r="Q14" i="9"/>
  <c r="B13" i="9"/>
  <c r="C13" i="9" a="1"/>
  <c r="C13" i="9" s="1"/>
  <c r="D13" i="9" a="1"/>
  <c r="D13" i="9" s="1"/>
  <c r="S31" i="9" s="1"/>
  <c r="F13" i="9" a="1"/>
  <c r="F13" i="9" s="1"/>
  <c r="G13" i="9" a="1"/>
  <c r="G13" i="9" s="1"/>
  <c r="H13" i="9" a="1"/>
  <c r="H13" i="9" s="1"/>
  <c r="Z31" i="9" s="1"/>
  <c r="I13" i="9" a="1"/>
  <c r="I13" i="9" s="1"/>
  <c r="J13" i="9" a="1"/>
  <c r="J13" i="9" s="1"/>
  <c r="K13" i="9" a="1"/>
  <c r="K13" i="9" s="1"/>
  <c r="L13" i="9" a="1"/>
  <c r="L13" i="9" s="1"/>
  <c r="M13" i="9" a="1"/>
  <c r="M13" i="9" s="1"/>
  <c r="N13" i="9" a="1"/>
  <c r="N13" i="9" s="1"/>
  <c r="O13" i="9" a="1"/>
  <c r="O13" i="9" s="1"/>
  <c r="P13" i="9" a="1"/>
  <c r="P13" i="9" s="1"/>
  <c r="Q13" i="9" a="1"/>
  <c r="Q13" i="9" s="1"/>
  <c r="B12" i="9"/>
  <c r="C12" i="9" a="1"/>
  <c r="C12" i="9"/>
  <c r="D12" i="9" a="1"/>
  <c r="D12" i="9"/>
  <c r="S30" i="9" s="1"/>
  <c r="F12" i="9" a="1"/>
  <c r="F12" i="9"/>
  <c r="G12" i="9" a="1"/>
  <c r="G12" i="9" s="1"/>
  <c r="H12" i="9" a="1"/>
  <c r="H12" i="9" s="1"/>
  <c r="I12" i="9" a="1"/>
  <c r="I12" i="9"/>
  <c r="J12" i="9" a="1"/>
  <c r="J12" i="9"/>
  <c r="K12" i="9" a="1"/>
  <c r="K12" i="9"/>
  <c r="L12" i="9" a="1"/>
  <c r="L12" i="9" s="1"/>
  <c r="M12" i="9" a="1"/>
  <c r="M12" i="9" s="1"/>
  <c r="N12" i="9" a="1"/>
  <c r="N12" i="9"/>
  <c r="O12" i="9" a="1"/>
  <c r="O12" i="9"/>
  <c r="P12" i="9" a="1"/>
  <c r="P12" i="9"/>
  <c r="Q12" i="9" a="1"/>
  <c r="Q12" i="9"/>
  <c r="B8" i="9"/>
  <c r="E5" i="9"/>
  <c r="C5" i="9"/>
  <c r="B1" i="9"/>
  <c r="B25" i="7"/>
  <c r="C25" i="7" a="1"/>
  <c r="C25" i="7" s="1"/>
  <c r="D25" i="7" a="1"/>
  <c r="D25" i="7" s="1"/>
  <c r="F25" i="7" a="1"/>
  <c r="F25" i="7" s="1"/>
  <c r="G25" i="7" a="1"/>
  <c r="G25" i="7" s="1"/>
  <c r="H25" i="7" a="1"/>
  <c r="H25" i="7" s="1"/>
  <c r="I25" i="7" a="1"/>
  <c r="I25" i="7" s="1"/>
  <c r="J25" i="7" a="1"/>
  <c r="J25" i="7" s="1"/>
  <c r="K25" i="7" a="1"/>
  <c r="K25" i="7" s="1"/>
  <c r="L25" i="7" a="1"/>
  <c r="L25" i="7"/>
  <c r="M25" i="7" a="1"/>
  <c r="M25" i="7"/>
  <c r="N25" i="7" a="1"/>
  <c r="N25" i="7"/>
  <c r="O25" i="7" a="1"/>
  <c r="O25" i="7" s="1"/>
  <c r="P25" i="7" a="1"/>
  <c r="P25" i="7"/>
  <c r="Q25" i="7" a="1"/>
  <c r="Q25" i="7"/>
  <c r="B24" i="7"/>
  <c r="C24" i="7" a="1"/>
  <c r="C24" i="7" s="1"/>
  <c r="D24" i="7" a="1"/>
  <c r="D24" i="7" s="1"/>
  <c r="F24" i="7" a="1"/>
  <c r="F24" i="7"/>
  <c r="G24" i="7" a="1"/>
  <c r="G24" i="7" s="1"/>
  <c r="H24" i="7" a="1"/>
  <c r="H24" i="7" s="1"/>
  <c r="I24" i="7" a="1"/>
  <c r="I24" i="7" s="1"/>
  <c r="J24" i="7" a="1"/>
  <c r="J24" i="7" s="1"/>
  <c r="K24" i="7" a="1"/>
  <c r="K24" i="7" s="1"/>
  <c r="L24" i="7" a="1"/>
  <c r="L24" i="7" s="1"/>
  <c r="M24" i="7" a="1"/>
  <c r="M24" i="7" s="1"/>
  <c r="N24" i="7" a="1"/>
  <c r="N24" i="7" s="1"/>
  <c r="O24" i="7" a="1"/>
  <c r="O24" i="7" s="1"/>
  <c r="P24" i="7" a="1"/>
  <c r="P24" i="7" s="1"/>
  <c r="Q24" i="7" a="1"/>
  <c r="Q24" i="7" s="1"/>
  <c r="B23" i="7"/>
  <c r="C23" i="7" a="1"/>
  <c r="C23" i="7" s="1"/>
  <c r="D23" i="7" a="1"/>
  <c r="D23" i="7"/>
  <c r="F23" i="7" a="1"/>
  <c r="F23" i="7" s="1"/>
  <c r="G23" i="7" a="1"/>
  <c r="G23" i="7"/>
  <c r="H23" i="7" a="1"/>
  <c r="H23" i="7"/>
  <c r="I23" i="7" a="1"/>
  <c r="I23" i="7"/>
  <c r="J23" i="7" a="1"/>
  <c r="J23" i="7" s="1"/>
  <c r="K23" i="7" a="1"/>
  <c r="K23" i="7" s="1"/>
  <c r="L23" i="7" a="1"/>
  <c r="L23" i="7" s="1"/>
  <c r="M23" i="7" a="1"/>
  <c r="M23" i="7"/>
  <c r="N23" i="7" a="1"/>
  <c r="N23" i="7" s="1"/>
  <c r="O23" i="7" a="1"/>
  <c r="O23" i="7" s="1"/>
  <c r="P23" i="7" a="1"/>
  <c r="P23" i="7" s="1"/>
  <c r="Q23" i="7" a="1"/>
  <c r="Q23" i="7" s="1"/>
  <c r="B22" i="7"/>
  <c r="C22" i="7" a="1"/>
  <c r="C22" i="7" s="1"/>
  <c r="D22" i="7" a="1"/>
  <c r="D22" i="7" s="1"/>
  <c r="F22" i="7" a="1"/>
  <c r="F22" i="7" s="1"/>
  <c r="G22" i="7" a="1"/>
  <c r="G22" i="7" s="1"/>
  <c r="H22" i="7" a="1"/>
  <c r="H22" i="7" s="1"/>
  <c r="I22" i="7" a="1"/>
  <c r="I22" i="7" s="1"/>
  <c r="J22" i="7" a="1"/>
  <c r="J22" i="7" s="1"/>
  <c r="K22" i="7" a="1"/>
  <c r="K22" i="7" s="1"/>
  <c r="L22" i="7" a="1"/>
  <c r="L22" i="7" s="1"/>
  <c r="M22" i="7" a="1"/>
  <c r="M22" i="7" s="1"/>
  <c r="N22" i="7" a="1"/>
  <c r="N22" i="7" s="1"/>
  <c r="O22" i="7" a="1"/>
  <c r="O22" i="7" s="1"/>
  <c r="P22" i="7" a="1"/>
  <c r="P22" i="7" s="1"/>
  <c r="Q22" i="7" a="1"/>
  <c r="Q22" i="7"/>
  <c r="B21" i="7"/>
  <c r="C21" i="7" a="1"/>
  <c r="C21" i="7"/>
  <c r="D21" i="7" a="1"/>
  <c r="D21" i="7"/>
  <c r="F21" i="7" a="1"/>
  <c r="F21" i="7"/>
  <c r="G21" i="7" a="1"/>
  <c r="G21" i="7"/>
  <c r="H21" i="7" a="1"/>
  <c r="H21" i="7" s="1"/>
  <c r="I21" i="7" a="1"/>
  <c r="I21" i="7" s="1"/>
  <c r="J21" i="7" a="1"/>
  <c r="J21" i="7"/>
  <c r="K21" i="7" a="1"/>
  <c r="K21" i="7"/>
  <c r="L21" i="7" a="1"/>
  <c r="L21" i="7" s="1"/>
  <c r="M21" i="7" a="1"/>
  <c r="M21" i="7" s="1"/>
  <c r="N21" i="7" a="1"/>
  <c r="N21" i="7" s="1"/>
  <c r="O21" i="7" a="1"/>
  <c r="O21" i="7"/>
  <c r="P21" i="7" a="1"/>
  <c r="P21" i="7" s="1"/>
  <c r="Q21" i="7" a="1"/>
  <c r="Q21" i="7" s="1"/>
  <c r="B20" i="7"/>
  <c r="C20" i="7" a="1"/>
  <c r="C20" i="7" s="1"/>
  <c r="D20" i="7" a="1"/>
  <c r="D20" i="7" s="1"/>
  <c r="F20" i="7" a="1"/>
  <c r="F20" i="7" s="1"/>
  <c r="G20" i="7" a="1"/>
  <c r="G20" i="7"/>
  <c r="H20" i="7" a="1"/>
  <c r="H20" i="7" s="1"/>
  <c r="I20" i="7" a="1"/>
  <c r="I20" i="7" s="1"/>
  <c r="J20" i="7" a="1"/>
  <c r="J20" i="7" s="1"/>
  <c r="K20" i="7" a="1"/>
  <c r="K20" i="7" s="1"/>
  <c r="L20" i="7" a="1"/>
  <c r="L20" i="7" s="1"/>
  <c r="M20" i="7" a="1"/>
  <c r="M20" i="7" s="1"/>
  <c r="N20" i="7" a="1"/>
  <c r="N20" i="7" s="1"/>
  <c r="O20" i="7" a="1"/>
  <c r="O20" i="7" s="1"/>
  <c r="P20" i="7" a="1"/>
  <c r="P20" i="7" s="1"/>
  <c r="Q20" i="7" a="1"/>
  <c r="Q20" i="7" s="1"/>
  <c r="B19" i="7"/>
  <c r="C19" i="7" a="1"/>
  <c r="C19" i="7"/>
  <c r="D19" i="7" a="1"/>
  <c r="D19" i="7"/>
  <c r="F19" i="7" a="1"/>
  <c r="F19" i="7" s="1"/>
  <c r="G19" i="7" a="1"/>
  <c r="G19" i="7"/>
  <c r="H19" i="7" a="1"/>
  <c r="H19" i="7"/>
  <c r="I19" i="7" a="1"/>
  <c r="I19" i="7"/>
  <c r="J19" i="7" a="1"/>
  <c r="J19" i="7" s="1"/>
  <c r="K19" i="7" a="1"/>
  <c r="K19" i="7" s="1"/>
  <c r="L19" i="7" a="1"/>
  <c r="L19" i="7" s="1"/>
  <c r="M19" i="7" a="1"/>
  <c r="M19" i="7" s="1"/>
  <c r="N19" i="7" a="1"/>
  <c r="N19" i="7"/>
  <c r="O19" i="7" a="1"/>
  <c r="O19" i="7" s="1"/>
  <c r="P19" i="7" a="1"/>
  <c r="P19" i="7" s="1"/>
  <c r="Q19" i="7" a="1"/>
  <c r="Q19" i="7" s="1"/>
  <c r="B18" i="7"/>
  <c r="C18" i="7" a="1"/>
  <c r="C18" i="7" s="1"/>
  <c r="D18" i="7" a="1"/>
  <c r="D18" i="7"/>
  <c r="F18" i="7" a="1"/>
  <c r="F18" i="7" s="1"/>
  <c r="G18" i="7" a="1"/>
  <c r="G18" i="7" s="1"/>
  <c r="H18" i="7" a="1"/>
  <c r="H18" i="7" s="1"/>
  <c r="I18" i="7" a="1"/>
  <c r="I18" i="7" s="1"/>
  <c r="J18" i="7" a="1"/>
  <c r="J18" i="7" s="1"/>
  <c r="K18" i="7" a="1"/>
  <c r="K18" i="7"/>
  <c r="L18" i="7" a="1"/>
  <c r="L18" i="7" s="1"/>
  <c r="M18" i="7" a="1"/>
  <c r="M18" i="7" s="1"/>
  <c r="N18" i="7" a="1"/>
  <c r="N18" i="7" s="1"/>
  <c r="O18" i="7" a="1"/>
  <c r="O18" i="7" s="1"/>
  <c r="P18" i="7" a="1"/>
  <c r="P18" i="7" s="1"/>
  <c r="Q18" i="7" a="1"/>
  <c r="Q18" i="7" s="1"/>
  <c r="B17" i="7"/>
  <c r="C17" i="7" a="1"/>
  <c r="C17" i="7" s="1"/>
  <c r="D17" i="7" a="1"/>
  <c r="D17" i="7" s="1"/>
  <c r="F17" i="7" a="1"/>
  <c r="F17" i="7" s="1"/>
  <c r="G17" i="7" a="1"/>
  <c r="G17" i="7"/>
  <c r="H17" i="7" a="1"/>
  <c r="H17" i="7"/>
  <c r="I17" i="7" a="1"/>
  <c r="I17" i="7" s="1"/>
  <c r="J17" i="7" a="1"/>
  <c r="J17" i="7" s="1"/>
  <c r="K17" i="7" a="1"/>
  <c r="K17" i="7"/>
  <c r="L17" i="7" a="1"/>
  <c r="L17" i="7"/>
  <c r="M17" i="7" a="1"/>
  <c r="M17" i="7"/>
  <c r="N17" i="7" a="1"/>
  <c r="N17" i="7" s="1"/>
  <c r="O17" i="7" a="1"/>
  <c r="O17" i="7" s="1"/>
  <c r="P17" i="7" a="1"/>
  <c r="P17" i="7" s="1"/>
  <c r="Q17" i="7" a="1"/>
  <c r="Q17" i="7" s="1"/>
  <c r="B16" i="7"/>
  <c r="C16" i="7" a="1"/>
  <c r="C16" i="7" s="1"/>
  <c r="D16" i="7" a="1"/>
  <c r="D16" i="7" s="1"/>
  <c r="F16" i="7" a="1"/>
  <c r="F16" i="7" s="1"/>
  <c r="G16" i="7" a="1"/>
  <c r="G16" i="7" s="1"/>
  <c r="H16" i="7" a="1"/>
  <c r="H16" i="7"/>
  <c r="I16" i="7" a="1"/>
  <c r="I16" i="7" s="1"/>
  <c r="J16" i="7" a="1"/>
  <c r="J16" i="7" s="1"/>
  <c r="K16" i="7" a="1"/>
  <c r="K16" i="7" s="1"/>
  <c r="L16" i="7" a="1"/>
  <c r="L16" i="7" s="1"/>
  <c r="M16" i="7" a="1"/>
  <c r="M16" i="7" s="1"/>
  <c r="N16" i="7" a="1"/>
  <c r="N16" i="7" s="1"/>
  <c r="O16" i="7" a="1"/>
  <c r="O16" i="7"/>
  <c r="P16" i="7" a="1"/>
  <c r="P16" i="7" s="1"/>
  <c r="Q16" i="7" a="1"/>
  <c r="Q16" i="7" s="1"/>
  <c r="B15" i="7"/>
  <c r="C15" i="7" a="1"/>
  <c r="C15" i="7" s="1"/>
  <c r="D15" i="7" a="1"/>
  <c r="D15" i="7" s="1"/>
  <c r="F15" i="7" a="1"/>
  <c r="F15" i="7"/>
  <c r="G15" i="7" a="1"/>
  <c r="G15" i="7" s="1"/>
  <c r="H15" i="7" a="1"/>
  <c r="H15" i="7"/>
  <c r="I15" i="7" a="1"/>
  <c r="I15" i="7"/>
  <c r="J15" i="7" a="1"/>
  <c r="J15" i="7"/>
  <c r="K15" i="7" a="1"/>
  <c r="K15" i="7"/>
  <c r="L15" i="7" a="1"/>
  <c r="L15" i="7"/>
  <c r="M15" i="7" a="1"/>
  <c r="M15" i="7" s="1"/>
  <c r="N15" i="7" a="1"/>
  <c r="N15" i="7" s="1"/>
  <c r="O15" i="7" a="1"/>
  <c r="O15" i="7"/>
  <c r="P15" i="7" a="1"/>
  <c r="P15" i="7"/>
  <c r="Q15" i="7" a="1"/>
  <c r="Q15" i="7" s="1"/>
  <c r="B14" i="7"/>
  <c r="C14" i="7" a="1"/>
  <c r="C14" i="7" s="1"/>
  <c r="D14" i="7" a="1"/>
  <c r="D14" i="7" s="1"/>
  <c r="S32" i="7" s="1"/>
  <c r="F14" i="7" a="1"/>
  <c r="F14" i="7" s="1"/>
  <c r="G14" i="7" a="1"/>
  <c r="G14" i="7" s="1"/>
  <c r="H14" i="7" a="1"/>
  <c r="H14" i="7" s="1"/>
  <c r="I14" i="7" a="1"/>
  <c r="I14" i="7" s="1"/>
  <c r="J14" i="7" a="1"/>
  <c r="J14" i="7" s="1"/>
  <c r="K14" i="7" a="1"/>
  <c r="K14" i="7" s="1"/>
  <c r="L14" i="7" a="1"/>
  <c r="L14" i="7" s="1"/>
  <c r="M14" i="7" a="1"/>
  <c r="M14" i="7" s="1"/>
  <c r="N14" i="7" a="1"/>
  <c r="N14" i="7" s="1"/>
  <c r="O14" i="7" a="1"/>
  <c r="O14" i="7" s="1"/>
  <c r="P14" i="7" a="1"/>
  <c r="P14" i="7" s="1"/>
  <c r="Q14" i="7" a="1"/>
  <c r="Q14" i="7" s="1"/>
  <c r="B13" i="7"/>
  <c r="C13" i="7" a="1"/>
  <c r="C13" i="7"/>
  <c r="D13" i="7" a="1"/>
  <c r="D13" i="7" s="1"/>
  <c r="S31" i="7" s="1"/>
  <c r="F13" i="7" a="1"/>
  <c r="F13" i="7"/>
  <c r="X31" i="7" s="1"/>
  <c r="G13" i="7" a="1"/>
  <c r="G13" i="7"/>
  <c r="H13" i="7" a="1"/>
  <c r="H13" i="7" s="1"/>
  <c r="I13" i="7" a="1"/>
  <c r="I13" i="7" s="1"/>
  <c r="J13" i="7" a="1"/>
  <c r="J13" i="7"/>
  <c r="K13" i="7" a="1"/>
  <c r="K13" i="7" s="1"/>
  <c r="L13" i="7" a="1"/>
  <c r="L13" i="7"/>
  <c r="M13" i="7" a="1"/>
  <c r="M13" i="7"/>
  <c r="N13" i="7" a="1"/>
  <c r="N13" i="7" s="1"/>
  <c r="O13" i="7" a="1"/>
  <c r="O13" i="7"/>
  <c r="P13" i="7" a="1"/>
  <c r="P13" i="7" s="1"/>
  <c r="Q13" i="7" a="1"/>
  <c r="Q13" i="7"/>
  <c r="B12" i="7"/>
  <c r="C12" i="7" a="1"/>
  <c r="C12" i="7" s="1"/>
  <c r="D12" i="7" a="1"/>
  <c r="D12" i="7" s="1"/>
  <c r="S30" i="7" s="1"/>
  <c r="F12" i="7" a="1"/>
  <c r="F12" i="7" s="1"/>
  <c r="G12" i="7" a="1"/>
  <c r="G12" i="7" s="1"/>
  <c r="V30" i="7" s="1"/>
  <c r="H12" i="7" a="1"/>
  <c r="H12" i="7" s="1"/>
  <c r="I12" i="7" a="1"/>
  <c r="I12" i="7" s="1"/>
  <c r="J12" i="7" a="1"/>
  <c r="J12" i="7" s="1"/>
  <c r="K12" i="7" a="1"/>
  <c r="K12" i="7" s="1"/>
  <c r="L12" i="7" a="1"/>
  <c r="L12" i="7" s="1"/>
  <c r="M12" i="7" a="1"/>
  <c r="M12" i="7" s="1"/>
  <c r="N12" i="7" a="1"/>
  <c r="N12" i="7" s="1"/>
  <c r="O12" i="7" a="1"/>
  <c r="O12" i="7" s="1"/>
  <c r="P12" i="7" a="1"/>
  <c r="P12" i="7" s="1"/>
  <c r="Q12" i="7" a="1"/>
  <c r="Q12" i="7" s="1"/>
  <c r="B11" i="7"/>
  <c r="C11" i="7" a="1"/>
  <c r="C11" i="7"/>
  <c r="D11" i="7" a="1"/>
  <c r="D11" i="7"/>
  <c r="S29" i="7" s="1"/>
  <c r="F11" i="7" a="1"/>
  <c r="F11" i="7" s="1"/>
  <c r="G11" i="7" a="1"/>
  <c r="G11" i="7" s="1"/>
  <c r="Y29" i="7" s="1"/>
  <c r="H11" i="7" a="1"/>
  <c r="H11" i="7" s="1"/>
  <c r="I11" i="7" a="1"/>
  <c r="I11" i="7" s="1"/>
  <c r="J11" i="7" a="1"/>
  <c r="J11" i="7"/>
  <c r="K11" i="7" a="1"/>
  <c r="K11" i="7"/>
  <c r="L11" i="7" a="1"/>
  <c r="L11" i="7" s="1"/>
  <c r="M11" i="7" a="1"/>
  <c r="M11" i="7"/>
  <c r="N11" i="7" a="1"/>
  <c r="N11" i="7"/>
  <c r="O11" i="7" a="1"/>
  <c r="O11" i="7" s="1"/>
  <c r="P11" i="7" a="1"/>
  <c r="P11" i="7" s="1"/>
  <c r="Q11" i="7" a="1"/>
  <c r="Q11" i="7" s="1"/>
  <c r="B8" i="7"/>
  <c r="E5" i="7"/>
  <c r="C5" i="7"/>
  <c r="B1" i="7"/>
  <c r="Q3" i="4"/>
  <c r="Q2" i="4"/>
  <c r="P2" i="4"/>
  <c r="P11" i="5"/>
  <c r="O7" i="5"/>
  <c r="O6" i="5"/>
  <c r="P4" i="5"/>
  <c r="P3" i="5"/>
  <c r="O11" i="3"/>
  <c r="P8" i="3"/>
  <c r="P7" i="3"/>
  <c r="K18" i="5" a="1"/>
  <c r="K18" i="5" s="1"/>
  <c r="J18" i="5" a="1"/>
  <c r="J18" i="5" s="1"/>
  <c r="I18" i="5" a="1"/>
  <c r="I18" i="5" s="1"/>
  <c r="H18" i="5" a="1"/>
  <c r="H18" i="5" s="1"/>
  <c r="G18" i="5" a="1"/>
  <c r="G18" i="5"/>
  <c r="F18" i="5" a="1"/>
  <c r="F18" i="5" s="1"/>
  <c r="E18" i="5" a="1"/>
  <c r="E18" i="5"/>
  <c r="D18" i="5" a="1"/>
  <c r="D18" i="5" s="1"/>
  <c r="C18" i="5" a="1"/>
  <c r="C18" i="5" s="1"/>
  <c r="B18" i="5" a="1"/>
  <c r="B18" i="5"/>
  <c r="K17" i="5" a="1"/>
  <c r="K17" i="5" s="1"/>
  <c r="J17" i="5" a="1"/>
  <c r="J17" i="5" s="1"/>
  <c r="I17" i="5" a="1"/>
  <c r="I17" i="5" s="1"/>
  <c r="H17" i="5" a="1"/>
  <c r="H17" i="5"/>
  <c r="G17" i="5" a="1"/>
  <c r="G17" i="5" s="1"/>
  <c r="F17" i="5" a="1"/>
  <c r="F17" i="5" s="1"/>
  <c r="E17" i="5" a="1"/>
  <c r="E17" i="5"/>
  <c r="D17" i="5" a="1"/>
  <c r="D17" i="5"/>
  <c r="C17" i="5" a="1"/>
  <c r="C17" i="5" s="1"/>
  <c r="B17" i="5" a="1"/>
  <c r="B17" i="5" s="1"/>
  <c r="K16" i="5" a="1"/>
  <c r="K16" i="5"/>
  <c r="J16" i="5" a="1"/>
  <c r="J16" i="5" s="1"/>
  <c r="I16" i="5" a="1"/>
  <c r="I16" i="5" s="1"/>
  <c r="H16" i="5" a="1"/>
  <c r="H16" i="5" s="1"/>
  <c r="G16" i="5" a="1"/>
  <c r="G16" i="5"/>
  <c r="F16" i="5" a="1"/>
  <c r="F16" i="5"/>
  <c r="E16" i="5" a="1"/>
  <c r="E16" i="5"/>
  <c r="D16" i="5" a="1"/>
  <c r="D16" i="5" s="1"/>
  <c r="C16" i="5" a="1"/>
  <c r="C16" i="5" s="1"/>
  <c r="B16" i="5" a="1"/>
  <c r="B16" i="5" s="1"/>
  <c r="K15" i="5" a="1"/>
  <c r="K15" i="5" s="1"/>
  <c r="J15" i="5" a="1"/>
  <c r="J15" i="5"/>
  <c r="I15" i="5" a="1"/>
  <c r="I15" i="5"/>
  <c r="H15" i="5" a="1"/>
  <c r="H15" i="5"/>
  <c r="G15" i="5" a="1"/>
  <c r="G15" i="5" s="1"/>
  <c r="F15" i="5" a="1"/>
  <c r="F15" i="5" s="1"/>
  <c r="E15" i="5" a="1"/>
  <c r="E15" i="5" s="1"/>
  <c r="D15" i="5" a="1"/>
  <c r="D15" i="5" s="1"/>
  <c r="C15" i="5" a="1"/>
  <c r="C15" i="5" s="1"/>
  <c r="B15" i="5" a="1"/>
  <c r="B15" i="5"/>
  <c r="K14" i="5" a="1"/>
  <c r="K14" i="5"/>
  <c r="J14" i="5" a="1"/>
  <c r="J14" i="5"/>
  <c r="I14" i="5" a="1"/>
  <c r="I14" i="5" s="1"/>
  <c r="H14" i="5" a="1"/>
  <c r="H14" i="5" s="1"/>
  <c r="G14" i="5" a="1"/>
  <c r="G14" i="5" s="1"/>
  <c r="F14" i="5" a="1"/>
  <c r="F14" i="5" s="1"/>
  <c r="E14" i="5" a="1"/>
  <c r="E14" i="5"/>
  <c r="D14" i="5" a="1"/>
  <c r="D14" i="5"/>
  <c r="C14" i="5" a="1"/>
  <c r="C14" i="5" s="1"/>
  <c r="B14" i="5" a="1"/>
  <c r="B14" i="5" s="1"/>
  <c r="K13" i="5" a="1"/>
  <c r="K13" i="5" s="1"/>
  <c r="J13" i="5" a="1"/>
  <c r="J13" i="5"/>
  <c r="I13" i="5" a="1"/>
  <c r="I13" i="5" s="1"/>
  <c r="H13" i="5" a="1"/>
  <c r="H13" i="5" s="1"/>
  <c r="G13" i="5" a="1"/>
  <c r="G13" i="5" s="1"/>
  <c r="F13" i="5" a="1"/>
  <c r="F13" i="5" s="1"/>
  <c r="E13" i="5" a="1"/>
  <c r="E13" i="5" s="1"/>
  <c r="D13" i="5" a="1"/>
  <c r="D13" i="5" s="1"/>
  <c r="C13" i="5" a="1"/>
  <c r="C13" i="5"/>
  <c r="B13" i="5" a="1"/>
  <c r="B13" i="5"/>
  <c r="O11" i="5" s="1"/>
  <c r="K12" i="5" a="1"/>
  <c r="K12" i="5" s="1"/>
  <c r="J12" i="5" a="1"/>
  <c r="J12" i="5"/>
  <c r="I12" i="5" a="1"/>
  <c r="I12" i="5" s="1"/>
  <c r="H12" i="5" a="1"/>
  <c r="H12" i="5" s="1"/>
  <c r="G12" i="5" a="1"/>
  <c r="G12" i="5" s="1"/>
  <c r="F12" i="5" a="1"/>
  <c r="F12" i="5"/>
  <c r="E12" i="5" a="1"/>
  <c r="E12" i="5" s="1"/>
  <c r="P10" i="5" s="1"/>
  <c r="D12" i="5" a="1"/>
  <c r="D12" i="5"/>
  <c r="C12" i="5" a="1"/>
  <c r="C12" i="5" s="1"/>
  <c r="B12" i="5" a="1"/>
  <c r="B12" i="5" s="1"/>
  <c r="O10" i="5" s="1"/>
  <c r="K11" i="5" a="1"/>
  <c r="K11" i="5" s="1"/>
  <c r="J11" i="5" a="1"/>
  <c r="J11" i="5" s="1"/>
  <c r="I11" i="5" a="1"/>
  <c r="I11" i="5" s="1"/>
  <c r="H11" i="5" a="1"/>
  <c r="H11" i="5" s="1"/>
  <c r="G11" i="5" a="1"/>
  <c r="G11" i="5"/>
  <c r="F11" i="5" a="1"/>
  <c r="F11" i="5"/>
  <c r="E11" i="5" a="1"/>
  <c r="E11" i="5" s="1"/>
  <c r="P9" i="5" s="1"/>
  <c r="D11" i="5" a="1"/>
  <c r="D11" i="5" s="1"/>
  <c r="C11" i="5" a="1"/>
  <c r="C11" i="5" s="1"/>
  <c r="B11" i="5" a="1"/>
  <c r="B11" i="5"/>
  <c r="O9" i="5" s="1"/>
  <c r="K10" i="5" a="1"/>
  <c r="K10" i="5" s="1"/>
  <c r="J10" i="5" a="1"/>
  <c r="J10" i="5"/>
  <c r="I10" i="5" a="1"/>
  <c r="I10" i="5"/>
  <c r="H10" i="5" a="1"/>
  <c r="H10" i="5" s="1"/>
  <c r="G10" i="5" a="1"/>
  <c r="G10" i="5" s="1"/>
  <c r="F10" i="5" a="1"/>
  <c r="F10" i="5" s="1"/>
  <c r="E10" i="5" a="1"/>
  <c r="E10" i="5"/>
  <c r="P8" i="5" s="1"/>
  <c r="D10" i="5" a="1"/>
  <c r="D10" i="5"/>
  <c r="C10" i="5" a="1"/>
  <c r="C10" i="5" s="1"/>
  <c r="B10" i="5" a="1"/>
  <c r="B10" i="5"/>
  <c r="O8" i="5" s="1"/>
  <c r="K9" i="5" a="1"/>
  <c r="K9" i="5"/>
  <c r="J9" i="5" a="1"/>
  <c r="J9" i="5" s="1"/>
  <c r="I9" i="5" a="1"/>
  <c r="I9" i="5" s="1"/>
  <c r="H9" i="5" a="1"/>
  <c r="H9" i="5" s="1"/>
  <c r="G9" i="5" a="1"/>
  <c r="G9" i="5"/>
  <c r="F9" i="5" a="1"/>
  <c r="F9" i="5" s="1"/>
  <c r="E9" i="5" a="1"/>
  <c r="E9" i="5" s="1"/>
  <c r="P7" i="5" s="1"/>
  <c r="D9" i="5" a="1"/>
  <c r="D9" i="5" s="1"/>
  <c r="C9" i="5" a="1"/>
  <c r="C9" i="5" s="1"/>
  <c r="B9" i="5" a="1"/>
  <c r="B9" i="5" s="1"/>
  <c r="K8" i="5" a="1"/>
  <c r="K8" i="5"/>
  <c r="J8" i="5" a="1"/>
  <c r="J8" i="5" s="1"/>
  <c r="I8" i="5" a="1"/>
  <c r="I8" i="5"/>
  <c r="H8" i="5" a="1"/>
  <c r="H8" i="5"/>
  <c r="G8" i="5" a="1"/>
  <c r="G8" i="5"/>
  <c r="F8" i="5" a="1"/>
  <c r="F8" i="5" s="1"/>
  <c r="E8" i="5" a="1"/>
  <c r="E8" i="5" s="1"/>
  <c r="P6" i="5" s="1"/>
  <c r="D8" i="5" a="1"/>
  <c r="D8" i="5"/>
  <c r="C8" i="5" a="1"/>
  <c r="C8" i="5"/>
  <c r="B8" i="5" a="1"/>
  <c r="B8" i="5" s="1"/>
  <c r="K7" i="5" a="1"/>
  <c r="K7" i="5"/>
  <c r="J7" i="5" a="1"/>
  <c r="J7" i="5"/>
  <c r="I7" i="5" a="1"/>
  <c r="I7" i="5" s="1"/>
  <c r="H7" i="5" a="1"/>
  <c r="H7" i="5" s="1"/>
  <c r="G7" i="5" a="1"/>
  <c r="G7" i="5" s="1"/>
  <c r="F7" i="5" a="1"/>
  <c r="F7" i="5" s="1"/>
  <c r="E7" i="5" a="1"/>
  <c r="E7" i="5" s="1"/>
  <c r="P5" i="5" s="1"/>
  <c r="D7" i="5" a="1"/>
  <c r="D7" i="5" s="1"/>
  <c r="C7" i="5" a="1"/>
  <c r="C7" i="5" s="1"/>
  <c r="B7" i="5" a="1"/>
  <c r="B7" i="5" s="1"/>
  <c r="K6" i="5" a="1"/>
  <c r="K6" i="5" s="1"/>
  <c r="J6" i="5" a="1"/>
  <c r="J6" i="5"/>
  <c r="I6" i="5" a="1"/>
  <c r="I6" i="5"/>
  <c r="H6" i="5" a="1"/>
  <c r="H6" i="5" s="1"/>
  <c r="G6" i="5" a="1"/>
  <c r="G6" i="5"/>
  <c r="F6" i="5" a="1"/>
  <c r="F6" i="5"/>
  <c r="E6" i="5" a="1"/>
  <c r="E6" i="5" s="1"/>
  <c r="D6" i="5" a="1"/>
  <c r="D6" i="5" s="1"/>
  <c r="C6" i="5" a="1"/>
  <c r="C6" i="5"/>
  <c r="B6" i="5" a="1"/>
  <c r="B6" i="5"/>
  <c r="O4" i="5" s="1"/>
  <c r="K5" i="5" a="1"/>
  <c r="K5" i="5"/>
  <c r="J5" i="5" a="1"/>
  <c r="J5" i="5" s="1"/>
  <c r="I5" i="5" a="1"/>
  <c r="I5" i="5"/>
  <c r="H5" i="5" a="1"/>
  <c r="H5" i="5" s="1"/>
  <c r="G5" i="5" a="1"/>
  <c r="G5" i="5" s="1"/>
  <c r="F5" i="5" a="1"/>
  <c r="F5" i="5" s="1"/>
  <c r="E5" i="5" a="1"/>
  <c r="E5" i="5"/>
  <c r="D5" i="5" a="1"/>
  <c r="D5" i="5"/>
  <c r="C5" i="5" a="1"/>
  <c r="C5" i="5"/>
  <c r="B5" i="5" a="1"/>
  <c r="B5" i="5" s="1"/>
  <c r="O3" i="5" s="1"/>
  <c r="K4" i="5" a="1"/>
  <c r="K4" i="5" s="1"/>
  <c r="J4" i="5" a="1"/>
  <c r="J4" i="5" s="1"/>
  <c r="I4" i="5" a="1"/>
  <c r="I4" i="5"/>
  <c r="H4" i="5" a="1"/>
  <c r="H4" i="5" s="1"/>
  <c r="G4" i="5" a="1"/>
  <c r="G4" i="5"/>
  <c r="F4" i="5" a="1"/>
  <c r="F4" i="5"/>
  <c r="E4" i="5" a="1"/>
  <c r="E4" i="5"/>
  <c r="P2" i="5" s="1"/>
  <c r="D4" i="5" a="1"/>
  <c r="D4" i="5" s="1"/>
  <c r="C4" i="5" a="1"/>
  <c r="C4" i="5" s="1"/>
  <c r="B4" i="5" a="1"/>
  <c r="B4" i="5"/>
  <c r="O2" i="5" s="1"/>
  <c r="M18" i="4" a="1"/>
  <c r="M18" i="4"/>
  <c r="K18" i="4" a="1"/>
  <c r="K18" i="4" s="1"/>
  <c r="J18" i="4" a="1"/>
  <c r="J18" i="4"/>
  <c r="H18" i="4" a="1"/>
  <c r="H18" i="4"/>
  <c r="F18" i="4" a="1"/>
  <c r="F18" i="4" s="1"/>
  <c r="E18" i="4" a="1"/>
  <c r="E18" i="4" s="1"/>
  <c r="D18" i="4" a="1"/>
  <c r="D18" i="4" s="1"/>
  <c r="C18" i="4" a="1"/>
  <c r="C18" i="4"/>
  <c r="B18" i="4" a="1"/>
  <c r="B18" i="4"/>
  <c r="M17" i="4" a="1"/>
  <c r="M17" i="4" s="1"/>
  <c r="K17" i="4" a="1"/>
  <c r="K17" i="4"/>
  <c r="J17" i="4" a="1"/>
  <c r="J17" i="4" s="1"/>
  <c r="H17" i="4" a="1"/>
  <c r="H17" i="4" s="1"/>
  <c r="F17" i="4" a="1"/>
  <c r="F17" i="4"/>
  <c r="E17" i="4" a="1"/>
  <c r="E17" i="4" s="1"/>
  <c r="D17" i="4" a="1"/>
  <c r="D17" i="4"/>
  <c r="C17" i="4" a="1"/>
  <c r="C17" i="4"/>
  <c r="B17" i="4" a="1"/>
  <c r="B17" i="4" s="1"/>
  <c r="M16" i="4" a="1"/>
  <c r="M16" i="4" s="1"/>
  <c r="K16" i="4" a="1"/>
  <c r="K16" i="4" s="1"/>
  <c r="J16" i="4" a="1"/>
  <c r="J16" i="4"/>
  <c r="H16" i="4" a="1"/>
  <c r="H16" i="4"/>
  <c r="F16" i="4" a="1"/>
  <c r="F16" i="4" s="1"/>
  <c r="E16" i="4" a="1"/>
  <c r="E16" i="4"/>
  <c r="D16" i="4" a="1"/>
  <c r="D16" i="4"/>
  <c r="C16" i="4" a="1"/>
  <c r="C16" i="4" s="1"/>
  <c r="B16" i="4" a="1"/>
  <c r="B16" i="4" s="1"/>
  <c r="M15" i="4" a="1"/>
  <c r="M15" i="4" s="1"/>
  <c r="K15" i="4" a="1"/>
  <c r="K15" i="4"/>
  <c r="J15" i="4" a="1"/>
  <c r="J15" i="4"/>
  <c r="H15" i="4" a="1"/>
  <c r="H15" i="4" s="1"/>
  <c r="F15" i="4" a="1"/>
  <c r="F15" i="4"/>
  <c r="E15" i="4" a="1"/>
  <c r="E15" i="4" s="1"/>
  <c r="D15" i="4" a="1"/>
  <c r="D15" i="4" s="1"/>
  <c r="C15" i="4" a="1"/>
  <c r="C15" i="4" s="1"/>
  <c r="B15" i="4" a="1"/>
  <c r="B15" i="4" s="1"/>
  <c r="M14" i="4" a="1"/>
  <c r="M14" i="4"/>
  <c r="K14" i="4" a="1"/>
  <c r="K14" i="4"/>
  <c r="J14" i="4" a="1"/>
  <c r="J14" i="4" s="1"/>
  <c r="H14" i="4" a="1"/>
  <c r="H14" i="4" s="1"/>
  <c r="F14" i="4" a="1"/>
  <c r="F14" i="4" s="1"/>
  <c r="E14" i="4" a="1"/>
  <c r="E14" i="4"/>
  <c r="D14" i="4" a="1"/>
  <c r="D14" i="4" s="1"/>
  <c r="C14" i="4" a="1"/>
  <c r="C14" i="4" s="1"/>
  <c r="B14" i="4" a="1"/>
  <c r="B14" i="4"/>
  <c r="M13" i="4" a="1"/>
  <c r="M13" i="4"/>
  <c r="K13" i="4" a="1"/>
  <c r="K13" i="4" s="1"/>
  <c r="J13" i="4" a="1"/>
  <c r="J13" i="4" s="1"/>
  <c r="H13" i="4" a="1"/>
  <c r="H13" i="4"/>
  <c r="R11" i="4" s="1"/>
  <c r="F13" i="4" a="1"/>
  <c r="F13" i="4" s="1"/>
  <c r="Q11" i="4" s="1"/>
  <c r="E13" i="4" a="1"/>
  <c r="E13" i="4" s="1"/>
  <c r="P11" i="4" s="1"/>
  <c r="D13" i="4" a="1"/>
  <c r="D13" i="4" s="1"/>
  <c r="C13" i="4" a="1"/>
  <c r="C13" i="4"/>
  <c r="B13" i="4" a="1"/>
  <c r="B13" i="4" s="1"/>
  <c r="O11" i="4" s="1"/>
  <c r="M12" i="4" a="1"/>
  <c r="M12" i="4" s="1"/>
  <c r="K12" i="4" a="1"/>
  <c r="K12" i="4" s="1"/>
  <c r="J12" i="4" a="1"/>
  <c r="J12" i="4"/>
  <c r="H12" i="4" a="1"/>
  <c r="H12" i="4" s="1"/>
  <c r="R10" i="4" s="1"/>
  <c r="F12" i="4" a="1"/>
  <c r="F12" i="4" s="1"/>
  <c r="Q10" i="4" s="1"/>
  <c r="E12" i="4" a="1"/>
  <c r="E12" i="4" s="1"/>
  <c r="P10" i="4" s="1"/>
  <c r="D12" i="4" a="1"/>
  <c r="D12" i="4" s="1"/>
  <c r="C12" i="4" a="1"/>
  <c r="C12" i="4" s="1"/>
  <c r="B12" i="4" a="1"/>
  <c r="B12" i="4"/>
  <c r="O10" i="4" s="1"/>
  <c r="M11" i="4" a="1"/>
  <c r="M11" i="4" s="1"/>
  <c r="K11" i="4" a="1"/>
  <c r="K11" i="4"/>
  <c r="J11" i="4" a="1"/>
  <c r="J11" i="4" s="1"/>
  <c r="H11" i="4" a="1"/>
  <c r="H11" i="4" s="1"/>
  <c r="R9" i="4" s="1"/>
  <c r="F11" i="4" a="1"/>
  <c r="F11" i="4" s="1"/>
  <c r="Q9" i="4" s="1"/>
  <c r="E11" i="4" a="1"/>
  <c r="E11" i="4" s="1"/>
  <c r="P9" i="4" s="1"/>
  <c r="D11" i="4" a="1"/>
  <c r="D11" i="4"/>
  <c r="C11" i="4" a="1"/>
  <c r="C11" i="4"/>
  <c r="B11" i="4" a="1"/>
  <c r="B11" i="4" s="1"/>
  <c r="O9" i="4" s="1"/>
  <c r="M10" i="4" a="1"/>
  <c r="M10" i="4"/>
  <c r="K10" i="4" a="1"/>
  <c r="K10" i="4" s="1"/>
  <c r="J10" i="4" a="1"/>
  <c r="J10" i="4" s="1"/>
  <c r="H10" i="4" a="1"/>
  <c r="H10" i="4" s="1"/>
  <c r="R8" i="4" s="1"/>
  <c r="F10" i="4" a="1"/>
  <c r="F10" i="4" s="1"/>
  <c r="Q8" i="4" s="1"/>
  <c r="E10" i="4" a="1"/>
  <c r="E10" i="4"/>
  <c r="P8" i="4" s="1"/>
  <c r="D10" i="4" a="1"/>
  <c r="D10" i="4"/>
  <c r="C10" i="4" a="1"/>
  <c r="C10" i="4" s="1"/>
  <c r="B10" i="4" a="1"/>
  <c r="B10" i="4"/>
  <c r="O8" i="4" s="1"/>
  <c r="M9" i="4" a="1"/>
  <c r="M9" i="4" s="1"/>
  <c r="K9" i="4" a="1"/>
  <c r="K9" i="4" s="1"/>
  <c r="J9" i="4" a="1"/>
  <c r="J9" i="4" s="1"/>
  <c r="H9" i="4" a="1"/>
  <c r="H9" i="4" s="1"/>
  <c r="R7" i="4" s="1"/>
  <c r="F9" i="4" a="1"/>
  <c r="F9" i="4"/>
  <c r="Q7" i="4" s="1"/>
  <c r="E9" i="4" a="1"/>
  <c r="E9" i="4"/>
  <c r="P7" i="4" s="1"/>
  <c r="D9" i="4" a="1"/>
  <c r="D9" i="4" s="1"/>
  <c r="C9" i="4" a="1"/>
  <c r="C9" i="4" s="1"/>
  <c r="B9" i="4" a="1"/>
  <c r="B9" i="4" s="1"/>
  <c r="O7" i="4" s="1"/>
  <c r="M8" i="4" a="1"/>
  <c r="M8" i="4" s="1"/>
  <c r="K8" i="4" a="1"/>
  <c r="K8" i="4" s="1"/>
  <c r="J8" i="4" a="1"/>
  <c r="J8" i="4" s="1"/>
  <c r="H8" i="4" a="1"/>
  <c r="H8" i="4"/>
  <c r="R6" i="4" s="1"/>
  <c r="F8" i="4" a="1"/>
  <c r="F8" i="4"/>
  <c r="Q6" i="4" s="1"/>
  <c r="E8" i="4" a="1"/>
  <c r="E8" i="4" s="1"/>
  <c r="P6" i="4" s="1"/>
  <c r="D8" i="4" a="1"/>
  <c r="D8" i="4" s="1"/>
  <c r="C8" i="4" a="1"/>
  <c r="C8" i="4"/>
  <c r="B8" i="4" a="1"/>
  <c r="B8" i="4" s="1"/>
  <c r="O6" i="4" s="1"/>
  <c r="M7" i="4" a="1"/>
  <c r="M7" i="4" s="1"/>
  <c r="K7" i="4" a="1"/>
  <c r="K7" i="4" s="1"/>
  <c r="J7" i="4" a="1"/>
  <c r="J7" i="4"/>
  <c r="H7" i="4" a="1"/>
  <c r="H7" i="4" s="1"/>
  <c r="R5" i="4" s="1"/>
  <c r="F7" i="4" a="1"/>
  <c r="F7" i="4" s="1"/>
  <c r="Q5" i="4" s="1"/>
  <c r="E7" i="4" a="1"/>
  <c r="E7" i="4" s="1"/>
  <c r="P5" i="4" s="1"/>
  <c r="D7" i="4" a="1"/>
  <c r="D7" i="4"/>
  <c r="C7" i="4" a="1"/>
  <c r="C7" i="4" s="1"/>
  <c r="B7" i="4" a="1"/>
  <c r="B7" i="4" s="1"/>
  <c r="O5" i="4" s="1"/>
  <c r="M6" i="4" a="1"/>
  <c r="M6" i="4" s="1"/>
  <c r="K6" i="4" a="1"/>
  <c r="K6" i="4" s="1"/>
  <c r="J6" i="4" a="1"/>
  <c r="J6" i="4" s="1"/>
  <c r="H6" i="4" a="1"/>
  <c r="H6" i="4"/>
  <c r="R4" i="4" s="1"/>
  <c r="F6" i="4" a="1"/>
  <c r="F6" i="4" s="1"/>
  <c r="Q4" i="4" s="1"/>
  <c r="E6" i="4" a="1"/>
  <c r="E6" i="4"/>
  <c r="P4" i="4" s="1"/>
  <c r="D6" i="4" a="1"/>
  <c r="D6" i="4" s="1"/>
  <c r="C6" i="4" a="1"/>
  <c r="C6" i="4" s="1"/>
  <c r="B6" i="4" a="1"/>
  <c r="B6" i="4" s="1"/>
  <c r="M5" i="4" a="1"/>
  <c r="M5" i="4" s="1"/>
  <c r="K5" i="4" a="1"/>
  <c r="K5" i="4"/>
  <c r="J5" i="4" a="1"/>
  <c r="J5" i="4"/>
  <c r="H5" i="4" a="1"/>
  <c r="H5" i="4" s="1"/>
  <c r="R3" i="4" s="1"/>
  <c r="F5" i="4" a="1"/>
  <c r="F5" i="4"/>
  <c r="E5" i="4" a="1"/>
  <c r="E5" i="4" s="1"/>
  <c r="P3" i="4" s="1"/>
  <c r="D5" i="4" a="1"/>
  <c r="D5" i="4" s="1"/>
  <c r="C5" i="4" a="1"/>
  <c r="C5" i="4" s="1"/>
  <c r="B5" i="4" a="1"/>
  <c r="B5" i="4" s="1"/>
  <c r="O3" i="4" s="1"/>
  <c r="M4" i="4" a="1"/>
  <c r="M4" i="4"/>
  <c r="K4" i="4" a="1"/>
  <c r="K4" i="4"/>
  <c r="J4" i="4" a="1"/>
  <c r="J4" i="4" s="1"/>
  <c r="H4" i="4" a="1"/>
  <c r="H4" i="4"/>
  <c r="R2" i="4" s="1"/>
  <c r="F4" i="4" a="1"/>
  <c r="F4" i="4" s="1"/>
  <c r="E4" i="4" a="1"/>
  <c r="E4" i="4" s="1"/>
  <c r="D4" i="4" a="1"/>
  <c r="D4" i="4" s="1"/>
  <c r="C4" i="4" a="1"/>
  <c r="C4" i="4" s="1"/>
  <c r="B4" i="4" a="1"/>
  <c r="B4" i="4"/>
  <c r="L18" i="3" a="1"/>
  <c r="L18" i="3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C18" i="3" a="1"/>
  <c r="C18" i="3"/>
  <c r="B18" i="3" a="1"/>
  <c r="B18" i="3"/>
  <c r="L17" i="3" a="1"/>
  <c r="L17" i="3" s="1"/>
  <c r="I17" i="3" a="1"/>
  <c r="I17" i="3" s="1"/>
  <c r="H17" i="3" a="1"/>
  <c r="H17" i="3"/>
  <c r="G17" i="3" a="1"/>
  <c r="G17" i="3" s="1"/>
  <c r="F17" i="3" a="1"/>
  <c r="F17" i="3" s="1"/>
  <c r="E17" i="3" a="1"/>
  <c r="E17" i="3" s="1"/>
  <c r="D17" i="3" a="1"/>
  <c r="D17" i="3"/>
  <c r="C17" i="3" a="1"/>
  <c r="C17" i="3" s="1"/>
  <c r="B17" i="3" a="1"/>
  <c r="B17" i="3" s="1"/>
  <c r="L16" i="3" a="1"/>
  <c r="L16" i="3" s="1"/>
  <c r="I16" i="3" a="1"/>
  <c r="I16" i="3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/>
  <c r="B16" i="3" a="1"/>
  <c r="B16" i="3" s="1"/>
  <c r="L15" i="3" a="1"/>
  <c r="L15" i="3"/>
  <c r="I15" i="3" a="1"/>
  <c r="I15" i="3" s="1"/>
  <c r="H15" i="3" a="1"/>
  <c r="H15" i="3"/>
  <c r="G15" i="3" a="1"/>
  <c r="G15" i="3" s="1"/>
  <c r="F15" i="3" a="1"/>
  <c r="F15" i="3" s="1"/>
  <c r="E15" i="3" a="1"/>
  <c r="E15" i="3"/>
  <c r="D15" i="3" a="1"/>
  <c r="D15" i="3" s="1"/>
  <c r="C15" i="3" a="1"/>
  <c r="C15" i="3" s="1"/>
  <c r="B15" i="3" a="1"/>
  <c r="B15" i="3" s="1"/>
  <c r="L14" i="3" a="1"/>
  <c r="L14" i="3"/>
  <c r="I14" i="3" a="1"/>
  <c r="I14" i="3" s="1"/>
  <c r="H14" i="3" a="1"/>
  <c r="H14" i="3" s="1"/>
  <c r="G14" i="3" a="1"/>
  <c r="G14" i="3" s="1"/>
  <c r="F14" i="3" a="1"/>
  <c r="F14" i="3" s="1"/>
  <c r="E14" i="3" a="1"/>
  <c r="E14" i="3"/>
  <c r="D14" i="3" a="1"/>
  <c r="D14" i="3"/>
  <c r="C14" i="3" a="1"/>
  <c r="C14" i="3" s="1"/>
  <c r="B14" i="3" a="1"/>
  <c r="B14" i="3" s="1"/>
  <c r="L13" i="3" a="1"/>
  <c r="L13" i="3" s="1"/>
  <c r="I13" i="3" a="1"/>
  <c r="I13" i="3" s="1"/>
  <c r="H13" i="3" a="1"/>
  <c r="H13" i="3" s="1"/>
  <c r="G13" i="3" a="1"/>
  <c r="G13" i="3" s="1"/>
  <c r="F13" i="3" a="1"/>
  <c r="F13" i="3"/>
  <c r="E13" i="3" a="1"/>
  <c r="E13" i="3"/>
  <c r="P11" i="3" s="1"/>
  <c r="D13" i="3" a="1"/>
  <c r="D13" i="3" s="1"/>
  <c r="C13" i="3" a="1"/>
  <c r="C13" i="3" s="1"/>
  <c r="B13" i="3" a="1"/>
  <c r="B13" i="3"/>
  <c r="L12" i="3" a="1"/>
  <c r="L12" i="3" s="1"/>
  <c r="I12" i="3" a="1"/>
  <c r="I12" i="3" s="1"/>
  <c r="H12" i="3" a="1"/>
  <c r="H12" i="3" s="1"/>
  <c r="G12" i="3" a="1"/>
  <c r="G12" i="3"/>
  <c r="F12" i="3" a="1"/>
  <c r="F12" i="3" s="1"/>
  <c r="E12" i="3" a="1"/>
  <c r="E12" i="3" s="1"/>
  <c r="P10" i="3" s="1"/>
  <c r="D12" i="3" a="1"/>
  <c r="D12" i="3" s="1"/>
  <c r="C12" i="3" a="1"/>
  <c r="C12" i="3"/>
  <c r="B12" i="3" a="1"/>
  <c r="B12" i="3" s="1"/>
  <c r="O10" i="3" s="1"/>
  <c r="L11" i="3" a="1"/>
  <c r="L11" i="3" s="1"/>
  <c r="I11" i="3" a="1"/>
  <c r="I11" i="3" s="1"/>
  <c r="H11" i="3" a="1"/>
  <c r="H11" i="3" s="1"/>
  <c r="G11" i="3" a="1"/>
  <c r="G11" i="3" s="1"/>
  <c r="F11" i="3" a="1"/>
  <c r="F11" i="3"/>
  <c r="E11" i="3" a="1"/>
  <c r="E11" i="3" s="1"/>
  <c r="P9" i="3" s="1"/>
  <c r="D11" i="3" a="1"/>
  <c r="D11" i="3"/>
  <c r="C11" i="3" a="1"/>
  <c r="C11" i="3" s="1"/>
  <c r="B11" i="3" a="1"/>
  <c r="B11" i="3" s="1"/>
  <c r="O9" i="3" s="1"/>
  <c r="L10" i="3" a="1"/>
  <c r="L10" i="3" s="1"/>
  <c r="I10" i="3" a="1"/>
  <c r="I10" i="3" s="1"/>
  <c r="H10" i="3" a="1"/>
  <c r="H10" i="3"/>
  <c r="G10" i="3" a="1"/>
  <c r="G10" i="3"/>
  <c r="F10" i="3" a="1"/>
  <c r="F10" i="3" s="1"/>
  <c r="E10" i="3" a="1"/>
  <c r="E10" i="3"/>
  <c r="D10" i="3" a="1"/>
  <c r="D10" i="3" s="1"/>
  <c r="C10" i="3" a="1"/>
  <c r="C10" i="3" s="1"/>
  <c r="B10" i="3" a="1"/>
  <c r="B10" i="3" s="1"/>
  <c r="L9" i="3" a="1"/>
  <c r="L9" i="3" s="1"/>
  <c r="I9" i="3" a="1"/>
  <c r="I9" i="3"/>
  <c r="H9" i="3" a="1"/>
  <c r="H9" i="3"/>
  <c r="G9" i="3" a="1"/>
  <c r="G9" i="3" s="1"/>
  <c r="F9" i="3" a="1"/>
  <c r="F9" i="3"/>
  <c r="E9" i="3" a="1"/>
  <c r="E9" i="3" s="1"/>
  <c r="D9" i="3" a="1"/>
  <c r="D9" i="3" s="1"/>
  <c r="C9" i="3" a="1"/>
  <c r="C9" i="3" s="1"/>
  <c r="B9" i="3" a="1"/>
  <c r="B9" i="3" s="1"/>
  <c r="O7" i="3" s="1"/>
  <c r="L8" i="3" a="1"/>
  <c r="L8" i="3"/>
  <c r="I8" i="3" a="1"/>
  <c r="I8" i="3"/>
  <c r="H8" i="3" a="1"/>
  <c r="H8" i="3" s="1"/>
  <c r="G8" i="3" a="1"/>
  <c r="G8" i="3" s="1"/>
  <c r="F8" i="3" a="1"/>
  <c r="F8" i="3" s="1"/>
  <c r="E8" i="3" a="1"/>
  <c r="E8" i="3" s="1"/>
  <c r="P6" i="3" s="1"/>
  <c r="D8" i="3" a="1"/>
  <c r="D8" i="3" s="1"/>
  <c r="C8" i="3" a="1"/>
  <c r="C8" i="3" s="1"/>
  <c r="B8" i="3" a="1"/>
  <c r="B8" i="3"/>
  <c r="O6" i="3" s="1"/>
  <c r="L7" i="3" a="1"/>
  <c r="L7" i="3"/>
  <c r="I7" i="3" a="1"/>
  <c r="I7" i="3" s="1"/>
  <c r="H7" i="3" a="1"/>
  <c r="H7" i="3" s="1"/>
  <c r="G7" i="3" a="1"/>
  <c r="G7" i="3"/>
  <c r="F7" i="3" a="1"/>
  <c r="F7" i="3" s="1"/>
  <c r="E7" i="3" a="1"/>
  <c r="E7" i="3" s="1"/>
  <c r="P5" i="3" s="1"/>
  <c r="D7" i="3" a="1"/>
  <c r="D7" i="3" s="1"/>
  <c r="C7" i="3" a="1"/>
  <c r="C7" i="3"/>
  <c r="B7" i="3" a="1"/>
  <c r="B7" i="3" s="1"/>
  <c r="O5" i="3" s="1"/>
  <c r="L6" i="3" a="1"/>
  <c r="L6" i="3" s="1"/>
  <c r="I6" i="3" a="1"/>
  <c r="I6" i="3" s="1"/>
  <c r="H6" i="3" a="1"/>
  <c r="H6" i="3" s="1"/>
  <c r="G6" i="3" a="1"/>
  <c r="G6" i="3" s="1"/>
  <c r="F6" i="3" a="1"/>
  <c r="F6" i="3" s="1"/>
  <c r="E6" i="3" a="1"/>
  <c r="E6" i="3" s="1"/>
  <c r="P4" i="3" s="1"/>
  <c r="D6" i="3" a="1"/>
  <c r="D6" i="3" s="1"/>
  <c r="C6" i="3" a="1"/>
  <c r="C6" i="3" s="1"/>
  <c r="B6" i="3" a="1"/>
  <c r="B6" i="3"/>
  <c r="O4" i="3" s="1"/>
  <c r="L5" i="3" a="1"/>
  <c r="L5" i="3" s="1"/>
  <c r="I5" i="3" a="1"/>
  <c r="I5" i="3" s="1"/>
  <c r="H5" i="3" a="1"/>
  <c r="H5" i="3" s="1"/>
  <c r="G5" i="3" a="1"/>
  <c r="G5" i="3" s="1"/>
  <c r="F5" i="3" a="1"/>
  <c r="F5" i="3" s="1"/>
  <c r="E5" i="3" a="1"/>
  <c r="E5" i="3" s="1"/>
  <c r="P3" i="3" s="1"/>
  <c r="D5" i="3" a="1"/>
  <c r="D5" i="3"/>
  <c r="C5" i="3" a="1"/>
  <c r="C5" i="3"/>
  <c r="B5" i="3" a="1"/>
  <c r="B5" i="3" s="1"/>
  <c r="O3" i="3" s="1"/>
  <c r="L4" i="3" a="1"/>
  <c r="L4" i="3" s="1"/>
  <c r="I4" i="3" a="1"/>
  <c r="I4" i="3" s="1"/>
  <c r="H4" i="3" a="1"/>
  <c r="H4" i="3" s="1"/>
  <c r="G4" i="3" a="1"/>
  <c r="G4" i="3" s="1"/>
  <c r="F4" i="3" a="1"/>
  <c r="F4" i="3" s="1"/>
  <c r="E4" i="3" a="1"/>
  <c r="E4" i="3"/>
  <c r="P2" i="3" s="1"/>
  <c r="D4" i="3" a="1"/>
  <c r="D4" i="3"/>
  <c r="C4" i="3" a="1"/>
  <c r="C4" i="3" s="1"/>
  <c r="B4" i="3" a="1"/>
  <c r="B4" i="3" s="1"/>
  <c r="O2" i="3" s="1"/>
  <c r="M18" i="2" a="1"/>
  <c r="M18" i="2" s="1"/>
  <c r="K18" i="2" a="1"/>
  <c r="K18" i="2" s="1"/>
  <c r="J18" i="2" a="1"/>
  <c r="J18" i="2" s="1"/>
  <c r="I18" i="2" a="1"/>
  <c r="I18" i="2" s="1"/>
  <c r="H18" i="2" a="1"/>
  <c r="H18" i="2"/>
  <c r="G18" i="2" a="1"/>
  <c r="G18" i="2"/>
  <c r="F18" i="2" a="1"/>
  <c r="F18" i="2" s="1"/>
  <c r="E18" i="2" a="1"/>
  <c r="E18" i="2" s="1"/>
  <c r="P16" i="2" s="1"/>
  <c r="D18" i="2" a="1"/>
  <c r="D18" i="2" s="1"/>
  <c r="C18" i="2" a="1"/>
  <c r="C18" i="2" s="1"/>
  <c r="B18" i="2" a="1"/>
  <c r="B18" i="2" s="1"/>
  <c r="M17" i="2" a="1"/>
  <c r="M17" i="2" s="1"/>
  <c r="K17" i="2" a="1"/>
  <c r="K17" i="2"/>
  <c r="J17" i="2" a="1"/>
  <c r="J17" i="2"/>
  <c r="I17" i="2" a="1"/>
  <c r="I17" i="2" s="1"/>
  <c r="H17" i="2" a="1"/>
  <c r="H17" i="2" s="1"/>
  <c r="G17" i="2" a="1"/>
  <c r="G17" i="2" s="1"/>
  <c r="F17" i="2" a="1"/>
  <c r="F17" i="2" s="1"/>
  <c r="E17" i="2" a="1"/>
  <c r="E17" i="2" s="1"/>
  <c r="P15" i="2" s="1"/>
  <c r="D17" i="2" a="1"/>
  <c r="D17" i="2" s="1"/>
  <c r="C17" i="2" a="1"/>
  <c r="C17" i="2"/>
  <c r="B17" i="2" a="1"/>
  <c r="B17" i="2" s="1"/>
  <c r="O15" i="2" s="1"/>
  <c r="M16" i="2" a="1"/>
  <c r="M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E16" i="2" a="1"/>
  <c r="E16" i="2" s="1"/>
  <c r="P14" i="2" s="1"/>
  <c r="D16" i="2" a="1"/>
  <c r="D16" i="2"/>
  <c r="C16" i="2" a="1"/>
  <c r="C16" i="2" s="1"/>
  <c r="B16" i="2" a="1"/>
  <c r="B16" i="2" s="1"/>
  <c r="O14" i="2" s="1"/>
  <c r="M15" i="2" a="1"/>
  <c r="M15" i="2" s="1"/>
  <c r="K15" i="2" a="1"/>
  <c r="K15" i="2" s="1"/>
  <c r="J15" i="2" a="1"/>
  <c r="J15" i="2" s="1"/>
  <c r="I15" i="2" a="1"/>
  <c r="I15" i="2" s="1"/>
  <c r="H15" i="2" a="1"/>
  <c r="H15" i="2"/>
  <c r="G15" i="2" a="1"/>
  <c r="G15" i="2"/>
  <c r="F15" i="2" a="1"/>
  <c r="F15" i="2" s="1"/>
  <c r="E15" i="2" a="1"/>
  <c r="E15" i="2" s="1"/>
  <c r="P13" i="2" s="1"/>
  <c r="D15" i="2" a="1"/>
  <c r="D15" i="2" s="1"/>
  <c r="C15" i="2" a="1"/>
  <c r="C15" i="2" s="1"/>
  <c r="O13" i="2" s="1"/>
  <c r="B15" i="2" a="1"/>
  <c r="B15" i="2" s="1"/>
  <c r="M14" i="2" a="1"/>
  <c r="M14" i="2" s="1"/>
  <c r="K14" i="2" a="1"/>
  <c r="K14" i="2"/>
  <c r="J14" i="2" a="1"/>
  <c r="J14" i="2"/>
  <c r="I14" i="2" a="1"/>
  <c r="I14" i="2" s="1"/>
  <c r="H14" i="2" a="1"/>
  <c r="H14" i="2" s="1"/>
  <c r="G14" i="2" a="1"/>
  <c r="G14" i="2" s="1"/>
  <c r="F14" i="2" a="1"/>
  <c r="F14" i="2" s="1"/>
  <c r="E14" i="2" a="1"/>
  <c r="E14" i="2" s="1"/>
  <c r="P12" i="2" s="1"/>
  <c r="D14" i="2" a="1"/>
  <c r="D14" i="2" s="1"/>
  <c r="C14" i="2" a="1"/>
  <c r="C14" i="2"/>
  <c r="B14" i="2" a="1"/>
  <c r="B14" i="2"/>
  <c r="O12" i="2" s="1"/>
  <c r="M13" i="2" a="1"/>
  <c r="M13" i="2" s="1"/>
  <c r="K13" i="2" a="1"/>
  <c r="K13" i="2" s="1"/>
  <c r="J13" i="2" a="1"/>
  <c r="J13" i="2" s="1"/>
  <c r="I13" i="2" a="1"/>
  <c r="I13" i="2" s="1"/>
  <c r="H13" i="2" a="1"/>
  <c r="H13" i="2" s="1"/>
  <c r="G13" i="2" a="1"/>
  <c r="G13" i="2" s="1"/>
  <c r="F13" i="2" a="1"/>
  <c r="F13" i="2"/>
  <c r="E13" i="2" a="1"/>
  <c r="E13" i="2"/>
  <c r="P11" i="2" s="1"/>
  <c r="D13" i="2" a="1"/>
  <c r="D13" i="2" s="1"/>
  <c r="C13" i="2" a="1"/>
  <c r="C13" i="2" s="1"/>
  <c r="B13" i="2" a="1"/>
  <c r="B13" i="2" s="1"/>
  <c r="O11" i="2" s="1"/>
  <c r="M12" i="2" a="1"/>
  <c r="M12" i="2" s="1"/>
  <c r="K12" i="2" a="1"/>
  <c r="K12" i="2" s="1"/>
  <c r="J12" i="2" a="1"/>
  <c r="J12" i="2" s="1"/>
  <c r="I12" i="2" a="1"/>
  <c r="I12" i="2"/>
  <c r="H12" i="2" a="1"/>
  <c r="H12" i="2" s="1"/>
  <c r="G12" i="2" a="1"/>
  <c r="G12" i="2" s="1"/>
  <c r="F12" i="2" a="1"/>
  <c r="F12" i="2" s="1"/>
  <c r="E12" i="2" a="1"/>
  <c r="E12" i="2" s="1"/>
  <c r="P10" i="2" s="1"/>
  <c r="D12" i="2" a="1"/>
  <c r="D12" i="2" s="1"/>
  <c r="C12" i="2" a="1"/>
  <c r="C12" i="2" s="1"/>
  <c r="B12" i="2" a="1"/>
  <c r="B12" i="2" s="1"/>
  <c r="M11" i="2" a="1"/>
  <c r="M11" i="2" s="1"/>
  <c r="K11" i="2" a="1"/>
  <c r="K11" i="2" s="1"/>
  <c r="J11" i="2" a="1"/>
  <c r="J11" i="2"/>
  <c r="I11" i="2" a="1"/>
  <c r="I11" i="2" s="1"/>
  <c r="H11" i="2" a="1"/>
  <c r="H11" i="2" s="1"/>
  <c r="G11" i="2" a="1"/>
  <c r="G11" i="2" s="1"/>
  <c r="F11" i="2" a="1"/>
  <c r="F11" i="2" s="1"/>
  <c r="E11" i="2" a="1"/>
  <c r="E11" i="2" s="1"/>
  <c r="P9" i="2" s="1"/>
  <c r="D11" i="2" a="1"/>
  <c r="D11" i="2" s="1"/>
  <c r="C11" i="2" a="1"/>
  <c r="C11" i="2"/>
  <c r="B11" i="2" a="1"/>
  <c r="B11" i="2"/>
  <c r="O9" i="2" s="1"/>
  <c r="M10" i="2" a="1"/>
  <c r="M10" i="2" s="1"/>
  <c r="K10" i="2" a="1"/>
  <c r="K10" i="2" s="1"/>
  <c r="J10" i="2" a="1"/>
  <c r="J10" i="2" s="1"/>
  <c r="I10" i="2" a="1"/>
  <c r="I10" i="2" s="1"/>
  <c r="H10" i="2" a="1"/>
  <c r="H10" i="2" s="1"/>
  <c r="G10" i="2" a="1"/>
  <c r="G10" i="2" s="1"/>
  <c r="F10" i="2" a="1"/>
  <c r="F10" i="2"/>
  <c r="E10" i="2" a="1"/>
  <c r="E10" i="2"/>
  <c r="P8" i="2" s="1"/>
  <c r="D10" i="2" a="1"/>
  <c r="D10" i="2" s="1"/>
  <c r="C10" i="2" a="1"/>
  <c r="C10" i="2" s="1"/>
  <c r="B10" i="2" a="1"/>
  <c r="B10" i="2" s="1"/>
  <c r="M9" i="2" a="1"/>
  <c r="M9" i="2" s="1"/>
  <c r="K9" i="2" a="1"/>
  <c r="K9" i="2" s="1"/>
  <c r="J9" i="2" a="1"/>
  <c r="J9" i="2" s="1"/>
  <c r="I9" i="2" a="1"/>
  <c r="I9" i="2"/>
  <c r="H9" i="2" a="1"/>
  <c r="H9" i="2"/>
  <c r="G9" i="2" a="1"/>
  <c r="G9" i="2" s="1"/>
  <c r="F9" i="2" a="1"/>
  <c r="F9" i="2" s="1"/>
  <c r="E9" i="2" a="1"/>
  <c r="E9" i="2" s="1"/>
  <c r="P7" i="2" s="1"/>
  <c r="D9" i="2" a="1"/>
  <c r="D9" i="2" s="1"/>
  <c r="C9" i="2" a="1"/>
  <c r="C9" i="2" s="1"/>
  <c r="B9" i="2" a="1"/>
  <c r="B9" i="2" s="1"/>
  <c r="O7" i="2" s="1"/>
  <c r="M8" i="2" a="1"/>
  <c r="M8" i="2"/>
  <c r="K8" i="2" a="1"/>
  <c r="K8" i="2"/>
  <c r="J8" i="2" a="1"/>
  <c r="J8" i="2" s="1"/>
  <c r="I8" i="2" a="1"/>
  <c r="I8" i="2" s="1"/>
  <c r="H8" i="2" a="1"/>
  <c r="H8" i="2" s="1"/>
  <c r="G8" i="2" a="1"/>
  <c r="G8" i="2" s="1"/>
  <c r="F8" i="2" a="1"/>
  <c r="F8" i="2" s="1"/>
  <c r="E8" i="2" a="1"/>
  <c r="E8" i="2" s="1"/>
  <c r="P6" i="2" s="1"/>
  <c r="D8" i="2" a="1"/>
  <c r="D8" i="2"/>
  <c r="C8" i="2" a="1"/>
  <c r="C8" i="2" s="1"/>
  <c r="B8" i="2" a="1"/>
  <c r="B8" i="2" s="1"/>
  <c r="O6" i="2" s="1"/>
  <c r="M7" i="2" a="1"/>
  <c r="M7" i="2" s="1"/>
  <c r="K7" i="2" a="1"/>
  <c r="K7" i="2" s="1"/>
  <c r="J7" i="2" a="1"/>
  <c r="J7" i="2" s="1"/>
  <c r="I7" i="2" a="1"/>
  <c r="I7" i="2" s="1"/>
  <c r="H7" i="2" a="1"/>
  <c r="H7" i="2" s="1"/>
  <c r="G7" i="2" a="1"/>
  <c r="G7" i="2" s="1"/>
  <c r="F7" i="2" a="1"/>
  <c r="F7" i="2" s="1"/>
  <c r="E7" i="2" a="1"/>
  <c r="E7" i="2"/>
  <c r="P5" i="2" s="1"/>
  <c r="D7" i="2" a="1"/>
  <c r="D7" i="2" s="1"/>
  <c r="C7" i="2" a="1"/>
  <c r="C7" i="2" s="1"/>
  <c r="B7" i="2" a="1"/>
  <c r="B7" i="2" s="1"/>
  <c r="O5" i="2" s="1"/>
  <c r="M6" i="2" a="1"/>
  <c r="M6" i="2" s="1"/>
  <c r="K6" i="2" a="1"/>
  <c r="K6" i="2" s="1"/>
  <c r="J6" i="2" a="1"/>
  <c r="J6" i="2" s="1"/>
  <c r="I6" i="2" a="1"/>
  <c r="I6" i="2"/>
  <c r="H6" i="2" a="1"/>
  <c r="H6" i="2"/>
  <c r="G6" i="2" a="1"/>
  <c r="G6" i="2" s="1"/>
  <c r="F6" i="2" a="1"/>
  <c r="F6" i="2" s="1"/>
  <c r="E6" i="2" a="1"/>
  <c r="E6" i="2" s="1"/>
  <c r="P4" i="2" s="1"/>
  <c r="D6" i="2" a="1"/>
  <c r="D6" i="2" s="1"/>
  <c r="C6" i="2" a="1"/>
  <c r="C6" i="2" s="1"/>
  <c r="B6" i="2" a="1"/>
  <c r="B6" i="2" s="1"/>
  <c r="O4" i="2" s="1"/>
  <c r="M5" i="2" a="1"/>
  <c r="M5" i="2"/>
  <c r="K5" i="2" a="1"/>
  <c r="K5" i="2"/>
  <c r="J5" i="2" a="1"/>
  <c r="J5" i="2" s="1"/>
  <c r="I5" i="2" a="1"/>
  <c r="I5" i="2" s="1"/>
  <c r="H5" i="2" a="1"/>
  <c r="H5" i="2" s="1"/>
  <c r="G5" i="2" a="1"/>
  <c r="G5" i="2" s="1"/>
  <c r="F5" i="2" a="1"/>
  <c r="F5" i="2" s="1"/>
  <c r="E5" i="2" a="1"/>
  <c r="E5" i="2" s="1"/>
  <c r="P3" i="2" s="1"/>
  <c r="D5" i="2" a="1"/>
  <c r="D5" i="2"/>
  <c r="C5" i="2" a="1"/>
  <c r="C5" i="2"/>
  <c r="B5" i="2" a="1"/>
  <c r="B5" i="2" s="1"/>
  <c r="O3" i="2" s="1"/>
  <c r="M4" i="2" a="1"/>
  <c r="M4" i="2" s="1"/>
  <c r="K4" i="2" a="1"/>
  <c r="K4" i="2" s="1"/>
  <c r="J4" i="2" a="1"/>
  <c r="J4" i="2" s="1"/>
  <c r="I4" i="2" a="1"/>
  <c r="I4" i="2" s="1"/>
  <c r="H4" i="2" a="1"/>
  <c r="H4" i="2" s="1"/>
  <c r="G4" i="2" a="1"/>
  <c r="G4" i="2"/>
  <c r="F4" i="2" a="1"/>
  <c r="F4" i="2"/>
  <c r="E4" i="2" a="1"/>
  <c r="E4" i="2" s="1"/>
  <c r="P2" i="2" s="1"/>
  <c r="D4" i="2" a="1"/>
  <c r="D4" i="2" s="1"/>
  <c r="C4" i="2" a="1"/>
  <c r="C4" i="2" s="1"/>
  <c r="B4" i="2" a="1"/>
  <c r="B4" i="2" s="1"/>
  <c r="R25" i="1" a="1"/>
  <c r="R25" i="1" s="1"/>
  <c r="N25" i="1" a="1"/>
  <c r="N25" i="1"/>
  <c r="L25" i="1" a="1"/>
  <c r="L25" i="1"/>
  <c r="K25" i="1" a="1"/>
  <c r="K25" i="1" s="1"/>
  <c r="J25" i="1" a="1"/>
  <c r="J25" i="1" s="1"/>
  <c r="I25" i="1" a="1"/>
  <c r="I25" i="1" s="1"/>
  <c r="H25" i="1" a="1"/>
  <c r="H25" i="1" s="1"/>
  <c r="F25" i="1" a="1"/>
  <c r="F25" i="1" s="1"/>
  <c r="E25" i="1" a="1"/>
  <c r="E25" i="1" s="1"/>
  <c r="D25" i="1" a="1"/>
  <c r="D25" i="1" s="1"/>
  <c r="C25" i="1" a="1"/>
  <c r="C25" i="1"/>
  <c r="R24" i="1" a="1"/>
  <c r="R24" i="1" s="1"/>
  <c r="N24" i="1" a="1"/>
  <c r="N24" i="1" s="1"/>
  <c r="L24" i="1" a="1"/>
  <c r="L24" i="1" s="1"/>
  <c r="K24" i="1" a="1"/>
  <c r="K24" i="1" s="1"/>
  <c r="J24" i="1" a="1"/>
  <c r="J24" i="1"/>
  <c r="I24" i="1" a="1"/>
  <c r="I24" i="1" s="1"/>
  <c r="H24" i="1" a="1"/>
  <c r="H24" i="1" s="1"/>
  <c r="F24" i="1" a="1"/>
  <c r="F24" i="1" s="1"/>
  <c r="E24" i="1" a="1"/>
  <c r="E24" i="1" s="1"/>
  <c r="D24" i="1" a="1"/>
  <c r="D24" i="1"/>
  <c r="C24" i="1" a="1"/>
  <c r="C24" i="1" s="1"/>
  <c r="R23" i="1" a="1"/>
  <c r="R23" i="1" s="1"/>
  <c r="N23" i="1" a="1"/>
  <c r="N23" i="1"/>
  <c r="L23" i="1" a="1"/>
  <c r="L23" i="1"/>
  <c r="K23" i="1" a="1"/>
  <c r="K23" i="1"/>
  <c r="J23" i="1" a="1"/>
  <c r="J23" i="1" s="1"/>
  <c r="I23" i="1" a="1"/>
  <c r="I23" i="1" s="1"/>
  <c r="H23" i="1" a="1"/>
  <c r="H23" i="1" s="1"/>
  <c r="F23" i="1" a="1"/>
  <c r="F23" i="1" s="1"/>
  <c r="E23" i="1" a="1"/>
  <c r="E23" i="1" s="1"/>
  <c r="D23" i="1" a="1"/>
  <c r="D23" i="1"/>
  <c r="C23" i="1" a="1"/>
  <c r="C23" i="1" s="1"/>
  <c r="R22" i="1" a="1"/>
  <c r="R22" i="1" s="1"/>
  <c r="N22" i="1" a="1"/>
  <c r="N22" i="1" s="1"/>
  <c r="L22" i="1" a="1"/>
  <c r="L22" i="1" s="1"/>
  <c r="K22" i="1" a="1"/>
  <c r="K22" i="1" s="1"/>
  <c r="J22" i="1" a="1"/>
  <c r="J22" i="1" s="1"/>
  <c r="I22" i="1" a="1"/>
  <c r="I22" i="1" s="1"/>
  <c r="H22" i="1" a="1"/>
  <c r="H22" i="1" s="1"/>
  <c r="F22" i="1" a="1"/>
  <c r="F22" i="1" s="1"/>
  <c r="E22" i="1" a="1"/>
  <c r="E22" i="1" s="1"/>
  <c r="D22" i="1" a="1"/>
  <c r="D22" i="1" s="1"/>
  <c r="C22" i="1" a="1"/>
  <c r="C22" i="1"/>
  <c r="R21" i="1" a="1"/>
  <c r="R21" i="1" s="1"/>
  <c r="N21" i="1" a="1"/>
  <c r="N21" i="1" s="1"/>
  <c r="L21" i="1" a="1"/>
  <c r="L21" i="1" s="1"/>
  <c r="K21" i="1" a="1"/>
  <c r="K21" i="1" s="1"/>
  <c r="J21" i="1" a="1"/>
  <c r="J21" i="1"/>
  <c r="I21" i="1" a="1"/>
  <c r="I21" i="1" s="1"/>
  <c r="H21" i="1" a="1"/>
  <c r="H21" i="1" s="1"/>
  <c r="F21" i="1" a="1"/>
  <c r="F21" i="1"/>
  <c r="E21" i="1" a="1"/>
  <c r="E21" i="1" s="1"/>
  <c r="D21" i="1" a="1"/>
  <c r="D21" i="1" s="1"/>
  <c r="C21" i="1" a="1"/>
  <c r="C21" i="1" s="1"/>
  <c r="R20" i="1" a="1"/>
  <c r="R20" i="1" s="1"/>
  <c r="N20" i="1" a="1"/>
  <c r="N20" i="1" s="1"/>
  <c r="L20" i="1" a="1"/>
  <c r="L20" i="1"/>
  <c r="K20" i="1" a="1"/>
  <c r="K20" i="1"/>
  <c r="J20" i="1" a="1"/>
  <c r="J20" i="1"/>
  <c r="I20" i="1" a="1"/>
  <c r="I20" i="1" s="1"/>
  <c r="H20" i="1" a="1"/>
  <c r="H20" i="1" s="1"/>
  <c r="F20" i="1" a="1"/>
  <c r="F20" i="1" s="1"/>
  <c r="E20" i="1" a="1"/>
  <c r="E20" i="1" s="1"/>
  <c r="D20" i="1" a="1"/>
  <c r="D20" i="1"/>
  <c r="C20" i="1" a="1"/>
  <c r="C20" i="1"/>
  <c r="R19" i="1" a="1"/>
  <c r="R19" i="1"/>
  <c r="N19" i="1" a="1"/>
  <c r="N19" i="1"/>
  <c r="L19" i="1" a="1"/>
  <c r="L19" i="1" s="1"/>
  <c r="K19" i="1" a="1"/>
  <c r="K19" i="1" s="1"/>
  <c r="J19" i="1" a="1"/>
  <c r="J19" i="1" s="1"/>
  <c r="I19" i="1" a="1"/>
  <c r="I19" i="1" s="1"/>
  <c r="H19" i="1" a="1"/>
  <c r="H19" i="1"/>
  <c r="F19" i="1" a="1"/>
  <c r="F19" i="1"/>
  <c r="E19" i="1" a="1"/>
  <c r="E19" i="1"/>
  <c r="D19" i="1" a="1"/>
  <c r="D19" i="1" s="1"/>
  <c r="C19" i="1" a="1"/>
  <c r="C19" i="1"/>
  <c r="R18" i="1" a="1"/>
  <c r="R18" i="1" s="1"/>
  <c r="N18" i="1" a="1"/>
  <c r="N18" i="1" s="1"/>
  <c r="L18" i="1" a="1"/>
  <c r="L18" i="1" s="1"/>
  <c r="K18" i="1" a="1"/>
  <c r="K18" i="1"/>
  <c r="J18" i="1" a="1"/>
  <c r="J18" i="1"/>
  <c r="I18" i="1" a="1"/>
  <c r="I18" i="1" s="1"/>
  <c r="H18" i="1" a="1"/>
  <c r="H18" i="1" s="1"/>
  <c r="F18" i="1" a="1"/>
  <c r="F18" i="1" s="1"/>
  <c r="E18" i="1" a="1"/>
  <c r="E18" i="1" s="1"/>
  <c r="D18" i="1" a="1"/>
  <c r="D18" i="1" s="1"/>
  <c r="C18" i="1" a="1"/>
  <c r="C18" i="1" s="1"/>
  <c r="R17" i="1" a="1"/>
  <c r="R17" i="1"/>
  <c r="N17" i="1" a="1"/>
  <c r="N17" i="1" s="1"/>
  <c r="L17" i="1" a="1"/>
  <c r="L17" i="1" s="1"/>
  <c r="K17" i="1" a="1"/>
  <c r="K17" i="1" s="1"/>
  <c r="J17" i="1" a="1"/>
  <c r="J17" i="1"/>
  <c r="I17" i="1" a="1"/>
  <c r="I17" i="1" s="1"/>
  <c r="H17" i="1" a="1"/>
  <c r="H17" i="1" s="1"/>
  <c r="F17" i="1" a="1"/>
  <c r="F17" i="1" s="1"/>
  <c r="E17" i="1" a="1"/>
  <c r="E17" i="1" s="1"/>
  <c r="D17" i="1" a="1"/>
  <c r="D17" i="1"/>
  <c r="C17" i="1" a="1"/>
  <c r="C17" i="1" s="1"/>
  <c r="R16" i="1" a="1"/>
  <c r="R16" i="1"/>
  <c r="N16" i="1" a="1"/>
  <c r="N16" i="1" s="1"/>
  <c r="L16" i="1" a="1"/>
  <c r="L16" i="1" s="1"/>
  <c r="K16" i="1" a="1"/>
  <c r="K16" i="1" s="1"/>
  <c r="J16" i="1" a="1"/>
  <c r="J16" i="1" s="1"/>
  <c r="I16" i="1" a="1"/>
  <c r="I16" i="1" s="1"/>
  <c r="H16" i="1" a="1"/>
  <c r="H16" i="1" s="1"/>
  <c r="F16" i="1" a="1"/>
  <c r="F16" i="1"/>
  <c r="E16" i="1" a="1"/>
  <c r="E16" i="1"/>
  <c r="D16" i="1" a="1"/>
  <c r="D16" i="1"/>
  <c r="C16" i="1" a="1"/>
  <c r="C16" i="1" s="1"/>
  <c r="X12" i="1" a="1"/>
  <c r="X12" i="1" s="1"/>
  <c r="W12" i="1" a="1"/>
  <c r="W12" i="1" s="1"/>
  <c r="V12" i="1" a="1"/>
  <c r="V12" i="1" s="1"/>
  <c r="U12" i="1" a="1"/>
  <c r="U12" i="1"/>
  <c r="X11" i="1" a="1"/>
  <c r="X11" i="1"/>
  <c r="W11" i="1" a="1"/>
  <c r="W11" i="1" s="1"/>
  <c r="V11" i="1" a="1"/>
  <c r="V11" i="1"/>
  <c r="U11" i="1" a="1"/>
  <c r="U11" i="1" s="1"/>
  <c r="X10" i="1" a="1"/>
  <c r="X10" i="1"/>
  <c r="W10" i="1" a="1"/>
  <c r="W10" i="1" s="1"/>
  <c r="V10" i="1" a="1"/>
  <c r="V10" i="1" s="1"/>
  <c r="U10" i="1" a="1"/>
  <c r="U10" i="1"/>
  <c r="X9" i="1" a="1"/>
  <c r="X9" i="1"/>
  <c r="W9" i="1" a="1"/>
  <c r="W9" i="1"/>
  <c r="V9" i="1" a="1"/>
  <c r="V9" i="1" s="1"/>
  <c r="U9" i="1" a="1"/>
  <c r="U9" i="1"/>
  <c r="X8" i="1" a="1"/>
  <c r="X8" i="1" s="1"/>
  <c r="W8" i="1" a="1"/>
  <c r="W8" i="1" s="1"/>
  <c r="V8" i="1" a="1"/>
  <c r="V8" i="1" s="1"/>
  <c r="U8" i="1" a="1"/>
  <c r="U8" i="1"/>
  <c r="R12" i="1" a="1"/>
  <c r="R12" i="1"/>
  <c r="Q12" i="1" a="1"/>
  <c r="Q12" i="1" s="1"/>
  <c r="P12" i="1" a="1"/>
  <c r="P12" i="1" s="1"/>
  <c r="O12" i="1" a="1"/>
  <c r="O12" i="1" s="1"/>
  <c r="R11" i="1" a="1"/>
  <c r="R11" i="1" s="1"/>
  <c r="Q11" i="1" a="1"/>
  <c r="Q11" i="1" s="1"/>
  <c r="P11" i="1" a="1"/>
  <c r="P11" i="1" s="1"/>
  <c r="O11" i="1" a="1"/>
  <c r="O11" i="1"/>
  <c r="R10" i="1" a="1"/>
  <c r="R10" i="1" s="1"/>
  <c r="Q10" i="1" a="1"/>
  <c r="Q10" i="1"/>
  <c r="P10" i="1" a="1"/>
  <c r="P10" i="1" s="1"/>
  <c r="O10" i="1" a="1"/>
  <c r="O10" i="1"/>
  <c r="R9" i="1" a="1"/>
  <c r="R9" i="1" s="1"/>
  <c r="Q9" i="1" a="1"/>
  <c r="Q9" i="1" s="1"/>
  <c r="P9" i="1" a="1"/>
  <c r="P9" i="1" s="1"/>
  <c r="O9" i="1" a="1"/>
  <c r="O9" i="1" s="1"/>
  <c r="R8" i="1" a="1"/>
  <c r="R8" i="1"/>
  <c r="Q8" i="1" a="1"/>
  <c r="Q8" i="1" s="1"/>
  <c r="P8" i="1" a="1"/>
  <c r="P8" i="1" s="1"/>
  <c r="O8" i="1" a="1"/>
  <c r="O8" i="1"/>
  <c r="L12" i="1" a="1"/>
  <c r="L12" i="1" s="1"/>
  <c r="K12" i="1" a="1"/>
  <c r="K12" i="1" s="1"/>
  <c r="J12" i="1" a="1"/>
  <c r="J12" i="1" s="1"/>
  <c r="I12" i="1" a="1"/>
  <c r="I12" i="1" s="1"/>
  <c r="L11" i="1" a="1"/>
  <c r="L11" i="1" s="1"/>
  <c r="K11" i="1" a="1"/>
  <c r="K11" i="1"/>
  <c r="J11" i="1" a="1"/>
  <c r="J11" i="1"/>
  <c r="I11" i="1" a="1"/>
  <c r="I11" i="1" s="1"/>
  <c r="L10" i="1" a="1"/>
  <c r="L10" i="1" s="1"/>
  <c r="K10" i="1" a="1"/>
  <c r="K10" i="1" s="1"/>
  <c r="J10" i="1" a="1"/>
  <c r="J10" i="1" s="1"/>
  <c r="I10" i="1" a="1"/>
  <c r="I10" i="1" s="1"/>
  <c r="L9" i="1" a="1"/>
  <c r="L9" i="1" s="1"/>
  <c r="K9" i="1" a="1"/>
  <c r="K9" i="1"/>
  <c r="J9" i="1" a="1"/>
  <c r="J9" i="1"/>
  <c r="I9" i="1" a="1"/>
  <c r="I9" i="1"/>
  <c r="L8" i="1" a="1"/>
  <c r="L8" i="1" s="1"/>
  <c r="K8" i="1" a="1"/>
  <c r="K8" i="1" s="1"/>
  <c r="J8" i="1" a="1"/>
  <c r="J8" i="1" s="1"/>
  <c r="I8" i="1" a="1"/>
  <c r="I8" i="1"/>
  <c r="F12" i="1" a="1"/>
  <c r="F12" i="1"/>
  <c r="E12" i="1" a="1"/>
  <c r="E12" i="1" s="1"/>
  <c r="D12" i="1" a="1"/>
  <c r="D12" i="1"/>
  <c r="C12" i="1" a="1"/>
  <c r="C12" i="1" s="1"/>
  <c r="F11" i="1" a="1"/>
  <c r="F11" i="1" s="1"/>
  <c r="E11" i="1" a="1"/>
  <c r="E11" i="1" s="1"/>
  <c r="D11" i="1" a="1"/>
  <c r="D11" i="1"/>
  <c r="C11" i="1" a="1"/>
  <c r="C11" i="1" s="1"/>
  <c r="F10" i="1" a="1"/>
  <c r="F10" i="1" s="1"/>
  <c r="E10" i="1" a="1"/>
  <c r="E10" i="1" s="1"/>
  <c r="D10" i="1" a="1"/>
  <c r="D10" i="1" s="1"/>
  <c r="C10" i="1" a="1"/>
  <c r="C10" i="1" s="1"/>
  <c r="F9" i="1" a="1"/>
  <c r="F9" i="1" s="1"/>
  <c r="E9" i="1" a="1"/>
  <c r="E9" i="1"/>
  <c r="D9" i="1" a="1"/>
  <c r="D9" i="1" s="1"/>
  <c r="C9" i="1" a="1"/>
  <c r="C9" i="1"/>
  <c r="F8" i="1" a="1"/>
  <c r="F8" i="1"/>
  <c r="E8" i="1" a="1"/>
  <c r="E8" i="1" s="1"/>
  <c r="D8" i="1" a="1"/>
  <c r="D8" i="1" s="1"/>
  <c r="C8" i="1" a="1"/>
  <c r="C8" i="1" s="1"/>
  <c r="K16" i="16"/>
  <c r="J16" i="16"/>
  <c r="I16" i="16" a="1"/>
  <c r="I16" i="16" s="1"/>
  <c r="F16" i="16"/>
  <c r="E16" i="16"/>
  <c r="D16" i="16"/>
  <c r="C16" i="16"/>
  <c r="B16" i="16"/>
  <c r="K15" i="16"/>
  <c r="J15" i="16"/>
  <c r="I15" i="16" a="1"/>
  <c r="I15" i="16" s="1"/>
  <c r="F15" i="16"/>
  <c r="E15" i="16"/>
  <c r="D15" i="16"/>
  <c r="C15" i="16"/>
  <c r="B15" i="16"/>
  <c r="K14" i="16"/>
  <c r="J14" i="16"/>
  <c r="I14" i="16" a="1"/>
  <c r="I14" i="16" s="1"/>
  <c r="F14" i="16"/>
  <c r="E14" i="16"/>
  <c r="D14" i="16"/>
  <c r="C14" i="16"/>
  <c r="B14" i="16"/>
  <c r="K13" i="16"/>
  <c r="J13" i="16"/>
  <c r="I13" i="16" a="1"/>
  <c r="I13" i="16" s="1"/>
  <c r="F13" i="16"/>
  <c r="E13" i="16"/>
  <c r="D13" i="16"/>
  <c r="C13" i="16"/>
  <c r="B13" i="16"/>
  <c r="K12" i="16"/>
  <c r="J12" i="16"/>
  <c r="I12" i="16" a="1"/>
  <c r="I12" i="16" s="1"/>
  <c r="F12" i="16"/>
  <c r="E12" i="16"/>
  <c r="D12" i="16"/>
  <c r="C12" i="16"/>
  <c r="B12" i="16"/>
  <c r="K11" i="16"/>
  <c r="J11" i="16"/>
  <c r="I11" i="16" a="1"/>
  <c r="I11" i="16" s="1"/>
  <c r="F11" i="16"/>
  <c r="E11" i="16"/>
  <c r="D11" i="16"/>
  <c r="C11" i="16"/>
  <c r="B11" i="16"/>
  <c r="K10" i="16"/>
  <c r="J10" i="16"/>
  <c r="I10" i="16" a="1"/>
  <c r="I10" i="16" s="1"/>
  <c r="F10" i="16"/>
  <c r="E10" i="16"/>
  <c r="D10" i="16"/>
  <c r="C10" i="16"/>
  <c r="B10" i="16"/>
  <c r="K9" i="16"/>
  <c r="J9" i="16"/>
  <c r="I9" i="16" a="1"/>
  <c r="I9" i="16" s="1"/>
  <c r="F9" i="16"/>
  <c r="E9" i="16"/>
  <c r="D9" i="16"/>
  <c r="C9" i="16"/>
  <c r="B9" i="16"/>
  <c r="Q30" i="10" a="1"/>
  <c r="Q30" i="10" s="1"/>
  <c r="P30" i="10" a="1"/>
  <c r="P30" i="10" s="1"/>
  <c r="O30" i="10" a="1"/>
  <c r="O30" i="10" s="1"/>
  <c r="N30" i="10" a="1"/>
  <c r="N30" i="10" s="1"/>
  <c r="M30" i="10" a="1"/>
  <c r="M30" i="10" s="1"/>
  <c r="L30" i="10" a="1"/>
  <c r="L30" i="10" s="1"/>
  <c r="K30" i="10" a="1"/>
  <c r="K30" i="10" s="1"/>
  <c r="J30" i="10" a="1"/>
  <c r="J30" i="10" s="1"/>
  <c r="I30" i="10" a="1"/>
  <c r="I30" i="10" s="1"/>
  <c r="H30" i="10" a="1"/>
  <c r="H30" i="10" s="1"/>
  <c r="G30" i="10" a="1"/>
  <c r="G30" i="10" s="1"/>
  <c r="F30" i="10" a="1"/>
  <c r="F30" i="10" s="1"/>
  <c r="E30" i="10" a="1"/>
  <c r="E30" i="10" s="1"/>
  <c r="D30" i="10" a="1"/>
  <c r="D30" i="10" s="1"/>
  <c r="C30" i="10" a="1"/>
  <c r="C30" i="10" s="1"/>
  <c r="B30" i="10"/>
  <c r="Q29" i="10" a="1"/>
  <c r="Q29" i="10" s="1"/>
  <c r="P29" i="10" a="1"/>
  <c r="P29" i="10"/>
  <c r="O29" i="10" a="1"/>
  <c r="O29" i="10"/>
  <c r="N29" i="10" a="1"/>
  <c r="N29" i="10"/>
  <c r="M29" i="10" a="1"/>
  <c r="M29" i="10" s="1"/>
  <c r="L29" i="10" a="1"/>
  <c r="L29" i="10" s="1"/>
  <c r="K29" i="10" a="1"/>
  <c r="K29" i="10" s="1"/>
  <c r="J29" i="10" a="1"/>
  <c r="J29" i="10" s="1"/>
  <c r="I29" i="10" a="1"/>
  <c r="I29" i="10" s="1"/>
  <c r="H29" i="10" a="1"/>
  <c r="H29" i="10" s="1"/>
  <c r="G29" i="10" a="1"/>
  <c r="G29" i="10" s="1"/>
  <c r="F29" i="10" a="1"/>
  <c r="F29" i="10" s="1"/>
  <c r="E29" i="10" a="1"/>
  <c r="E29" i="10"/>
  <c r="D29" i="10" a="1"/>
  <c r="D29" i="10" s="1"/>
  <c r="C29" i="10" a="1"/>
  <c r="C29" i="10" s="1"/>
  <c r="B29" i="10"/>
  <c r="Q28" i="10" a="1"/>
  <c r="Q28" i="10" s="1"/>
  <c r="P28" i="10" a="1"/>
  <c r="P28" i="10" s="1"/>
  <c r="O28" i="10" a="1"/>
  <c r="O28" i="10" s="1"/>
  <c r="N28" i="10" a="1"/>
  <c r="N28" i="10" s="1"/>
  <c r="M28" i="10" a="1"/>
  <c r="M28" i="10" s="1"/>
  <c r="L28" i="10" a="1"/>
  <c r="L28" i="10"/>
  <c r="K28" i="10" a="1"/>
  <c r="K28" i="10"/>
  <c r="J28" i="10" a="1"/>
  <c r="J28" i="10" s="1"/>
  <c r="I28" i="10" a="1"/>
  <c r="I28" i="10" s="1"/>
  <c r="H28" i="10" a="1"/>
  <c r="H28" i="10" s="1"/>
  <c r="G28" i="10" a="1"/>
  <c r="G28" i="10" s="1"/>
  <c r="F28" i="10" a="1"/>
  <c r="F28" i="10" s="1"/>
  <c r="E28" i="10" a="1"/>
  <c r="E28" i="10" s="1"/>
  <c r="D28" i="10" a="1"/>
  <c r="D28" i="10" s="1"/>
  <c r="C28" i="10" a="1"/>
  <c r="C28" i="10"/>
  <c r="B28" i="10"/>
  <c r="Q27" i="10" a="1"/>
  <c r="Q27" i="10"/>
  <c r="P27" i="10" a="1"/>
  <c r="P27" i="10" s="1"/>
  <c r="O27" i="10" a="1"/>
  <c r="O27" i="10"/>
  <c r="N27" i="10" a="1"/>
  <c r="N27" i="10"/>
  <c r="M27" i="10" a="1"/>
  <c r="M27" i="10"/>
  <c r="L27" i="10" a="1"/>
  <c r="L27" i="10" s="1"/>
  <c r="K27" i="10" a="1"/>
  <c r="K27" i="10" s="1"/>
  <c r="J27" i="10" a="1"/>
  <c r="J27" i="10"/>
  <c r="I27" i="10" a="1"/>
  <c r="I27" i="10" s="1"/>
  <c r="H27" i="10" a="1"/>
  <c r="H27" i="10"/>
  <c r="G27" i="10" a="1"/>
  <c r="G27" i="10"/>
  <c r="F27" i="10" a="1"/>
  <c r="F27" i="10"/>
  <c r="E27" i="10" a="1"/>
  <c r="E27" i="10"/>
  <c r="D27" i="10" a="1"/>
  <c r="D27" i="10" s="1"/>
  <c r="C27" i="10" a="1"/>
  <c r="C27" i="10" s="1"/>
  <c r="B27" i="10"/>
  <c r="Q26" i="10" a="1"/>
  <c r="Q26" i="10" s="1"/>
  <c r="P26" i="10" a="1"/>
  <c r="P26" i="10" s="1"/>
  <c r="O26" i="10" a="1"/>
  <c r="O26" i="10" s="1"/>
  <c r="N26" i="10" a="1"/>
  <c r="N26" i="10" s="1"/>
  <c r="M26" i="10" a="1"/>
  <c r="M26" i="10"/>
  <c r="L26" i="10" a="1"/>
  <c r="L26" i="10"/>
  <c r="K26" i="10" a="1"/>
  <c r="K26" i="10" s="1"/>
  <c r="J26" i="10" a="1"/>
  <c r="J26" i="10" s="1"/>
  <c r="I26" i="10" a="1"/>
  <c r="I26" i="10" s="1"/>
  <c r="H26" i="10" a="1"/>
  <c r="H26" i="10" s="1"/>
  <c r="G26" i="10" a="1"/>
  <c r="G26" i="10" s="1"/>
  <c r="F26" i="10" a="1"/>
  <c r="F26" i="10" s="1"/>
  <c r="E26" i="10" a="1"/>
  <c r="E26" i="10" s="1"/>
  <c r="D26" i="10" a="1"/>
  <c r="D26" i="10" s="1"/>
  <c r="C26" i="10" a="1"/>
  <c r="C26" i="10" s="1"/>
  <c r="B26" i="10"/>
  <c r="Q25" i="10" a="1"/>
  <c r="Q25" i="10"/>
  <c r="P25" i="10" a="1"/>
  <c r="P25" i="10" s="1"/>
  <c r="O25" i="10" a="1"/>
  <c r="O25" i="10" s="1"/>
  <c r="N25" i="10" a="1"/>
  <c r="N25" i="10" s="1"/>
  <c r="M25" i="10" a="1"/>
  <c r="M25" i="10" s="1"/>
  <c r="L25" i="10" a="1"/>
  <c r="L25" i="10" s="1"/>
  <c r="K25" i="10" a="1"/>
  <c r="K25" i="10"/>
  <c r="J25" i="10" a="1"/>
  <c r="J25" i="10"/>
  <c r="I25" i="10" a="1"/>
  <c r="I25" i="10" s="1"/>
  <c r="H25" i="10" a="1"/>
  <c r="H25" i="10" s="1"/>
  <c r="G25" i="10" a="1"/>
  <c r="G25" i="10" s="1"/>
  <c r="F25" i="10" a="1"/>
  <c r="F25" i="10"/>
  <c r="E25" i="10" a="1"/>
  <c r="E25" i="10" s="1"/>
  <c r="D25" i="10" a="1"/>
  <c r="D25" i="10" s="1"/>
  <c r="C25" i="10" a="1"/>
  <c r="C25" i="10" s="1"/>
  <c r="B25" i="10"/>
  <c r="Q24" i="10" a="1"/>
  <c r="Q24" i="10"/>
  <c r="P24" i="10" a="1"/>
  <c r="P24" i="10"/>
  <c r="O24" i="10" a="1"/>
  <c r="O24" i="10"/>
  <c r="N24" i="10" a="1"/>
  <c r="N24" i="10"/>
  <c r="M24" i="10" a="1"/>
  <c r="M24" i="10" s="1"/>
  <c r="L24" i="10" a="1"/>
  <c r="L24" i="10" s="1"/>
  <c r="K24" i="10" a="1"/>
  <c r="K24" i="10" s="1"/>
  <c r="J24" i="10" a="1"/>
  <c r="J24" i="10"/>
  <c r="I24" i="10" a="1"/>
  <c r="I24" i="10"/>
  <c r="H24" i="10" a="1"/>
  <c r="H24" i="10"/>
  <c r="G24" i="10" a="1"/>
  <c r="G24" i="10"/>
  <c r="F24" i="10" a="1"/>
  <c r="F24" i="10" s="1"/>
  <c r="E24" i="10" a="1"/>
  <c r="E24" i="10" s="1"/>
  <c r="D24" i="10" a="1"/>
  <c r="D24" i="10"/>
  <c r="C24" i="10" a="1"/>
  <c r="C24" i="10" s="1"/>
  <c r="B24" i="10"/>
  <c r="Q23" i="10" a="1"/>
  <c r="Q23" i="10" s="1"/>
  <c r="P23" i="10" a="1"/>
  <c r="P23" i="10" s="1"/>
  <c r="O23" i="10" a="1"/>
  <c r="O23" i="10" s="1"/>
  <c r="N23" i="10" a="1"/>
  <c r="N23" i="10"/>
  <c r="M23" i="10" a="1"/>
  <c r="M23" i="10"/>
  <c r="L23" i="10" a="1"/>
  <c r="L23" i="10"/>
  <c r="K23" i="10" a="1"/>
  <c r="K23" i="10"/>
  <c r="J23" i="10" a="1"/>
  <c r="J23" i="10" s="1"/>
  <c r="I23" i="10" a="1"/>
  <c r="I23" i="10" s="1"/>
  <c r="H23" i="10" a="1"/>
  <c r="H23" i="10" s="1"/>
  <c r="G23" i="10" a="1"/>
  <c r="G23" i="10"/>
  <c r="F23" i="10" a="1"/>
  <c r="F23" i="10"/>
  <c r="E23" i="10" a="1"/>
  <c r="E23" i="10" s="1"/>
  <c r="D23" i="10" a="1"/>
  <c r="D23" i="10" s="1"/>
  <c r="C23" i="10" a="1"/>
  <c r="C23" i="10" s="1"/>
  <c r="B23" i="10"/>
  <c r="Q22" i="10" a="1"/>
  <c r="Q22" i="10" s="1"/>
  <c r="P22" i="10" a="1"/>
  <c r="P22" i="10" s="1"/>
  <c r="O22" i="10" a="1"/>
  <c r="O22" i="10" s="1"/>
  <c r="N22" i="10" a="1"/>
  <c r="N22" i="10" s="1"/>
  <c r="M22" i="10" a="1"/>
  <c r="M22" i="10" s="1"/>
  <c r="L22" i="10" a="1"/>
  <c r="L22" i="10"/>
  <c r="K22" i="10" a="1"/>
  <c r="K22" i="10" s="1"/>
  <c r="J22" i="10" a="1"/>
  <c r="J22" i="10" s="1"/>
  <c r="I22" i="10" a="1"/>
  <c r="I22" i="10" s="1"/>
  <c r="H22" i="10" a="1"/>
  <c r="H22" i="10" s="1"/>
  <c r="G22" i="10" a="1"/>
  <c r="G22" i="10" s="1"/>
  <c r="F22" i="10" a="1"/>
  <c r="F22" i="10" s="1"/>
  <c r="E22" i="10" a="1"/>
  <c r="E22" i="10" s="1"/>
  <c r="D22" i="10" a="1"/>
  <c r="D22" i="10"/>
  <c r="C22" i="10" a="1"/>
  <c r="C22" i="10"/>
  <c r="B22" i="10"/>
  <c r="Q21" i="10" a="1"/>
  <c r="Q21" i="10"/>
  <c r="P21" i="10" a="1"/>
  <c r="P21" i="10"/>
  <c r="O21" i="10" a="1"/>
  <c r="O21" i="10"/>
  <c r="N21" i="10" a="1"/>
  <c r="N21" i="10" s="1"/>
  <c r="M21" i="10" a="1"/>
  <c r="M21" i="10" s="1"/>
  <c r="L21" i="10" a="1"/>
  <c r="L21" i="10" s="1"/>
  <c r="K21" i="10" a="1"/>
  <c r="K21" i="10" s="1"/>
  <c r="J21" i="10" a="1"/>
  <c r="J21" i="10"/>
  <c r="I21" i="10" a="1"/>
  <c r="I21" i="10" s="1"/>
  <c r="H21" i="10" a="1"/>
  <c r="H21" i="10" s="1"/>
  <c r="Z39" i="10" s="1"/>
  <c r="G21" i="10" a="1"/>
  <c r="G21" i="10" s="1"/>
  <c r="Y39" i="10" s="1"/>
  <c r="F21" i="10" a="1"/>
  <c r="F21" i="10" s="1"/>
  <c r="X39" i="10" s="1"/>
  <c r="E21" i="10" a="1"/>
  <c r="E21" i="10"/>
  <c r="T39" i="10" s="1"/>
  <c r="D21" i="10" a="1"/>
  <c r="D21" i="10" s="1"/>
  <c r="C21" i="10" a="1"/>
  <c r="C21" i="10"/>
  <c r="B21" i="10"/>
  <c r="Q20" i="10" a="1"/>
  <c r="Q20" i="10"/>
  <c r="P20" i="10" a="1"/>
  <c r="P20" i="10" s="1"/>
  <c r="O20" i="10" a="1"/>
  <c r="O20" i="10" s="1"/>
  <c r="N20" i="10" a="1"/>
  <c r="N20" i="10" s="1"/>
  <c r="M20" i="10" a="1"/>
  <c r="M20" i="10" s="1"/>
  <c r="L20" i="10" a="1"/>
  <c r="L20" i="10" s="1"/>
  <c r="K20" i="10" a="1"/>
  <c r="K20" i="10" s="1"/>
  <c r="J20" i="10" a="1"/>
  <c r="J20" i="10" s="1"/>
  <c r="I20" i="10" a="1"/>
  <c r="I20" i="10" s="1"/>
  <c r="H20" i="10" a="1"/>
  <c r="H20" i="10" s="1"/>
  <c r="Z38" i="10" s="1"/>
  <c r="G20" i="10" a="1"/>
  <c r="G20" i="10" s="1"/>
  <c r="Y38" i="10" s="1"/>
  <c r="F20" i="10" a="1"/>
  <c r="F20" i="10" s="1"/>
  <c r="X38" i="10" s="1"/>
  <c r="E20" i="10" a="1"/>
  <c r="E20" i="10" s="1"/>
  <c r="T38" i="10" s="1"/>
  <c r="D20" i="10" a="1"/>
  <c r="D20" i="10" s="1"/>
  <c r="W38" i="10" s="1"/>
  <c r="C20" i="10" a="1"/>
  <c r="C20" i="10"/>
  <c r="B20" i="10"/>
  <c r="Q19" i="10" a="1"/>
  <c r="Q19" i="10" s="1"/>
  <c r="P19" i="10" a="1"/>
  <c r="P19" i="10"/>
  <c r="O19" i="10" a="1"/>
  <c r="O19" i="10" s="1"/>
  <c r="N19" i="10" a="1"/>
  <c r="N19" i="10" s="1"/>
  <c r="M19" i="10" a="1"/>
  <c r="M19" i="10"/>
  <c r="L19" i="10" a="1"/>
  <c r="L19" i="10"/>
  <c r="K19" i="10" a="1"/>
  <c r="K19" i="10" s="1"/>
  <c r="J19" i="10" a="1"/>
  <c r="J19" i="10" s="1"/>
  <c r="I19" i="10" a="1"/>
  <c r="I19" i="10" s="1"/>
  <c r="H19" i="10" a="1"/>
  <c r="H19" i="10" s="1"/>
  <c r="Z37" i="10" s="1"/>
  <c r="G19" i="10" a="1"/>
  <c r="G19" i="10" s="1"/>
  <c r="Y37" i="10" s="1"/>
  <c r="F19" i="10" a="1"/>
  <c r="F19" i="10"/>
  <c r="X37" i="10" s="1"/>
  <c r="E19" i="10" a="1"/>
  <c r="E19" i="10" s="1"/>
  <c r="T37" i="10" s="1"/>
  <c r="D19" i="10" a="1"/>
  <c r="D19" i="10" s="1"/>
  <c r="S37" i="10" s="1"/>
  <c r="C19" i="10" a="1"/>
  <c r="C19" i="10" s="1"/>
  <c r="B19" i="10"/>
  <c r="Q18" i="10" a="1"/>
  <c r="Q18" i="10"/>
  <c r="P18" i="10" a="1"/>
  <c r="P18" i="10" s="1"/>
  <c r="O18" i="10" a="1"/>
  <c r="O18" i="10" s="1"/>
  <c r="N18" i="10" a="1"/>
  <c r="N18" i="10" s="1"/>
  <c r="M18" i="10" a="1"/>
  <c r="M18" i="10" s="1"/>
  <c r="L18" i="10" a="1"/>
  <c r="L18" i="10" s="1"/>
  <c r="K18" i="10" a="1"/>
  <c r="K18" i="10" s="1"/>
  <c r="J18" i="10" a="1"/>
  <c r="J18" i="10"/>
  <c r="I18" i="10" a="1"/>
  <c r="I18" i="10"/>
  <c r="H18" i="10" a="1"/>
  <c r="H18" i="10" s="1"/>
  <c r="Z36" i="10" s="1"/>
  <c r="G18" i="10" a="1"/>
  <c r="G18" i="10" s="1"/>
  <c r="Y36" i="10" s="1"/>
  <c r="F18" i="10" a="1"/>
  <c r="F18" i="10" s="1"/>
  <c r="X36" i="10" s="1"/>
  <c r="E18" i="10" a="1"/>
  <c r="E18" i="10" s="1"/>
  <c r="T36" i="10" s="1"/>
  <c r="D18" i="10" a="1"/>
  <c r="D18" i="10" s="1"/>
  <c r="C18" i="10" a="1"/>
  <c r="C18" i="10" s="1"/>
  <c r="B18" i="10"/>
  <c r="Q17" i="10" a="1"/>
  <c r="Q17" i="10"/>
  <c r="P17" i="10" a="1"/>
  <c r="P17" i="10"/>
  <c r="O17" i="10" a="1"/>
  <c r="O17" i="10" s="1"/>
  <c r="N17" i="10" a="1"/>
  <c r="N17" i="10" s="1"/>
  <c r="M17" i="10" a="1"/>
  <c r="M17" i="10" s="1"/>
  <c r="L17" i="10" a="1"/>
  <c r="L17" i="10" s="1"/>
  <c r="K17" i="10" a="1"/>
  <c r="K17" i="10" s="1"/>
  <c r="J17" i="10" a="1"/>
  <c r="J17" i="10" s="1"/>
  <c r="I17" i="10" a="1"/>
  <c r="I17" i="10"/>
  <c r="H17" i="10" a="1"/>
  <c r="H17" i="10"/>
  <c r="Z35" i="10" s="1"/>
  <c r="G17" i="10" a="1"/>
  <c r="G17" i="10"/>
  <c r="Y35" i="10" s="1"/>
  <c r="F17" i="10" a="1"/>
  <c r="F17" i="10" s="1"/>
  <c r="X35" i="10" s="1"/>
  <c r="E17" i="10" a="1"/>
  <c r="E17" i="10" s="1"/>
  <c r="T35" i="10" s="1"/>
  <c r="D17" i="10" a="1"/>
  <c r="D17" i="10" s="1"/>
  <c r="W35" i="10" s="1"/>
  <c r="C17" i="10" a="1"/>
  <c r="C17" i="10" s="1"/>
  <c r="B17" i="10"/>
  <c r="Q16" i="10" a="1"/>
  <c r="Q16" i="10" s="1"/>
  <c r="P16" i="10" a="1"/>
  <c r="P16" i="10" s="1"/>
  <c r="O16" i="10" a="1"/>
  <c r="O16" i="10"/>
  <c r="N16" i="10" a="1"/>
  <c r="N16" i="10" s="1"/>
  <c r="M16" i="10" a="1"/>
  <c r="M16" i="10" s="1"/>
  <c r="L16" i="10" a="1"/>
  <c r="L16" i="10" s="1"/>
  <c r="K16" i="10" a="1"/>
  <c r="K16" i="10" s="1"/>
  <c r="J16" i="10" a="1"/>
  <c r="J16" i="10" s="1"/>
  <c r="I16" i="10" a="1"/>
  <c r="I16" i="10" s="1"/>
  <c r="H16" i="10" a="1"/>
  <c r="H16" i="10" s="1"/>
  <c r="Z34" i="10" s="1"/>
  <c r="G16" i="10" a="1"/>
  <c r="G16" i="10" s="1"/>
  <c r="Y34" i="10" s="1"/>
  <c r="F16" i="10" a="1"/>
  <c r="F16" i="10" s="1"/>
  <c r="X34" i="10" s="1"/>
  <c r="E16" i="10" a="1"/>
  <c r="E16" i="10" s="1"/>
  <c r="T34" i="10" s="1"/>
  <c r="D16" i="10" a="1"/>
  <c r="D16" i="10" s="1"/>
  <c r="C16" i="10" a="1"/>
  <c r="C16" i="10" s="1"/>
  <c r="B16" i="10"/>
  <c r="Q15" i="10" a="1"/>
  <c r="Q15" i="10"/>
  <c r="P15" i="10" a="1"/>
  <c r="P15" i="10" s="1"/>
  <c r="O15" i="10" a="1"/>
  <c r="O15" i="10" s="1"/>
  <c r="N15" i="10" a="1"/>
  <c r="N15" i="10" s="1"/>
  <c r="M15" i="10" a="1"/>
  <c r="M15" i="10" s="1"/>
  <c r="L15" i="10" a="1"/>
  <c r="L15" i="10" s="1"/>
  <c r="K15" i="10" a="1"/>
  <c r="K15" i="10" s="1"/>
  <c r="J15" i="10" a="1"/>
  <c r="J15" i="10"/>
  <c r="I15" i="10" a="1"/>
  <c r="I15" i="10" s="1"/>
  <c r="H15" i="10" a="1"/>
  <c r="H15" i="10" s="1"/>
  <c r="G15" i="10" a="1"/>
  <c r="G15" i="10" s="1"/>
  <c r="F15" i="10" a="1"/>
  <c r="F15" i="10"/>
  <c r="X33" i="10" s="1"/>
  <c r="E15" i="10" a="1"/>
  <c r="E15" i="10"/>
  <c r="T33" i="10" s="1"/>
  <c r="D15" i="10" a="1"/>
  <c r="D15" i="10"/>
  <c r="S33" i="10" s="1"/>
  <c r="C15" i="10" a="1"/>
  <c r="C15" i="10" s="1"/>
  <c r="B15" i="10"/>
  <c r="Q14" i="10" a="1"/>
  <c r="Q14" i="10"/>
  <c r="P14" i="10" a="1"/>
  <c r="P14" i="10"/>
  <c r="O14" i="10" a="1"/>
  <c r="O14" i="10" s="1"/>
  <c r="N14" i="10" a="1"/>
  <c r="N14" i="10" s="1"/>
  <c r="M14" i="10" a="1"/>
  <c r="M14" i="10" s="1"/>
  <c r="L14" i="10" a="1"/>
  <c r="L14" i="10" s="1"/>
  <c r="K14" i="10" a="1"/>
  <c r="K14" i="10" s="1"/>
  <c r="J14" i="10" a="1"/>
  <c r="J14" i="10" s="1"/>
  <c r="I14" i="10" a="1"/>
  <c r="I14" i="10" s="1"/>
  <c r="H14" i="10" a="1"/>
  <c r="H14" i="10" s="1"/>
  <c r="W32" i="10" s="1"/>
  <c r="G14" i="10" a="1"/>
  <c r="G14" i="10" s="1"/>
  <c r="F14" i="10" a="1"/>
  <c r="F14" i="10" s="1"/>
  <c r="X32" i="10" s="1"/>
  <c r="E14" i="10" a="1"/>
  <c r="E14" i="10" s="1"/>
  <c r="T32" i="10" s="1"/>
  <c r="D14" i="10" a="1"/>
  <c r="D14" i="10" s="1"/>
  <c r="S32" i="10" s="1"/>
  <c r="C14" i="10" a="1"/>
  <c r="C14" i="10"/>
  <c r="B14" i="10"/>
  <c r="Q13" i="10" a="1"/>
  <c r="Q13" i="10"/>
  <c r="P13" i="10" a="1"/>
  <c r="P13" i="10" s="1"/>
  <c r="O13" i="10" a="1"/>
  <c r="O13" i="10" s="1"/>
  <c r="N13" i="10" a="1"/>
  <c r="N13" i="10" s="1"/>
  <c r="M13" i="10" a="1"/>
  <c r="M13" i="10"/>
  <c r="L13" i="10" a="1"/>
  <c r="L13" i="10"/>
  <c r="K13" i="10" a="1"/>
  <c r="K13" i="10" s="1"/>
  <c r="J13" i="10" a="1"/>
  <c r="J13" i="10"/>
  <c r="I13" i="10" a="1"/>
  <c r="I13" i="10" s="1"/>
  <c r="H13" i="10" a="1"/>
  <c r="H13" i="10" s="1"/>
  <c r="G13" i="10" a="1"/>
  <c r="G13" i="10" s="1"/>
  <c r="F13" i="10" a="1"/>
  <c r="F13" i="10" s="1"/>
  <c r="E13" i="10" a="1"/>
  <c r="E13" i="10"/>
  <c r="T31" i="10" s="1"/>
  <c r="D13" i="10" a="1"/>
  <c r="D13" i="10" s="1"/>
  <c r="S31" i="10" s="1"/>
  <c r="C13" i="10" a="1"/>
  <c r="C13" i="10"/>
  <c r="B13" i="10"/>
  <c r="Q12" i="10" a="1"/>
  <c r="Q12" i="10" s="1"/>
  <c r="P12" i="10" a="1"/>
  <c r="P12" i="10" s="1"/>
  <c r="O12" i="10" a="1"/>
  <c r="O12" i="10" s="1"/>
  <c r="N12" i="10" a="1"/>
  <c r="N12" i="10" s="1"/>
  <c r="M12" i="10" a="1"/>
  <c r="M12" i="10" s="1"/>
  <c r="L12" i="10" a="1"/>
  <c r="L12" i="10" s="1"/>
  <c r="K12" i="10" a="1"/>
  <c r="K12" i="10"/>
  <c r="J12" i="10" a="1"/>
  <c r="J12" i="10" s="1"/>
  <c r="I12" i="10" a="1"/>
  <c r="I12" i="10"/>
  <c r="H12" i="10" a="1"/>
  <c r="H12" i="10" s="1"/>
  <c r="G12" i="10" a="1"/>
  <c r="G12" i="10" s="1"/>
  <c r="Y30" i="10" s="1"/>
  <c r="F12" i="10" a="1"/>
  <c r="F12" i="10" s="1"/>
  <c r="X30" i="10" s="1"/>
  <c r="E12" i="10" a="1"/>
  <c r="E12" i="10" s="1"/>
  <c r="T30" i="10" s="1"/>
  <c r="D12" i="10" a="1"/>
  <c r="D12" i="10" s="1"/>
  <c r="S30" i="10" s="1"/>
  <c r="C12" i="10" a="1"/>
  <c r="C12" i="10" s="1"/>
  <c r="B12" i="10"/>
  <c r="Q11" i="10" a="1"/>
  <c r="Q11" i="10"/>
  <c r="P11" i="10" a="1"/>
  <c r="P11" i="10" s="1"/>
  <c r="O11" i="10" a="1"/>
  <c r="O11" i="10" s="1"/>
  <c r="N11" i="10" a="1"/>
  <c r="N11" i="10"/>
  <c r="M11" i="10" a="1"/>
  <c r="M11" i="10" s="1"/>
  <c r="L11" i="10" a="1"/>
  <c r="L11" i="10" s="1"/>
  <c r="K11" i="10" a="1"/>
  <c r="K11" i="10" s="1"/>
  <c r="J11" i="10" a="1"/>
  <c r="J11" i="10" s="1"/>
  <c r="I11" i="10" a="1"/>
  <c r="I11" i="10" s="1"/>
  <c r="H11" i="10" a="1"/>
  <c r="H11" i="10" s="1"/>
  <c r="G11" i="10" a="1"/>
  <c r="G11" i="10"/>
  <c r="Y29" i="10" s="1"/>
  <c r="F11" i="10" a="1"/>
  <c r="F11" i="10"/>
  <c r="E11" i="10" a="1"/>
  <c r="E11" i="10" s="1"/>
  <c r="T29" i="10" s="1"/>
  <c r="D11" i="10" a="1"/>
  <c r="D11" i="10" s="1"/>
  <c r="S29" i="10" s="1"/>
  <c r="C11" i="10" a="1"/>
  <c r="C11" i="10"/>
  <c r="B11" i="10"/>
  <c r="P32" i="10" a="1"/>
  <c r="P32" i="10"/>
  <c r="J32" i="10" a="1"/>
  <c r="J32" i="10"/>
  <c r="E32" i="10"/>
  <c r="B8" i="10" a="1"/>
  <c r="B8" i="10" s="1"/>
  <c r="H5" i="10"/>
  <c r="E5" i="10"/>
  <c r="B5" i="10" a="1"/>
  <c r="B5" i="10" s="1"/>
  <c r="A1" i="10" a="1"/>
  <c r="A1" i="10" s="1"/>
  <c r="P3" i="1"/>
  <c r="J3" i="1" a="1"/>
  <c r="J3" i="1" s="1"/>
  <c r="D3" i="1"/>
  <c r="Z29" i="12" l="1"/>
  <c r="V29" i="11"/>
  <c r="W36" i="10"/>
  <c r="S36" i="10"/>
  <c r="U29" i="14"/>
  <c r="X29" i="14"/>
  <c r="X31" i="10"/>
  <c r="U31" i="10"/>
  <c r="O16" i="2"/>
  <c r="O4" i="4"/>
  <c r="O10" i="2"/>
  <c r="V31" i="10"/>
  <c r="Y31" i="10"/>
  <c r="W31" i="10"/>
  <c r="Z31" i="10"/>
  <c r="O8" i="2"/>
  <c r="X29" i="7"/>
  <c r="U29" i="7"/>
  <c r="W31" i="7"/>
  <c r="Z31" i="7"/>
  <c r="O2" i="2"/>
  <c r="Z29" i="7"/>
  <c r="W29" i="7"/>
  <c r="Y31" i="7"/>
  <c r="V31" i="7"/>
  <c r="V30" i="9"/>
  <c r="Y30" i="9"/>
  <c r="X31" i="11"/>
  <c r="U31" i="11"/>
  <c r="S38" i="10"/>
  <c r="U30" i="9"/>
  <c r="X30" i="9"/>
  <c r="U30" i="13"/>
  <c r="X30" i="13"/>
  <c r="W30" i="13"/>
  <c r="O2" i="4"/>
  <c r="Z29" i="11"/>
  <c r="V29" i="10"/>
  <c r="W32" i="7"/>
  <c r="Z32" i="7"/>
  <c r="Y31" i="9"/>
  <c r="V31" i="9"/>
  <c r="W29" i="14"/>
  <c r="Z29" i="14"/>
  <c r="V29" i="7"/>
  <c r="U30" i="10"/>
  <c r="W30" i="7"/>
  <c r="Z30" i="7"/>
  <c r="V32" i="7"/>
  <c r="Y32" i="7"/>
  <c r="X31" i="9"/>
  <c r="U31" i="9"/>
  <c r="U31" i="7"/>
  <c r="V30" i="10"/>
  <c r="V33" i="10"/>
  <c r="Y33" i="10"/>
  <c r="O5" i="5"/>
  <c r="U29" i="11"/>
  <c r="X29" i="11"/>
  <c r="Y29" i="14"/>
  <c r="U32" i="10"/>
  <c r="O8" i="3"/>
  <c r="X30" i="7"/>
  <c r="U30" i="7"/>
  <c r="V32" i="9"/>
  <c r="Y32" i="9"/>
  <c r="Y30" i="11"/>
  <c r="V30" i="11"/>
  <c r="Z32" i="10"/>
  <c r="U33" i="10"/>
  <c r="U29" i="10"/>
  <c r="X29" i="10"/>
  <c r="Y32" i="10"/>
  <c r="V32" i="10"/>
  <c r="W34" i="10"/>
  <c r="S34" i="10"/>
  <c r="Z29" i="10"/>
  <c r="W29" i="10"/>
  <c r="V29" i="12"/>
  <c r="Y29" i="12"/>
  <c r="S35" i="10"/>
  <c r="W33" i="10"/>
  <c r="Z33" i="10"/>
  <c r="Z30" i="10"/>
  <c r="W30" i="10"/>
  <c r="W39" i="10"/>
  <c r="S39" i="10"/>
  <c r="Y30" i="7"/>
  <c r="W30" i="11"/>
  <c r="W30" i="9"/>
  <c r="Z30" i="9"/>
  <c r="W37" i="10"/>
  <c r="Z32" i="9"/>
  <c r="U30" i="11"/>
  <c r="W31" i="9"/>
  <c r="V31" i="11"/>
  <c r="W31" i="11"/>
  <c r="X29" i="12"/>
  <c r="Z30" i="17"/>
  <c r="W30" i="17"/>
  <c r="U30" i="17"/>
  <c r="X30" i="17"/>
  <c r="U29" i="17"/>
  <c r="X29" i="17"/>
  <c r="Y30" i="17"/>
  <c r="V30" i="17"/>
  <c r="W32" i="17"/>
  <c r="Z31" i="17"/>
  <c r="W31" i="17"/>
  <c r="Y32" i="17"/>
  <c r="V32" i="17"/>
  <c r="U32" i="17"/>
  <c r="Y31" i="17"/>
  <c r="Y29" i="17"/>
  <c r="U31" i="17"/>
  <c r="W29" i="17"/>
  <c r="X29" i="13"/>
  <c r="U29" i="13"/>
  <c r="Z29" i="13"/>
  <c r="W29" i="13"/>
  <c r="V29" i="13"/>
  <c r="Y29" i="9"/>
  <c r="V29" i="9"/>
  <c r="X29" i="9"/>
  <c r="U29" i="9"/>
  <c r="Z29" i="9"/>
  <c r="W29" i="9"/>
  <c r="K8" i="16"/>
  <c r="J8" i="16"/>
  <c r="I8" i="16" a="1"/>
  <c r="I8" i="16" s="1"/>
  <c r="F8" i="16"/>
  <c r="E8" i="16"/>
  <c r="D8" i="16"/>
  <c r="C8" i="16"/>
  <c r="B8" i="16"/>
  <c r="L5" i="9" l="1"/>
  <c r="L5" i="14"/>
  <c r="L5" i="17"/>
  <c r="L5" i="13"/>
  <c r="L5" i="12"/>
  <c r="L5" i="7"/>
  <c r="L5" i="10"/>
  <c r="L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<sst xmlns="http://schemas.openxmlformats.org/spreadsheetml/2006/main" count="1763" uniqueCount="627">
  <si>
    <t>Usage confidentiel  ·  Calculs Python/NumPy depuis cache Supabase</t>
  </si>
  <si>
    <t>01/04/2026</t>
  </si>
  <si>
    <t>Rang</t>
  </si>
  <si>
    <t>Ticker</t>
  </si>
  <si>
    <t>Société</t>
  </si>
  <si>
    <t>Score</t>
  </si>
  <si>
    <t>SAF.PA</t>
  </si>
  <si>
    <t>Safran SA</t>
  </si>
  <si>
    <t>+12.5%</t>
  </si>
  <si>
    <t>DSY.PA</t>
  </si>
  <si>
    <t>Dassault Systèmes SE</t>
  </si>
  <si>
    <t>—</t>
  </si>
  <si>
    <t>ALO.PA</t>
  </si>
  <si>
    <t>Alstom SA</t>
  </si>
  <si>
    <t>nan%</t>
  </si>
  <si>
    <t>VIV.PA</t>
  </si>
  <si>
    <t>Vivendi SE</t>
  </si>
  <si>
    <t>+3.4%</t>
  </si>
  <si>
    <t>SAN.PA</t>
  </si>
  <si>
    <t>Sanofi</t>
  </si>
  <si>
    <t>AIR.PA</t>
  </si>
  <si>
    <t>Airbus SE</t>
  </si>
  <si>
    <t>+4.9%</t>
  </si>
  <si>
    <t>URW.PA</t>
  </si>
  <si>
    <t>Unibail-Rodamco-Westfield SE</t>
  </si>
  <si>
    <t>1.22</t>
  </si>
  <si>
    <t>BNP.PA</t>
  </si>
  <si>
    <t>BNP Paribas SA</t>
  </si>
  <si>
    <t>-6.1%</t>
  </si>
  <si>
    <t>ACA.PA</t>
  </si>
  <si>
    <t>Crédit Agricole S.A.</t>
  </si>
  <si>
    <t>CS.PA</t>
  </si>
  <si>
    <t>AXA SA</t>
  </si>
  <si>
    <t>HO.PA</t>
  </si>
  <si>
    <t>Thales S.A.</t>
  </si>
  <si>
    <t>+7.6%</t>
  </si>
  <si>
    <t>RMS.PA</t>
  </si>
  <si>
    <t>Hermès International Société en commandite par actions</t>
  </si>
  <si>
    <t>9.47</t>
  </si>
  <si>
    <t>AI.PA</t>
  </si>
  <si>
    <t>L'Air Liquide S.A.</t>
  </si>
  <si>
    <t>#</t>
  </si>
  <si>
    <t>Secteur</t>
  </si>
  <si>
    <t>Growth</t>
  </si>
  <si>
    <t>Quality</t>
  </si>
  <si>
    <t>Momentum</t>
  </si>
  <si>
    <t>Mkt Cap (Mds€)</t>
  </si>
  <si>
    <t>EV/EBITDA</t>
  </si>
  <si>
    <t>Marge EBITDA</t>
  </si>
  <si>
    <t>Next Earn.</t>
  </si>
  <si>
    <t>Signal</t>
  </si>
  <si>
    <t>Consumer Disc.</t>
  </si>
  <si>
    <t>46.8%</t>
  </si>
  <si>
    <t>+5.5%</t>
  </si>
  <si>
    <t>Surpondérer</t>
  </si>
  <si>
    <t>Materials</t>
  </si>
  <si>
    <t>55/100</t>
  </si>
  <si>
    <t>27.9%</t>
  </si>
  <si>
    <t>-0.4%</t>
  </si>
  <si>
    <t>Neutre</t>
  </si>
  <si>
    <t>Technology</t>
  </si>
  <si>
    <t>72/100</t>
  </si>
  <si>
    <t>30.4%</t>
  </si>
  <si>
    <t>+0.4%</t>
  </si>
  <si>
    <t>2026-04-23</t>
  </si>
  <si>
    <t>ERF.PA</t>
  </si>
  <si>
    <t>Eurofins Scientific SE</t>
  </si>
  <si>
    <t>Healthcare</t>
  </si>
  <si>
    <t>21.0%</t>
  </si>
  <si>
    <t>+5.0%</t>
  </si>
  <si>
    <t>26.7%</t>
  </si>
  <si>
    <t>Industrials</t>
  </si>
  <si>
    <t>6.8%</t>
  </si>
  <si>
    <t>2026-05-13</t>
  </si>
  <si>
    <t>Real Estate</t>
  </si>
  <si>
    <t>69/100</t>
  </si>
  <si>
    <t>89.1%</t>
  </si>
  <si>
    <t>14.0%</t>
  </si>
  <si>
    <t>+6.1%</t>
  </si>
  <si>
    <t>2026-04-28</t>
  </si>
  <si>
    <t>39.2%</t>
  </si>
  <si>
    <t>Financials</t>
  </si>
  <si>
    <t>192.6%</t>
  </si>
  <si>
    <t>+3.7%</t>
  </si>
  <si>
    <t>2026-04-30</t>
  </si>
  <si>
    <t>FinSight IA  ·  Analyse VALUE  ·  CAC 40  ·  22/03/2026</t>
  </si>
  <si>
    <t>EV/Revenue</t>
  </si>
  <si>
    <t>P/E</t>
  </si>
  <si>
    <t>Marge Brute</t>
  </si>
  <si>
    <t>Altman Z</t>
  </si>
  <si>
    <t>FCF Yield</t>
  </si>
  <si>
    <t>Décote DCF estimée</t>
  </si>
  <si>
    <t>FinSight IA  ·  Analyse GROWTH  ·  CAC 40  ·  22/03/2026</t>
  </si>
  <si>
    <t>Croissance Rev. YoY</t>
  </si>
  <si>
    <t>Marge Nette</t>
  </si>
  <si>
    <t>ROE</t>
  </si>
  <si>
    <t>Croissance EPS</t>
  </si>
  <si>
    <t>Révisions Analystes</t>
  </si>
  <si>
    <t>23.0%</t>
  </si>
  <si>
    <t>+48.4%</t>
  </si>
  <si>
    <t>Comm. Services</t>
  </si>
  <si>
    <t>54.4%</t>
  </si>
  <si>
    <t>6.5%</t>
  </si>
  <si>
    <t>Sous-pondérer</t>
  </si>
  <si>
    <t>0.8%</t>
  </si>
  <si>
    <t>+1.4%</t>
  </si>
  <si>
    <t>41.5%</t>
  </si>
  <si>
    <t>+7.2%</t>
  </si>
  <si>
    <t>15.4%</t>
  </si>
  <si>
    <t>7.6%</t>
  </si>
  <si>
    <t>+21.0%</t>
  </si>
  <si>
    <t>16.7%</t>
  </si>
  <si>
    <t>+10.9%</t>
  </si>
  <si>
    <t>7.1%</t>
  </si>
  <si>
    <t>+20.0%</t>
  </si>
  <si>
    <t>LR.PA</t>
  </si>
  <si>
    <t>Legrand SA</t>
  </si>
  <si>
    <t>+9.6%</t>
  </si>
  <si>
    <t>23.9%</t>
  </si>
  <si>
    <t>13.1%</t>
  </si>
  <si>
    <t>+17.1%</t>
  </si>
  <si>
    <t>MT.AS</t>
  </si>
  <si>
    <t>ArcelorMittal S.A.</t>
  </si>
  <si>
    <t>-1.7%</t>
  </si>
  <si>
    <t>11.6%</t>
  </si>
  <si>
    <t>5.1%</t>
  </si>
  <si>
    <t>+5.8%</t>
  </si>
  <si>
    <t>+10.5%</t>
  </si>
  <si>
    <t>28.3%</t>
  </si>
  <si>
    <t>+24.0%</t>
  </si>
  <si>
    <t>+5.7%</t>
  </si>
  <si>
    <t>+15.8%</t>
  </si>
  <si>
    <t>DG.PA</t>
  </si>
  <si>
    <t>Vinci SA</t>
  </si>
  <si>
    <t>+4.0%</t>
  </si>
  <si>
    <t>18.0%</t>
  </si>
  <si>
    <t>+15.9%</t>
  </si>
  <si>
    <t>SU.PA</t>
  </si>
  <si>
    <t>Schneider Electric S.E.</t>
  </si>
  <si>
    <t>+5.2%</t>
  </si>
  <si>
    <t>20.9%</t>
  </si>
  <si>
    <t>10.4%</t>
  </si>
  <si>
    <t>+17.2%</t>
  </si>
  <si>
    <t>CA.PA</t>
  </si>
  <si>
    <t>Carrefour SA</t>
  </si>
  <si>
    <t>Consumer Staples</t>
  </si>
  <si>
    <t>63/100</t>
  </si>
  <si>
    <t>+0.7%</t>
  </si>
  <si>
    <t>5.6%</t>
  </si>
  <si>
    <t>0.4%</t>
  </si>
  <si>
    <t>+2.9%</t>
  </si>
  <si>
    <t>FinSight IA  ·  Analyse QUALITY  ·  CAC 40  ·  22/03/2026</t>
  </si>
  <si>
    <t>Altman Z-Score</t>
  </si>
  <si>
    <t>Signal Z</t>
  </si>
  <si>
    <t>Beneish M</t>
  </si>
  <si>
    <t>Signal M</t>
  </si>
  <si>
    <t>Interest Coverage</t>
  </si>
  <si>
    <t>Current Ratio</t>
  </si>
  <si>
    <t>-3.10</t>
  </si>
  <si>
    <t>+13.6%</t>
  </si>
  <si>
    <t>1.60</t>
  </si>
  <si>
    <t>-3.00</t>
  </si>
  <si>
    <t>1.09</t>
  </si>
  <si>
    <t>-2.60</t>
  </si>
  <si>
    <t>1.27</t>
  </si>
  <si>
    <t>+9.1%</t>
  </si>
  <si>
    <t>-3.21</t>
  </si>
  <si>
    <t>4.99</t>
  </si>
  <si>
    <t>KER.PA</t>
  </si>
  <si>
    <t>Kering SA</t>
  </si>
  <si>
    <t>-3.32</t>
  </si>
  <si>
    <t>25.0%</t>
  </si>
  <si>
    <t>+0.5%</t>
  </si>
  <si>
    <t>1.99</t>
  </si>
  <si>
    <t>OR.PA</t>
  </si>
  <si>
    <t>L'Oréal S.A.</t>
  </si>
  <si>
    <t>3.38</t>
  </si>
  <si>
    <t>-3.16</t>
  </si>
  <si>
    <t>24.3%</t>
  </si>
  <si>
    <t>+17.5%</t>
  </si>
  <si>
    <t>1.44</t>
  </si>
  <si>
    <t>BVI.PA</t>
  </si>
  <si>
    <t>Bureau Veritas SA</t>
  </si>
  <si>
    <t>3.10</t>
  </si>
  <si>
    <t>-3.04</t>
  </si>
  <si>
    <t>19.6%</t>
  </si>
  <si>
    <t>+34.4%</t>
  </si>
  <si>
    <t>1.53</t>
  </si>
  <si>
    <t>MC.PA</t>
  </si>
  <si>
    <t>LVMH Moët Hennessy - Louis Vuitton, Société Européenne</t>
  </si>
  <si>
    <t>2.88</t>
  </si>
  <si>
    <t>-3.19</t>
  </si>
  <si>
    <t>32.0%</t>
  </si>
  <si>
    <t>+16.1%</t>
  </si>
  <si>
    <t>1.58</t>
  </si>
  <si>
    <t>3.26</t>
  </si>
  <si>
    <t>+13.4%</t>
  </si>
  <si>
    <t>1.17</t>
  </si>
  <si>
    <t>RI.PA</t>
  </si>
  <si>
    <t>Pernod Ricard SA</t>
  </si>
  <si>
    <t>3.35</t>
  </si>
  <si>
    <t>-3.11</t>
  </si>
  <si>
    <t>29.1%</t>
  </si>
  <si>
    <t>+10.7%</t>
  </si>
  <si>
    <t>1.92</t>
  </si>
  <si>
    <t>2.27</t>
  </si>
  <si>
    <t>-3.13</t>
  </si>
  <si>
    <t>-3.08</t>
  </si>
  <si>
    <t>1.19</t>
  </si>
  <si>
    <t>1.54</t>
  </si>
  <si>
    <t>-2.91</t>
  </si>
  <si>
    <t>0.93</t>
  </si>
  <si>
    <t>108.7%</t>
  </si>
  <si>
    <t>+9.7%</t>
  </si>
  <si>
    <t>FinSight IA  ·  Analyse MOMENTUM  ·  CAC 40  ·  22/03/2026</t>
  </si>
  <si>
    <t>Momentum 52W</t>
  </si>
  <si>
    <t>Cours actuel (€)</t>
  </si>
  <si>
    <t>Score Global</t>
  </si>
  <si>
    <t>Next Earnings</t>
  </si>
  <si>
    <t>CAP.PA</t>
  </si>
  <si>
    <t>Capgemini SE</t>
  </si>
  <si>
    <t>53/100</t>
  </si>
  <si>
    <t>EN.PA</t>
  </si>
  <si>
    <t>Bouygues SA</t>
  </si>
  <si>
    <t>57/100</t>
  </si>
  <si>
    <t>2026-05-07</t>
  </si>
  <si>
    <t>BN.PA</t>
  </si>
  <si>
    <t>Danone S.A.</t>
  </si>
  <si>
    <t>ENGI.PA</t>
  </si>
  <si>
    <t>Engie SA</t>
  </si>
  <si>
    <t>Utilities</t>
  </si>
  <si>
    <t>EL.PA</t>
  </si>
  <si>
    <t>EssilorLuxottica Société anonyme</t>
  </si>
  <si>
    <t>Nb Soc.</t>
  </si>
  <si>
    <t>Score Moyen</t>
  </si>
  <si>
    <t>Top Société</t>
  </si>
  <si>
    <t>Mg EBITDA Méd.</t>
  </si>
  <si>
    <t>Altman Z Méd.</t>
  </si>
  <si>
    <t>54/100</t>
  </si>
  <si>
    <t>-2.1%</t>
  </si>
  <si>
    <t>19.8%</t>
  </si>
  <si>
    <t>35/100</t>
  </si>
  <si>
    <t>-1.4%</t>
  </si>
  <si>
    <t>2.44</t>
  </si>
  <si>
    <t>23.2%</t>
  </si>
  <si>
    <t>16.2%</t>
  </si>
  <si>
    <t>1.03</t>
  </si>
  <si>
    <t>+4.1%</t>
  </si>
  <si>
    <t>+0.2%</t>
  </si>
  <si>
    <t>Tendance</t>
  </si>
  <si>
    <t>→ Neutre</t>
  </si>
  <si>
    <t>↑ Positif</t>
  </si>
  <si>
    <t>Zoom sectoriel  ·  Ratios clés  ·  Score FinSight  ·  Usage confidentiel</t>
  </si>
  <si>
    <t>Meilleure société</t>
  </si>
  <si>
    <t>83.7%</t>
  </si>
  <si>
    <t>27.0%</t>
  </si>
  <si>
    <t>13.6%</t>
  </si>
  <si>
    <t>+1.7%</t>
  </si>
  <si>
    <t>STMPA.PA</t>
  </si>
  <si>
    <t>STMicroelectronics N.V.</t>
  </si>
  <si>
    <t>33.9%</t>
  </si>
  <si>
    <t>-11.1%</t>
  </si>
  <si>
    <t>WLN.PA</t>
  </si>
  <si>
    <t>Worldline SA</t>
  </si>
  <si>
    <t>56.5%</t>
  </si>
  <si>
    <t>-112.2%</t>
  </si>
  <si>
    <t>-3.2%</t>
  </si>
  <si>
    <t>19.2%</t>
  </si>
  <si>
    <t>1.4%</t>
  </si>
  <si>
    <t>-128.0%</t>
  </si>
  <si>
    <t>+13.7%</t>
  </si>
  <si>
    <t>+0.9%</t>
  </si>
  <si>
    <t>-158.6%</t>
  </si>
  <si>
    <t>1.21</t>
  </si>
  <si>
    <t>3.36</t>
  </si>
  <si>
    <t>1.10</t>
  </si>
  <si>
    <t>-0.8x</t>
  </si>
  <si>
    <t>1.8x</t>
  </si>
  <si>
    <t>-0.3x</t>
  </si>
  <si>
    <t>-0.4x</t>
  </si>
  <si>
    <t>6.78</t>
  </si>
  <si>
    <t>-3.03</t>
  </si>
  <si>
    <t>-2.85</t>
  </si>
  <si>
    <t>-3.35</t>
  </si>
  <si>
    <t>-3.06</t>
  </si>
  <si>
    <t>71.1%</t>
  </si>
  <si>
    <t>72.6%</t>
  </si>
  <si>
    <t>-13.0%</t>
  </si>
  <si>
    <t>66.2%</t>
  </si>
  <si>
    <t>-4.6%</t>
  </si>
  <si>
    <t>RNO.PA</t>
  </si>
  <si>
    <t>Renault SA</t>
  </si>
  <si>
    <t>19.1%</t>
  </si>
  <si>
    <t>-9.7%</t>
  </si>
  <si>
    <t>+3.0%</t>
  </si>
  <si>
    <t>STLAM.MI</t>
  </si>
  <si>
    <t>Stellantis N.V.</t>
  </si>
  <si>
    <t>-11.8%</t>
  </si>
  <si>
    <t>0.5%</t>
  </si>
  <si>
    <t>13.5%</t>
  </si>
  <si>
    <t>-18.9%</t>
  </si>
  <si>
    <t>-14.6%</t>
  </si>
  <si>
    <t>-52.6%</t>
  </si>
  <si>
    <t>-41.8%</t>
  </si>
  <si>
    <t>1.02</t>
  </si>
  <si>
    <t>-1.6x</t>
  </si>
  <si>
    <t>2.2x</t>
  </si>
  <si>
    <t>0.4x</t>
  </si>
  <si>
    <t>-8.8x</t>
  </si>
  <si>
    <t>-0.7x</t>
  </si>
  <si>
    <t>-0.50</t>
  </si>
  <si>
    <t>0.48</t>
  </si>
  <si>
    <t>-3.17</t>
  </si>
  <si>
    <t>-12.59</t>
  </si>
  <si>
    <t>+4.5%</t>
  </si>
  <si>
    <t>GLE.PA</t>
  </si>
  <si>
    <t>Société Générale Société anonyme</t>
  </si>
  <si>
    <t>98.1%</t>
  </si>
  <si>
    <t>26.9%</t>
  </si>
  <si>
    <t>17.8%</t>
  </si>
  <si>
    <t>11.4%</t>
  </si>
  <si>
    <t>+8.6%</t>
  </si>
  <si>
    <t>-5.3x</t>
  </si>
  <si>
    <t>1.0x</t>
  </si>
  <si>
    <t>-0.5x</t>
  </si>
  <si>
    <t>12.5%</t>
  </si>
  <si>
    <t>14.9%</t>
  </si>
  <si>
    <t>46.9%</t>
  </si>
  <si>
    <t>50.8%</t>
  </si>
  <si>
    <t>55.7%</t>
  </si>
  <si>
    <t>12.8%</t>
  </si>
  <si>
    <t>42.1%</t>
  </si>
  <si>
    <t>26.4%</t>
  </si>
  <si>
    <t>60.0%</t>
  </si>
  <si>
    <t>SGO.PA</t>
  </si>
  <si>
    <t>VIE.PA</t>
  </si>
  <si>
    <t>-0.2%</t>
  </si>
  <si>
    <t>14.1%</t>
  </si>
  <si>
    <t>-0.7%</t>
  </si>
  <si>
    <t>72.2%</t>
  </si>
  <si>
    <t>27.8%</t>
  </si>
  <si>
    <t>17.7%</t>
  </si>
  <si>
    <t>2.0%</t>
  </si>
  <si>
    <t>9.1%</t>
  </si>
  <si>
    <t>6.2%</t>
  </si>
  <si>
    <t>2.7%</t>
  </si>
  <si>
    <t>+3.6%</t>
  </si>
  <si>
    <t>+8.7%</t>
  </si>
  <si>
    <t>+11.7%</t>
  </si>
  <si>
    <t>+11.2%</t>
  </si>
  <si>
    <t>0.97</t>
  </si>
  <si>
    <t>1.16</t>
  </si>
  <si>
    <t>1.93</t>
  </si>
  <si>
    <t>0.84</t>
  </si>
  <si>
    <t>0.85</t>
  </si>
  <si>
    <t>0.86</t>
  </si>
  <si>
    <t>-0.2x</t>
  </si>
  <si>
    <t>1.7x</t>
  </si>
  <si>
    <t>0.6x</t>
  </si>
  <si>
    <t>1.6x</t>
  </si>
  <si>
    <t>0.5x</t>
  </si>
  <si>
    <t>1.3x</t>
  </si>
  <si>
    <t>0.9x</t>
  </si>
  <si>
    <t>0.49</t>
  </si>
  <si>
    <t>1.64</t>
  </si>
  <si>
    <t>3.78</t>
  </si>
  <si>
    <t>0.52</t>
  </si>
  <si>
    <t>0.43</t>
  </si>
  <si>
    <t>0.50</t>
  </si>
  <si>
    <t>3.02</t>
  </si>
  <si>
    <t>-0.12</t>
  </si>
  <si>
    <t>-2.96</t>
  </si>
  <si>
    <t>-2.17</t>
  </si>
  <si>
    <t>68.1%</t>
  </si>
  <si>
    <t>72.1%</t>
  </si>
  <si>
    <t>60.6%</t>
  </si>
  <si>
    <t>+7.5%</t>
  </si>
  <si>
    <t>8.1%</t>
  </si>
  <si>
    <t>+6.0%</t>
  </si>
  <si>
    <t>2.1x</t>
  </si>
  <si>
    <t>1.1x</t>
  </si>
  <si>
    <t>-2.99</t>
  </si>
  <si>
    <t>TotalEnergies SE</t>
  </si>
  <si>
    <t>TTE.PA</t>
  </si>
  <si>
    <t>64.2%</t>
  </si>
  <si>
    <t>1.36</t>
  </si>
  <si>
    <t>1.2x</t>
  </si>
  <si>
    <t>3.89</t>
  </si>
  <si>
    <t>-2.86</t>
  </si>
  <si>
    <t>64.6%</t>
  </si>
  <si>
    <t>7.1x</t>
  </si>
  <si>
    <t>DONNÉES BRUTES  ·  Source de vérité  ·  CAC 40  ·  22/03/2026</t>
  </si>
  <si>
    <t>Cours</t>
  </si>
  <si>
    <t>Mkt Cap</t>
  </si>
  <si>
    <t>EV</t>
  </si>
  <si>
    <t>Rev LTM</t>
  </si>
  <si>
    <t>EBITDA LTM</t>
  </si>
  <si>
    <t>EV/Rev</t>
  </si>
  <si>
    <t>EPS</t>
  </si>
  <si>
    <t>Mg Brute</t>
  </si>
  <si>
    <t>Mg EBITDA</t>
  </si>
  <si>
    <t>Mg Nette</t>
  </si>
  <si>
    <t>Cro Rev</t>
  </si>
  <si>
    <t>ROA</t>
  </si>
  <si>
    <t>Current R</t>
  </si>
  <si>
    <t>ND/EBITDA</t>
  </si>
  <si>
    <t>Mom 52W</t>
  </si>
  <si>
    <t>Score Val</t>
  </si>
  <si>
    <t>Score Gr</t>
  </si>
  <si>
    <t>Score Qual</t>
  </si>
  <si>
    <t>Score Mom</t>
  </si>
  <si>
    <t>Next Earn</t>
  </si>
  <si>
    <t>€16.0</t>
  </si>
  <si>
    <t>€7.5</t>
  </si>
  <si>
    <t>+18.6%</t>
  </si>
  <si>
    <t>€26.9</t>
  </si>
  <si>
    <t>+6.8%</t>
  </si>
  <si>
    <t>€6.2</t>
  </si>
  <si>
    <t>€1.9</t>
  </si>
  <si>
    <t>+7.9%</t>
  </si>
  <si>
    <t>€7.3</t>
  </si>
  <si>
    <t>€1.5</t>
  </si>
  <si>
    <t>+4.3%</t>
  </si>
  <si>
    <t>€46.7</t>
  </si>
  <si>
    <t>€12.5</t>
  </si>
  <si>
    <t>+6.2%</t>
  </si>
  <si>
    <t>€18.5</t>
  </si>
  <si>
    <t>€1.3</t>
  </si>
  <si>
    <t>€3.1</t>
  </si>
  <si>
    <t>€2.7</t>
  </si>
  <si>
    <t>+2.6%</t>
  </si>
  <si>
    <t>€73.4</t>
  </si>
  <si>
    <t>€10.2</t>
  </si>
  <si>
    <t>+3.9%</t>
  </si>
  <si>
    <t>€31.2</t>
  </si>
  <si>
    <t>€12.2</t>
  </si>
  <si>
    <t>+11.6%</t>
  </si>
  <si>
    <t>€26.3</t>
  </si>
  <si>
    <t>€50.6</t>
  </si>
  <si>
    <t>+0.3%</t>
  </si>
  <si>
    <t>€103.3</t>
  </si>
  <si>
    <t>+1.2%</t>
  </si>
  <si>
    <t>€28.5</t>
  </si>
  <si>
    <t>€6.6</t>
  </si>
  <si>
    <t>€44.0</t>
  </si>
  <si>
    <t>€10.7</t>
  </si>
  <si>
    <t>74.3%</t>
  </si>
  <si>
    <t>13.9%</t>
  </si>
  <si>
    <t>+1.3%</t>
  </si>
  <si>
    <t>+9.9%</t>
  </si>
  <si>
    <t>0.0x</t>
  </si>
  <si>
    <t>€9.5</t>
  </si>
  <si>
    <t>€2.3</t>
  </si>
  <si>
    <t>+7.1%</t>
  </si>
  <si>
    <t>€68.8</t>
  </si>
  <si>
    <t>€74.8</t>
  </si>
  <si>
    <t>€84.0</t>
  </si>
  <si>
    <t>€4.7</t>
  </si>
  <si>
    <t>+0.6%</t>
  </si>
  <si>
    <t>0.87</t>
  </si>
  <si>
    <t>€56.9</t>
  </si>
  <si>
    <t>+1.8%</t>
  </si>
  <si>
    <t>€40.1</t>
  </si>
  <si>
    <t>€8.4</t>
  </si>
  <si>
    <t>+6.7%</t>
  </si>
  <si>
    <t>€14.7</t>
  </si>
  <si>
    <t>€3.7</t>
  </si>
  <si>
    <t>€80.8</t>
  </si>
  <si>
    <t>€25.9</t>
  </si>
  <si>
    <t>+7.7%</t>
  </si>
  <si>
    <t>€22.5</t>
  </si>
  <si>
    <t>€27.3</t>
  </si>
  <si>
    <t>€4.4</t>
  </si>
  <si>
    <t>50.6%</t>
  </si>
  <si>
    <t>16.1%</t>
  </si>
  <si>
    <t>6.7%</t>
  </si>
  <si>
    <t>-0.3%</t>
  </si>
  <si>
    <t>+10.8%</t>
  </si>
  <si>
    <t>0.90</t>
  </si>
  <si>
    <t>2.6x</t>
  </si>
  <si>
    <t>2.23</t>
  </si>
  <si>
    <t>€11.0</t>
  </si>
  <si>
    <t>€3.2</t>
  </si>
  <si>
    <t>59.5%</t>
  </si>
  <si>
    <t>14.8%</t>
  </si>
  <si>
    <t>-5.5%</t>
  </si>
  <si>
    <t>+4.4%</t>
  </si>
  <si>
    <t>3.2x</t>
  </si>
  <si>
    <t>€0.3</t>
  </si>
  <si>
    <t>€0.2</t>
  </si>
  <si>
    <t>30.6%</t>
  </si>
  <si>
    <t>0.16</t>
  </si>
  <si>
    <t>6.9x</t>
  </si>
  <si>
    <t>2.48</t>
  </si>
  <si>
    <t>-2.72</t>
  </si>
  <si>
    <t>€22.1</t>
  </si>
  <si>
    <t>€3.4</t>
  </si>
  <si>
    <t>€75.7</t>
  </si>
  <si>
    <t>€13.7</t>
  </si>
  <si>
    <t>€71.9</t>
  </si>
  <si>
    <t>€14.4</t>
  </si>
  <si>
    <t>31.8%</t>
  </si>
  <si>
    <t>20.0%</t>
  </si>
  <si>
    <t>5.3%</t>
  </si>
  <si>
    <t>-2.5%</t>
  </si>
  <si>
    <t>+2.3%</t>
  </si>
  <si>
    <t>1.08</t>
  </si>
  <si>
    <t>2.5x</t>
  </si>
  <si>
    <t>-3.12</t>
  </si>
  <si>
    <t>€6.5</t>
  </si>
  <si>
    <t>+8.3%</t>
  </si>
  <si>
    <t>ML.PA</t>
  </si>
  <si>
    <t>Compagnie Générale des Établissements Michelin Société en commandite par actions</t>
  </si>
  <si>
    <t>€26.0</t>
  </si>
  <si>
    <t>17.9%</t>
  </si>
  <si>
    <t>6.4%</t>
  </si>
  <si>
    <t>-4.4%</t>
  </si>
  <si>
    <t>+9.2%</t>
  </si>
  <si>
    <t>+4.8%</t>
  </si>
  <si>
    <t>1.90</t>
  </si>
  <si>
    <t>4.47</t>
  </si>
  <si>
    <t>PUB.PA</t>
  </si>
  <si>
    <t>Publicis Groupe S.A.</t>
  </si>
  <si>
    <t>€17.4</t>
  </si>
  <si>
    <t>9.5%</t>
  </si>
  <si>
    <t>+8.5%</t>
  </si>
  <si>
    <t>Compagnie de Saint-Gobain S.A.</t>
  </si>
  <si>
    <t>€46.5</t>
  </si>
  <si>
    <t>+4.7%</t>
  </si>
  <si>
    <t>€61.4</t>
  </si>
  <si>
    <t>€7.1</t>
  </si>
  <si>
    <t>+3.2%</t>
  </si>
  <si>
    <t>€52.6</t>
  </si>
  <si>
    <t>€51.6</t>
  </si>
  <si>
    <t>Veolia Environnement SA</t>
  </si>
  <si>
    <t>€44.4</t>
  </si>
  <si>
    <t>€6.3</t>
  </si>
  <si>
    <t>ORA.PA</t>
  </si>
  <si>
    <t>Orange S.A.</t>
  </si>
  <si>
    <t>€40.4</t>
  </si>
  <si>
    <t>€8.7</t>
  </si>
  <si>
    <t>21.6%</t>
  </si>
  <si>
    <t>1.3%</t>
  </si>
  <si>
    <t>0.92</t>
  </si>
  <si>
    <t>€57.9</t>
  </si>
  <si>
    <t>€-5.6</t>
  </si>
  <si>
    <t>-9.0%</t>
  </si>
  <si>
    <t>Energy</t>
  </si>
  <si>
    <t>2026-04-29</t>
  </si>
  <si>
    <t>€11.8</t>
  </si>
  <si>
    <t>€153.5</t>
  </si>
  <si>
    <t>€-18.1</t>
  </si>
  <si>
    <t>-11.5%</t>
  </si>
  <si>
    <t>€4.0</t>
  </si>
  <si>
    <t>€-4.5</t>
  </si>
  <si>
    <t>-39.2%</t>
  </si>
  <si>
    <t>SOCIÉTÉS ANALYSÉES</t>
  </si>
  <si>
    <t>SECTEURS COUVERTS</t>
  </si>
  <si>
    <t>MEILLEUR SCORE GLOBAL</t>
  </si>
  <si>
    <t>DATE D'ANALYSE</t>
  </si>
  <si>
    <t>FinSight IA   ·   Tableau de Bord — Screening CAC 40   ·   22/03/2026</t>
  </si>
  <si>
    <t>Confidentiel  ·  Usage interne</t>
  </si>
  <si>
    <t>TOP 5  ·  Classements par Facteur d'Investissement</t>
  </si>
  <si>
    <t>Mét.</t>
  </si>
  <si>
    <t>TOP 10  GLOBAL  ·  Score Composite  ·  Value / Growth / Quality / Momentum</t>
  </si>
  <si>
    <t>Mg.EBITDA</t>
  </si>
  <si>
    <t>Croiss.</t>
  </si>
  <si>
    <t>FinSight IA  ·  Données issues de Supabase/Python  ·  Scores calculés sur métriques Value, Growth, Quality, Momentum  ·  Usage confidentiel</t>
  </si>
  <si>
    <t>Unibail-Rodamco-WE</t>
  </si>
  <si>
    <t>Dassault Systèmes</t>
  </si>
  <si>
    <t>Crédit Agricole</t>
  </si>
  <si>
    <t>L'Air Liquide</t>
  </si>
  <si>
    <t>Eurofins Scientific</t>
  </si>
  <si>
    <t>Mg. EBITDA</t>
  </si>
  <si>
    <t>Mg. Nette</t>
  </si>
  <si>
    <t>Mg. Brute</t>
  </si>
  <si>
    <t>FinSight IA  ·  CAC 40 — Analyse Sectorielle</t>
  </si>
  <si>
    <t>22/03/2026</t>
  </si>
  <si>
    <t>Screening quantitatif  ·  Scores composites Value / Growth / Quality / Momentum  ·  Usage confidentiel  ·  Calculs Python/NumPy</t>
  </si>
  <si>
    <t>SCORECARD SECTORIELLE  ·  Score FinSight composite, métriques médianes, signal d'investissement</t>
  </si>
  <si>
    <t># Soc.</t>
  </si>
  <si>
    <t>Score /100</t>
  </si>
  <si>
    <t>Score (barre)</t>
  </si>
  <si>
    <t>Mg. EBITDA Méd.</t>
  </si>
  <si>
    <t>Hermès International</t>
  </si>
  <si>
    <t>↓ Négatif</t>
  </si>
  <si>
    <t>Consumer Stapl.</t>
  </si>
  <si>
    <t>L'Oréal</t>
  </si>
  <si>
    <t>Orientation</t>
  </si>
  <si>
    <t>█████░░░░░</t>
  </si>
  <si>
    <t>████░░░░░░</t>
  </si>
  <si>
    <t>███████░░░</t>
  </si>
  <si>
    <t>██████░░░░</t>
  </si>
  <si>
    <t>Sociétés</t>
  </si>
  <si>
    <t>Score moyen</t>
  </si>
  <si>
    <t>Mom.</t>
  </si>
  <si>
    <t>Croiss. Rev.</t>
  </si>
  <si>
    <t>MÉDIANE SECTEUR</t>
  </si>
  <si>
    <t>FinSight IA  ·  Scores composites calculés sur métriques Value/Growth/Quality/Momentum  ·  Ne constitue pas un conseil en investissement  ·  Usage confidentiel</t>
  </si>
  <si>
    <t>FinSight IA  ·  CAC 40 — Vue Macro Sectorielle</t>
  </si>
  <si>
    <t>Scoring composite Value / Growth / Quality / Momentum  ·  Métriques médianes par secteur  ·  Usage confidentiel</t>
  </si>
  <si>
    <t>SCORECARD SECTORIELLE  ·  Score composite, métriques médianes, signal d'investissement — CAC 40</t>
  </si>
  <si>
    <t xml:space="preserve">  Score (indicateur)  </t>
  </si>
  <si>
    <t>CAC 40 — Total</t>
  </si>
  <si>
    <t>Médiane</t>
  </si>
  <si>
    <t>COMPOSITION DÉTAIL  ·  Nb sociétés, score moyen, orientation — données pour allocation</t>
  </si>
  <si>
    <t>FinSight IA  ·  Analyse sectorielle CAC 40  ·  Scores calculés sur métriques quantitatives  ·  Ne constitue pas un conseil en investissement</t>
  </si>
  <si>
    <t>Score Growth Méd.</t>
  </si>
  <si>
    <t>Curr. R.</t>
  </si>
  <si>
    <t>Gr.</t>
  </si>
  <si>
    <t>Qual.</t>
  </si>
  <si>
    <t>Score Gr. Méd.</t>
  </si>
  <si>
    <t>27.2%</t>
  </si>
  <si>
    <t>23</t>
  </si>
  <si>
    <t>66</t>
  </si>
  <si>
    <t>59</t>
  </si>
  <si>
    <t>103.4%</t>
  </si>
  <si>
    <t>55</t>
  </si>
  <si>
    <t>72</t>
  </si>
  <si>
    <t>15.7%</t>
  </si>
  <si>
    <t>31</t>
  </si>
  <si>
    <t>22.7%</t>
  </si>
  <si>
    <t>49</t>
  </si>
  <si>
    <t>50</t>
  </si>
  <si>
    <t>45</t>
  </si>
  <si>
    <t>█████░░░░░  50</t>
  </si>
  <si>
    <t>████░░░░░░ 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</si>
</sst>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 x14ac:knownFonts="1">
    <font>
      <sz val="11"/>
      <color theme="1"/>
      <name val="Calibri"/>
      <family val="2"/>
      <scheme val="minor"/>
    </font>
    <font>
      <sz val="8"/>
      <color rgb="FF0D0D0D"/>
      <name val="Calibri"/>
      <family val="2"/>
    </font>
    <font>
      <b/>
      <sz val="7"/>
      <color rgb="FFFFFFFF"/>
      <name val="Calibri"/>
      <family val="2"/>
    </font>
    <font>
      <sz val="7"/>
      <color rgb="FF0D0D0D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8"/>
      <color rgb="FF6B7A9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8"/>
      <color rgb="FF0D0D0D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2E5FA3"/>
      <name val="Calibri"/>
      <family val="2"/>
      <scheme val="minor"/>
    </font>
    <font>
      <i/>
      <sz val="8"/>
      <color rgb="FF8BA8C8"/>
      <name val="Calibri"/>
      <family val="2"/>
      <scheme val="minor"/>
    </font>
    <font>
      <b/>
      <sz val="20"/>
      <color rgb="FF0A2342"/>
      <name val="Calibri"/>
      <family val="2"/>
      <scheme val="minor"/>
    </font>
    <font>
      <sz val="7.5"/>
      <color rgb="FF6E7B8B"/>
      <name val="Calibri"/>
      <family val="2"/>
      <scheme val="minor"/>
    </font>
    <font>
      <b/>
      <sz val="14"/>
      <color rgb="FF0A2342"/>
      <name val="Calibri"/>
      <family val="2"/>
      <scheme val="minor"/>
    </font>
    <font>
      <b/>
      <sz val="9"/>
      <color rgb="FF1A3A5C"/>
      <name val="Calibri"/>
      <family val="2"/>
      <scheme val="minor"/>
    </font>
    <font>
      <sz val="7.5"/>
      <color rgb="FF111827"/>
      <name val="Calibri"/>
      <family val="2"/>
      <scheme val="minor"/>
    </font>
    <font>
      <b/>
      <sz val="7.5"/>
      <color rgb="FF1F5C99"/>
      <name val="Calibri"/>
      <family val="2"/>
      <scheme val="minor"/>
    </font>
    <font>
      <i/>
      <sz val="7"/>
      <color rgb="FF6E7B8B"/>
      <name val="Calibri"/>
      <family val="2"/>
      <scheme val="minor"/>
    </font>
    <font>
      <b/>
      <sz val="7.5"/>
      <color rgb="FF0D5C34"/>
      <name val="Calibri"/>
      <family val="2"/>
      <scheme val="minor"/>
    </font>
    <font>
      <sz val="7.5"/>
      <color rgb="FF0D6B3A"/>
      <name val="Calibri"/>
      <family val="2"/>
      <scheme val="minor"/>
    </font>
    <font>
      <sz val="7.5"/>
      <color rgb="FFB91C1C"/>
      <name val="Calibri"/>
      <family val="2"/>
      <scheme val="minor"/>
    </font>
    <font>
      <b/>
      <sz val="7.5"/>
      <color rgb="FF0A3D6B"/>
      <name val="Calibri"/>
      <family val="2"/>
      <scheme val="minor"/>
    </font>
    <font>
      <b/>
      <sz val="7.5"/>
      <color rgb="FF7A1A1A"/>
      <name val="Calibri"/>
      <family val="2"/>
      <scheme val="minor"/>
    </font>
    <font>
      <b/>
      <sz val="7.5"/>
      <color rgb="FF0A2342"/>
      <name val="Calibri"/>
      <family val="2"/>
      <scheme val="minor"/>
    </font>
    <font>
      <b/>
      <sz val="7.5"/>
      <color rgb="FF0D6B3A"/>
      <name val="Calibri"/>
      <family val="2"/>
      <scheme val="minor"/>
    </font>
    <font>
      <sz val="7.5"/>
      <color rgb="FF1F5C99"/>
      <name val="Calibri"/>
      <family val="2"/>
      <scheme val="minor"/>
    </font>
    <font>
      <b/>
      <sz val="8"/>
      <color rgb="FF0D5C34"/>
      <name val="Calibri"/>
      <family val="2"/>
      <scheme val="minor"/>
    </font>
    <font>
      <sz val="8"/>
      <color rgb="FF111827"/>
      <name val="Calibri"/>
      <family val="2"/>
      <scheme val="minor"/>
    </font>
    <font>
      <b/>
      <sz val="8"/>
      <color rgb="FF1F5C99"/>
      <name val="Calibri"/>
      <family val="2"/>
      <scheme val="minor"/>
    </font>
    <font>
      <b/>
      <sz val="8"/>
      <color rgb="FF7A1A1A"/>
      <name val="Calibri"/>
      <family val="2"/>
      <scheme val="minor"/>
    </font>
    <font>
      <b/>
      <i/>
      <sz val="8"/>
      <color rgb="FFFFFFFF"/>
      <name val="Calibri"/>
      <family val="2"/>
      <scheme val="minor"/>
    </font>
    <font>
      <sz val="8"/>
      <color rgb="FF1F5C9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7A9CC4"/>
      <name val="Calibri"/>
      <family val="2"/>
      <scheme val="minor"/>
    </font>
    <font>
      <sz val="8"/>
      <color rgb="FF5A6478"/>
      <name val="Calibri"/>
      <family val="2"/>
      <scheme val="minor"/>
    </font>
    <font>
      <i/>
      <sz val="8"/>
      <color rgb="FF5A6478"/>
      <name val="Calibri"/>
      <family val="2"/>
      <scheme val="minor"/>
    </font>
    <font>
      <b/>
      <sz val="8"/>
      <color rgb="FF0A2342"/>
      <name val="Calibri"/>
      <family val="2"/>
      <scheme val="minor"/>
    </font>
    <font>
      <b/>
      <sz val="8"/>
      <color rgb="FFB91C1C"/>
      <name val="Calibri"/>
      <family val="2"/>
      <scheme val="minor"/>
    </font>
    <font>
      <sz val="8"/>
      <color rgb="FFB91C1C"/>
      <name val="Calibri"/>
      <family val="2"/>
      <scheme val="minor"/>
    </font>
    <font>
      <i/>
      <sz val="8"/>
      <color rgb="FF111827"/>
      <name val="Calibri"/>
      <family val="2"/>
      <scheme val="minor"/>
    </font>
    <font>
      <b/>
      <sz val="8"/>
      <color rgb="FF0D6B3A"/>
      <name val="Calibri"/>
      <family val="2"/>
      <scheme val="minor"/>
    </font>
    <font>
      <sz val="8"/>
      <color rgb="FF0D6B3A"/>
      <name val="Calibri"/>
      <family val="2"/>
      <scheme val="minor"/>
    </font>
    <font>
      <i/>
      <sz val="7"/>
      <color rgb="FF5A6478"/>
      <name val="Calibri"/>
      <family val="2"/>
      <scheme val="minor"/>
    </font>
    <font>
      <i/>
      <sz val="7.5"/>
      <color rgb="FF5A6478"/>
      <name val="Calibri"/>
      <family val="2"/>
      <scheme val="minor"/>
    </font>
    <font>
      <b/>
      <sz val="7.5"/>
      <color rgb="FFFFFFFF"/>
      <name val="Calibri"/>
      <family val="2"/>
      <scheme val="minor"/>
    </font>
    <font>
      <b/>
      <sz val="7.5"/>
      <color rgb="FFB91C1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0D6B3A"/>
      <name val="Calibri"/>
      <family val="2"/>
      <scheme val="minor"/>
    </font>
    <font>
      <b/>
      <i/>
      <sz val="9"/>
      <color rgb="FF7A9CC4"/>
      <name val="Calibri"/>
      <family val="2"/>
      <scheme val="minor"/>
    </font>
    <font>
      <b/>
      <i/>
      <sz val="8"/>
      <color rgb="FF0A2342"/>
      <name val="Calibri"/>
      <family val="2"/>
      <scheme val="minor"/>
    </font>
    <font>
      <sz val="8"/>
      <color rgb="FF6B7280"/>
      <name val="Calibri"/>
      <family val="2"/>
      <scheme val="minor"/>
    </font>
    <font>
      <sz val="8"/>
      <color rgb="FF0B1F3A"/>
      <name val="Calibri"/>
      <family val="2"/>
      <scheme val="minor"/>
    </font>
    <font>
      <b/>
      <sz val="8"/>
      <color rgb="FF0B1F3A"/>
      <name val="Calibri"/>
      <family val="2"/>
      <scheme val="minor"/>
    </font>
    <font>
      <i/>
      <sz val="8"/>
      <color rgb="FF0B1F3A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22"/>
      <color rgb="FF0B1F3A"/>
      <name val="Calibri"/>
      <family val="2"/>
      <scheme val="minor"/>
    </font>
    <font>
      <sz val="7.5"/>
      <color rgb="FF6B7280"/>
      <name val="Calibri"/>
      <family val="2"/>
      <scheme val="minor"/>
    </font>
    <font>
      <b/>
      <sz val="11"/>
      <color rgb="FF0B1F3A"/>
      <name val="Calibri"/>
      <family val="2"/>
      <scheme val="minor"/>
    </font>
    <font>
      <b/>
      <sz val="16"/>
      <color rgb="FF0B1F3A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8.5"/>
      <color rgb="FFFFFFFF"/>
      <name val="Calibri"/>
      <family val="2"/>
      <scheme val="minor"/>
    </font>
    <font>
      <b/>
      <sz val="22"/>
      <color rgb="FF16A34A"/>
      <name val="Calibri"/>
      <family val="2"/>
      <scheme val="minor"/>
    </font>
    <font>
      <b/>
      <sz val="22"/>
      <color rgb="FF7C3AED"/>
      <name val="Calibri"/>
      <family val="2"/>
      <scheme val="minor"/>
    </font>
    <font>
      <b/>
      <sz val="22"/>
      <color rgb="FFD97706"/>
      <name val="Calibri"/>
      <family val="2"/>
      <scheme val="minor"/>
    </font>
    <font>
      <b/>
      <sz val="22"/>
      <color rgb="FF0D9488"/>
      <name val="Calibri"/>
      <family val="2"/>
      <scheme val="minor"/>
    </font>
    <font>
      <b/>
      <sz val="22"/>
      <color rgb="FF0369A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888888"/>
      </patternFill>
    </fill>
    <fill>
      <patternFill patternType="solid">
        <fgColor rgb="FF1B3A6B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0A2342"/>
        <bgColor indexed="64"/>
      </patternFill>
    </fill>
    <fill>
      <patternFill patternType="solid">
        <fgColor rgb="FF2A5F9E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D8DFE8"/>
        <bgColor indexed="64"/>
      </patternFill>
    </fill>
    <fill>
      <patternFill patternType="solid">
        <fgColor rgb="FF7B4F00"/>
        <bgColor indexed="64"/>
      </patternFill>
    </fill>
    <fill>
      <patternFill patternType="solid">
        <fgColor rgb="FF0D5C34"/>
        <bgColor indexed="64"/>
      </patternFill>
    </fill>
    <fill>
      <patternFill patternType="solid">
        <fgColor rgb="FF0A3D6B"/>
        <bgColor indexed="64"/>
      </patternFill>
    </fill>
    <fill>
      <patternFill patternType="solid">
        <fgColor rgb="FF7A1A1A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FBE9E9"/>
        <bgColor indexed="64"/>
      </patternFill>
    </fill>
    <fill>
      <patternFill patternType="solid">
        <fgColor rgb="FF1F5C99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78350F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DE2EE"/>
      </left>
      <right style="thin">
        <color rgb="FFDDE2EE"/>
      </right>
      <top/>
      <bottom style="thin">
        <color rgb="FFDDE2EE"/>
      </bottom>
      <diagonal/>
    </border>
    <border>
      <left/>
      <right/>
      <top/>
      <bottom style="medium">
        <color rgb="FF4A6FA5"/>
      </bottom>
      <diagonal/>
    </border>
    <border>
      <left style="thin">
        <color rgb="FFDDE2EE"/>
      </left>
      <right style="thin">
        <color rgb="FFDDE2EE"/>
      </right>
      <top style="medium">
        <color rgb="FFDDE2EE"/>
      </top>
      <bottom style="medium">
        <color rgb="FFDDE2EE"/>
      </bottom>
      <diagonal/>
    </border>
    <border>
      <left style="thin">
        <color rgb="FFDDE2EE"/>
      </left>
      <right style="thin">
        <color rgb="FFDDE2EE"/>
      </right>
      <top style="medium">
        <color rgb="FFDDE2EE"/>
      </top>
      <bottom style="thin">
        <color rgb="FFDDE2EE"/>
      </bottom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E8ECF2"/>
      </right>
      <top style="thin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1F5C99"/>
      </bottom>
      <diagonal/>
    </border>
    <border>
      <left style="thin">
        <color rgb="FFD0D5DD"/>
      </left>
      <right/>
      <top style="thin">
        <color rgb="FFD0D5DD"/>
      </top>
      <bottom style="medium">
        <color rgb="FFD0D5DD"/>
      </bottom>
      <diagonal/>
    </border>
    <border>
      <left/>
      <right/>
      <top style="thin">
        <color rgb="FFD0D5DD"/>
      </top>
      <bottom style="medium">
        <color rgb="FFD0D5DD"/>
      </bottom>
      <diagonal/>
    </border>
    <border>
      <left/>
      <right style="thin">
        <color rgb="FFD0D5DD"/>
      </right>
      <top style="thin">
        <color rgb="FFD0D5DD"/>
      </top>
      <bottom style="medium">
        <color rgb="FFD0D5DD"/>
      </bottom>
      <diagonal/>
    </border>
    <border>
      <left style="thin">
        <color rgb="FFD0D5DD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D0D5DD"/>
      </right>
      <top style="medium">
        <color rgb="FFD0D5DD"/>
      </top>
      <bottom style="medium">
        <color rgb="FFD0D5DD"/>
      </bottom>
      <diagonal/>
    </border>
    <border>
      <left style="thin">
        <color rgb="FFD0D5DD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medium">
        <color rgb="FFD0D5DD"/>
      </top>
      <bottom style="thin">
        <color rgb="FFD0D5DD"/>
      </bottom>
      <diagonal/>
    </border>
    <border>
      <left/>
      <right/>
      <top/>
      <bottom style="medium">
        <color rgb="FF2A5F9E"/>
      </bottom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medium">
        <color rgb="FFD0D5DD"/>
      </bottom>
      <diagonal/>
    </border>
    <border>
      <left/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/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/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medium">
        <color rgb="FF0D5C34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 style="medium">
        <color rgb="FF0D5C34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medium">
        <color rgb="FF0D5C34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medium">
        <color rgb="FF1F5C99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 style="medium">
        <color rgb="FF7A1A1A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/>
      <right/>
      <top style="medium">
        <color rgb="FF12355B"/>
      </top>
      <bottom/>
      <diagonal/>
    </border>
    <border>
      <left/>
      <right/>
      <top style="medium">
        <color rgb="FF0A2342"/>
      </top>
      <bottom/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thin">
        <color rgb="FFE8ECF2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thin">
        <color rgb="FFE8ECF2"/>
      </bottom>
      <diagonal/>
    </border>
    <border>
      <left style="thin">
        <color rgb="FFE8ECF2"/>
      </left>
      <right style="thin">
        <color rgb="FFE8ECF2"/>
      </right>
      <top style="thin">
        <color rgb="FFE8ECF2"/>
      </top>
      <bottom style="thin">
        <color rgb="FFE8ECF2"/>
      </bottom>
      <diagonal/>
    </border>
    <border>
      <left style="thin">
        <color rgb="FFE8ECF2"/>
      </left>
      <right style="thin">
        <color rgb="FFD0D5DD"/>
      </right>
      <top style="thin">
        <color rgb="FFE8ECF2"/>
      </top>
      <bottom style="thin">
        <color rgb="FFE8ECF2"/>
      </bottom>
      <diagonal/>
    </border>
    <border>
      <left style="thin">
        <color rgb="FFE8ECF2"/>
      </left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E8ECF2"/>
      </top>
      <bottom style="thin">
        <color rgb="FFD0D5DD"/>
      </bottom>
      <diagonal/>
    </border>
    <border>
      <left/>
      <right style="thin">
        <color rgb="FFE8ECF2"/>
      </right>
      <top style="thin">
        <color rgb="FFD0D5DD"/>
      </top>
      <bottom style="thin">
        <color rgb="FFE8ECF2"/>
      </bottom>
      <diagonal/>
    </border>
    <border>
      <left/>
      <right style="thin">
        <color rgb="FFE8ECF2"/>
      </right>
      <top style="thin">
        <color rgb="FFE8ECF2"/>
      </top>
      <bottom style="thin">
        <color rgb="FFE8ECF2"/>
      </bottom>
      <diagonal/>
    </border>
    <border>
      <left/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medium">
        <color rgb="FF1F5C99"/>
      </left>
      <right style="thin">
        <color rgb="FFE8ECF2"/>
      </right>
      <top style="thin">
        <color rgb="FFD0D5DD"/>
      </top>
      <bottom style="thin">
        <color rgb="FFE8ECF2"/>
      </bottom>
      <diagonal/>
    </border>
    <border>
      <left style="medium">
        <color rgb="FF1F5C99"/>
      </left>
      <right style="thin">
        <color rgb="FFE8ECF2"/>
      </right>
      <top style="thin">
        <color rgb="FFE8ECF2"/>
      </top>
      <bottom style="thin">
        <color rgb="FFE8ECF2"/>
      </bottom>
      <diagonal/>
    </border>
    <border>
      <left style="medium">
        <color rgb="FF1F5C99"/>
      </left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thin">
        <color rgb="FFE8ECF2"/>
      </left>
      <right/>
      <top/>
      <bottom/>
      <diagonal/>
    </border>
  </borders>
  <cellStyleXfs count="1">
    <xf numFmtId="0" fontId="0" fillId="0" borderId="0"/>
  </cellStyleXfs>
  <cellXfs count="304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6" fillId="6" borderId="0" xfId="0" applyFont="1" applyFill="1"/>
    <xf numFmtId="0" fontId="5" fillId="5" borderId="4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/>
    </xf>
    <xf numFmtId="0" fontId="8" fillId="7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left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left"/>
    </xf>
    <xf numFmtId="0" fontId="8" fillId="6" borderId="6" xfId="0" applyFont="1" applyFill="1" applyBorder="1" applyAlignment="1">
      <alignment horizontal="center"/>
    </xf>
    <xf numFmtId="0" fontId="5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right" vertical="center"/>
    </xf>
    <xf numFmtId="0" fontId="0" fillId="10" borderId="0" xfId="0" applyFill="1"/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14" fillId="11" borderId="0" xfId="0" applyFont="1" applyFill="1" applyAlignment="1">
      <alignment horizontal="left"/>
    </xf>
    <xf numFmtId="0" fontId="0" fillId="11" borderId="7" xfId="0" applyFill="1" applyBorder="1" applyAlignment="1">
      <alignment horizontal="left" vertical="center"/>
    </xf>
    <xf numFmtId="0" fontId="13" fillId="11" borderId="7" xfId="0" applyFont="1" applyFill="1" applyBorder="1" applyAlignment="1">
      <alignment horizontal="left" vertical="top"/>
    </xf>
    <xf numFmtId="0" fontId="0" fillId="12" borderId="7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0" fontId="16" fillId="7" borderId="0" xfId="0" applyFont="1" applyFill="1" applyAlignment="1">
      <alignment horizontal="center"/>
    </xf>
    <xf numFmtId="0" fontId="16" fillId="17" borderId="0" xfId="0" applyFont="1" applyFill="1" applyAlignment="1">
      <alignment horizontal="center"/>
    </xf>
    <xf numFmtId="0" fontId="15" fillId="7" borderId="0" xfId="0" applyFont="1" applyFill="1" applyAlignment="1">
      <alignment horizontal="left" vertical="center"/>
    </xf>
    <xf numFmtId="0" fontId="9" fillId="13" borderId="12" xfId="0" applyFon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left" vertical="center"/>
    </xf>
    <xf numFmtId="0" fontId="9" fillId="13" borderId="14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left"/>
    </xf>
    <xf numFmtId="0" fontId="16" fillId="7" borderId="14" xfId="0" applyFont="1" applyFill="1" applyBorder="1" applyAlignment="1">
      <alignment horizontal="center"/>
    </xf>
    <xf numFmtId="0" fontId="16" fillId="17" borderId="12" xfId="0" applyFont="1" applyFill="1" applyBorder="1" applyAlignment="1">
      <alignment horizontal="center"/>
    </xf>
    <xf numFmtId="0" fontId="16" fillId="17" borderId="13" xfId="0" applyFont="1" applyFill="1" applyBorder="1" applyAlignment="1">
      <alignment horizontal="center"/>
    </xf>
    <xf numFmtId="0" fontId="16" fillId="17" borderId="13" xfId="0" applyFont="1" applyFill="1" applyBorder="1" applyAlignment="1">
      <alignment horizontal="left"/>
    </xf>
    <xf numFmtId="0" fontId="16" fillId="17" borderId="14" xfId="0" applyFont="1" applyFill="1" applyBorder="1" applyAlignment="1">
      <alignment horizontal="center"/>
    </xf>
    <xf numFmtId="0" fontId="9" fillId="14" borderId="12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/>
    </xf>
    <xf numFmtId="0" fontId="9" fillId="14" borderId="13" xfId="0" applyFont="1" applyFill="1" applyBorder="1" applyAlignment="1">
      <alignment horizontal="left"/>
    </xf>
    <xf numFmtId="0" fontId="9" fillId="14" borderId="14" xfId="0" applyFont="1" applyFill="1" applyBorder="1" applyAlignment="1">
      <alignment horizontal="center"/>
    </xf>
    <xf numFmtId="0" fontId="9" fillId="15" borderId="12" xfId="0" applyFont="1" applyFill="1" applyBorder="1" applyAlignment="1">
      <alignment horizontal="center"/>
    </xf>
    <xf numFmtId="0" fontId="9" fillId="15" borderId="13" xfId="0" applyFont="1" applyFill="1" applyBorder="1" applyAlignment="1">
      <alignment horizontal="center"/>
    </xf>
    <xf numFmtId="0" fontId="9" fillId="15" borderId="13" xfId="0" applyFont="1" applyFill="1" applyBorder="1" applyAlignment="1">
      <alignment horizontal="left"/>
    </xf>
    <xf numFmtId="0" fontId="9" fillId="15" borderId="14" xfId="0" applyFont="1" applyFill="1" applyBorder="1" applyAlignment="1">
      <alignment horizontal="center"/>
    </xf>
    <xf numFmtId="0" fontId="9" fillId="16" borderId="12" xfId="0" applyFont="1" applyFill="1" applyBorder="1" applyAlignment="1">
      <alignment horizontal="center"/>
    </xf>
    <xf numFmtId="0" fontId="9" fillId="16" borderId="13" xfId="0" applyFont="1" applyFill="1" applyBorder="1" applyAlignment="1">
      <alignment horizontal="center"/>
    </xf>
    <xf numFmtId="0" fontId="9" fillId="16" borderId="13" xfId="0" applyFont="1" applyFill="1" applyBorder="1" applyAlignment="1">
      <alignment horizontal="left"/>
    </xf>
    <xf numFmtId="0" fontId="9" fillId="16" borderId="14" xfId="0" applyFont="1" applyFill="1" applyBorder="1" applyAlignment="1">
      <alignment horizontal="center"/>
    </xf>
    <xf numFmtId="0" fontId="7" fillId="18" borderId="0" xfId="0" applyFont="1" applyFill="1" applyAlignment="1">
      <alignment horizontal="left" vertical="center"/>
    </xf>
    <xf numFmtId="0" fontId="0" fillId="19" borderId="0" xfId="0" applyFill="1"/>
    <xf numFmtId="0" fontId="18" fillId="17" borderId="0" xfId="0" applyFont="1" applyFill="1" applyAlignment="1">
      <alignment horizontal="left" vertical="center"/>
    </xf>
    <xf numFmtId="0" fontId="19" fillId="7" borderId="13" xfId="0" applyFont="1" applyFill="1" applyBorder="1" applyAlignment="1">
      <alignment horizontal="center"/>
    </xf>
    <xf numFmtId="10" fontId="20" fillId="7" borderId="14" xfId="0" applyNumberFormat="1" applyFont="1" applyFill="1" applyBorder="1" applyAlignment="1">
      <alignment horizontal="center"/>
    </xf>
    <xf numFmtId="0" fontId="19" fillId="17" borderId="13" xfId="0" applyFont="1" applyFill="1" applyBorder="1" applyAlignment="1">
      <alignment horizontal="center"/>
    </xf>
    <xf numFmtId="10" fontId="20" fillId="17" borderId="14" xfId="0" applyNumberFormat="1" applyFont="1" applyFill="1" applyBorder="1" applyAlignment="1">
      <alignment horizontal="center"/>
    </xf>
    <xf numFmtId="10" fontId="21" fillId="17" borderId="14" xfId="0" applyNumberFormat="1" applyFont="1" applyFill="1" applyBorder="1" applyAlignment="1">
      <alignment horizontal="center"/>
    </xf>
    <xf numFmtId="0" fontId="22" fillId="7" borderId="13" xfId="0" applyFont="1" applyFill="1" applyBorder="1" applyAlignment="1">
      <alignment horizontal="center"/>
    </xf>
    <xf numFmtId="0" fontId="22" fillId="17" borderId="13" xfId="0" applyFont="1" applyFill="1" applyBorder="1" applyAlignment="1">
      <alignment horizontal="center"/>
    </xf>
    <xf numFmtId="0" fontId="23" fillId="7" borderId="13" xfId="0" applyFont="1" applyFill="1" applyBorder="1" applyAlignment="1">
      <alignment horizontal="center"/>
    </xf>
    <xf numFmtId="0" fontId="23" fillId="17" borderId="13" xfId="0" applyFont="1" applyFill="1" applyBorder="1" applyAlignment="1">
      <alignment horizontal="center"/>
    </xf>
    <xf numFmtId="0" fontId="0" fillId="19" borderId="15" xfId="0" applyFill="1" applyBorder="1"/>
    <xf numFmtId="0" fontId="17" fillId="19" borderId="16" xfId="0" applyFont="1" applyFill="1" applyBorder="1" applyAlignment="1">
      <alignment horizontal="center"/>
    </xf>
    <xf numFmtId="0" fontId="17" fillId="19" borderId="17" xfId="0" applyFont="1" applyFill="1" applyBorder="1" applyAlignment="1">
      <alignment horizontal="center"/>
    </xf>
    <xf numFmtId="0" fontId="17" fillId="19" borderId="17" xfId="0" applyFont="1" applyFill="1" applyBorder="1" applyAlignment="1">
      <alignment horizontal="left"/>
    </xf>
    <xf numFmtId="0" fontId="0" fillId="19" borderId="17" xfId="0" applyFill="1" applyBorder="1"/>
    <xf numFmtId="0" fontId="17" fillId="19" borderId="18" xfId="0" applyFont="1" applyFill="1" applyBorder="1" applyAlignment="1">
      <alignment horizontal="center"/>
    </xf>
    <xf numFmtId="0" fontId="16" fillId="7" borderId="19" xfId="0" applyFont="1" applyFill="1" applyBorder="1" applyAlignment="1">
      <alignment horizontal="center"/>
    </xf>
    <xf numFmtId="0" fontId="16" fillId="7" borderId="20" xfId="0" applyFont="1" applyFill="1" applyBorder="1" applyAlignment="1">
      <alignment horizontal="center"/>
    </xf>
    <xf numFmtId="0" fontId="16" fillId="7" borderId="20" xfId="0" applyFont="1" applyFill="1" applyBorder="1" applyAlignment="1">
      <alignment horizontal="left"/>
    </xf>
    <xf numFmtId="0" fontId="24" fillId="7" borderId="20" xfId="0" applyFont="1" applyFill="1" applyBorder="1" applyAlignment="1">
      <alignment horizontal="center"/>
    </xf>
    <xf numFmtId="10" fontId="16" fillId="7" borderId="20" xfId="0" applyNumberFormat="1" applyFont="1" applyFill="1" applyBorder="1" applyAlignment="1">
      <alignment horizontal="center"/>
    </xf>
    <xf numFmtId="10" fontId="20" fillId="7" borderId="20" xfId="0" applyNumberFormat="1" applyFont="1" applyFill="1" applyBorder="1" applyAlignment="1">
      <alignment horizontal="center"/>
    </xf>
    <xf numFmtId="0" fontId="25" fillId="7" borderId="21" xfId="0" applyFont="1" applyFill="1" applyBorder="1" applyAlignment="1">
      <alignment horizontal="center"/>
    </xf>
    <xf numFmtId="0" fontId="16" fillId="17" borderId="19" xfId="0" applyFont="1" applyFill="1" applyBorder="1" applyAlignment="1">
      <alignment horizontal="center"/>
    </xf>
    <xf numFmtId="0" fontId="16" fillId="17" borderId="20" xfId="0" applyFont="1" applyFill="1" applyBorder="1" applyAlignment="1">
      <alignment horizontal="center"/>
    </xf>
    <xf numFmtId="0" fontId="16" fillId="17" borderId="20" xfId="0" applyFont="1" applyFill="1" applyBorder="1" applyAlignment="1">
      <alignment horizontal="left"/>
    </xf>
    <xf numFmtId="0" fontId="24" fillId="17" borderId="20" xfId="0" applyFont="1" applyFill="1" applyBorder="1" applyAlignment="1">
      <alignment horizontal="center"/>
    </xf>
    <xf numFmtId="10" fontId="16" fillId="17" borderId="20" xfId="0" applyNumberFormat="1" applyFont="1" applyFill="1" applyBorder="1" applyAlignment="1">
      <alignment horizontal="center"/>
    </xf>
    <xf numFmtId="10" fontId="21" fillId="17" borderId="20" xfId="0" applyNumberFormat="1" applyFont="1" applyFill="1" applyBorder="1" applyAlignment="1">
      <alignment horizontal="center"/>
    </xf>
    <xf numFmtId="0" fontId="26" fillId="17" borderId="21" xfId="0" applyFont="1" applyFill="1" applyBorder="1" applyAlignment="1">
      <alignment horizontal="center"/>
    </xf>
    <xf numFmtId="14" fontId="16" fillId="7" borderId="20" xfId="0" applyNumberFormat="1" applyFont="1" applyFill="1" applyBorder="1" applyAlignment="1">
      <alignment horizontal="center"/>
    </xf>
    <xf numFmtId="0" fontId="26" fillId="7" borderId="21" xfId="0" applyFont="1" applyFill="1" applyBorder="1" applyAlignment="1">
      <alignment horizontal="center"/>
    </xf>
    <xf numFmtId="10" fontId="20" fillId="17" borderId="20" xfId="0" applyNumberFormat="1" applyFont="1" applyFill="1" applyBorder="1" applyAlignment="1">
      <alignment horizontal="center"/>
    </xf>
    <xf numFmtId="14" fontId="16" fillId="17" borderId="20" xfId="0" applyNumberFormat="1" applyFont="1" applyFill="1" applyBorder="1" applyAlignment="1">
      <alignment horizontal="center"/>
    </xf>
    <xf numFmtId="0" fontId="16" fillId="17" borderId="22" xfId="0" applyFont="1" applyFill="1" applyBorder="1" applyAlignment="1">
      <alignment horizontal="center"/>
    </xf>
    <xf numFmtId="0" fontId="16" fillId="17" borderId="23" xfId="0" applyFont="1" applyFill="1" applyBorder="1" applyAlignment="1">
      <alignment horizontal="center"/>
    </xf>
    <xf numFmtId="0" fontId="16" fillId="17" borderId="23" xfId="0" applyFont="1" applyFill="1" applyBorder="1" applyAlignment="1">
      <alignment horizontal="left"/>
    </xf>
    <xf numFmtId="0" fontId="24" fillId="17" borderId="23" xfId="0" applyFont="1" applyFill="1" applyBorder="1" applyAlignment="1">
      <alignment horizontal="center"/>
    </xf>
    <xf numFmtId="10" fontId="20" fillId="17" borderId="23" xfId="0" applyNumberFormat="1" applyFont="1" applyFill="1" applyBorder="1" applyAlignment="1">
      <alignment horizontal="center"/>
    </xf>
    <xf numFmtId="14" fontId="16" fillId="17" borderId="23" xfId="0" applyNumberFormat="1" applyFont="1" applyFill="1" applyBorder="1" applyAlignment="1">
      <alignment horizontal="center"/>
    </xf>
    <xf numFmtId="0" fontId="26" fillId="17" borderId="24" xfId="0" applyFont="1" applyFill="1" applyBorder="1" applyAlignment="1">
      <alignment horizontal="center"/>
    </xf>
    <xf numFmtId="0" fontId="5" fillId="9" borderId="25" xfId="0" applyFont="1" applyFill="1" applyBorder="1" applyAlignment="1">
      <alignment horizontal="left" vertical="center"/>
    </xf>
    <xf numFmtId="0" fontId="28" fillId="7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center" vertical="center"/>
    </xf>
    <xf numFmtId="0" fontId="27" fillId="20" borderId="26" xfId="0" applyFont="1" applyFill="1" applyBorder="1" applyAlignment="1">
      <alignment horizontal="center" vertical="center"/>
    </xf>
    <xf numFmtId="0" fontId="27" fillId="20" borderId="26" xfId="0" applyFont="1" applyFill="1" applyBorder="1" applyAlignment="1">
      <alignment horizontal="left" vertical="center"/>
    </xf>
    <xf numFmtId="0" fontId="27" fillId="20" borderId="27" xfId="0" applyFont="1" applyFill="1" applyBorder="1" applyAlignment="1">
      <alignment horizontal="center" vertical="center"/>
    </xf>
    <xf numFmtId="0" fontId="28" fillId="7" borderId="20" xfId="0" applyFont="1" applyFill="1" applyBorder="1" applyAlignment="1">
      <alignment horizontal="center" vertical="center"/>
    </xf>
    <xf numFmtId="0" fontId="28" fillId="7" borderId="20" xfId="0" applyFont="1" applyFill="1" applyBorder="1" applyAlignment="1">
      <alignment horizontal="left" vertical="center"/>
    </xf>
    <xf numFmtId="0" fontId="27" fillId="7" borderId="20" xfId="0" applyFont="1" applyFill="1" applyBorder="1" applyAlignment="1">
      <alignment horizontal="center" vertical="center"/>
    </xf>
    <xf numFmtId="0" fontId="28" fillId="7" borderId="21" xfId="0" applyFont="1" applyFill="1" applyBorder="1" applyAlignment="1">
      <alignment horizontal="center" vertical="center"/>
    </xf>
    <xf numFmtId="0" fontId="28" fillId="17" borderId="20" xfId="0" applyFont="1" applyFill="1" applyBorder="1" applyAlignment="1">
      <alignment horizontal="center" vertical="center"/>
    </xf>
    <xf numFmtId="0" fontId="28" fillId="17" borderId="20" xfId="0" applyFont="1" applyFill="1" applyBorder="1" applyAlignment="1">
      <alignment horizontal="left" vertical="center"/>
    </xf>
    <xf numFmtId="0" fontId="27" fillId="17" borderId="20" xfId="0" applyFont="1" applyFill="1" applyBorder="1" applyAlignment="1">
      <alignment horizontal="center" vertical="center"/>
    </xf>
    <xf numFmtId="0" fontId="28" fillId="17" borderId="21" xfId="0" applyFont="1" applyFill="1" applyBorder="1" applyAlignment="1">
      <alignment horizontal="center" vertical="center"/>
    </xf>
    <xf numFmtId="0" fontId="28" fillId="7" borderId="23" xfId="0" applyFont="1" applyFill="1" applyBorder="1" applyAlignment="1">
      <alignment horizontal="center" vertical="center"/>
    </xf>
    <xf numFmtId="0" fontId="28" fillId="7" borderId="23" xfId="0" applyFont="1" applyFill="1" applyBorder="1" applyAlignment="1">
      <alignment horizontal="left" vertical="center"/>
    </xf>
    <xf numFmtId="0" fontId="27" fillId="7" borderId="23" xfId="0" applyFont="1" applyFill="1" applyBorder="1" applyAlignment="1">
      <alignment horizontal="center" vertical="center"/>
    </xf>
    <xf numFmtId="0" fontId="28" fillId="7" borderId="24" xfId="0" applyFont="1" applyFill="1" applyBorder="1" applyAlignment="1">
      <alignment horizontal="center" vertical="center"/>
    </xf>
    <xf numFmtId="0" fontId="27" fillId="20" borderId="28" xfId="0" applyFont="1" applyFill="1" applyBorder="1" applyAlignment="1">
      <alignment horizontal="center" vertical="center"/>
    </xf>
    <xf numFmtId="0" fontId="28" fillId="7" borderId="29" xfId="0" applyFont="1" applyFill="1" applyBorder="1" applyAlignment="1">
      <alignment horizontal="center" vertical="center"/>
    </xf>
    <xf numFmtId="0" fontId="28" fillId="17" borderId="29" xfId="0" applyFont="1" applyFill="1" applyBorder="1" applyAlignment="1">
      <alignment horizontal="center" vertical="center"/>
    </xf>
    <xf numFmtId="0" fontId="28" fillId="7" borderId="30" xfId="0" applyFont="1" applyFill="1" applyBorder="1" applyAlignment="1">
      <alignment horizontal="center" vertical="center"/>
    </xf>
    <xf numFmtId="0" fontId="27" fillId="20" borderId="31" xfId="0" applyFont="1" applyFill="1" applyBorder="1" applyAlignment="1">
      <alignment horizontal="center" vertical="center"/>
    </xf>
    <xf numFmtId="0" fontId="28" fillId="7" borderId="32" xfId="0" applyFont="1" applyFill="1" applyBorder="1" applyAlignment="1">
      <alignment horizontal="center" vertical="center"/>
    </xf>
    <xf numFmtId="0" fontId="28" fillId="17" borderId="32" xfId="0" applyFont="1" applyFill="1" applyBorder="1" applyAlignment="1">
      <alignment horizontal="center" vertical="center"/>
    </xf>
    <xf numFmtId="0" fontId="28" fillId="7" borderId="33" xfId="0" applyFont="1" applyFill="1" applyBorder="1" applyAlignment="1">
      <alignment horizontal="center" vertical="center"/>
    </xf>
    <xf numFmtId="0" fontId="9" fillId="18" borderId="0" xfId="0" applyFont="1" applyFill="1" applyAlignment="1">
      <alignment horizontal="left"/>
    </xf>
    <xf numFmtId="0" fontId="29" fillId="19" borderId="0" xfId="0" applyFont="1" applyFill="1" applyAlignment="1">
      <alignment horizontal="center"/>
    </xf>
    <xf numFmtId="0" fontId="29" fillId="19" borderId="8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11" xfId="0" applyFont="1" applyFill="1" applyBorder="1" applyAlignment="1">
      <alignment horizontal="center"/>
    </xf>
    <xf numFmtId="0" fontId="29" fillId="19" borderId="26" xfId="0" applyFont="1" applyFill="1" applyBorder="1" applyAlignment="1">
      <alignment horizontal="center" vertical="center"/>
    </xf>
    <xf numFmtId="0" fontId="29" fillId="19" borderId="26" xfId="0" applyFont="1" applyFill="1" applyBorder="1" applyAlignment="1">
      <alignment horizontal="left" vertical="center"/>
    </xf>
    <xf numFmtId="0" fontId="29" fillId="19" borderId="27" xfId="0" applyFont="1" applyFill="1" applyBorder="1" applyAlignment="1">
      <alignment horizontal="center" vertical="center"/>
    </xf>
    <xf numFmtId="0" fontId="29" fillId="19" borderId="28" xfId="0" applyFont="1" applyFill="1" applyBorder="1" applyAlignment="1">
      <alignment horizontal="center" vertical="center"/>
    </xf>
    <xf numFmtId="0" fontId="29" fillId="19" borderId="34" xfId="0" applyFont="1" applyFill="1" applyBorder="1" applyAlignment="1">
      <alignment horizontal="center" vertical="center"/>
    </xf>
    <xf numFmtId="0" fontId="30" fillId="21" borderId="26" xfId="0" applyFont="1" applyFill="1" applyBorder="1" applyAlignment="1">
      <alignment horizontal="center" vertical="center"/>
    </xf>
    <xf numFmtId="0" fontId="30" fillId="21" borderId="26" xfId="0" applyFont="1" applyFill="1" applyBorder="1" applyAlignment="1">
      <alignment horizontal="left" vertical="center"/>
    </xf>
    <xf numFmtId="0" fontId="30" fillId="21" borderId="27" xfId="0" applyFont="1" applyFill="1" applyBorder="1" applyAlignment="1">
      <alignment horizontal="center" vertical="center"/>
    </xf>
    <xf numFmtId="0" fontId="30" fillId="21" borderId="28" xfId="0" applyFont="1" applyFill="1" applyBorder="1" applyAlignment="1">
      <alignment horizontal="center" vertical="center"/>
    </xf>
    <xf numFmtId="0" fontId="30" fillId="21" borderId="35" xfId="0" applyFont="1" applyFill="1" applyBorder="1" applyAlignment="1">
      <alignment horizontal="center" vertical="center"/>
    </xf>
    <xf numFmtId="0" fontId="31" fillId="18" borderId="0" xfId="0" applyFont="1" applyFill="1" applyAlignment="1">
      <alignment horizontal="center"/>
    </xf>
    <xf numFmtId="0" fontId="31" fillId="18" borderId="0" xfId="0" applyFont="1" applyFill="1"/>
    <xf numFmtId="0" fontId="31" fillId="18" borderId="3" xfId="0" applyFont="1" applyFill="1" applyBorder="1" applyAlignment="1">
      <alignment horizontal="center" vertical="center"/>
    </xf>
    <xf numFmtId="0" fontId="0" fillId="22" borderId="0" xfId="0" applyFill="1"/>
    <xf numFmtId="0" fontId="36" fillId="17" borderId="7" xfId="0" applyFont="1" applyFill="1" applyBorder="1" applyAlignment="1">
      <alignment horizontal="left" vertical="center"/>
    </xf>
    <xf numFmtId="0" fontId="7" fillId="23" borderId="0" xfId="0" applyFont="1" applyFill="1" applyAlignment="1">
      <alignment horizontal="left" vertical="center"/>
    </xf>
    <xf numFmtId="0" fontId="42" fillId="17" borderId="0" xfId="0" applyFont="1" applyFill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0" fontId="29" fillId="19" borderId="10" xfId="0" applyFont="1" applyFill="1" applyBorder="1" applyAlignment="1">
      <alignment horizontal="left" vertical="center"/>
    </xf>
    <xf numFmtId="0" fontId="29" fillId="19" borderId="10" xfId="0" applyFont="1" applyFill="1" applyBorder="1" applyAlignment="1">
      <alignment horizontal="center" vertical="center"/>
    </xf>
    <xf numFmtId="0" fontId="37" fillId="7" borderId="10" xfId="0" applyFont="1" applyFill="1" applyBorder="1" applyAlignment="1">
      <alignment horizontal="left" vertical="center"/>
    </xf>
    <xf numFmtId="0" fontId="28" fillId="7" borderId="10" xfId="0" applyFont="1" applyFill="1" applyBorder="1" applyAlignment="1">
      <alignment horizontal="center" vertical="center"/>
    </xf>
    <xf numFmtId="0" fontId="38" fillId="7" borderId="10" xfId="0" applyFont="1" applyFill="1" applyBorder="1" applyAlignment="1">
      <alignment horizontal="center" vertical="center"/>
    </xf>
    <xf numFmtId="0" fontId="39" fillId="7" borderId="10" xfId="0" applyFont="1" applyFill="1" applyBorder="1" applyAlignment="1">
      <alignment horizontal="left" vertical="center"/>
    </xf>
    <xf numFmtId="0" fontId="40" fillId="7" borderId="10" xfId="0" applyFont="1" applyFill="1" applyBorder="1" applyAlignment="1">
      <alignment horizontal="left" vertical="center"/>
    </xf>
    <xf numFmtId="10" fontId="28" fillId="7" borderId="10" xfId="0" applyNumberFormat="1" applyFont="1" applyFill="1" applyBorder="1" applyAlignment="1">
      <alignment horizontal="center" vertical="center"/>
    </xf>
    <xf numFmtId="10" fontId="39" fillId="7" borderId="10" xfId="0" applyNumberFormat="1" applyFont="1" applyFill="1" applyBorder="1" applyAlignment="1">
      <alignment horizontal="center" vertical="center"/>
    </xf>
    <xf numFmtId="0" fontId="35" fillId="7" borderId="10" xfId="0" applyFont="1" applyFill="1" applyBorder="1" applyAlignment="1">
      <alignment horizontal="center" vertical="center"/>
    </xf>
    <xf numFmtId="0" fontId="37" fillId="17" borderId="10" xfId="0" applyFont="1" applyFill="1" applyBorder="1" applyAlignment="1">
      <alignment horizontal="left" vertical="center"/>
    </xf>
    <xf numFmtId="0" fontId="28" fillId="17" borderId="10" xfId="0" applyFont="1" applyFill="1" applyBorder="1" applyAlignment="1">
      <alignment horizontal="center" vertical="center"/>
    </xf>
    <xf numFmtId="0" fontId="38" fillId="17" borderId="10" xfId="0" applyFont="1" applyFill="1" applyBorder="1" applyAlignment="1">
      <alignment horizontal="center" vertical="center"/>
    </xf>
    <xf numFmtId="0" fontId="39" fillId="17" borderId="10" xfId="0" applyFont="1" applyFill="1" applyBorder="1" applyAlignment="1">
      <alignment horizontal="left" vertical="center"/>
    </xf>
    <xf numFmtId="0" fontId="40" fillId="17" borderId="10" xfId="0" applyFont="1" applyFill="1" applyBorder="1" applyAlignment="1">
      <alignment horizontal="left" vertical="center"/>
    </xf>
    <xf numFmtId="10" fontId="28" fillId="17" borderId="10" xfId="0" applyNumberFormat="1" applyFont="1" applyFill="1" applyBorder="1" applyAlignment="1">
      <alignment horizontal="center" vertical="center"/>
    </xf>
    <xf numFmtId="10" fontId="39" fillId="17" borderId="10" xfId="0" applyNumberFormat="1" applyFont="1" applyFill="1" applyBorder="1" applyAlignment="1">
      <alignment horizontal="center" vertical="center"/>
    </xf>
    <xf numFmtId="0" fontId="35" fillId="17" borderId="10" xfId="0" applyFont="1" applyFill="1" applyBorder="1" applyAlignment="1">
      <alignment horizontal="center" vertical="center"/>
    </xf>
    <xf numFmtId="0" fontId="39" fillId="7" borderId="10" xfId="0" applyFont="1" applyFill="1" applyBorder="1" applyAlignment="1">
      <alignment horizontal="center" vertical="center"/>
    </xf>
    <xf numFmtId="0" fontId="41" fillId="17" borderId="10" xfId="0" applyFont="1" applyFill="1" applyBorder="1" applyAlignment="1">
      <alignment horizontal="center" vertical="center"/>
    </xf>
    <xf numFmtId="0" fontId="42" fillId="17" borderId="10" xfId="0" applyFont="1" applyFill="1" applyBorder="1" applyAlignment="1">
      <alignment horizontal="left" vertical="center"/>
    </xf>
    <xf numFmtId="10" fontId="42" fillId="17" borderId="10" xfId="0" applyNumberFormat="1" applyFont="1" applyFill="1" applyBorder="1" applyAlignment="1">
      <alignment horizontal="center" vertical="center"/>
    </xf>
    <xf numFmtId="0" fontId="32" fillId="17" borderId="10" xfId="0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horizontal="center" vertical="center"/>
    </xf>
    <xf numFmtId="0" fontId="32" fillId="7" borderId="10" xfId="0" applyFont="1" applyFill="1" applyBorder="1" applyAlignment="1">
      <alignment horizontal="left" vertical="center"/>
    </xf>
    <xf numFmtId="10" fontId="42" fillId="7" borderId="10" xfId="0" applyNumberFormat="1" applyFont="1" applyFill="1" applyBorder="1" applyAlignment="1">
      <alignment horizontal="center" vertical="center"/>
    </xf>
    <xf numFmtId="0" fontId="32" fillId="7" borderId="10" xfId="0" applyFont="1" applyFill="1" applyBorder="1" applyAlignment="1">
      <alignment horizontal="center" vertical="center"/>
    </xf>
    <xf numFmtId="0" fontId="29" fillId="17" borderId="10" xfId="0" applyFont="1" applyFill="1" applyBorder="1" applyAlignment="1">
      <alignment horizontal="center" vertical="center"/>
    </xf>
    <xf numFmtId="0" fontId="32" fillId="17" borderId="10" xfId="0" applyFont="1" applyFill="1" applyBorder="1" applyAlignment="1">
      <alignment horizontal="left" vertical="center"/>
    </xf>
    <xf numFmtId="0" fontId="41" fillId="7" borderId="10" xfId="0" applyFont="1" applyFill="1" applyBorder="1" applyAlignment="1">
      <alignment horizontal="center" vertical="center"/>
    </xf>
    <xf numFmtId="0" fontId="43" fillId="17" borderId="0" xfId="0" applyFont="1" applyFill="1" applyAlignment="1">
      <alignment horizontal="left" vertical="center"/>
    </xf>
    <xf numFmtId="0" fontId="33" fillId="9" borderId="37" xfId="0" applyFont="1" applyFill="1" applyBorder="1" applyAlignment="1">
      <alignment horizontal="left" vertical="center"/>
    </xf>
    <xf numFmtId="0" fontId="34" fillId="9" borderId="37" xfId="0" applyFont="1" applyFill="1" applyBorder="1" applyAlignment="1">
      <alignment horizontal="right" vertical="center"/>
    </xf>
    <xf numFmtId="0" fontId="44" fillId="11" borderId="7" xfId="0" applyFont="1" applyFill="1" applyBorder="1" applyAlignment="1">
      <alignment vertical="center"/>
    </xf>
    <xf numFmtId="0" fontId="17" fillId="19" borderId="38" xfId="0" applyFont="1" applyFill="1" applyBorder="1" applyAlignment="1">
      <alignment horizontal="center" vertical="center"/>
    </xf>
    <xf numFmtId="0" fontId="17" fillId="19" borderId="38" xfId="0" applyFont="1" applyFill="1" applyBorder="1" applyAlignment="1">
      <alignment horizontal="left" vertical="center"/>
    </xf>
    <xf numFmtId="0" fontId="16" fillId="7" borderId="40" xfId="0" applyFont="1" applyFill="1" applyBorder="1" applyAlignment="1">
      <alignment horizontal="center" vertical="center"/>
    </xf>
    <xf numFmtId="0" fontId="16" fillId="7" borderId="40" xfId="0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/>
    </xf>
    <xf numFmtId="0" fontId="16" fillId="7" borderId="41" xfId="0" applyFont="1" applyFill="1" applyBorder="1" applyAlignment="1">
      <alignment horizontal="center" vertical="center"/>
    </xf>
    <xf numFmtId="0" fontId="16" fillId="17" borderId="40" xfId="0" applyFont="1" applyFill="1" applyBorder="1" applyAlignment="1">
      <alignment horizontal="center" vertical="center"/>
    </xf>
    <xf numFmtId="0" fontId="16" fillId="17" borderId="40" xfId="0" applyFont="1" applyFill="1" applyBorder="1" applyAlignment="1">
      <alignment horizontal="left" vertical="center"/>
    </xf>
    <xf numFmtId="0" fontId="17" fillId="17" borderId="40" xfId="0" applyFont="1" applyFill="1" applyBorder="1" applyAlignment="1">
      <alignment horizontal="center" vertical="center"/>
    </xf>
    <xf numFmtId="0" fontId="16" fillId="17" borderId="41" xfId="0" applyFont="1" applyFill="1" applyBorder="1" applyAlignment="1">
      <alignment horizontal="center" vertical="center"/>
    </xf>
    <xf numFmtId="0" fontId="17" fillId="19" borderId="44" xfId="0" applyFont="1" applyFill="1" applyBorder="1" applyAlignment="1">
      <alignment horizontal="center" vertical="center"/>
    </xf>
    <xf numFmtId="0" fontId="16" fillId="7" borderId="45" xfId="0" applyFont="1" applyFill="1" applyBorder="1" applyAlignment="1">
      <alignment horizontal="center" vertical="center"/>
    </xf>
    <xf numFmtId="0" fontId="16" fillId="17" borderId="45" xfId="0" applyFont="1" applyFill="1" applyBorder="1" applyAlignment="1">
      <alignment horizontal="center" vertical="center"/>
    </xf>
    <xf numFmtId="0" fontId="17" fillId="19" borderId="47" xfId="0" applyFont="1" applyFill="1" applyBorder="1" applyAlignment="1">
      <alignment horizontal="center" vertical="center"/>
    </xf>
    <xf numFmtId="0" fontId="16" fillId="7" borderId="48" xfId="0" applyFont="1" applyFill="1" applyBorder="1" applyAlignment="1">
      <alignment horizontal="center" vertical="center"/>
    </xf>
    <xf numFmtId="0" fontId="16" fillId="17" borderId="48" xfId="0" applyFont="1" applyFill="1" applyBorder="1" applyAlignment="1">
      <alignment horizontal="center" vertical="center"/>
    </xf>
    <xf numFmtId="0" fontId="45" fillId="23" borderId="40" xfId="0" applyFont="1" applyFill="1" applyBorder="1" applyAlignment="1">
      <alignment horizontal="center" vertical="center"/>
    </xf>
    <xf numFmtId="0" fontId="45" fillId="23" borderId="48" xfId="0" applyFont="1" applyFill="1" applyBorder="1" applyAlignment="1">
      <alignment horizontal="center" vertical="center"/>
    </xf>
    <xf numFmtId="0" fontId="45" fillId="23" borderId="45" xfId="0" applyFont="1" applyFill="1" applyBorder="1" applyAlignment="1">
      <alignment horizontal="center" vertical="center"/>
    </xf>
    <xf numFmtId="0" fontId="45" fillId="23" borderId="40" xfId="0" applyFont="1" applyFill="1" applyBorder="1" applyAlignment="1">
      <alignment horizontal="left" vertical="center"/>
    </xf>
    <xf numFmtId="0" fontId="26" fillId="17" borderId="41" xfId="0" applyFont="1" applyFill="1" applyBorder="1" applyAlignment="1">
      <alignment horizontal="center" vertical="center"/>
    </xf>
    <xf numFmtId="0" fontId="20" fillId="17" borderId="40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0" fillId="7" borderId="40" xfId="0" applyFont="1" applyFill="1" applyBorder="1" applyAlignment="1">
      <alignment horizontal="center" vertical="center"/>
    </xf>
    <xf numFmtId="0" fontId="21" fillId="17" borderId="41" xfId="0" applyFont="1" applyFill="1" applyBorder="1" applyAlignment="1">
      <alignment horizontal="center" vertical="center"/>
    </xf>
    <xf numFmtId="0" fontId="21" fillId="17" borderId="40" xfId="0" applyFont="1" applyFill="1" applyBorder="1" applyAlignment="1">
      <alignment horizontal="center" vertical="center"/>
    </xf>
    <xf numFmtId="0" fontId="21" fillId="7" borderId="40" xfId="0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left" vertical="center"/>
    </xf>
    <xf numFmtId="0" fontId="17" fillId="7" borderId="42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16" fillId="7" borderId="46" xfId="0" applyFont="1" applyFill="1" applyBorder="1" applyAlignment="1">
      <alignment horizontal="center" vertical="center"/>
    </xf>
    <xf numFmtId="0" fontId="16" fillId="7" borderId="49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/>
    </xf>
    <xf numFmtId="0" fontId="25" fillId="7" borderId="40" xfId="0" applyFont="1" applyFill="1" applyBorder="1" applyAlignment="1">
      <alignment horizontal="center" vertical="center"/>
    </xf>
    <xf numFmtId="0" fontId="25" fillId="17" borderId="40" xfId="0" applyFont="1" applyFill="1" applyBorder="1" applyAlignment="1">
      <alignment horizontal="center" vertical="center"/>
    </xf>
    <xf numFmtId="0" fontId="21" fillId="23" borderId="41" xfId="0" applyFont="1" applyFill="1" applyBorder="1" applyAlignment="1">
      <alignment horizontal="center" vertical="center"/>
    </xf>
    <xf numFmtId="0" fontId="46" fillId="23" borderId="40" xfId="0" applyFont="1" applyFill="1" applyBorder="1" applyAlignment="1">
      <alignment horizontal="center" vertical="center"/>
    </xf>
    <xf numFmtId="0" fontId="47" fillId="9" borderId="25" xfId="0" applyFont="1" applyFill="1" applyBorder="1" applyAlignment="1">
      <alignment horizontal="left" vertical="center"/>
    </xf>
    <xf numFmtId="0" fontId="44" fillId="11" borderId="7" xfId="0" applyFont="1" applyFill="1" applyBorder="1" applyAlignment="1">
      <alignment horizontal="left" vertical="center"/>
    </xf>
    <xf numFmtId="0" fontId="49" fillId="9" borderId="25" xfId="0" applyFont="1" applyFill="1" applyBorder="1" applyAlignment="1">
      <alignment horizontal="right" vertical="center"/>
    </xf>
    <xf numFmtId="0" fontId="37" fillId="11" borderId="36" xfId="0" applyFont="1" applyFill="1" applyBorder="1" applyAlignment="1">
      <alignment horizontal="center" vertical="center"/>
    </xf>
    <xf numFmtId="0" fontId="37" fillId="11" borderId="36" xfId="0" applyFont="1" applyFill="1" applyBorder="1" applyAlignment="1">
      <alignment horizontal="left" vertical="center"/>
    </xf>
    <xf numFmtId="0" fontId="29" fillId="11" borderId="36" xfId="0" applyFont="1" applyFill="1" applyBorder="1" applyAlignment="1">
      <alignment horizontal="center" vertical="center"/>
    </xf>
    <xf numFmtId="0" fontId="50" fillId="11" borderId="36" xfId="0" applyFont="1" applyFill="1" applyBorder="1" applyAlignment="1">
      <alignment horizontal="center" vertical="center"/>
    </xf>
    <xf numFmtId="10" fontId="37" fillId="11" borderId="36" xfId="0" applyNumberFormat="1" applyFont="1" applyFill="1" applyBorder="1" applyAlignment="1">
      <alignment horizontal="center" vertical="center"/>
    </xf>
    <xf numFmtId="10" fontId="41" fillId="11" borderId="36" xfId="0" applyNumberFormat="1" applyFont="1" applyFill="1" applyBorder="1" applyAlignment="1">
      <alignment horizontal="center" vertical="center"/>
    </xf>
    <xf numFmtId="0" fontId="0" fillId="0" borderId="10" xfId="0" applyBorder="1"/>
    <xf numFmtId="0" fontId="16" fillId="7" borderId="50" xfId="0" applyFont="1" applyFill="1" applyBorder="1" applyAlignment="1">
      <alignment horizontal="center" vertical="center"/>
    </xf>
    <xf numFmtId="0" fontId="29" fillId="19" borderId="0" xfId="0" applyFont="1" applyFill="1" applyAlignment="1">
      <alignment horizontal="center" vertical="center"/>
    </xf>
    <xf numFmtId="0" fontId="4" fillId="0" borderId="0" xfId="0" applyFont="1"/>
    <xf numFmtId="0" fontId="51" fillId="7" borderId="0" xfId="0" applyFont="1" applyFill="1" applyAlignment="1">
      <alignment horizontal="center" vertical="center"/>
    </xf>
    <xf numFmtId="0" fontId="52" fillId="7" borderId="0" xfId="0" applyFont="1" applyFill="1" applyAlignment="1">
      <alignment vertical="center"/>
    </xf>
    <xf numFmtId="0" fontId="53" fillId="7" borderId="0" xfId="0" applyFont="1" applyFill="1" applyAlignment="1">
      <alignment horizontal="center" vertical="center"/>
    </xf>
    <xf numFmtId="0" fontId="52" fillId="7" borderId="0" xfId="0" applyFont="1" applyFill="1" applyAlignment="1">
      <alignment horizontal="center" vertical="center"/>
    </xf>
    <xf numFmtId="0" fontId="52" fillId="17" borderId="0" xfId="0" applyFont="1" applyFill="1" applyAlignment="1">
      <alignment vertical="center"/>
    </xf>
    <xf numFmtId="0" fontId="51" fillId="17" borderId="0" xfId="0" applyFont="1" applyFill="1" applyAlignment="1">
      <alignment horizontal="center" vertical="center"/>
    </xf>
    <xf numFmtId="0" fontId="53" fillId="17" borderId="0" xfId="0" applyFont="1" applyFill="1" applyAlignment="1">
      <alignment horizontal="center" vertical="center"/>
    </xf>
    <xf numFmtId="0" fontId="52" fillId="17" borderId="0" xfId="0" applyFont="1" applyFill="1" applyAlignment="1">
      <alignment horizontal="center" vertical="center"/>
    </xf>
    <xf numFmtId="0" fontId="54" fillId="17" borderId="0" xfId="0" applyFont="1" applyFill="1" applyAlignment="1">
      <alignment vertical="center"/>
    </xf>
    <xf numFmtId="0" fontId="54" fillId="7" borderId="0" xfId="0" applyFont="1" applyFill="1" applyAlignment="1">
      <alignment vertical="center"/>
    </xf>
    <xf numFmtId="0" fontId="56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vertical="top"/>
    </xf>
    <xf numFmtId="0" fontId="57" fillId="24" borderId="0" xfId="0" applyFont="1" applyFill="1" applyAlignment="1">
      <alignment horizontal="center" vertical="top"/>
    </xf>
    <xf numFmtId="0" fontId="58" fillId="24" borderId="0" xfId="0" applyFont="1" applyFill="1" applyAlignment="1">
      <alignment horizontal="left" vertical="center"/>
    </xf>
    <xf numFmtId="0" fontId="57" fillId="24" borderId="0" xfId="0" applyFont="1" applyFill="1" applyAlignment="1">
      <alignment horizontal="left" vertical="top"/>
    </xf>
    <xf numFmtId="0" fontId="59" fillId="24" borderId="0" xfId="0" applyFont="1" applyFill="1" applyAlignment="1">
      <alignment horizontal="center" vertical="center"/>
    </xf>
    <xf numFmtId="0" fontId="48" fillId="24" borderId="0" xfId="0" applyFont="1" applyFill="1" applyAlignment="1">
      <alignment horizontal="center" vertical="center"/>
    </xf>
    <xf numFmtId="0" fontId="60" fillId="24" borderId="0" xfId="0" applyFont="1" applyFill="1" applyAlignment="1">
      <alignment horizontal="center" vertical="center"/>
    </xf>
    <xf numFmtId="0" fontId="45" fillId="26" borderId="0" xfId="0" applyFont="1" applyFill="1"/>
    <xf numFmtId="0" fontId="0" fillId="24" borderId="0" xfId="0" applyFill="1" applyAlignment="1">
      <alignment vertical="center"/>
    </xf>
    <xf numFmtId="0" fontId="62" fillId="24" borderId="0" xfId="0" applyFont="1" applyFill="1" applyAlignment="1">
      <alignment horizontal="center" vertical="center"/>
    </xf>
    <xf numFmtId="0" fontId="45" fillId="28" borderId="0" xfId="0" applyFont="1" applyFill="1" applyAlignment="1">
      <alignment horizontal="center" vertical="center"/>
    </xf>
    <xf numFmtId="0" fontId="45" fillId="28" borderId="0" xfId="0" applyFont="1" applyFill="1" applyAlignment="1">
      <alignment horizontal="left" vertical="center"/>
    </xf>
    <xf numFmtId="0" fontId="63" fillId="24" borderId="0" xfId="0" applyFont="1" applyFill="1" applyAlignment="1">
      <alignment horizontal="center" vertical="center"/>
    </xf>
    <xf numFmtId="0" fontId="45" fillId="29" borderId="0" xfId="0" applyFont="1" applyFill="1" applyAlignment="1">
      <alignment horizontal="center" vertical="center"/>
    </xf>
    <xf numFmtId="0" fontId="45" fillId="29" borderId="0" xfId="0" applyFont="1" applyFill="1" applyAlignment="1">
      <alignment horizontal="left" vertical="center"/>
    </xf>
    <xf numFmtId="0" fontId="64" fillId="24" borderId="0" xfId="0" applyFont="1" applyFill="1" applyAlignment="1">
      <alignment horizontal="center" vertical="center"/>
    </xf>
    <xf numFmtId="0" fontId="45" fillId="30" borderId="0" xfId="0" applyFont="1" applyFill="1" applyAlignment="1">
      <alignment horizontal="center" vertical="center"/>
    </xf>
    <xf numFmtId="0" fontId="45" fillId="30" borderId="0" xfId="0" applyFont="1" applyFill="1" applyAlignment="1">
      <alignment horizontal="left" vertical="center"/>
    </xf>
    <xf numFmtId="0" fontId="65" fillId="24" borderId="0" xfId="0" applyFont="1" applyFill="1" applyAlignment="1">
      <alignment horizontal="center" vertical="center"/>
    </xf>
    <xf numFmtId="0" fontId="45" fillId="31" borderId="0" xfId="0" applyFont="1" applyFill="1" applyAlignment="1">
      <alignment horizontal="center" vertical="center"/>
    </xf>
    <xf numFmtId="0" fontId="45" fillId="31" borderId="0" xfId="0" applyFont="1" applyFill="1" applyAlignment="1">
      <alignment horizontal="left" vertical="center"/>
    </xf>
    <xf numFmtId="0" fontId="66" fillId="24" borderId="0" xfId="0" applyFont="1" applyFill="1" applyAlignment="1">
      <alignment horizontal="center" vertical="center"/>
    </xf>
    <xf numFmtId="0" fontId="45" fillId="32" borderId="0" xfId="0" applyFont="1" applyFill="1" applyAlignment="1">
      <alignment horizontal="center" vertical="center"/>
    </xf>
    <xf numFmtId="0" fontId="45" fillId="32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5" fillId="25" borderId="0" xfId="0" applyFont="1" applyFill="1" applyAlignment="1">
      <alignment horizontal="left" vertical="center" indent="1"/>
    </xf>
    <xf numFmtId="0" fontId="55" fillId="27" borderId="0" xfId="0" applyFont="1" applyFill="1" applyAlignment="1">
      <alignment horizontal="left" vertical="center" indent="1"/>
    </xf>
    <xf numFmtId="0" fontId="61" fillId="25" borderId="0" xfId="0" applyFont="1" applyFill="1" applyAlignment="1">
      <alignment horizontal="left" vertical="center" indent="1"/>
    </xf>
    <xf numFmtId="0" fontId="55" fillId="28" borderId="0" xfId="0" applyFont="1" applyFill="1" applyAlignment="1">
      <alignment horizontal="left" vertical="center" indent="1"/>
    </xf>
    <xf numFmtId="0" fontId="55" fillId="29" borderId="0" xfId="0" applyFont="1" applyFill="1" applyAlignment="1">
      <alignment horizontal="left" vertical="center" indent="1"/>
    </xf>
    <xf numFmtId="0" fontId="55" fillId="30" borderId="0" xfId="0" applyFont="1" applyFill="1" applyAlignment="1">
      <alignment horizontal="left" vertical="center" indent="1"/>
    </xf>
    <xf numFmtId="0" fontId="55" fillId="31" borderId="0" xfId="0" applyFont="1" applyFill="1" applyAlignment="1">
      <alignment horizontal="left" vertical="center" indent="1"/>
    </xf>
    <xf numFmtId="0" fontId="55" fillId="32" borderId="0" xfId="0" applyFont="1" applyFill="1" applyAlignment="1">
      <alignment horizontal="left" vertical="center" indent="1"/>
    </xf>
    <xf numFmtId="4" fontId="0" fillId="0" borderId="0" xfId="0" applyNumberFormat="1"/>
    <xf numFmtId="0" fontId="0" fillId="24" borderId="0" xfId="0" applyFont="1" applyFill="1" applyAlignment="1">
      <alignment vertical="center"/>
    </xf>
    <xf numFmtId="0" fontId="67" fillId="24" borderId="0" xfId="0" applyFont="1" applyFill="1" applyAlignment="1">
      <alignment vertical="center"/>
    </xf>
    <xf numFmtId="0" fontId="68" fillId="24" borderId="0" xfId="0" applyFont="1" applyFill="1" applyAlignment="1">
      <alignment horizontal="center" vertical="center"/>
    </xf>
    <xf numFmtId="0" fontId="59" fillId="24" borderId="38" xfId="0" applyFont="1" applyFill="1" applyBorder="1" applyAlignment="1">
      <alignment horizontal="center" vertical="center"/>
    </xf>
    <xf numFmtId="0" fontId="48" fillId="24" borderId="38" xfId="0" applyFont="1" applyFill="1" applyBorder="1" applyAlignment="1">
      <alignment horizontal="center" vertical="center"/>
    </xf>
    <xf numFmtId="0" fontId="68" fillId="24" borderId="39" xfId="0" applyFont="1" applyFill="1" applyBorder="1" applyAlignment="1">
      <alignment horizontal="center" vertical="center"/>
    </xf>
    <xf numFmtId="0" fontId="57" fillId="24" borderId="40" xfId="0" applyFont="1" applyFill="1" applyBorder="1" applyAlignment="1">
      <alignment horizontal="center" vertical="center"/>
    </xf>
    <xf numFmtId="0" fontId="57" fillId="24" borderId="41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top"/>
    </xf>
    <xf numFmtId="0" fontId="12" fillId="11" borderId="0" xfId="0" applyFont="1" applyFill="1" applyAlignment="1"/>
    <xf numFmtId="0" fontId="13" fillId="11" borderId="7" xfId="0" applyFont="1" applyFill="1" applyBorder="1" applyAlignment="1">
      <alignment vertical="top"/>
    </xf>
    <xf numFmtId="49" fontId="14" fillId="11" borderId="0" xfId="0" applyNumberFormat="1" applyFont="1" applyFill="1" applyAlignment="1">
      <alignment horizontal="center"/>
    </xf>
    <xf numFmtId="0" fontId="35" fillId="17" borderId="7" xfId="0" applyFont="1" applyFill="1" applyBorder="1" applyAlignment="1">
      <alignment horizontal="left" vertical="center"/>
    </xf>
    <xf numFmtId="0" fontId="7" fillId="33" borderId="0" xfId="0" applyFont="1" applyFill="1" applyAlignment="1">
      <alignment horizontal="left" vertical="center"/>
    </xf>
    <xf numFmtId="0" fontId="0" fillId="33" borderId="0" xfId="0" applyFill="1"/>
    <xf numFmtId="1" fontId="0" fillId="33" borderId="0" xfId="0" applyNumberFormat="1" applyFill="1"/>
    <xf numFmtId="49" fontId="0" fillId="33" borderId="0" xfId="0" applyNumberFormat="1" applyFill="1"/>
    <xf numFmtId="0" fontId="4" fillId="33" borderId="0" xfId="0" applyFont="1" applyFill="1"/>
    <xf numFmtId="0" fontId="29" fillId="19" borderId="9" xfId="0" applyFont="1" applyFill="1" applyBorder="1" applyAlignment="1">
      <alignment horizontal="center" vertical="center"/>
    </xf>
    <xf numFmtId="0" fontId="29" fillId="19" borderId="0" xfId="0" applyFont="1" applyFill="1" applyBorder="1" applyAlignment="1">
      <alignment horizontal="center" vertical="center"/>
    </xf>
    <xf numFmtId="0" fontId="37" fillId="33" borderId="0" xfId="0" applyFont="1" applyFill="1" applyBorder="1" applyAlignment="1">
      <alignment horizontal="center"/>
    </xf>
    <xf numFmtId="0" fontId="29" fillId="19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Sociétés — Score Global FinSight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 Global /100</c:v>
          </c:tx>
          <c:spPr>
            <a:solidFill>
              <a:srgbClr val="1E3A5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VALUE!$O$2:$O$16</c:f>
              <c:strCache>
                <c:ptCount val="15"/>
                <c:pt idx="0">
                  <c:v>Hermès International</c:v>
                </c:pt>
                <c:pt idx="1">
                  <c:v>L'Air Liquide S.A.</c:v>
                </c:pt>
                <c:pt idx="2">
                  <c:v>Sanofi</c:v>
                </c:pt>
                <c:pt idx="3">
                  <c:v>Eurofins Scientific </c:v>
                </c:pt>
                <c:pt idx="4">
                  <c:v>Dassault Systèmes SE</c:v>
                </c:pt>
                <c:pt idx="5">
                  <c:v>Alstom SA</c:v>
                </c:pt>
                <c:pt idx="6">
                  <c:v>Unibail-Rodamco-West</c:v>
                </c:pt>
                <c:pt idx="7">
                  <c:v>Safran SA</c:v>
                </c:pt>
                <c:pt idx="8">
                  <c:v>Airbus SE</c:v>
                </c:pt>
                <c:pt idx="9">
                  <c:v>Crédit Agricole S.A.</c:v>
                </c:pt>
                <c:pt idx="10">
                  <c:v>Legrand SA</c:v>
                </c:pt>
                <c:pt idx="11">
                  <c:v>L'Oréal S.A.</c:v>
                </c:pt>
                <c:pt idx="12">
                  <c:v>EssilorLuxottica Soc</c:v>
                </c:pt>
                <c:pt idx="13">
                  <c:v>AXA SA</c:v>
                </c:pt>
                <c:pt idx="14">
                  <c:v>BNP Paribas SA</c:v>
                </c:pt>
              </c:strCache>
            </c:strRef>
          </c:cat>
          <c:val>
            <c:numRef>
              <c:f>VALUE!$P$2:$P$16</c:f>
              <c:numCache>
                <c:formatCode>General</c:formatCode>
                <c:ptCount val="15"/>
                <c:pt idx="0">
                  <c:v>75</c:v>
                </c:pt>
                <c:pt idx="1">
                  <c:v>74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70</c:v>
                </c:pt>
                <c:pt idx="6">
                  <c:v>69</c:v>
                </c:pt>
                <c:pt idx="7">
                  <c:v>68</c:v>
                </c:pt>
                <c:pt idx="8">
                  <c:v>68</c:v>
                </c:pt>
                <c:pt idx="9">
                  <c:v>65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D-4F46-B09C-8D477422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61023"/>
        <c:axId val="361262463"/>
      </c:barChart>
      <c:catAx>
        <c:axId val="3612610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62463"/>
        <c:crosses val="autoZero"/>
        <c:auto val="1"/>
        <c:lblAlgn val="ctr"/>
        <c:lblOffset val="100"/>
        <c:noMultiLvlLbl val="0"/>
      </c:catAx>
      <c:valAx>
        <c:axId val="36126246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61023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Croissance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GROWTH!$P$1</c:f>
              <c:strCache>
                <c:ptCount val="1"/>
                <c:pt idx="0">
                  <c:v>Score Gr</c:v>
                </c:pt>
              </c:strCache>
            </c:strRef>
          </c:tx>
          <c:spPr>
            <a:solidFill>
              <a:srgbClr val="2D8A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GROWTH!$O$2:$O$11</c:f>
              <c:strCache>
                <c:ptCount val="10"/>
                <c:pt idx="0">
                  <c:v>Safran SA</c:v>
                </c:pt>
                <c:pt idx="1">
                  <c:v>Vivendi SE</c:v>
                </c:pt>
                <c:pt idx="2">
                  <c:v>Alstom SA</c:v>
                </c:pt>
                <c:pt idx="3">
                  <c:v>Unibail-Rodamco-We</c:v>
                </c:pt>
                <c:pt idx="4">
                  <c:v>Thales S.A.</c:v>
                </c:pt>
                <c:pt idx="5">
                  <c:v>Sanofi</c:v>
                </c:pt>
                <c:pt idx="6">
                  <c:v>Airbus SE</c:v>
                </c:pt>
                <c:pt idx="7">
                  <c:v>Legrand SA</c:v>
                </c:pt>
                <c:pt idx="8">
                  <c:v>ArcelorMittal S.A.</c:v>
                </c:pt>
                <c:pt idx="9">
                  <c:v>Eurofins Scientifi</c:v>
                </c:pt>
              </c:strCache>
            </c:strRef>
          </c:cat>
          <c:val>
            <c:numRef>
              <c:f>GROWTH!$P$2:$P$11</c:f>
              <c:numCache>
                <c:formatCode>General</c:formatCode>
                <c:ptCount val="10"/>
                <c:pt idx="0">
                  <c:v>100</c:v>
                </c:pt>
                <c:pt idx="1">
                  <c:v>97</c:v>
                </c:pt>
                <c:pt idx="2">
                  <c:v>95</c:v>
                </c:pt>
                <c:pt idx="3">
                  <c:v>92</c:v>
                </c:pt>
                <c:pt idx="4">
                  <c:v>89</c:v>
                </c:pt>
                <c:pt idx="5">
                  <c:v>87</c:v>
                </c:pt>
                <c:pt idx="6">
                  <c:v>84</c:v>
                </c:pt>
                <c:pt idx="7">
                  <c:v>82</c:v>
                </c:pt>
                <c:pt idx="8">
                  <c:v>79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3-4F44-8F0A-D363B985F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65823"/>
        <c:axId val="361266303"/>
      </c:barChart>
      <c:catAx>
        <c:axId val="361265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66303"/>
        <c:crosses val="autoZero"/>
        <c:auto val="1"/>
        <c:lblAlgn val="ctr"/>
        <c:lblOffset val="100"/>
        <c:noMultiLvlLbl val="0"/>
      </c:catAx>
      <c:valAx>
        <c:axId val="36126630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65823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Qualité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QUALITY!$P$1</c:f>
              <c:strCache>
                <c:ptCount val="1"/>
                <c:pt idx="0">
                  <c:v>Score Qual</c:v>
                </c:pt>
              </c:strCache>
            </c:strRef>
          </c:tx>
          <c:spPr>
            <a:solidFill>
              <a:srgbClr val="8E7BB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QUALITY!$O$2:$O$11</c:f>
              <c:strCache>
                <c:ptCount val="10"/>
                <c:pt idx="0">
                  <c:v>Dassault Systèm</c:v>
                </c:pt>
                <c:pt idx="1">
                  <c:v>Sanofi</c:v>
                </c:pt>
                <c:pt idx="2">
                  <c:v>Unibail-Rodamco</c:v>
                </c:pt>
                <c:pt idx="3">
                  <c:v>Crédit Agricole</c:v>
                </c:pt>
                <c:pt idx="4">
                  <c:v>Hermès Internat</c:v>
                </c:pt>
                <c:pt idx="5">
                  <c:v>Kering SA</c:v>
                </c:pt>
                <c:pt idx="6">
                  <c:v>L'Oréal S.A.</c:v>
                </c:pt>
                <c:pt idx="7">
                  <c:v>Bureau Veritas </c:v>
                </c:pt>
                <c:pt idx="8">
                  <c:v>LVMH Moët Henne</c:v>
                </c:pt>
                <c:pt idx="9">
                  <c:v>L'Air Liquide S</c:v>
                </c:pt>
              </c:strCache>
            </c:strRef>
          </c:cat>
          <c:val>
            <c:numRef>
              <c:f>QUALITY!$P$2:$P$11</c:f>
              <c:numCache>
                <c:formatCode>General</c:formatCode>
                <c:ptCount val="10"/>
                <c:pt idx="0">
                  <c:v>100</c:v>
                </c:pt>
                <c:pt idx="1">
                  <c:v>97</c:v>
                </c:pt>
                <c:pt idx="2">
                  <c:v>95</c:v>
                </c:pt>
                <c:pt idx="3">
                  <c:v>92</c:v>
                </c:pt>
                <c:pt idx="4">
                  <c:v>90</c:v>
                </c:pt>
                <c:pt idx="5">
                  <c:v>87</c:v>
                </c:pt>
                <c:pt idx="6">
                  <c:v>85</c:v>
                </c:pt>
                <c:pt idx="7">
                  <c:v>82</c:v>
                </c:pt>
                <c:pt idx="8">
                  <c:v>79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5-4A82-88EF-9064896DD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298192"/>
        <c:axId val="651296752"/>
      </c:barChart>
      <c:catAx>
        <c:axId val="6512981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96752"/>
        <c:crosses val="autoZero"/>
        <c:auto val="1"/>
        <c:lblAlgn val="ctr"/>
        <c:lblOffset val="100"/>
        <c:noMultiLvlLbl val="0"/>
      </c:catAx>
      <c:valAx>
        <c:axId val="651296752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98192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Momentum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MOMENTUM!$P$1</c:f>
              <c:strCache>
                <c:ptCount val="1"/>
                <c:pt idx="0">
                  <c:v>Score Mom</c:v>
                </c:pt>
              </c:strCache>
            </c:strRef>
          </c:tx>
          <c:spPr>
            <a:solidFill>
              <a:srgbClr val="C8A95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MOMENTUM!$O$2:$O$11</c:f>
              <c:strCache>
                <c:ptCount val="10"/>
                <c:pt idx="0">
                  <c:v>Alstom SA</c:v>
                </c:pt>
                <c:pt idx="1">
                  <c:v>Airbus SE</c:v>
                </c:pt>
                <c:pt idx="2">
                  <c:v>BNP Paribas SA</c:v>
                </c:pt>
                <c:pt idx="3">
                  <c:v>AXA SA</c:v>
                </c:pt>
                <c:pt idx="4">
                  <c:v>L'Air Liquide S.A.</c:v>
                </c:pt>
                <c:pt idx="5">
                  <c:v>Capgemini SE</c:v>
                </c:pt>
                <c:pt idx="6">
                  <c:v>Carrefour SA</c:v>
                </c:pt>
                <c:pt idx="7">
                  <c:v>Crédit Agricole S.</c:v>
                </c:pt>
                <c:pt idx="8">
                  <c:v>Bouygues SA</c:v>
                </c:pt>
                <c:pt idx="9">
                  <c:v>Danone S.A.</c:v>
                </c:pt>
              </c:strCache>
            </c:strRef>
          </c:cat>
          <c:val>
            <c:numRef>
              <c:f>MOMENTUM!$P$2:$P$11</c:f>
              <c:numCache>
                <c:formatCode>General</c:formatCode>
                <c:ptCount val="10"/>
                <c:pt idx="0">
                  <c:v>100</c:v>
                </c:pt>
                <c:pt idx="1">
                  <c:v>97</c:v>
                </c:pt>
                <c:pt idx="2">
                  <c:v>95</c:v>
                </c:pt>
                <c:pt idx="3">
                  <c:v>92</c:v>
                </c:pt>
                <c:pt idx="4">
                  <c:v>90</c:v>
                </c:pt>
                <c:pt idx="5">
                  <c:v>87</c:v>
                </c:pt>
                <c:pt idx="6">
                  <c:v>85</c:v>
                </c:pt>
                <c:pt idx="7">
                  <c:v>82</c:v>
                </c:pt>
                <c:pt idx="8">
                  <c:v>79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7-453D-8FD8-60F2356A4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71583"/>
        <c:axId val="361270143"/>
      </c:barChart>
      <c:catAx>
        <c:axId val="3612715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70143"/>
        <c:crosses val="autoZero"/>
        <c:auto val="1"/>
        <c:lblAlgn val="ctr"/>
        <c:lblOffset val="100"/>
        <c:noMultiLvlLbl val="0"/>
      </c:catAx>
      <c:valAx>
        <c:axId val="36127014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71583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Composite FinSight par Secteur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 /100</c:v>
          </c:tx>
          <c:spPr>
            <a:solidFill>
              <a:srgbClr val="1E3A5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 SECTEUR'!$L$2:$L$11</c:f>
              <c:strCache>
                <c:ptCount val="10"/>
                <c:pt idx="0">
                  <c:v>Healthcare</c:v>
                </c:pt>
                <c:pt idx="1">
                  <c:v>Real Estate</c:v>
                </c:pt>
                <c:pt idx="2">
                  <c:v>Financials</c:v>
                </c:pt>
                <c:pt idx="3">
                  <c:v>Industrials</c:v>
                </c:pt>
                <c:pt idx="4">
                  <c:v>Consumer Staples</c:v>
                </c:pt>
                <c:pt idx="5">
                  <c:v>Consumer Disc.</c:v>
                </c:pt>
                <c:pt idx="6">
                  <c:v>Materials</c:v>
                </c:pt>
                <c:pt idx="7">
                  <c:v>Comm. Services</c:v>
                </c:pt>
                <c:pt idx="8">
                  <c:v>Technology</c:v>
                </c:pt>
                <c:pt idx="9">
                  <c:v>Energy</c:v>
                </c:pt>
              </c:strCache>
            </c:strRef>
          </c:cat>
          <c:val>
            <c:numRef>
              <c:f>'PAR SECTEUR'!$M$2:$M$11</c:f>
              <c:numCache>
                <c:formatCode>General</c:formatCode>
                <c:ptCount val="10"/>
                <c:pt idx="0">
                  <c:v>72</c:v>
                </c:pt>
                <c:pt idx="1">
                  <c:v>69</c:v>
                </c:pt>
                <c:pt idx="2">
                  <c:v>63</c:v>
                </c:pt>
                <c:pt idx="3">
                  <c:v>57</c:v>
                </c:pt>
                <c:pt idx="4">
                  <c:v>55</c:v>
                </c:pt>
                <c:pt idx="5">
                  <c:v>54</c:v>
                </c:pt>
                <c:pt idx="6">
                  <c:v>53</c:v>
                </c:pt>
                <c:pt idx="7">
                  <c:v>38</c:v>
                </c:pt>
                <c:pt idx="8">
                  <c:v>36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8-45F6-8F25-8994EE639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50943"/>
        <c:axId val="361245663"/>
      </c:barChart>
      <c:catAx>
        <c:axId val="3612509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45663"/>
        <c:crosses val="autoZero"/>
        <c:auto val="1"/>
        <c:lblAlgn val="ctr"/>
        <c:lblOffset val="100"/>
        <c:noMultiLvlLbl val="0"/>
      </c:catAx>
      <c:valAx>
        <c:axId val="36124566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50943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 EBITDA Médiane par Secteur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Mg EBITDA %</c:v>
          </c:tx>
          <c:spPr>
            <a:solidFill>
              <a:srgbClr val="C8A95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 SECTEUR'!$L$14:$L$22</c:f>
              <c:strCache>
                <c:ptCount val="6"/>
                <c:pt idx="0">
                  <c:v>Financials</c:v>
                </c:pt>
                <c:pt idx="1">
                  <c:v>Real Estate</c:v>
                </c:pt>
                <c:pt idx="2">
                  <c:v>Consumer Disc.</c:v>
                </c:pt>
                <c:pt idx="3">
                  <c:v>Healthcare</c:v>
                </c:pt>
                <c:pt idx="4">
                  <c:v>Materials</c:v>
                </c:pt>
                <c:pt idx="5">
                  <c:v>Consumer Staples</c:v>
                </c:pt>
              </c:strCache>
            </c:strRef>
          </c:cat>
          <c:val>
            <c:numRef>
              <c:f>'PAR SECTEUR'!$M$14:$M$22</c:f>
              <c:numCache>
                <c:formatCode>General</c:formatCode>
                <c:ptCount val="9"/>
                <c:pt idx="0">
                  <c:v>103.4</c:v>
                </c:pt>
                <c:pt idx="1">
                  <c:v>89.1</c:v>
                </c:pt>
                <c:pt idx="2">
                  <c:v>28.3</c:v>
                </c:pt>
                <c:pt idx="3">
                  <c:v>23.2</c:v>
                </c:pt>
                <c:pt idx="4">
                  <c:v>22.7</c:v>
                </c:pt>
                <c:pt idx="5">
                  <c:v>16.100000000000001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E-4261-B7AF-FCEE2FD05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249023"/>
        <c:axId val="361252383"/>
      </c:barChart>
      <c:catAx>
        <c:axId val="36124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52383"/>
        <c:crosses val="autoZero"/>
        <c:auto val="1"/>
        <c:lblAlgn val="ctr"/>
        <c:lblOffset val="100"/>
        <c:noMultiLvlLbl val="0"/>
      </c:catAx>
      <c:valAx>
        <c:axId val="3612523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49023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 CAC 40 par Secteur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'PAR SECTEUR'!$I$25</c:f>
              <c:strCache>
                <c:ptCount val="1"/>
                <c:pt idx="0">
                  <c:v>Nb Soc.</c:v>
                </c:pt>
              </c:strCache>
            </c:strRef>
          </c:tx>
          <c:dPt>
            <c:idx val="0"/>
            <c:bubble3D val="0"/>
            <c:spPr>
              <a:solidFill>
                <a:srgbClr val="1E3A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42-42A4-9FEC-783C3281C703}"/>
              </c:ext>
            </c:extLst>
          </c:dPt>
          <c:dPt>
            <c:idx val="1"/>
            <c:bubble3D val="0"/>
            <c:spPr>
              <a:solidFill>
                <a:srgbClr val="2E6D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942-42A4-9FEC-783C3281C703}"/>
              </c:ext>
            </c:extLst>
          </c:dPt>
          <c:dPt>
            <c:idx val="2"/>
            <c:bubble3D val="0"/>
            <c:spPr>
              <a:solidFill>
                <a:srgbClr val="4A9BD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42-42A4-9FEC-783C3281C703}"/>
              </c:ext>
            </c:extLst>
          </c:dPt>
          <c:dPt>
            <c:idx val="3"/>
            <c:bubble3D val="0"/>
            <c:spPr>
              <a:solidFill>
                <a:srgbClr val="C8A9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942-42A4-9FEC-783C3281C703}"/>
              </c:ext>
            </c:extLst>
          </c:dPt>
          <c:dPt>
            <c:idx val="4"/>
            <c:bubble3D val="0"/>
            <c:spPr>
              <a:solidFill>
                <a:srgbClr val="E8C9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42-42A4-9FEC-783C3281C703}"/>
              </c:ext>
            </c:extLst>
          </c:dPt>
          <c:dPt>
            <c:idx val="5"/>
            <c:bubble3D val="0"/>
            <c:spPr>
              <a:solidFill>
                <a:srgbClr val="2D8A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942-42A4-9FEC-783C3281C703}"/>
              </c:ext>
            </c:extLst>
          </c:dPt>
          <c:dPt>
            <c:idx val="6"/>
            <c:bubble3D val="0"/>
            <c:spPr>
              <a:solidFill>
                <a:srgbClr val="47B39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42-42A4-9FEC-783C3281C703}"/>
              </c:ext>
            </c:extLst>
          </c:dPt>
          <c:dPt>
            <c:idx val="7"/>
            <c:bubble3D val="0"/>
            <c:spPr>
              <a:solidFill>
                <a:srgbClr val="8E7BB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942-42A4-9FEC-783C3281C703}"/>
              </c:ext>
            </c:extLst>
          </c:dPt>
          <c:dPt>
            <c:idx val="8"/>
            <c:bubble3D val="0"/>
            <c:spPr>
              <a:solidFill>
                <a:srgbClr val="B5A8D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42-42A4-9FEC-783C3281C703}"/>
              </c:ext>
            </c:extLst>
          </c:dPt>
          <c:dPt>
            <c:idx val="9"/>
            <c:bubble3D val="0"/>
            <c:spPr>
              <a:solidFill>
                <a:srgbClr val="D462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942-42A4-9FEC-783C3281C7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'PAR SECTEUR'!$L$26:$L$35</c:f>
              <c:strCache>
                <c:ptCount val="10"/>
                <c:pt idx="5">
                  <c:v>Healthcare</c:v>
                </c:pt>
                <c:pt idx="6">
                  <c:v>Comm. Services</c:v>
                </c:pt>
                <c:pt idx="7">
                  <c:v>Materials</c:v>
                </c:pt>
                <c:pt idx="8">
                  <c:v>Real Estate</c:v>
                </c:pt>
                <c:pt idx="9">
                  <c:v>Energy</c:v>
                </c:pt>
              </c:strCache>
            </c:strRef>
          </c:cat>
          <c:val>
            <c:numRef>
              <c:f>'PAR SECTEUR'!$M$26:$M$35</c:f>
              <c:numCache>
                <c:formatCode>General</c:formatCode>
                <c:ptCount val="10"/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2-42A4-9FEC-783C3281C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Composite FinSight — CAC 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 /100</c:v>
          </c:tx>
          <c:spPr>
            <a:solidFill>
              <a:srgbClr val="1E3A5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OVERVIEW'!$O$2:$O$12</c:f>
              <c:strCache>
                <c:ptCount val="11"/>
                <c:pt idx="0">
                  <c:v>Healthcare</c:v>
                </c:pt>
                <c:pt idx="1">
                  <c:v>Real Estate</c:v>
                </c:pt>
                <c:pt idx="2">
                  <c:v>Consumer Staples</c:v>
                </c:pt>
                <c:pt idx="3">
                  <c:v>Financials</c:v>
                </c:pt>
                <c:pt idx="4">
                  <c:v>Industrials</c:v>
                </c:pt>
                <c:pt idx="5">
                  <c:v>Materials</c:v>
                </c:pt>
                <c:pt idx="6">
                  <c:v>Utilities</c:v>
                </c:pt>
                <c:pt idx="7">
                  <c:v>Technology</c:v>
                </c:pt>
                <c:pt idx="8">
                  <c:v>Consumer Disc.</c:v>
                </c:pt>
                <c:pt idx="9">
                  <c:v>Comm. Services</c:v>
                </c:pt>
                <c:pt idx="10">
                  <c:v>Energy</c:v>
                </c:pt>
              </c:strCache>
            </c:strRef>
          </c:cat>
          <c:val>
            <c:numRef>
              <c:f>'SECTOR OVERVIEW'!$P$2:$P$12</c:f>
              <c:numCache>
                <c:formatCode>General</c:formatCode>
                <c:ptCount val="11"/>
                <c:pt idx="0">
                  <c:v>69</c:v>
                </c:pt>
                <c:pt idx="1">
                  <c:v>69</c:v>
                </c:pt>
                <c:pt idx="2">
                  <c:v>56</c:v>
                </c:pt>
                <c:pt idx="3">
                  <c:v>55</c:v>
                </c:pt>
                <c:pt idx="4">
                  <c:v>54</c:v>
                </c:pt>
                <c:pt idx="5">
                  <c:v>54</c:v>
                </c:pt>
                <c:pt idx="6">
                  <c:v>46</c:v>
                </c:pt>
                <c:pt idx="7">
                  <c:v>36</c:v>
                </c:pt>
                <c:pt idx="8">
                  <c:v>41</c:v>
                </c:pt>
                <c:pt idx="9">
                  <c:v>38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1-488D-8BBF-25A7EA6F1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58143"/>
        <c:axId val="361246623"/>
      </c:barChart>
      <c:catAx>
        <c:axId val="3612581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46623"/>
        <c:crosses val="autoZero"/>
        <c:auto val="1"/>
        <c:lblAlgn val="ctr"/>
        <c:lblOffset val="100"/>
        <c:noMultiLvlLbl val="0"/>
      </c:catAx>
      <c:valAx>
        <c:axId val="36124662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58143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TECHNOLOGY!$S$29:$S$32</c:f>
              <c:strCache>
                <c:ptCount val="4"/>
                <c:pt idx="0">
                  <c:v>Dassault Systè</c:v>
                </c:pt>
                <c:pt idx="1">
                  <c:v>Capgemini SE</c:v>
                </c:pt>
                <c:pt idx="2">
                  <c:v>STMicroelectro</c:v>
                </c:pt>
                <c:pt idx="3">
                  <c:v>Worldline SA</c:v>
                </c:pt>
              </c:strCache>
            </c:strRef>
          </c:cat>
          <c:val>
            <c:numRef>
              <c:f>TECHNOLOGY!$T$29:$T$32</c:f>
              <c:numCache>
                <c:formatCode>General</c:formatCode>
                <c:ptCount val="4"/>
                <c:pt idx="0">
                  <c:v>72</c:v>
                </c:pt>
                <c:pt idx="1">
                  <c:v>53</c:v>
                </c:pt>
                <c:pt idx="2">
                  <c:v>17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A-49CC-A6B1-223C2CC03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351023"/>
        <c:axId val="103349583"/>
      </c:barChart>
      <c:catAx>
        <c:axId val="10335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49583"/>
        <c:crosses val="autoZero"/>
        <c:auto val="1"/>
        <c:lblAlgn val="ctr"/>
        <c:lblOffset val="100"/>
        <c:noMultiLvlLbl val="0"/>
      </c:catAx>
      <c:valAx>
        <c:axId val="10334958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51023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TECHNOLOGY!$S$29:$S$32</c:f>
              <c:strCache>
                <c:ptCount val="4"/>
                <c:pt idx="0">
                  <c:v>Dassault Systè</c:v>
                </c:pt>
                <c:pt idx="1">
                  <c:v>Capgemini SE</c:v>
                </c:pt>
                <c:pt idx="2">
                  <c:v>STMicroelectro</c:v>
                </c:pt>
                <c:pt idx="3">
                  <c:v>Worldline SA</c:v>
                </c:pt>
              </c:strCache>
            </c:strRef>
          </c:cat>
          <c:val>
            <c:numRef>
              <c:f>TECHNOLOGY!$U$29:$U$32</c:f>
              <c:numCache>
                <c:formatCode>General</c:formatCode>
                <c:ptCount val="4"/>
                <c:pt idx="0">
                  <c:v>42</c:v>
                </c:pt>
                <c:pt idx="1">
                  <c:v>37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2-4DB0-88BA-D81CF62E5EDE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TECHNOLOGY!$S$29:$S$32</c:f>
              <c:strCache>
                <c:ptCount val="4"/>
                <c:pt idx="0">
                  <c:v>Dassault Systè</c:v>
                </c:pt>
                <c:pt idx="1">
                  <c:v>Capgemini SE</c:v>
                </c:pt>
                <c:pt idx="2">
                  <c:v>STMicroelectro</c:v>
                </c:pt>
                <c:pt idx="3">
                  <c:v>Worldline SA</c:v>
                </c:pt>
              </c:strCache>
            </c:strRef>
          </c:cat>
          <c:val>
            <c:numRef>
              <c:f>TECHNOLOGY!$V$29:$V$32</c:f>
              <c:numCache>
                <c:formatCode>General</c:formatCode>
                <c:ptCount val="4"/>
                <c:pt idx="0">
                  <c:v>100</c:v>
                </c:pt>
                <c:pt idx="1">
                  <c:v>36</c:v>
                </c:pt>
                <c:pt idx="2">
                  <c:v>44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2-4DB0-88BA-D81CF62E5EDE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TECHNOLOGY!$S$29:$S$32</c:f>
              <c:strCache>
                <c:ptCount val="4"/>
                <c:pt idx="0">
                  <c:v>Dassault Systè</c:v>
                </c:pt>
                <c:pt idx="1">
                  <c:v>Capgemini SE</c:v>
                </c:pt>
                <c:pt idx="2">
                  <c:v>STMicroelectro</c:v>
                </c:pt>
                <c:pt idx="3">
                  <c:v>Worldline SA</c:v>
                </c:pt>
              </c:strCache>
            </c:strRef>
          </c:cat>
          <c:val>
            <c:numRef>
              <c:f>TECHNOLOGY!$W$29:$W$32</c:f>
              <c:numCache>
                <c:formatCode>General</c:formatCode>
                <c:ptCount val="4"/>
                <c:pt idx="0">
                  <c:v>74</c:v>
                </c:pt>
                <c:pt idx="1">
                  <c:v>87</c:v>
                </c:pt>
                <c:pt idx="2">
                  <c:v>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C2-4DB0-88BA-D81CF62E5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715855"/>
        <c:axId val="651260752"/>
      </c:barChart>
      <c:catAx>
        <c:axId val="3587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60752"/>
        <c:crosses val="autoZero"/>
        <c:auto val="1"/>
        <c:lblAlgn val="ctr"/>
        <c:lblOffset val="100"/>
        <c:noMultiLvlLbl val="0"/>
      </c:catAx>
      <c:valAx>
        <c:axId val="65126075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8715855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'CONSUMER DISC.'!$S$29:$S$32</c:f>
              <c:strCache>
                <c:ptCount val="4"/>
                <c:pt idx="0">
                  <c:v>Hermès Interna</c:v>
                </c:pt>
                <c:pt idx="1">
                  <c:v>Kering SA</c:v>
                </c:pt>
                <c:pt idx="2">
                  <c:v>LVMH Moët Henn</c:v>
                </c:pt>
                <c:pt idx="3">
                  <c:v>Renault SA</c:v>
                </c:pt>
              </c:strCache>
            </c:strRef>
          </c:cat>
          <c:val>
            <c:numRef>
              <c:f>'CONSUMER DISC.'!$T$29:$T$32</c:f>
              <c:numCache>
                <c:formatCode>General</c:formatCode>
                <c:ptCount val="4"/>
                <c:pt idx="0">
                  <c:v>75</c:v>
                </c:pt>
                <c:pt idx="1">
                  <c:v>55</c:v>
                </c:pt>
                <c:pt idx="2">
                  <c:v>54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C-4117-9246-2625EAF33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351023"/>
        <c:axId val="103349583"/>
      </c:barChart>
      <c:catAx>
        <c:axId val="10335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49583"/>
        <c:crosses val="autoZero"/>
        <c:auto val="1"/>
        <c:lblAlgn val="ctr"/>
        <c:lblOffset val="100"/>
        <c:noMultiLvlLbl val="0"/>
      </c:catAx>
      <c:valAx>
        <c:axId val="10334958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51023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'CONSUMER DISC.'!$S$29:$S$32</c:f>
              <c:strCache>
                <c:ptCount val="4"/>
                <c:pt idx="0">
                  <c:v>Hermès Interna</c:v>
                </c:pt>
                <c:pt idx="1">
                  <c:v>Kering SA</c:v>
                </c:pt>
                <c:pt idx="2">
                  <c:v>LVMH Moët Henn</c:v>
                </c:pt>
                <c:pt idx="3">
                  <c:v>Renault SA</c:v>
                </c:pt>
              </c:strCache>
            </c:strRef>
          </c:cat>
          <c:val>
            <c:numRef>
              <c:f>'CONSUMER DISC.'!$U$29:$U$32</c:f>
              <c:numCache>
                <c:formatCode>General</c:formatCode>
                <c:ptCount val="4"/>
                <c:pt idx="0">
                  <c:v>74</c:v>
                </c:pt>
                <c:pt idx="1">
                  <c:v>13</c:v>
                </c:pt>
                <c:pt idx="2">
                  <c:v>24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5-4774-AE8D-F914ECE08112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'CONSUMER DISC.'!$S$29:$S$32</c:f>
              <c:strCache>
                <c:ptCount val="4"/>
                <c:pt idx="0">
                  <c:v>Hermès Interna</c:v>
                </c:pt>
                <c:pt idx="1">
                  <c:v>Kering SA</c:v>
                </c:pt>
                <c:pt idx="2">
                  <c:v>LVMH Moët Henn</c:v>
                </c:pt>
                <c:pt idx="3">
                  <c:v>Renault SA</c:v>
                </c:pt>
              </c:strCache>
            </c:strRef>
          </c:cat>
          <c:val>
            <c:numRef>
              <c:f>'CONSUMER DISC.'!$V$29:$V$32</c:f>
              <c:numCache>
                <c:formatCode>General</c:formatCode>
                <c:ptCount val="4"/>
                <c:pt idx="0">
                  <c:v>90</c:v>
                </c:pt>
                <c:pt idx="1">
                  <c:v>87</c:v>
                </c:pt>
                <c:pt idx="2">
                  <c:v>79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5-4774-AE8D-F914ECE08112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'CONSUMER DISC.'!$S$29:$S$32</c:f>
              <c:strCache>
                <c:ptCount val="4"/>
                <c:pt idx="0">
                  <c:v>Hermès Interna</c:v>
                </c:pt>
                <c:pt idx="1">
                  <c:v>Kering SA</c:v>
                </c:pt>
                <c:pt idx="2">
                  <c:v>LVMH Moët Henn</c:v>
                </c:pt>
                <c:pt idx="3">
                  <c:v>Renault SA</c:v>
                </c:pt>
              </c:strCache>
            </c:strRef>
          </c:cat>
          <c:val>
            <c:numRef>
              <c:f>'CONSUMER DISC.'!$W$29:$W$32</c:f>
              <c:numCache>
                <c:formatCode>General</c:formatCode>
                <c:ptCount val="4"/>
                <c:pt idx="0">
                  <c:v>62</c:v>
                </c:pt>
                <c:pt idx="1">
                  <c:v>64</c:v>
                </c:pt>
                <c:pt idx="2">
                  <c:v>59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55-4774-AE8D-F914ECE08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715855"/>
        <c:axId val="651260752"/>
      </c:barChart>
      <c:catAx>
        <c:axId val="3587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60752"/>
        <c:crosses val="autoZero"/>
        <c:auto val="1"/>
        <c:lblAlgn val="ctr"/>
        <c:lblOffset val="100"/>
        <c:noMultiLvlLbl val="0"/>
      </c:catAx>
      <c:valAx>
        <c:axId val="65126075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8715855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FINANCIALS!$S$29:$S$32</c:f>
              <c:strCache>
                <c:ptCount val="4"/>
                <c:pt idx="0">
                  <c:v>Crédit Agricol</c:v>
                </c:pt>
                <c:pt idx="1">
                  <c:v>AXA SA</c:v>
                </c:pt>
                <c:pt idx="2">
                  <c:v>BNP Paribas SA</c:v>
                </c:pt>
                <c:pt idx="3">
                  <c:v>Société Généra</c:v>
                </c:pt>
              </c:strCache>
            </c:strRef>
          </c:cat>
          <c:val>
            <c:numRef>
              <c:f>FINANCIALS!$T$29:$T$32</c:f>
              <c:numCache>
                <c:formatCode>General</c:formatCode>
                <c:ptCount val="4"/>
                <c:pt idx="0">
                  <c:v>65</c:v>
                </c:pt>
                <c:pt idx="1">
                  <c:v>64</c:v>
                </c:pt>
                <c:pt idx="2">
                  <c:v>62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4-4A06-83CF-55C181BB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964608"/>
        <c:axId val="1291967968"/>
      </c:barChart>
      <c:catAx>
        <c:axId val="129196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67968"/>
        <c:crosses val="autoZero"/>
        <c:auto val="1"/>
        <c:lblAlgn val="ctr"/>
        <c:lblOffset val="100"/>
        <c:noMultiLvlLbl val="0"/>
      </c:catAx>
      <c:valAx>
        <c:axId val="129196796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6460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FINANCIALS!$S$29:$S$32</c:f>
              <c:strCache>
                <c:ptCount val="4"/>
                <c:pt idx="0">
                  <c:v>Crédit Agricol</c:v>
                </c:pt>
                <c:pt idx="1">
                  <c:v>AXA SA</c:v>
                </c:pt>
                <c:pt idx="2">
                  <c:v>BNP Paribas SA</c:v>
                </c:pt>
                <c:pt idx="3">
                  <c:v>Société Généra</c:v>
                </c:pt>
              </c:strCache>
            </c:strRef>
          </c:cat>
          <c:val>
            <c:numRef>
              <c:f>FINANCIALS!$U$29:$U$32</c:f>
              <c:numCache>
                <c:formatCode>General</c:formatCode>
                <c:ptCount val="4"/>
                <c:pt idx="0">
                  <c:v>21</c:v>
                </c:pt>
                <c:pt idx="1">
                  <c:v>71</c:v>
                </c:pt>
                <c:pt idx="2">
                  <c:v>26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F-458A-A273-946DFF7A896D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FINANCIALS!$S$29:$S$32</c:f>
              <c:strCache>
                <c:ptCount val="4"/>
                <c:pt idx="0">
                  <c:v>Crédit Agricol</c:v>
                </c:pt>
                <c:pt idx="1">
                  <c:v>AXA SA</c:v>
                </c:pt>
                <c:pt idx="2">
                  <c:v>BNP Paribas SA</c:v>
                </c:pt>
                <c:pt idx="3">
                  <c:v>Société Généra</c:v>
                </c:pt>
              </c:strCache>
            </c:strRef>
          </c:cat>
          <c:val>
            <c:numRef>
              <c:f>FINANCIALS!$V$29:$V$32</c:f>
              <c:numCache>
                <c:formatCode>General</c:formatCode>
                <c:ptCount val="4"/>
                <c:pt idx="0">
                  <c:v>92</c:v>
                </c:pt>
                <c:pt idx="1">
                  <c:v>28</c:v>
                </c:pt>
                <c:pt idx="2">
                  <c:v>64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F-458A-A273-946DFF7A896D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FINANCIALS!$S$29:$S$32</c:f>
              <c:strCache>
                <c:ptCount val="4"/>
                <c:pt idx="0">
                  <c:v>Crédit Agricol</c:v>
                </c:pt>
                <c:pt idx="1">
                  <c:v>AXA SA</c:v>
                </c:pt>
                <c:pt idx="2">
                  <c:v>BNP Paribas SA</c:v>
                </c:pt>
                <c:pt idx="3">
                  <c:v>Société Généra</c:v>
                </c:pt>
              </c:strCache>
            </c:strRef>
          </c:cat>
          <c:val>
            <c:numRef>
              <c:f>FINANCIALS!$W$29:$W$32</c:f>
              <c:numCache>
                <c:formatCode>General</c:formatCode>
                <c:ptCount val="4"/>
                <c:pt idx="0">
                  <c:v>82</c:v>
                </c:pt>
                <c:pt idx="1">
                  <c:v>92</c:v>
                </c:pt>
                <c:pt idx="2">
                  <c:v>95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7F-458A-A273-946DFF7A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977568"/>
        <c:axId val="1291969408"/>
      </c:barChart>
      <c:catAx>
        <c:axId val="129197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69408"/>
        <c:crosses val="autoZero"/>
        <c:auto val="1"/>
        <c:lblAlgn val="ctr"/>
        <c:lblOffset val="100"/>
        <c:noMultiLvlLbl val="0"/>
      </c:catAx>
      <c:valAx>
        <c:axId val="12919694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7756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INDUSTRIALS!$S$29:$S$33</c:f>
              <c:strCache>
                <c:ptCount val="5"/>
                <c:pt idx="0">
                  <c:v>Alstom SA</c:v>
                </c:pt>
                <c:pt idx="1">
                  <c:v>Safran SA</c:v>
                </c:pt>
                <c:pt idx="2">
                  <c:v>Airbus SE</c:v>
                </c:pt>
                <c:pt idx="3">
                  <c:v>Legrand SA</c:v>
                </c:pt>
                <c:pt idx="4">
                  <c:v>Schneider Elec</c:v>
                </c:pt>
              </c:strCache>
            </c:strRef>
          </c:cat>
          <c:val>
            <c:numRef>
              <c:f>INDUSTRIALS!$T$29:$T$33</c:f>
              <c:numCache>
                <c:formatCode>General</c:formatCode>
                <c:ptCount val="5"/>
                <c:pt idx="0">
                  <c:v>70</c:v>
                </c:pt>
                <c:pt idx="1">
                  <c:v>68</c:v>
                </c:pt>
                <c:pt idx="2">
                  <c:v>68</c:v>
                </c:pt>
                <c:pt idx="3">
                  <c:v>64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9-4223-B952-D662A77C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010208"/>
        <c:axId val="1292010688"/>
      </c:barChart>
      <c:catAx>
        <c:axId val="129201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10688"/>
        <c:crosses val="autoZero"/>
        <c:auto val="1"/>
        <c:lblAlgn val="ctr"/>
        <c:lblOffset val="100"/>
        <c:noMultiLvlLbl val="0"/>
      </c:catAx>
      <c:valAx>
        <c:axId val="129201068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1020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INDUSTRIALS!$S$29:$S$33</c:f>
              <c:strCache>
                <c:ptCount val="5"/>
                <c:pt idx="0">
                  <c:v>Alstom SA</c:v>
                </c:pt>
                <c:pt idx="1">
                  <c:v>Safran SA</c:v>
                </c:pt>
                <c:pt idx="2">
                  <c:v>Airbus SE</c:v>
                </c:pt>
                <c:pt idx="3">
                  <c:v>Legrand SA</c:v>
                </c:pt>
                <c:pt idx="4">
                  <c:v>Schneider Elec</c:v>
                </c:pt>
              </c:strCache>
            </c:strRef>
          </c:cat>
          <c:val>
            <c:numRef>
              <c:f>INDUSTRIALS!$U$29:$U$33</c:f>
              <c:numCache>
                <c:formatCode>General</c:formatCode>
                <c:ptCount val="5"/>
                <c:pt idx="0">
                  <c:v>95</c:v>
                </c:pt>
                <c:pt idx="1">
                  <c:v>100</c:v>
                </c:pt>
                <c:pt idx="2">
                  <c:v>84</c:v>
                </c:pt>
                <c:pt idx="3">
                  <c:v>82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B-4E0B-A1A0-8CD658229813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INDUSTRIALS!$S$29:$S$33</c:f>
              <c:strCache>
                <c:ptCount val="5"/>
                <c:pt idx="0">
                  <c:v>Alstom SA</c:v>
                </c:pt>
                <c:pt idx="1">
                  <c:v>Safran SA</c:v>
                </c:pt>
                <c:pt idx="2">
                  <c:v>Airbus SE</c:v>
                </c:pt>
                <c:pt idx="3">
                  <c:v>Legrand SA</c:v>
                </c:pt>
                <c:pt idx="4">
                  <c:v>Schneider Elec</c:v>
                </c:pt>
              </c:strCache>
            </c:strRef>
          </c:cat>
          <c:val>
            <c:numRef>
              <c:f>INDUSTRIALS!$V$29:$V$33</c:f>
              <c:numCache>
                <c:formatCode>General</c:formatCode>
                <c:ptCount val="5"/>
                <c:pt idx="0">
                  <c:v>15</c:v>
                </c:pt>
                <c:pt idx="1">
                  <c:v>67</c:v>
                </c:pt>
                <c:pt idx="2">
                  <c:v>23</c:v>
                </c:pt>
                <c:pt idx="3">
                  <c:v>56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B-4E0B-A1A0-8CD658229813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INDUSTRIALS!$S$29:$S$33</c:f>
              <c:strCache>
                <c:ptCount val="5"/>
                <c:pt idx="0">
                  <c:v>Alstom SA</c:v>
                </c:pt>
                <c:pt idx="1">
                  <c:v>Safran SA</c:v>
                </c:pt>
                <c:pt idx="2">
                  <c:v>Airbus SE</c:v>
                </c:pt>
                <c:pt idx="3">
                  <c:v>Legrand SA</c:v>
                </c:pt>
                <c:pt idx="4">
                  <c:v>Schneider Elec</c:v>
                </c:pt>
              </c:strCache>
            </c:strRef>
          </c:cat>
          <c:val>
            <c:numRef>
              <c:f>INDUSTRIALS!$W$29:$W$33</c:f>
              <c:numCache>
                <c:formatCode>General</c:formatCode>
                <c:ptCount val="5"/>
                <c:pt idx="0">
                  <c:v>100</c:v>
                </c:pt>
                <c:pt idx="1">
                  <c:v>38</c:v>
                </c:pt>
                <c:pt idx="2">
                  <c:v>97</c:v>
                </c:pt>
                <c:pt idx="3">
                  <c:v>54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3B-4E0B-A1A0-8CD658229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012128"/>
        <c:axId val="1292021248"/>
      </c:barChart>
      <c:catAx>
        <c:axId val="129201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21248"/>
        <c:crosses val="autoZero"/>
        <c:auto val="1"/>
        <c:lblAlgn val="ctr"/>
        <c:lblOffset val="100"/>
        <c:noMultiLvlLbl val="0"/>
      </c:catAx>
      <c:valAx>
        <c:axId val="129202124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1212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HEALTHCARE!$S$29:$S$31</c:f>
              <c:strCache>
                <c:ptCount val="3"/>
                <c:pt idx="0">
                  <c:v>Sanofi</c:v>
                </c:pt>
                <c:pt idx="1">
                  <c:v>Eurofins Scien</c:v>
                </c:pt>
                <c:pt idx="2">
                  <c:v>EssilorLuxotti</c:v>
                </c:pt>
              </c:strCache>
            </c:strRef>
          </c:cat>
          <c:val>
            <c:numRef>
              <c:f>HEALTHCARE!$T$29:$T$31</c:f>
              <c:numCache>
                <c:formatCode>General</c:formatCode>
                <c:ptCount val="3"/>
                <c:pt idx="0">
                  <c:v>72</c:v>
                </c:pt>
                <c:pt idx="1">
                  <c:v>72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5-4031-9E68-24762289F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980448"/>
        <c:axId val="1291980928"/>
      </c:barChart>
      <c:catAx>
        <c:axId val="12919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0928"/>
        <c:crosses val="autoZero"/>
        <c:auto val="1"/>
        <c:lblAlgn val="ctr"/>
        <c:lblOffset val="100"/>
        <c:noMultiLvlLbl val="0"/>
      </c:catAx>
      <c:valAx>
        <c:axId val="129198092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044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HEALTHCARE!$S$29:$S$31</c:f>
              <c:strCache>
                <c:ptCount val="3"/>
                <c:pt idx="0">
                  <c:v>Sanofi</c:v>
                </c:pt>
                <c:pt idx="1">
                  <c:v>Eurofins Scien</c:v>
                </c:pt>
                <c:pt idx="2">
                  <c:v>EssilorLuxotti</c:v>
                </c:pt>
              </c:strCache>
            </c:strRef>
          </c:cat>
          <c:val>
            <c:numRef>
              <c:f>HEALTHCARE!$U$29:$U$31</c:f>
              <c:numCache>
                <c:formatCode>General</c:formatCode>
                <c:ptCount val="3"/>
                <c:pt idx="0">
                  <c:v>87</c:v>
                </c:pt>
                <c:pt idx="1">
                  <c:v>76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8-4F44-BC3B-C71E7089B90F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HEALTHCARE!$S$29:$S$31</c:f>
              <c:strCache>
                <c:ptCount val="3"/>
                <c:pt idx="0">
                  <c:v>Sanofi</c:v>
                </c:pt>
                <c:pt idx="1">
                  <c:v>Eurofins Scien</c:v>
                </c:pt>
                <c:pt idx="2">
                  <c:v>EssilorLuxotti</c:v>
                </c:pt>
              </c:strCache>
            </c:strRef>
          </c:cat>
          <c:val>
            <c:numRef>
              <c:f>HEALTHCARE!$V$29:$V$31</c:f>
              <c:numCache>
                <c:formatCode>General</c:formatCode>
                <c:ptCount val="3"/>
                <c:pt idx="0">
                  <c:v>97</c:v>
                </c:pt>
                <c:pt idx="1">
                  <c:v>72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C8-4F44-BC3B-C71E7089B90F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HEALTHCARE!$S$29:$S$31</c:f>
              <c:strCache>
                <c:ptCount val="3"/>
                <c:pt idx="0">
                  <c:v>Sanofi</c:v>
                </c:pt>
                <c:pt idx="1">
                  <c:v>Eurofins Scien</c:v>
                </c:pt>
                <c:pt idx="2">
                  <c:v>EssilorLuxotti</c:v>
                </c:pt>
              </c:strCache>
            </c:strRef>
          </c:cat>
          <c:val>
            <c:numRef>
              <c:f>HEALTHCARE!$W$29:$W$31</c:f>
              <c:numCache>
                <c:formatCode>General</c:formatCode>
                <c:ptCount val="3"/>
                <c:pt idx="0">
                  <c:v>31</c:v>
                </c:pt>
                <c:pt idx="1">
                  <c:v>67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C8-4F44-BC3B-C71E7089B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987168"/>
        <c:axId val="1291983328"/>
      </c:barChart>
      <c:catAx>
        <c:axId val="129198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3328"/>
        <c:crosses val="autoZero"/>
        <c:auto val="1"/>
        <c:lblAlgn val="ctr"/>
        <c:lblOffset val="100"/>
        <c:noMultiLvlLbl val="0"/>
      </c:catAx>
      <c:valAx>
        <c:axId val="12919833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716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ENERGY!$S$29</c:f>
              <c:strCache>
                <c:ptCount val="1"/>
                <c:pt idx="0">
                  <c:v>TotalEnergies </c:v>
                </c:pt>
              </c:strCache>
            </c:strRef>
          </c:cat>
          <c:val>
            <c:numRef>
              <c:f>ENERGY!$T$29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B-4B59-9965-702044030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984288"/>
        <c:axId val="1291991008"/>
      </c:barChart>
      <c:catAx>
        <c:axId val="129198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91008"/>
        <c:crosses val="autoZero"/>
        <c:auto val="1"/>
        <c:lblAlgn val="ctr"/>
        <c:lblOffset val="100"/>
        <c:noMultiLvlLbl val="0"/>
      </c:catAx>
      <c:valAx>
        <c:axId val="129199100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428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ENERGY!$S$29</c:f>
              <c:strCache>
                <c:ptCount val="1"/>
                <c:pt idx="0">
                  <c:v>TotalEnergies </c:v>
                </c:pt>
              </c:strCache>
            </c:strRef>
          </c:cat>
          <c:val>
            <c:numRef>
              <c:f>ENERGY!$U$29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C-4DE8-ABCD-511BC69525F7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ENERGY!$S$29</c:f>
              <c:strCache>
                <c:ptCount val="1"/>
                <c:pt idx="0">
                  <c:v>TotalEnergies </c:v>
                </c:pt>
              </c:strCache>
            </c:strRef>
          </c:cat>
          <c:val>
            <c:numRef>
              <c:f>ENERGY!$V$29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C-4DE8-ABCD-511BC69525F7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ENERGY!$S$29</c:f>
              <c:strCache>
                <c:ptCount val="1"/>
                <c:pt idx="0">
                  <c:v>TotalEnergies </c:v>
                </c:pt>
              </c:strCache>
            </c:strRef>
          </c:cat>
          <c:val>
            <c:numRef>
              <c:f>ENERGY!$W$29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C-4DE8-ABCD-511BC6952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987648"/>
        <c:axId val="1291988128"/>
      </c:barChart>
      <c:catAx>
        <c:axId val="12919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8128"/>
        <c:crosses val="autoZero"/>
        <c:auto val="1"/>
        <c:lblAlgn val="ctr"/>
        <c:lblOffset val="100"/>
        <c:noMultiLvlLbl val="0"/>
      </c:catAx>
      <c:valAx>
        <c:axId val="12919881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764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MATERIALS!$S$29:$S$30</c:f>
              <c:strCache>
                <c:ptCount val="2"/>
                <c:pt idx="0">
                  <c:v>L'Air Liquide </c:v>
                </c:pt>
                <c:pt idx="1">
                  <c:v>ArcelorMittal </c:v>
                </c:pt>
              </c:strCache>
            </c:strRef>
          </c:cat>
          <c:val>
            <c:numRef>
              <c:f>MATERIALS!$T$29:$T$30</c:f>
              <c:numCache>
                <c:formatCode>General</c:formatCode>
                <c:ptCount val="2"/>
                <c:pt idx="0">
                  <c:v>74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8-4DC1-A6EE-9ED0BFF6A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005408"/>
        <c:axId val="1292001088"/>
      </c:barChart>
      <c:catAx>
        <c:axId val="129200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1088"/>
        <c:crosses val="autoZero"/>
        <c:auto val="1"/>
        <c:lblAlgn val="ctr"/>
        <c:lblOffset val="100"/>
        <c:noMultiLvlLbl val="0"/>
      </c:catAx>
      <c:valAx>
        <c:axId val="129200108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540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MATERIALS!$S$29:$S$30</c:f>
              <c:strCache>
                <c:ptCount val="2"/>
                <c:pt idx="0">
                  <c:v>L'Air Liquide </c:v>
                </c:pt>
                <c:pt idx="1">
                  <c:v>ArcelorMittal </c:v>
                </c:pt>
              </c:strCache>
            </c:strRef>
          </c:cat>
          <c:val>
            <c:numRef>
              <c:f>MATERIALS!$U$29:$U$30</c:f>
              <c:numCache>
                <c:formatCode>General</c:formatCode>
                <c:ptCount val="2"/>
                <c:pt idx="0">
                  <c:v>55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F-435D-8277-A0CC273F5C08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MATERIALS!$S$29:$S$30</c:f>
              <c:strCache>
                <c:ptCount val="2"/>
                <c:pt idx="0">
                  <c:v>L'Air Liquide </c:v>
                </c:pt>
                <c:pt idx="1">
                  <c:v>ArcelorMittal </c:v>
                </c:pt>
              </c:strCache>
            </c:strRef>
          </c:cat>
          <c:val>
            <c:numRef>
              <c:f>MATERIALS!$V$29:$V$30</c:f>
              <c:numCache>
                <c:formatCode>General</c:formatCode>
                <c:ptCount val="2"/>
                <c:pt idx="0">
                  <c:v>77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F-435D-8277-A0CC273F5C08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MATERIALS!$S$29:$S$30</c:f>
              <c:strCache>
                <c:ptCount val="2"/>
                <c:pt idx="0">
                  <c:v>L'Air Liquide </c:v>
                </c:pt>
                <c:pt idx="1">
                  <c:v>ArcelorMittal </c:v>
                </c:pt>
              </c:strCache>
            </c:strRef>
          </c:cat>
          <c:val>
            <c:numRef>
              <c:f>MATERIALS!$W$29:$W$30</c:f>
              <c:numCache>
                <c:formatCode>General</c:formatCode>
                <c:ptCount val="2"/>
                <c:pt idx="0">
                  <c:v>90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F-435D-8277-A0CC273F5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004448"/>
        <c:axId val="1292003008"/>
      </c:barChart>
      <c:catAx>
        <c:axId val="129200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3008"/>
        <c:crosses val="autoZero"/>
        <c:auto val="1"/>
        <c:lblAlgn val="ctr"/>
        <c:lblOffset val="100"/>
        <c:noMultiLvlLbl val="0"/>
      </c:catAx>
      <c:valAx>
        <c:axId val="12920030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444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'REAL ESTATE'!$S$29</c:f>
              <c:strCache>
                <c:ptCount val="1"/>
                <c:pt idx="0">
                  <c:v>Unibail-Rodamc</c:v>
                </c:pt>
              </c:strCache>
            </c:strRef>
          </c:cat>
          <c:val>
            <c:numRef>
              <c:f>'REAL ESTATE'!$T$29</c:f>
              <c:numCache>
                <c:formatCode>General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8-4BA9-A139-80CCF1203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008768"/>
        <c:axId val="1291993888"/>
      </c:barChart>
      <c:catAx>
        <c:axId val="1292008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93888"/>
        <c:crosses val="autoZero"/>
        <c:auto val="1"/>
        <c:lblAlgn val="ctr"/>
        <c:lblOffset val="100"/>
        <c:noMultiLvlLbl val="0"/>
      </c:catAx>
      <c:valAx>
        <c:axId val="129199388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876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'REAL ESTATE'!$S$29</c:f>
              <c:strCache>
                <c:ptCount val="1"/>
                <c:pt idx="0">
                  <c:v>Unibail-Rodamc</c:v>
                </c:pt>
              </c:strCache>
            </c:strRef>
          </c:cat>
          <c:val>
            <c:numRef>
              <c:f>'REAL ESTATE'!$U$29</c:f>
              <c:numCache>
                <c:formatCode>General</c:formatCode>
                <c:ptCount val="1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4-4024-A248-440F9CF0D94E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'REAL ESTATE'!$S$29</c:f>
              <c:strCache>
                <c:ptCount val="1"/>
                <c:pt idx="0">
                  <c:v>Unibail-Rodamc</c:v>
                </c:pt>
              </c:strCache>
            </c:strRef>
          </c:cat>
          <c:val>
            <c:numRef>
              <c:f>'REAL ESTATE'!$V$29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4-4024-A248-440F9CF0D94E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'REAL ESTATE'!$S$29</c:f>
              <c:strCache>
                <c:ptCount val="1"/>
                <c:pt idx="0">
                  <c:v>Unibail-Rodamc</c:v>
                </c:pt>
              </c:strCache>
            </c:strRef>
          </c:cat>
          <c:val>
            <c:numRef>
              <c:f>'REAL ESTATE'!$W$29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4-4024-A248-440F9CF0D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002528"/>
        <c:axId val="1291999648"/>
      </c:barChart>
      <c:catAx>
        <c:axId val="12920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99648"/>
        <c:crosses val="autoZero"/>
        <c:auto val="1"/>
        <c:lblAlgn val="ctr"/>
        <c:lblOffset val="100"/>
        <c:noMultiLvlLbl val="0"/>
      </c:catAx>
      <c:valAx>
        <c:axId val="129199964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2528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vs Marge EBITDA — CAC 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'DONNÉES BRUTES'!$AH$1</c:f>
              <c:strCache>
                <c:ptCount val="1"/>
                <c:pt idx="0">
                  <c:v>Mg EBITDA</c:v>
                </c:pt>
              </c:strCache>
            </c:strRef>
          </c:tx>
          <c:spPr>
            <a:ln w="19050" cap="rnd">
              <a:solidFill>
                <a:srgbClr val="1E3A5F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'DONNÉES BRUTES'!$AG$2:$AG$39</c:f>
              <c:numCache>
                <c:formatCode>General</c:formatCode>
                <c:ptCount val="38"/>
                <c:pt idx="0">
                  <c:v>75</c:v>
                </c:pt>
                <c:pt idx="1">
                  <c:v>74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70</c:v>
                </c:pt>
                <c:pt idx="6">
                  <c:v>69</c:v>
                </c:pt>
                <c:pt idx="7">
                  <c:v>68</c:v>
                </c:pt>
                <c:pt idx="8">
                  <c:v>68</c:v>
                </c:pt>
                <c:pt idx="9">
                  <c:v>65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62</c:v>
                </c:pt>
                <c:pt idx="14">
                  <c:v>58</c:v>
                </c:pt>
                <c:pt idx="15">
                  <c:v>57</c:v>
                </c:pt>
                <c:pt idx="16">
                  <c:v>57</c:v>
                </c:pt>
                <c:pt idx="17">
                  <c:v>55</c:v>
                </c:pt>
                <c:pt idx="18">
                  <c:v>54</c:v>
                </c:pt>
                <c:pt idx="19">
                  <c:v>53</c:v>
                </c:pt>
                <c:pt idx="20">
                  <c:v>52</c:v>
                </c:pt>
                <c:pt idx="21">
                  <c:v>51</c:v>
                </c:pt>
                <c:pt idx="22">
                  <c:v>51</c:v>
                </c:pt>
                <c:pt idx="23">
                  <c:v>48</c:v>
                </c:pt>
                <c:pt idx="24">
                  <c:v>47</c:v>
                </c:pt>
                <c:pt idx="25">
                  <c:v>46</c:v>
                </c:pt>
                <c:pt idx="26">
                  <c:v>46</c:v>
                </c:pt>
                <c:pt idx="27">
                  <c:v>40</c:v>
                </c:pt>
                <c:pt idx="28">
                  <c:v>39</c:v>
                </c:pt>
                <c:pt idx="29">
                  <c:v>37</c:v>
                </c:pt>
                <c:pt idx="30">
                  <c:v>33</c:v>
                </c:pt>
                <c:pt idx="31">
                  <c:v>29</c:v>
                </c:pt>
                <c:pt idx="32">
                  <c:v>29</c:v>
                </c:pt>
                <c:pt idx="33">
                  <c:v>23</c:v>
                </c:pt>
                <c:pt idx="34">
                  <c:v>18</c:v>
                </c:pt>
                <c:pt idx="35">
                  <c:v>17</c:v>
                </c:pt>
                <c:pt idx="36">
                  <c:v>5</c:v>
                </c:pt>
                <c:pt idx="37">
                  <c:v>2</c:v>
                </c:pt>
              </c:numCache>
            </c:numRef>
          </c:xVal>
          <c:yVal>
            <c:numRef>
              <c:f>'DONNÉES BRUTES'!$AH$2:$AH$39</c:f>
              <c:numCache>
                <c:formatCode>General</c:formatCode>
                <c:ptCount val="38"/>
                <c:pt idx="0">
                  <c:v>46.8</c:v>
                </c:pt>
                <c:pt idx="1">
                  <c:v>27.9</c:v>
                </c:pt>
                <c:pt idx="2">
                  <c:v>30.4</c:v>
                </c:pt>
                <c:pt idx="3">
                  <c:v>21</c:v>
                </c:pt>
                <c:pt idx="4">
                  <c:v>26.7</c:v>
                </c:pt>
                <c:pt idx="5">
                  <c:v>6.8</c:v>
                </c:pt>
                <c:pt idx="6">
                  <c:v>89.1</c:v>
                </c:pt>
                <c:pt idx="7">
                  <c:v>14</c:v>
                </c:pt>
                <c:pt idx="8">
                  <c:v>39.200000000000003</c:v>
                </c:pt>
                <c:pt idx="9">
                  <c:v>192.6</c:v>
                </c:pt>
                <c:pt idx="10">
                  <c:v>23.2</c:v>
                </c:pt>
                <c:pt idx="11">
                  <c:v>24.3</c:v>
                </c:pt>
                <c:pt idx="12">
                  <c:v>23.9</c:v>
                </c:pt>
                <c:pt idx="13">
                  <c:v>108.7</c:v>
                </c:pt>
                <c:pt idx="14">
                  <c:v>5.6</c:v>
                </c:pt>
                <c:pt idx="15">
                  <c:v>12.8</c:v>
                </c:pt>
                <c:pt idx="16">
                  <c:v>20.9</c:v>
                </c:pt>
                <c:pt idx="17">
                  <c:v>25</c:v>
                </c:pt>
                <c:pt idx="18">
                  <c:v>32</c:v>
                </c:pt>
                <c:pt idx="19">
                  <c:v>13.6</c:v>
                </c:pt>
                <c:pt idx="20">
                  <c:v>16.100000000000001</c:v>
                </c:pt>
                <c:pt idx="21">
                  <c:v>29.1</c:v>
                </c:pt>
                <c:pt idx="22">
                  <c:v>54.4</c:v>
                </c:pt>
                <c:pt idx="23">
                  <c:v>15.4</c:v>
                </c:pt>
                <c:pt idx="24">
                  <c:v>18</c:v>
                </c:pt>
                <c:pt idx="25">
                  <c:v>20</c:v>
                </c:pt>
                <c:pt idx="26">
                  <c:v>19.600000000000001</c:v>
                </c:pt>
                <c:pt idx="27">
                  <c:v>17.899999999999999</c:v>
                </c:pt>
                <c:pt idx="28">
                  <c:v>17.899999999999999</c:v>
                </c:pt>
                <c:pt idx="29">
                  <c:v>16.2</c:v>
                </c:pt>
                <c:pt idx="30">
                  <c:v>11.6</c:v>
                </c:pt>
                <c:pt idx="31">
                  <c:v>98.1</c:v>
                </c:pt>
                <c:pt idx="32">
                  <c:v>14.1</c:v>
                </c:pt>
                <c:pt idx="33">
                  <c:v>21.6</c:v>
                </c:pt>
                <c:pt idx="34">
                  <c:v>-9.6999999999999993</c:v>
                </c:pt>
                <c:pt idx="35">
                  <c:v>19.600000000000001</c:v>
                </c:pt>
                <c:pt idx="36">
                  <c:v>-11.8</c:v>
                </c:pt>
                <c:pt idx="37">
                  <c:v>-112.2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D-43E0-A573-F001BD4E3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301552"/>
        <c:axId val="651285232"/>
      </c:scatterChart>
      <c:valAx>
        <c:axId val="651301552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Score Global /100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85232"/>
        <c:crosses val="autoZero"/>
        <c:crossBetween val="midCat"/>
      </c:valAx>
      <c:valAx>
        <c:axId val="65128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Marge EBITDA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301552"/>
        <c:crosses val="autoZero"/>
        <c:crossBetween val="midCat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43094</xdr:colOff>
      <xdr:row>0</xdr:row>
      <xdr:rowOff>273316</xdr:rowOff>
    </xdr:from>
    <xdr:to>
      <xdr:col>25</xdr:col>
      <xdr:colOff>323022</xdr:colOff>
      <xdr:row>18</xdr:row>
      <xdr:rowOff>138725</xdr:rowOff>
    </xdr:to>
    <xdr:graphicFrame macro="">
      <xdr:nvGraphicFramePr>
        <xdr:cNvPr id="2" name="Top 15 — Score Global">
          <a:extLst>
            <a:ext uri="{FF2B5EF4-FFF2-40B4-BE49-F238E27FC236}">
              <a16:creationId xmlns:a16="http://schemas.microsoft.com/office/drawing/2014/main" id="{72218FE3-BCDF-9811-1FC1-75FDBB3D9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37465</xdr:colOff>
      <xdr:row>1</xdr:row>
      <xdr:rowOff>157269</xdr:rowOff>
    </xdr:from>
    <xdr:to>
      <xdr:col>25</xdr:col>
      <xdr:colOff>0</xdr:colOff>
      <xdr:row>18</xdr:row>
      <xdr:rowOff>10373</xdr:rowOff>
    </xdr:to>
    <xdr:graphicFrame macro="">
      <xdr:nvGraphicFramePr>
        <xdr:cNvPr id="2" name="Top 10 Growth">
          <a:extLst>
            <a:ext uri="{FF2B5EF4-FFF2-40B4-BE49-F238E27FC236}">
              <a16:creationId xmlns:a16="http://schemas.microsoft.com/office/drawing/2014/main" id="{2EBF3662-A9ED-08C5-7ABD-89EEF1420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27456</xdr:colOff>
      <xdr:row>0</xdr:row>
      <xdr:rowOff>401084</xdr:rowOff>
    </xdr:from>
    <xdr:to>
      <xdr:col>24</xdr:col>
      <xdr:colOff>251012</xdr:colOff>
      <xdr:row>16</xdr:row>
      <xdr:rowOff>63811</xdr:rowOff>
    </xdr:to>
    <xdr:graphicFrame macro="">
      <xdr:nvGraphicFramePr>
        <xdr:cNvPr id="2" name="Top 10 Quality">
          <a:extLst>
            <a:ext uri="{FF2B5EF4-FFF2-40B4-BE49-F238E27FC236}">
              <a16:creationId xmlns:a16="http://schemas.microsoft.com/office/drawing/2014/main" id="{89604681-389E-C1E0-CCD3-93C9878EA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26458</xdr:colOff>
      <xdr:row>1</xdr:row>
      <xdr:rowOff>7830</xdr:rowOff>
    </xdr:from>
    <xdr:to>
      <xdr:col>21</xdr:col>
      <xdr:colOff>406400</xdr:colOff>
      <xdr:row>16</xdr:row>
      <xdr:rowOff>88474</xdr:rowOff>
    </xdr:to>
    <xdr:graphicFrame macro="">
      <xdr:nvGraphicFramePr>
        <xdr:cNvPr id="2" name="Top 10 Momentum">
          <a:extLst>
            <a:ext uri="{FF2B5EF4-FFF2-40B4-BE49-F238E27FC236}">
              <a16:creationId xmlns:a16="http://schemas.microsoft.com/office/drawing/2014/main" id="{ADBF3E54-5F39-D182-AE3A-767DFE925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33022</xdr:colOff>
      <xdr:row>4</xdr:row>
      <xdr:rowOff>100752</xdr:rowOff>
    </xdr:from>
    <xdr:to>
      <xdr:col>26</xdr:col>
      <xdr:colOff>270934</xdr:colOff>
      <xdr:row>17</xdr:row>
      <xdr:rowOff>84667</xdr:rowOff>
    </xdr:to>
    <xdr:graphicFrame macro="">
      <xdr:nvGraphicFramePr>
        <xdr:cNvPr id="3" name="Score Composite — CAC 40">
          <a:extLst>
            <a:ext uri="{FF2B5EF4-FFF2-40B4-BE49-F238E27FC236}">
              <a16:creationId xmlns:a16="http://schemas.microsoft.com/office/drawing/2014/main" id="{A982072F-C0DF-FF71-2BE7-D77F979F0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29211</xdr:colOff>
      <xdr:row>18</xdr:row>
      <xdr:rowOff>44660</xdr:rowOff>
    </xdr:from>
    <xdr:to>
      <xdr:col>26</xdr:col>
      <xdr:colOff>313267</xdr:colOff>
      <xdr:row>32</xdr:row>
      <xdr:rowOff>20743</xdr:rowOff>
    </xdr:to>
    <xdr:graphicFrame macro="">
      <xdr:nvGraphicFramePr>
        <xdr:cNvPr id="4" name="Marge EBITDA — CAC 40">
          <a:extLst>
            <a:ext uri="{FF2B5EF4-FFF2-40B4-BE49-F238E27FC236}">
              <a16:creationId xmlns:a16="http://schemas.microsoft.com/office/drawing/2014/main" id="{F3F0C84B-44F5-2DCA-71C7-D17E934BB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69</xdr:row>
      <xdr:rowOff>106679</xdr:rowOff>
    </xdr:from>
    <xdr:to>
      <xdr:col>9</xdr:col>
      <xdr:colOff>908685</xdr:colOff>
      <xdr:row>87</xdr:row>
      <xdr:rowOff>106679</xdr:rowOff>
    </xdr:to>
    <xdr:graphicFrame macro="">
      <xdr:nvGraphicFramePr>
        <xdr:cNvPr id="5" name="Composition CAC 40 — Nb Sociétés">
          <a:extLst>
            <a:ext uri="{FF2B5EF4-FFF2-40B4-BE49-F238E27FC236}">
              <a16:creationId xmlns:a16="http://schemas.microsoft.com/office/drawing/2014/main" id="{79617CDF-08D5-F560-8D61-91F3907F5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109193</xdr:colOff>
      <xdr:row>4</xdr:row>
      <xdr:rowOff>26639</xdr:rowOff>
    </xdr:from>
    <xdr:to>
      <xdr:col>22</xdr:col>
      <xdr:colOff>64851</xdr:colOff>
      <xdr:row>17</xdr:row>
      <xdr:rowOff>178510</xdr:rowOff>
    </xdr:to>
    <xdr:graphicFrame macro="">
      <xdr:nvGraphicFramePr>
        <xdr:cNvPr id="2" name="Score FinSight par Secteur">
          <a:extLst>
            <a:ext uri="{FF2B5EF4-FFF2-40B4-BE49-F238E27FC236}">
              <a16:creationId xmlns:a16="http://schemas.microsoft.com/office/drawing/2014/main" id="{25CADA89-2094-1238-A63F-44D1FFF2C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15</xdr:row>
      <xdr:rowOff>140334</xdr:rowOff>
    </xdr:from>
    <xdr:to>
      <xdr:col>25</xdr:col>
      <xdr:colOff>121284</xdr:colOff>
      <xdr:row>31</xdr:row>
      <xdr:rowOff>43814</xdr:rowOff>
    </xdr:to>
    <xdr:graphicFrame macro="">
      <xdr:nvGraphicFramePr>
        <xdr:cNvPr id="15" name="Score Global">
          <a:extLst>
            <a:ext uri="{FF2B5EF4-FFF2-40B4-BE49-F238E27FC236}">
              <a16:creationId xmlns:a16="http://schemas.microsoft.com/office/drawing/2014/main" id="{E6C6B12E-DA6D-ADA2-F30B-B68D87CB7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15</xdr:row>
      <xdr:rowOff>7620</xdr:rowOff>
    </xdr:to>
    <xdr:graphicFrame macro="">
      <xdr:nvGraphicFramePr>
        <xdr:cNvPr id="16" name="Sub-scores">
          <a:extLst>
            <a:ext uri="{FF2B5EF4-FFF2-40B4-BE49-F238E27FC236}">
              <a16:creationId xmlns:a16="http://schemas.microsoft.com/office/drawing/2014/main" id="{4FDB255D-9AD3-6997-1C7D-06ADB8E15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16</xdr:row>
      <xdr:rowOff>69850</xdr:rowOff>
    </xdr:from>
    <xdr:to>
      <xdr:col>25</xdr:col>
      <xdr:colOff>121284</xdr:colOff>
      <xdr:row>31</xdr:row>
      <xdr:rowOff>171450</xdr:rowOff>
    </xdr:to>
    <xdr:graphicFrame macro="">
      <xdr:nvGraphicFramePr>
        <xdr:cNvPr id="2" name="Score Global">
          <a:extLst>
            <a:ext uri="{FF2B5EF4-FFF2-40B4-BE49-F238E27FC236}">
              <a16:creationId xmlns:a16="http://schemas.microsoft.com/office/drawing/2014/main" id="{2AF8C51C-47D3-4CE5-BB5F-9A5B94A8F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15</xdr:row>
      <xdr:rowOff>137160</xdr:rowOff>
    </xdr:to>
    <xdr:graphicFrame macro="">
      <xdr:nvGraphicFramePr>
        <xdr:cNvPr id="3" name="Sub-scores">
          <a:extLst>
            <a:ext uri="{FF2B5EF4-FFF2-40B4-BE49-F238E27FC236}">
              <a16:creationId xmlns:a16="http://schemas.microsoft.com/office/drawing/2014/main" id="{4A707FF8-802F-42A1-B2BC-69D6167DA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15</xdr:row>
      <xdr:rowOff>140334</xdr:rowOff>
    </xdr:from>
    <xdr:to>
      <xdr:col>25</xdr:col>
      <xdr:colOff>121284</xdr:colOff>
      <xdr:row>31</xdr:row>
      <xdr:rowOff>43814</xdr:rowOff>
    </xdr:to>
    <xdr:graphicFrame macro="">
      <xdr:nvGraphicFramePr>
        <xdr:cNvPr id="11" name="Score Global">
          <a:extLst>
            <a:ext uri="{FF2B5EF4-FFF2-40B4-BE49-F238E27FC236}">
              <a16:creationId xmlns:a16="http://schemas.microsoft.com/office/drawing/2014/main" id="{EE9B9D04-A6E7-D126-F664-A3CF1836E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15</xdr:row>
      <xdr:rowOff>7620</xdr:rowOff>
    </xdr:to>
    <xdr:graphicFrame macro="">
      <xdr:nvGraphicFramePr>
        <xdr:cNvPr id="12" name="Sub-scores">
          <a:extLst>
            <a:ext uri="{FF2B5EF4-FFF2-40B4-BE49-F238E27FC236}">
              <a16:creationId xmlns:a16="http://schemas.microsoft.com/office/drawing/2014/main" id="{5C22F379-C365-DEFA-CD61-14E352C22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17</xdr:row>
      <xdr:rowOff>35560</xdr:rowOff>
    </xdr:from>
    <xdr:to>
      <xdr:col>25</xdr:col>
      <xdr:colOff>121284</xdr:colOff>
      <xdr:row>32</xdr:row>
      <xdr:rowOff>152400</xdr:rowOff>
    </xdr:to>
    <xdr:graphicFrame macro="">
      <xdr:nvGraphicFramePr>
        <xdr:cNvPr id="4" name="Score Global">
          <a:extLst>
            <a:ext uri="{FF2B5EF4-FFF2-40B4-BE49-F238E27FC236}">
              <a16:creationId xmlns:a16="http://schemas.microsoft.com/office/drawing/2014/main" id="{64EE69DF-B58B-6F41-939D-01866B3F1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16</xdr:row>
      <xdr:rowOff>106680</xdr:rowOff>
    </xdr:to>
    <xdr:graphicFrame macro="">
      <xdr:nvGraphicFramePr>
        <xdr:cNvPr id="5" name="Sub-scores">
          <a:extLst>
            <a:ext uri="{FF2B5EF4-FFF2-40B4-BE49-F238E27FC236}">
              <a16:creationId xmlns:a16="http://schemas.microsoft.com/office/drawing/2014/main" id="{687B34E4-EE0E-CC55-C6C1-5F35E9743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318551</xdr:colOff>
      <xdr:row>15</xdr:row>
      <xdr:rowOff>138237</xdr:rowOff>
    </xdr:from>
    <xdr:to>
      <xdr:col>24</xdr:col>
      <xdr:colOff>302648</xdr:colOff>
      <xdr:row>31</xdr:row>
      <xdr:rowOff>52760</xdr:rowOff>
    </xdr:to>
    <xdr:graphicFrame macro="">
      <xdr:nvGraphicFramePr>
        <xdr:cNvPr id="11" name="Score Global">
          <a:extLst>
            <a:ext uri="{FF2B5EF4-FFF2-40B4-BE49-F238E27FC236}">
              <a16:creationId xmlns:a16="http://schemas.microsoft.com/office/drawing/2014/main" id="{B41494AD-D6D0-DBB8-715C-1DBBBE43C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341491</xdr:colOff>
      <xdr:row>0</xdr:row>
      <xdr:rowOff>115958</xdr:rowOff>
    </xdr:from>
    <xdr:to>
      <xdr:col>23</xdr:col>
      <xdr:colOff>66260</xdr:colOff>
      <xdr:row>15</xdr:row>
      <xdr:rowOff>13998</xdr:rowOff>
    </xdr:to>
    <xdr:graphicFrame macro="">
      <xdr:nvGraphicFramePr>
        <xdr:cNvPr id="12" name="Sub-scores">
          <a:extLst>
            <a:ext uri="{FF2B5EF4-FFF2-40B4-BE49-F238E27FC236}">
              <a16:creationId xmlns:a16="http://schemas.microsoft.com/office/drawing/2014/main" id="{71248E01-7954-040E-DF41-A807B5554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145415</xdr:colOff>
      <xdr:row>15</xdr:row>
      <xdr:rowOff>140334</xdr:rowOff>
    </xdr:from>
    <xdr:to>
      <xdr:col>25</xdr:col>
      <xdr:colOff>96520</xdr:colOff>
      <xdr:row>31</xdr:row>
      <xdr:rowOff>51434</xdr:rowOff>
    </xdr:to>
    <xdr:graphicFrame macro="">
      <xdr:nvGraphicFramePr>
        <xdr:cNvPr id="11" name="Score Global">
          <a:extLst>
            <a:ext uri="{FF2B5EF4-FFF2-40B4-BE49-F238E27FC236}">
              <a16:creationId xmlns:a16="http://schemas.microsoft.com/office/drawing/2014/main" id="{C33AE48D-D970-1895-2389-030621D91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428625</xdr:colOff>
      <xdr:row>15</xdr:row>
      <xdr:rowOff>7620</xdr:rowOff>
    </xdr:to>
    <xdr:graphicFrame macro="">
      <xdr:nvGraphicFramePr>
        <xdr:cNvPr id="12" name="Sub-scores">
          <a:extLst>
            <a:ext uri="{FF2B5EF4-FFF2-40B4-BE49-F238E27FC236}">
              <a16:creationId xmlns:a16="http://schemas.microsoft.com/office/drawing/2014/main" id="{F4AD8998-4548-9520-36A5-5193DDD85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15</xdr:row>
      <xdr:rowOff>140334</xdr:rowOff>
    </xdr:from>
    <xdr:to>
      <xdr:col>25</xdr:col>
      <xdr:colOff>121284</xdr:colOff>
      <xdr:row>31</xdr:row>
      <xdr:rowOff>51434</xdr:rowOff>
    </xdr:to>
    <xdr:graphicFrame macro="">
      <xdr:nvGraphicFramePr>
        <xdr:cNvPr id="11" name="Score Global">
          <a:extLst>
            <a:ext uri="{FF2B5EF4-FFF2-40B4-BE49-F238E27FC236}">
              <a16:creationId xmlns:a16="http://schemas.microsoft.com/office/drawing/2014/main" id="{9513CC93-70F7-6D13-8B39-78CFC7B5F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15</xdr:row>
      <xdr:rowOff>7620</xdr:rowOff>
    </xdr:to>
    <xdr:graphicFrame macro="">
      <xdr:nvGraphicFramePr>
        <xdr:cNvPr id="12" name="Sub-scores">
          <a:extLst>
            <a:ext uri="{FF2B5EF4-FFF2-40B4-BE49-F238E27FC236}">
              <a16:creationId xmlns:a16="http://schemas.microsoft.com/office/drawing/2014/main" id="{B34FDE77-1116-BC1A-B23F-38C59CA3A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15</xdr:row>
      <xdr:rowOff>140334</xdr:rowOff>
    </xdr:from>
    <xdr:to>
      <xdr:col>25</xdr:col>
      <xdr:colOff>109854</xdr:colOff>
      <xdr:row>31</xdr:row>
      <xdr:rowOff>51434</xdr:rowOff>
    </xdr:to>
    <xdr:graphicFrame macro="">
      <xdr:nvGraphicFramePr>
        <xdr:cNvPr id="11" name="Score Global">
          <a:extLst>
            <a:ext uri="{FF2B5EF4-FFF2-40B4-BE49-F238E27FC236}">
              <a16:creationId xmlns:a16="http://schemas.microsoft.com/office/drawing/2014/main" id="{E7E01AA4-B5FC-2474-0C05-F327E4E88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447675</xdr:colOff>
      <xdr:row>15</xdr:row>
      <xdr:rowOff>7620</xdr:rowOff>
    </xdr:to>
    <xdr:graphicFrame macro="">
      <xdr:nvGraphicFramePr>
        <xdr:cNvPr id="12" name="Sub-scores">
          <a:extLst>
            <a:ext uri="{FF2B5EF4-FFF2-40B4-BE49-F238E27FC236}">
              <a16:creationId xmlns:a16="http://schemas.microsoft.com/office/drawing/2014/main" id="{BD3907C1-A9DE-D4DE-2459-557E0B6CC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560070</xdr:colOff>
      <xdr:row>43</xdr:row>
      <xdr:rowOff>78104</xdr:rowOff>
    </xdr:from>
    <xdr:to>
      <xdr:col>40</xdr:col>
      <xdr:colOff>521970</xdr:colOff>
      <xdr:row>60</xdr:row>
      <xdr:rowOff>78104</xdr:rowOff>
    </xdr:to>
    <xdr:graphicFrame macro="">
      <xdr:nvGraphicFramePr>
        <xdr:cNvPr id="2" name="Score vs Mg EBITDA">
          <a:extLst>
            <a:ext uri="{FF2B5EF4-FFF2-40B4-BE49-F238E27FC236}">
              <a16:creationId xmlns:a16="http://schemas.microsoft.com/office/drawing/2014/main" id="{DCCD2CE9-6FF3-6586-4D58-47210B86A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532E4D-2BBC-4143-8531-5FB3E83C3C4F}">
  <we:reference id="wa200009404" version="1.0.0.8" store="fr-FR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showGridLines="0" topLeftCell="J1" zoomScaleNormal="100" workbookViewId="0">
      <selection activeCell="S1" sqref="S1"/>
    </sheetView>
  </sheetViews>
  <sheetFormatPr baseColWidth="10" defaultColWidth="8.85546875" defaultRowHeight="15" x14ac:dyDescent="0.25"/>
  <cols>
    <col min="1" max="1" width="0.7109375" customWidth="1"/>
    <col min="2" max="2" width="17.140625" customWidth="1"/>
    <col min="3" max="3" width="9.140625" customWidth="1"/>
    <col min="4" max="4" width="24.7109375" customWidth="1"/>
    <col min="5" max="5" width="14.28515625" customWidth="1"/>
    <col min="6" max="6" width="9.140625" customWidth="1"/>
    <col min="7" max="7" width="0.7109375" customWidth="1"/>
    <col min="8" max="8" width="17.140625" customWidth="1"/>
    <col min="9" max="9" width="8.5703125" customWidth="1"/>
    <col min="10" max="11" width="9.85546875" customWidth="1"/>
    <col min="12" max="12" width="9.140625" customWidth="1"/>
    <col min="13" max="13" width="0.7109375" customWidth="1"/>
    <col min="14" max="14" width="12.42578125" customWidth="1"/>
    <col min="15" max="15" width="9.140625" customWidth="1"/>
    <col min="16" max="16" width="21" customWidth="1"/>
    <col min="17" max="17" width="9.140625" customWidth="1"/>
    <col min="18" max="18" width="10.42578125" customWidth="1"/>
    <col min="19" max="19" width="0.7109375" customWidth="1"/>
    <col min="20" max="20" width="5.28515625" customWidth="1"/>
    <col min="21" max="21" width="9.85546875" customWidth="1"/>
    <col min="22" max="22" width="24.7109375" customWidth="1"/>
    <col min="23" max="24" width="9.85546875" customWidth="1"/>
  </cols>
  <sheetData>
    <row r="1" spans="1:24" ht="32.1" customHeight="1" x14ac:dyDescent="0.25">
      <c r="A1" s="20" t="s">
        <v>560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 t="s">
        <v>561</v>
      </c>
      <c r="S1" s="21"/>
      <c r="T1" s="21"/>
      <c r="U1" s="21"/>
      <c r="V1" s="21"/>
      <c r="W1" s="21"/>
      <c r="X1" s="21"/>
    </row>
    <row r="2" spans="1:24" ht="3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ht="20.100000000000001" customHeight="1" x14ac:dyDescent="0.4">
      <c r="A3" s="24"/>
      <c r="B3" s="24"/>
      <c r="C3" s="24"/>
      <c r="D3" s="271">
        <f>COUNTA('DONNÉES BRUTES'!A:A)-2</f>
        <v>40</v>
      </c>
      <c r="E3" s="24"/>
      <c r="F3" s="24"/>
      <c r="G3" s="25"/>
      <c r="H3" s="272"/>
      <c r="I3" s="272"/>
      <c r="J3" s="291" cm="1">
        <f t="array" ref="J3">COUNTA(_xlfn.UNIQUE(_xlfn._xlws.FILTER('DONNÉES BRUTES'!C3:C42,'DONNÉES BRUTES'!C3:C42&lt;&gt;"")))</f>
        <v>12</v>
      </c>
      <c r="K3" s="272"/>
      <c r="L3" s="272"/>
      <c r="M3" s="25"/>
      <c r="N3" s="24"/>
      <c r="O3" s="24"/>
      <c r="P3" s="26" t="str">
        <f>_xlfn.XLOOKUP(MAX('DONNÉES BRUTES'!AB3:AB42),'DONNÉES BRUTES'!AB3:AB42,'DONNÉES BRUTES'!A3:A42)&amp;" — "&amp;MAX('DONNÉES BRUTES'!AB3:AB42)&amp;"/100"</f>
        <v>RMS.PA — 75/100</v>
      </c>
      <c r="Q3" s="24"/>
      <c r="R3" s="24"/>
      <c r="S3" s="25"/>
      <c r="T3" s="24"/>
      <c r="U3" s="24"/>
      <c r="V3" s="293" t="s">
        <v>1</v>
      </c>
      <c r="W3" s="24"/>
      <c r="X3" s="24"/>
    </row>
    <row r="4" spans="1:24" ht="14.1" customHeight="1" x14ac:dyDescent="0.25">
      <c r="A4" s="27"/>
      <c r="B4" s="27"/>
      <c r="C4" s="27"/>
      <c r="D4" s="290" t="s">
        <v>556</v>
      </c>
      <c r="E4" s="27"/>
      <c r="F4" s="27"/>
      <c r="G4" s="29"/>
      <c r="H4" s="27"/>
      <c r="I4" s="27"/>
      <c r="J4" s="292" t="s">
        <v>557</v>
      </c>
      <c r="K4" s="27"/>
      <c r="L4" s="27"/>
      <c r="M4" s="29"/>
      <c r="N4" s="27"/>
      <c r="O4" s="27"/>
      <c r="P4" s="28" t="s">
        <v>558</v>
      </c>
      <c r="Q4" s="27"/>
      <c r="R4" s="27"/>
      <c r="S4" s="29"/>
      <c r="T4" s="27"/>
      <c r="U4" s="27"/>
      <c r="V4" s="290" t="s">
        <v>559</v>
      </c>
      <c r="W4" s="27"/>
      <c r="X4" s="27"/>
    </row>
    <row r="5" spans="1:24" ht="8.1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spans="1:24" ht="20.100000000000001" customHeight="1" x14ac:dyDescent="0.25">
      <c r="A6" s="30"/>
      <c r="B6" s="34" t="s">
        <v>562</v>
      </c>
      <c r="C6" s="30"/>
      <c r="D6" s="30"/>
      <c r="E6" s="30"/>
      <c r="F6" s="30"/>
      <c r="G6" s="31"/>
      <c r="H6" s="30"/>
      <c r="I6" s="30"/>
      <c r="J6" s="30"/>
      <c r="K6" s="30"/>
      <c r="L6" s="30"/>
      <c r="M6" s="31"/>
      <c r="N6" s="30"/>
      <c r="O6" s="30"/>
      <c r="P6" s="30"/>
      <c r="Q6" s="30"/>
      <c r="R6" s="30"/>
      <c r="S6" s="31"/>
      <c r="T6" s="30"/>
      <c r="U6" s="30"/>
      <c r="V6" s="30"/>
      <c r="W6" s="30"/>
      <c r="X6" s="30"/>
    </row>
    <row r="7" spans="1:24" ht="18" customHeight="1" x14ac:dyDescent="0.25">
      <c r="B7" s="35" t="s">
        <v>41</v>
      </c>
      <c r="C7" s="36" t="s">
        <v>3</v>
      </c>
      <c r="D7" s="37" t="s">
        <v>4</v>
      </c>
      <c r="E7" s="36" t="s">
        <v>5</v>
      </c>
      <c r="F7" s="38" t="s">
        <v>563</v>
      </c>
      <c r="H7" s="47" t="s">
        <v>41</v>
      </c>
      <c r="I7" s="48" t="s">
        <v>3</v>
      </c>
      <c r="J7" s="49" t="s">
        <v>4</v>
      </c>
      <c r="K7" s="48" t="s">
        <v>5</v>
      </c>
      <c r="L7" s="50" t="s">
        <v>563</v>
      </c>
      <c r="N7" s="51" t="s">
        <v>41</v>
      </c>
      <c r="O7" s="52" t="s">
        <v>3</v>
      </c>
      <c r="P7" s="53" t="s">
        <v>4</v>
      </c>
      <c r="Q7" s="52" t="s">
        <v>5</v>
      </c>
      <c r="R7" s="54" t="s">
        <v>563</v>
      </c>
      <c r="T7" s="55" t="s">
        <v>41</v>
      </c>
      <c r="U7" s="56" t="s">
        <v>3</v>
      </c>
      <c r="V7" s="57" t="s">
        <v>4</v>
      </c>
      <c r="W7" s="56" t="s">
        <v>5</v>
      </c>
      <c r="X7" s="58" t="s">
        <v>563</v>
      </c>
    </row>
    <row r="8" spans="1:24" ht="15.95" customHeight="1" x14ac:dyDescent="0.25">
      <c r="B8" s="39">
        <v>1</v>
      </c>
      <c r="C8" s="40" t="str" cm="1">
        <f t="array" ref="C8">IFERROR(INDEX('DONNÉES BRUTES'!A$3:A$42,MATCH(_xlfn.AGGREGATE(14,6,'DONNÉES BRUTES'!AB$3:AB$42*1000+(40-ROW('DONNÉES BRUTES'!AB$3:AB$42)+ROW('DONNÉES BRUTES'!AB$3)),1),'DONNÉES BRUTES'!AB$3:AB$42*1000+(40-ROW('DONNÉES BRUTES'!AB$3:AB$42)+ROW('DONNÉES BRUTES'!AB$3)),0)),"—")</f>
        <v>RMS.PA</v>
      </c>
      <c r="D8" s="41" t="str" cm="1">
        <f t="array" ref="D8">IFERROR(LEFT(INDEX('DONNÉES BRUTES'!B$3:B$42,MATCH(_xlfn.AGGREGATE(14,6,'DONNÉES BRUTES'!AB$3:AB$42*1000+(40-ROW('DONNÉES BRUTES'!AB$3:AB$42)+ROW('DONNÉES BRUTES'!AB$3)),1),'DONNÉES BRUTES'!AB$3:AB$42*1000+(40-ROW('DONNÉES BRUTES'!AB$3:AB$42)+ROW('DONNÉES BRUTES'!AB$3)),0)),18),"—")</f>
        <v>Hermès Internation</v>
      </c>
      <c r="E8" s="40" t="str" cm="1">
        <f t="array" ref="E8">IFERROR(INT(_xlfn.AGGREGATE(14,6,'DONNÉES BRUTES'!AB$3:AB$42*1000+(40-ROW('DONNÉES BRUTES'!AB$3:AB$42)+ROW('DONNÉES BRUTES'!AB$3)),1)/1000)&amp;"/100","—")</f>
        <v>75/100</v>
      </c>
      <c r="F8" s="42" t="str" cm="1">
        <f t="array" ref="F8">IFERROR(INDEX('DONNÉES BRUTES'!I$3:I$42,MATCH(_xlfn.AGGREGATE(14,6,'DONNÉES BRUTES'!AB$3:AB$42*1000+(40-ROW('DONNÉES BRUTES'!AB$3:AB$42)+ROW('DONNÉES BRUTES'!AB$3)),1),'DONNÉES BRUTES'!AB$3:AB$42*1000+(40-ROW('DONNÉES BRUTES'!AB$3:AB$42)+ROW('DONNÉES BRUTES'!AB$3)),0)),"—")</f>
        <v>—</v>
      </c>
      <c r="H8" s="39">
        <v>1</v>
      </c>
      <c r="I8" s="40" t="str" cm="1">
        <f t="array" ref="I8">IFERROR(INDEX('DONNÉES BRUTES'!A$3:A$42,MATCH(_xlfn.AGGREGATE(14,6,'DONNÉES BRUTES'!Y$3:Y$42*1000+(40-ROW('DONNÉES BRUTES'!Y$3:Y$42)+ROW('DONNÉES BRUTES'!Y$3)),1),'DONNÉES BRUTES'!Y$3:Y$42*1000+(40-ROW('DONNÉES BRUTES'!Y$3:Y$42)+ROW('DONNÉES BRUTES'!Y$3)),0)),"—")</f>
        <v>SAF.PA</v>
      </c>
      <c r="J8" s="41" t="str" cm="1">
        <f t="array" ref="J8">IFERROR(LEFT(INDEX('DONNÉES BRUTES'!B$3:B$42,MATCH(_xlfn.AGGREGATE(14,6,'DONNÉES BRUTES'!Y$3:Y$42*1000+(40-ROW('DONNÉES BRUTES'!Y$3:Y$42)+ROW('DONNÉES BRUTES'!Y$3)),1),'DONNÉES BRUTES'!Y$3:Y$42*1000+(40-ROW('DONNÉES BRUTES'!Y$3:Y$42)+ROW('DONNÉES BRUTES'!Y$3)),0)),18),"—")</f>
        <v>Safran SA</v>
      </c>
      <c r="K8" s="62" t="str" cm="1">
        <f t="array" ref="K8">IFERROR(INT(_xlfn.AGGREGATE(14,6,'DONNÉES BRUTES'!Y$3:Y$42*1000+(40-ROW('DONNÉES BRUTES'!Y$3:Y$42)+ROW('DONNÉES BRUTES'!Y$3)),1)/1000)&amp;"/100","—")</f>
        <v>100/100</v>
      </c>
      <c r="L8" s="63" t="str" cm="1">
        <f t="array" ref="L8">IFERROR(INDEX('DONNÉES BRUTES'!P$3:P$42,MATCH(_xlfn.AGGREGATE(14,6,'DONNÉES BRUTES'!Y$3:Y$42*1000+(40-ROW('DONNÉES BRUTES'!Y$3:Y$42)+ROW('DONNÉES BRUTES'!Y$3)),1),'DONNÉES BRUTES'!Y$3:Y$42*1000+(40-ROW('DONNÉES BRUTES'!Y$3:Y$42)+ROW('DONNÉES BRUTES'!Y$3)),0)),"—")</f>
        <v>+12.5%</v>
      </c>
      <c r="N8" s="39">
        <v>1</v>
      </c>
      <c r="O8" s="40" t="str" cm="1">
        <f t="array" ref="O8">IFERROR(INDEX('DONNÉES BRUTES'!A$3:A$42,MATCH(_xlfn.AGGREGATE(14,6,'DONNÉES BRUTES'!Z$3:Z$42*1000+(40-ROW('DONNÉES BRUTES'!Z$3:Z$42)+ROW('DONNÉES BRUTES'!Z$3)),1),'DONNÉES BRUTES'!Z$3:Z$42*1000+(40-ROW('DONNÉES BRUTES'!Z$3:Z$42)+ROW('DONNÉES BRUTES'!Z$3)),0)),"—")</f>
        <v>DSY.PA</v>
      </c>
      <c r="P8" s="41" t="str" cm="1">
        <f t="array" ref="P8">IFERROR(LEFT(INDEX('DONNÉES BRUTES'!B$3:B$42,MATCH(_xlfn.AGGREGATE(14,6,'DONNÉES BRUTES'!Z$3:Z$42*1000+(40-ROW('DONNÉES BRUTES'!Z$3:Z$42)+ROW('DONNÉES BRUTES'!Z$3)),1),'DONNÉES BRUTES'!Z$3:Z$42*1000+(40-ROW('DONNÉES BRUTES'!Z$3:Z$42)+ROW('DONNÉES BRUTES'!Z$3)),0)),18),"—")</f>
        <v xml:space="preserve">Dassault Systèmes </v>
      </c>
      <c r="Q8" s="67" t="str" cm="1">
        <f t="array" ref="Q8">IFERROR(INT(_xlfn.AGGREGATE(14,6,'DONNÉES BRUTES'!Z$3:Z$42*1000+(40-ROW('DONNÉES BRUTES'!Z$3:Z$42)+ROW('DONNÉES BRUTES'!Z$3)),1)/1000)&amp;"/100","—")</f>
        <v>100/100</v>
      </c>
      <c r="R8" s="42" t="str" cm="1">
        <f t="array" ref="R8">IFERROR(INDEX('DONNÉES BRUTES'!U$3:U$42,MATCH(_xlfn.AGGREGATE(14,6,'DONNÉES BRUTES'!Z$3:Z$42*1000+(40-ROW('DONNÉES BRUTES'!Z$3:Z$42)+ROW('DONNÉES BRUTES'!Z$3)),1),'DONNÉES BRUTES'!Z$3:Z$42*1000+(40-ROW('DONNÉES BRUTES'!Z$3:Z$42)+ROW('DONNÉES BRUTES'!Z$3)),0)),"—")</f>
        <v>—</v>
      </c>
      <c r="T8" s="39">
        <v>1</v>
      </c>
      <c r="U8" s="40" t="str" cm="1">
        <f t="array" ref="U8">IFERROR(INDEX('DONNÉES BRUTES'!A$3:A$42,MATCH(_xlfn.AGGREGATE(14,6,'DONNÉES BRUTES'!AA$3:AA$42*1000+(40-ROW('DONNÉES BRUTES'!AA$3:AA$42)+ROW('DONNÉES BRUTES'!AA$3)),1),'DONNÉES BRUTES'!AA$3:AA$42*1000+(40-ROW('DONNÉES BRUTES'!AA$3:AA$42)+ROW('DONNÉES BRUTES'!AA$3)),0)),"—")</f>
        <v>ALO.PA</v>
      </c>
      <c r="V8" s="41" t="str" cm="1">
        <f t="array" ref="V8">IFERROR(LEFT(INDEX('DONNÉES BRUTES'!B$3:B$42,MATCH(_xlfn.AGGREGATE(14,6,'DONNÉES BRUTES'!AA$3:AA$42*1000+(40-ROW('DONNÉES BRUTES'!AA$3:AA$42)+ROW('DONNÉES BRUTES'!AA$3)),1),'DONNÉES BRUTES'!AA$3:AA$42*1000+(40-ROW('DONNÉES BRUTES'!AA$3:AA$42)+ROW('DONNÉES BRUTES'!AA$3)),0)),18),"—")</f>
        <v>Alstom SA</v>
      </c>
      <c r="W8" s="69" t="str" cm="1">
        <f t="array" ref="W8">IFERROR(INT(_xlfn.AGGREGATE(14,6,'DONNÉES BRUTES'!AA$3:AA$42*1000+(40-ROW('DONNÉES BRUTES'!AA$3:AA$42)+ROW('DONNÉES BRUTES'!AA$3)),1)/1000)&amp;"/100","—")</f>
        <v>100/100</v>
      </c>
      <c r="X8" s="42" t="str" cm="1">
        <f t="array" ref="X8">IFERROR(INDEX('DONNÉES BRUTES'!P$3:P$42,MATCH(_xlfn.AGGREGATE(14,6,'DONNÉES BRUTES'!AA$3:AA$42*1000+(40-ROW('DONNÉES BRUTES'!AA$3:AA$42)+ROW('DONNÉES BRUTES'!AA$3)),1),'DONNÉES BRUTES'!AA$3:AA$42*1000+(40-ROW('DONNÉES BRUTES'!AA$3:AA$42)+ROW('DONNÉES BRUTES'!AA$3)),0)),"—")</f>
        <v>+4.9%</v>
      </c>
    </row>
    <row r="9" spans="1:24" ht="15.95" customHeight="1" x14ac:dyDescent="0.25">
      <c r="B9" s="43">
        <v>2</v>
      </c>
      <c r="C9" s="44" t="str" cm="1">
        <f t="array" ref="C9">IFERROR(INDEX('DONNÉES BRUTES'!A$3:A$42,MATCH(_xlfn.AGGREGATE(14,6,'DONNÉES BRUTES'!AB$3:AB$42*1000+(40-ROW('DONNÉES BRUTES'!AB$3:AB$42)+ROW('DONNÉES BRUTES'!AB$3)),2),'DONNÉES BRUTES'!AB$3:AB$42*1000+(40-ROW('DONNÉES BRUTES'!AB$3:AB$42)+ROW('DONNÉES BRUTES'!AB$3)),0)),"—")</f>
        <v>AI.PA</v>
      </c>
      <c r="D9" s="45" t="str" cm="1">
        <f t="array" ref="D9">IFERROR(LEFT(INDEX('DONNÉES BRUTES'!B$3:B$42,MATCH(_xlfn.AGGREGATE(14,6,'DONNÉES BRUTES'!AB$3:AB$42*1000+(40-ROW('DONNÉES BRUTES'!AB$3:AB$42)+ROW('DONNÉES BRUTES'!AB$3)),2),'DONNÉES BRUTES'!AB$3:AB$42*1000+(40-ROW('DONNÉES BRUTES'!AB$3:AB$42)+ROW('DONNÉES BRUTES'!AB$3)),0)),18),"—")</f>
        <v>L'Air Liquide S.A.</v>
      </c>
      <c r="E9" s="44" t="str" cm="1">
        <f t="array" ref="E9">IFERROR(INT(_xlfn.AGGREGATE(14,6,'DONNÉES BRUTES'!AB$3:AB$42*1000+(40-ROW('DONNÉES BRUTES'!AB$3:AB$42)+ROW('DONNÉES BRUTES'!AB$3)),2)/1000)&amp;"/100","—")</f>
        <v>74/100</v>
      </c>
      <c r="F9" s="46" t="str" cm="1">
        <f t="array" ref="F9">IFERROR(INDEX('DONNÉES BRUTES'!I$3:I$42,MATCH(_xlfn.AGGREGATE(14,6,'DONNÉES BRUTES'!AB$3:AB$42*1000+(40-ROW('DONNÉES BRUTES'!AB$3:AB$42)+ROW('DONNÉES BRUTES'!AB$3)),2),'DONNÉES BRUTES'!AB$3:AB$42*1000+(40-ROW('DONNÉES BRUTES'!AB$3:AB$42)+ROW('DONNÉES BRUTES'!AB$3)),0)),"—")</f>
        <v>—</v>
      </c>
      <c r="H9" s="43">
        <v>2</v>
      </c>
      <c r="I9" s="44" t="str" cm="1">
        <f t="array" ref="I9">IFERROR(INDEX('DONNÉES BRUTES'!A$3:A$42,MATCH(_xlfn.AGGREGATE(14,6,'DONNÉES BRUTES'!Y$3:Y$42*1000+(40-ROW('DONNÉES BRUTES'!Y$3:Y$42)+ROW('DONNÉES BRUTES'!Y$3)),2),'DONNÉES BRUTES'!Y$3:Y$42*1000+(40-ROW('DONNÉES BRUTES'!Y$3:Y$42)+ROW('DONNÉES BRUTES'!Y$3)),0)),"—")</f>
        <v>VIV.PA</v>
      </c>
      <c r="J9" s="45" t="str" cm="1">
        <f t="array" ref="J9">IFERROR(LEFT(INDEX('DONNÉES BRUTES'!B$3:B$42,MATCH(_xlfn.AGGREGATE(14,6,'DONNÉES BRUTES'!Y$3:Y$42*1000+(40-ROW('DONNÉES BRUTES'!Y$3:Y$42)+ROW('DONNÉES BRUTES'!Y$3)),2),'DONNÉES BRUTES'!Y$3:Y$42*1000+(40-ROW('DONNÉES BRUTES'!Y$3:Y$42)+ROW('DONNÉES BRUTES'!Y$3)),0)),18),"—")</f>
        <v>Vivendi SE</v>
      </c>
      <c r="K9" s="64" t="str" cm="1">
        <f t="array" ref="K9">IFERROR(INT(_xlfn.AGGREGATE(14,6,'DONNÉES BRUTES'!Y$3:Y$42*1000+(40-ROW('DONNÉES BRUTES'!Y$3:Y$42)+ROW('DONNÉES BRUTES'!Y$3)),2)/1000)&amp;"/100","—")</f>
        <v>97/100</v>
      </c>
      <c r="L9" s="65" t="str" cm="1">
        <f t="array" ref="L9">IFERROR(INDEX('DONNÉES BRUTES'!P$3:P$42,MATCH(_xlfn.AGGREGATE(14,6,'DONNÉES BRUTES'!Y$3:Y$42*1000+(40-ROW('DONNÉES BRUTES'!Y$3:Y$42)+ROW('DONNÉES BRUTES'!Y$3)),2),'DONNÉES BRUTES'!Y$3:Y$42*1000+(40-ROW('DONNÉES BRUTES'!Y$3:Y$42)+ROW('DONNÉES BRUTES'!Y$3)),0)),"—")</f>
        <v>+3.4%</v>
      </c>
      <c r="N9" s="43">
        <v>2</v>
      </c>
      <c r="O9" s="44" t="str" cm="1">
        <f t="array" ref="O9">IFERROR(INDEX('DONNÉES BRUTES'!A$3:A$42,MATCH(_xlfn.AGGREGATE(14,6,'DONNÉES BRUTES'!Z$3:Z$42*1000+(40-ROW('DONNÉES BRUTES'!Z$3:Z$42)+ROW('DONNÉES BRUTES'!Z$3)),2),'DONNÉES BRUTES'!Z$3:Z$42*1000+(40-ROW('DONNÉES BRUTES'!Z$3:Z$42)+ROW('DONNÉES BRUTES'!Z$3)),0)),"—")</f>
        <v>SAN.PA</v>
      </c>
      <c r="P9" s="45" t="str" cm="1">
        <f t="array" ref="P9">IFERROR(LEFT(INDEX('DONNÉES BRUTES'!B$3:B$42,MATCH(_xlfn.AGGREGATE(14,6,'DONNÉES BRUTES'!Z$3:Z$42*1000+(40-ROW('DONNÉES BRUTES'!Z$3:Z$42)+ROW('DONNÉES BRUTES'!Z$3)),2),'DONNÉES BRUTES'!Z$3:Z$42*1000+(40-ROW('DONNÉES BRUTES'!Z$3:Z$42)+ROW('DONNÉES BRUTES'!Z$3)),0)),18),"—")</f>
        <v>Sanofi</v>
      </c>
      <c r="Q9" s="68" t="str" cm="1">
        <f t="array" ref="Q9">IFERROR(INT(_xlfn.AGGREGATE(14,6,'DONNÉES BRUTES'!Z$3:Z$42*1000+(40-ROW('DONNÉES BRUTES'!Z$3:Z$42)+ROW('DONNÉES BRUTES'!Z$3)),2)/1000)&amp;"/100","—")</f>
        <v>97/100</v>
      </c>
      <c r="R9" s="46" t="str" cm="1">
        <f t="array" ref="R9">IFERROR(INDEX('DONNÉES BRUTES'!U$3:U$42,MATCH(_xlfn.AGGREGATE(14,6,'DONNÉES BRUTES'!Z$3:Z$42*1000+(40-ROW('DONNÉES BRUTES'!Z$3:Z$42)+ROW('DONNÉES BRUTES'!Z$3)),2),'DONNÉES BRUTES'!Z$3:Z$42*1000+(40-ROW('DONNÉES BRUTES'!Z$3:Z$42)+ROW('DONNÉES BRUTES'!Z$3)),0)),"—")</f>
        <v>—</v>
      </c>
      <c r="T9" s="43">
        <v>2</v>
      </c>
      <c r="U9" s="44" t="str" cm="1">
        <f t="array" ref="U9">IFERROR(INDEX('DONNÉES BRUTES'!A$3:A$42,MATCH(_xlfn.AGGREGATE(14,6,'DONNÉES BRUTES'!AA$3:AA$42*1000+(40-ROW('DONNÉES BRUTES'!AA$3:AA$42)+ROW('DONNÉES BRUTES'!AA$3)),2),'DONNÉES BRUTES'!AA$3:AA$42*1000+(40-ROW('DONNÉES BRUTES'!AA$3:AA$42)+ROW('DONNÉES BRUTES'!AA$3)),0)),"—")</f>
        <v>AIR.PA</v>
      </c>
      <c r="V9" s="45" t="str" cm="1">
        <f t="array" ref="V9">IFERROR(LEFT(INDEX('DONNÉES BRUTES'!B$3:B$42,MATCH(_xlfn.AGGREGATE(14,6,'DONNÉES BRUTES'!AA$3:AA$42*1000+(40-ROW('DONNÉES BRUTES'!AA$3:AA$42)+ROW('DONNÉES BRUTES'!AA$3)),2),'DONNÉES BRUTES'!AA$3:AA$42*1000+(40-ROW('DONNÉES BRUTES'!AA$3:AA$42)+ROW('DONNÉES BRUTES'!AA$3)),0)),18),"—")</f>
        <v>Airbus SE</v>
      </c>
      <c r="W9" s="70" t="str" cm="1">
        <f t="array" ref="W9">IFERROR(INT(_xlfn.AGGREGATE(14,6,'DONNÉES BRUTES'!AA$3:AA$42*1000+(40-ROW('DONNÉES BRUTES'!AA$3:AA$42)+ROW('DONNÉES BRUTES'!AA$3)),2)/1000)&amp;"/100","—")</f>
        <v>97/100</v>
      </c>
      <c r="X9" s="46" t="str" cm="1">
        <f t="array" ref="X9">IFERROR(INDEX('DONNÉES BRUTES'!P$3:P$42,MATCH(_xlfn.AGGREGATE(14,6,'DONNÉES BRUTES'!AA$3:AA$42*1000+(40-ROW('DONNÉES BRUTES'!AA$3:AA$42)+ROW('DONNÉES BRUTES'!AA$3)),2),'DONNÉES BRUTES'!AA$3:AA$42*1000+(40-ROW('DONNÉES BRUTES'!AA$3:AA$42)+ROW('DONNÉES BRUTES'!AA$3)),0)),"—")</f>
        <v>+6.1%</v>
      </c>
    </row>
    <row r="10" spans="1:24" ht="15.95" customHeight="1" x14ac:dyDescent="0.25">
      <c r="B10" s="39">
        <v>3</v>
      </c>
      <c r="C10" s="40" t="str" cm="1">
        <f t="array" ref="C10">IFERROR(INDEX('DONNÉES BRUTES'!A$3:A$42,MATCH(_xlfn.AGGREGATE(14,6,'DONNÉES BRUTES'!AB$3:AB$42*1000+(40-ROW('DONNÉES BRUTES'!AB$3:AB$42)+ROW('DONNÉES BRUTES'!AB$3)),3),'DONNÉES BRUTES'!AB$3:AB$42*1000+(40-ROW('DONNÉES BRUTES'!AB$3:AB$42)+ROW('DONNÉES BRUTES'!AB$3)),0)),"—")</f>
        <v>DSY.PA</v>
      </c>
      <c r="D10" s="41" t="str" cm="1">
        <f t="array" ref="D10">IFERROR(LEFT(INDEX('DONNÉES BRUTES'!B$3:B$42,MATCH(_xlfn.AGGREGATE(14,6,'DONNÉES BRUTES'!AB$3:AB$42*1000+(40-ROW('DONNÉES BRUTES'!AB$3:AB$42)+ROW('DONNÉES BRUTES'!AB$3)),3),'DONNÉES BRUTES'!AB$3:AB$42*1000+(40-ROW('DONNÉES BRUTES'!AB$3:AB$42)+ROW('DONNÉES BRUTES'!AB$3)),0)),18),"—")</f>
        <v xml:space="preserve">Dassault Systèmes </v>
      </c>
      <c r="E10" s="40" t="str" cm="1">
        <f t="array" ref="E10">IFERROR(INT(_xlfn.AGGREGATE(14,6,'DONNÉES BRUTES'!AB$3:AB$42*1000+(40-ROW('DONNÉES BRUTES'!AB$3:AB$42)+ROW('DONNÉES BRUTES'!AB$3)),3)/1000)&amp;"/100","—")</f>
        <v>72/100</v>
      </c>
      <c r="F10" s="42" t="str" cm="1">
        <f t="array" ref="F10">IFERROR(INDEX('DONNÉES BRUTES'!I$3:I$42,MATCH(_xlfn.AGGREGATE(14,6,'DONNÉES BRUTES'!AB$3:AB$42*1000+(40-ROW('DONNÉES BRUTES'!AB$3:AB$42)+ROW('DONNÉES BRUTES'!AB$3)),3),'DONNÉES BRUTES'!AB$3:AB$42*1000+(40-ROW('DONNÉES BRUTES'!AB$3:AB$42)+ROW('DONNÉES BRUTES'!AB$3)),0)),"—")</f>
        <v>—</v>
      </c>
      <c r="H10" s="39">
        <v>3</v>
      </c>
      <c r="I10" s="40" t="str" cm="1">
        <f t="array" ref="I10">IFERROR(INDEX('DONNÉES BRUTES'!A$3:A$42,MATCH(_xlfn.AGGREGATE(14,6,'DONNÉES BRUTES'!Y$3:Y$42*1000+(40-ROW('DONNÉES BRUTES'!Y$3:Y$42)+ROW('DONNÉES BRUTES'!Y$3)),3),'DONNÉES BRUTES'!Y$3:Y$42*1000+(40-ROW('DONNÉES BRUTES'!Y$3:Y$42)+ROW('DONNÉES BRUTES'!Y$3)),0)),"—")</f>
        <v>ALO.PA</v>
      </c>
      <c r="J10" s="41" t="str" cm="1">
        <f t="array" ref="J10">IFERROR(LEFT(INDEX('DONNÉES BRUTES'!B$3:B$42,MATCH(_xlfn.AGGREGATE(14,6,'DONNÉES BRUTES'!Y$3:Y$42*1000+(40-ROW('DONNÉES BRUTES'!Y$3:Y$42)+ROW('DONNÉES BRUTES'!Y$3)),3),'DONNÉES BRUTES'!Y$3:Y$42*1000+(40-ROW('DONNÉES BRUTES'!Y$3:Y$42)+ROW('DONNÉES BRUTES'!Y$3)),0)),18),"—")</f>
        <v>Alstom SA</v>
      </c>
      <c r="K10" s="62" t="str" cm="1">
        <f t="array" ref="K10">IFERROR(INT(_xlfn.AGGREGATE(14,6,'DONNÉES BRUTES'!Y$3:Y$42*1000+(40-ROW('DONNÉES BRUTES'!Y$3:Y$42)+ROW('DONNÉES BRUTES'!Y$3)),3)/1000)&amp;"/100","—")</f>
        <v>95/100</v>
      </c>
      <c r="L10" s="63" t="str" cm="1">
        <f t="array" ref="L10">IFERROR(INDEX('DONNÉES BRUTES'!P$3:P$42,MATCH(_xlfn.AGGREGATE(14,6,'DONNÉES BRUTES'!Y$3:Y$42*1000+(40-ROW('DONNÉES BRUTES'!Y$3:Y$42)+ROW('DONNÉES BRUTES'!Y$3)),3),'DONNÉES BRUTES'!Y$3:Y$42*1000+(40-ROW('DONNÉES BRUTES'!Y$3:Y$42)+ROW('DONNÉES BRUTES'!Y$3)),0)),"—")</f>
        <v>+4.9%</v>
      </c>
      <c r="N10" s="39">
        <v>3</v>
      </c>
      <c r="O10" s="40" t="str" cm="1">
        <f t="array" ref="O10">IFERROR(INDEX('DONNÉES BRUTES'!A$3:A$42,MATCH(_xlfn.AGGREGATE(14,6,'DONNÉES BRUTES'!Z$3:Z$42*1000+(40-ROW('DONNÉES BRUTES'!Z$3:Z$42)+ROW('DONNÉES BRUTES'!Z$3)),3),'DONNÉES BRUTES'!Z$3:Z$42*1000+(40-ROW('DONNÉES BRUTES'!Z$3:Z$42)+ROW('DONNÉES BRUTES'!Z$3)),0)),"—")</f>
        <v>URW.PA</v>
      </c>
      <c r="P10" s="41" t="str" cm="1">
        <f t="array" ref="P10">IFERROR(LEFT(INDEX('DONNÉES BRUTES'!B$3:B$42,MATCH(_xlfn.AGGREGATE(14,6,'DONNÉES BRUTES'!Z$3:Z$42*1000+(40-ROW('DONNÉES BRUTES'!Z$3:Z$42)+ROW('DONNÉES BRUTES'!Z$3)),3),'DONNÉES BRUTES'!Z$3:Z$42*1000+(40-ROW('DONNÉES BRUTES'!Z$3:Z$42)+ROW('DONNÉES BRUTES'!Z$3)),0)),18),"—")</f>
        <v>Unibail-Rodamco-We</v>
      </c>
      <c r="Q10" s="67" t="str" cm="1">
        <f t="array" ref="Q10">IFERROR(INT(_xlfn.AGGREGATE(14,6,'DONNÉES BRUTES'!Z$3:Z$42*1000+(40-ROW('DONNÉES BRUTES'!Z$3:Z$42)+ROW('DONNÉES BRUTES'!Z$3)),3)/1000)&amp;"/100","—")</f>
        <v>95/100</v>
      </c>
      <c r="R10" s="42" t="str" cm="1">
        <f t="array" ref="R10">IFERROR(INDEX('DONNÉES BRUTES'!U$3:U$42,MATCH(_xlfn.AGGREGATE(14,6,'DONNÉES BRUTES'!Z$3:Z$42*1000+(40-ROW('DONNÉES BRUTES'!Z$3:Z$42)+ROW('DONNÉES BRUTES'!Z$3)),3),'DONNÉES BRUTES'!Z$3:Z$42*1000+(40-ROW('DONNÉES BRUTES'!Z$3:Z$42)+ROW('DONNÉES BRUTES'!Z$3)),0)),"—")</f>
        <v>1.22</v>
      </c>
      <c r="T10" s="39">
        <v>3</v>
      </c>
      <c r="U10" s="40" t="str" cm="1">
        <f t="array" ref="U10">IFERROR(INDEX('DONNÉES BRUTES'!A$3:A$42,MATCH(_xlfn.AGGREGATE(14,6,'DONNÉES BRUTES'!AA$3:AA$42*1000+(40-ROW('DONNÉES BRUTES'!AA$3:AA$42)+ROW('DONNÉES BRUTES'!AA$3)),3),'DONNÉES BRUTES'!AA$3:AA$42*1000+(40-ROW('DONNÉES BRUTES'!AA$3:AA$42)+ROW('DONNÉES BRUTES'!AA$3)),0)),"—")</f>
        <v>BNP.PA</v>
      </c>
      <c r="V10" s="41" t="str" cm="1">
        <f t="array" ref="V10">IFERROR(LEFT(INDEX('DONNÉES BRUTES'!B$3:B$42,MATCH(_xlfn.AGGREGATE(14,6,'DONNÉES BRUTES'!AA$3:AA$42*1000+(40-ROW('DONNÉES BRUTES'!AA$3:AA$42)+ROW('DONNÉES BRUTES'!AA$3)),3),'DONNÉES BRUTES'!AA$3:AA$42*1000+(40-ROW('DONNÉES BRUTES'!AA$3:AA$42)+ROW('DONNÉES BRUTES'!AA$3)),0)),18),"—")</f>
        <v>BNP Paribas SA</v>
      </c>
      <c r="W10" s="69" t="str" cm="1">
        <f t="array" ref="W10">IFERROR(INT(_xlfn.AGGREGATE(14,6,'DONNÉES BRUTES'!AA$3:AA$42*1000+(40-ROW('DONNÉES BRUTES'!AA$3:AA$42)+ROW('DONNÉES BRUTES'!AA$3)),3)/1000)&amp;"/100","—")</f>
        <v>95/100</v>
      </c>
      <c r="X10" s="42" t="str" cm="1">
        <f t="array" ref="X10">IFERROR(INDEX('DONNÉES BRUTES'!P$3:P$42,MATCH(_xlfn.AGGREGATE(14,6,'DONNÉES BRUTES'!AA$3:AA$42*1000+(40-ROW('DONNÉES BRUTES'!AA$3:AA$42)+ROW('DONNÉES BRUTES'!AA$3)),3),'DONNÉES BRUTES'!AA$3:AA$42*1000+(40-ROW('DONNÉES BRUTES'!AA$3:AA$42)+ROW('DONNÉES BRUTES'!AA$3)),0)),"—")</f>
        <v>+4.5%</v>
      </c>
    </row>
    <row r="11" spans="1:24" ht="15.95" customHeight="1" x14ac:dyDescent="0.25">
      <c r="B11" s="43">
        <v>4</v>
      </c>
      <c r="C11" s="44" t="str" cm="1">
        <f t="array" ref="C11">IFERROR(INDEX('DONNÉES BRUTES'!A$3:A$42,MATCH(_xlfn.AGGREGATE(14,6,'DONNÉES BRUTES'!AB$3:AB$42*1000+(40-ROW('DONNÉES BRUTES'!AB$3:AB$42)+ROW('DONNÉES BRUTES'!AB$3)),4),'DONNÉES BRUTES'!AB$3:AB$42*1000+(40-ROW('DONNÉES BRUTES'!AB$3:AB$42)+ROW('DONNÉES BRUTES'!AB$3)),0)),"—")</f>
        <v>ERF.PA</v>
      </c>
      <c r="D11" s="45" t="str" cm="1">
        <f t="array" ref="D11">IFERROR(LEFT(INDEX('DONNÉES BRUTES'!B$3:B$42,MATCH(_xlfn.AGGREGATE(14,6,'DONNÉES BRUTES'!AB$3:AB$42*1000+(40-ROW('DONNÉES BRUTES'!AB$3:AB$42)+ROW('DONNÉES BRUTES'!AB$3)),4),'DONNÉES BRUTES'!AB$3:AB$42*1000+(40-ROW('DONNÉES BRUTES'!AB$3:AB$42)+ROW('DONNÉES BRUTES'!AB$3)),0)),18),"—")</f>
        <v>Eurofins Scientifi</v>
      </c>
      <c r="E11" s="44" t="str" cm="1">
        <f t="array" ref="E11">IFERROR(INT(_xlfn.AGGREGATE(14,6,'DONNÉES BRUTES'!AB$3:AB$42*1000+(40-ROW('DONNÉES BRUTES'!AB$3:AB$42)+ROW('DONNÉES BRUTES'!AB$3)),4)/1000)&amp;"/100","—")</f>
        <v>72/100</v>
      </c>
      <c r="F11" s="46" t="str" cm="1">
        <f t="array" ref="F11">IFERROR(INDEX('DONNÉES BRUTES'!I$3:I$42,MATCH(_xlfn.AGGREGATE(14,6,'DONNÉES BRUTES'!AB$3:AB$42*1000+(40-ROW('DONNÉES BRUTES'!AB$3:AB$42)+ROW('DONNÉES BRUTES'!AB$3)),4),'DONNÉES BRUTES'!AB$3:AB$42*1000+(40-ROW('DONNÉES BRUTES'!AB$3:AB$42)+ROW('DONNÉES BRUTES'!AB$3)),0)),"—")</f>
        <v>—</v>
      </c>
      <c r="H11" s="43">
        <v>4</v>
      </c>
      <c r="I11" s="44" t="str" cm="1">
        <f t="array" ref="I11">IFERROR(INDEX('DONNÉES BRUTES'!A$3:A$42,MATCH(_xlfn.AGGREGATE(14,6,'DONNÉES BRUTES'!Y$3:Y$42*1000+(40-ROW('DONNÉES BRUTES'!Y$3:Y$42)+ROW('DONNÉES BRUTES'!Y$3)),4),'DONNÉES BRUTES'!Y$3:Y$42*1000+(40-ROW('DONNÉES BRUTES'!Y$3:Y$42)+ROW('DONNÉES BRUTES'!Y$3)),0)),"—")</f>
        <v>URW.PA</v>
      </c>
      <c r="J11" s="45" t="str" cm="1">
        <f t="array" ref="J11">IFERROR(LEFT(INDEX('DONNÉES BRUTES'!B$3:B$42,MATCH(_xlfn.AGGREGATE(14,6,'DONNÉES BRUTES'!Y$3:Y$42*1000+(40-ROW('DONNÉES BRUTES'!Y$3:Y$42)+ROW('DONNÉES BRUTES'!Y$3)),4),'DONNÉES BRUTES'!Y$3:Y$42*1000+(40-ROW('DONNÉES BRUTES'!Y$3:Y$42)+ROW('DONNÉES BRUTES'!Y$3)),0)),18),"—")</f>
        <v>Unibail-Rodamco-We</v>
      </c>
      <c r="K11" s="64" t="str" cm="1">
        <f t="array" ref="K11">IFERROR(INT(_xlfn.AGGREGATE(14,6,'DONNÉES BRUTES'!Y$3:Y$42*1000+(40-ROW('DONNÉES BRUTES'!Y$3:Y$42)+ROW('DONNÉES BRUTES'!Y$3)),4)/1000)&amp;"/100","—")</f>
        <v>92/100</v>
      </c>
      <c r="L11" s="66" t="str" cm="1">
        <f t="array" ref="L11">IFERROR(INDEX('DONNÉES BRUTES'!P$3:P$42,MATCH(_xlfn.AGGREGATE(14,6,'DONNÉES BRUTES'!Y$3:Y$42*1000+(40-ROW('DONNÉES BRUTES'!Y$3:Y$42)+ROW('DONNÉES BRUTES'!Y$3)),4),'DONNÉES BRUTES'!Y$3:Y$42*1000+(40-ROW('DONNÉES BRUTES'!Y$3:Y$42)+ROW('DONNÉES BRUTES'!Y$3)),0)),"—")</f>
        <v>-6.1%</v>
      </c>
      <c r="N11" s="43">
        <v>4</v>
      </c>
      <c r="O11" s="44" t="str" cm="1">
        <f t="array" ref="O11">IFERROR(INDEX('DONNÉES BRUTES'!A$3:A$42,MATCH(_xlfn.AGGREGATE(14,6,'DONNÉES BRUTES'!Z$3:Z$42*1000+(40-ROW('DONNÉES BRUTES'!Z$3:Z$42)+ROW('DONNÉES BRUTES'!Z$3)),4),'DONNÉES BRUTES'!Z$3:Z$42*1000+(40-ROW('DONNÉES BRUTES'!Z$3:Z$42)+ROW('DONNÉES BRUTES'!Z$3)),0)),"—")</f>
        <v>ACA.PA</v>
      </c>
      <c r="P11" s="45" t="str" cm="1">
        <f t="array" ref="P11">IFERROR(LEFT(INDEX('DONNÉES BRUTES'!B$3:B$42,MATCH(_xlfn.AGGREGATE(14,6,'DONNÉES BRUTES'!Z$3:Z$42*1000+(40-ROW('DONNÉES BRUTES'!Z$3:Z$42)+ROW('DONNÉES BRUTES'!Z$3)),4),'DONNÉES BRUTES'!Z$3:Z$42*1000+(40-ROW('DONNÉES BRUTES'!Z$3:Z$42)+ROW('DONNÉES BRUTES'!Z$3)),0)),18),"—")</f>
        <v>Crédit Agricole S.</v>
      </c>
      <c r="Q11" s="68" t="str" cm="1">
        <f t="array" ref="Q11">IFERROR(INT(_xlfn.AGGREGATE(14,6,'DONNÉES BRUTES'!Z$3:Z$42*1000+(40-ROW('DONNÉES BRUTES'!Z$3:Z$42)+ROW('DONNÉES BRUTES'!Z$3)),4)/1000)&amp;"/100","—")</f>
        <v>92/100</v>
      </c>
      <c r="R11" s="46" t="str" cm="1">
        <f t="array" ref="R11">IFERROR(INDEX('DONNÉES BRUTES'!U$3:U$42,MATCH(_xlfn.AGGREGATE(14,6,'DONNÉES BRUTES'!Z$3:Z$42*1000+(40-ROW('DONNÉES BRUTES'!Z$3:Z$42)+ROW('DONNÉES BRUTES'!Z$3)),4),'DONNÉES BRUTES'!Z$3:Z$42*1000+(40-ROW('DONNÉES BRUTES'!Z$3:Z$42)+ROW('DONNÉES BRUTES'!Z$3)),0)),"—")</f>
        <v>—</v>
      </c>
      <c r="T11" s="43">
        <v>4</v>
      </c>
      <c r="U11" s="44" t="str" cm="1">
        <f t="array" ref="U11">IFERROR(INDEX('DONNÉES BRUTES'!A$3:A$42,MATCH(_xlfn.AGGREGATE(14,6,'DONNÉES BRUTES'!AA$3:AA$42*1000+(40-ROW('DONNÉES BRUTES'!AA$3:AA$42)+ROW('DONNÉES BRUTES'!AA$3)),4),'DONNÉES BRUTES'!AA$3:AA$42*1000+(40-ROW('DONNÉES BRUTES'!AA$3:AA$42)+ROW('DONNÉES BRUTES'!AA$3)),0)),"—")</f>
        <v>CS.PA</v>
      </c>
      <c r="V11" s="45" t="str" cm="1">
        <f t="array" ref="V11">IFERROR(LEFT(INDEX('DONNÉES BRUTES'!B$3:B$42,MATCH(_xlfn.AGGREGATE(14,6,'DONNÉES BRUTES'!AA$3:AA$42*1000+(40-ROW('DONNÉES BRUTES'!AA$3:AA$42)+ROW('DONNÉES BRUTES'!AA$3)),4),'DONNÉES BRUTES'!AA$3:AA$42*1000+(40-ROW('DONNÉES BRUTES'!AA$3:AA$42)+ROW('DONNÉES BRUTES'!AA$3)),0)),18),"—")</f>
        <v>AXA SA</v>
      </c>
      <c r="W11" s="70" t="str" cm="1">
        <f t="array" ref="W11">IFERROR(INT(_xlfn.AGGREGATE(14,6,'DONNÉES BRUTES'!AA$3:AA$42*1000+(40-ROW('DONNÉES BRUTES'!AA$3:AA$42)+ROW('DONNÉES BRUTES'!AA$3)),4)/1000)&amp;"/100","—")</f>
        <v>92/100</v>
      </c>
      <c r="X11" s="46" t="str" cm="1">
        <f t="array" ref="X11">IFERROR(INDEX('DONNÉES BRUTES'!P$3:P$42,MATCH(_xlfn.AGGREGATE(14,6,'DONNÉES BRUTES'!AA$3:AA$42*1000+(40-ROW('DONNÉES BRUTES'!AA$3:AA$42)+ROW('DONNÉES BRUTES'!AA$3)),4),'DONNÉES BRUTES'!AA$3:AA$42*1000+(40-ROW('DONNÉES BRUTES'!AA$3:AA$42)+ROW('DONNÉES BRUTES'!AA$3)),0)),"—")</f>
        <v>+5.7%</v>
      </c>
    </row>
    <row r="12" spans="1:24" ht="15.95" customHeight="1" x14ac:dyDescent="0.25">
      <c r="B12" s="39">
        <v>5</v>
      </c>
      <c r="C12" s="40" t="str" cm="1">
        <f t="array" ref="C12">IFERROR(INDEX('DONNÉES BRUTES'!A$3:A$42,MATCH(_xlfn.AGGREGATE(14,6,'DONNÉES BRUTES'!AB$3:AB$42*1000+(40-ROW('DONNÉES BRUTES'!AB$3:AB$42)+ROW('DONNÉES BRUTES'!AB$3)),5),'DONNÉES BRUTES'!AB$3:AB$42*1000+(40-ROW('DONNÉES BRUTES'!AB$3:AB$42)+ROW('DONNÉES BRUTES'!AB$3)),0)),"—")</f>
        <v>SAN.PA</v>
      </c>
      <c r="D12" s="41" t="str" cm="1">
        <f t="array" ref="D12">IFERROR(LEFT(INDEX('DONNÉES BRUTES'!B$3:B$42,MATCH(_xlfn.AGGREGATE(14,6,'DONNÉES BRUTES'!AB$3:AB$42*1000+(40-ROW('DONNÉES BRUTES'!AB$3:AB$42)+ROW('DONNÉES BRUTES'!AB$3)),5),'DONNÉES BRUTES'!AB$3:AB$42*1000+(40-ROW('DONNÉES BRUTES'!AB$3:AB$42)+ROW('DONNÉES BRUTES'!AB$3)),0)),18),"—")</f>
        <v>Sanofi</v>
      </c>
      <c r="E12" s="40" t="str" cm="1">
        <f t="array" ref="E12">IFERROR(INT(_xlfn.AGGREGATE(14,6,'DONNÉES BRUTES'!AB$3:AB$42*1000+(40-ROW('DONNÉES BRUTES'!AB$3:AB$42)+ROW('DONNÉES BRUTES'!AB$3)),5)/1000)&amp;"/100","—")</f>
        <v>72/100</v>
      </c>
      <c r="F12" s="42" t="str" cm="1">
        <f t="array" ref="F12">IFERROR(INDEX('DONNÉES BRUTES'!I$3:I$42,MATCH(_xlfn.AGGREGATE(14,6,'DONNÉES BRUTES'!AB$3:AB$42*1000+(40-ROW('DONNÉES BRUTES'!AB$3:AB$42)+ROW('DONNÉES BRUTES'!AB$3)),5),'DONNÉES BRUTES'!AB$3:AB$42*1000+(40-ROW('DONNÉES BRUTES'!AB$3:AB$42)+ROW('DONNÉES BRUTES'!AB$3)),0)),"—")</f>
        <v>—</v>
      </c>
      <c r="H12" s="39">
        <v>5</v>
      </c>
      <c r="I12" s="40" t="str" cm="1">
        <f t="array" ref="I12">IFERROR(INDEX('DONNÉES BRUTES'!A$3:A$42,MATCH(_xlfn.AGGREGATE(14,6,'DONNÉES BRUTES'!Y$3:Y$42*1000+(40-ROW('DONNÉES BRUTES'!Y$3:Y$42)+ROW('DONNÉES BRUTES'!Y$3)),5),'DONNÉES BRUTES'!Y$3:Y$42*1000+(40-ROW('DONNÉES BRUTES'!Y$3:Y$42)+ROW('DONNÉES BRUTES'!Y$3)),0)),"—")</f>
        <v>HO.PA</v>
      </c>
      <c r="J12" s="41" t="str" cm="1">
        <f t="array" ref="J12">IFERROR(LEFT(INDEX('DONNÉES BRUTES'!B$3:B$42,MATCH(_xlfn.AGGREGATE(14,6,'DONNÉES BRUTES'!Y$3:Y$42*1000+(40-ROW('DONNÉES BRUTES'!Y$3:Y$42)+ROW('DONNÉES BRUTES'!Y$3)),5),'DONNÉES BRUTES'!Y$3:Y$42*1000+(40-ROW('DONNÉES BRUTES'!Y$3:Y$42)+ROW('DONNÉES BRUTES'!Y$3)),0)),18),"—")</f>
        <v>Thales S.A.</v>
      </c>
      <c r="K12" s="62" t="str" cm="1">
        <f t="array" ref="K12">IFERROR(INT(_xlfn.AGGREGATE(14,6,'DONNÉES BRUTES'!Y$3:Y$42*1000+(40-ROW('DONNÉES BRUTES'!Y$3:Y$42)+ROW('DONNÉES BRUTES'!Y$3)),5)/1000)&amp;"/100","—")</f>
        <v>89/100</v>
      </c>
      <c r="L12" s="63" t="str" cm="1">
        <f t="array" ref="L12">IFERROR(INDEX('DONNÉES BRUTES'!P$3:P$42,MATCH(_xlfn.AGGREGATE(14,6,'DONNÉES BRUTES'!Y$3:Y$42*1000+(40-ROW('DONNÉES BRUTES'!Y$3:Y$42)+ROW('DONNÉES BRUTES'!Y$3)),5),'DONNÉES BRUTES'!Y$3:Y$42*1000+(40-ROW('DONNÉES BRUTES'!Y$3:Y$42)+ROW('DONNÉES BRUTES'!Y$3)),0)),"—")</f>
        <v>+7.6%</v>
      </c>
      <c r="N12" s="39">
        <v>5</v>
      </c>
      <c r="O12" s="40" t="str" cm="1">
        <f t="array" ref="O12">IFERROR(INDEX('DONNÉES BRUTES'!A$3:A$42,MATCH(_xlfn.AGGREGATE(14,6,'DONNÉES BRUTES'!Z$3:Z$42*1000+(40-ROW('DONNÉES BRUTES'!Z$3:Z$42)+ROW('DONNÉES BRUTES'!Z$3)),5),'DONNÉES BRUTES'!Z$3:Z$42*1000+(40-ROW('DONNÉES BRUTES'!Z$3:Z$42)+ROW('DONNÉES BRUTES'!Z$3)),0)),"—")</f>
        <v>RMS.PA</v>
      </c>
      <c r="P12" s="41" t="str" cm="1">
        <f t="array" ref="P12">IFERROR(LEFT(INDEX('DONNÉES BRUTES'!B$3:B$42,MATCH(_xlfn.AGGREGATE(14,6,'DONNÉES BRUTES'!Z$3:Z$42*1000+(40-ROW('DONNÉES BRUTES'!Z$3:Z$42)+ROW('DONNÉES BRUTES'!Z$3)),5),'DONNÉES BRUTES'!Z$3:Z$42*1000+(40-ROW('DONNÉES BRUTES'!Z$3:Z$42)+ROW('DONNÉES BRUTES'!Z$3)),0)),18),"—")</f>
        <v>Hermès Internation</v>
      </c>
      <c r="Q12" s="67" t="str" cm="1">
        <f t="array" ref="Q12">IFERROR(INT(_xlfn.AGGREGATE(14,6,'DONNÉES BRUTES'!Z$3:Z$42*1000+(40-ROW('DONNÉES BRUTES'!Z$3:Z$42)+ROW('DONNÉES BRUTES'!Z$3)),5)/1000)&amp;"/100","—")</f>
        <v>90/100</v>
      </c>
      <c r="R12" s="42" t="str" cm="1">
        <f t="array" ref="R12">IFERROR(INDEX('DONNÉES BRUTES'!U$3:U$42,MATCH(_xlfn.AGGREGATE(14,6,'DONNÉES BRUTES'!Z$3:Z$42*1000+(40-ROW('DONNÉES BRUTES'!Z$3:Z$42)+ROW('DONNÉES BRUTES'!Z$3)),5),'DONNÉES BRUTES'!Z$3:Z$42*1000+(40-ROW('DONNÉES BRUTES'!Z$3:Z$42)+ROW('DONNÉES BRUTES'!Z$3)),0)),"—")</f>
        <v>9.47</v>
      </c>
      <c r="T12" s="39">
        <v>5</v>
      </c>
      <c r="U12" s="40" t="str" cm="1">
        <f t="array" ref="U12">IFERROR(INDEX('DONNÉES BRUTES'!A$3:A$42,MATCH(_xlfn.AGGREGATE(14,6,'DONNÉES BRUTES'!AA$3:AA$42*1000+(40-ROW('DONNÉES BRUTES'!AA$3:AA$42)+ROW('DONNÉES BRUTES'!AA$3)),5),'DONNÉES BRUTES'!AA$3:AA$42*1000+(40-ROW('DONNÉES BRUTES'!AA$3:AA$42)+ROW('DONNÉES BRUTES'!AA$3)),0)),"—")</f>
        <v>AI.PA</v>
      </c>
      <c r="V12" s="41" t="str" cm="1">
        <f t="array" ref="V12">IFERROR(LEFT(INDEX('DONNÉES BRUTES'!B$3:B$42,MATCH(_xlfn.AGGREGATE(14,6,'DONNÉES BRUTES'!AA$3:AA$42*1000+(40-ROW('DONNÉES BRUTES'!AA$3:AA$42)+ROW('DONNÉES BRUTES'!AA$3)),5),'DONNÉES BRUTES'!AA$3:AA$42*1000+(40-ROW('DONNÉES BRUTES'!AA$3:AA$42)+ROW('DONNÉES BRUTES'!AA$3)),0)),18),"—")</f>
        <v>L'Air Liquide S.A.</v>
      </c>
      <c r="W12" s="69" t="str" cm="1">
        <f t="array" ref="W12">IFERROR(INT(_xlfn.AGGREGATE(14,6,'DONNÉES BRUTES'!AA$3:AA$42*1000+(40-ROW('DONNÉES BRUTES'!AA$3:AA$42)+ROW('DONNÉES BRUTES'!AA$3)),5)/1000)&amp;"/100","—")</f>
        <v>90/100</v>
      </c>
      <c r="X12" s="42" t="str" cm="1">
        <f t="array" ref="X12">IFERROR(INDEX('DONNÉES BRUTES'!P$3:P$42,MATCH(_xlfn.AGGREGATE(14,6,'DONNÉES BRUTES'!AA$3:AA$42*1000+(40-ROW('DONNÉES BRUTES'!AA$3:AA$42)+ROW('DONNÉES BRUTES'!AA$3)),5),'DONNÉES BRUTES'!AA$3:AA$42*1000+(40-ROW('DONNÉES BRUTES'!AA$3:AA$42)+ROW('DONNÉES BRUTES'!AA$3)),0)),"—")</f>
        <v>-0.4%</v>
      </c>
    </row>
    <row r="13" spans="1:24" ht="8.1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spans="1:24" ht="20.100000000000001" customHeight="1" x14ac:dyDescent="0.25">
      <c r="A14" s="59"/>
      <c r="B14" s="59" t="s">
        <v>564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spans="1:24" ht="18" customHeight="1" thickBot="1" x14ac:dyDescent="0.3">
      <c r="A15" s="71"/>
      <c r="B15" s="72" t="s">
        <v>41</v>
      </c>
      <c r="C15" s="73" t="s">
        <v>3</v>
      </c>
      <c r="D15" s="74" t="s">
        <v>4</v>
      </c>
      <c r="E15" s="74" t="s">
        <v>42</v>
      </c>
      <c r="F15" s="73" t="s">
        <v>5</v>
      </c>
      <c r="G15" s="75"/>
      <c r="H15" s="73" t="s">
        <v>43</v>
      </c>
      <c r="I15" s="73" t="s">
        <v>44</v>
      </c>
      <c r="J15" s="73" t="s">
        <v>45</v>
      </c>
      <c r="K15" s="73" t="s">
        <v>565</v>
      </c>
      <c r="L15" s="73" t="s">
        <v>566</v>
      </c>
      <c r="M15" s="75"/>
      <c r="N15" s="73" t="s">
        <v>49</v>
      </c>
      <c r="O15" s="75"/>
      <c r="P15" s="75"/>
      <c r="Q15" s="75"/>
      <c r="R15" s="76" t="s">
        <v>50</v>
      </c>
      <c r="S15" s="71"/>
      <c r="T15" s="71"/>
      <c r="U15" s="71"/>
      <c r="V15" s="71"/>
      <c r="W15" s="71"/>
      <c r="X15" s="71"/>
    </row>
    <row r="16" spans="1:24" ht="15.95" customHeight="1" thickBot="1" x14ac:dyDescent="0.3">
      <c r="A16" s="32"/>
      <c r="B16" s="77">
        <v>1</v>
      </c>
      <c r="C16" s="78" t="str" cm="1">
        <f t="array" ref="C16">IFERROR(INDEX('DONNÉES BRUTES'!A$3:A$42,MATCH(_xlfn.AGGREGATE(14,6,'DONNÉES BRUTES'!AB$3:AB$42*1000+(40-ROW('DONNÉES BRUTES'!AB$3:AB$42)+ROW('DONNÉES BRUTES'!AB$3)),1),'DONNÉES BRUTES'!AB$3:AB$42*1000+(40-ROW('DONNÉES BRUTES'!AB$3:AB$42)+ROW('DONNÉES BRUTES'!AB$3)),0)),"—")</f>
        <v>RMS.PA</v>
      </c>
      <c r="D16" s="79" t="str" cm="1">
        <f t="array" ref="D16">IFERROR(LEFT(IFERROR(INDEX('DONNÉES BRUTES'!B$3:B$42,MATCH(_xlfn.AGGREGATE(14,6,'DONNÉES BRUTES'!AB$3:AB$42*1000+(40-ROW('DONNÉES BRUTES'!AB$3:AB$42)+ROW('DONNÉES BRUTES'!AB$3)),1),'DONNÉES BRUTES'!AB$3:AB$42*1000+(40-ROW('DONNÉES BRUTES'!AB$3:AB$42)+ROW('DONNÉES BRUTES'!AB$3)),0)),"—"),18),"—")</f>
        <v>Hermès Internation</v>
      </c>
      <c r="E16" s="79" t="str" cm="1">
        <f t="array" ref="E16">IFERROR(INDEX('DONNÉES BRUTES'!C$3:C$42,MATCH(_xlfn.AGGREGATE(14,6,'DONNÉES BRUTES'!AB$3:AB$42*1000+(40-ROW('DONNÉES BRUTES'!AB$3:AB$42)+ROW('DONNÉES BRUTES'!AB$3)),1),'DONNÉES BRUTES'!AB$3:AB$42*1000+(40-ROW('DONNÉES BRUTES'!AB$3:AB$42)+ROW('DONNÉES BRUTES'!AB$3)),0)),"—")</f>
        <v>Consumer Disc.</v>
      </c>
      <c r="F16" s="80" t="str" cm="1">
        <f t="array" ref="F16">IFERROR(INT(_xlfn.AGGREGATE(14,6,'DONNÉES BRUTES'!AB$3:AB$42*1000+(40-ROW('DONNÉES BRUTES'!AB$3:AB$42)+ROW('DONNÉES BRUTES'!AB$3)),1)/1000)&amp;"/100","—")</f>
        <v>75/100</v>
      </c>
      <c r="G16" s="78"/>
      <c r="H16" s="78" cm="1">
        <f t="array" ref="H16">IFERROR(INDEX('DONNÉES BRUTES'!Y$3:Y$42,MATCH(_xlfn.AGGREGATE(14,6,'DONNÉES BRUTES'!AB$3:AB$42*1000+(40-ROW('DONNÉES BRUTES'!AB$3:AB$42)+ROW('DONNÉES BRUTES'!AB$3)),1),'DONNÉES BRUTES'!AB$3:AB$42*1000+(40-ROW('DONNÉES BRUTES'!AB$3:AB$42)+ROW('DONNÉES BRUTES'!AB$3)),0)),"—")</f>
        <v>74</v>
      </c>
      <c r="I16" s="78" cm="1">
        <f t="array" ref="I16">IFERROR(INDEX('DONNÉES BRUTES'!Z$3:Z$42,MATCH(_xlfn.AGGREGATE(14,6,'DONNÉES BRUTES'!AB$3:AB$42*1000+(40-ROW('DONNÉES BRUTES'!AB$3:AB$42)+ROW('DONNÉES BRUTES'!AB$3)),1),'DONNÉES BRUTES'!AB$3:AB$42*1000+(40-ROW('DONNÉES BRUTES'!AB$3:AB$42)+ROW('DONNÉES BRUTES'!AB$3)),0)),"—")</f>
        <v>90</v>
      </c>
      <c r="J16" s="78" cm="1">
        <f t="array" ref="J16">IFERROR(INDEX('DONNÉES BRUTES'!AA$3:AA$42,MATCH(_xlfn.AGGREGATE(14,6,'DONNÉES BRUTES'!AB$3:AB$42*1000+(40-ROW('DONNÉES BRUTES'!AB$3:AB$42)+ROW('DONNÉES BRUTES'!AB$3)),1),'DONNÉES BRUTES'!AB$3:AB$42*1000+(40-ROW('DONNÉES BRUTES'!AB$3:AB$42)+ROW('DONNÉES BRUTES'!AB$3)),0)),"—")</f>
        <v>62</v>
      </c>
      <c r="K16" s="81" t="str" cm="1">
        <f t="array" ref="K16">IFERROR(INDEX('DONNÉES BRUTES'!N$3:N$42,MATCH(_xlfn.AGGREGATE(14,6,'DONNÉES BRUTES'!AB$3:AB$42*1000+(40-ROW('DONNÉES BRUTES'!AB$3:AB$42)+ROW('DONNÉES BRUTES'!AB$3)),1),'DONNÉES BRUTES'!AB$3:AB$42*1000+(40-ROW('DONNÉES BRUTES'!AB$3:AB$42)+ROW('DONNÉES BRUTES'!AB$3)),0)),"—")</f>
        <v>46.8%</v>
      </c>
      <c r="L16" s="82" t="str" cm="1">
        <f t="array" ref="L16">IFERROR(INDEX('DONNÉES BRUTES'!P$3:P$42,MATCH(_xlfn.AGGREGATE(14,6,'DONNÉES BRUTES'!AB$3:AB$42*1000+(40-ROW('DONNÉES BRUTES'!AB$3:AB$42)+ROW('DONNÉES BRUTES'!AB$3)),1),'DONNÉES BRUTES'!AB$3:AB$42*1000+(40-ROW('DONNÉES BRUTES'!AB$3:AB$42)+ROW('DONNÉES BRUTES'!AB$3)),0)),"—")</f>
        <v>+5.5%</v>
      </c>
      <c r="M16" s="78"/>
      <c r="N16" s="78" t="str" cm="1">
        <f t="array" ref="N16">IFERROR(INDEX('DONNÉES BRUTES'!AC$3:AC$42,MATCH(_xlfn.AGGREGATE(14,6,'DONNÉES BRUTES'!AB$3:AB$42*1000+(40-ROW('DONNÉES BRUTES'!AB$3:AB$42)+ROW('DONNÉES BRUTES'!AB$3)),1),'DONNÉES BRUTES'!AB$3:AB$42*1000+(40-ROW('DONNÉES BRUTES'!AB$3:AB$42)+ROW('DONNÉES BRUTES'!AB$3)),0)),"—")</f>
        <v>—</v>
      </c>
      <c r="O16" s="78"/>
      <c r="P16" s="78"/>
      <c r="Q16" s="78"/>
      <c r="R16" s="83" t="str" cm="1">
        <f t="array" ref="R16">IFERROR(INDEX('DONNÉES BRUTES'!AD$3:AD$42,MATCH(_xlfn.AGGREGATE(14,6,'DONNÉES BRUTES'!AB$3:AB$42*1000+(40-ROW('DONNÉES BRUTES'!AB$3:AB$42)+ROW('DONNÉES BRUTES'!AB$3)),1),'DONNÉES BRUTES'!AB$3:AB$42*1000+(40-ROW('DONNÉES BRUTES'!AB$3:AB$42)+ROW('DONNÉES BRUTES'!AB$3)),0)),"—")</f>
        <v>Surpondérer</v>
      </c>
      <c r="S16" s="32"/>
      <c r="T16" s="32"/>
      <c r="U16" s="32"/>
      <c r="V16" s="32"/>
      <c r="W16" s="32"/>
      <c r="X16" s="32"/>
    </row>
    <row r="17" spans="1:24" ht="15.95" customHeight="1" thickBot="1" x14ac:dyDescent="0.3">
      <c r="A17" s="33"/>
      <c r="B17" s="84">
        <v>2</v>
      </c>
      <c r="C17" s="85" t="str" cm="1">
        <f t="array" ref="C17">IFERROR(INDEX('DONNÉES BRUTES'!A$3:A$42,MATCH(_xlfn.AGGREGATE(14,6,'DONNÉES BRUTES'!AB$3:AB$42*1000+(40-ROW('DONNÉES BRUTES'!AB$3:AB$42)+ROW('DONNÉES BRUTES'!AB$3)),2),'DONNÉES BRUTES'!AB$3:AB$42*1000+(40-ROW('DONNÉES BRUTES'!AB$3:AB$42)+ROW('DONNÉES BRUTES'!AB$3)),0)),"—")</f>
        <v>AI.PA</v>
      </c>
      <c r="D17" s="86" t="str" cm="1">
        <f t="array" ref="D17">IFERROR(LEFT(IFERROR(INDEX('DONNÉES BRUTES'!B$3:B$42,MATCH(_xlfn.AGGREGATE(14,6,'DONNÉES BRUTES'!AB$3:AB$42*1000+(40-ROW('DONNÉES BRUTES'!AB$3:AB$42)+ROW('DONNÉES BRUTES'!AB$3)),2),'DONNÉES BRUTES'!AB$3:AB$42*1000+(40-ROW('DONNÉES BRUTES'!AB$3:AB$42)+ROW('DONNÉES BRUTES'!AB$3)),0)),"—"),18),"—")</f>
        <v>L'Air Liquide S.A.</v>
      </c>
      <c r="E17" s="86" t="str" cm="1">
        <f t="array" ref="E17">IFERROR(INDEX('DONNÉES BRUTES'!C$3:C$42,MATCH(_xlfn.AGGREGATE(14,6,'DONNÉES BRUTES'!AB$3:AB$42*1000+(40-ROW('DONNÉES BRUTES'!AB$3:AB$42)+ROW('DONNÉES BRUTES'!AB$3)),2),'DONNÉES BRUTES'!AB$3:AB$42*1000+(40-ROW('DONNÉES BRUTES'!AB$3:AB$42)+ROW('DONNÉES BRUTES'!AB$3)),0)),"—")</f>
        <v>Materials</v>
      </c>
      <c r="F17" s="87" t="str" cm="1">
        <f t="array" ref="F17">IFERROR(INT(_xlfn.AGGREGATE(14,6,'DONNÉES BRUTES'!AB$3:AB$42*1000+(40-ROW('DONNÉES BRUTES'!AB$3:AB$42)+ROW('DONNÉES BRUTES'!AB$3)),2)/1000)&amp;"/100","—")</f>
        <v>74/100</v>
      </c>
      <c r="G17" s="85"/>
      <c r="H17" s="85" cm="1">
        <f t="array" ref="H17">IFERROR(INDEX('DONNÉES BRUTES'!Y$3:Y$42,MATCH(_xlfn.AGGREGATE(14,6,'DONNÉES BRUTES'!AB$3:AB$42*1000+(40-ROW('DONNÉES BRUTES'!AB$3:AB$42)+ROW('DONNÉES BRUTES'!AB$3)),2),'DONNÉES BRUTES'!AB$3:AB$42*1000+(40-ROW('DONNÉES BRUTES'!AB$3:AB$42)+ROW('DONNÉES BRUTES'!AB$3)),0)),"—")</f>
        <v>55</v>
      </c>
      <c r="I17" s="85" cm="1">
        <f t="array" ref="I17">IFERROR(INDEX('DONNÉES BRUTES'!Z$3:Z$42,MATCH(_xlfn.AGGREGATE(14,6,'DONNÉES BRUTES'!AB$3:AB$42*1000+(40-ROW('DONNÉES BRUTES'!AB$3:AB$42)+ROW('DONNÉES BRUTES'!AB$3)),2),'DONNÉES BRUTES'!AB$3:AB$42*1000+(40-ROW('DONNÉES BRUTES'!AB$3:AB$42)+ROW('DONNÉES BRUTES'!AB$3)),0)),"—")</f>
        <v>77</v>
      </c>
      <c r="J17" s="85" cm="1">
        <f t="array" ref="J17">IFERROR(INDEX('DONNÉES BRUTES'!AA$3:AA$42,MATCH(_xlfn.AGGREGATE(14,6,'DONNÉES BRUTES'!AB$3:AB$42*1000+(40-ROW('DONNÉES BRUTES'!AB$3:AB$42)+ROW('DONNÉES BRUTES'!AB$3)),2),'DONNÉES BRUTES'!AB$3:AB$42*1000+(40-ROW('DONNÉES BRUTES'!AB$3:AB$42)+ROW('DONNÉES BRUTES'!AB$3)),0)),"—")</f>
        <v>90</v>
      </c>
      <c r="K17" s="88" t="str" cm="1">
        <f t="array" ref="K17">IFERROR(INDEX('DONNÉES BRUTES'!N$3:N$42,MATCH(_xlfn.AGGREGATE(14,6,'DONNÉES BRUTES'!AB$3:AB$42*1000+(40-ROW('DONNÉES BRUTES'!AB$3:AB$42)+ROW('DONNÉES BRUTES'!AB$3)),2),'DONNÉES BRUTES'!AB$3:AB$42*1000+(40-ROW('DONNÉES BRUTES'!AB$3:AB$42)+ROW('DONNÉES BRUTES'!AB$3)),0)),"—")</f>
        <v>27.9%</v>
      </c>
      <c r="L17" s="89" t="str" cm="1">
        <f t="array" ref="L17">IFERROR(INDEX('DONNÉES BRUTES'!P$3:P$42,MATCH(_xlfn.AGGREGATE(14,6,'DONNÉES BRUTES'!AB$3:AB$42*1000+(40-ROW('DONNÉES BRUTES'!AB$3:AB$42)+ROW('DONNÉES BRUTES'!AB$3)),2),'DONNÉES BRUTES'!AB$3:AB$42*1000+(40-ROW('DONNÉES BRUTES'!AB$3:AB$42)+ROW('DONNÉES BRUTES'!AB$3)),0)),"—")</f>
        <v>-0.4%</v>
      </c>
      <c r="M17" s="85"/>
      <c r="N17" s="85" t="str" cm="1">
        <f t="array" ref="N17">IFERROR(INDEX('DONNÉES BRUTES'!AC$3:AC$42,MATCH(_xlfn.AGGREGATE(14,6,'DONNÉES BRUTES'!AB$3:AB$42*1000+(40-ROW('DONNÉES BRUTES'!AB$3:AB$42)+ROW('DONNÉES BRUTES'!AB$3)),2),'DONNÉES BRUTES'!AB$3:AB$42*1000+(40-ROW('DONNÉES BRUTES'!AB$3:AB$42)+ROW('DONNÉES BRUTES'!AB$3)),0)),"—")</f>
        <v>—</v>
      </c>
      <c r="O17" s="85"/>
      <c r="P17" s="85"/>
      <c r="Q17" s="85"/>
      <c r="R17" s="90" t="str" cm="1">
        <f t="array" ref="R17">IFERROR(INDEX('DONNÉES BRUTES'!AD$3:AD$42,MATCH(_xlfn.AGGREGATE(14,6,'DONNÉES BRUTES'!AB$3:AB$42*1000+(40-ROW('DONNÉES BRUTES'!AB$3:AB$42)+ROW('DONNÉES BRUTES'!AB$3)),2),'DONNÉES BRUTES'!AB$3:AB$42*1000+(40-ROW('DONNÉES BRUTES'!AB$3:AB$42)+ROW('DONNÉES BRUTES'!AB$3)),0)),"—")</f>
        <v>Neutre</v>
      </c>
      <c r="S17" s="33"/>
      <c r="T17" s="33"/>
      <c r="U17" s="33"/>
      <c r="V17" s="33"/>
      <c r="W17" s="33"/>
      <c r="X17" s="33"/>
    </row>
    <row r="18" spans="1:24" ht="15.95" customHeight="1" thickBot="1" x14ac:dyDescent="0.3">
      <c r="A18" s="32"/>
      <c r="B18" s="77">
        <v>3</v>
      </c>
      <c r="C18" s="78" t="str" cm="1">
        <f t="array" ref="C18">IFERROR(INDEX('DONNÉES BRUTES'!A$3:A$42,MATCH(_xlfn.AGGREGATE(14,6,'DONNÉES BRUTES'!AB$3:AB$42*1000+(40-ROW('DONNÉES BRUTES'!AB$3:AB$42)+ROW('DONNÉES BRUTES'!AB$3)),3),'DONNÉES BRUTES'!AB$3:AB$42*1000+(40-ROW('DONNÉES BRUTES'!AB$3:AB$42)+ROW('DONNÉES BRUTES'!AB$3)),0)),"—")</f>
        <v>DSY.PA</v>
      </c>
      <c r="D18" s="79" t="str" cm="1">
        <f t="array" ref="D18">IFERROR(LEFT(IFERROR(INDEX('DONNÉES BRUTES'!B$3:B$42,MATCH(_xlfn.AGGREGATE(14,6,'DONNÉES BRUTES'!AB$3:AB$42*1000+(40-ROW('DONNÉES BRUTES'!AB$3:AB$42)+ROW('DONNÉES BRUTES'!AB$3)),3),'DONNÉES BRUTES'!AB$3:AB$42*1000+(40-ROW('DONNÉES BRUTES'!AB$3:AB$42)+ROW('DONNÉES BRUTES'!AB$3)),0)),"—"),18),"—")</f>
        <v xml:space="preserve">Dassault Systèmes </v>
      </c>
      <c r="E18" s="79" t="str" cm="1">
        <f t="array" ref="E18">IFERROR(INDEX('DONNÉES BRUTES'!C$3:C$42,MATCH(_xlfn.AGGREGATE(14,6,'DONNÉES BRUTES'!AB$3:AB$42*1000+(40-ROW('DONNÉES BRUTES'!AB$3:AB$42)+ROW('DONNÉES BRUTES'!AB$3)),3),'DONNÉES BRUTES'!AB$3:AB$42*1000+(40-ROW('DONNÉES BRUTES'!AB$3:AB$42)+ROW('DONNÉES BRUTES'!AB$3)),0)),"—")</f>
        <v>Technology</v>
      </c>
      <c r="F18" s="80" t="str" cm="1">
        <f t="array" ref="F18">IFERROR(INT(_xlfn.AGGREGATE(14,6,'DONNÉES BRUTES'!AB$3:AB$42*1000+(40-ROW('DONNÉES BRUTES'!AB$3:AB$42)+ROW('DONNÉES BRUTES'!AB$3)),3)/1000)&amp;"/100","—")</f>
        <v>72/100</v>
      </c>
      <c r="G18" s="78"/>
      <c r="H18" s="78" cm="1">
        <f t="array" ref="H18">IFERROR(INDEX('DONNÉES BRUTES'!Y$3:Y$42,MATCH(_xlfn.AGGREGATE(14,6,'DONNÉES BRUTES'!AB$3:AB$42*1000+(40-ROW('DONNÉES BRUTES'!AB$3:AB$42)+ROW('DONNÉES BRUTES'!AB$3)),3),'DONNÉES BRUTES'!AB$3:AB$42*1000+(40-ROW('DONNÉES BRUTES'!AB$3:AB$42)+ROW('DONNÉES BRUTES'!AB$3)),0)),"—")</f>
        <v>42</v>
      </c>
      <c r="I18" s="78" cm="1">
        <f t="array" ref="I18">IFERROR(INDEX('DONNÉES BRUTES'!Z$3:Z$42,MATCH(_xlfn.AGGREGATE(14,6,'DONNÉES BRUTES'!AB$3:AB$42*1000+(40-ROW('DONNÉES BRUTES'!AB$3:AB$42)+ROW('DONNÉES BRUTES'!AB$3)),3),'DONNÉES BRUTES'!AB$3:AB$42*1000+(40-ROW('DONNÉES BRUTES'!AB$3:AB$42)+ROW('DONNÉES BRUTES'!AB$3)),0)),"—")</f>
        <v>100</v>
      </c>
      <c r="J18" s="78" cm="1">
        <f t="array" ref="J18">IFERROR(INDEX('DONNÉES BRUTES'!AA$3:AA$42,MATCH(_xlfn.AGGREGATE(14,6,'DONNÉES BRUTES'!AB$3:AB$42*1000+(40-ROW('DONNÉES BRUTES'!AB$3:AB$42)+ROW('DONNÉES BRUTES'!AB$3)),3),'DONNÉES BRUTES'!AB$3:AB$42*1000+(40-ROW('DONNÉES BRUTES'!AB$3:AB$42)+ROW('DONNÉES BRUTES'!AB$3)),0)),"—")</f>
        <v>74</v>
      </c>
      <c r="K18" s="81" t="str" cm="1">
        <f t="array" ref="K18">IFERROR(INDEX('DONNÉES BRUTES'!N$3:N$42,MATCH(_xlfn.AGGREGATE(14,6,'DONNÉES BRUTES'!AB$3:AB$42*1000+(40-ROW('DONNÉES BRUTES'!AB$3:AB$42)+ROW('DONNÉES BRUTES'!AB$3)),3),'DONNÉES BRUTES'!AB$3:AB$42*1000+(40-ROW('DONNÉES BRUTES'!AB$3:AB$42)+ROW('DONNÉES BRUTES'!AB$3)),0)),"—")</f>
        <v>30.4%</v>
      </c>
      <c r="L18" s="82" t="str" cm="1">
        <f t="array" ref="L18">IFERROR(INDEX('DONNÉES BRUTES'!P$3:P$42,MATCH(_xlfn.AGGREGATE(14,6,'DONNÉES BRUTES'!AB$3:AB$42*1000+(40-ROW('DONNÉES BRUTES'!AB$3:AB$42)+ROW('DONNÉES BRUTES'!AB$3)),3),'DONNÉES BRUTES'!AB$3:AB$42*1000+(40-ROW('DONNÉES BRUTES'!AB$3:AB$42)+ROW('DONNÉES BRUTES'!AB$3)),0)),"—")</f>
        <v>+0.4%</v>
      </c>
      <c r="M18" s="78"/>
      <c r="N18" s="91" t="str" cm="1">
        <f t="array" ref="N18">IFERROR(INDEX('DONNÉES BRUTES'!AC$3:AC$42,MATCH(_xlfn.AGGREGATE(14,6,'DONNÉES BRUTES'!AB$3:AB$42*1000+(40-ROW('DONNÉES BRUTES'!AB$3:AB$42)+ROW('DONNÉES BRUTES'!AB$3)),3),'DONNÉES BRUTES'!AB$3:AB$42*1000+(40-ROW('DONNÉES BRUTES'!AB$3:AB$42)+ROW('DONNÉES BRUTES'!AB$3)),0)),"—")</f>
        <v>2026-04-23</v>
      </c>
      <c r="O18" s="78"/>
      <c r="P18" s="78"/>
      <c r="Q18" s="78"/>
      <c r="R18" s="92" t="str" cm="1">
        <f t="array" ref="R18">IFERROR(INDEX('DONNÉES BRUTES'!AD$3:AD$42,MATCH(_xlfn.AGGREGATE(14,6,'DONNÉES BRUTES'!AB$3:AB$42*1000+(40-ROW('DONNÉES BRUTES'!AB$3:AB$42)+ROW('DONNÉES BRUTES'!AB$3)),3),'DONNÉES BRUTES'!AB$3:AB$42*1000+(40-ROW('DONNÉES BRUTES'!AB$3:AB$42)+ROW('DONNÉES BRUTES'!AB$3)),0)),"—")</f>
        <v>Neutre</v>
      </c>
      <c r="S18" s="32"/>
      <c r="T18" s="32"/>
      <c r="U18" s="32"/>
      <c r="V18" s="32"/>
      <c r="W18" s="32"/>
      <c r="X18" s="32"/>
    </row>
    <row r="19" spans="1:24" ht="15.95" customHeight="1" thickBot="1" x14ac:dyDescent="0.3">
      <c r="A19" s="33"/>
      <c r="B19" s="84">
        <v>4</v>
      </c>
      <c r="C19" s="85" t="str" cm="1">
        <f t="array" ref="C19">IFERROR(INDEX('DONNÉES BRUTES'!A$3:A$42,MATCH(_xlfn.AGGREGATE(14,6,'DONNÉES BRUTES'!AB$3:AB$42*1000+(40-ROW('DONNÉES BRUTES'!AB$3:AB$42)+ROW('DONNÉES BRUTES'!AB$3)),4),'DONNÉES BRUTES'!AB$3:AB$42*1000+(40-ROW('DONNÉES BRUTES'!AB$3:AB$42)+ROW('DONNÉES BRUTES'!AB$3)),0)),"—")</f>
        <v>ERF.PA</v>
      </c>
      <c r="D19" s="86" t="str" cm="1">
        <f t="array" ref="D19">IFERROR(LEFT(IFERROR(INDEX('DONNÉES BRUTES'!B$3:B$42,MATCH(_xlfn.AGGREGATE(14,6,'DONNÉES BRUTES'!AB$3:AB$42*1000+(40-ROW('DONNÉES BRUTES'!AB$3:AB$42)+ROW('DONNÉES BRUTES'!AB$3)),4),'DONNÉES BRUTES'!AB$3:AB$42*1000+(40-ROW('DONNÉES BRUTES'!AB$3:AB$42)+ROW('DONNÉES BRUTES'!AB$3)),0)),"—"),18),"—")</f>
        <v>Eurofins Scientifi</v>
      </c>
      <c r="E19" s="86" t="str" cm="1">
        <f t="array" ref="E19">IFERROR(INDEX('DONNÉES BRUTES'!C$3:C$42,MATCH(_xlfn.AGGREGATE(14,6,'DONNÉES BRUTES'!AB$3:AB$42*1000+(40-ROW('DONNÉES BRUTES'!AB$3:AB$42)+ROW('DONNÉES BRUTES'!AB$3)),4),'DONNÉES BRUTES'!AB$3:AB$42*1000+(40-ROW('DONNÉES BRUTES'!AB$3:AB$42)+ROW('DONNÉES BRUTES'!AB$3)),0)),"—")</f>
        <v>Healthcare</v>
      </c>
      <c r="F19" s="87" t="str" cm="1">
        <f t="array" ref="F19">IFERROR(INT(_xlfn.AGGREGATE(14,6,'DONNÉES BRUTES'!AB$3:AB$42*1000+(40-ROW('DONNÉES BRUTES'!AB$3:AB$42)+ROW('DONNÉES BRUTES'!AB$3)),4)/1000)&amp;"/100","—")</f>
        <v>72/100</v>
      </c>
      <c r="G19" s="85"/>
      <c r="H19" s="85" cm="1">
        <f t="array" ref="H19">IFERROR(INDEX('DONNÉES BRUTES'!Y$3:Y$42,MATCH(_xlfn.AGGREGATE(14,6,'DONNÉES BRUTES'!AB$3:AB$42*1000+(40-ROW('DONNÉES BRUTES'!AB$3:AB$42)+ROW('DONNÉES BRUTES'!AB$3)),4),'DONNÉES BRUTES'!AB$3:AB$42*1000+(40-ROW('DONNÉES BRUTES'!AB$3:AB$42)+ROW('DONNÉES BRUTES'!AB$3)),0)),"—")</f>
        <v>76</v>
      </c>
      <c r="I19" s="85" cm="1">
        <f t="array" ref="I19">IFERROR(INDEX('DONNÉES BRUTES'!Z$3:Z$42,MATCH(_xlfn.AGGREGATE(14,6,'DONNÉES BRUTES'!AB$3:AB$42*1000+(40-ROW('DONNÉES BRUTES'!AB$3:AB$42)+ROW('DONNÉES BRUTES'!AB$3)),4),'DONNÉES BRUTES'!AB$3:AB$42*1000+(40-ROW('DONNÉES BRUTES'!AB$3:AB$42)+ROW('DONNÉES BRUTES'!AB$3)),0)),"—")</f>
        <v>72</v>
      </c>
      <c r="J19" s="85" cm="1">
        <f t="array" ref="J19">IFERROR(INDEX('DONNÉES BRUTES'!AA$3:AA$42,MATCH(_xlfn.AGGREGATE(14,6,'DONNÉES BRUTES'!AB$3:AB$42*1000+(40-ROW('DONNÉES BRUTES'!AB$3:AB$42)+ROW('DONNÉES BRUTES'!AB$3)),4),'DONNÉES BRUTES'!AB$3:AB$42*1000+(40-ROW('DONNÉES BRUTES'!AB$3:AB$42)+ROW('DONNÉES BRUTES'!AB$3)),0)),"—")</f>
        <v>67</v>
      </c>
      <c r="K19" s="88" t="str" cm="1">
        <f t="array" ref="K19">IFERROR(INDEX('DONNÉES BRUTES'!N$3:N$42,MATCH(_xlfn.AGGREGATE(14,6,'DONNÉES BRUTES'!AB$3:AB$42*1000+(40-ROW('DONNÉES BRUTES'!AB$3:AB$42)+ROW('DONNÉES BRUTES'!AB$3)),4),'DONNÉES BRUTES'!AB$3:AB$42*1000+(40-ROW('DONNÉES BRUTES'!AB$3:AB$42)+ROW('DONNÉES BRUTES'!AB$3)),0)),"—")</f>
        <v>21.0%</v>
      </c>
      <c r="L19" s="93" t="str" cm="1">
        <f t="array" ref="L19">IFERROR(INDEX('DONNÉES BRUTES'!P$3:P$42,MATCH(_xlfn.AGGREGATE(14,6,'DONNÉES BRUTES'!AB$3:AB$42*1000+(40-ROW('DONNÉES BRUTES'!AB$3:AB$42)+ROW('DONNÉES BRUTES'!AB$3)),4),'DONNÉES BRUTES'!AB$3:AB$42*1000+(40-ROW('DONNÉES BRUTES'!AB$3:AB$42)+ROW('DONNÉES BRUTES'!AB$3)),0)),"—")</f>
        <v>+5.0%</v>
      </c>
      <c r="M19" s="85"/>
      <c r="N19" s="85" t="str" cm="1">
        <f t="array" ref="N19">IFERROR(INDEX('DONNÉES BRUTES'!AC$3:AC$42,MATCH(_xlfn.AGGREGATE(14,6,'DONNÉES BRUTES'!AB$3:AB$42*1000+(40-ROW('DONNÉES BRUTES'!AB$3:AB$42)+ROW('DONNÉES BRUTES'!AB$3)),4),'DONNÉES BRUTES'!AB$3:AB$42*1000+(40-ROW('DONNÉES BRUTES'!AB$3:AB$42)+ROW('DONNÉES BRUTES'!AB$3)),0)),"—")</f>
        <v>—</v>
      </c>
      <c r="O19" s="85"/>
      <c r="P19" s="85"/>
      <c r="Q19" s="85"/>
      <c r="R19" s="90" t="str" cm="1">
        <f t="array" ref="R19">IFERROR(INDEX('DONNÉES BRUTES'!AD$3:AD$42,MATCH(_xlfn.AGGREGATE(14,6,'DONNÉES BRUTES'!AB$3:AB$42*1000+(40-ROW('DONNÉES BRUTES'!AB$3:AB$42)+ROW('DONNÉES BRUTES'!AB$3)),4),'DONNÉES BRUTES'!AB$3:AB$42*1000+(40-ROW('DONNÉES BRUTES'!AB$3:AB$42)+ROW('DONNÉES BRUTES'!AB$3)),0)),"—")</f>
        <v>Neutre</v>
      </c>
      <c r="S19" s="33"/>
      <c r="T19" s="33"/>
      <c r="U19" s="33"/>
      <c r="V19" s="33"/>
      <c r="W19" s="33"/>
      <c r="X19" s="33"/>
    </row>
    <row r="20" spans="1:24" ht="15.95" customHeight="1" thickBot="1" x14ac:dyDescent="0.3">
      <c r="A20" s="32"/>
      <c r="B20" s="77">
        <v>5</v>
      </c>
      <c r="C20" s="78" t="str" cm="1">
        <f t="array" ref="C20">IFERROR(INDEX('DONNÉES BRUTES'!A$3:A$42,MATCH(_xlfn.AGGREGATE(14,6,'DONNÉES BRUTES'!AB$3:AB$42*1000+(40-ROW('DONNÉES BRUTES'!AB$3:AB$42)+ROW('DONNÉES BRUTES'!AB$3)),5),'DONNÉES BRUTES'!AB$3:AB$42*1000+(40-ROW('DONNÉES BRUTES'!AB$3:AB$42)+ROW('DONNÉES BRUTES'!AB$3)),0)),"—")</f>
        <v>SAN.PA</v>
      </c>
      <c r="D20" s="79" t="str" cm="1">
        <f t="array" ref="D20">IFERROR(LEFT(IFERROR(INDEX('DONNÉES BRUTES'!B$3:B$42,MATCH(_xlfn.AGGREGATE(14,6,'DONNÉES BRUTES'!AB$3:AB$42*1000+(40-ROW('DONNÉES BRUTES'!AB$3:AB$42)+ROW('DONNÉES BRUTES'!AB$3)),5),'DONNÉES BRUTES'!AB$3:AB$42*1000+(40-ROW('DONNÉES BRUTES'!AB$3:AB$42)+ROW('DONNÉES BRUTES'!AB$3)),0)),"—"),18),"—")</f>
        <v>Sanofi</v>
      </c>
      <c r="E20" s="79" t="str" cm="1">
        <f t="array" ref="E20">IFERROR(INDEX('DONNÉES BRUTES'!C$3:C$42,MATCH(_xlfn.AGGREGATE(14,6,'DONNÉES BRUTES'!AB$3:AB$42*1000+(40-ROW('DONNÉES BRUTES'!AB$3:AB$42)+ROW('DONNÉES BRUTES'!AB$3)),5),'DONNÉES BRUTES'!AB$3:AB$42*1000+(40-ROW('DONNÉES BRUTES'!AB$3:AB$42)+ROW('DONNÉES BRUTES'!AB$3)),0)),"—")</f>
        <v>Healthcare</v>
      </c>
      <c r="F20" s="80" t="str" cm="1">
        <f t="array" ref="F20">IFERROR(INT(_xlfn.AGGREGATE(14,6,'DONNÉES BRUTES'!AB$3:AB$42*1000+(40-ROW('DONNÉES BRUTES'!AB$3:AB$42)+ROW('DONNÉES BRUTES'!AB$3)),5)/1000)&amp;"/100","—")</f>
        <v>72/100</v>
      </c>
      <c r="G20" s="78"/>
      <c r="H20" s="78" cm="1">
        <f t="array" ref="H20">IFERROR(INDEX('DONNÉES BRUTES'!Y$3:Y$42,MATCH(_xlfn.AGGREGATE(14,6,'DONNÉES BRUTES'!AB$3:AB$42*1000+(40-ROW('DONNÉES BRUTES'!AB$3:AB$42)+ROW('DONNÉES BRUTES'!AB$3)),5),'DONNÉES BRUTES'!AB$3:AB$42*1000+(40-ROW('DONNÉES BRUTES'!AB$3:AB$42)+ROW('DONNÉES BRUTES'!AB$3)),0)),"—")</f>
        <v>87</v>
      </c>
      <c r="I20" s="78" cm="1">
        <f t="array" ref="I20">IFERROR(INDEX('DONNÉES BRUTES'!Z$3:Z$42,MATCH(_xlfn.AGGREGATE(14,6,'DONNÉES BRUTES'!AB$3:AB$42*1000+(40-ROW('DONNÉES BRUTES'!AB$3:AB$42)+ROW('DONNÉES BRUTES'!AB$3)),5),'DONNÉES BRUTES'!AB$3:AB$42*1000+(40-ROW('DONNÉES BRUTES'!AB$3:AB$42)+ROW('DONNÉES BRUTES'!AB$3)),0)),"—")</f>
        <v>97</v>
      </c>
      <c r="J20" s="78" cm="1">
        <f t="array" ref="J20">IFERROR(INDEX('DONNÉES BRUTES'!AA$3:AA$42,MATCH(_xlfn.AGGREGATE(14,6,'DONNÉES BRUTES'!AB$3:AB$42*1000+(40-ROW('DONNÉES BRUTES'!AB$3:AB$42)+ROW('DONNÉES BRUTES'!AB$3)),5),'DONNÉES BRUTES'!AB$3:AB$42*1000+(40-ROW('DONNÉES BRUTES'!AB$3:AB$42)+ROW('DONNÉES BRUTES'!AB$3)),0)),"—")</f>
        <v>31</v>
      </c>
      <c r="K20" s="81" t="str" cm="1">
        <f t="array" ref="K20">IFERROR(INDEX('DONNÉES BRUTES'!N$3:N$42,MATCH(_xlfn.AGGREGATE(14,6,'DONNÉES BRUTES'!AB$3:AB$42*1000+(40-ROW('DONNÉES BRUTES'!AB$3:AB$42)+ROW('DONNÉES BRUTES'!AB$3)),5),'DONNÉES BRUTES'!AB$3:AB$42*1000+(40-ROW('DONNÉES BRUTES'!AB$3:AB$42)+ROW('DONNÉES BRUTES'!AB$3)),0)),"—")</f>
        <v>26.7%</v>
      </c>
      <c r="L20" s="82" t="str" cm="1">
        <f t="array" ref="L20">IFERROR(INDEX('DONNÉES BRUTES'!P$3:P$42,MATCH(_xlfn.AGGREGATE(14,6,'DONNÉES BRUTES'!AB$3:AB$42*1000+(40-ROW('DONNÉES BRUTES'!AB$3:AB$42)+ROW('DONNÉES BRUTES'!AB$3)),5),'DONNÉES BRUTES'!AB$3:AB$42*1000+(40-ROW('DONNÉES BRUTES'!AB$3:AB$42)+ROW('DONNÉES BRUTES'!AB$3)),0)),"—")</f>
        <v>+5.5%</v>
      </c>
      <c r="M20" s="78"/>
      <c r="N20" s="91" t="str" cm="1">
        <f t="array" ref="N20">IFERROR(INDEX('DONNÉES BRUTES'!AC$3:AC$42,MATCH(_xlfn.AGGREGATE(14,6,'DONNÉES BRUTES'!AB$3:AB$42*1000+(40-ROW('DONNÉES BRUTES'!AB$3:AB$42)+ROW('DONNÉES BRUTES'!AB$3)),5),'DONNÉES BRUTES'!AB$3:AB$42*1000+(40-ROW('DONNÉES BRUTES'!AB$3:AB$42)+ROW('DONNÉES BRUTES'!AB$3)),0)),"—")</f>
        <v>2026-04-23</v>
      </c>
      <c r="O20" s="78"/>
      <c r="P20" s="78"/>
      <c r="Q20" s="78"/>
      <c r="R20" s="92" t="str" cm="1">
        <f t="array" ref="R20">IFERROR(INDEX('DONNÉES BRUTES'!AD$3:AD$42,MATCH(_xlfn.AGGREGATE(14,6,'DONNÉES BRUTES'!AB$3:AB$42*1000+(40-ROW('DONNÉES BRUTES'!AB$3:AB$42)+ROW('DONNÉES BRUTES'!AB$3)),5),'DONNÉES BRUTES'!AB$3:AB$42*1000+(40-ROW('DONNÉES BRUTES'!AB$3:AB$42)+ROW('DONNÉES BRUTES'!AB$3)),0)),"—")</f>
        <v>Neutre</v>
      </c>
      <c r="S20" s="32"/>
      <c r="T20" s="32"/>
      <c r="U20" s="32"/>
      <c r="V20" s="32"/>
      <c r="W20" s="32"/>
      <c r="X20" s="32"/>
    </row>
    <row r="21" spans="1:24" ht="15.95" customHeight="1" thickBot="1" x14ac:dyDescent="0.3">
      <c r="A21" s="33"/>
      <c r="B21" s="84">
        <v>6</v>
      </c>
      <c r="C21" s="85" t="str" cm="1">
        <f t="array" ref="C21">IFERROR(INDEX('DONNÉES BRUTES'!A$3:A$42,MATCH(_xlfn.AGGREGATE(14,6,'DONNÉES BRUTES'!AB$3:AB$42*1000+(40-ROW('DONNÉES BRUTES'!AB$3:AB$42)+ROW('DONNÉES BRUTES'!AB$3)),6),'DONNÉES BRUTES'!AB$3:AB$42*1000+(40-ROW('DONNÉES BRUTES'!AB$3:AB$42)+ROW('DONNÉES BRUTES'!AB$3)),0)),"—")</f>
        <v>ALO.PA</v>
      </c>
      <c r="D21" s="86" t="str" cm="1">
        <f t="array" ref="D21">IFERROR(LEFT(IFERROR(INDEX('DONNÉES BRUTES'!B$3:B$42,MATCH(_xlfn.AGGREGATE(14,6,'DONNÉES BRUTES'!AB$3:AB$42*1000+(40-ROW('DONNÉES BRUTES'!AB$3:AB$42)+ROW('DONNÉES BRUTES'!AB$3)),6),'DONNÉES BRUTES'!AB$3:AB$42*1000+(40-ROW('DONNÉES BRUTES'!AB$3:AB$42)+ROW('DONNÉES BRUTES'!AB$3)),0)),"—"),18),"—")</f>
        <v>Alstom SA</v>
      </c>
      <c r="E21" s="86" t="str" cm="1">
        <f t="array" ref="E21">IFERROR(INDEX('DONNÉES BRUTES'!C$3:C$42,MATCH(_xlfn.AGGREGATE(14,6,'DONNÉES BRUTES'!AB$3:AB$42*1000+(40-ROW('DONNÉES BRUTES'!AB$3:AB$42)+ROW('DONNÉES BRUTES'!AB$3)),6),'DONNÉES BRUTES'!AB$3:AB$42*1000+(40-ROW('DONNÉES BRUTES'!AB$3:AB$42)+ROW('DONNÉES BRUTES'!AB$3)),0)),"—")</f>
        <v>Industrials</v>
      </c>
      <c r="F21" s="87" t="str" cm="1">
        <f t="array" ref="F21">IFERROR(INT(_xlfn.AGGREGATE(14,6,'DONNÉES BRUTES'!AB$3:AB$42*1000+(40-ROW('DONNÉES BRUTES'!AB$3:AB$42)+ROW('DONNÉES BRUTES'!AB$3)),6)/1000)&amp;"/100","—")</f>
        <v>70/100</v>
      </c>
      <c r="G21" s="85"/>
      <c r="H21" s="85" cm="1">
        <f t="array" ref="H21">IFERROR(INDEX('DONNÉES BRUTES'!Y$3:Y$42,MATCH(_xlfn.AGGREGATE(14,6,'DONNÉES BRUTES'!AB$3:AB$42*1000+(40-ROW('DONNÉES BRUTES'!AB$3:AB$42)+ROW('DONNÉES BRUTES'!AB$3)),6),'DONNÉES BRUTES'!AB$3:AB$42*1000+(40-ROW('DONNÉES BRUTES'!AB$3:AB$42)+ROW('DONNÉES BRUTES'!AB$3)),0)),"—")</f>
        <v>95</v>
      </c>
      <c r="I21" s="85" cm="1">
        <f t="array" ref="I21">IFERROR(INDEX('DONNÉES BRUTES'!Z$3:Z$42,MATCH(_xlfn.AGGREGATE(14,6,'DONNÉES BRUTES'!AB$3:AB$42*1000+(40-ROW('DONNÉES BRUTES'!AB$3:AB$42)+ROW('DONNÉES BRUTES'!AB$3)),6),'DONNÉES BRUTES'!AB$3:AB$42*1000+(40-ROW('DONNÉES BRUTES'!AB$3:AB$42)+ROW('DONNÉES BRUTES'!AB$3)),0)),"—")</f>
        <v>15</v>
      </c>
      <c r="J21" s="85" cm="1">
        <f t="array" ref="J21">IFERROR(INDEX('DONNÉES BRUTES'!AA$3:AA$42,MATCH(_xlfn.AGGREGATE(14,6,'DONNÉES BRUTES'!AB$3:AB$42*1000+(40-ROW('DONNÉES BRUTES'!AB$3:AB$42)+ROW('DONNÉES BRUTES'!AB$3)),6),'DONNÉES BRUTES'!AB$3:AB$42*1000+(40-ROW('DONNÉES BRUTES'!AB$3:AB$42)+ROW('DONNÉES BRUTES'!AB$3)),0)),"—")</f>
        <v>100</v>
      </c>
      <c r="K21" s="88" t="str" cm="1">
        <f t="array" ref="K21">IFERROR(INDEX('DONNÉES BRUTES'!N$3:N$42,MATCH(_xlfn.AGGREGATE(14,6,'DONNÉES BRUTES'!AB$3:AB$42*1000+(40-ROW('DONNÉES BRUTES'!AB$3:AB$42)+ROW('DONNÉES BRUTES'!AB$3)),6),'DONNÉES BRUTES'!AB$3:AB$42*1000+(40-ROW('DONNÉES BRUTES'!AB$3:AB$42)+ROW('DONNÉES BRUTES'!AB$3)),0)),"—")</f>
        <v>6.8%</v>
      </c>
      <c r="L21" s="93" t="str" cm="1">
        <f t="array" ref="L21">IFERROR(INDEX('DONNÉES BRUTES'!P$3:P$42,MATCH(_xlfn.AGGREGATE(14,6,'DONNÉES BRUTES'!AB$3:AB$42*1000+(40-ROW('DONNÉES BRUTES'!AB$3:AB$42)+ROW('DONNÉES BRUTES'!AB$3)),6),'DONNÉES BRUTES'!AB$3:AB$42*1000+(40-ROW('DONNÉES BRUTES'!AB$3:AB$42)+ROW('DONNÉES BRUTES'!AB$3)),0)),"—")</f>
        <v>+4.9%</v>
      </c>
      <c r="M21" s="85"/>
      <c r="N21" s="94" t="str" cm="1">
        <f t="array" ref="N21">IFERROR(INDEX('DONNÉES BRUTES'!AC$3:AC$42,MATCH(_xlfn.AGGREGATE(14,6,'DONNÉES BRUTES'!AB$3:AB$42*1000+(40-ROW('DONNÉES BRUTES'!AB$3:AB$42)+ROW('DONNÉES BRUTES'!AB$3)),6),'DONNÉES BRUTES'!AB$3:AB$42*1000+(40-ROW('DONNÉES BRUTES'!AB$3:AB$42)+ROW('DONNÉES BRUTES'!AB$3)),0)),"—")</f>
        <v>2026-05-13</v>
      </c>
      <c r="O21" s="85"/>
      <c r="P21" s="85"/>
      <c r="Q21" s="85"/>
      <c r="R21" s="90" t="str" cm="1">
        <f t="array" ref="R21">IFERROR(INDEX('DONNÉES BRUTES'!AD$3:AD$42,MATCH(_xlfn.AGGREGATE(14,6,'DONNÉES BRUTES'!AB$3:AB$42*1000+(40-ROW('DONNÉES BRUTES'!AB$3:AB$42)+ROW('DONNÉES BRUTES'!AB$3)),6),'DONNÉES BRUTES'!AB$3:AB$42*1000+(40-ROW('DONNÉES BRUTES'!AB$3:AB$42)+ROW('DONNÉES BRUTES'!AB$3)),0)),"—")</f>
        <v>Neutre</v>
      </c>
      <c r="S21" s="33"/>
      <c r="T21" s="33"/>
      <c r="U21" s="33"/>
      <c r="V21" s="33"/>
      <c r="W21" s="33"/>
      <c r="X21" s="33"/>
    </row>
    <row r="22" spans="1:24" ht="15.95" customHeight="1" thickBot="1" x14ac:dyDescent="0.3">
      <c r="A22" s="32"/>
      <c r="B22" s="77">
        <v>7</v>
      </c>
      <c r="C22" s="78" t="str" cm="1">
        <f t="array" ref="C22">IFERROR(INDEX('DONNÉES BRUTES'!A$3:A$42,MATCH(_xlfn.AGGREGATE(14,6,'DONNÉES BRUTES'!AB$3:AB$42*1000+(40-ROW('DONNÉES BRUTES'!AB$3:AB$42)+ROW('DONNÉES BRUTES'!AB$3)),7),'DONNÉES BRUTES'!AB$3:AB$42*1000+(40-ROW('DONNÉES BRUTES'!AB$3:AB$42)+ROW('DONNÉES BRUTES'!AB$3)),0)),"—")</f>
        <v>URW.PA</v>
      </c>
      <c r="D22" s="79" t="str" cm="1">
        <f t="array" ref="D22">IFERROR(LEFT(IFERROR(INDEX('DONNÉES BRUTES'!B$3:B$42,MATCH(_xlfn.AGGREGATE(14,6,'DONNÉES BRUTES'!AB$3:AB$42*1000+(40-ROW('DONNÉES BRUTES'!AB$3:AB$42)+ROW('DONNÉES BRUTES'!AB$3)),7),'DONNÉES BRUTES'!AB$3:AB$42*1000+(40-ROW('DONNÉES BRUTES'!AB$3:AB$42)+ROW('DONNÉES BRUTES'!AB$3)),0)),"—"),18),"—")</f>
        <v>Unibail-Rodamco-We</v>
      </c>
      <c r="E22" s="79" t="str" cm="1">
        <f t="array" ref="E22">IFERROR(INDEX('DONNÉES BRUTES'!C$3:C$42,MATCH(_xlfn.AGGREGATE(14,6,'DONNÉES BRUTES'!AB$3:AB$42*1000+(40-ROW('DONNÉES BRUTES'!AB$3:AB$42)+ROW('DONNÉES BRUTES'!AB$3)),7),'DONNÉES BRUTES'!AB$3:AB$42*1000+(40-ROW('DONNÉES BRUTES'!AB$3:AB$42)+ROW('DONNÉES BRUTES'!AB$3)),0)),"—")</f>
        <v>Real Estate</v>
      </c>
      <c r="F22" s="80" t="str" cm="1">
        <f t="array" ref="F22">IFERROR(INT(_xlfn.AGGREGATE(14,6,'DONNÉES BRUTES'!AB$3:AB$42*1000+(40-ROW('DONNÉES BRUTES'!AB$3:AB$42)+ROW('DONNÉES BRUTES'!AB$3)),7)/1000)&amp;"/100","—")</f>
        <v>69/100</v>
      </c>
      <c r="G22" s="78"/>
      <c r="H22" s="78" cm="1">
        <f t="array" ref="H22">IFERROR(INDEX('DONNÉES BRUTES'!Y$3:Y$42,MATCH(_xlfn.AGGREGATE(14,6,'DONNÉES BRUTES'!AB$3:AB$42*1000+(40-ROW('DONNÉES BRUTES'!AB$3:AB$42)+ROW('DONNÉES BRUTES'!AB$3)),7),'DONNÉES BRUTES'!AB$3:AB$42*1000+(40-ROW('DONNÉES BRUTES'!AB$3:AB$42)+ROW('DONNÉES BRUTES'!AB$3)),0)),"—")</f>
        <v>92</v>
      </c>
      <c r="I22" s="78" cm="1">
        <f t="array" ref="I22">IFERROR(INDEX('DONNÉES BRUTES'!Z$3:Z$42,MATCH(_xlfn.AGGREGATE(14,6,'DONNÉES BRUTES'!AB$3:AB$42*1000+(40-ROW('DONNÉES BRUTES'!AB$3:AB$42)+ROW('DONNÉES BRUTES'!AB$3)),7),'DONNÉES BRUTES'!AB$3:AB$42*1000+(40-ROW('DONNÉES BRUTES'!AB$3:AB$42)+ROW('DONNÉES BRUTES'!AB$3)),0)),"—")</f>
        <v>95</v>
      </c>
      <c r="J22" s="78" cm="1">
        <f t="array" ref="J22">IFERROR(INDEX('DONNÉES BRUTES'!AA$3:AA$42,MATCH(_xlfn.AGGREGATE(14,6,'DONNÉES BRUTES'!AB$3:AB$42*1000+(40-ROW('DONNÉES BRUTES'!AB$3:AB$42)+ROW('DONNÉES BRUTES'!AB$3)),7),'DONNÉES BRUTES'!AB$3:AB$42*1000+(40-ROW('DONNÉES BRUTES'!AB$3:AB$42)+ROW('DONNÉES BRUTES'!AB$3)),0)),"—")</f>
        <v>21</v>
      </c>
      <c r="K22" s="81" t="str" cm="1">
        <f t="array" ref="K22">IFERROR(INDEX('DONNÉES BRUTES'!N$3:N$42,MATCH(_xlfn.AGGREGATE(14,6,'DONNÉES BRUTES'!AB$3:AB$42*1000+(40-ROW('DONNÉES BRUTES'!AB$3:AB$42)+ROW('DONNÉES BRUTES'!AB$3)),7),'DONNÉES BRUTES'!AB$3:AB$42*1000+(40-ROW('DONNÉES BRUTES'!AB$3:AB$42)+ROW('DONNÉES BRUTES'!AB$3)),0)),"—")</f>
        <v>89.1%</v>
      </c>
      <c r="L22" s="81" t="str" cm="1">
        <f t="array" ref="L22">IFERROR(INDEX('DONNÉES BRUTES'!P$3:P$42,MATCH(_xlfn.AGGREGATE(14,6,'DONNÉES BRUTES'!AB$3:AB$42*1000+(40-ROW('DONNÉES BRUTES'!AB$3:AB$42)+ROW('DONNÉES BRUTES'!AB$3)),7),'DONNÉES BRUTES'!AB$3:AB$42*1000+(40-ROW('DONNÉES BRUTES'!AB$3:AB$42)+ROW('DONNÉES BRUTES'!AB$3)),0)),"—")</f>
        <v>-6.1%</v>
      </c>
      <c r="M22" s="78"/>
      <c r="N22" s="78" t="str" cm="1">
        <f t="array" ref="N22">IFERROR(INDEX('DONNÉES BRUTES'!AC$3:AC$42,MATCH(_xlfn.AGGREGATE(14,6,'DONNÉES BRUTES'!AB$3:AB$42*1000+(40-ROW('DONNÉES BRUTES'!AB$3:AB$42)+ROW('DONNÉES BRUTES'!AB$3)),7),'DONNÉES BRUTES'!AB$3:AB$42*1000+(40-ROW('DONNÉES BRUTES'!AB$3:AB$42)+ROW('DONNÉES BRUTES'!AB$3)),0)),"—")</f>
        <v>—</v>
      </c>
      <c r="O22" s="78"/>
      <c r="P22" s="78"/>
      <c r="Q22" s="78"/>
      <c r="R22" s="92" t="str" cm="1">
        <f t="array" ref="R22">IFERROR(INDEX('DONNÉES BRUTES'!AD$3:AD$42,MATCH(_xlfn.AGGREGATE(14,6,'DONNÉES BRUTES'!AB$3:AB$42*1000+(40-ROW('DONNÉES BRUTES'!AB$3:AB$42)+ROW('DONNÉES BRUTES'!AB$3)),7),'DONNÉES BRUTES'!AB$3:AB$42*1000+(40-ROW('DONNÉES BRUTES'!AB$3:AB$42)+ROW('DONNÉES BRUTES'!AB$3)),0)),"—")</f>
        <v>Neutre</v>
      </c>
      <c r="S22" s="32"/>
      <c r="T22" s="32"/>
      <c r="U22" s="32"/>
      <c r="V22" s="32"/>
      <c r="W22" s="32"/>
      <c r="X22" s="32"/>
    </row>
    <row r="23" spans="1:24" ht="15.95" customHeight="1" thickBot="1" x14ac:dyDescent="0.3">
      <c r="A23" s="33"/>
      <c r="B23" s="84">
        <v>8</v>
      </c>
      <c r="C23" s="85" t="str" cm="1">
        <f t="array" ref="C23">IFERROR(INDEX('DONNÉES BRUTES'!A$3:A$42,MATCH(_xlfn.AGGREGATE(14,6,'DONNÉES BRUTES'!AB$3:AB$42*1000+(40-ROW('DONNÉES BRUTES'!AB$3:AB$42)+ROW('DONNÉES BRUTES'!AB$3)),8),'DONNÉES BRUTES'!AB$3:AB$42*1000+(40-ROW('DONNÉES BRUTES'!AB$3:AB$42)+ROW('DONNÉES BRUTES'!AB$3)),0)),"—")</f>
        <v>AIR.PA</v>
      </c>
      <c r="D23" s="86" t="str" cm="1">
        <f t="array" ref="D23">IFERROR(LEFT(IFERROR(INDEX('DONNÉES BRUTES'!B$3:B$42,MATCH(_xlfn.AGGREGATE(14,6,'DONNÉES BRUTES'!AB$3:AB$42*1000+(40-ROW('DONNÉES BRUTES'!AB$3:AB$42)+ROW('DONNÉES BRUTES'!AB$3)),8),'DONNÉES BRUTES'!AB$3:AB$42*1000+(40-ROW('DONNÉES BRUTES'!AB$3:AB$42)+ROW('DONNÉES BRUTES'!AB$3)),0)),"—"),18),"—")</f>
        <v>Airbus SE</v>
      </c>
      <c r="E23" s="86" t="str" cm="1">
        <f t="array" ref="E23">IFERROR(INDEX('DONNÉES BRUTES'!C$3:C$42,MATCH(_xlfn.AGGREGATE(14,6,'DONNÉES BRUTES'!AB$3:AB$42*1000+(40-ROW('DONNÉES BRUTES'!AB$3:AB$42)+ROW('DONNÉES BRUTES'!AB$3)),8),'DONNÉES BRUTES'!AB$3:AB$42*1000+(40-ROW('DONNÉES BRUTES'!AB$3:AB$42)+ROW('DONNÉES BRUTES'!AB$3)),0)),"—")</f>
        <v>Industrials</v>
      </c>
      <c r="F23" s="87" t="str" cm="1">
        <f t="array" ref="F23">IFERROR(INT(_xlfn.AGGREGATE(14,6,'DONNÉES BRUTES'!AB$3:AB$42*1000+(40-ROW('DONNÉES BRUTES'!AB$3:AB$42)+ROW('DONNÉES BRUTES'!AB$3)),8)/1000)&amp;"/100","—")</f>
        <v>68/100</v>
      </c>
      <c r="G23" s="85"/>
      <c r="H23" s="85" cm="1">
        <f t="array" ref="H23">IFERROR(INDEX('DONNÉES BRUTES'!Y$3:Y$42,MATCH(_xlfn.AGGREGATE(14,6,'DONNÉES BRUTES'!AB$3:AB$42*1000+(40-ROW('DONNÉES BRUTES'!AB$3:AB$42)+ROW('DONNÉES BRUTES'!AB$3)),8),'DONNÉES BRUTES'!AB$3:AB$42*1000+(40-ROW('DONNÉES BRUTES'!AB$3:AB$42)+ROW('DONNÉES BRUTES'!AB$3)),0)),"—")</f>
        <v>84</v>
      </c>
      <c r="I23" s="85" cm="1">
        <f t="array" ref="I23">IFERROR(INDEX('DONNÉES BRUTES'!Z$3:Z$42,MATCH(_xlfn.AGGREGATE(14,6,'DONNÉES BRUTES'!AB$3:AB$42*1000+(40-ROW('DONNÉES BRUTES'!AB$3:AB$42)+ROW('DONNÉES BRUTES'!AB$3)),8),'DONNÉES BRUTES'!AB$3:AB$42*1000+(40-ROW('DONNÉES BRUTES'!AB$3:AB$42)+ROW('DONNÉES BRUTES'!AB$3)),0)),"—")</f>
        <v>23</v>
      </c>
      <c r="J23" s="85" cm="1">
        <f t="array" ref="J23">IFERROR(INDEX('DONNÉES BRUTES'!AA$3:AA$42,MATCH(_xlfn.AGGREGATE(14,6,'DONNÉES BRUTES'!AB$3:AB$42*1000+(40-ROW('DONNÉES BRUTES'!AB$3:AB$42)+ROW('DONNÉES BRUTES'!AB$3)),8),'DONNÉES BRUTES'!AB$3:AB$42*1000+(40-ROW('DONNÉES BRUTES'!AB$3:AB$42)+ROW('DONNÉES BRUTES'!AB$3)),0)),"—")</f>
        <v>97</v>
      </c>
      <c r="K23" s="88" t="str" cm="1">
        <f t="array" ref="K23">IFERROR(INDEX('DONNÉES BRUTES'!N$3:N$42,MATCH(_xlfn.AGGREGATE(14,6,'DONNÉES BRUTES'!AB$3:AB$42*1000+(40-ROW('DONNÉES BRUTES'!AB$3:AB$42)+ROW('DONNÉES BRUTES'!AB$3)),8),'DONNÉES BRUTES'!AB$3:AB$42*1000+(40-ROW('DONNÉES BRUTES'!AB$3:AB$42)+ROW('DONNÉES BRUTES'!AB$3)),0)),"—")</f>
        <v>14.0%</v>
      </c>
      <c r="L23" s="93" t="str" cm="1">
        <f t="array" ref="L23">IFERROR(INDEX('DONNÉES BRUTES'!P$3:P$42,MATCH(_xlfn.AGGREGATE(14,6,'DONNÉES BRUTES'!AB$3:AB$42*1000+(40-ROW('DONNÉES BRUTES'!AB$3:AB$42)+ROW('DONNÉES BRUTES'!AB$3)),8),'DONNÉES BRUTES'!AB$3:AB$42*1000+(40-ROW('DONNÉES BRUTES'!AB$3:AB$42)+ROW('DONNÉES BRUTES'!AB$3)),0)),"—")</f>
        <v>+6.1%</v>
      </c>
      <c r="M23" s="85"/>
      <c r="N23" s="94" t="str" cm="1">
        <f t="array" ref="N23">IFERROR(INDEX('DONNÉES BRUTES'!AC$3:AC$42,MATCH(_xlfn.AGGREGATE(14,6,'DONNÉES BRUTES'!AB$3:AB$42*1000+(40-ROW('DONNÉES BRUTES'!AB$3:AB$42)+ROW('DONNÉES BRUTES'!AB$3)),8),'DONNÉES BRUTES'!AB$3:AB$42*1000+(40-ROW('DONNÉES BRUTES'!AB$3:AB$42)+ROW('DONNÉES BRUTES'!AB$3)),0)),"—")</f>
        <v>2026-04-28</v>
      </c>
      <c r="O23" s="85"/>
      <c r="P23" s="85"/>
      <c r="Q23" s="85"/>
      <c r="R23" s="90" t="str" cm="1">
        <f t="array" ref="R23">IFERROR(INDEX('DONNÉES BRUTES'!AD$3:AD$42,MATCH(_xlfn.AGGREGATE(14,6,'DONNÉES BRUTES'!AB$3:AB$42*1000+(40-ROW('DONNÉES BRUTES'!AB$3:AB$42)+ROW('DONNÉES BRUTES'!AB$3)),8),'DONNÉES BRUTES'!AB$3:AB$42*1000+(40-ROW('DONNÉES BRUTES'!AB$3:AB$42)+ROW('DONNÉES BRUTES'!AB$3)),0)),"—")</f>
        <v>Neutre</v>
      </c>
      <c r="S23" s="33"/>
      <c r="T23" s="33"/>
      <c r="U23" s="33"/>
      <c r="V23" s="33"/>
      <c r="W23" s="33"/>
      <c r="X23" s="33"/>
    </row>
    <row r="24" spans="1:24" ht="15.95" customHeight="1" thickBot="1" x14ac:dyDescent="0.3">
      <c r="A24" s="32"/>
      <c r="B24" s="77">
        <v>9</v>
      </c>
      <c r="C24" s="78" t="str" cm="1">
        <f t="array" ref="C24">IFERROR(INDEX('DONNÉES BRUTES'!A$3:A$42,MATCH(_xlfn.AGGREGATE(14,6,'DONNÉES BRUTES'!AB$3:AB$42*1000+(40-ROW('DONNÉES BRUTES'!AB$3:AB$42)+ROW('DONNÉES BRUTES'!AB$3)),9),'DONNÉES BRUTES'!AB$3:AB$42*1000+(40-ROW('DONNÉES BRUTES'!AB$3:AB$42)+ROW('DONNÉES BRUTES'!AB$3)),0)),"—")</f>
        <v>SAF.PA</v>
      </c>
      <c r="D24" s="79" t="str" cm="1">
        <f t="array" ref="D24">IFERROR(LEFT(IFERROR(INDEX('DONNÉES BRUTES'!B$3:B$42,MATCH(_xlfn.AGGREGATE(14,6,'DONNÉES BRUTES'!AB$3:AB$42*1000+(40-ROW('DONNÉES BRUTES'!AB$3:AB$42)+ROW('DONNÉES BRUTES'!AB$3)),9),'DONNÉES BRUTES'!AB$3:AB$42*1000+(40-ROW('DONNÉES BRUTES'!AB$3:AB$42)+ROW('DONNÉES BRUTES'!AB$3)),0)),"—"),18),"—")</f>
        <v>Safran SA</v>
      </c>
      <c r="E24" s="79" t="str" cm="1">
        <f t="array" ref="E24">IFERROR(INDEX('DONNÉES BRUTES'!C$3:C$42,MATCH(_xlfn.AGGREGATE(14,6,'DONNÉES BRUTES'!AB$3:AB$42*1000+(40-ROW('DONNÉES BRUTES'!AB$3:AB$42)+ROW('DONNÉES BRUTES'!AB$3)),9),'DONNÉES BRUTES'!AB$3:AB$42*1000+(40-ROW('DONNÉES BRUTES'!AB$3:AB$42)+ROW('DONNÉES BRUTES'!AB$3)),0)),"—")</f>
        <v>Industrials</v>
      </c>
      <c r="F24" s="80" t="str" cm="1">
        <f t="array" ref="F24">IFERROR(INT(_xlfn.AGGREGATE(14,6,'DONNÉES BRUTES'!AB$3:AB$42*1000+(40-ROW('DONNÉES BRUTES'!AB$3:AB$42)+ROW('DONNÉES BRUTES'!AB$3)),9)/1000)&amp;"/100","—")</f>
        <v>68/100</v>
      </c>
      <c r="G24" s="78"/>
      <c r="H24" s="78" cm="1">
        <f t="array" ref="H24">IFERROR(INDEX('DONNÉES BRUTES'!Y$3:Y$42,MATCH(_xlfn.AGGREGATE(14,6,'DONNÉES BRUTES'!AB$3:AB$42*1000+(40-ROW('DONNÉES BRUTES'!AB$3:AB$42)+ROW('DONNÉES BRUTES'!AB$3)),9),'DONNÉES BRUTES'!AB$3:AB$42*1000+(40-ROW('DONNÉES BRUTES'!AB$3:AB$42)+ROW('DONNÉES BRUTES'!AB$3)),0)),"—")</f>
        <v>100</v>
      </c>
      <c r="I24" s="78" cm="1">
        <f t="array" ref="I24">IFERROR(INDEX('DONNÉES BRUTES'!Z$3:Z$42,MATCH(_xlfn.AGGREGATE(14,6,'DONNÉES BRUTES'!AB$3:AB$42*1000+(40-ROW('DONNÉES BRUTES'!AB$3:AB$42)+ROW('DONNÉES BRUTES'!AB$3)),9),'DONNÉES BRUTES'!AB$3:AB$42*1000+(40-ROW('DONNÉES BRUTES'!AB$3:AB$42)+ROW('DONNÉES BRUTES'!AB$3)),0)),"—")</f>
        <v>67</v>
      </c>
      <c r="J24" s="78" cm="1">
        <f t="array" ref="J24">IFERROR(INDEX('DONNÉES BRUTES'!AA$3:AA$42,MATCH(_xlfn.AGGREGATE(14,6,'DONNÉES BRUTES'!AB$3:AB$42*1000+(40-ROW('DONNÉES BRUTES'!AB$3:AB$42)+ROW('DONNÉES BRUTES'!AB$3)),9),'DONNÉES BRUTES'!AB$3:AB$42*1000+(40-ROW('DONNÉES BRUTES'!AB$3:AB$42)+ROW('DONNÉES BRUTES'!AB$3)),0)),"—")</f>
        <v>38</v>
      </c>
      <c r="K24" s="81" t="str" cm="1">
        <f t="array" ref="K24">IFERROR(INDEX('DONNÉES BRUTES'!N$3:N$42,MATCH(_xlfn.AGGREGATE(14,6,'DONNÉES BRUTES'!AB$3:AB$42*1000+(40-ROW('DONNÉES BRUTES'!AB$3:AB$42)+ROW('DONNÉES BRUTES'!AB$3)),9),'DONNÉES BRUTES'!AB$3:AB$42*1000+(40-ROW('DONNÉES BRUTES'!AB$3:AB$42)+ROW('DONNÉES BRUTES'!AB$3)),0)),"—")</f>
        <v>39.2%</v>
      </c>
      <c r="L24" s="82" t="str" cm="1">
        <f t="array" ref="L24">IFERROR(INDEX('DONNÉES BRUTES'!P$3:P$42,MATCH(_xlfn.AGGREGATE(14,6,'DONNÉES BRUTES'!AB$3:AB$42*1000+(40-ROW('DONNÉES BRUTES'!AB$3:AB$42)+ROW('DONNÉES BRUTES'!AB$3)),9),'DONNÉES BRUTES'!AB$3:AB$42*1000+(40-ROW('DONNÉES BRUTES'!AB$3:AB$42)+ROW('DONNÉES BRUTES'!AB$3)),0)),"—")</f>
        <v>+12.5%</v>
      </c>
      <c r="M24" s="78"/>
      <c r="N24" s="78" t="str" cm="1">
        <f t="array" ref="N24">IFERROR(INDEX('DONNÉES BRUTES'!AC$3:AC$42,MATCH(_xlfn.AGGREGATE(14,6,'DONNÉES BRUTES'!AB$3:AB$42*1000+(40-ROW('DONNÉES BRUTES'!AB$3:AB$42)+ROW('DONNÉES BRUTES'!AB$3)),9),'DONNÉES BRUTES'!AB$3:AB$42*1000+(40-ROW('DONNÉES BRUTES'!AB$3:AB$42)+ROW('DONNÉES BRUTES'!AB$3)),0)),"—")</f>
        <v>—</v>
      </c>
      <c r="O24" s="78"/>
      <c r="P24" s="78"/>
      <c r="Q24" s="78"/>
      <c r="R24" s="92" t="str" cm="1">
        <f t="array" ref="R24">IFERROR(INDEX('DONNÉES BRUTES'!AD$3:AD$42,MATCH(_xlfn.AGGREGATE(14,6,'DONNÉES BRUTES'!AB$3:AB$42*1000+(40-ROW('DONNÉES BRUTES'!AB$3:AB$42)+ROW('DONNÉES BRUTES'!AB$3)),9),'DONNÉES BRUTES'!AB$3:AB$42*1000+(40-ROW('DONNÉES BRUTES'!AB$3:AB$42)+ROW('DONNÉES BRUTES'!AB$3)),0)),"—")</f>
        <v>Neutre</v>
      </c>
      <c r="S24" s="32"/>
      <c r="T24" s="32"/>
      <c r="U24" s="32"/>
      <c r="V24" s="32"/>
      <c r="W24" s="32"/>
      <c r="X24" s="32"/>
    </row>
    <row r="25" spans="1:24" ht="15.95" customHeight="1" x14ac:dyDescent="0.25">
      <c r="A25" s="33"/>
      <c r="B25" s="95">
        <v>10</v>
      </c>
      <c r="C25" s="96" t="str" cm="1">
        <f t="array" ref="C25">IFERROR(INDEX('DONNÉES BRUTES'!A$3:A$42,MATCH(_xlfn.AGGREGATE(14,6,'DONNÉES BRUTES'!AB$3:AB$42*1000+(40-ROW('DONNÉES BRUTES'!AB$3:AB$42)+ROW('DONNÉES BRUTES'!AB$3)),10),'DONNÉES BRUTES'!AB$3:AB$42*1000+(40-ROW('DONNÉES BRUTES'!AB$3:AB$42)+ROW('DONNÉES BRUTES'!AB$3)),0)),"—")</f>
        <v>ACA.PA</v>
      </c>
      <c r="D25" s="97" t="str" cm="1">
        <f t="array" ref="D25">IFERROR(LEFT(IFERROR(INDEX('DONNÉES BRUTES'!B$3:B$42,MATCH(_xlfn.AGGREGATE(14,6,'DONNÉES BRUTES'!AB$3:AB$42*1000+(40-ROW('DONNÉES BRUTES'!AB$3:AB$42)+ROW('DONNÉES BRUTES'!AB$3)),10),'DONNÉES BRUTES'!AB$3:AB$42*1000+(40-ROW('DONNÉES BRUTES'!AB$3:AB$42)+ROW('DONNÉES BRUTES'!AB$3)),0)),"—"),18),"—")</f>
        <v>Crédit Agricole S.</v>
      </c>
      <c r="E25" s="97" t="str" cm="1">
        <f t="array" ref="E25">IFERROR(INDEX('DONNÉES BRUTES'!C$3:C$42,MATCH(_xlfn.AGGREGATE(14,6,'DONNÉES BRUTES'!AB$3:AB$42*1000+(40-ROW('DONNÉES BRUTES'!AB$3:AB$42)+ROW('DONNÉES BRUTES'!AB$3)),10),'DONNÉES BRUTES'!AB$3:AB$42*1000+(40-ROW('DONNÉES BRUTES'!AB$3:AB$42)+ROW('DONNÉES BRUTES'!AB$3)),0)),"—")</f>
        <v>Financials</v>
      </c>
      <c r="F25" s="98" t="str" cm="1">
        <f t="array" ref="F25">IFERROR(INT(_xlfn.AGGREGATE(14,6,'DONNÉES BRUTES'!AB$3:AB$42*1000+(40-ROW('DONNÉES BRUTES'!AB$3:AB$42)+ROW('DONNÉES BRUTES'!AB$3)),10)/1000)&amp;"/100","—")</f>
        <v>65/100</v>
      </c>
      <c r="G25" s="96"/>
      <c r="H25" s="96" cm="1">
        <f t="array" ref="H25">IFERROR(INDEX('DONNÉES BRUTES'!Y$3:Y$42,MATCH(_xlfn.AGGREGATE(14,6,'DONNÉES BRUTES'!AB$3:AB$42*1000+(40-ROW('DONNÉES BRUTES'!AB$3:AB$42)+ROW('DONNÉES BRUTES'!AB$3)),10),'DONNÉES BRUTES'!AB$3:AB$42*1000+(40-ROW('DONNÉES BRUTES'!AB$3:AB$42)+ROW('DONNÉES BRUTES'!AB$3)),0)),"—")</f>
        <v>21</v>
      </c>
      <c r="I25" s="96" cm="1">
        <f t="array" ref="I25">IFERROR(INDEX('DONNÉES BRUTES'!Z$3:Z$42,MATCH(_xlfn.AGGREGATE(14,6,'DONNÉES BRUTES'!AB$3:AB$42*1000+(40-ROW('DONNÉES BRUTES'!AB$3:AB$42)+ROW('DONNÉES BRUTES'!AB$3)),10),'DONNÉES BRUTES'!AB$3:AB$42*1000+(40-ROW('DONNÉES BRUTES'!AB$3:AB$42)+ROW('DONNÉES BRUTES'!AB$3)),0)),"—")</f>
        <v>92</v>
      </c>
      <c r="J25" s="96" cm="1">
        <f t="array" ref="J25">IFERROR(INDEX('DONNÉES BRUTES'!AA$3:AA$42,MATCH(_xlfn.AGGREGATE(14,6,'DONNÉES BRUTES'!AB$3:AB$42*1000+(40-ROW('DONNÉES BRUTES'!AB$3:AB$42)+ROW('DONNÉES BRUTES'!AB$3)),10),'DONNÉES BRUTES'!AB$3:AB$42*1000+(40-ROW('DONNÉES BRUTES'!AB$3:AB$42)+ROW('DONNÉES BRUTES'!AB$3)),0)),"—")</f>
        <v>82</v>
      </c>
      <c r="K25" s="96" t="str" cm="1">
        <f t="array" ref="K25">IFERROR(INDEX('DONNÉES BRUTES'!N$3:N$42,MATCH(_xlfn.AGGREGATE(14,6,'DONNÉES BRUTES'!AB$3:AB$42*1000+(40-ROW('DONNÉES BRUTES'!AB$3:AB$42)+ROW('DONNÉES BRUTES'!AB$3)),10),'DONNÉES BRUTES'!AB$3:AB$42*1000+(40-ROW('DONNÉES BRUTES'!AB$3:AB$42)+ROW('DONNÉES BRUTES'!AB$3)),0)),"—")</f>
        <v>192.6%</v>
      </c>
      <c r="L25" s="99" t="str" cm="1">
        <f t="array" ref="L25">IFERROR(INDEX('DONNÉES BRUTES'!P$3:P$42,MATCH(_xlfn.AGGREGATE(14,6,'DONNÉES BRUTES'!AB$3:AB$42*1000+(40-ROW('DONNÉES BRUTES'!AB$3:AB$42)+ROW('DONNÉES BRUTES'!AB$3)),10),'DONNÉES BRUTES'!AB$3:AB$42*1000+(40-ROW('DONNÉES BRUTES'!AB$3:AB$42)+ROW('DONNÉES BRUTES'!AB$3)),0)),"—")</f>
        <v>+3.7%</v>
      </c>
      <c r="M25" s="96"/>
      <c r="N25" s="100" t="str" cm="1">
        <f t="array" ref="N25">IFERROR(INDEX('DONNÉES BRUTES'!AC$3:AC$42,MATCH(_xlfn.AGGREGATE(14,6,'DONNÉES BRUTES'!AB$3:AB$42*1000+(40-ROW('DONNÉES BRUTES'!AB$3:AB$42)+ROW('DONNÉES BRUTES'!AB$3)),10),'DONNÉES BRUTES'!AB$3:AB$42*1000+(40-ROW('DONNÉES BRUTES'!AB$3:AB$42)+ROW('DONNÉES BRUTES'!AB$3)),0)),"—")</f>
        <v>2026-04-30</v>
      </c>
      <c r="O25" s="96"/>
      <c r="P25" s="96"/>
      <c r="Q25" s="96"/>
      <c r="R25" s="101" t="str" cm="1">
        <f t="array" ref="R25">IFERROR(INDEX('DONNÉES BRUTES'!AD$3:AD$42,MATCH(_xlfn.AGGREGATE(14,6,'DONNÉES BRUTES'!AB$3:AB$42*1000+(40-ROW('DONNÉES BRUTES'!AB$3:AB$42)+ROW('DONNÉES BRUTES'!AB$3)),10),'DONNÉES BRUTES'!AB$3:AB$42*1000+(40-ROW('DONNÉES BRUTES'!AB$3:AB$42)+ROW('DONNÉES BRUTES'!AB$3)),0)),"—")</f>
        <v>Neutre</v>
      </c>
      <c r="S25" s="33"/>
      <c r="T25" s="33"/>
      <c r="U25" s="33"/>
      <c r="V25" s="33"/>
      <c r="W25" s="33"/>
      <c r="X25" s="33"/>
    </row>
    <row r="26" spans="1:24" ht="14.1" customHeight="1" x14ac:dyDescent="0.25">
      <c r="A26" s="61"/>
      <c r="B26" s="61" t="s">
        <v>567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  <row r="27" spans="1:24" ht="18" customHeight="1" x14ac:dyDescent="0.25"/>
    <row r="28" spans="1:24" ht="18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showGridLines="0" tabSelected="1" zoomScale="92" zoomScaleNormal="100" workbookViewId="0"/>
  </sheetViews>
  <sheetFormatPr baseColWidth="10" defaultColWidth="8.85546875" defaultRowHeight="15" x14ac:dyDescent="0.25"/>
  <cols>
    <col min="1" max="1" width="5.28515625" customWidth="1"/>
    <col min="2" max="2" width="9.140625" customWidth="1"/>
    <col min="3" max="3" width="26.7109375" customWidth="1"/>
    <col min="4" max="4" width="15.28515625" customWidth="1"/>
    <col min="5" max="5" width="9.140625" customWidth="1"/>
    <col min="6" max="6" width="10.42578125" customWidth="1"/>
    <col min="7" max="7" width="12.42578125" customWidth="1"/>
    <col min="8" max="8" width="10.42578125" customWidth="1"/>
    <col min="9" max="10" width="12.42578125" customWidth="1"/>
    <col min="11" max="11" width="10.42578125" customWidth="1"/>
    <col min="12" max="12" width="12.42578125" customWidth="1"/>
    <col min="13" max="13" width="18.7109375" bestFit="1" customWidth="1"/>
    <col min="14" max="18" width="8.85546875" style="235"/>
  </cols>
  <sheetData>
    <row r="1" spans="1:17" ht="32.1" customHeight="1" thickBot="1" x14ac:dyDescent="0.3">
      <c r="A1" s="102" t="s">
        <v>85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O1" s="235" t="s">
        <v>4</v>
      </c>
      <c r="P1" s="235" t="s">
        <v>217</v>
      </c>
      <c r="Q1" s="235" t="s">
        <v>50</v>
      </c>
    </row>
    <row r="2" spans="1:17" ht="14.25" customHeight="1" x14ac:dyDescent="0.2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O2" s="235" t="str">
        <f t="shared" ref="O2:O16" si="0">IF(B4&lt;&gt;"—",LEFT(C4,20),"—")</f>
        <v>Hermès International</v>
      </c>
      <c r="P2" s="235">
        <f t="shared" ref="P2:P16" si="1">IF(E4&lt;&gt;"—",VALUE(LEFT(E4,FIND("/",E4)-1)),"")</f>
        <v>75</v>
      </c>
    </row>
    <row r="3" spans="1:17" ht="18" customHeight="1" thickBot="1" x14ac:dyDescent="0.3">
      <c r="A3" s="124" t="s">
        <v>2</v>
      </c>
      <c r="B3" s="120" t="s">
        <v>3</v>
      </c>
      <c r="C3" s="106" t="s">
        <v>4</v>
      </c>
      <c r="D3" s="106" t="s">
        <v>42</v>
      </c>
      <c r="E3" s="105" t="s">
        <v>5</v>
      </c>
      <c r="F3" s="105" t="s">
        <v>47</v>
      </c>
      <c r="G3" s="105" t="s">
        <v>86</v>
      </c>
      <c r="H3" s="105" t="s">
        <v>87</v>
      </c>
      <c r="I3" s="105" t="s">
        <v>88</v>
      </c>
      <c r="J3" s="105" t="s">
        <v>48</v>
      </c>
      <c r="K3" s="105" t="s">
        <v>89</v>
      </c>
      <c r="L3" s="105" t="s">
        <v>90</v>
      </c>
      <c r="M3" s="120" t="s">
        <v>91</v>
      </c>
      <c r="O3" s="235" t="str">
        <f t="shared" si="0"/>
        <v>L'Air Liquide S.A.</v>
      </c>
      <c r="P3" s="235">
        <f t="shared" si="1"/>
        <v>74</v>
      </c>
    </row>
    <row r="4" spans="1:17" ht="15.95" customHeight="1" thickBot="1" x14ac:dyDescent="0.3">
      <c r="A4" s="125">
        <v>1</v>
      </c>
      <c r="B4" s="121" t="str" cm="1">
        <f t="array" ref="B4">IFERROR(INDEX('DONNÉES BRUTES'!A$3:A$42,MATCH(_xlfn.AGGREGATE(14,6,'DONNÉES BRUTES'!AB$3:AB$42+ROW('DONNÉES BRUTES'!AB$3:AB$42)/1000,1),'DONNÉES BRUTES'!AB$3:AB$42+ROW('DONNÉES BRUTES'!AB$3:AB$42)/1000,0)),"—")</f>
        <v>RMS.PA</v>
      </c>
      <c r="C4" s="109" t="str" cm="1">
        <f t="array" ref="C4">IFERROR(INDEX('DONNÉES BRUTES'!B$3:B$42,MATCH(_xlfn.AGGREGATE(14,6,'DONNÉES BRUTES'!AB$3:AB$42+ROW('DONNÉES BRUTES'!AB$3:AB$42)/1000,1),'DONNÉES BRUTES'!AB$3:AB$42+ROW('DONNÉES BRUTES'!AB$3:AB$42)/1000,0)),"—")</f>
        <v>Hermès International Société en commandite par actions</v>
      </c>
      <c r="D4" s="109" t="str" cm="1">
        <f t="array" ref="D4">IFERROR(INDEX('DONNÉES BRUTES'!C$3:C$42,MATCH(_xlfn.AGGREGATE(14,6,'DONNÉES BRUTES'!AB$3:AB$42+ROW('DONNÉES BRUTES'!AB$3:AB$42)/1000,1),'DONNÉES BRUTES'!AB$3:AB$42+ROW('DONNÉES BRUTES'!AB$3:AB$42)/1000,0)),"—")</f>
        <v>Consumer Disc.</v>
      </c>
      <c r="E4" s="110" t="str" cm="1">
        <f t="array" ref="E4">IFERROR(INDEX('DONNÉES BRUTES'!AB$3:AB$42,MATCH(_xlfn.AGGREGATE(14,6,'DONNÉES BRUTES'!AB$3:AB$42+ROW('DONNÉES BRUTES'!AB$3:AB$42)/1000,1),'DONNÉES BRUTES'!AB$3:AB$42+ROW('DONNÉES BRUTES'!AB$3:AB$42)/1000,0))&amp;"/100","—")</f>
        <v>75/100</v>
      </c>
      <c r="F4" s="108" t="str" cm="1">
        <f t="array" ref="F4">IFERROR(INDEX('DONNÉES BRUTES'!I$3:I$42,MATCH(_xlfn.AGGREGATE(14,6,'DONNÉES BRUTES'!AB$3:AB$42+ROW('DONNÉES BRUTES'!AB$3:AB$42)/1000,1),'DONNÉES BRUTES'!AB$3:AB$42+ROW('DONNÉES BRUTES'!AB$3:AB$42)/1000,0)),"—")</f>
        <v>—</v>
      </c>
      <c r="G4" s="108" t="str" cm="1">
        <f t="array" ref="G4">IFERROR(INDEX('DONNÉES BRUTES'!J$3:J$42,MATCH(_xlfn.AGGREGATE(14,6,'DONNÉES BRUTES'!AB$3:AB$42+ROW('DONNÉES BRUTES'!AB$3:AB$42)/1000,1),'DONNÉES BRUTES'!AB$3:AB$42+ROW('DONNÉES BRUTES'!AB$3:AB$42)/1000,0)),"—")</f>
        <v>—</v>
      </c>
      <c r="H4" s="108" t="str" cm="1">
        <f t="array" ref="H4">IFERROR(INDEX('DONNÉES BRUTES'!K$3:K$42,MATCH(_xlfn.AGGREGATE(14,6,'DONNÉES BRUTES'!AB$3:AB$42+ROW('DONNÉES BRUTES'!AB$3:AB$42)/1000,1),'DONNÉES BRUTES'!AB$3:AB$42+ROW('DONNÉES BRUTES'!AB$3:AB$42)/1000,0)),"—")</f>
        <v>—</v>
      </c>
      <c r="I4" s="108" t="str" cm="1">
        <f t="array" ref="I4">IFERROR(INDEX('DONNÉES BRUTES'!M$3:M$42,MATCH(_xlfn.AGGREGATE(14,6,'DONNÉES BRUTES'!AB$3:AB$42+ROW('DONNÉES BRUTES'!AB$3:AB$42)/1000,1),'DONNÉES BRUTES'!AB$3:AB$42+ROW('DONNÉES BRUTES'!AB$3:AB$42)/1000,0)),"—")</f>
        <v>71.1%</v>
      </c>
      <c r="J4" s="108" t="str" cm="1">
        <f t="array" ref="J4">IFERROR(INDEX('DONNÉES BRUTES'!N$3:N$42,MATCH(_xlfn.AGGREGATE(14,6,'DONNÉES BRUTES'!AB$3:AB$42+ROW('DONNÉES BRUTES'!AB$3:AB$42)/1000,1),'DONNÉES BRUTES'!AB$3:AB$42+ROW('DONNÉES BRUTES'!AB$3:AB$42)/1000,0)),"—")</f>
        <v>46.8%</v>
      </c>
      <c r="K4" s="108" t="str" cm="1">
        <f t="array" ref="K4">IFERROR(INDEX('DONNÉES BRUTES'!U$3:U$42,MATCH(_xlfn.AGGREGATE(14,6,'DONNÉES BRUTES'!AB$3:AB$42+ROW('DONNÉES BRUTES'!AB$3:AB$42)/1000,1),'DONNÉES BRUTES'!AB$3:AB$42+ROW('DONNÉES BRUTES'!AB$3:AB$42)/1000,0)),"—")</f>
        <v>9.47</v>
      </c>
      <c r="L4" s="111" t="s">
        <v>11</v>
      </c>
      <c r="M4" s="111" t="str" cm="1">
        <f t="array" ref="M4">IFERROR(INDEX('DONNÉES BRUTES'!AD$3:AD$42,MATCH(_xlfn.AGGREGATE(14,6,'DONNÉES BRUTES'!AB$3:AB$42+ROW('DONNÉES BRUTES'!AB$3:AB$42)/1000,1),'DONNÉES BRUTES'!AB$3:AB$42+ROW('DONNÉES BRUTES'!AB$3:AB$42)/1000,0)),"—")</f>
        <v>Surpondérer</v>
      </c>
      <c r="O4" s="235" t="str">
        <f t="shared" si="0"/>
        <v>Sanofi</v>
      </c>
      <c r="P4" s="235">
        <f t="shared" si="1"/>
        <v>72</v>
      </c>
    </row>
    <row r="5" spans="1:17" ht="15.95" customHeight="1" thickBot="1" x14ac:dyDescent="0.3">
      <c r="A5" s="126">
        <v>2</v>
      </c>
      <c r="B5" s="122" t="str" cm="1">
        <f t="array" ref="B5">IFERROR(INDEX('DONNÉES BRUTES'!A$3:A$42,MATCH(_xlfn.AGGREGATE(14,6,'DONNÉES BRUTES'!AB$3:AB$42+ROW('DONNÉES BRUTES'!AB$3:AB$42)/1000,2),'DONNÉES BRUTES'!AB$3:AB$42+ROW('DONNÉES BRUTES'!AB$3:AB$42)/1000,0)),"—")</f>
        <v>AI.PA</v>
      </c>
      <c r="C5" s="113" t="str" cm="1">
        <f t="array" ref="C5">IFERROR(INDEX('DONNÉES BRUTES'!B$3:B$42,MATCH(_xlfn.AGGREGATE(14,6,'DONNÉES BRUTES'!AB$3:AB$42+ROW('DONNÉES BRUTES'!AB$3:AB$42)/1000,2),'DONNÉES BRUTES'!AB$3:AB$42+ROW('DONNÉES BRUTES'!AB$3:AB$42)/1000,0)),"—")</f>
        <v>L'Air Liquide S.A.</v>
      </c>
      <c r="D5" s="113" t="str" cm="1">
        <f t="array" ref="D5">IFERROR(INDEX('DONNÉES BRUTES'!C$3:C$42,MATCH(_xlfn.AGGREGATE(14,6,'DONNÉES BRUTES'!AB$3:AB$42+ROW('DONNÉES BRUTES'!AB$3:AB$42)/1000,2),'DONNÉES BRUTES'!AB$3:AB$42+ROW('DONNÉES BRUTES'!AB$3:AB$42)/1000,0)),"—")</f>
        <v>Materials</v>
      </c>
      <c r="E5" s="114" t="str" cm="1">
        <f t="array" ref="E5">IFERROR(INDEX('DONNÉES BRUTES'!AB$3:AB$42,MATCH(_xlfn.AGGREGATE(14,6,'DONNÉES BRUTES'!AB$3:AB$42+ROW('DONNÉES BRUTES'!AB$3:AB$42)/1000,2),'DONNÉES BRUTES'!AB$3:AB$42+ROW('DONNÉES BRUTES'!AB$3:AB$42)/1000,0))&amp;"/100","—")</f>
        <v>74/100</v>
      </c>
      <c r="F5" s="112" t="str" cm="1">
        <f t="array" ref="F5">IFERROR(INDEX('DONNÉES BRUTES'!I$3:I$42,MATCH(_xlfn.AGGREGATE(14,6,'DONNÉES BRUTES'!AB$3:AB$42+ROW('DONNÉES BRUTES'!AB$3:AB$42)/1000,2),'DONNÉES BRUTES'!AB$3:AB$42+ROW('DONNÉES BRUTES'!AB$3:AB$42)/1000,0)),"—")</f>
        <v>—</v>
      </c>
      <c r="G5" s="112" t="str" cm="1">
        <f t="array" ref="G5">IFERROR(INDEX('DONNÉES BRUTES'!J$3:J$42,MATCH(_xlfn.AGGREGATE(14,6,'DONNÉES BRUTES'!AB$3:AB$42+ROW('DONNÉES BRUTES'!AB$3:AB$42)/1000,2),'DONNÉES BRUTES'!AB$3:AB$42+ROW('DONNÉES BRUTES'!AB$3:AB$42)/1000,0)),"—")</f>
        <v>—</v>
      </c>
      <c r="H5" s="112" t="str" cm="1">
        <f t="array" ref="H5">IFERROR(INDEX('DONNÉES BRUTES'!K$3:K$42,MATCH(_xlfn.AGGREGATE(14,6,'DONNÉES BRUTES'!AB$3:AB$42+ROW('DONNÉES BRUTES'!AB$3:AB$42)/1000,2),'DONNÉES BRUTES'!AB$3:AB$42+ROW('DONNÉES BRUTES'!AB$3:AB$42)/1000,0)),"—")</f>
        <v>—</v>
      </c>
      <c r="I5" s="112" t="str" cm="1">
        <f t="array" ref="I5">IFERROR(INDEX('DONNÉES BRUTES'!M$3:M$42,MATCH(_xlfn.AGGREGATE(14,6,'DONNÉES BRUTES'!AB$3:AB$42+ROW('DONNÉES BRUTES'!AB$3:AB$42)/1000,2),'DONNÉES BRUTES'!AB$3:AB$42+ROW('DONNÉES BRUTES'!AB$3:AB$42)/1000,0)),"—")</f>
        <v>64.2%</v>
      </c>
      <c r="J5" s="112" t="str" cm="1">
        <f t="array" ref="J5">IFERROR(INDEX('DONNÉES BRUTES'!N$3:N$42,MATCH(_xlfn.AGGREGATE(14,6,'DONNÉES BRUTES'!AB$3:AB$42+ROW('DONNÉES BRUTES'!AB$3:AB$42)/1000,2),'DONNÉES BRUTES'!AB$3:AB$42+ROW('DONNÉES BRUTES'!AB$3:AB$42)/1000,0)),"—")</f>
        <v>27.9%</v>
      </c>
      <c r="K5" s="112" t="str" cm="1">
        <f t="array" ref="K5">IFERROR(INDEX('DONNÉES BRUTES'!U$3:U$42,MATCH(_xlfn.AGGREGATE(14,6,'DONNÉES BRUTES'!AB$3:AB$42+ROW('DONNÉES BRUTES'!AB$3:AB$42)/1000,2),'DONNÉES BRUTES'!AB$3:AB$42+ROW('DONNÉES BRUTES'!AB$3:AB$42)/1000,0)),"—")</f>
        <v>3.26</v>
      </c>
      <c r="L5" s="115" t="s">
        <v>11</v>
      </c>
      <c r="M5" s="115" t="str" cm="1">
        <f t="array" ref="M5">IFERROR(INDEX('DONNÉES BRUTES'!AD$3:AD$42,MATCH(_xlfn.AGGREGATE(14,6,'DONNÉES BRUTES'!AB$3:AB$42+ROW('DONNÉES BRUTES'!AB$3:AB$42)/1000,2),'DONNÉES BRUTES'!AB$3:AB$42+ROW('DONNÉES BRUTES'!AB$3:AB$42)/1000,0)),"—")</f>
        <v>Neutre</v>
      </c>
      <c r="O5" s="235" t="str">
        <f t="shared" si="0"/>
        <v xml:space="preserve">Eurofins Scientific </v>
      </c>
      <c r="P5" s="235">
        <f t="shared" si="1"/>
        <v>72</v>
      </c>
    </row>
    <row r="6" spans="1:17" ht="15.95" customHeight="1" thickBot="1" x14ac:dyDescent="0.3">
      <c r="A6" s="125">
        <v>3</v>
      </c>
      <c r="B6" s="121" t="str" cm="1">
        <f t="array" ref="B6">IFERROR(INDEX('DONNÉES BRUTES'!A$3:A$42,MATCH(_xlfn.AGGREGATE(14,6,'DONNÉES BRUTES'!AB$3:AB$42+ROW('DONNÉES BRUTES'!AB$3:AB$42)/1000,3),'DONNÉES BRUTES'!AB$3:AB$42+ROW('DONNÉES BRUTES'!AB$3:AB$42)/1000,0)),"—")</f>
        <v>SAN.PA</v>
      </c>
      <c r="C6" s="109" t="str" cm="1">
        <f t="array" ref="C6">IFERROR(INDEX('DONNÉES BRUTES'!B$3:B$42,MATCH(_xlfn.AGGREGATE(14,6,'DONNÉES BRUTES'!AB$3:AB$42+ROW('DONNÉES BRUTES'!AB$3:AB$42)/1000,3),'DONNÉES BRUTES'!AB$3:AB$42+ROW('DONNÉES BRUTES'!AB$3:AB$42)/1000,0)),"—")</f>
        <v>Sanofi</v>
      </c>
      <c r="D6" s="109" t="str" cm="1">
        <f t="array" ref="D6">IFERROR(INDEX('DONNÉES BRUTES'!C$3:C$42,MATCH(_xlfn.AGGREGATE(14,6,'DONNÉES BRUTES'!AB$3:AB$42+ROW('DONNÉES BRUTES'!AB$3:AB$42)/1000,3),'DONNÉES BRUTES'!AB$3:AB$42+ROW('DONNÉES BRUTES'!AB$3:AB$42)/1000,0)),"—")</f>
        <v>Healthcare</v>
      </c>
      <c r="E6" s="110" t="str" cm="1">
        <f t="array" ref="E6">IFERROR(INDEX('DONNÉES BRUTES'!AB$3:AB$42,MATCH(_xlfn.AGGREGATE(14,6,'DONNÉES BRUTES'!AB$3:AB$42+ROW('DONNÉES BRUTES'!AB$3:AB$42)/1000,3),'DONNÉES BRUTES'!AB$3:AB$42+ROW('DONNÉES BRUTES'!AB$3:AB$42)/1000,0))&amp;"/100","—")</f>
        <v>72/100</v>
      </c>
      <c r="F6" s="108" t="str" cm="1">
        <f t="array" ref="F6">IFERROR(INDEX('DONNÉES BRUTES'!I$3:I$42,MATCH(_xlfn.AGGREGATE(14,6,'DONNÉES BRUTES'!AB$3:AB$42+ROW('DONNÉES BRUTES'!AB$3:AB$42)/1000,3),'DONNÉES BRUTES'!AB$3:AB$42+ROW('DONNÉES BRUTES'!AB$3:AB$42)/1000,0)),"—")</f>
        <v>—</v>
      </c>
      <c r="G6" s="108" t="str" cm="1">
        <f t="array" ref="G6">IFERROR(INDEX('DONNÉES BRUTES'!J$3:J$42,MATCH(_xlfn.AGGREGATE(14,6,'DONNÉES BRUTES'!AB$3:AB$42+ROW('DONNÉES BRUTES'!AB$3:AB$42)/1000,3),'DONNÉES BRUTES'!AB$3:AB$42+ROW('DONNÉES BRUTES'!AB$3:AB$42)/1000,0)),"—")</f>
        <v>—</v>
      </c>
      <c r="H6" s="108" t="str" cm="1">
        <f t="array" ref="H6">IFERROR(INDEX('DONNÉES BRUTES'!K$3:K$42,MATCH(_xlfn.AGGREGATE(14,6,'DONNÉES BRUTES'!AB$3:AB$42+ROW('DONNÉES BRUTES'!AB$3:AB$42)/1000,3),'DONNÉES BRUTES'!AB$3:AB$42+ROW('DONNÉES BRUTES'!AB$3:AB$42)/1000,0)),"—")</f>
        <v>—</v>
      </c>
      <c r="I6" s="108" t="str" cm="1">
        <f t="array" ref="I6">IFERROR(INDEX('DONNÉES BRUTES'!M$3:M$42,MATCH(_xlfn.AGGREGATE(14,6,'DONNÉES BRUTES'!AB$3:AB$42+ROW('DONNÉES BRUTES'!AB$3:AB$42)/1000,3),'DONNÉES BRUTES'!AB$3:AB$42+ROW('DONNÉES BRUTES'!AB$3:AB$42)/1000,0)),"—")</f>
        <v>72.1%</v>
      </c>
      <c r="J6" s="108" t="str" cm="1">
        <f t="array" ref="J6">IFERROR(INDEX('DONNÉES BRUTES'!N$3:N$42,MATCH(_xlfn.AGGREGATE(14,6,'DONNÉES BRUTES'!AB$3:AB$42+ROW('DONNÉES BRUTES'!AB$3:AB$42)/1000,3),'DONNÉES BRUTES'!AB$3:AB$42+ROW('DONNÉES BRUTES'!AB$3:AB$42)/1000,0)),"—")</f>
        <v>26.7%</v>
      </c>
      <c r="K6" s="108" t="str" cm="1">
        <f t="array" ref="K6">IFERROR(INDEX('DONNÉES BRUTES'!U$3:U$42,MATCH(_xlfn.AGGREGATE(14,6,'DONNÉES BRUTES'!AB$3:AB$42+ROW('DONNÉES BRUTES'!AB$3:AB$42)/1000,3),'DONNÉES BRUTES'!AB$3:AB$42+ROW('DONNÉES BRUTES'!AB$3:AB$42)/1000,0)),"—")</f>
        <v>—</v>
      </c>
      <c r="L6" s="111" t="s">
        <v>11</v>
      </c>
      <c r="M6" s="111" t="str" cm="1">
        <f t="array" ref="M6">IFERROR(INDEX('DONNÉES BRUTES'!AD$3:AD$42,MATCH(_xlfn.AGGREGATE(14,6,'DONNÉES BRUTES'!AB$3:AB$42+ROW('DONNÉES BRUTES'!AB$3:AB$42)/1000,3),'DONNÉES BRUTES'!AB$3:AB$42+ROW('DONNÉES BRUTES'!AB$3:AB$42)/1000,0)),"—")</f>
        <v>Neutre</v>
      </c>
      <c r="O6" s="235" t="str">
        <f t="shared" si="0"/>
        <v>Dassault Systèmes SE</v>
      </c>
      <c r="P6" s="235">
        <f t="shared" si="1"/>
        <v>72</v>
      </c>
    </row>
    <row r="7" spans="1:17" ht="15.95" customHeight="1" thickBot="1" x14ac:dyDescent="0.3">
      <c r="A7" s="126">
        <v>4</v>
      </c>
      <c r="B7" s="122" t="str" cm="1">
        <f t="array" ref="B7">IFERROR(INDEX('DONNÉES BRUTES'!A$3:A$42,MATCH(_xlfn.AGGREGATE(14,6,'DONNÉES BRUTES'!AB$3:AB$42+ROW('DONNÉES BRUTES'!AB$3:AB$42)/1000,4),'DONNÉES BRUTES'!AB$3:AB$42+ROW('DONNÉES BRUTES'!AB$3:AB$42)/1000,0)),"—")</f>
        <v>ERF.PA</v>
      </c>
      <c r="C7" s="113" t="str" cm="1">
        <f t="array" ref="C7">IFERROR(INDEX('DONNÉES BRUTES'!B$3:B$42,MATCH(_xlfn.AGGREGATE(14,6,'DONNÉES BRUTES'!AB$3:AB$42+ROW('DONNÉES BRUTES'!AB$3:AB$42)/1000,4),'DONNÉES BRUTES'!AB$3:AB$42+ROW('DONNÉES BRUTES'!AB$3:AB$42)/1000,0)),"—")</f>
        <v>Eurofins Scientific SE</v>
      </c>
      <c r="D7" s="113" t="str" cm="1">
        <f t="array" ref="D7">IFERROR(INDEX('DONNÉES BRUTES'!C$3:C$42,MATCH(_xlfn.AGGREGATE(14,6,'DONNÉES BRUTES'!AB$3:AB$42+ROW('DONNÉES BRUTES'!AB$3:AB$42)/1000,4),'DONNÉES BRUTES'!AB$3:AB$42+ROW('DONNÉES BRUTES'!AB$3:AB$42)/1000,0)),"—")</f>
        <v>Healthcare</v>
      </c>
      <c r="E7" s="114" t="str" cm="1">
        <f t="array" ref="E7">IFERROR(INDEX('DONNÉES BRUTES'!AB$3:AB$42,MATCH(_xlfn.AGGREGATE(14,6,'DONNÉES BRUTES'!AB$3:AB$42+ROW('DONNÉES BRUTES'!AB$3:AB$42)/1000,4),'DONNÉES BRUTES'!AB$3:AB$42+ROW('DONNÉES BRUTES'!AB$3:AB$42)/1000,0))&amp;"/100","—")</f>
        <v>72/100</v>
      </c>
      <c r="F7" s="112" t="str" cm="1">
        <f t="array" ref="F7">IFERROR(INDEX('DONNÉES BRUTES'!I$3:I$42,MATCH(_xlfn.AGGREGATE(14,6,'DONNÉES BRUTES'!AB$3:AB$42+ROW('DONNÉES BRUTES'!AB$3:AB$42)/1000,4),'DONNÉES BRUTES'!AB$3:AB$42+ROW('DONNÉES BRUTES'!AB$3:AB$42)/1000,0)),"—")</f>
        <v>—</v>
      </c>
      <c r="G7" s="112" t="str" cm="1">
        <f t="array" ref="G7">IFERROR(INDEX('DONNÉES BRUTES'!J$3:J$42,MATCH(_xlfn.AGGREGATE(14,6,'DONNÉES BRUTES'!AB$3:AB$42+ROW('DONNÉES BRUTES'!AB$3:AB$42)/1000,4),'DONNÉES BRUTES'!AB$3:AB$42+ROW('DONNÉES BRUTES'!AB$3:AB$42)/1000,0)),"—")</f>
        <v>—</v>
      </c>
      <c r="H7" s="112" t="str" cm="1">
        <f t="array" ref="H7">IFERROR(INDEX('DONNÉES BRUTES'!K$3:K$42,MATCH(_xlfn.AGGREGATE(14,6,'DONNÉES BRUTES'!AB$3:AB$42+ROW('DONNÉES BRUTES'!AB$3:AB$42)/1000,4),'DONNÉES BRUTES'!AB$3:AB$42+ROW('DONNÉES BRUTES'!AB$3:AB$42)/1000,0)),"—")</f>
        <v>—</v>
      </c>
      <c r="I7" s="112" t="str" cm="1">
        <f t="array" ref="I7">IFERROR(INDEX('DONNÉES BRUTES'!M$3:M$42,MATCH(_xlfn.AGGREGATE(14,6,'DONNÉES BRUTES'!AB$3:AB$42+ROW('DONNÉES BRUTES'!AB$3:AB$42)/1000,4),'DONNÉES BRUTES'!AB$3:AB$42+ROW('DONNÉES BRUTES'!AB$3:AB$42)/1000,0)),"—")</f>
        <v>68.1%</v>
      </c>
      <c r="J7" s="112" t="str" cm="1">
        <f t="array" ref="J7">IFERROR(INDEX('DONNÉES BRUTES'!N$3:N$42,MATCH(_xlfn.AGGREGATE(14,6,'DONNÉES BRUTES'!AB$3:AB$42+ROW('DONNÉES BRUTES'!AB$3:AB$42)/1000,4),'DONNÉES BRUTES'!AB$3:AB$42+ROW('DONNÉES BRUTES'!AB$3:AB$42)/1000,0)),"—")</f>
        <v>21.0%</v>
      </c>
      <c r="K7" s="112" t="str" cm="1">
        <f t="array" ref="K7">IFERROR(INDEX('DONNÉES BRUTES'!U$3:U$42,MATCH(_xlfn.AGGREGATE(14,6,'DONNÉES BRUTES'!AB$3:AB$42+ROW('DONNÉES BRUTES'!AB$3:AB$42)/1000,4),'DONNÉES BRUTES'!AB$3:AB$42+ROW('DONNÉES BRUTES'!AB$3:AB$42)/1000,0)),"—")</f>
        <v>2.27</v>
      </c>
      <c r="L7" s="115" t="s">
        <v>11</v>
      </c>
      <c r="M7" s="115" t="str" cm="1">
        <f t="array" ref="M7">IFERROR(INDEX('DONNÉES BRUTES'!AD$3:AD$42,MATCH(_xlfn.AGGREGATE(14,6,'DONNÉES BRUTES'!AB$3:AB$42+ROW('DONNÉES BRUTES'!AB$3:AB$42)/1000,4),'DONNÉES BRUTES'!AB$3:AB$42+ROW('DONNÉES BRUTES'!AB$3:AB$42)/1000,0)),"—")</f>
        <v>Neutre</v>
      </c>
      <c r="O7" s="235" t="str">
        <f t="shared" si="0"/>
        <v>Alstom SA</v>
      </c>
      <c r="P7" s="235">
        <f t="shared" si="1"/>
        <v>70</v>
      </c>
    </row>
    <row r="8" spans="1:17" ht="15.95" customHeight="1" thickBot="1" x14ac:dyDescent="0.3">
      <c r="A8" s="125">
        <v>5</v>
      </c>
      <c r="B8" s="121" t="str" cm="1">
        <f t="array" ref="B8">IFERROR(INDEX('DONNÉES BRUTES'!A$3:A$42,MATCH(_xlfn.AGGREGATE(14,6,'DONNÉES BRUTES'!AB$3:AB$42+ROW('DONNÉES BRUTES'!AB$3:AB$42)/1000,5),'DONNÉES BRUTES'!AB$3:AB$42+ROW('DONNÉES BRUTES'!AB$3:AB$42)/1000,0)),"—")</f>
        <v>DSY.PA</v>
      </c>
      <c r="C8" s="109" t="str" cm="1">
        <f t="array" ref="C8">IFERROR(INDEX('DONNÉES BRUTES'!B$3:B$42,MATCH(_xlfn.AGGREGATE(14,6,'DONNÉES BRUTES'!AB$3:AB$42+ROW('DONNÉES BRUTES'!AB$3:AB$42)/1000,5),'DONNÉES BRUTES'!AB$3:AB$42+ROW('DONNÉES BRUTES'!AB$3:AB$42)/1000,0)),"—")</f>
        <v>Dassault Systèmes SE</v>
      </c>
      <c r="D8" s="109" t="str" cm="1">
        <f t="array" ref="D8">IFERROR(INDEX('DONNÉES BRUTES'!C$3:C$42,MATCH(_xlfn.AGGREGATE(14,6,'DONNÉES BRUTES'!AB$3:AB$42+ROW('DONNÉES BRUTES'!AB$3:AB$42)/1000,5),'DONNÉES BRUTES'!AB$3:AB$42+ROW('DONNÉES BRUTES'!AB$3:AB$42)/1000,0)),"—")</f>
        <v>Technology</v>
      </c>
      <c r="E8" s="110" t="str" cm="1">
        <f t="array" ref="E8">IFERROR(INDEX('DONNÉES BRUTES'!AB$3:AB$42,MATCH(_xlfn.AGGREGATE(14,6,'DONNÉES BRUTES'!AB$3:AB$42+ROW('DONNÉES BRUTES'!AB$3:AB$42)/1000,5),'DONNÉES BRUTES'!AB$3:AB$42+ROW('DONNÉES BRUTES'!AB$3:AB$42)/1000,0))&amp;"/100","—")</f>
        <v>72/100</v>
      </c>
      <c r="F8" s="108" t="str" cm="1">
        <f t="array" ref="F8">IFERROR(INDEX('DONNÉES BRUTES'!I$3:I$42,MATCH(_xlfn.AGGREGATE(14,6,'DONNÉES BRUTES'!AB$3:AB$42+ROW('DONNÉES BRUTES'!AB$3:AB$42)/1000,5),'DONNÉES BRUTES'!AB$3:AB$42+ROW('DONNÉES BRUTES'!AB$3:AB$42)/1000,0)),"—")</f>
        <v>—</v>
      </c>
      <c r="G8" s="108" t="str" cm="1">
        <f t="array" ref="G8">IFERROR(INDEX('DONNÉES BRUTES'!J$3:J$42,MATCH(_xlfn.AGGREGATE(14,6,'DONNÉES BRUTES'!AB$3:AB$42+ROW('DONNÉES BRUTES'!AB$3:AB$42)/1000,5),'DONNÉES BRUTES'!AB$3:AB$42+ROW('DONNÉES BRUTES'!AB$3:AB$42)/1000,0)),"—")</f>
        <v>—</v>
      </c>
      <c r="H8" s="108" t="str" cm="1">
        <f t="array" ref="H8">IFERROR(INDEX('DONNÉES BRUTES'!K$3:K$42,MATCH(_xlfn.AGGREGATE(14,6,'DONNÉES BRUTES'!AB$3:AB$42+ROW('DONNÉES BRUTES'!AB$3:AB$42)/1000,5),'DONNÉES BRUTES'!AB$3:AB$42+ROW('DONNÉES BRUTES'!AB$3:AB$42)/1000,0)),"—")</f>
        <v>—</v>
      </c>
      <c r="I8" s="108" t="str" cm="1">
        <f t="array" ref="I8">IFERROR(INDEX('DONNÉES BRUTES'!M$3:M$42,MATCH(_xlfn.AGGREGATE(14,6,'DONNÉES BRUTES'!AB$3:AB$42+ROW('DONNÉES BRUTES'!AB$3:AB$42)/1000,5),'DONNÉES BRUTES'!AB$3:AB$42+ROW('DONNÉES BRUTES'!AB$3:AB$42)/1000,0)),"—")</f>
        <v>83.7%</v>
      </c>
      <c r="J8" s="108" t="str" cm="1">
        <f t="array" ref="J8">IFERROR(INDEX('DONNÉES BRUTES'!N$3:N$42,MATCH(_xlfn.AGGREGATE(14,6,'DONNÉES BRUTES'!AB$3:AB$42+ROW('DONNÉES BRUTES'!AB$3:AB$42)/1000,5),'DONNÉES BRUTES'!AB$3:AB$42+ROW('DONNÉES BRUTES'!AB$3:AB$42)/1000,0)),"—")</f>
        <v>30.4%</v>
      </c>
      <c r="K8" s="108" t="str" cm="1">
        <f t="array" ref="K8">IFERROR(INDEX('DONNÉES BRUTES'!U$3:U$42,MATCH(_xlfn.AGGREGATE(14,6,'DONNÉES BRUTES'!AB$3:AB$42+ROW('DONNÉES BRUTES'!AB$3:AB$42)/1000,5),'DONNÉES BRUTES'!AB$3:AB$42+ROW('DONNÉES BRUTES'!AB$3:AB$42)/1000,0)),"—")</f>
        <v>—</v>
      </c>
      <c r="L8" s="111" t="s">
        <v>11</v>
      </c>
      <c r="M8" s="111" t="str" cm="1">
        <f t="array" ref="M8">IFERROR(INDEX('DONNÉES BRUTES'!AD$3:AD$42,MATCH(_xlfn.AGGREGATE(14,6,'DONNÉES BRUTES'!AB$3:AB$42+ROW('DONNÉES BRUTES'!AB$3:AB$42)/1000,5),'DONNÉES BRUTES'!AB$3:AB$42+ROW('DONNÉES BRUTES'!AB$3:AB$42)/1000,0)),"—")</f>
        <v>Neutre</v>
      </c>
      <c r="O8" s="235" t="str">
        <f t="shared" si="0"/>
        <v>Unibail-Rodamco-West</v>
      </c>
      <c r="P8" s="235">
        <f t="shared" si="1"/>
        <v>69</v>
      </c>
    </row>
    <row r="9" spans="1:17" ht="15.95" customHeight="1" thickBot="1" x14ac:dyDescent="0.3">
      <c r="A9" s="126">
        <v>6</v>
      </c>
      <c r="B9" s="122" t="str" cm="1">
        <f t="array" ref="B9">IFERROR(INDEX('DONNÉES BRUTES'!A$3:A$42,MATCH(_xlfn.AGGREGATE(14,6,'DONNÉES BRUTES'!AB$3:AB$42+ROW('DONNÉES BRUTES'!AB$3:AB$42)/1000,6),'DONNÉES BRUTES'!AB$3:AB$42+ROW('DONNÉES BRUTES'!AB$3:AB$42)/1000,0)),"—")</f>
        <v>ALO.PA</v>
      </c>
      <c r="C9" s="113" t="str" cm="1">
        <f t="array" ref="C9">IFERROR(INDEX('DONNÉES BRUTES'!B$3:B$42,MATCH(_xlfn.AGGREGATE(14,6,'DONNÉES BRUTES'!AB$3:AB$42+ROW('DONNÉES BRUTES'!AB$3:AB$42)/1000,6),'DONNÉES BRUTES'!AB$3:AB$42+ROW('DONNÉES BRUTES'!AB$3:AB$42)/1000,0)),"—")</f>
        <v>Alstom SA</v>
      </c>
      <c r="D9" s="113" t="str" cm="1">
        <f t="array" ref="D9">IFERROR(INDEX('DONNÉES BRUTES'!C$3:C$42,MATCH(_xlfn.AGGREGATE(14,6,'DONNÉES BRUTES'!AB$3:AB$42+ROW('DONNÉES BRUTES'!AB$3:AB$42)/1000,6),'DONNÉES BRUTES'!AB$3:AB$42+ROW('DONNÉES BRUTES'!AB$3:AB$42)/1000,0)),"—")</f>
        <v>Industrials</v>
      </c>
      <c r="E9" s="114" t="str" cm="1">
        <f t="array" ref="E9">IFERROR(INDEX('DONNÉES BRUTES'!AB$3:AB$42,MATCH(_xlfn.AGGREGATE(14,6,'DONNÉES BRUTES'!AB$3:AB$42+ROW('DONNÉES BRUTES'!AB$3:AB$42)/1000,6),'DONNÉES BRUTES'!AB$3:AB$42+ROW('DONNÉES BRUTES'!AB$3:AB$42)/1000,0))&amp;"/100","—")</f>
        <v>70/100</v>
      </c>
      <c r="F9" s="112" t="str" cm="1">
        <f t="array" ref="F9">IFERROR(INDEX('DONNÉES BRUTES'!I$3:I$42,MATCH(_xlfn.AGGREGATE(14,6,'DONNÉES BRUTES'!AB$3:AB$42+ROW('DONNÉES BRUTES'!AB$3:AB$42)/1000,6),'DONNÉES BRUTES'!AB$3:AB$42+ROW('DONNÉES BRUTES'!AB$3:AB$42)/1000,0)),"—")</f>
        <v>—</v>
      </c>
      <c r="G9" s="112" t="str" cm="1">
        <f t="array" ref="G9">IFERROR(INDEX('DONNÉES BRUTES'!J$3:J$42,MATCH(_xlfn.AGGREGATE(14,6,'DONNÉES BRUTES'!AB$3:AB$42+ROW('DONNÉES BRUTES'!AB$3:AB$42)/1000,6),'DONNÉES BRUTES'!AB$3:AB$42+ROW('DONNÉES BRUTES'!AB$3:AB$42)/1000,0)),"—")</f>
        <v>—</v>
      </c>
      <c r="H9" s="112" t="str" cm="1">
        <f t="array" ref="H9">IFERROR(INDEX('DONNÉES BRUTES'!K$3:K$42,MATCH(_xlfn.AGGREGATE(14,6,'DONNÉES BRUTES'!AB$3:AB$42+ROW('DONNÉES BRUTES'!AB$3:AB$42)/1000,6),'DONNÉES BRUTES'!AB$3:AB$42+ROW('DONNÉES BRUTES'!AB$3:AB$42)/1000,0)),"—")</f>
        <v>—</v>
      </c>
      <c r="I9" s="112" t="str" cm="1">
        <f t="array" ref="I9">IFERROR(INDEX('DONNÉES BRUTES'!M$3:M$42,MATCH(_xlfn.AGGREGATE(14,6,'DONNÉES BRUTES'!AB$3:AB$42+ROW('DONNÉES BRUTES'!AB$3:AB$42)/1000,6),'DONNÉES BRUTES'!AB$3:AB$42+ROW('DONNÉES BRUTES'!AB$3:AB$42)/1000,0)),"—")</f>
        <v>12.5%</v>
      </c>
      <c r="J9" s="112" t="str" cm="1">
        <f t="array" ref="J9">IFERROR(INDEX('DONNÉES BRUTES'!N$3:N$42,MATCH(_xlfn.AGGREGATE(14,6,'DONNÉES BRUTES'!AB$3:AB$42+ROW('DONNÉES BRUTES'!AB$3:AB$42)/1000,6),'DONNÉES BRUTES'!AB$3:AB$42+ROW('DONNÉES BRUTES'!AB$3:AB$42)/1000,0)),"—")</f>
        <v>6.8%</v>
      </c>
      <c r="K9" s="112" t="str" cm="1">
        <f t="array" ref="K9">IFERROR(INDEX('DONNÉES BRUTES'!U$3:U$42,MATCH(_xlfn.AGGREGATE(14,6,'DONNÉES BRUTES'!AB$3:AB$42+ROW('DONNÉES BRUTES'!AB$3:AB$42)/1000,6),'DONNÉES BRUTES'!AB$3:AB$42+ROW('DONNÉES BRUTES'!AB$3:AB$42)/1000,0)),"—")</f>
        <v>0.49</v>
      </c>
      <c r="L9" s="115" t="s">
        <v>11</v>
      </c>
      <c r="M9" s="115" t="str" cm="1">
        <f t="array" ref="M9">IFERROR(INDEX('DONNÉES BRUTES'!AD$3:AD$42,MATCH(_xlfn.AGGREGATE(14,6,'DONNÉES BRUTES'!AB$3:AB$42+ROW('DONNÉES BRUTES'!AB$3:AB$42)/1000,6),'DONNÉES BRUTES'!AB$3:AB$42+ROW('DONNÉES BRUTES'!AB$3:AB$42)/1000,0)),"—")</f>
        <v>Neutre</v>
      </c>
      <c r="O9" s="235" t="str">
        <f t="shared" si="0"/>
        <v>Safran SA</v>
      </c>
      <c r="P9" s="235">
        <f t="shared" si="1"/>
        <v>68</v>
      </c>
    </row>
    <row r="10" spans="1:17" ht="15.95" customHeight="1" thickBot="1" x14ac:dyDescent="0.3">
      <c r="A10" s="125">
        <v>7</v>
      </c>
      <c r="B10" s="121" t="str" cm="1">
        <f t="array" ref="B10">IFERROR(INDEX('DONNÉES BRUTES'!A$3:A$42,MATCH(_xlfn.AGGREGATE(14,6,'DONNÉES BRUTES'!AB$3:AB$42+ROW('DONNÉES BRUTES'!AB$3:AB$42)/1000,7),'DONNÉES BRUTES'!AB$3:AB$42+ROW('DONNÉES BRUTES'!AB$3:AB$42)/1000,0)),"—")</f>
        <v>URW.PA</v>
      </c>
      <c r="C10" s="109" t="str" cm="1">
        <f t="array" ref="C10">IFERROR(INDEX('DONNÉES BRUTES'!B$3:B$42,MATCH(_xlfn.AGGREGATE(14,6,'DONNÉES BRUTES'!AB$3:AB$42+ROW('DONNÉES BRUTES'!AB$3:AB$42)/1000,7),'DONNÉES BRUTES'!AB$3:AB$42+ROW('DONNÉES BRUTES'!AB$3:AB$42)/1000,0)),"—")</f>
        <v>Unibail-Rodamco-Westfield SE</v>
      </c>
      <c r="D10" s="109" t="str" cm="1">
        <f t="array" ref="D10">IFERROR(INDEX('DONNÉES BRUTES'!C$3:C$42,MATCH(_xlfn.AGGREGATE(14,6,'DONNÉES BRUTES'!AB$3:AB$42+ROW('DONNÉES BRUTES'!AB$3:AB$42)/1000,7),'DONNÉES BRUTES'!AB$3:AB$42+ROW('DONNÉES BRUTES'!AB$3:AB$42)/1000,0)),"—")</f>
        <v>Real Estate</v>
      </c>
      <c r="E10" s="110" t="str" cm="1">
        <f t="array" ref="E10">IFERROR(INDEX('DONNÉES BRUTES'!AB$3:AB$42,MATCH(_xlfn.AGGREGATE(14,6,'DONNÉES BRUTES'!AB$3:AB$42+ROW('DONNÉES BRUTES'!AB$3:AB$42)/1000,7),'DONNÉES BRUTES'!AB$3:AB$42+ROW('DONNÉES BRUTES'!AB$3:AB$42)/1000,0))&amp;"/100","—")</f>
        <v>69/100</v>
      </c>
      <c r="F10" s="108" t="str" cm="1">
        <f t="array" ref="F10">IFERROR(INDEX('DONNÉES BRUTES'!I$3:I$42,MATCH(_xlfn.AGGREGATE(14,6,'DONNÉES BRUTES'!AB$3:AB$42+ROW('DONNÉES BRUTES'!AB$3:AB$42)/1000,7),'DONNÉES BRUTES'!AB$3:AB$42+ROW('DONNÉES BRUTES'!AB$3:AB$42)/1000,0)),"—")</f>
        <v>—</v>
      </c>
      <c r="G10" s="108" t="str" cm="1">
        <f t="array" ref="G10">IFERROR(INDEX('DONNÉES BRUTES'!J$3:J$42,MATCH(_xlfn.AGGREGATE(14,6,'DONNÉES BRUTES'!AB$3:AB$42+ROW('DONNÉES BRUTES'!AB$3:AB$42)/1000,7),'DONNÉES BRUTES'!AB$3:AB$42+ROW('DONNÉES BRUTES'!AB$3:AB$42)/1000,0)),"—")</f>
        <v>—</v>
      </c>
      <c r="H10" s="108" t="str" cm="1">
        <f t="array" ref="H10">IFERROR(INDEX('DONNÉES BRUTES'!K$3:K$42,MATCH(_xlfn.AGGREGATE(14,6,'DONNÉES BRUTES'!AB$3:AB$42+ROW('DONNÉES BRUTES'!AB$3:AB$42)/1000,7),'DONNÉES BRUTES'!AB$3:AB$42+ROW('DONNÉES BRUTES'!AB$3:AB$42)/1000,0)),"—")</f>
        <v>—</v>
      </c>
      <c r="I10" s="108" t="str" cm="1">
        <f t="array" ref="I10">IFERROR(INDEX('DONNÉES BRUTES'!M$3:M$42,MATCH(_xlfn.AGGREGATE(14,6,'DONNÉES BRUTES'!AB$3:AB$42+ROW('DONNÉES BRUTES'!AB$3:AB$42)/1000,7),'DONNÉES BRUTES'!AB$3:AB$42+ROW('DONNÉES BRUTES'!AB$3:AB$42)/1000,0)),"—")</f>
        <v>64.6%</v>
      </c>
      <c r="J10" s="108" t="str" cm="1">
        <f t="array" ref="J10">IFERROR(INDEX('DONNÉES BRUTES'!N$3:N$42,MATCH(_xlfn.AGGREGATE(14,6,'DONNÉES BRUTES'!AB$3:AB$42+ROW('DONNÉES BRUTES'!AB$3:AB$42)/1000,7),'DONNÉES BRUTES'!AB$3:AB$42+ROW('DONNÉES BRUTES'!AB$3:AB$42)/1000,0)),"—")</f>
        <v>89.1%</v>
      </c>
      <c r="K10" s="108" t="str" cm="1">
        <f t="array" ref="K10">IFERROR(INDEX('DONNÉES BRUTES'!U$3:U$42,MATCH(_xlfn.AGGREGATE(14,6,'DONNÉES BRUTES'!AB$3:AB$42+ROW('DONNÉES BRUTES'!AB$3:AB$42)/1000,7),'DONNÉES BRUTES'!AB$3:AB$42+ROW('DONNÉES BRUTES'!AB$3:AB$42)/1000,0)),"—")</f>
        <v>1.22</v>
      </c>
      <c r="L10" s="111" t="s">
        <v>11</v>
      </c>
      <c r="M10" s="111" t="str" cm="1">
        <f t="array" ref="M10">IFERROR(INDEX('DONNÉES BRUTES'!AD$3:AD$42,MATCH(_xlfn.AGGREGATE(14,6,'DONNÉES BRUTES'!AB$3:AB$42+ROW('DONNÉES BRUTES'!AB$3:AB$42)/1000,7),'DONNÉES BRUTES'!AB$3:AB$42+ROW('DONNÉES BRUTES'!AB$3:AB$42)/1000,0)),"—")</f>
        <v>Neutre</v>
      </c>
      <c r="O10" s="235" t="str">
        <f t="shared" si="0"/>
        <v>Airbus SE</v>
      </c>
      <c r="P10" s="235">
        <f t="shared" si="1"/>
        <v>68</v>
      </c>
    </row>
    <row r="11" spans="1:17" ht="15.95" customHeight="1" thickBot="1" x14ac:dyDescent="0.3">
      <c r="A11" s="126">
        <v>8</v>
      </c>
      <c r="B11" s="122" t="str" cm="1">
        <f t="array" ref="B11">IFERROR(INDEX('DONNÉES BRUTES'!A$3:A$42,MATCH(_xlfn.AGGREGATE(14,6,'DONNÉES BRUTES'!AB$3:AB$42+ROW('DONNÉES BRUTES'!AB$3:AB$42)/1000,8),'DONNÉES BRUTES'!AB$3:AB$42+ROW('DONNÉES BRUTES'!AB$3:AB$42)/1000,0)),"—")</f>
        <v>SAF.PA</v>
      </c>
      <c r="C11" s="113" t="str" cm="1">
        <f t="array" ref="C11">IFERROR(INDEX('DONNÉES BRUTES'!B$3:B$42,MATCH(_xlfn.AGGREGATE(14,6,'DONNÉES BRUTES'!AB$3:AB$42+ROW('DONNÉES BRUTES'!AB$3:AB$42)/1000,8),'DONNÉES BRUTES'!AB$3:AB$42+ROW('DONNÉES BRUTES'!AB$3:AB$42)/1000,0)),"—")</f>
        <v>Safran SA</v>
      </c>
      <c r="D11" s="113" t="str" cm="1">
        <f t="array" ref="D11">IFERROR(INDEX('DONNÉES BRUTES'!C$3:C$42,MATCH(_xlfn.AGGREGATE(14,6,'DONNÉES BRUTES'!AB$3:AB$42+ROW('DONNÉES BRUTES'!AB$3:AB$42)/1000,8),'DONNÉES BRUTES'!AB$3:AB$42+ROW('DONNÉES BRUTES'!AB$3:AB$42)/1000,0)),"—")</f>
        <v>Industrials</v>
      </c>
      <c r="E11" s="114" t="str" cm="1">
        <f t="array" ref="E11">IFERROR(INDEX('DONNÉES BRUTES'!AB$3:AB$42,MATCH(_xlfn.AGGREGATE(14,6,'DONNÉES BRUTES'!AB$3:AB$42+ROW('DONNÉES BRUTES'!AB$3:AB$42)/1000,8),'DONNÉES BRUTES'!AB$3:AB$42+ROW('DONNÉES BRUTES'!AB$3:AB$42)/1000,0))&amp;"/100","—")</f>
        <v>68/100</v>
      </c>
      <c r="F11" s="112" t="str" cm="1">
        <f t="array" ref="F11">IFERROR(INDEX('DONNÉES BRUTES'!I$3:I$42,MATCH(_xlfn.AGGREGATE(14,6,'DONNÉES BRUTES'!AB$3:AB$42+ROW('DONNÉES BRUTES'!AB$3:AB$42)/1000,8),'DONNÉES BRUTES'!AB$3:AB$42+ROW('DONNÉES BRUTES'!AB$3:AB$42)/1000,0)),"—")</f>
        <v>—</v>
      </c>
      <c r="G11" s="112" t="str" cm="1">
        <f t="array" ref="G11">IFERROR(INDEX('DONNÉES BRUTES'!J$3:J$42,MATCH(_xlfn.AGGREGATE(14,6,'DONNÉES BRUTES'!AB$3:AB$42+ROW('DONNÉES BRUTES'!AB$3:AB$42)/1000,8),'DONNÉES BRUTES'!AB$3:AB$42+ROW('DONNÉES BRUTES'!AB$3:AB$42)/1000,0)),"—")</f>
        <v>—</v>
      </c>
      <c r="H11" s="112" t="str" cm="1">
        <f t="array" ref="H11">IFERROR(INDEX('DONNÉES BRUTES'!K$3:K$42,MATCH(_xlfn.AGGREGATE(14,6,'DONNÉES BRUTES'!AB$3:AB$42+ROW('DONNÉES BRUTES'!AB$3:AB$42)/1000,8),'DONNÉES BRUTES'!AB$3:AB$42+ROW('DONNÉES BRUTES'!AB$3:AB$42)/1000,0)),"—")</f>
        <v>—</v>
      </c>
      <c r="I11" s="112" t="str" cm="1">
        <f t="array" ref="I11">IFERROR(INDEX('DONNÉES BRUTES'!M$3:M$42,MATCH(_xlfn.AGGREGATE(14,6,'DONNÉES BRUTES'!AB$3:AB$42+ROW('DONNÉES BRUTES'!AB$3:AB$42)/1000,8),'DONNÉES BRUTES'!AB$3:AB$42+ROW('DONNÉES BRUTES'!AB$3:AB$42)/1000,0)),"—")</f>
        <v>46.9%</v>
      </c>
      <c r="J11" s="112" t="str" cm="1">
        <f t="array" ref="J11">IFERROR(INDEX('DONNÉES BRUTES'!N$3:N$42,MATCH(_xlfn.AGGREGATE(14,6,'DONNÉES BRUTES'!AB$3:AB$42+ROW('DONNÉES BRUTES'!AB$3:AB$42)/1000,8),'DONNÉES BRUTES'!AB$3:AB$42+ROW('DONNÉES BRUTES'!AB$3:AB$42)/1000,0)),"—")</f>
        <v>39.2%</v>
      </c>
      <c r="K11" s="112" t="str" cm="1">
        <f t="array" ref="K11">IFERROR(INDEX('DONNÉES BRUTES'!U$3:U$42,MATCH(_xlfn.AGGREGATE(14,6,'DONNÉES BRUTES'!AB$3:AB$42+ROW('DONNÉES BRUTES'!AB$3:AB$42)/1000,8),'DONNÉES BRUTES'!AB$3:AB$42+ROW('DONNÉES BRUTES'!AB$3:AB$42)/1000,0)),"—")</f>
        <v>1.54</v>
      </c>
      <c r="L11" s="115" t="s">
        <v>11</v>
      </c>
      <c r="M11" s="115" t="str" cm="1">
        <f t="array" ref="M11">IFERROR(INDEX('DONNÉES BRUTES'!AD$3:AD$42,MATCH(_xlfn.AGGREGATE(14,6,'DONNÉES BRUTES'!AB$3:AB$42+ROW('DONNÉES BRUTES'!AB$3:AB$42)/1000,8),'DONNÉES BRUTES'!AB$3:AB$42+ROW('DONNÉES BRUTES'!AB$3:AB$42)/1000,0)),"—")</f>
        <v>Neutre</v>
      </c>
      <c r="O11" s="235" t="str">
        <f t="shared" si="0"/>
        <v>Crédit Agricole S.A.</v>
      </c>
      <c r="P11" s="235">
        <f t="shared" si="1"/>
        <v>65</v>
      </c>
    </row>
    <row r="12" spans="1:17" ht="15.95" customHeight="1" thickBot="1" x14ac:dyDescent="0.3">
      <c r="A12" s="125">
        <v>9</v>
      </c>
      <c r="B12" s="121" t="str" cm="1">
        <f t="array" ref="B12">IFERROR(INDEX('DONNÉES BRUTES'!A$3:A$42,MATCH(_xlfn.AGGREGATE(14,6,'DONNÉES BRUTES'!AB$3:AB$42+ROW('DONNÉES BRUTES'!AB$3:AB$42)/1000,9),'DONNÉES BRUTES'!AB$3:AB$42+ROW('DONNÉES BRUTES'!AB$3:AB$42)/1000,0)),"—")</f>
        <v>AIR.PA</v>
      </c>
      <c r="C12" s="109" t="str" cm="1">
        <f t="array" ref="C12">IFERROR(INDEX('DONNÉES BRUTES'!B$3:B$42,MATCH(_xlfn.AGGREGATE(14,6,'DONNÉES BRUTES'!AB$3:AB$42+ROW('DONNÉES BRUTES'!AB$3:AB$42)/1000,9),'DONNÉES BRUTES'!AB$3:AB$42+ROW('DONNÉES BRUTES'!AB$3:AB$42)/1000,0)),"—")</f>
        <v>Airbus SE</v>
      </c>
      <c r="D12" s="109" t="str" cm="1">
        <f t="array" ref="D12">IFERROR(INDEX('DONNÉES BRUTES'!C$3:C$42,MATCH(_xlfn.AGGREGATE(14,6,'DONNÉES BRUTES'!AB$3:AB$42+ROW('DONNÉES BRUTES'!AB$3:AB$42)/1000,9),'DONNÉES BRUTES'!AB$3:AB$42+ROW('DONNÉES BRUTES'!AB$3:AB$42)/1000,0)),"—")</f>
        <v>Industrials</v>
      </c>
      <c r="E12" s="110" t="str" cm="1">
        <f t="array" ref="E12">IFERROR(INDEX('DONNÉES BRUTES'!AB$3:AB$42,MATCH(_xlfn.AGGREGATE(14,6,'DONNÉES BRUTES'!AB$3:AB$42+ROW('DONNÉES BRUTES'!AB$3:AB$42)/1000,9),'DONNÉES BRUTES'!AB$3:AB$42+ROW('DONNÉES BRUTES'!AB$3:AB$42)/1000,0))&amp;"/100","—")</f>
        <v>68/100</v>
      </c>
      <c r="F12" s="108" t="str" cm="1">
        <f t="array" ref="F12">IFERROR(INDEX('DONNÉES BRUTES'!I$3:I$42,MATCH(_xlfn.AGGREGATE(14,6,'DONNÉES BRUTES'!AB$3:AB$42+ROW('DONNÉES BRUTES'!AB$3:AB$42)/1000,9),'DONNÉES BRUTES'!AB$3:AB$42+ROW('DONNÉES BRUTES'!AB$3:AB$42)/1000,0)),"—")</f>
        <v>—</v>
      </c>
      <c r="G12" s="108" t="str" cm="1">
        <f t="array" ref="G12">IFERROR(INDEX('DONNÉES BRUTES'!J$3:J$42,MATCH(_xlfn.AGGREGATE(14,6,'DONNÉES BRUTES'!AB$3:AB$42+ROW('DONNÉES BRUTES'!AB$3:AB$42)/1000,9),'DONNÉES BRUTES'!AB$3:AB$42+ROW('DONNÉES BRUTES'!AB$3:AB$42)/1000,0)),"—")</f>
        <v>—</v>
      </c>
      <c r="H12" s="108" t="str" cm="1">
        <f t="array" ref="H12">IFERROR(INDEX('DONNÉES BRUTES'!K$3:K$42,MATCH(_xlfn.AGGREGATE(14,6,'DONNÉES BRUTES'!AB$3:AB$42+ROW('DONNÉES BRUTES'!AB$3:AB$42)/1000,9),'DONNÉES BRUTES'!AB$3:AB$42+ROW('DONNÉES BRUTES'!AB$3:AB$42)/1000,0)),"—")</f>
        <v>—</v>
      </c>
      <c r="I12" s="108" t="str" cm="1">
        <f t="array" ref="I12">IFERROR(INDEX('DONNÉES BRUTES'!M$3:M$42,MATCH(_xlfn.AGGREGATE(14,6,'DONNÉES BRUTES'!AB$3:AB$42+ROW('DONNÉES BRUTES'!AB$3:AB$42)/1000,9),'DONNÉES BRUTES'!AB$3:AB$42+ROW('DONNÉES BRUTES'!AB$3:AB$42)/1000,0)),"—")</f>
        <v>14.9%</v>
      </c>
      <c r="J12" s="108" t="str" cm="1">
        <f t="array" ref="J12">IFERROR(INDEX('DONNÉES BRUTES'!N$3:N$42,MATCH(_xlfn.AGGREGATE(14,6,'DONNÉES BRUTES'!AB$3:AB$42+ROW('DONNÉES BRUTES'!AB$3:AB$42)/1000,9),'DONNÉES BRUTES'!AB$3:AB$42+ROW('DONNÉES BRUTES'!AB$3:AB$42)/1000,0)),"—")</f>
        <v>14.0%</v>
      </c>
      <c r="K12" s="108" t="str" cm="1">
        <f t="array" ref="K12">IFERROR(INDEX('DONNÉES BRUTES'!U$3:U$42,MATCH(_xlfn.AGGREGATE(14,6,'DONNÉES BRUTES'!AB$3:AB$42+ROW('DONNÉES BRUTES'!AB$3:AB$42)/1000,9),'DONNÉES BRUTES'!AB$3:AB$42+ROW('DONNÉES BRUTES'!AB$3:AB$42)/1000,0)),"—")</f>
        <v>1.64</v>
      </c>
      <c r="L12" s="111" t="s">
        <v>11</v>
      </c>
      <c r="M12" s="111" t="str" cm="1">
        <f t="array" ref="M12">IFERROR(INDEX('DONNÉES BRUTES'!AD$3:AD$42,MATCH(_xlfn.AGGREGATE(14,6,'DONNÉES BRUTES'!AB$3:AB$42+ROW('DONNÉES BRUTES'!AB$3:AB$42)/1000,9),'DONNÉES BRUTES'!AB$3:AB$42+ROW('DONNÉES BRUTES'!AB$3:AB$42)/1000,0)),"—")</f>
        <v>Neutre</v>
      </c>
      <c r="O12" s="235" t="str">
        <f t="shared" si="0"/>
        <v>Legrand SA</v>
      </c>
      <c r="P12" s="235">
        <f t="shared" si="1"/>
        <v>64</v>
      </c>
    </row>
    <row r="13" spans="1:17" ht="15.95" customHeight="1" thickBot="1" x14ac:dyDescent="0.3">
      <c r="A13" s="126">
        <v>10</v>
      </c>
      <c r="B13" s="122" t="str" cm="1">
        <f t="array" ref="B13">IFERROR(INDEX('DONNÉES BRUTES'!A$3:A$42,MATCH(_xlfn.AGGREGATE(14,6,'DONNÉES BRUTES'!AB$3:AB$42+ROW('DONNÉES BRUTES'!AB$3:AB$42)/1000,10),'DONNÉES BRUTES'!AB$3:AB$42+ROW('DONNÉES BRUTES'!AB$3:AB$42)/1000,0)),"—")</f>
        <v>ACA.PA</v>
      </c>
      <c r="C13" s="113" t="str" cm="1">
        <f t="array" ref="C13">IFERROR(INDEX('DONNÉES BRUTES'!B$3:B$42,MATCH(_xlfn.AGGREGATE(14,6,'DONNÉES BRUTES'!AB$3:AB$42+ROW('DONNÉES BRUTES'!AB$3:AB$42)/1000,10),'DONNÉES BRUTES'!AB$3:AB$42+ROW('DONNÉES BRUTES'!AB$3:AB$42)/1000,0)),"—")</f>
        <v>Crédit Agricole S.A.</v>
      </c>
      <c r="D13" s="113" t="str" cm="1">
        <f t="array" ref="D13">IFERROR(INDEX('DONNÉES BRUTES'!C$3:C$42,MATCH(_xlfn.AGGREGATE(14,6,'DONNÉES BRUTES'!AB$3:AB$42+ROW('DONNÉES BRUTES'!AB$3:AB$42)/1000,10),'DONNÉES BRUTES'!AB$3:AB$42+ROW('DONNÉES BRUTES'!AB$3:AB$42)/1000,0)),"—")</f>
        <v>Financials</v>
      </c>
      <c r="E13" s="114" t="str" cm="1">
        <f t="array" ref="E13">IFERROR(INDEX('DONNÉES BRUTES'!AB$3:AB$42,MATCH(_xlfn.AGGREGATE(14,6,'DONNÉES BRUTES'!AB$3:AB$42+ROW('DONNÉES BRUTES'!AB$3:AB$42)/1000,10),'DONNÉES BRUTES'!AB$3:AB$42+ROW('DONNÉES BRUTES'!AB$3:AB$42)/1000,0))&amp;"/100","—")</f>
        <v>65/100</v>
      </c>
      <c r="F13" s="112" t="str" cm="1">
        <f t="array" ref="F13">IFERROR(INDEX('DONNÉES BRUTES'!I$3:I$42,MATCH(_xlfn.AGGREGATE(14,6,'DONNÉES BRUTES'!AB$3:AB$42+ROW('DONNÉES BRUTES'!AB$3:AB$42)/1000,10),'DONNÉES BRUTES'!AB$3:AB$42+ROW('DONNÉES BRUTES'!AB$3:AB$42)/1000,0)),"—")</f>
        <v>—</v>
      </c>
      <c r="G13" s="112" t="str" cm="1">
        <f t="array" ref="G13">IFERROR(INDEX('DONNÉES BRUTES'!J$3:J$42,MATCH(_xlfn.AGGREGATE(14,6,'DONNÉES BRUTES'!AB$3:AB$42+ROW('DONNÉES BRUTES'!AB$3:AB$42)/1000,10),'DONNÉES BRUTES'!AB$3:AB$42+ROW('DONNÉES BRUTES'!AB$3:AB$42)/1000,0)),"—")</f>
        <v>—</v>
      </c>
      <c r="H13" s="112" t="str" cm="1">
        <f t="array" ref="H13">IFERROR(INDEX('DONNÉES BRUTES'!K$3:K$42,MATCH(_xlfn.AGGREGATE(14,6,'DONNÉES BRUTES'!AB$3:AB$42+ROW('DONNÉES BRUTES'!AB$3:AB$42)/1000,10),'DONNÉES BRUTES'!AB$3:AB$42+ROW('DONNÉES BRUTES'!AB$3:AB$42)/1000,0)),"—")</f>
        <v>—</v>
      </c>
      <c r="I13" s="112" t="str" cm="1">
        <f t="array" ref="I13">IFERROR(INDEX('DONNÉES BRUTES'!M$3:M$42,MATCH(_xlfn.AGGREGATE(14,6,'DONNÉES BRUTES'!AB$3:AB$42+ROW('DONNÉES BRUTES'!AB$3:AB$42)/1000,10),'DONNÉES BRUTES'!AB$3:AB$42+ROW('DONNÉES BRUTES'!AB$3:AB$42)/1000,0)),"—")</f>
        <v>—</v>
      </c>
      <c r="J13" s="112" t="str" cm="1">
        <f t="array" ref="J13">IFERROR(INDEX('DONNÉES BRUTES'!N$3:N$42,MATCH(_xlfn.AGGREGATE(14,6,'DONNÉES BRUTES'!AB$3:AB$42+ROW('DONNÉES BRUTES'!AB$3:AB$42)/1000,10),'DONNÉES BRUTES'!AB$3:AB$42+ROW('DONNÉES BRUTES'!AB$3:AB$42)/1000,0)),"—")</f>
        <v>192.6%</v>
      </c>
      <c r="K13" s="112" t="str" cm="1">
        <f t="array" ref="K13">IFERROR(INDEX('DONNÉES BRUTES'!U$3:U$42,MATCH(_xlfn.AGGREGATE(14,6,'DONNÉES BRUTES'!AB$3:AB$42+ROW('DONNÉES BRUTES'!AB$3:AB$42)/1000,10),'DONNÉES BRUTES'!AB$3:AB$42+ROW('DONNÉES BRUTES'!AB$3:AB$42)/1000,0)),"—")</f>
        <v>—</v>
      </c>
      <c r="L13" s="115" t="s">
        <v>11</v>
      </c>
      <c r="M13" s="115" t="str" cm="1">
        <f t="array" ref="M13">IFERROR(INDEX('DONNÉES BRUTES'!AD$3:AD$42,MATCH(_xlfn.AGGREGATE(14,6,'DONNÉES BRUTES'!AB$3:AB$42+ROW('DONNÉES BRUTES'!AB$3:AB$42)/1000,10),'DONNÉES BRUTES'!AB$3:AB$42+ROW('DONNÉES BRUTES'!AB$3:AB$42)/1000,0)),"—")</f>
        <v>Neutre</v>
      </c>
      <c r="O13" s="235" t="str">
        <f t="shared" si="0"/>
        <v>L'Oréal S.A.</v>
      </c>
      <c r="P13" s="235">
        <f t="shared" si="1"/>
        <v>64</v>
      </c>
    </row>
    <row r="14" spans="1:17" ht="15.95" customHeight="1" thickBot="1" x14ac:dyDescent="0.3">
      <c r="A14" s="125">
        <v>11</v>
      </c>
      <c r="B14" s="121" t="str" cm="1">
        <f t="array" ref="B14">IFERROR(INDEX('DONNÉES BRUTES'!A$3:A$42,MATCH(_xlfn.AGGREGATE(14,6,'DONNÉES BRUTES'!AB$3:AB$42+ROW('DONNÉES BRUTES'!AB$3:AB$42)/1000,11),'DONNÉES BRUTES'!AB$3:AB$42+ROW('DONNÉES BRUTES'!AB$3:AB$42)/1000,0)),"—")</f>
        <v>LR.PA</v>
      </c>
      <c r="C14" s="109" t="str" cm="1">
        <f t="array" ref="C14">IFERROR(INDEX('DONNÉES BRUTES'!B$3:B$42,MATCH(_xlfn.AGGREGATE(14,6,'DONNÉES BRUTES'!AB$3:AB$42+ROW('DONNÉES BRUTES'!AB$3:AB$42)/1000,11),'DONNÉES BRUTES'!AB$3:AB$42+ROW('DONNÉES BRUTES'!AB$3:AB$42)/1000,0)),"—")</f>
        <v>Legrand SA</v>
      </c>
      <c r="D14" s="109" t="str" cm="1">
        <f t="array" ref="D14">IFERROR(INDEX('DONNÉES BRUTES'!C$3:C$42,MATCH(_xlfn.AGGREGATE(14,6,'DONNÉES BRUTES'!AB$3:AB$42+ROW('DONNÉES BRUTES'!AB$3:AB$42)/1000,11),'DONNÉES BRUTES'!AB$3:AB$42+ROW('DONNÉES BRUTES'!AB$3:AB$42)/1000,0)),"—")</f>
        <v>Industrials</v>
      </c>
      <c r="E14" s="110" t="str" cm="1">
        <f t="array" ref="E14">IFERROR(INDEX('DONNÉES BRUTES'!AB$3:AB$42,MATCH(_xlfn.AGGREGATE(14,6,'DONNÉES BRUTES'!AB$3:AB$42+ROW('DONNÉES BRUTES'!AB$3:AB$42)/1000,11),'DONNÉES BRUTES'!AB$3:AB$42+ROW('DONNÉES BRUTES'!AB$3:AB$42)/1000,0))&amp;"/100","—")</f>
        <v>64/100</v>
      </c>
      <c r="F14" s="108" t="str" cm="1">
        <f t="array" ref="F14">IFERROR(INDEX('DONNÉES BRUTES'!I$3:I$42,MATCH(_xlfn.AGGREGATE(14,6,'DONNÉES BRUTES'!AB$3:AB$42+ROW('DONNÉES BRUTES'!AB$3:AB$42)/1000,11),'DONNÉES BRUTES'!AB$3:AB$42+ROW('DONNÉES BRUTES'!AB$3:AB$42)/1000,0)),"—")</f>
        <v>—</v>
      </c>
      <c r="G14" s="108" t="str" cm="1">
        <f t="array" ref="G14">IFERROR(INDEX('DONNÉES BRUTES'!J$3:J$42,MATCH(_xlfn.AGGREGATE(14,6,'DONNÉES BRUTES'!AB$3:AB$42+ROW('DONNÉES BRUTES'!AB$3:AB$42)/1000,11),'DONNÉES BRUTES'!AB$3:AB$42+ROW('DONNÉES BRUTES'!AB$3:AB$42)/1000,0)),"—")</f>
        <v>—</v>
      </c>
      <c r="H14" s="108" t="str" cm="1">
        <f t="array" ref="H14">IFERROR(INDEX('DONNÉES BRUTES'!K$3:K$42,MATCH(_xlfn.AGGREGATE(14,6,'DONNÉES BRUTES'!AB$3:AB$42+ROW('DONNÉES BRUTES'!AB$3:AB$42)/1000,11),'DONNÉES BRUTES'!AB$3:AB$42+ROW('DONNÉES BRUTES'!AB$3:AB$42)/1000,0)),"—")</f>
        <v>—</v>
      </c>
      <c r="I14" s="108" t="str" cm="1">
        <f t="array" ref="I14">IFERROR(INDEX('DONNÉES BRUTES'!M$3:M$42,MATCH(_xlfn.AGGREGATE(14,6,'DONNÉES BRUTES'!AB$3:AB$42+ROW('DONNÉES BRUTES'!AB$3:AB$42)/1000,11),'DONNÉES BRUTES'!AB$3:AB$42+ROW('DONNÉES BRUTES'!AB$3:AB$42)/1000,0)),"—")</f>
        <v>50.8%</v>
      </c>
      <c r="J14" s="108" t="str" cm="1">
        <f t="array" ref="J14">IFERROR(INDEX('DONNÉES BRUTES'!N$3:N$42,MATCH(_xlfn.AGGREGATE(14,6,'DONNÉES BRUTES'!AB$3:AB$42+ROW('DONNÉES BRUTES'!AB$3:AB$42)/1000,11),'DONNÉES BRUTES'!AB$3:AB$42+ROW('DONNÉES BRUTES'!AB$3:AB$42)/1000,0)),"—")</f>
        <v>23.9%</v>
      </c>
      <c r="K14" s="108" t="str" cm="1">
        <f t="array" ref="K14">IFERROR(INDEX('DONNÉES BRUTES'!U$3:U$42,MATCH(_xlfn.AGGREGATE(14,6,'DONNÉES BRUTES'!AB$3:AB$42+ROW('DONNÉES BRUTES'!AB$3:AB$42)/1000,11),'DONNÉES BRUTES'!AB$3:AB$42+ROW('DONNÉES BRUTES'!AB$3:AB$42)/1000,0)),"—")</f>
        <v>3.78</v>
      </c>
      <c r="L14" s="111" t="s">
        <v>11</v>
      </c>
      <c r="M14" s="111" t="str" cm="1">
        <f t="array" ref="M14">IFERROR(INDEX('DONNÉES BRUTES'!AD$3:AD$42,MATCH(_xlfn.AGGREGATE(14,6,'DONNÉES BRUTES'!AB$3:AB$42+ROW('DONNÉES BRUTES'!AB$3:AB$42)/1000,11),'DONNÉES BRUTES'!AB$3:AB$42+ROW('DONNÉES BRUTES'!AB$3:AB$42)/1000,0)),"—")</f>
        <v>Neutre</v>
      </c>
      <c r="O14" s="235" t="str">
        <f t="shared" si="0"/>
        <v>EssilorLuxottica Soc</v>
      </c>
      <c r="P14" s="235">
        <f t="shared" si="1"/>
        <v>64</v>
      </c>
    </row>
    <row r="15" spans="1:17" ht="15.95" customHeight="1" thickBot="1" x14ac:dyDescent="0.3">
      <c r="A15" s="126">
        <v>12</v>
      </c>
      <c r="B15" s="122" t="str" cm="1">
        <f t="array" ref="B15">IFERROR(INDEX('DONNÉES BRUTES'!A$3:A$42,MATCH(_xlfn.AGGREGATE(14,6,'DONNÉES BRUTES'!AB$3:AB$42+ROW('DONNÉES BRUTES'!AB$3:AB$42)/1000,12),'DONNÉES BRUTES'!AB$3:AB$42+ROW('DONNÉES BRUTES'!AB$3:AB$42)/1000,0)),"—")</f>
        <v>OR.PA</v>
      </c>
      <c r="C15" s="113" t="str" cm="1">
        <f t="array" ref="C15">IFERROR(INDEX('DONNÉES BRUTES'!B$3:B$42,MATCH(_xlfn.AGGREGATE(14,6,'DONNÉES BRUTES'!AB$3:AB$42+ROW('DONNÉES BRUTES'!AB$3:AB$42)/1000,12),'DONNÉES BRUTES'!AB$3:AB$42+ROW('DONNÉES BRUTES'!AB$3:AB$42)/1000,0)),"—")</f>
        <v>L'Oréal S.A.</v>
      </c>
      <c r="D15" s="113" t="str" cm="1">
        <f t="array" ref="D15">IFERROR(INDEX('DONNÉES BRUTES'!C$3:C$42,MATCH(_xlfn.AGGREGATE(14,6,'DONNÉES BRUTES'!AB$3:AB$42+ROW('DONNÉES BRUTES'!AB$3:AB$42)/1000,12),'DONNÉES BRUTES'!AB$3:AB$42+ROW('DONNÉES BRUTES'!AB$3:AB$42)/1000,0)),"—")</f>
        <v>Consumer Staples</v>
      </c>
      <c r="E15" s="114" t="str" cm="1">
        <f t="array" ref="E15">IFERROR(INDEX('DONNÉES BRUTES'!AB$3:AB$42,MATCH(_xlfn.AGGREGATE(14,6,'DONNÉES BRUTES'!AB$3:AB$42+ROW('DONNÉES BRUTES'!AB$3:AB$42)/1000,12),'DONNÉES BRUTES'!AB$3:AB$42+ROW('DONNÉES BRUTES'!AB$3:AB$42)/1000,0))&amp;"/100","—")</f>
        <v>64/100</v>
      </c>
      <c r="F15" s="112" t="str" cm="1">
        <f t="array" ref="F15">IFERROR(INDEX('DONNÉES BRUTES'!I$3:I$42,MATCH(_xlfn.AGGREGATE(14,6,'DONNÉES BRUTES'!AB$3:AB$42+ROW('DONNÉES BRUTES'!AB$3:AB$42)/1000,12),'DONNÉES BRUTES'!AB$3:AB$42+ROW('DONNÉES BRUTES'!AB$3:AB$42)/1000,0)),"—")</f>
        <v>—</v>
      </c>
      <c r="G15" s="112" t="str" cm="1">
        <f t="array" ref="G15">IFERROR(INDEX('DONNÉES BRUTES'!J$3:J$42,MATCH(_xlfn.AGGREGATE(14,6,'DONNÉES BRUTES'!AB$3:AB$42+ROW('DONNÉES BRUTES'!AB$3:AB$42)/1000,12),'DONNÉES BRUTES'!AB$3:AB$42+ROW('DONNÉES BRUTES'!AB$3:AB$42)/1000,0)),"—")</f>
        <v>—</v>
      </c>
      <c r="H15" s="112" t="str" cm="1">
        <f t="array" ref="H15">IFERROR(INDEX('DONNÉES BRUTES'!K$3:K$42,MATCH(_xlfn.AGGREGATE(14,6,'DONNÉES BRUTES'!AB$3:AB$42+ROW('DONNÉES BRUTES'!AB$3:AB$42)/1000,12),'DONNÉES BRUTES'!AB$3:AB$42+ROW('DONNÉES BRUTES'!AB$3:AB$42)/1000,0)),"—")</f>
        <v>—</v>
      </c>
      <c r="I15" s="112" t="str" cm="1">
        <f t="array" ref="I15">IFERROR(INDEX('DONNÉES BRUTES'!M$3:M$42,MATCH(_xlfn.AGGREGATE(14,6,'DONNÉES BRUTES'!AB$3:AB$42+ROW('DONNÉES BRUTES'!AB$3:AB$42)/1000,12),'DONNÉES BRUTES'!AB$3:AB$42+ROW('DONNÉES BRUTES'!AB$3:AB$42)/1000,0)),"—")</f>
        <v>74.3%</v>
      </c>
      <c r="J15" s="112" t="str" cm="1">
        <f t="array" ref="J15">IFERROR(INDEX('DONNÉES BRUTES'!N$3:N$42,MATCH(_xlfn.AGGREGATE(14,6,'DONNÉES BRUTES'!AB$3:AB$42+ROW('DONNÉES BRUTES'!AB$3:AB$42)/1000,12),'DONNÉES BRUTES'!AB$3:AB$42+ROW('DONNÉES BRUTES'!AB$3:AB$42)/1000,0)),"—")</f>
        <v>24.3%</v>
      </c>
      <c r="K15" s="112" t="str" cm="1">
        <f t="array" ref="K15">IFERROR(INDEX('DONNÉES BRUTES'!U$3:U$42,MATCH(_xlfn.AGGREGATE(14,6,'DONNÉES BRUTES'!AB$3:AB$42+ROW('DONNÉES BRUTES'!AB$3:AB$42)/1000,12),'DONNÉES BRUTES'!AB$3:AB$42+ROW('DONNÉES BRUTES'!AB$3:AB$42)/1000,0)),"—")</f>
        <v>3.38</v>
      </c>
      <c r="L15" s="115" t="s">
        <v>11</v>
      </c>
      <c r="M15" s="115" t="str" cm="1">
        <f t="array" ref="M15">IFERROR(INDEX('DONNÉES BRUTES'!AD$3:AD$42,MATCH(_xlfn.AGGREGATE(14,6,'DONNÉES BRUTES'!AB$3:AB$42+ROW('DONNÉES BRUTES'!AB$3:AB$42)/1000,12),'DONNÉES BRUTES'!AB$3:AB$42+ROW('DONNÉES BRUTES'!AB$3:AB$42)/1000,0)),"—")</f>
        <v>Neutre</v>
      </c>
      <c r="O15" s="235" t="str">
        <f t="shared" si="0"/>
        <v>AXA SA</v>
      </c>
      <c r="P15" s="235">
        <f t="shared" si="1"/>
        <v>64</v>
      </c>
    </row>
    <row r="16" spans="1:17" ht="15.95" customHeight="1" thickBot="1" x14ac:dyDescent="0.3">
      <c r="A16" s="125">
        <v>13</v>
      </c>
      <c r="B16" s="121" t="str" cm="1">
        <f t="array" ref="B16">IFERROR(INDEX('DONNÉES BRUTES'!A$3:A$42,MATCH(_xlfn.AGGREGATE(14,6,'DONNÉES BRUTES'!AB$3:AB$42+ROW('DONNÉES BRUTES'!AB$3:AB$42)/1000,13),'DONNÉES BRUTES'!AB$3:AB$42+ROW('DONNÉES BRUTES'!AB$3:AB$42)/1000,0)),"—")</f>
        <v>EL.PA</v>
      </c>
      <c r="C16" s="109" t="str" cm="1">
        <f t="array" ref="C16">IFERROR(INDEX('DONNÉES BRUTES'!B$3:B$42,MATCH(_xlfn.AGGREGATE(14,6,'DONNÉES BRUTES'!AB$3:AB$42+ROW('DONNÉES BRUTES'!AB$3:AB$42)/1000,13),'DONNÉES BRUTES'!AB$3:AB$42+ROW('DONNÉES BRUTES'!AB$3:AB$42)/1000,0)),"—")</f>
        <v>EssilorLuxottica Société anonyme</v>
      </c>
      <c r="D16" s="109" t="str" cm="1">
        <f t="array" ref="D16">IFERROR(INDEX('DONNÉES BRUTES'!C$3:C$42,MATCH(_xlfn.AGGREGATE(14,6,'DONNÉES BRUTES'!AB$3:AB$42+ROW('DONNÉES BRUTES'!AB$3:AB$42)/1000,13),'DONNÉES BRUTES'!AB$3:AB$42+ROW('DONNÉES BRUTES'!AB$3:AB$42)/1000,0)),"—")</f>
        <v>Healthcare</v>
      </c>
      <c r="E16" s="110" t="str" cm="1">
        <f t="array" ref="E16">IFERROR(INDEX('DONNÉES BRUTES'!AB$3:AB$42,MATCH(_xlfn.AGGREGATE(14,6,'DONNÉES BRUTES'!AB$3:AB$42+ROW('DONNÉES BRUTES'!AB$3:AB$42)/1000,13),'DONNÉES BRUTES'!AB$3:AB$42+ROW('DONNÉES BRUTES'!AB$3:AB$42)/1000,0))&amp;"/100","—")</f>
        <v>64/100</v>
      </c>
      <c r="F16" s="108" t="str" cm="1">
        <f t="array" ref="F16">IFERROR(INDEX('DONNÉES BRUTES'!I$3:I$42,MATCH(_xlfn.AGGREGATE(14,6,'DONNÉES BRUTES'!AB$3:AB$42+ROW('DONNÉES BRUTES'!AB$3:AB$42)/1000,13),'DONNÉES BRUTES'!AB$3:AB$42+ROW('DONNÉES BRUTES'!AB$3:AB$42)/1000,0)),"—")</f>
        <v>—</v>
      </c>
      <c r="G16" s="108" t="str" cm="1">
        <f t="array" ref="G16">IFERROR(INDEX('DONNÉES BRUTES'!J$3:J$42,MATCH(_xlfn.AGGREGATE(14,6,'DONNÉES BRUTES'!AB$3:AB$42+ROW('DONNÉES BRUTES'!AB$3:AB$42)/1000,13),'DONNÉES BRUTES'!AB$3:AB$42+ROW('DONNÉES BRUTES'!AB$3:AB$42)/1000,0)),"—")</f>
        <v>—</v>
      </c>
      <c r="H16" s="108" t="str" cm="1">
        <f t="array" ref="H16">IFERROR(INDEX('DONNÉES BRUTES'!K$3:K$42,MATCH(_xlfn.AGGREGATE(14,6,'DONNÉES BRUTES'!AB$3:AB$42+ROW('DONNÉES BRUTES'!AB$3:AB$42)/1000,13),'DONNÉES BRUTES'!AB$3:AB$42+ROW('DONNÉES BRUTES'!AB$3:AB$42)/1000,0)),"—")</f>
        <v>—</v>
      </c>
      <c r="I16" s="108" t="str" cm="1">
        <f t="array" ref="I16">IFERROR(INDEX('DONNÉES BRUTES'!M$3:M$42,MATCH(_xlfn.AGGREGATE(14,6,'DONNÉES BRUTES'!AB$3:AB$42+ROW('DONNÉES BRUTES'!AB$3:AB$42)/1000,13),'DONNÉES BRUTES'!AB$3:AB$42+ROW('DONNÉES BRUTES'!AB$3:AB$42)/1000,0)),"—")</f>
        <v>60.6%</v>
      </c>
      <c r="J16" s="108" t="str" cm="1">
        <f t="array" ref="J16">IFERROR(INDEX('DONNÉES BRUTES'!N$3:N$42,MATCH(_xlfn.AGGREGATE(14,6,'DONNÉES BRUTES'!AB$3:AB$42+ROW('DONNÉES BRUTES'!AB$3:AB$42)/1000,13),'DONNÉES BRUTES'!AB$3:AB$42+ROW('DONNÉES BRUTES'!AB$3:AB$42)/1000,0)),"—")</f>
        <v>23.2%</v>
      </c>
      <c r="K16" s="108" t="str" cm="1">
        <f t="array" ref="K16">IFERROR(INDEX('DONNÉES BRUTES'!U$3:U$42,MATCH(_xlfn.AGGREGATE(14,6,'DONNÉES BRUTES'!AB$3:AB$42+ROW('DONNÉES BRUTES'!AB$3:AB$42)/1000,13),'DONNÉES BRUTES'!AB$3:AB$42+ROW('DONNÉES BRUTES'!AB$3:AB$42)/1000,0)),"—")</f>
        <v>2.27</v>
      </c>
      <c r="L16" s="111" t="s">
        <v>11</v>
      </c>
      <c r="M16" s="111" t="str" cm="1">
        <f t="array" ref="M16">IFERROR(INDEX('DONNÉES BRUTES'!AD$3:AD$42,MATCH(_xlfn.AGGREGATE(14,6,'DONNÉES BRUTES'!AB$3:AB$42+ROW('DONNÉES BRUTES'!AB$3:AB$42)/1000,13),'DONNÉES BRUTES'!AB$3:AB$42+ROW('DONNÉES BRUTES'!AB$3:AB$42)/1000,0)),"—")</f>
        <v>Neutre</v>
      </c>
      <c r="O16" s="235" t="str">
        <f t="shared" si="0"/>
        <v>BNP Paribas SA</v>
      </c>
      <c r="P16" s="235">
        <f t="shared" si="1"/>
        <v>62</v>
      </c>
    </row>
    <row r="17" spans="1:13" ht="15.95" customHeight="1" thickBot="1" x14ac:dyDescent="0.3">
      <c r="A17" s="126">
        <v>14</v>
      </c>
      <c r="B17" s="122" t="str" cm="1">
        <f t="array" ref="B17">IFERROR(INDEX('DONNÉES BRUTES'!A$3:A$42,MATCH(_xlfn.AGGREGATE(14,6,'DONNÉES BRUTES'!AB$3:AB$42+ROW('DONNÉES BRUTES'!AB$3:AB$42)/1000,14),'DONNÉES BRUTES'!AB$3:AB$42+ROW('DONNÉES BRUTES'!AB$3:AB$42)/1000,0)),"—")</f>
        <v>CS.PA</v>
      </c>
      <c r="C17" s="113" t="str" cm="1">
        <f t="array" ref="C17">IFERROR(INDEX('DONNÉES BRUTES'!B$3:B$42,MATCH(_xlfn.AGGREGATE(14,6,'DONNÉES BRUTES'!AB$3:AB$42+ROW('DONNÉES BRUTES'!AB$3:AB$42)/1000,14),'DONNÉES BRUTES'!AB$3:AB$42+ROW('DONNÉES BRUTES'!AB$3:AB$42)/1000,0)),"—")</f>
        <v>AXA SA</v>
      </c>
      <c r="D17" s="113" t="str" cm="1">
        <f t="array" ref="D17">IFERROR(INDEX('DONNÉES BRUTES'!C$3:C$42,MATCH(_xlfn.AGGREGATE(14,6,'DONNÉES BRUTES'!AB$3:AB$42+ROW('DONNÉES BRUTES'!AB$3:AB$42)/1000,14),'DONNÉES BRUTES'!AB$3:AB$42+ROW('DONNÉES BRUTES'!AB$3:AB$42)/1000,0)),"—")</f>
        <v>Financials</v>
      </c>
      <c r="E17" s="114" t="str" cm="1">
        <f t="array" ref="E17">IFERROR(INDEX('DONNÉES BRUTES'!AB$3:AB$42,MATCH(_xlfn.AGGREGATE(14,6,'DONNÉES BRUTES'!AB$3:AB$42+ROW('DONNÉES BRUTES'!AB$3:AB$42)/1000,14),'DONNÉES BRUTES'!AB$3:AB$42+ROW('DONNÉES BRUTES'!AB$3:AB$42)/1000,0))&amp;"/100","—")</f>
        <v>64/100</v>
      </c>
      <c r="F17" s="112" t="str" cm="1">
        <f t="array" ref="F17">IFERROR(INDEX('DONNÉES BRUTES'!I$3:I$42,MATCH(_xlfn.AGGREGATE(14,6,'DONNÉES BRUTES'!AB$3:AB$42+ROW('DONNÉES BRUTES'!AB$3:AB$42)/1000,14),'DONNÉES BRUTES'!AB$3:AB$42+ROW('DONNÉES BRUTES'!AB$3:AB$42)/1000,0)),"—")</f>
        <v>—</v>
      </c>
      <c r="G17" s="112" t="str" cm="1">
        <f t="array" ref="G17">IFERROR(INDEX('DONNÉES BRUTES'!J$3:J$42,MATCH(_xlfn.AGGREGATE(14,6,'DONNÉES BRUTES'!AB$3:AB$42+ROW('DONNÉES BRUTES'!AB$3:AB$42)/1000,14),'DONNÉES BRUTES'!AB$3:AB$42+ROW('DONNÉES BRUTES'!AB$3:AB$42)/1000,0)),"—")</f>
        <v>—</v>
      </c>
      <c r="H17" s="112" t="str" cm="1">
        <f t="array" ref="H17">IFERROR(INDEX('DONNÉES BRUTES'!K$3:K$42,MATCH(_xlfn.AGGREGATE(14,6,'DONNÉES BRUTES'!AB$3:AB$42+ROW('DONNÉES BRUTES'!AB$3:AB$42)/1000,14),'DONNÉES BRUTES'!AB$3:AB$42+ROW('DONNÉES BRUTES'!AB$3:AB$42)/1000,0)),"—")</f>
        <v>—</v>
      </c>
      <c r="I17" s="112" t="str" cm="1">
        <f t="array" ref="I17">IFERROR(INDEX('DONNÉES BRUTES'!M$3:M$42,MATCH(_xlfn.AGGREGATE(14,6,'DONNÉES BRUTES'!AB$3:AB$42+ROW('DONNÉES BRUTES'!AB$3:AB$42)/1000,14),'DONNÉES BRUTES'!AB$3:AB$42+ROW('DONNÉES BRUTES'!AB$3:AB$42)/1000,0)),"—")</f>
        <v>—</v>
      </c>
      <c r="J17" s="112" t="str" cm="1">
        <f t="array" ref="J17">IFERROR(INDEX('DONNÉES BRUTES'!N$3:N$42,MATCH(_xlfn.AGGREGATE(14,6,'DONNÉES BRUTES'!AB$3:AB$42+ROW('DONNÉES BRUTES'!AB$3:AB$42)/1000,14),'DONNÉES BRUTES'!AB$3:AB$42+ROW('DONNÉES BRUTES'!AB$3:AB$42)/1000,0)),"—")</f>
        <v>—</v>
      </c>
      <c r="K17" s="112" t="str" cm="1">
        <f t="array" ref="K17">IFERROR(INDEX('DONNÉES BRUTES'!U$3:U$42,MATCH(_xlfn.AGGREGATE(14,6,'DONNÉES BRUTES'!AB$3:AB$42+ROW('DONNÉES BRUTES'!AB$3:AB$42)/1000,14),'DONNÉES BRUTES'!AB$3:AB$42+ROW('DONNÉES BRUTES'!AB$3:AB$42)/1000,0)),"—")</f>
        <v>—</v>
      </c>
      <c r="L17" s="115" t="s">
        <v>11</v>
      </c>
      <c r="M17" s="115" t="str" cm="1">
        <f t="array" ref="M17">IFERROR(INDEX('DONNÉES BRUTES'!AD$3:AD$42,MATCH(_xlfn.AGGREGATE(14,6,'DONNÉES BRUTES'!AB$3:AB$42+ROW('DONNÉES BRUTES'!AB$3:AB$42)/1000,14),'DONNÉES BRUTES'!AB$3:AB$42+ROW('DONNÉES BRUTES'!AB$3:AB$42)/1000,0)),"—")</f>
        <v>Neutre</v>
      </c>
    </row>
    <row r="18" spans="1:13" ht="15.95" customHeight="1" x14ac:dyDescent="0.25">
      <c r="A18" s="127">
        <v>15</v>
      </c>
      <c r="B18" s="123" t="str" cm="1">
        <f t="array" ref="B18">IFERROR(INDEX('DONNÉES BRUTES'!A$3:A$42,MATCH(_xlfn.AGGREGATE(14,6,'DONNÉES BRUTES'!AB$3:AB$42+ROW('DONNÉES BRUTES'!AB$3:AB$42)/1000,15),'DONNÉES BRUTES'!AB$3:AB$42+ROW('DONNÉES BRUTES'!AB$3:AB$42)/1000,0)),"—")</f>
        <v>BNP.PA</v>
      </c>
      <c r="C18" s="117" t="str" cm="1">
        <f t="array" ref="C18">IFERROR(INDEX('DONNÉES BRUTES'!B$3:B$42,MATCH(_xlfn.AGGREGATE(14,6,'DONNÉES BRUTES'!AB$3:AB$42+ROW('DONNÉES BRUTES'!AB$3:AB$42)/1000,15),'DONNÉES BRUTES'!AB$3:AB$42+ROW('DONNÉES BRUTES'!AB$3:AB$42)/1000,0)),"—")</f>
        <v>BNP Paribas SA</v>
      </c>
      <c r="D18" s="117" t="str" cm="1">
        <f t="array" ref="D18">IFERROR(INDEX('DONNÉES BRUTES'!C$3:C$42,MATCH(_xlfn.AGGREGATE(14,6,'DONNÉES BRUTES'!AB$3:AB$42+ROW('DONNÉES BRUTES'!AB$3:AB$42)/1000,15),'DONNÉES BRUTES'!AB$3:AB$42+ROW('DONNÉES BRUTES'!AB$3:AB$42)/1000,0)),"—")</f>
        <v>Financials</v>
      </c>
      <c r="E18" s="118" t="str" cm="1">
        <f t="array" ref="E18">IFERROR(INDEX('DONNÉES BRUTES'!AB$3:AB$42,MATCH(_xlfn.AGGREGATE(14,6,'DONNÉES BRUTES'!AB$3:AB$42+ROW('DONNÉES BRUTES'!AB$3:AB$42)/1000,15),'DONNÉES BRUTES'!AB$3:AB$42+ROW('DONNÉES BRUTES'!AB$3:AB$42)/1000,0))&amp;"/100","—")</f>
        <v>62/100</v>
      </c>
      <c r="F18" s="116" t="str" cm="1">
        <f t="array" ref="F18">IFERROR(INDEX('DONNÉES BRUTES'!I$3:I$42,MATCH(_xlfn.AGGREGATE(14,6,'DONNÉES BRUTES'!AB$3:AB$42+ROW('DONNÉES BRUTES'!AB$3:AB$42)/1000,15),'DONNÉES BRUTES'!AB$3:AB$42+ROW('DONNÉES BRUTES'!AB$3:AB$42)/1000,0)),"—")</f>
        <v>—</v>
      </c>
      <c r="G18" s="116" t="str" cm="1">
        <f t="array" ref="G18">IFERROR(INDEX('DONNÉES BRUTES'!J$3:J$42,MATCH(_xlfn.AGGREGATE(14,6,'DONNÉES BRUTES'!AB$3:AB$42+ROW('DONNÉES BRUTES'!AB$3:AB$42)/1000,15),'DONNÉES BRUTES'!AB$3:AB$42+ROW('DONNÉES BRUTES'!AB$3:AB$42)/1000,0)),"—")</f>
        <v>—</v>
      </c>
      <c r="H18" s="116" t="str" cm="1">
        <f t="array" ref="H18">IFERROR(INDEX('DONNÉES BRUTES'!K$3:K$42,MATCH(_xlfn.AGGREGATE(14,6,'DONNÉES BRUTES'!AB$3:AB$42+ROW('DONNÉES BRUTES'!AB$3:AB$42)/1000,15),'DONNÉES BRUTES'!AB$3:AB$42+ROW('DONNÉES BRUTES'!AB$3:AB$42)/1000,0)),"—")</f>
        <v>—</v>
      </c>
      <c r="I18" s="116" t="str" cm="1">
        <f t="array" ref="I18">IFERROR(INDEX('DONNÉES BRUTES'!M$3:M$42,MATCH(_xlfn.AGGREGATE(14,6,'DONNÉES BRUTES'!AB$3:AB$42+ROW('DONNÉES BRUTES'!AB$3:AB$42)/1000,15),'DONNÉES BRUTES'!AB$3:AB$42+ROW('DONNÉES BRUTES'!AB$3:AB$42)/1000,0)),"—")</f>
        <v>—</v>
      </c>
      <c r="J18" s="116" t="str" cm="1">
        <f t="array" ref="J18">IFERROR(INDEX('DONNÉES BRUTES'!N$3:N$42,MATCH(_xlfn.AGGREGATE(14,6,'DONNÉES BRUTES'!AB$3:AB$42+ROW('DONNÉES BRUTES'!AB$3:AB$42)/1000,15),'DONNÉES BRUTES'!AB$3:AB$42+ROW('DONNÉES BRUTES'!AB$3:AB$42)/1000,0)),"—")</f>
        <v>108.7%</v>
      </c>
      <c r="K18" s="116" t="str" cm="1">
        <f t="array" ref="K18">IFERROR(INDEX('DONNÉES BRUTES'!U$3:U$42,MATCH(_xlfn.AGGREGATE(14,6,'DONNÉES BRUTES'!AB$3:AB$42+ROW('DONNÉES BRUTES'!AB$3:AB$42)/1000,15),'DONNÉES BRUTES'!AB$3:AB$42+ROW('DONNÉES BRUTES'!AB$3:AB$42)/1000,0)),"—")</f>
        <v>—</v>
      </c>
      <c r="L18" s="119" t="s">
        <v>11</v>
      </c>
      <c r="M18" s="119" t="str" cm="1">
        <f t="array" ref="M18">IFERROR(INDEX('DONNÉES BRUTES'!AD$3:AD$42,MATCH(_xlfn.AGGREGATE(14,6,'DONNÉES BRUTES'!AB$3:AB$42+ROW('DONNÉES BRUTES'!AB$3:AB$42)/1000,15),'DONNÉES BRUTES'!AB$3:AB$42+ROW('DONNÉES BRUTES'!AB$3:AB$42)/1000,0)),"—")</f>
        <v>Neutre</v>
      </c>
    </row>
    <row r="19" spans="1:13" ht="15.95" customHeight="1" x14ac:dyDescent="0.25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</row>
    <row r="20" spans="1:13" ht="6" customHeight="1" x14ac:dyDescent="0.25">
      <c r="A20" s="131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2"/>
    </row>
    <row r="21" spans="1:13" ht="15.95" customHeight="1" x14ac:dyDescent="0.25">
      <c r="A21" s="143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</row>
    <row r="22" spans="1:13" ht="15.95" customHeight="1" x14ac:dyDescent="0.25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</row>
    <row r="23" spans="1:13" ht="13.9" customHeight="1" x14ac:dyDescent="0.25"/>
    <row r="24" spans="1:13" ht="13.9" customHeight="1" x14ac:dyDescent="0.25"/>
    <row r="25" spans="1:13" ht="13.9" customHeight="1" x14ac:dyDescent="0.25"/>
    <row r="26" spans="1:13" ht="13.9" customHeight="1" x14ac:dyDescent="0.25"/>
    <row r="27" spans="1:13" ht="13.9" customHeight="1" x14ac:dyDescent="0.25"/>
    <row r="28" spans="1:13" ht="13.9" customHeight="1" x14ac:dyDescent="0.25"/>
    <row r="29" spans="1:13" ht="13.9" customHeight="1" x14ac:dyDescent="0.25"/>
    <row r="30" spans="1:13" ht="13.9" customHeight="1" x14ac:dyDescent="0.25"/>
    <row r="31" spans="1:13" ht="13.9" customHeight="1" x14ac:dyDescent="0.25"/>
    <row r="32" spans="1:13" ht="13.9" customHeight="1" x14ac:dyDescent="0.25"/>
    <row r="33" ht="13.9" customHeight="1" x14ac:dyDescent="0.25"/>
    <row r="34" ht="13.9" customHeight="1" x14ac:dyDescent="0.25"/>
    <row r="35" ht="13.9" customHeight="1" x14ac:dyDescent="0.25"/>
    <row r="36" ht="13.9" customHeight="1" x14ac:dyDescent="0.25"/>
    <row r="37" ht="13.9" customHeight="1" x14ac:dyDescent="0.25"/>
    <row r="38" ht="13.9" customHeight="1" x14ac:dyDescent="0.25"/>
    <row r="39" ht="13.9" customHeight="1" x14ac:dyDescent="0.25"/>
    <row r="40" ht="13.9" customHeight="1" x14ac:dyDescent="0.25"/>
    <row r="41" ht="13.9" customHeight="1" x14ac:dyDescent="0.25"/>
    <row r="42" ht="13.9" customHeight="1" x14ac:dyDescent="0.25"/>
    <row r="44" ht="16.149999999999999" customHeight="1" x14ac:dyDescent="0.25"/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4"/>
  <sheetViews>
    <sheetView showGridLines="0" zoomScale="83" zoomScaleNormal="100" workbookViewId="0">
      <selection activeCell="Y26" sqref="Y26"/>
    </sheetView>
  </sheetViews>
  <sheetFormatPr baseColWidth="10" defaultColWidth="8.85546875" defaultRowHeight="15" x14ac:dyDescent="0.25"/>
  <cols>
    <col min="1" max="1" width="5.28515625" customWidth="1"/>
    <col min="2" max="2" width="9.140625" customWidth="1"/>
    <col min="3" max="3" width="26.7109375" customWidth="1"/>
    <col min="4" max="4" width="15.28515625" customWidth="1"/>
    <col min="5" max="5" width="9.140625" customWidth="1"/>
    <col min="6" max="8" width="12.42578125" customWidth="1"/>
    <col min="9" max="9" width="10.42578125" customWidth="1"/>
    <col min="10" max="12" width="12.42578125" customWidth="1"/>
    <col min="14" max="16" width="8.85546875" style="235"/>
  </cols>
  <sheetData>
    <row r="1" spans="1:16" ht="32.1" customHeight="1" thickBot="1" x14ac:dyDescent="0.3">
      <c r="A1" s="102" t="s">
        <v>92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O1" s="235" t="s">
        <v>4</v>
      </c>
      <c r="P1" s="235" t="s">
        <v>408</v>
      </c>
    </row>
    <row r="2" spans="1:16" x14ac:dyDescent="0.2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O2" s="235" t="str">
        <f t="shared" ref="O2:O11" si="0">IF(B4&lt;&gt;"—",LEFT(C4,18),"—")</f>
        <v>Safran SA</v>
      </c>
      <c r="P2" s="235">
        <f t="shared" ref="P2:P11" si="1">IF(E4&lt;&gt;"—",VALUE(LEFT(E4,FIND("/",E4)-1)),"")</f>
        <v>100</v>
      </c>
    </row>
    <row r="3" spans="1:16" ht="18" customHeight="1" thickBot="1" x14ac:dyDescent="0.3">
      <c r="A3" s="124" t="s">
        <v>2</v>
      </c>
      <c r="B3" s="120" t="s">
        <v>3</v>
      </c>
      <c r="C3" s="106" t="s">
        <v>4</v>
      </c>
      <c r="D3" s="106" t="s">
        <v>42</v>
      </c>
      <c r="E3" s="105" t="s">
        <v>5</v>
      </c>
      <c r="F3" s="105" t="s">
        <v>93</v>
      </c>
      <c r="G3" s="105" t="s">
        <v>48</v>
      </c>
      <c r="H3" s="105" t="s">
        <v>94</v>
      </c>
      <c r="I3" s="105" t="s">
        <v>95</v>
      </c>
      <c r="J3" s="105" t="s">
        <v>96</v>
      </c>
      <c r="K3" s="105" t="s">
        <v>97</v>
      </c>
      <c r="L3" s="107" t="s">
        <v>50</v>
      </c>
      <c r="O3" s="235" t="str">
        <f t="shared" si="0"/>
        <v>Vivendi SE</v>
      </c>
      <c r="P3" s="235">
        <f t="shared" si="1"/>
        <v>97</v>
      </c>
    </row>
    <row r="4" spans="1:16" ht="15.95" customHeight="1" thickBot="1" x14ac:dyDescent="0.3">
      <c r="A4" s="125">
        <v>1</v>
      </c>
      <c r="B4" s="121" t="str" cm="1">
        <f t="array" ref="B4">IFERROR(INDEX('DONNÉES BRUTES'!A$3:A$42,MATCH(_xlfn.AGGREGATE(14,6,'DONNÉES BRUTES'!Y$3:Y$42+ROW('DONNÉES BRUTES'!Y$3:Y$42)/1000,1),'DONNÉES BRUTES'!Y$3:Y$42+ROW('DONNÉES BRUTES'!Y$3:Y$42)/1000,0)),"—")</f>
        <v>SAF.PA</v>
      </c>
      <c r="C4" s="109" t="str" cm="1">
        <f t="array" ref="C4">IFERROR(INDEX('DONNÉES BRUTES'!B$3:B$42,MATCH(_xlfn.AGGREGATE(14,6,'DONNÉES BRUTES'!Y$3:Y$42+ROW('DONNÉES BRUTES'!Y$3:Y$42)/1000,1),'DONNÉES BRUTES'!Y$3:Y$42+ROW('DONNÉES BRUTES'!Y$3:Y$42)/1000,0)),"—")</f>
        <v>Safran SA</v>
      </c>
      <c r="D4" s="109" t="str" cm="1">
        <f t="array" ref="D4">IFERROR(INDEX('DONNÉES BRUTES'!C$3:C$42,MATCH(_xlfn.AGGREGATE(14,6,'DONNÉES BRUTES'!Y$3:Y$42+ROW('DONNÉES BRUTES'!Y$3:Y$42)/1000,1),'DONNÉES BRUTES'!Y$3:Y$42+ROW('DONNÉES BRUTES'!Y$3:Y$42)/1000,0)),"—")</f>
        <v>Industrials</v>
      </c>
      <c r="E4" s="110" t="str" cm="1">
        <f t="array" ref="E4">IFERROR(INDEX('DONNÉES BRUTES'!Y$3:Y$42,MATCH(_xlfn.AGGREGATE(14,6,'DONNÉES BRUTES'!Y$3:Y$42+ROW('DONNÉES BRUTES'!Y$3:Y$42)/1000,1),'DONNÉES BRUTES'!Y$3:Y$42+ROW('DONNÉES BRUTES'!Y$3:Y$42)/1000,0))&amp;"/100","—")</f>
        <v>100/100</v>
      </c>
      <c r="F4" s="108" t="str" cm="1">
        <f t="array" ref="F4">IFERROR(INDEX('DONNÉES BRUTES'!P$3:P$42,MATCH(_xlfn.AGGREGATE(14,6,'DONNÉES BRUTES'!Y$3:Y$42+ROW('DONNÉES BRUTES'!Y$3:Y$42)/1000,1),'DONNÉES BRUTES'!Y$3:Y$42+ROW('DONNÉES BRUTES'!Y$3:Y$42)/1000,0)),"—")</f>
        <v>+12.5%</v>
      </c>
      <c r="G4" s="108" t="str" cm="1">
        <f t="array" ref="G4">IFERROR(INDEX('DONNÉES BRUTES'!N$3:N$42,MATCH(_xlfn.AGGREGATE(14,6,'DONNÉES BRUTES'!Y$3:Y$42+ROW('DONNÉES BRUTES'!Y$3:Y$42)/1000,1),'DONNÉES BRUTES'!Y$3:Y$42+ROW('DONNÉES BRUTES'!Y$3:Y$42)/1000,0)),"—")</f>
        <v>39.2%</v>
      </c>
      <c r="H4" s="108" t="str" cm="1">
        <f t="array" ref="H4">IFERROR(INDEX('DONNÉES BRUTES'!O$3:O$42,MATCH(_xlfn.AGGREGATE(14,6,'DONNÉES BRUTES'!Y$3:Y$42+ROW('DONNÉES BRUTES'!Y$3:Y$42)/1000,1),'DONNÉES BRUTES'!Y$3:Y$42+ROW('DONNÉES BRUTES'!Y$3:Y$42)/1000,0)),"—")</f>
        <v>23.0%</v>
      </c>
      <c r="I4" s="108" t="str" cm="1">
        <f t="array" ref="I4">IFERROR(INDEX('DONNÉES BRUTES'!Q$3:Q$42,MATCH(_xlfn.AGGREGATE(14,6,'DONNÉES BRUTES'!Y$3:Y$42+ROW('DONNÉES BRUTES'!Y$3:Y$42)/1000,1),'DONNÉES BRUTES'!Y$3:Y$42+ROW('DONNÉES BRUTES'!Y$3:Y$42)/1000,0)),"—")</f>
        <v>+48.4%</v>
      </c>
      <c r="J4" s="108" t="s">
        <v>11</v>
      </c>
      <c r="K4" s="108" t="s">
        <v>11</v>
      </c>
      <c r="L4" s="111" t="str" cm="1">
        <f t="array" ref="L4">IFERROR(INDEX('DONNÉES BRUTES'!AD$3:AD$42,MATCH(_xlfn.AGGREGATE(14,6,'DONNÉES BRUTES'!Y$3:Y$42+ROW('DONNÉES BRUTES'!Y$3:Y$42)/1000,1),'DONNÉES BRUTES'!Y$3:Y$42+ROW('DONNÉES BRUTES'!Y$3:Y$42)/1000,0)),"—")</f>
        <v>Neutre</v>
      </c>
      <c r="O4" s="235" t="str">
        <f t="shared" si="0"/>
        <v>Alstom SA</v>
      </c>
      <c r="P4" s="235">
        <f t="shared" si="1"/>
        <v>95</v>
      </c>
    </row>
    <row r="5" spans="1:16" ht="15.95" customHeight="1" thickBot="1" x14ac:dyDescent="0.3">
      <c r="A5" s="126">
        <v>2</v>
      </c>
      <c r="B5" s="122" t="str" cm="1">
        <f t="array" ref="B5">IFERROR(INDEX('DONNÉES BRUTES'!A$3:A$42,MATCH(_xlfn.AGGREGATE(14,6,'DONNÉES BRUTES'!Y$3:Y$42+ROW('DONNÉES BRUTES'!Y$3:Y$42)/1000,2),'DONNÉES BRUTES'!Y$3:Y$42+ROW('DONNÉES BRUTES'!Y$3:Y$42)/1000,0)),"—")</f>
        <v>VIV.PA</v>
      </c>
      <c r="C5" s="113" t="str" cm="1">
        <f t="array" ref="C5">IFERROR(INDEX('DONNÉES BRUTES'!B$3:B$42,MATCH(_xlfn.AGGREGATE(14,6,'DONNÉES BRUTES'!Y$3:Y$42+ROW('DONNÉES BRUTES'!Y$3:Y$42)/1000,2),'DONNÉES BRUTES'!Y$3:Y$42+ROW('DONNÉES BRUTES'!Y$3:Y$42)/1000,0)),"—")</f>
        <v>Vivendi SE</v>
      </c>
      <c r="D5" s="113" t="str" cm="1">
        <f t="array" ref="D5">IFERROR(INDEX('DONNÉES BRUTES'!C$3:C$42,MATCH(_xlfn.AGGREGATE(14,6,'DONNÉES BRUTES'!Y$3:Y$42+ROW('DONNÉES BRUTES'!Y$3:Y$42)/1000,2),'DONNÉES BRUTES'!Y$3:Y$42+ROW('DONNÉES BRUTES'!Y$3:Y$42)/1000,0)),"—")</f>
        <v>Comm. Services</v>
      </c>
      <c r="E5" s="114" t="str" cm="1">
        <f t="array" ref="E5">IFERROR(INDEX('DONNÉES BRUTES'!Y$3:Y$42,MATCH(_xlfn.AGGREGATE(14,6,'DONNÉES BRUTES'!Y$3:Y$42+ROW('DONNÉES BRUTES'!Y$3:Y$42)/1000,2),'DONNÉES BRUTES'!Y$3:Y$42+ROW('DONNÉES BRUTES'!Y$3:Y$42)/1000,0))&amp;"/100","—")</f>
        <v>97/100</v>
      </c>
      <c r="F5" s="112" t="str" cm="1">
        <f t="array" ref="F5">IFERROR(INDEX('DONNÉES BRUTES'!P$3:P$42,MATCH(_xlfn.AGGREGATE(14,6,'DONNÉES BRUTES'!Y$3:Y$42+ROW('DONNÉES BRUTES'!Y$3:Y$42)/1000,2),'DONNÉES BRUTES'!Y$3:Y$42+ROW('DONNÉES BRUTES'!Y$3:Y$42)/1000,0)),"—")</f>
        <v>+3.4%</v>
      </c>
      <c r="G5" s="112" t="str" cm="1">
        <f t="array" ref="G5">IFERROR(INDEX('DONNÉES BRUTES'!N$3:N$42,MATCH(_xlfn.AGGREGATE(14,6,'DONNÉES BRUTES'!Y$3:Y$42+ROW('DONNÉES BRUTES'!Y$3:Y$42)/1000,2),'DONNÉES BRUTES'!Y$3:Y$42+ROW('DONNÉES BRUTES'!Y$3:Y$42)/1000,0)),"—")</f>
        <v>54.4%</v>
      </c>
      <c r="H5" s="112" t="str" cm="1">
        <f t="array" ref="H5">IFERROR(INDEX('DONNÉES BRUTES'!O$3:O$42,MATCH(_xlfn.AGGREGATE(14,6,'DONNÉES BRUTES'!Y$3:Y$42+ROW('DONNÉES BRUTES'!Y$3:Y$42)/1000,2),'DONNÉES BRUTES'!Y$3:Y$42+ROW('DONNÉES BRUTES'!Y$3:Y$42)/1000,0)),"—")</f>
        <v>6.5%</v>
      </c>
      <c r="I5" s="112" t="str" cm="1">
        <f t="array" ref="I5">IFERROR(INDEX('DONNÉES BRUTES'!Q$3:Q$42,MATCH(_xlfn.AGGREGATE(14,6,'DONNÉES BRUTES'!Y$3:Y$42+ROW('DONNÉES BRUTES'!Y$3:Y$42)/1000,2),'DONNÉES BRUTES'!Y$3:Y$42+ROW('DONNÉES BRUTES'!Y$3:Y$42)/1000,0)),"—")</f>
        <v>+0.4%</v>
      </c>
      <c r="J5" s="112" t="s">
        <v>11</v>
      </c>
      <c r="K5" s="112" t="s">
        <v>11</v>
      </c>
      <c r="L5" s="115" t="str" cm="1">
        <f t="array" ref="L5">IFERROR(INDEX('DONNÉES BRUTES'!AD$3:AD$42,MATCH(_xlfn.AGGREGATE(14,6,'DONNÉES BRUTES'!Y$3:Y$42+ROW('DONNÉES BRUTES'!Y$3:Y$42)/1000,2),'DONNÉES BRUTES'!Y$3:Y$42+ROW('DONNÉES BRUTES'!Y$3:Y$42)/1000,0)),"—")</f>
        <v>Sous-pondérer</v>
      </c>
      <c r="O5" s="235" t="str">
        <f t="shared" si="0"/>
        <v>Unibail-Rodamco-We</v>
      </c>
      <c r="P5" s="235">
        <f t="shared" si="1"/>
        <v>92</v>
      </c>
    </row>
    <row r="6" spans="1:16" ht="15.95" customHeight="1" thickBot="1" x14ac:dyDescent="0.3">
      <c r="A6" s="125">
        <v>3</v>
      </c>
      <c r="B6" s="121" t="str" cm="1">
        <f t="array" ref="B6">IFERROR(INDEX('DONNÉES BRUTES'!A$3:A$42,MATCH(_xlfn.AGGREGATE(14,6,'DONNÉES BRUTES'!Y$3:Y$42+ROW('DONNÉES BRUTES'!Y$3:Y$42)/1000,3),'DONNÉES BRUTES'!Y$3:Y$42+ROW('DONNÉES BRUTES'!Y$3:Y$42)/1000,0)),"—")</f>
        <v>ALO.PA</v>
      </c>
      <c r="C6" s="109" t="str" cm="1">
        <f t="array" ref="C6">IFERROR(INDEX('DONNÉES BRUTES'!B$3:B$42,MATCH(_xlfn.AGGREGATE(14,6,'DONNÉES BRUTES'!Y$3:Y$42+ROW('DONNÉES BRUTES'!Y$3:Y$42)/1000,3),'DONNÉES BRUTES'!Y$3:Y$42+ROW('DONNÉES BRUTES'!Y$3:Y$42)/1000,0)),"—")</f>
        <v>Alstom SA</v>
      </c>
      <c r="D6" s="109" t="str" cm="1">
        <f t="array" ref="D6">IFERROR(INDEX('DONNÉES BRUTES'!C$3:C$42,MATCH(_xlfn.AGGREGATE(14,6,'DONNÉES BRUTES'!Y$3:Y$42+ROW('DONNÉES BRUTES'!Y$3:Y$42)/1000,3),'DONNÉES BRUTES'!Y$3:Y$42+ROW('DONNÉES BRUTES'!Y$3:Y$42)/1000,0)),"—")</f>
        <v>Industrials</v>
      </c>
      <c r="E6" s="110" t="str" cm="1">
        <f t="array" ref="E6">IFERROR(INDEX('DONNÉES BRUTES'!Y$3:Y$42,MATCH(_xlfn.AGGREGATE(14,6,'DONNÉES BRUTES'!Y$3:Y$42+ROW('DONNÉES BRUTES'!Y$3:Y$42)/1000,3),'DONNÉES BRUTES'!Y$3:Y$42+ROW('DONNÉES BRUTES'!Y$3:Y$42)/1000,0))&amp;"/100","—")</f>
        <v>95/100</v>
      </c>
      <c r="F6" s="108" t="str" cm="1">
        <f t="array" ref="F6">IFERROR(INDEX('DONNÉES BRUTES'!P$3:P$42,MATCH(_xlfn.AGGREGATE(14,6,'DONNÉES BRUTES'!Y$3:Y$42+ROW('DONNÉES BRUTES'!Y$3:Y$42)/1000,3),'DONNÉES BRUTES'!Y$3:Y$42+ROW('DONNÉES BRUTES'!Y$3:Y$42)/1000,0)),"—")</f>
        <v>+4.9%</v>
      </c>
      <c r="G6" s="108" t="str" cm="1">
        <f t="array" ref="G6">IFERROR(INDEX('DONNÉES BRUTES'!N$3:N$42,MATCH(_xlfn.AGGREGATE(14,6,'DONNÉES BRUTES'!Y$3:Y$42+ROW('DONNÉES BRUTES'!Y$3:Y$42)/1000,3),'DONNÉES BRUTES'!Y$3:Y$42+ROW('DONNÉES BRUTES'!Y$3:Y$42)/1000,0)),"—")</f>
        <v>6.8%</v>
      </c>
      <c r="H6" s="108" t="str" cm="1">
        <f t="array" ref="H6">IFERROR(INDEX('DONNÉES BRUTES'!O$3:O$42,MATCH(_xlfn.AGGREGATE(14,6,'DONNÉES BRUTES'!Y$3:Y$42+ROW('DONNÉES BRUTES'!Y$3:Y$42)/1000,3),'DONNÉES BRUTES'!Y$3:Y$42+ROW('DONNÉES BRUTES'!Y$3:Y$42)/1000,0)),"—")</f>
        <v>0.8%</v>
      </c>
      <c r="I6" s="108" t="str" cm="1">
        <f t="array" ref="I6">IFERROR(INDEX('DONNÉES BRUTES'!Q$3:Q$42,MATCH(_xlfn.AGGREGATE(14,6,'DONNÉES BRUTES'!Y$3:Y$42+ROW('DONNÉES BRUTES'!Y$3:Y$42)/1000,3),'DONNÉES BRUTES'!Y$3:Y$42+ROW('DONNÉES BRUTES'!Y$3:Y$42)/1000,0)),"—")</f>
        <v>+1.4%</v>
      </c>
      <c r="J6" s="108" t="s">
        <v>11</v>
      </c>
      <c r="K6" s="108" t="s">
        <v>11</v>
      </c>
      <c r="L6" s="111" t="str" cm="1">
        <f t="array" ref="L6">IFERROR(INDEX('DONNÉES BRUTES'!AD$3:AD$42,MATCH(_xlfn.AGGREGATE(14,6,'DONNÉES BRUTES'!Y$3:Y$42+ROW('DONNÉES BRUTES'!Y$3:Y$42)/1000,3),'DONNÉES BRUTES'!Y$3:Y$42+ROW('DONNÉES BRUTES'!Y$3:Y$42)/1000,0)),"—")</f>
        <v>Neutre</v>
      </c>
      <c r="O6" s="235" t="str">
        <f t="shared" si="0"/>
        <v>Thales S.A.</v>
      </c>
      <c r="P6" s="235">
        <f t="shared" si="1"/>
        <v>89</v>
      </c>
    </row>
    <row r="7" spans="1:16" ht="15.95" customHeight="1" thickBot="1" x14ac:dyDescent="0.3">
      <c r="A7" s="126">
        <v>4</v>
      </c>
      <c r="B7" s="122" t="str" cm="1">
        <f t="array" ref="B7">IFERROR(INDEX('DONNÉES BRUTES'!A$3:A$42,MATCH(_xlfn.AGGREGATE(14,6,'DONNÉES BRUTES'!Y$3:Y$42+ROW('DONNÉES BRUTES'!Y$3:Y$42)/1000,4),'DONNÉES BRUTES'!Y$3:Y$42+ROW('DONNÉES BRUTES'!Y$3:Y$42)/1000,0)),"—")</f>
        <v>URW.PA</v>
      </c>
      <c r="C7" s="113" t="str" cm="1">
        <f t="array" ref="C7">IFERROR(INDEX('DONNÉES BRUTES'!B$3:B$42,MATCH(_xlfn.AGGREGATE(14,6,'DONNÉES BRUTES'!Y$3:Y$42+ROW('DONNÉES BRUTES'!Y$3:Y$42)/1000,4),'DONNÉES BRUTES'!Y$3:Y$42+ROW('DONNÉES BRUTES'!Y$3:Y$42)/1000,0)),"—")</f>
        <v>Unibail-Rodamco-Westfield SE</v>
      </c>
      <c r="D7" s="113" t="str" cm="1">
        <f t="array" ref="D7">IFERROR(INDEX('DONNÉES BRUTES'!C$3:C$42,MATCH(_xlfn.AGGREGATE(14,6,'DONNÉES BRUTES'!Y$3:Y$42+ROW('DONNÉES BRUTES'!Y$3:Y$42)/1000,4),'DONNÉES BRUTES'!Y$3:Y$42+ROW('DONNÉES BRUTES'!Y$3:Y$42)/1000,0)),"—")</f>
        <v>Real Estate</v>
      </c>
      <c r="E7" s="114" t="str" cm="1">
        <f t="array" ref="E7">IFERROR(INDEX('DONNÉES BRUTES'!Y$3:Y$42,MATCH(_xlfn.AGGREGATE(14,6,'DONNÉES BRUTES'!Y$3:Y$42+ROW('DONNÉES BRUTES'!Y$3:Y$42)/1000,4),'DONNÉES BRUTES'!Y$3:Y$42+ROW('DONNÉES BRUTES'!Y$3:Y$42)/1000,0))&amp;"/100","—")</f>
        <v>92/100</v>
      </c>
      <c r="F7" s="112" t="str" cm="1">
        <f t="array" ref="F7">IFERROR(INDEX('DONNÉES BRUTES'!P$3:P$42,MATCH(_xlfn.AGGREGATE(14,6,'DONNÉES BRUTES'!Y$3:Y$42+ROW('DONNÉES BRUTES'!Y$3:Y$42)/1000,4),'DONNÉES BRUTES'!Y$3:Y$42+ROW('DONNÉES BRUTES'!Y$3:Y$42)/1000,0)),"—")</f>
        <v>-6.1%</v>
      </c>
      <c r="G7" s="112" t="str" cm="1">
        <f t="array" ref="G7">IFERROR(INDEX('DONNÉES BRUTES'!N$3:N$42,MATCH(_xlfn.AGGREGATE(14,6,'DONNÉES BRUTES'!Y$3:Y$42+ROW('DONNÉES BRUTES'!Y$3:Y$42)/1000,4),'DONNÉES BRUTES'!Y$3:Y$42+ROW('DONNÉES BRUTES'!Y$3:Y$42)/1000,0)),"—")</f>
        <v>89.1%</v>
      </c>
      <c r="H7" s="112" t="str" cm="1">
        <f t="array" ref="H7">IFERROR(INDEX('DONNÉES BRUTES'!O$3:O$42,MATCH(_xlfn.AGGREGATE(14,6,'DONNÉES BRUTES'!Y$3:Y$42+ROW('DONNÉES BRUTES'!Y$3:Y$42)/1000,4),'DONNÉES BRUTES'!Y$3:Y$42+ROW('DONNÉES BRUTES'!Y$3:Y$42)/1000,0)),"—")</f>
        <v>41.5%</v>
      </c>
      <c r="I7" s="112" t="str" cm="1">
        <f t="array" ref="I7">IFERROR(INDEX('DONNÉES BRUTES'!Q$3:Q$42,MATCH(_xlfn.AGGREGATE(14,6,'DONNÉES BRUTES'!Y$3:Y$42+ROW('DONNÉES BRUTES'!Y$3:Y$42)/1000,4),'DONNÉES BRUTES'!Y$3:Y$42+ROW('DONNÉES BRUTES'!Y$3:Y$42)/1000,0)),"—")</f>
        <v>+7.2%</v>
      </c>
      <c r="J7" s="112" t="s">
        <v>11</v>
      </c>
      <c r="K7" s="112" t="s">
        <v>11</v>
      </c>
      <c r="L7" s="115" t="str" cm="1">
        <f t="array" ref="L7">IFERROR(INDEX('DONNÉES BRUTES'!AD$3:AD$42,MATCH(_xlfn.AGGREGATE(14,6,'DONNÉES BRUTES'!Y$3:Y$42+ROW('DONNÉES BRUTES'!Y$3:Y$42)/1000,4),'DONNÉES BRUTES'!Y$3:Y$42+ROW('DONNÉES BRUTES'!Y$3:Y$42)/1000,0)),"—")</f>
        <v>Neutre</v>
      </c>
      <c r="O7" s="235" t="str">
        <f t="shared" si="0"/>
        <v>Sanofi</v>
      </c>
      <c r="P7" s="235">
        <f t="shared" si="1"/>
        <v>87</v>
      </c>
    </row>
    <row r="8" spans="1:16" ht="15.95" customHeight="1" thickBot="1" x14ac:dyDescent="0.3">
      <c r="A8" s="125">
        <v>5</v>
      </c>
      <c r="B8" s="121" t="str" cm="1">
        <f t="array" ref="B8">IFERROR(INDEX('DONNÉES BRUTES'!A$3:A$42,MATCH(_xlfn.AGGREGATE(14,6,'DONNÉES BRUTES'!Y$3:Y$42+ROW('DONNÉES BRUTES'!Y$3:Y$42)/1000,5),'DONNÉES BRUTES'!Y$3:Y$42+ROW('DONNÉES BRUTES'!Y$3:Y$42)/1000,0)),"—")</f>
        <v>HO.PA</v>
      </c>
      <c r="C8" s="109" t="str" cm="1">
        <f t="array" ref="C8">IFERROR(INDEX('DONNÉES BRUTES'!B$3:B$42,MATCH(_xlfn.AGGREGATE(14,6,'DONNÉES BRUTES'!Y$3:Y$42+ROW('DONNÉES BRUTES'!Y$3:Y$42)/1000,5),'DONNÉES BRUTES'!Y$3:Y$42+ROW('DONNÉES BRUTES'!Y$3:Y$42)/1000,0)),"—")</f>
        <v>Thales S.A.</v>
      </c>
      <c r="D8" s="109" t="str" cm="1">
        <f t="array" ref="D8">IFERROR(INDEX('DONNÉES BRUTES'!C$3:C$42,MATCH(_xlfn.AGGREGATE(14,6,'DONNÉES BRUTES'!Y$3:Y$42+ROW('DONNÉES BRUTES'!Y$3:Y$42)/1000,5),'DONNÉES BRUTES'!Y$3:Y$42+ROW('DONNÉES BRUTES'!Y$3:Y$42)/1000,0)),"—")</f>
        <v>Industrials</v>
      </c>
      <c r="E8" s="110" t="str" cm="1">
        <f t="array" ref="E8">IFERROR(INDEX('DONNÉES BRUTES'!Y$3:Y$42,MATCH(_xlfn.AGGREGATE(14,6,'DONNÉES BRUTES'!Y$3:Y$42+ROW('DONNÉES BRUTES'!Y$3:Y$42)/1000,5),'DONNÉES BRUTES'!Y$3:Y$42+ROW('DONNÉES BRUTES'!Y$3:Y$42)/1000,0))&amp;"/100","—")</f>
        <v>89/100</v>
      </c>
      <c r="F8" s="108" t="str" cm="1">
        <f t="array" ref="F8">IFERROR(INDEX('DONNÉES BRUTES'!P$3:P$42,MATCH(_xlfn.AGGREGATE(14,6,'DONNÉES BRUTES'!Y$3:Y$42+ROW('DONNÉES BRUTES'!Y$3:Y$42)/1000,5),'DONNÉES BRUTES'!Y$3:Y$42+ROW('DONNÉES BRUTES'!Y$3:Y$42)/1000,0)),"—")</f>
        <v>+7.6%</v>
      </c>
      <c r="G8" s="108" t="str" cm="1">
        <f t="array" ref="G8">IFERROR(INDEX('DONNÉES BRUTES'!N$3:N$42,MATCH(_xlfn.AGGREGATE(14,6,'DONNÉES BRUTES'!Y$3:Y$42+ROW('DONNÉES BRUTES'!Y$3:Y$42)/1000,5),'DONNÉES BRUTES'!Y$3:Y$42+ROW('DONNÉES BRUTES'!Y$3:Y$42)/1000,0)),"—")</f>
        <v>15.4%</v>
      </c>
      <c r="H8" s="108" t="str" cm="1">
        <f t="array" ref="H8">IFERROR(INDEX('DONNÉES BRUTES'!O$3:O$42,MATCH(_xlfn.AGGREGATE(14,6,'DONNÉES BRUTES'!Y$3:Y$42+ROW('DONNÉES BRUTES'!Y$3:Y$42)/1000,5),'DONNÉES BRUTES'!Y$3:Y$42+ROW('DONNÉES BRUTES'!Y$3:Y$42)/1000,0)),"—")</f>
        <v>7.6%</v>
      </c>
      <c r="I8" s="108" t="str" cm="1">
        <f t="array" ref="I8">IFERROR(INDEX('DONNÉES BRUTES'!Q$3:Q$42,MATCH(_xlfn.AGGREGATE(14,6,'DONNÉES BRUTES'!Y$3:Y$42+ROW('DONNÉES BRUTES'!Y$3:Y$42)/1000,5),'DONNÉES BRUTES'!Y$3:Y$42+ROW('DONNÉES BRUTES'!Y$3:Y$42)/1000,0)),"—")</f>
        <v>+21.0%</v>
      </c>
      <c r="J8" s="108" t="s">
        <v>11</v>
      </c>
      <c r="K8" s="108" t="s">
        <v>11</v>
      </c>
      <c r="L8" s="111" t="str" cm="1">
        <f t="array" ref="L8">IFERROR(INDEX('DONNÉES BRUTES'!AD$3:AD$42,MATCH(_xlfn.AGGREGATE(14,6,'DONNÉES BRUTES'!Y$3:Y$42+ROW('DONNÉES BRUTES'!Y$3:Y$42)/1000,5),'DONNÉES BRUTES'!Y$3:Y$42+ROW('DONNÉES BRUTES'!Y$3:Y$42)/1000,0)),"—")</f>
        <v>Sous-pondérer</v>
      </c>
      <c r="O8" s="235" t="str">
        <f t="shared" si="0"/>
        <v>Airbus SE</v>
      </c>
      <c r="P8" s="235">
        <f t="shared" si="1"/>
        <v>84</v>
      </c>
    </row>
    <row r="9" spans="1:16" ht="15.95" customHeight="1" thickBot="1" x14ac:dyDescent="0.3">
      <c r="A9" s="126">
        <v>6</v>
      </c>
      <c r="B9" s="122" t="str" cm="1">
        <f t="array" ref="B9">IFERROR(INDEX('DONNÉES BRUTES'!A$3:A$42,MATCH(_xlfn.AGGREGATE(14,6,'DONNÉES BRUTES'!Y$3:Y$42+ROW('DONNÉES BRUTES'!Y$3:Y$42)/1000,6),'DONNÉES BRUTES'!Y$3:Y$42+ROW('DONNÉES BRUTES'!Y$3:Y$42)/1000,0)),"—")</f>
        <v>SAN.PA</v>
      </c>
      <c r="C9" s="113" t="str" cm="1">
        <f t="array" ref="C9">IFERROR(INDEX('DONNÉES BRUTES'!B$3:B$42,MATCH(_xlfn.AGGREGATE(14,6,'DONNÉES BRUTES'!Y$3:Y$42+ROW('DONNÉES BRUTES'!Y$3:Y$42)/1000,6),'DONNÉES BRUTES'!Y$3:Y$42+ROW('DONNÉES BRUTES'!Y$3:Y$42)/1000,0)),"—")</f>
        <v>Sanofi</v>
      </c>
      <c r="D9" s="113" t="str" cm="1">
        <f t="array" ref="D9">IFERROR(INDEX('DONNÉES BRUTES'!C$3:C$42,MATCH(_xlfn.AGGREGATE(14,6,'DONNÉES BRUTES'!Y$3:Y$42+ROW('DONNÉES BRUTES'!Y$3:Y$42)/1000,6),'DONNÉES BRUTES'!Y$3:Y$42+ROW('DONNÉES BRUTES'!Y$3:Y$42)/1000,0)),"—")</f>
        <v>Healthcare</v>
      </c>
      <c r="E9" s="114" t="str" cm="1">
        <f t="array" ref="E9">IFERROR(INDEX('DONNÉES BRUTES'!Y$3:Y$42,MATCH(_xlfn.AGGREGATE(14,6,'DONNÉES BRUTES'!Y$3:Y$42+ROW('DONNÉES BRUTES'!Y$3:Y$42)/1000,6),'DONNÉES BRUTES'!Y$3:Y$42+ROW('DONNÉES BRUTES'!Y$3:Y$42)/1000,0))&amp;"/100","—")</f>
        <v>87/100</v>
      </c>
      <c r="F9" s="112" t="str" cm="1">
        <f t="array" ref="F9">IFERROR(INDEX('DONNÉES BRUTES'!P$3:P$42,MATCH(_xlfn.AGGREGATE(14,6,'DONNÉES BRUTES'!Y$3:Y$42+ROW('DONNÉES BRUTES'!Y$3:Y$42)/1000,6),'DONNÉES BRUTES'!Y$3:Y$42+ROW('DONNÉES BRUTES'!Y$3:Y$42)/1000,0)),"—")</f>
        <v>+5.5%</v>
      </c>
      <c r="G9" s="112" t="str" cm="1">
        <f t="array" ref="G9">IFERROR(INDEX('DONNÉES BRUTES'!N$3:N$42,MATCH(_xlfn.AGGREGATE(14,6,'DONNÉES BRUTES'!Y$3:Y$42+ROW('DONNÉES BRUTES'!Y$3:Y$42)/1000,6),'DONNÉES BRUTES'!Y$3:Y$42+ROW('DONNÉES BRUTES'!Y$3:Y$42)/1000,0)),"—")</f>
        <v>26.7%</v>
      </c>
      <c r="H9" s="112" t="str" cm="1">
        <f t="array" ref="H9">IFERROR(INDEX('DONNÉES BRUTES'!O$3:O$42,MATCH(_xlfn.AGGREGATE(14,6,'DONNÉES BRUTES'!Y$3:Y$42+ROW('DONNÉES BRUTES'!Y$3:Y$42)/1000,6),'DONNÉES BRUTES'!Y$3:Y$42+ROW('DONNÉES BRUTES'!Y$3:Y$42)/1000,0)),"—")</f>
        <v>16.7%</v>
      </c>
      <c r="I9" s="112" t="str" cm="1">
        <f t="array" ref="I9">IFERROR(INDEX('DONNÉES BRUTES'!Q$3:Q$42,MATCH(_xlfn.AGGREGATE(14,6,'DONNÉES BRUTES'!Y$3:Y$42+ROW('DONNÉES BRUTES'!Y$3:Y$42)/1000,6),'DONNÉES BRUTES'!Y$3:Y$42+ROW('DONNÉES BRUTES'!Y$3:Y$42)/1000,0)),"—")</f>
        <v>+10.9%</v>
      </c>
      <c r="J9" s="112" t="s">
        <v>11</v>
      </c>
      <c r="K9" s="112" t="s">
        <v>11</v>
      </c>
      <c r="L9" s="115" t="str" cm="1">
        <f t="array" ref="L9">IFERROR(INDEX('DONNÉES BRUTES'!AD$3:AD$42,MATCH(_xlfn.AGGREGATE(14,6,'DONNÉES BRUTES'!Y$3:Y$42+ROW('DONNÉES BRUTES'!Y$3:Y$42)/1000,6),'DONNÉES BRUTES'!Y$3:Y$42+ROW('DONNÉES BRUTES'!Y$3:Y$42)/1000,0)),"—")</f>
        <v>Neutre</v>
      </c>
      <c r="O9" s="235" t="str">
        <f t="shared" si="0"/>
        <v>Legrand SA</v>
      </c>
      <c r="P9" s="235">
        <f t="shared" si="1"/>
        <v>82</v>
      </c>
    </row>
    <row r="10" spans="1:16" ht="15.95" customHeight="1" thickBot="1" x14ac:dyDescent="0.3">
      <c r="A10" s="125">
        <v>7</v>
      </c>
      <c r="B10" s="121" t="str" cm="1">
        <f t="array" ref="B10">IFERROR(INDEX('DONNÉES BRUTES'!A$3:A$42,MATCH(_xlfn.AGGREGATE(14,6,'DONNÉES BRUTES'!Y$3:Y$42+ROW('DONNÉES BRUTES'!Y$3:Y$42)/1000,7),'DONNÉES BRUTES'!Y$3:Y$42+ROW('DONNÉES BRUTES'!Y$3:Y$42)/1000,0)),"—")</f>
        <v>AIR.PA</v>
      </c>
      <c r="C10" s="109" t="str" cm="1">
        <f t="array" ref="C10">IFERROR(INDEX('DONNÉES BRUTES'!B$3:B$42,MATCH(_xlfn.AGGREGATE(14,6,'DONNÉES BRUTES'!Y$3:Y$42+ROW('DONNÉES BRUTES'!Y$3:Y$42)/1000,7),'DONNÉES BRUTES'!Y$3:Y$42+ROW('DONNÉES BRUTES'!Y$3:Y$42)/1000,0)),"—")</f>
        <v>Airbus SE</v>
      </c>
      <c r="D10" s="109" t="str" cm="1">
        <f t="array" ref="D10">IFERROR(INDEX('DONNÉES BRUTES'!C$3:C$42,MATCH(_xlfn.AGGREGATE(14,6,'DONNÉES BRUTES'!Y$3:Y$42+ROW('DONNÉES BRUTES'!Y$3:Y$42)/1000,7),'DONNÉES BRUTES'!Y$3:Y$42+ROW('DONNÉES BRUTES'!Y$3:Y$42)/1000,0)),"—")</f>
        <v>Industrials</v>
      </c>
      <c r="E10" s="110" t="str" cm="1">
        <f t="array" ref="E10">IFERROR(INDEX('DONNÉES BRUTES'!Y$3:Y$42,MATCH(_xlfn.AGGREGATE(14,6,'DONNÉES BRUTES'!Y$3:Y$42+ROW('DONNÉES BRUTES'!Y$3:Y$42)/1000,7),'DONNÉES BRUTES'!Y$3:Y$42+ROW('DONNÉES BRUTES'!Y$3:Y$42)/1000,0))&amp;"/100","—")</f>
        <v>84/100</v>
      </c>
      <c r="F10" s="108" t="str" cm="1">
        <f t="array" ref="F10">IFERROR(INDEX('DONNÉES BRUTES'!P$3:P$42,MATCH(_xlfn.AGGREGATE(14,6,'DONNÉES BRUTES'!Y$3:Y$42+ROW('DONNÉES BRUTES'!Y$3:Y$42)/1000,7),'DONNÉES BRUTES'!Y$3:Y$42+ROW('DONNÉES BRUTES'!Y$3:Y$42)/1000,0)),"—")</f>
        <v>+6.1%</v>
      </c>
      <c r="G10" s="108" t="str" cm="1">
        <f t="array" ref="G10">IFERROR(INDEX('DONNÉES BRUTES'!N$3:N$42,MATCH(_xlfn.AGGREGATE(14,6,'DONNÉES BRUTES'!Y$3:Y$42+ROW('DONNÉES BRUTES'!Y$3:Y$42)/1000,7),'DONNÉES BRUTES'!Y$3:Y$42+ROW('DONNÉES BRUTES'!Y$3:Y$42)/1000,0)),"—")</f>
        <v>14.0%</v>
      </c>
      <c r="H10" s="108" t="str" cm="1">
        <f t="array" ref="H10">IFERROR(INDEX('DONNÉES BRUTES'!O$3:O$42,MATCH(_xlfn.AGGREGATE(14,6,'DONNÉES BRUTES'!Y$3:Y$42+ROW('DONNÉES BRUTES'!Y$3:Y$42)/1000,7),'DONNÉES BRUTES'!Y$3:Y$42+ROW('DONNÉES BRUTES'!Y$3:Y$42)/1000,0)),"—")</f>
        <v>7.1%</v>
      </c>
      <c r="I10" s="108" t="str" cm="1">
        <f t="array" ref="I10">IFERROR(INDEX('DONNÉES BRUTES'!Q$3:Q$42,MATCH(_xlfn.AGGREGATE(14,6,'DONNÉES BRUTES'!Y$3:Y$42+ROW('DONNÉES BRUTES'!Y$3:Y$42)/1000,7),'DONNÉES BRUTES'!Y$3:Y$42+ROW('DONNÉES BRUTES'!Y$3:Y$42)/1000,0)),"—")</f>
        <v>+20.0%</v>
      </c>
      <c r="J10" s="108" t="s">
        <v>11</v>
      </c>
      <c r="K10" s="108" t="s">
        <v>11</v>
      </c>
      <c r="L10" s="111" t="str" cm="1">
        <f t="array" ref="L10">IFERROR(INDEX('DONNÉES BRUTES'!AD$3:AD$42,MATCH(_xlfn.AGGREGATE(14,6,'DONNÉES BRUTES'!Y$3:Y$42+ROW('DONNÉES BRUTES'!Y$3:Y$42)/1000,7),'DONNÉES BRUTES'!Y$3:Y$42+ROW('DONNÉES BRUTES'!Y$3:Y$42)/1000,0)),"—")</f>
        <v>Neutre</v>
      </c>
      <c r="O10" s="235" t="str">
        <f t="shared" si="0"/>
        <v>ArcelorMittal S.A.</v>
      </c>
      <c r="P10" s="235">
        <f t="shared" si="1"/>
        <v>79</v>
      </c>
    </row>
    <row r="11" spans="1:16" ht="15.95" customHeight="1" thickBot="1" x14ac:dyDescent="0.3">
      <c r="A11" s="126">
        <v>8</v>
      </c>
      <c r="B11" s="122" t="str" cm="1">
        <f t="array" ref="B11">IFERROR(INDEX('DONNÉES BRUTES'!A$3:A$42,MATCH(_xlfn.AGGREGATE(14,6,'DONNÉES BRUTES'!Y$3:Y$42+ROW('DONNÉES BRUTES'!Y$3:Y$42)/1000,8),'DONNÉES BRUTES'!Y$3:Y$42+ROW('DONNÉES BRUTES'!Y$3:Y$42)/1000,0)),"—")</f>
        <v>LR.PA</v>
      </c>
      <c r="C11" s="113" t="str" cm="1">
        <f t="array" ref="C11">IFERROR(INDEX('DONNÉES BRUTES'!B$3:B$42,MATCH(_xlfn.AGGREGATE(14,6,'DONNÉES BRUTES'!Y$3:Y$42+ROW('DONNÉES BRUTES'!Y$3:Y$42)/1000,8),'DONNÉES BRUTES'!Y$3:Y$42+ROW('DONNÉES BRUTES'!Y$3:Y$42)/1000,0)),"—")</f>
        <v>Legrand SA</v>
      </c>
      <c r="D11" s="113" t="str" cm="1">
        <f t="array" ref="D11">IFERROR(INDEX('DONNÉES BRUTES'!C$3:C$42,MATCH(_xlfn.AGGREGATE(14,6,'DONNÉES BRUTES'!Y$3:Y$42+ROW('DONNÉES BRUTES'!Y$3:Y$42)/1000,8),'DONNÉES BRUTES'!Y$3:Y$42+ROW('DONNÉES BRUTES'!Y$3:Y$42)/1000,0)),"—")</f>
        <v>Industrials</v>
      </c>
      <c r="E11" s="114" t="str" cm="1">
        <f t="array" ref="E11">IFERROR(INDEX('DONNÉES BRUTES'!Y$3:Y$42,MATCH(_xlfn.AGGREGATE(14,6,'DONNÉES BRUTES'!Y$3:Y$42+ROW('DONNÉES BRUTES'!Y$3:Y$42)/1000,8),'DONNÉES BRUTES'!Y$3:Y$42+ROW('DONNÉES BRUTES'!Y$3:Y$42)/1000,0))&amp;"/100","—")</f>
        <v>82/100</v>
      </c>
      <c r="F11" s="112" t="str" cm="1">
        <f t="array" ref="F11">IFERROR(INDEX('DONNÉES BRUTES'!P$3:P$42,MATCH(_xlfn.AGGREGATE(14,6,'DONNÉES BRUTES'!Y$3:Y$42+ROW('DONNÉES BRUTES'!Y$3:Y$42)/1000,8),'DONNÉES BRUTES'!Y$3:Y$42+ROW('DONNÉES BRUTES'!Y$3:Y$42)/1000,0)),"—")</f>
        <v>+9.6%</v>
      </c>
      <c r="G11" s="112" t="str" cm="1">
        <f t="array" ref="G11">IFERROR(INDEX('DONNÉES BRUTES'!N$3:N$42,MATCH(_xlfn.AGGREGATE(14,6,'DONNÉES BRUTES'!Y$3:Y$42+ROW('DONNÉES BRUTES'!Y$3:Y$42)/1000,8),'DONNÉES BRUTES'!Y$3:Y$42+ROW('DONNÉES BRUTES'!Y$3:Y$42)/1000,0)),"—")</f>
        <v>23.9%</v>
      </c>
      <c r="H11" s="112" t="str" cm="1">
        <f t="array" ref="H11">IFERROR(INDEX('DONNÉES BRUTES'!O$3:O$42,MATCH(_xlfn.AGGREGATE(14,6,'DONNÉES BRUTES'!Y$3:Y$42+ROW('DONNÉES BRUTES'!Y$3:Y$42)/1000,8),'DONNÉES BRUTES'!Y$3:Y$42+ROW('DONNÉES BRUTES'!Y$3:Y$42)/1000,0)),"—")</f>
        <v>13.1%</v>
      </c>
      <c r="I11" s="112" t="str" cm="1">
        <f t="array" ref="I11">IFERROR(INDEX('DONNÉES BRUTES'!Q$3:Q$42,MATCH(_xlfn.AGGREGATE(14,6,'DONNÉES BRUTES'!Y$3:Y$42+ROW('DONNÉES BRUTES'!Y$3:Y$42)/1000,8),'DONNÉES BRUTES'!Y$3:Y$42+ROW('DONNÉES BRUTES'!Y$3:Y$42)/1000,0)),"—")</f>
        <v>+17.1%</v>
      </c>
      <c r="J11" s="112" t="s">
        <v>11</v>
      </c>
      <c r="K11" s="112" t="s">
        <v>11</v>
      </c>
      <c r="L11" s="115" t="str" cm="1">
        <f t="array" ref="L11">IFERROR(INDEX('DONNÉES BRUTES'!AD$3:AD$42,MATCH(_xlfn.AGGREGATE(14,6,'DONNÉES BRUTES'!Y$3:Y$42+ROW('DONNÉES BRUTES'!Y$3:Y$42)/1000,8),'DONNÉES BRUTES'!Y$3:Y$42+ROW('DONNÉES BRUTES'!Y$3:Y$42)/1000,0)),"—")</f>
        <v>Neutre</v>
      </c>
      <c r="O11" s="235" t="str">
        <f t="shared" si="0"/>
        <v>Eurofins Scientifi</v>
      </c>
      <c r="P11" s="235">
        <f t="shared" si="1"/>
        <v>76</v>
      </c>
    </row>
    <row r="12" spans="1:16" ht="15.95" customHeight="1" thickBot="1" x14ac:dyDescent="0.3">
      <c r="A12" s="125">
        <v>9</v>
      </c>
      <c r="B12" s="121" t="str" cm="1">
        <f t="array" ref="B12">IFERROR(INDEX('DONNÉES BRUTES'!A$3:A$42,MATCH(_xlfn.AGGREGATE(14,6,'DONNÉES BRUTES'!Y$3:Y$42+ROW('DONNÉES BRUTES'!Y$3:Y$42)/1000,9),'DONNÉES BRUTES'!Y$3:Y$42+ROW('DONNÉES BRUTES'!Y$3:Y$42)/1000,0)),"—")</f>
        <v>MT.AS</v>
      </c>
      <c r="C12" s="109" t="str" cm="1">
        <f t="array" ref="C12">IFERROR(INDEX('DONNÉES BRUTES'!B$3:B$42,MATCH(_xlfn.AGGREGATE(14,6,'DONNÉES BRUTES'!Y$3:Y$42+ROW('DONNÉES BRUTES'!Y$3:Y$42)/1000,9),'DONNÉES BRUTES'!Y$3:Y$42+ROW('DONNÉES BRUTES'!Y$3:Y$42)/1000,0)),"—")</f>
        <v>ArcelorMittal S.A.</v>
      </c>
      <c r="D12" s="109" t="str" cm="1">
        <f t="array" ref="D12">IFERROR(INDEX('DONNÉES BRUTES'!C$3:C$42,MATCH(_xlfn.AGGREGATE(14,6,'DONNÉES BRUTES'!Y$3:Y$42+ROW('DONNÉES BRUTES'!Y$3:Y$42)/1000,9),'DONNÉES BRUTES'!Y$3:Y$42+ROW('DONNÉES BRUTES'!Y$3:Y$42)/1000,0)),"—")</f>
        <v>Materials</v>
      </c>
      <c r="E12" s="110" t="str" cm="1">
        <f t="array" ref="E12">IFERROR(INDEX('DONNÉES BRUTES'!Y$3:Y$42,MATCH(_xlfn.AGGREGATE(14,6,'DONNÉES BRUTES'!Y$3:Y$42+ROW('DONNÉES BRUTES'!Y$3:Y$42)/1000,9),'DONNÉES BRUTES'!Y$3:Y$42+ROW('DONNÉES BRUTES'!Y$3:Y$42)/1000,0))&amp;"/100","—")</f>
        <v>79/100</v>
      </c>
      <c r="F12" s="108" t="str" cm="1">
        <f t="array" ref="F12">IFERROR(INDEX('DONNÉES BRUTES'!P$3:P$42,MATCH(_xlfn.AGGREGATE(14,6,'DONNÉES BRUTES'!Y$3:Y$42+ROW('DONNÉES BRUTES'!Y$3:Y$42)/1000,9),'DONNÉES BRUTES'!Y$3:Y$42+ROW('DONNÉES BRUTES'!Y$3:Y$42)/1000,0)),"—")</f>
        <v>-1.7%</v>
      </c>
      <c r="G12" s="108" t="str" cm="1">
        <f t="array" ref="G12">IFERROR(INDEX('DONNÉES BRUTES'!N$3:N$42,MATCH(_xlfn.AGGREGATE(14,6,'DONNÉES BRUTES'!Y$3:Y$42+ROW('DONNÉES BRUTES'!Y$3:Y$42)/1000,9),'DONNÉES BRUTES'!Y$3:Y$42+ROW('DONNÉES BRUTES'!Y$3:Y$42)/1000,0)),"—")</f>
        <v>11.6%</v>
      </c>
      <c r="H12" s="108" t="str" cm="1">
        <f t="array" ref="H12">IFERROR(INDEX('DONNÉES BRUTES'!O$3:O$42,MATCH(_xlfn.AGGREGATE(14,6,'DONNÉES BRUTES'!Y$3:Y$42+ROW('DONNÉES BRUTES'!Y$3:Y$42)/1000,9),'DONNÉES BRUTES'!Y$3:Y$42+ROW('DONNÉES BRUTES'!Y$3:Y$42)/1000,0)),"—")</f>
        <v>5.1%</v>
      </c>
      <c r="I12" s="108" t="str" cm="1">
        <f t="array" ref="I12">IFERROR(INDEX('DONNÉES BRUTES'!Q$3:Q$42,MATCH(_xlfn.AGGREGATE(14,6,'DONNÉES BRUTES'!Y$3:Y$42+ROW('DONNÉES BRUTES'!Y$3:Y$42)/1000,9),'DONNÉES BRUTES'!Y$3:Y$42+ROW('DONNÉES BRUTES'!Y$3:Y$42)/1000,0)),"—")</f>
        <v>+5.8%</v>
      </c>
      <c r="J12" s="108" t="s">
        <v>11</v>
      </c>
      <c r="K12" s="108" t="s">
        <v>11</v>
      </c>
      <c r="L12" s="111" t="str" cm="1">
        <f t="array" ref="L12">IFERROR(INDEX('DONNÉES BRUTES'!AD$3:AD$42,MATCH(_xlfn.AGGREGATE(14,6,'DONNÉES BRUTES'!Y$3:Y$42+ROW('DONNÉES BRUTES'!Y$3:Y$42)/1000,9),'DONNÉES BRUTES'!Y$3:Y$42+ROW('DONNÉES BRUTES'!Y$3:Y$42)/1000,0)),"—")</f>
        <v>Sous-pondérer</v>
      </c>
    </row>
    <row r="13" spans="1:16" ht="15.95" customHeight="1" thickBot="1" x14ac:dyDescent="0.3">
      <c r="A13" s="126">
        <v>10</v>
      </c>
      <c r="B13" s="122" t="str" cm="1">
        <f t="array" ref="B13">IFERROR(INDEX('DONNÉES BRUTES'!A$3:A$42,MATCH(_xlfn.AGGREGATE(14,6,'DONNÉES BRUTES'!Y$3:Y$42+ROW('DONNÉES BRUTES'!Y$3:Y$42)/1000,10),'DONNÉES BRUTES'!Y$3:Y$42+ROW('DONNÉES BRUTES'!Y$3:Y$42)/1000,0)),"—")</f>
        <v>ERF.PA</v>
      </c>
      <c r="C13" s="113" t="str" cm="1">
        <f t="array" ref="C13">IFERROR(INDEX('DONNÉES BRUTES'!B$3:B$42,MATCH(_xlfn.AGGREGATE(14,6,'DONNÉES BRUTES'!Y$3:Y$42+ROW('DONNÉES BRUTES'!Y$3:Y$42)/1000,10),'DONNÉES BRUTES'!Y$3:Y$42+ROW('DONNÉES BRUTES'!Y$3:Y$42)/1000,0)),"—")</f>
        <v>Eurofins Scientific SE</v>
      </c>
      <c r="D13" s="113" t="str" cm="1">
        <f t="array" ref="D13">IFERROR(INDEX('DONNÉES BRUTES'!C$3:C$42,MATCH(_xlfn.AGGREGATE(14,6,'DONNÉES BRUTES'!Y$3:Y$42+ROW('DONNÉES BRUTES'!Y$3:Y$42)/1000,10),'DONNÉES BRUTES'!Y$3:Y$42+ROW('DONNÉES BRUTES'!Y$3:Y$42)/1000,0)),"—")</f>
        <v>Healthcare</v>
      </c>
      <c r="E13" s="114" t="str" cm="1">
        <f t="array" ref="E13">IFERROR(INDEX('DONNÉES BRUTES'!Y$3:Y$42,MATCH(_xlfn.AGGREGATE(14,6,'DONNÉES BRUTES'!Y$3:Y$42+ROW('DONNÉES BRUTES'!Y$3:Y$42)/1000,10),'DONNÉES BRUTES'!Y$3:Y$42+ROW('DONNÉES BRUTES'!Y$3:Y$42)/1000,0))&amp;"/100","—")</f>
        <v>76/100</v>
      </c>
      <c r="F13" s="112" t="str" cm="1">
        <f t="array" ref="F13">IFERROR(INDEX('DONNÉES BRUTES'!P$3:P$42,MATCH(_xlfn.AGGREGATE(14,6,'DONNÉES BRUTES'!Y$3:Y$42+ROW('DONNÉES BRUTES'!Y$3:Y$42)/1000,10),'DONNÉES BRUTES'!Y$3:Y$42+ROW('DONNÉES BRUTES'!Y$3:Y$42)/1000,0)),"—")</f>
        <v>+5.0%</v>
      </c>
      <c r="G13" s="112" t="str" cm="1">
        <f t="array" ref="G13">IFERROR(INDEX('DONNÉES BRUTES'!N$3:N$42,MATCH(_xlfn.AGGREGATE(14,6,'DONNÉES BRUTES'!Y$3:Y$42+ROW('DONNÉES BRUTES'!Y$3:Y$42)/1000,10),'DONNÉES BRUTES'!Y$3:Y$42+ROW('DONNÉES BRUTES'!Y$3:Y$42)/1000,0)),"—")</f>
        <v>21.0%</v>
      </c>
      <c r="H13" s="112" t="str" cm="1">
        <f t="array" ref="H13">IFERROR(INDEX('DONNÉES BRUTES'!O$3:O$42,MATCH(_xlfn.AGGREGATE(14,6,'DONNÉES BRUTES'!Y$3:Y$42+ROW('DONNÉES BRUTES'!Y$3:Y$42)/1000,10),'DONNÉES BRUTES'!Y$3:Y$42+ROW('DONNÉES BRUTES'!Y$3:Y$42)/1000,0)),"—")</f>
        <v>6.5%</v>
      </c>
      <c r="I13" s="112" t="str" cm="1">
        <f t="array" ref="I13">IFERROR(INDEX('DONNÉES BRUTES'!Q$3:Q$42,MATCH(_xlfn.AGGREGATE(14,6,'DONNÉES BRUTES'!Y$3:Y$42+ROW('DONNÉES BRUTES'!Y$3:Y$42)/1000,10),'DONNÉES BRUTES'!Y$3:Y$42+ROW('DONNÉES BRUTES'!Y$3:Y$42)/1000,0)),"—")</f>
        <v>+10.5%</v>
      </c>
      <c r="J13" s="112" t="s">
        <v>11</v>
      </c>
      <c r="K13" s="112" t="s">
        <v>11</v>
      </c>
      <c r="L13" s="115" t="str" cm="1">
        <f t="array" ref="L13">IFERROR(INDEX('DONNÉES BRUTES'!AD$3:AD$42,MATCH(_xlfn.AGGREGATE(14,6,'DONNÉES BRUTES'!Y$3:Y$42+ROW('DONNÉES BRUTES'!Y$3:Y$42)/1000,10),'DONNÉES BRUTES'!Y$3:Y$42+ROW('DONNÉES BRUTES'!Y$3:Y$42)/1000,0)),"—")</f>
        <v>Neutre</v>
      </c>
    </row>
    <row r="14" spans="1:16" ht="15.95" customHeight="1" thickBot="1" x14ac:dyDescent="0.3">
      <c r="A14" s="125">
        <v>11</v>
      </c>
      <c r="B14" s="121" t="str" cm="1">
        <f t="array" ref="B14">IFERROR(INDEX('DONNÉES BRUTES'!A$3:A$42,MATCH(_xlfn.AGGREGATE(14,6,'DONNÉES BRUTES'!Y$3:Y$42+ROW('DONNÉES BRUTES'!Y$3:Y$42)/1000,11),'DONNÉES BRUTES'!Y$3:Y$42+ROW('DONNÉES BRUTES'!Y$3:Y$42)/1000,0)),"—")</f>
        <v>RMS.PA</v>
      </c>
      <c r="C14" s="109" t="str" cm="1">
        <f t="array" ref="C14">IFERROR(INDEX('DONNÉES BRUTES'!B$3:B$42,MATCH(_xlfn.AGGREGATE(14,6,'DONNÉES BRUTES'!Y$3:Y$42+ROW('DONNÉES BRUTES'!Y$3:Y$42)/1000,11),'DONNÉES BRUTES'!Y$3:Y$42+ROW('DONNÉES BRUTES'!Y$3:Y$42)/1000,0)),"—")</f>
        <v>Hermès International Société en commandite par actions</v>
      </c>
      <c r="D14" s="109" t="str" cm="1">
        <f t="array" ref="D14">IFERROR(INDEX('DONNÉES BRUTES'!C$3:C$42,MATCH(_xlfn.AGGREGATE(14,6,'DONNÉES BRUTES'!Y$3:Y$42+ROW('DONNÉES BRUTES'!Y$3:Y$42)/1000,11),'DONNÉES BRUTES'!Y$3:Y$42+ROW('DONNÉES BRUTES'!Y$3:Y$42)/1000,0)),"—")</f>
        <v>Consumer Disc.</v>
      </c>
      <c r="E14" s="110" t="str" cm="1">
        <f t="array" ref="E14">IFERROR(INDEX('DONNÉES BRUTES'!Y$3:Y$42,MATCH(_xlfn.AGGREGATE(14,6,'DONNÉES BRUTES'!Y$3:Y$42+ROW('DONNÉES BRUTES'!Y$3:Y$42)/1000,11),'DONNÉES BRUTES'!Y$3:Y$42+ROW('DONNÉES BRUTES'!Y$3:Y$42)/1000,0))&amp;"/100","—")</f>
        <v>74/100</v>
      </c>
      <c r="F14" s="108" t="str" cm="1">
        <f t="array" ref="F14">IFERROR(INDEX('DONNÉES BRUTES'!P$3:P$42,MATCH(_xlfn.AGGREGATE(14,6,'DONNÉES BRUTES'!Y$3:Y$42+ROW('DONNÉES BRUTES'!Y$3:Y$42)/1000,11),'DONNÉES BRUTES'!Y$3:Y$42+ROW('DONNÉES BRUTES'!Y$3:Y$42)/1000,0)),"—")</f>
        <v>+5.5%</v>
      </c>
      <c r="G14" s="108" t="str" cm="1">
        <f t="array" ref="G14">IFERROR(INDEX('DONNÉES BRUTES'!N$3:N$42,MATCH(_xlfn.AGGREGATE(14,6,'DONNÉES BRUTES'!Y$3:Y$42+ROW('DONNÉES BRUTES'!Y$3:Y$42)/1000,11),'DONNÉES BRUTES'!Y$3:Y$42+ROW('DONNÉES BRUTES'!Y$3:Y$42)/1000,0)),"—")</f>
        <v>46.8%</v>
      </c>
      <c r="H14" s="108" t="str" cm="1">
        <f t="array" ref="H14">IFERROR(INDEX('DONNÉES BRUTES'!O$3:O$42,MATCH(_xlfn.AGGREGATE(14,6,'DONNÉES BRUTES'!Y$3:Y$42+ROW('DONNÉES BRUTES'!Y$3:Y$42)/1000,11),'DONNÉES BRUTES'!Y$3:Y$42+ROW('DONNÉES BRUTES'!Y$3:Y$42)/1000,0)),"—")</f>
        <v>28.3%</v>
      </c>
      <c r="I14" s="108" t="str" cm="1">
        <f t="array" ref="I14">IFERROR(INDEX('DONNÉES BRUTES'!Q$3:Q$42,MATCH(_xlfn.AGGREGATE(14,6,'DONNÉES BRUTES'!Y$3:Y$42+ROW('DONNÉES BRUTES'!Y$3:Y$42)/1000,11),'DONNÉES BRUTES'!Y$3:Y$42+ROW('DONNÉES BRUTES'!Y$3:Y$42)/1000,0)),"—")</f>
        <v>+24.0%</v>
      </c>
      <c r="J14" s="108" t="s">
        <v>11</v>
      </c>
      <c r="K14" s="108" t="s">
        <v>11</v>
      </c>
      <c r="L14" s="111" t="str" cm="1">
        <f t="array" ref="L14">IFERROR(INDEX('DONNÉES BRUTES'!AD$3:AD$42,MATCH(_xlfn.AGGREGATE(14,6,'DONNÉES BRUTES'!Y$3:Y$42+ROW('DONNÉES BRUTES'!Y$3:Y$42)/1000,11),'DONNÉES BRUTES'!Y$3:Y$42+ROW('DONNÉES BRUTES'!Y$3:Y$42)/1000,0)),"—")</f>
        <v>Surpondérer</v>
      </c>
    </row>
    <row r="15" spans="1:16" ht="15.95" customHeight="1" thickBot="1" x14ac:dyDescent="0.3">
      <c r="A15" s="126">
        <v>12</v>
      </c>
      <c r="B15" s="122" t="str" cm="1">
        <f t="array" ref="B15">IFERROR(INDEX('DONNÉES BRUTES'!A$3:A$42,MATCH(_xlfn.AGGREGATE(14,6,'DONNÉES BRUTES'!Y$3:Y$42+ROW('DONNÉES BRUTES'!Y$3:Y$42)/1000,12),'DONNÉES BRUTES'!Y$3:Y$42+ROW('DONNÉES BRUTES'!Y$3:Y$42)/1000,0)),"—")</f>
        <v>CS.PA</v>
      </c>
      <c r="C15" s="113" t="str" cm="1">
        <f t="array" ref="C15">IFERROR(INDEX('DONNÉES BRUTES'!B$3:B$42,MATCH(_xlfn.AGGREGATE(14,6,'DONNÉES BRUTES'!Y$3:Y$42+ROW('DONNÉES BRUTES'!Y$3:Y$42)/1000,12),'DONNÉES BRUTES'!Y$3:Y$42+ROW('DONNÉES BRUTES'!Y$3:Y$42)/1000,0)),"—")</f>
        <v>AXA SA</v>
      </c>
      <c r="D15" s="113" t="str" cm="1">
        <f t="array" ref="D15">IFERROR(INDEX('DONNÉES BRUTES'!C$3:C$42,MATCH(_xlfn.AGGREGATE(14,6,'DONNÉES BRUTES'!Y$3:Y$42+ROW('DONNÉES BRUTES'!Y$3:Y$42)/1000,12),'DONNÉES BRUTES'!Y$3:Y$42+ROW('DONNÉES BRUTES'!Y$3:Y$42)/1000,0)),"—")</f>
        <v>Financials</v>
      </c>
      <c r="E15" s="114" t="str" cm="1">
        <f t="array" ref="E15">IFERROR(INDEX('DONNÉES BRUTES'!Y$3:Y$42,MATCH(_xlfn.AGGREGATE(14,6,'DONNÉES BRUTES'!Y$3:Y$42+ROW('DONNÉES BRUTES'!Y$3:Y$42)/1000,12),'DONNÉES BRUTES'!Y$3:Y$42+ROW('DONNÉES BRUTES'!Y$3:Y$42)/1000,0))&amp;"/100","—")</f>
        <v>71/100</v>
      </c>
      <c r="F15" s="112" t="str" cm="1">
        <f t="array" ref="F15">IFERROR(INDEX('DONNÉES BRUTES'!P$3:P$42,MATCH(_xlfn.AGGREGATE(14,6,'DONNÉES BRUTES'!Y$3:Y$42+ROW('DONNÉES BRUTES'!Y$3:Y$42)/1000,12),'DONNÉES BRUTES'!Y$3:Y$42+ROW('DONNÉES BRUTES'!Y$3:Y$42)/1000,0)),"—")</f>
        <v>+5.7%</v>
      </c>
      <c r="G15" s="112" t="str" cm="1">
        <f t="array" ref="G15">IFERROR(INDEX('DONNÉES BRUTES'!N$3:N$42,MATCH(_xlfn.AGGREGATE(14,6,'DONNÉES BRUTES'!Y$3:Y$42+ROW('DONNÉES BRUTES'!Y$3:Y$42)/1000,12),'DONNÉES BRUTES'!Y$3:Y$42+ROW('DONNÉES BRUTES'!Y$3:Y$42)/1000,0)),"—")</f>
        <v>—</v>
      </c>
      <c r="H15" s="112" t="str" cm="1">
        <f t="array" ref="H15">IFERROR(INDEX('DONNÉES BRUTES'!O$3:O$42,MATCH(_xlfn.AGGREGATE(14,6,'DONNÉES BRUTES'!Y$3:Y$42+ROW('DONNÉES BRUTES'!Y$3:Y$42)/1000,12),'DONNÉES BRUTES'!Y$3:Y$42+ROW('DONNÉES BRUTES'!Y$3:Y$42)/1000,0)),"—")</f>
        <v>7.6%</v>
      </c>
      <c r="I15" s="112" t="str" cm="1">
        <f t="array" ref="I15">IFERROR(INDEX('DONNÉES BRUTES'!Q$3:Q$42,MATCH(_xlfn.AGGREGATE(14,6,'DONNÉES BRUTES'!Y$3:Y$42+ROW('DONNÉES BRUTES'!Y$3:Y$42)/1000,12),'DONNÉES BRUTES'!Y$3:Y$42+ROW('DONNÉES BRUTES'!Y$3:Y$42)/1000,0)),"—")</f>
        <v>+15.8%</v>
      </c>
      <c r="J15" s="112" t="s">
        <v>11</v>
      </c>
      <c r="K15" s="112" t="s">
        <v>11</v>
      </c>
      <c r="L15" s="115" t="str" cm="1">
        <f t="array" ref="L15">IFERROR(INDEX('DONNÉES BRUTES'!AD$3:AD$42,MATCH(_xlfn.AGGREGATE(14,6,'DONNÉES BRUTES'!Y$3:Y$42+ROW('DONNÉES BRUTES'!Y$3:Y$42)/1000,12),'DONNÉES BRUTES'!Y$3:Y$42+ROW('DONNÉES BRUTES'!Y$3:Y$42)/1000,0)),"—")</f>
        <v>Neutre</v>
      </c>
    </row>
    <row r="16" spans="1:16" ht="15.95" customHeight="1" thickBot="1" x14ac:dyDescent="0.3">
      <c r="A16" s="125">
        <v>13</v>
      </c>
      <c r="B16" s="121" t="str" cm="1">
        <f t="array" ref="B16">IFERROR(INDEX('DONNÉES BRUTES'!A$3:A$42,MATCH(_xlfn.AGGREGATE(14,6,'DONNÉES BRUTES'!Y$3:Y$42+ROW('DONNÉES BRUTES'!Y$3:Y$42)/1000,13),'DONNÉES BRUTES'!Y$3:Y$42+ROW('DONNÉES BRUTES'!Y$3:Y$42)/1000,0)),"—")</f>
        <v>DG.PA</v>
      </c>
      <c r="C16" s="109" t="str" cm="1">
        <f t="array" ref="C16">IFERROR(INDEX('DONNÉES BRUTES'!B$3:B$42,MATCH(_xlfn.AGGREGATE(14,6,'DONNÉES BRUTES'!Y$3:Y$42+ROW('DONNÉES BRUTES'!Y$3:Y$42)/1000,13),'DONNÉES BRUTES'!Y$3:Y$42+ROW('DONNÉES BRUTES'!Y$3:Y$42)/1000,0)),"—")</f>
        <v>Vinci SA</v>
      </c>
      <c r="D16" s="109" t="str" cm="1">
        <f t="array" ref="D16">IFERROR(INDEX('DONNÉES BRUTES'!C$3:C$42,MATCH(_xlfn.AGGREGATE(14,6,'DONNÉES BRUTES'!Y$3:Y$42+ROW('DONNÉES BRUTES'!Y$3:Y$42)/1000,13),'DONNÉES BRUTES'!Y$3:Y$42+ROW('DONNÉES BRUTES'!Y$3:Y$42)/1000,0)),"—")</f>
        <v>Industrials</v>
      </c>
      <c r="E16" s="110" t="str" cm="1">
        <f t="array" ref="E16">IFERROR(INDEX('DONNÉES BRUTES'!Y$3:Y$42,MATCH(_xlfn.AGGREGATE(14,6,'DONNÉES BRUTES'!Y$3:Y$42+ROW('DONNÉES BRUTES'!Y$3:Y$42)/1000,13),'DONNÉES BRUTES'!Y$3:Y$42+ROW('DONNÉES BRUTES'!Y$3:Y$42)/1000,0))&amp;"/100","—")</f>
        <v>68/100</v>
      </c>
      <c r="F16" s="108" t="str" cm="1">
        <f t="array" ref="F16">IFERROR(INDEX('DONNÉES BRUTES'!P$3:P$42,MATCH(_xlfn.AGGREGATE(14,6,'DONNÉES BRUTES'!Y$3:Y$42+ROW('DONNÉES BRUTES'!Y$3:Y$42)/1000,13),'DONNÉES BRUTES'!Y$3:Y$42+ROW('DONNÉES BRUTES'!Y$3:Y$42)/1000,0)),"—")</f>
        <v>+4.0%</v>
      </c>
      <c r="G16" s="108" t="str" cm="1">
        <f t="array" ref="G16">IFERROR(INDEX('DONNÉES BRUTES'!N$3:N$42,MATCH(_xlfn.AGGREGATE(14,6,'DONNÉES BRUTES'!Y$3:Y$42+ROW('DONNÉES BRUTES'!Y$3:Y$42)/1000,13),'DONNÉES BRUTES'!Y$3:Y$42+ROW('DONNÉES BRUTES'!Y$3:Y$42)/1000,0)),"—")</f>
        <v>18.0%</v>
      </c>
      <c r="H16" s="108" t="str" cm="1">
        <f t="array" ref="H16">IFERROR(INDEX('DONNÉES BRUTES'!O$3:O$42,MATCH(_xlfn.AGGREGATE(14,6,'DONNÉES BRUTES'!Y$3:Y$42+ROW('DONNÉES BRUTES'!Y$3:Y$42)/1000,13),'DONNÉES BRUTES'!Y$3:Y$42+ROW('DONNÉES BRUTES'!Y$3:Y$42)/1000,0)),"—")</f>
        <v>6.5%</v>
      </c>
      <c r="I16" s="108" t="str" cm="1">
        <f t="array" ref="I16">IFERROR(INDEX('DONNÉES BRUTES'!Q$3:Q$42,MATCH(_xlfn.AGGREGATE(14,6,'DONNÉES BRUTES'!Y$3:Y$42+ROW('DONNÉES BRUTES'!Y$3:Y$42)/1000,13),'DONNÉES BRUTES'!Y$3:Y$42+ROW('DONNÉES BRUTES'!Y$3:Y$42)/1000,0)),"—")</f>
        <v>+15.9%</v>
      </c>
      <c r="J16" s="108" t="s">
        <v>11</v>
      </c>
      <c r="K16" s="108" t="s">
        <v>11</v>
      </c>
      <c r="L16" s="111" t="str" cm="1">
        <f t="array" ref="L16">IFERROR(INDEX('DONNÉES BRUTES'!AD$3:AD$42,MATCH(_xlfn.AGGREGATE(14,6,'DONNÉES BRUTES'!Y$3:Y$42+ROW('DONNÉES BRUTES'!Y$3:Y$42)/1000,13),'DONNÉES BRUTES'!Y$3:Y$42+ROW('DONNÉES BRUTES'!Y$3:Y$42)/1000,0)),"—")</f>
        <v>Sous-pondérer</v>
      </c>
    </row>
    <row r="17" spans="1:12" ht="15.95" customHeight="1" thickBot="1" x14ac:dyDescent="0.3">
      <c r="A17" s="126">
        <v>14</v>
      </c>
      <c r="B17" s="122" t="str" cm="1">
        <f t="array" ref="B17">IFERROR(INDEX('DONNÉES BRUTES'!A$3:A$42,MATCH(_xlfn.AGGREGATE(14,6,'DONNÉES BRUTES'!Y$3:Y$42+ROW('DONNÉES BRUTES'!Y$3:Y$42)/1000,14),'DONNÉES BRUTES'!Y$3:Y$42+ROW('DONNÉES BRUTES'!Y$3:Y$42)/1000,0)),"—")</f>
        <v>SU.PA</v>
      </c>
      <c r="C17" s="113" t="str" cm="1">
        <f t="array" ref="C17">IFERROR(INDEX('DONNÉES BRUTES'!B$3:B$42,MATCH(_xlfn.AGGREGATE(14,6,'DONNÉES BRUTES'!Y$3:Y$42+ROW('DONNÉES BRUTES'!Y$3:Y$42)/1000,14),'DONNÉES BRUTES'!Y$3:Y$42+ROW('DONNÉES BRUTES'!Y$3:Y$42)/1000,0)),"—")</f>
        <v>Schneider Electric S.E.</v>
      </c>
      <c r="D17" s="113" t="str" cm="1">
        <f t="array" ref="D17">IFERROR(INDEX('DONNÉES BRUTES'!C$3:C$42,MATCH(_xlfn.AGGREGATE(14,6,'DONNÉES BRUTES'!Y$3:Y$42+ROW('DONNÉES BRUTES'!Y$3:Y$42)/1000,14),'DONNÉES BRUTES'!Y$3:Y$42+ROW('DONNÉES BRUTES'!Y$3:Y$42)/1000,0)),"—")</f>
        <v>Industrials</v>
      </c>
      <c r="E17" s="114" t="str" cm="1">
        <f t="array" ref="E17">IFERROR(INDEX('DONNÉES BRUTES'!Y$3:Y$42,MATCH(_xlfn.AGGREGATE(14,6,'DONNÉES BRUTES'!Y$3:Y$42+ROW('DONNÉES BRUTES'!Y$3:Y$42)/1000,14),'DONNÉES BRUTES'!Y$3:Y$42+ROW('DONNÉES BRUTES'!Y$3:Y$42)/1000,0))&amp;"/100","—")</f>
        <v>66/100</v>
      </c>
      <c r="F17" s="112" t="str" cm="1">
        <f t="array" ref="F17">IFERROR(INDEX('DONNÉES BRUTES'!P$3:P$42,MATCH(_xlfn.AGGREGATE(14,6,'DONNÉES BRUTES'!Y$3:Y$42+ROW('DONNÉES BRUTES'!Y$3:Y$42)/1000,14),'DONNÉES BRUTES'!Y$3:Y$42+ROW('DONNÉES BRUTES'!Y$3:Y$42)/1000,0)),"—")</f>
        <v>+5.2%</v>
      </c>
      <c r="G17" s="112" t="str" cm="1">
        <f t="array" ref="G17">IFERROR(INDEX('DONNÉES BRUTES'!N$3:N$42,MATCH(_xlfn.AGGREGATE(14,6,'DONNÉES BRUTES'!Y$3:Y$42+ROW('DONNÉES BRUTES'!Y$3:Y$42)/1000,14),'DONNÉES BRUTES'!Y$3:Y$42+ROW('DONNÉES BRUTES'!Y$3:Y$42)/1000,0)),"—")</f>
        <v>20.9%</v>
      </c>
      <c r="H17" s="112" t="str" cm="1">
        <f t="array" ref="H17">IFERROR(INDEX('DONNÉES BRUTES'!O$3:O$42,MATCH(_xlfn.AGGREGATE(14,6,'DONNÉES BRUTES'!Y$3:Y$42+ROW('DONNÉES BRUTES'!Y$3:Y$42)/1000,14),'DONNÉES BRUTES'!Y$3:Y$42+ROW('DONNÉES BRUTES'!Y$3:Y$42)/1000,0)),"—")</f>
        <v>10.4%</v>
      </c>
      <c r="I17" s="112" t="str" cm="1">
        <f t="array" ref="I17">IFERROR(INDEX('DONNÉES BRUTES'!Q$3:Q$42,MATCH(_xlfn.AGGREGATE(14,6,'DONNÉES BRUTES'!Y$3:Y$42+ROW('DONNÉES BRUTES'!Y$3:Y$42)/1000,14),'DONNÉES BRUTES'!Y$3:Y$42+ROW('DONNÉES BRUTES'!Y$3:Y$42)/1000,0)),"—")</f>
        <v>+17.2%</v>
      </c>
      <c r="J17" s="112" t="s">
        <v>11</v>
      </c>
      <c r="K17" s="112" t="s">
        <v>11</v>
      </c>
      <c r="L17" s="115" t="str" cm="1">
        <f t="array" ref="L17">IFERROR(INDEX('DONNÉES BRUTES'!AD$3:AD$42,MATCH(_xlfn.AGGREGATE(14,6,'DONNÉES BRUTES'!Y$3:Y$42+ROW('DONNÉES BRUTES'!Y$3:Y$42)/1000,14),'DONNÉES BRUTES'!Y$3:Y$42+ROW('DONNÉES BRUTES'!Y$3:Y$42)/1000,0)),"—")</f>
        <v>Neutre</v>
      </c>
    </row>
    <row r="18" spans="1:12" ht="15.95" customHeight="1" x14ac:dyDescent="0.25">
      <c r="A18" s="127">
        <v>15</v>
      </c>
      <c r="B18" s="123" t="str" cm="1">
        <f t="array" ref="B18">IFERROR(INDEX('DONNÉES BRUTES'!A$3:A$42,MATCH(_xlfn.AGGREGATE(14,6,'DONNÉES BRUTES'!Y$3:Y$42+ROW('DONNÉES BRUTES'!Y$3:Y$42)/1000,15),'DONNÉES BRUTES'!Y$3:Y$42+ROW('DONNÉES BRUTES'!Y$3:Y$42)/1000,0)),"—")</f>
        <v>CA.PA</v>
      </c>
      <c r="C18" s="117" t="str" cm="1">
        <f t="array" ref="C18">IFERROR(INDEX('DONNÉES BRUTES'!B$3:B$42,MATCH(_xlfn.AGGREGATE(14,6,'DONNÉES BRUTES'!Y$3:Y$42+ROW('DONNÉES BRUTES'!Y$3:Y$42)/1000,15),'DONNÉES BRUTES'!Y$3:Y$42+ROW('DONNÉES BRUTES'!Y$3:Y$42)/1000,0)),"—")</f>
        <v>Carrefour SA</v>
      </c>
      <c r="D18" s="117" t="str" cm="1">
        <f t="array" ref="D18">IFERROR(INDEX('DONNÉES BRUTES'!C$3:C$42,MATCH(_xlfn.AGGREGATE(14,6,'DONNÉES BRUTES'!Y$3:Y$42+ROW('DONNÉES BRUTES'!Y$3:Y$42)/1000,15),'DONNÉES BRUTES'!Y$3:Y$42+ROW('DONNÉES BRUTES'!Y$3:Y$42)/1000,0)),"—")</f>
        <v>Consumer Staples</v>
      </c>
      <c r="E18" s="118" t="str" cm="1">
        <f t="array" ref="E18">IFERROR(INDEX('DONNÉES BRUTES'!Y$3:Y$42,MATCH(_xlfn.AGGREGATE(14,6,'DONNÉES BRUTES'!Y$3:Y$42+ROW('DONNÉES BRUTES'!Y$3:Y$42)/1000,15),'DONNÉES BRUTES'!Y$3:Y$42+ROW('DONNÉES BRUTES'!Y$3:Y$42)/1000,0))&amp;"/100","—")</f>
        <v>63/100</v>
      </c>
      <c r="F18" s="116" t="str" cm="1">
        <f t="array" ref="F18">IFERROR(INDEX('DONNÉES BRUTES'!P$3:P$42,MATCH(_xlfn.AGGREGATE(14,6,'DONNÉES BRUTES'!Y$3:Y$42+ROW('DONNÉES BRUTES'!Y$3:Y$42)/1000,15),'DONNÉES BRUTES'!Y$3:Y$42+ROW('DONNÉES BRUTES'!Y$3:Y$42)/1000,0)),"—")</f>
        <v>+0.7%</v>
      </c>
      <c r="G18" s="116" t="str" cm="1">
        <f t="array" ref="G18">IFERROR(INDEX('DONNÉES BRUTES'!N$3:N$42,MATCH(_xlfn.AGGREGATE(14,6,'DONNÉES BRUTES'!Y$3:Y$42+ROW('DONNÉES BRUTES'!Y$3:Y$42)/1000,15),'DONNÉES BRUTES'!Y$3:Y$42+ROW('DONNÉES BRUTES'!Y$3:Y$42)/1000,0)),"—")</f>
        <v>5.6%</v>
      </c>
      <c r="H18" s="116" t="str" cm="1">
        <f t="array" ref="H18">IFERROR(INDEX('DONNÉES BRUTES'!O$3:O$42,MATCH(_xlfn.AGGREGATE(14,6,'DONNÉES BRUTES'!Y$3:Y$42+ROW('DONNÉES BRUTES'!Y$3:Y$42)/1000,15),'DONNÉES BRUTES'!Y$3:Y$42+ROW('DONNÉES BRUTES'!Y$3:Y$42)/1000,0)),"—")</f>
        <v>0.4%</v>
      </c>
      <c r="I18" s="116" t="str" cm="1">
        <f t="array" ref="I18">IFERROR(INDEX('DONNÉES BRUTES'!Q$3:Q$42,MATCH(_xlfn.AGGREGATE(14,6,'DONNÉES BRUTES'!Y$3:Y$42+ROW('DONNÉES BRUTES'!Y$3:Y$42)/1000,15),'DONNÉES BRUTES'!Y$3:Y$42+ROW('DONNÉES BRUTES'!Y$3:Y$42)/1000,0)),"—")</f>
        <v>+2.9%</v>
      </c>
      <c r="J18" s="116" t="s">
        <v>11</v>
      </c>
      <c r="K18" s="116" t="s">
        <v>11</v>
      </c>
      <c r="L18" s="119" t="str" cm="1">
        <f t="array" ref="L18">IFERROR(INDEX('DONNÉES BRUTES'!AD$3:AD$42,MATCH(_xlfn.AGGREGATE(14,6,'DONNÉES BRUTES'!Y$3:Y$42+ROW('DONNÉES BRUTES'!Y$3:Y$42)/1000,15),'DONNÉES BRUTES'!Y$3:Y$42+ROW('DONNÉES BRUTES'!Y$3:Y$42)/1000,0)),"—")</f>
        <v>Neutre</v>
      </c>
    </row>
    <row r="19" spans="1:12" ht="15.95" customHeight="1" x14ac:dyDescent="0.25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</row>
    <row r="20" spans="1:12" ht="6" customHeight="1" x14ac:dyDescent="0.25">
      <c r="A20" s="131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2"/>
    </row>
    <row r="21" spans="1:12" ht="15.95" customHeight="1" x14ac:dyDescent="0.25">
      <c r="A21" s="143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</row>
    <row r="22" spans="1:12" ht="15.95" customHeight="1" x14ac:dyDescent="0.25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</row>
    <row r="23" spans="1:12" ht="13.9" customHeight="1" x14ac:dyDescent="0.25"/>
    <row r="24" spans="1:12" ht="13.9" customHeight="1" x14ac:dyDescent="0.25"/>
    <row r="25" spans="1:12" ht="13.9" customHeight="1" x14ac:dyDescent="0.25"/>
    <row r="26" spans="1:12" ht="13.9" customHeight="1" x14ac:dyDescent="0.25"/>
    <row r="27" spans="1:12" ht="13.9" customHeight="1" x14ac:dyDescent="0.25"/>
    <row r="28" spans="1:12" ht="13.9" customHeight="1" x14ac:dyDescent="0.25"/>
    <row r="29" spans="1:12" ht="13.9" customHeight="1" x14ac:dyDescent="0.25"/>
    <row r="30" spans="1:12" ht="13.9" customHeight="1" x14ac:dyDescent="0.25"/>
    <row r="31" spans="1:12" ht="13.9" customHeight="1" x14ac:dyDescent="0.25"/>
    <row r="32" spans="1:12" ht="13.9" customHeight="1" x14ac:dyDescent="0.25"/>
    <row r="33" ht="13.9" customHeight="1" x14ac:dyDescent="0.25"/>
    <row r="34" ht="13.9" customHeight="1" x14ac:dyDescent="0.25"/>
    <row r="35" ht="13.9" customHeight="1" x14ac:dyDescent="0.25"/>
    <row r="36" ht="13.9" customHeight="1" x14ac:dyDescent="0.25"/>
    <row r="37" ht="13.9" customHeight="1" x14ac:dyDescent="0.25"/>
    <row r="38" ht="13.9" customHeight="1" x14ac:dyDescent="0.25"/>
    <row r="39" ht="13.9" customHeight="1" x14ac:dyDescent="0.25"/>
    <row r="40" ht="13.9" customHeight="1" x14ac:dyDescent="0.25"/>
    <row r="41" ht="13.9" customHeight="1" x14ac:dyDescent="0.25"/>
    <row r="42" ht="13.9" customHeight="1" x14ac:dyDescent="0.25"/>
    <row r="44" ht="16.149999999999999" customHeight="1" x14ac:dyDescent="0.25"/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4"/>
  <sheetViews>
    <sheetView showGridLines="0" zoomScale="85" workbookViewId="0">
      <selection activeCell="R28" sqref="I28:R28"/>
    </sheetView>
  </sheetViews>
  <sheetFormatPr baseColWidth="10" defaultColWidth="8.85546875" defaultRowHeight="15" x14ac:dyDescent="0.25"/>
  <cols>
    <col min="1" max="1" width="5.28515625" customWidth="1"/>
    <col min="2" max="2" width="9.140625" customWidth="1"/>
    <col min="3" max="3" width="26.7109375" customWidth="1"/>
    <col min="4" max="4" width="15.28515625" customWidth="1"/>
    <col min="5" max="5" width="9.140625" customWidth="1"/>
    <col min="6" max="7" width="10.42578125" customWidth="1"/>
    <col min="8" max="8" width="12.42578125" customWidth="1"/>
    <col min="9" max="9" width="10.42578125" customWidth="1"/>
    <col min="10" max="10" width="12.42578125" customWidth="1"/>
    <col min="11" max="11" width="10.42578125" customWidth="1"/>
    <col min="12" max="13" width="12.42578125" customWidth="1"/>
    <col min="15" max="19" width="8.85546875" style="235"/>
  </cols>
  <sheetData>
    <row r="1" spans="1:18" ht="32.1" customHeight="1" thickBot="1" x14ac:dyDescent="0.3">
      <c r="A1" s="102" t="s">
        <v>151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O1" s="235" t="s">
        <v>4</v>
      </c>
      <c r="P1" s="235" t="s">
        <v>409</v>
      </c>
      <c r="Q1" s="235" t="s">
        <v>89</v>
      </c>
      <c r="R1" s="235" t="s">
        <v>154</v>
      </c>
    </row>
    <row r="2" spans="1:18" x14ac:dyDescent="0.2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O2" s="235" t="str">
        <f t="shared" ref="O2:O11" si="0">IF(B4&lt;&gt;"—",LEFT(C4,15),"—")</f>
        <v>Dassault Systèm</v>
      </c>
      <c r="P2" s="235">
        <f t="shared" ref="P2:P11" si="1">IF(E4&lt;&gt;"—",VALUE(LEFT(E4,FIND("/",E4)-1)),"")</f>
        <v>100</v>
      </c>
      <c r="Q2" s="235" t="str">
        <f t="shared" ref="Q2:Q11" si="2">IF(F4&lt;&gt;"—",F4,"")</f>
        <v/>
      </c>
      <c r="R2" s="235" t="str">
        <f t="shared" ref="R2:R11" si="3">IF(H4&lt;&gt;"—",H4,"")</f>
        <v>-3.10</v>
      </c>
    </row>
    <row r="3" spans="1:18" ht="18" customHeight="1" thickBot="1" x14ac:dyDescent="0.3">
      <c r="A3" s="137" t="s">
        <v>2</v>
      </c>
      <c r="B3" s="136" t="s">
        <v>3</v>
      </c>
      <c r="C3" s="134" t="s">
        <v>4</v>
      </c>
      <c r="D3" s="134" t="s">
        <v>42</v>
      </c>
      <c r="E3" s="133" t="s">
        <v>5</v>
      </c>
      <c r="F3" s="133" t="s">
        <v>152</v>
      </c>
      <c r="G3" s="133" t="s">
        <v>153</v>
      </c>
      <c r="H3" s="133" t="s">
        <v>154</v>
      </c>
      <c r="I3" s="133" t="s">
        <v>155</v>
      </c>
      <c r="J3" s="133" t="s">
        <v>48</v>
      </c>
      <c r="K3" s="133" t="s">
        <v>95</v>
      </c>
      <c r="L3" s="133" t="s">
        <v>156</v>
      </c>
      <c r="M3" s="135" t="s">
        <v>157</v>
      </c>
      <c r="O3" s="235" t="str">
        <f t="shared" si="0"/>
        <v>Sanofi</v>
      </c>
      <c r="P3" s="235">
        <f t="shared" si="1"/>
        <v>97</v>
      </c>
      <c r="Q3" s="235" t="str">
        <f t="shared" si="2"/>
        <v/>
      </c>
      <c r="R3" s="235" t="str">
        <f t="shared" si="3"/>
        <v>-3.00</v>
      </c>
    </row>
    <row r="4" spans="1:18" ht="15.95" customHeight="1" thickBot="1" x14ac:dyDescent="0.3">
      <c r="A4" s="125">
        <v>1</v>
      </c>
      <c r="B4" s="121" t="str" cm="1">
        <f t="array" ref="B4">IFERROR(INDEX('DONNÉES BRUTES'!A$3:A$42,MATCH(_xlfn.AGGREGATE(14,6,'DONNÉES BRUTES'!Z$3:Z$42+ROW('DONNÉES BRUTES'!Z$3:Z$42)/1000,1),'DONNÉES BRUTES'!Z$3:Z$42+ROW('DONNÉES BRUTES'!Z$3:Z$42)/1000,0)),"—")</f>
        <v>DSY.PA</v>
      </c>
      <c r="C4" s="109" t="str" cm="1">
        <f t="array" ref="C4">IFERROR(INDEX('DONNÉES BRUTES'!B$3:B$42,MATCH(_xlfn.AGGREGATE(14,6,'DONNÉES BRUTES'!Z$3:Z$42+ROW('DONNÉES BRUTES'!Z$3:Z$42)/1000,1),'DONNÉES BRUTES'!Z$3:Z$42+ROW('DONNÉES BRUTES'!Z$3:Z$42)/1000,0)),"—")</f>
        <v>Dassault Systèmes SE</v>
      </c>
      <c r="D4" s="109" t="str" cm="1">
        <f t="array" ref="D4">IFERROR(INDEX('DONNÉES BRUTES'!C$3:C$42,MATCH(_xlfn.AGGREGATE(14,6,'DONNÉES BRUTES'!Z$3:Z$42+ROW('DONNÉES BRUTES'!Z$3:Z$42)/1000,1),'DONNÉES BRUTES'!Z$3:Z$42+ROW('DONNÉES BRUTES'!Z$3:Z$42)/1000,0)),"—")</f>
        <v>Technology</v>
      </c>
      <c r="E4" s="110" t="str" cm="1">
        <f t="array" ref="E4">IFERROR(INDEX('DONNÉES BRUTES'!Z$3:Z$42,MATCH(_xlfn.AGGREGATE(14,6,'DONNÉES BRUTES'!Z$3:Z$42+ROW('DONNÉES BRUTES'!Z$3:Z$42)/1000,1),'DONNÉES BRUTES'!Z$3:Z$42+ROW('DONNÉES BRUTES'!Z$3:Z$42)/1000,0))&amp;"/100","—")</f>
        <v>100/100</v>
      </c>
      <c r="F4" s="108" t="str" cm="1">
        <f t="array" ref="F4">IFERROR(INDEX('DONNÉES BRUTES'!U$3:U$42,MATCH(_xlfn.AGGREGATE(14,6,'DONNÉES BRUTES'!Z$3:Z$42+ROW('DONNÉES BRUTES'!Z$3:Z$42)/1000,1),'DONNÉES BRUTES'!Z$3:Z$42+ROW('DONNÉES BRUTES'!Z$3:Z$42)/1000,0)),"—")</f>
        <v>—</v>
      </c>
      <c r="G4" s="108" t="s">
        <v>11</v>
      </c>
      <c r="H4" s="108" t="str" cm="1">
        <f t="array" ref="H4">IFERROR(INDEX('DONNÉES BRUTES'!V$3:V$42,MATCH(_xlfn.AGGREGATE(14,6,'DONNÉES BRUTES'!Z$3:Z$42+ROW('DONNÉES BRUTES'!Z$3:Z$42)/1000,1),'DONNÉES BRUTES'!Z$3:Z$42+ROW('DONNÉES BRUTES'!Z$3:Z$42)/1000,0)),"—")</f>
        <v>-3.10</v>
      </c>
      <c r="I4" s="108" t="s">
        <v>11</v>
      </c>
      <c r="J4" s="108" t="str" cm="1">
        <f t="array" ref="J4">IFERROR(INDEX('DONNÉES BRUTES'!N$3:N$42,MATCH(_xlfn.AGGREGATE(14,6,'DONNÉES BRUTES'!Z$3:Z$42+ROW('DONNÉES BRUTES'!Z$3:Z$42)/1000,1),'DONNÉES BRUTES'!Z$3:Z$42+ROW('DONNÉES BRUTES'!Z$3:Z$42)/1000,0)),"—")</f>
        <v>30.4%</v>
      </c>
      <c r="K4" s="108" t="str" cm="1">
        <f t="array" ref="K4">IFERROR(INDEX('DONNÉES BRUTES'!Q$3:Q$42,MATCH(_xlfn.AGGREGATE(14,6,'DONNÉES BRUTES'!Z$3:Z$42+ROW('DONNÉES BRUTES'!Z$3:Z$42)/1000,1),'DONNÉES BRUTES'!Z$3:Z$42+ROW('DONNÉES BRUTES'!Z$3:Z$42)/1000,0)),"—")</f>
        <v>+13.6%</v>
      </c>
      <c r="L4" s="111" t="s">
        <v>11</v>
      </c>
      <c r="M4" s="121" t="str" cm="1">
        <f t="array" ref="M4">IFERROR(INDEX('DONNÉES BRUTES'!S$3:S$42,MATCH(_xlfn.AGGREGATE(14,6,'DONNÉES BRUTES'!Z$3:Z$42+ROW('DONNÉES BRUTES'!Z$3:Z$42)/1000,1),'DONNÉES BRUTES'!Z$3:Z$42+ROW('DONNÉES BRUTES'!Z$3:Z$42)/1000,0)),"—")</f>
        <v>1.60</v>
      </c>
      <c r="O4" s="235" t="str">
        <f t="shared" si="0"/>
        <v>Unibail-Rodamco</v>
      </c>
      <c r="P4" s="235">
        <f t="shared" si="1"/>
        <v>95</v>
      </c>
      <c r="Q4" s="235" t="str">
        <f t="shared" si="2"/>
        <v>1.22</v>
      </c>
      <c r="R4" s="235" t="str">
        <f t="shared" si="3"/>
        <v>-2.60</v>
      </c>
    </row>
    <row r="5" spans="1:18" ht="15.95" customHeight="1" thickBot="1" x14ac:dyDescent="0.3">
      <c r="A5" s="126">
        <v>2</v>
      </c>
      <c r="B5" s="122" t="str" cm="1">
        <f t="array" ref="B5">IFERROR(INDEX('DONNÉES BRUTES'!A$3:A$42,MATCH(_xlfn.AGGREGATE(14,6,'DONNÉES BRUTES'!Z$3:Z$42+ROW('DONNÉES BRUTES'!Z$3:Z$42)/1000,2),'DONNÉES BRUTES'!Z$3:Z$42+ROW('DONNÉES BRUTES'!Z$3:Z$42)/1000,0)),"—")</f>
        <v>SAN.PA</v>
      </c>
      <c r="C5" s="113" t="str" cm="1">
        <f t="array" ref="C5">IFERROR(INDEX('DONNÉES BRUTES'!B$3:B$42,MATCH(_xlfn.AGGREGATE(14,6,'DONNÉES BRUTES'!Z$3:Z$42+ROW('DONNÉES BRUTES'!Z$3:Z$42)/1000,2),'DONNÉES BRUTES'!Z$3:Z$42+ROW('DONNÉES BRUTES'!Z$3:Z$42)/1000,0)),"—")</f>
        <v>Sanofi</v>
      </c>
      <c r="D5" s="113" t="str" cm="1">
        <f t="array" ref="D5">IFERROR(INDEX('DONNÉES BRUTES'!C$3:C$42,MATCH(_xlfn.AGGREGATE(14,6,'DONNÉES BRUTES'!Z$3:Z$42+ROW('DONNÉES BRUTES'!Z$3:Z$42)/1000,2),'DONNÉES BRUTES'!Z$3:Z$42+ROW('DONNÉES BRUTES'!Z$3:Z$42)/1000,0)),"—")</f>
        <v>Healthcare</v>
      </c>
      <c r="E5" s="114" t="str" cm="1">
        <f t="array" ref="E5">IFERROR(INDEX('DONNÉES BRUTES'!Z$3:Z$42,MATCH(_xlfn.AGGREGATE(14,6,'DONNÉES BRUTES'!Z$3:Z$42+ROW('DONNÉES BRUTES'!Z$3:Z$42)/1000,2),'DONNÉES BRUTES'!Z$3:Z$42+ROW('DONNÉES BRUTES'!Z$3:Z$42)/1000,0))&amp;"/100","—")</f>
        <v>97/100</v>
      </c>
      <c r="F5" s="112" t="str" cm="1">
        <f t="array" ref="F5">IFERROR(INDEX('DONNÉES BRUTES'!U$3:U$42,MATCH(_xlfn.AGGREGATE(14,6,'DONNÉES BRUTES'!Z$3:Z$42+ROW('DONNÉES BRUTES'!Z$3:Z$42)/1000,2),'DONNÉES BRUTES'!Z$3:Z$42+ROW('DONNÉES BRUTES'!Z$3:Z$42)/1000,0)),"—")</f>
        <v>—</v>
      </c>
      <c r="G5" s="112" t="s">
        <v>11</v>
      </c>
      <c r="H5" s="112" t="str" cm="1">
        <f t="array" ref="H5">IFERROR(INDEX('DONNÉES BRUTES'!V$3:V$42,MATCH(_xlfn.AGGREGATE(14,6,'DONNÉES BRUTES'!Z$3:Z$42+ROW('DONNÉES BRUTES'!Z$3:Z$42)/1000,2),'DONNÉES BRUTES'!Z$3:Z$42+ROW('DONNÉES BRUTES'!Z$3:Z$42)/1000,0)),"—")</f>
        <v>-3.00</v>
      </c>
      <c r="I5" s="112" t="s">
        <v>11</v>
      </c>
      <c r="J5" s="112" t="str" cm="1">
        <f t="array" ref="J5">IFERROR(INDEX('DONNÉES BRUTES'!N$3:N$42,MATCH(_xlfn.AGGREGATE(14,6,'DONNÉES BRUTES'!Z$3:Z$42+ROW('DONNÉES BRUTES'!Z$3:Z$42)/1000,2),'DONNÉES BRUTES'!Z$3:Z$42+ROW('DONNÉES BRUTES'!Z$3:Z$42)/1000,0)),"—")</f>
        <v>26.7%</v>
      </c>
      <c r="K5" s="112" t="str" cm="1">
        <f t="array" ref="K5">IFERROR(INDEX('DONNÉES BRUTES'!Q$3:Q$42,MATCH(_xlfn.AGGREGATE(14,6,'DONNÉES BRUTES'!Z$3:Z$42+ROW('DONNÉES BRUTES'!Z$3:Z$42)/1000,2),'DONNÉES BRUTES'!Z$3:Z$42+ROW('DONNÉES BRUTES'!Z$3:Z$42)/1000,0)),"—")</f>
        <v>+10.9%</v>
      </c>
      <c r="L5" s="115" t="s">
        <v>11</v>
      </c>
      <c r="M5" s="122" t="str" cm="1">
        <f t="array" ref="M5">IFERROR(INDEX('DONNÉES BRUTES'!S$3:S$42,MATCH(_xlfn.AGGREGATE(14,6,'DONNÉES BRUTES'!Z$3:Z$42+ROW('DONNÉES BRUTES'!Z$3:Z$42)/1000,2),'DONNÉES BRUTES'!Z$3:Z$42+ROW('DONNÉES BRUTES'!Z$3:Z$42)/1000,0)),"—")</f>
        <v>1.09</v>
      </c>
      <c r="O5" s="235" t="str">
        <f t="shared" si="0"/>
        <v>Crédit Agricole</v>
      </c>
      <c r="P5" s="235">
        <f t="shared" si="1"/>
        <v>92</v>
      </c>
      <c r="Q5" s="235" t="str">
        <f t="shared" si="2"/>
        <v/>
      </c>
      <c r="R5" s="235" t="str">
        <f t="shared" si="3"/>
        <v/>
      </c>
    </row>
    <row r="6" spans="1:18" ht="15.95" customHeight="1" thickBot="1" x14ac:dyDescent="0.3">
      <c r="A6" s="125">
        <v>3</v>
      </c>
      <c r="B6" s="121" t="str" cm="1">
        <f t="array" ref="B6">IFERROR(INDEX('DONNÉES BRUTES'!A$3:A$42,MATCH(_xlfn.AGGREGATE(14,6,'DONNÉES BRUTES'!Z$3:Z$42+ROW('DONNÉES BRUTES'!Z$3:Z$42)/1000,3),'DONNÉES BRUTES'!Z$3:Z$42+ROW('DONNÉES BRUTES'!Z$3:Z$42)/1000,0)),"—")</f>
        <v>URW.PA</v>
      </c>
      <c r="C6" s="109" t="str" cm="1">
        <f t="array" ref="C6">IFERROR(INDEX('DONNÉES BRUTES'!B$3:B$42,MATCH(_xlfn.AGGREGATE(14,6,'DONNÉES BRUTES'!Z$3:Z$42+ROW('DONNÉES BRUTES'!Z$3:Z$42)/1000,3),'DONNÉES BRUTES'!Z$3:Z$42+ROW('DONNÉES BRUTES'!Z$3:Z$42)/1000,0)),"—")</f>
        <v>Unibail-Rodamco-Westfield SE</v>
      </c>
      <c r="D6" s="109" t="str" cm="1">
        <f t="array" ref="D6">IFERROR(INDEX('DONNÉES BRUTES'!C$3:C$42,MATCH(_xlfn.AGGREGATE(14,6,'DONNÉES BRUTES'!Z$3:Z$42+ROW('DONNÉES BRUTES'!Z$3:Z$42)/1000,3),'DONNÉES BRUTES'!Z$3:Z$42+ROW('DONNÉES BRUTES'!Z$3:Z$42)/1000,0)),"—")</f>
        <v>Real Estate</v>
      </c>
      <c r="E6" s="110" t="str" cm="1">
        <f t="array" ref="E6">IFERROR(INDEX('DONNÉES BRUTES'!Z$3:Z$42,MATCH(_xlfn.AGGREGATE(14,6,'DONNÉES BRUTES'!Z$3:Z$42+ROW('DONNÉES BRUTES'!Z$3:Z$42)/1000,3),'DONNÉES BRUTES'!Z$3:Z$42+ROW('DONNÉES BRUTES'!Z$3:Z$42)/1000,0))&amp;"/100","—")</f>
        <v>95/100</v>
      </c>
      <c r="F6" s="108" t="str" cm="1">
        <f t="array" ref="F6">IFERROR(INDEX('DONNÉES BRUTES'!U$3:U$42,MATCH(_xlfn.AGGREGATE(14,6,'DONNÉES BRUTES'!Z$3:Z$42+ROW('DONNÉES BRUTES'!Z$3:Z$42)/1000,3),'DONNÉES BRUTES'!Z$3:Z$42+ROW('DONNÉES BRUTES'!Z$3:Z$42)/1000,0)),"—")</f>
        <v>1.22</v>
      </c>
      <c r="G6" s="108" t="s">
        <v>11</v>
      </c>
      <c r="H6" s="108" t="str" cm="1">
        <f t="array" ref="H6">IFERROR(INDEX('DONNÉES BRUTES'!V$3:V$42,MATCH(_xlfn.AGGREGATE(14,6,'DONNÉES BRUTES'!Z$3:Z$42+ROW('DONNÉES BRUTES'!Z$3:Z$42)/1000,3),'DONNÉES BRUTES'!Z$3:Z$42+ROW('DONNÉES BRUTES'!Z$3:Z$42)/1000,0)),"—")</f>
        <v>-2.60</v>
      </c>
      <c r="I6" s="108" t="s">
        <v>11</v>
      </c>
      <c r="J6" s="108" t="str" cm="1">
        <f t="array" ref="J6">IFERROR(INDEX('DONNÉES BRUTES'!N$3:N$42,MATCH(_xlfn.AGGREGATE(14,6,'DONNÉES BRUTES'!Z$3:Z$42+ROW('DONNÉES BRUTES'!Z$3:Z$42)/1000,3),'DONNÉES BRUTES'!Z$3:Z$42+ROW('DONNÉES BRUTES'!Z$3:Z$42)/1000,0)),"—")</f>
        <v>89.1%</v>
      </c>
      <c r="K6" s="108" t="str" cm="1">
        <f t="array" ref="K6">IFERROR(INDEX('DONNÉES BRUTES'!Q$3:Q$42,MATCH(_xlfn.AGGREGATE(14,6,'DONNÉES BRUTES'!Z$3:Z$42+ROW('DONNÉES BRUTES'!Z$3:Z$42)/1000,3),'DONNÉES BRUTES'!Z$3:Z$42+ROW('DONNÉES BRUTES'!Z$3:Z$42)/1000,0)),"—")</f>
        <v>+7.2%</v>
      </c>
      <c r="L6" s="111" t="s">
        <v>11</v>
      </c>
      <c r="M6" s="121" t="str" cm="1">
        <f t="array" ref="M6">IFERROR(INDEX('DONNÉES BRUTES'!S$3:S$42,MATCH(_xlfn.AGGREGATE(14,6,'DONNÉES BRUTES'!Z$3:Z$42+ROW('DONNÉES BRUTES'!Z$3:Z$42)/1000,3),'DONNÉES BRUTES'!Z$3:Z$42+ROW('DONNÉES BRUTES'!Z$3:Z$42)/1000,0)),"—")</f>
        <v>1.27</v>
      </c>
      <c r="O6" s="235" t="str">
        <f t="shared" si="0"/>
        <v>Hermès Internat</v>
      </c>
      <c r="P6" s="235">
        <f t="shared" si="1"/>
        <v>90</v>
      </c>
      <c r="Q6" s="235" t="str">
        <f t="shared" si="2"/>
        <v>9.47</v>
      </c>
      <c r="R6" s="235" t="str">
        <f t="shared" si="3"/>
        <v>-3.21</v>
      </c>
    </row>
    <row r="7" spans="1:18" ht="15.95" customHeight="1" thickBot="1" x14ac:dyDescent="0.3">
      <c r="A7" s="126">
        <v>4</v>
      </c>
      <c r="B7" s="122" t="str" cm="1">
        <f t="array" ref="B7">IFERROR(INDEX('DONNÉES BRUTES'!A$3:A$42,MATCH(_xlfn.AGGREGATE(14,6,'DONNÉES BRUTES'!Z$3:Z$42+ROW('DONNÉES BRUTES'!Z$3:Z$42)/1000,4),'DONNÉES BRUTES'!Z$3:Z$42+ROW('DONNÉES BRUTES'!Z$3:Z$42)/1000,0)),"—")</f>
        <v>ACA.PA</v>
      </c>
      <c r="C7" s="113" t="str" cm="1">
        <f t="array" ref="C7">IFERROR(INDEX('DONNÉES BRUTES'!B$3:B$42,MATCH(_xlfn.AGGREGATE(14,6,'DONNÉES BRUTES'!Z$3:Z$42+ROW('DONNÉES BRUTES'!Z$3:Z$42)/1000,4),'DONNÉES BRUTES'!Z$3:Z$42+ROW('DONNÉES BRUTES'!Z$3:Z$42)/1000,0)),"—")</f>
        <v>Crédit Agricole S.A.</v>
      </c>
      <c r="D7" s="113" t="str" cm="1">
        <f t="array" ref="D7">IFERROR(INDEX('DONNÉES BRUTES'!C$3:C$42,MATCH(_xlfn.AGGREGATE(14,6,'DONNÉES BRUTES'!Z$3:Z$42+ROW('DONNÉES BRUTES'!Z$3:Z$42)/1000,4),'DONNÉES BRUTES'!Z$3:Z$42+ROW('DONNÉES BRUTES'!Z$3:Z$42)/1000,0)),"—")</f>
        <v>Financials</v>
      </c>
      <c r="E7" s="114" t="str" cm="1">
        <f t="array" ref="E7">IFERROR(INDEX('DONNÉES BRUTES'!Z$3:Z$42,MATCH(_xlfn.AGGREGATE(14,6,'DONNÉES BRUTES'!Z$3:Z$42+ROW('DONNÉES BRUTES'!Z$3:Z$42)/1000,4),'DONNÉES BRUTES'!Z$3:Z$42+ROW('DONNÉES BRUTES'!Z$3:Z$42)/1000,0))&amp;"/100","—")</f>
        <v>92/100</v>
      </c>
      <c r="F7" s="112" t="str" cm="1">
        <f t="array" ref="F7">IFERROR(INDEX('DONNÉES BRUTES'!U$3:U$42,MATCH(_xlfn.AGGREGATE(14,6,'DONNÉES BRUTES'!Z$3:Z$42+ROW('DONNÉES BRUTES'!Z$3:Z$42)/1000,4),'DONNÉES BRUTES'!Z$3:Z$42+ROW('DONNÉES BRUTES'!Z$3:Z$42)/1000,0)),"—")</f>
        <v>—</v>
      </c>
      <c r="G7" s="112" t="s">
        <v>11</v>
      </c>
      <c r="H7" s="112" t="str" cm="1">
        <f t="array" ref="H7">IFERROR(INDEX('DONNÉES BRUTES'!V$3:V$42,MATCH(_xlfn.AGGREGATE(14,6,'DONNÉES BRUTES'!Z$3:Z$42+ROW('DONNÉES BRUTES'!Z$3:Z$42)/1000,4),'DONNÉES BRUTES'!Z$3:Z$42+ROW('DONNÉES BRUTES'!Z$3:Z$42)/1000,0)),"—")</f>
        <v>—</v>
      </c>
      <c r="I7" s="112" t="s">
        <v>11</v>
      </c>
      <c r="J7" s="112" t="str" cm="1">
        <f t="array" ref="J7">IFERROR(INDEX('DONNÉES BRUTES'!N$3:N$42,MATCH(_xlfn.AGGREGATE(14,6,'DONNÉES BRUTES'!Z$3:Z$42+ROW('DONNÉES BRUTES'!Z$3:Z$42)/1000,4),'DONNÉES BRUTES'!Z$3:Z$42+ROW('DONNÉES BRUTES'!Z$3:Z$42)/1000,0)),"—")</f>
        <v>192.6%</v>
      </c>
      <c r="K7" s="112" t="str" cm="1">
        <f t="array" ref="K7">IFERROR(INDEX('DONNÉES BRUTES'!Q$3:Q$42,MATCH(_xlfn.AGGREGATE(14,6,'DONNÉES BRUTES'!Z$3:Z$42+ROW('DONNÉES BRUTES'!Z$3:Z$42)/1000,4),'DONNÉES BRUTES'!Z$3:Z$42+ROW('DONNÉES BRUTES'!Z$3:Z$42)/1000,0)),"—")</f>
        <v>+9.1%</v>
      </c>
      <c r="L7" s="115" t="s">
        <v>11</v>
      </c>
      <c r="M7" s="122" t="str" cm="1">
        <f t="array" ref="M7">IFERROR(INDEX('DONNÉES BRUTES'!S$3:S$42,MATCH(_xlfn.AGGREGATE(14,6,'DONNÉES BRUTES'!Z$3:Z$42+ROW('DONNÉES BRUTES'!Z$3:Z$42)/1000,4),'DONNÉES BRUTES'!Z$3:Z$42+ROW('DONNÉES BRUTES'!Z$3:Z$42)/1000,0)),"—")</f>
        <v>—</v>
      </c>
      <c r="O7" s="235" t="str">
        <f t="shared" si="0"/>
        <v>Kering SA</v>
      </c>
      <c r="P7" s="235">
        <f t="shared" si="1"/>
        <v>87</v>
      </c>
      <c r="Q7" s="235" t="str">
        <f t="shared" si="2"/>
        <v/>
      </c>
      <c r="R7" s="235" t="str">
        <f t="shared" si="3"/>
        <v>-3.32</v>
      </c>
    </row>
    <row r="8" spans="1:18" ht="15.95" customHeight="1" thickBot="1" x14ac:dyDescent="0.3">
      <c r="A8" s="125">
        <v>5</v>
      </c>
      <c r="B8" s="121" t="str" cm="1">
        <f t="array" ref="B8">IFERROR(INDEX('DONNÉES BRUTES'!A$3:A$42,MATCH(_xlfn.AGGREGATE(14,6,'DONNÉES BRUTES'!Z$3:Z$42+ROW('DONNÉES BRUTES'!Z$3:Z$42)/1000,5),'DONNÉES BRUTES'!Z$3:Z$42+ROW('DONNÉES BRUTES'!Z$3:Z$42)/1000,0)),"—")</f>
        <v>RMS.PA</v>
      </c>
      <c r="C8" s="109" t="str" cm="1">
        <f t="array" ref="C8">IFERROR(INDEX('DONNÉES BRUTES'!B$3:B$42,MATCH(_xlfn.AGGREGATE(14,6,'DONNÉES BRUTES'!Z$3:Z$42+ROW('DONNÉES BRUTES'!Z$3:Z$42)/1000,5),'DONNÉES BRUTES'!Z$3:Z$42+ROW('DONNÉES BRUTES'!Z$3:Z$42)/1000,0)),"—")</f>
        <v>Hermès International Société en commandite par actions</v>
      </c>
      <c r="D8" s="109" t="str" cm="1">
        <f t="array" ref="D8">IFERROR(INDEX('DONNÉES BRUTES'!C$3:C$42,MATCH(_xlfn.AGGREGATE(14,6,'DONNÉES BRUTES'!Z$3:Z$42+ROW('DONNÉES BRUTES'!Z$3:Z$42)/1000,5),'DONNÉES BRUTES'!Z$3:Z$42+ROW('DONNÉES BRUTES'!Z$3:Z$42)/1000,0)),"—")</f>
        <v>Consumer Disc.</v>
      </c>
      <c r="E8" s="110" t="str" cm="1">
        <f t="array" ref="E8">IFERROR(INDEX('DONNÉES BRUTES'!Z$3:Z$42,MATCH(_xlfn.AGGREGATE(14,6,'DONNÉES BRUTES'!Z$3:Z$42+ROW('DONNÉES BRUTES'!Z$3:Z$42)/1000,5),'DONNÉES BRUTES'!Z$3:Z$42+ROW('DONNÉES BRUTES'!Z$3:Z$42)/1000,0))&amp;"/100","—")</f>
        <v>90/100</v>
      </c>
      <c r="F8" s="108" t="str" cm="1">
        <f t="array" ref="F8">IFERROR(INDEX('DONNÉES BRUTES'!U$3:U$42,MATCH(_xlfn.AGGREGATE(14,6,'DONNÉES BRUTES'!Z$3:Z$42+ROW('DONNÉES BRUTES'!Z$3:Z$42)/1000,5),'DONNÉES BRUTES'!Z$3:Z$42+ROW('DONNÉES BRUTES'!Z$3:Z$42)/1000,0)),"—")</f>
        <v>9.47</v>
      </c>
      <c r="G8" s="108" t="s">
        <v>11</v>
      </c>
      <c r="H8" s="108" t="str" cm="1">
        <f t="array" ref="H8">IFERROR(INDEX('DONNÉES BRUTES'!V$3:V$42,MATCH(_xlfn.AGGREGATE(14,6,'DONNÉES BRUTES'!Z$3:Z$42+ROW('DONNÉES BRUTES'!Z$3:Z$42)/1000,5),'DONNÉES BRUTES'!Z$3:Z$42+ROW('DONNÉES BRUTES'!Z$3:Z$42)/1000,0)),"—")</f>
        <v>-3.21</v>
      </c>
      <c r="I8" s="108" t="s">
        <v>11</v>
      </c>
      <c r="J8" s="108" t="str" cm="1">
        <f t="array" ref="J8">IFERROR(INDEX('DONNÉES BRUTES'!N$3:N$42,MATCH(_xlfn.AGGREGATE(14,6,'DONNÉES BRUTES'!Z$3:Z$42+ROW('DONNÉES BRUTES'!Z$3:Z$42)/1000,5),'DONNÉES BRUTES'!Z$3:Z$42+ROW('DONNÉES BRUTES'!Z$3:Z$42)/1000,0)),"—")</f>
        <v>46.8%</v>
      </c>
      <c r="K8" s="108" t="str" cm="1">
        <f t="array" ref="K8">IFERROR(INDEX('DONNÉES BRUTES'!Q$3:Q$42,MATCH(_xlfn.AGGREGATE(14,6,'DONNÉES BRUTES'!Z$3:Z$42+ROW('DONNÉES BRUTES'!Z$3:Z$42)/1000,5),'DONNÉES BRUTES'!Z$3:Z$42+ROW('DONNÉES BRUTES'!Z$3:Z$42)/1000,0)),"—")</f>
        <v>+24.0%</v>
      </c>
      <c r="L8" s="111" t="s">
        <v>11</v>
      </c>
      <c r="M8" s="121" t="str" cm="1">
        <f t="array" ref="M8">IFERROR(INDEX('DONNÉES BRUTES'!S$3:S$42,MATCH(_xlfn.AGGREGATE(14,6,'DONNÉES BRUTES'!Z$3:Z$42+ROW('DONNÉES BRUTES'!Z$3:Z$42)/1000,5),'DONNÉES BRUTES'!Z$3:Z$42+ROW('DONNÉES BRUTES'!Z$3:Z$42)/1000,0)),"—")</f>
        <v>4.99</v>
      </c>
      <c r="O8" s="235" t="str">
        <f t="shared" si="0"/>
        <v>L'Oréal S.A.</v>
      </c>
      <c r="P8" s="235">
        <f t="shared" si="1"/>
        <v>85</v>
      </c>
      <c r="Q8" s="235" t="str">
        <f t="shared" si="2"/>
        <v>3.38</v>
      </c>
      <c r="R8" s="235" t="str">
        <f t="shared" si="3"/>
        <v>-3.16</v>
      </c>
    </row>
    <row r="9" spans="1:18" ht="15.95" customHeight="1" thickBot="1" x14ac:dyDescent="0.3">
      <c r="A9" s="126">
        <v>6</v>
      </c>
      <c r="B9" s="122" t="str" cm="1">
        <f t="array" ref="B9">IFERROR(INDEX('DONNÉES BRUTES'!A$3:A$42,MATCH(_xlfn.AGGREGATE(14,6,'DONNÉES BRUTES'!Z$3:Z$42+ROW('DONNÉES BRUTES'!Z$3:Z$42)/1000,6),'DONNÉES BRUTES'!Z$3:Z$42+ROW('DONNÉES BRUTES'!Z$3:Z$42)/1000,0)),"—")</f>
        <v>KER.PA</v>
      </c>
      <c r="C9" s="113" t="str" cm="1">
        <f t="array" ref="C9">IFERROR(INDEX('DONNÉES BRUTES'!B$3:B$42,MATCH(_xlfn.AGGREGATE(14,6,'DONNÉES BRUTES'!Z$3:Z$42+ROW('DONNÉES BRUTES'!Z$3:Z$42)/1000,6),'DONNÉES BRUTES'!Z$3:Z$42+ROW('DONNÉES BRUTES'!Z$3:Z$42)/1000,0)),"—")</f>
        <v>Kering SA</v>
      </c>
      <c r="D9" s="113" t="str" cm="1">
        <f t="array" ref="D9">IFERROR(INDEX('DONNÉES BRUTES'!C$3:C$42,MATCH(_xlfn.AGGREGATE(14,6,'DONNÉES BRUTES'!Z$3:Z$42+ROW('DONNÉES BRUTES'!Z$3:Z$42)/1000,6),'DONNÉES BRUTES'!Z$3:Z$42+ROW('DONNÉES BRUTES'!Z$3:Z$42)/1000,0)),"—")</f>
        <v>Consumer Disc.</v>
      </c>
      <c r="E9" s="114" t="str" cm="1">
        <f t="array" ref="E9">IFERROR(INDEX('DONNÉES BRUTES'!Z$3:Z$42,MATCH(_xlfn.AGGREGATE(14,6,'DONNÉES BRUTES'!Z$3:Z$42+ROW('DONNÉES BRUTES'!Z$3:Z$42)/1000,6),'DONNÉES BRUTES'!Z$3:Z$42+ROW('DONNÉES BRUTES'!Z$3:Z$42)/1000,0))&amp;"/100","—")</f>
        <v>87/100</v>
      </c>
      <c r="F9" s="112" t="str" cm="1">
        <f t="array" ref="F9">IFERROR(INDEX('DONNÉES BRUTES'!U$3:U$42,MATCH(_xlfn.AGGREGATE(14,6,'DONNÉES BRUTES'!Z$3:Z$42+ROW('DONNÉES BRUTES'!Z$3:Z$42)/1000,6),'DONNÉES BRUTES'!Z$3:Z$42+ROW('DONNÉES BRUTES'!Z$3:Z$42)/1000,0)),"—")</f>
        <v>—</v>
      </c>
      <c r="G9" s="112" t="s">
        <v>11</v>
      </c>
      <c r="H9" s="112" t="str" cm="1">
        <f t="array" ref="H9">IFERROR(INDEX('DONNÉES BRUTES'!V$3:V$42,MATCH(_xlfn.AGGREGATE(14,6,'DONNÉES BRUTES'!Z$3:Z$42+ROW('DONNÉES BRUTES'!Z$3:Z$42)/1000,6),'DONNÉES BRUTES'!Z$3:Z$42+ROW('DONNÉES BRUTES'!Z$3:Z$42)/1000,0)),"—")</f>
        <v>-3.32</v>
      </c>
      <c r="I9" s="112" t="s">
        <v>11</v>
      </c>
      <c r="J9" s="112" t="str" cm="1">
        <f t="array" ref="J9">IFERROR(INDEX('DONNÉES BRUTES'!N$3:N$42,MATCH(_xlfn.AGGREGATE(14,6,'DONNÉES BRUTES'!Z$3:Z$42+ROW('DONNÉES BRUTES'!Z$3:Z$42)/1000,6),'DONNÉES BRUTES'!Z$3:Z$42+ROW('DONNÉES BRUTES'!Z$3:Z$42)/1000,0)),"—")</f>
        <v>25.0%</v>
      </c>
      <c r="K9" s="112" t="str" cm="1">
        <f t="array" ref="K9">IFERROR(INDEX('DONNÉES BRUTES'!Q$3:Q$42,MATCH(_xlfn.AGGREGATE(14,6,'DONNÉES BRUTES'!Z$3:Z$42+ROW('DONNÉES BRUTES'!Z$3:Z$42)/1000,6),'DONNÉES BRUTES'!Z$3:Z$42+ROW('DONNÉES BRUTES'!Z$3:Z$42)/1000,0)),"—")</f>
        <v>+0.5%</v>
      </c>
      <c r="L9" s="115" t="s">
        <v>11</v>
      </c>
      <c r="M9" s="122" t="str" cm="1">
        <f t="array" ref="M9">IFERROR(INDEX('DONNÉES BRUTES'!S$3:S$42,MATCH(_xlfn.AGGREGATE(14,6,'DONNÉES BRUTES'!Z$3:Z$42+ROW('DONNÉES BRUTES'!Z$3:Z$42)/1000,6),'DONNÉES BRUTES'!Z$3:Z$42+ROW('DONNÉES BRUTES'!Z$3:Z$42)/1000,0)),"—")</f>
        <v>1.99</v>
      </c>
      <c r="O9" s="235" t="str">
        <f t="shared" si="0"/>
        <v xml:space="preserve">Bureau Veritas </v>
      </c>
      <c r="P9" s="235">
        <f t="shared" si="1"/>
        <v>82</v>
      </c>
      <c r="Q9" s="235" t="str">
        <f t="shared" si="2"/>
        <v>3.10</v>
      </c>
      <c r="R9" s="235" t="str">
        <f t="shared" si="3"/>
        <v>-3.04</v>
      </c>
    </row>
    <row r="10" spans="1:18" ht="15.95" customHeight="1" thickBot="1" x14ac:dyDescent="0.3">
      <c r="A10" s="125">
        <v>7</v>
      </c>
      <c r="B10" s="121" t="str" cm="1">
        <f t="array" ref="B10">IFERROR(INDEX('DONNÉES BRUTES'!A$3:A$42,MATCH(_xlfn.AGGREGATE(14,6,'DONNÉES BRUTES'!Z$3:Z$42+ROW('DONNÉES BRUTES'!Z$3:Z$42)/1000,7),'DONNÉES BRUTES'!Z$3:Z$42+ROW('DONNÉES BRUTES'!Z$3:Z$42)/1000,0)),"—")</f>
        <v>OR.PA</v>
      </c>
      <c r="C10" s="109" t="str" cm="1">
        <f t="array" ref="C10">IFERROR(INDEX('DONNÉES BRUTES'!B$3:B$42,MATCH(_xlfn.AGGREGATE(14,6,'DONNÉES BRUTES'!Z$3:Z$42+ROW('DONNÉES BRUTES'!Z$3:Z$42)/1000,7),'DONNÉES BRUTES'!Z$3:Z$42+ROW('DONNÉES BRUTES'!Z$3:Z$42)/1000,0)),"—")</f>
        <v>L'Oréal S.A.</v>
      </c>
      <c r="D10" s="109" t="str" cm="1">
        <f t="array" ref="D10">IFERROR(INDEX('DONNÉES BRUTES'!C$3:C$42,MATCH(_xlfn.AGGREGATE(14,6,'DONNÉES BRUTES'!Z$3:Z$42+ROW('DONNÉES BRUTES'!Z$3:Z$42)/1000,7),'DONNÉES BRUTES'!Z$3:Z$42+ROW('DONNÉES BRUTES'!Z$3:Z$42)/1000,0)),"—")</f>
        <v>Consumer Staples</v>
      </c>
      <c r="E10" s="110" t="str" cm="1">
        <f t="array" ref="E10">IFERROR(INDEX('DONNÉES BRUTES'!Z$3:Z$42,MATCH(_xlfn.AGGREGATE(14,6,'DONNÉES BRUTES'!Z$3:Z$42+ROW('DONNÉES BRUTES'!Z$3:Z$42)/1000,7),'DONNÉES BRUTES'!Z$3:Z$42+ROW('DONNÉES BRUTES'!Z$3:Z$42)/1000,0))&amp;"/100","—")</f>
        <v>85/100</v>
      </c>
      <c r="F10" s="108" t="str" cm="1">
        <f t="array" ref="F10">IFERROR(INDEX('DONNÉES BRUTES'!U$3:U$42,MATCH(_xlfn.AGGREGATE(14,6,'DONNÉES BRUTES'!Z$3:Z$42+ROW('DONNÉES BRUTES'!Z$3:Z$42)/1000,7),'DONNÉES BRUTES'!Z$3:Z$42+ROW('DONNÉES BRUTES'!Z$3:Z$42)/1000,0)),"—")</f>
        <v>3.38</v>
      </c>
      <c r="G10" s="108" t="s">
        <v>11</v>
      </c>
      <c r="H10" s="108" t="str" cm="1">
        <f t="array" ref="H10">IFERROR(INDEX('DONNÉES BRUTES'!V$3:V$42,MATCH(_xlfn.AGGREGATE(14,6,'DONNÉES BRUTES'!Z$3:Z$42+ROW('DONNÉES BRUTES'!Z$3:Z$42)/1000,7),'DONNÉES BRUTES'!Z$3:Z$42+ROW('DONNÉES BRUTES'!Z$3:Z$42)/1000,0)),"—")</f>
        <v>-3.16</v>
      </c>
      <c r="I10" s="108" t="s">
        <v>11</v>
      </c>
      <c r="J10" s="108" t="str" cm="1">
        <f t="array" ref="J10">IFERROR(INDEX('DONNÉES BRUTES'!N$3:N$42,MATCH(_xlfn.AGGREGATE(14,6,'DONNÉES BRUTES'!Z$3:Z$42+ROW('DONNÉES BRUTES'!Z$3:Z$42)/1000,7),'DONNÉES BRUTES'!Z$3:Z$42+ROW('DONNÉES BRUTES'!Z$3:Z$42)/1000,0)),"—")</f>
        <v>24.3%</v>
      </c>
      <c r="K10" s="108" t="str" cm="1">
        <f t="array" ref="K10">IFERROR(INDEX('DONNÉES BRUTES'!Q$3:Q$42,MATCH(_xlfn.AGGREGATE(14,6,'DONNÉES BRUTES'!Z$3:Z$42+ROW('DONNÉES BRUTES'!Z$3:Z$42)/1000,7),'DONNÉES BRUTES'!Z$3:Z$42+ROW('DONNÉES BRUTES'!Z$3:Z$42)/1000,0)),"—")</f>
        <v>+17.5%</v>
      </c>
      <c r="L10" s="111" t="s">
        <v>11</v>
      </c>
      <c r="M10" s="121" t="str" cm="1">
        <f t="array" ref="M10">IFERROR(INDEX('DONNÉES BRUTES'!S$3:S$42,MATCH(_xlfn.AGGREGATE(14,6,'DONNÉES BRUTES'!Z$3:Z$42+ROW('DONNÉES BRUTES'!Z$3:Z$42)/1000,7),'DONNÉES BRUTES'!Z$3:Z$42+ROW('DONNÉES BRUTES'!Z$3:Z$42)/1000,0)),"—")</f>
        <v>1.44</v>
      </c>
      <c r="O10" s="235" t="str">
        <f t="shared" si="0"/>
        <v>LVMH Moët Henne</v>
      </c>
      <c r="P10" s="235">
        <f t="shared" si="1"/>
        <v>79</v>
      </c>
      <c r="Q10" s="235" t="str">
        <f t="shared" si="2"/>
        <v>2.88</v>
      </c>
      <c r="R10" s="235" t="str">
        <f t="shared" si="3"/>
        <v>-3.19</v>
      </c>
    </row>
    <row r="11" spans="1:18" ht="15.95" customHeight="1" thickBot="1" x14ac:dyDescent="0.3">
      <c r="A11" s="126">
        <v>8</v>
      </c>
      <c r="B11" s="122" t="str" cm="1">
        <f t="array" ref="B11">IFERROR(INDEX('DONNÉES BRUTES'!A$3:A$42,MATCH(_xlfn.AGGREGATE(14,6,'DONNÉES BRUTES'!Z$3:Z$42+ROW('DONNÉES BRUTES'!Z$3:Z$42)/1000,8),'DONNÉES BRUTES'!Z$3:Z$42+ROW('DONNÉES BRUTES'!Z$3:Z$42)/1000,0)),"—")</f>
        <v>BVI.PA</v>
      </c>
      <c r="C11" s="113" t="str" cm="1">
        <f t="array" ref="C11">IFERROR(INDEX('DONNÉES BRUTES'!B$3:B$42,MATCH(_xlfn.AGGREGATE(14,6,'DONNÉES BRUTES'!Z$3:Z$42+ROW('DONNÉES BRUTES'!Z$3:Z$42)/1000,8),'DONNÉES BRUTES'!Z$3:Z$42+ROW('DONNÉES BRUTES'!Z$3:Z$42)/1000,0)),"—")</f>
        <v>Bureau Veritas SA</v>
      </c>
      <c r="D11" s="113" t="str" cm="1">
        <f t="array" ref="D11">IFERROR(INDEX('DONNÉES BRUTES'!C$3:C$42,MATCH(_xlfn.AGGREGATE(14,6,'DONNÉES BRUTES'!Z$3:Z$42+ROW('DONNÉES BRUTES'!Z$3:Z$42)/1000,8),'DONNÉES BRUTES'!Z$3:Z$42+ROW('DONNÉES BRUTES'!Z$3:Z$42)/1000,0)),"—")</f>
        <v>Industrials</v>
      </c>
      <c r="E11" s="114" t="str" cm="1">
        <f t="array" ref="E11">IFERROR(INDEX('DONNÉES BRUTES'!Z$3:Z$42,MATCH(_xlfn.AGGREGATE(14,6,'DONNÉES BRUTES'!Z$3:Z$42+ROW('DONNÉES BRUTES'!Z$3:Z$42)/1000,8),'DONNÉES BRUTES'!Z$3:Z$42+ROW('DONNÉES BRUTES'!Z$3:Z$42)/1000,0))&amp;"/100","—")</f>
        <v>82/100</v>
      </c>
      <c r="F11" s="112" t="str" cm="1">
        <f t="array" ref="F11">IFERROR(INDEX('DONNÉES BRUTES'!U$3:U$42,MATCH(_xlfn.AGGREGATE(14,6,'DONNÉES BRUTES'!Z$3:Z$42+ROW('DONNÉES BRUTES'!Z$3:Z$42)/1000,8),'DONNÉES BRUTES'!Z$3:Z$42+ROW('DONNÉES BRUTES'!Z$3:Z$42)/1000,0)),"—")</f>
        <v>3.10</v>
      </c>
      <c r="G11" s="112" t="s">
        <v>11</v>
      </c>
      <c r="H11" s="112" t="str" cm="1">
        <f t="array" ref="H11">IFERROR(INDEX('DONNÉES BRUTES'!V$3:V$42,MATCH(_xlfn.AGGREGATE(14,6,'DONNÉES BRUTES'!Z$3:Z$42+ROW('DONNÉES BRUTES'!Z$3:Z$42)/1000,8),'DONNÉES BRUTES'!Z$3:Z$42+ROW('DONNÉES BRUTES'!Z$3:Z$42)/1000,0)),"—")</f>
        <v>-3.04</v>
      </c>
      <c r="I11" s="112" t="s">
        <v>11</v>
      </c>
      <c r="J11" s="112" t="str" cm="1">
        <f t="array" ref="J11">IFERROR(INDEX('DONNÉES BRUTES'!N$3:N$42,MATCH(_xlfn.AGGREGATE(14,6,'DONNÉES BRUTES'!Z$3:Z$42+ROW('DONNÉES BRUTES'!Z$3:Z$42)/1000,8),'DONNÉES BRUTES'!Z$3:Z$42+ROW('DONNÉES BRUTES'!Z$3:Z$42)/1000,0)),"—")</f>
        <v>19.6%</v>
      </c>
      <c r="K11" s="112" t="str" cm="1">
        <f t="array" ref="K11">IFERROR(INDEX('DONNÉES BRUTES'!Q$3:Q$42,MATCH(_xlfn.AGGREGATE(14,6,'DONNÉES BRUTES'!Z$3:Z$42+ROW('DONNÉES BRUTES'!Z$3:Z$42)/1000,8),'DONNÉES BRUTES'!Z$3:Z$42+ROW('DONNÉES BRUTES'!Z$3:Z$42)/1000,0)),"—")</f>
        <v>+34.4%</v>
      </c>
      <c r="L11" s="115" t="s">
        <v>11</v>
      </c>
      <c r="M11" s="122" t="str" cm="1">
        <f t="array" ref="M11">IFERROR(INDEX('DONNÉES BRUTES'!S$3:S$42,MATCH(_xlfn.AGGREGATE(14,6,'DONNÉES BRUTES'!Z$3:Z$42+ROW('DONNÉES BRUTES'!Z$3:Z$42)/1000,8),'DONNÉES BRUTES'!Z$3:Z$42+ROW('DONNÉES BRUTES'!Z$3:Z$42)/1000,0)),"—")</f>
        <v>1.53</v>
      </c>
      <c r="O11" s="235" t="str">
        <f t="shared" si="0"/>
        <v>L'Air Liquide S</v>
      </c>
      <c r="P11" s="235">
        <f t="shared" si="1"/>
        <v>77</v>
      </c>
      <c r="Q11" s="235" t="str">
        <f t="shared" si="2"/>
        <v>3.26</v>
      </c>
      <c r="R11" s="235" t="str">
        <f t="shared" si="3"/>
        <v>-3.19</v>
      </c>
    </row>
    <row r="12" spans="1:18" ht="15.95" customHeight="1" thickBot="1" x14ac:dyDescent="0.3">
      <c r="A12" s="125">
        <v>9</v>
      </c>
      <c r="B12" s="121" t="str" cm="1">
        <f t="array" ref="B12">IFERROR(INDEX('DONNÉES BRUTES'!A$3:A$42,MATCH(_xlfn.AGGREGATE(14,6,'DONNÉES BRUTES'!Z$3:Z$42+ROW('DONNÉES BRUTES'!Z$3:Z$42)/1000,9),'DONNÉES BRUTES'!Z$3:Z$42+ROW('DONNÉES BRUTES'!Z$3:Z$42)/1000,0)),"—")</f>
        <v>MC.PA</v>
      </c>
      <c r="C12" s="109" t="str" cm="1">
        <f t="array" ref="C12">IFERROR(INDEX('DONNÉES BRUTES'!B$3:B$42,MATCH(_xlfn.AGGREGATE(14,6,'DONNÉES BRUTES'!Z$3:Z$42+ROW('DONNÉES BRUTES'!Z$3:Z$42)/1000,9),'DONNÉES BRUTES'!Z$3:Z$42+ROW('DONNÉES BRUTES'!Z$3:Z$42)/1000,0)),"—")</f>
        <v>LVMH Moët Hennessy - Louis Vuitton, Société Européenne</v>
      </c>
      <c r="D12" s="109" t="str" cm="1">
        <f t="array" ref="D12">IFERROR(INDEX('DONNÉES BRUTES'!C$3:C$42,MATCH(_xlfn.AGGREGATE(14,6,'DONNÉES BRUTES'!Z$3:Z$42+ROW('DONNÉES BRUTES'!Z$3:Z$42)/1000,9),'DONNÉES BRUTES'!Z$3:Z$42+ROW('DONNÉES BRUTES'!Z$3:Z$42)/1000,0)),"—")</f>
        <v>Consumer Disc.</v>
      </c>
      <c r="E12" s="110" t="str" cm="1">
        <f t="array" ref="E12">IFERROR(INDEX('DONNÉES BRUTES'!Z$3:Z$42,MATCH(_xlfn.AGGREGATE(14,6,'DONNÉES BRUTES'!Z$3:Z$42+ROW('DONNÉES BRUTES'!Z$3:Z$42)/1000,9),'DONNÉES BRUTES'!Z$3:Z$42+ROW('DONNÉES BRUTES'!Z$3:Z$42)/1000,0))&amp;"/100","—")</f>
        <v>79/100</v>
      </c>
      <c r="F12" s="108" t="str" cm="1">
        <f t="array" ref="F12">IFERROR(INDEX('DONNÉES BRUTES'!U$3:U$42,MATCH(_xlfn.AGGREGATE(14,6,'DONNÉES BRUTES'!Z$3:Z$42+ROW('DONNÉES BRUTES'!Z$3:Z$42)/1000,9),'DONNÉES BRUTES'!Z$3:Z$42+ROW('DONNÉES BRUTES'!Z$3:Z$42)/1000,0)),"—")</f>
        <v>2.88</v>
      </c>
      <c r="G12" s="108" t="s">
        <v>11</v>
      </c>
      <c r="H12" s="108" t="str" cm="1">
        <f t="array" ref="H12">IFERROR(INDEX('DONNÉES BRUTES'!V$3:V$42,MATCH(_xlfn.AGGREGATE(14,6,'DONNÉES BRUTES'!Z$3:Z$42+ROW('DONNÉES BRUTES'!Z$3:Z$42)/1000,9),'DONNÉES BRUTES'!Z$3:Z$42+ROW('DONNÉES BRUTES'!Z$3:Z$42)/1000,0)),"—")</f>
        <v>-3.19</v>
      </c>
      <c r="I12" s="108" t="s">
        <v>11</v>
      </c>
      <c r="J12" s="108" t="str" cm="1">
        <f t="array" ref="J12">IFERROR(INDEX('DONNÉES BRUTES'!N$3:N$42,MATCH(_xlfn.AGGREGATE(14,6,'DONNÉES BRUTES'!Z$3:Z$42+ROW('DONNÉES BRUTES'!Z$3:Z$42)/1000,9),'DONNÉES BRUTES'!Z$3:Z$42+ROW('DONNÉES BRUTES'!Z$3:Z$42)/1000,0)),"—")</f>
        <v>32.0%</v>
      </c>
      <c r="K12" s="108" t="str" cm="1">
        <f t="array" ref="K12">IFERROR(INDEX('DONNÉES BRUTES'!Q$3:Q$42,MATCH(_xlfn.AGGREGATE(14,6,'DONNÉES BRUTES'!Z$3:Z$42+ROW('DONNÉES BRUTES'!Z$3:Z$42)/1000,9),'DONNÉES BRUTES'!Z$3:Z$42+ROW('DONNÉES BRUTES'!Z$3:Z$42)/1000,0)),"—")</f>
        <v>+16.1%</v>
      </c>
      <c r="L12" s="111" t="s">
        <v>11</v>
      </c>
      <c r="M12" s="121" t="str" cm="1">
        <f t="array" ref="M12">IFERROR(INDEX('DONNÉES BRUTES'!S$3:S$42,MATCH(_xlfn.AGGREGATE(14,6,'DONNÉES BRUTES'!Z$3:Z$42+ROW('DONNÉES BRUTES'!Z$3:Z$42)/1000,9),'DONNÉES BRUTES'!Z$3:Z$42+ROW('DONNÉES BRUTES'!Z$3:Z$42)/1000,0)),"—")</f>
        <v>1.58</v>
      </c>
    </row>
    <row r="13" spans="1:18" ht="15.95" customHeight="1" thickBot="1" x14ac:dyDescent="0.3">
      <c r="A13" s="126">
        <v>10</v>
      </c>
      <c r="B13" s="122" t="str" cm="1">
        <f t="array" ref="B13">IFERROR(INDEX('DONNÉES BRUTES'!A$3:A$42,MATCH(_xlfn.AGGREGATE(14,6,'DONNÉES BRUTES'!Z$3:Z$42+ROW('DONNÉES BRUTES'!Z$3:Z$42)/1000,10),'DONNÉES BRUTES'!Z$3:Z$42+ROW('DONNÉES BRUTES'!Z$3:Z$42)/1000,0)),"—")</f>
        <v>AI.PA</v>
      </c>
      <c r="C13" s="113" t="str" cm="1">
        <f t="array" ref="C13">IFERROR(INDEX('DONNÉES BRUTES'!B$3:B$42,MATCH(_xlfn.AGGREGATE(14,6,'DONNÉES BRUTES'!Z$3:Z$42+ROW('DONNÉES BRUTES'!Z$3:Z$42)/1000,10),'DONNÉES BRUTES'!Z$3:Z$42+ROW('DONNÉES BRUTES'!Z$3:Z$42)/1000,0)),"—")</f>
        <v>L'Air Liquide S.A.</v>
      </c>
      <c r="D13" s="113" t="str" cm="1">
        <f t="array" ref="D13">IFERROR(INDEX('DONNÉES BRUTES'!C$3:C$42,MATCH(_xlfn.AGGREGATE(14,6,'DONNÉES BRUTES'!Z$3:Z$42+ROW('DONNÉES BRUTES'!Z$3:Z$42)/1000,10),'DONNÉES BRUTES'!Z$3:Z$42+ROW('DONNÉES BRUTES'!Z$3:Z$42)/1000,0)),"—")</f>
        <v>Materials</v>
      </c>
      <c r="E13" s="114" t="str" cm="1">
        <f t="array" ref="E13">IFERROR(INDEX('DONNÉES BRUTES'!Z$3:Z$42,MATCH(_xlfn.AGGREGATE(14,6,'DONNÉES BRUTES'!Z$3:Z$42+ROW('DONNÉES BRUTES'!Z$3:Z$42)/1000,10),'DONNÉES BRUTES'!Z$3:Z$42+ROW('DONNÉES BRUTES'!Z$3:Z$42)/1000,0))&amp;"/100","—")</f>
        <v>77/100</v>
      </c>
      <c r="F13" s="112" t="str" cm="1">
        <f t="array" ref="F13">IFERROR(INDEX('DONNÉES BRUTES'!U$3:U$42,MATCH(_xlfn.AGGREGATE(14,6,'DONNÉES BRUTES'!Z$3:Z$42+ROW('DONNÉES BRUTES'!Z$3:Z$42)/1000,10),'DONNÉES BRUTES'!Z$3:Z$42+ROW('DONNÉES BRUTES'!Z$3:Z$42)/1000,0)),"—")</f>
        <v>3.26</v>
      </c>
      <c r="G13" s="112" t="s">
        <v>11</v>
      </c>
      <c r="H13" s="112" t="str" cm="1">
        <f t="array" ref="H13">IFERROR(INDEX('DONNÉES BRUTES'!V$3:V$42,MATCH(_xlfn.AGGREGATE(14,6,'DONNÉES BRUTES'!Z$3:Z$42+ROW('DONNÉES BRUTES'!Z$3:Z$42)/1000,10),'DONNÉES BRUTES'!Z$3:Z$42+ROW('DONNÉES BRUTES'!Z$3:Z$42)/1000,0)),"—")</f>
        <v>-3.19</v>
      </c>
      <c r="I13" s="112" t="s">
        <v>11</v>
      </c>
      <c r="J13" s="112" t="str" cm="1">
        <f t="array" ref="J13">IFERROR(INDEX('DONNÉES BRUTES'!N$3:N$42,MATCH(_xlfn.AGGREGATE(14,6,'DONNÉES BRUTES'!Z$3:Z$42+ROW('DONNÉES BRUTES'!Z$3:Z$42)/1000,10),'DONNÉES BRUTES'!Z$3:Z$42+ROW('DONNÉES BRUTES'!Z$3:Z$42)/1000,0)),"—")</f>
        <v>27.9%</v>
      </c>
      <c r="K13" s="112" t="str" cm="1">
        <f t="array" ref="K13">IFERROR(INDEX('DONNÉES BRUTES'!Q$3:Q$42,MATCH(_xlfn.AGGREGATE(14,6,'DONNÉES BRUTES'!Z$3:Z$42+ROW('DONNÉES BRUTES'!Z$3:Z$42)/1000,10),'DONNÉES BRUTES'!Z$3:Z$42+ROW('DONNÉES BRUTES'!Z$3:Z$42)/1000,0)),"—")</f>
        <v>+13.4%</v>
      </c>
      <c r="L13" s="115" t="s">
        <v>11</v>
      </c>
      <c r="M13" s="122" t="str" cm="1">
        <f t="array" ref="M13">IFERROR(INDEX('DONNÉES BRUTES'!S$3:S$42,MATCH(_xlfn.AGGREGATE(14,6,'DONNÉES BRUTES'!Z$3:Z$42+ROW('DONNÉES BRUTES'!Z$3:Z$42)/1000,10),'DONNÉES BRUTES'!Z$3:Z$42+ROW('DONNÉES BRUTES'!Z$3:Z$42)/1000,0)),"—")</f>
        <v>1.17</v>
      </c>
    </row>
    <row r="14" spans="1:18" ht="15.95" customHeight="1" thickBot="1" x14ac:dyDescent="0.3">
      <c r="A14" s="125">
        <v>11</v>
      </c>
      <c r="B14" s="121" t="str" cm="1">
        <f t="array" ref="B14">IFERROR(INDEX('DONNÉES BRUTES'!A$3:A$42,MATCH(_xlfn.AGGREGATE(14,6,'DONNÉES BRUTES'!Z$3:Z$42+ROW('DONNÉES BRUTES'!Z$3:Z$42)/1000,11),'DONNÉES BRUTES'!Z$3:Z$42+ROW('DONNÉES BRUTES'!Z$3:Z$42)/1000,0)),"—")</f>
        <v>RI.PA</v>
      </c>
      <c r="C14" s="109" t="str" cm="1">
        <f t="array" ref="C14">IFERROR(INDEX('DONNÉES BRUTES'!B$3:B$42,MATCH(_xlfn.AGGREGATE(14,6,'DONNÉES BRUTES'!Z$3:Z$42+ROW('DONNÉES BRUTES'!Z$3:Z$42)/1000,11),'DONNÉES BRUTES'!Z$3:Z$42+ROW('DONNÉES BRUTES'!Z$3:Z$42)/1000,0)),"—")</f>
        <v>Pernod Ricard SA</v>
      </c>
      <c r="D14" s="109" t="str" cm="1">
        <f t="array" ref="D14">IFERROR(INDEX('DONNÉES BRUTES'!C$3:C$42,MATCH(_xlfn.AGGREGATE(14,6,'DONNÉES BRUTES'!Z$3:Z$42+ROW('DONNÉES BRUTES'!Z$3:Z$42)/1000,11),'DONNÉES BRUTES'!Z$3:Z$42+ROW('DONNÉES BRUTES'!Z$3:Z$42)/1000,0)),"—")</f>
        <v>Consumer Staples</v>
      </c>
      <c r="E14" s="110" t="str" cm="1">
        <f t="array" ref="E14">IFERROR(INDEX('DONNÉES BRUTES'!Z$3:Z$42,MATCH(_xlfn.AGGREGATE(14,6,'DONNÉES BRUTES'!Z$3:Z$42+ROW('DONNÉES BRUTES'!Z$3:Z$42)/1000,11),'DONNÉES BRUTES'!Z$3:Z$42+ROW('DONNÉES BRUTES'!Z$3:Z$42)/1000,0))&amp;"/100","—")</f>
        <v>74/100</v>
      </c>
      <c r="F14" s="108" t="str" cm="1">
        <f t="array" ref="F14">IFERROR(INDEX('DONNÉES BRUTES'!U$3:U$42,MATCH(_xlfn.AGGREGATE(14,6,'DONNÉES BRUTES'!Z$3:Z$42+ROW('DONNÉES BRUTES'!Z$3:Z$42)/1000,11),'DONNÉES BRUTES'!Z$3:Z$42+ROW('DONNÉES BRUTES'!Z$3:Z$42)/1000,0)),"—")</f>
        <v>3.35</v>
      </c>
      <c r="G14" s="108" t="s">
        <v>11</v>
      </c>
      <c r="H14" s="108" t="str" cm="1">
        <f t="array" ref="H14">IFERROR(INDEX('DONNÉES BRUTES'!V$3:V$42,MATCH(_xlfn.AGGREGATE(14,6,'DONNÉES BRUTES'!Z$3:Z$42+ROW('DONNÉES BRUTES'!Z$3:Z$42)/1000,11),'DONNÉES BRUTES'!Z$3:Z$42+ROW('DONNÉES BRUTES'!Z$3:Z$42)/1000,0)),"—")</f>
        <v>-3.11</v>
      </c>
      <c r="I14" s="108" t="s">
        <v>11</v>
      </c>
      <c r="J14" s="108" t="str" cm="1">
        <f t="array" ref="J14">IFERROR(INDEX('DONNÉES BRUTES'!N$3:N$42,MATCH(_xlfn.AGGREGATE(14,6,'DONNÉES BRUTES'!Z$3:Z$42+ROW('DONNÉES BRUTES'!Z$3:Z$42)/1000,11),'DONNÉES BRUTES'!Z$3:Z$42+ROW('DONNÉES BRUTES'!Z$3:Z$42)/1000,0)),"—")</f>
        <v>29.1%</v>
      </c>
      <c r="K14" s="108" t="str" cm="1">
        <f t="array" ref="K14">IFERROR(INDEX('DONNÉES BRUTES'!Q$3:Q$42,MATCH(_xlfn.AGGREGATE(14,6,'DONNÉES BRUTES'!Z$3:Z$42+ROW('DONNÉES BRUTES'!Z$3:Z$42)/1000,11),'DONNÉES BRUTES'!Z$3:Z$42+ROW('DONNÉES BRUTES'!Z$3:Z$42)/1000,0)),"—")</f>
        <v>+10.7%</v>
      </c>
      <c r="L14" s="111" t="s">
        <v>11</v>
      </c>
      <c r="M14" s="121" t="str" cm="1">
        <f t="array" ref="M14">IFERROR(INDEX('DONNÉES BRUTES'!S$3:S$42,MATCH(_xlfn.AGGREGATE(14,6,'DONNÉES BRUTES'!Z$3:Z$42+ROW('DONNÉES BRUTES'!Z$3:Z$42)/1000,11),'DONNÉES BRUTES'!Z$3:Z$42+ROW('DONNÉES BRUTES'!Z$3:Z$42)/1000,0)),"—")</f>
        <v>1.92</v>
      </c>
    </row>
    <row r="15" spans="1:18" ht="15.95" customHeight="1" thickBot="1" x14ac:dyDescent="0.3">
      <c r="A15" s="126">
        <v>12</v>
      </c>
      <c r="B15" s="122" t="str" cm="1">
        <f t="array" ref="B15">IFERROR(INDEX('DONNÉES BRUTES'!A$3:A$42,MATCH(_xlfn.AGGREGATE(14,6,'DONNÉES BRUTES'!Z$3:Z$42+ROW('DONNÉES BRUTES'!Z$3:Z$42)/1000,12),'DONNÉES BRUTES'!Z$3:Z$42+ROW('DONNÉES BRUTES'!Z$3:Z$42)/1000,0)),"—")</f>
        <v>ERF.PA</v>
      </c>
      <c r="C15" s="113" t="str" cm="1">
        <f t="array" ref="C15">IFERROR(INDEX('DONNÉES BRUTES'!B$3:B$42,MATCH(_xlfn.AGGREGATE(14,6,'DONNÉES BRUTES'!Z$3:Z$42+ROW('DONNÉES BRUTES'!Z$3:Z$42)/1000,12),'DONNÉES BRUTES'!Z$3:Z$42+ROW('DONNÉES BRUTES'!Z$3:Z$42)/1000,0)),"—")</f>
        <v>Eurofins Scientific SE</v>
      </c>
      <c r="D15" s="113" t="str" cm="1">
        <f t="array" ref="D15">IFERROR(INDEX('DONNÉES BRUTES'!C$3:C$42,MATCH(_xlfn.AGGREGATE(14,6,'DONNÉES BRUTES'!Z$3:Z$42+ROW('DONNÉES BRUTES'!Z$3:Z$42)/1000,12),'DONNÉES BRUTES'!Z$3:Z$42+ROW('DONNÉES BRUTES'!Z$3:Z$42)/1000,0)),"—")</f>
        <v>Healthcare</v>
      </c>
      <c r="E15" s="114" t="str" cm="1">
        <f t="array" ref="E15">IFERROR(INDEX('DONNÉES BRUTES'!Z$3:Z$42,MATCH(_xlfn.AGGREGATE(14,6,'DONNÉES BRUTES'!Z$3:Z$42+ROW('DONNÉES BRUTES'!Z$3:Z$42)/1000,12),'DONNÉES BRUTES'!Z$3:Z$42+ROW('DONNÉES BRUTES'!Z$3:Z$42)/1000,0))&amp;"/100","—")</f>
        <v>72/100</v>
      </c>
      <c r="F15" s="112" t="str" cm="1">
        <f t="array" ref="F15">IFERROR(INDEX('DONNÉES BRUTES'!U$3:U$42,MATCH(_xlfn.AGGREGATE(14,6,'DONNÉES BRUTES'!Z$3:Z$42+ROW('DONNÉES BRUTES'!Z$3:Z$42)/1000,12),'DONNÉES BRUTES'!Z$3:Z$42+ROW('DONNÉES BRUTES'!Z$3:Z$42)/1000,0)),"—")</f>
        <v>2.27</v>
      </c>
      <c r="G15" s="112" t="s">
        <v>11</v>
      </c>
      <c r="H15" s="112" t="str" cm="1">
        <f t="array" ref="H15">IFERROR(INDEX('DONNÉES BRUTES'!V$3:V$42,MATCH(_xlfn.AGGREGATE(14,6,'DONNÉES BRUTES'!Z$3:Z$42+ROW('DONNÉES BRUTES'!Z$3:Z$42)/1000,12),'DONNÉES BRUTES'!Z$3:Z$42+ROW('DONNÉES BRUTES'!Z$3:Z$42)/1000,0)),"—")</f>
        <v>-3.13</v>
      </c>
      <c r="I15" s="112" t="s">
        <v>11</v>
      </c>
      <c r="J15" s="112" t="str" cm="1">
        <f t="array" ref="J15">IFERROR(INDEX('DONNÉES BRUTES'!N$3:N$42,MATCH(_xlfn.AGGREGATE(14,6,'DONNÉES BRUTES'!Z$3:Z$42+ROW('DONNÉES BRUTES'!Z$3:Z$42)/1000,12),'DONNÉES BRUTES'!Z$3:Z$42+ROW('DONNÉES BRUTES'!Z$3:Z$42)/1000,0)),"—")</f>
        <v>21.0%</v>
      </c>
      <c r="K15" s="112" t="str" cm="1">
        <f t="array" ref="K15">IFERROR(INDEX('DONNÉES BRUTES'!Q$3:Q$42,MATCH(_xlfn.AGGREGATE(14,6,'DONNÉES BRUTES'!Z$3:Z$42+ROW('DONNÉES BRUTES'!Z$3:Z$42)/1000,12),'DONNÉES BRUTES'!Z$3:Z$42+ROW('DONNÉES BRUTES'!Z$3:Z$42)/1000,0)),"—")</f>
        <v>+10.5%</v>
      </c>
      <c r="L15" s="115" t="s">
        <v>11</v>
      </c>
      <c r="M15" s="122" t="str" cm="1">
        <f t="array" ref="M15">IFERROR(INDEX('DONNÉES BRUTES'!S$3:S$42,MATCH(_xlfn.AGGREGATE(14,6,'DONNÉES BRUTES'!Z$3:Z$42+ROW('DONNÉES BRUTES'!Z$3:Z$42)/1000,12),'DONNÉES BRUTES'!Z$3:Z$42+ROW('DONNÉES BRUTES'!Z$3:Z$42)/1000,0)),"—")</f>
        <v>1.09</v>
      </c>
    </row>
    <row r="16" spans="1:18" ht="15.95" customHeight="1" thickBot="1" x14ac:dyDescent="0.3">
      <c r="A16" s="125">
        <v>13</v>
      </c>
      <c r="B16" s="121" t="str" cm="1">
        <f t="array" ref="B16">IFERROR(INDEX('DONNÉES BRUTES'!A$3:A$42,MATCH(_xlfn.AGGREGATE(14,6,'DONNÉES BRUTES'!Z$3:Z$42+ROW('DONNÉES BRUTES'!Z$3:Z$42)/1000,13),'DONNÉES BRUTES'!Z$3:Z$42+ROW('DONNÉES BRUTES'!Z$3:Z$42)/1000,0)),"—")</f>
        <v>SU.PA</v>
      </c>
      <c r="C16" s="109" t="str" cm="1">
        <f t="array" ref="C16">IFERROR(INDEX('DONNÉES BRUTES'!B$3:B$42,MATCH(_xlfn.AGGREGATE(14,6,'DONNÉES BRUTES'!Z$3:Z$42+ROW('DONNÉES BRUTES'!Z$3:Z$42)/1000,13),'DONNÉES BRUTES'!Z$3:Z$42+ROW('DONNÉES BRUTES'!Z$3:Z$42)/1000,0)),"—")</f>
        <v>Schneider Electric S.E.</v>
      </c>
      <c r="D16" s="109" t="str" cm="1">
        <f t="array" ref="D16">IFERROR(INDEX('DONNÉES BRUTES'!C$3:C$42,MATCH(_xlfn.AGGREGATE(14,6,'DONNÉES BRUTES'!Z$3:Z$42+ROW('DONNÉES BRUTES'!Z$3:Z$42)/1000,13),'DONNÉES BRUTES'!Z$3:Z$42+ROW('DONNÉES BRUTES'!Z$3:Z$42)/1000,0)),"—")</f>
        <v>Industrials</v>
      </c>
      <c r="E16" s="110" t="str" cm="1">
        <f t="array" ref="E16">IFERROR(INDEX('DONNÉES BRUTES'!Z$3:Z$42,MATCH(_xlfn.AGGREGATE(14,6,'DONNÉES BRUTES'!Z$3:Z$42+ROW('DONNÉES BRUTES'!Z$3:Z$42)/1000,13),'DONNÉES BRUTES'!Z$3:Z$42+ROW('DONNÉES BRUTES'!Z$3:Z$42)/1000,0))&amp;"/100","—")</f>
        <v>69/100</v>
      </c>
      <c r="F16" s="108" t="str" cm="1">
        <f t="array" ref="F16">IFERROR(INDEX('DONNÉES BRUTES'!U$3:U$42,MATCH(_xlfn.AGGREGATE(14,6,'DONNÉES BRUTES'!Z$3:Z$42+ROW('DONNÉES BRUTES'!Z$3:Z$42)/1000,13),'DONNÉES BRUTES'!Z$3:Z$42+ROW('DONNÉES BRUTES'!Z$3:Z$42)/1000,0)),"—")</f>
        <v>—</v>
      </c>
      <c r="G16" s="108" t="s">
        <v>11</v>
      </c>
      <c r="H16" s="108" t="str" cm="1">
        <f t="array" ref="H16">IFERROR(INDEX('DONNÉES BRUTES'!V$3:V$42,MATCH(_xlfn.AGGREGATE(14,6,'DONNÉES BRUTES'!Z$3:Z$42+ROW('DONNÉES BRUTES'!Z$3:Z$42)/1000,13),'DONNÉES BRUTES'!Z$3:Z$42+ROW('DONNÉES BRUTES'!Z$3:Z$42)/1000,0)),"—")</f>
        <v>-3.08</v>
      </c>
      <c r="I16" s="108" t="s">
        <v>11</v>
      </c>
      <c r="J16" s="108" t="str" cm="1">
        <f t="array" ref="J16">IFERROR(INDEX('DONNÉES BRUTES'!N$3:N$42,MATCH(_xlfn.AGGREGATE(14,6,'DONNÉES BRUTES'!Z$3:Z$42+ROW('DONNÉES BRUTES'!Z$3:Z$42)/1000,13),'DONNÉES BRUTES'!Z$3:Z$42+ROW('DONNÉES BRUTES'!Z$3:Z$42)/1000,0)),"—")</f>
        <v>20.9%</v>
      </c>
      <c r="K16" s="108" t="str" cm="1">
        <f t="array" ref="K16">IFERROR(INDEX('DONNÉES BRUTES'!Q$3:Q$42,MATCH(_xlfn.AGGREGATE(14,6,'DONNÉES BRUTES'!Z$3:Z$42+ROW('DONNÉES BRUTES'!Z$3:Z$42)/1000,13),'DONNÉES BRUTES'!Z$3:Z$42+ROW('DONNÉES BRUTES'!Z$3:Z$42)/1000,0)),"—")</f>
        <v>+17.2%</v>
      </c>
      <c r="L16" s="111" t="s">
        <v>11</v>
      </c>
      <c r="M16" s="121" t="str" cm="1">
        <f t="array" ref="M16">IFERROR(INDEX('DONNÉES BRUTES'!S$3:S$42,MATCH(_xlfn.AGGREGATE(14,6,'DONNÉES BRUTES'!Z$3:Z$42+ROW('DONNÉES BRUTES'!Z$3:Z$42)/1000,13),'DONNÉES BRUTES'!Z$3:Z$42+ROW('DONNÉES BRUTES'!Z$3:Z$42)/1000,0)),"—")</f>
        <v>1.19</v>
      </c>
    </row>
    <row r="17" spans="1:13" ht="15.95" customHeight="1" thickBot="1" x14ac:dyDescent="0.3">
      <c r="A17" s="126">
        <v>14</v>
      </c>
      <c r="B17" s="122" t="str" cm="1">
        <f t="array" ref="B17">IFERROR(INDEX('DONNÉES BRUTES'!A$3:A$42,MATCH(_xlfn.AGGREGATE(14,6,'DONNÉES BRUTES'!Z$3:Z$42+ROW('DONNÉES BRUTES'!Z$3:Z$42)/1000,14),'DONNÉES BRUTES'!Z$3:Z$42+ROW('DONNÉES BRUTES'!Z$3:Z$42)/1000,0)),"—")</f>
        <v>SAF.PA</v>
      </c>
      <c r="C17" s="113" t="str" cm="1">
        <f t="array" ref="C17">IFERROR(INDEX('DONNÉES BRUTES'!B$3:B$42,MATCH(_xlfn.AGGREGATE(14,6,'DONNÉES BRUTES'!Z$3:Z$42+ROW('DONNÉES BRUTES'!Z$3:Z$42)/1000,14),'DONNÉES BRUTES'!Z$3:Z$42+ROW('DONNÉES BRUTES'!Z$3:Z$42)/1000,0)),"—")</f>
        <v>Safran SA</v>
      </c>
      <c r="D17" s="113" t="str" cm="1">
        <f t="array" ref="D17">IFERROR(INDEX('DONNÉES BRUTES'!C$3:C$42,MATCH(_xlfn.AGGREGATE(14,6,'DONNÉES BRUTES'!Z$3:Z$42+ROW('DONNÉES BRUTES'!Z$3:Z$42)/1000,14),'DONNÉES BRUTES'!Z$3:Z$42+ROW('DONNÉES BRUTES'!Z$3:Z$42)/1000,0)),"—")</f>
        <v>Industrials</v>
      </c>
      <c r="E17" s="114" t="str" cm="1">
        <f t="array" ref="E17">IFERROR(INDEX('DONNÉES BRUTES'!Z$3:Z$42,MATCH(_xlfn.AGGREGATE(14,6,'DONNÉES BRUTES'!Z$3:Z$42+ROW('DONNÉES BRUTES'!Z$3:Z$42)/1000,14),'DONNÉES BRUTES'!Z$3:Z$42+ROW('DONNÉES BRUTES'!Z$3:Z$42)/1000,0))&amp;"/100","—")</f>
        <v>67/100</v>
      </c>
      <c r="F17" s="112" t="str" cm="1">
        <f t="array" ref="F17">IFERROR(INDEX('DONNÉES BRUTES'!U$3:U$42,MATCH(_xlfn.AGGREGATE(14,6,'DONNÉES BRUTES'!Z$3:Z$42+ROW('DONNÉES BRUTES'!Z$3:Z$42)/1000,14),'DONNÉES BRUTES'!Z$3:Z$42+ROW('DONNÉES BRUTES'!Z$3:Z$42)/1000,0)),"—")</f>
        <v>1.54</v>
      </c>
      <c r="G17" s="112" t="s">
        <v>11</v>
      </c>
      <c r="H17" s="112" t="str" cm="1">
        <f t="array" ref="H17">IFERROR(INDEX('DONNÉES BRUTES'!V$3:V$42,MATCH(_xlfn.AGGREGATE(14,6,'DONNÉES BRUTES'!Z$3:Z$42+ROW('DONNÉES BRUTES'!Z$3:Z$42)/1000,14),'DONNÉES BRUTES'!Z$3:Z$42+ROW('DONNÉES BRUTES'!Z$3:Z$42)/1000,0)),"—")</f>
        <v>-2.91</v>
      </c>
      <c r="I17" s="112" t="s">
        <v>11</v>
      </c>
      <c r="J17" s="112" t="str" cm="1">
        <f t="array" ref="J17">IFERROR(INDEX('DONNÉES BRUTES'!N$3:N$42,MATCH(_xlfn.AGGREGATE(14,6,'DONNÉES BRUTES'!Z$3:Z$42+ROW('DONNÉES BRUTES'!Z$3:Z$42)/1000,14),'DONNÉES BRUTES'!Z$3:Z$42+ROW('DONNÉES BRUTES'!Z$3:Z$42)/1000,0)),"—")</f>
        <v>39.2%</v>
      </c>
      <c r="K17" s="112" t="str" cm="1">
        <f t="array" ref="K17">IFERROR(INDEX('DONNÉES BRUTES'!Q$3:Q$42,MATCH(_xlfn.AGGREGATE(14,6,'DONNÉES BRUTES'!Z$3:Z$42+ROW('DONNÉES BRUTES'!Z$3:Z$42)/1000,14),'DONNÉES BRUTES'!Z$3:Z$42+ROW('DONNÉES BRUTES'!Z$3:Z$42)/1000,0)),"—")</f>
        <v>+48.4%</v>
      </c>
      <c r="L17" s="115" t="s">
        <v>11</v>
      </c>
      <c r="M17" s="122" t="str" cm="1">
        <f t="array" ref="M17">IFERROR(INDEX('DONNÉES BRUTES'!S$3:S$42,MATCH(_xlfn.AGGREGATE(14,6,'DONNÉES BRUTES'!Z$3:Z$42+ROW('DONNÉES BRUTES'!Z$3:Z$42)/1000,14),'DONNÉES BRUTES'!Z$3:Z$42+ROW('DONNÉES BRUTES'!Z$3:Z$42)/1000,0)),"—")</f>
        <v>0.93</v>
      </c>
    </row>
    <row r="18" spans="1:13" ht="15.95" customHeight="1" x14ac:dyDescent="0.25">
      <c r="A18" s="127">
        <v>15</v>
      </c>
      <c r="B18" s="123" t="str" cm="1">
        <f t="array" ref="B18">IFERROR(INDEX('DONNÉES BRUTES'!A$3:A$42,MATCH(_xlfn.AGGREGATE(14,6,'DONNÉES BRUTES'!Z$3:Z$42+ROW('DONNÉES BRUTES'!Z$3:Z$42)/1000,15),'DONNÉES BRUTES'!Z$3:Z$42+ROW('DONNÉES BRUTES'!Z$3:Z$42)/1000,0)),"—")</f>
        <v>BNP.PA</v>
      </c>
      <c r="C18" s="117" t="str" cm="1">
        <f t="array" ref="C18">IFERROR(INDEX('DONNÉES BRUTES'!B$3:B$42,MATCH(_xlfn.AGGREGATE(14,6,'DONNÉES BRUTES'!Z$3:Z$42+ROW('DONNÉES BRUTES'!Z$3:Z$42)/1000,15),'DONNÉES BRUTES'!Z$3:Z$42+ROW('DONNÉES BRUTES'!Z$3:Z$42)/1000,0)),"—")</f>
        <v>BNP Paribas SA</v>
      </c>
      <c r="D18" s="117" t="str" cm="1">
        <f t="array" ref="D18">IFERROR(INDEX('DONNÉES BRUTES'!C$3:C$42,MATCH(_xlfn.AGGREGATE(14,6,'DONNÉES BRUTES'!Z$3:Z$42+ROW('DONNÉES BRUTES'!Z$3:Z$42)/1000,15),'DONNÉES BRUTES'!Z$3:Z$42+ROW('DONNÉES BRUTES'!Z$3:Z$42)/1000,0)),"—")</f>
        <v>Financials</v>
      </c>
      <c r="E18" s="118" t="str" cm="1">
        <f t="array" ref="E18">IFERROR(INDEX('DONNÉES BRUTES'!Z$3:Z$42,MATCH(_xlfn.AGGREGATE(14,6,'DONNÉES BRUTES'!Z$3:Z$42+ROW('DONNÉES BRUTES'!Z$3:Z$42)/1000,15),'DONNÉES BRUTES'!Z$3:Z$42+ROW('DONNÉES BRUTES'!Z$3:Z$42)/1000,0))&amp;"/100","—")</f>
        <v>64/100</v>
      </c>
      <c r="F18" s="116" t="str" cm="1">
        <f t="array" ref="F18">IFERROR(INDEX('DONNÉES BRUTES'!U$3:U$42,MATCH(_xlfn.AGGREGATE(14,6,'DONNÉES BRUTES'!Z$3:Z$42+ROW('DONNÉES BRUTES'!Z$3:Z$42)/1000,15),'DONNÉES BRUTES'!Z$3:Z$42+ROW('DONNÉES BRUTES'!Z$3:Z$42)/1000,0)),"—")</f>
        <v>—</v>
      </c>
      <c r="G18" s="116" t="s">
        <v>11</v>
      </c>
      <c r="H18" s="116" t="str" cm="1">
        <f t="array" ref="H18">IFERROR(INDEX('DONNÉES BRUTES'!V$3:V$42,MATCH(_xlfn.AGGREGATE(14,6,'DONNÉES BRUTES'!Z$3:Z$42+ROW('DONNÉES BRUTES'!Z$3:Z$42)/1000,15),'DONNÉES BRUTES'!Z$3:Z$42+ROW('DONNÉES BRUTES'!Z$3:Z$42)/1000,0)),"—")</f>
        <v>—</v>
      </c>
      <c r="I18" s="116" t="s">
        <v>11</v>
      </c>
      <c r="J18" s="116" t="str" cm="1">
        <f t="array" ref="J18">IFERROR(INDEX('DONNÉES BRUTES'!N$3:N$42,MATCH(_xlfn.AGGREGATE(14,6,'DONNÉES BRUTES'!Z$3:Z$42+ROW('DONNÉES BRUTES'!Z$3:Z$42)/1000,15),'DONNÉES BRUTES'!Z$3:Z$42+ROW('DONNÉES BRUTES'!Z$3:Z$42)/1000,0)),"—")</f>
        <v>108.7%</v>
      </c>
      <c r="K18" s="116" t="str" cm="1">
        <f t="array" ref="K18">IFERROR(INDEX('DONNÉES BRUTES'!Q$3:Q$42,MATCH(_xlfn.AGGREGATE(14,6,'DONNÉES BRUTES'!Z$3:Z$42+ROW('DONNÉES BRUTES'!Z$3:Z$42)/1000,15),'DONNÉES BRUTES'!Z$3:Z$42+ROW('DONNÉES BRUTES'!Z$3:Z$42)/1000,0)),"—")</f>
        <v>+9.7%</v>
      </c>
      <c r="L18" s="119" t="s">
        <v>11</v>
      </c>
      <c r="M18" s="123" t="str" cm="1">
        <f t="array" ref="M18">IFERROR(INDEX('DONNÉES BRUTES'!S$3:S$42,MATCH(_xlfn.AGGREGATE(14,6,'DONNÉES BRUTES'!Z$3:Z$42+ROW('DONNÉES BRUTES'!Z$3:Z$42)/1000,15),'DONNÉES BRUTES'!Z$3:Z$42+ROW('DONNÉES BRUTES'!Z$3:Z$42)/1000,0)),"—")</f>
        <v>—</v>
      </c>
    </row>
    <row r="19" spans="1:13" ht="15.95" customHeight="1" x14ac:dyDescent="0.25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</row>
    <row r="20" spans="1:13" ht="6" customHeight="1" x14ac:dyDescent="0.25">
      <c r="A20" s="131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2"/>
    </row>
    <row r="21" spans="1:13" ht="15.95" customHeight="1" x14ac:dyDescent="0.25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</row>
    <row r="22" spans="1:13" ht="15.95" customHeight="1" x14ac:dyDescent="0.25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</row>
    <row r="23" spans="1:13" ht="13.9" customHeight="1" x14ac:dyDescent="0.25"/>
    <row r="24" spans="1:13" ht="13.9" customHeight="1" x14ac:dyDescent="0.25"/>
    <row r="25" spans="1:13" ht="13.9" customHeight="1" x14ac:dyDescent="0.25"/>
    <row r="26" spans="1:13" ht="13.9" customHeight="1" x14ac:dyDescent="0.25"/>
    <row r="27" spans="1:13" ht="13.9" customHeight="1" x14ac:dyDescent="0.25"/>
    <row r="28" spans="1:13" ht="13.9" customHeight="1" x14ac:dyDescent="0.25"/>
    <row r="29" spans="1:13" ht="13.9" customHeight="1" x14ac:dyDescent="0.25"/>
    <row r="30" spans="1:13" ht="13.9" customHeight="1" x14ac:dyDescent="0.25"/>
    <row r="31" spans="1:13" ht="13.9" customHeight="1" x14ac:dyDescent="0.25"/>
    <row r="32" spans="1:13" ht="13.9" customHeight="1" x14ac:dyDescent="0.25"/>
    <row r="33" ht="13.9" customHeight="1" x14ac:dyDescent="0.25"/>
    <row r="34" ht="13.9" customHeight="1" x14ac:dyDescent="0.25"/>
    <row r="35" ht="13.9" customHeight="1" x14ac:dyDescent="0.25"/>
    <row r="36" ht="13.9" customHeight="1" x14ac:dyDescent="0.25"/>
    <row r="37" ht="13.9" customHeight="1" x14ac:dyDescent="0.25"/>
    <row r="38" ht="13.9" customHeight="1" x14ac:dyDescent="0.25"/>
    <row r="39" ht="13.9" customHeight="1" x14ac:dyDescent="0.25"/>
    <row r="40" ht="13.9" customHeight="1" x14ac:dyDescent="0.25"/>
    <row r="41" ht="13.9" customHeight="1" x14ac:dyDescent="0.25"/>
    <row r="42" ht="13.9" customHeight="1" x14ac:dyDescent="0.25"/>
    <row r="44" ht="16.149999999999999" customHeight="1" x14ac:dyDescent="0.25"/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4"/>
  <sheetViews>
    <sheetView showGridLines="0" zoomScale="90" workbookViewId="0">
      <selection activeCell="A2" sqref="A2"/>
    </sheetView>
  </sheetViews>
  <sheetFormatPr baseColWidth="10" defaultColWidth="8.85546875" defaultRowHeight="15" x14ac:dyDescent="0.25"/>
  <cols>
    <col min="1" max="1" width="5.28515625" customWidth="1"/>
    <col min="2" max="2" width="9.140625" customWidth="1"/>
    <col min="3" max="3" width="26.7109375" customWidth="1"/>
    <col min="4" max="4" width="15.28515625" customWidth="1"/>
    <col min="5" max="5" width="9.140625" customWidth="1"/>
    <col min="6" max="9" width="12.42578125" customWidth="1"/>
    <col min="10" max="10" width="15.28515625" customWidth="1"/>
    <col min="11" max="11" width="12.42578125" customWidth="1"/>
    <col min="15" max="16" width="8.85546875" style="235"/>
  </cols>
  <sheetData>
    <row r="1" spans="1:18" ht="32.1" customHeight="1" thickBot="1" x14ac:dyDescent="0.3">
      <c r="A1" s="102" t="s">
        <v>214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O1" s="235" t="s">
        <v>4</v>
      </c>
      <c r="P1" s="235" t="s">
        <v>410</v>
      </c>
    </row>
    <row r="2" spans="1:18" x14ac:dyDescent="0.2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O2" s="235" t="str">
        <f t="shared" ref="O2:O11" si="0">IF(B4&lt;&gt;"—",LEFT(C4,18),"—")</f>
        <v>Alstom SA</v>
      </c>
      <c r="P2" s="235">
        <f t="shared" ref="P2:P11" si="1">IF(E4&lt;&gt;"—",VALUE(LEFT(E4,FIND("/",E4)-1)),"")</f>
        <v>100</v>
      </c>
    </row>
    <row r="3" spans="1:18" ht="18" customHeight="1" thickBot="1" x14ac:dyDescent="0.3">
      <c r="A3" s="142" t="s">
        <v>2</v>
      </c>
      <c r="B3" s="141" t="s">
        <v>3</v>
      </c>
      <c r="C3" s="139" t="s">
        <v>4</v>
      </c>
      <c r="D3" s="139" t="s">
        <v>42</v>
      </c>
      <c r="E3" s="138" t="s">
        <v>5</v>
      </c>
      <c r="F3" s="138" t="s">
        <v>215</v>
      </c>
      <c r="G3" s="138" t="s">
        <v>216</v>
      </c>
      <c r="H3" s="138" t="s">
        <v>46</v>
      </c>
      <c r="I3" s="138" t="s">
        <v>217</v>
      </c>
      <c r="J3" s="138" t="s">
        <v>218</v>
      </c>
      <c r="K3" s="140" t="s">
        <v>50</v>
      </c>
      <c r="O3" s="235" t="str">
        <f t="shared" si="0"/>
        <v>Airbus SE</v>
      </c>
      <c r="P3" s="235">
        <f t="shared" si="1"/>
        <v>97</v>
      </c>
    </row>
    <row r="4" spans="1:18" ht="15.95" customHeight="1" thickBot="1" x14ac:dyDescent="0.3">
      <c r="A4" s="125">
        <v>1</v>
      </c>
      <c r="B4" s="121" t="str" cm="1">
        <f t="array" ref="B4">IFERROR(INDEX('DONNÉES BRUTES'!A$3:A$42,MATCH(_xlfn.AGGREGATE(14,6,'DONNÉES BRUTES'!AA$3:AA$42+ROW('DONNÉES BRUTES'!AA$3:AA$42)/1000,1),'DONNÉES BRUTES'!AA$3:AA$42+ROW('DONNÉES BRUTES'!AA$3:AA$42)/1000,0)),"—")</f>
        <v>ALO.PA</v>
      </c>
      <c r="C4" s="109" t="str" cm="1">
        <f t="array" ref="C4">IFERROR(INDEX('DONNÉES BRUTES'!B$3:B$42,MATCH(_xlfn.AGGREGATE(14,6,'DONNÉES BRUTES'!AA$3:AA$42+ROW('DONNÉES BRUTES'!AA$3:AA$42)/1000,1),'DONNÉES BRUTES'!AA$3:AA$42+ROW('DONNÉES BRUTES'!AA$3:AA$42)/1000,0)),"—")</f>
        <v>Alstom SA</v>
      </c>
      <c r="D4" s="109" t="str" cm="1">
        <f t="array" ref="D4">IFERROR(INDEX('DONNÉES BRUTES'!C$3:C$42,MATCH(_xlfn.AGGREGATE(14,6,'DONNÉES BRUTES'!AA$3:AA$42+ROW('DONNÉES BRUTES'!AA$3:AA$42)/1000,1),'DONNÉES BRUTES'!AA$3:AA$42+ROW('DONNÉES BRUTES'!AA$3:AA$42)/1000,0)),"—")</f>
        <v>Industrials</v>
      </c>
      <c r="E4" s="110" t="str" cm="1">
        <f t="array" ref="E4">IFERROR(INDEX('DONNÉES BRUTES'!AA$3:AA$42,MATCH(_xlfn.AGGREGATE(14,6,'DONNÉES BRUTES'!AA$3:AA$42+ROW('DONNÉES BRUTES'!AA$3:AA$42)/1000,1),'DONNÉES BRUTES'!AA$3:AA$42+ROW('DONNÉES BRUTES'!AA$3:AA$42)/1000,0))&amp;"/100","—")</f>
        <v>100/100</v>
      </c>
      <c r="F4" s="108" t="str" cm="1">
        <f t="array" ref="F4">IFERROR(INDEX('DONNÉES BRUTES'!W$3:W$42,MATCH(_xlfn.AGGREGATE(14,6,'DONNÉES BRUTES'!AA$3:AA$42+ROW('DONNÉES BRUTES'!AA$3:AA$42)/1000,1),'DONNÉES BRUTES'!AA$3:AA$42+ROW('DONNÉES BRUTES'!AA$3:AA$42)/1000,0)),"—")</f>
        <v>nan%</v>
      </c>
      <c r="G4" s="108" t="str" cm="1">
        <f t="array" ref="G4">IFERROR(INDEX('DONNÉES BRUTES'!D$3:D$42,MATCH(_xlfn.AGGREGATE(14,6,'DONNÉES BRUTES'!AA$3:AA$42+ROW('DONNÉES BRUTES'!AA$3:AA$42)/1000,1),'DONNÉES BRUTES'!AA$3:AA$42+ROW('DONNÉES BRUTES'!AA$3:AA$42)/1000,0)),"—")</f>
        <v>—</v>
      </c>
      <c r="H4" s="108" t="str" cm="1">
        <f t="array" ref="H4">IFERROR(INDEX('DONNÉES BRUTES'!E$3:E$42,MATCH(_xlfn.AGGREGATE(14,6,'DONNÉES BRUTES'!AA$3:AA$42+ROW('DONNÉES BRUTES'!AA$3:AA$42)/1000,1),'DONNÉES BRUTES'!AA$3:AA$42+ROW('DONNÉES BRUTES'!AA$3:AA$42)/1000,0)),"—")</f>
        <v>—</v>
      </c>
      <c r="I4" s="108" cm="1">
        <f t="array" ref="I4">IFERROR(INDEX('DONNÉES BRUTES'!AB$3:AB$42,MATCH(_xlfn.AGGREGATE(14,6,'DONNÉES BRUTES'!AA$3:AA$42+ROW('DONNÉES BRUTES'!AA$3:AA$42)/1000,1),'DONNÉES BRUTES'!AA$3:AA$42+ROW('DONNÉES BRUTES'!AA$3:AA$42)/1000,0)),"—")</f>
        <v>70</v>
      </c>
      <c r="J4" s="108" t="str" cm="1">
        <f t="array" ref="J4">IFERROR(INDEX('DONNÉES BRUTES'!AC$3:AC$42,MATCH(_xlfn.AGGREGATE(14,6,'DONNÉES BRUTES'!AA$3:AA$42+ROW('DONNÉES BRUTES'!AA$3:AA$42)/1000,1),'DONNÉES BRUTES'!AA$3:AA$42+ROW('DONNÉES BRUTES'!AA$3:AA$42)/1000,0)),"—")</f>
        <v>2026-05-13</v>
      </c>
      <c r="K4" s="108" t="str" cm="1">
        <f t="array" ref="K4">IFERROR(INDEX('DONNÉES BRUTES'!AD$3:AD$42,MATCH(_xlfn.AGGREGATE(14,6,'DONNÉES BRUTES'!AA$3:AA$42+ROW('DONNÉES BRUTES'!AA$3:AA$42)/1000,1),'DONNÉES BRUTES'!AA$3:AA$42+ROW('DONNÉES BRUTES'!AA$3:AA$42)/1000,0)),"—")</f>
        <v>Neutre</v>
      </c>
      <c r="O4" s="235" t="str">
        <f t="shared" si="0"/>
        <v>BNP Paribas SA</v>
      </c>
      <c r="P4" s="235">
        <f t="shared" si="1"/>
        <v>95</v>
      </c>
    </row>
    <row r="5" spans="1:18" ht="15.95" customHeight="1" thickBot="1" x14ac:dyDescent="0.3">
      <c r="A5" s="126">
        <v>2</v>
      </c>
      <c r="B5" s="122" t="str" cm="1">
        <f t="array" ref="B5">IFERROR(INDEX('DONNÉES BRUTES'!A$3:A$42,MATCH(_xlfn.AGGREGATE(14,6,'DONNÉES BRUTES'!AA$3:AA$42+ROW('DONNÉES BRUTES'!AA$3:AA$42)/1000,2),'DONNÉES BRUTES'!AA$3:AA$42+ROW('DONNÉES BRUTES'!AA$3:AA$42)/1000,0)),"—")</f>
        <v>AIR.PA</v>
      </c>
      <c r="C5" s="113" t="str" cm="1">
        <f t="array" ref="C5">IFERROR(INDEX('DONNÉES BRUTES'!B$3:B$42,MATCH(_xlfn.AGGREGATE(14,6,'DONNÉES BRUTES'!AA$3:AA$42+ROW('DONNÉES BRUTES'!AA$3:AA$42)/1000,2),'DONNÉES BRUTES'!AA$3:AA$42+ROW('DONNÉES BRUTES'!AA$3:AA$42)/1000,0)),"—")</f>
        <v>Airbus SE</v>
      </c>
      <c r="D5" s="113" t="str" cm="1">
        <f t="array" ref="D5">IFERROR(INDEX('DONNÉES BRUTES'!C$3:C$42,MATCH(_xlfn.AGGREGATE(14,6,'DONNÉES BRUTES'!AA$3:AA$42+ROW('DONNÉES BRUTES'!AA$3:AA$42)/1000,2),'DONNÉES BRUTES'!AA$3:AA$42+ROW('DONNÉES BRUTES'!AA$3:AA$42)/1000,0)),"—")</f>
        <v>Industrials</v>
      </c>
      <c r="E5" s="114" t="str" cm="1">
        <f t="array" ref="E5">IFERROR(INDEX('DONNÉES BRUTES'!AA$3:AA$42,MATCH(_xlfn.AGGREGATE(14,6,'DONNÉES BRUTES'!AA$3:AA$42+ROW('DONNÉES BRUTES'!AA$3:AA$42)/1000,2),'DONNÉES BRUTES'!AA$3:AA$42+ROW('DONNÉES BRUTES'!AA$3:AA$42)/1000,0))&amp;"/100","—")</f>
        <v>97/100</v>
      </c>
      <c r="F5" s="112" t="str" cm="1">
        <f t="array" ref="F5">IFERROR(INDEX('DONNÉES BRUTES'!W$3:W$42,MATCH(_xlfn.AGGREGATE(14,6,'DONNÉES BRUTES'!AA$3:AA$42+ROW('DONNÉES BRUTES'!AA$3:AA$42)/1000,2),'DONNÉES BRUTES'!AA$3:AA$42+ROW('DONNÉES BRUTES'!AA$3:AA$42)/1000,0)),"—")</f>
        <v>nan%</v>
      </c>
      <c r="G5" s="112" t="str" cm="1">
        <f t="array" ref="G5">IFERROR(INDEX('DONNÉES BRUTES'!D$3:D$42,MATCH(_xlfn.AGGREGATE(14,6,'DONNÉES BRUTES'!AA$3:AA$42+ROW('DONNÉES BRUTES'!AA$3:AA$42)/1000,2),'DONNÉES BRUTES'!AA$3:AA$42+ROW('DONNÉES BRUTES'!AA$3:AA$42)/1000,0)),"—")</f>
        <v>—</v>
      </c>
      <c r="H5" s="112" t="str" cm="1">
        <f t="array" ref="H5">IFERROR(INDEX('DONNÉES BRUTES'!E$3:E$42,MATCH(_xlfn.AGGREGATE(14,6,'DONNÉES BRUTES'!AA$3:AA$42+ROW('DONNÉES BRUTES'!AA$3:AA$42)/1000,2),'DONNÉES BRUTES'!AA$3:AA$42+ROW('DONNÉES BRUTES'!AA$3:AA$42)/1000,0)),"—")</f>
        <v>—</v>
      </c>
      <c r="I5" s="112" cm="1">
        <f t="array" ref="I5">IFERROR(INDEX('DONNÉES BRUTES'!AB$3:AB$42,MATCH(_xlfn.AGGREGATE(14,6,'DONNÉES BRUTES'!AA$3:AA$42+ROW('DONNÉES BRUTES'!AA$3:AA$42)/1000,2),'DONNÉES BRUTES'!AA$3:AA$42+ROW('DONNÉES BRUTES'!AA$3:AA$42)/1000,0)),"—")</f>
        <v>68</v>
      </c>
      <c r="J5" s="112" t="str" cm="1">
        <f t="array" ref="J5">IFERROR(INDEX('DONNÉES BRUTES'!AC$3:AC$42,MATCH(_xlfn.AGGREGATE(14,6,'DONNÉES BRUTES'!AA$3:AA$42+ROW('DONNÉES BRUTES'!AA$3:AA$42)/1000,2),'DONNÉES BRUTES'!AA$3:AA$42+ROW('DONNÉES BRUTES'!AA$3:AA$42)/1000,0)),"—")</f>
        <v>2026-04-28</v>
      </c>
      <c r="K5" s="112" t="str" cm="1">
        <f t="array" ref="K5">IFERROR(INDEX('DONNÉES BRUTES'!AD$3:AD$42,MATCH(_xlfn.AGGREGATE(14,6,'DONNÉES BRUTES'!AA$3:AA$42+ROW('DONNÉES BRUTES'!AA$3:AA$42)/1000,2),'DONNÉES BRUTES'!AA$3:AA$42+ROW('DONNÉES BRUTES'!AA$3:AA$42)/1000,0)),"—")</f>
        <v>Neutre</v>
      </c>
      <c r="O5" s="235" t="str">
        <f t="shared" si="0"/>
        <v>AXA SA</v>
      </c>
      <c r="P5" s="235">
        <f t="shared" si="1"/>
        <v>92</v>
      </c>
    </row>
    <row r="6" spans="1:18" ht="15.95" customHeight="1" thickBot="1" x14ac:dyDescent="0.3">
      <c r="A6" s="125">
        <v>3</v>
      </c>
      <c r="B6" s="121" t="str" cm="1">
        <f t="array" ref="B6">IFERROR(INDEX('DONNÉES BRUTES'!A$3:A$42,MATCH(_xlfn.AGGREGATE(14,6,'DONNÉES BRUTES'!AA$3:AA$42+ROW('DONNÉES BRUTES'!AA$3:AA$42)/1000,3),'DONNÉES BRUTES'!AA$3:AA$42+ROW('DONNÉES BRUTES'!AA$3:AA$42)/1000,0)),"—")</f>
        <v>BNP.PA</v>
      </c>
      <c r="C6" s="109" t="str" cm="1">
        <f t="array" ref="C6">IFERROR(INDEX('DONNÉES BRUTES'!B$3:B$42,MATCH(_xlfn.AGGREGATE(14,6,'DONNÉES BRUTES'!AA$3:AA$42+ROW('DONNÉES BRUTES'!AA$3:AA$42)/1000,3),'DONNÉES BRUTES'!AA$3:AA$42+ROW('DONNÉES BRUTES'!AA$3:AA$42)/1000,0)),"—")</f>
        <v>BNP Paribas SA</v>
      </c>
      <c r="D6" s="109" t="str" cm="1">
        <f t="array" ref="D6">IFERROR(INDEX('DONNÉES BRUTES'!C$3:C$42,MATCH(_xlfn.AGGREGATE(14,6,'DONNÉES BRUTES'!AA$3:AA$42+ROW('DONNÉES BRUTES'!AA$3:AA$42)/1000,3),'DONNÉES BRUTES'!AA$3:AA$42+ROW('DONNÉES BRUTES'!AA$3:AA$42)/1000,0)),"—")</f>
        <v>Financials</v>
      </c>
      <c r="E6" s="110" t="str" cm="1">
        <f t="array" ref="E6">IFERROR(INDEX('DONNÉES BRUTES'!AA$3:AA$42,MATCH(_xlfn.AGGREGATE(14,6,'DONNÉES BRUTES'!AA$3:AA$42+ROW('DONNÉES BRUTES'!AA$3:AA$42)/1000,3),'DONNÉES BRUTES'!AA$3:AA$42+ROW('DONNÉES BRUTES'!AA$3:AA$42)/1000,0))&amp;"/100","—")</f>
        <v>95/100</v>
      </c>
      <c r="F6" s="108" t="str" cm="1">
        <f t="array" ref="F6">IFERROR(INDEX('DONNÉES BRUTES'!W$3:W$42,MATCH(_xlfn.AGGREGATE(14,6,'DONNÉES BRUTES'!AA$3:AA$42+ROW('DONNÉES BRUTES'!AA$3:AA$42)/1000,3),'DONNÉES BRUTES'!AA$3:AA$42+ROW('DONNÉES BRUTES'!AA$3:AA$42)/1000,0)),"—")</f>
        <v>nan%</v>
      </c>
      <c r="G6" s="108" t="str" cm="1">
        <f t="array" ref="G6">IFERROR(INDEX('DONNÉES BRUTES'!D$3:D$42,MATCH(_xlfn.AGGREGATE(14,6,'DONNÉES BRUTES'!AA$3:AA$42+ROW('DONNÉES BRUTES'!AA$3:AA$42)/1000,3),'DONNÉES BRUTES'!AA$3:AA$42+ROW('DONNÉES BRUTES'!AA$3:AA$42)/1000,0)),"—")</f>
        <v>—</v>
      </c>
      <c r="H6" s="108" t="str" cm="1">
        <f t="array" ref="H6">IFERROR(INDEX('DONNÉES BRUTES'!E$3:E$42,MATCH(_xlfn.AGGREGATE(14,6,'DONNÉES BRUTES'!AA$3:AA$42+ROW('DONNÉES BRUTES'!AA$3:AA$42)/1000,3),'DONNÉES BRUTES'!AA$3:AA$42+ROW('DONNÉES BRUTES'!AA$3:AA$42)/1000,0)),"—")</f>
        <v>—</v>
      </c>
      <c r="I6" s="108" cm="1">
        <f t="array" ref="I6">IFERROR(INDEX('DONNÉES BRUTES'!AB$3:AB$42,MATCH(_xlfn.AGGREGATE(14,6,'DONNÉES BRUTES'!AA$3:AA$42+ROW('DONNÉES BRUTES'!AA$3:AA$42)/1000,3),'DONNÉES BRUTES'!AA$3:AA$42+ROW('DONNÉES BRUTES'!AA$3:AA$42)/1000,0)),"—")</f>
        <v>62</v>
      </c>
      <c r="J6" s="108" t="str" cm="1">
        <f t="array" ref="J6">IFERROR(INDEX('DONNÉES BRUTES'!AC$3:AC$42,MATCH(_xlfn.AGGREGATE(14,6,'DONNÉES BRUTES'!AA$3:AA$42+ROW('DONNÉES BRUTES'!AA$3:AA$42)/1000,3),'DONNÉES BRUTES'!AA$3:AA$42+ROW('DONNÉES BRUTES'!AA$3:AA$42)/1000,0)),"—")</f>
        <v>2026-04-30</v>
      </c>
      <c r="K6" s="108" t="str" cm="1">
        <f t="array" ref="K6">IFERROR(INDEX('DONNÉES BRUTES'!AD$3:AD$42,MATCH(_xlfn.AGGREGATE(14,6,'DONNÉES BRUTES'!AA$3:AA$42+ROW('DONNÉES BRUTES'!AA$3:AA$42)/1000,3),'DONNÉES BRUTES'!AA$3:AA$42+ROW('DONNÉES BRUTES'!AA$3:AA$42)/1000,0)),"—")</f>
        <v>Neutre</v>
      </c>
      <c r="O6" s="235" t="str">
        <f t="shared" si="0"/>
        <v>L'Air Liquide S.A.</v>
      </c>
      <c r="P6" s="235">
        <f t="shared" si="1"/>
        <v>90</v>
      </c>
    </row>
    <row r="7" spans="1:18" ht="15.95" customHeight="1" thickBot="1" x14ac:dyDescent="0.3">
      <c r="A7" s="126">
        <v>4</v>
      </c>
      <c r="B7" s="122" t="str" cm="1">
        <f t="array" ref="B7">IFERROR(INDEX('DONNÉES BRUTES'!A$3:A$42,MATCH(_xlfn.AGGREGATE(14,6,'DONNÉES BRUTES'!AA$3:AA$42+ROW('DONNÉES BRUTES'!AA$3:AA$42)/1000,4),'DONNÉES BRUTES'!AA$3:AA$42+ROW('DONNÉES BRUTES'!AA$3:AA$42)/1000,0)),"—")</f>
        <v>CS.PA</v>
      </c>
      <c r="C7" s="113" t="str" cm="1">
        <f t="array" ref="C7">IFERROR(INDEX('DONNÉES BRUTES'!B$3:B$42,MATCH(_xlfn.AGGREGATE(14,6,'DONNÉES BRUTES'!AA$3:AA$42+ROW('DONNÉES BRUTES'!AA$3:AA$42)/1000,4),'DONNÉES BRUTES'!AA$3:AA$42+ROW('DONNÉES BRUTES'!AA$3:AA$42)/1000,0)),"—")</f>
        <v>AXA SA</v>
      </c>
      <c r="D7" s="113" t="str" cm="1">
        <f t="array" ref="D7">IFERROR(INDEX('DONNÉES BRUTES'!C$3:C$42,MATCH(_xlfn.AGGREGATE(14,6,'DONNÉES BRUTES'!AA$3:AA$42+ROW('DONNÉES BRUTES'!AA$3:AA$42)/1000,4),'DONNÉES BRUTES'!AA$3:AA$42+ROW('DONNÉES BRUTES'!AA$3:AA$42)/1000,0)),"—")</f>
        <v>Financials</v>
      </c>
      <c r="E7" s="114" t="str" cm="1">
        <f t="array" ref="E7">IFERROR(INDEX('DONNÉES BRUTES'!AA$3:AA$42,MATCH(_xlfn.AGGREGATE(14,6,'DONNÉES BRUTES'!AA$3:AA$42+ROW('DONNÉES BRUTES'!AA$3:AA$42)/1000,4),'DONNÉES BRUTES'!AA$3:AA$42+ROW('DONNÉES BRUTES'!AA$3:AA$42)/1000,0))&amp;"/100","—")</f>
        <v>92/100</v>
      </c>
      <c r="F7" s="112" t="str" cm="1">
        <f t="array" ref="F7">IFERROR(INDEX('DONNÉES BRUTES'!W$3:W$42,MATCH(_xlfn.AGGREGATE(14,6,'DONNÉES BRUTES'!AA$3:AA$42+ROW('DONNÉES BRUTES'!AA$3:AA$42)/1000,4),'DONNÉES BRUTES'!AA$3:AA$42+ROW('DONNÉES BRUTES'!AA$3:AA$42)/1000,0)),"—")</f>
        <v>nan%</v>
      </c>
      <c r="G7" s="112" t="str" cm="1">
        <f t="array" ref="G7">IFERROR(INDEX('DONNÉES BRUTES'!D$3:D$42,MATCH(_xlfn.AGGREGATE(14,6,'DONNÉES BRUTES'!AA$3:AA$42+ROW('DONNÉES BRUTES'!AA$3:AA$42)/1000,4),'DONNÉES BRUTES'!AA$3:AA$42+ROW('DONNÉES BRUTES'!AA$3:AA$42)/1000,0)),"—")</f>
        <v>—</v>
      </c>
      <c r="H7" s="112" t="str" cm="1">
        <f t="array" ref="H7">IFERROR(INDEX('DONNÉES BRUTES'!E$3:E$42,MATCH(_xlfn.AGGREGATE(14,6,'DONNÉES BRUTES'!AA$3:AA$42+ROW('DONNÉES BRUTES'!AA$3:AA$42)/1000,4),'DONNÉES BRUTES'!AA$3:AA$42+ROW('DONNÉES BRUTES'!AA$3:AA$42)/1000,0)),"—")</f>
        <v>—</v>
      </c>
      <c r="I7" s="112" cm="1">
        <f t="array" ref="I7">IFERROR(INDEX('DONNÉES BRUTES'!AB$3:AB$42,MATCH(_xlfn.AGGREGATE(14,6,'DONNÉES BRUTES'!AA$3:AA$42+ROW('DONNÉES BRUTES'!AA$3:AA$42)/1000,4),'DONNÉES BRUTES'!AA$3:AA$42+ROW('DONNÉES BRUTES'!AA$3:AA$42)/1000,0)),"—")</f>
        <v>64</v>
      </c>
      <c r="J7" s="112" t="str" cm="1">
        <f t="array" ref="J7">IFERROR(INDEX('DONNÉES BRUTES'!AC$3:AC$42,MATCH(_xlfn.AGGREGATE(14,6,'DONNÉES BRUTES'!AA$3:AA$42+ROW('DONNÉES BRUTES'!AA$3:AA$42)/1000,4),'DONNÉES BRUTES'!AA$3:AA$42+ROW('DONNÉES BRUTES'!AA$3:AA$42)/1000,0)),"—")</f>
        <v>—</v>
      </c>
      <c r="K7" s="112" t="str" cm="1">
        <f t="array" ref="K7">IFERROR(INDEX('DONNÉES BRUTES'!AD$3:AD$42,MATCH(_xlfn.AGGREGATE(14,6,'DONNÉES BRUTES'!AA$3:AA$42+ROW('DONNÉES BRUTES'!AA$3:AA$42)/1000,4),'DONNÉES BRUTES'!AA$3:AA$42+ROW('DONNÉES BRUTES'!AA$3:AA$42)/1000,0)),"—")</f>
        <v>Neutre</v>
      </c>
      <c r="O7" s="235" t="str">
        <f t="shared" si="0"/>
        <v>Capgemini SE</v>
      </c>
      <c r="P7" s="235">
        <f t="shared" si="1"/>
        <v>87</v>
      </c>
    </row>
    <row r="8" spans="1:18" ht="15.95" customHeight="1" thickBot="1" x14ac:dyDescent="0.3">
      <c r="A8" s="125">
        <v>5</v>
      </c>
      <c r="B8" s="121" t="str" cm="1">
        <f t="array" ref="B8">IFERROR(INDEX('DONNÉES BRUTES'!A$3:A$42,MATCH(_xlfn.AGGREGATE(14,6,'DONNÉES BRUTES'!AA$3:AA$42+ROW('DONNÉES BRUTES'!AA$3:AA$42)/1000,5),'DONNÉES BRUTES'!AA$3:AA$42+ROW('DONNÉES BRUTES'!AA$3:AA$42)/1000,0)),"—")</f>
        <v>AI.PA</v>
      </c>
      <c r="C8" s="109" t="str" cm="1">
        <f t="array" ref="C8">IFERROR(INDEX('DONNÉES BRUTES'!B$3:B$42,MATCH(_xlfn.AGGREGATE(14,6,'DONNÉES BRUTES'!AA$3:AA$42+ROW('DONNÉES BRUTES'!AA$3:AA$42)/1000,5),'DONNÉES BRUTES'!AA$3:AA$42+ROW('DONNÉES BRUTES'!AA$3:AA$42)/1000,0)),"—")</f>
        <v>L'Air Liquide S.A.</v>
      </c>
      <c r="D8" s="109" t="str" cm="1">
        <f t="array" ref="D8">IFERROR(INDEX('DONNÉES BRUTES'!C$3:C$42,MATCH(_xlfn.AGGREGATE(14,6,'DONNÉES BRUTES'!AA$3:AA$42+ROW('DONNÉES BRUTES'!AA$3:AA$42)/1000,5),'DONNÉES BRUTES'!AA$3:AA$42+ROW('DONNÉES BRUTES'!AA$3:AA$42)/1000,0)),"—")</f>
        <v>Materials</v>
      </c>
      <c r="E8" s="110" t="str" cm="1">
        <f t="array" ref="E8">IFERROR(INDEX('DONNÉES BRUTES'!AA$3:AA$42,MATCH(_xlfn.AGGREGATE(14,6,'DONNÉES BRUTES'!AA$3:AA$42+ROW('DONNÉES BRUTES'!AA$3:AA$42)/1000,5),'DONNÉES BRUTES'!AA$3:AA$42+ROW('DONNÉES BRUTES'!AA$3:AA$42)/1000,0))&amp;"/100","—")</f>
        <v>90/100</v>
      </c>
      <c r="F8" s="108" t="str" cm="1">
        <f t="array" ref="F8">IFERROR(INDEX('DONNÉES BRUTES'!W$3:W$42,MATCH(_xlfn.AGGREGATE(14,6,'DONNÉES BRUTES'!AA$3:AA$42+ROW('DONNÉES BRUTES'!AA$3:AA$42)/1000,5),'DONNÉES BRUTES'!AA$3:AA$42+ROW('DONNÉES BRUTES'!AA$3:AA$42)/1000,0)),"—")</f>
        <v>nan%</v>
      </c>
      <c r="G8" s="108" t="str" cm="1">
        <f t="array" ref="G8">IFERROR(INDEX('DONNÉES BRUTES'!D$3:D$42,MATCH(_xlfn.AGGREGATE(14,6,'DONNÉES BRUTES'!AA$3:AA$42+ROW('DONNÉES BRUTES'!AA$3:AA$42)/1000,5),'DONNÉES BRUTES'!AA$3:AA$42+ROW('DONNÉES BRUTES'!AA$3:AA$42)/1000,0)),"—")</f>
        <v>—</v>
      </c>
      <c r="H8" s="108" t="str" cm="1">
        <f t="array" ref="H8">IFERROR(INDEX('DONNÉES BRUTES'!E$3:E$42,MATCH(_xlfn.AGGREGATE(14,6,'DONNÉES BRUTES'!AA$3:AA$42+ROW('DONNÉES BRUTES'!AA$3:AA$42)/1000,5),'DONNÉES BRUTES'!AA$3:AA$42+ROW('DONNÉES BRUTES'!AA$3:AA$42)/1000,0)),"—")</f>
        <v>—</v>
      </c>
      <c r="I8" s="108" cm="1">
        <f t="array" ref="I8">IFERROR(INDEX('DONNÉES BRUTES'!AB$3:AB$42,MATCH(_xlfn.AGGREGATE(14,6,'DONNÉES BRUTES'!AA$3:AA$42+ROW('DONNÉES BRUTES'!AA$3:AA$42)/1000,5),'DONNÉES BRUTES'!AA$3:AA$42+ROW('DONNÉES BRUTES'!AA$3:AA$42)/1000,0)),"—")</f>
        <v>74</v>
      </c>
      <c r="J8" s="108" t="str" cm="1">
        <f t="array" ref="J8">IFERROR(INDEX('DONNÉES BRUTES'!AC$3:AC$42,MATCH(_xlfn.AGGREGATE(14,6,'DONNÉES BRUTES'!AA$3:AA$42+ROW('DONNÉES BRUTES'!AA$3:AA$42)/1000,5),'DONNÉES BRUTES'!AA$3:AA$42+ROW('DONNÉES BRUTES'!AA$3:AA$42)/1000,0)),"—")</f>
        <v>—</v>
      </c>
      <c r="K8" s="108" t="str" cm="1">
        <f t="array" ref="K8">IFERROR(INDEX('DONNÉES BRUTES'!AD$3:AD$42,MATCH(_xlfn.AGGREGATE(14,6,'DONNÉES BRUTES'!AA$3:AA$42+ROW('DONNÉES BRUTES'!AA$3:AA$42)/1000,5),'DONNÉES BRUTES'!AA$3:AA$42+ROW('DONNÉES BRUTES'!AA$3:AA$42)/1000,0)),"—")</f>
        <v>Neutre</v>
      </c>
      <c r="O8" s="235" t="str">
        <f t="shared" si="0"/>
        <v>Carrefour SA</v>
      </c>
      <c r="P8" s="235">
        <f t="shared" si="1"/>
        <v>85</v>
      </c>
    </row>
    <row r="9" spans="1:18" ht="15.95" customHeight="1" thickBot="1" x14ac:dyDescent="0.3">
      <c r="A9" s="126">
        <v>6</v>
      </c>
      <c r="B9" s="122" t="str" cm="1">
        <f t="array" ref="B9">IFERROR(INDEX('DONNÉES BRUTES'!A$3:A$42,MATCH(_xlfn.AGGREGATE(14,6,'DONNÉES BRUTES'!AA$3:AA$42+ROW('DONNÉES BRUTES'!AA$3:AA$42)/1000,6),'DONNÉES BRUTES'!AA$3:AA$42+ROW('DONNÉES BRUTES'!AA$3:AA$42)/1000,0)),"—")</f>
        <v>CAP.PA</v>
      </c>
      <c r="C9" s="113" t="str" cm="1">
        <f t="array" ref="C9">IFERROR(INDEX('DONNÉES BRUTES'!B$3:B$42,MATCH(_xlfn.AGGREGATE(14,6,'DONNÉES BRUTES'!AA$3:AA$42+ROW('DONNÉES BRUTES'!AA$3:AA$42)/1000,6),'DONNÉES BRUTES'!AA$3:AA$42+ROW('DONNÉES BRUTES'!AA$3:AA$42)/1000,0)),"—")</f>
        <v>Capgemini SE</v>
      </c>
      <c r="D9" s="113" t="str" cm="1">
        <f t="array" ref="D9">IFERROR(INDEX('DONNÉES BRUTES'!C$3:C$42,MATCH(_xlfn.AGGREGATE(14,6,'DONNÉES BRUTES'!AA$3:AA$42+ROW('DONNÉES BRUTES'!AA$3:AA$42)/1000,6),'DONNÉES BRUTES'!AA$3:AA$42+ROW('DONNÉES BRUTES'!AA$3:AA$42)/1000,0)),"—")</f>
        <v>Technology</v>
      </c>
      <c r="E9" s="114" t="str" cm="1">
        <f t="array" ref="E9">IFERROR(INDEX('DONNÉES BRUTES'!AA$3:AA$42,MATCH(_xlfn.AGGREGATE(14,6,'DONNÉES BRUTES'!AA$3:AA$42+ROW('DONNÉES BRUTES'!AA$3:AA$42)/1000,6),'DONNÉES BRUTES'!AA$3:AA$42+ROW('DONNÉES BRUTES'!AA$3:AA$42)/1000,0))&amp;"/100","—")</f>
        <v>87/100</v>
      </c>
      <c r="F9" s="112" t="str" cm="1">
        <f t="array" ref="F9">IFERROR(INDEX('DONNÉES BRUTES'!W$3:W$42,MATCH(_xlfn.AGGREGATE(14,6,'DONNÉES BRUTES'!AA$3:AA$42+ROW('DONNÉES BRUTES'!AA$3:AA$42)/1000,6),'DONNÉES BRUTES'!AA$3:AA$42+ROW('DONNÉES BRUTES'!AA$3:AA$42)/1000,0)),"—")</f>
        <v>nan%</v>
      </c>
      <c r="G9" s="112" t="str" cm="1">
        <f t="array" ref="G9">IFERROR(INDEX('DONNÉES BRUTES'!D$3:D$42,MATCH(_xlfn.AGGREGATE(14,6,'DONNÉES BRUTES'!AA$3:AA$42+ROW('DONNÉES BRUTES'!AA$3:AA$42)/1000,6),'DONNÉES BRUTES'!AA$3:AA$42+ROW('DONNÉES BRUTES'!AA$3:AA$42)/1000,0)),"—")</f>
        <v>—</v>
      </c>
      <c r="H9" s="112" t="str" cm="1">
        <f t="array" ref="H9">IFERROR(INDEX('DONNÉES BRUTES'!E$3:E$42,MATCH(_xlfn.AGGREGATE(14,6,'DONNÉES BRUTES'!AA$3:AA$42+ROW('DONNÉES BRUTES'!AA$3:AA$42)/1000,6),'DONNÉES BRUTES'!AA$3:AA$42+ROW('DONNÉES BRUTES'!AA$3:AA$42)/1000,0)),"—")</f>
        <v>—</v>
      </c>
      <c r="I9" s="112" cm="1">
        <f t="array" ref="I9">IFERROR(INDEX('DONNÉES BRUTES'!AB$3:AB$42,MATCH(_xlfn.AGGREGATE(14,6,'DONNÉES BRUTES'!AA$3:AA$42+ROW('DONNÉES BRUTES'!AA$3:AA$42)/1000,6),'DONNÉES BRUTES'!AA$3:AA$42+ROW('DONNÉES BRUTES'!AA$3:AA$42)/1000,0)),"—")</f>
        <v>53</v>
      </c>
      <c r="J9" s="112" t="str" cm="1">
        <f t="array" ref="J9">IFERROR(INDEX('DONNÉES BRUTES'!AC$3:AC$42,MATCH(_xlfn.AGGREGATE(14,6,'DONNÉES BRUTES'!AA$3:AA$42+ROW('DONNÉES BRUTES'!AA$3:AA$42)/1000,6),'DONNÉES BRUTES'!AA$3:AA$42+ROW('DONNÉES BRUTES'!AA$3:AA$42)/1000,0)),"—")</f>
        <v>—</v>
      </c>
      <c r="K9" s="112" t="str" cm="1">
        <f t="array" ref="K9">IFERROR(INDEX('DONNÉES BRUTES'!AD$3:AD$42,MATCH(_xlfn.AGGREGATE(14,6,'DONNÉES BRUTES'!AA$3:AA$42+ROW('DONNÉES BRUTES'!AA$3:AA$42)/1000,6),'DONNÉES BRUTES'!AA$3:AA$42+ROW('DONNÉES BRUTES'!AA$3:AA$42)/1000,0)),"—")</f>
        <v>Sous-pondérer</v>
      </c>
      <c r="O9" s="235" t="str">
        <f t="shared" si="0"/>
        <v>Crédit Agricole S.</v>
      </c>
      <c r="P9" s="235">
        <f t="shared" si="1"/>
        <v>82</v>
      </c>
    </row>
    <row r="10" spans="1:18" ht="15.95" customHeight="1" thickBot="1" x14ac:dyDescent="0.3">
      <c r="A10" s="125">
        <v>7</v>
      </c>
      <c r="B10" s="121" t="str" cm="1">
        <f t="array" ref="B10">IFERROR(INDEX('DONNÉES BRUTES'!A$3:A$42,MATCH(_xlfn.AGGREGATE(14,6,'DONNÉES BRUTES'!AA$3:AA$42+ROW('DONNÉES BRUTES'!AA$3:AA$42)/1000,7),'DONNÉES BRUTES'!AA$3:AA$42+ROW('DONNÉES BRUTES'!AA$3:AA$42)/1000,0)),"—")</f>
        <v>CA.PA</v>
      </c>
      <c r="C10" s="109" t="str" cm="1">
        <f t="array" ref="C10">IFERROR(INDEX('DONNÉES BRUTES'!B$3:B$42,MATCH(_xlfn.AGGREGATE(14,6,'DONNÉES BRUTES'!AA$3:AA$42+ROW('DONNÉES BRUTES'!AA$3:AA$42)/1000,7),'DONNÉES BRUTES'!AA$3:AA$42+ROW('DONNÉES BRUTES'!AA$3:AA$42)/1000,0)),"—")</f>
        <v>Carrefour SA</v>
      </c>
      <c r="D10" s="109" t="str" cm="1">
        <f t="array" ref="D10">IFERROR(INDEX('DONNÉES BRUTES'!C$3:C$42,MATCH(_xlfn.AGGREGATE(14,6,'DONNÉES BRUTES'!AA$3:AA$42+ROW('DONNÉES BRUTES'!AA$3:AA$42)/1000,7),'DONNÉES BRUTES'!AA$3:AA$42+ROW('DONNÉES BRUTES'!AA$3:AA$42)/1000,0)),"—")</f>
        <v>Consumer Staples</v>
      </c>
      <c r="E10" s="110" t="str" cm="1">
        <f t="array" ref="E10">IFERROR(INDEX('DONNÉES BRUTES'!AA$3:AA$42,MATCH(_xlfn.AGGREGATE(14,6,'DONNÉES BRUTES'!AA$3:AA$42+ROW('DONNÉES BRUTES'!AA$3:AA$42)/1000,7),'DONNÉES BRUTES'!AA$3:AA$42+ROW('DONNÉES BRUTES'!AA$3:AA$42)/1000,0))&amp;"/100","—")</f>
        <v>85/100</v>
      </c>
      <c r="F10" s="108" t="str" cm="1">
        <f t="array" ref="F10">IFERROR(INDEX('DONNÉES BRUTES'!W$3:W$42,MATCH(_xlfn.AGGREGATE(14,6,'DONNÉES BRUTES'!AA$3:AA$42+ROW('DONNÉES BRUTES'!AA$3:AA$42)/1000,7),'DONNÉES BRUTES'!AA$3:AA$42+ROW('DONNÉES BRUTES'!AA$3:AA$42)/1000,0)),"—")</f>
        <v>nan%</v>
      </c>
      <c r="G10" s="108" t="str" cm="1">
        <f t="array" ref="G10">IFERROR(INDEX('DONNÉES BRUTES'!D$3:D$42,MATCH(_xlfn.AGGREGATE(14,6,'DONNÉES BRUTES'!AA$3:AA$42+ROW('DONNÉES BRUTES'!AA$3:AA$42)/1000,7),'DONNÉES BRUTES'!AA$3:AA$42+ROW('DONNÉES BRUTES'!AA$3:AA$42)/1000,0)),"—")</f>
        <v>—</v>
      </c>
      <c r="H10" s="108" t="str" cm="1">
        <f t="array" ref="H10">IFERROR(INDEX('DONNÉES BRUTES'!E$3:E$42,MATCH(_xlfn.AGGREGATE(14,6,'DONNÉES BRUTES'!AA$3:AA$42+ROW('DONNÉES BRUTES'!AA$3:AA$42)/1000,7),'DONNÉES BRUTES'!AA$3:AA$42+ROW('DONNÉES BRUTES'!AA$3:AA$42)/1000,0)),"—")</f>
        <v>—</v>
      </c>
      <c r="I10" s="108" cm="1">
        <f t="array" ref="I10">IFERROR(INDEX('DONNÉES BRUTES'!AB$3:AB$42,MATCH(_xlfn.AGGREGATE(14,6,'DONNÉES BRUTES'!AA$3:AA$42+ROW('DONNÉES BRUTES'!AA$3:AA$42)/1000,7),'DONNÉES BRUTES'!AA$3:AA$42+ROW('DONNÉES BRUTES'!AA$3:AA$42)/1000,0)),"—")</f>
        <v>58</v>
      </c>
      <c r="J10" s="108" t="str" cm="1">
        <f t="array" ref="J10">IFERROR(INDEX('DONNÉES BRUTES'!AC$3:AC$42,MATCH(_xlfn.AGGREGATE(14,6,'DONNÉES BRUTES'!AA$3:AA$42+ROW('DONNÉES BRUTES'!AA$3:AA$42)/1000,7),'DONNÉES BRUTES'!AA$3:AA$42+ROW('DONNÉES BRUTES'!AA$3:AA$42)/1000,0)),"—")</f>
        <v>—</v>
      </c>
      <c r="K10" s="108" t="str" cm="1">
        <f t="array" ref="K10">IFERROR(INDEX('DONNÉES BRUTES'!AD$3:AD$42,MATCH(_xlfn.AGGREGATE(14,6,'DONNÉES BRUTES'!AA$3:AA$42+ROW('DONNÉES BRUTES'!AA$3:AA$42)/1000,7),'DONNÉES BRUTES'!AA$3:AA$42+ROW('DONNÉES BRUTES'!AA$3:AA$42)/1000,0)),"—")</f>
        <v>Neutre</v>
      </c>
      <c r="O10" s="235" t="str">
        <f t="shared" si="0"/>
        <v>Bouygues SA</v>
      </c>
      <c r="P10" s="235">
        <f t="shared" si="1"/>
        <v>79</v>
      </c>
    </row>
    <row r="11" spans="1:18" ht="15.95" customHeight="1" thickBot="1" x14ac:dyDescent="0.3">
      <c r="A11" s="126">
        <v>8</v>
      </c>
      <c r="B11" s="122" t="str" cm="1">
        <f t="array" ref="B11">IFERROR(INDEX('DONNÉES BRUTES'!A$3:A$42,MATCH(_xlfn.AGGREGATE(14,6,'DONNÉES BRUTES'!AA$3:AA$42+ROW('DONNÉES BRUTES'!AA$3:AA$42)/1000,8),'DONNÉES BRUTES'!AA$3:AA$42+ROW('DONNÉES BRUTES'!AA$3:AA$42)/1000,0)),"—")</f>
        <v>ACA.PA</v>
      </c>
      <c r="C11" s="113" t="str" cm="1">
        <f t="array" ref="C11">IFERROR(INDEX('DONNÉES BRUTES'!B$3:B$42,MATCH(_xlfn.AGGREGATE(14,6,'DONNÉES BRUTES'!AA$3:AA$42+ROW('DONNÉES BRUTES'!AA$3:AA$42)/1000,8),'DONNÉES BRUTES'!AA$3:AA$42+ROW('DONNÉES BRUTES'!AA$3:AA$42)/1000,0)),"—")</f>
        <v>Crédit Agricole S.A.</v>
      </c>
      <c r="D11" s="113" t="str" cm="1">
        <f t="array" ref="D11">IFERROR(INDEX('DONNÉES BRUTES'!C$3:C$42,MATCH(_xlfn.AGGREGATE(14,6,'DONNÉES BRUTES'!AA$3:AA$42+ROW('DONNÉES BRUTES'!AA$3:AA$42)/1000,8),'DONNÉES BRUTES'!AA$3:AA$42+ROW('DONNÉES BRUTES'!AA$3:AA$42)/1000,0)),"—")</f>
        <v>Financials</v>
      </c>
      <c r="E11" s="114" t="str" cm="1">
        <f t="array" ref="E11">IFERROR(INDEX('DONNÉES BRUTES'!AA$3:AA$42,MATCH(_xlfn.AGGREGATE(14,6,'DONNÉES BRUTES'!AA$3:AA$42+ROW('DONNÉES BRUTES'!AA$3:AA$42)/1000,8),'DONNÉES BRUTES'!AA$3:AA$42+ROW('DONNÉES BRUTES'!AA$3:AA$42)/1000,0))&amp;"/100","—")</f>
        <v>82/100</v>
      </c>
      <c r="F11" s="112" t="str" cm="1">
        <f t="array" ref="F11">IFERROR(INDEX('DONNÉES BRUTES'!W$3:W$42,MATCH(_xlfn.AGGREGATE(14,6,'DONNÉES BRUTES'!AA$3:AA$42+ROW('DONNÉES BRUTES'!AA$3:AA$42)/1000,8),'DONNÉES BRUTES'!AA$3:AA$42+ROW('DONNÉES BRUTES'!AA$3:AA$42)/1000,0)),"—")</f>
        <v>nan%</v>
      </c>
      <c r="G11" s="112" t="str" cm="1">
        <f t="array" ref="G11">IFERROR(INDEX('DONNÉES BRUTES'!D$3:D$42,MATCH(_xlfn.AGGREGATE(14,6,'DONNÉES BRUTES'!AA$3:AA$42+ROW('DONNÉES BRUTES'!AA$3:AA$42)/1000,8),'DONNÉES BRUTES'!AA$3:AA$42+ROW('DONNÉES BRUTES'!AA$3:AA$42)/1000,0)),"—")</f>
        <v>—</v>
      </c>
      <c r="H11" s="112" t="str" cm="1">
        <f t="array" ref="H11">IFERROR(INDEX('DONNÉES BRUTES'!E$3:E$42,MATCH(_xlfn.AGGREGATE(14,6,'DONNÉES BRUTES'!AA$3:AA$42+ROW('DONNÉES BRUTES'!AA$3:AA$42)/1000,8),'DONNÉES BRUTES'!AA$3:AA$42+ROW('DONNÉES BRUTES'!AA$3:AA$42)/1000,0)),"—")</f>
        <v>—</v>
      </c>
      <c r="I11" s="112" cm="1">
        <f t="array" ref="I11">IFERROR(INDEX('DONNÉES BRUTES'!AB$3:AB$42,MATCH(_xlfn.AGGREGATE(14,6,'DONNÉES BRUTES'!AA$3:AA$42+ROW('DONNÉES BRUTES'!AA$3:AA$42)/1000,8),'DONNÉES BRUTES'!AA$3:AA$42+ROW('DONNÉES BRUTES'!AA$3:AA$42)/1000,0)),"—")</f>
        <v>65</v>
      </c>
      <c r="J11" s="112" t="str" cm="1">
        <f t="array" ref="J11">IFERROR(INDEX('DONNÉES BRUTES'!AC$3:AC$42,MATCH(_xlfn.AGGREGATE(14,6,'DONNÉES BRUTES'!AA$3:AA$42+ROW('DONNÉES BRUTES'!AA$3:AA$42)/1000,8),'DONNÉES BRUTES'!AA$3:AA$42+ROW('DONNÉES BRUTES'!AA$3:AA$42)/1000,0)),"—")</f>
        <v>2026-04-30</v>
      </c>
      <c r="K11" s="112" t="str" cm="1">
        <f t="array" ref="K11">IFERROR(INDEX('DONNÉES BRUTES'!AD$3:AD$42,MATCH(_xlfn.AGGREGATE(14,6,'DONNÉES BRUTES'!AA$3:AA$42+ROW('DONNÉES BRUTES'!AA$3:AA$42)/1000,8),'DONNÉES BRUTES'!AA$3:AA$42+ROW('DONNÉES BRUTES'!AA$3:AA$42)/1000,0)),"—")</f>
        <v>Neutre</v>
      </c>
      <c r="O11" s="235" t="str">
        <f t="shared" si="0"/>
        <v>Danone S.A.</v>
      </c>
      <c r="P11" s="235">
        <f t="shared" si="1"/>
        <v>77</v>
      </c>
    </row>
    <row r="12" spans="1:18" ht="15.95" customHeight="1" thickBot="1" x14ac:dyDescent="0.3">
      <c r="A12" s="125">
        <v>9</v>
      </c>
      <c r="B12" s="121" t="str" cm="1">
        <f t="array" ref="B12">IFERROR(INDEX('DONNÉES BRUTES'!A$3:A$42,MATCH(_xlfn.AGGREGATE(14,6,'DONNÉES BRUTES'!AA$3:AA$42+ROW('DONNÉES BRUTES'!AA$3:AA$42)/1000,9),'DONNÉES BRUTES'!AA$3:AA$42+ROW('DONNÉES BRUTES'!AA$3:AA$42)/1000,0)),"—")</f>
        <v>EN.PA</v>
      </c>
      <c r="C12" s="109" t="str" cm="1">
        <f t="array" ref="C12">IFERROR(INDEX('DONNÉES BRUTES'!B$3:B$42,MATCH(_xlfn.AGGREGATE(14,6,'DONNÉES BRUTES'!AA$3:AA$42+ROW('DONNÉES BRUTES'!AA$3:AA$42)/1000,9),'DONNÉES BRUTES'!AA$3:AA$42+ROW('DONNÉES BRUTES'!AA$3:AA$42)/1000,0)),"—")</f>
        <v>Bouygues SA</v>
      </c>
      <c r="D12" s="109" t="str" cm="1">
        <f t="array" ref="D12">IFERROR(INDEX('DONNÉES BRUTES'!C$3:C$42,MATCH(_xlfn.AGGREGATE(14,6,'DONNÉES BRUTES'!AA$3:AA$42+ROW('DONNÉES BRUTES'!AA$3:AA$42)/1000,9),'DONNÉES BRUTES'!AA$3:AA$42+ROW('DONNÉES BRUTES'!AA$3:AA$42)/1000,0)),"—")</f>
        <v>Industrials</v>
      </c>
      <c r="E12" s="110" t="str" cm="1">
        <f t="array" ref="E12">IFERROR(INDEX('DONNÉES BRUTES'!AA$3:AA$42,MATCH(_xlfn.AGGREGATE(14,6,'DONNÉES BRUTES'!AA$3:AA$42+ROW('DONNÉES BRUTES'!AA$3:AA$42)/1000,9),'DONNÉES BRUTES'!AA$3:AA$42+ROW('DONNÉES BRUTES'!AA$3:AA$42)/1000,0))&amp;"/100","—")</f>
        <v>79/100</v>
      </c>
      <c r="F12" s="108" t="str" cm="1">
        <f t="array" ref="F12">IFERROR(INDEX('DONNÉES BRUTES'!W$3:W$42,MATCH(_xlfn.AGGREGATE(14,6,'DONNÉES BRUTES'!AA$3:AA$42+ROW('DONNÉES BRUTES'!AA$3:AA$42)/1000,9),'DONNÉES BRUTES'!AA$3:AA$42+ROW('DONNÉES BRUTES'!AA$3:AA$42)/1000,0)),"—")</f>
        <v>nan%</v>
      </c>
      <c r="G12" s="108" t="str" cm="1">
        <f t="array" ref="G12">IFERROR(INDEX('DONNÉES BRUTES'!D$3:D$42,MATCH(_xlfn.AGGREGATE(14,6,'DONNÉES BRUTES'!AA$3:AA$42+ROW('DONNÉES BRUTES'!AA$3:AA$42)/1000,9),'DONNÉES BRUTES'!AA$3:AA$42+ROW('DONNÉES BRUTES'!AA$3:AA$42)/1000,0)),"—")</f>
        <v>—</v>
      </c>
      <c r="H12" s="108" t="str" cm="1">
        <f t="array" ref="H12">IFERROR(INDEX('DONNÉES BRUTES'!E$3:E$42,MATCH(_xlfn.AGGREGATE(14,6,'DONNÉES BRUTES'!AA$3:AA$42+ROW('DONNÉES BRUTES'!AA$3:AA$42)/1000,9),'DONNÉES BRUTES'!AA$3:AA$42+ROW('DONNÉES BRUTES'!AA$3:AA$42)/1000,0)),"—")</f>
        <v>—</v>
      </c>
      <c r="I12" s="108" cm="1">
        <f t="array" ref="I12">IFERROR(INDEX('DONNÉES BRUTES'!AB$3:AB$42,MATCH(_xlfn.AGGREGATE(14,6,'DONNÉES BRUTES'!AA$3:AA$42+ROW('DONNÉES BRUTES'!AA$3:AA$42)/1000,9),'DONNÉES BRUTES'!AA$3:AA$42+ROW('DONNÉES BRUTES'!AA$3:AA$42)/1000,0)),"—")</f>
        <v>57</v>
      </c>
      <c r="J12" s="108" t="str" cm="1">
        <f t="array" ref="J12">IFERROR(INDEX('DONNÉES BRUTES'!AC$3:AC$42,MATCH(_xlfn.AGGREGATE(14,6,'DONNÉES BRUTES'!AA$3:AA$42+ROW('DONNÉES BRUTES'!AA$3:AA$42)/1000,9),'DONNÉES BRUTES'!AA$3:AA$42+ROW('DONNÉES BRUTES'!AA$3:AA$42)/1000,0)),"—")</f>
        <v>2026-05-07</v>
      </c>
      <c r="K12" s="108" t="str" cm="1">
        <f t="array" ref="K12">IFERROR(INDEX('DONNÉES BRUTES'!AD$3:AD$42,MATCH(_xlfn.AGGREGATE(14,6,'DONNÉES BRUTES'!AA$3:AA$42+ROW('DONNÉES BRUTES'!AA$3:AA$42)/1000,9),'DONNÉES BRUTES'!AA$3:AA$42+ROW('DONNÉES BRUTES'!AA$3:AA$42)/1000,0)),"—")</f>
        <v>Neutre</v>
      </c>
    </row>
    <row r="13" spans="1:18" ht="15.95" customHeight="1" thickBot="1" x14ac:dyDescent="0.3">
      <c r="A13" s="126">
        <v>10</v>
      </c>
      <c r="B13" s="122" t="str" cm="1">
        <f t="array" ref="B13">IFERROR(INDEX('DONNÉES BRUTES'!A$3:A$42,MATCH(_xlfn.AGGREGATE(14,6,'DONNÉES BRUTES'!AA$3:AA$42+ROW('DONNÉES BRUTES'!AA$3:AA$42)/1000,10),'DONNÉES BRUTES'!AA$3:AA$42+ROW('DONNÉES BRUTES'!AA$3:AA$42)/1000,0)),"—")</f>
        <v>BN.PA</v>
      </c>
      <c r="C13" s="113" t="str" cm="1">
        <f t="array" ref="C13">IFERROR(INDEX('DONNÉES BRUTES'!B$3:B$42,MATCH(_xlfn.AGGREGATE(14,6,'DONNÉES BRUTES'!AA$3:AA$42+ROW('DONNÉES BRUTES'!AA$3:AA$42)/1000,10),'DONNÉES BRUTES'!AA$3:AA$42+ROW('DONNÉES BRUTES'!AA$3:AA$42)/1000,0)),"—")</f>
        <v>Danone S.A.</v>
      </c>
      <c r="D13" s="113" t="str" cm="1">
        <f t="array" ref="D13">IFERROR(INDEX('DONNÉES BRUTES'!C$3:C$42,MATCH(_xlfn.AGGREGATE(14,6,'DONNÉES BRUTES'!AA$3:AA$42+ROW('DONNÉES BRUTES'!AA$3:AA$42)/1000,10),'DONNÉES BRUTES'!AA$3:AA$42+ROW('DONNÉES BRUTES'!AA$3:AA$42)/1000,0)),"—")</f>
        <v>Consumer Staples</v>
      </c>
      <c r="E13" s="114" t="str" cm="1">
        <f t="array" ref="E13">IFERROR(INDEX('DONNÉES BRUTES'!AA$3:AA$42,MATCH(_xlfn.AGGREGATE(14,6,'DONNÉES BRUTES'!AA$3:AA$42+ROW('DONNÉES BRUTES'!AA$3:AA$42)/1000,10),'DONNÉES BRUTES'!AA$3:AA$42+ROW('DONNÉES BRUTES'!AA$3:AA$42)/1000,0))&amp;"/100","—")</f>
        <v>77/100</v>
      </c>
      <c r="F13" s="112" t="str" cm="1">
        <f t="array" ref="F13">IFERROR(INDEX('DONNÉES BRUTES'!W$3:W$42,MATCH(_xlfn.AGGREGATE(14,6,'DONNÉES BRUTES'!AA$3:AA$42+ROW('DONNÉES BRUTES'!AA$3:AA$42)/1000,10),'DONNÉES BRUTES'!AA$3:AA$42+ROW('DONNÉES BRUTES'!AA$3:AA$42)/1000,0)),"—")</f>
        <v>nan%</v>
      </c>
      <c r="G13" s="112" t="str" cm="1">
        <f t="array" ref="G13">IFERROR(INDEX('DONNÉES BRUTES'!D$3:D$42,MATCH(_xlfn.AGGREGATE(14,6,'DONNÉES BRUTES'!AA$3:AA$42+ROW('DONNÉES BRUTES'!AA$3:AA$42)/1000,10),'DONNÉES BRUTES'!AA$3:AA$42+ROW('DONNÉES BRUTES'!AA$3:AA$42)/1000,0)),"—")</f>
        <v>—</v>
      </c>
      <c r="H13" s="112" t="str" cm="1">
        <f t="array" ref="H13">IFERROR(INDEX('DONNÉES BRUTES'!E$3:E$42,MATCH(_xlfn.AGGREGATE(14,6,'DONNÉES BRUTES'!AA$3:AA$42+ROW('DONNÉES BRUTES'!AA$3:AA$42)/1000,10),'DONNÉES BRUTES'!AA$3:AA$42+ROW('DONNÉES BRUTES'!AA$3:AA$42)/1000,0)),"—")</f>
        <v>—</v>
      </c>
      <c r="I13" s="112" cm="1">
        <f t="array" ref="I13">IFERROR(INDEX('DONNÉES BRUTES'!AB$3:AB$42,MATCH(_xlfn.AGGREGATE(14,6,'DONNÉES BRUTES'!AA$3:AA$42+ROW('DONNÉES BRUTES'!AA$3:AA$42)/1000,10),'DONNÉES BRUTES'!AA$3:AA$42+ROW('DONNÉES BRUTES'!AA$3:AA$42)/1000,0)),"—")</f>
        <v>52</v>
      </c>
      <c r="J13" s="112" t="str" cm="1">
        <f t="array" ref="J13">IFERROR(INDEX('DONNÉES BRUTES'!AC$3:AC$42,MATCH(_xlfn.AGGREGATE(14,6,'DONNÉES BRUTES'!AA$3:AA$42+ROW('DONNÉES BRUTES'!AA$3:AA$42)/1000,10),'DONNÉES BRUTES'!AA$3:AA$42+ROW('DONNÉES BRUTES'!AA$3:AA$42)/1000,0)),"—")</f>
        <v>—</v>
      </c>
      <c r="K13" s="112" t="str" cm="1">
        <f t="array" ref="K13">IFERROR(INDEX('DONNÉES BRUTES'!AD$3:AD$42,MATCH(_xlfn.AGGREGATE(14,6,'DONNÉES BRUTES'!AA$3:AA$42+ROW('DONNÉES BRUTES'!AA$3:AA$42)/1000,10),'DONNÉES BRUTES'!AA$3:AA$42+ROW('DONNÉES BRUTES'!AA$3:AA$42)/1000,0)),"—")</f>
        <v>Sous-pondérer</v>
      </c>
    </row>
    <row r="14" spans="1:18" ht="15.95" customHeight="1" thickBot="1" x14ac:dyDescent="0.3">
      <c r="A14" s="125">
        <v>11</v>
      </c>
      <c r="B14" s="121" t="str" cm="1">
        <f t="array" ref="B14">IFERROR(INDEX('DONNÉES BRUTES'!A$3:A$42,MATCH(_xlfn.AGGREGATE(14,6,'DONNÉES BRUTES'!AA$3:AA$42+ROW('DONNÉES BRUTES'!AA$3:AA$42)/1000,11),'DONNÉES BRUTES'!AA$3:AA$42+ROW('DONNÉES BRUTES'!AA$3:AA$42)/1000,0)),"—")</f>
        <v>DSY.PA</v>
      </c>
      <c r="C14" s="109" t="str" cm="1">
        <f t="array" ref="C14">IFERROR(INDEX('DONNÉES BRUTES'!B$3:B$42,MATCH(_xlfn.AGGREGATE(14,6,'DONNÉES BRUTES'!AA$3:AA$42+ROW('DONNÉES BRUTES'!AA$3:AA$42)/1000,11),'DONNÉES BRUTES'!AA$3:AA$42+ROW('DONNÉES BRUTES'!AA$3:AA$42)/1000,0)),"—")</f>
        <v>Dassault Systèmes SE</v>
      </c>
      <c r="D14" s="109" t="str" cm="1">
        <f t="array" ref="D14">IFERROR(INDEX('DONNÉES BRUTES'!C$3:C$42,MATCH(_xlfn.AGGREGATE(14,6,'DONNÉES BRUTES'!AA$3:AA$42+ROW('DONNÉES BRUTES'!AA$3:AA$42)/1000,11),'DONNÉES BRUTES'!AA$3:AA$42+ROW('DONNÉES BRUTES'!AA$3:AA$42)/1000,0)),"—")</f>
        <v>Technology</v>
      </c>
      <c r="E14" s="110" t="str" cm="1">
        <f t="array" ref="E14">IFERROR(INDEX('DONNÉES BRUTES'!AA$3:AA$42,MATCH(_xlfn.AGGREGATE(14,6,'DONNÉES BRUTES'!AA$3:AA$42+ROW('DONNÉES BRUTES'!AA$3:AA$42)/1000,11),'DONNÉES BRUTES'!AA$3:AA$42+ROW('DONNÉES BRUTES'!AA$3:AA$42)/1000,0))&amp;"/100","—")</f>
        <v>74/100</v>
      </c>
      <c r="F14" s="108" t="str" cm="1">
        <f t="array" ref="F14">IFERROR(INDEX('DONNÉES BRUTES'!W$3:W$42,MATCH(_xlfn.AGGREGATE(14,6,'DONNÉES BRUTES'!AA$3:AA$42+ROW('DONNÉES BRUTES'!AA$3:AA$42)/1000,11),'DONNÉES BRUTES'!AA$3:AA$42+ROW('DONNÉES BRUTES'!AA$3:AA$42)/1000,0)),"—")</f>
        <v>nan%</v>
      </c>
      <c r="G14" s="108" t="str" cm="1">
        <f t="array" ref="G14">IFERROR(INDEX('DONNÉES BRUTES'!D$3:D$42,MATCH(_xlfn.AGGREGATE(14,6,'DONNÉES BRUTES'!AA$3:AA$42+ROW('DONNÉES BRUTES'!AA$3:AA$42)/1000,11),'DONNÉES BRUTES'!AA$3:AA$42+ROW('DONNÉES BRUTES'!AA$3:AA$42)/1000,0)),"—")</f>
        <v>—</v>
      </c>
      <c r="H14" s="108" t="str" cm="1">
        <f t="array" ref="H14">IFERROR(INDEX('DONNÉES BRUTES'!E$3:E$42,MATCH(_xlfn.AGGREGATE(14,6,'DONNÉES BRUTES'!AA$3:AA$42+ROW('DONNÉES BRUTES'!AA$3:AA$42)/1000,11),'DONNÉES BRUTES'!AA$3:AA$42+ROW('DONNÉES BRUTES'!AA$3:AA$42)/1000,0)),"—")</f>
        <v>—</v>
      </c>
      <c r="I14" s="108" cm="1">
        <f t="array" ref="I14">IFERROR(INDEX('DONNÉES BRUTES'!AB$3:AB$42,MATCH(_xlfn.AGGREGATE(14,6,'DONNÉES BRUTES'!AA$3:AA$42+ROW('DONNÉES BRUTES'!AA$3:AA$42)/1000,11),'DONNÉES BRUTES'!AA$3:AA$42+ROW('DONNÉES BRUTES'!AA$3:AA$42)/1000,0)),"—")</f>
        <v>72</v>
      </c>
      <c r="J14" s="108" t="str" cm="1">
        <f t="array" ref="J14">IFERROR(INDEX('DONNÉES BRUTES'!AC$3:AC$42,MATCH(_xlfn.AGGREGATE(14,6,'DONNÉES BRUTES'!AA$3:AA$42+ROW('DONNÉES BRUTES'!AA$3:AA$42)/1000,11),'DONNÉES BRUTES'!AA$3:AA$42+ROW('DONNÉES BRUTES'!AA$3:AA$42)/1000,0)),"—")</f>
        <v>2026-04-23</v>
      </c>
      <c r="K14" s="108" t="str" cm="1">
        <f t="array" ref="K14">IFERROR(INDEX('DONNÉES BRUTES'!AD$3:AD$42,MATCH(_xlfn.AGGREGATE(14,6,'DONNÉES BRUTES'!AA$3:AA$42+ROW('DONNÉES BRUTES'!AA$3:AA$42)/1000,11),'DONNÉES BRUTES'!AA$3:AA$42+ROW('DONNÉES BRUTES'!AA$3:AA$42)/1000,0)),"—")</f>
        <v>Neutre</v>
      </c>
    </row>
    <row r="15" spans="1:18" ht="15.95" customHeight="1" thickBot="1" x14ac:dyDescent="0.3">
      <c r="A15" s="126">
        <v>12</v>
      </c>
      <c r="B15" s="122" t="str" cm="1">
        <f t="array" ref="B15">IFERROR(INDEX('DONNÉES BRUTES'!A$3:A$42,MATCH(_xlfn.AGGREGATE(14,6,'DONNÉES BRUTES'!AA$3:AA$42+ROW('DONNÉES BRUTES'!AA$3:AA$42)/1000,12),'DONNÉES BRUTES'!AA$3:AA$42+ROW('DONNÉES BRUTES'!AA$3:AA$42)/1000,0)),"—")</f>
        <v>ENGI.PA</v>
      </c>
      <c r="C15" s="113" t="str" cm="1">
        <f t="array" ref="C15">IFERROR(INDEX('DONNÉES BRUTES'!B$3:B$42,MATCH(_xlfn.AGGREGATE(14,6,'DONNÉES BRUTES'!AA$3:AA$42+ROW('DONNÉES BRUTES'!AA$3:AA$42)/1000,12),'DONNÉES BRUTES'!AA$3:AA$42+ROW('DONNÉES BRUTES'!AA$3:AA$42)/1000,0)),"—")</f>
        <v>Engie SA</v>
      </c>
      <c r="D15" s="113" t="str" cm="1">
        <f t="array" ref="D15">IFERROR(INDEX('DONNÉES BRUTES'!C$3:C$42,MATCH(_xlfn.AGGREGATE(14,6,'DONNÉES BRUTES'!AA$3:AA$42+ROW('DONNÉES BRUTES'!AA$3:AA$42)/1000,12),'DONNÉES BRUTES'!AA$3:AA$42+ROW('DONNÉES BRUTES'!AA$3:AA$42)/1000,0)),"—")</f>
        <v>Utilities</v>
      </c>
      <c r="E15" s="114" t="str" cm="1">
        <f t="array" ref="E15">IFERROR(INDEX('DONNÉES BRUTES'!AA$3:AA$42,MATCH(_xlfn.AGGREGATE(14,6,'DONNÉES BRUTES'!AA$3:AA$42+ROW('DONNÉES BRUTES'!AA$3:AA$42)/1000,12),'DONNÉES BRUTES'!AA$3:AA$42+ROW('DONNÉES BRUTES'!AA$3:AA$42)/1000,0))&amp;"/100","—")</f>
        <v>72/100</v>
      </c>
      <c r="F15" s="112" t="str" cm="1">
        <f t="array" ref="F15">IFERROR(INDEX('DONNÉES BRUTES'!W$3:W$42,MATCH(_xlfn.AGGREGATE(14,6,'DONNÉES BRUTES'!AA$3:AA$42+ROW('DONNÉES BRUTES'!AA$3:AA$42)/1000,12),'DONNÉES BRUTES'!AA$3:AA$42+ROW('DONNÉES BRUTES'!AA$3:AA$42)/1000,0)),"—")</f>
        <v>nan%</v>
      </c>
      <c r="G15" s="112" t="str" cm="1">
        <f t="array" ref="G15">IFERROR(INDEX('DONNÉES BRUTES'!D$3:D$42,MATCH(_xlfn.AGGREGATE(14,6,'DONNÉES BRUTES'!AA$3:AA$42+ROW('DONNÉES BRUTES'!AA$3:AA$42)/1000,12),'DONNÉES BRUTES'!AA$3:AA$42+ROW('DONNÉES BRUTES'!AA$3:AA$42)/1000,0)),"—")</f>
        <v>—</v>
      </c>
      <c r="H15" s="112" t="str" cm="1">
        <f t="array" ref="H15">IFERROR(INDEX('DONNÉES BRUTES'!E$3:E$42,MATCH(_xlfn.AGGREGATE(14,6,'DONNÉES BRUTES'!AA$3:AA$42+ROW('DONNÉES BRUTES'!AA$3:AA$42)/1000,12),'DONNÉES BRUTES'!AA$3:AA$42+ROW('DONNÉES BRUTES'!AA$3:AA$42)/1000,0)),"—")</f>
        <v>—</v>
      </c>
      <c r="I15" s="112" cm="1">
        <f t="array" ref="I15">IFERROR(INDEX('DONNÉES BRUTES'!AB$3:AB$42,MATCH(_xlfn.AGGREGATE(14,6,'DONNÉES BRUTES'!AA$3:AA$42+ROW('DONNÉES BRUTES'!AA$3:AA$42)/1000,12),'DONNÉES BRUTES'!AA$3:AA$42+ROW('DONNÉES BRUTES'!AA$3:AA$42)/1000,0)),"—")</f>
        <v>46</v>
      </c>
      <c r="J15" s="112" t="str" cm="1">
        <f t="array" ref="J15">IFERROR(INDEX('DONNÉES BRUTES'!AC$3:AC$42,MATCH(_xlfn.AGGREGATE(14,6,'DONNÉES BRUTES'!AA$3:AA$42+ROW('DONNÉES BRUTES'!AA$3:AA$42)/1000,12),'DONNÉES BRUTES'!AA$3:AA$42+ROW('DONNÉES BRUTES'!AA$3:AA$42)/1000,0)),"—")</f>
        <v>2026-05-07</v>
      </c>
      <c r="K15" s="112" t="str" cm="1">
        <f t="array" ref="K15">IFERROR(INDEX('DONNÉES BRUTES'!AD$3:AD$42,MATCH(_xlfn.AGGREGATE(14,6,'DONNÉES BRUTES'!AA$3:AA$42+ROW('DONNÉES BRUTES'!AA$3:AA$42)/1000,12),'DONNÉES BRUTES'!AA$3:AA$42+ROW('DONNÉES BRUTES'!AA$3:AA$42)/1000,0)),"—")</f>
        <v>Sous-pondérer</v>
      </c>
      <c r="R15" s="235"/>
    </row>
    <row r="16" spans="1:18" ht="15.95" customHeight="1" thickBot="1" x14ac:dyDescent="0.3">
      <c r="A16" s="125">
        <v>13</v>
      </c>
      <c r="B16" s="121" t="str" cm="1">
        <f t="array" ref="B16">IFERROR(INDEX('DONNÉES BRUTES'!A$3:A$42,MATCH(_xlfn.AGGREGATE(14,6,'DONNÉES BRUTES'!AA$3:AA$42+ROW('DONNÉES BRUTES'!AA$3:AA$42)/1000,13),'DONNÉES BRUTES'!AA$3:AA$42+ROW('DONNÉES BRUTES'!AA$3:AA$42)/1000,0)),"—")</f>
        <v>EL.PA</v>
      </c>
      <c r="C16" s="109" t="str" cm="1">
        <f t="array" ref="C16">IFERROR(INDEX('DONNÉES BRUTES'!B$3:B$42,MATCH(_xlfn.AGGREGATE(14,6,'DONNÉES BRUTES'!AA$3:AA$42+ROW('DONNÉES BRUTES'!AA$3:AA$42)/1000,13),'DONNÉES BRUTES'!AA$3:AA$42+ROW('DONNÉES BRUTES'!AA$3:AA$42)/1000,0)),"—")</f>
        <v>EssilorLuxottica Société anonyme</v>
      </c>
      <c r="D16" s="109" t="str" cm="1">
        <f t="array" ref="D16">IFERROR(INDEX('DONNÉES BRUTES'!C$3:C$42,MATCH(_xlfn.AGGREGATE(14,6,'DONNÉES BRUTES'!AA$3:AA$42+ROW('DONNÉES BRUTES'!AA$3:AA$42)/1000,13),'DONNÉES BRUTES'!AA$3:AA$42+ROW('DONNÉES BRUTES'!AA$3:AA$42)/1000,0)),"—")</f>
        <v>Healthcare</v>
      </c>
      <c r="E16" s="110" t="str" cm="1">
        <f t="array" ref="E16">IFERROR(INDEX('DONNÉES BRUTES'!AA$3:AA$42,MATCH(_xlfn.AGGREGATE(14,6,'DONNÉES BRUTES'!AA$3:AA$42+ROW('DONNÉES BRUTES'!AA$3:AA$42)/1000,13),'DONNÉES BRUTES'!AA$3:AA$42+ROW('DONNÉES BRUTES'!AA$3:AA$42)/1000,0))&amp;"/100","—")</f>
        <v>69/100</v>
      </c>
      <c r="F16" s="108" t="str" cm="1">
        <f t="array" ref="F16">IFERROR(INDEX('DONNÉES BRUTES'!W$3:W$42,MATCH(_xlfn.AGGREGATE(14,6,'DONNÉES BRUTES'!AA$3:AA$42+ROW('DONNÉES BRUTES'!AA$3:AA$42)/1000,13),'DONNÉES BRUTES'!AA$3:AA$42+ROW('DONNÉES BRUTES'!AA$3:AA$42)/1000,0)),"—")</f>
        <v>nan%</v>
      </c>
      <c r="G16" s="108" t="str" cm="1">
        <f t="array" ref="G16">IFERROR(INDEX('DONNÉES BRUTES'!D$3:D$42,MATCH(_xlfn.AGGREGATE(14,6,'DONNÉES BRUTES'!AA$3:AA$42+ROW('DONNÉES BRUTES'!AA$3:AA$42)/1000,13),'DONNÉES BRUTES'!AA$3:AA$42+ROW('DONNÉES BRUTES'!AA$3:AA$42)/1000,0)),"—")</f>
        <v>—</v>
      </c>
      <c r="H16" s="108" t="str" cm="1">
        <f t="array" ref="H16">IFERROR(INDEX('DONNÉES BRUTES'!E$3:E$42,MATCH(_xlfn.AGGREGATE(14,6,'DONNÉES BRUTES'!AA$3:AA$42+ROW('DONNÉES BRUTES'!AA$3:AA$42)/1000,13),'DONNÉES BRUTES'!AA$3:AA$42+ROW('DONNÉES BRUTES'!AA$3:AA$42)/1000,0)),"—")</f>
        <v>—</v>
      </c>
      <c r="I16" s="108" cm="1">
        <f t="array" ref="I16">IFERROR(INDEX('DONNÉES BRUTES'!AB$3:AB$42,MATCH(_xlfn.AGGREGATE(14,6,'DONNÉES BRUTES'!AA$3:AA$42+ROW('DONNÉES BRUTES'!AA$3:AA$42)/1000,13),'DONNÉES BRUTES'!AA$3:AA$42+ROW('DONNÉES BRUTES'!AA$3:AA$42)/1000,0)),"—")</f>
        <v>64</v>
      </c>
      <c r="J16" s="108" t="str" cm="1">
        <f t="array" ref="J16">IFERROR(INDEX('DONNÉES BRUTES'!AC$3:AC$42,MATCH(_xlfn.AGGREGATE(14,6,'DONNÉES BRUTES'!AA$3:AA$42+ROW('DONNÉES BRUTES'!AA$3:AA$42)/1000,13),'DONNÉES BRUTES'!AA$3:AA$42+ROW('DONNÉES BRUTES'!AA$3:AA$42)/1000,0)),"—")</f>
        <v>—</v>
      </c>
      <c r="K16" s="108" t="str" cm="1">
        <f t="array" ref="K16">IFERROR(INDEX('DONNÉES BRUTES'!AD$3:AD$42,MATCH(_xlfn.AGGREGATE(14,6,'DONNÉES BRUTES'!AA$3:AA$42+ROW('DONNÉES BRUTES'!AA$3:AA$42)/1000,13),'DONNÉES BRUTES'!AA$3:AA$42+ROW('DONNÉES BRUTES'!AA$3:AA$42)/1000,0)),"—")</f>
        <v>Neutre</v>
      </c>
    </row>
    <row r="17" spans="1:11" ht="15.95" customHeight="1" thickBot="1" x14ac:dyDescent="0.3">
      <c r="A17" s="126">
        <v>14</v>
      </c>
      <c r="B17" s="122" t="str" cm="1">
        <f t="array" ref="B17">IFERROR(INDEX('DONNÉES BRUTES'!A$3:A$42,MATCH(_xlfn.AGGREGATE(14,6,'DONNÉES BRUTES'!AA$3:AA$42+ROW('DONNÉES BRUTES'!AA$3:AA$42)/1000,14),'DONNÉES BRUTES'!AA$3:AA$42+ROW('DONNÉES BRUTES'!AA$3:AA$42)/1000,0)),"—")</f>
        <v>ERF.PA</v>
      </c>
      <c r="C17" s="113" t="str" cm="1">
        <f t="array" ref="C17">IFERROR(INDEX('DONNÉES BRUTES'!B$3:B$42,MATCH(_xlfn.AGGREGATE(14,6,'DONNÉES BRUTES'!AA$3:AA$42+ROW('DONNÉES BRUTES'!AA$3:AA$42)/1000,14),'DONNÉES BRUTES'!AA$3:AA$42+ROW('DONNÉES BRUTES'!AA$3:AA$42)/1000,0)),"—")</f>
        <v>Eurofins Scientific SE</v>
      </c>
      <c r="D17" s="113" t="str" cm="1">
        <f t="array" ref="D17">IFERROR(INDEX('DONNÉES BRUTES'!C$3:C$42,MATCH(_xlfn.AGGREGATE(14,6,'DONNÉES BRUTES'!AA$3:AA$42+ROW('DONNÉES BRUTES'!AA$3:AA$42)/1000,14),'DONNÉES BRUTES'!AA$3:AA$42+ROW('DONNÉES BRUTES'!AA$3:AA$42)/1000,0)),"—")</f>
        <v>Healthcare</v>
      </c>
      <c r="E17" s="114" t="str" cm="1">
        <f t="array" ref="E17">IFERROR(INDEX('DONNÉES BRUTES'!AA$3:AA$42,MATCH(_xlfn.AGGREGATE(14,6,'DONNÉES BRUTES'!AA$3:AA$42+ROW('DONNÉES BRUTES'!AA$3:AA$42)/1000,14),'DONNÉES BRUTES'!AA$3:AA$42+ROW('DONNÉES BRUTES'!AA$3:AA$42)/1000,0))&amp;"/100","—")</f>
        <v>67/100</v>
      </c>
      <c r="F17" s="112" t="str" cm="1">
        <f t="array" ref="F17">IFERROR(INDEX('DONNÉES BRUTES'!W$3:W$42,MATCH(_xlfn.AGGREGATE(14,6,'DONNÉES BRUTES'!AA$3:AA$42+ROW('DONNÉES BRUTES'!AA$3:AA$42)/1000,14),'DONNÉES BRUTES'!AA$3:AA$42+ROW('DONNÉES BRUTES'!AA$3:AA$42)/1000,0)),"—")</f>
        <v>nan%</v>
      </c>
      <c r="G17" s="112" t="str" cm="1">
        <f t="array" ref="G17">IFERROR(INDEX('DONNÉES BRUTES'!D$3:D$42,MATCH(_xlfn.AGGREGATE(14,6,'DONNÉES BRUTES'!AA$3:AA$42+ROW('DONNÉES BRUTES'!AA$3:AA$42)/1000,14),'DONNÉES BRUTES'!AA$3:AA$42+ROW('DONNÉES BRUTES'!AA$3:AA$42)/1000,0)),"—")</f>
        <v>—</v>
      </c>
      <c r="H17" s="112" t="str" cm="1">
        <f t="array" ref="H17">IFERROR(INDEX('DONNÉES BRUTES'!E$3:E$42,MATCH(_xlfn.AGGREGATE(14,6,'DONNÉES BRUTES'!AA$3:AA$42+ROW('DONNÉES BRUTES'!AA$3:AA$42)/1000,14),'DONNÉES BRUTES'!AA$3:AA$42+ROW('DONNÉES BRUTES'!AA$3:AA$42)/1000,0)),"—")</f>
        <v>—</v>
      </c>
      <c r="I17" s="112" cm="1">
        <f t="array" ref="I17">IFERROR(INDEX('DONNÉES BRUTES'!AB$3:AB$42,MATCH(_xlfn.AGGREGATE(14,6,'DONNÉES BRUTES'!AA$3:AA$42+ROW('DONNÉES BRUTES'!AA$3:AA$42)/1000,14),'DONNÉES BRUTES'!AA$3:AA$42+ROW('DONNÉES BRUTES'!AA$3:AA$42)/1000,0)),"—")</f>
        <v>72</v>
      </c>
      <c r="J17" s="112" t="str" cm="1">
        <f t="array" ref="J17">IFERROR(INDEX('DONNÉES BRUTES'!AC$3:AC$42,MATCH(_xlfn.AGGREGATE(14,6,'DONNÉES BRUTES'!AA$3:AA$42+ROW('DONNÉES BRUTES'!AA$3:AA$42)/1000,14),'DONNÉES BRUTES'!AA$3:AA$42+ROW('DONNÉES BRUTES'!AA$3:AA$42)/1000,0)),"—")</f>
        <v>—</v>
      </c>
      <c r="K17" s="112" t="str" cm="1">
        <f t="array" ref="K17">IFERROR(INDEX('DONNÉES BRUTES'!AD$3:AD$42,MATCH(_xlfn.AGGREGATE(14,6,'DONNÉES BRUTES'!AA$3:AA$42+ROW('DONNÉES BRUTES'!AA$3:AA$42)/1000,14),'DONNÉES BRUTES'!AA$3:AA$42+ROW('DONNÉES BRUTES'!AA$3:AA$42)/1000,0)),"—")</f>
        <v>Neutre</v>
      </c>
    </row>
    <row r="18" spans="1:11" ht="15.95" customHeight="1" x14ac:dyDescent="0.25">
      <c r="A18" s="127">
        <v>15</v>
      </c>
      <c r="B18" s="123" t="str" cm="1">
        <f t="array" ref="B18">IFERROR(INDEX('DONNÉES BRUTES'!A$3:A$42,MATCH(_xlfn.AGGREGATE(14,6,'DONNÉES BRUTES'!AA$3:AA$42+ROW('DONNÉES BRUTES'!AA$3:AA$42)/1000,15),'DONNÉES BRUTES'!AA$3:AA$42+ROW('DONNÉES BRUTES'!AA$3:AA$42)/1000,0)),"—")</f>
        <v>KER.PA</v>
      </c>
      <c r="C18" s="117" t="str" cm="1">
        <f t="array" ref="C18">IFERROR(INDEX('DONNÉES BRUTES'!B$3:B$42,MATCH(_xlfn.AGGREGATE(14,6,'DONNÉES BRUTES'!AA$3:AA$42+ROW('DONNÉES BRUTES'!AA$3:AA$42)/1000,15),'DONNÉES BRUTES'!AA$3:AA$42+ROW('DONNÉES BRUTES'!AA$3:AA$42)/1000,0)),"—")</f>
        <v>Kering SA</v>
      </c>
      <c r="D18" s="117" t="str" cm="1">
        <f t="array" ref="D18">IFERROR(INDEX('DONNÉES BRUTES'!C$3:C$42,MATCH(_xlfn.AGGREGATE(14,6,'DONNÉES BRUTES'!AA$3:AA$42+ROW('DONNÉES BRUTES'!AA$3:AA$42)/1000,15),'DONNÉES BRUTES'!AA$3:AA$42+ROW('DONNÉES BRUTES'!AA$3:AA$42)/1000,0)),"—")</f>
        <v>Consumer Disc.</v>
      </c>
      <c r="E18" s="118" t="str" cm="1">
        <f t="array" ref="E18">IFERROR(INDEX('DONNÉES BRUTES'!AA$3:AA$42,MATCH(_xlfn.AGGREGATE(14,6,'DONNÉES BRUTES'!AA$3:AA$42+ROW('DONNÉES BRUTES'!AA$3:AA$42)/1000,15),'DONNÉES BRUTES'!AA$3:AA$42+ROW('DONNÉES BRUTES'!AA$3:AA$42)/1000,0))&amp;"/100","—")</f>
        <v>64/100</v>
      </c>
      <c r="F18" s="116" t="str" cm="1">
        <f t="array" ref="F18">IFERROR(INDEX('DONNÉES BRUTES'!W$3:W$42,MATCH(_xlfn.AGGREGATE(14,6,'DONNÉES BRUTES'!AA$3:AA$42+ROW('DONNÉES BRUTES'!AA$3:AA$42)/1000,15),'DONNÉES BRUTES'!AA$3:AA$42+ROW('DONNÉES BRUTES'!AA$3:AA$42)/1000,0)),"—")</f>
        <v>nan%</v>
      </c>
      <c r="G18" s="116" t="str" cm="1">
        <f t="array" ref="G18">IFERROR(INDEX('DONNÉES BRUTES'!D$3:D$42,MATCH(_xlfn.AGGREGATE(14,6,'DONNÉES BRUTES'!AA$3:AA$42+ROW('DONNÉES BRUTES'!AA$3:AA$42)/1000,15),'DONNÉES BRUTES'!AA$3:AA$42+ROW('DONNÉES BRUTES'!AA$3:AA$42)/1000,0)),"—")</f>
        <v>—</v>
      </c>
      <c r="H18" s="116" t="str" cm="1">
        <f t="array" ref="H18">IFERROR(INDEX('DONNÉES BRUTES'!E$3:E$42,MATCH(_xlfn.AGGREGATE(14,6,'DONNÉES BRUTES'!AA$3:AA$42+ROW('DONNÉES BRUTES'!AA$3:AA$42)/1000,15),'DONNÉES BRUTES'!AA$3:AA$42+ROW('DONNÉES BRUTES'!AA$3:AA$42)/1000,0)),"—")</f>
        <v>—</v>
      </c>
      <c r="I18" s="116" cm="1">
        <f t="array" ref="I18">IFERROR(INDEX('DONNÉES BRUTES'!AB$3:AB$42,MATCH(_xlfn.AGGREGATE(14,6,'DONNÉES BRUTES'!AA$3:AA$42+ROW('DONNÉES BRUTES'!AA$3:AA$42)/1000,15),'DONNÉES BRUTES'!AA$3:AA$42+ROW('DONNÉES BRUTES'!AA$3:AA$42)/1000,0)),"—")</f>
        <v>55</v>
      </c>
      <c r="J18" s="116" t="str" cm="1">
        <f t="array" ref="J18">IFERROR(INDEX('DONNÉES BRUTES'!AC$3:AC$42,MATCH(_xlfn.AGGREGATE(14,6,'DONNÉES BRUTES'!AA$3:AA$42+ROW('DONNÉES BRUTES'!AA$3:AA$42)/1000,15),'DONNÉES BRUTES'!AA$3:AA$42+ROW('DONNÉES BRUTES'!AA$3:AA$42)/1000,0)),"—")</f>
        <v>—</v>
      </c>
      <c r="K18" s="116" t="str" cm="1">
        <f t="array" ref="K18">IFERROR(INDEX('DONNÉES BRUTES'!AD$3:AD$42,MATCH(_xlfn.AGGREGATE(14,6,'DONNÉES BRUTES'!AA$3:AA$42+ROW('DONNÉES BRUTES'!AA$3:AA$42)/1000,15),'DONNÉES BRUTES'!AA$3:AA$42+ROW('DONNÉES BRUTES'!AA$3:AA$42)/1000,0)),"—")</f>
        <v>Neutre</v>
      </c>
    </row>
    <row r="19" spans="1:11" ht="15.95" customHeight="1" x14ac:dyDescent="0.25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</row>
    <row r="20" spans="1:11" ht="6" customHeight="1" x14ac:dyDescent="0.25">
      <c r="A20" s="131"/>
      <c r="B20" s="130"/>
      <c r="C20" s="130"/>
      <c r="D20" s="130"/>
      <c r="E20" s="130"/>
      <c r="F20" s="130"/>
      <c r="G20" s="130"/>
      <c r="H20" s="130"/>
      <c r="I20" s="130"/>
      <c r="J20" s="130"/>
      <c r="K20" s="132"/>
    </row>
    <row r="21" spans="1:11" ht="15.95" customHeight="1" x14ac:dyDescent="0.25">
      <c r="A21" s="143"/>
      <c r="B21" s="143"/>
      <c r="C21" s="144"/>
      <c r="D21" s="144"/>
      <c r="E21" s="144"/>
      <c r="F21" s="144"/>
      <c r="G21" s="144"/>
      <c r="H21" s="144"/>
      <c r="I21" s="144"/>
      <c r="J21" s="144"/>
      <c r="K21" s="144"/>
    </row>
    <row r="22" spans="1:11" ht="15.95" customHeight="1" x14ac:dyDescent="0.25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</row>
    <row r="23" spans="1:11" ht="13.9" customHeight="1" x14ac:dyDescent="0.25"/>
    <row r="24" spans="1:11" ht="13.9" customHeight="1" x14ac:dyDescent="0.25"/>
    <row r="25" spans="1:11" ht="13.9" customHeight="1" x14ac:dyDescent="0.25"/>
    <row r="26" spans="1:11" ht="13.9" customHeight="1" x14ac:dyDescent="0.25"/>
    <row r="27" spans="1:11" ht="13.9" customHeight="1" x14ac:dyDescent="0.25"/>
    <row r="28" spans="1:11" ht="13.9" customHeight="1" x14ac:dyDescent="0.25"/>
    <row r="29" spans="1:11" ht="13.9" customHeight="1" x14ac:dyDescent="0.25"/>
    <row r="30" spans="1:11" ht="13.9" customHeight="1" x14ac:dyDescent="0.25"/>
    <row r="31" spans="1:11" ht="13.9" customHeight="1" x14ac:dyDescent="0.25"/>
    <row r="32" spans="1:11" ht="13.9" customHeight="1" x14ac:dyDescent="0.25"/>
    <row r="33" ht="13.9" customHeight="1" x14ac:dyDescent="0.25"/>
    <row r="34" ht="13.9" customHeight="1" x14ac:dyDescent="0.25"/>
    <row r="35" ht="13.9" customHeight="1" x14ac:dyDescent="0.25"/>
    <row r="36" ht="13.9" customHeight="1" x14ac:dyDescent="0.25"/>
    <row r="37" ht="13.9" customHeight="1" x14ac:dyDescent="0.25"/>
    <row r="38" ht="13.9" customHeight="1" x14ac:dyDescent="0.25"/>
    <row r="39" ht="13.9" customHeight="1" x14ac:dyDescent="0.25"/>
    <row r="40" ht="13.9" customHeight="1" x14ac:dyDescent="0.25"/>
    <row r="41" ht="13.9" customHeight="1" x14ac:dyDescent="0.25"/>
    <row r="42" ht="13.9" customHeight="1" x14ac:dyDescent="0.25"/>
    <row r="44" ht="16.149999999999999" customHeight="1" x14ac:dyDescent="0.25"/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"/>
  <sheetViews>
    <sheetView showGridLines="0" zoomScale="90" workbookViewId="0">
      <selection activeCell="P20" sqref="P20"/>
    </sheetView>
  </sheetViews>
  <sheetFormatPr baseColWidth="10" defaultColWidth="8.85546875" defaultRowHeight="15" x14ac:dyDescent="0.25"/>
  <cols>
    <col min="1" max="1" width="1.140625" customWidth="1"/>
    <col min="2" max="2" width="17.140625" customWidth="1"/>
    <col min="3" max="3" width="7.28515625" customWidth="1"/>
    <col min="4" max="4" width="9.5703125" customWidth="1"/>
    <col min="5" max="5" width="10.42578125" customWidth="1"/>
    <col min="6" max="6" width="24.7109375" customWidth="1"/>
    <col min="7" max="9" width="12.42578125" customWidth="1"/>
    <col min="10" max="10" width="13.7109375" customWidth="1"/>
    <col min="11" max="12" width="1.140625" style="235" customWidth="1"/>
    <col min="13" max="13" width="10.42578125" style="235" customWidth="1"/>
    <col min="14" max="16" width="1.140625" customWidth="1"/>
  </cols>
  <sheetData>
    <row r="1" spans="1:13" ht="32.1" customHeight="1" thickBot="1" x14ac:dyDescent="0.3">
      <c r="A1" s="223"/>
      <c r="B1" s="223" t="s">
        <v>599</v>
      </c>
      <c r="C1" s="223"/>
      <c r="D1" s="223"/>
      <c r="E1" s="223"/>
      <c r="F1" s="223"/>
      <c r="G1" s="223"/>
      <c r="H1" s="225" t="s">
        <v>577</v>
      </c>
      <c r="I1" s="225"/>
      <c r="J1" s="225"/>
      <c r="L1" s="235" t="s">
        <v>42</v>
      </c>
      <c r="M1" s="235" t="s">
        <v>5</v>
      </c>
    </row>
    <row r="2" spans="1:13" x14ac:dyDescent="0.25">
      <c r="A2" s="22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L2" s="235" t="s">
        <v>67</v>
      </c>
      <c r="M2" s="235">
        <v>72</v>
      </c>
    </row>
    <row r="3" spans="1:13" ht="15.95" customHeight="1" x14ac:dyDescent="0.25">
      <c r="A3" s="224"/>
      <c r="B3" s="224" t="s">
        <v>600</v>
      </c>
      <c r="C3" s="224"/>
      <c r="D3" s="224"/>
      <c r="E3" s="224"/>
      <c r="F3" s="224"/>
      <c r="G3" s="224"/>
      <c r="H3" s="224"/>
      <c r="I3" s="224"/>
      <c r="J3" s="224"/>
      <c r="L3" s="235" t="s">
        <v>74</v>
      </c>
      <c r="M3" s="235">
        <v>69</v>
      </c>
    </row>
    <row r="4" spans="1:13" ht="8.1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L4" s="235" t="s">
        <v>81</v>
      </c>
      <c r="M4" s="235">
        <v>63</v>
      </c>
    </row>
    <row r="5" spans="1:13" ht="20.100000000000001" customHeight="1" x14ac:dyDescent="0.25">
      <c r="A5" s="148"/>
      <c r="B5" s="148" t="s">
        <v>601</v>
      </c>
      <c r="C5" s="148"/>
      <c r="D5" s="148"/>
      <c r="E5" s="148"/>
      <c r="F5" s="148"/>
      <c r="G5" s="148"/>
      <c r="H5" s="148"/>
      <c r="I5" s="148"/>
      <c r="J5" s="148"/>
      <c r="L5" s="235" t="s">
        <v>71</v>
      </c>
      <c r="M5" s="235">
        <v>57</v>
      </c>
    </row>
    <row r="6" spans="1:13" ht="5.0999999999999996" customHeight="1" x14ac:dyDescent="0.25">
      <c r="A6" s="60"/>
      <c r="B6" s="60"/>
      <c r="C6" s="60"/>
      <c r="D6" s="60"/>
      <c r="E6" s="60"/>
      <c r="F6" s="60"/>
      <c r="G6" s="60"/>
      <c r="H6" s="60"/>
      <c r="I6" s="60"/>
      <c r="J6" s="60"/>
      <c r="L6" s="235" t="s">
        <v>145</v>
      </c>
      <c r="M6" s="235">
        <v>55</v>
      </c>
    </row>
    <row r="7" spans="1:13" ht="20.100000000000001" customHeight="1" x14ac:dyDescent="0.25">
      <c r="A7" s="152"/>
      <c r="B7" s="151" t="s">
        <v>42</v>
      </c>
      <c r="C7" s="152" t="s">
        <v>580</v>
      </c>
      <c r="D7" s="152" t="s">
        <v>5</v>
      </c>
      <c r="E7" s="151" t="s">
        <v>602</v>
      </c>
      <c r="F7" s="151" t="s">
        <v>235</v>
      </c>
      <c r="G7" s="152" t="s">
        <v>573</v>
      </c>
      <c r="H7" s="152" t="s">
        <v>596</v>
      </c>
      <c r="I7" s="152" t="s">
        <v>89</v>
      </c>
      <c r="J7" s="152" t="s">
        <v>50</v>
      </c>
      <c r="L7" s="235" t="s">
        <v>51</v>
      </c>
      <c r="M7" s="235">
        <v>54</v>
      </c>
    </row>
    <row r="8" spans="1:13" ht="20.100000000000001" customHeight="1" x14ac:dyDescent="0.25">
      <c r="A8" s="154"/>
      <c r="B8" s="153" t="s">
        <v>51</v>
      </c>
      <c r="C8" s="154">
        <v>5</v>
      </c>
      <c r="D8" s="155">
        <v>54</v>
      </c>
      <c r="E8" s="156" t="s">
        <v>589</v>
      </c>
      <c r="F8" s="157" t="s">
        <v>584</v>
      </c>
      <c r="G8" s="158">
        <v>0.25</v>
      </c>
      <c r="H8" s="159">
        <v>-2.1000000000000001E-2</v>
      </c>
      <c r="I8" s="154">
        <v>1.68</v>
      </c>
      <c r="J8" s="155" t="s">
        <v>103</v>
      </c>
      <c r="L8" s="235" t="s">
        <v>55</v>
      </c>
      <c r="M8" s="235">
        <v>53</v>
      </c>
    </row>
    <row r="9" spans="1:13" ht="20.100000000000001" customHeight="1" x14ac:dyDescent="0.25">
      <c r="A9" s="162"/>
      <c r="B9" s="161" t="s">
        <v>55</v>
      </c>
      <c r="C9" s="162">
        <v>2</v>
      </c>
      <c r="D9" s="163">
        <v>53</v>
      </c>
      <c r="E9" s="164" t="s">
        <v>589</v>
      </c>
      <c r="F9" s="165" t="s">
        <v>571</v>
      </c>
      <c r="G9" s="166">
        <v>0.19800000000000001</v>
      </c>
      <c r="H9" s="167">
        <v>-1.0999999999999999E-2</v>
      </c>
      <c r="I9" s="162">
        <v>3.58</v>
      </c>
      <c r="J9" s="163" t="s">
        <v>103</v>
      </c>
      <c r="L9" s="235" t="s">
        <v>100</v>
      </c>
      <c r="M9" s="235">
        <v>38</v>
      </c>
    </row>
    <row r="10" spans="1:13" ht="20.100000000000001" customHeight="1" x14ac:dyDescent="0.25">
      <c r="A10" s="154"/>
      <c r="B10" s="153" t="s">
        <v>60</v>
      </c>
      <c r="C10" s="154">
        <v>4</v>
      </c>
      <c r="D10" s="155">
        <v>35</v>
      </c>
      <c r="E10" s="156" t="s">
        <v>590</v>
      </c>
      <c r="F10" s="157" t="s">
        <v>569</v>
      </c>
      <c r="G10" s="158">
        <v>0.16600000000000001</v>
      </c>
      <c r="H10" s="159">
        <v>-1.4E-2</v>
      </c>
      <c r="I10" s="154">
        <v>2.44</v>
      </c>
      <c r="J10" s="155" t="s">
        <v>103</v>
      </c>
      <c r="L10" s="235" t="s">
        <v>60</v>
      </c>
      <c r="M10" s="235">
        <v>36</v>
      </c>
    </row>
    <row r="11" spans="1:13" ht="20.100000000000001" customHeight="1" x14ac:dyDescent="0.25">
      <c r="A11" s="162"/>
      <c r="B11" s="161" t="s">
        <v>67</v>
      </c>
      <c r="C11" s="162">
        <v>3</v>
      </c>
      <c r="D11" s="170">
        <v>72</v>
      </c>
      <c r="E11" s="171" t="s">
        <v>591</v>
      </c>
      <c r="F11" s="165" t="s">
        <v>572</v>
      </c>
      <c r="G11" s="166">
        <v>0.23200000000000001</v>
      </c>
      <c r="H11" s="172">
        <v>5.5E-2</v>
      </c>
      <c r="I11" s="162">
        <v>2.27</v>
      </c>
      <c r="J11" s="173" t="s">
        <v>59</v>
      </c>
      <c r="L11" s="235" t="s">
        <v>547</v>
      </c>
      <c r="M11" s="235">
        <v>18</v>
      </c>
    </row>
    <row r="12" spans="1:13" ht="20.100000000000001" customHeight="1" x14ac:dyDescent="0.25">
      <c r="A12" s="154"/>
      <c r="B12" s="153" t="s">
        <v>71</v>
      </c>
      <c r="C12" s="154">
        <v>11</v>
      </c>
      <c r="D12" s="174">
        <v>57</v>
      </c>
      <c r="E12" s="175" t="s">
        <v>592</v>
      </c>
      <c r="F12" s="157" t="s">
        <v>13</v>
      </c>
      <c r="G12" s="158">
        <v>0.16200000000000001</v>
      </c>
      <c r="H12" s="176">
        <v>4.9000000000000002E-2</v>
      </c>
      <c r="I12" s="154">
        <v>1.03</v>
      </c>
      <c r="J12" s="177" t="s">
        <v>59</v>
      </c>
      <c r="L12" s="235" t="s">
        <v>230</v>
      </c>
      <c r="M12" s="235">
        <v>46</v>
      </c>
    </row>
    <row r="13" spans="1:13" ht="20.100000000000001" customHeight="1" x14ac:dyDescent="0.25">
      <c r="A13" s="162"/>
      <c r="B13" s="161" t="s">
        <v>74</v>
      </c>
      <c r="C13" s="162">
        <v>1</v>
      </c>
      <c r="D13" s="178">
        <v>69</v>
      </c>
      <c r="E13" s="179" t="s">
        <v>591</v>
      </c>
      <c r="F13" s="165" t="s">
        <v>568</v>
      </c>
      <c r="G13" s="166">
        <v>0.89100000000000001</v>
      </c>
      <c r="H13" s="167">
        <v>-6.0999999999999999E-2</v>
      </c>
      <c r="I13" s="162">
        <v>1.22</v>
      </c>
      <c r="J13" s="173" t="s">
        <v>59</v>
      </c>
      <c r="L13" s="235" t="s">
        <v>42</v>
      </c>
      <c r="M13" s="235" t="s">
        <v>236</v>
      </c>
    </row>
    <row r="14" spans="1:13" ht="20.100000000000001" customHeight="1" x14ac:dyDescent="0.25">
      <c r="A14" s="154"/>
      <c r="B14" s="153" t="s">
        <v>81</v>
      </c>
      <c r="C14" s="154">
        <v>4</v>
      </c>
      <c r="D14" s="174">
        <v>63</v>
      </c>
      <c r="E14" s="175" t="s">
        <v>592</v>
      </c>
      <c r="F14" s="157" t="s">
        <v>570</v>
      </c>
      <c r="G14" s="158">
        <v>1.087</v>
      </c>
      <c r="H14" s="176">
        <v>4.1000000000000002E-2</v>
      </c>
      <c r="I14" s="154" t="s">
        <v>11</v>
      </c>
      <c r="J14" s="177" t="s">
        <v>59</v>
      </c>
      <c r="L14" s="235" t="s">
        <v>81</v>
      </c>
      <c r="M14" s="235">
        <v>103.4</v>
      </c>
    </row>
    <row r="15" spans="1:13" ht="20.100000000000001" customHeight="1" x14ac:dyDescent="0.25">
      <c r="A15" s="162"/>
      <c r="B15" s="161" t="s">
        <v>586</v>
      </c>
      <c r="C15" s="162">
        <v>4</v>
      </c>
      <c r="D15" s="178">
        <v>55</v>
      </c>
      <c r="E15" s="179" t="s">
        <v>592</v>
      </c>
      <c r="F15" s="165" t="s">
        <v>587</v>
      </c>
      <c r="G15" s="166">
        <v>0.20200000000000001</v>
      </c>
      <c r="H15" s="172">
        <v>2E-3</v>
      </c>
      <c r="I15" s="162">
        <v>3.35</v>
      </c>
      <c r="J15" s="173" t="s">
        <v>59</v>
      </c>
      <c r="L15" s="235" t="s">
        <v>74</v>
      </c>
      <c r="M15" s="235">
        <v>89.1</v>
      </c>
    </row>
    <row r="16" spans="1:13" ht="6" customHeight="1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L16" s="235" t="s">
        <v>51</v>
      </c>
      <c r="M16" s="235">
        <v>28.3</v>
      </c>
    </row>
    <row r="17" spans="1:13" ht="20.100000000000001" customHeight="1" x14ac:dyDescent="0.25">
      <c r="A17" s="226"/>
      <c r="B17" s="227" t="s">
        <v>603</v>
      </c>
      <c r="C17" s="226">
        <v>40</v>
      </c>
      <c r="D17" s="228">
        <v>57</v>
      </c>
      <c r="E17" s="226"/>
      <c r="F17" s="229" t="s">
        <v>604</v>
      </c>
      <c r="G17" s="230">
        <v>0.25</v>
      </c>
      <c r="H17" s="231">
        <v>1.7000000000000001E-2</v>
      </c>
      <c r="I17" s="226"/>
      <c r="J17" s="226"/>
      <c r="L17" s="235" t="s">
        <v>67</v>
      </c>
      <c r="M17" s="235">
        <v>23.2</v>
      </c>
    </row>
    <row r="18" spans="1:13" ht="15.9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L18" s="235" t="s">
        <v>55</v>
      </c>
      <c r="M18" s="235">
        <v>22.7</v>
      </c>
    </row>
    <row r="19" spans="1:13" ht="12.75" customHeight="1" x14ac:dyDescent="0.25">
      <c r="A19" s="148"/>
      <c r="B19" s="148" t="s">
        <v>605</v>
      </c>
      <c r="C19" s="148"/>
      <c r="D19" s="148"/>
      <c r="E19" s="148"/>
      <c r="F19" s="148"/>
      <c r="G19" s="295"/>
      <c r="H19" s="295"/>
      <c r="I19" s="295"/>
      <c r="J19" s="295"/>
      <c r="L19" s="235" t="s">
        <v>145</v>
      </c>
      <c r="M19" s="235">
        <v>16.100000000000001</v>
      </c>
    </row>
    <row r="20" spans="1:13" ht="9" customHeight="1" x14ac:dyDescent="0.25">
      <c r="A20" s="60"/>
      <c r="B20" s="60"/>
      <c r="C20" s="60"/>
      <c r="D20" s="60"/>
      <c r="E20" s="60"/>
      <c r="F20" s="60"/>
      <c r="G20" s="235"/>
      <c r="H20" s="235" t="s">
        <v>60</v>
      </c>
      <c r="I20" s="235">
        <v>19.600000000000001</v>
      </c>
      <c r="K20"/>
      <c r="L20"/>
      <c r="M20"/>
    </row>
    <row r="21" spans="1:13" ht="9" customHeight="1" x14ac:dyDescent="0.25">
      <c r="A21" s="152"/>
      <c r="B21" s="151" t="s">
        <v>42</v>
      </c>
      <c r="C21" s="152" t="s">
        <v>233</v>
      </c>
      <c r="D21" s="152" t="s">
        <v>234</v>
      </c>
      <c r="E21" s="151" t="s">
        <v>582</v>
      </c>
      <c r="F21" s="152" t="s">
        <v>588</v>
      </c>
      <c r="G21" s="235"/>
      <c r="H21" s="235" t="s">
        <v>71</v>
      </c>
      <c r="I21" s="235">
        <v>15.7</v>
      </c>
      <c r="K21"/>
      <c r="L21"/>
      <c r="M21"/>
    </row>
    <row r="22" spans="1:13" ht="17.100000000000001" customHeight="1" x14ac:dyDescent="0.25">
      <c r="A22" s="154"/>
      <c r="B22" s="153" t="s">
        <v>51</v>
      </c>
      <c r="C22" s="154">
        <v>5</v>
      </c>
      <c r="D22" s="155" t="s">
        <v>238</v>
      </c>
      <c r="E22" s="156" t="s">
        <v>589</v>
      </c>
      <c r="F22" s="160" t="s">
        <v>250</v>
      </c>
      <c r="G22" s="235"/>
      <c r="H22" s="235" t="s">
        <v>230</v>
      </c>
      <c r="I22" s="235">
        <v>20</v>
      </c>
      <c r="K22"/>
      <c r="L22"/>
      <c r="M22"/>
    </row>
    <row r="23" spans="1:13" ht="17.100000000000001" customHeight="1" x14ac:dyDescent="0.25">
      <c r="A23" s="162"/>
      <c r="B23" s="161" t="s">
        <v>55</v>
      </c>
      <c r="C23" s="162">
        <v>2</v>
      </c>
      <c r="D23" s="163" t="s">
        <v>221</v>
      </c>
      <c r="E23" s="164" t="s">
        <v>589</v>
      </c>
      <c r="F23" s="168" t="s">
        <v>250</v>
      </c>
      <c r="G23" s="235"/>
      <c r="H23" s="235" t="s">
        <v>100</v>
      </c>
      <c r="I23" s="235">
        <v>27.2</v>
      </c>
      <c r="K23"/>
      <c r="L23"/>
      <c r="M23"/>
    </row>
    <row r="24" spans="1:13" ht="17.100000000000001" customHeight="1" x14ac:dyDescent="0.25">
      <c r="A24" s="154"/>
      <c r="B24" s="153" t="s">
        <v>60</v>
      </c>
      <c r="C24" s="154">
        <v>4</v>
      </c>
      <c r="D24" s="155" t="s">
        <v>241</v>
      </c>
      <c r="E24" s="156" t="s">
        <v>590</v>
      </c>
      <c r="F24" s="169" t="s">
        <v>585</v>
      </c>
      <c r="G24" s="235"/>
      <c r="H24" s="235"/>
      <c r="I24" s="235"/>
      <c r="K24"/>
      <c r="L24"/>
      <c r="M24"/>
    </row>
    <row r="25" spans="1:13" ht="17.100000000000001" customHeight="1" x14ac:dyDescent="0.25">
      <c r="A25" s="162"/>
      <c r="B25" s="161" t="s">
        <v>67</v>
      </c>
      <c r="C25" s="162">
        <v>3</v>
      </c>
      <c r="D25" s="170" t="s">
        <v>61</v>
      </c>
      <c r="E25" s="171" t="s">
        <v>591</v>
      </c>
      <c r="F25" s="170" t="s">
        <v>251</v>
      </c>
      <c r="G25" s="235"/>
      <c r="H25" s="235" t="s">
        <v>42</v>
      </c>
      <c r="I25" s="235" t="s">
        <v>233</v>
      </c>
      <c r="K25"/>
      <c r="L25"/>
      <c r="M25"/>
    </row>
    <row r="26" spans="1:13" ht="17.100000000000001" customHeight="1" x14ac:dyDescent="0.25">
      <c r="A26" s="154"/>
      <c r="B26" s="153" t="s">
        <v>71</v>
      </c>
      <c r="C26" s="154">
        <v>11</v>
      </c>
      <c r="D26" s="174" t="s">
        <v>224</v>
      </c>
      <c r="E26" s="175" t="s">
        <v>592</v>
      </c>
      <c r="F26" s="160" t="s">
        <v>250</v>
      </c>
      <c r="G26" s="235"/>
      <c r="H26" s="235" t="s">
        <v>71</v>
      </c>
      <c r="I26" s="235">
        <v>11</v>
      </c>
      <c r="K26"/>
      <c r="L26"/>
      <c r="M26"/>
    </row>
    <row r="27" spans="1:13" ht="17.100000000000001" customHeight="1" x14ac:dyDescent="0.25">
      <c r="A27" s="162"/>
      <c r="B27" s="161" t="s">
        <v>74</v>
      </c>
      <c r="C27" s="162">
        <v>1</v>
      </c>
      <c r="D27" s="178" t="s">
        <v>75</v>
      </c>
      <c r="E27" s="179" t="s">
        <v>591</v>
      </c>
      <c r="F27" s="170" t="s">
        <v>251</v>
      </c>
      <c r="G27" s="235"/>
      <c r="H27" s="235" t="s">
        <v>51</v>
      </c>
      <c r="I27" s="235">
        <v>5</v>
      </c>
      <c r="K27"/>
      <c r="L27"/>
      <c r="M27"/>
    </row>
    <row r="28" spans="1:13" ht="17.100000000000001" customHeight="1" x14ac:dyDescent="0.25">
      <c r="A28" s="154"/>
      <c r="B28" s="153" t="s">
        <v>81</v>
      </c>
      <c r="C28" s="154">
        <v>4</v>
      </c>
      <c r="D28" s="174" t="s">
        <v>146</v>
      </c>
      <c r="E28" s="175" t="s">
        <v>592</v>
      </c>
      <c r="F28" s="180" t="s">
        <v>251</v>
      </c>
      <c r="G28" s="235"/>
      <c r="H28" s="235" t="s">
        <v>145</v>
      </c>
      <c r="I28" s="235">
        <v>4</v>
      </c>
      <c r="K28"/>
      <c r="L28"/>
      <c r="M28"/>
    </row>
    <row r="29" spans="1:13" ht="17.100000000000001" customHeight="1" x14ac:dyDescent="0.25">
      <c r="A29" s="162"/>
      <c r="B29" s="161" t="s">
        <v>586</v>
      </c>
      <c r="C29" s="162">
        <v>4</v>
      </c>
      <c r="D29" s="178" t="s">
        <v>56</v>
      </c>
      <c r="E29" s="179" t="s">
        <v>592</v>
      </c>
      <c r="F29" s="168" t="s">
        <v>250</v>
      </c>
      <c r="G29" s="235"/>
      <c r="H29" s="235" t="s">
        <v>60</v>
      </c>
      <c r="I29" s="235">
        <v>4</v>
      </c>
      <c r="K29"/>
      <c r="L29"/>
      <c r="M29"/>
    </row>
    <row r="30" spans="1:13" ht="18" customHeight="1" x14ac:dyDescent="0.25">
      <c r="A30" s="232"/>
      <c r="B30" s="232"/>
      <c r="C30" s="232"/>
      <c r="D30" s="232"/>
      <c r="E30" s="232"/>
      <c r="F30" s="232"/>
      <c r="G30" s="235"/>
      <c r="H30" s="235" t="s">
        <v>81</v>
      </c>
      <c r="I30" s="235">
        <v>4</v>
      </c>
      <c r="K30"/>
      <c r="L30"/>
      <c r="M30"/>
    </row>
    <row r="31" spans="1:13" ht="9.9499999999999993" customHeight="1" x14ac:dyDescent="0.25">
      <c r="L31" s="235" t="s">
        <v>67</v>
      </c>
      <c r="M31" s="235">
        <v>3</v>
      </c>
    </row>
    <row r="32" spans="1:13" ht="14.1" customHeight="1" x14ac:dyDescent="0.25">
      <c r="A32" s="181"/>
      <c r="B32" s="181" t="s">
        <v>606</v>
      </c>
      <c r="C32" s="181"/>
      <c r="D32" s="181"/>
      <c r="E32" s="181"/>
      <c r="F32" s="181"/>
      <c r="G32" s="181"/>
      <c r="H32" s="181"/>
      <c r="I32" s="181"/>
      <c r="J32" s="181"/>
      <c r="L32" s="235" t="s">
        <v>100</v>
      </c>
      <c r="M32" s="235">
        <v>3</v>
      </c>
    </row>
    <row r="33" spans="12:13" x14ac:dyDescent="0.25">
      <c r="L33" s="235" t="s">
        <v>55</v>
      </c>
      <c r="M33" s="235">
        <v>2</v>
      </c>
    </row>
    <row r="34" spans="12:13" x14ac:dyDescent="0.25">
      <c r="L34" s="235" t="s">
        <v>74</v>
      </c>
      <c r="M34" s="235">
        <v>1</v>
      </c>
    </row>
    <row r="35" spans="12:13" x14ac:dyDescent="0.25">
      <c r="L35" s="235" t="s">
        <v>547</v>
      </c>
      <c r="M35" s="235">
        <v>1</v>
      </c>
    </row>
    <row r="36" spans="12:13" x14ac:dyDescent="0.25">
      <c r="L36" s="235" t="s">
        <v>230</v>
      </c>
      <c r="M36" s="235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87F8-F152-47CF-88BC-74D64C8DC397}">
  <dimension ref="A1:R32"/>
  <sheetViews>
    <sheetView topLeftCell="C1" zoomScale="94" workbookViewId="0">
      <selection activeCell="N24" sqref="N24"/>
    </sheetView>
  </sheetViews>
  <sheetFormatPr baseColWidth="10" defaultRowHeight="15" x14ac:dyDescent="0.25"/>
  <cols>
    <col min="1" max="1" width="1.5703125" customWidth="1"/>
    <col min="2" max="2" width="17.140625" customWidth="1"/>
    <col min="3" max="3" width="7.5703125" customWidth="1"/>
    <col min="4" max="4" width="9.140625" customWidth="1"/>
    <col min="5" max="5" width="22.85546875" customWidth="1"/>
    <col min="6" max="6" width="24.7109375" customWidth="1"/>
    <col min="7" max="9" width="12.42578125" customWidth="1"/>
    <col min="10" max="10" width="13.28515625" customWidth="1"/>
    <col min="11" max="11" width="12.42578125" customWidth="1"/>
    <col min="12" max="12" width="1.5703125" customWidth="1"/>
    <col min="13" max="13" width="0" hidden="1" customWidth="1"/>
    <col min="15" max="18" width="11.42578125" style="235"/>
  </cols>
  <sheetData>
    <row r="1" spans="1:17" ht="38.1" customHeight="1" x14ac:dyDescent="0.25">
      <c r="A1" s="182"/>
      <c r="B1" s="182" t="s">
        <v>576</v>
      </c>
      <c r="C1" s="182"/>
      <c r="D1" s="182"/>
      <c r="E1" s="182"/>
      <c r="F1" s="182"/>
      <c r="G1" s="182"/>
      <c r="H1" s="182"/>
      <c r="I1" s="182"/>
      <c r="J1" s="183" t="s">
        <v>577</v>
      </c>
      <c r="K1" s="183"/>
      <c r="L1" s="183"/>
      <c r="M1" t="s">
        <v>100</v>
      </c>
      <c r="O1" s="235" t="s">
        <v>42</v>
      </c>
      <c r="P1" s="235" t="s">
        <v>5</v>
      </c>
      <c r="Q1" s="235" t="s">
        <v>400</v>
      </c>
    </row>
    <row r="2" spans="1:17" x14ac:dyDescent="0.25">
      <c r="A2" s="22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t="s">
        <v>51</v>
      </c>
      <c r="O2" s="235" t="s">
        <v>67</v>
      </c>
      <c r="P2" s="235">
        <v>69</v>
      </c>
      <c r="Q2" s="235">
        <v>23.2</v>
      </c>
    </row>
    <row r="3" spans="1:17" ht="20.100000000000001" customHeight="1" x14ac:dyDescent="0.25">
      <c r="A3" s="147"/>
      <c r="B3" s="294" t="s">
        <v>578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t="s">
        <v>145</v>
      </c>
      <c r="O3" s="235" t="s">
        <v>74</v>
      </c>
      <c r="P3" s="235">
        <v>69</v>
      </c>
      <c r="Q3" s="235">
        <v>89.1</v>
      </c>
    </row>
    <row r="4" spans="1:17" ht="8.1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t="s">
        <v>547</v>
      </c>
      <c r="O4" s="235" t="s">
        <v>145</v>
      </c>
      <c r="P4" s="235">
        <v>56</v>
      </c>
      <c r="Q4" s="235">
        <v>16.100000000000001</v>
      </c>
    </row>
    <row r="5" spans="1:17" ht="27.95" customHeight="1" x14ac:dyDescent="0.25">
      <c r="A5" s="148"/>
      <c r="B5" s="148" t="s">
        <v>579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t="s">
        <v>81</v>
      </c>
      <c r="O5" s="235" t="s">
        <v>81</v>
      </c>
      <c r="P5" s="235">
        <v>55</v>
      </c>
      <c r="Q5" s="235">
        <v>103.4</v>
      </c>
    </row>
    <row r="6" spans="1:17" ht="5.0999999999999996" customHeight="1" x14ac:dyDescent="0.2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t="s">
        <v>67</v>
      </c>
      <c r="O6" s="235" t="s">
        <v>71</v>
      </c>
      <c r="P6" s="235">
        <v>54</v>
      </c>
      <c r="Q6" s="235">
        <v>15.7</v>
      </c>
    </row>
    <row r="7" spans="1:17" ht="20.100000000000001" customHeight="1" x14ac:dyDescent="0.25">
      <c r="A7" s="301"/>
      <c r="B7" s="303" t="s">
        <v>42</v>
      </c>
      <c r="C7" s="152" t="s">
        <v>580</v>
      </c>
      <c r="D7" s="152" t="s">
        <v>581</v>
      </c>
      <c r="E7" s="152" t="s">
        <v>582</v>
      </c>
      <c r="F7" s="151" t="s">
        <v>235</v>
      </c>
      <c r="G7" s="152" t="s">
        <v>583</v>
      </c>
      <c r="H7" s="152" t="s">
        <v>611</v>
      </c>
      <c r="I7" s="152" t="s">
        <v>237</v>
      </c>
      <c r="J7" s="152" t="s">
        <v>50</v>
      </c>
      <c r="K7" s="300" t="s">
        <v>249</v>
      </c>
      <c r="L7" s="301"/>
      <c r="M7" s="234" t="s">
        <v>71</v>
      </c>
      <c r="O7" s="235" t="s">
        <v>55</v>
      </c>
      <c r="P7" s="235">
        <v>54</v>
      </c>
      <c r="Q7" s="235">
        <v>22.7</v>
      </c>
    </row>
    <row r="8" spans="1:17" ht="18" customHeight="1" x14ac:dyDescent="0.25">
      <c r="A8" s="103"/>
      <c r="B8" s="240" t="str">
        <f>IFERROR(INDEX('SECTOR OVERVIEW'!M$1:M$21,1),"")</f>
        <v>Comm. Services</v>
      </c>
      <c r="C8" s="241">
        <f>IFERROR(IF(ISNUMBER(MATCH(INDEX('SECTOR OVERVIEW'!M$1:M$21,1),'DONNÉES BRUTES'!C$3:C$42,0)),COUNTIF('DONNÉES BRUTES'!C$3:C$42,INDEX('SECTOR OVERVIEW'!M$1:M$21,1)),""),"")</f>
        <v>3</v>
      </c>
      <c r="D8" s="242">
        <f>IFERROR(IF(ISNUMBER(MATCH(INDEX('SECTOR OVERVIEW'!M$1:M$21,1),'DONNÉES BRUTES'!C$3:C$42,0)),ROUND(AVERAGEIF('DONNÉES BRUTES'!C$3:C$42,INDEX('SECTOR OVERVIEW'!M$1:M$21,1),'DONNÉES BRUTES'!AB$3:AB$42),0),""),"")</f>
        <v>38</v>
      </c>
      <c r="E8" s="243" t="str">
        <f>IFERROR(IF(ISNUMBER(MATCH(INDEX('SECTOR OVERVIEW'!M$1:M$21,1),'DONNÉES BRUTES'!C$3:C$42,0)),REPT("█",ROUND(AVERAGEIF('DONNÉES BRUTES'!C$3:C$42,INDEX('SECTOR OVERVIEW'!M$1:M$21,1),'DONNÉES BRUTES'!AB$3:AB$42)/10,0))&amp;REPT("░",10-ROUND(AVERAGEIF('DONNÉES BRUTES'!C$3:C$42,INDEX('SECTOR OVERVIEW'!M$1:M$21,1),'DONNÉES BRUTES'!AB$3:AB$42)/10,0))&amp;"  "&amp;ROUND(AVERAGEIF('DONNÉES BRUTES'!C$3:C$42,INDEX('SECTOR OVERVIEW'!M$1:M$21,1),'DONNÉES BRUTES'!AB$3:AB$42),0),""),"")</f>
        <v>████░░░░░░  38</v>
      </c>
      <c r="F8" s="244" t="str">
        <f>IFERROR(IF(ISNUMBER(MATCH(INDEX('SECTOR OVERVIEW'!M$1:M$21,1),'DONNÉES BRUTES'!C$3:C$42,0)),_xlfn.XLOOKUP(_xlfn.MAXIFS('DONNÉES BRUTES'!AB$3:AB$42,'DONNÉES BRUTES'!C$3:C$42,INDEX('SECTOR OVERVIEW'!M$1:M$21,1)),'DONNÉES BRUTES'!AB$3:AB$42,'DONNÉES BRUTES'!B$3:B$42),"—"),"—")</f>
        <v>Pernod Ricard SA</v>
      </c>
      <c r="G8" s="243" t="s">
        <v>612</v>
      </c>
      <c r="H8" s="149" t="s">
        <v>613</v>
      </c>
      <c r="I8" s="243" t="str" cm="1">
        <f t="array" ref="I8">IFERROR(IF(ISNUMBER(MATCH(INDEX('SECTOR OVERVIEW'!M$1:M$21,1),'DONNÉES BRUTES'!C$3:C$42,0)),ROUND(MEDIAN(IF('DONNÉES BRUTES'!C$3:C$42=INDEX('SECTOR OVERVIEW'!M$1:M$21,1),IF(ISNUMBER('DONNÉES BRUTES'!U$3:U$42),'DONNÉES BRUTES'!U$3:U$42))),2),"—"),"—")</f>
        <v>—</v>
      </c>
      <c r="J8" s="243" t="str">
        <f>IFERROR(IF(ISNUMBER(MATCH(INDEX('SECTOR OVERVIEW'!M$1:M$21,1),'DONNÉES BRUTES'!C$3:C$42,0)),IF(COUNTIFS('DONNÉES BRUTES'!C$3:C$42,INDEX('SECTOR OVERVIEW'!M$1:M$21,1),'DONNÉES BRUTES'!AD$3:AD$42,"Surpondérer")&gt;0,"Surpondérer",IF(COUNTIFS('DONNÉES BRUTES'!C$3:C$42,INDEX('SECTOR OVERVIEW'!M$1:M$21,1),'DONNÉES BRUTES'!AD$3:AD$42,"Neutre")&gt;=COUNTIFS('DONNÉES BRUTES'!C$3:C$42,INDEX('SECTOR OVERVIEW'!M$1:M$21,1),'DONNÉES BRUTES'!AD$3:AD$42,"Sous-pondérer"),"Neutre","Sous-pondérer")),"—"),"—")</f>
        <v>Sous-pondérer</v>
      </c>
      <c r="K8" s="241" t="str">
        <f>IFERROR(IF(ISNUMBER(MATCH(INDEX('SECTOR OVERVIEW'!M$1:M$21,1),'DONNÉES BRUTES'!C$3:C$42,0)),IF(AVERAGEIF('DONNÉES BRUTES'!C$3:C$42,INDEX('SECTOR OVERVIEW'!M$1:M$21,1),'DONNÉES BRUTES'!AB$3:AB$42)&gt;=65,"↑ Positif",IF(AVERAGEIF('DONNÉES BRUTES'!C$3:C$42,INDEX('SECTOR OVERVIEW'!M$1:M$21,1),'DONNÉES BRUTES'!AB$3:AB$42)&gt;=50,"→ Neutre","↓ Négatif")),"—"),"—")</f>
        <v>↓ Négatif</v>
      </c>
      <c r="L8" s="240"/>
      <c r="M8" t="s">
        <v>55</v>
      </c>
      <c r="O8" s="235" t="s">
        <v>230</v>
      </c>
      <c r="P8" s="235">
        <v>46</v>
      </c>
      <c r="Q8" s="235">
        <v>20</v>
      </c>
    </row>
    <row r="9" spans="1:17" ht="18" customHeight="1" x14ac:dyDescent="0.25">
      <c r="A9" s="104"/>
      <c r="B9" s="237" t="str">
        <f>IFERROR(INDEX('SECTOR OVERVIEW'!M$1:M$21,2),"")</f>
        <v>Consumer Disc.</v>
      </c>
      <c r="C9" s="236">
        <f>IFERROR(IF(ISNUMBER(MATCH(INDEX('SECTOR OVERVIEW'!M$1:M$21,2),'DONNÉES BRUTES'!C$3:C$42,0)),COUNTIF('DONNÉES BRUTES'!C$3:C$42,INDEX('SECTOR OVERVIEW'!M$1:M$21,2)),""),"")</f>
        <v>5</v>
      </c>
      <c r="D9" s="238">
        <f>IFERROR(IF(ISNUMBER(MATCH(INDEX('SECTOR OVERVIEW'!M$1:M$21,2),'DONNÉES BRUTES'!C$3:C$42,0)),ROUND(AVERAGEIF('DONNÉES BRUTES'!C$3:C$42,INDEX('SECTOR OVERVIEW'!M$1:M$21,2),'DONNÉES BRUTES'!AB$3:AB$42),0),""),"")</f>
        <v>41</v>
      </c>
      <c r="E9" s="239" t="str">
        <f>IFERROR(IF(ISNUMBER(MATCH(INDEX('SECTOR OVERVIEW'!M$1:M$21,2),'DONNÉES BRUTES'!C$3:C$42,0)),REPT("█",ROUND(AVERAGEIF('DONNÉES BRUTES'!C$3:C$42,INDEX('SECTOR OVERVIEW'!M$1:M$21,2),'DONNÉES BRUTES'!AB$3:AB$42)/10,0))&amp;REPT("░",10-ROUND(AVERAGEIF('DONNÉES BRUTES'!C$3:C$42,INDEX('SECTOR OVERVIEW'!M$1:M$21,2),'DONNÉES BRUTES'!AB$3:AB$42)/10,0))&amp;"  "&amp;ROUND(AVERAGEIF('DONNÉES BRUTES'!C$3:C$42,INDEX('SECTOR OVERVIEW'!M$1:M$21,2),'DONNÉES BRUTES'!AB$3:AB$42),0),""),"")</f>
        <v>████░░░░░░  41</v>
      </c>
      <c r="F9" s="245" t="str">
        <f>IFERROR(IF(ISNUMBER(MATCH(INDEX('SECTOR OVERVIEW'!M$1:M$21,2),'DONNÉES BRUTES'!C$3:C$42,0)),_xlfn.XLOOKUP(_xlfn.MAXIFS('DONNÉES BRUTES'!AB$3:AB$42,'DONNÉES BRUTES'!C$3:C$42,INDEX('SECTOR OVERVIEW'!M$1:M$21,2)),'DONNÉES BRUTES'!AB$3:AB$42,'DONNÉES BRUTES'!B$3:B$42),"—"),"—")</f>
        <v>Hermès International Société en commandite par actions</v>
      </c>
      <c r="G9" s="239" t="s">
        <v>128</v>
      </c>
      <c r="H9" s="150" t="s">
        <v>614</v>
      </c>
      <c r="I9" s="239" t="str" cm="1">
        <f t="array" ref="I9">IFERROR(IF(ISNUMBER(MATCH(INDEX('SECTOR OVERVIEW'!M$1:M$21,2),'DONNÉES BRUTES'!C$3:C$42,0)),ROUND(MEDIAN(IF('DONNÉES BRUTES'!C$3:C$42=INDEX('SECTOR OVERVIEW'!M$1:M$21,2),IF(ISNUMBER('DONNÉES BRUTES'!U$3:U$42),'DONNÉES BRUTES'!U$3:U$42))),2),"—"),"—")</f>
        <v>—</v>
      </c>
      <c r="J9" s="239" t="str">
        <f>IFERROR(IF(ISNUMBER(MATCH(INDEX('SECTOR OVERVIEW'!M$1:M$21,2),'DONNÉES BRUTES'!C$3:C$42,0)),IF(COUNTIFS('DONNÉES BRUTES'!C$3:C$42,INDEX('SECTOR OVERVIEW'!M$1:M$21,2),'DONNÉES BRUTES'!AD$3:AD$42,"Surpondérer")&gt;0,"Surpondérer",IF(COUNTIFS('DONNÉES BRUTES'!C$3:C$42,INDEX('SECTOR OVERVIEW'!M$1:M$21,2),'DONNÉES BRUTES'!AD$3:AD$42,"Neutre")&gt;=COUNTIFS('DONNÉES BRUTES'!C$3:C$42,INDEX('SECTOR OVERVIEW'!M$1:M$21,2),'DONNÉES BRUTES'!AD$3:AD$42,"Sous-pondérer"),"Neutre","Sous-pondérer")),"—"),"—")</f>
        <v>Surpondérer</v>
      </c>
      <c r="K9" s="236" t="str">
        <f>IFERROR(IF(ISNUMBER(MATCH(INDEX('SECTOR OVERVIEW'!M$1:M$21,2),'DONNÉES BRUTES'!C$3:C$42,0)),IF(AVERAGEIF('DONNÉES BRUTES'!C$3:C$42,INDEX('SECTOR OVERVIEW'!M$1:M$21,2),'DONNÉES BRUTES'!AB$3:AB$42)&gt;=65,"↑ Positif",IF(AVERAGEIF('DONNÉES BRUTES'!C$3:C$42,INDEX('SECTOR OVERVIEW'!M$1:M$21,2),'DONNÉES BRUTES'!AB$3:AB$42)&gt;=50,"→ Neutre","↓ Négatif")),"—"),"—")</f>
        <v>↓ Négatif</v>
      </c>
      <c r="L9" s="237"/>
      <c r="M9" t="s">
        <v>74</v>
      </c>
      <c r="O9" s="235" t="s">
        <v>60</v>
      </c>
      <c r="P9" s="235">
        <v>36</v>
      </c>
      <c r="Q9" s="235">
        <v>19.600000000000001</v>
      </c>
    </row>
    <row r="10" spans="1:17" ht="18" customHeight="1" x14ac:dyDescent="0.25">
      <c r="A10" s="103"/>
      <c r="B10" s="240" t="str">
        <f>IFERROR(INDEX('SECTOR OVERVIEW'!M$1:M$21,3),"")</f>
        <v>Consumer Staples</v>
      </c>
      <c r="C10" s="241">
        <f>IFERROR(IF(ISNUMBER(MATCH(INDEX('SECTOR OVERVIEW'!M$1:M$21,3),'DONNÉES BRUTES'!C$3:C$42,0)),COUNTIF('DONNÉES BRUTES'!C$3:C$42,INDEX('SECTOR OVERVIEW'!M$1:M$21,3)),""),"")</f>
        <v>4</v>
      </c>
      <c r="D10" s="242">
        <f>IFERROR(IF(ISNUMBER(MATCH(INDEX('SECTOR OVERVIEW'!M$1:M$21,3),'DONNÉES BRUTES'!C$3:C$42,0)),ROUND(AVERAGEIF('DONNÉES BRUTES'!C$3:C$42,INDEX('SECTOR OVERVIEW'!M$1:M$21,3),'DONNÉES BRUTES'!AB$3:AB$42),0),""),"")</f>
        <v>56</v>
      </c>
      <c r="E10" s="243" t="str">
        <f>IFERROR(IF(ISNUMBER(MATCH(INDEX('SECTOR OVERVIEW'!M$1:M$21,3),'DONNÉES BRUTES'!C$3:C$42,0)),REPT("█",ROUND(AVERAGEIF('DONNÉES BRUTES'!C$3:C$42,INDEX('SECTOR OVERVIEW'!M$1:M$21,3),'DONNÉES BRUTES'!AB$3:AB$42)/10,0))&amp;REPT("░",10-ROUND(AVERAGEIF('DONNÉES BRUTES'!C$3:C$42,INDEX('SECTOR OVERVIEW'!M$1:M$21,3),'DONNÉES BRUTES'!AB$3:AB$42)/10,0))&amp;"  "&amp;ROUND(AVERAGEIF('DONNÉES BRUTES'!C$3:C$42,INDEX('SECTOR OVERVIEW'!M$1:M$21,3),'DONNÉES BRUTES'!AB$3:AB$42),0),""),"")</f>
        <v>██████░░░░  56</v>
      </c>
      <c r="F10" s="244" t="str">
        <f>IFERROR(IF(ISNUMBER(MATCH(INDEX('SECTOR OVERVIEW'!M$1:M$21,3),'DONNÉES BRUTES'!C$3:C$42,0)),_xlfn.XLOOKUP(_xlfn.MAXIFS('DONNÉES BRUTES'!AB$3:AB$42,'DONNÉES BRUTES'!C$3:C$42,INDEX('SECTOR OVERVIEW'!M$1:M$21,3)),'DONNÉES BRUTES'!AB$3:AB$42,'DONNÉES BRUTES'!B$3:B$42),"—"),"—")</f>
        <v>AXA SA</v>
      </c>
      <c r="G10" s="243" t="s">
        <v>474</v>
      </c>
      <c r="H10" s="149" t="s">
        <v>615</v>
      </c>
      <c r="I10" s="243" t="str" cm="1">
        <f t="array" ref="I10">IFERROR(IF(ISNUMBER(MATCH(INDEX('SECTOR OVERVIEW'!M$1:M$21,3),'DONNÉES BRUTES'!C$3:C$42,0)),ROUND(MEDIAN(IF('DONNÉES BRUTES'!C$3:C$42=INDEX('SECTOR OVERVIEW'!M$1:M$21,3),IF(ISNUMBER('DONNÉES BRUTES'!U$3:U$42),'DONNÉES BRUTES'!U$3:U$42))),2),"—"),"—")</f>
        <v>—</v>
      </c>
      <c r="J10" s="243" t="str">
        <f>IFERROR(IF(ISNUMBER(MATCH(INDEX('SECTOR OVERVIEW'!M$1:M$21,3),'DONNÉES BRUTES'!C$3:C$42,0)),IF(COUNTIFS('DONNÉES BRUTES'!C$3:C$42,INDEX('SECTOR OVERVIEW'!M$1:M$21,3),'DONNÉES BRUTES'!AD$3:AD$42,"Surpondérer")&gt;0,"Surpondérer",IF(COUNTIFS('DONNÉES BRUTES'!C$3:C$42,INDEX('SECTOR OVERVIEW'!M$1:M$21,3),'DONNÉES BRUTES'!AD$3:AD$42,"Neutre")&gt;=COUNTIFS('DONNÉES BRUTES'!C$3:C$42,INDEX('SECTOR OVERVIEW'!M$1:M$21,3),'DONNÉES BRUTES'!AD$3:AD$42,"Sous-pondérer"),"Neutre","Sous-pondérer")),"—"),"—")</f>
        <v>Neutre</v>
      </c>
      <c r="K10" s="241" t="str">
        <f>IFERROR(IF(ISNUMBER(MATCH(INDEX('SECTOR OVERVIEW'!M$1:M$21,3),'DONNÉES BRUTES'!C$3:C$42,0)),IF(AVERAGEIF('DONNÉES BRUTES'!C$3:C$42,INDEX('SECTOR OVERVIEW'!M$1:M$21,3),'DONNÉES BRUTES'!AB$3:AB$42)&gt;=65,"↑ Positif",IF(AVERAGEIF('DONNÉES BRUTES'!C$3:C$42,INDEX('SECTOR OVERVIEW'!M$1:M$21,3),'DONNÉES BRUTES'!AB$3:AB$42)&gt;=50,"→ Neutre","↓ Négatif")),"—"),"—")</f>
        <v>→ Neutre</v>
      </c>
      <c r="L10" s="240"/>
      <c r="M10" t="s">
        <v>60</v>
      </c>
      <c r="O10" s="235" t="s">
        <v>51</v>
      </c>
      <c r="P10" s="235">
        <v>41</v>
      </c>
      <c r="Q10" s="235">
        <v>28.3</v>
      </c>
    </row>
    <row r="11" spans="1:17" ht="18" customHeight="1" x14ac:dyDescent="0.25">
      <c r="A11" s="104"/>
      <c r="B11" s="237" t="str">
        <f>IFERROR(INDEX('SECTOR OVERVIEW'!M$1:M$21,4),"")</f>
        <v>Energy</v>
      </c>
      <c r="C11" s="236">
        <f>IFERROR(IF(ISNUMBER(MATCH(INDEX('SECTOR OVERVIEW'!M$1:M$21,4),'DONNÉES BRUTES'!C$3:C$42,0)),COUNTIF('DONNÉES BRUTES'!C$3:C$42,INDEX('SECTOR OVERVIEW'!M$1:M$21,4)),""),"")</f>
        <v>1</v>
      </c>
      <c r="D11" s="238">
        <f>IFERROR(IF(ISNUMBER(MATCH(INDEX('SECTOR OVERVIEW'!M$1:M$21,4),'DONNÉES BRUTES'!C$3:C$42,0)),ROUND(AVERAGEIF('DONNÉES BRUTES'!C$3:C$42,INDEX('SECTOR OVERVIEW'!M$1:M$21,4),'DONNÉES BRUTES'!AB$3:AB$42),0),""),"")</f>
        <v>18</v>
      </c>
      <c r="E11" s="239" t="str">
        <f>IFERROR(IF(ISNUMBER(MATCH(INDEX('SECTOR OVERVIEW'!M$1:M$21,4),'DONNÉES BRUTES'!C$3:C$42,0)),REPT("█",ROUND(AVERAGEIF('DONNÉES BRUTES'!C$3:C$42,INDEX('SECTOR OVERVIEW'!M$1:M$21,4),'DONNÉES BRUTES'!AB$3:AB$42)/10,0))&amp;REPT("░",10-ROUND(AVERAGEIF('DONNÉES BRUTES'!C$3:C$42,INDEX('SECTOR OVERVIEW'!M$1:M$21,4),'DONNÉES BRUTES'!AB$3:AB$42)/10,0))&amp;"  "&amp;ROUND(AVERAGEIF('DONNÉES BRUTES'!C$3:C$42,INDEX('SECTOR OVERVIEW'!M$1:M$21,4),'DONNÉES BRUTES'!AB$3:AB$42),0),""),"")</f>
        <v>██░░░░░░░░  18</v>
      </c>
      <c r="F11" s="245" t="str">
        <f>IFERROR(IF(ISNUMBER(MATCH(INDEX('SECTOR OVERVIEW'!M$1:M$21,4),'DONNÉES BRUTES'!C$3:C$42,0)),_xlfn.XLOOKUP(_xlfn.MAXIFS('DONNÉES BRUTES'!AB$3:AB$42,'DONNÉES BRUTES'!C$3:C$42,INDEX('SECTOR OVERVIEW'!M$1:M$21,4)),'DONNÉES BRUTES'!AB$3:AB$42,'DONNÉES BRUTES'!B$3:B$42),"—"),"—")</f>
        <v>Renault SA</v>
      </c>
      <c r="G11" s="239" t="s">
        <v>11</v>
      </c>
      <c r="H11" s="150" t="s">
        <v>11</v>
      </c>
      <c r="I11" s="239" t="str" cm="1">
        <f t="array" ref="I11">IFERROR(IF(ISNUMBER(MATCH(INDEX('SECTOR OVERVIEW'!M$1:M$21,4),'DONNÉES BRUTES'!C$3:C$42,0)),ROUND(MEDIAN(IF('DONNÉES BRUTES'!C$3:C$42=INDEX('SECTOR OVERVIEW'!M$1:M$21,4),IF(ISNUMBER('DONNÉES BRUTES'!U$3:U$42),'DONNÉES BRUTES'!U$3:U$42))),2),"—"),"—")</f>
        <v>—</v>
      </c>
      <c r="J11" s="239" t="str">
        <f>IFERROR(IF(ISNUMBER(MATCH(INDEX('SECTOR OVERVIEW'!M$1:M$21,4),'DONNÉES BRUTES'!C$3:C$42,0)),IF(COUNTIFS('DONNÉES BRUTES'!C$3:C$42,INDEX('SECTOR OVERVIEW'!M$1:M$21,4),'DONNÉES BRUTES'!AD$3:AD$42,"Surpondérer")&gt;0,"Surpondérer",IF(COUNTIFS('DONNÉES BRUTES'!C$3:C$42,INDEX('SECTOR OVERVIEW'!M$1:M$21,4),'DONNÉES BRUTES'!AD$3:AD$42,"Neutre")&gt;=COUNTIFS('DONNÉES BRUTES'!C$3:C$42,INDEX('SECTOR OVERVIEW'!M$1:M$21,4),'DONNÉES BRUTES'!AD$3:AD$42,"Sous-pondérer"),"Neutre","Sous-pondérer")),"—"),"—")</f>
        <v>Sous-pondérer</v>
      </c>
      <c r="K11" s="236" t="str">
        <f>IFERROR(IF(ISNUMBER(MATCH(INDEX('SECTOR OVERVIEW'!M$1:M$21,4),'DONNÉES BRUTES'!C$3:C$42,0)),IF(AVERAGEIF('DONNÉES BRUTES'!C$3:C$42,INDEX('SECTOR OVERVIEW'!M$1:M$21,4),'DONNÉES BRUTES'!AB$3:AB$42)&gt;=65,"↑ Positif",IF(AVERAGEIF('DONNÉES BRUTES'!C$3:C$42,INDEX('SECTOR OVERVIEW'!M$1:M$21,4),'DONNÉES BRUTES'!AB$3:AB$42)&gt;=50,"→ Neutre","↓ Négatif")),"—"),"—")</f>
        <v>↓ Négatif</v>
      </c>
      <c r="L11" s="237"/>
      <c r="M11" t="s">
        <v>230</v>
      </c>
      <c r="O11" s="235" t="s">
        <v>100</v>
      </c>
      <c r="P11" s="235">
        <v>38</v>
      </c>
      <c r="Q11" s="235">
        <v>27.2</v>
      </c>
    </row>
    <row r="12" spans="1:17" ht="18" customHeight="1" x14ac:dyDescent="0.25">
      <c r="A12" s="103"/>
      <c r="B12" s="240" t="str">
        <f>IFERROR(INDEX('SECTOR OVERVIEW'!M$1:M$21,5),"")</f>
        <v>Financials</v>
      </c>
      <c r="C12" s="241">
        <f>IFERROR(IF(ISNUMBER(MATCH(INDEX('SECTOR OVERVIEW'!M$1:M$21,5),'DONNÉES BRUTES'!C$3:C$42,0)),COUNTIF('DONNÉES BRUTES'!C$3:C$42,INDEX('SECTOR OVERVIEW'!M$1:M$21,5)),""),"")</f>
        <v>4</v>
      </c>
      <c r="D12" s="242">
        <f>IFERROR(IF(ISNUMBER(MATCH(INDEX('SECTOR OVERVIEW'!M$1:M$21,5),'DONNÉES BRUTES'!C$3:C$42,0)),ROUND(AVERAGEIF('DONNÉES BRUTES'!C$3:C$42,INDEX('SECTOR OVERVIEW'!M$1:M$21,5),'DONNÉES BRUTES'!AB$3:AB$42),0),""),"")</f>
        <v>55</v>
      </c>
      <c r="E12" s="243" t="str">
        <f>IFERROR(IF(ISNUMBER(MATCH(INDEX('SECTOR OVERVIEW'!M$1:M$21,5),'DONNÉES BRUTES'!C$3:C$42,0)),REPT("█",ROUND(AVERAGEIF('DONNÉES BRUTES'!C$3:C$42,INDEX('SECTOR OVERVIEW'!M$1:M$21,5),'DONNÉES BRUTES'!AB$3:AB$42)/10,0))&amp;REPT("░",10-ROUND(AVERAGEIF('DONNÉES BRUTES'!C$3:C$42,INDEX('SECTOR OVERVIEW'!M$1:M$21,5),'DONNÉES BRUTES'!AB$3:AB$42)/10,0))&amp;"  "&amp;ROUND(AVERAGEIF('DONNÉES BRUTES'!C$3:C$42,INDEX('SECTOR OVERVIEW'!M$1:M$21,5),'DONNÉES BRUTES'!AB$3:AB$42),0),""),"")</f>
        <v>██████░░░░  55</v>
      </c>
      <c r="F12" s="244" t="str">
        <f>IFERROR(IF(ISNUMBER(MATCH(INDEX('SECTOR OVERVIEW'!M$1:M$21,5),'DONNÉES BRUTES'!C$3:C$42,0)),_xlfn.XLOOKUP(_xlfn.MAXIFS('DONNÉES BRUTES'!AB$3:AB$42,'DONNÉES BRUTES'!C$3:C$42,INDEX('SECTOR OVERVIEW'!M$1:M$21,5)),'DONNÉES BRUTES'!AB$3:AB$42,'DONNÉES BRUTES'!B$3:B$42),"—"),"—")</f>
        <v>Crédit Agricole S.A.</v>
      </c>
      <c r="G12" s="243" t="s">
        <v>616</v>
      </c>
      <c r="H12" s="149" t="s">
        <v>617</v>
      </c>
      <c r="I12" s="243" t="str" cm="1">
        <f t="array" ref="I12">IFERROR(IF(ISNUMBER(MATCH(INDEX('SECTOR OVERVIEW'!M$1:M$21,5),'DONNÉES BRUTES'!C$3:C$42,0)),ROUND(MEDIAN(IF('DONNÉES BRUTES'!C$3:C$42=INDEX('SECTOR OVERVIEW'!M$1:M$21,5),IF(ISNUMBER('DONNÉES BRUTES'!U$3:U$42),'DONNÉES BRUTES'!U$3:U$42))),2),"—"),"—")</f>
        <v>—</v>
      </c>
      <c r="J12" s="243" t="str">
        <f>IFERROR(IF(ISNUMBER(MATCH(INDEX('SECTOR OVERVIEW'!M$1:M$21,5),'DONNÉES BRUTES'!C$3:C$42,0)),IF(COUNTIFS('DONNÉES BRUTES'!C$3:C$42,INDEX('SECTOR OVERVIEW'!M$1:M$21,5),'DONNÉES BRUTES'!AD$3:AD$42,"Surpondérer")&gt;0,"Surpondérer",IF(COUNTIFS('DONNÉES BRUTES'!C$3:C$42,INDEX('SECTOR OVERVIEW'!M$1:M$21,5),'DONNÉES BRUTES'!AD$3:AD$42,"Neutre")&gt;=COUNTIFS('DONNÉES BRUTES'!C$3:C$42,INDEX('SECTOR OVERVIEW'!M$1:M$21,5),'DONNÉES BRUTES'!AD$3:AD$42,"Sous-pondérer"),"Neutre","Sous-pondérer")),"—"),"—")</f>
        <v>Neutre</v>
      </c>
      <c r="K12" s="241" t="str">
        <f>IFERROR(IF(ISNUMBER(MATCH(INDEX('SECTOR OVERVIEW'!M$1:M$21,5),'DONNÉES BRUTES'!C$3:C$42,0)),IF(AVERAGEIF('DONNÉES BRUTES'!C$3:C$42,INDEX('SECTOR OVERVIEW'!M$1:M$21,5),'DONNÉES BRUTES'!AB$3:AB$42)&gt;=65,"↑ Positif",IF(AVERAGEIF('DONNÉES BRUTES'!C$3:C$42,INDEX('SECTOR OVERVIEW'!M$1:M$21,5),'DONNÉES BRUTES'!AB$3:AB$42)&gt;=50,"→ Neutre","↓ Négatif")),"—"),"—")</f>
        <v>→ Neutre</v>
      </c>
      <c r="L12" s="240"/>
      <c r="O12" s="235" t="s">
        <v>547</v>
      </c>
      <c r="P12" s="235">
        <v>18</v>
      </c>
      <c r="Q12" s="235">
        <v>0</v>
      </c>
    </row>
    <row r="13" spans="1:17" ht="18" customHeight="1" x14ac:dyDescent="0.25">
      <c r="A13" s="104"/>
      <c r="B13" s="237" t="str">
        <f>IFERROR(INDEX('SECTOR OVERVIEW'!M$1:M$21,6),"")</f>
        <v>Healthcare</v>
      </c>
      <c r="C13" s="236">
        <f>IFERROR(IF(ISNUMBER(MATCH(INDEX('SECTOR OVERVIEW'!M$1:M$21,6),'DONNÉES BRUTES'!C$3:C$42,0)),COUNTIF('DONNÉES BRUTES'!C$3:C$42,INDEX('SECTOR OVERVIEW'!M$1:M$21,6)),""),"")</f>
        <v>3</v>
      </c>
      <c r="D13" s="238">
        <f>IFERROR(IF(ISNUMBER(MATCH(INDEX('SECTOR OVERVIEW'!M$1:M$21,6),'DONNÉES BRUTES'!C$3:C$42,0)),ROUND(AVERAGEIF('DONNÉES BRUTES'!C$3:C$42,INDEX('SECTOR OVERVIEW'!M$1:M$21,6),'DONNÉES BRUTES'!AB$3:AB$42),0),""),"")</f>
        <v>69</v>
      </c>
      <c r="E13" s="239" t="str">
        <f>IFERROR(IF(ISNUMBER(MATCH(INDEX('SECTOR OVERVIEW'!M$1:M$21,6),'DONNÉES BRUTES'!C$3:C$42,0)),REPT("█",ROUND(AVERAGEIF('DONNÉES BRUTES'!C$3:C$42,INDEX('SECTOR OVERVIEW'!M$1:M$21,6),'DONNÉES BRUTES'!AB$3:AB$42)/10,0))&amp;REPT("░",10-ROUND(AVERAGEIF('DONNÉES BRUTES'!C$3:C$42,INDEX('SECTOR OVERVIEW'!M$1:M$21,6),'DONNÉES BRUTES'!AB$3:AB$42)/10,0))&amp;"  "&amp;ROUND(AVERAGEIF('DONNÉES BRUTES'!C$3:C$42,INDEX('SECTOR OVERVIEW'!M$1:M$21,6),'DONNÉES BRUTES'!AB$3:AB$42),0),""),"")</f>
        <v>███████░░░  69</v>
      </c>
      <c r="F13" s="245" t="str">
        <f>IFERROR(IF(ISNUMBER(MATCH(INDEX('SECTOR OVERVIEW'!M$1:M$21,6),'DONNÉES BRUTES'!C$3:C$42,0)),_xlfn.XLOOKUP(_xlfn.MAXIFS('DONNÉES BRUTES'!AB$3:AB$42,'DONNÉES BRUTES'!C$3:C$42,INDEX('SECTOR OVERVIEW'!M$1:M$21,6)),'DONNÉES BRUTES'!AB$3:AB$42,'DONNÉES BRUTES'!B$3:B$42),"—"),"—")</f>
        <v>Dassault Systèmes SE</v>
      </c>
      <c r="G13" s="239" t="s">
        <v>244</v>
      </c>
      <c r="H13" s="150" t="s">
        <v>618</v>
      </c>
      <c r="I13" s="239" t="str" cm="1">
        <f t="array" ref="I13">IFERROR(IF(ISNUMBER(MATCH(INDEX('SECTOR OVERVIEW'!M$1:M$21,6),'DONNÉES BRUTES'!C$3:C$42,0)),ROUND(MEDIAN(IF('DONNÉES BRUTES'!C$3:C$42=INDEX('SECTOR OVERVIEW'!M$1:M$21,6),IF(ISNUMBER('DONNÉES BRUTES'!U$3:U$42),'DONNÉES BRUTES'!U$3:U$42))),2),"—"),"—")</f>
        <v>—</v>
      </c>
      <c r="J13" s="239" t="str">
        <f>IFERROR(IF(ISNUMBER(MATCH(INDEX('SECTOR OVERVIEW'!M$1:M$21,6),'DONNÉES BRUTES'!C$3:C$42,0)),IF(COUNTIFS('DONNÉES BRUTES'!C$3:C$42,INDEX('SECTOR OVERVIEW'!M$1:M$21,6),'DONNÉES BRUTES'!AD$3:AD$42,"Surpondérer")&gt;0,"Surpondérer",IF(COUNTIFS('DONNÉES BRUTES'!C$3:C$42,INDEX('SECTOR OVERVIEW'!M$1:M$21,6),'DONNÉES BRUTES'!AD$3:AD$42,"Neutre")&gt;=COUNTIFS('DONNÉES BRUTES'!C$3:C$42,INDEX('SECTOR OVERVIEW'!M$1:M$21,6),'DONNÉES BRUTES'!AD$3:AD$42,"Sous-pondérer"),"Neutre","Sous-pondérer")),"—"),"—")</f>
        <v>Neutre</v>
      </c>
      <c r="K13" s="236" t="str">
        <f>IFERROR(IF(ISNUMBER(MATCH(INDEX('SECTOR OVERVIEW'!M$1:M$21,6),'DONNÉES BRUTES'!C$3:C$42,0)),IF(AVERAGEIF('DONNÉES BRUTES'!C$3:C$42,INDEX('SECTOR OVERVIEW'!M$1:M$21,6),'DONNÉES BRUTES'!AB$3:AB$42)&gt;=65,"↑ Positif",IF(AVERAGEIF('DONNÉES BRUTES'!C$3:C$42,INDEX('SECTOR OVERVIEW'!M$1:M$21,6),'DONNÉES BRUTES'!AB$3:AB$42)&gt;=50,"→ Neutre","↓ Négatif")),"—"),"—")</f>
        <v>↑ Positif</v>
      </c>
      <c r="L13" s="237"/>
    </row>
    <row r="14" spans="1:17" ht="18" customHeight="1" x14ac:dyDescent="0.25">
      <c r="A14" s="103"/>
      <c r="B14" s="240" t="str">
        <f>IFERROR(INDEX('SECTOR OVERVIEW'!M$1:M$21,7),"")</f>
        <v>Industrials</v>
      </c>
      <c r="C14" s="241">
        <f>IFERROR(IF(ISNUMBER(MATCH(INDEX('SECTOR OVERVIEW'!M$1:M$21,7),'DONNÉES BRUTES'!C$3:C$42,0)),COUNTIF('DONNÉES BRUTES'!C$3:C$42,INDEX('SECTOR OVERVIEW'!M$1:M$21,7)),""),"")</f>
        <v>11</v>
      </c>
      <c r="D14" s="242">
        <f>IFERROR(IF(ISNUMBER(MATCH(INDEX('SECTOR OVERVIEW'!M$1:M$21,7),'DONNÉES BRUTES'!C$3:C$42,0)),ROUND(AVERAGEIF('DONNÉES BRUTES'!C$3:C$42,INDEX('SECTOR OVERVIEW'!M$1:M$21,7),'DONNÉES BRUTES'!AB$3:AB$42),0),""),"")</f>
        <v>54</v>
      </c>
      <c r="E14" s="243" t="str">
        <f>IFERROR(IF(ISNUMBER(MATCH(INDEX('SECTOR OVERVIEW'!M$1:M$21,7),'DONNÉES BRUTES'!C$3:C$42,0)),REPT("█",ROUND(AVERAGEIF('DONNÉES BRUTES'!C$3:C$42,INDEX('SECTOR OVERVIEW'!M$1:M$21,7),'DONNÉES BRUTES'!AB$3:AB$42)/10,0))&amp;REPT("░",10-ROUND(AVERAGEIF('DONNÉES BRUTES'!C$3:C$42,INDEX('SECTOR OVERVIEW'!M$1:M$21,7),'DONNÉES BRUTES'!AB$3:AB$42)/10,0))&amp;"  "&amp;ROUND(AVERAGEIF('DONNÉES BRUTES'!C$3:C$42,INDEX('SECTOR OVERVIEW'!M$1:M$21,7),'DONNÉES BRUTES'!AB$3:AB$42),0),""),"")</f>
        <v>█████░░░░░  54</v>
      </c>
      <c r="F14" s="244" t="str">
        <f>IFERROR(IF(ISNUMBER(MATCH(INDEX('SECTOR OVERVIEW'!M$1:M$21,7),'DONNÉES BRUTES'!C$3:C$42,0)),_xlfn.XLOOKUP(_xlfn.MAXIFS('DONNÉES BRUTES'!AB$3:AB$42,'DONNÉES BRUTES'!C$3:C$42,INDEX('SECTOR OVERVIEW'!M$1:M$21,7)),'DONNÉES BRUTES'!AB$3:AB$42,'DONNÉES BRUTES'!B$3:B$42),"—"),"—")</f>
        <v>Alstom SA</v>
      </c>
      <c r="G14" s="243" t="s">
        <v>619</v>
      </c>
      <c r="H14" s="149" t="s">
        <v>620</v>
      </c>
      <c r="I14" s="243" t="str" cm="1">
        <f t="array" ref="I14">IFERROR(IF(ISNUMBER(MATCH(INDEX('SECTOR OVERVIEW'!M$1:M$21,7),'DONNÉES BRUTES'!C$3:C$42,0)),ROUND(MEDIAN(IF('DONNÉES BRUTES'!C$3:C$42=INDEX('SECTOR OVERVIEW'!M$1:M$21,7),IF(ISNUMBER('DONNÉES BRUTES'!U$3:U$42),'DONNÉES BRUTES'!U$3:U$42))),2),"—"),"—")</f>
        <v>—</v>
      </c>
      <c r="J14" s="243" t="str">
        <f>IFERROR(IF(ISNUMBER(MATCH(INDEX('SECTOR OVERVIEW'!M$1:M$21,7),'DONNÉES BRUTES'!C$3:C$42,0)),IF(COUNTIFS('DONNÉES BRUTES'!C$3:C$42,INDEX('SECTOR OVERVIEW'!M$1:M$21,7),'DONNÉES BRUTES'!AD$3:AD$42,"Surpondérer")&gt;0,"Surpondérer",IF(COUNTIFS('DONNÉES BRUTES'!C$3:C$42,INDEX('SECTOR OVERVIEW'!M$1:M$21,7),'DONNÉES BRUTES'!AD$3:AD$42,"Neutre")&gt;=COUNTIFS('DONNÉES BRUTES'!C$3:C$42,INDEX('SECTOR OVERVIEW'!M$1:M$21,7),'DONNÉES BRUTES'!AD$3:AD$42,"Sous-pondérer"),"Neutre","Sous-pondérer")),"—"),"—")</f>
        <v>Neutre</v>
      </c>
      <c r="K14" s="241" t="str">
        <f>IFERROR(IF(ISNUMBER(MATCH(INDEX('SECTOR OVERVIEW'!M$1:M$21,7),'DONNÉES BRUTES'!C$3:C$42,0)),IF(AVERAGEIF('DONNÉES BRUTES'!C$3:C$42,INDEX('SECTOR OVERVIEW'!M$1:M$21,7),'DONNÉES BRUTES'!AB$3:AB$42)&gt;=65,"↑ Positif",IF(AVERAGEIF('DONNÉES BRUTES'!C$3:C$42,INDEX('SECTOR OVERVIEW'!M$1:M$21,7),'DONNÉES BRUTES'!AB$3:AB$42)&gt;=50,"→ Neutre","↓ Négatif")),"—"),"—")</f>
        <v>→ Neutre</v>
      </c>
      <c r="L14" s="240"/>
    </row>
    <row r="15" spans="1:17" ht="18" customHeight="1" x14ac:dyDescent="0.25">
      <c r="A15" s="104"/>
      <c r="B15" s="237" t="str">
        <f>IFERROR(INDEX('SECTOR OVERVIEW'!M$1:M$21,8),"")</f>
        <v>Materials</v>
      </c>
      <c r="C15" s="236">
        <f>IFERROR(IF(ISNUMBER(MATCH(INDEX('SECTOR OVERVIEW'!M$1:M$21,8),'DONNÉES BRUTES'!C$3:C$42,0)),COUNTIF('DONNÉES BRUTES'!C$3:C$42,INDEX('SECTOR OVERVIEW'!M$1:M$21,8)),""),"")</f>
        <v>2</v>
      </c>
      <c r="D15" s="238">
        <f>IFERROR(IF(ISNUMBER(MATCH(INDEX('SECTOR OVERVIEW'!M$1:M$21,8),'DONNÉES BRUTES'!C$3:C$42,0)),ROUND(AVERAGEIF('DONNÉES BRUTES'!C$3:C$42,INDEX('SECTOR OVERVIEW'!M$1:M$21,8),'DONNÉES BRUTES'!AB$3:AB$42),0),""),"")</f>
        <v>54</v>
      </c>
      <c r="E15" s="239" t="str">
        <f>IFERROR(IF(ISNUMBER(MATCH(INDEX('SECTOR OVERVIEW'!M$1:M$21,8),'DONNÉES BRUTES'!C$3:C$42,0)),REPT("█",ROUND(AVERAGEIF('DONNÉES BRUTES'!C$3:C$42,INDEX('SECTOR OVERVIEW'!M$1:M$21,8),'DONNÉES BRUTES'!AB$3:AB$42)/10,0))&amp;REPT("░",10-ROUND(AVERAGEIF('DONNÉES BRUTES'!C$3:C$42,INDEX('SECTOR OVERVIEW'!M$1:M$21,8),'DONNÉES BRUTES'!AB$3:AB$42)/10,0))&amp;"  "&amp;ROUND(AVERAGEIF('DONNÉES BRUTES'!C$3:C$42,INDEX('SECTOR OVERVIEW'!M$1:M$21,8),'DONNÉES BRUTES'!AB$3:AB$42),0),""),"")</f>
        <v>█████░░░░░  54</v>
      </c>
      <c r="F15" s="245" t="str">
        <f>IFERROR(IF(ISNUMBER(MATCH(INDEX('SECTOR OVERVIEW'!M$1:M$21,8),'DONNÉES BRUTES'!C$3:C$42,0)),_xlfn.XLOOKUP(_xlfn.MAXIFS('DONNÉES BRUTES'!AB$3:AB$42,'DONNÉES BRUTES'!C$3:C$42,INDEX('SECTOR OVERVIEW'!M$1:M$21,8)),'DONNÉES BRUTES'!AB$3:AB$42,'DONNÉES BRUTES'!B$3:B$42),"—"),"—")</f>
        <v>L'Air Liquide S.A.</v>
      </c>
      <c r="G15" s="239" t="s">
        <v>621</v>
      </c>
      <c r="H15" s="150" t="s">
        <v>614</v>
      </c>
      <c r="I15" s="239" t="str" cm="1">
        <f t="array" ref="I15">IFERROR(IF(ISNUMBER(MATCH(INDEX('SECTOR OVERVIEW'!M$1:M$21,8),'DONNÉES BRUTES'!C$3:C$42,0)),ROUND(MEDIAN(IF('DONNÉES BRUTES'!C$3:C$42=INDEX('SECTOR OVERVIEW'!M$1:M$21,8),IF(ISNUMBER('DONNÉES BRUTES'!U$3:U$42),'DONNÉES BRUTES'!U$3:U$42))),2),"—"),"—")</f>
        <v>—</v>
      </c>
      <c r="J15" s="239" t="str">
        <f>IFERROR(IF(ISNUMBER(MATCH(INDEX('SECTOR OVERVIEW'!M$1:M$21,8),'DONNÉES BRUTES'!C$3:C$42,0)),IF(COUNTIFS('DONNÉES BRUTES'!C$3:C$42,INDEX('SECTOR OVERVIEW'!M$1:M$21,8),'DONNÉES BRUTES'!AD$3:AD$42,"Surpondérer")&gt;0,"Surpondérer",IF(COUNTIFS('DONNÉES BRUTES'!C$3:C$42,INDEX('SECTOR OVERVIEW'!M$1:M$21,8),'DONNÉES BRUTES'!AD$3:AD$42,"Neutre")&gt;=COUNTIFS('DONNÉES BRUTES'!C$3:C$42,INDEX('SECTOR OVERVIEW'!M$1:M$21,8),'DONNÉES BRUTES'!AD$3:AD$42,"Sous-pondérer"),"Neutre","Sous-pondérer")),"—"),"—")</f>
        <v>Neutre</v>
      </c>
      <c r="K15" s="236" t="str">
        <f>IFERROR(IF(ISNUMBER(MATCH(INDEX('SECTOR OVERVIEW'!M$1:M$21,8),'DONNÉES BRUTES'!C$3:C$42,0)),IF(AVERAGEIF('DONNÉES BRUTES'!C$3:C$42,INDEX('SECTOR OVERVIEW'!M$1:M$21,8),'DONNÉES BRUTES'!AB$3:AB$42)&gt;=65,"↑ Positif",IF(AVERAGEIF('DONNÉES BRUTES'!C$3:C$42,INDEX('SECTOR OVERVIEW'!M$1:M$21,8),'DONNÉES BRUTES'!AB$3:AB$42)&gt;=50,"→ Neutre","↓ Négatif")),"—"),"—")</f>
        <v>→ Neutre</v>
      </c>
      <c r="L15" s="237"/>
    </row>
    <row r="16" spans="1:17" ht="18" customHeight="1" x14ac:dyDescent="0.25">
      <c r="A16" s="5"/>
      <c r="B16" s="240" t="str">
        <f>IFERROR(INDEX('SECTOR OVERVIEW'!M$1:M$21,9),"")</f>
        <v>Real Estate</v>
      </c>
      <c r="C16" s="241">
        <f>IFERROR(IF(ISNUMBER(MATCH(INDEX('SECTOR OVERVIEW'!M$1:M$21,9),'DONNÉES BRUTES'!C$3:C$42,0)),COUNTIF('DONNÉES BRUTES'!C$3:C$42,INDEX('SECTOR OVERVIEW'!M$1:M$21,9)),""),"")</f>
        <v>1</v>
      </c>
      <c r="D16" s="242">
        <f>IFERROR(IF(ISNUMBER(MATCH(INDEX('SECTOR OVERVIEW'!M$1:M$21,9),'DONNÉES BRUTES'!C$3:C$42,0)),ROUND(AVERAGEIF('DONNÉES BRUTES'!C$3:C$42,INDEX('SECTOR OVERVIEW'!M$1:M$21,9),'DONNÉES BRUTES'!AB$3:AB$42),0),""),"")</f>
        <v>69</v>
      </c>
      <c r="E16" s="243" t="str">
        <f>IFERROR(IF(ISNUMBER(MATCH(INDEX('SECTOR OVERVIEW'!M$1:M$21,9),'DONNÉES BRUTES'!C$3:C$42,0)),REPT("█",ROUND(AVERAGEIF('DONNÉES BRUTES'!C$3:C$42,INDEX('SECTOR OVERVIEW'!M$1:M$21,9),'DONNÉES BRUTES'!AB$3:AB$42)/10,0))&amp;REPT("░",10-ROUND(AVERAGEIF('DONNÉES BRUTES'!C$3:C$42,INDEX('SECTOR OVERVIEW'!M$1:M$21,9),'DONNÉES BRUTES'!AB$3:AB$42)/10,0))&amp;"  "&amp;ROUND(AVERAGEIF('DONNÉES BRUTES'!C$3:C$42,INDEX('SECTOR OVERVIEW'!M$1:M$21,9),'DONNÉES BRUTES'!AB$3:AB$42),0),""),"")</f>
        <v>███████░░░  69</v>
      </c>
      <c r="F16" s="244" t="str">
        <f>IFERROR(IF(ISNUMBER(MATCH(INDEX('SECTOR OVERVIEW'!M$1:M$21,9),'DONNÉES BRUTES'!C$3:C$42,0)),_xlfn.XLOOKUP(_xlfn.MAXIFS('DONNÉES BRUTES'!AB$3:AB$42,'DONNÉES BRUTES'!C$3:C$42,INDEX('SECTOR OVERVIEW'!M$1:M$21,9)),'DONNÉES BRUTES'!AB$3:AB$42,'DONNÉES BRUTES'!B$3:B$42),"—"),"—")</f>
        <v>Unibail-Rodamco-Westfield SE</v>
      </c>
      <c r="G16" s="243" t="s">
        <v>240</v>
      </c>
      <c r="H16" s="149" t="s">
        <v>623</v>
      </c>
      <c r="I16" s="243" t="str" cm="1">
        <f t="array" ref="I16">IFERROR(IF(ISNUMBER(MATCH(INDEX('SECTOR OVERVIEW'!M$1:M$21,9),'DONNÉES BRUTES'!C$3:C$42,0)),ROUND(MEDIAN(IF('DONNÉES BRUTES'!C$3:C$42=INDEX('SECTOR OVERVIEW'!M$1:M$21,9),IF(ISNUMBER('DONNÉES BRUTES'!U$3:U$42),'DONNÉES BRUTES'!U$3:U$42))),2),"—"),"—")</f>
        <v>—</v>
      </c>
      <c r="J16" s="243" t="str">
        <f>IFERROR(IF(ISNUMBER(MATCH(INDEX('SECTOR OVERVIEW'!M$1:M$21,9),'DONNÉES BRUTES'!C$3:C$42,0)),IF(COUNTIFS('DONNÉES BRUTES'!C$3:C$42,INDEX('SECTOR OVERVIEW'!M$1:M$21,9),'DONNÉES BRUTES'!AD$3:AD$42,"Surpondérer")&gt;0,"Surpondérer",IF(COUNTIFS('DONNÉES BRUTES'!C$3:C$42,INDEX('SECTOR OVERVIEW'!M$1:M$21,9),'DONNÉES BRUTES'!AD$3:AD$42,"Neutre")&gt;=COUNTIFS('DONNÉES BRUTES'!C$3:C$42,INDEX('SECTOR OVERVIEW'!M$1:M$21,9),'DONNÉES BRUTES'!AD$3:AD$42,"Sous-pondérer"),"Neutre","Sous-pondérer")),"—"),"—")</f>
        <v>Neutre</v>
      </c>
      <c r="K16" s="241" t="str">
        <f>IFERROR(IF(ISNUMBER(MATCH(INDEX('SECTOR OVERVIEW'!M$1:M$21,9),'DONNÉES BRUTES'!C$3:C$42,0)),IF(AVERAGEIF('DONNÉES BRUTES'!C$3:C$42,INDEX('SECTOR OVERVIEW'!M$1:M$21,9),'DONNÉES BRUTES'!AB$3:AB$42)&gt;=65,"↑ Positif",IF(AVERAGEIF('DONNÉES BRUTES'!C$3:C$42,INDEX('SECTOR OVERVIEW'!M$1:M$21,9),'DONNÉES BRUTES'!AB$3:AB$42)&gt;=50,"→ Neutre","↓ Négatif")),"—"),"—")</f>
        <v>↑ Positif</v>
      </c>
      <c r="L16" s="240"/>
    </row>
    <row r="17" spans="1:18" ht="18" customHeight="1" x14ac:dyDescent="0.25">
      <c r="A17" s="302"/>
      <c r="B17" s="237" t="str">
        <f>COUNTA('DONNÉES BRUTES'!A3:A42)&amp;" sociétés — CAC 40"</f>
        <v>40 sociétés — CAC 40</v>
      </c>
      <c r="C17" s="236">
        <f>COUNTA('DONNÉES BRUTES'!A3:A42)</f>
        <v>40</v>
      </c>
      <c r="D17" s="238">
        <f>ROUND(AVERAGE('DONNÉES BRUTES'!AB3:AB42),0)</f>
        <v>50</v>
      </c>
      <c r="E17" s="239" t="s">
        <v>625</v>
      </c>
      <c r="F17" s="245" t="str">
        <f>IFERROR(_xlfn.XLOOKUP(MAX('DONNÉES BRUTES'!AB$3:AB$42),'DONNÉES BRUTES'!AB$3:AB$42,'DONNÉES BRUTES'!B$3:B$42),"—")</f>
        <v>Hermès International Société en commandite par actions</v>
      </c>
      <c r="G17" s="239" t="s">
        <v>240</v>
      </c>
      <c r="H17" s="150" t="s">
        <v>623</v>
      </c>
      <c r="I17" s="239" t="str" cm="1">
        <f t="array" ref="I17">IFERROR(IF(ISNUMBER(MATCH(INDEX('SECTOR OVERVIEW'!M$1:M$21,10),'DONNÉES BRUTES'!C$3:C$42,0)),ROUND(MEDIAN(IF('DONNÉES BRUTES'!C$3:C$42=INDEX('SECTOR OVERVIEW'!M$1:M$21,10),IF(ISNUMBER('DONNÉES BRUTES'!U$3:U$42),'DONNÉES BRUTES'!U$3:U$42))),2),"—"),"—")</f>
        <v>—</v>
      </c>
      <c r="J17" s="239" t="str">
        <f>IFERROR(IF(ISNUMBER(MATCH(INDEX('SECTOR OVERVIEW'!M$1:M$21,10),'DONNÉES BRUTES'!C$3:C$42,0)),IF(COUNTIFS('DONNÉES BRUTES'!C$3:C$42,INDEX('SECTOR OVERVIEW'!M$1:M$21,10),'DONNÉES BRUTES'!AD$3:AD$42,"Surpondérer")&gt;0,"Surpondérer",IF(COUNTIFS('DONNÉES BRUTES'!C$3:C$42,INDEX('SECTOR OVERVIEW'!M$1:M$21,10),'DONNÉES BRUTES'!AD$3:AD$42,"Neutre")&gt;=COUNTIFS('DONNÉES BRUTES'!C$3:C$42,INDEX('SECTOR OVERVIEW'!M$1:M$21,10),'DONNÉES BRUTES'!AD$3:AD$42,"Sous-pondérer"),"Neutre","Sous-pondérer")),"—"),"—")</f>
        <v>Sous-pondérer</v>
      </c>
      <c r="K17" s="236" t="str">
        <f>IFERROR(IF(ISNUMBER(MATCH(INDEX('SECTOR OVERVIEW'!M$1:M$21,10),'DONNÉES BRUTES'!C$3:C$42,0)),IF(AVERAGEIF('DONNÉES BRUTES'!C$3:C$42,INDEX('SECTOR OVERVIEW'!M$1:M$21,10),'DONNÉES BRUTES'!AB$3:AB$42)&gt;=65,"↑ Positif",IF(AVERAGEIF('DONNÉES BRUTES'!C$3:C$42,INDEX('SECTOR OVERVIEW'!M$1:M$21,10),'DONNÉES BRUTES'!AB$3:AB$42)&gt;=50,"→ Neutre","↓ Négatif")),"—"),"—")</f>
        <v>↓ Négatif</v>
      </c>
      <c r="L17" s="236"/>
    </row>
    <row r="18" spans="1:18" ht="18" customHeight="1" x14ac:dyDescent="0.25">
      <c r="A18" s="302"/>
      <c r="B18" s="240" t="str">
        <f>IFERROR(INDEX('SECTOR OVERVIEW'!M$1:M$20,10),"")</f>
        <v>Technology</v>
      </c>
      <c r="C18" s="241">
        <f>IFERROR(IF(ISNUMBER(MATCH(INDEX('SECTOR OVERVIEW'!M$1:M$20,10),'DONNÉES BRUTES'!C$3:C$42,0)),COUNTIF('DONNÉES BRUTES'!C$3:C$42,INDEX('SECTOR OVERVIEW'!M$1:M$20,10)),""),"")</f>
        <v>4</v>
      </c>
      <c r="D18" s="242">
        <f>IFERROR(IF(ISNUMBER(MATCH(INDEX('SECTOR OVERVIEW'!M$1:M$20,10),'DONNÉES BRUTES'!C$3:C$42,0)),ROUND(AVERAGEIF('DONNÉES BRUTES'!C$3:C$42,INDEX('SECTOR OVERVIEW'!M$1:M$20,10),'DONNÉES BRUTES'!AB$3:AB$42),0),""),"")</f>
        <v>36</v>
      </c>
      <c r="E18" s="243" t="s">
        <v>626</v>
      </c>
      <c r="F18" s="244" t="str">
        <f>IFERROR(_xlfn.XLOOKUP(_xlfn.MAXIFS('DONNÉES BRUTES'!AB$3:AB$42,'DONNÉES BRUTES'!C$3:C$42,INDEX('SECTOR OVERVIEW'!M$1:M$20,10)),'DONNÉES BRUTES'!AB$3:AB$42,'DONNÉES BRUTES'!B$3:B$42),"—")</f>
        <v>Dassault Systèmes SE</v>
      </c>
      <c r="G18" s="243" t="s">
        <v>185</v>
      </c>
      <c r="H18" s="149" t="s">
        <v>624</v>
      </c>
      <c r="I18" s="243" t="str" cm="1">
        <f t="array" ref="I18">IFERROR(ROUND(MEDIAN(IF('DONNÉES BRUTES'!C$3:C$42=INDEX('SECTOR OVERVIEW'!M$1:M$20,10),IF(ISNUMBER('DONNÉES BRUTES'!U$3:U$42),'DONNÉES BRUTES'!U$3:U$42))),2),"—")</f>
        <v>—</v>
      </c>
      <c r="J18" s="243" t="str">
        <f>IFERROR(IF(ISNUMBER(MATCH(INDEX('SECTOR OVERVIEW'!M$1:M$20,10),'DONNÉES BRUTES'!C$3:C$42,0)),IF(COUNTIFS('DONNÉES BRUTES'!C$3:C$42,INDEX('SECTOR OVERVIEW'!M$1:M$20,10),'DONNÉES BRUTES'!AD$3:AD$42,"Surpondérer")&gt;0,"Surpondérer",IF(COUNTIFS('DONNÉES BRUTES'!C$3:C$42,INDEX('SECTOR OVERVIEW'!M$1:M$20,10),'DONNÉES BRUTES'!AD$3:AD$42,"Neutre")&gt;=COUNTIFS('DONNÉES BRUTES'!C$3:C$42,INDEX('SECTOR OVERVIEW'!M$1:M$20,10),'DONNÉES BRUTES'!AD$3:AD$42,"Sous-pondérer"),"Neutre","Sous-pondérer")),"—"),"—")</f>
        <v>Sous-pondérer</v>
      </c>
      <c r="K18" s="241" t="str">
        <f>IFERROR(IF(AVERAGEIF('DONNÉES BRUTES'!C$3:C$42,INDEX('SECTOR OVERVIEW'!M$1:M$20,10),'DONNÉES BRUTES'!AB$3:AB$42)&gt;=65,"↑ Positif",IF(AVERAGEIF('DONNÉES BRUTES'!C$3:C$42,INDEX('SECTOR OVERVIEW'!M$1:M$20,10),'DONNÉES BRUTES'!AB$3:AB$42)&gt;=50,"→ Neutre","↓ Négatif")),"—")</f>
        <v>↓ Négatif</v>
      </c>
      <c r="L18" s="241"/>
    </row>
    <row r="19" spans="1:18" ht="18" customHeight="1" x14ac:dyDescent="0.25">
      <c r="A19" s="5"/>
      <c r="B19" s="237" t="str">
        <f>IFERROR(INDEX('SECTOR OVERVIEW'!M$1:M$21,11),"")</f>
        <v>Utilities</v>
      </c>
      <c r="C19" s="236">
        <f>IFERROR(IF(ISNUMBER(MATCH(INDEX('SECTOR OVERVIEW'!M$1:M$21,11),'DONNÉES BRUTES'!C$3:C$42,0)),COUNTIF('DONNÉES BRUTES'!C$3:C$42,INDEX('SECTOR OVERVIEW'!M$1:M$21,11)),""),"")</f>
        <v>1</v>
      </c>
      <c r="D19" s="238">
        <f>IFERROR(IF(ISNUMBER(MATCH(INDEX('SECTOR OVERVIEW'!M$1:M$21,11),'DONNÉES BRUTES'!C$3:C$42,0)),ROUND(AVERAGEIF('DONNÉES BRUTES'!C$3:C$42,INDEX('SECTOR OVERVIEW'!M$1:M$21,11),'DONNÉES BRUTES'!AB$3:AB$42),0),""),"")</f>
        <v>46</v>
      </c>
      <c r="E19" s="239" t="str">
        <f>IFERROR(IF(ISNUMBER(MATCH(INDEX('SECTOR OVERVIEW'!M$1:M$21,11),'DONNÉES BRUTES'!C$3:C$42,0)),REPT("█",ROUND(AVERAGEIF('DONNÉES BRUTES'!C$3:C$42,INDEX('SECTOR OVERVIEW'!M$1:M$21,11),'DONNÉES BRUTES'!AB$3:AB$42)/10,0))&amp;REPT("░",10-ROUND(AVERAGEIF('DONNÉES BRUTES'!C$3:C$42,INDEX('SECTOR OVERVIEW'!M$1:M$21,11),'DONNÉES BRUTES'!AB$3:AB$42)/10,0))&amp;"  "&amp;ROUND(AVERAGEIF('DONNÉES BRUTES'!C$3:C$42,INDEX('SECTOR OVERVIEW'!M$1:M$21,11),'DONNÉES BRUTES'!AB$3:AB$42),0),""),"")</f>
        <v>█████░░░░░  46</v>
      </c>
      <c r="F19" s="245" t="str">
        <f>IFERROR(IF(ISNUMBER(MATCH(INDEX('SECTOR OVERVIEW'!M$1:M$21,11),'DONNÉES BRUTES'!C$3:C$42,0)),_xlfn.XLOOKUP(_xlfn.MAXIFS('DONNÉES BRUTES'!AB$3:AB$42,'DONNÉES BRUTES'!C$3:C$42,INDEX('SECTOR OVERVIEW'!M$1:M$21,11)),'DONNÉES BRUTES'!AB$3:AB$42,'DONNÉES BRUTES'!B$3:B$42),"—"),"—")</f>
        <v>Engie SA</v>
      </c>
      <c r="G19" s="239" t="s">
        <v>502</v>
      </c>
      <c r="H19" s="150" t="s">
        <v>622</v>
      </c>
      <c r="I19" s="239" t="str" cm="1">
        <f t="array" ref="I19">IFERROR(IF(ISNUMBER(MATCH(INDEX('SECTOR OVERVIEW'!M$1:M$21,11),'DONNÉES BRUTES'!C$3:C$42,0)),ROUND(MEDIAN(IF('DONNÉES BRUTES'!C$3:C$42=INDEX('SECTOR OVERVIEW'!M$1:M$21,11),IF(ISNUMBER('DONNÉES BRUTES'!U$3:U$42),'DONNÉES BRUTES'!U$3:U$42))),2),"—"),"—")</f>
        <v>—</v>
      </c>
      <c r="J19" s="239" t="str">
        <f>IFERROR(IF(ISNUMBER(MATCH(INDEX('SECTOR OVERVIEW'!M$1:M$21,11),'DONNÉES BRUTES'!C$3:C$42,0)),IF(COUNTIFS('DONNÉES BRUTES'!C$3:C$42,INDEX('SECTOR OVERVIEW'!M$1:M$21,11),'DONNÉES BRUTES'!AD$3:AD$42,"Surpondérer")&gt;0,"Surpondérer",IF(COUNTIFS('DONNÉES BRUTES'!C$3:C$42,INDEX('SECTOR OVERVIEW'!M$1:M$21,11),'DONNÉES BRUTES'!AD$3:AD$42,"Neutre")&gt;=COUNTIFS('DONNÉES BRUTES'!C$3:C$42,INDEX('SECTOR OVERVIEW'!M$1:M$21,11),'DONNÉES BRUTES'!AD$3:AD$42,"Sous-pondérer"),"Neutre","Sous-pondérer")),"—"),"—")</f>
        <v>Sous-pondérer</v>
      </c>
      <c r="K19" s="236" t="str">
        <f>IFERROR(IF(ISNUMBER(MATCH(INDEX('SECTOR OVERVIEW'!M$1:M$21,11),'DONNÉES BRUTES'!C$3:C$42,0)),IF(AVERAGEIF('DONNÉES BRUTES'!C$3:C$42,INDEX('SECTOR OVERVIEW'!M$1:M$21,11),'DONNÉES BRUTES'!AB$3:AB$42)&gt;=65,"↑ Positif",IF(AVERAGEIF('DONNÉES BRUTES'!C$3:C$42,INDEX('SECTOR OVERVIEW'!M$1:M$21,11),'DONNÉES BRUTES'!AB$3:AB$42)&gt;=50,"→ Neutre","↓ Négatif")),"—"),"—")</f>
        <v>↓ Négatif</v>
      </c>
      <c r="L19" s="236"/>
    </row>
    <row r="20" spans="1:18" ht="20.100000000000001" customHeight="1" x14ac:dyDescent="0.25">
      <c r="A20" s="295"/>
    </row>
    <row r="21" spans="1:18" s="296" customFormat="1" ht="5.0999999999999996" customHeight="1" x14ac:dyDescent="0.25">
      <c r="D21" s="297"/>
      <c r="E21" s="298"/>
      <c r="G21" s="298"/>
      <c r="H21" s="298"/>
      <c r="O21" s="299"/>
      <c r="P21" s="299"/>
      <c r="Q21" s="299"/>
      <c r="R21" s="299"/>
    </row>
    <row r="22" spans="1:18" ht="18" customHeight="1" x14ac:dyDescent="0.25"/>
    <row r="23" spans="1:18" ht="15.95" customHeight="1" x14ac:dyDescent="0.25"/>
    <row r="24" spans="1:18" ht="15.95" customHeight="1" x14ac:dyDescent="0.25"/>
    <row r="25" spans="1:18" ht="15.95" customHeight="1" x14ac:dyDescent="0.25"/>
    <row r="26" spans="1:18" ht="15.95" customHeight="1" x14ac:dyDescent="0.25"/>
    <row r="27" spans="1:18" ht="15.95" customHeight="1" x14ac:dyDescent="0.25"/>
    <row r="28" spans="1:18" ht="15.95" customHeight="1" x14ac:dyDescent="0.25"/>
    <row r="29" spans="1:18" ht="15.95" customHeight="1" x14ac:dyDescent="0.25"/>
    <row r="30" spans="1:18" ht="15.95" customHeight="1" x14ac:dyDescent="0.25"/>
    <row r="31" spans="1:18" ht="9.9499999999999993" customHeight="1" x14ac:dyDescent="0.25"/>
    <row r="32" spans="1:18" ht="14.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32"/>
  <sheetViews>
    <sheetView showGridLines="0" zoomScale="90" workbookViewId="0">
      <selection activeCell="A12" sqref="A12"/>
    </sheetView>
  </sheetViews>
  <sheetFormatPr baseColWidth="10" defaultColWidth="8.85546875" defaultRowHeight="15" x14ac:dyDescent="0.25"/>
  <cols>
    <col min="1" max="1" width="1.5703125" customWidth="1"/>
    <col min="2" max="2" width="5.28515625" customWidth="1"/>
    <col min="3" max="3" width="10.42578125" customWidth="1"/>
    <col min="4" max="4" width="21.85546875" customWidth="1"/>
    <col min="5" max="5" width="10.42578125" customWidth="1"/>
    <col min="6" max="8" width="5.28515625" customWidth="1"/>
    <col min="9" max="10" width="8" customWidth="1"/>
    <col min="11" max="11" width="7.28515625" customWidth="1"/>
    <col min="12" max="13" width="8" customWidth="1"/>
    <col min="14" max="14" width="6.42578125" customWidth="1"/>
    <col min="15" max="15" width="7.28515625" customWidth="1"/>
    <col min="16" max="16" width="6.42578125" customWidth="1"/>
    <col min="17" max="17" width="14.140625" bestFit="1" customWidth="1"/>
  </cols>
  <sheetData>
    <row r="1" spans="2:17" ht="30" customHeight="1" x14ac:dyDescent="0.25">
      <c r="B1" s="273" t="str">
        <f>"FinSight IA  ·  Technology  ·  CAC 40  ·  "&amp;COUNTIF('DONNÉES BRUTES'!C$3:C$42,"Technology")&amp;" sociétés  ·  22/03/2026"</f>
        <v>FinSight IA  ·  Technology  ·  CAC 40  ·  4 sociétés  ·  22/03/2026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</row>
    <row r="2" spans="2:17" ht="18" customHeight="1" x14ac:dyDescent="0.25">
      <c r="B2" s="274" t="s">
        <v>252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</row>
    <row r="3" spans="2:17" ht="8.1" customHeight="1" x14ac:dyDescent="0.25"/>
    <row r="4" spans="2:17" ht="8.1" customHeight="1" x14ac:dyDescent="0.25"/>
    <row r="5" spans="2:17" ht="39.950000000000003" customHeight="1" x14ac:dyDescent="0.25">
      <c r="B5" s="255"/>
      <c r="C5" s="246">
        <f>COUNTIF('DONNÉES BRUTES'!C$3:C$42,"Technology")</f>
        <v>4</v>
      </c>
      <c r="D5" s="255"/>
      <c r="E5" s="255" t="str">
        <f>ROUND(AVERAGEIF('DONNÉES BRUTES'!C$3:C$42,"Technology",'DONNÉES BRUTES'!AB$3:AB$42),0)&amp;"/100"</f>
        <v>36/100</v>
      </c>
      <c r="F5" s="255"/>
      <c r="G5" s="255"/>
      <c r="H5" s="255" t="str" cm="1">
        <f t="array" ref="H5">IFERROR(INDEX('DONNÉES BRUTES'!B$3:B$42,MATCH(LARGE(IF('DONNÉES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BRUTES'!A$3))/1000,0),0)),"—")</f>
        <v>Dassault Systèmes SE</v>
      </c>
      <c r="I5" s="255"/>
      <c r="J5" s="255"/>
      <c r="K5" s="255"/>
      <c r="L5" s="251" t="str">
        <f>IFERROR(VLOOKUP("Technology",'SECTOR OVERVIEW'!B$8:G$19,6,0),"—")</f>
        <v>19.6%</v>
      </c>
      <c r="M5" s="255"/>
      <c r="N5" s="252" cm="1">
        <f t="array" ref="N5">IFERROR(ROUND(MEDIAN(IF('DONNÉES BRUTES'!C$3:C$42="Technology",IF(ISNUMBER('DONNÉES BRUTES'!Y$3:Y$42),'DONNÉES BRUTES'!Y$3:Y$42))),0),"—")</f>
        <v>23</v>
      </c>
      <c r="O5" s="255"/>
      <c r="P5" s="284" t="str">
        <f>IF(COUNTIFS('DONNÉES BRUTES'!C$3:C$42,"Technology",'DONNÉES BRUTES'!AD$3:AD$42,"Surpondérer")&gt;0,"Surpondérer",IF(COUNTIFS('DONNÉES BRUTES'!C$3:C$42,"Technology",'DONNÉES BRUTES'!AD$3:AD$42,"Neutre")&gt;=COUNTIFS('DONNÉES BRUTES'!C$3:C$42,"Technology",'DONNÉES BRUTES'!AD$3:AD$42,"Sous-pondérer"),"Neutre","Sous-pondérer"))</f>
        <v>Sous-pondérer</v>
      </c>
      <c r="Q5" s="255"/>
    </row>
    <row r="6" spans="2:17" ht="15.95" customHeight="1" x14ac:dyDescent="0.25">
      <c r="B6" s="255"/>
      <c r="C6" s="247" t="s">
        <v>593</v>
      </c>
      <c r="D6" s="247"/>
      <c r="E6" s="247" t="s">
        <v>594</v>
      </c>
      <c r="F6" s="247"/>
      <c r="G6" s="247"/>
      <c r="H6" s="247" t="s">
        <v>253</v>
      </c>
      <c r="I6" s="247"/>
      <c r="J6" s="247"/>
      <c r="K6" s="255"/>
      <c r="L6" s="248" t="s">
        <v>583</v>
      </c>
      <c r="M6" s="255"/>
      <c r="N6" s="248" t="s">
        <v>607</v>
      </c>
      <c r="O6" s="255"/>
      <c r="P6" s="248" t="s">
        <v>50</v>
      </c>
      <c r="Q6" s="247"/>
    </row>
    <row r="7" spans="2:17" ht="8.1" customHeight="1" x14ac:dyDescent="0.25"/>
    <row r="8" spans="2:17" ht="21.95" customHeight="1" x14ac:dyDescent="0.25">
      <c r="B8" s="275" t="str">
        <f>"ANALYSE DÉTAILLÉE  ·  "&amp;UPPER("Technology")&amp;"  ·  "&amp;COUNTIF('DONNÉES BRUTES'!C$3:C$42,"Technology")&amp;" sociétés  ·  Triée par Score Global"</f>
        <v>ANALYSE DÉTAILLÉE  ·  TECHNOLOGY  ·  4 sociétés  ·  Triée par Score Global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</row>
    <row r="9" spans="2:17" ht="6" customHeight="1" x14ac:dyDescent="0.25"/>
    <row r="10" spans="2:17" ht="20.100000000000001" customHeight="1" x14ac:dyDescent="0.25">
      <c r="B10" s="254" t="s">
        <v>41</v>
      </c>
      <c r="C10" s="254" t="s">
        <v>3</v>
      </c>
      <c r="D10" s="254" t="s">
        <v>4</v>
      </c>
      <c r="E10" s="254" t="s">
        <v>5</v>
      </c>
      <c r="F10" s="254" t="s">
        <v>609</v>
      </c>
      <c r="G10" s="254" t="s">
        <v>610</v>
      </c>
      <c r="H10" s="254" t="s">
        <v>595</v>
      </c>
      <c r="I10" s="254" t="s">
        <v>575</v>
      </c>
      <c r="J10" s="254" t="s">
        <v>573</v>
      </c>
      <c r="K10" s="254" t="s">
        <v>574</v>
      </c>
      <c r="L10" s="254" t="s">
        <v>596</v>
      </c>
      <c r="M10" s="254" t="s">
        <v>95</v>
      </c>
      <c r="N10" s="254" t="s">
        <v>608</v>
      </c>
      <c r="O10" s="254" t="s">
        <v>405</v>
      </c>
      <c r="P10" s="254" t="s">
        <v>89</v>
      </c>
      <c r="Q10" s="254" t="s">
        <v>50</v>
      </c>
    </row>
    <row r="11" spans="2:17" ht="18" customHeight="1" x14ac:dyDescent="0.25">
      <c r="B11">
        <f>IF(1&gt;COUNTIF('DONNÉES BRUTES'!C$3:C$42,"Technology"),"",1)</f>
        <v>1</v>
      </c>
      <c r="C11" t="str" cm="1">
        <f t="array" ref="C11">IFERROR(IF(1&gt;COUNTIF('DONNÉES BRUTES'!C$3:C$42,"Technology"),"",INDEX('DONNÉES BRUTES'!A$3:A$42,MATCH(LARGE(IF('DONNÉES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DSY.PA</v>
      </c>
      <c r="D11" t="str" cm="1">
        <f t="array" ref="D11">IFERROR(IF(1&gt;COUNTIF('DONNÉES BRUTES'!C$3:C$42,"Technology"),"",INDEX('DONNÉES BRUTES'!B$3:B$42,MATCH(LARGE(IF('DONNÉES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Dassault Systèmes SE</v>
      </c>
      <c r="E11" t="str" cm="1">
        <f t="array" ref="E11">IFERROR(IF(1&gt;COUNTIF('DONNÉES BRUTES'!C$3:C$42,"Technology"),"",INT(LARGE(IF('DONNÉES BRUTES'!C$3:C$42="Technology",'DONNÉES BRUTES'!AB$3:AB$42+(ROW('DONNÉES BRUTES'!A$3:A$42)-ROW('DONNÉES BRUTES'!A$3))/1000,0),1))&amp;"/100"),"—")</f>
        <v>72/100</v>
      </c>
      <c r="F11" cm="1">
        <f t="array" ref="F11">IFERROR(IF(1&gt;COUNTIF('DONNÉES BRUTES'!C$3:C$42,"Technology"),"",INDEX('DONNÉES BRUTES'!Y$3:Y$42,MATCH(LARGE(IF('DONNÉES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42</v>
      </c>
      <c r="G11" cm="1">
        <f t="array" ref="G11">IFERROR(IF(1&gt;COUNTIF('DONNÉES BRUTES'!C$3:C$42,"Technology"),"",INDEX('DONNÉES BRUTES'!Z$3:Z$42,MATCH(LARGE(IF('DONNÉES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100</v>
      </c>
      <c r="H11" cm="1">
        <f t="array" ref="H11">IFERROR(IF(1&gt;COUNTIF('DONNÉES BRUTES'!C$3:C$42,"Technology"),"",INDEX('DONNÉES BRUTES'!AA$3:AA$42,MATCH(LARGE(IF('DONNÉES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74</v>
      </c>
      <c r="I11" t="str" cm="1">
        <f t="array" ref="I11">IFERROR(IF(1&gt;COUNTIF('DONNÉES BRUTES'!C$3:C$42,"Technology"),"",INDEX('DONNÉES BRUTES'!M$3:M$42,MATCH(LARGE(IF('DONNÉES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83.7%</v>
      </c>
      <c r="J11" t="str" cm="1">
        <f t="array" ref="J11">IFERROR(IF(1&gt;COUNTIF('DONNÉES BRUTES'!C$3:C$42,"Technology"),"",INDEX('DONNÉES BRUTES'!N$3:N$42,MATCH(LARGE(IF('DONNÉES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30.4%</v>
      </c>
      <c r="K11" t="str" cm="1">
        <f t="array" ref="K11">IFERROR(IF(1&gt;COUNTIF('DONNÉES BRUTES'!C$3:C$42,"Technology"),"",INDEX('DONNÉES BRUTES'!O$3:O$42,MATCH(LARGE(IF('DONNÉES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19.2%</v>
      </c>
      <c r="L11" t="str" cm="1">
        <f t="array" ref="L11">IFERROR(IF(1&gt;COUNTIF('DONNÉES BRUTES'!C$3:C$42,"Technology"),"",INDEX('DONNÉES BRUTES'!P$3:P$42,MATCH(LARGE(IF('DONNÉES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+0.4%</v>
      </c>
      <c r="M11" t="str" cm="1">
        <f t="array" ref="M11">IFERROR(IF(1&gt;COUNTIF('DONNÉES BRUTES'!C$3:C$42,"Technology"),"",INDEX('DONNÉES BRUTES'!Q$3:Q$42,MATCH(LARGE(IF('DONNÉES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+13.6%</v>
      </c>
      <c r="N11" t="str" cm="1">
        <f t="array" ref="N11">IFERROR(IF(1&gt;COUNTIF('DONNÉES BRUTES'!C$3:C$42,"Technology"),"",INDEX('DONNÉES BRUTES'!S$3:S$42,MATCH(LARGE(IF('DONNÉES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1.60</v>
      </c>
      <c r="O11" t="str" cm="1">
        <f t="array" ref="O11">IFERROR(IF(1&gt;COUNTIF('DONNÉES BRUTES'!C$3:C$42,"Technology"),"",INDEX('DONNÉES BRUTES'!T$3:T$42,MATCH(LARGE(IF('DONNÉES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-0.8x</v>
      </c>
      <c r="P11" t="str" cm="1">
        <f t="array" ref="P11">IFERROR(IF(1&gt;COUNTIF('DONNÉES BRUTES'!C$3:C$42,"Technology"),"",INDEX('DONNÉES BRUTES'!U$3:U$42,MATCH(LARGE(IF('DONNÉES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—</v>
      </c>
      <c r="Q11" t="str" cm="1">
        <f t="array" ref="Q11">IFERROR(IF(1&gt;COUNTIF('DONNÉES BRUTES'!C$3:C$42,"Technology"),"",INDEX('DONNÉES BRUTES'!AD$3:AD$42,MATCH(LARGE(IF('DONNÉES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>Neutre</v>
      </c>
    </row>
    <row r="12" spans="2:17" ht="15.95" customHeight="1" x14ac:dyDescent="0.25">
      <c r="B12">
        <f>IF(2&gt;COUNTIF('DONNÉES BRUTES'!C$3:C$42,"Technology"),"",2)</f>
        <v>2</v>
      </c>
      <c r="C12" t="str" cm="1">
        <f t="array" ref="C12">IFERROR(IF(2&gt;COUNTIF('DONNÉES BRUTES'!C$3:C$42,"Technology"),"",INDEX('DONNÉES BRUTES'!A$3:A$42,MATCH(LARGE(IF('DONNÉES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CAP.PA</v>
      </c>
      <c r="D12" t="str" cm="1">
        <f t="array" ref="D12">IFERROR(IF(2&gt;COUNTIF('DONNÉES BRUTES'!C$3:C$42,"Technology"),"",INDEX('DONNÉES BRUTES'!B$3:B$42,MATCH(LARGE(IF('DONNÉES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Capgemini SE</v>
      </c>
      <c r="E12" t="str" cm="1">
        <f t="array" ref="E12">IFERROR(IF(2&gt;COUNTIF('DONNÉES BRUTES'!C$3:C$42,"Technology"),"",INT(LARGE(IF('DONNÉES BRUTES'!C$3:C$42="Technology",'DONNÉES BRUTES'!AB$3:AB$42+(ROW('DONNÉES BRUTES'!A$3:A$42)-ROW('DONNÉES BRUTES'!A$3))/1000,0),2))&amp;"/100"),"—")</f>
        <v>53/100</v>
      </c>
      <c r="F12" cm="1">
        <f t="array" ref="F12">IFERROR(IF(2&gt;COUNTIF('DONNÉES BRUTES'!C$3:C$42,"Technology"),"",INDEX('DONNÉES BRUTES'!Y$3:Y$42,MATCH(LARGE(IF('DONNÉES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37</v>
      </c>
      <c r="G12" cm="1">
        <f t="array" ref="G12">IFERROR(IF(2&gt;COUNTIF('DONNÉES BRUTES'!C$3:C$42,"Technology"),"",INDEX('DONNÉES BRUTES'!Z$3:Z$42,MATCH(LARGE(IF('DONNÉES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36</v>
      </c>
      <c r="H12" cm="1">
        <f t="array" ref="H12">IFERROR(IF(2&gt;COUNTIF('DONNÉES BRUTES'!C$3:C$42,"Technology"),"",INDEX('DONNÉES BRUTES'!AA$3:AA$42,MATCH(LARGE(IF('DONNÉES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87</v>
      </c>
      <c r="I12" t="str" cm="1">
        <f t="array" ref="I12">IFERROR(IF(2&gt;COUNTIF('DONNÉES BRUTES'!C$3:C$42,"Technology"),"",INDEX('DONNÉES BRUTES'!M$3:M$42,MATCH(LARGE(IF('DONNÉES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27.0%</v>
      </c>
      <c r="J12" t="str" cm="1">
        <f t="array" ref="J12">IFERROR(IF(2&gt;COUNTIF('DONNÉES BRUTES'!C$3:C$42,"Technology"),"",INDEX('DONNÉES BRUTES'!N$3:N$42,MATCH(LARGE(IF('DONNÉES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13.6%</v>
      </c>
      <c r="K12" t="str" cm="1">
        <f t="array" ref="K12">IFERROR(IF(2&gt;COUNTIF('DONNÉES BRUTES'!C$3:C$42,"Technology"),"",INDEX('DONNÉES BRUTES'!O$3:O$42,MATCH(LARGE(IF('DONNÉES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7.1%</v>
      </c>
      <c r="L12" t="str" cm="1">
        <f t="array" ref="L12">IFERROR(IF(2&gt;COUNTIF('DONNÉES BRUTES'!C$3:C$42,"Technology"),"",INDEX('DONNÉES BRUTES'!P$3:P$42,MATCH(LARGE(IF('DONNÉES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+1.7%</v>
      </c>
      <c r="M12" t="str" cm="1">
        <f t="array" ref="M12">IFERROR(IF(2&gt;COUNTIF('DONNÉES BRUTES'!C$3:C$42,"Technology"),"",INDEX('DONNÉES BRUTES'!Q$3:Q$42,MATCH(LARGE(IF('DONNÉES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+13.7%</v>
      </c>
      <c r="N12" t="str" cm="1">
        <f t="array" ref="N12">IFERROR(IF(2&gt;COUNTIF('DONNÉES BRUTES'!C$3:C$42,"Technology"),"",INDEX('DONNÉES BRUTES'!S$3:S$42,MATCH(LARGE(IF('DONNÉES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1.21</v>
      </c>
      <c r="O12" t="str" cm="1">
        <f t="array" ref="O12">IFERROR(IF(2&gt;COUNTIF('DONNÉES BRUTES'!C$3:C$42,"Technology"),"",INDEX('DONNÉES BRUTES'!T$3:T$42,MATCH(LARGE(IF('DONNÉES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1.8x</v>
      </c>
      <c r="P12" t="str" cm="1">
        <f t="array" ref="P12">IFERROR(IF(2&gt;COUNTIF('DONNÉES BRUTES'!C$3:C$42,"Technology"),"",INDEX('DONNÉES BRUTES'!U$3:U$42,MATCH(LARGE(IF('DONNÉES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2.44</v>
      </c>
      <c r="Q12" t="str" cm="1">
        <f t="array" ref="Q12">IFERROR(IF(2&gt;COUNTIF('DONNÉES BRUTES'!C$3:C$42,"Technology"),"",INDEX('DONNÉES BRUTES'!AD$3:AD$42,MATCH(LARGE(IF('DONNÉES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>Sous-pondérer</v>
      </c>
    </row>
    <row r="13" spans="2:17" ht="15.95" customHeight="1" x14ac:dyDescent="0.25">
      <c r="B13">
        <f>IF(3&gt;COUNTIF('DONNÉES BRUTES'!C$3:C$42,"Technology"),"",3)</f>
        <v>3</v>
      </c>
      <c r="C13" t="str" cm="1">
        <f t="array" ref="C13">IFERROR(IF(3&gt;COUNTIF('DONNÉES BRUTES'!C$3:C$42,"Technology"),"",INDEX('DONNÉES BRUTES'!A$3:A$42,MATCH(LARGE(IF('DONNÉES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STMPA.PA</v>
      </c>
      <c r="D13" t="str" cm="1">
        <f t="array" ref="D13">IFERROR(IF(3&gt;COUNTIF('DONNÉES BRUTES'!C$3:C$42,"Technology"),"",INDEX('DONNÉES BRUTES'!B$3:B$42,MATCH(LARGE(IF('DONNÉES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STMicroelectronics N.V.</v>
      </c>
      <c r="E13" t="str" cm="1">
        <f t="array" ref="E13">IFERROR(IF(3&gt;COUNTIF('DONNÉES BRUTES'!C$3:C$42,"Technology"),"",INT(LARGE(IF('DONNÉES BRUTES'!C$3:C$42="Technology",'DONNÉES BRUTES'!AB$3:AB$42+(ROW('DONNÉES BRUTES'!A$3:A$42)-ROW('DONNÉES BRUTES'!A$3))/1000,0),3))&amp;"/100"),"—")</f>
        <v>17/100</v>
      </c>
      <c r="F13" cm="1">
        <f t="array" ref="F13">IFERROR(IF(3&gt;COUNTIF('DONNÉES BRUTES'!C$3:C$42,"Technology"),"",INDEX('DONNÉES BRUTES'!Y$3:Y$42,MATCH(LARGE(IF('DONNÉES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8</v>
      </c>
      <c r="G13" cm="1">
        <f t="array" ref="G13">IFERROR(IF(3&gt;COUNTIF('DONNÉES BRUTES'!C$3:C$42,"Technology"),"",INDEX('DONNÉES BRUTES'!Z$3:Z$42,MATCH(LARGE(IF('DONNÉES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44</v>
      </c>
      <c r="H13" cm="1">
        <f t="array" ref="H13">IFERROR(IF(3&gt;COUNTIF('DONNÉES BRUTES'!C$3:C$42,"Technology"),"",INDEX('DONNÉES BRUTES'!AA$3:AA$42,MATCH(LARGE(IF('DONNÉES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0</v>
      </c>
      <c r="I13" t="str" cm="1">
        <f t="array" ref="I13">IFERROR(IF(3&gt;COUNTIF('DONNÉES BRUTES'!C$3:C$42,"Technology"),"",INDEX('DONNÉES BRUTES'!M$3:M$42,MATCH(LARGE(IF('DONNÉES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33.9%</v>
      </c>
      <c r="J13" t="str" cm="1">
        <f t="array" ref="J13">IFERROR(IF(3&gt;COUNTIF('DONNÉES BRUTES'!C$3:C$42,"Technology"),"",INDEX('DONNÉES BRUTES'!N$3:N$42,MATCH(LARGE(IF('DONNÉES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19.6%</v>
      </c>
      <c r="K13" t="str" cm="1">
        <f t="array" ref="K13">IFERROR(IF(3&gt;COUNTIF('DONNÉES BRUTES'!C$3:C$42,"Technology"),"",INDEX('DONNÉES BRUTES'!O$3:O$42,MATCH(LARGE(IF('DONNÉES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1.4%</v>
      </c>
      <c r="L13" t="str" cm="1">
        <f t="array" ref="L13">IFERROR(IF(3&gt;COUNTIF('DONNÉES BRUTES'!C$3:C$42,"Technology"),"",INDEX('DONNÉES BRUTES'!P$3:P$42,MATCH(LARGE(IF('DONNÉES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-11.1%</v>
      </c>
      <c r="M13" t="str" cm="1">
        <f t="array" ref="M13">IFERROR(IF(3&gt;COUNTIF('DONNÉES BRUTES'!C$3:C$42,"Technology"),"",INDEX('DONNÉES BRUTES'!Q$3:Q$42,MATCH(LARGE(IF('DONNÉES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+0.9%</v>
      </c>
      <c r="N13" t="str" cm="1">
        <f t="array" ref="N13">IFERROR(IF(3&gt;COUNTIF('DONNÉES BRUTES'!C$3:C$42,"Technology"),"",INDEX('DONNÉES BRUTES'!S$3:S$42,MATCH(LARGE(IF('DONNÉES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3.36</v>
      </c>
      <c r="O13" t="str" cm="1">
        <f t="array" ref="O13">IFERROR(IF(3&gt;COUNTIF('DONNÉES BRUTES'!C$3:C$42,"Technology"),"",INDEX('DONNÉES BRUTES'!T$3:T$42,MATCH(LARGE(IF('DONNÉES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-0.3x</v>
      </c>
      <c r="P13" t="str" cm="1">
        <f t="array" ref="P13">IFERROR(IF(3&gt;COUNTIF('DONNÉES BRUTES'!C$3:C$42,"Technology"),"",INDEX('DONNÉES BRUTES'!U$3:U$42,MATCH(LARGE(IF('DONNÉES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6.78</v>
      </c>
      <c r="Q13" t="str" cm="1">
        <f t="array" ref="Q13">IFERROR(IF(3&gt;COUNTIF('DONNÉES BRUTES'!C$3:C$42,"Technology"),"",INDEX('DONNÉES BRUTES'!AD$3:AD$42,MATCH(LARGE(IF('DONNÉES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>Sous-pondérer</v>
      </c>
    </row>
    <row r="14" spans="2:17" ht="15.95" customHeight="1" x14ac:dyDescent="0.25">
      <c r="B14">
        <f>IF(4&gt;COUNTIF('DONNÉES BRUTES'!C$3:C$42,"Technology"),"",4)</f>
        <v>4</v>
      </c>
      <c r="C14" t="str" cm="1">
        <f t="array" ref="C14">IFERROR(IF(4&gt;COUNTIF('DONNÉES BRUTES'!C$3:C$42,"Technology"),"",INDEX('DONNÉES BRUTES'!A$3:A$42,MATCH(LARGE(IF('DONNÉES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WLN.PA</v>
      </c>
      <c r="D14" t="str" cm="1">
        <f t="array" ref="D14">IFERROR(IF(4&gt;COUNTIF('DONNÉES BRUTES'!C$3:C$42,"Technology"),"",INDEX('DONNÉES BRUTES'!B$3:B$42,MATCH(LARGE(IF('DONNÉES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Worldline SA</v>
      </c>
      <c r="E14" t="str" cm="1">
        <f t="array" ref="E14">IFERROR(IF(4&gt;COUNTIF('DONNÉES BRUTES'!C$3:C$42,"Technology"),"",INT(LARGE(IF('DONNÉES BRUTES'!C$3:C$42="Technology",'DONNÉES BRUTES'!AB$3:AB$42+(ROW('DONNÉES BRUTES'!A$3:A$42)-ROW('DONNÉES BRUTES'!A$3))/1000,0),4))&amp;"/100"),"—")</f>
        <v>2/100</v>
      </c>
      <c r="F14" cm="1">
        <f t="array" ref="F14">IFERROR(IF(4&gt;COUNTIF('DONNÉES BRUTES'!C$3:C$42,"Technology"),"",INDEX('DONNÉES BRUTES'!Y$3:Y$42,MATCH(LARGE(IF('DONNÉES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0</v>
      </c>
      <c r="G14" cm="1">
        <f t="array" ref="G14">IFERROR(IF(4&gt;COUNTIF('DONNÉES BRUTES'!C$3:C$42,"Technology"),"",INDEX('DONNÉES BRUTES'!Z$3:Z$42,MATCH(LARGE(IF('DONNÉES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0</v>
      </c>
      <c r="H14" cm="1">
        <f t="array" ref="H14">IFERROR(IF(4&gt;COUNTIF('DONNÉES BRUTES'!C$3:C$42,"Technology"),"",INDEX('DONNÉES BRUTES'!AA$3:AA$42,MATCH(LARGE(IF('DONNÉES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5</v>
      </c>
      <c r="I14" t="str" cm="1">
        <f t="array" ref="I14">IFERROR(IF(4&gt;COUNTIF('DONNÉES BRUTES'!C$3:C$42,"Technology"),"",INDEX('DONNÉES BRUTES'!M$3:M$42,MATCH(LARGE(IF('DONNÉES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56.5%</v>
      </c>
      <c r="J14" t="str" cm="1">
        <f t="array" ref="J14">IFERROR(IF(4&gt;COUNTIF('DONNÉES BRUTES'!C$3:C$42,"Technology"),"",INDEX('DONNÉES BRUTES'!N$3:N$42,MATCH(LARGE(IF('DONNÉES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-112.2%</v>
      </c>
      <c r="K14" t="str" cm="1">
        <f t="array" ref="K14">IFERROR(IF(4&gt;COUNTIF('DONNÉES BRUTES'!C$3:C$42,"Technology"),"",INDEX('DONNÉES BRUTES'!O$3:O$42,MATCH(LARGE(IF('DONNÉES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-128.0%</v>
      </c>
      <c r="L14" t="str" cm="1">
        <f t="array" ref="L14">IFERROR(IF(4&gt;COUNTIF('DONNÉES BRUTES'!C$3:C$42,"Technology"),"",INDEX('DONNÉES BRUTES'!P$3:P$42,MATCH(LARGE(IF('DONNÉES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-3.2%</v>
      </c>
      <c r="M14" t="str" cm="1">
        <f t="array" ref="M14">IFERROR(IF(4&gt;COUNTIF('DONNÉES BRUTES'!C$3:C$42,"Technology"),"",INDEX('DONNÉES BRUTES'!Q$3:Q$42,MATCH(LARGE(IF('DONNÉES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-158.6%</v>
      </c>
      <c r="N14" t="str" cm="1">
        <f t="array" ref="N14">IFERROR(IF(4&gt;COUNTIF('DONNÉES BRUTES'!C$3:C$42,"Technology"),"",INDEX('DONNÉES BRUTES'!S$3:S$42,MATCH(LARGE(IF('DONNÉES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1.10</v>
      </c>
      <c r="O14" t="str" cm="1">
        <f t="array" ref="O14">IFERROR(IF(4&gt;COUNTIF('DONNÉES BRUTES'!C$3:C$42,"Technology"),"",INDEX('DONNÉES BRUTES'!T$3:T$42,MATCH(LARGE(IF('DONNÉES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-0.4x</v>
      </c>
      <c r="P14" t="str" cm="1">
        <f t="array" ref="P14">IFERROR(IF(4&gt;COUNTIF('DONNÉES BRUTES'!C$3:C$42,"Technology"),"",INDEX('DONNÉES BRUTES'!U$3:U$42,MATCH(LARGE(IF('DONNÉES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-2.60</v>
      </c>
      <c r="Q14" t="str" cm="1">
        <f t="array" ref="Q14">IFERROR(IF(4&gt;COUNTIF('DONNÉES BRUTES'!C$3:C$42,"Technology"),"",INDEX('DONNÉES BRUTES'!AD$3:AD$42,MATCH(LARGE(IF('DONNÉES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>Sous-pondérer</v>
      </c>
    </row>
    <row r="15" spans="2:17" ht="15.95" customHeight="1" x14ac:dyDescent="0.25">
      <c r="B15" t="str">
        <f>IF(5&gt;COUNTIF('DONNÉES BRUTES'!C$3:C$42,"Technology"),"",5)</f>
        <v/>
      </c>
      <c r="C15" t="str" cm="1">
        <f t="array" ref="C15">IFERROR(IF(5&gt;COUNTIF('DONNÉES BRUTES'!C$3:C$42,"Technology"),"",INDEX('DONNÉES BRUTES'!A$3:A$42,MATCH(LARGE(IF('DONNÉES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D15" t="str" cm="1">
        <f t="array" ref="D15">IFERROR(IF(5&gt;COUNTIF('DONNÉES BRUTES'!C$3:C$42,"Technology"),"",INDEX('DONNÉES BRUTES'!B$3:B$42,MATCH(LARGE(IF('DONNÉES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E15" t="str" cm="1">
        <f t="array" ref="E15">IFERROR(IF(5&gt;COUNTIF('DONNÉES BRUTES'!C$3:C$42,"Technology"),"",INT(LARGE(IF('DONNÉES BRUTES'!C$3:C$42="Technology",'DONNÉES BRUTES'!AB$3:AB$42+(ROW('DONNÉES BRUTES'!A$3:A$42)-ROW('DONNÉES BRUTES'!A$3))/1000,0),5))&amp;"/100"),"—")</f>
        <v/>
      </c>
      <c r="F15" t="str" cm="1">
        <f t="array" ref="F15">IFERROR(IF(5&gt;COUNTIF('DONNÉES BRUTES'!C$3:C$42,"Technology"),"",INDEX('DONNÉES BRUTES'!Y$3:Y$42,MATCH(LARGE(IF('DONNÉES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G15" t="str" cm="1">
        <f t="array" ref="G15">IFERROR(IF(5&gt;COUNTIF('DONNÉES BRUTES'!C$3:C$42,"Technology"),"",INDEX('DONNÉES BRUTES'!Z$3:Z$42,MATCH(LARGE(IF('DONNÉES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H15" t="str" cm="1">
        <f t="array" ref="H15">IFERROR(IF(5&gt;COUNTIF('DONNÉES BRUTES'!C$3:C$42,"Technology"),"",INDEX('DONNÉES BRUTES'!AA$3:AA$42,MATCH(LARGE(IF('DONNÉES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I15" t="str" cm="1">
        <f t="array" ref="I15">IFERROR(IF(5&gt;COUNTIF('DONNÉES BRUTES'!C$3:C$42,"Technology"),"",INDEX('DONNÉES BRUTES'!M$3:M$42,MATCH(LARGE(IF('DONNÉES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J15" t="str" cm="1">
        <f t="array" ref="J15">IFERROR(IF(5&gt;COUNTIF('DONNÉES BRUTES'!C$3:C$42,"Technology"),"",INDEX('DONNÉES BRUTES'!N$3:N$42,MATCH(LARGE(IF('DONNÉES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K15" t="str" cm="1">
        <f t="array" ref="K15">IFERROR(IF(5&gt;COUNTIF('DONNÉES BRUTES'!C$3:C$42,"Technology"),"",INDEX('DONNÉES BRUTES'!O$3:O$42,MATCH(LARGE(IF('DONNÉES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L15" t="str" cm="1">
        <f t="array" ref="L15">IFERROR(IF(5&gt;COUNTIF('DONNÉES BRUTES'!C$3:C$42,"Technology"),"",INDEX('DONNÉES BRUTES'!P$3:P$42,MATCH(LARGE(IF('DONNÉES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M15" t="str" cm="1">
        <f t="array" ref="M15">IFERROR(IF(5&gt;COUNTIF('DONNÉES BRUTES'!C$3:C$42,"Technology"),"",INDEX('DONNÉES BRUTES'!Q$3:Q$42,MATCH(LARGE(IF('DONNÉES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N15" t="str" cm="1">
        <f t="array" ref="N15">IFERROR(IF(5&gt;COUNTIF('DONNÉES BRUTES'!C$3:C$42,"Technology"),"",INDEX('DONNÉES BRUTES'!S$3:S$42,MATCH(LARGE(IF('DONNÉES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O15" t="str" cm="1">
        <f t="array" ref="O15">IFERROR(IF(5&gt;COUNTIF('DONNÉES BRUTES'!C$3:C$42,"Technology"),"",INDEX('DONNÉES BRUTES'!T$3:T$42,MATCH(LARGE(IF('DONNÉES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P15" t="str" cm="1">
        <f t="array" ref="P15">IFERROR(IF(5&gt;COUNTIF('DONNÉES BRUTES'!C$3:C$42,"Technology"),"",INDEX('DONNÉES BRUTES'!U$3:U$42,MATCH(LARGE(IF('DONNÉES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Q15" t="str" cm="1">
        <f t="array" ref="Q15">IFERROR(IF(5&gt;COUNTIF('DONNÉES BRUTES'!C$3:C$42,"Technology"),"",INDEX('DONNÉES BRUTES'!AD$3:AD$42,MATCH(LARGE(IF('DONNÉES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</row>
    <row r="16" spans="2:17" ht="15.95" customHeight="1" x14ac:dyDescent="0.25">
      <c r="B16" t="str">
        <f>IF(6&gt;COUNTIF('DONNÉES BRUTES'!C$3:C$42,"Technology"),"",6)</f>
        <v/>
      </c>
      <c r="C16" t="str" cm="1">
        <f t="array" ref="C16">IFERROR(IF(6&gt;COUNTIF('DONNÉES BRUTES'!C$3:C$42,"Technology"),"",INDEX('DONNÉES BRUTES'!A$3:A$42,MATCH(LARGE(IF('DONNÉES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D16" t="str" cm="1">
        <f t="array" ref="D16">IFERROR(IF(6&gt;COUNTIF('DONNÉES BRUTES'!C$3:C$42,"Technology"),"",INDEX('DONNÉES BRUTES'!B$3:B$42,MATCH(LARGE(IF('DONNÉES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E16" t="str" cm="1">
        <f t="array" ref="E16">IFERROR(IF(6&gt;COUNTIF('DONNÉES BRUTES'!C$3:C$42,"Technology"),"",INT(LARGE(IF('DONNÉES BRUTES'!C$3:C$42="Technology",'DONNÉES BRUTES'!AB$3:AB$42+(ROW('DONNÉES BRUTES'!A$3:A$42)-ROW('DONNÉES BRUTES'!A$3))/1000,0),6))&amp;"/100"),"—")</f>
        <v/>
      </c>
      <c r="F16" t="str" cm="1">
        <f t="array" ref="F16">IFERROR(IF(6&gt;COUNTIF('DONNÉES BRUTES'!C$3:C$42,"Technology"),"",INDEX('DONNÉES BRUTES'!Y$3:Y$42,MATCH(LARGE(IF('DONNÉES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G16" t="str" cm="1">
        <f t="array" ref="G16">IFERROR(IF(6&gt;COUNTIF('DONNÉES BRUTES'!C$3:C$42,"Technology"),"",INDEX('DONNÉES BRUTES'!Z$3:Z$42,MATCH(LARGE(IF('DONNÉES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H16" t="str" cm="1">
        <f t="array" ref="H16">IFERROR(IF(6&gt;COUNTIF('DONNÉES BRUTES'!C$3:C$42,"Technology"),"",INDEX('DONNÉES BRUTES'!AA$3:AA$42,MATCH(LARGE(IF('DONNÉES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I16" t="str" cm="1">
        <f t="array" ref="I16">IFERROR(IF(6&gt;COUNTIF('DONNÉES BRUTES'!C$3:C$42,"Technology"),"",INDEX('DONNÉES BRUTES'!M$3:M$42,MATCH(LARGE(IF('DONNÉES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J16" t="str" cm="1">
        <f t="array" ref="J16">IFERROR(IF(6&gt;COUNTIF('DONNÉES BRUTES'!C$3:C$42,"Technology"),"",INDEX('DONNÉES BRUTES'!N$3:N$42,MATCH(LARGE(IF('DONNÉES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K16" t="str" cm="1">
        <f t="array" ref="K16">IFERROR(IF(6&gt;COUNTIF('DONNÉES BRUTES'!C$3:C$42,"Technology"),"",INDEX('DONNÉES BRUTES'!O$3:O$42,MATCH(LARGE(IF('DONNÉES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L16" t="str" cm="1">
        <f t="array" ref="L16">IFERROR(IF(6&gt;COUNTIF('DONNÉES BRUTES'!C$3:C$42,"Technology"),"",INDEX('DONNÉES BRUTES'!P$3:P$42,MATCH(LARGE(IF('DONNÉES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M16" t="str" cm="1">
        <f t="array" ref="M16">IFERROR(IF(6&gt;COUNTIF('DONNÉES BRUTES'!C$3:C$42,"Technology"),"",INDEX('DONNÉES BRUTES'!Q$3:Q$42,MATCH(LARGE(IF('DONNÉES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N16" t="str" cm="1">
        <f t="array" ref="N16">IFERROR(IF(6&gt;COUNTIF('DONNÉES BRUTES'!C$3:C$42,"Technology"),"",INDEX('DONNÉES BRUTES'!S$3:S$42,MATCH(LARGE(IF('DONNÉES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O16" t="str" cm="1">
        <f t="array" ref="O16">IFERROR(IF(6&gt;COUNTIF('DONNÉES BRUTES'!C$3:C$42,"Technology"),"",INDEX('DONNÉES BRUTES'!T$3:T$42,MATCH(LARGE(IF('DONNÉES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P16" t="str" cm="1">
        <f t="array" ref="P16">IFERROR(IF(6&gt;COUNTIF('DONNÉES BRUTES'!C$3:C$42,"Technology"),"",INDEX('DONNÉES BRUTES'!U$3:U$42,MATCH(LARGE(IF('DONNÉES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Q16" t="str" cm="1">
        <f t="array" ref="Q16">IFERROR(IF(6&gt;COUNTIF('DONNÉES BRUTES'!C$3:C$42,"Technology"),"",INDEX('DONNÉES BRUTES'!AD$3:AD$42,MATCH(LARGE(IF('DONNÉES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</row>
    <row r="17" spans="2:28" ht="15.95" customHeight="1" x14ac:dyDescent="0.25">
      <c r="B17" t="str">
        <f>IF(7&gt;COUNTIF('DONNÉES BRUTES'!C$3:C$42,"Technology"),"",7)</f>
        <v/>
      </c>
      <c r="C17" t="str" cm="1">
        <f t="array" ref="C17">IFERROR(IF(7&gt;COUNTIF('DONNÉES BRUTES'!C$3:C$42,"Technology"),"",INDEX('DONNÉES BRUTES'!A$3:A$42,MATCH(LARGE(IF('DONNÉES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D17" t="str" cm="1">
        <f t="array" ref="D17">IFERROR(IF(7&gt;COUNTIF('DONNÉES BRUTES'!C$3:C$42,"Technology"),"",INDEX('DONNÉES BRUTES'!B$3:B$42,MATCH(LARGE(IF('DONNÉES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E17" t="str" cm="1">
        <f t="array" ref="E17">IFERROR(IF(7&gt;COUNTIF('DONNÉES BRUTES'!C$3:C$42,"Technology"),"",INT(LARGE(IF('DONNÉES BRUTES'!C$3:C$42="Technology",'DONNÉES BRUTES'!AB$3:AB$42+(ROW('DONNÉES BRUTES'!A$3:A$42)-ROW('DONNÉES BRUTES'!A$3))/1000,0),7))&amp;"/100"),"—")</f>
        <v/>
      </c>
      <c r="F17" t="str" cm="1">
        <f t="array" ref="F17">IFERROR(IF(7&gt;COUNTIF('DONNÉES BRUTES'!C$3:C$42,"Technology"),"",INDEX('DONNÉES BRUTES'!Y$3:Y$42,MATCH(LARGE(IF('DONNÉES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G17" t="str" cm="1">
        <f t="array" ref="G17">IFERROR(IF(7&gt;COUNTIF('DONNÉES BRUTES'!C$3:C$42,"Technology"),"",INDEX('DONNÉES BRUTES'!Z$3:Z$42,MATCH(LARGE(IF('DONNÉES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H17" t="str" cm="1">
        <f t="array" ref="H17">IFERROR(IF(7&gt;COUNTIF('DONNÉES BRUTES'!C$3:C$42,"Technology"),"",INDEX('DONNÉES BRUTES'!AA$3:AA$42,MATCH(LARGE(IF('DONNÉES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I17" t="str" cm="1">
        <f t="array" ref="I17">IFERROR(IF(7&gt;COUNTIF('DONNÉES BRUTES'!C$3:C$42,"Technology"),"",INDEX('DONNÉES BRUTES'!M$3:M$42,MATCH(LARGE(IF('DONNÉES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J17" t="str" cm="1">
        <f t="array" ref="J17">IFERROR(IF(7&gt;COUNTIF('DONNÉES BRUTES'!C$3:C$42,"Technology"),"",INDEX('DONNÉES BRUTES'!N$3:N$42,MATCH(LARGE(IF('DONNÉES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K17" t="str" cm="1">
        <f t="array" ref="K17">IFERROR(IF(7&gt;COUNTIF('DONNÉES BRUTES'!C$3:C$42,"Technology"),"",INDEX('DONNÉES BRUTES'!O$3:O$42,MATCH(LARGE(IF('DONNÉES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L17" t="str" cm="1">
        <f t="array" ref="L17">IFERROR(IF(7&gt;COUNTIF('DONNÉES BRUTES'!C$3:C$42,"Technology"),"",INDEX('DONNÉES BRUTES'!P$3:P$42,MATCH(LARGE(IF('DONNÉES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M17" t="str" cm="1">
        <f t="array" ref="M17">IFERROR(IF(7&gt;COUNTIF('DONNÉES BRUTES'!C$3:C$42,"Technology"),"",INDEX('DONNÉES BRUTES'!Q$3:Q$42,MATCH(LARGE(IF('DONNÉES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N17" t="str" cm="1">
        <f t="array" ref="N17">IFERROR(IF(7&gt;COUNTIF('DONNÉES BRUTES'!C$3:C$42,"Technology"),"",INDEX('DONNÉES BRUTES'!S$3:S$42,MATCH(LARGE(IF('DONNÉES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O17" t="str" cm="1">
        <f t="array" ref="O17">IFERROR(IF(7&gt;COUNTIF('DONNÉES BRUTES'!C$3:C$42,"Technology"),"",INDEX('DONNÉES BRUTES'!T$3:T$42,MATCH(LARGE(IF('DONNÉES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P17" t="str" cm="1">
        <f t="array" ref="P17">IFERROR(IF(7&gt;COUNTIF('DONNÉES BRUTES'!C$3:C$42,"Technology"),"",INDEX('DONNÉES BRUTES'!U$3:U$42,MATCH(LARGE(IF('DONNÉES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Q17" t="str" cm="1">
        <f t="array" ref="Q17">IFERROR(IF(7&gt;COUNTIF('DONNÉES BRUTES'!C$3:C$42,"Technology"),"",INDEX('DONNÉES BRUTES'!AD$3:AD$42,MATCH(LARGE(IF('DONNÉES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</row>
    <row r="18" spans="2:28" ht="15.95" customHeight="1" x14ac:dyDescent="0.25">
      <c r="B18" t="str">
        <f>IF(8&gt;COUNTIF('DONNÉES BRUTES'!C$3:C$42,"Technology"),"",8)</f>
        <v/>
      </c>
      <c r="C18" t="str" cm="1">
        <f t="array" ref="C18">IFERROR(IF(8&gt;COUNTIF('DONNÉES BRUTES'!C$3:C$42,"Technology"),"",INDEX('DONNÉES BRUTES'!A$3:A$42,MATCH(LARGE(IF('DONNÉES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D18" t="str" cm="1">
        <f t="array" ref="D18">IFERROR(IF(8&gt;COUNTIF('DONNÉES BRUTES'!C$3:C$42,"Technology"),"",INDEX('DONNÉES BRUTES'!B$3:B$42,MATCH(LARGE(IF('DONNÉES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E18" t="str" cm="1">
        <f t="array" ref="E18">IFERROR(IF(8&gt;COUNTIF('DONNÉES BRUTES'!C$3:C$42,"Technology"),"",INT(LARGE(IF('DONNÉES BRUTES'!C$3:C$42="Technology",'DONNÉES BRUTES'!AB$3:AB$42+(ROW('DONNÉES BRUTES'!A$3:A$42)-ROW('DONNÉES BRUTES'!A$3))/1000,0),8))&amp;"/100"),"—")</f>
        <v/>
      </c>
      <c r="F18" t="str" cm="1">
        <f t="array" ref="F18">IFERROR(IF(8&gt;COUNTIF('DONNÉES BRUTES'!C$3:C$42,"Technology"),"",INDEX('DONNÉES BRUTES'!Y$3:Y$42,MATCH(LARGE(IF('DONNÉES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G18" t="str" cm="1">
        <f t="array" ref="G18">IFERROR(IF(8&gt;COUNTIF('DONNÉES BRUTES'!C$3:C$42,"Technology"),"",INDEX('DONNÉES BRUTES'!Z$3:Z$42,MATCH(LARGE(IF('DONNÉES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H18" t="str" cm="1">
        <f t="array" ref="H18">IFERROR(IF(8&gt;COUNTIF('DONNÉES BRUTES'!C$3:C$42,"Technology"),"",INDEX('DONNÉES BRUTES'!AA$3:AA$42,MATCH(LARGE(IF('DONNÉES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I18" t="str" cm="1">
        <f t="array" ref="I18">IFERROR(IF(8&gt;COUNTIF('DONNÉES BRUTES'!C$3:C$42,"Technology"),"",INDEX('DONNÉES BRUTES'!M$3:M$42,MATCH(LARGE(IF('DONNÉES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J18" t="str" cm="1">
        <f t="array" ref="J18">IFERROR(IF(8&gt;COUNTIF('DONNÉES BRUTES'!C$3:C$42,"Technology"),"",INDEX('DONNÉES BRUTES'!N$3:N$42,MATCH(LARGE(IF('DONNÉES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K18" t="str" cm="1">
        <f t="array" ref="K18">IFERROR(IF(8&gt;COUNTIF('DONNÉES BRUTES'!C$3:C$42,"Technology"),"",INDEX('DONNÉES BRUTES'!O$3:O$42,MATCH(LARGE(IF('DONNÉES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L18" t="str" cm="1">
        <f t="array" ref="L18">IFERROR(IF(8&gt;COUNTIF('DONNÉES BRUTES'!C$3:C$42,"Technology"),"",INDEX('DONNÉES BRUTES'!P$3:P$42,MATCH(LARGE(IF('DONNÉES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M18" t="str" cm="1">
        <f t="array" ref="M18">IFERROR(IF(8&gt;COUNTIF('DONNÉES BRUTES'!C$3:C$42,"Technology"),"",INDEX('DONNÉES BRUTES'!Q$3:Q$42,MATCH(LARGE(IF('DONNÉES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N18" t="str" cm="1">
        <f t="array" ref="N18">IFERROR(IF(8&gt;COUNTIF('DONNÉES BRUTES'!C$3:C$42,"Technology"),"",INDEX('DONNÉES BRUTES'!S$3:S$42,MATCH(LARGE(IF('DONNÉES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O18" t="str" cm="1">
        <f t="array" ref="O18">IFERROR(IF(8&gt;COUNTIF('DONNÉES BRUTES'!C$3:C$42,"Technology"),"",INDEX('DONNÉES BRUTES'!T$3:T$42,MATCH(LARGE(IF('DONNÉES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P18" t="str" cm="1">
        <f t="array" ref="P18">IFERROR(IF(8&gt;COUNTIF('DONNÉES BRUTES'!C$3:C$42,"Technology"),"",INDEX('DONNÉES BRUTES'!U$3:U$42,MATCH(LARGE(IF('DONNÉES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Q18" t="str" cm="1">
        <f t="array" ref="Q18">IFERROR(IF(8&gt;COUNTIF('DONNÉES BRUTES'!C$3:C$42,"Technology"),"",INDEX('DONNÉES BRUTES'!AD$3:AD$42,MATCH(LARGE(IF('DONNÉES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</row>
    <row r="19" spans="2:28" ht="15.95" customHeight="1" x14ac:dyDescent="0.25">
      <c r="B19" t="str">
        <f>IF(9&gt;COUNTIF('DONNÉES BRUTES'!C$3:C$42,"Technology"),"",9)</f>
        <v/>
      </c>
      <c r="C19" t="str" cm="1">
        <f t="array" ref="C19">IFERROR(IF(9&gt;COUNTIF('DONNÉES BRUTES'!C$3:C$42,"Technology"),"",INDEX('DONNÉES BRUTES'!A$3:A$42,MATCH(LARGE(IF('DONNÉES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D19" t="str" cm="1">
        <f t="array" ref="D19">IFERROR(IF(9&gt;COUNTIF('DONNÉES BRUTES'!C$3:C$42,"Technology"),"",INDEX('DONNÉES BRUTES'!B$3:B$42,MATCH(LARGE(IF('DONNÉES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E19" t="str" cm="1">
        <f t="array" ref="E19">IFERROR(IF(9&gt;COUNTIF('DONNÉES BRUTES'!C$3:C$42,"Technology"),"",INT(LARGE(IF('DONNÉES BRUTES'!C$3:C$42="Technology",'DONNÉES BRUTES'!AB$3:AB$42+(ROW('DONNÉES BRUTES'!A$3:A$42)-ROW('DONNÉES BRUTES'!A$3))/1000,0),9))&amp;"/100"),"—")</f>
        <v/>
      </c>
      <c r="F19" t="str" cm="1">
        <f t="array" ref="F19">IFERROR(IF(9&gt;COUNTIF('DONNÉES BRUTES'!C$3:C$42,"Technology"),"",INDEX('DONNÉES BRUTES'!Y$3:Y$42,MATCH(LARGE(IF('DONNÉES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G19" t="str" cm="1">
        <f t="array" ref="G19">IFERROR(IF(9&gt;COUNTIF('DONNÉES BRUTES'!C$3:C$42,"Technology"),"",INDEX('DONNÉES BRUTES'!Z$3:Z$42,MATCH(LARGE(IF('DONNÉES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H19" t="str" cm="1">
        <f t="array" ref="H19">IFERROR(IF(9&gt;COUNTIF('DONNÉES BRUTES'!C$3:C$42,"Technology"),"",INDEX('DONNÉES BRUTES'!AA$3:AA$42,MATCH(LARGE(IF('DONNÉES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I19" t="str" cm="1">
        <f t="array" ref="I19">IFERROR(IF(9&gt;COUNTIF('DONNÉES BRUTES'!C$3:C$42,"Technology"),"",INDEX('DONNÉES BRUTES'!M$3:M$42,MATCH(LARGE(IF('DONNÉES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J19" t="str" cm="1">
        <f t="array" ref="J19">IFERROR(IF(9&gt;COUNTIF('DONNÉES BRUTES'!C$3:C$42,"Technology"),"",INDEX('DONNÉES BRUTES'!N$3:N$42,MATCH(LARGE(IF('DONNÉES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K19" t="str" cm="1">
        <f t="array" ref="K19">IFERROR(IF(9&gt;COUNTIF('DONNÉES BRUTES'!C$3:C$42,"Technology"),"",INDEX('DONNÉES BRUTES'!O$3:O$42,MATCH(LARGE(IF('DONNÉES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L19" t="str" cm="1">
        <f t="array" ref="L19">IFERROR(IF(9&gt;COUNTIF('DONNÉES BRUTES'!C$3:C$42,"Technology"),"",INDEX('DONNÉES BRUTES'!P$3:P$42,MATCH(LARGE(IF('DONNÉES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M19" t="str" cm="1">
        <f t="array" ref="M19">IFERROR(IF(9&gt;COUNTIF('DONNÉES BRUTES'!C$3:C$42,"Technology"),"",INDEX('DONNÉES BRUTES'!Q$3:Q$42,MATCH(LARGE(IF('DONNÉES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N19" t="str" cm="1">
        <f t="array" ref="N19">IFERROR(IF(9&gt;COUNTIF('DONNÉES BRUTES'!C$3:C$42,"Technology"),"",INDEX('DONNÉES BRUTES'!S$3:S$42,MATCH(LARGE(IF('DONNÉES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O19" t="str" cm="1">
        <f t="array" ref="O19">IFERROR(IF(9&gt;COUNTIF('DONNÉES BRUTES'!C$3:C$42,"Technology"),"",INDEX('DONNÉES BRUTES'!T$3:T$42,MATCH(LARGE(IF('DONNÉES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P19" t="str" cm="1">
        <f t="array" ref="P19">IFERROR(IF(9&gt;COUNTIF('DONNÉES BRUTES'!C$3:C$42,"Technology"),"",INDEX('DONNÉES BRUTES'!U$3:U$42,MATCH(LARGE(IF('DONNÉES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Q19" t="str" cm="1">
        <f t="array" ref="Q19">IFERROR(IF(9&gt;COUNTIF('DONNÉES BRUTES'!C$3:C$42,"Technology"),"",INDEX('DONNÉES BRUTES'!AD$3:AD$42,MATCH(LARGE(IF('DONNÉES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</row>
    <row r="20" spans="2:28" ht="15.95" customHeight="1" x14ac:dyDescent="0.25">
      <c r="B20" t="str">
        <f>IF(10&gt;COUNTIF('DONNÉES BRUTES'!C$3:C$42,"Technology"),"",10)</f>
        <v/>
      </c>
      <c r="C20" t="str" cm="1">
        <f t="array" ref="C20">IFERROR(IF(10&gt;COUNTIF('DONNÉES BRUTES'!C$3:C$42,"Technology"),"",INDEX('DONNÉES BRUTES'!A$3:A$42,MATCH(LARGE(IF('DONNÉES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D20" t="str" cm="1">
        <f t="array" ref="D20">IFERROR(IF(10&gt;COUNTIF('DONNÉES BRUTES'!C$3:C$42,"Technology"),"",INDEX('DONNÉES BRUTES'!B$3:B$42,MATCH(LARGE(IF('DONNÉES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E20" t="str" cm="1">
        <f t="array" ref="E20">IFERROR(IF(10&gt;COUNTIF('DONNÉES BRUTES'!C$3:C$42,"Technology"),"",INT(LARGE(IF('DONNÉES BRUTES'!C$3:C$42="Technology",'DONNÉES BRUTES'!AB$3:AB$42+(ROW('DONNÉES BRUTES'!A$3:A$42)-ROW('DONNÉES BRUTES'!A$3))/1000,0),10))&amp;"/100"),"—")</f>
        <v/>
      </c>
      <c r="F20" t="str" cm="1">
        <f t="array" ref="F20">IFERROR(IF(10&gt;COUNTIF('DONNÉES BRUTES'!C$3:C$42,"Technology"),"",INDEX('DONNÉES BRUTES'!Y$3:Y$42,MATCH(LARGE(IF('DONNÉES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G20" t="str" cm="1">
        <f t="array" ref="G20">IFERROR(IF(10&gt;COUNTIF('DONNÉES BRUTES'!C$3:C$42,"Technology"),"",INDEX('DONNÉES BRUTES'!Z$3:Z$42,MATCH(LARGE(IF('DONNÉES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H20" t="str" cm="1">
        <f t="array" ref="H20">IFERROR(IF(10&gt;COUNTIF('DONNÉES BRUTES'!C$3:C$42,"Technology"),"",INDEX('DONNÉES BRUTES'!AA$3:AA$42,MATCH(LARGE(IF('DONNÉES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I20" t="str" cm="1">
        <f t="array" ref="I20">IFERROR(IF(10&gt;COUNTIF('DONNÉES BRUTES'!C$3:C$42,"Technology"),"",INDEX('DONNÉES BRUTES'!M$3:M$42,MATCH(LARGE(IF('DONNÉES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J20" t="str" cm="1">
        <f t="array" ref="J20">IFERROR(IF(10&gt;COUNTIF('DONNÉES BRUTES'!C$3:C$42,"Technology"),"",INDEX('DONNÉES BRUTES'!N$3:N$42,MATCH(LARGE(IF('DONNÉES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K20" t="str" cm="1">
        <f t="array" ref="K20">IFERROR(IF(10&gt;COUNTIF('DONNÉES BRUTES'!C$3:C$42,"Technology"),"",INDEX('DONNÉES BRUTES'!O$3:O$42,MATCH(LARGE(IF('DONNÉES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L20" t="str" cm="1">
        <f t="array" ref="L20">IFERROR(IF(10&gt;COUNTIF('DONNÉES BRUTES'!C$3:C$42,"Technology"),"",INDEX('DONNÉES BRUTES'!P$3:P$42,MATCH(LARGE(IF('DONNÉES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M20" t="str" cm="1">
        <f t="array" ref="M20">IFERROR(IF(10&gt;COUNTIF('DONNÉES BRUTES'!C$3:C$42,"Technology"),"",INDEX('DONNÉES BRUTES'!Q$3:Q$42,MATCH(LARGE(IF('DONNÉES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N20" t="str" cm="1">
        <f t="array" ref="N20">IFERROR(IF(10&gt;COUNTIF('DONNÉES BRUTES'!C$3:C$42,"Technology"),"",INDEX('DONNÉES BRUTES'!S$3:S$42,MATCH(LARGE(IF('DONNÉES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O20" t="str" cm="1">
        <f t="array" ref="O20">IFERROR(IF(10&gt;COUNTIF('DONNÉES BRUTES'!C$3:C$42,"Technology"),"",INDEX('DONNÉES BRUTES'!T$3:T$42,MATCH(LARGE(IF('DONNÉES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P20" t="str" cm="1">
        <f t="array" ref="P20">IFERROR(IF(10&gt;COUNTIF('DONNÉES BRUTES'!C$3:C$42,"Technology"),"",INDEX('DONNÉES BRUTES'!U$3:U$42,MATCH(LARGE(IF('DONNÉES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Q20" t="str" cm="1">
        <f t="array" ref="Q20">IFERROR(IF(10&gt;COUNTIF('DONNÉES BRUTES'!C$3:C$42,"Technology"),"",INDEX('DONNÉES BRUTES'!AD$3:AD$42,MATCH(LARGE(IF('DONNÉES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</row>
    <row r="21" spans="2:28" ht="15.95" customHeight="1" x14ac:dyDescent="0.25">
      <c r="B21" t="str">
        <f>IF(11&gt;COUNTIF('DONNÉES BRUTES'!C$3:C$42,"Technology"),"",11)</f>
        <v/>
      </c>
      <c r="C21" t="str" cm="1">
        <f t="array" ref="C21">IFERROR(IF(11&gt;COUNTIF('DONNÉES BRUTES'!C$3:C$42,"Technology"),"",INDEX('DONNÉES BRUTES'!A$3:A$42,MATCH(LARGE(IF('DONNÉES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D21" t="str" cm="1">
        <f t="array" ref="D21">IFERROR(IF(11&gt;COUNTIF('DONNÉES BRUTES'!C$3:C$42,"Technology"),"",INDEX('DONNÉES BRUTES'!B$3:B$42,MATCH(LARGE(IF('DONNÉES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E21" t="str" cm="1">
        <f t="array" ref="E21">IFERROR(IF(11&gt;COUNTIF('DONNÉES BRUTES'!C$3:C$42,"Technology"),"",INT(LARGE(IF('DONNÉES BRUTES'!C$3:C$42="Technology",'DONNÉES BRUTES'!AB$3:AB$42+(ROW('DONNÉES BRUTES'!A$3:A$42)-ROW('DONNÉES BRUTES'!A$3))/1000,0),11))&amp;"/100"),"—")</f>
        <v/>
      </c>
      <c r="F21" t="str" cm="1">
        <f t="array" ref="F21">IFERROR(IF(11&gt;COUNTIF('DONNÉES BRUTES'!C$3:C$42,"Technology"),"",INDEX('DONNÉES BRUTES'!Y$3:Y$42,MATCH(LARGE(IF('DONNÉES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G21" t="str" cm="1">
        <f t="array" ref="G21">IFERROR(IF(11&gt;COUNTIF('DONNÉES BRUTES'!C$3:C$42,"Technology"),"",INDEX('DONNÉES BRUTES'!Z$3:Z$42,MATCH(LARGE(IF('DONNÉES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H21" t="str" cm="1">
        <f t="array" ref="H21">IFERROR(IF(11&gt;COUNTIF('DONNÉES BRUTES'!C$3:C$42,"Technology"),"",INDEX('DONNÉES BRUTES'!AA$3:AA$42,MATCH(LARGE(IF('DONNÉES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I21" t="str" cm="1">
        <f t="array" ref="I21">IFERROR(IF(11&gt;COUNTIF('DONNÉES BRUTES'!C$3:C$42,"Technology"),"",INDEX('DONNÉES BRUTES'!M$3:M$42,MATCH(LARGE(IF('DONNÉES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J21" t="str" cm="1">
        <f t="array" ref="J21">IFERROR(IF(11&gt;COUNTIF('DONNÉES BRUTES'!C$3:C$42,"Technology"),"",INDEX('DONNÉES BRUTES'!N$3:N$42,MATCH(LARGE(IF('DONNÉES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K21" t="str" cm="1">
        <f t="array" ref="K21">IFERROR(IF(11&gt;COUNTIF('DONNÉES BRUTES'!C$3:C$42,"Technology"),"",INDEX('DONNÉES BRUTES'!O$3:O$42,MATCH(LARGE(IF('DONNÉES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L21" t="str" cm="1">
        <f t="array" ref="L21">IFERROR(IF(11&gt;COUNTIF('DONNÉES BRUTES'!C$3:C$42,"Technology"),"",INDEX('DONNÉES BRUTES'!P$3:P$42,MATCH(LARGE(IF('DONNÉES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M21" t="str" cm="1">
        <f t="array" ref="M21">IFERROR(IF(11&gt;COUNTIF('DONNÉES BRUTES'!C$3:C$42,"Technology"),"",INDEX('DONNÉES BRUTES'!Q$3:Q$42,MATCH(LARGE(IF('DONNÉES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N21" t="str" cm="1">
        <f t="array" ref="N21">IFERROR(IF(11&gt;COUNTIF('DONNÉES BRUTES'!C$3:C$42,"Technology"),"",INDEX('DONNÉES BRUTES'!S$3:S$42,MATCH(LARGE(IF('DONNÉES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O21" t="str" cm="1">
        <f t="array" ref="O21">IFERROR(IF(11&gt;COUNTIF('DONNÉES BRUTES'!C$3:C$42,"Technology"),"",INDEX('DONNÉES BRUTES'!T$3:T$42,MATCH(LARGE(IF('DONNÉES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P21" t="str" cm="1">
        <f t="array" ref="P21">IFERROR(IF(11&gt;COUNTIF('DONNÉES BRUTES'!C$3:C$42,"Technology"),"",INDEX('DONNÉES BRUTES'!U$3:U$42,MATCH(LARGE(IF('DONNÉES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Q21" t="str" cm="1">
        <f t="array" ref="Q21">IFERROR(IF(11&gt;COUNTIF('DONNÉES BRUTES'!C$3:C$42,"Technology"),"",INDEX('DONNÉES BRUTES'!AD$3:AD$42,MATCH(LARGE(IF('DONNÉES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</row>
    <row r="22" spans="2:28" ht="15.95" customHeight="1" x14ac:dyDescent="0.25">
      <c r="B22" t="str">
        <f>IF(12&gt;COUNTIF('DONNÉES BRUTES'!C$3:C$42,"Technology"),"",12)</f>
        <v/>
      </c>
      <c r="C22" t="str" cm="1">
        <f t="array" ref="C22">IFERROR(IF(12&gt;COUNTIF('DONNÉES BRUTES'!C$3:C$42,"Technology"),"",INDEX('DONNÉES BRUTES'!A$3:A$42,MATCH(LARGE(IF('DONNÉES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D22" t="str" cm="1">
        <f t="array" ref="D22">IFERROR(IF(12&gt;COUNTIF('DONNÉES BRUTES'!C$3:C$42,"Technology"),"",INDEX('DONNÉES BRUTES'!B$3:B$42,MATCH(LARGE(IF('DONNÉES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E22" t="str" cm="1">
        <f t="array" ref="E22">IFERROR(IF(12&gt;COUNTIF('DONNÉES BRUTES'!C$3:C$42,"Technology"),"",INT(LARGE(IF('DONNÉES BRUTES'!C$3:C$42="Technology",'DONNÉES BRUTES'!AB$3:AB$42+(ROW('DONNÉES BRUTES'!A$3:A$42)-ROW('DONNÉES BRUTES'!A$3))/1000,0),12))&amp;"/100"),"—")</f>
        <v/>
      </c>
      <c r="F22" t="str" cm="1">
        <f t="array" ref="F22">IFERROR(IF(12&gt;COUNTIF('DONNÉES BRUTES'!C$3:C$42,"Technology"),"",INDEX('DONNÉES BRUTES'!Y$3:Y$42,MATCH(LARGE(IF('DONNÉES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G22" t="str" cm="1">
        <f t="array" ref="G22">IFERROR(IF(12&gt;COUNTIF('DONNÉES BRUTES'!C$3:C$42,"Technology"),"",INDEX('DONNÉES BRUTES'!Z$3:Z$42,MATCH(LARGE(IF('DONNÉES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H22" t="str" cm="1">
        <f t="array" ref="H22">IFERROR(IF(12&gt;COUNTIF('DONNÉES BRUTES'!C$3:C$42,"Technology"),"",INDEX('DONNÉES BRUTES'!AA$3:AA$42,MATCH(LARGE(IF('DONNÉES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I22" t="str" cm="1">
        <f t="array" ref="I22">IFERROR(IF(12&gt;COUNTIF('DONNÉES BRUTES'!C$3:C$42,"Technology"),"",INDEX('DONNÉES BRUTES'!M$3:M$42,MATCH(LARGE(IF('DONNÉES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J22" t="str" cm="1">
        <f t="array" ref="J22">IFERROR(IF(12&gt;COUNTIF('DONNÉES BRUTES'!C$3:C$42,"Technology"),"",INDEX('DONNÉES BRUTES'!N$3:N$42,MATCH(LARGE(IF('DONNÉES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K22" t="str" cm="1">
        <f t="array" ref="K22">IFERROR(IF(12&gt;COUNTIF('DONNÉES BRUTES'!C$3:C$42,"Technology"),"",INDEX('DONNÉES BRUTES'!O$3:O$42,MATCH(LARGE(IF('DONNÉES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L22" t="str" cm="1">
        <f t="array" ref="L22">IFERROR(IF(12&gt;COUNTIF('DONNÉES BRUTES'!C$3:C$42,"Technology"),"",INDEX('DONNÉES BRUTES'!P$3:P$42,MATCH(LARGE(IF('DONNÉES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M22" t="str" cm="1">
        <f t="array" ref="M22">IFERROR(IF(12&gt;COUNTIF('DONNÉES BRUTES'!C$3:C$42,"Technology"),"",INDEX('DONNÉES BRUTES'!Q$3:Q$42,MATCH(LARGE(IF('DONNÉES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N22" t="str" cm="1">
        <f t="array" ref="N22">IFERROR(IF(12&gt;COUNTIF('DONNÉES BRUTES'!C$3:C$42,"Technology"),"",INDEX('DONNÉES BRUTES'!S$3:S$42,MATCH(LARGE(IF('DONNÉES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O22" t="str" cm="1">
        <f t="array" ref="O22">IFERROR(IF(12&gt;COUNTIF('DONNÉES BRUTES'!C$3:C$42,"Technology"),"",INDEX('DONNÉES BRUTES'!T$3:T$42,MATCH(LARGE(IF('DONNÉES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P22" t="str" cm="1">
        <f t="array" ref="P22">IFERROR(IF(12&gt;COUNTIF('DONNÉES BRUTES'!C$3:C$42,"Technology"),"",INDEX('DONNÉES BRUTES'!U$3:U$42,MATCH(LARGE(IF('DONNÉES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Q22" t="str" cm="1">
        <f t="array" ref="Q22">IFERROR(IF(12&gt;COUNTIF('DONNÉES BRUTES'!C$3:C$42,"Technology"),"",INDEX('DONNÉES BRUTES'!AD$3:AD$42,MATCH(LARGE(IF('DONNÉES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</row>
    <row r="23" spans="2:28" ht="15.95" customHeight="1" x14ac:dyDescent="0.25">
      <c r="B23" t="str">
        <f>IF(13&gt;COUNTIF('DONNÉES BRUTES'!C$3:C$42,"Technology"),"",13)</f>
        <v/>
      </c>
      <c r="C23" t="str" cm="1">
        <f t="array" ref="C23">IFERROR(IF(13&gt;COUNTIF('DONNÉES BRUTES'!C$3:C$42,"Technology"),"",INDEX('DONNÉES BRUTES'!A$3:A$42,MATCH(LARGE(IF('DONNÉES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D23" t="str" cm="1">
        <f t="array" ref="D23">IFERROR(IF(13&gt;COUNTIF('DONNÉES BRUTES'!C$3:C$42,"Technology"),"",INDEX('DONNÉES BRUTES'!B$3:B$42,MATCH(LARGE(IF('DONNÉES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E23" t="str" cm="1">
        <f t="array" ref="E23">IFERROR(IF(13&gt;COUNTIF('DONNÉES BRUTES'!C$3:C$42,"Technology"),"",INT(LARGE(IF('DONNÉES BRUTES'!C$3:C$42="Technology",'DONNÉES BRUTES'!AB$3:AB$42+(ROW('DONNÉES BRUTES'!A$3:A$42)-ROW('DONNÉES BRUTES'!A$3))/1000,0),13))&amp;"/100"),"—")</f>
        <v/>
      </c>
      <c r="F23" t="str" cm="1">
        <f t="array" ref="F23">IFERROR(IF(13&gt;COUNTIF('DONNÉES BRUTES'!C$3:C$42,"Technology"),"",INDEX('DONNÉES BRUTES'!Y$3:Y$42,MATCH(LARGE(IF('DONNÉES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G23" t="str" cm="1">
        <f t="array" ref="G23">IFERROR(IF(13&gt;COUNTIF('DONNÉES BRUTES'!C$3:C$42,"Technology"),"",INDEX('DONNÉES BRUTES'!Z$3:Z$42,MATCH(LARGE(IF('DONNÉES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H23" t="str" cm="1">
        <f t="array" ref="H23">IFERROR(IF(13&gt;COUNTIF('DONNÉES BRUTES'!C$3:C$42,"Technology"),"",INDEX('DONNÉES BRUTES'!AA$3:AA$42,MATCH(LARGE(IF('DONNÉES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I23" t="str" cm="1">
        <f t="array" ref="I23">IFERROR(IF(13&gt;COUNTIF('DONNÉES BRUTES'!C$3:C$42,"Technology"),"",INDEX('DONNÉES BRUTES'!M$3:M$42,MATCH(LARGE(IF('DONNÉES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J23" t="str" cm="1">
        <f t="array" ref="J23">IFERROR(IF(13&gt;COUNTIF('DONNÉES BRUTES'!C$3:C$42,"Technology"),"",INDEX('DONNÉES BRUTES'!N$3:N$42,MATCH(LARGE(IF('DONNÉES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K23" t="str" cm="1">
        <f t="array" ref="K23">IFERROR(IF(13&gt;COUNTIF('DONNÉES BRUTES'!C$3:C$42,"Technology"),"",INDEX('DONNÉES BRUTES'!O$3:O$42,MATCH(LARGE(IF('DONNÉES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L23" t="str" cm="1">
        <f t="array" ref="L23">IFERROR(IF(13&gt;COUNTIF('DONNÉES BRUTES'!C$3:C$42,"Technology"),"",INDEX('DONNÉES BRUTES'!P$3:P$42,MATCH(LARGE(IF('DONNÉES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M23" t="str" cm="1">
        <f t="array" ref="M23">IFERROR(IF(13&gt;COUNTIF('DONNÉES BRUTES'!C$3:C$42,"Technology"),"",INDEX('DONNÉES BRUTES'!Q$3:Q$42,MATCH(LARGE(IF('DONNÉES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N23" t="str" cm="1">
        <f t="array" ref="N23">IFERROR(IF(13&gt;COUNTIF('DONNÉES BRUTES'!C$3:C$42,"Technology"),"",INDEX('DONNÉES BRUTES'!S$3:S$42,MATCH(LARGE(IF('DONNÉES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O23" t="str" cm="1">
        <f t="array" ref="O23">IFERROR(IF(13&gt;COUNTIF('DONNÉES BRUTES'!C$3:C$42,"Technology"),"",INDEX('DONNÉES BRUTES'!T$3:T$42,MATCH(LARGE(IF('DONNÉES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P23" t="str" cm="1">
        <f t="array" ref="P23">IFERROR(IF(13&gt;COUNTIF('DONNÉES BRUTES'!C$3:C$42,"Technology"),"",INDEX('DONNÉES BRUTES'!U$3:U$42,MATCH(LARGE(IF('DONNÉES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Q23" t="str" cm="1">
        <f t="array" ref="Q23">IFERROR(IF(13&gt;COUNTIF('DONNÉES BRUTES'!C$3:C$42,"Technology"),"",INDEX('DONNÉES BRUTES'!AD$3:AD$42,MATCH(LARGE(IF('DONNÉES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</row>
    <row r="24" spans="2:28" ht="15.95" customHeight="1" x14ac:dyDescent="0.25">
      <c r="B24" t="str">
        <f>IF(14&gt;COUNTIF('DONNÉES BRUTES'!C$3:C$42,"Technology"),"",14)</f>
        <v/>
      </c>
      <c r="C24" t="str" cm="1">
        <f t="array" ref="C24">IFERROR(IF(14&gt;COUNTIF('DONNÉES BRUTES'!C$3:C$42,"Technology"),"",INDEX('DONNÉES BRUTES'!A$3:A$42,MATCH(LARGE(IF('DONNÉES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D24" t="str" cm="1">
        <f t="array" ref="D24">IFERROR(IF(14&gt;COUNTIF('DONNÉES BRUTES'!C$3:C$42,"Technology"),"",INDEX('DONNÉES BRUTES'!B$3:B$42,MATCH(LARGE(IF('DONNÉES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E24" t="str" cm="1">
        <f t="array" ref="E24">IFERROR(IF(14&gt;COUNTIF('DONNÉES BRUTES'!C$3:C$42,"Technology"),"",INT(LARGE(IF('DONNÉES BRUTES'!C$3:C$42="Technology",'DONNÉES BRUTES'!AB$3:AB$42+(ROW('DONNÉES BRUTES'!A$3:A$42)-ROW('DONNÉES BRUTES'!A$3))/1000,0),14))&amp;"/100"),"—")</f>
        <v/>
      </c>
      <c r="F24" t="str" cm="1">
        <f t="array" ref="F24">IFERROR(IF(14&gt;COUNTIF('DONNÉES BRUTES'!C$3:C$42,"Technology"),"",INDEX('DONNÉES BRUTES'!Y$3:Y$42,MATCH(LARGE(IF('DONNÉES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G24" t="str" cm="1">
        <f t="array" ref="G24">IFERROR(IF(14&gt;COUNTIF('DONNÉES BRUTES'!C$3:C$42,"Technology"),"",INDEX('DONNÉES BRUTES'!Z$3:Z$42,MATCH(LARGE(IF('DONNÉES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H24" t="str" cm="1">
        <f t="array" ref="H24">IFERROR(IF(14&gt;COUNTIF('DONNÉES BRUTES'!C$3:C$42,"Technology"),"",INDEX('DONNÉES BRUTES'!AA$3:AA$42,MATCH(LARGE(IF('DONNÉES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I24" t="str" cm="1">
        <f t="array" ref="I24">IFERROR(IF(14&gt;COUNTIF('DONNÉES BRUTES'!C$3:C$42,"Technology"),"",INDEX('DONNÉES BRUTES'!M$3:M$42,MATCH(LARGE(IF('DONNÉES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J24" t="str" cm="1">
        <f t="array" ref="J24">IFERROR(IF(14&gt;COUNTIF('DONNÉES BRUTES'!C$3:C$42,"Technology"),"",INDEX('DONNÉES BRUTES'!N$3:N$42,MATCH(LARGE(IF('DONNÉES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K24" t="str" cm="1">
        <f t="array" ref="K24">IFERROR(IF(14&gt;COUNTIF('DONNÉES BRUTES'!C$3:C$42,"Technology"),"",INDEX('DONNÉES BRUTES'!O$3:O$42,MATCH(LARGE(IF('DONNÉES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L24" t="str" cm="1">
        <f t="array" ref="L24">IFERROR(IF(14&gt;COUNTIF('DONNÉES BRUTES'!C$3:C$42,"Technology"),"",INDEX('DONNÉES BRUTES'!P$3:P$42,MATCH(LARGE(IF('DONNÉES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M24" t="str" cm="1">
        <f t="array" ref="M24">IFERROR(IF(14&gt;COUNTIF('DONNÉES BRUTES'!C$3:C$42,"Technology"),"",INDEX('DONNÉES BRUTES'!Q$3:Q$42,MATCH(LARGE(IF('DONNÉES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N24" t="str" cm="1">
        <f t="array" ref="N24">IFERROR(IF(14&gt;COUNTIF('DONNÉES BRUTES'!C$3:C$42,"Technology"),"",INDEX('DONNÉES BRUTES'!S$3:S$42,MATCH(LARGE(IF('DONNÉES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O24" t="str" cm="1">
        <f t="array" ref="O24">IFERROR(IF(14&gt;COUNTIF('DONNÉES BRUTES'!C$3:C$42,"Technology"),"",INDEX('DONNÉES BRUTES'!T$3:T$42,MATCH(LARGE(IF('DONNÉES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P24" t="str" cm="1">
        <f t="array" ref="P24">IFERROR(IF(14&gt;COUNTIF('DONNÉES BRUTES'!C$3:C$42,"Technology"),"",INDEX('DONNÉES BRUTES'!U$3:U$42,MATCH(LARGE(IF('DONNÉES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Q24" t="str" cm="1">
        <f t="array" ref="Q24">IFERROR(IF(14&gt;COUNTIF('DONNÉES BRUTES'!C$3:C$42,"Technology"),"",INDEX('DONNÉES BRUTES'!AD$3:AD$42,MATCH(LARGE(IF('DONNÉES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</row>
    <row r="25" spans="2:28" ht="15.95" customHeight="1" x14ac:dyDescent="0.25">
      <c r="B25" t="str">
        <f>IF(15&gt;COUNTIF('DONNÉES BRUTES'!C$3:C$42,"Technology"),"",15)</f>
        <v/>
      </c>
      <c r="C25" t="str" cm="1">
        <f t="array" ref="C25">IFERROR(IF(15&gt;COUNTIF('DONNÉES BRUTES'!C$3:C$42,"Technology"),"",INDEX('DONNÉES BRUTES'!A$3:A$42,MATCH(LARGE(IF('DONNÉES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D25" t="str" cm="1">
        <f t="array" ref="D25">IFERROR(IF(15&gt;COUNTIF('DONNÉES BRUTES'!C$3:C$42,"Technology"),"",INDEX('DONNÉES BRUTES'!B$3:B$42,MATCH(LARGE(IF('DONNÉES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E25" t="str" cm="1">
        <f t="array" ref="E25">IFERROR(IF(15&gt;COUNTIF('DONNÉES BRUTES'!C$3:C$42,"Technology"),"",INT(LARGE(IF('DONNÉES BRUTES'!C$3:C$42="Technology",'DONNÉES BRUTES'!AB$3:AB$42+(ROW('DONNÉES BRUTES'!A$3:A$42)-ROW('DONNÉES BRUTES'!A$3))/1000,0),15))&amp;"/100"),"—")</f>
        <v/>
      </c>
      <c r="F25" t="str" cm="1">
        <f t="array" ref="F25">IFERROR(IF(15&gt;COUNTIF('DONNÉES BRUTES'!C$3:C$42,"Technology"),"",INDEX('DONNÉES BRUTES'!Y$3:Y$42,MATCH(LARGE(IF('DONNÉES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G25" t="str" cm="1">
        <f t="array" ref="G25">IFERROR(IF(15&gt;COUNTIF('DONNÉES BRUTES'!C$3:C$42,"Technology"),"",INDEX('DONNÉES BRUTES'!Z$3:Z$42,MATCH(LARGE(IF('DONNÉES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H25" t="str" cm="1">
        <f t="array" ref="H25">IFERROR(IF(15&gt;COUNTIF('DONNÉES BRUTES'!C$3:C$42,"Technology"),"",INDEX('DONNÉES BRUTES'!AA$3:AA$42,MATCH(LARGE(IF('DONNÉES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I25" t="str" cm="1">
        <f t="array" ref="I25">IFERROR(IF(15&gt;COUNTIF('DONNÉES BRUTES'!C$3:C$42,"Technology"),"",INDEX('DONNÉES BRUTES'!M$3:M$42,MATCH(LARGE(IF('DONNÉES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J25" t="str" cm="1">
        <f t="array" ref="J25">IFERROR(IF(15&gt;COUNTIF('DONNÉES BRUTES'!C$3:C$42,"Technology"),"",INDEX('DONNÉES BRUTES'!N$3:N$42,MATCH(LARGE(IF('DONNÉES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K25" t="str" cm="1">
        <f t="array" ref="K25">IFERROR(IF(15&gt;COUNTIF('DONNÉES BRUTES'!C$3:C$42,"Technology"),"",INDEX('DONNÉES BRUTES'!O$3:O$42,MATCH(LARGE(IF('DONNÉES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L25" t="str" cm="1">
        <f t="array" ref="L25">IFERROR(IF(15&gt;COUNTIF('DONNÉES BRUTES'!C$3:C$42,"Technology"),"",INDEX('DONNÉES BRUTES'!P$3:P$42,MATCH(LARGE(IF('DONNÉES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M25" t="str" cm="1">
        <f t="array" ref="M25">IFERROR(IF(15&gt;COUNTIF('DONNÉES BRUTES'!C$3:C$42,"Technology"),"",INDEX('DONNÉES BRUTES'!Q$3:Q$42,MATCH(LARGE(IF('DONNÉES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N25" t="str" cm="1">
        <f t="array" ref="N25">IFERROR(IF(15&gt;COUNTIF('DONNÉES BRUTES'!C$3:C$42,"Technology"),"",INDEX('DONNÉES BRUTES'!S$3:S$42,MATCH(LARGE(IF('DONNÉES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O25" t="str" cm="1">
        <f t="array" ref="O25">IFERROR(IF(15&gt;COUNTIF('DONNÉES BRUTES'!C$3:C$42,"Technology"),"",INDEX('DONNÉES BRUTES'!T$3:T$42,MATCH(LARGE(IF('DONNÉES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P25" t="str" cm="1">
        <f t="array" ref="P25">IFERROR(IF(15&gt;COUNTIF('DONNÉES BRUTES'!C$3:C$42,"Technology"),"",INDEX('DONNÉES BRUTES'!U$3:U$42,MATCH(LARGE(IF('DONNÉES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Q25" t="str" cm="1">
        <f t="array" ref="Q25">IFERROR(IF(15&gt;COUNTIF('DONNÉES BRUTES'!C$3:C$42,"Technology"),"",INDEX('DONNÉES BRUTES'!AD$3:AD$42,MATCH(LARGE(IF('DONNÉES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</row>
    <row r="26" spans="2:28" ht="15.95" customHeight="1" x14ac:dyDescent="0.25"/>
    <row r="27" spans="2:28" ht="15.95" customHeight="1" x14ac:dyDescent="0.25"/>
    <row r="28" spans="2:28" ht="15.95" customHeight="1" x14ac:dyDescent="0.25">
      <c r="S28" s="235" t="s">
        <v>4</v>
      </c>
      <c r="T28" s="235" t="s">
        <v>5</v>
      </c>
      <c r="U28" s="235" t="s">
        <v>43</v>
      </c>
      <c r="V28" s="235" t="s">
        <v>44</v>
      </c>
      <c r="W28" s="235" t="s">
        <v>45</v>
      </c>
      <c r="X28" s="235"/>
      <c r="Y28" s="235" t="s">
        <v>4</v>
      </c>
      <c r="Z28" s="235" t="s">
        <v>43</v>
      </c>
      <c r="AA28" s="235" t="s">
        <v>44</v>
      </c>
      <c r="AB28" s="235" t="s">
        <v>45</v>
      </c>
    </row>
    <row r="29" spans="2:28" ht="15.95" customHeight="1" x14ac:dyDescent="0.25">
      <c r="S29" s="235" t="str">
        <f>IF(D11="","",LEFT(D11,14))</f>
        <v>Dassault Systè</v>
      </c>
      <c r="T29" s="235">
        <f>IF(E11="","",IFERROR(VALUE(LEFT(E11,FIND("/",E11)-1)),0))</f>
        <v>72</v>
      </c>
      <c r="U29" s="235">
        <f t="shared" ref="U29:W32" si="0">IF(ISNUMBER(F11),F11,0)</f>
        <v>42</v>
      </c>
      <c r="V29" s="235">
        <f t="shared" si="0"/>
        <v>100</v>
      </c>
      <c r="W29" s="235">
        <f t="shared" si="0"/>
        <v>74</v>
      </c>
      <c r="X29" s="235">
        <f t="shared" ref="X29:Z32" si="1">IF(ISNUMBER(F11),F11,"")</f>
        <v>42</v>
      </c>
      <c r="Y29" s="235">
        <f t="shared" si="1"/>
        <v>100</v>
      </c>
      <c r="Z29" s="235">
        <f t="shared" si="1"/>
        <v>74</v>
      </c>
      <c r="AA29" s="235">
        <v>100</v>
      </c>
      <c r="AB29" s="235">
        <v>74</v>
      </c>
    </row>
    <row r="30" spans="2:28" ht="15.95" customHeight="1" x14ac:dyDescent="0.25">
      <c r="S30" s="235" t="str">
        <f>IF(D12="","",LEFT(D12,14))</f>
        <v>Capgemini SE</v>
      </c>
      <c r="T30" s="235">
        <f>IF(E12="","",IFERROR(VALUE(LEFT(E12,FIND("/",E12)-1)),0))</f>
        <v>53</v>
      </c>
      <c r="U30" s="235">
        <f t="shared" si="0"/>
        <v>37</v>
      </c>
      <c r="V30" s="235">
        <f t="shared" si="0"/>
        <v>36</v>
      </c>
      <c r="W30" s="235">
        <f t="shared" si="0"/>
        <v>87</v>
      </c>
      <c r="X30" s="235">
        <f t="shared" si="1"/>
        <v>37</v>
      </c>
      <c r="Y30" s="235">
        <f t="shared" si="1"/>
        <v>36</v>
      </c>
      <c r="Z30" s="235">
        <f t="shared" si="1"/>
        <v>87</v>
      </c>
      <c r="AA30" s="235">
        <v>36</v>
      </c>
      <c r="AB30" s="235">
        <v>87</v>
      </c>
    </row>
    <row r="31" spans="2:28" ht="15.95" customHeight="1" x14ac:dyDescent="0.25">
      <c r="S31" s="235" t="str">
        <f>IF(D13="","",LEFT(D13,14))</f>
        <v>STMicroelectro</v>
      </c>
      <c r="T31" s="235">
        <f>IF(E13="","",IFERROR(VALUE(LEFT(E13,FIND("/",E13)-1)),0))</f>
        <v>17</v>
      </c>
      <c r="U31" s="235">
        <f t="shared" si="0"/>
        <v>8</v>
      </c>
      <c r="V31" s="235">
        <f t="shared" si="0"/>
        <v>44</v>
      </c>
      <c r="W31" s="235">
        <f t="shared" si="0"/>
        <v>0</v>
      </c>
      <c r="X31" s="235">
        <f t="shared" si="1"/>
        <v>8</v>
      </c>
      <c r="Y31" s="235">
        <f t="shared" si="1"/>
        <v>44</v>
      </c>
      <c r="Z31" s="235">
        <f t="shared" si="1"/>
        <v>0</v>
      </c>
      <c r="AA31" s="235">
        <v>44</v>
      </c>
      <c r="AB31" s="235">
        <v>0</v>
      </c>
    </row>
    <row r="32" spans="2:28" x14ac:dyDescent="0.25">
      <c r="S32" s="235" t="str">
        <f>IF(D14="","",LEFT(D14,14))</f>
        <v>Worldline SA</v>
      </c>
      <c r="T32" s="235">
        <f>IF(E14="","",IFERROR(VALUE(LEFT(E14,FIND("/",E14)-1)),0))</f>
        <v>2</v>
      </c>
      <c r="U32" s="235">
        <f t="shared" si="0"/>
        <v>0</v>
      </c>
      <c r="V32" s="235">
        <f t="shared" si="0"/>
        <v>0</v>
      </c>
      <c r="W32" s="235">
        <f t="shared" si="0"/>
        <v>5</v>
      </c>
      <c r="X32" s="235">
        <f t="shared" si="1"/>
        <v>0</v>
      </c>
      <c r="Y32" s="235">
        <f t="shared" si="1"/>
        <v>0</v>
      </c>
      <c r="Z32" s="235">
        <f t="shared" si="1"/>
        <v>5</v>
      </c>
      <c r="AA32" s="235">
        <v>0</v>
      </c>
      <c r="AB32" s="235">
        <v>5</v>
      </c>
    </row>
  </sheetData>
  <mergeCells count="3">
    <mergeCell ref="B1:Q1"/>
    <mergeCell ref="B2:Q2"/>
    <mergeCell ref="B8:Q8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14CA-0B2B-4C13-8B1E-E4A9F62E71BE}">
  <dimension ref="B1:AB32"/>
  <sheetViews>
    <sheetView showGridLines="0" zoomScaleNormal="100" workbookViewId="0">
      <selection activeCell="A14" sqref="A14"/>
    </sheetView>
  </sheetViews>
  <sheetFormatPr baseColWidth="10" defaultColWidth="8.85546875" defaultRowHeight="15" x14ac:dyDescent="0.25"/>
  <cols>
    <col min="1" max="1" width="1.5703125" customWidth="1"/>
    <col min="2" max="2" width="5.28515625" customWidth="1"/>
    <col min="3" max="3" width="10.42578125" customWidth="1"/>
    <col min="4" max="4" width="21.85546875" customWidth="1"/>
    <col min="5" max="5" width="10.42578125" customWidth="1"/>
    <col min="6" max="8" width="5.28515625" customWidth="1"/>
    <col min="9" max="10" width="8" customWidth="1"/>
    <col min="11" max="11" width="7.28515625" customWidth="1"/>
    <col min="12" max="13" width="8" customWidth="1"/>
    <col min="14" max="14" width="6.42578125" customWidth="1"/>
    <col min="15" max="15" width="7.28515625" customWidth="1"/>
    <col min="16" max="16" width="6.42578125" customWidth="1"/>
    <col min="17" max="17" width="14.140625" bestFit="1" customWidth="1"/>
  </cols>
  <sheetData>
    <row r="1" spans="2:17" ht="30" customHeight="1" x14ac:dyDescent="0.25">
      <c r="B1" s="273" t="str">
        <f>"FinSight IA  ·  Consumer Disc.  ·  CAC 40  ·  "&amp;COUNTIF('DONNÉES BRUTES'!C$3:C$42,"Consumer Disc.")&amp;" sociétés  ·  22/03/2026"</f>
        <v>FinSight IA  ·  Consumer Disc.  ·  CAC 40  ·  5 sociétés  ·  22/03/2026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</row>
    <row r="2" spans="2:17" ht="18" customHeight="1" x14ac:dyDescent="0.25">
      <c r="B2" s="274" t="s">
        <v>252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</row>
    <row r="3" spans="2:17" ht="8.1" customHeight="1" x14ac:dyDescent="0.25"/>
    <row r="4" spans="2:17" ht="8.1" customHeight="1" x14ac:dyDescent="0.25"/>
    <row r="5" spans="2:17" ht="30" customHeight="1" x14ac:dyDescent="0.25">
      <c r="B5" s="255"/>
      <c r="C5" s="246">
        <f>COUNTIF('DONNÉES BRUTES'!C$3:C$42,"Consumer Disc.")</f>
        <v>5</v>
      </c>
      <c r="D5" s="255"/>
      <c r="E5" s="255" t="str">
        <f>ROUND(AVERAGEIF('DONNÉES BRUTES'!C$3:C$42,"Consumer Disc.",'DONNÉES BRUTES'!AB$3:AB$42),0)&amp;"/100"</f>
        <v>41/100</v>
      </c>
      <c r="F5" s="255"/>
      <c r="G5" s="255"/>
      <c r="H5" s="283" t="str" cm="1">
        <f t="array" ref="H5">LEFT(IFERROR(INDEX('DONNÉES BRUTES'!B$3:B$42,MATCH(LARGE(IF('DONNÉES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BRUTES'!A$3))/1000,0),0)),"—"),18)</f>
        <v>Hermès Internation</v>
      </c>
      <c r="I5" s="282"/>
      <c r="J5" s="282"/>
      <c r="K5" s="255"/>
      <c r="L5" s="251" t="str">
        <f>IFERROR(VLOOKUP("Consumer Disc.",'SECTOR OVERVIEW'!B$8:G$19,6,0),"—")</f>
        <v>28.3%</v>
      </c>
      <c r="M5" s="255"/>
      <c r="N5" s="252" cm="1">
        <f t="array" ref="N5">IFERROR(ROUND(MEDIAN(IF('DONNÉES BRUTES'!C$3:C$42="Consumer Disc.",IF(ISNUMBER('DONNÉES BRUTES'!Y$3:Y$42),'DONNÉES BRUTES'!Y$3:Y$42))),0),"—")</f>
        <v>13</v>
      </c>
      <c r="O5" s="255"/>
      <c r="P5" s="284" t="str">
        <f>IF(COUNTIFS('DONNÉES BRUTES'!C$3:C$42,"Consumer Disc.",'DONNÉES BRUTES'!AD$3:AD$42,"Surpondérer")&gt;0,"Surpondérer",IF(COUNTIFS('DONNÉES BRUTES'!C$3:C$42,"Consumer Disc.",'DONNÉES BRUTES'!AD$3:AD$42,"Neutre")&gt;=COUNTIFS('DONNÉES BRUTES'!C$3:C$42,"Consumer Disc.",'DONNÉES BRUTES'!AD$3:AD$42,"Sous-pondérer"),"Neutre","Sous-pondérer"))</f>
        <v>Surpondérer</v>
      </c>
      <c r="Q5" s="255"/>
    </row>
    <row r="6" spans="2:17" ht="15" customHeight="1" x14ac:dyDescent="0.25">
      <c r="B6" s="255"/>
      <c r="C6" s="247" t="s">
        <v>593</v>
      </c>
      <c r="D6" s="247"/>
      <c r="E6" s="247" t="s">
        <v>594</v>
      </c>
      <c r="F6" s="247"/>
      <c r="G6" s="247"/>
      <c r="H6" s="247" t="s">
        <v>253</v>
      </c>
      <c r="I6" s="247"/>
      <c r="J6" s="247"/>
      <c r="K6" s="255"/>
      <c r="L6" s="248" t="s">
        <v>583</v>
      </c>
      <c r="M6" s="255"/>
      <c r="N6" s="248" t="s">
        <v>607</v>
      </c>
      <c r="O6" s="255"/>
      <c r="P6" s="248" t="s">
        <v>50</v>
      </c>
      <c r="Q6" s="247"/>
    </row>
    <row r="7" spans="2:17" ht="8.1" customHeight="1" x14ac:dyDescent="0.25"/>
    <row r="8" spans="2:17" ht="21.95" customHeight="1" x14ac:dyDescent="0.25">
      <c r="B8" s="275" t="str">
        <f>"ANALYSE DÉTAILLÉE  ·  "&amp;UPPER("Consumer Disc.")&amp;"  ·  "&amp;COUNTIF('DONNÉES BRUTES'!C$3:C$42,"Consumer Disc.")&amp;" sociétés  ·  Triée par Score Global"</f>
        <v>ANALYSE DÉTAILLÉE  ·  CONSUMER DISC.  ·  5 sociétés  ·  Triée par Score Global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</row>
    <row r="9" spans="2:17" ht="6" customHeight="1" x14ac:dyDescent="0.25"/>
    <row r="10" spans="2:17" ht="20.100000000000001" customHeight="1" x14ac:dyDescent="0.25">
      <c r="B10" s="254" t="s">
        <v>41</v>
      </c>
      <c r="C10" s="254" t="s">
        <v>3</v>
      </c>
      <c r="D10" s="254" t="s">
        <v>4</v>
      </c>
      <c r="E10" s="254" t="s">
        <v>5</v>
      </c>
      <c r="F10" s="254" t="s">
        <v>609</v>
      </c>
      <c r="G10" s="254" t="s">
        <v>610</v>
      </c>
      <c r="H10" s="254" t="s">
        <v>595</v>
      </c>
      <c r="I10" s="254" t="s">
        <v>575</v>
      </c>
      <c r="J10" s="254" t="s">
        <v>573</v>
      </c>
      <c r="K10" s="254" t="s">
        <v>574</v>
      </c>
      <c r="L10" s="254" t="s">
        <v>596</v>
      </c>
      <c r="M10" s="254" t="s">
        <v>95</v>
      </c>
      <c r="N10" s="254" t="s">
        <v>608</v>
      </c>
      <c r="O10" s="254" t="s">
        <v>405</v>
      </c>
      <c r="P10" s="254" t="s">
        <v>89</v>
      </c>
      <c r="Q10" s="254" t="s">
        <v>50</v>
      </c>
    </row>
    <row r="11" spans="2:17" ht="18" customHeight="1" x14ac:dyDescent="0.25">
      <c r="B11">
        <f>IF(1&gt;COUNTIF('DONNÉES BRUTES'!C$3:C$42,"Consumer Disc."),"",1)</f>
        <v>1</v>
      </c>
      <c r="C11" t="str" cm="1">
        <f t="array" ref="C11">IFERROR(IF(1&gt;COUNTIF('DONNÉES BRUTES'!C$3:C$42,"Consumer Disc."),"",INDEX('DONNÉES BRUTES'!A$3:A$42,MATCH(LARGE(IF('DONNÉES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RMS.PA</v>
      </c>
      <c r="D11" t="str" cm="1">
        <f t="array" ref="D11">IFERROR(IF(1&gt;COUNTIF('DONNÉES BRUTES'!C$3:C$42,"Consumer Disc."),"",INDEX('DONNÉES BRUTES'!B$3:B$42,MATCH(LARGE(IF('DONNÉES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Hermès International Société en commandite par actions</v>
      </c>
      <c r="E11" t="str" cm="1">
        <f t="array" ref="E11">IFERROR(IF(1&gt;COUNTIF('DONNÉES BRUTES'!C$3:C$42,"Consumer Disc."),"",INT(LARGE(IF('DONNÉES BRUTES'!C$3:C$42="Consumer Disc.",'DONNÉES BRUTES'!AB$3:AB$42+(ROW('DONNÉES BRUTES'!A$3:A$42)-ROW('DONNÉES BRUTES'!A$3))/1000,0),1))&amp;"/100"),"—")</f>
        <v>75/100</v>
      </c>
      <c r="F11" cm="1">
        <f t="array" ref="F11">IFERROR(IF(1&gt;COUNTIF('DONNÉES BRUTES'!C$3:C$42,"Consumer Disc."),"",INDEX('DONNÉES BRUTES'!Y$3:Y$42,MATCH(LARGE(IF('DONNÉES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74</v>
      </c>
      <c r="G11" cm="1">
        <f t="array" ref="G11">IFERROR(IF(1&gt;COUNTIF('DONNÉES BRUTES'!C$3:C$42,"Consumer Disc."),"",INDEX('DONNÉES BRUTES'!Z$3:Z$42,MATCH(LARGE(IF('DONNÉES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90</v>
      </c>
      <c r="H11" cm="1">
        <f t="array" ref="H11">IFERROR(IF(1&gt;COUNTIF('DONNÉES BRUTES'!C$3:C$42,"Consumer Disc."),"",INDEX('DONNÉES BRUTES'!AA$3:AA$42,MATCH(LARGE(IF('DONNÉES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62</v>
      </c>
      <c r="I11" t="str" cm="1">
        <f t="array" ref="I11">IFERROR(IF(1&gt;COUNTIF('DONNÉES BRUTES'!C$3:C$42,"Consumer Disc."),"",INDEX('DONNÉES BRUTES'!M$3:M$42,MATCH(LARGE(IF('DONNÉES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71.1%</v>
      </c>
      <c r="J11" t="str" cm="1">
        <f t="array" ref="J11">IFERROR(IF(1&gt;COUNTIF('DONNÉES BRUTES'!C$3:C$42,"Consumer Disc."),"",INDEX('DONNÉES BRUTES'!N$3:N$42,MATCH(LARGE(IF('DONNÉES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46.8%</v>
      </c>
      <c r="K11" t="str" cm="1">
        <f t="array" ref="K11">IFERROR(IF(1&gt;COUNTIF('DONNÉES BRUTES'!C$3:C$42,"Consumer Disc."),"",INDEX('DONNÉES BRUTES'!O$3:O$42,MATCH(LARGE(IF('DONNÉES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28.3%</v>
      </c>
      <c r="L11" t="str" cm="1">
        <f t="array" ref="L11">IFERROR(IF(1&gt;COUNTIF('DONNÉES BRUTES'!C$3:C$42,"Consumer Disc."),"",INDEX('DONNÉES BRUTES'!P$3:P$42,MATCH(LARGE(IF('DONNÉES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+5.5%</v>
      </c>
      <c r="M11" t="str" cm="1">
        <f t="array" ref="M11">IFERROR(IF(1&gt;COUNTIF('DONNÉES BRUTES'!C$3:C$42,"Consumer Disc."),"",INDEX('DONNÉES BRUTES'!Q$3:Q$42,MATCH(LARGE(IF('DONNÉES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+24.0%</v>
      </c>
      <c r="N11" t="str" cm="1">
        <f t="array" ref="N11">IFERROR(IF(1&gt;COUNTIF('DONNÉES BRUTES'!C$3:C$42,"Consumer Disc."),"",INDEX('DONNÉES BRUTES'!S$3:S$42,MATCH(LARGE(IF('DONNÉES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4.99</v>
      </c>
      <c r="O11" t="str" cm="1">
        <f t="array" ref="O11">IFERROR(IF(1&gt;COUNTIF('DONNÉES BRUTES'!C$3:C$42,"Consumer Disc."),"",INDEX('DONNÉES BRUTES'!T$3:T$42,MATCH(LARGE(IF('DONNÉES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-1.6x</v>
      </c>
      <c r="P11" t="str" cm="1">
        <f t="array" ref="P11">IFERROR(IF(1&gt;COUNTIF('DONNÉES BRUTES'!C$3:C$42,"Consumer Disc."),"",INDEX('DONNÉES BRUTES'!U$3:U$42,MATCH(LARGE(IF('DONNÉES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9.47</v>
      </c>
      <c r="Q11" t="str" cm="1">
        <f t="array" ref="Q11">IFERROR(IF(1&gt;COUNTIF('DONNÉES BRUTES'!C$3:C$42,"Consumer Disc."),"",INDEX('DONNÉES BRUTES'!AD$3:AD$42,MATCH(LARGE(IF('DONNÉES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>Surpondérer</v>
      </c>
    </row>
    <row r="12" spans="2:17" ht="15.95" customHeight="1" x14ac:dyDescent="0.25">
      <c r="B12">
        <f>IF(2&gt;COUNTIF('DONNÉES BRUTES'!C$3:C$42,"Consumer Disc."),"",2)</f>
        <v>2</v>
      </c>
      <c r="C12" t="str" cm="1">
        <f t="array" ref="C12">IFERROR(IF(2&gt;COUNTIF('DONNÉES BRUTES'!C$3:C$42,"Consumer Disc."),"",INDEX('DONNÉES BRUTES'!A$3:A$42,MATCH(LARGE(IF('DONNÉES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KER.PA</v>
      </c>
      <c r="D12" t="str" cm="1">
        <f t="array" ref="D12">IFERROR(IF(2&gt;COUNTIF('DONNÉES BRUTES'!C$3:C$42,"Consumer Disc."),"",INDEX('DONNÉES BRUTES'!B$3:B$42,MATCH(LARGE(IF('DONNÉES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Kering SA</v>
      </c>
      <c r="E12" t="str" cm="1">
        <f t="array" ref="E12">IFERROR(IF(2&gt;COUNTIF('DONNÉES BRUTES'!C$3:C$42,"Consumer Disc."),"",INT(LARGE(IF('DONNÉES BRUTES'!C$3:C$42="Consumer Disc.",'DONNÉES BRUTES'!AB$3:AB$42+(ROW('DONNÉES BRUTES'!A$3:A$42)-ROW('DONNÉES BRUTES'!A$3))/1000,0),2))&amp;"/100"),"—")</f>
        <v>55/100</v>
      </c>
      <c r="F12" cm="1">
        <f t="array" ref="F12">IFERROR(IF(2&gt;COUNTIF('DONNÉES BRUTES'!C$3:C$42,"Consumer Disc."),"",INDEX('DONNÉES BRUTES'!Y$3:Y$42,MATCH(LARGE(IF('DONNÉES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13</v>
      </c>
      <c r="G12" cm="1">
        <f t="array" ref="G12">IFERROR(IF(2&gt;COUNTIF('DONNÉES BRUTES'!C$3:C$42,"Consumer Disc."),"",INDEX('DONNÉES BRUTES'!Z$3:Z$42,MATCH(LARGE(IF('DONNÉES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87</v>
      </c>
      <c r="H12" cm="1">
        <f t="array" ref="H12">IFERROR(IF(2&gt;COUNTIF('DONNÉES BRUTES'!C$3:C$42,"Consumer Disc."),"",INDEX('DONNÉES BRUTES'!AA$3:AA$42,MATCH(LARGE(IF('DONNÉES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64</v>
      </c>
      <c r="I12" t="str" cm="1">
        <f t="array" ref="I12">IFERROR(IF(2&gt;COUNTIF('DONNÉES BRUTES'!C$3:C$42,"Consumer Disc."),"",INDEX('DONNÉES BRUTES'!M$3:M$42,MATCH(LARGE(IF('DONNÉES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72.6%</v>
      </c>
      <c r="J12" t="str" cm="1">
        <f t="array" ref="J12">IFERROR(IF(2&gt;COUNTIF('DONNÉES BRUTES'!C$3:C$42,"Consumer Disc."),"",INDEX('DONNÉES BRUTES'!N$3:N$42,MATCH(LARGE(IF('DONNÉES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25.0%</v>
      </c>
      <c r="K12" t="str" cm="1">
        <f t="array" ref="K12">IFERROR(IF(2&gt;COUNTIF('DONNÉES BRUTES'!C$3:C$42,"Consumer Disc."),"",INDEX('DONNÉES BRUTES'!O$3:O$42,MATCH(LARGE(IF('DONNÉES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0.5%</v>
      </c>
      <c r="L12" t="str" cm="1">
        <f t="array" ref="L12">IFERROR(IF(2&gt;COUNTIF('DONNÉES BRUTES'!C$3:C$42,"Consumer Disc."),"",INDEX('DONNÉES BRUTES'!P$3:P$42,MATCH(LARGE(IF('DONNÉES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-13.0%</v>
      </c>
      <c r="M12" t="str" cm="1">
        <f t="array" ref="M12">IFERROR(IF(2&gt;COUNTIF('DONNÉES BRUTES'!C$3:C$42,"Consumer Disc."),"",INDEX('DONNÉES BRUTES'!Q$3:Q$42,MATCH(LARGE(IF('DONNÉES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+0.5%</v>
      </c>
      <c r="N12" t="str" cm="1">
        <f t="array" ref="N12">IFERROR(IF(2&gt;COUNTIF('DONNÉES BRUTES'!C$3:C$42,"Consumer Disc."),"",INDEX('DONNÉES BRUTES'!S$3:S$42,MATCH(LARGE(IF('DONNÉES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1.99</v>
      </c>
      <c r="O12" t="str" cm="1">
        <f t="array" ref="O12">IFERROR(IF(2&gt;COUNTIF('DONNÉES BRUTES'!C$3:C$42,"Consumer Disc."),"",INDEX('DONNÉES BRUTES'!T$3:T$42,MATCH(LARGE(IF('DONNÉES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2.2x</v>
      </c>
      <c r="P12" t="str" cm="1">
        <f t="array" ref="P12">IFERROR(IF(2&gt;COUNTIF('DONNÉES BRUTES'!C$3:C$42,"Consumer Disc."),"",INDEX('DONNÉES BRUTES'!U$3:U$42,MATCH(LARGE(IF('DONNÉES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—</v>
      </c>
      <c r="Q12" t="str" cm="1">
        <f t="array" ref="Q12">IFERROR(IF(2&gt;COUNTIF('DONNÉES BRUTES'!C$3:C$42,"Consumer Disc."),"",INDEX('DONNÉES BRUTES'!AD$3:AD$42,MATCH(LARGE(IF('DONNÉES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>Neutre</v>
      </c>
    </row>
    <row r="13" spans="2:17" ht="15.95" customHeight="1" x14ac:dyDescent="0.25">
      <c r="B13">
        <f>IF(3&gt;COUNTIF('DONNÉES BRUTES'!C$3:C$42,"Consumer Disc."),"",3)</f>
        <v>3</v>
      </c>
      <c r="C13" t="str" cm="1">
        <f t="array" ref="C13">IFERROR(IF(3&gt;COUNTIF('DONNÉES BRUTES'!C$3:C$42,"Consumer Disc."),"",INDEX('DONNÉES BRUTES'!A$3:A$42,MATCH(LARGE(IF('DONNÉES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MC.PA</v>
      </c>
      <c r="D13" t="str" cm="1">
        <f t="array" ref="D13">IFERROR(IF(3&gt;COUNTIF('DONNÉES BRUTES'!C$3:C$42,"Consumer Disc."),"",INDEX('DONNÉES BRUTES'!B$3:B$42,MATCH(LARGE(IF('DONNÉES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LVMH Moët Hennessy - Louis Vuitton, Société Européenne</v>
      </c>
      <c r="E13" t="str" cm="1">
        <f t="array" ref="E13">IFERROR(IF(3&gt;COUNTIF('DONNÉES BRUTES'!C$3:C$42,"Consumer Disc."),"",INT(LARGE(IF('DONNÉES BRUTES'!C$3:C$42="Consumer Disc.",'DONNÉES BRUTES'!AB$3:AB$42+(ROW('DONNÉES BRUTES'!A$3:A$42)-ROW('DONNÉES BRUTES'!A$3))/1000,0),3))&amp;"/100"),"—")</f>
        <v>54/100</v>
      </c>
      <c r="F13" cm="1">
        <f t="array" ref="F13">IFERROR(IF(3&gt;COUNTIF('DONNÉES BRUTES'!C$3:C$42,"Consumer Disc."),"",INDEX('DONNÉES BRUTES'!Y$3:Y$42,MATCH(LARGE(IF('DONNÉES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24</v>
      </c>
      <c r="G13" cm="1">
        <f t="array" ref="G13">IFERROR(IF(3&gt;COUNTIF('DONNÉES BRUTES'!C$3:C$42,"Consumer Disc."),"",INDEX('DONNÉES BRUTES'!Z$3:Z$42,MATCH(LARGE(IF('DONNÉES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79</v>
      </c>
      <c r="H13" cm="1">
        <f t="array" ref="H13">IFERROR(IF(3&gt;COUNTIF('DONNÉES BRUTES'!C$3:C$42,"Consumer Disc."),"",INDEX('DONNÉES BRUTES'!AA$3:AA$42,MATCH(LARGE(IF('DONNÉES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59</v>
      </c>
      <c r="I13" t="str" cm="1">
        <f t="array" ref="I13">IFERROR(IF(3&gt;COUNTIF('DONNÉES BRUTES'!C$3:C$42,"Consumer Disc."),"",INDEX('DONNÉES BRUTES'!M$3:M$42,MATCH(LARGE(IF('DONNÉES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66.2%</v>
      </c>
      <c r="J13" t="str" cm="1">
        <f t="array" ref="J13">IFERROR(IF(3&gt;COUNTIF('DONNÉES BRUTES'!C$3:C$42,"Consumer Disc."),"",INDEX('DONNÉES BRUTES'!N$3:N$42,MATCH(LARGE(IF('DONNÉES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32.0%</v>
      </c>
      <c r="K13" t="str" cm="1">
        <f t="array" ref="K13">IFERROR(IF(3&gt;COUNTIF('DONNÉES BRUTES'!C$3:C$42,"Consumer Disc."),"",INDEX('DONNÉES BRUTES'!O$3:O$42,MATCH(LARGE(IF('DONNÉES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13.5%</v>
      </c>
      <c r="L13" t="str" cm="1">
        <f t="array" ref="L13">IFERROR(IF(3&gt;COUNTIF('DONNÉES BRUTES'!C$3:C$42,"Consumer Disc."),"",INDEX('DONNÉES BRUTES'!P$3:P$42,MATCH(LARGE(IF('DONNÉES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-4.6%</v>
      </c>
      <c r="M13" t="str" cm="1">
        <f t="array" ref="M13">IFERROR(IF(3&gt;COUNTIF('DONNÉES BRUTES'!C$3:C$42,"Consumer Disc."),"",INDEX('DONNÉES BRUTES'!Q$3:Q$42,MATCH(LARGE(IF('DONNÉES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+16.1%</v>
      </c>
      <c r="N13" t="str" cm="1">
        <f t="array" ref="N13">IFERROR(IF(3&gt;COUNTIF('DONNÉES BRUTES'!C$3:C$42,"Consumer Disc."),"",INDEX('DONNÉES BRUTES'!S$3:S$42,MATCH(LARGE(IF('DONNÉES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1.58</v>
      </c>
      <c r="O13" t="str" cm="1">
        <f t="array" ref="O13">IFERROR(IF(3&gt;COUNTIF('DONNÉES BRUTES'!C$3:C$42,"Consumer Disc."),"",INDEX('DONNÉES BRUTES'!T$3:T$42,MATCH(LARGE(IF('DONNÉES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0.4x</v>
      </c>
      <c r="P13" t="str" cm="1">
        <f t="array" ref="P13">IFERROR(IF(3&gt;COUNTIF('DONNÉES BRUTES'!C$3:C$42,"Consumer Disc."),"",INDEX('DONNÉES BRUTES'!U$3:U$42,MATCH(LARGE(IF('DONNÉES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2.88</v>
      </c>
      <c r="Q13" t="str" cm="1">
        <f t="array" ref="Q13">IFERROR(IF(3&gt;COUNTIF('DONNÉES BRUTES'!C$3:C$42,"Consumer Disc."),"",INDEX('DONNÉES BRUTES'!AD$3:AD$42,MATCH(LARGE(IF('DONNÉES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>Sous-pondérer</v>
      </c>
    </row>
    <row r="14" spans="2:17" ht="15.95" customHeight="1" x14ac:dyDescent="0.25">
      <c r="B14">
        <f>IF(4&gt;COUNTIF('DONNÉES BRUTES'!C$3:C$42,"Consumer Disc."),"",4)</f>
        <v>4</v>
      </c>
      <c r="C14" t="str" cm="1">
        <f t="array" ref="C14">IFERROR(IF(4&gt;COUNTIF('DONNÉES BRUTES'!C$3:C$42,"Consumer Disc."),"",INDEX('DONNÉES BRUTES'!A$3:A$42,MATCH(LARGE(IF('DONNÉES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RNO.PA</v>
      </c>
      <c r="D14" t="str" cm="1">
        <f t="array" ref="D14">IFERROR(IF(4&gt;COUNTIF('DONNÉES BRUTES'!C$3:C$42,"Consumer Disc."),"",INDEX('DONNÉES BRUTES'!B$3:B$42,MATCH(LARGE(IF('DONNÉES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Renault SA</v>
      </c>
      <c r="E14" t="str" cm="1">
        <f t="array" ref="E14">IFERROR(IF(4&gt;COUNTIF('DONNÉES BRUTES'!C$3:C$42,"Consumer Disc."),"",INT(LARGE(IF('DONNÉES BRUTES'!C$3:C$42="Consumer Disc.",'DONNÉES BRUTES'!AB$3:AB$42+(ROW('DONNÉES BRUTES'!A$3:A$42)-ROW('DONNÉES BRUTES'!A$3))/1000,0),4))&amp;"/100"),"—")</f>
        <v>18/100</v>
      </c>
      <c r="F14" cm="1">
        <f t="array" ref="F14">IFERROR(IF(4&gt;COUNTIF('DONNÉES BRUTES'!C$3:C$42,"Consumer Disc."),"",INDEX('DONNÉES BRUTES'!Y$3:Y$42,MATCH(LARGE(IF('DONNÉES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5</v>
      </c>
      <c r="G14" cm="1">
        <f t="array" ref="G14">IFERROR(IF(4&gt;COUNTIF('DONNÉES BRUTES'!C$3:C$42,"Consumer Disc."),"",INDEX('DONNÉES BRUTES'!Z$3:Z$42,MATCH(LARGE(IF('DONNÉES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5</v>
      </c>
      <c r="H14" cm="1">
        <f t="array" ref="H14">IFERROR(IF(4&gt;COUNTIF('DONNÉES BRUTES'!C$3:C$42,"Consumer Disc."),"",INDEX('DONNÉES BRUTES'!AA$3:AA$42,MATCH(LARGE(IF('DONNÉES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44</v>
      </c>
      <c r="I14" t="str" cm="1">
        <f t="array" ref="I14">IFERROR(IF(4&gt;COUNTIF('DONNÉES BRUTES'!C$3:C$42,"Consumer Disc."),"",INDEX('DONNÉES BRUTES'!M$3:M$42,MATCH(LARGE(IF('DONNÉES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19.1%</v>
      </c>
      <c r="J14" t="str" cm="1">
        <f t="array" ref="J14">IFERROR(IF(4&gt;COUNTIF('DONNÉES BRUTES'!C$3:C$42,"Consumer Disc."),"",INDEX('DONNÉES BRUTES'!N$3:N$42,MATCH(LARGE(IF('DONNÉES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-9.7%</v>
      </c>
      <c r="K14" t="str" cm="1">
        <f t="array" ref="K14">IFERROR(IF(4&gt;COUNTIF('DONNÉES BRUTES'!C$3:C$42,"Consumer Disc."),"",INDEX('DONNÉES BRUTES'!O$3:O$42,MATCH(LARGE(IF('DONNÉES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-18.9%</v>
      </c>
      <c r="L14" t="str" cm="1">
        <f t="array" ref="L14">IFERROR(IF(4&gt;COUNTIF('DONNÉES BRUTES'!C$3:C$42,"Consumer Disc."),"",INDEX('DONNÉES BRUTES'!P$3:P$42,MATCH(LARGE(IF('DONNÉES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+3.0%</v>
      </c>
      <c r="M14" t="str" cm="1">
        <f t="array" ref="M14">IFERROR(IF(4&gt;COUNTIF('DONNÉES BRUTES'!C$3:C$42,"Consumer Disc."),"",INDEX('DONNÉES BRUTES'!Q$3:Q$42,MATCH(LARGE(IF('DONNÉES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-52.6%</v>
      </c>
      <c r="N14" t="str" cm="1">
        <f t="array" ref="N14">IFERROR(IF(4&gt;COUNTIF('DONNÉES BRUTES'!C$3:C$42,"Consumer Disc."),"",INDEX('DONNÉES BRUTES'!S$3:S$42,MATCH(LARGE(IF('DONNÉES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1.03</v>
      </c>
      <c r="O14" t="str" cm="1">
        <f t="array" ref="O14">IFERROR(IF(4&gt;COUNTIF('DONNÉES BRUTES'!C$3:C$42,"Consumer Disc."),"",INDEX('DONNÉES BRUTES'!T$3:T$42,MATCH(LARGE(IF('DONNÉES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-8.8x</v>
      </c>
      <c r="P14" t="str" cm="1">
        <f t="array" ref="P14">IFERROR(IF(4&gt;COUNTIF('DONNÉES BRUTES'!C$3:C$42,"Consumer Disc."),"",INDEX('DONNÉES BRUTES'!U$3:U$42,MATCH(LARGE(IF('DONNÉES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-0.50</v>
      </c>
      <c r="Q14" t="str" cm="1">
        <f t="array" ref="Q14">IFERROR(IF(4&gt;COUNTIF('DONNÉES BRUTES'!C$3:C$42,"Consumer Disc."),"",INDEX('DONNÉES BRUTES'!AD$3:AD$42,MATCH(LARGE(IF('DONNÉES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>Sous-pondérer</v>
      </c>
    </row>
    <row r="15" spans="2:17" ht="15.95" customHeight="1" x14ac:dyDescent="0.25">
      <c r="B15">
        <f>IF(5&gt;COUNTIF('DONNÉES BRUTES'!C$3:C$42,"Consumer Disc."),"",5)</f>
        <v>5</v>
      </c>
      <c r="C15" t="str" cm="1">
        <f t="array" ref="C15">IFERROR(IF(5&gt;COUNTIF('DONNÉES BRUTES'!C$3:C$42,"Consumer Disc."),"",INDEX('DONNÉES BRUTES'!A$3:A$42,MATCH(LARGE(IF('DONNÉES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STLAM.MI</v>
      </c>
      <c r="D15" t="str" cm="1">
        <f t="array" ref="D15">IFERROR(IF(5&gt;COUNTIF('DONNÉES BRUTES'!C$3:C$42,"Consumer Disc."),"",INDEX('DONNÉES BRUTES'!B$3:B$42,MATCH(LARGE(IF('DONNÉES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Stellantis N.V.</v>
      </c>
      <c r="E15" t="str" cm="1">
        <f t="array" ref="E15">IFERROR(IF(5&gt;COUNTIF('DONNÉES BRUTES'!C$3:C$42,"Consumer Disc."),"",INT(LARGE(IF('DONNÉES BRUTES'!C$3:C$42="Consumer Disc.",'DONNÉES BRUTES'!AB$3:AB$42+(ROW('DONNÉES BRUTES'!A$3:A$42)-ROW('DONNÉES BRUTES'!A$3))/1000,0),5))&amp;"/100"),"—")</f>
        <v>5/100</v>
      </c>
      <c r="F15" cm="1">
        <f t="array" ref="F15">IFERROR(IF(5&gt;COUNTIF('DONNÉES BRUTES'!C$3:C$42,"Consumer Disc."),"",INDEX('DONNÉES BRUTES'!Y$3:Y$42,MATCH(LARGE(IF('DONNÉES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3</v>
      </c>
      <c r="G15" cm="1">
        <f t="array" ref="G15">IFERROR(IF(5&gt;COUNTIF('DONNÉES BRUTES'!C$3:C$42,"Consumer Disc."),"",INDEX('DONNÉES BRUTES'!Z$3:Z$42,MATCH(LARGE(IF('DONNÉES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3</v>
      </c>
      <c r="H15" cm="1">
        <f t="array" ref="H15">IFERROR(IF(5&gt;COUNTIF('DONNÉES BRUTES'!C$3:C$42,"Consumer Disc."),"",INDEX('DONNÉES BRUTES'!AA$3:AA$42,MATCH(LARGE(IF('DONNÉES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10</v>
      </c>
      <c r="I15" t="str" cm="1">
        <f t="array" ref="I15">IFERROR(IF(5&gt;COUNTIF('DONNÉES BRUTES'!C$3:C$42,"Consumer Disc."),"",INDEX('DONNÉES BRUTES'!M$3:M$42,MATCH(LARGE(IF('DONNÉES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-1.4%</v>
      </c>
      <c r="J15" t="str" cm="1">
        <f t="array" ref="J15">IFERROR(IF(5&gt;COUNTIF('DONNÉES BRUTES'!C$3:C$42,"Consumer Disc."),"",INDEX('DONNÉES BRUTES'!N$3:N$42,MATCH(LARGE(IF('DONNÉES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-11.8%</v>
      </c>
      <c r="K15" t="str" cm="1">
        <f t="array" ref="K15">IFERROR(IF(5&gt;COUNTIF('DONNÉES BRUTES'!C$3:C$42,"Consumer Disc."),"",INDEX('DONNÉES BRUTES'!O$3:O$42,MATCH(LARGE(IF('DONNÉES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-14.6%</v>
      </c>
      <c r="L15" t="str" cm="1">
        <f t="array" ref="L15">IFERROR(IF(5&gt;COUNTIF('DONNÉES BRUTES'!C$3:C$42,"Consumer Disc."),"",INDEX('DONNÉES BRUTES'!P$3:P$42,MATCH(LARGE(IF('DONNÉES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-2.1%</v>
      </c>
      <c r="M15" t="str" cm="1">
        <f t="array" ref="M15">IFERROR(IF(5&gt;COUNTIF('DONNÉES BRUTES'!C$3:C$42,"Consumer Disc."),"",INDEX('DONNÉES BRUTES'!Q$3:Q$42,MATCH(LARGE(IF('DONNÉES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-41.8%</v>
      </c>
      <c r="N15" t="str" cm="1">
        <f t="array" ref="N15">IFERROR(IF(5&gt;COUNTIF('DONNÉES BRUTES'!C$3:C$42,"Consumer Disc."),"",INDEX('DONNÉES BRUTES'!S$3:S$42,MATCH(LARGE(IF('DONNÉES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1.02</v>
      </c>
      <c r="O15" t="str" cm="1">
        <f t="array" ref="O15">IFERROR(IF(5&gt;COUNTIF('DONNÉES BRUTES'!C$3:C$42,"Consumer Disc."),"",INDEX('DONNÉES BRUTES'!T$3:T$42,MATCH(LARGE(IF('DONNÉES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-0.7x</v>
      </c>
      <c r="P15" t="str" cm="1">
        <f t="array" ref="P15">IFERROR(IF(5&gt;COUNTIF('DONNÉES BRUTES'!C$3:C$42,"Consumer Disc."),"",INDEX('DONNÉES BRUTES'!U$3:U$42,MATCH(LARGE(IF('DONNÉES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0.48</v>
      </c>
      <c r="Q15" t="str" cm="1">
        <f t="array" ref="Q15">IFERROR(IF(5&gt;COUNTIF('DONNÉES BRUTES'!C$3:C$42,"Consumer Disc."),"",INDEX('DONNÉES BRUTES'!AD$3:AD$42,MATCH(LARGE(IF('DONNÉES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>Sous-pondérer</v>
      </c>
    </row>
    <row r="16" spans="2:17" ht="15.95" customHeight="1" x14ac:dyDescent="0.25">
      <c r="B16" t="str">
        <f>IF(6&gt;COUNTIF('DONNÉES BRUTES'!C$3:C$42,"Consumer Disc."),"",6)</f>
        <v/>
      </c>
      <c r="C16" t="str" cm="1">
        <f t="array" ref="C16">IFERROR(IF(6&gt;COUNTIF('DONNÉES BRUTES'!C$3:C$42,"Consumer Disc."),"",INDEX('DONNÉES BRUTES'!A$3:A$42,MATCH(LARGE(IF('DONNÉES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D16" t="str" cm="1">
        <f t="array" ref="D16">IFERROR(IF(6&gt;COUNTIF('DONNÉES BRUTES'!C$3:C$42,"Consumer Disc."),"",INDEX('DONNÉES BRUTES'!B$3:B$42,MATCH(LARGE(IF('DONNÉES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E16" t="str" cm="1">
        <f t="array" ref="E16">IFERROR(IF(6&gt;COUNTIF('DONNÉES BRUTES'!C$3:C$42,"Consumer Disc."),"",INT(LARGE(IF('DONNÉES BRUTES'!C$3:C$42="Consumer Disc.",'DONNÉES BRUTES'!AB$3:AB$42+(ROW('DONNÉES BRUTES'!A$3:A$42)-ROW('DONNÉES BRUTES'!A$3))/1000,0),6))&amp;"/100"),"—")</f>
        <v/>
      </c>
      <c r="F16" t="str" cm="1">
        <f t="array" ref="F16">IFERROR(IF(6&gt;COUNTIF('DONNÉES BRUTES'!C$3:C$42,"Consumer Disc."),"",INDEX('DONNÉES BRUTES'!Y$3:Y$42,MATCH(LARGE(IF('DONNÉES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G16" t="str" cm="1">
        <f t="array" ref="G16">IFERROR(IF(6&gt;COUNTIF('DONNÉES BRUTES'!C$3:C$42,"Consumer Disc."),"",INDEX('DONNÉES BRUTES'!Z$3:Z$42,MATCH(LARGE(IF('DONNÉES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H16" t="str" cm="1">
        <f t="array" ref="H16">IFERROR(IF(6&gt;COUNTIF('DONNÉES BRUTES'!C$3:C$42,"Consumer Disc."),"",INDEX('DONNÉES BRUTES'!AA$3:AA$42,MATCH(LARGE(IF('DONNÉES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I16" t="str" cm="1">
        <f t="array" ref="I16">IFERROR(IF(6&gt;COUNTIF('DONNÉES BRUTES'!C$3:C$42,"Consumer Disc."),"",INDEX('DONNÉES BRUTES'!M$3:M$42,MATCH(LARGE(IF('DONNÉES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J16" t="str" cm="1">
        <f t="array" ref="J16">IFERROR(IF(6&gt;COUNTIF('DONNÉES BRUTES'!C$3:C$42,"Consumer Disc."),"",INDEX('DONNÉES BRUTES'!N$3:N$42,MATCH(LARGE(IF('DONNÉES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K16" t="str" cm="1">
        <f t="array" ref="K16">IFERROR(IF(6&gt;COUNTIF('DONNÉES BRUTES'!C$3:C$42,"Consumer Disc."),"",INDEX('DONNÉES BRUTES'!O$3:O$42,MATCH(LARGE(IF('DONNÉES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L16" t="str" cm="1">
        <f t="array" ref="L16">IFERROR(IF(6&gt;COUNTIF('DONNÉES BRUTES'!C$3:C$42,"Consumer Disc."),"",INDEX('DONNÉES BRUTES'!P$3:P$42,MATCH(LARGE(IF('DONNÉES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M16" t="str" cm="1">
        <f t="array" ref="M16">IFERROR(IF(6&gt;COUNTIF('DONNÉES BRUTES'!C$3:C$42,"Consumer Disc."),"",INDEX('DONNÉES BRUTES'!Q$3:Q$42,MATCH(LARGE(IF('DONNÉES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N16" t="str" cm="1">
        <f t="array" ref="N16">IFERROR(IF(6&gt;COUNTIF('DONNÉES BRUTES'!C$3:C$42,"Consumer Disc."),"",INDEX('DONNÉES BRUTES'!S$3:S$42,MATCH(LARGE(IF('DONNÉES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O16" t="str" cm="1">
        <f t="array" ref="O16">IFERROR(IF(6&gt;COUNTIF('DONNÉES BRUTES'!C$3:C$42,"Consumer Disc."),"",INDEX('DONNÉES BRUTES'!T$3:T$42,MATCH(LARGE(IF('DONNÉES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P16" t="str" cm="1">
        <f t="array" ref="P16">IFERROR(IF(6&gt;COUNTIF('DONNÉES BRUTES'!C$3:C$42,"Consumer Disc."),"",INDEX('DONNÉES BRUTES'!U$3:U$42,MATCH(LARGE(IF('DONNÉES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Q16" t="str" cm="1">
        <f t="array" ref="Q16">IFERROR(IF(6&gt;COUNTIF('DONNÉES BRUTES'!C$3:C$42,"Consumer Disc."),"",INDEX('DONNÉES BRUTES'!AD$3:AD$42,MATCH(LARGE(IF('DONNÉES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</row>
    <row r="17" spans="2:28" ht="15.95" customHeight="1" x14ac:dyDescent="0.25">
      <c r="B17" t="str">
        <f>IF(7&gt;COUNTIF('DONNÉES BRUTES'!C$3:C$42,"Consumer Disc."),"",7)</f>
        <v/>
      </c>
      <c r="C17" t="str" cm="1">
        <f t="array" ref="C17">IFERROR(IF(7&gt;COUNTIF('DONNÉES BRUTES'!C$3:C$42,"Consumer Disc."),"",INDEX('DONNÉES BRUTES'!A$3:A$42,MATCH(LARGE(IF('DONNÉES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D17" t="str" cm="1">
        <f t="array" ref="D17">IFERROR(IF(7&gt;COUNTIF('DONNÉES BRUTES'!C$3:C$42,"Consumer Disc."),"",INDEX('DONNÉES BRUTES'!B$3:B$42,MATCH(LARGE(IF('DONNÉES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E17" t="str" cm="1">
        <f t="array" ref="E17">IFERROR(IF(7&gt;COUNTIF('DONNÉES BRUTES'!C$3:C$42,"Consumer Disc."),"",INT(LARGE(IF('DONNÉES BRUTES'!C$3:C$42="Consumer Disc.",'DONNÉES BRUTES'!AB$3:AB$42+(ROW('DONNÉES BRUTES'!A$3:A$42)-ROW('DONNÉES BRUTES'!A$3))/1000,0),7))&amp;"/100"),"—")</f>
        <v/>
      </c>
      <c r="F17" t="str" cm="1">
        <f t="array" ref="F17">IFERROR(IF(7&gt;COUNTIF('DONNÉES BRUTES'!C$3:C$42,"Consumer Disc."),"",INDEX('DONNÉES BRUTES'!Y$3:Y$42,MATCH(LARGE(IF('DONNÉES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G17" t="str" cm="1">
        <f t="array" ref="G17">IFERROR(IF(7&gt;COUNTIF('DONNÉES BRUTES'!C$3:C$42,"Consumer Disc."),"",INDEX('DONNÉES BRUTES'!Z$3:Z$42,MATCH(LARGE(IF('DONNÉES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H17" t="str" cm="1">
        <f t="array" ref="H17">IFERROR(IF(7&gt;COUNTIF('DONNÉES BRUTES'!C$3:C$42,"Consumer Disc."),"",INDEX('DONNÉES BRUTES'!AA$3:AA$42,MATCH(LARGE(IF('DONNÉES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I17" t="str" cm="1">
        <f t="array" ref="I17">IFERROR(IF(7&gt;COUNTIF('DONNÉES BRUTES'!C$3:C$42,"Consumer Disc."),"",INDEX('DONNÉES BRUTES'!M$3:M$42,MATCH(LARGE(IF('DONNÉES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J17" t="str" cm="1">
        <f t="array" ref="J17">IFERROR(IF(7&gt;COUNTIF('DONNÉES BRUTES'!C$3:C$42,"Consumer Disc."),"",INDEX('DONNÉES BRUTES'!N$3:N$42,MATCH(LARGE(IF('DONNÉES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K17" t="str" cm="1">
        <f t="array" ref="K17">IFERROR(IF(7&gt;COUNTIF('DONNÉES BRUTES'!C$3:C$42,"Consumer Disc."),"",INDEX('DONNÉES BRUTES'!O$3:O$42,MATCH(LARGE(IF('DONNÉES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L17" t="str" cm="1">
        <f t="array" ref="L17">IFERROR(IF(7&gt;COUNTIF('DONNÉES BRUTES'!C$3:C$42,"Consumer Disc."),"",INDEX('DONNÉES BRUTES'!P$3:P$42,MATCH(LARGE(IF('DONNÉES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M17" t="str" cm="1">
        <f t="array" ref="M17">IFERROR(IF(7&gt;COUNTIF('DONNÉES BRUTES'!C$3:C$42,"Consumer Disc."),"",INDEX('DONNÉES BRUTES'!Q$3:Q$42,MATCH(LARGE(IF('DONNÉES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N17" t="str" cm="1">
        <f t="array" ref="N17">IFERROR(IF(7&gt;COUNTIF('DONNÉES BRUTES'!C$3:C$42,"Consumer Disc."),"",INDEX('DONNÉES BRUTES'!S$3:S$42,MATCH(LARGE(IF('DONNÉES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O17" t="str" cm="1">
        <f t="array" ref="O17">IFERROR(IF(7&gt;COUNTIF('DONNÉES BRUTES'!C$3:C$42,"Consumer Disc."),"",INDEX('DONNÉES BRUTES'!T$3:T$42,MATCH(LARGE(IF('DONNÉES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P17" t="str" cm="1">
        <f t="array" ref="P17">IFERROR(IF(7&gt;COUNTIF('DONNÉES BRUTES'!C$3:C$42,"Consumer Disc."),"",INDEX('DONNÉES BRUTES'!U$3:U$42,MATCH(LARGE(IF('DONNÉES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Q17" t="str" cm="1">
        <f t="array" ref="Q17">IFERROR(IF(7&gt;COUNTIF('DONNÉES BRUTES'!C$3:C$42,"Consumer Disc."),"",INDEX('DONNÉES BRUTES'!AD$3:AD$42,MATCH(LARGE(IF('DONNÉES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</row>
    <row r="18" spans="2:28" ht="15.95" customHeight="1" x14ac:dyDescent="0.25">
      <c r="B18" t="str">
        <f>IF(8&gt;COUNTIF('DONNÉES BRUTES'!C$3:C$42,"Consumer Disc."),"",8)</f>
        <v/>
      </c>
      <c r="C18" t="str" cm="1">
        <f t="array" ref="C18">IFERROR(IF(8&gt;COUNTIF('DONNÉES BRUTES'!C$3:C$42,"Consumer Disc."),"",INDEX('DONNÉES BRUTES'!A$3:A$42,MATCH(LARGE(IF('DONNÉES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D18" t="str" cm="1">
        <f t="array" ref="D18">IFERROR(IF(8&gt;COUNTIF('DONNÉES BRUTES'!C$3:C$42,"Consumer Disc."),"",INDEX('DONNÉES BRUTES'!B$3:B$42,MATCH(LARGE(IF('DONNÉES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E18" t="str" cm="1">
        <f t="array" ref="E18">IFERROR(IF(8&gt;COUNTIF('DONNÉES BRUTES'!C$3:C$42,"Consumer Disc."),"",INT(LARGE(IF('DONNÉES BRUTES'!C$3:C$42="Consumer Disc.",'DONNÉES BRUTES'!AB$3:AB$42+(ROW('DONNÉES BRUTES'!A$3:A$42)-ROW('DONNÉES BRUTES'!A$3))/1000,0),8))&amp;"/100"),"—")</f>
        <v/>
      </c>
      <c r="F18" t="str" cm="1">
        <f t="array" ref="F18">IFERROR(IF(8&gt;COUNTIF('DONNÉES BRUTES'!C$3:C$42,"Consumer Disc."),"",INDEX('DONNÉES BRUTES'!Y$3:Y$42,MATCH(LARGE(IF('DONNÉES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G18" t="str" cm="1">
        <f t="array" ref="G18">IFERROR(IF(8&gt;COUNTIF('DONNÉES BRUTES'!C$3:C$42,"Consumer Disc."),"",INDEX('DONNÉES BRUTES'!Z$3:Z$42,MATCH(LARGE(IF('DONNÉES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H18" t="str" cm="1">
        <f t="array" ref="H18">IFERROR(IF(8&gt;COUNTIF('DONNÉES BRUTES'!C$3:C$42,"Consumer Disc."),"",INDEX('DONNÉES BRUTES'!AA$3:AA$42,MATCH(LARGE(IF('DONNÉES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I18" t="str" cm="1">
        <f t="array" ref="I18">IFERROR(IF(8&gt;COUNTIF('DONNÉES BRUTES'!C$3:C$42,"Consumer Disc."),"",INDEX('DONNÉES BRUTES'!M$3:M$42,MATCH(LARGE(IF('DONNÉES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J18" t="str" cm="1">
        <f t="array" ref="J18">IFERROR(IF(8&gt;COUNTIF('DONNÉES BRUTES'!C$3:C$42,"Consumer Disc."),"",INDEX('DONNÉES BRUTES'!N$3:N$42,MATCH(LARGE(IF('DONNÉES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K18" t="str" cm="1">
        <f t="array" ref="K18">IFERROR(IF(8&gt;COUNTIF('DONNÉES BRUTES'!C$3:C$42,"Consumer Disc."),"",INDEX('DONNÉES BRUTES'!O$3:O$42,MATCH(LARGE(IF('DONNÉES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L18" t="str" cm="1">
        <f t="array" ref="L18">IFERROR(IF(8&gt;COUNTIF('DONNÉES BRUTES'!C$3:C$42,"Consumer Disc."),"",INDEX('DONNÉES BRUTES'!P$3:P$42,MATCH(LARGE(IF('DONNÉES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M18" t="str" cm="1">
        <f t="array" ref="M18">IFERROR(IF(8&gt;COUNTIF('DONNÉES BRUTES'!C$3:C$42,"Consumer Disc."),"",INDEX('DONNÉES BRUTES'!Q$3:Q$42,MATCH(LARGE(IF('DONNÉES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N18" t="str" cm="1">
        <f t="array" ref="N18">IFERROR(IF(8&gt;COUNTIF('DONNÉES BRUTES'!C$3:C$42,"Consumer Disc."),"",INDEX('DONNÉES BRUTES'!S$3:S$42,MATCH(LARGE(IF('DONNÉES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O18" t="str" cm="1">
        <f t="array" ref="O18">IFERROR(IF(8&gt;COUNTIF('DONNÉES BRUTES'!C$3:C$42,"Consumer Disc."),"",INDEX('DONNÉES BRUTES'!T$3:T$42,MATCH(LARGE(IF('DONNÉES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P18" t="str" cm="1">
        <f t="array" ref="P18">IFERROR(IF(8&gt;COUNTIF('DONNÉES BRUTES'!C$3:C$42,"Consumer Disc."),"",INDEX('DONNÉES BRUTES'!U$3:U$42,MATCH(LARGE(IF('DONNÉES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Q18" t="str" cm="1">
        <f t="array" ref="Q18">IFERROR(IF(8&gt;COUNTIF('DONNÉES BRUTES'!C$3:C$42,"Consumer Disc."),"",INDEX('DONNÉES BRUTES'!AD$3:AD$42,MATCH(LARGE(IF('DONNÉES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</row>
    <row r="19" spans="2:28" ht="15.95" customHeight="1" x14ac:dyDescent="0.25">
      <c r="B19" t="str">
        <f>IF(9&gt;COUNTIF('DONNÉES BRUTES'!C$3:C$42,"Consumer Disc."),"",9)</f>
        <v/>
      </c>
      <c r="C19" t="str" cm="1">
        <f t="array" ref="C19">IFERROR(IF(9&gt;COUNTIF('DONNÉES BRUTES'!C$3:C$42,"Consumer Disc."),"",INDEX('DONNÉES BRUTES'!A$3:A$42,MATCH(LARGE(IF('DONNÉES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D19" t="str" cm="1">
        <f t="array" ref="D19">IFERROR(IF(9&gt;COUNTIF('DONNÉES BRUTES'!C$3:C$42,"Consumer Disc."),"",INDEX('DONNÉES BRUTES'!B$3:B$42,MATCH(LARGE(IF('DONNÉES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E19" t="str" cm="1">
        <f t="array" ref="E19">IFERROR(IF(9&gt;COUNTIF('DONNÉES BRUTES'!C$3:C$42,"Consumer Disc."),"",INT(LARGE(IF('DONNÉES BRUTES'!C$3:C$42="Consumer Disc.",'DONNÉES BRUTES'!AB$3:AB$42+(ROW('DONNÉES BRUTES'!A$3:A$42)-ROW('DONNÉES BRUTES'!A$3))/1000,0),9))&amp;"/100"),"—")</f>
        <v/>
      </c>
      <c r="F19" t="str" cm="1">
        <f t="array" ref="F19">IFERROR(IF(9&gt;COUNTIF('DONNÉES BRUTES'!C$3:C$42,"Consumer Disc."),"",INDEX('DONNÉES BRUTES'!Y$3:Y$42,MATCH(LARGE(IF('DONNÉES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G19" t="str" cm="1">
        <f t="array" ref="G19">IFERROR(IF(9&gt;COUNTIF('DONNÉES BRUTES'!C$3:C$42,"Consumer Disc."),"",INDEX('DONNÉES BRUTES'!Z$3:Z$42,MATCH(LARGE(IF('DONNÉES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H19" t="str" cm="1">
        <f t="array" ref="H19">IFERROR(IF(9&gt;COUNTIF('DONNÉES BRUTES'!C$3:C$42,"Consumer Disc."),"",INDEX('DONNÉES BRUTES'!AA$3:AA$42,MATCH(LARGE(IF('DONNÉES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I19" t="str" cm="1">
        <f t="array" ref="I19">IFERROR(IF(9&gt;COUNTIF('DONNÉES BRUTES'!C$3:C$42,"Consumer Disc."),"",INDEX('DONNÉES BRUTES'!M$3:M$42,MATCH(LARGE(IF('DONNÉES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J19" t="str" cm="1">
        <f t="array" ref="J19">IFERROR(IF(9&gt;COUNTIF('DONNÉES BRUTES'!C$3:C$42,"Consumer Disc."),"",INDEX('DONNÉES BRUTES'!N$3:N$42,MATCH(LARGE(IF('DONNÉES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K19" t="str" cm="1">
        <f t="array" ref="K19">IFERROR(IF(9&gt;COUNTIF('DONNÉES BRUTES'!C$3:C$42,"Consumer Disc."),"",INDEX('DONNÉES BRUTES'!O$3:O$42,MATCH(LARGE(IF('DONNÉES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L19" t="str" cm="1">
        <f t="array" ref="L19">IFERROR(IF(9&gt;COUNTIF('DONNÉES BRUTES'!C$3:C$42,"Consumer Disc."),"",INDEX('DONNÉES BRUTES'!P$3:P$42,MATCH(LARGE(IF('DONNÉES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M19" t="str" cm="1">
        <f t="array" ref="M19">IFERROR(IF(9&gt;COUNTIF('DONNÉES BRUTES'!C$3:C$42,"Consumer Disc."),"",INDEX('DONNÉES BRUTES'!Q$3:Q$42,MATCH(LARGE(IF('DONNÉES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N19" t="str" cm="1">
        <f t="array" ref="N19">IFERROR(IF(9&gt;COUNTIF('DONNÉES BRUTES'!C$3:C$42,"Consumer Disc."),"",INDEX('DONNÉES BRUTES'!S$3:S$42,MATCH(LARGE(IF('DONNÉES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O19" t="str" cm="1">
        <f t="array" ref="O19">IFERROR(IF(9&gt;COUNTIF('DONNÉES BRUTES'!C$3:C$42,"Consumer Disc."),"",INDEX('DONNÉES BRUTES'!T$3:T$42,MATCH(LARGE(IF('DONNÉES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P19" t="str" cm="1">
        <f t="array" ref="P19">IFERROR(IF(9&gt;COUNTIF('DONNÉES BRUTES'!C$3:C$42,"Consumer Disc."),"",INDEX('DONNÉES BRUTES'!U$3:U$42,MATCH(LARGE(IF('DONNÉES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Q19" t="str" cm="1">
        <f t="array" ref="Q19">IFERROR(IF(9&gt;COUNTIF('DONNÉES BRUTES'!C$3:C$42,"Consumer Disc."),"",INDEX('DONNÉES BRUTES'!AD$3:AD$42,MATCH(LARGE(IF('DONNÉES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</row>
    <row r="20" spans="2:28" ht="15.95" customHeight="1" x14ac:dyDescent="0.25">
      <c r="B20" t="str">
        <f>IF(10&gt;COUNTIF('DONNÉES BRUTES'!C$3:C$42,"Consumer Disc."),"",10)</f>
        <v/>
      </c>
      <c r="C20" t="str" cm="1">
        <f t="array" ref="C20">IFERROR(IF(10&gt;COUNTIF('DONNÉES BRUTES'!C$3:C$42,"Consumer Disc."),"",INDEX('DONNÉES BRUTES'!A$3:A$42,MATCH(LARGE(IF('DONNÉES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D20" t="str" cm="1">
        <f t="array" ref="D20">IFERROR(IF(10&gt;COUNTIF('DONNÉES BRUTES'!C$3:C$42,"Consumer Disc."),"",INDEX('DONNÉES BRUTES'!B$3:B$42,MATCH(LARGE(IF('DONNÉES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E20" t="str" cm="1">
        <f t="array" ref="E20">IFERROR(IF(10&gt;COUNTIF('DONNÉES BRUTES'!C$3:C$42,"Consumer Disc."),"",INT(LARGE(IF('DONNÉES BRUTES'!C$3:C$42="Consumer Disc.",'DONNÉES BRUTES'!AB$3:AB$42+(ROW('DONNÉES BRUTES'!A$3:A$42)-ROW('DONNÉES BRUTES'!A$3))/1000,0),10))&amp;"/100"),"—")</f>
        <v/>
      </c>
      <c r="F20" t="str" cm="1">
        <f t="array" ref="F20">IFERROR(IF(10&gt;COUNTIF('DONNÉES BRUTES'!C$3:C$42,"Consumer Disc."),"",INDEX('DONNÉES BRUTES'!Y$3:Y$42,MATCH(LARGE(IF('DONNÉES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G20" t="str" cm="1">
        <f t="array" ref="G20">IFERROR(IF(10&gt;COUNTIF('DONNÉES BRUTES'!C$3:C$42,"Consumer Disc."),"",INDEX('DONNÉES BRUTES'!Z$3:Z$42,MATCH(LARGE(IF('DONNÉES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H20" t="str" cm="1">
        <f t="array" ref="H20">IFERROR(IF(10&gt;COUNTIF('DONNÉES BRUTES'!C$3:C$42,"Consumer Disc."),"",INDEX('DONNÉES BRUTES'!AA$3:AA$42,MATCH(LARGE(IF('DONNÉES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I20" t="str" cm="1">
        <f t="array" ref="I20">IFERROR(IF(10&gt;COUNTIF('DONNÉES BRUTES'!C$3:C$42,"Consumer Disc."),"",INDEX('DONNÉES BRUTES'!M$3:M$42,MATCH(LARGE(IF('DONNÉES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J20" t="str" cm="1">
        <f t="array" ref="J20">IFERROR(IF(10&gt;COUNTIF('DONNÉES BRUTES'!C$3:C$42,"Consumer Disc."),"",INDEX('DONNÉES BRUTES'!N$3:N$42,MATCH(LARGE(IF('DONNÉES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K20" t="str" cm="1">
        <f t="array" ref="K20">IFERROR(IF(10&gt;COUNTIF('DONNÉES BRUTES'!C$3:C$42,"Consumer Disc."),"",INDEX('DONNÉES BRUTES'!O$3:O$42,MATCH(LARGE(IF('DONNÉES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L20" t="str" cm="1">
        <f t="array" ref="L20">IFERROR(IF(10&gt;COUNTIF('DONNÉES BRUTES'!C$3:C$42,"Consumer Disc."),"",INDEX('DONNÉES BRUTES'!P$3:P$42,MATCH(LARGE(IF('DONNÉES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M20" t="str" cm="1">
        <f t="array" ref="M20">IFERROR(IF(10&gt;COUNTIF('DONNÉES BRUTES'!C$3:C$42,"Consumer Disc."),"",INDEX('DONNÉES BRUTES'!Q$3:Q$42,MATCH(LARGE(IF('DONNÉES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N20" t="str" cm="1">
        <f t="array" ref="N20">IFERROR(IF(10&gt;COUNTIF('DONNÉES BRUTES'!C$3:C$42,"Consumer Disc."),"",INDEX('DONNÉES BRUTES'!S$3:S$42,MATCH(LARGE(IF('DONNÉES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O20" t="str" cm="1">
        <f t="array" ref="O20">IFERROR(IF(10&gt;COUNTIF('DONNÉES BRUTES'!C$3:C$42,"Consumer Disc."),"",INDEX('DONNÉES BRUTES'!T$3:T$42,MATCH(LARGE(IF('DONNÉES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P20" t="str" cm="1">
        <f t="array" ref="P20">IFERROR(IF(10&gt;COUNTIF('DONNÉES BRUTES'!C$3:C$42,"Consumer Disc."),"",INDEX('DONNÉES BRUTES'!U$3:U$42,MATCH(LARGE(IF('DONNÉES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Q20" t="str" cm="1">
        <f t="array" ref="Q20">IFERROR(IF(10&gt;COUNTIF('DONNÉES BRUTES'!C$3:C$42,"Consumer Disc."),"",INDEX('DONNÉES BRUTES'!AD$3:AD$42,MATCH(LARGE(IF('DONNÉES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</row>
    <row r="21" spans="2:28" ht="15.95" customHeight="1" x14ac:dyDescent="0.25">
      <c r="B21" t="str">
        <f>IF(11&gt;COUNTIF('DONNÉES BRUTES'!C$3:C$42,"Consumer Disc."),"",11)</f>
        <v/>
      </c>
      <c r="C21" t="str" cm="1">
        <f t="array" ref="C21">IFERROR(IF(11&gt;COUNTIF('DONNÉES BRUTES'!C$3:C$42,"Consumer Disc."),"",INDEX('DONNÉES BRUTES'!A$3:A$42,MATCH(LARGE(IF('DONNÉES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D21" t="str" cm="1">
        <f t="array" ref="D21">IFERROR(IF(11&gt;COUNTIF('DONNÉES BRUTES'!C$3:C$42,"Consumer Disc."),"",INDEX('DONNÉES BRUTES'!B$3:B$42,MATCH(LARGE(IF('DONNÉES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E21" t="str" cm="1">
        <f t="array" ref="E21">IFERROR(IF(11&gt;COUNTIF('DONNÉES BRUTES'!C$3:C$42,"Consumer Disc."),"",INT(LARGE(IF('DONNÉES BRUTES'!C$3:C$42="Consumer Disc.",'DONNÉES BRUTES'!AB$3:AB$42+(ROW('DONNÉES BRUTES'!A$3:A$42)-ROW('DONNÉES BRUTES'!A$3))/1000,0),11))&amp;"/100"),"—")</f>
        <v/>
      </c>
      <c r="F21" t="str" cm="1">
        <f t="array" ref="F21">IFERROR(IF(11&gt;COUNTIF('DONNÉES BRUTES'!C$3:C$42,"Consumer Disc."),"",INDEX('DONNÉES BRUTES'!Y$3:Y$42,MATCH(LARGE(IF('DONNÉES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G21" t="str" cm="1">
        <f t="array" ref="G21">IFERROR(IF(11&gt;COUNTIF('DONNÉES BRUTES'!C$3:C$42,"Consumer Disc."),"",INDEX('DONNÉES BRUTES'!Z$3:Z$42,MATCH(LARGE(IF('DONNÉES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H21" t="str" cm="1">
        <f t="array" ref="H21">IFERROR(IF(11&gt;COUNTIF('DONNÉES BRUTES'!C$3:C$42,"Consumer Disc."),"",INDEX('DONNÉES BRUTES'!AA$3:AA$42,MATCH(LARGE(IF('DONNÉES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I21" t="str" cm="1">
        <f t="array" ref="I21">IFERROR(IF(11&gt;COUNTIF('DONNÉES BRUTES'!C$3:C$42,"Consumer Disc."),"",INDEX('DONNÉES BRUTES'!M$3:M$42,MATCH(LARGE(IF('DONNÉES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J21" t="str" cm="1">
        <f t="array" ref="J21">IFERROR(IF(11&gt;COUNTIF('DONNÉES BRUTES'!C$3:C$42,"Consumer Disc."),"",INDEX('DONNÉES BRUTES'!N$3:N$42,MATCH(LARGE(IF('DONNÉES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K21" t="str" cm="1">
        <f t="array" ref="K21">IFERROR(IF(11&gt;COUNTIF('DONNÉES BRUTES'!C$3:C$42,"Consumer Disc."),"",INDEX('DONNÉES BRUTES'!O$3:O$42,MATCH(LARGE(IF('DONNÉES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L21" t="str" cm="1">
        <f t="array" ref="L21">IFERROR(IF(11&gt;COUNTIF('DONNÉES BRUTES'!C$3:C$42,"Consumer Disc."),"",INDEX('DONNÉES BRUTES'!P$3:P$42,MATCH(LARGE(IF('DONNÉES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M21" t="str" cm="1">
        <f t="array" ref="M21">IFERROR(IF(11&gt;COUNTIF('DONNÉES BRUTES'!C$3:C$42,"Consumer Disc."),"",INDEX('DONNÉES BRUTES'!Q$3:Q$42,MATCH(LARGE(IF('DONNÉES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N21" t="str" cm="1">
        <f t="array" ref="N21">IFERROR(IF(11&gt;COUNTIF('DONNÉES BRUTES'!C$3:C$42,"Consumer Disc."),"",INDEX('DONNÉES BRUTES'!S$3:S$42,MATCH(LARGE(IF('DONNÉES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O21" t="str" cm="1">
        <f t="array" ref="O21">IFERROR(IF(11&gt;COUNTIF('DONNÉES BRUTES'!C$3:C$42,"Consumer Disc."),"",INDEX('DONNÉES BRUTES'!T$3:T$42,MATCH(LARGE(IF('DONNÉES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P21" t="str" cm="1">
        <f t="array" ref="P21">IFERROR(IF(11&gt;COUNTIF('DONNÉES BRUTES'!C$3:C$42,"Consumer Disc."),"",INDEX('DONNÉES BRUTES'!U$3:U$42,MATCH(LARGE(IF('DONNÉES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Q21" t="str" cm="1">
        <f t="array" ref="Q21">IFERROR(IF(11&gt;COUNTIF('DONNÉES BRUTES'!C$3:C$42,"Consumer Disc."),"",INDEX('DONNÉES BRUTES'!AD$3:AD$42,MATCH(LARGE(IF('DONNÉES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</row>
    <row r="22" spans="2:28" ht="15.95" customHeight="1" x14ac:dyDescent="0.25">
      <c r="B22" t="str">
        <f>IF(12&gt;COUNTIF('DONNÉES BRUTES'!C$3:C$42,"Consumer Disc."),"",12)</f>
        <v/>
      </c>
      <c r="C22" t="str" cm="1">
        <f t="array" ref="C22">IFERROR(IF(12&gt;COUNTIF('DONNÉES BRUTES'!C$3:C$42,"Consumer Disc."),"",INDEX('DONNÉES BRUTES'!A$3:A$42,MATCH(LARGE(IF('DONNÉES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D22" t="str" cm="1">
        <f t="array" ref="D22">IFERROR(IF(12&gt;COUNTIF('DONNÉES BRUTES'!C$3:C$42,"Consumer Disc."),"",INDEX('DONNÉES BRUTES'!B$3:B$42,MATCH(LARGE(IF('DONNÉES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E22" t="str" cm="1">
        <f t="array" ref="E22">IFERROR(IF(12&gt;COUNTIF('DONNÉES BRUTES'!C$3:C$42,"Consumer Disc."),"",INT(LARGE(IF('DONNÉES BRUTES'!C$3:C$42="Consumer Disc.",'DONNÉES BRUTES'!AB$3:AB$42+(ROW('DONNÉES BRUTES'!A$3:A$42)-ROW('DONNÉES BRUTES'!A$3))/1000,0),12))&amp;"/100"),"—")</f>
        <v/>
      </c>
      <c r="F22" t="str" cm="1">
        <f t="array" ref="F22">IFERROR(IF(12&gt;COUNTIF('DONNÉES BRUTES'!C$3:C$42,"Consumer Disc."),"",INDEX('DONNÉES BRUTES'!Y$3:Y$42,MATCH(LARGE(IF('DONNÉES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G22" t="str" cm="1">
        <f t="array" ref="G22">IFERROR(IF(12&gt;COUNTIF('DONNÉES BRUTES'!C$3:C$42,"Consumer Disc."),"",INDEX('DONNÉES BRUTES'!Z$3:Z$42,MATCH(LARGE(IF('DONNÉES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H22" t="str" cm="1">
        <f t="array" ref="H22">IFERROR(IF(12&gt;COUNTIF('DONNÉES BRUTES'!C$3:C$42,"Consumer Disc."),"",INDEX('DONNÉES BRUTES'!AA$3:AA$42,MATCH(LARGE(IF('DONNÉES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I22" t="str" cm="1">
        <f t="array" ref="I22">IFERROR(IF(12&gt;COUNTIF('DONNÉES BRUTES'!C$3:C$42,"Consumer Disc."),"",INDEX('DONNÉES BRUTES'!M$3:M$42,MATCH(LARGE(IF('DONNÉES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J22" t="str" cm="1">
        <f t="array" ref="J22">IFERROR(IF(12&gt;COUNTIF('DONNÉES BRUTES'!C$3:C$42,"Consumer Disc."),"",INDEX('DONNÉES BRUTES'!N$3:N$42,MATCH(LARGE(IF('DONNÉES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K22" t="str" cm="1">
        <f t="array" ref="K22">IFERROR(IF(12&gt;COUNTIF('DONNÉES BRUTES'!C$3:C$42,"Consumer Disc."),"",INDEX('DONNÉES BRUTES'!O$3:O$42,MATCH(LARGE(IF('DONNÉES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L22" t="str" cm="1">
        <f t="array" ref="L22">IFERROR(IF(12&gt;COUNTIF('DONNÉES BRUTES'!C$3:C$42,"Consumer Disc."),"",INDEX('DONNÉES BRUTES'!P$3:P$42,MATCH(LARGE(IF('DONNÉES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M22" t="str" cm="1">
        <f t="array" ref="M22">IFERROR(IF(12&gt;COUNTIF('DONNÉES BRUTES'!C$3:C$42,"Consumer Disc."),"",INDEX('DONNÉES BRUTES'!Q$3:Q$42,MATCH(LARGE(IF('DONNÉES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N22" t="str" cm="1">
        <f t="array" ref="N22">IFERROR(IF(12&gt;COUNTIF('DONNÉES BRUTES'!C$3:C$42,"Consumer Disc."),"",INDEX('DONNÉES BRUTES'!S$3:S$42,MATCH(LARGE(IF('DONNÉES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O22" t="str" cm="1">
        <f t="array" ref="O22">IFERROR(IF(12&gt;COUNTIF('DONNÉES BRUTES'!C$3:C$42,"Consumer Disc."),"",INDEX('DONNÉES BRUTES'!T$3:T$42,MATCH(LARGE(IF('DONNÉES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P22" t="str" cm="1">
        <f t="array" ref="P22">IFERROR(IF(12&gt;COUNTIF('DONNÉES BRUTES'!C$3:C$42,"Consumer Disc."),"",INDEX('DONNÉES BRUTES'!U$3:U$42,MATCH(LARGE(IF('DONNÉES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Q22" t="str" cm="1">
        <f t="array" ref="Q22">IFERROR(IF(12&gt;COUNTIF('DONNÉES BRUTES'!C$3:C$42,"Consumer Disc."),"",INDEX('DONNÉES BRUTES'!AD$3:AD$42,MATCH(LARGE(IF('DONNÉES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</row>
    <row r="23" spans="2:28" ht="15.95" customHeight="1" x14ac:dyDescent="0.25">
      <c r="B23" t="str">
        <f>IF(13&gt;COUNTIF('DONNÉES BRUTES'!C$3:C$42,"Consumer Disc."),"",13)</f>
        <v/>
      </c>
      <c r="C23" t="str" cm="1">
        <f t="array" ref="C23">IFERROR(IF(13&gt;COUNTIF('DONNÉES BRUTES'!C$3:C$42,"Consumer Disc."),"",INDEX('DONNÉES BRUTES'!A$3:A$42,MATCH(LARGE(IF('DONNÉES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D23" t="str" cm="1">
        <f t="array" ref="D23">IFERROR(IF(13&gt;COUNTIF('DONNÉES BRUTES'!C$3:C$42,"Consumer Disc."),"",INDEX('DONNÉES BRUTES'!B$3:B$42,MATCH(LARGE(IF('DONNÉES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E23" t="str" cm="1">
        <f t="array" ref="E23">IFERROR(IF(13&gt;COUNTIF('DONNÉES BRUTES'!C$3:C$42,"Consumer Disc."),"",INT(LARGE(IF('DONNÉES BRUTES'!C$3:C$42="Consumer Disc.",'DONNÉES BRUTES'!AB$3:AB$42+(ROW('DONNÉES BRUTES'!A$3:A$42)-ROW('DONNÉES BRUTES'!A$3))/1000,0),13))&amp;"/100"),"—")</f>
        <v/>
      </c>
      <c r="F23" t="str" cm="1">
        <f t="array" ref="F23">IFERROR(IF(13&gt;COUNTIF('DONNÉES BRUTES'!C$3:C$42,"Consumer Disc."),"",INDEX('DONNÉES BRUTES'!Y$3:Y$42,MATCH(LARGE(IF('DONNÉES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G23" t="str" cm="1">
        <f t="array" ref="G23">IFERROR(IF(13&gt;COUNTIF('DONNÉES BRUTES'!C$3:C$42,"Consumer Disc."),"",INDEX('DONNÉES BRUTES'!Z$3:Z$42,MATCH(LARGE(IF('DONNÉES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H23" t="str" cm="1">
        <f t="array" ref="H23">IFERROR(IF(13&gt;COUNTIF('DONNÉES BRUTES'!C$3:C$42,"Consumer Disc."),"",INDEX('DONNÉES BRUTES'!AA$3:AA$42,MATCH(LARGE(IF('DONNÉES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I23" t="str" cm="1">
        <f t="array" ref="I23">IFERROR(IF(13&gt;COUNTIF('DONNÉES BRUTES'!C$3:C$42,"Consumer Disc."),"",INDEX('DONNÉES BRUTES'!M$3:M$42,MATCH(LARGE(IF('DONNÉES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J23" t="str" cm="1">
        <f t="array" ref="J23">IFERROR(IF(13&gt;COUNTIF('DONNÉES BRUTES'!C$3:C$42,"Consumer Disc."),"",INDEX('DONNÉES BRUTES'!N$3:N$42,MATCH(LARGE(IF('DONNÉES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K23" t="str" cm="1">
        <f t="array" ref="K23">IFERROR(IF(13&gt;COUNTIF('DONNÉES BRUTES'!C$3:C$42,"Consumer Disc."),"",INDEX('DONNÉES BRUTES'!O$3:O$42,MATCH(LARGE(IF('DONNÉES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L23" t="str" cm="1">
        <f t="array" ref="L23">IFERROR(IF(13&gt;COUNTIF('DONNÉES BRUTES'!C$3:C$42,"Consumer Disc."),"",INDEX('DONNÉES BRUTES'!P$3:P$42,MATCH(LARGE(IF('DONNÉES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M23" t="str" cm="1">
        <f t="array" ref="M23">IFERROR(IF(13&gt;COUNTIF('DONNÉES BRUTES'!C$3:C$42,"Consumer Disc."),"",INDEX('DONNÉES BRUTES'!Q$3:Q$42,MATCH(LARGE(IF('DONNÉES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N23" t="str" cm="1">
        <f t="array" ref="N23">IFERROR(IF(13&gt;COUNTIF('DONNÉES BRUTES'!C$3:C$42,"Consumer Disc."),"",INDEX('DONNÉES BRUTES'!S$3:S$42,MATCH(LARGE(IF('DONNÉES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O23" t="str" cm="1">
        <f t="array" ref="O23">IFERROR(IF(13&gt;COUNTIF('DONNÉES BRUTES'!C$3:C$42,"Consumer Disc."),"",INDEX('DONNÉES BRUTES'!T$3:T$42,MATCH(LARGE(IF('DONNÉES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P23" t="str" cm="1">
        <f t="array" ref="P23">IFERROR(IF(13&gt;COUNTIF('DONNÉES BRUTES'!C$3:C$42,"Consumer Disc."),"",INDEX('DONNÉES BRUTES'!U$3:U$42,MATCH(LARGE(IF('DONNÉES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Q23" t="str" cm="1">
        <f t="array" ref="Q23">IFERROR(IF(13&gt;COUNTIF('DONNÉES BRUTES'!C$3:C$42,"Consumer Disc."),"",INDEX('DONNÉES BRUTES'!AD$3:AD$42,MATCH(LARGE(IF('DONNÉES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</row>
    <row r="24" spans="2:28" ht="15.95" customHeight="1" x14ac:dyDescent="0.25">
      <c r="B24" t="str">
        <f>IF(14&gt;COUNTIF('DONNÉES BRUTES'!C$3:C$42,"Consumer Disc."),"",14)</f>
        <v/>
      </c>
      <c r="C24" t="str" cm="1">
        <f t="array" ref="C24">IFERROR(IF(14&gt;COUNTIF('DONNÉES BRUTES'!C$3:C$42,"Consumer Disc."),"",INDEX('DONNÉES BRUTES'!A$3:A$42,MATCH(LARGE(IF('DONNÉES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D24" t="str" cm="1">
        <f t="array" ref="D24">IFERROR(IF(14&gt;COUNTIF('DONNÉES BRUTES'!C$3:C$42,"Consumer Disc."),"",INDEX('DONNÉES BRUTES'!B$3:B$42,MATCH(LARGE(IF('DONNÉES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E24" t="str" cm="1">
        <f t="array" ref="E24">IFERROR(IF(14&gt;COUNTIF('DONNÉES BRUTES'!C$3:C$42,"Consumer Disc."),"",INT(LARGE(IF('DONNÉES BRUTES'!C$3:C$42="Consumer Disc.",'DONNÉES BRUTES'!AB$3:AB$42+(ROW('DONNÉES BRUTES'!A$3:A$42)-ROW('DONNÉES BRUTES'!A$3))/1000,0),14))&amp;"/100"),"—")</f>
        <v/>
      </c>
      <c r="F24" t="str" cm="1">
        <f t="array" ref="F24">IFERROR(IF(14&gt;COUNTIF('DONNÉES BRUTES'!C$3:C$42,"Consumer Disc."),"",INDEX('DONNÉES BRUTES'!Y$3:Y$42,MATCH(LARGE(IF('DONNÉES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G24" t="str" cm="1">
        <f t="array" ref="G24">IFERROR(IF(14&gt;COUNTIF('DONNÉES BRUTES'!C$3:C$42,"Consumer Disc."),"",INDEX('DONNÉES BRUTES'!Z$3:Z$42,MATCH(LARGE(IF('DONNÉES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H24" t="str" cm="1">
        <f t="array" ref="H24">IFERROR(IF(14&gt;COUNTIF('DONNÉES BRUTES'!C$3:C$42,"Consumer Disc."),"",INDEX('DONNÉES BRUTES'!AA$3:AA$42,MATCH(LARGE(IF('DONNÉES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I24" t="str" cm="1">
        <f t="array" ref="I24">IFERROR(IF(14&gt;COUNTIF('DONNÉES BRUTES'!C$3:C$42,"Consumer Disc."),"",INDEX('DONNÉES BRUTES'!M$3:M$42,MATCH(LARGE(IF('DONNÉES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J24" t="str" cm="1">
        <f t="array" ref="J24">IFERROR(IF(14&gt;COUNTIF('DONNÉES BRUTES'!C$3:C$42,"Consumer Disc."),"",INDEX('DONNÉES BRUTES'!N$3:N$42,MATCH(LARGE(IF('DONNÉES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K24" t="str" cm="1">
        <f t="array" ref="K24">IFERROR(IF(14&gt;COUNTIF('DONNÉES BRUTES'!C$3:C$42,"Consumer Disc."),"",INDEX('DONNÉES BRUTES'!O$3:O$42,MATCH(LARGE(IF('DONNÉES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L24" t="str" cm="1">
        <f t="array" ref="L24">IFERROR(IF(14&gt;COUNTIF('DONNÉES BRUTES'!C$3:C$42,"Consumer Disc."),"",INDEX('DONNÉES BRUTES'!P$3:P$42,MATCH(LARGE(IF('DONNÉES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M24" t="str" cm="1">
        <f t="array" ref="M24">IFERROR(IF(14&gt;COUNTIF('DONNÉES BRUTES'!C$3:C$42,"Consumer Disc."),"",INDEX('DONNÉES BRUTES'!Q$3:Q$42,MATCH(LARGE(IF('DONNÉES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N24" t="str" cm="1">
        <f t="array" ref="N24">IFERROR(IF(14&gt;COUNTIF('DONNÉES BRUTES'!C$3:C$42,"Consumer Disc."),"",INDEX('DONNÉES BRUTES'!S$3:S$42,MATCH(LARGE(IF('DONNÉES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O24" t="str" cm="1">
        <f t="array" ref="O24">IFERROR(IF(14&gt;COUNTIF('DONNÉES BRUTES'!C$3:C$42,"Consumer Disc."),"",INDEX('DONNÉES BRUTES'!T$3:T$42,MATCH(LARGE(IF('DONNÉES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P24" t="str" cm="1">
        <f t="array" ref="P24">IFERROR(IF(14&gt;COUNTIF('DONNÉES BRUTES'!C$3:C$42,"Consumer Disc."),"",INDEX('DONNÉES BRUTES'!U$3:U$42,MATCH(LARGE(IF('DONNÉES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Q24" t="str" cm="1">
        <f t="array" ref="Q24">IFERROR(IF(14&gt;COUNTIF('DONNÉES BRUTES'!C$3:C$42,"Consumer Disc."),"",INDEX('DONNÉES BRUTES'!AD$3:AD$42,MATCH(LARGE(IF('DONNÉES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</row>
    <row r="25" spans="2:28" ht="15.95" customHeight="1" x14ac:dyDescent="0.25">
      <c r="B25" t="str">
        <f>IF(15&gt;COUNTIF('DONNÉES BRUTES'!C$3:C$42,"Consumer Disc."),"",15)</f>
        <v/>
      </c>
      <c r="C25" t="str" cm="1">
        <f t="array" ref="C25">IFERROR(IF(15&gt;COUNTIF('DONNÉES BRUTES'!C$3:C$42,"Consumer Disc."),"",INDEX('DONNÉES BRUTES'!A$3:A$42,MATCH(LARGE(IF('DONNÉES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D25" t="str" cm="1">
        <f t="array" ref="D25">IFERROR(IF(15&gt;COUNTIF('DONNÉES BRUTES'!C$3:C$42,"Consumer Disc."),"",INDEX('DONNÉES BRUTES'!B$3:B$42,MATCH(LARGE(IF('DONNÉES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E25" t="str" cm="1">
        <f t="array" ref="E25">IFERROR(IF(15&gt;COUNTIF('DONNÉES BRUTES'!C$3:C$42,"Consumer Disc."),"",INT(LARGE(IF('DONNÉES BRUTES'!C$3:C$42="Consumer Disc.",'DONNÉES BRUTES'!AB$3:AB$42+(ROW('DONNÉES BRUTES'!A$3:A$42)-ROW('DONNÉES BRUTES'!A$3))/1000,0),15))&amp;"/100"),"—")</f>
        <v/>
      </c>
      <c r="F25" t="str" cm="1">
        <f t="array" ref="F25">IFERROR(IF(15&gt;COUNTIF('DONNÉES BRUTES'!C$3:C$42,"Consumer Disc."),"",INDEX('DONNÉES BRUTES'!Y$3:Y$42,MATCH(LARGE(IF('DONNÉES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G25" t="str" cm="1">
        <f t="array" ref="G25">IFERROR(IF(15&gt;COUNTIF('DONNÉES BRUTES'!C$3:C$42,"Consumer Disc."),"",INDEX('DONNÉES BRUTES'!Z$3:Z$42,MATCH(LARGE(IF('DONNÉES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H25" t="str" cm="1">
        <f t="array" ref="H25">IFERROR(IF(15&gt;COUNTIF('DONNÉES BRUTES'!C$3:C$42,"Consumer Disc."),"",INDEX('DONNÉES BRUTES'!AA$3:AA$42,MATCH(LARGE(IF('DONNÉES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I25" t="str" cm="1">
        <f t="array" ref="I25">IFERROR(IF(15&gt;COUNTIF('DONNÉES BRUTES'!C$3:C$42,"Consumer Disc."),"",INDEX('DONNÉES BRUTES'!M$3:M$42,MATCH(LARGE(IF('DONNÉES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J25" t="str" cm="1">
        <f t="array" ref="J25">IFERROR(IF(15&gt;COUNTIF('DONNÉES BRUTES'!C$3:C$42,"Consumer Disc."),"",INDEX('DONNÉES BRUTES'!N$3:N$42,MATCH(LARGE(IF('DONNÉES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K25" t="str" cm="1">
        <f t="array" ref="K25">IFERROR(IF(15&gt;COUNTIF('DONNÉES BRUTES'!C$3:C$42,"Consumer Disc."),"",INDEX('DONNÉES BRUTES'!O$3:O$42,MATCH(LARGE(IF('DONNÉES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L25" t="str" cm="1">
        <f t="array" ref="L25">IFERROR(IF(15&gt;COUNTIF('DONNÉES BRUTES'!C$3:C$42,"Consumer Disc."),"",INDEX('DONNÉES BRUTES'!P$3:P$42,MATCH(LARGE(IF('DONNÉES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M25" t="str" cm="1">
        <f t="array" ref="M25">IFERROR(IF(15&gt;COUNTIF('DONNÉES BRUTES'!C$3:C$42,"Consumer Disc."),"",INDEX('DONNÉES BRUTES'!Q$3:Q$42,MATCH(LARGE(IF('DONNÉES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N25" t="str" cm="1">
        <f t="array" ref="N25">IFERROR(IF(15&gt;COUNTIF('DONNÉES BRUTES'!C$3:C$42,"Consumer Disc."),"",INDEX('DONNÉES BRUTES'!S$3:S$42,MATCH(LARGE(IF('DONNÉES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O25" t="str" cm="1">
        <f t="array" ref="O25">IFERROR(IF(15&gt;COUNTIF('DONNÉES BRUTES'!C$3:C$42,"Consumer Disc."),"",INDEX('DONNÉES BRUTES'!T$3:T$42,MATCH(LARGE(IF('DONNÉES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P25" t="str" cm="1">
        <f t="array" ref="P25">IFERROR(IF(15&gt;COUNTIF('DONNÉES BRUTES'!C$3:C$42,"Consumer Disc."),"",INDEX('DONNÉES BRUTES'!U$3:U$42,MATCH(LARGE(IF('DONNÉES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Q25" t="str" cm="1">
        <f t="array" ref="Q25">IFERROR(IF(15&gt;COUNTIF('DONNÉES BRUTES'!C$3:C$42,"Consumer Disc."),"",INDEX('DONNÉES BRUTES'!AD$3:AD$42,MATCH(LARGE(IF('DONNÉES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</row>
    <row r="26" spans="2:28" ht="15.95" customHeight="1" x14ac:dyDescent="0.25"/>
    <row r="27" spans="2:28" ht="15.95" customHeight="1" x14ac:dyDescent="0.25"/>
    <row r="28" spans="2:28" ht="15.95" customHeight="1" x14ac:dyDescent="0.25">
      <c r="S28" s="235" t="s">
        <v>4</v>
      </c>
      <c r="T28" s="235" t="s">
        <v>5</v>
      </c>
      <c r="U28" s="235" t="s">
        <v>43</v>
      </c>
      <c r="V28" s="235" t="s">
        <v>44</v>
      </c>
      <c r="W28" s="235" t="s">
        <v>45</v>
      </c>
      <c r="X28" s="235"/>
      <c r="Y28" s="235" t="s">
        <v>4</v>
      </c>
      <c r="Z28" s="235" t="s">
        <v>43</v>
      </c>
      <c r="AA28" s="235" t="s">
        <v>44</v>
      </c>
      <c r="AB28" s="235" t="s">
        <v>45</v>
      </c>
    </row>
    <row r="29" spans="2:28" ht="15.95" customHeight="1" x14ac:dyDescent="0.25">
      <c r="S29" s="235" t="str">
        <f>IF(D11="","",LEFT(D11,14))</f>
        <v>Hermès Interna</v>
      </c>
      <c r="T29" s="235">
        <f>IF(E11="","",IFERROR(VALUE(LEFT(E11,FIND("/",E11)-1)),0))</f>
        <v>75</v>
      </c>
      <c r="U29" s="235">
        <f>IF(ISNUMBER(F11),F11,0)</f>
        <v>74</v>
      </c>
      <c r="V29" s="235">
        <f>IF(ISNUMBER(G11),G11,0)</f>
        <v>90</v>
      </c>
      <c r="W29" s="235">
        <f>IF(ISNUMBER(H11),H11,0)</f>
        <v>62</v>
      </c>
      <c r="X29" s="235">
        <f>IF(ISNUMBER(F11),F11,"")</f>
        <v>74</v>
      </c>
      <c r="Y29" s="235">
        <f>IF(ISNUMBER(G11),G11,"")</f>
        <v>90</v>
      </c>
      <c r="Z29" s="235">
        <f>IF(ISNUMBER(H11),H11,"")</f>
        <v>62</v>
      </c>
      <c r="AA29" s="235">
        <v>100</v>
      </c>
      <c r="AB29" s="235">
        <v>74</v>
      </c>
    </row>
    <row r="30" spans="2:28" ht="15.95" customHeight="1" x14ac:dyDescent="0.25">
      <c r="S30" s="235" t="str">
        <f>IF(D12="","",LEFT(D12,14))</f>
        <v>Kering SA</v>
      </c>
      <c r="T30" s="235">
        <f>IF(E12="","",IFERROR(VALUE(LEFT(E12,FIND("/",E12)-1)),0))</f>
        <v>55</v>
      </c>
      <c r="U30" s="235">
        <f>IF(ISNUMBER(F12),F12,0)</f>
        <v>13</v>
      </c>
      <c r="V30" s="235">
        <f>IF(ISNUMBER(G12),G12,0)</f>
        <v>87</v>
      </c>
      <c r="W30" s="235">
        <f>IF(ISNUMBER(H12),H12,0)</f>
        <v>64</v>
      </c>
      <c r="X30" s="235">
        <f>IF(ISNUMBER(F12),F12,"")</f>
        <v>13</v>
      </c>
      <c r="Y30" s="235">
        <f>IF(ISNUMBER(G12),G12,"")</f>
        <v>87</v>
      </c>
      <c r="Z30" s="235">
        <f>IF(ISNUMBER(H12),H12,"")</f>
        <v>64</v>
      </c>
      <c r="AA30" s="235">
        <v>36</v>
      </c>
      <c r="AB30" s="235">
        <v>87</v>
      </c>
    </row>
    <row r="31" spans="2:28" ht="15.95" customHeight="1" x14ac:dyDescent="0.25">
      <c r="S31" s="235" t="str">
        <f>IF(D13="","",LEFT(D13,14))</f>
        <v>LVMH Moët Henn</v>
      </c>
      <c r="T31" s="235">
        <f>IF(E13="","",IFERROR(VALUE(LEFT(E13,FIND("/",E13)-1)),0))</f>
        <v>54</v>
      </c>
      <c r="U31" s="235">
        <f>IF(ISNUMBER(F13),F13,0)</f>
        <v>24</v>
      </c>
      <c r="V31" s="235">
        <f>IF(ISNUMBER(G13),G13,0)</f>
        <v>79</v>
      </c>
      <c r="W31" s="235">
        <f>IF(ISNUMBER(H13),H13,0)</f>
        <v>59</v>
      </c>
      <c r="X31" s="235">
        <f>IF(ISNUMBER(F13),F13,"")</f>
        <v>24</v>
      </c>
      <c r="Y31" s="235">
        <f>IF(ISNUMBER(G13),G13,"")</f>
        <v>79</v>
      </c>
      <c r="Z31" s="235">
        <f>IF(ISNUMBER(H13),H13,"")</f>
        <v>59</v>
      </c>
      <c r="AA31" s="235">
        <v>44</v>
      </c>
      <c r="AB31" s="235">
        <v>0</v>
      </c>
    </row>
    <row r="32" spans="2:28" x14ac:dyDescent="0.25">
      <c r="S32" s="235" t="str">
        <f>IF(D14="","",LEFT(D14,14))</f>
        <v>Renault SA</v>
      </c>
      <c r="T32" s="235">
        <f>IF(E14="","",IFERROR(VALUE(LEFT(E14,FIND("/",E14)-1)),0))</f>
        <v>18</v>
      </c>
      <c r="U32" s="235">
        <f>IF(ISNUMBER(F14),F14,0)</f>
        <v>5</v>
      </c>
      <c r="V32" s="235">
        <f>IF(ISNUMBER(G14),G14,0)</f>
        <v>5</v>
      </c>
      <c r="W32" s="235">
        <f>IF(ISNUMBER(H14),H14,0)</f>
        <v>44</v>
      </c>
      <c r="X32" s="235">
        <f>IF(ISNUMBER(F14),F14,"")</f>
        <v>5</v>
      </c>
      <c r="Y32" s="235">
        <f>IF(ISNUMBER(G14),G14,"")</f>
        <v>5</v>
      </c>
      <c r="Z32" s="235">
        <f>IF(ISNUMBER(H14),H14,"")</f>
        <v>44</v>
      </c>
      <c r="AA32" s="235">
        <v>0</v>
      </c>
      <c r="AB32" s="235">
        <v>5</v>
      </c>
    </row>
  </sheetData>
  <mergeCells count="3">
    <mergeCell ref="B1:Q1"/>
    <mergeCell ref="B2:Q2"/>
    <mergeCell ref="B8:Q8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B32"/>
  <sheetViews>
    <sheetView showGridLines="0" zoomScale="97" workbookViewId="0">
      <selection activeCell="B14" sqref="B14"/>
    </sheetView>
  </sheetViews>
  <sheetFormatPr baseColWidth="10" defaultColWidth="8.85546875" defaultRowHeight="15" x14ac:dyDescent="0.25"/>
  <cols>
    <col min="1" max="1" width="1.5703125" customWidth="1"/>
    <col min="2" max="2" width="5.28515625" customWidth="1"/>
    <col min="3" max="3" width="10.42578125" customWidth="1"/>
    <col min="4" max="4" width="21.85546875" customWidth="1"/>
    <col min="5" max="5" width="10.42578125" customWidth="1"/>
    <col min="6" max="8" width="5.28515625" customWidth="1"/>
    <col min="9" max="10" width="8" customWidth="1"/>
    <col min="11" max="11" width="7.28515625" customWidth="1"/>
    <col min="12" max="13" width="8" customWidth="1"/>
    <col min="14" max="14" width="6.42578125" customWidth="1"/>
    <col min="15" max="15" width="7.28515625" customWidth="1"/>
    <col min="16" max="16" width="6.42578125" customWidth="1"/>
    <col min="17" max="17" width="14.140625" bestFit="1" customWidth="1"/>
  </cols>
  <sheetData>
    <row r="1" spans="2:17" ht="30" customHeight="1" x14ac:dyDescent="0.25">
      <c r="B1" s="273" t="str">
        <f>"FinSight IA  ·  Financials  ·  CAC 40  ·  "&amp;COUNTIF('DONNÉES BRUTES'!C$3:C$42,"Financials")&amp;" sociétés  ·  22/03/2026"</f>
        <v>FinSight IA  ·  Financials  ·  CAC 40  ·  4 sociétés  ·  22/03/2026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</row>
    <row r="2" spans="2:17" ht="18" customHeight="1" x14ac:dyDescent="0.25">
      <c r="B2" s="276" t="s">
        <v>252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</row>
    <row r="3" spans="2:17" ht="8.1" customHeight="1" x14ac:dyDescent="0.25"/>
    <row r="4" spans="2:17" ht="8.1" customHeight="1" x14ac:dyDescent="0.25"/>
    <row r="5" spans="2:17" ht="39.950000000000003" customHeight="1" x14ac:dyDescent="0.25">
      <c r="B5" s="256"/>
      <c r="C5" s="246">
        <f>COUNTIF('DONNÉES BRUTES'!C$3:C$42,"Financials")</f>
        <v>4</v>
      </c>
      <c r="D5" s="256"/>
      <c r="E5" s="255" t="str">
        <f>ROUND(AVERAGEIF('DONNÉES BRUTES'!C$3:C$42,"Financials",'DONNÉES BRUTES'!AB$3:AB$42),0)&amp;"/100"</f>
        <v>55/100</v>
      </c>
      <c r="F5" s="255"/>
      <c r="G5" s="255"/>
      <c r="H5" s="249" t="str" cm="1">
        <f t="array" ref="H5">IFERROR(INDEX('DONNÉES BRUTES'!B$3:B$42,MATCH(LARGE(IF('DONNÉES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BRUTES'!A$3))/1000,0),0)),"—")</f>
        <v>Crédit Agricole S.A.</v>
      </c>
      <c r="I5" s="255"/>
      <c r="J5" s="255"/>
      <c r="K5" s="256"/>
      <c r="L5" s="251" t="str">
        <f>IFERROR(VLOOKUP("Financials",'SECTOR OVERVIEW'!B$8:G$19,6,0),"—")</f>
        <v>103.4%</v>
      </c>
      <c r="M5" s="256"/>
      <c r="N5" s="252" cm="1">
        <f t="array" ref="N5">IFERROR(ROUND(MEDIAN(IF('DONNÉES BRUTES'!C$3:C$42="Financials",IF(ISNUMBER('DONNÉES BRUTES'!Y$3:Y$42),'DONNÉES BRUTES'!Y$3:Y$42))),0),"—")</f>
        <v>24</v>
      </c>
      <c r="O5" s="256"/>
      <c r="P5" s="284" t="str">
        <f>IF(COUNTIFS('DONNÉES BRUTES'!C$3:C$42,"Financials",'DONNÉES BRUTES'!AD$3:AD$42,"Surpondérer")&gt;0,"Surpondérer",IF(COUNTIFS('DONNÉES BRUTES'!C$3:C$42,"Financials",'DONNÉES BRUTES'!AD$3:AD$42,"Neutre")&gt;=COUNTIFS('DONNÉES BRUTES'!C$3:C$42,"Financials",'DONNÉES BRUTES'!AD$3:AD$42,"Sous-pondérer"),"Neutre","Sous-pondérer"))</f>
        <v>Neutre</v>
      </c>
      <c r="Q5" s="255"/>
    </row>
    <row r="6" spans="2:17" ht="15.95" customHeight="1" x14ac:dyDescent="0.25">
      <c r="B6" s="256"/>
      <c r="C6" s="248" t="s">
        <v>593</v>
      </c>
      <c r="D6" s="248"/>
      <c r="E6" s="247" t="s">
        <v>594</v>
      </c>
      <c r="F6" s="247"/>
      <c r="G6" s="247"/>
      <c r="H6" s="250" t="s">
        <v>253</v>
      </c>
      <c r="I6" s="247"/>
      <c r="J6" s="247"/>
      <c r="K6" s="256"/>
      <c r="L6" s="248" t="s">
        <v>583</v>
      </c>
      <c r="M6" s="256"/>
      <c r="N6" s="248" t="s">
        <v>607</v>
      </c>
      <c r="O6" s="256"/>
      <c r="P6" s="248" t="s">
        <v>50</v>
      </c>
      <c r="Q6" s="247"/>
    </row>
    <row r="7" spans="2:17" ht="8.1" customHeight="1" x14ac:dyDescent="0.25"/>
    <row r="8" spans="2:17" ht="21.95" customHeight="1" x14ac:dyDescent="0.25">
      <c r="B8" s="275" t="str">
        <f>"ANALYSE DÉTAILLÉE  ·  "&amp;UPPER("Financials")&amp;"  ·  "&amp;COUNTIF('DONNÉES BRUTES'!C$3:C$42,"Financials")&amp;" sociétés  ·  Triée par Score Global"</f>
        <v>ANALYSE DÉTAILLÉE  ·  FINANCIALS  ·  4 sociétés  ·  Triée par Score Global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</row>
    <row r="9" spans="2:17" ht="6" customHeight="1" x14ac:dyDescent="0.25"/>
    <row r="10" spans="2:17" ht="20.100000000000001" customHeight="1" x14ac:dyDescent="0.25">
      <c r="B10" s="257" t="s">
        <v>41</v>
      </c>
      <c r="C10" s="258" t="s">
        <v>3</v>
      </c>
      <c r="D10" s="258" t="s">
        <v>4</v>
      </c>
      <c r="E10" s="257" t="s">
        <v>5</v>
      </c>
      <c r="F10" s="257" t="s">
        <v>609</v>
      </c>
      <c r="G10" s="257" t="s">
        <v>610</v>
      </c>
      <c r="H10" s="257" t="s">
        <v>595</v>
      </c>
      <c r="I10" s="257" t="s">
        <v>575</v>
      </c>
      <c r="J10" s="257" t="s">
        <v>573</v>
      </c>
      <c r="K10" s="257" t="s">
        <v>574</v>
      </c>
      <c r="L10" s="257" t="s">
        <v>596</v>
      </c>
      <c r="M10" s="257" t="s">
        <v>95</v>
      </c>
      <c r="N10" s="257" t="s">
        <v>608</v>
      </c>
      <c r="O10" s="257" t="s">
        <v>405</v>
      </c>
      <c r="P10" s="257" t="s">
        <v>89</v>
      </c>
      <c r="Q10" s="257" t="s">
        <v>50</v>
      </c>
    </row>
    <row r="11" spans="2:17" ht="18" customHeight="1" x14ac:dyDescent="0.25">
      <c r="B11">
        <f>IF(1&gt;COUNTIF('DONNÉES BRUTES'!C$3:C$42,"Financials"),"",1)</f>
        <v>1</v>
      </c>
      <c r="C11" t="str" cm="1">
        <f t="array" ref="C11">IFERROR(IF(1&gt;COUNTIF('DONNÉES BRUTES'!C$3:C$42,"Financials"),"",INDEX('DONNÉES BRUTES'!A$3:A$42,MATCH(LARGE(IF('DONNÉES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ACA.PA</v>
      </c>
      <c r="D11" t="str" cm="1">
        <f t="array" ref="D11">IFERROR(IF(1&gt;COUNTIF('DONNÉES BRUTES'!C$3:C$42,"Financials"),"",INDEX('DONNÉES BRUTES'!B$3:B$42,MATCH(LARGE(IF('DONNÉES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Crédit Agricole S.A.</v>
      </c>
      <c r="E11" t="str" cm="1">
        <f t="array" ref="E11">IFERROR(IF(1&gt;COUNTIF('DONNÉES BRUTES'!C$3:C$42,"Financials"),"",INT(LARGE(IF('DONNÉES BRUTES'!C$3:C$42="Financials",'DONNÉES BRUTES'!AB$3:AB$42+(ROW('DONNÉES BRUTES'!A$3:A$42)-ROW('DONNÉES BRUTES'!A$3))/1000,0),1))&amp;"/100"),"—")</f>
        <v>65/100</v>
      </c>
      <c r="F11" cm="1">
        <f t="array" ref="F11">IFERROR(IF(1&gt;COUNTIF('DONNÉES BRUTES'!C$3:C$42,"Financials"),"",INDEX('DONNÉES BRUTES'!Y$3:Y$42,MATCH(LARGE(IF('DONNÉES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21</v>
      </c>
      <c r="G11" cm="1">
        <f t="array" ref="G11">IFERROR(IF(1&gt;COUNTIF('DONNÉES BRUTES'!C$3:C$42,"Financials"),"",INDEX('DONNÉES BRUTES'!Z$3:Z$42,MATCH(LARGE(IF('DONNÉES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92</v>
      </c>
      <c r="H11" cm="1">
        <f t="array" ref="H11">IFERROR(IF(1&gt;COUNTIF('DONNÉES BRUTES'!C$3:C$42,"Financials"),"",INDEX('DONNÉES BRUTES'!AA$3:AA$42,MATCH(LARGE(IF('DONNÉES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82</v>
      </c>
      <c r="I11" t="str" cm="1">
        <f t="array" ref="I11">IFERROR(IF(1&gt;COUNTIF('DONNÉES BRUTES'!C$3:C$42,"Financials"),"",INDEX('DONNÉES BRUTES'!M$3:M$42,MATCH(LARGE(IF('DONNÉES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—</v>
      </c>
      <c r="J11" t="str" cm="1">
        <f t="array" ref="J11">IFERROR(IF(1&gt;COUNTIF('DONNÉES BRUTES'!C$3:C$42,"Financials"),"",INDEX('DONNÉES BRUTES'!N$3:N$42,MATCH(LARGE(IF('DONNÉES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192.6%</v>
      </c>
      <c r="K11" t="str" cm="1">
        <f t="array" ref="K11">IFERROR(IF(1&gt;COUNTIF('DONNÉES BRUTES'!C$3:C$42,"Financials"),"",INDEX('DONNÉES BRUTES'!O$3:O$42,MATCH(LARGE(IF('DONNÉES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26.9%</v>
      </c>
      <c r="L11" t="str" cm="1">
        <f t="array" ref="L11">IFERROR(IF(1&gt;COUNTIF('DONNÉES BRUTES'!C$3:C$42,"Financials"),"",INDEX('DONNÉES BRUTES'!P$3:P$42,MATCH(LARGE(IF('DONNÉES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+3.7%</v>
      </c>
      <c r="M11" t="str" cm="1">
        <f t="array" ref="M11">IFERROR(IF(1&gt;COUNTIF('DONNÉES BRUTES'!C$3:C$42,"Financials"),"",INDEX('DONNÉES BRUTES'!Q$3:Q$42,MATCH(LARGE(IF('DONNÉES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+9.1%</v>
      </c>
      <c r="N11" t="str" cm="1">
        <f t="array" ref="N11">IFERROR(IF(1&gt;COUNTIF('DONNÉES BRUTES'!C$3:C$42,"Financials"),"",INDEX('DONNÉES BRUTES'!S$3:S$42,MATCH(LARGE(IF('DONNÉES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—</v>
      </c>
      <c r="O11" t="str" cm="1">
        <f t="array" ref="O11">IFERROR(IF(1&gt;COUNTIF('DONNÉES BRUTES'!C$3:C$42,"Financials"),"",INDEX('DONNÉES BRUTES'!T$3:T$42,MATCH(LARGE(IF('DONNÉES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-5.3x</v>
      </c>
      <c r="P11" t="str" cm="1">
        <f t="array" ref="P11">IFERROR(IF(1&gt;COUNTIF('DONNÉES BRUTES'!C$3:C$42,"Financials"),"",INDEX('DONNÉES BRUTES'!U$3:U$42,MATCH(LARGE(IF('DONNÉES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—</v>
      </c>
      <c r="Q11" t="str" cm="1">
        <f t="array" ref="Q11">IFERROR(IF(1&gt;COUNTIF('DONNÉES BRUTES'!C$3:C$42,"Financials"),"",INDEX('DONNÉES BRUTES'!AD$3:AD$42,MATCH(LARGE(IF('DONNÉES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>Neutre</v>
      </c>
    </row>
    <row r="12" spans="2:17" ht="15.95" customHeight="1" x14ac:dyDescent="0.25">
      <c r="B12">
        <f>IF(2&gt;COUNTIF('DONNÉES BRUTES'!C$3:C$42,"Financials"),"",2)</f>
        <v>2</v>
      </c>
      <c r="C12" t="str" cm="1">
        <f t="array" ref="C12">IFERROR(IF(2&gt;COUNTIF('DONNÉES BRUTES'!C$3:C$42,"Financials"),"",INDEX('DONNÉES BRUTES'!A$3:A$42,MATCH(LARGE(IF('DONNÉES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CS.PA</v>
      </c>
      <c r="D12" t="str" cm="1">
        <f t="array" ref="D12">IFERROR(IF(2&gt;COUNTIF('DONNÉES BRUTES'!C$3:C$42,"Financials"),"",INDEX('DONNÉES BRUTES'!B$3:B$42,MATCH(LARGE(IF('DONNÉES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AXA SA</v>
      </c>
      <c r="E12" t="str" cm="1">
        <f t="array" ref="E12">IFERROR(IF(2&gt;COUNTIF('DONNÉES BRUTES'!C$3:C$42,"Financials"),"",INT(LARGE(IF('DONNÉES BRUTES'!C$3:C$42="Financials",'DONNÉES BRUTES'!AB$3:AB$42+(ROW('DONNÉES BRUTES'!A$3:A$42)-ROW('DONNÉES BRUTES'!A$3))/1000,0),2))&amp;"/100"),"—")</f>
        <v>64/100</v>
      </c>
      <c r="F12" cm="1">
        <f t="array" ref="F12">IFERROR(IF(2&gt;COUNTIF('DONNÉES BRUTES'!C$3:C$42,"Financials"),"",INDEX('DONNÉES BRUTES'!Y$3:Y$42,MATCH(LARGE(IF('DONNÉES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71</v>
      </c>
      <c r="G12" cm="1">
        <f t="array" ref="G12">IFERROR(IF(2&gt;COUNTIF('DONNÉES BRUTES'!C$3:C$42,"Financials"),"",INDEX('DONNÉES BRUTES'!Z$3:Z$42,MATCH(LARGE(IF('DONNÉES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28</v>
      </c>
      <c r="H12" cm="1">
        <f t="array" ref="H12">IFERROR(IF(2&gt;COUNTIF('DONNÉES BRUTES'!C$3:C$42,"Financials"),"",INDEX('DONNÉES BRUTES'!AA$3:AA$42,MATCH(LARGE(IF('DONNÉES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92</v>
      </c>
      <c r="I12" t="str" cm="1">
        <f t="array" ref="I12">IFERROR(IF(2&gt;COUNTIF('DONNÉES BRUTES'!C$3:C$42,"Financials"),"",INDEX('DONNÉES BRUTES'!M$3:M$42,MATCH(LARGE(IF('DONNÉES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—</v>
      </c>
      <c r="J12" t="str" cm="1">
        <f t="array" ref="J12">IFERROR(IF(2&gt;COUNTIF('DONNÉES BRUTES'!C$3:C$42,"Financials"),"",INDEX('DONNÉES BRUTES'!N$3:N$42,MATCH(LARGE(IF('DONNÉES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—</v>
      </c>
      <c r="K12" t="str" cm="1">
        <f t="array" ref="K12">IFERROR(IF(2&gt;COUNTIF('DONNÉES BRUTES'!C$3:C$42,"Financials"),"",INDEX('DONNÉES BRUTES'!O$3:O$42,MATCH(LARGE(IF('DONNÉES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7.6%</v>
      </c>
      <c r="L12" t="str" cm="1">
        <f t="array" ref="L12">IFERROR(IF(2&gt;COUNTIF('DONNÉES BRUTES'!C$3:C$42,"Financials"),"",INDEX('DONNÉES BRUTES'!P$3:P$42,MATCH(LARGE(IF('DONNÉES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+5.7%</v>
      </c>
      <c r="M12" t="str" cm="1">
        <f t="array" ref="M12">IFERROR(IF(2&gt;COUNTIF('DONNÉES BRUTES'!C$3:C$42,"Financials"),"",INDEX('DONNÉES BRUTES'!Q$3:Q$42,MATCH(LARGE(IF('DONNÉES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+15.8%</v>
      </c>
      <c r="N12" t="str" cm="1">
        <f t="array" ref="N12">IFERROR(IF(2&gt;COUNTIF('DONNÉES BRUTES'!C$3:C$42,"Financials"),"",INDEX('DONNÉES BRUTES'!S$3:S$42,MATCH(LARGE(IF('DONNÉES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—</v>
      </c>
      <c r="O12" t="str" cm="1">
        <f t="array" ref="O12">IFERROR(IF(2&gt;COUNTIF('DONNÉES BRUTES'!C$3:C$42,"Financials"),"",INDEX('DONNÉES BRUTES'!T$3:T$42,MATCH(LARGE(IF('DONNÉES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—</v>
      </c>
      <c r="P12" t="str" cm="1">
        <f t="array" ref="P12">IFERROR(IF(2&gt;COUNTIF('DONNÉES BRUTES'!C$3:C$42,"Financials"),"",INDEX('DONNÉES BRUTES'!U$3:U$42,MATCH(LARGE(IF('DONNÉES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—</v>
      </c>
      <c r="Q12" t="str" cm="1">
        <f t="array" ref="Q12">IFERROR(IF(2&gt;COUNTIF('DONNÉES BRUTES'!C$3:C$42,"Financials"),"",INDEX('DONNÉES BRUTES'!AD$3:AD$42,MATCH(LARGE(IF('DONNÉES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>Neutre</v>
      </c>
    </row>
    <row r="13" spans="2:17" ht="15.95" customHeight="1" x14ac:dyDescent="0.25">
      <c r="B13">
        <f>IF(3&gt;COUNTIF('DONNÉES BRUTES'!C$3:C$42,"Financials"),"",3)</f>
        <v>3</v>
      </c>
      <c r="C13" t="str" cm="1">
        <f t="array" ref="C13">IFERROR(IF(3&gt;COUNTIF('DONNÉES BRUTES'!C$3:C$42,"Financials"),"",INDEX('DONNÉES BRUTES'!A$3:A$42,MATCH(LARGE(IF('DONNÉES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BNP.PA</v>
      </c>
      <c r="D13" t="str" cm="1">
        <f t="array" ref="D13">IFERROR(IF(3&gt;COUNTIF('DONNÉES BRUTES'!C$3:C$42,"Financials"),"",INDEX('DONNÉES BRUTES'!B$3:B$42,MATCH(LARGE(IF('DONNÉES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BNP Paribas SA</v>
      </c>
      <c r="E13" t="str" cm="1">
        <f t="array" ref="E13">IFERROR(IF(3&gt;COUNTIF('DONNÉES BRUTES'!C$3:C$42,"Financials"),"",INT(LARGE(IF('DONNÉES BRUTES'!C$3:C$42="Financials",'DONNÉES BRUTES'!AB$3:AB$42+(ROW('DONNÉES BRUTES'!A$3:A$42)-ROW('DONNÉES BRUTES'!A$3))/1000,0),3))&amp;"/100"),"—")</f>
        <v>62/100</v>
      </c>
      <c r="F13" cm="1">
        <f t="array" ref="F13">IFERROR(IF(3&gt;COUNTIF('DONNÉES BRUTES'!C$3:C$42,"Financials"),"",INDEX('DONNÉES BRUTES'!Y$3:Y$42,MATCH(LARGE(IF('DONNÉES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26</v>
      </c>
      <c r="G13" cm="1">
        <f t="array" ref="G13">IFERROR(IF(3&gt;COUNTIF('DONNÉES BRUTES'!C$3:C$42,"Financials"),"",INDEX('DONNÉES BRUTES'!Z$3:Z$42,MATCH(LARGE(IF('DONNÉES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64</v>
      </c>
      <c r="H13" cm="1">
        <f t="array" ref="H13">IFERROR(IF(3&gt;COUNTIF('DONNÉES BRUTES'!C$3:C$42,"Financials"),"",INDEX('DONNÉES BRUTES'!AA$3:AA$42,MATCH(LARGE(IF('DONNÉES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95</v>
      </c>
      <c r="I13" t="str" cm="1">
        <f t="array" ref="I13">IFERROR(IF(3&gt;COUNTIF('DONNÉES BRUTES'!C$3:C$42,"Financials"),"",INDEX('DONNÉES BRUTES'!M$3:M$42,MATCH(LARGE(IF('DONNÉES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—</v>
      </c>
      <c r="J13" t="str" cm="1">
        <f t="array" ref="J13">IFERROR(IF(3&gt;COUNTIF('DONNÉES BRUTES'!C$3:C$42,"Financials"),"",INDEX('DONNÉES BRUTES'!N$3:N$42,MATCH(LARGE(IF('DONNÉES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108.7%</v>
      </c>
      <c r="K13" t="str" cm="1">
        <f t="array" ref="K13">IFERROR(IF(3&gt;COUNTIF('DONNÉES BRUTES'!C$3:C$42,"Financials"),"",INDEX('DONNÉES BRUTES'!O$3:O$42,MATCH(LARGE(IF('DONNÉES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17.8%</v>
      </c>
      <c r="L13" t="str" cm="1">
        <f t="array" ref="L13">IFERROR(IF(3&gt;COUNTIF('DONNÉES BRUTES'!C$3:C$42,"Financials"),"",INDEX('DONNÉES BRUTES'!P$3:P$42,MATCH(LARGE(IF('DONNÉES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+4.5%</v>
      </c>
      <c r="M13" t="str" cm="1">
        <f t="array" ref="M13">IFERROR(IF(3&gt;COUNTIF('DONNÉES BRUTES'!C$3:C$42,"Financials"),"",INDEX('DONNÉES BRUTES'!Q$3:Q$42,MATCH(LARGE(IF('DONNÉES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+9.7%</v>
      </c>
      <c r="N13" t="str" cm="1">
        <f t="array" ref="N13">IFERROR(IF(3&gt;COUNTIF('DONNÉES BRUTES'!C$3:C$42,"Financials"),"",INDEX('DONNÉES BRUTES'!S$3:S$42,MATCH(LARGE(IF('DONNÉES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—</v>
      </c>
      <c r="O13" t="str" cm="1">
        <f t="array" ref="O13">IFERROR(IF(3&gt;COUNTIF('DONNÉES BRUTES'!C$3:C$42,"Financials"),"",INDEX('DONNÉES BRUTES'!T$3:T$42,MATCH(LARGE(IF('DONNÉES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1.0x</v>
      </c>
      <c r="P13" t="str" cm="1">
        <f t="array" ref="P13">IFERROR(IF(3&gt;COUNTIF('DONNÉES BRUTES'!C$3:C$42,"Financials"),"",INDEX('DONNÉES BRUTES'!U$3:U$42,MATCH(LARGE(IF('DONNÉES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—</v>
      </c>
      <c r="Q13" t="str" cm="1">
        <f t="array" ref="Q13">IFERROR(IF(3&gt;COUNTIF('DONNÉES BRUTES'!C$3:C$42,"Financials"),"",INDEX('DONNÉES BRUTES'!AD$3:AD$42,MATCH(LARGE(IF('DONNÉES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>Neutre</v>
      </c>
    </row>
    <row r="14" spans="2:17" ht="15.95" customHeight="1" x14ac:dyDescent="0.25">
      <c r="B14">
        <f>IF(4&gt;COUNTIF('DONNÉES BRUTES'!C$3:C$42,"Financials"),"",4)</f>
        <v>4</v>
      </c>
      <c r="C14" t="str" cm="1">
        <f t="array" ref="C14">IFERROR(IF(4&gt;COUNTIF('DONNÉES BRUTES'!C$3:C$42,"Financials"),"",INDEX('DONNÉES BRUTES'!A$3:A$42,MATCH(LARGE(IF('DONNÉES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GLE.PA</v>
      </c>
      <c r="D14" t="str" cm="1">
        <f t="array" ref="D14">IFERROR(IF(4&gt;COUNTIF('DONNÉES BRUTES'!C$3:C$42,"Financials"),"",INDEX('DONNÉES BRUTES'!B$3:B$42,MATCH(LARGE(IF('DONNÉES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Société Générale Société anonyme</v>
      </c>
      <c r="E14" t="str" cm="1">
        <f t="array" ref="E14">IFERROR(IF(4&gt;COUNTIF('DONNÉES BRUTES'!C$3:C$42,"Financials"),"",INT(LARGE(IF('DONNÉES BRUTES'!C$3:C$42="Financials",'DONNÉES BRUTES'!AB$3:AB$42+(ROW('DONNÉES BRUTES'!A$3:A$42)-ROW('DONNÉES BRUTES'!A$3))/1000,0),4))&amp;"/100"),"—")</f>
        <v>29/100</v>
      </c>
      <c r="F14" cm="1">
        <f t="array" ref="F14">IFERROR(IF(4&gt;COUNTIF('DONNÉES BRUTES'!C$3:C$42,"Financials"),"",INDEX('DONNÉES BRUTES'!Y$3:Y$42,MATCH(LARGE(IF('DONNÉES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16</v>
      </c>
      <c r="G14" cm="1">
        <f t="array" ref="G14">IFERROR(IF(4&gt;COUNTIF('DONNÉES BRUTES'!C$3:C$42,"Financials"),"",INDEX('DONNÉES BRUTES'!Z$3:Z$42,MATCH(LARGE(IF('DONNÉES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46</v>
      </c>
      <c r="H14" cm="1">
        <f t="array" ref="H14">IFERROR(IF(4&gt;COUNTIF('DONNÉES BRUTES'!C$3:C$42,"Financials"),"",INDEX('DONNÉES BRUTES'!AA$3:AA$42,MATCH(LARGE(IF('DONNÉES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26</v>
      </c>
      <c r="I14" t="str" cm="1">
        <f t="array" ref="I14">IFERROR(IF(4&gt;COUNTIF('DONNÉES BRUTES'!C$3:C$42,"Financials"),"",INDEX('DONNÉES BRUTES'!M$3:M$42,MATCH(LARGE(IF('DONNÉES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—</v>
      </c>
      <c r="J14" t="str" cm="1">
        <f t="array" ref="J14">IFERROR(IF(4&gt;COUNTIF('DONNÉES BRUTES'!C$3:C$42,"Financials"),"",INDEX('DONNÉES BRUTES'!N$3:N$42,MATCH(LARGE(IF('DONNÉES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98.1%</v>
      </c>
      <c r="K14" t="str" cm="1">
        <f t="array" ref="K14">IFERROR(IF(4&gt;COUNTIF('DONNÉES BRUTES'!C$3:C$42,"Financials"),"",INDEX('DONNÉES BRUTES'!O$3:O$42,MATCH(LARGE(IF('DONNÉES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11.4%</v>
      </c>
      <c r="L14" t="str" cm="1">
        <f t="array" ref="L14">IFERROR(IF(4&gt;COUNTIF('DONNÉES BRUTES'!C$3:C$42,"Financials"),"",INDEX('DONNÉES BRUTES'!P$3:P$42,MATCH(LARGE(IF('DONNÉES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+0.2%</v>
      </c>
      <c r="M14" t="str" cm="1">
        <f t="array" ref="M14">IFERROR(IF(4&gt;COUNTIF('DONNÉES BRUTES'!C$3:C$42,"Financials"),"",INDEX('DONNÉES BRUTES'!Q$3:Q$42,MATCH(LARGE(IF('DONNÉES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+8.6%</v>
      </c>
      <c r="N14" t="str" cm="1">
        <f t="array" ref="N14">IFERROR(IF(4&gt;COUNTIF('DONNÉES BRUTES'!C$3:C$42,"Financials"),"",INDEX('DONNÉES BRUTES'!S$3:S$42,MATCH(LARGE(IF('DONNÉES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—</v>
      </c>
      <c r="O14" t="str" cm="1">
        <f t="array" ref="O14">IFERROR(IF(4&gt;COUNTIF('DONNÉES BRUTES'!C$3:C$42,"Financials"),"",INDEX('DONNÉES BRUTES'!T$3:T$42,MATCH(LARGE(IF('DONNÉES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-0.5x</v>
      </c>
      <c r="P14" t="str" cm="1">
        <f t="array" ref="P14">IFERROR(IF(4&gt;COUNTIF('DONNÉES BRUTES'!C$3:C$42,"Financials"),"",INDEX('DONNÉES BRUTES'!U$3:U$42,MATCH(LARGE(IF('DONNÉES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—</v>
      </c>
      <c r="Q14" t="str" cm="1">
        <f t="array" ref="Q14">IFERROR(IF(4&gt;COUNTIF('DONNÉES BRUTES'!C$3:C$42,"Financials"),"",INDEX('DONNÉES BRUTES'!AD$3:AD$42,MATCH(LARGE(IF('DONNÉES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>Sous-pondérer</v>
      </c>
    </row>
    <row r="15" spans="2:17" ht="15.95" customHeight="1" x14ac:dyDescent="0.25">
      <c r="B15" t="str">
        <f>IF(5&gt;COUNTIF('DONNÉES BRUTES'!C$3:C$42,"Financials"),"",5)</f>
        <v/>
      </c>
      <c r="C15" t="str" cm="1">
        <f t="array" ref="C15">IFERROR(IF(5&gt;COUNTIF('DONNÉES BRUTES'!C$3:C$42,"Financials"),"",INDEX('DONNÉES BRUTES'!A$3:A$42,MATCH(LARGE(IF('DONNÉES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D15" t="str" cm="1">
        <f t="array" ref="D15">IFERROR(IF(5&gt;COUNTIF('DONNÉES BRUTES'!C$3:C$42,"Financials"),"",INDEX('DONNÉES BRUTES'!B$3:B$42,MATCH(LARGE(IF('DONNÉES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E15" t="str" cm="1">
        <f t="array" ref="E15">IFERROR(IF(5&gt;COUNTIF('DONNÉES BRUTES'!C$3:C$42,"Financials"),"",INT(LARGE(IF('DONNÉES BRUTES'!C$3:C$42="Financials",'DONNÉES BRUTES'!AB$3:AB$42+(ROW('DONNÉES BRUTES'!A$3:A$42)-ROW('DONNÉES BRUTES'!A$3))/1000,0),5))&amp;"/100"),"—")</f>
        <v/>
      </c>
      <c r="F15" t="str" cm="1">
        <f t="array" ref="F15">IFERROR(IF(5&gt;COUNTIF('DONNÉES BRUTES'!C$3:C$42,"Financials"),"",INDEX('DONNÉES BRUTES'!Y$3:Y$42,MATCH(LARGE(IF('DONNÉES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G15" t="str" cm="1">
        <f t="array" ref="G15">IFERROR(IF(5&gt;COUNTIF('DONNÉES BRUTES'!C$3:C$42,"Financials"),"",INDEX('DONNÉES BRUTES'!Z$3:Z$42,MATCH(LARGE(IF('DONNÉES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H15" t="str" cm="1">
        <f t="array" ref="H15">IFERROR(IF(5&gt;COUNTIF('DONNÉES BRUTES'!C$3:C$42,"Financials"),"",INDEX('DONNÉES BRUTES'!AA$3:AA$42,MATCH(LARGE(IF('DONNÉES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I15" t="str" cm="1">
        <f t="array" ref="I15">IFERROR(IF(5&gt;COUNTIF('DONNÉES BRUTES'!C$3:C$42,"Financials"),"",INDEX('DONNÉES BRUTES'!M$3:M$42,MATCH(LARGE(IF('DONNÉES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J15" t="str" cm="1">
        <f t="array" ref="J15">IFERROR(IF(5&gt;COUNTIF('DONNÉES BRUTES'!C$3:C$42,"Financials"),"",INDEX('DONNÉES BRUTES'!N$3:N$42,MATCH(LARGE(IF('DONNÉES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K15" t="str" cm="1">
        <f t="array" ref="K15">IFERROR(IF(5&gt;COUNTIF('DONNÉES BRUTES'!C$3:C$42,"Financials"),"",INDEX('DONNÉES BRUTES'!O$3:O$42,MATCH(LARGE(IF('DONNÉES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L15" t="str" cm="1">
        <f t="array" ref="L15">IFERROR(IF(5&gt;COUNTIF('DONNÉES BRUTES'!C$3:C$42,"Financials"),"",INDEX('DONNÉES BRUTES'!P$3:P$42,MATCH(LARGE(IF('DONNÉES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M15" t="str" cm="1">
        <f t="array" ref="M15">IFERROR(IF(5&gt;COUNTIF('DONNÉES BRUTES'!C$3:C$42,"Financials"),"",INDEX('DONNÉES BRUTES'!Q$3:Q$42,MATCH(LARGE(IF('DONNÉES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N15" t="str" cm="1">
        <f t="array" ref="N15">IFERROR(IF(5&gt;COUNTIF('DONNÉES BRUTES'!C$3:C$42,"Financials"),"",INDEX('DONNÉES BRUTES'!S$3:S$42,MATCH(LARGE(IF('DONNÉES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O15" t="str" cm="1">
        <f t="array" ref="O15">IFERROR(IF(5&gt;COUNTIF('DONNÉES BRUTES'!C$3:C$42,"Financials"),"",INDEX('DONNÉES BRUTES'!T$3:T$42,MATCH(LARGE(IF('DONNÉES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P15" t="str" cm="1">
        <f t="array" ref="P15">IFERROR(IF(5&gt;COUNTIF('DONNÉES BRUTES'!C$3:C$42,"Financials"),"",INDEX('DONNÉES BRUTES'!U$3:U$42,MATCH(LARGE(IF('DONNÉES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Q15" t="str" cm="1">
        <f t="array" ref="Q15">IFERROR(IF(5&gt;COUNTIF('DONNÉES BRUTES'!C$3:C$42,"Financials"),"",INDEX('DONNÉES BRUTES'!AD$3:AD$42,MATCH(LARGE(IF('DONNÉES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</row>
    <row r="16" spans="2:17" ht="15.95" customHeight="1" x14ac:dyDescent="0.25">
      <c r="B16" t="str">
        <f>IF(6&gt;COUNTIF('DONNÉES BRUTES'!C$3:C$42,"Financials"),"",6)</f>
        <v/>
      </c>
      <c r="C16" t="str" cm="1">
        <f t="array" ref="C16">IFERROR(IF(6&gt;COUNTIF('DONNÉES BRUTES'!C$3:C$42,"Financials"),"",INDEX('DONNÉES BRUTES'!A$3:A$42,MATCH(LARGE(IF('DONNÉES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D16" t="str" cm="1">
        <f t="array" ref="D16">IFERROR(IF(6&gt;COUNTIF('DONNÉES BRUTES'!C$3:C$42,"Financials"),"",INDEX('DONNÉES BRUTES'!B$3:B$42,MATCH(LARGE(IF('DONNÉES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E16" t="str" cm="1">
        <f t="array" ref="E16">IFERROR(IF(6&gt;COUNTIF('DONNÉES BRUTES'!C$3:C$42,"Financials"),"",INT(LARGE(IF('DONNÉES BRUTES'!C$3:C$42="Financials",'DONNÉES BRUTES'!AB$3:AB$42+(ROW('DONNÉES BRUTES'!A$3:A$42)-ROW('DONNÉES BRUTES'!A$3))/1000,0),6))&amp;"/100"),"—")</f>
        <v/>
      </c>
      <c r="F16" t="str" cm="1">
        <f t="array" ref="F16">IFERROR(IF(6&gt;COUNTIF('DONNÉES BRUTES'!C$3:C$42,"Financials"),"",INDEX('DONNÉES BRUTES'!Y$3:Y$42,MATCH(LARGE(IF('DONNÉES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G16" t="str" cm="1">
        <f t="array" ref="G16">IFERROR(IF(6&gt;COUNTIF('DONNÉES BRUTES'!C$3:C$42,"Financials"),"",INDEX('DONNÉES BRUTES'!Z$3:Z$42,MATCH(LARGE(IF('DONNÉES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H16" t="str" cm="1">
        <f t="array" ref="H16">IFERROR(IF(6&gt;COUNTIF('DONNÉES BRUTES'!C$3:C$42,"Financials"),"",INDEX('DONNÉES BRUTES'!AA$3:AA$42,MATCH(LARGE(IF('DONNÉES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I16" t="str" cm="1">
        <f t="array" ref="I16">IFERROR(IF(6&gt;COUNTIF('DONNÉES BRUTES'!C$3:C$42,"Financials"),"",INDEX('DONNÉES BRUTES'!M$3:M$42,MATCH(LARGE(IF('DONNÉES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J16" t="str" cm="1">
        <f t="array" ref="J16">IFERROR(IF(6&gt;COUNTIF('DONNÉES BRUTES'!C$3:C$42,"Financials"),"",INDEX('DONNÉES BRUTES'!N$3:N$42,MATCH(LARGE(IF('DONNÉES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K16" t="str" cm="1">
        <f t="array" ref="K16">IFERROR(IF(6&gt;COUNTIF('DONNÉES BRUTES'!C$3:C$42,"Financials"),"",INDEX('DONNÉES BRUTES'!O$3:O$42,MATCH(LARGE(IF('DONNÉES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L16" t="str" cm="1">
        <f t="array" ref="L16">IFERROR(IF(6&gt;COUNTIF('DONNÉES BRUTES'!C$3:C$42,"Financials"),"",INDEX('DONNÉES BRUTES'!P$3:P$42,MATCH(LARGE(IF('DONNÉES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M16" t="str" cm="1">
        <f t="array" ref="M16">IFERROR(IF(6&gt;COUNTIF('DONNÉES BRUTES'!C$3:C$42,"Financials"),"",INDEX('DONNÉES BRUTES'!Q$3:Q$42,MATCH(LARGE(IF('DONNÉES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N16" t="str" cm="1">
        <f t="array" ref="N16">IFERROR(IF(6&gt;COUNTIF('DONNÉES BRUTES'!C$3:C$42,"Financials"),"",INDEX('DONNÉES BRUTES'!S$3:S$42,MATCH(LARGE(IF('DONNÉES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O16" t="str" cm="1">
        <f t="array" ref="O16">IFERROR(IF(6&gt;COUNTIF('DONNÉES BRUTES'!C$3:C$42,"Financials"),"",INDEX('DONNÉES BRUTES'!T$3:T$42,MATCH(LARGE(IF('DONNÉES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P16" t="str" cm="1">
        <f t="array" ref="P16">IFERROR(IF(6&gt;COUNTIF('DONNÉES BRUTES'!C$3:C$42,"Financials"),"",INDEX('DONNÉES BRUTES'!U$3:U$42,MATCH(LARGE(IF('DONNÉES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Q16" t="str" cm="1">
        <f t="array" ref="Q16">IFERROR(IF(6&gt;COUNTIF('DONNÉES BRUTES'!C$3:C$42,"Financials"),"",INDEX('DONNÉES BRUTES'!AD$3:AD$42,MATCH(LARGE(IF('DONNÉES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</row>
    <row r="17" spans="2:28" ht="15.95" customHeight="1" x14ac:dyDescent="0.25">
      <c r="B17" t="str">
        <f>IF(7&gt;COUNTIF('DONNÉES BRUTES'!C$3:C$42,"Financials"),"",7)</f>
        <v/>
      </c>
      <c r="C17" t="str" cm="1">
        <f t="array" ref="C17">IFERROR(IF(7&gt;COUNTIF('DONNÉES BRUTES'!C$3:C$42,"Financials"),"",INDEX('DONNÉES BRUTES'!A$3:A$42,MATCH(LARGE(IF('DONNÉES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D17" t="str" cm="1">
        <f t="array" ref="D17">IFERROR(IF(7&gt;COUNTIF('DONNÉES BRUTES'!C$3:C$42,"Financials"),"",INDEX('DONNÉES BRUTES'!B$3:B$42,MATCH(LARGE(IF('DONNÉES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E17" t="str" cm="1">
        <f t="array" ref="E17">IFERROR(IF(7&gt;COUNTIF('DONNÉES BRUTES'!C$3:C$42,"Financials"),"",INT(LARGE(IF('DONNÉES BRUTES'!C$3:C$42="Financials",'DONNÉES BRUTES'!AB$3:AB$42+(ROW('DONNÉES BRUTES'!A$3:A$42)-ROW('DONNÉES BRUTES'!A$3))/1000,0),7))&amp;"/100"),"—")</f>
        <v/>
      </c>
      <c r="F17" t="str" cm="1">
        <f t="array" ref="F17">IFERROR(IF(7&gt;COUNTIF('DONNÉES BRUTES'!C$3:C$42,"Financials"),"",INDEX('DONNÉES BRUTES'!Y$3:Y$42,MATCH(LARGE(IF('DONNÉES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G17" t="str" cm="1">
        <f t="array" ref="G17">IFERROR(IF(7&gt;COUNTIF('DONNÉES BRUTES'!C$3:C$42,"Financials"),"",INDEX('DONNÉES BRUTES'!Z$3:Z$42,MATCH(LARGE(IF('DONNÉES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H17" t="str" cm="1">
        <f t="array" ref="H17">IFERROR(IF(7&gt;COUNTIF('DONNÉES BRUTES'!C$3:C$42,"Financials"),"",INDEX('DONNÉES BRUTES'!AA$3:AA$42,MATCH(LARGE(IF('DONNÉES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I17" t="str" cm="1">
        <f t="array" ref="I17">IFERROR(IF(7&gt;COUNTIF('DONNÉES BRUTES'!C$3:C$42,"Financials"),"",INDEX('DONNÉES BRUTES'!M$3:M$42,MATCH(LARGE(IF('DONNÉES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J17" t="str" cm="1">
        <f t="array" ref="J17">IFERROR(IF(7&gt;COUNTIF('DONNÉES BRUTES'!C$3:C$42,"Financials"),"",INDEX('DONNÉES BRUTES'!N$3:N$42,MATCH(LARGE(IF('DONNÉES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K17" t="str" cm="1">
        <f t="array" ref="K17">IFERROR(IF(7&gt;COUNTIF('DONNÉES BRUTES'!C$3:C$42,"Financials"),"",INDEX('DONNÉES BRUTES'!O$3:O$42,MATCH(LARGE(IF('DONNÉES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L17" t="str" cm="1">
        <f t="array" ref="L17">IFERROR(IF(7&gt;COUNTIF('DONNÉES BRUTES'!C$3:C$42,"Financials"),"",INDEX('DONNÉES BRUTES'!P$3:P$42,MATCH(LARGE(IF('DONNÉES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M17" t="str" cm="1">
        <f t="array" ref="M17">IFERROR(IF(7&gt;COUNTIF('DONNÉES BRUTES'!C$3:C$42,"Financials"),"",INDEX('DONNÉES BRUTES'!Q$3:Q$42,MATCH(LARGE(IF('DONNÉES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N17" t="str" cm="1">
        <f t="array" ref="N17">IFERROR(IF(7&gt;COUNTIF('DONNÉES BRUTES'!C$3:C$42,"Financials"),"",INDEX('DONNÉES BRUTES'!S$3:S$42,MATCH(LARGE(IF('DONNÉES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O17" t="str" cm="1">
        <f t="array" ref="O17">IFERROR(IF(7&gt;COUNTIF('DONNÉES BRUTES'!C$3:C$42,"Financials"),"",INDEX('DONNÉES BRUTES'!T$3:T$42,MATCH(LARGE(IF('DONNÉES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P17" t="str" cm="1">
        <f t="array" ref="P17">IFERROR(IF(7&gt;COUNTIF('DONNÉES BRUTES'!C$3:C$42,"Financials"),"",INDEX('DONNÉES BRUTES'!U$3:U$42,MATCH(LARGE(IF('DONNÉES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Q17" t="str" cm="1">
        <f t="array" ref="Q17">IFERROR(IF(7&gt;COUNTIF('DONNÉES BRUTES'!C$3:C$42,"Financials"),"",INDEX('DONNÉES BRUTES'!AD$3:AD$42,MATCH(LARGE(IF('DONNÉES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</row>
    <row r="18" spans="2:28" ht="15.95" customHeight="1" x14ac:dyDescent="0.25">
      <c r="B18" t="str">
        <f>IF(8&gt;COUNTIF('DONNÉES BRUTES'!C$3:C$42,"Financials"),"",8)</f>
        <v/>
      </c>
      <c r="C18" t="str" cm="1">
        <f t="array" ref="C18">IFERROR(IF(8&gt;COUNTIF('DONNÉES BRUTES'!C$3:C$42,"Financials"),"",INDEX('DONNÉES BRUTES'!A$3:A$42,MATCH(LARGE(IF('DONNÉES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D18" t="str" cm="1">
        <f t="array" ref="D18">IFERROR(IF(8&gt;COUNTIF('DONNÉES BRUTES'!C$3:C$42,"Financials"),"",INDEX('DONNÉES BRUTES'!B$3:B$42,MATCH(LARGE(IF('DONNÉES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E18" t="str" cm="1">
        <f t="array" ref="E18">IFERROR(IF(8&gt;COUNTIF('DONNÉES BRUTES'!C$3:C$42,"Financials"),"",INT(LARGE(IF('DONNÉES BRUTES'!C$3:C$42="Financials",'DONNÉES BRUTES'!AB$3:AB$42+(ROW('DONNÉES BRUTES'!A$3:A$42)-ROW('DONNÉES BRUTES'!A$3))/1000,0),8))&amp;"/100"),"—")</f>
        <v/>
      </c>
      <c r="F18" t="str" cm="1">
        <f t="array" ref="F18">IFERROR(IF(8&gt;COUNTIF('DONNÉES BRUTES'!C$3:C$42,"Financials"),"",INDEX('DONNÉES BRUTES'!Y$3:Y$42,MATCH(LARGE(IF('DONNÉES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G18" t="str" cm="1">
        <f t="array" ref="G18">IFERROR(IF(8&gt;COUNTIF('DONNÉES BRUTES'!C$3:C$42,"Financials"),"",INDEX('DONNÉES BRUTES'!Z$3:Z$42,MATCH(LARGE(IF('DONNÉES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H18" t="str" cm="1">
        <f t="array" ref="H18">IFERROR(IF(8&gt;COUNTIF('DONNÉES BRUTES'!C$3:C$42,"Financials"),"",INDEX('DONNÉES BRUTES'!AA$3:AA$42,MATCH(LARGE(IF('DONNÉES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I18" t="str" cm="1">
        <f t="array" ref="I18">IFERROR(IF(8&gt;COUNTIF('DONNÉES BRUTES'!C$3:C$42,"Financials"),"",INDEX('DONNÉES BRUTES'!M$3:M$42,MATCH(LARGE(IF('DONNÉES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J18" t="str" cm="1">
        <f t="array" ref="J18">IFERROR(IF(8&gt;COUNTIF('DONNÉES BRUTES'!C$3:C$42,"Financials"),"",INDEX('DONNÉES BRUTES'!N$3:N$42,MATCH(LARGE(IF('DONNÉES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K18" t="str" cm="1">
        <f t="array" ref="K18">IFERROR(IF(8&gt;COUNTIF('DONNÉES BRUTES'!C$3:C$42,"Financials"),"",INDEX('DONNÉES BRUTES'!O$3:O$42,MATCH(LARGE(IF('DONNÉES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L18" t="str" cm="1">
        <f t="array" ref="L18">IFERROR(IF(8&gt;COUNTIF('DONNÉES BRUTES'!C$3:C$42,"Financials"),"",INDEX('DONNÉES BRUTES'!P$3:P$42,MATCH(LARGE(IF('DONNÉES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M18" t="str" cm="1">
        <f t="array" ref="M18">IFERROR(IF(8&gt;COUNTIF('DONNÉES BRUTES'!C$3:C$42,"Financials"),"",INDEX('DONNÉES BRUTES'!Q$3:Q$42,MATCH(LARGE(IF('DONNÉES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N18" t="str" cm="1">
        <f t="array" ref="N18">IFERROR(IF(8&gt;COUNTIF('DONNÉES BRUTES'!C$3:C$42,"Financials"),"",INDEX('DONNÉES BRUTES'!S$3:S$42,MATCH(LARGE(IF('DONNÉES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O18" t="str" cm="1">
        <f t="array" ref="O18">IFERROR(IF(8&gt;COUNTIF('DONNÉES BRUTES'!C$3:C$42,"Financials"),"",INDEX('DONNÉES BRUTES'!T$3:T$42,MATCH(LARGE(IF('DONNÉES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P18" t="str" cm="1">
        <f t="array" ref="P18">IFERROR(IF(8&gt;COUNTIF('DONNÉES BRUTES'!C$3:C$42,"Financials"),"",INDEX('DONNÉES BRUTES'!U$3:U$42,MATCH(LARGE(IF('DONNÉES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Q18" t="str" cm="1">
        <f t="array" ref="Q18">IFERROR(IF(8&gt;COUNTIF('DONNÉES BRUTES'!C$3:C$42,"Financials"),"",INDEX('DONNÉES BRUTES'!AD$3:AD$42,MATCH(LARGE(IF('DONNÉES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</row>
    <row r="19" spans="2:28" ht="15.95" customHeight="1" x14ac:dyDescent="0.25">
      <c r="B19" t="str">
        <f>IF(9&gt;COUNTIF('DONNÉES BRUTES'!C$3:C$42,"Financials"),"",9)</f>
        <v/>
      </c>
      <c r="C19" t="str" cm="1">
        <f t="array" ref="C19">IFERROR(IF(9&gt;COUNTIF('DONNÉES BRUTES'!C$3:C$42,"Financials"),"",INDEX('DONNÉES BRUTES'!A$3:A$42,MATCH(LARGE(IF('DONNÉES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D19" t="str" cm="1">
        <f t="array" ref="D19">IFERROR(IF(9&gt;COUNTIF('DONNÉES BRUTES'!C$3:C$42,"Financials"),"",INDEX('DONNÉES BRUTES'!B$3:B$42,MATCH(LARGE(IF('DONNÉES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E19" t="str" cm="1">
        <f t="array" ref="E19">IFERROR(IF(9&gt;COUNTIF('DONNÉES BRUTES'!C$3:C$42,"Financials"),"",INT(LARGE(IF('DONNÉES BRUTES'!C$3:C$42="Financials",'DONNÉES BRUTES'!AB$3:AB$42+(ROW('DONNÉES BRUTES'!A$3:A$42)-ROW('DONNÉES BRUTES'!A$3))/1000,0),9))&amp;"/100"),"—")</f>
        <v/>
      </c>
      <c r="F19" t="str" cm="1">
        <f t="array" ref="F19">IFERROR(IF(9&gt;COUNTIF('DONNÉES BRUTES'!C$3:C$42,"Financials"),"",INDEX('DONNÉES BRUTES'!Y$3:Y$42,MATCH(LARGE(IF('DONNÉES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G19" t="str" cm="1">
        <f t="array" ref="G19">IFERROR(IF(9&gt;COUNTIF('DONNÉES BRUTES'!C$3:C$42,"Financials"),"",INDEX('DONNÉES BRUTES'!Z$3:Z$42,MATCH(LARGE(IF('DONNÉES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H19" t="str" cm="1">
        <f t="array" ref="H19">IFERROR(IF(9&gt;COUNTIF('DONNÉES BRUTES'!C$3:C$42,"Financials"),"",INDEX('DONNÉES BRUTES'!AA$3:AA$42,MATCH(LARGE(IF('DONNÉES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I19" t="str" cm="1">
        <f t="array" ref="I19">IFERROR(IF(9&gt;COUNTIF('DONNÉES BRUTES'!C$3:C$42,"Financials"),"",INDEX('DONNÉES BRUTES'!M$3:M$42,MATCH(LARGE(IF('DONNÉES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J19" t="str" cm="1">
        <f t="array" ref="J19">IFERROR(IF(9&gt;COUNTIF('DONNÉES BRUTES'!C$3:C$42,"Financials"),"",INDEX('DONNÉES BRUTES'!N$3:N$42,MATCH(LARGE(IF('DONNÉES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K19" t="str" cm="1">
        <f t="array" ref="K19">IFERROR(IF(9&gt;COUNTIF('DONNÉES BRUTES'!C$3:C$42,"Financials"),"",INDEX('DONNÉES BRUTES'!O$3:O$42,MATCH(LARGE(IF('DONNÉES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L19" t="str" cm="1">
        <f t="array" ref="L19">IFERROR(IF(9&gt;COUNTIF('DONNÉES BRUTES'!C$3:C$42,"Financials"),"",INDEX('DONNÉES BRUTES'!P$3:P$42,MATCH(LARGE(IF('DONNÉES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M19" t="str" cm="1">
        <f t="array" ref="M19">IFERROR(IF(9&gt;COUNTIF('DONNÉES BRUTES'!C$3:C$42,"Financials"),"",INDEX('DONNÉES BRUTES'!Q$3:Q$42,MATCH(LARGE(IF('DONNÉES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N19" t="str" cm="1">
        <f t="array" ref="N19">IFERROR(IF(9&gt;COUNTIF('DONNÉES BRUTES'!C$3:C$42,"Financials"),"",INDEX('DONNÉES BRUTES'!S$3:S$42,MATCH(LARGE(IF('DONNÉES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O19" t="str" cm="1">
        <f t="array" ref="O19">IFERROR(IF(9&gt;COUNTIF('DONNÉES BRUTES'!C$3:C$42,"Financials"),"",INDEX('DONNÉES BRUTES'!T$3:T$42,MATCH(LARGE(IF('DONNÉES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P19" t="str" cm="1">
        <f t="array" ref="P19">IFERROR(IF(9&gt;COUNTIF('DONNÉES BRUTES'!C$3:C$42,"Financials"),"",INDEX('DONNÉES BRUTES'!U$3:U$42,MATCH(LARGE(IF('DONNÉES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Q19" t="str" cm="1">
        <f t="array" ref="Q19">IFERROR(IF(9&gt;COUNTIF('DONNÉES BRUTES'!C$3:C$42,"Financials"),"",INDEX('DONNÉES BRUTES'!AD$3:AD$42,MATCH(LARGE(IF('DONNÉES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</row>
    <row r="20" spans="2:28" ht="15.95" customHeight="1" x14ac:dyDescent="0.25">
      <c r="B20" t="str">
        <f>IF(10&gt;COUNTIF('DONNÉES BRUTES'!C$3:C$42,"Financials"),"",10)</f>
        <v/>
      </c>
      <c r="C20" t="str" cm="1">
        <f t="array" ref="C20">IFERROR(IF(10&gt;COUNTIF('DONNÉES BRUTES'!C$3:C$42,"Financials"),"",INDEX('DONNÉES BRUTES'!A$3:A$42,MATCH(LARGE(IF('DONNÉES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D20" t="str" cm="1">
        <f t="array" ref="D20">IFERROR(IF(10&gt;COUNTIF('DONNÉES BRUTES'!C$3:C$42,"Financials"),"",INDEX('DONNÉES BRUTES'!B$3:B$42,MATCH(LARGE(IF('DONNÉES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E20" t="str" cm="1">
        <f t="array" ref="E20">IFERROR(IF(10&gt;COUNTIF('DONNÉES BRUTES'!C$3:C$42,"Financials"),"",INT(LARGE(IF('DONNÉES BRUTES'!C$3:C$42="Financials",'DONNÉES BRUTES'!AB$3:AB$42+(ROW('DONNÉES BRUTES'!A$3:A$42)-ROW('DONNÉES BRUTES'!A$3))/1000,0),10))&amp;"/100"),"—")</f>
        <v/>
      </c>
      <c r="F20" t="str" cm="1">
        <f t="array" ref="F20">IFERROR(IF(10&gt;COUNTIF('DONNÉES BRUTES'!C$3:C$42,"Financials"),"",INDEX('DONNÉES BRUTES'!Y$3:Y$42,MATCH(LARGE(IF('DONNÉES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G20" t="str" cm="1">
        <f t="array" ref="G20">IFERROR(IF(10&gt;COUNTIF('DONNÉES BRUTES'!C$3:C$42,"Financials"),"",INDEX('DONNÉES BRUTES'!Z$3:Z$42,MATCH(LARGE(IF('DONNÉES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H20" t="str" cm="1">
        <f t="array" ref="H20">IFERROR(IF(10&gt;COUNTIF('DONNÉES BRUTES'!C$3:C$42,"Financials"),"",INDEX('DONNÉES BRUTES'!AA$3:AA$42,MATCH(LARGE(IF('DONNÉES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I20" t="str" cm="1">
        <f t="array" ref="I20">IFERROR(IF(10&gt;COUNTIF('DONNÉES BRUTES'!C$3:C$42,"Financials"),"",INDEX('DONNÉES BRUTES'!M$3:M$42,MATCH(LARGE(IF('DONNÉES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J20" t="str" cm="1">
        <f t="array" ref="J20">IFERROR(IF(10&gt;COUNTIF('DONNÉES BRUTES'!C$3:C$42,"Financials"),"",INDEX('DONNÉES BRUTES'!N$3:N$42,MATCH(LARGE(IF('DONNÉES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K20" t="str" cm="1">
        <f t="array" ref="K20">IFERROR(IF(10&gt;COUNTIF('DONNÉES BRUTES'!C$3:C$42,"Financials"),"",INDEX('DONNÉES BRUTES'!O$3:O$42,MATCH(LARGE(IF('DONNÉES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L20" t="str" cm="1">
        <f t="array" ref="L20">IFERROR(IF(10&gt;COUNTIF('DONNÉES BRUTES'!C$3:C$42,"Financials"),"",INDEX('DONNÉES BRUTES'!P$3:P$42,MATCH(LARGE(IF('DONNÉES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M20" t="str" cm="1">
        <f t="array" ref="M20">IFERROR(IF(10&gt;COUNTIF('DONNÉES BRUTES'!C$3:C$42,"Financials"),"",INDEX('DONNÉES BRUTES'!Q$3:Q$42,MATCH(LARGE(IF('DONNÉES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N20" t="str" cm="1">
        <f t="array" ref="N20">IFERROR(IF(10&gt;COUNTIF('DONNÉES BRUTES'!C$3:C$42,"Financials"),"",INDEX('DONNÉES BRUTES'!S$3:S$42,MATCH(LARGE(IF('DONNÉES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O20" t="str" cm="1">
        <f t="array" ref="O20">IFERROR(IF(10&gt;COUNTIF('DONNÉES BRUTES'!C$3:C$42,"Financials"),"",INDEX('DONNÉES BRUTES'!T$3:T$42,MATCH(LARGE(IF('DONNÉES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P20" t="str" cm="1">
        <f t="array" ref="P20">IFERROR(IF(10&gt;COUNTIF('DONNÉES BRUTES'!C$3:C$42,"Financials"),"",INDEX('DONNÉES BRUTES'!U$3:U$42,MATCH(LARGE(IF('DONNÉES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Q20" t="str" cm="1">
        <f t="array" ref="Q20">IFERROR(IF(10&gt;COUNTIF('DONNÉES BRUTES'!C$3:C$42,"Financials"),"",INDEX('DONNÉES BRUTES'!AD$3:AD$42,MATCH(LARGE(IF('DONNÉES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</row>
    <row r="21" spans="2:28" ht="15.95" customHeight="1" x14ac:dyDescent="0.25">
      <c r="B21" t="str">
        <f>IF(11&gt;COUNTIF('DONNÉES BRUTES'!C$3:C$42,"Financials"),"",11)</f>
        <v/>
      </c>
      <c r="C21" t="str" cm="1">
        <f t="array" ref="C21">IFERROR(IF(11&gt;COUNTIF('DONNÉES BRUTES'!C$3:C$42,"Financials"),"",INDEX('DONNÉES BRUTES'!A$3:A$42,MATCH(LARGE(IF('DONNÉES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D21" t="str" cm="1">
        <f t="array" ref="D21">IFERROR(IF(11&gt;COUNTIF('DONNÉES BRUTES'!C$3:C$42,"Financials"),"",INDEX('DONNÉES BRUTES'!B$3:B$42,MATCH(LARGE(IF('DONNÉES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E21" t="str" cm="1">
        <f t="array" ref="E21">IFERROR(IF(11&gt;COUNTIF('DONNÉES BRUTES'!C$3:C$42,"Financials"),"",INT(LARGE(IF('DONNÉES BRUTES'!C$3:C$42="Financials",'DONNÉES BRUTES'!AB$3:AB$42+(ROW('DONNÉES BRUTES'!A$3:A$42)-ROW('DONNÉES BRUTES'!A$3))/1000,0),11))&amp;"/100"),"—")</f>
        <v/>
      </c>
      <c r="F21" t="str" cm="1">
        <f t="array" ref="F21">IFERROR(IF(11&gt;COUNTIF('DONNÉES BRUTES'!C$3:C$42,"Financials"),"",INDEX('DONNÉES BRUTES'!Y$3:Y$42,MATCH(LARGE(IF('DONNÉES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G21" t="str" cm="1">
        <f t="array" ref="G21">IFERROR(IF(11&gt;COUNTIF('DONNÉES BRUTES'!C$3:C$42,"Financials"),"",INDEX('DONNÉES BRUTES'!Z$3:Z$42,MATCH(LARGE(IF('DONNÉES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H21" t="str" cm="1">
        <f t="array" ref="H21">IFERROR(IF(11&gt;COUNTIF('DONNÉES BRUTES'!C$3:C$42,"Financials"),"",INDEX('DONNÉES BRUTES'!AA$3:AA$42,MATCH(LARGE(IF('DONNÉES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I21" t="str" cm="1">
        <f t="array" ref="I21">IFERROR(IF(11&gt;COUNTIF('DONNÉES BRUTES'!C$3:C$42,"Financials"),"",INDEX('DONNÉES BRUTES'!M$3:M$42,MATCH(LARGE(IF('DONNÉES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J21" t="str" cm="1">
        <f t="array" ref="J21">IFERROR(IF(11&gt;COUNTIF('DONNÉES BRUTES'!C$3:C$42,"Financials"),"",INDEX('DONNÉES BRUTES'!N$3:N$42,MATCH(LARGE(IF('DONNÉES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K21" t="str" cm="1">
        <f t="array" ref="K21">IFERROR(IF(11&gt;COUNTIF('DONNÉES BRUTES'!C$3:C$42,"Financials"),"",INDEX('DONNÉES BRUTES'!O$3:O$42,MATCH(LARGE(IF('DONNÉES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L21" t="str" cm="1">
        <f t="array" ref="L21">IFERROR(IF(11&gt;COUNTIF('DONNÉES BRUTES'!C$3:C$42,"Financials"),"",INDEX('DONNÉES BRUTES'!P$3:P$42,MATCH(LARGE(IF('DONNÉES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M21" t="str" cm="1">
        <f t="array" ref="M21">IFERROR(IF(11&gt;COUNTIF('DONNÉES BRUTES'!C$3:C$42,"Financials"),"",INDEX('DONNÉES BRUTES'!Q$3:Q$42,MATCH(LARGE(IF('DONNÉES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N21" t="str" cm="1">
        <f t="array" ref="N21">IFERROR(IF(11&gt;COUNTIF('DONNÉES BRUTES'!C$3:C$42,"Financials"),"",INDEX('DONNÉES BRUTES'!S$3:S$42,MATCH(LARGE(IF('DONNÉES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O21" t="str" cm="1">
        <f t="array" ref="O21">IFERROR(IF(11&gt;COUNTIF('DONNÉES BRUTES'!C$3:C$42,"Financials"),"",INDEX('DONNÉES BRUTES'!T$3:T$42,MATCH(LARGE(IF('DONNÉES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P21" t="str" cm="1">
        <f t="array" ref="P21">IFERROR(IF(11&gt;COUNTIF('DONNÉES BRUTES'!C$3:C$42,"Financials"),"",INDEX('DONNÉES BRUTES'!U$3:U$42,MATCH(LARGE(IF('DONNÉES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Q21" t="str" cm="1">
        <f t="array" ref="Q21">IFERROR(IF(11&gt;COUNTIF('DONNÉES BRUTES'!C$3:C$42,"Financials"),"",INDEX('DONNÉES BRUTES'!AD$3:AD$42,MATCH(LARGE(IF('DONNÉES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</row>
    <row r="22" spans="2:28" ht="15.95" customHeight="1" x14ac:dyDescent="0.25">
      <c r="B22" t="str">
        <f>IF(12&gt;COUNTIF('DONNÉES BRUTES'!C$3:C$42,"Financials"),"",12)</f>
        <v/>
      </c>
      <c r="C22" t="str" cm="1">
        <f t="array" ref="C22">IFERROR(IF(12&gt;COUNTIF('DONNÉES BRUTES'!C$3:C$42,"Financials"),"",INDEX('DONNÉES BRUTES'!A$3:A$42,MATCH(LARGE(IF('DONNÉES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D22" t="str" cm="1">
        <f t="array" ref="D22">IFERROR(IF(12&gt;COUNTIF('DONNÉES BRUTES'!C$3:C$42,"Financials"),"",INDEX('DONNÉES BRUTES'!B$3:B$42,MATCH(LARGE(IF('DONNÉES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E22" t="str" cm="1">
        <f t="array" ref="E22">IFERROR(IF(12&gt;COUNTIF('DONNÉES BRUTES'!C$3:C$42,"Financials"),"",INT(LARGE(IF('DONNÉES BRUTES'!C$3:C$42="Financials",'DONNÉES BRUTES'!AB$3:AB$42+(ROW('DONNÉES BRUTES'!A$3:A$42)-ROW('DONNÉES BRUTES'!A$3))/1000,0),12))&amp;"/100"),"—")</f>
        <v/>
      </c>
      <c r="F22" t="str" cm="1">
        <f t="array" ref="F22">IFERROR(IF(12&gt;COUNTIF('DONNÉES BRUTES'!C$3:C$42,"Financials"),"",INDEX('DONNÉES BRUTES'!Y$3:Y$42,MATCH(LARGE(IF('DONNÉES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G22" t="str" cm="1">
        <f t="array" ref="G22">IFERROR(IF(12&gt;COUNTIF('DONNÉES BRUTES'!C$3:C$42,"Financials"),"",INDEX('DONNÉES BRUTES'!Z$3:Z$42,MATCH(LARGE(IF('DONNÉES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H22" t="str" cm="1">
        <f t="array" ref="H22">IFERROR(IF(12&gt;COUNTIF('DONNÉES BRUTES'!C$3:C$42,"Financials"),"",INDEX('DONNÉES BRUTES'!AA$3:AA$42,MATCH(LARGE(IF('DONNÉES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I22" t="str" cm="1">
        <f t="array" ref="I22">IFERROR(IF(12&gt;COUNTIF('DONNÉES BRUTES'!C$3:C$42,"Financials"),"",INDEX('DONNÉES BRUTES'!M$3:M$42,MATCH(LARGE(IF('DONNÉES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J22" t="str" cm="1">
        <f t="array" ref="J22">IFERROR(IF(12&gt;COUNTIF('DONNÉES BRUTES'!C$3:C$42,"Financials"),"",INDEX('DONNÉES BRUTES'!N$3:N$42,MATCH(LARGE(IF('DONNÉES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K22" t="str" cm="1">
        <f t="array" ref="K22">IFERROR(IF(12&gt;COUNTIF('DONNÉES BRUTES'!C$3:C$42,"Financials"),"",INDEX('DONNÉES BRUTES'!O$3:O$42,MATCH(LARGE(IF('DONNÉES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L22" t="str" cm="1">
        <f t="array" ref="L22">IFERROR(IF(12&gt;COUNTIF('DONNÉES BRUTES'!C$3:C$42,"Financials"),"",INDEX('DONNÉES BRUTES'!P$3:P$42,MATCH(LARGE(IF('DONNÉES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M22" t="str" cm="1">
        <f t="array" ref="M22">IFERROR(IF(12&gt;COUNTIF('DONNÉES BRUTES'!C$3:C$42,"Financials"),"",INDEX('DONNÉES BRUTES'!Q$3:Q$42,MATCH(LARGE(IF('DONNÉES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N22" t="str" cm="1">
        <f t="array" ref="N22">IFERROR(IF(12&gt;COUNTIF('DONNÉES BRUTES'!C$3:C$42,"Financials"),"",INDEX('DONNÉES BRUTES'!S$3:S$42,MATCH(LARGE(IF('DONNÉES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O22" t="str" cm="1">
        <f t="array" ref="O22">IFERROR(IF(12&gt;COUNTIF('DONNÉES BRUTES'!C$3:C$42,"Financials"),"",INDEX('DONNÉES BRUTES'!T$3:T$42,MATCH(LARGE(IF('DONNÉES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P22" t="str" cm="1">
        <f t="array" ref="P22">IFERROR(IF(12&gt;COUNTIF('DONNÉES BRUTES'!C$3:C$42,"Financials"),"",INDEX('DONNÉES BRUTES'!U$3:U$42,MATCH(LARGE(IF('DONNÉES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Q22" t="str" cm="1">
        <f t="array" ref="Q22">IFERROR(IF(12&gt;COUNTIF('DONNÉES BRUTES'!C$3:C$42,"Financials"),"",INDEX('DONNÉES BRUTES'!AD$3:AD$42,MATCH(LARGE(IF('DONNÉES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</row>
    <row r="23" spans="2:28" ht="15.95" customHeight="1" x14ac:dyDescent="0.25">
      <c r="B23" t="str">
        <f>IF(13&gt;COUNTIF('DONNÉES BRUTES'!C$3:C$42,"Financials"),"",13)</f>
        <v/>
      </c>
      <c r="C23" t="str" cm="1">
        <f t="array" ref="C23">IFERROR(IF(13&gt;COUNTIF('DONNÉES BRUTES'!C$3:C$42,"Financials"),"",INDEX('DONNÉES BRUTES'!A$3:A$42,MATCH(LARGE(IF('DONNÉES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D23" t="str" cm="1">
        <f t="array" ref="D23">IFERROR(IF(13&gt;COUNTIF('DONNÉES BRUTES'!C$3:C$42,"Financials"),"",INDEX('DONNÉES BRUTES'!B$3:B$42,MATCH(LARGE(IF('DONNÉES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E23" t="str" cm="1">
        <f t="array" ref="E23">IFERROR(IF(13&gt;COUNTIF('DONNÉES BRUTES'!C$3:C$42,"Financials"),"",INT(LARGE(IF('DONNÉES BRUTES'!C$3:C$42="Financials",'DONNÉES BRUTES'!AB$3:AB$42+(ROW('DONNÉES BRUTES'!A$3:A$42)-ROW('DONNÉES BRUTES'!A$3))/1000,0),13))&amp;"/100"),"—")</f>
        <v/>
      </c>
      <c r="F23" t="str" cm="1">
        <f t="array" ref="F23">IFERROR(IF(13&gt;COUNTIF('DONNÉES BRUTES'!C$3:C$42,"Financials"),"",INDEX('DONNÉES BRUTES'!Y$3:Y$42,MATCH(LARGE(IF('DONNÉES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G23" t="str" cm="1">
        <f t="array" ref="G23">IFERROR(IF(13&gt;COUNTIF('DONNÉES BRUTES'!C$3:C$42,"Financials"),"",INDEX('DONNÉES BRUTES'!Z$3:Z$42,MATCH(LARGE(IF('DONNÉES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H23" t="str" cm="1">
        <f t="array" ref="H23">IFERROR(IF(13&gt;COUNTIF('DONNÉES BRUTES'!C$3:C$42,"Financials"),"",INDEX('DONNÉES BRUTES'!AA$3:AA$42,MATCH(LARGE(IF('DONNÉES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I23" t="str" cm="1">
        <f t="array" ref="I23">IFERROR(IF(13&gt;COUNTIF('DONNÉES BRUTES'!C$3:C$42,"Financials"),"",INDEX('DONNÉES BRUTES'!M$3:M$42,MATCH(LARGE(IF('DONNÉES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J23" t="str" cm="1">
        <f t="array" ref="J23">IFERROR(IF(13&gt;COUNTIF('DONNÉES BRUTES'!C$3:C$42,"Financials"),"",INDEX('DONNÉES BRUTES'!N$3:N$42,MATCH(LARGE(IF('DONNÉES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K23" t="str" cm="1">
        <f t="array" ref="K23">IFERROR(IF(13&gt;COUNTIF('DONNÉES BRUTES'!C$3:C$42,"Financials"),"",INDEX('DONNÉES BRUTES'!O$3:O$42,MATCH(LARGE(IF('DONNÉES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L23" t="str" cm="1">
        <f t="array" ref="L23">IFERROR(IF(13&gt;COUNTIF('DONNÉES BRUTES'!C$3:C$42,"Financials"),"",INDEX('DONNÉES BRUTES'!P$3:P$42,MATCH(LARGE(IF('DONNÉES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M23" t="str" cm="1">
        <f t="array" ref="M23">IFERROR(IF(13&gt;COUNTIF('DONNÉES BRUTES'!C$3:C$42,"Financials"),"",INDEX('DONNÉES BRUTES'!Q$3:Q$42,MATCH(LARGE(IF('DONNÉES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N23" t="str" cm="1">
        <f t="array" ref="N23">IFERROR(IF(13&gt;COUNTIF('DONNÉES BRUTES'!C$3:C$42,"Financials"),"",INDEX('DONNÉES BRUTES'!S$3:S$42,MATCH(LARGE(IF('DONNÉES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O23" t="str" cm="1">
        <f t="array" ref="O23">IFERROR(IF(13&gt;COUNTIF('DONNÉES BRUTES'!C$3:C$42,"Financials"),"",INDEX('DONNÉES BRUTES'!T$3:T$42,MATCH(LARGE(IF('DONNÉES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P23" t="str" cm="1">
        <f t="array" ref="P23">IFERROR(IF(13&gt;COUNTIF('DONNÉES BRUTES'!C$3:C$42,"Financials"),"",INDEX('DONNÉES BRUTES'!U$3:U$42,MATCH(LARGE(IF('DONNÉES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Q23" t="str" cm="1">
        <f t="array" ref="Q23">IFERROR(IF(13&gt;COUNTIF('DONNÉES BRUTES'!C$3:C$42,"Financials"),"",INDEX('DONNÉES BRUTES'!AD$3:AD$42,MATCH(LARGE(IF('DONNÉES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</row>
    <row r="24" spans="2:28" ht="15.95" customHeight="1" x14ac:dyDescent="0.25">
      <c r="B24" t="str">
        <f>IF(14&gt;COUNTIF('DONNÉES BRUTES'!C$3:C$42,"Financials"),"",14)</f>
        <v/>
      </c>
      <c r="C24" t="str" cm="1">
        <f t="array" ref="C24">IFERROR(IF(14&gt;COUNTIF('DONNÉES BRUTES'!C$3:C$42,"Financials"),"",INDEX('DONNÉES BRUTES'!A$3:A$42,MATCH(LARGE(IF('DONNÉES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D24" t="str" cm="1">
        <f t="array" ref="D24">IFERROR(IF(14&gt;COUNTIF('DONNÉES BRUTES'!C$3:C$42,"Financials"),"",INDEX('DONNÉES BRUTES'!B$3:B$42,MATCH(LARGE(IF('DONNÉES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E24" t="str" cm="1">
        <f t="array" ref="E24">IFERROR(IF(14&gt;COUNTIF('DONNÉES BRUTES'!C$3:C$42,"Financials"),"",INT(LARGE(IF('DONNÉES BRUTES'!C$3:C$42="Financials",'DONNÉES BRUTES'!AB$3:AB$42+(ROW('DONNÉES BRUTES'!A$3:A$42)-ROW('DONNÉES BRUTES'!A$3))/1000,0),14))&amp;"/100"),"—")</f>
        <v/>
      </c>
      <c r="F24" t="str" cm="1">
        <f t="array" ref="F24">IFERROR(IF(14&gt;COUNTIF('DONNÉES BRUTES'!C$3:C$42,"Financials"),"",INDEX('DONNÉES BRUTES'!Y$3:Y$42,MATCH(LARGE(IF('DONNÉES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G24" t="str" cm="1">
        <f t="array" ref="G24">IFERROR(IF(14&gt;COUNTIF('DONNÉES BRUTES'!C$3:C$42,"Financials"),"",INDEX('DONNÉES BRUTES'!Z$3:Z$42,MATCH(LARGE(IF('DONNÉES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H24" t="str" cm="1">
        <f t="array" ref="H24">IFERROR(IF(14&gt;COUNTIF('DONNÉES BRUTES'!C$3:C$42,"Financials"),"",INDEX('DONNÉES BRUTES'!AA$3:AA$42,MATCH(LARGE(IF('DONNÉES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I24" t="str" cm="1">
        <f t="array" ref="I24">IFERROR(IF(14&gt;COUNTIF('DONNÉES BRUTES'!C$3:C$42,"Financials"),"",INDEX('DONNÉES BRUTES'!M$3:M$42,MATCH(LARGE(IF('DONNÉES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J24" t="str" cm="1">
        <f t="array" ref="J24">IFERROR(IF(14&gt;COUNTIF('DONNÉES BRUTES'!C$3:C$42,"Financials"),"",INDEX('DONNÉES BRUTES'!N$3:N$42,MATCH(LARGE(IF('DONNÉES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K24" t="str" cm="1">
        <f t="array" ref="K24">IFERROR(IF(14&gt;COUNTIF('DONNÉES BRUTES'!C$3:C$42,"Financials"),"",INDEX('DONNÉES BRUTES'!O$3:O$42,MATCH(LARGE(IF('DONNÉES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L24" t="str" cm="1">
        <f t="array" ref="L24">IFERROR(IF(14&gt;COUNTIF('DONNÉES BRUTES'!C$3:C$42,"Financials"),"",INDEX('DONNÉES BRUTES'!P$3:P$42,MATCH(LARGE(IF('DONNÉES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M24" t="str" cm="1">
        <f t="array" ref="M24">IFERROR(IF(14&gt;COUNTIF('DONNÉES BRUTES'!C$3:C$42,"Financials"),"",INDEX('DONNÉES BRUTES'!Q$3:Q$42,MATCH(LARGE(IF('DONNÉES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N24" t="str" cm="1">
        <f t="array" ref="N24">IFERROR(IF(14&gt;COUNTIF('DONNÉES BRUTES'!C$3:C$42,"Financials"),"",INDEX('DONNÉES BRUTES'!S$3:S$42,MATCH(LARGE(IF('DONNÉES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O24" t="str" cm="1">
        <f t="array" ref="O24">IFERROR(IF(14&gt;COUNTIF('DONNÉES BRUTES'!C$3:C$42,"Financials"),"",INDEX('DONNÉES BRUTES'!T$3:T$42,MATCH(LARGE(IF('DONNÉES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P24" t="str" cm="1">
        <f t="array" ref="P24">IFERROR(IF(14&gt;COUNTIF('DONNÉES BRUTES'!C$3:C$42,"Financials"),"",INDEX('DONNÉES BRUTES'!U$3:U$42,MATCH(LARGE(IF('DONNÉES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Q24" t="str" cm="1">
        <f t="array" ref="Q24">IFERROR(IF(14&gt;COUNTIF('DONNÉES BRUTES'!C$3:C$42,"Financials"),"",INDEX('DONNÉES BRUTES'!AD$3:AD$42,MATCH(LARGE(IF('DONNÉES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</row>
    <row r="25" spans="2:28" ht="15.95" customHeight="1" x14ac:dyDescent="0.25">
      <c r="B25" t="str">
        <f>IF(15&gt;COUNTIF('DONNÉES BRUTES'!C$3:C$42,"Financials"),"",15)</f>
        <v/>
      </c>
      <c r="C25" t="str" cm="1">
        <f t="array" ref="C25">IFERROR(IF(15&gt;COUNTIF('DONNÉES BRUTES'!C$3:C$42,"Financials"),"",INDEX('DONNÉES BRUTES'!A$3:A$42,MATCH(LARGE(IF('DONNÉES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D25" t="str" cm="1">
        <f t="array" ref="D25">IFERROR(IF(15&gt;COUNTIF('DONNÉES BRUTES'!C$3:C$42,"Financials"),"",INDEX('DONNÉES BRUTES'!B$3:B$42,MATCH(LARGE(IF('DONNÉES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E25" t="str" cm="1">
        <f t="array" ref="E25">IFERROR(IF(15&gt;COUNTIF('DONNÉES BRUTES'!C$3:C$42,"Financials"),"",INT(LARGE(IF('DONNÉES BRUTES'!C$3:C$42="Financials",'DONNÉES BRUTES'!AB$3:AB$42+(ROW('DONNÉES BRUTES'!A$3:A$42)-ROW('DONNÉES BRUTES'!A$3))/1000,0),15))&amp;"/100"),"—")</f>
        <v/>
      </c>
      <c r="F25" t="str" cm="1">
        <f t="array" ref="F25">IFERROR(IF(15&gt;COUNTIF('DONNÉES BRUTES'!C$3:C$42,"Financials"),"",INDEX('DONNÉES BRUTES'!Y$3:Y$42,MATCH(LARGE(IF('DONNÉES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G25" t="str" cm="1">
        <f t="array" ref="G25">IFERROR(IF(15&gt;COUNTIF('DONNÉES BRUTES'!C$3:C$42,"Financials"),"",INDEX('DONNÉES BRUTES'!Z$3:Z$42,MATCH(LARGE(IF('DONNÉES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H25" t="str" cm="1">
        <f t="array" ref="H25">IFERROR(IF(15&gt;COUNTIF('DONNÉES BRUTES'!C$3:C$42,"Financials"),"",INDEX('DONNÉES BRUTES'!AA$3:AA$42,MATCH(LARGE(IF('DONNÉES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I25" t="str" cm="1">
        <f t="array" ref="I25">IFERROR(IF(15&gt;COUNTIF('DONNÉES BRUTES'!C$3:C$42,"Financials"),"",INDEX('DONNÉES BRUTES'!M$3:M$42,MATCH(LARGE(IF('DONNÉES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J25" t="str" cm="1">
        <f t="array" ref="J25">IFERROR(IF(15&gt;COUNTIF('DONNÉES BRUTES'!C$3:C$42,"Financials"),"",INDEX('DONNÉES BRUTES'!N$3:N$42,MATCH(LARGE(IF('DONNÉES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K25" t="str" cm="1">
        <f t="array" ref="K25">IFERROR(IF(15&gt;COUNTIF('DONNÉES BRUTES'!C$3:C$42,"Financials"),"",INDEX('DONNÉES BRUTES'!O$3:O$42,MATCH(LARGE(IF('DONNÉES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L25" t="str" cm="1">
        <f t="array" ref="L25">IFERROR(IF(15&gt;COUNTIF('DONNÉES BRUTES'!C$3:C$42,"Financials"),"",INDEX('DONNÉES BRUTES'!P$3:P$42,MATCH(LARGE(IF('DONNÉES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M25" t="str" cm="1">
        <f t="array" ref="M25">IFERROR(IF(15&gt;COUNTIF('DONNÉES BRUTES'!C$3:C$42,"Financials"),"",INDEX('DONNÉES BRUTES'!Q$3:Q$42,MATCH(LARGE(IF('DONNÉES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N25" t="str" cm="1">
        <f t="array" ref="N25">IFERROR(IF(15&gt;COUNTIF('DONNÉES BRUTES'!C$3:C$42,"Financials"),"",INDEX('DONNÉES BRUTES'!S$3:S$42,MATCH(LARGE(IF('DONNÉES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O25" t="str" cm="1">
        <f t="array" ref="O25">IFERROR(IF(15&gt;COUNTIF('DONNÉES BRUTES'!C$3:C$42,"Financials"),"",INDEX('DONNÉES BRUTES'!T$3:T$42,MATCH(LARGE(IF('DONNÉES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P25" t="str" cm="1">
        <f t="array" ref="P25">IFERROR(IF(15&gt;COUNTIF('DONNÉES BRUTES'!C$3:C$42,"Financials"),"",INDEX('DONNÉES BRUTES'!U$3:U$42,MATCH(LARGE(IF('DONNÉES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Q25" t="str" cm="1">
        <f t="array" ref="Q25">IFERROR(IF(15&gt;COUNTIF('DONNÉES BRUTES'!C$3:C$42,"Financials"),"",INDEX('DONNÉES BRUTES'!AD$3:AD$42,MATCH(LARGE(IF('DONNÉES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</row>
    <row r="26" spans="2:28" ht="15.95" customHeight="1" x14ac:dyDescent="0.25"/>
    <row r="27" spans="2:28" ht="15.95" customHeight="1" x14ac:dyDescent="0.25"/>
    <row r="28" spans="2:28" ht="15.95" customHeight="1" x14ac:dyDescent="0.25">
      <c r="S28" t="s">
        <v>4</v>
      </c>
      <c r="T28" t="s">
        <v>5</v>
      </c>
      <c r="U28" t="s">
        <v>43</v>
      </c>
      <c r="V28" t="s">
        <v>44</v>
      </c>
      <c r="W28" t="s">
        <v>45</v>
      </c>
      <c r="Y28" t="s">
        <v>4</v>
      </c>
      <c r="Z28" t="s">
        <v>43</v>
      </c>
      <c r="AA28" t="s">
        <v>44</v>
      </c>
      <c r="AB28" t="s">
        <v>45</v>
      </c>
    </row>
    <row r="29" spans="2:28" ht="15.95" customHeight="1" x14ac:dyDescent="0.25">
      <c r="S29" t="str">
        <f>IF(D11="","",LEFT(D11,14))</f>
        <v>Crédit Agricol</v>
      </c>
      <c r="T29">
        <f>IF(E11="","",IFERROR(VALUE(LEFT(E11,FIND("/",E11)-1)),0))</f>
        <v>65</v>
      </c>
      <c r="U29">
        <f t="shared" ref="U29:W32" si="0">IF(ISNUMBER(F11),F11,0)</f>
        <v>21</v>
      </c>
      <c r="V29">
        <f t="shared" si="0"/>
        <v>92</v>
      </c>
      <c r="W29">
        <f t="shared" si="0"/>
        <v>82</v>
      </c>
      <c r="X29">
        <f t="shared" ref="X29:Z32" si="1">IF(ISNUMBER(F11),F11,"")</f>
        <v>21</v>
      </c>
      <c r="Y29">
        <f t="shared" si="1"/>
        <v>92</v>
      </c>
      <c r="Z29">
        <f t="shared" si="1"/>
        <v>82</v>
      </c>
      <c r="AA29">
        <v>92</v>
      </c>
      <c r="AB29">
        <v>82</v>
      </c>
    </row>
    <row r="30" spans="2:28" ht="15.95" customHeight="1" x14ac:dyDescent="0.25">
      <c r="S30" t="str">
        <f>IF(D12="","",LEFT(D12,14))</f>
        <v>AXA SA</v>
      </c>
      <c r="T30">
        <f>IF(E12="","",IFERROR(VALUE(LEFT(E12,FIND("/",E12)-1)),0))</f>
        <v>64</v>
      </c>
      <c r="U30">
        <f t="shared" si="0"/>
        <v>71</v>
      </c>
      <c r="V30">
        <f t="shared" si="0"/>
        <v>28</v>
      </c>
      <c r="W30">
        <f t="shared" si="0"/>
        <v>92</v>
      </c>
      <c r="X30">
        <f t="shared" si="1"/>
        <v>71</v>
      </c>
      <c r="Y30">
        <f t="shared" si="1"/>
        <v>28</v>
      </c>
      <c r="Z30">
        <f t="shared" si="1"/>
        <v>92</v>
      </c>
      <c r="AA30">
        <v>28</v>
      </c>
      <c r="AB30">
        <v>92</v>
      </c>
    </row>
    <row r="31" spans="2:28" ht="15.95" customHeight="1" x14ac:dyDescent="0.25">
      <c r="S31" t="str">
        <f>IF(D13="","",LEFT(D13,14))</f>
        <v>BNP Paribas SA</v>
      </c>
      <c r="T31">
        <f>IF(E13="","",IFERROR(VALUE(LEFT(E13,FIND("/",E13)-1)),0))</f>
        <v>62</v>
      </c>
      <c r="U31">
        <f t="shared" si="0"/>
        <v>26</v>
      </c>
      <c r="V31">
        <f t="shared" si="0"/>
        <v>64</v>
      </c>
      <c r="W31">
        <f t="shared" si="0"/>
        <v>95</v>
      </c>
      <c r="X31">
        <f t="shared" si="1"/>
        <v>26</v>
      </c>
      <c r="Y31">
        <f t="shared" si="1"/>
        <v>64</v>
      </c>
      <c r="Z31">
        <f t="shared" si="1"/>
        <v>95</v>
      </c>
      <c r="AA31">
        <v>64</v>
      </c>
      <c r="AB31">
        <v>95</v>
      </c>
    </row>
    <row r="32" spans="2:28" x14ac:dyDescent="0.25">
      <c r="S32" t="str">
        <f>IF(D14="","",LEFT(D14,14))</f>
        <v>Société Généra</v>
      </c>
      <c r="T32">
        <f>IF(E14="","",IFERROR(VALUE(LEFT(E14,FIND("/",E14)-1)),0))</f>
        <v>29</v>
      </c>
      <c r="U32">
        <f t="shared" si="0"/>
        <v>16</v>
      </c>
      <c r="V32">
        <f t="shared" si="0"/>
        <v>46</v>
      </c>
      <c r="W32">
        <f t="shared" si="0"/>
        <v>26</v>
      </c>
      <c r="X32">
        <f t="shared" si="1"/>
        <v>16</v>
      </c>
      <c r="Y32">
        <f t="shared" si="1"/>
        <v>46</v>
      </c>
      <c r="Z32">
        <f t="shared" si="1"/>
        <v>26</v>
      </c>
      <c r="AA32">
        <v>46</v>
      </c>
      <c r="AB32">
        <v>26</v>
      </c>
    </row>
  </sheetData>
  <mergeCells count="3">
    <mergeCell ref="B8:Q8"/>
    <mergeCell ref="B1:Q1"/>
    <mergeCell ref="B2:Q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9"/>
  <sheetViews>
    <sheetView showGridLines="0" zoomScale="90" workbookViewId="0">
      <selection activeCell="J25" sqref="J25"/>
    </sheetView>
  </sheetViews>
  <sheetFormatPr baseColWidth="10" defaultColWidth="8.85546875" defaultRowHeight="15" x14ac:dyDescent="0.25"/>
  <cols>
    <col min="1" max="1" width="1.5703125" customWidth="1"/>
    <col min="2" max="2" width="5.28515625" customWidth="1"/>
    <col min="3" max="3" width="10.42578125" customWidth="1"/>
    <col min="4" max="4" width="21.85546875" customWidth="1"/>
    <col min="5" max="5" width="10.42578125" customWidth="1"/>
    <col min="6" max="8" width="5.28515625" customWidth="1"/>
    <col min="9" max="10" width="8" customWidth="1"/>
    <col min="11" max="11" width="7.28515625" customWidth="1"/>
    <col min="12" max="13" width="8" customWidth="1"/>
    <col min="14" max="14" width="6.42578125" customWidth="1"/>
    <col min="15" max="15" width="7.28515625" customWidth="1"/>
    <col min="16" max="17" width="6.42578125" customWidth="1"/>
  </cols>
  <sheetData>
    <row r="1" spans="1:17" ht="32.1" customHeight="1" thickBot="1" x14ac:dyDescent="0.3">
      <c r="A1" s="102" t="str" cm="1">
        <f t="array" ref="A1">"FinSight IA  ·  Industrials  ·  CAC 40  ·  "&amp;COUNTA(_xlfn._xlws.FILTER('DONNÉES BRUTES'!A$3:A$42,'DONNÉES BRUTES'!C$3:C$42="Industrials"))&amp;" sociétés  ·  22/03/2026"</f>
        <v>FinSight IA  ·  Industrials  ·  CAC 40  ·  11 sociétés  ·  22/03/2026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7" ht="3.95" customHeight="1" x14ac:dyDescent="0.25">
      <c r="A2" s="146" t="s">
        <v>252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1:17" ht="15.95" customHeight="1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</row>
    <row r="4" spans="1:17" ht="6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7" ht="18" customHeight="1" x14ac:dyDescent="0.25">
      <c r="A5" s="198"/>
      <c r="B5" s="195" cm="1">
        <f t="array" ref="B5">COUNTA(_xlfn._xlws.FILTER('DONNÉES BRUTES'!A$3:A$42,'DONNÉES BRUTES'!C$3:C$42="Industrials"))</f>
        <v>11</v>
      </c>
      <c r="C5" s="186"/>
      <c r="D5" s="186"/>
      <c r="E5" s="185" t="str">
        <f>ROUND(AVERAGEIF('DONNÉES BRUTES'!C$3:C$42,"Industrials",'DONNÉES BRUTES'!AB$3:AB$42),0)&amp;"/100"</f>
        <v>54/100</v>
      </c>
      <c r="F5" s="185"/>
      <c r="G5" s="185"/>
      <c r="H5" s="185" t="str">
        <f>IFERROR(_xlfn.XLOOKUP(_xlfn.MAXIFS('DONNÉES BRUTES'!AB$3:AB$42,'DONNÉES BRUTES'!C$3:C$42,"Industrials"),'DONNÉES BRUTES'!AB$3:AB$42,'DONNÉES BRUTES'!B$3:B$42),"—")</f>
        <v>Alstom SA</v>
      </c>
      <c r="I5" s="185"/>
      <c r="J5" s="185"/>
      <c r="L5" s="285" t="str">
        <f>IFERROR(VLOOKUP("Industrials",'SECTOR OVERVIEW'!B$8:G$19,6,0),"—")</f>
        <v>15.7%</v>
      </c>
      <c r="N5" s="286" cm="1">
        <f t="array" ref="N5">IFERROR(ROUND(MEDIAN(IF('DONNÉES BRUTES'!C$3:C$42="Industrials",IF(ISNUMBER('DONNÉES BRUTES'!Y$3:Y$42),'DONNÉES BRUTES'!Y$3:Y$42))),0),"—")</f>
        <v>68</v>
      </c>
      <c r="P5" s="287" t="str">
        <f>IF(COUNTIFS('DONNÉES BRUTES'!C$3:C$42,"Industrials",'DONNÉES BRUTES'!AD$3:AD$42,"Surpondérer")&gt;0,"Surpondérer",IF(COUNTIFS('DONNÉES BRUTES'!C$3:C$42,"Industrials",'DONNÉES BRUTES'!AD$3:AD$42,"Neutre")&gt;=COUNTIFS('DONNÉES BRUTES'!C$3:C$42,"Industrials",'DONNÉES BRUTES'!AD$3:AD$42,"Sous-pondérer"),"Neutre","Sous-pondérer"))</f>
        <v>Neutre</v>
      </c>
    </row>
    <row r="6" spans="1:17" ht="15.95" customHeight="1" x14ac:dyDescent="0.25">
      <c r="A6" s="202"/>
      <c r="B6" s="203" t="s">
        <v>593</v>
      </c>
      <c r="C6" s="204"/>
      <c r="D6" s="204"/>
      <c r="E6" s="201" t="s">
        <v>594</v>
      </c>
      <c r="F6" s="201"/>
      <c r="G6" s="201"/>
      <c r="H6" s="201" t="s">
        <v>253</v>
      </c>
      <c r="I6" s="201"/>
      <c r="J6" s="201"/>
      <c r="L6" s="288" t="s">
        <v>583</v>
      </c>
      <c r="N6" s="288" t="s">
        <v>607</v>
      </c>
      <c r="P6" s="289" t="s">
        <v>50</v>
      </c>
    </row>
    <row r="7" spans="1:17" ht="15.95" customHeight="1" x14ac:dyDescent="0.25">
      <c r="A7" s="200"/>
      <c r="B7" s="197"/>
      <c r="C7" s="192"/>
      <c r="D7" s="192"/>
      <c r="E7" s="193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4"/>
    </row>
    <row r="8" spans="1:17" ht="15.95" customHeight="1" x14ac:dyDescent="0.25">
      <c r="A8" s="199"/>
      <c r="B8" s="196" t="str" cm="1">
        <f t="array" ref="B8">"ANALYSE DÉTAILLÉE  ·  "&amp;UPPER("Industrials")&amp;"  ·  "&amp;COUNTA(_xlfn._xlws.FILTER('DONNÉES BRUTES'!A$3:A$42,'DONNÉES BRUTES'!C$3:C$42="Industrials"))&amp;" sociétés  ·  Triée par Score Global"</f>
        <v>ANALYSE DÉTAILLÉE  ·  INDUSTRIALS  ·  11 sociétés  ·  Triée par Score Global</v>
      </c>
      <c r="C8" s="188"/>
      <c r="D8" s="188"/>
      <c r="E8" s="189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90"/>
    </row>
    <row r="9" spans="1:17" ht="15.95" customHeight="1" x14ac:dyDescent="0.25">
      <c r="A9" s="200"/>
      <c r="B9" s="197"/>
      <c r="C9" s="192"/>
      <c r="D9" s="192"/>
      <c r="E9" s="193"/>
      <c r="F9" s="191"/>
      <c r="G9" s="191"/>
      <c r="H9" s="191"/>
      <c r="I9" s="191"/>
      <c r="J9" s="191"/>
      <c r="K9" s="191"/>
      <c r="L9" s="191"/>
      <c r="M9" s="191"/>
      <c r="N9" s="191"/>
      <c r="O9" s="206"/>
      <c r="P9" s="205"/>
    </row>
    <row r="10" spans="1:17" ht="15.95" customHeight="1" x14ac:dyDescent="0.25">
      <c r="A10" s="199"/>
      <c r="B10" s="196" t="s">
        <v>41</v>
      </c>
      <c r="C10" s="188" t="s">
        <v>3</v>
      </c>
      <c r="D10" s="188" t="s">
        <v>4</v>
      </c>
      <c r="E10" s="189" t="s">
        <v>5</v>
      </c>
      <c r="F10" s="187" t="s">
        <v>609</v>
      </c>
      <c r="G10" s="187" t="s">
        <v>610</v>
      </c>
      <c r="H10" s="187" t="s">
        <v>595</v>
      </c>
      <c r="I10" s="187" t="s">
        <v>575</v>
      </c>
      <c r="J10" s="187" t="s">
        <v>573</v>
      </c>
      <c r="K10" s="187" t="s">
        <v>574</v>
      </c>
      <c r="L10" s="187" t="s">
        <v>596</v>
      </c>
      <c r="M10" s="187" t="s">
        <v>95</v>
      </c>
      <c r="N10" s="187" t="s">
        <v>608</v>
      </c>
      <c r="O10" s="208" t="s">
        <v>405</v>
      </c>
      <c r="P10" s="218" t="s">
        <v>89</v>
      </c>
      <c r="Q10" s="233" t="s">
        <v>50</v>
      </c>
    </row>
    <row r="11" spans="1:17" ht="15.95" customHeight="1" x14ac:dyDescent="0.25">
      <c r="A11" s="200"/>
      <c r="B11" s="197">
        <f>IF(1&gt;COUNTIF('DONNÉES BRUTES'!C$3:C$42,"Industrials"),"",1)</f>
        <v>1</v>
      </c>
      <c r="C11" s="192" t="str" cm="1">
        <f t="array" ref="C11">IFERROR(IF(1&gt;COUNTIF('DONNÉES BRUTES'!C$3:C$42,"Industrials"),"",INDEX('DONNÉES BRUTES'!A$3:A$42,MATCH(LARGE(IF('DONNÉES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ALO.PA</v>
      </c>
      <c r="D11" s="192" t="str" cm="1">
        <f t="array" ref="D11">IFERROR(IF(1&gt;COUNTIF('DONNÉES BRUTES'!C$3:C$42,"Industrials"),"",INDEX('DONNÉES BRUTES'!B$3:B$42,MATCH(LARGE(IF('DONNÉES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Alstom SA</v>
      </c>
      <c r="E11" s="193" t="str" cm="1">
        <f t="array" ref="E11">IFERROR(IF(1&gt;COUNTIF('DONNÉES BRUTES'!C$3:C$42,"Industrials"),"",INT(LARGE(IF('DONNÉES BRUTES'!C$3:C$42="Industrials",'DONNÉES BRUTES'!AB$3:AB$42+(ROW('DONNÉES BRUTES'!A$3:A$42)-ROW('DONNÉES BRUTES'!A$3))/1000,0),1))&amp;"/100"),"—")</f>
        <v>70/100</v>
      </c>
      <c r="F11" s="191" cm="1">
        <f t="array" ref="F11">IFERROR(IF(1&gt;COUNTIF('DONNÉES BRUTES'!C$3:C$42,"Industrials"),"",INDEX('DONNÉES BRUTES'!Y$3:Y$42,MATCH(LARGE(IF('DONNÉES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95</v>
      </c>
      <c r="G11" s="191" cm="1">
        <f t="array" ref="G11">IFERROR(IF(1&gt;COUNTIF('DONNÉES BRUTES'!C$3:C$42,"Industrials"),"",INDEX('DONNÉES BRUTES'!Z$3:Z$42,MATCH(LARGE(IF('DONNÉES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15</v>
      </c>
      <c r="H11" s="191" cm="1">
        <f t="array" ref="H11">IFERROR(IF(1&gt;COUNTIF('DONNÉES BRUTES'!C$3:C$42,"Industrials"),"",INDEX('DONNÉES BRUTES'!AA$3:AA$42,MATCH(LARGE(IF('DONNÉES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100</v>
      </c>
      <c r="I11" s="191" t="str" cm="1">
        <f t="array" ref="I11">IFERROR(IF(1&gt;COUNTIF('DONNÉES BRUTES'!C$3:C$42,"Industrials"),"",INDEX('DONNÉES BRUTES'!M$3:M$42,MATCH(LARGE(IF('DONNÉES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12.5%</v>
      </c>
      <c r="J11" s="191" t="str" cm="1">
        <f t="array" ref="J11">IFERROR(IF(1&gt;COUNTIF('DONNÉES BRUTES'!C$3:C$42,"Industrials"),"",INDEX('DONNÉES BRUTES'!N$3:N$42,MATCH(LARGE(IF('DONNÉES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6.8%</v>
      </c>
      <c r="K11" s="191" t="str" cm="1">
        <f t="array" ref="K11">IFERROR(IF(1&gt;COUNTIF('DONNÉES BRUTES'!C$3:C$42,"Industrials"),"",INDEX('DONNÉES BRUTES'!O$3:O$42,MATCH(LARGE(IF('DONNÉES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0.8%</v>
      </c>
      <c r="L11" s="191" t="str" cm="1">
        <f t="array" ref="L11">IFERROR(IF(1&gt;COUNTIF('DONNÉES BRUTES'!C$3:C$42,"Industrials"),"",INDEX('DONNÉES BRUTES'!P$3:P$42,MATCH(LARGE(IF('DONNÉES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+4.9%</v>
      </c>
      <c r="M11" s="191" t="str" cm="1">
        <f t="array" ref="M11">IFERROR(IF(1&gt;COUNTIF('DONNÉES BRUTES'!C$3:C$42,"Industrials"),"",INDEX('DONNÉES BRUTES'!Q$3:Q$42,MATCH(LARGE(IF('DONNÉES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+1.4%</v>
      </c>
      <c r="N11" s="191" t="str" cm="1">
        <f t="array" ref="N11">IFERROR(IF(1&gt;COUNTIF('DONNÉES BRUTES'!C$3:C$42,"Industrials"),"",INDEX('DONNÉES BRUTES'!S$3:S$42,MATCH(LARGE(IF('DONNÉES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0.97</v>
      </c>
      <c r="O11" s="206" t="str" cm="1">
        <f t="array" ref="O11">IFERROR(IF(1&gt;COUNTIF('DONNÉES BRUTES'!C$3:C$42,"Industrials"),"",INDEX('DONNÉES BRUTES'!T$3:T$42,MATCH(LARGE(IF('DONNÉES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0.4x</v>
      </c>
      <c r="P11" s="205" t="str" cm="1">
        <f t="array" ref="P11">IFERROR(IF(1&gt;COUNTIF('DONNÉES BRUTES'!C$3:C$42,"Industrials"),"",INDEX('DONNÉES BRUTES'!U$3:U$42,MATCH(LARGE(IF('DONNÉES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0.49</v>
      </c>
      <c r="Q11" t="str" cm="1">
        <f t="array" ref="Q11">IFERROR(IF(1&gt;COUNTIF('DONNÉES BRUTES'!C$3:C$42,"Industrials"),"",INDEX('DONNÉES BRUTES'!AD$3:AD$42,MATCH(LARGE(IF('DONNÉES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>Neutre</v>
      </c>
    </row>
    <row r="12" spans="1:17" ht="15.95" customHeight="1" x14ac:dyDescent="0.25">
      <c r="A12" s="199"/>
      <c r="B12" s="196">
        <f>IF(2&gt;COUNTIF('DONNÉES BRUTES'!C$3:C$42,"Industrials"),"",2)</f>
        <v>2</v>
      </c>
      <c r="C12" s="188" t="str" cm="1">
        <f t="array" ref="C12">IFERROR(IF(2&gt;COUNTIF('DONNÉES BRUTES'!C$3:C$42,"Industrials"),"",INDEX('DONNÉES BRUTES'!A$3:A$42,MATCH(LARGE(IF('DONNÉES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SAF.PA</v>
      </c>
      <c r="D12" s="188" t="str" cm="1">
        <f t="array" ref="D12">IFERROR(IF(2&gt;COUNTIF('DONNÉES BRUTES'!C$3:C$42,"Industrials"),"",INDEX('DONNÉES BRUTES'!B$3:B$42,MATCH(LARGE(IF('DONNÉES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Safran SA</v>
      </c>
      <c r="E12" s="189" t="str" cm="1">
        <f t="array" ref="E12">IFERROR(IF(2&gt;COUNTIF('DONNÉES BRUTES'!C$3:C$42,"Industrials"),"",INT(LARGE(IF('DONNÉES BRUTES'!C$3:C$42="Industrials",'DONNÉES BRUTES'!AB$3:AB$42+(ROW('DONNÉES BRUTES'!A$3:A$42)-ROW('DONNÉES BRUTES'!A$3))/1000,0),2))&amp;"/100"),"—")</f>
        <v>68/100</v>
      </c>
      <c r="F12" s="187" cm="1">
        <f t="array" ref="F12">IFERROR(IF(2&gt;COUNTIF('DONNÉES BRUTES'!C$3:C$42,"Industrials"),"",INDEX('DONNÉES BRUTES'!Y$3:Y$42,MATCH(LARGE(IF('DONNÉES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100</v>
      </c>
      <c r="G12" s="187" cm="1">
        <f t="array" ref="G12">IFERROR(IF(2&gt;COUNTIF('DONNÉES BRUTES'!C$3:C$42,"Industrials"),"",INDEX('DONNÉES BRUTES'!Z$3:Z$42,MATCH(LARGE(IF('DONNÉES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67</v>
      </c>
      <c r="H12" s="187" cm="1">
        <f t="array" ref="H12">IFERROR(IF(2&gt;COUNTIF('DONNÉES BRUTES'!C$3:C$42,"Industrials"),"",INDEX('DONNÉES BRUTES'!AA$3:AA$42,MATCH(LARGE(IF('DONNÉES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38</v>
      </c>
      <c r="I12" s="187" t="str" cm="1">
        <f t="array" ref="I12">IFERROR(IF(2&gt;COUNTIF('DONNÉES BRUTES'!C$3:C$42,"Industrials"),"",INDEX('DONNÉES BRUTES'!M$3:M$42,MATCH(LARGE(IF('DONNÉES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46.9%</v>
      </c>
      <c r="J12" s="187" t="str" cm="1">
        <f t="array" ref="J12">IFERROR(IF(2&gt;COUNTIF('DONNÉES BRUTES'!C$3:C$42,"Industrials"),"",INDEX('DONNÉES BRUTES'!N$3:N$42,MATCH(LARGE(IF('DONNÉES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39.2%</v>
      </c>
      <c r="K12" s="187" t="str" cm="1">
        <f t="array" ref="K12">IFERROR(IF(2&gt;COUNTIF('DONNÉES BRUTES'!C$3:C$42,"Industrials"),"",INDEX('DONNÉES BRUTES'!O$3:O$42,MATCH(LARGE(IF('DONNÉES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23.0%</v>
      </c>
      <c r="L12" s="187" t="str" cm="1">
        <f t="array" ref="L12">IFERROR(IF(2&gt;COUNTIF('DONNÉES BRUTES'!C$3:C$42,"Industrials"),"",INDEX('DONNÉES BRUTES'!P$3:P$42,MATCH(LARGE(IF('DONNÉES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+12.5%</v>
      </c>
      <c r="M12" s="187" t="str" cm="1">
        <f t="array" ref="M12">IFERROR(IF(2&gt;COUNTIF('DONNÉES BRUTES'!C$3:C$42,"Industrials"),"",INDEX('DONNÉES BRUTES'!Q$3:Q$42,MATCH(LARGE(IF('DONNÉES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+48.4%</v>
      </c>
      <c r="N12" s="187" t="str" cm="1">
        <f t="array" ref="N12">IFERROR(IF(2&gt;COUNTIF('DONNÉES BRUTES'!C$3:C$42,"Industrials"),"",INDEX('DONNÉES BRUTES'!S$3:S$42,MATCH(LARGE(IF('DONNÉES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0.93</v>
      </c>
      <c r="O12" s="208" t="str" cm="1">
        <f t="array" ref="O12">IFERROR(IF(2&gt;COUNTIF('DONNÉES BRUTES'!C$3:C$42,"Industrials"),"",INDEX('DONNÉES BRUTES'!T$3:T$42,MATCH(LARGE(IF('DONNÉES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-0.2x</v>
      </c>
      <c r="P12" s="218" t="str" cm="1">
        <f t="array" ref="P12">IFERROR(IF(2&gt;COUNTIF('DONNÉES BRUTES'!C$3:C$42,"Industrials"),"",INDEX('DONNÉES BRUTES'!U$3:U$42,MATCH(LARGE(IF('DONNÉES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1.54</v>
      </c>
      <c r="Q12" t="str" cm="1">
        <f t="array" ref="Q12">IFERROR(IF(2&gt;COUNTIF('DONNÉES BRUTES'!C$3:C$42,"Industrials"),"",INDEX('DONNÉES BRUTES'!AD$3:AD$42,MATCH(LARGE(IF('DONNÉES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>Neutre</v>
      </c>
    </row>
    <row r="13" spans="1:17" ht="15.95" customHeight="1" x14ac:dyDescent="0.25">
      <c r="A13" s="200"/>
      <c r="B13" s="197">
        <f>IF(3&gt;COUNTIF('DONNÉES BRUTES'!C$3:C$42,"Industrials"),"",3)</f>
        <v>3</v>
      </c>
      <c r="C13" s="192" t="str" cm="1">
        <f t="array" ref="C13">IFERROR(IF(3&gt;COUNTIF('DONNÉES BRUTES'!C$3:C$42,"Industrials"),"",INDEX('DONNÉES BRUTES'!A$3:A$42,MATCH(LARGE(IF('DONNÉES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AIR.PA</v>
      </c>
      <c r="D13" s="192" t="str" cm="1">
        <f t="array" ref="D13">IFERROR(IF(3&gt;COUNTIF('DONNÉES BRUTES'!C$3:C$42,"Industrials"),"",INDEX('DONNÉES BRUTES'!B$3:B$42,MATCH(LARGE(IF('DONNÉES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Airbus SE</v>
      </c>
      <c r="E13" s="193" t="str" cm="1">
        <f t="array" ref="E13">IFERROR(IF(3&gt;COUNTIF('DONNÉES BRUTES'!C$3:C$42,"Industrials"),"",INT(LARGE(IF('DONNÉES BRUTES'!C$3:C$42="Industrials",'DONNÉES BRUTES'!AB$3:AB$42+(ROW('DONNÉES BRUTES'!A$3:A$42)-ROW('DONNÉES BRUTES'!A$3))/1000,0),3))&amp;"/100"),"—")</f>
        <v>68/100</v>
      </c>
      <c r="F13" s="191" cm="1">
        <f t="array" ref="F13">IFERROR(IF(3&gt;COUNTIF('DONNÉES BRUTES'!C$3:C$42,"Industrials"),"",INDEX('DONNÉES BRUTES'!Y$3:Y$42,MATCH(LARGE(IF('DONNÉES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84</v>
      </c>
      <c r="G13" s="191" cm="1">
        <f t="array" ref="G13">IFERROR(IF(3&gt;COUNTIF('DONNÉES BRUTES'!C$3:C$42,"Industrials"),"",INDEX('DONNÉES BRUTES'!Z$3:Z$42,MATCH(LARGE(IF('DONNÉES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23</v>
      </c>
      <c r="H13" s="191" cm="1">
        <f t="array" ref="H13">IFERROR(IF(3&gt;COUNTIF('DONNÉES BRUTES'!C$3:C$42,"Industrials"),"",INDEX('DONNÉES BRUTES'!AA$3:AA$42,MATCH(LARGE(IF('DONNÉES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97</v>
      </c>
      <c r="I13" s="191" t="str" cm="1">
        <f t="array" ref="I13">IFERROR(IF(3&gt;COUNTIF('DONNÉES BRUTES'!C$3:C$42,"Industrials"),"",INDEX('DONNÉES BRUTES'!M$3:M$42,MATCH(LARGE(IF('DONNÉES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14.9%</v>
      </c>
      <c r="J13" s="191" t="str" cm="1">
        <f t="array" ref="J13">IFERROR(IF(3&gt;COUNTIF('DONNÉES BRUTES'!C$3:C$42,"Industrials"),"",INDEX('DONNÉES BRUTES'!N$3:N$42,MATCH(LARGE(IF('DONNÉES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14.0%</v>
      </c>
      <c r="K13" s="191" t="str" cm="1">
        <f t="array" ref="K13">IFERROR(IF(3&gt;COUNTIF('DONNÉES BRUTES'!C$3:C$42,"Industrials"),"",INDEX('DONNÉES BRUTES'!O$3:O$42,MATCH(LARGE(IF('DONNÉES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7.1%</v>
      </c>
      <c r="L13" s="191" t="str" cm="1">
        <f t="array" ref="L13">IFERROR(IF(3&gt;COUNTIF('DONNÉES BRUTES'!C$3:C$42,"Industrials"),"",INDEX('DONNÉES BRUTES'!P$3:P$42,MATCH(LARGE(IF('DONNÉES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+6.1%</v>
      </c>
      <c r="M13" s="191" t="str" cm="1">
        <f t="array" ref="M13">IFERROR(IF(3&gt;COUNTIF('DONNÉES BRUTES'!C$3:C$42,"Industrials"),"",INDEX('DONNÉES BRUTES'!Q$3:Q$42,MATCH(LARGE(IF('DONNÉES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+20.0%</v>
      </c>
      <c r="N13" s="191" t="str" cm="1">
        <f t="array" ref="N13">IFERROR(IF(3&gt;COUNTIF('DONNÉES BRUTES'!C$3:C$42,"Industrials"),"",INDEX('DONNÉES BRUTES'!S$3:S$42,MATCH(LARGE(IF('DONNÉES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1.16</v>
      </c>
      <c r="O13" s="206" t="str" cm="1">
        <f t="array" ref="O13">IFERROR(IF(3&gt;COUNTIF('DONNÉES BRUTES'!C$3:C$42,"Industrials"),"",INDEX('DONNÉES BRUTES'!T$3:T$42,MATCH(LARGE(IF('DONNÉES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-0.5x</v>
      </c>
      <c r="P13" s="205" t="str" cm="1">
        <f t="array" ref="P13">IFERROR(IF(3&gt;COUNTIF('DONNÉES BRUTES'!C$3:C$42,"Industrials"),"",INDEX('DONNÉES BRUTES'!U$3:U$42,MATCH(LARGE(IF('DONNÉES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1.64</v>
      </c>
      <c r="Q13" t="str" cm="1">
        <f t="array" ref="Q13">IFERROR(IF(3&gt;COUNTIF('DONNÉES BRUTES'!C$3:C$42,"Industrials"),"",INDEX('DONNÉES BRUTES'!AD$3:AD$42,MATCH(LARGE(IF('DONNÉES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>Neutre</v>
      </c>
    </row>
    <row r="14" spans="1:17" ht="15.95" customHeight="1" x14ac:dyDescent="0.25">
      <c r="A14" s="199"/>
      <c r="B14" s="196">
        <f>IF(4&gt;COUNTIF('DONNÉES BRUTES'!C$3:C$42,"Industrials"),"",4)</f>
        <v>4</v>
      </c>
      <c r="C14" s="188" t="str" cm="1">
        <f t="array" ref="C14">IFERROR(IF(4&gt;COUNTIF('DONNÉES BRUTES'!C$3:C$42,"Industrials"),"",INDEX('DONNÉES BRUTES'!A$3:A$42,MATCH(LARGE(IF('DONNÉES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LR.PA</v>
      </c>
      <c r="D14" s="188" t="str" cm="1">
        <f t="array" ref="D14">IFERROR(IF(4&gt;COUNTIF('DONNÉES BRUTES'!C$3:C$42,"Industrials"),"",INDEX('DONNÉES BRUTES'!B$3:B$42,MATCH(LARGE(IF('DONNÉES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Legrand SA</v>
      </c>
      <c r="E14" s="189" t="str" cm="1">
        <f t="array" ref="E14">IFERROR(IF(4&gt;COUNTIF('DONNÉES BRUTES'!C$3:C$42,"Industrials"),"",INT(LARGE(IF('DONNÉES BRUTES'!C$3:C$42="Industrials",'DONNÉES BRUTES'!AB$3:AB$42+(ROW('DONNÉES BRUTES'!A$3:A$42)-ROW('DONNÉES BRUTES'!A$3))/1000,0),4))&amp;"/100"),"—")</f>
        <v>64/100</v>
      </c>
      <c r="F14" s="187" cm="1">
        <f t="array" ref="F14">IFERROR(IF(4&gt;COUNTIF('DONNÉES BRUTES'!C$3:C$42,"Industrials"),"",INDEX('DONNÉES BRUTES'!Y$3:Y$42,MATCH(LARGE(IF('DONNÉES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82</v>
      </c>
      <c r="G14" s="187" cm="1">
        <f t="array" ref="G14">IFERROR(IF(4&gt;COUNTIF('DONNÉES BRUTES'!C$3:C$42,"Industrials"),"",INDEX('DONNÉES BRUTES'!Z$3:Z$42,MATCH(LARGE(IF('DONNÉES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56</v>
      </c>
      <c r="H14" s="187" cm="1">
        <f t="array" ref="H14">IFERROR(IF(4&gt;COUNTIF('DONNÉES BRUTES'!C$3:C$42,"Industrials"),"",INDEX('DONNÉES BRUTES'!AA$3:AA$42,MATCH(LARGE(IF('DONNÉES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54</v>
      </c>
      <c r="I14" s="187" t="str" cm="1">
        <f t="array" ref="I14">IFERROR(IF(4&gt;COUNTIF('DONNÉES BRUTES'!C$3:C$42,"Industrials"),"",INDEX('DONNÉES BRUTES'!M$3:M$42,MATCH(LARGE(IF('DONNÉES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50.8%</v>
      </c>
      <c r="J14" s="187" t="str" cm="1">
        <f t="array" ref="J14">IFERROR(IF(4&gt;COUNTIF('DONNÉES BRUTES'!C$3:C$42,"Industrials"),"",INDEX('DONNÉES BRUTES'!N$3:N$42,MATCH(LARGE(IF('DONNÉES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23.9%</v>
      </c>
      <c r="K14" s="187" t="str" cm="1">
        <f t="array" ref="K14">IFERROR(IF(4&gt;COUNTIF('DONNÉES BRUTES'!C$3:C$42,"Industrials"),"",INDEX('DONNÉES BRUTES'!O$3:O$42,MATCH(LARGE(IF('DONNÉES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13.1%</v>
      </c>
      <c r="L14" s="187" t="str" cm="1">
        <f t="array" ref="L14">IFERROR(IF(4&gt;COUNTIF('DONNÉES BRUTES'!C$3:C$42,"Industrials"),"",INDEX('DONNÉES BRUTES'!P$3:P$42,MATCH(LARGE(IF('DONNÉES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+9.6%</v>
      </c>
      <c r="M14" s="187" t="str" cm="1">
        <f t="array" ref="M14">IFERROR(IF(4&gt;COUNTIF('DONNÉES BRUTES'!C$3:C$42,"Industrials"),"",INDEX('DONNÉES BRUTES'!Q$3:Q$42,MATCH(LARGE(IF('DONNÉES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+17.1%</v>
      </c>
      <c r="N14" s="187" t="str" cm="1">
        <f t="array" ref="N14">IFERROR(IF(4&gt;COUNTIF('DONNÉES BRUTES'!C$3:C$42,"Industrials"),"",INDEX('DONNÉES BRUTES'!S$3:S$42,MATCH(LARGE(IF('DONNÉES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1.93</v>
      </c>
      <c r="O14" s="208" t="str" cm="1">
        <f t="array" ref="O14">IFERROR(IF(4&gt;COUNTIF('DONNÉES BRUTES'!C$3:C$42,"Industrials"),"",INDEX('DONNÉES BRUTES'!T$3:T$42,MATCH(LARGE(IF('DONNÉES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1.7x</v>
      </c>
      <c r="P14" s="218" t="str" cm="1">
        <f t="array" ref="P14">IFERROR(IF(4&gt;COUNTIF('DONNÉES BRUTES'!C$3:C$42,"Industrials"),"",INDEX('DONNÉES BRUTES'!U$3:U$42,MATCH(LARGE(IF('DONNÉES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3.78</v>
      </c>
      <c r="Q14" t="str" cm="1">
        <f t="array" ref="Q14">IFERROR(IF(4&gt;COUNTIF('DONNÉES BRUTES'!C$3:C$42,"Industrials"),"",INDEX('DONNÉES BRUTES'!AD$3:AD$42,MATCH(LARGE(IF('DONNÉES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>Neutre</v>
      </c>
    </row>
    <row r="15" spans="1:17" ht="15.95" customHeight="1" x14ac:dyDescent="0.25">
      <c r="A15" s="200"/>
      <c r="B15" s="197">
        <f>IF(5&gt;COUNTIF('DONNÉES BRUTES'!C$3:C$42,"Industrials"),"",5)</f>
        <v>5</v>
      </c>
      <c r="C15" s="192" t="str" cm="1">
        <f t="array" ref="C15">IFERROR(IF(5&gt;COUNTIF('DONNÉES BRUTES'!C$3:C$42,"Industrials"),"",INDEX('DONNÉES BRUTES'!A$3:A$42,MATCH(LARGE(IF('DONNÉES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SU.PA</v>
      </c>
      <c r="D15" s="192" t="str" cm="1">
        <f t="array" ref="D15">IFERROR(IF(5&gt;COUNTIF('DONNÉES BRUTES'!C$3:C$42,"Industrials"),"",INDEX('DONNÉES BRUTES'!B$3:B$42,MATCH(LARGE(IF('DONNÉES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Schneider Electric S.E.</v>
      </c>
      <c r="E15" s="193" t="str" cm="1">
        <f t="array" ref="E15">IFERROR(IF(5&gt;COUNTIF('DONNÉES BRUTES'!C$3:C$42,"Industrials"),"",INT(LARGE(IF('DONNÉES BRUTES'!C$3:C$42="Industrials",'DONNÉES BRUTES'!AB$3:AB$42+(ROW('DONNÉES BRUTES'!A$3:A$42)-ROW('DONNÉES BRUTES'!A$3))/1000,0),5))&amp;"/100"),"—")</f>
        <v>57/100</v>
      </c>
      <c r="F15" s="191" cm="1">
        <f t="array" ref="F15">IFERROR(IF(5&gt;COUNTIF('DONNÉES BRUTES'!C$3:C$42,"Industrials"),"",INDEX('DONNÉES BRUTES'!Y$3:Y$42,MATCH(LARGE(IF('DONNÉES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66</v>
      </c>
      <c r="G15" s="191" cm="1">
        <f t="array" ref="G15">IFERROR(IF(5&gt;COUNTIF('DONNÉES BRUTES'!C$3:C$42,"Industrials"),"",INDEX('DONNÉES BRUTES'!Z$3:Z$42,MATCH(LARGE(IF('DONNÉES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69</v>
      </c>
      <c r="H15" s="191" cm="1">
        <f t="array" ref="H15">IFERROR(IF(5&gt;COUNTIF('DONNÉES BRUTES'!C$3:C$42,"Industrials"),"",INDEX('DONNÉES BRUTES'!AA$3:AA$42,MATCH(LARGE(IF('DONNÉES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36</v>
      </c>
      <c r="I15" s="191" t="str" cm="1">
        <f t="array" ref="I15">IFERROR(IF(5&gt;COUNTIF('DONNÉES BRUTES'!C$3:C$42,"Industrials"),"",INDEX('DONNÉES BRUTES'!M$3:M$42,MATCH(LARGE(IF('DONNÉES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42.1%</v>
      </c>
      <c r="J15" s="191" t="str" cm="1">
        <f t="array" ref="J15">IFERROR(IF(5&gt;COUNTIF('DONNÉES BRUTES'!C$3:C$42,"Industrials"),"",INDEX('DONNÉES BRUTES'!N$3:N$42,MATCH(LARGE(IF('DONNÉES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20.9%</v>
      </c>
      <c r="K15" s="191" t="str" cm="1">
        <f t="array" ref="K15">IFERROR(IF(5&gt;COUNTIF('DONNÉES BRUTES'!C$3:C$42,"Industrials"),"",INDEX('DONNÉES BRUTES'!O$3:O$42,MATCH(LARGE(IF('DONNÉES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10.4%</v>
      </c>
      <c r="L15" s="191" t="str" cm="1">
        <f t="array" ref="L15">IFERROR(IF(5&gt;COUNTIF('DONNÉES BRUTES'!C$3:C$42,"Industrials"),"",INDEX('DONNÉES BRUTES'!P$3:P$42,MATCH(LARGE(IF('DONNÉES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+5.2%</v>
      </c>
      <c r="M15" s="191" t="str" cm="1">
        <f t="array" ref="M15">IFERROR(IF(5&gt;COUNTIF('DONNÉES BRUTES'!C$3:C$42,"Industrials"),"",INDEX('DONNÉES BRUTES'!Q$3:Q$42,MATCH(LARGE(IF('DONNÉES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+17.2%</v>
      </c>
      <c r="N15" s="191" t="str" cm="1">
        <f t="array" ref="N15">IFERROR(IF(5&gt;COUNTIF('DONNÉES BRUTES'!C$3:C$42,"Industrials"),"",INDEX('DONNÉES BRUTES'!S$3:S$42,MATCH(LARGE(IF('DONNÉES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1.19</v>
      </c>
      <c r="O15" s="206" t="str" cm="1">
        <f t="array" ref="O15">IFERROR(IF(5&gt;COUNTIF('DONNÉES BRUTES'!C$3:C$42,"Industrials"),"",INDEX('DONNÉES BRUTES'!T$3:T$42,MATCH(LARGE(IF('DONNÉES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1.6x</v>
      </c>
      <c r="P15" s="209" t="str" cm="1">
        <f t="array" ref="P15">IFERROR(IF(5&gt;COUNTIF('DONNÉES BRUTES'!C$3:C$42,"Industrials"),"",INDEX('DONNÉES BRUTES'!U$3:U$42,MATCH(LARGE(IF('DONNÉES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—</v>
      </c>
      <c r="Q15" t="str" cm="1">
        <f t="array" ref="Q15">IFERROR(IF(5&gt;COUNTIF('DONNÉES BRUTES'!C$3:C$42,"Industrials"),"",INDEX('DONNÉES BRUTES'!AD$3:AD$42,MATCH(LARGE(IF('DONNÉES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>Neutre</v>
      </c>
    </row>
    <row r="16" spans="1:17" ht="15.95" customHeight="1" x14ac:dyDescent="0.25">
      <c r="A16" s="199"/>
      <c r="B16" s="196">
        <f>IF(6&gt;COUNTIF('DONNÉES BRUTES'!C$3:C$42,"Industrials"),"",6)</f>
        <v>6</v>
      </c>
      <c r="C16" s="188" t="str" cm="1">
        <f t="array" ref="C16">IFERROR(IF(6&gt;COUNTIF('DONNÉES BRUTES'!C$3:C$42,"Industrials"),"",INDEX('DONNÉES BRUTES'!A$3:A$42,MATCH(LARGE(IF('DONNÉES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EN.PA</v>
      </c>
      <c r="D16" s="188" t="str" cm="1">
        <f t="array" ref="D16">IFERROR(IF(6&gt;COUNTIF('DONNÉES BRUTES'!C$3:C$42,"Industrials"),"",INDEX('DONNÉES BRUTES'!B$3:B$42,MATCH(LARGE(IF('DONNÉES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Bouygues SA</v>
      </c>
      <c r="E16" s="189" t="str" cm="1">
        <f t="array" ref="E16">IFERROR(IF(6&gt;COUNTIF('DONNÉES BRUTES'!C$3:C$42,"Industrials"),"",INT(LARGE(IF('DONNÉES BRUTES'!C$3:C$42="Industrials",'DONNÉES BRUTES'!AB$3:AB$42+(ROW('DONNÉES BRUTES'!A$3:A$42)-ROW('DONNÉES BRUTES'!A$3))/1000,0),6))&amp;"/100"),"—")</f>
        <v>57/100</v>
      </c>
      <c r="F16" s="187" cm="1">
        <f t="array" ref="F16">IFERROR(IF(6&gt;COUNTIF('DONNÉES BRUTES'!C$3:C$42,"Industrials"),"",INDEX('DONNÉES BRUTES'!Y$3:Y$42,MATCH(LARGE(IF('DONNÉES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39</v>
      </c>
      <c r="G16" s="187" cm="1">
        <f t="array" ref="G16">IFERROR(IF(6&gt;COUNTIF('DONNÉES BRUTES'!C$3:C$42,"Industrials"),"",INDEX('DONNÉES BRUTES'!Z$3:Z$42,MATCH(LARGE(IF('DONNÉES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54</v>
      </c>
      <c r="H16" s="187" cm="1">
        <f t="array" ref="H16">IFERROR(IF(6&gt;COUNTIF('DONNÉES BRUTES'!C$3:C$42,"Industrials"),"",INDEX('DONNÉES BRUTES'!AA$3:AA$42,MATCH(LARGE(IF('DONNÉES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79</v>
      </c>
      <c r="I16" s="187" t="str" cm="1">
        <f t="array" ref="I16">IFERROR(IF(6&gt;COUNTIF('DONNÉES BRUTES'!C$3:C$42,"Industrials"),"",INDEX('DONNÉES BRUTES'!M$3:M$42,MATCH(LARGE(IF('DONNÉES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55.7%</v>
      </c>
      <c r="J16" s="187" t="str" cm="1">
        <f t="array" ref="J16">IFERROR(IF(6&gt;COUNTIF('DONNÉES BRUTES'!C$3:C$42,"Industrials"),"",INDEX('DONNÉES BRUTES'!N$3:N$42,MATCH(LARGE(IF('DONNÉES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12.8%</v>
      </c>
      <c r="K16" s="187" t="str" cm="1">
        <f t="array" ref="K16">IFERROR(IF(6&gt;COUNTIF('DONNÉES BRUTES'!C$3:C$42,"Industrials"),"",INDEX('DONNÉES BRUTES'!O$3:O$42,MATCH(LARGE(IF('DONNÉES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2.0%</v>
      </c>
      <c r="L16" s="187" t="str" cm="1">
        <f t="array" ref="L16">IFERROR(IF(6&gt;COUNTIF('DONNÉES BRUTES'!C$3:C$42,"Industrials"),"",INDEX('DONNÉES BRUTES'!P$3:P$42,MATCH(LARGE(IF('DONNÉES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+0.2%</v>
      </c>
      <c r="M16" s="187" t="str" cm="1">
        <f t="array" ref="M16">IFERROR(IF(6&gt;COUNTIF('DONNÉES BRUTES'!C$3:C$42,"Industrials"),"",INDEX('DONNÉES BRUTES'!Q$3:Q$42,MATCH(LARGE(IF('DONNÉES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+8.7%</v>
      </c>
      <c r="N16" s="187" t="str" cm="1">
        <f t="array" ref="N16">IFERROR(IF(6&gt;COUNTIF('DONNÉES BRUTES'!C$3:C$42,"Industrials"),"",INDEX('DONNÉES BRUTES'!S$3:S$42,MATCH(LARGE(IF('DONNÉES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0.93</v>
      </c>
      <c r="O16" s="208" t="str" cm="1">
        <f t="array" ref="O16">IFERROR(IF(6&gt;COUNTIF('DONNÉES BRUTES'!C$3:C$42,"Industrials"),"",INDEX('DONNÉES BRUTES'!T$3:T$42,MATCH(LARGE(IF('DONNÉES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0.6x</v>
      </c>
      <c r="P16" s="207" t="str" cm="1">
        <f t="array" ref="P16">IFERROR(IF(6&gt;COUNTIF('DONNÉES BRUTES'!C$3:C$42,"Industrials"),"",INDEX('DONNÉES BRUTES'!U$3:U$42,MATCH(LARGE(IF('DONNÉES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0.52</v>
      </c>
      <c r="Q16" t="str" cm="1">
        <f t="array" ref="Q16">IFERROR(IF(6&gt;COUNTIF('DONNÉES BRUTES'!C$3:C$42,"Industrials"),"",INDEX('DONNÉES BRUTES'!AD$3:AD$42,MATCH(LARGE(IF('DONNÉES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>Neutre</v>
      </c>
    </row>
    <row r="17" spans="1:26" ht="15.95" customHeight="1" x14ac:dyDescent="0.25">
      <c r="A17" s="200"/>
      <c r="B17" s="197">
        <f>IF(7&gt;COUNTIF('DONNÉES BRUTES'!C$3:C$42,"Industrials"),"",7)</f>
        <v>7</v>
      </c>
      <c r="C17" s="192" t="str" cm="1">
        <f t="array" ref="C17">IFERROR(IF(7&gt;COUNTIF('DONNÉES BRUTES'!C$3:C$42,"Industrials"),"",INDEX('DONNÉES BRUTES'!A$3:A$42,MATCH(LARGE(IF('DONNÉES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HO.PA</v>
      </c>
      <c r="D17" s="192" t="str" cm="1">
        <f t="array" ref="D17">IFERROR(IF(7&gt;COUNTIF('DONNÉES BRUTES'!C$3:C$42,"Industrials"),"",INDEX('DONNÉES BRUTES'!B$3:B$42,MATCH(LARGE(IF('DONNÉES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Thales S.A.</v>
      </c>
      <c r="E17" s="193" t="str" cm="1">
        <f t="array" ref="E17">IFERROR(IF(7&gt;COUNTIF('DONNÉES BRUTES'!C$3:C$42,"Industrials"),"",INT(LARGE(IF('DONNÉES BRUTES'!C$3:C$42="Industrials",'DONNÉES BRUTES'!AB$3:AB$42+(ROW('DONNÉES BRUTES'!A$3:A$42)-ROW('DONNÉES BRUTES'!A$3))/1000,0),7))&amp;"/100"),"—")</f>
        <v>48/100</v>
      </c>
      <c r="F17" s="191" cm="1">
        <f t="array" ref="F17">IFERROR(IF(7&gt;COUNTIF('DONNÉES BRUTES'!C$3:C$42,"Industrials"),"",INDEX('DONNÉES BRUTES'!Y$3:Y$42,MATCH(LARGE(IF('DONNÉES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89</v>
      </c>
      <c r="G17" s="191" cm="1">
        <f t="array" ref="G17">IFERROR(IF(7&gt;COUNTIF('DONNÉES BRUTES'!C$3:C$42,"Industrials"),"",INDEX('DONNÉES BRUTES'!Z$3:Z$42,MATCH(LARGE(IF('DONNÉES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31</v>
      </c>
      <c r="H17" s="191" cm="1">
        <f t="array" ref="H17">IFERROR(IF(7&gt;COUNTIF('DONNÉES BRUTES'!C$3:C$42,"Industrials"),"",INDEX('DONNÉES BRUTES'!AA$3:AA$42,MATCH(LARGE(IF('DONNÉES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23</v>
      </c>
      <c r="I17" s="191" t="str" cm="1">
        <f t="array" ref="I17">IFERROR(IF(7&gt;COUNTIF('DONNÉES BRUTES'!C$3:C$42,"Industrials"),"",INDEX('DONNÉES BRUTES'!M$3:M$42,MATCH(LARGE(IF('DONNÉES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26.4%</v>
      </c>
      <c r="J17" s="191" t="str" cm="1">
        <f t="array" ref="J17">IFERROR(IF(7&gt;COUNTIF('DONNÉES BRUTES'!C$3:C$42,"Industrials"),"",INDEX('DONNÉES BRUTES'!N$3:N$42,MATCH(LARGE(IF('DONNÉES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15.4%</v>
      </c>
      <c r="K17" s="191" t="str" cm="1">
        <f t="array" ref="K17">IFERROR(IF(7&gt;COUNTIF('DONNÉES BRUTES'!C$3:C$42,"Industrials"),"",INDEX('DONNÉES BRUTES'!O$3:O$42,MATCH(LARGE(IF('DONNÉES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7.6%</v>
      </c>
      <c r="L17" s="191" t="str" cm="1">
        <f t="array" ref="L17">IFERROR(IF(7&gt;COUNTIF('DONNÉES BRUTES'!C$3:C$42,"Industrials"),"",INDEX('DONNÉES BRUTES'!P$3:P$42,MATCH(LARGE(IF('DONNÉES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+7.6%</v>
      </c>
      <c r="M17" s="191" t="str" cm="1">
        <f t="array" ref="M17">IFERROR(IF(7&gt;COUNTIF('DONNÉES BRUTES'!C$3:C$42,"Industrials"),"",INDEX('DONNÉES BRUTES'!Q$3:Q$42,MATCH(LARGE(IF('DONNÉES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+21.0%</v>
      </c>
      <c r="N17" s="191" t="str" cm="1">
        <f t="array" ref="N17">IFERROR(IF(7&gt;COUNTIF('DONNÉES BRUTES'!C$3:C$42,"Industrials"),"",INDEX('DONNÉES BRUTES'!S$3:S$42,MATCH(LARGE(IF('DONNÉES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0.84</v>
      </c>
      <c r="O17" s="191" t="str" cm="1">
        <f t="array" ref="O17">IFERROR(IF(7&gt;COUNTIF('DONNÉES BRUTES'!C$3:C$42,"Industrials"),"",INDEX('DONNÉES BRUTES'!T$3:T$42,MATCH(LARGE(IF('DONNÉES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0.5x</v>
      </c>
      <c r="P17" s="194" t="str" cm="1">
        <f t="array" ref="P17">IFERROR(IF(7&gt;COUNTIF('DONNÉES BRUTES'!C$3:C$42,"Industrials"),"",INDEX('DONNÉES BRUTES'!U$3:U$42,MATCH(LARGE(IF('DONNÉES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0.43</v>
      </c>
      <c r="Q17" t="str" cm="1">
        <f t="array" ref="Q17">IFERROR(IF(7&gt;COUNTIF('DONNÉES BRUTES'!C$3:C$42,"Industrials"),"",INDEX('DONNÉES BRUTES'!AD$3:AD$42,MATCH(LARGE(IF('DONNÉES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>Sous-pondérer</v>
      </c>
    </row>
    <row r="18" spans="1:26" ht="15.95" customHeight="1" x14ac:dyDescent="0.25">
      <c r="A18" s="202"/>
      <c r="B18" s="203">
        <f>IF(8&gt;COUNTIF('DONNÉES BRUTES'!C$3:C$42,"Industrials"),"",8)</f>
        <v>8</v>
      </c>
      <c r="C18" s="204" t="str" cm="1">
        <f t="array" ref="C18">IFERROR(IF(8&gt;COUNTIF('DONNÉES BRUTES'!C$3:C$42,"Industrials"),"",INDEX('DONNÉES BRUTES'!A$3:A$42,MATCH(LARGE(IF('DONNÉES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DG.PA</v>
      </c>
      <c r="D18" s="204" t="str" cm="1">
        <f t="array" ref="D18">IFERROR(IF(8&gt;COUNTIF('DONNÉES BRUTES'!C$3:C$42,"Industrials"),"",INDEX('DONNÉES BRUTES'!B$3:B$42,MATCH(LARGE(IF('DONNÉES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Vinci SA</v>
      </c>
      <c r="E18" s="201" t="str" cm="1">
        <f t="array" ref="E18">IFERROR(IF(8&gt;COUNTIF('DONNÉES BRUTES'!C$3:C$42,"Industrials"),"",INT(LARGE(IF('DONNÉES BRUTES'!C$3:C$42="Industrials",'DONNÉES BRUTES'!AB$3:AB$42+(ROW('DONNÉES BRUTES'!A$3:A$42)-ROW('DONNÉES BRUTES'!A$3))/1000,0),8))&amp;"/100"),"—")</f>
        <v>47/100</v>
      </c>
      <c r="F18" s="201" cm="1">
        <f t="array" ref="F18">IFERROR(IF(8&gt;COUNTIF('DONNÉES BRUTES'!C$3:C$42,"Industrials"),"",INDEX('DONNÉES BRUTES'!Y$3:Y$42,MATCH(LARGE(IF('DONNÉES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68</v>
      </c>
      <c r="G18" s="201" cm="1">
        <f t="array" ref="G18">IFERROR(IF(8&gt;COUNTIF('DONNÉES BRUTES'!C$3:C$42,"Industrials"),"",INDEX('DONNÉES BRUTES'!Z$3:Z$42,MATCH(LARGE(IF('DONNÉES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59</v>
      </c>
      <c r="H18" s="201" cm="1">
        <f t="array" ref="H18">IFERROR(IF(8&gt;COUNTIF('DONNÉES BRUTES'!C$3:C$42,"Industrials"),"",INDEX('DONNÉES BRUTES'!AA$3:AA$42,MATCH(LARGE(IF('DONNÉES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13</v>
      </c>
      <c r="I18" s="201" t="str" cm="1">
        <f t="array" ref="I18">IFERROR(IF(8&gt;COUNTIF('DONNÉES BRUTES'!C$3:C$42,"Industrials"),"",INDEX('DONNÉES BRUTES'!M$3:M$42,MATCH(LARGE(IF('DONNÉES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60.0%</v>
      </c>
      <c r="J18" s="201" t="str" cm="1">
        <f t="array" ref="J18">IFERROR(IF(8&gt;COUNTIF('DONNÉES BRUTES'!C$3:C$42,"Industrials"),"",INDEX('DONNÉES BRUTES'!N$3:N$42,MATCH(LARGE(IF('DONNÉES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18.0%</v>
      </c>
      <c r="K18" s="201" t="str" cm="1">
        <f t="array" ref="K18">IFERROR(IF(8&gt;COUNTIF('DONNÉES BRUTES'!C$3:C$42,"Industrials"),"",INDEX('DONNÉES BRUTES'!O$3:O$42,MATCH(LARGE(IF('DONNÉES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6.5%</v>
      </c>
      <c r="L18" s="201" t="str" cm="1">
        <f t="array" ref="L18">IFERROR(IF(8&gt;COUNTIF('DONNÉES BRUTES'!C$3:C$42,"Industrials"),"",INDEX('DONNÉES BRUTES'!P$3:P$42,MATCH(LARGE(IF('DONNÉES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+4.0%</v>
      </c>
      <c r="M18" s="201" t="str" cm="1">
        <f t="array" ref="M18">IFERROR(IF(8&gt;COUNTIF('DONNÉES BRUTES'!C$3:C$42,"Industrials"),"",INDEX('DONNÉES BRUTES'!Q$3:Q$42,MATCH(LARGE(IF('DONNÉES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+15.9%</v>
      </c>
      <c r="N18" s="201" t="str" cm="1">
        <f t="array" ref="N18">IFERROR(IF(8&gt;COUNTIF('DONNÉES BRUTES'!C$3:C$42,"Industrials"),"",INDEX('DONNÉES BRUTES'!S$3:S$42,MATCH(LARGE(IF('DONNÉES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0.85</v>
      </c>
      <c r="O18" s="222" t="str" cm="1">
        <f t="array" ref="O18">IFERROR(IF(8&gt;COUNTIF('DONNÉES BRUTES'!C$3:C$42,"Industrials"),"",INDEX('DONNÉES BRUTES'!T$3:T$42,MATCH(LARGE(IF('DONNÉES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1.3x</v>
      </c>
      <c r="P18" s="221" t="str" cm="1">
        <f t="array" ref="P18">IFERROR(IF(8&gt;COUNTIF('DONNÉES BRUTES'!C$3:C$42,"Industrials"),"",INDEX('DONNÉES BRUTES'!U$3:U$42,MATCH(LARGE(IF('DONNÉES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0.50</v>
      </c>
      <c r="Q18" t="str" cm="1">
        <f t="array" ref="Q18">IFERROR(IF(8&gt;COUNTIF('DONNÉES BRUTES'!C$3:C$42,"Industrials"),"",INDEX('DONNÉES BRUTES'!AD$3:AD$42,MATCH(LARGE(IF('DONNÉES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>Sous-pondérer</v>
      </c>
    </row>
    <row r="19" spans="1:26" ht="15.95" customHeight="1" x14ac:dyDescent="0.25">
      <c r="A19" s="200"/>
      <c r="B19" s="197">
        <f>IF(9&gt;COUNTIF('DONNÉES BRUTES'!C$3:C$42,"Industrials"),"",9)</f>
        <v>9</v>
      </c>
      <c r="C19" s="192" t="str" cm="1">
        <f t="array" ref="C19">IFERROR(IF(9&gt;COUNTIF('DONNÉES BRUTES'!C$3:C$42,"Industrials"),"",INDEX('DONNÉES BRUTES'!A$3:A$42,MATCH(LARGE(IF('DONNÉES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BVI.PA</v>
      </c>
      <c r="D19" s="192" t="str" cm="1">
        <f t="array" ref="D19">IFERROR(IF(9&gt;COUNTIF('DONNÉES BRUTES'!C$3:C$42,"Industrials"),"",INDEX('DONNÉES BRUTES'!B$3:B$42,MATCH(LARGE(IF('DONNÉES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Bureau Veritas SA</v>
      </c>
      <c r="E19" s="193" t="str" cm="1">
        <f t="array" ref="E19">IFERROR(IF(9&gt;COUNTIF('DONNÉES BRUTES'!C$3:C$42,"Industrials"),"",INT(LARGE(IF('DONNÉES BRUTES'!C$3:C$42="Industrials",'DONNÉES BRUTES'!AB$3:AB$42+(ROW('DONNÉES BRUTES'!A$3:A$42)-ROW('DONNÉES BRUTES'!A$3))/1000,0),9))&amp;"/100"),"—")</f>
        <v>46/100</v>
      </c>
      <c r="F19" s="191" cm="1">
        <f t="array" ref="F19">IFERROR(IF(9&gt;COUNTIF('DONNÉES BRUTES'!C$3:C$42,"Industrials"),"",INDEX('DONNÉES BRUTES'!Y$3:Y$42,MATCH(LARGE(IF('DONNÉES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53</v>
      </c>
      <c r="G19" s="191" cm="1">
        <f t="array" ref="G19">IFERROR(IF(9&gt;COUNTIF('DONNÉES BRUTES'!C$3:C$42,"Industrials"),"",INDEX('DONNÉES BRUTES'!Z$3:Z$42,MATCH(LARGE(IF('DONNÉES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82</v>
      </c>
      <c r="H19" s="191" cm="1">
        <f t="array" ref="H19">IFERROR(IF(9&gt;COUNTIF('DONNÉES BRUTES'!C$3:C$42,"Industrials"),"",INDEX('DONNÉES BRUTES'!AA$3:AA$42,MATCH(LARGE(IF('DONNÉES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3</v>
      </c>
      <c r="I19" s="191" t="str" cm="1">
        <f t="array" ref="I19">IFERROR(IF(9&gt;COUNTIF('DONNÉES BRUTES'!C$3:C$42,"Industrials"),"",INDEX('DONNÉES BRUTES'!M$3:M$42,MATCH(LARGE(IF('DONNÉES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72.2%</v>
      </c>
      <c r="J19" s="191" t="str" cm="1">
        <f t="array" ref="J19">IFERROR(IF(9&gt;COUNTIF('DONNÉES BRUTES'!C$3:C$42,"Industrials"),"",INDEX('DONNÉES BRUTES'!N$3:N$42,MATCH(LARGE(IF('DONNÉES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19.6%</v>
      </c>
      <c r="K19" s="191" t="str" cm="1">
        <f t="array" ref="K19">IFERROR(IF(9&gt;COUNTIF('DONNÉES BRUTES'!C$3:C$42,"Industrials"),"",INDEX('DONNÉES BRUTES'!O$3:O$42,MATCH(LARGE(IF('DONNÉES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9.1%</v>
      </c>
      <c r="L19" s="191" t="str" cm="1">
        <f t="array" ref="L19">IFERROR(IF(9&gt;COUNTIF('DONNÉES BRUTES'!C$3:C$42,"Industrials"),"",INDEX('DONNÉES BRUTES'!P$3:P$42,MATCH(LARGE(IF('DONNÉES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+3.6%</v>
      </c>
      <c r="M19" s="191" t="str" cm="1">
        <f t="array" ref="M19">IFERROR(IF(9&gt;COUNTIF('DONNÉES BRUTES'!C$3:C$42,"Industrials"),"",INDEX('DONNÉES BRUTES'!Q$3:Q$42,MATCH(LARGE(IF('DONNÉES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+34.4%</v>
      </c>
      <c r="N19" s="191" t="str" cm="1">
        <f t="array" ref="N19">IFERROR(IF(9&gt;COUNTIF('DONNÉES BRUTES'!C$3:C$42,"Industrials"),"",INDEX('DONNÉES BRUTES'!S$3:S$42,MATCH(LARGE(IF('DONNÉES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1.53</v>
      </c>
      <c r="O19" s="210" t="str" cm="1">
        <f t="array" ref="O19">IFERROR(IF(9&gt;COUNTIF('DONNÉES BRUTES'!C$3:C$42,"Industrials"),"",INDEX('DONNÉES BRUTES'!T$3:T$42,MATCH(LARGE(IF('DONNÉES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1.0x</v>
      </c>
      <c r="P19" s="209" t="str" cm="1">
        <f t="array" ref="P19">IFERROR(IF(9&gt;COUNTIF('DONNÉES BRUTES'!C$3:C$42,"Industrials"),"",INDEX('DONNÉES BRUTES'!U$3:U$42,MATCH(LARGE(IF('DONNÉES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3.10</v>
      </c>
      <c r="Q19" t="str" cm="1">
        <f t="array" ref="Q19">IFERROR(IF(9&gt;COUNTIF('DONNÉES BRUTES'!C$3:C$42,"Industrials"),"",INDEX('DONNÉES BRUTES'!AD$3:AD$42,MATCH(LARGE(IF('DONNÉES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>Sous-pondérer</v>
      </c>
    </row>
    <row r="20" spans="1:26" ht="15.95" customHeight="1" x14ac:dyDescent="0.25">
      <c r="A20" s="199"/>
      <c r="B20" s="196">
        <f>IF(10&gt;COUNTIF('DONNÉES BRUTES'!C$3:C$42,"Industrials"),"",10)</f>
        <v>10</v>
      </c>
      <c r="C20" s="188" t="str" cm="1">
        <f t="array" ref="C20">IFERROR(IF(10&gt;COUNTIF('DONNÉES BRUTES'!C$3:C$42,"Industrials"),"",INDEX('DONNÉES BRUTES'!A$3:A$42,MATCH(LARGE(IF('DONNÉES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SGO.PA</v>
      </c>
      <c r="D20" s="188" t="str" cm="1">
        <f t="array" ref="D20">IFERROR(IF(10&gt;COUNTIF('DONNÉES BRUTES'!C$3:C$42,"Industrials"),"",INDEX('DONNÉES BRUTES'!B$3:B$42,MATCH(LARGE(IF('DONNÉES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Compagnie de Saint-Gobain S.A.</v>
      </c>
      <c r="E20" s="189" t="str" cm="1">
        <f t="array" ref="E20">IFERROR(IF(10&gt;COUNTIF('DONNÉES BRUTES'!C$3:C$42,"Industrials"),"",INT(LARGE(IF('DONNÉES BRUTES'!C$3:C$42="Industrials",'DONNÉES BRUTES'!AB$3:AB$42+(ROW('DONNÉES BRUTES'!A$3:A$42)-ROW('DONNÉES BRUTES'!A$3))/1000,0),10))&amp;"/100"),"—")</f>
        <v>37/100</v>
      </c>
      <c r="F20" s="187" cm="1">
        <f t="array" ref="F20">IFERROR(IF(10&gt;COUNTIF('DONNÉES BRUTES'!C$3:C$42,"Industrials"),"",INDEX('DONNÉES BRUTES'!Y$3:Y$42,MATCH(LARGE(IF('DONNÉES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45</v>
      </c>
      <c r="G20" s="187" cm="1">
        <f t="array" ref="G20">IFERROR(IF(10&gt;COUNTIF('DONNÉES BRUTES'!C$3:C$42,"Industrials"),"",INDEX('DONNÉES BRUTES'!Z$3:Z$42,MATCH(LARGE(IF('DONNÉES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33</v>
      </c>
      <c r="H20" s="187" cm="1">
        <f t="array" ref="H20">IFERROR(IF(10&gt;COUNTIF('DONNÉES BRUTES'!C$3:C$42,"Industrials"),"",INDEX('DONNÉES BRUTES'!AA$3:AA$42,MATCH(LARGE(IF('DONNÉES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33</v>
      </c>
      <c r="I20" s="187" t="str" cm="1">
        <f t="array" ref="I20">IFERROR(IF(10&gt;COUNTIF('DONNÉES BRUTES'!C$3:C$42,"Industrials"),"",INDEX('DONNÉES BRUTES'!M$3:M$42,MATCH(LARGE(IF('DONNÉES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27.8%</v>
      </c>
      <c r="J20" s="187" t="str" cm="1">
        <f t="array" ref="J20">IFERROR(IF(10&gt;COUNTIF('DONNÉES BRUTES'!C$3:C$42,"Industrials"),"",INDEX('DONNÉES BRUTES'!N$3:N$42,MATCH(LARGE(IF('DONNÉES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16.2%</v>
      </c>
      <c r="K20" s="187" t="str" cm="1">
        <f t="array" ref="K20">IFERROR(IF(10&gt;COUNTIF('DONNÉES BRUTES'!C$3:C$42,"Industrials"),"",INDEX('DONNÉES BRUTES'!O$3:O$42,MATCH(LARGE(IF('DONNÉES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6.2%</v>
      </c>
      <c r="L20" s="187" t="str" cm="1">
        <f t="array" ref="L20">IFERROR(IF(10&gt;COUNTIF('DONNÉES BRUTES'!C$3:C$42,"Industrials"),"",INDEX('DONNÉES BRUTES'!P$3:P$42,MATCH(LARGE(IF('DONNÉES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-0.2%</v>
      </c>
      <c r="M20" s="187" t="str" cm="1">
        <f t="array" ref="M20">IFERROR(IF(10&gt;COUNTIF('DONNÉES BRUTES'!C$3:C$42,"Industrials"),"",INDEX('DONNÉES BRUTES'!Q$3:Q$42,MATCH(LARGE(IF('DONNÉES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+11.7%</v>
      </c>
      <c r="N20" s="187" t="str" cm="1">
        <f t="array" ref="N20">IFERROR(IF(10&gt;COUNTIF('DONNÉES BRUTES'!C$3:C$42,"Industrials"),"",INDEX('DONNÉES BRUTES'!S$3:S$42,MATCH(LARGE(IF('DONNÉES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1.27</v>
      </c>
      <c r="O20" s="187" t="str" cm="1">
        <f t="array" ref="O20">IFERROR(IF(10&gt;COUNTIF('DONNÉES BRUTES'!C$3:C$42,"Industrials"),"",INDEX('DONNÉES BRUTES'!T$3:T$42,MATCH(LARGE(IF('DONNÉES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0.9x</v>
      </c>
      <c r="P20" s="190" t="str" cm="1">
        <f t="array" ref="P20">IFERROR(IF(10&gt;COUNTIF('DONNÉES BRUTES'!C$3:C$42,"Industrials"),"",INDEX('DONNÉES BRUTES'!U$3:U$42,MATCH(LARGE(IF('DONNÉES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3.02</v>
      </c>
      <c r="Q20" t="str" cm="1">
        <f t="array" ref="Q20">IFERROR(IF(10&gt;COUNTIF('DONNÉES BRUTES'!C$3:C$42,"Industrials"),"",INDEX('DONNÉES BRUTES'!AD$3:AD$42,MATCH(LARGE(IF('DONNÉES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>Sous-pondérer</v>
      </c>
    </row>
    <row r="21" spans="1:26" ht="15.95" customHeight="1" x14ac:dyDescent="0.25">
      <c r="A21" s="200"/>
      <c r="B21" s="197">
        <f>IF(11&gt;COUNTIF('DONNÉES BRUTES'!C$3:C$42,"Industrials"),"",11)</f>
        <v>11</v>
      </c>
      <c r="C21" s="192" t="str" cm="1">
        <f t="array" ref="C21">IFERROR(IF(11&gt;COUNTIF('DONNÉES BRUTES'!C$3:C$42,"Industrials"),"",INDEX('DONNÉES BRUTES'!A$3:A$42,MATCH(LARGE(IF('DONNÉES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VIE.PA</v>
      </c>
      <c r="D21" s="192" t="str" cm="1">
        <f t="array" ref="D21">IFERROR(IF(11&gt;COUNTIF('DONNÉES BRUTES'!C$3:C$42,"Industrials"),"",INDEX('DONNÉES BRUTES'!B$3:B$42,MATCH(LARGE(IF('DONNÉES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Veolia Environnement SA</v>
      </c>
      <c r="E21" s="193" t="str" cm="1">
        <f t="array" ref="E21">IFERROR(IF(11&gt;COUNTIF('DONNÉES BRUTES'!C$3:C$42,"Industrials"),"",INT(LARGE(IF('DONNÉES BRUTES'!C$3:C$42="Industrials",'DONNÉES BRUTES'!AB$3:AB$42+(ROW('DONNÉES BRUTES'!A$3:A$42)-ROW('DONNÉES BRUTES'!A$3))/1000,0),11))&amp;"/100"),"—")</f>
        <v>29/100</v>
      </c>
      <c r="F21" s="191" cm="1">
        <f t="array" ref="F21">IFERROR(IF(11&gt;COUNTIF('DONNÉES BRUTES'!C$3:C$42,"Industrials"),"",INDEX('DONNÉES BRUTES'!Y$3:Y$42,MATCH(LARGE(IF('DONNÉES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47</v>
      </c>
      <c r="G21" s="191" cm="1">
        <f t="array" ref="G21">IFERROR(IF(11&gt;COUNTIF('DONNÉES BRUTES'!C$3:C$42,"Industrials"),"",INDEX('DONNÉES BRUTES'!Z$3:Z$42,MATCH(LARGE(IF('DONNÉES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21</v>
      </c>
      <c r="H21" s="191" cm="1">
        <f t="array" ref="H21">IFERROR(IF(11&gt;COUNTIF('DONNÉES BRUTES'!C$3:C$42,"Industrials"),"",INDEX('DONNÉES BRUTES'!AA$3:AA$42,MATCH(LARGE(IF('DONNÉES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18</v>
      </c>
      <c r="I21" s="191" t="str" cm="1">
        <f t="array" ref="I21">IFERROR(IF(11&gt;COUNTIF('DONNÉES BRUTES'!C$3:C$42,"Industrials"),"",INDEX('DONNÉES BRUTES'!M$3:M$42,MATCH(LARGE(IF('DONNÉES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17.7%</v>
      </c>
      <c r="J21" s="191" t="str" cm="1">
        <f t="array" ref="J21">IFERROR(IF(11&gt;COUNTIF('DONNÉES BRUTES'!C$3:C$42,"Industrials"),"",INDEX('DONNÉES BRUTES'!N$3:N$42,MATCH(LARGE(IF('DONNÉES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14.1%</v>
      </c>
      <c r="K21" s="191" t="str" cm="1">
        <f t="array" ref="K21">IFERROR(IF(11&gt;COUNTIF('DONNÉES BRUTES'!C$3:C$42,"Industrials"),"",INDEX('DONNÉES BRUTES'!O$3:O$42,MATCH(LARGE(IF('DONNÉES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2.7%</v>
      </c>
      <c r="L21" s="191" t="str" cm="1">
        <f t="array" ref="L21">IFERROR(IF(11&gt;COUNTIF('DONNÉES BRUTES'!C$3:C$42,"Industrials"),"",INDEX('DONNÉES BRUTES'!P$3:P$42,MATCH(LARGE(IF('DONNÉES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-0.7%</v>
      </c>
      <c r="M21" s="191" t="str" cm="1">
        <f t="array" ref="M21">IFERROR(IF(11&gt;COUNTIF('DONNÉES BRUTES'!C$3:C$42,"Industrials"),"",INDEX('DONNÉES BRUTES'!Q$3:Q$42,MATCH(LARGE(IF('DONNÉES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+11.2%</v>
      </c>
      <c r="N21" s="191" t="str" cm="1">
        <f t="array" ref="N21">IFERROR(IF(11&gt;COUNTIF('DONNÉES BRUTES'!C$3:C$42,"Industrials"),"",INDEX('DONNÉES BRUTES'!S$3:S$42,MATCH(LARGE(IF('DONNÉES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0.86</v>
      </c>
      <c r="O21" s="191" t="str" cm="1">
        <f t="array" ref="O21">IFERROR(IF(11&gt;COUNTIF('DONNÉES BRUTES'!C$3:C$42,"Industrials"),"",INDEX('DONNÉES BRUTES'!T$3:T$42,MATCH(LARGE(IF('DONNÉES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1.6x</v>
      </c>
      <c r="P21" s="194" t="str" cm="1">
        <f t="array" ref="P21">IFERROR(IF(11&gt;COUNTIF('DONNÉES BRUTES'!C$3:C$42,"Industrials"),"",INDEX('DONNÉES BRUTES'!U$3:U$42,MATCH(LARGE(IF('DONNÉES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-0.12</v>
      </c>
      <c r="Q21" t="str" cm="1">
        <f t="array" ref="Q21">IFERROR(IF(11&gt;COUNTIF('DONNÉES BRUTES'!C$3:C$42,"Industrials"),"",INDEX('DONNÉES BRUTES'!AD$3:AD$42,MATCH(LARGE(IF('DONNÉES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>Sous-pondérer</v>
      </c>
    </row>
    <row r="22" spans="1:26" ht="15.95" customHeight="1" x14ac:dyDescent="0.25">
      <c r="A22" s="199"/>
      <c r="B22" s="196" t="str">
        <f>IF(12&gt;COUNTIF('DONNÉES BRUTES'!C$3:C$42,"Industrials"),"",12)</f>
        <v/>
      </c>
      <c r="C22" s="188" t="str" cm="1">
        <f t="array" ref="C22">IFERROR(IF(12&gt;COUNTIF('DONNÉES BRUTES'!C$3:C$42,"Industrials"),"",INDEX('DONNÉES BRUTES'!A$3:A$42,MATCH(LARGE(IF('DONNÉES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D22" s="188" t="str" cm="1">
        <f t="array" ref="D22">IFERROR(IF(12&gt;COUNTIF('DONNÉES BRUTES'!C$3:C$42,"Industrials"),"",INDEX('DONNÉES BRUTES'!B$3:B$42,MATCH(LARGE(IF('DONNÉES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E22" s="189" t="str" cm="1">
        <f t="array" ref="E22">IFERROR(IF(12&gt;COUNTIF('DONNÉES BRUTES'!C$3:C$42,"Industrials"),"",INT(LARGE(IF('DONNÉES BRUTES'!C$3:C$42="Industrials",'DONNÉES BRUTES'!AB$3:AB$42+(ROW('DONNÉES BRUTES'!A$3:A$42)-ROW('DONNÉES BRUTES'!A$3))/1000,0),12))&amp;"/100"),"—")</f>
        <v/>
      </c>
      <c r="F22" s="187" t="str" cm="1">
        <f t="array" ref="F22">IFERROR(IF(12&gt;COUNTIF('DONNÉES BRUTES'!C$3:C$42,"Industrials"),"",INDEX('DONNÉES BRUTES'!Y$3:Y$42,MATCH(LARGE(IF('DONNÉES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G22" s="187" t="str" cm="1">
        <f t="array" ref="G22">IFERROR(IF(12&gt;COUNTIF('DONNÉES BRUTES'!C$3:C$42,"Industrials"),"",INDEX('DONNÉES BRUTES'!Z$3:Z$42,MATCH(LARGE(IF('DONNÉES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H22" s="187" t="str" cm="1">
        <f t="array" ref="H22">IFERROR(IF(12&gt;COUNTIF('DONNÉES BRUTES'!C$3:C$42,"Industrials"),"",INDEX('DONNÉES BRUTES'!AA$3:AA$42,MATCH(LARGE(IF('DONNÉES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I22" s="187" t="str" cm="1">
        <f t="array" ref="I22">IFERROR(IF(12&gt;COUNTIF('DONNÉES BRUTES'!C$3:C$42,"Industrials"),"",INDEX('DONNÉES BRUTES'!M$3:M$42,MATCH(LARGE(IF('DONNÉES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J22" s="187" t="str" cm="1">
        <f t="array" ref="J22">IFERROR(IF(12&gt;COUNTIF('DONNÉES BRUTES'!C$3:C$42,"Industrials"),"",INDEX('DONNÉES BRUTES'!N$3:N$42,MATCH(LARGE(IF('DONNÉES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K22" s="187" t="str" cm="1">
        <f t="array" ref="K22">IFERROR(IF(12&gt;COUNTIF('DONNÉES BRUTES'!C$3:C$42,"Industrials"),"",INDEX('DONNÉES BRUTES'!O$3:O$42,MATCH(LARGE(IF('DONNÉES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L22" s="187" t="str" cm="1">
        <f t="array" ref="L22">IFERROR(IF(12&gt;COUNTIF('DONNÉES BRUTES'!C$3:C$42,"Industrials"),"",INDEX('DONNÉES BRUTES'!P$3:P$42,MATCH(LARGE(IF('DONNÉES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M22" s="187" t="str" cm="1">
        <f t="array" ref="M22">IFERROR(IF(12&gt;COUNTIF('DONNÉES BRUTES'!C$3:C$42,"Industrials"),"",INDEX('DONNÉES BRUTES'!Q$3:Q$42,MATCH(LARGE(IF('DONNÉES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N22" s="187" t="str" cm="1">
        <f t="array" ref="N22">IFERROR(IF(12&gt;COUNTIF('DONNÉES BRUTES'!C$3:C$42,"Industrials"),"",INDEX('DONNÉES BRUTES'!S$3:S$42,MATCH(LARGE(IF('DONNÉES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O22" s="187" t="str" cm="1">
        <f t="array" ref="O22">IFERROR(IF(12&gt;COUNTIF('DONNÉES BRUTES'!C$3:C$42,"Industrials"),"",INDEX('DONNÉES BRUTES'!T$3:T$42,MATCH(LARGE(IF('DONNÉES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P22" s="190" t="str" cm="1">
        <f t="array" ref="P22">IFERROR(IF(12&gt;COUNTIF('DONNÉES BRUTES'!C$3:C$42,"Industrials"),"",INDEX('DONNÉES BRUTES'!U$3:U$42,MATCH(LARGE(IF('DONNÉES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Q22" t="str" cm="1">
        <f t="array" ref="Q22">IFERROR(IF(12&gt;COUNTIF('DONNÉES BRUTES'!C$3:C$42,"Industrials"),"",INDEX('DONNÉES BRUTES'!AD$3:AD$42,MATCH(LARGE(IF('DONNÉES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</row>
    <row r="23" spans="1:26" ht="15.95" customHeight="1" x14ac:dyDescent="0.25">
      <c r="A23" s="200"/>
      <c r="B23" s="197" t="str">
        <f>IF(13&gt;COUNTIF('DONNÉES BRUTES'!C$3:C$42,"Industrials"),"",13)</f>
        <v/>
      </c>
      <c r="C23" s="192" t="str" cm="1">
        <f t="array" ref="C23">IFERROR(IF(13&gt;COUNTIF('DONNÉES BRUTES'!C$3:C$42,"Industrials"),"",INDEX('DONNÉES BRUTES'!A$3:A$42,MATCH(LARGE(IF('DONNÉES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D23" s="192" t="str" cm="1">
        <f t="array" ref="D23">IFERROR(IF(13&gt;COUNTIF('DONNÉES BRUTES'!C$3:C$42,"Industrials"),"",INDEX('DONNÉES BRUTES'!B$3:B$42,MATCH(LARGE(IF('DONNÉES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E23" s="193" t="str" cm="1">
        <f t="array" ref="E23">IFERROR(IF(13&gt;COUNTIF('DONNÉES BRUTES'!C$3:C$42,"Industrials"),"",INT(LARGE(IF('DONNÉES BRUTES'!C$3:C$42="Industrials",'DONNÉES BRUTES'!AB$3:AB$42+(ROW('DONNÉES BRUTES'!A$3:A$42)-ROW('DONNÉES BRUTES'!A$3))/1000,0),13))&amp;"/100"),"—")</f>
        <v/>
      </c>
      <c r="F23" s="191" t="str" cm="1">
        <f t="array" ref="F23">IFERROR(IF(13&gt;COUNTIF('DONNÉES BRUTES'!C$3:C$42,"Industrials"),"",INDEX('DONNÉES BRUTES'!Y$3:Y$42,MATCH(LARGE(IF('DONNÉES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G23" s="191" t="str" cm="1">
        <f t="array" ref="G23">IFERROR(IF(13&gt;COUNTIF('DONNÉES BRUTES'!C$3:C$42,"Industrials"),"",INDEX('DONNÉES BRUTES'!Z$3:Z$42,MATCH(LARGE(IF('DONNÉES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H23" s="191" t="str" cm="1">
        <f t="array" ref="H23">IFERROR(IF(13&gt;COUNTIF('DONNÉES BRUTES'!C$3:C$42,"Industrials"),"",INDEX('DONNÉES BRUTES'!AA$3:AA$42,MATCH(LARGE(IF('DONNÉES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I23" s="191" t="str" cm="1">
        <f t="array" ref="I23">IFERROR(IF(13&gt;COUNTIF('DONNÉES BRUTES'!C$3:C$42,"Industrials"),"",INDEX('DONNÉES BRUTES'!M$3:M$42,MATCH(LARGE(IF('DONNÉES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J23" s="191" t="str" cm="1">
        <f t="array" ref="J23">IFERROR(IF(13&gt;COUNTIF('DONNÉES BRUTES'!C$3:C$42,"Industrials"),"",INDEX('DONNÉES BRUTES'!N$3:N$42,MATCH(LARGE(IF('DONNÉES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K23" s="191" t="str" cm="1">
        <f t="array" ref="K23">IFERROR(IF(13&gt;COUNTIF('DONNÉES BRUTES'!C$3:C$42,"Industrials"),"",INDEX('DONNÉES BRUTES'!O$3:O$42,MATCH(LARGE(IF('DONNÉES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L23" s="191" t="str" cm="1">
        <f t="array" ref="L23">IFERROR(IF(13&gt;COUNTIF('DONNÉES BRUTES'!C$3:C$42,"Industrials"),"",INDEX('DONNÉES BRUTES'!P$3:P$42,MATCH(LARGE(IF('DONNÉES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M23" s="191" t="str" cm="1">
        <f t="array" ref="M23">IFERROR(IF(13&gt;COUNTIF('DONNÉES BRUTES'!C$3:C$42,"Industrials"),"",INDEX('DONNÉES BRUTES'!Q$3:Q$42,MATCH(LARGE(IF('DONNÉES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N23" s="191" t="str" cm="1">
        <f t="array" ref="N23">IFERROR(IF(13&gt;COUNTIF('DONNÉES BRUTES'!C$3:C$42,"Industrials"),"",INDEX('DONNÉES BRUTES'!S$3:S$42,MATCH(LARGE(IF('DONNÉES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O23" s="191" t="str" cm="1">
        <f t="array" ref="O23">IFERROR(IF(13&gt;COUNTIF('DONNÉES BRUTES'!C$3:C$42,"Industrials"),"",INDEX('DONNÉES BRUTES'!T$3:T$42,MATCH(LARGE(IF('DONNÉES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P23" s="194" t="str" cm="1">
        <f t="array" ref="P23">IFERROR(IF(13&gt;COUNTIF('DONNÉES BRUTES'!C$3:C$42,"Industrials"),"",INDEX('DONNÉES BRUTES'!U$3:U$42,MATCH(LARGE(IF('DONNÉES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Q23" t="str" cm="1">
        <f t="array" ref="Q23">IFERROR(IF(13&gt;COUNTIF('DONNÉES BRUTES'!C$3:C$42,"Industrials"),"",INDEX('DONNÉES BRUTES'!AD$3:AD$42,MATCH(LARGE(IF('DONNÉES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</row>
    <row r="24" spans="1:26" ht="15.95" customHeight="1" x14ac:dyDescent="0.25">
      <c r="A24" s="199"/>
      <c r="B24" s="196" t="str">
        <f>IF(14&gt;COUNTIF('DONNÉES BRUTES'!C$3:C$42,"Industrials"),"",14)</f>
        <v/>
      </c>
      <c r="C24" s="188" t="str" cm="1">
        <f t="array" ref="C24">IFERROR(IF(14&gt;COUNTIF('DONNÉES BRUTES'!C$3:C$42,"Industrials"),"",INDEX('DONNÉES BRUTES'!A$3:A$42,MATCH(LARGE(IF('DONNÉES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D24" s="188" t="str" cm="1">
        <f t="array" ref="D24">IFERROR(IF(14&gt;COUNTIF('DONNÉES BRUTES'!C$3:C$42,"Industrials"),"",INDEX('DONNÉES BRUTES'!B$3:B$42,MATCH(LARGE(IF('DONNÉES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E24" s="219" t="str" cm="1">
        <f t="array" ref="E24">IFERROR(IF(14&gt;COUNTIF('DONNÉES BRUTES'!C$3:C$42,"Industrials"),"",INT(LARGE(IF('DONNÉES BRUTES'!C$3:C$42="Industrials",'DONNÉES BRUTES'!AB$3:AB$42+(ROW('DONNÉES BRUTES'!A$3:A$42)-ROW('DONNÉES BRUTES'!A$3))/1000,0),14))&amp;"/100"),"—")</f>
        <v/>
      </c>
      <c r="F24" s="208" t="str" cm="1">
        <f t="array" ref="F24">IFERROR(IF(14&gt;COUNTIF('DONNÉES BRUTES'!C$3:C$42,"Industrials"),"",INDEX('DONNÉES BRUTES'!Y$3:Y$42,MATCH(LARGE(IF('DONNÉES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G24" s="208" t="str" cm="1">
        <f t="array" ref="G24">IFERROR(IF(14&gt;COUNTIF('DONNÉES BRUTES'!C$3:C$42,"Industrials"),"",INDEX('DONNÉES BRUTES'!Z$3:Z$42,MATCH(LARGE(IF('DONNÉES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H24" s="208" t="str" cm="1">
        <f t="array" ref="H24">IFERROR(IF(14&gt;COUNTIF('DONNÉES BRUTES'!C$3:C$42,"Industrials"),"",INDEX('DONNÉES BRUTES'!AA$3:AA$42,MATCH(LARGE(IF('DONNÉES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I24" s="208" t="str" cm="1">
        <f t="array" ref="I24">IFERROR(IF(14&gt;COUNTIF('DONNÉES BRUTES'!C$3:C$42,"Industrials"),"",INDEX('DONNÉES BRUTES'!M$3:M$42,MATCH(LARGE(IF('DONNÉES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J24" s="208" t="str" cm="1">
        <f t="array" ref="J24">IFERROR(IF(14&gt;COUNTIF('DONNÉES BRUTES'!C$3:C$42,"Industrials"),"",INDEX('DONNÉES BRUTES'!N$3:N$42,MATCH(LARGE(IF('DONNÉES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K24" s="211" t="str" cm="1">
        <f t="array" ref="K24">IFERROR(IF(14&gt;COUNTIF('DONNÉES BRUTES'!C$3:C$42,"Industrials"),"",INDEX('DONNÉES BRUTES'!O$3:O$42,MATCH(LARGE(IF('DONNÉES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L24" s="211" t="str" cm="1">
        <f t="array" ref="L24">IFERROR(IF(14&gt;COUNTIF('DONNÉES BRUTES'!C$3:C$42,"Industrials"),"",INDEX('DONNÉES BRUTES'!P$3:P$42,MATCH(LARGE(IF('DONNÉES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M24" s="208" t="str" cm="1">
        <f t="array" ref="M24">IFERROR(IF(14&gt;COUNTIF('DONNÉES BRUTES'!C$3:C$42,"Industrials"),"",INDEX('DONNÉES BRUTES'!Q$3:Q$42,MATCH(LARGE(IF('DONNÉES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N24" s="187" t="str" cm="1">
        <f t="array" ref="N24">IFERROR(IF(14&gt;COUNTIF('DONNÉES BRUTES'!C$3:C$42,"Industrials"),"",INDEX('DONNÉES BRUTES'!S$3:S$42,MATCH(LARGE(IF('DONNÉES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O24" s="187" t="str" cm="1">
        <f t="array" ref="O24">IFERROR(IF(14&gt;COUNTIF('DONNÉES BRUTES'!C$3:C$42,"Industrials"),"",INDEX('DONNÉES BRUTES'!T$3:T$42,MATCH(LARGE(IF('DONNÉES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P24" s="190" t="str" cm="1">
        <f t="array" ref="P24">IFERROR(IF(14&gt;COUNTIF('DONNÉES BRUTES'!C$3:C$42,"Industrials"),"",INDEX('DONNÉES BRUTES'!U$3:U$42,MATCH(LARGE(IF('DONNÉES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Q24" t="str" cm="1">
        <f t="array" ref="Q24">IFERROR(IF(14&gt;COUNTIF('DONNÉES BRUTES'!C$3:C$42,"Industrials"),"",INDEX('DONNÉES BRUTES'!AD$3:AD$42,MATCH(LARGE(IF('DONNÉES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</row>
    <row r="25" spans="1:26" ht="15.95" customHeight="1" x14ac:dyDescent="0.25">
      <c r="A25" s="200"/>
      <c r="B25" s="197" t="str">
        <f>IF(15&gt;COUNTIF('DONNÉES BRUTES'!C$3:C$42,"Industrials"),"",15)</f>
        <v/>
      </c>
      <c r="C25" s="192" t="str" cm="1">
        <f t="array" ref="C25">IFERROR(IF(15&gt;COUNTIF('DONNÉES BRUTES'!C$3:C$42,"Industrials"),"",INDEX('DONNÉES BRUTES'!A$3:A$42,MATCH(LARGE(IF('DONNÉES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D25" s="192" t="str" cm="1">
        <f t="array" ref="D25">IFERROR(IF(15&gt;COUNTIF('DONNÉES BRUTES'!C$3:C$42,"Industrials"),"",INDEX('DONNÉES BRUTES'!B$3:B$42,MATCH(LARGE(IF('DONNÉES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E25" s="220" t="str" cm="1">
        <f t="array" ref="E25">IFERROR(IF(15&gt;COUNTIF('DONNÉES BRUTES'!C$3:C$42,"Industrials"),"",INT(LARGE(IF('DONNÉES BRUTES'!C$3:C$42="Industrials",'DONNÉES BRUTES'!AB$3:AB$42+(ROW('DONNÉES BRUTES'!A$3:A$42)-ROW('DONNÉES BRUTES'!A$3))/1000,0),15))&amp;"/100"),"—")</f>
        <v/>
      </c>
      <c r="F25" s="206" t="str" cm="1">
        <f t="array" ref="F25">IFERROR(IF(15&gt;COUNTIF('DONNÉES BRUTES'!C$3:C$42,"Industrials"),"",INDEX('DONNÉES BRUTES'!Y$3:Y$42,MATCH(LARGE(IF('DONNÉES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G25" s="206" t="str" cm="1">
        <f t="array" ref="G25">IFERROR(IF(15&gt;COUNTIF('DONNÉES BRUTES'!C$3:C$42,"Industrials"),"",INDEX('DONNÉES BRUTES'!Z$3:Z$42,MATCH(LARGE(IF('DONNÉES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H25" s="206" t="str" cm="1">
        <f t="array" ref="H25">IFERROR(IF(15&gt;COUNTIF('DONNÉES BRUTES'!C$3:C$42,"Industrials"),"",INDEX('DONNÉES BRUTES'!AA$3:AA$42,MATCH(LARGE(IF('DONNÉES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I25" s="206" t="str" cm="1">
        <f t="array" ref="I25">IFERROR(IF(15&gt;COUNTIF('DONNÉES BRUTES'!C$3:C$42,"Industrials"),"",INDEX('DONNÉES BRUTES'!M$3:M$42,MATCH(LARGE(IF('DONNÉES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J25" s="206" t="str" cm="1">
        <f t="array" ref="J25">IFERROR(IF(15&gt;COUNTIF('DONNÉES BRUTES'!C$3:C$42,"Industrials"),"",INDEX('DONNÉES BRUTES'!N$3:N$42,MATCH(LARGE(IF('DONNÉES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K25" s="206" t="str" cm="1">
        <f t="array" ref="K25">IFERROR(IF(15&gt;COUNTIF('DONNÉES BRUTES'!C$3:C$42,"Industrials"),"",INDEX('DONNÉES BRUTES'!O$3:O$42,MATCH(LARGE(IF('DONNÉES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L25" s="206" t="str" cm="1">
        <f t="array" ref="L25">IFERROR(IF(15&gt;COUNTIF('DONNÉES BRUTES'!C$3:C$42,"Industrials"),"",INDEX('DONNÉES BRUTES'!P$3:P$42,MATCH(LARGE(IF('DONNÉES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M25" s="206" t="str" cm="1">
        <f t="array" ref="M25">IFERROR(IF(15&gt;COUNTIF('DONNÉES BRUTES'!C$3:C$42,"Industrials"),"",INDEX('DONNÉES BRUTES'!Q$3:Q$42,MATCH(LARGE(IF('DONNÉES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N25" s="191" t="str" cm="1">
        <f t="array" ref="N25">IFERROR(IF(15&gt;COUNTIF('DONNÉES BRUTES'!C$3:C$42,"Industrials"),"",INDEX('DONNÉES BRUTES'!S$3:S$42,MATCH(LARGE(IF('DONNÉES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O25" s="191" t="str" cm="1">
        <f t="array" ref="O25">IFERROR(IF(15&gt;COUNTIF('DONNÉES BRUTES'!C$3:C$42,"Industrials"),"",INDEX('DONNÉES BRUTES'!T$3:T$42,MATCH(LARGE(IF('DONNÉES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P25" s="194" t="str" cm="1">
        <f t="array" ref="P25">IFERROR(IF(15&gt;COUNTIF('DONNÉES BRUTES'!C$3:C$42,"Industrials"),"",INDEX('DONNÉES BRUTES'!U$3:U$42,MATCH(LARGE(IF('DONNÉES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Q25" t="str" cm="1">
        <f t="array" ref="Q25">IFERROR(IF(15&gt;COUNTIF('DONNÉES BRUTES'!C$3:C$42,"Industrials"),"",INDEX('DONNÉES BRUTES'!AD$3:AD$42,MATCH(LARGE(IF('DONNÉES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</row>
    <row r="26" spans="1:26" ht="15.95" customHeight="1" x14ac:dyDescent="0.25">
      <c r="A26" s="199"/>
      <c r="B26" s="196" t="str">
        <f>IF(16&gt;COUNTIF('DONNÉES BRUTES'!C$3:C$42,"Industrials"),"",16)</f>
        <v/>
      </c>
      <c r="C26" s="188" t="str" cm="1">
        <f t="array" ref="C26">IFERROR(IF(16&gt;COUNTIF('DONNÉES BRUTES'!C$3:C$42,"Industrials"),"",INDEX('DONNÉES BRUTES'!A$3:A$42,MATCH(LARGE(IF('DONNÉES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D26" s="188" t="str" cm="1">
        <f t="array" ref="D26">IFERROR(IF(16&gt;COUNTIF('DONNÉES BRUTES'!C$3:C$42,"Industrials"),"",INDEX('DONNÉES BRUTES'!B$3:B$42,MATCH(LARGE(IF('DONNÉES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E26" s="189" t="str" cm="1">
        <f t="array" ref="E26">IFERROR(IF(16&gt;COUNTIF('DONNÉES BRUTES'!C$3:C$42,"Industrials"),"",INT(LARGE(IF('DONNÉES BRUTES'!C$3:C$42="Industrials",'DONNÉES BRUTES'!AB$3:AB$42+(ROW('DONNÉES BRUTES'!A$3:A$42)-ROW('DONNÉES BRUTES'!A$3))/1000,0),16))&amp;"/100"),"—")</f>
        <v/>
      </c>
      <c r="F26" s="187" t="str" cm="1">
        <f t="array" ref="F26">IFERROR(IF(16&gt;COUNTIF('DONNÉES BRUTES'!C$3:C$42,"Industrials"),"",INDEX('DONNÉES BRUTES'!Y$3:Y$42,MATCH(LARGE(IF('DONNÉES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G26" s="187" t="str" cm="1">
        <f t="array" ref="G26">IFERROR(IF(16&gt;COUNTIF('DONNÉES BRUTES'!C$3:C$42,"Industrials"),"",INDEX('DONNÉES BRUTES'!Z$3:Z$42,MATCH(LARGE(IF('DONNÉES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H26" s="187" t="str" cm="1">
        <f t="array" ref="H26">IFERROR(IF(16&gt;COUNTIF('DONNÉES BRUTES'!C$3:C$42,"Industrials"),"",INDEX('DONNÉES BRUTES'!AA$3:AA$42,MATCH(LARGE(IF('DONNÉES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I26" s="187" t="str" cm="1">
        <f t="array" ref="I26">IFERROR(IF(16&gt;COUNTIF('DONNÉES BRUTES'!C$3:C$42,"Industrials"),"",INDEX('DONNÉES BRUTES'!M$3:M$42,MATCH(LARGE(IF('DONNÉES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J26" s="187" t="str" cm="1">
        <f t="array" ref="J26">IFERROR(IF(16&gt;COUNTIF('DONNÉES BRUTES'!C$3:C$42,"Industrials"),"",INDEX('DONNÉES BRUTES'!N$3:N$42,MATCH(LARGE(IF('DONNÉES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K26" s="187" t="str" cm="1">
        <f t="array" ref="K26">IFERROR(IF(16&gt;COUNTIF('DONNÉES BRUTES'!C$3:C$42,"Industrials"),"",INDEX('DONNÉES BRUTES'!O$3:O$42,MATCH(LARGE(IF('DONNÉES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L26" s="187" t="str" cm="1">
        <f t="array" ref="L26">IFERROR(IF(16&gt;COUNTIF('DONNÉES BRUTES'!C$3:C$42,"Industrials"),"",INDEX('DONNÉES BRUTES'!P$3:P$42,MATCH(LARGE(IF('DONNÉES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M26" s="187" t="str" cm="1">
        <f t="array" ref="M26">IFERROR(IF(16&gt;COUNTIF('DONNÉES BRUTES'!C$3:C$42,"Industrials"),"",INDEX('DONNÉES BRUTES'!Q$3:Q$42,MATCH(LARGE(IF('DONNÉES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N26" s="187" t="str" cm="1">
        <f t="array" ref="N26">IFERROR(IF(16&gt;COUNTIF('DONNÉES BRUTES'!C$3:C$42,"Industrials"),"",INDEX('DONNÉES BRUTES'!S$3:S$42,MATCH(LARGE(IF('DONNÉES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O26" s="187" t="str" cm="1">
        <f t="array" ref="O26">IFERROR(IF(16&gt;COUNTIF('DONNÉES BRUTES'!C$3:C$42,"Industrials"),"",INDEX('DONNÉES BRUTES'!T$3:T$42,MATCH(LARGE(IF('DONNÉES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P26" s="190" t="str" cm="1">
        <f t="array" ref="P26">IFERROR(IF(16&gt;COUNTIF('DONNÉES BRUTES'!C$3:C$42,"Industrials"),"",INDEX('DONNÉES BRUTES'!U$3:U$42,MATCH(LARGE(IF('DONNÉES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Q26" t="str" cm="1">
        <f t="array" ref="Q26">IFERROR(IF(16&gt;COUNTIF('DONNÉES BRUTES'!C$3:C$42,"Industrials"),"",INDEX('DONNÉES BRUTES'!AD$3:AD$42,MATCH(LARGE(IF('DONNÉES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</row>
    <row r="27" spans="1:26" ht="15.95" customHeight="1" x14ac:dyDescent="0.25">
      <c r="A27" s="200"/>
      <c r="B27" s="197" t="str">
        <f>IF(17&gt;COUNTIF('DONNÉES BRUTES'!C$3:C$42,"Industrials"),"",17)</f>
        <v/>
      </c>
      <c r="C27" s="192" t="str" cm="1">
        <f t="array" ref="C27">IFERROR(IF(17&gt;COUNTIF('DONNÉES BRUTES'!C$3:C$42,"Industrials"),"",INDEX('DONNÉES BRUTES'!A$3:A$42,MATCH(LARGE(IF('DONNÉES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D27" s="192" t="str" cm="1">
        <f t="array" ref="D27">IFERROR(IF(17&gt;COUNTIF('DONNÉES BRUTES'!C$3:C$42,"Industrials"),"",INDEX('DONNÉES BRUTES'!B$3:B$42,MATCH(LARGE(IF('DONNÉES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E27" s="193" t="str" cm="1">
        <f t="array" ref="E27">IFERROR(IF(17&gt;COUNTIF('DONNÉES BRUTES'!C$3:C$42,"Industrials"),"",INT(LARGE(IF('DONNÉES BRUTES'!C$3:C$42="Industrials",'DONNÉES BRUTES'!AB$3:AB$42+(ROW('DONNÉES BRUTES'!A$3:A$42)-ROW('DONNÉES BRUTES'!A$3))/1000,0),17))&amp;"/100"),"—")</f>
        <v/>
      </c>
      <c r="F27" s="191" t="str" cm="1">
        <f t="array" ref="F27">IFERROR(IF(17&gt;COUNTIF('DONNÉES BRUTES'!C$3:C$42,"Industrials"),"",INDEX('DONNÉES BRUTES'!Y$3:Y$42,MATCH(LARGE(IF('DONNÉES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G27" s="191" t="str" cm="1">
        <f t="array" ref="G27">IFERROR(IF(17&gt;COUNTIF('DONNÉES BRUTES'!C$3:C$42,"Industrials"),"",INDEX('DONNÉES BRUTES'!Z$3:Z$42,MATCH(LARGE(IF('DONNÉES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H27" s="191" t="str" cm="1">
        <f t="array" ref="H27">IFERROR(IF(17&gt;COUNTIF('DONNÉES BRUTES'!C$3:C$42,"Industrials"),"",INDEX('DONNÉES BRUTES'!AA$3:AA$42,MATCH(LARGE(IF('DONNÉES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I27" s="191" t="str" cm="1">
        <f t="array" ref="I27">IFERROR(IF(17&gt;COUNTIF('DONNÉES BRUTES'!C$3:C$42,"Industrials"),"",INDEX('DONNÉES BRUTES'!M$3:M$42,MATCH(LARGE(IF('DONNÉES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J27" s="191" t="str" cm="1">
        <f t="array" ref="J27">IFERROR(IF(17&gt;COUNTIF('DONNÉES BRUTES'!C$3:C$42,"Industrials"),"",INDEX('DONNÉES BRUTES'!N$3:N$42,MATCH(LARGE(IF('DONNÉES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K27" s="191" t="str" cm="1">
        <f t="array" ref="K27">IFERROR(IF(17&gt;COUNTIF('DONNÉES BRUTES'!C$3:C$42,"Industrials"),"",INDEX('DONNÉES BRUTES'!O$3:O$42,MATCH(LARGE(IF('DONNÉES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L27" s="191" t="str" cm="1">
        <f t="array" ref="L27">IFERROR(IF(17&gt;COUNTIF('DONNÉES BRUTES'!C$3:C$42,"Industrials"),"",INDEX('DONNÉES BRUTES'!P$3:P$42,MATCH(LARGE(IF('DONNÉES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M27" s="191" t="str" cm="1">
        <f t="array" ref="M27">IFERROR(IF(17&gt;COUNTIF('DONNÉES BRUTES'!C$3:C$42,"Industrials"),"",INDEX('DONNÉES BRUTES'!Q$3:Q$42,MATCH(LARGE(IF('DONNÉES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N27" s="191" t="str" cm="1">
        <f t="array" ref="N27">IFERROR(IF(17&gt;COUNTIF('DONNÉES BRUTES'!C$3:C$42,"Industrials"),"",INDEX('DONNÉES BRUTES'!S$3:S$42,MATCH(LARGE(IF('DONNÉES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O27" s="191" t="str" cm="1">
        <f t="array" ref="O27">IFERROR(IF(17&gt;COUNTIF('DONNÉES BRUTES'!C$3:C$42,"Industrials"),"",INDEX('DONNÉES BRUTES'!T$3:T$42,MATCH(LARGE(IF('DONNÉES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P27" s="194" t="str" cm="1">
        <f t="array" ref="P27">IFERROR(IF(17&gt;COUNTIF('DONNÉES BRUTES'!C$3:C$42,"Industrials"),"",INDEX('DONNÉES BRUTES'!U$3:U$42,MATCH(LARGE(IF('DONNÉES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Q27" t="str" cm="1">
        <f t="array" ref="Q27">IFERROR(IF(17&gt;COUNTIF('DONNÉES BRUTES'!C$3:C$42,"Industrials"),"",INDEX('DONNÉES BRUTES'!AD$3:AD$42,MATCH(LARGE(IF('DONNÉES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</row>
    <row r="28" spans="1:26" ht="15.95" customHeight="1" x14ac:dyDescent="0.25">
      <c r="A28" s="199"/>
      <c r="B28" s="196" t="str">
        <f>IF(18&gt;COUNTIF('DONNÉES BRUTES'!C$3:C$42,"Industrials"),"",18)</f>
        <v/>
      </c>
      <c r="C28" s="188" t="str" cm="1">
        <f t="array" ref="C28">IFERROR(IF(18&gt;COUNTIF('DONNÉES BRUTES'!C$3:C$42,"Industrials"),"",INDEX('DONNÉES BRUTES'!A$3:A$42,MATCH(LARGE(IF('DONNÉES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D28" s="188" t="str" cm="1">
        <f t="array" ref="D28">IFERROR(IF(18&gt;COUNTIF('DONNÉES BRUTES'!C$3:C$42,"Industrials"),"",INDEX('DONNÉES BRUTES'!B$3:B$42,MATCH(LARGE(IF('DONNÉES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E28" s="189" t="str" cm="1">
        <f t="array" ref="E28">IFERROR(IF(18&gt;COUNTIF('DONNÉES BRUTES'!C$3:C$42,"Industrials"),"",INT(LARGE(IF('DONNÉES BRUTES'!C$3:C$42="Industrials",'DONNÉES BRUTES'!AB$3:AB$42+(ROW('DONNÉES BRUTES'!A$3:A$42)-ROW('DONNÉES BRUTES'!A$3))/1000,0),18))&amp;"/100"),"—")</f>
        <v/>
      </c>
      <c r="F28" s="187" t="str" cm="1">
        <f t="array" ref="F28">IFERROR(IF(18&gt;COUNTIF('DONNÉES BRUTES'!C$3:C$42,"Industrials"),"",INDEX('DONNÉES BRUTES'!Y$3:Y$42,MATCH(LARGE(IF('DONNÉES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G28" s="187" t="str" cm="1">
        <f t="array" ref="G28">IFERROR(IF(18&gt;COUNTIF('DONNÉES BRUTES'!C$3:C$42,"Industrials"),"",INDEX('DONNÉES BRUTES'!Z$3:Z$42,MATCH(LARGE(IF('DONNÉES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H28" s="187" t="str" cm="1">
        <f t="array" ref="H28">IFERROR(IF(18&gt;COUNTIF('DONNÉES BRUTES'!C$3:C$42,"Industrials"),"",INDEX('DONNÉES BRUTES'!AA$3:AA$42,MATCH(LARGE(IF('DONNÉES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I28" s="187" t="str" cm="1">
        <f t="array" ref="I28">IFERROR(IF(18&gt;COUNTIF('DONNÉES BRUTES'!C$3:C$42,"Industrials"),"",INDEX('DONNÉES BRUTES'!M$3:M$42,MATCH(LARGE(IF('DONNÉES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J28" s="187" t="str" cm="1">
        <f t="array" ref="J28">IFERROR(IF(18&gt;COUNTIF('DONNÉES BRUTES'!C$3:C$42,"Industrials"),"",INDEX('DONNÉES BRUTES'!N$3:N$42,MATCH(LARGE(IF('DONNÉES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K28" s="187" t="str" cm="1">
        <f t="array" ref="K28">IFERROR(IF(18&gt;COUNTIF('DONNÉES BRUTES'!C$3:C$42,"Industrials"),"",INDEX('DONNÉES BRUTES'!O$3:O$42,MATCH(LARGE(IF('DONNÉES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L28" s="187" t="str" cm="1">
        <f t="array" ref="L28">IFERROR(IF(18&gt;COUNTIF('DONNÉES BRUTES'!C$3:C$42,"Industrials"),"",INDEX('DONNÉES BRUTES'!P$3:P$42,MATCH(LARGE(IF('DONNÉES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M28" s="187" t="str" cm="1">
        <f t="array" ref="M28">IFERROR(IF(18&gt;COUNTIF('DONNÉES BRUTES'!C$3:C$42,"Industrials"),"",INDEX('DONNÉES BRUTES'!Q$3:Q$42,MATCH(LARGE(IF('DONNÉES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N28" s="187" t="str" cm="1">
        <f t="array" ref="N28">IFERROR(IF(18&gt;COUNTIF('DONNÉES BRUTES'!C$3:C$42,"Industrials"),"",INDEX('DONNÉES BRUTES'!S$3:S$42,MATCH(LARGE(IF('DONNÉES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O28" s="187" t="str" cm="1">
        <f t="array" ref="O28">IFERROR(IF(18&gt;COUNTIF('DONNÉES BRUTES'!C$3:C$42,"Industrials"),"",INDEX('DONNÉES BRUTES'!T$3:T$42,MATCH(LARGE(IF('DONNÉES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P28" s="190" t="str" cm="1">
        <f t="array" ref="P28">IFERROR(IF(18&gt;COUNTIF('DONNÉES BRUTES'!C$3:C$42,"Industrials"),"",INDEX('DONNÉES BRUTES'!U$3:U$42,MATCH(LARGE(IF('DONNÉES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Q28" t="str" cm="1">
        <f t="array" ref="Q28">IFERROR(IF(18&gt;COUNTIF('DONNÉES BRUTES'!C$3:C$42,"Industrials"),"",INDEX('DONNÉES BRUTES'!AD$3:AD$42,MATCH(LARGE(IF('DONNÉES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S28" t="s">
        <v>4</v>
      </c>
      <c r="T28" t="s">
        <v>5</v>
      </c>
      <c r="U28" t="s">
        <v>43</v>
      </c>
      <c r="V28" t="s">
        <v>44</v>
      </c>
      <c r="W28" t="s">
        <v>45</v>
      </c>
      <c r="X28" t="s">
        <v>43</v>
      </c>
      <c r="Y28" t="s">
        <v>44</v>
      </c>
      <c r="Z28" t="s">
        <v>45</v>
      </c>
    </row>
    <row r="29" spans="1:26" ht="15.95" customHeight="1" x14ac:dyDescent="0.25">
      <c r="A29" s="200"/>
      <c r="B29" s="197" t="str">
        <f>IF(19&gt;COUNTIF('DONNÉES BRUTES'!C$3:C$42,"Industrials"),"",19)</f>
        <v/>
      </c>
      <c r="C29" s="192" t="str" cm="1">
        <f t="array" ref="C29">IFERROR(IF(19&gt;COUNTIF('DONNÉES BRUTES'!C$3:C$42,"Industrials"),"",INDEX('DONNÉES BRUTES'!A$3:A$42,MATCH(LARGE(IF('DONNÉES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D29" s="192" t="str" cm="1">
        <f t="array" ref="D29">IFERROR(IF(19&gt;COUNTIF('DONNÉES BRUTES'!C$3:C$42,"Industrials"),"",INDEX('DONNÉES BRUTES'!B$3:B$42,MATCH(LARGE(IF('DONNÉES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E29" s="193" t="str" cm="1">
        <f t="array" ref="E29">IFERROR(IF(19&gt;COUNTIF('DONNÉES BRUTES'!C$3:C$42,"Industrials"),"",INT(LARGE(IF('DONNÉES BRUTES'!C$3:C$42="Industrials",'DONNÉES BRUTES'!AB$3:AB$42+(ROW('DONNÉES BRUTES'!A$3:A$42)-ROW('DONNÉES BRUTES'!A$3))/1000,0),19))&amp;"/100"),"—")</f>
        <v/>
      </c>
      <c r="F29" s="191" t="str" cm="1">
        <f t="array" ref="F29">IFERROR(IF(19&gt;COUNTIF('DONNÉES BRUTES'!C$3:C$42,"Industrials"),"",INDEX('DONNÉES BRUTES'!Y$3:Y$42,MATCH(LARGE(IF('DONNÉES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G29" s="191" t="str" cm="1">
        <f t="array" ref="G29">IFERROR(IF(19&gt;COUNTIF('DONNÉES BRUTES'!C$3:C$42,"Industrials"),"",INDEX('DONNÉES BRUTES'!Z$3:Z$42,MATCH(LARGE(IF('DONNÉES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H29" s="191" t="str" cm="1">
        <f t="array" ref="H29">IFERROR(IF(19&gt;COUNTIF('DONNÉES BRUTES'!C$3:C$42,"Industrials"),"",INDEX('DONNÉES BRUTES'!AA$3:AA$42,MATCH(LARGE(IF('DONNÉES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I29" s="191" t="str" cm="1">
        <f t="array" ref="I29">IFERROR(IF(19&gt;COUNTIF('DONNÉES BRUTES'!C$3:C$42,"Industrials"),"",INDEX('DONNÉES BRUTES'!M$3:M$42,MATCH(LARGE(IF('DONNÉES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J29" s="191" t="str" cm="1">
        <f t="array" ref="J29">IFERROR(IF(19&gt;COUNTIF('DONNÉES BRUTES'!C$3:C$42,"Industrials"),"",INDEX('DONNÉES BRUTES'!N$3:N$42,MATCH(LARGE(IF('DONNÉES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K29" s="191" t="str" cm="1">
        <f t="array" ref="K29">IFERROR(IF(19&gt;COUNTIF('DONNÉES BRUTES'!C$3:C$42,"Industrials"),"",INDEX('DONNÉES BRUTES'!O$3:O$42,MATCH(LARGE(IF('DONNÉES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L29" s="191" t="str" cm="1">
        <f t="array" ref="L29">IFERROR(IF(19&gt;COUNTIF('DONNÉES BRUTES'!C$3:C$42,"Industrials"),"",INDEX('DONNÉES BRUTES'!P$3:P$42,MATCH(LARGE(IF('DONNÉES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M29" s="191" t="str" cm="1">
        <f t="array" ref="M29">IFERROR(IF(19&gt;COUNTIF('DONNÉES BRUTES'!C$3:C$42,"Industrials"),"",INDEX('DONNÉES BRUTES'!Q$3:Q$42,MATCH(LARGE(IF('DONNÉES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N29" s="191" t="str" cm="1">
        <f t="array" ref="N29">IFERROR(IF(19&gt;COUNTIF('DONNÉES BRUTES'!C$3:C$42,"Industrials"),"",INDEX('DONNÉES BRUTES'!S$3:S$42,MATCH(LARGE(IF('DONNÉES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O29" s="191" t="str" cm="1">
        <f t="array" ref="O29">IFERROR(IF(19&gt;COUNTIF('DONNÉES BRUTES'!C$3:C$42,"Industrials"),"",INDEX('DONNÉES BRUTES'!T$3:T$42,MATCH(LARGE(IF('DONNÉES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P29" s="194" t="str" cm="1">
        <f t="array" ref="P29">IFERROR(IF(19&gt;COUNTIF('DONNÉES BRUTES'!C$3:C$42,"Industrials"),"",INDEX('DONNÉES BRUTES'!U$3:U$42,MATCH(LARGE(IF('DONNÉES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Q29" t="str" cm="1">
        <f t="array" ref="Q29">IFERROR(IF(19&gt;COUNTIF('DONNÉES BRUTES'!C$3:C$42,"Industrials"),"",INDEX('DONNÉES BRUTES'!AD$3:AD$42,MATCH(LARGE(IF('DONNÉES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S29" t="str">
        <f>IF(D11="","",LEFT(D11,14))</f>
        <v>Alstom SA</v>
      </c>
      <c r="T29">
        <f>IF(E11="","",IFERROR(VALUE(LEFT(E11,FIND("/",E11)-1)),0))</f>
        <v>70</v>
      </c>
      <c r="U29">
        <f t="shared" ref="U29:W33" si="0">IF(ISNUMBER(F11),F11,0)</f>
        <v>95</v>
      </c>
      <c r="V29">
        <f t="shared" si="0"/>
        <v>15</v>
      </c>
      <c r="W29">
        <f t="shared" si="0"/>
        <v>100</v>
      </c>
      <c r="X29">
        <f t="shared" ref="X29:X39" si="1">IF(ISNUMBER(F11),F11,"")</f>
        <v>95</v>
      </c>
      <c r="Y29">
        <f t="shared" ref="Y29:Y39" si="2">IF(ISNUMBER(G11),G11,"")</f>
        <v>15</v>
      </c>
      <c r="Z29">
        <f t="shared" ref="Z29:Z39" si="3">IF(ISNUMBER(H11),H11,"")</f>
        <v>100</v>
      </c>
    </row>
    <row r="30" spans="1:26" ht="15.95" customHeight="1" x14ac:dyDescent="0.25">
      <c r="A30" s="217"/>
      <c r="B30" s="216" t="str">
        <f>IF(20&gt;COUNTIF('DONNÉES BRUTES'!C$3:C$42,"Industrials"),"",20)</f>
        <v/>
      </c>
      <c r="C30" s="213" t="str" cm="1">
        <f t="array" ref="C30">IFERROR(IF(20&gt;COUNTIF('DONNÉES BRUTES'!C$3:C$42,"Industrials"),"",INDEX('DONNÉES BRUTES'!A$3:A$42,MATCH(LARGE(IF('DONNÉES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D30" s="213" t="str" cm="1">
        <f t="array" ref="D30">IFERROR(IF(20&gt;COUNTIF('DONNÉES BRUTES'!C$3:C$42,"Industrials"),"",INDEX('DONNÉES BRUTES'!B$3:B$42,MATCH(LARGE(IF('DONNÉES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E30" s="214" t="str" cm="1">
        <f t="array" ref="E30">IFERROR(IF(20&gt;COUNTIF('DONNÉES BRUTES'!C$3:C$42,"Industrials"),"",INT(LARGE(IF('DONNÉES BRUTES'!C$3:C$42="Industrials",'DONNÉES BRUTES'!AB$3:AB$42+(ROW('DONNÉES BRUTES'!A$3:A$42)-ROW('DONNÉES BRUTES'!A$3))/1000,0),20))&amp;"/100"),"—")</f>
        <v/>
      </c>
      <c r="F30" s="212" t="str" cm="1">
        <f t="array" ref="F30">IFERROR(IF(20&gt;COUNTIF('DONNÉES BRUTES'!C$3:C$42,"Industrials"),"",INDEX('DONNÉES BRUTES'!Y$3:Y$42,MATCH(LARGE(IF('DONNÉES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G30" s="212" t="str" cm="1">
        <f t="array" ref="G30">IFERROR(IF(20&gt;COUNTIF('DONNÉES BRUTES'!C$3:C$42,"Industrials"),"",INDEX('DONNÉES BRUTES'!Z$3:Z$42,MATCH(LARGE(IF('DONNÉES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H30" s="212" t="str" cm="1">
        <f t="array" ref="H30">IFERROR(IF(20&gt;COUNTIF('DONNÉES BRUTES'!C$3:C$42,"Industrials"),"",INDEX('DONNÉES BRUTES'!AA$3:AA$42,MATCH(LARGE(IF('DONNÉES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I30" s="212" t="str" cm="1">
        <f t="array" ref="I30">IFERROR(IF(20&gt;COUNTIF('DONNÉES BRUTES'!C$3:C$42,"Industrials"),"",INDEX('DONNÉES BRUTES'!M$3:M$42,MATCH(LARGE(IF('DONNÉES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J30" s="212" t="str" cm="1">
        <f t="array" ref="J30">IFERROR(IF(20&gt;COUNTIF('DONNÉES BRUTES'!C$3:C$42,"Industrials"),"",INDEX('DONNÉES BRUTES'!N$3:N$42,MATCH(LARGE(IF('DONNÉES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K30" s="212" t="str" cm="1">
        <f t="array" ref="K30">IFERROR(IF(20&gt;COUNTIF('DONNÉES BRUTES'!C$3:C$42,"Industrials"),"",INDEX('DONNÉES BRUTES'!O$3:O$42,MATCH(LARGE(IF('DONNÉES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L30" s="212" t="str" cm="1">
        <f t="array" ref="L30">IFERROR(IF(20&gt;COUNTIF('DONNÉES BRUTES'!C$3:C$42,"Industrials"),"",INDEX('DONNÉES BRUTES'!P$3:P$42,MATCH(LARGE(IF('DONNÉES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M30" s="212" t="str" cm="1">
        <f t="array" ref="M30">IFERROR(IF(20&gt;COUNTIF('DONNÉES BRUTES'!C$3:C$42,"Industrials"),"",INDEX('DONNÉES BRUTES'!Q$3:Q$42,MATCH(LARGE(IF('DONNÉES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N30" s="212" t="str" cm="1">
        <f t="array" ref="N30">IFERROR(IF(20&gt;COUNTIF('DONNÉES BRUTES'!C$3:C$42,"Industrials"),"",INDEX('DONNÉES BRUTES'!S$3:S$42,MATCH(LARGE(IF('DONNÉES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O30" s="212" t="str" cm="1">
        <f t="array" ref="O30">IFERROR(IF(20&gt;COUNTIF('DONNÉES BRUTES'!C$3:C$42,"Industrials"),"",INDEX('DONNÉES BRUTES'!T$3:T$42,MATCH(LARGE(IF('DONNÉES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P30" s="215" t="str" cm="1">
        <f t="array" ref="P30">IFERROR(IF(20&gt;COUNTIF('DONNÉES BRUTES'!C$3:C$42,"Industrials"),"",INDEX('DONNÉES BRUTES'!U$3:U$42,MATCH(LARGE(IF('DONNÉES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Q30" t="str" cm="1">
        <f t="array" ref="Q30">IFERROR(IF(20&gt;COUNTIF('DONNÉES BRUTES'!C$3:C$42,"Industrials"),"",INDEX('DONNÉES BRUTES'!AD$3:AD$42,MATCH(LARGE(IF('DONNÉES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S30" t="str">
        <f>IF(D12="","",LEFT(D12,14))</f>
        <v>Safran SA</v>
      </c>
      <c r="T30">
        <f>IF(E12="","",IFERROR(VALUE(LEFT(E12,FIND("/",E12)-1)),0))</f>
        <v>68</v>
      </c>
      <c r="U30">
        <f t="shared" si="0"/>
        <v>100</v>
      </c>
      <c r="V30">
        <f t="shared" si="0"/>
        <v>67</v>
      </c>
      <c r="W30">
        <f t="shared" si="0"/>
        <v>38</v>
      </c>
      <c r="X30">
        <f t="shared" si="1"/>
        <v>100</v>
      </c>
      <c r="Y30">
        <f t="shared" si="2"/>
        <v>67</v>
      </c>
      <c r="Z30">
        <f t="shared" si="3"/>
        <v>38</v>
      </c>
    </row>
    <row r="31" spans="1:26" x14ac:dyDescent="0.25">
      <c r="S31" t="str">
        <f>IF(D13="","",LEFT(D13,14))</f>
        <v>Airbus SE</v>
      </c>
      <c r="T31">
        <f>IF(E13="","",IFERROR(VALUE(LEFT(E13,FIND("/",E13)-1)),0))</f>
        <v>68</v>
      </c>
      <c r="U31">
        <f t="shared" si="0"/>
        <v>84</v>
      </c>
      <c r="V31">
        <f t="shared" si="0"/>
        <v>23</v>
      </c>
      <c r="W31">
        <f t="shared" si="0"/>
        <v>97</v>
      </c>
      <c r="X31">
        <f t="shared" si="1"/>
        <v>84</v>
      </c>
      <c r="Y31">
        <f t="shared" si="2"/>
        <v>23</v>
      </c>
      <c r="Z31">
        <f t="shared" si="3"/>
        <v>97</v>
      </c>
    </row>
    <row r="32" spans="1:26" x14ac:dyDescent="0.25">
      <c r="B32" t="s">
        <v>597</v>
      </c>
      <c r="E32" t="str">
        <f>ROUND(AVERAGEIF('DONNÉES BRUTES'!C$3:C$42,"Industrials",'DONNÉES BRUTES'!AB$3:AB$42),0)&amp;"/100"</f>
        <v>54/100</v>
      </c>
      <c r="J32" t="str" cm="1">
        <f t="array" ref="J32">IFERROR(TEXT(MEDIAN(IF('DONNÉES BRUTES'!C$3:C$42="Industrials",IF(ISNUMBER('DONNÉES BRUTES'!N$3:N$42),'DONNÉES BRUTES'!N$3:N$42))),"0.0%"),"—")</f>
        <v>—</v>
      </c>
      <c r="P32" t="str" cm="1">
        <f t="array" ref="P32">IFERROR(TEXT(MEDIAN(IF('DONNÉES BRUTES'!C$3:C$42="Industrials",IF(ISNUMBER('DONNÉES BRUTES'!U$3:U$42),'DONNÉES BRUTES'!U$3:U$42))),"0.00"),"—")</f>
        <v>—</v>
      </c>
      <c r="S32" t="str">
        <f>IF(D14="","",LEFT(D14,14))</f>
        <v>Legrand SA</v>
      </c>
      <c r="T32">
        <f>IF(E14="","",IFERROR(VALUE(LEFT(E14,FIND("/",E14)-1)),0))</f>
        <v>64</v>
      </c>
      <c r="U32">
        <f t="shared" si="0"/>
        <v>82</v>
      </c>
      <c r="V32">
        <f t="shared" si="0"/>
        <v>56</v>
      </c>
      <c r="W32">
        <f t="shared" si="0"/>
        <v>54</v>
      </c>
      <c r="X32">
        <f t="shared" si="1"/>
        <v>82</v>
      </c>
      <c r="Y32">
        <f t="shared" si="2"/>
        <v>56</v>
      </c>
      <c r="Z32">
        <f t="shared" si="3"/>
        <v>54</v>
      </c>
    </row>
    <row r="33" spans="2:26" x14ac:dyDescent="0.25">
      <c r="B33" t="s">
        <v>598</v>
      </c>
      <c r="S33" t="str">
        <f>IF(D15="","",LEFT(D15,14))</f>
        <v>Schneider Elec</v>
      </c>
      <c r="T33">
        <f>IF(E15="","",IFERROR(VALUE(LEFT(E15,FIND("/",E15)-1)),0))</f>
        <v>57</v>
      </c>
      <c r="U33">
        <f t="shared" si="0"/>
        <v>66</v>
      </c>
      <c r="V33">
        <f t="shared" si="0"/>
        <v>69</v>
      </c>
      <c r="W33">
        <f t="shared" si="0"/>
        <v>36</v>
      </c>
      <c r="X33">
        <f t="shared" si="1"/>
        <v>66</v>
      </c>
      <c r="Y33">
        <f t="shared" si="2"/>
        <v>69</v>
      </c>
      <c r="Z33">
        <f t="shared" si="3"/>
        <v>36</v>
      </c>
    </row>
    <row r="34" spans="2:26" x14ac:dyDescent="0.25">
      <c r="S34" t="str">
        <f t="shared" ref="S34:S39" si="4">IF(D16="","",LEFT(D16,12))</f>
        <v>Bouygues SA</v>
      </c>
      <c r="T34">
        <f t="shared" ref="T34:T39" si="5">IF(E16="","",IFERROR(VALUE(LEFT(E16,FIND("/",E16)-1)),""))</f>
        <v>57</v>
      </c>
      <c r="W34" t="str">
        <f t="shared" ref="W34:W39" si="6">IF(D16="","",LEFT(D16,12))</f>
        <v>Bouygues SA</v>
      </c>
      <c r="X34">
        <f t="shared" si="1"/>
        <v>39</v>
      </c>
      <c r="Y34">
        <f t="shared" si="2"/>
        <v>54</v>
      </c>
      <c r="Z34">
        <f t="shared" si="3"/>
        <v>79</v>
      </c>
    </row>
    <row r="35" spans="2:26" x14ac:dyDescent="0.25">
      <c r="S35" t="str">
        <f t="shared" si="4"/>
        <v>Thales S.A.</v>
      </c>
      <c r="T35">
        <f t="shared" si="5"/>
        <v>48</v>
      </c>
      <c r="W35" t="str">
        <f t="shared" si="6"/>
        <v>Thales S.A.</v>
      </c>
      <c r="X35">
        <f t="shared" si="1"/>
        <v>89</v>
      </c>
      <c r="Y35">
        <f t="shared" si="2"/>
        <v>31</v>
      </c>
      <c r="Z35">
        <f t="shared" si="3"/>
        <v>23</v>
      </c>
    </row>
    <row r="36" spans="2:26" x14ac:dyDescent="0.25">
      <c r="S36" t="str">
        <f t="shared" si="4"/>
        <v>Vinci SA</v>
      </c>
      <c r="T36">
        <f t="shared" si="5"/>
        <v>47</v>
      </c>
      <c r="W36" t="str">
        <f t="shared" si="6"/>
        <v>Vinci SA</v>
      </c>
      <c r="X36">
        <f t="shared" si="1"/>
        <v>68</v>
      </c>
      <c r="Y36">
        <f t="shared" si="2"/>
        <v>59</v>
      </c>
      <c r="Z36">
        <f t="shared" si="3"/>
        <v>13</v>
      </c>
    </row>
    <row r="37" spans="2:26" x14ac:dyDescent="0.25">
      <c r="S37" t="str">
        <f t="shared" si="4"/>
        <v>Bureau Verit</v>
      </c>
      <c r="T37">
        <f t="shared" si="5"/>
        <v>46</v>
      </c>
      <c r="W37" t="str">
        <f t="shared" si="6"/>
        <v>Bureau Verit</v>
      </c>
      <c r="X37">
        <f t="shared" si="1"/>
        <v>53</v>
      </c>
      <c r="Y37">
        <f t="shared" si="2"/>
        <v>82</v>
      </c>
      <c r="Z37">
        <f t="shared" si="3"/>
        <v>3</v>
      </c>
    </row>
    <row r="38" spans="2:26" x14ac:dyDescent="0.25">
      <c r="S38" t="str">
        <f t="shared" si="4"/>
        <v>Compagnie de</v>
      </c>
      <c r="T38">
        <f t="shared" si="5"/>
        <v>37</v>
      </c>
      <c r="W38" t="str">
        <f t="shared" si="6"/>
        <v>Compagnie de</v>
      </c>
      <c r="X38">
        <f t="shared" si="1"/>
        <v>45</v>
      </c>
      <c r="Y38">
        <f t="shared" si="2"/>
        <v>33</v>
      </c>
      <c r="Z38">
        <f t="shared" si="3"/>
        <v>33</v>
      </c>
    </row>
    <row r="39" spans="2:26" x14ac:dyDescent="0.25">
      <c r="S39" t="str">
        <f t="shared" si="4"/>
        <v>Veolia Envir</v>
      </c>
      <c r="T39">
        <f t="shared" si="5"/>
        <v>29</v>
      </c>
      <c r="W39" t="str">
        <f t="shared" si="6"/>
        <v>Veolia Envir</v>
      </c>
      <c r="X39">
        <f t="shared" si="1"/>
        <v>47</v>
      </c>
      <c r="Y39">
        <f t="shared" si="2"/>
        <v>21</v>
      </c>
      <c r="Z39">
        <f t="shared" si="3"/>
        <v>18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B31"/>
  <sheetViews>
    <sheetView showGridLines="0" zoomScaleNormal="100" workbookViewId="0">
      <selection activeCell="N5" sqref="N5"/>
    </sheetView>
  </sheetViews>
  <sheetFormatPr baseColWidth="10" defaultColWidth="8.85546875" defaultRowHeight="15" x14ac:dyDescent="0.25"/>
  <cols>
    <col min="1" max="1" width="1.5703125" customWidth="1"/>
    <col min="2" max="2" width="5.28515625" customWidth="1"/>
    <col min="3" max="3" width="10.42578125" customWidth="1"/>
    <col min="4" max="4" width="21.85546875" customWidth="1"/>
    <col min="5" max="5" width="10.42578125" customWidth="1"/>
    <col min="6" max="8" width="5.28515625" customWidth="1"/>
    <col min="9" max="10" width="8" customWidth="1"/>
    <col min="11" max="11" width="7.28515625" customWidth="1"/>
    <col min="12" max="13" width="8" customWidth="1"/>
    <col min="14" max="14" width="6.42578125" customWidth="1"/>
    <col min="15" max="15" width="7.28515625" customWidth="1"/>
    <col min="16" max="16" width="6.42578125" customWidth="1"/>
    <col min="17" max="17" width="14" bestFit="1" customWidth="1"/>
  </cols>
  <sheetData>
    <row r="1" spans="2:17" ht="30" customHeight="1" x14ac:dyDescent="0.25">
      <c r="B1" s="273" t="str">
        <f>"FinSight IA  ·  Healthcare  ·  CAC 40  ·  "&amp;COUNTIF('DONNÉES BRUTES'!C$3:C$42,"Healthcare")&amp;" sociétés  ·  22/03/2026"</f>
        <v>FinSight IA  ·  Healthcare  ·  CAC 40  ·  3 sociétés  ·  22/03/2026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</row>
    <row r="2" spans="2:17" ht="18" customHeight="1" x14ac:dyDescent="0.25">
      <c r="B2" s="277" t="s">
        <v>252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</row>
    <row r="3" spans="2:17" ht="8.1" customHeight="1" x14ac:dyDescent="0.25"/>
    <row r="4" spans="2:17" ht="8.1" customHeight="1" x14ac:dyDescent="0.25"/>
    <row r="5" spans="2:17" ht="39.950000000000003" customHeight="1" x14ac:dyDescent="0.25">
      <c r="B5" s="259"/>
      <c r="C5" s="246">
        <f>COUNTIF('DONNÉES BRUTES'!C$3:C$42,"Healthcare")</f>
        <v>3</v>
      </c>
      <c r="D5" s="259"/>
      <c r="E5" s="255" t="str">
        <f>ROUND(AVERAGEIF('DONNÉES BRUTES'!C$3:C$42,"Healthcare",'DONNÉES BRUTES'!AB$3:AB$42),0)&amp;"/100"</f>
        <v>69/100</v>
      </c>
      <c r="F5" s="255"/>
      <c r="G5" s="255"/>
      <c r="H5" s="249" t="str" cm="1">
        <f t="array" ref="H5">IFERROR(INDEX('DONNÉES BRUTES'!B$3:B$42,MATCH(LARGE(IF('DONNÉES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BRUTES'!A$3))/1000,0),0)),"—")</f>
        <v>Sanofi</v>
      </c>
      <c r="I5" s="255"/>
      <c r="J5" s="255"/>
      <c r="K5" s="255"/>
      <c r="L5" s="251" t="str">
        <f>IFERROR(VLOOKUP("Healthcare",'SECTOR OVERVIEW'!B$8:G$19,6,0),"—")</f>
        <v>23.2%</v>
      </c>
      <c r="M5" s="255"/>
      <c r="N5" s="252" cm="1">
        <f t="array" ref="N5">IFERROR(ROUND(MEDIAN(IF('DONNÉES BRUTES'!C$3:C$42="Healthcare",IF(ISNUMBER('DONNÉES BRUTES'!Y$3:Y$42),'DONNÉES BRUTES'!Y$3:Y$42))),0),"—")</f>
        <v>76</v>
      </c>
      <c r="O5" s="255"/>
      <c r="P5" s="253" t="str">
        <f>IF(COUNTIFS('DONNÉES BRUTES'!C$3:C$42,"Healthcare",'DONNÉES BRUTES'!AD$3:AD$42,"Surpondérer")&gt;0,"Surpondérer",IF(COUNTIFS('DONNÉES BRUTES'!C$3:C$42,"Healthcare",'DONNÉES BRUTES'!AD$3:AD$42,"Neutre")&gt;=COUNTIFS('DONNÉES BRUTES'!C$3:C$42,"Healthcare",'DONNÉES BRUTES'!AD$3:AD$42,"Sous-pondérer"),"Neutre","Sous-pondérer"))</f>
        <v>Neutre</v>
      </c>
      <c r="Q5" s="255"/>
    </row>
    <row r="6" spans="2:17" ht="15.95" customHeight="1" x14ac:dyDescent="0.25">
      <c r="B6" s="259"/>
      <c r="C6" s="248" t="s">
        <v>593</v>
      </c>
      <c r="D6" s="248"/>
      <c r="E6" s="247" t="s">
        <v>594</v>
      </c>
      <c r="F6" s="247"/>
      <c r="G6" s="247"/>
      <c r="H6" s="250" t="s">
        <v>253</v>
      </c>
      <c r="I6" s="247"/>
      <c r="J6" s="247"/>
      <c r="K6" s="248"/>
      <c r="L6" s="247" t="s">
        <v>583</v>
      </c>
      <c r="M6" s="248"/>
      <c r="N6" s="247" t="s">
        <v>607</v>
      </c>
      <c r="O6" s="248"/>
      <c r="P6" s="247" t="s">
        <v>50</v>
      </c>
      <c r="Q6" s="247"/>
    </row>
    <row r="7" spans="2:17" ht="8.1" customHeight="1" x14ac:dyDescent="0.25"/>
    <row r="8" spans="2:17" ht="21.95" customHeight="1" x14ac:dyDescent="0.25">
      <c r="B8" s="275" t="str">
        <f>"ANALYSE DÉTAILLÉE  ·  "&amp;UPPER("Healthcare")&amp;"  ·  "&amp;COUNTIF('DONNÉES BRUTES'!C$3:C$42,"Healthcare")&amp;" sociétés  ·  Triée par Score Global"</f>
        <v>ANALYSE DÉTAILLÉE  ·  HEALTHCARE  ·  3 sociétés  ·  Triée par Score Global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</row>
    <row r="9" spans="2:17" ht="6" customHeight="1" x14ac:dyDescent="0.25"/>
    <row r="10" spans="2:17" ht="20.100000000000001" customHeight="1" x14ac:dyDescent="0.25">
      <c r="B10" s="260" t="s">
        <v>41</v>
      </c>
      <c r="C10" s="261" t="s">
        <v>3</v>
      </c>
      <c r="D10" s="261" t="s">
        <v>4</v>
      </c>
      <c r="E10" s="260" t="s">
        <v>5</v>
      </c>
      <c r="F10" s="260" t="s">
        <v>609</v>
      </c>
      <c r="G10" s="260" t="s">
        <v>610</v>
      </c>
      <c r="H10" s="260" t="s">
        <v>595</v>
      </c>
      <c r="I10" s="260" t="s">
        <v>575</v>
      </c>
      <c r="J10" s="260" t="s">
        <v>573</v>
      </c>
      <c r="K10" s="260" t="s">
        <v>574</v>
      </c>
      <c r="L10" s="260" t="s">
        <v>596</v>
      </c>
      <c r="M10" s="260" t="s">
        <v>95</v>
      </c>
      <c r="N10" s="260" t="s">
        <v>608</v>
      </c>
      <c r="O10" s="260" t="s">
        <v>405</v>
      </c>
      <c r="P10" s="260" t="s">
        <v>89</v>
      </c>
      <c r="Q10" s="260" t="s">
        <v>50</v>
      </c>
    </row>
    <row r="11" spans="2:17" ht="18" customHeight="1" x14ac:dyDescent="0.25">
      <c r="B11">
        <f>IF(1&gt;COUNTIF('DONNÉES BRUTES'!C$3:C$42,"Healthcare"),"",1)</f>
        <v>1</v>
      </c>
      <c r="C11" t="str" cm="1">
        <f t="array" ref="C11">IFERROR(IF(1&gt;COUNTIF('DONNÉES BRUTES'!C$3:C$42,"Healthcare"),"",INDEX('DONNÉES BRUTES'!A$3:A$42,MATCH(LARGE(IF('DONNÉES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SAN.PA</v>
      </c>
      <c r="D11" t="str" cm="1">
        <f t="array" ref="D11">IFERROR(IF(1&gt;COUNTIF('DONNÉES BRUTES'!C$3:C$42,"Healthcare"),"",INDEX('DONNÉES BRUTES'!B$3:B$42,MATCH(LARGE(IF('DONNÉES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Sanofi</v>
      </c>
      <c r="E11" t="str" cm="1">
        <f t="array" ref="E11">IFERROR(IF(1&gt;COUNTIF('DONNÉES BRUTES'!C$3:C$42,"Healthcare"),"",INT(LARGE(IF('DONNÉES BRUTES'!C$3:C$42="Healthcare",'DONNÉES BRUTES'!AB$3:AB$42+(ROW('DONNÉES BRUTES'!A$3:A$42)-ROW('DONNÉES BRUTES'!A$3))/1000,0),1))&amp;"/100"),"—")</f>
        <v>72/100</v>
      </c>
      <c r="F11" cm="1">
        <f t="array" ref="F11">IFERROR(IF(1&gt;COUNTIF('DONNÉES BRUTES'!C$3:C$42,"Healthcare"),"",INDEX('DONNÉES BRUTES'!Y$3:Y$42,MATCH(LARGE(IF('DONNÉES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87</v>
      </c>
      <c r="G11" cm="1">
        <f t="array" ref="G11">IFERROR(IF(1&gt;COUNTIF('DONNÉES BRUTES'!C$3:C$42,"Healthcare"),"",INDEX('DONNÉES BRUTES'!Z$3:Z$42,MATCH(LARGE(IF('DONNÉES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97</v>
      </c>
      <c r="H11" cm="1">
        <f t="array" ref="H11">IFERROR(IF(1&gt;COUNTIF('DONNÉES BRUTES'!C$3:C$42,"Healthcare"),"",INDEX('DONNÉES BRUTES'!AA$3:AA$42,MATCH(LARGE(IF('DONNÉES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31</v>
      </c>
      <c r="I11" t="str" cm="1">
        <f t="array" ref="I11">IFERROR(IF(1&gt;COUNTIF('DONNÉES BRUTES'!C$3:C$42,"Healthcare"),"",INDEX('DONNÉES BRUTES'!M$3:M$42,MATCH(LARGE(IF('DONNÉES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72.1%</v>
      </c>
      <c r="J11" t="str" cm="1">
        <f t="array" ref="J11">IFERROR(IF(1&gt;COUNTIF('DONNÉES BRUTES'!C$3:C$42,"Healthcare"),"",INDEX('DONNÉES BRUTES'!N$3:N$42,MATCH(LARGE(IF('DONNÉES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26.7%</v>
      </c>
      <c r="K11" t="str" cm="1">
        <f t="array" ref="K11">IFERROR(IF(1&gt;COUNTIF('DONNÉES BRUTES'!C$3:C$42,"Healthcare"),"",INDEX('DONNÉES BRUTES'!O$3:O$42,MATCH(LARGE(IF('DONNÉES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16.7%</v>
      </c>
      <c r="L11" t="str" cm="1">
        <f t="array" ref="L11">IFERROR(IF(1&gt;COUNTIF('DONNÉES BRUTES'!C$3:C$42,"Healthcare"),"",INDEX('DONNÉES BRUTES'!P$3:P$42,MATCH(LARGE(IF('DONNÉES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+5.5%</v>
      </c>
      <c r="M11" t="str" cm="1">
        <f t="array" ref="M11">IFERROR(IF(1&gt;COUNTIF('DONNÉES BRUTES'!C$3:C$42,"Healthcare"),"",INDEX('DONNÉES BRUTES'!Q$3:Q$42,MATCH(LARGE(IF('DONNÉES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+10.9%</v>
      </c>
      <c r="N11" t="str" cm="1">
        <f t="array" ref="N11">IFERROR(IF(1&gt;COUNTIF('DONNÉES BRUTES'!C$3:C$42,"Healthcare"),"",INDEX('DONNÉES BRUTES'!S$3:S$42,MATCH(LARGE(IF('DONNÉES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1.09</v>
      </c>
      <c r="O11" t="str" cm="1">
        <f t="array" ref="O11">IFERROR(IF(1&gt;COUNTIF('DONNÉES BRUTES'!C$3:C$42,"Healthcare"),"",INDEX('DONNÉES BRUTES'!T$3:T$42,MATCH(LARGE(IF('DONNÉES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0.9x</v>
      </c>
      <c r="P11" t="str" cm="1">
        <f t="array" ref="P11">IFERROR(IF(1&gt;COUNTIF('DONNÉES BRUTES'!C$3:C$42,"Healthcare"),"",INDEX('DONNÉES BRUTES'!U$3:U$42,MATCH(LARGE(IF('DONNÉES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—</v>
      </c>
      <c r="Q11" t="str" cm="1">
        <f t="array" ref="Q11">IFERROR(IF(1&gt;COUNTIF('DONNÉES BRUTES'!C$3:C$42,"Healthcare"),"",INDEX('DONNÉES BRUTES'!AD$3:AD$42,MATCH(LARGE(IF('DONNÉES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>Neutre</v>
      </c>
    </row>
    <row r="12" spans="2:17" ht="15.95" customHeight="1" x14ac:dyDescent="0.25">
      <c r="B12">
        <f>IF(2&gt;COUNTIF('DONNÉES BRUTES'!C$3:C$42,"Healthcare"),"",2)</f>
        <v>2</v>
      </c>
      <c r="C12" t="str" cm="1">
        <f t="array" ref="C12">IFERROR(IF(2&gt;COUNTIF('DONNÉES BRUTES'!C$3:C$42,"Healthcare"),"",INDEX('DONNÉES BRUTES'!A$3:A$42,MATCH(LARGE(IF('DONNÉES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ERF.PA</v>
      </c>
      <c r="D12" t="str" cm="1">
        <f t="array" ref="D12">IFERROR(IF(2&gt;COUNTIF('DONNÉES BRUTES'!C$3:C$42,"Healthcare"),"",INDEX('DONNÉES BRUTES'!B$3:B$42,MATCH(LARGE(IF('DONNÉES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Eurofins Scientific SE</v>
      </c>
      <c r="E12" t="str" cm="1">
        <f t="array" ref="E12">IFERROR(IF(2&gt;COUNTIF('DONNÉES BRUTES'!C$3:C$42,"Healthcare"),"",INT(LARGE(IF('DONNÉES BRUTES'!C$3:C$42="Healthcare",'DONNÉES BRUTES'!AB$3:AB$42+(ROW('DONNÉES BRUTES'!A$3:A$42)-ROW('DONNÉES BRUTES'!A$3))/1000,0),2))&amp;"/100"),"—")</f>
        <v>72/100</v>
      </c>
      <c r="F12" cm="1">
        <f t="array" ref="F12">IFERROR(IF(2&gt;COUNTIF('DONNÉES BRUTES'!C$3:C$42,"Healthcare"),"",INDEX('DONNÉES BRUTES'!Y$3:Y$42,MATCH(LARGE(IF('DONNÉES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76</v>
      </c>
      <c r="G12" cm="1">
        <f t="array" ref="G12">IFERROR(IF(2&gt;COUNTIF('DONNÉES BRUTES'!C$3:C$42,"Healthcare"),"",INDEX('DONNÉES BRUTES'!Z$3:Z$42,MATCH(LARGE(IF('DONNÉES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72</v>
      </c>
      <c r="H12" cm="1">
        <f t="array" ref="H12">IFERROR(IF(2&gt;COUNTIF('DONNÉES BRUTES'!C$3:C$42,"Healthcare"),"",INDEX('DONNÉES BRUTES'!AA$3:AA$42,MATCH(LARGE(IF('DONNÉES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67</v>
      </c>
      <c r="I12" t="str" cm="1">
        <f t="array" ref="I12">IFERROR(IF(2&gt;COUNTIF('DONNÉES BRUTES'!C$3:C$42,"Healthcare"),"",INDEX('DONNÉES BRUTES'!M$3:M$42,MATCH(LARGE(IF('DONNÉES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68.1%</v>
      </c>
      <c r="J12" t="str" cm="1">
        <f t="array" ref="J12">IFERROR(IF(2&gt;COUNTIF('DONNÉES BRUTES'!C$3:C$42,"Healthcare"),"",INDEX('DONNÉES BRUTES'!N$3:N$42,MATCH(LARGE(IF('DONNÉES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21.0%</v>
      </c>
      <c r="K12" t="str" cm="1">
        <f t="array" ref="K12">IFERROR(IF(2&gt;COUNTIF('DONNÉES BRUTES'!C$3:C$42,"Healthcare"),"",INDEX('DONNÉES BRUTES'!O$3:O$42,MATCH(LARGE(IF('DONNÉES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6.5%</v>
      </c>
      <c r="L12" t="str" cm="1">
        <f t="array" ref="L12">IFERROR(IF(2&gt;COUNTIF('DONNÉES BRUTES'!C$3:C$42,"Healthcare"),"",INDEX('DONNÉES BRUTES'!P$3:P$42,MATCH(LARGE(IF('DONNÉES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+5.0%</v>
      </c>
      <c r="M12" t="str" cm="1">
        <f t="array" ref="M12">IFERROR(IF(2&gt;COUNTIF('DONNÉES BRUTES'!C$3:C$42,"Healthcare"),"",INDEX('DONNÉES BRUTES'!Q$3:Q$42,MATCH(LARGE(IF('DONNÉES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+10.5%</v>
      </c>
      <c r="N12" t="str" cm="1">
        <f t="array" ref="N12">IFERROR(IF(2&gt;COUNTIF('DONNÉES BRUTES'!C$3:C$42,"Healthcare"),"",INDEX('DONNÉES BRUTES'!S$3:S$42,MATCH(LARGE(IF('DONNÉES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1.09</v>
      </c>
      <c r="O12" t="str" cm="1">
        <f t="array" ref="O12">IFERROR(IF(2&gt;COUNTIF('DONNÉES BRUTES'!C$3:C$42,"Healthcare"),"",INDEX('DONNÉES BRUTES'!T$3:T$42,MATCH(LARGE(IF('DONNÉES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2.1x</v>
      </c>
      <c r="P12" t="str" cm="1">
        <f t="array" ref="P12">IFERROR(IF(2&gt;COUNTIF('DONNÉES BRUTES'!C$3:C$42,"Healthcare"),"",INDEX('DONNÉES BRUTES'!U$3:U$42,MATCH(LARGE(IF('DONNÉES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2.27</v>
      </c>
      <c r="Q12" t="str" cm="1">
        <f t="array" ref="Q12">IFERROR(IF(2&gt;COUNTIF('DONNÉES BRUTES'!C$3:C$42,"Healthcare"),"",INDEX('DONNÉES BRUTES'!AD$3:AD$42,MATCH(LARGE(IF('DONNÉES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>Neutre</v>
      </c>
    </row>
    <row r="13" spans="2:17" ht="15.95" customHeight="1" x14ac:dyDescent="0.25">
      <c r="B13">
        <f>IF(3&gt;COUNTIF('DONNÉES BRUTES'!C$3:C$42,"Healthcare"),"",3)</f>
        <v>3</v>
      </c>
      <c r="C13" t="str" cm="1">
        <f t="array" ref="C13">IFERROR(IF(3&gt;COUNTIF('DONNÉES BRUTES'!C$3:C$42,"Healthcare"),"",INDEX('DONNÉES BRUTES'!A$3:A$42,MATCH(LARGE(IF('DONNÉES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EL.PA</v>
      </c>
      <c r="D13" t="str" cm="1">
        <f t="array" ref="D13">IFERROR(IF(3&gt;COUNTIF('DONNÉES BRUTES'!C$3:C$42,"Healthcare"),"",INDEX('DONNÉES BRUTES'!B$3:B$42,MATCH(LARGE(IF('DONNÉES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EssilorLuxottica Société anonyme</v>
      </c>
      <c r="E13" t="str" cm="1">
        <f t="array" ref="E13">IFERROR(IF(3&gt;COUNTIF('DONNÉES BRUTES'!C$3:C$42,"Healthcare"),"",INT(LARGE(IF('DONNÉES BRUTES'!C$3:C$42="Healthcare",'DONNÉES BRUTES'!AB$3:AB$42+(ROW('DONNÉES BRUTES'!A$3:A$42)-ROW('DONNÉES BRUTES'!A$3))/1000,0),3))&amp;"/100"),"—")</f>
        <v>64/100</v>
      </c>
      <c r="F13" cm="1">
        <f t="array" ref="F13">IFERROR(IF(3&gt;COUNTIF('DONNÉES BRUTES'!C$3:C$42,"Healthcare"),"",INDEX('DONNÉES BRUTES'!Y$3:Y$42,MATCH(LARGE(IF('DONNÉES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61</v>
      </c>
      <c r="G13" cm="1">
        <f t="array" ref="G13">IFERROR(IF(3&gt;COUNTIF('DONNÉES BRUTES'!C$3:C$42,"Healthcare"),"",INDEX('DONNÉES BRUTES'!Z$3:Z$42,MATCH(LARGE(IF('DONNÉES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62</v>
      </c>
      <c r="H13" cm="1">
        <f t="array" ref="H13">IFERROR(IF(3&gt;COUNTIF('DONNÉES BRUTES'!C$3:C$42,"Healthcare"),"",INDEX('DONNÉES BRUTES'!AA$3:AA$42,MATCH(LARGE(IF('DONNÉES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69</v>
      </c>
      <c r="I13" t="str" cm="1">
        <f t="array" ref="I13">IFERROR(IF(3&gt;COUNTIF('DONNÉES BRUTES'!C$3:C$42,"Healthcare"),"",INDEX('DONNÉES BRUTES'!M$3:M$42,MATCH(LARGE(IF('DONNÉES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60.6%</v>
      </c>
      <c r="J13" t="str" cm="1">
        <f t="array" ref="J13">IFERROR(IF(3&gt;COUNTIF('DONNÉES BRUTES'!C$3:C$42,"Healthcare"),"",INDEX('DONNÉES BRUTES'!N$3:N$42,MATCH(LARGE(IF('DONNÉES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23.2%</v>
      </c>
      <c r="K13" t="str" cm="1">
        <f t="array" ref="K13">IFERROR(IF(3&gt;COUNTIF('DONNÉES BRUTES'!C$3:C$42,"Healthcare"),"",INDEX('DONNÉES BRUTES'!O$3:O$42,MATCH(LARGE(IF('DONNÉES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8.1%</v>
      </c>
      <c r="L13" t="str" cm="1">
        <f t="array" ref="L13">IFERROR(IF(3&gt;COUNTIF('DONNÉES BRUTES'!C$3:C$42,"Healthcare"),"",INDEX('DONNÉES BRUTES'!P$3:P$42,MATCH(LARGE(IF('DONNÉES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+7.5%</v>
      </c>
      <c r="M13" t="str" cm="1">
        <f t="array" ref="M13">IFERROR(IF(3&gt;COUNTIF('DONNÉES BRUTES'!C$3:C$42,"Healthcare"),"",INDEX('DONNÉES BRUTES'!Q$3:Q$42,MATCH(LARGE(IF('DONNÉES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+6.0%</v>
      </c>
      <c r="N13" t="str" cm="1">
        <f t="array" ref="N13">IFERROR(IF(3&gt;COUNTIF('DONNÉES BRUTES'!C$3:C$42,"Healthcare"),"",INDEX('DONNÉES BRUTES'!S$3:S$42,MATCH(LARGE(IF('DONNÉES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1.10</v>
      </c>
      <c r="O13" t="str" cm="1">
        <f t="array" ref="O13">IFERROR(IF(3&gt;COUNTIF('DONNÉES BRUTES'!C$3:C$42,"Healthcare"),"",INDEX('DONNÉES BRUTES'!T$3:T$42,MATCH(LARGE(IF('DONNÉES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1.1x</v>
      </c>
      <c r="P13" t="str" cm="1">
        <f t="array" ref="P13">IFERROR(IF(3&gt;COUNTIF('DONNÉES BRUTES'!C$3:C$42,"Healthcare"),"",INDEX('DONNÉES BRUTES'!U$3:U$42,MATCH(LARGE(IF('DONNÉES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2.27</v>
      </c>
      <c r="Q13" t="str" cm="1">
        <f t="array" ref="Q13">IFERROR(IF(3&gt;COUNTIF('DONNÉES BRUTES'!C$3:C$42,"Healthcare"),"",INDEX('DONNÉES BRUTES'!AD$3:AD$42,MATCH(LARGE(IF('DONNÉES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>Neutre</v>
      </c>
    </row>
    <row r="14" spans="2:17" ht="15.95" customHeight="1" x14ac:dyDescent="0.25">
      <c r="B14" t="str">
        <f>IF(4&gt;COUNTIF('DONNÉES BRUTES'!C$3:C$42,"Healthcare"),"",4)</f>
        <v/>
      </c>
      <c r="C14" t="str" cm="1">
        <f t="array" ref="C14">IFERROR(IF(4&gt;COUNTIF('DONNÉES BRUTES'!C$3:C$42,"Healthcare"),"",INDEX('DONNÉES BRUTES'!A$3:A$42,MATCH(LARGE(IF('DONNÉES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D14" t="str" cm="1">
        <f t="array" ref="D14">IFERROR(IF(4&gt;COUNTIF('DONNÉES BRUTES'!C$3:C$42,"Healthcare"),"",INDEX('DONNÉES BRUTES'!B$3:B$42,MATCH(LARGE(IF('DONNÉES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E14" t="str" cm="1">
        <f t="array" ref="E14">IFERROR(IF(4&gt;COUNTIF('DONNÉES BRUTES'!C$3:C$42,"Healthcare"),"",INT(LARGE(IF('DONNÉES BRUTES'!C$3:C$42="Healthcare",'DONNÉES BRUTES'!AB$3:AB$42+(ROW('DONNÉES BRUTES'!A$3:A$42)-ROW('DONNÉES BRUTES'!A$3))/1000,0),4))&amp;"/100"),"—")</f>
        <v/>
      </c>
      <c r="F14" t="str" cm="1">
        <f t="array" ref="F14">IFERROR(IF(4&gt;COUNTIF('DONNÉES BRUTES'!C$3:C$42,"Healthcare"),"",INDEX('DONNÉES BRUTES'!Y$3:Y$42,MATCH(LARGE(IF('DONNÉES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G14" t="str" cm="1">
        <f t="array" ref="G14">IFERROR(IF(4&gt;COUNTIF('DONNÉES BRUTES'!C$3:C$42,"Healthcare"),"",INDEX('DONNÉES BRUTES'!Z$3:Z$42,MATCH(LARGE(IF('DONNÉES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H14" t="str" cm="1">
        <f t="array" ref="H14">IFERROR(IF(4&gt;COUNTIF('DONNÉES BRUTES'!C$3:C$42,"Healthcare"),"",INDEX('DONNÉES BRUTES'!AA$3:AA$42,MATCH(LARGE(IF('DONNÉES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I14" t="str" cm="1">
        <f t="array" ref="I14">IFERROR(IF(4&gt;COUNTIF('DONNÉES BRUTES'!C$3:C$42,"Healthcare"),"",INDEX('DONNÉES BRUTES'!M$3:M$42,MATCH(LARGE(IF('DONNÉES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J14" t="str" cm="1">
        <f t="array" ref="J14">IFERROR(IF(4&gt;COUNTIF('DONNÉES BRUTES'!C$3:C$42,"Healthcare"),"",INDEX('DONNÉES BRUTES'!N$3:N$42,MATCH(LARGE(IF('DONNÉES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K14" t="str" cm="1">
        <f t="array" ref="K14">IFERROR(IF(4&gt;COUNTIF('DONNÉES BRUTES'!C$3:C$42,"Healthcare"),"",INDEX('DONNÉES BRUTES'!O$3:O$42,MATCH(LARGE(IF('DONNÉES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L14" t="str" cm="1">
        <f t="array" ref="L14">IFERROR(IF(4&gt;COUNTIF('DONNÉES BRUTES'!C$3:C$42,"Healthcare"),"",INDEX('DONNÉES BRUTES'!P$3:P$42,MATCH(LARGE(IF('DONNÉES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M14" t="str" cm="1">
        <f t="array" ref="M14">IFERROR(IF(4&gt;COUNTIF('DONNÉES BRUTES'!C$3:C$42,"Healthcare"),"",INDEX('DONNÉES BRUTES'!Q$3:Q$42,MATCH(LARGE(IF('DONNÉES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N14" t="str" cm="1">
        <f t="array" ref="N14">IFERROR(IF(4&gt;COUNTIF('DONNÉES BRUTES'!C$3:C$42,"Healthcare"),"",INDEX('DONNÉES BRUTES'!S$3:S$42,MATCH(LARGE(IF('DONNÉES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O14" t="str" cm="1">
        <f t="array" ref="O14">IFERROR(IF(4&gt;COUNTIF('DONNÉES BRUTES'!C$3:C$42,"Healthcare"),"",INDEX('DONNÉES BRUTES'!T$3:T$42,MATCH(LARGE(IF('DONNÉES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P14" t="str" cm="1">
        <f t="array" ref="P14">IFERROR(IF(4&gt;COUNTIF('DONNÉES BRUTES'!C$3:C$42,"Healthcare"),"",INDEX('DONNÉES BRUTES'!U$3:U$42,MATCH(LARGE(IF('DONNÉES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</row>
    <row r="15" spans="2:17" ht="15.95" customHeight="1" x14ac:dyDescent="0.25">
      <c r="B15" t="str">
        <f>IF(5&gt;COUNTIF('DONNÉES BRUTES'!C$3:C$42,"Healthcare"),"",5)</f>
        <v/>
      </c>
      <c r="C15" t="str" cm="1">
        <f t="array" ref="C15">IFERROR(IF(5&gt;COUNTIF('DONNÉES BRUTES'!C$3:C$42,"Healthcare"),"",INDEX('DONNÉES BRUTES'!A$3:A$42,MATCH(LARGE(IF('DONNÉES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D15" t="str" cm="1">
        <f t="array" ref="D15">IFERROR(IF(5&gt;COUNTIF('DONNÉES BRUTES'!C$3:C$42,"Healthcare"),"",INDEX('DONNÉES BRUTES'!B$3:B$42,MATCH(LARGE(IF('DONNÉES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E15" t="str" cm="1">
        <f t="array" ref="E15">IFERROR(IF(5&gt;COUNTIF('DONNÉES BRUTES'!C$3:C$42,"Healthcare"),"",INT(LARGE(IF('DONNÉES BRUTES'!C$3:C$42="Healthcare",'DONNÉES BRUTES'!AB$3:AB$42+(ROW('DONNÉES BRUTES'!A$3:A$42)-ROW('DONNÉES BRUTES'!A$3))/1000,0),5))&amp;"/100"),"—")</f>
        <v/>
      </c>
      <c r="F15" t="str" cm="1">
        <f t="array" ref="F15">IFERROR(IF(5&gt;COUNTIF('DONNÉES BRUTES'!C$3:C$42,"Healthcare"),"",INDEX('DONNÉES BRUTES'!Y$3:Y$42,MATCH(LARGE(IF('DONNÉES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G15" t="str" cm="1">
        <f t="array" ref="G15">IFERROR(IF(5&gt;COUNTIF('DONNÉES BRUTES'!C$3:C$42,"Healthcare"),"",INDEX('DONNÉES BRUTES'!Z$3:Z$42,MATCH(LARGE(IF('DONNÉES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H15" t="str" cm="1">
        <f t="array" ref="H15">IFERROR(IF(5&gt;COUNTIF('DONNÉES BRUTES'!C$3:C$42,"Healthcare"),"",INDEX('DONNÉES BRUTES'!AA$3:AA$42,MATCH(LARGE(IF('DONNÉES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I15" t="str" cm="1">
        <f t="array" ref="I15">IFERROR(IF(5&gt;COUNTIF('DONNÉES BRUTES'!C$3:C$42,"Healthcare"),"",INDEX('DONNÉES BRUTES'!M$3:M$42,MATCH(LARGE(IF('DONNÉES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J15" t="str" cm="1">
        <f t="array" ref="J15">IFERROR(IF(5&gt;COUNTIF('DONNÉES BRUTES'!C$3:C$42,"Healthcare"),"",INDEX('DONNÉES BRUTES'!N$3:N$42,MATCH(LARGE(IF('DONNÉES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K15" t="str" cm="1">
        <f t="array" ref="K15">IFERROR(IF(5&gt;COUNTIF('DONNÉES BRUTES'!C$3:C$42,"Healthcare"),"",INDEX('DONNÉES BRUTES'!O$3:O$42,MATCH(LARGE(IF('DONNÉES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L15" t="str" cm="1">
        <f t="array" ref="L15">IFERROR(IF(5&gt;COUNTIF('DONNÉES BRUTES'!C$3:C$42,"Healthcare"),"",INDEX('DONNÉES BRUTES'!P$3:P$42,MATCH(LARGE(IF('DONNÉES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M15" t="str" cm="1">
        <f t="array" ref="M15">IFERROR(IF(5&gt;COUNTIF('DONNÉES BRUTES'!C$3:C$42,"Healthcare"),"",INDEX('DONNÉES BRUTES'!Q$3:Q$42,MATCH(LARGE(IF('DONNÉES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N15" t="str" cm="1">
        <f t="array" ref="N15">IFERROR(IF(5&gt;COUNTIF('DONNÉES BRUTES'!C$3:C$42,"Healthcare"),"",INDEX('DONNÉES BRUTES'!S$3:S$42,MATCH(LARGE(IF('DONNÉES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O15" t="str" cm="1">
        <f t="array" ref="O15">IFERROR(IF(5&gt;COUNTIF('DONNÉES BRUTES'!C$3:C$42,"Healthcare"),"",INDEX('DONNÉES BRUTES'!T$3:T$42,MATCH(LARGE(IF('DONNÉES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P15" t="str" cm="1">
        <f t="array" ref="P15">IFERROR(IF(5&gt;COUNTIF('DONNÉES BRUTES'!C$3:C$42,"Healthcare"),"",INDEX('DONNÉES BRUTES'!U$3:U$42,MATCH(LARGE(IF('DONNÉES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Q15" t="str" cm="1">
        <f t="array" ref="Q15">IFERROR(IF(5&gt;COUNTIF('DONNÉES BRUTES'!C$3:C$42,"Healthcare"),"",INDEX('DONNÉES BRUTES'!AD$3:AD$42,MATCH(LARGE(IF('DONNÉES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</row>
    <row r="16" spans="2:17" ht="15.95" customHeight="1" x14ac:dyDescent="0.25">
      <c r="B16" t="str">
        <f>IF(6&gt;COUNTIF('DONNÉES BRUTES'!C$3:C$42,"Healthcare"),"",6)</f>
        <v/>
      </c>
      <c r="C16" t="str" cm="1">
        <f t="array" ref="C16">IFERROR(IF(6&gt;COUNTIF('DONNÉES BRUTES'!C$3:C$42,"Healthcare"),"",INDEX('DONNÉES BRUTES'!A$3:A$42,MATCH(LARGE(IF('DONNÉES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D16" t="str" cm="1">
        <f t="array" ref="D16">IFERROR(IF(6&gt;COUNTIF('DONNÉES BRUTES'!C$3:C$42,"Healthcare"),"",INDEX('DONNÉES BRUTES'!B$3:B$42,MATCH(LARGE(IF('DONNÉES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E16" t="str" cm="1">
        <f t="array" ref="E16">IFERROR(IF(6&gt;COUNTIF('DONNÉES BRUTES'!C$3:C$42,"Healthcare"),"",INT(LARGE(IF('DONNÉES BRUTES'!C$3:C$42="Healthcare",'DONNÉES BRUTES'!AB$3:AB$42+(ROW('DONNÉES BRUTES'!A$3:A$42)-ROW('DONNÉES BRUTES'!A$3))/1000,0),6))&amp;"/100"),"—")</f>
        <v/>
      </c>
      <c r="F16" t="str" cm="1">
        <f t="array" ref="F16">IFERROR(IF(6&gt;COUNTIF('DONNÉES BRUTES'!C$3:C$42,"Healthcare"),"",INDEX('DONNÉES BRUTES'!Y$3:Y$42,MATCH(LARGE(IF('DONNÉES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G16" t="str" cm="1">
        <f t="array" ref="G16">IFERROR(IF(6&gt;COUNTIF('DONNÉES BRUTES'!C$3:C$42,"Healthcare"),"",INDEX('DONNÉES BRUTES'!Z$3:Z$42,MATCH(LARGE(IF('DONNÉES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H16" t="str" cm="1">
        <f t="array" ref="H16">IFERROR(IF(6&gt;COUNTIF('DONNÉES BRUTES'!C$3:C$42,"Healthcare"),"",INDEX('DONNÉES BRUTES'!AA$3:AA$42,MATCH(LARGE(IF('DONNÉES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I16" t="str" cm="1">
        <f t="array" ref="I16">IFERROR(IF(6&gt;COUNTIF('DONNÉES BRUTES'!C$3:C$42,"Healthcare"),"",INDEX('DONNÉES BRUTES'!M$3:M$42,MATCH(LARGE(IF('DONNÉES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J16" t="str" cm="1">
        <f t="array" ref="J16">IFERROR(IF(6&gt;COUNTIF('DONNÉES BRUTES'!C$3:C$42,"Healthcare"),"",INDEX('DONNÉES BRUTES'!N$3:N$42,MATCH(LARGE(IF('DONNÉES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K16" t="str" cm="1">
        <f t="array" ref="K16">IFERROR(IF(6&gt;COUNTIF('DONNÉES BRUTES'!C$3:C$42,"Healthcare"),"",INDEX('DONNÉES BRUTES'!O$3:O$42,MATCH(LARGE(IF('DONNÉES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L16" t="str" cm="1">
        <f t="array" ref="L16">IFERROR(IF(6&gt;COUNTIF('DONNÉES BRUTES'!C$3:C$42,"Healthcare"),"",INDEX('DONNÉES BRUTES'!P$3:P$42,MATCH(LARGE(IF('DONNÉES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M16" t="str" cm="1">
        <f t="array" ref="M16">IFERROR(IF(6&gt;COUNTIF('DONNÉES BRUTES'!C$3:C$42,"Healthcare"),"",INDEX('DONNÉES BRUTES'!Q$3:Q$42,MATCH(LARGE(IF('DONNÉES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N16" t="str" cm="1">
        <f t="array" ref="N16">IFERROR(IF(6&gt;COUNTIF('DONNÉES BRUTES'!C$3:C$42,"Healthcare"),"",INDEX('DONNÉES BRUTES'!S$3:S$42,MATCH(LARGE(IF('DONNÉES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O16" t="str" cm="1">
        <f t="array" ref="O16">IFERROR(IF(6&gt;COUNTIF('DONNÉES BRUTES'!C$3:C$42,"Healthcare"),"",INDEX('DONNÉES BRUTES'!T$3:T$42,MATCH(LARGE(IF('DONNÉES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P16" t="str" cm="1">
        <f t="array" ref="P16">IFERROR(IF(6&gt;COUNTIF('DONNÉES BRUTES'!C$3:C$42,"Healthcare"),"",INDEX('DONNÉES BRUTES'!U$3:U$42,MATCH(LARGE(IF('DONNÉES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Q16" t="str" cm="1">
        <f t="array" ref="Q16">IFERROR(IF(6&gt;COUNTIF('DONNÉES BRUTES'!C$3:C$42,"Healthcare"),"",INDEX('DONNÉES BRUTES'!AD$3:AD$42,MATCH(LARGE(IF('DONNÉES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</row>
    <row r="17" spans="2:28" ht="15.95" customHeight="1" x14ac:dyDescent="0.25">
      <c r="B17" t="str">
        <f>IF(7&gt;COUNTIF('DONNÉES BRUTES'!C$3:C$42,"Healthcare"),"",7)</f>
        <v/>
      </c>
      <c r="C17" t="str" cm="1">
        <f t="array" ref="C17">IFERROR(IF(7&gt;COUNTIF('DONNÉES BRUTES'!C$3:C$42,"Healthcare"),"",INDEX('DONNÉES BRUTES'!A$3:A$42,MATCH(LARGE(IF('DONNÉES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D17" t="str" cm="1">
        <f t="array" ref="D17">IFERROR(IF(7&gt;COUNTIF('DONNÉES BRUTES'!C$3:C$42,"Healthcare"),"",INDEX('DONNÉES BRUTES'!B$3:B$42,MATCH(LARGE(IF('DONNÉES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E17" t="str" cm="1">
        <f t="array" ref="E17">IFERROR(IF(7&gt;COUNTIF('DONNÉES BRUTES'!C$3:C$42,"Healthcare"),"",INT(LARGE(IF('DONNÉES BRUTES'!C$3:C$42="Healthcare",'DONNÉES BRUTES'!AB$3:AB$42+(ROW('DONNÉES BRUTES'!A$3:A$42)-ROW('DONNÉES BRUTES'!A$3))/1000,0),7))&amp;"/100"),"—")</f>
        <v/>
      </c>
      <c r="F17" t="str" cm="1">
        <f t="array" ref="F17">IFERROR(IF(7&gt;COUNTIF('DONNÉES BRUTES'!C$3:C$42,"Healthcare"),"",INDEX('DONNÉES BRUTES'!Y$3:Y$42,MATCH(LARGE(IF('DONNÉES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G17" t="str" cm="1">
        <f t="array" ref="G17">IFERROR(IF(7&gt;COUNTIF('DONNÉES BRUTES'!C$3:C$42,"Healthcare"),"",INDEX('DONNÉES BRUTES'!Z$3:Z$42,MATCH(LARGE(IF('DONNÉES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H17" t="str" cm="1">
        <f t="array" ref="H17">IFERROR(IF(7&gt;COUNTIF('DONNÉES BRUTES'!C$3:C$42,"Healthcare"),"",INDEX('DONNÉES BRUTES'!AA$3:AA$42,MATCH(LARGE(IF('DONNÉES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I17" t="str" cm="1">
        <f t="array" ref="I17">IFERROR(IF(7&gt;COUNTIF('DONNÉES BRUTES'!C$3:C$42,"Healthcare"),"",INDEX('DONNÉES BRUTES'!M$3:M$42,MATCH(LARGE(IF('DONNÉES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J17" t="str" cm="1">
        <f t="array" ref="J17">IFERROR(IF(7&gt;COUNTIF('DONNÉES BRUTES'!C$3:C$42,"Healthcare"),"",INDEX('DONNÉES BRUTES'!N$3:N$42,MATCH(LARGE(IF('DONNÉES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K17" t="str" cm="1">
        <f t="array" ref="K17">IFERROR(IF(7&gt;COUNTIF('DONNÉES BRUTES'!C$3:C$42,"Healthcare"),"",INDEX('DONNÉES BRUTES'!O$3:O$42,MATCH(LARGE(IF('DONNÉES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L17" t="str" cm="1">
        <f t="array" ref="L17">IFERROR(IF(7&gt;COUNTIF('DONNÉES BRUTES'!C$3:C$42,"Healthcare"),"",INDEX('DONNÉES BRUTES'!P$3:P$42,MATCH(LARGE(IF('DONNÉES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M17" t="str" cm="1">
        <f t="array" ref="M17">IFERROR(IF(7&gt;COUNTIF('DONNÉES BRUTES'!C$3:C$42,"Healthcare"),"",INDEX('DONNÉES BRUTES'!Q$3:Q$42,MATCH(LARGE(IF('DONNÉES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N17" t="str" cm="1">
        <f t="array" ref="N17">IFERROR(IF(7&gt;COUNTIF('DONNÉES BRUTES'!C$3:C$42,"Healthcare"),"",INDEX('DONNÉES BRUTES'!S$3:S$42,MATCH(LARGE(IF('DONNÉES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O17" t="str" cm="1">
        <f t="array" ref="O17">IFERROR(IF(7&gt;COUNTIF('DONNÉES BRUTES'!C$3:C$42,"Healthcare"),"",INDEX('DONNÉES BRUTES'!T$3:T$42,MATCH(LARGE(IF('DONNÉES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P17" t="str" cm="1">
        <f t="array" ref="P17">IFERROR(IF(7&gt;COUNTIF('DONNÉES BRUTES'!C$3:C$42,"Healthcare"),"",INDEX('DONNÉES BRUTES'!U$3:U$42,MATCH(LARGE(IF('DONNÉES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Q17" t="str" cm="1">
        <f t="array" ref="Q17">IFERROR(IF(7&gt;COUNTIF('DONNÉES BRUTES'!C$3:C$42,"Healthcare"),"",INDEX('DONNÉES BRUTES'!AD$3:AD$42,MATCH(LARGE(IF('DONNÉES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</row>
    <row r="18" spans="2:28" ht="15.95" customHeight="1" x14ac:dyDescent="0.25">
      <c r="B18" t="str">
        <f>IF(8&gt;COUNTIF('DONNÉES BRUTES'!C$3:C$42,"Healthcare"),"",8)</f>
        <v/>
      </c>
      <c r="C18" t="str" cm="1">
        <f t="array" ref="C18">IFERROR(IF(8&gt;COUNTIF('DONNÉES BRUTES'!C$3:C$42,"Healthcare"),"",INDEX('DONNÉES BRUTES'!A$3:A$42,MATCH(LARGE(IF('DONNÉES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D18" t="str" cm="1">
        <f t="array" ref="D18">IFERROR(IF(8&gt;COUNTIF('DONNÉES BRUTES'!C$3:C$42,"Healthcare"),"",INDEX('DONNÉES BRUTES'!B$3:B$42,MATCH(LARGE(IF('DONNÉES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E18" t="str" cm="1">
        <f t="array" ref="E18">IFERROR(IF(8&gt;COUNTIF('DONNÉES BRUTES'!C$3:C$42,"Healthcare"),"",INT(LARGE(IF('DONNÉES BRUTES'!C$3:C$42="Healthcare",'DONNÉES BRUTES'!AB$3:AB$42+(ROW('DONNÉES BRUTES'!A$3:A$42)-ROW('DONNÉES BRUTES'!A$3))/1000,0),8))&amp;"/100"),"—")</f>
        <v/>
      </c>
      <c r="F18" t="str" cm="1">
        <f t="array" ref="F18">IFERROR(IF(8&gt;COUNTIF('DONNÉES BRUTES'!C$3:C$42,"Healthcare"),"",INDEX('DONNÉES BRUTES'!Y$3:Y$42,MATCH(LARGE(IF('DONNÉES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G18" t="str" cm="1">
        <f t="array" ref="G18">IFERROR(IF(8&gt;COUNTIF('DONNÉES BRUTES'!C$3:C$42,"Healthcare"),"",INDEX('DONNÉES BRUTES'!Z$3:Z$42,MATCH(LARGE(IF('DONNÉES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H18" t="str" cm="1">
        <f t="array" ref="H18">IFERROR(IF(8&gt;COUNTIF('DONNÉES BRUTES'!C$3:C$42,"Healthcare"),"",INDEX('DONNÉES BRUTES'!AA$3:AA$42,MATCH(LARGE(IF('DONNÉES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I18" t="str" cm="1">
        <f t="array" ref="I18">IFERROR(IF(8&gt;COUNTIF('DONNÉES BRUTES'!C$3:C$42,"Healthcare"),"",INDEX('DONNÉES BRUTES'!M$3:M$42,MATCH(LARGE(IF('DONNÉES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J18" t="str" cm="1">
        <f t="array" ref="J18">IFERROR(IF(8&gt;COUNTIF('DONNÉES BRUTES'!C$3:C$42,"Healthcare"),"",INDEX('DONNÉES BRUTES'!N$3:N$42,MATCH(LARGE(IF('DONNÉES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K18" t="str" cm="1">
        <f t="array" ref="K18">IFERROR(IF(8&gt;COUNTIF('DONNÉES BRUTES'!C$3:C$42,"Healthcare"),"",INDEX('DONNÉES BRUTES'!O$3:O$42,MATCH(LARGE(IF('DONNÉES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L18" t="str" cm="1">
        <f t="array" ref="L18">IFERROR(IF(8&gt;COUNTIF('DONNÉES BRUTES'!C$3:C$42,"Healthcare"),"",INDEX('DONNÉES BRUTES'!P$3:P$42,MATCH(LARGE(IF('DONNÉES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M18" t="str" cm="1">
        <f t="array" ref="M18">IFERROR(IF(8&gt;COUNTIF('DONNÉES BRUTES'!C$3:C$42,"Healthcare"),"",INDEX('DONNÉES BRUTES'!Q$3:Q$42,MATCH(LARGE(IF('DONNÉES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N18" t="str" cm="1">
        <f t="array" ref="N18">IFERROR(IF(8&gt;COUNTIF('DONNÉES BRUTES'!C$3:C$42,"Healthcare"),"",INDEX('DONNÉES BRUTES'!S$3:S$42,MATCH(LARGE(IF('DONNÉES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O18" t="str" cm="1">
        <f t="array" ref="O18">IFERROR(IF(8&gt;COUNTIF('DONNÉES BRUTES'!C$3:C$42,"Healthcare"),"",INDEX('DONNÉES BRUTES'!T$3:T$42,MATCH(LARGE(IF('DONNÉES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P18" t="str" cm="1">
        <f t="array" ref="P18">IFERROR(IF(8&gt;COUNTIF('DONNÉES BRUTES'!C$3:C$42,"Healthcare"),"",INDEX('DONNÉES BRUTES'!U$3:U$42,MATCH(LARGE(IF('DONNÉES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Q18" t="str" cm="1">
        <f t="array" ref="Q18">IFERROR(IF(8&gt;COUNTIF('DONNÉES BRUTES'!C$3:C$42,"Healthcare"),"",INDEX('DONNÉES BRUTES'!AD$3:AD$42,MATCH(LARGE(IF('DONNÉES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</row>
    <row r="19" spans="2:28" ht="15.95" customHeight="1" x14ac:dyDescent="0.25">
      <c r="B19" t="str">
        <f>IF(9&gt;COUNTIF('DONNÉES BRUTES'!C$3:C$42,"Healthcare"),"",9)</f>
        <v/>
      </c>
      <c r="C19" t="str" cm="1">
        <f t="array" ref="C19">IFERROR(IF(9&gt;COUNTIF('DONNÉES BRUTES'!C$3:C$42,"Healthcare"),"",INDEX('DONNÉES BRUTES'!A$3:A$42,MATCH(LARGE(IF('DONNÉES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D19" t="str" cm="1">
        <f t="array" ref="D19">IFERROR(IF(9&gt;COUNTIF('DONNÉES BRUTES'!C$3:C$42,"Healthcare"),"",INDEX('DONNÉES BRUTES'!B$3:B$42,MATCH(LARGE(IF('DONNÉES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E19" t="str" cm="1">
        <f t="array" ref="E19">IFERROR(IF(9&gt;COUNTIF('DONNÉES BRUTES'!C$3:C$42,"Healthcare"),"",INT(LARGE(IF('DONNÉES BRUTES'!C$3:C$42="Healthcare",'DONNÉES BRUTES'!AB$3:AB$42+(ROW('DONNÉES BRUTES'!A$3:A$42)-ROW('DONNÉES BRUTES'!A$3))/1000,0),9))&amp;"/100"),"—")</f>
        <v/>
      </c>
      <c r="F19" t="str" cm="1">
        <f t="array" ref="F19">IFERROR(IF(9&gt;COUNTIF('DONNÉES BRUTES'!C$3:C$42,"Healthcare"),"",INDEX('DONNÉES BRUTES'!Y$3:Y$42,MATCH(LARGE(IF('DONNÉES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G19" t="str" cm="1">
        <f t="array" ref="G19">IFERROR(IF(9&gt;COUNTIF('DONNÉES BRUTES'!C$3:C$42,"Healthcare"),"",INDEX('DONNÉES BRUTES'!Z$3:Z$42,MATCH(LARGE(IF('DONNÉES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H19" t="str" cm="1">
        <f t="array" ref="H19">IFERROR(IF(9&gt;COUNTIF('DONNÉES BRUTES'!C$3:C$42,"Healthcare"),"",INDEX('DONNÉES BRUTES'!AA$3:AA$42,MATCH(LARGE(IF('DONNÉES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I19" t="str" cm="1">
        <f t="array" ref="I19">IFERROR(IF(9&gt;COUNTIF('DONNÉES BRUTES'!C$3:C$42,"Healthcare"),"",INDEX('DONNÉES BRUTES'!M$3:M$42,MATCH(LARGE(IF('DONNÉES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J19" t="str" cm="1">
        <f t="array" ref="J19">IFERROR(IF(9&gt;COUNTIF('DONNÉES BRUTES'!C$3:C$42,"Healthcare"),"",INDEX('DONNÉES BRUTES'!N$3:N$42,MATCH(LARGE(IF('DONNÉES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K19" t="str" cm="1">
        <f t="array" ref="K19">IFERROR(IF(9&gt;COUNTIF('DONNÉES BRUTES'!C$3:C$42,"Healthcare"),"",INDEX('DONNÉES BRUTES'!O$3:O$42,MATCH(LARGE(IF('DONNÉES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L19" t="str" cm="1">
        <f t="array" ref="L19">IFERROR(IF(9&gt;COUNTIF('DONNÉES BRUTES'!C$3:C$42,"Healthcare"),"",INDEX('DONNÉES BRUTES'!P$3:P$42,MATCH(LARGE(IF('DONNÉES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M19" t="str" cm="1">
        <f t="array" ref="M19">IFERROR(IF(9&gt;COUNTIF('DONNÉES BRUTES'!C$3:C$42,"Healthcare"),"",INDEX('DONNÉES BRUTES'!Q$3:Q$42,MATCH(LARGE(IF('DONNÉES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N19" t="str" cm="1">
        <f t="array" ref="N19">IFERROR(IF(9&gt;COUNTIF('DONNÉES BRUTES'!C$3:C$42,"Healthcare"),"",INDEX('DONNÉES BRUTES'!S$3:S$42,MATCH(LARGE(IF('DONNÉES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O19" t="str" cm="1">
        <f t="array" ref="O19">IFERROR(IF(9&gt;COUNTIF('DONNÉES BRUTES'!C$3:C$42,"Healthcare"),"",INDEX('DONNÉES BRUTES'!T$3:T$42,MATCH(LARGE(IF('DONNÉES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P19" t="str" cm="1">
        <f t="array" ref="P19">IFERROR(IF(9&gt;COUNTIF('DONNÉES BRUTES'!C$3:C$42,"Healthcare"),"",INDEX('DONNÉES BRUTES'!U$3:U$42,MATCH(LARGE(IF('DONNÉES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Q19" t="str" cm="1">
        <f t="array" ref="Q19">IFERROR(IF(9&gt;COUNTIF('DONNÉES BRUTES'!C$3:C$42,"Healthcare"),"",INDEX('DONNÉES BRUTES'!AD$3:AD$42,MATCH(LARGE(IF('DONNÉES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</row>
    <row r="20" spans="2:28" ht="15.95" customHeight="1" x14ac:dyDescent="0.25">
      <c r="B20" t="str">
        <f>IF(10&gt;COUNTIF('DONNÉES BRUTES'!C$3:C$42,"Healthcare"),"",10)</f>
        <v/>
      </c>
      <c r="C20" t="str" cm="1">
        <f t="array" ref="C20">IFERROR(IF(10&gt;COUNTIF('DONNÉES BRUTES'!C$3:C$42,"Healthcare"),"",INDEX('DONNÉES BRUTES'!A$3:A$42,MATCH(LARGE(IF('DONNÉES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D20" t="str" cm="1">
        <f t="array" ref="D20">IFERROR(IF(10&gt;COUNTIF('DONNÉES BRUTES'!C$3:C$42,"Healthcare"),"",INDEX('DONNÉES BRUTES'!B$3:B$42,MATCH(LARGE(IF('DONNÉES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E20" t="str" cm="1">
        <f t="array" ref="E20">IFERROR(IF(10&gt;COUNTIF('DONNÉES BRUTES'!C$3:C$42,"Healthcare"),"",INT(LARGE(IF('DONNÉES BRUTES'!C$3:C$42="Healthcare",'DONNÉES BRUTES'!AB$3:AB$42+(ROW('DONNÉES BRUTES'!A$3:A$42)-ROW('DONNÉES BRUTES'!A$3))/1000,0),10))&amp;"/100"),"—")</f>
        <v/>
      </c>
      <c r="F20" t="str" cm="1">
        <f t="array" ref="F20">IFERROR(IF(10&gt;COUNTIF('DONNÉES BRUTES'!C$3:C$42,"Healthcare"),"",INDEX('DONNÉES BRUTES'!Y$3:Y$42,MATCH(LARGE(IF('DONNÉES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G20" t="str" cm="1">
        <f t="array" ref="G20">IFERROR(IF(10&gt;COUNTIF('DONNÉES BRUTES'!C$3:C$42,"Healthcare"),"",INDEX('DONNÉES BRUTES'!Z$3:Z$42,MATCH(LARGE(IF('DONNÉES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H20" t="str" cm="1">
        <f t="array" ref="H20">IFERROR(IF(10&gt;COUNTIF('DONNÉES BRUTES'!C$3:C$42,"Healthcare"),"",INDEX('DONNÉES BRUTES'!AA$3:AA$42,MATCH(LARGE(IF('DONNÉES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I20" t="str" cm="1">
        <f t="array" ref="I20">IFERROR(IF(10&gt;COUNTIF('DONNÉES BRUTES'!C$3:C$42,"Healthcare"),"",INDEX('DONNÉES BRUTES'!M$3:M$42,MATCH(LARGE(IF('DONNÉES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J20" t="str" cm="1">
        <f t="array" ref="J20">IFERROR(IF(10&gt;COUNTIF('DONNÉES BRUTES'!C$3:C$42,"Healthcare"),"",INDEX('DONNÉES BRUTES'!N$3:N$42,MATCH(LARGE(IF('DONNÉES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K20" t="str" cm="1">
        <f t="array" ref="K20">IFERROR(IF(10&gt;COUNTIF('DONNÉES BRUTES'!C$3:C$42,"Healthcare"),"",INDEX('DONNÉES BRUTES'!O$3:O$42,MATCH(LARGE(IF('DONNÉES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L20" t="str" cm="1">
        <f t="array" ref="L20">IFERROR(IF(10&gt;COUNTIF('DONNÉES BRUTES'!C$3:C$42,"Healthcare"),"",INDEX('DONNÉES BRUTES'!P$3:P$42,MATCH(LARGE(IF('DONNÉES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M20" t="str" cm="1">
        <f t="array" ref="M20">IFERROR(IF(10&gt;COUNTIF('DONNÉES BRUTES'!C$3:C$42,"Healthcare"),"",INDEX('DONNÉES BRUTES'!Q$3:Q$42,MATCH(LARGE(IF('DONNÉES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N20" t="str" cm="1">
        <f t="array" ref="N20">IFERROR(IF(10&gt;COUNTIF('DONNÉES BRUTES'!C$3:C$42,"Healthcare"),"",INDEX('DONNÉES BRUTES'!S$3:S$42,MATCH(LARGE(IF('DONNÉES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O20" t="str" cm="1">
        <f t="array" ref="O20">IFERROR(IF(10&gt;COUNTIF('DONNÉES BRUTES'!C$3:C$42,"Healthcare"),"",INDEX('DONNÉES BRUTES'!T$3:T$42,MATCH(LARGE(IF('DONNÉES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P20" t="str" cm="1">
        <f t="array" ref="P20">IFERROR(IF(10&gt;COUNTIF('DONNÉES BRUTES'!C$3:C$42,"Healthcare"),"",INDEX('DONNÉES BRUTES'!U$3:U$42,MATCH(LARGE(IF('DONNÉES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Q20" t="str" cm="1">
        <f t="array" ref="Q20">IFERROR(IF(10&gt;COUNTIF('DONNÉES BRUTES'!C$3:C$42,"Healthcare"),"",INDEX('DONNÉES BRUTES'!AD$3:AD$42,MATCH(LARGE(IF('DONNÉES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</row>
    <row r="21" spans="2:28" ht="15.95" customHeight="1" x14ac:dyDescent="0.25">
      <c r="B21" t="str">
        <f>IF(11&gt;COUNTIF('DONNÉES BRUTES'!C$3:C$42,"Healthcare"),"",11)</f>
        <v/>
      </c>
      <c r="C21" t="str" cm="1">
        <f t="array" ref="C21">IFERROR(IF(11&gt;COUNTIF('DONNÉES BRUTES'!C$3:C$42,"Healthcare"),"",INDEX('DONNÉES BRUTES'!A$3:A$42,MATCH(LARGE(IF('DONNÉES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D21" t="str" cm="1">
        <f t="array" ref="D21">IFERROR(IF(11&gt;COUNTIF('DONNÉES BRUTES'!C$3:C$42,"Healthcare"),"",INDEX('DONNÉES BRUTES'!B$3:B$42,MATCH(LARGE(IF('DONNÉES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E21" t="str" cm="1">
        <f t="array" ref="E21">IFERROR(IF(11&gt;COUNTIF('DONNÉES BRUTES'!C$3:C$42,"Healthcare"),"",INT(LARGE(IF('DONNÉES BRUTES'!C$3:C$42="Healthcare",'DONNÉES BRUTES'!AB$3:AB$42+(ROW('DONNÉES BRUTES'!A$3:A$42)-ROW('DONNÉES BRUTES'!A$3))/1000,0),11))&amp;"/100"),"—")</f>
        <v/>
      </c>
      <c r="F21" t="str" cm="1">
        <f t="array" ref="F21">IFERROR(IF(11&gt;COUNTIF('DONNÉES BRUTES'!C$3:C$42,"Healthcare"),"",INDEX('DONNÉES BRUTES'!Y$3:Y$42,MATCH(LARGE(IF('DONNÉES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G21" t="str" cm="1">
        <f t="array" ref="G21">IFERROR(IF(11&gt;COUNTIF('DONNÉES BRUTES'!C$3:C$42,"Healthcare"),"",INDEX('DONNÉES BRUTES'!Z$3:Z$42,MATCH(LARGE(IF('DONNÉES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H21" t="str" cm="1">
        <f t="array" ref="H21">IFERROR(IF(11&gt;COUNTIF('DONNÉES BRUTES'!C$3:C$42,"Healthcare"),"",INDEX('DONNÉES BRUTES'!AA$3:AA$42,MATCH(LARGE(IF('DONNÉES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I21" t="str" cm="1">
        <f t="array" ref="I21">IFERROR(IF(11&gt;COUNTIF('DONNÉES BRUTES'!C$3:C$42,"Healthcare"),"",INDEX('DONNÉES BRUTES'!M$3:M$42,MATCH(LARGE(IF('DONNÉES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J21" t="str" cm="1">
        <f t="array" ref="J21">IFERROR(IF(11&gt;COUNTIF('DONNÉES BRUTES'!C$3:C$42,"Healthcare"),"",INDEX('DONNÉES BRUTES'!N$3:N$42,MATCH(LARGE(IF('DONNÉES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K21" t="str" cm="1">
        <f t="array" ref="K21">IFERROR(IF(11&gt;COUNTIF('DONNÉES BRUTES'!C$3:C$42,"Healthcare"),"",INDEX('DONNÉES BRUTES'!O$3:O$42,MATCH(LARGE(IF('DONNÉES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L21" t="str" cm="1">
        <f t="array" ref="L21">IFERROR(IF(11&gt;COUNTIF('DONNÉES BRUTES'!C$3:C$42,"Healthcare"),"",INDEX('DONNÉES BRUTES'!P$3:P$42,MATCH(LARGE(IF('DONNÉES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M21" t="str" cm="1">
        <f t="array" ref="M21">IFERROR(IF(11&gt;COUNTIF('DONNÉES BRUTES'!C$3:C$42,"Healthcare"),"",INDEX('DONNÉES BRUTES'!Q$3:Q$42,MATCH(LARGE(IF('DONNÉES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N21" t="str" cm="1">
        <f t="array" ref="N21">IFERROR(IF(11&gt;COUNTIF('DONNÉES BRUTES'!C$3:C$42,"Healthcare"),"",INDEX('DONNÉES BRUTES'!S$3:S$42,MATCH(LARGE(IF('DONNÉES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O21" t="str" cm="1">
        <f t="array" ref="O21">IFERROR(IF(11&gt;COUNTIF('DONNÉES BRUTES'!C$3:C$42,"Healthcare"),"",INDEX('DONNÉES BRUTES'!T$3:T$42,MATCH(LARGE(IF('DONNÉES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P21" t="str" cm="1">
        <f t="array" ref="P21">IFERROR(IF(11&gt;COUNTIF('DONNÉES BRUTES'!C$3:C$42,"Healthcare"),"",INDEX('DONNÉES BRUTES'!U$3:U$42,MATCH(LARGE(IF('DONNÉES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Q21" t="str" cm="1">
        <f t="array" ref="Q21">IFERROR(IF(11&gt;COUNTIF('DONNÉES BRUTES'!C$3:C$42,"Healthcare"),"",INDEX('DONNÉES BRUTES'!AD$3:AD$42,MATCH(LARGE(IF('DONNÉES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</row>
    <row r="22" spans="2:28" ht="15.95" customHeight="1" x14ac:dyDescent="0.25">
      <c r="B22" t="str">
        <f>IF(12&gt;COUNTIF('DONNÉES BRUTES'!C$3:C$42,"Healthcare"),"",12)</f>
        <v/>
      </c>
      <c r="C22" t="str" cm="1">
        <f t="array" ref="C22">IFERROR(IF(12&gt;COUNTIF('DONNÉES BRUTES'!C$3:C$42,"Healthcare"),"",INDEX('DONNÉES BRUTES'!A$3:A$42,MATCH(LARGE(IF('DONNÉES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D22" t="str" cm="1">
        <f t="array" ref="D22">IFERROR(IF(12&gt;COUNTIF('DONNÉES BRUTES'!C$3:C$42,"Healthcare"),"",INDEX('DONNÉES BRUTES'!B$3:B$42,MATCH(LARGE(IF('DONNÉES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E22" t="str" cm="1">
        <f t="array" ref="E22">IFERROR(IF(12&gt;COUNTIF('DONNÉES BRUTES'!C$3:C$42,"Healthcare"),"",INT(LARGE(IF('DONNÉES BRUTES'!C$3:C$42="Healthcare",'DONNÉES BRUTES'!AB$3:AB$42+(ROW('DONNÉES BRUTES'!A$3:A$42)-ROW('DONNÉES BRUTES'!A$3))/1000,0),12))&amp;"/100"),"—")</f>
        <v/>
      </c>
      <c r="F22" t="str" cm="1">
        <f t="array" ref="F22">IFERROR(IF(12&gt;COUNTIF('DONNÉES BRUTES'!C$3:C$42,"Healthcare"),"",INDEX('DONNÉES BRUTES'!Y$3:Y$42,MATCH(LARGE(IF('DONNÉES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G22" t="str" cm="1">
        <f t="array" ref="G22">IFERROR(IF(12&gt;COUNTIF('DONNÉES BRUTES'!C$3:C$42,"Healthcare"),"",INDEX('DONNÉES BRUTES'!Z$3:Z$42,MATCH(LARGE(IF('DONNÉES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H22" t="str" cm="1">
        <f t="array" ref="H22">IFERROR(IF(12&gt;COUNTIF('DONNÉES BRUTES'!C$3:C$42,"Healthcare"),"",INDEX('DONNÉES BRUTES'!AA$3:AA$42,MATCH(LARGE(IF('DONNÉES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I22" t="str" cm="1">
        <f t="array" ref="I22">IFERROR(IF(12&gt;COUNTIF('DONNÉES BRUTES'!C$3:C$42,"Healthcare"),"",INDEX('DONNÉES BRUTES'!M$3:M$42,MATCH(LARGE(IF('DONNÉES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J22" t="str" cm="1">
        <f t="array" ref="J22">IFERROR(IF(12&gt;COUNTIF('DONNÉES BRUTES'!C$3:C$42,"Healthcare"),"",INDEX('DONNÉES BRUTES'!N$3:N$42,MATCH(LARGE(IF('DONNÉES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K22" t="str" cm="1">
        <f t="array" ref="K22">IFERROR(IF(12&gt;COUNTIF('DONNÉES BRUTES'!C$3:C$42,"Healthcare"),"",INDEX('DONNÉES BRUTES'!O$3:O$42,MATCH(LARGE(IF('DONNÉES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L22" t="str" cm="1">
        <f t="array" ref="L22">IFERROR(IF(12&gt;COUNTIF('DONNÉES BRUTES'!C$3:C$42,"Healthcare"),"",INDEX('DONNÉES BRUTES'!P$3:P$42,MATCH(LARGE(IF('DONNÉES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M22" t="str" cm="1">
        <f t="array" ref="M22">IFERROR(IF(12&gt;COUNTIF('DONNÉES BRUTES'!C$3:C$42,"Healthcare"),"",INDEX('DONNÉES BRUTES'!Q$3:Q$42,MATCH(LARGE(IF('DONNÉES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N22" t="str" cm="1">
        <f t="array" ref="N22">IFERROR(IF(12&gt;COUNTIF('DONNÉES BRUTES'!C$3:C$42,"Healthcare"),"",INDEX('DONNÉES BRUTES'!S$3:S$42,MATCH(LARGE(IF('DONNÉES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O22" t="str" cm="1">
        <f t="array" ref="O22">IFERROR(IF(12&gt;COUNTIF('DONNÉES BRUTES'!C$3:C$42,"Healthcare"),"",INDEX('DONNÉES BRUTES'!T$3:T$42,MATCH(LARGE(IF('DONNÉES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P22" t="str" cm="1">
        <f t="array" ref="P22">IFERROR(IF(12&gt;COUNTIF('DONNÉES BRUTES'!C$3:C$42,"Healthcare"),"",INDEX('DONNÉES BRUTES'!U$3:U$42,MATCH(LARGE(IF('DONNÉES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Q22" t="str" cm="1">
        <f t="array" ref="Q22">IFERROR(IF(12&gt;COUNTIF('DONNÉES BRUTES'!C$3:C$42,"Healthcare"),"",INDEX('DONNÉES BRUTES'!AD$3:AD$42,MATCH(LARGE(IF('DONNÉES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</row>
    <row r="23" spans="2:28" ht="15.95" customHeight="1" x14ac:dyDescent="0.25">
      <c r="B23" t="str">
        <f>IF(13&gt;COUNTIF('DONNÉES BRUTES'!C$3:C$42,"Healthcare"),"",13)</f>
        <v/>
      </c>
      <c r="C23" t="str" cm="1">
        <f t="array" ref="C23">IFERROR(IF(13&gt;COUNTIF('DONNÉES BRUTES'!C$3:C$42,"Healthcare"),"",INDEX('DONNÉES BRUTES'!A$3:A$42,MATCH(LARGE(IF('DONNÉES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D23" t="str" cm="1">
        <f t="array" ref="D23">IFERROR(IF(13&gt;COUNTIF('DONNÉES BRUTES'!C$3:C$42,"Healthcare"),"",INDEX('DONNÉES BRUTES'!B$3:B$42,MATCH(LARGE(IF('DONNÉES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E23" t="str" cm="1">
        <f t="array" ref="E23">IFERROR(IF(13&gt;COUNTIF('DONNÉES BRUTES'!C$3:C$42,"Healthcare"),"",INT(LARGE(IF('DONNÉES BRUTES'!C$3:C$42="Healthcare",'DONNÉES BRUTES'!AB$3:AB$42+(ROW('DONNÉES BRUTES'!A$3:A$42)-ROW('DONNÉES BRUTES'!A$3))/1000,0),13))&amp;"/100"),"—")</f>
        <v/>
      </c>
      <c r="F23" t="str" cm="1">
        <f t="array" ref="F23">IFERROR(IF(13&gt;COUNTIF('DONNÉES BRUTES'!C$3:C$42,"Healthcare"),"",INDEX('DONNÉES BRUTES'!Y$3:Y$42,MATCH(LARGE(IF('DONNÉES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G23" t="str" cm="1">
        <f t="array" ref="G23">IFERROR(IF(13&gt;COUNTIF('DONNÉES BRUTES'!C$3:C$42,"Healthcare"),"",INDEX('DONNÉES BRUTES'!Z$3:Z$42,MATCH(LARGE(IF('DONNÉES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H23" t="str" cm="1">
        <f t="array" ref="H23">IFERROR(IF(13&gt;COUNTIF('DONNÉES BRUTES'!C$3:C$42,"Healthcare"),"",INDEX('DONNÉES BRUTES'!AA$3:AA$42,MATCH(LARGE(IF('DONNÉES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I23" t="str" cm="1">
        <f t="array" ref="I23">IFERROR(IF(13&gt;COUNTIF('DONNÉES BRUTES'!C$3:C$42,"Healthcare"),"",INDEX('DONNÉES BRUTES'!M$3:M$42,MATCH(LARGE(IF('DONNÉES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J23" t="str" cm="1">
        <f t="array" ref="J23">IFERROR(IF(13&gt;COUNTIF('DONNÉES BRUTES'!C$3:C$42,"Healthcare"),"",INDEX('DONNÉES BRUTES'!N$3:N$42,MATCH(LARGE(IF('DONNÉES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K23" t="str" cm="1">
        <f t="array" ref="K23">IFERROR(IF(13&gt;COUNTIF('DONNÉES BRUTES'!C$3:C$42,"Healthcare"),"",INDEX('DONNÉES BRUTES'!O$3:O$42,MATCH(LARGE(IF('DONNÉES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L23" t="str" cm="1">
        <f t="array" ref="L23">IFERROR(IF(13&gt;COUNTIF('DONNÉES BRUTES'!C$3:C$42,"Healthcare"),"",INDEX('DONNÉES BRUTES'!P$3:P$42,MATCH(LARGE(IF('DONNÉES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M23" t="str" cm="1">
        <f t="array" ref="M23">IFERROR(IF(13&gt;COUNTIF('DONNÉES BRUTES'!C$3:C$42,"Healthcare"),"",INDEX('DONNÉES BRUTES'!Q$3:Q$42,MATCH(LARGE(IF('DONNÉES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N23" t="str" cm="1">
        <f t="array" ref="N23">IFERROR(IF(13&gt;COUNTIF('DONNÉES BRUTES'!C$3:C$42,"Healthcare"),"",INDEX('DONNÉES BRUTES'!S$3:S$42,MATCH(LARGE(IF('DONNÉES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O23" t="str" cm="1">
        <f t="array" ref="O23">IFERROR(IF(13&gt;COUNTIF('DONNÉES BRUTES'!C$3:C$42,"Healthcare"),"",INDEX('DONNÉES BRUTES'!T$3:T$42,MATCH(LARGE(IF('DONNÉES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P23" t="str" cm="1">
        <f t="array" ref="P23">IFERROR(IF(13&gt;COUNTIF('DONNÉES BRUTES'!C$3:C$42,"Healthcare"),"",INDEX('DONNÉES BRUTES'!U$3:U$42,MATCH(LARGE(IF('DONNÉES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Q23" t="str" cm="1">
        <f t="array" ref="Q23">IFERROR(IF(13&gt;COUNTIF('DONNÉES BRUTES'!C$3:C$42,"Healthcare"),"",INDEX('DONNÉES BRUTES'!AD$3:AD$42,MATCH(LARGE(IF('DONNÉES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</row>
    <row r="24" spans="2:28" ht="15.95" customHeight="1" x14ac:dyDescent="0.25">
      <c r="B24" t="str">
        <f>IF(14&gt;COUNTIF('DONNÉES BRUTES'!C$3:C$42,"Healthcare"),"",14)</f>
        <v/>
      </c>
      <c r="C24" t="str" cm="1">
        <f t="array" ref="C24">IFERROR(IF(14&gt;COUNTIF('DONNÉES BRUTES'!C$3:C$42,"Healthcare"),"",INDEX('DONNÉES BRUTES'!A$3:A$42,MATCH(LARGE(IF('DONNÉES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D24" t="str" cm="1">
        <f t="array" ref="D24">IFERROR(IF(14&gt;COUNTIF('DONNÉES BRUTES'!C$3:C$42,"Healthcare"),"",INDEX('DONNÉES BRUTES'!B$3:B$42,MATCH(LARGE(IF('DONNÉES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E24" t="str" cm="1">
        <f t="array" ref="E24">IFERROR(IF(14&gt;COUNTIF('DONNÉES BRUTES'!C$3:C$42,"Healthcare"),"",INT(LARGE(IF('DONNÉES BRUTES'!C$3:C$42="Healthcare",'DONNÉES BRUTES'!AB$3:AB$42+(ROW('DONNÉES BRUTES'!A$3:A$42)-ROW('DONNÉES BRUTES'!A$3))/1000,0),14))&amp;"/100"),"—")</f>
        <v/>
      </c>
      <c r="F24" t="str" cm="1">
        <f t="array" ref="F24">IFERROR(IF(14&gt;COUNTIF('DONNÉES BRUTES'!C$3:C$42,"Healthcare"),"",INDEX('DONNÉES BRUTES'!Y$3:Y$42,MATCH(LARGE(IF('DONNÉES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G24" t="str" cm="1">
        <f t="array" ref="G24">IFERROR(IF(14&gt;COUNTIF('DONNÉES BRUTES'!C$3:C$42,"Healthcare"),"",INDEX('DONNÉES BRUTES'!Z$3:Z$42,MATCH(LARGE(IF('DONNÉES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H24" t="str" cm="1">
        <f t="array" ref="H24">IFERROR(IF(14&gt;COUNTIF('DONNÉES BRUTES'!C$3:C$42,"Healthcare"),"",INDEX('DONNÉES BRUTES'!AA$3:AA$42,MATCH(LARGE(IF('DONNÉES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I24" t="str" cm="1">
        <f t="array" ref="I24">IFERROR(IF(14&gt;COUNTIF('DONNÉES BRUTES'!C$3:C$42,"Healthcare"),"",INDEX('DONNÉES BRUTES'!M$3:M$42,MATCH(LARGE(IF('DONNÉES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J24" t="str" cm="1">
        <f t="array" ref="J24">IFERROR(IF(14&gt;COUNTIF('DONNÉES BRUTES'!C$3:C$42,"Healthcare"),"",INDEX('DONNÉES BRUTES'!N$3:N$42,MATCH(LARGE(IF('DONNÉES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K24" t="str" cm="1">
        <f t="array" ref="K24">IFERROR(IF(14&gt;COUNTIF('DONNÉES BRUTES'!C$3:C$42,"Healthcare"),"",INDEX('DONNÉES BRUTES'!O$3:O$42,MATCH(LARGE(IF('DONNÉES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L24" t="str" cm="1">
        <f t="array" ref="L24">IFERROR(IF(14&gt;COUNTIF('DONNÉES BRUTES'!C$3:C$42,"Healthcare"),"",INDEX('DONNÉES BRUTES'!P$3:P$42,MATCH(LARGE(IF('DONNÉES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M24" t="str" cm="1">
        <f t="array" ref="M24">IFERROR(IF(14&gt;COUNTIF('DONNÉES BRUTES'!C$3:C$42,"Healthcare"),"",INDEX('DONNÉES BRUTES'!Q$3:Q$42,MATCH(LARGE(IF('DONNÉES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N24" t="str" cm="1">
        <f t="array" ref="N24">IFERROR(IF(14&gt;COUNTIF('DONNÉES BRUTES'!C$3:C$42,"Healthcare"),"",INDEX('DONNÉES BRUTES'!S$3:S$42,MATCH(LARGE(IF('DONNÉES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O24" t="str" cm="1">
        <f t="array" ref="O24">IFERROR(IF(14&gt;COUNTIF('DONNÉES BRUTES'!C$3:C$42,"Healthcare"),"",INDEX('DONNÉES BRUTES'!T$3:T$42,MATCH(LARGE(IF('DONNÉES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P24" t="str" cm="1">
        <f t="array" ref="P24">IFERROR(IF(14&gt;COUNTIF('DONNÉES BRUTES'!C$3:C$42,"Healthcare"),"",INDEX('DONNÉES BRUTES'!U$3:U$42,MATCH(LARGE(IF('DONNÉES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Q24" t="str" cm="1">
        <f t="array" ref="Q24">IFERROR(IF(14&gt;COUNTIF('DONNÉES BRUTES'!C$3:C$42,"Healthcare"),"",INDEX('DONNÉES BRUTES'!AD$3:AD$42,MATCH(LARGE(IF('DONNÉES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</row>
    <row r="25" spans="2:28" ht="15.95" customHeight="1" x14ac:dyDescent="0.25">
      <c r="B25" t="str">
        <f>IF(15&gt;COUNTIF('DONNÉES BRUTES'!C$3:C$42,"Healthcare"),"",15)</f>
        <v/>
      </c>
      <c r="C25" t="str" cm="1">
        <f t="array" ref="C25">IFERROR(IF(15&gt;COUNTIF('DONNÉES BRUTES'!C$3:C$42,"Healthcare"),"",INDEX('DONNÉES BRUTES'!A$3:A$42,MATCH(LARGE(IF('DONNÉES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D25" t="str" cm="1">
        <f t="array" ref="D25">IFERROR(IF(15&gt;COUNTIF('DONNÉES BRUTES'!C$3:C$42,"Healthcare"),"",INDEX('DONNÉES BRUTES'!B$3:B$42,MATCH(LARGE(IF('DONNÉES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E25" t="str" cm="1">
        <f t="array" ref="E25">IFERROR(IF(15&gt;COUNTIF('DONNÉES BRUTES'!C$3:C$42,"Healthcare"),"",INT(LARGE(IF('DONNÉES BRUTES'!C$3:C$42="Healthcare",'DONNÉES BRUTES'!AB$3:AB$42+(ROW('DONNÉES BRUTES'!A$3:A$42)-ROW('DONNÉES BRUTES'!A$3))/1000,0),15))&amp;"/100"),"—")</f>
        <v/>
      </c>
      <c r="F25" t="str" cm="1">
        <f t="array" ref="F25">IFERROR(IF(15&gt;COUNTIF('DONNÉES BRUTES'!C$3:C$42,"Healthcare"),"",INDEX('DONNÉES BRUTES'!Y$3:Y$42,MATCH(LARGE(IF('DONNÉES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G25" t="str" cm="1">
        <f t="array" ref="G25">IFERROR(IF(15&gt;COUNTIF('DONNÉES BRUTES'!C$3:C$42,"Healthcare"),"",INDEX('DONNÉES BRUTES'!Z$3:Z$42,MATCH(LARGE(IF('DONNÉES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H25" t="str" cm="1">
        <f t="array" ref="H25">IFERROR(IF(15&gt;COUNTIF('DONNÉES BRUTES'!C$3:C$42,"Healthcare"),"",INDEX('DONNÉES BRUTES'!AA$3:AA$42,MATCH(LARGE(IF('DONNÉES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I25" t="str" cm="1">
        <f t="array" ref="I25">IFERROR(IF(15&gt;COUNTIF('DONNÉES BRUTES'!C$3:C$42,"Healthcare"),"",INDEX('DONNÉES BRUTES'!M$3:M$42,MATCH(LARGE(IF('DONNÉES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J25" t="str" cm="1">
        <f t="array" ref="J25">IFERROR(IF(15&gt;COUNTIF('DONNÉES BRUTES'!C$3:C$42,"Healthcare"),"",INDEX('DONNÉES BRUTES'!N$3:N$42,MATCH(LARGE(IF('DONNÉES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K25" t="str" cm="1">
        <f t="array" ref="K25">IFERROR(IF(15&gt;COUNTIF('DONNÉES BRUTES'!C$3:C$42,"Healthcare"),"",INDEX('DONNÉES BRUTES'!O$3:O$42,MATCH(LARGE(IF('DONNÉES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L25" t="str" cm="1">
        <f t="array" ref="L25">IFERROR(IF(15&gt;COUNTIF('DONNÉES BRUTES'!C$3:C$42,"Healthcare"),"",INDEX('DONNÉES BRUTES'!P$3:P$42,MATCH(LARGE(IF('DONNÉES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M25" t="str" cm="1">
        <f t="array" ref="M25">IFERROR(IF(15&gt;COUNTIF('DONNÉES BRUTES'!C$3:C$42,"Healthcare"),"",INDEX('DONNÉES BRUTES'!Q$3:Q$42,MATCH(LARGE(IF('DONNÉES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N25" t="str" cm="1">
        <f t="array" ref="N25">IFERROR(IF(15&gt;COUNTIF('DONNÉES BRUTES'!C$3:C$42,"Healthcare"),"",INDEX('DONNÉES BRUTES'!S$3:S$42,MATCH(LARGE(IF('DONNÉES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O25" t="str" cm="1">
        <f t="array" ref="O25">IFERROR(IF(15&gt;COUNTIF('DONNÉES BRUTES'!C$3:C$42,"Healthcare"),"",INDEX('DONNÉES BRUTES'!T$3:T$42,MATCH(LARGE(IF('DONNÉES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P25" t="str" cm="1">
        <f t="array" ref="P25">IFERROR(IF(15&gt;COUNTIF('DONNÉES BRUTES'!C$3:C$42,"Healthcare"),"",INDEX('DONNÉES BRUTES'!U$3:U$42,MATCH(LARGE(IF('DONNÉES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Q25" t="str" cm="1">
        <f t="array" ref="Q25">IFERROR(IF(15&gt;COUNTIF('DONNÉES BRUTES'!C$3:C$42,"Healthcare"),"",INDEX('DONNÉES BRUTES'!AD$3:AD$42,MATCH(LARGE(IF('DONNÉES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</row>
    <row r="26" spans="2:28" ht="15.95" customHeight="1" x14ac:dyDescent="0.25"/>
    <row r="27" spans="2:28" ht="15.95" customHeight="1" x14ac:dyDescent="0.25"/>
    <row r="28" spans="2:28" ht="15.95" customHeight="1" x14ac:dyDescent="0.25">
      <c r="S28" s="235" t="s">
        <v>4</v>
      </c>
      <c r="T28" s="235" t="s">
        <v>5</v>
      </c>
      <c r="U28" t="s">
        <v>43</v>
      </c>
      <c r="V28" t="s">
        <v>44</v>
      </c>
      <c r="W28" s="235" t="s">
        <v>45</v>
      </c>
      <c r="X28" s="235"/>
      <c r="Y28" s="235" t="s">
        <v>4</v>
      </c>
      <c r="Z28" s="235" t="s">
        <v>43</v>
      </c>
      <c r="AA28" s="235" t="s">
        <v>44</v>
      </c>
      <c r="AB28" s="235" t="s">
        <v>45</v>
      </c>
    </row>
    <row r="29" spans="2:28" ht="15.95" customHeight="1" x14ac:dyDescent="0.25">
      <c r="S29" s="235" t="str">
        <f>IF(D11="","",LEFT(D11,14))</f>
        <v>Sanofi</v>
      </c>
      <c r="T29" s="235">
        <f>IF(E11="","",IFERROR(VALUE(LEFT(E11,FIND("/",E11)-1)),0))</f>
        <v>72</v>
      </c>
      <c r="U29" s="235">
        <f t="shared" ref="U29:W31" si="0">IF(ISNUMBER(F11),F11,0)</f>
        <v>87</v>
      </c>
      <c r="V29" s="235">
        <f t="shared" si="0"/>
        <v>97</v>
      </c>
      <c r="W29" s="235">
        <f t="shared" si="0"/>
        <v>31</v>
      </c>
      <c r="X29" s="235">
        <f t="shared" ref="X29:Z31" si="1">IF(ISNUMBER(F11),F11,"")</f>
        <v>87</v>
      </c>
      <c r="Y29" s="235">
        <f t="shared" si="1"/>
        <v>97</v>
      </c>
      <c r="Z29" s="235">
        <f t="shared" si="1"/>
        <v>31</v>
      </c>
      <c r="AA29" s="235">
        <v>97</v>
      </c>
      <c r="AB29" s="235">
        <v>31</v>
      </c>
    </row>
    <row r="30" spans="2:28" ht="15.95" customHeight="1" x14ac:dyDescent="0.25">
      <c r="S30" s="235" t="str">
        <f>IF(D12="","",LEFT(D12,14))</f>
        <v>Eurofins Scien</v>
      </c>
      <c r="T30" s="235">
        <f>IF(E12="","",IFERROR(VALUE(LEFT(E12,FIND("/",E12)-1)),0))</f>
        <v>72</v>
      </c>
      <c r="U30" s="235">
        <f t="shared" si="0"/>
        <v>76</v>
      </c>
      <c r="V30" s="235">
        <f t="shared" si="0"/>
        <v>72</v>
      </c>
      <c r="W30" s="235">
        <f t="shared" si="0"/>
        <v>67</v>
      </c>
      <c r="X30" s="235">
        <f t="shared" si="1"/>
        <v>76</v>
      </c>
      <c r="Y30" s="235">
        <f t="shared" si="1"/>
        <v>72</v>
      </c>
      <c r="Z30" s="235">
        <f t="shared" si="1"/>
        <v>67</v>
      </c>
      <c r="AA30" s="235">
        <v>72</v>
      </c>
      <c r="AB30" s="235">
        <v>67</v>
      </c>
    </row>
    <row r="31" spans="2:28" x14ac:dyDescent="0.25">
      <c r="S31" s="235" t="str">
        <f>IF(D13="","",LEFT(D13,14))</f>
        <v>EssilorLuxotti</v>
      </c>
      <c r="T31" s="235">
        <f>IF(E13="","",IFERROR(VALUE(LEFT(E13,FIND("/",E13)-1)),0))</f>
        <v>64</v>
      </c>
      <c r="U31" s="235">
        <f t="shared" si="0"/>
        <v>61</v>
      </c>
      <c r="V31" s="235">
        <f t="shared" si="0"/>
        <v>62</v>
      </c>
      <c r="W31" s="235">
        <f t="shared" si="0"/>
        <v>69</v>
      </c>
      <c r="X31" s="235">
        <f t="shared" si="1"/>
        <v>61</v>
      </c>
      <c r="Y31" s="235">
        <f t="shared" si="1"/>
        <v>62</v>
      </c>
      <c r="Z31" s="235">
        <f t="shared" si="1"/>
        <v>69</v>
      </c>
      <c r="AA31" s="235">
        <v>62</v>
      </c>
      <c r="AB31" s="235">
        <v>69</v>
      </c>
    </row>
  </sheetData>
  <mergeCells count="3">
    <mergeCell ref="B1:Q1"/>
    <mergeCell ref="B2:Q2"/>
    <mergeCell ref="B8:Q8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B36"/>
  <sheetViews>
    <sheetView showGridLines="0" topLeftCell="F1" zoomScaleNormal="100" workbookViewId="0">
      <selection activeCell="Y11" sqref="Y11"/>
    </sheetView>
  </sheetViews>
  <sheetFormatPr baseColWidth="10" defaultColWidth="8.85546875" defaultRowHeight="15" x14ac:dyDescent="0.25"/>
  <cols>
    <col min="1" max="1" width="1.5703125" customWidth="1"/>
    <col min="2" max="2" width="5.28515625" customWidth="1"/>
    <col min="3" max="3" width="10.42578125" customWidth="1"/>
    <col min="4" max="4" width="21.85546875" customWidth="1"/>
    <col min="5" max="5" width="10.42578125" customWidth="1"/>
    <col min="6" max="8" width="5.28515625" customWidth="1"/>
    <col min="9" max="10" width="8" customWidth="1"/>
    <col min="11" max="11" width="7.28515625" customWidth="1"/>
    <col min="12" max="13" width="8" customWidth="1"/>
    <col min="14" max="14" width="6.42578125" customWidth="1"/>
    <col min="15" max="15" width="7.28515625" customWidth="1"/>
    <col min="16" max="16" width="6.42578125" customWidth="1"/>
    <col min="17" max="17" width="14.140625" bestFit="1" customWidth="1"/>
    <col min="20" max="23" width="9" bestFit="1" customWidth="1"/>
  </cols>
  <sheetData>
    <row r="1" spans="2:17" ht="30" customHeight="1" x14ac:dyDescent="0.25">
      <c r="B1" s="273" t="str">
        <f>"FinSight IA  ·  Energy  ·  CAC 40  ·  "&amp;COUNTIF('DONNÉES BRUTES'!C$3:C$42,"Energy")&amp;" sociétés  ·  22/03/2026"</f>
        <v>FinSight IA  ·  Energy  ·  CAC 40  ·  1 sociétés  ·  22/03/2026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</row>
    <row r="2" spans="2:17" ht="18" customHeight="1" x14ac:dyDescent="0.25">
      <c r="B2" s="278" t="s">
        <v>252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</row>
    <row r="3" spans="2:17" ht="8.1" customHeight="1" x14ac:dyDescent="0.25"/>
    <row r="4" spans="2:17" ht="8.1" customHeight="1" x14ac:dyDescent="0.25"/>
    <row r="5" spans="2:17" ht="39.950000000000003" customHeight="1" x14ac:dyDescent="0.25">
      <c r="B5" s="262"/>
      <c r="C5" s="246">
        <f>COUNTIF('DONNÉES BRUTES'!C$3:C$42,"Energy")</f>
        <v>1</v>
      </c>
      <c r="D5" s="262"/>
      <c r="E5" s="255" t="str">
        <f>ROUND(AVERAGEIF('DONNÉES BRUTES'!C$3:C$42,"Energy",'DONNÉES BRUTES'!AB$3:AB$42),0)&amp;"/100"</f>
        <v>18/100</v>
      </c>
      <c r="F5" s="255"/>
      <c r="G5" s="255"/>
      <c r="H5" s="249" t="str" cm="1">
        <f t="array" ref="H5">IFERROR(INDEX('DONNÉES BRUTES'!B$3:B$42,MATCH(LARGE(IF('DONNÉES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BRUTES'!A$3))/1000,0),0)),"—")</f>
        <v>TotalEnergies SE</v>
      </c>
      <c r="I5" s="255"/>
      <c r="J5" s="255"/>
      <c r="K5" s="255"/>
      <c r="L5" s="251" t="str">
        <f>IFERROR(VLOOKUP("Energy",'SECTOR OVERVIEW'!B$8:G$19,6,0),"—")</f>
        <v>—</v>
      </c>
      <c r="M5" s="255"/>
      <c r="N5" s="252" t="str" cm="1">
        <f t="array" ref="N5">IFERROR(ROUND(MEDIAN(IF('DONNÉES BRUTES'!C$3:C$42="Energy",IF(ISNUMBER('DONNÉES BRUTES'!Y$3:Y$42),'DONNÉES BRUTES'!Y$3:Y$42))),0),"—")</f>
        <v>—</v>
      </c>
      <c r="O5" s="255"/>
      <c r="P5" s="284" t="str">
        <f>IF(COUNTIFS('DONNÉES BRUTES'!C$3:C$42,"Energy",'DONNÉES BRUTES'!AD$3:AD$42,"Surpondérer")&gt;0,"Surpondérer",IF(COUNTIFS('DONNÉES BRUTES'!C$3:C$42,"Energy",'DONNÉES BRUTES'!AD$3:AD$42,"Neutre")&gt;=COUNTIFS('DONNÉES BRUTES'!C$3:C$42,"Energy",'DONNÉES BRUTES'!AD$3:AD$42,"Sous-pondérer"),"Neutre","Sous-pondérer"))</f>
        <v>Sous-pondérer</v>
      </c>
      <c r="Q5" s="255"/>
    </row>
    <row r="6" spans="2:17" ht="15.95" customHeight="1" x14ac:dyDescent="0.25">
      <c r="B6" s="248"/>
      <c r="C6" s="248" t="s">
        <v>593</v>
      </c>
      <c r="D6" s="248"/>
      <c r="E6" s="247" t="s">
        <v>594</v>
      </c>
      <c r="F6" s="247"/>
      <c r="G6" s="247"/>
      <c r="H6" s="250" t="s">
        <v>253</v>
      </c>
      <c r="I6" s="247"/>
      <c r="J6" s="247"/>
      <c r="K6" s="247"/>
      <c r="L6" s="248" t="s">
        <v>583</v>
      </c>
      <c r="M6" s="247"/>
      <c r="N6" s="248" t="s">
        <v>607</v>
      </c>
      <c r="O6" s="247"/>
      <c r="P6" s="248" t="s">
        <v>50</v>
      </c>
      <c r="Q6" s="247"/>
    </row>
    <row r="7" spans="2:17" ht="8.1" customHeight="1" x14ac:dyDescent="0.25"/>
    <row r="8" spans="2:17" ht="21.95" customHeight="1" x14ac:dyDescent="0.25">
      <c r="B8" s="275" t="str">
        <f>"ANALYSE DÉTAILLÉE  ·  "&amp;UPPER("Energy")&amp;"  ·  "&amp;COUNTIF('DONNÉES BRUTES'!C$3:C$42,"Energy")&amp;" sociétés  ·  Triée par Score Global"</f>
        <v>ANALYSE DÉTAILLÉE  ·  ENERGY  ·  1 sociétés  ·  Triée par Score Global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</row>
    <row r="9" spans="2:17" ht="6" customHeight="1" x14ac:dyDescent="0.25"/>
    <row r="10" spans="2:17" ht="20.100000000000001" customHeight="1" x14ac:dyDescent="0.25">
      <c r="B10" s="263" t="s">
        <v>41</v>
      </c>
      <c r="C10" s="264" t="s">
        <v>3</v>
      </c>
      <c r="D10" s="264" t="s">
        <v>4</v>
      </c>
      <c r="E10" s="263" t="s">
        <v>5</v>
      </c>
      <c r="F10" s="263" t="s">
        <v>609</v>
      </c>
      <c r="G10" s="263" t="s">
        <v>610</v>
      </c>
      <c r="H10" s="263" t="s">
        <v>595</v>
      </c>
      <c r="I10" s="263" t="s">
        <v>575</v>
      </c>
      <c r="J10" s="263" t="s">
        <v>573</v>
      </c>
      <c r="K10" s="263" t="s">
        <v>574</v>
      </c>
      <c r="L10" s="263" t="s">
        <v>596</v>
      </c>
      <c r="M10" s="263" t="s">
        <v>95</v>
      </c>
      <c r="N10" s="263" t="s">
        <v>608</v>
      </c>
      <c r="O10" s="263" t="s">
        <v>405</v>
      </c>
      <c r="P10" s="263" t="s">
        <v>89</v>
      </c>
      <c r="Q10" s="263" t="s">
        <v>50</v>
      </c>
    </row>
    <row r="11" spans="2:17" ht="18" customHeight="1" x14ac:dyDescent="0.25">
      <c r="B11">
        <f>IF(1&gt;COUNTIF('DONNÉES BRUTES'!C$3:C$42,"Energy"),"",1)</f>
        <v>1</v>
      </c>
      <c r="C11" t="str" cm="1">
        <f t="array" ref="C11">IFERROR(IF(1&gt;COUNTIF('DONNÉES BRUTES'!C$3:C$42,"Energy"),"",INDEX('DONNÉES BRUTES'!A$3:A$42,MATCH(LARGE(IF('DONNÉES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TTE.PA</v>
      </c>
      <c r="D11" t="str" cm="1">
        <f t="array" ref="D11">IFERROR(IF(1&gt;COUNTIF('DONNÉES BRUTES'!C$3:C$42,"Energy"),"",INDEX('DONNÉES BRUTES'!B$3:B$42,MATCH(LARGE(IF('DONNÉES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TotalEnergies SE</v>
      </c>
      <c r="E11" t="str" cm="1">
        <f t="array" ref="E11">IFERROR(IF(1&gt;COUNTIF('DONNÉES BRUTES'!C$3:C$42,"Energy"),"",INT(LARGE(IF('DONNÉES BRUTES'!C$3:C$42="Energy",'DONNÉES BRUTES'!AB$3:AB$42+(ROW('DONNÉES BRUTES'!A$3:A$42)-ROW('DONNÉES BRUTES'!A$3))/1000,0),1))&amp;"/100"),"—")</f>
        <v>18/100</v>
      </c>
      <c r="F11" t="str" cm="1">
        <f t="array" ref="F11">IFERROR(IF(1&gt;COUNTIF('DONNÉES BRUTES'!C$3:C$42,"Energy"),"",INDEX('DONNÉES BRUTES'!Y$3:Y$42,MATCH(LARGE(IF('DONNÉES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—</v>
      </c>
      <c r="G11" cm="1">
        <f t="array" ref="G11">IFERROR(IF(1&gt;COUNTIF('DONNÉES BRUTES'!C$3:C$42,"Energy"),"",INDEX('DONNÉES BRUTES'!Z$3:Z$42,MATCH(LARGE(IF('DONNÉES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8</v>
      </c>
      <c r="H11" cm="1">
        <f t="array" ref="H11">IFERROR(IF(1&gt;COUNTIF('DONNÉES BRUTES'!C$3:C$42,"Energy"),"",INDEX('DONNÉES BRUTES'!AA$3:AA$42,MATCH(LARGE(IF('DONNÉES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28</v>
      </c>
      <c r="I11" t="str" cm="1">
        <f t="array" ref="I11">IFERROR(IF(1&gt;COUNTIF('DONNÉES BRUTES'!C$3:C$42,"Energy"),"",INDEX('DONNÉES BRUTES'!M$3:M$42,MATCH(LARGE(IF('DONNÉES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—</v>
      </c>
      <c r="J11" t="str" cm="1">
        <f t="array" ref="J11">IFERROR(IF(1&gt;COUNTIF('DONNÉES BRUTES'!C$3:C$42,"Energy"),"",INDEX('DONNÉES BRUTES'!N$3:N$42,MATCH(LARGE(IF('DONNÉES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—</v>
      </c>
      <c r="K11" t="str" cm="1">
        <f t="array" ref="K11">IFERROR(IF(1&gt;COUNTIF('DONNÉES BRUTES'!C$3:C$42,"Energy"),"",INDEX('DONNÉES BRUTES'!O$3:O$42,MATCH(LARGE(IF('DONNÉES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—</v>
      </c>
      <c r="L11" t="str" cm="1">
        <f t="array" ref="L11">IFERROR(IF(1&gt;COUNTIF('DONNÉES BRUTES'!C$3:C$42,"Energy"),"",INDEX('DONNÉES BRUTES'!P$3:P$42,MATCH(LARGE(IF('DONNÉES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—</v>
      </c>
      <c r="M11" t="str" cm="1">
        <f t="array" ref="M11">IFERROR(IF(1&gt;COUNTIF('DONNÉES BRUTES'!C$3:C$42,"Energy"),"",INDEX('DONNÉES BRUTES'!Q$3:Q$42,MATCH(LARGE(IF('DONNÉES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—</v>
      </c>
      <c r="N11" t="str" cm="1">
        <f t="array" ref="N11">IFERROR(IF(1&gt;COUNTIF('DONNÉES BRUTES'!C$3:C$42,"Energy"),"",INDEX('DONNÉES BRUTES'!S$3:S$42,MATCH(LARGE(IF('DONNÉES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1.10</v>
      </c>
      <c r="O11" t="str" cm="1">
        <f t="array" ref="O11">IFERROR(IF(1&gt;COUNTIF('DONNÉES BRUTES'!C$3:C$42,"Energy"),"",INDEX('DONNÉES BRUTES'!T$3:T$42,MATCH(LARGE(IF('DONNÉES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—</v>
      </c>
      <c r="P11" t="str" cm="1">
        <f t="array" ref="P11">IFERROR(IF(1&gt;COUNTIF('DONNÉES BRUTES'!C$3:C$42,"Energy"),"",INDEX('DONNÉES BRUTES'!U$3:U$42,MATCH(LARGE(IF('DONNÉES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—</v>
      </c>
      <c r="Q11" t="str" cm="1">
        <f t="array" ref="Q11">IFERROR(IF(1&gt;COUNTIF('DONNÉES BRUTES'!C$3:C$42,"Energy"),"",INDEX('DONNÉES BRUTES'!AD$3:AD$42,MATCH(LARGE(IF('DONNÉES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>Sous-pondérer</v>
      </c>
    </row>
    <row r="12" spans="2:17" ht="15.95" customHeight="1" x14ac:dyDescent="0.25">
      <c r="B12" t="str">
        <f>IF(2&gt;COUNTIF('DONNÉES BRUTES'!C$3:C$42,"Energy"),"",2)</f>
        <v/>
      </c>
      <c r="C12" t="str" cm="1">
        <f t="array" ref="C12">IFERROR(IF(2&gt;COUNTIF('DONNÉES BRUTES'!C$3:C$42,"Energy"),"",INDEX('DONNÉES BRUTES'!A$3:A$42,MATCH(LARGE(IF('DONNÉES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D12" t="str" cm="1">
        <f t="array" ref="D12">IFERROR(IF(2&gt;COUNTIF('DONNÉES BRUTES'!C$3:C$42,"Energy"),"",INDEX('DONNÉES BRUTES'!B$3:B$42,MATCH(LARGE(IF('DONNÉES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E12" t="str" cm="1">
        <f t="array" ref="E12">IFERROR(IF(2&gt;COUNTIF('DONNÉES BRUTES'!C$3:C$42,"Energy"),"",INT(LARGE(IF('DONNÉES BRUTES'!C$3:C$42="Energy",'DONNÉES BRUTES'!AB$3:AB$42+(ROW('DONNÉES BRUTES'!A$3:A$42)-ROW('DONNÉES BRUTES'!A$3))/1000,0),2))&amp;"/100"),"—")</f>
        <v/>
      </c>
      <c r="F12" t="str" cm="1">
        <f t="array" ref="F12">IFERROR(IF(2&gt;COUNTIF('DONNÉES BRUTES'!C$3:C$42,"Energy"),"",INDEX('DONNÉES BRUTES'!Y$3:Y$42,MATCH(LARGE(IF('DONNÉES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G12" t="str" cm="1">
        <f t="array" ref="G12">IFERROR(IF(2&gt;COUNTIF('DONNÉES BRUTES'!C$3:C$42,"Energy"),"",INDEX('DONNÉES BRUTES'!Z$3:Z$42,MATCH(LARGE(IF('DONNÉES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H12" t="str" cm="1">
        <f t="array" ref="H12">IFERROR(IF(2&gt;COUNTIF('DONNÉES BRUTES'!C$3:C$42,"Energy"),"",INDEX('DONNÉES BRUTES'!AA$3:AA$42,MATCH(LARGE(IF('DONNÉES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I12" t="str" cm="1">
        <f t="array" ref="I12">IFERROR(IF(2&gt;COUNTIF('DONNÉES BRUTES'!C$3:C$42,"Energy"),"",INDEX('DONNÉES BRUTES'!M$3:M$42,MATCH(LARGE(IF('DONNÉES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J12" t="str" cm="1">
        <f t="array" ref="J12">IFERROR(IF(2&gt;COUNTIF('DONNÉES BRUTES'!C$3:C$42,"Energy"),"",INDEX('DONNÉES BRUTES'!N$3:N$42,MATCH(LARGE(IF('DONNÉES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K12" t="str" cm="1">
        <f t="array" ref="K12">IFERROR(IF(2&gt;COUNTIF('DONNÉES BRUTES'!C$3:C$42,"Energy"),"",INDEX('DONNÉES BRUTES'!O$3:O$42,MATCH(LARGE(IF('DONNÉES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L12" t="str" cm="1">
        <f t="array" ref="L12">IFERROR(IF(2&gt;COUNTIF('DONNÉES BRUTES'!C$3:C$42,"Energy"),"",INDEX('DONNÉES BRUTES'!P$3:P$42,MATCH(LARGE(IF('DONNÉES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M12" t="str" cm="1">
        <f t="array" ref="M12">IFERROR(IF(2&gt;COUNTIF('DONNÉES BRUTES'!C$3:C$42,"Energy"),"",INDEX('DONNÉES BRUTES'!Q$3:Q$42,MATCH(LARGE(IF('DONNÉES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N12" t="str" cm="1">
        <f t="array" ref="N12">IFERROR(IF(2&gt;COUNTIF('DONNÉES BRUTES'!C$3:C$42,"Energy"),"",INDEX('DONNÉES BRUTES'!S$3:S$42,MATCH(LARGE(IF('DONNÉES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O12" t="str" cm="1">
        <f t="array" ref="O12">IFERROR(IF(2&gt;COUNTIF('DONNÉES BRUTES'!C$3:C$42,"Energy"),"",INDEX('DONNÉES BRUTES'!T$3:T$42,MATCH(LARGE(IF('DONNÉES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P12" t="str" cm="1">
        <f t="array" ref="P12">IFERROR(IF(2&gt;COUNTIF('DONNÉES BRUTES'!C$3:C$42,"Energy"),"",INDEX('DONNÉES BRUTES'!U$3:U$42,MATCH(LARGE(IF('DONNÉES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Q12" t="str" cm="1">
        <f t="array" ref="Q12">IFERROR(IF(2&gt;COUNTIF('DONNÉES BRUTES'!C$3:C$42,"Energy"),"",INDEX('DONNÉES BRUTES'!AD$3:AD$42,MATCH(LARGE(IF('DONNÉES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</row>
    <row r="13" spans="2:17" ht="15.95" customHeight="1" x14ac:dyDescent="0.25">
      <c r="B13" t="str">
        <f>IF(3&gt;COUNTIF('DONNÉES BRUTES'!C$3:C$42,"Energy"),"",3)</f>
        <v/>
      </c>
      <c r="C13" t="str" cm="1">
        <f t="array" ref="C13">IFERROR(IF(3&gt;COUNTIF('DONNÉES BRUTES'!C$3:C$42,"Energy"),"",INDEX('DONNÉES BRUTES'!A$3:A$42,MATCH(LARGE(IF('DONNÉES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D13" t="str" cm="1">
        <f t="array" ref="D13">IFERROR(IF(3&gt;COUNTIF('DONNÉES BRUTES'!C$3:C$42,"Energy"),"",INDEX('DONNÉES BRUTES'!B$3:B$42,MATCH(LARGE(IF('DONNÉES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E13" t="str" cm="1">
        <f t="array" ref="E13">IFERROR(IF(3&gt;COUNTIF('DONNÉES BRUTES'!C$3:C$42,"Energy"),"",INT(LARGE(IF('DONNÉES BRUTES'!C$3:C$42="Energy",'DONNÉES BRUTES'!AB$3:AB$42+(ROW('DONNÉES BRUTES'!A$3:A$42)-ROW('DONNÉES BRUTES'!A$3))/1000,0),3))&amp;"/100"),"—")</f>
        <v/>
      </c>
      <c r="F13" t="str" cm="1">
        <f t="array" ref="F13">IFERROR(IF(3&gt;COUNTIF('DONNÉES BRUTES'!C$3:C$42,"Energy"),"",INDEX('DONNÉES BRUTES'!Y$3:Y$42,MATCH(LARGE(IF('DONNÉES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G13" t="str" cm="1">
        <f t="array" ref="G13">IFERROR(IF(3&gt;COUNTIF('DONNÉES BRUTES'!C$3:C$42,"Energy"),"",INDEX('DONNÉES BRUTES'!Z$3:Z$42,MATCH(LARGE(IF('DONNÉES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H13" t="str" cm="1">
        <f t="array" ref="H13">IFERROR(IF(3&gt;COUNTIF('DONNÉES BRUTES'!C$3:C$42,"Energy"),"",INDEX('DONNÉES BRUTES'!AA$3:AA$42,MATCH(LARGE(IF('DONNÉES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I13" t="str" cm="1">
        <f t="array" ref="I13">IFERROR(IF(3&gt;COUNTIF('DONNÉES BRUTES'!C$3:C$42,"Energy"),"",INDEX('DONNÉES BRUTES'!M$3:M$42,MATCH(LARGE(IF('DONNÉES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J13" t="str" cm="1">
        <f t="array" ref="J13">IFERROR(IF(3&gt;COUNTIF('DONNÉES BRUTES'!C$3:C$42,"Energy"),"",INDEX('DONNÉES BRUTES'!N$3:N$42,MATCH(LARGE(IF('DONNÉES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K13" t="str" cm="1">
        <f t="array" ref="K13">IFERROR(IF(3&gt;COUNTIF('DONNÉES BRUTES'!C$3:C$42,"Energy"),"",INDEX('DONNÉES BRUTES'!O$3:O$42,MATCH(LARGE(IF('DONNÉES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L13" t="str" cm="1">
        <f t="array" ref="L13">IFERROR(IF(3&gt;COUNTIF('DONNÉES BRUTES'!C$3:C$42,"Energy"),"",INDEX('DONNÉES BRUTES'!P$3:P$42,MATCH(LARGE(IF('DONNÉES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M13" t="str" cm="1">
        <f t="array" ref="M13">IFERROR(IF(3&gt;COUNTIF('DONNÉES BRUTES'!C$3:C$42,"Energy"),"",INDEX('DONNÉES BRUTES'!Q$3:Q$42,MATCH(LARGE(IF('DONNÉES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N13" t="str" cm="1">
        <f t="array" ref="N13">IFERROR(IF(3&gt;COUNTIF('DONNÉES BRUTES'!C$3:C$42,"Energy"),"",INDEX('DONNÉES BRUTES'!S$3:S$42,MATCH(LARGE(IF('DONNÉES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O13" t="str" cm="1">
        <f t="array" ref="O13">IFERROR(IF(3&gt;COUNTIF('DONNÉES BRUTES'!C$3:C$42,"Energy"),"",INDEX('DONNÉES BRUTES'!T$3:T$42,MATCH(LARGE(IF('DONNÉES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P13" t="str" cm="1">
        <f t="array" ref="P13">IFERROR(IF(3&gt;COUNTIF('DONNÉES BRUTES'!C$3:C$42,"Energy"),"",INDEX('DONNÉES BRUTES'!U$3:U$42,MATCH(LARGE(IF('DONNÉES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Q13" t="str" cm="1">
        <f t="array" ref="Q13">IFERROR(IF(3&gt;COUNTIF('DONNÉES BRUTES'!C$3:C$42,"Energy"),"",INDEX('DONNÉES BRUTES'!AD$3:AD$42,MATCH(LARGE(IF('DONNÉES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</row>
    <row r="14" spans="2:17" ht="15.95" customHeight="1" x14ac:dyDescent="0.25">
      <c r="B14" t="str">
        <f>IF(4&gt;COUNTIF('DONNÉES BRUTES'!C$3:C$42,"Energy"),"",4)</f>
        <v/>
      </c>
      <c r="C14" t="str" cm="1">
        <f t="array" ref="C14">IFERROR(IF(4&gt;COUNTIF('DONNÉES BRUTES'!C$3:C$42,"Energy"),"",INDEX('DONNÉES BRUTES'!A$3:A$42,MATCH(LARGE(IF('DONNÉES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D14" t="str" cm="1">
        <f t="array" ref="D14">IFERROR(IF(4&gt;COUNTIF('DONNÉES BRUTES'!C$3:C$42,"Energy"),"",INDEX('DONNÉES BRUTES'!B$3:B$42,MATCH(LARGE(IF('DONNÉES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E14" t="str" cm="1">
        <f t="array" ref="E14">IFERROR(IF(4&gt;COUNTIF('DONNÉES BRUTES'!C$3:C$42,"Energy"),"",INT(LARGE(IF('DONNÉES BRUTES'!C$3:C$42="Energy",'DONNÉES BRUTES'!AB$3:AB$42+(ROW('DONNÉES BRUTES'!A$3:A$42)-ROW('DONNÉES BRUTES'!A$3))/1000,0),4))&amp;"/100"),"—")</f>
        <v/>
      </c>
      <c r="F14" t="str" cm="1">
        <f t="array" ref="F14">IFERROR(IF(4&gt;COUNTIF('DONNÉES BRUTES'!C$3:C$42,"Energy"),"",INDEX('DONNÉES BRUTES'!Y$3:Y$42,MATCH(LARGE(IF('DONNÉES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G14" t="str" cm="1">
        <f t="array" ref="G14">IFERROR(IF(4&gt;COUNTIF('DONNÉES BRUTES'!C$3:C$42,"Energy"),"",INDEX('DONNÉES BRUTES'!Z$3:Z$42,MATCH(LARGE(IF('DONNÉES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H14" t="str" cm="1">
        <f t="array" ref="H14">IFERROR(IF(4&gt;COUNTIF('DONNÉES BRUTES'!C$3:C$42,"Energy"),"",INDEX('DONNÉES BRUTES'!AA$3:AA$42,MATCH(LARGE(IF('DONNÉES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I14" t="str" cm="1">
        <f t="array" ref="I14">IFERROR(IF(4&gt;COUNTIF('DONNÉES BRUTES'!C$3:C$42,"Energy"),"",INDEX('DONNÉES BRUTES'!M$3:M$42,MATCH(LARGE(IF('DONNÉES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J14" t="str" cm="1">
        <f t="array" ref="J14">IFERROR(IF(4&gt;COUNTIF('DONNÉES BRUTES'!C$3:C$42,"Energy"),"",INDEX('DONNÉES BRUTES'!N$3:N$42,MATCH(LARGE(IF('DONNÉES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K14" t="str" cm="1">
        <f t="array" ref="K14">IFERROR(IF(4&gt;COUNTIF('DONNÉES BRUTES'!C$3:C$42,"Energy"),"",INDEX('DONNÉES BRUTES'!O$3:O$42,MATCH(LARGE(IF('DONNÉES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L14" t="str" cm="1">
        <f t="array" ref="L14">IFERROR(IF(4&gt;COUNTIF('DONNÉES BRUTES'!C$3:C$42,"Energy"),"",INDEX('DONNÉES BRUTES'!P$3:P$42,MATCH(LARGE(IF('DONNÉES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M14" t="str" cm="1">
        <f t="array" ref="M14">IFERROR(IF(4&gt;COUNTIF('DONNÉES BRUTES'!C$3:C$42,"Energy"),"",INDEX('DONNÉES BRUTES'!Q$3:Q$42,MATCH(LARGE(IF('DONNÉES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N14" t="str" cm="1">
        <f t="array" ref="N14">IFERROR(IF(4&gt;COUNTIF('DONNÉES BRUTES'!C$3:C$42,"Energy"),"",INDEX('DONNÉES BRUTES'!S$3:S$42,MATCH(LARGE(IF('DONNÉES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O14" t="str" cm="1">
        <f t="array" ref="O14">IFERROR(IF(4&gt;COUNTIF('DONNÉES BRUTES'!C$3:C$42,"Energy"),"",INDEX('DONNÉES BRUTES'!T$3:T$42,MATCH(LARGE(IF('DONNÉES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P14" t="str" cm="1">
        <f t="array" ref="P14">IFERROR(IF(4&gt;COUNTIF('DONNÉES BRUTES'!C$3:C$42,"Energy"),"",INDEX('DONNÉES BRUTES'!U$3:U$42,MATCH(LARGE(IF('DONNÉES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Q14" t="str" cm="1">
        <f t="array" ref="Q14">IFERROR(IF(4&gt;COUNTIF('DONNÉES BRUTES'!C$3:C$42,"Energy"),"",INDEX('DONNÉES BRUTES'!AD$3:AD$42,MATCH(LARGE(IF('DONNÉES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</row>
    <row r="15" spans="2:17" ht="15.95" customHeight="1" x14ac:dyDescent="0.25">
      <c r="B15" t="str">
        <f>IF(5&gt;COUNTIF('DONNÉES BRUTES'!C$3:C$42,"Energy"),"",5)</f>
        <v/>
      </c>
      <c r="C15" t="str" cm="1">
        <f t="array" ref="C15">IFERROR(IF(5&gt;COUNTIF('DONNÉES BRUTES'!C$3:C$42,"Energy"),"",INDEX('DONNÉES BRUTES'!A$3:A$42,MATCH(LARGE(IF('DONNÉES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D15" t="str" cm="1">
        <f t="array" ref="D15">IFERROR(IF(5&gt;COUNTIF('DONNÉES BRUTES'!C$3:C$42,"Energy"),"",INDEX('DONNÉES BRUTES'!B$3:B$42,MATCH(LARGE(IF('DONNÉES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E15" t="str" cm="1">
        <f t="array" ref="E15">IFERROR(IF(5&gt;COUNTIF('DONNÉES BRUTES'!C$3:C$42,"Energy"),"",INT(LARGE(IF('DONNÉES BRUTES'!C$3:C$42="Energy",'DONNÉES BRUTES'!AB$3:AB$42+(ROW('DONNÉES BRUTES'!A$3:A$42)-ROW('DONNÉES BRUTES'!A$3))/1000,0),5))&amp;"/100"),"—")</f>
        <v/>
      </c>
      <c r="F15" t="str" cm="1">
        <f t="array" ref="F15">IFERROR(IF(5&gt;COUNTIF('DONNÉES BRUTES'!C$3:C$42,"Energy"),"",INDEX('DONNÉES BRUTES'!Y$3:Y$42,MATCH(LARGE(IF('DONNÉES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G15" t="str" cm="1">
        <f t="array" ref="G15">IFERROR(IF(5&gt;COUNTIF('DONNÉES BRUTES'!C$3:C$42,"Energy"),"",INDEX('DONNÉES BRUTES'!Z$3:Z$42,MATCH(LARGE(IF('DONNÉES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H15" t="str" cm="1">
        <f t="array" ref="H15">IFERROR(IF(5&gt;COUNTIF('DONNÉES BRUTES'!C$3:C$42,"Energy"),"",INDEX('DONNÉES BRUTES'!AA$3:AA$42,MATCH(LARGE(IF('DONNÉES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I15" t="str" cm="1">
        <f t="array" ref="I15">IFERROR(IF(5&gt;COUNTIF('DONNÉES BRUTES'!C$3:C$42,"Energy"),"",INDEX('DONNÉES BRUTES'!M$3:M$42,MATCH(LARGE(IF('DONNÉES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J15" t="str" cm="1">
        <f t="array" ref="J15">IFERROR(IF(5&gt;COUNTIF('DONNÉES BRUTES'!C$3:C$42,"Energy"),"",INDEX('DONNÉES BRUTES'!N$3:N$42,MATCH(LARGE(IF('DONNÉES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K15" t="str" cm="1">
        <f t="array" ref="K15">IFERROR(IF(5&gt;COUNTIF('DONNÉES BRUTES'!C$3:C$42,"Energy"),"",INDEX('DONNÉES BRUTES'!O$3:O$42,MATCH(LARGE(IF('DONNÉES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L15" t="str" cm="1">
        <f t="array" ref="L15">IFERROR(IF(5&gt;COUNTIF('DONNÉES BRUTES'!C$3:C$42,"Energy"),"",INDEX('DONNÉES BRUTES'!P$3:P$42,MATCH(LARGE(IF('DONNÉES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M15" t="str" cm="1">
        <f t="array" ref="M15">IFERROR(IF(5&gt;COUNTIF('DONNÉES BRUTES'!C$3:C$42,"Energy"),"",INDEX('DONNÉES BRUTES'!Q$3:Q$42,MATCH(LARGE(IF('DONNÉES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N15" t="str" cm="1">
        <f t="array" ref="N15">IFERROR(IF(5&gt;COUNTIF('DONNÉES BRUTES'!C$3:C$42,"Energy"),"",INDEX('DONNÉES BRUTES'!S$3:S$42,MATCH(LARGE(IF('DONNÉES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O15" t="str" cm="1">
        <f t="array" ref="O15">IFERROR(IF(5&gt;COUNTIF('DONNÉES BRUTES'!C$3:C$42,"Energy"),"",INDEX('DONNÉES BRUTES'!T$3:T$42,MATCH(LARGE(IF('DONNÉES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P15" t="str" cm="1">
        <f t="array" ref="P15">IFERROR(IF(5&gt;COUNTIF('DONNÉES BRUTES'!C$3:C$42,"Energy"),"",INDEX('DONNÉES BRUTES'!U$3:U$42,MATCH(LARGE(IF('DONNÉES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Q15" t="str" cm="1">
        <f t="array" ref="Q15">IFERROR(IF(5&gt;COUNTIF('DONNÉES BRUTES'!C$3:C$42,"Energy"),"",INDEX('DONNÉES BRUTES'!AD$3:AD$42,MATCH(LARGE(IF('DONNÉES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</row>
    <row r="16" spans="2:17" ht="15.95" customHeight="1" x14ac:dyDescent="0.25">
      <c r="B16" t="str">
        <f>IF(6&gt;COUNTIF('DONNÉES BRUTES'!C$3:C$42,"Energy"),"",6)</f>
        <v/>
      </c>
      <c r="C16" t="str" cm="1">
        <f t="array" ref="C16">IFERROR(IF(6&gt;COUNTIF('DONNÉES BRUTES'!C$3:C$42,"Energy"),"",INDEX('DONNÉES BRUTES'!A$3:A$42,MATCH(LARGE(IF('DONNÉES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D16" t="str" cm="1">
        <f t="array" ref="D16">IFERROR(IF(6&gt;COUNTIF('DONNÉES BRUTES'!C$3:C$42,"Energy"),"",INDEX('DONNÉES BRUTES'!B$3:B$42,MATCH(LARGE(IF('DONNÉES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E16" t="str" cm="1">
        <f t="array" ref="E16">IFERROR(IF(6&gt;COUNTIF('DONNÉES BRUTES'!C$3:C$42,"Energy"),"",INT(LARGE(IF('DONNÉES BRUTES'!C$3:C$42="Energy",'DONNÉES BRUTES'!AB$3:AB$42+(ROW('DONNÉES BRUTES'!A$3:A$42)-ROW('DONNÉES BRUTES'!A$3))/1000,0),6))&amp;"/100"),"—")</f>
        <v/>
      </c>
      <c r="F16" t="str" cm="1">
        <f t="array" ref="F16">IFERROR(IF(6&gt;COUNTIF('DONNÉES BRUTES'!C$3:C$42,"Energy"),"",INDEX('DONNÉES BRUTES'!Y$3:Y$42,MATCH(LARGE(IF('DONNÉES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G16" t="str" cm="1">
        <f t="array" ref="G16">IFERROR(IF(6&gt;COUNTIF('DONNÉES BRUTES'!C$3:C$42,"Energy"),"",INDEX('DONNÉES BRUTES'!Z$3:Z$42,MATCH(LARGE(IF('DONNÉES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H16" t="str" cm="1">
        <f t="array" ref="H16">IFERROR(IF(6&gt;COUNTIF('DONNÉES BRUTES'!C$3:C$42,"Energy"),"",INDEX('DONNÉES BRUTES'!AA$3:AA$42,MATCH(LARGE(IF('DONNÉES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I16" t="str" cm="1">
        <f t="array" ref="I16">IFERROR(IF(6&gt;COUNTIF('DONNÉES BRUTES'!C$3:C$42,"Energy"),"",INDEX('DONNÉES BRUTES'!M$3:M$42,MATCH(LARGE(IF('DONNÉES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J16" t="str" cm="1">
        <f t="array" ref="J16">IFERROR(IF(6&gt;COUNTIF('DONNÉES BRUTES'!C$3:C$42,"Energy"),"",INDEX('DONNÉES BRUTES'!N$3:N$42,MATCH(LARGE(IF('DONNÉES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K16" t="str" cm="1">
        <f t="array" ref="K16">IFERROR(IF(6&gt;COUNTIF('DONNÉES BRUTES'!C$3:C$42,"Energy"),"",INDEX('DONNÉES BRUTES'!O$3:O$42,MATCH(LARGE(IF('DONNÉES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L16" t="str" cm="1">
        <f t="array" ref="L16">IFERROR(IF(6&gt;COUNTIF('DONNÉES BRUTES'!C$3:C$42,"Energy"),"",INDEX('DONNÉES BRUTES'!P$3:P$42,MATCH(LARGE(IF('DONNÉES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M16" t="str" cm="1">
        <f t="array" ref="M16">IFERROR(IF(6&gt;COUNTIF('DONNÉES BRUTES'!C$3:C$42,"Energy"),"",INDEX('DONNÉES BRUTES'!Q$3:Q$42,MATCH(LARGE(IF('DONNÉES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N16" t="str" cm="1">
        <f t="array" ref="N16">IFERROR(IF(6&gt;COUNTIF('DONNÉES BRUTES'!C$3:C$42,"Energy"),"",INDEX('DONNÉES BRUTES'!S$3:S$42,MATCH(LARGE(IF('DONNÉES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O16" t="str" cm="1">
        <f t="array" ref="O16">IFERROR(IF(6&gt;COUNTIF('DONNÉES BRUTES'!C$3:C$42,"Energy"),"",INDEX('DONNÉES BRUTES'!T$3:T$42,MATCH(LARGE(IF('DONNÉES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P16" t="str" cm="1">
        <f t="array" ref="P16">IFERROR(IF(6&gt;COUNTIF('DONNÉES BRUTES'!C$3:C$42,"Energy"),"",INDEX('DONNÉES BRUTES'!U$3:U$42,MATCH(LARGE(IF('DONNÉES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Q16" t="str" cm="1">
        <f t="array" ref="Q16">IFERROR(IF(6&gt;COUNTIF('DONNÉES BRUTES'!C$3:C$42,"Energy"),"",INDEX('DONNÉES BRUTES'!AD$3:AD$42,MATCH(LARGE(IF('DONNÉES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</row>
    <row r="17" spans="2:28" ht="15.95" customHeight="1" x14ac:dyDescent="0.25">
      <c r="B17" t="str">
        <f>IF(7&gt;COUNTIF('DONNÉES BRUTES'!C$3:C$42,"Energy"),"",7)</f>
        <v/>
      </c>
      <c r="C17" t="str" cm="1">
        <f t="array" ref="C17">IFERROR(IF(7&gt;COUNTIF('DONNÉES BRUTES'!C$3:C$42,"Energy"),"",INDEX('DONNÉES BRUTES'!A$3:A$42,MATCH(LARGE(IF('DONNÉES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D17" t="str" cm="1">
        <f t="array" ref="D17">IFERROR(IF(7&gt;COUNTIF('DONNÉES BRUTES'!C$3:C$42,"Energy"),"",INDEX('DONNÉES BRUTES'!B$3:B$42,MATCH(LARGE(IF('DONNÉES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E17" t="str" cm="1">
        <f t="array" ref="E17">IFERROR(IF(7&gt;COUNTIF('DONNÉES BRUTES'!C$3:C$42,"Energy"),"",INT(LARGE(IF('DONNÉES BRUTES'!C$3:C$42="Energy",'DONNÉES BRUTES'!AB$3:AB$42+(ROW('DONNÉES BRUTES'!A$3:A$42)-ROW('DONNÉES BRUTES'!A$3))/1000,0),7))&amp;"/100"),"—")</f>
        <v/>
      </c>
      <c r="F17" t="str" cm="1">
        <f t="array" ref="F17">IFERROR(IF(7&gt;COUNTIF('DONNÉES BRUTES'!C$3:C$42,"Energy"),"",INDEX('DONNÉES BRUTES'!Y$3:Y$42,MATCH(LARGE(IF('DONNÉES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G17" t="str" cm="1">
        <f t="array" ref="G17">IFERROR(IF(7&gt;COUNTIF('DONNÉES BRUTES'!C$3:C$42,"Energy"),"",INDEX('DONNÉES BRUTES'!Z$3:Z$42,MATCH(LARGE(IF('DONNÉES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H17" t="str" cm="1">
        <f t="array" ref="H17">IFERROR(IF(7&gt;COUNTIF('DONNÉES BRUTES'!C$3:C$42,"Energy"),"",INDEX('DONNÉES BRUTES'!AA$3:AA$42,MATCH(LARGE(IF('DONNÉES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I17" t="str" cm="1">
        <f t="array" ref="I17">IFERROR(IF(7&gt;COUNTIF('DONNÉES BRUTES'!C$3:C$42,"Energy"),"",INDEX('DONNÉES BRUTES'!M$3:M$42,MATCH(LARGE(IF('DONNÉES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J17" t="str" cm="1">
        <f t="array" ref="J17">IFERROR(IF(7&gt;COUNTIF('DONNÉES BRUTES'!C$3:C$42,"Energy"),"",INDEX('DONNÉES BRUTES'!N$3:N$42,MATCH(LARGE(IF('DONNÉES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K17" t="str" cm="1">
        <f t="array" ref="K17">IFERROR(IF(7&gt;COUNTIF('DONNÉES BRUTES'!C$3:C$42,"Energy"),"",INDEX('DONNÉES BRUTES'!O$3:O$42,MATCH(LARGE(IF('DONNÉES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L17" t="str" cm="1">
        <f t="array" ref="L17">IFERROR(IF(7&gt;COUNTIF('DONNÉES BRUTES'!C$3:C$42,"Energy"),"",INDEX('DONNÉES BRUTES'!P$3:P$42,MATCH(LARGE(IF('DONNÉES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M17" t="str" cm="1">
        <f t="array" ref="M17">IFERROR(IF(7&gt;COUNTIF('DONNÉES BRUTES'!C$3:C$42,"Energy"),"",INDEX('DONNÉES BRUTES'!Q$3:Q$42,MATCH(LARGE(IF('DONNÉES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N17" t="str" cm="1">
        <f t="array" ref="N17">IFERROR(IF(7&gt;COUNTIF('DONNÉES BRUTES'!C$3:C$42,"Energy"),"",INDEX('DONNÉES BRUTES'!S$3:S$42,MATCH(LARGE(IF('DONNÉES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O17" t="str" cm="1">
        <f t="array" ref="O17">IFERROR(IF(7&gt;COUNTIF('DONNÉES BRUTES'!C$3:C$42,"Energy"),"",INDEX('DONNÉES BRUTES'!T$3:T$42,MATCH(LARGE(IF('DONNÉES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P17" t="str" cm="1">
        <f t="array" ref="P17">IFERROR(IF(7&gt;COUNTIF('DONNÉES BRUTES'!C$3:C$42,"Energy"),"",INDEX('DONNÉES BRUTES'!U$3:U$42,MATCH(LARGE(IF('DONNÉES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Q17" t="str" cm="1">
        <f t="array" ref="Q17">IFERROR(IF(7&gt;COUNTIF('DONNÉES BRUTES'!C$3:C$42,"Energy"),"",INDEX('DONNÉES BRUTES'!AD$3:AD$42,MATCH(LARGE(IF('DONNÉES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</row>
    <row r="18" spans="2:28" ht="15.95" customHeight="1" x14ac:dyDescent="0.25">
      <c r="B18" t="str">
        <f>IF(8&gt;COUNTIF('DONNÉES BRUTES'!C$3:C$42,"Energy"),"",8)</f>
        <v/>
      </c>
      <c r="C18" t="str" cm="1">
        <f t="array" ref="C18">IFERROR(IF(8&gt;COUNTIF('DONNÉES BRUTES'!C$3:C$42,"Energy"),"",INDEX('DONNÉES BRUTES'!A$3:A$42,MATCH(LARGE(IF('DONNÉES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D18" t="str" cm="1">
        <f t="array" ref="D18">IFERROR(IF(8&gt;COUNTIF('DONNÉES BRUTES'!C$3:C$42,"Energy"),"",INDEX('DONNÉES BRUTES'!B$3:B$42,MATCH(LARGE(IF('DONNÉES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E18" t="str" cm="1">
        <f t="array" ref="E18">IFERROR(IF(8&gt;COUNTIF('DONNÉES BRUTES'!C$3:C$42,"Energy"),"",INT(LARGE(IF('DONNÉES BRUTES'!C$3:C$42="Energy",'DONNÉES BRUTES'!AB$3:AB$42+(ROW('DONNÉES BRUTES'!A$3:A$42)-ROW('DONNÉES BRUTES'!A$3))/1000,0),8))&amp;"/100"),"—")</f>
        <v/>
      </c>
      <c r="F18" t="str" cm="1">
        <f t="array" ref="F18">IFERROR(IF(8&gt;COUNTIF('DONNÉES BRUTES'!C$3:C$42,"Energy"),"",INDEX('DONNÉES BRUTES'!Y$3:Y$42,MATCH(LARGE(IF('DONNÉES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G18" t="str" cm="1">
        <f t="array" ref="G18">IFERROR(IF(8&gt;COUNTIF('DONNÉES BRUTES'!C$3:C$42,"Energy"),"",INDEX('DONNÉES BRUTES'!Z$3:Z$42,MATCH(LARGE(IF('DONNÉES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H18" t="str" cm="1">
        <f t="array" ref="H18">IFERROR(IF(8&gt;COUNTIF('DONNÉES BRUTES'!C$3:C$42,"Energy"),"",INDEX('DONNÉES BRUTES'!AA$3:AA$42,MATCH(LARGE(IF('DONNÉES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I18" t="str" cm="1">
        <f t="array" ref="I18">IFERROR(IF(8&gt;COUNTIF('DONNÉES BRUTES'!C$3:C$42,"Energy"),"",INDEX('DONNÉES BRUTES'!M$3:M$42,MATCH(LARGE(IF('DONNÉES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J18" t="str" cm="1">
        <f t="array" ref="J18">IFERROR(IF(8&gt;COUNTIF('DONNÉES BRUTES'!C$3:C$42,"Energy"),"",INDEX('DONNÉES BRUTES'!N$3:N$42,MATCH(LARGE(IF('DONNÉES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K18" t="str" cm="1">
        <f t="array" ref="K18">IFERROR(IF(8&gt;COUNTIF('DONNÉES BRUTES'!C$3:C$42,"Energy"),"",INDEX('DONNÉES BRUTES'!O$3:O$42,MATCH(LARGE(IF('DONNÉES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L18" t="str" cm="1">
        <f t="array" ref="L18">IFERROR(IF(8&gt;COUNTIF('DONNÉES BRUTES'!C$3:C$42,"Energy"),"",INDEX('DONNÉES BRUTES'!P$3:P$42,MATCH(LARGE(IF('DONNÉES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M18" t="str" cm="1">
        <f t="array" ref="M18">IFERROR(IF(8&gt;COUNTIF('DONNÉES BRUTES'!C$3:C$42,"Energy"),"",INDEX('DONNÉES BRUTES'!Q$3:Q$42,MATCH(LARGE(IF('DONNÉES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N18" t="str" cm="1">
        <f t="array" ref="N18">IFERROR(IF(8&gt;COUNTIF('DONNÉES BRUTES'!C$3:C$42,"Energy"),"",INDEX('DONNÉES BRUTES'!S$3:S$42,MATCH(LARGE(IF('DONNÉES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O18" t="str" cm="1">
        <f t="array" ref="O18">IFERROR(IF(8&gt;COUNTIF('DONNÉES BRUTES'!C$3:C$42,"Energy"),"",INDEX('DONNÉES BRUTES'!T$3:T$42,MATCH(LARGE(IF('DONNÉES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P18" t="str" cm="1">
        <f t="array" ref="P18">IFERROR(IF(8&gt;COUNTIF('DONNÉES BRUTES'!C$3:C$42,"Energy"),"",INDEX('DONNÉES BRUTES'!U$3:U$42,MATCH(LARGE(IF('DONNÉES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Q18" t="str" cm="1">
        <f t="array" ref="Q18">IFERROR(IF(8&gt;COUNTIF('DONNÉES BRUTES'!C$3:C$42,"Energy"),"",INDEX('DONNÉES BRUTES'!AD$3:AD$42,MATCH(LARGE(IF('DONNÉES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</row>
    <row r="19" spans="2:28" ht="15.95" customHeight="1" x14ac:dyDescent="0.25">
      <c r="B19" t="str">
        <f>IF(9&gt;COUNTIF('DONNÉES BRUTES'!C$3:C$42,"Energy"),"",9)</f>
        <v/>
      </c>
      <c r="C19" t="str" cm="1">
        <f t="array" ref="C19">IFERROR(IF(9&gt;COUNTIF('DONNÉES BRUTES'!C$3:C$42,"Energy"),"",INDEX('DONNÉES BRUTES'!A$3:A$42,MATCH(LARGE(IF('DONNÉES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D19" t="str" cm="1">
        <f t="array" ref="D19">IFERROR(IF(9&gt;COUNTIF('DONNÉES BRUTES'!C$3:C$42,"Energy"),"",INDEX('DONNÉES BRUTES'!B$3:B$42,MATCH(LARGE(IF('DONNÉES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E19" t="str" cm="1">
        <f t="array" ref="E19">IFERROR(IF(9&gt;COUNTIF('DONNÉES BRUTES'!C$3:C$42,"Energy"),"",INT(LARGE(IF('DONNÉES BRUTES'!C$3:C$42="Energy",'DONNÉES BRUTES'!AB$3:AB$42+(ROW('DONNÉES BRUTES'!A$3:A$42)-ROW('DONNÉES BRUTES'!A$3))/1000,0),9))&amp;"/100"),"—")</f>
        <v/>
      </c>
      <c r="F19" t="str" cm="1">
        <f t="array" ref="F19">IFERROR(IF(9&gt;COUNTIF('DONNÉES BRUTES'!C$3:C$42,"Energy"),"",INDEX('DONNÉES BRUTES'!Y$3:Y$42,MATCH(LARGE(IF('DONNÉES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G19" t="str" cm="1">
        <f t="array" ref="G19">IFERROR(IF(9&gt;COUNTIF('DONNÉES BRUTES'!C$3:C$42,"Energy"),"",INDEX('DONNÉES BRUTES'!Z$3:Z$42,MATCH(LARGE(IF('DONNÉES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H19" t="str" cm="1">
        <f t="array" ref="H19">IFERROR(IF(9&gt;COUNTIF('DONNÉES BRUTES'!C$3:C$42,"Energy"),"",INDEX('DONNÉES BRUTES'!AA$3:AA$42,MATCH(LARGE(IF('DONNÉES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I19" t="str" cm="1">
        <f t="array" ref="I19">IFERROR(IF(9&gt;COUNTIF('DONNÉES BRUTES'!C$3:C$42,"Energy"),"",INDEX('DONNÉES BRUTES'!M$3:M$42,MATCH(LARGE(IF('DONNÉES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J19" t="str" cm="1">
        <f t="array" ref="J19">IFERROR(IF(9&gt;COUNTIF('DONNÉES BRUTES'!C$3:C$42,"Energy"),"",INDEX('DONNÉES BRUTES'!N$3:N$42,MATCH(LARGE(IF('DONNÉES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K19" t="str" cm="1">
        <f t="array" ref="K19">IFERROR(IF(9&gt;COUNTIF('DONNÉES BRUTES'!C$3:C$42,"Energy"),"",INDEX('DONNÉES BRUTES'!O$3:O$42,MATCH(LARGE(IF('DONNÉES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L19" t="str" cm="1">
        <f t="array" ref="L19">IFERROR(IF(9&gt;COUNTIF('DONNÉES BRUTES'!C$3:C$42,"Energy"),"",INDEX('DONNÉES BRUTES'!P$3:P$42,MATCH(LARGE(IF('DONNÉES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M19" t="str" cm="1">
        <f t="array" ref="M19">IFERROR(IF(9&gt;COUNTIF('DONNÉES BRUTES'!C$3:C$42,"Energy"),"",INDEX('DONNÉES BRUTES'!Q$3:Q$42,MATCH(LARGE(IF('DONNÉES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N19" t="str" cm="1">
        <f t="array" ref="N19">IFERROR(IF(9&gt;COUNTIF('DONNÉES BRUTES'!C$3:C$42,"Energy"),"",INDEX('DONNÉES BRUTES'!S$3:S$42,MATCH(LARGE(IF('DONNÉES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O19" t="str" cm="1">
        <f t="array" ref="O19">IFERROR(IF(9&gt;COUNTIF('DONNÉES BRUTES'!C$3:C$42,"Energy"),"",INDEX('DONNÉES BRUTES'!T$3:T$42,MATCH(LARGE(IF('DONNÉES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P19" t="str" cm="1">
        <f t="array" ref="P19">IFERROR(IF(9&gt;COUNTIF('DONNÉES BRUTES'!C$3:C$42,"Energy"),"",INDEX('DONNÉES BRUTES'!U$3:U$42,MATCH(LARGE(IF('DONNÉES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Q19" t="str" cm="1">
        <f t="array" ref="Q19">IFERROR(IF(9&gt;COUNTIF('DONNÉES BRUTES'!C$3:C$42,"Energy"),"",INDEX('DONNÉES BRUTES'!AD$3:AD$42,MATCH(LARGE(IF('DONNÉES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</row>
    <row r="20" spans="2:28" ht="15.95" customHeight="1" x14ac:dyDescent="0.25">
      <c r="B20" t="str">
        <f>IF(10&gt;COUNTIF('DONNÉES BRUTES'!C$3:C$42,"Energy"),"",10)</f>
        <v/>
      </c>
      <c r="C20" t="str" cm="1">
        <f t="array" ref="C20">IFERROR(IF(10&gt;COUNTIF('DONNÉES BRUTES'!C$3:C$42,"Energy"),"",INDEX('DONNÉES BRUTES'!A$3:A$42,MATCH(LARGE(IF('DONNÉES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D20" t="str" cm="1">
        <f t="array" ref="D20">IFERROR(IF(10&gt;COUNTIF('DONNÉES BRUTES'!C$3:C$42,"Energy"),"",INDEX('DONNÉES BRUTES'!B$3:B$42,MATCH(LARGE(IF('DONNÉES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E20" t="str" cm="1">
        <f t="array" ref="E20">IFERROR(IF(10&gt;COUNTIF('DONNÉES BRUTES'!C$3:C$42,"Energy"),"",INT(LARGE(IF('DONNÉES BRUTES'!C$3:C$42="Energy",'DONNÉES BRUTES'!AB$3:AB$42+(ROW('DONNÉES BRUTES'!A$3:A$42)-ROW('DONNÉES BRUTES'!A$3))/1000,0),10))&amp;"/100"),"—")</f>
        <v/>
      </c>
      <c r="F20" t="str" cm="1">
        <f t="array" ref="F20">IFERROR(IF(10&gt;COUNTIF('DONNÉES BRUTES'!C$3:C$42,"Energy"),"",INDEX('DONNÉES BRUTES'!Y$3:Y$42,MATCH(LARGE(IF('DONNÉES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G20" t="str" cm="1">
        <f t="array" ref="G20">IFERROR(IF(10&gt;COUNTIF('DONNÉES BRUTES'!C$3:C$42,"Energy"),"",INDEX('DONNÉES BRUTES'!Z$3:Z$42,MATCH(LARGE(IF('DONNÉES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H20" t="str" cm="1">
        <f t="array" ref="H20">IFERROR(IF(10&gt;COUNTIF('DONNÉES BRUTES'!C$3:C$42,"Energy"),"",INDEX('DONNÉES BRUTES'!AA$3:AA$42,MATCH(LARGE(IF('DONNÉES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I20" t="str" cm="1">
        <f t="array" ref="I20">IFERROR(IF(10&gt;COUNTIF('DONNÉES BRUTES'!C$3:C$42,"Energy"),"",INDEX('DONNÉES BRUTES'!M$3:M$42,MATCH(LARGE(IF('DONNÉES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J20" t="str" cm="1">
        <f t="array" ref="J20">IFERROR(IF(10&gt;COUNTIF('DONNÉES BRUTES'!C$3:C$42,"Energy"),"",INDEX('DONNÉES BRUTES'!N$3:N$42,MATCH(LARGE(IF('DONNÉES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K20" t="str" cm="1">
        <f t="array" ref="K20">IFERROR(IF(10&gt;COUNTIF('DONNÉES BRUTES'!C$3:C$42,"Energy"),"",INDEX('DONNÉES BRUTES'!O$3:O$42,MATCH(LARGE(IF('DONNÉES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L20" t="str" cm="1">
        <f t="array" ref="L20">IFERROR(IF(10&gt;COUNTIF('DONNÉES BRUTES'!C$3:C$42,"Energy"),"",INDEX('DONNÉES BRUTES'!P$3:P$42,MATCH(LARGE(IF('DONNÉES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M20" t="str" cm="1">
        <f t="array" ref="M20">IFERROR(IF(10&gt;COUNTIF('DONNÉES BRUTES'!C$3:C$42,"Energy"),"",INDEX('DONNÉES BRUTES'!Q$3:Q$42,MATCH(LARGE(IF('DONNÉES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N20" t="str" cm="1">
        <f t="array" ref="N20">IFERROR(IF(10&gt;COUNTIF('DONNÉES BRUTES'!C$3:C$42,"Energy"),"",INDEX('DONNÉES BRUTES'!S$3:S$42,MATCH(LARGE(IF('DONNÉES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O20" t="str" cm="1">
        <f t="array" ref="O20">IFERROR(IF(10&gt;COUNTIF('DONNÉES BRUTES'!C$3:C$42,"Energy"),"",INDEX('DONNÉES BRUTES'!T$3:T$42,MATCH(LARGE(IF('DONNÉES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P20" t="str" cm="1">
        <f t="array" ref="P20">IFERROR(IF(10&gt;COUNTIF('DONNÉES BRUTES'!C$3:C$42,"Energy"),"",INDEX('DONNÉES BRUTES'!U$3:U$42,MATCH(LARGE(IF('DONNÉES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Q20" t="str" cm="1">
        <f t="array" ref="Q20">IFERROR(IF(10&gt;COUNTIF('DONNÉES BRUTES'!C$3:C$42,"Energy"),"",INDEX('DONNÉES BRUTES'!AD$3:AD$42,MATCH(LARGE(IF('DONNÉES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</row>
    <row r="21" spans="2:28" ht="15.95" customHeight="1" x14ac:dyDescent="0.25">
      <c r="B21" t="str">
        <f>IF(11&gt;COUNTIF('DONNÉES BRUTES'!C$3:C$42,"Energy"),"",11)</f>
        <v/>
      </c>
      <c r="C21" t="str" cm="1">
        <f t="array" ref="C21">IFERROR(IF(11&gt;COUNTIF('DONNÉES BRUTES'!C$3:C$42,"Energy"),"",INDEX('DONNÉES BRUTES'!A$3:A$42,MATCH(LARGE(IF('DONNÉES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D21" t="str" cm="1">
        <f t="array" ref="D21">IFERROR(IF(11&gt;COUNTIF('DONNÉES BRUTES'!C$3:C$42,"Energy"),"",INDEX('DONNÉES BRUTES'!B$3:B$42,MATCH(LARGE(IF('DONNÉES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E21" t="str" cm="1">
        <f t="array" ref="E21">IFERROR(IF(11&gt;COUNTIF('DONNÉES BRUTES'!C$3:C$42,"Energy"),"",INT(LARGE(IF('DONNÉES BRUTES'!C$3:C$42="Energy",'DONNÉES BRUTES'!AB$3:AB$42+(ROW('DONNÉES BRUTES'!A$3:A$42)-ROW('DONNÉES BRUTES'!A$3))/1000,0),11))&amp;"/100"),"—")</f>
        <v/>
      </c>
      <c r="F21" t="str" cm="1">
        <f t="array" ref="F21">IFERROR(IF(11&gt;COUNTIF('DONNÉES BRUTES'!C$3:C$42,"Energy"),"",INDEX('DONNÉES BRUTES'!Y$3:Y$42,MATCH(LARGE(IF('DONNÉES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G21" t="str" cm="1">
        <f t="array" ref="G21">IFERROR(IF(11&gt;COUNTIF('DONNÉES BRUTES'!C$3:C$42,"Energy"),"",INDEX('DONNÉES BRUTES'!Z$3:Z$42,MATCH(LARGE(IF('DONNÉES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H21" t="str" cm="1">
        <f t="array" ref="H21">IFERROR(IF(11&gt;COUNTIF('DONNÉES BRUTES'!C$3:C$42,"Energy"),"",INDEX('DONNÉES BRUTES'!AA$3:AA$42,MATCH(LARGE(IF('DONNÉES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I21" t="str" cm="1">
        <f t="array" ref="I21">IFERROR(IF(11&gt;COUNTIF('DONNÉES BRUTES'!C$3:C$42,"Energy"),"",INDEX('DONNÉES BRUTES'!M$3:M$42,MATCH(LARGE(IF('DONNÉES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J21" t="str" cm="1">
        <f t="array" ref="J21">IFERROR(IF(11&gt;COUNTIF('DONNÉES BRUTES'!C$3:C$42,"Energy"),"",INDEX('DONNÉES BRUTES'!N$3:N$42,MATCH(LARGE(IF('DONNÉES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K21" t="str" cm="1">
        <f t="array" ref="K21">IFERROR(IF(11&gt;COUNTIF('DONNÉES BRUTES'!C$3:C$42,"Energy"),"",INDEX('DONNÉES BRUTES'!O$3:O$42,MATCH(LARGE(IF('DONNÉES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L21" t="str" cm="1">
        <f t="array" ref="L21">IFERROR(IF(11&gt;COUNTIF('DONNÉES BRUTES'!C$3:C$42,"Energy"),"",INDEX('DONNÉES BRUTES'!P$3:P$42,MATCH(LARGE(IF('DONNÉES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M21" t="str" cm="1">
        <f t="array" ref="M21">IFERROR(IF(11&gt;COUNTIF('DONNÉES BRUTES'!C$3:C$42,"Energy"),"",INDEX('DONNÉES BRUTES'!Q$3:Q$42,MATCH(LARGE(IF('DONNÉES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N21" t="str" cm="1">
        <f t="array" ref="N21">IFERROR(IF(11&gt;COUNTIF('DONNÉES BRUTES'!C$3:C$42,"Energy"),"",INDEX('DONNÉES BRUTES'!S$3:S$42,MATCH(LARGE(IF('DONNÉES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O21" t="str" cm="1">
        <f t="array" ref="O21">IFERROR(IF(11&gt;COUNTIF('DONNÉES BRUTES'!C$3:C$42,"Energy"),"",INDEX('DONNÉES BRUTES'!T$3:T$42,MATCH(LARGE(IF('DONNÉES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P21" t="str" cm="1">
        <f t="array" ref="P21">IFERROR(IF(11&gt;COUNTIF('DONNÉES BRUTES'!C$3:C$42,"Energy"),"",INDEX('DONNÉES BRUTES'!U$3:U$42,MATCH(LARGE(IF('DONNÉES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Q21" t="str" cm="1">
        <f t="array" ref="Q21">IFERROR(IF(11&gt;COUNTIF('DONNÉES BRUTES'!C$3:C$42,"Energy"),"",INDEX('DONNÉES BRUTES'!AD$3:AD$42,MATCH(LARGE(IF('DONNÉES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</row>
    <row r="22" spans="2:28" ht="15.95" customHeight="1" x14ac:dyDescent="0.25">
      <c r="B22" t="str">
        <f>IF(12&gt;COUNTIF('DONNÉES BRUTES'!C$3:C$42,"Energy"),"",12)</f>
        <v/>
      </c>
      <c r="C22" t="str" cm="1">
        <f t="array" ref="C22">IFERROR(IF(12&gt;COUNTIF('DONNÉES BRUTES'!C$3:C$42,"Energy"),"",INDEX('DONNÉES BRUTES'!A$3:A$42,MATCH(LARGE(IF('DONNÉES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D22" t="str" cm="1">
        <f t="array" ref="D22">IFERROR(IF(12&gt;COUNTIF('DONNÉES BRUTES'!C$3:C$42,"Energy"),"",INDEX('DONNÉES BRUTES'!B$3:B$42,MATCH(LARGE(IF('DONNÉES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E22" t="str" cm="1">
        <f t="array" ref="E22">IFERROR(IF(12&gt;COUNTIF('DONNÉES BRUTES'!C$3:C$42,"Energy"),"",INT(LARGE(IF('DONNÉES BRUTES'!C$3:C$42="Energy",'DONNÉES BRUTES'!AB$3:AB$42+(ROW('DONNÉES BRUTES'!A$3:A$42)-ROW('DONNÉES BRUTES'!A$3))/1000,0),12))&amp;"/100"),"—")</f>
        <v/>
      </c>
      <c r="F22" t="str" cm="1">
        <f t="array" ref="F22">IFERROR(IF(12&gt;COUNTIF('DONNÉES BRUTES'!C$3:C$42,"Energy"),"",INDEX('DONNÉES BRUTES'!Y$3:Y$42,MATCH(LARGE(IF('DONNÉES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G22" t="str" cm="1">
        <f t="array" ref="G22">IFERROR(IF(12&gt;COUNTIF('DONNÉES BRUTES'!C$3:C$42,"Energy"),"",INDEX('DONNÉES BRUTES'!Z$3:Z$42,MATCH(LARGE(IF('DONNÉES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H22" t="str" cm="1">
        <f t="array" ref="H22">IFERROR(IF(12&gt;COUNTIF('DONNÉES BRUTES'!C$3:C$42,"Energy"),"",INDEX('DONNÉES BRUTES'!AA$3:AA$42,MATCH(LARGE(IF('DONNÉES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I22" t="str" cm="1">
        <f t="array" ref="I22">IFERROR(IF(12&gt;COUNTIF('DONNÉES BRUTES'!C$3:C$42,"Energy"),"",INDEX('DONNÉES BRUTES'!M$3:M$42,MATCH(LARGE(IF('DONNÉES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J22" t="str" cm="1">
        <f t="array" ref="J22">IFERROR(IF(12&gt;COUNTIF('DONNÉES BRUTES'!C$3:C$42,"Energy"),"",INDEX('DONNÉES BRUTES'!N$3:N$42,MATCH(LARGE(IF('DONNÉES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K22" t="str" cm="1">
        <f t="array" ref="K22">IFERROR(IF(12&gt;COUNTIF('DONNÉES BRUTES'!C$3:C$42,"Energy"),"",INDEX('DONNÉES BRUTES'!O$3:O$42,MATCH(LARGE(IF('DONNÉES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L22" t="str" cm="1">
        <f t="array" ref="L22">IFERROR(IF(12&gt;COUNTIF('DONNÉES BRUTES'!C$3:C$42,"Energy"),"",INDEX('DONNÉES BRUTES'!P$3:P$42,MATCH(LARGE(IF('DONNÉES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M22" t="str" cm="1">
        <f t="array" ref="M22">IFERROR(IF(12&gt;COUNTIF('DONNÉES BRUTES'!C$3:C$42,"Energy"),"",INDEX('DONNÉES BRUTES'!Q$3:Q$42,MATCH(LARGE(IF('DONNÉES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N22" t="str" cm="1">
        <f t="array" ref="N22">IFERROR(IF(12&gt;COUNTIF('DONNÉES BRUTES'!C$3:C$42,"Energy"),"",INDEX('DONNÉES BRUTES'!S$3:S$42,MATCH(LARGE(IF('DONNÉES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O22" t="str" cm="1">
        <f t="array" ref="O22">IFERROR(IF(12&gt;COUNTIF('DONNÉES BRUTES'!C$3:C$42,"Energy"),"",INDEX('DONNÉES BRUTES'!T$3:T$42,MATCH(LARGE(IF('DONNÉES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P22" t="str" cm="1">
        <f t="array" ref="P22">IFERROR(IF(12&gt;COUNTIF('DONNÉES BRUTES'!C$3:C$42,"Energy"),"",INDEX('DONNÉES BRUTES'!U$3:U$42,MATCH(LARGE(IF('DONNÉES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Q22" t="str" cm="1">
        <f t="array" ref="Q22">IFERROR(IF(12&gt;COUNTIF('DONNÉES BRUTES'!C$3:C$42,"Energy"),"",INDEX('DONNÉES BRUTES'!AD$3:AD$42,MATCH(LARGE(IF('DONNÉES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</row>
    <row r="23" spans="2:28" ht="15.95" customHeight="1" x14ac:dyDescent="0.25">
      <c r="B23" t="str">
        <f>IF(13&gt;COUNTIF('DONNÉES BRUTES'!C$3:C$42,"Energy"),"",13)</f>
        <v/>
      </c>
      <c r="C23" t="str" cm="1">
        <f t="array" ref="C23">IFERROR(IF(13&gt;COUNTIF('DONNÉES BRUTES'!C$3:C$42,"Energy"),"",INDEX('DONNÉES BRUTES'!A$3:A$42,MATCH(LARGE(IF('DONNÉES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D23" t="str" cm="1">
        <f t="array" ref="D23">IFERROR(IF(13&gt;COUNTIF('DONNÉES BRUTES'!C$3:C$42,"Energy"),"",INDEX('DONNÉES BRUTES'!B$3:B$42,MATCH(LARGE(IF('DONNÉES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E23" t="str" cm="1">
        <f t="array" ref="E23">IFERROR(IF(13&gt;COUNTIF('DONNÉES BRUTES'!C$3:C$42,"Energy"),"",INT(LARGE(IF('DONNÉES BRUTES'!C$3:C$42="Energy",'DONNÉES BRUTES'!AB$3:AB$42+(ROW('DONNÉES BRUTES'!A$3:A$42)-ROW('DONNÉES BRUTES'!A$3))/1000,0),13))&amp;"/100"),"—")</f>
        <v/>
      </c>
      <c r="F23" t="str" cm="1">
        <f t="array" ref="F23">IFERROR(IF(13&gt;COUNTIF('DONNÉES BRUTES'!C$3:C$42,"Energy"),"",INDEX('DONNÉES BRUTES'!Y$3:Y$42,MATCH(LARGE(IF('DONNÉES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G23" t="str" cm="1">
        <f t="array" ref="G23">IFERROR(IF(13&gt;COUNTIF('DONNÉES BRUTES'!C$3:C$42,"Energy"),"",INDEX('DONNÉES BRUTES'!Z$3:Z$42,MATCH(LARGE(IF('DONNÉES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H23" t="str" cm="1">
        <f t="array" ref="H23">IFERROR(IF(13&gt;COUNTIF('DONNÉES BRUTES'!C$3:C$42,"Energy"),"",INDEX('DONNÉES BRUTES'!AA$3:AA$42,MATCH(LARGE(IF('DONNÉES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I23" t="str" cm="1">
        <f t="array" ref="I23">IFERROR(IF(13&gt;COUNTIF('DONNÉES BRUTES'!C$3:C$42,"Energy"),"",INDEX('DONNÉES BRUTES'!M$3:M$42,MATCH(LARGE(IF('DONNÉES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J23" t="str" cm="1">
        <f t="array" ref="J23">IFERROR(IF(13&gt;COUNTIF('DONNÉES BRUTES'!C$3:C$42,"Energy"),"",INDEX('DONNÉES BRUTES'!N$3:N$42,MATCH(LARGE(IF('DONNÉES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K23" t="str" cm="1">
        <f t="array" ref="K23">IFERROR(IF(13&gt;COUNTIF('DONNÉES BRUTES'!C$3:C$42,"Energy"),"",INDEX('DONNÉES BRUTES'!O$3:O$42,MATCH(LARGE(IF('DONNÉES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L23" t="str" cm="1">
        <f t="array" ref="L23">IFERROR(IF(13&gt;COUNTIF('DONNÉES BRUTES'!C$3:C$42,"Energy"),"",INDEX('DONNÉES BRUTES'!P$3:P$42,MATCH(LARGE(IF('DONNÉES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M23" t="str" cm="1">
        <f t="array" ref="M23">IFERROR(IF(13&gt;COUNTIF('DONNÉES BRUTES'!C$3:C$42,"Energy"),"",INDEX('DONNÉES BRUTES'!Q$3:Q$42,MATCH(LARGE(IF('DONNÉES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N23" t="str" cm="1">
        <f t="array" ref="N23">IFERROR(IF(13&gt;COUNTIF('DONNÉES BRUTES'!C$3:C$42,"Energy"),"",INDEX('DONNÉES BRUTES'!S$3:S$42,MATCH(LARGE(IF('DONNÉES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O23" t="str" cm="1">
        <f t="array" ref="O23">IFERROR(IF(13&gt;COUNTIF('DONNÉES BRUTES'!C$3:C$42,"Energy"),"",INDEX('DONNÉES BRUTES'!T$3:T$42,MATCH(LARGE(IF('DONNÉES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P23" t="str" cm="1">
        <f t="array" ref="P23">IFERROR(IF(13&gt;COUNTIF('DONNÉES BRUTES'!C$3:C$42,"Energy"),"",INDEX('DONNÉES BRUTES'!U$3:U$42,MATCH(LARGE(IF('DONNÉES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Q23" t="str" cm="1">
        <f t="array" ref="Q23">IFERROR(IF(13&gt;COUNTIF('DONNÉES BRUTES'!C$3:C$42,"Energy"),"",INDEX('DONNÉES BRUTES'!AD$3:AD$42,MATCH(LARGE(IF('DONNÉES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</row>
    <row r="24" spans="2:28" ht="15.95" customHeight="1" x14ac:dyDescent="0.25">
      <c r="B24" t="str">
        <f>IF(14&gt;COUNTIF('DONNÉES BRUTES'!C$3:C$42,"Energy"),"",14)</f>
        <v/>
      </c>
      <c r="C24" t="str" cm="1">
        <f t="array" ref="C24">IFERROR(IF(14&gt;COUNTIF('DONNÉES BRUTES'!C$3:C$42,"Energy"),"",INDEX('DONNÉES BRUTES'!A$3:A$42,MATCH(LARGE(IF('DONNÉES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D24" t="str" cm="1">
        <f t="array" ref="D24">IFERROR(IF(14&gt;COUNTIF('DONNÉES BRUTES'!C$3:C$42,"Energy"),"",INDEX('DONNÉES BRUTES'!B$3:B$42,MATCH(LARGE(IF('DONNÉES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E24" t="str" cm="1">
        <f t="array" ref="E24">IFERROR(IF(14&gt;COUNTIF('DONNÉES BRUTES'!C$3:C$42,"Energy"),"",INT(LARGE(IF('DONNÉES BRUTES'!C$3:C$42="Energy",'DONNÉES BRUTES'!AB$3:AB$42+(ROW('DONNÉES BRUTES'!A$3:A$42)-ROW('DONNÉES BRUTES'!A$3))/1000,0),14))&amp;"/100"),"—")</f>
        <v/>
      </c>
      <c r="F24" t="str" cm="1">
        <f t="array" ref="F24">IFERROR(IF(14&gt;COUNTIF('DONNÉES BRUTES'!C$3:C$42,"Energy"),"",INDEX('DONNÉES BRUTES'!Y$3:Y$42,MATCH(LARGE(IF('DONNÉES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G24" t="str" cm="1">
        <f t="array" ref="G24">IFERROR(IF(14&gt;COUNTIF('DONNÉES BRUTES'!C$3:C$42,"Energy"),"",INDEX('DONNÉES BRUTES'!Z$3:Z$42,MATCH(LARGE(IF('DONNÉES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H24" t="str" cm="1">
        <f t="array" ref="H24">IFERROR(IF(14&gt;COUNTIF('DONNÉES BRUTES'!C$3:C$42,"Energy"),"",INDEX('DONNÉES BRUTES'!AA$3:AA$42,MATCH(LARGE(IF('DONNÉES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I24" t="str" cm="1">
        <f t="array" ref="I24">IFERROR(IF(14&gt;COUNTIF('DONNÉES BRUTES'!C$3:C$42,"Energy"),"",INDEX('DONNÉES BRUTES'!M$3:M$42,MATCH(LARGE(IF('DONNÉES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J24" t="str" cm="1">
        <f t="array" ref="J24">IFERROR(IF(14&gt;COUNTIF('DONNÉES BRUTES'!C$3:C$42,"Energy"),"",INDEX('DONNÉES BRUTES'!N$3:N$42,MATCH(LARGE(IF('DONNÉES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K24" t="str" cm="1">
        <f t="array" ref="K24">IFERROR(IF(14&gt;COUNTIF('DONNÉES BRUTES'!C$3:C$42,"Energy"),"",INDEX('DONNÉES BRUTES'!O$3:O$42,MATCH(LARGE(IF('DONNÉES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L24" t="str" cm="1">
        <f t="array" ref="L24">IFERROR(IF(14&gt;COUNTIF('DONNÉES BRUTES'!C$3:C$42,"Energy"),"",INDEX('DONNÉES BRUTES'!P$3:P$42,MATCH(LARGE(IF('DONNÉES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M24" t="str" cm="1">
        <f t="array" ref="M24">IFERROR(IF(14&gt;COUNTIF('DONNÉES BRUTES'!C$3:C$42,"Energy"),"",INDEX('DONNÉES BRUTES'!Q$3:Q$42,MATCH(LARGE(IF('DONNÉES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N24" t="str" cm="1">
        <f t="array" ref="N24">IFERROR(IF(14&gt;COUNTIF('DONNÉES BRUTES'!C$3:C$42,"Energy"),"",INDEX('DONNÉES BRUTES'!S$3:S$42,MATCH(LARGE(IF('DONNÉES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O24" t="str" cm="1">
        <f t="array" ref="O24">IFERROR(IF(14&gt;COUNTIF('DONNÉES BRUTES'!C$3:C$42,"Energy"),"",INDEX('DONNÉES BRUTES'!T$3:T$42,MATCH(LARGE(IF('DONNÉES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P24" t="str" cm="1">
        <f t="array" ref="P24">IFERROR(IF(14&gt;COUNTIF('DONNÉES BRUTES'!C$3:C$42,"Energy"),"",INDEX('DONNÉES BRUTES'!U$3:U$42,MATCH(LARGE(IF('DONNÉES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Q24" t="str" cm="1">
        <f t="array" ref="Q24">IFERROR(IF(14&gt;COUNTIF('DONNÉES BRUTES'!C$3:C$42,"Energy"),"",INDEX('DONNÉES BRUTES'!AD$3:AD$42,MATCH(LARGE(IF('DONNÉES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</row>
    <row r="25" spans="2:28" ht="15.95" customHeight="1" x14ac:dyDescent="0.25">
      <c r="B25" t="str">
        <f>IF(15&gt;COUNTIF('DONNÉES BRUTES'!C$3:C$42,"Energy"),"",15)</f>
        <v/>
      </c>
      <c r="C25" t="str" cm="1">
        <f t="array" ref="C25">IFERROR(IF(15&gt;COUNTIF('DONNÉES BRUTES'!C$3:C$42,"Energy"),"",INDEX('DONNÉES BRUTES'!A$3:A$42,MATCH(LARGE(IF('DONNÉES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D25" t="str" cm="1">
        <f t="array" ref="D25">IFERROR(IF(15&gt;COUNTIF('DONNÉES BRUTES'!C$3:C$42,"Energy"),"",INDEX('DONNÉES BRUTES'!B$3:B$42,MATCH(LARGE(IF('DONNÉES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E25" t="str" cm="1">
        <f t="array" ref="E25">IFERROR(IF(15&gt;COUNTIF('DONNÉES BRUTES'!C$3:C$42,"Energy"),"",INT(LARGE(IF('DONNÉES BRUTES'!C$3:C$42="Energy",'DONNÉES BRUTES'!AB$3:AB$42+(ROW('DONNÉES BRUTES'!A$3:A$42)-ROW('DONNÉES BRUTES'!A$3))/1000,0),15))&amp;"/100"),"—")</f>
        <v/>
      </c>
      <c r="F25" t="str" cm="1">
        <f t="array" ref="F25">IFERROR(IF(15&gt;COUNTIF('DONNÉES BRUTES'!C$3:C$42,"Energy"),"",INDEX('DONNÉES BRUTES'!Y$3:Y$42,MATCH(LARGE(IF('DONNÉES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G25" t="str" cm="1">
        <f t="array" ref="G25">IFERROR(IF(15&gt;COUNTIF('DONNÉES BRUTES'!C$3:C$42,"Energy"),"",INDEX('DONNÉES BRUTES'!Z$3:Z$42,MATCH(LARGE(IF('DONNÉES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H25" t="str" cm="1">
        <f t="array" ref="H25">IFERROR(IF(15&gt;COUNTIF('DONNÉES BRUTES'!C$3:C$42,"Energy"),"",INDEX('DONNÉES BRUTES'!AA$3:AA$42,MATCH(LARGE(IF('DONNÉES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I25" t="str" cm="1">
        <f t="array" ref="I25">IFERROR(IF(15&gt;COUNTIF('DONNÉES BRUTES'!C$3:C$42,"Energy"),"",INDEX('DONNÉES BRUTES'!M$3:M$42,MATCH(LARGE(IF('DONNÉES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J25" t="str" cm="1">
        <f t="array" ref="J25">IFERROR(IF(15&gt;COUNTIF('DONNÉES BRUTES'!C$3:C$42,"Energy"),"",INDEX('DONNÉES BRUTES'!N$3:N$42,MATCH(LARGE(IF('DONNÉES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K25" t="str" cm="1">
        <f t="array" ref="K25">IFERROR(IF(15&gt;COUNTIF('DONNÉES BRUTES'!C$3:C$42,"Energy"),"",INDEX('DONNÉES BRUTES'!O$3:O$42,MATCH(LARGE(IF('DONNÉES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L25" t="str" cm="1">
        <f t="array" ref="L25">IFERROR(IF(15&gt;COUNTIF('DONNÉES BRUTES'!C$3:C$42,"Energy"),"",INDEX('DONNÉES BRUTES'!P$3:P$42,MATCH(LARGE(IF('DONNÉES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M25" t="str" cm="1">
        <f t="array" ref="M25">IFERROR(IF(15&gt;COUNTIF('DONNÉES BRUTES'!C$3:C$42,"Energy"),"",INDEX('DONNÉES BRUTES'!Q$3:Q$42,MATCH(LARGE(IF('DONNÉES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N25" t="str" cm="1">
        <f t="array" ref="N25">IFERROR(IF(15&gt;COUNTIF('DONNÉES BRUTES'!C$3:C$42,"Energy"),"",INDEX('DONNÉES BRUTES'!S$3:S$42,MATCH(LARGE(IF('DONNÉES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O25" t="str" cm="1">
        <f t="array" ref="O25">IFERROR(IF(15&gt;COUNTIF('DONNÉES BRUTES'!C$3:C$42,"Energy"),"",INDEX('DONNÉES BRUTES'!T$3:T$42,MATCH(LARGE(IF('DONNÉES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P25" t="str" cm="1">
        <f t="array" ref="P25">IFERROR(IF(15&gt;COUNTIF('DONNÉES BRUTES'!C$3:C$42,"Energy"),"",INDEX('DONNÉES BRUTES'!U$3:U$42,MATCH(LARGE(IF('DONNÉES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Q25" t="str" cm="1">
        <f t="array" ref="Q25">IFERROR(IF(15&gt;COUNTIF('DONNÉES BRUTES'!C$3:C$42,"Energy"),"",INDEX('DONNÉES BRUTES'!AD$3:AD$42,MATCH(LARGE(IF('DONNÉES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</row>
    <row r="26" spans="2:28" ht="15.95" customHeight="1" x14ac:dyDescent="0.25"/>
    <row r="27" spans="2:28" ht="15.95" customHeight="1" x14ac:dyDescent="0.25"/>
    <row r="28" spans="2:28" ht="15.95" customHeight="1" x14ac:dyDescent="0.25">
      <c r="S28" s="235" t="s">
        <v>4</v>
      </c>
      <c r="T28" s="235" t="s">
        <v>5</v>
      </c>
      <c r="U28" s="235" t="s">
        <v>43</v>
      </c>
      <c r="V28" s="235" t="s">
        <v>44</v>
      </c>
      <c r="W28" s="235" t="s">
        <v>45</v>
      </c>
      <c r="X28" s="235"/>
      <c r="Y28" s="235" t="s">
        <v>4</v>
      </c>
      <c r="Z28" s="235" t="s">
        <v>43</v>
      </c>
      <c r="AA28" s="235" t="s">
        <v>44</v>
      </c>
      <c r="AB28" s="235" t="s">
        <v>45</v>
      </c>
    </row>
    <row r="29" spans="2:28" ht="15.95" customHeight="1" x14ac:dyDescent="0.25">
      <c r="S29" s="235" t="str">
        <f>IF(D11="","",LEFT(D11,14))</f>
        <v xml:space="preserve">TotalEnergies </v>
      </c>
      <c r="T29" s="235">
        <f>IF(E11="","",IFERROR(VALUE(LEFT(E11,FIND("/",E11)-1)),0))</f>
        <v>18</v>
      </c>
      <c r="U29" s="235">
        <f>IF(ISNUMBER(F11),F11,0)</f>
        <v>0</v>
      </c>
      <c r="V29" s="235">
        <f>IF(ISNUMBER(G11),G11,0)</f>
        <v>8</v>
      </c>
      <c r="W29" s="235">
        <f>IF(ISNUMBER(H11),H11,0)</f>
        <v>28</v>
      </c>
      <c r="X29" s="235" t="str">
        <f>IF(ISNUMBER(F11),F11,"")</f>
        <v/>
      </c>
      <c r="Y29" s="235">
        <f>IF(ISNUMBER(G11),G11,"")</f>
        <v>8</v>
      </c>
      <c r="Z29" s="235">
        <f>IF(ISNUMBER(H11),H11,"")</f>
        <v>28</v>
      </c>
      <c r="AA29" s="235">
        <v>8</v>
      </c>
      <c r="AB29" s="235">
        <v>28</v>
      </c>
    </row>
    <row r="30" spans="2:28" ht="15.95" customHeight="1" x14ac:dyDescent="0.25"/>
    <row r="36" spans="19:19" x14ac:dyDescent="0.25">
      <c r="S36" s="281"/>
    </row>
  </sheetData>
  <mergeCells count="3">
    <mergeCell ref="B1:Q1"/>
    <mergeCell ref="B2:Q2"/>
    <mergeCell ref="B8:Q8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B30"/>
  <sheetViews>
    <sheetView showGridLines="0" zoomScale="90" workbookViewId="0">
      <selection activeCell="Q12" sqref="Q12"/>
    </sheetView>
  </sheetViews>
  <sheetFormatPr baseColWidth="10" defaultColWidth="8.85546875" defaultRowHeight="15" x14ac:dyDescent="0.25"/>
  <cols>
    <col min="1" max="1" width="1.5703125" customWidth="1"/>
    <col min="2" max="2" width="5.28515625" customWidth="1"/>
    <col min="3" max="3" width="10.42578125" customWidth="1"/>
    <col min="4" max="4" width="21.85546875" customWidth="1"/>
    <col min="5" max="5" width="10.42578125" customWidth="1"/>
    <col min="6" max="8" width="5.28515625" customWidth="1"/>
    <col min="9" max="9" width="8.85546875" bestFit="1" customWidth="1"/>
    <col min="10" max="10" width="10.7109375" bestFit="1" customWidth="1"/>
    <col min="11" max="11" width="8.85546875" bestFit="1" customWidth="1"/>
    <col min="12" max="12" width="10.7109375" bestFit="1" customWidth="1"/>
    <col min="13" max="13" width="8" customWidth="1"/>
    <col min="14" max="14" width="7.28515625" bestFit="1" customWidth="1"/>
    <col min="15" max="15" width="10.140625" bestFit="1" customWidth="1"/>
    <col min="16" max="16" width="8.140625" bestFit="1" customWidth="1"/>
    <col min="17" max="17" width="14.140625" bestFit="1" customWidth="1"/>
  </cols>
  <sheetData>
    <row r="1" spans="2:17" ht="30" customHeight="1" x14ac:dyDescent="0.25">
      <c r="B1" s="273" t="str">
        <f>"FinSight IA  ·  Materials  ·  CAC 40  ·  "&amp;COUNTIF('DONNÉES BRUTES'!C$3:C$42,"Materials")&amp;" sociétés  ·  22/03/2026"</f>
        <v>FinSight IA  ·  Materials  ·  CAC 40  ·  2 sociétés  ·  22/03/2026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</row>
    <row r="2" spans="2:17" ht="18" customHeight="1" x14ac:dyDescent="0.25">
      <c r="B2" s="279" t="s">
        <v>252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</row>
    <row r="3" spans="2:17" ht="8.1" customHeight="1" x14ac:dyDescent="0.25"/>
    <row r="4" spans="2:17" ht="8.1" customHeight="1" x14ac:dyDescent="0.25"/>
    <row r="5" spans="2:17" ht="39.950000000000003" customHeight="1" x14ac:dyDescent="0.25">
      <c r="B5" s="265"/>
      <c r="C5" s="246">
        <f>COUNTIF('DONNÉES BRUTES'!C$3:C$42,"Materials")</f>
        <v>2</v>
      </c>
      <c r="D5" s="265"/>
      <c r="E5" s="255" t="str">
        <f>ROUND(AVERAGEIF('DONNÉES BRUTES'!C$3:C$42,"Materials",'DONNÉES BRUTES'!AB$3:AB$42),0)&amp;"/100"</f>
        <v>54/100</v>
      </c>
      <c r="F5" s="255"/>
      <c r="G5" s="255"/>
      <c r="H5" s="249" t="str" cm="1">
        <f t="array" ref="H5">IFERROR(INDEX('DONNÉES BRUTES'!B$3:B$42,MATCH(LARGE(IF('DONNÉES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BRUTES'!A$3))/1000,0),0)),"—")</f>
        <v>L'Air Liquide S.A.</v>
      </c>
      <c r="I5" s="255"/>
      <c r="J5" s="255"/>
      <c r="K5" s="265"/>
      <c r="L5" s="251" t="str">
        <f>IFERROR(VLOOKUP("Materials",'SECTOR OVERVIEW'!B$8:G$19,6,0),"—")</f>
        <v>22.7%</v>
      </c>
      <c r="M5" s="265"/>
      <c r="N5" s="252" cm="1">
        <f t="array" ref="N5">IFERROR(ROUND(MEDIAN(IF('DONNÉES BRUTES'!C$3:C$42="Materials",IF(ISNUMBER('DONNÉES BRUTES'!Y$3:Y$42),'DONNÉES BRUTES'!Y$3:Y$42))),0),"—")</f>
        <v>67</v>
      </c>
      <c r="O5" s="265"/>
      <c r="P5" s="284" t="str">
        <f>IF(COUNTIFS('DONNÉES BRUTES'!C$3:C$42,"Materials",'DONNÉES BRUTES'!AD$3:AD$42,"Surpondérer")&gt;0,"Surpondérer",IF(COUNTIFS('DONNÉES BRUTES'!C$3:C$42,"Materials",'DONNÉES BRUTES'!AD$3:AD$42,"Neutre")&gt;=COUNTIFS('DONNÉES BRUTES'!C$3:C$42,"Materials",'DONNÉES BRUTES'!AD$3:AD$42,"Sous-pondérer"),"Neutre","Sous-pondérer"))</f>
        <v>Neutre</v>
      </c>
      <c r="Q5" s="255"/>
    </row>
    <row r="6" spans="2:17" ht="15.95" customHeight="1" x14ac:dyDescent="0.25">
      <c r="B6" s="248"/>
      <c r="C6" s="248" t="s">
        <v>593</v>
      </c>
      <c r="D6" s="248"/>
      <c r="E6" s="247" t="s">
        <v>594</v>
      </c>
      <c r="F6" s="247"/>
      <c r="G6" s="247"/>
      <c r="H6" s="250" t="s">
        <v>253</v>
      </c>
      <c r="I6" s="247"/>
      <c r="J6" s="247"/>
      <c r="K6" s="248"/>
      <c r="L6" s="248" t="s">
        <v>583</v>
      </c>
      <c r="M6" s="248"/>
      <c r="N6" s="248" t="s">
        <v>607</v>
      </c>
      <c r="O6" s="248"/>
      <c r="P6" s="248" t="s">
        <v>50</v>
      </c>
      <c r="Q6" s="247"/>
    </row>
    <row r="7" spans="2:17" ht="8.1" customHeight="1" x14ac:dyDescent="0.25"/>
    <row r="8" spans="2:17" ht="21.95" customHeight="1" x14ac:dyDescent="0.25">
      <c r="B8" s="275" t="str">
        <f>"ANALYSE DÉTAILLÉE  ·  "&amp;UPPER("Materials")&amp;"  ·  "&amp;COUNTIF('DONNÉES BRUTES'!C$3:C$42,"Materials")&amp;" sociétés  ·  Triée par Score Global"</f>
        <v>ANALYSE DÉTAILLÉE  ·  MATERIALS  ·  2 sociétés  ·  Triée par Score Global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</row>
    <row r="9" spans="2:17" ht="6" customHeight="1" x14ac:dyDescent="0.25"/>
    <row r="10" spans="2:17" ht="20.100000000000001" customHeight="1" x14ac:dyDescent="0.25">
      <c r="B10" s="266" t="s">
        <v>41</v>
      </c>
      <c r="C10" s="267" t="s">
        <v>3</v>
      </c>
      <c r="D10" s="267" t="s">
        <v>4</v>
      </c>
      <c r="E10" s="266" t="s">
        <v>5</v>
      </c>
      <c r="F10" s="266" t="s">
        <v>609</v>
      </c>
      <c r="G10" s="266" t="s">
        <v>610</v>
      </c>
      <c r="H10" s="266" t="s">
        <v>595</v>
      </c>
      <c r="I10" s="266" t="s">
        <v>575</v>
      </c>
      <c r="J10" s="266" t="s">
        <v>573</v>
      </c>
      <c r="K10" s="266" t="s">
        <v>574</v>
      </c>
      <c r="L10" s="266" t="s">
        <v>596</v>
      </c>
      <c r="M10" s="266" t="s">
        <v>95</v>
      </c>
      <c r="N10" s="266" t="s">
        <v>608</v>
      </c>
      <c r="O10" s="266" t="s">
        <v>405</v>
      </c>
      <c r="P10" s="266" t="s">
        <v>89</v>
      </c>
      <c r="Q10" s="266" t="s">
        <v>50</v>
      </c>
    </row>
    <row r="11" spans="2:17" ht="18" customHeight="1" x14ac:dyDescent="0.25">
      <c r="B11">
        <f>IF(1&gt;COUNTIF('DONNÉES BRUTES'!C$3:C$42,"Materials"),"",1)</f>
        <v>1</v>
      </c>
      <c r="C11" t="str" cm="1">
        <f t="array" ref="C11">IFERROR(IF(1&gt;COUNTIF('DONNÉES BRUTES'!C$3:C$42,"Materials"),"",INDEX('DONNÉES BRUTES'!A$3:A$42,MATCH(LARGE(IF('DONNÉES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AI.PA</v>
      </c>
      <c r="D11" t="str" cm="1">
        <f t="array" ref="D11">IFERROR(IF(1&gt;COUNTIF('DONNÉES BRUTES'!C$3:C$42,"Materials"),"",INDEX('DONNÉES BRUTES'!B$3:B$42,MATCH(LARGE(IF('DONNÉES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L'Air Liquide S.A.</v>
      </c>
      <c r="E11" t="str" cm="1">
        <f t="array" ref="E11">IFERROR(IF(1&gt;COUNTIF('DONNÉES BRUTES'!C$3:C$42,"Materials"),"",INT(LARGE(IF('DONNÉES BRUTES'!C$3:C$42="Materials",'DONNÉES BRUTES'!AB$3:AB$42+(ROW('DONNÉES BRUTES'!A$3:A$42)-ROW('DONNÉES BRUTES'!A$3))/1000,0),1))&amp;"/100"),"—")</f>
        <v>74/100</v>
      </c>
      <c r="F11" cm="1">
        <f t="array" ref="F11">IFERROR(IF(1&gt;COUNTIF('DONNÉES BRUTES'!C$3:C$42,"Materials"),"",INDEX('DONNÉES BRUTES'!Y$3:Y$42,MATCH(LARGE(IF('DONNÉES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55</v>
      </c>
      <c r="G11" cm="1">
        <f t="array" ref="G11">IFERROR(IF(1&gt;COUNTIF('DONNÉES BRUTES'!C$3:C$42,"Materials"),"",INDEX('DONNÉES BRUTES'!Z$3:Z$42,MATCH(LARGE(IF('DONNÉES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77</v>
      </c>
      <c r="H11" cm="1">
        <f t="array" ref="H11">IFERROR(IF(1&gt;COUNTIF('DONNÉES BRUTES'!C$3:C$42,"Materials"),"",INDEX('DONNÉES BRUTES'!AA$3:AA$42,MATCH(LARGE(IF('DONNÉES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90</v>
      </c>
      <c r="I11" t="str" cm="1">
        <f t="array" ref="I11">IFERROR(IF(1&gt;COUNTIF('DONNÉES BRUTES'!C$3:C$42,"Materials"),"",INDEX('DONNÉES BRUTES'!M$3:M$42,MATCH(LARGE(IF('DONNÉES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64.2%</v>
      </c>
      <c r="J11" t="str" cm="1">
        <f t="array" ref="J11">IFERROR(IF(1&gt;COUNTIF('DONNÉES BRUTES'!C$3:C$42,"Materials"),"",INDEX('DONNÉES BRUTES'!N$3:N$42,MATCH(LARGE(IF('DONNÉES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27.9%</v>
      </c>
      <c r="K11" t="str" cm="1">
        <f t="array" ref="K11">IFERROR(IF(1&gt;COUNTIF('DONNÉES BRUTES'!C$3:C$42,"Materials"),"",INDEX('DONNÉES BRUTES'!O$3:O$42,MATCH(LARGE(IF('DONNÉES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13.1%</v>
      </c>
      <c r="L11" t="str" cm="1">
        <f t="array" ref="L11">IFERROR(IF(1&gt;COUNTIF('DONNÉES BRUTES'!C$3:C$42,"Materials"),"",INDEX('DONNÉES BRUTES'!P$3:P$42,MATCH(LARGE(IF('DONNÉES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-0.4%</v>
      </c>
      <c r="M11" t="str" cm="1">
        <f t="array" ref="M11">IFERROR(IF(1&gt;COUNTIF('DONNÉES BRUTES'!C$3:C$42,"Materials"),"",INDEX('DONNÉES BRUTES'!Q$3:Q$42,MATCH(LARGE(IF('DONNÉES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+13.4%</v>
      </c>
      <c r="N11" t="str" cm="1">
        <f t="array" ref="N11">IFERROR(IF(1&gt;COUNTIF('DONNÉES BRUTES'!C$3:C$42,"Materials"),"",INDEX('DONNÉES BRUTES'!S$3:S$42,MATCH(LARGE(IF('DONNÉES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1.17</v>
      </c>
      <c r="O11" t="str" cm="1">
        <f t="array" ref="O11">IFERROR(IF(1&gt;COUNTIF('DONNÉES BRUTES'!C$3:C$42,"Materials"),"",INDEX('DONNÉES BRUTES'!T$3:T$42,MATCH(LARGE(IF('DONNÉES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1.2x</v>
      </c>
      <c r="P11" t="str" cm="1">
        <f t="array" ref="P11">IFERROR(IF(1&gt;COUNTIF('DONNÉES BRUTES'!C$3:C$42,"Materials"),"",INDEX('DONNÉES BRUTES'!U$3:U$42,MATCH(LARGE(IF('DONNÉES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3.26</v>
      </c>
      <c r="Q11" t="str" cm="1">
        <f t="array" ref="Q11">IFERROR(IF(1&gt;COUNTIF('DONNÉES BRUTES'!C$3:C$42,"Materials"),"",INDEX('DONNÉES BRUTES'!AD$3:AD$42,MATCH(LARGE(IF('DONNÉES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>Neutre</v>
      </c>
    </row>
    <row r="12" spans="2:17" ht="15.95" customHeight="1" x14ac:dyDescent="0.25">
      <c r="B12">
        <f>IF(2&gt;COUNTIF('DONNÉES BRUTES'!C$3:C$42,"Materials"),"",2)</f>
        <v>2</v>
      </c>
      <c r="C12" t="str" cm="1">
        <f t="array" ref="C12">IFERROR(IF(2&gt;COUNTIF('DONNÉES BRUTES'!C$3:C$42,"Materials"),"",INDEX('DONNÉES BRUTES'!A$3:A$42,MATCH(LARGE(IF('DONNÉES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MT.AS</v>
      </c>
      <c r="D12" t="str" cm="1">
        <f t="array" ref="D12">IFERROR(IF(2&gt;COUNTIF('DONNÉES BRUTES'!C$3:C$42,"Materials"),"",INDEX('DONNÉES BRUTES'!B$3:B$42,MATCH(LARGE(IF('DONNÉES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ArcelorMittal S.A.</v>
      </c>
      <c r="E12" t="str" cm="1">
        <f t="array" ref="E12">IFERROR(IF(2&gt;COUNTIF('DONNÉES BRUTES'!C$3:C$42,"Materials"),"",INT(LARGE(IF('DONNÉES BRUTES'!C$3:C$42="Materials",'DONNÉES BRUTES'!AB$3:AB$42+(ROW('DONNÉES BRUTES'!A$3:A$42)-ROW('DONNÉES BRUTES'!A$3))/1000,0),2))&amp;"/100"),"—")</f>
        <v>33/100</v>
      </c>
      <c r="F12" cm="1">
        <f t="array" ref="F12">IFERROR(IF(2&gt;COUNTIF('DONNÉES BRUTES'!C$3:C$42,"Materials"),"",INDEX('DONNÉES BRUTES'!Y$3:Y$42,MATCH(LARGE(IF('DONNÉES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79</v>
      </c>
      <c r="G12" cm="1">
        <f t="array" ref="G12">IFERROR(IF(2&gt;COUNTIF('DONNÉES BRUTES'!C$3:C$42,"Materials"),"",INDEX('DONNÉES BRUTES'!Z$3:Z$42,MATCH(LARGE(IF('DONNÉES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13</v>
      </c>
      <c r="H12" cm="1">
        <f t="array" ref="H12">IFERROR(IF(2&gt;COUNTIF('DONNÉES BRUTES'!C$3:C$42,"Materials"),"",INDEX('DONNÉES BRUTES'!AA$3:AA$42,MATCH(LARGE(IF('DONNÉES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8</v>
      </c>
      <c r="I12" t="str" cm="1">
        <f t="array" ref="I12">IFERROR(IF(2&gt;COUNTIF('DONNÉES BRUTES'!C$3:C$42,"Materials"),"",INDEX('DONNÉES BRUTES'!M$3:M$42,MATCH(LARGE(IF('DONNÉES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7.1%</v>
      </c>
      <c r="J12" t="str" cm="1">
        <f t="array" ref="J12">IFERROR(IF(2&gt;COUNTIF('DONNÉES BRUTES'!C$3:C$42,"Materials"),"",INDEX('DONNÉES BRUTES'!N$3:N$42,MATCH(LARGE(IF('DONNÉES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11.6%</v>
      </c>
      <c r="K12" t="str" cm="1">
        <f t="array" ref="K12">IFERROR(IF(2&gt;COUNTIF('DONNÉES BRUTES'!C$3:C$42,"Materials"),"",INDEX('DONNÉES BRUTES'!O$3:O$42,MATCH(LARGE(IF('DONNÉES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5.1%</v>
      </c>
      <c r="L12" t="str" cm="1">
        <f t="array" ref="L12">IFERROR(IF(2&gt;COUNTIF('DONNÉES BRUTES'!C$3:C$42,"Materials"),"",INDEX('DONNÉES BRUTES'!P$3:P$42,MATCH(LARGE(IF('DONNÉES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-1.7%</v>
      </c>
      <c r="M12" t="str" cm="1">
        <f t="array" ref="M12">IFERROR(IF(2&gt;COUNTIF('DONNÉES BRUTES'!C$3:C$42,"Materials"),"",INDEX('DONNÉES BRUTES'!Q$3:Q$42,MATCH(LARGE(IF('DONNÉES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+5.8%</v>
      </c>
      <c r="N12" t="str" cm="1">
        <f t="array" ref="N12">IFERROR(IF(2&gt;COUNTIF('DONNÉES BRUTES'!C$3:C$42,"Materials"),"",INDEX('DONNÉES BRUTES'!S$3:S$42,MATCH(LARGE(IF('DONNÉES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1.36</v>
      </c>
      <c r="O12" t="str" cm="1">
        <f t="array" ref="O12">IFERROR(IF(2&gt;COUNTIF('DONNÉES BRUTES'!C$3:C$42,"Materials"),"",INDEX('DONNÉES BRUTES'!T$3:T$42,MATCH(LARGE(IF('DONNÉES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1.0x</v>
      </c>
      <c r="P12" t="str" cm="1">
        <f t="array" ref="P12">IFERROR(IF(2&gt;COUNTIF('DONNÉES BRUTES'!C$3:C$42,"Materials"),"",INDEX('DONNÉES BRUTES'!U$3:U$42,MATCH(LARGE(IF('DONNÉES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3.89</v>
      </c>
      <c r="Q12" t="str" cm="1">
        <f t="array" ref="Q12">IFERROR(IF(2&gt;COUNTIF('DONNÉES BRUTES'!C$3:C$42,"Materials"),"",INDEX('DONNÉES BRUTES'!AD$3:AD$42,MATCH(LARGE(IF('DONNÉES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>Sous-pondérer</v>
      </c>
    </row>
    <row r="13" spans="2:17" ht="15.95" customHeight="1" x14ac:dyDescent="0.25">
      <c r="B13" t="str">
        <f>IF(3&gt;COUNTIF('DONNÉES BRUTES'!C$3:C$42,"Materials"),"",3)</f>
        <v/>
      </c>
      <c r="C13" t="str" cm="1">
        <f t="array" ref="C13">IFERROR(IF(3&gt;COUNTIF('DONNÉES BRUTES'!C$3:C$42,"Materials"),"",INDEX('DONNÉES BRUTES'!A$3:A$42,MATCH(LARGE(IF('DONNÉES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D13" t="str" cm="1">
        <f t="array" ref="D13">IFERROR(IF(3&gt;COUNTIF('DONNÉES BRUTES'!C$3:C$42,"Materials"),"",INDEX('DONNÉES BRUTES'!B$3:B$42,MATCH(LARGE(IF('DONNÉES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E13" t="str" cm="1">
        <f t="array" ref="E13">IFERROR(IF(3&gt;COUNTIF('DONNÉES BRUTES'!C$3:C$42,"Materials"),"",INT(LARGE(IF('DONNÉES BRUTES'!C$3:C$42="Materials",'DONNÉES BRUTES'!AB$3:AB$42+(ROW('DONNÉES BRUTES'!A$3:A$42)-ROW('DONNÉES BRUTES'!A$3))/1000,0),3))&amp;"/100"),"—")</f>
        <v/>
      </c>
      <c r="F13" t="str" cm="1">
        <f t="array" ref="F13">IFERROR(IF(3&gt;COUNTIF('DONNÉES BRUTES'!C$3:C$42,"Materials"),"",INDEX('DONNÉES BRUTES'!Y$3:Y$42,MATCH(LARGE(IF('DONNÉES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G13" t="str" cm="1">
        <f t="array" ref="G13">IFERROR(IF(3&gt;COUNTIF('DONNÉES BRUTES'!C$3:C$42,"Materials"),"",INDEX('DONNÉES BRUTES'!Z$3:Z$42,MATCH(LARGE(IF('DONNÉES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H13" t="str" cm="1">
        <f t="array" ref="H13">IFERROR(IF(3&gt;COUNTIF('DONNÉES BRUTES'!C$3:C$42,"Materials"),"",INDEX('DONNÉES BRUTES'!AA$3:AA$42,MATCH(LARGE(IF('DONNÉES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I13" t="str" cm="1">
        <f t="array" ref="I13">IFERROR(IF(3&gt;COUNTIF('DONNÉES BRUTES'!C$3:C$42,"Materials"),"",INDEX('DONNÉES BRUTES'!M$3:M$42,MATCH(LARGE(IF('DONNÉES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J13" t="str" cm="1">
        <f t="array" ref="J13">IFERROR(IF(3&gt;COUNTIF('DONNÉES BRUTES'!C$3:C$42,"Materials"),"",INDEX('DONNÉES BRUTES'!N$3:N$42,MATCH(LARGE(IF('DONNÉES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K13" t="str" cm="1">
        <f t="array" ref="K13">IFERROR(IF(3&gt;COUNTIF('DONNÉES BRUTES'!C$3:C$42,"Materials"),"",INDEX('DONNÉES BRUTES'!O$3:O$42,MATCH(LARGE(IF('DONNÉES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L13" t="str" cm="1">
        <f t="array" ref="L13">IFERROR(IF(3&gt;COUNTIF('DONNÉES BRUTES'!C$3:C$42,"Materials"),"",INDEX('DONNÉES BRUTES'!P$3:P$42,MATCH(LARGE(IF('DONNÉES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M13" t="str" cm="1">
        <f t="array" ref="M13">IFERROR(IF(3&gt;COUNTIF('DONNÉES BRUTES'!C$3:C$42,"Materials"),"",INDEX('DONNÉES BRUTES'!Q$3:Q$42,MATCH(LARGE(IF('DONNÉES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N13" t="str" cm="1">
        <f t="array" ref="N13">IFERROR(IF(3&gt;COUNTIF('DONNÉES BRUTES'!C$3:C$42,"Materials"),"",INDEX('DONNÉES BRUTES'!S$3:S$42,MATCH(LARGE(IF('DONNÉES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O13" t="str" cm="1">
        <f t="array" ref="O13">IFERROR(IF(3&gt;COUNTIF('DONNÉES BRUTES'!C$3:C$42,"Materials"),"",INDEX('DONNÉES BRUTES'!T$3:T$42,MATCH(LARGE(IF('DONNÉES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P13" t="str" cm="1">
        <f t="array" ref="P13">IFERROR(IF(3&gt;COUNTIF('DONNÉES BRUTES'!C$3:C$42,"Materials"),"",INDEX('DONNÉES BRUTES'!U$3:U$42,MATCH(LARGE(IF('DONNÉES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Q13" t="str" cm="1">
        <f t="array" ref="Q13">IFERROR(IF(3&gt;COUNTIF('DONNÉES BRUTES'!C$3:C$42,"Materials"),"",INDEX('DONNÉES BRUTES'!AD$3:AD$42,MATCH(LARGE(IF('DONNÉES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</row>
    <row r="14" spans="2:17" ht="15.95" customHeight="1" x14ac:dyDescent="0.25">
      <c r="B14" t="str">
        <f>IF(4&gt;COUNTIF('DONNÉES BRUTES'!C$3:C$42,"Materials"),"",4)</f>
        <v/>
      </c>
      <c r="C14" t="str" cm="1">
        <f t="array" ref="C14">IFERROR(IF(4&gt;COUNTIF('DONNÉES BRUTES'!C$3:C$42,"Materials"),"",INDEX('DONNÉES BRUTES'!A$3:A$42,MATCH(LARGE(IF('DONNÉES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D14" t="str" cm="1">
        <f t="array" ref="D14">IFERROR(IF(4&gt;COUNTIF('DONNÉES BRUTES'!C$3:C$42,"Materials"),"",INDEX('DONNÉES BRUTES'!B$3:B$42,MATCH(LARGE(IF('DONNÉES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E14" t="str" cm="1">
        <f t="array" ref="E14">IFERROR(IF(4&gt;COUNTIF('DONNÉES BRUTES'!C$3:C$42,"Materials"),"",INT(LARGE(IF('DONNÉES BRUTES'!C$3:C$42="Materials",'DONNÉES BRUTES'!AB$3:AB$42+(ROW('DONNÉES BRUTES'!A$3:A$42)-ROW('DONNÉES BRUTES'!A$3))/1000,0),4))&amp;"/100"),"—")</f>
        <v/>
      </c>
      <c r="F14" t="str" cm="1">
        <f t="array" ref="F14">IFERROR(IF(4&gt;COUNTIF('DONNÉES BRUTES'!C$3:C$42,"Materials"),"",INDEX('DONNÉES BRUTES'!Y$3:Y$42,MATCH(LARGE(IF('DONNÉES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G14" t="str" cm="1">
        <f t="array" ref="G14">IFERROR(IF(4&gt;COUNTIF('DONNÉES BRUTES'!C$3:C$42,"Materials"),"",INDEX('DONNÉES BRUTES'!Z$3:Z$42,MATCH(LARGE(IF('DONNÉES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H14" t="str" cm="1">
        <f t="array" ref="H14">IFERROR(IF(4&gt;COUNTIF('DONNÉES BRUTES'!C$3:C$42,"Materials"),"",INDEX('DONNÉES BRUTES'!AA$3:AA$42,MATCH(LARGE(IF('DONNÉES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I14" t="str" cm="1">
        <f t="array" ref="I14">IFERROR(IF(4&gt;COUNTIF('DONNÉES BRUTES'!C$3:C$42,"Materials"),"",INDEX('DONNÉES BRUTES'!M$3:M$42,MATCH(LARGE(IF('DONNÉES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J14" t="str" cm="1">
        <f t="array" ref="J14">IFERROR(IF(4&gt;COUNTIF('DONNÉES BRUTES'!C$3:C$42,"Materials"),"",INDEX('DONNÉES BRUTES'!N$3:N$42,MATCH(LARGE(IF('DONNÉES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K14" t="str" cm="1">
        <f t="array" ref="K14">IFERROR(IF(4&gt;COUNTIF('DONNÉES BRUTES'!C$3:C$42,"Materials"),"",INDEX('DONNÉES BRUTES'!O$3:O$42,MATCH(LARGE(IF('DONNÉES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L14" t="str" cm="1">
        <f t="array" ref="L14">IFERROR(IF(4&gt;COUNTIF('DONNÉES BRUTES'!C$3:C$42,"Materials"),"",INDEX('DONNÉES BRUTES'!P$3:P$42,MATCH(LARGE(IF('DONNÉES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M14" t="str" cm="1">
        <f t="array" ref="M14">IFERROR(IF(4&gt;COUNTIF('DONNÉES BRUTES'!C$3:C$42,"Materials"),"",INDEX('DONNÉES BRUTES'!Q$3:Q$42,MATCH(LARGE(IF('DONNÉES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N14" t="str" cm="1">
        <f t="array" ref="N14">IFERROR(IF(4&gt;COUNTIF('DONNÉES BRUTES'!C$3:C$42,"Materials"),"",INDEX('DONNÉES BRUTES'!S$3:S$42,MATCH(LARGE(IF('DONNÉES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O14" t="str" cm="1">
        <f t="array" ref="O14">IFERROR(IF(4&gt;COUNTIF('DONNÉES BRUTES'!C$3:C$42,"Materials"),"",INDEX('DONNÉES BRUTES'!T$3:T$42,MATCH(LARGE(IF('DONNÉES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P14" t="str" cm="1">
        <f t="array" ref="P14">IFERROR(IF(4&gt;COUNTIF('DONNÉES BRUTES'!C$3:C$42,"Materials"),"",INDEX('DONNÉES BRUTES'!U$3:U$42,MATCH(LARGE(IF('DONNÉES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Q14" t="str" cm="1">
        <f t="array" ref="Q14">IFERROR(IF(4&gt;COUNTIF('DONNÉES BRUTES'!C$3:C$42,"Materials"),"",INDEX('DONNÉES BRUTES'!AD$3:AD$42,MATCH(LARGE(IF('DONNÉES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</row>
    <row r="15" spans="2:17" ht="15.95" customHeight="1" x14ac:dyDescent="0.25">
      <c r="B15" t="str">
        <f>IF(5&gt;COUNTIF('DONNÉES BRUTES'!C$3:C$42,"Materials"),"",5)</f>
        <v/>
      </c>
      <c r="C15" t="str" cm="1">
        <f t="array" ref="C15">IFERROR(IF(5&gt;COUNTIF('DONNÉES BRUTES'!C$3:C$42,"Materials"),"",INDEX('DONNÉES BRUTES'!A$3:A$42,MATCH(LARGE(IF('DONNÉES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D15" t="str" cm="1">
        <f t="array" ref="D15">IFERROR(IF(5&gt;COUNTIF('DONNÉES BRUTES'!C$3:C$42,"Materials"),"",INDEX('DONNÉES BRUTES'!B$3:B$42,MATCH(LARGE(IF('DONNÉES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E15" t="str" cm="1">
        <f t="array" ref="E15">IFERROR(IF(5&gt;COUNTIF('DONNÉES BRUTES'!C$3:C$42,"Materials"),"",INT(LARGE(IF('DONNÉES BRUTES'!C$3:C$42="Materials",'DONNÉES BRUTES'!AB$3:AB$42+(ROW('DONNÉES BRUTES'!A$3:A$42)-ROW('DONNÉES BRUTES'!A$3))/1000,0),5))&amp;"/100"),"—")</f>
        <v/>
      </c>
      <c r="F15" t="str" cm="1">
        <f t="array" ref="F15">IFERROR(IF(5&gt;COUNTIF('DONNÉES BRUTES'!C$3:C$42,"Materials"),"",INDEX('DONNÉES BRUTES'!Y$3:Y$42,MATCH(LARGE(IF('DONNÉES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G15" t="str" cm="1">
        <f t="array" ref="G15">IFERROR(IF(5&gt;COUNTIF('DONNÉES BRUTES'!C$3:C$42,"Materials"),"",INDEX('DONNÉES BRUTES'!Z$3:Z$42,MATCH(LARGE(IF('DONNÉES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H15" t="str" cm="1">
        <f t="array" ref="H15">IFERROR(IF(5&gt;COUNTIF('DONNÉES BRUTES'!C$3:C$42,"Materials"),"",INDEX('DONNÉES BRUTES'!AA$3:AA$42,MATCH(LARGE(IF('DONNÉES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I15" t="str" cm="1">
        <f t="array" ref="I15">IFERROR(IF(5&gt;COUNTIF('DONNÉES BRUTES'!C$3:C$42,"Materials"),"",INDEX('DONNÉES BRUTES'!M$3:M$42,MATCH(LARGE(IF('DONNÉES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J15" t="str" cm="1">
        <f t="array" ref="J15">IFERROR(IF(5&gt;COUNTIF('DONNÉES BRUTES'!C$3:C$42,"Materials"),"",INDEX('DONNÉES BRUTES'!N$3:N$42,MATCH(LARGE(IF('DONNÉES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K15" t="str" cm="1">
        <f t="array" ref="K15">IFERROR(IF(5&gt;COUNTIF('DONNÉES BRUTES'!C$3:C$42,"Materials"),"",INDEX('DONNÉES BRUTES'!O$3:O$42,MATCH(LARGE(IF('DONNÉES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L15" t="str" cm="1">
        <f t="array" ref="L15">IFERROR(IF(5&gt;COUNTIF('DONNÉES BRUTES'!C$3:C$42,"Materials"),"",INDEX('DONNÉES BRUTES'!P$3:P$42,MATCH(LARGE(IF('DONNÉES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M15" t="str" cm="1">
        <f t="array" ref="M15">IFERROR(IF(5&gt;COUNTIF('DONNÉES BRUTES'!C$3:C$42,"Materials"),"",INDEX('DONNÉES BRUTES'!Q$3:Q$42,MATCH(LARGE(IF('DONNÉES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N15" t="str" cm="1">
        <f t="array" ref="N15">IFERROR(IF(5&gt;COUNTIF('DONNÉES BRUTES'!C$3:C$42,"Materials"),"",INDEX('DONNÉES BRUTES'!S$3:S$42,MATCH(LARGE(IF('DONNÉES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O15" t="str" cm="1">
        <f t="array" ref="O15">IFERROR(IF(5&gt;COUNTIF('DONNÉES BRUTES'!C$3:C$42,"Materials"),"",INDEX('DONNÉES BRUTES'!T$3:T$42,MATCH(LARGE(IF('DONNÉES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P15" t="str" cm="1">
        <f t="array" ref="P15">IFERROR(IF(5&gt;COUNTIF('DONNÉES BRUTES'!C$3:C$42,"Materials"),"",INDEX('DONNÉES BRUTES'!U$3:U$42,MATCH(LARGE(IF('DONNÉES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Q15" t="str" cm="1">
        <f t="array" ref="Q15">IFERROR(IF(5&gt;COUNTIF('DONNÉES BRUTES'!C$3:C$42,"Materials"),"",INDEX('DONNÉES BRUTES'!AD$3:AD$42,MATCH(LARGE(IF('DONNÉES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</row>
    <row r="16" spans="2:17" ht="15.95" customHeight="1" x14ac:dyDescent="0.25">
      <c r="B16" t="str">
        <f>IF(6&gt;COUNTIF('DONNÉES BRUTES'!C$3:C$42,"Materials"),"",6)</f>
        <v/>
      </c>
      <c r="C16" t="str" cm="1">
        <f t="array" ref="C16">IFERROR(IF(6&gt;COUNTIF('DONNÉES BRUTES'!C$3:C$42,"Materials"),"",INDEX('DONNÉES BRUTES'!A$3:A$42,MATCH(LARGE(IF('DONNÉES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D16" t="str" cm="1">
        <f t="array" ref="D16">IFERROR(IF(6&gt;COUNTIF('DONNÉES BRUTES'!C$3:C$42,"Materials"),"",INDEX('DONNÉES BRUTES'!B$3:B$42,MATCH(LARGE(IF('DONNÉES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E16" t="str" cm="1">
        <f t="array" ref="E16">IFERROR(IF(6&gt;COUNTIF('DONNÉES BRUTES'!C$3:C$42,"Materials"),"",INT(LARGE(IF('DONNÉES BRUTES'!C$3:C$42="Materials",'DONNÉES BRUTES'!AB$3:AB$42+(ROW('DONNÉES BRUTES'!A$3:A$42)-ROW('DONNÉES BRUTES'!A$3))/1000,0),6))&amp;"/100"),"—")</f>
        <v/>
      </c>
      <c r="F16" t="str" cm="1">
        <f t="array" ref="F16">IFERROR(IF(6&gt;COUNTIF('DONNÉES BRUTES'!C$3:C$42,"Materials"),"",INDEX('DONNÉES BRUTES'!Y$3:Y$42,MATCH(LARGE(IF('DONNÉES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G16" t="str" cm="1">
        <f t="array" ref="G16">IFERROR(IF(6&gt;COUNTIF('DONNÉES BRUTES'!C$3:C$42,"Materials"),"",INDEX('DONNÉES BRUTES'!Z$3:Z$42,MATCH(LARGE(IF('DONNÉES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H16" t="str" cm="1">
        <f t="array" ref="H16">IFERROR(IF(6&gt;COUNTIF('DONNÉES BRUTES'!C$3:C$42,"Materials"),"",INDEX('DONNÉES BRUTES'!AA$3:AA$42,MATCH(LARGE(IF('DONNÉES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I16" t="str" cm="1">
        <f t="array" ref="I16">IFERROR(IF(6&gt;COUNTIF('DONNÉES BRUTES'!C$3:C$42,"Materials"),"",INDEX('DONNÉES BRUTES'!M$3:M$42,MATCH(LARGE(IF('DONNÉES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J16" t="str" cm="1">
        <f t="array" ref="J16">IFERROR(IF(6&gt;COUNTIF('DONNÉES BRUTES'!C$3:C$42,"Materials"),"",INDEX('DONNÉES BRUTES'!N$3:N$42,MATCH(LARGE(IF('DONNÉES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K16" t="str" cm="1">
        <f t="array" ref="K16">IFERROR(IF(6&gt;COUNTIF('DONNÉES BRUTES'!C$3:C$42,"Materials"),"",INDEX('DONNÉES BRUTES'!O$3:O$42,MATCH(LARGE(IF('DONNÉES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L16" t="str" cm="1">
        <f t="array" ref="L16">IFERROR(IF(6&gt;COUNTIF('DONNÉES BRUTES'!C$3:C$42,"Materials"),"",INDEX('DONNÉES BRUTES'!P$3:P$42,MATCH(LARGE(IF('DONNÉES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M16" t="str" cm="1">
        <f t="array" ref="M16">IFERROR(IF(6&gt;COUNTIF('DONNÉES BRUTES'!C$3:C$42,"Materials"),"",INDEX('DONNÉES BRUTES'!Q$3:Q$42,MATCH(LARGE(IF('DONNÉES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N16" t="str" cm="1">
        <f t="array" ref="N16">IFERROR(IF(6&gt;COUNTIF('DONNÉES BRUTES'!C$3:C$42,"Materials"),"",INDEX('DONNÉES BRUTES'!S$3:S$42,MATCH(LARGE(IF('DONNÉES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O16" t="str" cm="1">
        <f t="array" ref="O16">IFERROR(IF(6&gt;COUNTIF('DONNÉES BRUTES'!C$3:C$42,"Materials"),"",INDEX('DONNÉES BRUTES'!T$3:T$42,MATCH(LARGE(IF('DONNÉES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P16" t="str" cm="1">
        <f t="array" ref="P16">IFERROR(IF(6&gt;COUNTIF('DONNÉES BRUTES'!C$3:C$42,"Materials"),"",INDEX('DONNÉES BRUTES'!U$3:U$42,MATCH(LARGE(IF('DONNÉES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Q16" t="str" cm="1">
        <f t="array" ref="Q16">IFERROR(IF(6&gt;COUNTIF('DONNÉES BRUTES'!C$3:C$42,"Materials"),"",INDEX('DONNÉES BRUTES'!AD$3:AD$42,MATCH(LARGE(IF('DONNÉES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</row>
    <row r="17" spans="2:28" ht="15.95" customHeight="1" x14ac:dyDescent="0.25">
      <c r="B17" t="str">
        <f>IF(7&gt;COUNTIF('DONNÉES BRUTES'!C$3:C$42,"Materials"),"",7)</f>
        <v/>
      </c>
      <c r="C17" t="str" cm="1">
        <f t="array" ref="C17">IFERROR(IF(7&gt;COUNTIF('DONNÉES BRUTES'!C$3:C$42,"Materials"),"",INDEX('DONNÉES BRUTES'!A$3:A$42,MATCH(LARGE(IF('DONNÉES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D17" t="str" cm="1">
        <f t="array" ref="D17">IFERROR(IF(7&gt;COUNTIF('DONNÉES BRUTES'!C$3:C$42,"Materials"),"",INDEX('DONNÉES BRUTES'!B$3:B$42,MATCH(LARGE(IF('DONNÉES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E17" t="str" cm="1">
        <f t="array" ref="E17">IFERROR(IF(7&gt;COUNTIF('DONNÉES BRUTES'!C$3:C$42,"Materials"),"",INT(LARGE(IF('DONNÉES BRUTES'!C$3:C$42="Materials",'DONNÉES BRUTES'!AB$3:AB$42+(ROW('DONNÉES BRUTES'!A$3:A$42)-ROW('DONNÉES BRUTES'!A$3))/1000,0),7))&amp;"/100"),"—")</f>
        <v/>
      </c>
      <c r="F17" t="str" cm="1">
        <f t="array" ref="F17">IFERROR(IF(7&gt;COUNTIF('DONNÉES BRUTES'!C$3:C$42,"Materials"),"",INDEX('DONNÉES BRUTES'!Y$3:Y$42,MATCH(LARGE(IF('DONNÉES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G17" t="str" cm="1">
        <f t="array" ref="G17">IFERROR(IF(7&gt;COUNTIF('DONNÉES BRUTES'!C$3:C$42,"Materials"),"",INDEX('DONNÉES BRUTES'!Z$3:Z$42,MATCH(LARGE(IF('DONNÉES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H17" t="str" cm="1">
        <f t="array" ref="H17">IFERROR(IF(7&gt;COUNTIF('DONNÉES BRUTES'!C$3:C$42,"Materials"),"",INDEX('DONNÉES BRUTES'!AA$3:AA$42,MATCH(LARGE(IF('DONNÉES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I17" t="str" cm="1">
        <f t="array" ref="I17">IFERROR(IF(7&gt;COUNTIF('DONNÉES BRUTES'!C$3:C$42,"Materials"),"",INDEX('DONNÉES BRUTES'!M$3:M$42,MATCH(LARGE(IF('DONNÉES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J17" t="str" cm="1">
        <f t="array" ref="J17">IFERROR(IF(7&gt;COUNTIF('DONNÉES BRUTES'!C$3:C$42,"Materials"),"",INDEX('DONNÉES BRUTES'!N$3:N$42,MATCH(LARGE(IF('DONNÉES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K17" t="str" cm="1">
        <f t="array" ref="K17">IFERROR(IF(7&gt;COUNTIF('DONNÉES BRUTES'!C$3:C$42,"Materials"),"",INDEX('DONNÉES BRUTES'!O$3:O$42,MATCH(LARGE(IF('DONNÉES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L17" t="str" cm="1">
        <f t="array" ref="L17">IFERROR(IF(7&gt;COUNTIF('DONNÉES BRUTES'!C$3:C$42,"Materials"),"",INDEX('DONNÉES BRUTES'!P$3:P$42,MATCH(LARGE(IF('DONNÉES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M17" t="str" cm="1">
        <f t="array" ref="M17">IFERROR(IF(7&gt;COUNTIF('DONNÉES BRUTES'!C$3:C$42,"Materials"),"",INDEX('DONNÉES BRUTES'!Q$3:Q$42,MATCH(LARGE(IF('DONNÉES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N17" t="str" cm="1">
        <f t="array" ref="N17">IFERROR(IF(7&gt;COUNTIF('DONNÉES BRUTES'!C$3:C$42,"Materials"),"",INDEX('DONNÉES BRUTES'!S$3:S$42,MATCH(LARGE(IF('DONNÉES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O17" t="str" cm="1">
        <f t="array" ref="O17">IFERROR(IF(7&gt;COUNTIF('DONNÉES BRUTES'!C$3:C$42,"Materials"),"",INDEX('DONNÉES BRUTES'!T$3:T$42,MATCH(LARGE(IF('DONNÉES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P17" t="str" cm="1">
        <f t="array" ref="P17">IFERROR(IF(7&gt;COUNTIF('DONNÉES BRUTES'!C$3:C$42,"Materials"),"",INDEX('DONNÉES BRUTES'!U$3:U$42,MATCH(LARGE(IF('DONNÉES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Q17" t="str" cm="1">
        <f t="array" ref="Q17">IFERROR(IF(7&gt;COUNTIF('DONNÉES BRUTES'!C$3:C$42,"Materials"),"",INDEX('DONNÉES BRUTES'!AD$3:AD$42,MATCH(LARGE(IF('DONNÉES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</row>
    <row r="18" spans="2:28" ht="15.95" customHeight="1" x14ac:dyDescent="0.25">
      <c r="B18" t="str">
        <f>IF(8&gt;COUNTIF('DONNÉES BRUTES'!C$3:C$42,"Materials"),"",8)</f>
        <v/>
      </c>
      <c r="C18" t="str" cm="1">
        <f t="array" ref="C18">IFERROR(IF(8&gt;COUNTIF('DONNÉES BRUTES'!C$3:C$42,"Materials"),"",INDEX('DONNÉES BRUTES'!A$3:A$42,MATCH(LARGE(IF('DONNÉES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D18" t="str" cm="1">
        <f t="array" ref="D18">IFERROR(IF(8&gt;COUNTIF('DONNÉES BRUTES'!C$3:C$42,"Materials"),"",INDEX('DONNÉES BRUTES'!B$3:B$42,MATCH(LARGE(IF('DONNÉES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E18" t="str" cm="1">
        <f t="array" ref="E18">IFERROR(IF(8&gt;COUNTIF('DONNÉES BRUTES'!C$3:C$42,"Materials"),"",INT(LARGE(IF('DONNÉES BRUTES'!C$3:C$42="Materials",'DONNÉES BRUTES'!AB$3:AB$42+(ROW('DONNÉES BRUTES'!A$3:A$42)-ROW('DONNÉES BRUTES'!A$3))/1000,0),8))&amp;"/100"),"—")</f>
        <v/>
      </c>
      <c r="F18" t="str" cm="1">
        <f t="array" ref="F18">IFERROR(IF(8&gt;COUNTIF('DONNÉES BRUTES'!C$3:C$42,"Materials"),"",INDEX('DONNÉES BRUTES'!Y$3:Y$42,MATCH(LARGE(IF('DONNÉES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G18" t="str" cm="1">
        <f t="array" ref="G18">IFERROR(IF(8&gt;COUNTIF('DONNÉES BRUTES'!C$3:C$42,"Materials"),"",INDEX('DONNÉES BRUTES'!Z$3:Z$42,MATCH(LARGE(IF('DONNÉES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H18" t="str" cm="1">
        <f t="array" ref="H18">IFERROR(IF(8&gt;COUNTIF('DONNÉES BRUTES'!C$3:C$42,"Materials"),"",INDEX('DONNÉES BRUTES'!AA$3:AA$42,MATCH(LARGE(IF('DONNÉES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I18" t="str" cm="1">
        <f t="array" ref="I18">IFERROR(IF(8&gt;COUNTIF('DONNÉES BRUTES'!C$3:C$42,"Materials"),"",INDEX('DONNÉES BRUTES'!M$3:M$42,MATCH(LARGE(IF('DONNÉES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J18" t="str" cm="1">
        <f t="array" ref="J18">IFERROR(IF(8&gt;COUNTIF('DONNÉES BRUTES'!C$3:C$42,"Materials"),"",INDEX('DONNÉES BRUTES'!N$3:N$42,MATCH(LARGE(IF('DONNÉES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K18" t="str" cm="1">
        <f t="array" ref="K18">IFERROR(IF(8&gt;COUNTIF('DONNÉES BRUTES'!C$3:C$42,"Materials"),"",INDEX('DONNÉES BRUTES'!O$3:O$42,MATCH(LARGE(IF('DONNÉES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L18" t="str" cm="1">
        <f t="array" ref="L18">IFERROR(IF(8&gt;COUNTIF('DONNÉES BRUTES'!C$3:C$42,"Materials"),"",INDEX('DONNÉES BRUTES'!P$3:P$42,MATCH(LARGE(IF('DONNÉES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M18" t="str" cm="1">
        <f t="array" ref="M18">IFERROR(IF(8&gt;COUNTIF('DONNÉES BRUTES'!C$3:C$42,"Materials"),"",INDEX('DONNÉES BRUTES'!Q$3:Q$42,MATCH(LARGE(IF('DONNÉES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N18" t="str" cm="1">
        <f t="array" ref="N18">IFERROR(IF(8&gt;COUNTIF('DONNÉES BRUTES'!C$3:C$42,"Materials"),"",INDEX('DONNÉES BRUTES'!S$3:S$42,MATCH(LARGE(IF('DONNÉES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O18" t="str" cm="1">
        <f t="array" ref="O18">IFERROR(IF(8&gt;COUNTIF('DONNÉES BRUTES'!C$3:C$42,"Materials"),"",INDEX('DONNÉES BRUTES'!T$3:T$42,MATCH(LARGE(IF('DONNÉES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P18" t="str" cm="1">
        <f t="array" ref="P18">IFERROR(IF(8&gt;COUNTIF('DONNÉES BRUTES'!C$3:C$42,"Materials"),"",INDEX('DONNÉES BRUTES'!U$3:U$42,MATCH(LARGE(IF('DONNÉES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Q18" t="str" cm="1">
        <f t="array" ref="Q18">IFERROR(IF(8&gt;COUNTIF('DONNÉES BRUTES'!C$3:C$42,"Materials"),"",INDEX('DONNÉES BRUTES'!AD$3:AD$42,MATCH(LARGE(IF('DONNÉES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</row>
    <row r="19" spans="2:28" ht="15.95" customHeight="1" x14ac:dyDescent="0.25">
      <c r="B19" t="str">
        <f>IF(9&gt;COUNTIF('DONNÉES BRUTES'!C$3:C$42,"Materials"),"",9)</f>
        <v/>
      </c>
      <c r="C19" t="str" cm="1">
        <f t="array" ref="C19">IFERROR(IF(9&gt;COUNTIF('DONNÉES BRUTES'!C$3:C$42,"Materials"),"",INDEX('DONNÉES BRUTES'!A$3:A$42,MATCH(LARGE(IF('DONNÉES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D19" t="str" cm="1">
        <f t="array" ref="D19">IFERROR(IF(9&gt;COUNTIF('DONNÉES BRUTES'!C$3:C$42,"Materials"),"",INDEX('DONNÉES BRUTES'!B$3:B$42,MATCH(LARGE(IF('DONNÉES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E19" t="str" cm="1">
        <f t="array" ref="E19">IFERROR(IF(9&gt;COUNTIF('DONNÉES BRUTES'!C$3:C$42,"Materials"),"",INT(LARGE(IF('DONNÉES BRUTES'!C$3:C$42="Materials",'DONNÉES BRUTES'!AB$3:AB$42+(ROW('DONNÉES BRUTES'!A$3:A$42)-ROW('DONNÉES BRUTES'!A$3))/1000,0),9))&amp;"/100"),"—")</f>
        <v/>
      </c>
      <c r="F19" t="str" cm="1">
        <f t="array" ref="F19">IFERROR(IF(9&gt;COUNTIF('DONNÉES BRUTES'!C$3:C$42,"Materials"),"",INDEX('DONNÉES BRUTES'!Y$3:Y$42,MATCH(LARGE(IF('DONNÉES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G19" t="str" cm="1">
        <f t="array" ref="G19">IFERROR(IF(9&gt;COUNTIF('DONNÉES BRUTES'!C$3:C$42,"Materials"),"",INDEX('DONNÉES BRUTES'!Z$3:Z$42,MATCH(LARGE(IF('DONNÉES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H19" t="str" cm="1">
        <f t="array" ref="H19">IFERROR(IF(9&gt;COUNTIF('DONNÉES BRUTES'!C$3:C$42,"Materials"),"",INDEX('DONNÉES BRUTES'!AA$3:AA$42,MATCH(LARGE(IF('DONNÉES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I19" t="str" cm="1">
        <f t="array" ref="I19">IFERROR(IF(9&gt;COUNTIF('DONNÉES BRUTES'!C$3:C$42,"Materials"),"",INDEX('DONNÉES BRUTES'!M$3:M$42,MATCH(LARGE(IF('DONNÉES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J19" t="str" cm="1">
        <f t="array" ref="J19">IFERROR(IF(9&gt;COUNTIF('DONNÉES BRUTES'!C$3:C$42,"Materials"),"",INDEX('DONNÉES BRUTES'!N$3:N$42,MATCH(LARGE(IF('DONNÉES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K19" t="str" cm="1">
        <f t="array" ref="K19">IFERROR(IF(9&gt;COUNTIF('DONNÉES BRUTES'!C$3:C$42,"Materials"),"",INDEX('DONNÉES BRUTES'!O$3:O$42,MATCH(LARGE(IF('DONNÉES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L19" t="str" cm="1">
        <f t="array" ref="L19">IFERROR(IF(9&gt;COUNTIF('DONNÉES BRUTES'!C$3:C$42,"Materials"),"",INDEX('DONNÉES BRUTES'!P$3:P$42,MATCH(LARGE(IF('DONNÉES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M19" t="str" cm="1">
        <f t="array" ref="M19">IFERROR(IF(9&gt;COUNTIF('DONNÉES BRUTES'!C$3:C$42,"Materials"),"",INDEX('DONNÉES BRUTES'!Q$3:Q$42,MATCH(LARGE(IF('DONNÉES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N19" t="str" cm="1">
        <f t="array" ref="N19">IFERROR(IF(9&gt;COUNTIF('DONNÉES BRUTES'!C$3:C$42,"Materials"),"",INDEX('DONNÉES BRUTES'!S$3:S$42,MATCH(LARGE(IF('DONNÉES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O19" t="str" cm="1">
        <f t="array" ref="O19">IFERROR(IF(9&gt;COUNTIF('DONNÉES BRUTES'!C$3:C$42,"Materials"),"",INDEX('DONNÉES BRUTES'!T$3:T$42,MATCH(LARGE(IF('DONNÉES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P19" t="str" cm="1">
        <f t="array" ref="P19">IFERROR(IF(9&gt;COUNTIF('DONNÉES BRUTES'!C$3:C$42,"Materials"),"",INDEX('DONNÉES BRUTES'!U$3:U$42,MATCH(LARGE(IF('DONNÉES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Q19" t="str" cm="1">
        <f t="array" ref="Q19">IFERROR(IF(9&gt;COUNTIF('DONNÉES BRUTES'!C$3:C$42,"Materials"),"",INDEX('DONNÉES BRUTES'!AD$3:AD$42,MATCH(LARGE(IF('DONNÉES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</row>
    <row r="20" spans="2:28" ht="15.95" customHeight="1" x14ac:dyDescent="0.25">
      <c r="B20" t="str">
        <f>IF(10&gt;COUNTIF('DONNÉES BRUTES'!C$3:C$42,"Materials"),"",10)</f>
        <v/>
      </c>
      <c r="C20" t="str" cm="1">
        <f t="array" ref="C20">IFERROR(IF(10&gt;COUNTIF('DONNÉES BRUTES'!C$3:C$42,"Materials"),"",INDEX('DONNÉES BRUTES'!A$3:A$42,MATCH(LARGE(IF('DONNÉES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D20" t="str" cm="1">
        <f t="array" ref="D20">IFERROR(IF(10&gt;COUNTIF('DONNÉES BRUTES'!C$3:C$42,"Materials"),"",INDEX('DONNÉES BRUTES'!B$3:B$42,MATCH(LARGE(IF('DONNÉES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E20" t="str" cm="1">
        <f t="array" ref="E20">IFERROR(IF(10&gt;COUNTIF('DONNÉES BRUTES'!C$3:C$42,"Materials"),"",INT(LARGE(IF('DONNÉES BRUTES'!C$3:C$42="Materials",'DONNÉES BRUTES'!AB$3:AB$42+(ROW('DONNÉES BRUTES'!A$3:A$42)-ROW('DONNÉES BRUTES'!A$3))/1000,0),10))&amp;"/100"),"—")</f>
        <v/>
      </c>
      <c r="F20" t="str" cm="1">
        <f t="array" ref="F20">IFERROR(IF(10&gt;COUNTIF('DONNÉES BRUTES'!C$3:C$42,"Materials"),"",INDEX('DONNÉES BRUTES'!Y$3:Y$42,MATCH(LARGE(IF('DONNÉES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G20" t="str" cm="1">
        <f t="array" ref="G20">IFERROR(IF(10&gt;COUNTIF('DONNÉES BRUTES'!C$3:C$42,"Materials"),"",INDEX('DONNÉES BRUTES'!Z$3:Z$42,MATCH(LARGE(IF('DONNÉES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H20" t="str" cm="1">
        <f t="array" ref="H20">IFERROR(IF(10&gt;COUNTIF('DONNÉES BRUTES'!C$3:C$42,"Materials"),"",INDEX('DONNÉES BRUTES'!AA$3:AA$42,MATCH(LARGE(IF('DONNÉES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I20" t="str" cm="1">
        <f t="array" ref="I20">IFERROR(IF(10&gt;COUNTIF('DONNÉES BRUTES'!C$3:C$42,"Materials"),"",INDEX('DONNÉES BRUTES'!M$3:M$42,MATCH(LARGE(IF('DONNÉES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J20" t="str" cm="1">
        <f t="array" ref="J20">IFERROR(IF(10&gt;COUNTIF('DONNÉES BRUTES'!C$3:C$42,"Materials"),"",INDEX('DONNÉES BRUTES'!N$3:N$42,MATCH(LARGE(IF('DONNÉES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K20" t="str" cm="1">
        <f t="array" ref="K20">IFERROR(IF(10&gt;COUNTIF('DONNÉES BRUTES'!C$3:C$42,"Materials"),"",INDEX('DONNÉES BRUTES'!O$3:O$42,MATCH(LARGE(IF('DONNÉES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L20" t="str" cm="1">
        <f t="array" ref="L20">IFERROR(IF(10&gt;COUNTIF('DONNÉES BRUTES'!C$3:C$42,"Materials"),"",INDEX('DONNÉES BRUTES'!P$3:P$42,MATCH(LARGE(IF('DONNÉES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M20" t="str" cm="1">
        <f t="array" ref="M20">IFERROR(IF(10&gt;COUNTIF('DONNÉES BRUTES'!C$3:C$42,"Materials"),"",INDEX('DONNÉES BRUTES'!Q$3:Q$42,MATCH(LARGE(IF('DONNÉES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N20" t="str" cm="1">
        <f t="array" ref="N20">IFERROR(IF(10&gt;COUNTIF('DONNÉES BRUTES'!C$3:C$42,"Materials"),"",INDEX('DONNÉES BRUTES'!S$3:S$42,MATCH(LARGE(IF('DONNÉES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O20" t="str" cm="1">
        <f t="array" ref="O20">IFERROR(IF(10&gt;COUNTIF('DONNÉES BRUTES'!C$3:C$42,"Materials"),"",INDEX('DONNÉES BRUTES'!T$3:T$42,MATCH(LARGE(IF('DONNÉES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P20" t="str" cm="1">
        <f t="array" ref="P20">IFERROR(IF(10&gt;COUNTIF('DONNÉES BRUTES'!C$3:C$42,"Materials"),"",INDEX('DONNÉES BRUTES'!U$3:U$42,MATCH(LARGE(IF('DONNÉES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Q20" t="str" cm="1">
        <f t="array" ref="Q20">IFERROR(IF(10&gt;COUNTIF('DONNÉES BRUTES'!C$3:C$42,"Materials"),"",INDEX('DONNÉES BRUTES'!AD$3:AD$42,MATCH(LARGE(IF('DONNÉES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</row>
    <row r="21" spans="2:28" ht="15.95" customHeight="1" x14ac:dyDescent="0.25">
      <c r="B21" t="str">
        <f>IF(11&gt;COUNTIF('DONNÉES BRUTES'!C$3:C$42,"Materials"),"",11)</f>
        <v/>
      </c>
      <c r="C21" t="str" cm="1">
        <f t="array" ref="C21">IFERROR(IF(11&gt;COUNTIF('DONNÉES BRUTES'!C$3:C$42,"Materials"),"",INDEX('DONNÉES BRUTES'!A$3:A$42,MATCH(LARGE(IF('DONNÉES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D21" t="str" cm="1">
        <f t="array" ref="D21">IFERROR(IF(11&gt;COUNTIF('DONNÉES BRUTES'!C$3:C$42,"Materials"),"",INDEX('DONNÉES BRUTES'!B$3:B$42,MATCH(LARGE(IF('DONNÉES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E21" t="str" cm="1">
        <f t="array" ref="E21">IFERROR(IF(11&gt;COUNTIF('DONNÉES BRUTES'!C$3:C$42,"Materials"),"",INT(LARGE(IF('DONNÉES BRUTES'!C$3:C$42="Materials",'DONNÉES BRUTES'!AB$3:AB$42+(ROW('DONNÉES BRUTES'!A$3:A$42)-ROW('DONNÉES BRUTES'!A$3))/1000,0),11))&amp;"/100"),"—")</f>
        <v/>
      </c>
      <c r="F21" t="str" cm="1">
        <f t="array" ref="F21">IFERROR(IF(11&gt;COUNTIF('DONNÉES BRUTES'!C$3:C$42,"Materials"),"",INDEX('DONNÉES BRUTES'!Y$3:Y$42,MATCH(LARGE(IF('DONNÉES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G21" t="str" cm="1">
        <f t="array" ref="G21">IFERROR(IF(11&gt;COUNTIF('DONNÉES BRUTES'!C$3:C$42,"Materials"),"",INDEX('DONNÉES BRUTES'!Z$3:Z$42,MATCH(LARGE(IF('DONNÉES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H21" t="str" cm="1">
        <f t="array" ref="H21">IFERROR(IF(11&gt;COUNTIF('DONNÉES BRUTES'!C$3:C$42,"Materials"),"",INDEX('DONNÉES BRUTES'!AA$3:AA$42,MATCH(LARGE(IF('DONNÉES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I21" t="str" cm="1">
        <f t="array" ref="I21">IFERROR(IF(11&gt;COUNTIF('DONNÉES BRUTES'!C$3:C$42,"Materials"),"",INDEX('DONNÉES BRUTES'!M$3:M$42,MATCH(LARGE(IF('DONNÉES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J21" t="str" cm="1">
        <f t="array" ref="J21">IFERROR(IF(11&gt;COUNTIF('DONNÉES BRUTES'!C$3:C$42,"Materials"),"",INDEX('DONNÉES BRUTES'!N$3:N$42,MATCH(LARGE(IF('DONNÉES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K21" t="str" cm="1">
        <f t="array" ref="K21">IFERROR(IF(11&gt;COUNTIF('DONNÉES BRUTES'!C$3:C$42,"Materials"),"",INDEX('DONNÉES BRUTES'!O$3:O$42,MATCH(LARGE(IF('DONNÉES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L21" t="str" cm="1">
        <f t="array" ref="L21">IFERROR(IF(11&gt;COUNTIF('DONNÉES BRUTES'!C$3:C$42,"Materials"),"",INDEX('DONNÉES BRUTES'!P$3:P$42,MATCH(LARGE(IF('DONNÉES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M21" t="str" cm="1">
        <f t="array" ref="M21">IFERROR(IF(11&gt;COUNTIF('DONNÉES BRUTES'!C$3:C$42,"Materials"),"",INDEX('DONNÉES BRUTES'!Q$3:Q$42,MATCH(LARGE(IF('DONNÉES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N21" t="str" cm="1">
        <f t="array" ref="N21">IFERROR(IF(11&gt;COUNTIF('DONNÉES BRUTES'!C$3:C$42,"Materials"),"",INDEX('DONNÉES BRUTES'!S$3:S$42,MATCH(LARGE(IF('DONNÉES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O21" t="str" cm="1">
        <f t="array" ref="O21">IFERROR(IF(11&gt;COUNTIF('DONNÉES BRUTES'!C$3:C$42,"Materials"),"",INDEX('DONNÉES BRUTES'!T$3:T$42,MATCH(LARGE(IF('DONNÉES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P21" t="str" cm="1">
        <f t="array" ref="P21">IFERROR(IF(11&gt;COUNTIF('DONNÉES BRUTES'!C$3:C$42,"Materials"),"",INDEX('DONNÉES BRUTES'!U$3:U$42,MATCH(LARGE(IF('DONNÉES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Q21" t="str" cm="1">
        <f t="array" ref="Q21">IFERROR(IF(11&gt;COUNTIF('DONNÉES BRUTES'!C$3:C$42,"Materials"),"",INDEX('DONNÉES BRUTES'!AD$3:AD$42,MATCH(LARGE(IF('DONNÉES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</row>
    <row r="22" spans="2:28" ht="15.95" customHeight="1" x14ac:dyDescent="0.25">
      <c r="B22" t="str">
        <f>IF(12&gt;COUNTIF('DONNÉES BRUTES'!C$3:C$42,"Materials"),"",12)</f>
        <v/>
      </c>
      <c r="C22" t="str" cm="1">
        <f t="array" ref="C22">IFERROR(IF(12&gt;COUNTIF('DONNÉES BRUTES'!C$3:C$42,"Materials"),"",INDEX('DONNÉES BRUTES'!A$3:A$42,MATCH(LARGE(IF('DONNÉES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D22" t="str" cm="1">
        <f t="array" ref="D22">IFERROR(IF(12&gt;COUNTIF('DONNÉES BRUTES'!C$3:C$42,"Materials"),"",INDEX('DONNÉES BRUTES'!B$3:B$42,MATCH(LARGE(IF('DONNÉES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E22" t="str" cm="1">
        <f t="array" ref="E22">IFERROR(IF(12&gt;COUNTIF('DONNÉES BRUTES'!C$3:C$42,"Materials"),"",INT(LARGE(IF('DONNÉES BRUTES'!C$3:C$42="Materials",'DONNÉES BRUTES'!AB$3:AB$42+(ROW('DONNÉES BRUTES'!A$3:A$42)-ROW('DONNÉES BRUTES'!A$3))/1000,0),12))&amp;"/100"),"—")</f>
        <v/>
      </c>
      <c r="F22" t="str" cm="1">
        <f t="array" ref="F22">IFERROR(IF(12&gt;COUNTIF('DONNÉES BRUTES'!C$3:C$42,"Materials"),"",INDEX('DONNÉES BRUTES'!Y$3:Y$42,MATCH(LARGE(IF('DONNÉES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G22" t="str" cm="1">
        <f t="array" ref="G22">IFERROR(IF(12&gt;COUNTIF('DONNÉES BRUTES'!C$3:C$42,"Materials"),"",INDEX('DONNÉES BRUTES'!Z$3:Z$42,MATCH(LARGE(IF('DONNÉES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H22" t="str" cm="1">
        <f t="array" ref="H22">IFERROR(IF(12&gt;COUNTIF('DONNÉES BRUTES'!C$3:C$42,"Materials"),"",INDEX('DONNÉES BRUTES'!AA$3:AA$42,MATCH(LARGE(IF('DONNÉES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I22" t="str" cm="1">
        <f t="array" ref="I22">IFERROR(IF(12&gt;COUNTIF('DONNÉES BRUTES'!C$3:C$42,"Materials"),"",INDEX('DONNÉES BRUTES'!M$3:M$42,MATCH(LARGE(IF('DONNÉES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J22" t="str" cm="1">
        <f t="array" ref="J22">IFERROR(IF(12&gt;COUNTIF('DONNÉES BRUTES'!C$3:C$42,"Materials"),"",INDEX('DONNÉES BRUTES'!N$3:N$42,MATCH(LARGE(IF('DONNÉES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K22" t="str" cm="1">
        <f t="array" ref="K22">IFERROR(IF(12&gt;COUNTIF('DONNÉES BRUTES'!C$3:C$42,"Materials"),"",INDEX('DONNÉES BRUTES'!O$3:O$42,MATCH(LARGE(IF('DONNÉES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L22" t="str" cm="1">
        <f t="array" ref="L22">IFERROR(IF(12&gt;COUNTIF('DONNÉES BRUTES'!C$3:C$42,"Materials"),"",INDEX('DONNÉES BRUTES'!P$3:P$42,MATCH(LARGE(IF('DONNÉES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M22" t="str" cm="1">
        <f t="array" ref="M22">IFERROR(IF(12&gt;COUNTIF('DONNÉES BRUTES'!C$3:C$42,"Materials"),"",INDEX('DONNÉES BRUTES'!Q$3:Q$42,MATCH(LARGE(IF('DONNÉES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N22" t="str" cm="1">
        <f t="array" ref="N22">IFERROR(IF(12&gt;COUNTIF('DONNÉES BRUTES'!C$3:C$42,"Materials"),"",INDEX('DONNÉES BRUTES'!S$3:S$42,MATCH(LARGE(IF('DONNÉES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O22" t="str" cm="1">
        <f t="array" ref="O22">IFERROR(IF(12&gt;COUNTIF('DONNÉES BRUTES'!C$3:C$42,"Materials"),"",INDEX('DONNÉES BRUTES'!T$3:T$42,MATCH(LARGE(IF('DONNÉES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P22" t="str" cm="1">
        <f t="array" ref="P22">IFERROR(IF(12&gt;COUNTIF('DONNÉES BRUTES'!C$3:C$42,"Materials"),"",INDEX('DONNÉES BRUTES'!U$3:U$42,MATCH(LARGE(IF('DONNÉES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Q22" t="str" cm="1">
        <f t="array" ref="Q22">IFERROR(IF(12&gt;COUNTIF('DONNÉES BRUTES'!C$3:C$42,"Materials"),"",INDEX('DONNÉES BRUTES'!AD$3:AD$42,MATCH(LARGE(IF('DONNÉES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</row>
    <row r="23" spans="2:28" ht="15.95" customHeight="1" x14ac:dyDescent="0.25">
      <c r="B23" t="str">
        <f>IF(13&gt;COUNTIF('DONNÉES BRUTES'!C$3:C$42,"Materials"),"",13)</f>
        <v/>
      </c>
      <c r="C23" t="str" cm="1">
        <f t="array" ref="C23">IFERROR(IF(13&gt;COUNTIF('DONNÉES BRUTES'!C$3:C$42,"Materials"),"",INDEX('DONNÉES BRUTES'!A$3:A$42,MATCH(LARGE(IF('DONNÉES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D23" t="str" cm="1">
        <f t="array" ref="D23">IFERROR(IF(13&gt;COUNTIF('DONNÉES BRUTES'!C$3:C$42,"Materials"),"",INDEX('DONNÉES BRUTES'!B$3:B$42,MATCH(LARGE(IF('DONNÉES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E23" t="str" cm="1">
        <f t="array" ref="E23">IFERROR(IF(13&gt;COUNTIF('DONNÉES BRUTES'!C$3:C$42,"Materials"),"",INT(LARGE(IF('DONNÉES BRUTES'!C$3:C$42="Materials",'DONNÉES BRUTES'!AB$3:AB$42+(ROW('DONNÉES BRUTES'!A$3:A$42)-ROW('DONNÉES BRUTES'!A$3))/1000,0),13))&amp;"/100"),"—")</f>
        <v/>
      </c>
      <c r="F23" t="str" cm="1">
        <f t="array" ref="F23">IFERROR(IF(13&gt;COUNTIF('DONNÉES BRUTES'!C$3:C$42,"Materials"),"",INDEX('DONNÉES BRUTES'!Y$3:Y$42,MATCH(LARGE(IF('DONNÉES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G23" t="str" cm="1">
        <f t="array" ref="G23">IFERROR(IF(13&gt;COUNTIF('DONNÉES BRUTES'!C$3:C$42,"Materials"),"",INDEX('DONNÉES BRUTES'!Z$3:Z$42,MATCH(LARGE(IF('DONNÉES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H23" t="str" cm="1">
        <f t="array" ref="H23">IFERROR(IF(13&gt;COUNTIF('DONNÉES BRUTES'!C$3:C$42,"Materials"),"",INDEX('DONNÉES BRUTES'!AA$3:AA$42,MATCH(LARGE(IF('DONNÉES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I23" t="str" cm="1">
        <f t="array" ref="I23">IFERROR(IF(13&gt;COUNTIF('DONNÉES BRUTES'!C$3:C$42,"Materials"),"",INDEX('DONNÉES BRUTES'!M$3:M$42,MATCH(LARGE(IF('DONNÉES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J23" t="str" cm="1">
        <f t="array" ref="J23">IFERROR(IF(13&gt;COUNTIF('DONNÉES BRUTES'!C$3:C$42,"Materials"),"",INDEX('DONNÉES BRUTES'!N$3:N$42,MATCH(LARGE(IF('DONNÉES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K23" t="str" cm="1">
        <f t="array" ref="K23">IFERROR(IF(13&gt;COUNTIF('DONNÉES BRUTES'!C$3:C$42,"Materials"),"",INDEX('DONNÉES BRUTES'!O$3:O$42,MATCH(LARGE(IF('DONNÉES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L23" t="str" cm="1">
        <f t="array" ref="L23">IFERROR(IF(13&gt;COUNTIF('DONNÉES BRUTES'!C$3:C$42,"Materials"),"",INDEX('DONNÉES BRUTES'!P$3:P$42,MATCH(LARGE(IF('DONNÉES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M23" t="str" cm="1">
        <f t="array" ref="M23">IFERROR(IF(13&gt;COUNTIF('DONNÉES BRUTES'!C$3:C$42,"Materials"),"",INDEX('DONNÉES BRUTES'!Q$3:Q$42,MATCH(LARGE(IF('DONNÉES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N23" t="str" cm="1">
        <f t="array" ref="N23">IFERROR(IF(13&gt;COUNTIF('DONNÉES BRUTES'!C$3:C$42,"Materials"),"",INDEX('DONNÉES BRUTES'!S$3:S$42,MATCH(LARGE(IF('DONNÉES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O23" t="str" cm="1">
        <f t="array" ref="O23">IFERROR(IF(13&gt;COUNTIF('DONNÉES BRUTES'!C$3:C$42,"Materials"),"",INDEX('DONNÉES BRUTES'!T$3:T$42,MATCH(LARGE(IF('DONNÉES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P23" t="str" cm="1">
        <f t="array" ref="P23">IFERROR(IF(13&gt;COUNTIF('DONNÉES BRUTES'!C$3:C$42,"Materials"),"",INDEX('DONNÉES BRUTES'!U$3:U$42,MATCH(LARGE(IF('DONNÉES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Q23" t="str" cm="1">
        <f t="array" ref="Q23">IFERROR(IF(13&gt;COUNTIF('DONNÉES BRUTES'!C$3:C$42,"Materials"),"",INDEX('DONNÉES BRUTES'!AD$3:AD$42,MATCH(LARGE(IF('DONNÉES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</row>
    <row r="24" spans="2:28" ht="15.95" customHeight="1" x14ac:dyDescent="0.25">
      <c r="B24" t="str">
        <f>IF(14&gt;COUNTIF('DONNÉES BRUTES'!C$3:C$42,"Materials"),"",14)</f>
        <v/>
      </c>
      <c r="C24" t="str" cm="1">
        <f t="array" ref="C24">IFERROR(IF(14&gt;COUNTIF('DONNÉES BRUTES'!C$3:C$42,"Materials"),"",INDEX('DONNÉES BRUTES'!A$3:A$42,MATCH(LARGE(IF('DONNÉES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D24" t="str" cm="1">
        <f t="array" ref="D24">IFERROR(IF(14&gt;COUNTIF('DONNÉES BRUTES'!C$3:C$42,"Materials"),"",INDEX('DONNÉES BRUTES'!B$3:B$42,MATCH(LARGE(IF('DONNÉES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E24" t="str" cm="1">
        <f t="array" ref="E24">IFERROR(IF(14&gt;COUNTIF('DONNÉES BRUTES'!C$3:C$42,"Materials"),"",INT(LARGE(IF('DONNÉES BRUTES'!C$3:C$42="Materials",'DONNÉES BRUTES'!AB$3:AB$42+(ROW('DONNÉES BRUTES'!A$3:A$42)-ROW('DONNÉES BRUTES'!A$3))/1000,0),14))&amp;"/100"),"—")</f>
        <v/>
      </c>
      <c r="F24" t="str" cm="1">
        <f t="array" ref="F24">IFERROR(IF(14&gt;COUNTIF('DONNÉES BRUTES'!C$3:C$42,"Materials"),"",INDEX('DONNÉES BRUTES'!Y$3:Y$42,MATCH(LARGE(IF('DONNÉES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G24" t="str" cm="1">
        <f t="array" ref="G24">IFERROR(IF(14&gt;COUNTIF('DONNÉES BRUTES'!C$3:C$42,"Materials"),"",INDEX('DONNÉES BRUTES'!Z$3:Z$42,MATCH(LARGE(IF('DONNÉES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H24" t="str" cm="1">
        <f t="array" ref="H24">IFERROR(IF(14&gt;COUNTIF('DONNÉES BRUTES'!C$3:C$42,"Materials"),"",INDEX('DONNÉES BRUTES'!AA$3:AA$42,MATCH(LARGE(IF('DONNÉES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I24" t="str" cm="1">
        <f t="array" ref="I24">IFERROR(IF(14&gt;COUNTIF('DONNÉES BRUTES'!C$3:C$42,"Materials"),"",INDEX('DONNÉES BRUTES'!M$3:M$42,MATCH(LARGE(IF('DONNÉES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J24" t="str" cm="1">
        <f t="array" ref="J24">IFERROR(IF(14&gt;COUNTIF('DONNÉES BRUTES'!C$3:C$42,"Materials"),"",INDEX('DONNÉES BRUTES'!N$3:N$42,MATCH(LARGE(IF('DONNÉES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K24" t="str" cm="1">
        <f t="array" ref="K24">IFERROR(IF(14&gt;COUNTIF('DONNÉES BRUTES'!C$3:C$42,"Materials"),"",INDEX('DONNÉES BRUTES'!O$3:O$42,MATCH(LARGE(IF('DONNÉES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L24" t="str" cm="1">
        <f t="array" ref="L24">IFERROR(IF(14&gt;COUNTIF('DONNÉES BRUTES'!C$3:C$42,"Materials"),"",INDEX('DONNÉES BRUTES'!P$3:P$42,MATCH(LARGE(IF('DONNÉES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M24" t="str" cm="1">
        <f t="array" ref="M24">IFERROR(IF(14&gt;COUNTIF('DONNÉES BRUTES'!C$3:C$42,"Materials"),"",INDEX('DONNÉES BRUTES'!Q$3:Q$42,MATCH(LARGE(IF('DONNÉES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N24" t="str" cm="1">
        <f t="array" ref="N24">IFERROR(IF(14&gt;COUNTIF('DONNÉES BRUTES'!C$3:C$42,"Materials"),"",INDEX('DONNÉES BRUTES'!S$3:S$42,MATCH(LARGE(IF('DONNÉES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O24" t="str" cm="1">
        <f t="array" ref="O24">IFERROR(IF(14&gt;COUNTIF('DONNÉES BRUTES'!C$3:C$42,"Materials"),"",INDEX('DONNÉES BRUTES'!T$3:T$42,MATCH(LARGE(IF('DONNÉES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P24" t="str" cm="1">
        <f t="array" ref="P24">IFERROR(IF(14&gt;COUNTIF('DONNÉES BRUTES'!C$3:C$42,"Materials"),"",INDEX('DONNÉES BRUTES'!U$3:U$42,MATCH(LARGE(IF('DONNÉES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Q24" t="str" cm="1">
        <f t="array" ref="Q24">IFERROR(IF(14&gt;COUNTIF('DONNÉES BRUTES'!C$3:C$42,"Materials"),"",INDEX('DONNÉES BRUTES'!AD$3:AD$42,MATCH(LARGE(IF('DONNÉES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</row>
    <row r="25" spans="2:28" ht="15.95" customHeight="1" x14ac:dyDescent="0.25">
      <c r="B25" t="str">
        <f>IF(15&gt;COUNTIF('DONNÉES BRUTES'!C$3:C$42,"Materials"),"",15)</f>
        <v/>
      </c>
      <c r="C25" t="str" cm="1">
        <f t="array" ref="C25">IFERROR(IF(15&gt;COUNTIF('DONNÉES BRUTES'!C$3:C$42,"Materials"),"",INDEX('DONNÉES BRUTES'!A$3:A$42,MATCH(LARGE(IF('DONNÉES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D25" t="str" cm="1">
        <f t="array" ref="D25">IFERROR(IF(15&gt;COUNTIF('DONNÉES BRUTES'!C$3:C$42,"Materials"),"",INDEX('DONNÉES BRUTES'!B$3:B$42,MATCH(LARGE(IF('DONNÉES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E25" t="str" cm="1">
        <f t="array" ref="E25">IFERROR(IF(15&gt;COUNTIF('DONNÉES BRUTES'!C$3:C$42,"Materials"),"",INT(LARGE(IF('DONNÉES BRUTES'!C$3:C$42="Materials",'DONNÉES BRUTES'!AB$3:AB$42+(ROW('DONNÉES BRUTES'!A$3:A$42)-ROW('DONNÉES BRUTES'!A$3))/1000,0),15))&amp;"/100"),"—")</f>
        <v/>
      </c>
      <c r="F25" t="str" cm="1">
        <f t="array" ref="F25">IFERROR(IF(15&gt;COUNTIF('DONNÉES BRUTES'!C$3:C$42,"Materials"),"",INDEX('DONNÉES BRUTES'!Y$3:Y$42,MATCH(LARGE(IF('DONNÉES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G25" t="str" cm="1">
        <f t="array" ref="G25">IFERROR(IF(15&gt;COUNTIF('DONNÉES BRUTES'!C$3:C$42,"Materials"),"",INDEX('DONNÉES BRUTES'!Z$3:Z$42,MATCH(LARGE(IF('DONNÉES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H25" t="str" cm="1">
        <f t="array" ref="H25">IFERROR(IF(15&gt;COUNTIF('DONNÉES BRUTES'!C$3:C$42,"Materials"),"",INDEX('DONNÉES BRUTES'!AA$3:AA$42,MATCH(LARGE(IF('DONNÉES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I25" t="str" cm="1">
        <f t="array" ref="I25">IFERROR(IF(15&gt;COUNTIF('DONNÉES BRUTES'!C$3:C$42,"Materials"),"",INDEX('DONNÉES BRUTES'!M$3:M$42,MATCH(LARGE(IF('DONNÉES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J25" t="str" cm="1">
        <f t="array" ref="J25">IFERROR(IF(15&gt;COUNTIF('DONNÉES BRUTES'!C$3:C$42,"Materials"),"",INDEX('DONNÉES BRUTES'!N$3:N$42,MATCH(LARGE(IF('DONNÉES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K25" t="str" cm="1">
        <f t="array" ref="K25">IFERROR(IF(15&gt;COUNTIF('DONNÉES BRUTES'!C$3:C$42,"Materials"),"",INDEX('DONNÉES BRUTES'!O$3:O$42,MATCH(LARGE(IF('DONNÉES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L25" t="str" cm="1">
        <f t="array" ref="L25">IFERROR(IF(15&gt;COUNTIF('DONNÉES BRUTES'!C$3:C$42,"Materials"),"",INDEX('DONNÉES BRUTES'!P$3:P$42,MATCH(LARGE(IF('DONNÉES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M25" t="str" cm="1">
        <f t="array" ref="M25">IFERROR(IF(15&gt;COUNTIF('DONNÉES BRUTES'!C$3:C$42,"Materials"),"",INDEX('DONNÉES BRUTES'!Q$3:Q$42,MATCH(LARGE(IF('DONNÉES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N25" t="str" cm="1">
        <f t="array" ref="N25">IFERROR(IF(15&gt;COUNTIF('DONNÉES BRUTES'!C$3:C$42,"Materials"),"",INDEX('DONNÉES BRUTES'!S$3:S$42,MATCH(LARGE(IF('DONNÉES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O25" t="str" cm="1">
        <f t="array" ref="O25">IFERROR(IF(15&gt;COUNTIF('DONNÉES BRUTES'!C$3:C$42,"Materials"),"",INDEX('DONNÉES BRUTES'!T$3:T$42,MATCH(LARGE(IF('DONNÉES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P25" t="str" cm="1">
        <f t="array" ref="P25">IFERROR(IF(15&gt;COUNTIF('DONNÉES BRUTES'!C$3:C$42,"Materials"),"",INDEX('DONNÉES BRUTES'!U$3:U$42,MATCH(LARGE(IF('DONNÉES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Q25" t="str" cm="1">
        <f t="array" ref="Q25">IFERROR(IF(15&gt;COUNTIF('DONNÉES BRUTES'!C$3:C$42,"Materials"),"",INDEX('DONNÉES BRUTES'!AD$3:AD$42,MATCH(LARGE(IF('DONNÉES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</row>
    <row r="26" spans="2:28" ht="15.95" customHeight="1" x14ac:dyDescent="0.25"/>
    <row r="27" spans="2:28" ht="15.95" customHeight="1" x14ac:dyDescent="0.25"/>
    <row r="28" spans="2:28" ht="15.95" customHeight="1" x14ac:dyDescent="0.25">
      <c r="S28" s="235" t="s">
        <v>4</v>
      </c>
      <c r="T28" s="235" t="s">
        <v>5</v>
      </c>
      <c r="U28" t="s">
        <v>43</v>
      </c>
      <c r="V28" t="s">
        <v>44</v>
      </c>
      <c r="W28" s="235" t="s">
        <v>45</v>
      </c>
      <c r="X28" s="235"/>
      <c r="Y28" s="235" t="s">
        <v>4</v>
      </c>
      <c r="Z28" s="235" t="s">
        <v>43</v>
      </c>
      <c r="AA28" s="235" t="s">
        <v>44</v>
      </c>
      <c r="AB28" s="235" t="s">
        <v>45</v>
      </c>
    </row>
    <row r="29" spans="2:28" ht="15.95" customHeight="1" x14ac:dyDescent="0.25">
      <c r="S29" s="235" t="str">
        <f>IF(D11="","",LEFT(D11,14))</f>
        <v xml:space="preserve">L'Air Liquide </v>
      </c>
      <c r="T29" s="235">
        <f>IF(E11="","",IFERROR(VALUE(LEFT(E11,FIND("/",E11)-1)),0))</f>
        <v>74</v>
      </c>
      <c r="U29">
        <f t="shared" ref="U29:W30" si="0">IF(ISNUMBER(F11),F11,0)</f>
        <v>55</v>
      </c>
      <c r="V29">
        <f t="shared" si="0"/>
        <v>77</v>
      </c>
      <c r="W29" s="235">
        <f t="shared" si="0"/>
        <v>90</v>
      </c>
      <c r="X29" s="235">
        <f t="shared" ref="X29:Z30" si="1">IF(ISNUMBER(F11),F11,"")</f>
        <v>55</v>
      </c>
      <c r="Y29" s="235">
        <f t="shared" si="1"/>
        <v>77</v>
      </c>
      <c r="Z29" s="235">
        <f t="shared" si="1"/>
        <v>90</v>
      </c>
      <c r="AA29" s="235">
        <v>77</v>
      </c>
      <c r="AB29" s="235">
        <v>90</v>
      </c>
    </row>
    <row r="30" spans="2:28" ht="15.95" customHeight="1" x14ac:dyDescent="0.25">
      <c r="S30" s="235" t="str">
        <f>IF(D12="","",LEFT(D12,14))</f>
        <v xml:space="preserve">ArcelorMittal </v>
      </c>
      <c r="T30" s="235">
        <f>IF(E12="","",IFERROR(VALUE(LEFT(E12,FIND("/",E12)-1)),0))</f>
        <v>33</v>
      </c>
      <c r="U30">
        <f t="shared" si="0"/>
        <v>79</v>
      </c>
      <c r="V30">
        <f t="shared" si="0"/>
        <v>13</v>
      </c>
      <c r="W30" s="235">
        <f t="shared" si="0"/>
        <v>8</v>
      </c>
      <c r="X30" s="235">
        <f t="shared" si="1"/>
        <v>79</v>
      </c>
      <c r="Y30" s="235">
        <f t="shared" si="1"/>
        <v>13</v>
      </c>
      <c r="Z30" s="235">
        <f t="shared" si="1"/>
        <v>8</v>
      </c>
      <c r="AA30" s="235">
        <v>13</v>
      </c>
      <c r="AB30" s="235">
        <v>8</v>
      </c>
    </row>
  </sheetData>
  <mergeCells count="3">
    <mergeCell ref="B1:Q1"/>
    <mergeCell ref="B2:Q2"/>
    <mergeCell ref="B8:Q8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B30"/>
  <sheetViews>
    <sheetView showGridLines="0" zoomScaleNormal="100" workbookViewId="0">
      <selection activeCell="M23" sqref="M23"/>
    </sheetView>
  </sheetViews>
  <sheetFormatPr baseColWidth="10" defaultColWidth="8.85546875" defaultRowHeight="15" x14ac:dyDescent="0.25"/>
  <cols>
    <col min="1" max="1" width="1.5703125" customWidth="1"/>
    <col min="2" max="2" width="5.28515625" customWidth="1"/>
    <col min="3" max="3" width="10.42578125" customWidth="1"/>
    <col min="4" max="4" width="21.85546875" customWidth="1"/>
    <col min="5" max="5" width="10.42578125" customWidth="1"/>
    <col min="6" max="8" width="5.28515625" customWidth="1"/>
    <col min="9" max="10" width="8" customWidth="1"/>
    <col min="11" max="11" width="7.28515625" customWidth="1"/>
    <col min="12" max="13" width="8" customWidth="1"/>
    <col min="14" max="14" width="6.42578125" customWidth="1"/>
    <col min="15" max="15" width="7.28515625" customWidth="1"/>
    <col min="16" max="16" width="6.42578125" customWidth="1"/>
    <col min="17" max="17" width="14" bestFit="1" customWidth="1"/>
    <col min="20" max="21" width="9" bestFit="1" customWidth="1"/>
  </cols>
  <sheetData>
    <row r="1" spans="2:17" ht="30" customHeight="1" x14ac:dyDescent="0.25">
      <c r="B1" s="273" t="str">
        <f>"FinSight IA  ·  Real estate  ·  CAC 40  ·  "&amp;COUNTIF('DONNÉES BRUTES'!C$3:C$42,"Real Estate")&amp;" sociétés  ·  22/03/2026"</f>
        <v>FinSight IA  ·  Real estate  ·  CAC 40  ·  1 sociétés  ·  22/03/2026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</row>
    <row r="2" spans="2:17" ht="18" customHeight="1" x14ac:dyDescent="0.25">
      <c r="B2" s="280" t="s">
        <v>252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</row>
    <row r="3" spans="2:17" ht="8.1" customHeight="1" x14ac:dyDescent="0.25"/>
    <row r="4" spans="2:17" ht="8.1" customHeight="1" x14ac:dyDescent="0.25"/>
    <row r="5" spans="2:17" ht="39.950000000000003" customHeight="1" x14ac:dyDescent="0.25">
      <c r="B5" s="268"/>
      <c r="C5" s="246">
        <f>COUNTIF('DONNÉES BRUTES'!C$3:C$42,"Real Estate")</f>
        <v>1</v>
      </c>
      <c r="D5" s="268"/>
      <c r="E5" s="255" t="str">
        <f>ROUND(AVERAGEIF('DONNÉES BRUTES'!C$3:C$42,"Real Estate",'DONNÉES BRUTES'!AB$3:AB$42),0)&amp;"/100"</f>
        <v>69/100</v>
      </c>
      <c r="F5" s="255"/>
      <c r="G5" s="255"/>
      <c r="H5" s="249" t="str" cm="1">
        <f t="array" ref="H5">IFERROR(INDEX('DONNÉES BRUTES'!B$3:B$42,MATCH(LARGE(IF('DONNÉES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BRUTES'!A$3))/1000,0),0)),"—")</f>
        <v>Unibail-Rodamco-Westfield SE</v>
      </c>
      <c r="I5" s="255"/>
      <c r="J5" s="255"/>
      <c r="K5" s="268"/>
      <c r="L5" s="251" t="str">
        <f>IFERROR(VLOOKUP("Real Estate",'SECTOR OVERVIEW'!B$8:G$19,6,0),"—")</f>
        <v>19.8%</v>
      </c>
      <c r="M5" s="268"/>
      <c r="N5" s="252" cm="1">
        <f t="array" ref="N5">IFERROR(ROUND(MEDIAN(IF('DONNÉES BRUTES'!C$3:C$42="Real Estate",IF(ISNUMBER('DONNÉES BRUTES'!Y$3:Y$42),'DONNÉES BRUTES'!Y$3:Y$42))),0),"—")</f>
        <v>92</v>
      </c>
      <c r="O5" s="268"/>
      <c r="P5" s="284" t="str">
        <f>IF(COUNTIFS('DONNÉES BRUTES'!C$3:C$42,"Real Estate",'DONNÉES BRUTES'!AD$3:AD$42,"Surpondérer")&gt;0,"Surpondérer",IF(COUNTIFS('DONNÉES BRUTES'!C$3:C$42,"Real Estate",'DONNÉES BRUTES'!AD$3:AD$42,"Neutre")&gt;=COUNTIFS('DONNÉES BRUTES'!C$3:C$42,"Real Estate",'DONNÉES BRUTES'!AD$3:AD$42,"Sous-pondérer"),"Neutre","Sous-pondérer"))</f>
        <v>Neutre</v>
      </c>
      <c r="Q5" s="255"/>
    </row>
    <row r="6" spans="2:17" ht="15.95" customHeight="1" x14ac:dyDescent="0.25">
      <c r="B6" s="248"/>
      <c r="C6" s="248" t="s">
        <v>593</v>
      </c>
      <c r="D6" s="248"/>
      <c r="E6" s="247" t="s">
        <v>594</v>
      </c>
      <c r="F6" s="247"/>
      <c r="G6" s="247"/>
      <c r="H6" s="250" t="s">
        <v>253</v>
      </c>
      <c r="I6" s="247"/>
      <c r="J6" s="247"/>
      <c r="K6" s="248"/>
      <c r="L6" s="248" t="s">
        <v>583</v>
      </c>
      <c r="M6" s="248"/>
      <c r="N6" s="248" t="s">
        <v>607</v>
      </c>
      <c r="O6" s="248"/>
      <c r="P6" s="248" t="s">
        <v>50</v>
      </c>
      <c r="Q6" s="247"/>
    </row>
    <row r="7" spans="2:17" ht="8.1" customHeight="1" x14ac:dyDescent="0.25"/>
    <row r="8" spans="2:17" ht="21.95" customHeight="1" x14ac:dyDescent="0.25">
      <c r="B8" s="275" t="str">
        <f>"ANALYSE DÉTAILLÉE  ·  "&amp;UPPER("Real estate")&amp;"  ·  "&amp;COUNTIF('DONNÉES BRUTES'!C$3:C$42,"Real Estate")&amp;" sociétés  ·  Triée par Score Global"</f>
        <v>ANALYSE DÉTAILLÉE  ·  REAL ESTATE  ·  1 sociétés  ·  Triée par Score Global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</row>
    <row r="9" spans="2:17" ht="6" customHeight="1" x14ac:dyDescent="0.25"/>
    <row r="10" spans="2:17" ht="20.100000000000001" customHeight="1" x14ac:dyDescent="0.25">
      <c r="B10" s="269" t="s">
        <v>41</v>
      </c>
      <c r="C10" s="270" t="s">
        <v>3</v>
      </c>
      <c r="D10" s="270" t="s">
        <v>4</v>
      </c>
      <c r="E10" s="269" t="s">
        <v>5</v>
      </c>
      <c r="F10" s="269" t="s">
        <v>609</v>
      </c>
      <c r="G10" s="269" t="s">
        <v>610</v>
      </c>
      <c r="H10" s="269" t="s">
        <v>595</v>
      </c>
      <c r="I10" s="269" t="s">
        <v>575</v>
      </c>
      <c r="J10" s="269" t="s">
        <v>573</v>
      </c>
      <c r="K10" s="269" t="s">
        <v>574</v>
      </c>
      <c r="L10" s="269" t="s">
        <v>596</v>
      </c>
      <c r="M10" s="269" t="s">
        <v>95</v>
      </c>
      <c r="N10" s="269" t="s">
        <v>608</v>
      </c>
      <c r="O10" s="269" t="s">
        <v>405</v>
      </c>
      <c r="P10" s="269" t="s">
        <v>89</v>
      </c>
      <c r="Q10" s="269" t="s">
        <v>50</v>
      </c>
    </row>
    <row r="11" spans="2:17" ht="18" customHeight="1" x14ac:dyDescent="0.25">
      <c r="B11">
        <f>IF(1&gt;COUNTIF('DONNÉES BRUTES'!C$3:C$42,"Real Estate"),"",1)</f>
        <v>1</v>
      </c>
      <c r="C11" t="str" cm="1">
        <f t="array" ref="C11">IFERROR(IF(1&gt;COUNTIF('DONNÉES BRUTES'!C$3:C$42,"Real Estate"),"",INDEX('DONNÉES BRUTES'!A$3:A$42,MATCH(LARGE(IF('DONNÉES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URW.PA</v>
      </c>
      <c r="D11" t="str" cm="1">
        <f t="array" ref="D11">IFERROR(IF(1&gt;COUNTIF('DONNÉES BRUTES'!C$3:C$42,"Real Estate"),"",INDEX('DONNÉES BRUTES'!B$3:B$42,MATCH(LARGE(IF('DONNÉES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Unibail-Rodamco-Westfield SE</v>
      </c>
      <c r="E11" t="str" cm="1">
        <f t="array" ref="E11">IFERROR(IF(1&gt;COUNTIF('DONNÉES BRUTES'!C$3:C$42,"Real Estate"),"",INT(LARGE(IF('DONNÉES BRUTES'!C$3:C$42="Real Estate",'DONNÉES BRUTES'!AB$3:AB$42+(ROW('DONNÉES BRUTES'!A$3:A$42)-ROW('DONNÉES BRUTES'!A$3))/1000,0),1))&amp;"/100"),"—")</f>
        <v>69/100</v>
      </c>
      <c r="F11" cm="1">
        <f t="array" ref="F11">IFERROR(IF(1&gt;COUNTIF('DONNÉES BRUTES'!C$3:C$42,"Real Estate"),"",INDEX('DONNÉES BRUTES'!Y$3:Y$42,MATCH(LARGE(IF('DONNÉES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92</v>
      </c>
      <c r="G11" cm="1">
        <f t="array" ref="G11">IFERROR(IF(1&gt;COUNTIF('DONNÉES BRUTES'!C$3:C$42,"Real Estate"),"",INDEX('DONNÉES BRUTES'!Z$3:Z$42,MATCH(LARGE(IF('DONNÉES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95</v>
      </c>
      <c r="H11" cm="1">
        <f t="array" ref="H11">IFERROR(IF(1&gt;COUNTIF('DONNÉES BRUTES'!C$3:C$42,"Real Estate"),"",INDEX('DONNÉES BRUTES'!AA$3:AA$42,MATCH(LARGE(IF('DONNÉES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21</v>
      </c>
      <c r="I11" t="str" cm="1">
        <f t="array" ref="I11">IFERROR(IF(1&gt;COUNTIF('DONNÉES BRUTES'!C$3:C$42,"Real Estate"),"",INDEX('DONNÉES BRUTES'!M$3:M$42,MATCH(LARGE(IF('DONNÉES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64.6%</v>
      </c>
      <c r="J11" t="str" cm="1">
        <f t="array" ref="J11">IFERROR(IF(1&gt;COUNTIF('DONNÉES BRUTES'!C$3:C$42,"Real Estate"),"",INDEX('DONNÉES BRUTES'!N$3:N$42,MATCH(LARGE(IF('DONNÉES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89.1%</v>
      </c>
      <c r="K11" t="str" cm="1">
        <f t="array" ref="K11">IFERROR(IF(1&gt;COUNTIF('DONNÉES BRUTES'!C$3:C$42,"Real Estate"),"",INDEX('DONNÉES BRUTES'!O$3:O$42,MATCH(LARGE(IF('DONNÉES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41.5%</v>
      </c>
      <c r="L11" t="str" cm="1">
        <f t="array" ref="L11">IFERROR(IF(1&gt;COUNTIF('DONNÉES BRUTES'!C$3:C$42,"Real Estate"),"",INDEX('DONNÉES BRUTES'!P$3:P$42,MATCH(LARGE(IF('DONNÉES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-6.1%</v>
      </c>
      <c r="M11" t="str" cm="1">
        <f t="array" ref="M11">IFERROR(IF(1&gt;COUNTIF('DONNÉES BRUTES'!C$3:C$42,"Real Estate"),"",INDEX('DONNÉES BRUTES'!Q$3:Q$42,MATCH(LARGE(IF('DONNÉES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+7.2%</v>
      </c>
      <c r="N11" t="str" cm="1">
        <f t="array" ref="N11">IFERROR(IF(1&gt;COUNTIF('DONNÉES BRUTES'!C$3:C$42,"Real Estate"),"",INDEX('DONNÉES BRUTES'!S$3:S$42,MATCH(LARGE(IF('DONNÉES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1.27</v>
      </c>
      <c r="O11" t="str" cm="1">
        <f t="array" ref="O11">IFERROR(IF(1&gt;COUNTIF('DONNÉES BRUTES'!C$3:C$42,"Real Estate"),"",INDEX('DONNÉES BRUTES'!T$3:T$42,MATCH(LARGE(IF('DONNÉES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7.1x</v>
      </c>
      <c r="P11" t="str" cm="1">
        <f t="array" ref="P11">IFERROR(IF(1&gt;COUNTIF('DONNÉES BRUTES'!C$3:C$42,"Real Estate"),"",INDEX('DONNÉES BRUTES'!U$3:U$42,MATCH(LARGE(IF('DONNÉES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>1.22</v>
      </c>
      <c r="Q11" t="s">
        <v>59</v>
      </c>
    </row>
    <row r="12" spans="2:17" ht="15.95" customHeight="1" x14ac:dyDescent="0.25">
      <c r="B12" t="str">
        <f>IF(2&gt;COUNTIF('DONNÉES BRUTES'!C$3:C$42,"Real Estate"),"",2)</f>
        <v/>
      </c>
      <c r="C12" t="str" cm="1">
        <f t="array" ref="C12">IFERROR(IF(2&gt;COUNTIF('DONNÉES BRUTES'!C$3:C$42,"Real Estate"),"",INDEX('DONNÉES BRUTES'!A$3:A$42,MATCH(LARGE(IF('DONNÉES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D12" t="str" cm="1">
        <f t="array" ref="D12">IFERROR(IF(2&gt;COUNTIF('DONNÉES BRUTES'!C$3:C$42,"Real Estate"),"",INDEX('DONNÉES BRUTES'!B$3:B$42,MATCH(LARGE(IF('DONNÉES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E12" t="str" cm="1">
        <f t="array" ref="E12">IFERROR(IF(2&gt;COUNTIF('DONNÉES BRUTES'!C$3:C$42,"Real Estate"),"",INT(LARGE(IF('DONNÉES BRUTES'!C$3:C$42="Real Estate",'DONNÉES BRUTES'!AB$3:AB$42+(ROW('DONNÉES BRUTES'!A$3:A$42)-ROW('DONNÉES BRUTES'!A$3))/1000,0),2))&amp;"/100"),"—")</f>
        <v/>
      </c>
      <c r="F12" t="str" cm="1">
        <f t="array" ref="F12">IFERROR(IF(2&gt;COUNTIF('DONNÉES BRUTES'!C$3:C$42,"Real Estate"),"",INDEX('DONNÉES BRUTES'!Y$3:Y$42,MATCH(LARGE(IF('DONNÉES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G12" t="str" cm="1">
        <f t="array" ref="G12">IFERROR(IF(2&gt;COUNTIF('DONNÉES BRUTES'!C$3:C$42,"Real Estate"),"",INDEX('DONNÉES BRUTES'!Z$3:Z$42,MATCH(LARGE(IF('DONNÉES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H12" t="str" cm="1">
        <f t="array" ref="H12">IFERROR(IF(2&gt;COUNTIF('DONNÉES BRUTES'!C$3:C$42,"Real Estate"),"",INDEX('DONNÉES BRUTES'!AA$3:AA$42,MATCH(LARGE(IF('DONNÉES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I12" t="str" cm="1">
        <f t="array" ref="I12">IFERROR(IF(2&gt;COUNTIF('DONNÉES BRUTES'!C$3:C$42,"Real Estate"),"",INDEX('DONNÉES BRUTES'!M$3:M$42,MATCH(LARGE(IF('DONNÉES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J12" t="str" cm="1">
        <f t="array" ref="J12">IFERROR(IF(2&gt;COUNTIF('DONNÉES BRUTES'!C$3:C$42,"Real Estate"),"",INDEX('DONNÉES BRUTES'!N$3:N$42,MATCH(LARGE(IF('DONNÉES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K12" t="str" cm="1">
        <f t="array" ref="K12">IFERROR(IF(2&gt;COUNTIF('DONNÉES BRUTES'!C$3:C$42,"Real Estate"),"",INDEX('DONNÉES BRUTES'!O$3:O$42,MATCH(LARGE(IF('DONNÉES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L12" t="str" cm="1">
        <f t="array" ref="L12">IFERROR(IF(2&gt;COUNTIF('DONNÉES BRUTES'!C$3:C$42,"Real Estate"),"",INDEX('DONNÉES BRUTES'!P$3:P$42,MATCH(LARGE(IF('DONNÉES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M12" t="str" cm="1">
        <f t="array" ref="M12">IFERROR(IF(2&gt;COUNTIF('DONNÉES BRUTES'!C$3:C$42,"Real Estate"),"",INDEX('DONNÉES BRUTES'!Q$3:Q$42,MATCH(LARGE(IF('DONNÉES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N12" t="str" cm="1">
        <f t="array" ref="N12">IFERROR(IF(2&gt;COUNTIF('DONNÉES BRUTES'!C$3:C$42,"Real Estate"),"",INDEX('DONNÉES BRUTES'!S$3:S$42,MATCH(LARGE(IF('DONNÉES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O12" t="str" cm="1">
        <f t="array" ref="O12">IFERROR(IF(2&gt;COUNTIF('DONNÉES BRUTES'!C$3:C$42,"Real Estate"),"",INDEX('DONNÉES BRUTES'!T$3:T$42,MATCH(LARGE(IF('DONNÉES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P12" t="str" cm="1">
        <f t="array" ref="P12">IFERROR(IF(2&gt;COUNTIF('DONNÉES BRUTES'!C$3:C$42,"Real Estate"),"",INDEX('DONNÉES BRUTES'!U$3:U$42,MATCH(LARGE(IF('DONNÉES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Q12" t="str" cm="1">
        <f t="array" ref="Q12">IFERROR(IF(2&gt;COUNTIF('DONNÉES BRUTES'!C$3:C$42,"Real Estate"),"",INDEX('DONNÉES BRUTES'!AD$3:AD$42,MATCH(LARGE(IF('DONNÉES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</row>
    <row r="13" spans="2:17" ht="15.95" customHeight="1" x14ac:dyDescent="0.25">
      <c r="B13" t="str">
        <f>IF(3&gt;COUNTIF('DONNÉES BRUTES'!C$3:C$42,"Real Estate"),"",3)</f>
        <v/>
      </c>
      <c r="C13" t="str" cm="1">
        <f t="array" ref="C13">IFERROR(IF(3&gt;COUNTIF('DONNÉES BRUTES'!C$3:C$42,"Real Estate"),"",INDEX('DONNÉES BRUTES'!A$3:A$42,MATCH(LARGE(IF('DONNÉES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D13" t="str" cm="1">
        <f t="array" ref="D13">IFERROR(IF(3&gt;COUNTIF('DONNÉES BRUTES'!C$3:C$42,"Real Estate"),"",INDEX('DONNÉES BRUTES'!B$3:B$42,MATCH(LARGE(IF('DONNÉES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E13" t="str" cm="1">
        <f t="array" ref="E13">IFERROR(IF(3&gt;COUNTIF('DONNÉES BRUTES'!C$3:C$42,"Real Estate"),"",INT(LARGE(IF('DONNÉES BRUTES'!C$3:C$42="Real Estate",'DONNÉES BRUTES'!AB$3:AB$42+(ROW('DONNÉES BRUTES'!A$3:A$42)-ROW('DONNÉES BRUTES'!A$3))/1000,0),3))&amp;"/100"),"—")</f>
        <v/>
      </c>
      <c r="F13" t="str" cm="1">
        <f t="array" ref="F13">IFERROR(IF(3&gt;COUNTIF('DONNÉES BRUTES'!C$3:C$42,"Real Estate"),"",INDEX('DONNÉES BRUTES'!Y$3:Y$42,MATCH(LARGE(IF('DONNÉES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G13" t="str" cm="1">
        <f t="array" ref="G13">IFERROR(IF(3&gt;COUNTIF('DONNÉES BRUTES'!C$3:C$42,"Real Estate"),"",INDEX('DONNÉES BRUTES'!Z$3:Z$42,MATCH(LARGE(IF('DONNÉES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H13" t="str" cm="1">
        <f t="array" ref="H13">IFERROR(IF(3&gt;COUNTIF('DONNÉES BRUTES'!C$3:C$42,"Real Estate"),"",INDEX('DONNÉES BRUTES'!AA$3:AA$42,MATCH(LARGE(IF('DONNÉES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I13" t="str" cm="1">
        <f t="array" ref="I13">IFERROR(IF(3&gt;COUNTIF('DONNÉES BRUTES'!C$3:C$42,"Real Estate"),"",INDEX('DONNÉES BRUTES'!M$3:M$42,MATCH(LARGE(IF('DONNÉES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J13" t="str" cm="1">
        <f t="array" ref="J13">IFERROR(IF(3&gt;COUNTIF('DONNÉES BRUTES'!C$3:C$42,"Real Estate"),"",INDEX('DONNÉES BRUTES'!N$3:N$42,MATCH(LARGE(IF('DONNÉES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K13" t="str" cm="1">
        <f t="array" ref="K13">IFERROR(IF(3&gt;COUNTIF('DONNÉES BRUTES'!C$3:C$42,"Real Estate"),"",INDEX('DONNÉES BRUTES'!O$3:O$42,MATCH(LARGE(IF('DONNÉES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L13" t="str" cm="1">
        <f t="array" ref="L13">IFERROR(IF(3&gt;COUNTIF('DONNÉES BRUTES'!C$3:C$42,"Real Estate"),"",INDEX('DONNÉES BRUTES'!P$3:P$42,MATCH(LARGE(IF('DONNÉES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M13" t="str" cm="1">
        <f t="array" ref="M13">IFERROR(IF(3&gt;COUNTIF('DONNÉES BRUTES'!C$3:C$42,"Real Estate"),"",INDEX('DONNÉES BRUTES'!Q$3:Q$42,MATCH(LARGE(IF('DONNÉES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N13" t="str" cm="1">
        <f t="array" ref="N13">IFERROR(IF(3&gt;COUNTIF('DONNÉES BRUTES'!C$3:C$42,"Real Estate"),"",INDEX('DONNÉES BRUTES'!S$3:S$42,MATCH(LARGE(IF('DONNÉES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O13" t="str" cm="1">
        <f t="array" ref="O13">IFERROR(IF(3&gt;COUNTIF('DONNÉES BRUTES'!C$3:C$42,"Real Estate"),"",INDEX('DONNÉES BRUTES'!T$3:T$42,MATCH(LARGE(IF('DONNÉES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P13" t="str" cm="1">
        <f t="array" ref="P13">IFERROR(IF(3&gt;COUNTIF('DONNÉES BRUTES'!C$3:C$42,"Real Estate"),"",INDEX('DONNÉES BRUTES'!U$3:U$42,MATCH(LARGE(IF('DONNÉES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Q13" t="str" cm="1">
        <f t="array" ref="Q13">IFERROR(IF(3&gt;COUNTIF('DONNÉES BRUTES'!C$3:C$42,"Real Estate"),"",INDEX('DONNÉES BRUTES'!AD$3:AD$42,MATCH(LARGE(IF('DONNÉES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</row>
    <row r="14" spans="2:17" ht="15.95" customHeight="1" x14ac:dyDescent="0.25">
      <c r="B14" t="str">
        <f>IF(4&gt;COUNTIF('DONNÉES BRUTES'!C$3:C$42,"Real Estate"),"",4)</f>
        <v/>
      </c>
      <c r="C14" t="str" cm="1">
        <f t="array" ref="C14">IFERROR(IF(4&gt;COUNTIF('DONNÉES BRUTES'!C$3:C$42,"Real Estate"),"",INDEX('DONNÉES BRUTES'!A$3:A$42,MATCH(LARGE(IF('DONNÉES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D14" t="str" cm="1">
        <f t="array" ref="D14">IFERROR(IF(4&gt;COUNTIF('DONNÉES BRUTES'!C$3:C$42,"Real Estate"),"",INDEX('DONNÉES BRUTES'!B$3:B$42,MATCH(LARGE(IF('DONNÉES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E14" t="str" cm="1">
        <f t="array" ref="E14">IFERROR(IF(4&gt;COUNTIF('DONNÉES BRUTES'!C$3:C$42,"Real Estate"),"",INT(LARGE(IF('DONNÉES BRUTES'!C$3:C$42="Real Estate",'DONNÉES BRUTES'!AB$3:AB$42+(ROW('DONNÉES BRUTES'!A$3:A$42)-ROW('DONNÉES BRUTES'!A$3))/1000,0),4))&amp;"/100"),"—")</f>
        <v/>
      </c>
      <c r="F14" t="str" cm="1">
        <f t="array" ref="F14">IFERROR(IF(4&gt;COUNTIF('DONNÉES BRUTES'!C$3:C$42,"Real Estate"),"",INDEX('DONNÉES BRUTES'!Y$3:Y$42,MATCH(LARGE(IF('DONNÉES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G14" t="str" cm="1">
        <f t="array" ref="G14">IFERROR(IF(4&gt;COUNTIF('DONNÉES BRUTES'!C$3:C$42,"Real Estate"),"",INDEX('DONNÉES BRUTES'!Z$3:Z$42,MATCH(LARGE(IF('DONNÉES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H14" t="str" cm="1">
        <f t="array" ref="H14">IFERROR(IF(4&gt;COUNTIF('DONNÉES BRUTES'!C$3:C$42,"Real Estate"),"",INDEX('DONNÉES BRUTES'!AA$3:AA$42,MATCH(LARGE(IF('DONNÉES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I14" t="str" cm="1">
        <f t="array" ref="I14">IFERROR(IF(4&gt;COUNTIF('DONNÉES BRUTES'!C$3:C$42,"Real Estate"),"",INDEX('DONNÉES BRUTES'!M$3:M$42,MATCH(LARGE(IF('DONNÉES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J14" t="str" cm="1">
        <f t="array" ref="J14">IFERROR(IF(4&gt;COUNTIF('DONNÉES BRUTES'!C$3:C$42,"Real Estate"),"",INDEX('DONNÉES BRUTES'!N$3:N$42,MATCH(LARGE(IF('DONNÉES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K14" t="str" cm="1">
        <f t="array" ref="K14">IFERROR(IF(4&gt;COUNTIF('DONNÉES BRUTES'!C$3:C$42,"Real Estate"),"",INDEX('DONNÉES BRUTES'!O$3:O$42,MATCH(LARGE(IF('DONNÉES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L14" t="str" cm="1">
        <f t="array" ref="L14">IFERROR(IF(4&gt;COUNTIF('DONNÉES BRUTES'!C$3:C$42,"Real Estate"),"",INDEX('DONNÉES BRUTES'!P$3:P$42,MATCH(LARGE(IF('DONNÉES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M14" t="str" cm="1">
        <f t="array" ref="M14">IFERROR(IF(4&gt;COUNTIF('DONNÉES BRUTES'!C$3:C$42,"Real Estate"),"",INDEX('DONNÉES BRUTES'!Q$3:Q$42,MATCH(LARGE(IF('DONNÉES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N14" t="str" cm="1">
        <f t="array" ref="N14">IFERROR(IF(4&gt;COUNTIF('DONNÉES BRUTES'!C$3:C$42,"Real Estate"),"",INDEX('DONNÉES BRUTES'!S$3:S$42,MATCH(LARGE(IF('DONNÉES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O14" t="str" cm="1">
        <f t="array" ref="O14">IFERROR(IF(4&gt;COUNTIF('DONNÉES BRUTES'!C$3:C$42,"Real Estate"),"",INDEX('DONNÉES BRUTES'!T$3:T$42,MATCH(LARGE(IF('DONNÉES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P14" t="str" cm="1">
        <f t="array" ref="P14">IFERROR(IF(4&gt;COUNTIF('DONNÉES BRUTES'!C$3:C$42,"Real Estate"),"",INDEX('DONNÉES BRUTES'!U$3:U$42,MATCH(LARGE(IF('DONNÉES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Q14" t="str" cm="1">
        <f t="array" ref="Q14">IFERROR(IF(4&gt;COUNTIF('DONNÉES BRUTES'!C$3:C$42,"Real Estate"),"",INDEX('DONNÉES BRUTES'!AD$3:AD$42,MATCH(LARGE(IF('DONNÉES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</row>
    <row r="15" spans="2:17" ht="15.95" customHeight="1" x14ac:dyDescent="0.25">
      <c r="B15" t="str">
        <f>IF(5&gt;COUNTIF('DONNÉES BRUTES'!C$3:C$42,"Real Estate"),"",5)</f>
        <v/>
      </c>
      <c r="C15" t="str" cm="1">
        <f t="array" ref="C15">IFERROR(IF(5&gt;COUNTIF('DONNÉES BRUTES'!C$3:C$42,"Real Estate"),"",INDEX('DONNÉES BRUTES'!A$3:A$42,MATCH(LARGE(IF('DONNÉES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D15" t="str" cm="1">
        <f t="array" ref="D15">IFERROR(IF(5&gt;COUNTIF('DONNÉES BRUTES'!C$3:C$42,"Real Estate"),"",INDEX('DONNÉES BRUTES'!B$3:B$42,MATCH(LARGE(IF('DONNÉES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E15" t="str" cm="1">
        <f t="array" ref="E15">IFERROR(IF(5&gt;COUNTIF('DONNÉES BRUTES'!C$3:C$42,"Real Estate"),"",INT(LARGE(IF('DONNÉES BRUTES'!C$3:C$42="Real Estate",'DONNÉES BRUTES'!AB$3:AB$42+(ROW('DONNÉES BRUTES'!A$3:A$42)-ROW('DONNÉES BRUTES'!A$3))/1000,0),5))&amp;"/100"),"—")</f>
        <v/>
      </c>
      <c r="F15" t="str" cm="1">
        <f t="array" ref="F15">IFERROR(IF(5&gt;COUNTIF('DONNÉES BRUTES'!C$3:C$42,"Real Estate"),"",INDEX('DONNÉES BRUTES'!Y$3:Y$42,MATCH(LARGE(IF('DONNÉES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G15" t="str" cm="1">
        <f t="array" ref="G15">IFERROR(IF(5&gt;COUNTIF('DONNÉES BRUTES'!C$3:C$42,"Real Estate"),"",INDEX('DONNÉES BRUTES'!Z$3:Z$42,MATCH(LARGE(IF('DONNÉES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H15" t="str" cm="1">
        <f t="array" ref="H15">IFERROR(IF(5&gt;COUNTIF('DONNÉES BRUTES'!C$3:C$42,"Real Estate"),"",INDEX('DONNÉES BRUTES'!AA$3:AA$42,MATCH(LARGE(IF('DONNÉES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I15" t="str" cm="1">
        <f t="array" ref="I15">IFERROR(IF(5&gt;COUNTIF('DONNÉES BRUTES'!C$3:C$42,"Real Estate"),"",INDEX('DONNÉES BRUTES'!M$3:M$42,MATCH(LARGE(IF('DONNÉES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J15" t="str" cm="1">
        <f t="array" ref="J15">IFERROR(IF(5&gt;COUNTIF('DONNÉES BRUTES'!C$3:C$42,"Real Estate"),"",INDEX('DONNÉES BRUTES'!N$3:N$42,MATCH(LARGE(IF('DONNÉES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K15" t="str" cm="1">
        <f t="array" ref="K15">IFERROR(IF(5&gt;COUNTIF('DONNÉES BRUTES'!C$3:C$42,"Real Estate"),"",INDEX('DONNÉES BRUTES'!O$3:O$42,MATCH(LARGE(IF('DONNÉES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L15" t="str" cm="1">
        <f t="array" ref="L15">IFERROR(IF(5&gt;COUNTIF('DONNÉES BRUTES'!C$3:C$42,"Real Estate"),"",INDEX('DONNÉES BRUTES'!P$3:P$42,MATCH(LARGE(IF('DONNÉES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M15" t="str" cm="1">
        <f t="array" ref="M15">IFERROR(IF(5&gt;COUNTIF('DONNÉES BRUTES'!C$3:C$42,"Real Estate"),"",INDEX('DONNÉES BRUTES'!Q$3:Q$42,MATCH(LARGE(IF('DONNÉES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N15" t="str" cm="1">
        <f t="array" ref="N15">IFERROR(IF(5&gt;COUNTIF('DONNÉES BRUTES'!C$3:C$42,"Real Estate"),"",INDEX('DONNÉES BRUTES'!S$3:S$42,MATCH(LARGE(IF('DONNÉES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O15" t="str" cm="1">
        <f t="array" ref="O15">IFERROR(IF(5&gt;COUNTIF('DONNÉES BRUTES'!C$3:C$42,"Real Estate"),"",INDEX('DONNÉES BRUTES'!T$3:T$42,MATCH(LARGE(IF('DONNÉES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P15" t="str" cm="1">
        <f t="array" ref="P15">IFERROR(IF(5&gt;COUNTIF('DONNÉES BRUTES'!C$3:C$42,"Real Estate"),"",INDEX('DONNÉES BRUTES'!U$3:U$42,MATCH(LARGE(IF('DONNÉES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Q15" t="str" cm="1">
        <f t="array" ref="Q15">IFERROR(IF(5&gt;COUNTIF('DONNÉES BRUTES'!C$3:C$42,"Real Estate"),"",INDEX('DONNÉES BRUTES'!AD$3:AD$42,MATCH(LARGE(IF('DONNÉES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</row>
    <row r="16" spans="2:17" ht="15.95" customHeight="1" x14ac:dyDescent="0.25">
      <c r="B16" t="str">
        <f>IF(6&gt;COUNTIF('DONNÉES BRUTES'!C$3:C$42,"Real Estate"),"",6)</f>
        <v/>
      </c>
      <c r="C16" t="str" cm="1">
        <f t="array" ref="C16">IFERROR(IF(6&gt;COUNTIF('DONNÉES BRUTES'!C$3:C$42,"Real Estate"),"",INDEX('DONNÉES BRUTES'!A$3:A$42,MATCH(LARGE(IF('DONNÉES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D16" t="str" cm="1">
        <f t="array" ref="D16">IFERROR(IF(6&gt;COUNTIF('DONNÉES BRUTES'!C$3:C$42,"Real Estate"),"",INDEX('DONNÉES BRUTES'!B$3:B$42,MATCH(LARGE(IF('DONNÉES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E16" t="str" cm="1">
        <f t="array" ref="E16">IFERROR(IF(6&gt;COUNTIF('DONNÉES BRUTES'!C$3:C$42,"Real Estate"),"",INT(LARGE(IF('DONNÉES BRUTES'!C$3:C$42="Real Estate",'DONNÉES BRUTES'!AB$3:AB$42+(ROW('DONNÉES BRUTES'!A$3:A$42)-ROW('DONNÉES BRUTES'!A$3))/1000,0),6))&amp;"/100"),"—")</f>
        <v/>
      </c>
      <c r="F16" t="str" cm="1">
        <f t="array" ref="F16">IFERROR(IF(6&gt;COUNTIF('DONNÉES BRUTES'!C$3:C$42,"Real Estate"),"",INDEX('DONNÉES BRUTES'!Y$3:Y$42,MATCH(LARGE(IF('DONNÉES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G16" t="str" cm="1">
        <f t="array" ref="G16">IFERROR(IF(6&gt;COUNTIF('DONNÉES BRUTES'!C$3:C$42,"Real Estate"),"",INDEX('DONNÉES BRUTES'!Z$3:Z$42,MATCH(LARGE(IF('DONNÉES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H16" t="str" cm="1">
        <f t="array" ref="H16">IFERROR(IF(6&gt;COUNTIF('DONNÉES BRUTES'!C$3:C$42,"Real Estate"),"",INDEX('DONNÉES BRUTES'!AA$3:AA$42,MATCH(LARGE(IF('DONNÉES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I16" t="str" cm="1">
        <f t="array" ref="I16">IFERROR(IF(6&gt;COUNTIF('DONNÉES BRUTES'!C$3:C$42,"Real Estate"),"",INDEX('DONNÉES BRUTES'!M$3:M$42,MATCH(LARGE(IF('DONNÉES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J16" t="str" cm="1">
        <f t="array" ref="J16">IFERROR(IF(6&gt;COUNTIF('DONNÉES BRUTES'!C$3:C$42,"Real Estate"),"",INDEX('DONNÉES BRUTES'!N$3:N$42,MATCH(LARGE(IF('DONNÉES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K16" t="str" cm="1">
        <f t="array" ref="K16">IFERROR(IF(6&gt;COUNTIF('DONNÉES BRUTES'!C$3:C$42,"Real Estate"),"",INDEX('DONNÉES BRUTES'!O$3:O$42,MATCH(LARGE(IF('DONNÉES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L16" t="str" cm="1">
        <f t="array" ref="L16">IFERROR(IF(6&gt;COUNTIF('DONNÉES BRUTES'!C$3:C$42,"Real Estate"),"",INDEX('DONNÉES BRUTES'!P$3:P$42,MATCH(LARGE(IF('DONNÉES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M16" t="str" cm="1">
        <f t="array" ref="M16">IFERROR(IF(6&gt;COUNTIF('DONNÉES BRUTES'!C$3:C$42,"Real Estate"),"",INDEX('DONNÉES BRUTES'!Q$3:Q$42,MATCH(LARGE(IF('DONNÉES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N16" t="str" cm="1">
        <f t="array" ref="N16">IFERROR(IF(6&gt;COUNTIF('DONNÉES BRUTES'!C$3:C$42,"Real Estate"),"",INDEX('DONNÉES BRUTES'!S$3:S$42,MATCH(LARGE(IF('DONNÉES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O16" t="str" cm="1">
        <f t="array" ref="O16">IFERROR(IF(6&gt;COUNTIF('DONNÉES BRUTES'!C$3:C$42,"Real Estate"),"",INDEX('DONNÉES BRUTES'!T$3:T$42,MATCH(LARGE(IF('DONNÉES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P16" t="str" cm="1">
        <f t="array" ref="P16">IFERROR(IF(6&gt;COUNTIF('DONNÉES BRUTES'!C$3:C$42,"Real Estate"),"",INDEX('DONNÉES BRUTES'!U$3:U$42,MATCH(LARGE(IF('DONNÉES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Q16" t="str" cm="1">
        <f t="array" ref="Q16">IFERROR(IF(6&gt;COUNTIF('DONNÉES BRUTES'!C$3:C$42,"Real Estate"),"",INDEX('DONNÉES BRUTES'!AD$3:AD$42,MATCH(LARGE(IF('DONNÉES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</row>
    <row r="17" spans="2:28" ht="15.95" customHeight="1" x14ac:dyDescent="0.25">
      <c r="B17" t="str">
        <f>IF(7&gt;COUNTIF('DONNÉES BRUTES'!C$3:C$42,"Real Estate"),"",7)</f>
        <v/>
      </c>
      <c r="C17" t="str" cm="1">
        <f t="array" ref="C17">IFERROR(IF(7&gt;COUNTIF('DONNÉES BRUTES'!C$3:C$42,"Real Estate"),"",INDEX('DONNÉES BRUTES'!A$3:A$42,MATCH(LARGE(IF('DONNÉES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D17" t="str" cm="1">
        <f t="array" ref="D17">IFERROR(IF(7&gt;COUNTIF('DONNÉES BRUTES'!C$3:C$42,"Real Estate"),"",INDEX('DONNÉES BRUTES'!B$3:B$42,MATCH(LARGE(IF('DONNÉES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E17" t="str" cm="1">
        <f t="array" ref="E17">IFERROR(IF(7&gt;COUNTIF('DONNÉES BRUTES'!C$3:C$42,"Real Estate"),"",INT(LARGE(IF('DONNÉES BRUTES'!C$3:C$42="Real Estate",'DONNÉES BRUTES'!AB$3:AB$42+(ROW('DONNÉES BRUTES'!A$3:A$42)-ROW('DONNÉES BRUTES'!A$3))/1000,0),7))&amp;"/100"),"—")</f>
        <v/>
      </c>
      <c r="F17" t="str" cm="1">
        <f t="array" ref="F17">IFERROR(IF(7&gt;COUNTIF('DONNÉES BRUTES'!C$3:C$42,"Real Estate"),"",INDEX('DONNÉES BRUTES'!Y$3:Y$42,MATCH(LARGE(IF('DONNÉES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G17" t="str" cm="1">
        <f t="array" ref="G17">IFERROR(IF(7&gt;COUNTIF('DONNÉES BRUTES'!C$3:C$42,"Real Estate"),"",INDEX('DONNÉES BRUTES'!Z$3:Z$42,MATCH(LARGE(IF('DONNÉES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H17" t="str" cm="1">
        <f t="array" ref="H17">IFERROR(IF(7&gt;COUNTIF('DONNÉES BRUTES'!C$3:C$42,"Real Estate"),"",INDEX('DONNÉES BRUTES'!AA$3:AA$42,MATCH(LARGE(IF('DONNÉES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I17" t="str" cm="1">
        <f t="array" ref="I17">IFERROR(IF(7&gt;COUNTIF('DONNÉES BRUTES'!C$3:C$42,"Real Estate"),"",INDEX('DONNÉES BRUTES'!M$3:M$42,MATCH(LARGE(IF('DONNÉES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J17" t="str" cm="1">
        <f t="array" ref="J17">IFERROR(IF(7&gt;COUNTIF('DONNÉES BRUTES'!C$3:C$42,"Real Estate"),"",INDEX('DONNÉES BRUTES'!N$3:N$42,MATCH(LARGE(IF('DONNÉES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K17" t="str" cm="1">
        <f t="array" ref="K17">IFERROR(IF(7&gt;COUNTIF('DONNÉES BRUTES'!C$3:C$42,"Real Estate"),"",INDEX('DONNÉES BRUTES'!O$3:O$42,MATCH(LARGE(IF('DONNÉES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L17" t="str" cm="1">
        <f t="array" ref="L17">IFERROR(IF(7&gt;COUNTIF('DONNÉES BRUTES'!C$3:C$42,"Real Estate"),"",INDEX('DONNÉES BRUTES'!P$3:P$42,MATCH(LARGE(IF('DONNÉES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M17" t="str" cm="1">
        <f t="array" ref="M17">IFERROR(IF(7&gt;COUNTIF('DONNÉES BRUTES'!C$3:C$42,"Real Estate"),"",INDEX('DONNÉES BRUTES'!Q$3:Q$42,MATCH(LARGE(IF('DONNÉES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N17" t="str" cm="1">
        <f t="array" ref="N17">IFERROR(IF(7&gt;COUNTIF('DONNÉES BRUTES'!C$3:C$42,"Real Estate"),"",INDEX('DONNÉES BRUTES'!S$3:S$42,MATCH(LARGE(IF('DONNÉES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O17" t="str" cm="1">
        <f t="array" ref="O17">IFERROR(IF(7&gt;COUNTIF('DONNÉES BRUTES'!C$3:C$42,"Real Estate"),"",INDEX('DONNÉES BRUTES'!T$3:T$42,MATCH(LARGE(IF('DONNÉES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P17" t="str" cm="1">
        <f t="array" ref="P17">IFERROR(IF(7&gt;COUNTIF('DONNÉES BRUTES'!C$3:C$42,"Real Estate"),"",INDEX('DONNÉES BRUTES'!U$3:U$42,MATCH(LARGE(IF('DONNÉES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Q17" t="str" cm="1">
        <f t="array" ref="Q17">IFERROR(IF(7&gt;COUNTIF('DONNÉES BRUTES'!C$3:C$42,"Real Estate"),"",INDEX('DONNÉES BRUTES'!AD$3:AD$42,MATCH(LARGE(IF('DONNÉES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</row>
    <row r="18" spans="2:28" ht="15.95" customHeight="1" x14ac:dyDescent="0.25">
      <c r="B18" t="str">
        <f>IF(8&gt;COUNTIF('DONNÉES BRUTES'!C$3:C$42,"Real Estate"),"",8)</f>
        <v/>
      </c>
      <c r="C18" t="str" cm="1">
        <f t="array" ref="C18">IFERROR(IF(8&gt;COUNTIF('DONNÉES BRUTES'!C$3:C$42,"Real Estate"),"",INDEX('DONNÉES BRUTES'!A$3:A$42,MATCH(LARGE(IF('DONNÉES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D18" t="str" cm="1">
        <f t="array" ref="D18">IFERROR(IF(8&gt;COUNTIF('DONNÉES BRUTES'!C$3:C$42,"Real Estate"),"",INDEX('DONNÉES BRUTES'!B$3:B$42,MATCH(LARGE(IF('DONNÉES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E18" t="str" cm="1">
        <f t="array" ref="E18">IFERROR(IF(8&gt;COUNTIF('DONNÉES BRUTES'!C$3:C$42,"Real Estate"),"",INT(LARGE(IF('DONNÉES BRUTES'!C$3:C$42="Real Estate",'DONNÉES BRUTES'!AB$3:AB$42+(ROW('DONNÉES BRUTES'!A$3:A$42)-ROW('DONNÉES BRUTES'!A$3))/1000,0),8))&amp;"/100"),"—")</f>
        <v/>
      </c>
      <c r="F18" t="str" cm="1">
        <f t="array" ref="F18">IFERROR(IF(8&gt;COUNTIF('DONNÉES BRUTES'!C$3:C$42,"Real Estate"),"",INDEX('DONNÉES BRUTES'!Y$3:Y$42,MATCH(LARGE(IF('DONNÉES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G18" t="str" cm="1">
        <f t="array" ref="G18">IFERROR(IF(8&gt;COUNTIF('DONNÉES BRUTES'!C$3:C$42,"Real Estate"),"",INDEX('DONNÉES BRUTES'!Z$3:Z$42,MATCH(LARGE(IF('DONNÉES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H18" t="str" cm="1">
        <f t="array" ref="H18">IFERROR(IF(8&gt;COUNTIF('DONNÉES BRUTES'!C$3:C$42,"Real Estate"),"",INDEX('DONNÉES BRUTES'!AA$3:AA$42,MATCH(LARGE(IF('DONNÉES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I18" t="str" cm="1">
        <f t="array" ref="I18">IFERROR(IF(8&gt;COUNTIF('DONNÉES BRUTES'!C$3:C$42,"Real Estate"),"",INDEX('DONNÉES BRUTES'!M$3:M$42,MATCH(LARGE(IF('DONNÉES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J18" t="str" cm="1">
        <f t="array" ref="J18">IFERROR(IF(8&gt;COUNTIF('DONNÉES BRUTES'!C$3:C$42,"Real Estate"),"",INDEX('DONNÉES BRUTES'!N$3:N$42,MATCH(LARGE(IF('DONNÉES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K18" t="str" cm="1">
        <f t="array" ref="K18">IFERROR(IF(8&gt;COUNTIF('DONNÉES BRUTES'!C$3:C$42,"Real Estate"),"",INDEX('DONNÉES BRUTES'!O$3:O$42,MATCH(LARGE(IF('DONNÉES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L18" t="str" cm="1">
        <f t="array" ref="L18">IFERROR(IF(8&gt;COUNTIF('DONNÉES BRUTES'!C$3:C$42,"Real Estate"),"",INDEX('DONNÉES BRUTES'!P$3:P$42,MATCH(LARGE(IF('DONNÉES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M18" t="str" cm="1">
        <f t="array" ref="M18">IFERROR(IF(8&gt;COUNTIF('DONNÉES BRUTES'!C$3:C$42,"Real Estate"),"",INDEX('DONNÉES BRUTES'!Q$3:Q$42,MATCH(LARGE(IF('DONNÉES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N18" t="str" cm="1">
        <f t="array" ref="N18">IFERROR(IF(8&gt;COUNTIF('DONNÉES BRUTES'!C$3:C$42,"Real Estate"),"",INDEX('DONNÉES BRUTES'!S$3:S$42,MATCH(LARGE(IF('DONNÉES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O18" t="str" cm="1">
        <f t="array" ref="O18">IFERROR(IF(8&gt;COUNTIF('DONNÉES BRUTES'!C$3:C$42,"Real Estate"),"",INDEX('DONNÉES BRUTES'!T$3:T$42,MATCH(LARGE(IF('DONNÉES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P18" t="str" cm="1">
        <f t="array" ref="P18">IFERROR(IF(8&gt;COUNTIF('DONNÉES BRUTES'!C$3:C$42,"Real Estate"),"",INDEX('DONNÉES BRUTES'!U$3:U$42,MATCH(LARGE(IF('DONNÉES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Q18" t="str" cm="1">
        <f t="array" ref="Q18">IFERROR(IF(8&gt;COUNTIF('DONNÉES BRUTES'!C$3:C$42,"Real Estate"),"",INDEX('DONNÉES BRUTES'!AD$3:AD$42,MATCH(LARGE(IF('DONNÉES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</row>
    <row r="19" spans="2:28" ht="15.95" customHeight="1" x14ac:dyDescent="0.25">
      <c r="B19" t="str">
        <f>IF(9&gt;COUNTIF('DONNÉES BRUTES'!C$3:C$42,"Real Estate"),"",9)</f>
        <v/>
      </c>
      <c r="C19" t="str" cm="1">
        <f t="array" ref="C19">IFERROR(IF(9&gt;COUNTIF('DONNÉES BRUTES'!C$3:C$42,"Real Estate"),"",INDEX('DONNÉES BRUTES'!A$3:A$42,MATCH(LARGE(IF('DONNÉES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D19" t="str" cm="1">
        <f t="array" ref="D19">IFERROR(IF(9&gt;COUNTIF('DONNÉES BRUTES'!C$3:C$42,"Real Estate"),"",INDEX('DONNÉES BRUTES'!B$3:B$42,MATCH(LARGE(IF('DONNÉES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E19" t="str" cm="1">
        <f t="array" ref="E19">IFERROR(IF(9&gt;COUNTIF('DONNÉES BRUTES'!C$3:C$42,"Real Estate"),"",INT(LARGE(IF('DONNÉES BRUTES'!C$3:C$42="Real Estate",'DONNÉES BRUTES'!AB$3:AB$42+(ROW('DONNÉES BRUTES'!A$3:A$42)-ROW('DONNÉES BRUTES'!A$3))/1000,0),9))&amp;"/100"),"—")</f>
        <v/>
      </c>
      <c r="F19" t="str" cm="1">
        <f t="array" ref="F19">IFERROR(IF(9&gt;COUNTIF('DONNÉES BRUTES'!C$3:C$42,"Real Estate"),"",INDEX('DONNÉES BRUTES'!Y$3:Y$42,MATCH(LARGE(IF('DONNÉES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G19" t="str" cm="1">
        <f t="array" ref="G19">IFERROR(IF(9&gt;COUNTIF('DONNÉES BRUTES'!C$3:C$42,"Real Estate"),"",INDEX('DONNÉES BRUTES'!Z$3:Z$42,MATCH(LARGE(IF('DONNÉES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H19" t="str" cm="1">
        <f t="array" ref="H19">IFERROR(IF(9&gt;COUNTIF('DONNÉES BRUTES'!C$3:C$42,"Real Estate"),"",INDEX('DONNÉES BRUTES'!AA$3:AA$42,MATCH(LARGE(IF('DONNÉES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I19" t="str" cm="1">
        <f t="array" ref="I19">IFERROR(IF(9&gt;COUNTIF('DONNÉES BRUTES'!C$3:C$42,"Real Estate"),"",INDEX('DONNÉES BRUTES'!M$3:M$42,MATCH(LARGE(IF('DONNÉES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J19" t="str" cm="1">
        <f t="array" ref="J19">IFERROR(IF(9&gt;COUNTIF('DONNÉES BRUTES'!C$3:C$42,"Real Estate"),"",INDEX('DONNÉES BRUTES'!N$3:N$42,MATCH(LARGE(IF('DONNÉES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K19" t="str" cm="1">
        <f t="array" ref="K19">IFERROR(IF(9&gt;COUNTIF('DONNÉES BRUTES'!C$3:C$42,"Real Estate"),"",INDEX('DONNÉES BRUTES'!O$3:O$42,MATCH(LARGE(IF('DONNÉES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L19" t="str" cm="1">
        <f t="array" ref="L19">IFERROR(IF(9&gt;COUNTIF('DONNÉES BRUTES'!C$3:C$42,"Real Estate"),"",INDEX('DONNÉES BRUTES'!P$3:P$42,MATCH(LARGE(IF('DONNÉES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M19" t="str" cm="1">
        <f t="array" ref="M19">IFERROR(IF(9&gt;COUNTIF('DONNÉES BRUTES'!C$3:C$42,"Real Estate"),"",INDEX('DONNÉES BRUTES'!Q$3:Q$42,MATCH(LARGE(IF('DONNÉES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N19" t="str" cm="1">
        <f t="array" ref="N19">IFERROR(IF(9&gt;COUNTIF('DONNÉES BRUTES'!C$3:C$42,"Real Estate"),"",INDEX('DONNÉES BRUTES'!S$3:S$42,MATCH(LARGE(IF('DONNÉES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O19" t="str" cm="1">
        <f t="array" ref="O19">IFERROR(IF(9&gt;COUNTIF('DONNÉES BRUTES'!C$3:C$42,"Real Estate"),"",INDEX('DONNÉES BRUTES'!T$3:T$42,MATCH(LARGE(IF('DONNÉES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P19" t="str" cm="1">
        <f t="array" ref="P19">IFERROR(IF(9&gt;COUNTIF('DONNÉES BRUTES'!C$3:C$42,"Real Estate"),"",INDEX('DONNÉES BRUTES'!U$3:U$42,MATCH(LARGE(IF('DONNÉES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Q19" t="str" cm="1">
        <f t="array" ref="Q19">IFERROR(IF(9&gt;COUNTIF('DONNÉES BRUTES'!C$3:C$42,"Real Estate"),"",INDEX('DONNÉES BRUTES'!AD$3:AD$42,MATCH(LARGE(IF('DONNÉES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</row>
    <row r="20" spans="2:28" ht="15.95" customHeight="1" x14ac:dyDescent="0.25">
      <c r="B20" t="str">
        <f>IF(10&gt;COUNTIF('DONNÉES BRUTES'!C$3:C$42,"Real Estate"),"",10)</f>
        <v/>
      </c>
      <c r="C20" t="str" cm="1">
        <f t="array" ref="C20">IFERROR(IF(10&gt;COUNTIF('DONNÉES BRUTES'!C$3:C$42,"Real Estate"),"",INDEX('DONNÉES BRUTES'!A$3:A$42,MATCH(LARGE(IF('DONNÉES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D20" t="str" cm="1">
        <f t="array" ref="D20">IFERROR(IF(10&gt;COUNTIF('DONNÉES BRUTES'!C$3:C$42,"Real Estate"),"",INDEX('DONNÉES BRUTES'!B$3:B$42,MATCH(LARGE(IF('DONNÉES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E20" t="str" cm="1">
        <f t="array" ref="E20">IFERROR(IF(10&gt;COUNTIF('DONNÉES BRUTES'!C$3:C$42,"Real Estate"),"",INT(LARGE(IF('DONNÉES BRUTES'!C$3:C$42="Real Estate",'DONNÉES BRUTES'!AB$3:AB$42+(ROW('DONNÉES BRUTES'!A$3:A$42)-ROW('DONNÉES BRUTES'!A$3))/1000,0),10))&amp;"/100"),"—")</f>
        <v/>
      </c>
      <c r="F20" t="str" cm="1">
        <f t="array" ref="F20">IFERROR(IF(10&gt;COUNTIF('DONNÉES BRUTES'!C$3:C$42,"Real Estate"),"",INDEX('DONNÉES BRUTES'!Y$3:Y$42,MATCH(LARGE(IF('DONNÉES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G20" t="str" cm="1">
        <f t="array" ref="G20">IFERROR(IF(10&gt;COUNTIF('DONNÉES BRUTES'!C$3:C$42,"Real Estate"),"",INDEX('DONNÉES BRUTES'!Z$3:Z$42,MATCH(LARGE(IF('DONNÉES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H20" t="str" cm="1">
        <f t="array" ref="H20">IFERROR(IF(10&gt;COUNTIF('DONNÉES BRUTES'!C$3:C$42,"Real Estate"),"",INDEX('DONNÉES BRUTES'!AA$3:AA$42,MATCH(LARGE(IF('DONNÉES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I20" t="str" cm="1">
        <f t="array" ref="I20">IFERROR(IF(10&gt;COUNTIF('DONNÉES BRUTES'!C$3:C$42,"Real Estate"),"",INDEX('DONNÉES BRUTES'!M$3:M$42,MATCH(LARGE(IF('DONNÉES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J20" t="str" cm="1">
        <f t="array" ref="J20">IFERROR(IF(10&gt;COUNTIF('DONNÉES BRUTES'!C$3:C$42,"Real Estate"),"",INDEX('DONNÉES BRUTES'!N$3:N$42,MATCH(LARGE(IF('DONNÉES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K20" t="str" cm="1">
        <f t="array" ref="K20">IFERROR(IF(10&gt;COUNTIF('DONNÉES BRUTES'!C$3:C$42,"Real Estate"),"",INDEX('DONNÉES BRUTES'!O$3:O$42,MATCH(LARGE(IF('DONNÉES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L20" t="str" cm="1">
        <f t="array" ref="L20">IFERROR(IF(10&gt;COUNTIF('DONNÉES BRUTES'!C$3:C$42,"Real Estate"),"",INDEX('DONNÉES BRUTES'!P$3:P$42,MATCH(LARGE(IF('DONNÉES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M20" t="str" cm="1">
        <f t="array" ref="M20">IFERROR(IF(10&gt;COUNTIF('DONNÉES BRUTES'!C$3:C$42,"Real Estate"),"",INDEX('DONNÉES BRUTES'!Q$3:Q$42,MATCH(LARGE(IF('DONNÉES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N20" t="str" cm="1">
        <f t="array" ref="N20">IFERROR(IF(10&gt;COUNTIF('DONNÉES BRUTES'!C$3:C$42,"Real Estate"),"",INDEX('DONNÉES BRUTES'!S$3:S$42,MATCH(LARGE(IF('DONNÉES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O20" t="str" cm="1">
        <f t="array" ref="O20">IFERROR(IF(10&gt;COUNTIF('DONNÉES BRUTES'!C$3:C$42,"Real Estate"),"",INDEX('DONNÉES BRUTES'!T$3:T$42,MATCH(LARGE(IF('DONNÉES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P20" t="str" cm="1">
        <f t="array" ref="P20">IFERROR(IF(10&gt;COUNTIF('DONNÉES BRUTES'!C$3:C$42,"Real Estate"),"",INDEX('DONNÉES BRUTES'!U$3:U$42,MATCH(LARGE(IF('DONNÉES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Q20" t="str" cm="1">
        <f t="array" ref="Q20">IFERROR(IF(10&gt;COUNTIF('DONNÉES BRUTES'!C$3:C$42,"Real Estate"),"",INDEX('DONNÉES BRUTES'!AD$3:AD$42,MATCH(LARGE(IF('DONNÉES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</row>
    <row r="21" spans="2:28" ht="15.95" customHeight="1" x14ac:dyDescent="0.25">
      <c r="B21" t="str">
        <f>IF(11&gt;COUNTIF('DONNÉES BRUTES'!C$3:C$42,"Real Estate"),"",11)</f>
        <v/>
      </c>
      <c r="C21" t="str" cm="1">
        <f t="array" ref="C21">IFERROR(IF(11&gt;COUNTIF('DONNÉES BRUTES'!C$3:C$42,"Real Estate"),"",INDEX('DONNÉES BRUTES'!A$3:A$42,MATCH(LARGE(IF('DONNÉES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D21" t="str" cm="1">
        <f t="array" ref="D21">IFERROR(IF(11&gt;COUNTIF('DONNÉES BRUTES'!C$3:C$42,"Real Estate"),"",INDEX('DONNÉES BRUTES'!B$3:B$42,MATCH(LARGE(IF('DONNÉES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E21" t="str" cm="1">
        <f t="array" ref="E21">IFERROR(IF(11&gt;COUNTIF('DONNÉES BRUTES'!C$3:C$42,"Real Estate"),"",INT(LARGE(IF('DONNÉES BRUTES'!C$3:C$42="Real Estate",'DONNÉES BRUTES'!AB$3:AB$42+(ROW('DONNÉES BRUTES'!A$3:A$42)-ROW('DONNÉES BRUTES'!A$3))/1000,0),11))&amp;"/100"),"—")</f>
        <v/>
      </c>
      <c r="F21" t="str" cm="1">
        <f t="array" ref="F21">IFERROR(IF(11&gt;COUNTIF('DONNÉES BRUTES'!C$3:C$42,"Real Estate"),"",INDEX('DONNÉES BRUTES'!Y$3:Y$42,MATCH(LARGE(IF('DONNÉES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G21" t="str" cm="1">
        <f t="array" ref="G21">IFERROR(IF(11&gt;COUNTIF('DONNÉES BRUTES'!C$3:C$42,"Real Estate"),"",INDEX('DONNÉES BRUTES'!Z$3:Z$42,MATCH(LARGE(IF('DONNÉES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H21" t="str" cm="1">
        <f t="array" ref="H21">IFERROR(IF(11&gt;COUNTIF('DONNÉES BRUTES'!C$3:C$42,"Real Estate"),"",INDEX('DONNÉES BRUTES'!AA$3:AA$42,MATCH(LARGE(IF('DONNÉES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I21" t="str" cm="1">
        <f t="array" ref="I21">IFERROR(IF(11&gt;COUNTIF('DONNÉES BRUTES'!C$3:C$42,"Real Estate"),"",INDEX('DONNÉES BRUTES'!M$3:M$42,MATCH(LARGE(IF('DONNÉES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J21" t="str" cm="1">
        <f t="array" ref="J21">IFERROR(IF(11&gt;COUNTIF('DONNÉES BRUTES'!C$3:C$42,"Real Estate"),"",INDEX('DONNÉES BRUTES'!N$3:N$42,MATCH(LARGE(IF('DONNÉES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K21" t="str" cm="1">
        <f t="array" ref="K21">IFERROR(IF(11&gt;COUNTIF('DONNÉES BRUTES'!C$3:C$42,"Real Estate"),"",INDEX('DONNÉES BRUTES'!O$3:O$42,MATCH(LARGE(IF('DONNÉES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L21" t="str" cm="1">
        <f t="array" ref="L21">IFERROR(IF(11&gt;COUNTIF('DONNÉES BRUTES'!C$3:C$42,"Real Estate"),"",INDEX('DONNÉES BRUTES'!P$3:P$42,MATCH(LARGE(IF('DONNÉES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M21" t="str" cm="1">
        <f t="array" ref="M21">IFERROR(IF(11&gt;COUNTIF('DONNÉES BRUTES'!C$3:C$42,"Real Estate"),"",INDEX('DONNÉES BRUTES'!Q$3:Q$42,MATCH(LARGE(IF('DONNÉES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N21" t="str" cm="1">
        <f t="array" ref="N21">IFERROR(IF(11&gt;COUNTIF('DONNÉES BRUTES'!C$3:C$42,"Real Estate"),"",INDEX('DONNÉES BRUTES'!S$3:S$42,MATCH(LARGE(IF('DONNÉES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O21" t="str" cm="1">
        <f t="array" ref="O21">IFERROR(IF(11&gt;COUNTIF('DONNÉES BRUTES'!C$3:C$42,"Real Estate"),"",INDEX('DONNÉES BRUTES'!T$3:T$42,MATCH(LARGE(IF('DONNÉES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P21" t="str" cm="1">
        <f t="array" ref="P21">IFERROR(IF(11&gt;COUNTIF('DONNÉES BRUTES'!C$3:C$42,"Real Estate"),"",INDEX('DONNÉES BRUTES'!U$3:U$42,MATCH(LARGE(IF('DONNÉES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Q21" t="str" cm="1">
        <f t="array" ref="Q21">IFERROR(IF(11&gt;COUNTIF('DONNÉES BRUTES'!C$3:C$42,"Real Estate"),"",INDEX('DONNÉES BRUTES'!AD$3:AD$42,MATCH(LARGE(IF('DONNÉES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</row>
    <row r="22" spans="2:28" ht="15.95" customHeight="1" x14ac:dyDescent="0.25">
      <c r="B22" t="str">
        <f>IF(12&gt;COUNTIF('DONNÉES BRUTES'!C$3:C$42,"Real Estate"),"",12)</f>
        <v/>
      </c>
      <c r="C22" t="str" cm="1">
        <f t="array" ref="C22">IFERROR(IF(12&gt;COUNTIF('DONNÉES BRUTES'!C$3:C$42,"Real Estate"),"",INDEX('DONNÉES BRUTES'!A$3:A$42,MATCH(LARGE(IF('DONNÉES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D22" t="str" cm="1">
        <f t="array" ref="D22">IFERROR(IF(12&gt;COUNTIF('DONNÉES BRUTES'!C$3:C$42,"Real Estate"),"",INDEX('DONNÉES BRUTES'!B$3:B$42,MATCH(LARGE(IF('DONNÉES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E22" t="str" cm="1">
        <f t="array" ref="E22">IFERROR(IF(12&gt;COUNTIF('DONNÉES BRUTES'!C$3:C$42,"Real Estate"),"",INT(LARGE(IF('DONNÉES BRUTES'!C$3:C$42="Real Estate",'DONNÉES BRUTES'!AB$3:AB$42+(ROW('DONNÉES BRUTES'!A$3:A$42)-ROW('DONNÉES BRUTES'!A$3))/1000,0),12))&amp;"/100"),"—")</f>
        <v/>
      </c>
      <c r="F22" t="str" cm="1">
        <f t="array" ref="F22">IFERROR(IF(12&gt;COUNTIF('DONNÉES BRUTES'!C$3:C$42,"Real Estate"),"",INDEX('DONNÉES BRUTES'!Y$3:Y$42,MATCH(LARGE(IF('DONNÉES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G22" t="str" cm="1">
        <f t="array" ref="G22">IFERROR(IF(12&gt;COUNTIF('DONNÉES BRUTES'!C$3:C$42,"Real Estate"),"",INDEX('DONNÉES BRUTES'!Z$3:Z$42,MATCH(LARGE(IF('DONNÉES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H22" t="str" cm="1">
        <f t="array" ref="H22">IFERROR(IF(12&gt;COUNTIF('DONNÉES BRUTES'!C$3:C$42,"Real Estate"),"",INDEX('DONNÉES BRUTES'!AA$3:AA$42,MATCH(LARGE(IF('DONNÉES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I22" t="str" cm="1">
        <f t="array" ref="I22">IFERROR(IF(12&gt;COUNTIF('DONNÉES BRUTES'!C$3:C$42,"Real Estate"),"",INDEX('DONNÉES BRUTES'!M$3:M$42,MATCH(LARGE(IF('DONNÉES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J22" t="str" cm="1">
        <f t="array" ref="J22">IFERROR(IF(12&gt;COUNTIF('DONNÉES BRUTES'!C$3:C$42,"Real Estate"),"",INDEX('DONNÉES BRUTES'!N$3:N$42,MATCH(LARGE(IF('DONNÉES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K22" t="str" cm="1">
        <f t="array" ref="K22">IFERROR(IF(12&gt;COUNTIF('DONNÉES BRUTES'!C$3:C$42,"Real Estate"),"",INDEX('DONNÉES BRUTES'!O$3:O$42,MATCH(LARGE(IF('DONNÉES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L22" t="str" cm="1">
        <f t="array" ref="L22">IFERROR(IF(12&gt;COUNTIF('DONNÉES BRUTES'!C$3:C$42,"Real Estate"),"",INDEX('DONNÉES BRUTES'!P$3:P$42,MATCH(LARGE(IF('DONNÉES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M22" t="str" cm="1">
        <f t="array" ref="M22">IFERROR(IF(12&gt;COUNTIF('DONNÉES BRUTES'!C$3:C$42,"Real Estate"),"",INDEX('DONNÉES BRUTES'!Q$3:Q$42,MATCH(LARGE(IF('DONNÉES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N22" t="str" cm="1">
        <f t="array" ref="N22">IFERROR(IF(12&gt;COUNTIF('DONNÉES BRUTES'!C$3:C$42,"Real Estate"),"",INDEX('DONNÉES BRUTES'!S$3:S$42,MATCH(LARGE(IF('DONNÉES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O22" t="str" cm="1">
        <f t="array" ref="O22">IFERROR(IF(12&gt;COUNTIF('DONNÉES BRUTES'!C$3:C$42,"Real Estate"),"",INDEX('DONNÉES BRUTES'!T$3:T$42,MATCH(LARGE(IF('DONNÉES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P22" t="str" cm="1">
        <f t="array" ref="P22">IFERROR(IF(12&gt;COUNTIF('DONNÉES BRUTES'!C$3:C$42,"Real Estate"),"",INDEX('DONNÉES BRUTES'!U$3:U$42,MATCH(LARGE(IF('DONNÉES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Q22" t="str" cm="1">
        <f t="array" ref="Q22">IFERROR(IF(12&gt;COUNTIF('DONNÉES BRUTES'!C$3:C$42,"Real Estate"),"",INDEX('DONNÉES BRUTES'!AD$3:AD$42,MATCH(LARGE(IF('DONNÉES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</row>
    <row r="23" spans="2:28" ht="15.95" customHeight="1" x14ac:dyDescent="0.25">
      <c r="B23" t="str">
        <f>IF(13&gt;COUNTIF('DONNÉES BRUTES'!C$3:C$42,"Real Estate"),"",13)</f>
        <v/>
      </c>
      <c r="C23" t="str" cm="1">
        <f t="array" ref="C23">IFERROR(IF(13&gt;COUNTIF('DONNÉES BRUTES'!C$3:C$42,"Real Estate"),"",INDEX('DONNÉES BRUTES'!A$3:A$42,MATCH(LARGE(IF('DONNÉES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D23" t="str" cm="1">
        <f t="array" ref="D23">IFERROR(IF(13&gt;COUNTIF('DONNÉES BRUTES'!C$3:C$42,"Real Estate"),"",INDEX('DONNÉES BRUTES'!B$3:B$42,MATCH(LARGE(IF('DONNÉES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E23" t="str" cm="1">
        <f t="array" ref="E23">IFERROR(IF(13&gt;COUNTIF('DONNÉES BRUTES'!C$3:C$42,"Real Estate"),"",INT(LARGE(IF('DONNÉES BRUTES'!C$3:C$42="Real Estate",'DONNÉES BRUTES'!AB$3:AB$42+(ROW('DONNÉES BRUTES'!A$3:A$42)-ROW('DONNÉES BRUTES'!A$3))/1000,0),13))&amp;"/100"),"—")</f>
        <v/>
      </c>
      <c r="F23" t="str" cm="1">
        <f t="array" ref="F23">IFERROR(IF(13&gt;COUNTIF('DONNÉES BRUTES'!C$3:C$42,"Real Estate"),"",INDEX('DONNÉES BRUTES'!Y$3:Y$42,MATCH(LARGE(IF('DONNÉES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G23" t="str" cm="1">
        <f t="array" ref="G23">IFERROR(IF(13&gt;COUNTIF('DONNÉES BRUTES'!C$3:C$42,"Real Estate"),"",INDEX('DONNÉES BRUTES'!Z$3:Z$42,MATCH(LARGE(IF('DONNÉES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H23" t="str" cm="1">
        <f t="array" ref="H23">IFERROR(IF(13&gt;COUNTIF('DONNÉES BRUTES'!C$3:C$42,"Real Estate"),"",INDEX('DONNÉES BRUTES'!AA$3:AA$42,MATCH(LARGE(IF('DONNÉES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I23" t="str" cm="1">
        <f t="array" ref="I23">IFERROR(IF(13&gt;COUNTIF('DONNÉES BRUTES'!C$3:C$42,"Real Estate"),"",INDEX('DONNÉES BRUTES'!M$3:M$42,MATCH(LARGE(IF('DONNÉES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J23" t="str" cm="1">
        <f t="array" ref="J23">IFERROR(IF(13&gt;COUNTIF('DONNÉES BRUTES'!C$3:C$42,"Real Estate"),"",INDEX('DONNÉES BRUTES'!N$3:N$42,MATCH(LARGE(IF('DONNÉES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K23" t="str" cm="1">
        <f t="array" ref="K23">IFERROR(IF(13&gt;COUNTIF('DONNÉES BRUTES'!C$3:C$42,"Real Estate"),"",INDEX('DONNÉES BRUTES'!O$3:O$42,MATCH(LARGE(IF('DONNÉES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L23" t="str" cm="1">
        <f t="array" ref="L23">IFERROR(IF(13&gt;COUNTIF('DONNÉES BRUTES'!C$3:C$42,"Real Estate"),"",INDEX('DONNÉES BRUTES'!P$3:P$42,MATCH(LARGE(IF('DONNÉES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M23" t="str" cm="1">
        <f t="array" ref="M23">IFERROR(IF(13&gt;COUNTIF('DONNÉES BRUTES'!C$3:C$42,"Real Estate"),"",INDEX('DONNÉES BRUTES'!Q$3:Q$42,MATCH(LARGE(IF('DONNÉES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N23" t="str" cm="1">
        <f t="array" ref="N23">IFERROR(IF(13&gt;COUNTIF('DONNÉES BRUTES'!C$3:C$42,"Real Estate"),"",INDEX('DONNÉES BRUTES'!S$3:S$42,MATCH(LARGE(IF('DONNÉES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O23" t="str" cm="1">
        <f t="array" ref="O23">IFERROR(IF(13&gt;COUNTIF('DONNÉES BRUTES'!C$3:C$42,"Real Estate"),"",INDEX('DONNÉES BRUTES'!T$3:T$42,MATCH(LARGE(IF('DONNÉES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P23" t="str" cm="1">
        <f t="array" ref="P23">IFERROR(IF(13&gt;COUNTIF('DONNÉES BRUTES'!C$3:C$42,"Real Estate"),"",INDEX('DONNÉES BRUTES'!U$3:U$42,MATCH(LARGE(IF('DONNÉES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Q23" t="str" cm="1">
        <f t="array" ref="Q23">IFERROR(IF(13&gt;COUNTIF('DONNÉES BRUTES'!C$3:C$42,"Real Estate"),"",INDEX('DONNÉES BRUTES'!AD$3:AD$42,MATCH(LARGE(IF('DONNÉES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</row>
    <row r="24" spans="2:28" ht="15.95" customHeight="1" x14ac:dyDescent="0.25">
      <c r="B24" t="str">
        <f>IF(14&gt;COUNTIF('DONNÉES BRUTES'!C$3:C$42,"Real Estate"),"",14)</f>
        <v/>
      </c>
      <c r="C24" t="str" cm="1">
        <f t="array" ref="C24">IFERROR(IF(14&gt;COUNTIF('DONNÉES BRUTES'!C$3:C$42,"Real Estate"),"",INDEX('DONNÉES BRUTES'!A$3:A$42,MATCH(LARGE(IF('DONNÉES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D24" t="str" cm="1">
        <f t="array" ref="D24">IFERROR(IF(14&gt;COUNTIF('DONNÉES BRUTES'!C$3:C$42,"Real Estate"),"",INDEX('DONNÉES BRUTES'!B$3:B$42,MATCH(LARGE(IF('DONNÉES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E24" t="str" cm="1">
        <f t="array" ref="E24">IFERROR(IF(14&gt;COUNTIF('DONNÉES BRUTES'!C$3:C$42,"Real Estate"),"",INT(LARGE(IF('DONNÉES BRUTES'!C$3:C$42="Real Estate",'DONNÉES BRUTES'!AB$3:AB$42+(ROW('DONNÉES BRUTES'!A$3:A$42)-ROW('DONNÉES BRUTES'!A$3))/1000,0),14))&amp;"/100"),"—")</f>
        <v/>
      </c>
      <c r="F24" t="str" cm="1">
        <f t="array" ref="F24">IFERROR(IF(14&gt;COUNTIF('DONNÉES BRUTES'!C$3:C$42,"Real Estate"),"",INDEX('DONNÉES BRUTES'!Y$3:Y$42,MATCH(LARGE(IF('DONNÉES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G24" t="str" cm="1">
        <f t="array" ref="G24">IFERROR(IF(14&gt;COUNTIF('DONNÉES BRUTES'!C$3:C$42,"Real Estate"),"",INDEX('DONNÉES BRUTES'!Z$3:Z$42,MATCH(LARGE(IF('DONNÉES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H24" t="str" cm="1">
        <f t="array" ref="H24">IFERROR(IF(14&gt;COUNTIF('DONNÉES BRUTES'!C$3:C$42,"Real Estate"),"",INDEX('DONNÉES BRUTES'!AA$3:AA$42,MATCH(LARGE(IF('DONNÉES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I24" t="str" cm="1">
        <f t="array" ref="I24">IFERROR(IF(14&gt;COUNTIF('DONNÉES BRUTES'!C$3:C$42,"Real Estate"),"",INDEX('DONNÉES BRUTES'!M$3:M$42,MATCH(LARGE(IF('DONNÉES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J24" t="str" cm="1">
        <f t="array" ref="J24">IFERROR(IF(14&gt;COUNTIF('DONNÉES BRUTES'!C$3:C$42,"Real Estate"),"",INDEX('DONNÉES BRUTES'!N$3:N$42,MATCH(LARGE(IF('DONNÉES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K24" t="str" cm="1">
        <f t="array" ref="K24">IFERROR(IF(14&gt;COUNTIF('DONNÉES BRUTES'!C$3:C$42,"Real Estate"),"",INDEX('DONNÉES BRUTES'!O$3:O$42,MATCH(LARGE(IF('DONNÉES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L24" t="str" cm="1">
        <f t="array" ref="L24">IFERROR(IF(14&gt;COUNTIF('DONNÉES BRUTES'!C$3:C$42,"Real Estate"),"",INDEX('DONNÉES BRUTES'!P$3:P$42,MATCH(LARGE(IF('DONNÉES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M24" t="str" cm="1">
        <f t="array" ref="M24">IFERROR(IF(14&gt;COUNTIF('DONNÉES BRUTES'!C$3:C$42,"Real Estate"),"",INDEX('DONNÉES BRUTES'!Q$3:Q$42,MATCH(LARGE(IF('DONNÉES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N24" t="str" cm="1">
        <f t="array" ref="N24">IFERROR(IF(14&gt;COUNTIF('DONNÉES BRUTES'!C$3:C$42,"Real Estate"),"",INDEX('DONNÉES BRUTES'!S$3:S$42,MATCH(LARGE(IF('DONNÉES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O24" t="str" cm="1">
        <f t="array" ref="O24">IFERROR(IF(14&gt;COUNTIF('DONNÉES BRUTES'!C$3:C$42,"Real Estate"),"",INDEX('DONNÉES BRUTES'!T$3:T$42,MATCH(LARGE(IF('DONNÉES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P24" t="str" cm="1">
        <f t="array" ref="P24">IFERROR(IF(14&gt;COUNTIF('DONNÉES BRUTES'!C$3:C$42,"Real Estate"),"",INDEX('DONNÉES BRUTES'!U$3:U$42,MATCH(LARGE(IF('DONNÉES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Q24" t="str" cm="1">
        <f t="array" ref="Q24">IFERROR(IF(14&gt;COUNTIF('DONNÉES BRUTES'!C$3:C$42,"Real Estate"),"",INDEX('DONNÉES BRUTES'!AD$3:AD$42,MATCH(LARGE(IF('DONNÉES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</row>
    <row r="25" spans="2:28" ht="15.95" customHeight="1" x14ac:dyDescent="0.25">
      <c r="B25" t="str">
        <f>IF(15&gt;COUNTIF('DONNÉES BRUTES'!C$3:C$42,"Real Estate"),"",15)</f>
        <v/>
      </c>
      <c r="C25" t="str" cm="1">
        <f t="array" ref="C25">IFERROR(IF(15&gt;COUNTIF('DONNÉES BRUTES'!C$3:C$42,"Real Estate"),"",INDEX('DONNÉES BRUTES'!A$3:A$42,MATCH(LARGE(IF('DONNÉES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D25" t="str" cm="1">
        <f t="array" ref="D25">IFERROR(IF(15&gt;COUNTIF('DONNÉES BRUTES'!C$3:C$42,"Real Estate"),"",INDEX('DONNÉES BRUTES'!B$3:B$42,MATCH(LARGE(IF('DONNÉES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E25" t="str" cm="1">
        <f t="array" ref="E25">IFERROR(IF(15&gt;COUNTIF('DONNÉES BRUTES'!C$3:C$42,"Real Estate"),"",INT(LARGE(IF('DONNÉES BRUTES'!C$3:C$42="Real Estate",'DONNÉES BRUTES'!AB$3:AB$42+(ROW('DONNÉES BRUTES'!A$3:A$42)-ROW('DONNÉES BRUTES'!A$3))/1000,0),15))&amp;"/100"),"—")</f>
        <v/>
      </c>
      <c r="F25" t="str" cm="1">
        <f t="array" ref="F25">IFERROR(IF(15&gt;COUNTIF('DONNÉES BRUTES'!C$3:C$42,"Real Estate"),"",INDEX('DONNÉES BRUTES'!Y$3:Y$42,MATCH(LARGE(IF('DONNÉES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G25" t="str" cm="1">
        <f t="array" ref="G25">IFERROR(IF(15&gt;COUNTIF('DONNÉES BRUTES'!C$3:C$42,"Real Estate"),"",INDEX('DONNÉES BRUTES'!Z$3:Z$42,MATCH(LARGE(IF('DONNÉES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H25" t="str" cm="1">
        <f t="array" ref="H25">IFERROR(IF(15&gt;COUNTIF('DONNÉES BRUTES'!C$3:C$42,"Real Estate"),"",INDEX('DONNÉES BRUTES'!AA$3:AA$42,MATCH(LARGE(IF('DONNÉES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I25" t="str" cm="1">
        <f t="array" ref="I25">IFERROR(IF(15&gt;COUNTIF('DONNÉES BRUTES'!C$3:C$42,"Real Estate"),"",INDEX('DONNÉES BRUTES'!M$3:M$42,MATCH(LARGE(IF('DONNÉES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J25" t="str" cm="1">
        <f t="array" ref="J25">IFERROR(IF(15&gt;COUNTIF('DONNÉES BRUTES'!C$3:C$42,"Real Estate"),"",INDEX('DONNÉES BRUTES'!N$3:N$42,MATCH(LARGE(IF('DONNÉES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K25" t="str" cm="1">
        <f t="array" ref="K25">IFERROR(IF(15&gt;COUNTIF('DONNÉES BRUTES'!C$3:C$42,"Real Estate"),"",INDEX('DONNÉES BRUTES'!O$3:O$42,MATCH(LARGE(IF('DONNÉES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L25" t="str" cm="1">
        <f t="array" ref="L25">IFERROR(IF(15&gt;COUNTIF('DONNÉES BRUTES'!C$3:C$42,"Real Estate"),"",INDEX('DONNÉES BRUTES'!P$3:P$42,MATCH(LARGE(IF('DONNÉES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M25" t="str" cm="1">
        <f t="array" ref="M25">IFERROR(IF(15&gt;COUNTIF('DONNÉES BRUTES'!C$3:C$42,"Real Estate"),"",INDEX('DONNÉES BRUTES'!Q$3:Q$42,MATCH(LARGE(IF('DONNÉES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N25" t="str" cm="1">
        <f t="array" ref="N25">IFERROR(IF(15&gt;COUNTIF('DONNÉES BRUTES'!C$3:C$42,"Real Estate"),"",INDEX('DONNÉES BRUTES'!S$3:S$42,MATCH(LARGE(IF('DONNÉES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O25" t="str" cm="1">
        <f t="array" ref="O25">IFERROR(IF(15&gt;COUNTIF('DONNÉES BRUTES'!C$3:C$42,"Real Estate"),"",INDEX('DONNÉES BRUTES'!T$3:T$42,MATCH(LARGE(IF('DONNÉES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P25" t="str" cm="1">
        <f t="array" ref="P25">IFERROR(IF(15&gt;COUNTIF('DONNÉES BRUTES'!C$3:C$42,"Real Estate"),"",INDEX('DONNÉES BRUTES'!U$3:U$42,MATCH(LARGE(IF('DONNÉES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Q25" t="str" cm="1">
        <f t="array" ref="Q25">IFERROR(IF(15&gt;COUNTIF('DONNÉES BRUTES'!C$3:C$42,"Real Estate"),"",INDEX('DONNÉES BRUTES'!AD$3:AD$42,MATCH(LARGE(IF('DONNÉES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</row>
    <row r="26" spans="2:28" ht="15.95" customHeight="1" x14ac:dyDescent="0.25"/>
    <row r="27" spans="2:28" ht="15.95" customHeight="1" x14ac:dyDescent="0.25"/>
    <row r="28" spans="2:28" ht="15.95" customHeight="1" x14ac:dyDescent="0.25">
      <c r="S28" s="235" t="s">
        <v>4</v>
      </c>
      <c r="T28" s="235" t="s">
        <v>5</v>
      </c>
      <c r="U28" s="235" t="s">
        <v>43</v>
      </c>
      <c r="V28" s="235" t="s">
        <v>44</v>
      </c>
      <c r="W28" s="235" t="s">
        <v>45</v>
      </c>
      <c r="X28" s="235"/>
      <c r="Y28" s="235" t="s">
        <v>4</v>
      </c>
      <c r="Z28" s="235" t="s">
        <v>43</v>
      </c>
      <c r="AA28" s="235" t="s">
        <v>44</v>
      </c>
      <c r="AB28" s="235" t="s">
        <v>45</v>
      </c>
    </row>
    <row r="29" spans="2:28" ht="15.95" customHeight="1" x14ac:dyDescent="0.25">
      <c r="S29" s="235" t="str">
        <f>IF(D11="","",LEFT(D11,14))</f>
        <v>Unibail-Rodamc</v>
      </c>
      <c r="T29" s="235">
        <f>IF(E11="","",IFERROR(VALUE(LEFT(E11,FIND("/",E11)-1)),0))</f>
        <v>69</v>
      </c>
      <c r="U29" s="235">
        <f>IF(ISNUMBER(F11),F11,0)</f>
        <v>92</v>
      </c>
      <c r="V29" s="235">
        <f>IF(ISNUMBER(G11),G11,0)</f>
        <v>95</v>
      </c>
      <c r="W29" s="235">
        <f>IF(ISNUMBER(H11),H11,0)</f>
        <v>21</v>
      </c>
      <c r="X29" s="235">
        <f>IF(ISNUMBER(F11),F11,"")</f>
        <v>92</v>
      </c>
      <c r="Y29" s="235">
        <f>IF(ISNUMBER(G11),G11,"")</f>
        <v>95</v>
      </c>
      <c r="Z29" s="235">
        <f>IF(ISNUMBER(H11),H11,"")</f>
        <v>21</v>
      </c>
      <c r="AA29" s="235">
        <v>95</v>
      </c>
      <c r="AB29" s="235">
        <v>21</v>
      </c>
    </row>
    <row r="30" spans="2:28" ht="15.95" customHeight="1" x14ac:dyDescent="0.25"/>
  </sheetData>
  <mergeCells count="3">
    <mergeCell ref="B1:Q1"/>
    <mergeCell ref="B2:Q2"/>
    <mergeCell ref="B8:Q8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42"/>
  <sheetViews>
    <sheetView showGridLines="0" zoomScale="90" workbookViewId="0"/>
  </sheetViews>
  <sheetFormatPr baseColWidth="10" defaultColWidth="8.85546875" defaultRowHeight="15" x14ac:dyDescent="0.25"/>
  <cols>
    <col min="1" max="1" width="14.7109375" customWidth="1"/>
    <col min="2" max="2" width="25.85546875" customWidth="1"/>
    <col min="3" max="3" width="21.28515625" customWidth="1"/>
    <col min="4" max="4" width="13.85546875" customWidth="1"/>
    <col min="5" max="5" width="14.7109375" customWidth="1"/>
    <col min="6" max="6" width="13.85546875" customWidth="1"/>
    <col min="7" max="7" width="15.7109375" customWidth="1"/>
    <col min="8" max="8" width="17.5703125" customWidth="1"/>
    <col min="9" max="9" width="17" customWidth="1"/>
    <col min="10" max="10" width="14.140625" customWidth="1"/>
    <col min="11" max="12" width="12.5703125" customWidth="1"/>
    <col min="13" max="13" width="15.28515625" customWidth="1"/>
    <col min="14" max="14" width="16.7109375" customWidth="1"/>
    <col min="15" max="15" width="15.28515625" customWidth="1"/>
    <col min="16" max="16" width="14.140625" customWidth="1"/>
    <col min="17" max="18" width="12.5703125" customWidth="1"/>
    <col min="19" max="19" width="14.7109375" customWidth="1"/>
    <col min="20" max="20" width="17.5703125" customWidth="1"/>
    <col min="21" max="21" width="14.7109375" customWidth="1"/>
    <col min="22" max="22" width="16.28515625" customWidth="1"/>
    <col min="23" max="24" width="15.28515625" customWidth="1"/>
    <col min="25" max="25" width="14.140625" customWidth="1"/>
    <col min="26" max="27" width="15.85546875" customWidth="1"/>
    <col min="28" max="28" width="17.42578125" customWidth="1"/>
    <col min="29" max="29" width="17" customWidth="1"/>
    <col min="30" max="30" width="15.28515625" customWidth="1"/>
  </cols>
  <sheetData>
    <row r="1" spans="1:34" ht="28.15" customHeight="1" thickBot="1" x14ac:dyDescent="0.3">
      <c r="A1" s="7" t="s">
        <v>391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F1" t="s">
        <v>3</v>
      </c>
      <c r="AG1" t="s">
        <v>217</v>
      </c>
      <c r="AH1" t="s">
        <v>400</v>
      </c>
    </row>
    <row r="2" spans="1:34" x14ac:dyDescent="0.25">
      <c r="A2" s="6" t="s">
        <v>3</v>
      </c>
      <c r="B2" s="6" t="s">
        <v>4</v>
      </c>
      <c r="C2" s="6" t="s">
        <v>42</v>
      </c>
      <c r="D2" s="6" t="s">
        <v>392</v>
      </c>
      <c r="E2" s="6" t="s">
        <v>393</v>
      </c>
      <c r="F2" s="6" t="s">
        <v>394</v>
      </c>
      <c r="G2" s="6" t="s">
        <v>395</v>
      </c>
      <c r="H2" s="6" t="s">
        <v>396</v>
      </c>
      <c r="I2" s="6" t="s">
        <v>47</v>
      </c>
      <c r="J2" s="6" t="s">
        <v>397</v>
      </c>
      <c r="K2" s="6" t="s">
        <v>87</v>
      </c>
      <c r="L2" s="6" t="s">
        <v>398</v>
      </c>
      <c r="M2" s="6" t="s">
        <v>399</v>
      </c>
      <c r="N2" s="6" t="s">
        <v>400</v>
      </c>
      <c r="O2" s="6" t="s">
        <v>401</v>
      </c>
      <c r="P2" s="6" t="s">
        <v>402</v>
      </c>
      <c r="Q2" s="6" t="s">
        <v>95</v>
      </c>
      <c r="R2" s="6" t="s">
        <v>403</v>
      </c>
      <c r="S2" s="6" t="s">
        <v>404</v>
      </c>
      <c r="T2" s="6" t="s">
        <v>405</v>
      </c>
      <c r="U2" s="6" t="s">
        <v>89</v>
      </c>
      <c r="V2" s="6" t="s">
        <v>154</v>
      </c>
      <c r="W2" s="6" t="s">
        <v>406</v>
      </c>
      <c r="X2" s="6" t="s">
        <v>407</v>
      </c>
      <c r="Y2" s="6" t="s">
        <v>408</v>
      </c>
      <c r="Z2" s="6" t="s">
        <v>409</v>
      </c>
      <c r="AA2" s="1" t="s">
        <v>410</v>
      </c>
      <c r="AB2" s="1" t="s">
        <v>217</v>
      </c>
      <c r="AC2" s="1" t="s">
        <v>411</v>
      </c>
      <c r="AD2" s="1" t="s">
        <v>50</v>
      </c>
      <c r="AF2" t="s">
        <v>36</v>
      </c>
      <c r="AG2">
        <v>75</v>
      </c>
      <c r="AH2">
        <v>46.8</v>
      </c>
    </row>
    <row r="3" spans="1:34" ht="13.15" customHeight="1" thickBot="1" x14ac:dyDescent="0.3">
      <c r="A3" s="4" t="s">
        <v>36</v>
      </c>
      <c r="B3" s="4" t="s">
        <v>37</v>
      </c>
      <c r="C3" s="4" t="s">
        <v>51</v>
      </c>
      <c r="D3" s="4" t="s">
        <v>11</v>
      </c>
      <c r="E3" s="4" t="s">
        <v>11</v>
      </c>
      <c r="F3" s="4" t="s">
        <v>11</v>
      </c>
      <c r="G3" s="4" t="s">
        <v>412</v>
      </c>
      <c r="H3" s="4" t="s">
        <v>413</v>
      </c>
      <c r="I3" s="4" t="s">
        <v>11</v>
      </c>
      <c r="J3" s="4" t="s">
        <v>11</v>
      </c>
      <c r="K3" s="4" t="s">
        <v>11</v>
      </c>
      <c r="L3" s="4" t="s">
        <v>11</v>
      </c>
      <c r="M3" s="4" t="s">
        <v>285</v>
      </c>
      <c r="N3" s="4" t="s">
        <v>52</v>
      </c>
      <c r="O3" s="4" t="s">
        <v>128</v>
      </c>
      <c r="P3" s="4" t="s">
        <v>53</v>
      </c>
      <c r="Q3" s="4" t="s">
        <v>129</v>
      </c>
      <c r="R3" s="4" t="s">
        <v>414</v>
      </c>
      <c r="S3" s="4" t="s">
        <v>167</v>
      </c>
      <c r="T3" s="4" t="s">
        <v>305</v>
      </c>
      <c r="U3" s="4" t="s">
        <v>38</v>
      </c>
      <c r="V3" s="4" t="s">
        <v>166</v>
      </c>
      <c r="W3" s="4" t="s">
        <v>14</v>
      </c>
      <c r="X3" s="4" t="s">
        <v>11</v>
      </c>
      <c r="Y3" s="4">
        <v>74</v>
      </c>
      <c r="Z3" s="4">
        <v>90</v>
      </c>
      <c r="AA3" s="2">
        <v>62</v>
      </c>
      <c r="AB3" s="2">
        <v>75</v>
      </c>
      <c r="AC3" s="2" t="s">
        <v>11</v>
      </c>
      <c r="AD3" s="2" t="s">
        <v>54</v>
      </c>
      <c r="AF3" t="s">
        <v>39</v>
      </c>
      <c r="AG3">
        <v>74</v>
      </c>
      <c r="AH3">
        <v>27.9</v>
      </c>
    </row>
    <row r="4" spans="1:34" ht="13.15" customHeight="1" thickBot="1" x14ac:dyDescent="0.3">
      <c r="A4" s="13" t="s">
        <v>39</v>
      </c>
      <c r="B4" s="13" t="s">
        <v>40</v>
      </c>
      <c r="C4" s="13" t="s">
        <v>55</v>
      </c>
      <c r="D4" s="13" t="s">
        <v>11</v>
      </c>
      <c r="E4" s="13" t="s">
        <v>11</v>
      </c>
      <c r="F4" s="13" t="s">
        <v>11</v>
      </c>
      <c r="G4" s="13" t="s">
        <v>415</v>
      </c>
      <c r="H4" s="13" t="s">
        <v>413</v>
      </c>
      <c r="I4" s="13" t="s">
        <v>11</v>
      </c>
      <c r="J4" s="13" t="s">
        <v>11</v>
      </c>
      <c r="K4" s="13" t="s">
        <v>11</v>
      </c>
      <c r="L4" s="13" t="s">
        <v>11</v>
      </c>
      <c r="M4" s="13" t="s">
        <v>384</v>
      </c>
      <c r="N4" s="13" t="s">
        <v>57</v>
      </c>
      <c r="O4" s="13" t="s">
        <v>119</v>
      </c>
      <c r="P4" s="13" t="s">
        <v>58</v>
      </c>
      <c r="Q4" s="13" t="s">
        <v>196</v>
      </c>
      <c r="R4" s="13" t="s">
        <v>416</v>
      </c>
      <c r="S4" s="13" t="s">
        <v>197</v>
      </c>
      <c r="T4" s="13" t="s">
        <v>386</v>
      </c>
      <c r="U4" s="13" t="s">
        <v>195</v>
      </c>
      <c r="V4" s="13" t="s">
        <v>191</v>
      </c>
      <c r="W4" s="13" t="s">
        <v>14</v>
      </c>
      <c r="X4" s="13" t="s">
        <v>11</v>
      </c>
      <c r="Y4" s="13">
        <v>55</v>
      </c>
      <c r="Z4" s="13">
        <v>77</v>
      </c>
      <c r="AA4" s="8">
        <v>90</v>
      </c>
      <c r="AB4" s="3">
        <v>74</v>
      </c>
      <c r="AC4" s="3" t="s">
        <v>11</v>
      </c>
      <c r="AD4" s="3" t="s">
        <v>59</v>
      </c>
      <c r="AF4" t="s">
        <v>9</v>
      </c>
      <c r="AG4">
        <v>72</v>
      </c>
      <c r="AH4">
        <v>30.4</v>
      </c>
    </row>
    <row r="5" spans="1:34" ht="15.95" customHeight="1" thickBot="1" x14ac:dyDescent="0.3">
      <c r="A5" s="14" t="s">
        <v>9</v>
      </c>
      <c r="B5" s="15" t="s">
        <v>10</v>
      </c>
      <c r="C5" s="14" t="s">
        <v>60</v>
      </c>
      <c r="D5" s="15" t="s">
        <v>11</v>
      </c>
      <c r="E5" s="15" t="s">
        <v>11</v>
      </c>
      <c r="F5" s="15" t="s">
        <v>11</v>
      </c>
      <c r="G5" s="15" t="s">
        <v>417</v>
      </c>
      <c r="H5" s="15" t="s">
        <v>418</v>
      </c>
      <c r="I5" s="15" t="s">
        <v>11</v>
      </c>
      <c r="J5" s="15" t="s">
        <v>11</v>
      </c>
      <c r="K5" s="15" t="s">
        <v>11</v>
      </c>
      <c r="L5" s="15" t="s">
        <v>11</v>
      </c>
      <c r="M5" s="15" t="s">
        <v>254</v>
      </c>
      <c r="N5" s="15" t="s">
        <v>62</v>
      </c>
      <c r="O5" s="15" t="s">
        <v>267</v>
      </c>
      <c r="P5" s="15" t="s">
        <v>63</v>
      </c>
      <c r="Q5" s="15" t="s">
        <v>159</v>
      </c>
      <c r="R5" s="15" t="s">
        <v>419</v>
      </c>
      <c r="S5" s="15" t="s">
        <v>160</v>
      </c>
      <c r="T5" s="15" t="s">
        <v>276</v>
      </c>
      <c r="U5" s="15" t="s">
        <v>11</v>
      </c>
      <c r="V5" s="15" t="s">
        <v>158</v>
      </c>
      <c r="W5" s="15" t="s">
        <v>14</v>
      </c>
      <c r="X5" s="15" t="s">
        <v>11</v>
      </c>
      <c r="Y5" s="15">
        <v>42</v>
      </c>
      <c r="Z5" s="15">
        <v>100</v>
      </c>
      <c r="AA5" s="11">
        <v>74</v>
      </c>
      <c r="AB5" s="9">
        <v>72</v>
      </c>
      <c r="AC5" s="9" t="s">
        <v>64</v>
      </c>
      <c r="AD5" s="9" t="s">
        <v>59</v>
      </c>
      <c r="AF5" t="s">
        <v>65</v>
      </c>
      <c r="AG5">
        <v>72</v>
      </c>
      <c r="AH5">
        <v>21</v>
      </c>
    </row>
    <row r="6" spans="1:34" ht="15.95" customHeight="1" thickBot="1" x14ac:dyDescent="0.3">
      <c r="A6" s="16" t="s">
        <v>65</v>
      </c>
      <c r="B6" s="17" t="s">
        <v>66</v>
      </c>
      <c r="C6" s="16" t="s">
        <v>67</v>
      </c>
      <c r="D6" s="17" t="s">
        <v>11</v>
      </c>
      <c r="E6" s="17" t="s">
        <v>11</v>
      </c>
      <c r="F6" s="17" t="s">
        <v>11</v>
      </c>
      <c r="G6" s="17" t="s">
        <v>420</v>
      </c>
      <c r="H6" s="17" t="s">
        <v>421</v>
      </c>
      <c r="I6" s="17" t="s">
        <v>11</v>
      </c>
      <c r="J6" s="17" t="s">
        <v>11</v>
      </c>
      <c r="K6" s="17" t="s">
        <v>11</v>
      </c>
      <c r="L6" s="17" t="s">
        <v>11</v>
      </c>
      <c r="M6" s="17" t="s">
        <v>373</v>
      </c>
      <c r="N6" s="17" t="s">
        <v>68</v>
      </c>
      <c r="O6" s="17" t="s">
        <v>102</v>
      </c>
      <c r="P6" s="17" t="s">
        <v>69</v>
      </c>
      <c r="Q6" s="17" t="s">
        <v>127</v>
      </c>
      <c r="R6" s="17" t="s">
        <v>422</v>
      </c>
      <c r="S6" s="17" t="s">
        <v>162</v>
      </c>
      <c r="T6" s="17" t="s">
        <v>379</v>
      </c>
      <c r="U6" s="17" t="s">
        <v>205</v>
      </c>
      <c r="V6" s="17" t="s">
        <v>206</v>
      </c>
      <c r="W6" s="17" t="s">
        <v>14</v>
      </c>
      <c r="X6" s="17" t="s">
        <v>11</v>
      </c>
      <c r="Y6" s="17">
        <v>76</v>
      </c>
      <c r="Z6" s="17">
        <v>72</v>
      </c>
      <c r="AA6" s="12">
        <v>67</v>
      </c>
      <c r="AB6" s="10">
        <v>72</v>
      </c>
      <c r="AC6" s="10" t="s">
        <v>11</v>
      </c>
      <c r="AD6" s="10" t="s">
        <v>59</v>
      </c>
      <c r="AF6" t="s">
        <v>18</v>
      </c>
      <c r="AG6">
        <v>72</v>
      </c>
      <c r="AH6">
        <v>26.7</v>
      </c>
    </row>
    <row r="7" spans="1:34" ht="15.95" customHeight="1" thickBot="1" x14ac:dyDescent="0.3">
      <c r="A7" s="14" t="s">
        <v>18</v>
      </c>
      <c r="B7" s="15" t="s">
        <v>19</v>
      </c>
      <c r="C7" s="14" t="s">
        <v>67</v>
      </c>
      <c r="D7" s="15" t="s">
        <v>11</v>
      </c>
      <c r="E7" s="15" t="s">
        <v>11</v>
      </c>
      <c r="F7" s="15" t="s">
        <v>11</v>
      </c>
      <c r="G7" s="15" t="s">
        <v>423</v>
      </c>
      <c r="H7" s="15" t="s">
        <v>424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374</v>
      </c>
      <c r="N7" s="15" t="s">
        <v>70</v>
      </c>
      <c r="O7" s="15" t="s">
        <v>111</v>
      </c>
      <c r="P7" s="15" t="s">
        <v>53</v>
      </c>
      <c r="Q7" s="15" t="s">
        <v>112</v>
      </c>
      <c r="R7" s="15" t="s">
        <v>425</v>
      </c>
      <c r="S7" s="15" t="s">
        <v>162</v>
      </c>
      <c r="T7" s="15" t="s">
        <v>362</v>
      </c>
      <c r="U7" s="15" t="s">
        <v>11</v>
      </c>
      <c r="V7" s="15" t="s">
        <v>161</v>
      </c>
      <c r="W7" s="15" t="s">
        <v>14</v>
      </c>
      <c r="X7" s="15" t="s">
        <v>11</v>
      </c>
      <c r="Y7" s="15">
        <v>87</v>
      </c>
      <c r="Z7" s="15">
        <v>97</v>
      </c>
      <c r="AA7" s="11">
        <v>31</v>
      </c>
      <c r="AB7" s="9">
        <v>72</v>
      </c>
      <c r="AC7" s="9" t="s">
        <v>64</v>
      </c>
      <c r="AD7" s="9" t="s">
        <v>59</v>
      </c>
      <c r="AF7" t="s">
        <v>12</v>
      </c>
      <c r="AG7">
        <v>70</v>
      </c>
      <c r="AH7">
        <v>6.8</v>
      </c>
    </row>
    <row r="8" spans="1:34" ht="15.95" customHeight="1" thickBot="1" x14ac:dyDescent="0.3">
      <c r="A8" s="16" t="s">
        <v>12</v>
      </c>
      <c r="B8" s="17" t="s">
        <v>13</v>
      </c>
      <c r="C8" s="16" t="s">
        <v>71</v>
      </c>
      <c r="D8" s="17" t="s">
        <v>11</v>
      </c>
      <c r="E8" s="17" t="s">
        <v>11</v>
      </c>
      <c r="F8" s="17" t="s">
        <v>11</v>
      </c>
      <c r="G8" s="17" t="s">
        <v>426</v>
      </c>
      <c r="H8" s="17" t="s">
        <v>427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325</v>
      </c>
      <c r="N8" s="17" t="s">
        <v>72</v>
      </c>
      <c r="O8" s="17" t="s">
        <v>104</v>
      </c>
      <c r="P8" s="17" t="s">
        <v>22</v>
      </c>
      <c r="Q8" s="17" t="s">
        <v>105</v>
      </c>
      <c r="R8" s="17" t="s">
        <v>63</v>
      </c>
      <c r="S8" s="17" t="s">
        <v>350</v>
      </c>
      <c r="T8" s="17" t="s">
        <v>307</v>
      </c>
      <c r="U8" s="17" t="s">
        <v>363</v>
      </c>
      <c r="V8" s="17" t="s">
        <v>206</v>
      </c>
      <c r="W8" s="17" t="s">
        <v>14</v>
      </c>
      <c r="X8" s="17" t="s">
        <v>11</v>
      </c>
      <c r="Y8" s="17">
        <v>95</v>
      </c>
      <c r="Z8" s="17">
        <v>15</v>
      </c>
      <c r="AA8" s="12">
        <v>100</v>
      </c>
      <c r="AB8" s="10">
        <v>70</v>
      </c>
      <c r="AC8" s="10" t="s">
        <v>73</v>
      </c>
      <c r="AD8" s="10" t="s">
        <v>59</v>
      </c>
      <c r="AF8" t="s">
        <v>23</v>
      </c>
      <c r="AG8">
        <v>69</v>
      </c>
      <c r="AH8">
        <v>89.1</v>
      </c>
    </row>
    <row r="9" spans="1:34" ht="15.95" customHeight="1" thickBot="1" x14ac:dyDescent="0.3">
      <c r="A9" s="14" t="s">
        <v>23</v>
      </c>
      <c r="B9" s="15" t="s">
        <v>24</v>
      </c>
      <c r="C9" s="14" t="s">
        <v>74</v>
      </c>
      <c r="D9" s="15" t="s">
        <v>11</v>
      </c>
      <c r="E9" s="15" t="s">
        <v>11</v>
      </c>
      <c r="F9" s="15" t="s">
        <v>11</v>
      </c>
      <c r="G9" s="15" t="s">
        <v>428</v>
      </c>
      <c r="H9" s="15" t="s">
        <v>429</v>
      </c>
      <c r="I9" s="15" t="s">
        <v>11</v>
      </c>
      <c r="J9" s="15" t="s">
        <v>11</v>
      </c>
      <c r="K9" s="15" t="s">
        <v>11</v>
      </c>
      <c r="L9" s="15" t="s">
        <v>11</v>
      </c>
      <c r="M9" s="15" t="s">
        <v>389</v>
      </c>
      <c r="N9" s="15" t="s">
        <v>76</v>
      </c>
      <c r="O9" s="15" t="s">
        <v>106</v>
      </c>
      <c r="P9" s="15" t="s">
        <v>28</v>
      </c>
      <c r="Q9" s="15" t="s">
        <v>107</v>
      </c>
      <c r="R9" s="15" t="s">
        <v>430</v>
      </c>
      <c r="S9" s="15" t="s">
        <v>164</v>
      </c>
      <c r="T9" s="15" t="s">
        <v>390</v>
      </c>
      <c r="U9" s="15" t="s">
        <v>25</v>
      </c>
      <c r="V9" s="15" t="s">
        <v>163</v>
      </c>
      <c r="W9" s="15" t="s">
        <v>14</v>
      </c>
      <c r="X9" s="15" t="s">
        <v>11</v>
      </c>
      <c r="Y9" s="15">
        <v>92</v>
      </c>
      <c r="Z9" s="15">
        <v>95</v>
      </c>
      <c r="AA9" s="11">
        <v>21</v>
      </c>
      <c r="AB9" s="9">
        <v>69</v>
      </c>
      <c r="AC9" s="9" t="s">
        <v>11</v>
      </c>
      <c r="AD9" s="9" t="s">
        <v>59</v>
      </c>
      <c r="AF9" t="s">
        <v>20</v>
      </c>
      <c r="AG9">
        <v>68</v>
      </c>
      <c r="AH9">
        <v>14</v>
      </c>
    </row>
    <row r="10" spans="1:34" ht="15.95" customHeight="1" thickBot="1" x14ac:dyDescent="0.3">
      <c r="A10" s="16" t="s">
        <v>20</v>
      </c>
      <c r="B10" s="17" t="s">
        <v>21</v>
      </c>
      <c r="C10" s="16" t="s">
        <v>71</v>
      </c>
      <c r="D10" s="17" t="s">
        <v>11</v>
      </c>
      <c r="E10" s="17" t="s">
        <v>11</v>
      </c>
      <c r="F10" s="17" t="s">
        <v>11</v>
      </c>
      <c r="G10" s="17" t="s">
        <v>431</v>
      </c>
      <c r="H10" s="17" t="s">
        <v>432</v>
      </c>
      <c r="I10" s="17" t="s">
        <v>11</v>
      </c>
      <c r="J10" s="17" t="s">
        <v>11</v>
      </c>
      <c r="K10" s="17" t="s">
        <v>11</v>
      </c>
      <c r="L10" s="17" t="s">
        <v>11</v>
      </c>
      <c r="M10" s="17" t="s">
        <v>326</v>
      </c>
      <c r="N10" s="17" t="s">
        <v>77</v>
      </c>
      <c r="O10" s="17" t="s">
        <v>113</v>
      </c>
      <c r="P10" s="17" t="s">
        <v>78</v>
      </c>
      <c r="Q10" s="17" t="s">
        <v>114</v>
      </c>
      <c r="R10" s="17" t="s">
        <v>433</v>
      </c>
      <c r="S10" s="17" t="s">
        <v>351</v>
      </c>
      <c r="T10" s="17" t="s">
        <v>324</v>
      </c>
      <c r="U10" s="17" t="s">
        <v>364</v>
      </c>
      <c r="V10" s="17" t="s">
        <v>284</v>
      </c>
      <c r="W10" s="17" t="s">
        <v>14</v>
      </c>
      <c r="X10" s="17" t="s">
        <v>11</v>
      </c>
      <c r="Y10" s="17">
        <v>84</v>
      </c>
      <c r="Z10" s="17">
        <v>23</v>
      </c>
      <c r="AA10" s="12">
        <v>97</v>
      </c>
      <c r="AB10" s="10">
        <v>68</v>
      </c>
      <c r="AC10" s="10" t="s">
        <v>79</v>
      </c>
      <c r="AD10" s="10" t="s">
        <v>59</v>
      </c>
      <c r="AF10" t="s">
        <v>6</v>
      </c>
      <c r="AG10">
        <v>68</v>
      </c>
      <c r="AH10">
        <v>39.200000000000003</v>
      </c>
    </row>
    <row r="11" spans="1:34" ht="15.95" customHeight="1" thickBot="1" x14ac:dyDescent="0.3">
      <c r="A11" s="14" t="s">
        <v>6</v>
      </c>
      <c r="B11" s="15" t="s">
        <v>7</v>
      </c>
      <c r="C11" s="14" t="s">
        <v>71</v>
      </c>
      <c r="D11" s="15" t="s">
        <v>11</v>
      </c>
      <c r="E11" s="15" t="s">
        <v>11</v>
      </c>
      <c r="F11" s="15" t="s">
        <v>11</v>
      </c>
      <c r="G11" s="15" t="s">
        <v>434</v>
      </c>
      <c r="H11" s="15" t="s">
        <v>435</v>
      </c>
      <c r="I11" s="15" t="s">
        <v>11</v>
      </c>
      <c r="J11" s="15" t="s">
        <v>11</v>
      </c>
      <c r="K11" s="15" t="s">
        <v>11</v>
      </c>
      <c r="L11" s="15" t="s">
        <v>11</v>
      </c>
      <c r="M11" s="15" t="s">
        <v>327</v>
      </c>
      <c r="N11" s="15" t="s">
        <v>80</v>
      </c>
      <c r="O11" s="15" t="s">
        <v>98</v>
      </c>
      <c r="P11" s="15" t="s">
        <v>8</v>
      </c>
      <c r="Q11" s="15" t="s">
        <v>99</v>
      </c>
      <c r="R11" s="15" t="s">
        <v>436</v>
      </c>
      <c r="S11" s="15" t="s">
        <v>211</v>
      </c>
      <c r="T11" s="15" t="s">
        <v>356</v>
      </c>
      <c r="U11" s="15" t="s">
        <v>209</v>
      </c>
      <c r="V11" s="15" t="s">
        <v>210</v>
      </c>
      <c r="W11" s="15" t="s">
        <v>14</v>
      </c>
      <c r="X11" s="15" t="s">
        <v>11</v>
      </c>
      <c r="Y11" s="15">
        <v>100</v>
      </c>
      <c r="Z11" s="15">
        <v>67</v>
      </c>
      <c r="AA11" s="11">
        <v>38</v>
      </c>
      <c r="AB11" s="9">
        <v>68</v>
      </c>
      <c r="AC11" s="9" t="s">
        <v>11</v>
      </c>
      <c r="AD11" s="9" t="s">
        <v>59</v>
      </c>
      <c r="AF11" t="s">
        <v>29</v>
      </c>
      <c r="AG11">
        <v>65</v>
      </c>
      <c r="AH11">
        <v>192.6</v>
      </c>
    </row>
    <row r="12" spans="1:34" ht="15.95" customHeight="1" thickBot="1" x14ac:dyDescent="0.3">
      <c r="A12" s="16" t="s">
        <v>29</v>
      </c>
      <c r="B12" s="17" t="s">
        <v>30</v>
      </c>
      <c r="C12" s="16" t="s">
        <v>81</v>
      </c>
      <c r="D12" s="17" t="s">
        <v>11</v>
      </c>
      <c r="E12" s="17" t="s">
        <v>11</v>
      </c>
      <c r="F12" s="17" t="s">
        <v>11</v>
      </c>
      <c r="G12" s="17" t="s">
        <v>437</v>
      </c>
      <c r="H12" s="17" t="s">
        <v>438</v>
      </c>
      <c r="I12" s="17" t="s">
        <v>11</v>
      </c>
      <c r="J12" s="17" t="s">
        <v>11</v>
      </c>
      <c r="K12" s="17" t="s">
        <v>11</v>
      </c>
      <c r="L12" s="17" t="s">
        <v>11</v>
      </c>
      <c r="M12" s="17" t="s">
        <v>11</v>
      </c>
      <c r="N12" s="17" t="s">
        <v>82</v>
      </c>
      <c r="O12" s="17" t="s">
        <v>318</v>
      </c>
      <c r="P12" s="17" t="s">
        <v>83</v>
      </c>
      <c r="Q12" s="17" t="s">
        <v>165</v>
      </c>
      <c r="R12" s="17" t="s">
        <v>439</v>
      </c>
      <c r="S12" s="17" t="s">
        <v>11</v>
      </c>
      <c r="T12" s="17" t="s">
        <v>322</v>
      </c>
      <c r="U12" s="17" t="s">
        <v>11</v>
      </c>
      <c r="V12" s="17" t="s">
        <v>11</v>
      </c>
      <c r="W12" s="17" t="s">
        <v>14</v>
      </c>
      <c r="X12" s="17" t="s">
        <v>11</v>
      </c>
      <c r="Y12" s="17">
        <v>21</v>
      </c>
      <c r="Z12" s="17">
        <v>92</v>
      </c>
      <c r="AA12" s="12">
        <v>82</v>
      </c>
      <c r="AB12" s="10">
        <v>65</v>
      </c>
      <c r="AC12" s="10" t="s">
        <v>84</v>
      </c>
      <c r="AD12" s="10" t="s">
        <v>59</v>
      </c>
      <c r="AF12" t="s">
        <v>231</v>
      </c>
      <c r="AG12">
        <v>64</v>
      </c>
      <c r="AH12">
        <v>23.2</v>
      </c>
    </row>
    <row r="13" spans="1:34" ht="15.95" customHeight="1" thickBot="1" x14ac:dyDescent="0.3">
      <c r="A13" s="14" t="s">
        <v>31</v>
      </c>
      <c r="B13" s="15" t="s">
        <v>32</v>
      </c>
      <c r="C13" s="14" t="s">
        <v>81</v>
      </c>
      <c r="D13" s="15" t="s">
        <v>11</v>
      </c>
      <c r="E13" s="15" t="s">
        <v>11</v>
      </c>
      <c r="F13" s="15" t="s">
        <v>11</v>
      </c>
      <c r="G13" s="15" t="s">
        <v>440</v>
      </c>
      <c r="H13" s="15" t="s">
        <v>11</v>
      </c>
      <c r="I13" s="15" t="s">
        <v>11</v>
      </c>
      <c r="J13" s="15" t="s">
        <v>11</v>
      </c>
      <c r="K13" s="15" t="s">
        <v>11</v>
      </c>
      <c r="L13" s="15" t="s">
        <v>11</v>
      </c>
      <c r="M13" s="15" t="s">
        <v>11</v>
      </c>
      <c r="N13" s="15" t="s">
        <v>11</v>
      </c>
      <c r="O13" s="15" t="s">
        <v>109</v>
      </c>
      <c r="P13" s="15" t="s">
        <v>130</v>
      </c>
      <c r="Q13" s="15" t="s">
        <v>131</v>
      </c>
      <c r="R13" s="15" t="s">
        <v>441</v>
      </c>
      <c r="S13" s="15" t="s">
        <v>11</v>
      </c>
      <c r="T13" s="15" t="s">
        <v>11</v>
      </c>
      <c r="U13" s="15" t="s">
        <v>11</v>
      </c>
      <c r="V13" s="15" t="s">
        <v>11</v>
      </c>
      <c r="W13" s="15" t="s">
        <v>14</v>
      </c>
      <c r="X13" s="15" t="s">
        <v>11</v>
      </c>
      <c r="Y13" s="15">
        <v>71</v>
      </c>
      <c r="Z13" s="15">
        <v>28</v>
      </c>
      <c r="AA13" s="11">
        <v>92</v>
      </c>
      <c r="AB13" s="9">
        <v>64</v>
      </c>
      <c r="AC13" s="9" t="s">
        <v>11</v>
      </c>
      <c r="AD13" s="9" t="s">
        <v>59</v>
      </c>
      <c r="AF13" t="s">
        <v>174</v>
      </c>
      <c r="AG13">
        <v>64</v>
      </c>
      <c r="AH13">
        <v>24.3</v>
      </c>
    </row>
    <row r="14" spans="1:34" ht="15.95" customHeight="1" thickBot="1" x14ac:dyDescent="0.3">
      <c r="A14" s="16" t="s">
        <v>231</v>
      </c>
      <c r="B14" s="17" t="s">
        <v>232</v>
      </c>
      <c r="C14" s="16" t="s">
        <v>67</v>
      </c>
      <c r="D14" s="17" t="s">
        <v>11</v>
      </c>
      <c r="E14" s="17" t="s">
        <v>11</v>
      </c>
      <c r="F14" s="17" t="s">
        <v>11</v>
      </c>
      <c r="G14" s="17" t="s">
        <v>442</v>
      </c>
      <c r="H14" s="17" t="s">
        <v>443</v>
      </c>
      <c r="I14" s="17" t="s">
        <v>11</v>
      </c>
      <c r="J14" s="17" t="s">
        <v>11</v>
      </c>
      <c r="K14" s="17" t="s">
        <v>11</v>
      </c>
      <c r="L14" s="17" t="s">
        <v>11</v>
      </c>
      <c r="M14" s="17" t="s">
        <v>375</v>
      </c>
      <c r="N14" s="17" t="s">
        <v>244</v>
      </c>
      <c r="O14" s="17" t="s">
        <v>377</v>
      </c>
      <c r="P14" s="17" t="s">
        <v>376</v>
      </c>
      <c r="Q14" s="17" t="s">
        <v>378</v>
      </c>
      <c r="R14" s="17" t="s">
        <v>346</v>
      </c>
      <c r="S14" s="17" t="s">
        <v>275</v>
      </c>
      <c r="T14" s="17" t="s">
        <v>380</v>
      </c>
      <c r="U14" s="17" t="s">
        <v>205</v>
      </c>
      <c r="V14" s="17" t="s">
        <v>381</v>
      </c>
      <c r="W14" s="17" t="s">
        <v>14</v>
      </c>
      <c r="X14" s="17" t="s">
        <v>11</v>
      </c>
      <c r="Y14" s="17">
        <v>61</v>
      </c>
      <c r="Z14" s="17">
        <v>62</v>
      </c>
      <c r="AA14" s="12">
        <v>69</v>
      </c>
      <c r="AB14" s="10">
        <v>64</v>
      </c>
      <c r="AC14" s="10" t="s">
        <v>11</v>
      </c>
      <c r="AD14" s="10" t="s">
        <v>59</v>
      </c>
      <c r="AF14" t="s">
        <v>115</v>
      </c>
      <c r="AG14">
        <v>64</v>
      </c>
      <c r="AH14">
        <v>23.9</v>
      </c>
    </row>
    <row r="15" spans="1:34" ht="15.95" customHeight="1" thickBot="1" x14ac:dyDescent="0.3">
      <c r="A15" s="14" t="s">
        <v>174</v>
      </c>
      <c r="B15" s="15" t="s">
        <v>175</v>
      </c>
      <c r="C15" s="14" t="s">
        <v>145</v>
      </c>
      <c r="D15" s="15" t="s">
        <v>11</v>
      </c>
      <c r="E15" s="15" t="s">
        <v>11</v>
      </c>
      <c r="F15" s="15" t="s">
        <v>11</v>
      </c>
      <c r="G15" s="15" t="s">
        <v>444</v>
      </c>
      <c r="H15" s="15" t="s">
        <v>445</v>
      </c>
      <c r="I15" s="15" t="s">
        <v>11</v>
      </c>
      <c r="J15" s="15" t="s">
        <v>11</v>
      </c>
      <c r="K15" s="15" t="s">
        <v>11</v>
      </c>
      <c r="L15" s="15" t="s">
        <v>11</v>
      </c>
      <c r="M15" s="15" t="s">
        <v>446</v>
      </c>
      <c r="N15" s="15" t="s">
        <v>178</v>
      </c>
      <c r="O15" s="15" t="s">
        <v>447</v>
      </c>
      <c r="P15" s="15" t="s">
        <v>448</v>
      </c>
      <c r="Q15" s="15" t="s">
        <v>179</v>
      </c>
      <c r="R15" s="15" t="s">
        <v>449</v>
      </c>
      <c r="S15" s="15" t="s">
        <v>180</v>
      </c>
      <c r="T15" s="15" t="s">
        <v>450</v>
      </c>
      <c r="U15" s="15" t="s">
        <v>176</v>
      </c>
      <c r="V15" s="15" t="s">
        <v>177</v>
      </c>
      <c r="W15" s="15" t="s">
        <v>14</v>
      </c>
      <c r="X15" s="15" t="s">
        <v>11</v>
      </c>
      <c r="Y15" s="15">
        <v>50</v>
      </c>
      <c r="Z15" s="15">
        <v>85</v>
      </c>
      <c r="AA15" s="11">
        <v>56</v>
      </c>
      <c r="AB15" s="9">
        <v>64</v>
      </c>
      <c r="AC15" s="9" t="s">
        <v>11</v>
      </c>
      <c r="AD15" s="9" t="s">
        <v>59</v>
      </c>
      <c r="AF15" t="s">
        <v>26</v>
      </c>
      <c r="AG15">
        <v>62</v>
      </c>
      <c r="AH15">
        <v>108.7</v>
      </c>
    </row>
    <row r="16" spans="1:34" ht="15.95" customHeight="1" thickBot="1" x14ac:dyDescent="0.3">
      <c r="A16" s="16" t="s">
        <v>115</v>
      </c>
      <c r="B16" s="17" t="s">
        <v>116</v>
      </c>
      <c r="C16" s="16" t="s">
        <v>71</v>
      </c>
      <c r="D16" s="17" t="s">
        <v>11</v>
      </c>
      <c r="E16" s="17" t="s">
        <v>11</v>
      </c>
      <c r="F16" s="17" t="s">
        <v>11</v>
      </c>
      <c r="G16" s="17" t="s">
        <v>451</v>
      </c>
      <c r="H16" s="17" t="s">
        <v>452</v>
      </c>
      <c r="I16" s="17" t="s">
        <v>11</v>
      </c>
      <c r="J16" s="17" t="s">
        <v>11</v>
      </c>
      <c r="K16" s="17" t="s">
        <v>11</v>
      </c>
      <c r="L16" s="17" t="s">
        <v>11</v>
      </c>
      <c r="M16" s="17" t="s">
        <v>328</v>
      </c>
      <c r="N16" s="17" t="s">
        <v>118</v>
      </c>
      <c r="O16" s="17" t="s">
        <v>119</v>
      </c>
      <c r="P16" s="17" t="s">
        <v>117</v>
      </c>
      <c r="Q16" s="17" t="s">
        <v>120</v>
      </c>
      <c r="R16" s="17" t="s">
        <v>453</v>
      </c>
      <c r="S16" s="17" t="s">
        <v>352</v>
      </c>
      <c r="T16" s="17" t="s">
        <v>357</v>
      </c>
      <c r="U16" s="17" t="s">
        <v>365</v>
      </c>
      <c r="V16" s="17" t="s">
        <v>371</v>
      </c>
      <c r="W16" s="17" t="s">
        <v>14</v>
      </c>
      <c r="X16" s="17" t="s">
        <v>11</v>
      </c>
      <c r="Y16" s="17">
        <v>82</v>
      </c>
      <c r="Z16" s="17">
        <v>56</v>
      </c>
      <c r="AA16" s="12">
        <v>54</v>
      </c>
      <c r="AB16" s="10">
        <v>64</v>
      </c>
      <c r="AC16" s="10" t="s">
        <v>225</v>
      </c>
      <c r="AD16" s="10" t="s">
        <v>59</v>
      </c>
      <c r="AF16" t="s">
        <v>143</v>
      </c>
      <c r="AG16">
        <v>58</v>
      </c>
      <c r="AH16">
        <v>5.6</v>
      </c>
    </row>
    <row r="17" spans="1:34" ht="15.95" customHeight="1" thickBot="1" x14ac:dyDescent="0.3">
      <c r="A17" s="14" t="s">
        <v>26</v>
      </c>
      <c r="B17" s="15" t="s">
        <v>27</v>
      </c>
      <c r="C17" s="14" t="s">
        <v>81</v>
      </c>
      <c r="D17" s="15" t="s">
        <v>11</v>
      </c>
      <c r="E17" s="15" t="s">
        <v>11</v>
      </c>
      <c r="F17" s="15" t="s">
        <v>11</v>
      </c>
      <c r="G17" s="15" t="s">
        <v>454</v>
      </c>
      <c r="H17" s="15" t="s">
        <v>455</v>
      </c>
      <c r="I17" s="15" t="s">
        <v>11</v>
      </c>
      <c r="J17" s="15" t="s">
        <v>11</v>
      </c>
      <c r="K17" s="15" t="s">
        <v>11</v>
      </c>
      <c r="L17" s="15" t="s">
        <v>11</v>
      </c>
      <c r="M17" s="15" t="s">
        <v>11</v>
      </c>
      <c r="N17" s="15" t="s">
        <v>212</v>
      </c>
      <c r="O17" s="15" t="s">
        <v>319</v>
      </c>
      <c r="P17" s="15" t="s">
        <v>314</v>
      </c>
      <c r="Q17" s="15" t="s">
        <v>213</v>
      </c>
      <c r="R17" s="15" t="s">
        <v>63</v>
      </c>
      <c r="S17" s="15" t="s">
        <v>11</v>
      </c>
      <c r="T17" s="15" t="s">
        <v>323</v>
      </c>
      <c r="U17" s="15" t="s">
        <v>11</v>
      </c>
      <c r="V17" s="15" t="s">
        <v>11</v>
      </c>
      <c r="W17" s="15" t="s">
        <v>14</v>
      </c>
      <c r="X17" s="15" t="s">
        <v>11</v>
      </c>
      <c r="Y17" s="15">
        <v>26</v>
      </c>
      <c r="Z17" s="15">
        <v>64</v>
      </c>
      <c r="AA17" s="11">
        <v>95</v>
      </c>
      <c r="AB17" s="9">
        <v>62</v>
      </c>
      <c r="AC17" s="9" t="s">
        <v>84</v>
      </c>
      <c r="AD17" s="9" t="s">
        <v>59</v>
      </c>
      <c r="AF17" t="s">
        <v>222</v>
      </c>
      <c r="AG17">
        <v>57</v>
      </c>
      <c r="AH17">
        <v>12.8</v>
      </c>
    </row>
    <row r="18" spans="1:34" ht="15.95" customHeight="1" thickBot="1" x14ac:dyDescent="0.3">
      <c r="A18" s="16" t="s">
        <v>143</v>
      </c>
      <c r="B18" s="17" t="s">
        <v>144</v>
      </c>
      <c r="C18" s="16" t="s">
        <v>145</v>
      </c>
      <c r="D18" s="17" t="s">
        <v>11</v>
      </c>
      <c r="E18" s="17" t="s">
        <v>11</v>
      </c>
      <c r="F18" s="17" t="s">
        <v>11</v>
      </c>
      <c r="G18" s="17" t="s">
        <v>456</v>
      </c>
      <c r="H18" s="17" t="s">
        <v>457</v>
      </c>
      <c r="I18" s="17" t="s">
        <v>11</v>
      </c>
      <c r="J18" s="17" t="s">
        <v>11</v>
      </c>
      <c r="K18" s="17" t="s">
        <v>11</v>
      </c>
      <c r="L18" s="17" t="s">
        <v>11</v>
      </c>
      <c r="M18" s="17" t="s">
        <v>292</v>
      </c>
      <c r="N18" s="17" t="s">
        <v>148</v>
      </c>
      <c r="O18" s="17" t="s">
        <v>149</v>
      </c>
      <c r="P18" s="17" t="s">
        <v>147</v>
      </c>
      <c r="Q18" s="17" t="s">
        <v>150</v>
      </c>
      <c r="R18" s="17" t="s">
        <v>458</v>
      </c>
      <c r="S18" s="17" t="s">
        <v>459</v>
      </c>
      <c r="T18" s="17" t="s">
        <v>362</v>
      </c>
      <c r="U18" s="17" t="s">
        <v>11</v>
      </c>
      <c r="V18" s="17" t="s">
        <v>201</v>
      </c>
      <c r="W18" s="17" t="s">
        <v>14</v>
      </c>
      <c r="X18" s="17" t="s">
        <v>11</v>
      </c>
      <c r="Y18" s="17">
        <v>63</v>
      </c>
      <c r="Z18" s="17">
        <v>26</v>
      </c>
      <c r="AA18" s="12">
        <v>85</v>
      </c>
      <c r="AB18" s="10">
        <v>58</v>
      </c>
      <c r="AC18" s="10" t="s">
        <v>11</v>
      </c>
      <c r="AD18" s="10" t="s">
        <v>59</v>
      </c>
      <c r="AF18" t="s">
        <v>137</v>
      </c>
      <c r="AG18">
        <v>57</v>
      </c>
      <c r="AH18">
        <v>20.9</v>
      </c>
    </row>
    <row r="19" spans="1:34" ht="15.95" customHeight="1" thickBot="1" x14ac:dyDescent="0.3">
      <c r="A19" s="14" t="s">
        <v>222</v>
      </c>
      <c r="B19" s="15" t="s">
        <v>223</v>
      </c>
      <c r="C19" s="14" t="s">
        <v>71</v>
      </c>
      <c r="D19" s="15" t="s">
        <v>11</v>
      </c>
      <c r="E19" s="15" t="s">
        <v>11</v>
      </c>
      <c r="F19" s="15" t="s">
        <v>11</v>
      </c>
      <c r="G19" s="15" t="s">
        <v>460</v>
      </c>
      <c r="H19" s="15" t="s">
        <v>420</v>
      </c>
      <c r="I19" s="15" t="s">
        <v>11</v>
      </c>
      <c r="J19" s="15" t="s">
        <v>11</v>
      </c>
      <c r="K19" s="15" t="s">
        <v>11</v>
      </c>
      <c r="L19" s="15" t="s">
        <v>11</v>
      </c>
      <c r="M19" s="15" t="s">
        <v>329</v>
      </c>
      <c r="N19" s="15" t="s">
        <v>330</v>
      </c>
      <c r="O19" s="15" t="s">
        <v>342</v>
      </c>
      <c r="P19" s="15" t="s">
        <v>248</v>
      </c>
      <c r="Q19" s="15" t="s">
        <v>347</v>
      </c>
      <c r="R19" s="15" t="s">
        <v>461</v>
      </c>
      <c r="S19" s="15" t="s">
        <v>211</v>
      </c>
      <c r="T19" s="15" t="s">
        <v>358</v>
      </c>
      <c r="U19" s="15" t="s">
        <v>366</v>
      </c>
      <c r="V19" s="15" t="s">
        <v>312</v>
      </c>
      <c r="W19" s="15" t="s">
        <v>14</v>
      </c>
      <c r="X19" s="15" t="s">
        <v>11</v>
      </c>
      <c r="Y19" s="15">
        <v>39</v>
      </c>
      <c r="Z19" s="15">
        <v>54</v>
      </c>
      <c r="AA19" s="11">
        <v>79</v>
      </c>
      <c r="AB19" s="9">
        <v>57</v>
      </c>
      <c r="AC19" s="9" t="s">
        <v>225</v>
      </c>
      <c r="AD19" s="9" t="s">
        <v>59</v>
      </c>
      <c r="AF19" t="s">
        <v>168</v>
      </c>
      <c r="AG19">
        <v>55</v>
      </c>
      <c r="AH19">
        <v>25</v>
      </c>
    </row>
    <row r="20" spans="1:34" ht="15.95" customHeight="1" thickBot="1" x14ac:dyDescent="0.3">
      <c r="A20" s="16" t="s">
        <v>137</v>
      </c>
      <c r="B20" s="17" t="s">
        <v>138</v>
      </c>
      <c r="C20" s="16" t="s">
        <v>71</v>
      </c>
      <c r="D20" s="17" t="s">
        <v>11</v>
      </c>
      <c r="E20" s="17" t="s">
        <v>11</v>
      </c>
      <c r="F20" s="17" t="s">
        <v>11</v>
      </c>
      <c r="G20" s="17" t="s">
        <v>462</v>
      </c>
      <c r="H20" s="17" t="s">
        <v>463</v>
      </c>
      <c r="I20" s="17" t="s">
        <v>11</v>
      </c>
      <c r="J20" s="17" t="s">
        <v>11</v>
      </c>
      <c r="K20" s="17" t="s">
        <v>11</v>
      </c>
      <c r="L20" s="17" t="s">
        <v>11</v>
      </c>
      <c r="M20" s="17" t="s">
        <v>331</v>
      </c>
      <c r="N20" s="17" t="s">
        <v>140</v>
      </c>
      <c r="O20" s="17" t="s">
        <v>141</v>
      </c>
      <c r="P20" s="17" t="s">
        <v>139</v>
      </c>
      <c r="Q20" s="17" t="s">
        <v>142</v>
      </c>
      <c r="R20" s="17" t="s">
        <v>464</v>
      </c>
      <c r="S20" s="17" t="s">
        <v>208</v>
      </c>
      <c r="T20" s="17" t="s">
        <v>359</v>
      </c>
      <c r="U20" s="17" t="s">
        <v>11</v>
      </c>
      <c r="V20" s="17" t="s">
        <v>207</v>
      </c>
      <c r="W20" s="17" t="s">
        <v>14</v>
      </c>
      <c r="X20" s="17" t="s">
        <v>11</v>
      </c>
      <c r="Y20" s="17">
        <v>66</v>
      </c>
      <c r="Z20" s="17">
        <v>69</v>
      </c>
      <c r="AA20" s="12">
        <v>36</v>
      </c>
      <c r="AB20" s="10">
        <v>57</v>
      </c>
      <c r="AC20" s="10" t="s">
        <v>11</v>
      </c>
      <c r="AD20" s="10" t="s">
        <v>59</v>
      </c>
      <c r="AF20" t="s">
        <v>188</v>
      </c>
      <c r="AG20">
        <v>54</v>
      </c>
      <c r="AH20">
        <v>32</v>
      </c>
    </row>
    <row r="21" spans="1:34" ht="15.95" customHeight="1" thickBot="1" x14ac:dyDescent="0.3">
      <c r="A21" s="14" t="s">
        <v>168</v>
      </c>
      <c r="B21" s="15" t="s">
        <v>169</v>
      </c>
      <c r="C21" s="14" t="s">
        <v>51</v>
      </c>
      <c r="D21" s="15" t="s">
        <v>11</v>
      </c>
      <c r="E21" s="15" t="s">
        <v>11</v>
      </c>
      <c r="F21" s="15" t="s">
        <v>11</v>
      </c>
      <c r="G21" s="15" t="s">
        <v>465</v>
      </c>
      <c r="H21" s="15" t="s">
        <v>466</v>
      </c>
      <c r="I21" s="15" t="s">
        <v>11</v>
      </c>
      <c r="J21" s="15" t="s">
        <v>11</v>
      </c>
      <c r="K21" s="15" t="s">
        <v>11</v>
      </c>
      <c r="L21" s="15" t="s">
        <v>11</v>
      </c>
      <c r="M21" s="15" t="s">
        <v>286</v>
      </c>
      <c r="N21" s="15" t="s">
        <v>171</v>
      </c>
      <c r="O21" s="15" t="s">
        <v>298</v>
      </c>
      <c r="P21" s="15" t="s">
        <v>287</v>
      </c>
      <c r="Q21" s="15" t="s">
        <v>172</v>
      </c>
      <c r="R21" s="15" t="s">
        <v>248</v>
      </c>
      <c r="S21" s="15" t="s">
        <v>173</v>
      </c>
      <c r="T21" s="15" t="s">
        <v>306</v>
      </c>
      <c r="U21" s="15" t="s">
        <v>11</v>
      </c>
      <c r="V21" s="15" t="s">
        <v>170</v>
      </c>
      <c r="W21" s="15" t="s">
        <v>14</v>
      </c>
      <c r="X21" s="15" t="s">
        <v>11</v>
      </c>
      <c r="Y21" s="15">
        <v>13</v>
      </c>
      <c r="Z21" s="15">
        <v>87</v>
      </c>
      <c r="AA21" s="11">
        <v>64</v>
      </c>
      <c r="AB21" s="9">
        <v>55</v>
      </c>
      <c r="AC21" s="9" t="s">
        <v>11</v>
      </c>
      <c r="AD21" s="9" t="s">
        <v>59</v>
      </c>
      <c r="AF21" t="s">
        <v>219</v>
      </c>
      <c r="AG21">
        <v>53</v>
      </c>
      <c r="AH21">
        <v>13.6</v>
      </c>
    </row>
    <row r="22" spans="1:34" ht="15.95" customHeight="1" thickBot="1" x14ac:dyDescent="0.3">
      <c r="A22" s="16" t="s">
        <v>188</v>
      </c>
      <c r="B22" s="17" t="s">
        <v>189</v>
      </c>
      <c r="C22" s="16" t="s">
        <v>51</v>
      </c>
      <c r="D22" s="17" t="s">
        <v>11</v>
      </c>
      <c r="E22" s="17" t="s">
        <v>11</v>
      </c>
      <c r="F22" s="17" t="s">
        <v>11</v>
      </c>
      <c r="G22" s="17" t="s">
        <v>467</v>
      </c>
      <c r="H22" s="17" t="s">
        <v>468</v>
      </c>
      <c r="I22" s="17" t="s">
        <v>11</v>
      </c>
      <c r="J22" s="17" t="s">
        <v>11</v>
      </c>
      <c r="K22" s="17" t="s">
        <v>11</v>
      </c>
      <c r="L22" s="17" t="s">
        <v>11</v>
      </c>
      <c r="M22" s="17" t="s">
        <v>288</v>
      </c>
      <c r="N22" s="17" t="s">
        <v>192</v>
      </c>
      <c r="O22" s="17" t="s">
        <v>299</v>
      </c>
      <c r="P22" s="17" t="s">
        <v>289</v>
      </c>
      <c r="Q22" s="17" t="s">
        <v>193</v>
      </c>
      <c r="R22" s="17" t="s">
        <v>469</v>
      </c>
      <c r="S22" s="17" t="s">
        <v>194</v>
      </c>
      <c r="T22" s="17" t="s">
        <v>307</v>
      </c>
      <c r="U22" s="17" t="s">
        <v>190</v>
      </c>
      <c r="V22" s="17" t="s">
        <v>191</v>
      </c>
      <c r="W22" s="17" t="s">
        <v>14</v>
      </c>
      <c r="X22" s="17" t="s">
        <v>11</v>
      </c>
      <c r="Y22" s="17">
        <v>24</v>
      </c>
      <c r="Z22" s="17">
        <v>79</v>
      </c>
      <c r="AA22" s="12">
        <v>59</v>
      </c>
      <c r="AB22" s="10">
        <v>54</v>
      </c>
      <c r="AC22" s="10" t="s">
        <v>11</v>
      </c>
      <c r="AD22" s="10" t="s">
        <v>103</v>
      </c>
      <c r="AF22" t="s">
        <v>226</v>
      </c>
      <c r="AG22">
        <v>52</v>
      </c>
      <c r="AH22">
        <v>16.100000000000001</v>
      </c>
    </row>
    <row r="23" spans="1:34" ht="15.95" customHeight="1" thickBot="1" x14ac:dyDescent="0.3">
      <c r="A23" s="14" t="s">
        <v>219</v>
      </c>
      <c r="B23" s="15" t="s">
        <v>220</v>
      </c>
      <c r="C23" s="14" t="s">
        <v>60</v>
      </c>
      <c r="D23" s="15" t="s">
        <v>11</v>
      </c>
      <c r="E23" s="15" t="s">
        <v>11</v>
      </c>
      <c r="F23" s="15" t="s">
        <v>11</v>
      </c>
      <c r="G23" s="15" t="s">
        <v>470</v>
      </c>
      <c r="H23" s="15" t="s">
        <v>428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255</v>
      </c>
      <c r="N23" s="15" t="s">
        <v>256</v>
      </c>
      <c r="O23" s="15" t="s">
        <v>113</v>
      </c>
      <c r="P23" s="15" t="s">
        <v>257</v>
      </c>
      <c r="Q23" s="15" t="s">
        <v>270</v>
      </c>
      <c r="R23" s="15" t="s">
        <v>53</v>
      </c>
      <c r="S23" s="15" t="s">
        <v>273</v>
      </c>
      <c r="T23" s="15" t="s">
        <v>277</v>
      </c>
      <c r="U23" s="15" t="s">
        <v>243</v>
      </c>
      <c r="V23" s="15" t="s">
        <v>281</v>
      </c>
      <c r="W23" s="15" t="s">
        <v>14</v>
      </c>
      <c r="X23" s="15" t="s">
        <v>11</v>
      </c>
      <c r="Y23" s="15">
        <v>37</v>
      </c>
      <c r="Z23" s="15">
        <v>36</v>
      </c>
      <c r="AA23" s="11">
        <v>87</v>
      </c>
      <c r="AB23" s="9">
        <v>53</v>
      </c>
      <c r="AC23" s="9" t="s">
        <v>11</v>
      </c>
      <c r="AD23" s="9" t="s">
        <v>103</v>
      </c>
      <c r="AF23" t="s">
        <v>198</v>
      </c>
      <c r="AG23">
        <v>51</v>
      </c>
      <c r="AH23">
        <v>29.1</v>
      </c>
    </row>
    <row r="24" spans="1:34" ht="15.95" customHeight="1" thickBot="1" x14ac:dyDescent="0.3">
      <c r="A24" s="16" t="s">
        <v>226</v>
      </c>
      <c r="B24" s="17" t="s">
        <v>227</v>
      </c>
      <c r="C24" s="16" t="s">
        <v>145</v>
      </c>
      <c r="D24" s="17" t="s">
        <v>11</v>
      </c>
      <c r="E24" s="17" t="s">
        <v>11</v>
      </c>
      <c r="F24" s="17" t="s">
        <v>11</v>
      </c>
      <c r="G24" s="17" t="s">
        <v>471</v>
      </c>
      <c r="H24" s="17" t="s">
        <v>472</v>
      </c>
      <c r="I24" s="17" t="s">
        <v>11</v>
      </c>
      <c r="J24" s="17" t="s">
        <v>11</v>
      </c>
      <c r="K24" s="17" t="s">
        <v>11</v>
      </c>
      <c r="L24" s="17" t="s">
        <v>11</v>
      </c>
      <c r="M24" s="17" t="s">
        <v>473</v>
      </c>
      <c r="N24" s="17" t="s">
        <v>474</v>
      </c>
      <c r="O24" s="17" t="s">
        <v>475</v>
      </c>
      <c r="P24" s="17" t="s">
        <v>476</v>
      </c>
      <c r="Q24" s="17" t="s">
        <v>477</v>
      </c>
      <c r="R24" s="17" t="s">
        <v>134</v>
      </c>
      <c r="S24" s="17" t="s">
        <v>478</v>
      </c>
      <c r="T24" s="17" t="s">
        <v>479</v>
      </c>
      <c r="U24" s="17" t="s">
        <v>480</v>
      </c>
      <c r="V24" s="17" t="s">
        <v>158</v>
      </c>
      <c r="W24" s="17" t="s">
        <v>14</v>
      </c>
      <c r="X24" s="17" t="s">
        <v>11</v>
      </c>
      <c r="Y24" s="17">
        <v>29</v>
      </c>
      <c r="Z24" s="17">
        <v>51</v>
      </c>
      <c r="AA24" s="12">
        <v>77</v>
      </c>
      <c r="AB24" s="10">
        <v>52</v>
      </c>
      <c r="AC24" s="10" t="s">
        <v>11</v>
      </c>
      <c r="AD24" s="10" t="s">
        <v>103</v>
      </c>
      <c r="AF24" t="s">
        <v>15</v>
      </c>
      <c r="AG24">
        <v>51</v>
      </c>
      <c r="AH24">
        <v>54.4</v>
      </c>
    </row>
    <row r="25" spans="1:34" ht="15.95" customHeight="1" thickBot="1" x14ac:dyDescent="0.3">
      <c r="A25" s="14" t="s">
        <v>198</v>
      </c>
      <c r="B25" s="15" t="s">
        <v>199</v>
      </c>
      <c r="C25" s="14" t="s">
        <v>145</v>
      </c>
      <c r="D25" s="15" t="s">
        <v>11</v>
      </c>
      <c r="E25" s="15" t="s">
        <v>11</v>
      </c>
      <c r="F25" s="15" t="s">
        <v>11</v>
      </c>
      <c r="G25" s="15" t="s">
        <v>481</v>
      </c>
      <c r="H25" s="15" t="s">
        <v>482</v>
      </c>
      <c r="I25" s="15" t="s">
        <v>11</v>
      </c>
      <c r="J25" s="15" t="s">
        <v>11</v>
      </c>
      <c r="K25" s="15" t="s">
        <v>11</v>
      </c>
      <c r="L25" s="15" t="s">
        <v>11</v>
      </c>
      <c r="M25" s="15" t="s">
        <v>483</v>
      </c>
      <c r="N25" s="15" t="s">
        <v>202</v>
      </c>
      <c r="O25" s="15" t="s">
        <v>484</v>
      </c>
      <c r="P25" s="15" t="s">
        <v>485</v>
      </c>
      <c r="Q25" s="15" t="s">
        <v>203</v>
      </c>
      <c r="R25" s="15" t="s">
        <v>486</v>
      </c>
      <c r="S25" s="15" t="s">
        <v>204</v>
      </c>
      <c r="T25" s="15" t="s">
        <v>487</v>
      </c>
      <c r="U25" s="15" t="s">
        <v>200</v>
      </c>
      <c r="V25" s="15" t="s">
        <v>201</v>
      </c>
      <c r="W25" s="15" t="s">
        <v>14</v>
      </c>
      <c r="X25" s="15" t="s">
        <v>11</v>
      </c>
      <c r="Y25" s="15">
        <v>34</v>
      </c>
      <c r="Z25" s="15">
        <v>74</v>
      </c>
      <c r="AA25" s="11">
        <v>46</v>
      </c>
      <c r="AB25" s="9">
        <v>51</v>
      </c>
      <c r="AC25" s="9" t="s">
        <v>11</v>
      </c>
      <c r="AD25" s="9" t="s">
        <v>103</v>
      </c>
      <c r="AF25" t="s">
        <v>33</v>
      </c>
      <c r="AG25">
        <v>48</v>
      </c>
      <c r="AH25">
        <v>15.4</v>
      </c>
    </row>
    <row r="26" spans="1:34" ht="15.95" customHeight="1" thickBot="1" x14ac:dyDescent="0.3">
      <c r="A26" s="16" t="s">
        <v>15</v>
      </c>
      <c r="B26" s="17" t="s">
        <v>16</v>
      </c>
      <c r="C26" s="16" t="s">
        <v>100</v>
      </c>
      <c r="D26" s="17" t="s">
        <v>11</v>
      </c>
      <c r="E26" s="17" t="s">
        <v>11</v>
      </c>
      <c r="F26" s="17" t="s">
        <v>11</v>
      </c>
      <c r="G26" s="17" t="s">
        <v>488</v>
      </c>
      <c r="H26" s="17" t="s">
        <v>489</v>
      </c>
      <c r="I26" s="17" t="s">
        <v>11</v>
      </c>
      <c r="J26" s="17" t="s">
        <v>11</v>
      </c>
      <c r="K26" s="17" t="s">
        <v>11</v>
      </c>
      <c r="L26" s="17" t="s">
        <v>11</v>
      </c>
      <c r="M26" s="17" t="s">
        <v>490</v>
      </c>
      <c r="N26" s="17" t="s">
        <v>101</v>
      </c>
      <c r="O26" s="17" t="s">
        <v>102</v>
      </c>
      <c r="P26" s="17" t="s">
        <v>17</v>
      </c>
      <c r="Q26" s="17" t="s">
        <v>63</v>
      </c>
      <c r="R26" s="17" t="s">
        <v>439</v>
      </c>
      <c r="S26" s="17" t="s">
        <v>491</v>
      </c>
      <c r="T26" s="17" t="s">
        <v>492</v>
      </c>
      <c r="U26" s="17" t="s">
        <v>493</v>
      </c>
      <c r="V26" s="17" t="s">
        <v>494</v>
      </c>
      <c r="W26" s="17" t="s">
        <v>14</v>
      </c>
      <c r="X26" s="17" t="s">
        <v>11</v>
      </c>
      <c r="Y26" s="17">
        <v>97</v>
      </c>
      <c r="Z26" s="17">
        <v>41</v>
      </c>
      <c r="AA26" s="12">
        <v>15</v>
      </c>
      <c r="AB26" s="10">
        <v>51</v>
      </c>
      <c r="AC26" s="10" t="s">
        <v>11</v>
      </c>
      <c r="AD26" s="10" t="s">
        <v>103</v>
      </c>
      <c r="AF26" t="s">
        <v>132</v>
      </c>
      <c r="AG26">
        <v>47</v>
      </c>
      <c r="AH26">
        <v>18</v>
      </c>
    </row>
    <row r="27" spans="1:34" ht="15.95" customHeight="1" thickBot="1" x14ac:dyDescent="0.3">
      <c r="A27" s="14" t="s">
        <v>33</v>
      </c>
      <c r="B27" s="15" t="s">
        <v>34</v>
      </c>
      <c r="C27" s="14" t="s">
        <v>71</v>
      </c>
      <c r="D27" s="15" t="s">
        <v>11</v>
      </c>
      <c r="E27" s="15" t="s">
        <v>11</v>
      </c>
      <c r="F27" s="15" t="s">
        <v>11</v>
      </c>
      <c r="G27" s="15" t="s">
        <v>495</v>
      </c>
      <c r="H27" s="15" t="s">
        <v>496</v>
      </c>
      <c r="I27" s="15" t="s">
        <v>11</v>
      </c>
      <c r="J27" s="15" t="s">
        <v>11</v>
      </c>
      <c r="K27" s="15" t="s">
        <v>11</v>
      </c>
      <c r="L27" s="15" t="s">
        <v>11</v>
      </c>
      <c r="M27" s="15" t="s">
        <v>332</v>
      </c>
      <c r="N27" s="15" t="s">
        <v>108</v>
      </c>
      <c r="O27" s="15" t="s">
        <v>109</v>
      </c>
      <c r="P27" s="15" t="s">
        <v>35</v>
      </c>
      <c r="Q27" s="15" t="s">
        <v>110</v>
      </c>
      <c r="R27" s="15" t="s">
        <v>422</v>
      </c>
      <c r="S27" s="15" t="s">
        <v>353</v>
      </c>
      <c r="T27" s="15" t="s">
        <v>360</v>
      </c>
      <c r="U27" s="15" t="s">
        <v>367</v>
      </c>
      <c r="V27" s="15" t="s">
        <v>191</v>
      </c>
      <c r="W27" s="15" t="s">
        <v>14</v>
      </c>
      <c r="X27" s="15" t="s">
        <v>11</v>
      </c>
      <c r="Y27" s="15">
        <v>89</v>
      </c>
      <c r="Z27" s="15">
        <v>31</v>
      </c>
      <c r="AA27" s="11">
        <v>23</v>
      </c>
      <c r="AB27" s="9">
        <v>48</v>
      </c>
      <c r="AC27" s="9" t="s">
        <v>11</v>
      </c>
      <c r="AD27" s="9" t="s">
        <v>103</v>
      </c>
      <c r="AF27" t="s">
        <v>228</v>
      </c>
      <c r="AG27">
        <v>46</v>
      </c>
      <c r="AH27">
        <v>20</v>
      </c>
    </row>
    <row r="28" spans="1:34" ht="15.95" customHeight="1" thickBot="1" x14ac:dyDescent="0.3">
      <c r="A28" s="16" t="s">
        <v>132</v>
      </c>
      <c r="B28" s="17" t="s">
        <v>133</v>
      </c>
      <c r="C28" s="16" t="s">
        <v>71</v>
      </c>
      <c r="D28" s="17" t="s">
        <v>11</v>
      </c>
      <c r="E28" s="17" t="s">
        <v>11</v>
      </c>
      <c r="F28" s="17" t="s">
        <v>11</v>
      </c>
      <c r="G28" s="17" t="s">
        <v>497</v>
      </c>
      <c r="H28" s="17" t="s">
        <v>498</v>
      </c>
      <c r="I28" s="17" t="s">
        <v>11</v>
      </c>
      <c r="J28" s="17" t="s">
        <v>11</v>
      </c>
      <c r="K28" s="17" t="s">
        <v>11</v>
      </c>
      <c r="L28" s="17" t="s">
        <v>11</v>
      </c>
      <c r="M28" s="17" t="s">
        <v>333</v>
      </c>
      <c r="N28" s="17" t="s">
        <v>135</v>
      </c>
      <c r="O28" s="17" t="s">
        <v>102</v>
      </c>
      <c r="P28" s="17" t="s">
        <v>134</v>
      </c>
      <c r="Q28" s="17" t="s">
        <v>136</v>
      </c>
      <c r="R28" s="17" t="s">
        <v>83</v>
      </c>
      <c r="S28" s="17" t="s">
        <v>354</v>
      </c>
      <c r="T28" s="17" t="s">
        <v>361</v>
      </c>
      <c r="U28" s="17" t="s">
        <v>368</v>
      </c>
      <c r="V28" s="17" t="s">
        <v>372</v>
      </c>
      <c r="W28" s="17" t="s">
        <v>14</v>
      </c>
      <c r="X28" s="17" t="s">
        <v>11</v>
      </c>
      <c r="Y28" s="17">
        <v>68</v>
      </c>
      <c r="Z28" s="17">
        <v>59</v>
      </c>
      <c r="AA28" s="12">
        <v>13</v>
      </c>
      <c r="AB28" s="10">
        <v>47</v>
      </c>
      <c r="AC28" s="10" t="s">
        <v>11</v>
      </c>
      <c r="AD28" s="10" t="s">
        <v>103</v>
      </c>
      <c r="AF28" t="s">
        <v>181</v>
      </c>
      <c r="AG28">
        <v>46</v>
      </c>
      <c r="AH28">
        <v>19.600000000000001</v>
      </c>
    </row>
    <row r="29" spans="1:34" ht="15.95" customHeight="1" thickBot="1" x14ac:dyDescent="0.3">
      <c r="A29" s="14" t="s">
        <v>228</v>
      </c>
      <c r="B29" s="15" t="s">
        <v>229</v>
      </c>
      <c r="C29" s="14" t="s">
        <v>230</v>
      </c>
      <c r="D29" s="15" t="s">
        <v>11</v>
      </c>
      <c r="E29" s="15" t="s">
        <v>11</v>
      </c>
      <c r="F29" s="15" t="s">
        <v>11</v>
      </c>
      <c r="G29" s="15" t="s">
        <v>499</v>
      </c>
      <c r="H29" s="15" t="s">
        <v>500</v>
      </c>
      <c r="I29" s="15" t="s">
        <v>11</v>
      </c>
      <c r="J29" s="15" t="s">
        <v>11</v>
      </c>
      <c r="K29" s="15" t="s">
        <v>11</v>
      </c>
      <c r="L29" s="15" t="s">
        <v>11</v>
      </c>
      <c r="M29" s="15" t="s">
        <v>501</v>
      </c>
      <c r="N29" s="15" t="s">
        <v>502</v>
      </c>
      <c r="O29" s="15" t="s">
        <v>503</v>
      </c>
      <c r="P29" s="15" t="s">
        <v>504</v>
      </c>
      <c r="Q29" s="15" t="s">
        <v>436</v>
      </c>
      <c r="R29" s="15" t="s">
        <v>505</v>
      </c>
      <c r="S29" s="15" t="s">
        <v>506</v>
      </c>
      <c r="T29" s="15" t="s">
        <v>507</v>
      </c>
      <c r="U29" s="15" t="s">
        <v>11</v>
      </c>
      <c r="V29" s="15" t="s">
        <v>508</v>
      </c>
      <c r="W29" s="15" t="s">
        <v>14</v>
      </c>
      <c r="X29" s="15" t="s">
        <v>11</v>
      </c>
      <c r="Y29" s="15">
        <v>18</v>
      </c>
      <c r="Z29" s="15">
        <v>49</v>
      </c>
      <c r="AA29" s="11">
        <v>72</v>
      </c>
      <c r="AB29" s="9">
        <v>46</v>
      </c>
      <c r="AC29" s="9" t="s">
        <v>225</v>
      </c>
      <c r="AD29" s="9" t="s">
        <v>103</v>
      </c>
      <c r="AF29" t="s">
        <v>511</v>
      </c>
      <c r="AG29">
        <v>40</v>
      </c>
      <c r="AH29">
        <v>17.899999999999999</v>
      </c>
    </row>
    <row r="30" spans="1:34" ht="15.95" customHeight="1" thickBot="1" x14ac:dyDescent="0.3">
      <c r="A30" s="16" t="s">
        <v>181</v>
      </c>
      <c r="B30" s="17" t="s">
        <v>182</v>
      </c>
      <c r="C30" s="16" t="s">
        <v>71</v>
      </c>
      <c r="D30" s="17" t="s">
        <v>11</v>
      </c>
      <c r="E30" s="17" t="s">
        <v>11</v>
      </c>
      <c r="F30" s="17" t="s">
        <v>11</v>
      </c>
      <c r="G30" s="17" t="s">
        <v>509</v>
      </c>
      <c r="H30" s="17" t="s">
        <v>427</v>
      </c>
      <c r="I30" s="17" t="s">
        <v>11</v>
      </c>
      <c r="J30" s="17" t="s">
        <v>11</v>
      </c>
      <c r="K30" s="17" t="s">
        <v>11</v>
      </c>
      <c r="L30" s="17" t="s">
        <v>11</v>
      </c>
      <c r="M30" s="17" t="s">
        <v>339</v>
      </c>
      <c r="N30" s="17" t="s">
        <v>185</v>
      </c>
      <c r="O30" s="17" t="s">
        <v>343</v>
      </c>
      <c r="P30" s="17" t="s">
        <v>346</v>
      </c>
      <c r="Q30" s="17" t="s">
        <v>186</v>
      </c>
      <c r="R30" s="17" t="s">
        <v>510</v>
      </c>
      <c r="S30" s="17" t="s">
        <v>187</v>
      </c>
      <c r="T30" s="17" t="s">
        <v>323</v>
      </c>
      <c r="U30" s="17" t="s">
        <v>183</v>
      </c>
      <c r="V30" s="17" t="s">
        <v>184</v>
      </c>
      <c r="W30" s="17" t="s">
        <v>14</v>
      </c>
      <c r="X30" s="17" t="s">
        <v>11</v>
      </c>
      <c r="Y30" s="17">
        <v>53</v>
      </c>
      <c r="Z30" s="17">
        <v>82</v>
      </c>
      <c r="AA30" s="12">
        <v>3</v>
      </c>
      <c r="AB30" s="10">
        <v>46</v>
      </c>
      <c r="AC30" s="10" t="s">
        <v>11</v>
      </c>
      <c r="AD30" s="10" t="s">
        <v>103</v>
      </c>
      <c r="AF30" t="s">
        <v>521</v>
      </c>
      <c r="AG30">
        <v>39</v>
      </c>
      <c r="AH30">
        <v>17.899999999999999</v>
      </c>
    </row>
    <row r="31" spans="1:34" ht="15.95" customHeight="1" thickBot="1" x14ac:dyDescent="0.3">
      <c r="A31" s="14" t="s">
        <v>511</v>
      </c>
      <c r="B31" s="15" t="s">
        <v>512</v>
      </c>
      <c r="C31" s="14" t="s">
        <v>11</v>
      </c>
      <c r="D31" s="15" t="s">
        <v>11</v>
      </c>
      <c r="E31" s="15" t="s">
        <v>11</v>
      </c>
      <c r="F31" s="15" t="s">
        <v>11</v>
      </c>
      <c r="G31" s="15" t="s">
        <v>513</v>
      </c>
      <c r="H31" s="15" t="s">
        <v>457</v>
      </c>
      <c r="I31" s="15" t="s">
        <v>11</v>
      </c>
      <c r="J31" s="15" t="s">
        <v>11</v>
      </c>
      <c r="K31" s="15" t="s">
        <v>11</v>
      </c>
      <c r="L31" s="15" t="s">
        <v>11</v>
      </c>
      <c r="M31" s="15" t="s">
        <v>255</v>
      </c>
      <c r="N31" s="15" t="s">
        <v>514</v>
      </c>
      <c r="O31" s="15" t="s">
        <v>515</v>
      </c>
      <c r="P31" s="15" t="s">
        <v>516</v>
      </c>
      <c r="Q31" s="15" t="s">
        <v>517</v>
      </c>
      <c r="R31" s="15" t="s">
        <v>518</v>
      </c>
      <c r="S31" s="15" t="s">
        <v>519</v>
      </c>
      <c r="T31" s="15" t="s">
        <v>307</v>
      </c>
      <c r="U31" s="15" t="s">
        <v>520</v>
      </c>
      <c r="V31" s="15" t="s">
        <v>207</v>
      </c>
      <c r="W31" s="15" t="s">
        <v>14</v>
      </c>
      <c r="X31" s="15" t="s">
        <v>11</v>
      </c>
      <c r="Y31" s="15">
        <v>32</v>
      </c>
      <c r="Z31" s="15">
        <v>38</v>
      </c>
      <c r="AA31" s="11">
        <v>51</v>
      </c>
      <c r="AB31" s="9">
        <v>40</v>
      </c>
      <c r="AC31" s="9" t="s">
        <v>11</v>
      </c>
      <c r="AD31" s="9" t="s">
        <v>103</v>
      </c>
      <c r="AF31" t="s">
        <v>334</v>
      </c>
      <c r="AG31">
        <v>37</v>
      </c>
      <c r="AH31">
        <v>16.2</v>
      </c>
    </row>
    <row r="32" spans="1:34" ht="15.95" customHeight="1" thickBot="1" x14ac:dyDescent="0.3">
      <c r="A32" s="16" t="s">
        <v>521</v>
      </c>
      <c r="B32" s="17" t="s">
        <v>522</v>
      </c>
      <c r="C32" s="16" t="s">
        <v>100</v>
      </c>
      <c r="D32" s="17" t="s">
        <v>11</v>
      </c>
      <c r="E32" s="17" t="s">
        <v>11</v>
      </c>
      <c r="F32" s="17" t="s">
        <v>11</v>
      </c>
      <c r="G32" s="17" t="s">
        <v>523</v>
      </c>
      <c r="H32" s="17" t="s">
        <v>428</v>
      </c>
      <c r="I32" s="17" t="s">
        <v>11</v>
      </c>
      <c r="J32" s="17" t="s">
        <v>11</v>
      </c>
      <c r="K32" s="17" t="s">
        <v>11</v>
      </c>
      <c r="L32" s="17" t="s">
        <v>11</v>
      </c>
      <c r="M32" s="17" t="s">
        <v>11</v>
      </c>
      <c r="N32" s="17" t="s">
        <v>514</v>
      </c>
      <c r="O32" s="17" t="s">
        <v>524</v>
      </c>
      <c r="P32" s="17" t="s">
        <v>525</v>
      </c>
      <c r="Q32" s="17" t="s">
        <v>131</v>
      </c>
      <c r="R32" s="17" t="s">
        <v>247</v>
      </c>
      <c r="S32" s="17" t="s">
        <v>350</v>
      </c>
      <c r="T32" s="17" t="s">
        <v>356</v>
      </c>
      <c r="U32" s="17" t="s">
        <v>11</v>
      </c>
      <c r="V32" s="17" t="s">
        <v>11</v>
      </c>
      <c r="W32" s="17" t="s">
        <v>14</v>
      </c>
      <c r="X32" s="17" t="s">
        <v>11</v>
      </c>
      <c r="Y32" s="17">
        <v>58</v>
      </c>
      <c r="Z32" s="17">
        <v>18</v>
      </c>
      <c r="AA32" s="12">
        <v>41</v>
      </c>
      <c r="AB32" s="10">
        <v>39</v>
      </c>
      <c r="AC32" s="10" t="s">
        <v>11</v>
      </c>
      <c r="AD32" s="10" t="s">
        <v>103</v>
      </c>
      <c r="AF32" t="s">
        <v>121</v>
      </c>
      <c r="AG32">
        <v>33</v>
      </c>
      <c r="AH32">
        <v>11.6</v>
      </c>
    </row>
    <row r="33" spans="1:34" ht="15.95" customHeight="1" thickBot="1" x14ac:dyDescent="0.3">
      <c r="A33" s="14" t="s">
        <v>334</v>
      </c>
      <c r="B33" s="15" t="s">
        <v>526</v>
      </c>
      <c r="C33" s="14" t="s">
        <v>71</v>
      </c>
      <c r="D33" s="15" t="s">
        <v>11</v>
      </c>
      <c r="E33" s="15" t="s">
        <v>11</v>
      </c>
      <c r="F33" s="15" t="s">
        <v>11</v>
      </c>
      <c r="G33" s="15" t="s">
        <v>527</v>
      </c>
      <c r="H33" s="15" t="s">
        <v>413</v>
      </c>
      <c r="I33" s="15" t="s">
        <v>11</v>
      </c>
      <c r="J33" s="15" t="s">
        <v>11</v>
      </c>
      <c r="K33" s="15" t="s">
        <v>11</v>
      </c>
      <c r="L33" s="15" t="s">
        <v>11</v>
      </c>
      <c r="M33" s="15" t="s">
        <v>340</v>
      </c>
      <c r="N33" s="15" t="s">
        <v>245</v>
      </c>
      <c r="O33" s="15" t="s">
        <v>344</v>
      </c>
      <c r="P33" s="15" t="s">
        <v>336</v>
      </c>
      <c r="Q33" s="15" t="s">
        <v>348</v>
      </c>
      <c r="R33" s="15" t="s">
        <v>528</v>
      </c>
      <c r="S33" s="15" t="s">
        <v>164</v>
      </c>
      <c r="T33" s="15" t="s">
        <v>362</v>
      </c>
      <c r="U33" s="15" t="s">
        <v>369</v>
      </c>
      <c r="V33" s="15" t="s">
        <v>201</v>
      </c>
      <c r="W33" s="15" t="s">
        <v>14</v>
      </c>
      <c r="X33" s="15" t="s">
        <v>11</v>
      </c>
      <c r="Y33" s="15">
        <v>45</v>
      </c>
      <c r="Z33" s="15">
        <v>33</v>
      </c>
      <c r="AA33" s="11">
        <v>33</v>
      </c>
      <c r="AB33" s="9">
        <v>37</v>
      </c>
      <c r="AC33" s="9" t="s">
        <v>11</v>
      </c>
      <c r="AD33" s="9" t="s">
        <v>103</v>
      </c>
      <c r="AF33" t="s">
        <v>315</v>
      </c>
      <c r="AG33">
        <v>29</v>
      </c>
      <c r="AH33">
        <v>98.1</v>
      </c>
    </row>
    <row r="34" spans="1:34" ht="15.95" customHeight="1" thickBot="1" x14ac:dyDescent="0.3">
      <c r="A34" s="16" t="s">
        <v>121</v>
      </c>
      <c r="B34" s="17" t="s">
        <v>122</v>
      </c>
      <c r="C34" s="16" t="s">
        <v>55</v>
      </c>
      <c r="D34" s="17" t="s">
        <v>11</v>
      </c>
      <c r="E34" s="17" t="s">
        <v>11</v>
      </c>
      <c r="F34" s="17" t="s">
        <v>11</v>
      </c>
      <c r="G34" s="17" t="s">
        <v>529</v>
      </c>
      <c r="H34" s="17" t="s">
        <v>530</v>
      </c>
      <c r="I34" s="17" t="s">
        <v>11</v>
      </c>
      <c r="J34" s="17" t="s">
        <v>11</v>
      </c>
      <c r="K34" s="17" t="s">
        <v>11</v>
      </c>
      <c r="L34" s="17" t="s">
        <v>11</v>
      </c>
      <c r="M34" s="17" t="s">
        <v>113</v>
      </c>
      <c r="N34" s="17" t="s">
        <v>124</v>
      </c>
      <c r="O34" s="17" t="s">
        <v>125</v>
      </c>
      <c r="P34" s="17" t="s">
        <v>123</v>
      </c>
      <c r="Q34" s="17" t="s">
        <v>126</v>
      </c>
      <c r="R34" s="17" t="s">
        <v>531</v>
      </c>
      <c r="S34" s="17" t="s">
        <v>385</v>
      </c>
      <c r="T34" s="17" t="s">
        <v>323</v>
      </c>
      <c r="U34" s="17" t="s">
        <v>387</v>
      </c>
      <c r="V34" s="17" t="s">
        <v>388</v>
      </c>
      <c r="W34" s="17" t="s">
        <v>14</v>
      </c>
      <c r="X34" s="17" t="s">
        <v>11</v>
      </c>
      <c r="Y34" s="17">
        <v>79</v>
      </c>
      <c r="Z34" s="17">
        <v>13</v>
      </c>
      <c r="AA34" s="12">
        <v>8</v>
      </c>
      <c r="AB34" s="10">
        <v>33</v>
      </c>
      <c r="AC34" s="10" t="s">
        <v>84</v>
      </c>
      <c r="AD34" s="10" t="s">
        <v>103</v>
      </c>
      <c r="AF34" t="s">
        <v>335</v>
      </c>
      <c r="AG34">
        <v>29</v>
      </c>
      <c r="AH34">
        <v>14.1</v>
      </c>
    </row>
    <row r="35" spans="1:34" ht="15.95" customHeight="1" thickBot="1" x14ac:dyDescent="0.3">
      <c r="A35" s="14" t="s">
        <v>315</v>
      </c>
      <c r="B35" s="15" t="s">
        <v>316</v>
      </c>
      <c r="C35" s="14" t="s">
        <v>81</v>
      </c>
      <c r="D35" s="15" t="s">
        <v>11</v>
      </c>
      <c r="E35" s="15" t="s">
        <v>11</v>
      </c>
      <c r="F35" s="15" t="s">
        <v>11</v>
      </c>
      <c r="G35" s="15" t="s">
        <v>532</v>
      </c>
      <c r="H35" s="15" t="s">
        <v>533</v>
      </c>
      <c r="I35" s="15" t="s">
        <v>11</v>
      </c>
      <c r="J35" s="15" t="s">
        <v>11</v>
      </c>
      <c r="K35" s="15" t="s">
        <v>11</v>
      </c>
      <c r="L35" s="15" t="s">
        <v>11</v>
      </c>
      <c r="M35" s="15" t="s">
        <v>11</v>
      </c>
      <c r="N35" s="15" t="s">
        <v>317</v>
      </c>
      <c r="O35" s="15" t="s">
        <v>320</v>
      </c>
      <c r="P35" s="15" t="s">
        <v>248</v>
      </c>
      <c r="Q35" s="15" t="s">
        <v>321</v>
      </c>
      <c r="R35" s="15" t="s">
        <v>63</v>
      </c>
      <c r="S35" s="15" t="s">
        <v>11</v>
      </c>
      <c r="T35" s="15" t="s">
        <v>324</v>
      </c>
      <c r="U35" s="15" t="s">
        <v>11</v>
      </c>
      <c r="V35" s="15" t="s">
        <v>11</v>
      </c>
      <c r="W35" s="15" t="s">
        <v>14</v>
      </c>
      <c r="X35" s="15" t="s">
        <v>11</v>
      </c>
      <c r="Y35" s="15">
        <v>16</v>
      </c>
      <c r="Z35" s="15">
        <v>46</v>
      </c>
      <c r="AA35" s="11">
        <v>26</v>
      </c>
      <c r="AB35" s="9">
        <v>29</v>
      </c>
      <c r="AC35" s="9" t="s">
        <v>84</v>
      </c>
      <c r="AD35" s="9" t="s">
        <v>103</v>
      </c>
      <c r="AF35" t="s">
        <v>537</v>
      </c>
      <c r="AG35">
        <v>23</v>
      </c>
      <c r="AH35">
        <v>21.6</v>
      </c>
    </row>
    <row r="36" spans="1:34" ht="15.95" customHeight="1" thickBot="1" x14ac:dyDescent="0.3">
      <c r="A36" s="16" t="s">
        <v>335</v>
      </c>
      <c r="B36" s="17" t="s">
        <v>534</v>
      </c>
      <c r="C36" s="16" t="s">
        <v>71</v>
      </c>
      <c r="D36" s="17" t="s">
        <v>11</v>
      </c>
      <c r="E36" s="17" t="s">
        <v>11</v>
      </c>
      <c r="F36" s="17" t="s">
        <v>11</v>
      </c>
      <c r="G36" s="17" t="s">
        <v>535</v>
      </c>
      <c r="H36" s="17" t="s">
        <v>536</v>
      </c>
      <c r="I36" s="17" t="s">
        <v>11</v>
      </c>
      <c r="J36" s="17" t="s">
        <v>11</v>
      </c>
      <c r="K36" s="17" t="s">
        <v>11</v>
      </c>
      <c r="L36" s="17" t="s">
        <v>11</v>
      </c>
      <c r="M36" s="17" t="s">
        <v>341</v>
      </c>
      <c r="N36" s="17" t="s">
        <v>337</v>
      </c>
      <c r="O36" s="17" t="s">
        <v>345</v>
      </c>
      <c r="P36" s="17" t="s">
        <v>338</v>
      </c>
      <c r="Q36" s="17" t="s">
        <v>349</v>
      </c>
      <c r="R36" s="17" t="s">
        <v>257</v>
      </c>
      <c r="S36" s="17" t="s">
        <v>355</v>
      </c>
      <c r="T36" s="17" t="s">
        <v>359</v>
      </c>
      <c r="U36" s="17" t="s">
        <v>370</v>
      </c>
      <c r="V36" s="17" t="s">
        <v>206</v>
      </c>
      <c r="W36" s="17" t="s">
        <v>14</v>
      </c>
      <c r="X36" s="17" t="s">
        <v>11</v>
      </c>
      <c r="Y36" s="17">
        <v>47</v>
      </c>
      <c r="Z36" s="17">
        <v>21</v>
      </c>
      <c r="AA36" s="12">
        <v>18</v>
      </c>
      <c r="AB36" s="10">
        <v>29</v>
      </c>
      <c r="AC36" s="10" t="s">
        <v>11</v>
      </c>
      <c r="AD36" s="10" t="s">
        <v>103</v>
      </c>
      <c r="AF36" t="s">
        <v>290</v>
      </c>
      <c r="AG36">
        <v>18</v>
      </c>
      <c r="AH36">
        <v>-9.6999999999999993</v>
      </c>
    </row>
    <row r="37" spans="1:34" ht="15.95" customHeight="1" thickBot="1" x14ac:dyDescent="0.3">
      <c r="A37" s="14" t="s">
        <v>537</v>
      </c>
      <c r="B37" s="15" t="s">
        <v>538</v>
      </c>
      <c r="C37" s="14" t="s">
        <v>100</v>
      </c>
      <c r="D37" s="15" t="s">
        <v>11</v>
      </c>
      <c r="E37" s="15" t="s">
        <v>11</v>
      </c>
      <c r="F37" s="15" t="s">
        <v>11</v>
      </c>
      <c r="G37" s="15" t="s">
        <v>539</v>
      </c>
      <c r="H37" s="15" t="s">
        <v>540</v>
      </c>
      <c r="I37" s="15" t="s">
        <v>11</v>
      </c>
      <c r="J37" s="15" t="s">
        <v>11</v>
      </c>
      <c r="K37" s="15" t="s">
        <v>11</v>
      </c>
      <c r="L37" s="15" t="s">
        <v>11</v>
      </c>
      <c r="M37" s="15" t="s">
        <v>11</v>
      </c>
      <c r="N37" s="15" t="s">
        <v>541</v>
      </c>
      <c r="O37" s="15" t="s">
        <v>542</v>
      </c>
      <c r="P37" s="15" t="s">
        <v>439</v>
      </c>
      <c r="Q37" s="15" t="s">
        <v>257</v>
      </c>
      <c r="R37" s="15" t="s">
        <v>172</v>
      </c>
      <c r="S37" s="15" t="s">
        <v>543</v>
      </c>
      <c r="T37" s="15" t="s">
        <v>356</v>
      </c>
      <c r="U37" s="15" t="s">
        <v>11</v>
      </c>
      <c r="V37" s="15" t="s">
        <v>11</v>
      </c>
      <c r="W37" s="15" t="s">
        <v>14</v>
      </c>
      <c r="X37" s="15" t="s">
        <v>11</v>
      </c>
      <c r="Y37" s="15">
        <v>11</v>
      </c>
      <c r="Z37" s="15">
        <v>10</v>
      </c>
      <c r="AA37" s="11">
        <v>49</v>
      </c>
      <c r="AB37" s="9">
        <v>23</v>
      </c>
      <c r="AC37" s="9" t="s">
        <v>64</v>
      </c>
      <c r="AD37" s="9" t="s">
        <v>103</v>
      </c>
      <c r="AF37" t="s">
        <v>258</v>
      </c>
      <c r="AG37">
        <v>17</v>
      </c>
      <c r="AH37">
        <v>19.600000000000001</v>
      </c>
    </row>
    <row r="38" spans="1:34" ht="15.95" customHeight="1" thickBot="1" x14ac:dyDescent="0.3">
      <c r="A38" s="16" t="s">
        <v>290</v>
      </c>
      <c r="B38" s="17" t="s">
        <v>291</v>
      </c>
      <c r="C38" s="16" t="s">
        <v>51</v>
      </c>
      <c r="D38" s="17" t="s">
        <v>11</v>
      </c>
      <c r="E38" s="17" t="s">
        <v>11</v>
      </c>
      <c r="F38" s="17" t="s">
        <v>11</v>
      </c>
      <c r="G38" s="17" t="s">
        <v>544</v>
      </c>
      <c r="H38" s="17" t="s">
        <v>545</v>
      </c>
      <c r="I38" s="17" t="s">
        <v>11</v>
      </c>
      <c r="J38" s="17" t="s">
        <v>11</v>
      </c>
      <c r="K38" s="17" t="s">
        <v>11</v>
      </c>
      <c r="L38" s="17" t="s">
        <v>11</v>
      </c>
      <c r="M38" s="17" t="s">
        <v>292</v>
      </c>
      <c r="N38" s="17" t="s">
        <v>293</v>
      </c>
      <c r="O38" s="17" t="s">
        <v>300</v>
      </c>
      <c r="P38" s="17" t="s">
        <v>294</v>
      </c>
      <c r="Q38" s="17" t="s">
        <v>302</v>
      </c>
      <c r="R38" s="17" t="s">
        <v>546</v>
      </c>
      <c r="S38" s="17" t="s">
        <v>246</v>
      </c>
      <c r="T38" s="17" t="s">
        <v>308</v>
      </c>
      <c r="U38" s="17" t="s">
        <v>310</v>
      </c>
      <c r="V38" s="17" t="s">
        <v>312</v>
      </c>
      <c r="W38" s="17" t="s">
        <v>14</v>
      </c>
      <c r="X38" s="17" t="s">
        <v>11</v>
      </c>
      <c r="Y38" s="17">
        <v>5</v>
      </c>
      <c r="Z38" s="17">
        <v>5</v>
      </c>
      <c r="AA38" s="12">
        <v>44</v>
      </c>
      <c r="AB38" s="10">
        <v>18</v>
      </c>
      <c r="AC38" s="10" t="s">
        <v>11</v>
      </c>
      <c r="AD38" s="10" t="s">
        <v>103</v>
      </c>
      <c r="AF38" t="s">
        <v>295</v>
      </c>
      <c r="AG38">
        <v>5</v>
      </c>
      <c r="AH38">
        <v>-11.8</v>
      </c>
    </row>
    <row r="39" spans="1:34" ht="15.95" customHeight="1" thickBot="1" x14ac:dyDescent="0.3">
      <c r="A39" s="14" t="s">
        <v>383</v>
      </c>
      <c r="B39" s="15" t="s">
        <v>382</v>
      </c>
      <c r="C39" s="14" t="s">
        <v>547</v>
      </c>
      <c r="D39" s="15" t="s">
        <v>11</v>
      </c>
      <c r="E39" s="15" t="s">
        <v>11</v>
      </c>
      <c r="F39" s="15" t="s">
        <v>11</v>
      </c>
      <c r="G39" s="15" t="s">
        <v>11</v>
      </c>
      <c r="H39" s="15" t="s">
        <v>11</v>
      </c>
      <c r="I39" s="15" t="s">
        <v>11</v>
      </c>
      <c r="J39" s="15" t="s">
        <v>11</v>
      </c>
      <c r="K39" s="15" t="s">
        <v>11</v>
      </c>
      <c r="L39" s="15" t="s">
        <v>11</v>
      </c>
      <c r="M39" s="15" t="s">
        <v>11</v>
      </c>
      <c r="N39" s="15" t="s">
        <v>11</v>
      </c>
      <c r="O39" s="15" t="s">
        <v>11</v>
      </c>
      <c r="P39" s="15" t="s">
        <v>11</v>
      </c>
      <c r="Q39" s="15" t="s">
        <v>11</v>
      </c>
      <c r="R39" s="15" t="s">
        <v>11</v>
      </c>
      <c r="S39" s="15" t="s">
        <v>275</v>
      </c>
      <c r="T39" s="15" t="s">
        <v>11</v>
      </c>
      <c r="U39" s="15" t="s">
        <v>11</v>
      </c>
      <c r="V39" s="15" t="s">
        <v>11</v>
      </c>
      <c r="W39" s="15" t="s">
        <v>14</v>
      </c>
      <c r="X39" s="15" t="s">
        <v>11</v>
      </c>
      <c r="Y39" s="15" t="s">
        <v>11</v>
      </c>
      <c r="Z39" s="15">
        <v>8</v>
      </c>
      <c r="AA39" s="11">
        <v>28</v>
      </c>
      <c r="AB39" s="9">
        <v>18</v>
      </c>
      <c r="AC39" s="9" t="s">
        <v>548</v>
      </c>
      <c r="AD39" s="9" t="s">
        <v>103</v>
      </c>
      <c r="AF39" t="s">
        <v>262</v>
      </c>
      <c r="AG39">
        <v>2</v>
      </c>
      <c r="AH39">
        <v>-112.2</v>
      </c>
    </row>
    <row r="40" spans="1:34" ht="15.95" customHeight="1" thickBot="1" x14ac:dyDescent="0.3">
      <c r="A40" s="16" t="s">
        <v>258</v>
      </c>
      <c r="B40" s="17" t="s">
        <v>259</v>
      </c>
      <c r="C40" s="16" t="s">
        <v>60</v>
      </c>
      <c r="D40" s="17" t="s">
        <v>11</v>
      </c>
      <c r="E40" s="17" t="s">
        <v>11</v>
      </c>
      <c r="F40" s="17" t="s">
        <v>11</v>
      </c>
      <c r="G40" s="17" t="s">
        <v>549</v>
      </c>
      <c r="H40" s="17" t="s">
        <v>452</v>
      </c>
      <c r="I40" s="17" t="s">
        <v>11</v>
      </c>
      <c r="J40" s="17" t="s">
        <v>11</v>
      </c>
      <c r="K40" s="17" t="s">
        <v>11</v>
      </c>
      <c r="L40" s="17" t="s">
        <v>11</v>
      </c>
      <c r="M40" s="17" t="s">
        <v>260</v>
      </c>
      <c r="N40" s="17" t="s">
        <v>185</v>
      </c>
      <c r="O40" s="17" t="s">
        <v>268</v>
      </c>
      <c r="P40" s="17" t="s">
        <v>261</v>
      </c>
      <c r="Q40" s="17" t="s">
        <v>271</v>
      </c>
      <c r="R40" s="17" t="s">
        <v>147</v>
      </c>
      <c r="S40" s="17" t="s">
        <v>274</v>
      </c>
      <c r="T40" s="17" t="s">
        <v>278</v>
      </c>
      <c r="U40" s="17" t="s">
        <v>280</v>
      </c>
      <c r="V40" s="17" t="s">
        <v>282</v>
      </c>
      <c r="W40" s="17" t="s">
        <v>14</v>
      </c>
      <c r="X40" s="17" t="s">
        <v>11</v>
      </c>
      <c r="Y40" s="17">
        <v>8</v>
      </c>
      <c r="Z40" s="17">
        <v>44</v>
      </c>
      <c r="AA40" s="12">
        <v>0</v>
      </c>
      <c r="AB40" s="10">
        <v>17</v>
      </c>
      <c r="AC40" s="10" t="s">
        <v>64</v>
      </c>
      <c r="AD40" s="10" t="s">
        <v>103</v>
      </c>
    </row>
    <row r="41" spans="1:34" ht="15.95" customHeight="1" thickBot="1" x14ac:dyDescent="0.3">
      <c r="A41" s="14" t="s">
        <v>295</v>
      </c>
      <c r="B41" s="15" t="s">
        <v>296</v>
      </c>
      <c r="C41" s="14" t="s">
        <v>51</v>
      </c>
      <c r="D41" s="15" t="s">
        <v>11</v>
      </c>
      <c r="E41" s="15" t="s">
        <v>11</v>
      </c>
      <c r="F41" s="15" t="s">
        <v>11</v>
      </c>
      <c r="G41" s="15" t="s">
        <v>550</v>
      </c>
      <c r="H41" s="15" t="s">
        <v>551</v>
      </c>
      <c r="I41" s="15" t="s">
        <v>11</v>
      </c>
      <c r="J41" s="15" t="s">
        <v>11</v>
      </c>
      <c r="K41" s="15" t="s">
        <v>11</v>
      </c>
      <c r="L41" s="15" t="s">
        <v>11</v>
      </c>
      <c r="M41" s="15" t="s">
        <v>242</v>
      </c>
      <c r="N41" s="15" t="s">
        <v>297</v>
      </c>
      <c r="O41" s="15" t="s">
        <v>301</v>
      </c>
      <c r="P41" s="15" t="s">
        <v>239</v>
      </c>
      <c r="Q41" s="15" t="s">
        <v>303</v>
      </c>
      <c r="R41" s="15" t="s">
        <v>552</v>
      </c>
      <c r="S41" s="15" t="s">
        <v>304</v>
      </c>
      <c r="T41" s="15" t="s">
        <v>309</v>
      </c>
      <c r="U41" s="15" t="s">
        <v>311</v>
      </c>
      <c r="V41" s="15" t="s">
        <v>313</v>
      </c>
      <c r="W41" s="15" t="s">
        <v>14</v>
      </c>
      <c r="X41" s="15" t="s">
        <v>11</v>
      </c>
      <c r="Y41" s="15">
        <v>3</v>
      </c>
      <c r="Z41" s="15">
        <v>3</v>
      </c>
      <c r="AA41" s="11">
        <v>10</v>
      </c>
      <c r="AB41" s="9">
        <v>5</v>
      </c>
      <c r="AC41" s="9" t="s">
        <v>11</v>
      </c>
      <c r="AD41" s="9" t="s">
        <v>103</v>
      </c>
    </row>
    <row r="42" spans="1:34" ht="15.95" customHeight="1" x14ac:dyDescent="0.25">
      <c r="A42" s="18" t="s">
        <v>262</v>
      </c>
      <c r="B42" s="19" t="s">
        <v>263</v>
      </c>
      <c r="C42" s="18" t="s">
        <v>60</v>
      </c>
      <c r="D42" s="19" t="s">
        <v>11</v>
      </c>
      <c r="E42" s="19" t="s">
        <v>11</v>
      </c>
      <c r="F42" s="19" t="s">
        <v>11</v>
      </c>
      <c r="G42" s="19" t="s">
        <v>553</v>
      </c>
      <c r="H42" s="19" t="s">
        <v>554</v>
      </c>
      <c r="I42" s="19" t="s">
        <v>11</v>
      </c>
      <c r="J42" s="19" t="s">
        <v>11</v>
      </c>
      <c r="K42" s="19" t="s">
        <v>11</v>
      </c>
      <c r="L42" s="19" t="s">
        <v>11</v>
      </c>
      <c r="M42" s="19" t="s">
        <v>264</v>
      </c>
      <c r="N42" s="19" t="s">
        <v>265</v>
      </c>
      <c r="O42" s="19" t="s">
        <v>269</v>
      </c>
      <c r="P42" s="19" t="s">
        <v>266</v>
      </c>
      <c r="Q42" s="19" t="s">
        <v>272</v>
      </c>
      <c r="R42" s="19" t="s">
        <v>555</v>
      </c>
      <c r="S42" s="19" t="s">
        <v>275</v>
      </c>
      <c r="T42" s="19" t="s">
        <v>279</v>
      </c>
      <c r="U42" s="19" t="s">
        <v>163</v>
      </c>
      <c r="V42" s="19" t="s">
        <v>283</v>
      </c>
      <c r="W42" s="19" t="s">
        <v>14</v>
      </c>
      <c r="X42" s="19" t="s">
        <v>11</v>
      </c>
      <c r="Y42" s="19">
        <v>0</v>
      </c>
      <c r="Z42" s="19">
        <v>0</v>
      </c>
      <c r="AA42" s="12">
        <v>5</v>
      </c>
      <c r="AB42" s="10">
        <v>2</v>
      </c>
      <c r="AC42" s="10" t="s">
        <v>11</v>
      </c>
      <c r="AD42" s="10" t="s">
        <v>103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DASHBOARD</vt:lpstr>
      <vt:lpstr>VALUE</vt:lpstr>
      <vt:lpstr>GROWTH</vt:lpstr>
      <vt:lpstr>QUALITY</vt:lpstr>
      <vt:lpstr>MOMENTUM</vt:lpstr>
      <vt:lpstr>PAR SECTEUR</vt:lpstr>
      <vt:lpstr>SECTOR OVERVIEW</vt:lpstr>
      <vt:lpstr>TECHNOLOGY</vt:lpstr>
      <vt:lpstr>CONSUMER DISC.</vt:lpstr>
      <vt:lpstr>FINANCIALS</vt:lpstr>
      <vt:lpstr>INDUSTRIALS</vt:lpstr>
      <vt:lpstr>HEALTHCARE</vt:lpstr>
      <vt:lpstr>ENERGY</vt:lpstr>
      <vt:lpstr>MATERIALS</vt:lpstr>
      <vt:lpstr>REAL ESTATE</vt:lpstr>
      <vt:lpstr>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jeh</cp:lastModifiedBy>
  <dcterms:created xsi:type="dcterms:W3CDTF">2026-03-22T08:37:34Z</dcterms:created>
  <dcterms:modified xsi:type="dcterms:W3CDTF">2026-04-02T14:29:39Z</dcterms:modified>
</cp:coreProperties>
</file>