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COMPARABLE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DASHBOARD 2" sheetId="7" state="visible" r:id="rId7"/>
    <sheet xmlns:r="http://schemas.openxmlformats.org/officeDocument/2006/relationships" name="STOCK_DATA" sheetId="8" state="hidden" r:id="rId8"/>
    <sheet xmlns:r="http://schemas.openxmlformats.org/officeDocument/2006/relationships" name="SECTOR_REF" sheetId="9" state="hidden" r:id="rId9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3">'COMPARABLES'!$A$1:$L$45</definedName>
    <definedName name="_xlnm.Print_Area" localSheetId="4">'SCENARIOS'!$A$1:$I$54</definedName>
    <definedName name="_xlnm.Print_Area" localSheetId="5">'DASHBOARD'!$A$1:$N$95</definedName>
    <definedName name="_xlnm.Print_Area" localSheetId="6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RATIOS DE VALORISATION — REIT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P/FFO (Price / Funds From Ops)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IFERROR(INPUT!H97/(INPUT!H26+ABS(INPUT!H16)),"–")</f>
        <v/>
      </c>
    </row>
    <row r="10" ht="15" customHeight="1" s="489">
      <c r="A10" s="182" t="n"/>
      <c r="B10" s="422" t="inlineStr">
        <is>
          <t>P/AFFO (Price / Adj. FFO)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IFERROR(INPUT!H97/(INPUT!H26+ABS(INPUT!H16)-ABS(INPUT!H78)),"–")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P/NAV (Price / Net Asset Value)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n.d. — source expert</t>
        </is>
      </c>
    </row>
    <row r="14" ht="15" customHeight="1" s="489">
      <c r="A14" s="182" t="n"/>
      <c r="B14" s="422" t="inlineStr">
        <is>
          <t>Cap Rate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n.d. — source expert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 Margin (NOI proxy)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MÉTRIQUES OPÉRATIONNELLES — REIT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FFO / Share</t>
        </is>
      </c>
      <c r="C60" s="417" t="n"/>
      <c r="D60" s="526" t="n"/>
      <c r="E60" s="558" t="inlineStr">
        <is>
          <t>n.d.</t>
        </is>
      </c>
      <c r="F60" s="558" t="inlineStr">
        <is>
          <t>n.d.</t>
        </is>
      </c>
      <c r="G60" s="558" t="inlineStr">
        <is>
          <t>n.d.</t>
        </is>
      </c>
      <c r="H60" s="559" t="inlineStr">
        <is>
          <t>n.d.</t>
        </is>
      </c>
    </row>
    <row r="61" ht="15" customHeight="1" s="489">
      <c r="A61" s="182" t="n"/>
      <c r="B61" s="416" t="inlineStr">
        <is>
          <t>AFFO / Share</t>
        </is>
      </c>
      <c r="C61" s="417" t="n"/>
      <c r="D61" s="526" t="n"/>
      <c r="E61" s="558" t="inlineStr">
        <is>
          <t>n.d.</t>
        </is>
      </c>
      <c r="F61" s="558" t="inlineStr">
        <is>
          <t>n.d.</t>
        </is>
      </c>
      <c r="G61" s="558" t="inlineStr">
        <is>
          <t>n.d.</t>
        </is>
      </c>
      <c r="H61" s="559" t="inlineStr">
        <is>
          <t>n.d.</t>
        </is>
      </c>
    </row>
    <row r="62" ht="15" customHeight="1" s="489">
      <c r="A62" s="182" t="n"/>
      <c r="B62" s="416" t="inlineStr">
        <is>
          <t>LTV Ratio</t>
        </is>
      </c>
      <c r="C62" s="417" t="n"/>
      <c r="D62" s="526" t="n"/>
      <c r="E62" s="419" t="inlineStr">
        <is>
          <t>n.d.</t>
        </is>
      </c>
      <c r="F62" s="419" t="inlineStr">
        <is>
          <t>n.d.</t>
        </is>
      </c>
      <c r="G62" s="419" t="inlineStr">
        <is>
          <t>n.d.</t>
        </is>
      </c>
      <c r="H62" s="457" t="inlineStr">
        <is>
          <t>n.d.</t>
        </is>
      </c>
    </row>
    <row r="63" ht="15" customHeight="1" s="489">
      <c r="A63" s="182" t="n"/>
      <c r="B63" s="416" t="inlineStr">
        <is>
          <t>Occupancy Rate (n.d.)</t>
        </is>
      </c>
      <c r="C63" s="417" t="n"/>
      <c r="D63" s="526" t="n"/>
      <c r="E63" s="419" t="inlineStr">
        <is>
          <t>n.d.</t>
        </is>
      </c>
      <c r="F63" s="419" t="inlineStr">
        <is>
          <t>n.d.</t>
        </is>
      </c>
      <c r="G63" s="419" t="inlineStr">
        <is>
          <t>n.d.</t>
        </is>
      </c>
      <c r="H63" s="457" t="inlineStr">
        <is>
          <t>n.d.</t>
        </is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(Section Brent désactivée — non pertinente REIT)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n"/>
      <c r="C41" s="191" t="n"/>
      <c r="D41" s="471" t="n"/>
      <c r="E41" s="471" t="n"/>
      <c r="F41" s="471" t="n"/>
      <c r="G41" s="463" t="n"/>
    </row>
    <row r="42" ht="18" customHeight="1" s="489" thickBot="1">
      <c r="A42" s="107" t="n"/>
      <c r="B42" s="504" t="n"/>
      <c r="C42" s="417" t="n"/>
      <c r="D42" s="473" t="n"/>
      <c r="E42" s="472">
        <f>IF(D42="Bear",60,IF(D42="Base",75,IF(D42="Bull",90,75)))</f>
        <v/>
      </c>
    </row>
    <row r="43" ht="15" customHeight="1" s="489">
      <c r="A43" s="3" t="n"/>
      <c r="B43" s="69" t="n"/>
      <c r="C43" s="191" t="n"/>
      <c r="D43" s="535" t="n"/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n"/>
      <c r="C44" s="191" t="n"/>
      <c r="D44" s="536" t="n"/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n"/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n"/>
      <c r="C46" s="82" t="n"/>
      <c r="D46" s="538" t="n"/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NOI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14" t="n">
        <v>75.33</v>
      </c>
      <c r="E9" s="615" t="n">
        <v>173303.61</v>
      </c>
      <c r="F9" s="615" t="n">
        <v>185019.01</v>
      </c>
      <c r="G9" s="615" t="n">
        <v>17629</v>
      </c>
      <c r="H9" s="616">
        <f>IFERROR(E9/G9,"–")</f>
        <v/>
      </c>
      <c r="I9" s="616">
        <f>IFERROR(E9/F9,"–")</f>
        <v/>
      </c>
      <c r="J9" s="614" t="n">
        <v>15.98</v>
      </c>
      <c r="K9" s="616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14" t="n">
        <v>11.62</v>
      </c>
      <c r="E10" s="615" t="n">
        <v>183371.55</v>
      </c>
      <c r="F10" s="615" t="n">
        <v>187267.01</v>
      </c>
      <c r="G10" s="615" t="n">
        <v>5393</v>
      </c>
      <c r="H10" s="616">
        <f>IFERROR(E10/G10,"–")</f>
        <v/>
      </c>
      <c r="I10" s="616">
        <f>IFERROR(E10/F10,"–")</f>
        <v/>
      </c>
      <c r="J10" s="614" t="n">
        <v>10.81</v>
      </c>
      <c r="K10" s="616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14" t="n">
        <v>525.72</v>
      </c>
      <c r="E11" s="615" t="n">
        <v>1333326.91</v>
      </c>
      <c r="F11" s="615" t="n">
        <v>200966</v>
      </c>
      <c r="G11" s="615" t="n">
        <v>101892</v>
      </c>
      <c r="H11" s="616">
        <f>IFERROR(E11/G11,"–")</f>
        <v/>
      </c>
      <c r="I11" s="616">
        <f>IFERROR(E11/F11,"–")</f>
        <v/>
      </c>
      <c r="J11" s="614" t="n">
        <v>23.5</v>
      </c>
      <c r="K11" s="616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14" t="n">
        <v>78.45999999999999</v>
      </c>
      <c r="E12" s="615" t="n">
        <v>144410</v>
      </c>
      <c r="F12" s="615" t="n">
        <v>133453</v>
      </c>
      <c r="G12" s="615" t="n">
        <v>15742</v>
      </c>
      <c r="H12" s="616">
        <f>IFERROR(E12/G12,"–")</f>
        <v/>
      </c>
      <c r="I12" s="616">
        <f>IFERROR(E12/F12,"–")</f>
        <v/>
      </c>
      <c r="J12" s="614" t="n">
        <v>1.3</v>
      </c>
      <c r="K12" s="616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17" t="n">
        <v>87.8</v>
      </c>
      <c r="E13" s="618" t="n">
        <v>258704.92</v>
      </c>
      <c r="F13" s="618" t="n">
        <v>321913</v>
      </c>
      <c r="G13" s="618" t="n">
        <v>24292</v>
      </c>
      <c r="H13" s="619">
        <f>IFERROR(E13/G13,"–")</f>
        <v/>
      </c>
      <c r="I13" s="619">
        <f>IFERROR(E13/F13,"–")</f>
        <v/>
      </c>
      <c r="J13" s="617" t="n"/>
      <c r="K13" s="619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20">
        <f>IFERROR(AVERAGE(D9:D13),"–")</f>
        <v/>
      </c>
      <c r="E15" s="620">
        <f>IFERROR(AVERAGE(E9:E13),"–")</f>
        <v/>
      </c>
      <c r="F15" s="620">
        <f>IFERROR(AVERAGE(F9:F13),"–")</f>
        <v/>
      </c>
      <c r="G15" s="620">
        <f>IFERROR(AVERAGE(G9:G13),"–")</f>
        <v/>
      </c>
      <c r="H15" s="621">
        <f>IFERROR(AVERAGE(H9:H13),"–")</f>
        <v/>
      </c>
      <c r="I15" s="621">
        <f>IFERROR(AVERAGE(I9:I13),"–")</f>
        <v/>
      </c>
      <c r="J15" s="622">
        <f>IFERROR(AVERAGE(J9:J13),"–")</f>
        <v/>
      </c>
      <c r="K15" s="621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20">
        <f>IFERROR(MEDIAN(D9:D13),"–")</f>
        <v/>
      </c>
      <c r="E16" s="620">
        <f>IFERROR(MEDIAN(E9:E13),"–")</f>
        <v/>
      </c>
      <c r="F16" s="620">
        <f>IFERROR(MEDIAN(F9:F13),"–")</f>
        <v/>
      </c>
      <c r="G16" s="620">
        <f>IFERROR(MEDIAN(G9:G13),"–")</f>
        <v/>
      </c>
      <c r="H16" s="621">
        <f>IFERROR(MEDIAN(H9:H13),"–")</f>
        <v/>
      </c>
      <c r="I16" s="621">
        <f>IFERROR(MEDIAN(I9:I13),"–")</f>
        <v/>
      </c>
      <c r="J16" s="622">
        <f>IFERROR(MEDIAN(J9:J13),"–")</f>
        <v/>
      </c>
      <c r="K16" s="621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23">
        <f>IFERROR(MAX(D9:D13),"–")</f>
        <v/>
      </c>
      <c r="E17" s="623">
        <f>IFERROR(MAX(E9:E13),"–")</f>
        <v/>
      </c>
      <c r="F17" s="623">
        <f>IFERROR(MAX(F9:F13),"–")</f>
        <v/>
      </c>
      <c r="G17" s="623">
        <f>IFERROR(MAX(G9:G13),"–")</f>
        <v/>
      </c>
      <c r="H17" s="624">
        <f>IFERROR(MAX(H9:H13),"–")</f>
        <v/>
      </c>
      <c r="I17" s="624">
        <f>IFERROR(MAX(I9:I13),"–")</f>
        <v/>
      </c>
      <c r="J17" s="625">
        <f>IFERROR(MAX(J9:J13),"–")</f>
        <v/>
      </c>
      <c r="K17" s="624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26">
        <f>IFERROR(MIN(D9:D13),"–")</f>
        <v/>
      </c>
      <c r="E18" s="626">
        <f>IFERROR(MIN(E9:E13),"–")</f>
        <v/>
      </c>
      <c r="F18" s="626">
        <f>IFERROR(MIN(F9:F13),"–")</f>
        <v/>
      </c>
      <c r="G18" s="626">
        <f>IFERROR(MIN(G9:G13),"–")</f>
        <v/>
      </c>
      <c r="H18" s="627">
        <f>IFERROR(MIN(H9:H13),"–")</f>
        <v/>
      </c>
      <c r="I18" s="627">
        <f>IFERROR(MIN(I9:I13),"–")</f>
        <v/>
      </c>
      <c r="J18" s="628">
        <f>IFERROR(MIN(J9:J13),"–")</f>
        <v/>
      </c>
      <c r="K18" s="627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29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29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29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30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31">
        <f>IFERROR(D23*H18,"–")</f>
        <v/>
      </c>
      <c r="E29" s="631">
        <f>IFERROR(D23*H15,"–")</f>
        <v/>
      </c>
      <c r="F29" s="631">
        <f>IFERROR(D23*H16,"–")</f>
        <v/>
      </c>
      <c r="G29" s="631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31">
        <f>IFERROR(D22*I18,"–")</f>
        <v/>
      </c>
      <c r="E30" s="631">
        <f>IFERROR(D22*I15,"–")</f>
        <v/>
      </c>
      <c r="F30" s="631">
        <f>IFERROR(D22*I16,"–")</f>
        <v/>
      </c>
      <c r="G30" s="631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31">
        <f>IFERROR(D24*K18*D26,"–")</f>
        <v/>
      </c>
      <c r="E31" s="631">
        <f>IFERROR(D24*K15*D26,"–")</f>
        <v/>
      </c>
      <c r="F31" s="631">
        <f>IFERROR(D24*K16*D26,"–")</f>
        <v/>
      </c>
      <c r="G31" s="631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31">
        <f>IFERROR(AVERAGE(D29,D30),"–")</f>
        <v/>
      </c>
      <c r="E33" s="631">
        <f>IFERROR(AVERAGE(E29,E30),"–")</f>
        <v/>
      </c>
      <c r="F33" s="631">
        <f>IFERROR(AVERAGE(F29,F30),"–")</f>
        <v/>
      </c>
      <c r="G33" s="631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31">
        <f>D25</f>
        <v/>
      </c>
      <c r="E34" s="631">
        <f>D25</f>
        <v/>
      </c>
      <c r="F34" s="631">
        <f>D25</f>
        <v/>
      </c>
      <c r="G34" s="631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31">
        <f>IFERROR(D33-D34,"–")</f>
        <v/>
      </c>
      <c r="E35" s="631">
        <f>IFERROR(E33-E34,"–")</f>
        <v/>
      </c>
      <c r="F35" s="631">
        <f>IFERROR(F33-F34,"–")</f>
        <v/>
      </c>
      <c r="G35" s="631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32">
        <f>IFERROR(D35/D26,"–")</f>
        <v/>
      </c>
      <c r="E36" s="632">
        <f>IFERROR(E35/D26,"–")</f>
        <v/>
      </c>
      <c r="F36" s="632">
        <f>IFERROR(F35/D26,"–")</f>
        <v/>
      </c>
      <c r="G36" s="632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22">
        <f>INPUT!H95</f>
        <v/>
      </c>
      <c r="E37" s="622">
        <f>INPUT!H95</f>
        <v/>
      </c>
      <c r="F37" s="622">
        <f>INPUT!H95</f>
        <v/>
      </c>
      <c r="G37" s="622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33">
        <f>IFERROR(D36/D37-1,"–")</f>
        <v/>
      </c>
      <c r="E38" s="633">
        <f>IFERROR(E36/D37-1,"–")</f>
        <v/>
      </c>
      <c r="F38" s="633">
        <f>IFERROR(F36/D37-1,"–")</f>
        <v/>
      </c>
      <c r="G38" s="633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34" t="n"/>
      <c r="E40" s="635" t="n"/>
      <c r="F40" s="635" t="n"/>
      <c r="G40" s="634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36" t="n"/>
      <c r="H8" s="586" t="n"/>
      <c r="I8" s="637" t="n"/>
      <c r="J8" s="638" t="n"/>
      <c r="K8" s="638" t="n"/>
      <c r="L8" s="638" t="n"/>
      <c r="M8" s="638" t="n"/>
    </row>
    <row r="9" ht="15" customHeight="1" s="489">
      <c r="A9" s="389" t="n"/>
      <c r="B9" s="66" t="inlineStr">
        <is>
          <t>NOI Margin (REIT)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37" t="n"/>
      <c r="J9" s="638" t="n"/>
      <c r="K9" s="638" t="n"/>
      <c r="L9" s="638" t="n"/>
      <c r="M9" s="638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37" t="n"/>
      <c r="J10" s="638" t="n"/>
      <c r="K10" s="638" t="n"/>
      <c r="L10" s="638" t="n"/>
      <c r="M10" s="638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37" t="n"/>
      <c r="J11" s="638" t="n"/>
      <c r="K11" s="638" t="n"/>
      <c r="L11" s="638" t="n"/>
      <c r="M11" s="638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37" t="n"/>
      <c r="J12" s="638" t="n"/>
      <c r="K12" s="638" t="n"/>
      <c r="L12" s="638" t="n"/>
      <c r="M12" s="638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39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39">
        <f>TEXT(INPUT!D117+1,"0")&amp;"F"</f>
        <v/>
      </c>
      <c r="I15" s="639">
        <f>TEXT(INPUT!D117+2,"0")&amp;"F"</f>
        <v/>
      </c>
      <c r="J15" s="639">
        <f>TEXT(INPUT!D117+3,"0")&amp;"F"</f>
        <v/>
      </c>
      <c r="K15" s="639">
        <f>TEXT(INPUT!D117+4,"0")&amp;"F"</f>
        <v/>
      </c>
      <c r="L15" s="639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40">
        <f>IFERROR(INPUT!E30/INPUT!E9,"–")</f>
        <v/>
      </c>
      <c r="E21" s="640">
        <f>IFERROR(INPUT!F30/INPUT!F9,"–")</f>
        <v/>
      </c>
      <c r="F21" s="640">
        <f>IFERROR(INPUT!G30/INPUT!G9,"–")</f>
        <v/>
      </c>
      <c r="G21" s="640">
        <f>IFERROR(INPUT!H30/INPUT!H9,"–")</f>
        <v/>
      </c>
      <c r="H21" s="641">
        <f>IFERROR(H18/H16,"–")</f>
        <v/>
      </c>
      <c r="I21" s="641">
        <f>IFERROR(I18/I16,"–")</f>
        <v/>
      </c>
      <c r="J21" s="641">
        <f>IFERROR(J18/J16,"–")</f>
        <v/>
      </c>
      <c r="K21" s="641">
        <f>IFERROR(K18/K16,"–")</f>
        <v/>
      </c>
      <c r="L21" s="641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42">
        <f>$D$10</f>
        <v/>
      </c>
      <c r="E30" s="643">
        <f>$E$10</f>
        <v/>
      </c>
      <c r="F30" s="643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43">
        <f>"—"</f>
        <v/>
      </c>
      <c r="E32" s="643">
        <f>"—"</f>
        <v/>
      </c>
      <c r="F32" s="643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44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45">
        <f>"▶ SCÉNARIO SÉLECTIONNÉ : "&amp;$D$6</f>
        <v/>
      </c>
      <c r="C34" s="645" t="n"/>
      <c r="D34" s="645" t="n"/>
      <c r="E34" s="645" t="n"/>
      <c r="F34" s="645" t="n"/>
      <c r="G34" s="645" t="n"/>
      <c r="H34" s="645" t="n"/>
      <c r="I34" s="645" t="n"/>
      <c r="J34" s="645" t="n"/>
      <c r="K34" s="645" t="n"/>
      <c r="L34" s="645" t="n"/>
      <c r="M34" s="645" t="n"/>
    </row>
    <row r="35" ht="15" customHeight="1" s="489">
      <c r="A35" s="389" t="n"/>
      <c r="B35" s="66" t="n"/>
      <c r="C35" s="644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46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44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44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44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47" t="n"/>
      <c r="E47" s="648">
        <f>IFERROR(H44/H38,"–")</f>
        <v/>
      </c>
      <c r="F47" s="648">
        <f>IFERROR(H45/H39,"–")</f>
        <v/>
      </c>
      <c r="G47" s="648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49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50">
        <f>IF(INPUT!H9="",NA(),INPUT!H9*(1+$D$8))</f>
        <v/>
      </c>
      <c r="D57" s="344">
        <f>IF(INPUT!H9="",NA(),C57*(1+$D$8))</f>
        <v/>
      </c>
      <c r="E57" s="650">
        <f>IF(INPUT!H9="",NA(),D57*(1+$D$8))</f>
        <v/>
      </c>
      <c r="F57" s="650">
        <f>IF(INPUT!H9="",NA(),E57*(1+$D$8))</f>
        <v/>
      </c>
      <c r="G57" s="650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50">
        <f>IF(INPUT!H9="",NA(),INPUT!H9*(1+$E$8))</f>
        <v/>
      </c>
      <c r="D58" s="344">
        <f>IF(INPUT!H9="",NA(),C58*(1+$E$8))</f>
        <v/>
      </c>
      <c r="E58" s="650">
        <f>IF(INPUT!H9="",NA(),D58*(1+$E$8))</f>
        <v/>
      </c>
      <c r="F58" s="650">
        <f>IF(INPUT!H9="",NA(),E58*(1+$E$8))</f>
        <v/>
      </c>
      <c r="G58" s="650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50">
        <f>IF(INPUT!H9="",NA(),INPUT!H9*(1+$F$8))</f>
        <v/>
      </c>
      <c r="D59" s="344">
        <f>IF(INPUT!H9="",NA(),C59*(1+$F$8))</f>
        <v/>
      </c>
      <c r="E59" s="650">
        <f>IF(INPUT!H9="",NA(),D59*(1+$F$8))</f>
        <v/>
      </c>
      <c r="F59" s="650">
        <f>IF(INPUT!H9="",NA(),E59*(1+$F$8))</f>
        <v/>
      </c>
      <c r="G59" s="650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50">
        <f>IF(INPUT!H9="",NA(),INPUT!H9*(1+$D$8)*$D$10)</f>
        <v/>
      </c>
      <c r="D62" s="344">
        <f>IF(INPUT!H9="",NA(),C57*(1+$D$8)*$D$10)</f>
        <v/>
      </c>
      <c r="E62" s="650">
        <f>IF(INPUT!H9="",NA(),D57*(1+$D$8)*$D$10)</f>
        <v/>
      </c>
      <c r="F62" s="650">
        <f>IF(INPUT!H9="",NA(),E57*(1+$D$8)*$D$10)</f>
        <v/>
      </c>
      <c r="G62" s="650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50">
        <f>IF(INPUT!H9="",NA(),INPUT!H9*(1+$E$8)*$E$10)</f>
        <v/>
      </c>
      <c r="D63" s="344">
        <f>IF(INPUT!H9="",NA(),C58*(1+$E$8)*$E$10)</f>
        <v/>
      </c>
      <c r="E63" s="650">
        <f>IF(INPUT!H9="",NA(),D58*(1+$E$8)*$E$10)</f>
        <v/>
      </c>
      <c r="F63" s="650">
        <f>IF(INPUT!H9="",NA(),E58*(1+$E$8)*$E$10)</f>
        <v/>
      </c>
      <c r="G63" s="650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50">
        <f>IF(INPUT!H9="",NA(),INPUT!H9*(1+$F$8)*$F$10)</f>
        <v/>
      </c>
      <c r="D64" s="344">
        <f>IF(INPUT!H9="",NA(),C59*(1+$F$8)*$F$10)</f>
        <v/>
      </c>
      <c r="E64" s="650">
        <f>IF(INPUT!H9="",NA(),D59*(1+$F$8)*$F$10)</f>
        <v/>
      </c>
      <c r="F64" s="650">
        <f>IF(INPUT!H9="",NA(),E59*(1+$F$8)*$F$10)</f>
        <v/>
      </c>
      <c r="G64" s="650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51" t="n"/>
      <c r="J45" s="651" t="n"/>
      <c r="K45" s="651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51" t="n"/>
      <c r="J47" s="651" t="n"/>
      <c r="K47" s="651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51" t="n"/>
      <c r="J49" s="651" t="n"/>
      <c r="K49" s="651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REIT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P/FFO</t>
        </is>
      </c>
      <c r="C55" s="491">
        <f>IFERROR(INPUT!H97/(INPUT!H26+ABS(INPUT!H16)),NA())</f>
        <v/>
      </c>
      <c r="D55" s="500" t="inlineStr">
        <is>
          <t>Bmk : 12-18x • Prime si qualité assets</t>
        </is>
      </c>
      <c r="E55" s="652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LTV</t>
        </is>
      </c>
      <c r="C56" s="491">
        <f>IFERROR((INPUT!H48+INPUT!H54)/INPUT!H44,NA())</f>
        <v/>
      </c>
      <c r="D56" s="460" t="inlineStr">
        <is>
          <t>Bmk : &lt;40% sain • Stress si &gt;50%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53">
        <f>INPUT!G9</f>
        <v/>
      </c>
      <c r="T60" s="653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54">
        <f>-ABS(INPUT!G10)</f>
        <v/>
      </c>
      <c r="E62" s="654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55">
        <f>S60+D62</f>
        <v/>
      </c>
      <c r="E63" s="655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56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56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57">
        <f>D69+D70</f>
        <v/>
      </c>
      <c r="E71" s="657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57">
        <f>INPUT!G60</f>
        <v/>
      </c>
      <c r="K71" s="657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56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56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58" t="n"/>
      <c r="E73" s="658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58" t="n"/>
      <c r="E74" s="658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59">
        <f>INPUT!H95*0.75</f>
        <v/>
      </c>
      <c r="J6" s="660">
        <f>K6-I6</f>
        <v/>
      </c>
      <c r="K6" s="661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62">
        <f>INPUT!H95*1.1</f>
        <v/>
      </c>
      <c r="J7" s="663">
        <f>K7-I7</f>
        <v/>
      </c>
      <c r="K7" s="661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62">
        <f>INPUT!H95*1.2</f>
        <v/>
      </c>
      <c r="J8" s="663">
        <f>K8-I8</f>
        <v/>
      </c>
      <c r="K8" s="661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62">
        <f>INPUT!H95*1.3</f>
        <v/>
      </c>
      <c r="J9" s="663">
        <f>K9-I9</f>
        <v/>
      </c>
      <c r="K9" s="661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62">
        <f>INPUT!H95*1.15</f>
        <v/>
      </c>
      <c r="J10" s="663">
        <f>K10-I10</f>
        <v/>
      </c>
      <c r="K10" s="661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64">
        <f>INPUT!H95</f>
        <v/>
      </c>
      <c r="J11" s="665" t="n"/>
      <c r="K11" s="665" t="n"/>
      <c r="L11" s="128" t="n"/>
      <c r="M11" s="148" t="inlineStr">
        <is>
          <t>Revenue — Products</t>
        </is>
      </c>
      <c r="N11" s="125" t="n"/>
      <c r="O11" s="125" t="n"/>
      <c r="P11" s="666">
        <f>INPUT!E9</f>
        <v/>
      </c>
      <c r="Q11" s="666">
        <f>INPUT!E9</f>
        <v/>
      </c>
      <c r="R11" s="666">
        <f>INPUT!F9</f>
        <v/>
      </c>
      <c r="S11" s="666">
        <f>INPUT!G9</f>
        <v/>
      </c>
      <c r="T11" s="666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66">
        <f>ABS(INPUT!E10)</f>
        <v/>
      </c>
      <c r="Q12" s="666">
        <f>ABS(INPUT!E10)</f>
        <v/>
      </c>
      <c r="R12" s="666">
        <f>ABS(INPUT!F10)</f>
        <v/>
      </c>
      <c r="S12" s="666">
        <f>ABS(INPUT!G10)</f>
        <v/>
      </c>
      <c r="T12" s="666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67">
        <f>INPUT!E11</f>
        <v/>
      </c>
      <c r="Q13" s="667">
        <f>INPUT!E11</f>
        <v/>
      </c>
      <c r="R13" s="667">
        <f>INPUT!F11</f>
        <v/>
      </c>
      <c r="S13" s="667">
        <f>INPUT!G11</f>
        <v/>
      </c>
      <c r="T13" s="667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66">
        <f>ABS(INPUT!E14)</f>
        <v/>
      </c>
      <c r="Q14" s="666">
        <f>ABS(INPUT!E14)</f>
        <v/>
      </c>
      <c r="R14" s="666">
        <f>ABS(INPUT!F14)</f>
        <v/>
      </c>
      <c r="S14" s="666">
        <f>ABS(INPUT!G14)</f>
        <v/>
      </c>
      <c r="T14" s="666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68">
        <f>INPUT!E9</f>
        <v/>
      </c>
      <c r="Q15" s="668">
        <f>INPUT!E9</f>
        <v/>
      </c>
      <c r="R15" s="668">
        <f>INPUT!F9</f>
        <v/>
      </c>
      <c r="S15" s="668">
        <f>INPUT!G9</f>
        <v/>
      </c>
      <c r="T15" s="668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65" t="n"/>
      <c r="Q16" s="665" t="n"/>
      <c r="R16" s="665" t="n"/>
      <c r="S16" s="665" t="n"/>
      <c r="T16" s="665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66">
        <f>INPUT!E30</f>
        <v/>
      </c>
      <c r="Q17" s="666">
        <f>INPUT!E30</f>
        <v/>
      </c>
      <c r="R17" s="666">
        <f>INPUT!F30</f>
        <v/>
      </c>
      <c r="S17" s="666">
        <f>INPUT!G30</f>
        <v/>
      </c>
      <c r="T17" s="666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66">
        <f>INPUT!E75</f>
        <v/>
      </c>
      <c r="Q18" s="666">
        <f>INPUT!E75</f>
        <v/>
      </c>
      <c r="R18" s="666">
        <f>INPUT!F75</f>
        <v/>
      </c>
      <c r="S18" s="666">
        <f>INPUT!G75</f>
        <v/>
      </c>
      <c r="T18" s="666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66">
        <f>INPUT!E26</f>
        <v/>
      </c>
      <c r="Q19" s="666">
        <f>INPUT!E26</f>
        <v/>
      </c>
      <c r="R19" s="666">
        <f>INPUT!F26</f>
        <v/>
      </c>
      <c r="S19" s="666">
        <f>INPUT!G26</f>
        <v/>
      </c>
      <c r="T19" s="666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69" t="n"/>
      <c r="R76" s="670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69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69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69" t="n"/>
      <c r="J79" s="125" t="n"/>
      <c r="K79" s="125" t="n"/>
      <c r="L79" s="125" t="n"/>
      <c r="M79" s="125" t="n"/>
      <c r="N79" s="125" t="n"/>
      <c r="O79" s="125" t="n"/>
      <c r="P79" s="125" t="n"/>
      <c r="Q79" s="671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69" t="n"/>
      <c r="J80" s="125" t="n"/>
      <c r="K80" s="125" t="n"/>
      <c r="L80" s="125" t="n"/>
      <c r="M80" s="125" t="n"/>
      <c r="N80" s="125" t="n"/>
      <c r="O80" s="125" t="n"/>
      <c r="P80" s="125" t="n"/>
      <c r="Q80" s="671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69" t="n"/>
      <c r="J81" s="125" t="n"/>
      <c r="K81" s="125" t="n"/>
      <c r="L81" s="125" t="n"/>
      <c r="M81" s="125" t="n"/>
      <c r="N81" s="125" t="n"/>
      <c r="O81" s="125" t="n"/>
      <c r="P81" s="125" t="n"/>
      <c r="Q81" s="671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71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69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72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72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72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73" t="n">
        <v>48.75</v>
      </c>
    </row>
    <row r="4">
      <c r="A4" s="227" t="n">
        <v>2</v>
      </c>
      <c r="B4" t="inlineStr">
        <is>
          <t>Jun-25</t>
        </is>
      </c>
      <c r="C4" s="673" t="n">
        <v>49.16</v>
      </c>
    </row>
    <row r="5">
      <c r="A5" s="227" t="n">
        <v>3</v>
      </c>
      <c r="B5" t="inlineStr">
        <is>
          <t>Jul-25</t>
        </is>
      </c>
      <c r="C5" s="673" t="n">
        <v>49.87</v>
      </c>
    </row>
    <row r="6">
      <c r="A6" s="227" t="n">
        <v>4</v>
      </c>
      <c r="B6" t="inlineStr">
        <is>
          <t>Aug-25</t>
        </is>
      </c>
      <c r="C6" s="673" t="n">
        <v>51.28</v>
      </c>
    </row>
    <row r="7">
      <c r="A7" s="227" t="n">
        <v>5</v>
      </c>
      <c r="B7" t="inlineStr">
        <is>
          <t>Sep-25</t>
        </is>
      </c>
      <c r="C7" s="673" t="n">
        <v>49.59</v>
      </c>
    </row>
    <row r="8">
      <c r="A8" s="227" t="n">
        <v>6</v>
      </c>
      <c r="B8" t="inlineStr">
        <is>
          <t>Oct-25</t>
        </is>
      </c>
      <c r="C8" s="673" t="n">
        <v>51.72</v>
      </c>
    </row>
    <row r="9">
      <c r="A9" s="227" t="n">
        <v>7</v>
      </c>
      <c r="B9" t="inlineStr">
        <is>
          <t>Nov-25</t>
        </is>
      </c>
      <c r="C9" s="673" t="n">
        <v>55.36</v>
      </c>
    </row>
    <row r="10">
      <c r="A10" s="227" t="n">
        <v>8</v>
      </c>
      <c r="B10" t="inlineStr">
        <is>
          <t>Dec-25</t>
        </is>
      </c>
      <c r="C10" s="673" t="n">
        <v>54.18</v>
      </c>
    </row>
    <row r="11">
      <c r="A11" s="227" t="n">
        <v>9</v>
      </c>
      <c r="B11" t="inlineStr">
        <is>
          <t>Jan-26</t>
        </is>
      </c>
      <c r="C11" s="673" t="n">
        <v>60.51</v>
      </c>
    </row>
    <row r="12">
      <c r="A12" s="227" t="n">
        <v>10</v>
      </c>
      <c r="B12" t="inlineStr">
        <is>
          <t>Feb-26</t>
        </is>
      </c>
      <c r="C12" s="673" t="n">
        <v>66.56999999999999</v>
      </c>
    </row>
    <row r="13">
      <c r="A13" s="227" t="n">
        <v>11</v>
      </c>
      <c r="B13" t="inlineStr">
        <is>
          <t>Mar-26</t>
        </is>
      </c>
      <c r="C13" s="673" t="n">
        <v>80.06</v>
      </c>
    </row>
    <row r="14">
      <c r="A14" s="227" t="n">
        <v>12</v>
      </c>
      <c r="B14" t="inlineStr">
        <is>
          <t>Apr-26</t>
        </is>
      </c>
      <c r="C14" s="673" t="n">
        <v>77.69</v>
      </c>
    </row>
    <row r="15">
      <c r="A15" s="227" t="n">
        <v>13</v>
      </c>
      <c r="C15" s="673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82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  <row r="73">
      <c r="A73" t="inlineStr">
        <is>
          <t>Immobilier / REIT</t>
        </is>
      </c>
      <c r="B73" t="inlineStr">
        <is>
          <t>Revenue Growth Rate (Y1-Y5)</t>
        </is>
      </c>
      <c r="C73" t="n">
        <v>0</v>
      </c>
      <c r="D73" t="n">
        <v>0.03</v>
      </c>
      <c r="E73" t="n">
        <v>0.06</v>
      </c>
    </row>
    <row r="74">
      <c r="A74" t="inlineStr">
        <is>
          <t>Immobilier / REIT</t>
        </is>
      </c>
      <c r="B74" t="inlineStr">
        <is>
          <t>Gross Margin</t>
        </is>
      </c>
      <c r="C74" t="n">
        <v>0.6</v>
      </c>
      <c r="D74" t="n">
        <v>0.7</v>
      </c>
      <c r="E74" t="n">
        <v>0.8</v>
      </c>
    </row>
    <row r="75">
      <c r="A75" t="inlineStr">
        <is>
          <t>Immobilier / REIT</t>
        </is>
      </c>
      <c r="B75" t="inlineStr">
        <is>
          <t>EBITDA Margin</t>
        </is>
      </c>
      <c r="C75" t="n">
        <v>0.55</v>
      </c>
      <c r="D75" t="n">
        <v>0.65</v>
      </c>
      <c r="E75" t="n">
        <v>0.75</v>
      </c>
    </row>
    <row r="76">
      <c r="A76" t="inlineStr">
        <is>
          <t>Immobilier / REIT</t>
        </is>
      </c>
      <c r="B76" t="inlineStr">
        <is>
          <t>SG&amp;A (% Revenue)</t>
        </is>
      </c>
      <c r="C76" t="n">
        <v>0.05</v>
      </c>
      <c r="D76" t="n">
        <v>0.03</v>
      </c>
      <c r="E76" t="n">
        <v>0.02</v>
      </c>
    </row>
    <row r="77">
      <c r="A77" t="inlineStr">
        <is>
          <t>Immobilier / REIT</t>
        </is>
      </c>
      <c r="B77" t="inlineStr">
        <is>
          <t>R&amp;D (% Revenue)</t>
        </is>
      </c>
      <c r="C77" t="n">
        <v>0</v>
      </c>
      <c r="D77" t="n">
        <v>0</v>
      </c>
      <c r="E77" t="n">
        <v>0</v>
      </c>
    </row>
    <row r="78">
      <c r="A78" t="inlineStr">
        <is>
          <t>Immobilier / REIT</t>
        </is>
      </c>
      <c r="B78" t="inlineStr">
        <is>
          <t>CapEx (% Revenue)</t>
        </is>
      </c>
      <c r="C78" t="n">
        <v>0.1</v>
      </c>
      <c r="D78" t="n">
        <v>0.07000000000000001</v>
      </c>
      <c r="E78" t="n">
        <v>0.04</v>
      </c>
    </row>
    <row r="79">
      <c r="A79" t="inlineStr">
        <is>
          <t>Immobilier / REIT</t>
        </is>
      </c>
      <c r="B79" t="inlineStr">
        <is>
          <t>Change in NWC (% Rev Change)</t>
        </is>
      </c>
      <c r="C79" t="n">
        <v>0.02</v>
      </c>
      <c r="D79" t="n">
        <v>0.01</v>
      </c>
      <c r="E79" t="n">
        <v>0.005</v>
      </c>
    </row>
    <row r="80">
      <c r="A80" t="inlineStr">
        <is>
          <t>Immobilier / REIT</t>
        </is>
      </c>
      <c r="B80" t="inlineStr">
        <is>
          <t>Terminal Growth Rate</t>
        </is>
      </c>
      <c r="C80" t="n">
        <v>0.01</v>
      </c>
      <c r="D80" t="n">
        <v>0.02</v>
      </c>
      <c r="E80" t="n">
        <v>0.025</v>
      </c>
    </row>
    <row r="81">
      <c r="A81" t="inlineStr">
        <is>
          <t>Immobilier / REIT</t>
        </is>
      </c>
      <c r="B81" t="inlineStr">
        <is>
          <t>WACC</t>
        </is>
      </c>
      <c r="C81" t="n">
        <v>0.08</v>
      </c>
      <c r="D81" t="n">
        <v>0.07000000000000001</v>
      </c>
      <c r="E81" t="n">
        <v>0.055</v>
      </c>
    </row>
    <row r="82">
      <c r="A82" t="inlineStr">
        <is>
          <t>Immobilier / REIT</t>
        </is>
      </c>
      <c r="B82" t="inlineStr">
        <is>
          <t>EV/EBITDA Exit Multiple</t>
        </is>
      </c>
      <c r="C82" t="n">
        <v>15</v>
      </c>
      <c r="D82" t="n">
        <v>18</v>
      </c>
      <c r="E82" t="n">
        <v>22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2026-04-15T21:25:18Z</dcterms:modified>
  <cp:lastModifiedBy>Baptiste jeh</cp:lastModifiedBy>
  <cp:lastPrinted>2026-03-07T11:51:18Z</cp:lastPrinted>
</cp:coreProperties>
</file>