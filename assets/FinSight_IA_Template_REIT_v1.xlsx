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15357bc9330a16b/Perso/Excel Finsight/"/>
    </mc:Choice>
  </mc:AlternateContent>
  <xr:revisionPtr revIDLastSave="0" documentId="8_{1EBD2967-3F50-43CE-84C3-B750CC38B45D}" xr6:coauthVersionLast="47" xr6:coauthVersionMax="47" xr10:uidLastSave="{00000000-0000-0000-0000-000000000000}"/>
  <bookViews>
    <workbookView xWindow="-108" yWindow="-108" windowWidth="23256" windowHeight="13896" tabRatio="701" firstSheet="1" activeTab="6" xr2:uid="{00000000-000D-0000-FFFF-FFFF00000000}"/>
  </bookViews>
  <sheets>
    <sheet name="INPUT" sheetId="1" r:id="rId1"/>
    <sheet name="RATIOS" sheetId="2" r:id="rId2"/>
    <sheet name="NAV" sheetId="3" r:id="rId3"/>
    <sheet name="COMPARABLES" sheetId="4" r:id="rId4"/>
    <sheet name="SCENARIOS" sheetId="5" r:id="rId5"/>
    <sheet name="DASHBOARD" sheetId="6" r:id="rId6"/>
    <sheet name="DASHBOARD 2" sheetId="7" r:id="rId7"/>
    <sheet name="STOCK_DATA" sheetId="8" state="hidden" r:id="rId8"/>
    <sheet name="SECTOR_REF" sheetId="9" state="hidden" r:id="rId9"/>
  </sheets>
  <definedNames>
    <definedName name="_xlnm.Print_Area" localSheetId="3">COMPARABLES!$A$1:$L$47</definedName>
    <definedName name="_xlnm.Print_Area" localSheetId="5">DASHBOARD!$A$1:$N$95</definedName>
    <definedName name="_xlnm.Print_Area" localSheetId="6">'DASHBOARD 2'!$A$1:$P$107</definedName>
    <definedName name="_xlnm.Print_Area" localSheetId="0">INPUT!$A$1:$H$148</definedName>
    <definedName name="_xlnm.Print_Area" localSheetId="2">NAV!$A$1:$L$114</definedName>
    <definedName name="_xlnm.Print_Area" localSheetId="1">RATIOS!$A$1:$H$64</definedName>
    <definedName name="_xlnm.Print_Area" localSheetId="4">SCENARIOS!$A$1:$I$54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7" l="1"/>
  <c r="S18" i="7"/>
  <c r="S17" i="7"/>
  <c r="S15" i="7"/>
  <c r="S14" i="7"/>
  <c r="S13" i="7"/>
  <c r="S12" i="7"/>
  <c r="S11" i="7"/>
  <c r="S8" i="7"/>
  <c r="S7" i="7"/>
  <c r="S5" i="7"/>
  <c r="R19" i="7"/>
  <c r="R18" i="7"/>
  <c r="R17" i="7"/>
  <c r="R15" i="7"/>
  <c r="R14" i="7"/>
  <c r="R13" i="7"/>
  <c r="R12" i="7"/>
  <c r="R11" i="7"/>
  <c r="R8" i="7"/>
  <c r="R7" i="7"/>
  <c r="R5" i="7"/>
  <c r="Q19" i="7"/>
  <c r="Q18" i="7"/>
  <c r="Q17" i="7"/>
  <c r="Q15" i="7"/>
  <c r="Q14" i="7"/>
  <c r="Q13" i="7"/>
  <c r="Q12" i="7"/>
  <c r="Q11" i="7"/>
  <c r="K6" i="7"/>
  <c r="C12" i="5" a="1"/>
  <c r="C12" i="5" s="1"/>
  <c r="D12" i="5" a="1"/>
  <c r="D12" i="5" s="1"/>
  <c r="E31" i="5"/>
  <c r="G74" i="5"/>
  <c r="F74" i="5"/>
  <c r="E74" i="5"/>
  <c r="D74" i="5"/>
  <c r="C74" i="5"/>
  <c r="G69" i="5"/>
  <c r="F69" i="5"/>
  <c r="E69" i="5"/>
  <c r="D69" i="5"/>
  <c r="C69" i="5"/>
  <c r="H45" i="5"/>
  <c r="G45" i="5"/>
  <c r="F45" i="5"/>
  <c r="E45" i="5"/>
  <c r="D45" i="5"/>
  <c r="H39" i="5"/>
  <c r="G39" i="5"/>
  <c r="F39" i="5"/>
  <c r="E39" i="5"/>
  <c r="D39" i="5"/>
  <c r="E30" i="5"/>
  <c r="E27" i="5"/>
  <c r="E26" i="5"/>
  <c r="M21" i="5"/>
  <c r="L21" i="5"/>
  <c r="K21" i="5"/>
  <c r="J21" i="5"/>
  <c r="I21" i="5"/>
  <c r="L18" i="5"/>
  <c r="K18" i="5"/>
  <c r="J18" i="5"/>
  <c r="I18" i="5"/>
  <c r="H18" i="5"/>
  <c r="L17" i="5"/>
  <c r="K17" i="5"/>
  <c r="J17" i="5"/>
  <c r="I17" i="5"/>
  <c r="H17" i="5"/>
  <c r="L16" i="5"/>
  <c r="K16" i="5"/>
  <c r="J16" i="5"/>
  <c r="I16" i="5"/>
  <c r="H16" i="5"/>
  <c r="E15" i="5"/>
  <c r="E16" i="5"/>
  <c r="E17" i="5"/>
  <c r="E18" i="5"/>
  <c r="E19" i="5"/>
  <c r="E20" i="5"/>
  <c r="E21" i="5"/>
  <c r="E37" i="5"/>
  <c r="E43" i="5"/>
  <c r="E67" i="5"/>
  <c r="E72" i="5"/>
  <c r="I30" i="3"/>
  <c r="I29" i="3"/>
  <c r="I26" i="3"/>
  <c r="C60" i="3"/>
  <c r="G89" i="3" s="1"/>
  <c r="H100" i="2"/>
  <c r="G100" i="2"/>
  <c r="F100" i="2"/>
  <c r="E100" i="2"/>
  <c r="E34" i="2"/>
  <c r="F34" i="2"/>
  <c r="G34" i="2"/>
  <c r="H3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D11" i="1"/>
  <c r="E11" i="1"/>
  <c r="F11" i="1"/>
  <c r="G11" i="1"/>
  <c r="H11" i="1"/>
  <c r="H17" i="1" s="1"/>
  <c r="D13" i="1"/>
  <c r="E13" i="1"/>
  <c r="F13" i="1"/>
  <c r="G13" i="1"/>
  <c r="H13" i="1"/>
  <c r="D17" i="1"/>
  <c r="D19" i="1" s="1"/>
  <c r="D22" i="1" s="1"/>
  <c r="E17" i="1"/>
  <c r="E19" i="1" s="1"/>
  <c r="E22" i="1" s="1"/>
  <c r="F17" i="1"/>
  <c r="F19" i="1" s="1"/>
  <c r="F22" i="1" s="1"/>
  <c r="G17" i="1"/>
  <c r="G19" i="1" s="1"/>
  <c r="G22" i="1" s="1"/>
  <c r="D38" i="1"/>
  <c r="D44" i="1" s="1"/>
  <c r="E38" i="1"/>
  <c r="E44" i="1" s="1"/>
  <c r="F38" i="1"/>
  <c r="G38" i="1"/>
  <c r="H38" i="1"/>
  <c r="F44" i="1"/>
  <c r="G44" i="1"/>
  <c r="H44" i="1"/>
  <c r="D51" i="1"/>
  <c r="E51" i="1"/>
  <c r="E55" i="1" s="1"/>
  <c r="E63" i="1" s="1"/>
  <c r="F51" i="1"/>
  <c r="F55" i="1" s="1"/>
  <c r="F63" i="1" s="1"/>
  <c r="G51" i="1"/>
  <c r="G55" i="1" s="1"/>
  <c r="G63" i="1" s="1"/>
  <c r="H51" i="1"/>
  <c r="H55" i="1" s="1"/>
  <c r="H63" i="1" s="1"/>
  <c r="D55" i="1"/>
  <c r="D63" i="1" s="1"/>
  <c r="D60" i="1"/>
  <c r="E60" i="1"/>
  <c r="F60" i="1"/>
  <c r="G60" i="1"/>
  <c r="H60" i="1"/>
  <c r="D70" i="1"/>
  <c r="E70" i="1"/>
  <c r="F70" i="1"/>
  <c r="G70" i="1"/>
  <c r="H70" i="1"/>
  <c r="D80" i="1"/>
  <c r="E80" i="1"/>
  <c r="F80" i="1"/>
  <c r="G80" i="1"/>
  <c r="H80" i="1"/>
  <c r="D86" i="1"/>
  <c r="E86" i="1"/>
  <c r="F86" i="1"/>
  <c r="G86" i="1"/>
  <c r="H86" i="1"/>
  <c r="E106" i="1"/>
  <c r="F106" i="1"/>
  <c r="G106" i="1"/>
  <c r="H106" i="1"/>
  <c r="E111" i="1"/>
  <c r="F111" i="1"/>
  <c r="G111" i="1"/>
  <c r="H111" i="1"/>
  <c r="E112" i="1"/>
  <c r="F112" i="1"/>
  <c r="G112" i="1"/>
  <c r="H112" i="1"/>
  <c r="D119" i="1"/>
  <c r="E119" i="1"/>
  <c r="F119" i="1"/>
  <c r="F120" i="1" s="1"/>
  <c r="G119" i="1"/>
  <c r="G120" i="1" s="1"/>
  <c r="H119" i="1"/>
  <c r="H120" i="1" s="1"/>
  <c r="D120" i="1"/>
  <c r="E120" i="1"/>
  <c r="D130" i="1"/>
  <c r="H130" i="1"/>
  <c r="D150" i="1"/>
  <c r="F150" i="1"/>
  <c r="G150" i="1"/>
  <c r="C56" i="6"/>
  <c r="H14" i="2"/>
  <c r="G14" i="2"/>
  <c r="F14" i="2"/>
  <c r="E14" i="2"/>
  <c r="K18" i="4"/>
  <c r="J18" i="4"/>
  <c r="I18" i="4"/>
  <c r="H18" i="4"/>
  <c r="G18" i="4"/>
  <c r="F18" i="4"/>
  <c r="K17" i="4"/>
  <c r="J17" i="4"/>
  <c r="I17" i="4"/>
  <c r="H17" i="4"/>
  <c r="G17" i="4"/>
  <c r="F17" i="4"/>
  <c r="K16" i="4"/>
  <c r="J16" i="4"/>
  <c r="I16" i="4"/>
  <c r="H16" i="4"/>
  <c r="G16" i="4"/>
  <c r="F16" i="4"/>
  <c r="K15" i="4"/>
  <c r="J15" i="4"/>
  <c r="I15" i="4"/>
  <c r="H15" i="4"/>
  <c r="G15" i="4"/>
  <c r="F15" i="4"/>
  <c r="C71" i="3"/>
  <c r="C69" i="3"/>
  <c r="H13" i="2" s="1"/>
  <c r="C55" i="6" s="1"/>
  <c r="C63" i="3"/>
  <c r="E32" i="5" l="1"/>
  <c r="E28" i="5"/>
  <c r="E29" i="5"/>
  <c r="G90" i="3"/>
  <c r="G91" i="3" s="1"/>
  <c r="F89" i="3"/>
  <c r="F90" i="3" s="1"/>
  <c r="F91" i="3" s="1"/>
  <c r="E89" i="3"/>
  <c r="E90" i="3" s="1"/>
  <c r="E91" i="3" s="1"/>
  <c r="G24" i="1"/>
  <c r="G26" i="1"/>
  <c r="F24" i="1"/>
  <c r="F26" i="1" s="1"/>
  <c r="E24" i="1"/>
  <c r="E26" i="1" s="1"/>
  <c r="D24" i="1"/>
  <c r="D26" i="1" s="1"/>
  <c r="D69" i="1" s="1"/>
  <c r="D75" i="1" s="1"/>
  <c r="D89" i="1" s="1"/>
  <c r="D91" i="1" s="1"/>
  <c r="H19" i="1"/>
  <c r="H22" i="1" s="1"/>
  <c r="H30" i="1"/>
  <c r="G30" i="1"/>
  <c r="F30" i="1"/>
  <c r="E30" i="1"/>
  <c r="D30" i="1"/>
  <c r="E79" i="3"/>
  <c r="E13" i="2"/>
  <c r="F13" i="2"/>
  <c r="G13" i="2"/>
  <c r="G78" i="3"/>
  <c r="D79" i="3"/>
  <c r="G77" i="3"/>
  <c r="D80" i="3"/>
  <c r="G79" i="3"/>
  <c r="D81" i="3"/>
  <c r="G80" i="3"/>
  <c r="C66" i="3"/>
  <c r="E77" i="3"/>
  <c r="G81" i="3"/>
  <c r="C67" i="3"/>
  <c r="E78" i="3"/>
  <c r="E80" i="3"/>
  <c r="C77" i="3"/>
  <c r="E81" i="3"/>
  <c r="C78" i="3"/>
  <c r="F77" i="3"/>
  <c r="C79" i="3"/>
  <c r="F78" i="3"/>
  <c r="C80" i="3"/>
  <c r="F79" i="3"/>
  <c r="C81" i="3"/>
  <c r="F80" i="3"/>
  <c r="D77" i="3"/>
  <c r="F81" i="3"/>
  <c r="D78" i="3"/>
  <c r="B61" i="3"/>
  <c r="D34" i="3"/>
  <c r="N71" i="3"/>
  <c r="N69" i="3"/>
  <c r="N63" i="3"/>
  <c r="N60" i="3"/>
  <c r="G72" i="2"/>
  <c r="F72" i="2"/>
  <c r="E72" i="2"/>
  <c r="H62" i="2"/>
  <c r="H61" i="2"/>
  <c r="H60" i="2"/>
  <c r="G62" i="2"/>
  <c r="G61" i="2"/>
  <c r="G60" i="2"/>
  <c r="F62" i="2"/>
  <c r="F61" i="2"/>
  <c r="F60" i="2"/>
  <c r="D39" i="4"/>
  <c r="D30" i="4"/>
  <c r="D28" i="4"/>
  <c r="D36" i="4" s="1"/>
  <c r="D25" i="4"/>
  <c r="D24" i="4"/>
  <c r="H53" i="2"/>
  <c r="G53" i="2"/>
  <c r="F53" i="2"/>
  <c r="E53" i="2"/>
  <c r="H38" i="2"/>
  <c r="G38" i="2"/>
  <c r="F38" i="2"/>
  <c r="E38" i="2"/>
  <c r="H31" i="2"/>
  <c r="G31" i="2"/>
  <c r="E31" i="2"/>
  <c r="H30" i="2"/>
  <c r="G30" i="2"/>
  <c r="F30" i="2"/>
  <c r="E30" i="2"/>
  <c r="H29" i="2"/>
  <c r="G29" i="2"/>
  <c r="F29" i="2"/>
  <c r="E29" i="2"/>
  <c r="G108" i="7"/>
  <c r="F108" i="7"/>
  <c r="E108" i="7"/>
  <c r="D108" i="7"/>
  <c r="C108" i="7"/>
  <c r="J107" i="7"/>
  <c r="C107" i="7"/>
  <c r="P106" i="7"/>
  <c r="J106" i="7"/>
  <c r="C106" i="7"/>
  <c r="P105" i="7"/>
  <c r="J105" i="7"/>
  <c r="P104" i="7"/>
  <c r="J104" i="7"/>
  <c r="P103" i="7" s="1"/>
  <c r="P15" i="7"/>
  <c r="P14" i="7"/>
  <c r="P12" i="7"/>
  <c r="D11" i="7"/>
  <c r="P11" i="7"/>
  <c r="I11" i="7"/>
  <c r="D10" i="7"/>
  <c r="K10" i="7"/>
  <c r="I10" i="7"/>
  <c r="U89" i="7" s="1"/>
  <c r="D9" i="7"/>
  <c r="K9" i="7"/>
  <c r="W88" i="7" s="1"/>
  <c r="I9" i="7"/>
  <c r="D8" i="7"/>
  <c r="P8" i="7"/>
  <c r="K8" i="7"/>
  <c r="W87" i="7" s="1"/>
  <c r="I8" i="7"/>
  <c r="U87" i="7" s="1"/>
  <c r="D7" i="7"/>
  <c r="G107" i="7"/>
  <c r="F107" i="7"/>
  <c r="Q7" i="7"/>
  <c r="E107" i="7" s="1"/>
  <c r="P7" i="7"/>
  <c r="D107" i="7" s="1"/>
  <c r="K7" i="7"/>
  <c r="W86" i="7" s="1"/>
  <c r="I7" i="7"/>
  <c r="U86" i="7" s="1"/>
  <c r="D6" i="7"/>
  <c r="I6" i="7"/>
  <c r="N103" i="7"/>
  <c r="F106" i="7"/>
  <c r="Q5" i="7"/>
  <c r="P5" i="7"/>
  <c r="R1" i="7"/>
  <c r="N95" i="6"/>
  <c r="M95" i="6"/>
  <c r="L95" i="6"/>
  <c r="K95" i="6"/>
  <c r="J95" i="6"/>
  <c r="N94" i="6"/>
  <c r="M94" i="6"/>
  <c r="L94" i="6"/>
  <c r="K94" i="6"/>
  <c r="J94" i="6"/>
  <c r="N93" i="6"/>
  <c r="M93" i="6"/>
  <c r="L93" i="6"/>
  <c r="K93" i="6"/>
  <c r="J93" i="6"/>
  <c r="N92" i="6"/>
  <c r="M92" i="6"/>
  <c r="L92" i="6"/>
  <c r="K92" i="6"/>
  <c r="J92" i="6"/>
  <c r="F92" i="6"/>
  <c r="E92" i="6"/>
  <c r="D92" i="6"/>
  <c r="N91" i="6"/>
  <c r="M91" i="6"/>
  <c r="L91" i="6"/>
  <c r="K91" i="6"/>
  <c r="J91" i="6"/>
  <c r="F91" i="6"/>
  <c r="E91" i="6"/>
  <c r="D91" i="6"/>
  <c r="H90" i="6"/>
  <c r="G90" i="6"/>
  <c r="J89" i="6"/>
  <c r="H89" i="6"/>
  <c r="G89" i="6"/>
  <c r="J88" i="6"/>
  <c r="J87" i="6"/>
  <c r="N86" i="6"/>
  <c r="M86" i="6"/>
  <c r="L86" i="6"/>
  <c r="K86" i="6"/>
  <c r="J86" i="6"/>
  <c r="F85" i="6"/>
  <c r="E85" i="6"/>
  <c r="D85" i="6"/>
  <c r="C85" i="6"/>
  <c r="F84" i="6"/>
  <c r="E84" i="6"/>
  <c r="D84" i="6"/>
  <c r="C84" i="6"/>
  <c r="G83" i="6"/>
  <c r="M82" i="6"/>
  <c r="L82" i="6"/>
  <c r="K82" i="6"/>
  <c r="J82" i="6"/>
  <c r="I82" i="6"/>
  <c r="G82" i="6"/>
  <c r="E70" i="6"/>
  <c r="D70" i="6"/>
  <c r="K69" i="6"/>
  <c r="J69" i="6"/>
  <c r="E68" i="6"/>
  <c r="D68" i="6"/>
  <c r="E66" i="6"/>
  <c r="D66" i="6"/>
  <c r="E65" i="6"/>
  <c r="D65" i="6"/>
  <c r="E64" i="6"/>
  <c r="D64" i="6"/>
  <c r="K63" i="6"/>
  <c r="J63" i="6"/>
  <c r="E62" i="6"/>
  <c r="D62" i="6"/>
  <c r="T60" i="6"/>
  <c r="S60" i="6"/>
  <c r="K60" i="6"/>
  <c r="J60" i="6"/>
  <c r="E60" i="6"/>
  <c r="D60" i="6"/>
  <c r="J46" i="6"/>
  <c r="I46" i="6"/>
  <c r="K46" i="6" s="1"/>
  <c r="L46" i="6" s="1"/>
  <c r="D46" i="6"/>
  <c r="C46" i="6"/>
  <c r="J44" i="6"/>
  <c r="I44" i="6"/>
  <c r="K44" i="6" s="1"/>
  <c r="L44" i="6" s="1"/>
  <c r="D44" i="6"/>
  <c r="C44" i="6"/>
  <c r="B4" i="6"/>
  <c r="G72" i="5"/>
  <c r="F72" i="5"/>
  <c r="D72" i="5"/>
  <c r="C72" i="5"/>
  <c r="G67" i="5"/>
  <c r="F67" i="5"/>
  <c r="D67" i="5"/>
  <c r="C67" i="5"/>
  <c r="H43" i="5"/>
  <c r="G43" i="5"/>
  <c r="F43" i="5"/>
  <c r="D43" i="5"/>
  <c r="H37" i="5"/>
  <c r="G37" i="5"/>
  <c r="F37" i="5"/>
  <c r="D37" i="5"/>
  <c r="B34" i="5"/>
  <c r="G16" i="5"/>
  <c r="F16" i="5"/>
  <c r="D16" i="5"/>
  <c r="L15" i="5"/>
  <c r="K15" i="5"/>
  <c r="J15" i="5"/>
  <c r="I15" i="5"/>
  <c r="H15" i="5"/>
  <c r="G15" i="5"/>
  <c r="F15" i="5"/>
  <c r="D15" i="5"/>
  <c r="D13" i="5"/>
  <c r="K59" i="4"/>
  <c r="B59" i="4"/>
  <c r="K58" i="4"/>
  <c r="B58" i="4"/>
  <c r="K57" i="4"/>
  <c r="B55" i="4"/>
  <c r="B54" i="4"/>
  <c r="D53" i="4"/>
  <c r="C53" i="4"/>
  <c r="B53" i="4"/>
  <c r="E52" i="4"/>
  <c r="B52" i="4"/>
  <c r="E51" i="4"/>
  <c r="B51" i="4"/>
  <c r="B50" i="4"/>
  <c r="G39" i="4"/>
  <c r="F39" i="4"/>
  <c r="E39" i="4"/>
  <c r="D23" i="4"/>
  <c r="D21" i="4"/>
  <c r="E18" i="4"/>
  <c r="D18" i="4"/>
  <c r="E17" i="4"/>
  <c r="D17" i="4"/>
  <c r="E16" i="4"/>
  <c r="D16" i="4"/>
  <c r="E15" i="4"/>
  <c r="D15" i="4"/>
  <c r="E54" i="4"/>
  <c r="D54" i="4"/>
  <c r="C54" i="4"/>
  <c r="E53" i="4"/>
  <c r="D52" i="4"/>
  <c r="C52" i="4"/>
  <c r="D51" i="4"/>
  <c r="C51" i="4"/>
  <c r="D54" i="3"/>
  <c r="N54" i="3" s="1"/>
  <c r="D53" i="3"/>
  <c r="N53" i="3" s="1"/>
  <c r="D52" i="3"/>
  <c r="N52" i="3" s="1"/>
  <c r="D51" i="3"/>
  <c r="N51" i="3" s="1"/>
  <c r="D48" i="3"/>
  <c r="D47" i="3"/>
  <c r="N47" i="3" s="1"/>
  <c r="D46" i="3"/>
  <c r="N46" i="3" s="1"/>
  <c r="H40" i="3"/>
  <c r="G40" i="3"/>
  <c r="F40" i="3"/>
  <c r="E40" i="3"/>
  <c r="I35" i="3"/>
  <c r="D35" i="3" s="1"/>
  <c r="I32" i="3"/>
  <c r="D32" i="3"/>
  <c r="D30" i="3"/>
  <c r="H19" i="3"/>
  <c r="G19" i="3"/>
  <c r="F19" i="3"/>
  <c r="E19" i="3"/>
  <c r="D19" i="3"/>
  <c r="H16" i="3"/>
  <c r="H39" i="3" s="1"/>
  <c r="G16" i="3"/>
  <c r="G39" i="3" s="1"/>
  <c r="F16" i="3"/>
  <c r="F39" i="3" s="1"/>
  <c r="E16" i="3"/>
  <c r="E39" i="3" s="1"/>
  <c r="D16" i="3"/>
  <c r="H13" i="3"/>
  <c r="G13" i="3"/>
  <c r="F13" i="3"/>
  <c r="E13" i="3"/>
  <c r="D13" i="3"/>
  <c r="H12" i="3"/>
  <c r="G12" i="3"/>
  <c r="F12" i="3"/>
  <c r="E12" i="3"/>
  <c r="D12" i="3"/>
  <c r="H9" i="3"/>
  <c r="G9" i="3"/>
  <c r="F9" i="3"/>
  <c r="E9" i="3"/>
  <c r="D9" i="3"/>
  <c r="H8" i="3"/>
  <c r="G8" i="3"/>
  <c r="F8" i="3"/>
  <c r="E8" i="3"/>
  <c r="D8" i="3"/>
  <c r="M5" i="3"/>
  <c r="L5" i="3"/>
  <c r="K5" i="3"/>
  <c r="J5" i="3"/>
  <c r="I5" i="3"/>
  <c r="H5" i="3"/>
  <c r="G5" i="3"/>
  <c r="F5" i="3"/>
  <c r="E5" i="3"/>
  <c r="D5" i="3"/>
  <c r="H95" i="2"/>
  <c r="G95" i="2"/>
  <c r="F95" i="2"/>
  <c r="E95" i="2"/>
  <c r="D86" i="2"/>
  <c r="D85" i="2"/>
  <c r="D84" i="2"/>
  <c r="D83" i="2"/>
  <c r="H80" i="2"/>
  <c r="H87" i="2" s="1"/>
  <c r="G80" i="2"/>
  <c r="G87" i="2" s="1"/>
  <c r="F80" i="2"/>
  <c r="F86" i="2" s="1"/>
  <c r="E80" i="2"/>
  <c r="E86" i="2" s="1"/>
  <c r="D80" i="2"/>
  <c r="H79" i="2"/>
  <c r="H85" i="2" s="1"/>
  <c r="G79" i="2"/>
  <c r="G85" i="2" s="1"/>
  <c r="F79" i="2"/>
  <c r="F85" i="2" s="1"/>
  <c r="E79" i="2"/>
  <c r="E85" i="2" s="1"/>
  <c r="D79" i="2"/>
  <c r="H78" i="2"/>
  <c r="H84" i="2" s="1"/>
  <c r="G78" i="2"/>
  <c r="G84" i="2" s="1"/>
  <c r="F78" i="2"/>
  <c r="F84" i="2" s="1"/>
  <c r="E78" i="2"/>
  <c r="E84" i="2" s="1"/>
  <c r="D78" i="2"/>
  <c r="H77" i="2"/>
  <c r="H83" i="2" s="1"/>
  <c r="G77" i="2"/>
  <c r="G83" i="2" s="1"/>
  <c r="F77" i="2"/>
  <c r="F83" i="2" s="1"/>
  <c r="E77" i="2"/>
  <c r="E83" i="2" s="1"/>
  <c r="D77" i="2"/>
  <c r="D74" i="2"/>
  <c r="D73" i="2"/>
  <c r="D72" i="2"/>
  <c r="H70" i="2"/>
  <c r="H91" i="2" s="1"/>
  <c r="G70" i="2"/>
  <c r="F70" i="2"/>
  <c r="E70" i="2"/>
  <c r="D70" i="2"/>
  <c r="D89" i="2" s="1"/>
  <c r="H67" i="2"/>
  <c r="R11" i="6" s="1"/>
  <c r="G67" i="2"/>
  <c r="R10" i="6" s="1"/>
  <c r="F67" i="2"/>
  <c r="R9" i="6" s="1"/>
  <c r="E67" i="2"/>
  <c r="R8" i="6" s="1"/>
  <c r="D67" i="2"/>
  <c r="D66" i="2"/>
  <c r="D53" i="2"/>
  <c r="H42" i="2"/>
  <c r="G42" i="2"/>
  <c r="F42" i="2"/>
  <c r="H5" i="2"/>
  <c r="H66" i="2" s="1"/>
  <c r="G5" i="2"/>
  <c r="G66" i="2" s="1"/>
  <c r="F5" i="2"/>
  <c r="F66" i="2" s="1"/>
  <c r="E5" i="2"/>
  <c r="E66" i="2" s="1"/>
  <c r="H41" i="3"/>
  <c r="G41" i="3"/>
  <c r="F41" i="3"/>
  <c r="E41" i="3"/>
  <c r="J71" i="6"/>
  <c r="F31" i="2"/>
  <c r="K68" i="6"/>
  <c r="J62" i="6"/>
  <c r="H72" i="2"/>
  <c r="E69" i="1" l="1"/>
  <c r="E75" i="1" s="1"/>
  <c r="E89" i="1" s="1"/>
  <c r="E91" i="1" s="1"/>
  <c r="E100" i="1"/>
  <c r="F69" i="1"/>
  <c r="F75" i="1" s="1"/>
  <c r="F89" i="1" s="1"/>
  <c r="F91" i="1" s="1"/>
  <c r="F100" i="1"/>
  <c r="G69" i="1"/>
  <c r="G75" i="1" s="1"/>
  <c r="G89" i="1" s="1"/>
  <c r="G91" i="1" s="1"/>
  <c r="G100" i="1"/>
  <c r="H24" i="1"/>
  <c r="H26" i="1"/>
  <c r="E63" i="6"/>
  <c r="E67" i="6" s="1"/>
  <c r="D31" i="3"/>
  <c r="G86" i="2"/>
  <c r="G106" i="7"/>
  <c r="N67" i="3"/>
  <c r="N66" i="3"/>
  <c r="N61" i="3"/>
  <c r="N62" i="3" s="1"/>
  <c r="C61" i="3"/>
  <c r="C62" i="3" s="1"/>
  <c r="C65" i="3" s="1"/>
  <c r="C70" i="3" s="1"/>
  <c r="F32" i="4"/>
  <c r="D55" i="4"/>
  <c r="H86" i="2"/>
  <c r="H10" i="3"/>
  <c r="I31" i="3"/>
  <c r="H89" i="2"/>
  <c r="J9" i="7"/>
  <c r="V88" i="7" s="1"/>
  <c r="F10" i="3"/>
  <c r="G10" i="3"/>
  <c r="D63" i="6"/>
  <c r="D67" i="6" s="1"/>
  <c r="J7" i="7"/>
  <c r="V86" i="7" s="1"/>
  <c r="D55" i="3"/>
  <c r="N55" i="3" s="1"/>
  <c r="D10" i="3"/>
  <c r="E10" i="3"/>
  <c r="J68" i="6"/>
  <c r="U88" i="7"/>
  <c r="D49" i="3"/>
  <c r="N49" i="3" s="1"/>
  <c r="D26" i="5"/>
  <c r="D27" i="5" s="1"/>
  <c r="D38" i="5"/>
  <c r="E38" i="5" s="1"/>
  <c r="E44" i="5" s="1"/>
  <c r="C68" i="5"/>
  <c r="I48" i="6"/>
  <c r="D48" i="6"/>
  <c r="K62" i="6"/>
  <c r="J10" i="7"/>
  <c r="V89" i="7" s="1"/>
  <c r="W89" i="7"/>
  <c r="P13" i="7"/>
  <c r="M103" i="7"/>
  <c r="S92" i="7" s="1"/>
  <c r="N48" i="3"/>
  <c r="J72" i="6"/>
  <c r="J70" i="6"/>
  <c r="G32" i="4"/>
  <c r="D50" i="4"/>
  <c r="R5" i="6"/>
  <c r="G91" i="2"/>
  <c r="G89" i="2"/>
  <c r="T2" i="6"/>
  <c r="G17" i="5"/>
  <c r="N87" i="6"/>
  <c r="H32" i="2"/>
  <c r="C48" i="6"/>
  <c r="C70" i="5"/>
  <c r="D40" i="5"/>
  <c r="E40" i="5" s="1"/>
  <c r="E46" i="5" s="1"/>
  <c r="F26" i="5"/>
  <c r="F27" i="5" s="1"/>
  <c r="K104" i="7"/>
  <c r="Q92" i="7" s="1"/>
  <c r="D106" i="7"/>
  <c r="E89" i="2"/>
  <c r="R3" i="6"/>
  <c r="R4" i="6"/>
  <c r="S2" i="6"/>
  <c r="F89" i="2"/>
  <c r="E32" i="2"/>
  <c r="K87" i="6"/>
  <c r="D17" i="5"/>
  <c r="F32" i="2"/>
  <c r="J48" i="6"/>
  <c r="G32" i="2"/>
  <c r="L87" i="6"/>
  <c r="E106" i="7"/>
  <c r="L104" i="7"/>
  <c r="R92" i="7" s="1"/>
  <c r="J8" i="7"/>
  <c r="V87" i="7" s="1"/>
  <c r="C50" i="4"/>
  <c r="K71" i="6"/>
  <c r="E50" i="4"/>
  <c r="E55" i="4"/>
  <c r="C55" i="4"/>
  <c r="F17" i="5"/>
  <c r="M87" i="6"/>
  <c r="U85" i="7"/>
  <c r="H69" i="1" l="1"/>
  <c r="H75" i="1" s="1"/>
  <c r="H89" i="1" s="1"/>
  <c r="H91" i="1" s="1"/>
  <c r="H100" i="1"/>
  <c r="G102" i="1"/>
  <c r="G101" i="1"/>
  <c r="G103" i="1" s="1"/>
  <c r="F102" i="1"/>
  <c r="F101" i="1"/>
  <c r="F103" i="1" s="1"/>
  <c r="E102" i="1"/>
  <c r="E101" i="1"/>
  <c r="E103" i="1" s="1"/>
  <c r="F31" i="5"/>
  <c r="F29" i="5"/>
  <c r="F28" i="5"/>
  <c r="D28" i="5"/>
  <c r="D31" i="5"/>
  <c r="E48" i="5" s="1"/>
  <c r="D29" i="5"/>
  <c r="C73" i="3"/>
  <c r="C72" i="3"/>
  <c r="N65" i="3"/>
  <c r="N70" i="3" s="1"/>
  <c r="E32" i="4"/>
  <c r="K48" i="6"/>
  <c r="L48" i="6" s="1"/>
  <c r="J65" i="6"/>
  <c r="K70" i="6"/>
  <c r="K72" i="6"/>
  <c r="D56" i="3"/>
  <c r="D68" i="5"/>
  <c r="D70" i="5"/>
  <c r="E69" i="6"/>
  <c r="E71" i="6" s="1"/>
  <c r="E72" i="6"/>
  <c r="D69" i="6"/>
  <c r="D71" i="6" s="1"/>
  <c r="D72" i="6"/>
  <c r="K65" i="6"/>
  <c r="H46" i="2"/>
  <c r="G46" i="2"/>
  <c r="F46" i="2"/>
  <c r="E70" i="5" l="1"/>
  <c r="E75" i="5"/>
  <c r="E73" i="5"/>
  <c r="E68" i="5"/>
  <c r="H101" i="1"/>
  <c r="H103" i="1" s="1"/>
  <c r="H102" i="1"/>
  <c r="H73" i="2"/>
  <c r="H25" i="2"/>
  <c r="H102" i="2" s="1"/>
  <c r="H24" i="2"/>
  <c r="E24" i="2"/>
  <c r="E25" i="2"/>
  <c r="E102" i="2" s="1"/>
  <c r="E73" i="2"/>
  <c r="G25" i="2"/>
  <c r="G102" i="2" s="1"/>
  <c r="G24" i="2"/>
  <c r="G73" i="2"/>
  <c r="F24" i="2"/>
  <c r="F25" i="2"/>
  <c r="F102" i="2" s="1"/>
  <c r="F73" i="2"/>
  <c r="D32" i="5"/>
  <c r="D48" i="5"/>
  <c r="H48" i="5"/>
  <c r="G48" i="5"/>
  <c r="F32" i="5"/>
  <c r="M22" i="5"/>
  <c r="F48" i="5"/>
  <c r="N73" i="3"/>
  <c r="N72" i="3"/>
  <c r="I8" i="3" s="1"/>
  <c r="E12" i="5" a="1"/>
  <c r="E12" i="5" s="1"/>
  <c r="N56" i="3"/>
  <c r="G22" i="3"/>
  <c r="S93" i="7"/>
  <c r="G68" i="2"/>
  <c r="F68" i="2"/>
  <c r="T96" i="7"/>
  <c r="F18" i="5"/>
  <c r="F21" i="5"/>
  <c r="G43" i="2"/>
  <c r="M104" i="7"/>
  <c r="G84" i="6"/>
  <c r="G14" i="3"/>
  <c r="G17" i="3" s="1"/>
  <c r="M88" i="6"/>
  <c r="D22" i="3"/>
  <c r="H22" i="3"/>
  <c r="F38" i="5"/>
  <c r="N104" i="7"/>
  <c r="G18" i="5"/>
  <c r="H68" i="2"/>
  <c r="H43" i="2"/>
  <c r="H14" i="3"/>
  <c r="G21" i="5"/>
  <c r="N88" i="6"/>
  <c r="H84" i="6"/>
  <c r="U96" i="7"/>
  <c r="F40" i="5"/>
  <c r="D86" i="6"/>
  <c r="Q8" i="7"/>
  <c r="D14" i="3"/>
  <c r="K105" i="7"/>
  <c r="K88" i="6"/>
  <c r="Q93" i="7"/>
  <c r="E86" i="6"/>
  <c r="E14" i="3"/>
  <c r="E17" i="3" s="1"/>
  <c r="D68" i="2"/>
  <c r="P17" i="7"/>
  <c r="D18" i="5"/>
  <c r="D21" i="5"/>
  <c r="S96" i="7"/>
  <c r="F22" i="3"/>
  <c r="L88" i="6"/>
  <c r="R93" i="7"/>
  <c r="F86" i="6"/>
  <c r="E68" i="2"/>
  <c r="L105" i="7"/>
  <c r="F43" i="2"/>
  <c r="F14" i="3"/>
  <c r="F17" i="3" s="1"/>
  <c r="E22" i="3"/>
  <c r="E74" i="2" l="1"/>
  <c r="I41" i="3"/>
  <c r="I40" i="3"/>
  <c r="I13" i="3"/>
  <c r="I9" i="3"/>
  <c r="I10" i="3" s="1"/>
  <c r="I12" i="3"/>
  <c r="J8" i="3"/>
  <c r="I16" i="3"/>
  <c r="I39" i="3" s="1"/>
  <c r="F20" i="3"/>
  <c r="F23" i="3" s="1"/>
  <c r="F42" i="3" s="1"/>
  <c r="F47" i="5"/>
  <c r="D31" i="4"/>
  <c r="G31" i="4"/>
  <c r="G35" i="4" s="1"/>
  <c r="F31" i="4"/>
  <c r="F35" i="4" s="1"/>
  <c r="E31" i="4"/>
  <c r="E35" i="4" s="1"/>
  <c r="F44" i="5"/>
  <c r="G38" i="5"/>
  <c r="D30" i="5"/>
  <c r="C73" i="5"/>
  <c r="D73" i="5"/>
  <c r="D44" i="5"/>
  <c r="F30" i="5"/>
  <c r="C75" i="5"/>
  <c r="D46" i="5"/>
  <c r="D75" i="5"/>
  <c r="F73" i="5"/>
  <c r="F68" i="5"/>
  <c r="H17" i="3"/>
  <c r="F75" i="5"/>
  <c r="F70" i="5"/>
  <c r="G20" i="3"/>
  <c r="G23" i="3" s="1"/>
  <c r="G42" i="3" s="1"/>
  <c r="D17" i="3"/>
  <c r="D20" i="3" s="1"/>
  <c r="D23" i="3" s="1"/>
  <c r="D19" i="5"/>
  <c r="K107" i="7"/>
  <c r="Q95" i="7"/>
  <c r="E101" i="2"/>
  <c r="K89" i="6"/>
  <c r="E87" i="6"/>
  <c r="T8" i="6"/>
  <c r="E33" i="2"/>
  <c r="S98" i="7"/>
  <c r="P19" i="7"/>
  <c r="D69" i="2"/>
  <c r="E20" i="3"/>
  <c r="E23" i="3" s="1"/>
  <c r="E42" i="3" s="1"/>
  <c r="G40" i="5"/>
  <c r="F46" i="5"/>
  <c r="F74" i="2" l="1"/>
  <c r="T9" i="6" s="1"/>
  <c r="H74" i="2"/>
  <c r="T11" i="6" s="1"/>
  <c r="G74" i="2"/>
  <c r="J41" i="3"/>
  <c r="J40" i="3"/>
  <c r="K8" i="3"/>
  <c r="J9" i="3"/>
  <c r="J10" i="3" s="1"/>
  <c r="J16" i="3"/>
  <c r="J39" i="3" s="1"/>
  <c r="J13" i="3"/>
  <c r="J12" i="3"/>
  <c r="I14" i="3"/>
  <c r="I17" i="3" s="1"/>
  <c r="I19" i="3" s="1"/>
  <c r="I20" i="3" s="1"/>
  <c r="I22" i="3" s="1"/>
  <c r="I23" i="3" s="1"/>
  <c r="I42" i="3" s="1"/>
  <c r="G75" i="5"/>
  <c r="G70" i="5"/>
  <c r="H20" i="5"/>
  <c r="H21" i="5"/>
  <c r="H19" i="5"/>
  <c r="L107" i="7"/>
  <c r="L89" i="6"/>
  <c r="E69" i="2"/>
  <c r="S8" i="6" s="1"/>
  <c r="F87" i="6"/>
  <c r="F101" i="2"/>
  <c r="F33" i="2"/>
  <c r="M106" i="7"/>
  <c r="J52" i="6"/>
  <c r="T10" i="6"/>
  <c r="M89" i="6"/>
  <c r="G85" i="6"/>
  <c r="J50" i="6"/>
  <c r="F69" i="2"/>
  <c r="S9" i="6" s="1"/>
  <c r="G69" i="2"/>
  <c r="S10" i="6" s="1"/>
  <c r="G101" i="2"/>
  <c r="G33" i="2"/>
  <c r="T98" i="7"/>
  <c r="F19" i="5"/>
  <c r="E96" i="2"/>
  <c r="K106" i="7"/>
  <c r="S97" i="7"/>
  <c r="P18" i="7"/>
  <c r="Q94" i="7"/>
  <c r="D20" i="5"/>
  <c r="E50" i="2"/>
  <c r="G44" i="5"/>
  <c r="H38" i="5"/>
  <c r="H44" i="5" s="1"/>
  <c r="E47" i="5" s="1"/>
  <c r="I20" i="5"/>
  <c r="I19" i="5"/>
  <c r="G73" i="5"/>
  <c r="G68" i="5"/>
  <c r="N106" i="7"/>
  <c r="I52" i="6"/>
  <c r="D52" i="6"/>
  <c r="H33" i="2"/>
  <c r="N89" i="6"/>
  <c r="D50" i="6"/>
  <c r="U98" i="7"/>
  <c r="H85" i="6"/>
  <c r="H69" i="2"/>
  <c r="S11" i="6" s="1"/>
  <c r="H101" i="2"/>
  <c r="G19" i="5"/>
  <c r="I50" i="6"/>
  <c r="J20" i="5"/>
  <c r="J19" i="5"/>
  <c r="H40" i="5"/>
  <c r="H46" i="5" s="1"/>
  <c r="G46" i="5"/>
  <c r="K20" i="5"/>
  <c r="K19" i="5"/>
  <c r="H20" i="3"/>
  <c r="H23" i="3" s="1"/>
  <c r="H42" i="3" s="1"/>
  <c r="D87" i="6"/>
  <c r="C52" i="6"/>
  <c r="C50" i="6"/>
  <c r="D54" i="2"/>
  <c r="E58" i="2" l="1"/>
  <c r="E11" i="2"/>
  <c r="E9" i="2"/>
  <c r="G63" i="2"/>
  <c r="G15" i="2"/>
  <c r="G44" i="2"/>
  <c r="C57" i="6"/>
  <c r="H15" i="2"/>
  <c r="D26" i="4"/>
  <c r="H63" i="2"/>
  <c r="H44" i="2"/>
  <c r="F15" i="2"/>
  <c r="F63" i="2"/>
  <c r="F44" i="2"/>
  <c r="E51" i="2"/>
  <c r="E94" i="2" s="1"/>
  <c r="E54" i="2"/>
  <c r="E52" i="2"/>
  <c r="G47" i="5"/>
  <c r="H47" i="5"/>
  <c r="D47" i="5"/>
  <c r="K41" i="3"/>
  <c r="K40" i="3"/>
  <c r="J14" i="3"/>
  <c r="J17" i="3" s="1"/>
  <c r="J19" i="3" s="1"/>
  <c r="J20" i="3" s="1"/>
  <c r="J22" i="3" s="1"/>
  <c r="J23" i="3" s="1"/>
  <c r="J42" i="3" s="1"/>
  <c r="K13" i="3"/>
  <c r="K12" i="3"/>
  <c r="K16" i="3"/>
  <c r="K39" i="3" s="1"/>
  <c r="L8" i="3"/>
  <c r="K9" i="3"/>
  <c r="K10" i="3" s="1"/>
  <c r="K52" i="6"/>
  <c r="L52" i="6" s="1"/>
  <c r="D51" i="2"/>
  <c r="D52" i="2" s="1"/>
  <c r="D50" i="2"/>
  <c r="U97" i="7"/>
  <c r="H50" i="2"/>
  <c r="G20" i="5"/>
  <c r="N105" i="7"/>
  <c r="H96" i="2"/>
  <c r="K50" i="6"/>
  <c r="L50" i="6" s="1"/>
  <c r="L106" i="7"/>
  <c r="F50" i="2"/>
  <c r="F96" i="2"/>
  <c r="R94" i="7"/>
  <c r="L19" i="5"/>
  <c r="L20" i="5"/>
  <c r="T97" i="7"/>
  <c r="G50" i="2"/>
  <c r="F20" i="5"/>
  <c r="M105" i="7"/>
  <c r="G96" i="2"/>
  <c r="S94" i="7"/>
  <c r="H51" i="2" l="1"/>
  <c r="H52" i="2"/>
  <c r="H54" i="2"/>
  <c r="D27" i="4"/>
  <c r="D33" i="4" s="1"/>
  <c r="E10" i="2"/>
  <c r="E12" i="2"/>
  <c r="E59" i="2"/>
  <c r="F52" i="2"/>
  <c r="F54" i="2"/>
  <c r="F51" i="2"/>
  <c r="F94" i="2" s="1"/>
  <c r="D32" i="4"/>
  <c r="F36" i="4"/>
  <c r="F37" i="4" s="1"/>
  <c r="F38" i="4" s="1"/>
  <c r="G36" i="4"/>
  <c r="G37" i="4" s="1"/>
  <c r="E36" i="4"/>
  <c r="E37" i="4" s="1"/>
  <c r="G52" i="2"/>
  <c r="G54" i="2"/>
  <c r="G51" i="2"/>
  <c r="G11" i="2"/>
  <c r="G45" i="2"/>
  <c r="G9" i="2"/>
  <c r="G58" i="2"/>
  <c r="F9" i="2"/>
  <c r="F11" i="2"/>
  <c r="F58" i="2"/>
  <c r="F45" i="2"/>
  <c r="H45" i="2"/>
  <c r="H11" i="2"/>
  <c r="H9" i="2"/>
  <c r="H58" i="2"/>
  <c r="L41" i="3"/>
  <c r="L40" i="3"/>
  <c r="K14" i="3"/>
  <c r="K17" i="3" s="1"/>
  <c r="K19" i="3" s="1"/>
  <c r="K20" i="3" s="1"/>
  <c r="K22" i="3" s="1"/>
  <c r="K23" i="3" s="1"/>
  <c r="K42" i="3" s="1"/>
  <c r="L16" i="3"/>
  <c r="L39" i="3" s="1"/>
  <c r="L12" i="3"/>
  <c r="L9" i="3"/>
  <c r="L10" i="3" s="1"/>
  <c r="L13" i="3"/>
  <c r="M8" i="3"/>
  <c r="H94" i="2"/>
  <c r="G94" i="2"/>
  <c r="E33" i="4" l="1"/>
  <c r="G33" i="4"/>
  <c r="F33" i="4"/>
  <c r="D58" i="4"/>
  <c r="F40" i="4"/>
  <c r="D59" i="4"/>
  <c r="F59" i="2"/>
  <c r="F12" i="2"/>
  <c r="F10" i="2"/>
  <c r="D35" i="4"/>
  <c r="D37" i="4" s="1"/>
  <c r="D38" i="4" s="1"/>
  <c r="G59" i="2"/>
  <c r="G10" i="2"/>
  <c r="G12" i="2"/>
  <c r="E38" i="4"/>
  <c r="E40" i="4" s="1"/>
  <c r="G38" i="4"/>
  <c r="H12" i="2"/>
  <c r="H10" i="2"/>
  <c r="H59" i="2"/>
  <c r="M41" i="3"/>
  <c r="M40" i="3"/>
  <c r="M16" i="3"/>
  <c r="M39" i="3" s="1"/>
  <c r="M9" i="3"/>
  <c r="M10" i="3" s="1"/>
  <c r="M13" i="3"/>
  <c r="M12" i="3"/>
  <c r="L14" i="3"/>
  <c r="L17" i="3" s="1"/>
  <c r="L19" i="3" s="1"/>
  <c r="L20" i="3" s="1"/>
  <c r="L22" i="3" s="1"/>
  <c r="J58" i="4" l="1"/>
  <c r="J57" i="4"/>
  <c r="E58" i="4"/>
  <c r="J59" i="4"/>
  <c r="G40" i="4"/>
  <c r="E59" i="4"/>
  <c r="D40" i="4"/>
  <c r="C58" i="4"/>
  <c r="I58" i="4"/>
  <c r="I59" i="4"/>
  <c r="I57" i="4"/>
  <c r="C59" i="4"/>
  <c r="L23" i="3"/>
  <c r="L42" i="3" s="1"/>
  <c r="M14" i="3"/>
  <c r="M17" i="3" s="1"/>
  <c r="M19" i="3" s="1"/>
  <c r="M20" i="3" s="1"/>
  <c r="M22" i="3" s="1"/>
  <c r="M23" i="3" l="1"/>
  <c r="M42" i="3" s="1"/>
  <c r="W85" i="7" l="1"/>
  <c r="J6" i="7"/>
  <c r="V8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E117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FY2022 (~Sept 2022 close). Approximate historical value.</t>
        </r>
      </text>
    </comment>
    <comment ref="F117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FY2023 (~Sept 2023 close). Approximate historical value.</t>
        </r>
      </text>
    </comment>
    <comment ref="G117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FY2024 (~Sept 2024 close). Approximate historical value.</t>
        </r>
      </text>
    </comment>
    <comment ref="E118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FY2022 (~16.2B). Approximate.</t>
        </r>
      </text>
    </comment>
    <comment ref="F118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FY2023 (~15.8B). Approximate.</t>
        </r>
      </text>
    </comment>
    <comment ref="G118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FY2024 (~15.4B). Approximate.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E9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 (prix AAPL proxy). Utiliser LTM uniquement pour TTE.PA.</t>
        </r>
      </text>
    </comment>
    <comment ref="F9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fiable. Utiliser LTM uniquement.</t>
        </r>
      </text>
    </comment>
    <comment ref="G9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fiable. Utiliser LTM uniquement.</t>
        </r>
      </text>
    </comment>
    <comment ref="E10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 (prix AAPL proxy). Utiliser LTM uniquement pour TTE.PA.</t>
        </r>
      </text>
    </comment>
    <comment ref="F10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fiable. Utiliser LTM uniquement.</t>
        </r>
      </text>
    </comment>
    <comment ref="G10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fiable. Utiliser LTM uniquement.</t>
        </r>
      </text>
    </comment>
    <comment ref="E11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fiable. Utiliser LTM uniquement.</t>
        </r>
      </text>
    </comment>
    <comment ref="F11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fiable. Utiliser LTM uniquement.</t>
        </r>
      </text>
    </comment>
    <comment ref="G11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fiable. Utiliser LTM uniquement.</t>
        </r>
      </text>
    </comment>
    <comment ref="E12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fiable. Utiliser LTM uniquement.</t>
        </r>
      </text>
    </comment>
    <comment ref="F12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fiable. Utiliser LTM uniquement.</t>
        </r>
      </text>
    </comment>
    <comment ref="G12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Baptiste jeh:
EV historique non fiable. Utiliser LTM uniquement.</t>
        </r>
      </text>
    </comment>
    <comment ref="E59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Baptiste jeh:
CapEx/DD&amp;A &gt; 1 = investissement net en actifs. Pour OIL_GAS, &gt;= 1.0 requis pour maintenir la production.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I30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Baptiste jeh:
Revenue Growth driver. Si D45=Yes : utilise D44 (Brent-Adjusted). Si No : utilise la moyenne historique RATIOS!F51:H51.</t>
        </r>
      </text>
    </comment>
    <comment ref="I31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Baptiste jeh:
Moyenne des Gross Margins historiques (toutes années disponibles)</t>
        </r>
      </text>
    </comment>
    <comment ref="I3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Baptiste jeh:
Moyenne SG&amp;A % du revenu (toutes années disponibles)</t>
        </r>
      </text>
    </comment>
    <comment ref="I33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Baptiste jeh:
Moyenne R&amp;D % du revenu (toutes années disponibles)</t>
        </r>
      </text>
    </comment>
    <comment ref="I34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Baptiste jeh:
Moyenne D&amp;A % du revenu (toutes années disponibles)</t>
        </r>
      </text>
    </comment>
    <comment ref="I35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Baptiste jeh:
Moyenne du taux d'imposition effectif (toutes années disponibles)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F1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Baptiste jeh:
Sony FY2024 Revenue converted from JPY to USD at ~149 JPY/USD. Source: Sony Group IR. Original JPY figure ~13.1T yen.</t>
        </r>
      </text>
    </comment>
    <comment ref="G12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Baptiste jeh:
Sony FY2024 EBITDA converted from JPY to USD at ~149 JPY/USD. Approximate figure.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D71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Baptiste jeh:
Total Operating Expenses = SG&amp;A + R&amp;D + D&amp;A + Interest</t>
        </r>
      </text>
    </comment>
    <comment ref="D7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Baptiste jeh:
Total Expenses = COGS + All OpEx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<sst xmlns="http://schemas.openxmlformats.org/spreadsheetml/2006/main" count="825" uniqueCount="444">
  <si>
    <t>INPUT — Raw Data</t>
  </si>
  <si>
    <t>All figures in USD millions unless stated</t>
  </si>
  <si>
    <t>METRIC</t>
  </si>
  <si>
    <t>UNIT</t>
  </si>
  <si>
    <t>2025 (LTM)</t>
  </si>
  <si>
    <t xml:space="preserve"> </t>
  </si>
  <si>
    <t>INPUT</t>
  </si>
  <si>
    <t>Revenue</t>
  </si>
  <si>
    <t>($M)</t>
  </si>
  <si>
    <t>Cost of Goods Sold (COGS)</t>
  </si>
  <si>
    <t>Gross Profit</t>
  </si>
  <si>
    <t>Operating Expenses (SG&amp;A)</t>
  </si>
  <si>
    <t>Research &amp; Development</t>
  </si>
  <si>
    <t>Depreciation &amp; Amortization</t>
  </si>
  <si>
    <t>EBIT (Operating Profit)</t>
  </si>
  <si>
    <t>Interest Expense</t>
  </si>
  <si>
    <t>Interest Income</t>
  </si>
  <si>
    <t>Earnings Before Tax (EBT)</t>
  </si>
  <si>
    <t>Income Tax Expense</t>
  </si>
  <si>
    <t>Net Income</t>
  </si>
  <si>
    <t>Common Dividends</t>
  </si>
  <si>
    <t>EBITDA</t>
  </si>
  <si>
    <t>BALANCE SHEET</t>
  </si>
  <si>
    <t>Cash &amp; Cash Equivalents</t>
  </si>
  <si>
    <t>Accounts Receivable</t>
  </si>
  <si>
    <t>Inventories</t>
  </si>
  <si>
    <t>Other Current Assets</t>
  </si>
  <si>
    <t>Total Current Assets</t>
  </si>
  <si>
    <t>PP&amp;E (Net)</t>
  </si>
  <si>
    <t>Intangible Assets</t>
  </si>
  <si>
    <t>Other Long-Term Assets</t>
  </si>
  <si>
    <t>Total Assets</t>
  </si>
  <si>
    <t>Accounts Payable</t>
  </si>
  <si>
    <t>Short-Term Debt</t>
  </si>
  <si>
    <t>Income Tax Payable</t>
  </si>
  <si>
    <t>Other Current Liabilities</t>
  </si>
  <si>
    <t>Total Current Liabilities</t>
  </si>
  <si>
    <t>Long-Term Debt</t>
  </si>
  <si>
    <t>Total Liabilities</t>
  </si>
  <si>
    <t>Common Equity (Paid-In Capital)</t>
  </si>
  <si>
    <t>Retained Earnings</t>
  </si>
  <si>
    <t>Total Shareholders Equity</t>
  </si>
  <si>
    <t>Total Liabilities &amp; Equity</t>
  </si>
  <si>
    <t>CASH FLOW STATEMENT</t>
  </si>
  <si>
    <t>Change in Accounts Receivable</t>
  </si>
  <si>
    <t>Change in Inventories</t>
  </si>
  <si>
    <t>Change in Accounts Payable</t>
  </si>
  <si>
    <t>Other Working Capital Changes</t>
  </si>
  <si>
    <t>Cash from Operating Activities</t>
  </si>
  <si>
    <t>Capital Expenditures (CapEx)</t>
  </si>
  <si>
    <t>Other Investing Activities</t>
  </si>
  <si>
    <t>Cash from Investing Activities</t>
  </si>
  <si>
    <t>Change in Long-Term Debt</t>
  </si>
  <si>
    <t>Change in Common Equity</t>
  </si>
  <si>
    <t>Dividends Paid</t>
  </si>
  <si>
    <t>Cash from Financing Activities</t>
  </si>
  <si>
    <t>Net Change in Cash</t>
  </si>
  <si>
    <t>Beginning Cash Balance</t>
  </si>
  <si>
    <t>Ending Cash Balance</t>
  </si>
  <si>
    <t>MARKET &amp; VALUATION DATA</t>
  </si>
  <si>
    <t>Share Price</t>
  </si>
  <si>
    <t>($)</t>
  </si>
  <si>
    <t>Shares Outstanding (Diluted)</t>
  </si>
  <si>
    <t>(M)</t>
  </si>
  <si>
    <t>Market Capitalization</t>
  </si>
  <si>
    <t>Enterprise Value (EV)</t>
  </si>
  <si>
    <t>Beta (Levered)</t>
  </si>
  <si>
    <t>Risk-Free Rate</t>
  </si>
  <si>
    <t>(%)</t>
  </si>
  <si>
    <t>Equity Risk Premium (ERP)</t>
  </si>
  <si>
    <t>Cost of Equity (CAPM)</t>
  </si>
  <si>
    <t>Cost of Debt (Pre-Tax)</t>
  </si>
  <si>
    <t>Tax Rate</t>
  </si>
  <si>
    <t>After-Tax Cost of Debt</t>
  </si>
  <si>
    <t>Weight of Equity (%)</t>
  </si>
  <si>
    <t>Weight of Debt (%)</t>
  </si>
  <si>
    <t>WACC</t>
  </si>
  <si>
    <t>Terminal Growth Rate</t>
  </si>
  <si>
    <t>Days in Period</t>
  </si>
  <si>
    <t>COMPANY INFORMATION</t>
  </si>
  <si>
    <t>Company Name</t>
  </si>
  <si>
    <t>Prologis, Inc.</t>
  </si>
  <si>
    <t>Ticker Symbol</t>
  </si>
  <si>
    <t>PLD</t>
  </si>
  <si>
    <t>Sector / Industry</t>
  </si>
  <si>
    <t>Real Estate</t>
  </si>
  <si>
    <t>Base Year (LTM)</t>
  </si>
  <si>
    <t>Currency</t>
  </si>
  <si>
    <t>USD</t>
  </si>
  <si>
    <t>Units</t>
  </si>
  <si>
    <t>M</t>
  </si>
  <si>
    <t>Analysis Date</t>
  </si>
  <si>
    <t>2026-04-16</t>
  </si>
  <si>
    <t>NOTE: All analytical sheets reference this INPUT sheet only. Enter data in the blue cells (columns D–H).</t>
  </si>
  <si>
    <t>© 2015 to 2024 FinSight</t>
  </si>
  <si>
    <t>This Excel model is for educational purposes only.</t>
  </si>
  <si>
    <t>https://finsight.com/</t>
  </si>
  <si>
    <t>FinSight</t>
  </si>
  <si>
    <t>RATIOS — Financial Ratio Analysis</t>
  </si>
  <si>
    <t>RATIOS</t>
  </si>
  <si>
    <t>Year</t>
  </si>
  <si>
    <t>RATIOS DE VALORISATION — REIT</t>
  </si>
  <si>
    <t>–</t>
  </si>
  <si>
    <t>P/NAV (Price / Net Asset Value)</t>
  </si>
  <si>
    <t>Gross Profit Margin</t>
  </si>
  <si>
    <t>Net Profit Margin</t>
  </si>
  <si>
    <t>Return on Equity (ROE)</t>
  </si>
  <si>
    <t>Return on Assets (ROA)</t>
  </si>
  <si>
    <t>Return on Invested Capital (ROIC)</t>
  </si>
  <si>
    <t>Current Ratio</t>
  </si>
  <si>
    <t>Debt / Equity Ratio</t>
  </si>
  <si>
    <t>Net Debt / EBITDA</t>
  </si>
  <si>
    <t>GROWTH RATIOS</t>
  </si>
  <si>
    <t>Revenue Growth (YoY)</t>
  </si>
  <si>
    <t>Total Assets Growth (YoY)</t>
  </si>
  <si>
    <t>CASH FLOW RATIOS</t>
  </si>
  <si>
    <t>Operating Cash Flow Margin</t>
  </si>
  <si>
    <t>MÉTRIQUES OPÉRATIONNELLES — REIT</t>
  </si>
  <si>
    <t>FFO / Share</t>
  </si>
  <si>
    <t>AFFO / Share</t>
  </si>
  <si>
    <t>CHART DATA</t>
  </si>
  <si>
    <t>Revenue ($M)</t>
  </si>
  <si>
    <t>EBITDA ($M)</t>
  </si>
  <si>
    <t>Net Income ($M)</t>
  </si>
  <si>
    <t>Cumul. Revenue ($M)</t>
  </si>
  <si>
    <t>EBITDA Margin</t>
  </si>
  <si>
    <t>SG&amp;A ($M)</t>
  </si>
  <si>
    <t>R&amp;D ($M)</t>
  </si>
  <si>
    <t>D&amp;A ($M)</t>
  </si>
  <si>
    <t>Interest ($M)</t>
  </si>
  <si>
    <t>FCF &amp; CapEx Trend ($M)</t>
  </si>
  <si>
    <t>Metric</t>
  </si>
  <si>
    <t>Free Cash Flow ($M)</t>
  </si>
  <si>
    <t>CapEx ($M)</t>
  </si>
  <si>
    <t>Cash from Operations ($M)</t>
  </si>
  <si>
    <t>Returns Chart Data</t>
  </si>
  <si>
    <t>DCF — Discounted Cash Flow Valuation</t>
  </si>
  <si>
    <t>Terminal</t>
  </si>
  <si>
    <t>Income Taxes</t>
  </si>
  <si>
    <t>Revenue Growth Rate (YoY)</t>
  </si>
  <si>
    <t>Gross Margin</t>
  </si>
  <si>
    <t>(+) Depreciation &amp; Amortization</t>
  </si>
  <si>
    <t>Risk-Free Rate (Rf)</t>
  </si>
  <si>
    <t>Target Equity Weight (We)</t>
  </si>
  <si>
    <t>Target Debt Weight (Wd)</t>
  </si>
  <si>
    <t>Pre-Tax Cost of Debt (Kd)</t>
  </si>
  <si>
    <t>Current Share Price</t>
  </si>
  <si>
    <t>Pessimistic</t>
  </si>
  <si>
    <t>Realistic</t>
  </si>
  <si>
    <t>Optimistic</t>
  </si>
  <si>
    <t>Implied Share Price ($)</t>
  </si>
  <si>
    <t>COMPARABLES — Trading Comparables</t>
  </si>
  <si>
    <t>COMPARABLES</t>
  </si>
  <si>
    <t>COMPARABLE TRADING ANALYSIS</t>
  </si>
  <si>
    <t>Share
Price</t>
  </si>
  <si>
    <t>Enterprise
Value</t>
  </si>
  <si>
    <t>PEER COMPANIES</t>
  </si>
  <si>
    <t>TICKER</t>
  </si>
  <si>
    <t>(USD/sh)</t>
  </si>
  <si>
    <t>DRE</t>
  </si>
  <si>
    <t>EastGroup Properties, Inc.</t>
  </si>
  <si>
    <t>EGP</t>
  </si>
  <si>
    <t>STAG Industrial, Inc.</t>
  </si>
  <si>
    <t>STAG</t>
  </si>
  <si>
    <t>First Industrial Realty Trust, Inc.</t>
  </si>
  <si>
    <t>FR</t>
  </si>
  <si>
    <t>Rexford Industrial Realty, Inc.</t>
  </si>
  <si>
    <t>REXR</t>
  </si>
  <si>
    <t>Mean</t>
  </si>
  <si>
    <t>Median</t>
  </si>
  <si>
    <t>Maximum</t>
  </si>
  <si>
    <t>Minimum</t>
  </si>
  <si>
    <t>TARGET COMPANY VALUATION (Based on Peer Multiples)</t>
  </si>
  <si>
    <t>TARGET COMPANY METRICS (from INPUT)</t>
  </si>
  <si>
    <t>Target: Revenue (LTM)</t>
  </si>
  <si>
    <t>Target: Net Debt</t>
  </si>
  <si>
    <t>Target: Shares Outstanding</t>
  </si>
  <si>
    <t>Implied Equity Value ($M)</t>
  </si>
  <si>
    <t>Current Share Price ($)</t>
  </si>
  <si>
    <t>Implied Upside / (Downside)</t>
  </si>
  <si>
    <t>Company</t>
  </si>
  <si>
    <t>EV/EBITDA (x)</t>
  </si>
  <si>
    <t>EV/Revenue (x)</t>
  </si>
  <si>
    <t>P/E (x)</t>
  </si>
  <si>
    <t>Implied Share Price — Valuation Range ($)</t>
  </si>
  <si>
    <t>Method</t>
  </si>
  <si>
    <t>Low ($)</t>
  </si>
  <si>
    <t>High ($)</t>
  </si>
  <si>
    <t>Current ($)</t>
  </si>
  <si>
    <t>Median ($)</t>
  </si>
  <si>
    <t>EV/EBITDA</t>
  </si>
  <si>
    <t>EV/Revenue</t>
  </si>
  <si>
    <t>P/E</t>
  </si>
  <si>
    <t>SCENARIOS — Scenario Analysis</t>
  </si>
  <si>
    <t>SCENARIOS</t>
  </si>
  <si>
    <t>All figures in USD millions unless stated | 3 scenarios: Pessimistic / Realistic (Base) / Optimistic</t>
  </si>
  <si>
    <t>▶  SELECT SCENARIO</t>
  </si>
  <si>
    <t>DRIVER</t>
  </si>
  <si>
    <t>Revenue Growth Rate (Y1-Y5)</t>
  </si>
  <si>
    <t>▶ Secteur actif :</t>
  </si>
  <si>
    <t>SCENARIO RESULTS — DYNAMIC VIEW</t>
  </si>
  <si>
    <t>Implied Share Price</t>
  </si>
  <si>
    <t>SCENARIO SUMMARY COMPARISON</t>
  </si>
  <si>
    <t>METRIC (Year 5)</t>
  </si>
  <si>
    <t>Revenue (Year 5)</t>
  </si>
  <si>
    <t>CHART DATA: Revenue by Scenario</t>
  </si>
  <si>
    <t>Chart Data: Revenue by Scenario</t>
  </si>
  <si>
    <t>Année</t>
  </si>
  <si>
    <t>Cumul Revenue</t>
  </si>
  <si>
    <t>Financial Performance</t>
  </si>
  <si>
    <t>Revenue &amp; Profitability</t>
  </si>
  <si>
    <t>Profit Margins</t>
  </si>
  <si>
    <t>Net Margin</t>
  </si>
  <si>
    <t>Cumulative revenue</t>
  </si>
  <si>
    <t>Expense Breakdown</t>
  </si>
  <si>
    <t>Performance Summary (Five-Year)</t>
  </si>
  <si>
    <t>Income Statement (LTM)</t>
  </si>
  <si>
    <t>5-Yr Avg</t>
  </si>
  <si>
    <t>Trend</t>
  </si>
  <si>
    <t>Actual</t>
  </si>
  <si>
    <t>Prev Year</t>
  </si>
  <si>
    <t>Variance</t>
  </si>
  <si>
    <t>Var %</t>
  </si>
  <si>
    <t>COGS</t>
  </si>
  <si>
    <t>Expenses</t>
  </si>
  <si>
    <t>Net Margin (%)</t>
  </si>
  <si>
    <t>P&amp;L Summary (LTM)</t>
  </si>
  <si>
    <t>Balance Sheet Summary (LTM)</t>
  </si>
  <si>
    <t>Assets</t>
  </si>
  <si>
    <t xml:space="preserve">  COGS</t>
  </si>
  <si>
    <t>Current Assets</t>
  </si>
  <si>
    <t>Non-current Assets</t>
  </si>
  <si>
    <t xml:space="preserve">  SG&amp;A</t>
  </si>
  <si>
    <t xml:space="preserve">  R&amp;D</t>
  </si>
  <si>
    <t xml:space="preserve">  D&amp;A</t>
  </si>
  <si>
    <t>Liabilities</t>
  </si>
  <si>
    <t xml:space="preserve">  Net Interest</t>
  </si>
  <si>
    <t>Current Liabilities</t>
  </si>
  <si>
    <t>EBT (Pre-Tax Income)</t>
  </si>
  <si>
    <t>Long-term Liabilities</t>
  </si>
  <si>
    <t xml:space="preserve">  Income Tax</t>
  </si>
  <si>
    <t>Shareholders' Equity</t>
  </si>
  <si>
    <t>SG&amp;A</t>
  </si>
  <si>
    <t>R&amp;D</t>
  </si>
  <si>
    <t>D&amp;A</t>
  </si>
  <si>
    <t>Interest</t>
  </si>
  <si>
    <t>Projected Business Performance</t>
  </si>
  <si>
    <t>Football Field Chart — Valuation Inputs</t>
  </si>
  <si>
    <t>Financial Data — Multi-Year</t>
  </si>
  <si>
    <t>All figures in USD Thousands unless stated</t>
  </si>
  <si>
    <t>Delta ($)</t>
  </si>
  <si>
    <t>Company Information</t>
  </si>
  <si>
    <t>52-Week Trading Range</t>
  </si>
  <si>
    <t>Consensus Research</t>
  </si>
  <si>
    <t>Revenue Growth (%)</t>
  </si>
  <si>
    <t>Precedent Transactions</t>
  </si>
  <si>
    <t>EBITDA Growth (%)</t>
  </si>
  <si>
    <t>Sector</t>
  </si>
  <si>
    <t>Sum-of-the-Parts</t>
  </si>
  <si>
    <t>Discounted Cash Flow</t>
  </si>
  <si>
    <t>Revenue — Products</t>
  </si>
  <si>
    <t>Cost of Revenue (COGS)</t>
  </si>
  <si>
    <t>Total Revenue</t>
  </si>
  <si>
    <t>Cash from Ops (CFO)</t>
  </si>
  <si>
    <t>Stock Chart: Trailing 52-Weeks</t>
  </si>
  <si>
    <t>Valuation Summary: Football Field Chart</t>
  </si>
  <si>
    <t>Other Financial Metrics ($ Millier)</t>
  </si>
  <si>
    <t>Total Revenue ($M)</t>
  </si>
  <si>
    <t>Low</t>
  </si>
  <si>
    <t>Delta</t>
  </si>
  <si>
    <t>High</t>
  </si>
  <si>
    <t>Precedent Trans.</t>
  </si>
  <si>
    <t>CFO</t>
  </si>
  <si>
    <t>CFO ($M)</t>
  </si>
  <si>
    <t>STOCK_DATA — Apple Inc. (AAPL) — Trailing 52 Weeks</t>
  </si>
  <si>
    <t>#</t>
  </si>
  <si>
    <t>Month</t>
  </si>
  <si>
    <t>Close Price ($)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</si>
  <si>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</si>
  <si>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</si>
  <si>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</si>
  <si>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</si>
  <si>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</si>
  <si>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</si>
  <si>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</si>
  <si>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</si>
  <si>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</si>
  <si>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</si>
  <si>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</si>
  <si>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</si>
  <si>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⚠️  Données simulées. Remplacer par données réelles (Bloomberg/FactSet) en colonne B (Mois) et C (Prix).</t>
  </si>
  <si>
    <t>Driver</t>
  </si>
  <si>
    <t>Pessimiste</t>
  </si>
  <si>
    <t>Realiste</t>
  </si>
  <si>
    <t>Optimiste</t>
  </si>
  <si>
    <t>Technologie / SaaS</t>
  </si>
  <si>
    <t>SG&amp;A (% Revenue)</t>
  </si>
  <si>
    <t>R&amp;D (% Revenue)</t>
  </si>
  <si>
    <t>CapEx (% Revenue)</t>
  </si>
  <si>
    <t>Change in NWC (% Rev Change)</t>
  </si>
  <si>
    <t>EV/EBITDA Exit Multiple</t>
  </si>
  <si>
    <t>Industrie / Manufacturing</t>
  </si>
  <si>
    <t>Consommation / Retail</t>
  </si>
  <si>
    <t>Luxe / Premium</t>
  </si>
  <si>
    <t>Energie / Utilities</t>
  </si>
  <si>
    <t>Sante / Pharma</t>
  </si>
  <si>
    <t>Energie / Oil &amp; Gas</t>
  </si>
  <si>
    <t>Gross Margin (after royalties)</t>
  </si>
  <si>
    <t>Production Cost (% Revenue)</t>
  </si>
  <si>
    <t>Exploration Expense (% Revenue)</t>
  </si>
  <si>
    <t>Immobilier / REIT</t>
  </si>
  <si>
    <t>REIT — MÉTRIQUES OPÉRATIONNELLES</t>
  </si>
  <si>
    <t>NOI — Net Operating Income</t>
  </si>
  <si>
    <t>Rental Income (Total)</t>
  </si>
  <si>
    <t>Property Operating Expenses</t>
  </si>
  <si>
    <t>Recurring CapEx (Maintenance)</t>
  </si>
  <si>
    <t>Straight-Line Rent Adjustment</t>
  </si>
  <si>
    <t>Stock-Based Compensation (SBC)</t>
  </si>
  <si>
    <t>AFFO = FFO − Recurring CapEx − SL Rent − SBC</t>
  </si>
  <si>
    <t>Cap Rate Assumption (implied)</t>
  </si>
  <si>
    <t>NAV / Share (source externe)</t>
  </si>
  <si>
    <t>Gross Asset Value (GAV = NOI / Cap Rate)</t>
  </si>
  <si>
    <t>Occupancy Rate</t>
  </si>
  <si>
    <t>Same-Store NOI Growth (YoY)</t>
  </si>
  <si>
    <t>(yrs)</t>
  </si>
  <si>
    <t>LTV = Net Debt / Asset Value</t>
  </si>
  <si>
    <t>Dividend Yield</t>
  </si>
  <si>
    <t>P/FFO (Price / Funds From Operations)</t>
  </si>
  <si>
    <t>P/AFFO (Price / Adj. FFO per share)</t>
  </si>
  <si>
    <t>Dividend Coverage (FFO / Divs Paid)</t>
  </si>
  <si>
    <t>FONDAMENTAUX IMMOBILIERS — REIT</t>
  </si>
  <si>
    <t>WALT (Weighted Avg Lease Term, yrs)</t>
  </si>
  <si>
    <t>Cap Rate (implied)</t>
  </si>
  <si>
    <t>ICR — Interest Coverage (EBITDA / Interest)</t>
  </si>
  <si>
    <t>STRUCTURE DE CAPITAL — REIT</t>
  </si>
  <si>
    <t>Net Debt ($M)</t>
  </si>
  <si>
    <t>Total Debt ($M)</t>
  </si>
  <si>
    <t>Interest Coverage (EBIT / Interest)</t>
  </si>
  <si>
    <t>Operating CF / Total Debt (FFO/Debt proxy)</t>
  </si>
  <si>
    <t>PERFORMANCE OPÉRATIONNELLE — REIT</t>
  </si>
  <si>
    <t>NOI Margin (NOI / Revenue)</t>
  </si>
  <si>
    <t>NOI Growth (YoY) — proxy EBITDA</t>
  </si>
  <si>
    <t>FFO Growth (YoY)</t>
  </si>
  <si>
    <t>FFO per Share Growth (YoY)</t>
  </si>
  <si>
    <t>AFFO ($M) — Adjusted Funds From Operations</t>
  </si>
  <si>
    <t>AFFO Margin (AFFO / Revenue)</t>
  </si>
  <si>
    <t>CapEx Intensity (Total CapEx / Revenue)</t>
  </si>
  <si>
    <t>AFFO Payout Ratio (Divs / AFFO)</t>
  </si>
  <si>
    <t>FFO / Share ($)</t>
  </si>
  <si>
    <t>AFFO / Share ($)</t>
  </si>
  <si>
    <t>LTV Ratio (%)</t>
  </si>
  <si>
    <t>Occupancy Rate (%)</t>
  </si>
  <si>
    <t>Dividend Yield (%)</t>
  </si>
  <si>
    <t>Dividend Coverage (FFO / Divs)</t>
  </si>
  <si>
    <t>NAV — Net Asset Value Valuation (REIT)</t>
  </si>
  <si>
    <t>NAV</t>
  </si>
  <si>
    <t>COMPTE DE RÉSULTAT — REIT (Historique + Projection)</t>
  </si>
  <si>
    <t>Revenue (Rental Income)</t>
  </si>
  <si>
    <t>G&amp;A Expenses</t>
  </si>
  <si>
    <t>— (ligne non applicable REIT)</t>
  </si>
  <si>
    <t>EBIT</t>
  </si>
  <si>
    <t>EBT (Earnings Before Tax)</t>
  </si>
  <si>
    <t>Net Income (biaisé par D&amp;A — voir FFO)</t>
  </si>
  <si>
    <t>HYPOTHÈSES — MODÈLE NAV</t>
  </si>
  <si>
    <t>G&amp;A (% of Revenue)</t>
  </si>
  <si>
    <t>Cap Rate — Bull Case (%)</t>
  </si>
  <si>
    <t>Cap Rate — Bear Case (%)</t>
  </si>
  <si>
    <t>NOI Margin</t>
  </si>
  <si>
    <t>(−) Recurring CapEx (Maintenance)</t>
  </si>
  <si>
    <t>(−) Straight-Line Rent Adj. + SBC</t>
  </si>
  <si>
    <t>FFO = NI + D&amp;A</t>
  </si>
  <si>
    <t>COÛT DU CAPITAL — REIT</t>
  </si>
  <si>
    <t>VALORISATION NAV — REIT</t>
  </si>
  <si>
    <t>NOI (LTM, $M)</t>
  </si>
  <si>
    <t>(−) Net Debt ($M)</t>
  </si>
  <si>
    <t>(−) Preferred Equity ($M)</t>
  </si>
  <si>
    <t>Fourchette NAV Bull (Cap Rate 5.0%)</t>
  </si>
  <si>
    <t>Fourchette NAV Bear (Cap Rate 6.5%)</t>
  </si>
  <si>
    <t>Shares Outstanding (Diluted, M)</t>
  </si>
  <si>
    <t>P/NAV (Price / NAV)</t>
  </si>
  <si>
    <t>Upside / (Downside) vs NAV</t>
  </si>
  <si>
    <t>GAV ($M)</t>
  </si>
  <si>
    <t>NAV / Share ($)</t>
  </si>
  <si>
    <t>P/NAV</t>
  </si>
  <si>
    <t>Revenue Growth (Y1-Y5)</t>
  </si>
  <si>
    <t>Cap Rate (Exit)</t>
  </si>
  <si>
    <t>P/NAV implied</t>
  </si>
  <si>
    <t>FFO/Share
(LTM)</t>
  </si>
  <si>
    <t>P/FFO
(x)</t>
  </si>
  <si>
    <t>P/AFFO
(x)</t>
  </si>
  <si>
    <t>Div Yield
(%)</t>
  </si>
  <si>
    <t>Occupancy
(%)</t>
  </si>
  <si>
    <t>LTV
(%)</t>
  </si>
  <si>
    <t>Target: NOI / EBITDA (LTM)</t>
  </si>
  <si>
    <t>Target: FFO (LTM)</t>
  </si>
  <si>
    <t>Target: AFFO (LTM)</t>
  </si>
  <si>
    <t>IMPLIED VALUATION — REIT (P/FFO Multiple Method)</t>
  </si>
  <si>
    <t>P/FFO Median — Implied Market Cap ($M)</t>
  </si>
  <si>
    <t>P/AFFO Median — Implied Market Cap ($M)</t>
  </si>
  <si>
    <t>Implied Market Cap (Average, $M)</t>
  </si>
  <si>
    <t>Cap Rate (exit, %)</t>
  </si>
  <si>
    <t>Same-Store NOI Growth</t>
  </si>
  <si>
    <t>WACC (Cost of Capital)</t>
  </si>
  <si>
    <t>NOI (Net Operating Income)</t>
  </si>
  <si>
    <t>FFO (NI + D&amp;A)</t>
  </si>
  <si>
    <t>Cap Rate (scenario)</t>
  </si>
  <si>
    <t>Implied NAV / Share ($)</t>
  </si>
  <si>
    <t>NOI (Year 5)</t>
  </si>
  <si>
    <t>FFO (Year 5)</t>
  </si>
  <si>
    <t>AFFO (Year 5)</t>
  </si>
  <si>
    <t>Cap Rate Scenario</t>
  </si>
  <si>
    <t>CHART DATA: NOI by Scenario</t>
  </si>
  <si>
    <t>Chart Data: NOI by Scenario</t>
  </si>
  <si>
    <t>MÉTRIQUES REIT — Top 3 KPIs (LTM)</t>
  </si>
  <si>
    <t>Bmk : 0.85-1.15x • n.d. si NAV manquante</t>
  </si>
  <si>
    <t>Bmk : &gt;95% (Industrial) • Excellent si &gt;98%</t>
  </si>
  <si>
    <t>Bmk : 5-10% target • Source : RATIOS</t>
  </si>
  <si>
    <t>Base</t>
  </si>
  <si>
    <t>ANALYSE DE SENSIBILITÉ — P/NAV vs Cap Rate × NOI Growth</t>
  </si>
  <si>
    <t>NOI +3% (Base)</t>
  </si>
  <si>
    <t>NOI +5%</t>
  </si>
  <si>
    <t>NOI +8%</t>
  </si>
  <si>
    <t>SCÉNARIOS NAV — 3 SCÉNARIOS</t>
  </si>
  <si>
    <t>MÉTRIQUE</t>
  </si>
  <si>
    <t>Réaliste</t>
  </si>
  <si>
    <t>Tax Rate (effective)</t>
  </si>
  <si>
    <t>SCÉNARIO</t>
  </si>
  <si>
    <t>Cap Rate — Actif (selon scénario)</t>
  </si>
  <si>
    <t>GAV = NOI / Cap Rate ($M)</t>
  </si>
  <si>
    <t>NAV / Share — scénario actif ($)</t>
  </si>
  <si>
    <t>NAV ($M) — scénario actif (GAV − Net Debt)</t>
  </si>
  <si>
    <t>NAV/Share ($)</t>
  </si>
  <si>
    <t>NOI Growth ↓ / Cap Rate →</t>
  </si>
  <si>
    <t>NOI −5%</t>
  </si>
  <si>
    <t>NOI  0%</t>
  </si>
  <si>
    <t>Recurring CapEx (% Revenue — maintenance)</t>
  </si>
  <si>
    <t>Straight-Line Rent Adj. + SBC (% Revenue)</t>
  </si>
  <si>
    <t>Upside / (Downside) vs Current Price</t>
  </si>
  <si>
    <t xml:space="preserve">FFO </t>
  </si>
  <si>
    <t xml:space="preserve">AFFO </t>
  </si>
  <si>
    <t xml:space="preserve">Gross Asset Value </t>
  </si>
  <si>
    <t>WALT</t>
  </si>
  <si>
    <t xml:space="preserve">Dividend Per Share </t>
  </si>
  <si>
    <t xml:space="preserve">LTV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</si>
</sst>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#,##0\ &quot;€&quot;;[Red]\-#,##0\ &quot;€&quot;"/>
    <numFmt numFmtId="43" formatCode="_-* #,##0.00_-;\-* #,##0.00_-;_-* &quot;-&quot;??_-;_-@_-"/>
    <numFmt numFmtId="164" formatCode="_(#,##0_);\(#,##0\);_(&quot;–&quot;_);_(@_)"/>
    <numFmt numFmtId="165" formatCode="_(#,##0.0%_);\(#,##0.0%\);_(&quot;–&quot;_);_(@_)"/>
    <numFmt numFmtId="166" formatCode="_(#,##0.00_);\(#,##0.00\);_(&quot;–&quot;_);_(@_)"/>
    <numFmt numFmtId="167" formatCode="0.0%"/>
    <numFmt numFmtId="168" formatCode="_(* #,##0_);_(* \(#,##0\);_(* &quot;-&quot;??_);_(@_)"/>
    <numFmt numFmtId="169" formatCode="_(#,##0%_);\(#,##0%\);_(&quot;–&quot;_);_(@_)"/>
    <numFmt numFmtId="170" formatCode="&quot;€&quot;#,##0;\(&quot;€&quot;#,##0\);\-"/>
    <numFmt numFmtId="171" formatCode="0.0\x"/>
    <numFmt numFmtId="172" formatCode="&quot;€&quot;#,##0.00;\(&quot;€&quot;#,##0.00\);\-"/>
    <numFmt numFmtId="173" formatCode="_(0.0\x_);\(0.0\x\);_(&quot;–&quot;_);_(@_)"/>
    <numFmt numFmtId="174" formatCode="_(#,##0.0_);\(#,##0.0\);_(&quot;–&quot;_);_(@_)"/>
    <numFmt numFmtId="175" formatCode="&quot;€&quot;#,##0.00"/>
    <numFmt numFmtId="176" formatCode="&quot;€&quot;#,##0"/>
    <numFmt numFmtId="177" formatCode="&quot;€&quot;#,##0_);\(&quot;€&quot;#,##0\)"/>
    <numFmt numFmtId="178" formatCode="0.00\x"/>
    <numFmt numFmtId="179" formatCode=";;;"/>
    <numFmt numFmtId="180" formatCode="0.0"/>
    <numFmt numFmtId="181" formatCode="_(#,##0.0_);\(#,##0.0\);_(&quot;\u2013&quot;_);_(@_)"/>
    <numFmt numFmtId="182" formatCode="#,##0.0"/>
    <numFmt numFmtId="183" formatCode="&quot;€&quot;#,##0;\(&quot;€&quot;#,##0\);"/>
    <numFmt numFmtId="184" formatCode="_(&quot;$&quot;* #,##0.00_);_(&quot;$&quot;* \(#,##0.00\);_(&quot;$&quot;* &quot;-&quot;??_);_(@_)"/>
    <numFmt numFmtId="185" formatCode="0.0%;\(0.0%\);\–"/>
  </numFmts>
  <fonts count="119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Open Sans"/>
      <family val="2"/>
    </font>
    <font>
      <b/>
      <sz val="10"/>
      <color rgb="FF132E57"/>
      <name val="Open Sans"/>
      <family val="2"/>
    </font>
    <font>
      <sz val="9"/>
      <color rgb="FFFFFFFF"/>
      <name val="Open Sans"/>
      <family val="2"/>
    </font>
    <font>
      <sz val="10"/>
      <color theme="1"/>
      <name val="Open Sans"/>
      <family val="2"/>
    </font>
    <font>
      <b/>
      <sz val="10"/>
      <color rgb="FFFFFFFF"/>
      <name val="Open Sans"/>
      <family val="2"/>
    </font>
    <font>
      <b/>
      <sz val="10"/>
      <color rgb="FF3271D2"/>
      <name val="Open Sans"/>
      <family val="2"/>
    </font>
    <font>
      <sz val="10"/>
      <color rgb="FF3271D2"/>
      <name val="Open Sans"/>
      <family val="2"/>
    </font>
    <font>
      <b/>
      <sz val="10"/>
      <color theme="1"/>
      <name val="Open Sans"/>
      <family val="2"/>
    </font>
    <font>
      <i/>
      <sz val="10"/>
      <color rgb="FF595959"/>
      <name val="Open Sans"/>
      <family val="2"/>
    </font>
    <font>
      <sz val="10"/>
      <color rgb="FFFFFFFF"/>
      <name val="Open Sans"/>
      <family val="2"/>
    </font>
    <font>
      <b/>
      <sz val="10"/>
      <color rgb="FF000000"/>
      <name val="Open Sans"/>
      <family val="2"/>
    </font>
    <font>
      <sz val="9"/>
      <color rgb="FF000000"/>
      <name val="Open Sans"/>
      <family val="2"/>
    </font>
    <font>
      <b/>
      <sz val="10"/>
      <color rgb="FF1B3E70"/>
      <name val="Open Sans"/>
      <family val="2"/>
    </font>
    <font>
      <b/>
      <sz val="14"/>
      <color rgb="FF3271D2"/>
      <name val="Open Sans"/>
      <family val="2"/>
    </font>
    <font>
      <sz val="8"/>
      <color rgb="FF595959"/>
      <name val="Open Sans"/>
      <family val="2"/>
    </font>
    <font>
      <b/>
      <sz val="8"/>
      <color rgb="FF595959"/>
      <name val="Open Sans"/>
      <family val="2"/>
    </font>
    <font>
      <i/>
      <sz val="9"/>
      <color rgb="FF000000"/>
      <name val="Open Sans"/>
      <family val="2"/>
    </font>
    <font>
      <b/>
      <sz val="14"/>
      <color rgb="FF3271D2"/>
      <name val="Aptos Narrow"/>
      <family val="2"/>
      <scheme val="minor"/>
    </font>
    <font>
      <sz val="10"/>
      <color rgb="FF132E57"/>
      <name val="Open Sans"/>
      <family val="2"/>
    </font>
    <font>
      <i/>
      <sz val="9"/>
      <color rgb="FF595959"/>
      <name val="Open Sans"/>
      <family val="2"/>
    </font>
    <font>
      <sz val="9"/>
      <color rgb="FF132E57"/>
      <name val="Open Sans"/>
      <family val="2"/>
    </font>
    <font>
      <b/>
      <sz val="8"/>
      <color rgb="FF132E57"/>
      <name val="Open Sans"/>
      <family val="2"/>
    </font>
    <font>
      <b/>
      <sz val="11"/>
      <color rgb="FF132E57"/>
      <name val="Aptos Narrow"/>
      <family val="2"/>
      <scheme val="minor"/>
    </font>
    <font>
      <b/>
      <sz val="10"/>
      <color rgb="FF132E57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Open Sans"/>
      <family val="2"/>
    </font>
    <font>
      <b/>
      <sz val="10"/>
      <color rgb="FF000000"/>
      <name val="Open Sans"/>
      <family val="2"/>
    </font>
    <font>
      <sz val="8"/>
      <color rgb="FF595959"/>
      <name val="Open Sans"/>
      <family val="2"/>
    </font>
    <font>
      <b/>
      <sz val="10"/>
      <color rgb="FFFFFFFF"/>
      <name val="Open Sans"/>
      <family val="2"/>
    </font>
    <font>
      <b/>
      <sz val="18"/>
      <color rgb="FFFFFFFF"/>
      <name val="Open Sans"/>
      <family val="2"/>
    </font>
    <font>
      <sz val="10"/>
      <color rgb="FF3271D2"/>
      <name val="Open Sans"/>
      <family val="2"/>
    </font>
    <font>
      <b/>
      <sz val="10"/>
      <color rgb="FFFFFFFF"/>
      <name val="Aptos Narrow"/>
      <family val="2"/>
      <scheme val="minor"/>
    </font>
    <font>
      <b/>
      <sz val="12"/>
      <color rgb="FF000000"/>
      <name val="Open Sans"/>
      <family val="2"/>
    </font>
    <font>
      <sz val="8"/>
      <color rgb="FF000000"/>
      <name val="Open Sans"/>
      <family val="2"/>
    </font>
    <font>
      <sz val="14"/>
      <color rgb="FF000000"/>
      <name val="Open Sans"/>
      <family val="2"/>
    </font>
    <font>
      <sz val="10"/>
      <color rgb="FFFFFFFF"/>
      <name val="Open Sans"/>
      <family val="2"/>
    </font>
    <font>
      <b/>
      <sz val="14"/>
      <color rgb="FF3271D2"/>
      <name val="Open Sans"/>
      <family val="2"/>
    </font>
    <font>
      <sz val="10"/>
      <color theme="1"/>
      <name val="Open Sans"/>
      <family val="2"/>
    </font>
    <font>
      <sz val="10"/>
      <color rgb="FF0000FF"/>
      <name val="Open Sans"/>
      <family val="2"/>
    </font>
    <font>
      <sz val="10"/>
      <color rgb="FF000000"/>
      <name val="Aptos Narrow"/>
      <family val="2"/>
      <scheme val="minor"/>
    </font>
    <font>
      <sz val="11"/>
      <name val="Open Sans"/>
      <family val="2"/>
    </font>
    <font>
      <u/>
      <sz val="10"/>
      <color theme="10"/>
      <name val="Arial"/>
      <family val="2"/>
    </font>
    <font>
      <sz val="11"/>
      <color theme="1"/>
      <name val="Open Sans"/>
      <family val="2"/>
    </font>
    <font>
      <sz val="10"/>
      <name val="Arial"/>
      <family val="2"/>
    </font>
    <font>
      <sz val="14"/>
      <color theme="1"/>
      <name val="Open Sans"/>
      <family val="2"/>
    </font>
    <font>
      <b/>
      <sz val="10"/>
      <color theme="1"/>
      <name val="Open Sans"/>
      <family val="2"/>
    </font>
    <font>
      <i/>
      <sz val="9"/>
      <color theme="1"/>
      <name val="Aptos Narrow"/>
      <family val="2"/>
      <scheme val="minor"/>
    </font>
    <font>
      <i/>
      <sz val="9"/>
      <color theme="1"/>
      <name val="Open Sans"/>
      <family val="2"/>
    </font>
    <font>
      <sz val="11"/>
      <color rgb="FFFFFFFF"/>
      <name val="Open Sans"/>
      <family val="2"/>
    </font>
    <font>
      <b/>
      <sz val="10"/>
      <color rgb="FF000000"/>
      <name val="Aptos Narrow"/>
      <family val="2"/>
      <scheme val="minor"/>
    </font>
    <font>
      <sz val="12"/>
      <color theme="1"/>
      <name val="Open Sans"/>
      <family val="2"/>
    </font>
    <font>
      <b/>
      <sz val="12"/>
      <color theme="1"/>
      <name val="Open Sans"/>
      <family val="2"/>
    </font>
    <font>
      <sz val="12"/>
      <color rgb="FF000000"/>
      <name val="Open Sans"/>
      <family val="2"/>
    </font>
    <font>
      <sz val="12"/>
      <color theme="0" tint="-0.499984740745262"/>
      <name val="Open Sans"/>
      <family val="2"/>
    </font>
    <font>
      <sz val="12"/>
      <color theme="1" tint="0.499984740745262"/>
      <name val="Open Sans"/>
      <family val="2"/>
    </font>
    <font>
      <i/>
      <sz val="9"/>
      <color rgb="FFA3A3A3"/>
      <name val="Aptos Narrow"/>
      <family val="2"/>
      <scheme val="minor"/>
    </font>
    <font>
      <sz val="11"/>
      <color rgb="FF141413"/>
      <name val="Segoe UI"/>
      <family val="2"/>
    </font>
    <font>
      <i/>
      <sz val="11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11"/>
      <color theme="0"/>
      <name val="Open Sans"/>
      <family val="2"/>
    </font>
    <font>
      <sz val="12"/>
      <color theme="0"/>
      <name val="Open Sans"/>
      <family val="2"/>
    </font>
    <font>
      <b/>
      <sz val="11"/>
      <color theme="1"/>
      <name val="Open Sans"/>
      <family val="2"/>
    </font>
    <font>
      <i/>
      <sz val="10"/>
      <color theme="1"/>
      <name val="Open Sans"/>
      <family val="2"/>
    </font>
    <font>
      <b/>
      <i/>
      <sz val="14"/>
      <color rgb="FF3271D2"/>
      <name val="Open Sans"/>
      <family val="2"/>
    </font>
    <font>
      <b/>
      <sz val="10"/>
      <color rgb="FFCCCCCC"/>
      <name val="Open Sans"/>
      <family val="2"/>
    </font>
    <font>
      <sz val="10"/>
      <color rgb="FFAAAAAA"/>
      <name val="Open Sans"/>
      <family val="2"/>
    </font>
    <font>
      <b/>
      <sz val="9"/>
      <color rgb="FF132E57"/>
      <name val="Open Sans"/>
      <family val="2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"/>
      <color rgb="FFFFFFFF"/>
      <name val="Aptos Narrow"/>
      <family val="2"/>
      <scheme val="minor"/>
    </font>
    <font>
      <b/>
      <sz val="14"/>
      <color rgb="FFFFFFFF"/>
      <name val="Open Sans"/>
      <family val="2"/>
    </font>
    <font>
      <b/>
      <sz val="8"/>
      <color rgb="FFFFFFFF"/>
      <name val="Open Sans"/>
      <family val="2"/>
    </font>
    <font>
      <b/>
      <sz val="10"/>
      <color theme="1"/>
      <name val="Aptos Narrow"/>
      <family val="2"/>
      <scheme val="minor"/>
    </font>
    <font>
      <b/>
      <sz val="14"/>
      <color rgb="FFE7F2FF"/>
      <name val="Open Sans"/>
      <family val="2"/>
    </font>
    <font>
      <sz val="8"/>
      <color rgb="FFFFFFFF"/>
      <name val="Open Sans"/>
      <family val="2"/>
    </font>
    <font>
      <sz val="14"/>
      <color theme="0"/>
      <name val="Open Sans"/>
      <family val="2"/>
    </font>
    <font>
      <sz val="8"/>
      <color theme="0"/>
      <name val="Open Sans"/>
      <family val="2"/>
    </font>
    <font>
      <b/>
      <sz val="8"/>
      <color theme="0"/>
      <name val="Open Sans"/>
      <family val="2"/>
    </font>
    <font>
      <b/>
      <sz val="14"/>
      <color theme="0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b/>
      <sz val="8"/>
      <color rgb="FFD9E5F7"/>
      <name val="Open Sans"/>
      <family val="2"/>
    </font>
    <font>
      <sz val="11"/>
      <color rgb="FF000000"/>
      <name val="Aptos Narrow"/>
      <family val="2"/>
      <scheme val="minor"/>
    </font>
    <font>
      <sz val="10"/>
      <name val="Open Sans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Open Sans"/>
      <family val="2"/>
    </font>
    <font>
      <sz val="11"/>
      <color rgb="FF1F2D3D"/>
      <name val="Open Sans"/>
      <family val="2"/>
    </font>
    <font>
      <b/>
      <sz val="10"/>
      <color rgb="FF1A1A2E"/>
      <name val="Open Sans"/>
      <family val="2"/>
    </font>
    <font>
      <sz val="10"/>
      <color rgb="FF1A1A2E"/>
      <name val="Open Sans"/>
      <family val="2"/>
    </font>
    <font>
      <sz val="11"/>
      <color rgb="FF1A1A2E"/>
      <name val="Open Sans"/>
      <family val="2"/>
    </font>
    <font>
      <sz val="10"/>
      <color rgb="FF555555"/>
      <name val="Open Sans"/>
      <family val="2"/>
    </font>
    <font>
      <sz val="10"/>
      <color rgb="FF1A1A2E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1A1A2E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0"/>
      <color rgb="FF3271D2"/>
      <name val="Open Sans"/>
      <family val="2"/>
    </font>
    <font>
      <b/>
      <sz val="14"/>
      <color rgb="FF3271D2"/>
      <name val="Open Sans"/>
      <family val="2"/>
    </font>
    <font>
      <sz val="10"/>
      <color rgb="FF000000"/>
      <name val="Open Sans"/>
      <family val="2"/>
    </font>
    <font>
      <sz val="8"/>
      <color rgb="FF595959"/>
      <name val="Open Sans"/>
      <family val="2"/>
    </font>
    <font>
      <b/>
      <sz val="10"/>
      <color rgb="FF000000"/>
      <name val="Open Sans"/>
      <family val="2"/>
    </font>
    <font>
      <i/>
      <sz val="9"/>
      <color rgb="FF595959"/>
      <name val="Open Sans"/>
      <family val="2"/>
    </font>
    <font>
      <b/>
      <sz val="9"/>
      <color rgb="FF000000"/>
      <name val="Open Sans"/>
      <family val="2"/>
    </font>
    <font>
      <b/>
      <sz val="12"/>
      <color rgb="FF3271D2"/>
      <name val="Open Sans"/>
      <family val="2"/>
    </font>
    <font>
      <b/>
      <i/>
      <sz val="10"/>
      <color rgb="FF3271D2"/>
      <name val="Open Sans"/>
      <family val="2"/>
    </font>
    <font>
      <b/>
      <sz val="10"/>
      <name val="Open Sans"/>
      <family val="2"/>
    </font>
    <font>
      <sz val="12"/>
      <color rgb="FFE03C31"/>
      <name val="Open Sans"/>
      <family val="2"/>
    </font>
    <font>
      <sz val="12"/>
      <color rgb="FF00A652"/>
      <name val="Open Sans"/>
      <family val="2"/>
    </font>
    <font>
      <b/>
      <i/>
      <sz val="10"/>
      <name val="Open Sans"/>
      <family val="2"/>
    </font>
    <font>
      <b/>
      <sz val="11"/>
      <color theme="0"/>
      <name val="Aptos Narrow"/>
      <family val="2"/>
      <scheme val="minor"/>
    </font>
    <font>
      <b/>
      <sz val="14"/>
      <name val="Open Sans"/>
      <family val="2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rgb="FF000000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3271D2"/>
      </top>
      <bottom/>
      <diagonal/>
    </border>
    <border>
      <left/>
      <right/>
      <top/>
      <bottom style="double">
        <color rgb="FF000000"/>
      </bottom>
      <diagonal/>
    </border>
  </borders>
  <cellStyleXfs count="8">
    <xf numFmtId="0" fontId="0" fillId="0" borderId="0"/>
    <xf numFmtId="43" fontId="27" fillId="0" borderId="0"/>
    <xf numFmtId="0" fontId="27" fillId="0" borderId="0"/>
    <xf numFmtId="0" fontId="46" fillId="0" borderId="0"/>
    <xf numFmtId="0" fontId="48" fillId="0" borderId="0"/>
    <xf numFmtId="184" fontId="27" fillId="0" borderId="0"/>
    <xf numFmtId="9" fontId="27" fillId="0" borderId="0"/>
    <xf numFmtId="0" fontId="27" fillId="0" borderId="0"/>
  </cellStyleXfs>
  <cellXfs count="537">
    <xf numFmtId="0" fontId="0" fillId="0" borderId="0" xfId="0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12" fillId="4" borderId="0" xfId="0" applyFont="1" applyFill="1"/>
    <xf numFmtId="0" fontId="7" fillId="6" borderId="0" xfId="0" applyFont="1" applyFill="1"/>
    <xf numFmtId="0" fontId="12" fillId="6" borderId="0" xfId="0" applyFont="1" applyFill="1"/>
    <xf numFmtId="0" fontId="16" fillId="2" borderId="0" xfId="0" applyFont="1" applyFill="1"/>
    <xf numFmtId="0" fontId="17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6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6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6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6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7" fillId="6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right"/>
    </xf>
    <xf numFmtId="0" fontId="4" fillId="3" borderId="0" xfId="0" applyFont="1" applyFill="1" applyAlignment="1">
      <alignment horizontal="right" wrapText="1"/>
    </xf>
    <xf numFmtId="165" fontId="6" fillId="0" borderId="0" xfId="0" applyNumberFormat="1" applyFont="1" applyAlignment="1">
      <alignment horizontal="right"/>
    </xf>
    <xf numFmtId="0" fontId="9" fillId="0" borderId="0" xfId="0" applyFont="1" applyAlignment="1">
      <alignment horizontal="left" indent="1"/>
    </xf>
    <xf numFmtId="49" fontId="17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/>
    </xf>
    <xf numFmtId="0" fontId="16" fillId="2" borderId="0" xfId="0" applyFont="1" applyFill="1" applyAlignment="1">
      <alignment horizontal="center"/>
    </xf>
    <xf numFmtId="3" fontId="16" fillId="2" borderId="0" xfId="0" applyNumberFormat="1" applyFont="1" applyFill="1" applyAlignment="1">
      <alignment horizontal="right"/>
    </xf>
    <xf numFmtId="0" fontId="16" fillId="2" borderId="0" xfId="0" applyFont="1" applyFill="1" applyAlignment="1">
      <alignment horizontal="right" wrapText="1"/>
    </xf>
    <xf numFmtId="0" fontId="2" fillId="0" borderId="0" xfId="0" applyFont="1" applyAlignment="1">
      <alignment horizontal="left"/>
    </xf>
    <xf numFmtId="0" fontId="21" fillId="3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22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0" fontId="10" fillId="0" borderId="0" xfId="0" applyFont="1" applyAlignment="1">
      <alignment horizontal="left" indent="1"/>
    </xf>
    <xf numFmtId="0" fontId="3" fillId="7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13" fillId="7" borderId="0" xfId="0" applyFont="1" applyFill="1" applyAlignment="1">
      <alignment horizontal="right"/>
    </xf>
    <xf numFmtId="165" fontId="6" fillId="7" borderId="0" xfId="0" applyNumberFormat="1" applyFont="1" applyFill="1" applyAlignment="1">
      <alignment horizontal="right"/>
    </xf>
    <xf numFmtId="0" fontId="13" fillId="0" borderId="0" xfId="0" applyFont="1" applyAlignment="1">
      <alignment horizontal="left" indent="1"/>
    </xf>
    <xf numFmtId="0" fontId="10" fillId="0" borderId="3" xfId="0" applyFont="1" applyBorder="1" applyAlignment="1">
      <alignment horizontal="right"/>
    </xf>
    <xf numFmtId="0" fontId="13" fillId="7" borderId="0" xfId="0" applyFont="1" applyFill="1" applyAlignment="1">
      <alignment horizontal="left" indent="1"/>
    </xf>
    <xf numFmtId="0" fontId="13" fillId="7" borderId="0" xfId="0" applyFont="1" applyFill="1"/>
    <xf numFmtId="0" fontId="13" fillId="7" borderId="0" xfId="0" applyFont="1" applyFill="1" applyAlignment="1">
      <alignment horizontal="left"/>
    </xf>
    <xf numFmtId="0" fontId="6" fillId="7" borderId="0" xfId="0" applyFont="1" applyFill="1"/>
    <xf numFmtId="0" fontId="3" fillId="7" borderId="0" xfId="0" applyFont="1" applyFill="1" applyAlignment="1">
      <alignment horizontal="left" indent="1"/>
    </xf>
    <xf numFmtId="6" fontId="3" fillId="7" borderId="0" xfId="0" applyNumberFormat="1" applyFont="1" applyFill="1"/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23" fillId="3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0" fontId="4" fillId="3" borderId="0" xfId="0" applyFont="1" applyFill="1" applyAlignment="1">
      <alignment horizontal="left" indent="1"/>
    </xf>
    <xf numFmtId="0" fontId="24" fillId="3" borderId="0" xfId="0" applyFont="1" applyFill="1" applyAlignment="1">
      <alignment horizontal="center"/>
    </xf>
    <xf numFmtId="0" fontId="25" fillId="3" borderId="0" xfId="0" applyFont="1" applyFill="1"/>
    <xf numFmtId="0" fontId="0" fillId="7" borderId="0" xfId="0" applyFill="1"/>
    <xf numFmtId="0" fontId="26" fillId="3" borderId="0" xfId="0" applyFont="1" applyFill="1" applyAlignment="1">
      <alignment horizontal="left"/>
    </xf>
    <xf numFmtId="0" fontId="20" fillId="0" borderId="0" xfId="0" applyFont="1" applyAlignment="1">
      <alignment horizontal="right"/>
    </xf>
    <xf numFmtId="0" fontId="29" fillId="0" borderId="0" xfId="0" applyFont="1"/>
    <xf numFmtId="0" fontId="28" fillId="0" borderId="0" xfId="0" applyFont="1"/>
    <xf numFmtId="0" fontId="25" fillId="0" borderId="0" xfId="0" applyFont="1"/>
    <xf numFmtId="0" fontId="30" fillId="0" borderId="0" xfId="0" applyFont="1" applyAlignment="1">
      <alignment horizontal="left"/>
    </xf>
    <xf numFmtId="0" fontId="31" fillId="7" borderId="0" xfId="0" applyFont="1" applyFill="1" applyAlignment="1">
      <alignment horizontal="right"/>
    </xf>
    <xf numFmtId="0" fontId="30" fillId="7" borderId="0" xfId="0" applyFont="1" applyFill="1" applyAlignment="1">
      <alignment horizontal="left"/>
    </xf>
    <xf numFmtId="0" fontId="32" fillId="7" borderId="0" xfId="0" applyFont="1" applyFill="1" applyAlignment="1">
      <alignment horizontal="center"/>
    </xf>
    <xf numFmtId="0" fontId="33" fillId="6" borderId="0" xfId="0" applyFont="1" applyFill="1" applyAlignment="1">
      <alignment horizontal="right"/>
    </xf>
    <xf numFmtId="0" fontId="34" fillId="6" borderId="0" xfId="0" applyFont="1" applyFill="1" applyAlignment="1">
      <alignment horizontal="left"/>
    </xf>
    <xf numFmtId="0" fontId="36" fillId="6" borderId="0" xfId="0" applyFont="1" applyFill="1" applyAlignment="1">
      <alignment horizontal="left"/>
    </xf>
    <xf numFmtId="0" fontId="16" fillId="7" borderId="0" xfId="0" applyFont="1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3" fontId="16" fillId="0" borderId="0" xfId="0" applyNumberFormat="1" applyFont="1" applyAlignment="1">
      <alignment horizontal="right"/>
    </xf>
    <xf numFmtId="0" fontId="16" fillId="7" borderId="0" xfId="0" applyFont="1" applyFill="1"/>
    <xf numFmtId="0" fontId="39" fillId="7" borderId="0" xfId="0" applyFont="1" applyFill="1"/>
    <xf numFmtId="0" fontId="39" fillId="7" borderId="0" xfId="0" applyFont="1" applyFill="1" applyAlignment="1">
      <alignment horizontal="left"/>
    </xf>
    <xf numFmtId="0" fontId="39" fillId="7" borderId="0" xfId="0" applyFont="1" applyFill="1" applyAlignment="1">
      <alignment horizontal="right"/>
    </xf>
    <xf numFmtId="0" fontId="10" fillId="7" borderId="0" xfId="0" applyFont="1" applyFill="1" applyAlignment="1">
      <alignment horizontal="left" indent="1"/>
    </xf>
    <xf numFmtId="0" fontId="30" fillId="7" borderId="0" xfId="0" applyFont="1" applyFill="1"/>
    <xf numFmtId="0" fontId="30" fillId="7" borderId="0" xfId="0" applyFont="1" applyFill="1" applyAlignment="1">
      <alignment horizontal="left" indent="1"/>
    </xf>
    <xf numFmtId="164" fontId="30" fillId="7" borderId="0" xfId="0" applyNumberFormat="1" applyFont="1" applyFill="1" applyAlignment="1">
      <alignment horizontal="right"/>
    </xf>
    <xf numFmtId="0" fontId="30" fillId="7" borderId="0" xfId="0" applyFont="1" applyFill="1" applyAlignment="1">
      <alignment horizontal="right"/>
    </xf>
    <xf numFmtId="0" fontId="8" fillId="7" borderId="0" xfId="0" applyFont="1" applyFill="1" applyAlignment="1">
      <alignment horizontal="left"/>
    </xf>
    <xf numFmtId="0" fontId="16" fillId="7" borderId="0" xfId="0" applyFont="1" applyFill="1" applyAlignment="1">
      <alignment horizontal="center"/>
    </xf>
    <xf numFmtId="0" fontId="40" fillId="6" borderId="0" xfId="0" applyFont="1" applyFill="1" applyAlignment="1">
      <alignment horizontal="right"/>
    </xf>
    <xf numFmtId="0" fontId="41" fillId="2" borderId="0" xfId="0" applyFont="1" applyFill="1"/>
    <xf numFmtId="0" fontId="41" fillId="2" borderId="0" xfId="0" applyFont="1" applyFill="1" applyAlignment="1">
      <alignment horizontal="left"/>
    </xf>
    <xf numFmtId="167" fontId="30" fillId="7" borderId="0" xfId="0" applyNumberFormat="1" applyFont="1" applyFill="1" applyAlignment="1">
      <alignment horizontal="right"/>
    </xf>
    <xf numFmtId="3" fontId="30" fillId="7" borderId="0" xfId="0" applyNumberFormat="1" applyFont="1" applyFill="1" applyAlignment="1">
      <alignment horizontal="right"/>
    </xf>
    <xf numFmtId="3" fontId="3" fillId="7" borderId="0" xfId="0" applyNumberFormat="1" applyFont="1" applyFill="1" applyAlignment="1">
      <alignment horizontal="right"/>
    </xf>
    <xf numFmtId="0" fontId="0" fillId="2" borderId="0" xfId="0" applyFill="1"/>
    <xf numFmtId="0" fontId="45" fillId="0" borderId="0" xfId="2" applyFont="1"/>
    <xf numFmtId="0" fontId="47" fillId="0" borderId="0" xfId="2" applyFont="1"/>
    <xf numFmtId="0" fontId="42" fillId="0" borderId="0" xfId="2" applyFont="1"/>
    <xf numFmtId="37" fontId="49" fillId="0" borderId="0" xfId="2" applyNumberFormat="1" applyFont="1" applyAlignment="1">
      <alignment vertical="center"/>
    </xf>
    <xf numFmtId="0" fontId="40" fillId="6" borderId="0" xfId="0" applyFont="1" applyFill="1"/>
    <xf numFmtId="0" fontId="51" fillId="0" borderId="0" xfId="0" applyFont="1"/>
    <xf numFmtId="0" fontId="52" fillId="0" borderId="0" xfId="0" applyFont="1"/>
    <xf numFmtId="0" fontId="50" fillId="0" borderId="0" xfId="0" applyFont="1"/>
    <xf numFmtId="0" fontId="50" fillId="0" borderId="0" xfId="0" applyFont="1" applyAlignment="1">
      <alignment horizontal="left"/>
    </xf>
    <xf numFmtId="0" fontId="50" fillId="7" borderId="0" xfId="0" applyFont="1" applyFill="1" applyAlignment="1">
      <alignment horizontal="left"/>
    </xf>
    <xf numFmtId="0" fontId="42" fillId="7" borderId="0" xfId="0" applyFont="1" applyFill="1" applyAlignment="1">
      <alignment horizontal="left"/>
    </xf>
    <xf numFmtId="0" fontId="47" fillId="7" borderId="0" xfId="0" applyFont="1" applyFill="1"/>
    <xf numFmtId="0" fontId="42" fillId="0" borderId="0" xfId="0" applyFont="1"/>
    <xf numFmtId="0" fontId="42" fillId="2" borderId="0" xfId="0" applyFont="1" applyFill="1"/>
    <xf numFmtId="0" fontId="53" fillId="6" borderId="0" xfId="0" applyFont="1" applyFill="1"/>
    <xf numFmtId="0" fontId="49" fillId="0" borderId="0" xfId="0" applyFont="1"/>
    <xf numFmtId="0" fontId="52" fillId="7" borderId="0" xfId="0" applyFont="1" applyFill="1"/>
    <xf numFmtId="0" fontId="42" fillId="7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168" fontId="55" fillId="0" borderId="0" xfId="1" applyNumberFormat="1" applyFont="1"/>
    <xf numFmtId="0" fontId="2" fillId="0" borderId="0" xfId="0" applyFont="1"/>
    <xf numFmtId="0" fontId="42" fillId="0" borderId="0" xfId="0" applyFont="1" applyAlignment="1">
      <alignment horizontal="left"/>
    </xf>
    <xf numFmtId="0" fontId="60" fillId="7" borderId="0" xfId="0" applyFont="1" applyFill="1"/>
    <xf numFmtId="0" fontId="44" fillId="0" borderId="0" xfId="0" applyFont="1" applyAlignment="1">
      <alignment horizontal="left"/>
    </xf>
    <xf numFmtId="0" fontId="61" fillId="0" borderId="0" xfId="0" applyFont="1"/>
    <xf numFmtId="0" fontId="42" fillId="7" borderId="8" xfId="0" applyFont="1" applyFill="1" applyBorder="1" applyAlignment="1">
      <alignment horizontal="right"/>
    </xf>
    <xf numFmtId="0" fontId="47" fillId="7" borderId="8" xfId="0" applyFont="1" applyFill="1" applyBorder="1"/>
    <xf numFmtId="0" fontId="42" fillId="7" borderId="9" xfId="0" applyFont="1" applyFill="1" applyBorder="1" applyAlignment="1">
      <alignment horizontal="center"/>
    </xf>
    <xf numFmtId="10" fontId="0" fillId="0" borderId="0" xfId="0" applyNumberFormat="1"/>
    <xf numFmtId="0" fontId="29" fillId="6" borderId="0" xfId="0" applyFont="1" applyFill="1"/>
    <xf numFmtId="0" fontId="28" fillId="3" borderId="0" xfId="0" applyFont="1" applyFill="1"/>
    <xf numFmtId="0" fontId="63" fillId="0" borderId="0" xfId="0" applyFont="1"/>
    <xf numFmtId="0" fontId="55" fillId="0" borderId="0" xfId="0" applyFont="1"/>
    <xf numFmtId="0" fontId="31" fillId="0" borderId="0" xfId="0" applyFont="1" applyAlignment="1">
      <alignment vertical="center"/>
    </xf>
    <xf numFmtId="0" fontId="57" fillId="0" borderId="0" xfId="0" applyFont="1"/>
    <xf numFmtId="0" fontId="31" fillId="0" borderId="0" xfId="0" applyFont="1"/>
    <xf numFmtId="0" fontId="56" fillId="0" borderId="0" xfId="0" applyFont="1" applyAlignment="1">
      <alignment horizontal="right"/>
    </xf>
    <xf numFmtId="37" fontId="55" fillId="0" borderId="0" xfId="0" applyNumberFormat="1" applyFont="1" applyAlignment="1">
      <alignment vertical="top"/>
    </xf>
    <xf numFmtId="0" fontId="58" fillId="0" borderId="0" xfId="0" applyFont="1" applyAlignment="1">
      <alignment horizontal="right"/>
    </xf>
    <xf numFmtId="168" fontId="59" fillId="0" borderId="0" xfId="0" applyNumberFormat="1" applyFont="1"/>
    <xf numFmtId="169" fontId="45" fillId="0" borderId="0" xfId="2" applyNumberFormat="1" applyFont="1" applyAlignment="1">
      <alignment horizontal="right"/>
    </xf>
    <xf numFmtId="0" fontId="30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64" fillId="0" borderId="0" xfId="2" applyFont="1"/>
    <xf numFmtId="0" fontId="65" fillId="0" borderId="0" xfId="0" applyFont="1"/>
    <xf numFmtId="168" fontId="65" fillId="0" borderId="0" xfId="0" applyNumberFormat="1" applyFont="1"/>
    <xf numFmtId="43" fontId="0" fillId="0" borderId="0" xfId="1" applyFont="1"/>
    <xf numFmtId="0" fontId="53" fillId="0" borderId="0" xfId="0" applyFont="1"/>
    <xf numFmtId="0" fontId="30" fillId="7" borderId="6" xfId="0" applyFont="1" applyFill="1" applyBorder="1" applyAlignment="1">
      <alignment horizontal="centerContinuous"/>
    </xf>
    <xf numFmtId="0" fontId="47" fillId="7" borderId="6" xfId="0" applyFont="1" applyFill="1" applyBorder="1" applyAlignment="1">
      <alignment horizontal="centerContinuous"/>
    </xf>
    <xf numFmtId="0" fontId="31" fillId="7" borderId="6" xfId="0" applyFont="1" applyFill="1" applyBorder="1" applyAlignment="1">
      <alignment horizontal="centerContinuous"/>
    </xf>
    <xf numFmtId="0" fontId="66" fillId="7" borderId="6" xfId="0" applyFont="1" applyFill="1" applyBorder="1" applyAlignment="1">
      <alignment horizontal="centerContinuous"/>
    </xf>
    <xf numFmtId="43" fontId="47" fillId="7" borderId="0" xfId="1" applyFont="1" applyFill="1"/>
    <xf numFmtId="10" fontId="47" fillId="7" borderId="0" xfId="0" applyNumberFormat="1" applyFont="1" applyFill="1"/>
    <xf numFmtId="0" fontId="0" fillId="7" borderId="6" xfId="0" applyFill="1" applyBorder="1" applyAlignment="1">
      <alignment horizontal="centerContinuous"/>
    </xf>
    <xf numFmtId="0" fontId="67" fillId="0" borderId="0" xfId="0" applyFont="1"/>
    <xf numFmtId="0" fontId="68" fillId="0" borderId="0" xfId="0" applyFont="1"/>
    <xf numFmtId="0" fontId="62" fillId="0" borderId="0" xfId="0" applyFont="1"/>
    <xf numFmtId="167" fontId="9" fillId="0" borderId="0" xfId="0" applyNumberFormat="1" applyFont="1" applyAlignment="1">
      <alignment horizontal="right"/>
    </xf>
    <xf numFmtId="0" fontId="71" fillId="3" borderId="0" xfId="0" applyFont="1" applyFill="1" applyAlignment="1">
      <alignment horizontal="left"/>
    </xf>
    <xf numFmtId="0" fontId="64" fillId="7" borderId="0" xfId="0" applyFont="1" applyFill="1"/>
    <xf numFmtId="0" fontId="72" fillId="0" borderId="0" xfId="0" applyFont="1"/>
    <xf numFmtId="0" fontId="17" fillId="7" borderId="0" xfId="0" applyFont="1" applyFill="1" applyAlignment="1">
      <alignment horizontal="center"/>
    </xf>
    <xf numFmtId="6" fontId="4" fillId="3" borderId="0" xfId="0" applyNumberFormat="1" applyFont="1" applyFill="1" applyAlignment="1">
      <alignment horizontal="left"/>
    </xf>
    <xf numFmtId="0" fontId="18" fillId="7" borderId="0" xfId="0" applyFont="1" applyFill="1" applyAlignment="1">
      <alignment horizontal="center"/>
    </xf>
    <xf numFmtId="0" fontId="16" fillId="2" borderId="0" xfId="0" applyFont="1" applyFill="1" applyAlignment="1">
      <alignment horizontal="left" indent="1"/>
    </xf>
    <xf numFmtId="3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6" fontId="3" fillId="3" borderId="0" xfId="0" applyNumberFormat="1" applyFont="1" applyFill="1"/>
    <xf numFmtId="0" fontId="13" fillId="0" borderId="0" xfId="0" applyFont="1" applyAlignment="1">
      <alignment horizontal="left"/>
    </xf>
    <xf numFmtId="0" fontId="12" fillId="0" borderId="0" xfId="0" applyFont="1"/>
    <xf numFmtId="0" fontId="4" fillId="0" borderId="0" xfId="0" applyFont="1"/>
    <xf numFmtId="170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7" fontId="6" fillId="7" borderId="0" xfId="0" applyNumberFormat="1" applyFont="1" applyFill="1" applyAlignment="1">
      <alignment horizontal="right"/>
    </xf>
    <xf numFmtId="167" fontId="28" fillId="0" borderId="0" xfId="0" applyNumberFormat="1" applyFont="1"/>
    <xf numFmtId="167" fontId="0" fillId="0" borderId="0" xfId="0" applyNumberFormat="1"/>
    <xf numFmtId="0" fontId="3" fillId="0" borderId="0" xfId="0" applyFont="1"/>
    <xf numFmtId="0" fontId="1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3" fontId="9" fillId="9" borderId="0" xfId="0" applyNumberFormat="1" applyFont="1" applyFill="1" applyAlignment="1">
      <alignment horizontal="right"/>
    </xf>
    <xf numFmtId="3" fontId="35" fillId="9" borderId="1" xfId="0" applyNumberFormat="1" applyFont="1" applyFill="1" applyBorder="1" applyAlignment="1">
      <alignment horizontal="right"/>
    </xf>
    <xf numFmtId="3" fontId="9" fillId="9" borderId="1" xfId="0" applyNumberFormat="1" applyFont="1" applyFill="1" applyBorder="1" applyAlignment="1">
      <alignment horizontal="right"/>
    </xf>
    <xf numFmtId="3" fontId="30" fillId="9" borderId="0" xfId="0" applyNumberFormat="1" applyFont="1" applyFill="1" applyAlignment="1">
      <alignment horizontal="right"/>
    </xf>
    <xf numFmtId="3" fontId="35" fillId="9" borderId="0" xfId="0" applyNumberFormat="1" applyFont="1" applyFill="1" applyAlignment="1">
      <alignment horizontal="right"/>
    </xf>
    <xf numFmtId="3" fontId="6" fillId="9" borderId="0" xfId="0" applyNumberFormat="1" applyFont="1" applyFill="1" applyAlignment="1">
      <alignment horizontal="right"/>
    </xf>
    <xf numFmtId="3" fontId="31" fillId="9" borderId="0" xfId="0" applyNumberFormat="1" applyFont="1" applyFill="1" applyAlignment="1">
      <alignment horizontal="right"/>
    </xf>
    <xf numFmtId="3" fontId="31" fillId="9" borderId="3" xfId="0" applyNumberFormat="1" applyFont="1" applyFill="1" applyBorder="1" applyAlignment="1">
      <alignment horizontal="right"/>
    </xf>
    <xf numFmtId="171" fontId="3" fillId="9" borderId="0" xfId="0" applyNumberFormat="1" applyFont="1" applyFill="1" applyAlignment="1">
      <alignment horizontal="right"/>
    </xf>
    <xf numFmtId="167" fontId="3" fillId="9" borderId="0" xfId="0" applyNumberFormat="1" applyFont="1" applyFill="1" applyAlignment="1">
      <alignment horizontal="right"/>
    </xf>
    <xf numFmtId="167" fontId="3" fillId="9" borderId="1" xfId="0" applyNumberFormat="1" applyFont="1" applyFill="1" applyBorder="1" applyAlignment="1">
      <alignment horizontal="right"/>
    </xf>
    <xf numFmtId="170" fontId="13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right"/>
    </xf>
    <xf numFmtId="10" fontId="0" fillId="9" borderId="0" xfId="0" applyNumberFormat="1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3" fontId="0" fillId="9" borderId="0" xfId="1" applyFont="1" applyFill="1" applyAlignment="1">
      <alignment horizontal="right"/>
    </xf>
    <xf numFmtId="170" fontId="3" fillId="9" borderId="0" xfId="0" applyNumberFormat="1" applyFont="1" applyFill="1" applyAlignment="1">
      <alignment horizontal="right"/>
    </xf>
    <xf numFmtId="170" fontId="6" fillId="9" borderId="0" xfId="0" applyNumberFormat="1" applyFont="1" applyFill="1" applyAlignment="1">
      <alignment horizontal="right"/>
    </xf>
    <xf numFmtId="170" fontId="3" fillId="9" borderId="1" xfId="0" applyNumberFormat="1" applyFont="1" applyFill="1" applyBorder="1" applyAlignment="1">
      <alignment horizontal="right"/>
    </xf>
    <xf numFmtId="170" fontId="6" fillId="9" borderId="1" xfId="0" applyNumberFormat="1" applyFont="1" applyFill="1" applyBorder="1" applyAlignment="1">
      <alignment horizontal="right"/>
    </xf>
    <xf numFmtId="170" fontId="10" fillId="9" borderId="0" xfId="0" applyNumberFormat="1" applyFont="1" applyFill="1" applyAlignment="1">
      <alignment horizontal="right"/>
    </xf>
    <xf numFmtId="170" fontId="13" fillId="9" borderId="3" xfId="0" applyNumberFormat="1" applyFont="1" applyFill="1" applyBorder="1" applyAlignment="1">
      <alignment horizontal="right"/>
    </xf>
    <xf numFmtId="170" fontId="10" fillId="9" borderId="3" xfId="0" applyNumberFormat="1" applyFont="1" applyFill="1" applyBorder="1" applyAlignment="1">
      <alignment horizontal="right"/>
    </xf>
    <xf numFmtId="167" fontId="3" fillId="9" borderId="0" xfId="0" applyNumberFormat="1" applyFont="1" applyFill="1"/>
    <xf numFmtId="167" fontId="9" fillId="9" borderId="0" xfId="0" applyNumberFormat="1" applyFont="1" applyFill="1" applyAlignment="1">
      <alignment horizontal="right"/>
    </xf>
    <xf numFmtId="164" fontId="6" fillId="9" borderId="0" xfId="0" applyNumberFormat="1" applyFont="1" applyFill="1" applyAlignment="1">
      <alignment horizontal="right"/>
    </xf>
    <xf numFmtId="172" fontId="6" fillId="9" borderId="0" xfId="0" applyNumberFormat="1" applyFont="1" applyFill="1" applyAlignment="1">
      <alignment horizontal="right"/>
    </xf>
    <xf numFmtId="173" fontId="6" fillId="9" borderId="0" xfId="0" applyNumberFormat="1" applyFont="1" applyFill="1" applyAlignment="1">
      <alignment horizontal="right"/>
    </xf>
    <xf numFmtId="166" fontId="6" fillId="9" borderId="0" xfId="0" applyNumberFormat="1" applyFont="1" applyFill="1" applyAlignment="1">
      <alignment horizontal="right"/>
    </xf>
    <xf numFmtId="164" fontId="6" fillId="9" borderId="2" xfId="0" applyNumberFormat="1" applyFont="1" applyFill="1" applyBorder="1" applyAlignment="1">
      <alignment horizontal="right"/>
    </xf>
    <xf numFmtId="173" fontId="6" fillId="9" borderId="2" xfId="0" applyNumberFormat="1" applyFont="1" applyFill="1" applyBorder="1" applyAlignment="1">
      <alignment horizontal="right"/>
    </xf>
    <xf numFmtId="166" fontId="6" fillId="9" borderId="2" xfId="0" applyNumberFormat="1" applyFont="1" applyFill="1" applyBorder="1" applyAlignment="1">
      <alignment horizontal="right"/>
    </xf>
    <xf numFmtId="164" fontId="6" fillId="9" borderId="3" xfId="0" applyNumberFormat="1" applyFont="1" applyFill="1" applyBorder="1" applyAlignment="1">
      <alignment horizontal="right"/>
    </xf>
    <xf numFmtId="173" fontId="6" fillId="9" borderId="3" xfId="0" applyNumberFormat="1" applyFont="1" applyFill="1" applyBorder="1" applyAlignment="1">
      <alignment horizontal="right"/>
    </xf>
    <xf numFmtId="166" fontId="6" fillId="9" borderId="3" xfId="0" applyNumberFormat="1" applyFont="1" applyFill="1" applyBorder="1" applyAlignment="1">
      <alignment horizontal="right"/>
    </xf>
    <xf numFmtId="174" fontId="3" fillId="9" borderId="0" xfId="0" applyNumberFormat="1" applyFont="1" applyFill="1" applyAlignment="1">
      <alignment horizontal="right"/>
    </xf>
    <xf numFmtId="174" fontId="3" fillId="9" borderId="1" xfId="0" applyNumberFormat="1" applyFont="1" applyFill="1" applyBorder="1" applyAlignment="1">
      <alignment horizontal="right"/>
    </xf>
    <xf numFmtId="174" fontId="6" fillId="9" borderId="0" xfId="0" applyNumberFormat="1" applyFont="1" applyFill="1" applyAlignment="1">
      <alignment horizontal="right"/>
    </xf>
    <xf numFmtId="174" fontId="10" fillId="9" borderId="3" xfId="0" applyNumberFormat="1" applyFont="1" applyFill="1" applyBorder="1" applyAlignment="1">
      <alignment horizontal="right"/>
    </xf>
    <xf numFmtId="166" fontId="10" fillId="9" borderId="3" xfId="0" applyNumberFormat="1" applyFont="1" applyFill="1" applyBorder="1" applyAlignment="1">
      <alignment horizontal="right"/>
    </xf>
    <xf numFmtId="167" fontId="13" fillId="9" borderId="4" xfId="0" applyNumberFormat="1" applyFont="1" applyFill="1" applyBorder="1" applyAlignment="1">
      <alignment horizontal="right"/>
    </xf>
    <xf numFmtId="167" fontId="31" fillId="9" borderId="4" xfId="0" applyNumberFormat="1" applyFont="1" applyFill="1" applyBorder="1" applyAlignment="1">
      <alignment horizontal="right"/>
    </xf>
    <xf numFmtId="0" fontId="52" fillId="9" borderId="0" xfId="0" applyFont="1" applyFill="1" applyAlignment="1">
      <alignment horizontal="right"/>
    </xf>
    <xf numFmtId="10" fontId="30" fillId="9" borderId="0" xfId="0" applyNumberFormat="1" applyFont="1" applyFill="1"/>
    <xf numFmtId="43" fontId="44" fillId="9" borderId="2" xfId="1" applyFont="1" applyFill="1" applyBorder="1"/>
    <xf numFmtId="43" fontId="44" fillId="9" borderId="0" xfId="1" applyFont="1" applyFill="1"/>
    <xf numFmtId="0" fontId="54" fillId="9" borderId="7" xfId="0" applyFont="1" applyFill="1" applyBorder="1" applyAlignment="1">
      <alignment horizontal="right"/>
    </xf>
    <xf numFmtId="10" fontId="2" fillId="9" borderId="0" xfId="0" applyNumberFormat="1" applyFont="1" applyFill="1" applyAlignment="1">
      <alignment horizontal="right"/>
    </xf>
    <xf numFmtId="43" fontId="44" fillId="9" borderId="0" xfId="1" applyFont="1" applyFill="1" applyAlignment="1">
      <alignment horizontal="right"/>
    </xf>
    <xf numFmtId="43" fontId="2" fillId="9" borderId="2" xfId="1" applyFont="1" applyFill="1" applyBorder="1" applyAlignment="1">
      <alignment horizontal="right"/>
    </xf>
    <xf numFmtId="175" fontId="0" fillId="9" borderId="0" xfId="0" applyNumberFormat="1" applyFill="1"/>
    <xf numFmtId="0" fontId="6" fillId="9" borderId="0" xfId="0" applyFont="1" applyFill="1"/>
    <xf numFmtId="0" fontId="64" fillId="0" borderId="0" xfId="0" applyFont="1"/>
    <xf numFmtId="1" fontId="73" fillId="0" borderId="0" xfId="0" applyNumberFormat="1" applyFont="1" applyAlignment="1">
      <alignment horizontal="left"/>
    </xf>
    <xf numFmtId="1" fontId="72" fillId="0" borderId="0" xfId="0" applyNumberFormat="1" applyFont="1"/>
    <xf numFmtId="1" fontId="72" fillId="0" borderId="0" xfId="0" applyNumberFormat="1" applyFont="1" applyAlignment="1">
      <alignment horizontal="right"/>
    </xf>
    <xf numFmtId="0" fontId="72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0" fillId="0" borderId="0" xfId="0" applyFont="1" applyAlignment="1">
      <alignment horizontal="left"/>
    </xf>
    <xf numFmtId="0" fontId="69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74" fillId="7" borderId="0" xfId="0" applyFont="1" applyFill="1"/>
    <xf numFmtId="0" fontId="74" fillId="7" borderId="0" xfId="0" applyFont="1" applyFill="1" applyAlignment="1">
      <alignment horizontal="left"/>
    </xf>
    <xf numFmtId="0" fontId="74" fillId="7" borderId="0" xfId="0" applyFont="1" applyFill="1" applyAlignment="1">
      <alignment horizontal="right"/>
    </xf>
    <xf numFmtId="0" fontId="77" fillId="0" borderId="0" xfId="0" applyFont="1" applyAlignment="1">
      <alignment horizontal="left"/>
    </xf>
    <xf numFmtId="172" fontId="10" fillId="5" borderId="0" xfId="0" applyNumberFormat="1" applyFont="1" applyFill="1" applyAlignment="1">
      <alignment horizontal="right"/>
    </xf>
    <xf numFmtId="176" fontId="3" fillId="9" borderId="0" xfId="0" applyNumberFormat="1" applyFont="1" applyFill="1" applyAlignment="1">
      <alignment horizontal="right"/>
    </xf>
    <xf numFmtId="0" fontId="80" fillId="7" borderId="0" xfId="0" applyFont="1" applyFill="1"/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79" fillId="7" borderId="0" xfId="0" applyFont="1" applyFill="1" applyAlignment="1">
      <alignment horizontal="center"/>
    </xf>
    <xf numFmtId="0" fontId="76" fillId="7" borderId="0" xfId="0" applyFont="1" applyFill="1" applyAlignment="1">
      <alignment horizontal="center"/>
    </xf>
    <xf numFmtId="177" fontId="76" fillId="7" borderId="0" xfId="0" applyNumberFormat="1" applyFont="1" applyFill="1" applyAlignment="1">
      <alignment horizontal="center"/>
    </xf>
    <xf numFmtId="0" fontId="78" fillId="2" borderId="0" xfId="0" applyFont="1" applyFill="1" applyAlignment="1">
      <alignment horizontal="right"/>
    </xf>
    <xf numFmtId="10" fontId="3" fillId="8" borderId="0" xfId="0" applyNumberFormat="1" applyFont="1" applyFill="1" applyAlignment="1">
      <alignment horizontal="right"/>
    </xf>
    <xf numFmtId="178" fontId="3" fillId="8" borderId="0" xfId="0" applyNumberFormat="1" applyFont="1" applyFill="1" applyAlignment="1">
      <alignment horizontal="right"/>
    </xf>
    <xf numFmtId="10" fontId="13" fillId="8" borderId="0" xfId="0" applyNumberFormat="1" applyFont="1" applyFill="1" applyAlignment="1">
      <alignment horizontal="right"/>
    </xf>
    <xf numFmtId="167" fontId="3" fillId="8" borderId="0" xfId="0" applyNumberFormat="1" applyFont="1" applyFill="1" applyAlignment="1">
      <alignment horizontal="right"/>
    </xf>
    <xf numFmtId="171" fontId="3" fillId="8" borderId="0" xfId="0" applyNumberFormat="1" applyFont="1" applyFill="1" applyAlignment="1">
      <alignment horizontal="right"/>
    </xf>
    <xf numFmtId="172" fontId="6" fillId="0" borderId="0" xfId="0" applyNumberFormat="1" applyFont="1" applyAlignment="1">
      <alignment horizontal="right"/>
    </xf>
    <xf numFmtId="0" fontId="16" fillId="10" borderId="0" xfId="0" applyFont="1" applyFill="1" applyAlignment="1">
      <alignment horizontal="right"/>
    </xf>
    <xf numFmtId="0" fontId="83" fillId="10" borderId="0" xfId="0" applyFont="1" applyFill="1" applyAlignment="1">
      <alignment horizontal="right"/>
    </xf>
    <xf numFmtId="176" fontId="84" fillId="10" borderId="0" xfId="0" applyNumberFormat="1" applyFont="1" applyFill="1" applyAlignment="1">
      <alignment horizontal="right"/>
    </xf>
    <xf numFmtId="0" fontId="85" fillId="10" borderId="0" xfId="0" applyFont="1" applyFill="1" applyAlignment="1">
      <alignment horizontal="right"/>
    </xf>
    <xf numFmtId="176" fontId="85" fillId="10" borderId="0" xfId="0" applyNumberFormat="1" applyFont="1" applyFill="1" applyAlignment="1">
      <alignment horizontal="right"/>
    </xf>
    <xf numFmtId="176" fontId="12" fillId="7" borderId="0" xfId="0" applyNumberFormat="1" applyFont="1" applyFill="1" applyAlignment="1">
      <alignment horizontal="right"/>
    </xf>
    <xf numFmtId="176" fontId="7" fillId="7" borderId="0" xfId="0" applyNumberFormat="1" applyFont="1" applyFill="1" applyAlignment="1">
      <alignment horizontal="right"/>
    </xf>
    <xf numFmtId="3" fontId="30" fillId="9" borderId="5" xfId="0" applyNumberFormat="1" applyFont="1" applyFill="1" applyBorder="1" applyAlignment="1">
      <alignment horizontal="right"/>
    </xf>
    <xf numFmtId="3" fontId="3" fillId="9" borderId="0" xfId="0" applyNumberFormat="1" applyFont="1" applyFill="1" applyAlignment="1">
      <alignment horizontal="right"/>
    </xf>
    <xf numFmtId="3" fontId="13" fillId="9" borderId="0" xfId="0" applyNumberFormat="1" applyFont="1" applyFill="1" applyAlignment="1">
      <alignment horizontal="right"/>
    </xf>
    <xf numFmtId="3" fontId="13" fillId="9" borderId="5" xfId="0" applyNumberFormat="1" applyFont="1" applyFill="1" applyBorder="1" applyAlignment="1">
      <alignment horizontal="right"/>
    </xf>
    <xf numFmtId="0" fontId="16" fillId="10" borderId="0" xfId="0" applyFont="1" applyFill="1"/>
    <xf numFmtId="0" fontId="83" fillId="10" borderId="0" xfId="0" applyFont="1" applyFill="1" applyAlignment="1">
      <alignment horizontal="left"/>
    </xf>
    <xf numFmtId="0" fontId="83" fillId="10" borderId="0" xfId="0" applyFont="1" applyFill="1"/>
    <xf numFmtId="3" fontId="87" fillId="9" borderId="0" xfId="0" applyNumberFormat="1" applyFont="1" applyFill="1"/>
    <xf numFmtId="167" fontId="89" fillId="9" borderId="0" xfId="0" applyNumberFormat="1" applyFont="1" applyFill="1"/>
    <xf numFmtId="167" fontId="31" fillId="9" borderId="0" xfId="0" applyNumberFormat="1" applyFont="1" applyFill="1" applyAlignment="1">
      <alignment horizontal="right"/>
    </xf>
    <xf numFmtId="179" fontId="17" fillId="0" borderId="0" xfId="0" applyNumberFormat="1" applyFont="1" applyAlignment="1">
      <alignment horizontal="center"/>
    </xf>
    <xf numFmtId="0" fontId="91" fillId="7" borderId="0" xfId="0" applyFont="1" applyFill="1"/>
    <xf numFmtId="3" fontId="93" fillId="7" borderId="0" xfId="0" applyNumberFormat="1" applyFont="1" applyFill="1" applyAlignment="1">
      <alignment horizontal="right"/>
    </xf>
    <xf numFmtId="3" fontId="92" fillId="7" borderId="3" xfId="0" applyNumberFormat="1" applyFont="1" applyFill="1" applyBorder="1" applyAlignment="1">
      <alignment horizontal="right"/>
    </xf>
    <xf numFmtId="10" fontId="93" fillId="7" borderId="0" xfId="0" applyNumberFormat="1" applyFont="1" applyFill="1" applyAlignment="1">
      <alignment horizontal="right"/>
    </xf>
    <xf numFmtId="0" fontId="95" fillId="7" borderId="0" xfId="0" applyFont="1" applyFill="1" applyAlignment="1">
      <alignment horizontal="right"/>
    </xf>
    <xf numFmtId="0" fontId="45" fillId="7" borderId="0" xfId="0" applyFont="1" applyFill="1"/>
    <xf numFmtId="0" fontId="88" fillId="7" borderId="9" xfId="0" applyFont="1" applyFill="1" applyBorder="1" applyAlignment="1">
      <alignment horizontal="left"/>
    </xf>
    <xf numFmtId="0" fontId="88" fillId="7" borderId="0" xfId="0" applyFont="1" applyFill="1" applyAlignment="1">
      <alignment horizontal="left"/>
    </xf>
    <xf numFmtId="3" fontId="30" fillId="9" borderId="0" xfId="1" applyNumberFormat="1" applyFont="1" applyFill="1"/>
    <xf numFmtId="3" fontId="96" fillId="8" borderId="0" xfId="0" applyNumberFormat="1" applyFont="1" applyFill="1" applyAlignment="1">
      <alignment horizontal="right"/>
    </xf>
    <xf numFmtId="3" fontId="93" fillId="8" borderId="0" xfId="0" applyNumberFormat="1" applyFont="1" applyFill="1" applyAlignment="1">
      <alignment horizontal="right"/>
    </xf>
    <xf numFmtId="3" fontId="97" fillId="8" borderId="0" xfId="0" applyNumberFormat="1" applyFont="1" applyFill="1" applyAlignment="1">
      <alignment horizontal="right"/>
    </xf>
    <xf numFmtId="10" fontId="96" fillId="8" borderId="0" xfId="0" applyNumberFormat="1" applyFont="1" applyFill="1" applyAlignment="1">
      <alignment horizontal="right"/>
    </xf>
    <xf numFmtId="0" fontId="1" fillId="0" borderId="0" xfId="0" applyFont="1"/>
    <xf numFmtId="1" fontId="1" fillId="0" borderId="0" xfId="0" applyNumberFormat="1" applyFont="1"/>
    <xf numFmtId="3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2" fontId="9" fillId="9" borderId="0" xfId="0" applyNumberFormat="1" applyFont="1" applyFill="1" applyAlignment="1">
      <alignment horizontal="right"/>
    </xf>
    <xf numFmtId="10" fontId="9" fillId="0" borderId="0" xfId="0" applyNumberFormat="1" applyFont="1" applyAlignment="1">
      <alignment horizontal="right"/>
    </xf>
    <xf numFmtId="10" fontId="9" fillId="9" borderId="0" xfId="0" applyNumberFormat="1" applyFont="1" applyFill="1" applyAlignment="1">
      <alignment horizontal="right"/>
    </xf>
    <xf numFmtId="170" fontId="10" fillId="0" borderId="0" xfId="0" applyNumberFormat="1" applyFont="1" applyAlignment="1">
      <alignment horizontal="right"/>
    </xf>
    <xf numFmtId="166" fontId="9" fillId="8" borderId="0" xfId="0" applyNumberFormat="1" applyFont="1" applyFill="1" applyAlignment="1">
      <alignment horizontal="right"/>
    </xf>
    <xf numFmtId="164" fontId="9" fillId="8" borderId="0" xfId="0" applyNumberFormat="1" applyFont="1" applyFill="1" applyAlignment="1">
      <alignment horizontal="right"/>
    </xf>
    <xf numFmtId="166" fontId="9" fillId="8" borderId="1" xfId="0" applyNumberFormat="1" applyFont="1" applyFill="1" applyBorder="1" applyAlignment="1">
      <alignment horizontal="right"/>
    </xf>
    <xf numFmtId="164" fontId="9" fillId="8" borderId="1" xfId="0" applyNumberFormat="1" applyFont="1" applyFill="1" applyBorder="1" applyAlignment="1">
      <alignment horizontal="right"/>
    </xf>
    <xf numFmtId="0" fontId="1" fillId="7" borderId="0" xfId="0" applyFont="1" applyFill="1"/>
    <xf numFmtId="43" fontId="96" fillId="9" borderId="2" xfId="1" applyFont="1" applyFill="1" applyBorder="1"/>
    <xf numFmtId="43" fontId="96" fillId="9" borderId="0" xfId="1" applyFont="1" applyFill="1"/>
    <xf numFmtId="43" fontId="98" fillId="9" borderId="0" xfId="1" applyFont="1" applyFill="1"/>
    <xf numFmtId="0" fontId="92" fillId="0" borderId="0" xfId="0" applyFont="1" applyAlignment="1">
      <alignment horizontal="center"/>
    </xf>
    <xf numFmtId="0" fontId="6" fillId="10" borderId="0" xfId="0" applyFont="1" applyFill="1"/>
    <xf numFmtId="0" fontId="4" fillId="10" borderId="0" xfId="0" applyFont="1" applyFill="1"/>
    <xf numFmtId="0" fontId="10" fillId="10" borderId="0" xfId="0" applyFont="1" applyFill="1"/>
    <xf numFmtId="0" fontId="0" fillId="10" borderId="0" xfId="0" applyFill="1"/>
    <xf numFmtId="0" fontId="12" fillId="10" borderId="0" xfId="0" applyFont="1" applyFill="1"/>
    <xf numFmtId="0" fontId="64" fillId="10" borderId="0" xfId="2" applyFont="1" applyFill="1"/>
    <xf numFmtId="0" fontId="47" fillId="10" borderId="0" xfId="2" applyFont="1" applyFill="1"/>
    <xf numFmtId="0" fontId="65" fillId="10" borderId="0" xfId="0" applyFont="1" applyFill="1"/>
    <xf numFmtId="0" fontId="45" fillId="10" borderId="0" xfId="2" applyFont="1" applyFill="1"/>
    <xf numFmtId="0" fontId="42" fillId="10" borderId="0" xfId="2" applyFont="1" applyFill="1"/>
    <xf numFmtId="0" fontId="53" fillId="7" borderId="0" xfId="2" applyFont="1" applyFill="1"/>
    <xf numFmtId="0" fontId="12" fillId="0" borderId="0" xfId="0" applyFont="1" applyAlignment="1">
      <alignment horizontal="right"/>
    </xf>
    <xf numFmtId="0" fontId="75" fillId="2" borderId="0" xfId="0" applyFont="1" applyFill="1"/>
    <xf numFmtId="0" fontId="7" fillId="3" borderId="0" xfId="0" applyFont="1" applyFill="1" applyAlignment="1">
      <alignment horizontal="left"/>
    </xf>
    <xf numFmtId="0" fontId="75" fillId="0" borderId="0" xfId="0" applyFont="1" applyAlignment="1">
      <alignment horizontal="right"/>
    </xf>
    <xf numFmtId="0" fontId="36" fillId="3" borderId="0" xfId="0" applyFont="1" applyFill="1" applyAlignment="1">
      <alignment horizontal="left"/>
    </xf>
    <xf numFmtId="177" fontId="17" fillId="0" borderId="0" xfId="0" applyNumberFormat="1" applyFont="1" applyAlignment="1">
      <alignment horizontal="center"/>
    </xf>
    <xf numFmtId="177" fontId="18" fillId="0" borderId="0" xfId="0" applyNumberFormat="1" applyFont="1" applyAlignment="1">
      <alignment horizontal="center"/>
    </xf>
    <xf numFmtId="177" fontId="38" fillId="7" borderId="0" xfId="0" applyNumberFormat="1" applyFont="1" applyFill="1" applyAlignment="1">
      <alignment horizontal="center"/>
    </xf>
    <xf numFmtId="177" fontId="79" fillId="7" borderId="0" xfId="0" applyNumberFormat="1" applyFont="1" applyFill="1" applyAlignment="1">
      <alignment horizontal="center"/>
    </xf>
    <xf numFmtId="177" fontId="81" fillId="0" borderId="0" xfId="0" applyNumberFormat="1" applyFont="1" applyAlignment="1">
      <alignment horizontal="center"/>
    </xf>
    <xf numFmtId="177" fontId="81" fillId="7" borderId="0" xfId="0" applyNumberFormat="1" applyFont="1" applyFill="1" applyAlignment="1">
      <alignment horizontal="center"/>
    </xf>
    <xf numFmtId="177" fontId="82" fillId="0" borderId="0" xfId="0" applyNumberFormat="1" applyFont="1" applyAlignment="1">
      <alignment horizontal="center"/>
    </xf>
    <xf numFmtId="177" fontId="79" fillId="0" borderId="0" xfId="0" applyNumberFormat="1" applyFont="1" applyAlignment="1">
      <alignment horizontal="center"/>
    </xf>
    <xf numFmtId="177" fontId="76" fillId="0" borderId="0" xfId="0" applyNumberFormat="1" applyFont="1" applyAlignment="1">
      <alignment horizontal="center"/>
    </xf>
    <xf numFmtId="0" fontId="100" fillId="2" borderId="0" xfId="0" applyFont="1" applyFill="1" applyAlignment="1">
      <alignment horizontal="left"/>
    </xf>
    <xf numFmtId="0" fontId="102" fillId="7" borderId="0" xfId="0" applyFont="1" applyFill="1" applyAlignment="1">
      <alignment horizontal="left"/>
    </xf>
    <xf numFmtId="0" fontId="103" fillId="7" borderId="0" xfId="0" applyFont="1" applyFill="1" applyAlignment="1">
      <alignment horizontal="center"/>
    </xf>
    <xf numFmtId="0" fontId="104" fillId="7" borderId="0" xfId="0" applyFont="1" applyFill="1" applyAlignment="1">
      <alignment horizontal="left"/>
    </xf>
    <xf numFmtId="0" fontId="102" fillId="7" borderId="0" xfId="0" applyFont="1" applyFill="1" applyAlignment="1">
      <alignment horizontal="left" indent="1"/>
    </xf>
    <xf numFmtId="171" fontId="102" fillId="9" borderId="0" xfId="0" applyNumberFormat="1" applyFont="1" applyFill="1" applyAlignment="1">
      <alignment horizontal="right"/>
    </xf>
    <xf numFmtId="167" fontId="102" fillId="9" borderId="1" xfId="0" applyNumberFormat="1" applyFont="1" applyFill="1" applyBorder="1" applyAlignment="1">
      <alignment horizontal="right"/>
    </xf>
    <xf numFmtId="167" fontId="102" fillId="9" borderId="0" xfId="0" applyNumberFormat="1" applyFont="1" applyFill="1" applyAlignment="1">
      <alignment horizontal="right"/>
    </xf>
    <xf numFmtId="0" fontId="101" fillId="2" borderId="0" xfId="0" applyFont="1" applyFill="1" applyAlignment="1">
      <alignment horizontal="left"/>
    </xf>
    <xf numFmtId="181" fontId="3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0" fontId="105" fillId="7" borderId="0" xfId="0" applyFont="1" applyFill="1" applyAlignment="1">
      <alignment horizontal="left"/>
    </xf>
    <xf numFmtId="0" fontId="17" fillId="2" borderId="0" xfId="0" applyFont="1" applyFill="1" applyAlignment="1">
      <alignment horizontal="center"/>
    </xf>
    <xf numFmtId="167" fontId="107" fillId="7" borderId="0" xfId="0" applyNumberFormat="1" applyFont="1" applyFill="1" applyAlignment="1">
      <alignment horizontal="left"/>
    </xf>
    <xf numFmtId="0" fontId="106" fillId="7" borderId="0" xfId="0" applyFont="1" applyFill="1" applyAlignment="1">
      <alignment horizontal="left"/>
    </xf>
    <xf numFmtId="0" fontId="8" fillId="2" borderId="0" xfId="0" applyFont="1" applyFill="1" applyAlignment="1">
      <alignment horizontal="left" indent="1"/>
    </xf>
    <xf numFmtId="170" fontId="102" fillId="9" borderId="0" xfId="0" applyNumberFormat="1" applyFont="1" applyFill="1" applyAlignment="1">
      <alignment horizontal="right"/>
    </xf>
    <xf numFmtId="170" fontId="104" fillId="9" borderId="0" xfId="0" applyNumberFormat="1" applyFont="1" applyFill="1" applyAlignment="1">
      <alignment horizontal="right"/>
    </xf>
    <xf numFmtId="183" fontId="104" fillId="9" borderId="0" xfId="0" applyNumberFormat="1" applyFont="1" applyFill="1" applyAlignment="1">
      <alignment horizontal="right"/>
    </xf>
    <xf numFmtId="0" fontId="108" fillId="2" borderId="0" xfId="0" applyFont="1" applyFill="1" applyAlignment="1">
      <alignment horizontal="left"/>
    </xf>
    <xf numFmtId="167" fontId="3" fillId="0" borderId="0" xfId="0" applyNumberFormat="1" applyFont="1"/>
    <xf numFmtId="167" fontId="43" fillId="0" borderId="0" xfId="0" applyNumberFormat="1" applyFont="1" applyAlignment="1">
      <alignment horizontal="right"/>
    </xf>
    <xf numFmtId="0" fontId="30" fillId="7" borderId="0" xfId="0" applyFont="1" applyFill="1" applyAlignment="1">
      <alignment horizontal="centerContinuous"/>
    </xf>
    <xf numFmtId="170" fontId="13" fillId="0" borderId="0" xfId="0" applyNumberFormat="1" applyFont="1" applyAlignment="1">
      <alignment horizontal="right"/>
    </xf>
    <xf numFmtId="170" fontId="104" fillId="9" borderId="3" xfId="0" applyNumberFormat="1" applyFont="1" applyFill="1" applyBorder="1" applyAlignment="1">
      <alignment horizontal="right"/>
    </xf>
    <xf numFmtId="0" fontId="100" fillId="0" borderId="6" xfId="0" applyFont="1" applyBorder="1" applyAlignment="1">
      <alignment horizontal="centerContinuous"/>
    </xf>
    <xf numFmtId="0" fontId="52" fillId="9" borderId="0" xfId="0" applyFont="1" applyFill="1" applyAlignment="1">
      <alignment horizontal="left"/>
    </xf>
    <xf numFmtId="0" fontId="110" fillId="8" borderId="0" xfId="0" applyFont="1" applyFill="1" applyAlignment="1">
      <alignment horizontal="center"/>
    </xf>
    <xf numFmtId="0" fontId="111" fillId="8" borderId="0" xfId="0" applyFont="1" applyFill="1" applyAlignment="1">
      <alignment horizontal="center"/>
    </xf>
    <xf numFmtId="0" fontId="100" fillId="0" borderId="0" xfId="0" applyFont="1" applyAlignment="1">
      <alignment horizontal="centerContinuous"/>
    </xf>
    <xf numFmtId="0" fontId="109" fillId="0" borderId="0" xfId="0" applyFont="1" applyAlignment="1">
      <alignment horizontal="right"/>
    </xf>
    <xf numFmtId="0" fontId="90" fillId="7" borderId="0" xfId="0" applyFont="1" applyFill="1"/>
    <xf numFmtId="0" fontId="47" fillId="7" borderId="0" xfId="0" applyFont="1" applyFill="1" applyAlignment="1">
      <alignment horizontal="centerContinuous"/>
    </xf>
    <xf numFmtId="0" fontId="45" fillId="7" borderId="0" xfId="0" applyFont="1" applyFill="1" applyAlignment="1">
      <alignment horizontal="left"/>
    </xf>
    <xf numFmtId="0" fontId="44" fillId="0" borderId="0" xfId="0" applyFont="1"/>
    <xf numFmtId="170" fontId="13" fillId="7" borderId="0" xfId="0" applyNumberFormat="1" applyFont="1" applyFill="1" applyAlignment="1">
      <alignment horizontal="right"/>
    </xf>
    <xf numFmtId="170" fontId="3" fillId="9" borderId="13" xfId="0" applyNumberFormat="1" applyFont="1" applyFill="1" applyBorder="1" applyAlignment="1">
      <alignment horizontal="right"/>
    </xf>
    <xf numFmtId="170" fontId="13" fillId="9" borderId="7" xfId="0" applyNumberFormat="1" applyFont="1" applyFill="1" applyBorder="1" applyAlignment="1">
      <alignment horizontal="right"/>
    </xf>
    <xf numFmtId="0" fontId="109" fillId="10" borderId="0" xfId="0" applyFont="1" applyFill="1" applyAlignment="1">
      <alignment horizontal="right"/>
    </xf>
    <xf numFmtId="0" fontId="112" fillId="10" borderId="0" xfId="0" applyFont="1" applyFill="1" applyAlignment="1">
      <alignment horizontal="right"/>
    </xf>
    <xf numFmtId="170" fontId="13" fillId="9" borderId="14" xfId="0" applyNumberFormat="1" applyFont="1" applyFill="1" applyBorder="1" applyAlignment="1">
      <alignment horizontal="right"/>
    </xf>
    <xf numFmtId="0" fontId="94" fillId="0" borderId="0" xfId="0" applyFont="1"/>
    <xf numFmtId="3" fontId="94" fillId="0" borderId="0" xfId="0" applyNumberFormat="1" applyFont="1"/>
    <xf numFmtId="3" fontId="92" fillId="8" borderId="3" xfId="0" applyNumberFormat="1" applyFont="1" applyFill="1" applyBorder="1" applyAlignment="1">
      <alignment horizontal="right"/>
    </xf>
    <xf numFmtId="167" fontId="30" fillId="8" borderId="0" xfId="0" applyNumberFormat="1" applyFont="1" applyFill="1" applyAlignment="1">
      <alignment horizontal="right"/>
    </xf>
    <xf numFmtId="10" fontId="9" fillId="8" borderId="0" xfId="0" applyNumberFormat="1" applyFont="1" applyFill="1" applyAlignment="1">
      <alignment horizontal="right"/>
    </xf>
    <xf numFmtId="167" fontId="12" fillId="0" borderId="0" xfId="0" applyNumberFormat="1" applyFont="1" applyAlignment="1">
      <alignment horizontal="right"/>
    </xf>
    <xf numFmtId="170" fontId="7" fillId="0" borderId="0" xfId="0" applyNumberFormat="1" applyFont="1" applyAlignment="1">
      <alignment horizontal="right"/>
    </xf>
    <xf numFmtId="0" fontId="99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  <xf numFmtId="43" fontId="1" fillId="0" borderId="0" xfId="1" applyFont="1"/>
    <xf numFmtId="0" fontId="0" fillId="8" borderId="0" xfId="0" applyFill="1" applyAlignment="1">
      <alignment horizontal="right"/>
    </xf>
    <xf numFmtId="170" fontId="0" fillId="8" borderId="0" xfId="0" applyNumberFormat="1" applyFill="1" applyAlignment="1">
      <alignment horizontal="right"/>
    </xf>
    <xf numFmtId="3" fontId="0" fillId="8" borderId="0" xfId="0" applyNumberFormat="1" applyFill="1" applyAlignment="1">
      <alignment horizontal="right"/>
    </xf>
    <xf numFmtId="167" fontId="0" fillId="8" borderId="0" xfId="0" applyNumberFormat="1" applyFill="1" applyAlignment="1">
      <alignment horizontal="right"/>
    </xf>
    <xf numFmtId="0" fontId="4" fillId="5" borderId="0" xfId="0" applyFont="1" applyFill="1" applyAlignment="1">
      <alignment horizontal="left"/>
    </xf>
    <xf numFmtId="10" fontId="85" fillId="0" borderId="0" xfId="0" applyNumberFormat="1" applyFont="1" applyAlignment="1">
      <alignment horizontal="right"/>
    </xf>
    <xf numFmtId="49" fontId="18" fillId="2" borderId="0" xfId="0" applyNumberFormat="1" applyFont="1" applyFill="1" applyAlignment="1">
      <alignment horizontal="center"/>
    </xf>
    <xf numFmtId="3" fontId="31" fillId="2" borderId="0" xfId="0" applyNumberFormat="1" applyFont="1" applyFill="1" applyAlignment="1">
      <alignment horizontal="right"/>
    </xf>
    <xf numFmtId="171" fontId="17" fillId="0" borderId="0" xfId="0" applyNumberFormat="1" applyFont="1" applyAlignment="1">
      <alignment horizontal="right"/>
    </xf>
    <xf numFmtId="180" fontId="17" fillId="0" borderId="0" xfId="0" applyNumberFormat="1" applyFont="1" applyAlignment="1">
      <alignment horizontal="right"/>
    </xf>
    <xf numFmtId="167" fontId="17" fillId="0" borderId="0" xfId="0" applyNumberFormat="1" applyFont="1" applyAlignment="1">
      <alignment horizontal="right"/>
    </xf>
    <xf numFmtId="0" fontId="22" fillId="0" borderId="0" xfId="0" applyFont="1" applyAlignment="1">
      <alignment horizontal="left"/>
    </xf>
    <xf numFmtId="10" fontId="70" fillId="0" borderId="0" xfId="0" applyNumberFormat="1" applyFont="1" applyAlignment="1">
      <alignment horizontal="left"/>
    </xf>
    <xf numFmtId="167" fontId="24" fillId="3" borderId="0" xfId="0" applyNumberFormat="1" applyFont="1" applyFill="1" applyAlignment="1">
      <alignment horizontal="center"/>
    </xf>
    <xf numFmtId="167" fontId="3" fillId="0" borderId="0" xfId="0" applyNumberFormat="1" applyFont="1" applyAlignment="1">
      <alignment horizontal="right"/>
    </xf>
    <xf numFmtId="167" fontId="81" fillId="0" borderId="0" xfId="0" applyNumberFormat="1" applyFont="1" applyAlignment="1">
      <alignment horizontal="center"/>
    </xf>
    <xf numFmtId="172" fontId="13" fillId="5" borderId="0" xfId="0" applyNumberFormat="1" applyFont="1" applyFill="1" applyAlignment="1">
      <alignment horizontal="right"/>
    </xf>
    <xf numFmtId="167" fontId="88" fillId="9" borderId="0" xfId="0" applyNumberFormat="1" applyFont="1" applyFill="1" applyAlignment="1">
      <alignment horizontal="right"/>
    </xf>
    <xf numFmtId="0" fontId="114" fillId="5" borderId="0" xfId="0" applyFont="1" applyFill="1" applyAlignment="1">
      <alignment horizontal="center"/>
    </xf>
    <xf numFmtId="177" fontId="82" fillId="7" borderId="0" xfId="0" applyNumberFormat="1" applyFont="1" applyFill="1" applyAlignment="1">
      <alignment horizontal="center"/>
    </xf>
    <xf numFmtId="167" fontId="85" fillId="0" borderId="0" xfId="0" applyNumberFormat="1" applyFont="1" applyAlignment="1">
      <alignment horizontal="right"/>
    </xf>
    <xf numFmtId="0" fontId="6" fillId="8" borderId="0" xfId="0" applyFont="1" applyFill="1" applyAlignment="1">
      <alignment horizontal="right"/>
    </xf>
    <xf numFmtId="182" fontId="6" fillId="9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178" fontId="88" fillId="9" borderId="0" xfId="0" applyNumberFormat="1" applyFont="1" applyFill="1" applyAlignment="1">
      <alignment horizontal="right"/>
    </xf>
    <xf numFmtId="10" fontId="0" fillId="0" borderId="0" xfId="0" applyNumberFormat="1" applyAlignment="1">
      <alignment horizontal="right"/>
    </xf>
    <xf numFmtId="0" fontId="114" fillId="7" borderId="0" xfId="0" applyFont="1" applyFill="1" applyAlignment="1">
      <alignment horizontal="center"/>
    </xf>
    <xf numFmtId="177" fontId="109" fillId="7" borderId="0" xfId="0" applyNumberFormat="1" applyFont="1" applyFill="1" applyAlignment="1">
      <alignment horizontal="center"/>
    </xf>
    <xf numFmtId="182" fontId="81" fillId="0" borderId="0" xfId="0" applyNumberFormat="1" applyFont="1" applyAlignment="1">
      <alignment horizontal="center"/>
    </xf>
    <xf numFmtId="182" fontId="82" fillId="0" borderId="0" xfId="0" applyNumberFormat="1" applyFont="1" applyAlignment="1">
      <alignment horizontal="center"/>
    </xf>
    <xf numFmtId="175" fontId="82" fillId="0" borderId="0" xfId="0" applyNumberFormat="1" applyFont="1" applyAlignment="1">
      <alignment horizontal="center"/>
    </xf>
    <xf numFmtId="175" fontId="81" fillId="0" borderId="0" xfId="0" applyNumberFormat="1" applyFont="1" applyAlignment="1">
      <alignment horizontal="center"/>
    </xf>
    <xf numFmtId="178" fontId="81" fillId="0" borderId="0" xfId="0" applyNumberFormat="1" applyFont="1" applyAlignment="1">
      <alignment horizontal="center"/>
    </xf>
    <xf numFmtId="185" fontId="81" fillId="7" borderId="0" xfId="0" applyNumberFormat="1" applyFont="1" applyFill="1" applyAlignment="1">
      <alignment horizontal="center"/>
    </xf>
    <xf numFmtId="182" fontId="88" fillId="8" borderId="0" xfId="0" applyNumberFormat="1" applyFont="1" applyFill="1" applyAlignment="1">
      <alignment horizontal="center"/>
    </xf>
    <xf numFmtId="167" fontId="88" fillId="8" borderId="0" xfId="0" applyNumberFormat="1" applyFont="1" applyFill="1" applyAlignment="1">
      <alignment horizontal="center"/>
    </xf>
    <xf numFmtId="182" fontId="109" fillId="8" borderId="0" xfId="0" applyNumberFormat="1" applyFont="1" applyFill="1" applyAlignment="1">
      <alignment horizontal="center"/>
    </xf>
    <xf numFmtId="175" fontId="109" fillId="8" borderId="0" xfId="0" applyNumberFormat="1" applyFont="1" applyFill="1" applyAlignment="1">
      <alignment horizontal="center"/>
    </xf>
    <xf numFmtId="175" fontId="88" fillId="8" borderId="0" xfId="0" applyNumberFormat="1" applyFont="1" applyFill="1" applyAlignment="1">
      <alignment horizontal="center"/>
    </xf>
    <xf numFmtId="178" fontId="88" fillId="8" borderId="0" xfId="0" applyNumberFormat="1" applyFont="1" applyFill="1" applyAlignment="1">
      <alignment horizontal="center"/>
    </xf>
    <xf numFmtId="185" fontId="88" fillId="8" borderId="0" xfId="0" applyNumberFormat="1" applyFont="1" applyFill="1" applyAlignment="1">
      <alignment horizontal="center"/>
    </xf>
    <xf numFmtId="0" fontId="26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2" fontId="26" fillId="0" borderId="0" xfId="0" applyNumberFormat="1" applyFont="1" applyAlignment="1">
      <alignment horizontal="left"/>
    </xf>
    <xf numFmtId="164" fontId="0" fillId="0" borderId="0" xfId="0" applyNumberFormat="1"/>
    <xf numFmtId="167" fontId="17" fillId="9" borderId="11" xfId="0" applyNumberFormat="1" applyFont="1" applyFill="1" applyBorder="1" applyAlignment="1">
      <alignment horizontal="center"/>
    </xf>
    <xf numFmtId="167" fontId="18" fillId="9" borderId="11" xfId="0" applyNumberFormat="1" applyFont="1" applyFill="1" applyBorder="1" applyAlignment="1">
      <alignment horizontal="center"/>
    </xf>
    <xf numFmtId="167" fontId="17" fillId="9" borderId="12" xfId="0" applyNumberFormat="1" applyFont="1" applyFill="1" applyBorder="1" applyAlignment="1">
      <alignment horizontal="center"/>
    </xf>
    <xf numFmtId="172" fontId="6" fillId="9" borderId="10" xfId="0" applyNumberFormat="1" applyFont="1" applyFill="1" applyBorder="1" applyAlignment="1">
      <alignment horizontal="right"/>
    </xf>
    <xf numFmtId="167" fontId="43" fillId="2" borderId="0" xfId="0" applyNumberFormat="1" applyFont="1" applyFill="1" applyAlignment="1">
      <alignment horizontal="left"/>
    </xf>
    <xf numFmtId="0" fontId="45" fillId="10" borderId="0" xfId="0" applyFont="1" applyFill="1" applyAlignment="1">
      <alignment horizontal="right"/>
    </xf>
    <xf numFmtId="167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175" fontId="9" fillId="8" borderId="0" xfId="0" applyNumberFormat="1" applyFont="1" applyFill="1" applyAlignment="1">
      <alignment horizontal="right"/>
    </xf>
    <xf numFmtId="171" fontId="9" fillId="8" borderId="0" xfId="0" applyNumberFormat="1" applyFont="1" applyFill="1" applyAlignment="1">
      <alignment horizontal="right"/>
    </xf>
    <xf numFmtId="167" fontId="9" fillId="8" borderId="0" xfId="0" applyNumberFormat="1" applyFont="1" applyFill="1" applyAlignment="1">
      <alignment horizontal="right"/>
    </xf>
    <xf numFmtId="175" fontId="9" fillId="8" borderId="1" xfId="0" applyNumberFormat="1" applyFont="1" applyFill="1" applyBorder="1" applyAlignment="1">
      <alignment horizontal="right"/>
    </xf>
    <xf numFmtId="171" fontId="9" fillId="8" borderId="1" xfId="0" applyNumberFormat="1" applyFont="1" applyFill="1" applyBorder="1" applyAlignment="1">
      <alignment horizontal="right"/>
    </xf>
    <xf numFmtId="171" fontId="3" fillId="8" borderId="1" xfId="0" applyNumberFormat="1" applyFont="1" applyFill="1" applyBorder="1" applyAlignment="1">
      <alignment horizontal="right"/>
    </xf>
    <xf numFmtId="167" fontId="3" fillId="8" borderId="1" xfId="0" applyNumberFormat="1" applyFont="1" applyFill="1" applyBorder="1" applyAlignment="1">
      <alignment horizontal="right"/>
    </xf>
    <xf numFmtId="167" fontId="9" fillId="8" borderId="1" xfId="0" applyNumberFormat="1" applyFont="1" applyFill="1" applyBorder="1" applyAlignment="1">
      <alignment horizontal="right"/>
    </xf>
    <xf numFmtId="166" fontId="10" fillId="0" borderId="0" xfId="0" applyNumberFormat="1" applyFont="1" applyAlignment="1">
      <alignment horizontal="right"/>
    </xf>
    <xf numFmtId="0" fontId="21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3" fontId="72" fillId="0" borderId="0" xfId="0" applyNumberFormat="1" applyFont="1" applyAlignment="1">
      <alignment horizontal="right"/>
    </xf>
    <xf numFmtId="0" fontId="115" fillId="0" borderId="0" xfId="0" applyFont="1" applyAlignment="1">
      <alignment horizontal="left"/>
    </xf>
    <xf numFmtId="0" fontId="115" fillId="0" borderId="0" xfId="0" applyFont="1" applyAlignment="1">
      <alignment horizontal="right"/>
    </xf>
    <xf numFmtId="0" fontId="113" fillId="0" borderId="0" xfId="0" applyFont="1" applyAlignment="1">
      <alignment horizontal="right"/>
    </xf>
    <xf numFmtId="0" fontId="116" fillId="0" borderId="0" xfId="0" applyFont="1" applyAlignment="1">
      <alignment horizontal="left"/>
    </xf>
    <xf numFmtId="2" fontId="116" fillId="0" borderId="0" xfId="0" applyNumberFormat="1" applyFont="1"/>
    <xf numFmtId="2" fontId="116" fillId="0" borderId="0" xfId="0" applyNumberFormat="1" applyFont="1" applyAlignment="1">
      <alignment horizontal="right"/>
    </xf>
    <xf numFmtId="2" fontId="72" fillId="0" borderId="0" xfId="0" applyNumberFormat="1" applyFont="1" applyAlignment="1">
      <alignment horizontal="right"/>
    </xf>
    <xf numFmtId="0" fontId="117" fillId="0" borderId="0" xfId="0" applyFont="1" applyAlignment="1">
      <alignment horizontal="left"/>
    </xf>
    <xf numFmtId="0" fontId="113" fillId="0" borderId="0" xfId="0" applyFont="1"/>
    <xf numFmtId="2" fontId="72" fillId="0" borderId="0" xfId="0" applyNumberFormat="1" applyFont="1"/>
    <xf numFmtId="175" fontId="0" fillId="8" borderId="0" xfId="0" applyNumberFormat="1" applyFill="1"/>
    <xf numFmtId="185" fontId="31" fillId="9" borderId="0" xfId="0" applyNumberFormat="1" applyFont="1" applyFill="1" applyAlignment="1">
      <alignment horizontal="right"/>
    </xf>
    <xf numFmtId="175" fontId="13" fillId="8" borderId="3" xfId="0" applyNumberFormat="1" applyFont="1" applyFill="1" applyBorder="1" applyAlignment="1">
      <alignment horizontal="right"/>
    </xf>
    <xf numFmtId="166" fontId="13" fillId="8" borderId="3" xfId="0" applyNumberFormat="1" applyFont="1" applyFill="1" applyBorder="1" applyAlignment="1">
      <alignment horizontal="right"/>
    </xf>
    <xf numFmtId="167" fontId="15" fillId="8" borderId="0" xfId="0" applyNumberFormat="1" applyFont="1" applyFill="1" applyAlignment="1">
      <alignment horizontal="right"/>
    </xf>
    <xf numFmtId="167" fontId="113" fillId="0" borderId="0" xfId="0" applyNumberFormat="1" applyFont="1"/>
    <xf numFmtId="175" fontId="28" fillId="8" borderId="0" xfId="0" applyNumberFormat="1" applyFont="1" applyFill="1"/>
    <xf numFmtId="0" fontId="12" fillId="0" borderId="0" xfId="0" applyFont="1" applyAlignment="1">
      <alignment horizontal="left"/>
    </xf>
    <xf numFmtId="0" fontId="84" fillId="0" borderId="0" xfId="0" applyFont="1" applyAlignment="1">
      <alignment horizontal="left"/>
    </xf>
    <xf numFmtId="1" fontId="84" fillId="0" borderId="0" xfId="0" applyNumberFormat="1" applyFont="1" applyAlignment="1">
      <alignment horizontal="right"/>
    </xf>
    <xf numFmtId="0" fontId="85" fillId="0" borderId="0" xfId="0" applyFont="1" applyAlignment="1">
      <alignment horizontal="left"/>
    </xf>
    <xf numFmtId="164" fontId="85" fillId="0" borderId="0" xfId="0" applyNumberFormat="1" applyFont="1"/>
    <xf numFmtId="3" fontId="73" fillId="0" borderId="0" xfId="0" applyNumberFormat="1" applyFont="1"/>
    <xf numFmtId="0" fontId="85" fillId="0" borderId="0" xfId="0" applyFont="1"/>
    <xf numFmtId="0" fontId="85" fillId="0" borderId="0" xfId="0" applyFont="1" applyAlignment="1">
      <alignment horizontal="right"/>
    </xf>
    <xf numFmtId="0" fontId="47" fillId="10" borderId="0" xfId="0" applyFont="1" applyFill="1"/>
    <xf numFmtId="0" fontId="109" fillId="10" borderId="0" xfId="0" applyFont="1" applyFill="1" applyAlignment="1">
      <alignment horizontal="left"/>
    </xf>
    <xf numFmtId="0" fontId="45" fillId="10" borderId="0" xfId="0" applyFont="1" applyFill="1"/>
    <xf numFmtId="2" fontId="3" fillId="7" borderId="0" xfId="0" applyNumberFormat="1" applyFont="1" applyFill="1" applyAlignment="1">
      <alignment horizontal="left"/>
    </xf>
    <xf numFmtId="178" fontId="102" fillId="9" borderId="0" xfId="0" applyNumberFormat="1" applyFont="1" applyFill="1" applyAlignment="1">
      <alignment horizontal="right"/>
    </xf>
    <xf numFmtId="178" fontId="3" fillId="7" borderId="0" xfId="0" applyNumberFormat="1" applyFont="1" applyFill="1" applyAlignment="1">
      <alignment horizontal="left"/>
    </xf>
    <xf numFmtId="167" fontId="3" fillId="7" borderId="0" xfId="0" applyNumberFormat="1" applyFont="1" applyFill="1" applyAlignment="1">
      <alignment horizontal="left"/>
    </xf>
    <xf numFmtId="3" fontId="85" fillId="0" borderId="0" xfId="0" applyNumberFormat="1" applyFont="1" applyAlignment="1">
      <alignment horizontal="right"/>
    </xf>
    <xf numFmtId="3" fontId="84" fillId="0" borderId="0" xfId="0" applyNumberFormat="1" applyFont="1" applyAlignment="1">
      <alignment horizontal="right"/>
    </xf>
    <xf numFmtId="3" fontId="31" fillId="10" borderId="0" xfId="0" applyNumberFormat="1" applyFont="1" applyFill="1" applyAlignment="1">
      <alignment horizontal="right"/>
    </xf>
    <xf numFmtId="3" fontId="16" fillId="10" borderId="0" xfId="0" applyNumberFormat="1" applyFont="1" applyFill="1" applyAlignment="1">
      <alignment horizontal="right"/>
    </xf>
    <xf numFmtId="3" fontId="85" fillId="10" borderId="0" xfId="0" applyNumberFormat="1" applyFont="1" applyFill="1" applyAlignment="1">
      <alignment horizontal="right"/>
    </xf>
    <xf numFmtId="3" fontId="84" fillId="10" borderId="0" xfId="0" applyNumberFormat="1" applyFont="1" applyFill="1" applyAlignment="1">
      <alignment horizontal="right"/>
    </xf>
    <xf numFmtId="0" fontId="72" fillId="10" borderId="0" xfId="0" applyFont="1" applyFill="1" applyAlignment="1">
      <alignment horizontal="right"/>
    </xf>
    <xf numFmtId="3" fontId="31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"/>
    </xf>
    <xf numFmtId="0" fontId="88" fillId="7" borderId="0" xfId="0" applyFont="1" applyFill="1" applyAlignment="1">
      <alignment horizontal="left" indent="1"/>
    </xf>
    <xf numFmtId="0" fontId="88" fillId="0" borderId="0" xfId="0" applyFont="1" applyAlignment="1">
      <alignment horizontal="left" indent="1"/>
    </xf>
    <xf numFmtId="182" fontId="9" fillId="9" borderId="0" xfId="0" applyNumberFormat="1" applyFont="1" applyFill="1" applyAlignment="1">
      <alignment horizontal="right"/>
    </xf>
    <xf numFmtId="4" fontId="9" fillId="9" borderId="0" xfId="0" applyNumberFormat="1" applyFont="1" applyFill="1" applyAlignment="1">
      <alignment horizontal="right"/>
    </xf>
    <xf numFmtId="182" fontId="3" fillId="9" borderId="0" xfId="0" applyNumberFormat="1" applyFont="1" applyFill="1" applyAlignment="1">
      <alignment horizontal="right"/>
    </xf>
    <xf numFmtId="171" fontId="88" fillId="9" borderId="0" xfId="0" applyNumberFormat="1" applyFont="1" applyFill="1" applyAlignment="1">
      <alignment horizontal="right"/>
    </xf>
    <xf numFmtId="180" fontId="3" fillId="9" borderId="0" xfId="0" applyNumberFormat="1" applyFont="1" applyFill="1" applyAlignment="1">
      <alignment horizontal="right"/>
    </xf>
    <xf numFmtId="4" fontId="6" fillId="9" borderId="0" xfId="0" applyNumberFormat="1" applyFont="1" applyFill="1" applyAlignment="1">
      <alignment horizontal="right"/>
    </xf>
    <xf numFmtId="4" fontId="10" fillId="9" borderId="0" xfId="0" applyNumberFormat="1" applyFont="1" applyFill="1" applyAlignment="1">
      <alignment horizontal="right"/>
    </xf>
    <xf numFmtId="178" fontId="6" fillId="8" borderId="0" xfId="0" applyNumberFormat="1" applyFont="1" applyFill="1" applyAlignment="1">
      <alignment horizontal="right"/>
    </xf>
    <xf numFmtId="182" fontId="17" fillId="0" borderId="0" xfId="0" applyNumberFormat="1" applyFont="1" applyAlignment="1">
      <alignment horizontal="center"/>
    </xf>
    <xf numFmtId="182" fontId="6" fillId="0" borderId="0" xfId="0" applyNumberFormat="1" applyFont="1" applyAlignment="1">
      <alignment horizontal="right"/>
    </xf>
    <xf numFmtId="4" fontId="45" fillId="8" borderId="0" xfId="0" applyNumberFormat="1" applyFont="1" applyFill="1" applyAlignment="1">
      <alignment horizontal="right"/>
    </xf>
    <xf numFmtId="167" fontId="43" fillId="0" borderId="0" xfId="0" applyNumberFormat="1" applyFont="1" applyAlignment="1">
      <alignment horizontal="left"/>
    </xf>
    <xf numFmtId="4" fontId="3" fillId="9" borderId="0" xfId="0" applyNumberFormat="1" applyFont="1" applyFill="1" applyAlignment="1">
      <alignment horizontal="right"/>
    </xf>
    <xf numFmtId="10" fontId="3" fillId="9" borderId="0" xfId="0" applyNumberFormat="1" applyFont="1" applyFill="1" applyAlignment="1">
      <alignment horizontal="right"/>
    </xf>
    <xf numFmtId="3" fontId="9" fillId="8" borderId="0" xfId="0" applyNumberFormat="1" applyFont="1" applyFill="1" applyAlignment="1">
      <alignment horizontal="right"/>
    </xf>
    <xf numFmtId="1" fontId="8" fillId="8" borderId="0" xfId="0" applyNumberFormat="1" applyFont="1" applyFill="1" applyAlignment="1">
      <alignment horizontal="right"/>
    </xf>
    <xf numFmtId="14" fontId="9" fillId="8" borderId="0" xfId="0" applyNumberFormat="1" applyFont="1" applyFill="1" applyAlignment="1">
      <alignment horizontal="right"/>
    </xf>
    <xf numFmtId="0" fontId="13" fillId="3" borderId="0" xfId="0" applyFont="1" applyFill="1"/>
    <xf numFmtId="0" fontId="87" fillId="0" borderId="0" xfId="0" applyFont="1"/>
    <xf numFmtId="0" fontId="54" fillId="3" borderId="0" xfId="0" applyFont="1" applyFill="1" applyAlignment="1">
      <alignment horizontal="left"/>
    </xf>
    <xf numFmtId="0" fontId="13" fillId="3" borderId="0" xfId="0" applyFont="1" applyFill="1" applyAlignment="1">
      <alignment horizontal="right"/>
    </xf>
    <xf numFmtId="182" fontId="8" fillId="8" borderId="0" xfId="0" applyNumberFormat="1" applyFont="1" applyFill="1" applyAlignment="1">
      <alignment horizontal="center"/>
    </xf>
    <xf numFmtId="165" fontId="9" fillId="9" borderId="0" xfId="0" applyNumberFormat="1" applyFont="1" applyFill="1" applyAlignment="1">
      <alignment horizontal="right"/>
    </xf>
    <xf numFmtId="0" fontId="118" fillId="2" borderId="0" xfId="0" applyFont="1" applyFill="1" applyAlignment="1">
      <alignment horizontal="right" wrapText="1"/>
    </xf>
    <xf numFmtId="0" fontId="13" fillId="3" borderId="0" xfId="0" applyFont="1" applyFill="1" applyAlignment="1">
      <alignment horizontal="left"/>
    </xf>
    <xf numFmtId="49" fontId="13" fillId="3" borderId="0" xfId="0" applyNumberFormat="1" applyFont="1" applyFill="1" applyAlignment="1">
      <alignment horizontal="left"/>
    </xf>
    <xf numFmtId="6" fontId="13" fillId="3" borderId="0" xfId="0" applyNumberFormat="1" applyFont="1" applyFill="1" applyAlignment="1">
      <alignment horizontal="left"/>
    </xf>
    <xf numFmtId="3" fontId="13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left" indent="1"/>
    </xf>
    <xf numFmtId="0" fontId="3" fillId="9" borderId="0" xfId="0" applyFont="1" applyFill="1" applyAlignment="1">
      <alignment horizontal="right"/>
    </xf>
    <xf numFmtId="14" fontId="3" fillId="9" borderId="0" xfId="0" applyNumberFormat="1" applyFont="1" applyFill="1" applyAlignment="1">
      <alignment horizontal="right"/>
    </xf>
    <xf numFmtId="0" fontId="0" fillId="0" borderId="0" xfId="0" applyFill="1"/>
  </cellXfs>
  <cellStyles count="8">
    <cellStyle name="Comma 2" xfId="7" xr:uid="{00000000-0005-0000-0000-000007000000}"/>
    <cellStyle name="Currency 2" xfId="5" xr:uid="{00000000-0005-0000-0000-000005000000}"/>
    <cellStyle name="Hyperlink 2 2" xfId="3" xr:uid="{00000000-0005-0000-0000-000003000000}"/>
    <cellStyle name="Milliers" xfId="1" builtinId="3"/>
    <cellStyle name="Normal" xfId="0" builtinId="0"/>
    <cellStyle name="Normal 2" xfId="2" xr:uid="{00000000-0005-0000-0000-000002000000}"/>
    <cellStyle name="Normal 2 2" xfId="4" xr:uid="{00000000-0005-0000-0000-000004000000}"/>
    <cellStyle name="Percent 2" xfId="6" xr:uid="{00000000-0005-0000-0000-000006000000}"/>
  </cellStyles>
  <dxfs count="9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c:rich>
      </c:tx>
      <c:layout>
        <c:manualLayout>
          <c:xMode val="edge"/>
          <c:yMode val="edge"/>
          <c:x val="0.23700261672234271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RATIOS!$B$94</c:f>
              <c:strCache>
                <c:ptCount val="1"/>
                <c:pt idx="0">
                  <c:v>Free Cash Flow ($M)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RATIOS!$C$93:$H$93</c:f>
              <c:numCache>
                <c:formatCode>General</c:formatCode>
                <c:ptCount val="6"/>
              </c:numCache>
            </c:numRef>
          </c:cat>
          <c:val>
            <c:numRef>
              <c:f>RATIOS!$C$94:$H$94</c:f>
              <c:numCache>
                <c:formatCode>General</c:formatCode>
                <c:ptCount val="6"/>
                <c:pt idx="2" formatCode="&quot;€&quot;#\ ##0;\(&quot;€&quot;#\ ##0\);\-">
                  <c:v>1293.6199999999997</c:v>
                </c:pt>
                <c:pt idx="3" formatCode="&quot;€&quot;#\ ##0;\(&quot;€&quot;#\ ##0\);\-">
                  <c:v>1786.0000000000007</c:v>
                </c:pt>
                <c:pt idx="4" formatCode="&quot;€&quot;#\ ##0;\(&quot;€&quot;#\ ##0\);\-">
                  <c:v>1233.31</c:v>
                </c:pt>
                <c:pt idx="5" formatCode="&quot;€&quot;#\ ##0;\(&quot;€&quot;#\ ##0\);\-">
                  <c:v>-221.88999999999987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2-4032-BF10-F9B195C7F43E}"/>
            </c:ext>
          </c:extLst>
        </c:ser>
        <c:ser>
          <c:idx val="1"/>
          <c:order val="1"/>
          <c:tx>
            <c:strRef>
              <c:f>RATIOS!$B$95</c:f>
              <c:strCache>
                <c:ptCount val="1"/>
                <c:pt idx="0">
                  <c:v>CapEx ($M)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RATIOS!$C$93:$H$93</c:f>
              <c:numCache>
                <c:formatCode>General</c:formatCode>
                <c:ptCount val="6"/>
              </c:numCache>
            </c:numRef>
          </c:cat>
          <c:val>
            <c:numRef>
              <c:f>RATIOS!$C$95:$H$95</c:f>
              <c:numCache>
                <c:formatCode>General</c:formatCode>
                <c:ptCount val="6"/>
                <c:pt idx="2">
                  <c:v>15690</c:v>
                </c:pt>
                <c:pt idx="3">
                  <c:v>17722</c:v>
                </c:pt>
                <c:pt idx="4">
                  <c:v>14909</c:v>
                </c:pt>
                <c:pt idx="5">
                  <c:v>16953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C2-4032-BF10-F9B195C7F43E}"/>
            </c:ext>
          </c:extLst>
        </c:ser>
        <c:ser>
          <c:idx val="2"/>
          <c:order val="2"/>
          <c:tx>
            <c:strRef>
              <c:f>RATIOS!$B$96</c:f>
              <c:strCache>
                <c:ptCount val="1"/>
                <c:pt idx="0">
                  <c:v>Cash from Operations ($M)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RATIOS!$C$93:$H$93</c:f>
              <c:numCache>
                <c:formatCode>General</c:formatCode>
                <c:ptCount val="6"/>
              </c:numCache>
            </c:numRef>
          </c:cat>
          <c:val>
            <c:numRef>
              <c:f>RATIOS!$C$96:$H$96</c:f>
              <c:numCache>
                <c:formatCode>General</c:formatCode>
                <c:ptCount val="6"/>
                <c:pt idx="2" formatCode="#,##0">
                  <c:v>-3185.27</c:v>
                </c:pt>
                <c:pt idx="3" formatCode="#,##0">
                  <c:v>3922.2600000000011</c:v>
                </c:pt>
                <c:pt idx="4" formatCode="#,##0">
                  <c:v>-93.330000000000098</c:v>
                </c:pt>
                <c:pt idx="5" formatCode="#,##0">
                  <c:v>1384.5500000000002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C2-4032-BF10-F9B195C7F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964032"/>
        <c:axId val="1926950112"/>
      </c:lineChart>
      <c:catAx>
        <c:axId val="192696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6950112"/>
        <c:crosses val="autoZero"/>
        <c:auto val="1"/>
        <c:lblAlgn val="ctr"/>
        <c:lblOffset val="100"/>
        <c:noMultiLvlLbl val="0"/>
      </c:catAx>
      <c:valAx>
        <c:axId val="192695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69640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RATIOS!$B$100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RATIOS!$C$99:$H$99</c:f>
              <c:numCache>
                <c:formatCode>General</c:formatCode>
                <c:ptCount val="6"/>
              </c:numCache>
            </c:numRef>
          </c:cat>
          <c:val>
            <c:numRef>
              <c:f>RATIOS!$C$100:$H$100</c:f>
              <c:numCache>
                <c:formatCode>General</c:formatCode>
                <c:ptCount val="6"/>
                <c:pt idx="2" formatCode="0.0%">
                  <c:v>-3.6353942652657428E-2</c:v>
                </c:pt>
                <c:pt idx="3" formatCode="0.0%">
                  <c:v>-5.6281196363009933E-2</c:v>
                </c:pt>
                <c:pt idx="4" formatCode="0.0%">
                  <c:v>-8.5275950984055382E-2</c:v>
                </c:pt>
                <c:pt idx="5" formatCode="0.0%">
                  <c:v>-0.15981051430294027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DA-4B6A-9557-EA5BCDFAF37B}"/>
            </c:ext>
          </c:extLst>
        </c:ser>
        <c:ser>
          <c:idx val="1"/>
          <c:order val="1"/>
          <c:tx>
            <c:strRef>
              <c:f>RATIOS!$B$101</c:f>
              <c:strCache>
                <c:ptCount val="1"/>
                <c:pt idx="0">
                  <c:v>Return on Assets (ROA)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RATIOS!$C$99:$H$99</c:f>
              <c:numCache>
                <c:formatCode>General</c:formatCode>
                <c:ptCount val="6"/>
              </c:numCache>
            </c:numRef>
          </c:cat>
          <c:val>
            <c:numRef>
              <c:f>RATIOS!$C$101:$H$101</c:f>
              <c:numCache>
                <c:formatCode>General</c:formatCode>
                <c:ptCount val="6"/>
                <c:pt idx="2" formatCode="0.0%">
                  <c:v>22.292899520084653</c:v>
                </c:pt>
                <c:pt idx="3" formatCode="0.0%">
                  <c:v>17.215798321360321</c:v>
                </c:pt>
                <c:pt idx="4" formatCode="0.0%">
                  <c:v>24.93288686836312</c:v>
                </c:pt>
                <c:pt idx="5" formatCode="0.0%">
                  <c:v>-104.40014786064145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DA-4B6A-9557-EA5BCDFAF37B}"/>
            </c:ext>
          </c:extLst>
        </c:ser>
        <c:ser>
          <c:idx val="2"/>
          <c:order val="2"/>
          <c:tx>
            <c:strRef>
              <c:f>RATIOS!$B$102</c:f>
              <c:strCache>
                <c:ptCount val="1"/>
                <c:pt idx="0">
                  <c:v>Return on Invested Capital (ROIC)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RATIOS!$C$99:$H$99</c:f>
              <c:numCache>
                <c:formatCode>General</c:formatCode>
                <c:ptCount val="6"/>
              </c:numCache>
            </c:numRef>
          </c:cat>
          <c:val>
            <c:numRef>
              <c:f>RATIOS!$C$102:$H$102</c:f>
              <c:numCache>
                <c:formatCode>General</c:formatCode>
                <c:ptCount val="6"/>
                <c:pt idx="2" formatCode="0.0%">
                  <c:v>3.6263103802672143</c:v>
                </c:pt>
                <c:pt idx="3" formatCode="0.0%">
                  <c:v>2.6728083785880536</c:v>
                </c:pt>
                <c:pt idx="4" formatCode="0.0%">
                  <c:v>1.41599187865759</c:v>
                </c:pt>
                <c:pt idx="5" formatCode="0.0%">
                  <c:v>-0.33389216876144207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DA-4B6A-9557-EA5BCDFAF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670816"/>
        <c:axId val="1919671296"/>
      </c:lineChart>
      <c:catAx>
        <c:axId val="19196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671296"/>
        <c:crosses val="autoZero"/>
        <c:auto val="1"/>
        <c:lblAlgn val="ctr"/>
        <c:lblOffset val="100"/>
        <c:noMultiLvlLbl val="0"/>
      </c:catAx>
      <c:valAx>
        <c:axId val="19196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6708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NAV / Share par Scénario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NAV / Share ($)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NAV!$E$85:$G$85</c:f>
              <c:strCache>
                <c:ptCount val="3"/>
                <c:pt idx="0">
                  <c:v>Pessimiste</c:v>
                </c:pt>
                <c:pt idx="1">
                  <c:v>Réaliste</c:v>
                </c:pt>
                <c:pt idx="2">
                  <c:v>Optimiste</c:v>
                </c:pt>
              </c:strCache>
            </c:strRef>
          </c:cat>
          <c:val>
            <c:numRef>
              <c:f>NAV!$E$90:$G$90</c:f>
              <c:numCache>
                <c:formatCode>#,##0.00</c:formatCode>
                <c:ptCount val="3"/>
                <c:pt idx="0">
                  <c:v>123.87879993397161</c:v>
                </c:pt>
                <c:pt idx="1">
                  <c:v>157.8082696059306</c:v>
                </c:pt>
                <c:pt idx="2">
                  <c:v>182.4993347639485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7-45C7-84EA-2469E5FB9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884400"/>
        <c:axId val="326872880"/>
      </c:barChart>
      <c:catAx>
        <c:axId val="32688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6872880"/>
        <c:crosses val="autoZero"/>
        <c:auto val="1"/>
        <c:lblAlgn val="ctr"/>
        <c:lblOffset val="100"/>
        <c:noMultiLvlLbl val="0"/>
      </c:catAx>
      <c:valAx>
        <c:axId val="32687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688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P/NAV implied par Scénario 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P/NAV (x)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NAV!$E$85:$G$85</c:f>
              <c:strCache>
                <c:ptCount val="3"/>
                <c:pt idx="0">
                  <c:v>Pessimiste</c:v>
                </c:pt>
                <c:pt idx="1">
                  <c:v>Réaliste</c:v>
                </c:pt>
                <c:pt idx="2">
                  <c:v>Optimiste</c:v>
                </c:pt>
              </c:strCache>
            </c:strRef>
          </c:cat>
          <c:val>
            <c:numRef>
              <c:f>NAV!$E$91:$G$91</c:f>
              <c:numCache>
                <c:formatCode>0.00\x</c:formatCode>
                <c:ptCount val="3"/>
                <c:pt idx="0">
                  <c:v>1.1282802228831612</c:v>
                </c:pt>
                <c:pt idx="1">
                  <c:v>0.88569502947485146</c:v>
                </c:pt>
                <c:pt idx="2">
                  <c:v>0.76586580537832527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2-45C4-A10F-79E0E97BB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885840"/>
        <c:axId val="326883440"/>
      </c:barChart>
      <c:catAx>
        <c:axId val="32688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6883440"/>
        <c:crosses val="autoZero"/>
        <c:auto val="1"/>
        <c:lblAlgn val="ctr"/>
        <c:lblOffset val="100"/>
        <c:noMultiLvlLbl val="0"/>
      </c:catAx>
      <c:valAx>
        <c:axId val="3268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688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COMPARABLES!$H$57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COMPARABLES!$I$56:$K$56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COMPARABLES!$I$57:$K$57</c:f>
              <c:numCache>
                <c:formatCode>General</c:formatCode>
                <c:ptCount val="3"/>
                <c:pt idx="0">
                  <c:v>-12.854027439580356</c:v>
                </c:pt>
                <c:pt idx="1">
                  <c:v>-521.86352455324732</c:v>
                </c:pt>
                <c:pt idx="2" formatCode="#,##0">
                  <c:v>139.77000000000001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C-4CA7-BF9C-FC618DB4681E}"/>
            </c:ext>
          </c:extLst>
        </c:ser>
        <c:ser>
          <c:idx val="1"/>
          <c:order val="1"/>
          <c:tx>
            <c:strRef>
              <c:f>COMPARABLES!$H$58</c:f>
              <c:strCache>
                <c:ptCount val="1"/>
                <c:pt idx="0">
                  <c:v>EV/Revenue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COMPARABLES!$I$56:$K$56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COMPARABLES!$I$58:$K$58</c:f>
              <c:numCache>
                <c:formatCode>General</c:formatCode>
                <c:ptCount val="3"/>
                <c:pt idx="0">
                  <c:v>-12.854027439580356</c:v>
                </c:pt>
                <c:pt idx="1">
                  <c:v>-521.86352455324732</c:v>
                </c:pt>
                <c:pt idx="2" formatCode="#,##0">
                  <c:v>139.77000000000001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C-4CA7-BF9C-FC618DB4681E}"/>
            </c:ext>
          </c:extLst>
        </c:ser>
        <c:ser>
          <c:idx val="2"/>
          <c:order val="2"/>
          <c:tx>
            <c:strRef>
              <c:f>COMPARABLES!$H$59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COMPARABLES!$I$56:$K$56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COMPARABLES!$I$59:$K$59</c:f>
              <c:numCache>
                <c:formatCode>General</c:formatCode>
                <c:ptCount val="3"/>
                <c:pt idx="0">
                  <c:v>-12.854027439580356</c:v>
                </c:pt>
                <c:pt idx="1">
                  <c:v>-521.86352455324732</c:v>
                </c:pt>
                <c:pt idx="2" formatCode="#,##0">
                  <c:v>139.77000000000001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C-4CA7-BF9C-FC618DB46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02736"/>
        <c:axId val="2064819536"/>
      </c:barChart>
      <c:catAx>
        <c:axId val="20648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19536"/>
        <c:crosses val="autoZero"/>
        <c:auto val="1"/>
        <c:lblAlgn val="ctr"/>
        <c:lblOffset val="100"/>
        <c:noMultiLvlLbl val="0"/>
      </c:catAx>
      <c:valAx>
        <c:axId val="20648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27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P/FFO (x) — Peers vs.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P/FFO (x)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COMPARABLES!$C$9:$C$13</c:f>
              <c:strCache>
                <c:ptCount val="5"/>
                <c:pt idx="0">
                  <c:v>DRE</c:v>
                </c:pt>
                <c:pt idx="1">
                  <c:v>EGP</c:v>
                </c:pt>
                <c:pt idx="2">
                  <c:v>STAG</c:v>
                </c:pt>
                <c:pt idx="3">
                  <c:v>FR</c:v>
                </c:pt>
                <c:pt idx="4">
                  <c:v>REXR</c:v>
                </c:pt>
              </c:strCache>
            </c:strRef>
          </c:cat>
          <c:val>
            <c:numRef>
              <c:f>COMPARABLES!$G$9:$G$13</c:f>
              <c:numCache>
                <c:formatCode>0.0\x</c:formatCode>
                <c:ptCount val="5"/>
                <c:pt idx="0">
                  <c:v>17.899999999999999</c:v>
                </c:pt>
                <c:pt idx="1">
                  <c:v>24.2</c:v>
                </c:pt>
                <c:pt idx="2">
                  <c:v>14.9</c:v>
                </c:pt>
                <c:pt idx="3">
                  <c:v>17.5</c:v>
                </c:pt>
                <c:pt idx="4">
                  <c:v>18.600000000000001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E-4636-B6A0-8CF846780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6877200"/>
        <c:axId val="326881520"/>
      </c:barChart>
      <c:catAx>
        <c:axId val="32687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6881520"/>
        <c:crosses val="autoZero"/>
        <c:auto val="1"/>
        <c:lblAlgn val="ctr"/>
        <c:lblOffset val="100"/>
        <c:noMultiLvlLbl val="0"/>
      </c:catAx>
      <c:valAx>
        <c:axId val="32688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687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Scenario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SCENARIOS!$D$37:$H$37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SCENARIOS!$D$38:$H$38</c:f>
              <c:numCache>
                <c:formatCode>#,##0</c:formatCode>
                <c:ptCount val="5"/>
                <c:pt idx="0">
                  <c:v>9141.7351999999992</c:v>
                </c:pt>
                <c:pt idx="1">
                  <c:v>9507.4046079999989</c:v>
                </c:pt>
                <c:pt idx="2">
                  <c:v>9887.7007923199999</c:v>
                </c:pt>
                <c:pt idx="3">
                  <c:v>10283.2088240128</c:v>
                </c:pt>
                <c:pt idx="4">
                  <c:v>10694.537176973312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8-4197-A94E-1F4A86CF937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SCENARIOS!$D$37:$H$37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SCENARIOS!$D$39:$H$39</c:f>
              <c:numCache>
                <c:formatCode>#,##0</c:formatCode>
                <c:ptCount val="5"/>
                <c:pt idx="0">
                  <c:v>9141.7351999999992</c:v>
                </c:pt>
                <c:pt idx="1">
                  <c:v>9507.4046079999989</c:v>
                </c:pt>
                <c:pt idx="2">
                  <c:v>9887.7007923199999</c:v>
                </c:pt>
                <c:pt idx="3">
                  <c:v>10283.2088240128</c:v>
                </c:pt>
                <c:pt idx="4">
                  <c:v>10694.537176973312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E8-4197-A94E-1F4A86CF937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SCENARIOS!$D$37:$H$37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SCENARIOS!$D$40:$H$40</c:f>
              <c:numCache>
                <c:formatCode>#,##0</c:formatCode>
                <c:ptCount val="5"/>
                <c:pt idx="0">
                  <c:v>9581.2417000000005</c:v>
                </c:pt>
                <c:pt idx="1">
                  <c:v>10443.553453</c:v>
                </c:pt>
                <c:pt idx="2">
                  <c:v>11383.473263770002</c:v>
                </c:pt>
                <c:pt idx="3">
                  <c:v>12407.985857509302</c:v>
                </c:pt>
                <c:pt idx="4">
                  <c:v>13524.70458468514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E8-4197-A94E-1F4A86CF9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886320"/>
        <c:axId val="326887280"/>
      </c:lineChart>
      <c:catAx>
        <c:axId val="32688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6887280"/>
        <c:crosses val="autoZero"/>
        <c:auto val="1"/>
        <c:lblAlgn val="ctr"/>
        <c:lblOffset val="100"/>
        <c:noMultiLvlLbl val="0"/>
      </c:catAx>
      <c:valAx>
        <c:axId val="32688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688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NOI by Scenario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Pessimistic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SCENARIOS!$D$43:$H$43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SCENARIOS!$D$44:$H$44</c:f>
              <c:numCache>
                <c:formatCode>"€"#\ ##0;\("€"#\ ##0\);\-</c:formatCode>
                <c:ptCount val="5"/>
                <c:pt idx="0">
                  <c:v>5667.8758239999997</c:v>
                </c:pt>
                <c:pt idx="1">
                  <c:v>5894.5908569599997</c:v>
                </c:pt>
                <c:pt idx="2">
                  <c:v>6130.3744912384</c:v>
                </c:pt>
                <c:pt idx="3">
                  <c:v>6375.5894708879359</c:v>
                </c:pt>
                <c:pt idx="4">
                  <c:v>6630.6130497234535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1-4454-B953-D199228AB2D9}"/>
            </c:ext>
          </c:extLst>
        </c:ser>
        <c:ser>
          <c:idx val="1"/>
          <c:order val="1"/>
          <c:tx>
            <c:v>Realistic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SCENARIOS!$D$43:$H$43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SCENARIOS!$D$45:$H$45</c:f>
              <c:numCache>
                <c:formatCode>"€"#\ ##0;\("€"#\ ##0\);\-</c:formatCode>
                <c:ptCount val="5"/>
                <c:pt idx="0">
                  <c:v>5667.8758239999997</c:v>
                </c:pt>
                <c:pt idx="1">
                  <c:v>5894.5908569599997</c:v>
                </c:pt>
                <c:pt idx="2">
                  <c:v>6130.3744912384</c:v>
                </c:pt>
                <c:pt idx="3">
                  <c:v>6375.5894708879359</c:v>
                </c:pt>
                <c:pt idx="4">
                  <c:v>6630.6130497234535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E1-4454-B953-D199228AB2D9}"/>
            </c:ext>
          </c:extLst>
        </c:ser>
        <c:ser>
          <c:idx val="2"/>
          <c:order val="2"/>
          <c:tx>
            <c:v>Optimistic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SCENARIOS!$D$43:$H$43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SCENARIOS!$D$46:$H$46</c:f>
              <c:numCache>
                <c:formatCode>"€"#\ ##0;\("€"#\ ##0\);\-</c:formatCode>
                <c:ptCount val="5"/>
                <c:pt idx="0">
                  <c:v>6323.6195220000009</c:v>
                </c:pt>
                <c:pt idx="1">
                  <c:v>6892.7452789800009</c:v>
                </c:pt>
                <c:pt idx="2">
                  <c:v>7513.0923540882013</c:v>
                </c:pt>
                <c:pt idx="3">
                  <c:v>8189.27066595614</c:v>
                </c:pt>
                <c:pt idx="4">
                  <c:v>8926.3050258921921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E1-4454-B953-D199228AB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890160"/>
        <c:axId val="326890640"/>
      </c:lineChart>
      <c:catAx>
        <c:axId val="32689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6890640"/>
        <c:crosses val="autoZero"/>
        <c:auto val="1"/>
        <c:lblAlgn val="ctr"/>
        <c:lblOffset val="100"/>
        <c:noMultiLvlLbl val="0"/>
      </c:catAx>
      <c:valAx>
        <c:axId val="32689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\ ##0;\(&quot;€&quot;#\ 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689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DASHBOARD!$K$86:$N$86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DASHBOARD!$K$87:$N$87</c:f>
              <c:numCache>
                <c:formatCode>General</c:formatCode>
                <c:ptCount val="4"/>
                <c:pt idx="0">
                  <c:v>0.74737724923790816</c:v>
                </c:pt>
                <c:pt idx="1">
                  <c:v>0.74944257285189575</c:v>
                </c:pt>
                <c:pt idx="2">
                  <c:v>0.74916632222210033</c:v>
                </c:pt>
                <c:pt idx="3">
                  <c:v>0.74577736620505042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B-42EF-B6C6-10094C0DCC2C}"/>
            </c:ext>
          </c:extLst>
        </c:ser>
        <c:ser>
          <c:idx val="1"/>
          <c:order val="1"/>
          <c:tx>
            <c:v>EBITDA Margin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DASHBOARD!$K$86:$N$86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DASHBOARD!$K$88:$N$88</c:f>
              <c:numCache>
                <c:formatCode>General</c:formatCode>
                <c:ptCount val="4"/>
                <c:pt idx="0">
                  <c:v>0.17719700888395612</c:v>
                </c:pt>
                <c:pt idx="1">
                  <c:v>0.20611032383744199</c:v>
                </c:pt>
                <c:pt idx="2">
                  <c:v>0.14455820259680721</c:v>
                </c:pt>
                <c:pt idx="3">
                  <c:v>-3.6931194419195131E-2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1B-42EF-B6C6-10094C0DCC2C}"/>
            </c:ext>
          </c:extLst>
        </c:ser>
        <c:ser>
          <c:idx val="2"/>
          <c:order val="2"/>
          <c:tx>
            <c:v>Net Margin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DASHBOARD!$K$86:$N$86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DASHBOARD!$K$89:$N$89</c:f>
              <c:numCache>
                <c:formatCode>General</c:formatCode>
                <c:ptCount val="4"/>
                <c:pt idx="0">
                  <c:v>-0.16642309862078555</c:v>
                </c:pt>
                <c:pt idx="1">
                  <c:v>-0.16899047419632643</c:v>
                </c:pt>
                <c:pt idx="2">
                  <c:v>-0.25851143860778553</c:v>
                </c:pt>
                <c:pt idx="3">
                  <c:v>-0.42216895540794053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1B-42EF-B6C6-10094C0DC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799856"/>
        <c:axId val="2064804176"/>
      </c:lineChart>
      <c:catAx>
        <c:axId val="20647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4176"/>
        <c:crosses val="autoZero"/>
        <c:auto val="1"/>
        <c:lblAlgn val="ctr"/>
        <c:lblOffset val="100"/>
        <c:noMultiLvlLbl val="0"/>
      </c:catAx>
      <c:valAx>
        <c:axId val="20648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799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SG&amp;A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DASHBOARD!$K$91:$N$91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DASHBOARD!$K$92:$N$92</c:f>
              <c:numCache>
                <c:formatCode>General</c:formatCode>
                <c:ptCount val="4"/>
                <c:pt idx="0">
                  <c:v>331.08</c:v>
                </c:pt>
                <c:pt idx="1">
                  <c:v>390.41</c:v>
                </c:pt>
                <c:pt idx="2">
                  <c:v>418.76</c:v>
                </c:pt>
                <c:pt idx="3">
                  <c:v>469.11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F-452C-9B2C-A9D8D0A8B0C6}"/>
            </c:ext>
          </c:extLst>
        </c:ser>
        <c:ser>
          <c:idx val="1"/>
          <c:order val="1"/>
          <c:tx>
            <c:v>R&amp;D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DASHBOARD!$K$91:$N$91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DASHBOARD!$K$93:$N$93</c:f>
              <c:numCache>
                <c:formatCode>General</c:formatCode>
                <c:ptCount val="4"/>
                <c:pt idx="0">
                  <c:v>3075</c:v>
                </c:pt>
                <c:pt idx="1">
                  <c:v>3969</c:v>
                </c:pt>
                <c:pt idx="2">
                  <c:v>4540</c:v>
                </c:pt>
                <c:pt idx="3">
                  <c:v>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BF-452C-9B2C-A9D8D0A8B0C6}"/>
            </c:ext>
          </c:extLst>
        </c:ser>
        <c:ser>
          <c:idx val="2"/>
          <c:order val="2"/>
          <c:tx>
            <c:v>D&amp;A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DASHBOARD!$K$91:$N$91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DASHBOARD!$K$94:$N$94</c:f>
              <c:numCache>
                <c:formatCode>General</c:formatCode>
                <c:ptCount val="4"/>
                <c:pt idx="0">
                  <c:v>1812.78</c:v>
                </c:pt>
                <c:pt idx="1">
                  <c:v>2484.89</c:v>
                </c:pt>
                <c:pt idx="2">
                  <c:v>2580.52</c:v>
                </c:pt>
                <c:pt idx="3">
                  <c:v>2626.03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BF-452C-9B2C-A9D8D0A8B0C6}"/>
            </c:ext>
          </c:extLst>
        </c:ser>
        <c:ser>
          <c:idx val="3"/>
          <c:order val="3"/>
          <c:tx>
            <c:v>Interest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DASHBOARD!$K$91:$N$91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DASHBOARD!$K$95:$N$95</c:f>
              <c:numCache>
                <c:formatCode>General</c:formatCode>
                <c:ptCount val="4"/>
                <c:pt idx="0">
                  <c:v>291.89999999999998</c:v>
                </c:pt>
                <c:pt idx="1">
                  <c:v>618.72</c:v>
                </c:pt>
                <c:pt idx="2">
                  <c:v>837.3</c:v>
                </c:pt>
                <c:pt idx="3">
                  <c:v>972.26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BF-452C-9B2C-A9D8D0A8B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4832016"/>
        <c:axId val="2064833936"/>
      </c:barChart>
      <c:catAx>
        <c:axId val="206483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33936"/>
        <c:crosses val="autoZero"/>
        <c:auto val="1"/>
        <c:lblAlgn val="ctr"/>
        <c:lblOffset val="100"/>
        <c:noMultiLvlLbl val="0"/>
      </c:catAx>
      <c:valAx>
        <c:axId val="20648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32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271D2"/>
            </a:solidFill>
            <a:ln>
              <a:noFill/>
              <a:prstDash val="solid"/>
            </a:ln>
          </c:spPr>
          <c:invertIfNegative val="0"/>
          <c:cat>
            <c:strRef>
              <c:f>DASHBOARD!$Q$7:$Q$10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DASHBOARD!$R$8:$R$11</c:f>
              <c:numCache>
                <c:formatCode>General</c:formatCode>
                <c:ptCount val="4"/>
                <c:pt idx="0">
                  <c:v>5973.69</c:v>
                </c:pt>
                <c:pt idx="1">
                  <c:v>8023.47</c:v>
                </c:pt>
                <c:pt idx="2">
                  <c:v>8201.61</c:v>
                </c:pt>
                <c:pt idx="3">
                  <c:v>8790.1299999999992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2-40C6-BDF3-670CAAF95A37}"/>
            </c:ext>
          </c:extLst>
        </c:ser>
        <c:ser>
          <c:idx val="1"/>
          <c:order val="1"/>
          <c:tx>
            <c:strRef>
              <c:f>DASHBOARD!$S$7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2E8B57"/>
            </a:solidFill>
            <a:ln>
              <a:noFill/>
              <a:prstDash val="solid"/>
            </a:ln>
          </c:spPr>
          <c:invertIfNegative val="0"/>
          <c:cat>
            <c:strRef>
              <c:f>DASHBOARD!$Q$7:$Q$10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DASHBOARD!$S$8:$S$11</c:f>
              <c:numCache>
                <c:formatCode>General</c:formatCode>
                <c:ptCount val="4"/>
                <c:pt idx="0">
                  <c:v>-1355.8899999999992</c:v>
                </c:pt>
                <c:pt idx="1">
                  <c:v>-2120.21</c:v>
                </c:pt>
                <c:pt idx="2">
                  <c:v>-2120.21</c:v>
                </c:pt>
                <c:pt idx="3">
                  <c:v>-3710.92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2-40C6-BDF3-670CAAF95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52320"/>
        <c:axId val="211469120"/>
      </c:barChart>
      <c:catAx>
        <c:axId val="21145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69120"/>
        <c:crosses val="autoZero"/>
        <c:auto val="1"/>
        <c:lblAlgn val="ctr"/>
        <c:lblOffset val="100"/>
        <c:noMultiLvlLbl val="0"/>
      </c:catAx>
      <c:valAx>
        <c:axId val="2114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@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52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2022–2025 LTM ($B)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DASHBOARD!$R$2</c:f>
              <c:strCache>
                <c:ptCount val="1"/>
                <c:pt idx="0">
                  <c:v>Cumul Revenue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numFmt formatCode="#,##0.000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RATIOS!$E$66:$H$66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RATIOS!$E$89:$H$89</c:f>
              <c:numCache>
                <c:formatCode>General</c:formatCode>
                <c:ptCount val="4"/>
                <c:pt idx="0">
                  <c:v>13.997159999999999</c:v>
                </c:pt>
                <c:pt idx="1">
                  <c:v>22.19877</c:v>
                </c:pt>
                <c:pt idx="2">
                  <c:v>22.19877</c:v>
                </c:pt>
                <c:pt idx="3">
                  <c:v>30.988900000000001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E-4472-ADDD-40E4D0D98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896928"/>
        <c:axId val="457886848"/>
      </c:lineChart>
      <c:catAx>
        <c:axId val="45789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86848"/>
        <c:crosses val="autoZero"/>
        <c:auto val="1"/>
        <c:lblAlgn val="ctr"/>
        <c:lblOffset val="100"/>
        <c:noMultiLvlLbl val="0"/>
      </c:catAx>
      <c:valAx>
        <c:axId val="457886848"/>
        <c:scaling>
          <c:orientation val="minMax"/>
        </c:scaling>
        <c:delete val="0"/>
        <c:axPos val="l"/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9692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6062494852202461"/>
          <c:y val="3.4725376351076899E-2"/>
          <c:w val="0.80445997103692268"/>
          <c:h val="0.86844854735213683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ysClr val="window" lastClr="FFFFFF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48-4394-9FAD-41F9257E25AC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48-4394-9FAD-41F9257E25AC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48-4394-9FAD-41F9257E25AC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48-4394-9FAD-41F9257E25AC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48-4394-9FAD-41F9257E25AC}"/>
                </c:ext>
              </c:extLst>
            </c:dLbl>
            <c:numFmt formatCode="#,##0.00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2'!$U$85:$U$89</c:f>
              <c:numCache>
                <c:formatCode>General</c:formatCode>
                <c:ptCount val="5"/>
                <c:pt idx="0">
                  <c:v>104.82750000000001</c:v>
                </c:pt>
                <c:pt idx="1">
                  <c:v>153.74700000000001</c:v>
                </c:pt>
                <c:pt idx="2">
                  <c:v>167.72400000000002</c:v>
                </c:pt>
                <c:pt idx="3">
                  <c:v>181.70100000000002</c:v>
                </c:pt>
                <c:pt idx="4">
                  <c:v>160.7355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48-4394-9FAD-41F9257E25AC}"/>
            </c:ext>
          </c:extLst>
        </c:ser>
        <c:ser>
          <c:idx val="1"/>
          <c:order val="1"/>
          <c:spPr>
            <a:solidFill>
              <a:srgbClr val="1B3E70"/>
            </a:solidFill>
            <a:ln>
              <a:noFill/>
              <a:prstDash val="solid"/>
            </a:ln>
          </c:spPr>
          <c:invertIfNegative val="0"/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2'!$V$85:$V$89</c:f>
              <c:numCache>
                <c:formatCode>General</c:formatCode>
                <c:ptCount val="5"/>
                <c:pt idx="0">
                  <c:v>97.838999999999999</c:v>
                </c:pt>
                <c:pt idx="1">
                  <c:v>69.885000000000019</c:v>
                </c:pt>
                <c:pt idx="2">
                  <c:v>76.873500000000007</c:v>
                </c:pt>
                <c:pt idx="3">
                  <c:v>76.873500000000035</c:v>
                </c:pt>
                <c:pt idx="4">
                  <c:v>76.873500000000007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48-4394-9FAD-41F9257E25AC}"/>
            </c:ext>
          </c:extLst>
        </c:ser>
        <c:ser>
          <c:idx val="2"/>
          <c:order val="2"/>
          <c:spPr>
            <a:solidFill>
              <a:sysClr val="window" lastClr="FFFFFF"/>
            </a:solidFill>
            <a:ln>
              <a:noFill/>
              <a:prstDash val="solid"/>
            </a:ln>
          </c:spPr>
          <c:invertIfNegative val="0"/>
          <c:dLbls>
            <c:numFmt formatCode="#,##0.00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2'!$W$85:$W$89</c:f>
              <c:numCache>
                <c:formatCode>General</c:formatCode>
                <c:ptCount val="5"/>
                <c:pt idx="0">
                  <c:v>202.66650000000001</c:v>
                </c:pt>
                <c:pt idx="1">
                  <c:v>223.63200000000003</c:v>
                </c:pt>
                <c:pt idx="2">
                  <c:v>244.59750000000003</c:v>
                </c:pt>
                <c:pt idx="3">
                  <c:v>258.57450000000006</c:v>
                </c:pt>
                <c:pt idx="4">
                  <c:v>237.60900000000001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48-4394-9FAD-41F9257E2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5"/>
        <c:overlap val="100"/>
        <c:axId val="1578284831"/>
        <c:axId val="1578285791"/>
      </c:barChart>
      <c:catAx>
        <c:axId val="157828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578285791"/>
        <c:crosses val="autoZero"/>
        <c:auto val="1"/>
        <c:lblAlgn val="ctr"/>
        <c:lblOffset val="100"/>
        <c:noMultiLvlLbl val="0"/>
      </c:catAx>
      <c:valAx>
        <c:axId val="1578285791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57828483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 w="254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2'!$C$106:$G$106</c:f>
              <c:strCache>
                <c:ptCount val="5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 (LTM)</c:v>
                </c:pt>
              </c:strCache>
            </c:strRef>
          </c:cat>
          <c:val>
            <c:numRef>
              <c:f>'DASHBOARD 2'!$C$108:$G$108</c:f>
              <c:numCache>
                <c:formatCode>General</c:formatCode>
                <c:ptCount val="5"/>
                <c:pt idx="0">
                  <c:v>0</c:v>
                </c:pt>
                <c:pt idx="1">
                  <c:v>5973.69</c:v>
                </c:pt>
                <c:pt idx="2">
                  <c:v>8023.47</c:v>
                </c:pt>
                <c:pt idx="3">
                  <c:v>8201.61</c:v>
                </c:pt>
                <c:pt idx="4">
                  <c:v>8790.1299999999992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E-48DD-83D6-E8CFD7D42B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2"/>
        <c:overlap val="100"/>
        <c:axId val="1595827455"/>
        <c:axId val="1595828895"/>
      </c:barChart>
      <c:lineChart>
        <c:grouping val="standard"/>
        <c:varyColors val="0"/>
        <c:ser>
          <c:idx val="1"/>
          <c:order val="1"/>
          <c:tx>
            <c:v>Revenue Growth (%)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9E-48DD-83D6-E8CFD7D42BA4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9E-48DD-83D6-E8CFD7D42BA4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9E-48DD-83D6-E8CFD7D42BA4}"/>
                </c:ext>
              </c:extLst>
            </c:dLbl>
            <c:numFmt formatCode="0.0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6000" tIns="36000" rIns="72000" bIns="108000" anchor="ctr" anchorCtr="1">
                <a:spAutoFit/>
              </a:bodyPr>
              <a:lstStyle/>
              <a:p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'DASHBOARD 2'!$C$106:$G$106</c:f>
              <c:strCache>
                <c:ptCount val="5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 (LTM)</c:v>
                </c:pt>
              </c:strCache>
            </c:strRef>
          </c:cat>
          <c:val>
            <c:numRef>
              <c:f>'DASHBOARD 2'!$C$107:$G$107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0.34313464542016758</c:v>
                </c:pt>
                <c:pt idx="3">
                  <c:v>2.2202363815157389E-2</c:v>
                </c:pt>
                <c:pt idx="4">
                  <c:v>7.1756642903039625E-2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9E-48DD-83D6-E8CFD7D42B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8833696"/>
        <c:axId val="1028832736"/>
      </c:lineChart>
      <c:catAx>
        <c:axId val="159582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828895"/>
        <c:crosses val="autoZero"/>
        <c:auto val="1"/>
        <c:lblAlgn val="ctr"/>
        <c:lblOffset val="100"/>
        <c:noMultiLvlLbl val="0"/>
      </c:catAx>
      <c:valAx>
        <c:axId val="15958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827455"/>
        <c:crosses val="autoZero"/>
        <c:crossBetween val="between"/>
      </c:valAx>
      <c:catAx>
        <c:axId val="1028833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8832736"/>
        <c:crosses val="autoZero"/>
        <c:auto val="1"/>
        <c:lblAlgn val="ctr"/>
        <c:lblOffset val="100"/>
        <c:noMultiLvlLbl val="0"/>
      </c:catAx>
      <c:valAx>
        <c:axId val="1028832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833696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INPUT!$D$137</c:f>
              <c:strCache>
                <c:ptCount val="1"/>
                <c:pt idx="0">
                  <c:v>PLD</c:v>
                </c:pt>
              </c:strCache>
            </c:strRef>
          </c:tx>
          <c:spPr>
            <a:ln w="28575" cap="rnd">
              <a:solidFill>
                <a:srgbClr val="E8612C"/>
              </a:solidFill>
              <a:prstDash val="solid"/>
              <a:round/>
            </a:ln>
          </c:spPr>
          <c:marker>
            <c:symbol val="none"/>
          </c:marker>
          <c:cat>
            <c:strRef>
              <c:f>STOCK_DATA!$B$3:$B$15</c:f>
              <c:strCache>
                <c:ptCount val="12"/>
                <c:pt idx="0">
                  <c:v>May-25</c:v>
                </c:pt>
                <c:pt idx="1">
                  <c:v>Jun-25</c:v>
                </c:pt>
                <c:pt idx="2">
                  <c:v>Jul-25</c:v>
                </c:pt>
                <c:pt idx="3">
                  <c:v>Aug-25</c:v>
                </c:pt>
                <c:pt idx="4">
                  <c:v>Sep-25</c:v>
                </c:pt>
                <c:pt idx="5">
                  <c:v>Oct-25</c:v>
                </c:pt>
                <c:pt idx="6">
                  <c:v>Nov-25</c:v>
                </c:pt>
                <c:pt idx="7">
                  <c:v>Dec-25</c:v>
                </c:pt>
                <c:pt idx="8">
                  <c:v>Jan-26</c:v>
                </c:pt>
                <c:pt idx="9">
                  <c:v>Feb-26</c:v>
                </c:pt>
                <c:pt idx="10">
                  <c:v>Mar-26</c:v>
                </c:pt>
                <c:pt idx="11">
                  <c:v>Apr-26</c:v>
                </c:pt>
              </c:strCache>
            </c:strRef>
          </c:cat>
          <c:val>
            <c:numRef>
              <c:f>STOCK_DATA!$C$3:$C$15</c:f>
              <c:numCache>
                <c:formatCode>"€"#\ ##0.00</c:formatCode>
                <c:ptCount val="13"/>
                <c:pt idx="0">
                  <c:v>104.95</c:v>
                </c:pt>
                <c:pt idx="1">
                  <c:v>101.59</c:v>
                </c:pt>
                <c:pt idx="2">
                  <c:v>104.18</c:v>
                </c:pt>
                <c:pt idx="3">
                  <c:v>111.01</c:v>
                </c:pt>
                <c:pt idx="4">
                  <c:v>111.73</c:v>
                </c:pt>
                <c:pt idx="5">
                  <c:v>122.15</c:v>
                </c:pt>
                <c:pt idx="6">
                  <c:v>126.52</c:v>
                </c:pt>
                <c:pt idx="7">
                  <c:v>125.66</c:v>
                </c:pt>
                <c:pt idx="8">
                  <c:v>129.52000000000001</c:v>
                </c:pt>
                <c:pt idx="9">
                  <c:v>141.43</c:v>
                </c:pt>
                <c:pt idx="10">
                  <c:v>131.13</c:v>
                </c:pt>
                <c:pt idx="11">
                  <c:v>139.77000000000001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2-4E9E-9926-14130B956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409328"/>
        <c:axId val="1116398288"/>
      </c:lineChart>
      <c:catAx>
        <c:axId val="11164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398288"/>
        <c:crosses val="autoZero"/>
        <c:auto val="1"/>
        <c:lblAlgn val="ctr"/>
        <c:lblOffset val="100"/>
        <c:tickLblSkip val="1"/>
        <c:noMultiLvlLbl val="0"/>
      </c:catAx>
      <c:valAx>
        <c:axId val="11163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c:spPr>
        </c:majorGridlines>
        <c:numFmt formatCode="&quot;€&quot;#\ 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4093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'DASHBOARD 2'!$R$96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2'!$P$5:$S$5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2'!$P$17:$S$17</c:f>
              <c:numCache>
                <c:formatCode>_(* #,##0.00_);_(* \(#,##0.00\);_(* "-"??_);_(@_)</c:formatCode>
                <c:ptCount val="4"/>
                <c:pt idx="0">
                  <c:v>1058.5199999999998</c:v>
                </c:pt>
                <c:pt idx="1">
                  <c:v>1653.7200000000007</c:v>
                </c:pt>
                <c:pt idx="2">
                  <c:v>1185.6100000000001</c:v>
                </c:pt>
                <c:pt idx="3">
                  <c:v>-324.62999999999965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A-4CDC-9968-5784285C8D0F}"/>
            </c:ext>
          </c:extLst>
        </c:ser>
        <c:ser>
          <c:idx val="1"/>
          <c:order val="1"/>
          <c:tx>
            <c:strRef>
              <c:f>'DASHBOARD 2'!$R$97</c:f>
              <c:strCache>
                <c:ptCount val="1"/>
                <c:pt idx="0">
                  <c:v>CFO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2'!$P$5:$S$5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2'!$P$18:$S$18</c:f>
              <c:numCache>
                <c:formatCode>_(* #,##0.00_);_(* \(#,##0.00\);_(* "-"??_);_(@_)</c:formatCode>
                <c:ptCount val="4"/>
                <c:pt idx="0">
                  <c:v>-3185.27</c:v>
                </c:pt>
                <c:pt idx="1">
                  <c:v>3922.2600000000011</c:v>
                </c:pt>
                <c:pt idx="2">
                  <c:v>-93.330000000000098</c:v>
                </c:pt>
                <c:pt idx="3">
                  <c:v>1384.5500000000002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A-4CDC-9968-5784285C8D0F}"/>
            </c:ext>
          </c:extLst>
        </c:ser>
        <c:ser>
          <c:idx val="2"/>
          <c:order val="2"/>
          <c:tx>
            <c:strRef>
              <c:f>'DASHBOARD 2'!$R$98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2'!$P$5:$S$5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2'!$P$19:$S$19</c:f>
              <c:numCache>
                <c:formatCode>_(* #,##0.00_);_(* \(#,##0.00\);_(* "-"??_);_(@_)</c:formatCode>
                <c:ptCount val="4"/>
                <c:pt idx="0">
                  <c:v>-994.16000000000031</c:v>
                </c:pt>
                <c:pt idx="1">
                  <c:v>-1355.8899999999992</c:v>
                </c:pt>
                <c:pt idx="2">
                  <c:v>-2120.21</c:v>
                </c:pt>
                <c:pt idx="3">
                  <c:v>-3710.92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7A-4CDC-9968-5784285C8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85920"/>
        <c:axId val="211486400"/>
      </c:lineChart>
      <c:catAx>
        <c:axId val="21148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86400"/>
        <c:crosses val="autoZero"/>
        <c:auto val="1"/>
        <c:lblAlgn val="ctr"/>
        <c:lblOffset val="100"/>
        <c:noMultiLvlLbl val="0"/>
      </c:catAx>
      <c:valAx>
        <c:axId val="2114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859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688731</xdr:colOff>
      <xdr:row>102</xdr:row>
      <xdr:rowOff>161193</xdr:rowOff>
    </xdr:from>
    <xdr:to>
      <xdr:col>9</xdr:col>
      <xdr:colOff>117231</xdr:colOff>
      <xdr:row>117</xdr:row>
      <xdr:rowOff>46893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102</xdr:row>
      <xdr:rowOff>161193</xdr:rowOff>
    </xdr:from>
    <xdr:to>
      <xdr:col>3</xdr:col>
      <xdr:colOff>419833</xdr:colOff>
      <xdr:row>117</xdr:row>
      <xdr:rowOff>46893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372340</xdr:colOff>
      <xdr:row>92</xdr:row>
      <xdr:rowOff>75507</xdr:rowOff>
    </xdr:from>
    <xdr:to>
      <xdr:col>3</xdr:col>
      <xdr:colOff>298680</xdr:colOff>
      <xdr:row>107</xdr:row>
      <xdr:rowOff>24130</xdr:rowOff>
    </xdr:to>
    <xdr:graphicFrame macro="">
      <xdr:nvGraphicFramePr>
        <xdr:cNvPr id="5" name="NAV par Scénario">
          <a:extLst>
            <a:ext uri="{FF2B5EF4-FFF2-40B4-BE49-F238E27FC236}">
              <a16:creationId xmlns:a16="http://schemas.microsoft.com/office/drawing/2014/main" id="{E70C50F7-998F-B215-0FB2-AAD1BE751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139930</xdr:colOff>
      <xdr:row>92</xdr:row>
      <xdr:rowOff>101483</xdr:rowOff>
    </xdr:from>
    <xdr:to>
      <xdr:col>11</xdr:col>
      <xdr:colOff>310110</xdr:colOff>
      <xdr:row>107</xdr:row>
      <xdr:rowOff>50106</xdr:rowOff>
    </xdr:to>
    <xdr:graphicFrame macro="">
      <xdr:nvGraphicFramePr>
        <xdr:cNvPr id="6" name="P/NAV par Scénario">
          <a:extLst>
            <a:ext uri="{FF2B5EF4-FFF2-40B4-BE49-F238E27FC236}">
              <a16:creationId xmlns:a16="http://schemas.microsoft.com/office/drawing/2014/main" id="{12596B8F-36AE-52AB-3269-797D3ABCB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86810</xdr:colOff>
      <xdr:row>29</xdr:row>
      <xdr:rowOff>217025</xdr:rowOff>
    </xdr:from>
    <xdr:to>
      <xdr:col>11</xdr:col>
      <xdr:colOff>1039309</xdr:colOff>
      <xdr:row>43</xdr:row>
      <xdr:rowOff>144685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55462</xdr:colOff>
      <xdr:row>20</xdr:row>
      <xdr:rowOff>9646</xdr:rowOff>
    </xdr:from>
    <xdr:to>
      <xdr:col>12</xdr:col>
      <xdr:colOff>9645</xdr:colOff>
      <xdr:row>28</xdr:row>
      <xdr:rowOff>173620</xdr:rowOff>
    </xdr:to>
    <xdr:graphicFrame macro="">
      <xdr:nvGraphicFramePr>
        <xdr:cNvPr id="4" name="P/FFO Peers vs. Target">
          <a:extLst>
            <a:ext uri="{FF2B5EF4-FFF2-40B4-BE49-F238E27FC236}">
              <a16:creationId xmlns:a16="http://schemas.microsoft.com/office/drawing/2014/main" id="{118B758E-9177-7257-38AA-80392BB97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750045</xdr:colOff>
      <xdr:row>48</xdr:row>
      <xdr:rowOff>28503</xdr:rowOff>
    </xdr:from>
    <xdr:to>
      <xdr:col>3</xdr:col>
      <xdr:colOff>313765</xdr:colOff>
      <xdr:row>62</xdr:row>
      <xdr:rowOff>189868</xdr:rowOff>
    </xdr:to>
    <xdr:graphicFrame macro="">
      <xdr:nvGraphicFramePr>
        <xdr:cNvPr id="4" name="Revenue by Scenario">
          <a:extLst>
            <a:ext uri="{FF2B5EF4-FFF2-40B4-BE49-F238E27FC236}">
              <a16:creationId xmlns:a16="http://schemas.microsoft.com/office/drawing/2014/main" id="{7C142D4B-C2AD-EB5B-0379-BF46A0322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683845</xdr:colOff>
      <xdr:row>48</xdr:row>
      <xdr:rowOff>19539</xdr:rowOff>
    </xdr:from>
    <xdr:to>
      <xdr:col>12</xdr:col>
      <xdr:colOff>742460</xdr:colOff>
      <xdr:row>62</xdr:row>
      <xdr:rowOff>187763</xdr:rowOff>
    </xdr:to>
    <xdr:graphicFrame macro="">
      <xdr:nvGraphicFramePr>
        <xdr:cNvPr id="5" name="NOI by Scenario">
          <a:extLst>
            <a:ext uri="{FF2B5EF4-FFF2-40B4-BE49-F238E27FC236}">
              <a16:creationId xmlns:a16="http://schemas.microsoft.com/office/drawing/2014/main" id="{0E9D161A-EBE0-E086-9A0B-2C7F7786B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84055</xdr:colOff>
      <xdr:row>7</xdr:row>
      <xdr:rowOff>119546</xdr:rowOff>
    </xdr:from>
    <xdr:to>
      <xdr:col>12</xdr:col>
      <xdr:colOff>316566</xdr:colOff>
      <xdr:row>21</xdr:row>
      <xdr:rowOff>115869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142294</xdr:colOff>
      <xdr:row>24</xdr:row>
      <xdr:rowOff>90900</xdr:rowOff>
    </xdr:from>
    <xdr:to>
      <xdr:col>12</xdr:col>
      <xdr:colOff>631339</xdr:colOff>
      <xdr:row>38</xdr:row>
      <xdr:rowOff>29807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25581</xdr:colOff>
      <xdr:row>7</xdr:row>
      <xdr:rowOff>113609</xdr:rowOff>
    </xdr:from>
    <xdr:to>
      <xdr:col>5</xdr:col>
      <xdr:colOff>747993</xdr:colOff>
      <xdr:row>21</xdr:row>
      <xdr:rowOff>89647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168254</xdr:colOff>
      <xdr:row>24</xdr:row>
      <xdr:rowOff>83856</xdr:rowOff>
    </xdr:from>
    <xdr:to>
      <xdr:col>5</xdr:col>
      <xdr:colOff>1449369</xdr:colOff>
      <xdr:row>38</xdr:row>
      <xdr:rowOff>48633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431889</xdr:colOff>
      <xdr:row>22</xdr:row>
      <xdr:rowOff>83548</xdr:rowOff>
    </xdr:from>
    <xdr:to>
      <xdr:col>14</xdr:col>
      <xdr:colOff>74295</xdr:colOff>
      <xdr:row>39</xdr:row>
      <xdr:rowOff>11669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28576</xdr:colOff>
      <xdr:row>42</xdr:row>
      <xdr:rowOff>171449</xdr:rowOff>
    </xdr:from>
    <xdr:to>
      <xdr:col>7</xdr:col>
      <xdr:colOff>56030</xdr:colOff>
      <xdr:row>59</xdr:row>
      <xdr:rowOff>56028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11205</xdr:colOff>
      <xdr:row>22</xdr:row>
      <xdr:rowOff>100853</xdr:rowOff>
    </xdr:from>
    <xdr:to>
      <xdr:col>6</xdr:col>
      <xdr:colOff>818029</xdr:colOff>
      <xdr:row>39</xdr:row>
      <xdr:rowOff>30629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419918</xdr:colOff>
      <xdr:row>22</xdr:row>
      <xdr:rowOff>58509</xdr:rowOff>
    </xdr:from>
    <xdr:to>
      <xdr:col>19</xdr:col>
      <xdr:colOff>44824</xdr:colOff>
      <xdr:row>39</xdr:row>
      <xdr:rowOff>68035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82D448-7275-47A6-98D5-48B820751C17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7ee74d2f-0967-4939-9336-e189b01b93b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0"/>
  <sheetViews>
    <sheetView showGridLines="0" topLeftCell="A114" zoomScaleNormal="100" workbookViewId="0">
      <selection activeCell="J120" sqref="J120"/>
    </sheetView>
  </sheetViews>
  <sheetFormatPr baseColWidth="10" defaultRowHeight="14.4" x14ac:dyDescent="0.3"/>
  <cols>
    <col min="1" max="1" width="1.77734375" customWidth="1"/>
    <col min="2" max="2" width="50" style="18" customWidth="1"/>
    <col min="3" max="3" width="15.6640625" customWidth="1"/>
    <col min="4" max="8" width="13.33203125" style="20" customWidth="1"/>
  </cols>
  <sheetData>
    <row r="1" spans="1:8" ht="54.9" customHeight="1" x14ac:dyDescent="0.6">
      <c r="A1" s="5"/>
      <c r="B1" s="81"/>
      <c r="C1" s="5"/>
      <c r="D1" s="5"/>
      <c r="E1" s="5"/>
      <c r="F1" s="80"/>
      <c r="G1" s="5"/>
      <c r="H1" s="5"/>
    </row>
    <row r="2" spans="1:8" ht="15" customHeight="1" x14ac:dyDescent="0.35">
      <c r="A2" s="3"/>
      <c r="B2" s="13"/>
      <c r="C2" s="3"/>
      <c r="D2" s="21"/>
      <c r="E2" s="21"/>
      <c r="F2" s="21"/>
      <c r="G2" s="21"/>
      <c r="H2" s="21"/>
    </row>
    <row r="3" spans="1:8" ht="18" customHeight="1" x14ac:dyDescent="0.5">
      <c r="A3" s="402"/>
      <c r="B3" s="14" t="s">
        <v>0</v>
      </c>
      <c r="C3" s="7"/>
      <c r="D3" s="7"/>
      <c r="E3" s="22"/>
      <c r="F3" s="22"/>
      <c r="G3" s="22"/>
      <c r="H3" s="22"/>
    </row>
    <row r="4" spans="1:8" ht="15" customHeight="1" x14ac:dyDescent="0.35">
      <c r="A4" s="3"/>
      <c r="B4" s="11" t="s">
        <v>1</v>
      </c>
      <c r="C4" s="3"/>
      <c r="D4" s="21"/>
      <c r="E4" s="21"/>
      <c r="F4" s="21"/>
      <c r="G4" s="21"/>
      <c r="H4" s="21"/>
    </row>
    <row r="5" spans="1:8" ht="15" customHeight="1" x14ac:dyDescent="0.35">
      <c r="A5" s="1"/>
      <c r="B5" s="15" t="s">
        <v>2</v>
      </c>
      <c r="C5" s="1" t="s">
        <v>3</v>
      </c>
      <c r="D5" s="1"/>
      <c r="E5" s="23">
        <v>2022</v>
      </c>
      <c r="F5" s="23">
        <v>2023</v>
      </c>
      <c r="G5" s="23">
        <v>2024</v>
      </c>
      <c r="H5" s="23" t="s">
        <v>4</v>
      </c>
    </row>
    <row r="6" spans="1:8" ht="15" customHeight="1" x14ac:dyDescent="0.35">
      <c r="A6" s="3"/>
      <c r="B6" s="13"/>
      <c r="C6" s="3"/>
      <c r="D6" s="21"/>
      <c r="E6" s="21"/>
      <c r="F6" s="21"/>
      <c r="G6" s="21"/>
      <c r="H6" s="21"/>
    </row>
    <row r="7" spans="1:8" ht="18" customHeight="1" x14ac:dyDescent="0.5">
      <c r="A7" s="402"/>
      <c r="B7" s="14" t="s">
        <v>6</v>
      </c>
      <c r="C7" s="7"/>
      <c r="D7" s="22"/>
      <c r="E7" s="22"/>
      <c r="F7" s="22"/>
      <c r="G7" s="22"/>
      <c r="H7" s="22"/>
    </row>
    <row r="8" spans="1:8" ht="18" customHeight="1" x14ac:dyDescent="0.5">
      <c r="A8" s="88"/>
      <c r="B8" s="87"/>
      <c r="C8" s="88"/>
      <c r="D8" s="86"/>
      <c r="E8" s="86"/>
      <c r="F8" s="86"/>
      <c r="G8" s="86"/>
      <c r="H8" s="86"/>
    </row>
    <row r="9" spans="1:8" ht="15" customHeight="1" x14ac:dyDescent="0.35">
      <c r="A9" s="3"/>
      <c r="B9" s="16" t="s">
        <v>7</v>
      </c>
      <c r="C9" s="34" t="s">
        <v>8</v>
      </c>
      <c r="D9" s="498"/>
      <c r="E9" s="191">
        <v>5973.69</v>
      </c>
      <c r="F9" s="191">
        <v>8023.47</v>
      </c>
      <c r="G9" s="191">
        <v>8201.61</v>
      </c>
      <c r="H9" s="191">
        <v>8790.1299999999992</v>
      </c>
    </row>
    <row r="10" spans="1:8" ht="15" customHeight="1" x14ac:dyDescent="0.35">
      <c r="A10" s="3"/>
      <c r="B10" s="16" t="s">
        <v>9</v>
      </c>
      <c r="C10" s="34" t="s">
        <v>8</v>
      </c>
      <c r="D10" s="498"/>
      <c r="E10" s="192">
        <v>-1509.09</v>
      </c>
      <c r="F10" s="192">
        <v>-2010.34</v>
      </c>
      <c r="G10" s="192">
        <v>-2057.2399999999998</v>
      </c>
      <c r="H10" s="192">
        <v>-2234.65</v>
      </c>
    </row>
    <row r="11" spans="1:8" ht="15" customHeight="1" x14ac:dyDescent="0.35">
      <c r="A11" s="3"/>
      <c r="B11" s="43" t="s">
        <v>10</v>
      </c>
      <c r="C11" s="44" t="s">
        <v>8</v>
      </c>
      <c r="D11" s="499">
        <f>D9+D10</f>
        <v>0</v>
      </c>
      <c r="E11" s="197">
        <f>E9+E10</f>
        <v>4464.5999999999995</v>
      </c>
      <c r="F11" s="197">
        <f>F9+F10</f>
        <v>6013.13</v>
      </c>
      <c r="G11" s="197">
        <f>G9+G10</f>
        <v>6144.3700000000008</v>
      </c>
      <c r="H11" s="197">
        <f>H9+H10</f>
        <v>6555.48</v>
      </c>
    </row>
    <row r="12" spans="1:8" ht="15" customHeight="1" x14ac:dyDescent="0.35">
      <c r="A12" s="3"/>
      <c r="B12" s="43"/>
      <c r="C12" s="44"/>
      <c r="D12" s="499"/>
      <c r="E12" s="45"/>
      <c r="F12" s="45"/>
      <c r="G12" s="45"/>
      <c r="H12" s="45"/>
    </row>
    <row r="13" spans="1:8" ht="15" customHeight="1" x14ac:dyDescent="0.35">
      <c r="A13" s="3"/>
      <c r="B13" s="43"/>
      <c r="C13" s="44"/>
      <c r="D13" s="499">
        <f>SUM(D14:D16)</f>
        <v>0</v>
      </c>
      <c r="E13" s="197">
        <f>SUM(E14:E16)</f>
        <v>-5218.8599999999997</v>
      </c>
      <c r="F13" s="197">
        <f>SUM(F14:F16)</f>
        <v>-6844.2999999999993</v>
      </c>
      <c r="G13" s="197">
        <f>SUM(G14:G16)</f>
        <v>-7539.2800000000007</v>
      </c>
      <c r="H13" s="197">
        <f>SUM(H14:H16)</f>
        <v>-9506.14</v>
      </c>
    </row>
    <row r="14" spans="1:8" ht="15" customHeight="1" x14ac:dyDescent="0.35">
      <c r="A14" s="3"/>
      <c r="B14" s="16" t="s">
        <v>11</v>
      </c>
      <c r="C14" s="34" t="s">
        <v>8</v>
      </c>
      <c r="D14" s="498"/>
      <c r="E14" s="191">
        <v>-331.08</v>
      </c>
      <c r="F14" s="191">
        <v>-390.41</v>
      </c>
      <c r="G14" s="191">
        <v>-418.76</v>
      </c>
      <c r="H14" s="191">
        <v>-469.11</v>
      </c>
    </row>
    <row r="15" spans="1:8" ht="15" customHeight="1" x14ac:dyDescent="0.35">
      <c r="A15" s="3"/>
      <c r="B15" s="16" t="s">
        <v>12</v>
      </c>
      <c r="C15" s="34" t="s">
        <v>8</v>
      </c>
      <c r="D15" s="498"/>
      <c r="E15" s="191">
        <v>-3075</v>
      </c>
      <c r="F15" s="191">
        <v>-3969</v>
      </c>
      <c r="G15" s="191">
        <v>-4540</v>
      </c>
      <c r="H15" s="191">
        <v>-6411</v>
      </c>
    </row>
    <row r="16" spans="1:8" ht="15" customHeight="1" x14ac:dyDescent="0.35">
      <c r="A16" s="3"/>
      <c r="B16" s="16" t="s">
        <v>13</v>
      </c>
      <c r="C16" s="34" t="s">
        <v>8</v>
      </c>
      <c r="D16" s="498"/>
      <c r="E16" s="193">
        <v>-1812.78</v>
      </c>
      <c r="F16" s="193">
        <v>-2484.89</v>
      </c>
      <c r="G16" s="193">
        <v>-2580.52</v>
      </c>
      <c r="H16" s="193">
        <v>-2626.03</v>
      </c>
    </row>
    <row r="17" spans="1:8" ht="15" customHeight="1" x14ac:dyDescent="0.35">
      <c r="A17" s="3"/>
      <c r="B17" s="43" t="s">
        <v>14</v>
      </c>
      <c r="C17" s="44" t="s">
        <v>8</v>
      </c>
      <c r="D17" s="499">
        <f>D11+D13</f>
        <v>0</v>
      </c>
      <c r="E17" s="197">
        <f>E11+E13</f>
        <v>-754.26000000000022</v>
      </c>
      <c r="F17" s="197">
        <f>F11+F13</f>
        <v>-831.16999999999916</v>
      </c>
      <c r="G17" s="197">
        <f>G11+G13</f>
        <v>-1394.9099999999999</v>
      </c>
      <c r="H17" s="197">
        <f>H11+H13</f>
        <v>-2950.66</v>
      </c>
    </row>
    <row r="18" spans="1:8" ht="15" customHeight="1" x14ac:dyDescent="0.35">
      <c r="A18" s="3"/>
      <c r="B18" s="43"/>
      <c r="C18" s="44"/>
      <c r="D18" s="499"/>
      <c r="E18" s="45"/>
      <c r="F18" s="45"/>
      <c r="G18" s="45"/>
      <c r="H18" s="45"/>
    </row>
    <row r="19" spans="1:8" ht="15" customHeight="1" x14ac:dyDescent="0.35">
      <c r="A19" s="3"/>
      <c r="B19" s="43"/>
      <c r="C19" s="44"/>
      <c r="D19" s="499">
        <f>D17+D20+D21</f>
        <v>0</v>
      </c>
      <c r="E19" s="197">
        <f>E17+E20+E21</f>
        <v>-1046.1600000000003</v>
      </c>
      <c r="F19" s="197">
        <f>F17+F20+F21</f>
        <v>-1449.8899999999992</v>
      </c>
      <c r="G19" s="197">
        <f>G17+G20+G21</f>
        <v>-2232.21</v>
      </c>
      <c r="H19" s="197">
        <f>H17+H20+H21</f>
        <v>-3922.92</v>
      </c>
    </row>
    <row r="20" spans="1:8" ht="15" customHeight="1" x14ac:dyDescent="0.35">
      <c r="A20" s="3"/>
      <c r="B20" s="16" t="s">
        <v>15</v>
      </c>
      <c r="C20" s="34" t="s">
        <v>8</v>
      </c>
      <c r="D20" s="498"/>
      <c r="E20" s="191">
        <v>-291.89999999999998</v>
      </c>
      <c r="F20" s="191">
        <v>-618.72</v>
      </c>
      <c r="G20" s="191">
        <v>-837.3</v>
      </c>
      <c r="H20" s="191">
        <v>-972.26</v>
      </c>
    </row>
    <row r="21" spans="1:8" ht="15" customHeight="1" x14ac:dyDescent="0.35">
      <c r="A21" s="3"/>
      <c r="B21" s="16" t="s">
        <v>16</v>
      </c>
      <c r="C21" s="34" t="s">
        <v>8</v>
      </c>
      <c r="D21" s="498"/>
      <c r="E21" s="193">
        <v>0</v>
      </c>
      <c r="F21" s="193">
        <v>0</v>
      </c>
      <c r="G21" s="193">
        <v>0</v>
      </c>
      <c r="H21" s="193">
        <v>0</v>
      </c>
    </row>
    <row r="22" spans="1:8" ht="15" customHeight="1" x14ac:dyDescent="0.35">
      <c r="A22" s="3"/>
      <c r="B22" s="43" t="s">
        <v>17</v>
      </c>
      <c r="C22" s="44" t="s">
        <v>8</v>
      </c>
      <c r="D22" s="499">
        <f>D19</f>
        <v>0</v>
      </c>
      <c r="E22" s="197">
        <f>E19</f>
        <v>-1046.1600000000003</v>
      </c>
      <c r="F22" s="197">
        <f>F19</f>
        <v>-1449.8899999999992</v>
      </c>
      <c r="G22" s="197">
        <f>G19</f>
        <v>-2232.21</v>
      </c>
      <c r="H22" s="197">
        <f>H19</f>
        <v>-3922.92</v>
      </c>
    </row>
    <row r="23" spans="1:8" ht="15" customHeight="1" x14ac:dyDescent="0.35">
      <c r="A23" s="3"/>
      <c r="B23" s="43"/>
      <c r="C23" s="44"/>
      <c r="D23" s="499"/>
      <c r="E23" s="45"/>
      <c r="F23" s="45"/>
      <c r="G23" s="45"/>
      <c r="H23" s="45"/>
    </row>
    <row r="24" spans="1:8" ht="15" customHeight="1" x14ac:dyDescent="0.35">
      <c r="A24" s="3"/>
      <c r="B24" s="43"/>
      <c r="C24" s="44"/>
      <c r="D24" s="499">
        <f>-ROUND(D22*0.21,0)</f>
        <v>0</v>
      </c>
      <c r="E24" s="197">
        <f>-ROUND(E22*E126,0)</f>
        <v>52</v>
      </c>
      <c r="F24" s="197">
        <f>-ROUND(F22*F126,0)</f>
        <v>94</v>
      </c>
      <c r="G24" s="197">
        <f>-ROUND(G22*G126,0)</f>
        <v>112</v>
      </c>
      <c r="H24" s="197">
        <f>-ROUND(H22*H126,0)</f>
        <v>212</v>
      </c>
    </row>
    <row r="25" spans="1:8" ht="15" customHeight="1" x14ac:dyDescent="0.35">
      <c r="A25" s="3"/>
      <c r="B25" s="16" t="s">
        <v>18</v>
      </c>
      <c r="C25" s="34" t="s">
        <v>8</v>
      </c>
      <c r="D25" s="498"/>
      <c r="E25" s="191">
        <v>-135.41</v>
      </c>
      <c r="F25" s="191">
        <v>-211.04</v>
      </c>
      <c r="G25" s="191">
        <v>-166.94</v>
      </c>
      <c r="H25" s="191">
        <v>-204.02</v>
      </c>
    </row>
    <row r="26" spans="1:8" ht="15" customHeight="1" thickBot="1" x14ac:dyDescent="0.4">
      <c r="A26" s="3"/>
      <c r="B26" s="46" t="s">
        <v>19</v>
      </c>
      <c r="C26" s="44" t="s">
        <v>8</v>
      </c>
      <c r="D26" s="499">
        <f>D22+D24</f>
        <v>0</v>
      </c>
      <c r="E26" s="198">
        <f>E22+E24</f>
        <v>-994.16000000000031</v>
      </c>
      <c r="F26" s="198">
        <f>F22+F24</f>
        <v>-1355.8899999999992</v>
      </c>
      <c r="G26" s="198">
        <f>G22+G24</f>
        <v>-2120.21</v>
      </c>
      <c r="H26" s="198">
        <f>H22+H24</f>
        <v>-3710.92</v>
      </c>
    </row>
    <row r="27" spans="1:8" ht="15" customHeight="1" x14ac:dyDescent="0.35">
      <c r="A27" s="3"/>
      <c r="B27" s="46"/>
      <c r="C27" s="44"/>
      <c r="D27" s="499"/>
      <c r="E27" s="45"/>
      <c r="F27" s="45"/>
      <c r="G27" s="45"/>
      <c r="H27" s="45"/>
    </row>
    <row r="28" spans="1:8" ht="15" customHeight="1" x14ac:dyDescent="0.35">
      <c r="A28" s="3"/>
      <c r="B28" s="46"/>
      <c r="C28" s="44"/>
      <c r="D28" s="500"/>
    </row>
    <row r="29" spans="1:8" ht="15" customHeight="1" x14ac:dyDescent="0.35">
      <c r="A29" s="3"/>
      <c r="B29" s="16" t="s">
        <v>20</v>
      </c>
      <c r="C29" s="34" t="s">
        <v>8</v>
      </c>
      <c r="D29" s="498"/>
      <c r="E29" s="191">
        <v>0</v>
      </c>
      <c r="F29" s="191">
        <v>-3228.59</v>
      </c>
      <c r="G29" s="191">
        <v>-3570.48</v>
      </c>
      <c r="H29" s="191">
        <v>-3764.74</v>
      </c>
    </row>
    <row r="30" spans="1:8" ht="15" customHeight="1" x14ac:dyDescent="0.35">
      <c r="A30" s="3"/>
      <c r="B30" s="43" t="s">
        <v>21</v>
      </c>
      <c r="C30" s="44" t="s">
        <v>8</v>
      </c>
      <c r="D30" s="499">
        <f>D17-D16</f>
        <v>0</v>
      </c>
      <c r="E30" s="197">
        <f>E17-E16</f>
        <v>1058.5199999999998</v>
      </c>
      <c r="F30" s="197">
        <f>F17-F16</f>
        <v>1653.7200000000007</v>
      </c>
      <c r="G30" s="197">
        <f>G17-G16</f>
        <v>1185.6100000000001</v>
      </c>
      <c r="H30" s="197">
        <f>H17-H16</f>
        <v>-324.62999999999965</v>
      </c>
    </row>
    <row r="31" spans="1:8" ht="15" customHeight="1" x14ac:dyDescent="0.35">
      <c r="A31" s="3"/>
      <c r="B31" s="13"/>
      <c r="C31" s="8"/>
      <c r="D31" s="35"/>
      <c r="E31" s="35"/>
      <c r="F31" s="35"/>
      <c r="G31" s="35"/>
      <c r="H31" s="35"/>
    </row>
    <row r="32" spans="1:8" ht="18" customHeight="1" x14ac:dyDescent="0.5">
      <c r="A32" s="36"/>
      <c r="B32" s="41" t="s">
        <v>22</v>
      </c>
      <c r="C32" s="36"/>
      <c r="D32" s="7"/>
      <c r="E32" s="37"/>
      <c r="F32" s="37"/>
      <c r="G32" s="37"/>
      <c r="H32" s="37"/>
    </row>
    <row r="33" spans="1:8" ht="18" customHeight="1" x14ac:dyDescent="0.5">
      <c r="A33" s="88"/>
      <c r="B33" s="90"/>
      <c r="C33" s="89"/>
      <c r="D33" s="497"/>
      <c r="E33" s="91"/>
      <c r="F33" s="91"/>
      <c r="G33" s="91"/>
      <c r="H33" s="91"/>
    </row>
    <row r="34" spans="1:8" ht="15" customHeight="1" x14ac:dyDescent="0.35">
      <c r="A34" s="3"/>
      <c r="B34" s="16" t="s">
        <v>23</v>
      </c>
      <c r="C34" s="34" t="s">
        <v>8</v>
      </c>
      <c r="D34" s="498"/>
      <c r="E34" s="191">
        <v>278.48</v>
      </c>
      <c r="F34" s="191">
        <v>530.39</v>
      </c>
      <c r="G34" s="191">
        <v>1318.59</v>
      </c>
      <c r="H34" s="191">
        <v>1145.6500000000001</v>
      </c>
    </row>
    <row r="35" spans="1:8" ht="15" customHeight="1" x14ac:dyDescent="0.35">
      <c r="A35" s="3"/>
      <c r="B35" s="16" t="s">
        <v>24</v>
      </c>
      <c r="C35" s="34" t="s">
        <v>8</v>
      </c>
      <c r="D35" s="498"/>
      <c r="E35" s="191">
        <v>378</v>
      </c>
      <c r="F35" s="191">
        <v>325.7</v>
      </c>
      <c r="G35" s="191">
        <v>407.46</v>
      </c>
      <c r="H35" s="191">
        <v>601.34</v>
      </c>
    </row>
    <row r="36" spans="1:8" ht="15" customHeight="1" x14ac:dyDescent="0.35">
      <c r="A36" s="3"/>
      <c r="B36" s="16" t="s">
        <v>25</v>
      </c>
      <c r="C36" s="34" t="s">
        <v>8</v>
      </c>
      <c r="D36" s="498"/>
      <c r="E36" s="191">
        <v>22936</v>
      </c>
      <c r="F36" s="191">
        <v>19317</v>
      </c>
      <c r="G36" s="191">
        <v>18868</v>
      </c>
      <c r="H36" s="191">
        <v>16663</v>
      </c>
    </row>
    <row r="37" spans="1:8" ht="15" customHeight="1" x14ac:dyDescent="0.35">
      <c r="A37" s="3"/>
      <c r="B37" s="16" t="s">
        <v>26</v>
      </c>
      <c r="C37" s="34" t="s">
        <v>8</v>
      </c>
      <c r="D37" s="498"/>
      <c r="E37" s="193">
        <v>63</v>
      </c>
      <c r="F37" s="193">
        <v>60</v>
      </c>
      <c r="G37" s="193">
        <v>71</v>
      </c>
      <c r="H37" s="193">
        <v>105</v>
      </c>
    </row>
    <row r="38" spans="1:8" ht="15" customHeight="1" x14ac:dyDescent="0.35">
      <c r="A38" s="3"/>
      <c r="B38" s="43" t="s">
        <v>27</v>
      </c>
      <c r="C38" s="44" t="s">
        <v>8</v>
      </c>
      <c r="D38" s="499">
        <f>SUM(D34:D37)</f>
        <v>0</v>
      </c>
      <c r="E38" s="197">
        <f>SUM(E34:E37)</f>
        <v>23655.48</v>
      </c>
      <c r="F38" s="197">
        <f>SUM(F34:F37)</f>
        <v>20233.09</v>
      </c>
      <c r="G38" s="197">
        <f>SUM(G34:G37)</f>
        <v>20665.05</v>
      </c>
      <c r="H38" s="197">
        <f>SUM(H34:H37)</f>
        <v>18514.990000000002</v>
      </c>
    </row>
    <row r="39" spans="1:8" ht="15" customHeight="1" x14ac:dyDescent="0.35">
      <c r="A39" s="3"/>
      <c r="B39" s="43"/>
      <c r="C39" s="44"/>
      <c r="D39" s="499"/>
      <c r="E39" s="45"/>
      <c r="F39" s="45"/>
      <c r="G39" s="45"/>
      <c r="H39" s="45"/>
    </row>
    <row r="40" spans="1:8" ht="15" customHeight="1" x14ac:dyDescent="0.35">
      <c r="A40" s="3"/>
      <c r="B40" s="43"/>
      <c r="C40" s="44"/>
      <c r="D40" s="499"/>
      <c r="E40" s="45"/>
      <c r="F40" s="45"/>
      <c r="G40" s="45"/>
      <c r="H40" s="45"/>
    </row>
    <row r="41" spans="1:8" ht="15" customHeight="1" x14ac:dyDescent="0.35">
      <c r="A41" s="3"/>
      <c r="B41" s="16" t="s">
        <v>28</v>
      </c>
      <c r="C41" s="34" t="s">
        <v>8</v>
      </c>
      <c r="D41" s="498"/>
      <c r="E41" s="191">
        <v>855.33</v>
      </c>
      <c r="F41" s="191">
        <v>891.74</v>
      </c>
      <c r="G41" s="191">
        <v>920.13</v>
      </c>
      <c r="H41" s="191">
        <v>893.37</v>
      </c>
    </row>
    <row r="42" spans="1:8" ht="15" customHeight="1" x14ac:dyDescent="0.35">
      <c r="A42" s="3"/>
      <c r="B42" s="16" t="s">
        <v>29</v>
      </c>
      <c r="C42" s="34" t="s">
        <v>8</v>
      </c>
      <c r="D42" s="498"/>
      <c r="E42" s="191">
        <v>1183.01</v>
      </c>
      <c r="F42" s="191">
        <v>1010.62</v>
      </c>
      <c r="G42" s="191">
        <v>764.55</v>
      </c>
      <c r="H42" s="191">
        <v>588.42999999999995</v>
      </c>
    </row>
    <row r="43" spans="1:8" ht="15" customHeight="1" x14ac:dyDescent="0.35">
      <c r="A43" s="3"/>
      <c r="B43" s="16" t="s">
        <v>30</v>
      </c>
      <c r="C43" s="34" t="s">
        <v>8</v>
      </c>
      <c r="D43" s="498"/>
      <c r="E43" s="191">
        <v>1652.87</v>
      </c>
      <c r="F43" s="191">
        <v>1955.9</v>
      </c>
      <c r="G43" s="191">
        <v>2513.1999999999998</v>
      </c>
      <c r="H43" s="191">
        <v>3223.96</v>
      </c>
    </row>
    <row r="44" spans="1:8" ht="15" customHeight="1" thickBot="1" x14ac:dyDescent="0.4">
      <c r="A44" s="3"/>
      <c r="B44" s="43" t="s">
        <v>31</v>
      </c>
      <c r="C44" s="44" t="s">
        <v>8</v>
      </c>
      <c r="D44" s="499">
        <f>D38+SUM(D41:D43)</f>
        <v>0</v>
      </c>
      <c r="E44" s="198">
        <f>E38+SUM(E41:E43)</f>
        <v>27346.69</v>
      </c>
      <c r="F44" s="198">
        <f>F38+SUM(F41:F43)</f>
        <v>24091.35</v>
      </c>
      <c r="G44" s="198">
        <f>G38+SUM(G41:G43)</f>
        <v>24862.93</v>
      </c>
      <c r="H44" s="198">
        <f>H38+SUM(H41:H43)</f>
        <v>23220.75</v>
      </c>
    </row>
    <row r="45" spans="1:8" ht="15" customHeight="1" x14ac:dyDescent="0.35">
      <c r="A45" s="3"/>
      <c r="B45" s="43"/>
      <c r="C45" s="44"/>
      <c r="D45" s="499"/>
      <c r="E45" s="45"/>
      <c r="F45" s="45"/>
      <c r="G45" s="45"/>
      <c r="H45" s="45"/>
    </row>
    <row r="46" spans="1:8" ht="15" customHeight="1" x14ac:dyDescent="0.35">
      <c r="A46" s="3"/>
      <c r="B46" s="43"/>
      <c r="C46" s="44"/>
      <c r="D46" s="499"/>
      <c r="E46" s="45"/>
      <c r="F46" s="45"/>
      <c r="G46" s="45"/>
      <c r="H46" s="45"/>
    </row>
    <row r="47" spans="1:8" ht="15" customHeight="1" x14ac:dyDescent="0.35">
      <c r="A47" s="3"/>
      <c r="B47" s="16" t="s">
        <v>32</v>
      </c>
      <c r="C47" s="34" t="s">
        <v>8</v>
      </c>
      <c r="D47" s="498"/>
      <c r="E47" s="191">
        <v>1711.88</v>
      </c>
      <c r="F47" s="191">
        <v>1766.02</v>
      </c>
      <c r="G47" s="191">
        <v>1769.33</v>
      </c>
      <c r="H47" s="191">
        <v>1963.64</v>
      </c>
    </row>
    <row r="48" spans="1:8" ht="15" customHeight="1" x14ac:dyDescent="0.35">
      <c r="A48" s="3"/>
      <c r="B48" s="16" t="s">
        <v>33</v>
      </c>
      <c r="C48" s="34" t="s">
        <v>8</v>
      </c>
      <c r="D48" s="498"/>
      <c r="E48" s="191">
        <v>1538.46</v>
      </c>
      <c r="F48" s="191">
        <v>979.31</v>
      </c>
      <c r="G48" s="191">
        <v>224.97</v>
      </c>
      <c r="H48" s="191">
        <v>44.68</v>
      </c>
    </row>
    <row r="49" spans="1:8" ht="15" customHeight="1" x14ac:dyDescent="0.35">
      <c r="A49" s="3"/>
      <c r="B49" s="16" t="s">
        <v>34</v>
      </c>
      <c r="C49" s="34" t="s">
        <v>8</v>
      </c>
      <c r="D49" s="498"/>
      <c r="E49" s="191">
        <v>99.76</v>
      </c>
      <c r="F49" s="191">
        <v>118.68</v>
      </c>
      <c r="G49" s="191">
        <v>141.13</v>
      </c>
      <c r="H49" s="191">
        <v>156.02000000000001</v>
      </c>
    </row>
    <row r="50" spans="1:8" ht="15" customHeight="1" x14ac:dyDescent="0.35">
      <c r="A50" s="3"/>
      <c r="B50" s="16" t="s">
        <v>35</v>
      </c>
      <c r="C50" s="34" t="s">
        <v>8</v>
      </c>
      <c r="D50" s="498"/>
      <c r="E50" s="193">
        <v>4.54</v>
      </c>
      <c r="F50" s="193">
        <v>14.18</v>
      </c>
      <c r="G50" s="193">
        <v>1.95</v>
      </c>
      <c r="H50" s="193">
        <v>0.69</v>
      </c>
    </row>
    <row r="51" spans="1:8" ht="15" customHeight="1" x14ac:dyDescent="0.35">
      <c r="A51" s="3"/>
      <c r="B51" s="43" t="s">
        <v>36</v>
      </c>
      <c r="C51" s="44" t="s">
        <v>8</v>
      </c>
      <c r="D51" s="499">
        <f>SUM(D47:D50)</f>
        <v>0</v>
      </c>
      <c r="E51" s="197">
        <f>SUM(E47:E50)</f>
        <v>3354.6400000000003</v>
      </c>
      <c r="F51" s="197">
        <f>SUM(F47:F50)</f>
        <v>2878.1899999999996</v>
      </c>
      <c r="G51" s="197">
        <f>SUM(G47:G50)</f>
        <v>2137.3799999999997</v>
      </c>
      <c r="H51" s="197">
        <f>SUM(H47:H50)</f>
        <v>2165.0300000000002</v>
      </c>
    </row>
    <row r="52" spans="1:8" ht="15" customHeight="1" x14ac:dyDescent="0.35">
      <c r="A52" s="3"/>
      <c r="B52" s="43"/>
      <c r="C52" s="44"/>
      <c r="D52" s="499"/>
      <c r="E52" s="45"/>
      <c r="F52" s="45"/>
      <c r="G52" s="45"/>
      <c r="H52" s="45">
        <v>932</v>
      </c>
    </row>
    <row r="53" spans="1:8" ht="15" customHeight="1" x14ac:dyDescent="0.35">
      <c r="A53" s="3"/>
      <c r="B53" s="43"/>
      <c r="C53" s="44"/>
      <c r="D53" s="499"/>
      <c r="E53" s="45"/>
      <c r="F53" s="45"/>
      <c r="G53" s="45"/>
      <c r="H53" s="45"/>
    </row>
    <row r="54" spans="1:8" ht="15" customHeight="1" x14ac:dyDescent="0.35">
      <c r="A54" s="3"/>
      <c r="B54" s="16" t="s">
        <v>37</v>
      </c>
      <c r="C54" s="34" t="s">
        <v>8</v>
      </c>
      <c r="D54" s="498"/>
      <c r="E54" s="193">
        <v>22337.5</v>
      </c>
      <c r="F54" s="193">
        <v>28021.19</v>
      </c>
      <c r="G54" s="193">
        <v>30654.3</v>
      </c>
      <c r="H54" s="193">
        <v>34992.39</v>
      </c>
    </row>
    <row r="55" spans="1:8" ht="15" customHeight="1" x14ac:dyDescent="0.35">
      <c r="A55" s="3"/>
      <c r="B55" s="46" t="s">
        <v>38</v>
      </c>
      <c r="C55" s="44" t="s">
        <v>8</v>
      </c>
      <c r="D55" s="499">
        <f>D51+D54</f>
        <v>0</v>
      </c>
      <c r="E55" s="197">
        <f>E51+E54</f>
        <v>25692.14</v>
      </c>
      <c r="F55" s="197">
        <f>F51+F54</f>
        <v>30899.379999999997</v>
      </c>
      <c r="G55" s="197">
        <f>G51+G54</f>
        <v>32791.68</v>
      </c>
      <c r="H55" s="197">
        <f>H51+H54</f>
        <v>37157.42</v>
      </c>
    </row>
    <row r="56" spans="1:8" ht="15" customHeight="1" x14ac:dyDescent="0.35">
      <c r="A56" s="3"/>
      <c r="B56" s="46"/>
      <c r="C56" s="44"/>
      <c r="D56" s="499"/>
      <c r="E56" s="45"/>
      <c r="F56" s="45"/>
      <c r="G56" s="45"/>
      <c r="H56" s="45"/>
    </row>
    <row r="57" spans="1:8" ht="15" customHeight="1" x14ac:dyDescent="0.35">
      <c r="A57" s="3"/>
      <c r="B57" s="46"/>
      <c r="C57" s="44"/>
      <c r="D57" s="499"/>
      <c r="E57" s="45"/>
      <c r="F57" s="45"/>
      <c r="G57" s="45"/>
      <c r="H57" s="45"/>
    </row>
    <row r="58" spans="1:8" ht="15" customHeight="1" x14ac:dyDescent="0.35">
      <c r="A58" s="3"/>
      <c r="B58" s="16" t="s">
        <v>39</v>
      </c>
      <c r="C58" s="34" t="s">
        <v>8</v>
      </c>
      <c r="D58" s="498"/>
      <c r="E58" s="191">
        <v>54138.59</v>
      </c>
      <c r="F58" s="191">
        <v>54322.990000000013</v>
      </c>
      <c r="G58" s="191">
        <v>54537.27</v>
      </c>
      <c r="H58" s="191">
        <v>54771.88</v>
      </c>
    </row>
    <row r="59" spans="1:8" ht="15" customHeight="1" x14ac:dyDescent="0.35">
      <c r="A59" s="3"/>
      <c r="B59" s="16" t="s">
        <v>40</v>
      </c>
      <c r="C59" s="34" t="s">
        <v>8</v>
      </c>
      <c r="D59" s="498"/>
      <c r="E59" s="193">
        <v>-457.69</v>
      </c>
      <c r="F59" s="193">
        <v>-627.07000000000005</v>
      </c>
      <c r="G59" s="193">
        <v>-465.91</v>
      </c>
      <c r="H59" s="193">
        <v>-902.43</v>
      </c>
    </row>
    <row r="60" spans="1:8" ht="15" customHeight="1" x14ac:dyDescent="0.35">
      <c r="A60" s="3"/>
      <c r="B60" s="46" t="s">
        <v>41</v>
      </c>
      <c r="C60" s="44" t="s">
        <v>8</v>
      </c>
      <c r="D60" s="499">
        <f>D58+D59</f>
        <v>0</v>
      </c>
      <c r="E60" s="197">
        <f>E58+E59</f>
        <v>53680.899999999994</v>
      </c>
      <c r="F60" s="197">
        <f>F58+F59</f>
        <v>53695.920000000013</v>
      </c>
      <c r="G60" s="197">
        <f>G58+G59</f>
        <v>54071.359999999993</v>
      </c>
      <c r="H60" s="197">
        <f>H58+H59</f>
        <v>53869.45</v>
      </c>
    </row>
    <row r="61" spans="1:8" ht="15" customHeight="1" x14ac:dyDescent="0.35">
      <c r="A61" s="3"/>
      <c r="B61" s="46"/>
      <c r="C61" s="44"/>
      <c r="D61" s="499"/>
      <c r="E61" s="45"/>
      <c r="F61" s="45"/>
      <c r="G61" s="45"/>
      <c r="H61" s="45"/>
    </row>
    <row r="62" spans="1:8" ht="15" customHeight="1" x14ac:dyDescent="0.35">
      <c r="A62" s="3"/>
      <c r="B62" s="46"/>
      <c r="C62" s="44"/>
      <c r="D62" s="499"/>
      <c r="E62" s="45"/>
      <c r="F62" s="45"/>
      <c r="G62" s="45"/>
      <c r="H62" s="45"/>
    </row>
    <row r="63" spans="1:8" ht="15" customHeight="1" thickBot="1" x14ac:dyDescent="0.4">
      <c r="A63" s="3"/>
      <c r="B63" s="46" t="s">
        <v>42</v>
      </c>
      <c r="C63" s="44" t="s">
        <v>8</v>
      </c>
      <c r="D63" s="499">
        <f>D55+D60</f>
        <v>0</v>
      </c>
      <c r="E63" s="198">
        <f>E55+E60</f>
        <v>79373.039999999994</v>
      </c>
      <c r="F63" s="198">
        <f>F55+F60</f>
        <v>84595.300000000017</v>
      </c>
      <c r="G63" s="198">
        <f>G55+G60</f>
        <v>86863.039999999994</v>
      </c>
      <c r="H63" s="198">
        <f>H55+H60</f>
        <v>91026.87</v>
      </c>
    </row>
    <row r="64" spans="1:8" ht="15" customHeight="1" x14ac:dyDescent="0.35">
      <c r="A64" s="3"/>
      <c r="B64" s="46"/>
      <c r="C64" s="44"/>
      <c r="D64" s="495"/>
      <c r="E64" s="45"/>
      <c r="F64" s="45"/>
      <c r="G64" s="45"/>
      <c r="H64" s="45"/>
    </row>
    <row r="65" spans="1:8" ht="15" customHeight="1" x14ac:dyDescent="0.35">
      <c r="A65" s="3"/>
      <c r="B65" s="46"/>
      <c r="C65" s="44"/>
      <c r="D65" s="495"/>
      <c r="E65" s="45"/>
      <c r="F65" s="45"/>
      <c r="G65" s="45"/>
      <c r="H65" s="45"/>
    </row>
    <row r="66" spans="1:8" ht="15" customHeight="1" x14ac:dyDescent="0.35">
      <c r="A66" s="3"/>
      <c r="B66" s="13"/>
      <c r="C66" s="8"/>
      <c r="D66" s="35"/>
      <c r="E66" s="35"/>
      <c r="F66" s="35"/>
      <c r="G66" s="35"/>
      <c r="H66" s="35"/>
    </row>
    <row r="67" spans="1:8" ht="18" customHeight="1" x14ac:dyDescent="0.5">
      <c r="A67" s="36"/>
      <c r="B67" s="41" t="s">
        <v>43</v>
      </c>
      <c r="C67" s="36"/>
      <c r="D67" s="7"/>
      <c r="E67" s="37"/>
      <c r="F67" s="37"/>
      <c r="G67" s="37"/>
      <c r="H67" s="37"/>
    </row>
    <row r="68" spans="1:8" ht="18" customHeight="1" x14ac:dyDescent="0.5">
      <c r="A68" s="88"/>
      <c r="B68" s="90"/>
      <c r="C68" s="89"/>
      <c r="D68" s="91"/>
      <c r="E68" s="91"/>
      <c r="F68" s="91"/>
      <c r="G68" s="91"/>
      <c r="H68" s="91"/>
    </row>
    <row r="69" spans="1:8" ht="15" customHeight="1" x14ac:dyDescent="0.35">
      <c r="A69" s="3"/>
      <c r="B69" s="16" t="s">
        <v>19</v>
      </c>
      <c r="C69" s="34" t="s">
        <v>8</v>
      </c>
      <c r="D69" s="494">
        <f>D26</f>
        <v>0</v>
      </c>
      <c r="E69" s="194">
        <f>E26</f>
        <v>-994.16000000000031</v>
      </c>
      <c r="F69" s="194">
        <f>F26</f>
        <v>-1355.8899999999992</v>
      </c>
      <c r="G69" s="194">
        <f>G26</f>
        <v>-2120.21</v>
      </c>
      <c r="H69" s="194">
        <f>H26</f>
        <v>-3710.92</v>
      </c>
    </row>
    <row r="70" spans="1:8" ht="15" customHeight="1" x14ac:dyDescent="0.35">
      <c r="A70" s="3"/>
      <c r="B70" s="16" t="s">
        <v>13</v>
      </c>
      <c r="C70" s="34" t="s">
        <v>8</v>
      </c>
      <c r="D70" s="494">
        <f>-D16</f>
        <v>0</v>
      </c>
      <c r="E70" s="194">
        <f>-E16</f>
        <v>1812.78</v>
      </c>
      <c r="F70" s="194">
        <f>-F16</f>
        <v>2484.89</v>
      </c>
      <c r="G70" s="194">
        <f>-G16</f>
        <v>2580.52</v>
      </c>
      <c r="H70" s="194">
        <f>-H16</f>
        <v>2626.03</v>
      </c>
    </row>
    <row r="71" spans="1:8" ht="15" customHeight="1" x14ac:dyDescent="0.35">
      <c r="A71" s="3"/>
      <c r="B71" s="16" t="s">
        <v>44</v>
      </c>
      <c r="C71" s="34" t="s">
        <v>8</v>
      </c>
      <c r="D71" s="494"/>
      <c r="E71" s="191">
        <v>-63.95</v>
      </c>
      <c r="F71" s="191">
        <v>-82.38</v>
      </c>
      <c r="G71" s="191">
        <v>20.53</v>
      </c>
      <c r="H71" s="191">
        <v>1.27</v>
      </c>
    </row>
    <row r="72" spans="1:8" ht="15" customHeight="1" x14ac:dyDescent="0.35">
      <c r="A72" s="3"/>
      <c r="B72" s="16" t="s">
        <v>45</v>
      </c>
      <c r="C72" s="34" t="s">
        <v>8</v>
      </c>
      <c r="D72" s="494"/>
      <c r="E72" s="191">
        <v>-3805</v>
      </c>
      <c r="F72" s="191">
        <v>3159</v>
      </c>
      <c r="G72" s="191">
        <v>-203</v>
      </c>
      <c r="H72" s="191">
        <v>2848</v>
      </c>
    </row>
    <row r="73" spans="1:8" ht="15" customHeight="1" x14ac:dyDescent="0.35">
      <c r="A73" s="3"/>
      <c r="B73" s="16" t="s">
        <v>46</v>
      </c>
      <c r="C73" s="34" t="s">
        <v>8</v>
      </c>
      <c r="D73" s="494"/>
      <c r="E73" s="191">
        <v>109.03</v>
      </c>
      <c r="F73" s="191">
        <v>255.06</v>
      </c>
      <c r="G73" s="191">
        <v>194.55</v>
      </c>
      <c r="H73" s="191">
        <v>225.61</v>
      </c>
    </row>
    <row r="74" spans="1:8" ht="15" customHeight="1" x14ac:dyDescent="0.35">
      <c r="A74" s="3"/>
      <c r="B74" s="16" t="s">
        <v>47</v>
      </c>
      <c r="C74" s="34" t="s">
        <v>8</v>
      </c>
      <c r="D74" s="494"/>
      <c r="E74" s="191">
        <v>-243.97</v>
      </c>
      <c r="F74" s="191">
        <v>-538.41999999999996</v>
      </c>
      <c r="G74" s="191">
        <v>-565.72</v>
      </c>
      <c r="H74" s="191">
        <v>-605.44000000000005</v>
      </c>
    </row>
    <row r="75" spans="1:8" ht="15" customHeight="1" thickBot="1" x14ac:dyDescent="0.4">
      <c r="A75" s="3"/>
      <c r="B75" s="43" t="s">
        <v>48</v>
      </c>
      <c r="C75" s="44" t="s">
        <v>8</v>
      </c>
      <c r="D75" s="495">
        <f>SUM(D69:D74)</f>
        <v>0</v>
      </c>
      <c r="E75" s="198">
        <f>SUM(E69:E74)</f>
        <v>-3185.27</v>
      </c>
      <c r="F75" s="198">
        <f>SUM(F69:F74)</f>
        <v>3922.2600000000011</v>
      </c>
      <c r="G75" s="198">
        <f>SUM(G69:G74)</f>
        <v>-93.330000000000098</v>
      </c>
      <c r="H75" s="198">
        <f>SUM(H69:H74)</f>
        <v>1384.5500000000002</v>
      </c>
    </row>
    <row r="76" spans="1:8" ht="15" customHeight="1" x14ac:dyDescent="0.35">
      <c r="A76" s="3"/>
      <c r="B76" s="43"/>
      <c r="C76" s="44"/>
      <c r="D76" s="495"/>
      <c r="E76" s="45"/>
      <c r="F76" s="45"/>
      <c r="G76" s="45"/>
      <c r="H76" s="45"/>
    </row>
    <row r="77" spans="1:8" ht="15" customHeight="1" x14ac:dyDescent="0.35">
      <c r="A77" s="3"/>
      <c r="B77" s="43"/>
      <c r="C77" s="44"/>
      <c r="D77" s="495"/>
      <c r="E77" s="45"/>
      <c r="F77" s="45"/>
      <c r="G77" s="45"/>
      <c r="H77" s="45"/>
    </row>
    <row r="78" spans="1:8" ht="15" customHeight="1" x14ac:dyDescent="0.35">
      <c r="A78" s="3"/>
      <c r="B78" s="16" t="s">
        <v>49</v>
      </c>
      <c r="C78" s="34" t="s">
        <v>8</v>
      </c>
      <c r="D78" s="494"/>
      <c r="E78" s="191">
        <v>-15690</v>
      </c>
      <c r="F78" s="191">
        <v>-17722</v>
      </c>
      <c r="G78" s="191">
        <v>-14909</v>
      </c>
      <c r="H78" s="191">
        <v>-16953</v>
      </c>
    </row>
    <row r="79" spans="1:8" ht="15" customHeight="1" x14ac:dyDescent="0.35">
      <c r="A79" s="3"/>
      <c r="B79" s="16" t="s">
        <v>50</v>
      </c>
      <c r="C79" s="34" t="s">
        <v>8</v>
      </c>
      <c r="D79" s="494"/>
      <c r="E79" s="191">
        <v>-3.46</v>
      </c>
      <c r="F79" s="191">
        <v>-2.23</v>
      </c>
      <c r="G79" s="191">
        <v>-3</v>
      </c>
      <c r="H79" s="191">
        <v>-202.36</v>
      </c>
    </row>
    <row r="80" spans="1:8" ht="15" customHeight="1" thickBot="1" x14ac:dyDescent="0.4">
      <c r="A80" s="3"/>
      <c r="B80" s="46" t="s">
        <v>51</v>
      </c>
      <c r="C80" s="44" t="s">
        <v>8</v>
      </c>
      <c r="D80" s="495">
        <f>SUM(D78:D79)</f>
        <v>0</v>
      </c>
      <c r="E80" s="198">
        <f>SUM(E78:E79)</f>
        <v>-15693.46</v>
      </c>
      <c r="F80" s="198">
        <f>SUM(F78:F79)</f>
        <v>-17724.23</v>
      </c>
      <c r="G80" s="198">
        <f>SUM(G78:G79)</f>
        <v>-14912</v>
      </c>
      <c r="H80" s="198">
        <f>SUM(H78:H79)</f>
        <v>-17155.36</v>
      </c>
    </row>
    <row r="81" spans="1:8" ht="15" customHeight="1" x14ac:dyDescent="0.35">
      <c r="A81" s="3"/>
      <c r="B81" s="46"/>
      <c r="C81" s="44"/>
      <c r="D81" s="495"/>
      <c r="E81" s="45"/>
      <c r="F81" s="45"/>
      <c r="G81" s="45"/>
      <c r="H81" s="45"/>
    </row>
    <row r="82" spans="1:8" ht="15" customHeight="1" x14ac:dyDescent="0.35">
      <c r="A82" s="3"/>
      <c r="B82" s="46"/>
      <c r="C82" s="44"/>
      <c r="D82" s="495"/>
      <c r="E82" s="45"/>
      <c r="F82" s="45"/>
      <c r="G82" s="45"/>
      <c r="H82" s="45"/>
    </row>
    <row r="83" spans="1:8" ht="15" customHeight="1" x14ac:dyDescent="0.35">
      <c r="A83" s="3"/>
      <c r="B83" s="16" t="s">
        <v>52</v>
      </c>
      <c r="C83" s="34" t="s">
        <v>8</v>
      </c>
      <c r="D83" s="494"/>
      <c r="E83" s="191">
        <v>4410.6499999999996</v>
      </c>
      <c r="F83" s="191">
        <v>5755.1</v>
      </c>
      <c r="G83" s="191">
        <v>4505.83</v>
      </c>
      <c r="H83" s="191">
        <v>3460.9</v>
      </c>
    </row>
    <row r="84" spans="1:8" ht="15" customHeight="1" x14ac:dyDescent="0.35">
      <c r="A84" s="3"/>
      <c r="B84" s="16" t="s">
        <v>53</v>
      </c>
      <c r="C84" s="34" t="s">
        <v>8</v>
      </c>
      <c r="D84" s="494"/>
      <c r="E84" s="191">
        <v>0</v>
      </c>
      <c r="F84" s="191">
        <v>0</v>
      </c>
      <c r="G84" s="191">
        <v>521</v>
      </c>
      <c r="H84" s="191">
        <v>492</v>
      </c>
    </row>
    <row r="85" spans="1:8" ht="15" customHeight="1" x14ac:dyDescent="0.35">
      <c r="A85" s="3"/>
      <c r="B85" s="16" t="s">
        <v>54</v>
      </c>
      <c r="C85" s="34" t="s">
        <v>8</v>
      </c>
      <c r="D85" s="494"/>
      <c r="E85" s="191">
        <v>0</v>
      </c>
      <c r="F85" s="191">
        <v>-3228.59</v>
      </c>
      <c r="G85" s="191">
        <v>-3570.48</v>
      </c>
      <c r="H85" s="191">
        <v>-3764.74</v>
      </c>
    </row>
    <row r="86" spans="1:8" ht="15" customHeight="1" thickBot="1" x14ac:dyDescent="0.4">
      <c r="A86" s="3"/>
      <c r="B86" s="43" t="s">
        <v>55</v>
      </c>
      <c r="C86" s="44" t="s">
        <v>8</v>
      </c>
      <c r="D86" s="495">
        <f>SUM(D83:D85)</f>
        <v>0</v>
      </c>
      <c r="E86" s="198">
        <f>SUM(E83:E85)</f>
        <v>4410.6499999999996</v>
      </c>
      <c r="F86" s="198">
        <f>SUM(F83:F85)</f>
        <v>2526.5100000000002</v>
      </c>
      <c r="G86" s="198">
        <f>SUM(G83:G85)</f>
        <v>1456.35</v>
      </c>
      <c r="H86" s="198">
        <f>SUM(H83:H85)</f>
        <v>188.16000000000031</v>
      </c>
    </row>
    <row r="87" spans="1:8" ht="15" customHeight="1" x14ac:dyDescent="0.35">
      <c r="A87" s="3"/>
      <c r="B87" s="43"/>
      <c r="C87" s="44"/>
      <c r="D87" s="495"/>
      <c r="E87" s="45"/>
      <c r="F87" s="45"/>
      <c r="G87" s="45"/>
      <c r="H87" s="45"/>
    </row>
    <row r="88" spans="1:8" ht="15" customHeight="1" x14ac:dyDescent="0.35">
      <c r="A88" s="3"/>
      <c r="B88" s="43"/>
      <c r="C88" s="44"/>
      <c r="D88" s="495"/>
      <c r="E88" s="45"/>
      <c r="F88" s="45"/>
      <c r="G88" s="45"/>
      <c r="H88" s="45"/>
    </row>
    <row r="89" spans="1:8" ht="15" customHeight="1" x14ac:dyDescent="0.35">
      <c r="A89" s="3"/>
      <c r="B89" s="46" t="s">
        <v>56</v>
      </c>
      <c r="C89" s="44" t="s">
        <v>8</v>
      </c>
      <c r="D89" s="495">
        <f>D75+D80+D86</f>
        <v>0</v>
      </c>
      <c r="E89" s="197">
        <f>E75+E80+E86</f>
        <v>-14468.08</v>
      </c>
      <c r="F89" s="197">
        <f>F75+F80+F86</f>
        <v>-11275.459999999997</v>
      </c>
      <c r="G89" s="197">
        <f>G75+G80+G86</f>
        <v>-13548.98</v>
      </c>
      <c r="H89" s="197">
        <f>H75+H80+H86</f>
        <v>-15582.650000000001</v>
      </c>
    </row>
    <row r="90" spans="1:8" ht="15" customHeight="1" x14ac:dyDescent="0.35">
      <c r="A90" s="3"/>
      <c r="B90" s="16" t="s">
        <v>57</v>
      </c>
      <c r="C90" s="34" t="s">
        <v>8</v>
      </c>
      <c r="D90" s="494"/>
      <c r="E90" s="191">
        <v>556.12</v>
      </c>
      <c r="F90" s="191">
        <v>278.48</v>
      </c>
      <c r="G90" s="191">
        <v>530.39</v>
      </c>
      <c r="H90" s="191">
        <v>1318.59</v>
      </c>
    </row>
    <row r="91" spans="1:8" ht="15" customHeight="1" thickBot="1" x14ac:dyDescent="0.4">
      <c r="A91" s="3"/>
      <c r="B91" s="46" t="s">
        <v>58</v>
      </c>
      <c r="C91" s="44" t="s">
        <v>8</v>
      </c>
      <c r="D91" s="495">
        <f>D90+D89</f>
        <v>0</v>
      </c>
      <c r="E91" s="198">
        <f>E90+E89</f>
        <v>-13911.96</v>
      </c>
      <c r="F91" s="198">
        <f>F90+F89</f>
        <v>-10996.979999999998</v>
      </c>
      <c r="G91" s="198">
        <f>G90+G89</f>
        <v>-13018.59</v>
      </c>
      <c r="H91" s="198">
        <f>H90+H89</f>
        <v>-14264.060000000001</v>
      </c>
    </row>
    <row r="92" spans="1:8" ht="15" customHeight="1" x14ac:dyDescent="0.35">
      <c r="A92" s="402"/>
      <c r="B92" s="360" t="s">
        <v>311</v>
      </c>
      <c r="C92" s="402"/>
      <c r="D92" s="403"/>
      <c r="E92" s="403"/>
      <c r="F92" s="403"/>
      <c r="G92" s="403"/>
      <c r="H92" s="403"/>
    </row>
    <row r="93" spans="1:8" ht="15" customHeight="1" x14ac:dyDescent="0.35">
      <c r="A93" s="3"/>
      <c r="B93" s="502"/>
      <c r="C93" s="44"/>
      <c r="D93" s="501"/>
      <c r="E93" s="501"/>
      <c r="F93" s="501"/>
      <c r="G93" s="501"/>
      <c r="H93" s="501"/>
    </row>
    <row r="94" spans="1:8" ht="15" customHeight="1" x14ac:dyDescent="0.35">
      <c r="A94" s="3"/>
      <c r="B94" s="503" t="s">
        <v>312</v>
      </c>
      <c r="C94" s="44" t="s">
        <v>8</v>
      </c>
      <c r="D94" s="496"/>
      <c r="E94" s="191">
        <v>3240</v>
      </c>
      <c r="F94" s="191">
        <v>4580</v>
      </c>
      <c r="G94" s="191">
        <v>5610</v>
      </c>
      <c r="H94" s="191">
        <v>6144</v>
      </c>
    </row>
    <row r="95" spans="1:8" ht="15" customHeight="1" x14ac:dyDescent="0.35">
      <c r="A95" s="3"/>
      <c r="B95" s="504" t="s">
        <v>313</v>
      </c>
      <c r="C95" s="44" t="s">
        <v>8</v>
      </c>
      <c r="D95" s="496"/>
      <c r="E95" s="191">
        <v>4120</v>
      </c>
      <c r="F95" s="191">
        <v>5890</v>
      </c>
      <c r="G95" s="191">
        <v>7180</v>
      </c>
      <c r="H95" s="191">
        <v>7950</v>
      </c>
    </row>
    <row r="96" spans="1:8" ht="15" customHeight="1" x14ac:dyDescent="0.35">
      <c r="A96" s="3"/>
      <c r="B96" s="504" t="s">
        <v>314</v>
      </c>
      <c r="C96" s="44" t="s">
        <v>8</v>
      </c>
      <c r="D96" s="496"/>
      <c r="E96" s="191">
        <v>-880</v>
      </c>
      <c r="F96" s="191">
        <v>-1310</v>
      </c>
      <c r="G96" s="191">
        <v>-1570</v>
      </c>
      <c r="H96" s="191">
        <v>-1806</v>
      </c>
    </row>
    <row r="97" spans="1:8" ht="15" customHeight="1" x14ac:dyDescent="0.35">
      <c r="A97" s="3"/>
      <c r="B97" s="504" t="s">
        <v>315</v>
      </c>
      <c r="C97" s="44" t="s">
        <v>8</v>
      </c>
      <c r="D97" s="496"/>
      <c r="E97" s="191">
        <v>-312</v>
      </c>
      <c r="F97" s="191">
        <v>-445</v>
      </c>
      <c r="G97" s="191">
        <v>-520</v>
      </c>
      <c r="H97" s="191">
        <v>-580</v>
      </c>
    </row>
    <row r="98" spans="1:8" ht="15" customHeight="1" x14ac:dyDescent="0.35">
      <c r="A98" s="3"/>
      <c r="B98" s="504" t="s">
        <v>316</v>
      </c>
      <c r="C98" s="44" t="s">
        <v>8</v>
      </c>
      <c r="D98" s="496"/>
      <c r="E98" s="191">
        <v>-95</v>
      </c>
      <c r="F98" s="191">
        <v>-130</v>
      </c>
      <c r="G98" s="191">
        <v>-158</v>
      </c>
      <c r="H98" s="191">
        <v>-175</v>
      </c>
    </row>
    <row r="99" spans="1:8" ht="15" customHeight="1" x14ac:dyDescent="0.35">
      <c r="A99" s="3"/>
      <c r="B99" s="504" t="s">
        <v>317</v>
      </c>
      <c r="C99" s="44" t="s">
        <v>8</v>
      </c>
      <c r="D99" s="496"/>
      <c r="E99" s="191">
        <v>-68</v>
      </c>
      <c r="F99" s="191">
        <v>-82</v>
      </c>
      <c r="G99" s="191">
        <v>-95</v>
      </c>
      <c r="H99" s="191">
        <v>-108</v>
      </c>
    </row>
    <row r="100" spans="1:8" ht="15" customHeight="1" x14ac:dyDescent="0.35">
      <c r="A100" s="3"/>
      <c r="B100" s="504" t="s">
        <v>438</v>
      </c>
      <c r="C100" s="44" t="s">
        <v>8</v>
      </c>
      <c r="D100" s="496"/>
      <c r="E100" s="280">
        <f>IFERROR(E26+ABS(E16),"–")</f>
        <v>818.61999999999966</v>
      </c>
      <c r="F100" s="280">
        <f>IFERROR(F26+ABS(F16),"–")</f>
        <v>1129.0000000000007</v>
      </c>
      <c r="G100" s="280">
        <f>IFERROR(G26+ABS(G16),"–")</f>
        <v>460.30999999999995</v>
      </c>
      <c r="H100" s="280">
        <f>IFERROR(H26+ABS(H16),"–")</f>
        <v>-1084.8899999999999</v>
      </c>
    </row>
    <row r="101" spans="1:8" ht="15" customHeight="1" x14ac:dyDescent="0.35">
      <c r="A101" s="3"/>
      <c r="B101" s="504" t="s">
        <v>439</v>
      </c>
      <c r="C101" s="44" t="s">
        <v>8</v>
      </c>
      <c r="D101" s="496"/>
      <c r="E101" s="280">
        <f>IFERROR(E100-E97-E98-E99,"–")</f>
        <v>1293.6199999999997</v>
      </c>
      <c r="F101" s="280">
        <f>IFERROR(F100-F97-F98-F99,"–")</f>
        <v>1786.0000000000007</v>
      </c>
      <c r="G101" s="280">
        <f>IFERROR(G100-G97-G98-G99,"–")</f>
        <v>1233.31</v>
      </c>
      <c r="H101" s="280">
        <f>IFERROR(H100-H97-H98-H99,"–")</f>
        <v>-221.88999999999987</v>
      </c>
    </row>
    <row r="102" spans="1:8" ht="15" customHeight="1" x14ac:dyDescent="0.35">
      <c r="A102" s="3"/>
      <c r="B102" s="504" t="s">
        <v>118</v>
      </c>
      <c r="C102" s="44" t="s">
        <v>61</v>
      </c>
      <c r="D102" s="496"/>
      <c r="E102" s="517">
        <f>IFERROR(E100/E118,"–")</f>
        <v>5.0485353068146756E-2</v>
      </c>
      <c r="F102" s="517">
        <f>IFERROR(F100/F118,"–")</f>
        <v>7.1396951875039569E-2</v>
      </c>
      <c r="G102" s="517">
        <f>IFERROR(G100/G118,"–")</f>
        <v>2.9874740394600204E-2</v>
      </c>
      <c r="H102" s="517">
        <f>IFERROR(H100/H118,"–")</f>
        <v>-1.1637578709116847</v>
      </c>
    </row>
    <row r="103" spans="1:8" ht="15" customHeight="1" x14ac:dyDescent="0.35">
      <c r="A103" s="3"/>
      <c r="B103" s="504" t="s">
        <v>119</v>
      </c>
      <c r="C103" s="44" t="s">
        <v>61</v>
      </c>
      <c r="D103" s="496"/>
      <c r="E103" s="517">
        <f>IFERROR(E101/E118,"–")</f>
        <v>7.9779216774591405E-2</v>
      </c>
      <c r="F103" s="517">
        <f>IFERROR(F101/F118,"–")</f>
        <v>0.11294504521596159</v>
      </c>
      <c r="G103" s="517">
        <f>IFERROR(G101/G118,"–")</f>
        <v>8.004348390446521E-2</v>
      </c>
      <c r="H103" s="517">
        <f>IFERROR(H101/H118,"–")</f>
        <v>-0.23802066013751957</v>
      </c>
    </row>
    <row r="104" spans="1:8" ht="15" customHeight="1" x14ac:dyDescent="0.35">
      <c r="A104" s="3"/>
      <c r="B104" s="504" t="s">
        <v>319</v>
      </c>
      <c r="C104" s="44"/>
      <c r="D104" s="496"/>
      <c r="E104" s="390">
        <v>4.4999999999999998E-2</v>
      </c>
      <c r="F104" s="390">
        <v>4.8000000000000001E-2</v>
      </c>
      <c r="G104" s="390">
        <v>5.1999999999999998E-2</v>
      </c>
      <c r="H104" s="390">
        <v>5.5E-2</v>
      </c>
    </row>
    <row r="105" spans="1:8" ht="15" customHeight="1" x14ac:dyDescent="0.35">
      <c r="A105" s="3"/>
      <c r="B105" s="504" t="s">
        <v>320</v>
      </c>
      <c r="C105" s="44" t="s">
        <v>61</v>
      </c>
      <c r="D105" s="496"/>
      <c r="E105" s="506">
        <v>98.5</v>
      </c>
      <c r="F105" s="506">
        <v>112.3</v>
      </c>
      <c r="G105" s="506">
        <v>124.7</v>
      </c>
      <c r="H105" s="506">
        <v>139.80000000000001</v>
      </c>
    </row>
    <row r="106" spans="1:8" ht="15" customHeight="1" x14ac:dyDescent="0.35">
      <c r="A106" s="3"/>
      <c r="B106" s="504" t="s">
        <v>440</v>
      </c>
      <c r="C106" s="44" t="s">
        <v>8</v>
      </c>
      <c r="D106" s="496"/>
      <c r="E106" s="507">
        <f>IFERROR(E94/E104,"–")</f>
        <v>72000</v>
      </c>
      <c r="F106" s="507">
        <f>IFERROR(F94/F104,"–")</f>
        <v>95416.666666666672</v>
      </c>
      <c r="G106" s="507">
        <f>IFERROR(G94/G104,"–")</f>
        <v>107884.61538461539</v>
      </c>
      <c r="H106" s="507">
        <f>IFERROR(H94/H104,"–")</f>
        <v>111709.09090909091</v>
      </c>
    </row>
    <row r="107" spans="1:8" ht="15" customHeight="1" x14ac:dyDescent="0.35">
      <c r="A107" s="3"/>
      <c r="B107" s="504" t="s">
        <v>322</v>
      </c>
      <c r="C107" s="44"/>
      <c r="D107" s="496"/>
      <c r="E107" s="390">
        <v>0.97099999999999997</v>
      </c>
      <c r="F107" s="390">
        <v>0.97799999999999998</v>
      </c>
      <c r="G107" s="390">
        <v>0.98199999999999998</v>
      </c>
      <c r="H107" s="390">
        <v>0.96499999999999997</v>
      </c>
    </row>
    <row r="108" spans="1:8" ht="15" customHeight="1" x14ac:dyDescent="0.35">
      <c r="A108" s="3"/>
      <c r="B108" s="504" t="s">
        <v>323</v>
      </c>
      <c r="C108" s="44"/>
      <c r="D108" s="496"/>
      <c r="E108" s="390">
        <v>4.2000000000000003E-2</v>
      </c>
      <c r="F108" s="390">
        <v>6.8000000000000005E-2</v>
      </c>
      <c r="G108" s="390">
        <v>5.1999999999999998E-2</v>
      </c>
      <c r="H108" s="390">
        <v>3.7999999999999999E-2</v>
      </c>
    </row>
    <row r="109" spans="1:8" ht="15" customHeight="1" x14ac:dyDescent="0.35">
      <c r="A109" s="3"/>
      <c r="B109" s="504" t="s">
        <v>441</v>
      </c>
      <c r="C109" s="44" t="s">
        <v>324</v>
      </c>
      <c r="D109" s="496"/>
      <c r="E109" s="505">
        <v>4.2</v>
      </c>
      <c r="F109" s="505">
        <v>4.5</v>
      </c>
      <c r="G109" s="505">
        <v>4.8</v>
      </c>
      <c r="H109" s="505">
        <v>5.0999999999999996</v>
      </c>
    </row>
    <row r="110" spans="1:8" ht="15" customHeight="1" x14ac:dyDescent="0.35">
      <c r="A110" s="3"/>
      <c r="B110" s="504" t="s">
        <v>442</v>
      </c>
      <c r="C110" s="44" t="s">
        <v>61</v>
      </c>
      <c r="D110" s="496"/>
      <c r="E110" s="506">
        <v>1.26</v>
      </c>
      <c r="F110" s="506">
        <v>1.4</v>
      </c>
      <c r="G110" s="506">
        <v>1.56</v>
      </c>
      <c r="H110" s="506">
        <v>1.74</v>
      </c>
    </row>
    <row r="111" spans="1:8" ht="15" customHeight="1" x14ac:dyDescent="0.35">
      <c r="A111" s="3"/>
      <c r="B111" s="504" t="s">
        <v>443</v>
      </c>
      <c r="C111" s="44"/>
      <c r="D111" s="496"/>
      <c r="E111" s="200">
        <f>IFERROR((E54+E48-E34)/(E94/E104),"–")</f>
        <v>0.32774277777777777</v>
      </c>
      <c r="F111" s="200">
        <f>IFERROR((F54+F48-F34)/(F94/F104),"–")</f>
        <v>0.29837669868995631</v>
      </c>
      <c r="G111" s="200">
        <f>IFERROR((G54+G48-G34)/(G94/G104),"–")</f>
        <v>0.27400273796791441</v>
      </c>
      <c r="H111" s="200">
        <f>IFERROR((H54+H48-H34)/(H94/H104),"–")</f>
        <v>0.30338999023437496</v>
      </c>
    </row>
    <row r="112" spans="1:8" ht="15" customHeight="1" x14ac:dyDescent="0.35">
      <c r="A112" s="3"/>
      <c r="B112" s="504" t="s">
        <v>326</v>
      </c>
      <c r="C112" s="44"/>
      <c r="D112" s="496"/>
      <c r="E112" s="200">
        <f>IFERROR(E110/E117,"–")</f>
        <v>9.6923076923076928E-3</v>
      </c>
      <c r="F112" s="200">
        <f>IFERROR(F110/F117,"–")</f>
        <v>8.0000000000000002E-3</v>
      </c>
      <c r="G112" s="200">
        <f>IFERROR(G110/G117,"–")</f>
        <v>6.9026548672566374E-3</v>
      </c>
      <c r="H112" s="200">
        <f>IFERROR(H110/H117,"–")</f>
        <v>1.2449023395578449E-2</v>
      </c>
    </row>
    <row r="113" spans="1:8" ht="15" customHeight="1" x14ac:dyDescent="0.35">
      <c r="A113" s="3"/>
      <c r="B113" s="46"/>
      <c r="C113" s="44"/>
      <c r="D113" s="496"/>
      <c r="E113" s="197"/>
      <c r="F113" s="197"/>
      <c r="G113" s="197"/>
      <c r="H113" s="197"/>
    </row>
    <row r="114" spans="1:8" ht="15" customHeight="1" x14ac:dyDescent="0.35">
      <c r="A114" s="3"/>
      <c r="B114" s="13"/>
      <c r="C114" s="8"/>
      <c r="D114" s="35"/>
      <c r="E114" s="35"/>
      <c r="F114" s="35"/>
      <c r="G114" s="35"/>
      <c r="H114" s="35"/>
    </row>
    <row r="115" spans="1:8" ht="18" customHeight="1" x14ac:dyDescent="0.5">
      <c r="A115" s="36"/>
      <c r="B115" s="41" t="s">
        <v>59</v>
      </c>
      <c r="C115" s="36"/>
      <c r="D115" s="7"/>
      <c r="E115" s="37"/>
      <c r="F115" s="37"/>
      <c r="G115" s="37"/>
      <c r="H115" s="37"/>
    </row>
    <row r="116" spans="1:8" ht="18" customHeight="1" x14ac:dyDescent="0.5">
      <c r="A116" s="3"/>
      <c r="B116" s="90"/>
      <c r="C116" s="89"/>
      <c r="D116" s="91"/>
      <c r="E116" s="91"/>
      <c r="F116" s="91"/>
      <c r="G116" s="91"/>
      <c r="H116" s="91"/>
    </row>
    <row r="117" spans="1:8" ht="15" customHeight="1" x14ac:dyDescent="0.35">
      <c r="A117" s="3"/>
      <c r="B117" s="16" t="s">
        <v>60</v>
      </c>
      <c r="C117" s="34" t="s">
        <v>61</v>
      </c>
      <c r="D117" s="494"/>
      <c r="E117" s="191">
        <v>130</v>
      </c>
      <c r="F117" s="191">
        <v>175</v>
      </c>
      <c r="G117" s="191">
        <v>226</v>
      </c>
      <c r="H117" s="191">
        <v>139.77000000000001</v>
      </c>
    </row>
    <row r="118" spans="1:8" ht="15" customHeight="1" x14ac:dyDescent="0.35">
      <c r="A118" s="3"/>
      <c r="B118" s="16" t="s">
        <v>62</v>
      </c>
      <c r="C118" s="34" t="s">
        <v>63</v>
      </c>
      <c r="D118" s="494"/>
      <c r="E118" s="195">
        <v>16215</v>
      </c>
      <c r="F118" s="195">
        <v>15813</v>
      </c>
      <c r="G118" s="195">
        <v>15408</v>
      </c>
      <c r="H118" s="195">
        <v>932.23</v>
      </c>
    </row>
    <row r="119" spans="1:8" ht="15" customHeight="1" x14ac:dyDescent="0.35">
      <c r="A119" s="3"/>
      <c r="B119" s="16" t="s">
        <v>64</v>
      </c>
      <c r="C119" s="34" t="s">
        <v>8</v>
      </c>
      <c r="D119" s="495">
        <f>D117*D118</f>
        <v>0</v>
      </c>
      <c r="E119" s="280">
        <f>E117*E118</f>
        <v>2107950</v>
      </c>
      <c r="F119" s="280">
        <f>F117*F118</f>
        <v>2767275</v>
      </c>
      <c r="G119" s="280">
        <f>G117*G118</f>
        <v>3482208</v>
      </c>
      <c r="H119" s="280">
        <f>H117*H118</f>
        <v>130297.78710000002</v>
      </c>
    </row>
    <row r="120" spans="1:8" ht="15" customHeight="1" x14ac:dyDescent="0.35">
      <c r="A120" s="3"/>
      <c r="B120" s="13" t="s">
        <v>65</v>
      </c>
      <c r="C120" s="34" t="s">
        <v>8</v>
      </c>
      <c r="D120" s="495">
        <f>D119+D54+D48-D34</f>
        <v>0</v>
      </c>
      <c r="E120" s="280">
        <f>E119+E54+E48-E34</f>
        <v>2131547.48</v>
      </c>
      <c r="F120" s="280">
        <f>F119+F54+F48-F34</f>
        <v>2795745.11</v>
      </c>
      <c r="G120" s="280">
        <f>G119+G54+G48-G34</f>
        <v>3511768.68</v>
      </c>
      <c r="H120" s="280">
        <f>H119+H54+H48-H34</f>
        <v>164189.20710000003</v>
      </c>
    </row>
    <row r="121" spans="1:8" ht="15" customHeight="1" x14ac:dyDescent="0.35">
      <c r="A121" s="3"/>
      <c r="B121" s="16" t="s">
        <v>66</v>
      </c>
      <c r="C121" s="34"/>
      <c r="D121" s="494"/>
      <c r="E121" s="306"/>
      <c r="F121" s="306"/>
      <c r="G121" s="306"/>
      <c r="H121" s="307">
        <v>1.4119999999999999</v>
      </c>
    </row>
    <row r="122" spans="1:8" ht="15" customHeight="1" x14ac:dyDescent="0.35">
      <c r="A122" s="3"/>
      <c r="B122" s="16" t="s">
        <v>67</v>
      </c>
      <c r="C122" s="34"/>
      <c r="D122" s="494"/>
      <c r="E122" s="308"/>
      <c r="F122" s="308"/>
      <c r="G122" s="308"/>
      <c r="H122" s="309">
        <v>4.2799999999999998E-2</v>
      </c>
    </row>
    <row r="123" spans="1:8" ht="15" customHeight="1" x14ac:dyDescent="0.35">
      <c r="A123" s="3"/>
      <c r="B123" s="16" t="s">
        <v>69</v>
      </c>
      <c r="C123" s="34"/>
      <c r="D123" s="494"/>
      <c r="E123" s="308"/>
      <c r="F123" s="308"/>
      <c r="G123" s="308"/>
      <c r="H123" s="309">
        <v>0.05</v>
      </c>
    </row>
    <row r="124" spans="1:8" ht="15" customHeight="1" x14ac:dyDescent="0.35">
      <c r="A124" s="3"/>
      <c r="B124" s="16" t="s">
        <v>70</v>
      </c>
      <c r="C124" s="34"/>
      <c r="D124" s="494">
        <v>0.10829999999999999</v>
      </c>
      <c r="E124" s="401">
        <v>0.10829999999999999</v>
      </c>
      <c r="F124" s="401">
        <v>0.10630000000000001</v>
      </c>
      <c r="G124" s="401">
        <v>0.10630000000000001</v>
      </c>
      <c r="H124" s="309">
        <v>0.10630000000000001</v>
      </c>
    </row>
    <row r="125" spans="1:8" ht="15" customHeight="1" x14ac:dyDescent="0.35">
      <c r="A125" s="3"/>
      <c r="B125" s="16" t="s">
        <v>71</v>
      </c>
      <c r="C125" s="34"/>
      <c r="D125" s="494"/>
      <c r="E125" s="308"/>
      <c r="F125" s="308"/>
      <c r="G125" s="308"/>
      <c r="H125" s="309">
        <v>2.7699999999999999E-2</v>
      </c>
    </row>
    <row r="126" spans="1:8" ht="15" customHeight="1" x14ac:dyDescent="0.35">
      <c r="A126" s="3"/>
      <c r="B126" s="16" t="s">
        <v>72</v>
      </c>
      <c r="C126" s="34"/>
      <c r="D126" s="494"/>
      <c r="E126" s="390">
        <v>0.05</v>
      </c>
      <c r="F126" s="390">
        <v>6.4500000000000002E-2</v>
      </c>
      <c r="G126" s="390">
        <v>0.05</v>
      </c>
      <c r="H126" s="309">
        <v>5.4100000000000002E-2</v>
      </c>
    </row>
    <row r="127" spans="1:8" ht="15" customHeight="1" x14ac:dyDescent="0.35">
      <c r="A127" s="3"/>
      <c r="B127" s="16" t="s">
        <v>73</v>
      </c>
      <c r="C127" s="34"/>
      <c r="D127" s="494">
        <v>3.7900000000000003E-2</v>
      </c>
      <c r="E127" s="401">
        <v>3.7900000000000003E-2</v>
      </c>
      <c r="F127" s="401">
        <v>3.6299999999999999E-2</v>
      </c>
      <c r="G127" s="401">
        <v>3.6299999999999999E-2</v>
      </c>
      <c r="H127" s="309">
        <v>3.6299999999999999E-2</v>
      </c>
    </row>
    <row r="128" spans="1:8" ht="15" customHeight="1" x14ac:dyDescent="0.35">
      <c r="A128" s="3"/>
      <c r="B128" s="16" t="s">
        <v>74</v>
      </c>
      <c r="C128" s="34"/>
      <c r="D128" s="494"/>
      <c r="E128" s="308"/>
      <c r="F128" s="308"/>
      <c r="G128" s="308"/>
      <c r="H128" s="309">
        <v>0.78810000000000002</v>
      </c>
    </row>
    <row r="129" spans="1:8" ht="15" customHeight="1" x14ac:dyDescent="0.35">
      <c r="A129" s="3"/>
      <c r="B129" s="16" t="s">
        <v>75</v>
      </c>
      <c r="C129" s="34"/>
      <c r="D129" s="494"/>
      <c r="E129" s="308"/>
      <c r="F129" s="308"/>
      <c r="G129" s="308"/>
      <c r="H129" s="309">
        <v>0.21190000000000001</v>
      </c>
    </row>
    <row r="130" spans="1:8" ht="15" customHeight="1" x14ac:dyDescent="0.35">
      <c r="A130" s="3"/>
      <c r="B130" s="13" t="s">
        <v>76</v>
      </c>
      <c r="C130" s="34"/>
      <c r="D130" s="494">
        <f>D128*(D122+D121*D123)+D129*D125*(1-D126)</f>
        <v>0</v>
      </c>
      <c r="E130" s="308"/>
      <c r="F130" s="308"/>
      <c r="G130" s="308"/>
      <c r="H130" s="518">
        <f>H128*(H122+H121*H123)+H129*H125*(1-H126)</f>
        <v>9.4922623016999996E-2</v>
      </c>
    </row>
    <row r="131" spans="1:8" ht="15" customHeight="1" x14ac:dyDescent="0.35">
      <c r="A131" s="3"/>
      <c r="B131" s="16" t="s">
        <v>77</v>
      </c>
      <c r="C131" s="34"/>
      <c r="D131" s="494"/>
      <c r="E131" s="308"/>
      <c r="F131" s="308"/>
      <c r="G131" s="308"/>
      <c r="H131" s="309">
        <v>2.5000000000000001E-2</v>
      </c>
    </row>
    <row r="132" spans="1:8" ht="15" customHeight="1" x14ac:dyDescent="0.35">
      <c r="A132" s="3"/>
      <c r="B132" s="16" t="s">
        <v>78</v>
      </c>
      <c r="C132" s="34"/>
      <c r="D132" s="494"/>
      <c r="E132" s="305"/>
      <c r="F132" s="305"/>
      <c r="G132" s="305"/>
      <c r="H132" s="191">
        <v>365</v>
      </c>
    </row>
    <row r="133" spans="1:8" ht="15" customHeight="1" x14ac:dyDescent="0.35">
      <c r="A133" s="3"/>
      <c r="B133" s="13"/>
      <c r="C133" s="8"/>
      <c r="D133" s="35"/>
      <c r="E133" s="35"/>
      <c r="F133" s="35"/>
      <c r="G133" s="35"/>
      <c r="H133" s="35"/>
    </row>
    <row r="134" spans="1:8" ht="18" customHeight="1" x14ac:dyDescent="0.5">
      <c r="A134" s="36"/>
      <c r="B134" s="41" t="s">
        <v>79</v>
      </c>
      <c r="C134" s="36"/>
      <c r="D134" s="7"/>
      <c r="E134" s="37"/>
      <c r="F134" s="37"/>
      <c r="G134" s="37"/>
      <c r="H134" s="37"/>
    </row>
    <row r="135" spans="1:8" ht="18" customHeight="1" x14ac:dyDescent="0.5">
      <c r="A135" s="3"/>
      <c r="B135" s="90"/>
      <c r="C135" s="89"/>
      <c r="D135" s="91"/>
      <c r="E135" s="91"/>
      <c r="F135" s="91"/>
      <c r="G135" s="91"/>
      <c r="H135" s="91"/>
    </row>
    <row r="136" spans="1:8" ht="15" customHeight="1" x14ac:dyDescent="0.35">
      <c r="A136" s="3"/>
      <c r="B136" s="13" t="s">
        <v>80</v>
      </c>
      <c r="C136" s="34"/>
      <c r="D136" s="519" t="s">
        <v>81</v>
      </c>
      <c r="E136" s="35"/>
      <c r="F136" s="35"/>
      <c r="G136" s="35"/>
      <c r="H136" s="35"/>
    </row>
    <row r="137" spans="1:8" ht="15" customHeight="1" x14ac:dyDescent="0.35">
      <c r="A137" s="3"/>
      <c r="B137" s="13" t="s">
        <v>82</v>
      </c>
      <c r="C137" s="34"/>
      <c r="D137" s="519" t="s">
        <v>83</v>
      </c>
      <c r="E137" s="35"/>
      <c r="F137" s="35"/>
      <c r="G137" s="35"/>
      <c r="H137" s="35"/>
    </row>
    <row r="138" spans="1:8" ht="15" customHeight="1" x14ac:dyDescent="0.35">
      <c r="A138" s="3"/>
      <c r="B138" s="13" t="s">
        <v>84</v>
      </c>
      <c r="C138" s="34"/>
      <c r="D138" s="519" t="s">
        <v>85</v>
      </c>
      <c r="E138" s="35"/>
      <c r="F138" s="35"/>
      <c r="G138" s="35"/>
      <c r="H138" s="35"/>
    </row>
    <row r="139" spans="1:8" ht="15" customHeight="1" x14ac:dyDescent="0.35">
      <c r="A139" s="3"/>
      <c r="B139" s="61" t="s">
        <v>86</v>
      </c>
      <c r="C139" s="34"/>
      <c r="D139" s="520">
        <v>2025</v>
      </c>
      <c r="E139" s="35"/>
      <c r="F139" s="35"/>
      <c r="G139" s="35"/>
      <c r="H139" s="35"/>
    </row>
    <row r="140" spans="1:8" ht="15" customHeight="1" x14ac:dyDescent="0.35">
      <c r="A140" s="3"/>
      <c r="B140" s="13" t="s">
        <v>87</v>
      </c>
      <c r="C140" s="34"/>
      <c r="D140" s="519" t="s">
        <v>88</v>
      </c>
      <c r="E140" s="35"/>
      <c r="F140" s="35"/>
      <c r="G140" s="35"/>
      <c r="H140" s="35"/>
    </row>
    <row r="141" spans="1:8" ht="15" customHeight="1" x14ac:dyDescent="0.35">
      <c r="A141" s="3"/>
      <c r="B141" s="13" t="s">
        <v>89</v>
      </c>
      <c r="C141" s="34"/>
      <c r="D141" s="519" t="s">
        <v>90</v>
      </c>
      <c r="E141" s="35"/>
      <c r="F141" s="35"/>
      <c r="G141" s="35"/>
      <c r="H141" s="35"/>
    </row>
    <row r="142" spans="1:8" ht="15" customHeight="1" x14ac:dyDescent="0.35">
      <c r="A142" s="3"/>
      <c r="B142" s="13" t="s">
        <v>91</v>
      </c>
      <c r="C142" s="34"/>
      <c r="D142" s="521" t="s">
        <v>92</v>
      </c>
      <c r="E142" s="35"/>
      <c r="F142" s="35"/>
      <c r="G142" s="35"/>
      <c r="H142" s="35"/>
    </row>
    <row r="143" spans="1:8" ht="15" customHeight="1" x14ac:dyDescent="0.35">
      <c r="A143" s="3"/>
      <c r="B143" s="13"/>
      <c r="C143" s="8"/>
      <c r="D143" s="35"/>
      <c r="E143" s="35"/>
      <c r="F143" s="35"/>
      <c r="G143" s="35"/>
      <c r="H143" s="35"/>
    </row>
    <row r="144" spans="1:8" ht="15" customHeight="1" x14ac:dyDescent="0.35">
      <c r="A144" s="3"/>
      <c r="B144" s="42" t="s">
        <v>93</v>
      </c>
      <c r="C144" s="3"/>
      <c r="D144" s="21"/>
      <c r="E144" s="21"/>
      <c r="F144" s="21"/>
      <c r="G144" s="21"/>
      <c r="H144" s="21"/>
    </row>
    <row r="145" spans="1:11" ht="15" customHeight="1" x14ac:dyDescent="0.35">
      <c r="A145" s="3"/>
      <c r="B145" s="13"/>
      <c r="C145" s="3"/>
      <c r="D145" s="21"/>
      <c r="E145" s="21"/>
      <c r="F145" s="21"/>
      <c r="G145" s="21"/>
      <c r="H145" s="21"/>
    </row>
    <row r="146" spans="1:11" ht="15" customHeight="1" x14ac:dyDescent="0.35">
      <c r="A146" s="3"/>
      <c r="B146" s="29" t="s">
        <v>94</v>
      </c>
      <c r="C146" s="2"/>
      <c r="D146" s="24"/>
      <c r="E146" s="24"/>
      <c r="F146" s="24"/>
      <c r="G146" s="24"/>
      <c r="H146" s="24"/>
    </row>
    <row r="147" spans="1:11" ht="15" customHeight="1" x14ac:dyDescent="0.35">
      <c r="A147" s="3"/>
      <c r="B147" s="29" t="s">
        <v>95</v>
      </c>
      <c r="C147" s="2"/>
      <c r="D147" s="24"/>
      <c r="E147" s="24"/>
      <c r="F147" s="24"/>
      <c r="G147" s="24"/>
      <c r="H147" s="24"/>
    </row>
    <row r="148" spans="1:11" ht="15" customHeight="1" x14ac:dyDescent="0.35">
      <c r="A148" s="3"/>
      <c r="B148" s="29" t="s">
        <v>96</v>
      </c>
      <c r="C148" s="2"/>
      <c r="D148" s="24"/>
      <c r="E148" s="24"/>
      <c r="F148" s="24"/>
      <c r="G148" s="24"/>
      <c r="H148" s="24"/>
    </row>
    <row r="149" spans="1:11" ht="15" customHeight="1" x14ac:dyDescent="0.35">
      <c r="A149" s="3"/>
      <c r="B149" s="39"/>
    </row>
    <row r="150" spans="1:11" ht="3" customHeight="1" x14ac:dyDescent="0.35">
      <c r="A150" s="3"/>
      <c r="B150" s="254"/>
      <c r="C150" s="253"/>
      <c r="D150" s="255">
        <f>IF(COUNTA(D9,D10,D14,D15,D16,D20,D21,D25)=8,1,0)+IF(COUNTA(E9,E10,E14,E15,E16,E20,E21,E25)=8,1,0)+IF(COUNTA(F9,F10,F14,F15,F16,F20,F21,F25)=8,1,0)+IF(COUNTA(G9,G10,G14,G15,G16,G20,G21,G25)=8,1,0)</f>
        <v>3</v>
      </c>
      <c r="E150" s="255"/>
      <c r="F150" s="255">
        <f>IF(D9&lt;&gt;"",1,0)+IF(E9&lt;&gt;"",1,0)+IF(F9&lt;&gt;"",1,0)+IF(G9&lt;&gt;"",1,0)+IF(H9&lt;&gt;"",1,0)</f>
        <v>4</v>
      </c>
      <c r="G150" s="255">
        <f>IF(NOT(ISBLANK(H9)),F150,IF(NOT(ISBLANK(G9)),F150,IF(NOT(ISBLANK(F9)),F150,IF(NOT(ISBLANK(E9)),F150,IF(NOT(ISBLANK(D9)),F150,0)))))</f>
        <v>4</v>
      </c>
      <c r="H150" s="255"/>
      <c r="I150" s="253"/>
      <c r="J150" s="253"/>
      <c r="K150" s="253"/>
    </row>
    <row r="151" spans="1:11" ht="15" customHeight="1" x14ac:dyDescent="0.35">
      <c r="A151" s="3"/>
      <c r="B151" s="39"/>
    </row>
    <row r="152" spans="1:11" ht="15" customHeight="1" x14ac:dyDescent="0.35">
      <c r="A152" s="3"/>
      <c r="B152" s="39"/>
    </row>
    <row r="153" spans="1:11" ht="15" customHeight="1" x14ac:dyDescent="0.35">
      <c r="A153" s="3"/>
      <c r="B153" s="39"/>
    </row>
    <row r="154" spans="1:11" ht="15" customHeight="1" x14ac:dyDescent="0.35">
      <c r="A154" s="3"/>
      <c r="B154" s="39"/>
      <c r="E154" s="172">
        <v>2022</v>
      </c>
      <c r="F154" s="172">
        <v>2023</v>
      </c>
      <c r="G154" s="172">
        <v>2024</v>
      </c>
      <c r="H154" s="172" t="s">
        <v>4</v>
      </c>
    </row>
    <row r="155" spans="1:11" ht="15" customHeight="1" x14ac:dyDescent="0.35">
      <c r="A155" s="3"/>
      <c r="B155" s="39"/>
    </row>
    <row r="156" spans="1:11" ht="15" customHeight="1" x14ac:dyDescent="0.35">
      <c r="A156" s="3"/>
      <c r="B156" s="39"/>
    </row>
    <row r="157" spans="1:11" ht="15" customHeight="1" x14ac:dyDescent="0.35">
      <c r="A157" s="3"/>
      <c r="B157" s="39"/>
    </row>
    <row r="158" spans="1:11" ht="15" customHeight="1" x14ac:dyDescent="0.35">
      <c r="A158" s="3"/>
      <c r="B158" s="39"/>
    </row>
    <row r="159" spans="1:11" ht="15" customHeight="1" x14ac:dyDescent="0.35">
      <c r="A159" s="3"/>
      <c r="B159" s="39"/>
    </row>
    <row r="160" spans="1:11" ht="15" customHeight="1" x14ac:dyDescent="0.35">
      <c r="A160" s="3"/>
      <c r="B160" s="39"/>
    </row>
    <row r="161" spans="1:2" ht="15" customHeight="1" x14ac:dyDescent="0.35">
      <c r="A161" s="3"/>
      <c r="B161" s="39"/>
    </row>
    <row r="162" spans="1:2" ht="15" customHeight="1" x14ac:dyDescent="0.35">
      <c r="A162" s="3"/>
      <c r="B162" s="39"/>
    </row>
    <row r="163" spans="1:2" ht="15" customHeight="1" x14ac:dyDescent="0.35">
      <c r="A163" s="3"/>
      <c r="B163" s="39"/>
    </row>
    <row r="164" spans="1:2" ht="15" customHeight="1" x14ac:dyDescent="0.35">
      <c r="A164" s="3"/>
      <c r="B164" s="39"/>
    </row>
    <row r="165" spans="1:2" ht="15" customHeight="1" x14ac:dyDescent="0.35">
      <c r="A165" s="3"/>
      <c r="B165" s="39"/>
    </row>
    <row r="166" spans="1:2" ht="15" customHeight="1" x14ac:dyDescent="0.35">
      <c r="A166" s="3"/>
      <c r="B166" s="39"/>
    </row>
    <row r="167" spans="1:2" ht="15" customHeight="1" x14ac:dyDescent="0.35">
      <c r="A167" s="3"/>
      <c r="B167" s="39"/>
    </row>
    <row r="168" spans="1:2" ht="15" customHeight="1" x14ac:dyDescent="0.35">
      <c r="A168" s="3"/>
      <c r="B168" s="39"/>
    </row>
    <row r="169" spans="1:2" ht="15" customHeight="1" x14ac:dyDescent="0.35">
      <c r="A169" s="3"/>
      <c r="B169" s="39"/>
    </row>
    <row r="170" spans="1:2" ht="15" customHeight="1" x14ac:dyDescent="0.35">
      <c r="A170" s="3"/>
      <c r="B170" s="39"/>
    </row>
    <row r="171" spans="1:2" ht="15" customHeight="1" x14ac:dyDescent="0.35">
      <c r="A171" s="3"/>
      <c r="B171" s="39"/>
    </row>
    <row r="172" spans="1:2" ht="15" customHeight="1" x14ac:dyDescent="0.35">
      <c r="A172" s="3"/>
      <c r="B172" s="39"/>
    </row>
    <row r="173" spans="1:2" ht="15" customHeight="1" x14ac:dyDescent="0.35">
      <c r="A173" s="3"/>
      <c r="B173" s="39"/>
    </row>
    <row r="174" spans="1:2" ht="15" x14ac:dyDescent="0.35">
      <c r="A174" s="3"/>
    </row>
    <row r="175" spans="1:2" ht="21" x14ac:dyDescent="0.5">
      <c r="A175" s="88"/>
    </row>
    <row r="176" spans="1:2" ht="21" x14ac:dyDescent="0.5">
      <c r="A176" s="88"/>
    </row>
    <row r="177" spans="1:1" ht="15" x14ac:dyDescent="0.35">
      <c r="A177" s="3"/>
    </row>
    <row r="178" spans="1:1" ht="15" x14ac:dyDescent="0.35">
      <c r="A178" s="3"/>
    </row>
    <row r="179" spans="1:1" ht="15" x14ac:dyDescent="0.35">
      <c r="A179" s="3"/>
    </row>
    <row r="180" spans="1:1" ht="15" x14ac:dyDescent="0.35">
      <c r="A180" s="3"/>
    </row>
    <row r="181" spans="1:1" ht="15" x14ac:dyDescent="0.35">
      <c r="A181" s="3"/>
    </row>
    <row r="182" spans="1:1" ht="15" x14ac:dyDescent="0.35">
      <c r="A182" s="3"/>
    </row>
    <row r="183" spans="1:1" ht="15" x14ac:dyDescent="0.35">
      <c r="A183" s="3"/>
    </row>
    <row r="184" spans="1:1" ht="15" x14ac:dyDescent="0.35">
      <c r="A184" s="3"/>
    </row>
    <row r="185" spans="1:1" ht="15" x14ac:dyDescent="0.35">
      <c r="A185" s="3"/>
    </row>
    <row r="186" spans="1:1" ht="15" x14ac:dyDescent="0.35">
      <c r="A186" s="3"/>
    </row>
    <row r="187" spans="1:1" ht="15" x14ac:dyDescent="0.35">
      <c r="A187" s="3"/>
    </row>
    <row r="188" spans="1:1" ht="15" x14ac:dyDescent="0.35">
      <c r="A188" s="3"/>
    </row>
    <row r="189" spans="1:1" ht="15" x14ac:dyDescent="0.35">
      <c r="A189" s="3"/>
    </row>
    <row r="190" spans="1:1" ht="15" x14ac:dyDescent="0.35">
      <c r="A190" s="3"/>
    </row>
    <row r="191" spans="1:1" ht="15" x14ac:dyDescent="0.35">
      <c r="A191" s="3"/>
    </row>
    <row r="192" spans="1:1" ht="15" x14ac:dyDescent="0.35">
      <c r="A192" s="3"/>
    </row>
    <row r="193" spans="1:1" ht="15" x14ac:dyDescent="0.35">
      <c r="A193" s="3"/>
    </row>
    <row r="194" spans="1:1" ht="21" x14ac:dyDescent="0.5">
      <c r="A194" s="88"/>
    </row>
    <row r="195" spans="1:1" ht="21" x14ac:dyDescent="0.5">
      <c r="A195" s="88"/>
    </row>
    <row r="196" spans="1:1" ht="15" x14ac:dyDescent="0.35">
      <c r="A196" s="3"/>
    </row>
    <row r="197" spans="1:1" ht="15" x14ac:dyDescent="0.35">
      <c r="A197" s="3"/>
    </row>
    <row r="198" spans="1:1" ht="15" x14ac:dyDescent="0.35">
      <c r="A198" s="3"/>
    </row>
    <row r="199" spans="1:1" ht="15" x14ac:dyDescent="0.35">
      <c r="A199" s="3"/>
    </row>
    <row r="200" spans="1:1" ht="15" x14ac:dyDescent="0.35">
      <c r="A200" s="3"/>
    </row>
    <row r="201" spans="1:1" ht="15" x14ac:dyDescent="0.35">
      <c r="A201" s="3"/>
    </row>
    <row r="202" spans="1:1" ht="15" x14ac:dyDescent="0.35">
      <c r="A202" s="3"/>
    </row>
    <row r="203" spans="1:1" ht="15" x14ac:dyDescent="0.35">
      <c r="A203" s="3"/>
    </row>
    <row r="204" spans="1:1" ht="15" x14ac:dyDescent="0.35">
      <c r="A204" s="3"/>
    </row>
    <row r="205" spans="1:1" ht="15" x14ac:dyDescent="0.35">
      <c r="A205" s="3"/>
    </row>
    <row r="206" spans="1:1" ht="15" x14ac:dyDescent="0.35">
      <c r="A206" s="181"/>
    </row>
    <row r="207" spans="1:1" ht="15" x14ac:dyDescent="0.35">
      <c r="A207" s="181"/>
    </row>
    <row r="208" spans="1:1" ht="15" x14ac:dyDescent="0.35">
      <c r="A208" s="181"/>
    </row>
    <row r="210" spans="1:1" x14ac:dyDescent="0.3">
      <c r="A210" s="253"/>
    </row>
  </sheetData>
  <conditionalFormatting sqref="D1 E111:E144">
    <cfRule type="expression" dxfId="8" priority="6">
      <formula>$F$150&lt;4</formula>
    </cfRule>
  </conditionalFormatting>
  <conditionalFormatting sqref="D7">
    <cfRule type="expression" dxfId="7" priority="5">
      <formula>$F$150&lt;4</formula>
    </cfRule>
  </conditionalFormatting>
  <conditionalFormatting sqref="E1:E93 E94:H99 E100:E103">
    <cfRule type="expression" dxfId="6" priority="13">
      <formula>$F$150&lt;4</formula>
    </cfRule>
  </conditionalFormatting>
  <conditionalFormatting sqref="E105:E106">
    <cfRule type="expression" dxfId="5" priority="1">
      <formula>$F$150&lt;4</formula>
    </cfRule>
  </conditionalFormatting>
  <conditionalFormatting sqref="E104:H104">
    <cfRule type="expression" dxfId="4" priority="4">
      <formula>$F$150&lt;4</formula>
    </cfRule>
  </conditionalFormatting>
  <conditionalFormatting sqref="E107:H110">
    <cfRule type="expression" dxfId="3" priority="2">
      <formula>$F$150&lt;4</formula>
    </cfRule>
  </conditionalFormatting>
  <conditionalFormatting sqref="F1:F93 F100:F103 F105:F106 F111:F144">
    <cfRule type="expression" dxfId="2" priority="14">
      <formula>$F$150&lt;3</formula>
    </cfRule>
  </conditionalFormatting>
  <conditionalFormatting sqref="G1:G93 G100:G103 G105:G106 G111:G144">
    <cfRule type="expression" dxfId="1" priority="15">
      <formula>$F$150&lt;2</formula>
    </cfRule>
  </conditionalFormatting>
  <conditionalFormatting sqref="H1:H93 H100:H103 H105:H106 H111:H144">
    <cfRule type="expression" dxfId="0" priority="16">
      <formula>$F$150&lt;1</formula>
    </cfRule>
  </conditionalFormatting>
  <dataValidations disablePrompts="1" count="1">
    <dataValidation type="list" allowBlank="1" showInputMessage="1" showErrorMessage="1" sqref="D138" xr:uid="{00000000-0002-0000-0000-000000000000}">
      <formula1>"Technologie / SaaS,Industrie / Manufacturing,Consommation / Retail,Luxe / Premium,Energie / Utilities,Sante / Pharma"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82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5"/>
  <sheetViews>
    <sheetView showGridLines="0" zoomScale="72" zoomScaleNormal="100" workbookViewId="0">
      <selection activeCell="B34" sqref="B34"/>
    </sheetView>
  </sheetViews>
  <sheetFormatPr baseColWidth="10" defaultRowHeight="14.4" x14ac:dyDescent="0.3"/>
  <cols>
    <col min="1" max="1" width="1.77734375" style="168" customWidth="1"/>
    <col min="2" max="2" width="49.5546875" style="18" customWidth="1"/>
    <col min="3" max="3" width="12.33203125" customWidth="1"/>
    <col min="4" max="8" width="13.33203125" style="20" customWidth="1"/>
  </cols>
  <sheetData>
    <row r="1" spans="1:8" ht="54.9" customHeight="1" x14ac:dyDescent="0.6">
      <c r="A1" s="5"/>
      <c r="B1" s="81" t="s">
        <v>97</v>
      </c>
      <c r="C1" s="5"/>
      <c r="D1" s="5"/>
      <c r="E1" s="27"/>
      <c r="F1" s="27"/>
      <c r="G1" s="27"/>
      <c r="H1" s="80" t="s">
        <v>98</v>
      </c>
    </row>
    <row r="2" spans="1:8" ht="15" customHeight="1" x14ac:dyDescent="0.35">
      <c r="A2" s="166"/>
      <c r="B2" s="13"/>
      <c r="C2" s="3"/>
      <c r="D2" s="331"/>
      <c r="E2" s="21"/>
      <c r="F2" s="21"/>
      <c r="G2" s="21"/>
      <c r="H2" s="21"/>
    </row>
    <row r="3" spans="1:8" ht="18" customHeight="1" x14ac:dyDescent="0.5">
      <c r="A3" s="7"/>
      <c r="B3" s="14" t="s">
        <v>99</v>
      </c>
      <c r="C3" s="7"/>
      <c r="D3" s="332"/>
      <c r="E3" s="22"/>
      <c r="F3" s="22"/>
      <c r="G3" s="22"/>
      <c r="H3" s="22"/>
    </row>
    <row r="4" spans="1:8" ht="15" customHeight="1" x14ac:dyDescent="0.35">
      <c r="A4" s="166"/>
      <c r="B4" s="12"/>
      <c r="C4" s="3"/>
      <c r="D4" s="331"/>
      <c r="E4" s="21"/>
      <c r="F4" s="21"/>
      <c r="G4" s="21"/>
      <c r="H4" s="21"/>
    </row>
    <row r="5" spans="1:8" ht="15" customHeight="1" x14ac:dyDescent="0.35">
      <c r="A5" s="333"/>
      <c r="B5" s="15" t="s">
        <v>100</v>
      </c>
      <c r="C5" s="15"/>
      <c r="D5" s="333"/>
      <c r="E5" s="522">
        <f>IF(INPUT!E5="","",INPUT!E5)</f>
        <v>2022</v>
      </c>
      <c r="F5" s="522">
        <f>IF(INPUT!F5="","",INPUT!F5)</f>
        <v>2023</v>
      </c>
      <c r="G5" s="522">
        <f>IF(INPUT!G5="","",INPUT!G5)</f>
        <v>2024</v>
      </c>
      <c r="H5" s="522" t="str">
        <f>IF(INPUT!H5="","",INPUT!H5)</f>
        <v>2025 (LTM)</v>
      </c>
    </row>
    <row r="6" spans="1:8" ht="15" customHeight="1" x14ac:dyDescent="0.35">
      <c r="A6" s="166"/>
      <c r="B6" s="13"/>
      <c r="C6" s="3"/>
      <c r="D6" s="331"/>
      <c r="E6" s="21"/>
      <c r="F6" s="21"/>
      <c r="G6" s="21"/>
      <c r="H6" s="21"/>
    </row>
    <row r="7" spans="1:8" ht="18" customHeight="1" x14ac:dyDescent="0.5">
      <c r="A7" s="7"/>
      <c r="B7" s="353" t="s">
        <v>101</v>
      </c>
      <c r="C7" s="7"/>
      <c r="D7" s="332"/>
      <c r="E7" s="22"/>
      <c r="F7" s="22"/>
      <c r="G7" s="22"/>
      <c r="H7" s="22"/>
    </row>
    <row r="8" spans="1:8" ht="18" customHeight="1" x14ac:dyDescent="0.5">
      <c r="A8" s="167"/>
      <c r="B8" s="87"/>
      <c r="C8" s="88"/>
      <c r="D8" s="334"/>
      <c r="E8" s="86"/>
      <c r="F8" s="86"/>
      <c r="G8" s="86"/>
      <c r="H8" s="86"/>
    </row>
    <row r="9" spans="1:8" ht="15" customHeight="1" x14ac:dyDescent="0.35">
      <c r="A9" s="166"/>
      <c r="B9" s="349" t="s">
        <v>327</v>
      </c>
      <c r="C9" s="347"/>
      <c r="D9" s="404"/>
      <c r="E9" s="508">
        <f>IFERROR(INPUT!E117/INPUT!E102,"–")</f>
        <v>2575.0042754880174</v>
      </c>
      <c r="F9" s="508">
        <f>IFERROR(INPUT!F117/INPUT!F102,"–")</f>
        <v>2451.0850310008841</v>
      </c>
      <c r="G9" s="508">
        <f>IFERROR(INPUT!G117/INPUT!G102,"–")</f>
        <v>7564.9192935195861</v>
      </c>
      <c r="H9" s="350">
        <f>IFERROR(INPUT!H117/INPUT!H102,"–")</f>
        <v>-120.10230262975973</v>
      </c>
    </row>
    <row r="10" spans="1:8" ht="15" customHeight="1" x14ac:dyDescent="0.35">
      <c r="A10" s="166"/>
      <c r="B10" s="349" t="s">
        <v>328</v>
      </c>
      <c r="C10" s="347"/>
      <c r="D10" s="404"/>
      <c r="E10" s="508">
        <f>IFERROR(INPUT!E117/INPUT!E103,"–")</f>
        <v>1629.4970702370099</v>
      </c>
      <c r="F10" s="508">
        <f>IFERROR(INPUT!F117/INPUT!F103,"–")</f>
        <v>1549.4260918253074</v>
      </c>
      <c r="G10" s="508">
        <f>IFERROR(INPUT!G117/INPUT!G103,"–")</f>
        <v>2823.4653088031396</v>
      </c>
      <c r="H10" s="350">
        <f>IFERROR(INPUT!H117/INPUT!H103,"–")</f>
        <v>-587.21793275947584</v>
      </c>
    </row>
    <row r="11" spans="1:8" ht="15" customHeight="1" x14ac:dyDescent="0.35">
      <c r="A11" s="166"/>
      <c r="B11" s="349" t="s">
        <v>118</v>
      </c>
      <c r="C11" s="347"/>
      <c r="D11" s="404"/>
      <c r="E11" s="508">
        <f>IFERROR(INPUT!E102,"–")</f>
        <v>5.0485353068146756E-2</v>
      </c>
      <c r="F11" s="508">
        <f>IFERROR(INPUT!F102,"–")</f>
        <v>7.1396951875039569E-2</v>
      </c>
      <c r="G11" s="508">
        <f>IFERROR(INPUT!G102,"–")</f>
        <v>2.9874740394600204E-2</v>
      </c>
      <c r="H11" s="350">
        <f>IFERROR(INPUT!H102,"–")</f>
        <v>-1.1637578709116847</v>
      </c>
    </row>
    <row r="12" spans="1:8" ht="15" customHeight="1" x14ac:dyDescent="0.35">
      <c r="A12" s="166"/>
      <c r="B12" s="349" t="s">
        <v>119</v>
      </c>
      <c r="C12" s="347"/>
      <c r="D12" s="404"/>
      <c r="E12" s="508">
        <f>IFERROR(INPUT!E103,"–")</f>
        <v>7.9779216774591405E-2</v>
      </c>
      <c r="F12" s="508">
        <f>IFERROR(INPUT!F103,"–")</f>
        <v>0.11294504521596159</v>
      </c>
      <c r="G12" s="508">
        <f>IFERROR(INPUT!G103,"–")</f>
        <v>8.004348390446521E-2</v>
      </c>
      <c r="H12" s="350">
        <f>IFERROR(INPUT!H103,"–")</f>
        <v>-0.23802066013751957</v>
      </c>
    </row>
    <row r="13" spans="1:8" ht="15" customHeight="1" x14ac:dyDescent="0.35">
      <c r="A13" s="166"/>
      <c r="B13" s="349" t="s">
        <v>103</v>
      </c>
      <c r="C13" s="347"/>
      <c r="D13" s="405"/>
      <c r="E13" s="491">
        <f>IFERROR(INPUT!E117/NAV!C69,"–")</f>
        <v>0.13948497854077252</v>
      </c>
      <c r="F13" s="491">
        <f>IFERROR(INPUT!F117/NAV!C69,"–")</f>
        <v>0.18776824034334763</v>
      </c>
      <c r="G13" s="491">
        <f>IFERROR(INPUT!G117/NAV!C69,"–")</f>
        <v>0.24248927038626608</v>
      </c>
      <c r="H13" s="491">
        <f>IFERROR(INPUT!H117/NAV!C69,"–")</f>
        <v>0.14996781115879829</v>
      </c>
    </row>
    <row r="14" spans="1:8" ht="15" customHeight="1" x14ac:dyDescent="0.35">
      <c r="A14" s="166"/>
      <c r="B14" s="349" t="s">
        <v>326</v>
      </c>
      <c r="C14" s="347"/>
      <c r="D14" s="405"/>
      <c r="E14" s="352">
        <f>IFERROR(INPUT!E110/INPUT!E117,"–")</f>
        <v>9.6923076923076928E-3</v>
      </c>
      <c r="F14" s="352">
        <f>IFERROR(INPUT!F110/INPUT!F117,"–")</f>
        <v>8.0000000000000002E-3</v>
      </c>
      <c r="G14" s="352">
        <f>IFERROR(INPUT!G110/INPUT!G117,"–")</f>
        <v>6.9026548672566374E-3</v>
      </c>
      <c r="H14" s="352">
        <f>IFERROR(INPUT!H110/INPUT!H117,"–")</f>
        <v>1.2449023395578449E-2</v>
      </c>
    </row>
    <row r="15" spans="1:8" ht="15" customHeight="1" x14ac:dyDescent="0.35">
      <c r="A15" s="166"/>
      <c r="B15" s="349" t="s">
        <v>329</v>
      </c>
      <c r="C15" s="347"/>
      <c r="D15" s="406"/>
      <c r="E15" s="351" t="s">
        <v>102</v>
      </c>
      <c r="F15" s="351">
        <f>IFERROR(INPUT!F100/ABS(INPUT!F29),"–")</f>
        <v>0.34968825400561876</v>
      </c>
      <c r="G15" s="351">
        <f>IFERROR(INPUT!G100/ABS(INPUT!G29),"–")</f>
        <v>0.12892104142860342</v>
      </c>
      <c r="H15" s="351">
        <f>IFERROR(INPUT!H100/ABS(INPUT!H29),"–")</f>
        <v>-0.2881712946976418</v>
      </c>
    </row>
    <row r="16" spans="1:8" ht="15" customHeight="1" x14ac:dyDescent="0.35">
      <c r="A16" s="166"/>
      <c r="B16" s="26"/>
      <c r="C16" s="8"/>
      <c r="D16" s="331"/>
      <c r="E16" s="28"/>
      <c r="F16" s="28"/>
      <c r="G16" s="28"/>
      <c r="H16" s="28"/>
    </row>
    <row r="17" spans="1:8" ht="18" customHeight="1" x14ac:dyDescent="0.5">
      <c r="A17" s="36"/>
      <c r="B17" s="41" t="s">
        <v>330</v>
      </c>
      <c r="C17" s="36"/>
      <c r="D17" s="332"/>
      <c r="E17" s="22"/>
      <c r="F17" s="22"/>
      <c r="G17" s="22"/>
      <c r="H17" s="22"/>
    </row>
    <row r="18" spans="1:8" ht="18" customHeight="1" x14ac:dyDescent="0.5">
      <c r="A18" s="167"/>
      <c r="B18" s="90"/>
      <c r="C18" s="89"/>
      <c r="D18" s="334"/>
      <c r="E18" s="86"/>
      <c r="F18" s="86"/>
      <c r="G18" s="86"/>
      <c r="H18" s="86"/>
    </row>
    <row r="19" spans="1:8" ht="15" customHeight="1" x14ac:dyDescent="0.35">
      <c r="A19" s="166"/>
      <c r="B19" s="25" t="s">
        <v>322</v>
      </c>
      <c r="C19" s="8"/>
      <c r="D19" s="406"/>
      <c r="E19" s="200">
        <f>IFERROR(INPUT!E107,"–")</f>
        <v>0.97099999999999997</v>
      </c>
      <c r="F19" s="200">
        <f>IFERROR(INPUT!F107,"–")</f>
        <v>0.97799999999999998</v>
      </c>
      <c r="G19" s="200">
        <f>IFERROR(INPUT!G107,"–")</f>
        <v>0.98199999999999998</v>
      </c>
      <c r="H19" s="200">
        <f>IFERROR(INPUT!H107,"–")</f>
        <v>0.96499999999999997</v>
      </c>
    </row>
    <row r="20" spans="1:8" ht="15" customHeight="1" x14ac:dyDescent="0.35">
      <c r="A20" s="166"/>
      <c r="B20" s="57" t="s">
        <v>323</v>
      </c>
      <c r="C20" s="8"/>
      <c r="D20" s="406"/>
      <c r="E20" s="200">
        <f>IFERROR(INPUT!E108,"–")</f>
        <v>4.2000000000000003E-2</v>
      </c>
      <c r="F20" s="200">
        <f>IFERROR(INPUT!F108,"–")</f>
        <v>6.8000000000000005E-2</v>
      </c>
      <c r="G20" s="200">
        <f>IFERROR(INPUT!G108,"–")</f>
        <v>5.1999999999999998E-2</v>
      </c>
      <c r="H20" s="200">
        <f>IFERROR(INPUT!H108,"–")</f>
        <v>3.7999999999999999E-2</v>
      </c>
    </row>
    <row r="21" spans="1:8" ht="15" customHeight="1" x14ac:dyDescent="0.35">
      <c r="A21" s="166"/>
      <c r="B21" s="25" t="s">
        <v>331</v>
      </c>
      <c r="C21" s="8"/>
      <c r="D21" s="406"/>
      <c r="E21" s="509">
        <f>IFERROR(INPUT!E109,"–")</f>
        <v>4.2</v>
      </c>
      <c r="F21" s="509">
        <f>IFERROR(INPUT!F109,"–")</f>
        <v>4.5</v>
      </c>
      <c r="G21" s="509">
        <f>IFERROR(INPUT!G109,"–")</f>
        <v>4.8</v>
      </c>
      <c r="H21" s="509">
        <f>IFERROR(INPUT!H109,"–")</f>
        <v>5.0999999999999996</v>
      </c>
    </row>
    <row r="22" spans="1:8" ht="15" customHeight="1" x14ac:dyDescent="0.35">
      <c r="A22" s="166"/>
      <c r="B22" s="25" t="s">
        <v>332</v>
      </c>
      <c r="C22" s="8"/>
      <c r="D22" s="406"/>
      <c r="E22" s="200">
        <f>IFERROR(INPUT!E104,"–")</f>
        <v>4.4999999999999998E-2</v>
      </c>
      <c r="F22" s="200">
        <f>IFERROR(INPUT!F104,"–")</f>
        <v>4.8000000000000001E-2</v>
      </c>
      <c r="G22" s="200">
        <f>IFERROR(INPUT!G104,"–")</f>
        <v>5.1999999999999998E-2</v>
      </c>
      <c r="H22" s="200">
        <f>IFERROR(INPUT!H104,"–")</f>
        <v>5.5E-2</v>
      </c>
    </row>
    <row r="23" spans="1:8" ht="15" customHeight="1" x14ac:dyDescent="0.35">
      <c r="A23" s="166"/>
      <c r="B23" s="25" t="s">
        <v>325</v>
      </c>
      <c r="C23" s="8"/>
      <c r="D23" s="406"/>
      <c r="E23" s="200">
        <f>IFERROR(INPUT!E111,"–")</f>
        <v>0.32774277777777777</v>
      </c>
      <c r="F23" s="200">
        <f>IFERROR(INPUT!F111,"–")</f>
        <v>0.29837669868995631</v>
      </c>
      <c r="G23" s="200">
        <f>IFERROR(INPUT!G111,"–")</f>
        <v>0.27400273796791441</v>
      </c>
      <c r="H23" s="200">
        <f>IFERROR(INPUT!H111,"–")</f>
        <v>0.30338999023437496</v>
      </c>
    </row>
    <row r="24" spans="1:8" ht="15" customHeight="1" x14ac:dyDescent="0.35">
      <c r="A24" s="166"/>
      <c r="B24" s="25" t="s">
        <v>111</v>
      </c>
      <c r="C24" s="8"/>
      <c r="D24" s="406"/>
      <c r="E24" s="200">
        <f>IFERROR((INPUT!E54+INPUT!E48-INPUT!E34)/INPUT!E30,"–")</f>
        <v>22.292899520084653</v>
      </c>
      <c r="F24" s="200">
        <f>IFERROR((INPUT!F54+INPUT!F48-INPUT!F34)/INPUT!F30,"–")</f>
        <v>17.215798321360321</v>
      </c>
      <c r="G24" s="200">
        <f>IFERROR((INPUT!G54+INPUT!G48-INPUT!G34)/INPUT!G30,"–")</f>
        <v>24.93288686836312</v>
      </c>
      <c r="H24" s="200">
        <f>IFERROR((INPUT!H54+INPUT!H48-INPUT!H34)/INPUT!H30,"–")</f>
        <v>-104.40014786064145</v>
      </c>
    </row>
    <row r="25" spans="1:8" ht="15" customHeight="1" x14ac:dyDescent="0.35">
      <c r="A25" s="166"/>
      <c r="B25" s="25" t="s">
        <v>333</v>
      </c>
      <c r="C25" s="8"/>
      <c r="D25" s="406"/>
      <c r="E25" s="201">
        <f>IFERROR(INPUT!E30/ABS(INPUT!E20),"–")</f>
        <v>3.6263103802672143</v>
      </c>
      <c r="F25" s="201">
        <f>IFERROR(INPUT!F30/ABS(INPUT!F20),"–")</f>
        <v>2.6728083785880536</v>
      </c>
      <c r="G25" s="201">
        <f>IFERROR(INPUT!G30/ABS(INPUT!G20),"–")</f>
        <v>1.41599187865759</v>
      </c>
      <c r="H25" s="201">
        <f>IFERROR(INPUT!H30/ABS(INPUT!H20),"–")</f>
        <v>-0.33389216876144207</v>
      </c>
    </row>
    <row r="26" spans="1:8" ht="15" customHeight="1" x14ac:dyDescent="0.35">
      <c r="A26" s="166"/>
      <c r="B26" s="26"/>
      <c r="C26" s="8"/>
      <c r="D26" s="331"/>
      <c r="E26" s="28"/>
      <c r="F26" s="28"/>
      <c r="G26" s="28"/>
      <c r="H26" s="28"/>
    </row>
    <row r="27" spans="1:8" ht="18" customHeight="1" x14ac:dyDescent="0.5">
      <c r="A27" s="36"/>
      <c r="B27" s="41" t="s">
        <v>334</v>
      </c>
      <c r="C27" s="36"/>
      <c r="D27" s="332"/>
      <c r="E27" s="22"/>
      <c r="F27" s="22"/>
      <c r="G27" s="22"/>
      <c r="H27" s="22"/>
    </row>
    <row r="28" spans="1:8" ht="18" customHeight="1" x14ac:dyDescent="0.5">
      <c r="A28" s="167"/>
      <c r="B28" s="90"/>
      <c r="C28" s="89"/>
      <c r="D28" s="334"/>
      <c r="E28" s="86"/>
      <c r="F28" s="86"/>
      <c r="G28" s="86"/>
      <c r="H28" s="86"/>
    </row>
    <row r="29" spans="1:8" ht="15" customHeight="1" x14ac:dyDescent="0.35">
      <c r="A29" s="166"/>
      <c r="B29" s="25" t="s">
        <v>335</v>
      </c>
      <c r="C29" s="8"/>
      <c r="D29" s="404"/>
      <c r="E29" s="199">
        <f>IFERROR(INPUT!E54+INPUT!E48-INPUT!E34,"–")</f>
        <v>23597.48</v>
      </c>
      <c r="F29" s="199">
        <f>IFERROR(INPUT!F54+INPUT!F48-INPUT!F34,"–")</f>
        <v>28470.11</v>
      </c>
      <c r="G29" s="199">
        <f>IFERROR(INPUT!G54+INPUT!G48-INPUT!G34,"–")</f>
        <v>29560.68</v>
      </c>
      <c r="H29" s="199">
        <f>IFERROR(INPUT!H54+INPUT!H48-INPUT!H34,"–")</f>
        <v>33891.42</v>
      </c>
    </row>
    <row r="30" spans="1:8" ht="15" customHeight="1" x14ac:dyDescent="0.35">
      <c r="A30" s="166"/>
      <c r="B30" s="25" t="s">
        <v>336</v>
      </c>
      <c r="C30" s="8"/>
      <c r="D30" s="404"/>
      <c r="E30" s="199">
        <f>IFERROR(INPUT!E54+INPUT!E48,"–")</f>
        <v>23875.96</v>
      </c>
      <c r="F30" s="199">
        <f>IFERROR(INPUT!F54+INPUT!F48,"–")</f>
        <v>29000.5</v>
      </c>
      <c r="G30" s="199">
        <f>IFERROR(INPUT!G54+INPUT!G48,"–")</f>
        <v>30879.27</v>
      </c>
      <c r="H30" s="199">
        <f>IFERROR(INPUT!H54+INPUT!H48,"–")</f>
        <v>35037.07</v>
      </c>
    </row>
    <row r="31" spans="1:8" ht="15" customHeight="1" x14ac:dyDescent="0.35">
      <c r="A31" s="166"/>
      <c r="B31" s="25" t="s">
        <v>110</v>
      </c>
      <c r="C31" s="8"/>
      <c r="D31" s="404"/>
      <c r="E31" s="199">
        <f>IFERROR((INPUT!E54+INPUT!E48)/INPUT!E60,"–")</f>
        <v>0.44477570234478186</v>
      </c>
      <c r="F31" s="199">
        <f>IFERROR((INPUT!F54+INPUT!F48)/INPUT!F60,"–")</f>
        <v>0.54008758952263025</v>
      </c>
      <c r="G31" s="199">
        <f>IFERROR((INPUT!G54+INPUT!G48)/INPUT!G60,"–")</f>
        <v>0.57108365685642093</v>
      </c>
      <c r="H31" s="199">
        <f>IFERROR((INPUT!H54+INPUT!H48)/INPUT!H60,"–")</f>
        <v>0.65040704889320389</v>
      </c>
    </row>
    <row r="32" spans="1:8" ht="15" customHeight="1" x14ac:dyDescent="0.35">
      <c r="A32" s="166"/>
      <c r="B32" s="25" t="s">
        <v>337</v>
      </c>
      <c r="C32" s="8"/>
      <c r="D32" s="404"/>
      <c r="E32" s="199">
        <f>IFERROR(INPUT!E17/ABS(INPUT!E20),"–")</f>
        <v>-2.5839671120246668</v>
      </c>
      <c r="F32" s="199">
        <f>IFERROR(INPUT!F17/ABS(INPUT!F20),"–")</f>
        <v>-1.3433701836048602</v>
      </c>
      <c r="G32" s="199">
        <f>IFERROR(INPUT!G17/ABS(INPUT!G20),"–")</f>
        <v>-1.6659620207810819</v>
      </c>
      <c r="H32" s="199">
        <f>IFERROR(INPUT!H17/ABS(INPUT!H20),"–")</f>
        <v>-3.0348466459588996</v>
      </c>
    </row>
    <row r="33" spans="1:8" ht="15" customHeight="1" x14ac:dyDescent="0.35">
      <c r="A33" s="166"/>
      <c r="B33" s="25" t="s">
        <v>338</v>
      </c>
      <c r="C33" s="8"/>
      <c r="D33" s="404"/>
      <c r="E33" s="199">
        <f>IFERROR(INPUT!E75/(INPUT!E54+INPUT!E48),"–")</f>
        <v>-0.13340908595926615</v>
      </c>
      <c r="F33" s="199">
        <f>IFERROR(INPUT!F75/(INPUT!F54+INPUT!F48),"–")</f>
        <v>0.13524801296529373</v>
      </c>
      <c r="G33" s="199">
        <f>IFERROR(INPUT!G75/(INPUT!G54+INPUT!G48),"–")</f>
        <v>-3.022416009186749E-3</v>
      </c>
      <c r="H33" s="199">
        <f>IFERROR(INPUT!H75/(INPUT!H54+INPUT!H48),"–")</f>
        <v>3.9516717579409472E-2</v>
      </c>
    </row>
    <row r="34" spans="1:8" ht="15" customHeight="1" x14ac:dyDescent="0.35">
      <c r="A34" s="166"/>
      <c r="B34" s="25" t="s">
        <v>109</v>
      </c>
      <c r="C34" s="8"/>
      <c r="D34" s="404"/>
      <c r="E34" s="201">
        <f>IFERROR(INPUT!E38/INPUT!E51,"–")</f>
        <v>7.051570362244532</v>
      </c>
      <c r="F34" s="201">
        <f>IFERROR(INPUT!F38/INPUT!F51,"–")</f>
        <v>7.0297965040528956</v>
      </c>
      <c r="G34" s="201">
        <f>IFERROR(INPUT!G38/INPUT!G51,"–")</f>
        <v>9.668402436628023</v>
      </c>
      <c r="H34" s="201">
        <f>IFERROR(INPUT!H38/INPUT!H51,"–")</f>
        <v>8.551839928315081</v>
      </c>
    </row>
    <row r="35" spans="1:8" ht="15" customHeight="1" x14ac:dyDescent="0.35">
      <c r="A35" s="166"/>
      <c r="B35" s="26"/>
      <c r="C35" s="8"/>
      <c r="D35" s="331"/>
      <c r="E35" s="28"/>
      <c r="F35" s="28"/>
      <c r="G35" s="28"/>
      <c r="H35" s="28"/>
    </row>
    <row r="36" spans="1:8" ht="15" customHeight="1" x14ac:dyDescent="0.5">
      <c r="A36" s="36"/>
      <c r="B36" s="41" t="s">
        <v>339</v>
      </c>
      <c r="C36" s="36"/>
      <c r="D36" s="332"/>
      <c r="E36" s="22"/>
      <c r="F36" s="22"/>
      <c r="G36" s="22"/>
      <c r="H36" s="22"/>
    </row>
    <row r="37" spans="1:8" ht="15" customHeight="1" x14ac:dyDescent="0.5">
      <c r="A37" s="167"/>
      <c r="B37" s="90"/>
      <c r="C37" s="89"/>
      <c r="D37" s="334"/>
      <c r="E37" s="86"/>
      <c r="F37" s="86"/>
      <c r="G37" s="86"/>
      <c r="H37" s="86"/>
    </row>
    <row r="38" spans="1:8" ht="18" customHeight="1" x14ac:dyDescent="0.35">
      <c r="A38" s="166"/>
      <c r="B38" s="25" t="s">
        <v>340</v>
      </c>
      <c r="C38" s="8"/>
      <c r="D38" s="404"/>
      <c r="E38" s="199">
        <f>IFERROR(IF(INPUT!E94&lt;&gt;"",INPUT!E94/INPUT!E9,INPUT!E30/INPUT!E9),"–")</f>
        <v>0.54237832897254468</v>
      </c>
      <c r="F38" s="199">
        <f>IFERROR(IF(INPUT!F94&lt;&gt;"",INPUT!F94/INPUT!F9,INPUT!F30/INPUT!F9),"–")</f>
        <v>0.57082534115538541</v>
      </c>
      <c r="G38" s="199">
        <f>IFERROR(IF(INPUT!G94&lt;&gt;"",INPUT!G94/INPUT!G9,INPUT!G30/INPUT!G9),"–")</f>
        <v>0.68401204153818573</v>
      </c>
      <c r="H38" s="199">
        <f>IFERROR(IF(INPUT!H94&lt;&gt;"",INPUT!H94/INPUT!H9,INPUT!H30/INPUT!H9),"–")</f>
        <v>0.69896577183727659</v>
      </c>
    </row>
    <row r="39" spans="1:8" ht="18" customHeight="1" x14ac:dyDescent="0.35">
      <c r="A39" s="166"/>
      <c r="B39" s="26"/>
      <c r="C39" s="8"/>
      <c r="D39" s="331"/>
      <c r="E39" s="28"/>
      <c r="F39" s="28"/>
      <c r="G39" s="28"/>
      <c r="H39" s="28"/>
    </row>
    <row r="40" spans="1:8" ht="15" customHeight="1" x14ac:dyDescent="0.5">
      <c r="A40" s="36"/>
      <c r="B40" s="41" t="s">
        <v>112</v>
      </c>
      <c r="C40" s="36"/>
      <c r="D40" s="332"/>
      <c r="E40" s="22"/>
      <c r="F40" s="22"/>
      <c r="G40" s="22"/>
      <c r="H40" s="22"/>
    </row>
    <row r="41" spans="1:8" ht="15" customHeight="1" x14ac:dyDescent="0.5">
      <c r="A41" s="167"/>
      <c r="B41" s="90"/>
      <c r="C41" s="89"/>
      <c r="D41" s="334"/>
      <c r="E41" s="86"/>
      <c r="F41" s="86"/>
      <c r="G41" s="86"/>
      <c r="H41" s="86"/>
    </row>
    <row r="42" spans="1:8" ht="18" customHeight="1" x14ac:dyDescent="0.35">
      <c r="A42" s="166"/>
      <c r="B42" s="25" t="s">
        <v>113</v>
      </c>
      <c r="C42" s="8"/>
      <c r="D42" s="391" t="s">
        <v>102</v>
      </c>
      <c r="E42" s="410"/>
      <c r="F42" s="200">
        <f>IFERROR(INPUT!F9/INPUT!E9-1,"–")</f>
        <v>0.34313464542016758</v>
      </c>
      <c r="G42" s="200">
        <f>IFERROR(INPUT!G9/INPUT!F9-1,"–")</f>
        <v>2.2202363815157389E-2</v>
      </c>
      <c r="H42" s="200">
        <f>IFERROR(INPUT!H9/INPUT!G9-1,"–")</f>
        <v>7.1756642903039625E-2</v>
      </c>
    </row>
    <row r="43" spans="1:8" ht="18" customHeight="1" x14ac:dyDescent="0.35">
      <c r="A43" s="166"/>
      <c r="B43" s="25" t="s">
        <v>341</v>
      </c>
      <c r="C43" s="8"/>
      <c r="D43" s="391" t="s">
        <v>102</v>
      </c>
      <c r="E43" s="410"/>
      <c r="F43" s="200">
        <f>IFERROR(INPUT!F30/INPUT!E30-1,"–")</f>
        <v>0.56229452443033767</v>
      </c>
      <c r="G43" s="200">
        <f>IFERROR(INPUT!G30/INPUT!F30-1,"–")</f>
        <v>-0.28306484773722296</v>
      </c>
      <c r="H43" s="200">
        <f>IFERROR(INPUT!H30/INPUT!G30-1,"–")</f>
        <v>-1.2738084192947088</v>
      </c>
    </row>
    <row r="44" spans="1:8" ht="15" customHeight="1" x14ac:dyDescent="0.35">
      <c r="A44" s="166"/>
      <c r="B44" s="25" t="s">
        <v>342</v>
      </c>
      <c r="C44" s="8"/>
      <c r="D44" s="391" t="s">
        <v>102</v>
      </c>
      <c r="E44" s="410"/>
      <c r="F44" s="200">
        <f>IFERROR((INPUT!F100-INPUT!E100)/ABS(INPUT!E100),"–")</f>
        <v>0.37915027729593848</v>
      </c>
      <c r="G44" s="200">
        <f>IFERROR((INPUT!G100-INPUT!F100)/ABS(INPUT!F100),"–")</f>
        <v>-0.59228520814880459</v>
      </c>
      <c r="H44" s="200">
        <f>IFERROR((INPUT!H100-INPUT!G100)/ABS(INPUT!G100),"–")</f>
        <v>-3.3568681975190633</v>
      </c>
    </row>
    <row r="45" spans="1:8" ht="15" customHeight="1" x14ac:dyDescent="0.35">
      <c r="A45" s="166"/>
      <c r="B45" s="25" t="s">
        <v>343</v>
      </c>
      <c r="C45" s="8"/>
      <c r="D45" s="391" t="s">
        <v>102</v>
      </c>
      <c r="E45" s="410"/>
      <c r="F45" s="200">
        <f>IFERROR((INPUT!F102-INPUT!E102)/ABS(INPUT!E102),"–")</f>
        <v>0.41421120257722399</v>
      </c>
      <c r="G45" s="200">
        <f>IFERROR((INPUT!G102-INPUT!F102)/ABS(INPUT!F102),"–")</f>
        <v>-0.58156840579290281</v>
      </c>
      <c r="H45" s="200">
        <f>IFERROR((INPUT!H102-INPUT!G102)/ABS(INPUT!G102),"–")</f>
        <v>-39.954576861261415</v>
      </c>
    </row>
    <row r="46" spans="1:8" ht="15" customHeight="1" x14ac:dyDescent="0.35">
      <c r="A46" s="166"/>
      <c r="B46" s="25" t="s">
        <v>114</v>
      </c>
      <c r="C46" s="8"/>
      <c r="D46" s="391" t="s">
        <v>102</v>
      </c>
      <c r="E46" s="410"/>
      <c r="F46" s="201">
        <f>IFERROR(INPUT!F44/INPUT!E44-1,"–")</f>
        <v>-0.11903963514414362</v>
      </c>
      <c r="G46" s="201">
        <f>IFERROR(INPUT!G44/INPUT!F44-1,"–")</f>
        <v>3.2027262897263986E-2</v>
      </c>
      <c r="H46" s="201">
        <f>IFERROR(INPUT!H44/INPUT!G44-1,"–")</f>
        <v>-6.6049335295558453E-2</v>
      </c>
    </row>
    <row r="47" spans="1:8" ht="15" customHeight="1" x14ac:dyDescent="0.35">
      <c r="A47" s="166"/>
      <c r="B47" s="26"/>
      <c r="C47" s="8"/>
      <c r="D47" s="331"/>
      <c r="E47" s="28"/>
      <c r="F47" s="28"/>
      <c r="G47" s="28"/>
      <c r="H47" s="28"/>
    </row>
    <row r="48" spans="1:8" ht="15" customHeight="1" x14ac:dyDescent="0.5">
      <c r="A48" s="36"/>
      <c r="B48" s="41" t="s">
        <v>115</v>
      </c>
      <c r="C48" s="36"/>
      <c r="D48" s="332"/>
      <c r="E48" s="22"/>
      <c r="F48" s="22"/>
      <c r="G48" s="22"/>
      <c r="H48" s="22"/>
    </row>
    <row r="49" spans="1:8" ht="15" customHeight="1" x14ac:dyDescent="0.5">
      <c r="A49" s="167"/>
      <c r="B49" s="90"/>
      <c r="C49" s="89"/>
      <c r="D49" s="334"/>
      <c r="E49" s="86"/>
      <c r="F49" s="86"/>
      <c r="G49" s="86"/>
      <c r="H49" s="86"/>
    </row>
    <row r="50" spans="1:8" ht="18" customHeight="1" x14ac:dyDescent="0.35">
      <c r="A50" s="166"/>
      <c r="B50" s="25" t="s">
        <v>116</v>
      </c>
      <c r="C50" s="8"/>
      <c r="D50" s="391" t="str">
        <f>IFERROR(INPUT!D75/INPUT!D9,"–")</f>
        <v>–</v>
      </c>
      <c r="E50" s="200">
        <f>IFERROR(INPUT!E75/INPUT!E9,"–")</f>
        <v>-0.5332164876315979</v>
      </c>
      <c r="F50" s="200">
        <f>IFERROR(INPUT!F75/INPUT!F9,"–")</f>
        <v>0.48884834117906606</v>
      </c>
      <c r="G50" s="200">
        <f>IFERROR(INPUT!G75/INPUT!G9,"–")</f>
        <v>-1.1379473054680738E-2</v>
      </c>
      <c r="H50" s="200">
        <f>IFERROR(INPUT!H75/INPUT!H9,"–")</f>
        <v>0.1575118911779462</v>
      </c>
    </row>
    <row r="51" spans="1:8" ht="18" customHeight="1" x14ac:dyDescent="0.35">
      <c r="A51" s="166"/>
      <c r="B51" s="51" t="s">
        <v>344</v>
      </c>
      <c r="C51" s="10"/>
      <c r="D51" s="392">
        <f>IFERROR(INPUT!D75+INPUT!D78,"–")</f>
        <v>0</v>
      </c>
      <c r="E51" s="202">
        <f>IFERROR(INPUT!E101,"–")</f>
        <v>1293.6199999999997</v>
      </c>
      <c r="F51" s="202">
        <f>IFERROR(INPUT!F101,"–")</f>
        <v>1786.0000000000007</v>
      </c>
      <c r="G51" s="202">
        <f>IFERROR(INPUT!G101,"–")</f>
        <v>1233.31</v>
      </c>
      <c r="H51" s="202">
        <f>IFERROR(INPUT!H101,"–")</f>
        <v>-221.88999999999987</v>
      </c>
    </row>
    <row r="52" spans="1:8" ht="15" customHeight="1" x14ac:dyDescent="0.35">
      <c r="A52" s="166"/>
      <c r="B52" s="25" t="s">
        <v>345</v>
      </c>
      <c r="C52" s="8"/>
      <c r="D52" s="391" t="str">
        <f>IFERROR(D51/INPUT!D9,"–")</f>
        <v>–</v>
      </c>
      <c r="E52" s="200">
        <f>IFERROR(INPUT!E101/INPUT!E9,"–")</f>
        <v>0.21655291787822933</v>
      </c>
      <c r="F52" s="200">
        <f>IFERROR(INPUT!F101/INPUT!F9,"–")</f>
        <v>0.22259695617980757</v>
      </c>
      <c r="G52" s="200">
        <f>IFERROR(INPUT!G101/INPUT!G9,"–")</f>
        <v>0.15037413385908374</v>
      </c>
      <c r="H52" s="200">
        <f>IFERROR(INPUT!H101/INPUT!H9,"–")</f>
        <v>-2.5243085142085488E-2</v>
      </c>
    </row>
    <row r="53" spans="1:8" ht="15" customHeight="1" x14ac:dyDescent="0.35">
      <c r="A53" s="166"/>
      <c r="B53" s="25" t="s">
        <v>346</v>
      </c>
      <c r="C53" s="8"/>
      <c r="D53" s="391" t="str">
        <f>IFERROR(ABS(INPUT!D78)/INPUT!D9,"–")</f>
        <v>–</v>
      </c>
      <c r="E53" s="200">
        <f>IFERROR(ABS(INPUT!E78)/INPUT!E9,"–")</f>
        <v>2.6265172782651929</v>
      </c>
      <c r="F53" s="200">
        <f>IFERROR(ABS(INPUT!F78)/INPUT!F9,"–")</f>
        <v>2.208770020951035</v>
      </c>
      <c r="G53" s="200">
        <f>IFERROR(ABS(INPUT!G78)/INPUT!G9,"–")</f>
        <v>1.8178138194817846</v>
      </c>
      <c r="H53" s="200">
        <f>IFERROR(ABS(INPUT!H78)/INPUT!H9,"–")</f>
        <v>1.9286404182873294</v>
      </c>
    </row>
    <row r="54" spans="1:8" ht="15" customHeight="1" x14ac:dyDescent="0.35">
      <c r="A54" s="166"/>
      <c r="B54" s="25" t="s">
        <v>347</v>
      </c>
      <c r="C54" s="8"/>
      <c r="D54" s="391" t="str">
        <f>IFERROR(ABS(INPUT!D85)/INPUT!D26,"–")</f>
        <v>–</v>
      </c>
      <c r="E54" s="200">
        <f>IFERROR(ABS(INPUT!E29)/INPUT!E101,"–")</f>
        <v>0</v>
      </c>
      <c r="F54" s="200">
        <f>IFERROR(ABS(INPUT!F29)/INPUT!F101,"–")</f>
        <v>1.8077211646136613</v>
      </c>
      <c r="G54" s="200">
        <f>IFERROR(ABS(INPUT!G29)/INPUT!G101,"–")</f>
        <v>2.8950385547834689</v>
      </c>
      <c r="H54" s="200">
        <f>IFERROR(ABS(INPUT!H29)/INPUT!H101,"–")</f>
        <v>-16.966695209337971</v>
      </c>
    </row>
    <row r="55" spans="1:8" ht="15" customHeight="1" x14ac:dyDescent="0.35">
      <c r="A55" s="166"/>
      <c r="B55" s="13"/>
      <c r="C55" s="8"/>
      <c r="D55" s="331"/>
      <c r="E55" s="21"/>
      <c r="F55" s="21"/>
      <c r="G55" s="21"/>
      <c r="H55" s="21"/>
    </row>
    <row r="56" spans="1:8" ht="15" customHeight="1" x14ac:dyDescent="0.35">
      <c r="A56" s="357" t="s">
        <v>5</v>
      </c>
      <c r="B56" s="41" t="s">
        <v>117</v>
      </c>
      <c r="C56" s="357"/>
      <c r="D56" s="345"/>
      <c r="E56" s="41"/>
      <c r="F56" s="41"/>
      <c r="G56" s="41"/>
      <c r="H56" s="41"/>
    </row>
    <row r="57" spans="1:8" ht="15" customHeight="1" x14ac:dyDescent="0.35">
      <c r="A57" s="166"/>
      <c r="B57" s="13"/>
      <c r="C57" s="8"/>
      <c r="D57" s="331"/>
      <c r="E57" s="21"/>
      <c r="F57" s="21"/>
      <c r="G57" s="21"/>
      <c r="H57" s="21"/>
    </row>
    <row r="58" spans="1:8" ht="15" customHeight="1" x14ac:dyDescent="0.35">
      <c r="A58" s="166"/>
      <c r="B58" s="346" t="s">
        <v>348</v>
      </c>
      <c r="C58" s="347"/>
      <c r="D58" s="331"/>
      <c r="E58" s="199">
        <f>IFERROR(INPUT!E102,"–")</f>
        <v>5.0485353068146756E-2</v>
      </c>
      <c r="F58" s="199">
        <f>IFERROR(INPUT!F102,"–")</f>
        <v>7.1396951875039569E-2</v>
      </c>
      <c r="G58" s="199">
        <f>IFERROR(INPUT!G102,"–")</f>
        <v>2.9874740394600204E-2</v>
      </c>
      <c r="H58" s="199">
        <f>IFERROR(INPUT!H102,"–")</f>
        <v>-1.1637578709116847</v>
      </c>
    </row>
    <row r="59" spans="1:8" ht="15" customHeight="1" x14ac:dyDescent="0.35">
      <c r="A59" s="166"/>
      <c r="B59" s="346" t="s">
        <v>349</v>
      </c>
      <c r="C59" s="347"/>
      <c r="D59" s="331"/>
      <c r="E59" s="199">
        <f>IFERROR(INPUT!E103,"–")</f>
        <v>7.9779216774591405E-2</v>
      </c>
      <c r="F59" s="199">
        <f>IFERROR(INPUT!F103,"–")</f>
        <v>0.11294504521596159</v>
      </c>
      <c r="G59" s="199">
        <f>IFERROR(INPUT!G103,"–")</f>
        <v>8.004348390446521E-2</v>
      </c>
      <c r="H59" s="199">
        <f>IFERROR(INPUT!H103,"–")</f>
        <v>-0.23802066013751957</v>
      </c>
    </row>
    <row r="60" spans="1:8" ht="15" customHeight="1" x14ac:dyDescent="0.35">
      <c r="A60" s="166"/>
      <c r="B60" s="346" t="s">
        <v>350</v>
      </c>
      <c r="C60" s="347"/>
      <c r="D60" s="331"/>
      <c r="E60" s="523"/>
      <c r="F60" s="280">
        <f>IFERROR(INPUT!F111,"–")</f>
        <v>0.29837669868995631</v>
      </c>
      <c r="G60" s="280">
        <f>IFERROR(INPUT!G111,"–")</f>
        <v>0.27400273796791441</v>
      </c>
      <c r="H60" s="280">
        <f>IFERROR(INPUT!H111,"–")</f>
        <v>0.30338999023437496</v>
      </c>
    </row>
    <row r="61" spans="1:8" ht="15" customHeight="1" x14ac:dyDescent="0.35">
      <c r="A61" s="166"/>
      <c r="B61" s="346" t="s">
        <v>351</v>
      </c>
      <c r="C61" s="347"/>
      <c r="D61" s="331"/>
      <c r="E61" s="523"/>
      <c r="F61" s="280">
        <f>IFERROR(IF(INPUT!F107="","–",INPUT!F107),"–")</f>
        <v>0.97799999999999998</v>
      </c>
      <c r="G61" s="280">
        <f>IFERROR(IF(INPUT!G107="","–",INPUT!G107),"–")</f>
        <v>0.98199999999999998</v>
      </c>
      <c r="H61" s="280">
        <f>IFERROR(IF(INPUT!H107="","–",INPUT!H107),"–")</f>
        <v>0.96499999999999997</v>
      </c>
    </row>
    <row r="62" spans="1:8" ht="15" customHeight="1" x14ac:dyDescent="0.35">
      <c r="A62" s="166"/>
      <c r="B62" s="346" t="s">
        <v>352</v>
      </c>
      <c r="C62" s="347"/>
      <c r="D62" s="331"/>
      <c r="E62" s="523"/>
      <c r="F62" s="200">
        <f>IFERROR(INPUT!F112,"–")</f>
        <v>8.0000000000000002E-3</v>
      </c>
      <c r="G62" s="200">
        <f>IFERROR(INPUT!G112,"–")</f>
        <v>6.9026548672566374E-3</v>
      </c>
      <c r="H62" s="200">
        <f>IFERROR(INPUT!H112,"–")</f>
        <v>1.2449023395578449E-2</v>
      </c>
    </row>
    <row r="63" spans="1:8" ht="15" customHeight="1" x14ac:dyDescent="0.35">
      <c r="A63" s="166"/>
      <c r="B63" s="346" t="s">
        <v>353</v>
      </c>
      <c r="C63" s="347"/>
      <c r="D63" s="331"/>
      <c r="E63" s="523"/>
      <c r="F63" s="200">
        <f>IFERROR(INPUT!F100/ABS(INPUT!F29),"–")</f>
        <v>0.34968825400561876</v>
      </c>
      <c r="G63" s="200">
        <f>IFERROR(INPUT!G100/ABS(INPUT!G29),"–")</f>
        <v>0.12892104142860342</v>
      </c>
      <c r="H63" s="200">
        <f>IFERROR(INPUT!H100/ABS(INPUT!H29),"–")</f>
        <v>-0.2881712946976418</v>
      </c>
    </row>
    <row r="64" spans="1:8" ht="15" customHeight="1" x14ac:dyDescent="0.35">
      <c r="A64" s="166"/>
      <c r="B64" s="13"/>
      <c r="C64" s="8"/>
      <c r="D64" s="331"/>
      <c r="E64" s="21"/>
      <c r="F64" s="21"/>
      <c r="G64" s="21"/>
      <c r="H64" s="21"/>
    </row>
    <row r="65" spans="2:8" ht="15" customHeight="1" x14ac:dyDescent="0.3">
      <c r="B65" s="82" t="s">
        <v>120</v>
      </c>
      <c r="C65" s="84"/>
      <c r="D65" s="19"/>
      <c r="E65" s="85"/>
      <c r="F65" s="85"/>
      <c r="G65" s="85"/>
      <c r="H65" s="85"/>
    </row>
    <row r="66" spans="2:8" ht="15" customHeight="1" x14ac:dyDescent="0.3">
      <c r="B66" s="71" t="s">
        <v>100</v>
      </c>
      <c r="C66" s="71"/>
      <c r="D66" s="335" t="str">
        <f>IF(INPUT!D9="","",D5)</f>
        <v/>
      </c>
      <c r="E66" s="524">
        <f>IF(INPUT!E9="",NA(),E5)</f>
        <v>2022</v>
      </c>
      <c r="F66" s="524">
        <f>IF(INPUT!F9="",NA(),F5)</f>
        <v>2023</v>
      </c>
      <c r="G66" s="524">
        <f>IF(INPUT!G9="",NA(),G5)</f>
        <v>2024</v>
      </c>
      <c r="H66" s="524" t="str">
        <f>IF(INPUT!H9="",NA(),H5)</f>
        <v>2025 (LTM)</v>
      </c>
    </row>
    <row r="67" spans="2:8" ht="15" customHeight="1" x14ac:dyDescent="0.3">
      <c r="B67" s="39" t="s">
        <v>121</v>
      </c>
      <c r="D67" s="393" t="str">
        <f>IF(INPUT!D9="","",INPUT!D9)</f>
        <v/>
      </c>
      <c r="E67" s="203">
        <f>IF(INPUT!E9="",NA(),INPUT!E9)</f>
        <v>5973.69</v>
      </c>
      <c r="F67" s="203">
        <f>IF(INPUT!F9="",NA(),INPUT!F9)</f>
        <v>8023.47</v>
      </c>
      <c r="G67" s="203">
        <f>IF(INPUT!G9="",NA(),INPUT!G9)</f>
        <v>8201.61</v>
      </c>
      <c r="H67" s="203">
        <f>IF(INPUT!H9="",NA(),INPUT!H9)</f>
        <v>8790.1299999999992</v>
      </c>
    </row>
    <row r="68" spans="2:8" ht="15" customHeight="1" x14ac:dyDescent="0.3">
      <c r="B68" s="39" t="s">
        <v>122</v>
      </c>
      <c r="D68" s="393">
        <f>IF(INPUT!E9="",NA(),INPUT!E30)</f>
        <v>1058.5199999999998</v>
      </c>
      <c r="E68" s="203">
        <f>IF(INPUT!F9="",NA(),INPUT!F30)</f>
        <v>1653.7200000000007</v>
      </c>
      <c r="F68" s="203">
        <f>IF(INPUT!G9="",NA(),INPUT!G30)</f>
        <v>1185.6100000000001</v>
      </c>
      <c r="G68" s="203">
        <f>IF(INPUT!G9="",NA(),INPUT!G30)</f>
        <v>1185.6100000000001</v>
      </c>
      <c r="H68" s="203">
        <f>IF(INPUT!H9="",NA(),INPUT!H30)</f>
        <v>-324.62999999999965</v>
      </c>
    </row>
    <row r="69" spans="2:8" ht="15" customHeight="1" x14ac:dyDescent="0.3">
      <c r="B69" s="39" t="s">
        <v>123</v>
      </c>
      <c r="D69" s="393">
        <f>IF(INPUT!E9="",NA(),INPUT!E26)</f>
        <v>-994.16000000000031</v>
      </c>
      <c r="E69" s="203">
        <f>IF(INPUT!F9="",NA(),INPUT!F26)</f>
        <v>-1355.8899999999992</v>
      </c>
      <c r="F69" s="203">
        <f>IF(INPUT!G9="",NA(),INPUT!G26)</f>
        <v>-2120.21</v>
      </c>
      <c r="G69" s="203">
        <f>IF(INPUT!G9="",NA(),INPUT!G26)</f>
        <v>-2120.21</v>
      </c>
      <c r="H69" s="203">
        <f>IF(INPUT!H9="",NA(),INPUT!H26)</f>
        <v>-3710.92</v>
      </c>
    </row>
    <row r="70" spans="2:8" ht="15" customHeight="1" x14ac:dyDescent="0.35">
      <c r="B70" s="39" t="s">
        <v>124</v>
      </c>
      <c r="D70" s="393">
        <f>IF(INPUT!E9="",NA(),INPUT!D9+INPUT!E9)</f>
        <v>5973.69</v>
      </c>
      <c r="E70" s="203">
        <f>IF(INPUT!F9="",NA(),INPUT!D9+INPUT!E9+INPUT!F9)</f>
        <v>13997.16</v>
      </c>
      <c r="F70" s="203">
        <f>IF(INPUT!G9="",NA(),INPUT!D9+INPUT!E9+INPUT!F9+INPUT!G9)</f>
        <v>22198.77</v>
      </c>
      <c r="G70" s="258">
        <f>IF(INPUT!G9="",NA(),INPUT!D9+INPUT!E9+INPUT!F9+INPUT!G9)</f>
        <v>22198.77</v>
      </c>
      <c r="H70" s="203">
        <f>IF(INPUT!H9="",NA(),INPUT!D9+INPUT!E9+INPUT!F9+INPUT!G9+INPUT!H9)</f>
        <v>30988.9</v>
      </c>
    </row>
    <row r="71" spans="2:8" ht="15" customHeight="1" x14ac:dyDescent="0.3">
      <c r="B71" s="39"/>
      <c r="D71" s="189"/>
    </row>
    <row r="72" spans="2:8" ht="15" customHeight="1" x14ac:dyDescent="0.3">
      <c r="B72" s="39" t="s">
        <v>104</v>
      </c>
      <c r="D72" s="394" t="str">
        <f>IF(INPUT!D9="","",D19)</f>
        <v/>
      </c>
      <c r="E72" s="204">
        <f>IFERROR(INPUT!E11/INPUT!E9,"–")</f>
        <v>0.74737724923790816</v>
      </c>
      <c r="F72" s="204">
        <f>IFERROR(INPUT!F11/INPUT!F9,"–")</f>
        <v>0.74944257285189575</v>
      </c>
      <c r="G72" s="204">
        <f>IFERROR(INPUT!G11/INPUT!G9,"–")</f>
        <v>0.74916632222210033</v>
      </c>
      <c r="H72" s="204">
        <f>IFERROR(INPUT!H11/INPUT!H9,"–")</f>
        <v>0.74577736620505042</v>
      </c>
    </row>
    <row r="73" spans="2:8" ht="15" customHeight="1" x14ac:dyDescent="0.3">
      <c r="B73" s="39" t="s">
        <v>125</v>
      </c>
      <c r="D73" s="394" t="str">
        <f>IF(INPUT!D9="","",D20)</f>
        <v/>
      </c>
      <c r="E73" s="204">
        <f>IFERROR(INPUT!E30/INPUT!E9,"–")</f>
        <v>0.17719700888395612</v>
      </c>
      <c r="F73" s="204">
        <f>IFERROR(INPUT!F30/INPUT!F9,"–")</f>
        <v>0.20611032383744199</v>
      </c>
      <c r="G73" s="204">
        <f>IFERROR(INPUT!G30/INPUT!G9,"–")</f>
        <v>0.14455820259680721</v>
      </c>
      <c r="H73" s="204">
        <f>IFERROR(INPUT!H30/INPUT!H9,"–")</f>
        <v>-3.6931194419195131E-2</v>
      </c>
    </row>
    <row r="74" spans="2:8" ht="15" customHeight="1" x14ac:dyDescent="0.3">
      <c r="B74" s="39" t="s">
        <v>105</v>
      </c>
      <c r="D74" s="394" t="str">
        <f>IF(INPUT!D9="","",D22)</f>
        <v/>
      </c>
      <c r="E74" s="204">
        <f>IFERROR(INPUT!E26/INPUT!E9,"–")</f>
        <v>-0.16642309862078555</v>
      </c>
      <c r="F74" s="204">
        <f>IFERROR(INPUT!F26/INPUT!F9,"–")</f>
        <v>-0.16899047419632643</v>
      </c>
      <c r="G74" s="204">
        <f>IFERROR(INPUT!G26/INPUT!G9,"–")</f>
        <v>-0.25851143860778553</v>
      </c>
      <c r="H74" s="204">
        <f>IFERROR(INPUT!H26/INPUT!H9,"–")</f>
        <v>-0.42216895540794053</v>
      </c>
    </row>
    <row r="75" spans="2:8" ht="15" customHeight="1" x14ac:dyDescent="0.3">
      <c r="B75" s="39"/>
      <c r="D75" s="189"/>
    </row>
    <row r="76" spans="2:8" ht="15" customHeight="1" x14ac:dyDescent="0.3"/>
    <row r="77" spans="2:8" ht="15" customHeight="1" x14ac:dyDescent="0.3">
      <c r="B77" s="39" t="s">
        <v>126</v>
      </c>
      <c r="D77" s="303" t="str">
        <f>IF(INPUT!D9="","",ABS(INPUT!D14))</f>
        <v/>
      </c>
      <c r="E77" s="206">
        <f>IF(INPUT!E9="",NA(),ABS(INPUT!E14))</f>
        <v>331.08</v>
      </c>
      <c r="F77" s="206">
        <f>IF(INPUT!F9="",NA(),ABS(INPUT!F14))</f>
        <v>390.41</v>
      </c>
      <c r="G77" s="206">
        <f>IF(INPUT!G9="",NA(),ABS(INPUT!G14))</f>
        <v>418.76</v>
      </c>
      <c r="H77" s="206">
        <f>IF(INPUT!H9="",NA(),ABS(INPUT!H14))</f>
        <v>469.11</v>
      </c>
    </row>
    <row r="78" spans="2:8" ht="15" customHeight="1" x14ac:dyDescent="0.3">
      <c r="B78" s="39" t="s">
        <v>127</v>
      </c>
      <c r="D78" s="303" t="str">
        <f>IF(INPUT!D9="","",ABS(INPUT!D15))</f>
        <v/>
      </c>
      <c r="E78" s="206">
        <f>IF(INPUT!E9="",NA(),ABS(INPUT!E15))</f>
        <v>3075</v>
      </c>
      <c r="F78" s="206">
        <f>IF(INPUT!F9="",NA(),ABS(INPUT!F15))</f>
        <v>3969</v>
      </c>
      <c r="G78" s="206">
        <f>IF(INPUT!G9="",NA(),ABS(INPUT!G15))</f>
        <v>4540</v>
      </c>
      <c r="H78" s="206">
        <f>IF(INPUT!H9="",NA(),ABS(INPUT!H15))</f>
        <v>6411</v>
      </c>
    </row>
    <row r="79" spans="2:8" ht="15" customHeight="1" x14ac:dyDescent="0.3">
      <c r="B79" s="39" t="s">
        <v>128</v>
      </c>
      <c r="D79" s="303" t="str">
        <f>IF(INPUT!D9="","",ABS(INPUT!D16))</f>
        <v/>
      </c>
      <c r="E79" s="206">
        <f>IF(INPUT!E9="",NA(),ABS(INPUT!E16))</f>
        <v>1812.78</v>
      </c>
      <c r="F79" s="206">
        <f>IF(INPUT!F9="",NA(),ABS(INPUT!F16))</f>
        <v>2484.89</v>
      </c>
      <c r="G79" s="206">
        <f>IF(INPUT!G9="",NA(),ABS(INPUT!G16))</f>
        <v>2580.52</v>
      </c>
      <c r="H79" s="206">
        <f>IF(INPUT!H9="",NA(),ABS(INPUT!H16))</f>
        <v>2626.03</v>
      </c>
    </row>
    <row r="80" spans="2:8" ht="15" customHeight="1" x14ac:dyDescent="0.3">
      <c r="B80" s="39" t="s">
        <v>129</v>
      </c>
      <c r="D80" s="303" t="str">
        <f>IF(INPUT!D9="","",ABS(INPUT!D20))</f>
        <v/>
      </c>
      <c r="E80" s="206">
        <f>IF(INPUT!E9="",NA(),ABS(INPUT!E20))</f>
        <v>291.89999999999998</v>
      </c>
      <c r="F80" s="206">
        <f>IF(INPUT!F9="",NA(),ABS(INPUT!F20))</f>
        <v>618.72</v>
      </c>
      <c r="G80" s="206">
        <f>IF(INPUT!G9="",NA(),ABS(INPUT!G20))</f>
        <v>837.3</v>
      </c>
      <c r="H80" s="206">
        <f>IF(INPUT!H9="",NA(),ABS(INPUT!H20))</f>
        <v>972.26</v>
      </c>
    </row>
    <row r="81" spans="2:8" ht="15" customHeight="1" x14ac:dyDescent="0.3">
      <c r="B81" s="39"/>
      <c r="D81" s="189"/>
    </row>
    <row r="82" spans="2:8" ht="15" customHeight="1" x14ac:dyDescent="0.3"/>
    <row r="83" spans="2:8" ht="15" customHeight="1" x14ac:dyDescent="0.3">
      <c r="B83" s="39" t="s">
        <v>126</v>
      </c>
      <c r="D83" s="395" t="str">
        <f>IF(INPUT!D9="","",D77/1000)</f>
        <v/>
      </c>
      <c r="E83" s="207">
        <f t="shared" ref="E83:H86" si="0">E77/1000</f>
        <v>0.33107999999999999</v>
      </c>
      <c r="F83" s="207">
        <f t="shared" si="0"/>
        <v>0.39041000000000003</v>
      </c>
      <c r="G83" s="207">
        <f t="shared" si="0"/>
        <v>0.41875999999999997</v>
      </c>
      <c r="H83" s="207">
        <f t="shared" si="0"/>
        <v>0.46911000000000003</v>
      </c>
    </row>
    <row r="84" spans="2:8" ht="15" customHeight="1" x14ac:dyDescent="0.3">
      <c r="B84" s="39" t="s">
        <v>127</v>
      </c>
      <c r="D84" s="395" t="str">
        <f>IF(INPUT!D9="","",D78/1000)</f>
        <v/>
      </c>
      <c r="E84" s="207">
        <f t="shared" si="0"/>
        <v>3.0750000000000002</v>
      </c>
      <c r="F84" s="207">
        <f t="shared" si="0"/>
        <v>3.9689999999999999</v>
      </c>
      <c r="G84" s="207">
        <f t="shared" si="0"/>
        <v>4.54</v>
      </c>
      <c r="H84" s="207">
        <f t="shared" si="0"/>
        <v>6.4109999999999996</v>
      </c>
    </row>
    <row r="85" spans="2:8" ht="15" customHeight="1" x14ac:dyDescent="0.3">
      <c r="B85" s="39" t="s">
        <v>128</v>
      </c>
      <c r="D85" s="395" t="str">
        <f>IF(INPUT!D9="","",D79/1000)</f>
        <v/>
      </c>
      <c r="E85" s="207">
        <f t="shared" si="0"/>
        <v>1.8127800000000001</v>
      </c>
      <c r="F85" s="207">
        <f t="shared" si="0"/>
        <v>2.48489</v>
      </c>
      <c r="G85" s="207">
        <f t="shared" si="0"/>
        <v>2.5805199999999999</v>
      </c>
      <c r="H85" s="207">
        <f t="shared" si="0"/>
        <v>2.6260300000000001</v>
      </c>
    </row>
    <row r="86" spans="2:8" ht="15" customHeight="1" x14ac:dyDescent="0.3">
      <c r="B86" s="39" t="s">
        <v>129</v>
      </c>
      <c r="D86" s="395" t="str">
        <f>IF(INPUT!D9="","",D80/1000)</f>
        <v/>
      </c>
      <c r="E86" s="207">
        <f t="shared" si="0"/>
        <v>0.29189999999999999</v>
      </c>
      <c r="F86" s="207">
        <f t="shared" si="0"/>
        <v>0.61872000000000005</v>
      </c>
      <c r="G86" s="207">
        <f t="shared" si="0"/>
        <v>0.83729999999999993</v>
      </c>
      <c r="H86" s="207">
        <f t="shared" si="0"/>
        <v>0.97226000000000001</v>
      </c>
    </row>
    <row r="87" spans="2:8" ht="15" customHeight="1" x14ac:dyDescent="0.3">
      <c r="B87" s="39"/>
      <c r="D87" s="189"/>
      <c r="G87" s="206">
        <f>G80/1000</f>
        <v>0.83729999999999993</v>
      </c>
      <c r="H87" s="206">
        <f>H80/1000</f>
        <v>0.97226000000000001</v>
      </c>
    </row>
    <row r="88" spans="2:8" ht="15" customHeight="1" x14ac:dyDescent="0.3">
      <c r="B88" s="39"/>
      <c r="D88" s="189"/>
    </row>
    <row r="89" spans="2:8" ht="15" customHeight="1" x14ac:dyDescent="0.3">
      <c r="B89" s="39" t="s">
        <v>124</v>
      </c>
      <c r="D89" s="303">
        <f>D70/1000</f>
        <v>5.9736899999999995</v>
      </c>
      <c r="E89" s="206">
        <f>E70/1000</f>
        <v>13.997159999999999</v>
      </c>
      <c r="F89" s="206">
        <f>F70/1000</f>
        <v>22.19877</v>
      </c>
      <c r="G89" s="206">
        <f>G70/1000</f>
        <v>22.19877</v>
      </c>
      <c r="H89" s="206">
        <f>H70/1000</f>
        <v>30.988900000000001</v>
      </c>
    </row>
    <row r="90" spans="2:8" ht="15" customHeight="1" x14ac:dyDescent="0.3">
      <c r="B90" s="39"/>
      <c r="D90" s="189"/>
    </row>
    <row r="91" spans="2:8" ht="15" customHeight="1" x14ac:dyDescent="0.3">
      <c r="B91" s="39"/>
      <c r="D91" s="189"/>
      <c r="G91" s="206">
        <f>G70/1000</f>
        <v>22.19877</v>
      </c>
      <c r="H91" s="206">
        <f>H70/1000</f>
        <v>30.988900000000001</v>
      </c>
    </row>
    <row r="92" spans="2:8" ht="15" customHeight="1" x14ac:dyDescent="0.3">
      <c r="B92" s="71" t="s">
        <v>130</v>
      </c>
      <c r="C92" s="71"/>
      <c r="D92" s="335"/>
      <c r="E92" s="71"/>
      <c r="F92" s="71"/>
      <c r="G92" s="71"/>
      <c r="H92" s="71"/>
    </row>
    <row r="93" spans="2:8" ht="15" customHeight="1" x14ac:dyDescent="0.3">
      <c r="B93" s="256" t="s">
        <v>131</v>
      </c>
    </row>
    <row r="94" spans="2:8" ht="15" customHeight="1" x14ac:dyDescent="0.3">
      <c r="B94" s="39" t="s">
        <v>132</v>
      </c>
      <c r="D94" s="189"/>
      <c r="E94" s="397">
        <f>E51</f>
        <v>1293.6199999999997</v>
      </c>
      <c r="F94" s="397">
        <f>F51</f>
        <v>1786.0000000000007</v>
      </c>
      <c r="G94" s="397">
        <f>G51</f>
        <v>1233.31</v>
      </c>
      <c r="H94" s="397">
        <f>H51</f>
        <v>-221.88999999999987</v>
      </c>
    </row>
    <row r="95" spans="2:8" ht="15" customHeight="1" x14ac:dyDescent="0.3">
      <c r="B95" s="39" t="s">
        <v>133</v>
      </c>
      <c r="D95" s="189"/>
      <c r="E95" s="396">
        <f>ABS(INPUT!E78)</f>
        <v>15690</v>
      </c>
      <c r="F95" s="396">
        <f>ABS(INPUT!F78)</f>
        <v>17722</v>
      </c>
      <c r="G95" s="396">
        <f>ABS(INPUT!G78)</f>
        <v>14909</v>
      </c>
      <c r="H95" s="396">
        <f>ABS(INPUT!H78)</f>
        <v>16953</v>
      </c>
    </row>
    <row r="96" spans="2:8" ht="15" customHeight="1" x14ac:dyDescent="0.3">
      <c r="B96" s="39" t="s">
        <v>134</v>
      </c>
      <c r="D96" s="189"/>
      <c r="E96" s="398">
        <f>INPUT!E75</f>
        <v>-3185.27</v>
      </c>
      <c r="F96" s="398">
        <f>INPUT!F75</f>
        <v>3922.2600000000011</v>
      </c>
      <c r="G96" s="398">
        <f>INPUT!G75</f>
        <v>-93.330000000000098</v>
      </c>
      <c r="H96" s="398">
        <f>INPUT!H75</f>
        <v>1384.5500000000002</v>
      </c>
    </row>
    <row r="97" spans="2:8" ht="15" customHeight="1" x14ac:dyDescent="0.3">
      <c r="B97" s="39"/>
      <c r="D97" s="189"/>
    </row>
    <row r="98" spans="2:8" ht="15" customHeight="1" x14ac:dyDescent="0.3">
      <c r="B98" s="71" t="s">
        <v>135</v>
      </c>
      <c r="C98" s="71"/>
      <c r="D98" s="335"/>
      <c r="E98" s="71"/>
      <c r="F98" s="71"/>
      <c r="G98" s="71"/>
      <c r="H98" s="71"/>
    </row>
    <row r="99" spans="2:8" ht="15" customHeight="1" x14ac:dyDescent="0.3">
      <c r="B99" s="256" t="s">
        <v>131</v>
      </c>
    </row>
    <row r="100" spans="2:8" ht="15" customHeight="1" x14ac:dyDescent="0.3">
      <c r="B100" s="39" t="s">
        <v>106</v>
      </c>
      <c r="D100" s="189"/>
      <c r="E100" s="399">
        <f>IFERROR(INPUT!E26/INPUT!E44,"–")</f>
        <v>-3.6353942652657428E-2</v>
      </c>
      <c r="F100" s="399">
        <f>IFERROR(INPUT!F26/INPUT!F44,"–")</f>
        <v>-5.6281196363009933E-2</v>
      </c>
      <c r="G100" s="399">
        <f>IFERROR(INPUT!G26/INPUT!G44,"–")</f>
        <v>-8.5275950984055382E-2</v>
      </c>
      <c r="H100" s="399">
        <f>IFERROR(INPUT!H26/INPUT!H44,"–")</f>
        <v>-0.15981051430294027</v>
      </c>
    </row>
    <row r="101" spans="2:8" ht="15" customHeight="1" x14ac:dyDescent="0.3">
      <c r="B101" s="39" t="s">
        <v>107</v>
      </c>
      <c r="D101" s="189"/>
      <c r="E101" s="399">
        <f t="shared" ref="E101:H102" si="1">E24</f>
        <v>22.292899520084653</v>
      </c>
      <c r="F101" s="399">
        <f t="shared" si="1"/>
        <v>17.215798321360321</v>
      </c>
      <c r="G101" s="399">
        <f t="shared" si="1"/>
        <v>24.93288686836312</v>
      </c>
      <c r="H101" s="399">
        <f t="shared" si="1"/>
        <v>-104.40014786064145</v>
      </c>
    </row>
    <row r="102" spans="2:8" ht="15" customHeight="1" x14ac:dyDescent="0.3">
      <c r="B102" s="39" t="s">
        <v>108</v>
      </c>
      <c r="D102" s="189"/>
      <c r="E102" s="399">
        <f t="shared" si="1"/>
        <v>3.6263103802672143</v>
      </c>
      <c r="F102" s="399">
        <f t="shared" si="1"/>
        <v>2.6728083785880536</v>
      </c>
      <c r="G102" s="399">
        <f t="shared" si="1"/>
        <v>1.41599187865759</v>
      </c>
      <c r="H102" s="399">
        <f t="shared" si="1"/>
        <v>-0.33389216876144207</v>
      </c>
    </row>
    <row r="103" spans="2:8" ht="15" customHeight="1" x14ac:dyDescent="0.3">
      <c r="B103" s="39"/>
    </row>
    <row r="104" spans="2:8" ht="15" customHeight="1" x14ac:dyDescent="0.3">
      <c r="B104" s="39"/>
    </row>
    <row r="105" spans="2:8" ht="15" customHeight="1" x14ac:dyDescent="0.3">
      <c r="B105" s="39"/>
    </row>
    <row r="106" spans="2:8" ht="15" customHeight="1" x14ac:dyDescent="0.3">
      <c r="B106" s="39"/>
    </row>
    <row r="107" spans="2:8" ht="15" customHeight="1" x14ac:dyDescent="0.3">
      <c r="B107" s="39"/>
    </row>
    <row r="108" spans="2:8" ht="15" customHeight="1" x14ac:dyDescent="0.3">
      <c r="B108" s="39"/>
    </row>
    <row r="109" spans="2:8" ht="15" customHeight="1" x14ac:dyDescent="0.3">
      <c r="B109" s="39"/>
    </row>
    <row r="110" spans="2:8" ht="15" customHeight="1" x14ac:dyDescent="0.3">
      <c r="B110" s="39"/>
    </row>
    <row r="111" spans="2:8" ht="15" customHeight="1" x14ac:dyDescent="0.3">
      <c r="B111" s="39"/>
    </row>
    <row r="112" spans="2:8" ht="15" customHeight="1" x14ac:dyDescent="0.3">
      <c r="B112" s="39"/>
    </row>
    <row r="113" spans="1:8" ht="15" customHeight="1" x14ac:dyDescent="0.3">
      <c r="B113" s="39"/>
    </row>
    <row r="114" spans="1:8" ht="15" customHeight="1" x14ac:dyDescent="0.3">
      <c r="B114" s="39"/>
    </row>
    <row r="115" spans="1:8" ht="15" customHeight="1" x14ac:dyDescent="0.3">
      <c r="B115" s="39"/>
    </row>
    <row r="116" spans="1:8" ht="15" customHeight="1" x14ac:dyDescent="0.3"/>
    <row r="117" spans="1:8" ht="15" customHeight="1" x14ac:dyDescent="0.3"/>
    <row r="118" spans="1:8" ht="15" customHeight="1" x14ac:dyDescent="0.3"/>
    <row r="119" spans="1:8" ht="15" customHeight="1" x14ac:dyDescent="0.35">
      <c r="A119" s="2"/>
      <c r="B119" s="29" t="s">
        <v>94</v>
      </c>
      <c r="C119" s="2"/>
      <c r="D119" s="2"/>
      <c r="E119" s="66"/>
      <c r="F119" s="66"/>
      <c r="G119" s="66"/>
      <c r="H119" s="66"/>
    </row>
    <row r="120" spans="1:8" ht="15" customHeight="1" x14ac:dyDescent="0.35">
      <c r="A120" s="2"/>
      <c r="B120" s="29" t="s">
        <v>95</v>
      </c>
      <c r="C120" s="2"/>
      <c r="D120" s="2"/>
      <c r="E120" s="66"/>
      <c r="F120" s="66"/>
      <c r="G120" s="66"/>
      <c r="H120" s="66"/>
    </row>
    <row r="121" spans="1:8" ht="15" customHeight="1" x14ac:dyDescent="0.35">
      <c r="A121" s="2"/>
      <c r="B121" s="29" t="s">
        <v>96</v>
      </c>
      <c r="C121" s="2"/>
      <c r="D121" s="2"/>
      <c r="E121" s="66"/>
      <c r="F121" s="66"/>
      <c r="G121" s="66"/>
      <c r="H121" s="66"/>
    </row>
    <row r="122" spans="1:8" ht="15" customHeight="1" x14ac:dyDescent="0.3"/>
    <row r="123" spans="1:8" ht="15" customHeight="1" x14ac:dyDescent="0.3"/>
    <row r="124" spans="1:8" ht="15" customHeight="1" x14ac:dyDescent="0.3"/>
    <row r="125" spans="1:8" ht="15" customHeight="1" x14ac:dyDescent="0.3"/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2" fitToHeight="0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11"/>
  <sheetViews>
    <sheetView showGridLines="0" zoomScale="88" zoomScaleNormal="85" workbookViewId="0">
      <selection activeCell="B4" sqref="B4"/>
    </sheetView>
  </sheetViews>
  <sheetFormatPr baseColWidth="10" defaultRowHeight="14.4" x14ac:dyDescent="0.3"/>
  <cols>
    <col min="1" max="1" width="1.77734375" customWidth="1"/>
    <col min="2" max="2" width="49.5546875" style="18" customWidth="1"/>
    <col min="3" max="3" width="10.88671875" customWidth="1"/>
    <col min="4" max="5" width="11" style="20" customWidth="1"/>
    <col min="6" max="6" width="11.44140625" style="20" bestFit="1" customWidth="1"/>
    <col min="7" max="7" width="10" style="20" customWidth="1"/>
    <col min="8" max="8" width="13.44140625" style="20" customWidth="1"/>
    <col min="9" max="12" width="11" style="20" customWidth="1"/>
    <col min="13" max="13" width="12.44140625" style="20" bestFit="1" customWidth="1"/>
    <col min="14" max="14" width="11" style="20" customWidth="1"/>
  </cols>
  <sheetData>
    <row r="1" spans="1:14" ht="54.9" customHeight="1" x14ac:dyDescent="0.6">
      <c r="A1" s="6"/>
      <c r="B1" s="81" t="s">
        <v>97</v>
      </c>
      <c r="C1" s="5"/>
      <c r="D1" s="5"/>
      <c r="E1" s="27"/>
      <c r="F1" s="27"/>
      <c r="G1" s="27"/>
      <c r="H1" s="27" t="s">
        <v>354</v>
      </c>
      <c r="I1" s="27"/>
      <c r="J1" s="27"/>
      <c r="K1" s="80" t="s">
        <v>136</v>
      </c>
      <c r="L1" s="27"/>
      <c r="M1" s="27"/>
      <c r="N1" s="27"/>
    </row>
    <row r="2" spans="1:14" ht="15" customHeight="1" x14ac:dyDescent="0.35">
      <c r="A2" s="3"/>
      <c r="B2" s="13"/>
      <c r="C2" s="3"/>
      <c r="D2" s="3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8" customHeight="1" x14ac:dyDescent="0.5">
      <c r="A3" s="7" t="s">
        <v>5</v>
      </c>
      <c r="B3" s="14" t="s">
        <v>355</v>
      </c>
      <c r="C3" s="7"/>
      <c r="D3" s="7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ht="15" customHeight="1" x14ac:dyDescent="0.35">
      <c r="A4" s="3" t="s">
        <v>5</v>
      </c>
      <c r="B4" s="11" t="s">
        <v>1</v>
      </c>
      <c r="C4" s="3"/>
      <c r="D4" s="3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5" customHeight="1" x14ac:dyDescent="0.35">
      <c r="A5" s="1" t="s">
        <v>5</v>
      </c>
      <c r="B5" s="15" t="s">
        <v>2</v>
      </c>
      <c r="C5" s="1"/>
      <c r="D5" s="522" t="str">
        <f>IF(INPUT!D5="","",INPUT!D5)</f>
        <v/>
      </c>
      <c r="E5" s="525">
        <f>IF(INPUT!E5="","",INPUT!E5)</f>
        <v>2022</v>
      </c>
      <c r="F5" s="525">
        <f>IF(INPUT!F5="","",INPUT!F5)</f>
        <v>2023</v>
      </c>
      <c r="G5" s="525">
        <f>IF(INPUT!G5="","",INPUT!G5)</f>
        <v>2024</v>
      </c>
      <c r="H5" s="525" t="str">
        <f>IF(INPUT!H5="","",INPUT!H5)</f>
        <v>2025 (LTM)</v>
      </c>
      <c r="I5" s="525" t="str">
        <f>TEXT(INPUT!D139+1,"0")&amp;"F"</f>
        <v>2026F</v>
      </c>
      <c r="J5" s="525" t="str">
        <f>TEXT(INPUT!D139+2,"0")&amp;"F"</f>
        <v>2027F</v>
      </c>
      <c r="K5" s="525" t="str">
        <f>TEXT(INPUT!D139+3,"0")&amp;"F"</f>
        <v>2028F</v>
      </c>
      <c r="L5" s="525" t="str">
        <f>TEXT(INPUT!D139+4,"0")&amp;"F"</f>
        <v>2029F</v>
      </c>
      <c r="M5" s="525" t="str">
        <f>TEXT(INPUT!D139+5,"0")&amp;"F"</f>
        <v>2030F</v>
      </c>
      <c r="N5" s="23" t="s">
        <v>137</v>
      </c>
    </row>
    <row r="6" spans="1:14" ht="18" customHeight="1" x14ac:dyDescent="0.5">
      <c r="A6" s="7" t="s">
        <v>5</v>
      </c>
      <c r="B6" s="14" t="s">
        <v>356</v>
      </c>
      <c r="C6" s="7"/>
      <c r="D6" s="7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 ht="18" customHeight="1" x14ac:dyDescent="0.5">
      <c r="A7" s="93"/>
      <c r="B7" s="94"/>
      <c r="C7" s="93"/>
      <c r="D7" s="259"/>
      <c r="E7" s="95"/>
      <c r="F7" s="95"/>
      <c r="G7" s="95"/>
      <c r="H7" s="95"/>
      <c r="I7" s="95"/>
      <c r="J7" s="95"/>
      <c r="K7" s="95"/>
      <c r="L7" s="95"/>
      <c r="M7" s="95"/>
      <c r="N7" s="95"/>
    </row>
    <row r="8" spans="1:14" ht="15" customHeight="1" x14ac:dyDescent="0.35">
      <c r="A8" s="3"/>
      <c r="B8" s="16" t="s">
        <v>357</v>
      </c>
      <c r="C8" s="336"/>
      <c r="D8" s="340">
        <f>INPUT!D9</f>
        <v>0</v>
      </c>
      <c r="E8" s="208">
        <f>INPUT!E9</f>
        <v>5973.69</v>
      </c>
      <c r="F8" s="208">
        <f>INPUT!F9</f>
        <v>8023.47</v>
      </c>
      <c r="G8" s="208">
        <f>INPUT!G9</f>
        <v>8201.61</v>
      </c>
      <c r="H8" s="208">
        <f>IF(INPUT!H9&lt;&gt;"",INPUT!H9,INPUT!G9)</f>
        <v>8790.1299999999992</v>
      </c>
      <c r="I8" s="208">
        <f>H8*(1+$I$30)</f>
        <v>23504.678723398392</v>
      </c>
      <c r="J8" s="208">
        <f>I8*(1+$I$30)</f>
        <v>62851.166238744721</v>
      </c>
      <c r="K8" s="208">
        <f>J8*(1+$I$30)</f>
        <v>168063.09688623474</v>
      </c>
      <c r="L8" s="209">
        <f>K8*(1+$I$30)</f>
        <v>449398.25663219142</v>
      </c>
      <c r="M8" s="209">
        <f>L8*(1+$I$30)</f>
        <v>1201684.3483537787</v>
      </c>
      <c r="N8" s="183"/>
    </row>
    <row r="9" spans="1:14" ht="15" customHeight="1" x14ac:dyDescent="0.35">
      <c r="A9" s="3"/>
      <c r="B9" s="16" t="s">
        <v>314</v>
      </c>
      <c r="C9" s="336"/>
      <c r="D9" s="340">
        <f>INPUT!D10</f>
        <v>0</v>
      </c>
      <c r="E9" s="210">
        <f>INPUT!E10</f>
        <v>-1509.09</v>
      </c>
      <c r="F9" s="210">
        <f>INPUT!F10</f>
        <v>-2010.34</v>
      </c>
      <c r="G9" s="210">
        <f>INPUT!G10</f>
        <v>-2057.2399999999998</v>
      </c>
      <c r="H9" s="210">
        <f>IF(INPUT!H10&lt;&gt;"",INPUT!H10,INPUT!G10)</f>
        <v>-2234.65</v>
      </c>
      <c r="I9" s="210">
        <f>-I8*(1-$I$31)</f>
        <v>-5924.5686906265055</v>
      </c>
      <c r="J9" s="210">
        <f>-J8*(1-$I$31)</f>
        <v>-15842.209802116819</v>
      </c>
      <c r="K9" s="210">
        <f>-K8*(1-$I$31)</f>
        <v>-42361.836704056557</v>
      </c>
      <c r="L9" s="211">
        <f>-L8*(1-$I$31)</f>
        <v>-113274.93016166035</v>
      </c>
      <c r="M9" s="211">
        <f>-M8*(1-$I$31)</f>
        <v>-302895.50221273373</v>
      </c>
      <c r="N9" s="183"/>
    </row>
    <row r="10" spans="1:14" ht="15" customHeight="1" x14ac:dyDescent="0.35">
      <c r="A10" s="3"/>
      <c r="B10" s="46" t="s">
        <v>312</v>
      </c>
      <c r="C10" s="337"/>
      <c r="D10" s="342">
        <f t="shared" ref="D10:M10" si="0">SUM(D8:D9)</f>
        <v>0</v>
      </c>
      <c r="E10" s="202">
        <f t="shared" si="0"/>
        <v>4464.5999999999995</v>
      </c>
      <c r="F10" s="202">
        <f t="shared" si="0"/>
        <v>6013.13</v>
      </c>
      <c r="G10" s="202">
        <f t="shared" si="0"/>
        <v>6144.3700000000008</v>
      </c>
      <c r="H10" s="202">
        <f t="shared" si="0"/>
        <v>6555.48</v>
      </c>
      <c r="I10" s="202">
        <f t="shared" si="0"/>
        <v>17580.110032771889</v>
      </c>
      <c r="J10" s="202">
        <f t="shared" si="0"/>
        <v>47008.956436627901</v>
      </c>
      <c r="K10" s="202">
        <f t="shared" si="0"/>
        <v>125701.26018217817</v>
      </c>
      <c r="L10" s="212">
        <f t="shared" si="0"/>
        <v>336123.32647053106</v>
      </c>
      <c r="M10" s="212">
        <f t="shared" si="0"/>
        <v>898788.84614104498</v>
      </c>
      <c r="N10" s="310"/>
    </row>
    <row r="11" spans="1:14" ht="15" customHeight="1" x14ac:dyDescent="0.35">
      <c r="A11" s="97"/>
      <c r="B11" s="98"/>
      <c r="C11" s="338"/>
      <c r="D11" s="341"/>
      <c r="E11" s="99"/>
      <c r="F11" s="99"/>
      <c r="G11" s="99"/>
      <c r="H11" s="99"/>
      <c r="I11" s="99"/>
      <c r="J11" s="99"/>
      <c r="K11" s="99"/>
      <c r="L11" s="100"/>
      <c r="M11" s="100"/>
      <c r="N11" s="100"/>
    </row>
    <row r="12" spans="1:14" ht="15" customHeight="1" x14ac:dyDescent="0.35">
      <c r="A12" s="3"/>
      <c r="B12" s="16" t="s">
        <v>358</v>
      </c>
      <c r="C12" s="336"/>
      <c r="D12" s="340">
        <f>INPUT!D14</f>
        <v>0</v>
      </c>
      <c r="E12" s="208">
        <f>INPUT!E14</f>
        <v>-331.08</v>
      </c>
      <c r="F12" s="208">
        <f>INPUT!F14</f>
        <v>-390.41</v>
      </c>
      <c r="G12" s="208">
        <f>INPUT!G14</f>
        <v>-418.76</v>
      </c>
      <c r="H12" s="208">
        <f>IF(INPUT!H14&lt;&gt;"",INPUT!H14,INPUT!G14)</f>
        <v>-469.11</v>
      </c>
      <c r="I12" s="208">
        <f>-I8*$I$32</f>
        <v>-1225.2260804957637</v>
      </c>
      <c r="J12" s="208">
        <f>-J8*$I$32</f>
        <v>-3276.2365727903439</v>
      </c>
      <c r="K12" s="208">
        <f>-K8*$I$32</f>
        <v>-8760.6085536032879</v>
      </c>
      <c r="L12" s="209">
        <f>-L8*$I$32</f>
        <v>-23425.738808629816</v>
      </c>
      <c r="M12" s="209">
        <f>-M8*$I$32</f>
        <v>-62640.082064211711</v>
      </c>
      <c r="N12" s="183"/>
    </row>
    <row r="13" spans="1:14" ht="15" customHeight="1" x14ac:dyDescent="0.35">
      <c r="A13" s="3"/>
      <c r="B13" s="16" t="s">
        <v>359</v>
      </c>
      <c r="C13" s="336"/>
      <c r="D13" s="340">
        <f>INPUT!D15</f>
        <v>0</v>
      </c>
      <c r="E13" s="210">
        <f>INPUT!E15</f>
        <v>-3075</v>
      </c>
      <c r="F13" s="210">
        <f>INPUT!F15</f>
        <v>-3969</v>
      </c>
      <c r="G13" s="210">
        <f>INPUT!G15</f>
        <v>-4540</v>
      </c>
      <c r="H13" s="210">
        <f>IF(INPUT!H15&lt;&gt;"",INPUT!H15,INPUT!G15)</f>
        <v>-6411</v>
      </c>
      <c r="I13" s="210">
        <f>-I8*$I$33</f>
        <v>-1175.2339361699196</v>
      </c>
      <c r="J13" s="210">
        <f>-J8*$I$33</f>
        <v>-3142.5583119372363</v>
      </c>
      <c r="K13" s="210">
        <f>-K8*$I$33</f>
        <v>-8403.1548443117372</v>
      </c>
      <c r="L13" s="211">
        <f>-L8*$I$33</f>
        <v>-22469.912831609574</v>
      </c>
      <c r="M13" s="211">
        <f>-M8*$I$33</f>
        <v>-60084.217417688938</v>
      </c>
      <c r="N13" s="183"/>
    </row>
    <row r="14" spans="1:14" ht="15" customHeight="1" x14ac:dyDescent="0.35">
      <c r="A14" s="3"/>
      <c r="B14" s="46" t="s">
        <v>21</v>
      </c>
      <c r="C14" s="337"/>
      <c r="D14" s="342">
        <f>INPUT!D30</f>
        <v>0</v>
      </c>
      <c r="E14" s="202">
        <f>INPUT!E30</f>
        <v>1058.5199999999998</v>
      </c>
      <c r="F14" s="202">
        <f>INPUT!F30</f>
        <v>1653.7200000000007</v>
      </c>
      <c r="G14" s="202">
        <f>INPUT!G30</f>
        <v>1185.6100000000001</v>
      </c>
      <c r="H14" s="202">
        <f>IF(INPUT!H30&lt;&gt;"",INPUT!H30,INPUT!G30)</f>
        <v>-324.62999999999965</v>
      </c>
      <c r="I14" s="202">
        <f>I10+I12+I13</f>
        <v>15179.650016106205</v>
      </c>
      <c r="J14" s="202">
        <f>J10+J12+J13</f>
        <v>40590.161551900317</v>
      </c>
      <c r="K14" s="202">
        <f>K10+K12+K13</f>
        <v>108537.49678426314</v>
      </c>
      <c r="L14" s="212">
        <f>L10+L12+L13</f>
        <v>290227.67483029165</v>
      </c>
      <c r="M14" s="212">
        <f>M10+M12+M13</f>
        <v>776064.54665914434</v>
      </c>
      <c r="N14" s="310"/>
    </row>
    <row r="15" spans="1:14" ht="15" customHeight="1" x14ac:dyDescent="0.35">
      <c r="A15" s="97"/>
      <c r="B15" s="98"/>
      <c r="C15" s="338"/>
      <c r="D15" s="341"/>
      <c r="E15" s="99"/>
      <c r="F15" s="99"/>
      <c r="G15" s="99"/>
      <c r="H15" s="99"/>
      <c r="I15" s="99"/>
      <c r="J15" s="99"/>
      <c r="K15" s="99"/>
      <c r="L15" s="100"/>
      <c r="M15" s="100"/>
      <c r="N15" s="100"/>
    </row>
    <row r="16" spans="1:14" ht="15" customHeight="1" x14ac:dyDescent="0.35">
      <c r="A16" s="3"/>
      <c r="B16" s="16" t="s">
        <v>13</v>
      </c>
      <c r="C16" s="336"/>
      <c r="D16" s="340">
        <f>INPUT!D16</f>
        <v>0</v>
      </c>
      <c r="E16" s="210">
        <f>INPUT!E16</f>
        <v>-1812.78</v>
      </c>
      <c r="F16" s="210">
        <f>INPUT!F16</f>
        <v>-2484.89</v>
      </c>
      <c r="G16" s="210">
        <f>INPUT!G16</f>
        <v>-2580.52</v>
      </c>
      <c r="H16" s="210">
        <f>IF(INPUT!H16&lt;&gt;"",INPUT!H16,INPUT!G16)</f>
        <v>-2626.03</v>
      </c>
      <c r="I16" s="210">
        <f>-I8*$I$34</f>
        <v>-1292.7573297869117</v>
      </c>
      <c r="J16" s="210">
        <f>-J8*$I$34</f>
        <v>-3456.8141431309596</v>
      </c>
      <c r="K16" s="210">
        <f>-K8*$I$34</f>
        <v>-9243.4703287429111</v>
      </c>
      <c r="L16" s="211">
        <f>-L8*$I$34</f>
        <v>-24716.904114770528</v>
      </c>
      <c r="M16" s="211">
        <f>-M8*$I$34</f>
        <v>-66092.639159457831</v>
      </c>
      <c r="N16" s="183"/>
    </row>
    <row r="17" spans="1:14" ht="15" customHeight="1" x14ac:dyDescent="0.35">
      <c r="A17" s="3"/>
      <c r="B17" s="46" t="s">
        <v>360</v>
      </c>
      <c r="C17" s="337"/>
      <c r="D17" s="342">
        <f t="shared" ref="D17:M17" si="1">D14+D16</f>
        <v>0</v>
      </c>
      <c r="E17" s="202">
        <f t="shared" si="1"/>
        <v>-754.26000000000022</v>
      </c>
      <c r="F17" s="202">
        <f t="shared" si="1"/>
        <v>-831.16999999999916</v>
      </c>
      <c r="G17" s="202">
        <f t="shared" si="1"/>
        <v>-1394.9099999999999</v>
      </c>
      <c r="H17" s="202">
        <f t="shared" si="1"/>
        <v>-2950.66</v>
      </c>
      <c r="I17" s="202">
        <f t="shared" si="1"/>
        <v>13886.892686319294</v>
      </c>
      <c r="J17" s="202">
        <f t="shared" si="1"/>
        <v>37133.347408769361</v>
      </c>
      <c r="K17" s="202">
        <f t="shared" si="1"/>
        <v>99294.02645552023</v>
      </c>
      <c r="L17" s="212">
        <f t="shared" si="1"/>
        <v>265510.77071552112</v>
      </c>
      <c r="M17" s="212">
        <f t="shared" si="1"/>
        <v>709971.90749968647</v>
      </c>
      <c r="N17" s="310"/>
    </row>
    <row r="18" spans="1:14" ht="15" customHeight="1" x14ac:dyDescent="0.35">
      <c r="A18" s="97"/>
      <c r="B18" s="98"/>
      <c r="C18" s="338"/>
      <c r="D18" s="341"/>
      <c r="E18" s="99"/>
      <c r="F18" s="99"/>
      <c r="G18" s="99"/>
      <c r="H18" s="99"/>
      <c r="I18" s="99"/>
      <c r="J18" s="99"/>
      <c r="K18" s="99"/>
      <c r="L18" s="100"/>
      <c r="M18" s="100"/>
      <c r="N18" s="100"/>
    </row>
    <row r="19" spans="1:14" ht="15" customHeight="1" x14ac:dyDescent="0.35">
      <c r="A19" s="3"/>
      <c r="B19" s="16" t="s">
        <v>15</v>
      </c>
      <c r="C19" s="336"/>
      <c r="D19" s="340">
        <f>INPUT!D20</f>
        <v>0</v>
      </c>
      <c r="E19" s="210">
        <f>INPUT!E20</f>
        <v>-291.89999999999998</v>
      </c>
      <c r="F19" s="210">
        <f>INPUT!F20</f>
        <v>-618.72</v>
      </c>
      <c r="G19" s="210">
        <f>INPUT!G20</f>
        <v>-837.3</v>
      </c>
      <c r="H19" s="210">
        <f>IF(INPUT!H20&lt;&gt;"",INPUT!H20,INPUT!G20)</f>
        <v>-972.26</v>
      </c>
      <c r="I19" s="210">
        <f>-I17*(INPUT!H125)/(1-$I$35)</f>
        <v>-406.90424436562586</v>
      </c>
      <c r="J19" s="210">
        <f>-J17*(INPUT!H125)/(1-$I$35)</f>
        <v>-1088.0559826761635</v>
      </c>
      <c r="K19" s="210">
        <f>-K17*(INPUT!H125)/(1-$I$35)</f>
        <v>-2909.4457426539484</v>
      </c>
      <c r="L19" s="211">
        <f>-L17*(INPUT!H125)/(1-$I$35)</f>
        <v>-7779.8152523614899</v>
      </c>
      <c r="M19" s="211">
        <f>-M17*(INPUT!H125)/(1-$I$35)</f>
        <v>-20803.111903254154</v>
      </c>
      <c r="N19" s="183"/>
    </row>
    <row r="20" spans="1:14" ht="15" customHeight="1" x14ac:dyDescent="0.35">
      <c r="A20" s="3"/>
      <c r="B20" s="46" t="s">
        <v>361</v>
      </c>
      <c r="C20" s="337"/>
      <c r="D20" s="342">
        <f t="shared" ref="D20:M20" si="2">D17+D19</f>
        <v>0</v>
      </c>
      <c r="E20" s="202">
        <f t="shared" si="2"/>
        <v>-1046.1600000000003</v>
      </c>
      <c r="F20" s="202">
        <f t="shared" si="2"/>
        <v>-1449.8899999999992</v>
      </c>
      <c r="G20" s="202">
        <f t="shared" si="2"/>
        <v>-2232.21</v>
      </c>
      <c r="H20" s="202">
        <f t="shared" si="2"/>
        <v>-3922.92</v>
      </c>
      <c r="I20" s="202">
        <f t="shared" si="2"/>
        <v>13479.988441953668</v>
      </c>
      <c r="J20" s="202">
        <f t="shared" si="2"/>
        <v>36045.291426093201</v>
      </c>
      <c r="K20" s="202">
        <f t="shared" si="2"/>
        <v>96384.580712866285</v>
      </c>
      <c r="L20" s="212">
        <f t="shared" si="2"/>
        <v>257730.95546315963</v>
      </c>
      <c r="M20" s="212">
        <f t="shared" si="2"/>
        <v>689168.79559643229</v>
      </c>
      <c r="N20" s="310"/>
    </row>
    <row r="21" spans="1:14" ht="15" customHeight="1" x14ac:dyDescent="0.35">
      <c r="A21" s="97"/>
      <c r="B21" s="98"/>
      <c r="C21" s="338"/>
      <c r="D21" s="341"/>
      <c r="E21" s="99"/>
      <c r="F21" s="99"/>
      <c r="G21" s="99"/>
      <c r="H21" s="99"/>
      <c r="I21" s="99"/>
      <c r="J21" s="99"/>
      <c r="K21" s="99"/>
      <c r="L21" s="100"/>
      <c r="M21" s="100"/>
      <c r="N21" s="100"/>
    </row>
    <row r="22" spans="1:14" ht="15" customHeight="1" x14ac:dyDescent="0.35">
      <c r="A22" s="3"/>
      <c r="B22" s="16" t="s">
        <v>138</v>
      </c>
      <c r="C22" s="336"/>
      <c r="D22" s="340">
        <f>INPUT!D24</f>
        <v>0</v>
      </c>
      <c r="E22" s="208">
        <f>INPUT!E24</f>
        <v>52</v>
      </c>
      <c r="F22" s="208">
        <f>INPUT!F24</f>
        <v>94</v>
      </c>
      <c r="G22" s="208">
        <f>INPUT!G24</f>
        <v>112</v>
      </c>
      <c r="H22" s="208">
        <f>IF(INPUT!H24&lt;&gt;"",INPUT!H24,INPUT!G24)</f>
        <v>212</v>
      </c>
      <c r="I22" s="208">
        <f>-I20*$I$35</f>
        <v>-736.681368352768</v>
      </c>
      <c r="J22" s="208">
        <f>-J20*$I$35</f>
        <v>-1969.8751764359936</v>
      </c>
      <c r="K22" s="208">
        <f>-K20*$I$35</f>
        <v>-5267.4173359581428</v>
      </c>
      <c r="L22" s="209">
        <f>-L20*$I$35</f>
        <v>-14084.996716061674</v>
      </c>
      <c r="M22" s="209">
        <f>-M20*$I$35</f>
        <v>-37663.074679345031</v>
      </c>
      <c r="N22" s="183"/>
    </row>
    <row r="23" spans="1:14" ht="15" customHeight="1" thickBot="1" x14ac:dyDescent="0.4">
      <c r="A23" s="3"/>
      <c r="B23" s="46" t="s">
        <v>362</v>
      </c>
      <c r="C23" s="337"/>
      <c r="D23" s="342">
        <f t="shared" ref="D23:M23" si="3">D20+D22</f>
        <v>0</v>
      </c>
      <c r="E23" s="213">
        <f t="shared" si="3"/>
        <v>-994.16000000000031</v>
      </c>
      <c r="F23" s="213">
        <f t="shared" si="3"/>
        <v>-1355.8899999999992</v>
      </c>
      <c r="G23" s="213">
        <f t="shared" si="3"/>
        <v>-2120.21</v>
      </c>
      <c r="H23" s="213">
        <f t="shared" si="3"/>
        <v>-3710.92</v>
      </c>
      <c r="I23" s="213">
        <f t="shared" si="3"/>
        <v>12743.307073600899</v>
      </c>
      <c r="J23" s="213">
        <f t="shared" si="3"/>
        <v>34075.41624965721</v>
      </c>
      <c r="K23" s="213">
        <f t="shared" si="3"/>
        <v>91117.163376908138</v>
      </c>
      <c r="L23" s="214">
        <f t="shared" si="3"/>
        <v>243645.95874709796</v>
      </c>
      <c r="M23" s="214">
        <f t="shared" si="3"/>
        <v>651505.72091708728</v>
      </c>
      <c r="N23" s="310"/>
    </row>
    <row r="24" spans="1:14" ht="15" customHeight="1" x14ac:dyDescent="0.35">
      <c r="A24" s="3"/>
      <c r="B24" s="13"/>
      <c r="C24" s="8"/>
      <c r="D24" s="513"/>
      <c r="E24" s="21"/>
      <c r="F24" s="21"/>
      <c r="G24" s="21"/>
      <c r="H24" s="514"/>
      <c r="I24" s="21"/>
      <c r="J24" s="21"/>
      <c r="K24" s="21"/>
      <c r="L24" s="21"/>
      <c r="M24" s="21"/>
      <c r="N24" s="21"/>
    </row>
    <row r="25" spans="1:14" ht="18" customHeight="1" x14ac:dyDescent="0.5">
      <c r="A25" s="7" t="s">
        <v>5</v>
      </c>
      <c r="B25" s="41" t="s">
        <v>363</v>
      </c>
      <c r="C25" s="36"/>
      <c r="D25" s="36"/>
      <c r="E25" s="22"/>
      <c r="F25" s="22"/>
      <c r="G25" s="22"/>
      <c r="H25" s="22"/>
      <c r="I25" s="419"/>
      <c r="J25" s="22"/>
      <c r="K25" s="22"/>
      <c r="L25" s="22"/>
      <c r="M25" s="22"/>
      <c r="N25" s="22"/>
    </row>
    <row r="26" spans="1:14" ht="15" customHeight="1" x14ac:dyDescent="0.35">
      <c r="A26" s="3"/>
      <c r="B26" s="16" t="s">
        <v>1</v>
      </c>
      <c r="C26" s="8"/>
      <c r="D26" s="8"/>
      <c r="E26" s="21"/>
      <c r="F26" s="21"/>
      <c r="G26" s="21"/>
      <c r="H26" s="21" t="s">
        <v>381</v>
      </c>
      <c r="I26" s="514">
        <f>IFERROR(C62,"–")</f>
        <v>111709.09090909091</v>
      </c>
      <c r="J26" s="21"/>
      <c r="K26" s="21"/>
      <c r="L26" s="21"/>
      <c r="M26" s="21"/>
      <c r="N26" s="21"/>
    </row>
    <row r="27" spans="1:14" ht="15" customHeight="1" x14ac:dyDescent="0.35">
      <c r="A27" s="3"/>
      <c r="B27" s="16"/>
      <c r="C27" s="8"/>
      <c r="D27" s="8"/>
      <c r="E27" s="21"/>
      <c r="F27" s="21"/>
      <c r="G27" s="21"/>
      <c r="H27" s="21"/>
      <c r="I27" s="35"/>
      <c r="J27" s="21"/>
      <c r="K27" s="21"/>
      <c r="L27" s="21"/>
      <c r="M27" s="21"/>
      <c r="N27" s="21"/>
    </row>
    <row r="28" spans="1:14" ht="15" customHeight="1" x14ac:dyDescent="0.5">
      <c r="A28" s="7" t="s">
        <v>5</v>
      </c>
      <c r="B28" s="41" t="s">
        <v>426</v>
      </c>
      <c r="C28" s="36"/>
      <c r="D28" s="36"/>
      <c r="E28" s="36"/>
      <c r="F28" s="36"/>
      <c r="G28" s="36"/>
      <c r="H28" s="36"/>
      <c r="I28" s="36"/>
      <c r="J28" s="22"/>
      <c r="K28" s="22"/>
      <c r="L28" s="22"/>
      <c r="M28" s="22"/>
      <c r="N28" s="22"/>
    </row>
    <row r="29" spans="1:14" ht="21" x14ac:dyDescent="0.5">
      <c r="B29" s="16" t="s">
        <v>431</v>
      </c>
      <c r="D29" s="414" t="s">
        <v>417</v>
      </c>
      <c r="E29" s="272"/>
      <c r="F29" s="272"/>
      <c r="G29" s="446"/>
      <c r="I29" s="515">
        <f>IFERROR(C70,"–")</f>
        <v>83.49535505267265</v>
      </c>
    </row>
    <row r="30" spans="1:14" ht="15" customHeight="1" x14ac:dyDescent="0.35">
      <c r="A30" s="3"/>
      <c r="B30" s="16" t="s">
        <v>139</v>
      </c>
      <c r="C30" s="8"/>
      <c r="D30" s="260">
        <f>IFERROR(IF(NOT(ISBLANK(INPUT!H9)),INPUT!H9/INPUT!G9-1,IF(NOT(ISBLANK(INPUT!G9)),INPUT!G9/INPUT!F9-1,IF(NOT(ISBLANK(INPUT!F9)),INPUT!F9/INPUT!E9-1,IF(NOT(ISBLANK(INPUT!E9)),INPUT!E9/INPUT!D9-1,0.05)))),0.05)</f>
        <v>7.1756642903039625E-2</v>
      </c>
      <c r="I30" s="420">
        <f>IFERROR(C72,"–")</f>
        <v>1.6739853362121373</v>
      </c>
    </row>
    <row r="31" spans="1:14" ht="15" customHeight="1" x14ac:dyDescent="0.35">
      <c r="A31" s="3"/>
      <c r="B31" s="16" t="s">
        <v>340</v>
      </c>
      <c r="C31" s="8"/>
      <c r="D31" s="260">
        <f>IFERROR(INPUT!H11/INPUT!H9,"–")</f>
        <v>0.74577736620505042</v>
      </c>
      <c r="I31" s="413">
        <f>IFERROR(AVERAGE(IF(INPUT!E9&lt;&gt;0,INPUT!E11/INPUT!E9),IF(INPUT!F9&lt;&gt;0,INPUT!F11/INPUT!F9),IF(INPUT!G9&lt;&gt;0,INPUT!G11/INPUT!G9),IF(INPUT!H9&lt;&gt;0,INPUT!H11/INPUT!H9)),0.4)</f>
        <v>0.74794087762923867</v>
      </c>
    </row>
    <row r="32" spans="1:14" ht="15" customHeight="1" x14ac:dyDescent="0.35">
      <c r="A32" s="3"/>
      <c r="B32" s="16" t="s">
        <v>364</v>
      </c>
      <c r="C32" s="8"/>
      <c r="D32" s="260">
        <f>IFERROR(ABS(INPUT!H14)/INPUT!H9,0.15)</f>
        <v>5.3367811397556128E-2</v>
      </c>
      <c r="I32" s="413">
        <f>IFERROR(AVERAGE(IF(INPUT!E9&lt;&gt;0,ABS(INPUT!E14)/INPUT!E9),IF(INPUT!F9&lt;&gt;0,ABS(INPUT!F14)/INPUT!F9),IF(INPUT!G9&lt;&gt;0,ABS(INPUT!G14)/INPUT!G9),IF(INPUT!H9&lt;&gt;0,ABS(INPUT!H14)/INPUT!H9)),0.15)</f>
        <v>5.2126901835764211E-2</v>
      </c>
    </row>
    <row r="33" spans="1:14" ht="15" customHeight="1" x14ac:dyDescent="0.35">
      <c r="A33" s="3"/>
      <c r="B33" s="16" t="s">
        <v>365</v>
      </c>
      <c r="C33" s="8"/>
      <c r="D33" s="411">
        <v>0.05</v>
      </c>
      <c r="I33" s="216">
        <v>0.05</v>
      </c>
      <c r="L33" s="421"/>
    </row>
    <row r="34" spans="1:14" ht="15" customHeight="1" x14ac:dyDescent="0.35">
      <c r="A34" s="3"/>
      <c r="B34" s="16" t="s">
        <v>427</v>
      </c>
      <c r="C34" s="8"/>
      <c r="D34" s="411">
        <f>IF(D29="Bull",D33,IF(D29="Bear",I36,0.055))</f>
        <v>5.5E-2</v>
      </c>
      <c r="I34" s="216">
        <v>5.5E-2</v>
      </c>
      <c r="L34" s="421"/>
    </row>
    <row r="35" spans="1:14" ht="15" customHeight="1" x14ac:dyDescent="0.35">
      <c r="A35" s="3"/>
      <c r="B35" s="16" t="s">
        <v>425</v>
      </c>
      <c r="C35" s="8"/>
      <c r="D35" s="411">
        <f>I35</f>
        <v>5.4650000000000004E-2</v>
      </c>
      <c r="I35" s="413">
        <f>IFERROR(AVERAGEIF(INPUT!E126:H126,"&lt;&gt;0"),0.21)</f>
        <v>5.4650000000000004E-2</v>
      </c>
      <c r="L35" s="421"/>
    </row>
    <row r="36" spans="1:14" ht="15" customHeight="1" x14ac:dyDescent="0.35">
      <c r="A36" s="3"/>
      <c r="B36" s="13" t="s">
        <v>366</v>
      </c>
      <c r="C36" s="8"/>
      <c r="D36" s="8"/>
      <c r="E36" s="59"/>
      <c r="F36" s="59"/>
      <c r="G36" s="21"/>
      <c r="H36" s="21"/>
      <c r="I36" s="452">
        <v>6.5000000000000002E-2</v>
      </c>
      <c r="J36" s="21"/>
      <c r="K36" s="21"/>
      <c r="L36" s="21"/>
      <c r="M36" s="21"/>
      <c r="N36" s="21"/>
    </row>
    <row r="37" spans="1:14" ht="15" customHeight="1" x14ac:dyDescent="0.35">
      <c r="A37" s="3"/>
      <c r="B37" s="16" t="s">
        <v>435</v>
      </c>
      <c r="C37" s="8"/>
      <c r="D37" s="516">
        <v>0.05</v>
      </c>
      <c r="E37" s="365"/>
      <c r="F37" s="365"/>
      <c r="G37" s="169"/>
      <c r="H37" s="169"/>
      <c r="I37" s="366"/>
      <c r="J37" s="169"/>
      <c r="K37" s="169"/>
      <c r="L37" s="184"/>
      <c r="M37" s="184"/>
      <c r="N37" s="184"/>
    </row>
    <row r="38" spans="1:14" ht="15" customHeight="1" x14ac:dyDescent="0.35">
      <c r="A38" s="364"/>
      <c r="B38" s="364" t="s">
        <v>436</v>
      </c>
      <c r="C38" s="364"/>
      <c r="D38" s="445">
        <v>0.02</v>
      </c>
      <c r="E38" s="364"/>
      <c r="F38" s="364"/>
      <c r="G38" s="364"/>
      <c r="H38" s="364"/>
      <c r="I38" s="364"/>
      <c r="J38" s="364"/>
      <c r="K38" s="364"/>
      <c r="L38" s="364"/>
      <c r="M38" s="364"/>
      <c r="N38" s="364"/>
    </row>
    <row r="39" spans="1:14" ht="15" customHeight="1" x14ac:dyDescent="0.35">
      <c r="A39" s="56" t="s">
        <v>5</v>
      </c>
      <c r="B39" s="348" t="s">
        <v>141</v>
      </c>
      <c r="C39" s="347"/>
      <c r="E39" s="208">
        <f t="shared" ref="E39:M39" si="4">ABS(E16)</f>
        <v>1812.78</v>
      </c>
      <c r="F39" s="208">
        <f t="shared" si="4"/>
        <v>2484.89</v>
      </c>
      <c r="G39" s="361">
        <f t="shared" si="4"/>
        <v>2580.52</v>
      </c>
      <c r="H39" s="361">
        <f t="shared" si="4"/>
        <v>2626.03</v>
      </c>
      <c r="I39" s="361">
        <f t="shared" si="4"/>
        <v>1292.7573297869117</v>
      </c>
      <c r="J39" s="361">
        <f t="shared" si="4"/>
        <v>3456.8141431309596</v>
      </c>
      <c r="K39" s="361">
        <f t="shared" si="4"/>
        <v>9243.4703287429111</v>
      </c>
      <c r="L39" s="361">
        <f t="shared" si="4"/>
        <v>24716.904114770528</v>
      </c>
      <c r="M39" s="361">
        <f t="shared" si="4"/>
        <v>66092.639159457831</v>
      </c>
    </row>
    <row r="40" spans="1:14" ht="15" customHeight="1" x14ac:dyDescent="0.35">
      <c r="A40" s="3"/>
      <c r="B40" s="60" t="s">
        <v>368</v>
      </c>
      <c r="E40" s="208">
        <f>INPUT!E78</f>
        <v>-15690</v>
      </c>
      <c r="F40" s="208">
        <f>INPUT!F78</f>
        <v>-17722</v>
      </c>
      <c r="G40" s="361">
        <f>INPUT!G78</f>
        <v>-14909</v>
      </c>
      <c r="H40" s="361">
        <f>IF(INPUT!H78&lt;&gt;"",INPUT!H78,INPUT!G78)</f>
        <v>-16953</v>
      </c>
      <c r="I40" s="361">
        <f>-I8*$D$37</f>
        <v>-1175.2339361699196</v>
      </c>
      <c r="J40" s="361">
        <f>-J8*$D$37</f>
        <v>-3142.5583119372363</v>
      </c>
      <c r="K40" s="361">
        <f>-K8*$D$37</f>
        <v>-8403.1548443117372</v>
      </c>
      <c r="L40" s="361">
        <f>-L8*$D$37</f>
        <v>-22469.912831609574</v>
      </c>
      <c r="M40" s="361">
        <f>-M8*$D$37</f>
        <v>-60084.217417688938</v>
      </c>
    </row>
    <row r="41" spans="1:14" ht="15" customHeight="1" x14ac:dyDescent="0.35">
      <c r="A41" s="3"/>
      <c r="B41" s="60" t="s">
        <v>369</v>
      </c>
      <c r="E41" s="208">
        <f>INPUT!E70+INPUT!E71+INPUT!E72+INPUT!E73</f>
        <v>-1947.14</v>
      </c>
      <c r="F41" s="208">
        <f>INPUT!F70+INPUT!F71+INPUT!F72+INPUT!F73</f>
        <v>5816.5700000000006</v>
      </c>
      <c r="G41" s="361">
        <f>INPUT!G70+INPUT!G71+INPUT!G72+INPUT!G73</f>
        <v>2592.6000000000004</v>
      </c>
      <c r="H41" s="361">
        <f>IF(INPUT!H70&lt;&gt;"",INPUT!H70,INPUT!G70)+IF(INPUT!H71&lt;&gt;"",INPUT!H71,INPUT!G71)+IF(INPUT!H72&lt;&gt;"",INPUT!H72,INPUT!G72)+IF(INPUT!H73&lt;&gt;"",INPUT!H73,INPUT!G73)</f>
        <v>5700.91</v>
      </c>
      <c r="I41" s="361">
        <f>-I8*$D$38</f>
        <v>-470.09357446796787</v>
      </c>
      <c r="J41" s="361">
        <f>-J8*$D$38</f>
        <v>-1257.0233247748945</v>
      </c>
      <c r="K41" s="361">
        <f>-K8*$D$38</f>
        <v>-3361.2619377246947</v>
      </c>
      <c r="L41" s="361">
        <f>-L8*$D$38</f>
        <v>-8987.9651326438288</v>
      </c>
      <c r="M41" s="361">
        <f>-M8*$D$38</f>
        <v>-24033.686967075573</v>
      </c>
    </row>
    <row r="42" spans="1:14" ht="15" customHeight="1" x14ac:dyDescent="0.35">
      <c r="A42" s="56"/>
      <c r="B42" s="55" t="s">
        <v>370</v>
      </c>
      <c r="E42" s="202">
        <f t="shared" ref="E42:M42" si="5">E23+E39+E40+E41</f>
        <v>-16818.52</v>
      </c>
      <c r="F42" s="202">
        <f t="shared" si="5"/>
        <v>-10776.43</v>
      </c>
      <c r="G42" s="362">
        <f t="shared" si="5"/>
        <v>-11856.09</v>
      </c>
      <c r="H42" s="362">
        <f t="shared" si="5"/>
        <v>-12336.98</v>
      </c>
      <c r="I42" s="362">
        <f t="shared" si="5"/>
        <v>12390.736892749923</v>
      </c>
      <c r="J42" s="362">
        <f t="shared" si="5"/>
        <v>33132.648756076043</v>
      </c>
      <c r="K42" s="362">
        <f t="shared" si="5"/>
        <v>88596.216923614629</v>
      </c>
      <c r="L42" s="362">
        <f t="shared" si="5"/>
        <v>236904.98489761507</v>
      </c>
      <c r="M42" s="363">
        <f t="shared" si="5"/>
        <v>633480.45569178066</v>
      </c>
    </row>
    <row r="43" spans="1:14" ht="18" customHeight="1" x14ac:dyDescent="0.35">
      <c r="A43" s="3"/>
      <c r="B43" s="18" t="s">
        <v>318</v>
      </c>
    </row>
    <row r="44" spans="1:14" ht="18" customHeight="1" x14ac:dyDescent="0.5">
      <c r="A44" s="7"/>
      <c r="B44" s="41" t="s">
        <v>371</v>
      </c>
      <c r="C44" s="36"/>
      <c r="D44" s="36"/>
      <c r="E44" s="22"/>
      <c r="F44" s="22"/>
      <c r="G44" s="22"/>
      <c r="H44" s="22"/>
      <c r="I44" s="22"/>
      <c r="J44" s="22"/>
      <c r="K44" s="22"/>
      <c r="L44" s="22"/>
      <c r="M44" s="22"/>
      <c r="N44" s="265"/>
    </row>
    <row r="45" spans="1:14" ht="15" customHeight="1" x14ac:dyDescent="0.5">
      <c r="A45" s="92"/>
      <c r="B45" s="101"/>
      <c r="C45" s="102"/>
      <c r="D45" s="102"/>
      <c r="E45" s="83"/>
      <c r="F45" s="83"/>
      <c r="G45" s="83"/>
      <c r="H45" s="83"/>
      <c r="J45" s="83"/>
      <c r="K45" s="83"/>
      <c r="L45" s="83"/>
      <c r="M45" s="83"/>
      <c r="N45" s="83"/>
    </row>
    <row r="46" spans="1:14" ht="15" customHeight="1" x14ac:dyDescent="0.35">
      <c r="A46" s="3"/>
      <c r="B46" s="16" t="s">
        <v>142</v>
      </c>
      <c r="C46" s="8"/>
      <c r="D46" s="260">
        <f>INPUT!H122</f>
        <v>4.2799999999999998E-2</v>
      </c>
      <c r="E46" s="250"/>
      <c r="F46" s="250"/>
      <c r="G46" s="250"/>
      <c r="H46" s="250"/>
      <c r="J46" s="250"/>
      <c r="K46" s="250"/>
      <c r="L46" s="250"/>
      <c r="M46" s="250"/>
      <c r="N46" s="266">
        <f>D46</f>
        <v>4.2799999999999998E-2</v>
      </c>
    </row>
    <row r="47" spans="1:14" ht="15" customHeight="1" x14ac:dyDescent="0.35">
      <c r="A47" s="3"/>
      <c r="B47" s="16" t="s">
        <v>66</v>
      </c>
      <c r="C47" s="8"/>
      <c r="D47" s="260">
        <f>INPUT!H121</f>
        <v>1.4119999999999999</v>
      </c>
      <c r="E47" s="250"/>
      <c r="F47" s="250"/>
      <c r="G47" s="250"/>
      <c r="H47" s="250"/>
      <c r="J47" s="250"/>
      <c r="K47" s="250"/>
      <c r="L47" s="250"/>
      <c r="M47" s="250"/>
      <c r="N47" s="267">
        <f>D47</f>
        <v>1.4119999999999999</v>
      </c>
    </row>
    <row r="48" spans="1:14" ht="15" customHeight="1" x14ac:dyDescent="0.35">
      <c r="A48" s="3"/>
      <c r="B48" s="16" t="s">
        <v>69</v>
      </c>
      <c r="C48" s="8"/>
      <c r="D48" s="260">
        <f>INPUT!H123</f>
        <v>0.05</v>
      </c>
      <c r="E48" s="250"/>
      <c r="F48" s="250"/>
      <c r="G48" s="250"/>
      <c r="H48" s="250"/>
      <c r="J48" s="250"/>
      <c r="K48" s="250"/>
      <c r="L48" s="250"/>
      <c r="M48" s="250"/>
      <c r="N48" s="266">
        <f>D48</f>
        <v>0.05</v>
      </c>
    </row>
    <row r="49" spans="1:14" ht="15" customHeight="1" x14ac:dyDescent="0.35">
      <c r="A49" s="3"/>
      <c r="B49" s="46" t="s">
        <v>70</v>
      </c>
      <c r="C49" s="10"/>
      <c r="D49" s="261">
        <f>D46+D47*D48</f>
        <v>0.1134</v>
      </c>
      <c r="E49" s="251"/>
      <c r="F49" s="251"/>
      <c r="G49" s="251"/>
      <c r="H49" s="251"/>
      <c r="J49" s="251"/>
      <c r="K49" s="251"/>
      <c r="L49" s="251"/>
      <c r="M49" s="251"/>
      <c r="N49" s="268">
        <f>D49</f>
        <v>0.1134</v>
      </c>
    </row>
    <row r="50" spans="1:14" ht="15" customHeight="1" x14ac:dyDescent="0.35">
      <c r="A50" s="3"/>
      <c r="B50" s="16"/>
      <c r="C50" s="8"/>
      <c r="D50" s="8"/>
      <c r="E50" s="21"/>
      <c r="F50" s="21"/>
      <c r="G50" s="21"/>
      <c r="H50" s="21"/>
      <c r="J50" s="21"/>
      <c r="K50" s="21"/>
      <c r="L50" s="21"/>
      <c r="M50" s="21"/>
      <c r="N50" s="48"/>
    </row>
    <row r="51" spans="1:14" ht="15" customHeight="1" x14ac:dyDescent="0.35">
      <c r="A51" s="3"/>
      <c r="B51" s="16" t="s">
        <v>143</v>
      </c>
      <c r="C51" s="8"/>
      <c r="D51" s="260">
        <f>INPUT!H128</f>
        <v>0.78810000000000002</v>
      </c>
      <c r="E51" s="250"/>
      <c r="F51" s="250"/>
      <c r="G51" s="250"/>
      <c r="H51" s="250"/>
      <c r="J51" s="250"/>
      <c r="K51" s="250"/>
      <c r="L51" s="250"/>
      <c r="M51" s="250"/>
      <c r="N51" s="269">
        <f t="shared" ref="N51:N56" si="6">D51</f>
        <v>0.78810000000000002</v>
      </c>
    </row>
    <row r="52" spans="1:14" ht="15" customHeight="1" x14ac:dyDescent="0.35">
      <c r="A52" s="3"/>
      <c r="B52" s="16" t="s">
        <v>144</v>
      </c>
      <c r="C52" s="8"/>
      <c r="D52" s="260">
        <f>INPUT!H129</f>
        <v>0.21190000000000001</v>
      </c>
      <c r="E52" s="250"/>
      <c r="F52" s="250"/>
      <c r="G52" s="250"/>
      <c r="H52" s="250"/>
      <c r="J52" s="250"/>
      <c r="K52" s="250"/>
      <c r="L52" s="250"/>
      <c r="M52" s="250"/>
      <c r="N52" s="269">
        <f t="shared" si="6"/>
        <v>0.21190000000000001</v>
      </c>
    </row>
    <row r="53" spans="1:14" ht="15" customHeight="1" x14ac:dyDescent="0.35">
      <c r="A53" s="3"/>
      <c r="B53" s="16" t="s">
        <v>145</v>
      </c>
      <c r="C53" s="8"/>
      <c r="D53" s="260">
        <f>INPUT!H125</f>
        <v>2.7699999999999999E-2</v>
      </c>
      <c r="E53" s="250"/>
      <c r="F53" s="250"/>
      <c r="G53" s="250"/>
      <c r="H53" s="250"/>
      <c r="J53" s="250"/>
      <c r="K53" s="250"/>
      <c r="L53" s="250"/>
      <c r="M53" s="250"/>
      <c r="N53" s="266">
        <f t="shared" si="6"/>
        <v>2.7699999999999999E-2</v>
      </c>
    </row>
    <row r="54" spans="1:14" ht="15" customHeight="1" x14ac:dyDescent="0.35">
      <c r="A54" s="3"/>
      <c r="B54" s="16" t="s">
        <v>72</v>
      </c>
      <c r="C54" s="8"/>
      <c r="D54" s="260">
        <f>INPUT!H126</f>
        <v>5.4100000000000002E-2</v>
      </c>
      <c r="E54" s="250"/>
      <c r="F54" s="250"/>
      <c r="G54" s="250"/>
      <c r="H54" s="250"/>
      <c r="J54" s="250"/>
      <c r="K54" s="250"/>
      <c r="L54" s="250"/>
      <c r="M54" s="250"/>
      <c r="N54" s="269">
        <f t="shared" si="6"/>
        <v>5.4100000000000002E-2</v>
      </c>
    </row>
    <row r="55" spans="1:14" ht="15" customHeight="1" x14ac:dyDescent="0.35">
      <c r="A55" s="3"/>
      <c r="B55" s="16" t="s">
        <v>73</v>
      </c>
      <c r="C55" s="8"/>
      <c r="D55" s="260">
        <f>D53*(1-D54)</f>
        <v>2.6201429999999998E-2</v>
      </c>
      <c r="E55" s="250"/>
      <c r="F55" s="250"/>
      <c r="G55" s="250"/>
      <c r="H55" s="250"/>
      <c r="J55" s="250"/>
      <c r="K55" s="250"/>
      <c r="L55" s="250"/>
      <c r="M55" s="250"/>
      <c r="N55" s="266">
        <f t="shared" si="6"/>
        <v>2.6201429999999998E-2</v>
      </c>
    </row>
    <row r="56" spans="1:14" ht="15" customHeight="1" x14ac:dyDescent="0.35">
      <c r="A56" s="3"/>
      <c r="B56" s="43" t="s">
        <v>76</v>
      </c>
      <c r="C56" s="10"/>
      <c r="D56" s="261">
        <f>D51*D49+D55*D52</f>
        <v>9.4922623016999996E-2</v>
      </c>
      <c r="E56" s="251"/>
      <c r="F56" s="251"/>
      <c r="G56" s="251"/>
      <c r="H56" s="251"/>
      <c r="J56" s="251"/>
      <c r="K56" s="251"/>
      <c r="L56" s="251"/>
      <c r="M56" s="251"/>
      <c r="N56" s="268">
        <f t="shared" si="6"/>
        <v>9.4922623016999996E-2</v>
      </c>
    </row>
    <row r="57" spans="1:14" ht="18" customHeight="1" x14ac:dyDescent="0.35">
      <c r="A57" s="3"/>
      <c r="B57" s="13"/>
      <c r="C57" s="8"/>
      <c r="D57" s="8"/>
      <c r="E57" s="21"/>
      <c r="F57" s="21"/>
      <c r="G57" s="21"/>
      <c r="H57" s="21"/>
      <c r="I57" s="21"/>
      <c r="J57" s="21"/>
      <c r="K57" s="21"/>
      <c r="L57" s="21"/>
      <c r="M57" s="21"/>
      <c r="N57" s="48"/>
    </row>
    <row r="58" spans="1:14" ht="18" customHeight="1" x14ac:dyDescent="0.5">
      <c r="A58" s="7"/>
      <c r="B58" s="41" t="s">
        <v>372</v>
      </c>
      <c r="C58" s="265"/>
      <c r="D58" s="36"/>
      <c r="E58" s="22"/>
      <c r="F58" s="22"/>
      <c r="G58" s="22"/>
      <c r="H58" s="22"/>
      <c r="I58" s="22"/>
      <c r="J58" s="22"/>
      <c r="K58" s="22"/>
      <c r="L58" s="22"/>
      <c r="M58" s="22"/>
      <c r="N58" s="265"/>
    </row>
    <row r="59" spans="1:14" ht="15" customHeight="1" x14ac:dyDescent="0.5">
      <c r="A59" s="92"/>
      <c r="B59" s="101"/>
      <c r="C59" s="422"/>
      <c r="D59" s="102"/>
      <c r="E59" s="83"/>
      <c r="F59" s="83"/>
      <c r="G59" s="83"/>
      <c r="H59" s="83"/>
      <c r="I59" s="83"/>
      <c r="J59" s="83"/>
      <c r="K59" s="83"/>
      <c r="L59" s="83"/>
      <c r="M59" s="83"/>
      <c r="N59" s="422"/>
    </row>
    <row r="60" spans="1:14" ht="15" customHeight="1" x14ac:dyDescent="0.35">
      <c r="A60" s="3"/>
      <c r="B60" s="16" t="s">
        <v>373</v>
      </c>
      <c r="C60" s="424">
        <f>IFERROR(INPUT!H94,"–")</f>
        <v>6144</v>
      </c>
      <c r="D60" s="260"/>
      <c r="E60" s="250"/>
      <c r="F60" s="250"/>
      <c r="G60" s="250"/>
      <c r="H60" s="250"/>
      <c r="I60" s="250"/>
      <c r="J60" s="250"/>
      <c r="K60" s="250"/>
      <c r="L60" s="250"/>
      <c r="M60" s="250"/>
      <c r="N60" s="430">
        <f>IFERROR(INPUT!H92,"–")</f>
        <v>0</v>
      </c>
    </row>
    <row r="61" spans="1:14" ht="15" customHeight="1" x14ac:dyDescent="0.35">
      <c r="A61" s="3"/>
      <c r="B61" s="16" t="str">
        <f>IFERROR("Cap Rate — "&amp;D29&amp;" (%)","")</f>
        <v>Cap Rate — Base (%)</v>
      </c>
      <c r="C61" s="411">
        <f>D34</f>
        <v>5.5E-2</v>
      </c>
      <c r="D61" s="260"/>
      <c r="E61" s="250"/>
      <c r="F61" s="250"/>
      <c r="G61" s="250"/>
      <c r="H61" s="250"/>
      <c r="I61" s="250"/>
      <c r="J61" s="250"/>
      <c r="K61" s="250"/>
      <c r="L61" s="408"/>
      <c r="M61" s="250"/>
      <c r="N61" s="431">
        <f>D34</f>
        <v>5.5E-2</v>
      </c>
    </row>
    <row r="62" spans="1:14" ht="15" customHeight="1" x14ac:dyDescent="0.35">
      <c r="A62" s="3"/>
      <c r="B62" s="16" t="s">
        <v>321</v>
      </c>
      <c r="C62" s="424">
        <f>IFERROR(C60/C61,"–")</f>
        <v>111709.09090909091</v>
      </c>
      <c r="D62" s="343"/>
      <c r="E62" s="250"/>
      <c r="F62" s="250"/>
      <c r="G62" s="250"/>
      <c r="H62" s="250"/>
      <c r="I62" s="250"/>
      <c r="J62" s="250"/>
      <c r="K62" s="250"/>
      <c r="L62" s="250"/>
      <c r="M62" s="250"/>
      <c r="N62" s="430">
        <f>IFERROR(N60/N61,"–")</f>
        <v>0</v>
      </c>
    </row>
    <row r="63" spans="1:14" ht="15" customHeight="1" x14ac:dyDescent="0.35">
      <c r="A63" s="3"/>
      <c r="B63" s="16" t="s">
        <v>374</v>
      </c>
      <c r="C63" s="424">
        <f>IFERROR(INPUT!H54+INPUT!H48-INPUT!H34,"–")</f>
        <v>33891.42</v>
      </c>
      <c r="D63" s="343"/>
      <c r="E63" s="250"/>
      <c r="F63" s="250"/>
      <c r="G63" s="250"/>
      <c r="H63" s="250"/>
      <c r="I63" s="251"/>
      <c r="J63" s="250"/>
      <c r="K63" s="250"/>
      <c r="L63" s="250"/>
      <c r="M63" s="250"/>
      <c r="N63" s="430">
        <f>IFERROR(INPUT!H54+INPUT!H48-INPUT!H34,"–")</f>
        <v>33891.42</v>
      </c>
    </row>
    <row r="64" spans="1:14" ht="15" customHeight="1" x14ac:dyDescent="0.35">
      <c r="A64" s="3"/>
      <c r="B64" s="46" t="s">
        <v>375</v>
      </c>
      <c r="C64" s="425">
        <v>0</v>
      </c>
      <c r="D64" s="344"/>
      <c r="E64" s="251"/>
      <c r="F64" s="251"/>
      <c r="G64" s="251"/>
      <c r="H64" s="251"/>
      <c r="I64" s="21"/>
      <c r="J64" s="251"/>
      <c r="K64" s="251"/>
      <c r="L64" s="251"/>
      <c r="M64" s="251"/>
      <c r="N64" s="526">
        <v>0</v>
      </c>
    </row>
    <row r="65" spans="1:17" ht="15" customHeight="1" x14ac:dyDescent="0.35">
      <c r="A65" s="3"/>
      <c r="B65" s="16" t="s">
        <v>430</v>
      </c>
      <c r="C65" s="424">
        <f>IFERROR(C62-C63-C64,"–")</f>
        <v>77817.670909090913</v>
      </c>
      <c r="D65" s="260"/>
      <c r="E65" s="250"/>
      <c r="F65" s="250"/>
      <c r="G65" s="250"/>
      <c r="H65" s="250"/>
      <c r="I65" s="250"/>
      <c r="J65" s="250"/>
      <c r="K65" s="250"/>
      <c r="L65" s="250"/>
      <c r="M65" s="250"/>
      <c r="N65" s="430">
        <f>IFERROR(N62-N63-N64,"–")</f>
        <v>-33891.42</v>
      </c>
    </row>
    <row r="66" spans="1:17" ht="18" customHeight="1" x14ac:dyDescent="0.35">
      <c r="A66" s="3"/>
      <c r="B66" s="16" t="s">
        <v>376</v>
      </c>
      <c r="C66" s="424">
        <f>IFERROR(C60/D33-C63,"–")</f>
        <v>88988.58</v>
      </c>
      <c r="D66" s="339"/>
      <c r="E66" s="250"/>
      <c r="F66" s="250"/>
      <c r="G66" s="250"/>
      <c r="H66" s="250"/>
      <c r="J66" s="250"/>
      <c r="K66" s="250"/>
      <c r="L66" s="250"/>
      <c r="M66" s="250"/>
      <c r="N66" s="430">
        <f>IFERROR(N60/D33-N63,"–")</f>
        <v>-33891.42</v>
      </c>
    </row>
    <row r="67" spans="1:17" ht="15" customHeight="1" x14ac:dyDescent="0.35">
      <c r="A67" s="3"/>
      <c r="B67" s="46" t="s">
        <v>377</v>
      </c>
      <c r="C67" s="425">
        <f>IFERROR(C60/I36-C63,"–")</f>
        <v>60631.656923076924</v>
      </c>
      <c r="D67" s="264"/>
      <c r="E67" s="251"/>
      <c r="F67" s="251"/>
      <c r="G67" s="251"/>
      <c r="H67" s="251"/>
      <c r="J67" s="251"/>
      <c r="K67" s="251"/>
      <c r="L67" s="251"/>
      <c r="M67" s="251"/>
      <c r="N67" s="432">
        <f>IFERROR(N60/I36-N63,"–")</f>
        <v>-33891.42</v>
      </c>
    </row>
    <row r="68" spans="1:17" ht="15" customHeight="1" x14ac:dyDescent="0.35">
      <c r="A68" s="56"/>
      <c r="B68" s="96"/>
      <c r="C68" s="415"/>
      <c r="D68" s="264"/>
      <c r="E68" s="252"/>
      <c r="F68" s="252"/>
      <c r="G68" s="252"/>
      <c r="H68" s="252"/>
      <c r="J68" s="252"/>
      <c r="K68" s="252"/>
      <c r="L68" s="252"/>
      <c r="M68" s="252"/>
      <c r="N68" s="423"/>
    </row>
    <row r="69" spans="1:17" ht="15" customHeight="1" x14ac:dyDescent="0.35">
      <c r="A69" s="3"/>
      <c r="B69" s="16" t="s">
        <v>378</v>
      </c>
      <c r="C69" s="424">
        <f>IFERROR(INPUT!H52,"–")</f>
        <v>932</v>
      </c>
      <c r="D69" s="262"/>
      <c r="E69" s="250"/>
      <c r="F69" s="250"/>
      <c r="G69" s="250"/>
      <c r="H69" s="250"/>
      <c r="J69" s="250"/>
      <c r="K69" s="250"/>
      <c r="L69" s="250"/>
      <c r="M69" s="250"/>
      <c r="N69" s="430">
        <f>IFERROR(INPUT!H52,"–")</f>
        <v>932</v>
      </c>
    </row>
    <row r="70" spans="1:17" ht="15" customHeight="1" x14ac:dyDescent="0.35">
      <c r="A70" s="3"/>
      <c r="B70" s="46" t="s">
        <v>429</v>
      </c>
      <c r="C70" s="426">
        <f>IFERROR(C65/C69,"–")</f>
        <v>83.49535505267265</v>
      </c>
      <c r="D70" s="263"/>
      <c r="E70" s="251"/>
      <c r="F70" s="251"/>
      <c r="G70" s="251"/>
      <c r="H70" s="251"/>
      <c r="J70" s="251"/>
      <c r="K70" s="251"/>
      <c r="L70" s="251"/>
      <c r="M70" s="251"/>
      <c r="N70" s="433">
        <f>IFERROR(N65/N69,"–")</f>
        <v>-36.364184549356224</v>
      </c>
    </row>
    <row r="71" spans="1:17" ht="15" customHeight="1" x14ac:dyDescent="0.35">
      <c r="A71" s="3"/>
      <c r="B71" s="16" t="s">
        <v>146</v>
      </c>
      <c r="C71" s="427">
        <f>IFERROR(INPUT!H117,"–")</f>
        <v>139.77000000000001</v>
      </c>
      <c r="D71" s="262"/>
      <c r="E71" s="250"/>
      <c r="F71" s="250"/>
      <c r="G71" s="250"/>
      <c r="H71" s="250"/>
      <c r="J71" s="250"/>
      <c r="K71" s="250"/>
      <c r="L71" s="250"/>
      <c r="M71" s="250"/>
      <c r="N71" s="434">
        <f>IFERROR(INPUT!H117,"–")</f>
        <v>139.77000000000001</v>
      </c>
    </row>
    <row r="72" spans="1:17" ht="15" customHeight="1" x14ac:dyDescent="0.35">
      <c r="A72" s="3"/>
      <c r="B72" s="16" t="s">
        <v>379</v>
      </c>
      <c r="C72" s="428">
        <f>IFERROR(C71/C70,"–")</f>
        <v>1.6739853362121373</v>
      </c>
      <c r="D72" s="262"/>
      <c r="E72" s="250"/>
      <c r="F72" s="250"/>
      <c r="G72" s="250"/>
      <c r="H72" s="250"/>
      <c r="J72" s="250"/>
      <c r="K72" s="250"/>
      <c r="L72" s="250"/>
      <c r="M72" s="250"/>
      <c r="N72" s="435">
        <f>IFERROR(N71/N70,"–")</f>
        <v>-3.8436170570604595</v>
      </c>
    </row>
    <row r="73" spans="1:17" ht="15" customHeight="1" x14ac:dyDescent="0.35">
      <c r="A73" s="3"/>
      <c r="B73" s="78" t="s">
        <v>380</v>
      </c>
      <c r="C73" s="429">
        <f>IFERROR(C70/C71-1,"–")</f>
        <v>-0.402623202027097</v>
      </c>
      <c r="D73" s="416"/>
      <c r="E73" s="250"/>
      <c r="F73" s="250"/>
      <c r="G73" s="250"/>
      <c r="H73" s="250"/>
      <c r="I73" s="250"/>
      <c r="J73" s="250"/>
      <c r="K73" s="250"/>
      <c r="L73" s="250"/>
      <c r="M73" s="250"/>
      <c r="N73" s="436">
        <f>IFERROR(N70/N71-1,"–")</f>
        <v>-1.2601716001241769</v>
      </c>
    </row>
    <row r="74" spans="1:17" ht="15" customHeight="1" x14ac:dyDescent="0.35">
      <c r="A74" s="3"/>
      <c r="B74" s="78"/>
      <c r="C74" s="79"/>
      <c r="D74" s="262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7" ht="15" customHeight="1" x14ac:dyDescent="0.5">
      <c r="A75" s="7"/>
      <c r="B75" s="41" t="s">
        <v>418</v>
      </c>
      <c r="C75" s="36"/>
      <c r="D75" s="36"/>
      <c r="E75" s="22"/>
      <c r="F75" s="22"/>
      <c r="G75" s="22"/>
      <c r="H75" s="22"/>
      <c r="I75" s="22"/>
      <c r="J75" s="22"/>
      <c r="K75" s="22"/>
      <c r="L75" s="22"/>
      <c r="M75" s="265"/>
      <c r="N75" s="265"/>
    </row>
    <row r="76" spans="1:17" ht="15" customHeight="1" x14ac:dyDescent="0.35">
      <c r="A76" s="182"/>
      <c r="B76" s="68" t="s">
        <v>432</v>
      </c>
      <c r="C76" s="409">
        <v>4.4999999999999998E-2</v>
      </c>
      <c r="D76" s="409">
        <v>0.05</v>
      </c>
      <c r="E76" s="409">
        <v>5.5E-2</v>
      </c>
      <c r="F76" s="409">
        <v>0.06</v>
      </c>
      <c r="G76" s="409">
        <v>6.5000000000000002E-2</v>
      </c>
      <c r="H76" s="447"/>
      <c r="I76" s="447"/>
      <c r="J76" s="448"/>
      <c r="K76" s="448"/>
      <c r="L76" s="448"/>
      <c r="M76" s="449"/>
      <c r="N76" s="449"/>
    </row>
    <row r="77" spans="1:17" ht="18" customHeight="1" x14ac:dyDescent="0.5">
      <c r="A77" s="3"/>
      <c r="B77" s="68" t="s">
        <v>433</v>
      </c>
      <c r="C77" s="443">
        <f>IFERROR($C$71/((($C$60*0.95)/0.045-$C$63)/$C$69),"–")</f>
        <v>1.3595502232873589</v>
      </c>
      <c r="D77" s="444">
        <f>IFERROR($C$71/((($C$60*0.95)/0.05-$C$63)/$C$69),"–")</f>
        <v>1.57240992711895</v>
      </c>
      <c r="E77" s="444">
        <f>IFERROR($C$71/((($C$60*0.95)/0.055-$C$63)/$C$69),"–")</f>
        <v>1.8034285331105977</v>
      </c>
      <c r="F77" s="444">
        <f>IFERROR($C$71/((($C$60*0.95)/0.06-$C$63)/$C$69),"–")</f>
        <v>2.0550332567790606</v>
      </c>
      <c r="G77" s="444">
        <f>IFERROR($C$71/((($C$60*0.95)/0.065-$C$63)/$C$69),"–")</f>
        <v>2.3301040654398775</v>
      </c>
      <c r="I77" s="271"/>
      <c r="J77" s="271"/>
      <c r="K77" s="271"/>
      <c r="L77" s="275"/>
      <c r="M77" s="277"/>
      <c r="N77" s="277"/>
      <c r="O77" s="273"/>
      <c r="P77" s="273"/>
      <c r="Q77" s="273"/>
    </row>
    <row r="78" spans="1:17" ht="15" customHeight="1" x14ac:dyDescent="0.35">
      <c r="A78" s="3"/>
      <c r="B78" s="68" t="s">
        <v>434</v>
      </c>
      <c r="C78" s="441">
        <f>IFERROR($C$71/((($C$60*1)/0.045-$C$63)/$C$69),"–")</f>
        <v>1.2691271603341767</v>
      </c>
      <c r="D78" s="218">
        <f>IFERROR($C$71/((($C$60*1)/0.05-$C$63)/$C$69),"–")</f>
        <v>1.4638467093193306</v>
      </c>
      <c r="E78" s="218">
        <f>IFERROR($C$71/((($C$60*1)/0.055-$C$63)/$C$69),"–")</f>
        <v>1.6739853362121373</v>
      </c>
      <c r="F78" s="218">
        <f>IFERROR($C$71/((($C$60*1)/0.06-$C$63)/$C$69),"–")</f>
        <v>1.901450008159562</v>
      </c>
      <c r="G78" s="218">
        <f>IFERROR($C$71/((($C$60*1)/0.065-$C$63)/$C$69),"–")</f>
        <v>2.1484756744363325</v>
      </c>
      <c r="I78" s="271"/>
      <c r="J78" s="271"/>
      <c r="K78" s="271"/>
      <c r="L78" s="275"/>
      <c r="M78" s="277"/>
      <c r="N78" s="277"/>
      <c r="O78" s="274"/>
      <c r="P78" s="274"/>
      <c r="Q78" s="274"/>
    </row>
    <row r="79" spans="1:17" ht="15" customHeight="1" x14ac:dyDescent="0.35">
      <c r="A79" s="3"/>
      <c r="B79" s="68" t="s">
        <v>419</v>
      </c>
      <c r="C79" s="442">
        <f>IFERROR($C$71/((($C$60*1.03)/0.045-$C$63)/$C$69),"–")</f>
        <v>1.2204252072381403</v>
      </c>
      <c r="D79" s="218">
        <f>IFERROR($C$71/((($C$60*1.03)/0.05-$C$63)/$C$69),"–")</f>
        <v>1.4056182154018271</v>
      </c>
      <c r="E79" s="412">
        <f>IFERROR($C$71/((($C$60*1.03)/0.055-$C$63)/$C$69),"–")</f>
        <v>1.6048704610914895</v>
      </c>
      <c r="F79" s="257">
        <f>IFERROR($C$71/((($C$60*1.03)/0.06-$C$63)/$C$69),"–")</f>
        <v>1.8198461090983058</v>
      </c>
      <c r="G79" s="218">
        <f>IFERROR($C$71/((($C$60*1.03)/0.065-$C$63)/$C$69),"–")</f>
        <v>2.0524827581241838</v>
      </c>
      <c r="I79" s="271"/>
      <c r="J79" s="271"/>
      <c r="K79" s="271"/>
      <c r="L79" s="275"/>
      <c r="M79" s="278"/>
      <c r="N79" s="278"/>
      <c r="O79" s="276"/>
      <c r="P79" s="276"/>
      <c r="Q79" s="276"/>
    </row>
    <row r="80" spans="1:17" ht="15" customHeight="1" x14ac:dyDescent="0.35">
      <c r="A80" s="3"/>
      <c r="B80" s="68" t="s">
        <v>420</v>
      </c>
      <c r="C80" s="441">
        <f>IFERROR($C$71/((($C$60*1.05)/0.045-$C$63)/$C$69),"–")</f>
        <v>1.1899820021416188</v>
      </c>
      <c r="D80" s="218">
        <f>IFERROR($C$71/((($C$60*1.05)/0.05-$C$63)/$C$69),"–")</f>
        <v>1.3693062881296818</v>
      </c>
      <c r="E80" s="218">
        <f>IFERROR($C$71/((($C$60*1.05)/0.055-$C$63)/$C$69),"–")</f>
        <v>1.5618795973179027</v>
      </c>
      <c r="F80" s="218">
        <f>IFERROR($C$71/((($C$60*1.05)/0.06-$C$63)/$C$69),"–")</f>
        <v>1.7692265693566274</v>
      </c>
      <c r="G80" s="218">
        <f>IFERROR($C$71/((($C$60*1.05)/0.065-$C$63)/$C$69),"–")</f>
        <v>1.9931151069296005</v>
      </c>
      <c r="I80" s="271"/>
      <c r="J80" s="271"/>
      <c r="K80" s="271"/>
      <c r="L80" s="275"/>
      <c r="M80" s="277"/>
      <c r="N80" s="277"/>
      <c r="O80" s="276"/>
      <c r="P80" s="276"/>
      <c r="Q80" s="276"/>
    </row>
    <row r="81" spans="1:17" ht="15" customHeight="1" x14ac:dyDescent="0.35">
      <c r="A81" s="3"/>
      <c r="B81" s="68" t="s">
        <v>421</v>
      </c>
      <c r="C81" s="441">
        <f>IFERROR($C$71/((($C$60*1.08)/0.045-$C$63)/$C$69),"–")</f>
        <v>1.147062226620307</v>
      </c>
      <c r="D81" s="218">
        <f>IFERROR($C$71/((($C$60*1.08)/0.05-$C$63)/$C$69),"–")</f>
        <v>1.3182248997105619</v>
      </c>
      <c r="E81" s="218">
        <f>IFERROR($C$71/((($C$60*1.08)/0.055-$C$63)/$C$69),"–")</f>
        <v>1.5015450827863712</v>
      </c>
      <c r="F81" s="218">
        <f>IFERROR($C$71/((($C$60*1.08)/0.06-$C$63)/$C$69),"–")</f>
        <v>1.6983657750697578</v>
      </c>
      <c r="G81" s="218">
        <f>IFERROR($C$71/((($C$60*1.08)/0.065-$C$63)/$C$69),"–")</f>
        <v>1.9102353468050883</v>
      </c>
      <c r="I81" s="21"/>
      <c r="J81" s="21"/>
      <c r="K81" s="21"/>
      <c r="L81" s="21"/>
      <c r="M81" s="21"/>
      <c r="N81" s="21"/>
      <c r="O81" s="274"/>
      <c r="P81" s="274"/>
      <c r="Q81" s="274"/>
    </row>
    <row r="82" spans="1:17" ht="15" customHeight="1" x14ac:dyDescent="0.35">
      <c r="A82" s="3"/>
      <c r="B82" s="17"/>
      <c r="C82" s="8"/>
      <c r="D82" s="8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76"/>
      <c r="P82" s="276"/>
      <c r="Q82" s="276"/>
    </row>
    <row r="83" spans="1:17" ht="15" customHeight="1" x14ac:dyDescent="0.35">
      <c r="A83" s="3"/>
      <c r="B83" s="13"/>
      <c r="C83" s="8"/>
      <c r="D83" s="8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 spans="1:17" ht="15" customHeight="1" x14ac:dyDescent="0.5">
      <c r="A84" s="7"/>
      <c r="B84" s="41" t="s">
        <v>422</v>
      </c>
      <c r="C84" s="36"/>
      <c r="D84" s="36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7" ht="15" customHeight="1" x14ac:dyDescent="0.35">
      <c r="A85" s="1"/>
      <c r="B85" s="15" t="s">
        <v>423</v>
      </c>
      <c r="C85" s="68"/>
      <c r="D85" s="68"/>
      <c r="E85" s="23" t="s">
        <v>292</v>
      </c>
      <c r="F85" s="23" t="s">
        <v>424</v>
      </c>
      <c r="G85" s="23" t="s">
        <v>294</v>
      </c>
      <c r="H85" s="23"/>
      <c r="I85" s="23"/>
      <c r="J85" s="23"/>
      <c r="K85" s="23"/>
      <c r="L85" s="23"/>
      <c r="M85" s="23"/>
      <c r="N85" s="23"/>
    </row>
    <row r="86" spans="1:17" ht="18" customHeight="1" x14ac:dyDescent="0.35">
      <c r="A86" s="3"/>
      <c r="B86" s="46" t="s">
        <v>384</v>
      </c>
      <c r="C86" s="8"/>
      <c r="D86" s="260"/>
      <c r="E86" s="216">
        <v>0.04</v>
      </c>
      <c r="F86" s="216">
        <v>7.1999999999999995E-2</v>
      </c>
      <c r="G86" s="527">
        <v>0.1</v>
      </c>
      <c r="H86" s="21"/>
      <c r="I86" s="21"/>
      <c r="J86" s="21"/>
      <c r="K86" s="21"/>
      <c r="L86" s="21"/>
      <c r="M86" s="21"/>
    </row>
    <row r="87" spans="1:17" ht="15" customHeight="1" x14ac:dyDescent="0.35">
      <c r="A87" s="3"/>
      <c r="B87" s="16" t="s">
        <v>367</v>
      </c>
      <c r="C87" s="8"/>
      <c r="D87" s="260"/>
      <c r="E87" s="216">
        <v>0.57999999999999996</v>
      </c>
      <c r="F87" s="216">
        <v>0.62</v>
      </c>
      <c r="G87" s="527">
        <v>0.66</v>
      </c>
      <c r="H87" s="21"/>
      <c r="I87" s="21"/>
      <c r="J87" s="21"/>
      <c r="K87" s="21"/>
      <c r="L87" s="21"/>
      <c r="M87" s="21"/>
    </row>
    <row r="88" spans="1:17" ht="15" customHeight="1" x14ac:dyDescent="0.35">
      <c r="A88" s="3"/>
      <c r="B88" s="16" t="s">
        <v>385</v>
      </c>
      <c r="C88" s="8"/>
      <c r="D88" s="260"/>
      <c r="E88" s="216">
        <v>6.5000000000000002E-2</v>
      </c>
      <c r="F88" s="216">
        <v>5.5E-2</v>
      </c>
      <c r="G88" s="216">
        <v>0.05</v>
      </c>
      <c r="H88" s="21"/>
      <c r="I88" s="21"/>
      <c r="J88" s="21"/>
      <c r="K88" s="21"/>
      <c r="L88" s="21"/>
      <c r="M88" s="21"/>
    </row>
    <row r="89" spans="1:17" ht="15" customHeight="1" x14ac:dyDescent="0.35">
      <c r="A89" s="3"/>
      <c r="B89" s="16" t="s">
        <v>428</v>
      </c>
      <c r="C89" s="8"/>
      <c r="D89" s="260"/>
      <c r="E89" s="418">
        <f>IFERROR(($C$60*(1+E87))/E88,"–")</f>
        <v>149346.46153846153</v>
      </c>
      <c r="F89" s="418">
        <f>IFERROR(($C$60*(1+F87))/F88,"–")</f>
        <v>180968.72727272729</v>
      </c>
      <c r="G89" s="418">
        <f>IFERROR(($C$60*(1+G87))/G88,"–")</f>
        <v>203980.80000000002</v>
      </c>
      <c r="H89" s="21"/>
      <c r="I89" s="21"/>
      <c r="J89" s="21"/>
      <c r="K89" s="21"/>
      <c r="L89" s="21"/>
      <c r="M89" s="21"/>
    </row>
    <row r="90" spans="1:17" ht="15" customHeight="1" x14ac:dyDescent="0.35">
      <c r="A90" s="3"/>
      <c r="B90" s="16" t="s">
        <v>382</v>
      </c>
      <c r="C90" s="8"/>
      <c r="D90" s="260"/>
      <c r="E90" s="510">
        <f>IFERROR((E89-$C$63)/$C$69,"–")</f>
        <v>123.87879993397161</v>
      </c>
      <c r="F90" s="511">
        <f>IFERROR((F89-$C$63)/$C$69,"–")</f>
        <v>157.8082696059306</v>
      </c>
      <c r="G90" s="511">
        <f>IFERROR((G89-$C$63)/$C$69,"–")</f>
        <v>182.4993347639485</v>
      </c>
      <c r="H90" s="21"/>
      <c r="I90" s="21"/>
      <c r="J90" s="21"/>
      <c r="K90" s="21"/>
      <c r="L90" s="21"/>
      <c r="M90" s="21"/>
    </row>
    <row r="91" spans="1:17" ht="15" customHeight="1" x14ac:dyDescent="0.35">
      <c r="A91" s="3"/>
      <c r="B91" s="13" t="s">
        <v>386</v>
      </c>
      <c r="C91" s="8"/>
      <c r="D91" s="8"/>
      <c r="E91" s="512">
        <f>IFERROR($C$71/E90,"–")</f>
        <v>1.1282802228831612</v>
      </c>
      <c r="F91" s="512">
        <f>IFERROR($C$71/F90,"–")</f>
        <v>0.88569502947485146</v>
      </c>
      <c r="G91" s="512">
        <f>IFERROR($C$71/G90,"–")</f>
        <v>0.76586580537832527</v>
      </c>
      <c r="H91" s="21"/>
      <c r="I91" s="21"/>
      <c r="J91" s="21"/>
      <c r="K91" s="21"/>
      <c r="L91" s="21"/>
      <c r="M91" s="21"/>
      <c r="N91" s="21"/>
    </row>
    <row r="92" spans="1:17" ht="15" customHeight="1" x14ac:dyDescent="0.3"/>
    <row r="93" spans="1:17" ht="15" customHeight="1" x14ac:dyDescent="0.3"/>
    <row r="94" spans="1:17" ht="15" customHeight="1" x14ac:dyDescent="0.3"/>
    <row r="95" spans="1:17" ht="15" customHeight="1" x14ac:dyDescent="0.3">
      <c r="B95" s="39"/>
    </row>
    <row r="96" spans="1:17" ht="15" customHeight="1" x14ac:dyDescent="0.3">
      <c r="A96" s="75"/>
      <c r="B96" s="437"/>
      <c r="C96" s="437"/>
      <c r="D96" s="437"/>
      <c r="E96" s="437"/>
      <c r="F96" s="437"/>
      <c r="G96" s="437"/>
      <c r="H96"/>
      <c r="I96" s="70"/>
      <c r="J96" s="70"/>
      <c r="K96" s="70"/>
      <c r="L96" s="70"/>
      <c r="M96" s="70"/>
      <c r="N96" s="70"/>
    </row>
    <row r="97" spans="1:14" ht="15" customHeight="1" x14ac:dyDescent="0.3">
      <c r="B97" s="39"/>
      <c r="C97" s="438"/>
      <c r="D97" s="438"/>
      <c r="E97" s="438"/>
      <c r="F97" s="438"/>
      <c r="G97" s="438"/>
      <c r="H97"/>
      <c r="I97" s="70"/>
      <c r="J97" s="70"/>
      <c r="K97" s="70"/>
      <c r="L97" s="70"/>
      <c r="M97" s="70"/>
      <c r="N97" s="70"/>
    </row>
    <row r="98" spans="1:14" ht="15" customHeight="1" x14ac:dyDescent="0.3">
      <c r="B98" s="39"/>
      <c r="C98" s="20"/>
      <c r="H98"/>
      <c r="I98" s="70"/>
      <c r="J98" s="70"/>
      <c r="K98" s="70"/>
      <c r="L98" s="70"/>
      <c r="M98" s="70"/>
      <c r="N98" s="70"/>
    </row>
    <row r="99" spans="1:14" ht="15" customHeight="1" x14ac:dyDescent="0.3">
      <c r="A99" s="75"/>
      <c r="B99" s="437"/>
      <c r="C99" s="439"/>
      <c r="D99" s="439"/>
      <c r="E99" s="439"/>
      <c r="F99" s="439"/>
      <c r="G99" s="439"/>
      <c r="H99"/>
      <c r="I99" s="70"/>
      <c r="J99" s="70"/>
      <c r="K99" s="70"/>
      <c r="L99" s="70"/>
      <c r="M99" s="70"/>
      <c r="N99" s="70"/>
    </row>
    <row r="100" spans="1:14" ht="15" customHeight="1" x14ac:dyDescent="0.3">
      <c r="B100" s="39"/>
      <c r="C100" s="440"/>
      <c r="D100" s="440"/>
      <c r="E100" s="438"/>
      <c r="F100" s="438"/>
      <c r="G100" s="438"/>
      <c r="H100"/>
      <c r="I100" s="70"/>
      <c r="J100" s="70"/>
      <c r="K100" s="70"/>
      <c r="L100" s="70"/>
      <c r="M100" s="70"/>
      <c r="N100" s="70"/>
    </row>
    <row r="101" spans="1:14" ht="15" customHeight="1" x14ac:dyDescent="0.3">
      <c r="B101" s="39"/>
    </row>
    <row r="102" spans="1:14" ht="15" customHeight="1" x14ac:dyDescent="0.3">
      <c r="B102" s="39"/>
    </row>
    <row r="103" spans="1:14" ht="15" customHeight="1" x14ac:dyDescent="0.3">
      <c r="B103" s="39"/>
    </row>
    <row r="104" spans="1:14" ht="15" customHeight="1" x14ac:dyDescent="0.3"/>
    <row r="105" spans="1:14" ht="15" customHeight="1" x14ac:dyDescent="0.3"/>
    <row r="109" spans="1:14" ht="15" x14ac:dyDescent="0.35">
      <c r="A109" s="4"/>
      <c r="B109" s="29" t="s">
        <v>94</v>
      </c>
      <c r="C109" s="4"/>
      <c r="D109" s="4"/>
      <c r="E109" s="30"/>
      <c r="F109" s="30"/>
      <c r="G109" s="30"/>
      <c r="H109" s="30"/>
      <c r="I109" s="30"/>
      <c r="J109" s="30"/>
      <c r="K109" s="30"/>
      <c r="L109" s="30"/>
      <c r="M109" s="30"/>
      <c r="N109" s="30"/>
    </row>
    <row r="110" spans="1:14" ht="15" x14ac:dyDescent="0.35">
      <c r="A110" s="4"/>
      <c r="B110" s="29" t="s">
        <v>95</v>
      </c>
      <c r="C110" s="4"/>
      <c r="D110" s="4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4" ht="15" x14ac:dyDescent="0.35">
      <c r="A111" s="4"/>
      <c r="B111" s="29" t="s">
        <v>96</v>
      </c>
      <c r="C111" s="4"/>
      <c r="D111" s="4"/>
      <c r="E111" s="30"/>
      <c r="F111" s="30"/>
      <c r="G111" s="30"/>
      <c r="H111" s="30"/>
      <c r="I111" s="30"/>
      <c r="J111" s="30"/>
      <c r="K111" s="30"/>
      <c r="L111" s="30"/>
      <c r="M111" s="30"/>
      <c r="N111" s="30"/>
    </row>
  </sheetData>
  <dataValidations count="1">
    <dataValidation type="list" allowBlank="1" showInputMessage="1" showErrorMessage="1" promptTitle="Scénario Cap Rate" prompt="Choisissez : Bull (5.0%), Base (5.5%) ou Bear (6.5%)" sqref="D29" xr:uid="{E775B314-D437-4B65-BC0F-ECB7EE40838D}">
      <formula1>"Bull,Base,Bear"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32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23"/>
  <sheetViews>
    <sheetView showGridLines="0" zoomScale="79" zoomScaleNormal="100" workbookViewId="0">
      <selection activeCell="E9" sqref="E9"/>
    </sheetView>
  </sheetViews>
  <sheetFormatPr baseColWidth="10" defaultRowHeight="14.4" x14ac:dyDescent="0.3"/>
  <cols>
    <col min="1" max="1" width="1.77734375" customWidth="1"/>
    <col min="2" max="2" width="34.88671875" style="18" customWidth="1"/>
    <col min="3" max="3" width="11.6640625" customWidth="1"/>
    <col min="4" max="4" width="13.33203125" style="20" customWidth="1"/>
    <col min="5" max="6" width="14.44140625" style="20" customWidth="1"/>
    <col min="7" max="7" width="12.6640625" style="20" bestFit="1" customWidth="1"/>
    <col min="8" max="11" width="12" style="20" customWidth="1"/>
    <col min="12" max="12" width="16.88671875" style="20" customWidth="1"/>
    <col min="13" max="14" width="11.5546875" style="20" customWidth="1"/>
  </cols>
  <sheetData>
    <row r="1" spans="1:15" ht="54.9" customHeight="1" x14ac:dyDescent="0.6">
      <c r="A1" s="5"/>
      <c r="B1" s="81" t="s">
        <v>97</v>
      </c>
      <c r="C1" s="5"/>
      <c r="D1" s="27"/>
      <c r="E1" s="27"/>
      <c r="F1" s="27"/>
      <c r="G1" s="27"/>
      <c r="H1" s="27"/>
      <c r="I1" s="27"/>
      <c r="J1" s="27"/>
      <c r="K1" s="80" t="s">
        <v>151</v>
      </c>
      <c r="L1" s="27"/>
      <c r="M1" s="189"/>
      <c r="N1" s="189"/>
      <c r="O1" s="189"/>
    </row>
    <row r="2" spans="1:15" ht="15" customHeight="1" x14ac:dyDescent="0.35">
      <c r="A2" s="3"/>
      <c r="B2" s="13"/>
      <c r="C2" s="3"/>
      <c r="D2" s="21"/>
      <c r="E2" s="21"/>
      <c r="F2" s="21"/>
      <c r="G2" s="21"/>
      <c r="H2" s="21"/>
      <c r="I2" s="21"/>
      <c r="J2" s="21"/>
      <c r="K2" s="21"/>
      <c r="L2" s="21"/>
    </row>
    <row r="3" spans="1:15" ht="18" customHeight="1" x14ac:dyDescent="0.5">
      <c r="A3" s="7"/>
      <c r="B3" s="14" t="s">
        <v>152</v>
      </c>
      <c r="C3" s="7"/>
      <c r="D3" s="22"/>
      <c r="E3" s="22"/>
      <c r="F3" s="22"/>
      <c r="G3" s="22"/>
      <c r="H3" s="22"/>
      <c r="I3" s="22"/>
      <c r="J3" s="22"/>
      <c r="K3" s="22"/>
      <c r="L3" s="22"/>
      <c r="M3" s="72"/>
      <c r="N3" s="72"/>
    </row>
    <row r="4" spans="1:15" ht="15" customHeight="1" x14ac:dyDescent="0.35">
      <c r="A4" s="3"/>
      <c r="B4" s="11" t="s">
        <v>1</v>
      </c>
      <c r="C4" s="3"/>
      <c r="D4" s="21"/>
      <c r="E4" s="21"/>
      <c r="F4" s="21"/>
      <c r="G4" s="21"/>
      <c r="H4" s="21"/>
      <c r="I4" s="21"/>
      <c r="J4" s="21"/>
      <c r="K4" s="21"/>
      <c r="L4" s="21"/>
    </row>
    <row r="5" spans="1:15" ht="15" customHeight="1" x14ac:dyDescent="0.35">
      <c r="A5" s="3"/>
      <c r="B5" s="13"/>
      <c r="C5" s="3"/>
      <c r="D5" s="21"/>
      <c r="E5" s="21"/>
      <c r="F5" s="21"/>
      <c r="G5" s="21"/>
      <c r="H5" s="21"/>
      <c r="I5" s="21"/>
      <c r="J5" s="21"/>
      <c r="K5" s="21"/>
      <c r="L5" s="21"/>
    </row>
    <row r="6" spans="1:15" ht="18" customHeight="1" x14ac:dyDescent="0.5">
      <c r="A6" s="7"/>
      <c r="B6" s="14" t="s">
        <v>153</v>
      </c>
      <c r="C6" s="7"/>
      <c r="D6" s="22"/>
      <c r="E6" s="22"/>
      <c r="F6" s="22"/>
      <c r="G6" s="22"/>
      <c r="H6" s="22"/>
      <c r="I6" s="22"/>
      <c r="J6" s="22"/>
      <c r="K6" s="22"/>
      <c r="L6" s="22"/>
      <c r="M6" s="72"/>
      <c r="N6" s="72"/>
    </row>
    <row r="7" spans="1:15" ht="15" customHeight="1" x14ac:dyDescent="0.35">
      <c r="A7" s="15"/>
      <c r="B7" s="15"/>
      <c r="C7" s="1"/>
      <c r="D7" s="31" t="s">
        <v>154</v>
      </c>
      <c r="E7" s="31" t="s">
        <v>155</v>
      </c>
      <c r="F7" s="31" t="s">
        <v>387</v>
      </c>
      <c r="G7" s="31" t="s">
        <v>388</v>
      </c>
      <c r="H7" s="31" t="s">
        <v>389</v>
      </c>
      <c r="I7" s="31" t="s">
        <v>390</v>
      </c>
      <c r="J7" s="31" t="s">
        <v>391</v>
      </c>
      <c r="K7" s="31" t="s">
        <v>392</v>
      </c>
      <c r="L7" s="182"/>
    </row>
    <row r="8" spans="1:15" ht="15" customHeight="1" x14ac:dyDescent="0.35">
      <c r="A8" s="188"/>
      <c r="B8" s="26" t="s">
        <v>156</v>
      </c>
      <c r="C8" s="8" t="s">
        <v>157</v>
      </c>
      <c r="D8" s="28" t="s">
        <v>158</v>
      </c>
      <c r="E8" s="28" t="s">
        <v>8</v>
      </c>
      <c r="F8" s="28" t="s">
        <v>158</v>
      </c>
      <c r="G8" s="28"/>
      <c r="H8" s="28"/>
      <c r="I8" s="28"/>
      <c r="J8" s="28"/>
      <c r="K8" s="28"/>
    </row>
    <row r="9" spans="1:15" ht="15" customHeight="1" x14ac:dyDescent="0.35">
      <c r="A9" s="3"/>
      <c r="B9" s="33" t="s">
        <v>159</v>
      </c>
      <c r="C9" s="8" t="s">
        <v>159</v>
      </c>
      <c r="D9" s="311">
        <v>75.33</v>
      </c>
      <c r="E9" s="312">
        <v>173303.61</v>
      </c>
      <c r="F9" s="450">
        <v>4.21</v>
      </c>
      <c r="G9" s="451">
        <v>17.899999999999999</v>
      </c>
      <c r="H9" s="270">
        <v>19.2</v>
      </c>
      <c r="I9" s="269">
        <v>2.8000000000000001E-2</v>
      </c>
      <c r="J9" s="452">
        <v>0.97099999999999997</v>
      </c>
      <c r="K9" s="269">
        <v>0.31</v>
      </c>
    </row>
    <row r="10" spans="1:15" ht="15" customHeight="1" x14ac:dyDescent="0.35">
      <c r="A10" s="3"/>
      <c r="B10" s="33" t="s">
        <v>160</v>
      </c>
      <c r="C10" s="8" t="s">
        <v>161</v>
      </c>
      <c r="D10" s="311">
        <v>165.56</v>
      </c>
      <c r="E10" s="312">
        <v>10227.040000000001</v>
      </c>
      <c r="F10" s="450">
        <v>6.84</v>
      </c>
      <c r="G10" s="451">
        <v>24.2</v>
      </c>
      <c r="H10" s="270">
        <v>26.1</v>
      </c>
      <c r="I10" s="269">
        <v>3.1E-2</v>
      </c>
      <c r="J10" s="452">
        <v>0.98299999999999998</v>
      </c>
      <c r="K10" s="269">
        <v>0.27</v>
      </c>
    </row>
    <row r="11" spans="1:15" ht="15" customHeight="1" x14ac:dyDescent="0.35">
      <c r="A11" s="3"/>
      <c r="B11" s="33" t="s">
        <v>162</v>
      </c>
      <c r="C11" s="8" t="s">
        <v>163</v>
      </c>
      <c r="D11" s="311">
        <v>32.58</v>
      </c>
      <c r="E11" s="312">
        <v>9053.32</v>
      </c>
      <c r="F11" s="450">
        <v>2.1800000000000002</v>
      </c>
      <c r="G11" s="451">
        <v>14.9</v>
      </c>
      <c r="H11" s="270">
        <v>15.8</v>
      </c>
      <c r="I11" s="269">
        <v>4.8000000000000001E-2</v>
      </c>
      <c r="J11" s="452">
        <v>0.96499999999999997</v>
      </c>
      <c r="K11" s="269">
        <v>0.35</v>
      </c>
    </row>
    <row r="12" spans="1:15" ht="15" customHeight="1" x14ac:dyDescent="0.35">
      <c r="A12" s="3"/>
      <c r="B12" s="33" t="s">
        <v>164</v>
      </c>
      <c r="C12" s="8" t="s">
        <v>165</v>
      </c>
      <c r="D12" s="311">
        <v>51.96</v>
      </c>
      <c r="E12" s="312">
        <v>9075.56</v>
      </c>
      <c r="F12" s="450">
        <v>2.97</v>
      </c>
      <c r="G12" s="451">
        <v>17.5</v>
      </c>
      <c r="H12" s="270">
        <v>18.899999999999999</v>
      </c>
      <c r="I12" s="269">
        <v>2.1999999999999999E-2</v>
      </c>
      <c r="J12" s="452">
        <v>0.97799999999999998</v>
      </c>
      <c r="K12" s="269">
        <v>0.28999999999999998</v>
      </c>
    </row>
    <row r="13" spans="1:15" ht="15" customHeight="1" x14ac:dyDescent="0.35">
      <c r="A13" s="3"/>
      <c r="B13" s="33" t="s">
        <v>166</v>
      </c>
      <c r="C13" s="8" t="s">
        <v>167</v>
      </c>
      <c r="D13" s="313">
        <v>30.24</v>
      </c>
      <c r="E13" s="314">
        <v>10034.51</v>
      </c>
      <c r="F13" s="453">
        <v>1.63</v>
      </c>
      <c r="G13" s="454">
        <v>18.600000000000001</v>
      </c>
      <c r="H13" s="455">
        <v>20.3</v>
      </c>
      <c r="I13" s="456">
        <v>3.3000000000000002E-2</v>
      </c>
      <c r="J13" s="457">
        <v>0.97399999999999998</v>
      </c>
      <c r="K13" s="456">
        <v>0.32</v>
      </c>
    </row>
    <row r="14" spans="1:15" ht="15" customHeight="1" x14ac:dyDescent="0.35">
      <c r="A14" s="3"/>
      <c r="B14" s="13"/>
      <c r="C14" s="8"/>
      <c r="D14" s="21"/>
      <c r="E14" s="21"/>
      <c r="F14" s="21"/>
      <c r="G14" s="21"/>
      <c r="H14" s="21"/>
      <c r="I14" s="21"/>
      <c r="J14" s="21"/>
      <c r="K14" s="21"/>
    </row>
    <row r="15" spans="1:15" ht="15" customHeight="1" x14ac:dyDescent="0.35">
      <c r="A15" s="3"/>
      <c r="B15" s="13" t="s">
        <v>168</v>
      </c>
      <c r="C15" s="8"/>
      <c r="D15" s="217">
        <f t="shared" ref="D15:K15" si="0">IFERROR(AVERAGE(D9:D13),"–")</f>
        <v>71.133999999999986</v>
      </c>
      <c r="E15" s="217">
        <f t="shared" si="0"/>
        <v>42338.808000000005</v>
      </c>
      <c r="F15" s="217">
        <f t="shared" si="0"/>
        <v>3.5659999999999998</v>
      </c>
      <c r="G15" s="217">
        <f t="shared" si="0"/>
        <v>18.619999999999997</v>
      </c>
      <c r="H15" s="219">
        <f t="shared" si="0"/>
        <v>20.059999999999999</v>
      </c>
      <c r="I15" s="219">
        <f t="shared" si="0"/>
        <v>3.2399999999999998E-2</v>
      </c>
      <c r="J15" s="220">
        <f t="shared" si="0"/>
        <v>0.97420000000000007</v>
      </c>
      <c r="K15" s="219">
        <f t="shared" si="0"/>
        <v>0.308</v>
      </c>
    </row>
    <row r="16" spans="1:15" ht="15" customHeight="1" x14ac:dyDescent="0.35">
      <c r="A16" s="3"/>
      <c r="B16" s="13" t="s">
        <v>169</v>
      </c>
      <c r="C16" s="8"/>
      <c r="D16" s="217">
        <f t="shared" ref="D16:K16" si="1">IFERROR(MEDIAN(D9:D13),"–")</f>
        <v>51.96</v>
      </c>
      <c r="E16" s="217">
        <f t="shared" si="1"/>
        <v>10034.51</v>
      </c>
      <c r="F16" s="217">
        <f t="shared" si="1"/>
        <v>2.97</v>
      </c>
      <c r="G16" s="217">
        <f t="shared" si="1"/>
        <v>17.899999999999999</v>
      </c>
      <c r="H16" s="219">
        <f t="shared" si="1"/>
        <v>19.2</v>
      </c>
      <c r="I16" s="219">
        <f t="shared" si="1"/>
        <v>3.1E-2</v>
      </c>
      <c r="J16" s="220">
        <f t="shared" si="1"/>
        <v>0.97399999999999998</v>
      </c>
      <c r="K16" s="219">
        <f t="shared" si="1"/>
        <v>0.31</v>
      </c>
    </row>
    <row r="17" spans="1:14" ht="15" customHeight="1" x14ac:dyDescent="0.35">
      <c r="A17" s="3"/>
      <c r="B17" s="13" t="s">
        <v>170</v>
      </c>
      <c r="C17" s="8"/>
      <c r="D17" s="221">
        <f t="shared" ref="D17:K17" si="2">IFERROR(MAX(D9:D13),"–")</f>
        <v>165.56</v>
      </c>
      <c r="E17" s="221">
        <f t="shared" si="2"/>
        <v>173303.61</v>
      </c>
      <c r="F17" s="221">
        <f t="shared" si="2"/>
        <v>6.84</v>
      </c>
      <c r="G17" s="221">
        <f t="shared" si="2"/>
        <v>24.2</v>
      </c>
      <c r="H17" s="222">
        <f t="shared" si="2"/>
        <v>26.1</v>
      </c>
      <c r="I17" s="222">
        <f t="shared" si="2"/>
        <v>4.8000000000000001E-2</v>
      </c>
      <c r="J17" s="223">
        <f t="shared" si="2"/>
        <v>0.98299999999999998</v>
      </c>
      <c r="K17" s="222">
        <f t="shared" si="2"/>
        <v>0.35</v>
      </c>
    </row>
    <row r="18" spans="1:14" ht="15" customHeight="1" thickBot="1" x14ac:dyDescent="0.4">
      <c r="A18" s="3"/>
      <c r="B18" s="13" t="s">
        <v>171</v>
      </c>
      <c r="C18" s="8"/>
      <c r="D18" s="224">
        <f t="shared" ref="D18:K18" si="3">IFERROR(MIN(D9:D13),"–")</f>
        <v>30.24</v>
      </c>
      <c r="E18" s="224">
        <f t="shared" si="3"/>
        <v>9053.32</v>
      </c>
      <c r="F18" s="224">
        <f t="shared" si="3"/>
        <v>1.63</v>
      </c>
      <c r="G18" s="224">
        <f t="shared" si="3"/>
        <v>14.9</v>
      </c>
      <c r="H18" s="225">
        <f t="shared" si="3"/>
        <v>15.8</v>
      </c>
      <c r="I18" s="225">
        <f t="shared" si="3"/>
        <v>2.1999999999999999E-2</v>
      </c>
      <c r="J18" s="226">
        <f t="shared" si="3"/>
        <v>0.96499999999999997</v>
      </c>
      <c r="K18" s="225">
        <f t="shared" si="3"/>
        <v>0.27</v>
      </c>
    </row>
    <row r="19" spans="1:14" ht="15" customHeight="1" x14ac:dyDescent="0.35">
      <c r="A19" s="3"/>
      <c r="B19" s="13"/>
      <c r="C19" s="8"/>
      <c r="D19" s="21"/>
      <c r="E19" s="21"/>
      <c r="F19" s="21"/>
      <c r="G19" s="21"/>
      <c r="H19" s="21"/>
      <c r="I19" s="21"/>
      <c r="J19" s="21"/>
      <c r="K19" s="21"/>
      <c r="L19" s="21"/>
    </row>
    <row r="20" spans="1:14" ht="18" customHeight="1" x14ac:dyDescent="0.5">
      <c r="A20" s="38"/>
      <c r="B20" s="41" t="s">
        <v>172</v>
      </c>
      <c r="C20" s="36"/>
      <c r="D20" s="22"/>
      <c r="E20" s="22"/>
      <c r="F20" s="22"/>
      <c r="G20" s="22"/>
      <c r="H20" s="22"/>
      <c r="I20" s="22"/>
      <c r="J20" s="22"/>
      <c r="K20" s="22"/>
      <c r="L20" s="22"/>
      <c r="M20" s="72"/>
      <c r="N20" s="72"/>
    </row>
    <row r="21" spans="1:14" ht="15" customHeight="1" x14ac:dyDescent="0.35">
      <c r="A21" s="9"/>
      <c r="B21" s="40" t="s">
        <v>173</v>
      </c>
      <c r="C21" s="9"/>
      <c r="D21" s="525" t="str">
        <f>INPUT!H5</f>
        <v>2025 (LTM)</v>
      </c>
      <c r="E21" s="23"/>
      <c r="F21" s="23"/>
      <c r="G21" s="23"/>
      <c r="H21" s="23"/>
      <c r="I21" s="23"/>
      <c r="J21" s="23"/>
      <c r="K21" s="23"/>
      <c r="L21" s="23"/>
      <c r="M21" s="182"/>
      <c r="N21" s="182"/>
    </row>
    <row r="22" spans="1:14" ht="15" customHeight="1" x14ac:dyDescent="0.35">
      <c r="A22" s="182"/>
      <c r="B22" s="459"/>
      <c r="C22" s="10"/>
      <c r="D22" s="460"/>
      <c r="E22" s="460"/>
      <c r="F22" s="460"/>
      <c r="G22" s="460"/>
      <c r="H22" s="460"/>
      <c r="I22" s="460"/>
      <c r="J22" s="460"/>
      <c r="K22" s="460"/>
      <c r="L22" s="460"/>
      <c r="M22" s="182"/>
      <c r="N22" s="182"/>
    </row>
    <row r="23" spans="1:14" ht="15" customHeight="1" x14ac:dyDescent="0.35">
      <c r="A23" s="3"/>
      <c r="B23" s="16" t="s">
        <v>4</v>
      </c>
      <c r="C23" s="8" t="s">
        <v>8</v>
      </c>
      <c r="D23" s="227">
        <f>INPUT!H9/1000</f>
        <v>8.7901299999999996</v>
      </c>
      <c r="E23" s="21"/>
      <c r="F23" s="21"/>
      <c r="G23" s="21"/>
      <c r="H23" s="21"/>
      <c r="I23" s="21"/>
      <c r="J23" s="21"/>
      <c r="K23" s="21"/>
      <c r="L23" s="21"/>
    </row>
    <row r="24" spans="1:14" ht="15" customHeight="1" x14ac:dyDescent="0.35">
      <c r="A24" s="3"/>
      <c r="B24" s="57" t="s">
        <v>174</v>
      </c>
      <c r="C24" s="8" t="s">
        <v>8</v>
      </c>
      <c r="D24" s="227">
        <f>IFERROR(INPUT!H9,"–")</f>
        <v>8790.1299999999992</v>
      </c>
      <c r="E24" s="21"/>
      <c r="F24" s="21"/>
      <c r="G24" s="21"/>
      <c r="H24" s="21"/>
      <c r="I24" s="21"/>
      <c r="J24" s="21"/>
      <c r="K24" s="21"/>
      <c r="L24" s="21"/>
    </row>
    <row r="25" spans="1:14" ht="15" customHeight="1" x14ac:dyDescent="0.35">
      <c r="A25" s="3"/>
      <c r="B25" s="57" t="s">
        <v>393</v>
      </c>
      <c r="C25" s="8" t="s">
        <v>8</v>
      </c>
      <c r="D25" s="354">
        <f>IFERROR(IF(INPUT!H94&lt;&gt;"",INPUT!H94,INPUT!H30),"–")</f>
        <v>6144</v>
      </c>
      <c r="E25" s="21"/>
      <c r="F25" s="21"/>
      <c r="G25" s="21"/>
      <c r="H25" s="21"/>
      <c r="I25" s="21"/>
      <c r="J25" s="21"/>
      <c r="K25" s="21"/>
      <c r="L25" s="21"/>
    </row>
    <row r="26" spans="1:14" ht="15" customHeight="1" x14ac:dyDescent="0.35">
      <c r="A26" s="3"/>
      <c r="B26" s="16" t="s">
        <v>394</v>
      </c>
      <c r="C26" s="8" t="s">
        <v>8</v>
      </c>
      <c r="D26" s="227">
        <f>IFERROR(INPUT!H100,"–")</f>
        <v>-1084.8899999999999</v>
      </c>
      <c r="E26" s="21"/>
      <c r="F26" s="21"/>
      <c r="G26" s="21"/>
      <c r="H26" s="21"/>
      <c r="I26" s="21"/>
      <c r="J26" s="21"/>
      <c r="K26" s="21"/>
      <c r="L26" s="21"/>
    </row>
    <row r="27" spans="1:14" ht="15" customHeight="1" x14ac:dyDescent="0.35">
      <c r="A27" s="3"/>
      <c r="B27" s="16" t="s">
        <v>395</v>
      </c>
      <c r="C27" s="8" t="s">
        <v>8</v>
      </c>
      <c r="D27" s="228">
        <f>IFERROR(INPUT!H101,"–")</f>
        <v>-221.88999999999987</v>
      </c>
      <c r="E27" s="21"/>
      <c r="F27" s="21"/>
      <c r="G27" s="21"/>
      <c r="H27" s="21"/>
      <c r="I27" s="21"/>
      <c r="J27" s="21"/>
      <c r="K27" s="21"/>
      <c r="L27" s="21"/>
    </row>
    <row r="28" spans="1:14" ht="15" customHeight="1" x14ac:dyDescent="0.35">
      <c r="A28" s="3"/>
      <c r="B28" s="13" t="s">
        <v>175</v>
      </c>
      <c r="C28" s="8" t="s">
        <v>8</v>
      </c>
      <c r="D28" s="417">
        <f>IFERROR(INPUT!H54+INPUT!H48-INPUT!H34,"–")</f>
        <v>33891.42</v>
      </c>
      <c r="E28" s="21"/>
      <c r="F28" s="21"/>
      <c r="G28" s="21"/>
      <c r="H28" s="21"/>
      <c r="I28" s="21"/>
      <c r="J28" s="21"/>
      <c r="K28" s="21"/>
      <c r="L28" s="21"/>
    </row>
    <row r="29" spans="1:14" ht="15" customHeight="1" x14ac:dyDescent="0.35">
      <c r="A29" s="3"/>
      <c r="B29" s="13"/>
      <c r="C29" s="8"/>
      <c r="D29" s="21"/>
      <c r="E29" s="21"/>
      <c r="F29" s="21"/>
      <c r="G29" s="21"/>
      <c r="H29" s="21"/>
      <c r="I29" s="21"/>
      <c r="J29" s="21"/>
      <c r="K29" s="21"/>
      <c r="L29" s="21"/>
    </row>
    <row r="30" spans="1:14" ht="18" customHeight="1" x14ac:dyDescent="0.5">
      <c r="A30" s="38"/>
      <c r="B30" s="41" t="s">
        <v>176</v>
      </c>
      <c r="C30" s="36" t="s">
        <v>63</v>
      </c>
      <c r="D30" s="528">
        <f>IFERROR(INPUT!H118,"–")</f>
        <v>932.23</v>
      </c>
      <c r="E30" s="38"/>
      <c r="F30" s="38"/>
      <c r="G30" s="38"/>
      <c r="H30" s="22"/>
      <c r="I30" s="22"/>
      <c r="J30" s="22"/>
      <c r="K30" s="22"/>
      <c r="L30" s="22"/>
      <c r="M30" s="72"/>
      <c r="N30" s="72"/>
    </row>
    <row r="31" spans="1:14" ht="15" customHeight="1" x14ac:dyDescent="0.35">
      <c r="A31" s="3"/>
      <c r="B31" s="57" t="s">
        <v>396</v>
      </c>
      <c r="C31" s="8"/>
      <c r="D31" s="229">
        <f>IFERROR(D24*H18,"–")</f>
        <v>138884.054</v>
      </c>
      <c r="E31" s="229">
        <f>IFERROR(D24*H15,"–")</f>
        <v>176330.00779999996</v>
      </c>
      <c r="F31" s="229">
        <f>IFERROR(D24*H16,"–")</f>
        <v>168770.49599999998</v>
      </c>
      <c r="G31" s="229">
        <f>IFERROR(D24*H17,"–")</f>
        <v>229422.39299999998</v>
      </c>
      <c r="H31" s="21"/>
      <c r="I31" s="21"/>
      <c r="J31" s="21"/>
      <c r="K31" s="21"/>
      <c r="L31" s="21"/>
    </row>
    <row r="32" spans="1:14" ht="15" customHeight="1" x14ac:dyDescent="0.35">
      <c r="A32" s="3"/>
      <c r="B32" s="57" t="s">
        <v>397</v>
      </c>
      <c r="C32" s="8"/>
      <c r="D32" s="229">
        <f>IFERROR(D26*18,"–")</f>
        <v>-19528.019999999997</v>
      </c>
      <c r="E32" s="229">
        <f>IFERROR(D23*I15,"–")</f>
        <v>0.284800212</v>
      </c>
      <c r="F32" s="229">
        <f>IFERROR(D23*I16,"–")</f>
        <v>0.27249403</v>
      </c>
      <c r="G32" s="229">
        <f>IFERROR(D23*I17,"–")</f>
        <v>0.42192624000000001</v>
      </c>
      <c r="H32" s="21"/>
      <c r="I32" s="21"/>
      <c r="J32" s="21"/>
      <c r="K32" s="21"/>
      <c r="L32" s="21"/>
    </row>
    <row r="33" spans="1:14" ht="15" customHeight="1" x14ac:dyDescent="0.35">
      <c r="A33" s="3"/>
      <c r="B33" s="16" t="s">
        <v>398</v>
      </c>
      <c r="C33" s="8"/>
      <c r="D33" s="229">
        <f>IFERROR(D27*20,"–")</f>
        <v>-4437.7999999999975</v>
      </c>
      <c r="E33" s="229">
        <f>IFERROR(D25*K15*D27,"–")</f>
        <v>-419893.98527999973</v>
      </c>
      <c r="F33" s="229">
        <f>IFERROR(D25*K16*D27,"–")</f>
        <v>-422620.56959999976</v>
      </c>
      <c r="G33" s="229">
        <f>IFERROR(D25*K17*D27,"–")</f>
        <v>-477152.25599999964</v>
      </c>
      <c r="H33" s="21"/>
      <c r="I33" s="21"/>
      <c r="J33" s="21"/>
      <c r="K33" s="21"/>
      <c r="L33" s="21"/>
    </row>
    <row r="34" spans="1:14" ht="15" customHeight="1" x14ac:dyDescent="0.35">
      <c r="A34" s="3"/>
      <c r="B34" s="16"/>
      <c r="C34" s="8"/>
      <c r="D34" s="48"/>
      <c r="E34" s="21"/>
      <c r="F34" s="21"/>
      <c r="G34" s="48"/>
      <c r="H34" s="21"/>
      <c r="I34" s="21"/>
      <c r="J34" s="21"/>
      <c r="K34" s="21"/>
      <c r="L34" s="21"/>
    </row>
    <row r="35" spans="1:14" ht="15" customHeight="1" x14ac:dyDescent="0.35">
      <c r="A35" s="3"/>
      <c r="B35" s="16" t="s">
        <v>399</v>
      </c>
      <c r="C35" s="8" t="s">
        <v>8</v>
      </c>
      <c r="D35" s="229">
        <f>IFERROR(AVERAGE(D32,D33),"–")</f>
        <v>-11982.909999999996</v>
      </c>
      <c r="E35" s="229">
        <f>IFERROR(AVERAGE(E31,E32),"–")</f>
        <v>88165.146300105975</v>
      </c>
      <c r="F35" s="229">
        <f>IFERROR(AVERAGE(F31,F32),"–")</f>
        <v>84385.384247014998</v>
      </c>
      <c r="G35" s="229">
        <f>IFERROR(AVERAGE(G31,G32),"–")</f>
        <v>114711.40746311999</v>
      </c>
      <c r="H35" s="21"/>
      <c r="I35" s="21"/>
      <c r="J35" s="21"/>
      <c r="K35" s="21"/>
      <c r="L35" s="21"/>
    </row>
    <row r="36" spans="1:14" ht="15" customHeight="1" x14ac:dyDescent="0.35">
      <c r="A36" s="3"/>
      <c r="B36" s="16" t="s">
        <v>374</v>
      </c>
      <c r="C36" s="8" t="s">
        <v>8</v>
      </c>
      <c r="D36" s="229">
        <f>IFERROR(D28,"–")</f>
        <v>33891.42</v>
      </c>
      <c r="E36" s="229">
        <f>D26</f>
        <v>-1084.8899999999999</v>
      </c>
      <c r="F36" s="229">
        <f>D26</f>
        <v>-1084.8899999999999</v>
      </c>
      <c r="G36" s="229">
        <f>D26</f>
        <v>-1084.8899999999999</v>
      </c>
      <c r="H36" s="21"/>
      <c r="I36" s="21"/>
      <c r="J36" s="21"/>
      <c r="K36" s="21"/>
      <c r="L36" s="21"/>
    </row>
    <row r="37" spans="1:14" ht="15" customHeight="1" x14ac:dyDescent="0.35">
      <c r="A37" s="3"/>
      <c r="B37" s="16" t="s">
        <v>177</v>
      </c>
      <c r="C37" s="8" t="s">
        <v>8</v>
      </c>
      <c r="D37" s="229">
        <f>IFERROR(D35,"–")</f>
        <v>-11982.909999999996</v>
      </c>
      <c r="E37" s="229">
        <f>IFERROR(E35-E36,"–")</f>
        <v>89250.036300105974</v>
      </c>
      <c r="F37" s="229">
        <f>IFERROR(F35-F36,"–")</f>
        <v>85470.274247014997</v>
      </c>
      <c r="G37" s="229">
        <f>IFERROR(G35-G36,"–")</f>
        <v>115796.29746311999</v>
      </c>
      <c r="H37" s="21"/>
      <c r="I37" s="21"/>
      <c r="J37" s="21"/>
      <c r="K37" s="21"/>
      <c r="L37" s="21"/>
    </row>
    <row r="38" spans="1:14" ht="15" customHeight="1" thickBot="1" x14ac:dyDescent="0.4">
      <c r="A38" s="3"/>
      <c r="B38" s="46" t="s">
        <v>150</v>
      </c>
      <c r="C38" s="10" t="s">
        <v>61</v>
      </c>
      <c r="D38" s="230">
        <f>IFERROR(D37/D30,"–")</f>
        <v>-12.854027439580356</v>
      </c>
      <c r="E38" s="230">
        <f>IFERROR(E37/D27,"–")</f>
        <v>-402.22649195595125</v>
      </c>
      <c r="F38" s="230">
        <f>IFERROR(F37/D27,"–")</f>
        <v>-385.1920962955295</v>
      </c>
      <c r="G38" s="230">
        <f>IFERROR(G37/D27,"–")</f>
        <v>-521.86352455324732</v>
      </c>
      <c r="H38" s="252"/>
      <c r="I38" s="52"/>
      <c r="J38" s="52"/>
      <c r="K38" s="52"/>
      <c r="L38" s="252"/>
    </row>
    <row r="39" spans="1:14" ht="15" customHeight="1" x14ac:dyDescent="0.35">
      <c r="A39" s="3"/>
      <c r="B39" s="16" t="s">
        <v>178</v>
      </c>
      <c r="C39" s="8" t="s">
        <v>61</v>
      </c>
      <c r="D39" s="220">
        <f>IFERROR(INPUT!H117,"–")</f>
        <v>139.77000000000001</v>
      </c>
      <c r="E39" s="220">
        <f>INPUT!H117</f>
        <v>139.77000000000001</v>
      </c>
      <c r="F39" s="220">
        <f>INPUT!H117</f>
        <v>139.77000000000001</v>
      </c>
      <c r="G39" s="220">
        <f>INPUT!H117</f>
        <v>139.77000000000001</v>
      </c>
      <c r="H39" s="21"/>
      <c r="I39" s="21"/>
      <c r="J39" s="21"/>
      <c r="K39" s="21"/>
      <c r="L39" s="21"/>
    </row>
    <row r="40" spans="1:14" ht="15" customHeight="1" thickBot="1" x14ac:dyDescent="0.4">
      <c r="A40" s="3"/>
      <c r="B40" s="46" t="s">
        <v>179</v>
      </c>
      <c r="C40" s="10" t="s">
        <v>68</v>
      </c>
      <c r="D40" s="231">
        <f>IFERROR((D38-D39)/D39,"–")</f>
        <v>-1.0919655680015765</v>
      </c>
      <c r="E40" s="231">
        <f>IFERROR(E38/D39-1,"–")</f>
        <v>-3.8777741429201633</v>
      </c>
      <c r="F40" s="231">
        <f>IFERROR(F38/D39-1,"–")</f>
        <v>-3.7558996658476747</v>
      </c>
      <c r="G40" s="231">
        <f>IFERROR(G38/D39-1,"–")</f>
        <v>-4.7337305899209223</v>
      </c>
      <c r="H40" s="252"/>
      <c r="I40" s="52"/>
      <c r="J40" s="52"/>
      <c r="K40" s="52"/>
      <c r="L40" s="252"/>
    </row>
    <row r="41" spans="1:14" ht="15" customHeight="1" x14ac:dyDescent="0.35">
      <c r="A41" s="3"/>
      <c r="B41" s="46"/>
      <c r="C41" s="10"/>
      <c r="D41" s="458"/>
      <c r="E41" s="458"/>
      <c r="F41" s="458"/>
      <c r="G41" s="458"/>
      <c r="H41" s="252"/>
      <c r="I41" s="252"/>
      <c r="J41" s="252"/>
      <c r="K41" s="252"/>
      <c r="L41" s="252"/>
    </row>
    <row r="42" spans="1:14" ht="15" customHeight="1" x14ac:dyDescent="0.35">
      <c r="A42" s="3"/>
      <c r="B42" s="16"/>
      <c r="C42" s="8"/>
      <c r="D42" s="50"/>
      <c r="E42" s="32"/>
      <c r="F42" s="32"/>
      <c r="G42" s="50"/>
      <c r="H42" s="21"/>
      <c r="I42" s="21"/>
      <c r="J42" s="21"/>
      <c r="K42" s="21"/>
      <c r="L42" s="21"/>
    </row>
    <row r="43" spans="1:14" ht="15" customHeight="1" x14ac:dyDescent="0.35">
      <c r="A43" s="3"/>
      <c r="B43" s="17"/>
      <c r="C43" s="3"/>
      <c r="D43" s="21"/>
      <c r="E43" s="21"/>
      <c r="F43" s="21"/>
      <c r="G43" s="21"/>
      <c r="H43" s="21"/>
      <c r="I43" s="21"/>
      <c r="J43" s="21"/>
      <c r="K43" s="21"/>
      <c r="L43" s="21"/>
    </row>
    <row r="44" spans="1:14" ht="15" customHeight="1" x14ac:dyDescent="0.35">
      <c r="A44" s="3"/>
      <c r="B44" s="13"/>
      <c r="C44" s="3"/>
      <c r="D44" s="21"/>
      <c r="E44" s="21"/>
      <c r="F44" s="21"/>
      <c r="G44" s="21"/>
      <c r="H44" s="21"/>
      <c r="I44" s="21"/>
      <c r="J44" s="21"/>
      <c r="K44" s="21"/>
      <c r="L44" s="21"/>
    </row>
    <row r="45" spans="1:14" ht="15" customHeight="1" x14ac:dyDescent="0.35">
      <c r="A45" s="30"/>
      <c r="B45" s="29" t="s">
        <v>94</v>
      </c>
      <c r="C45" s="4"/>
      <c r="D45" s="30"/>
      <c r="E45" s="30"/>
      <c r="F45" s="30"/>
      <c r="G45" s="30"/>
      <c r="H45" s="30"/>
      <c r="I45" s="30"/>
      <c r="J45" s="30"/>
      <c r="K45" s="30"/>
      <c r="L45" s="30"/>
      <c r="M45" s="189"/>
      <c r="N45" s="189"/>
    </row>
    <row r="46" spans="1:14" ht="15" customHeight="1" x14ac:dyDescent="0.35">
      <c r="A46" s="30"/>
      <c r="B46" s="29" t="s">
        <v>95</v>
      </c>
      <c r="C46" s="4"/>
      <c r="D46" s="30"/>
      <c r="E46" s="30"/>
      <c r="F46" s="30"/>
      <c r="G46" s="30"/>
      <c r="H46" s="30"/>
      <c r="I46" s="30"/>
      <c r="J46" s="30"/>
      <c r="K46" s="30"/>
      <c r="L46" s="30"/>
      <c r="M46" s="189"/>
      <c r="N46" s="189"/>
    </row>
    <row r="47" spans="1:14" ht="15" customHeight="1" x14ac:dyDescent="0.35">
      <c r="A47" s="30"/>
      <c r="B47" s="29" t="s">
        <v>96</v>
      </c>
      <c r="C47" s="4"/>
      <c r="D47" s="30"/>
      <c r="E47" s="30"/>
      <c r="F47" s="30"/>
      <c r="G47" s="30"/>
      <c r="H47" s="30"/>
      <c r="I47" s="30"/>
      <c r="J47" s="30"/>
      <c r="K47" s="30"/>
      <c r="L47" s="30"/>
      <c r="M47" s="189"/>
      <c r="N47" s="189"/>
    </row>
    <row r="48" spans="1:14" ht="15" customHeight="1" x14ac:dyDescent="0.3">
      <c r="B48" s="39"/>
    </row>
    <row r="49" spans="1:14" ht="15" customHeight="1" x14ac:dyDescent="0.3">
      <c r="A49" s="75"/>
      <c r="B49" s="462" t="s">
        <v>180</v>
      </c>
      <c r="C49" s="463" t="s">
        <v>181</v>
      </c>
      <c r="D49" s="463" t="s">
        <v>182</v>
      </c>
      <c r="E49" s="464" t="s">
        <v>183</v>
      </c>
      <c r="F49" s="190"/>
      <c r="G49" s="190"/>
      <c r="H49" s="190"/>
      <c r="I49" s="190"/>
      <c r="J49" s="190"/>
      <c r="K49" s="190"/>
      <c r="L49" s="190"/>
      <c r="M49" s="190"/>
      <c r="N49" s="190"/>
    </row>
    <row r="50" spans="1:14" ht="15" customHeight="1" x14ac:dyDescent="0.3">
      <c r="B50" s="465" t="str">
        <f>B9</f>
        <v>DRE</v>
      </c>
      <c r="C50" s="466">
        <f t="shared" ref="C50:D54" si="4">IFERROR(H9*1,0)</f>
        <v>19.2</v>
      </c>
      <c r="D50" s="467">
        <f t="shared" si="4"/>
        <v>2.8000000000000001E-2</v>
      </c>
      <c r="E50" s="468">
        <f>IFERROR(K9*1,0)</f>
        <v>0.31</v>
      </c>
    </row>
    <row r="51" spans="1:14" ht="15" customHeight="1" x14ac:dyDescent="0.3">
      <c r="B51" s="465" t="str">
        <f>B10</f>
        <v>EastGroup Properties, Inc.</v>
      </c>
      <c r="C51" s="466">
        <f t="shared" si="4"/>
        <v>26.1</v>
      </c>
      <c r="D51" s="467">
        <f t="shared" si="4"/>
        <v>3.1E-2</v>
      </c>
      <c r="E51" s="468">
        <f>IFERROR(K10*1,0)</f>
        <v>0.27</v>
      </c>
    </row>
    <row r="52" spans="1:14" ht="15" customHeight="1" x14ac:dyDescent="0.3">
      <c r="B52" s="465" t="str">
        <f>B11</f>
        <v>STAG Industrial, Inc.</v>
      </c>
      <c r="C52" s="466">
        <f t="shared" si="4"/>
        <v>15.8</v>
      </c>
      <c r="D52" s="467">
        <f t="shared" si="4"/>
        <v>4.8000000000000001E-2</v>
      </c>
      <c r="E52" s="468">
        <f>IFERROR(K11*1,0)</f>
        <v>0.35</v>
      </c>
    </row>
    <row r="53" spans="1:14" ht="15" customHeight="1" x14ac:dyDescent="0.3">
      <c r="B53" s="465" t="str">
        <f>B12</f>
        <v>First Industrial Realty Trust, Inc.</v>
      </c>
      <c r="C53" s="466">
        <f t="shared" si="4"/>
        <v>18.899999999999999</v>
      </c>
      <c r="D53" s="467">
        <f t="shared" si="4"/>
        <v>2.1999999999999999E-2</v>
      </c>
      <c r="E53" s="468">
        <f>IFERROR(K12*1,0)</f>
        <v>0.28999999999999998</v>
      </c>
    </row>
    <row r="54" spans="1:14" ht="15" customHeight="1" x14ac:dyDescent="0.3">
      <c r="B54" s="465" t="str">
        <f>B13</f>
        <v>Rexford Industrial Realty, Inc.</v>
      </c>
      <c r="C54" s="466">
        <f t="shared" si="4"/>
        <v>20.3</v>
      </c>
      <c r="D54" s="467">
        <f t="shared" si="4"/>
        <v>3.3000000000000002E-2</v>
      </c>
      <c r="E54" s="468">
        <f>IFERROR(K13*1,0)</f>
        <v>0.32</v>
      </c>
    </row>
    <row r="55" spans="1:14" ht="15" customHeight="1" x14ac:dyDescent="0.3">
      <c r="B55" s="465" t="str">
        <f>B15</f>
        <v>Mean</v>
      </c>
      <c r="C55" s="466">
        <f>IFERROR(H15*1,0)</f>
        <v>20.059999999999999</v>
      </c>
      <c r="D55" s="467">
        <f>IFERROR(I15*1,0)</f>
        <v>3.2399999999999998E-2</v>
      </c>
      <c r="E55" s="468">
        <f>IFERROR(K15*1,0)</f>
        <v>0.308</v>
      </c>
    </row>
    <row r="56" spans="1:14" ht="15" customHeight="1" x14ac:dyDescent="0.3">
      <c r="B56" s="469" t="s">
        <v>184</v>
      </c>
      <c r="C56" s="172"/>
      <c r="D56" s="248"/>
      <c r="E56" s="248"/>
      <c r="H56" s="248" t="s">
        <v>185</v>
      </c>
      <c r="I56" s="248" t="s">
        <v>186</v>
      </c>
      <c r="J56" s="248" t="s">
        <v>187</v>
      </c>
      <c r="K56" s="248" t="s">
        <v>188</v>
      </c>
    </row>
    <row r="57" spans="1:14" ht="15" customHeight="1" x14ac:dyDescent="0.3">
      <c r="B57" s="469" t="s">
        <v>185</v>
      </c>
      <c r="C57" s="470" t="s">
        <v>186</v>
      </c>
      <c r="D57" s="464" t="s">
        <v>189</v>
      </c>
      <c r="E57" s="464" t="s">
        <v>187</v>
      </c>
      <c r="H57" s="248" t="s">
        <v>190</v>
      </c>
      <c r="I57" s="248">
        <f>IFERROR(D38,0)</f>
        <v>-12.854027439580356</v>
      </c>
      <c r="J57" s="248">
        <f>IFERROR(G38,0)</f>
        <v>-521.86352455324732</v>
      </c>
      <c r="K57" s="461">
        <f>INPUT!H117</f>
        <v>139.77000000000001</v>
      </c>
    </row>
    <row r="58" spans="1:14" ht="15" customHeight="1" x14ac:dyDescent="0.3">
      <c r="B58" s="249" t="str">
        <f>B31</f>
        <v>IMPLIED VALUATION — REIT (P/FFO Multiple Method)</v>
      </c>
      <c r="C58" s="471">
        <f>IFERROR(D38,"–")</f>
        <v>-12.854027439580356</v>
      </c>
      <c r="D58" s="468">
        <f>IFERROR(F38,"–")</f>
        <v>-385.1920962955295</v>
      </c>
      <c r="E58" s="468">
        <f>IFERROR(G38,"–")</f>
        <v>-521.86352455324732</v>
      </c>
      <c r="H58" s="248" t="s">
        <v>191</v>
      </c>
      <c r="I58" s="248">
        <f>IFERROR(D38,0)</f>
        <v>-12.854027439580356</v>
      </c>
      <c r="J58" s="248">
        <f>IFERROR(G38,0)</f>
        <v>-521.86352455324732</v>
      </c>
      <c r="K58" s="461">
        <f>INPUT!H117</f>
        <v>139.77000000000001</v>
      </c>
    </row>
    <row r="59" spans="1:14" ht="15" customHeight="1" x14ac:dyDescent="0.3">
      <c r="B59" s="249" t="str">
        <f>B32</f>
        <v>P/FFO Median — Implied Market Cap ($M)</v>
      </c>
      <c r="C59" s="471">
        <f>IFERROR(D38,"–")</f>
        <v>-12.854027439580356</v>
      </c>
      <c r="D59" s="468">
        <f>IFERROR(F38,"–")</f>
        <v>-385.1920962955295</v>
      </c>
      <c r="E59" s="468">
        <f>IFERROR(G38,"–")</f>
        <v>-521.86352455324732</v>
      </c>
      <c r="H59" s="248" t="s">
        <v>192</v>
      </c>
      <c r="I59" s="248">
        <f>IFERROR(D38,0)</f>
        <v>-12.854027439580356</v>
      </c>
      <c r="J59" s="248">
        <f>IFERROR(G38,0)</f>
        <v>-521.86352455324732</v>
      </c>
      <c r="K59" s="461">
        <f>INPUT!H117</f>
        <v>139.77000000000001</v>
      </c>
    </row>
    <row r="60" spans="1:14" ht="15" customHeight="1" x14ac:dyDescent="0.3">
      <c r="B60" s="39"/>
    </row>
    <row r="61" spans="1:14" ht="15" customHeight="1" x14ac:dyDescent="0.3">
      <c r="B61" s="39"/>
    </row>
    <row r="62" spans="1:14" ht="15" customHeight="1" x14ac:dyDescent="0.3">
      <c r="B62" s="39"/>
    </row>
    <row r="63" spans="1:14" ht="15" customHeight="1" x14ac:dyDescent="0.3">
      <c r="B63" s="39"/>
    </row>
    <row r="64" spans="1:14" ht="15" customHeight="1" x14ac:dyDescent="0.3">
      <c r="B64" s="39"/>
    </row>
    <row r="65" spans="2:2" ht="15" customHeight="1" x14ac:dyDescent="0.3">
      <c r="B65" s="39"/>
    </row>
    <row r="66" spans="2:2" ht="15" customHeight="1" x14ac:dyDescent="0.3">
      <c r="B66" s="39"/>
    </row>
    <row r="67" spans="2:2" ht="15" customHeight="1" x14ac:dyDescent="0.3">
      <c r="B67" s="39"/>
    </row>
    <row r="68" spans="2:2" ht="15" customHeight="1" x14ac:dyDescent="0.3">
      <c r="B68" s="39"/>
    </row>
    <row r="69" spans="2:2" ht="15" customHeight="1" x14ac:dyDescent="0.3">
      <c r="B69" s="39"/>
    </row>
    <row r="70" spans="2:2" ht="15" customHeight="1" x14ac:dyDescent="0.3">
      <c r="B70" s="39"/>
    </row>
    <row r="71" spans="2:2" ht="15" customHeight="1" x14ac:dyDescent="0.3">
      <c r="B71" s="39"/>
    </row>
    <row r="72" spans="2:2" ht="15" customHeight="1" x14ac:dyDescent="0.3">
      <c r="B72" s="39"/>
    </row>
    <row r="73" spans="2:2" ht="15" customHeight="1" x14ac:dyDescent="0.3">
      <c r="B73" s="39"/>
    </row>
    <row r="74" spans="2:2" ht="15" customHeight="1" x14ac:dyDescent="0.3">
      <c r="B74" s="39"/>
    </row>
    <row r="75" spans="2:2" ht="15" customHeight="1" x14ac:dyDescent="0.3">
      <c r="B75" s="39"/>
    </row>
    <row r="76" spans="2:2" ht="15" customHeight="1" x14ac:dyDescent="0.3">
      <c r="B76" s="39"/>
    </row>
    <row r="77" spans="2:2" ht="15" customHeight="1" x14ac:dyDescent="0.3">
      <c r="B77" s="39"/>
    </row>
    <row r="78" spans="2:2" ht="15" customHeight="1" x14ac:dyDescent="0.3">
      <c r="B78" s="39"/>
    </row>
    <row r="79" spans="2:2" ht="15" customHeight="1" x14ac:dyDescent="0.3">
      <c r="B79" s="39"/>
    </row>
    <row r="80" spans="2:2" ht="15" customHeight="1" x14ac:dyDescent="0.3">
      <c r="B80" s="39"/>
    </row>
    <row r="81" spans="2:2" ht="15" customHeight="1" x14ac:dyDescent="0.3">
      <c r="B81" s="39"/>
    </row>
    <row r="82" spans="2:2" ht="15" customHeight="1" x14ac:dyDescent="0.3">
      <c r="B82" s="39"/>
    </row>
    <row r="83" spans="2:2" ht="15" customHeight="1" x14ac:dyDescent="0.3">
      <c r="B83" s="39"/>
    </row>
    <row r="84" spans="2:2" ht="15" customHeight="1" x14ac:dyDescent="0.3">
      <c r="B84" s="39"/>
    </row>
    <row r="85" spans="2:2" ht="15" customHeight="1" x14ac:dyDescent="0.3">
      <c r="B85" s="39"/>
    </row>
    <row r="86" spans="2:2" ht="15" customHeight="1" x14ac:dyDescent="0.3">
      <c r="B86" s="39"/>
    </row>
    <row r="87" spans="2:2" ht="15" customHeight="1" x14ac:dyDescent="0.3">
      <c r="B87" s="39"/>
    </row>
    <row r="88" spans="2:2" ht="15" customHeight="1" x14ac:dyDescent="0.3">
      <c r="B88" s="39"/>
    </row>
    <row r="89" spans="2:2" ht="15" customHeight="1" x14ac:dyDescent="0.3">
      <c r="B89" s="39"/>
    </row>
    <row r="90" spans="2:2" ht="15" customHeight="1" x14ac:dyDescent="0.3">
      <c r="B90" s="39"/>
    </row>
    <row r="91" spans="2:2" ht="15" customHeight="1" x14ac:dyDescent="0.3">
      <c r="B91" s="39"/>
    </row>
    <row r="92" spans="2:2" ht="15" customHeight="1" x14ac:dyDescent="0.3">
      <c r="B92" s="39"/>
    </row>
    <row r="93" spans="2:2" ht="15" customHeight="1" x14ac:dyDescent="0.3">
      <c r="B93" s="39"/>
    </row>
    <row r="94" spans="2:2" ht="15" customHeight="1" x14ac:dyDescent="0.3">
      <c r="B94" s="39"/>
    </row>
    <row r="95" spans="2:2" ht="15" customHeight="1" x14ac:dyDescent="0.3">
      <c r="B95" s="39"/>
    </row>
    <row r="96" spans="2:2" ht="15" customHeight="1" x14ac:dyDescent="0.3">
      <c r="B96" s="39"/>
    </row>
    <row r="97" spans="2:2" ht="15" customHeight="1" x14ac:dyDescent="0.3">
      <c r="B97" s="39"/>
    </row>
    <row r="98" spans="2:2" ht="15" customHeight="1" x14ac:dyDescent="0.3">
      <c r="B98" s="39"/>
    </row>
    <row r="99" spans="2:2" ht="15" customHeight="1" x14ac:dyDescent="0.3">
      <c r="B99" s="39"/>
    </row>
    <row r="100" spans="2:2" ht="15" customHeight="1" x14ac:dyDescent="0.3">
      <c r="B100" s="39"/>
    </row>
    <row r="101" spans="2:2" ht="15" customHeight="1" x14ac:dyDescent="0.3">
      <c r="B101" s="39"/>
    </row>
    <row r="102" spans="2:2" ht="15" customHeight="1" x14ac:dyDescent="0.3">
      <c r="B102" s="39"/>
    </row>
    <row r="103" spans="2:2" ht="15" customHeight="1" x14ac:dyDescent="0.3">
      <c r="B103" s="39"/>
    </row>
    <row r="104" spans="2:2" ht="15" customHeight="1" x14ac:dyDescent="0.3">
      <c r="B104" s="39"/>
    </row>
    <row r="105" spans="2:2" ht="15" customHeight="1" x14ac:dyDescent="0.3">
      <c r="B105" s="39"/>
    </row>
    <row r="106" spans="2:2" ht="15" customHeight="1" x14ac:dyDescent="0.3">
      <c r="B106" s="39"/>
    </row>
    <row r="107" spans="2:2" ht="15" customHeight="1" x14ac:dyDescent="0.3">
      <c r="B107" s="39"/>
    </row>
    <row r="108" spans="2:2" ht="15" customHeight="1" x14ac:dyDescent="0.3">
      <c r="B108" s="39"/>
    </row>
    <row r="109" spans="2:2" ht="15" customHeight="1" x14ac:dyDescent="0.3">
      <c r="B109" s="39"/>
    </row>
    <row r="110" spans="2:2" ht="15" customHeight="1" x14ac:dyDescent="0.3">
      <c r="B110" s="39"/>
    </row>
    <row r="111" spans="2:2" ht="15" customHeight="1" x14ac:dyDescent="0.3">
      <c r="B111" s="39"/>
    </row>
    <row r="112" spans="2:2" ht="15" customHeight="1" x14ac:dyDescent="0.3">
      <c r="B112" s="39"/>
    </row>
    <row r="113" spans="2:2" ht="15" customHeight="1" x14ac:dyDescent="0.3">
      <c r="B113" s="39"/>
    </row>
    <row r="114" spans="2:2" ht="15" customHeight="1" x14ac:dyDescent="0.3">
      <c r="B114" s="39"/>
    </row>
    <row r="115" spans="2:2" ht="15" customHeight="1" x14ac:dyDescent="0.3">
      <c r="B115" s="39"/>
    </row>
    <row r="116" spans="2:2" ht="15" customHeight="1" x14ac:dyDescent="0.3">
      <c r="B116" s="39"/>
    </row>
    <row r="117" spans="2:2" ht="15" customHeight="1" x14ac:dyDescent="0.3">
      <c r="B117" s="39"/>
    </row>
    <row r="118" spans="2:2" ht="15" customHeight="1" x14ac:dyDescent="0.3">
      <c r="B118" s="39"/>
    </row>
    <row r="119" spans="2:2" ht="15" customHeight="1" x14ac:dyDescent="0.3">
      <c r="B119" s="39"/>
    </row>
    <row r="120" spans="2:2" ht="15" customHeight="1" x14ac:dyDescent="0.3">
      <c r="B120" s="39"/>
    </row>
    <row r="121" spans="2:2" ht="15" customHeight="1" x14ac:dyDescent="0.3">
      <c r="B121" s="39"/>
    </row>
    <row r="122" spans="2:2" ht="15" customHeight="1" x14ac:dyDescent="0.3">
      <c r="B122" s="39"/>
    </row>
    <row r="123" spans="2:2" ht="15" customHeight="1" x14ac:dyDescent="0.3">
      <c r="B123" s="39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2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30"/>
  <sheetViews>
    <sheetView showGridLines="0" zoomScale="78" zoomScaleNormal="85" workbookViewId="0">
      <selection activeCell="D61" sqref="D61"/>
    </sheetView>
  </sheetViews>
  <sheetFormatPr baseColWidth="10" defaultRowHeight="14.4" x14ac:dyDescent="0.3"/>
  <cols>
    <col min="1" max="1" width="1.77734375" style="323" customWidth="1"/>
    <col min="2" max="2" width="51" style="18" bestFit="1" customWidth="1"/>
    <col min="3" max="3" width="15.6640625" customWidth="1"/>
    <col min="4" max="5" width="13.33203125" style="20" customWidth="1"/>
    <col min="6" max="6" width="13.88671875" style="20" bestFit="1" customWidth="1"/>
    <col min="7" max="7" width="14.44140625" style="20" bestFit="1" customWidth="1"/>
    <col min="8" max="9" width="13.33203125" style="20" customWidth="1"/>
    <col min="10" max="13" width="11" style="20" customWidth="1"/>
    <col min="14" max="14" width="11.44140625" style="74" customWidth="1"/>
  </cols>
  <sheetData>
    <row r="1" spans="1:14" ht="54.9" customHeight="1" x14ac:dyDescent="0.6">
      <c r="A1" s="81"/>
      <c r="B1" s="81" t="s">
        <v>97</v>
      </c>
      <c r="C1" s="5"/>
      <c r="D1" s="27"/>
      <c r="E1" s="27"/>
      <c r="F1" s="27"/>
      <c r="G1" s="27"/>
      <c r="H1" s="80" t="s">
        <v>193</v>
      </c>
      <c r="I1" s="27"/>
      <c r="J1" s="27"/>
      <c r="K1" s="27"/>
      <c r="L1" s="27"/>
      <c r="M1" s="27"/>
      <c r="N1" s="73"/>
    </row>
    <row r="2" spans="1:14" ht="15" customHeight="1" x14ac:dyDescent="0.35">
      <c r="A2" s="320"/>
      <c r="B2" s="13"/>
      <c r="C2" s="3"/>
      <c r="D2" s="21"/>
      <c r="E2" s="21"/>
      <c r="F2" s="21"/>
      <c r="G2" s="21"/>
      <c r="H2" s="21"/>
      <c r="I2" s="21"/>
      <c r="K2" s="21"/>
      <c r="L2" s="21"/>
      <c r="M2" s="21"/>
    </row>
    <row r="3" spans="1:14" ht="18" customHeight="1" x14ac:dyDescent="0.5">
      <c r="A3" s="283" t="s">
        <v>5</v>
      </c>
      <c r="B3" s="14" t="s">
        <v>194</v>
      </c>
      <c r="C3" s="7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4" ht="15" customHeight="1" x14ac:dyDescent="0.35">
      <c r="A4" s="320"/>
      <c r="B4" s="11" t="s">
        <v>195</v>
      </c>
      <c r="C4" s="3"/>
      <c r="D4" s="21"/>
      <c r="E4" s="21"/>
      <c r="F4" s="21"/>
      <c r="G4" s="21"/>
      <c r="H4" s="21"/>
      <c r="I4" s="21"/>
      <c r="K4" s="21"/>
      <c r="L4" s="21"/>
      <c r="M4" s="21"/>
    </row>
    <row r="5" spans="1:14" ht="15" customHeight="1" x14ac:dyDescent="0.35">
      <c r="A5" s="321" t="s">
        <v>5</v>
      </c>
      <c r="B5" s="15" t="s">
        <v>2</v>
      </c>
      <c r="C5" s="15"/>
      <c r="D5" s="525"/>
      <c r="E5" s="529"/>
      <c r="F5" s="529"/>
      <c r="G5" s="529"/>
      <c r="H5" s="529"/>
      <c r="I5" s="529"/>
      <c r="J5" s="529"/>
      <c r="K5" s="529"/>
      <c r="L5" s="529"/>
      <c r="M5" s="529"/>
    </row>
    <row r="6" spans="1:14" ht="15" customHeight="1" x14ac:dyDescent="0.35">
      <c r="A6" s="320"/>
      <c r="B6" s="15" t="s">
        <v>196</v>
      </c>
      <c r="C6" s="63"/>
      <c r="D6" s="400" t="s">
        <v>148</v>
      </c>
      <c r="E6" s="65"/>
      <c r="F6" s="64"/>
      <c r="G6" s="65"/>
      <c r="H6" s="64"/>
      <c r="I6" s="64"/>
      <c r="J6" s="64"/>
      <c r="K6" s="64"/>
      <c r="L6" s="64"/>
      <c r="M6" s="64"/>
    </row>
    <row r="7" spans="1:14" ht="18" customHeight="1" x14ac:dyDescent="0.35">
      <c r="A7" s="321"/>
      <c r="B7" s="15" t="s">
        <v>197</v>
      </c>
      <c r="C7" s="15" t="s">
        <v>147</v>
      </c>
      <c r="D7" s="15" t="s">
        <v>148</v>
      </c>
      <c r="E7" s="62" t="s">
        <v>149</v>
      </c>
      <c r="F7" s="23"/>
      <c r="G7" s="23"/>
      <c r="H7" s="23"/>
      <c r="I7" s="23"/>
      <c r="J7" s="23"/>
      <c r="K7" s="23"/>
      <c r="L7" s="23"/>
      <c r="M7" s="23"/>
      <c r="N7"/>
    </row>
    <row r="8" spans="1:14" ht="15" customHeight="1" x14ac:dyDescent="0.35">
      <c r="A8" s="320"/>
      <c r="B8" s="57" t="s">
        <v>198</v>
      </c>
      <c r="C8" s="216">
        <v>0.04</v>
      </c>
      <c r="D8" s="216">
        <v>0.04</v>
      </c>
      <c r="E8" s="216">
        <v>0.09</v>
      </c>
      <c r="F8" s="185"/>
      <c r="G8" s="184"/>
      <c r="H8" s="186"/>
      <c r="I8" s="187"/>
      <c r="J8" s="187"/>
      <c r="K8" s="187"/>
      <c r="L8" s="187"/>
      <c r="M8" s="74"/>
      <c r="N8"/>
    </row>
    <row r="9" spans="1:14" ht="15" customHeight="1" x14ac:dyDescent="0.35">
      <c r="A9" s="320"/>
      <c r="B9" s="57" t="s">
        <v>400</v>
      </c>
      <c r="C9" s="216">
        <v>6.5000000000000002E-2</v>
      </c>
      <c r="D9" s="216">
        <v>5.5E-2</v>
      </c>
      <c r="E9" s="216">
        <v>0.05</v>
      </c>
      <c r="F9" s="184"/>
      <c r="G9" s="184"/>
      <c r="H9" s="186"/>
      <c r="I9" s="187"/>
      <c r="J9" s="187"/>
      <c r="K9" s="187"/>
      <c r="L9" s="187"/>
      <c r="M9" s="74"/>
      <c r="N9"/>
    </row>
    <row r="10" spans="1:14" ht="15" customHeight="1" x14ac:dyDescent="0.35">
      <c r="A10" s="320"/>
      <c r="B10" s="57" t="s">
        <v>401</v>
      </c>
      <c r="C10" s="216">
        <v>0.57999999999999996</v>
      </c>
      <c r="D10" s="216">
        <v>0.62</v>
      </c>
      <c r="E10" s="216">
        <v>0.66</v>
      </c>
      <c r="F10" s="184"/>
      <c r="G10" s="184"/>
      <c r="H10" s="186"/>
      <c r="I10" s="187"/>
      <c r="J10" s="187"/>
      <c r="K10" s="187"/>
      <c r="L10" s="187"/>
      <c r="M10" s="74"/>
      <c r="N10"/>
    </row>
    <row r="11" spans="1:14" ht="15" customHeight="1" x14ac:dyDescent="0.35">
      <c r="A11" s="320"/>
      <c r="B11" s="57" t="s">
        <v>322</v>
      </c>
      <c r="C11" s="216">
        <v>0.93</v>
      </c>
      <c r="D11" s="216">
        <v>0.95</v>
      </c>
      <c r="E11" s="216">
        <v>0.97</v>
      </c>
      <c r="F11" s="184"/>
      <c r="G11" s="184"/>
      <c r="H11" s="186"/>
      <c r="I11" s="187"/>
      <c r="J11" s="187"/>
      <c r="K11" s="187"/>
      <c r="L11" s="187"/>
      <c r="M11" s="74"/>
      <c r="N11"/>
    </row>
    <row r="12" spans="1:14" ht="15" customHeight="1" x14ac:dyDescent="0.35">
      <c r="A12" s="320"/>
      <c r="B12" s="57" t="s">
        <v>402</v>
      </c>
      <c r="C12" s="216" cm="1">
        <f t="array" ref="C12">IFERROR(INDEX(SECTOR_REF!$C$2:$E$71,MATCH(1,(SECTOR_REF!$A$2:$A$71=INPUT!$D$138)*(SECTOR_REF!$B$2:$B$71="WACC"),0),MATCH("Pessimiste",{"Pessimiste","Realiste","Optimiste"},0)),NAV!$D$56+0.015)</f>
        <v>0.109922623017</v>
      </c>
      <c r="D12" s="216" cm="1">
        <f t="array" ref="D12">IFERROR(INDEX(SECTOR_REF!$C$2:$E$71,MATCH(1,(SECTOR_REF!$A$2:$A$71=INPUT!$D$138)*(SECTOR_REF!$B$2:$B$71="WACC"),0),MATCH("Realiste",{"Pessimiste","Realiste","Optimiste"},0)),NAV!$D$56)</f>
        <v>9.4922623016999996E-2</v>
      </c>
      <c r="E12" s="216">
        <f t="array" ref="E12">IFERROR(INDEX(SECTOR_REF!$C$2:$E$71,MATCH(1,(SECTOR_REF!$A$2:$A$71=INPUT!$D$138)*(SECTOR_REF!$B$2:$B$71="WACC"),0),MATCH("Optimiste",{"Pessimiste","Realiste","Optimiste"},0)),NAV!D56-0.015)</f>
        <v>7.9922623016999997E-2</v>
      </c>
      <c r="F12" s="184"/>
      <c r="G12" s="184"/>
      <c r="H12" s="186"/>
      <c r="I12" s="187"/>
      <c r="J12" s="187"/>
      <c r="K12" s="187"/>
      <c r="L12" s="187"/>
      <c r="M12" s="74"/>
      <c r="N12"/>
    </row>
    <row r="13" spans="1:14" ht="15" customHeight="1" x14ac:dyDescent="0.35">
      <c r="A13" s="320"/>
      <c r="B13" s="170" t="s">
        <v>199</v>
      </c>
      <c r="C13" s="63"/>
      <c r="D13" s="64" t="str">
        <f>IF(INPUT!$D$138="","— Aucun secteur sélectionné (INPUT!D116) —",INPUT!$D$138)</f>
        <v>Real Estate</v>
      </c>
      <c r="E13" s="64"/>
      <c r="F13" s="64"/>
      <c r="G13" s="64"/>
      <c r="H13" s="64"/>
      <c r="I13" s="64"/>
      <c r="J13" s="64"/>
      <c r="K13" s="64"/>
      <c r="L13" s="64"/>
      <c r="M13" s="64"/>
    </row>
    <row r="14" spans="1:14" ht="21" x14ac:dyDescent="0.5">
      <c r="A14" s="283" t="s">
        <v>5</v>
      </c>
      <c r="B14" s="176" t="s">
        <v>200</v>
      </c>
      <c r="C14" s="7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4" ht="18" customHeight="1" x14ac:dyDescent="0.35">
      <c r="A15" s="320"/>
      <c r="B15" s="67" t="s">
        <v>2</v>
      </c>
      <c r="C15" s="174"/>
      <c r="D15" s="530" t="str">
        <f>TEXT(INPUT!D139-3,"0")</f>
        <v>2022</v>
      </c>
      <c r="E15" s="530" t="str">
        <f>TEXT(INPUT!D139-2,"0")</f>
        <v>2023</v>
      </c>
      <c r="F15" s="530" t="str">
        <f>TEXT(INPUT!D139-1,"0")</f>
        <v>2024</v>
      </c>
      <c r="G15" s="529" t="str">
        <f>INPUT!D139&amp;" (LTM)"</f>
        <v>2025 (LTM)</v>
      </c>
      <c r="H15" s="531" t="str">
        <f>TEXT(INPUT!D139+1,"0")&amp;"F"</f>
        <v>2026F</v>
      </c>
      <c r="I15" s="531" t="str">
        <f>TEXT(INPUT!D139+2,"0")&amp;"F"</f>
        <v>2027F</v>
      </c>
      <c r="J15" s="531" t="str">
        <f>TEXT(INPUT!D139+3,"0")&amp;"F"</f>
        <v>2028F</v>
      </c>
      <c r="K15" s="531" t="str">
        <f>TEXT(INPUT!D139+4,"0")&amp;"F"</f>
        <v>2029F</v>
      </c>
      <c r="L15" s="531" t="str">
        <f>TEXT(INPUT!D139+5,"0")&amp;"F"</f>
        <v>2030F</v>
      </c>
      <c r="M15" s="74"/>
    </row>
    <row r="16" spans="1:14" ht="15" customHeight="1" x14ac:dyDescent="0.35">
      <c r="A16" s="320"/>
      <c r="B16" s="57" t="s">
        <v>7</v>
      </c>
      <c r="C16" s="289"/>
      <c r="D16" s="194">
        <f>INPUT!E9</f>
        <v>5973.69</v>
      </c>
      <c r="E16" s="194">
        <f>INPUT!F9</f>
        <v>8023.47</v>
      </c>
      <c r="F16" s="194">
        <f>INPUT!G9</f>
        <v>8201.61</v>
      </c>
      <c r="G16" s="194">
        <f>INPUT!H9</f>
        <v>8790.1299999999992</v>
      </c>
      <c r="H16" s="280">
        <f>INPUT!H9*(1+IF($D$6="Pessimistic",$D$8,IF($D$6="Realistic",$D$8,$E$8)))</f>
        <v>9141.7351999999992</v>
      </c>
      <c r="I16" s="280">
        <f>H16*(1+IF($D$6="Pessimistic",$D$8,IF($D$6="Realistic",$D$8,$E$8)))</f>
        <v>9507.4046079999989</v>
      </c>
      <c r="J16" s="280">
        <f>I16*(1+IF($D$6="Pessimistic",$D$8,IF($D$6="Realistic",$D$8,$E$8)))</f>
        <v>9887.7007923199999</v>
      </c>
      <c r="K16" s="280">
        <f>J16*(1+IF($D$6="Pessimistic",$D$8,IF($D$6="Realistic",$D$8,$E$8)))</f>
        <v>10283.2088240128</v>
      </c>
      <c r="L16" s="280">
        <f>K16*(1+IF($D$6="Pessimistic",$D$8,IF($D$6="Realistic",$D$8,$E$8)))</f>
        <v>10694.537176973312</v>
      </c>
      <c r="M16" s="74"/>
    </row>
    <row r="17" spans="1:13" ht="15" customHeight="1" x14ac:dyDescent="0.35">
      <c r="A17" s="320"/>
      <c r="B17" s="53" t="s">
        <v>403</v>
      </c>
      <c r="C17" s="289"/>
      <c r="D17" s="194">
        <f>INPUT!E11</f>
        <v>4464.5999999999995</v>
      </c>
      <c r="E17" s="194">
        <f>INPUT!F11</f>
        <v>6013.13</v>
      </c>
      <c r="F17" s="194">
        <f>INPUT!G11</f>
        <v>6144.3700000000008</v>
      </c>
      <c r="G17" s="194">
        <f>INPUT!H11</f>
        <v>6555.48</v>
      </c>
      <c r="H17" s="281">
        <f>H16*IF($D$6="Pessimistic",$D$9,IF($D$6="Realistic",$D$9,$E$9))</f>
        <v>502.79543599999994</v>
      </c>
      <c r="I17" s="280">
        <f>I16*IF($D$6="Pessimistic",$D$9,IF($D$6="Realistic",$D$9,$E$9))</f>
        <v>522.90725343999998</v>
      </c>
      <c r="J17" s="280">
        <f>J16*IF($D$6="Pessimistic",$D$9,IF($D$6="Realistic",$D$9,$E$9))</f>
        <v>543.82354357760005</v>
      </c>
      <c r="K17" s="280">
        <f>K16*IF($D$6="Pessimistic",$D$9,IF($D$6="Realistic",$D$9,$E$9))</f>
        <v>565.57648532070402</v>
      </c>
      <c r="L17" s="280">
        <f>L16*IF($D$6="Pessimistic",$D$9,IF($D$6="Realistic",$D$9,$E$9))</f>
        <v>588.19954473353221</v>
      </c>
      <c r="M17" s="74"/>
    </row>
    <row r="18" spans="1:13" ht="15" customHeight="1" x14ac:dyDescent="0.35">
      <c r="A18" s="320"/>
      <c r="B18" s="53" t="s">
        <v>21</v>
      </c>
      <c r="C18" s="289"/>
      <c r="D18" s="194">
        <f>INPUT!E30</f>
        <v>1058.5199999999998</v>
      </c>
      <c r="E18" s="194">
        <f>INPUT!F30</f>
        <v>1653.7200000000007</v>
      </c>
      <c r="F18" s="194">
        <f>INPUT!G30</f>
        <v>1185.6100000000001</v>
      </c>
      <c r="G18" s="194">
        <f>INPUT!H30</f>
        <v>-324.62999999999965</v>
      </c>
      <c r="H18" s="281">
        <f>H16*IF($D$6="Pessimistic",$D$10,IF($D$6="Realistic",$D$10,$E$10))</f>
        <v>5667.8758239999997</v>
      </c>
      <c r="I18" s="280">
        <f>I16*IF($D$6="Pessimistic",$D$10,IF($D$6="Realistic",$D$10,$E$10))</f>
        <v>5894.5908569599997</v>
      </c>
      <c r="J18" s="280">
        <f>J16*IF($D$6="Pessimistic",$D$10,IF($D$6="Realistic",$D$10,$E$10))</f>
        <v>6130.3744912384</v>
      </c>
      <c r="K18" s="280">
        <f>K16*IF($D$6="Pessimistic",$D$10,IF($D$6="Realistic",$D$10,$E$10))</f>
        <v>6375.5894708879359</v>
      </c>
      <c r="L18" s="280">
        <f>L16*IF($D$6="Pessimistic",$D$10,IF($D$6="Realistic",$D$10,$E$10))</f>
        <v>6630.6130497234535</v>
      </c>
      <c r="M18" s="74"/>
    </row>
    <row r="19" spans="1:13" ht="15" customHeight="1" x14ac:dyDescent="0.35">
      <c r="A19" s="320"/>
      <c r="B19" s="57" t="s">
        <v>362</v>
      </c>
      <c r="C19" s="289"/>
      <c r="D19" s="194">
        <f>INPUT!E26</f>
        <v>-994.16000000000031</v>
      </c>
      <c r="E19" s="194">
        <f>INPUT!F26</f>
        <v>-1355.8899999999992</v>
      </c>
      <c r="F19" s="194">
        <f>INPUT!G26</f>
        <v>-2120.21</v>
      </c>
      <c r="G19" s="194">
        <f>INPUT!H26</f>
        <v>-3710.92</v>
      </c>
      <c r="H19" s="280">
        <f>H18*0.6</f>
        <v>3400.7254943999997</v>
      </c>
      <c r="I19" s="280">
        <f>I18*0.6</f>
        <v>3536.7545141759997</v>
      </c>
      <c r="J19" s="280">
        <f>J18*0.6</f>
        <v>3678.2246947430399</v>
      </c>
      <c r="K19" s="280">
        <f>K18*0.6</f>
        <v>3825.3536825327615</v>
      </c>
      <c r="L19" s="280">
        <f>L18*0.6</f>
        <v>3978.3678298340719</v>
      </c>
      <c r="M19" s="74"/>
    </row>
    <row r="20" spans="1:13" ht="15" customHeight="1" x14ac:dyDescent="0.35">
      <c r="A20" s="320"/>
      <c r="B20" s="53" t="s">
        <v>404</v>
      </c>
      <c r="C20" s="289"/>
      <c r="D20" s="279">
        <f>IFERROR(INPUT!E75+INPUT!E78,"–")</f>
        <v>-18875.27</v>
      </c>
      <c r="E20" s="279">
        <f>IFERROR(INPUT!F75+INPUT!F78,"–")</f>
        <v>-13799.739999999998</v>
      </c>
      <c r="F20" s="279">
        <f>IFERROR(INPUT!G75+INPUT!G78,"–")</f>
        <v>-15002.33</v>
      </c>
      <c r="G20" s="279">
        <f>IFERROR(INPUT!H75+INPUT!H78,"–")</f>
        <v>-15568.45</v>
      </c>
      <c r="H20" s="282">
        <f>H18*0.5</f>
        <v>2833.9379119999999</v>
      </c>
      <c r="I20" s="282">
        <f>I18*0.5</f>
        <v>2947.2954284799998</v>
      </c>
      <c r="J20" s="282">
        <f>J18*0.5</f>
        <v>3065.1872456192</v>
      </c>
      <c r="K20" s="282">
        <f>K18*0.5</f>
        <v>3187.794735443968</v>
      </c>
      <c r="L20" s="282">
        <f>L18*0.5</f>
        <v>3315.3065248617268</v>
      </c>
      <c r="M20" s="74"/>
    </row>
    <row r="21" spans="1:13" ht="15" customHeight="1" thickBot="1" x14ac:dyDescent="0.4">
      <c r="A21" s="322"/>
      <c r="B21" s="53" t="s">
        <v>405</v>
      </c>
      <c r="C21" s="175"/>
      <c r="D21" s="233">
        <f>IFERROR(INPUT!E30/INPUT!E9,"–")</f>
        <v>0.17719700888395612</v>
      </c>
      <c r="E21" s="233">
        <f>IFERROR(INPUT!F30/INPUT!F9,"–")</f>
        <v>0.20611032383744199</v>
      </c>
      <c r="F21" s="233">
        <f>IFERROR(INPUT!G30/INPUT!G9,"–")</f>
        <v>0.14455820259680721</v>
      </c>
      <c r="G21" s="233">
        <f>IFERROR(INPUT!H30/INPUT!H9,"–")</f>
        <v>-3.6931194419195131E-2</v>
      </c>
      <c r="H21" s="232">
        <f>IFERROR(H18/H16,"–")</f>
        <v>0.62</v>
      </c>
      <c r="I21" s="232">
        <f>IFERROR(IF(C6="Pessimistic",C9,IF(C6="Optimistic",$E$9,D9)),"–")</f>
        <v>5.5E-2</v>
      </c>
      <c r="J21" s="232">
        <f>IFERROR(IF(C6="Pessimistic",C9,IF(C6="Optimistic",$E$9,D9)),"–")</f>
        <v>5.5E-2</v>
      </c>
      <c r="K21" s="232">
        <f>IFERROR(IF($D$6="Pessimistic",$D$9,IF($D$6="Optimistic",$E$9,$D$9)),"–")</f>
        <v>5.5E-2</v>
      </c>
      <c r="L21" s="232">
        <f>IFERROR(IF($D$6="Pessimistic",$D$9,IF($D$6="Optimistic",$E$9,$D$9)),"–")</f>
        <v>5.5E-2</v>
      </c>
      <c r="M21" s="477">
        <f>IFERROR(IF($D$6="Pessimistic",$D$9,IF($D$6="Optimistic",$E$9,$D$9)),"–")</f>
        <v>5.5E-2</v>
      </c>
    </row>
    <row r="22" spans="1:13" ht="15" customHeight="1" x14ac:dyDescent="0.35">
      <c r="A22" s="320"/>
      <c r="B22" s="55" t="s">
        <v>406</v>
      </c>
      <c r="C22" s="173"/>
      <c r="D22" s="21"/>
      <c r="E22" s="21"/>
      <c r="F22" s="48"/>
      <c r="G22" s="48"/>
      <c r="H22" s="21"/>
      <c r="I22" s="21"/>
      <c r="J22" s="21"/>
      <c r="K22" s="21"/>
      <c r="L22" s="21"/>
      <c r="M22" s="478">
        <f>IFERROR(IF($D$6="Pessimistic",D31,IF($D$6="Optimistic",F31,E31)),"–")</f>
        <v>105.92364913569644</v>
      </c>
    </row>
    <row r="23" spans="1:13" ht="15" customHeight="1" x14ac:dyDescent="0.35">
      <c r="B23" s="55"/>
    </row>
    <row r="24" spans="1:13" ht="18" customHeight="1" x14ac:dyDescent="0.5">
      <c r="A24" s="283" t="s">
        <v>5</v>
      </c>
      <c r="B24" s="176" t="s">
        <v>202</v>
      </c>
      <c r="C24" s="7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21" customHeight="1" x14ac:dyDescent="0.35">
      <c r="A25" s="320"/>
      <c r="B25" s="67" t="s">
        <v>203</v>
      </c>
      <c r="C25" s="177"/>
      <c r="D25" s="69" t="s">
        <v>147</v>
      </c>
      <c r="E25" s="177" t="s">
        <v>148</v>
      </c>
      <c r="F25" s="62" t="s">
        <v>149</v>
      </c>
      <c r="G25" s="177"/>
      <c r="H25" s="177"/>
      <c r="I25" s="177"/>
      <c r="J25" s="177"/>
      <c r="K25" s="177"/>
      <c r="L25" s="177"/>
      <c r="M25" s="177"/>
    </row>
    <row r="26" spans="1:13" ht="15" customHeight="1" x14ac:dyDescent="0.35">
      <c r="A26" s="320"/>
      <c r="B26" s="57" t="s">
        <v>204</v>
      </c>
      <c r="C26" s="289">
        <v>0</v>
      </c>
      <c r="D26" s="286">
        <f>INPUT!H9*(1+$D$8)^5</f>
        <v>10694.537176973314</v>
      </c>
      <c r="E26" s="194">
        <f>INPUT!H9*(1+IF($D$6="Pessimistic",$D$8,IF($D$6="Realistic",$D$8,$E$8)))^5</f>
        <v>10694.537176973314</v>
      </c>
      <c r="F26" s="280">
        <f>INPUT!H9*(1+$E$8)^5</f>
        <v>13524.70458468514</v>
      </c>
      <c r="G26" s="28"/>
      <c r="H26" s="28"/>
      <c r="I26" s="74"/>
    </row>
    <row r="27" spans="1:13" ht="15" customHeight="1" x14ac:dyDescent="0.35">
      <c r="A27" s="320"/>
      <c r="B27" s="57" t="s">
        <v>407</v>
      </c>
      <c r="C27" s="289">
        <v>0</v>
      </c>
      <c r="D27" s="286">
        <f>D26*$D$10</f>
        <v>6630.6130497234544</v>
      </c>
      <c r="E27" s="194">
        <f>E26*IF($D$6="Pessimistic",$D$10,IF($D$6="Realistic",$D$10,$E$10))</f>
        <v>6630.6130497234544</v>
      </c>
      <c r="F27" s="280">
        <f>F26*$E$10</f>
        <v>8926.3050258921921</v>
      </c>
      <c r="G27" s="28"/>
      <c r="H27" s="28"/>
      <c r="I27" s="74"/>
    </row>
    <row r="28" spans="1:13" ht="15" customHeight="1" x14ac:dyDescent="0.35">
      <c r="A28" s="320"/>
      <c r="B28" s="57" t="s">
        <v>408</v>
      </c>
      <c r="C28" s="289">
        <v>0</v>
      </c>
      <c r="D28" s="286">
        <f>D27*0.6</f>
        <v>3978.3678298340724</v>
      </c>
      <c r="E28" s="194">
        <f>E27*0.6</f>
        <v>3978.3678298340724</v>
      </c>
      <c r="F28" s="280">
        <f>F27*0.6</f>
        <v>5355.7830155353149</v>
      </c>
      <c r="G28" s="28"/>
      <c r="H28" s="28"/>
      <c r="I28" s="74"/>
    </row>
    <row r="29" spans="1:13" ht="15" customHeight="1" x14ac:dyDescent="0.35">
      <c r="A29" s="320"/>
      <c r="B29" s="57" t="s">
        <v>409</v>
      </c>
      <c r="C29" s="289">
        <v>0</v>
      </c>
      <c r="D29" s="286">
        <f>D27*0.5</f>
        <v>3315.3065248617272</v>
      </c>
      <c r="E29" s="194">
        <f>E27*0.5</f>
        <v>3315.3065248617272</v>
      </c>
      <c r="F29" s="194">
        <f>F27*0.5</f>
        <v>4463.1525129460961</v>
      </c>
      <c r="G29" s="28"/>
      <c r="H29" s="28"/>
      <c r="I29" s="74"/>
    </row>
    <row r="30" spans="1:13" ht="15" customHeight="1" x14ac:dyDescent="0.35">
      <c r="A30" s="322"/>
      <c r="B30" s="53" t="s">
        <v>410</v>
      </c>
      <c r="C30" s="10"/>
      <c r="D30" s="287">
        <f>$D$10</f>
        <v>0.62</v>
      </c>
      <c r="E30" s="288">
        <f>$E$9</f>
        <v>0.05</v>
      </c>
      <c r="F30" s="288">
        <f>$E$10</f>
        <v>0.66</v>
      </c>
      <c r="G30" s="28"/>
      <c r="H30" s="28"/>
      <c r="I30" s="74"/>
    </row>
    <row r="31" spans="1:13" ht="15" customHeight="1" x14ac:dyDescent="0.35">
      <c r="A31" s="320"/>
      <c r="B31" s="55" t="s">
        <v>406</v>
      </c>
      <c r="C31" s="8"/>
      <c r="D31" s="472">
        <f>IFERROR((D27/D9-INPUT!H54-INPUT!H48+INPUT!H34)/INPUT!H52,"–")</f>
        <v>92.988391527964396</v>
      </c>
      <c r="E31" s="472">
        <f>IFERROR((E27/$E$9-INPUT!H54-INPUT!H48+INPUT!H34)/INPUT!H52,"–")</f>
        <v>105.92364913569644</v>
      </c>
      <c r="F31" s="472">
        <f>IFERROR((F27/E9-INPUT!H54-INPUT!H48+INPUT!H34)/INPUT!H52,"–")</f>
        <v>155.18742544833029</v>
      </c>
      <c r="G31" s="21"/>
      <c r="H31" s="21"/>
      <c r="I31" s="74"/>
    </row>
    <row r="32" spans="1:13" ht="15" customHeight="1" x14ac:dyDescent="0.5">
      <c r="A32" s="283" t="s">
        <v>5</v>
      </c>
      <c r="B32" s="180" t="s">
        <v>437</v>
      </c>
      <c r="C32" s="88"/>
      <c r="D32" s="473">
        <f>IFERROR(D31/INPUT!H117-1,"–")</f>
        <v>-0.33470421744319678</v>
      </c>
      <c r="E32" s="473">
        <f>IFERROR(E31/INPUT!H117-1,"–")</f>
        <v>-0.24215747917509889</v>
      </c>
      <c r="F32" s="473">
        <f>IFERROR(F31/INPUT!H117-1,"–")</f>
        <v>0.11030568396887941</v>
      </c>
      <c r="G32" s="86"/>
      <c r="H32" s="86"/>
      <c r="I32" s="86"/>
      <c r="J32" s="86"/>
      <c r="K32" s="86"/>
      <c r="L32" s="86"/>
      <c r="M32" s="86"/>
    </row>
    <row r="33" spans="1:13" ht="18" customHeight="1" x14ac:dyDescent="0.35">
      <c r="A33" s="320"/>
      <c r="B33" s="57" t="s">
        <v>7</v>
      </c>
      <c r="C33" s="58"/>
      <c r="D33" s="108"/>
      <c r="E33" s="107"/>
      <c r="F33" s="107"/>
      <c r="G33" s="107"/>
      <c r="H33" s="107"/>
      <c r="I33" s="107"/>
      <c r="J33" s="28"/>
      <c r="K33" s="28"/>
      <c r="L33" s="28"/>
      <c r="M33" s="28"/>
    </row>
    <row r="34" spans="1:13" ht="15" customHeight="1" x14ac:dyDescent="0.35">
      <c r="A34" s="320"/>
      <c r="B34" s="179" t="str">
        <f>"▶ SCÉNARIO SÉLECTIONNÉ : "&amp;$D$6</f>
        <v>▶ SCÉNARIO SÉLECTIONNÉ : Realistic</v>
      </c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</row>
    <row r="35" spans="1:13" ht="15" customHeight="1" x14ac:dyDescent="0.35">
      <c r="A35" s="320"/>
      <c r="B35" s="57"/>
      <c r="C35" s="58"/>
      <c r="D35" s="108"/>
      <c r="E35" s="107"/>
      <c r="F35" s="107"/>
      <c r="G35" s="107"/>
      <c r="H35" s="107"/>
      <c r="I35" s="107"/>
      <c r="J35" s="28"/>
      <c r="K35" s="28"/>
      <c r="L35" s="28"/>
      <c r="M35" s="28"/>
    </row>
    <row r="36" spans="1:13" ht="21" x14ac:dyDescent="0.5">
      <c r="A36" s="320"/>
      <c r="B36" s="176" t="s">
        <v>205</v>
      </c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</row>
    <row r="37" spans="1:13" ht="15" customHeight="1" x14ac:dyDescent="0.35">
      <c r="A37" s="320"/>
      <c r="B37" s="67" t="s">
        <v>100</v>
      </c>
      <c r="C37" s="67"/>
      <c r="D37" s="532" t="str">
        <f>TEXT(INPUT!D139+1,"0")&amp;"F"</f>
        <v>2026F</v>
      </c>
      <c r="E37" s="532" t="str">
        <f>TEXT(INPUT!D139+2,"0")&amp;"F"</f>
        <v>2027F</v>
      </c>
      <c r="F37" s="532" t="str">
        <f>TEXT(INPUT!D139+3,"0")&amp;"F"</f>
        <v>2028F</v>
      </c>
      <c r="G37" s="532" t="str">
        <f>TEXT(INPUT!D139+4,"0")&amp;"F"</f>
        <v>2029F</v>
      </c>
      <c r="H37" s="532" t="str">
        <f>TEXT(INPUT!D139+5,"0")&amp;"F"</f>
        <v>2030F</v>
      </c>
      <c r="I37" s="177"/>
      <c r="J37" s="177"/>
      <c r="K37" s="177"/>
      <c r="L37" s="177"/>
      <c r="M37" s="177"/>
    </row>
    <row r="38" spans="1:13" ht="15" customHeight="1" x14ac:dyDescent="0.35">
      <c r="A38" s="320"/>
      <c r="B38" s="57" t="s">
        <v>147</v>
      </c>
      <c r="C38" s="59"/>
      <c r="D38" s="196">
        <f>IF(INPUT!H9="",NA(),INPUT!H9*(1+$D$8))</f>
        <v>9141.7351999999992</v>
      </c>
      <c r="E38" s="280">
        <f>IF(INPUT!H9="",NA(),D38*(1+$D$8))</f>
        <v>9507.4046079999989</v>
      </c>
      <c r="F38" s="280">
        <f>IF(INPUT!H9="",NA(),E38*(1+$D$8))</f>
        <v>9887.7007923199999</v>
      </c>
      <c r="G38" s="280">
        <f>IF(INPUT!H9="",NA(),F38*(1+$D$8))</f>
        <v>10283.2088240128</v>
      </c>
      <c r="H38" s="280">
        <f>IF(INPUT!H9="",NA(),G38*(1+$D$8))</f>
        <v>10694.537176973312</v>
      </c>
      <c r="I38" s="106"/>
      <c r="J38" s="28"/>
      <c r="K38" s="28"/>
      <c r="L38" s="28"/>
      <c r="M38" s="28"/>
    </row>
    <row r="39" spans="1:13" ht="15" customHeight="1" x14ac:dyDescent="0.35">
      <c r="A39" s="322"/>
      <c r="B39" s="53" t="s">
        <v>148</v>
      </c>
      <c r="C39" s="54"/>
      <c r="D39" s="196">
        <f>IF(INPUT!H9="",NA(),INPUT!H9*(1+IF($D$6="Pessimistic",$D$8,IF($D$6="Realistic",$D$8,$E$8))))</f>
        <v>9141.7351999999992</v>
      </c>
      <c r="E39" s="280">
        <f>IF(INPUT!H9="",NA(),D39*(1+IF($D$6="Pessimistic",$D$8,IF($D$6="Realistic",$D$8,$E$8))))</f>
        <v>9507.4046079999989</v>
      </c>
      <c r="F39" s="280">
        <f>IF(INPUT!H9="",NA(),E39*(1+IF($D$6="Pessimistic",$D$8,IF($D$6="Realistic",$D$8,$E$8))))</f>
        <v>9887.7007923199999</v>
      </c>
      <c r="G39" s="280">
        <f>IF(INPUT!H9="",NA(),F39*(1+IF($D$6="Pessimistic",$D$8,IF($D$6="Realistic",$D$8,$E$8))))</f>
        <v>10283.2088240128</v>
      </c>
      <c r="H39" s="280">
        <f>IF(INPUT!H9="",NA(),G39*(1+IF($D$6="Pessimistic",$D$8,IF($D$6="Realistic",$D$8,$E$8))))</f>
        <v>10694.537176973312</v>
      </c>
      <c r="I39" s="77"/>
      <c r="J39" s="28"/>
      <c r="K39" s="28"/>
      <c r="L39" s="28"/>
      <c r="M39" s="28"/>
    </row>
    <row r="40" spans="1:13" ht="15" customHeight="1" x14ac:dyDescent="0.35">
      <c r="A40" s="320"/>
      <c r="B40" s="60" t="s">
        <v>149</v>
      </c>
      <c r="C40" s="3"/>
      <c r="D40" s="196">
        <f>IF(INPUT!H9="",NA(),INPUT!H9*(1+$E$8))</f>
        <v>9581.2417000000005</v>
      </c>
      <c r="E40" s="196">
        <f>IF(INPUT!H9="",NA(),D40*(1+$E$8))</f>
        <v>10443.553453</v>
      </c>
      <c r="F40" s="196">
        <f>IF(INPUT!H9="",NA(),E40*(1+$E$8))</f>
        <v>11383.473263770002</v>
      </c>
      <c r="G40" s="196">
        <f>IF(INPUT!H9="",NA(),F40*(1+$E$8))</f>
        <v>12407.985857509302</v>
      </c>
      <c r="H40" s="196">
        <f>IF(INPUT!H9="",NA(),G40*(1+$E$8))</f>
        <v>13524.70458468514</v>
      </c>
      <c r="I40" s="21"/>
      <c r="J40" s="21"/>
      <c r="K40" s="21"/>
      <c r="L40" s="21"/>
      <c r="M40" s="21"/>
    </row>
    <row r="41" spans="1:13" ht="15" customHeight="1" x14ac:dyDescent="0.5">
      <c r="A41" s="283" t="s">
        <v>5</v>
      </c>
      <c r="B41" s="284" t="s">
        <v>202</v>
      </c>
      <c r="C41" s="285"/>
      <c r="D41" s="379"/>
      <c r="E41" s="273"/>
      <c r="F41" s="273"/>
      <c r="G41" s="273"/>
      <c r="H41" s="273"/>
      <c r="I41" s="273"/>
      <c r="J41" s="273"/>
      <c r="K41" s="273"/>
      <c r="L41" s="273"/>
      <c r="M41" s="273"/>
    </row>
    <row r="42" spans="1:13" ht="21" x14ac:dyDescent="0.5">
      <c r="A42" s="321"/>
      <c r="B42" s="176" t="s">
        <v>411</v>
      </c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</row>
    <row r="43" spans="1:13" ht="15" customHeight="1" x14ac:dyDescent="0.35">
      <c r="A43" s="320"/>
      <c r="B43" s="15" t="s">
        <v>100</v>
      </c>
      <c r="C43" s="67"/>
      <c r="D43" s="533" t="str">
        <f>TEXT(INPUT!D139+1,"0")&amp;"F"</f>
        <v>2026F</v>
      </c>
      <c r="E43" s="533" t="str">
        <f>TEXT(INPUT!D139+2,"0")&amp;"F"</f>
        <v>2027F</v>
      </c>
      <c r="F43" s="533" t="str">
        <f>TEXT(INPUT!D139+3,"0")&amp;"F"</f>
        <v>2028F</v>
      </c>
      <c r="G43" s="533" t="str">
        <f>TEXT(INPUT!D139+4,"0")&amp;"F"</f>
        <v>2029F</v>
      </c>
      <c r="H43" s="533" t="str">
        <f>TEXT(INPUT!D139+5,"0")&amp;"F"</f>
        <v>2030F</v>
      </c>
      <c r="I43" s="178"/>
      <c r="J43" s="178"/>
      <c r="K43" s="178"/>
      <c r="L43" s="178"/>
      <c r="M43" s="178"/>
    </row>
    <row r="44" spans="1:13" ht="15" customHeight="1" x14ac:dyDescent="0.35">
      <c r="A44" s="320"/>
      <c r="B44" s="60" t="s">
        <v>147</v>
      </c>
      <c r="C44" s="58"/>
      <c r="D44" s="208">
        <f>IF(D38=0,0,D38*$D$10)</f>
        <v>5667.8758239999997</v>
      </c>
      <c r="E44" s="208">
        <f>IF(E38=0,0,E38*$D$10)</f>
        <v>5894.5908569599997</v>
      </c>
      <c r="F44" s="208">
        <f>IF(F38=0,0,F38*$D$10)</f>
        <v>6130.3744912384</v>
      </c>
      <c r="G44" s="208">
        <f>IF(G38=0,0,G38*$D$10)</f>
        <v>6375.5894708879359</v>
      </c>
      <c r="H44" s="202">
        <f>IF(H38=0,0,H38*$D$10)</f>
        <v>6630.6130497234535</v>
      </c>
      <c r="I44" s="47"/>
      <c r="J44" s="28"/>
      <c r="K44" s="28"/>
      <c r="L44" s="28"/>
      <c r="M44" s="28"/>
    </row>
    <row r="45" spans="1:13" ht="15" customHeight="1" x14ac:dyDescent="0.35">
      <c r="A45" s="320"/>
      <c r="B45" s="60" t="s">
        <v>148</v>
      </c>
      <c r="C45" s="58"/>
      <c r="D45" s="208">
        <f>IF(D39=0,0,D39*IF($D$6="Pessimistic",$D$10,IF($D$6="Realistic",$D$10,$E$10)))</f>
        <v>5667.8758239999997</v>
      </c>
      <c r="E45" s="208">
        <f>IF(E39=0,0,E39*IF($D$6="Pessimistic",$D$10,IF($D$6="Realistic",$D$10,$E$10)))</f>
        <v>5894.5908569599997</v>
      </c>
      <c r="F45" s="208">
        <f>IF(F39=0,0,F39*IF($D$6="Pessimistic",$D$10,IF($D$6="Realistic",$D$10,$E$10)))</f>
        <v>6130.3744912384</v>
      </c>
      <c r="G45" s="208">
        <f>IF(G39=0,0,G39*IF($D$6="Pessimistic",$D$10,IF($D$6="Realistic",$D$10,$E$10)))</f>
        <v>6375.5894708879359</v>
      </c>
      <c r="H45" s="202">
        <f>IF(H39=0,0,H39*IF($D$6="Pessimistic",$D$10,IF($D$6="Realistic",$D$10,$E$10)))</f>
        <v>6630.6130497234535</v>
      </c>
      <c r="I45" s="47"/>
      <c r="J45" s="28"/>
      <c r="K45" s="28"/>
      <c r="L45" s="28"/>
      <c r="M45" s="28"/>
    </row>
    <row r="46" spans="1:13" ht="15" customHeight="1" x14ac:dyDescent="0.35">
      <c r="A46" s="320"/>
      <c r="B46" s="60" t="s">
        <v>149</v>
      </c>
      <c r="C46" s="58"/>
      <c r="D46" s="208">
        <f>IF(D40=0,0,D40*$E$10)</f>
        <v>6323.6195220000009</v>
      </c>
      <c r="E46" s="208">
        <f>IF(E40=0,0,E40*$E$10)</f>
        <v>6892.7452789800009</v>
      </c>
      <c r="F46" s="208">
        <f>IF(F40=0,0,F40*$E$10)</f>
        <v>7513.0923540882013</v>
      </c>
      <c r="G46" s="208">
        <f>IF(G40=0,0,G40*$E$10)</f>
        <v>8189.27066595614</v>
      </c>
      <c r="H46" s="202">
        <f>IF(H40=0,0,H40*$E$10)</f>
        <v>8926.3050258921921</v>
      </c>
      <c r="I46" s="47"/>
      <c r="J46" s="28"/>
      <c r="K46" s="28"/>
      <c r="L46" s="28"/>
      <c r="M46" s="28"/>
    </row>
    <row r="47" spans="1:13" ht="15" customHeight="1" x14ac:dyDescent="0.35">
      <c r="A47" s="320"/>
      <c r="B47" s="60" t="s">
        <v>405</v>
      </c>
      <c r="C47" s="59"/>
      <c r="D47" s="269">
        <f>IFERROR(H44/H38,"–")</f>
        <v>0.62</v>
      </c>
      <c r="E47" s="389">
        <f>IFERROR(H44/H38,"–")</f>
        <v>0.62</v>
      </c>
      <c r="F47" s="389">
        <f>IFERROR(H45/H39,"–")</f>
        <v>0.62</v>
      </c>
      <c r="G47" s="389">
        <f>IFERROR(H46/H40,"–")</f>
        <v>0.66</v>
      </c>
      <c r="H47" s="476">
        <f>IFERROR(H46/H40,"–")</f>
        <v>0.66</v>
      </c>
      <c r="I47" s="47"/>
      <c r="J47" s="28"/>
      <c r="K47" s="28"/>
      <c r="L47" s="28"/>
      <c r="M47" s="28"/>
    </row>
    <row r="48" spans="1:13" ht="15" customHeight="1" thickBot="1" x14ac:dyDescent="0.4">
      <c r="A48" s="322"/>
      <c r="B48" s="55" t="s">
        <v>201</v>
      </c>
      <c r="C48" s="54"/>
      <c r="D48" s="474">
        <f>IFERROR(D31,"–")</f>
        <v>92.988391527964396</v>
      </c>
      <c r="E48" s="475">
        <f>IFERROR(D31,"–")</f>
        <v>92.988391527964396</v>
      </c>
      <c r="F48" s="475">
        <f>IFERROR(E31,"–")</f>
        <v>105.92364913569644</v>
      </c>
      <c r="G48" s="475">
        <f>IFERROR(F31,"–")</f>
        <v>155.18742544833029</v>
      </c>
      <c r="H48" s="474">
        <f>IFERROR(F31,"–")</f>
        <v>155.18742544833029</v>
      </c>
      <c r="I48" s="49"/>
      <c r="J48" s="28"/>
      <c r="K48" s="28"/>
      <c r="L48" s="28"/>
      <c r="M48" s="28"/>
    </row>
    <row r="49" spans="1:14" ht="15" customHeight="1" x14ac:dyDescent="0.35">
      <c r="A49" s="320"/>
      <c r="B49" s="13"/>
      <c r="C49" s="3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4" ht="15" customHeight="1" x14ac:dyDescent="0.35">
      <c r="A50" s="320"/>
      <c r="B50" s="407"/>
      <c r="C50" s="3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4" ht="15" customHeight="1" x14ac:dyDescent="0.35">
      <c r="A51" s="320"/>
      <c r="B51" s="13"/>
      <c r="C51" s="3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4" ht="15" customHeight="1" x14ac:dyDescent="0.35">
      <c r="A52" s="324"/>
      <c r="N52" s="73"/>
    </row>
    <row r="53" spans="1:14" ht="15" customHeight="1" x14ac:dyDescent="0.35">
      <c r="A53" s="324"/>
      <c r="N53" s="73"/>
    </row>
    <row r="54" spans="1:14" ht="15" customHeight="1" x14ac:dyDescent="0.35">
      <c r="A54" s="324"/>
      <c r="N54" s="73"/>
    </row>
    <row r="55" spans="1:14" ht="15" customHeight="1" x14ac:dyDescent="0.35">
      <c r="A55" s="324"/>
      <c r="B55" s="479"/>
      <c r="C55" s="181"/>
      <c r="D55" s="181"/>
      <c r="E55" s="331"/>
      <c r="F55" s="331"/>
      <c r="G55" s="331"/>
      <c r="H55" s="331"/>
      <c r="I55" s="331"/>
      <c r="J55" s="331"/>
      <c r="K55" s="331"/>
      <c r="L55" s="331"/>
      <c r="M55" s="331"/>
      <c r="N55" s="73"/>
    </row>
    <row r="56" spans="1:14" ht="15" customHeight="1" x14ac:dyDescent="0.35">
      <c r="A56" s="324"/>
      <c r="B56" s="479"/>
      <c r="C56" s="181"/>
      <c r="D56" s="181"/>
      <c r="E56" s="331"/>
      <c r="F56" s="331"/>
      <c r="G56" s="331"/>
      <c r="H56" s="331"/>
      <c r="I56" s="331"/>
      <c r="J56" s="331"/>
      <c r="K56" s="331"/>
      <c r="L56" s="331"/>
      <c r="M56" s="331"/>
      <c r="N56" s="73"/>
    </row>
    <row r="57" spans="1:14" ht="15" customHeight="1" x14ac:dyDescent="0.35">
      <c r="A57" s="324"/>
      <c r="B57" s="479"/>
      <c r="C57" s="181"/>
      <c r="D57" s="181"/>
      <c r="E57" s="331"/>
      <c r="F57" s="331"/>
      <c r="G57" s="331"/>
      <c r="H57" s="331"/>
      <c r="I57" s="331"/>
      <c r="J57" s="331"/>
      <c r="K57" s="331"/>
      <c r="L57" s="331"/>
      <c r="M57" s="331"/>
      <c r="N57" s="73"/>
    </row>
    <row r="58" spans="1:14" ht="15" customHeight="1" x14ac:dyDescent="0.35">
      <c r="A58" s="324"/>
      <c r="B58" s="479"/>
      <c r="C58" s="181"/>
      <c r="D58" s="181"/>
      <c r="E58" s="331"/>
      <c r="F58" s="331"/>
      <c r="G58" s="331"/>
      <c r="H58" s="331"/>
      <c r="I58" s="331"/>
      <c r="J58" s="331"/>
      <c r="K58" s="331"/>
      <c r="L58" s="331"/>
      <c r="M58" s="331"/>
      <c r="N58" s="73"/>
    </row>
    <row r="59" spans="1:14" ht="15" customHeight="1" x14ac:dyDescent="0.35">
      <c r="A59" s="324"/>
      <c r="B59" s="479"/>
      <c r="C59" s="181"/>
      <c r="D59" s="181"/>
      <c r="E59" s="331"/>
      <c r="F59" s="331"/>
      <c r="G59" s="331"/>
      <c r="H59" s="331"/>
      <c r="I59" s="331"/>
      <c r="J59" s="331"/>
      <c r="K59" s="331"/>
      <c r="L59" s="331"/>
      <c r="M59" s="331"/>
      <c r="N59" s="73"/>
    </row>
    <row r="60" spans="1:14" ht="15" customHeight="1" x14ac:dyDescent="0.35">
      <c r="A60" s="324"/>
      <c r="B60" s="479"/>
      <c r="C60" s="181"/>
      <c r="D60" s="181"/>
      <c r="E60" s="331"/>
      <c r="F60" s="331"/>
      <c r="G60" s="331"/>
      <c r="H60" s="331"/>
      <c r="I60" s="331"/>
      <c r="J60" s="331"/>
      <c r="K60" s="331"/>
      <c r="L60" s="331"/>
      <c r="M60" s="331"/>
      <c r="N60" s="73"/>
    </row>
    <row r="61" spans="1:14" ht="15" customHeight="1" x14ac:dyDescent="0.35">
      <c r="A61" s="324"/>
      <c r="B61" s="479"/>
      <c r="C61" s="181"/>
      <c r="D61" s="181"/>
      <c r="E61" s="331"/>
      <c r="F61" s="331"/>
      <c r="G61" s="331"/>
      <c r="H61" s="331"/>
      <c r="I61" s="331"/>
      <c r="J61" s="331"/>
      <c r="K61" s="331"/>
      <c r="L61" s="331"/>
      <c r="M61" s="331"/>
      <c r="N61" s="73"/>
    </row>
    <row r="62" spans="1:14" ht="15" customHeight="1" x14ac:dyDescent="0.35">
      <c r="A62" s="324"/>
      <c r="B62" s="479"/>
      <c r="C62" s="181"/>
      <c r="D62" s="181"/>
      <c r="E62" s="331"/>
      <c r="F62" s="331"/>
      <c r="G62" s="331"/>
      <c r="H62" s="331"/>
      <c r="I62" s="331"/>
      <c r="J62" s="331"/>
      <c r="K62" s="331"/>
      <c r="L62" s="331"/>
      <c r="M62" s="331"/>
      <c r="N62" s="73"/>
    </row>
    <row r="63" spans="1:14" ht="15" customHeight="1" x14ac:dyDescent="0.35">
      <c r="A63" s="324"/>
      <c r="B63" s="479"/>
      <c r="C63" s="181"/>
      <c r="D63" s="181"/>
      <c r="E63" s="331"/>
      <c r="F63" s="331"/>
      <c r="G63" s="331"/>
      <c r="H63" s="331"/>
      <c r="I63" s="331"/>
      <c r="J63" s="331"/>
      <c r="K63" s="331"/>
      <c r="L63" s="331"/>
      <c r="M63" s="331"/>
      <c r="N63" s="73"/>
    </row>
    <row r="64" spans="1:14" ht="15" customHeight="1" x14ac:dyDescent="0.35">
      <c r="A64" s="324"/>
      <c r="B64" s="29" t="s">
        <v>94</v>
      </c>
      <c r="C64" s="4"/>
      <c r="D64" s="4"/>
      <c r="E64" s="30"/>
      <c r="F64" s="30"/>
      <c r="G64" s="30"/>
      <c r="H64" s="30"/>
      <c r="I64" s="30"/>
      <c r="J64" s="30"/>
      <c r="K64" s="30"/>
      <c r="L64" s="30"/>
      <c r="M64" s="30"/>
      <c r="N64" s="73"/>
    </row>
    <row r="65" spans="1:14" ht="15" customHeight="1" x14ac:dyDescent="0.35">
      <c r="A65" s="324"/>
      <c r="B65" s="29" t="s">
        <v>95</v>
      </c>
      <c r="C65" s="4"/>
      <c r="D65" s="4"/>
      <c r="E65" s="30"/>
      <c r="F65" s="30"/>
      <c r="G65" s="30"/>
      <c r="H65" s="30"/>
      <c r="I65" s="30"/>
      <c r="J65" s="30"/>
      <c r="K65" s="30"/>
      <c r="L65" s="30"/>
      <c r="M65" s="30"/>
      <c r="N65" s="73"/>
    </row>
    <row r="66" spans="1:14" ht="15" customHeight="1" x14ac:dyDescent="0.35">
      <c r="A66" s="320"/>
      <c r="B66" s="29" t="s">
        <v>96</v>
      </c>
      <c r="C66" s="4"/>
      <c r="D66" s="4"/>
      <c r="E66" s="30"/>
      <c r="F66" s="30"/>
      <c r="G66" s="30"/>
      <c r="H66" s="30"/>
      <c r="I66" s="30"/>
      <c r="J66" s="30"/>
      <c r="K66" s="30"/>
      <c r="L66" s="30"/>
      <c r="M66" s="30"/>
    </row>
    <row r="67" spans="1:14" ht="15" customHeight="1" x14ac:dyDescent="0.35">
      <c r="A67" s="321"/>
      <c r="B67" s="480" t="s">
        <v>206</v>
      </c>
      <c r="C67" s="481">
        <f>INPUT!D139+1</f>
        <v>2026</v>
      </c>
      <c r="D67" s="481">
        <f>INPUT!D139+2</f>
        <v>2027</v>
      </c>
      <c r="E67" s="481">
        <f>INPUT!D139+3</f>
        <v>2028</v>
      </c>
      <c r="F67" s="481">
        <f>INPUT!D139+4</f>
        <v>2029</v>
      </c>
      <c r="G67" s="481">
        <f>INPUT!D139+5</f>
        <v>2030</v>
      </c>
      <c r="H67" s="460"/>
      <c r="I67" s="460"/>
      <c r="J67" s="460"/>
      <c r="K67" s="460"/>
      <c r="L67" s="460"/>
      <c r="M67" s="460"/>
      <c r="N67" s="75"/>
    </row>
    <row r="68" spans="1:14" ht="15" customHeight="1" x14ac:dyDescent="0.35">
      <c r="A68" s="320"/>
      <c r="B68" s="482" t="s">
        <v>147</v>
      </c>
      <c r="C68" s="483">
        <f>IF(INPUT!H9="",NA(),INPUT!H9*(1+$D$8))</f>
        <v>9141.7351999999992</v>
      </c>
      <c r="D68" s="484">
        <f>IF(INPUT!H9="",NA(),C68*(1+$D$8))</f>
        <v>9507.4046079999989</v>
      </c>
      <c r="E68" s="483">
        <f>IF(INPUT!H9="",NA(),D68*(1+$D$8))</f>
        <v>9887.7007923199999</v>
      </c>
      <c r="F68" s="483">
        <f>IF(INPUT!H9="",NA(),E68*(1+$D$8))</f>
        <v>10283.2088240128</v>
      </c>
      <c r="G68" s="483">
        <f>IF(INPUT!H9="",NA(),F68*(1+$D$8))</f>
        <v>10694.537176973312</v>
      </c>
      <c r="H68" s="21"/>
      <c r="I68" s="21"/>
      <c r="J68" s="21"/>
      <c r="K68" s="21"/>
      <c r="L68" s="21"/>
      <c r="M68" s="21"/>
    </row>
    <row r="69" spans="1:14" ht="15" customHeight="1" x14ac:dyDescent="0.35">
      <c r="A69" s="320"/>
      <c r="B69" s="482" t="s">
        <v>148</v>
      </c>
      <c r="C69" s="483">
        <f>IF(INPUT!H9="",NA(),INPUT!H9*(1+IF($D$6="Pessimistic",$D$8,IF($D$6="Realistic",$D$8,$E$8))))</f>
        <v>9141.7351999999992</v>
      </c>
      <c r="D69" s="484">
        <f>IF(INPUT!H9="",NA(),C69*(1+IF($D$6="Pessimistic",$D$8,IF($D$6="Realistic",$D$8,$E$8))))</f>
        <v>9507.4046079999989</v>
      </c>
      <c r="E69" s="483">
        <f>IF(INPUT!H9="",NA(),D69*(1+IF($D$6="Pessimistic",$D$8,IF($D$6="Realistic",$D$8,$E$8))))</f>
        <v>9887.7007923199999</v>
      </c>
      <c r="F69" s="483">
        <f>IF(INPUT!H9="",NA(),E69*(1+IF($D$6="Pessimistic",$D$8,IF($D$6="Realistic",$D$8,$E$8))))</f>
        <v>10283.2088240128</v>
      </c>
      <c r="G69" s="483">
        <f>IF(INPUT!H9="",NA(),F69*(1+IF($D$6="Pessimistic",$D$8,IF($D$6="Realistic",$D$8,$E$8))))</f>
        <v>10694.537176973312</v>
      </c>
      <c r="H69" s="21"/>
      <c r="I69" s="21"/>
      <c r="J69" s="21"/>
      <c r="K69" s="21"/>
      <c r="L69" s="21"/>
      <c r="M69" s="21"/>
    </row>
    <row r="70" spans="1:14" ht="15" customHeight="1" x14ac:dyDescent="0.35">
      <c r="A70" s="320"/>
      <c r="B70" s="482" t="s">
        <v>149</v>
      </c>
      <c r="C70" s="483">
        <f>IF(INPUT!H9="",NA(),INPUT!H9*(1+$E$8))</f>
        <v>9581.2417000000005</v>
      </c>
      <c r="D70" s="484">
        <f>IF(INPUT!H9="",NA(),C70*(1+$E$8))</f>
        <v>10443.553453</v>
      </c>
      <c r="E70" s="483">
        <f>IF(INPUT!H9="",NA(),D70*(1+$E$8))</f>
        <v>11383.473263770002</v>
      </c>
      <c r="F70" s="483">
        <f>IF(INPUT!H9="",NA(),E70*(1+$E$8))</f>
        <v>12407.985857509302</v>
      </c>
      <c r="G70" s="483">
        <f>IF(INPUT!H9="",NA(),F70*(1+$E$8))</f>
        <v>13524.70458468514</v>
      </c>
      <c r="H70" s="21"/>
      <c r="I70" s="21"/>
      <c r="J70" s="21"/>
      <c r="K70" s="21"/>
      <c r="L70" s="21"/>
      <c r="M70" s="21"/>
    </row>
    <row r="71" spans="1:14" ht="15" customHeight="1" x14ac:dyDescent="0.35">
      <c r="A71" s="320"/>
      <c r="B71" s="482"/>
      <c r="C71" s="485"/>
      <c r="D71" s="486"/>
      <c r="E71" s="486"/>
      <c r="F71" s="486"/>
      <c r="G71" s="486"/>
      <c r="H71" s="21"/>
      <c r="I71" s="21"/>
      <c r="J71" s="21"/>
      <c r="K71" s="21"/>
      <c r="L71" s="21"/>
      <c r="M71" s="21"/>
    </row>
    <row r="72" spans="1:14" ht="15" customHeight="1" x14ac:dyDescent="0.35">
      <c r="A72" s="321"/>
      <c r="B72" s="480" t="s">
        <v>412</v>
      </c>
      <c r="C72" s="481">
        <f>INPUT!D139+1</f>
        <v>2026</v>
      </c>
      <c r="D72" s="481">
        <f>INPUT!D139+2</f>
        <v>2027</v>
      </c>
      <c r="E72" s="481">
        <f>INPUT!D139+3</f>
        <v>2028</v>
      </c>
      <c r="F72" s="481">
        <f>INPUT!D139+4</f>
        <v>2029</v>
      </c>
      <c r="G72" s="481">
        <f>INPUT!D139+5</f>
        <v>2030</v>
      </c>
      <c r="H72" s="460"/>
      <c r="I72" s="460"/>
      <c r="J72" s="460"/>
      <c r="K72" s="460"/>
      <c r="L72" s="460"/>
      <c r="M72" s="460"/>
      <c r="N72" s="75"/>
    </row>
    <row r="73" spans="1:14" ht="15" customHeight="1" x14ac:dyDescent="0.35">
      <c r="A73" s="320"/>
      <c r="B73" s="482" t="s">
        <v>147</v>
      </c>
      <c r="C73" s="483">
        <f>IF(INPUT!H9="",NA(),INPUT!H9*(1+$D$8)*$D$10)</f>
        <v>5667.8758239999997</v>
      </c>
      <c r="D73" s="484">
        <f>IF(INPUT!H9="",NA(),C68*(1+$D$8)*$D$10)</f>
        <v>5894.5908569599997</v>
      </c>
      <c r="E73" s="483">
        <f>IF(INPUT!H9="",NA(),D68*(1+$D$8)*$D$10)</f>
        <v>6130.3744912384</v>
      </c>
      <c r="F73" s="483">
        <f>IF(INPUT!H9="",NA(),E68*(1+$D$8)*$D$10)</f>
        <v>6375.5894708879359</v>
      </c>
      <c r="G73" s="483">
        <f>IF(INPUT!H9="",NA(),F68*(1+$D$8)*$D$10)</f>
        <v>6630.6130497234535</v>
      </c>
      <c r="H73" s="21"/>
      <c r="I73" s="21"/>
      <c r="J73" s="21"/>
      <c r="K73" s="21"/>
      <c r="L73" s="21"/>
      <c r="M73" s="21"/>
    </row>
    <row r="74" spans="1:14" ht="15" customHeight="1" x14ac:dyDescent="0.35">
      <c r="A74" s="320"/>
      <c r="B74" s="482" t="s">
        <v>148</v>
      </c>
      <c r="C74" s="483">
        <f>IF(INPUT!H9="",NA(),INPUT!H9*(1+IF($D$6="Pessimistic",$D$8,IF($D$6="Realistic",$D$8,$E$8)))*IF($D$6="Pessimistic",$D$10,IF($D$6="Realistic",$D$10,$E$10)))</f>
        <v>5667.8758239999997</v>
      </c>
      <c r="D74" s="484">
        <f>IF(INPUT!H9="",NA(),C69*(1+IF($D$6="Pessimistic",$D$8,IF($D$6="Realistic",$D$8,$E$8)))*IF($D$6="Pessimistic",$D$10,IF($D$6="Realistic",$D$10,$E$10)))</f>
        <v>5894.5908569599997</v>
      </c>
      <c r="E74" s="483">
        <f>IF(INPUT!H9="",NA(),D69*(1+IF($D$6="Pessimistic",$D$8,IF($D$6="Realistic",$D$8,$E$8)))*IF($D$6="Pessimistic",$D$10,IF($D$6="Realistic",$D$10,$E$10)))</f>
        <v>6130.3744912384</v>
      </c>
      <c r="F74" s="483">
        <f>IF(INPUT!H9="",NA(),E69*(1+IF($D$6="Pessimistic",$D$8,IF($D$6="Realistic",$D$8,$E$8)))*IF($D$6="Pessimistic",$D$10,IF($D$6="Realistic",$D$10,$E$10)))</f>
        <v>6375.5894708879359</v>
      </c>
      <c r="G74" s="483">
        <f>IF(INPUT!H9="",NA(),F69*(1+IF($D$6="Pessimistic",$D$8,IF($D$6="Realistic",$D$8,$E$8)))*IF($D$6="Pessimistic",$D$10,IF($D$6="Realistic",$D$10,$E$10)))</f>
        <v>6630.6130497234535</v>
      </c>
      <c r="H74" s="21"/>
      <c r="I74" s="21"/>
      <c r="J74" s="21"/>
      <c r="K74" s="21"/>
      <c r="L74" s="21"/>
      <c r="M74" s="21"/>
    </row>
    <row r="75" spans="1:14" ht="15" customHeight="1" x14ac:dyDescent="0.35">
      <c r="A75" s="320"/>
      <c r="B75" s="482" t="s">
        <v>149</v>
      </c>
      <c r="C75" s="483">
        <f>IF(INPUT!H9="",NA(),INPUT!H9*(1+$E$8)*$E$10)</f>
        <v>6323.6195220000009</v>
      </c>
      <c r="D75" s="484">
        <f>IF(INPUT!H9="",NA(),C70*(1+$E$8)*$E$10)</f>
        <v>6892.7452789800009</v>
      </c>
      <c r="E75" s="483">
        <f>IF(INPUT!H9="",NA(),D70*(1+$E$8)*$E$10)</f>
        <v>7513.0923540882013</v>
      </c>
      <c r="F75" s="483">
        <f>IF(INPUT!H9="",NA(),E70*(1+$E$8)*$E$10)</f>
        <v>8189.27066595614</v>
      </c>
      <c r="G75" s="483">
        <f>IF(INPUT!H9="",NA(),F70*(1+$E$8)*$E$10)</f>
        <v>8926.3050258921921</v>
      </c>
      <c r="H75" s="21"/>
      <c r="I75" s="21"/>
      <c r="J75" s="21"/>
      <c r="K75" s="21"/>
      <c r="L75" s="21"/>
      <c r="M75" s="21"/>
    </row>
    <row r="76" spans="1:14" ht="15" customHeight="1" x14ac:dyDescent="0.3">
      <c r="B76" s="39"/>
    </row>
    <row r="77" spans="1:14" ht="15" customHeight="1" x14ac:dyDescent="0.3">
      <c r="B77" s="39"/>
    </row>
    <row r="78" spans="1:14" ht="15" customHeight="1" x14ac:dyDescent="0.3">
      <c r="B78" s="39"/>
    </row>
    <row r="79" spans="1:14" ht="15" customHeight="1" x14ac:dyDescent="0.3">
      <c r="B79" s="39"/>
    </row>
    <row r="80" spans="1:14" ht="15" customHeight="1" x14ac:dyDescent="0.3">
      <c r="B80" s="39"/>
    </row>
    <row r="81" spans="2:2" ht="15" customHeight="1" x14ac:dyDescent="0.3">
      <c r="B81" s="39"/>
    </row>
    <row r="82" spans="2:2" ht="15" customHeight="1" x14ac:dyDescent="0.3">
      <c r="B82" s="39"/>
    </row>
    <row r="83" spans="2:2" ht="15" customHeight="1" x14ac:dyDescent="0.3">
      <c r="B83" s="39"/>
    </row>
    <row r="84" spans="2:2" ht="15" customHeight="1" x14ac:dyDescent="0.3">
      <c r="B84" s="39"/>
    </row>
    <row r="85" spans="2:2" ht="15" customHeight="1" x14ac:dyDescent="0.3">
      <c r="B85" s="39"/>
    </row>
    <row r="86" spans="2:2" ht="15" customHeight="1" x14ac:dyDescent="0.3">
      <c r="B86" s="39"/>
    </row>
    <row r="87" spans="2:2" ht="15" customHeight="1" x14ac:dyDescent="0.3">
      <c r="B87" s="39"/>
    </row>
    <row r="88" spans="2:2" ht="15" customHeight="1" x14ac:dyDescent="0.3">
      <c r="B88" s="39"/>
    </row>
    <row r="89" spans="2:2" ht="15" customHeight="1" x14ac:dyDescent="0.3">
      <c r="B89" s="39"/>
    </row>
    <row r="90" spans="2:2" ht="15" customHeight="1" x14ac:dyDescent="0.3">
      <c r="B90" s="39"/>
    </row>
    <row r="91" spans="2:2" ht="15" customHeight="1" x14ac:dyDescent="0.3">
      <c r="B91" s="39"/>
    </row>
    <row r="92" spans="2:2" ht="15" customHeight="1" x14ac:dyDescent="0.3">
      <c r="B92" s="39"/>
    </row>
    <row r="93" spans="2:2" ht="15" customHeight="1" x14ac:dyDescent="0.3">
      <c r="B93" s="39"/>
    </row>
    <row r="94" spans="2:2" ht="15" customHeight="1" x14ac:dyDescent="0.3">
      <c r="B94" s="39"/>
    </row>
    <row r="95" spans="2:2" ht="15" customHeight="1" x14ac:dyDescent="0.3">
      <c r="B95" s="39"/>
    </row>
    <row r="96" spans="2:2" ht="15" customHeight="1" x14ac:dyDescent="0.3">
      <c r="B96" s="39"/>
    </row>
    <row r="97" spans="2:2" ht="15" customHeight="1" x14ac:dyDescent="0.3">
      <c r="B97" s="39"/>
    </row>
    <row r="98" spans="2:2" ht="15" customHeight="1" x14ac:dyDescent="0.3">
      <c r="B98" s="39"/>
    </row>
    <row r="99" spans="2:2" ht="15" customHeight="1" x14ac:dyDescent="0.3">
      <c r="B99" s="39"/>
    </row>
    <row r="100" spans="2:2" ht="15" customHeight="1" x14ac:dyDescent="0.3">
      <c r="B100" s="39"/>
    </row>
    <row r="101" spans="2:2" ht="15" customHeight="1" x14ac:dyDescent="0.3">
      <c r="B101" s="39"/>
    </row>
    <row r="102" spans="2:2" ht="15" customHeight="1" x14ac:dyDescent="0.3">
      <c r="B102" s="39"/>
    </row>
    <row r="103" spans="2:2" ht="15" customHeight="1" x14ac:dyDescent="0.3">
      <c r="B103" s="39"/>
    </row>
    <row r="104" spans="2:2" ht="15" customHeight="1" x14ac:dyDescent="0.3">
      <c r="B104" s="39"/>
    </row>
    <row r="105" spans="2:2" ht="15" customHeight="1" x14ac:dyDescent="0.3">
      <c r="B105" s="39"/>
    </row>
    <row r="106" spans="2:2" ht="15" customHeight="1" x14ac:dyDescent="0.3">
      <c r="B106" s="39"/>
    </row>
    <row r="107" spans="2:2" ht="15" customHeight="1" x14ac:dyDescent="0.3">
      <c r="B107" s="39"/>
    </row>
    <row r="108" spans="2:2" ht="15" customHeight="1" x14ac:dyDescent="0.3">
      <c r="B108" s="39"/>
    </row>
    <row r="109" spans="2:2" ht="15" customHeight="1" x14ac:dyDescent="0.3">
      <c r="B109" s="39"/>
    </row>
    <row r="110" spans="2:2" ht="15" customHeight="1" x14ac:dyDescent="0.3">
      <c r="B110" s="39"/>
    </row>
    <row r="111" spans="2:2" ht="15" customHeight="1" x14ac:dyDescent="0.3">
      <c r="B111" s="39"/>
    </row>
    <row r="112" spans="2:2" ht="15" customHeight="1" x14ac:dyDescent="0.3">
      <c r="B112" s="39"/>
    </row>
    <row r="113" spans="2:2" ht="15" customHeight="1" x14ac:dyDescent="0.3">
      <c r="B113" s="39"/>
    </row>
    <row r="114" spans="2:2" ht="15" customHeight="1" x14ac:dyDescent="0.3">
      <c r="B114" s="39"/>
    </row>
    <row r="115" spans="2:2" ht="15" customHeight="1" x14ac:dyDescent="0.3">
      <c r="B115" s="39"/>
    </row>
    <row r="116" spans="2:2" ht="15" customHeight="1" x14ac:dyDescent="0.3">
      <c r="B116" s="39"/>
    </row>
    <row r="117" spans="2:2" ht="15" customHeight="1" x14ac:dyDescent="0.3">
      <c r="B117" s="39"/>
    </row>
    <row r="118" spans="2:2" ht="15" customHeight="1" x14ac:dyDescent="0.3">
      <c r="B118" s="39"/>
    </row>
    <row r="119" spans="2:2" ht="15" customHeight="1" x14ac:dyDescent="0.3">
      <c r="B119" s="39"/>
    </row>
    <row r="120" spans="2:2" ht="15" customHeight="1" x14ac:dyDescent="0.3">
      <c r="B120" s="39"/>
    </row>
    <row r="121" spans="2:2" ht="15" customHeight="1" x14ac:dyDescent="0.3">
      <c r="B121" s="39"/>
    </row>
    <row r="122" spans="2:2" ht="15" customHeight="1" x14ac:dyDescent="0.3">
      <c r="B122" s="39"/>
    </row>
    <row r="123" spans="2:2" ht="15" customHeight="1" x14ac:dyDescent="0.3">
      <c r="B123" s="39"/>
    </row>
    <row r="124" spans="2:2" ht="15" customHeight="1" x14ac:dyDescent="0.3">
      <c r="B124" s="39"/>
    </row>
    <row r="125" spans="2:2" x14ac:dyDescent="0.3">
      <c r="B125" s="39"/>
    </row>
    <row r="126" spans="2:2" x14ac:dyDescent="0.3">
      <c r="B126" s="39"/>
    </row>
    <row r="127" spans="2:2" x14ac:dyDescent="0.3">
      <c r="B127" s="39"/>
    </row>
    <row r="128" spans="2:2" x14ac:dyDescent="0.3">
      <c r="B128" s="39"/>
    </row>
    <row r="129" spans="2:2" x14ac:dyDescent="0.3">
      <c r="B129" s="39"/>
    </row>
    <row r="130" spans="2:2" x14ac:dyDescent="0.3">
      <c r="B130" s="39"/>
    </row>
  </sheetData>
  <dataValidations disablePrompts="1" count="1">
    <dataValidation type="list" allowBlank="1" showInputMessage="1" showErrorMessage="1" errorTitle="Invalid Selection" error="Please select Pessimistic, Realistic, or Optimistic" promptTitle="Select Scenario" prompt="Choose: Pessimistic, Realistic, or Optimistic" sqref="D6" xr:uid="{00000000-0002-0000-0400-000000000000}">
      <formula1>"Pessimistic,Realistic,Optimistic"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97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123"/>
  <sheetViews>
    <sheetView showGridLines="0" zoomScale="73" zoomScaleNormal="85" workbookViewId="0">
      <selection activeCell="A33" sqref="A33"/>
    </sheetView>
  </sheetViews>
  <sheetFormatPr baseColWidth="10" defaultColWidth="11.5546875" defaultRowHeight="14.4" outlineLevelRow="1" x14ac:dyDescent="0.3"/>
  <cols>
    <col min="1" max="1" width="1.77734375" customWidth="1"/>
    <col min="2" max="2" width="18.44140625" style="18" bestFit="1" customWidth="1"/>
    <col min="3" max="3" width="15.88671875" customWidth="1"/>
    <col min="4" max="4" width="21.21875" style="20" bestFit="1" customWidth="1"/>
    <col min="5" max="5" width="18.5546875" style="20" customWidth="1"/>
    <col min="6" max="6" width="10.88671875" style="20" customWidth="1"/>
    <col min="7" max="7" width="8.6640625" style="20" customWidth="1"/>
    <col min="8" max="8" width="17.5546875" style="20" customWidth="1"/>
    <col min="9" max="9" width="20.88671875" style="20" customWidth="1"/>
    <col min="10" max="10" width="16.109375" style="20" customWidth="1"/>
    <col min="11" max="12" width="12.33203125" style="20" bestFit="1" customWidth="1"/>
    <col min="13" max="13" width="4.6640625" style="20" customWidth="1"/>
    <col min="14" max="15" width="11.88671875" style="20" customWidth="1"/>
  </cols>
  <sheetData>
    <row r="1" spans="1:21" ht="50.1" customHeight="1" x14ac:dyDescent="0.6">
      <c r="A1" s="124"/>
      <c r="B1" s="81" t="s">
        <v>97</v>
      </c>
      <c r="C1" s="124"/>
      <c r="D1" s="124"/>
      <c r="E1" s="124"/>
      <c r="F1" s="124"/>
      <c r="G1" s="124"/>
      <c r="H1" s="124"/>
      <c r="I1" s="124"/>
      <c r="J1" s="124"/>
      <c r="K1" s="103"/>
      <c r="L1" s="114"/>
      <c r="M1" s="114"/>
      <c r="N1" s="114"/>
      <c r="Q1" s="303" t="s">
        <v>207</v>
      </c>
      <c r="R1" s="303">
        <v>2022</v>
      </c>
      <c r="S1" s="303">
        <v>2023</v>
      </c>
      <c r="T1" s="303">
        <v>2024</v>
      </c>
      <c r="U1" s="303"/>
    </row>
    <row r="2" spans="1:21" ht="15" customHeight="1" x14ac:dyDescent="0.35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Q2" s="303" t="s">
        <v>207</v>
      </c>
      <c r="R2" s="303" t="s">
        <v>208</v>
      </c>
      <c r="S2" s="303">
        <f>RATIOS!F70</f>
        <v>22198.77</v>
      </c>
      <c r="T2" s="303">
        <f>RATIOS!G70</f>
        <v>22198.77</v>
      </c>
      <c r="U2" s="303"/>
    </row>
    <row r="3" spans="1:21" ht="21" customHeight="1" x14ac:dyDescent="0.5">
      <c r="A3" s="125" t="s">
        <v>5</v>
      </c>
      <c r="B3" s="105" t="s">
        <v>209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Q3" s="304">
        <v>2022</v>
      </c>
      <c r="R3" s="303">
        <f>RATIOS!E70</f>
        <v>13997.16</v>
      </c>
    </row>
    <row r="4" spans="1:21" ht="11.4" customHeight="1" x14ac:dyDescent="0.35">
      <c r="A4" s="121"/>
      <c r="B4" s="371" t="str">
        <f>"All figures in "&amp;INPUT!D140&amp;" "&amp;INPUT!D141&amp;" unless stated"</f>
        <v>All figures in USD M unless stated</v>
      </c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Q4" s="304">
        <v>2023</v>
      </c>
      <c r="R4" s="303">
        <f>RATIOS!F70</f>
        <v>22198.77</v>
      </c>
    </row>
    <row r="5" spans="1:21" ht="15" customHeight="1" x14ac:dyDescent="0.35">
      <c r="A5" s="121"/>
      <c r="B5" s="121"/>
      <c r="C5" s="121"/>
      <c r="D5" s="121"/>
      <c r="E5" s="121"/>
      <c r="F5" s="121"/>
      <c r="G5" s="121"/>
      <c r="H5" s="121"/>
      <c r="I5" s="121"/>
      <c r="J5" s="121"/>
      <c r="N5" s="121"/>
      <c r="Q5" s="304">
        <v>2024</v>
      </c>
      <c r="R5" s="303">
        <f>RATIOS!G70</f>
        <v>22198.77</v>
      </c>
    </row>
    <row r="6" spans="1:21" ht="15" customHeight="1" x14ac:dyDescent="0.35">
      <c r="A6" s="121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Q6" s="315" t="s">
        <v>100</v>
      </c>
    </row>
    <row r="7" spans="1:21" ht="15" customHeight="1" x14ac:dyDescent="0.35">
      <c r="A7" s="121"/>
      <c r="B7" s="161" t="s">
        <v>210</v>
      </c>
      <c r="C7" s="161"/>
      <c r="D7" s="161"/>
      <c r="E7" s="160"/>
      <c r="F7" s="160"/>
      <c r="G7" s="121"/>
      <c r="H7" s="161" t="s">
        <v>211</v>
      </c>
      <c r="I7" s="160"/>
      <c r="J7" s="160"/>
      <c r="K7" s="160"/>
      <c r="L7" s="160"/>
      <c r="M7" s="160"/>
      <c r="N7" s="121"/>
      <c r="Q7" s="315">
        <v>2022</v>
      </c>
      <c r="R7" s="315" t="s">
        <v>7</v>
      </c>
      <c r="S7" s="315" t="s">
        <v>19</v>
      </c>
      <c r="T7" s="315" t="s">
        <v>212</v>
      </c>
    </row>
    <row r="8" spans="1:21" ht="15" customHeight="1" x14ac:dyDescent="0.35">
      <c r="A8" s="121"/>
      <c r="B8" s="127"/>
      <c r="C8" s="127"/>
      <c r="D8" s="127"/>
      <c r="E8" s="127"/>
      <c r="F8" s="127"/>
      <c r="G8" s="121"/>
      <c r="H8" s="127"/>
      <c r="I8" s="160"/>
      <c r="J8" s="160"/>
      <c r="K8" s="160"/>
      <c r="L8" s="127"/>
      <c r="M8" s="121"/>
      <c r="N8" s="121"/>
      <c r="Q8" s="315">
        <v>2023</v>
      </c>
      <c r="R8" s="315">
        <f>RATIOS!E67</f>
        <v>5973.69</v>
      </c>
      <c r="S8" s="315">
        <f>RATIOS!E69</f>
        <v>-1355.8899999999992</v>
      </c>
      <c r="T8" s="315">
        <f>RATIOS!E74</f>
        <v>-0.16642309862078555</v>
      </c>
    </row>
    <row r="9" spans="1:21" ht="15" customHeight="1" x14ac:dyDescent="0.35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Q9" s="315">
        <v>2024</v>
      </c>
      <c r="R9" s="315">
        <f>RATIOS!F67</f>
        <v>8023.47</v>
      </c>
      <c r="S9" s="315">
        <f>RATIOS!F69</f>
        <v>-2120.21</v>
      </c>
      <c r="T9" s="315">
        <f>RATIOS!F74</f>
        <v>-0.16899047419632643</v>
      </c>
    </row>
    <row r="10" spans="1:21" ht="15" customHeight="1" x14ac:dyDescent="0.35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Q10" s="315" t="s">
        <v>4</v>
      </c>
      <c r="R10" s="315">
        <f>RATIOS!G67</f>
        <v>8201.61</v>
      </c>
      <c r="S10" s="315">
        <f>RATIOS!G69</f>
        <v>-2120.21</v>
      </c>
      <c r="T10" s="315">
        <f>RATIOS!G74</f>
        <v>-0.25851143860778553</v>
      </c>
    </row>
    <row r="11" spans="1:21" ht="15" customHeight="1" x14ac:dyDescent="0.35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R11" s="315">
        <f>RATIOS!H67</f>
        <v>8790.1299999999992</v>
      </c>
      <c r="S11" s="315">
        <f>RATIOS!H69</f>
        <v>-3710.92</v>
      </c>
      <c r="T11" s="315">
        <f>RATIOS!H74</f>
        <v>-0.42216895540794053</v>
      </c>
    </row>
    <row r="12" spans="1:21" ht="15" customHeight="1" x14ac:dyDescent="0.35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</row>
    <row r="13" spans="1:21" ht="15" customHeight="1" x14ac:dyDescent="0.35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</row>
    <row r="14" spans="1:21" ht="15" customHeight="1" x14ac:dyDescent="0.35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</row>
    <row r="15" spans="1:21" ht="15" customHeight="1" x14ac:dyDescent="0.35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</row>
    <row r="16" spans="1:21" ht="15" customHeight="1" x14ac:dyDescent="0.35">
      <c r="A16" s="12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</row>
    <row r="17" spans="1:14" ht="15" customHeight="1" x14ac:dyDescent="0.35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</row>
    <row r="18" spans="1:14" ht="15" customHeight="1" x14ac:dyDescent="0.35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</row>
    <row r="19" spans="1:14" ht="15" customHeight="1" x14ac:dyDescent="0.35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</row>
    <row r="20" spans="1:14" ht="15" customHeight="1" x14ac:dyDescent="0.35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</row>
    <row r="21" spans="1:14" ht="15" customHeight="1" x14ac:dyDescent="0.35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</row>
    <row r="22" spans="1:14" ht="15" customHeight="1" x14ac:dyDescent="0.35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</row>
    <row r="23" spans="1:14" ht="15" customHeight="1" x14ac:dyDescent="0.35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</row>
    <row r="24" spans="1:14" ht="15" customHeight="1" x14ac:dyDescent="0.35">
      <c r="A24" s="121"/>
      <c r="B24" s="161" t="s">
        <v>213</v>
      </c>
      <c r="C24" s="161"/>
      <c r="D24" s="161"/>
      <c r="E24" s="161"/>
      <c r="F24" s="162"/>
      <c r="G24" s="121"/>
      <c r="H24" s="161" t="s">
        <v>214</v>
      </c>
      <c r="I24" s="160"/>
      <c r="J24" s="160"/>
      <c r="K24" s="160"/>
      <c r="L24" s="160"/>
      <c r="M24" s="160"/>
      <c r="N24" s="121"/>
    </row>
    <row r="25" spans="1:14" ht="15" customHeight="1" x14ac:dyDescent="0.35">
      <c r="A25" s="121"/>
      <c r="B25" s="127"/>
      <c r="C25" s="127"/>
      <c r="D25" s="127"/>
      <c r="E25" s="127"/>
      <c r="F25" s="127"/>
      <c r="G25" s="121"/>
      <c r="H25" s="127"/>
      <c r="I25" s="127"/>
      <c r="J25" s="127"/>
      <c r="K25" s="127"/>
      <c r="L25" s="127"/>
      <c r="M25" s="121"/>
      <c r="N25" s="121"/>
    </row>
    <row r="26" spans="1:14" ht="15" customHeight="1" x14ac:dyDescent="0.35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</row>
    <row r="27" spans="1:14" ht="15" customHeight="1" x14ac:dyDescent="0.35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</row>
    <row r="28" spans="1:14" ht="15" customHeight="1" x14ac:dyDescent="0.35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</row>
    <row r="29" spans="1:14" ht="15" customHeight="1" x14ac:dyDescent="0.35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</row>
    <row r="30" spans="1:14" ht="15" customHeight="1" x14ac:dyDescent="0.35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</row>
    <row r="31" spans="1:14" ht="15" customHeight="1" x14ac:dyDescent="0.35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</row>
    <row r="32" spans="1:14" ht="15" customHeight="1" x14ac:dyDescent="0.35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</row>
    <row r="33" spans="1:16" ht="15" customHeight="1" x14ac:dyDescent="0.35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</row>
    <row r="34" spans="1:16" ht="15" customHeight="1" x14ac:dyDescent="0.35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</row>
    <row r="35" spans="1:16" ht="15" customHeight="1" x14ac:dyDescent="0.35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</row>
    <row r="36" spans="1:16" ht="15" customHeight="1" x14ac:dyDescent="0.35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</row>
    <row r="37" spans="1:16" ht="15" customHeight="1" x14ac:dyDescent="0.35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</row>
    <row r="38" spans="1:16" ht="15" customHeight="1" x14ac:dyDescent="0.35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</row>
    <row r="39" spans="1:16" ht="15" customHeight="1" x14ac:dyDescent="0.35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</row>
    <row r="40" spans="1:16" ht="15" customHeight="1" x14ac:dyDescent="0.35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</row>
    <row r="41" spans="1:16" ht="15" customHeight="1" x14ac:dyDescent="0.35">
      <c r="A41" s="121"/>
      <c r="B41" s="159" t="s">
        <v>215</v>
      </c>
      <c r="C41" s="159"/>
      <c r="D41" s="159"/>
      <c r="E41" s="160"/>
      <c r="G41" s="121"/>
      <c r="H41" s="159" t="s">
        <v>216</v>
      </c>
      <c r="I41" s="160"/>
      <c r="J41" s="160"/>
      <c r="K41" s="160"/>
      <c r="L41" s="160"/>
      <c r="M41" s="160"/>
      <c r="N41" s="121"/>
    </row>
    <row r="42" spans="1:16" ht="15" customHeight="1" x14ac:dyDescent="0.35">
      <c r="A42" s="121"/>
      <c r="B42" s="121"/>
      <c r="C42" s="121"/>
      <c r="D42" s="121"/>
      <c r="E42" s="295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</row>
    <row r="43" spans="1:16" ht="15" customHeight="1" x14ac:dyDescent="0.35">
      <c r="A43" s="121"/>
      <c r="B43" s="121"/>
      <c r="C43" s="137" t="s">
        <v>217</v>
      </c>
      <c r="D43" s="296" t="s">
        <v>218</v>
      </c>
      <c r="E43" s="297"/>
      <c r="F43" s="294"/>
      <c r="H43" s="121"/>
      <c r="I43" s="137" t="s">
        <v>219</v>
      </c>
      <c r="J43" s="137" t="s">
        <v>220</v>
      </c>
      <c r="K43" s="137" t="s">
        <v>221</v>
      </c>
      <c r="L43" s="137" t="s">
        <v>222</v>
      </c>
      <c r="P43" s="121"/>
    </row>
    <row r="44" spans="1:16" ht="15" customHeight="1" x14ac:dyDescent="0.4">
      <c r="A44" s="121"/>
      <c r="B44" s="135" t="s">
        <v>7</v>
      </c>
      <c r="C44" s="301">
        <f>AVERAGE(INPUT!D9:H9)</f>
        <v>7747.2250000000004</v>
      </c>
      <c r="D44" s="372" t="str">
        <f>IF(INPUT!H9&gt;INPUT!G9,"▲",IF(INPUT!H9&lt;INPUT!G9,"▼","→"))</f>
        <v>▲</v>
      </c>
      <c r="E44" s="295"/>
      <c r="F44" s="291"/>
      <c r="H44" s="135" t="s">
        <v>7</v>
      </c>
      <c r="I44" s="298">
        <f>INPUT!H9</f>
        <v>8790.1299999999992</v>
      </c>
      <c r="J44" s="298">
        <f>INPUT!G9</f>
        <v>8201.61</v>
      </c>
      <c r="K44" s="298">
        <f>I44-J44</f>
        <v>588.51999999999862</v>
      </c>
      <c r="L44" s="235">
        <f>IF(J44=0,NA(),K44/ABS(J44))</f>
        <v>7.1756642903039597E-2</v>
      </c>
      <c r="P44" s="121"/>
    </row>
    <row r="45" spans="1:16" ht="15" customHeight="1" outlineLevel="1" x14ac:dyDescent="0.35">
      <c r="A45" s="121"/>
      <c r="B45" s="136"/>
      <c r="C45" s="295"/>
      <c r="D45" s="295"/>
      <c r="E45" s="295"/>
      <c r="F45" s="121"/>
      <c r="H45" s="136"/>
      <c r="I45" s="163"/>
      <c r="J45" s="163"/>
      <c r="K45" s="163"/>
      <c r="L45" s="164"/>
      <c r="P45" s="121"/>
    </row>
    <row r="46" spans="1:16" ht="15" customHeight="1" x14ac:dyDescent="0.4">
      <c r="A46" s="121"/>
      <c r="B46" s="135" t="s">
        <v>223</v>
      </c>
      <c r="C46" s="299">
        <f>ABS(AVERAGE(INPUT!D10:H10))</f>
        <v>1952.83</v>
      </c>
      <c r="D46" s="372" t="str">
        <f>IF(ABS(INPUT!H10)&lt;ABS(INPUT!G10),"▲",IF(ABS(INPUT!H10)&gt;ABS(INPUT!G10),"▼","→"))</f>
        <v>▼</v>
      </c>
      <c r="E46" s="295"/>
      <c r="F46" s="291"/>
      <c r="H46" s="135" t="s">
        <v>223</v>
      </c>
      <c r="I46" s="298">
        <f>ABS(INPUT!H10)</f>
        <v>2234.65</v>
      </c>
      <c r="J46" s="299">
        <f>ABS(INPUT!G10)</f>
        <v>2057.2399999999998</v>
      </c>
      <c r="K46" s="298">
        <f>I46-J46</f>
        <v>177.41000000000031</v>
      </c>
      <c r="L46" s="235">
        <f>IF(J46=0,NA(),K46/ABS(J46))</f>
        <v>8.6236899924170413E-2</v>
      </c>
      <c r="P46" s="121"/>
    </row>
    <row r="47" spans="1:16" ht="15" customHeight="1" outlineLevel="1" x14ac:dyDescent="0.35">
      <c r="A47" s="121"/>
      <c r="B47" s="136"/>
      <c r="C47" s="295"/>
      <c r="D47" s="295"/>
      <c r="E47" s="295"/>
      <c r="F47" s="121"/>
      <c r="H47" s="136"/>
      <c r="I47" s="163"/>
      <c r="J47" s="163"/>
      <c r="K47" s="163"/>
      <c r="L47" s="164"/>
      <c r="P47" s="121"/>
    </row>
    <row r="48" spans="1:16" ht="15" customHeight="1" x14ac:dyDescent="0.4">
      <c r="A48" s="121"/>
      <c r="B48" s="135" t="s">
        <v>224</v>
      </c>
      <c r="C48" s="299">
        <f>ABS(AVERAGE(INPUT!D13:H13))</f>
        <v>5821.7160000000003</v>
      </c>
      <c r="D48" s="373" t="str">
        <f>IF(ABS(INPUT!H13)&lt;ABS(INPUT!G13),"▲",IF(ABS(INPUT!H13)&gt;ABS(INPUT!G13),"▼","→"))</f>
        <v>▼</v>
      </c>
      <c r="E48" s="295"/>
      <c r="F48" s="291"/>
      <c r="H48" s="135" t="s">
        <v>224</v>
      </c>
      <c r="I48" s="298">
        <f>ABS(INPUT!H13)</f>
        <v>9506.14</v>
      </c>
      <c r="J48" s="299">
        <f>ABS(INPUT!G13)</f>
        <v>7539.2800000000007</v>
      </c>
      <c r="K48" s="298">
        <f>I48-J48</f>
        <v>1966.8599999999988</v>
      </c>
      <c r="L48" s="235">
        <f>IF(J48=0,NA(),K48/ABS(J48))</f>
        <v>0.26088167570378057</v>
      </c>
      <c r="P48" s="121"/>
    </row>
    <row r="49" spans="1:30" ht="15" customHeight="1" outlineLevel="1" x14ac:dyDescent="0.35">
      <c r="A49" s="121"/>
      <c r="B49" s="136"/>
      <c r="C49" s="295"/>
      <c r="D49" s="295"/>
      <c r="E49" s="295"/>
      <c r="F49" s="121"/>
      <c r="H49" s="136"/>
      <c r="I49" s="163"/>
      <c r="J49" s="163"/>
      <c r="K49" s="163"/>
      <c r="L49" s="164"/>
      <c r="P49" s="121"/>
    </row>
    <row r="50" spans="1:30" ht="15" customHeight="1" x14ac:dyDescent="0.4">
      <c r="A50" s="121"/>
      <c r="B50" s="135" t="s">
        <v>19</v>
      </c>
      <c r="C50" s="299">
        <f>AVERAGE(INPUT!D26:H26)</f>
        <v>-1636.2359999999999</v>
      </c>
      <c r="D50" s="372" t="str">
        <f>IF(INPUT!H26&gt;INPUT!G26,"▲",IF(INPUT!H26&lt;INPUT!G26,"▼","→"))</f>
        <v>▼</v>
      </c>
      <c r="E50" s="295"/>
      <c r="F50" s="291"/>
      <c r="H50" s="135" t="s">
        <v>19</v>
      </c>
      <c r="I50" s="298">
        <f>INPUT!H26</f>
        <v>-3710.92</v>
      </c>
      <c r="J50" s="299">
        <f>INPUT!G26</f>
        <v>-2120.21</v>
      </c>
      <c r="K50" s="298">
        <f>I50-J50</f>
        <v>-1590.71</v>
      </c>
      <c r="L50" s="235">
        <f>IF(J50=0,NA(),K50/ABS(J50))</f>
        <v>-0.75026058739464485</v>
      </c>
      <c r="P50" s="121"/>
    </row>
    <row r="51" spans="1:30" ht="15" customHeight="1" outlineLevel="1" x14ac:dyDescent="0.35">
      <c r="A51" s="121"/>
      <c r="B51" s="136"/>
      <c r="C51" s="295"/>
      <c r="D51" s="295"/>
      <c r="E51" s="295"/>
      <c r="F51" s="121"/>
      <c r="H51" s="136"/>
      <c r="I51" s="121"/>
      <c r="J51" s="121"/>
      <c r="K51" s="121"/>
      <c r="L51" s="164"/>
      <c r="P51" s="121"/>
    </row>
    <row r="52" spans="1:30" ht="15" customHeight="1" x14ac:dyDescent="0.4">
      <c r="A52" s="121"/>
      <c r="B52" s="135" t="s">
        <v>225</v>
      </c>
      <c r="C52" s="302">
        <f>AVERAGE(INPUT!D26:H26)/AVERAGE(INPUT!D9:H9)</f>
        <v>-0.21120285005276079</v>
      </c>
      <c r="D52" s="372" t="str">
        <f>IF(INPUT!H26/INPUT!H9&gt;INPUT!G26/INPUT!G9,"▲",IF(INPUT!H26/INPUT!H9&lt;INPUT!G26/INPUT!G9,"▼","→"))</f>
        <v>▼</v>
      </c>
      <c r="E52" s="295"/>
      <c r="F52" s="293"/>
      <c r="H52" s="135" t="s">
        <v>225</v>
      </c>
      <c r="I52" s="235">
        <f>INPUT!H26/INPUT!H9</f>
        <v>-0.42216895540794053</v>
      </c>
      <c r="J52" s="235">
        <f>INPUT!G26/INPUT!G9</f>
        <v>-0.25851143860778553</v>
      </c>
      <c r="K52" s="235">
        <f>I52-J52</f>
        <v>-0.163657516800155</v>
      </c>
      <c r="L52" s="235">
        <f>IF(J52=0,NA(),K52/ABS(J52))</f>
        <v>-0.63307650014070271</v>
      </c>
      <c r="P52" s="121"/>
    </row>
    <row r="53" spans="1:30" ht="15" customHeight="1" x14ac:dyDescent="0.35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</row>
    <row r="54" spans="1:30" ht="15" customHeight="1" x14ac:dyDescent="0.35">
      <c r="A54" s="121"/>
      <c r="B54" s="488" t="s">
        <v>413</v>
      </c>
      <c r="C54" s="489"/>
      <c r="D54" s="487"/>
      <c r="E54" s="487"/>
      <c r="F54" s="487"/>
      <c r="G54" s="121"/>
      <c r="H54" s="121"/>
      <c r="I54" s="121"/>
      <c r="J54" s="121"/>
      <c r="K54" s="121"/>
      <c r="L54" s="121"/>
      <c r="M54" s="121"/>
      <c r="N54" s="121"/>
      <c r="O54" s="121"/>
      <c r="P54" s="121"/>
    </row>
    <row r="55" spans="1:30" ht="15" customHeight="1" x14ac:dyDescent="0.4">
      <c r="A55" s="121"/>
      <c r="B55" s="60" t="s">
        <v>383</v>
      </c>
      <c r="C55" s="492">
        <f>IFERROR(RATIOS!H13,"–")</f>
        <v>0.14996781115879829</v>
      </c>
      <c r="D55" s="378" t="s">
        <v>414</v>
      </c>
      <c r="E55" s="358"/>
      <c r="F55" s="356"/>
      <c r="G55" s="121"/>
      <c r="H55" s="121"/>
      <c r="I55" s="121"/>
      <c r="J55" s="121"/>
      <c r="K55" s="121"/>
      <c r="L55" s="121"/>
      <c r="M55" s="121"/>
      <c r="N55" s="121"/>
      <c r="O55" s="121"/>
      <c r="P55" s="121"/>
    </row>
    <row r="56" spans="1:30" ht="15" customHeight="1" x14ac:dyDescent="0.35">
      <c r="A56" s="121"/>
      <c r="B56" s="60" t="s">
        <v>322</v>
      </c>
      <c r="C56" s="493">
        <f>IFERROR(INPUT!H107,"–")</f>
        <v>0.96499999999999997</v>
      </c>
      <c r="D56" s="359" t="s">
        <v>415</v>
      </c>
      <c r="E56" s="356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</row>
    <row r="57" spans="1:30" ht="15" customHeight="1" x14ac:dyDescent="0.35">
      <c r="A57" s="121"/>
      <c r="B57" s="60" t="s">
        <v>342</v>
      </c>
      <c r="C57" s="490">
        <f>IFERROR((INPUT!H100-INPUT!G100)/ABS(INPUT!G100),"–")</f>
        <v>-3.3568681975190633</v>
      </c>
      <c r="D57" s="20" t="s">
        <v>416</v>
      </c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</row>
    <row r="58" spans="1:30" ht="15" customHeight="1" x14ac:dyDescent="0.35">
      <c r="A58" s="121"/>
      <c r="B58" s="159" t="s">
        <v>226</v>
      </c>
      <c r="C58" s="159"/>
      <c r="D58" s="159"/>
      <c r="E58" s="159"/>
      <c r="F58" s="159"/>
      <c r="G58" s="121"/>
      <c r="H58" s="159" t="s">
        <v>227</v>
      </c>
      <c r="I58" s="160"/>
      <c r="J58" s="370"/>
      <c r="K58" s="370"/>
      <c r="L58" s="160"/>
      <c r="M58" s="160"/>
      <c r="N58" s="121"/>
    </row>
    <row r="59" spans="1:30" ht="15" customHeight="1" x14ac:dyDescent="0.35">
      <c r="A59" s="121"/>
      <c r="B59" s="367"/>
      <c r="C59" s="367"/>
      <c r="D59" s="367"/>
      <c r="E59" s="367"/>
      <c r="F59" s="367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55"/>
    </row>
    <row r="60" spans="1:30" ht="15" customHeight="1" x14ac:dyDescent="0.35">
      <c r="A60" s="121"/>
      <c r="B60" s="367"/>
      <c r="C60" s="367"/>
      <c r="D60" s="383">
        <f>INPUT!G5</f>
        <v>2024</v>
      </c>
      <c r="E60" s="384" t="str">
        <f>INPUT!H5</f>
        <v>2025 (LTM)</v>
      </c>
      <c r="F60" s="367"/>
      <c r="G60" s="121"/>
      <c r="H60" s="121"/>
      <c r="I60" s="121"/>
      <c r="J60" s="375">
        <f>INPUT!G5</f>
        <v>2024</v>
      </c>
      <c r="K60" s="375" t="str">
        <f>INPUT!H5</f>
        <v>2025 (LTM)</v>
      </c>
      <c r="M60" s="121"/>
      <c r="R60" s="367"/>
      <c r="S60" s="381">
        <f>INPUT!G9</f>
        <v>8201.61</v>
      </c>
      <c r="T60" s="381">
        <f>INPUT!H9</f>
        <v>8790.1299999999992</v>
      </c>
      <c r="U60" s="367"/>
      <c r="V60" s="121"/>
      <c r="W60" s="367"/>
      <c r="X60" s="377"/>
      <c r="Y60" s="374"/>
      <c r="Z60" s="374"/>
      <c r="AA60" s="377"/>
      <c r="AB60" s="377"/>
      <c r="AC60" s="121"/>
      <c r="AD60" s="20"/>
    </row>
    <row r="61" spans="1:30" ht="15" customHeight="1" x14ac:dyDescent="0.35">
      <c r="A61" s="121"/>
      <c r="B61" s="121"/>
      <c r="C61" s="121"/>
      <c r="D61" s="121"/>
      <c r="E61" s="121"/>
      <c r="F61" s="121"/>
      <c r="G61" s="77"/>
      <c r="H61" s="119" t="s">
        <v>228</v>
      </c>
      <c r="I61" s="121"/>
      <c r="J61" s="121"/>
      <c r="K61" s="376"/>
    </row>
    <row r="62" spans="1:30" ht="15" customHeight="1" x14ac:dyDescent="0.35">
      <c r="A62" s="121"/>
      <c r="B62" s="60" t="s">
        <v>229</v>
      </c>
      <c r="C62" s="367"/>
      <c r="D62" s="382">
        <f>-ABS(INPUT!G10)</f>
        <v>-2057.2399999999998</v>
      </c>
      <c r="E62" s="382">
        <f>-ABS(INPUT!H10)</f>
        <v>-2234.65</v>
      </c>
      <c r="F62" s="121"/>
      <c r="G62" s="100"/>
      <c r="H62" s="120" t="s">
        <v>230</v>
      </c>
      <c r="I62" s="121"/>
      <c r="J62" s="361">
        <f>INPUT!G38</f>
        <v>20665.05</v>
      </c>
      <c r="K62" s="300">
        <f>INPUT!H38</f>
        <v>18514.990000000002</v>
      </c>
    </row>
    <row r="63" spans="1:30" ht="15" customHeight="1" x14ac:dyDescent="0.35">
      <c r="A63" s="121"/>
      <c r="B63" s="180" t="s">
        <v>10</v>
      </c>
      <c r="C63" s="121"/>
      <c r="D63" s="380">
        <f>S60+D62</f>
        <v>6144.3700000000008</v>
      </c>
      <c r="E63" s="380">
        <f>T60+E62</f>
        <v>6555.48</v>
      </c>
      <c r="F63" s="77"/>
      <c r="G63" s="121"/>
      <c r="H63" s="120" t="s">
        <v>231</v>
      </c>
      <c r="I63" s="121"/>
      <c r="J63" s="361">
        <f>SUM(INPUT!G41:G43)</f>
        <v>4197.8799999999992</v>
      </c>
      <c r="K63" s="300">
        <f>SUM(INPUT!H41:H43)</f>
        <v>4705.76</v>
      </c>
    </row>
    <row r="64" spans="1:30" ht="15" customHeight="1" x14ac:dyDescent="0.35">
      <c r="A64" s="121"/>
      <c r="B64" s="55" t="s">
        <v>232</v>
      </c>
      <c r="C64" s="121"/>
      <c r="D64" s="202">
        <f>-ABS(INPUT!G14)</f>
        <v>-418.76</v>
      </c>
      <c r="E64" s="202">
        <f>-ABS(INPUT!H14)</f>
        <v>-469.11</v>
      </c>
      <c r="F64" s="100"/>
      <c r="G64" s="121"/>
      <c r="H64" s="121"/>
      <c r="I64" s="121"/>
      <c r="J64" s="121"/>
      <c r="K64" s="290"/>
    </row>
    <row r="65" spans="1:15 16369:16369" ht="15" customHeight="1" thickBot="1" x14ac:dyDescent="0.4">
      <c r="A65" s="121"/>
      <c r="B65" s="60" t="s">
        <v>233</v>
      </c>
      <c r="C65" s="121"/>
      <c r="D65" s="208">
        <f>-ABS(INPUT!G15)</f>
        <v>-4540</v>
      </c>
      <c r="E65" s="208">
        <f>-ABS(INPUT!H15)</f>
        <v>-6411</v>
      </c>
      <c r="F65" s="121"/>
      <c r="G65" s="100"/>
      <c r="H65" s="119" t="s">
        <v>31</v>
      </c>
      <c r="I65" s="121"/>
      <c r="J65" s="369">
        <f>INPUT!G44</f>
        <v>24862.93</v>
      </c>
      <c r="K65" s="388">
        <f>INPUT!H44</f>
        <v>23220.75</v>
      </c>
    </row>
    <row r="66" spans="1:15 16369:16369" ht="15" customHeight="1" x14ac:dyDescent="0.35">
      <c r="A66" s="121"/>
      <c r="B66" s="60" t="s">
        <v>234</v>
      </c>
      <c r="C66" s="121"/>
      <c r="D66" s="208">
        <f>-ABS(INPUT!G16)</f>
        <v>-2580.52</v>
      </c>
      <c r="E66" s="208">
        <f>-ABS(INPUT!H16)</f>
        <v>-2626.03</v>
      </c>
      <c r="F66" s="121"/>
      <c r="G66" s="100"/>
      <c r="H66" s="121"/>
      <c r="I66" s="121"/>
      <c r="J66" s="121"/>
      <c r="K66" s="290"/>
    </row>
    <row r="67" spans="1:15 16369:16369" ht="15" customHeight="1" x14ac:dyDescent="0.35">
      <c r="A67" s="121"/>
      <c r="B67" s="55" t="s">
        <v>14</v>
      </c>
      <c r="C67" s="121"/>
      <c r="D67" s="202">
        <f>D63+D64+D65+D66</f>
        <v>-1394.9099999999994</v>
      </c>
      <c r="E67" s="202">
        <f>E63+E64+E65+E66</f>
        <v>-2950.6600000000003</v>
      </c>
      <c r="F67" s="100"/>
      <c r="G67" s="100"/>
      <c r="H67" s="55" t="s">
        <v>235</v>
      </c>
      <c r="I67" s="121"/>
      <c r="J67" s="386"/>
      <c r="K67" s="387"/>
    </row>
    <row r="68" spans="1:15 16369:16369" ht="15" customHeight="1" x14ac:dyDescent="0.35">
      <c r="A68" s="121"/>
      <c r="B68" s="60" t="s">
        <v>236</v>
      </c>
      <c r="C68" s="121"/>
      <c r="D68" s="208">
        <f>-ABS(INPUT!G20)</f>
        <v>-837.3</v>
      </c>
      <c r="E68" s="208">
        <f>-ABS(INPUT!H20)</f>
        <v>-972.26</v>
      </c>
      <c r="F68" s="100"/>
      <c r="G68" s="100"/>
      <c r="H68" s="60" t="s">
        <v>237</v>
      </c>
      <c r="I68" s="121"/>
      <c r="J68" s="208">
        <f>INPUT!G51</f>
        <v>2137.3799999999997</v>
      </c>
      <c r="K68" s="208">
        <f>INPUT!H51</f>
        <v>2165.0300000000002</v>
      </c>
    </row>
    <row r="69" spans="1:15 16369:16369" ht="15" customHeight="1" thickBot="1" x14ac:dyDescent="0.4">
      <c r="A69" s="121"/>
      <c r="B69" s="55" t="s">
        <v>238</v>
      </c>
      <c r="C69" s="121"/>
      <c r="D69" s="292">
        <f>D67+D68</f>
        <v>-2232.2099999999991</v>
      </c>
      <c r="E69" s="369">
        <f>E67+E68</f>
        <v>-3922.92</v>
      </c>
      <c r="F69" s="100"/>
      <c r="G69" s="100"/>
      <c r="H69" s="60" t="s">
        <v>239</v>
      </c>
      <c r="I69" s="121"/>
      <c r="J69" s="361">
        <f>INPUT!G54</f>
        <v>30654.3</v>
      </c>
      <c r="K69" s="208">
        <f>INPUT!H54</f>
        <v>34992.39</v>
      </c>
    </row>
    <row r="70" spans="1:15 16369:16369" ht="15" customHeight="1" x14ac:dyDescent="0.35">
      <c r="A70" s="121"/>
      <c r="B70" s="60" t="s">
        <v>240</v>
      </c>
      <c r="C70" s="121"/>
      <c r="D70" s="202">
        <f>-ABS(INPUT!G21)</f>
        <v>0</v>
      </c>
      <c r="E70" s="202">
        <f>-ABS(INPUT!H21)</f>
        <v>0</v>
      </c>
      <c r="F70" s="100"/>
      <c r="G70" s="121"/>
      <c r="H70" s="55" t="s">
        <v>38</v>
      </c>
      <c r="I70" s="121"/>
      <c r="J70" s="362">
        <f>INPUT!G55</f>
        <v>32791.68</v>
      </c>
      <c r="K70" s="202">
        <f>INPUT!H55</f>
        <v>37157.42</v>
      </c>
    </row>
    <row r="71" spans="1:15 16369:16369" ht="15" customHeight="1" thickBot="1" x14ac:dyDescent="0.4">
      <c r="A71" s="121"/>
      <c r="B71" s="55" t="s">
        <v>19</v>
      </c>
      <c r="C71" s="121"/>
      <c r="D71" s="385">
        <f>D69+D70</f>
        <v>-2232.2099999999991</v>
      </c>
      <c r="E71" s="385">
        <f>E69+E70</f>
        <v>-3922.92</v>
      </c>
      <c r="F71" s="100"/>
      <c r="G71" s="121"/>
      <c r="H71" s="60" t="s">
        <v>241</v>
      </c>
      <c r="I71" s="121"/>
      <c r="J71" s="385">
        <f>INPUT!G60</f>
        <v>54071.359999999993</v>
      </c>
      <c r="K71" s="385">
        <f>INPUT!H60</f>
        <v>53869.45</v>
      </c>
    </row>
    <row r="72" spans="1:15 16369:16369" ht="15" customHeight="1" thickTop="1" thickBot="1" x14ac:dyDescent="0.4">
      <c r="A72" s="121"/>
      <c r="B72" s="55" t="s">
        <v>21</v>
      </c>
      <c r="C72" s="121"/>
      <c r="D72" s="213">
        <f>D67+ABS(D66)</f>
        <v>1185.6100000000006</v>
      </c>
      <c r="E72" s="369">
        <f>E67+ABS(E66)</f>
        <v>-324.63000000000011</v>
      </c>
      <c r="F72" s="121"/>
      <c r="G72" s="77"/>
      <c r="H72" s="55" t="s">
        <v>42</v>
      </c>
      <c r="I72" s="121"/>
      <c r="J72" s="369">
        <f>INPUT!G63</f>
        <v>86863.039999999994</v>
      </c>
      <c r="K72" s="213">
        <f>INPUT!H63</f>
        <v>91026.87</v>
      </c>
    </row>
    <row r="73" spans="1:15 16369:16369" ht="15" customHeight="1" x14ac:dyDescent="0.35">
      <c r="A73" s="121"/>
      <c r="B73" s="60"/>
      <c r="C73" s="121"/>
      <c r="D73" s="368"/>
      <c r="E73" s="368"/>
      <c r="F73" s="121"/>
      <c r="G73" s="121"/>
      <c r="H73" s="121"/>
      <c r="I73" s="121"/>
      <c r="J73" s="121"/>
      <c r="K73" s="121"/>
      <c r="L73" s="121"/>
    </row>
    <row r="74" spans="1:15 16369:16369" ht="15" customHeight="1" x14ac:dyDescent="0.35">
      <c r="B74" s="119"/>
      <c r="C74" s="121"/>
      <c r="D74" s="368"/>
      <c r="E74" s="368"/>
      <c r="F74" s="77"/>
      <c r="L74" s="121"/>
    </row>
    <row r="75" spans="1:15 16369:16369" ht="15" customHeight="1" x14ac:dyDescent="0.35">
      <c r="B75" s="121"/>
      <c r="C75" s="121"/>
      <c r="D75" s="121"/>
      <c r="E75" s="121"/>
      <c r="F75" s="121"/>
      <c r="K75" s="121"/>
    </row>
    <row r="76" spans="1:15 16369:16369" ht="15" customHeight="1" x14ac:dyDescent="0.35">
      <c r="K76" s="121"/>
      <c r="XEO76" s="121"/>
    </row>
    <row r="77" spans="1:15 16369:16369" ht="15" customHeight="1" x14ac:dyDescent="0.35">
      <c r="XEO77" s="121"/>
    </row>
    <row r="78" spans="1:15 16369:16369" ht="15" customHeight="1" x14ac:dyDescent="0.3"/>
    <row r="79" spans="1:15 16369:16369" ht="15" customHeight="1" x14ac:dyDescent="0.35">
      <c r="A79" s="171"/>
      <c r="G79" s="244"/>
      <c r="H79" s="244"/>
      <c r="I79" s="244"/>
      <c r="J79" s="244"/>
      <c r="K79" s="244"/>
      <c r="L79" s="244"/>
      <c r="M79" s="244"/>
      <c r="N79" s="172"/>
      <c r="O79" s="172"/>
    </row>
    <row r="80" spans="1:15 16369:16369" ht="15" customHeight="1" x14ac:dyDescent="0.35">
      <c r="A80" s="171"/>
      <c r="G80" s="244"/>
      <c r="H80" s="244"/>
      <c r="I80" s="244"/>
      <c r="J80" s="244"/>
      <c r="K80" s="244"/>
      <c r="L80" s="244"/>
      <c r="M80" s="172"/>
      <c r="N80" s="172"/>
      <c r="O80" s="172"/>
    </row>
    <row r="81" spans="1:15 16373:16384" ht="15" customHeight="1" x14ac:dyDescent="0.35">
      <c r="A81" s="171"/>
      <c r="B81" s="244"/>
      <c r="C81" s="244"/>
      <c r="D81" s="244"/>
      <c r="E81" s="244"/>
      <c r="F81" s="244"/>
      <c r="G81" s="244"/>
      <c r="H81" s="244"/>
      <c r="I81" s="244"/>
      <c r="J81" s="244"/>
      <c r="K81" s="244"/>
      <c r="L81" s="244"/>
      <c r="M81" s="172"/>
      <c r="N81" s="172"/>
      <c r="O81" s="172"/>
    </row>
    <row r="82" spans="1:15 16373:16384" ht="15" customHeight="1" x14ac:dyDescent="0.35">
      <c r="A82" s="172"/>
      <c r="B82" s="244"/>
      <c r="C82" s="244"/>
      <c r="D82" s="244"/>
      <c r="E82" s="244"/>
      <c r="F82" s="244"/>
      <c r="G82" s="247" t="str">
        <f>INPUT!H5</f>
        <v>2025 (LTM)</v>
      </c>
      <c r="H82" s="248"/>
      <c r="I82" s="247" t="e">
        <f>IF(INPUT!D5="",NA(),INPUT!D5)</f>
        <v>#N/A</v>
      </c>
      <c r="J82" s="247">
        <f>INPUT!E5</f>
        <v>2022</v>
      </c>
      <c r="K82" s="247">
        <f>INPUT!F5</f>
        <v>2023</v>
      </c>
      <c r="L82" s="247">
        <f>INPUT!G5</f>
        <v>2024</v>
      </c>
      <c r="M82" s="247" t="str">
        <f>INPUT!H5</f>
        <v>2025 (LTM)</v>
      </c>
      <c r="N82" s="248"/>
      <c r="O82" s="172"/>
    </row>
    <row r="83" spans="1:15 16373:16384" ht="15" customHeight="1" x14ac:dyDescent="0.35">
      <c r="A83" s="172"/>
      <c r="B83" s="244"/>
      <c r="C83" s="244"/>
      <c r="D83" s="244"/>
      <c r="E83" s="244"/>
      <c r="F83" s="244"/>
      <c r="G83" s="248">
        <f>IF(INPUT!H9="",NA(),INPUT!H9)</f>
        <v>8790.1299999999992</v>
      </c>
      <c r="H83" s="248"/>
      <c r="I83" s="248"/>
      <c r="J83" s="248"/>
      <c r="K83" s="248"/>
      <c r="L83" s="248"/>
      <c r="M83" s="248"/>
      <c r="N83" s="248"/>
      <c r="O83" s="172"/>
    </row>
    <row r="84" spans="1:15 16373:16384" ht="15" customHeight="1" x14ac:dyDescent="0.3">
      <c r="A84" s="172"/>
      <c r="B84" s="172"/>
      <c r="C84" s="245" t="e">
        <f>IF(INPUT!D5="",NA(),INPUT!D5)</f>
        <v>#N/A</v>
      </c>
      <c r="D84" s="246">
        <f>INPUT!E5</f>
        <v>2022</v>
      </c>
      <c r="E84" s="247">
        <f>INPUT!F5</f>
        <v>2023</v>
      </c>
      <c r="F84" s="247">
        <f>INPUT!G5</f>
        <v>2024</v>
      </c>
      <c r="G84" s="248">
        <f>IF(INPUT!G30="",NA(),INPUT!G30)</f>
        <v>1185.6100000000001</v>
      </c>
      <c r="H84" s="248">
        <f>IF(INPUT!H30="",NA(),INPUT!H30)</f>
        <v>-324.62999999999965</v>
      </c>
      <c r="I84" s="248"/>
      <c r="J84" s="248"/>
      <c r="K84" s="248"/>
      <c r="L84" s="248"/>
      <c r="M84" s="248"/>
      <c r="N84" s="248"/>
      <c r="O84" s="248"/>
    </row>
    <row r="85" spans="1:15 16373:16384" ht="15" customHeight="1" x14ac:dyDescent="0.3">
      <c r="A85" s="172"/>
      <c r="B85" s="172" t="s">
        <v>7</v>
      </c>
      <c r="C85" s="249" t="e">
        <f>IF(INPUT!D9="",NA(),INPUT!D9)</f>
        <v>#N/A</v>
      </c>
      <c r="D85" s="172">
        <f>IF(INPUT!E9="",NA(),INPUT!E9)</f>
        <v>5973.69</v>
      </c>
      <c r="E85" s="248">
        <f>IF(INPUT!F9="",NA(),INPUT!F9)</f>
        <v>8023.47</v>
      </c>
      <c r="F85" s="248">
        <f>IF(INPUT!G9="",NA(),INPUT!G9)</f>
        <v>8201.61</v>
      </c>
      <c r="G85" s="248">
        <f>IF(INPUT!G26="",NA(),INPUT!G26)</f>
        <v>-2120.21</v>
      </c>
      <c r="H85" s="248">
        <f>IF(INPUT!H26="",NA(),INPUT!H26)</f>
        <v>-3710.92</v>
      </c>
      <c r="I85" s="248"/>
      <c r="J85" s="248"/>
      <c r="K85" s="248"/>
      <c r="L85" s="248"/>
      <c r="M85" s="248"/>
      <c r="N85" s="248"/>
      <c r="O85" s="248"/>
    </row>
    <row r="86" spans="1:15 16373:16384" ht="15" customHeight="1" x14ac:dyDescent="0.3">
      <c r="A86" s="172"/>
      <c r="B86" s="172"/>
      <c r="C86" s="172" t="s">
        <v>21</v>
      </c>
      <c r="D86" s="249">
        <f>IF(INPUT!D30="",NA(),INPUT!D30)</f>
        <v>0</v>
      </c>
      <c r="E86" s="172">
        <f>IF(INPUT!E30="",NA(),INPUT!E30)</f>
        <v>1058.5199999999998</v>
      </c>
      <c r="F86" s="248">
        <f>IF(INPUT!F30="",NA(),INPUT!F30)</f>
        <v>1653.7200000000007</v>
      </c>
      <c r="G86" s="248"/>
      <c r="H86" s="248"/>
      <c r="I86" s="248"/>
      <c r="J86" s="247" t="e">
        <f>IF(INPUT!D5="",NA(),INPUT!D5)</f>
        <v>#N/A</v>
      </c>
      <c r="K86" s="247">
        <f>INPUT!E5</f>
        <v>2022</v>
      </c>
      <c r="L86" s="247">
        <f>INPUT!F5</f>
        <v>2023</v>
      </c>
      <c r="M86" s="247">
        <f>INPUT!G5</f>
        <v>2024</v>
      </c>
      <c r="N86" s="247" t="str">
        <f>INPUT!H5</f>
        <v>2025 (LTM)</v>
      </c>
      <c r="O86" s="248"/>
    </row>
    <row r="87" spans="1:15 16373:16384" ht="15" customHeight="1" x14ac:dyDescent="0.3">
      <c r="A87" s="172"/>
      <c r="B87" s="172"/>
      <c r="C87" s="172" t="s">
        <v>19</v>
      </c>
      <c r="D87" s="249">
        <f>IF(INPUT!D26="",NA(),INPUT!D26)</f>
        <v>0</v>
      </c>
      <c r="E87" s="172">
        <f>IF(INPUT!E26="",NA(),INPUT!E26)</f>
        <v>-994.16000000000031</v>
      </c>
      <c r="F87" s="248">
        <f>IF(INPUT!F26="",NA(),INPUT!F26)</f>
        <v>-1355.8899999999992</v>
      </c>
      <c r="G87" s="248"/>
      <c r="H87" s="248"/>
      <c r="I87" s="248" t="s">
        <v>140</v>
      </c>
      <c r="J87" s="248" t="e">
        <f>IF(INPUT!D9="",NA(),INPUT!D11/INPUT!D9)</f>
        <v>#N/A</v>
      </c>
      <c r="K87" s="248">
        <f>IF(INPUT!E9="",NA(),INPUT!E11/INPUT!E9)</f>
        <v>0.74737724923790816</v>
      </c>
      <c r="L87" s="248">
        <f>IF(INPUT!F9="",NA(),INPUT!F11/INPUT!F9)</f>
        <v>0.74944257285189575</v>
      </c>
      <c r="M87" s="248">
        <f>IF(INPUT!G9="",NA(),INPUT!G11/INPUT!G9)</f>
        <v>0.74916632222210033</v>
      </c>
      <c r="N87" s="248">
        <f>IF(INPUT!H9="",NA(),INPUT!H11/INPUT!H9)</f>
        <v>0.74577736620505042</v>
      </c>
      <c r="O87" s="248"/>
    </row>
    <row r="88" spans="1:15 16373:16384" ht="15" customHeight="1" x14ac:dyDescent="0.3">
      <c r="A88" s="172"/>
      <c r="B88" s="172"/>
      <c r="C88" s="172"/>
      <c r="D88" s="249"/>
      <c r="E88" s="172"/>
      <c r="F88" s="248"/>
      <c r="G88" s="248"/>
      <c r="H88" s="248"/>
      <c r="I88" s="248" t="s">
        <v>125</v>
      </c>
      <c r="J88" s="248" t="e">
        <f>IF(INPUT!D9="",NA(),INPUT!D30/INPUT!D9)</f>
        <v>#N/A</v>
      </c>
      <c r="K88" s="248">
        <f>IF(INPUT!E9="",NA(),INPUT!E30/INPUT!E9)</f>
        <v>0.17719700888395612</v>
      </c>
      <c r="L88" s="248">
        <f>IF(INPUT!F9="",NA(),INPUT!F30/INPUT!F9)</f>
        <v>0.20611032383744199</v>
      </c>
      <c r="M88" s="248">
        <f>IF(INPUT!G9="",NA(),INPUT!G30/INPUT!G9)</f>
        <v>0.14455820259680721</v>
      </c>
      <c r="N88" s="248">
        <f>IF(INPUT!H9="",NA(),INPUT!H30/INPUT!H9)</f>
        <v>-3.6931194419195131E-2</v>
      </c>
      <c r="O88" s="248"/>
    </row>
    <row r="89" spans="1:15 16373:16384" ht="15" customHeight="1" x14ac:dyDescent="0.3">
      <c r="A89" s="172"/>
      <c r="B89" s="172"/>
      <c r="C89" s="172"/>
      <c r="D89" s="249"/>
      <c r="E89" s="172"/>
      <c r="F89" s="248"/>
      <c r="G89" s="247">
        <f>INPUT!G5</f>
        <v>2024</v>
      </c>
      <c r="H89" s="247" t="str">
        <f>INPUT!H5</f>
        <v>2025 (LTM)</v>
      </c>
      <c r="I89" s="248" t="s">
        <v>212</v>
      </c>
      <c r="J89" s="248" t="e">
        <f>IF(INPUT!D9="",NA(),INPUT!D26/INPUT!D9)</f>
        <v>#N/A</v>
      </c>
      <c r="K89" s="248">
        <f>IF(INPUT!E9="",NA(),INPUT!E26/INPUT!E9)</f>
        <v>-0.16642309862078555</v>
      </c>
      <c r="L89" s="248">
        <f>IF(INPUT!F9="",NA(),INPUT!F26/INPUT!F9)</f>
        <v>-0.16899047419632643</v>
      </c>
      <c r="M89" s="248">
        <f>IF(INPUT!G9="",NA(),INPUT!G26/INPUT!G9)</f>
        <v>-0.25851143860778553</v>
      </c>
      <c r="N89" s="248">
        <f>IF(INPUT!H9="",NA(),INPUT!H26/INPUT!H9)</f>
        <v>-0.42216895540794053</v>
      </c>
      <c r="O89" s="248"/>
    </row>
    <row r="90" spans="1:15 16373:16384" ht="15" customHeight="1" x14ac:dyDescent="0.3">
      <c r="A90" s="172"/>
      <c r="B90" s="172"/>
      <c r="C90" s="172"/>
      <c r="D90" s="249"/>
      <c r="E90" s="172"/>
      <c r="F90" s="248"/>
      <c r="G90" s="248">
        <f>IF(INPUT!G9="",NA(),INPUT!G9)</f>
        <v>8201.61</v>
      </c>
      <c r="H90" s="248">
        <f>IF(INPUT!H9="",NA(),INPUT!H9)</f>
        <v>8790.1299999999992</v>
      </c>
      <c r="I90" s="248"/>
      <c r="J90" s="248"/>
      <c r="K90" s="248"/>
      <c r="L90" s="248"/>
      <c r="M90" s="248"/>
      <c r="N90" s="248"/>
      <c r="O90" s="248"/>
    </row>
    <row r="91" spans="1:15 16373:16384" ht="15" customHeight="1" x14ac:dyDescent="0.3">
      <c r="A91" s="172"/>
      <c r="B91" s="172"/>
      <c r="C91" s="172"/>
      <c r="D91" s="245" t="e">
        <f>IF(INPUT!D5="",NA(),INPUT!D5)</f>
        <v>#N/A</v>
      </c>
      <c r="E91" s="246">
        <f>INPUT!E5</f>
        <v>2022</v>
      </c>
      <c r="F91" s="247">
        <f>INPUT!F5</f>
        <v>2023</v>
      </c>
      <c r="G91" s="248"/>
      <c r="H91" s="248"/>
      <c r="I91" s="248"/>
      <c r="J91" s="247" t="e">
        <f>IF(INPUT!D5="",NA(),INPUT!D5)</f>
        <v>#N/A</v>
      </c>
      <c r="K91" s="247">
        <f>INPUT!E5</f>
        <v>2022</v>
      </c>
      <c r="L91" s="247">
        <f>INPUT!F5</f>
        <v>2023</v>
      </c>
      <c r="M91" s="247">
        <f>INPUT!G5</f>
        <v>2024</v>
      </c>
      <c r="N91" s="247" t="str">
        <f>INPUT!H5</f>
        <v>2025 (LTM)</v>
      </c>
      <c r="O91" s="248"/>
    </row>
    <row r="92" spans="1:15 16373:16384" ht="15" customHeight="1" x14ac:dyDescent="0.3">
      <c r="A92" s="172"/>
      <c r="B92" s="172"/>
      <c r="C92" s="172" t="s">
        <v>7</v>
      </c>
      <c r="D92" s="249" t="e">
        <f>IF(INPUT!D9="",NA(),INPUT!D9)</f>
        <v>#N/A</v>
      </c>
      <c r="E92" s="172">
        <f>IF(INPUT!E9="",NA(),INPUT!E9)</f>
        <v>5973.69</v>
      </c>
      <c r="F92" s="248">
        <f>IF(INPUT!F9="",NA(),INPUT!F9)</f>
        <v>8023.47</v>
      </c>
      <c r="G92" s="248"/>
      <c r="H92" s="248"/>
      <c r="I92" s="248" t="s">
        <v>242</v>
      </c>
      <c r="J92" s="248" t="e">
        <f>IF(INPUT!D14="",NA(),ABS(INPUT!D14))</f>
        <v>#N/A</v>
      </c>
      <c r="K92" s="248">
        <f>IF(INPUT!E14="",NA(),ABS(INPUT!E14))</f>
        <v>331.08</v>
      </c>
      <c r="L92" s="248">
        <f>IF(INPUT!F14="",NA(),ABS(INPUT!F14))</f>
        <v>390.41</v>
      </c>
      <c r="M92" s="248">
        <f>IF(INPUT!G14="",NA(),ABS(INPUT!G14))</f>
        <v>418.76</v>
      </c>
      <c r="N92" s="248">
        <f>IF(INPUT!H14="",NA(),ABS(INPUT!H14))</f>
        <v>469.11</v>
      </c>
      <c r="O92" s="248"/>
    </row>
    <row r="93" spans="1:15 16373:16384" ht="15" customHeight="1" x14ac:dyDescent="0.3">
      <c r="A93" s="172"/>
      <c r="B93" s="172"/>
      <c r="C93" s="172"/>
      <c r="D93" s="249"/>
      <c r="E93" s="172"/>
      <c r="F93" s="248"/>
      <c r="G93" s="248"/>
      <c r="H93" s="248"/>
      <c r="I93" s="248" t="s">
        <v>243</v>
      </c>
      <c r="J93" s="248" t="e">
        <f>IF(INPUT!D15="",NA(),ABS(INPUT!D15))</f>
        <v>#N/A</v>
      </c>
      <c r="K93" s="248">
        <f>IF(INPUT!E15="",NA(),ABS(INPUT!E15))</f>
        <v>3075</v>
      </c>
      <c r="L93" s="248">
        <f>IF(INPUT!F15="",NA(),ABS(INPUT!F15))</f>
        <v>3969</v>
      </c>
      <c r="M93" s="248">
        <f>IF(INPUT!G15="",NA(),ABS(INPUT!G15))</f>
        <v>4540</v>
      </c>
      <c r="N93" s="248">
        <f>IF(INPUT!H15="",NA(),ABS(INPUT!H15))</f>
        <v>6411</v>
      </c>
      <c r="O93" s="248"/>
      <c r="XES93" s="39"/>
      <c r="XEU93" s="20"/>
      <c r="XEV93" s="20"/>
      <c r="XEW93" s="20"/>
      <c r="XEX93" s="20"/>
      <c r="XEY93" s="20"/>
      <c r="XEZ93" s="20"/>
      <c r="XFA93" s="20"/>
      <c r="XFB93" s="20"/>
      <c r="XFC93" s="20"/>
      <c r="XFD93" s="20"/>
    </row>
    <row r="94" spans="1:15 16373:16384" ht="15" customHeight="1" x14ac:dyDescent="0.3">
      <c r="A94" s="172"/>
      <c r="B94" s="172"/>
      <c r="C94" s="172"/>
      <c r="D94" s="249"/>
      <c r="E94" s="172"/>
      <c r="F94" s="248"/>
      <c r="G94" s="248"/>
      <c r="H94" s="248"/>
      <c r="I94" s="248" t="s">
        <v>244</v>
      </c>
      <c r="J94" s="248" t="e">
        <f>IF(INPUT!D16="",NA(),ABS(INPUT!D16))</f>
        <v>#N/A</v>
      </c>
      <c r="K94" s="248">
        <f>IF(INPUT!E16="",NA(),ABS(INPUT!E16))</f>
        <v>1812.78</v>
      </c>
      <c r="L94" s="248">
        <f>IF(INPUT!F16="",NA(),ABS(INPUT!F16))</f>
        <v>2484.89</v>
      </c>
      <c r="M94" s="248">
        <f>IF(INPUT!G16="",NA(),ABS(INPUT!G16))</f>
        <v>2580.52</v>
      </c>
      <c r="N94" s="248">
        <f>IF(INPUT!H16="",NA(),ABS(INPUT!H16))</f>
        <v>2626.03</v>
      </c>
      <c r="O94" s="248"/>
      <c r="XES94" s="39"/>
      <c r="XEU94" s="20"/>
      <c r="XEV94" s="20"/>
      <c r="XEW94" s="20"/>
      <c r="XEX94" s="20"/>
      <c r="XEY94" s="20"/>
      <c r="XEZ94" s="20"/>
      <c r="XFA94" s="20"/>
      <c r="XFB94" s="20"/>
      <c r="XFC94" s="20"/>
      <c r="XFD94" s="20"/>
    </row>
    <row r="95" spans="1:15 16373:16384" ht="15" customHeight="1" x14ac:dyDescent="0.3">
      <c r="A95" s="172"/>
      <c r="B95" s="172"/>
      <c r="C95" s="172"/>
      <c r="D95" s="249"/>
      <c r="E95" s="172"/>
      <c r="F95" s="248"/>
      <c r="G95" s="248"/>
      <c r="H95" s="248"/>
      <c r="I95" s="248" t="s">
        <v>245</v>
      </c>
      <c r="J95" s="248" t="e">
        <f>IF(INPUT!D5="",NA(),INPUT!D5)</f>
        <v>#N/A</v>
      </c>
      <c r="K95" s="248">
        <f>IF(INPUT!E14="",NA(),ABS(INPUT!E20))</f>
        <v>291.89999999999998</v>
      </c>
      <c r="L95" s="248">
        <f>IF(INPUT!F14="",NA(),ABS(INPUT!F20))</f>
        <v>618.72</v>
      </c>
      <c r="M95" s="248">
        <f>IF(INPUT!G14="",NA(),ABS(INPUT!G20))</f>
        <v>837.3</v>
      </c>
      <c r="N95" s="248">
        <f>IF(INPUT!H14="",NA(),ABS(INPUT!H20))</f>
        <v>972.26</v>
      </c>
      <c r="O95" s="248"/>
    </row>
    <row r="96" spans="1:15 16373:16384" ht="15" customHeight="1" x14ac:dyDescent="0.3">
      <c r="A96" s="172"/>
      <c r="B96" s="172"/>
      <c r="C96" s="172"/>
      <c r="D96" s="249"/>
      <c r="E96" s="172"/>
      <c r="F96" s="248"/>
      <c r="G96" s="248"/>
      <c r="H96" s="248"/>
      <c r="I96" s="248"/>
      <c r="J96" s="248"/>
      <c r="K96" s="248"/>
      <c r="L96" s="248"/>
      <c r="M96" s="248"/>
      <c r="N96" s="248"/>
      <c r="O96" s="248"/>
    </row>
    <row r="97" spans="2:6" ht="15" customHeight="1" x14ac:dyDescent="0.3">
      <c r="B97" s="172"/>
      <c r="C97" s="172"/>
      <c r="D97" s="249"/>
      <c r="E97" s="172"/>
      <c r="F97" s="248"/>
    </row>
    <row r="98" spans="2:6" ht="15" customHeight="1" x14ac:dyDescent="0.3">
      <c r="B98" s="172"/>
      <c r="C98" s="172"/>
      <c r="D98" s="249"/>
      <c r="E98" s="172"/>
      <c r="F98" s="248"/>
    </row>
    <row r="99" spans="2:6" ht="15" customHeight="1" x14ac:dyDescent="0.3">
      <c r="B99" s="39"/>
    </row>
    <row r="100" spans="2:6" ht="15" customHeight="1" x14ac:dyDescent="0.3">
      <c r="B100" s="39"/>
    </row>
    <row r="101" spans="2:6" ht="15" customHeight="1" x14ac:dyDescent="0.3">
      <c r="B101" s="39"/>
    </row>
    <row r="102" spans="2:6" ht="15" customHeight="1" x14ac:dyDescent="0.3">
      <c r="B102" s="39"/>
    </row>
    <row r="103" spans="2:6" ht="15" customHeight="1" x14ac:dyDescent="0.3">
      <c r="B103" s="39"/>
    </row>
    <row r="104" spans="2:6" ht="15" customHeight="1" x14ac:dyDescent="0.3">
      <c r="B104" s="39"/>
    </row>
    <row r="105" spans="2:6" ht="15" customHeight="1" x14ac:dyDescent="0.3">
      <c r="B105" s="39"/>
    </row>
    <row r="106" spans="2:6" ht="15" customHeight="1" x14ac:dyDescent="0.3">
      <c r="B106" s="39"/>
    </row>
    <row r="107" spans="2:6" ht="15" customHeight="1" x14ac:dyDescent="0.3">
      <c r="B107" s="39"/>
    </row>
    <row r="108" spans="2:6" ht="15" customHeight="1" x14ac:dyDescent="0.3">
      <c r="B108" s="39"/>
    </row>
    <row r="109" spans="2:6" ht="15" customHeight="1" x14ac:dyDescent="0.3">
      <c r="B109" s="39"/>
    </row>
    <row r="110" spans="2:6" ht="15" customHeight="1" x14ac:dyDescent="0.3">
      <c r="B110" s="39"/>
    </row>
    <row r="111" spans="2:6" ht="15" customHeight="1" x14ac:dyDescent="0.3">
      <c r="B111" s="39"/>
    </row>
    <row r="112" spans="2:6" ht="15" customHeight="1" x14ac:dyDescent="0.3">
      <c r="B112" s="39"/>
    </row>
    <row r="113" spans="2:2" ht="15" customHeight="1" x14ac:dyDescent="0.3">
      <c r="B113" s="39"/>
    </row>
    <row r="114" spans="2:2" ht="15" customHeight="1" x14ac:dyDescent="0.3">
      <c r="B114" s="39"/>
    </row>
    <row r="115" spans="2:2" ht="15" customHeight="1" x14ac:dyDescent="0.3">
      <c r="B115" s="39"/>
    </row>
    <row r="116" spans="2:2" ht="15" customHeight="1" x14ac:dyDescent="0.3">
      <c r="B116" s="39"/>
    </row>
    <row r="117" spans="2:2" ht="15" customHeight="1" x14ac:dyDescent="0.3">
      <c r="B117" s="39"/>
    </row>
    <row r="118" spans="2:2" ht="15" customHeight="1" x14ac:dyDescent="0.3">
      <c r="B118" s="39"/>
    </row>
    <row r="119" spans="2:2" ht="15" customHeight="1" x14ac:dyDescent="0.3">
      <c r="B119" s="39"/>
    </row>
    <row r="120" spans="2:2" ht="15" customHeight="1" x14ac:dyDescent="0.3">
      <c r="B120" s="39"/>
    </row>
    <row r="121" spans="2:2" ht="15" customHeight="1" x14ac:dyDescent="0.3">
      <c r="B121" s="39"/>
    </row>
    <row r="122" spans="2:2" ht="15" customHeight="1" x14ac:dyDescent="0.3">
      <c r="B122" s="39"/>
    </row>
    <row r="123" spans="2:2" x14ac:dyDescent="0.3">
      <c r="B123" s="39"/>
    </row>
  </sheetData>
  <printOptions horizontalCentered="1"/>
  <pageMargins left="5.5555555555555558E-3" right="5.5555555555555558E-3" top="5.5555555555555558E-3" bottom="5.5555555555555558E-3" header="2.7777777777777779E-3" footer="2.7777777777777779E-3"/>
  <pageSetup paperSize="9" scale="40" orientation="landscape"/>
  <rowBreaks count="2" manualBreakCount="2">
    <brk id="23" max="13" man="1"/>
    <brk id="41" max="16383" man="1"/>
  </rowBreaks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25"/>
  <sheetViews>
    <sheetView showGridLines="0" tabSelected="1" zoomScale="85" zoomScaleNormal="85" workbookViewId="0">
      <selection activeCell="I17" sqref="I17"/>
    </sheetView>
  </sheetViews>
  <sheetFormatPr baseColWidth="10" defaultColWidth="9.109375" defaultRowHeight="15" customHeight="1" x14ac:dyDescent="0.35"/>
  <cols>
    <col min="1" max="1" width="1.6640625" style="111" customWidth="1"/>
    <col min="2" max="2" width="12.33203125" style="111" customWidth="1"/>
    <col min="3" max="3" width="15.88671875" style="111" bestFit="1" customWidth="1"/>
    <col min="4" max="4" width="17.88671875" style="111" bestFit="1" customWidth="1"/>
    <col min="5" max="5" width="6.77734375" style="111" customWidth="1"/>
    <col min="6" max="7" width="12.44140625" style="111" customWidth="1"/>
    <col min="8" max="8" width="7.88671875" style="111" customWidth="1"/>
    <col min="9" max="10" width="9.109375" style="111" customWidth="1"/>
    <col min="11" max="11" width="10.6640625" style="111" customWidth="1"/>
    <col min="12" max="12" width="5.109375" style="111" customWidth="1"/>
    <col min="13" max="14" width="12.44140625" style="111" customWidth="1"/>
    <col min="15" max="15" width="9" style="112" customWidth="1"/>
    <col min="16" max="16" width="13.88671875" style="111" customWidth="1"/>
    <col min="17" max="17" width="10.5546875" style="111" customWidth="1"/>
    <col min="18" max="18" width="11.5546875" style="111" customWidth="1"/>
    <col min="19" max="19" width="11.6640625" style="111" customWidth="1"/>
    <col min="20" max="20" width="18.33203125" style="111" customWidth="1"/>
    <col min="21" max="21" width="16.109375" style="111" customWidth="1"/>
    <col min="22" max="29" width="12.44140625" style="111" customWidth="1"/>
    <col min="30" max="33" width="9.109375" style="111" customWidth="1"/>
    <col min="34" max="16384" width="9.109375" style="111"/>
  </cols>
  <sheetData>
    <row r="1" spans="1:29" ht="50.1" customHeight="1" x14ac:dyDescent="0.6">
      <c r="A1" s="124"/>
      <c r="B1" s="81" t="s">
        <v>97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 t="str">
        <f>INPUT!D136&amp;" ("&amp;INPUT!D137&amp;")  — "&amp;INPUT!D138</f>
        <v>Prologis, Inc. (PLD)  — Real Estate</v>
      </c>
      <c r="S1" s="124"/>
      <c r="T1" s="124"/>
      <c r="U1" s="124"/>
      <c r="V1" s="124"/>
      <c r="W1" s="124"/>
      <c r="X1" s="158"/>
      <c r="Y1" s="158"/>
      <c r="Z1" s="158"/>
      <c r="AA1" s="158"/>
      <c r="AB1" s="158"/>
      <c r="AC1" s="158"/>
    </row>
    <row r="2" spans="1:29" ht="15" customHeight="1" x14ac:dyDescent="0.3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 spans="1:29" s="113" customFormat="1" ht="21" customHeight="1" x14ac:dyDescent="0.5">
      <c r="B3" s="104" t="s">
        <v>246</v>
      </c>
      <c r="C3" s="109"/>
      <c r="D3" s="109"/>
      <c r="E3" s="536"/>
      <c r="F3" s="104" t="s">
        <v>247</v>
      </c>
      <c r="G3" s="109"/>
      <c r="H3" s="109"/>
      <c r="I3" s="109"/>
      <c r="J3" s="109"/>
      <c r="K3" s="109"/>
      <c r="M3" s="104" t="s">
        <v>248</v>
      </c>
      <c r="N3" s="109"/>
      <c r="O3" s="109"/>
      <c r="P3" s="109"/>
      <c r="Q3" s="109"/>
      <c r="R3" s="109"/>
      <c r="S3" s="109"/>
    </row>
    <row r="4" spans="1:29" s="113" customFormat="1" ht="15" customHeight="1" x14ac:dyDescent="0.35">
      <c r="A4" s="70"/>
      <c r="B4" s="126" t="s">
        <v>249</v>
      </c>
      <c r="C4" s="70"/>
      <c r="D4" s="70"/>
      <c r="E4" s="70"/>
      <c r="F4" s="111"/>
      <c r="G4" s="111"/>
      <c r="H4" s="111"/>
      <c r="I4" s="111"/>
      <c r="J4" s="111"/>
      <c r="K4" s="111"/>
      <c r="L4" s="111"/>
    </row>
    <row r="5" spans="1:29" s="113" customFormat="1" ht="15" customHeight="1" x14ac:dyDescent="0.35">
      <c r="A5" s="70"/>
      <c r="B5" s="117" t="s">
        <v>251</v>
      </c>
      <c r="C5" s="111"/>
      <c r="D5" s="111"/>
      <c r="E5" s="70"/>
      <c r="F5" s="111"/>
      <c r="G5" s="111"/>
      <c r="H5" s="111"/>
      <c r="I5" s="319" t="s">
        <v>186</v>
      </c>
      <c r="J5" s="128" t="s">
        <v>250</v>
      </c>
      <c r="K5" s="128" t="s">
        <v>187</v>
      </c>
      <c r="L5" s="111"/>
      <c r="M5" s="116" t="s">
        <v>249</v>
      </c>
      <c r="N5" s="110"/>
      <c r="O5" s="110"/>
      <c r="P5" s="238">
        <f>INPUT!E5</f>
        <v>2022</v>
      </c>
      <c r="Q5" s="238">
        <f>INPUT!F5</f>
        <v>2023</v>
      </c>
      <c r="R5" s="238">
        <f>INPUT!G5</f>
        <v>2024</v>
      </c>
      <c r="S5" s="238" t="str">
        <f>INPUT!H5</f>
        <v>2025 (LTM)</v>
      </c>
    </row>
    <row r="6" spans="1:29" ht="15" customHeight="1" x14ac:dyDescent="0.35">
      <c r="A6" s="70"/>
      <c r="C6" s="76" t="s">
        <v>80</v>
      </c>
      <c r="D6" s="534" t="str">
        <f>INPUT!D136</f>
        <v>Prologis, Inc.</v>
      </c>
      <c r="F6" s="131" t="s">
        <v>252</v>
      </c>
      <c r="I6" s="316">
        <f>INPUT!H117*0.75</f>
        <v>104.82750000000001</v>
      </c>
      <c r="J6" s="236">
        <f>K6-I6</f>
        <v>97.838999999999999</v>
      </c>
      <c r="K6" s="236">
        <f>INPUT!H117*1.45</f>
        <v>202.66650000000001</v>
      </c>
      <c r="M6" s="110"/>
      <c r="N6" s="110"/>
      <c r="O6" s="110"/>
      <c r="P6" s="110"/>
      <c r="Q6" s="110"/>
      <c r="R6" s="110"/>
      <c r="S6" s="110"/>
    </row>
    <row r="7" spans="1:29" ht="15" customHeight="1" x14ac:dyDescent="0.35">
      <c r="A7" s="70"/>
      <c r="C7" s="76" t="s">
        <v>82</v>
      </c>
      <c r="D7" s="534" t="str">
        <f>INPUT!D137</f>
        <v>PLD</v>
      </c>
      <c r="F7" s="131" t="s">
        <v>253</v>
      </c>
      <c r="I7" s="317">
        <f>INPUT!H117*1.1</f>
        <v>153.74700000000001</v>
      </c>
      <c r="J7" s="237">
        <f>K7-I7</f>
        <v>69.885000000000019</v>
      </c>
      <c r="K7" s="237">
        <f>INPUT!H117*1.6</f>
        <v>223.63200000000003</v>
      </c>
      <c r="M7" s="122" t="s">
        <v>254</v>
      </c>
      <c r="N7" s="110"/>
      <c r="O7" s="110"/>
      <c r="P7" s="239" t="str">
        <f>IF(INPUT!D9=0,"",INPUT!E9/INPUT!D9-1)</f>
        <v/>
      </c>
      <c r="Q7" s="239">
        <f>IF(INPUT!E9=0,"",INPUT!F9/INPUT!E9-1)</f>
        <v>0.34313464542016758</v>
      </c>
      <c r="R7" s="239">
        <f>IF(INPUT!F9=0,"",INPUT!G9/INPUT!F9-1)</f>
        <v>2.2202363815157389E-2</v>
      </c>
      <c r="S7" s="239">
        <f>IF(INPUT!G9=0,"",INPUT!H9/INPUT!G9-1)</f>
        <v>7.1756642903039625E-2</v>
      </c>
    </row>
    <row r="8" spans="1:29" ht="15" customHeight="1" x14ac:dyDescent="0.35">
      <c r="A8" s="70"/>
      <c r="C8" s="76" t="s">
        <v>257</v>
      </c>
      <c r="D8" s="534" t="str">
        <f>INPUT!D138</f>
        <v>Real Estate</v>
      </c>
      <c r="F8" s="131" t="s">
        <v>255</v>
      </c>
      <c r="G8" s="113"/>
      <c r="H8" s="113"/>
      <c r="I8" s="317">
        <f>INPUT!H117*1.2</f>
        <v>167.72400000000002</v>
      </c>
      <c r="J8" s="237">
        <f>K8-I8</f>
        <v>76.873500000000007</v>
      </c>
      <c r="K8" s="237">
        <f>INPUT!H117*1.75</f>
        <v>244.59750000000003</v>
      </c>
      <c r="L8" s="113"/>
      <c r="M8" s="130" t="s">
        <v>256</v>
      </c>
      <c r="N8" s="110"/>
      <c r="O8" s="110"/>
      <c r="P8" s="138" t="str">
        <f>""</f>
        <v/>
      </c>
      <c r="Q8" s="239" t="str">
        <f>IF(INPUT!D30=0,"",INPUT!F30/INPUT!E30-1)</f>
        <v/>
      </c>
      <c r="R8" s="239">
        <f>IF(INPUT!F30=0,"",INPUT!G30/INPUT!F30-1)</f>
        <v>-0.28306484773722296</v>
      </c>
      <c r="S8" s="239">
        <f>IF(INPUT!G30=0,"",INPUT!H30/INPUT!G30-1)</f>
        <v>-1.2738084192947088</v>
      </c>
    </row>
    <row r="9" spans="1:29" ht="15" customHeight="1" x14ac:dyDescent="0.35">
      <c r="A9" s="70"/>
      <c r="C9" s="76" t="s">
        <v>86</v>
      </c>
      <c r="D9" s="534">
        <f>INPUT!D139</f>
        <v>2025</v>
      </c>
      <c r="F9" s="131" t="s">
        <v>258</v>
      </c>
      <c r="G9" s="113"/>
      <c r="H9" s="113"/>
      <c r="I9" s="317">
        <f>INPUT!H117*1.3</f>
        <v>181.70100000000002</v>
      </c>
      <c r="J9" s="237">
        <f>K9-I9</f>
        <v>76.873500000000035</v>
      </c>
      <c r="K9" s="237">
        <f>INPUT!H117*1.85</f>
        <v>258.57450000000006</v>
      </c>
      <c r="L9" s="113"/>
      <c r="M9" s="110"/>
      <c r="N9" s="110"/>
      <c r="O9" s="110"/>
      <c r="P9" s="110"/>
      <c r="Q9" s="110"/>
      <c r="R9" s="110"/>
      <c r="S9" s="110"/>
    </row>
    <row r="10" spans="1:29" ht="15" customHeight="1" x14ac:dyDescent="0.35">
      <c r="A10" s="70"/>
      <c r="C10" s="76" t="s">
        <v>87</v>
      </c>
      <c r="D10" s="534" t="str">
        <f>INPUT!D140</f>
        <v>USD</v>
      </c>
      <c r="F10" s="131" t="s">
        <v>259</v>
      </c>
      <c r="G10" s="113"/>
      <c r="H10" s="113"/>
      <c r="I10" s="317">
        <f>INPUT!H117*1.15</f>
        <v>160.7355</v>
      </c>
      <c r="J10" s="237">
        <f>K10-I10</f>
        <v>76.873500000000007</v>
      </c>
      <c r="K10" s="237">
        <f>INPUT!H117*1.7</f>
        <v>237.60900000000001</v>
      </c>
      <c r="L10" s="113"/>
      <c r="M10" s="117" t="s">
        <v>7</v>
      </c>
      <c r="N10" s="110"/>
      <c r="O10" s="110"/>
      <c r="P10" s="110"/>
      <c r="Q10" s="110"/>
      <c r="R10" s="110"/>
      <c r="S10" s="110"/>
    </row>
    <row r="11" spans="1:29" ht="15" customHeight="1" x14ac:dyDescent="0.35">
      <c r="A11" s="70"/>
      <c r="C11" s="76" t="s">
        <v>91</v>
      </c>
      <c r="D11" s="535" t="str">
        <f>INPUT!D142</f>
        <v>2026-04-16</v>
      </c>
      <c r="F11" s="118" t="s">
        <v>146</v>
      </c>
      <c r="G11" s="113"/>
      <c r="H11" s="113"/>
      <c r="I11" s="318">
        <f>INPUT!H117</f>
        <v>139.77000000000001</v>
      </c>
      <c r="J11" s="157"/>
      <c r="K11" s="157"/>
      <c r="L11" s="113"/>
      <c r="M11" s="133" t="s">
        <v>260</v>
      </c>
      <c r="N11" s="110"/>
      <c r="O11" s="110"/>
      <c r="P11" s="240">
        <f>INPUT!E9</f>
        <v>5973.69</v>
      </c>
      <c r="Q11" s="240">
        <f>INPUT!F9</f>
        <v>8023.47</v>
      </c>
      <c r="R11" s="240">
        <f>INPUT!G9</f>
        <v>8201.61</v>
      </c>
      <c r="S11" s="240">
        <f>INPUT!H9</f>
        <v>8790.1299999999992</v>
      </c>
    </row>
    <row r="12" spans="1:29" ht="15" customHeight="1" x14ac:dyDescent="0.35">
      <c r="A12" s="70"/>
      <c r="M12" s="133" t="s">
        <v>261</v>
      </c>
      <c r="N12" s="110"/>
      <c r="O12" s="110"/>
      <c r="P12" s="240">
        <f>ABS(INPUT!E10)</f>
        <v>1509.09</v>
      </c>
      <c r="Q12" s="240">
        <f>ABS(INPUT!F10)</f>
        <v>2010.34</v>
      </c>
      <c r="R12" s="240">
        <f>ABS(INPUT!G10)</f>
        <v>2057.2399999999998</v>
      </c>
      <c r="S12" s="240">
        <f>ABS(INPUT!H10)</f>
        <v>2234.65</v>
      </c>
      <c r="T12" s="113"/>
      <c r="U12" s="113"/>
      <c r="V12" s="113"/>
      <c r="W12" s="113"/>
    </row>
    <row r="13" spans="1:29" ht="15" customHeight="1" x14ac:dyDescent="0.35">
      <c r="A13" s="70"/>
      <c r="M13" s="133" t="s">
        <v>10</v>
      </c>
      <c r="N13" s="110"/>
      <c r="O13" s="110"/>
      <c r="P13" s="240">
        <f>INPUT!E11</f>
        <v>4464.5999999999995</v>
      </c>
      <c r="Q13" s="240">
        <f>INPUT!F11</f>
        <v>6013.13</v>
      </c>
      <c r="R13" s="240">
        <f>INPUT!G11</f>
        <v>6144.3700000000008</v>
      </c>
      <c r="S13" s="240">
        <f>INPUT!H11</f>
        <v>6555.48</v>
      </c>
      <c r="T13" s="113"/>
      <c r="U13" s="113"/>
      <c r="V13" s="113"/>
      <c r="W13" s="113"/>
    </row>
    <row r="14" spans="1:29" ht="14.4" customHeight="1" x14ac:dyDescent="0.3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133" t="s">
        <v>242</v>
      </c>
      <c r="N14" s="110"/>
      <c r="O14" s="110"/>
      <c r="P14" s="240">
        <f>ABS(INPUT!E14)</f>
        <v>331.08</v>
      </c>
      <c r="Q14" s="240">
        <f>ABS(INPUT!F14)</f>
        <v>390.41</v>
      </c>
      <c r="R14" s="240">
        <f>ABS(INPUT!G14)</f>
        <v>418.76</v>
      </c>
      <c r="S14" s="240">
        <f>ABS(INPUT!H14)</f>
        <v>469.11</v>
      </c>
      <c r="T14" s="113"/>
      <c r="U14" s="113"/>
      <c r="V14" s="113"/>
      <c r="W14" s="113"/>
    </row>
    <row r="15" spans="1:29" ht="15" customHeight="1" x14ac:dyDescent="0.3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133" t="s">
        <v>262</v>
      </c>
      <c r="N15" s="110"/>
      <c r="O15" s="110"/>
      <c r="P15" s="241">
        <f>INPUT!E9</f>
        <v>5973.69</v>
      </c>
      <c r="Q15" s="241">
        <f>INPUT!F9</f>
        <v>8023.47</v>
      </c>
      <c r="R15" s="241">
        <f>INPUT!G9</f>
        <v>8201.61</v>
      </c>
      <c r="S15" s="241">
        <f>INPUT!H9</f>
        <v>8790.1299999999992</v>
      </c>
    </row>
    <row r="16" spans="1:29" ht="15" customHeight="1" x14ac:dyDescent="0.35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110"/>
      <c r="N16" s="110"/>
      <c r="O16" s="110"/>
      <c r="P16" s="157"/>
      <c r="Q16" s="157"/>
      <c r="R16" s="157"/>
      <c r="S16" s="157"/>
    </row>
    <row r="17" spans="1:19" ht="15" customHeight="1" x14ac:dyDescent="0.35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133" t="s">
        <v>21</v>
      </c>
      <c r="N17" s="110"/>
      <c r="O17" s="110"/>
      <c r="P17" s="240">
        <f>INPUT!E30</f>
        <v>1058.5199999999998</v>
      </c>
      <c r="Q17" s="240">
        <f>INPUT!F30</f>
        <v>1653.7200000000007</v>
      </c>
      <c r="R17" s="240">
        <f>INPUT!G30</f>
        <v>1185.6100000000001</v>
      </c>
      <c r="S17" s="240">
        <f>INPUT!H30</f>
        <v>-324.62999999999965</v>
      </c>
    </row>
    <row r="18" spans="1:19" ht="15" customHeight="1" x14ac:dyDescent="0.35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133" t="s">
        <v>263</v>
      </c>
      <c r="N18" s="110"/>
      <c r="O18" s="110"/>
      <c r="P18" s="240">
        <f>INPUT!E75</f>
        <v>-3185.27</v>
      </c>
      <c r="Q18" s="240">
        <f>INPUT!F75</f>
        <v>3922.2600000000011</v>
      </c>
      <c r="R18" s="240">
        <f>INPUT!G75</f>
        <v>-93.330000000000098</v>
      </c>
      <c r="S18" s="240">
        <f>INPUT!H75</f>
        <v>1384.5500000000002</v>
      </c>
    </row>
    <row r="19" spans="1:19" s="113" customFormat="1" ht="15" customHeight="1" x14ac:dyDescent="0.35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133" t="s">
        <v>19</v>
      </c>
      <c r="N19" s="110"/>
      <c r="O19" s="110"/>
      <c r="P19" s="240">
        <f>INPUT!E26</f>
        <v>-994.16000000000031</v>
      </c>
      <c r="Q19" s="240">
        <f>INPUT!F26</f>
        <v>-1355.8899999999992</v>
      </c>
      <c r="R19" s="240">
        <f>INPUT!G26</f>
        <v>-2120.21</v>
      </c>
      <c r="S19" s="240">
        <f>INPUT!H26</f>
        <v>-3710.92</v>
      </c>
    </row>
    <row r="20" spans="1:19" s="113" customFormat="1" ht="15" customHeight="1" x14ac:dyDescent="0.3">
      <c r="A20" s="70"/>
      <c r="B20" s="70"/>
      <c r="C20" s="70"/>
      <c r="D20" s="70"/>
      <c r="E20" s="70"/>
      <c r="F20" s="70"/>
      <c r="G20" s="70"/>
      <c r="H20" s="70"/>
    </row>
    <row r="21" spans="1:19" s="113" customFormat="1" ht="15" customHeight="1" x14ac:dyDescent="0.3">
      <c r="A21" s="70"/>
      <c r="B21" s="70"/>
      <c r="C21" s="70"/>
      <c r="D21" s="70"/>
      <c r="E21" s="70"/>
      <c r="F21" s="70"/>
      <c r="G21" s="70"/>
      <c r="H21" s="70"/>
    </row>
    <row r="22" spans="1:19" s="113" customFormat="1" ht="15" customHeight="1" x14ac:dyDescent="0.35">
      <c r="A22" s="70"/>
      <c r="B22" s="161" t="s">
        <v>264</v>
      </c>
      <c r="C22" s="165"/>
      <c r="D22" s="165"/>
      <c r="E22" s="165"/>
      <c r="F22" s="165"/>
      <c r="G22" s="165"/>
      <c r="H22" s="70"/>
      <c r="I22" s="161" t="s">
        <v>265</v>
      </c>
      <c r="J22" s="165"/>
      <c r="K22" s="165"/>
      <c r="L22" s="165"/>
      <c r="M22" s="165"/>
      <c r="N22" s="165"/>
      <c r="P22" s="161" t="s">
        <v>266</v>
      </c>
      <c r="Q22" s="165"/>
      <c r="R22" s="165"/>
      <c r="S22" s="165"/>
    </row>
    <row r="23" spans="1:19" s="113" customFormat="1" ht="15" customHeight="1" x14ac:dyDescent="0.3">
      <c r="A23" s="70"/>
      <c r="B23" s="132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</row>
    <row r="24" spans="1:19" s="113" customFormat="1" ht="15" customHeight="1" x14ac:dyDescent="0.3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</row>
    <row r="25" spans="1:19" s="113" customFormat="1" ht="15" customHeight="1" x14ac:dyDescent="0.3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</row>
    <row r="26" spans="1:19" s="113" customFormat="1" ht="21" customHeight="1" x14ac:dyDescent="0.3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</row>
    <row r="27" spans="1:19" s="113" customFormat="1" ht="15" customHeight="1" x14ac:dyDescent="0.3">
      <c r="A27" s="70"/>
      <c r="B27" s="70"/>
      <c r="C27" s="70"/>
      <c r="D27" s="70"/>
      <c r="E27" s="70"/>
      <c r="F27" s="70"/>
      <c r="G27" s="70"/>
      <c r="H27" s="70"/>
      <c r="I27" s="70"/>
    </row>
    <row r="28" spans="1:19" s="110" customFormat="1" ht="15" customHeight="1" x14ac:dyDescent="0.35">
      <c r="A28" s="70"/>
      <c r="B28" s="70"/>
      <c r="C28" s="70"/>
      <c r="D28" s="70"/>
      <c r="E28" s="70"/>
      <c r="F28" s="70"/>
      <c r="G28" s="70"/>
      <c r="H28" s="70"/>
      <c r="I28" s="70"/>
    </row>
    <row r="29" spans="1:19" s="110" customFormat="1" ht="15" customHeight="1" x14ac:dyDescent="0.35">
      <c r="A29" s="70"/>
      <c r="B29" s="70"/>
      <c r="C29" s="70"/>
      <c r="D29" s="70"/>
      <c r="E29" s="70"/>
      <c r="F29" s="70"/>
      <c r="G29" s="70"/>
      <c r="H29" s="70"/>
      <c r="I29" s="70"/>
    </row>
    <row r="30" spans="1:19" s="110" customFormat="1" ht="15" customHeight="1" x14ac:dyDescent="0.35">
      <c r="A30" s="70"/>
      <c r="B30" s="70"/>
      <c r="C30" s="70"/>
      <c r="D30" s="70"/>
      <c r="E30" s="70"/>
      <c r="F30" s="70"/>
      <c r="G30" s="70"/>
      <c r="H30" s="70"/>
      <c r="I30" s="70"/>
    </row>
    <row r="31" spans="1:19" s="110" customFormat="1" ht="15" customHeight="1" x14ac:dyDescent="0.35">
      <c r="A31" s="70"/>
      <c r="B31" s="70"/>
      <c r="C31" s="70"/>
      <c r="D31" s="70"/>
      <c r="E31" s="70"/>
      <c r="F31" s="70"/>
      <c r="G31" s="70"/>
      <c r="H31" s="70"/>
      <c r="I31" s="70"/>
    </row>
    <row r="32" spans="1:19" s="110" customFormat="1" ht="15" customHeight="1" x14ac:dyDescent="0.35">
      <c r="A32" s="70"/>
      <c r="B32" s="70"/>
      <c r="C32" s="70"/>
      <c r="D32" s="70"/>
      <c r="E32" s="70"/>
      <c r="F32" s="70"/>
      <c r="G32" s="70"/>
      <c r="H32" s="70"/>
      <c r="I32" s="70"/>
    </row>
    <row r="33" spans="1:27" s="110" customFormat="1" ht="15" customHeight="1" x14ac:dyDescent="0.35">
      <c r="A33" s="70"/>
      <c r="B33" s="70"/>
      <c r="C33" s="70"/>
      <c r="D33" s="70"/>
      <c r="E33" s="70"/>
      <c r="F33" s="70"/>
      <c r="G33" s="70"/>
      <c r="H33" s="70"/>
      <c r="I33" s="70"/>
    </row>
    <row r="34" spans="1:27" s="110" customFormat="1" ht="15" customHeight="1" x14ac:dyDescent="0.35">
      <c r="B34" s="70"/>
      <c r="C34" s="70"/>
      <c r="D34" s="70"/>
      <c r="E34" s="70"/>
      <c r="F34" s="70"/>
      <c r="G34" s="70"/>
      <c r="H34" s="70"/>
      <c r="I34" s="70"/>
    </row>
    <row r="35" spans="1:27" s="110" customFormat="1" ht="15" customHeight="1" x14ac:dyDescent="0.35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</row>
    <row r="36" spans="1:27" s="110" customFormat="1" ht="15" customHeight="1" x14ac:dyDescent="0.35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</row>
    <row r="37" spans="1:27" s="110" customFormat="1" ht="15" customHeight="1" x14ac:dyDescent="0.35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</row>
    <row r="38" spans="1:27" s="110" customFormat="1" ht="15" customHeight="1" x14ac:dyDescent="0.35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</row>
    <row r="39" spans="1:27" s="110" customFormat="1" ht="15" customHeight="1" x14ac:dyDescent="0.35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</row>
    <row r="40" spans="1:27" s="110" customFormat="1" ht="15" customHeight="1" x14ac:dyDescent="0.35">
      <c r="B40" s="70"/>
      <c r="C40" s="70"/>
      <c r="D40" s="70"/>
      <c r="E40" s="70"/>
      <c r="F40" s="70"/>
      <c r="G40" s="70"/>
      <c r="H40" s="70"/>
    </row>
    <row r="41" spans="1:27" s="110" customFormat="1" ht="15" customHeight="1" x14ac:dyDescent="0.35">
      <c r="B41" s="70"/>
      <c r="C41" s="70"/>
      <c r="D41" s="70"/>
      <c r="E41" s="70"/>
      <c r="F41" s="70"/>
      <c r="G41" s="70"/>
      <c r="H41" s="70"/>
    </row>
    <row r="42" spans="1:27" s="110" customFormat="1" ht="15" customHeight="1" x14ac:dyDescent="0.35">
      <c r="B42" s="161" t="s">
        <v>267</v>
      </c>
      <c r="C42" s="165"/>
      <c r="D42" s="165"/>
      <c r="E42" s="165"/>
      <c r="F42" s="165"/>
      <c r="G42" s="165"/>
      <c r="H42" s="70"/>
    </row>
    <row r="43" spans="1:27" s="110" customFormat="1" ht="15" customHeight="1" x14ac:dyDescent="0.35">
      <c r="H43" s="70"/>
    </row>
    <row r="44" spans="1:27" s="110" customFormat="1" ht="15" customHeight="1" x14ac:dyDescent="0.4">
      <c r="H44" s="70"/>
      <c r="Q44" s="134"/>
    </row>
    <row r="45" spans="1:27" s="110" customFormat="1" ht="15" customHeight="1" x14ac:dyDescent="0.35">
      <c r="H45" s="70"/>
      <c r="AA45" s="115"/>
    </row>
    <row r="46" spans="1:27" s="110" customFormat="1" ht="15" customHeight="1" x14ac:dyDescent="0.35">
      <c r="H46" s="70"/>
      <c r="AA46" s="115"/>
    </row>
    <row r="47" spans="1:27" s="110" customFormat="1" ht="15" customHeight="1" x14ac:dyDescent="0.35">
      <c r="H47" s="70"/>
    </row>
    <row r="48" spans="1:27" s="110" customFormat="1" ht="15" customHeight="1" x14ac:dyDescent="0.35">
      <c r="H48" s="70"/>
    </row>
    <row r="49" spans="1:23" s="110" customFormat="1" ht="15" customHeight="1" x14ac:dyDescent="0.35">
      <c r="H49" s="70"/>
    </row>
    <row r="50" spans="1:23" s="110" customFormat="1" ht="15" customHeight="1" x14ac:dyDescent="0.35">
      <c r="H50" s="70"/>
    </row>
    <row r="51" spans="1:23" s="110" customFormat="1" ht="15" customHeight="1" x14ac:dyDescent="0.35">
      <c r="H51" s="70"/>
      <c r="Q51" s="111"/>
      <c r="R51" s="111"/>
      <c r="S51" s="111"/>
      <c r="T51" s="111"/>
      <c r="U51" s="111"/>
      <c r="V51" s="111"/>
      <c r="W51" s="111"/>
    </row>
    <row r="52" spans="1:23" s="110" customFormat="1" ht="15" customHeight="1" x14ac:dyDescent="0.35">
      <c r="H52" s="70"/>
      <c r="Q52" s="111"/>
      <c r="R52" s="111"/>
      <c r="S52" s="111"/>
      <c r="T52" s="111"/>
      <c r="U52" s="111"/>
      <c r="V52" s="111"/>
      <c r="W52" s="111"/>
    </row>
    <row r="53" spans="1:23" s="110" customFormat="1" ht="15" customHeight="1" x14ac:dyDescent="0.35">
      <c r="H53" s="70"/>
      <c r="Q53" s="111"/>
      <c r="R53" s="111"/>
      <c r="S53" s="111"/>
      <c r="T53" s="111"/>
      <c r="U53" s="111"/>
      <c r="V53" s="111"/>
      <c r="W53" s="111"/>
    </row>
    <row r="54" spans="1:23" s="110" customFormat="1" ht="15" customHeight="1" x14ac:dyDescent="0.35">
      <c r="H54" s="70"/>
      <c r="Q54" s="111"/>
      <c r="R54" s="111"/>
      <c r="S54" s="111"/>
      <c r="T54" s="111"/>
      <c r="U54" s="111"/>
      <c r="V54" s="111"/>
      <c r="W54" s="111"/>
    </row>
    <row r="55" spans="1:23" s="110" customFormat="1" ht="15" customHeight="1" x14ac:dyDescent="0.35">
      <c r="H55" s="70"/>
      <c r="Q55" s="111"/>
      <c r="R55" s="111"/>
      <c r="S55" s="111"/>
      <c r="T55" s="111"/>
      <c r="U55" s="111"/>
      <c r="V55" s="111"/>
      <c r="W55" s="111"/>
    </row>
    <row r="56" spans="1:23" s="110" customFormat="1" ht="15" customHeight="1" x14ac:dyDescent="0.35">
      <c r="H56" s="70"/>
      <c r="Q56" s="111"/>
      <c r="R56" s="111"/>
      <c r="S56" s="111"/>
      <c r="T56" s="111"/>
      <c r="U56" s="111"/>
      <c r="V56" s="111"/>
      <c r="W56" s="111"/>
    </row>
    <row r="57" spans="1:23" s="110" customFormat="1" ht="15" customHeight="1" x14ac:dyDescent="0.4">
      <c r="A57" s="111"/>
      <c r="Q57" s="144"/>
      <c r="R57" s="144"/>
      <c r="S57" s="113"/>
      <c r="T57" s="111"/>
      <c r="U57" s="111"/>
      <c r="V57" s="111"/>
      <c r="W57" s="111"/>
    </row>
    <row r="58" spans="1:23" s="110" customFormat="1" ht="15" customHeight="1" x14ac:dyDescent="0.4">
      <c r="A58" s="111"/>
      <c r="Q58" s="144"/>
      <c r="R58" s="144"/>
      <c r="S58" s="113"/>
      <c r="T58" s="111"/>
      <c r="U58" s="111"/>
      <c r="V58" s="111"/>
      <c r="W58" s="111"/>
    </row>
    <row r="59" spans="1:23" s="110" customFormat="1" ht="15" customHeight="1" x14ac:dyDescent="0.35">
      <c r="A59" s="111"/>
      <c r="Q59" s="113"/>
      <c r="R59" s="113"/>
      <c r="S59" s="113"/>
      <c r="T59" s="111"/>
      <c r="U59" s="111"/>
      <c r="V59" s="111"/>
      <c r="W59" s="111"/>
    </row>
    <row r="60" spans="1:23" s="110" customFormat="1" ht="15" customHeight="1" x14ac:dyDescent="0.35">
      <c r="A60" s="111"/>
      <c r="Q60" s="113"/>
      <c r="R60" s="113"/>
      <c r="S60" s="113"/>
      <c r="T60" s="111"/>
      <c r="U60" s="111"/>
      <c r="V60" s="111"/>
      <c r="W60" s="111"/>
    </row>
    <row r="61" spans="1:23" s="110" customFormat="1" ht="15" customHeight="1" x14ac:dyDescent="0.35">
      <c r="A61" s="111"/>
      <c r="Q61" s="113"/>
      <c r="R61" s="113"/>
      <c r="S61" s="113"/>
      <c r="T61" s="111"/>
      <c r="U61" s="111"/>
      <c r="V61" s="111"/>
      <c r="W61" s="111"/>
    </row>
    <row r="62" spans="1:23" ht="15" customHeight="1" x14ac:dyDescent="0.35"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Q62" s="113"/>
      <c r="R62" s="113"/>
      <c r="S62" s="113"/>
    </row>
    <row r="63" spans="1:23" ht="15" customHeight="1" x14ac:dyDescent="0.35">
      <c r="B63" s="110"/>
      <c r="C63" s="110"/>
      <c r="D63" s="110"/>
      <c r="E63" s="110"/>
      <c r="F63" s="110"/>
      <c r="G63" s="110"/>
      <c r="H63" s="110"/>
      <c r="Q63" s="113"/>
      <c r="R63" s="113"/>
      <c r="S63" s="113"/>
    </row>
    <row r="64" spans="1:23" ht="15" customHeight="1" x14ac:dyDescent="0.35">
      <c r="B64" s="110"/>
      <c r="C64" s="110"/>
      <c r="D64" s="110"/>
      <c r="E64" s="110"/>
      <c r="F64" s="110"/>
      <c r="G64" s="110"/>
      <c r="H64" s="110"/>
      <c r="Q64" s="113"/>
      <c r="R64" s="113"/>
      <c r="S64" s="113"/>
    </row>
    <row r="65" spans="2:23" ht="15" customHeight="1" x14ac:dyDescent="0.35">
      <c r="H65" s="110"/>
      <c r="Q65" s="113"/>
      <c r="R65" s="113"/>
      <c r="S65" s="113"/>
    </row>
    <row r="66" spans="2:23" ht="15" customHeight="1" x14ac:dyDescent="0.35">
      <c r="H66" s="110"/>
      <c r="Q66" s="110"/>
      <c r="R66" s="110"/>
      <c r="S66" s="110"/>
    </row>
    <row r="67" spans="2:23" ht="15" customHeight="1" x14ac:dyDescent="0.35">
      <c r="H67" s="110"/>
      <c r="O67" s="111"/>
      <c r="Q67" s="110"/>
      <c r="R67" s="110"/>
      <c r="S67" s="110"/>
    </row>
    <row r="68" spans="2:23" ht="15" customHeight="1" x14ac:dyDescent="0.4">
      <c r="H68" s="110"/>
      <c r="I68" s="142"/>
      <c r="J68" s="142"/>
      <c r="K68" s="142"/>
      <c r="M68" s="144"/>
      <c r="N68" s="144"/>
      <c r="O68" s="144"/>
      <c r="P68" s="144"/>
      <c r="Q68" s="110"/>
      <c r="R68" s="110"/>
      <c r="S68" s="110"/>
    </row>
    <row r="69" spans="2:23" ht="15" customHeight="1" x14ac:dyDescent="0.4">
      <c r="H69" s="110"/>
      <c r="I69" s="144"/>
      <c r="J69" s="144"/>
      <c r="K69" s="113"/>
      <c r="L69" s="145"/>
      <c r="M69" s="144"/>
      <c r="O69" s="144"/>
      <c r="P69" s="144"/>
      <c r="Q69" s="110"/>
      <c r="R69" s="110"/>
      <c r="S69" s="110"/>
    </row>
    <row r="70" spans="2:23" ht="15" customHeight="1" x14ac:dyDescent="0.4">
      <c r="C70" s="142"/>
      <c r="D70" s="142"/>
      <c r="E70" s="142"/>
      <c r="F70" s="142"/>
      <c r="G70" s="142"/>
      <c r="H70" s="110"/>
      <c r="I70" s="142"/>
      <c r="J70" s="142"/>
      <c r="K70" s="113"/>
      <c r="L70" s="145"/>
      <c r="M70" s="113"/>
      <c r="N70" s="113"/>
      <c r="O70" s="113"/>
      <c r="P70" s="113"/>
      <c r="Q70" s="110"/>
      <c r="R70" s="110"/>
      <c r="S70" s="110"/>
    </row>
    <row r="71" spans="2:23" ht="15" customHeight="1" x14ac:dyDescent="0.4">
      <c r="B71" s="113"/>
      <c r="C71" s="143"/>
      <c r="D71" s="144"/>
      <c r="E71" s="144"/>
      <c r="F71" s="144"/>
      <c r="G71" s="144"/>
      <c r="H71" s="110"/>
      <c r="I71" s="142"/>
      <c r="J71" s="113"/>
      <c r="K71" s="113"/>
      <c r="L71" s="113"/>
      <c r="M71" s="113"/>
      <c r="N71" s="113"/>
      <c r="O71" s="113"/>
      <c r="P71" s="113"/>
      <c r="Q71" s="110"/>
      <c r="R71" s="110"/>
      <c r="S71" s="110"/>
    </row>
    <row r="72" spans="2:23" ht="15" customHeight="1" x14ac:dyDescent="0.4">
      <c r="B72" s="113"/>
      <c r="C72" s="142"/>
      <c r="D72" s="142"/>
      <c r="E72" s="142"/>
      <c r="F72" s="142"/>
      <c r="G72" s="142"/>
      <c r="H72" s="110"/>
      <c r="I72" s="142"/>
      <c r="J72" s="113"/>
      <c r="K72" s="113"/>
      <c r="L72" s="113"/>
      <c r="M72" s="113"/>
      <c r="N72" s="113"/>
      <c r="O72" s="113"/>
      <c r="P72" s="113"/>
      <c r="Q72" s="110"/>
      <c r="R72" s="110"/>
      <c r="S72" s="110"/>
    </row>
    <row r="73" spans="2:23" ht="15" customHeight="1" x14ac:dyDescent="0.4">
      <c r="B73" s="113"/>
      <c r="C73" s="142"/>
      <c r="D73" s="142"/>
      <c r="E73" s="142"/>
      <c r="F73" s="142"/>
      <c r="G73" s="142"/>
      <c r="H73" s="110"/>
      <c r="I73" s="142"/>
      <c r="J73" s="113"/>
      <c r="K73" s="113"/>
      <c r="L73" s="113"/>
      <c r="M73" s="113"/>
      <c r="N73" s="113"/>
      <c r="O73" s="113"/>
      <c r="P73" s="113"/>
      <c r="Q73" s="110"/>
      <c r="R73" s="110"/>
      <c r="S73" s="110"/>
    </row>
    <row r="74" spans="2:23" ht="15" customHeight="1" x14ac:dyDescent="0.4">
      <c r="B74" s="113"/>
      <c r="C74" s="142"/>
      <c r="D74" s="142"/>
      <c r="E74" s="142"/>
      <c r="F74" s="142"/>
      <c r="G74" s="142"/>
      <c r="H74" s="110"/>
      <c r="I74" s="142"/>
      <c r="J74" s="113"/>
      <c r="K74" s="113"/>
      <c r="L74" s="113"/>
      <c r="M74" s="113"/>
      <c r="N74" s="113"/>
      <c r="O74" s="113"/>
      <c r="P74" s="113"/>
      <c r="Q74" s="110"/>
      <c r="R74" s="110"/>
      <c r="S74" s="110"/>
    </row>
    <row r="75" spans="2:23" ht="15" customHeight="1" x14ac:dyDescent="0.4">
      <c r="B75" s="110"/>
      <c r="C75" s="142"/>
      <c r="D75" s="142"/>
      <c r="E75" s="142"/>
      <c r="F75" s="142"/>
      <c r="G75" s="142"/>
      <c r="H75" s="110"/>
      <c r="I75" s="142"/>
      <c r="J75" s="113"/>
      <c r="K75" s="113"/>
      <c r="L75" s="113"/>
      <c r="M75" s="113"/>
      <c r="N75" s="113"/>
      <c r="O75" s="113"/>
      <c r="P75" s="113"/>
      <c r="Q75" s="110"/>
      <c r="R75" s="110"/>
      <c r="S75" s="110"/>
    </row>
    <row r="76" spans="2:23" ht="15" customHeight="1" x14ac:dyDescent="0.4">
      <c r="B76" s="113"/>
      <c r="C76" s="142"/>
      <c r="D76" s="142"/>
      <c r="E76" s="142"/>
      <c r="F76" s="142"/>
      <c r="G76" s="142"/>
      <c r="H76" s="110"/>
      <c r="I76" s="148"/>
      <c r="J76" s="113"/>
      <c r="K76" s="113"/>
      <c r="L76" s="113"/>
      <c r="M76" s="113"/>
      <c r="N76" s="113"/>
      <c r="O76" s="113"/>
      <c r="P76" s="113"/>
      <c r="Q76" s="149"/>
      <c r="R76" s="150"/>
      <c r="S76" s="110"/>
    </row>
    <row r="77" spans="2:23" ht="15" customHeight="1" x14ac:dyDescent="0.4">
      <c r="B77" s="113"/>
      <c r="C77" s="142"/>
      <c r="D77" s="142"/>
      <c r="E77" s="142"/>
      <c r="F77" s="142"/>
      <c r="G77" s="142"/>
      <c r="H77" s="110"/>
      <c r="I77" s="149"/>
      <c r="J77" s="113"/>
      <c r="K77" s="113"/>
      <c r="L77" s="113"/>
      <c r="M77" s="110"/>
      <c r="N77" s="110"/>
      <c r="O77" s="110"/>
      <c r="P77" s="110"/>
      <c r="Q77" s="153"/>
      <c r="R77" s="153"/>
      <c r="S77" s="110"/>
    </row>
    <row r="78" spans="2:23" ht="15" customHeight="1" x14ac:dyDescent="0.4">
      <c r="B78" s="113"/>
      <c r="C78" s="142"/>
      <c r="D78" s="142"/>
      <c r="E78" s="142"/>
      <c r="F78" s="142"/>
      <c r="G78" s="142"/>
      <c r="H78" s="110"/>
      <c r="I78" s="149"/>
      <c r="J78" s="110"/>
      <c r="K78" s="110"/>
      <c r="L78" s="110"/>
      <c r="M78" s="110"/>
      <c r="N78" s="110"/>
      <c r="O78" s="110"/>
      <c r="P78" s="110"/>
      <c r="Q78" s="155"/>
      <c r="R78" s="155"/>
      <c r="S78" s="154"/>
      <c r="T78" s="154"/>
      <c r="U78" s="154"/>
      <c r="V78" s="154"/>
      <c r="W78" s="154"/>
    </row>
    <row r="79" spans="2:23" ht="15" customHeight="1" x14ac:dyDescent="0.4">
      <c r="B79" s="113"/>
      <c r="C79" s="142"/>
      <c r="D79" s="142"/>
      <c r="E79" s="142"/>
      <c r="F79" s="142"/>
      <c r="G79" s="142"/>
      <c r="I79" s="149"/>
      <c r="J79" s="110"/>
      <c r="K79" s="110"/>
      <c r="L79" s="110"/>
      <c r="M79" s="110"/>
      <c r="N79" s="110"/>
      <c r="O79" s="110"/>
      <c r="P79" s="110"/>
      <c r="Q79" s="156"/>
      <c r="R79" s="154"/>
      <c r="S79" s="154"/>
      <c r="T79" s="154"/>
      <c r="U79" s="154"/>
      <c r="V79" s="154"/>
      <c r="W79" s="154"/>
    </row>
    <row r="80" spans="2:23" ht="15" customHeight="1" x14ac:dyDescent="0.4">
      <c r="B80" s="110"/>
      <c r="C80" s="142"/>
      <c r="D80" s="142"/>
      <c r="E80" s="142"/>
      <c r="F80" s="142"/>
      <c r="G80" s="142"/>
      <c r="I80" s="149"/>
      <c r="J80" s="110"/>
      <c r="K80" s="110"/>
      <c r="L80" s="110"/>
      <c r="M80" s="110"/>
      <c r="N80" s="110"/>
      <c r="O80" s="110"/>
      <c r="P80" s="110"/>
      <c r="Q80" s="156"/>
      <c r="R80" s="154"/>
      <c r="S80" s="154"/>
      <c r="T80" s="154"/>
      <c r="U80" s="154"/>
      <c r="V80" s="154"/>
      <c r="W80" s="154"/>
    </row>
    <row r="81" spans="1:28" ht="15" customHeight="1" x14ac:dyDescent="0.4">
      <c r="B81" s="110"/>
      <c r="C81" s="142"/>
      <c r="D81" s="142"/>
      <c r="E81" s="142"/>
      <c r="F81" s="142"/>
      <c r="G81" s="142"/>
      <c r="I81" s="149"/>
      <c r="J81" s="110"/>
      <c r="K81" s="110"/>
      <c r="L81" s="110"/>
      <c r="M81" s="110"/>
      <c r="N81" s="110"/>
      <c r="O81" s="110"/>
      <c r="P81" s="110"/>
      <c r="Q81" s="156"/>
      <c r="R81" s="154"/>
      <c r="S81" s="154"/>
      <c r="T81" s="154"/>
      <c r="U81" s="154"/>
      <c r="V81" s="154"/>
      <c r="W81" s="154"/>
    </row>
    <row r="82" spans="1:28" ht="15" customHeight="1" x14ac:dyDescent="0.4">
      <c r="B82" s="110"/>
      <c r="C82" s="142"/>
      <c r="D82" s="142"/>
      <c r="E82" s="142"/>
      <c r="F82" s="142"/>
      <c r="G82" s="142"/>
      <c r="I82" s="142"/>
      <c r="J82" s="110"/>
      <c r="K82" s="110"/>
      <c r="L82" s="110"/>
      <c r="M82" s="110"/>
      <c r="N82" s="110"/>
      <c r="O82" s="110"/>
      <c r="P82" s="110"/>
      <c r="Q82" s="156"/>
      <c r="R82" s="154"/>
      <c r="S82" s="154"/>
      <c r="T82" s="154"/>
      <c r="U82" s="154"/>
      <c r="V82" s="154"/>
      <c r="W82" s="154"/>
    </row>
    <row r="83" spans="1:28" ht="15" customHeight="1" x14ac:dyDescent="0.4">
      <c r="B83" s="110"/>
      <c r="C83" s="142"/>
      <c r="D83" s="142"/>
      <c r="E83" s="142"/>
      <c r="F83" s="142"/>
      <c r="G83" s="142"/>
      <c r="I83" s="142"/>
      <c r="J83" s="142"/>
      <c r="K83" s="142"/>
      <c r="L83" s="110"/>
      <c r="M83" s="110"/>
      <c r="N83" s="110"/>
      <c r="O83" s="110"/>
      <c r="P83" s="110"/>
      <c r="Q83" s="325"/>
      <c r="R83" s="325"/>
      <c r="S83" s="325"/>
      <c r="T83" s="325"/>
      <c r="U83" s="325"/>
      <c r="V83" s="325"/>
      <c r="W83" s="325"/>
    </row>
    <row r="84" spans="1:28" ht="15" customHeight="1" x14ac:dyDescent="0.4">
      <c r="A84" s="154"/>
      <c r="B84" s="110"/>
      <c r="C84" s="142"/>
      <c r="D84" s="142"/>
      <c r="E84" s="142"/>
      <c r="F84" s="142"/>
      <c r="G84" s="149"/>
      <c r="H84" s="142"/>
      <c r="I84" s="142"/>
      <c r="J84" s="142"/>
      <c r="K84" s="142"/>
      <c r="L84" s="110"/>
      <c r="M84" s="110"/>
      <c r="N84" s="110"/>
      <c r="O84" s="110"/>
      <c r="P84" s="110"/>
      <c r="Q84" s="325"/>
      <c r="R84" s="325"/>
      <c r="S84" s="325"/>
      <c r="T84" s="325"/>
      <c r="U84" s="325" t="s">
        <v>268</v>
      </c>
      <c r="V84" s="325" t="s">
        <v>269</v>
      </c>
      <c r="W84" s="325" t="s">
        <v>270</v>
      </c>
    </row>
    <row r="85" spans="1:28" ht="15" customHeight="1" x14ac:dyDescent="0.4">
      <c r="A85" s="154"/>
      <c r="B85" s="110"/>
      <c r="C85" s="142"/>
      <c r="D85" s="142"/>
      <c r="E85" s="142"/>
      <c r="F85" s="142"/>
      <c r="G85" s="142"/>
      <c r="H85" s="144"/>
      <c r="I85" s="142"/>
      <c r="J85" s="142"/>
      <c r="K85" s="142"/>
      <c r="L85" s="110"/>
      <c r="M85" s="110"/>
      <c r="N85" s="110"/>
      <c r="O85" s="110"/>
      <c r="P85" s="110"/>
      <c r="Q85" s="325"/>
      <c r="R85" s="325"/>
      <c r="S85" s="325" t="s">
        <v>252</v>
      </c>
      <c r="T85" s="325"/>
      <c r="U85" s="325">
        <f>I6</f>
        <v>104.82750000000001</v>
      </c>
      <c r="V85" s="325">
        <f>J6</f>
        <v>97.838999999999999</v>
      </c>
      <c r="W85" s="325">
        <f>K6</f>
        <v>202.66650000000001</v>
      </c>
    </row>
    <row r="86" spans="1:28" ht="15" customHeight="1" x14ac:dyDescent="0.4">
      <c r="A86" s="154"/>
      <c r="B86" s="110"/>
      <c r="C86" s="142"/>
      <c r="D86" s="142"/>
      <c r="E86" s="142"/>
      <c r="F86" s="142"/>
      <c r="G86" s="142"/>
      <c r="H86" s="146"/>
      <c r="I86" s="142"/>
      <c r="J86" s="142"/>
      <c r="K86" s="142"/>
      <c r="L86" s="110"/>
      <c r="M86" s="110"/>
      <c r="N86" s="110"/>
      <c r="O86" s="110"/>
      <c r="P86" s="110"/>
      <c r="Q86" s="325"/>
      <c r="R86" s="325"/>
      <c r="S86" s="325" t="s">
        <v>253</v>
      </c>
      <c r="T86" s="325"/>
      <c r="U86" s="325">
        <f>I7</f>
        <v>153.74700000000001</v>
      </c>
      <c r="V86" s="325">
        <f>J7</f>
        <v>69.885000000000019</v>
      </c>
      <c r="W86" s="325">
        <f>K7</f>
        <v>223.63200000000003</v>
      </c>
    </row>
    <row r="87" spans="1:28" ht="15" customHeight="1" x14ac:dyDescent="0.4">
      <c r="A87" s="154"/>
      <c r="B87" s="110"/>
      <c r="C87" s="142"/>
      <c r="D87" s="142"/>
      <c r="E87" s="142"/>
      <c r="F87" s="142"/>
      <c r="G87" s="142"/>
      <c r="H87" s="129"/>
      <c r="I87" s="110"/>
      <c r="J87" s="110"/>
      <c r="K87" s="110"/>
      <c r="L87" s="110"/>
      <c r="M87" s="142"/>
      <c r="N87" s="142"/>
      <c r="O87" s="142"/>
      <c r="P87" s="142"/>
      <c r="Q87" s="325"/>
      <c r="R87" s="325"/>
      <c r="S87" s="325" t="s">
        <v>271</v>
      </c>
      <c r="T87" s="325"/>
      <c r="U87" s="325">
        <f>I8</f>
        <v>167.72400000000002</v>
      </c>
      <c r="V87" s="325">
        <f>J8</f>
        <v>76.873500000000007</v>
      </c>
      <c r="W87" s="325">
        <f>K8</f>
        <v>244.59750000000003</v>
      </c>
    </row>
    <row r="88" spans="1:28" ht="15" customHeight="1" x14ac:dyDescent="0.4">
      <c r="A88" s="154"/>
      <c r="B88" s="110"/>
      <c r="C88" s="142"/>
      <c r="D88" s="142"/>
      <c r="E88" s="142"/>
      <c r="F88" s="142"/>
      <c r="G88" s="142"/>
      <c r="H88" s="129"/>
      <c r="I88" s="142"/>
      <c r="J88" s="142"/>
      <c r="K88" s="142"/>
      <c r="L88" s="142"/>
      <c r="M88" s="152"/>
      <c r="N88" s="152"/>
      <c r="O88" s="153"/>
      <c r="P88" s="153"/>
      <c r="Q88" s="325"/>
      <c r="R88" s="325"/>
      <c r="S88" s="325" t="s">
        <v>258</v>
      </c>
      <c r="T88" s="325"/>
      <c r="U88" s="325">
        <f>I9</f>
        <v>181.70100000000002</v>
      </c>
      <c r="V88" s="325">
        <f>J9</f>
        <v>76.873500000000035</v>
      </c>
      <c r="W88" s="325">
        <f>K9</f>
        <v>258.57450000000006</v>
      </c>
    </row>
    <row r="89" spans="1:28" ht="15" customHeight="1" x14ac:dyDescent="0.4">
      <c r="A89" s="325"/>
      <c r="B89" s="110"/>
      <c r="C89" s="110"/>
      <c r="D89" s="110"/>
      <c r="E89" s="110"/>
      <c r="F89" s="110"/>
      <c r="G89" s="110"/>
      <c r="H89" s="129"/>
      <c r="I89" s="153"/>
      <c r="J89" s="153"/>
      <c r="K89" s="142"/>
      <c r="L89" s="151"/>
      <c r="M89" s="155"/>
      <c r="N89" s="155"/>
      <c r="O89" s="155"/>
      <c r="P89" s="155"/>
      <c r="Q89" s="325"/>
      <c r="R89" s="325"/>
      <c r="S89" s="325" t="s">
        <v>259</v>
      </c>
      <c r="T89" s="325"/>
      <c r="U89" s="325">
        <f>I10</f>
        <v>160.7355</v>
      </c>
      <c r="V89" s="325">
        <f>J10</f>
        <v>76.873500000000007</v>
      </c>
      <c r="W89" s="325">
        <f>K10</f>
        <v>237.60900000000001</v>
      </c>
      <c r="X89" s="154"/>
      <c r="Y89" s="154"/>
      <c r="Z89" s="154"/>
      <c r="AA89" s="154"/>
      <c r="AB89" s="154"/>
    </row>
    <row r="90" spans="1:28" ht="15" customHeight="1" x14ac:dyDescent="0.4">
      <c r="A90" s="325"/>
      <c r="B90" s="110"/>
      <c r="C90" s="142"/>
      <c r="D90" s="142"/>
      <c r="E90" s="142"/>
      <c r="F90" s="142"/>
      <c r="G90" s="142"/>
      <c r="H90" s="147"/>
      <c r="I90" s="155"/>
      <c r="J90" s="155"/>
      <c r="K90" s="154"/>
      <c r="L90" s="155"/>
      <c r="M90" s="155"/>
      <c r="N90" s="155"/>
      <c r="O90" s="155"/>
      <c r="P90" s="155"/>
      <c r="Q90" s="325"/>
      <c r="R90" s="325"/>
      <c r="S90" s="325"/>
      <c r="T90" s="325"/>
      <c r="U90" s="325"/>
      <c r="V90" s="325"/>
      <c r="W90" s="325"/>
      <c r="X90" s="154"/>
      <c r="Y90" s="154"/>
      <c r="Z90" s="154"/>
      <c r="AA90" s="154"/>
      <c r="AB90" s="154"/>
    </row>
    <row r="91" spans="1:28" ht="15" customHeight="1" x14ac:dyDescent="0.4">
      <c r="A91" s="325"/>
      <c r="B91" s="110"/>
      <c r="C91" s="151"/>
      <c r="D91" s="152"/>
      <c r="E91" s="152"/>
      <c r="F91" s="153"/>
      <c r="G91" s="153"/>
      <c r="H91" s="142"/>
      <c r="I91" s="154"/>
      <c r="J91" s="154"/>
      <c r="K91" s="154"/>
      <c r="L91" s="155"/>
      <c r="M91" s="155"/>
      <c r="N91" s="155"/>
      <c r="O91" s="155"/>
      <c r="P91" s="155"/>
      <c r="Q91" s="325"/>
      <c r="R91" s="325"/>
      <c r="S91" s="325"/>
      <c r="T91" s="325"/>
      <c r="U91" s="325"/>
      <c r="V91" s="325"/>
      <c r="W91" s="325"/>
      <c r="X91" s="154"/>
      <c r="Y91" s="154"/>
      <c r="Z91" s="154"/>
      <c r="AA91" s="154"/>
      <c r="AB91" s="154"/>
    </row>
    <row r="92" spans="1:28" ht="15" customHeight="1" x14ac:dyDescent="0.4">
      <c r="A92" s="325"/>
      <c r="B92" s="154"/>
      <c r="C92" s="155"/>
      <c r="D92" s="155"/>
      <c r="E92" s="155"/>
      <c r="F92" s="155"/>
      <c r="G92" s="155"/>
      <c r="H92" s="142"/>
      <c r="I92" s="154"/>
      <c r="J92" s="154"/>
      <c r="K92" s="154"/>
      <c r="L92" s="155"/>
      <c r="M92" s="155"/>
      <c r="N92" s="155"/>
      <c r="O92" s="155"/>
      <c r="P92" s="155"/>
      <c r="Q92" s="325">
        <f>K104</f>
        <v>2022</v>
      </c>
      <c r="R92" s="325">
        <f>L104</f>
        <v>2023</v>
      </c>
      <c r="S92" s="325">
        <f>M103</f>
        <v>2024</v>
      </c>
      <c r="T92" s="325"/>
      <c r="U92" s="325"/>
      <c r="V92" s="325"/>
      <c r="W92" s="325"/>
      <c r="X92" s="154"/>
      <c r="Y92" s="154"/>
      <c r="Z92" s="154"/>
      <c r="AA92" s="154"/>
      <c r="AB92" s="154"/>
    </row>
    <row r="93" spans="1:28" ht="15" customHeight="1" x14ac:dyDescent="0.4">
      <c r="A93" s="325"/>
      <c r="B93" s="154"/>
      <c r="C93" s="154"/>
      <c r="D93" s="154"/>
      <c r="E93" s="154"/>
      <c r="F93" s="154"/>
      <c r="G93" s="154"/>
      <c r="H93" s="142"/>
      <c r="I93" s="154"/>
      <c r="J93" s="154"/>
      <c r="K93" s="154"/>
      <c r="L93" s="155"/>
      <c r="M93" s="155"/>
      <c r="N93" s="155"/>
      <c r="O93" s="155"/>
      <c r="P93" s="155"/>
      <c r="Q93" s="325">
        <f>IF(INPUT!E9="",NA(),INPUT!E30/1000)</f>
        <v>1.0585199999999997</v>
      </c>
      <c r="R93" s="325">
        <f>IF(INPUT!F9="",NA(),INPUT!F30/1000)</f>
        <v>1.6537200000000007</v>
      </c>
      <c r="S93" s="325">
        <f>IF(INPUT!G9="",NA(),INPUT!G30/1000)</f>
        <v>1.1856100000000001</v>
      </c>
      <c r="T93" s="325"/>
      <c r="U93" s="325"/>
      <c r="V93" s="325"/>
      <c r="W93" s="325"/>
      <c r="X93" s="154"/>
      <c r="Y93" s="154"/>
      <c r="Z93" s="154"/>
      <c r="AA93" s="154"/>
      <c r="AB93" s="154"/>
    </row>
    <row r="94" spans="1:28" s="326" customFormat="1" ht="15" customHeight="1" x14ac:dyDescent="0.4">
      <c r="A94" s="325"/>
      <c r="B94" s="154"/>
      <c r="C94" s="154"/>
      <c r="D94" s="154"/>
      <c r="E94" s="154"/>
      <c r="F94" s="154"/>
      <c r="G94" s="154"/>
      <c r="H94" s="142"/>
      <c r="I94" s="154"/>
      <c r="J94" s="154"/>
      <c r="K94" s="154"/>
      <c r="L94" s="155"/>
      <c r="M94" s="325"/>
      <c r="N94" s="325"/>
      <c r="O94" s="325"/>
      <c r="P94" s="325"/>
      <c r="Q94" s="325">
        <f>IF(INPUT!E9="",NA(),INPUT!E75/1000)</f>
        <v>-3.18527</v>
      </c>
      <c r="R94" s="325">
        <f>IF(INPUT!F9="",NA(),INPUT!F75/1000)</f>
        <v>3.922260000000001</v>
      </c>
      <c r="S94" s="325">
        <f>IF(INPUT!G9="",NA(),INPUT!G75/1000)</f>
        <v>-9.3330000000000093E-2</v>
      </c>
      <c r="T94" s="325"/>
      <c r="U94" s="325"/>
      <c r="V94" s="325"/>
      <c r="W94" s="325"/>
      <c r="X94" s="325"/>
      <c r="Y94" s="325"/>
      <c r="Z94" s="325"/>
      <c r="AA94" s="325"/>
      <c r="AB94" s="325"/>
    </row>
    <row r="95" spans="1:28" s="326" customFormat="1" ht="15" customHeight="1" x14ac:dyDescent="0.4">
      <c r="A95" s="325"/>
      <c r="B95" s="154"/>
      <c r="C95" s="154"/>
      <c r="D95" s="154"/>
      <c r="E95" s="154"/>
      <c r="F95" s="154"/>
      <c r="G95" s="154"/>
      <c r="H95" s="142"/>
      <c r="I95" s="325"/>
      <c r="J95" s="325"/>
      <c r="K95" s="325"/>
      <c r="L95" s="325"/>
      <c r="M95" s="325"/>
      <c r="N95" s="325"/>
      <c r="O95" s="325"/>
      <c r="P95" s="325"/>
      <c r="Q95" s="325">
        <f>IF(INPUT!E9="",NA(),INPUT!E26/1000)</f>
        <v>-0.99416000000000027</v>
      </c>
      <c r="R95" s="330"/>
      <c r="S95" s="330">
        <v>2022</v>
      </c>
      <c r="T95" s="330">
        <v>2024</v>
      </c>
      <c r="U95" s="330" t="s">
        <v>4</v>
      </c>
      <c r="V95" s="325"/>
      <c r="W95" s="325"/>
      <c r="X95" s="325"/>
      <c r="Y95" s="325"/>
      <c r="Z95" s="325"/>
      <c r="AA95" s="325"/>
      <c r="AB95" s="325"/>
    </row>
    <row r="96" spans="1:28" s="326" customFormat="1" ht="15" customHeight="1" x14ac:dyDescent="0.4">
      <c r="A96" s="325"/>
      <c r="B96" s="154"/>
      <c r="C96" s="154"/>
      <c r="D96" s="154"/>
      <c r="E96" s="154"/>
      <c r="F96" s="154"/>
      <c r="G96" s="154"/>
      <c r="H96" s="142"/>
      <c r="I96" s="325"/>
      <c r="J96" s="325"/>
      <c r="K96" s="325"/>
      <c r="L96" s="325"/>
      <c r="M96" s="325"/>
      <c r="N96" s="325"/>
      <c r="O96" s="325"/>
      <c r="P96" s="325"/>
      <c r="Q96" s="328"/>
      <c r="R96" s="330" t="s">
        <v>21</v>
      </c>
      <c r="S96" s="330">
        <f t="shared" ref="S96:S98" si="0">Q17</f>
        <v>1653.7200000000007</v>
      </c>
      <c r="T96" s="330">
        <f>S17</f>
        <v>-324.62999999999965</v>
      </c>
      <c r="U96" s="330" t="e">
        <f>#REF!</f>
        <v>#REF!</v>
      </c>
      <c r="X96" s="325"/>
      <c r="Y96" s="325"/>
      <c r="Z96" s="325"/>
      <c r="AA96" s="325"/>
      <c r="AB96" s="325"/>
    </row>
    <row r="97" spans="1:28" s="326" customFormat="1" ht="15" customHeight="1" x14ac:dyDescent="0.4">
      <c r="A97" s="325"/>
      <c r="B97" s="325"/>
      <c r="C97" s="325"/>
      <c r="D97" s="325"/>
      <c r="E97" s="325"/>
      <c r="F97" s="325"/>
      <c r="G97" s="325"/>
      <c r="H97" s="142"/>
      <c r="I97" s="325"/>
      <c r="J97" s="325"/>
      <c r="K97" s="325"/>
      <c r="L97" s="325"/>
      <c r="M97" s="325"/>
      <c r="N97" s="325"/>
      <c r="O97" s="325"/>
      <c r="P97" s="325"/>
      <c r="R97" s="330" t="s">
        <v>272</v>
      </c>
      <c r="S97" s="330">
        <f t="shared" si="0"/>
        <v>3922.2600000000011</v>
      </c>
      <c r="T97" s="330">
        <f>S18</f>
        <v>1384.5500000000002</v>
      </c>
      <c r="U97" s="330" t="e">
        <f>#REF!</f>
        <v>#REF!</v>
      </c>
      <c r="X97" s="325"/>
      <c r="Y97" s="325"/>
      <c r="Z97" s="325"/>
      <c r="AA97" s="325"/>
      <c r="AB97" s="325"/>
    </row>
    <row r="98" spans="1:28" s="326" customFormat="1" ht="15" customHeight="1" x14ac:dyDescent="0.4">
      <c r="A98" s="325"/>
      <c r="B98" s="325"/>
      <c r="C98" s="325"/>
      <c r="D98" s="325"/>
      <c r="E98" s="325"/>
      <c r="F98" s="325"/>
      <c r="G98" s="325"/>
      <c r="H98" s="142"/>
      <c r="I98" s="325"/>
      <c r="J98" s="325"/>
      <c r="K98" s="325"/>
      <c r="L98" s="325"/>
      <c r="M98" s="325"/>
      <c r="N98" s="325"/>
      <c r="O98" s="325"/>
      <c r="P98" s="325"/>
      <c r="Q98" s="111"/>
      <c r="R98" s="330" t="s">
        <v>19</v>
      </c>
      <c r="S98" s="330">
        <f t="shared" si="0"/>
        <v>-1355.8899999999992</v>
      </c>
      <c r="T98" s="330">
        <f>S19</f>
        <v>-3710.92</v>
      </c>
      <c r="U98" s="330" t="e">
        <f>#REF!</f>
        <v>#REF!</v>
      </c>
      <c r="V98" s="111"/>
      <c r="W98" s="111"/>
      <c r="X98" s="325"/>
      <c r="Y98" s="325"/>
      <c r="Z98" s="325"/>
      <c r="AA98" s="325"/>
      <c r="AB98" s="325"/>
    </row>
    <row r="99" spans="1:28" s="326" customFormat="1" ht="15" customHeight="1" x14ac:dyDescent="0.4">
      <c r="A99" s="325"/>
      <c r="B99" s="325"/>
      <c r="C99" s="325"/>
      <c r="D99" s="325"/>
      <c r="E99" s="325"/>
      <c r="F99" s="325"/>
      <c r="G99" s="325"/>
      <c r="H99" s="142"/>
      <c r="I99" s="325"/>
      <c r="J99" s="325"/>
      <c r="K99" s="325"/>
      <c r="L99" s="325"/>
      <c r="M99" s="325"/>
      <c r="N99" s="325"/>
      <c r="O99" s="325"/>
      <c r="P99" s="325"/>
      <c r="Q99" s="111"/>
      <c r="R99" s="111"/>
      <c r="S99" s="111"/>
      <c r="T99" s="111"/>
      <c r="U99" s="111"/>
      <c r="V99" s="111"/>
      <c r="W99" s="111"/>
      <c r="X99" s="325"/>
      <c r="Y99" s="325"/>
      <c r="Z99" s="325"/>
      <c r="AA99" s="325"/>
      <c r="AB99" s="325"/>
    </row>
    <row r="100" spans="1:28" s="326" customFormat="1" ht="15" customHeight="1" x14ac:dyDescent="0.4">
      <c r="A100" s="325"/>
      <c r="B100" s="325"/>
      <c r="C100" s="325"/>
      <c r="D100" s="325"/>
      <c r="E100" s="325"/>
      <c r="F100" s="325"/>
      <c r="G100" s="325"/>
      <c r="H100" s="142"/>
      <c r="I100" s="325"/>
      <c r="J100" s="325"/>
      <c r="K100" s="325"/>
      <c r="L100" s="325"/>
      <c r="M100" s="325"/>
      <c r="N100" s="325"/>
      <c r="O100" s="325"/>
      <c r="P100" s="325"/>
      <c r="Q100" s="111"/>
      <c r="R100" s="111"/>
      <c r="S100" s="111"/>
      <c r="T100" s="111"/>
      <c r="U100" s="111"/>
      <c r="V100" s="111"/>
      <c r="W100" s="111"/>
      <c r="X100" s="325"/>
      <c r="Y100" s="325"/>
      <c r="Z100" s="325"/>
      <c r="AA100" s="325"/>
      <c r="AB100" s="325"/>
    </row>
    <row r="101" spans="1:28" s="326" customFormat="1" ht="15" customHeight="1" x14ac:dyDescent="0.4">
      <c r="A101" s="325" t="s">
        <v>7</v>
      </c>
      <c r="B101" s="325"/>
      <c r="C101" s="325"/>
      <c r="D101" s="325"/>
      <c r="E101" s="325"/>
      <c r="F101" s="325"/>
      <c r="G101" s="325"/>
      <c r="H101" s="142"/>
      <c r="I101" s="325"/>
      <c r="J101" s="325"/>
      <c r="K101" s="325"/>
      <c r="L101" s="325"/>
      <c r="M101" s="325"/>
      <c r="N101" s="325"/>
      <c r="O101" s="325"/>
      <c r="P101" s="325"/>
      <c r="Q101" s="111"/>
      <c r="R101" s="111"/>
      <c r="S101" s="111"/>
      <c r="T101" s="111"/>
      <c r="U101" s="111"/>
      <c r="V101" s="111"/>
      <c r="W101" s="111"/>
      <c r="X101" s="325"/>
      <c r="Y101" s="325"/>
      <c r="Z101" s="325"/>
      <c r="AA101" s="325"/>
      <c r="AB101" s="325"/>
    </row>
    <row r="102" spans="1:28" s="326" customFormat="1" ht="15" customHeight="1" x14ac:dyDescent="0.4">
      <c r="B102" s="325"/>
      <c r="C102" s="325"/>
      <c r="D102" s="325"/>
      <c r="E102" s="325"/>
      <c r="F102" s="325"/>
      <c r="G102" s="325"/>
      <c r="H102" s="142"/>
      <c r="I102" s="325"/>
      <c r="J102" s="325"/>
      <c r="K102" s="325"/>
      <c r="L102" s="325"/>
      <c r="M102" s="325"/>
      <c r="N102" s="325"/>
      <c r="O102" s="325"/>
      <c r="P102" s="325"/>
      <c r="Q102" s="111"/>
      <c r="R102" s="111"/>
      <c r="S102" s="111"/>
      <c r="T102" s="111"/>
      <c r="U102" s="111"/>
      <c r="V102" s="111"/>
      <c r="W102" s="111"/>
      <c r="X102" s="325"/>
      <c r="Y102" s="325"/>
      <c r="Z102" s="325"/>
      <c r="AA102" s="325"/>
      <c r="AB102" s="325"/>
    </row>
    <row r="103" spans="1:28" s="326" customFormat="1" ht="15" customHeight="1" x14ac:dyDescent="0.35">
      <c r="B103" s="325"/>
      <c r="C103" s="325"/>
      <c r="D103" s="325"/>
      <c r="E103" s="325"/>
      <c r="F103" s="325"/>
      <c r="G103" s="325"/>
      <c r="H103" s="110"/>
      <c r="I103" s="325"/>
      <c r="J103" s="325"/>
      <c r="K103" s="325"/>
      <c r="L103" s="325"/>
      <c r="M103" s="325">
        <f>IF(INPUT!G9="",NA(),'DASHBOARD 2'!R5)</f>
        <v>2024</v>
      </c>
      <c r="N103" s="325" t="str">
        <f>IF(INPUT!H9="",NA(),'DASHBOARD 2'!S5)</f>
        <v>2025 (LTM)</v>
      </c>
      <c r="O103" s="325"/>
      <c r="P103" s="325" t="str">
        <f>J104</f>
        <v/>
      </c>
      <c r="Q103" s="111"/>
      <c r="R103" s="111"/>
      <c r="S103" s="111"/>
      <c r="T103" s="111"/>
      <c r="U103" s="111"/>
      <c r="V103" s="111"/>
      <c r="W103" s="111"/>
      <c r="X103" s="325"/>
      <c r="Y103" s="325"/>
      <c r="Z103" s="325"/>
      <c r="AA103" s="325"/>
      <c r="AB103" s="325"/>
    </row>
    <row r="104" spans="1:28" s="326" customFormat="1" ht="15" customHeight="1" x14ac:dyDescent="0.4">
      <c r="A104" s="111"/>
      <c r="B104" s="325"/>
      <c r="C104" s="325"/>
      <c r="D104" s="325"/>
      <c r="E104" s="325"/>
      <c r="F104" s="325"/>
      <c r="G104" s="325"/>
      <c r="H104" s="142"/>
      <c r="I104" s="325" t="s">
        <v>100</v>
      </c>
      <c r="J104" s="325" t="str">
        <f>IF(INPUT!D9="","",INPUT!D5)</f>
        <v/>
      </c>
      <c r="K104" s="325">
        <f>IF(INPUT!E9="",NA(),'DASHBOARD 2'!P5)</f>
        <v>2022</v>
      </c>
      <c r="L104" s="325">
        <f>IF(INPUT!F9="",NA(),'DASHBOARD 2'!Q5)</f>
        <v>2023</v>
      </c>
      <c r="M104" s="325">
        <f>IF(INPUT!G9="",NA(),INPUT!G30)</f>
        <v>1185.6100000000001</v>
      </c>
      <c r="N104" s="325">
        <f>IF(INPUT!H9="",NA(),INPUT!H30)</f>
        <v>-324.62999999999965</v>
      </c>
      <c r="O104" s="325"/>
      <c r="P104" s="325" t="e">
        <f>IF(INPUT!D9="",NA(),INPUT!D30/1000)</f>
        <v>#N/A</v>
      </c>
      <c r="Q104" s="111"/>
      <c r="R104" s="111"/>
      <c r="S104" s="111"/>
      <c r="T104" s="111"/>
      <c r="U104" s="111"/>
      <c r="V104" s="111"/>
      <c r="W104" s="111"/>
      <c r="X104" s="325"/>
      <c r="Y104" s="325"/>
      <c r="Z104" s="325"/>
      <c r="AA104" s="325"/>
      <c r="AB104" s="325"/>
    </row>
    <row r="105" spans="1:28" s="326" customFormat="1" ht="15" customHeight="1" x14ac:dyDescent="0.35">
      <c r="A105" s="111"/>
      <c r="B105" s="325"/>
      <c r="C105" s="325"/>
      <c r="D105" s="325"/>
      <c r="E105" s="325"/>
      <c r="F105" s="325"/>
      <c r="G105" s="325"/>
      <c r="H105" s="153"/>
      <c r="I105" s="325" t="s">
        <v>122</v>
      </c>
      <c r="J105" s="325" t="str">
        <f>IF(INPUT!D9="","",INPUT!D30)</f>
        <v/>
      </c>
      <c r="K105" s="325">
        <f>IF(INPUT!E9="",NA(),INPUT!E30)</f>
        <v>1058.5199999999998</v>
      </c>
      <c r="L105" s="325">
        <f>IF(INPUT!F9="",NA(),INPUT!F30)</f>
        <v>1653.7200000000007</v>
      </c>
      <c r="M105" s="325">
        <f>IF(INPUT!G9="",NA(),INPUT!G75)</f>
        <v>-93.330000000000098</v>
      </c>
      <c r="N105" s="325">
        <f>IF(INPUT!H9="",NA(),INPUT!H75)</f>
        <v>1384.5500000000002</v>
      </c>
      <c r="O105" s="325"/>
      <c r="P105" s="325" t="e">
        <f>IF(INPUT!D9="",NA(),INPUT!D75/1000)</f>
        <v>#N/A</v>
      </c>
      <c r="Q105" s="111"/>
      <c r="R105" s="111"/>
      <c r="S105" s="111"/>
      <c r="T105" s="111"/>
      <c r="U105" s="111"/>
      <c r="V105" s="111"/>
      <c r="W105" s="111"/>
      <c r="X105" s="325"/>
      <c r="Y105" s="325"/>
      <c r="Z105" s="325"/>
      <c r="AA105" s="325"/>
      <c r="AB105" s="325"/>
    </row>
    <row r="106" spans="1:28" s="326" customFormat="1" ht="15" customHeight="1" x14ac:dyDescent="0.4">
      <c r="A106" s="111"/>
      <c r="B106" s="325" t="s">
        <v>100</v>
      </c>
      <c r="C106" s="325" t="str">
        <f>IF(INPUT!D9="","",INPUT!D5)</f>
        <v/>
      </c>
      <c r="D106" s="325">
        <f>IF(INPUT!E9="",NA(),'DASHBOARD 2'!P5)</f>
        <v>2022</v>
      </c>
      <c r="E106" s="325">
        <f>IF(INPUT!F9="",NA(),'DASHBOARD 2'!Q5)</f>
        <v>2023</v>
      </c>
      <c r="F106" s="325">
        <f>IF(INPUT!G9="",NA(),'DASHBOARD 2'!R5)</f>
        <v>2024</v>
      </c>
      <c r="G106" s="325" t="str">
        <f>IF(INPUT!H9="",NA(),'DASHBOARD 2'!S5)</f>
        <v>2025 (LTM)</v>
      </c>
      <c r="H106" s="155"/>
      <c r="I106" s="325" t="s">
        <v>273</v>
      </c>
      <c r="J106" s="325" t="str">
        <f>IF(INPUT!D9="","",INPUT!D75)</f>
        <v/>
      </c>
      <c r="K106" s="325">
        <f>IF(INPUT!E9="",NA(),INPUT!E75)</f>
        <v>-3185.27</v>
      </c>
      <c r="L106" s="325">
        <f>IF(INPUT!F9="",NA(),INPUT!F75)</f>
        <v>3922.2600000000011</v>
      </c>
      <c r="M106" s="325">
        <f>IF(INPUT!G9="",NA(),INPUT!G26)</f>
        <v>-2120.21</v>
      </c>
      <c r="N106" s="325">
        <f>IF(INPUT!H9="",NA(),INPUT!H26)</f>
        <v>-3710.92</v>
      </c>
      <c r="O106" s="325"/>
      <c r="P106" s="325" t="e">
        <f>IF(INPUT!D9="",NA(),INPUT!D26/1000)</f>
        <v>#N/A</v>
      </c>
      <c r="Q106" s="111"/>
      <c r="R106" s="111"/>
      <c r="S106" s="111"/>
      <c r="T106" s="111"/>
      <c r="U106" s="111"/>
      <c r="V106" s="111"/>
      <c r="W106" s="111"/>
      <c r="X106" s="325"/>
      <c r="Y106" s="325"/>
      <c r="Z106" s="325"/>
      <c r="AA106" s="325"/>
      <c r="AB106" s="325"/>
    </row>
    <row r="107" spans="1:28" s="326" customFormat="1" ht="15" customHeight="1" x14ac:dyDescent="0.35">
      <c r="A107" s="111"/>
      <c r="B107" s="325" t="s">
        <v>254</v>
      </c>
      <c r="C107" s="325" t="str">
        <f>""</f>
        <v/>
      </c>
      <c r="D107" s="325" t="str">
        <f>IF(INPUT!E9="",NA(),'DASHBOARD 2'!P7)</f>
        <v/>
      </c>
      <c r="E107" s="325">
        <f>IF(INPUT!F9="",NA(),'DASHBOARD 2'!Q7)</f>
        <v>0.34313464542016758</v>
      </c>
      <c r="F107" s="325">
        <f>IF(INPUT!G9="",NA(),'DASHBOARD 2'!R7)</f>
        <v>2.2202363815157389E-2</v>
      </c>
      <c r="G107" s="325">
        <f>IF(INPUT!H9="",NA(),'DASHBOARD 2'!S7)</f>
        <v>7.1756642903039625E-2</v>
      </c>
      <c r="H107" s="154"/>
      <c r="I107" s="325" t="s">
        <v>123</v>
      </c>
      <c r="J107" s="325" t="str">
        <f>IF(INPUT!D9="","",INPUT!D26)</f>
        <v/>
      </c>
      <c r="K107" s="325">
        <f>IF(INPUT!E9="",NA(),INPUT!E26)</f>
        <v>-994.16000000000031</v>
      </c>
      <c r="L107" s="325">
        <f>IF(INPUT!F9="",NA(),INPUT!F26)</f>
        <v>-1355.8899999999992</v>
      </c>
      <c r="M107" s="328"/>
      <c r="N107" s="328"/>
      <c r="O107" s="328"/>
      <c r="P107" s="328"/>
      <c r="Q107" s="111"/>
      <c r="R107" s="111"/>
      <c r="S107" s="111"/>
      <c r="T107" s="111"/>
      <c r="U107" s="111"/>
      <c r="V107" s="111"/>
      <c r="W107" s="111"/>
    </row>
    <row r="108" spans="1:28" s="326" customFormat="1" ht="15" customHeight="1" x14ac:dyDescent="0.4">
      <c r="A108" s="111"/>
      <c r="B108" s="325" t="s">
        <v>267</v>
      </c>
      <c r="C108" s="327" t="str">
        <f>IF(INPUT!D9="","",INPUT!D9)</f>
        <v/>
      </c>
      <c r="D108" s="327">
        <f>IF(INPUT!E9="",NA(),INPUT!E9)</f>
        <v>5973.69</v>
      </c>
      <c r="E108" s="327">
        <f>IF(INPUT!F9="",NA(),INPUT!F9)</f>
        <v>8023.47</v>
      </c>
      <c r="F108" s="327">
        <f>IF(INPUT!G9="",NA(),INPUT!G9)</f>
        <v>8201.61</v>
      </c>
      <c r="G108" s="327">
        <f>IF(INPUT!H9="",NA(),INPUT!H9)</f>
        <v>8790.1299999999992</v>
      </c>
      <c r="H108" s="154"/>
      <c r="I108" s="328"/>
      <c r="J108" s="328"/>
      <c r="K108" s="328"/>
      <c r="L108" s="328"/>
      <c r="O108" s="329"/>
      <c r="Q108" s="111"/>
      <c r="R108" s="111"/>
      <c r="S108" s="111"/>
      <c r="T108" s="111"/>
      <c r="U108" s="111"/>
      <c r="V108" s="111"/>
      <c r="W108" s="111"/>
    </row>
    <row r="109" spans="1:28" ht="15" customHeight="1" x14ac:dyDescent="0.35">
      <c r="B109" s="325"/>
      <c r="C109" s="325"/>
      <c r="D109" s="325"/>
      <c r="E109" s="325"/>
      <c r="F109" s="325"/>
      <c r="G109" s="325"/>
      <c r="H109" s="154"/>
      <c r="I109" s="326"/>
      <c r="J109" s="326"/>
      <c r="K109" s="326"/>
      <c r="L109" s="326"/>
    </row>
    <row r="110" spans="1:28" ht="15" customHeight="1" x14ac:dyDescent="0.35">
      <c r="B110" s="328"/>
      <c r="C110" s="328"/>
      <c r="D110" s="328"/>
      <c r="E110" s="328"/>
      <c r="F110" s="328"/>
      <c r="G110" s="328"/>
      <c r="H110" s="154"/>
    </row>
    <row r="111" spans="1:28" ht="15" customHeight="1" x14ac:dyDescent="0.35">
      <c r="B111" s="326"/>
      <c r="C111" s="326"/>
      <c r="D111" s="326"/>
      <c r="E111" s="326"/>
      <c r="F111" s="326"/>
      <c r="G111" s="326"/>
      <c r="H111" s="325"/>
    </row>
    <row r="112" spans="1:28" ht="15" customHeight="1" x14ac:dyDescent="0.35">
      <c r="H112" s="325"/>
    </row>
    <row r="113" spans="8:8" ht="15" customHeight="1" x14ac:dyDescent="0.35">
      <c r="H113" s="325"/>
    </row>
    <row r="114" spans="8:8" ht="15" customHeight="1" x14ac:dyDescent="0.35">
      <c r="H114" s="325"/>
    </row>
    <row r="115" spans="8:8" ht="15" customHeight="1" x14ac:dyDescent="0.35">
      <c r="H115" s="325"/>
    </row>
    <row r="116" spans="8:8" ht="15" customHeight="1" x14ac:dyDescent="0.35">
      <c r="H116" s="325"/>
    </row>
    <row r="117" spans="8:8" ht="15" customHeight="1" x14ac:dyDescent="0.35">
      <c r="H117" s="325"/>
    </row>
    <row r="118" spans="8:8" ht="15" customHeight="1" x14ac:dyDescent="0.35">
      <c r="H118" s="325"/>
    </row>
    <row r="119" spans="8:8" ht="15" customHeight="1" x14ac:dyDescent="0.35">
      <c r="H119" s="325"/>
    </row>
    <row r="120" spans="8:8" ht="15" customHeight="1" x14ac:dyDescent="0.35">
      <c r="H120" s="325"/>
    </row>
    <row r="121" spans="8:8" ht="15" customHeight="1" x14ac:dyDescent="0.35">
      <c r="H121" s="325"/>
    </row>
    <row r="122" spans="8:8" ht="15" customHeight="1" x14ac:dyDescent="0.4">
      <c r="H122" s="327"/>
    </row>
    <row r="123" spans="8:8" ht="15" customHeight="1" x14ac:dyDescent="0.35">
      <c r="H123" s="325"/>
    </row>
    <row r="124" spans="8:8" ht="15" customHeight="1" x14ac:dyDescent="0.35">
      <c r="H124" s="328"/>
    </row>
    <row r="125" spans="8:8" ht="15" customHeight="1" x14ac:dyDescent="0.35">
      <c r="H125" s="326"/>
    </row>
  </sheetData>
  <pageMargins left="5.5555555555555558E-3" right="5.5555555555555558E-3" top="5.5555555555555558E-3" bottom="5.5555555555555558E-3" header="0.3" footer="0.3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workbookViewId="0">
      <selection activeCell="E32" sqref="E32"/>
    </sheetView>
  </sheetViews>
  <sheetFormatPr baseColWidth="10" defaultRowHeight="14.4" x14ac:dyDescent="0.3"/>
  <cols>
    <col min="1" max="1" width="55.33203125" bestFit="1" customWidth="1"/>
    <col min="2" max="2" width="6.6640625" bestFit="1" customWidth="1"/>
    <col min="3" max="3" width="14.109375" bestFit="1" customWidth="1"/>
    <col min="4" max="4" width="12.6640625" bestFit="1" customWidth="1"/>
  </cols>
  <sheetData>
    <row r="1" spans="1:3" x14ac:dyDescent="0.3">
      <c r="A1" s="139" t="s">
        <v>274</v>
      </c>
      <c r="B1" s="139"/>
      <c r="C1" s="139"/>
    </row>
    <row r="2" spans="1:3" x14ac:dyDescent="0.3">
      <c r="A2" s="140" t="s">
        <v>275</v>
      </c>
      <c r="B2" s="140" t="s">
        <v>276</v>
      </c>
      <c r="C2" s="140" t="s">
        <v>277</v>
      </c>
    </row>
    <row r="3" spans="1:3" x14ac:dyDescent="0.3">
      <c r="A3" s="205">
        <v>1</v>
      </c>
      <c r="B3" t="s">
        <v>278</v>
      </c>
      <c r="C3" s="242">
        <v>104.95</v>
      </c>
    </row>
    <row r="4" spans="1:3" x14ac:dyDescent="0.3">
      <c r="A4" s="205">
        <v>2</v>
      </c>
      <c r="B4" t="s">
        <v>279</v>
      </c>
      <c r="C4" s="242">
        <v>101.59</v>
      </c>
    </row>
    <row r="5" spans="1:3" x14ac:dyDescent="0.3">
      <c r="A5" s="205">
        <v>3</v>
      </c>
      <c r="B5" t="s">
        <v>280</v>
      </c>
      <c r="C5" s="242">
        <v>104.18</v>
      </c>
    </row>
    <row r="6" spans="1:3" x14ac:dyDescent="0.3">
      <c r="A6" s="205">
        <v>4</v>
      </c>
      <c r="B6" t="s">
        <v>281</v>
      </c>
      <c r="C6" s="242">
        <v>111.01</v>
      </c>
    </row>
    <row r="7" spans="1:3" x14ac:dyDescent="0.3">
      <c r="A7" s="205">
        <v>5</v>
      </c>
      <c r="B7" t="s">
        <v>282</v>
      </c>
      <c r="C7" s="242">
        <v>111.73</v>
      </c>
    </row>
    <row r="8" spans="1:3" x14ac:dyDescent="0.3">
      <c r="A8" s="205">
        <v>6</v>
      </c>
      <c r="B8" t="s">
        <v>283</v>
      </c>
      <c r="C8" s="242">
        <v>122.15</v>
      </c>
    </row>
    <row r="9" spans="1:3" x14ac:dyDescent="0.3">
      <c r="A9" s="205">
        <v>7</v>
      </c>
      <c r="B9" t="s">
        <v>284</v>
      </c>
      <c r="C9" s="242">
        <v>126.52</v>
      </c>
    </row>
    <row r="10" spans="1:3" x14ac:dyDescent="0.3">
      <c r="A10" s="205">
        <v>8</v>
      </c>
      <c r="B10" t="s">
        <v>285</v>
      </c>
      <c r="C10" s="242">
        <v>125.66</v>
      </c>
    </row>
    <row r="11" spans="1:3" x14ac:dyDescent="0.3">
      <c r="A11" s="205">
        <v>9</v>
      </c>
      <c r="B11" t="s">
        <v>286</v>
      </c>
      <c r="C11" s="242">
        <v>129.52000000000001</v>
      </c>
    </row>
    <row r="12" spans="1:3" x14ac:dyDescent="0.3">
      <c r="A12" s="205">
        <v>10</v>
      </c>
      <c r="B12" t="s">
        <v>287</v>
      </c>
      <c r="C12" s="242">
        <v>141.43</v>
      </c>
    </row>
    <row r="13" spans="1:3" x14ac:dyDescent="0.3">
      <c r="A13" s="205">
        <v>11</v>
      </c>
      <c r="B13" t="s">
        <v>288</v>
      </c>
      <c r="C13" s="242">
        <v>131.13</v>
      </c>
    </row>
    <row r="14" spans="1:3" x14ac:dyDescent="0.3">
      <c r="A14" s="205">
        <v>12</v>
      </c>
      <c r="B14" t="s">
        <v>289</v>
      </c>
      <c r="C14" s="242">
        <v>139.77000000000001</v>
      </c>
    </row>
    <row r="15" spans="1:3" x14ac:dyDescent="0.3">
      <c r="A15" s="205">
        <v>13</v>
      </c>
      <c r="C15" s="242"/>
    </row>
    <row r="17" spans="1:1" x14ac:dyDescent="0.3">
      <c r="A17" s="141" t="s">
        <v>290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82"/>
  <sheetViews>
    <sheetView topLeftCell="A38" workbookViewId="0"/>
  </sheetViews>
  <sheetFormatPr baseColWidth="10" defaultRowHeight="14.4" x14ac:dyDescent="0.3"/>
  <cols>
    <col min="1" max="1" width="23.109375" bestFit="1" customWidth="1"/>
    <col min="2" max="2" width="28.109375" bestFit="1" customWidth="1"/>
    <col min="3" max="3" width="11" bestFit="1" customWidth="1"/>
    <col min="4" max="4" width="8.44140625" bestFit="1" customWidth="1"/>
    <col min="5" max="5" width="10" bestFit="1" customWidth="1"/>
  </cols>
  <sheetData>
    <row r="1" spans="1:5" x14ac:dyDescent="0.3">
      <c r="A1" s="139">
        <v>0.08</v>
      </c>
      <c r="B1" s="139" t="s">
        <v>291</v>
      </c>
      <c r="C1" s="139" t="s">
        <v>292</v>
      </c>
      <c r="D1" s="139" t="s">
        <v>293</v>
      </c>
      <c r="E1" s="139" t="s">
        <v>294</v>
      </c>
    </row>
    <row r="2" spans="1:5" ht="15" customHeight="1" x14ac:dyDescent="0.35">
      <c r="A2" s="3" t="s">
        <v>295</v>
      </c>
      <c r="B2" s="3" t="s">
        <v>198</v>
      </c>
      <c r="C2" s="243">
        <v>0.05</v>
      </c>
      <c r="D2" s="243">
        <v>0.12</v>
      </c>
      <c r="E2" s="243">
        <v>0.22</v>
      </c>
    </row>
    <row r="3" spans="1:5" ht="15" customHeight="1" x14ac:dyDescent="0.35">
      <c r="A3" s="3" t="s">
        <v>295</v>
      </c>
      <c r="B3" s="3" t="s">
        <v>140</v>
      </c>
      <c r="C3" s="243">
        <v>0.55000000000000004</v>
      </c>
      <c r="D3" s="243">
        <v>0.68</v>
      </c>
      <c r="E3" s="243">
        <v>0.78</v>
      </c>
    </row>
    <row r="4" spans="1:5" ht="15" customHeight="1" x14ac:dyDescent="0.35">
      <c r="A4" s="3" t="s">
        <v>295</v>
      </c>
      <c r="B4" s="3" t="s">
        <v>125</v>
      </c>
      <c r="C4" s="243">
        <v>0.08</v>
      </c>
      <c r="D4" s="243">
        <v>0.18</v>
      </c>
      <c r="E4" s="243">
        <v>0.28000000000000003</v>
      </c>
    </row>
    <row r="5" spans="1:5" ht="15" customHeight="1" x14ac:dyDescent="0.35">
      <c r="A5" s="3" t="s">
        <v>295</v>
      </c>
      <c r="B5" s="3" t="s">
        <v>296</v>
      </c>
      <c r="C5" s="243">
        <v>0.3</v>
      </c>
      <c r="D5" s="243">
        <v>0.22</v>
      </c>
      <c r="E5" s="243">
        <v>0.15</v>
      </c>
    </row>
    <row r="6" spans="1:5" ht="15" customHeight="1" x14ac:dyDescent="0.35">
      <c r="A6" s="3" t="s">
        <v>295</v>
      </c>
      <c r="B6" s="3" t="s">
        <v>297</v>
      </c>
      <c r="C6" s="243">
        <v>0.18</v>
      </c>
      <c r="D6" s="243">
        <v>0.12</v>
      </c>
      <c r="E6" s="243">
        <v>0.08</v>
      </c>
    </row>
    <row r="7" spans="1:5" ht="15" customHeight="1" x14ac:dyDescent="0.35">
      <c r="A7" s="3" t="s">
        <v>295</v>
      </c>
      <c r="B7" s="3" t="s">
        <v>298</v>
      </c>
      <c r="C7" s="243">
        <v>0.08</v>
      </c>
      <c r="D7" s="243">
        <v>0.05</v>
      </c>
      <c r="E7" s="243">
        <v>0.03</v>
      </c>
    </row>
    <row r="8" spans="1:5" ht="15" customHeight="1" x14ac:dyDescent="0.35">
      <c r="A8" s="3" t="s">
        <v>295</v>
      </c>
      <c r="B8" s="3" t="s">
        <v>299</v>
      </c>
      <c r="C8" s="243">
        <v>0.05</v>
      </c>
      <c r="D8" s="243">
        <v>0.03</v>
      </c>
      <c r="E8" s="243">
        <v>0.02</v>
      </c>
    </row>
    <row r="9" spans="1:5" ht="15" customHeight="1" x14ac:dyDescent="0.35">
      <c r="A9" s="3" t="s">
        <v>295</v>
      </c>
      <c r="B9" s="3" t="s">
        <v>77</v>
      </c>
      <c r="C9" s="243">
        <v>0.02</v>
      </c>
      <c r="D9" s="243">
        <v>0.03</v>
      </c>
      <c r="E9" s="243">
        <v>0.04</v>
      </c>
    </row>
    <row r="10" spans="1:5" ht="15" customHeight="1" x14ac:dyDescent="0.35">
      <c r="A10" s="3" t="s">
        <v>295</v>
      </c>
      <c r="B10" s="3" t="s">
        <v>76</v>
      </c>
      <c r="C10" s="243">
        <v>0.11</v>
      </c>
      <c r="D10" s="243">
        <v>0.09</v>
      </c>
      <c r="E10" s="243">
        <v>7.0000000000000007E-2</v>
      </c>
    </row>
    <row r="11" spans="1:5" ht="15" customHeight="1" x14ac:dyDescent="0.35">
      <c r="A11" s="3" t="s">
        <v>295</v>
      </c>
      <c r="B11" s="3" t="s">
        <v>300</v>
      </c>
      <c r="C11" s="243">
        <v>12</v>
      </c>
      <c r="D11" s="243">
        <v>16</v>
      </c>
      <c r="E11" s="243">
        <v>22</v>
      </c>
    </row>
    <row r="12" spans="1:5" ht="15" customHeight="1" x14ac:dyDescent="0.35">
      <c r="A12" s="3" t="s">
        <v>301</v>
      </c>
      <c r="B12" s="3" t="s">
        <v>198</v>
      </c>
      <c r="C12" s="243">
        <v>0.01</v>
      </c>
      <c r="D12" s="243">
        <v>0.04</v>
      </c>
      <c r="E12" s="243">
        <v>7.0000000000000007E-2</v>
      </c>
    </row>
    <row r="13" spans="1:5" ht="15" customHeight="1" x14ac:dyDescent="0.35">
      <c r="A13" s="3" t="s">
        <v>301</v>
      </c>
      <c r="B13" s="3" t="s">
        <v>140</v>
      </c>
      <c r="C13" s="243">
        <v>0.18</v>
      </c>
      <c r="D13" s="243">
        <v>0.25</v>
      </c>
      <c r="E13" s="243">
        <v>0.32</v>
      </c>
    </row>
    <row r="14" spans="1:5" ht="15" customHeight="1" x14ac:dyDescent="0.35">
      <c r="A14" s="3" t="s">
        <v>301</v>
      </c>
      <c r="B14" s="3" t="s">
        <v>125</v>
      </c>
      <c r="C14" s="243">
        <v>0.06</v>
      </c>
      <c r="D14" s="243">
        <v>0.12</v>
      </c>
      <c r="E14" s="243">
        <v>0.18</v>
      </c>
    </row>
    <row r="15" spans="1:5" ht="15" customHeight="1" x14ac:dyDescent="0.35">
      <c r="A15" s="3" t="s">
        <v>301</v>
      </c>
      <c r="B15" s="3" t="s">
        <v>296</v>
      </c>
      <c r="C15" s="243">
        <v>0.1</v>
      </c>
      <c r="D15" s="243">
        <v>0.08</v>
      </c>
      <c r="E15" s="243">
        <v>0.06</v>
      </c>
    </row>
    <row r="16" spans="1:5" ht="15" customHeight="1" x14ac:dyDescent="0.35">
      <c r="A16" s="3" t="s">
        <v>301</v>
      </c>
      <c r="B16" s="3" t="s">
        <v>297</v>
      </c>
      <c r="C16" s="243">
        <v>0.03</v>
      </c>
      <c r="D16" s="243">
        <v>0.02</v>
      </c>
      <c r="E16" s="243">
        <v>0.01</v>
      </c>
    </row>
    <row r="17" spans="1:5" ht="15" customHeight="1" x14ac:dyDescent="0.35">
      <c r="A17" s="3" t="s">
        <v>301</v>
      </c>
      <c r="B17" s="3" t="s">
        <v>298</v>
      </c>
      <c r="C17" s="243">
        <v>0.1</v>
      </c>
      <c r="D17" s="243">
        <v>7.0000000000000007E-2</v>
      </c>
      <c r="E17" s="243">
        <v>0.04</v>
      </c>
    </row>
    <row r="18" spans="1:5" ht="15" customHeight="1" x14ac:dyDescent="0.35">
      <c r="A18" s="3" t="s">
        <v>301</v>
      </c>
      <c r="B18" s="3" t="s">
        <v>299</v>
      </c>
      <c r="C18" s="243">
        <v>0.12</v>
      </c>
      <c r="D18" s="243">
        <v>0.08</v>
      </c>
      <c r="E18" s="243">
        <v>0.05</v>
      </c>
    </row>
    <row r="19" spans="1:5" ht="15" customHeight="1" x14ac:dyDescent="0.35">
      <c r="A19" s="3" t="s">
        <v>301</v>
      </c>
      <c r="B19" s="3" t="s">
        <v>77</v>
      </c>
      <c r="C19" s="243">
        <v>0</v>
      </c>
      <c r="D19" s="243">
        <v>0.01</v>
      </c>
      <c r="E19" s="243">
        <v>0.02</v>
      </c>
    </row>
    <row r="20" spans="1:5" ht="15" customHeight="1" x14ac:dyDescent="0.35">
      <c r="A20" s="3" t="s">
        <v>301</v>
      </c>
      <c r="B20" s="3" t="s">
        <v>76</v>
      </c>
      <c r="C20" s="243">
        <v>0.09</v>
      </c>
      <c r="D20" s="243">
        <v>0.08</v>
      </c>
      <c r="E20" s="243">
        <v>0.06</v>
      </c>
    </row>
    <row r="21" spans="1:5" ht="15" customHeight="1" x14ac:dyDescent="0.35">
      <c r="A21" s="3" t="s">
        <v>301</v>
      </c>
      <c r="B21" s="3" t="s">
        <v>300</v>
      </c>
      <c r="C21" s="243">
        <v>5</v>
      </c>
      <c r="D21" s="243">
        <v>7</v>
      </c>
      <c r="E21" s="243">
        <v>10</v>
      </c>
    </row>
    <row r="22" spans="1:5" ht="15" customHeight="1" x14ac:dyDescent="0.35">
      <c r="A22" s="3" t="s">
        <v>302</v>
      </c>
      <c r="B22" s="3" t="s">
        <v>198</v>
      </c>
      <c r="C22" s="243">
        <v>0.01</v>
      </c>
      <c r="D22" s="243">
        <v>0.04</v>
      </c>
      <c r="E22" s="243">
        <v>0.08</v>
      </c>
    </row>
    <row r="23" spans="1:5" ht="15" customHeight="1" x14ac:dyDescent="0.35">
      <c r="A23" s="3" t="s">
        <v>302</v>
      </c>
      <c r="B23" s="3" t="s">
        <v>140</v>
      </c>
      <c r="C23" s="243">
        <v>0.25</v>
      </c>
      <c r="D23" s="243">
        <v>0.35</v>
      </c>
      <c r="E23" s="243">
        <v>0.45</v>
      </c>
    </row>
    <row r="24" spans="1:5" ht="15" customHeight="1" x14ac:dyDescent="0.35">
      <c r="A24" s="3" t="s">
        <v>302</v>
      </c>
      <c r="B24" s="3" t="s">
        <v>125</v>
      </c>
      <c r="C24" s="243">
        <v>0.04</v>
      </c>
      <c r="D24" s="243">
        <v>0.09</v>
      </c>
      <c r="E24" s="243">
        <v>0.14000000000000001</v>
      </c>
    </row>
    <row r="25" spans="1:5" ht="15" customHeight="1" x14ac:dyDescent="0.35">
      <c r="A25" s="3" t="s">
        <v>302</v>
      </c>
      <c r="B25" s="3" t="s">
        <v>296</v>
      </c>
      <c r="C25" s="243">
        <v>0.18</v>
      </c>
      <c r="D25" s="243">
        <v>0.14000000000000001</v>
      </c>
      <c r="E25" s="243">
        <v>0.1</v>
      </c>
    </row>
    <row r="26" spans="1:5" ht="15" customHeight="1" x14ac:dyDescent="0.35">
      <c r="A26" s="3" t="s">
        <v>302</v>
      </c>
      <c r="B26" s="3" t="s">
        <v>297</v>
      </c>
      <c r="C26" s="243">
        <v>0.01</v>
      </c>
      <c r="D26" s="243">
        <v>0.01</v>
      </c>
      <c r="E26" s="243">
        <v>0</v>
      </c>
    </row>
    <row r="27" spans="1:5" ht="15" customHeight="1" x14ac:dyDescent="0.35">
      <c r="A27" s="3" t="s">
        <v>302</v>
      </c>
      <c r="B27" s="3" t="s">
        <v>298</v>
      </c>
      <c r="C27" s="243">
        <v>0.05</v>
      </c>
      <c r="D27" s="243">
        <v>0.03</v>
      </c>
      <c r="E27" s="243">
        <v>0.02</v>
      </c>
    </row>
    <row r="28" spans="1:5" ht="15" customHeight="1" x14ac:dyDescent="0.35">
      <c r="A28" s="3" t="s">
        <v>302</v>
      </c>
      <c r="B28" s="3" t="s">
        <v>299</v>
      </c>
      <c r="C28" s="243">
        <v>0.1</v>
      </c>
      <c r="D28" s="243">
        <v>7.0000000000000007E-2</v>
      </c>
      <c r="E28" s="243">
        <v>0.04</v>
      </c>
    </row>
    <row r="29" spans="1:5" ht="15" customHeight="1" x14ac:dyDescent="0.35">
      <c r="A29" s="3" t="s">
        <v>302</v>
      </c>
      <c r="B29" s="3" t="s">
        <v>77</v>
      </c>
      <c r="C29" s="243">
        <v>0</v>
      </c>
      <c r="D29" s="243">
        <v>0.01</v>
      </c>
      <c r="E29" s="243">
        <v>0.02</v>
      </c>
    </row>
    <row r="30" spans="1:5" ht="15" customHeight="1" x14ac:dyDescent="0.35">
      <c r="A30" s="3" t="s">
        <v>302</v>
      </c>
      <c r="B30" s="3" t="s">
        <v>76</v>
      </c>
      <c r="C30" s="243">
        <v>0.09</v>
      </c>
      <c r="D30" s="243">
        <v>0.08</v>
      </c>
      <c r="E30" s="243">
        <v>0.06</v>
      </c>
    </row>
    <row r="31" spans="1:5" ht="15" customHeight="1" x14ac:dyDescent="0.35">
      <c r="A31" s="3" t="s">
        <v>302</v>
      </c>
      <c r="B31" s="3" t="s">
        <v>300</v>
      </c>
      <c r="C31" s="243">
        <v>5</v>
      </c>
      <c r="D31" s="243">
        <v>8</v>
      </c>
      <c r="E31" s="243">
        <v>11</v>
      </c>
    </row>
    <row r="32" spans="1:5" ht="15" customHeight="1" x14ac:dyDescent="0.35">
      <c r="A32" s="3" t="s">
        <v>303</v>
      </c>
      <c r="B32" s="3" t="s">
        <v>198</v>
      </c>
      <c r="C32" s="243">
        <v>0.03</v>
      </c>
      <c r="D32" s="243">
        <v>0.08</v>
      </c>
      <c r="E32" s="243">
        <v>0.15</v>
      </c>
    </row>
    <row r="33" spans="1:5" ht="15" customHeight="1" x14ac:dyDescent="0.35">
      <c r="A33" s="3" t="s">
        <v>303</v>
      </c>
      <c r="B33" s="3" t="s">
        <v>140</v>
      </c>
      <c r="C33" s="243">
        <v>0.55000000000000004</v>
      </c>
      <c r="D33" s="243">
        <v>0.65</v>
      </c>
      <c r="E33" s="243">
        <v>0.72</v>
      </c>
    </row>
    <row r="34" spans="1:5" ht="15" customHeight="1" x14ac:dyDescent="0.35">
      <c r="A34" s="3" t="s">
        <v>303</v>
      </c>
      <c r="B34" s="3" t="s">
        <v>125</v>
      </c>
      <c r="C34" s="243">
        <v>0.18</v>
      </c>
      <c r="D34" s="243">
        <v>0.28000000000000003</v>
      </c>
      <c r="E34" s="243">
        <v>0.35</v>
      </c>
    </row>
    <row r="35" spans="1:5" ht="15" customHeight="1" x14ac:dyDescent="0.35">
      <c r="A35" s="3" t="s">
        <v>303</v>
      </c>
      <c r="B35" s="3" t="s">
        <v>296</v>
      </c>
      <c r="C35" s="243">
        <v>0.25</v>
      </c>
      <c r="D35" s="243">
        <v>0.18</v>
      </c>
      <c r="E35" s="243">
        <v>0.12</v>
      </c>
    </row>
    <row r="36" spans="1:5" ht="15" customHeight="1" x14ac:dyDescent="0.35">
      <c r="A36" s="3" t="s">
        <v>303</v>
      </c>
      <c r="B36" s="3" t="s">
        <v>297</v>
      </c>
      <c r="C36" s="243">
        <v>0.02</v>
      </c>
      <c r="D36" s="243">
        <v>0.01</v>
      </c>
      <c r="E36" s="243">
        <v>0.01</v>
      </c>
    </row>
    <row r="37" spans="1:5" ht="15" customHeight="1" x14ac:dyDescent="0.35">
      <c r="A37" s="3" t="s">
        <v>303</v>
      </c>
      <c r="B37" s="3" t="s">
        <v>298</v>
      </c>
      <c r="C37" s="243">
        <v>0.06</v>
      </c>
      <c r="D37" s="243">
        <v>0.04</v>
      </c>
      <c r="E37" s="243">
        <v>0.03</v>
      </c>
    </row>
    <row r="38" spans="1:5" ht="15" customHeight="1" x14ac:dyDescent="0.35">
      <c r="A38" s="3" t="s">
        <v>303</v>
      </c>
      <c r="B38" s="3" t="s">
        <v>299</v>
      </c>
      <c r="C38" s="243">
        <v>0.08</v>
      </c>
      <c r="D38" s="243">
        <v>0.05</v>
      </c>
      <c r="E38" s="243">
        <v>0.03</v>
      </c>
    </row>
    <row r="39" spans="1:5" ht="15" customHeight="1" x14ac:dyDescent="0.35">
      <c r="A39" s="3" t="s">
        <v>303</v>
      </c>
      <c r="B39" s="3" t="s">
        <v>77</v>
      </c>
      <c r="C39" s="243">
        <v>0.01</v>
      </c>
      <c r="D39" s="243">
        <v>0.02</v>
      </c>
      <c r="E39" s="243">
        <v>0.03</v>
      </c>
    </row>
    <row r="40" spans="1:5" ht="15" customHeight="1" x14ac:dyDescent="0.35">
      <c r="A40" s="3" t="s">
        <v>303</v>
      </c>
      <c r="B40" s="3" t="s">
        <v>76</v>
      </c>
      <c r="C40" s="243">
        <v>0.08</v>
      </c>
      <c r="D40" s="243">
        <v>7.0000000000000007E-2</v>
      </c>
      <c r="E40" s="243">
        <v>0.05</v>
      </c>
    </row>
    <row r="41" spans="1:5" ht="15" customHeight="1" x14ac:dyDescent="0.35">
      <c r="A41" s="3" t="s">
        <v>303</v>
      </c>
      <c r="B41" s="3" t="s">
        <v>300</v>
      </c>
      <c r="C41" s="243">
        <v>12</v>
      </c>
      <c r="D41" s="243">
        <v>18</v>
      </c>
      <c r="E41" s="243">
        <v>25</v>
      </c>
    </row>
    <row r="42" spans="1:5" ht="15" customHeight="1" x14ac:dyDescent="0.35">
      <c r="A42" s="3" t="s">
        <v>304</v>
      </c>
      <c r="B42" s="3" t="s">
        <v>198</v>
      </c>
      <c r="C42" s="243">
        <v>-0.02</v>
      </c>
      <c r="D42" s="243">
        <v>0.02</v>
      </c>
      <c r="E42" s="243">
        <v>0.05</v>
      </c>
    </row>
    <row r="43" spans="1:5" ht="15" customHeight="1" x14ac:dyDescent="0.35">
      <c r="A43" s="3" t="s">
        <v>304</v>
      </c>
      <c r="B43" s="3" t="s">
        <v>140</v>
      </c>
      <c r="C43" s="243">
        <v>0.2</v>
      </c>
      <c r="D43" s="243">
        <v>0.3</v>
      </c>
      <c r="E43" s="243">
        <v>0.4</v>
      </c>
    </row>
    <row r="44" spans="1:5" ht="15" customHeight="1" x14ac:dyDescent="0.35">
      <c r="A44" s="3" t="s">
        <v>304</v>
      </c>
      <c r="B44" s="3" t="s">
        <v>125</v>
      </c>
      <c r="C44" s="243">
        <v>0.15</v>
      </c>
      <c r="D44" s="243">
        <v>0.25</v>
      </c>
      <c r="E44" s="243">
        <v>0.35</v>
      </c>
    </row>
    <row r="45" spans="1:5" ht="15" customHeight="1" x14ac:dyDescent="0.35">
      <c r="A45" s="3" t="s">
        <v>304</v>
      </c>
      <c r="B45" s="3" t="s">
        <v>296</v>
      </c>
      <c r="C45" s="243">
        <v>0.08</v>
      </c>
      <c r="D45" s="243">
        <v>0.06</v>
      </c>
      <c r="E45" s="243">
        <v>0.04</v>
      </c>
    </row>
    <row r="46" spans="1:5" ht="15" customHeight="1" x14ac:dyDescent="0.35">
      <c r="A46" s="3" t="s">
        <v>304</v>
      </c>
      <c r="B46" s="3" t="s">
        <v>297</v>
      </c>
      <c r="C46" s="243">
        <v>0.02</v>
      </c>
      <c r="D46" s="243">
        <v>0.01</v>
      </c>
      <c r="E46" s="243">
        <v>0.01</v>
      </c>
    </row>
    <row r="47" spans="1:5" ht="15" customHeight="1" x14ac:dyDescent="0.35">
      <c r="A47" s="3" t="s">
        <v>304</v>
      </c>
      <c r="B47" s="3" t="s">
        <v>298</v>
      </c>
      <c r="C47" s="243">
        <v>0.15</v>
      </c>
      <c r="D47" s="243">
        <v>0.1</v>
      </c>
      <c r="E47" s="243">
        <v>7.0000000000000007E-2</v>
      </c>
    </row>
    <row r="48" spans="1:5" ht="15" customHeight="1" x14ac:dyDescent="0.35">
      <c r="A48" s="3" t="s">
        <v>304</v>
      </c>
      <c r="B48" s="3" t="s">
        <v>299</v>
      </c>
      <c r="C48" s="243">
        <v>0.05</v>
      </c>
      <c r="D48" s="243">
        <v>0.04</v>
      </c>
      <c r="E48" s="243">
        <v>0.03</v>
      </c>
    </row>
    <row r="49" spans="1:5" ht="15" customHeight="1" x14ac:dyDescent="0.35">
      <c r="A49" s="3" t="s">
        <v>304</v>
      </c>
      <c r="B49" s="3" t="s">
        <v>77</v>
      </c>
      <c r="C49" s="243">
        <v>0</v>
      </c>
      <c r="D49" s="243">
        <v>0.01</v>
      </c>
      <c r="E49" s="243">
        <v>0.02</v>
      </c>
    </row>
    <row r="50" spans="1:5" ht="15" customHeight="1" x14ac:dyDescent="0.35">
      <c r="A50" s="3" t="s">
        <v>304</v>
      </c>
      <c r="B50" s="3" t="s">
        <v>76</v>
      </c>
      <c r="C50" s="243">
        <v>7.0000000000000007E-2</v>
      </c>
      <c r="D50" s="243">
        <v>0.06</v>
      </c>
      <c r="E50" s="243">
        <v>0.05</v>
      </c>
    </row>
    <row r="51" spans="1:5" ht="15" customHeight="1" x14ac:dyDescent="0.35">
      <c r="A51" s="3" t="s">
        <v>304</v>
      </c>
      <c r="B51" s="3" t="s">
        <v>300</v>
      </c>
      <c r="C51" s="243">
        <v>6</v>
      </c>
      <c r="D51" s="243">
        <v>8</v>
      </c>
      <c r="E51" s="243">
        <v>11</v>
      </c>
    </row>
    <row r="52" spans="1:5" ht="15" customHeight="1" x14ac:dyDescent="0.35">
      <c r="A52" s="3" t="s">
        <v>305</v>
      </c>
      <c r="B52" s="3" t="s">
        <v>198</v>
      </c>
      <c r="C52" s="243">
        <v>0.02</v>
      </c>
      <c r="D52" s="243">
        <v>0.06</v>
      </c>
      <c r="E52" s="243">
        <v>0.12</v>
      </c>
    </row>
    <row r="53" spans="1:5" ht="15" customHeight="1" x14ac:dyDescent="0.35">
      <c r="A53" s="3" t="s">
        <v>305</v>
      </c>
      <c r="B53" s="3" t="s">
        <v>140</v>
      </c>
      <c r="C53" s="243">
        <v>0.45</v>
      </c>
      <c r="D53" s="243">
        <v>0.6</v>
      </c>
      <c r="E53" s="243">
        <v>0.72</v>
      </c>
    </row>
    <row r="54" spans="1:5" ht="15" customHeight="1" x14ac:dyDescent="0.35">
      <c r="A54" s="3" t="s">
        <v>305</v>
      </c>
      <c r="B54" s="3" t="s">
        <v>125</v>
      </c>
      <c r="C54" s="243">
        <v>0.1</v>
      </c>
      <c r="D54" s="243">
        <v>0.2</v>
      </c>
      <c r="E54" s="243">
        <v>0.3</v>
      </c>
    </row>
    <row r="55" spans="1:5" ht="15" customHeight="1" x14ac:dyDescent="0.35">
      <c r="A55" s="3" t="s">
        <v>305</v>
      </c>
      <c r="B55" s="3" t="s">
        <v>296</v>
      </c>
      <c r="C55" s="243">
        <v>0.25</v>
      </c>
      <c r="D55" s="243">
        <v>0.18</v>
      </c>
      <c r="E55" s="243">
        <v>0.12</v>
      </c>
    </row>
    <row r="56" spans="1:5" ht="15" customHeight="1" x14ac:dyDescent="0.35">
      <c r="A56" s="3" t="s">
        <v>305</v>
      </c>
      <c r="B56" s="3" t="s">
        <v>297</v>
      </c>
      <c r="C56" s="243">
        <v>0.2</v>
      </c>
      <c r="D56" s="243">
        <v>0.15</v>
      </c>
      <c r="E56" s="243">
        <v>0.1</v>
      </c>
    </row>
    <row r="57" spans="1:5" ht="15" customHeight="1" x14ac:dyDescent="0.35">
      <c r="A57" s="3" t="s">
        <v>305</v>
      </c>
      <c r="B57" s="3" t="s">
        <v>298</v>
      </c>
      <c r="C57" s="243">
        <v>0.06</v>
      </c>
      <c r="D57" s="243">
        <v>0.04</v>
      </c>
      <c r="E57" s="243">
        <v>0.03</v>
      </c>
    </row>
    <row r="58" spans="1:5" ht="15" customHeight="1" x14ac:dyDescent="0.35">
      <c r="A58" s="3" t="s">
        <v>305</v>
      </c>
      <c r="B58" s="3" t="s">
        <v>299</v>
      </c>
      <c r="C58" s="243">
        <v>0.08</v>
      </c>
      <c r="D58" s="243">
        <v>0.05</v>
      </c>
      <c r="E58" s="243">
        <v>0.03</v>
      </c>
    </row>
    <row r="59" spans="1:5" ht="15" customHeight="1" x14ac:dyDescent="0.35">
      <c r="A59" s="3" t="s">
        <v>305</v>
      </c>
      <c r="B59" s="3" t="s">
        <v>77</v>
      </c>
      <c r="C59" s="243">
        <v>0.01</v>
      </c>
      <c r="D59" s="243">
        <v>0.02</v>
      </c>
      <c r="E59" s="243">
        <v>0.03</v>
      </c>
    </row>
    <row r="60" spans="1:5" ht="15" customHeight="1" x14ac:dyDescent="0.35">
      <c r="A60" s="3" t="s">
        <v>305</v>
      </c>
      <c r="B60" s="3" t="s">
        <v>76</v>
      </c>
      <c r="C60" s="243">
        <v>0.08</v>
      </c>
      <c r="D60" s="243">
        <v>7.0000000000000007E-2</v>
      </c>
      <c r="E60" s="243">
        <v>0.06</v>
      </c>
    </row>
    <row r="61" spans="1:5" ht="15" customHeight="1" x14ac:dyDescent="0.35">
      <c r="A61" s="3" t="s">
        <v>305</v>
      </c>
      <c r="B61" s="3" t="s">
        <v>300</v>
      </c>
      <c r="C61" s="243">
        <v>8</v>
      </c>
      <c r="D61" s="243">
        <v>12</v>
      </c>
      <c r="E61" s="243">
        <v>18</v>
      </c>
    </row>
    <row r="62" spans="1:5" ht="15" customHeight="1" x14ac:dyDescent="0.35">
      <c r="A62" s="59" t="s">
        <v>306</v>
      </c>
      <c r="B62" s="59" t="s">
        <v>198</v>
      </c>
      <c r="C62" s="215">
        <v>-0.05</v>
      </c>
      <c r="D62" s="215">
        <v>0.02</v>
      </c>
      <c r="E62" s="215">
        <v>0.06</v>
      </c>
    </row>
    <row r="63" spans="1:5" ht="15" customHeight="1" x14ac:dyDescent="0.35">
      <c r="A63" s="59" t="s">
        <v>306</v>
      </c>
      <c r="B63" s="59" t="s">
        <v>307</v>
      </c>
      <c r="C63" s="215">
        <v>0.22</v>
      </c>
      <c r="D63" s="215">
        <v>0.28000000000000003</v>
      </c>
      <c r="E63" s="215">
        <v>0.34</v>
      </c>
    </row>
    <row r="64" spans="1:5" ht="15" customHeight="1" x14ac:dyDescent="0.35">
      <c r="A64" s="59" t="s">
        <v>306</v>
      </c>
      <c r="B64" s="59" t="s">
        <v>125</v>
      </c>
      <c r="C64" s="215">
        <v>0.15</v>
      </c>
      <c r="D64" s="215">
        <v>0.22</v>
      </c>
      <c r="E64" s="215">
        <v>0.28000000000000003</v>
      </c>
    </row>
    <row r="65" spans="1:5" ht="15" customHeight="1" x14ac:dyDescent="0.35">
      <c r="A65" s="59" t="s">
        <v>306</v>
      </c>
      <c r="B65" s="59" t="s">
        <v>308</v>
      </c>
      <c r="C65" s="215">
        <v>0.04</v>
      </c>
      <c r="D65" s="215">
        <v>0.03</v>
      </c>
      <c r="E65" s="215">
        <v>0.02</v>
      </c>
    </row>
    <row r="66" spans="1:5" ht="15" customHeight="1" x14ac:dyDescent="0.35">
      <c r="A66" s="59" t="s">
        <v>306</v>
      </c>
      <c r="B66" s="59" t="s">
        <v>309</v>
      </c>
      <c r="C66" s="215">
        <v>0.01</v>
      </c>
      <c r="D66" s="215">
        <v>0.01</v>
      </c>
      <c r="E66" s="215">
        <v>0.01</v>
      </c>
    </row>
    <row r="67" spans="1:5" ht="15" customHeight="1" x14ac:dyDescent="0.35">
      <c r="A67" s="59" t="s">
        <v>306</v>
      </c>
      <c r="B67" s="59" t="s">
        <v>298</v>
      </c>
      <c r="C67" s="215">
        <v>0.12</v>
      </c>
      <c r="D67" s="215">
        <v>0.09</v>
      </c>
      <c r="E67" s="215">
        <v>7.0000000000000007E-2</v>
      </c>
    </row>
    <row r="68" spans="1:5" ht="15" customHeight="1" x14ac:dyDescent="0.35">
      <c r="A68" s="59" t="s">
        <v>306</v>
      </c>
      <c r="B68" s="59" t="s">
        <v>299</v>
      </c>
      <c r="C68" s="215">
        <v>0.04</v>
      </c>
      <c r="D68" s="215">
        <v>0.03</v>
      </c>
      <c r="E68" s="215">
        <v>0.02</v>
      </c>
    </row>
    <row r="69" spans="1:5" ht="15" customHeight="1" x14ac:dyDescent="0.35">
      <c r="A69" s="59" t="s">
        <v>306</v>
      </c>
      <c r="B69" s="59" t="s">
        <v>77</v>
      </c>
      <c r="C69" s="215">
        <v>0.01</v>
      </c>
      <c r="D69" s="215">
        <v>0.02</v>
      </c>
      <c r="E69" s="215">
        <v>0.03</v>
      </c>
    </row>
    <row r="70" spans="1:5" ht="15" customHeight="1" x14ac:dyDescent="0.35">
      <c r="A70" s="59" t="s">
        <v>306</v>
      </c>
      <c r="B70" s="59" t="s">
        <v>76</v>
      </c>
      <c r="C70" s="215">
        <v>0.09</v>
      </c>
      <c r="D70" s="215">
        <v>0.08</v>
      </c>
      <c r="E70" s="215">
        <v>7.0000000000000007E-2</v>
      </c>
    </row>
    <row r="71" spans="1:5" ht="15" customHeight="1" x14ac:dyDescent="0.35">
      <c r="A71" s="59" t="s">
        <v>306</v>
      </c>
      <c r="B71" s="59" t="s">
        <v>300</v>
      </c>
      <c r="C71" s="355">
        <v>4</v>
      </c>
      <c r="D71" s="355">
        <v>6</v>
      </c>
      <c r="E71" s="355">
        <v>8</v>
      </c>
    </row>
    <row r="73" spans="1:5" x14ac:dyDescent="0.3">
      <c r="A73" t="s">
        <v>310</v>
      </c>
      <c r="B73" t="s">
        <v>198</v>
      </c>
      <c r="C73">
        <v>0</v>
      </c>
      <c r="D73">
        <v>0.03</v>
      </c>
      <c r="E73">
        <v>0.06</v>
      </c>
    </row>
    <row r="74" spans="1:5" x14ac:dyDescent="0.3">
      <c r="A74" t="s">
        <v>310</v>
      </c>
      <c r="B74" t="s">
        <v>140</v>
      </c>
      <c r="C74">
        <v>0.6</v>
      </c>
      <c r="D74">
        <v>0.7</v>
      </c>
      <c r="E74">
        <v>0.8</v>
      </c>
    </row>
    <row r="75" spans="1:5" x14ac:dyDescent="0.3">
      <c r="A75" t="s">
        <v>310</v>
      </c>
      <c r="B75" t="s">
        <v>125</v>
      </c>
      <c r="C75">
        <v>0.55000000000000004</v>
      </c>
      <c r="D75">
        <v>0.65</v>
      </c>
      <c r="E75">
        <v>0.75</v>
      </c>
    </row>
    <row r="76" spans="1:5" x14ac:dyDescent="0.3">
      <c r="A76" t="s">
        <v>310</v>
      </c>
      <c r="B76" t="s">
        <v>296</v>
      </c>
      <c r="C76">
        <v>0.05</v>
      </c>
      <c r="D76">
        <v>0.03</v>
      </c>
      <c r="E76">
        <v>0.02</v>
      </c>
    </row>
    <row r="77" spans="1:5" x14ac:dyDescent="0.3">
      <c r="A77" t="s">
        <v>310</v>
      </c>
      <c r="B77" t="s">
        <v>297</v>
      </c>
      <c r="C77">
        <v>0</v>
      </c>
      <c r="D77">
        <v>0</v>
      </c>
      <c r="E77">
        <v>0</v>
      </c>
    </row>
    <row r="78" spans="1:5" x14ac:dyDescent="0.3">
      <c r="A78" t="s">
        <v>310</v>
      </c>
      <c r="B78" t="s">
        <v>298</v>
      </c>
      <c r="C78">
        <v>0.1</v>
      </c>
      <c r="D78">
        <v>7.0000000000000007E-2</v>
      </c>
      <c r="E78">
        <v>0.04</v>
      </c>
    </row>
    <row r="79" spans="1:5" x14ac:dyDescent="0.3">
      <c r="A79" t="s">
        <v>310</v>
      </c>
      <c r="B79" t="s">
        <v>299</v>
      </c>
      <c r="C79">
        <v>0.02</v>
      </c>
      <c r="D79">
        <v>0.01</v>
      </c>
      <c r="E79">
        <v>5.0000000000000001E-3</v>
      </c>
    </row>
    <row r="80" spans="1:5" x14ac:dyDescent="0.3">
      <c r="A80" t="s">
        <v>310</v>
      </c>
      <c r="B80" t="s">
        <v>77</v>
      </c>
      <c r="C80">
        <v>0.01</v>
      </c>
      <c r="D80">
        <v>0.02</v>
      </c>
      <c r="E80">
        <v>2.5000000000000001E-2</v>
      </c>
    </row>
    <row r="81" spans="1:5" x14ac:dyDescent="0.3">
      <c r="A81" t="s">
        <v>310</v>
      </c>
      <c r="B81" t="s">
        <v>76</v>
      </c>
      <c r="C81">
        <v>0.08</v>
      </c>
      <c r="D81">
        <v>7.0000000000000007E-2</v>
      </c>
      <c r="E81">
        <v>5.5E-2</v>
      </c>
    </row>
    <row r="82" spans="1:5" x14ac:dyDescent="0.3">
      <c r="A82" t="s">
        <v>310</v>
      </c>
      <c r="B82" t="s">
        <v>300</v>
      </c>
      <c r="C82">
        <v>15</v>
      </c>
      <c r="D82">
        <v>18</v>
      </c>
      <c r="E82">
        <v>22</v>
      </c>
    </row>
  </sheetData>
  <pageMargins left="0.7" right="0.7" top="0.75" bottom="0.75" header="0.3" footer="0.3"/>
  <pageSetup paperSize="9" scal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7</vt:i4>
      </vt:variant>
    </vt:vector>
  </HeadingPairs>
  <TitlesOfParts>
    <vt:vector size="16" baseType="lpstr">
      <vt:lpstr>INPUT</vt:lpstr>
      <vt:lpstr>RATIOS</vt:lpstr>
      <vt:lpstr>NAV</vt:lpstr>
      <vt:lpstr>COMPARABLES</vt:lpstr>
      <vt:lpstr>SCENARIOS</vt:lpstr>
      <vt:lpstr>DASHBOARD</vt:lpstr>
      <vt:lpstr>DASHBOARD 2</vt:lpstr>
      <vt:lpstr>STOCK_DATA</vt:lpstr>
      <vt:lpstr>SECTOR_REF</vt:lpstr>
      <vt:lpstr>COMPARABLES!Zone_d_impression</vt:lpstr>
      <vt:lpstr>DASHBOARD!Zone_d_impression</vt:lpstr>
      <vt:lpstr>'DASHBOARD 2'!Zone_d_impression</vt:lpstr>
      <vt:lpstr>INPUT!Zone_d_impression</vt:lpstr>
      <vt:lpstr>NAV!Zone_d_impression</vt:lpstr>
      <vt:lpstr>RATIOS!Zone_d_impression</vt:lpstr>
      <vt:lpstr>SCENARIOS!Zone_d_impression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jeh</dc:creator>
  <cp:lastModifiedBy>Baptiste jeh</cp:lastModifiedBy>
  <cp:lastPrinted>2026-03-07T11:51:18Z</cp:lastPrinted>
  <dcterms:created xsi:type="dcterms:W3CDTF">2026-03-05T17:41:12Z</dcterms:created>
  <dcterms:modified xsi:type="dcterms:W3CDTF">2026-04-16T10:35:52Z</dcterms:modified>
</cp:coreProperties>
</file>