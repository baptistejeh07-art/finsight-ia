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1" firstSheet="4" autoFilterDateGrouping="1"/>
  </bookViews>
  <sheets>
    <sheet xmlns:r="http://schemas.openxmlformats.org/officeDocument/2006/relationships" name="LBO MODEL" sheetId="1" state="visible" r:id="rId1"/>
    <sheet xmlns:r="http://schemas.openxmlformats.org/officeDocument/2006/relationships" name="_LBO_CALC" sheetId="2" state="hidden" r:id="rId2"/>
  </sheets>
  <definedNames>
    <definedName name="LBO_ELIGIBLE">'LBO MODEL'!$C$74</definedName>
    <definedName name="LBO_EQUITY_ENTRY">'LBO MODEL'!$C$81</definedName>
    <definedName name="LBO_EQUITY_EXIT">'LBO MODEL'!$C$82</definedName>
    <definedName name="LBO_IRR_BASE">'LBO MODEL'!$C$76</definedName>
    <definedName name="LBO_IRR_BEAR">'LBO MODEL'!#REF!</definedName>
    <definedName name="LBO_IRR_BULL">'LBO MODEL'!#REF!</definedName>
    <definedName name="LBO_LEVERAGE_EXIT">'LBO MODEL'!$C$80</definedName>
    <definedName name="LBO_MEGA_FLAG">'LBO MODEL'!$C$75</definedName>
    <definedName name="LBO_MOIC_BASE">'LBO MODEL'!#REF!</definedName>
  </definedNames>
  <calcPr calcId="191029" fullCalcOnLoad="1"/>
</workbook>
</file>

<file path=xl/styles.xml><?xml version="1.0" encoding="utf-8"?>
<styleSheet xmlns="http://schemas.openxmlformats.org/spreadsheetml/2006/main">
  <numFmts count="32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#,##0_);[Red]\(#,##0\);&quot;—&quot;"/>
    <numFmt numFmtId="188" formatCode="0.00&quot;x&quot;"/>
    <numFmt numFmtId="189" formatCode="0.0&quot;x&quot;"/>
    <numFmt numFmtId="190" formatCode="#,##0;\(#,##0\)"/>
    <numFmt numFmtId="191" formatCode="0.00&quot;×&quot;"/>
    <numFmt numFmtId="192" formatCode="#,##0;\(#,##0\);&quot;-&quot;"/>
    <numFmt numFmtId="193" formatCode="0.0&quot;×&quot;"/>
    <numFmt numFmtId="194" formatCode="0.000%"/>
    <numFmt numFmtId="195" formatCode="_(&quot;$&quot;* #,##0.00_);_(&quot;$&quot;* \(#,##0.00\);_(&quot;$&quot;* &quot;-&quot;??_);_(@_)"/>
  </numFmts>
  <fonts count="160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  <font>
      <name val="Open Sans"/>
      <b val="1"/>
      <color rgb="FFFFFFFF"/>
      <sz val="18"/>
    </font>
    <font>
      <name val="Open Sans"/>
      <b val="1"/>
      <color rgb="FF3271D2"/>
      <sz val="14"/>
    </font>
    <font>
      <name val="Open Sans"/>
      <i val="1"/>
      <color rgb="FF555555"/>
      <sz val="9"/>
    </font>
    <font>
      <name val="Open Sans"/>
      <b val="1"/>
      <color rgb="FF3271D2"/>
      <sz val="10"/>
    </font>
    <font>
      <name val="Open Sans"/>
      <color rgb="FF555555"/>
      <sz val="10"/>
    </font>
    <font>
      <name val="Open Sans"/>
      <b val="1"/>
      <color rgb="FF132E57"/>
      <sz val="10"/>
    </font>
    <font>
      <name val="Open Sans"/>
      <color rgb="FF132E57"/>
      <sz val="9"/>
    </font>
    <font>
      <name val="Open Sans"/>
      <color rgb="FF132E57"/>
      <sz val="10"/>
    </font>
    <font>
      <name val="Open Sans"/>
      <color rgb="FF555555"/>
      <sz val="9"/>
    </font>
    <font>
      <name val="Open Sans"/>
      <b val="1"/>
      <color rgb="FF132E57"/>
      <sz val="9"/>
    </font>
    <font>
      <name val="Open Sans"/>
      <b val="1"/>
      <color rgb="FF555555"/>
      <sz val="9"/>
    </font>
    <font>
      <name val="Open Sans"/>
      <b val="1"/>
      <color rgb="FF1A7A4A"/>
      <sz val="9"/>
    </font>
    <font>
      <name val="Open Sans"/>
      <i val="1"/>
      <color rgb="FF888888"/>
      <sz val="8"/>
    </font>
    <font>
      <name val="Open Sans"/>
      <b val="1"/>
      <color rgb="FF555555"/>
      <sz val="10"/>
    </font>
    <font>
      <name val="Open Sans"/>
      <b val="1"/>
      <color rgb="FF1A7A4A"/>
      <sz val="10"/>
    </font>
    <font>
      <name val="Open Sans"/>
      <b val="1"/>
      <color rgb="FFA82020"/>
      <sz val="10"/>
    </font>
    <font>
      <name val="Open Sans"/>
      <b val="1"/>
      <color rgb="FFFFFFFF"/>
      <sz val="14"/>
    </font>
    <font>
      <name val="Open Sans"/>
      <i val="1"/>
      <color rgb="FF888888"/>
      <sz val="9"/>
    </font>
    <font>
      <name val="Open Sans"/>
      <b val="1"/>
      <color rgb="FF3271D2"/>
      <sz val="9"/>
    </font>
    <font>
      <name val="Open Sans"/>
      <color rgb="FF1A7A4A"/>
      <sz val="9"/>
    </font>
    <font>
      <name val="Open Sans"/>
      <color rgb="FFA82020"/>
      <sz val="9"/>
    </font>
    <font>
      <name val="Open Sans"/>
      <b val="1"/>
      <color rgb="FFA82020"/>
      <sz val="9"/>
    </font>
    <font>
      <name val="Open Sans"/>
      <color rgb="FFFFFFFF"/>
      <sz val="11"/>
    </font>
    <font>
      <name val="Open Sans"/>
      <b val="1"/>
      <color rgb="FFFFFFFF"/>
      <sz val="10"/>
    </font>
    <font>
      <name val="Aptos Narrow"/>
      <family val="2"/>
      <color rgb="FF0000FF"/>
      <sz val="11"/>
      <scheme val="minor"/>
    </font>
    <font>
      <name val="Open Sans"/>
      <color rgb="FF888888"/>
      <sz val="8"/>
    </font>
    <font>
      <name val="Open Sans"/>
      <b val="1"/>
      <color rgb="FFB06000"/>
      <sz val="9"/>
    </font>
    <font>
      <name val="Open Sans"/>
      <color rgb="FF595959"/>
      <sz val="9"/>
    </font>
    <font>
      <name val="Open Sans"/>
      <color rgb="FF999999"/>
      <sz val="10"/>
    </font>
    <font>
      <name val="Open Sans"/>
      <b val="1"/>
      <color rgb="FF000C3F"/>
      <sz val="22"/>
    </font>
    <font>
      <name val="Open Sans"/>
      <b val="1"/>
      <color rgb="FF666666"/>
      <sz val="9"/>
    </font>
    <font>
      <name val="Aptos Narrow"/>
      <family val="2"/>
      <color rgb="FF888888"/>
      <sz val="11"/>
      <scheme val="minor"/>
    </font>
    <font>
      <name val="Aptos Narrow"/>
      <family val="2"/>
      <color rgb="FF888888"/>
      <sz val="9"/>
      <scheme val="minor"/>
    </font>
    <font>
      <name val="Open Sans"/>
      <color rgb="FF000000"/>
      <sz val="9"/>
    </font>
    <font>
      <name val="Aptos Narrow"/>
      <family val="2"/>
      <b val="1"/>
      <color rgb="FFFFFFFF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rgb="FF888888"/>
      <sz val="8"/>
      <scheme val="minor"/>
    </font>
    <font>
      <name val="Aptos Narrow"/>
      <family val="2"/>
      <b val="1"/>
      <color theme="1"/>
      <sz val="9"/>
      <scheme val="minor"/>
    </font>
    <font>
      <name val="Open Sans"/>
      <b val="1"/>
      <color rgb="FF888888"/>
      <sz val="10"/>
    </font>
    <font>
      <name val="Open Sans"/>
      <family val="2"/>
      <b val="1"/>
      <color rgb="FF000000"/>
      <sz val="9"/>
    </font>
    <font>
      <name val="Aptos Narrow"/>
      <family val="2"/>
      <b val="1"/>
      <color rgb="FF000000"/>
      <sz val="26"/>
      <scheme val="minor"/>
    </font>
    <font>
      <name val="Open Sans"/>
      <family val="2"/>
      <b val="1"/>
      <color rgb="FF0000FF"/>
      <sz val="10"/>
    </font>
    <font>
      <name val="Open Sans"/>
      <family val="2"/>
      <color theme="0"/>
      <sz val="9"/>
    </font>
    <font>
      <name val="Open Sans"/>
      <family val="2"/>
      <b val="1"/>
      <color theme="0"/>
      <sz val="9"/>
    </font>
  </fonts>
  <fills count="4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C3F"/>
        <bgColor rgb="FF000C3F"/>
      </patternFill>
    </fill>
    <fill>
      <patternFill patternType="solid">
        <fgColor rgb="FFE7F2FF"/>
        <bgColor rgb="FFE7F2FF"/>
      </patternFill>
    </fill>
    <fill>
      <patternFill patternType="solid">
        <fgColor rgb="FFF2F2F2"/>
        <bgColor rgb="FFF2F2F2"/>
      </patternFill>
    </fill>
    <fill>
      <patternFill patternType="solid">
        <fgColor rgb="FFD9E5F7"/>
        <bgColor rgb="FFD9E5F7"/>
      </patternFill>
    </fill>
    <fill>
      <patternFill patternType="solid">
        <fgColor rgb="FFFBE9E9"/>
        <bgColor indexed="64"/>
      </patternFill>
    </fill>
    <fill>
      <patternFill patternType="solid">
        <fgColor rgb="FFFDF3E5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7BC57D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CCF7F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6FC27C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A2D17F"/>
        <bgColor indexed="64"/>
      </patternFill>
    </fill>
    <fill>
      <patternFill patternType="solid">
        <fgColor rgb="FF79C57D"/>
        <bgColor indexed="64"/>
      </patternFill>
    </fill>
    <fill>
      <patternFill patternType="solid">
        <fgColor rgb="FF66BF7C"/>
        <bgColor indexed="64"/>
      </patternFill>
    </fill>
    <fill>
      <patternFill patternType="solid">
        <fgColor rgb="FFD3DF82"/>
        <bgColor indexed="64"/>
      </patternFill>
    </fill>
    <fill>
      <patternFill patternType="solid">
        <fgColor rgb="FFBCD881"/>
        <bgColor indexed="64"/>
      </patternFill>
    </fill>
    <fill>
      <patternFill patternType="solid">
        <fgColor rgb="FFA7D27F"/>
        <bgColor indexed="64"/>
      </patternFill>
    </fill>
    <fill>
      <patternFill patternType="solid">
        <fgColor rgb="FF94CC7E"/>
        <bgColor indexed="64"/>
      </patternFill>
    </fill>
    <fill>
      <patternFill patternType="solid">
        <fgColor rgb="FF81C77D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ACD380"/>
        <bgColor indexed="64"/>
      </patternFill>
    </fill>
    <fill>
      <patternFill patternType="solid">
        <fgColor rgb="FF99CE7F"/>
        <bgColor indexed="64"/>
      </patternFill>
    </fill>
    <fill>
      <patternFill patternType="solid">
        <fgColor rgb="FFFBEBEB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3271D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95" fontId="33" fillId="0" borderId="0"/>
    <xf numFmtId="9" fontId="33" fillId="0" borderId="0"/>
    <xf numFmtId="0" fontId="33" fillId="0" borderId="0"/>
  </cellStyleXfs>
  <cellXfs count="72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89" fillId="0" borderId="0" applyAlignment="1" pivotButton="0" quotePrefix="0" xfId="0">
      <alignment horizontal="left"/>
    </xf>
    <xf numFmtId="0" fontId="90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3" fillId="7" borderId="0" pivotButton="0" quotePrefix="0" xfId="0"/>
    <xf numFmtId="0" fontId="94" fillId="0" borderId="0" applyAlignment="1" pivotButton="0" quotePrefix="0" xfId="0">
      <alignment horizontal="center"/>
    </xf>
    <xf numFmtId="0" fontId="95" fillId="0" borderId="0" applyAlignment="1" pivotButton="0" quotePrefix="0" xfId="0">
      <alignment horizontal="center"/>
    </xf>
    <xf numFmtId="0" fontId="92" fillId="0" borderId="0" applyAlignment="1" pivotButton="0" quotePrefix="0" xfId="0">
      <alignment horizontal="center"/>
    </xf>
    <xf numFmtId="0" fontId="92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1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6" fillId="10" borderId="0" applyAlignment="1" pivotButton="0" quotePrefix="0" xfId="0">
      <alignment horizontal="right"/>
    </xf>
    <xf numFmtId="183" fontId="97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8" fillId="10" borderId="0" applyAlignment="1" pivotButton="0" quotePrefix="0" xfId="0">
      <alignment horizontal="right"/>
    </xf>
    <xf numFmtId="0" fontId="99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6" fillId="10" borderId="0" applyAlignment="1" pivotButton="0" quotePrefix="0" xfId="0">
      <alignment horizontal="left"/>
    </xf>
    <xf numFmtId="0" fontId="96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0" fillId="9" borderId="0" pivotButton="0" quotePrefix="0" xfId="0"/>
    <xf numFmtId="170" fontId="102" fillId="9" borderId="0" pivotButton="0" quotePrefix="0" xfId="0"/>
    <xf numFmtId="49" fontId="102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3" fillId="3" borderId="0" applyAlignment="1" pivotButton="0" quotePrefix="0" xfId="0">
      <alignment horizontal="right"/>
    </xf>
    <xf numFmtId="0" fontId="104" fillId="7" borderId="0" pivotButton="0" quotePrefix="0" xfId="0"/>
    <xf numFmtId="0" fontId="105" fillId="7" borderId="0" pivotButton="0" quotePrefix="0" xfId="0"/>
    <xf numFmtId="3" fontId="108" fillId="7" borderId="0" pivotButton="0" quotePrefix="0" xfId="0"/>
    <xf numFmtId="3" fontId="107" fillId="7" borderId="0" applyAlignment="1" pivotButton="0" quotePrefix="0" xfId="0">
      <alignment horizontal="right"/>
    </xf>
    <xf numFmtId="3" fontId="107" fillId="7" borderId="2" applyAlignment="1" pivotButton="0" quotePrefix="0" xfId="0">
      <alignment horizontal="right"/>
    </xf>
    <xf numFmtId="0" fontId="108" fillId="7" borderId="0" pivotButton="0" quotePrefix="0" xfId="0"/>
    <xf numFmtId="3" fontId="106" fillId="7" borderId="3" applyAlignment="1" pivotButton="0" quotePrefix="0" xfId="0">
      <alignment horizontal="right"/>
    </xf>
    <xf numFmtId="10" fontId="107" fillId="7" borderId="0" applyAlignment="1" pivotButton="0" quotePrefix="0" xfId="0">
      <alignment horizontal="right"/>
    </xf>
    <xf numFmtId="0" fontId="110" fillId="7" borderId="0" applyAlignment="1" pivotButton="0" quotePrefix="0" xfId="0">
      <alignment horizontal="right"/>
    </xf>
    <xf numFmtId="0" fontId="54" fillId="7" borderId="0" pivotButton="0" quotePrefix="0" xfId="0"/>
    <xf numFmtId="0" fontId="101" fillId="7" borderId="9" applyAlignment="1" pivotButton="0" quotePrefix="0" xfId="0">
      <alignment horizontal="left"/>
    </xf>
    <xf numFmtId="0" fontId="101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1" fillId="8" borderId="0" applyAlignment="1" pivotButton="0" quotePrefix="0" xfId="0">
      <alignment horizontal="right"/>
    </xf>
    <xf numFmtId="0" fontId="106" fillId="8" borderId="0" applyAlignment="1" pivotButton="0" quotePrefix="0" xfId="0">
      <alignment horizontal="right"/>
    </xf>
    <xf numFmtId="0" fontId="107" fillId="8" borderId="0" applyAlignment="1" pivotButton="0" quotePrefix="0" xfId="0">
      <alignment horizontal="right"/>
    </xf>
    <xf numFmtId="0" fontId="109" fillId="8" borderId="0" pivotButton="0" quotePrefix="0" xfId="0"/>
    <xf numFmtId="0" fontId="108" fillId="8" borderId="0" pivotButton="0" quotePrefix="0" xfId="0"/>
    <xf numFmtId="3" fontId="106" fillId="8" borderId="0" applyAlignment="1" pivotButton="0" quotePrefix="0" xfId="0">
      <alignment horizontal="right"/>
    </xf>
    <xf numFmtId="3" fontId="107" fillId="8" borderId="5" applyAlignment="1" pivotButton="0" quotePrefix="0" xfId="0">
      <alignment horizontal="right"/>
    </xf>
    <xf numFmtId="3" fontId="105" fillId="8" borderId="0" pivotButton="0" quotePrefix="0" xfId="0"/>
    <xf numFmtId="3" fontId="108" fillId="8" borderId="0" pivotButton="0" quotePrefix="0" xfId="0"/>
    <xf numFmtId="3" fontId="107" fillId="8" borderId="0" applyAlignment="1" pivotButton="0" quotePrefix="0" xfId="0">
      <alignment horizontal="right"/>
    </xf>
    <xf numFmtId="3" fontId="112" fillId="8" borderId="0" applyAlignment="1" pivotButton="0" quotePrefix="0" xfId="0">
      <alignment horizontal="right"/>
    </xf>
    <xf numFmtId="10" fontId="111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3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1" fillId="9" borderId="2" pivotButton="0" quotePrefix="0" xfId="1"/>
    <xf numFmtId="173" fontId="111" fillId="9" borderId="0" pivotButton="0" quotePrefix="0" xfId="1"/>
    <xf numFmtId="173" fontId="114" fillId="9" borderId="0" pivotButton="0" quotePrefix="0" xfId="1"/>
    <xf numFmtId="0" fontId="106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5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2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5" fillId="0" borderId="0" applyAlignment="1" pivotButton="0" quotePrefix="0" xfId="0">
      <alignment horizontal="center"/>
    </xf>
    <xf numFmtId="184" fontId="95" fillId="7" borderId="0" applyAlignment="1" pivotButton="0" quotePrefix="0" xfId="0">
      <alignment horizontal="center"/>
    </xf>
    <xf numFmtId="184" fontId="92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0" fontId="120" fillId="0" borderId="0" pivotButton="0" quotePrefix="0" xfId="0"/>
    <xf numFmtId="0" fontId="121" fillId="0" borderId="0" pivotButton="0" quotePrefix="0" xfId="0"/>
    <xf numFmtId="0" fontId="122" fillId="0" borderId="0" pivotButton="0" quotePrefix="0" xfId="0"/>
    <xf numFmtId="0" fontId="123" fillId="0" borderId="0" pivotButton="0" quotePrefix="0" xfId="0"/>
    <xf numFmtId="0" fontId="129" fillId="14" borderId="0" applyAlignment="1" pivotButton="0" quotePrefix="0" xfId="0">
      <alignment horizontal="center" vertical="center"/>
    </xf>
    <xf numFmtId="0" fontId="126" fillId="14" borderId="0" applyAlignment="1" pivotButton="0" quotePrefix="0" xfId="0">
      <alignment horizontal="center" vertical="center"/>
    </xf>
    <xf numFmtId="0" fontId="133" fillId="0" borderId="0" pivotButton="0" quotePrefix="0" xfId="0"/>
    <xf numFmtId="187" fontId="123" fillId="13" borderId="0" applyAlignment="1" pivotButton="0" quotePrefix="0" xfId="0">
      <alignment horizontal="right" vertical="center"/>
    </xf>
    <xf numFmtId="0" fontId="134" fillId="0" borderId="0" pivotButton="0" quotePrefix="0" xfId="0"/>
    <xf numFmtId="3" fontId="122" fillId="0" borderId="0" applyAlignment="1" pivotButton="0" quotePrefix="0" xfId="0">
      <alignment horizontal="right" vertical="center"/>
    </xf>
    <xf numFmtId="0" fontId="124" fillId="0" borderId="0" pivotButton="0" quotePrefix="0" xfId="0"/>
    <xf numFmtId="0" fontId="125" fillId="0" borderId="0" pivotButton="0" quotePrefix="0" xfId="0"/>
    <xf numFmtId="3" fontId="125" fillId="0" borderId="13" applyAlignment="1" pivotButton="0" quotePrefix="0" xfId="0">
      <alignment horizontal="right" vertical="center"/>
    </xf>
    <xf numFmtId="3" fontId="125" fillId="13" borderId="0" applyAlignment="1" pivotButton="0" quotePrefix="0" xfId="0">
      <alignment horizontal="right" vertical="center"/>
    </xf>
    <xf numFmtId="188" fontId="122" fillId="0" borderId="0" applyAlignment="1" pivotButton="0" quotePrefix="0" xfId="0">
      <alignment horizontal="right" vertical="center"/>
    </xf>
    <xf numFmtId="189" fontId="122" fillId="0" borderId="0" applyAlignment="1" pivotButton="0" quotePrefix="0" xfId="0">
      <alignment horizontal="right" vertical="center"/>
    </xf>
    <xf numFmtId="3" fontId="125" fillId="0" borderId="0" applyAlignment="1" pivotButton="0" quotePrefix="0" xfId="0">
      <alignment horizontal="right" vertical="center"/>
    </xf>
    <xf numFmtId="190" fontId="122" fillId="0" borderId="0" applyAlignment="1" pivotButton="0" quotePrefix="0" xfId="0">
      <alignment horizontal="right" vertical="center"/>
    </xf>
    <xf numFmtId="3" fontId="125" fillId="13" borderId="12" applyAlignment="1" pivotButton="0" quotePrefix="0" xfId="0">
      <alignment horizontal="right" vertical="center"/>
    </xf>
    <xf numFmtId="0" fontId="126" fillId="0" borderId="0" applyAlignment="1" pivotButton="0" quotePrefix="0" xfId="0">
      <alignment horizontal="center" vertical="center"/>
    </xf>
    <xf numFmtId="0" fontId="126" fillId="0" borderId="0" pivotButton="0" quotePrefix="0" xfId="0"/>
    <xf numFmtId="170" fontId="125" fillId="0" borderId="0" applyAlignment="1" pivotButton="0" quotePrefix="0" xfId="0">
      <alignment horizontal="right" vertical="center"/>
    </xf>
    <xf numFmtId="188" fontId="125" fillId="0" borderId="0" applyAlignment="1" pivotButton="0" quotePrefix="0" xfId="0">
      <alignment horizontal="right" vertical="center"/>
    </xf>
    <xf numFmtId="0" fontId="135" fillId="0" borderId="0" pivotButton="0" quotePrefix="0" xfId="0"/>
    <xf numFmtId="170" fontId="127" fillId="0" borderId="0" applyAlignment="1" pivotButton="0" quotePrefix="0" xfId="0">
      <alignment horizontal="right" vertical="center"/>
    </xf>
    <xf numFmtId="188" fontId="127" fillId="0" borderId="0" applyAlignment="1" pivotButton="0" quotePrefix="0" xfId="0">
      <alignment horizontal="right" vertical="center"/>
    </xf>
    <xf numFmtId="189" fontId="127" fillId="0" borderId="0" applyAlignment="1" pivotButton="0" quotePrefix="0" xfId="0">
      <alignment horizontal="right" vertical="center"/>
    </xf>
    <xf numFmtId="189" fontId="125" fillId="0" borderId="0" applyAlignment="1" pivotButton="0" quotePrefix="0" xfId="0">
      <alignment horizontal="right" vertical="center"/>
    </xf>
    <xf numFmtId="0" fontId="136" fillId="0" borderId="0" pivotButton="0" quotePrefix="0" xfId="0"/>
    <xf numFmtId="170" fontId="137" fillId="0" borderId="0" applyAlignment="1" pivotButton="0" quotePrefix="0" xfId="0">
      <alignment horizontal="right" vertical="center"/>
    </xf>
    <xf numFmtId="188" fontId="137" fillId="0" borderId="0" applyAlignment="1" pivotButton="0" quotePrefix="0" xfId="0">
      <alignment horizontal="right" vertical="center"/>
    </xf>
    <xf numFmtId="189" fontId="137" fillId="0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0" fillId="0" borderId="0" pivotButton="0" quotePrefix="0" xfId="0"/>
    <xf numFmtId="0" fontId="119" fillId="12" borderId="0" applyAlignment="1" pivotButton="0" quotePrefix="0" xfId="0">
      <alignment horizontal="left" vertical="center" indent="1"/>
    </xf>
    <xf numFmtId="0" fontId="118" fillId="0" borderId="0" applyAlignment="1" pivotButton="0" quotePrefix="0" xfId="0">
      <alignment horizontal="left" vertical="center" indent="1"/>
    </xf>
    <xf numFmtId="0" fontId="132" fillId="11" borderId="0" applyAlignment="1" pivotButton="0" quotePrefix="0" xfId="0">
      <alignment horizontal="left" vertical="center" indent="1"/>
    </xf>
    <xf numFmtId="0" fontId="139" fillId="6" borderId="0" applyAlignment="1" pivotButton="0" quotePrefix="0" xfId="0">
      <alignment horizontal="right"/>
    </xf>
    <xf numFmtId="0" fontId="117" fillId="2" borderId="0" pivotButton="0" quotePrefix="0" xfId="0"/>
    <xf numFmtId="0" fontId="119" fillId="2" borderId="0" pivotButton="0" quotePrefix="0" xfId="0"/>
    <xf numFmtId="0" fontId="134" fillId="3" borderId="0" pivotButton="0" quotePrefix="0" xfId="0"/>
    <xf numFmtId="0" fontId="119" fillId="3" borderId="0" pivotButton="0" quotePrefix="0" xfId="0"/>
    <xf numFmtId="0" fontId="129" fillId="3" borderId="0" pivotButton="0" quotePrefix="0" xfId="0"/>
    <xf numFmtId="0" fontId="129" fillId="3" borderId="0" applyAlignment="1" pivotButton="0" quotePrefix="0" xfId="0">
      <alignment horizontal="center"/>
    </xf>
    <xf numFmtId="0" fontId="0" fillId="3" borderId="0" pivotButton="0" quotePrefix="0" xfId="0"/>
    <xf numFmtId="0" fontId="126" fillId="3" borderId="0" applyAlignment="1" pivotButton="0" quotePrefix="0" xfId="0">
      <alignment horizontal="center"/>
    </xf>
    <xf numFmtId="0" fontId="130" fillId="18" borderId="0" applyAlignment="1" pivotButton="0" quotePrefix="0" xfId="0">
      <alignment horizontal="center"/>
    </xf>
    <xf numFmtId="0" fontId="121" fillId="2" borderId="0" applyAlignment="1" pivotButton="0" quotePrefix="0" xfId="0">
      <alignment horizontal="center"/>
    </xf>
    <xf numFmtId="0" fontId="131" fillId="37" borderId="0" applyAlignment="1" pivotButton="0" quotePrefix="0" xfId="0">
      <alignment horizontal="center"/>
    </xf>
    <xf numFmtId="0" fontId="121" fillId="3" borderId="0" applyAlignment="1" pivotButton="0" quotePrefix="0" xfId="0">
      <alignment horizontal="right"/>
    </xf>
    <xf numFmtId="0" fontId="123" fillId="0" borderId="0" pivotButton="0" quotePrefix="0" xfId="0"/>
    <xf numFmtId="0" fontId="143" fillId="0" borderId="0" applyAlignment="1" pivotButton="0" quotePrefix="0" xfId="0">
      <alignment horizontal="center"/>
    </xf>
    <xf numFmtId="0" fontId="124" fillId="3" borderId="0" applyAlignment="1" pivotButton="0" quotePrefix="0" xfId="0">
      <alignment horizontal="right"/>
    </xf>
    <xf numFmtId="0" fontId="144" fillId="0" borderId="0" applyAlignment="1" pivotButton="0" quotePrefix="0" xfId="0">
      <alignment horizontal="right"/>
    </xf>
    <xf numFmtId="0" fontId="143" fillId="3" borderId="0" applyAlignment="1" pivotButton="0" quotePrefix="0" xfId="0">
      <alignment horizontal="center"/>
    </xf>
    <xf numFmtId="0" fontId="144" fillId="3" borderId="0" applyAlignment="1" pivotButton="0" quotePrefix="0" xfId="0">
      <alignment horizontal="right"/>
    </xf>
    <xf numFmtId="0" fontId="124" fillId="3" borderId="0" applyAlignment="1" pivotButton="0" quotePrefix="0" xfId="0">
      <alignment horizontal="center"/>
    </xf>
    <xf numFmtId="0" fontId="128" fillId="0" borderId="0" pivotButton="0" quotePrefix="0" xfId="0"/>
    <xf numFmtId="0" fontId="121" fillId="3" borderId="0" applyAlignment="1" pivotButton="0" quotePrefix="0" xfId="0">
      <alignment horizontal="left"/>
    </xf>
    <xf numFmtId="170" fontId="130" fillId="0" borderId="0" applyAlignment="1" pivotButton="0" quotePrefix="0" xfId="0">
      <alignment horizontal="center"/>
    </xf>
    <xf numFmtId="170" fontId="121" fillId="0" borderId="0" applyAlignment="1" pivotButton="0" quotePrefix="0" xfId="0">
      <alignment horizontal="center"/>
    </xf>
    <xf numFmtId="188" fontId="130" fillId="0" borderId="0" applyAlignment="1" pivotButton="0" quotePrefix="0" xfId="0">
      <alignment horizontal="center"/>
    </xf>
    <xf numFmtId="188" fontId="121" fillId="0" borderId="0" applyAlignment="1" pivotButton="0" quotePrefix="0" xfId="0">
      <alignment horizontal="center"/>
    </xf>
    <xf numFmtId="189" fontId="130" fillId="0" borderId="0" applyAlignment="1" pivotButton="0" quotePrefix="0" xfId="0">
      <alignment horizontal="center"/>
    </xf>
    <xf numFmtId="189" fontId="121" fillId="0" borderId="0" applyAlignment="1" pivotButton="0" quotePrefix="0" xfId="0">
      <alignment horizontal="center"/>
    </xf>
    <xf numFmtId="170" fontId="145" fillId="3" borderId="0" applyAlignment="1" pivotButton="0" quotePrefix="0" xfId="0">
      <alignment horizontal="center"/>
    </xf>
    <xf numFmtId="0" fontId="146" fillId="3" borderId="0" applyAlignment="1" pivotButton="0" quotePrefix="0" xfId="0">
      <alignment horizontal="left"/>
    </xf>
    <xf numFmtId="191" fontId="145" fillId="3" borderId="0" applyAlignment="1" pivotButton="0" quotePrefix="0" xfId="0">
      <alignment horizontal="center"/>
    </xf>
    <xf numFmtId="0" fontId="148" fillId="0" borderId="0" applyAlignment="1" pivotButton="0" quotePrefix="0" xfId="0">
      <alignment horizontal="center"/>
    </xf>
    <xf numFmtId="0" fontId="149" fillId="0" borderId="0" pivotButton="0" quotePrefix="0" xfId="0"/>
    <xf numFmtId="0" fontId="141" fillId="0" borderId="0" applyAlignment="1" pivotButton="0" quotePrefix="0" xfId="0">
      <alignment horizontal="center"/>
    </xf>
    <xf numFmtId="0" fontId="147" fillId="0" borderId="0" applyAlignment="1" pivotButton="0" quotePrefix="0" xfId="0">
      <alignment horizontal="center"/>
    </xf>
    <xf numFmtId="0" fontId="150" fillId="39" borderId="0" pivotButton="0" quotePrefix="0" xfId="0"/>
    <xf numFmtId="0" fontId="151" fillId="0" borderId="0" pivotButton="0" quotePrefix="0" xfId="0"/>
    <xf numFmtId="0" fontId="152" fillId="0" borderId="0" applyAlignment="1" pivotButton="0" quotePrefix="0" xfId="0">
      <alignment horizontal="center"/>
    </xf>
    <xf numFmtId="0" fontId="153" fillId="0" borderId="0" pivotButton="0" quotePrefix="0" xfId="0"/>
    <xf numFmtId="3" fontId="125" fillId="0" borderId="0" applyAlignment="1" pivotButton="0" quotePrefix="0" xfId="0">
      <alignment horizontal="right" vertical="center"/>
    </xf>
    <xf numFmtId="0" fontId="119" fillId="2" borderId="0" pivotButton="0" quotePrefix="0" xfId="0"/>
    <xf numFmtId="0" fontId="142" fillId="16" borderId="0" pivotButton="0" quotePrefix="0" xfId="0"/>
    <xf numFmtId="0" fontId="134" fillId="3" borderId="0" pivotButton="0" quotePrefix="0" xfId="0"/>
    <xf numFmtId="0" fontId="116" fillId="6" borderId="0" pivotButton="0" quotePrefix="0" xfId="0"/>
    <xf numFmtId="0" fontId="138" fillId="6" borderId="0" pivotButton="0" quotePrefix="0" xfId="0"/>
    <xf numFmtId="0" fontId="14" fillId="7" borderId="0" pivotButton="0" quotePrefix="0" xfId="0"/>
    <xf numFmtId="0" fontId="155" fillId="16" borderId="0" pivotButton="0" quotePrefix="0" xfId="0"/>
    <xf numFmtId="0" fontId="13" fillId="0" borderId="0" pivotButton="0" quotePrefix="0" xfId="0"/>
    <xf numFmtId="3" fontId="13" fillId="0" borderId="0" applyAlignment="1" pivotButton="0" quotePrefix="0" xfId="0">
      <alignment horizontal="right"/>
    </xf>
    <xf numFmtId="170" fontId="13" fillId="0" borderId="0" applyAlignment="1" pivotButton="0" quotePrefix="0" xfId="0">
      <alignment horizontal="right"/>
    </xf>
    <xf numFmtId="189" fontId="13" fillId="0" borderId="0" applyAlignment="1" pivotButton="0" quotePrefix="0" xfId="0">
      <alignment horizontal="right"/>
    </xf>
    <xf numFmtId="192" fontId="3" fillId="9" borderId="0" applyAlignment="1" pivotButton="0" quotePrefix="0" xfId="0">
      <alignment horizontal="right"/>
    </xf>
    <xf numFmtId="192" fontId="3" fillId="8" borderId="0" applyAlignment="1" pivotButton="0" quotePrefix="0" xfId="0">
      <alignment horizontal="right"/>
    </xf>
    <xf numFmtId="192" fontId="13" fillId="9" borderId="0" applyAlignment="1" pivotButton="0" quotePrefix="0" xfId="0">
      <alignment horizontal="right"/>
    </xf>
    <xf numFmtId="192" fontId="13" fillId="8" borderId="0" applyAlignment="1" pivotButton="0" quotePrefix="0" xfId="0">
      <alignment horizontal="right"/>
    </xf>
    <xf numFmtId="192" fontId="3" fillId="0" borderId="0" applyAlignment="1" pivotButton="0" quotePrefix="0" xfId="0">
      <alignment horizontal="right"/>
    </xf>
    <xf numFmtId="192" fontId="13" fillId="0" borderId="0" applyAlignment="1" pivotButton="0" quotePrefix="0" xfId="0">
      <alignment horizontal="right"/>
    </xf>
    <xf numFmtId="192" fontId="13" fillId="3" borderId="0" applyAlignment="1" pivotButton="0" quotePrefix="0" xfId="0">
      <alignment horizontal="right"/>
    </xf>
    <xf numFmtId="189" fontId="3" fillId="9" borderId="0" applyAlignment="1" pivotButton="0" quotePrefix="0" xfId="0">
      <alignment horizontal="right"/>
    </xf>
    <xf numFmtId="0" fontId="102" fillId="0" borderId="0" pivotButton="0" quotePrefix="0" xfId="0"/>
    <xf numFmtId="170" fontId="3" fillId="0" borderId="0" applyAlignment="1" pivotButton="0" quotePrefix="0" xfId="0">
      <alignment horizontal="right"/>
    </xf>
    <xf numFmtId="192" fontId="13" fillId="2" borderId="0" applyAlignment="1" pivotButton="0" quotePrefix="0" xfId="0">
      <alignment horizontal="right"/>
    </xf>
    <xf numFmtId="170" fontId="13" fillId="2" borderId="0" applyAlignment="1" pivotButton="0" quotePrefix="0" xfId="0">
      <alignment horizontal="right"/>
    </xf>
    <xf numFmtId="191" fontId="156" fillId="2" borderId="0" applyAlignment="1" pivotButton="0" quotePrefix="0" xfId="0">
      <alignment horizontal="center"/>
    </xf>
    <xf numFmtId="189" fontId="155" fillId="3" borderId="0" applyAlignment="1" pivotButton="0" quotePrefix="0" xfId="0">
      <alignment horizontal="center"/>
    </xf>
    <xf numFmtId="170" fontId="14" fillId="19" borderId="0" applyAlignment="1" pivotButton="0" quotePrefix="0" xfId="0">
      <alignment horizontal="center"/>
    </xf>
    <xf numFmtId="170" fontId="14" fillId="20" borderId="0" applyAlignment="1" pivotButton="0" quotePrefix="0" xfId="0">
      <alignment horizontal="center"/>
    </xf>
    <xf numFmtId="170" fontId="14" fillId="21" borderId="0" applyAlignment="1" pivotButton="0" quotePrefix="0" xfId="0">
      <alignment horizontal="center"/>
    </xf>
    <xf numFmtId="170" fontId="14" fillId="22" borderId="0" applyAlignment="1" pivotButton="0" quotePrefix="0" xfId="0">
      <alignment horizontal="center"/>
    </xf>
    <xf numFmtId="170" fontId="14" fillId="23" borderId="0" applyAlignment="1" pivotButton="0" quotePrefix="0" xfId="0">
      <alignment horizontal="center"/>
    </xf>
    <xf numFmtId="170" fontId="14" fillId="24" borderId="0" applyAlignment="1" pivotButton="0" quotePrefix="0" xfId="0">
      <alignment horizontal="center"/>
    </xf>
    <xf numFmtId="170" fontId="14" fillId="25" borderId="0" applyAlignment="1" pivotButton="0" quotePrefix="0" xfId="0">
      <alignment horizontal="center"/>
    </xf>
    <xf numFmtId="170" fontId="155" fillId="5" borderId="0" applyAlignment="1" pivotButton="0" quotePrefix="0" xfId="0">
      <alignment horizontal="center"/>
    </xf>
    <xf numFmtId="170" fontId="14" fillId="26" borderId="0" applyAlignment="1" pivotButton="0" quotePrefix="0" xfId="0">
      <alignment horizontal="center"/>
    </xf>
    <xf numFmtId="170" fontId="14" fillId="27" borderId="0" applyAlignment="1" pivotButton="0" quotePrefix="0" xfId="0">
      <alignment horizontal="center"/>
    </xf>
    <xf numFmtId="170" fontId="14" fillId="28" borderId="0" applyAlignment="1" pivotButton="0" quotePrefix="0" xfId="0">
      <alignment horizontal="center"/>
    </xf>
    <xf numFmtId="170" fontId="14" fillId="29" borderId="0" applyAlignment="1" pivotButton="0" quotePrefix="0" xfId="0">
      <alignment horizontal="center"/>
    </xf>
    <xf numFmtId="170" fontId="14" fillId="30" borderId="0" applyAlignment="1" pivotButton="0" quotePrefix="0" xfId="0">
      <alignment horizontal="center"/>
    </xf>
    <xf numFmtId="170" fontId="14" fillId="31" borderId="0" applyAlignment="1" pivotButton="0" quotePrefix="0" xfId="0">
      <alignment horizontal="center"/>
    </xf>
    <xf numFmtId="170" fontId="14" fillId="32" borderId="0" applyAlignment="1" pivotButton="0" quotePrefix="0" xfId="0">
      <alignment horizontal="center"/>
    </xf>
    <xf numFmtId="170" fontId="14" fillId="33" borderId="0" applyAlignment="1" pivotButton="0" quotePrefix="0" xfId="0">
      <alignment horizontal="center"/>
    </xf>
    <xf numFmtId="170" fontId="14" fillId="34" borderId="0" applyAlignment="1" pivotButton="0" quotePrefix="0" xfId="0">
      <alignment horizontal="center"/>
    </xf>
    <xf numFmtId="170" fontId="14" fillId="35" borderId="0" applyAlignment="1" pivotButton="0" quotePrefix="0" xfId="0">
      <alignment horizontal="center"/>
    </xf>
    <xf numFmtId="170" fontId="14" fillId="36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/>
    </xf>
    <xf numFmtId="188" fontId="13" fillId="0" borderId="0" applyAlignment="1" pivotButton="0" quotePrefix="0" xfId="0">
      <alignment horizontal="center"/>
    </xf>
    <xf numFmtId="189" fontId="13" fillId="0" borderId="0" applyAlignment="1" pivotButton="0" quotePrefix="0" xfId="0">
      <alignment horizontal="center"/>
    </xf>
    <xf numFmtId="189" fontId="157" fillId="17" borderId="14" applyAlignment="1" pivotButton="0" quotePrefix="0" xfId="0">
      <alignment horizontal="center"/>
    </xf>
    <xf numFmtId="170" fontId="157" fillId="17" borderId="14" applyAlignment="1" pivotButton="0" quotePrefix="0" xfId="0">
      <alignment horizontal="center"/>
    </xf>
    <xf numFmtId="1" fontId="157" fillId="17" borderId="14" applyAlignment="1" pivotButton="0" quotePrefix="0" xfId="0">
      <alignment horizontal="center"/>
    </xf>
    <xf numFmtId="170" fontId="157" fillId="17" borderId="11" applyAlignment="1" pivotButton="0" quotePrefix="0" xfId="0">
      <alignment horizontal="center"/>
    </xf>
    <xf numFmtId="189" fontId="3" fillId="8" borderId="0" applyAlignment="1" pivotButton="0" quotePrefix="0" xfId="0">
      <alignment horizontal="right"/>
    </xf>
    <xf numFmtId="192" fontId="100" fillId="8" borderId="0" pivotButton="0" quotePrefix="0" xfId="0"/>
    <xf numFmtId="192" fontId="102" fillId="8" borderId="0" pivotButton="0" quotePrefix="0" xfId="0"/>
    <xf numFmtId="193" fontId="100" fillId="8" borderId="0" pivotButton="0" quotePrefix="0" xfId="0"/>
    <xf numFmtId="193" fontId="140" fillId="8" borderId="0" pivotButton="0" quotePrefix="0" xfId="0"/>
    <xf numFmtId="0" fontId="134" fillId="2" borderId="0" pivotButton="0" quotePrefix="0" xfId="0"/>
    <xf numFmtId="0" fontId="154" fillId="2" borderId="0" applyAlignment="1" pivotButton="0" quotePrefix="0" xfId="0">
      <alignment horizontal="center"/>
    </xf>
    <xf numFmtId="0" fontId="8" fillId="2" borderId="0" pivotButton="0" quotePrefix="0" xfId="0"/>
    <xf numFmtId="0" fontId="117" fillId="2" borderId="0" pivotButton="0" quotePrefix="0" xfId="0"/>
    <xf numFmtId="0" fontId="118" fillId="7" borderId="0" pivotButton="0" quotePrefix="0" xfId="0"/>
    <xf numFmtId="0" fontId="117" fillId="0" borderId="0" pivotButton="0" quotePrefix="0" xfId="0"/>
    <xf numFmtId="0" fontId="118" fillId="0" borderId="0" pivotButton="0" quotePrefix="0" xfId="0"/>
    <xf numFmtId="0" fontId="0" fillId="0" borderId="0" pivotButton="0" quotePrefix="0" xfId="0"/>
    <xf numFmtId="0" fontId="119" fillId="0" borderId="0" pivotButton="0" quotePrefix="0" xfId="0"/>
    <xf numFmtId="0" fontId="119" fillId="0" borderId="0" pivotButton="0" quotePrefix="0" xfId="0"/>
    <xf numFmtId="0" fontId="13" fillId="15" borderId="0" pivotButton="0" quotePrefix="0" xfId="0"/>
    <xf numFmtId="0" fontId="131" fillId="15" borderId="0" pivotButton="0" quotePrefix="0" xfId="0"/>
    <xf numFmtId="0" fontId="119" fillId="38" borderId="0" pivotButton="0" quotePrefix="0" xfId="0"/>
    <xf numFmtId="0" fontId="138" fillId="0" borderId="0" pivotButton="0" quotePrefix="0" xfId="0"/>
    <xf numFmtId="0" fontId="131" fillId="0" borderId="0" pivotButton="0" quotePrefix="0" xfId="0"/>
    <xf numFmtId="0" fontId="142" fillId="0" borderId="0" pivotButton="0" quotePrefix="0" xfId="0"/>
    <xf numFmtId="0" fontId="134" fillId="0" borderId="0" pivotButton="0" quotePrefix="0" xfId="0"/>
    <xf numFmtId="0" fontId="146" fillId="0" borderId="0" applyAlignment="1" pivotButton="0" quotePrefix="0" xfId="0">
      <alignment horizontal="left"/>
    </xf>
    <xf numFmtId="0" fontId="84" fillId="0" borderId="0" pivotButton="0" quotePrefix="0" xfId="0"/>
    <xf numFmtId="0" fontId="98" fillId="0" borderId="0" pivotButton="0" quotePrefix="0" xfId="0"/>
    <xf numFmtId="0" fontId="97" fillId="0" borderId="0" applyAlignment="1" pivotButton="0" quotePrefix="0" xfId="0">
      <alignment horizontal="right"/>
    </xf>
    <xf numFmtId="0" fontId="97" fillId="0" borderId="0" pivotButton="0" quotePrefix="0" xfId="0"/>
    <xf numFmtId="9" fontId="156" fillId="2" borderId="0" applyAlignment="1" pivotButton="0" quotePrefix="0" xfId="0">
      <alignment horizontal="center"/>
    </xf>
    <xf numFmtId="0" fontId="158" fillId="0" borderId="0" pivotButton="0" quotePrefix="0" xfId="0"/>
    <xf numFmtId="49" fontId="159" fillId="0" borderId="0" applyAlignment="1" pivotButton="0" quotePrefix="0" xfId="0">
      <alignment horizontal="right"/>
    </xf>
    <xf numFmtId="194" fontId="159" fillId="0" borderId="0" applyAlignment="1" pivotButton="0" quotePrefix="0" xfId="0">
      <alignment horizontal="right"/>
    </xf>
    <xf numFmtId="182" fontId="159" fillId="0" borderId="0" applyAlignment="1" pivotButton="0" quotePrefix="0" xfId="0">
      <alignment horizontal="right"/>
    </xf>
    <xf numFmtId="3" fontId="159" fillId="0" borderId="0" applyAlignment="1" pivotButton="0" quotePrefix="0" xfId="0">
      <alignment horizontal="right"/>
    </xf>
    <xf numFmtId="192" fontId="3" fillId="9" borderId="0" applyAlignment="1" pivotButton="0" quotePrefix="0" xfId="1">
      <alignment horizontal="right"/>
    </xf>
    <xf numFmtId="189" fontId="157" fillId="17" borderId="14" applyAlignment="1" pivotButton="0" quotePrefix="0" xfId="0">
      <alignment horizontal="center"/>
    </xf>
    <xf numFmtId="170" fontId="13" fillId="0" borderId="0" applyAlignment="1" pivotButton="0" quotePrefix="0" xfId="0">
      <alignment horizontal="right"/>
    </xf>
    <xf numFmtId="170" fontId="157" fillId="17" borderId="14" applyAlignment="1" pivotButton="0" quotePrefix="0" xfId="0">
      <alignment horizontal="center"/>
    </xf>
    <xf numFmtId="189" fontId="13" fillId="0" borderId="0" applyAlignment="1" pivotButton="0" quotePrefix="0" xfId="0">
      <alignment horizontal="right"/>
    </xf>
    <xf numFmtId="170" fontId="157" fillId="17" borderId="11" applyAlignment="1" pivotButton="0" quotePrefix="0" xfId="0">
      <alignment horizontal="center"/>
    </xf>
    <xf numFmtId="192" fontId="3" fillId="9" borderId="0" applyAlignment="1" pivotButton="0" quotePrefix="0" xfId="0">
      <alignment horizontal="right"/>
    </xf>
    <xf numFmtId="192" fontId="3" fillId="8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92" fontId="13" fillId="9" borderId="0" applyAlignment="1" pivotButton="0" quotePrefix="0" xfId="0">
      <alignment horizontal="right"/>
    </xf>
    <xf numFmtId="192" fontId="13" fillId="8" borderId="0" applyAlignment="1" pivotButton="0" quotePrefix="0" xfId="0">
      <alignment horizontal="right"/>
    </xf>
    <xf numFmtId="192" fontId="3" fillId="0" borderId="0" applyAlignment="1" pivotButton="0" quotePrefix="0" xfId="0">
      <alignment horizontal="right"/>
    </xf>
    <xf numFmtId="192" fontId="13" fillId="0" borderId="0" applyAlignment="1" pivotButton="0" quotePrefix="0" xfId="0">
      <alignment horizontal="right"/>
    </xf>
    <xf numFmtId="192" fontId="3" fillId="9" borderId="0" applyAlignment="1" pivotButton="0" quotePrefix="0" xfId="1">
      <alignment horizontal="right"/>
    </xf>
    <xf numFmtId="192" fontId="13" fillId="3" borderId="0" applyAlignment="1" pivotButton="0" quotePrefix="0" xfId="0">
      <alignment horizontal="right"/>
    </xf>
    <xf numFmtId="189" fontId="3" fillId="9" borderId="0" applyAlignment="1" pivotButton="0" quotePrefix="0" xfId="0">
      <alignment horizontal="right"/>
    </xf>
    <xf numFmtId="189" fontId="3" fillId="8" borderId="0" applyAlignment="1" pivotButton="0" quotePrefix="0" xfId="0">
      <alignment horizontal="right"/>
    </xf>
    <xf numFmtId="192" fontId="100" fillId="8" borderId="0" pivotButton="0" quotePrefix="0" xfId="0"/>
    <xf numFmtId="192" fontId="102" fillId="8" borderId="0" pivotButton="0" quotePrefix="0" xfId="0"/>
    <xf numFmtId="193" fontId="100" fillId="8" borderId="0" pivotButton="0" quotePrefix="0" xfId="0"/>
    <xf numFmtId="193" fontId="140" fillId="8" borderId="0" pivotButton="0" quotePrefix="0" xfId="0"/>
    <xf numFmtId="170" fontId="3" fillId="0" borderId="0" applyAlignment="1" pivotButton="0" quotePrefix="0" xfId="0">
      <alignment horizontal="right"/>
    </xf>
    <xf numFmtId="192" fontId="13" fillId="2" borderId="0" applyAlignment="1" pivotButton="0" quotePrefix="0" xfId="0">
      <alignment horizontal="right"/>
    </xf>
    <xf numFmtId="170" fontId="13" fillId="2" borderId="0" applyAlignment="1" pivotButton="0" quotePrefix="0" xfId="0">
      <alignment horizontal="right"/>
    </xf>
    <xf numFmtId="170" fontId="145" fillId="3" borderId="0" applyAlignment="1" pivotButton="0" quotePrefix="0" xfId="0">
      <alignment horizontal="center"/>
    </xf>
    <xf numFmtId="191" fontId="145" fillId="3" borderId="0" applyAlignment="1" pivotButton="0" quotePrefix="0" xfId="0">
      <alignment horizontal="center"/>
    </xf>
    <xf numFmtId="191" fontId="156" fillId="2" borderId="0" applyAlignment="1" pivotButton="0" quotePrefix="0" xfId="0">
      <alignment horizontal="center"/>
    </xf>
    <xf numFmtId="189" fontId="155" fillId="3" borderId="0" applyAlignment="1" pivotButton="0" quotePrefix="0" xfId="0">
      <alignment horizontal="center"/>
    </xf>
    <xf numFmtId="170" fontId="14" fillId="19" borderId="0" applyAlignment="1" pivotButton="0" quotePrefix="0" xfId="0">
      <alignment horizontal="center"/>
    </xf>
    <xf numFmtId="170" fontId="14" fillId="20" borderId="0" applyAlignment="1" pivotButton="0" quotePrefix="0" xfId="0">
      <alignment horizontal="center"/>
    </xf>
    <xf numFmtId="170" fontId="14" fillId="21" borderId="0" applyAlignment="1" pivotButton="0" quotePrefix="0" xfId="0">
      <alignment horizontal="center"/>
    </xf>
    <xf numFmtId="170" fontId="14" fillId="22" borderId="0" applyAlignment="1" pivotButton="0" quotePrefix="0" xfId="0">
      <alignment horizontal="center"/>
    </xf>
    <xf numFmtId="170" fontId="14" fillId="23" borderId="0" applyAlignment="1" pivotButton="0" quotePrefix="0" xfId="0">
      <alignment horizontal="center"/>
    </xf>
    <xf numFmtId="170" fontId="14" fillId="24" borderId="0" applyAlignment="1" pivotButton="0" quotePrefix="0" xfId="0">
      <alignment horizontal="center"/>
    </xf>
    <xf numFmtId="170" fontId="14" fillId="25" borderId="0" applyAlignment="1" pivotButton="0" quotePrefix="0" xfId="0">
      <alignment horizontal="center"/>
    </xf>
    <xf numFmtId="170" fontId="155" fillId="5" borderId="0" applyAlignment="1" pivotButton="0" quotePrefix="0" xfId="0">
      <alignment horizontal="center"/>
    </xf>
    <xf numFmtId="170" fontId="14" fillId="26" borderId="0" applyAlignment="1" pivotButton="0" quotePrefix="0" xfId="0">
      <alignment horizontal="center"/>
    </xf>
    <xf numFmtId="170" fontId="14" fillId="27" borderId="0" applyAlignment="1" pivotButton="0" quotePrefix="0" xfId="0">
      <alignment horizontal="center"/>
    </xf>
    <xf numFmtId="170" fontId="14" fillId="28" borderId="0" applyAlignment="1" pivotButton="0" quotePrefix="0" xfId="0">
      <alignment horizontal="center"/>
    </xf>
    <xf numFmtId="170" fontId="14" fillId="29" borderId="0" applyAlignment="1" pivotButton="0" quotePrefix="0" xfId="0">
      <alignment horizontal="center"/>
    </xf>
    <xf numFmtId="170" fontId="14" fillId="30" borderId="0" applyAlignment="1" pivotButton="0" quotePrefix="0" xfId="0">
      <alignment horizontal="center"/>
    </xf>
    <xf numFmtId="170" fontId="14" fillId="31" borderId="0" applyAlignment="1" pivotButton="0" quotePrefix="0" xfId="0">
      <alignment horizontal="center"/>
    </xf>
    <xf numFmtId="170" fontId="14" fillId="32" borderId="0" applyAlignment="1" pivotButton="0" quotePrefix="0" xfId="0">
      <alignment horizontal="center"/>
    </xf>
    <xf numFmtId="170" fontId="14" fillId="33" borderId="0" applyAlignment="1" pivotButton="0" quotePrefix="0" xfId="0">
      <alignment horizontal="center"/>
    </xf>
    <xf numFmtId="170" fontId="14" fillId="34" borderId="0" applyAlignment="1" pivotButton="0" quotePrefix="0" xfId="0">
      <alignment horizontal="center"/>
    </xf>
    <xf numFmtId="170" fontId="14" fillId="35" borderId="0" applyAlignment="1" pivotButton="0" quotePrefix="0" xfId="0">
      <alignment horizontal="center"/>
    </xf>
    <xf numFmtId="170" fontId="14" fillId="36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/>
    </xf>
    <xf numFmtId="188" fontId="13" fillId="0" borderId="0" applyAlignment="1" pivotButton="0" quotePrefix="0" xfId="0">
      <alignment horizontal="center"/>
    </xf>
    <xf numFmtId="189" fontId="13" fillId="0" borderId="0" applyAlignment="1" pivotButton="0" quotePrefix="0" xfId="0">
      <alignment horizontal="center"/>
    </xf>
    <xf numFmtId="194" fontId="159" fillId="0" borderId="0" applyAlignment="1" pivotButton="0" quotePrefix="0" xfId="0">
      <alignment horizontal="right"/>
    </xf>
    <xf numFmtId="182" fontId="159" fillId="0" borderId="0" applyAlignment="1" pivotButton="0" quotePrefix="0" xfId="0">
      <alignment horizontal="right"/>
    </xf>
    <xf numFmtId="187" fontId="123" fillId="13" borderId="0" applyAlignment="1" pivotButton="0" quotePrefix="0" xfId="0">
      <alignment horizontal="right" vertical="center"/>
    </xf>
    <xf numFmtId="188" fontId="122" fillId="0" borderId="0" applyAlignment="1" pivotButton="0" quotePrefix="0" xfId="0">
      <alignment horizontal="right" vertical="center"/>
    </xf>
    <xf numFmtId="189" fontId="122" fillId="0" borderId="0" applyAlignment="1" pivotButton="0" quotePrefix="0" xfId="0">
      <alignment horizontal="right" vertical="center"/>
    </xf>
    <xf numFmtId="190" fontId="122" fillId="0" borderId="0" applyAlignment="1" pivotButton="0" quotePrefix="0" xfId="0">
      <alignment horizontal="right" vertical="center"/>
    </xf>
    <xf numFmtId="170" fontId="125" fillId="0" borderId="0" applyAlignment="1" pivotButton="0" quotePrefix="0" xfId="0">
      <alignment horizontal="right" vertical="center"/>
    </xf>
    <xf numFmtId="188" fontId="125" fillId="0" borderId="0" applyAlignment="1" pivotButton="0" quotePrefix="0" xfId="0">
      <alignment horizontal="right" vertical="center"/>
    </xf>
    <xf numFmtId="170" fontId="127" fillId="0" borderId="0" applyAlignment="1" pivotButton="0" quotePrefix="0" xfId="0">
      <alignment horizontal="right" vertical="center"/>
    </xf>
    <xf numFmtId="188" fontId="127" fillId="0" borderId="0" applyAlignment="1" pivotButton="0" quotePrefix="0" xfId="0">
      <alignment horizontal="right" vertical="center"/>
    </xf>
    <xf numFmtId="189" fontId="127" fillId="0" borderId="0" applyAlignment="1" pivotButton="0" quotePrefix="0" xfId="0">
      <alignment horizontal="right" vertical="center"/>
    </xf>
    <xf numFmtId="189" fontId="125" fillId="0" borderId="0" applyAlignment="1" pivotButton="0" quotePrefix="0" xfId="0">
      <alignment horizontal="right" vertical="center"/>
    </xf>
    <xf numFmtId="170" fontId="137" fillId="0" borderId="0" applyAlignment="1" pivotButton="0" quotePrefix="0" xfId="0">
      <alignment horizontal="right" vertical="center"/>
    </xf>
    <xf numFmtId="188" fontId="137" fillId="0" borderId="0" applyAlignment="1" pivotButton="0" quotePrefix="0" xfId="0">
      <alignment horizontal="right" vertical="center"/>
    </xf>
    <xf numFmtId="189" fontId="137" fillId="0" borderId="0" applyAlignment="1" pivotButton="0" quotePrefix="0" xfId="0">
      <alignment horizontal="right" vertical="center"/>
    </xf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21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du levier Net Debt/EBITDA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'LBO MODEL'!$L$107</f>
              <strCache>
                <ptCount val="1"/>
                <pt idx="0">
                  <v>Levier (×EBITDA)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numFmt formatCode="0\.0&quot;x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'LBO MODEL'!$K$108:$K$113</f>
              <strCache>
                <ptCount val="6"/>
                <pt idx="0">
                  <v>Y0</v>
                </pt>
                <pt idx="1">
                  <v>Y1</v>
                </pt>
                <pt idx="2">
                  <v>Y2</v>
                </pt>
                <pt idx="3">
                  <v>Y3</v>
                </pt>
                <pt idx="4">
                  <v>Y4</v>
                </pt>
                <pt idx="5">
                  <v>Y5</v>
                </pt>
              </strCache>
            </strRef>
          </cat>
          <val>
            <numRef>
              <f>'LBO MODEL'!$L$108:$L$113</f>
              <numCache>
                <formatCode>General</formatCode>
                <ptCount val="6"/>
                <pt idx="0">
                  <v>5</v>
                </pt>
                <pt idx="1">
                  <v>2.488720425943383</v>
                </pt>
                <pt idx="2">
                  <v>2.377273185719161</v>
                </pt>
                <pt idx="3">
                  <v>2.272542655332501</v>
                </pt>
                <pt idx="4">
                  <v>2.174110244716161</v>
                </pt>
                <pt idx="5">
                  <v>1.321500465457963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80950367"/>
        <axId val="1480967167"/>
      </lineChart>
      <catAx>
        <axId val="14809503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80967167"/>
        <crosses val="autoZero"/>
        <auto val="1"/>
        <lblAlgn val="ctr"/>
        <lblOffset val="100"/>
        <noMultiLvlLbl val="0"/>
      </catAx>
      <valAx>
        <axId val="1480967167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\.0&quot;x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8095036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IRR par scénario (Bull / Base / Bear)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'LBO MODEL'!$L$117</f>
              <strCache>
                <ptCount val="1"/>
                <pt idx="0">
                  <v>IRR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1A7A4A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3271D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A82020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0\.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'LBO MODEL'!$K$118:$K$120</f>
              <strCache>
                <ptCount val="3"/>
                <pt idx="0">
                  <v>BULL</v>
                </pt>
                <pt idx="1">
                  <v>BASE</v>
                </pt>
                <pt idx="2">
                  <v>BEAR</v>
                </pt>
              </strCache>
            </strRef>
          </cat>
          <val>
            <numRef>
              <f>'LBO MODEL'!$L$118:$L$120</f>
              <numCache>
                <formatCode>General</formatCode>
                <ptCount val="3"/>
                <pt idx="0">
                  <v>0.2503341706450553</v>
                </pt>
                <pt idx="1">
                  <v>0.1886918959098416</v>
                </pt>
                <pt idx="2">
                  <v>0.1180240242103554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480968607"/>
        <axId val="1480973887"/>
      </barChart>
      <catAx>
        <axId val="148096860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80973887"/>
        <crosses val="autoZero"/>
        <auto val="1"/>
        <lblAlgn val="ctr"/>
        <lblOffset val="100"/>
        <noMultiLvlLbl val="0"/>
      </catAx>
      <valAx>
        <axId val="148097388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8096860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12701</colOff>
      <row>76</row>
      <rowOff>3754</rowOff>
    </from>
    <to>
      <col>14</col>
      <colOff>400051</colOff>
      <row>86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1007342</colOff>
      <row>87</row>
      <rowOff>11602</rowOff>
    </from>
    <to>
      <col>14</col>
      <colOff>409576</colOff>
      <row>101</row>
      <rowOff>76200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showGridLines="0" tabSelected="1" zoomScale="80" zoomScaleNormal="80" workbookViewId="0">
      <selection activeCell="K20" sqref="K20"/>
    </sheetView>
  </sheetViews>
  <sheetFormatPr baseColWidth="10" defaultColWidth="8.88671875" defaultRowHeight="14.4"/>
  <cols>
    <col width="2.21875" customWidth="1" style="636" min="1" max="1"/>
    <col width="37" customWidth="1" style="636" min="2" max="2"/>
    <col width="12.21875" bestFit="1" customWidth="1" style="636" min="3" max="3"/>
    <col width="14.77734375" customWidth="1" style="636" min="4" max="9"/>
    <col width="3" customWidth="1" style="636" min="10" max="10"/>
    <col width="32.44140625" customWidth="1" style="636" min="11" max="11"/>
    <col width="14.77734375" customWidth="1" style="636" min="12" max="12"/>
    <col width="2.5546875" customWidth="1" style="636" min="13" max="13"/>
  </cols>
  <sheetData>
    <row r="1" ht="26.4" customHeight="1" s="636">
      <c r="A1" s="576" t="inlineStr">
        <is>
          <t>FinSight</t>
        </is>
      </c>
      <c r="B1" s="577" t="n"/>
      <c r="C1" s="577" t="n"/>
      <c r="D1" s="577" t="n"/>
      <c r="E1" s="577" t="n"/>
      <c r="F1" s="577" t="n"/>
      <c r="G1" s="577" t="n"/>
      <c r="H1" s="577" t="n"/>
      <c r="I1" s="533" t="inlineStr">
        <is>
          <t>LBO MODEL — Leveraged Buyout Analysis</t>
        </is>
      </c>
      <c r="J1" s="642" t="n"/>
    </row>
    <row r="2"/>
    <row r="3" ht="21" customHeight="1" s="636">
      <c r="A3" s="632" t="inlineStr">
        <is>
          <t xml:space="preserve"> </t>
        </is>
      </c>
      <c r="B3" s="632" t="inlineStr">
        <is>
          <t>MODÈLE LBO</t>
        </is>
      </c>
      <c r="C3" s="632" t="n"/>
      <c r="D3" s="632" t="n"/>
      <c r="E3" s="632" t="n"/>
      <c r="F3" s="632" t="n"/>
      <c r="G3" s="632" t="n"/>
      <c r="H3" s="632" t="n"/>
      <c r="I3" s="632" t="n"/>
      <c r="J3" s="634" t="n"/>
      <c r="K3" s="634" t="n"/>
      <c r="L3" s="634" t="n"/>
      <c r="M3" s="634" t="n"/>
    </row>
    <row r="4">
      <c r="B4" s="633" t="inlineStr">
        <is>
          <t>Modèle institutionnel mid-market  ·  calculs sur 5 ans  ·  toutes hypothèses paramétrables (cellules jaunes)</t>
        </is>
      </c>
      <c r="C4" s="633" t="n"/>
      <c r="D4" s="633" t="n"/>
      <c r="E4" s="633" t="n"/>
      <c r="F4" s="633" t="n"/>
      <c r="G4" s="633" t="n"/>
      <c r="H4" s="633" t="n"/>
      <c r="I4" s="633" t="n"/>
      <c r="J4" s="635" t="n"/>
      <c r="K4" s="635" t="n"/>
      <c r="L4" s="635" t="n"/>
      <c r="M4" s="635" t="n"/>
    </row>
    <row r="5" ht="15" customHeight="1" s="636">
      <c r="B5" s="554" t="inlineStr">
        <is>
          <t>METRIC</t>
        </is>
      </c>
      <c r="D5" s="545" t="inlineStr">
        <is>
          <t>Y0 (LTM)</t>
        </is>
      </c>
      <c r="E5" s="545" t="inlineStr">
        <is>
          <t>Y1  /  2026F</t>
        </is>
      </c>
      <c r="F5" s="545" t="inlineStr">
        <is>
          <t>Y2  /  2027F</t>
        </is>
      </c>
      <c r="G5" s="545" t="inlineStr">
        <is>
          <t>Y3  /  2028F</t>
        </is>
      </c>
      <c r="H5" s="545" t="inlineStr">
        <is>
          <t>Y4  /  2029F</t>
        </is>
      </c>
      <c r="I5" s="545" t="inlineStr">
        <is>
          <t>Y5  /  2030F</t>
        </is>
      </c>
    </row>
    <row r="6" ht="15" customHeight="1" s="636">
      <c r="B6" s="573" t="inlineStr">
        <is>
          <t>PROFIL &amp; ÉLIGIBILITÉ</t>
        </is>
      </c>
      <c r="C6" s="573" t="n"/>
      <c r="D6" s="573" t="n"/>
      <c r="E6" s="573" t="n"/>
      <c r="F6" s="573" t="n"/>
      <c r="G6" s="573" t="n"/>
      <c r="H6" s="573" t="n"/>
      <c r="I6" s="573" t="n"/>
      <c r="J6" s="638" t="n"/>
      <c r="K6" s="638" t="n"/>
      <c r="L6" s="638" t="n"/>
      <c r="M6" s="638" t="n"/>
    </row>
    <row r="7" ht="15" customHeight="1" s="636">
      <c r="B7" s="639">
        <f>IF(AND(INPUT!H30&gt;0,IFERROR(INPUT!H30/INPUT!H9,0)&gt;0.15,IFERROR(DCF!H49/INPUT!H30,0)&gt;0.6,IFERROR((INPUT!H54+INPUT!H48-INPUT!H34)/INPUT!H30,99)&lt;3.5),"  ✓  PROFIL LBO-ABLE  —  Société éligible aux critères d'un LBO mid-market standard","  ✗  PROFIL NON ÉLIGIBLE  —  Voir critères ci-dessous pour les freins identifiés")</f>
        <v/>
      </c>
      <c r="C7" s="640" t="n"/>
      <c r="D7" s="640" t="n"/>
      <c r="E7" s="640" t="n"/>
      <c r="F7" s="640" t="n"/>
      <c r="G7" s="640" t="n"/>
      <c r="H7" s="640" t="n"/>
      <c r="I7" s="640" t="n"/>
      <c r="J7" s="643" t="n"/>
    </row>
    <row r="8">
      <c r="B8" s="578">
        <f>IF(IFERROR(INPUT!H30/INPUT!H9,0)&gt;0.15,"✓ Marge EBITDA &gt; 15%","✗ Marge EBITDA &lt; 15%")</f>
        <v/>
      </c>
      <c r="D8" s="578">
        <f>IF(IFERROR(DCF!H49/INPUT!H30,0)&gt;0.6,"✓ Cash conv. &gt; 60%","✗ Cash conv. &lt; 60%")</f>
        <v/>
      </c>
      <c r="F8" s="578">
        <f>IF(IFERROR((INPUT!H54+INPUT!H48-INPUT!H34)/INPUT!H30,99)&lt;3.5,"✓ Levier net &lt; 3,5x","✗ Levier net &gt; 3,5x")</f>
        <v/>
      </c>
      <c r="H8" s="578">
        <f>IF(INPUT!H30&gt;0,"✓ EBITDA positif","✗ EBITDA négatif")</f>
        <v/>
      </c>
    </row>
    <row r="9">
      <c r="B9" s="579">
        <f>IF(INPUT!H98&gt;100000000,"  ⚠⚠  SCÉNARIO THÉORIQUE  —  EV &gt; 100 Md$, taille hors marché LBO historique",IF(INPUT!H98&gt;50000000,"  ⚠  MEGA-DEAL  —  EV entre 50 et 100 Md$, syndicate requis",""))</f>
        <v/>
      </c>
      <c r="C9" s="574" t="n"/>
      <c r="D9" s="574" t="n"/>
      <c r="E9" s="574" t="n"/>
      <c r="F9" s="574" t="n"/>
      <c r="G9" s="574" t="n"/>
      <c r="H9" s="574" t="n"/>
      <c r="I9" s="574" t="n"/>
      <c r="J9" s="644" t="n"/>
    </row>
    <row r="10"/>
    <row r="11" ht="15" customHeight="1" s="636">
      <c r="B11" s="573" t="inlineStr">
        <is>
          <t>HYPOTHÈSES D'ENTRÉE  —  cellules jaunes paramétrables</t>
        </is>
      </c>
      <c r="C11" s="573" t="n"/>
      <c r="D11" s="573" t="n"/>
      <c r="E11" s="573" t="n"/>
      <c r="F11" s="573" t="n"/>
      <c r="G11" s="573" t="n"/>
      <c r="H11" s="573" t="n"/>
      <c r="I11" s="573" t="n"/>
      <c r="J11" s="638" t="n"/>
      <c r="K11" s="638" t="n"/>
      <c r="L11" s="638" t="n"/>
      <c r="M11" s="638" t="n"/>
    </row>
    <row r="12" ht="15" customHeight="1" s="636">
      <c r="B12" s="493" t="inlineStr">
        <is>
          <t>Société</t>
        </is>
      </c>
      <c r="D12" s="580">
        <f>IFERROR(TRIM(MID(STOCK_DATA!A1,14,FIND("(",STOCK_DATA!A1)-15)),"")</f>
        <v/>
      </c>
      <c r="F12" s="546" t="inlineStr">
        <is>
          <t>Multiple d'entrée (× EBITDA)</t>
        </is>
      </c>
      <c r="H12" s="658" t="n">
        <v>14</v>
      </c>
    </row>
    <row r="13" ht="15" customHeight="1" s="636">
      <c r="B13" s="493" t="inlineStr">
        <is>
          <t>Ticker</t>
        </is>
      </c>
      <c r="D13" s="580">
        <f>IFERROR(MID(STOCK_DATA!A1,SEARCH("(",STOCK_DATA!A1)+1,SEARCH(")",STOCK_DATA!A1)-SEARCH("(",STOCK_DATA!A1)-1),"")</f>
        <v/>
      </c>
      <c r="F13" s="546" t="inlineStr">
        <is>
          <t>Leverage total (× EBITDA)</t>
        </is>
      </c>
      <c r="H13" s="658" t="n">
        <v>5</v>
      </c>
    </row>
    <row r="14" ht="15" customHeight="1" s="636">
      <c r="B14" s="493" t="inlineStr">
        <is>
          <t>Revenue LTM ($M)</t>
        </is>
      </c>
      <c r="D14" s="581">
        <f>INPUT!H9</f>
        <v/>
      </c>
      <c r="F14" s="546" t="inlineStr">
        <is>
          <t xml:space="preserve">  · dont Senior TLB</t>
        </is>
      </c>
      <c r="H14" s="658" t="n">
        <v>3.5</v>
      </c>
    </row>
    <row r="15" ht="15" customHeight="1" s="636">
      <c r="B15" s="493" t="inlineStr">
        <is>
          <t>EBITDA LTM ($M)</t>
        </is>
      </c>
      <c r="D15" s="581">
        <f>INPUT!H30</f>
        <v/>
      </c>
      <c r="F15" s="546" t="inlineStr">
        <is>
          <t xml:space="preserve">  · dont Mezzanine</t>
        </is>
      </c>
      <c r="H15" s="658" t="n">
        <v>1.5</v>
      </c>
    </row>
    <row r="16" ht="15" customHeight="1" s="636">
      <c r="B16" s="493" t="inlineStr">
        <is>
          <t>Marge EBITDA LTM</t>
        </is>
      </c>
      <c r="D16" s="659">
        <f>IFERROR(INPUT!H30/INPUT!H9,0)</f>
        <v/>
      </c>
      <c r="F16" s="546" t="inlineStr">
        <is>
          <t>Coût Senior TLB</t>
        </is>
      </c>
      <c r="H16" s="660" t="n">
        <v>0.08</v>
      </c>
    </row>
    <row r="17" ht="15" customHeight="1" s="636">
      <c r="B17" s="493" t="inlineStr">
        <is>
          <t>EV (marché) / EBITDA LTM</t>
        </is>
      </c>
      <c r="D17" s="661">
        <f>IFERROR(INPUT!H98/INPUT!H30,0)</f>
        <v/>
      </c>
      <c r="F17" s="546" t="inlineStr">
        <is>
          <t>Coût Mezzanine (cash+PIK)</t>
        </is>
      </c>
      <c r="H17" s="660" t="n">
        <v>0.1</v>
      </c>
    </row>
    <row r="18" ht="15" customHeight="1" s="636">
      <c r="B18" s="493" t="inlineStr">
        <is>
          <t>Net Debt / EBITDA (actuel)</t>
        </is>
      </c>
      <c r="D18" s="661">
        <f>IFERROR((INPUT!H54+INPUT!H48-INPUT!H34)/INPUT!H30,0)</f>
        <v/>
      </c>
      <c r="F18" s="546" t="inlineStr">
        <is>
          <t>Multiple de sortie (× EBITDA Y5)</t>
        </is>
      </c>
      <c r="H18" s="658" t="n">
        <v>14</v>
      </c>
    </row>
    <row r="19" ht="15" customHeight="1" s="636">
      <c r="F19" s="546" t="inlineStr">
        <is>
          <t>Période de détention (années)</t>
        </is>
      </c>
      <c r="H19" s="622" t="n">
        <v>5</v>
      </c>
    </row>
    <row r="20" ht="15" customHeight="1" s="636">
      <c r="F20" s="546" t="inlineStr">
        <is>
          <t>Transaction fees (% EV)</t>
        </is>
      </c>
      <c r="H20" s="660" t="n">
        <v>0.025</v>
      </c>
    </row>
    <row r="21" ht="15" customHeight="1" s="636">
      <c r="F21" s="546" t="inlineStr">
        <is>
          <t>Cash minimum BS (% EV)</t>
        </is>
      </c>
      <c r="H21" s="662" t="n">
        <v>0.05</v>
      </c>
    </row>
    <row r="22"/>
    <row r="23"/>
    <row r="24" ht="15" customHeight="1" s="636">
      <c r="B24" s="573" t="inlineStr">
        <is>
          <t>PROJECTIONS EBITDA &amp; FCF  (Y0 → Y5)</t>
        </is>
      </c>
      <c r="C24" s="573" t="n"/>
      <c r="D24" s="573" t="n"/>
      <c r="E24" s="573" t="n"/>
      <c r="F24" s="573" t="n"/>
      <c r="G24" s="573" t="n"/>
      <c r="H24" s="573" t="n"/>
      <c r="I24" s="573" t="n"/>
      <c r="J24" s="638" t="n"/>
      <c r="K24" s="638" t="n"/>
      <c r="L24" s="638" t="n"/>
      <c r="M24" s="638" t="n"/>
    </row>
    <row r="25" ht="15" customHeight="1" s="636">
      <c r="B25" s="546" t="inlineStr">
        <is>
          <t>Revenue</t>
        </is>
      </c>
      <c r="C25" s="547" t="inlineStr">
        <is>
          <t>($M)</t>
        </is>
      </c>
      <c r="D25" s="663">
        <f>_LBO_CALC!H6</f>
        <v/>
      </c>
      <c r="E25" s="664">
        <f>_LBO_CALC!I6</f>
        <v/>
      </c>
      <c r="F25" s="664">
        <f>_LBO_CALC!J6</f>
        <v/>
      </c>
      <c r="G25" s="664">
        <f>_LBO_CALC!K6</f>
        <v/>
      </c>
      <c r="H25" s="664">
        <f>_LBO_CALC!L6</f>
        <v/>
      </c>
      <c r="I25" s="664">
        <f>_LBO_CALC!M6</f>
        <v/>
      </c>
    </row>
    <row r="26" ht="15" customHeight="1" s="636">
      <c r="B26" s="546" t="inlineStr">
        <is>
          <t>EBITDA</t>
        </is>
      </c>
      <c r="C26" s="547" t="inlineStr">
        <is>
          <t>($M)</t>
        </is>
      </c>
      <c r="D26" s="663">
        <f>_LBO_CALC!H7</f>
        <v/>
      </c>
      <c r="E26" s="664">
        <f>_LBO_CALC!I7</f>
        <v/>
      </c>
      <c r="F26" s="664">
        <f>_LBO_CALC!J7</f>
        <v/>
      </c>
      <c r="G26" s="664">
        <f>_LBO_CALC!K7</f>
        <v/>
      </c>
      <c r="H26" s="664">
        <f>_LBO_CALC!L7</f>
        <v/>
      </c>
      <c r="I26" s="664">
        <f>_LBO_CALC!M7</f>
        <v/>
      </c>
    </row>
    <row r="27" ht="15" customHeight="1" s="636">
      <c r="B27" s="546" t="inlineStr">
        <is>
          <t>Marge EBITDA</t>
        </is>
      </c>
      <c r="C27" s="547" t="inlineStr">
        <is>
          <t>(%)</t>
        </is>
      </c>
      <c r="D27" s="665">
        <f>IFERROR(D26/D25,0)</f>
        <v/>
      </c>
      <c r="E27" s="666">
        <f>IFERROR(E26/E25,0)</f>
        <v/>
      </c>
      <c r="F27" s="666">
        <f>IFERROR(F26/F25,0)</f>
        <v/>
      </c>
      <c r="G27" s="666">
        <f>IFERROR(G26/G25,0)</f>
        <v/>
      </c>
      <c r="H27" s="666">
        <f>IFERROR(H26/H25,0)</f>
        <v/>
      </c>
      <c r="I27" s="666">
        <f>IFERROR(I26/I25,0)</f>
        <v/>
      </c>
    </row>
    <row r="28" ht="15" customHeight="1" s="636">
      <c r="B28" s="546" t="inlineStr">
        <is>
          <t>D&amp;A</t>
        </is>
      </c>
      <c r="C28" s="547" t="inlineStr">
        <is>
          <t>($M)</t>
        </is>
      </c>
      <c r="D28" s="663">
        <f>_LBO_CALC!H8</f>
        <v/>
      </c>
      <c r="E28" s="664">
        <f>_LBO_CALC!I8</f>
        <v/>
      </c>
      <c r="F28" s="664">
        <f>_LBO_CALC!J8</f>
        <v/>
      </c>
      <c r="G28" s="664">
        <f>_LBO_CALC!K8</f>
        <v/>
      </c>
      <c r="H28" s="664">
        <f>_LBO_CALC!L8</f>
        <v/>
      </c>
      <c r="I28" s="664">
        <f>_LBO_CALC!M8</f>
        <v/>
      </c>
    </row>
    <row r="29" ht="15" customHeight="1" s="636">
      <c r="B29" s="546" t="inlineStr">
        <is>
          <t>EBIT</t>
        </is>
      </c>
      <c r="C29" s="547" t="inlineStr">
        <is>
          <t>($M)</t>
        </is>
      </c>
      <c r="D29" s="663">
        <f>_LBO_CALC!H9</f>
        <v/>
      </c>
      <c r="E29" s="664">
        <f>_LBO_CALC!I9</f>
        <v/>
      </c>
      <c r="F29" s="664">
        <f>_LBO_CALC!J9</f>
        <v/>
      </c>
      <c r="G29" s="664">
        <f>_LBO_CALC!K9</f>
        <v/>
      </c>
      <c r="H29" s="664">
        <f>_LBO_CALC!L9</f>
        <v/>
      </c>
      <c r="I29" s="664">
        <f>_LBO_CALC!M9</f>
        <v/>
      </c>
    </row>
    <row r="30" ht="15" customHeight="1" s="636">
      <c r="B30" s="546" t="inlineStr">
        <is>
          <t>CapEx</t>
        </is>
      </c>
      <c r="C30" s="547" t="inlineStr">
        <is>
          <t>($M)</t>
        </is>
      </c>
      <c r="D30" s="663">
        <f>_LBO_CALC!H10</f>
        <v/>
      </c>
      <c r="E30" s="664">
        <f>_LBO_CALC!I10</f>
        <v/>
      </c>
      <c r="F30" s="664">
        <f>_LBO_CALC!J10</f>
        <v/>
      </c>
      <c r="G30" s="664">
        <f>_LBO_CALC!K10</f>
        <v/>
      </c>
      <c r="H30" s="664">
        <f>_LBO_CALC!L10</f>
        <v/>
      </c>
      <c r="I30" s="664">
        <f>_LBO_CALC!M10</f>
        <v/>
      </c>
    </row>
    <row r="31" ht="15" customHeight="1" s="636">
      <c r="B31" s="546" t="inlineStr">
        <is>
          <t>Δ Working Capital</t>
        </is>
      </c>
      <c r="C31" s="547" t="inlineStr">
        <is>
          <t>($M)</t>
        </is>
      </c>
      <c r="D31" s="663">
        <f>_LBO_CALC!H11</f>
        <v/>
      </c>
      <c r="E31" s="664">
        <f>_LBO_CALC!I11</f>
        <v/>
      </c>
      <c r="F31" s="664">
        <f>_LBO_CALC!J11</f>
        <v/>
      </c>
      <c r="G31" s="664">
        <f>_LBO_CALC!K11</f>
        <v/>
      </c>
      <c r="H31" s="664">
        <f>_LBO_CALC!L11</f>
        <v/>
      </c>
      <c r="I31" s="664">
        <f>_LBO_CALC!M11</f>
        <v/>
      </c>
    </row>
    <row r="32" ht="15" customHeight="1" s="636">
      <c r="B32" s="494" t="inlineStr">
        <is>
          <t>FCF Unlevered (pré-dette)</t>
        </is>
      </c>
      <c r="C32" s="547" t="inlineStr">
        <is>
          <t>($M)</t>
        </is>
      </c>
      <c r="D32" s="667">
        <f>_LBO_CALC!H12</f>
        <v/>
      </c>
      <c r="E32" s="668">
        <f>_LBO_CALC!I12</f>
        <v/>
      </c>
      <c r="F32" s="668">
        <f>_LBO_CALC!J12</f>
        <v/>
      </c>
      <c r="G32" s="668">
        <f>_LBO_CALC!K12</f>
        <v/>
      </c>
      <c r="H32" s="668">
        <f>_LBO_CALC!L12</f>
        <v/>
      </c>
      <c r="I32" s="668">
        <f>_LBO_CALC!M12</f>
        <v/>
      </c>
    </row>
    <row r="33"/>
    <row r="34" ht="15" customHeight="1" s="636">
      <c r="B34" s="573" t="inlineStr">
        <is>
          <t>DETTE SCHEDULE COMPLET  —  Senior TLB + Mezzanine</t>
        </is>
      </c>
      <c r="C34" s="573" t="n"/>
      <c r="D34" s="573" t="n"/>
      <c r="E34" s="573" t="n"/>
      <c r="F34" s="573" t="n"/>
      <c r="G34" s="573" t="n"/>
      <c r="H34" s="573" t="n"/>
      <c r="I34" s="573" t="n"/>
      <c r="J34" s="638" t="n"/>
      <c r="K34" s="638" t="n"/>
      <c r="L34" s="638" t="n"/>
      <c r="M34" s="638" t="n"/>
    </row>
    <row r="35">
      <c r="B35" s="575" t="inlineStr">
        <is>
          <t>SENIOR TERM LOAN B</t>
        </is>
      </c>
      <c r="C35" s="575" t="n"/>
      <c r="D35" s="575" t="n"/>
      <c r="E35" s="575" t="n"/>
      <c r="F35" s="575" t="n"/>
      <c r="G35" s="575" t="n"/>
      <c r="H35" s="575" t="n"/>
      <c r="I35" s="575" t="n"/>
      <c r="J35" s="645" t="n"/>
    </row>
    <row r="36" ht="15" customHeight="1" s="636">
      <c r="B36" s="546" t="inlineStr">
        <is>
          <t xml:space="preserve">  Beginning balance</t>
        </is>
      </c>
      <c r="C36" s="547" t="inlineStr">
        <is>
          <t>($M)</t>
        </is>
      </c>
      <c r="D36" s="663">
        <f>_LBO_CALC!H16</f>
        <v/>
      </c>
      <c r="E36" s="664">
        <f>_LBO_CALC!I16</f>
        <v/>
      </c>
      <c r="F36" s="664">
        <f>_LBO_CALC!J16</f>
        <v/>
      </c>
      <c r="G36" s="664">
        <f>_LBO_CALC!K16</f>
        <v/>
      </c>
      <c r="H36" s="664">
        <f>_LBO_CALC!L16</f>
        <v/>
      </c>
      <c r="I36" s="664">
        <f>_LBO_CALC!M16</f>
        <v/>
      </c>
    </row>
    <row r="37" ht="15" customHeight="1" s="636">
      <c r="B37" s="546" t="inlineStr">
        <is>
          <t xml:space="preserve">  Amortissement obligatoire (1%)</t>
        </is>
      </c>
      <c r="C37" s="547" t="inlineStr">
        <is>
          <t>($M)</t>
        </is>
      </c>
      <c r="D37" s="549" t="inlineStr">
        <is>
          <t>—</t>
        </is>
      </c>
      <c r="E37" s="664">
        <f>_LBO_CALC!I17</f>
        <v/>
      </c>
      <c r="F37" s="664">
        <f>_LBO_CALC!J17</f>
        <v/>
      </c>
      <c r="G37" s="664">
        <f>_LBO_CALC!K17</f>
        <v/>
      </c>
      <c r="H37" s="664">
        <f>_LBO_CALC!L17</f>
        <v/>
      </c>
      <c r="I37" s="664">
        <f>_LBO_CALC!M17</f>
        <v/>
      </c>
    </row>
    <row r="38" ht="15" customHeight="1" s="636">
      <c r="B38" s="546" t="inlineStr">
        <is>
          <t xml:space="preserve">  Cash sweep (75% FCF excédentaire)</t>
        </is>
      </c>
      <c r="C38" s="547" t="inlineStr">
        <is>
          <t>($M)</t>
        </is>
      </c>
      <c r="D38" s="549" t="inlineStr">
        <is>
          <t>—</t>
        </is>
      </c>
      <c r="E38" s="669">
        <f>_LBO_CALC!I18</f>
        <v/>
      </c>
      <c r="F38" s="669">
        <f>_LBO_CALC!J18</f>
        <v/>
      </c>
      <c r="G38" s="669">
        <f>_LBO_CALC!K18</f>
        <v/>
      </c>
      <c r="H38" s="669">
        <f>_LBO_CALC!L18</f>
        <v/>
      </c>
      <c r="I38" s="669">
        <f>_LBO_CALC!M18</f>
        <v/>
      </c>
    </row>
    <row r="39" ht="15" customHeight="1" s="636">
      <c r="B39" s="494" t="inlineStr">
        <is>
          <t xml:space="preserve">  Ending balance</t>
        </is>
      </c>
      <c r="C39" s="547" t="inlineStr">
        <is>
          <t>($M)</t>
        </is>
      </c>
      <c r="D39" s="667">
        <f>_LBO_CALC!H19</f>
        <v/>
      </c>
      <c r="E39" s="668">
        <f>_LBO_CALC!I19</f>
        <v/>
      </c>
      <c r="F39" s="668">
        <f>_LBO_CALC!J19</f>
        <v/>
      </c>
      <c r="G39" s="668">
        <f>_LBO_CALC!K19</f>
        <v/>
      </c>
      <c r="H39" s="668">
        <f>_LBO_CALC!L19</f>
        <v/>
      </c>
      <c r="I39" s="668">
        <f>_LBO_CALC!M19</f>
        <v/>
      </c>
    </row>
    <row r="40" ht="15" customHeight="1" s="636">
      <c r="B40" s="546" t="inlineStr">
        <is>
          <t xml:space="preserve">  Intérêts TLB</t>
        </is>
      </c>
      <c r="C40" s="547" t="inlineStr">
        <is>
          <t>($M)</t>
        </is>
      </c>
      <c r="D40" s="549" t="inlineStr">
        <is>
          <t>—</t>
        </is>
      </c>
      <c r="E40" s="664">
        <f>_LBO_CALC!I20</f>
        <v/>
      </c>
      <c r="F40" s="664">
        <f>_LBO_CALC!J20</f>
        <v/>
      </c>
      <c r="G40" s="664">
        <f>_LBO_CALC!K20</f>
        <v/>
      </c>
      <c r="H40" s="664">
        <f>_LBO_CALC!L20</f>
        <v/>
      </c>
      <c r="I40" s="664">
        <f>_LBO_CALC!M20</f>
        <v/>
      </c>
    </row>
    <row r="41">
      <c r="B41" s="575" t="inlineStr">
        <is>
          <t>MEZZANINE</t>
        </is>
      </c>
      <c r="C41" s="575" t="n"/>
      <c r="D41" s="575" t="n"/>
      <c r="E41" s="575" t="n"/>
      <c r="F41" s="575" t="n"/>
      <c r="G41" s="575" t="n"/>
      <c r="H41" s="575" t="n"/>
      <c r="I41" s="575" t="n"/>
      <c r="J41" s="645" t="n"/>
    </row>
    <row r="42" ht="15" customHeight="1" s="636">
      <c r="B42" s="546" t="inlineStr">
        <is>
          <t xml:space="preserve">  Beginning balance</t>
        </is>
      </c>
      <c r="C42" s="547" t="inlineStr">
        <is>
          <t>($M)</t>
        </is>
      </c>
      <c r="D42" s="663">
        <f>_LBO_CALC!H23</f>
        <v/>
      </c>
      <c r="E42" s="664">
        <f>_LBO_CALC!I23</f>
        <v/>
      </c>
      <c r="F42" s="664">
        <f>_LBO_CALC!J23</f>
        <v/>
      </c>
      <c r="G42" s="664">
        <f>_LBO_CALC!K23</f>
        <v/>
      </c>
      <c r="H42" s="664">
        <f>_LBO_CALC!L23</f>
        <v/>
      </c>
      <c r="I42" s="664">
        <f>_LBO_CALC!M23</f>
        <v/>
      </c>
    </row>
    <row r="43" ht="15" customHeight="1" s="636">
      <c r="B43" s="546" t="inlineStr">
        <is>
          <t xml:space="preserve">  Intérêts PIK capitalisés (5%)</t>
        </is>
      </c>
      <c r="C43" s="547" t="inlineStr">
        <is>
          <t>($M)</t>
        </is>
      </c>
      <c r="D43" s="549" t="inlineStr">
        <is>
          <t>—</t>
        </is>
      </c>
      <c r="E43" s="664">
        <f>_LBO_CALC!I24</f>
        <v/>
      </c>
      <c r="F43" s="664">
        <f>_LBO_CALC!J24</f>
        <v/>
      </c>
      <c r="G43" s="664">
        <f>_LBO_CALC!K24</f>
        <v/>
      </c>
      <c r="H43" s="664">
        <f>_LBO_CALC!L24</f>
        <v/>
      </c>
      <c r="I43" s="664">
        <f>_LBO_CALC!M24</f>
        <v/>
      </c>
    </row>
    <row r="44" ht="15" customHeight="1" s="636">
      <c r="B44" s="494" t="inlineStr">
        <is>
          <t xml:space="preserve">  Ending balance</t>
        </is>
      </c>
      <c r="C44" s="547" t="inlineStr">
        <is>
          <t>($M)</t>
        </is>
      </c>
      <c r="D44" s="667">
        <f>_LBO_CALC!H26</f>
        <v/>
      </c>
      <c r="E44" s="668">
        <f>_LBO_CALC!I26</f>
        <v/>
      </c>
      <c r="F44" s="668">
        <f>_LBO_CALC!J26</f>
        <v/>
      </c>
      <c r="G44" s="668">
        <f>_LBO_CALC!K26</f>
        <v/>
      </c>
      <c r="H44" s="668">
        <f>_LBO_CALC!L26</f>
        <v/>
      </c>
      <c r="I44" s="670">
        <f>_LBO_CALC!M26</f>
        <v/>
      </c>
    </row>
    <row r="45" ht="15" customHeight="1" s="636">
      <c r="B45" s="565" t="inlineStr">
        <is>
          <t xml:space="preserve">  Intérêts Mezz (cash 5%)</t>
        </is>
      </c>
      <c r="C45" s="566" t="inlineStr">
        <is>
          <t>($M)</t>
        </is>
      </c>
      <c r="D45" s="567" t="inlineStr">
        <is>
          <t>—</t>
        </is>
      </c>
      <c r="E45" s="671">
        <f>_LBO_CALC!I27</f>
        <v/>
      </c>
      <c r="F45" s="671">
        <f>_LBO_CALC!J27</f>
        <v/>
      </c>
      <c r="G45" s="671">
        <f>_LBO_CALC!K27</f>
        <v/>
      </c>
      <c r="H45" s="671">
        <f>_LBO_CALC!L27</f>
        <v/>
      </c>
      <c r="I45" s="671">
        <f>_LBO_CALC!M27</f>
        <v/>
      </c>
    </row>
    <row r="46" ht="15" customHeight="1" s="636">
      <c r="B46" s="537" t="inlineStr">
        <is>
          <t>TOTAL INTÉRÊTS</t>
        </is>
      </c>
      <c r="C46" s="550" t="inlineStr">
        <is>
          <t>($M)</t>
        </is>
      </c>
      <c r="D46" s="551" t="inlineStr">
        <is>
          <t>—</t>
        </is>
      </c>
      <c r="E46" s="672">
        <f>_LBO_CALC!I29</f>
        <v/>
      </c>
      <c r="F46" s="672">
        <f>_LBO_CALC!J29</f>
        <v/>
      </c>
      <c r="G46" s="672">
        <f>_LBO_CALC!K29</f>
        <v/>
      </c>
      <c r="H46" s="672">
        <f>_LBO_CALC!L29</f>
        <v/>
      </c>
      <c r="I46" s="672">
        <f>_LBO_CALC!M29</f>
        <v/>
      </c>
    </row>
    <row r="47" ht="15" customHeight="1" s="636">
      <c r="B47" s="494" t="inlineStr">
        <is>
          <t>Net Debt (Senior + Mezz − Cash)</t>
        </is>
      </c>
      <c r="C47" s="566" t="inlineStr">
        <is>
          <t>($M)</t>
        </is>
      </c>
      <c r="D47" s="667">
        <f>_LBO_CALC!H30</f>
        <v/>
      </c>
      <c r="E47" s="668">
        <f>_LBO_CALC!I30</f>
        <v/>
      </c>
      <c r="F47" s="668">
        <f>_LBO_CALC!J30</f>
        <v/>
      </c>
      <c r="G47" s="668">
        <f>_LBO_CALC!K30</f>
        <v/>
      </c>
      <c r="H47" s="668">
        <f>_LBO_CALC!L30</f>
        <v/>
      </c>
      <c r="I47" s="668">
        <f>_LBO_CALC!M30</f>
        <v/>
      </c>
    </row>
    <row r="48" ht="15" customHeight="1" s="636">
      <c r="B48" s="546" t="inlineStr">
        <is>
          <t>Total Leverage (× EBITDA)</t>
        </is>
      </c>
      <c r="C48" s="547" t="inlineStr">
        <is>
          <t>(×)</t>
        </is>
      </c>
      <c r="D48" s="673">
        <f>_LBO_CALC!H31</f>
        <v/>
      </c>
      <c r="E48" s="674">
        <f>_LBO_CALC!I31</f>
        <v/>
      </c>
      <c r="F48" s="674">
        <f>_LBO_CALC!J31</f>
        <v/>
      </c>
      <c r="G48" s="674">
        <f>_LBO_CALC!K31</f>
        <v/>
      </c>
      <c r="H48" s="674">
        <f>_LBO_CALC!L31</f>
        <v/>
      </c>
      <c r="I48" s="674">
        <f>_LBO_CALC!M31</f>
        <v/>
      </c>
    </row>
    <row r="49" ht="15" customHeight="1" s="636">
      <c r="B49" s="546" t="inlineStr">
        <is>
          <t>ICR  (EBIT / Intérêts)</t>
        </is>
      </c>
      <c r="C49" s="547" t="inlineStr">
        <is>
          <t>(×)</t>
        </is>
      </c>
      <c r="D49" s="549" t="inlineStr">
        <is>
          <t>—</t>
        </is>
      </c>
      <c r="E49" s="674">
        <f>_LBO_CALC!I32</f>
        <v/>
      </c>
      <c r="F49" s="674">
        <f>_LBO_CALC!J32</f>
        <v/>
      </c>
      <c r="G49" s="674">
        <f>_LBO_CALC!K32</f>
        <v/>
      </c>
      <c r="H49" s="674">
        <f>_LBO_CALC!L32</f>
        <v/>
      </c>
      <c r="I49" s="674">
        <f>_LBO_CALC!M32</f>
        <v/>
      </c>
    </row>
    <row r="50" ht="15" customHeight="1" s="636">
      <c r="E50" s="663" t="n"/>
      <c r="F50" s="663" t="n"/>
      <c r="G50" s="663" t="n"/>
      <c r="H50" s="663" t="n"/>
      <c r="I50" s="663" t="n"/>
    </row>
    <row r="51">
      <c r="B51" s="568" t="inlineStr">
        <is>
          <t>FCF LEVERED &amp; TAX SHIELD  —  PE-grade (post-intérêts, post-tax)</t>
        </is>
      </c>
      <c r="C51" s="568" t="n"/>
      <c r="D51" s="568" t="n"/>
      <c r="E51" s="568" t="n"/>
      <c r="F51" s="568" t="n"/>
      <c r="G51" s="568" t="n"/>
      <c r="H51" s="568" t="n"/>
      <c r="I51" s="568" t="n"/>
    </row>
    <row r="52">
      <c r="B52" s="569" t="inlineStr">
        <is>
          <t>Tax Shield (intérêts déductibles)</t>
        </is>
      </c>
      <c r="C52" s="570" t="inlineStr">
        <is>
          <t>($M)</t>
        </is>
      </c>
      <c r="D52" s="567" t="inlineStr">
        <is>
          <t>—</t>
        </is>
      </c>
      <c r="E52" s="675">
        <f>_LBO_CALC!I35</f>
        <v/>
      </c>
      <c r="F52" s="675">
        <f>_LBO_CALC!J35</f>
        <v/>
      </c>
      <c r="G52" s="675">
        <f>_LBO_CALC!K35</f>
        <v/>
      </c>
      <c r="H52" s="675">
        <f>_LBO_CALC!L35</f>
        <v/>
      </c>
      <c r="I52" s="675">
        <f>_LBO_CALC!M35</f>
        <v/>
      </c>
    </row>
    <row r="53">
      <c r="B53" s="569" t="inlineStr">
        <is>
          <t>EBT levé (EBIT + Intérêts)</t>
        </is>
      </c>
      <c r="C53" s="570" t="inlineStr">
        <is>
          <t>($M)</t>
        </is>
      </c>
      <c r="D53" s="567" t="inlineStr">
        <is>
          <t>—</t>
        </is>
      </c>
      <c r="E53" s="675">
        <f>_LBO_CALC!I36</f>
        <v/>
      </c>
      <c r="F53" s="675">
        <f>_LBO_CALC!J36</f>
        <v/>
      </c>
      <c r="G53" s="675">
        <f>_LBO_CALC!K36</f>
        <v/>
      </c>
      <c r="H53" s="675">
        <f>_LBO_CALC!L36</f>
        <v/>
      </c>
      <c r="I53" s="675">
        <f>_LBO_CALC!M36</f>
        <v/>
      </c>
    </row>
    <row r="54">
      <c r="B54" s="569" t="inlineStr">
        <is>
          <t>Impôt cash (sur EBT levé)</t>
        </is>
      </c>
      <c r="C54" s="570" t="inlineStr">
        <is>
          <t>($M)</t>
        </is>
      </c>
      <c r="D54" s="567" t="inlineStr">
        <is>
          <t>—</t>
        </is>
      </c>
      <c r="E54" s="675">
        <f>_LBO_CALC!I37</f>
        <v/>
      </c>
      <c r="F54" s="675">
        <f>_LBO_CALC!J37</f>
        <v/>
      </c>
      <c r="G54" s="675">
        <f>_LBO_CALC!K37</f>
        <v/>
      </c>
      <c r="H54" s="675">
        <f>_LBO_CALC!L37</f>
        <v/>
      </c>
      <c r="I54" s="675">
        <f>_LBO_CALC!M37</f>
        <v/>
      </c>
    </row>
    <row r="55">
      <c r="B55" s="571" t="inlineStr">
        <is>
          <t>FCF Levé (post-intérêts, post-tax)</t>
        </is>
      </c>
      <c r="C55" s="570" t="inlineStr">
        <is>
          <t>($M)</t>
        </is>
      </c>
      <c r="D55" s="567" t="inlineStr">
        <is>
          <t>—</t>
        </is>
      </c>
      <c r="E55" s="676">
        <f>_LBO_CALC!I39</f>
        <v/>
      </c>
      <c r="F55" s="676">
        <f>_LBO_CALC!J39</f>
        <v/>
      </c>
      <c r="G55" s="676">
        <f>_LBO_CALC!K39</f>
        <v/>
      </c>
      <c r="H55" s="676">
        <f>_LBO_CALC!L39</f>
        <v/>
      </c>
      <c r="I55" s="676">
        <f>_LBO_CALC!M39</f>
        <v/>
      </c>
    </row>
    <row r="56"/>
    <row r="57">
      <c r="B57" s="568" t="inlineStr">
        <is>
          <t>COVENANT TESTING  —  Seuils bancaires imposés</t>
        </is>
      </c>
      <c r="C57" s="568" t="n"/>
      <c r="D57" s="568" t="n"/>
      <c r="E57" s="568" t="n"/>
      <c r="F57" s="568" t="n"/>
      <c r="G57" s="568" t="n"/>
      <c r="H57" s="568" t="n"/>
      <c r="I57" s="568" t="n"/>
    </row>
    <row r="58">
      <c r="B58" s="569" t="inlineStr">
        <is>
          <t>Levier covenant (max imposé, step-down)</t>
        </is>
      </c>
      <c r="C58" s="570" t="inlineStr">
        <is>
          <t>(×)</t>
        </is>
      </c>
      <c r="D58" s="567" t="inlineStr">
        <is>
          <t>—</t>
        </is>
      </c>
      <c r="E58" s="677">
        <f>_LBO_CALC!I42</f>
        <v/>
      </c>
      <c r="F58" s="677">
        <f>_LBO_CALC!J42</f>
        <v/>
      </c>
      <c r="G58" s="677">
        <f>_LBO_CALC!K42</f>
        <v/>
      </c>
      <c r="H58" s="677">
        <f>_LBO_CALC!L42</f>
        <v/>
      </c>
      <c r="I58" s="677">
        <f>_LBO_CALC!M42</f>
        <v/>
      </c>
    </row>
    <row r="59">
      <c r="B59" s="569" t="inlineStr">
        <is>
          <t>Levier réel (× EBITDA)</t>
        </is>
      </c>
      <c r="C59" s="570" t="inlineStr">
        <is>
          <t>(×)</t>
        </is>
      </c>
      <c r="D59" s="677">
        <f>_LBO_CALC!H43</f>
        <v/>
      </c>
      <c r="E59" s="677">
        <f>_LBO_CALC!I43</f>
        <v/>
      </c>
      <c r="F59" s="677">
        <f>_LBO_CALC!J43</f>
        <v/>
      </c>
      <c r="G59" s="677">
        <f>_LBO_CALC!K43</f>
        <v/>
      </c>
      <c r="H59" s="677">
        <f>_LBO_CALC!L43</f>
        <v/>
      </c>
      <c r="I59" s="677">
        <f>_LBO_CALC!M43</f>
        <v/>
      </c>
    </row>
    <row r="60">
      <c r="B60" s="569" t="inlineStr">
        <is>
          <t>Levier covenant  ✓ / ✗</t>
        </is>
      </c>
      <c r="D60" s="567" t="inlineStr">
        <is>
          <t>—</t>
        </is>
      </c>
      <c r="E60" s="592">
        <f>_LBO_CALC!I46</f>
        <v/>
      </c>
      <c r="F60" s="592">
        <f>_LBO_CALC!J46</f>
        <v/>
      </c>
      <c r="G60" s="592">
        <f>_LBO_CALC!K46</f>
        <v/>
      </c>
      <c r="H60" s="592">
        <f>_LBO_CALC!L46</f>
        <v/>
      </c>
      <c r="I60" s="592">
        <f>_LBO_CALC!M46</f>
        <v/>
      </c>
    </row>
    <row r="61">
      <c r="B61" s="569" t="inlineStr">
        <is>
          <t>ICR covenant (min imposé = 2.0×)</t>
        </is>
      </c>
      <c r="C61" s="570" t="inlineStr">
        <is>
          <t>(×)</t>
        </is>
      </c>
      <c r="D61" s="567" t="inlineStr">
        <is>
          <t>—</t>
        </is>
      </c>
      <c r="E61" s="678" t="n">
        <v>2</v>
      </c>
      <c r="F61" s="678" t="n">
        <v>2</v>
      </c>
      <c r="G61" s="678" t="n">
        <v>2</v>
      </c>
      <c r="H61" s="678" t="n">
        <v>2</v>
      </c>
      <c r="I61" s="677">
        <f>_LBO_CALC!M44</f>
        <v/>
      </c>
    </row>
    <row r="62">
      <c r="B62" s="569" t="inlineStr">
        <is>
          <t>ICR réel (EBIT / Intérêts)</t>
        </is>
      </c>
      <c r="C62" s="570" t="inlineStr">
        <is>
          <t>(×)</t>
        </is>
      </c>
      <c r="D62" s="567" t="inlineStr">
        <is>
          <t>—</t>
        </is>
      </c>
      <c r="E62" s="677">
        <f>_LBO_CALC!I45</f>
        <v/>
      </c>
      <c r="F62" s="677">
        <f>_LBO_CALC!J45</f>
        <v/>
      </c>
      <c r="G62" s="677">
        <f>_LBO_CALC!K45</f>
        <v/>
      </c>
      <c r="H62" s="677">
        <f>_LBO_CALC!L45</f>
        <v/>
      </c>
      <c r="I62" s="677">
        <f>_LBO_CALC!M45</f>
        <v/>
      </c>
    </row>
    <row r="63" ht="15" customHeight="1" s="636">
      <c r="B63" s="629" t="inlineStr">
        <is>
          <t>ICR covenant  ✓ / ✗</t>
        </is>
      </c>
      <c r="C63" s="573" t="n"/>
      <c r="D63" s="630" t="n"/>
      <c r="E63" s="631">
        <f>IF(E62&gt;=E61,"✓ PASS","✗ BREACH")</f>
        <v/>
      </c>
      <c r="F63" s="631">
        <f>IF(F62&gt;=F61,"✓ PASS","✗ BREACH")</f>
        <v/>
      </c>
      <c r="G63" s="631">
        <f>IF(G62&gt;=G61,"✓ PASS","✗ BREACH")</f>
        <v/>
      </c>
      <c r="H63" s="631">
        <f>IF(H62&gt;=H61,"✓ PASS","✗ BREACH")</f>
        <v/>
      </c>
      <c r="I63" s="631">
        <f>IF(I62&gt;=I61,"✓ PASS","✗ BREACH")</f>
        <v/>
      </c>
      <c r="J63" s="638" t="n"/>
      <c r="K63" s="638" t="n"/>
      <c r="L63" s="638" t="n"/>
      <c r="M63" s="638" t="n"/>
    </row>
    <row r="64">
      <c r="B64" s="575" t="inlineStr">
        <is>
          <t>SOURCES</t>
        </is>
      </c>
      <c r="C64" s="552" t="inlineStr">
        <is>
          <t>($M)</t>
        </is>
      </c>
      <c r="D64" s="548" t="inlineStr">
        <is>
          <t>Montant</t>
        </is>
      </c>
      <c r="E64" s="548" t="inlineStr">
        <is>
          <t>% Total</t>
        </is>
      </c>
      <c r="G64" s="575" t="inlineStr">
        <is>
          <t>USES</t>
        </is>
      </c>
      <c r="H64" s="575" t="n"/>
      <c r="I64" s="548" t="inlineStr">
        <is>
          <t>Montant</t>
        </is>
      </c>
    </row>
    <row r="65" ht="15" customHeight="1" s="636">
      <c r="B65" s="546" t="inlineStr">
        <is>
          <t xml:space="preserve">  Sponsor Equity</t>
        </is>
      </c>
      <c r="D65" s="670">
        <f>_LBO_CALC!N56</f>
        <v/>
      </c>
      <c r="E65" s="679">
        <f>IFERROR(D65/(D65+D66+D67),0)</f>
        <v/>
      </c>
      <c r="G65" s="546" t="inlineStr">
        <is>
          <t xml:space="preserve">  Purchase price (equity)</t>
        </is>
      </c>
      <c r="I65" s="670">
        <f>H12*INPUT!H30-(INPUT!H54+INPUT!H48-INPUT!H34)</f>
        <v/>
      </c>
    </row>
    <row r="66" ht="15" customHeight="1" s="636">
      <c r="B66" s="546" t="inlineStr">
        <is>
          <t xml:space="preserve">  Senior Term Loan B</t>
        </is>
      </c>
      <c r="D66" s="670">
        <f>H14*INPUT!H30</f>
        <v/>
      </c>
      <c r="E66" s="679">
        <f>IFERROR(D66/(D65+D66+D67),0)</f>
        <v/>
      </c>
      <c r="G66" s="546" t="inlineStr">
        <is>
          <t xml:space="preserve">  Refinancement dette existante</t>
        </is>
      </c>
      <c r="I66" s="670">
        <f>INPUT!H54+INPUT!H48</f>
        <v/>
      </c>
    </row>
    <row r="67" ht="15" customHeight="1" s="636">
      <c r="B67" s="546" t="inlineStr">
        <is>
          <t xml:space="preserve">  Mezzanine</t>
        </is>
      </c>
      <c r="D67" s="670">
        <f>H15*INPUT!H30</f>
        <v/>
      </c>
      <c r="E67" s="679">
        <f>IFERROR(D67/(D65+D66+D67),0)</f>
        <v/>
      </c>
      <c r="G67" s="546" t="inlineStr">
        <is>
          <t xml:space="preserve">  Transaction fees</t>
        </is>
      </c>
      <c r="I67" s="670">
        <f>H12*INPUT!H30*H20</f>
        <v/>
      </c>
    </row>
    <row r="68" ht="15" customHeight="1" s="636">
      <c r="G68" s="546" t="inlineStr">
        <is>
          <t xml:space="preserve">  Cash minimum sur BS</t>
        </is>
      </c>
      <c r="I68" s="670">
        <f>H12*INPUT!H30*H21</f>
        <v/>
      </c>
    </row>
    <row r="69" ht="15" customHeight="1" s="636">
      <c r="B69" s="573" t="inlineStr">
        <is>
          <t>TOTAL SOURCES</t>
        </is>
      </c>
      <c r="C69" s="680" t="n"/>
      <c r="D69" s="680">
        <f>D65+D66+D67</f>
        <v/>
      </c>
      <c r="E69" s="681">
        <f>IFERROR(D69/D69,1)</f>
        <v/>
      </c>
      <c r="F69" s="680" t="n"/>
      <c r="G69" s="573" t="inlineStr">
        <is>
          <t>TOTAL USES</t>
        </is>
      </c>
      <c r="H69" s="680" t="n"/>
      <c r="I69" s="680">
        <f>SUM(I65:I68)</f>
        <v/>
      </c>
    </row>
    <row r="70"/>
    <row r="71" ht="15" customHeight="1" s="636">
      <c r="B71" s="573" t="inlineStr">
        <is>
          <t>RETURNS BASE CASE  —  Sortie Y5</t>
        </is>
      </c>
      <c r="C71" s="573" t="n"/>
      <c r="D71" s="573" t="n"/>
      <c r="E71" s="573" t="n"/>
      <c r="F71" s="573" t="n"/>
      <c r="G71" s="573" t="n"/>
      <c r="H71" s="573" t="n"/>
      <c r="I71" s="573" t="n"/>
      <c r="J71" s="638" t="n"/>
      <c r="K71" s="638" t="n"/>
      <c r="L71" s="638" t="n"/>
      <c r="M71" s="638" t="n"/>
    </row>
    <row r="72" ht="15" customHeight="1" s="636">
      <c r="B72" s="493" t="inlineStr">
        <is>
          <t>Equity entry sponsor</t>
        </is>
      </c>
      <c r="D72" s="581">
        <f>_LBO_CALC!N56</f>
        <v/>
      </c>
    </row>
    <row r="73" ht="15" customHeight="1" s="636">
      <c r="B73" s="493" t="inlineStr">
        <is>
          <t>EV sortie (Y5, × mult. sortie)</t>
        </is>
      </c>
      <c r="D73" s="581">
        <f>_LBO_CALC!M48</f>
        <v/>
      </c>
    </row>
    <row r="74" ht="15" customHeight="1" s="636">
      <c r="B74" s="493" t="inlineStr">
        <is>
          <t>Net Debt exit (Y5)</t>
        </is>
      </c>
      <c r="D74" s="581">
        <f>_LBO_CALC!M30</f>
        <v/>
      </c>
    </row>
    <row r="75" ht="15" customHeight="1" s="636">
      <c r="B75" s="493" t="inlineStr">
        <is>
          <t>Equity exit (Y5)</t>
        </is>
      </c>
      <c r="D75" s="581">
        <f>_LBO_CALC!N61</f>
        <v/>
      </c>
    </row>
    <row r="76">
      <c r="K76" s="647" t="n"/>
      <c r="L76" s="647" t="n"/>
      <c r="M76" s="647" t="n"/>
      <c r="N76" s="647" t="n"/>
      <c r="O76" s="647" t="n"/>
    </row>
    <row r="77" ht="24" customHeight="1" s="636">
      <c r="B77" s="682" t="n"/>
      <c r="C77" s="539" t="inlineStr">
        <is>
          <t>IRR Sponsor</t>
        </is>
      </c>
      <c r="D77" s="682" t="n"/>
      <c r="E77" s="562" t="n"/>
      <c r="F77" s="562" t="n"/>
      <c r="G77" s="539" t="inlineStr">
        <is>
          <t>MOIC</t>
        </is>
      </c>
      <c r="H77" s="539" t="n"/>
      <c r="I77" s="683" t="n"/>
      <c r="J77" s="646" t="n"/>
      <c r="K77" s="648" t="inlineStr">
        <is>
          <t>Money-back period</t>
        </is>
      </c>
      <c r="L77" s="649">
        <f>IF(_LBO_CALC!N62&lt;=0,"N/A",IF(LN(2)/LN(1+_LBO_CALC!N62)&gt;H19*2,"&gt;"&amp;TEXT(H19*2,"0")&amp;" ans",ROUND(LN(2)/LN(1+_LBO_CALC!N62),1)&amp;" ans"))</f>
        <v/>
      </c>
      <c r="M77" s="647" t="n"/>
      <c r="N77" s="647" t="n"/>
      <c r="O77" s="647" t="n"/>
    </row>
    <row r="78" ht="33.6" customHeight="1" s="636">
      <c r="B78" s="145" t="n"/>
      <c r="C78" s="651">
        <f>_LBO_CALC!N62</f>
        <v/>
      </c>
      <c r="D78" s="145" t="n"/>
      <c r="E78" s="145" t="n"/>
      <c r="F78" s="145" t="n"/>
      <c r="G78" s="684">
        <f>_LBO_CALC!N63</f>
        <v/>
      </c>
      <c r="H78" s="145" t="n"/>
      <c r="I78" s="145" t="n"/>
      <c r="K78" s="647" t="n"/>
      <c r="L78" s="647" t="n"/>
      <c r="M78" s="647" t="n"/>
      <c r="N78" s="647" t="n"/>
      <c r="O78" s="647" t="n"/>
    </row>
    <row r="79">
      <c r="C79" s="564" t="inlineStr">
        <is>
          <t>Base Case</t>
        </is>
      </c>
      <c r="G79" s="564" t="inlineStr">
        <is>
          <t>Base Case</t>
        </is>
      </c>
      <c r="K79" s="647" t="n"/>
      <c r="L79" s="647" t="n"/>
      <c r="M79" s="647" t="n"/>
      <c r="N79" s="647" t="n"/>
      <c r="O79" s="647" t="n"/>
    </row>
    <row r="80" ht="15" customHeight="1" s="636">
      <c r="B80" s="573" t="inlineStr">
        <is>
          <t>SENSIBILITÉ IRR  —  Multiple d'entrée × Multiple de sortie</t>
        </is>
      </c>
      <c r="C80" s="573" t="n"/>
      <c r="D80" s="573" t="n"/>
      <c r="E80" s="573" t="n"/>
      <c r="F80" s="573" t="n"/>
      <c r="G80" s="573" t="n"/>
      <c r="H80" s="573" t="n"/>
      <c r="I80" s="573" t="n"/>
      <c r="J80" s="638" t="n"/>
      <c r="K80" s="650" t="n"/>
      <c r="L80" s="650" t="n"/>
      <c r="M80" s="650" t="n"/>
      <c r="N80" s="647" t="n"/>
      <c r="O80" s="647" t="n"/>
    </row>
    <row r="81">
      <c r="B81" s="541" t="inlineStr">
        <is>
          <t>↓ Mult. entrée  /  Mult. sortie →</t>
        </is>
      </c>
      <c r="E81" s="685">
        <f>H18+(-2)</f>
        <v/>
      </c>
      <c r="F81" s="685">
        <f>H18+(-1)</f>
        <v/>
      </c>
      <c r="G81" s="685">
        <f>H18+(0)</f>
        <v/>
      </c>
      <c r="H81" s="685">
        <f>H18+(1)</f>
        <v/>
      </c>
      <c r="I81" s="685">
        <f>H18+(2)</f>
        <v/>
      </c>
      <c r="K81" s="647" t="n"/>
      <c r="L81" s="647" t="n"/>
      <c r="M81" s="647" t="n"/>
      <c r="N81" s="647" t="n"/>
      <c r="O81" s="647" t="n"/>
    </row>
    <row r="82">
      <c r="B82" s="685">
        <f>H12+(-2)</f>
        <v/>
      </c>
      <c r="E82" s="686">
        <f>IFERROR(((_LBO_CALC!$M$7*(H18+(-2))-_LBO_CALC!$M$30)/MAX(1,(H12+(-2))*INPUT!$H$30*(1+H20+H21)+INPUT!$H$34-H13*INPUT!$H$30))^(1/H19)-1,0)</f>
        <v/>
      </c>
      <c r="F82" s="687">
        <f>IFERROR(((_LBO_CALC!$M$7*(H18+(-1))-_LBO_CALC!$M$30)/MAX(1,(H12+(-2))*INPUT!$H$30*(1+H20+H21)+INPUT!$H$34-H13*INPUT!$H$30))^(1/H19)-1,0)</f>
        <v/>
      </c>
      <c r="G82" s="687">
        <f>IFERROR(((_LBO_CALC!$M$7*(H18+(0))-_LBO_CALC!$M$30)/MAX(1,(H12+(-2))*INPUT!$H$30*(1+H20+H21)+INPUT!$H$34-H13*INPUT!$H$30))^(1/H19)-1,0)</f>
        <v/>
      </c>
      <c r="H82" s="687">
        <f>IFERROR(((_LBO_CALC!$M$7*(H18+(1))-_LBO_CALC!$M$30)/MAX(1,(H12+(-2))*INPUT!$H$30*(1+H20+H21)+INPUT!$H$34-H13*INPUT!$H$30))^(1/H19)-1,0)</f>
        <v/>
      </c>
      <c r="I82" s="687">
        <f>IFERROR(((_LBO_CALC!$M$7*(H18+(2))-_LBO_CALC!$M$30)/MAX(1,(H12+(-2))*INPUT!$H$30*(1+H20+H21)+INPUT!$H$34-H13*INPUT!$H$30))^(1/H19)-1,0)</f>
        <v/>
      </c>
      <c r="K82" s="647" t="n"/>
      <c r="L82" s="647" t="n"/>
      <c r="M82" s="647" t="n"/>
      <c r="N82" s="647" t="n"/>
      <c r="O82" s="647" t="n"/>
    </row>
    <row r="83">
      <c r="B83" s="685">
        <f>H12+(-1)</f>
        <v/>
      </c>
      <c r="E83" s="688">
        <f>IFERROR(((_LBO_CALC!$M$7*(H18+(-2))-_LBO_CALC!$M$30)/MAX(1,(H12+(-1))*INPUT!$H$30*(1+H20+H21)+INPUT!$H$34-H13*INPUT!$H$30))^(1/H19)-1,0)</f>
        <v/>
      </c>
      <c r="F83" s="689">
        <f>IFERROR(((_LBO_CALC!$M$7*(H18+(-1))-_LBO_CALC!$M$30)/MAX(1,(H12+(-1))*INPUT!$H$30*(1+H20+H21)+INPUT!$H$34-H13*INPUT!$H$30))^(1/H19)-1,0)</f>
        <v/>
      </c>
      <c r="G83" s="690">
        <f>IFERROR(((_LBO_CALC!$M$7*(H18+(0))-_LBO_CALC!$M$30)/MAX(1,(H12+(-1))*INPUT!$H$30*(1+H20+H21)+INPUT!$H$34-H13*INPUT!$H$30))^(1/H19)-1,0)</f>
        <v/>
      </c>
      <c r="H83" s="687">
        <f>IFERROR(((_LBO_CALC!$M$7*(H18+(1))-_LBO_CALC!$M$30)/MAX(1,(H12+(-1))*INPUT!$H$30*(1+H20+H21)+INPUT!$H$34-H13*INPUT!$H$30))^(1/H19)-1,0)</f>
        <v/>
      </c>
      <c r="I83" s="687">
        <f>IFERROR(((_LBO_CALC!$M$7*(H18+(2))-_LBO_CALC!$M$30)/MAX(1,(H12+(-1))*INPUT!$H$30*(1+H20+H21)+INPUT!$H$34-H13*INPUT!$H$30))^(1/H19)-1,0)</f>
        <v/>
      </c>
      <c r="K83" s="647" t="n"/>
      <c r="L83" s="647" t="n"/>
      <c r="M83" s="647" t="n"/>
      <c r="N83" s="647" t="n"/>
      <c r="O83" s="647" t="n"/>
    </row>
    <row r="84">
      <c r="B84" s="685">
        <f>H12+(0)</f>
        <v/>
      </c>
      <c r="E84" s="691">
        <f>IFERROR(((_LBO_CALC!$M$7*(H18+(-2))-_LBO_CALC!$M$30)/MAX(1,H12*INPUT!$H$30*(1+H20+H21)+INPUT!$H$34-H13*INPUT!$H$30))^(1/H19)-1,0)</f>
        <v/>
      </c>
      <c r="F84" s="692">
        <f>IFERROR(((_LBO_CALC!$M$7*(H18+(-1))-_LBO_CALC!$M$30)/MAX(1,H12*INPUT!$H$30*(1+H20+H21)+INPUT!$H$34-H13*INPUT!$H$30))^(1/H19)-1,0)</f>
        <v/>
      </c>
      <c r="G84" s="693">
        <f>IFERROR(((_LBO_CALC!$M$7*(H18+(0))-_LBO_CALC!$M$30)/MAX(1,H12*INPUT!$H$30*(1+H20+H21)+INPUT!$H$34-H13*INPUT!$H$30))^(1/H19)-1,0)</f>
        <v/>
      </c>
      <c r="H84" s="694">
        <f>IFERROR(((_LBO_CALC!$M$7*(H18+(1))-_LBO_CALC!$M$30)/MAX(1,H12*INPUT!$H$30*(1+H20+H21)+INPUT!$H$34-H13*INPUT!$H$30))^(1/H19)-1,0)</f>
        <v/>
      </c>
      <c r="I84" s="695">
        <f>IFERROR(((_LBO_CALC!$M$7*(H18+(2))-_LBO_CALC!$M$30)/MAX(1,H12*INPUT!$H$30*(1+H20+H21)+INPUT!$H$34-H13*INPUT!$H$30))^(1/H19)-1,0)</f>
        <v/>
      </c>
      <c r="K84" s="647" t="n"/>
      <c r="L84" s="647" t="n"/>
      <c r="M84" s="647" t="n"/>
      <c r="N84" s="647" t="n"/>
      <c r="O84" s="647" t="n"/>
    </row>
    <row r="85">
      <c r="B85" s="685">
        <f>H12+(1)</f>
        <v/>
      </c>
      <c r="E85" s="696">
        <f>IFERROR(((_LBO_CALC!$M$7*(H18+(-2))-_LBO_CALC!$M$30)/MAX(1,(H12+(1))*INPUT!$H$30*(1+H20+H21)+INPUT!$H$34-H13*INPUT!$H$30))^(1/H19)-1,0)</f>
        <v/>
      </c>
      <c r="F85" s="697">
        <f>IFERROR(((_LBO_CALC!$M$7*(H18+(-1))-_LBO_CALC!$M$30)/MAX(1,(H12+(1))*INPUT!$H$30*(1+H20+H21)+INPUT!$H$34-H13*INPUT!$H$30))^(1/H19)-1,0)</f>
        <v/>
      </c>
      <c r="G85" s="698">
        <f>IFERROR(((_LBO_CALC!$M$7*(H18+(0))-_LBO_CALC!$M$30)/MAX(1,(H12+(1))*INPUT!$H$30*(1+H20+H21)+INPUT!$H$34-H13*INPUT!$H$30))^(1/H19)-1,0)</f>
        <v/>
      </c>
      <c r="H85" s="699">
        <f>IFERROR(((_LBO_CALC!$M$7*(H18+(1))-_LBO_CALC!$M$30)/MAX(1,(H12+(1))*INPUT!$H$30*(1+H20+H21)+INPUT!$H$34-H13*INPUT!$H$30))^(1/H19)-1,0)</f>
        <v/>
      </c>
      <c r="I85" s="700">
        <f>IFERROR(((_LBO_CALC!$M$7*(H18+(2))-_LBO_CALC!$M$30)/MAX(1,(H12+(1))*INPUT!$H$30*(1+H20+H21)+INPUT!$H$34-H13*INPUT!$H$30))^(1/H19)-1,0)</f>
        <v/>
      </c>
      <c r="K85" s="647" t="n"/>
      <c r="L85" s="647" t="n"/>
      <c r="M85" s="647" t="n"/>
      <c r="N85" s="647" t="n"/>
      <c r="O85" s="647" t="n"/>
    </row>
    <row r="86">
      <c r="B86" s="685">
        <f>H12+(2)</f>
        <v/>
      </c>
      <c r="E86" s="701">
        <f>IFERROR(((_LBO_CALC!$M$7*(H18+(-2))-_LBO_CALC!$M$30)/MAX(1,(H12+(2))*INPUT!$H$30*(1+H20+H21)+INPUT!$H$34-H13*INPUT!$H$30))^(1/H19)-1,0)</f>
        <v/>
      </c>
      <c r="F86" s="696">
        <f>IFERROR(((_LBO_CALC!$M$7*(H18+(-1))-_LBO_CALC!$M$30)/MAX(1,(H12+(2))*INPUT!$H$30*(1+H20+H21)+INPUT!$H$34-H13*INPUT!$H$30))^(1/H19)-1,0)</f>
        <v/>
      </c>
      <c r="G86" s="702">
        <f>IFERROR(((_LBO_CALC!$M$7*(H18+(0))-_LBO_CALC!$M$30)/MAX(1,(H12+(2))*INPUT!$H$30*(1+H20+H21)+INPUT!$H$34-H13*INPUT!$H$30))^(1/H19)-1,0)</f>
        <v/>
      </c>
      <c r="H86" s="703">
        <f>IFERROR(((_LBO_CALC!$M$7*(H18+(1))-_LBO_CALC!$M$30)/MAX(1,(H12+(2))*INPUT!$H$30*(1+H20+H21)+INPUT!$H$34-H13*INPUT!$H$30))^(1/H19)-1,0)</f>
        <v/>
      </c>
      <c r="I86" s="704">
        <f>IFERROR(((_LBO_CALC!$M$7*(H18+(2))-_LBO_CALC!$M$30)/MAX(1,(H12+(2))*INPUT!$H$30*(1+H20+H21)+INPUT!$H$34-H13*INPUT!$H$30))^(1/H19)-1,0)</f>
        <v/>
      </c>
      <c r="K86" s="647" t="n"/>
      <c r="L86" s="647" t="n"/>
      <c r="M86" s="647" t="n"/>
      <c r="N86" s="647" t="n"/>
      <c r="O86" s="647" t="n"/>
    </row>
    <row r="87">
      <c r="K87" s="647" t="n"/>
      <c r="L87" s="647" t="n"/>
      <c r="M87" s="647" t="n"/>
      <c r="N87" s="647" t="n"/>
      <c r="O87" s="647" t="n"/>
    </row>
    <row r="88" ht="15" customHeight="1" s="636">
      <c r="B88" s="573" t="inlineStr">
        <is>
          <t>SCÉNARIOS  —  Bull / Base / Bear</t>
        </is>
      </c>
      <c r="C88" s="573" t="n"/>
      <c r="D88" s="573" t="n"/>
      <c r="E88" s="573" t="n"/>
      <c r="F88" s="573" t="n"/>
      <c r="G88" s="573" t="n"/>
      <c r="H88" s="573" t="n"/>
      <c r="I88" s="573" t="n"/>
      <c r="J88" s="638" t="n"/>
      <c r="K88" s="650" t="n"/>
      <c r="L88" s="650" t="n"/>
      <c r="M88" s="650" t="n"/>
      <c r="N88" s="647" t="n"/>
      <c r="O88" s="647" t="n"/>
    </row>
    <row r="89" ht="15" customHeight="1" s="636">
      <c r="B89" s="538" t="inlineStr">
        <is>
          <t>Métrique</t>
        </is>
      </c>
      <c r="C89" s="540" t="n"/>
      <c r="D89" s="540" t="n"/>
      <c r="E89" s="542" t="inlineStr">
        <is>
          <t>BULL</t>
        </is>
      </c>
      <c r="G89" s="543" t="inlineStr">
        <is>
          <t>BASE</t>
        </is>
      </c>
      <c r="I89" s="544" t="inlineStr">
        <is>
          <t>BEAR</t>
        </is>
      </c>
      <c r="K89" s="647" t="n"/>
      <c r="L89" s="647" t="n"/>
      <c r="M89" s="647" t="n"/>
      <c r="N89" s="647" t="n"/>
      <c r="O89" s="647" t="n"/>
    </row>
    <row r="90" ht="15" customHeight="1" s="636">
      <c r="B90" s="546" t="inlineStr">
        <is>
          <t>IRR Sponsor</t>
        </is>
      </c>
      <c r="C90" s="547" t="inlineStr">
        <is>
          <t>(%)</t>
        </is>
      </c>
      <c r="E90" s="705">
        <f>_LBO_CALC!P66</f>
        <v/>
      </c>
      <c r="G90" s="705">
        <f>_LBO_CALC!P67</f>
        <v/>
      </c>
      <c r="I90" s="705">
        <f>_LBO_CALC!P68</f>
        <v/>
      </c>
      <c r="K90" s="647" t="n"/>
      <c r="L90" s="647" t="n"/>
      <c r="M90" s="647" t="n"/>
      <c r="N90" s="647" t="n"/>
      <c r="O90" s="647" t="n"/>
    </row>
    <row r="91" ht="15" customHeight="1" s="636">
      <c r="B91" s="546" t="inlineStr">
        <is>
          <t>MOIC</t>
        </is>
      </c>
      <c r="C91" s="547" t="inlineStr">
        <is>
          <t>(×)</t>
        </is>
      </c>
      <c r="E91" s="706">
        <f>_LBO_CALC!Q66</f>
        <v/>
      </c>
      <c r="G91" s="706">
        <f>_LBO_CALC!Q67</f>
        <v/>
      </c>
      <c r="I91" s="706">
        <f>_LBO_CALC!Q68</f>
        <v/>
      </c>
      <c r="K91" s="647" t="n"/>
      <c r="L91" s="647" t="n"/>
      <c r="M91" s="647" t="n"/>
      <c r="N91" s="647" t="n"/>
      <c r="O91" s="647" t="n"/>
    </row>
    <row r="92" ht="15" customHeight="1" s="636">
      <c r="B92" s="546" t="inlineStr">
        <is>
          <t>Leverage exit</t>
        </is>
      </c>
      <c r="C92" s="547" t="inlineStr">
        <is>
          <t>(×)</t>
        </is>
      </c>
      <c r="E92" s="707">
        <f>_LBO_CALC!R66</f>
        <v/>
      </c>
      <c r="G92" s="707">
        <f>_LBO_CALC!R67</f>
        <v/>
      </c>
      <c r="I92" s="707">
        <f>_LBO_CALC!R68</f>
        <v/>
      </c>
      <c r="K92" s="647" t="n"/>
      <c r="L92" s="647" t="n"/>
      <c r="M92" s="647" t="n"/>
      <c r="N92" s="647" t="n"/>
      <c r="O92" s="647" t="n"/>
    </row>
    <row r="93" ht="15" customHeight="1" s="636">
      <c r="B93" s="546" t="inlineStr">
        <is>
          <t>ICR exit (EBIT/Int)</t>
        </is>
      </c>
      <c r="C93" s="547" t="inlineStr">
        <is>
          <t>(×)</t>
        </is>
      </c>
      <c r="E93" s="707">
        <f>_LBO_CALC!S66</f>
        <v/>
      </c>
      <c r="G93" s="707">
        <f>_LBO_CALC!S67</f>
        <v/>
      </c>
      <c r="I93" s="707">
        <f>_LBO_CALC!S68</f>
        <v/>
      </c>
      <c r="K93" s="647" t="n"/>
      <c r="L93" s="647" t="n"/>
      <c r="M93" s="647" t="n"/>
      <c r="N93" s="647" t="n"/>
      <c r="O93" s="647" t="n"/>
    </row>
    <row r="94">
      <c r="K94" s="647" t="n"/>
      <c r="L94" s="647" t="n"/>
      <c r="M94" s="647" t="n"/>
      <c r="N94" s="647" t="n"/>
      <c r="O94" s="647" t="n"/>
    </row>
    <row r="95" ht="15" customHeight="1" s="636">
      <c r="B95" s="638" t="n"/>
      <c r="C95" s="638" t="n"/>
      <c r="D95" s="638" t="n"/>
      <c r="E95" s="638" t="n"/>
      <c r="F95" s="638" t="n"/>
      <c r="G95" s="638" t="n"/>
      <c r="H95" s="638" t="n"/>
      <c r="I95" s="638" t="n"/>
      <c r="J95" s="641" t="n"/>
      <c r="K95" s="650" t="n"/>
      <c r="L95" s="650" t="n"/>
      <c r="M95" s="650" t="n"/>
      <c r="N95" s="647" t="n"/>
      <c r="O95" s="647" t="n"/>
    </row>
    <row r="96">
      <c r="B96" s="652" t="inlineStr">
        <is>
          <t>LBO_ELIGIBLE</t>
        </is>
      </c>
      <c r="C96" s="647" t="n"/>
      <c r="D96" s="653">
        <f>IF(AND(INPUT!H30&gt;0,IFERROR(INPUT!H30/INPUT!H9,0)&gt;0.15,IFERROR(DCF!H49/INPUT!H30,0)&gt;0.6,IFERROR((INPUT!H54+INPUT!H48-INPUT!H34)/INPUT!H30,99)&lt;3.5),"OUI","NON")</f>
        <v/>
      </c>
      <c r="K96" s="647" t="n"/>
      <c r="L96" s="647" t="n"/>
      <c r="M96" s="647" t="n"/>
      <c r="N96" s="647" t="n"/>
      <c r="O96" s="647" t="n"/>
    </row>
    <row r="97">
      <c r="B97" s="652" t="inlineStr">
        <is>
          <t>LBO_IRR_BASE</t>
        </is>
      </c>
      <c r="C97" s="647" t="n"/>
      <c r="D97" s="708">
        <f>_LBO_CALC!N62</f>
        <v/>
      </c>
      <c r="K97" s="647" t="n"/>
      <c r="L97" s="647" t="n"/>
      <c r="M97" s="647" t="n"/>
      <c r="N97" s="647" t="n"/>
      <c r="O97" s="647" t="n"/>
    </row>
    <row r="98">
      <c r="B98" s="652" t="inlineStr">
        <is>
          <t>LBO_MOIC_BASE</t>
        </is>
      </c>
      <c r="C98" s="647" t="n"/>
      <c r="D98" s="709">
        <f>_LBO_CALC!N63</f>
        <v/>
      </c>
      <c r="K98" s="647" t="n"/>
      <c r="L98" s="647" t="n"/>
      <c r="M98" s="647" t="n"/>
      <c r="N98" s="647" t="n"/>
      <c r="O98" s="647" t="n"/>
    </row>
    <row r="99">
      <c r="B99" s="652" t="inlineStr">
        <is>
          <t>LBO_IRR_BULL</t>
        </is>
      </c>
      <c r="C99" s="647" t="n"/>
      <c r="D99" s="708">
        <f>_LBO_CALC!P66</f>
        <v/>
      </c>
      <c r="K99" s="647" t="n"/>
      <c r="L99" s="647" t="n"/>
      <c r="M99" s="647" t="n"/>
      <c r="N99" s="647" t="n"/>
      <c r="O99" s="647" t="n"/>
    </row>
    <row r="100">
      <c r="B100" s="652" t="inlineStr">
        <is>
          <t>LBO_IRR_BEAR</t>
        </is>
      </c>
      <c r="C100" s="647" t="n"/>
      <c r="D100" s="708">
        <f>_LBO_CALC!P68</f>
        <v/>
      </c>
      <c r="K100" s="647" t="n"/>
      <c r="L100" s="647" t="n"/>
      <c r="M100" s="647" t="n"/>
      <c r="N100" s="647" t="n"/>
      <c r="O100" s="647" t="n"/>
    </row>
    <row r="101">
      <c r="B101" s="652" t="inlineStr">
        <is>
          <t>LBO_LEVERAGE_EXIT</t>
        </is>
      </c>
      <c r="C101" s="647" t="n"/>
      <c r="D101" s="709">
        <f>_LBO_CALC!R67</f>
        <v/>
      </c>
      <c r="K101" s="647" t="n"/>
      <c r="L101" s="647" t="n"/>
      <c r="M101" s="647" t="n"/>
      <c r="N101" s="647" t="n"/>
      <c r="O101" s="647" t="n"/>
    </row>
    <row r="102">
      <c r="B102" s="652" t="inlineStr">
        <is>
          <t>LBO_EQUITY_ENTRY</t>
        </is>
      </c>
      <c r="C102" s="647" t="n"/>
      <c r="D102" s="656">
        <f>_LBO_CALC!N56</f>
        <v/>
      </c>
      <c r="K102" s="647" t="n"/>
      <c r="L102" s="647" t="n"/>
      <c r="M102" s="647" t="n"/>
      <c r="N102" s="647" t="n"/>
      <c r="O102" s="647" t="n"/>
    </row>
    <row r="103">
      <c r="B103" s="652" t="inlineStr">
        <is>
          <t>LBO_EQUITY_EXIT</t>
        </is>
      </c>
      <c r="C103" s="647" t="n"/>
      <c r="D103" s="656">
        <f>_LBO_CALC!N61</f>
        <v/>
      </c>
      <c r="K103" s="647" t="n"/>
      <c r="L103" s="647" t="n"/>
      <c r="M103" s="647" t="n"/>
      <c r="N103" s="647" t="n"/>
      <c r="O103" s="647" t="n"/>
    </row>
    <row r="104">
      <c r="K104" s="647" t="n"/>
      <c r="L104" s="647" t="n"/>
      <c r="M104" s="647" t="n"/>
      <c r="N104" s="647" t="n"/>
      <c r="O104" s="647" t="n"/>
    </row>
    <row r="105">
      <c r="B105" s="553" t="inlineStr">
        <is>
          <t>Méthodologie complète : voir slide méthodologie société. Calculs détaillés dans l'onglet _LBO_CALC (masqué — démasquer pour audit).</t>
        </is>
      </c>
      <c r="K105" s="647" t="n"/>
      <c r="L105" s="647" t="n"/>
      <c r="M105" s="647" t="n"/>
      <c r="N105" s="647" t="n"/>
      <c r="O105" s="647" t="n"/>
    </row>
    <row r="106">
      <c r="K106" s="647" t="n"/>
      <c r="L106" s="647" t="n"/>
      <c r="M106" s="647" t="n"/>
      <c r="N106" s="647" t="n"/>
      <c r="O106" s="647" t="n"/>
    </row>
    <row r="107">
      <c r="K107" s="647" t="inlineStr">
        <is>
          <t>Année</t>
        </is>
      </c>
      <c r="L107" s="647" t="inlineStr">
        <is>
          <t>Levier (×EBITDA)</t>
        </is>
      </c>
      <c r="M107" s="647" t="n"/>
      <c r="N107" s="647" t="n"/>
      <c r="O107" s="647" t="n"/>
    </row>
    <row r="108">
      <c r="K108" s="421" t="inlineStr">
        <is>
          <t>Y0</t>
        </is>
      </c>
      <c r="L108" s="647">
        <f>D48</f>
        <v/>
      </c>
    </row>
    <row r="109">
      <c r="K109" s="421" t="inlineStr">
        <is>
          <t>Y1</t>
        </is>
      </c>
      <c r="L109" s="647">
        <f>E48</f>
        <v/>
      </c>
    </row>
    <row r="110">
      <c r="K110" s="421" t="inlineStr">
        <is>
          <t>Y2</t>
        </is>
      </c>
      <c r="L110" s="647">
        <f>F48</f>
        <v/>
      </c>
    </row>
    <row r="111">
      <c r="K111" s="421" t="inlineStr">
        <is>
          <t>Y3</t>
        </is>
      </c>
      <c r="L111" s="647">
        <f>G48</f>
        <v/>
      </c>
    </row>
    <row r="112">
      <c r="K112" s="421" t="inlineStr">
        <is>
          <t>Y4</t>
        </is>
      </c>
      <c r="L112" s="647">
        <f>H48</f>
        <v/>
      </c>
    </row>
    <row r="113">
      <c r="K113" s="421" t="inlineStr">
        <is>
          <t>Y5</t>
        </is>
      </c>
      <c r="L113" s="647">
        <f>I48</f>
        <v/>
      </c>
    </row>
    <row r="114">
      <c r="K114" s="421" t="n"/>
      <c r="L114" s="647" t="n"/>
    </row>
    <row r="115">
      <c r="K115" s="421" t="n"/>
      <c r="L115" s="647" t="n"/>
    </row>
    <row r="116">
      <c r="K116" s="421" t="n"/>
      <c r="L116" s="647" t="n"/>
    </row>
    <row r="117">
      <c r="K117" s="421" t="inlineStr">
        <is>
          <t>Scénario</t>
        </is>
      </c>
      <c r="L117" s="647" t="inlineStr">
        <is>
          <t>IRR</t>
        </is>
      </c>
    </row>
    <row r="118">
      <c r="K118" s="421" t="inlineStr">
        <is>
          <t>BULL</t>
        </is>
      </c>
      <c r="L118" s="647">
        <f>E90</f>
        <v/>
      </c>
    </row>
    <row r="119">
      <c r="K119" s="421" t="inlineStr">
        <is>
          <t>BASE</t>
        </is>
      </c>
      <c r="L119" s="647">
        <f>G90</f>
        <v/>
      </c>
    </row>
    <row r="120">
      <c r="K120" s="421" t="inlineStr">
        <is>
          <t>BEAR</t>
        </is>
      </c>
      <c r="L120" s="647">
        <f>I90</f>
        <v/>
      </c>
    </row>
  </sheetData>
  <mergeCells count="16">
    <mergeCell ref="E91:F91"/>
    <mergeCell ref="I90:J90"/>
    <mergeCell ref="I91:J91"/>
    <mergeCell ref="G91:H91"/>
    <mergeCell ref="G92:H92"/>
    <mergeCell ref="E90:F90"/>
    <mergeCell ref="I92:J92"/>
    <mergeCell ref="B5:C5"/>
    <mergeCell ref="I89:J89"/>
    <mergeCell ref="G90:H90"/>
    <mergeCell ref="E89:F89"/>
    <mergeCell ref="G89:H89"/>
    <mergeCell ref="G93:H93"/>
    <mergeCell ref="E93:F93"/>
    <mergeCell ref="I93:J93"/>
    <mergeCell ref="E92:F92"/>
  </mergeCells>
  <conditionalFormatting sqref="E60:I60">
    <cfRule type="containsText" priority="9" operator="containsText" dxfId="1" text="PASS">
      <formula>NOT(ISERROR(SEARCH("PASS",E60)))</formula>
    </cfRule>
    <cfRule type="containsText" priority="10" operator="containsText" dxfId="0" text="BREACH">
      <formula>NOT(ISERROR(SEARCH("BREACH",E60)))</formula>
    </cfRule>
  </conditionalFormatting>
  <conditionalFormatting sqref="E63:I63">
    <cfRule type="containsText" priority="11" operator="containsText" dxfId="1" text="PASS">
      <formula>NOT(ISERROR(SEARCH("PASS",E63)))</formula>
    </cfRule>
    <cfRule type="containsText" priority="12" operator="containsText" dxfId="0" text="BREACH">
      <formula>NOT(ISERROR(SEARCH("BREACH",E63)))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68"/>
  <sheetViews>
    <sheetView showGridLines="0" workbookViewId="0">
      <selection activeCell="A1" sqref="A1"/>
    </sheetView>
  </sheetViews>
  <sheetFormatPr baseColWidth="10" defaultColWidth="8.88671875" defaultRowHeight="14.4"/>
  <cols>
    <col width="2" customWidth="1" style="636" min="1" max="1"/>
    <col width="36" customWidth="1" style="636" min="2" max="2"/>
    <col width="11" customWidth="1" style="636" min="3" max="14"/>
    <col width="12" customWidth="1" style="636" min="15" max="19"/>
  </cols>
  <sheetData>
    <row r="1" ht="28.05" customHeight="1" s="636">
      <c r="B1" s="532" t="inlineStr">
        <is>
          <t>FinSight  —  LBO Calculation Engine (JPM/GS-grade)</t>
        </is>
      </c>
    </row>
    <row r="2">
      <c r="B2" s="531" t="inlineStr">
        <is>
          <t>Onglet masqué — démasquer pour audit complet du modèle.</t>
        </is>
      </c>
    </row>
    <row r="4" ht="15" customHeight="1" s="636">
      <c r="B4" s="530" t="inlineStr">
        <is>
          <t>1.  PROJECTIONS DÉTAILLÉES Y0-Y5  (référence DCF)</t>
        </is>
      </c>
    </row>
    <row r="5" ht="15" customHeight="1" s="636">
      <c r="B5" s="499" t="inlineStr">
        <is>
          <t>($000)</t>
        </is>
      </c>
      <c r="H5" s="497" t="inlineStr">
        <is>
          <t>Y0 (LTM)</t>
        </is>
      </c>
      <c r="I5" s="497" t="inlineStr">
        <is>
          <t>Y1</t>
        </is>
      </c>
      <c r="J5" s="497" t="inlineStr">
        <is>
          <t>Y2</t>
        </is>
      </c>
      <c r="K5" s="497" t="inlineStr">
        <is>
          <t>Y3</t>
        </is>
      </c>
      <c r="L5" s="497" t="inlineStr">
        <is>
          <t>Y4</t>
        </is>
      </c>
      <c r="M5" s="497" t="inlineStr">
        <is>
          <t>Y5</t>
        </is>
      </c>
    </row>
    <row r="6" ht="15" customHeight="1" s="636">
      <c r="B6" s="546" t="inlineStr">
        <is>
          <t>Revenue</t>
        </is>
      </c>
      <c r="H6" s="710">
        <f>DCF!H9</f>
        <v/>
      </c>
      <c r="I6" s="710">
        <f>DCF!I9</f>
        <v/>
      </c>
      <c r="J6" s="710">
        <f>DCF!J9</f>
        <v/>
      </c>
      <c r="K6" s="710">
        <f>DCF!K9</f>
        <v/>
      </c>
      <c r="L6" s="710">
        <f>DCF!L9</f>
        <v/>
      </c>
      <c r="M6" s="710">
        <f>DCF!M9</f>
        <v/>
      </c>
    </row>
    <row r="7" ht="15" customHeight="1" s="636">
      <c r="B7" s="546" t="inlineStr">
        <is>
          <t>EBITDA</t>
        </is>
      </c>
      <c r="H7" s="710">
        <f>DCF!H15</f>
        <v/>
      </c>
      <c r="I7" s="710">
        <f>DCF!I15</f>
        <v/>
      </c>
      <c r="J7" s="710">
        <f>DCF!J15</f>
        <v/>
      </c>
      <c r="K7" s="710">
        <f>DCF!K15</f>
        <v/>
      </c>
      <c r="L7" s="710">
        <f>DCF!L15</f>
        <v/>
      </c>
      <c r="M7" s="710">
        <f>DCF!M15</f>
        <v/>
      </c>
    </row>
    <row r="8" ht="15" customHeight="1" s="636">
      <c r="B8" s="546" t="inlineStr">
        <is>
          <t>D&amp;A</t>
        </is>
      </c>
      <c r="H8" s="710">
        <f>DCF!H17</f>
        <v/>
      </c>
      <c r="I8" s="710">
        <f>DCF!I17</f>
        <v/>
      </c>
      <c r="J8" s="710">
        <f>DCF!J17</f>
        <v/>
      </c>
      <c r="K8" s="710">
        <f>DCF!K17</f>
        <v/>
      </c>
      <c r="L8" s="710">
        <f>DCF!L17</f>
        <v/>
      </c>
      <c r="M8" s="710">
        <f>DCF!M17</f>
        <v/>
      </c>
    </row>
    <row r="9" ht="15" customHeight="1" s="636">
      <c r="B9" s="546" t="inlineStr">
        <is>
          <t>EBIT</t>
        </is>
      </c>
      <c r="H9" s="710">
        <f>DCF!H18</f>
        <v/>
      </c>
      <c r="I9" s="710">
        <f>DCF!I18</f>
        <v/>
      </c>
      <c r="J9" s="710">
        <f>DCF!J18</f>
        <v/>
      </c>
      <c r="K9" s="710">
        <f>DCF!K18</f>
        <v/>
      </c>
      <c r="L9" s="710">
        <f>DCF!L18</f>
        <v/>
      </c>
      <c r="M9" s="710">
        <f>DCF!M18</f>
        <v/>
      </c>
    </row>
    <row r="10" ht="15" customHeight="1" s="636">
      <c r="B10" s="546" t="inlineStr">
        <is>
          <t>CapEx</t>
        </is>
      </c>
      <c r="H10" s="710">
        <f>DCF!H47</f>
        <v/>
      </c>
      <c r="I10" s="710">
        <f>DCF!I47</f>
        <v/>
      </c>
      <c r="J10" s="710">
        <f>DCF!J47</f>
        <v/>
      </c>
      <c r="K10" s="710">
        <f>DCF!K47</f>
        <v/>
      </c>
      <c r="L10" s="710">
        <f>DCF!L47</f>
        <v/>
      </c>
      <c r="M10" s="710">
        <f>DCF!M47</f>
        <v/>
      </c>
    </row>
    <row r="11" ht="15" customHeight="1" s="636">
      <c r="B11" s="546" t="inlineStr">
        <is>
          <t>Δ Working Capital</t>
        </is>
      </c>
      <c r="H11" s="710">
        <f>DCF!H48</f>
        <v/>
      </c>
      <c r="I11" s="710">
        <f>DCF!I48</f>
        <v/>
      </c>
      <c r="J11" s="710">
        <f>DCF!J48</f>
        <v/>
      </c>
      <c r="K11" s="710">
        <f>DCF!K48</f>
        <v/>
      </c>
      <c r="L11" s="710">
        <f>DCF!L48</f>
        <v/>
      </c>
      <c r="M11" s="710">
        <f>DCF!M48</f>
        <v/>
      </c>
    </row>
    <row r="12" ht="15" customHeight="1" s="636">
      <c r="B12" s="546" t="inlineStr">
        <is>
          <t>FCF Unlevered (Pre-Debt)</t>
        </is>
      </c>
      <c r="H12" s="710">
        <f>DCF!H49</f>
        <v/>
      </c>
      <c r="I12" s="710">
        <f>DCF!I49</f>
        <v/>
      </c>
      <c r="J12" s="710">
        <f>DCF!J49</f>
        <v/>
      </c>
      <c r="K12" s="710">
        <f>DCF!K49</f>
        <v/>
      </c>
      <c r="L12" s="710">
        <f>DCF!L49</f>
        <v/>
      </c>
      <c r="M12" s="710">
        <f>DCF!M49</f>
        <v/>
      </c>
    </row>
    <row r="14" ht="15" customHeight="1" s="636">
      <c r="B14" s="530" t="inlineStr">
        <is>
          <t>2.  DEBT SCHEDULE COMPLET (Senior TLB + Mezzanine)</t>
        </is>
      </c>
    </row>
    <row r="15">
      <c r="B15" s="645" t="inlineStr">
        <is>
          <t>SENIOR TERM LOAN B</t>
        </is>
      </c>
    </row>
    <row r="16">
      <c r="B16" s="495" t="inlineStr">
        <is>
          <t>Beginning balance</t>
        </is>
      </c>
      <c r="H16" s="502">
        <f>'LBO MODEL'!H14*INPUT!H30</f>
        <v/>
      </c>
      <c r="I16" s="502">
        <f>H19</f>
        <v/>
      </c>
      <c r="J16" s="502">
        <f>I19</f>
        <v/>
      </c>
      <c r="K16" s="502">
        <f>J19</f>
        <v/>
      </c>
      <c r="L16" s="502">
        <f>K19</f>
        <v/>
      </c>
      <c r="M16" s="502">
        <f>L19</f>
        <v/>
      </c>
    </row>
    <row r="17">
      <c r="B17" s="503" t="inlineStr">
        <is>
          <t>Mandatory amortization (1%)</t>
        </is>
      </c>
      <c r="I17" s="502">
        <f>-MIN(I16*0.01,I16)</f>
        <v/>
      </c>
      <c r="J17" s="502">
        <f>-MIN(J16*0.01,J16)</f>
        <v/>
      </c>
      <c r="K17" s="502">
        <f>-MIN(K16*0.01,K16)</f>
        <v/>
      </c>
      <c r="L17" s="502">
        <f>-MIN(L16*0.01,L16)</f>
        <v/>
      </c>
      <c r="M17" s="502">
        <f>-MIN(M16*0.01,M16)</f>
        <v/>
      </c>
    </row>
    <row r="18">
      <c r="B18" s="503" t="inlineStr">
        <is>
          <t>Cash sweep (75% excess FCF)</t>
        </is>
      </c>
      <c r="I18" s="502">
        <f>-MIN(I16+I17,MAX(0,I39*0.75))</f>
        <v/>
      </c>
      <c r="J18" s="502">
        <f>-MIN(J16+J17,MAX(0,J39*0.75))</f>
        <v/>
      </c>
      <c r="K18" s="502">
        <f>-MIN(K16+K17,MAX(0,K39*0.75))</f>
        <v/>
      </c>
      <c r="L18" s="502">
        <f>-MIN(L16+L17,MAX(0,L39*0.75))</f>
        <v/>
      </c>
      <c r="M18" s="502">
        <f>-MIN(M16+M17,MAX(0,M39*0.75))</f>
        <v/>
      </c>
    </row>
    <row r="19">
      <c r="B19" s="504" t="inlineStr">
        <is>
          <t>Ending balance</t>
        </is>
      </c>
      <c r="H19" s="505">
        <f>H16</f>
        <v/>
      </c>
      <c r="I19" s="505">
        <f>I16+I17+I18</f>
        <v/>
      </c>
      <c r="J19" s="505">
        <f>J16+J17+J18</f>
        <v/>
      </c>
      <c r="K19" s="505">
        <f>K16+K17+K18</f>
        <v/>
      </c>
      <c r="L19" s="505">
        <f>L16+L17+L18</f>
        <v/>
      </c>
      <c r="M19" s="505">
        <f>M16+M17+M18</f>
        <v/>
      </c>
    </row>
    <row r="20">
      <c r="B20" s="503" t="inlineStr">
        <is>
          <t>Interest expense (TLB)</t>
        </is>
      </c>
      <c r="I20" s="502">
        <f>-I16*'LBO MODEL'!$H$16</f>
        <v/>
      </c>
      <c r="J20" s="502">
        <f>-J16*'LBO MODEL'!$H$16</f>
        <v/>
      </c>
      <c r="K20" s="502">
        <f>-K16*'LBO MODEL'!$H$16</f>
        <v/>
      </c>
      <c r="L20" s="502">
        <f>-L16*'LBO MODEL'!$H$16</f>
        <v/>
      </c>
      <c r="M20" s="502">
        <f>-M16*'LBO MODEL'!$H$16</f>
        <v/>
      </c>
    </row>
    <row r="22">
      <c r="B22" s="645" t="inlineStr">
        <is>
          <t>MEZZANINE</t>
        </is>
      </c>
    </row>
    <row r="23">
      <c r="B23" s="495" t="inlineStr">
        <is>
          <t>Beginning balance</t>
        </is>
      </c>
      <c r="H23" s="502">
        <f>'LBO MODEL'!H15*INPUT!H30</f>
        <v/>
      </c>
      <c r="I23" s="502">
        <f>H26</f>
        <v/>
      </c>
      <c r="J23" s="502">
        <f>I26</f>
        <v/>
      </c>
      <c r="K23" s="502">
        <f>J26</f>
        <v/>
      </c>
      <c r="L23" s="502">
        <f>K26</f>
        <v/>
      </c>
      <c r="M23" s="502">
        <f>L26</f>
        <v/>
      </c>
    </row>
    <row r="24">
      <c r="B24" s="503" t="inlineStr">
        <is>
          <t>PIK interest (5% capitalisé)</t>
        </is>
      </c>
      <c r="I24" s="502">
        <f>I23*0.05</f>
        <v/>
      </c>
      <c r="J24" s="502">
        <f>J23*0.05</f>
        <v/>
      </c>
      <c r="K24" s="502">
        <f>K23*0.05</f>
        <v/>
      </c>
      <c r="L24" s="502">
        <f>L23*0.05</f>
        <v/>
      </c>
      <c r="M24" s="502">
        <f>M23*0.05</f>
        <v/>
      </c>
    </row>
    <row r="25">
      <c r="B25" s="503" t="inlineStr">
        <is>
          <t>Bullet repayment (Y5)</t>
        </is>
      </c>
      <c r="M25" s="502">
        <f>-(M23+M24)</f>
        <v/>
      </c>
    </row>
    <row r="26">
      <c r="B26" s="504" t="inlineStr">
        <is>
          <t>Ending balance</t>
        </is>
      </c>
      <c r="H26" s="505">
        <f>H23</f>
        <v/>
      </c>
      <c r="I26" s="505">
        <f>I23+I24</f>
        <v/>
      </c>
      <c r="J26" s="505">
        <f>J23+J24</f>
        <v/>
      </c>
      <c r="K26" s="505">
        <f>K23+K24</f>
        <v/>
      </c>
      <c r="L26" s="505">
        <f>L23+L24</f>
        <v/>
      </c>
      <c r="M26" s="505">
        <f>M23+M24+M25</f>
        <v/>
      </c>
    </row>
    <row r="27">
      <c r="B27" s="503" t="inlineStr">
        <is>
          <t>Interest expense Mezz (cash 5%)</t>
        </is>
      </c>
      <c r="I27" s="502">
        <f>-I23*0.05</f>
        <v/>
      </c>
      <c r="J27" s="502">
        <f>-J23*0.05</f>
        <v/>
      </c>
      <c r="K27" s="502">
        <f>-K23*0.05</f>
        <v/>
      </c>
      <c r="L27" s="502">
        <f>-L23*0.05</f>
        <v/>
      </c>
      <c r="M27" s="502">
        <f>-M23*0.05</f>
        <v/>
      </c>
    </row>
    <row r="29">
      <c r="B29" s="504" t="inlineStr">
        <is>
          <t>TOTAL INTEREST EXPENSE</t>
        </is>
      </c>
      <c r="I29" s="506">
        <f>I20+I27</f>
        <v/>
      </c>
      <c r="J29" s="506">
        <f>J20+J27</f>
        <v/>
      </c>
      <c r="K29" s="506">
        <f>K20+K27</f>
        <v/>
      </c>
      <c r="L29" s="506">
        <f>L20+L27</f>
        <v/>
      </c>
      <c r="M29" s="506">
        <f>M20+M27</f>
        <v/>
      </c>
    </row>
    <row r="30">
      <c r="B30" s="504" t="inlineStr">
        <is>
          <t>Net Debt (Senior + Mezz - Cash)</t>
        </is>
      </c>
      <c r="H30" s="506">
        <f>H19+H26</f>
        <v/>
      </c>
      <c r="I30" s="506">
        <f>I19+I26</f>
        <v/>
      </c>
      <c r="J30" s="506">
        <f>J19+J26</f>
        <v/>
      </c>
      <c r="K30" s="506">
        <f>K19+K26</f>
        <v/>
      </c>
      <c r="L30" s="506">
        <f>L19+L26</f>
        <v/>
      </c>
      <c r="M30" s="506">
        <f>M19+M26</f>
        <v/>
      </c>
    </row>
    <row r="31">
      <c r="B31" s="503" t="inlineStr">
        <is>
          <t>Total Leverage (× EBITDA)</t>
        </is>
      </c>
      <c r="H31" s="711">
        <f>IFERROR(H30/H7,0)</f>
        <v/>
      </c>
      <c r="I31" s="711">
        <f>IFERROR(I30/I7,0)</f>
        <v/>
      </c>
      <c r="J31" s="711">
        <f>IFERROR(J30/J7,0)</f>
        <v/>
      </c>
      <c r="K31" s="711">
        <f>IFERROR(K30/K7,0)</f>
        <v/>
      </c>
      <c r="L31" s="711">
        <f>IFERROR(L30/L7,0)</f>
        <v/>
      </c>
      <c r="M31" s="711">
        <f>IFERROR(M30/M7,0)</f>
        <v/>
      </c>
    </row>
    <row r="32">
      <c r="B32" s="503" t="inlineStr">
        <is>
          <t>Interest Coverage (EBIT/Int)</t>
        </is>
      </c>
      <c r="I32" s="712">
        <f>IFERROR(-I9/I29,0)</f>
        <v/>
      </c>
      <c r="J32" s="712">
        <f>IFERROR(-J9/J29,0)</f>
        <v/>
      </c>
      <c r="K32" s="712">
        <f>IFERROR(-K9/K29,0)</f>
        <v/>
      </c>
      <c r="L32" s="712">
        <f>IFERROR(-L9/L29,0)</f>
        <v/>
      </c>
      <c r="M32" s="712">
        <f>IFERROR(-M9/M29,0)</f>
        <v/>
      </c>
    </row>
    <row r="33">
      <c r="B33" s="503" t="inlineStr">
        <is>
          <t>3.  FCF LEVERED &amp; TAX SHIELD  (PE-grade — post-intérêts, post-tax)</t>
        </is>
      </c>
      <c r="I33" s="712" t="n"/>
      <c r="J33" s="712" t="n"/>
      <c r="K33" s="712" t="n"/>
      <c r="L33" s="712" t="n"/>
      <c r="M33" s="712" t="n"/>
    </row>
    <row r="34">
      <c r="B34" s="503" t="n"/>
      <c r="H34" t="inlineStr">
        <is>
          <t>Y0 (LTM)</t>
        </is>
      </c>
      <c r="I34" s="712" t="inlineStr">
        <is>
          <t>Y1</t>
        </is>
      </c>
      <c r="J34" s="712" t="inlineStr">
        <is>
          <t>Y2</t>
        </is>
      </c>
      <c r="K34" s="712" t="inlineStr">
        <is>
          <t>Y3</t>
        </is>
      </c>
      <c r="L34" s="712" t="inlineStr">
        <is>
          <t>Y4</t>
        </is>
      </c>
      <c r="M34" s="712" t="inlineStr">
        <is>
          <t>Y5</t>
        </is>
      </c>
    </row>
    <row r="35">
      <c r="B35" s="503" t="inlineStr">
        <is>
          <t>Tax Shield (intérêts × taux d'imposition)</t>
        </is>
      </c>
      <c r="H35" t="n">
        <v>0</v>
      </c>
      <c r="I35" s="712">
        <f>-I29*INPUT!$H$104</f>
        <v/>
      </c>
      <c r="J35" s="712">
        <f>-J29*INPUT!$H$104</f>
        <v/>
      </c>
      <c r="K35" s="712">
        <f>-K29*INPUT!$H$104</f>
        <v/>
      </c>
      <c r="L35" s="712">
        <f>-L29*INPUT!$H$104</f>
        <v/>
      </c>
      <c r="M35" s="712">
        <f>-M29*INPUT!$H$104</f>
        <v/>
      </c>
    </row>
    <row r="36">
      <c r="B36" s="503" t="inlineStr">
        <is>
          <t>EBT levered (EBIT + Intérêts)</t>
        </is>
      </c>
      <c r="H36" t="n">
        <v>0</v>
      </c>
      <c r="I36" s="712">
        <f>I9+I29</f>
        <v/>
      </c>
      <c r="J36" s="712">
        <f>J9+J29</f>
        <v/>
      </c>
      <c r="K36" s="712">
        <f>K9+K29</f>
        <v/>
      </c>
      <c r="L36" s="712">
        <f>L9+L29</f>
        <v/>
      </c>
      <c r="M36" s="712">
        <f>M9+M29</f>
        <v/>
      </c>
    </row>
    <row r="37">
      <c r="B37" s="503" t="inlineStr">
        <is>
          <t>Impôt cash (EBT × taux, si positif)</t>
        </is>
      </c>
      <c r="H37" t="n">
        <v>0</v>
      </c>
      <c r="I37" s="712">
        <f>-MAX(0,I36)*INPUT!$H$104</f>
        <v/>
      </c>
      <c r="J37" s="712">
        <f>-MAX(0,J36)*INPUT!$H$104</f>
        <v/>
      </c>
      <c r="K37" s="712">
        <f>-MAX(0,K36)*INPUT!$H$104</f>
        <v/>
      </c>
      <c r="L37" s="712">
        <f>-MAX(0,L36)*INPUT!$H$104</f>
        <v/>
      </c>
      <c r="M37" s="712">
        <f>-MAX(0,M36)*INPUT!$H$104</f>
        <v/>
      </c>
    </row>
    <row r="38">
      <c r="B38" s="503" t="inlineStr">
        <is>
          <t>NOPAT levered (EBT + Impôt cash)</t>
        </is>
      </c>
      <c r="H38" t="n">
        <v>0</v>
      </c>
      <c r="I38" s="712">
        <f>I36+I37</f>
        <v/>
      </c>
      <c r="J38" s="712">
        <f>J36+J37</f>
        <v/>
      </c>
      <c r="K38" s="712">
        <f>K36+K37</f>
        <v/>
      </c>
      <c r="L38" s="712">
        <f>L36+L37</f>
        <v/>
      </c>
      <c r="M38" s="712">
        <f>M36+M37</f>
        <v/>
      </c>
    </row>
    <row r="39">
      <c r="B39" s="503" t="inlineStr">
        <is>
          <t>FCF Levered (post-intérêts, post-tax)</t>
        </is>
      </c>
      <c r="H39" t="n">
        <v>0</v>
      </c>
      <c r="I39" s="712">
        <f>I38-I8+I10+I11</f>
        <v/>
      </c>
      <c r="J39" s="712">
        <f>J38-J8+J10+J11</f>
        <v/>
      </c>
      <c r="K39" s="712">
        <f>K38-K8+K10+K11</f>
        <v/>
      </c>
      <c r="L39" s="712">
        <f>L38-L8+L10+L11</f>
        <v/>
      </c>
      <c r="M39" s="712">
        <f>M38-M8+M10+M11</f>
        <v/>
      </c>
    </row>
    <row r="40">
      <c r="B40" s="503" t="inlineStr">
        <is>
          <t>Cash disponible pour service dette</t>
        </is>
      </c>
      <c r="H40" t="n">
        <v>0</v>
      </c>
      <c r="I40" s="712">
        <f>MAX(0,I39)</f>
        <v/>
      </c>
      <c r="J40" s="712">
        <f>MAX(0,J39)</f>
        <v/>
      </c>
      <c r="K40" s="712">
        <f>MAX(0,K39)</f>
        <v/>
      </c>
      <c r="L40" s="712">
        <f>MAX(0,L39)</f>
        <v/>
      </c>
      <c r="M40" s="712">
        <f>MAX(0,M39)</f>
        <v/>
      </c>
    </row>
    <row r="41">
      <c r="B41" s="503" t="inlineStr">
        <is>
          <t>COVENANT TESTING  —  Seuils bancaires</t>
        </is>
      </c>
      <c r="I41" s="712" t="n"/>
      <c r="J41" s="712" t="n"/>
      <c r="K41" s="712" t="n"/>
      <c r="L41" s="712" t="n"/>
      <c r="M41" s="712" t="n"/>
    </row>
    <row r="42">
      <c r="B42" s="503" t="inlineStr">
        <is>
          <t>Levier covenant (seuil max imposé par banques)</t>
        </is>
      </c>
      <c r="H42" t="inlineStr">
        <is>
          <t>N/A</t>
        </is>
      </c>
      <c r="I42" s="712" t="n">
        <v>6.5</v>
      </c>
      <c r="J42" s="712" t="n">
        <v>6</v>
      </c>
      <c r="K42" s="712" t="n">
        <v>5.5</v>
      </c>
      <c r="L42" s="712" t="n">
        <v>5</v>
      </c>
      <c r="M42" s="712" t="n">
        <v>4.5</v>
      </c>
    </row>
    <row r="43">
      <c r="B43" s="503" t="inlineStr">
        <is>
          <t>Levier réel (× EBITDA)</t>
        </is>
      </c>
      <c r="H43">
        <f>IFERROR(H30/H7,0)</f>
        <v/>
      </c>
      <c r="I43">
        <f>IFERROR(I30/I7,0)</f>
        <v/>
      </c>
      <c r="J43">
        <f>IFERROR(J30/J7,0)</f>
        <v/>
      </c>
      <c r="K43">
        <f>IFERROR(K30/K7,0)</f>
        <v/>
      </c>
      <c r="L43">
        <f>IFERROR(L30/L7,0)</f>
        <v/>
      </c>
      <c r="M43">
        <f>IFERROR(M30/M7,0)</f>
        <v/>
      </c>
    </row>
    <row r="44" ht="15" customHeight="1" s="636">
      <c r="B44" s="530" t="inlineStr">
        <is>
          <t>ICR covenant (seuil min imposé par banques)</t>
        </is>
      </c>
      <c r="M44" t="n">
        <v>2</v>
      </c>
    </row>
    <row r="45">
      <c r="B45" s="503" t="inlineStr">
        <is>
          <t>ICR réel (EBIT / Intérêts)</t>
        </is>
      </c>
      <c r="H45" t="inlineStr">
        <is>
          <t>N/A</t>
        </is>
      </c>
      <c r="I45">
        <f>IFERROR(-I9/I29,0)</f>
        <v/>
      </c>
      <c r="J45">
        <f>IFERROR(-J9/J29,0)</f>
        <v/>
      </c>
      <c r="K45">
        <f>IFERROR(-K9/K29,0)</f>
        <v/>
      </c>
      <c r="L45">
        <f>IFERROR(-L9/L29,0)</f>
        <v/>
      </c>
      <c r="M45" s="572">
        <f>IFERROR(-M9/M29,0)</f>
        <v/>
      </c>
    </row>
    <row r="46">
      <c r="B46" s="503" t="inlineStr">
        <is>
          <t>Levier covenant  ✓ / ✗</t>
        </is>
      </c>
      <c r="H46" t="inlineStr">
        <is>
          <t>—</t>
        </is>
      </c>
      <c r="I46">
        <f>IF(I43&lt;=I42,"✓ PASS","✗ BREACH")</f>
        <v/>
      </c>
      <c r="J46">
        <f>IF(J43&lt;=J42,"✓ PASS","✗ BREACH")</f>
        <v/>
      </c>
      <c r="K46">
        <f>IF(K43&lt;=K42,"✓ PASS","✗ BREACH")</f>
        <v/>
      </c>
      <c r="L46">
        <f>IF(L43&lt;=L42,"✓ PASS","✗ BREACH")</f>
        <v/>
      </c>
      <c r="M46" s="712">
        <f>IF(M43&lt;=M42,"✓ PASS","✗ BREACH")</f>
        <v/>
      </c>
    </row>
    <row r="47">
      <c r="B47" s="504" t="inlineStr">
        <is>
          <t>ICR covenant  ✓ / ✗</t>
        </is>
      </c>
      <c r="H47" t="inlineStr">
        <is>
          <t>—</t>
        </is>
      </c>
      <c r="I47">
        <f>IF(I45&gt;=I44,"✓ PASS","✗ BREACH")</f>
        <v/>
      </c>
      <c r="J47">
        <f>IF(J45&gt;=J44,"✓ PASS","✗ BREACH")</f>
        <v/>
      </c>
      <c r="K47">
        <f>IF(K45&gt;=K44,"✓ PASS","✗ BREACH")</f>
        <v/>
      </c>
      <c r="L47">
        <f>IF(L45&gt;=L44,"✓ PASS","✗ BREACH")</f>
        <v/>
      </c>
      <c r="M47" s="505">
        <f>IF(M45&gt;=M44,"✓ PASS","✗ BREACH")</f>
        <v/>
      </c>
    </row>
    <row r="48">
      <c r="B48" s="504" t="inlineStr">
        <is>
          <t>EV exit (EBITDA × Multiple)</t>
        </is>
      </c>
      <c r="M48" s="572">
        <f>M7*'LBO MODEL'!$H$18</f>
        <v/>
      </c>
    </row>
    <row r="49">
      <c r="B49" s="503" t="inlineStr">
        <is>
          <t>− Net Debt at exit</t>
        </is>
      </c>
      <c r="M49" s="713">
        <f>-M30</f>
        <v/>
      </c>
    </row>
    <row r="50">
      <c r="B50" s="504" t="inlineStr">
        <is>
          <t>Equity exit (EV − Net Debt)</t>
        </is>
      </c>
      <c r="M50" s="511">
        <f>M48+M49</f>
        <v/>
      </c>
    </row>
    <row r="56">
      <c r="M56" s="512" t="inlineStr">
        <is>
          <t>EQUITY ENTRY</t>
        </is>
      </c>
      <c r="N56" s="572">
        <f>'LBO MODEL'!H12*INPUT!H30*(1+'LBO MODEL'!H20+'LBO MODEL'!H21)+INPUT!H34-('LBO MODEL'!H14+'LBO MODEL'!H15)*INPUT!H30</f>
        <v/>
      </c>
    </row>
    <row r="59">
      <c r="M59" s="513" t="inlineStr">
        <is>
          <t>EBITDA Y5</t>
        </is>
      </c>
      <c r="N59" s="572">
        <f>M7</f>
        <v/>
      </c>
    </row>
    <row r="60">
      <c r="M60" s="513" t="inlineStr">
        <is>
          <t>NET DEBT Y5</t>
        </is>
      </c>
      <c r="N60" s="572">
        <f>M30</f>
        <v/>
      </c>
    </row>
    <row r="61">
      <c r="M61" s="513" t="inlineStr">
        <is>
          <t>EQUITY EXIT</t>
        </is>
      </c>
      <c r="N61" s="572">
        <f>M50</f>
        <v/>
      </c>
    </row>
    <row r="62">
      <c r="M62" s="513" t="inlineStr">
        <is>
          <t>IRR BASE</t>
        </is>
      </c>
      <c r="N62" s="714">
        <f>IFERROR((N61/N56)^(1/'LBO MODEL'!H19)-1,0)</f>
        <v/>
      </c>
    </row>
    <row r="63">
      <c r="M63" s="513" t="inlineStr">
        <is>
          <t>MOIC BASE</t>
        </is>
      </c>
      <c r="N63" s="715">
        <f>IFERROR(N61/N56,0)</f>
        <v/>
      </c>
    </row>
    <row r="65" ht="15" customHeight="1" s="636">
      <c r="B65" s="530" t="inlineStr">
        <is>
          <t>4.  SCÉNARIOS BULL / BASE / BEAR (formules paramétrées)</t>
        </is>
      </c>
      <c r="M65" s="498" t="inlineStr">
        <is>
          <t>Scénario</t>
        </is>
      </c>
      <c r="P65" s="498" t="inlineStr">
        <is>
          <t>IRR</t>
        </is>
      </c>
      <c r="Q65" s="498" t="inlineStr">
        <is>
          <t>MOIC</t>
        </is>
      </c>
      <c r="R65" s="498" t="inlineStr">
        <is>
          <t>Lvg exit</t>
        </is>
      </c>
      <c r="S65" s="498" t="inlineStr">
        <is>
          <t>ICR exit</t>
        </is>
      </c>
    </row>
    <row r="66">
      <c r="M66" s="516" t="inlineStr">
        <is>
          <t>BULL (rev +15%, marge +200bps, exit +1x)</t>
        </is>
      </c>
      <c r="P66" s="716">
        <f>IFERROR(((N59*1.15*('LBO MODEL'!$H$18+1)-N60*0.7)/N56)^(1/'LBO MODEL'!H19)-1,0)</f>
        <v/>
      </c>
      <c r="Q66" s="717">
        <f>IFERROR((N59*1.15*('LBO MODEL'!$H$18+1)-N60*0.7)/N56,0)</f>
        <v/>
      </c>
      <c r="R66" s="718">
        <f>M31*0.5</f>
        <v/>
      </c>
      <c r="S66" s="718">
        <f>M32*1.5</f>
        <v/>
      </c>
    </row>
    <row r="67">
      <c r="M67" s="495" t="inlineStr">
        <is>
          <t>BASE (hypothèses centrales)</t>
        </is>
      </c>
      <c r="P67" s="714">
        <f>N62</f>
        <v/>
      </c>
      <c r="Q67" s="715">
        <f>N63</f>
        <v/>
      </c>
      <c r="R67" s="719">
        <f>M31</f>
        <v/>
      </c>
      <c r="S67" s="719">
        <f>M32</f>
        <v/>
      </c>
    </row>
    <row r="68">
      <c r="M68" s="521" t="inlineStr">
        <is>
          <t>BEAR (rev -15%, marge -200bps, exit -1x)</t>
        </is>
      </c>
      <c r="P68" s="720">
        <f>IFERROR(((N59*0.85*('LBO MODEL'!$H$18-1)-N60*1.3)/N56)^(1/'LBO MODEL'!H19)-1,0)</f>
        <v/>
      </c>
      <c r="Q68" s="721">
        <f>IFERROR((N59*0.85*('LBO MODEL'!$H$18-1)-N60*1.3)/N56,0)</f>
        <v/>
      </c>
      <c r="R68" s="722">
        <f>M31*1.8</f>
        <v/>
      </c>
      <c r="S68" s="722">
        <f>M32*0.5</f>
        <v/>
      </c>
    </row>
  </sheetData>
  <mergeCells count="6">
    <mergeCell ref="B4:L4"/>
    <mergeCell ref="B65:L65"/>
    <mergeCell ref="B44:L44"/>
    <mergeCell ref="B1:N1"/>
    <mergeCell ref="B14:L14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2026-04-11T16:48:35Z</dcterms:modified>
  <cp:lastModifiedBy>Baptiste jeh</cp:lastModifiedBy>
  <cp:lastPrinted>2026-03-07T11:51:18Z</cp:lastPrinted>
</cp:coreProperties>
</file>