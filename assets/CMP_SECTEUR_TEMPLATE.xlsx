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apti\Downloads\"/>
    </mc:Choice>
  </mc:AlternateContent>
  <xr:revisionPtr revIDLastSave="0" documentId="13_ncr:1_{6FA067F0-E1FB-45B5-B966-68783BEF080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YNTHÈSE" sheetId="1" r:id="rId1"/>
    <sheet name="AGRÉGATS" sheetId="2" r:id="rId2"/>
    <sheet name="TOP_TECH" sheetId="3" r:id="rId3"/>
    <sheet name="TOP_HC" sheetId="4" r:id="rId4"/>
    <sheet name="DATA_TECH" sheetId="5" r:id="rId5"/>
    <sheet name="DATA_HC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4" l="1"/>
  <c r="D9" i="4"/>
  <c r="D8" i="4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4" i="5"/>
  <c r="K15" i="2"/>
  <c r="K16" i="2"/>
  <c r="K17" i="2"/>
  <c r="K18" i="2"/>
  <c r="K19" i="2"/>
  <c r="K20" i="2"/>
  <c r="K6" i="2"/>
  <c r="J15" i="2"/>
  <c r="J16" i="2"/>
  <c r="J17" i="2"/>
  <c r="J18" i="2"/>
  <c r="J19" i="2"/>
  <c r="J20" i="2"/>
  <c r="I15" i="2"/>
  <c r="I16" i="2"/>
  <c r="I17" i="2"/>
  <c r="I18" i="2"/>
  <c r="I19" i="2"/>
  <c r="I20" i="2"/>
  <c r="K7" i="2"/>
  <c r="K8" i="2"/>
  <c r="K9" i="2"/>
  <c r="K10" i="2"/>
  <c r="K11" i="2"/>
  <c r="J6" i="2"/>
  <c r="J7" i="2"/>
  <c r="J8" i="2"/>
  <c r="J9" i="2"/>
  <c r="J10" i="2"/>
  <c r="J11" i="2"/>
  <c r="I6" i="2"/>
  <c r="I7" i="2"/>
  <c r="I8" i="2"/>
  <c r="I9" i="2"/>
  <c r="I10" i="2"/>
  <c r="I11" i="2"/>
  <c r="I10" i="4"/>
  <c r="H10" i="4"/>
  <c r="G10" i="4"/>
  <c r="F10" i="4"/>
  <c r="E10" i="4"/>
  <c r="C10" i="4"/>
  <c r="B10" i="4"/>
  <c r="I9" i="4"/>
  <c r="H9" i="4"/>
  <c r="G9" i="4"/>
  <c r="F9" i="4"/>
  <c r="E9" i="4"/>
  <c r="C9" i="4"/>
  <c r="B9" i="4"/>
  <c r="I8" i="4"/>
  <c r="H8" i="4"/>
  <c r="G8" i="4"/>
  <c r="F8" i="4"/>
  <c r="E8" i="4"/>
  <c r="C8" i="4"/>
  <c r="B8" i="4"/>
  <c r="I7" i="4"/>
  <c r="H7" i="4"/>
  <c r="G7" i="4"/>
  <c r="F7" i="4"/>
  <c r="E7" i="4"/>
  <c r="D7" i="4"/>
  <c r="C7" i="4"/>
  <c r="B7" i="4"/>
  <c r="I6" i="4"/>
  <c r="H6" i="4"/>
  <c r="G6" i="4"/>
  <c r="F6" i="4"/>
  <c r="E6" i="4"/>
  <c r="D6" i="4"/>
  <c r="C6" i="4"/>
  <c r="B6" i="4"/>
  <c r="I5" i="4"/>
  <c r="H5" i="4"/>
  <c r="G5" i="4"/>
  <c r="F5" i="4"/>
  <c r="E5" i="4"/>
  <c r="D5" i="4"/>
  <c r="D26" i="1" s="1"/>
  <c r="C5" i="4"/>
  <c r="C26" i="1" s="1"/>
  <c r="B5" i="4"/>
  <c r="B26" i="1" s="1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G25" i="1" s="1"/>
  <c r="H5" i="3"/>
  <c r="G5" i="3"/>
  <c r="F5" i="3"/>
  <c r="E5" i="3"/>
  <c r="D5" i="3"/>
  <c r="C5" i="3"/>
  <c r="C25" i="1" s="1"/>
  <c r="B5" i="3"/>
  <c r="H20" i="2"/>
  <c r="G20" i="2"/>
  <c r="H21" i="1" s="1"/>
  <c r="F20" i="2"/>
  <c r="G21" i="1" s="1"/>
  <c r="E20" i="2"/>
  <c r="D20" i="2"/>
  <c r="F21" i="1" s="1"/>
  <c r="C20" i="2"/>
  <c r="H19" i="2"/>
  <c r="G19" i="2"/>
  <c r="H20" i="1" s="1"/>
  <c r="F19" i="2"/>
  <c r="G20" i="1" s="1"/>
  <c r="E19" i="2"/>
  <c r="D19" i="2"/>
  <c r="F20" i="1" s="1"/>
  <c r="C19" i="2"/>
  <c r="H18" i="2"/>
  <c r="G18" i="2"/>
  <c r="H19" i="1" s="1"/>
  <c r="F18" i="2"/>
  <c r="G19" i="1" s="1"/>
  <c r="E18" i="2"/>
  <c r="D18" i="2"/>
  <c r="F19" i="1" s="1"/>
  <c r="C18" i="2"/>
  <c r="H17" i="2"/>
  <c r="G17" i="2"/>
  <c r="H18" i="1" s="1"/>
  <c r="F17" i="2"/>
  <c r="G18" i="1" s="1"/>
  <c r="E17" i="2"/>
  <c r="D17" i="2"/>
  <c r="F18" i="1" s="1"/>
  <c r="C17" i="2"/>
  <c r="H16" i="2"/>
  <c r="G16" i="2"/>
  <c r="H17" i="1" s="1"/>
  <c r="F16" i="2"/>
  <c r="G17" i="1" s="1"/>
  <c r="E16" i="2"/>
  <c r="D16" i="2"/>
  <c r="F17" i="1" s="1"/>
  <c r="C16" i="2"/>
  <c r="H15" i="2"/>
  <c r="G15" i="2"/>
  <c r="H16" i="1" s="1"/>
  <c r="F15" i="2"/>
  <c r="G16" i="1" s="1"/>
  <c r="E15" i="2"/>
  <c r="D15" i="2"/>
  <c r="D7" i="1" s="1"/>
  <c r="C15" i="2"/>
  <c r="H11" i="2"/>
  <c r="G11" i="2"/>
  <c r="F11" i="2"/>
  <c r="D21" i="1" s="1"/>
  <c r="E11" i="2"/>
  <c r="D11" i="2"/>
  <c r="B21" i="1" s="1"/>
  <c r="C11" i="2"/>
  <c r="H10" i="2"/>
  <c r="G10" i="2"/>
  <c r="E20" i="1" s="1"/>
  <c r="F10" i="2"/>
  <c r="E10" i="2"/>
  <c r="D10" i="2"/>
  <c r="C11" i="1" s="1"/>
  <c r="C10" i="2"/>
  <c r="H9" i="2"/>
  <c r="G9" i="2"/>
  <c r="E19" i="1" s="1"/>
  <c r="F9" i="2"/>
  <c r="D19" i="1" s="1"/>
  <c r="E9" i="2"/>
  <c r="C19" i="1" s="1"/>
  <c r="D9" i="2"/>
  <c r="B19" i="1" s="1"/>
  <c r="C9" i="2"/>
  <c r="H8" i="2"/>
  <c r="G8" i="2"/>
  <c r="E18" i="1" s="1"/>
  <c r="F8" i="2"/>
  <c r="D18" i="1" s="1"/>
  <c r="E8" i="2"/>
  <c r="E26" i="2" s="1"/>
  <c r="D8" i="2"/>
  <c r="C8" i="2"/>
  <c r="H7" i="2"/>
  <c r="G7" i="2"/>
  <c r="F7" i="2"/>
  <c r="E7" i="2"/>
  <c r="C17" i="1" s="1"/>
  <c r="D7" i="2"/>
  <c r="C8" i="1" s="1"/>
  <c r="C7" i="2"/>
  <c r="H6" i="2"/>
  <c r="H24" i="2" s="1"/>
  <c r="G6" i="2"/>
  <c r="E16" i="1" s="1"/>
  <c r="F6" i="2"/>
  <c r="D16" i="1" s="1"/>
  <c r="E6" i="2"/>
  <c r="C16" i="1" s="1"/>
  <c r="D6" i="2"/>
  <c r="C7" i="1" s="1"/>
  <c r="C6" i="2"/>
  <c r="F32" i="1" a="1"/>
  <c r="F32" i="1"/>
  <c r="E32" i="1" a="1"/>
  <c r="E32" i="1"/>
  <c r="D32" i="1" a="1"/>
  <c r="D32" i="1"/>
  <c r="C32" i="1" a="1"/>
  <c r="C32" i="1"/>
  <c r="B32" i="1" a="1"/>
  <c r="B32" i="1" s="1"/>
  <c r="F31" i="1" a="1"/>
  <c r="F31" i="1" s="1"/>
  <c r="E31" i="1" a="1"/>
  <c r="E31" i="1"/>
  <c r="D31" i="1" a="1"/>
  <c r="D31" i="1"/>
  <c r="C31" i="1" a="1"/>
  <c r="C31" i="1"/>
  <c r="B31" i="1" a="1"/>
  <c r="B31" i="1"/>
  <c r="G26" i="1"/>
  <c r="F26" i="1"/>
  <c r="E26" i="1"/>
  <c r="F25" i="1"/>
  <c r="E25" i="1"/>
  <c r="D25" i="1"/>
  <c r="B25" i="1"/>
  <c r="E21" i="1"/>
  <c r="D8" i="1"/>
  <c r="F6" i="1"/>
  <c r="D6" i="1"/>
  <c r="E6" i="1" s="1"/>
  <c r="C6" i="1"/>
  <c r="G6" i="1" s="1"/>
  <c r="A2" i="1"/>
  <c r="G8" i="1" l="1"/>
  <c r="D9" i="1"/>
  <c r="F24" i="2"/>
  <c r="H25" i="2"/>
  <c r="B17" i="1"/>
  <c r="D12" i="1"/>
  <c r="E29" i="2"/>
  <c r="H27" i="2"/>
  <c r="H28" i="2"/>
  <c r="G24" i="2"/>
  <c r="G29" i="2"/>
  <c r="D26" i="2"/>
  <c r="H29" i="2"/>
  <c r="E8" i="1"/>
  <c r="I21" i="1"/>
  <c r="D24" i="2"/>
  <c r="I17" i="1"/>
  <c r="D11" i="1"/>
  <c r="F11" i="1" s="1"/>
  <c r="C12" i="1"/>
  <c r="G12" i="1" s="1"/>
  <c r="I19" i="1"/>
  <c r="E27" i="2"/>
  <c r="F27" i="2"/>
  <c r="B16" i="1"/>
  <c r="D28" i="2"/>
  <c r="G27" i="2"/>
  <c r="H26" i="2"/>
  <c r="E28" i="2"/>
  <c r="G28" i="2"/>
  <c r="D25" i="2"/>
  <c r="F28" i="2"/>
  <c r="E25" i="2"/>
  <c r="E24" i="2"/>
  <c r="D29" i="2"/>
  <c r="F16" i="1"/>
  <c r="B20" i="1"/>
  <c r="I20" i="1" s="1"/>
  <c r="F25" i="2"/>
  <c r="C20" i="1"/>
  <c r="G25" i="2"/>
  <c r="D20" i="1"/>
  <c r="D27" i="2"/>
  <c r="F7" i="1"/>
  <c r="G7" i="1"/>
  <c r="E7" i="1"/>
  <c r="C9" i="1"/>
  <c r="G11" i="1"/>
  <c r="D17" i="1"/>
  <c r="E17" i="1"/>
  <c r="G26" i="2"/>
  <c r="F29" i="2"/>
  <c r="F26" i="2"/>
  <c r="C10" i="1"/>
  <c r="C21" i="1"/>
  <c r="D10" i="1"/>
  <c r="B18" i="1"/>
  <c r="I18" i="1" s="1"/>
  <c r="C18" i="1"/>
  <c r="F8" i="1"/>
  <c r="E11" i="1"/>
  <c r="I16" i="1" l="1"/>
  <c r="F12" i="1"/>
  <c r="E12" i="1"/>
  <c r="G10" i="1"/>
  <c r="F10" i="1"/>
  <c r="E10" i="1"/>
  <c r="E9" i="1"/>
  <c r="G9" i="1"/>
  <c r="F9" i="1"/>
</calcChain>
</file>

<file path=xl/sharedStrings.xml><?xml version="1.0" encoding="utf-8"?>
<sst xmlns="http://schemas.openxmlformats.org/spreadsheetml/2006/main" count="344" uniqueCount="250">
  <si>
    <t>FinSight</t>
  </si>
  <si>
    <t>COMPARATIF SECTORIEL — Technologie vs Healthcare</t>
  </si>
  <si>
    <t>TABLEAU COMPARATIF — MÉDIANES SECTORIELLES</t>
  </si>
  <si>
    <t>INDICATEUR</t>
  </si>
  <si>
    <t>DESCRIPTION</t>
  </si>
  <si>
    <t>TECHNOLOGIE</t>
  </si>
  <si>
    <t>HEALTHCARE</t>
  </si>
  <si>
    <t>Δ ABSOLU</t>
  </si>
  <si>
    <t>Δ %</t>
  </si>
  <si>
    <t>AVANTAGE</t>
  </si>
  <si>
    <t>Nb valeurs</t>
  </si>
  <si>
    <t>Taille de l'échantillon</t>
  </si>
  <si>
    <t>Score FinSight médian</t>
  </si>
  <si>
    <t>Qualité fondamentale agrégée (0–100)</t>
  </si>
  <si>
    <t>Marge EBITDA médiane</t>
  </si>
  <si>
    <t>Profitabilité opérationnelle</t>
  </si>
  <si>
    <t>P/E médian</t>
  </si>
  <si>
    <t>Valorisation bénéfices (×)</t>
  </si>
  <si>
    <t>EV/EBITDA médian</t>
  </si>
  <si>
    <t>Valorisation hors structure (×)</t>
  </si>
  <si>
    <t>ROE médian</t>
  </si>
  <si>
    <t>Rentabilité des fonds propres</t>
  </si>
  <si>
    <t>Croiss. revenus médiane</t>
  </si>
  <si>
    <t>Dynamique commerciale YoY</t>
  </si>
  <si>
    <t>STATISTIQUES AVANCÉES — DISPERSION &amp; AMPLITUDE SECTORIELLES</t>
  </si>
  <si>
    <t>TECH Médiane</t>
  </si>
  <si>
    <t>TECH Moyenne</t>
  </si>
  <si>
    <t>TECH Min</t>
  </si>
  <si>
    <t>TECH Max</t>
  </si>
  <si>
    <t>HC Médiane</t>
  </si>
  <si>
    <t>HC Min</t>
  </si>
  <si>
    <t>HC Max</t>
  </si>
  <si>
    <t>Δ Médiane</t>
  </si>
  <si>
    <t>Score FinSight</t>
  </si>
  <si>
    <t>Marge EBITDA</t>
  </si>
  <si>
    <t>P/E</t>
  </si>
  <si>
    <t>EV/EBITDA</t>
  </si>
  <si>
    <t>ROE</t>
  </si>
  <si>
    <t>Croiss. Rev.</t>
  </si>
  <si>
    <t>TOP PERFORMERS — N°1 PAR SECTEUR (Score FinSight)</t>
  </si>
  <si>
    <t>SECTEUR</t>
  </si>
  <si>
    <t>TICKER</t>
  </si>
  <si>
    <t>SOCIÉTÉ</t>
  </si>
  <si>
    <t>SCORE</t>
  </si>
  <si>
    <t>MARGE EBITDA</t>
  </si>
  <si>
    <t>CROISS. REV.</t>
  </si>
  <si>
    <t>Technologie</t>
  </si>
  <si>
    <t>Healthcare</t>
  </si>
  <si>
    <t>MÉDIANES PONDÉRÉES PAR SCORE FINSIGHT — Valeurs de qualité supérieure surpondérées</t>
  </si>
  <si>
    <t>Les médianes pondérées donnent plus de poids aux valeurs avec un Score FinSight élevé (SUMPRODUCT Score × KPI / SUM Score)</t>
  </si>
  <si>
    <t>MG EBITDA pondérée</t>
  </si>
  <si>
    <t>P/E pondéré</t>
  </si>
  <si>
    <t>EV/EBITDA pondéré</t>
  </si>
  <si>
    <t>ROE pondéré</t>
  </si>
  <si>
    <t>CROISS. REV. pondérée</t>
  </si>
  <si>
    <t>Technologie (pondérée)</t>
  </si>
  <si>
    <t>Healthcare (pondérée)</t>
  </si>
  <si>
    <t>AGRÉGATS — Statistiques comparatives Technologie vs Healthcare</t>
  </si>
  <si>
    <t>Médiane · Moyenne · Min · Max · Écart-type — liés à DATA_TECH (88 valeurs) et DATA_HC (6 valeurs)</t>
  </si>
  <si>
    <t>TECHNOLOGIE — 88 valeurs</t>
  </si>
  <si>
    <t>N</t>
  </si>
  <si>
    <t>MÉDIANE</t>
  </si>
  <si>
    <t>MOYENNE</t>
  </si>
  <si>
    <t>MIN</t>
  </si>
  <si>
    <t>MAX</t>
  </si>
  <si>
    <t>ÉCART-TYPE</t>
  </si>
  <si>
    <t>Q1 (25e)</t>
  </si>
  <si>
    <t>Q3 (75e)</t>
  </si>
  <si>
    <t>IQR</t>
  </si>
  <si>
    <t>Croiss. Revenus</t>
  </si>
  <si>
    <t>HEALTHCARE — 6 valeurs</t>
  </si>
  <si>
    <t>DELTA — Différentiel Technologie vs Healthcare (Tech − HC)</t>
  </si>
  <si>
    <t>COMPARAISON</t>
  </si>
  <si>
    <t>—</t>
  </si>
  <si>
    <t>Δ MÉDIANE</t>
  </si>
  <si>
    <t>Δ MOYENNE</t>
  </si>
  <si>
    <t>Δ MIN</t>
  </si>
  <si>
    <t>Δ MAX</t>
  </si>
  <si>
    <t>Δ ÉCART-TYPE</t>
  </si>
  <si>
    <t>Tech vs HC</t>
  </si>
  <si>
    <t>TOP TECH — Classement dynamique Technologie par Score FinSight (Top 20)</t>
  </si>
  <si>
    <t>Classement calculé dynamiquement via LARGE / INDEX / MATCH depuis DATA_TECH · Se met à jour automatiquement</t>
  </si>
  <si>
    <t>TOP 20 — TECHNOLOGIE</t>
  </si>
  <si>
    <t>RANG</t>
  </si>
  <si>
    <t>MG EBITDA</t>
  </si>
  <si>
    <t>TOP HC — Classement dynamique Healthcare par Score FinSight</t>
  </si>
  <si>
    <t>Classement calculé dynamiquement via LARGE / INDEX / MATCH depuis DATA_HC · 6 entités</t>
  </si>
  <si>
    <t>TOUTES VALEURS — HEALTHCARE (classées par Score)</t>
  </si>
  <si>
    <t>DATA TECH — Données brutes Technologie · 88 valeurs</t>
  </si>
  <si>
    <t>Santé</t>
  </si>
  <si>
    <t>Source : FinSight IA · Univers Technologie S&amp;P500 / Nasdaq / Europe · Données au 12.04.2026</t>
  </si>
  <si>
    <t>SCORE FINSIGHT</t>
  </si>
  <si>
    <t>INCY</t>
  </si>
  <si>
    <t>Incyte Corporation</t>
  </si>
  <si>
    <t>JNJ</t>
  </si>
  <si>
    <t>Johnson &amp; Johnson</t>
  </si>
  <si>
    <t>BMY</t>
  </si>
  <si>
    <t>Bristol-Myers Squibb Company</t>
  </si>
  <si>
    <t>GILD</t>
  </si>
  <si>
    <t>Gilead Sciences, Inc.</t>
  </si>
  <si>
    <t>MRK</t>
  </si>
  <si>
    <t>Merck &amp; Co., Inc.</t>
  </si>
  <si>
    <t>REGN</t>
  </si>
  <si>
    <t>Regeneron Pharmaceuticals, Inc.</t>
  </si>
  <si>
    <t>UHS</t>
  </si>
  <si>
    <t>Universal Health Services, Inc.</t>
  </si>
  <si>
    <t>LLY</t>
  </si>
  <si>
    <t>Eli Lilly and Company</t>
  </si>
  <si>
    <t>AMGN</t>
  </si>
  <si>
    <t>Amgen Inc.</t>
  </si>
  <si>
    <t>SAN.PA</t>
  </si>
  <si>
    <t>Sanofi</t>
  </si>
  <si>
    <t>GSK.L</t>
  </si>
  <si>
    <t>GSK plc</t>
  </si>
  <si>
    <t>SOLV</t>
  </si>
  <si>
    <t>Solventum Corporation</t>
  </si>
  <si>
    <t>VRTX</t>
  </si>
  <si>
    <t>Vertex Pharmaceuticals Incorporated</t>
  </si>
  <si>
    <t>BIIB</t>
  </si>
  <si>
    <t>Biogen Inc.</t>
  </si>
  <si>
    <t>HCA</t>
  </si>
  <si>
    <t>HCA Healthcare, Inc.</t>
  </si>
  <si>
    <t>PHIA.AS</t>
  </si>
  <si>
    <t>Koninklijke Philips N.V.</t>
  </si>
  <si>
    <t>AZN.L</t>
  </si>
  <si>
    <t>AstraZeneca PLC</t>
  </si>
  <si>
    <t>ERF.PA</t>
  </si>
  <si>
    <t>Eurofins Scientific SE</t>
  </si>
  <si>
    <t>PFE</t>
  </si>
  <si>
    <t>Pfizer Inc.</t>
  </si>
  <si>
    <t>CAH</t>
  </si>
  <si>
    <t>Cardinal Health, Inc.</t>
  </si>
  <si>
    <t>RMD</t>
  </si>
  <si>
    <t>ResMed Inc.</t>
  </si>
  <si>
    <t>MDT</t>
  </si>
  <si>
    <t>Medtronic plc</t>
  </si>
  <si>
    <t>DGX</t>
  </si>
  <si>
    <t>Quest Diagnostics Incorporated</t>
  </si>
  <si>
    <t>IDXX</t>
  </si>
  <si>
    <t>IDEXX Laboratories, Inc.</t>
  </si>
  <si>
    <t>SN.L</t>
  </si>
  <si>
    <t>Smith &amp; Nephew plc</t>
  </si>
  <si>
    <t>VTRS</t>
  </si>
  <si>
    <t>Viatris Inc.</t>
  </si>
  <si>
    <t>IQV</t>
  </si>
  <si>
    <t>IQVIA Holdings Inc.</t>
  </si>
  <si>
    <t>MRK.DE</t>
  </si>
  <si>
    <t>Merck KGaA</t>
  </si>
  <si>
    <t>CI</t>
  </si>
  <si>
    <t>The Cigna Group</t>
  </si>
  <si>
    <t>DVA</t>
  </si>
  <si>
    <t>DaVita Inc.</t>
  </si>
  <si>
    <t>DXCM</t>
  </si>
  <si>
    <t>DexCom, Inc.</t>
  </si>
  <si>
    <t>GEHC</t>
  </si>
  <si>
    <t>GE HealthCare Technologies Inc.</t>
  </si>
  <si>
    <t>ZBH</t>
  </si>
  <si>
    <t>Zimmer Biomet Holdings, Inc.</t>
  </si>
  <si>
    <t>ZTS</t>
  </si>
  <si>
    <t>Zoetis Inc.</t>
  </si>
  <si>
    <t>HSIC</t>
  </si>
  <si>
    <t>Henry Schein, Inc.</t>
  </si>
  <si>
    <t>ISRG</t>
  </si>
  <si>
    <t>Intuitive Surgical, Inc.</t>
  </si>
  <si>
    <t>ABBV</t>
  </si>
  <si>
    <t>AbbVie Inc.</t>
  </si>
  <si>
    <t>BDX</t>
  </si>
  <si>
    <t>Becton, Dickinson and Company</t>
  </si>
  <si>
    <t>BSX</t>
  </si>
  <si>
    <t>Boston Scientific Corporation</t>
  </si>
  <si>
    <t>MRNA</t>
  </si>
  <si>
    <t>Moderna, Inc.</t>
  </si>
  <si>
    <t>MTD</t>
  </si>
  <si>
    <t>Mettler-Toledo International Inc.</t>
  </si>
  <si>
    <t>TMO</t>
  </si>
  <si>
    <t>Thermo Fisher Scientific Inc.</t>
  </si>
  <si>
    <t>LH</t>
  </si>
  <si>
    <t>Labcorp Holdings Inc.</t>
  </si>
  <si>
    <t>BAYN.DE</t>
  </si>
  <si>
    <t>Bayer Aktiengesellschaft</t>
  </si>
  <si>
    <t>MCK</t>
  </si>
  <si>
    <t>McKesson Corporation</t>
  </si>
  <si>
    <t>SYK</t>
  </si>
  <si>
    <t>Stryker Corporation</t>
  </si>
  <si>
    <t>WST</t>
  </si>
  <si>
    <t>West Pharmaceutical Services, Inc.</t>
  </si>
  <si>
    <t>A</t>
  </si>
  <si>
    <t>Agilent Technologies, Inc.</t>
  </si>
  <si>
    <t>PODD</t>
  </si>
  <si>
    <t>Insulet Corporation</t>
  </si>
  <si>
    <t>HOLX</t>
  </si>
  <si>
    <t>Hologic, Inc.</t>
  </si>
  <si>
    <t>ALGN</t>
  </si>
  <si>
    <t>Align Technology, Inc.</t>
  </si>
  <si>
    <t>CRL</t>
  </si>
  <si>
    <t>Charles River Laboratories International, Inc.</t>
  </si>
  <si>
    <t>SRT3.DE</t>
  </si>
  <si>
    <t>Sartorius Aktiengesellschaft</t>
  </si>
  <si>
    <t>ABT</t>
  </si>
  <si>
    <t>Abbott Laboratories</t>
  </si>
  <si>
    <t>COR</t>
  </si>
  <si>
    <t>Cencora, Inc.</t>
  </si>
  <si>
    <t>COO</t>
  </si>
  <si>
    <t>The Cooper Companies, Inc.</t>
  </si>
  <si>
    <t>FRE.DE</t>
  </si>
  <si>
    <t>Fresenius SE &amp; Co. KGaA</t>
  </si>
  <si>
    <t>EW</t>
  </si>
  <si>
    <t>Edwards Lifesciences Corporation</t>
  </si>
  <si>
    <t>ELV</t>
  </si>
  <si>
    <t>Elevance Health, Inc.</t>
  </si>
  <si>
    <t>WAT</t>
  </si>
  <si>
    <t>Waters Corporation</t>
  </si>
  <si>
    <t>UNH</t>
  </si>
  <si>
    <t>UnitedHealth Group Incorporated</t>
  </si>
  <si>
    <t>DHR</t>
  </si>
  <si>
    <t>Danaher Corporation</t>
  </si>
  <si>
    <t>TECH</t>
  </si>
  <si>
    <t>Bio-Techne Corporation</t>
  </si>
  <si>
    <t>EL.PA</t>
  </si>
  <si>
    <t>EssilorLuxottica Société anonyme</t>
  </si>
  <si>
    <t>HIK.L</t>
  </si>
  <si>
    <t>Hikma Pharmaceuticals PLC</t>
  </si>
  <si>
    <t>HLN.L</t>
  </si>
  <si>
    <t>Haleon plc</t>
  </si>
  <si>
    <t>HUM</t>
  </si>
  <si>
    <t>Humana Inc.</t>
  </si>
  <si>
    <t>RVTY</t>
  </si>
  <si>
    <t>Revvity, Inc.</t>
  </si>
  <si>
    <t>STE</t>
  </si>
  <si>
    <t>STERIS plc</t>
  </si>
  <si>
    <t>CVS</t>
  </si>
  <si>
    <t>CVS Health Corporation</t>
  </si>
  <si>
    <t>CNC</t>
  </si>
  <si>
    <t>Centene Corporation</t>
  </si>
  <si>
    <t>BAX</t>
  </si>
  <si>
    <t>Baxter International Inc.</t>
  </si>
  <si>
    <t>MOH</t>
  </si>
  <si>
    <t>Molina Healthcare, Inc.</t>
  </si>
  <si>
    <t>QIA.DE</t>
  </si>
  <si>
    <t>Qiagen N.V.</t>
  </si>
  <si>
    <t>SHL.DE</t>
  </si>
  <si>
    <t>Siemens Healthineers AG</t>
  </si>
  <si>
    <t>DATA HC — Données brutes Healthcare · 6 valeurs</t>
  </si>
  <si>
    <t>Source : FinSight IA · Univers Healthcare · Benchmark sectoriel · Données au 12.04.2026</t>
  </si>
  <si>
    <t>SIE.DE</t>
  </si>
  <si>
    <t>Siemens Aktiengesellschaft</t>
  </si>
  <si>
    <t>SAP.DE</t>
  </si>
  <si>
    <t>SAP SE</t>
  </si>
  <si>
    <t>IFX.DE</t>
  </si>
  <si>
    <t>Infineon Technologies 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</si>
</sst>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;\(0\);\—"/>
    <numFmt numFmtId="165" formatCode="0.0&quot;x&quot;;\(0.0&quot;x&quot;\);\—"/>
    <numFmt numFmtId="166" formatCode="0.0%;\(0.0%\);\—"/>
    <numFmt numFmtId="167" formatCode="0.0%"/>
    <numFmt numFmtId="168" formatCode="0.0&quot;x&quot;"/>
    <numFmt numFmtId="169" formatCode="0.0&quot;%&quot;"/>
    <numFmt numFmtId="170" formatCode="0.0"/>
  </numFmts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8"/>
      <color rgb="FFFFFFFF"/>
      <name val="Calibri"/>
      <family val="2"/>
      <scheme val="minor"/>
    </font>
    <font>
      <b/>
      <sz val="11"/>
      <color rgb="FF3271D2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132E57"/>
      <name val="Calibri"/>
      <family val="2"/>
      <scheme val="minor"/>
    </font>
    <font>
      <sz val="8"/>
      <color rgb="FF111827"/>
      <name val="Calibri"/>
      <family val="2"/>
      <scheme val="minor"/>
    </font>
    <font>
      <b/>
      <sz val="8"/>
      <color rgb="FF111827"/>
      <name val="Calibri"/>
      <family val="2"/>
      <scheme val="minor"/>
    </font>
    <font>
      <b/>
      <sz val="8"/>
      <color rgb="FF0D5C34"/>
      <name val="Calibri"/>
      <family val="2"/>
      <scheme val="minor"/>
    </font>
    <font>
      <sz val="8"/>
      <color rgb="FF8BA8C8"/>
      <name val="Calibri"/>
      <family val="2"/>
      <scheme val="minor"/>
    </font>
    <font>
      <sz val="8"/>
      <color rgb="FF999999"/>
      <name val="Calibri"/>
      <family val="2"/>
      <scheme val="minor"/>
    </font>
    <font>
      <i/>
      <sz val="8"/>
      <color rgb="FF555555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0C3F"/>
        <bgColor indexed="64"/>
      </patternFill>
    </fill>
    <fill>
      <patternFill patternType="solid">
        <fgColor rgb="FF2A5F9E"/>
        <bgColor indexed="64"/>
      </patternFill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F8FA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132E57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132E57"/>
      </top>
      <bottom style="thin">
        <color rgb="FFD1D5DB"/>
      </bottom>
      <diagonal/>
    </border>
    <border>
      <left style="thin">
        <color rgb="FFD1D5DB"/>
      </left>
      <right/>
      <top style="thin">
        <color rgb="FF132E57"/>
      </top>
      <bottom style="thin">
        <color rgb="FFD1D5D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3" borderId="0" xfId="0" applyFill="1"/>
    <xf numFmtId="0" fontId="4" fillId="3" borderId="0" xfId="0" applyFont="1" applyFill="1"/>
    <xf numFmtId="0" fontId="0" fillId="4" borderId="0" xfId="0" applyFill="1"/>
    <xf numFmtId="0" fontId="5" fillId="4" borderId="0" xfId="0" applyFont="1" applyFill="1"/>
    <xf numFmtId="0" fontId="9" fillId="6" borderId="1" xfId="0" applyFont="1" applyFill="1" applyBorder="1"/>
    <xf numFmtId="0" fontId="8" fillId="6" borderId="2" xfId="0" applyFont="1" applyFill="1" applyBorder="1"/>
    <xf numFmtId="49" fontId="8" fillId="6" borderId="2" xfId="0" applyNumberFormat="1" applyFont="1" applyFill="1" applyBorder="1"/>
    <xf numFmtId="0" fontId="10" fillId="6" borderId="2" xfId="0" applyFont="1" applyFill="1" applyBorder="1"/>
    <xf numFmtId="0" fontId="9" fillId="7" borderId="1" xfId="0" applyFont="1" applyFill="1" applyBorder="1"/>
    <xf numFmtId="0" fontId="8" fillId="7" borderId="2" xfId="0" applyFont="1" applyFill="1" applyBorder="1"/>
    <xf numFmtId="0" fontId="10" fillId="7" borderId="2" xfId="0" applyFont="1" applyFill="1" applyBorder="1"/>
    <xf numFmtId="0" fontId="7" fillId="5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9" fillId="6" borderId="2" xfId="0" applyFont="1" applyFill="1" applyBorder="1"/>
    <xf numFmtId="0" fontId="9" fillId="7" borderId="2" xfId="0" applyFont="1" applyFill="1" applyBorder="1"/>
    <xf numFmtId="0" fontId="7" fillId="6" borderId="1" xfId="0" applyFont="1" applyFill="1" applyBorder="1"/>
    <xf numFmtId="0" fontId="3" fillId="6" borderId="2" xfId="0" applyFont="1" applyFill="1" applyBorder="1"/>
    <xf numFmtId="0" fontId="7" fillId="7" borderId="1" xfId="0" applyFont="1" applyFill="1" applyBorder="1"/>
    <xf numFmtId="0" fontId="3" fillId="7" borderId="2" xfId="0" applyFont="1" applyFill="1" applyBorder="1"/>
    <xf numFmtId="0" fontId="11" fillId="2" borderId="0" xfId="0" applyFont="1" applyFill="1" applyAlignment="1">
      <alignment horizontal="right"/>
    </xf>
    <xf numFmtId="0" fontId="6" fillId="6" borderId="2" xfId="0" applyFont="1" applyFill="1" applyBorder="1"/>
    <xf numFmtId="0" fontId="12" fillId="6" borderId="2" xfId="0" applyFont="1" applyFill="1" applyBorder="1"/>
    <xf numFmtId="0" fontId="6" fillId="7" borderId="2" xfId="0" applyFont="1" applyFill="1" applyBorder="1"/>
    <xf numFmtId="0" fontId="12" fillId="7" borderId="2" xfId="0" applyFont="1" applyFill="1" applyBorder="1"/>
    <xf numFmtId="0" fontId="8" fillId="6" borderId="1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center"/>
    </xf>
    <xf numFmtId="164" fontId="10" fillId="6" borderId="2" xfId="0" applyNumberFormat="1" applyFont="1" applyFill="1" applyBorder="1" applyAlignment="1">
      <alignment horizontal="center"/>
    </xf>
    <xf numFmtId="165" fontId="8" fillId="6" borderId="2" xfId="0" applyNumberFormat="1" applyFont="1" applyFill="1" applyBorder="1" applyAlignment="1">
      <alignment horizontal="center"/>
    </xf>
    <xf numFmtId="166" fontId="8" fillId="6" borderId="2" xfId="0" applyNumberFormat="1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  <xf numFmtId="164" fontId="10" fillId="7" borderId="2" xfId="0" applyNumberFormat="1" applyFont="1" applyFill="1" applyBorder="1" applyAlignment="1">
      <alignment horizontal="center"/>
    </xf>
    <xf numFmtId="165" fontId="8" fillId="7" borderId="2" xfId="0" applyNumberFormat="1" applyFont="1" applyFill="1" applyBorder="1" applyAlignment="1">
      <alignment horizontal="center"/>
    </xf>
    <xf numFmtId="166" fontId="8" fillId="7" borderId="2" xfId="0" applyNumberFormat="1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1" fontId="8" fillId="6" borderId="2" xfId="0" applyNumberFormat="1" applyFont="1" applyFill="1" applyBorder="1"/>
    <xf numFmtId="1" fontId="8" fillId="7" borderId="2" xfId="0" applyNumberFormat="1" applyFont="1" applyFill="1" applyBorder="1"/>
    <xf numFmtId="167" fontId="8" fillId="6" borderId="2" xfId="0" applyNumberFormat="1" applyFont="1" applyFill="1" applyBorder="1"/>
    <xf numFmtId="168" fontId="8" fillId="7" borderId="2" xfId="0" applyNumberFormat="1" applyFont="1" applyFill="1" applyBorder="1"/>
    <xf numFmtId="168" fontId="8" fillId="6" borderId="2" xfId="0" applyNumberFormat="1" applyFont="1" applyFill="1" applyBorder="1"/>
    <xf numFmtId="167" fontId="8" fillId="7" borderId="2" xfId="0" applyNumberFormat="1" applyFont="1" applyFill="1" applyBorder="1"/>
    <xf numFmtId="49" fontId="8" fillId="7" borderId="2" xfId="0" applyNumberFormat="1" applyFont="1" applyFill="1" applyBorder="1"/>
    <xf numFmtId="1" fontId="8" fillId="6" borderId="3" xfId="0" applyNumberFormat="1" applyFont="1" applyFill="1" applyBorder="1"/>
    <xf numFmtId="167" fontId="8" fillId="7" borderId="3" xfId="0" applyNumberFormat="1" applyFont="1" applyFill="1" applyBorder="1"/>
    <xf numFmtId="168" fontId="8" fillId="6" borderId="3" xfId="0" applyNumberFormat="1" applyFont="1" applyFill="1" applyBorder="1"/>
    <xf numFmtId="168" fontId="8" fillId="7" borderId="3" xfId="0" applyNumberFormat="1" applyFont="1" applyFill="1" applyBorder="1"/>
    <xf numFmtId="167" fontId="8" fillId="6" borderId="3" xfId="0" applyNumberFormat="1" applyFont="1" applyFill="1" applyBorder="1"/>
    <xf numFmtId="1" fontId="10" fillId="6" borderId="2" xfId="0" applyNumberFormat="1" applyFont="1" applyFill="1" applyBorder="1"/>
    <xf numFmtId="1" fontId="10" fillId="7" borderId="2" xfId="0" applyNumberFormat="1" applyFont="1" applyFill="1" applyBorder="1"/>
    <xf numFmtId="167" fontId="3" fillId="6" borderId="2" xfId="0" applyNumberFormat="1" applyFont="1" applyFill="1" applyBorder="1"/>
    <xf numFmtId="167" fontId="3" fillId="6" borderId="3" xfId="0" applyNumberFormat="1" applyFont="1" applyFill="1" applyBorder="1"/>
    <xf numFmtId="167" fontId="3" fillId="7" borderId="2" xfId="0" applyNumberFormat="1" applyFont="1" applyFill="1" applyBorder="1"/>
    <xf numFmtId="167" fontId="3" fillId="7" borderId="3" xfId="0" applyNumberFormat="1" applyFont="1" applyFill="1" applyBorder="1"/>
    <xf numFmtId="169" fontId="8" fillId="7" borderId="2" xfId="0" applyNumberFormat="1" applyFont="1" applyFill="1" applyBorder="1"/>
    <xf numFmtId="169" fontId="8" fillId="6" borderId="2" xfId="0" applyNumberFormat="1" applyFont="1" applyFill="1" applyBorder="1"/>
    <xf numFmtId="170" fontId="3" fillId="6" borderId="2" xfId="0" applyNumberFormat="1" applyFont="1" applyFill="1" applyBorder="1"/>
    <xf numFmtId="170" fontId="3" fillId="6" borderId="3" xfId="0" applyNumberFormat="1" applyFont="1" applyFill="1" applyBorder="1"/>
    <xf numFmtId="169" fontId="3" fillId="7" borderId="2" xfId="0" applyNumberFormat="1" applyFont="1" applyFill="1" applyBorder="1"/>
    <xf numFmtId="169" fontId="3" fillId="7" borderId="3" xfId="0" applyNumberFormat="1" applyFont="1" applyFill="1" applyBorder="1"/>
    <xf numFmtId="168" fontId="3" fillId="6" borderId="2" xfId="0" applyNumberFormat="1" applyFont="1" applyFill="1" applyBorder="1"/>
    <xf numFmtId="168" fontId="3" fillId="6" borderId="3" xfId="0" applyNumberFormat="1" applyFont="1" applyFill="1" applyBorder="1"/>
    <xf numFmtId="168" fontId="3" fillId="7" borderId="2" xfId="0" applyNumberFormat="1" applyFont="1" applyFill="1" applyBorder="1"/>
    <xf numFmtId="168" fontId="3" fillId="7" borderId="3" xfId="0" applyNumberFormat="1" applyFont="1" applyFill="1" applyBorder="1"/>
    <xf numFmtId="169" fontId="3" fillId="6" borderId="2" xfId="0" applyNumberFormat="1" applyFont="1" applyFill="1" applyBorder="1"/>
    <xf numFmtId="169" fontId="3" fillId="6" borderId="3" xfId="0" applyNumberFormat="1" applyFont="1" applyFill="1" applyBorder="1"/>
    <xf numFmtId="168" fontId="8" fillId="6" borderId="2" xfId="0" applyNumberFormat="1" applyFont="1" applyFill="1" applyBorder="1" applyAlignment="1">
      <alignment horizontal="center"/>
    </xf>
    <xf numFmtId="168" fontId="8" fillId="7" borderId="2" xfId="0" applyNumberFormat="1" applyFont="1" applyFill="1" applyBorder="1" applyAlignment="1">
      <alignment horizontal="center"/>
    </xf>
    <xf numFmtId="169" fontId="8" fillId="6" borderId="2" xfId="0" applyNumberFormat="1" applyFont="1" applyFill="1" applyBorder="1" applyAlignment="1">
      <alignment horizontal="center"/>
    </xf>
    <xf numFmtId="169" fontId="8" fillId="7" borderId="2" xfId="0" applyNumberFormat="1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164" fontId="1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Médianes sectorielles — Technologie vs Healthcare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AGRÉGATS!$B$6:$B$11</c:f>
              <c:strCache>
                <c:ptCount val="6"/>
                <c:pt idx="0">
                  <c:v>Score FinSight</c:v>
                </c:pt>
                <c:pt idx="1">
                  <c:v>Marge EBITDA</c:v>
                </c:pt>
                <c:pt idx="2">
                  <c:v>P/E</c:v>
                </c:pt>
                <c:pt idx="3">
                  <c:v>EV/EBITDA</c:v>
                </c:pt>
                <c:pt idx="4">
                  <c:v>ROE</c:v>
                </c:pt>
                <c:pt idx="5">
                  <c:v>Croiss. Revenus</c:v>
                </c:pt>
              </c:strCache>
            </c:strRef>
          </c:cat>
          <c:val>
            <c:numRef>
              <c:f>AGRÉGATS!$D$6:$D$11</c:f>
              <c:numCache>
                <c:formatCode>0.0"%"</c:formatCode>
                <c:ptCount val="6"/>
                <c:pt idx="0" formatCode="0">
                  <c:v>48</c:v>
                </c:pt>
                <c:pt idx="1">
                  <c:v>25.85</c:v>
                </c:pt>
                <c:pt idx="2" formatCode="0.0&quot;x&quot;">
                  <c:v>26.8</c:v>
                </c:pt>
                <c:pt idx="3" formatCode="0.0&quot;x&quot;">
                  <c:v>15.2</c:v>
                </c:pt>
                <c:pt idx="4">
                  <c:v>11.6</c:v>
                </c:pt>
                <c:pt idx="5">
                  <c:v>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07-4AAB-B60F-D45B08F08E9D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AGRÉGATS!$B$6:$B$11</c:f>
              <c:strCache>
                <c:ptCount val="6"/>
                <c:pt idx="0">
                  <c:v>Score FinSight</c:v>
                </c:pt>
                <c:pt idx="1">
                  <c:v>Marge EBITDA</c:v>
                </c:pt>
                <c:pt idx="2">
                  <c:v>P/E</c:v>
                </c:pt>
                <c:pt idx="3">
                  <c:v>EV/EBITDA</c:v>
                </c:pt>
                <c:pt idx="4">
                  <c:v>ROE</c:v>
                </c:pt>
                <c:pt idx="5">
                  <c:v>Croiss. Revenus</c:v>
                </c:pt>
              </c:strCache>
            </c:strRef>
          </c:cat>
          <c:val>
            <c:numRef>
              <c:f>AGRÉGATS!$D$15:$D$20</c:f>
              <c:numCache>
                <c:formatCode>0.0"%"</c:formatCode>
                <c:ptCount val="6"/>
                <c:pt idx="0" formatCode="0">
                  <c:v>60</c:v>
                </c:pt>
                <c:pt idx="1">
                  <c:v>27.3</c:v>
                </c:pt>
                <c:pt idx="2" formatCode="0.0&quot;x&quot;">
                  <c:v>23.69</c:v>
                </c:pt>
                <c:pt idx="3" formatCode="0.0&quot;x&quot;">
                  <c:v>15.57</c:v>
                </c:pt>
                <c:pt idx="4">
                  <c:v>12.8</c:v>
                </c:pt>
                <c:pt idx="5">
                  <c:v>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07-4AAB-B60F-D45B08F08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74485168"/>
        <c:axId val="1874485648"/>
      </c:barChart>
      <c:catAx>
        <c:axId val="1874485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74485648"/>
        <c:crosses val="autoZero"/>
        <c:auto val="1"/>
        <c:lblAlgn val="ctr"/>
        <c:lblOffset val="100"/>
        <c:noMultiLvlLbl val="0"/>
      </c:catAx>
      <c:valAx>
        <c:axId val="187448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74485168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Profil multidimensionnel normalisé (0–100)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AGRÉGATS!$B$6:$B$11</c:f>
              <c:strCache>
                <c:ptCount val="6"/>
                <c:pt idx="0">
                  <c:v>Score FinSight</c:v>
                </c:pt>
                <c:pt idx="1">
                  <c:v>Marge EBITDA</c:v>
                </c:pt>
                <c:pt idx="2">
                  <c:v>P/E</c:v>
                </c:pt>
                <c:pt idx="3">
                  <c:v>EV/EBITDA</c:v>
                </c:pt>
                <c:pt idx="4">
                  <c:v>ROE</c:v>
                </c:pt>
                <c:pt idx="5">
                  <c:v>Croiss. Revenus</c:v>
                </c:pt>
              </c:strCache>
            </c:strRef>
          </c:cat>
          <c:val>
            <c:numRef>
              <c:f>AGRÉGATS!$D$6:$D$11</c:f>
              <c:numCache>
                <c:formatCode>0.0"%"</c:formatCode>
                <c:ptCount val="6"/>
                <c:pt idx="0" formatCode="0">
                  <c:v>48</c:v>
                </c:pt>
                <c:pt idx="1">
                  <c:v>25.85</c:v>
                </c:pt>
                <c:pt idx="2" formatCode="0.0&quot;x&quot;">
                  <c:v>26.8</c:v>
                </c:pt>
                <c:pt idx="3" formatCode="0.0&quot;x&quot;">
                  <c:v>15.2</c:v>
                </c:pt>
                <c:pt idx="4">
                  <c:v>11.6</c:v>
                </c:pt>
                <c:pt idx="5">
                  <c:v>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01-4CCB-AE25-D0FD9B5F505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AGRÉGATS!$B$6:$B$11</c:f>
              <c:strCache>
                <c:ptCount val="6"/>
                <c:pt idx="0">
                  <c:v>Score FinSight</c:v>
                </c:pt>
                <c:pt idx="1">
                  <c:v>Marge EBITDA</c:v>
                </c:pt>
                <c:pt idx="2">
                  <c:v>P/E</c:v>
                </c:pt>
                <c:pt idx="3">
                  <c:v>EV/EBITDA</c:v>
                </c:pt>
                <c:pt idx="4">
                  <c:v>ROE</c:v>
                </c:pt>
                <c:pt idx="5">
                  <c:v>Croiss. Revenus</c:v>
                </c:pt>
              </c:strCache>
            </c:strRef>
          </c:cat>
          <c:val>
            <c:numRef>
              <c:f>AGRÉGATS!$D$15:$D$20</c:f>
              <c:numCache>
                <c:formatCode>0.0"%"</c:formatCode>
                <c:ptCount val="6"/>
                <c:pt idx="0" formatCode="0">
                  <c:v>60</c:v>
                </c:pt>
                <c:pt idx="1">
                  <c:v>27.3</c:v>
                </c:pt>
                <c:pt idx="2" formatCode="0.0&quot;x&quot;">
                  <c:v>23.69</c:v>
                </c:pt>
                <c:pt idx="3" formatCode="0.0&quot;x&quot;">
                  <c:v>15.57</c:v>
                </c:pt>
                <c:pt idx="4">
                  <c:v>12.8</c:v>
                </c:pt>
                <c:pt idx="5">
                  <c:v>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01-4CCB-AE25-D0FD9B5F50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4496688"/>
        <c:axId val="1874496208"/>
      </c:radarChart>
      <c:catAx>
        <c:axId val="1874496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74496208"/>
        <c:crosses val="autoZero"/>
        <c:auto val="1"/>
        <c:lblAlgn val="ctr"/>
        <c:lblOffset val="100"/>
        <c:noMultiLvlLbl val="0"/>
      </c:catAx>
      <c:valAx>
        <c:axId val="187449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74496688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115571</xdr:colOff>
      <xdr:row>1</xdr:row>
      <xdr:rowOff>171450</xdr:rowOff>
    </xdr:from>
    <xdr:to>
      <xdr:col>18</xdr:col>
      <xdr:colOff>43816</xdr:colOff>
      <xdr:row>16</xdr:row>
      <xdr:rowOff>75565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134620</xdr:colOff>
      <xdr:row>30</xdr:row>
      <xdr:rowOff>168910</xdr:rowOff>
    </xdr:from>
    <xdr:to>
      <xdr:col>5</xdr:col>
      <xdr:colOff>378460</xdr:colOff>
      <xdr:row>50</xdr:row>
      <xdr:rowOff>105410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44C8A98-5EE2-43EB-8DD2-172CEB44A94D}">
  <we:reference id="wa200009404" version="1.0.0.8" store="fr-FR" storeType="OMEX"/>
  <we:alternateReferences>
    <we:reference id="wa200009404" version="1.0.0.8" store="" storeType="OMEX"/>
  </we:alternateReferences>
  <we:properties>
    <we:property name="claude.fileId" value="&quot;bf15c182-f6cc-4c55-a2b8-d574362551a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showGridLines="0" tabSelected="1" topLeftCell="A3" workbookViewId="0">
      <selection activeCell="J25" sqref="J25"/>
    </sheetView>
  </sheetViews>
  <sheetFormatPr baseColWidth="10" defaultColWidth="8.88671875" defaultRowHeight="14.4" x14ac:dyDescent="0.3"/>
  <cols>
    <col min="1" max="1" width="9.21875" bestFit="1" customWidth="1"/>
    <col min="2" max="2" width="26.5546875" bestFit="1" customWidth="1"/>
    <col min="3" max="4" width="12.77734375" bestFit="1" customWidth="1"/>
    <col min="5" max="5" width="8.77734375" bestFit="1" customWidth="1"/>
    <col min="6" max="6" width="14.6640625" bestFit="1" customWidth="1"/>
    <col min="7" max="7" width="9" bestFit="1" customWidth="1"/>
    <col min="8" max="8" width="5.33203125" bestFit="1" customWidth="1"/>
    <col min="9" max="9" width="7.33203125" bestFit="1" customWidth="1"/>
  </cols>
  <sheetData>
    <row r="1" spans="1:9" ht="25.95" customHeight="1" x14ac:dyDescent="0.35">
      <c r="A1" s="2" t="s">
        <v>0</v>
      </c>
      <c r="B1" s="1"/>
      <c r="C1" s="3" t="s">
        <v>1</v>
      </c>
      <c r="D1" s="1"/>
      <c r="E1" s="1"/>
      <c r="F1" s="1"/>
      <c r="G1" s="1"/>
      <c r="H1" s="1"/>
      <c r="I1" s="1"/>
    </row>
    <row r="2" spans="1:9" ht="16.05" customHeight="1" x14ac:dyDescent="0.3">
      <c r="A2" s="5" t="str">
        <f>"Données : "&amp;COUNTA(DATA_TECH!A4:A91)&amp;" valeurs Technologie  ·  "&amp;COUNTA(DATA_HC!A4:A9)&amp;" valeurs Healthcare  ·  Médiane sectorielle  ·  Toutes formules dynamiques"</f>
        <v>Données : 75 valeurs Technologie  ·  3 valeurs Healthcare  ·  Médiane sectorielle  ·  Toutes formules dynamiques</v>
      </c>
      <c r="B2" s="4"/>
      <c r="C2" s="4"/>
      <c r="D2" s="4"/>
      <c r="E2" s="4"/>
      <c r="F2" s="4"/>
      <c r="G2" s="4"/>
      <c r="H2" s="4"/>
      <c r="I2" s="4"/>
    </row>
    <row r="4" spans="1:9" ht="19.95" customHeight="1" x14ac:dyDescent="0.3">
      <c r="A4" s="7" t="s">
        <v>2</v>
      </c>
      <c r="B4" s="6"/>
      <c r="C4" s="6"/>
      <c r="D4" s="6"/>
      <c r="E4" s="6"/>
      <c r="F4" s="6"/>
      <c r="G4" s="6"/>
      <c r="H4" s="6"/>
      <c r="I4" s="6"/>
    </row>
    <row r="5" spans="1:9" ht="18" customHeight="1" x14ac:dyDescent="0.3">
      <c r="A5" s="16" t="s">
        <v>3</v>
      </c>
      <c r="B5" s="16" t="s">
        <v>4</v>
      </c>
      <c r="C5" s="16" t="s">
        <v>5</v>
      </c>
      <c r="D5" s="16" t="s">
        <v>6</v>
      </c>
      <c r="E5" s="16" t="s">
        <v>7</v>
      </c>
      <c r="F5" s="16" t="s">
        <v>8</v>
      </c>
      <c r="G5" s="16" t="s">
        <v>9</v>
      </c>
    </row>
    <row r="6" spans="1:9" ht="16.95" customHeight="1" x14ac:dyDescent="0.3">
      <c r="A6" s="18" t="s">
        <v>10</v>
      </c>
      <c r="B6" s="9" t="s">
        <v>11</v>
      </c>
      <c r="C6" s="41">
        <f>COUNTA(DATA_TECH!A4:A91)</f>
        <v>75</v>
      </c>
      <c r="D6" s="41">
        <f>COUNTA(DATA_HC!A4:A9)</f>
        <v>3</v>
      </c>
      <c r="E6" s="41">
        <f t="shared" ref="E6:E12" si="0">C6-D6</f>
        <v>72</v>
      </c>
      <c r="F6" s="10" t="str">
        <f>""</f>
        <v/>
      </c>
      <c r="G6" s="11" t="str">
        <f>IF(C6&gt;D6,"Tech","HC")</f>
        <v>Tech</v>
      </c>
    </row>
    <row r="7" spans="1:9" ht="16.95" customHeight="1" x14ac:dyDescent="0.3">
      <c r="A7" s="19" t="s">
        <v>12</v>
      </c>
      <c r="B7" s="13" t="s">
        <v>13</v>
      </c>
      <c r="C7" s="42">
        <f>AGRÉGATS!D6</f>
        <v>48</v>
      </c>
      <c r="D7" s="42">
        <f>AGRÉGATS!D15</f>
        <v>60</v>
      </c>
      <c r="E7" s="42">
        <f t="shared" si="0"/>
        <v>-12</v>
      </c>
      <c r="F7" s="47" t="str">
        <f t="shared" ref="F7:F12" si="1">IFERROR(TEXT((C7-D7)/D7*100,"0.0")&amp;"%","—")</f>
        <v>-2.0%</v>
      </c>
      <c r="G7" s="14" t="str">
        <f>IF(C7&gt;D7,"✓ Tech","✓ HC")</f>
        <v>✓ HC</v>
      </c>
    </row>
    <row r="8" spans="1:9" ht="16.95" customHeight="1" x14ac:dyDescent="0.3">
      <c r="A8" s="18" t="s">
        <v>14</v>
      </c>
      <c r="B8" s="9" t="s">
        <v>15</v>
      </c>
      <c r="C8" s="43">
        <f>AGRÉGATS!D7/100</f>
        <v>0.25850000000000001</v>
      </c>
      <c r="D8" s="43">
        <f>AGRÉGATS!D16/100</f>
        <v>0.27300000000000002</v>
      </c>
      <c r="E8" s="43">
        <f t="shared" si="0"/>
        <v>-1.4500000000000013E-2</v>
      </c>
      <c r="F8" s="10" t="str">
        <f t="shared" si="1"/>
        <v>-0.5%</v>
      </c>
      <c r="G8" s="11" t="str">
        <f>IF(C8&gt;D8,"✓ Tech","✓ HC")</f>
        <v>✓ HC</v>
      </c>
    </row>
    <row r="9" spans="1:9" ht="16.95" customHeight="1" x14ac:dyDescent="0.3">
      <c r="A9" s="19" t="s">
        <v>16</v>
      </c>
      <c r="B9" s="13" t="s">
        <v>17</v>
      </c>
      <c r="C9" s="44">
        <f>AGRÉGATS!D8</f>
        <v>26.8</v>
      </c>
      <c r="D9" s="44">
        <f>AGRÉGATS!D17</f>
        <v>23.69</v>
      </c>
      <c r="E9" s="44">
        <f t="shared" si="0"/>
        <v>3.1099999999999994</v>
      </c>
      <c r="F9" s="47" t="str">
        <f t="shared" si="1"/>
        <v>1.3%</v>
      </c>
      <c r="G9" s="14" t="str">
        <f>IF(C9&gt;D9,"Prime Tech","Prime HC")</f>
        <v>Prime Tech</v>
      </c>
    </row>
    <row r="10" spans="1:9" ht="16.95" customHeight="1" x14ac:dyDescent="0.3">
      <c r="A10" s="18" t="s">
        <v>18</v>
      </c>
      <c r="B10" s="9" t="s">
        <v>19</v>
      </c>
      <c r="C10" s="45">
        <f>AGRÉGATS!D9</f>
        <v>15.2</v>
      </c>
      <c r="D10" s="45">
        <f>AGRÉGATS!D18</f>
        <v>15.57</v>
      </c>
      <c r="E10" s="45">
        <f t="shared" si="0"/>
        <v>-0.37000000000000099</v>
      </c>
      <c r="F10" s="10" t="str">
        <f t="shared" si="1"/>
        <v>-0.2%</v>
      </c>
      <c r="G10" s="11" t="str">
        <f>IF(C10&gt;D10,"Prime Tech","Prime HC")</f>
        <v>Prime HC</v>
      </c>
    </row>
    <row r="11" spans="1:9" ht="16.95" customHeight="1" x14ac:dyDescent="0.3">
      <c r="A11" s="19" t="s">
        <v>20</v>
      </c>
      <c r="B11" s="13" t="s">
        <v>21</v>
      </c>
      <c r="C11" s="46">
        <f>AGRÉGATS!D10/100</f>
        <v>0.11599999999999999</v>
      </c>
      <c r="D11" s="46">
        <f>AGRÉGATS!D19/100</f>
        <v>0.128</v>
      </c>
      <c r="E11" s="46">
        <f t="shared" si="0"/>
        <v>-1.2000000000000011E-2</v>
      </c>
      <c r="F11" s="47" t="str">
        <f t="shared" si="1"/>
        <v>-0.9%</v>
      </c>
      <c r="G11" s="14" t="str">
        <f>IF(C11&gt;D11,"✓ Tech","✓ HC")</f>
        <v>✓ HC</v>
      </c>
    </row>
    <row r="12" spans="1:9" ht="16.95" customHeight="1" x14ac:dyDescent="0.3">
      <c r="A12" s="18" t="s">
        <v>22</v>
      </c>
      <c r="B12" s="9" t="s">
        <v>23</v>
      </c>
      <c r="C12" s="43">
        <f>AGRÉGATS!D11/100</f>
        <v>7.0999999999999994E-2</v>
      </c>
      <c r="D12" s="43">
        <f>AGRÉGATS!D20/100</f>
        <v>4.2999999999999997E-2</v>
      </c>
      <c r="E12" s="43">
        <f t="shared" si="0"/>
        <v>2.7999999999999997E-2</v>
      </c>
      <c r="F12" s="10" t="str">
        <f t="shared" si="1"/>
        <v>6.5%</v>
      </c>
      <c r="G12" s="11" t="str">
        <f>IF(C12&gt;D12,"✓ Tech","✓ HC")</f>
        <v>✓ Tech</v>
      </c>
    </row>
    <row r="14" spans="1:9" ht="19.95" customHeight="1" x14ac:dyDescent="0.3">
      <c r="A14" s="7" t="s">
        <v>24</v>
      </c>
      <c r="B14" s="6"/>
      <c r="C14" s="6"/>
      <c r="D14" s="6"/>
      <c r="E14" s="6"/>
      <c r="F14" s="6"/>
      <c r="G14" s="6"/>
      <c r="H14" s="6"/>
      <c r="I14" s="6"/>
    </row>
    <row r="15" spans="1:9" ht="18" customHeight="1" x14ac:dyDescent="0.3">
      <c r="A15" s="15" t="s">
        <v>3</v>
      </c>
      <c r="B15" s="16" t="s">
        <v>25</v>
      </c>
      <c r="C15" s="16" t="s">
        <v>26</v>
      </c>
      <c r="D15" s="16" t="s">
        <v>27</v>
      </c>
      <c r="E15" s="16" t="s">
        <v>28</v>
      </c>
      <c r="F15" s="16" t="s">
        <v>29</v>
      </c>
      <c r="G15" s="16" t="s">
        <v>30</v>
      </c>
      <c r="H15" s="16" t="s">
        <v>31</v>
      </c>
      <c r="I15" s="17" t="s">
        <v>32</v>
      </c>
    </row>
    <row r="16" spans="1:9" ht="16.95" customHeight="1" x14ac:dyDescent="0.3">
      <c r="A16" s="8" t="s">
        <v>33</v>
      </c>
      <c r="B16" s="41">
        <f>AGRÉGATS!D6</f>
        <v>48</v>
      </c>
      <c r="C16" s="41">
        <f>AGRÉGATS!E6</f>
        <v>49.44</v>
      </c>
      <c r="D16" s="41">
        <f>AGRÉGATS!F6</f>
        <v>16</v>
      </c>
      <c r="E16" s="41">
        <f>AGRÉGATS!G6</f>
        <v>94</v>
      </c>
      <c r="F16" s="41">
        <f>AGRÉGATS!D15</f>
        <v>60</v>
      </c>
      <c r="G16" s="41">
        <f>AGRÉGATS!F15</f>
        <v>56</v>
      </c>
      <c r="H16" s="41">
        <f>AGRÉGATS!G15</f>
        <v>63</v>
      </c>
      <c r="I16" s="48">
        <f t="shared" ref="I16:I21" si="2">B16-F16</f>
        <v>-12</v>
      </c>
    </row>
    <row r="17" spans="1:9" ht="16.95" customHeight="1" x14ac:dyDescent="0.3">
      <c r="A17" s="12" t="s">
        <v>34</v>
      </c>
      <c r="B17" s="46">
        <f>AGRÉGATS!D7/100</f>
        <v>0.25850000000000001</v>
      </c>
      <c r="C17" s="46">
        <f>AGRÉGATS!E7/100</f>
        <v>0.28516666666666679</v>
      </c>
      <c r="D17" s="46">
        <f>AGRÉGATS!F7/100</f>
        <v>-2.7999999999999997E-2</v>
      </c>
      <c r="E17" s="46">
        <f>AGRÉGATS!G7/100</f>
        <v>1.5</v>
      </c>
      <c r="F17" s="46">
        <f>AGRÉGATS!D16/100</f>
        <v>0.27300000000000002</v>
      </c>
      <c r="G17" s="46">
        <f>AGRÉGATS!F16/100</f>
        <v>0.15</v>
      </c>
      <c r="H17" s="46">
        <f>AGRÉGATS!G16/100</f>
        <v>0.30499999999999999</v>
      </c>
      <c r="I17" s="49">
        <f t="shared" si="2"/>
        <v>-1.4500000000000013E-2</v>
      </c>
    </row>
    <row r="18" spans="1:9" ht="16.95" customHeight="1" x14ac:dyDescent="0.3">
      <c r="A18" s="8" t="s">
        <v>35</v>
      </c>
      <c r="B18" s="45">
        <f>AGRÉGATS!D8</f>
        <v>26.8</v>
      </c>
      <c r="C18" s="45">
        <f>AGRÉGATS!E8</f>
        <v>44.263492063492066</v>
      </c>
      <c r="D18" s="45">
        <f>AGRÉGATS!F8</f>
        <v>7.5</v>
      </c>
      <c r="E18" s="45">
        <f>AGRÉGATS!G8</f>
        <v>804.2</v>
      </c>
      <c r="F18" s="45">
        <f>AGRÉGATS!D17</f>
        <v>23.69</v>
      </c>
      <c r="G18" s="45">
        <f>AGRÉGATS!F17</f>
        <v>23.49</v>
      </c>
      <c r="H18" s="45">
        <f>AGRÉGATS!G17</f>
        <v>55.95</v>
      </c>
      <c r="I18" s="50">
        <f t="shared" si="2"/>
        <v>3.1099999999999994</v>
      </c>
    </row>
    <row r="19" spans="1:9" ht="16.95" customHeight="1" x14ac:dyDescent="0.3">
      <c r="A19" s="12" t="s">
        <v>36</v>
      </c>
      <c r="B19" s="44">
        <f>AGRÉGATS!D9</f>
        <v>15.2</v>
      </c>
      <c r="C19" s="44">
        <f>AGRÉGATS!E9</f>
        <v>45.132352941176464</v>
      </c>
      <c r="D19" s="44">
        <f>AGRÉGATS!F9</f>
        <v>5.7</v>
      </c>
      <c r="E19" s="44">
        <f>AGRÉGATS!G9</f>
        <v>844.5</v>
      </c>
      <c r="F19" s="44">
        <f>AGRÉGATS!D18</f>
        <v>15.57</v>
      </c>
      <c r="G19" s="44">
        <f>AGRÉGATS!F18</f>
        <v>14.77</v>
      </c>
      <c r="H19" s="44">
        <f>AGRÉGATS!G18</f>
        <v>19.420000000000002</v>
      </c>
      <c r="I19" s="51">
        <f t="shared" si="2"/>
        <v>-0.37000000000000099</v>
      </c>
    </row>
    <row r="20" spans="1:9" ht="16.95" customHeight="1" x14ac:dyDescent="0.3">
      <c r="A20" s="8" t="s">
        <v>37</v>
      </c>
      <c r="B20" s="43">
        <f>AGRÉGATS!D10/100</f>
        <v>0.11599999999999999</v>
      </c>
      <c r="C20" s="43">
        <f>AGRÉGATS!E10/100</f>
        <v>-0.42767123287671233</v>
      </c>
      <c r="D20" s="43">
        <f>AGRÉGATS!F10/100</f>
        <v>-36.774000000000001</v>
      </c>
      <c r="E20" s="43">
        <f>AGRÉGATS!G10/100</f>
        <v>1.0309999999999999</v>
      </c>
      <c r="F20" s="43">
        <f>AGRÉGATS!D19/100</f>
        <v>0.128</v>
      </c>
      <c r="G20" s="43">
        <f>AGRÉGATS!F19/100</f>
        <v>5.7000000000000002E-2</v>
      </c>
      <c r="H20" s="43">
        <f>AGRÉGATS!G19/100</f>
        <v>0.161</v>
      </c>
      <c r="I20" s="52">
        <f t="shared" si="2"/>
        <v>-1.2000000000000011E-2</v>
      </c>
    </row>
    <row r="21" spans="1:9" ht="16.95" customHeight="1" x14ac:dyDescent="0.3">
      <c r="A21" s="12" t="s">
        <v>38</v>
      </c>
      <c r="B21" s="46">
        <f>AGRÉGATS!D11/100</f>
        <v>7.0999999999999994E-2</v>
      </c>
      <c r="C21" s="46">
        <f>AGRÉGATS!E11/100</f>
        <v>5.6780821917808227E-2</v>
      </c>
      <c r="D21" s="46">
        <f>AGRÉGATS!F11/100</f>
        <v>-1.9</v>
      </c>
      <c r="E21" s="46">
        <f>AGRÉGATS!G11/100</f>
        <v>1.7</v>
      </c>
      <c r="F21" s="46">
        <f>AGRÉGATS!D20/100</f>
        <v>4.2999999999999997E-2</v>
      </c>
      <c r="G21" s="46">
        <f>AGRÉGATS!F20/100</f>
        <v>3.3000000000000002E-2</v>
      </c>
      <c r="H21" s="46">
        <f>AGRÉGATS!G20/100</f>
        <v>7.0000000000000007E-2</v>
      </c>
      <c r="I21" s="49">
        <f t="shared" si="2"/>
        <v>2.7999999999999997E-2</v>
      </c>
    </row>
    <row r="23" spans="1:9" ht="19.95" customHeight="1" x14ac:dyDescent="0.3">
      <c r="A23" s="7" t="s">
        <v>39</v>
      </c>
      <c r="B23" s="6"/>
      <c r="C23" s="6"/>
      <c r="D23" s="6"/>
      <c r="E23" s="6"/>
      <c r="F23" s="6"/>
      <c r="G23" s="6"/>
      <c r="H23" s="6"/>
      <c r="I23" s="6"/>
    </row>
    <row r="24" spans="1:9" ht="18" customHeight="1" x14ac:dyDescent="0.3">
      <c r="A24" s="15" t="s">
        <v>40</v>
      </c>
      <c r="B24" s="16" t="s">
        <v>41</v>
      </c>
      <c r="C24" s="16" t="s">
        <v>42</v>
      </c>
      <c r="D24" s="16" t="s">
        <v>43</v>
      </c>
      <c r="E24" s="16" t="s">
        <v>44</v>
      </c>
      <c r="F24" s="16" t="s">
        <v>37</v>
      </c>
      <c r="G24" s="17" t="s">
        <v>45</v>
      </c>
    </row>
    <row r="25" spans="1:9" ht="16.95" customHeight="1" x14ac:dyDescent="0.3">
      <c r="A25" s="20" t="s">
        <v>46</v>
      </c>
      <c r="B25" s="21" t="str">
        <f>TOP_TECH!B5</f>
        <v>INCY</v>
      </c>
      <c r="C25" s="21" t="str">
        <f>TOP_TECH!C5</f>
        <v>Incyte Corporation</v>
      </c>
      <c r="D25" s="53">
        <f>TOP_TECH!D5</f>
        <v>94</v>
      </c>
      <c r="E25" s="55">
        <f>TOP_TECH!G5/100</f>
        <v>0.34200000000000003</v>
      </c>
      <c r="F25" s="55">
        <f>TOP_TECH!H5/100</f>
        <v>0.249</v>
      </c>
      <c r="G25" s="56">
        <f>TOP_TECH!I5/100</f>
        <v>0.21199999999999999</v>
      </c>
    </row>
    <row r="26" spans="1:9" ht="16.95" customHeight="1" x14ac:dyDescent="0.3">
      <c r="A26" s="22" t="s">
        <v>47</v>
      </c>
      <c r="B26" s="23" t="str">
        <f>TOP_HC!B5</f>
        <v>SIE.DE</v>
      </c>
      <c r="C26" s="23" t="str">
        <f>TOP_HC!C5</f>
        <v>Siemens Aktiengesellschaft</v>
      </c>
      <c r="D26" s="54">
        <f>TOP_HC!D5</f>
        <v>63</v>
      </c>
      <c r="E26" s="57">
        <f>TOP_HC!G5/100</f>
        <v>0.15</v>
      </c>
      <c r="F26" s="57">
        <f>TOP_HC!H5/100</f>
        <v>0.128</v>
      </c>
      <c r="G26" s="58">
        <f>TOP_HC!I5/100</f>
        <v>4.2999999999999997E-2</v>
      </c>
    </row>
    <row r="28" spans="1:9" ht="19.95" customHeight="1" x14ac:dyDescent="0.3">
      <c r="A28" s="7" t="s">
        <v>48</v>
      </c>
      <c r="B28" s="6"/>
      <c r="C28" s="6"/>
      <c r="D28" s="6"/>
      <c r="E28" s="6"/>
      <c r="F28" s="6"/>
      <c r="G28" s="6"/>
      <c r="H28" s="6"/>
      <c r="I28" s="6"/>
    </row>
    <row r="29" spans="1:9" ht="15" customHeight="1" x14ac:dyDescent="0.3">
      <c r="A29" s="75" t="s">
        <v>49</v>
      </c>
    </row>
    <row r="30" spans="1:9" ht="18" customHeight="1" x14ac:dyDescent="0.3">
      <c r="A30" s="15" t="s">
        <v>3</v>
      </c>
      <c r="B30" s="16" t="s">
        <v>50</v>
      </c>
      <c r="C30" s="16" t="s">
        <v>51</v>
      </c>
      <c r="D30" s="16" t="s">
        <v>52</v>
      </c>
      <c r="E30" s="16" t="s">
        <v>53</v>
      </c>
      <c r="F30" s="16" t="s">
        <v>54</v>
      </c>
    </row>
    <row r="31" spans="1:9" ht="16.95" customHeight="1" x14ac:dyDescent="0.3">
      <c r="A31" s="20" t="s">
        <v>55</v>
      </c>
      <c r="B31" s="69">
        <f t="array" ref="B31">IFERROR(SUMPRODUCT((DATA_TECH!$C$4:$C$91)*(DATA_TECH!F4:F91)*(ISNUMBER(DATA_TECH!F4:F91)))/SUMPRODUCT((DATA_TECH!$C$4:$C$91)*(ISNUMBER(DATA_TECH!F4:F91))),"")</f>
        <v>30.350799779371211</v>
      </c>
      <c r="C31" s="65">
        <f t="array" ref="C31">IFERROR(SUMPRODUCT((DATA_TECH!$C$4:$C$91)*(DATA_TECH!D4:D91)*(ISNUMBER(DATA_TECH!D4:D91)))/SUMPRODUCT((DATA_TECH!$C$4:$C$91)*(ISNUMBER(DATA_TECH!D4:D91))),"")</f>
        <v>37.40565217391304</v>
      </c>
      <c r="D31" s="65">
        <f t="array" ref="D31">IFERROR(SUMPRODUCT((DATA_TECH!$C$4:$C$91)*(DATA_TECH!E4:E91)*(ISNUMBER(DATA_TECH!E4:E91)))/SUMPRODUCT((DATA_TECH!$C$4:$C$91)*(ISNUMBER(DATA_TECH!E4:E91))),"")</f>
        <v>46.390730011587479</v>
      </c>
      <c r="E31" s="69">
        <f t="array" ref="E31">IFERROR(SUMPRODUCT((DATA_TECH!$C$4:$C$91)*(DATA_TECH!G4:G91)*(ISNUMBER(DATA_TECH!G4:G91)))/SUMPRODUCT((DATA_TECH!$C$4:$C$91)*(ISNUMBER(DATA_TECH!G4:G91))),"")</f>
        <v>-38.180103429504619</v>
      </c>
      <c r="F31" s="69">
        <f t="array" ref="F31">IFERROR(SUMPRODUCT((DATA_TECH!$C$4:$C$91)*(DATA_TECH!H4:H91)*(ISNUMBER(DATA_TECH!H4:H91)))/SUMPRODUCT((DATA_TECH!$C$4:$C$91)*(ISNUMBER(DATA_TECH!H4:H91))),"")</f>
        <v>7.1838051170386494</v>
      </c>
    </row>
    <row r="32" spans="1:9" ht="16.95" customHeight="1" x14ac:dyDescent="0.3">
      <c r="A32" s="22" t="s">
        <v>56</v>
      </c>
      <c r="B32" s="63">
        <f t="array" ref="B32">IFERROR(SUMPRODUCT((DATA_HC!$C$4:$C$9)*(DATA_HC!F4:F9)*(ISNUMBER(DATA_HC!F4:F9)))/SUMPRODUCT((DATA_HC!$C$4:$C$9)*(ISNUMBER(DATA_HC!F4:F9))),"")</f>
        <v>24.043575418994415</v>
      </c>
      <c r="C32" s="67">
        <f t="array" ref="C32">IFERROR(SUMPRODUCT((DATA_HC!$C$4:$C$9)*(DATA_HC!D4:D9)*(ISNUMBER(DATA_HC!D4:D9)))/SUMPRODUCT((DATA_HC!$C$4:$C$9)*(ISNUMBER(DATA_HC!D4:D9))),"")</f>
        <v>33.715474860335192</v>
      </c>
      <c r="D32" s="67">
        <f t="array" ref="D32">IFERROR(SUMPRODUCT((DATA_HC!$C$4:$C$9)*(DATA_HC!E4:E9)*(ISNUMBER(DATA_HC!E4:E9)))/SUMPRODUCT((DATA_HC!$C$4:$C$9)*(ISNUMBER(DATA_HC!E4:E9))),"")</f>
        <v>16.656871508379886</v>
      </c>
      <c r="E32" s="63">
        <f t="array" ref="E32">IFERROR(SUMPRODUCT((DATA_HC!$C$4:$C$9)*(DATA_HC!G4:G9)*(ISNUMBER(DATA_HC!G4:G9)))/SUMPRODUCT((DATA_HC!$C$4:$C$9)*(ISNUMBER(DATA_HC!G4:G9))),"")</f>
        <v>11.684916201117318</v>
      </c>
      <c r="F32" s="63">
        <f t="array" ref="F32">IFERROR(SUMPRODUCT((DATA_HC!$C$4:$C$9)*(DATA_HC!H4:H9)*(ISNUMBER(DATA_HC!H4:H9)))/SUMPRODUCT((DATA_HC!$C$4:$C$9)*(ISNUMBER(DATA_HC!H4:H9))),"")</f>
        <v>4.8094972067039103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9"/>
  <sheetViews>
    <sheetView showGridLines="0" workbookViewId="0">
      <selection activeCell="F15" sqref="F15"/>
    </sheetView>
  </sheetViews>
  <sheetFormatPr baseColWidth="10" defaultColWidth="8.88671875" defaultRowHeight="14.4" x14ac:dyDescent="0.3"/>
  <cols>
    <col min="1" max="1" width="16.6640625" customWidth="1"/>
    <col min="2" max="2" width="22.21875" customWidth="1"/>
    <col min="3" max="3" width="9.21875" customWidth="1"/>
    <col min="4" max="8" width="15.77734375" customWidth="1"/>
    <col min="9" max="11" width="13.88671875" customWidth="1"/>
  </cols>
  <sheetData>
    <row r="1" spans="1:11" ht="25.95" customHeight="1" x14ac:dyDescent="0.35">
      <c r="A1" s="2" t="s">
        <v>0</v>
      </c>
      <c r="B1" s="1"/>
      <c r="C1" s="3" t="s">
        <v>57</v>
      </c>
      <c r="D1" s="1"/>
      <c r="E1" s="1"/>
      <c r="F1" s="1"/>
      <c r="G1" s="1"/>
      <c r="H1" s="1"/>
      <c r="I1" s="24"/>
      <c r="J1" s="24"/>
      <c r="K1" s="24"/>
    </row>
    <row r="2" spans="1:11" ht="15" customHeight="1" x14ac:dyDescent="0.3">
      <c r="A2" s="5" t="s">
        <v>58</v>
      </c>
      <c r="B2" s="4"/>
      <c r="C2" s="4"/>
      <c r="D2" s="4"/>
      <c r="E2" s="4"/>
      <c r="F2" s="4"/>
      <c r="G2" s="4"/>
      <c r="H2" s="4"/>
      <c r="I2" s="4"/>
      <c r="J2" s="4"/>
      <c r="K2" s="4"/>
    </row>
    <row r="4" spans="1:11" ht="19.95" customHeight="1" x14ac:dyDescent="0.3">
      <c r="A4" s="7" t="s">
        <v>59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 ht="18" customHeight="1" x14ac:dyDescent="0.3">
      <c r="A5" s="15" t="s">
        <v>40</v>
      </c>
      <c r="B5" s="16" t="s">
        <v>3</v>
      </c>
      <c r="C5" s="16" t="s">
        <v>60</v>
      </c>
      <c r="D5" s="16" t="s">
        <v>61</v>
      </c>
      <c r="E5" s="16" t="s">
        <v>62</v>
      </c>
      <c r="F5" s="16" t="s">
        <v>63</v>
      </c>
      <c r="G5" s="16" t="s">
        <v>64</v>
      </c>
      <c r="H5" s="16" t="s">
        <v>65</v>
      </c>
      <c r="I5" s="16" t="s">
        <v>66</v>
      </c>
      <c r="J5" s="16" t="s">
        <v>67</v>
      </c>
      <c r="K5" s="16" t="s">
        <v>68</v>
      </c>
    </row>
    <row r="6" spans="1:11" ht="16.95" customHeight="1" x14ac:dyDescent="0.3">
      <c r="A6" s="20" t="s">
        <v>46</v>
      </c>
      <c r="B6" s="18" t="s">
        <v>33</v>
      </c>
      <c r="C6" s="9">
        <f>COUNT(DATA_TECH!C4:C91)</f>
        <v>75</v>
      </c>
      <c r="D6" s="41">
        <f>MEDIAN(DATA_TECH!C4:C91)</f>
        <v>48</v>
      </c>
      <c r="E6" s="41">
        <f>AVERAGE(DATA_TECH!C4:C91)</f>
        <v>49.44</v>
      </c>
      <c r="F6" s="41">
        <f>MIN(DATA_TECH!C4:C91)</f>
        <v>16</v>
      </c>
      <c r="G6" s="41">
        <f>MAX(DATA_TECH!C4:C91)</f>
        <v>94</v>
      </c>
      <c r="H6" s="41">
        <f>STDEV(DATA_TECH!C4:C91)</f>
        <v>15.984147552277323</v>
      </c>
      <c r="I6" s="41">
        <f>QUARTILE(DATA_TECH!C4:C91,1)</f>
        <v>38.5</v>
      </c>
      <c r="J6" s="41">
        <f>QUARTILE(DATA_TECH!C4:C91,3)</f>
        <v>57.5</v>
      </c>
      <c r="K6" s="41">
        <f t="shared" ref="K6:K11" si="0">J6-I6</f>
        <v>19</v>
      </c>
    </row>
    <row r="7" spans="1:11" ht="16.95" customHeight="1" x14ac:dyDescent="0.3">
      <c r="A7" s="22" t="s">
        <v>46</v>
      </c>
      <c r="B7" s="19" t="s">
        <v>34</v>
      </c>
      <c r="C7" s="13">
        <f>COUNT(DATA_TECH!F4:F91)</f>
        <v>72</v>
      </c>
      <c r="D7" s="59">
        <f>MEDIAN(DATA_TECH!F4:F91)</f>
        <v>25.85</v>
      </c>
      <c r="E7" s="59">
        <f>AVERAGE(DATA_TECH!F4:F91)</f>
        <v>28.516666666666676</v>
      </c>
      <c r="F7" s="59">
        <f>MIN(DATA_TECH!F4:F91)</f>
        <v>-2.8</v>
      </c>
      <c r="G7" s="59">
        <f>MAX(DATA_TECH!F4:F91)</f>
        <v>150</v>
      </c>
      <c r="H7" s="59">
        <f>STDEV(DATA_TECH!F4:F91)</f>
        <v>25.741816695030728</v>
      </c>
      <c r="I7" s="59">
        <f>QUARTILE(DATA_TECH!F4:F91,1)</f>
        <v>18.324999999999999</v>
      </c>
      <c r="J7" s="59">
        <f>QUARTILE(DATA_TECH!F4:F91,3)</f>
        <v>31.650000000000002</v>
      </c>
      <c r="K7" s="59">
        <f t="shared" si="0"/>
        <v>13.325000000000003</v>
      </c>
    </row>
    <row r="8" spans="1:11" ht="16.95" customHeight="1" x14ac:dyDescent="0.3">
      <c r="A8" s="20" t="s">
        <v>46</v>
      </c>
      <c r="B8" s="18" t="s">
        <v>35</v>
      </c>
      <c r="C8" s="9">
        <f>COUNT(DATA_TECH!D4:D91)</f>
        <v>63</v>
      </c>
      <c r="D8" s="45">
        <f>MEDIAN(DATA_TECH!D4:D91)</f>
        <v>26.8</v>
      </c>
      <c r="E8" s="45">
        <f>AVERAGE(DATA_TECH!D4:D91)</f>
        <v>44.263492063492066</v>
      </c>
      <c r="F8" s="45">
        <f>MIN(DATA_TECH!D4:D91)</f>
        <v>7.5</v>
      </c>
      <c r="G8" s="45">
        <f>MAX(DATA_TECH!D4:D91)</f>
        <v>804.2</v>
      </c>
      <c r="H8" s="45">
        <f>STDEV(DATA_TECH!D4:D91)</f>
        <v>99.458935117492501</v>
      </c>
      <c r="I8" s="45">
        <f>QUARTILE(DATA_TECH!D4:D91,1)</f>
        <v>19.850000000000001</v>
      </c>
      <c r="J8" s="45">
        <f>QUARTILE(DATA_TECH!D4:D91,3)</f>
        <v>39.549999999999997</v>
      </c>
      <c r="K8" s="45">
        <f t="shared" si="0"/>
        <v>19.699999999999996</v>
      </c>
    </row>
    <row r="9" spans="1:11" ht="16.95" customHeight="1" x14ac:dyDescent="0.3">
      <c r="A9" s="22" t="s">
        <v>46</v>
      </c>
      <c r="B9" s="19" t="s">
        <v>36</v>
      </c>
      <c r="C9" s="13">
        <f>COUNT(DATA_TECH!E4:E91)</f>
        <v>68</v>
      </c>
      <c r="D9" s="44">
        <f>MEDIAN(DATA_TECH!E4:E91)</f>
        <v>15.2</v>
      </c>
      <c r="E9" s="44">
        <f>AVERAGE(DATA_TECH!E4:E91)</f>
        <v>45.132352941176464</v>
      </c>
      <c r="F9" s="44">
        <f>MIN(DATA_TECH!E4:E91)</f>
        <v>5.7</v>
      </c>
      <c r="G9" s="44">
        <f>MAX(DATA_TECH!E4:E91)</f>
        <v>844.5</v>
      </c>
      <c r="H9" s="44">
        <f>STDEV(DATA_TECH!E4:E91)</f>
        <v>137.0738622560261</v>
      </c>
      <c r="I9" s="44">
        <f>QUARTILE(DATA_TECH!E4:E91,1)</f>
        <v>11.55</v>
      </c>
      <c r="J9" s="44">
        <f>QUARTILE(DATA_TECH!E4:E91,3)</f>
        <v>22.3</v>
      </c>
      <c r="K9" s="44">
        <f t="shared" si="0"/>
        <v>10.75</v>
      </c>
    </row>
    <row r="10" spans="1:11" ht="16.95" customHeight="1" x14ac:dyDescent="0.3">
      <c r="A10" s="20" t="s">
        <v>46</v>
      </c>
      <c r="B10" s="18" t="s">
        <v>37</v>
      </c>
      <c r="C10" s="9">
        <f>COUNT(DATA_TECH!G4:G91)</f>
        <v>73</v>
      </c>
      <c r="D10" s="60">
        <f>MEDIAN(DATA_TECH!G4:G91)</f>
        <v>11.6</v>
      </c>
      <c r="E10" s="60">
        <f>AVERAGE(DATA_TECH!G4:G91)</f>
        <v>-42.767123287671232</v>
      </c>
      <c r="F10" s="60">
        <f>MIN(DATA_TECH!G4:G91)</f>
        <v>-3677.4</v>
      </c>
      <c r="G10" s="60">
        <f>MAX(DATA_TECH!G4:G91)</f>
        <v>103.1</v>
      </c>
      <c r="H10" s="60">
        <f>STDEV(DATA_TECH!G4:G91)</f>
        <v>433.27611258577701</v>
      </c>
      <c r="I10" s="60">
        <f>QUARTILE(DATA_TECH!G4:G91,1)</f>
        <v>5.7</v>
      </c>
      <c r="J10" s="60">
        <f>QUARTILE(DATA_TECH!G4:G91,3)</f>
        <v>20.5</v>
      </c>
      <c r="K10" s="60">
        <f t="shared" si="0"/>
        <v>14.8</v>
      </c>
    </row>
    <row r="11" spans="1:11" ht="16.95" customHeight="1" x14ac:dyDescent="0.3">
      <c r="A11" s="22" t="s">
        <v>46</v>
      </c>
      <c r="B11" s="19" t="s">
        <v>69</v>
      </c>
      <c r="C11" s="13">
        <f>COUNT(DATA_TECH!H4:H91)</f>
        <v>73</v>
      </c>
      <c r="D11" s="59">
        <f>MEDIAN(DATA_TECH!H4:H91)</f>
        <v>7.1</v>
      </c>
      <c r="E11" s="59">
        <f>AVERAGE(DATA_TECH!H4:H91)</f>
        <v>5.6780821917808231</v>
      </c>
      <c r="F11" s="59">
        <f>MIN(DATA_TECH!H4:H91)</f>
        <v>-190</v>
      </c>
      <c r="G11" s="59">
        <f>MAX(DATA_TECH!H4:H91)</f>
        <v>170</v>
      </c>
      <c r="H11" s="59">
        <f>STDEV(DATA_TECH!H4:H91)</f>
        <v>52.470521476813111</v>
      </c>
      <c r="I11" s="59">
        <f>QUARTILE(DATA_TECH!H4:H91,1)</f>
        <v>4</v>
      </c>
      <c r="J11" s="59">
        <f>QUARTILE(DATA_TECH!H4:H91,3)</f>
        <v>11.7</v>
      </c>
      <c r="K11" s="59">
        <f t="shared" si="0"/>
        <v>7.6999999999999993</v>
      </c>
    </row>
    <row r="13" spans="1:11" ht="19.95" customHeight="1" x14ac:dyDescent="0.3">
      <c r="A13" s="7" t="s">
        <v>70</v>
      </c>
      <c r="B13" s="6"/>
      <c r="C13" s="6"/>
      <c r="D13" s="6"/>
      <c r="E13" s="6"/>
      <c r="F13" s="6"/>
      <c r="G13" s="6"/>
      <c r="H13" s="6"/>
      <c r="I13" s="6"/>
      <c r="J13" s="6"/>
      <c r="K13" s="6"/>
    </row>
    <row r="14" spans="1:11" ht="18" customHeight="1" x14ac:dyDescent="0.3">
      <c r="A14" s="15" t="s">
        <v>40</v>
      </c>
      <c r="B14" s="16" t="s">
        <v>3</v>
      </c>
      <c r="C14" s="16" t="s">
        <v>60</v>
      </c>
      <c r="D14" s="16" t="s">
        <v>61</v>
      </c>
      <c r="E14" s="16" t="s">
        <v>62</v>
      </c>
      <c r="F14" s="16" t="s">
        <v>63</v>
      </c>
      <c r="G14" s="16" t="s">
        <v>64</v>
      </c>
      <c r="H14" s="16" t="s">
        <v>65</v>
      </c>
      <c r="I14" s="16" t="s">
        <v>66</v>
      </c>
      <c r="J14" s="16" t="s">
        <v>67</v>
      </c>
      <c r="K14" s="16" t="s">
        <v>68</v>
      </c>
    </row>
    <row r="15" spans="1:11" ht="16.95" customHeight="1" x14ac:dyDescent="0.3">
      <c r="A15" s="20" t="s">
        <v>47</v>
      </c>
      <c r="B15" s="18" t="s">
        <v>33</v>
      </c>
      <c r="C15" s="9">
        <f>COUNT(DATA_HC!C4:C9)</f>
        <v>3</v>
      </c>
      <c r="D15" s="41">
        <f>MEDIAN(DATA_HC!C4:C9)</f>
        <v>60</v>
      </c>
      <c r="E15" s="41">
        <f>AVERAGE(DATA_HC!C4:C9)</f>
        <v>59.666666666666664</v>
      </c>
      <c r="F15" s="41">
        <f>MIN(DATA_HC!C4:C9)</f>
        <v>56</v>
      </c>
      <c r="G15" s="41">
        <f>MAX(DATA_HC!C4:C9)</f>
        <v>63</v>
      </c>
      <c r="H15" s="41">
        <f>STDEV(DATA_HC!C4:C9)</f>
        <v>3.5118845842842461</v>
      </c>
      <c r="I15" s="41">
        <f>QUARTILE(DATA_HC!C4:C9,1)</f>
        <v>58</v>
      </c>
      <c r="J15" s="41">
        <f>QUARTILE(DATA_HC!C4:C9,3)</f>
        <v>61.5</v>
      </c>
      <c r="K15" s="41">
        <f t="shared" ref="K15:K20" si="1">J15-I15</f>
        <v>3.5</v>
      </c>
    </row>
    <row r="16" spans="1:11" ht="16.95" customHeight="1" x14ac:dyDescent="0.3">
      <c r="A16" s="22" t="s">
        <v>47</v>
      </c>
      <c r="B16" s="19" t="s">
        <v>34</v>
      </c>
      <c r="C16" s="13">
        <f>COUNT(DATA_HC!F4:F9)</f>
        <v>3</v>
      </c>
      <c r="D16" s="59">
        <f>MEDIAN(DATA_HC!F4:F9)</f>
        <v>27.3</v>
      </c>
      <c r="E16" s="59">
        <f>AVERAGE(DATA_HC!F4:F9)</f>
        <v>24.266666666666666</v>
      </c>
      <c r="F16" s="59">
        <f>MIN(DATA_HC!F4:F9)</f>
        <v>15</v>
      </c>
      <c r="G16" s="59">
        <f>MAX(DATA_HC!F4:F9)</f>
        <v>30.5</v>
      </c>
      <c r="H16" s="59">
        <f>STDEV(DATA_HC!F4:F9)</f>
        <v>8.1831126922054231</v>
      </c>
      <c r="I16" s="59">
        <f>QUARTILE(DATA_HC!F4:F9,1)</f>
        <v>21.15</v>
      </c>
      <c r="J16" s="59">
        <f>QUARTILE(DATA_HC!F4:F9,3)</f>
        <v>28.9</v>
      </c>
      <c r="K16" s="59">
        <f t="shared" si="1"/>
        <v>7.75</v>
      </c>
    </row>
    <row r="17" spans="1:11" ht="16.95" customHeight="1" x14ac:dyDescent="0.3">
      <c r="A17" s="20" t="s">
        <v>47</v>
      </c>
      <c r="B17" s="18" t="s">
        <v>35</v>
      </c>
      <c r="C17" s="9">
        <f>COUNT(DATA_HC!D4:D9)</f>
        <v>3</v>
      </c>
      <c r="D17" s="45">
        <f>MEDIAN(DATA_HC!D4:D9)</f>
        <v>23.69</v>
      </c>
      <c r="E17" s="45">
        <f>AVERAGE(DATA_HC!D4:D9)</f>
        <v>34.376666666666665</v>
      </c>
      <c r="F17" s="45">
        <f>MIN(DATA_HC!D4:D9)</f>
        <v>23.49</v>
      </c>
      <c r="G17" s="45">
        <f>MAX(DATA_HC!D4:D9)</f>
        <v>55.95</v>
      </c>
      <c r="H17" s="45">
        <f>STDEV(DATA_HC!D4:D9)</f>
        <v>18.683322331248622</v>
      </c>
      <c r="I17" s="45">
        <f>QUARTILE(DATA_HC!D4:D9,1)</f>
        <v>23.59</v>
      </c>
      <c r="J17" s="45">
        <f>QUARTILE(DATA_HC!D4:D9,3)</f>
        <v>39.820000000000007</v>
      </c>
      <c r="K17" s="45">
        <f t="shared" si="1"/>
        <v>16.230000000000008</v>
      </c>
    </row>
    <row r="18" spans="1:11" ht="16.95" customHeight="1" x14ac:dyDescent="0.3">
      <c r="A18" s="22" t="s">
        <v>47</v>
      </c>
      <c r="B18" s="19" t="s">
        <v>36</v>
      </c>
      <c r="C18" s="13">
        <f>COUNT(DATA_HC!E4:E9)</f>
        <v>3</v>
      </c>
      <c r="D18" s="44">
        <f>MEDIAN(DATA_HC!E4:E9)</f>
        <v>15.57</v>
      </c>
      <c r="E18" s="44">
        <f>AVERAGE(DATA_HC!E4:E9)</f>
        <v>16.586666666666666</v>
      </c>
      <c r="F18" s="44">
        <f>MIN(DATA_HC!E4:E9)</f>
        <v>14.77</v>
      </c>
      <c r="G18" s="44">
        <f>MAX(DATA_HC!E4:E9)</f>
        <v>19.420000000000002</v>
      </c>
      <c r="H18" s="44">
        <f>STDEV(DATA_HC!E4:E9)</f>
        <v>2.4861281811953004</v>
      </c>
      <c r="I18" s="44">
        <f>QUARTILE(DATA_HC!E4:E9,1)</f>
        <v>15.17</v>
      </c>
      <c r="J18" s="44">
        <f>QUARTILE(DATA_HC!E4:E9,3)</f>
        <v>17.495000000000001</v>
      </c>
      <c r="K18" s="44">
        <f t="shared" si="1"/>
        <v>2.3250000000000011</v>
      </c>
    </row>
    <row r="19" spans="1:11" ht="16.95" customHeight="1" x14ac:dyDescent="0.3">
      <c r="A19" s="20" t="s">
        <v>47</v>
      </c>
      <c r="B19" s="18" t="s">
        <v>37</v>
      </c>
      <c r="C19" s="9">
        <f>COUNT(DATA_HC!G4:G9)</f>
        <v>3</v>
      </c>
      <c r="D19" s="60">
        <f>MEDIAN(DATA_HC!G4:G9)</f>
        <v>12.8</v>
      </c>
      <c r="E19" s="60">
        <f>AVERAGE(DATA_HC!G4:G9)</f>
        <v>11.533333333333333</v>
      </c>
      <c r="F19" s="60">
        <f>MIN(DATA_HC!G4:G9)</f>
        <v>5.7</v>
      </c>
      <c r="G19" s="60">
        <f>MAX(DATA_HC!G4:G9)</f>
        <v>16.100000000000001</v>
      </c>
      <c r="H19" s="60">
        <f>STDEV(DATA_HC!G4:G9)</f>
        <v>5.3144457221175347</v>
      </c>
      <c r="I19" s="60">
        <f>QUARTILE(DATA_HC!G4:G9,1)</f>
        <v>9.25</v>
      </c>
      <c r="J19" s="60">
        <f>QUARTILE(DATA_HC!G4:G9,3)</f>
        <v>14.450000000000001</v>
      </c>
      <c r="K19" s="60">
        <f t="shared" si="1"/>
        <v>5.2000000000000011</v>
      </c>
    </row>
    <row r="20" spans="1:11" ht="16.95" customHeight="1" x14ac:dyDescent="0.3">
      <c r="A20" s="22" t="s">
        <v>47</v>
      </c>
      <c r="B20" s="19" t="s">
        <v>69</v>
      </c>
      <c r="C20" s="13">
        <f>COUNT(DATA_HC!H4:H9)</f>
        <v>3</v>
      </c>
      <c r="D20" s="59">
        <f>MEDIAN(DATA_HC!H4:H9)</f>
        <v>4.3</v>
      </c>
      <c r="E20" s="59">
        <f>AVERAGE(DATA_HC!H4:H9)</f>
        <v>4.8666666666666663</v>
      </c>
      <c r="F20" s="59">
        <f>MIN(DATA_HC!H4:H9)</f>
        <v>3.3</v>
      </c>
      <c r="G20" s="59">
        <f>MAX(DATA_HC!H4:H9)</f>
        <v>7</v>
      </c>
      <c r="H20" s="59">
        <f>STDEV(DATA_HC!H4:H9)</f>
        <v>1.9139836293274126</v>
      </c>
      <c r="I20" s="59">
        <f>QUARTILE(DATA_HC!H4:H9,1)</f>
        <v>3.8</v>
      </c>
      <c r="J20" s="59">
        <f>QUARTILE(DATA_HC!H4:H9,3)</f>
        <v>5.65</v>
      </c>
      <c r="K20" s="59">
        <f t="shared" si="1"/>
        <v>1.8500000000000005</v>
      </c>
    </row>
    <row r="22" spans="1:11" ht="19.95" customHeight="1" x14ac:dyDescent="0.3">
      <c r="A22" s="7" t="s">
        <v>71</v>
      </c>
      <c r="B22" s="6"/>
      <c r="C22" s="6"/>
      <c r="D22" s="6"/>
      <c r="E22" s="6"/>
      <c r="F22" s="6"/>
      <c r="G22" s="6"/>
      <c r="H22" s="6"/>
      <c r="I22" s="6"/>
      <c r="J22" s="6"/>
      <c r="K22" s="6"/>
    </row>
    <row r="23" spans="1:11" ht="18" customHeight="1" x14ac:dyDescent="0.3">
      <c r="A23" s="15" t="s">
        <v>72</v>
      </c>
      <c r="B23" s="16" t="s">
        <v>3</v>
      </c>
      <c r="C23" s="16" t="s">
        <v>73</v>
      </c>
      <c r="D23" s="16" t="s">
        <v>74</v>
      </c>
      <c r="E23" s="16" t="s">
        <v>75</v>
      </c>
      <c r="F23" s="16" t="s">
        <v>76</v>
      </c>
      <c r="G23" s="16" t="s">
        <v>77</v>
      </c>
      <c r="H23" s="17" t="s">
        <v>78</v>
      </c>
    </row>
    <row r="24" spans="1:11" ht="16.95" customHeight="1" x14ac:dyDescent="0.3">
      <c r="A24" s="20" t="s">
        <v>79</v>
      </c>
      <c r="B24" s="25" t="s">
        <v>33</v>
      </c>
      <c r="C24" s="26" t="s">
        <v>73</v>
      </c>
      <c r="D24" s="61">
        <f t="shared" ref="D24:H29" si="2">D6-D15</f>
        <v>-12</v>
      </c>
      <c r="E24" s="61">
        <f t="shared" si="2"/>
        <v>-10.226666666666667</v>
      </c>
      <c r="F24" s="61">
        <f t="shared" si="2"/>
        <v>-40</v>
      </c>
      <c r="G24" s="61">
        <f t="shared" si="2"/>
        <v>31</v>
      </c>
      <c r="H24" s="62">
        <f t="shared" si="2"/>
        <v>12.472262967993077</v>
      </c>
    </row>
    <row r="25" spans="1:11" ht="16.95" customHeight="1" x14ac:dyDescent="0.3">
      <c r="A25" s="22" t="s">
        <v>79</v>
      </c>
      <c r="B25" s="27" t="s">
        <v>34</v>
      </c>
      <c r="C25" s="28" t="s">
        <v>73</v>
      </c>
      <c r="D25" s="63">
        <f t="shared" si="2"/>
        <v>-1.4499999999999993</v>
      </c>
      <c r="E25" s="63">
        <f t="shared" si="2"/>
        <v>4.2500000000000107</v>
      </c>
      <c r="F25" s="63">
        <f t="shared" si="2"/>
        <v>-17.8</v>
      </c>
      <c r="G25" s="63">
        <f t="shared" si="2"/>
        <v>119.5</v>
      </c>
      <c r="H25" s="64">
        <f t="shared" si="2"/>
        <v>17.558704002825305</v>
      </c>
    </row>
    <row r="26" spans="1:11" ht="16.95" customHeight="1" x14ac:dyDescent="0.3">
      <c r="A26" s="20" t="s">
        <v>79</v>
      </c>
      <c r="B26" s="25" t="s">
        <v>35</v>
      </c>
      <c r="C26" s="26" t="s">
        <v>73</v>
      </c>
      <c r="D26" s="65">
        <f t="shared" si="2"/>
        <v>3.1099999999999994</v>
      </c>
      <c r="E26" s="65">
        <f t="shared" si="2"/>
        <v>9.886825396825401</v>
      </c>
      <c r="F26" s="65">
        <f t="shared" si="2"/>
        <v>-15.989999999999998</v>
      </c>
      <c r="G26" s="65">
        <f t="shared" si="2"/>
        <v>748.25</v>
      </c>
      <c r="H26" s="66">
        <f t="shared" si="2"/>
        <v>80.775612786243883</v>
      </c>
    </row>
    <row r="27" spans="1:11" ht="16.95" customHeight="1" x14ac:dyDescent="0.3">
      <c r="A27" s="22" t="s">
        <v>79</v>
      </c>
      <c r="B27" s="27" t="s">
        <v>36</v>
      </c>
      <c r="C27" s="28" t="s">
        <v>73</v>
      </c>
      <c r="D27" s="67">
        <f t="shared" si="2"/>
        <v>-0.37000000000000099</v>
      </c>
      <c r="E27" s="67">
        <f t="shared" si="2"/>
        <v>28.545686274509798</v>
      </c>
      <c r="F27" s="67">
        <f t="shared" si="2"/>
        <v>-9.07</v>
      </c>
      <c r="G27" s="67">
        <f t="shared" si="2"/>
        <v>825.08</v>
      </c>
      <c r="H27" s="68">
        <f t="shared" si="2"/>
        <v>134.58773407483079</v>
      </c>
    </row>
    <row r="28" spans="1:11" ht="16.95" customHeight="1" x14ac:dyDescent="0.3">
      <c r="A28" s="20" t="s">
        <v>79</v>
      </c>
      <c r="B28" s="25" t="s">
        <v>37</v>
      </c>
      <c r="C28" s="26" t="s">
        <v>73</v>
      </c>
      <c r="D28" s="69">
        <f t="shared" si="2"/>
        <v>-1.2000000000000011</v>
      </c>
      <c r="E28" s="69">
        <f t="shared" si="2"/>
        <v>-54.300456621004564</v>
      </c>
      <c r="F28" s="69">
        <f t="shared" si="2"/>
        <v>-3683.1</v>
      </c>
      <c r="G28" s="69">
        <f t="shared" si="2"/>
        <v>87</v>
      </c>
      <c r="H28" s="70">
        <f t="shared" si="2"/>
        <v>427.9616668636595</v>
      </c>
    </row>
    <row r="29" spans="1:11" ht="16.95" customHeight="1" x14ac:dyDescent="0.3">
      <c r="A29" s="22" t="s">
        <v>79</v>
      </c>
      <c r="B29" s="27" t="s">
        <v>69</v>
      </c>
      <c r="C29" s="28" t="s">
        <v>73</v>
      </c>
      <c r="D29" s="63">
        <f t="shared" si="2"/>
        <v>2.8</v>
      </c>
      <c r="E29" s="63">
        <f t="shared" si="2"/>
        <v>0.81141552511415682</v>
      </c>
      <c r="F29" s="63">
        <f t="shared" si="2"/>
        <v>-193.3</v>
      </c>
      <c r="G29" s="63">
        <f t="shared" si="2"/>
        <v>163</v>
      </c>
      <c r="H29" s="64">
        <f t="shared" si="2"/>
        <v>50.5565378474857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4"/>
  <sheetViews>
    <sheetView showGridLines="0" workbookViewId="0">
      <selection activeCell="J3" sqref="J1:M3"/>
    </sheetView>
  </sheetViews>
  <sheetFormatPr baseColWidth="10" defaultColWidth="8.88671875" defaultRowHeight="14.4" x14ac:dyDescent="0.3"/>
  <cols>
    <col min="1" max="1" width="7.44140625" customWidth="1"/>
    <col min="2" max="2" width="13" customWidth="1"/>
    <col min="3" max="3" width="36.109375" customWidth="1"/>
    <col min="4" max="4" width="11.109375" customWidth="1"/>
    <col min="5" max="6" width="13.88671875" customWidth="1"/>
    <col min="7" max="9" width="15.77734375" customWidth="1"/>
    <col min="10" max="10" width="16.6640625" customWidth="1"/>
  </cols>
  <sheetData>
    <row r="1" spans="1:9" ht="25.95" customHeight="1" x14ac:dyDescent="0.35">
      <c r="A1" s="2" t="s">
        <v>0</v>
      </c>
      <c r="B1" s="1"/>
      <c r="C1" s="3" t="s">
        <v>80</v>
      </c>
      <c r="D1" s="1"/>
      <c r="E1" s="1"/>
      <c r="F1" s="1"/>
      <c r="G1" s="1"/>
      <c r="H1" s="1"/>
      <c r="I1" s="1"/>
    </row>
    <row r="2" spans="1:9" ht="15" customHeight="1" x14ac:dyDescent="0.3">
      <c r="A2" s="5" t="s">
        <v>81</v>
      </c>
      <c r="B2" s="4"/>
      <c r="C2" s="4"/>
      <c r="D2" s="4"/>
      <c r="E2" s="4"/>
      <c r="F2" s="4"/>
      <c r="G2" s="4"/>
      <c r="H2" s="4"/>
      <c r="I2" s="4"/>
    </row>
    <row r="3" spans="1:9" ht="19.95" customHeight="1" x14ac:dyDescent="0.3">
      <c r="A3" s="7" t="s">
        <v>82</v>
      </c>
      <c r="B3" s="6"/>
      <c r="C3" s="6"/>
      <c r="D3" s="6"/>
      <c r="E3" s="6"/>
      <c r="F3" s="6"/>
      <c r="G3" s="6"/>
      <c r="H3" s="6"/>
      <c r="I3" s="6"/>
    </row>
    <row r="4" spans="1:9" ht="18" customHeight="1" x14ac:dyDescent="0.3">
      <c r="A4" s="15" t="s">
        <v>83</v>
      </c>
      <c r="B4" s="16" t="s">
        <v>41</v>
      </c>
      <c r="C4" s="16" t="s">
        <v>42</v>
      </c>
      <c r="D4" s="16" t="s">
        <v>43</v>
      </c>
      <c r="E4" s="16" t="s">
        <v>35</v>
      </c>
      <c r="F4" s="16" t="s">
        <v>36</v>
      </c>
      <c r="G4" s="16" t="s">
        <v>84</v>
      </c>
      <c r="H4" s="16" t="s">
        <v>37</v>
      </c>
      <c r="I4" s="16" t="s">
        <v>45</v>
      </c>
    </row>
    <row r="5" spans="1:9" ht="16.95" customHeight="1" x14ac:dyDescent="0.3">
      <c r="A5" s="29">
        <v>1</v>
      </c>
      <c r="B5" s="30" t="str">
        <f>IFERROR(INDEX(DATA_TECH!$A$4:$A$91,MATCH(LARGE(DATA_TECH!$C$4:$C$91,1),DATA_TECH!$C$4:$C$91,0)),"")</f>
        <v>INCY</v>
      </c>
      <c r="C5" s="9" t="str">
        <f>IFERROR(INDEX(DATA_TECH!$B$4:$B$91,MATCH(LARGE(DATA_TECH!$C$4:$C$91,1),DATA_TECH!$C$4:$C$91,0)),"")</f>
        <v>Incyte Corporation</v>
      </c>
      <c r="D5" s="31">
        <f>LARGE(DATA_TECH!$C$4:$C$91,1)</f>
        <v>94</v>
      </c>
      <c r="E5" s="71">
        <f>IFERROR(INDEX(DATA_TECH!$D$4:$D$91,MATCH(LARGE(DATA_TECH!$C$4:$C$91,1),DATA_TECH!$C$4:$C$91,0)),"")</f>
        <v>15.1</v>
      </c>
      <c r="F5" s="71">
        <f>IFERROR(INDEX(DATA_TECH!$E$4:$E$91,MATCH(LARGE(DATA_TECH!$C$4:$C$91,1),DATA_TECH!$C$4:$C$91,0)),"")</f>
        <v>9.3000000000000007</v>
      </c>
      <c r="G5" s="73">
        <f>IFERROR(INDEX(DATA_TECH!$F$4:$F$91,MATCH(LARGE(DATA_TECH!$C$4:$C$91,1),DATA_TECH!$C$4:$C$91,0)),"")</f>
        <v>34.200000000000003</v>
      </c>
      <c r="H5" s="73">
        <f>IFERROR(INDEX(DATA_TECH!$G$4:$G$91,MATCH(LARGE(DATA_TECH!$C$4:$C$91,1),DATA_TECH!$C$4:$C$91,0)),"")</f>
        <v>24.9</v>
      </c>
      <c r="I5" s="73">
        <f>IFERROR(INDEX(DATA_TECH!$H$4:$H$91,MATCH(LARGE(DATA_TECH!$C$4:$C$91,1),DATA_TECH!$C$4:$C$91,0)),"")</f>
        <v>21.2</v>
      </c>
    </row>
    <row r="6" spans="1:9" ht="16.95" customHeight="1" x14ac:dyDescent="0.3">
      <c r="A6" s="34">
        <v>2</v>
      </c>
      <c r="B6" s="35" t="str">
        <f>IFERROR(INDEX(DATA_TECH!$A$4:$A$91,MATCH(LARGE(DATA_TECH!$C$4:$C$91,2),DATA_TECH!$C$4:$C$91,0)),"")</f>
        <v>JNJ</v>
      </c>
      <c r="C6" s="13" t="str">
        <f>IFERROR(INDEX(DATA_TECH!$B$4:$B$91,MATCH(LARGE(DATA_TECH!$C$4:$C$91,2),DATA_TECH!$C$4:$C$91,0)),"")</f>
        <v>Johnson &amp; Johnson</v>
      </c>
      <c r="D6" s="36">
        <f>LARGE(DATA_TECH!$C$4:$C$91,2)</f>
        <v>86</v>
      </c>
      <c r="E6" s="72">
        <f>IFERROR(INDEX(DATA_TECH!$D$4:$D$91,MATCH(LARGE(DATA_TECH!$C$4:$C$91,2),DATA_TECH!$C$4:$C$91,0)),"")</f>
        <v>21.6</v>
      </c>
      <c r="F6" s="72">
        <f>IFERROR(INDEX(DATA_TECH!$E$4:$E$91,MATCH(LARGE(DATA_TECH!$C$4:$C$91,2),DATA_TECH!$C$4:$C$91,0)),"")</f>
        <v>14.8</v>
      </c>
      <c r="G6" s="74">
        <f>IFERROR(INDEX(DATA_TECH!$F$4:$F$91,MATCH(LARGE(DATA_TECH!$C$4:$C$91,2),DATA_TECH!$C$4:$C$91,0)),"")</f>
        <v>43.6</v>
      </c>
      <c r="H6" s="74">
        <f>IFERROR(INDEX(DATA_TECH!$G$4:$G$91,MATCH(LARGE(DATA_TECH!$C$4:$C$91,2),DATA_TECH!$C$4:$C$91,0)),"")</f>
        <v>32.9</v>
      </c>
      <c r="I6" s="74">
        <f>IFERROR(INDEX(DATA_TECH!$H$4:$H$91,MATCH(LARGE(DATA_TECH!$C$4:$C$91,2),DATA_TECH!$C$4:$C$91,0)),"")</f>
        <v>6</v>
      </c>
    </row>
    <row r="7" spans="1:9" ht="16.95" customHeight="1" x14ac:dyDescent="0.3">
      <c r="A7" s="29">
        <v>3</v>
      </c>
      <c r="B7" s="30" t="str">
        <f>IFERROR(INDEX(DATA_TECH!$A$4:$A$91,MATCH(LARGE(DATA_TECH!$C$4:$C$91,3),DATA_TECH!$C$4:$C$91,0)),"")</f>
        <v>BMY</v>
      </c>
      <c r="C7" s="9" t="str">
        <f>IFERROR(INDEX(DATA_TECH!$B$4:$B$91,MATCH(LARGE(DATA_TECH!$C$4:$C$91,3),DATA_TECH!$C$4:$C$91,0)),"")</f>
        <v>Bristol-Myers Squibb Company</v>
      </c>
      <c r="D7" s="31">
        <f>LARGE(DATA_TECH!$C$4:$C$91,3)</f>
        <v>83</v>
      </c>
      <c r="E7" s="71">
        <f>IFERROR(INDEX(DATA_TECH!$D$4:$D$91,MATCH(LARGE(DATA_TECH!$C$4:$C$91,3),DATA_TECH!$C$4:$C$91,0)),"")</f>
        <v>16.8</v>
      </c>
      <c r="F7" s="71">
        <f>IFERROR(INDEX(DATA_TECH!$E$4:$E$91,MATCH(LARGE(DATA_TECH!$C$4:$C$91,3),DATA_TECH!$C$4:$C$91,0)),"")</f>
        <v>10.1</v>
      </c>
      <c r="G7" s="73">
        <f>IFERROR(INDEX(DATA_TECH!$F$4:$F$91,MATCH(LARGE(DATA_TECH!$C$4:$C$91,3),DATA_TECH!$C$4:$C$91,0)),"")</f>
        <v>31.6</v>
      </c>
      <c r="H7" s="73">
        <f>IFERROR(INDEX(DATA_TECH!$G$4:$G$91,MATCH(LARGE(DATA_TECH!$C$4:$C$91,3),DATA_TECH!$C$4:$C$91,0)),"")</f>
        <v>38.200000000000003</v>
      </c>
      <c r="I7" s="73">
        <f>IFERROR(INDEX(DATA_TECH!$H$4:$H$91,MATCH(LARGE(DATA_TECH!$C$4:$C$91,3),DATA_TECH!$C$4:$C$91,0)),"")</f>
        <v>-20</v>
      </c>
    </row>
    <row r="8" spans="1:9" ht="16.95" customHeight="1" x14ac:dyDescent="0.3">
      <c r="A8" s="34">
        <v>4</v>
      </c>
      <c r="B8" s="35" t="str">
        <f>IFERROR(INDEX(DATA_TECH!$A$4:$A$91,MATCH(LARGE(DATA_TECH!$C$4:$C$91,4),DATA_TECH!$C$4:$C$91,0)),"")</f>
        <v>GILD</v>
      </c>
      <c r="C8" s="13" t="str">
        <f>IFERROR(INDEX(DATA_TECH!$B$4:$B$91,MATCH(LARGE(DATA_TECH!$C$4:$C$91,4),DATA_TECH!$C$4:$C$91,0)),"")</f>
        <v>Gilead Sciences, Inc.</v>
      </c>
      <c r="D8" s="36">
        <f>LARGE(DATA_TECH!$C$4:$C$91,4)</f>
        <v>82</v>
      </c>
      <c r="E8" s="72">
        <f>IFERROR(INDEX(DATA_TECH!$D$4:$D$91,MATCH(LARGE(DATA_TECH!$C$4:$C$91,4),DATA_TECH!$C$4:$C$91,0)),"")</f>
        <v>20.5</v>
      </c>
      <c r="F8" s="72">
        <f>IFERROR(INDEX(DATA_TECH!$E$4:$E$91,MATCH(LARGE(DATA_TECH!$C$4:$C$91,4),DATA_TECH!$C$4:$C$91,0)),"")</f>
        <v>14.1</v>
      </c>
      <c r="G8" s="74">
        <f>IFERROR(INDEX(DATA_TECH!$F$4:$F$91,MATCH(LARGE(DATA_TECH!$C$4:$C$91,4),DATA_TECH!$C$4:$C$91,0)),"")</f>
        <v>46.1</v>
      </c>
      <c r="H8" s="74">
        <f>IFERROR(INDEX(DATA_TECH!$G$4:$G$91,MATCH(LARGE(DATA_TECH!$C$4:$C$91,4),DATA_TECH!$C$4:$C$91,0)),"")</f>
        <v>37.5</v>
      </c>
      <c r="I8" s="74">
        <f>IFERROR(INDEX(DATA_TECH!$H$4:$H$91,MATCH(LARGE(DATA_TECH!$C$4:$C$91,4),DATA_TECH!$C$4:$C$91,0)),"")</f>
        <v>2.4</v>
      </c>
    </row>
    <row r="9" spans="1:9" ht="16.95" customHeight="1" x14ac:dyDescent="0.3">
      <c r="A9" s="29">
        <v>5</v>
      </c>
      <c r="B9" s="30" t="str">
        <f>IFERROR(INDEX(DATA_TECH!$A$4:$A$91,MATCH(LARGE(DATA_TECH!$C$4:$C$91,5),DATA_TECH!$C$4:$C$91,0)),"")</f>
        <v>MRK</v>
      </c>
      <c r="C9" s="9" t="str">
        <f>IFERROR(INDEX(DATA_TECH!$B$4:$B$91,MATCH(LARGE(DATA_TECH!$C$4:$C$91,5),DATA_TECH!$C$4:$C$91,0)),"")</f>
        <v>Merck &amp; Co., Inc.</v>
      </c>
      <c r="D9" s="31">
        <f>LARGE(DATA_TECH!$C$4:$C$91,5)</f>
        <v>79</v>
      </c>
      <c r="E9" s="71">
        <f>IFERROR(INDEX(DATA_TECH!$D$4:$D$91,MATCH(LARGE(DATA_TECH!$C$4:$C$91,5),DATA_TECH!$C$4:$C$91,0)),"")</f>
        <v>16.3</v>
      </c>
      <c r="F9" s="71">
        <f>IFERROR(INDEX(DATA_TECH!$E$4:$E$91,MATCH(LARGE(DATA_TECH!$C$4:$C$91,5),DATA_TECH!$C$4:$C$91,0)),"")</f>
        <v>11.7</v>
      </c>
      <c r="G9" s="73">
        <f>IFERROR(INDEX(DATA_TECH!$F$4:$F$91,MATCH(LARGE(DATA_TECH!$C$4:$C$91,5),DATA_TECH!$C$4:$C$91,0)),"")</f>
        <v>43.5</v>
      </c>
      <c r="H9" s="73">
        <f>IFERROR(INDEX(DATA_TECH!$G$4:$G$91,MATCH(LARGE(DATA_TECH!$C$4:$C$91,5),DATA_TECH!$C$4:$C$91,0)),"")</f>
        <v>34.700000000000003</v>
      </c>
      <c r="I9" s="73">
        <f>IFERROR(INDEX(DATA_TECH!$H$4:$H$91,MATCH(LARGE(DATA_TECH!$C$4:$C$91,5),DATA_TECH!$C$4:$C$91,0)),"")</f>
        <v>130</v>
      </c>
    </row>
    <row r="10" spans="1:9" ht="16.95" customHeight="1" x14ac:dyDescent="0.3">
      <c r="A10" s="34">
        <v>6</v>
      </c>
      <c r="B10" s="35" t="str">
        <f>IFERROR(INDEX(DATA_TECH!$A$4:$A$91,MATCH(LARGE(DATA_TECH!$C$4:$C$91,6),DATA_TECH!$C$4:$C$91,0)),"")</f>
        <v>REGN</v>
      </c>
      <c r="C10" s="13" t="str">
        <f>IFERROR(INDEX(DATA_TECH!$B$4:$B$91,MATCH(LARGE(DATA_TECH!$C$4:$C$91,6),DATA_TECH!$C$4:$C$91,0)),"")</f>
        <v>Regeneron Pharmaceuticals, Inc.</v>
      </c>
      <c r="D10" s="36">
        <f>LARGE(DATA_TECH!$C$4:$C$91,6)</f>
        <v>77</v>
      </c>
      <c r="E10" s="72">
        <f>IFERROR(INDEX(DATA_TECH!$D$4:$D$91,MATCH(LARGE(DATA_TECH!$C$4:$C$91,6),DATA_TECH!$C$4:$C$91,0)),"")</f>
        <v>17.7</v>
      </c>
      <c r="F10" s="72">
        <f>IFERROR(INDEX(DATA_TECH!$E$4:$E$91,MATCH(LARGE(DATA_TECH!$C$4:$C$91,6),DATA_TECH!$C$4:$C$91,0)),"")</f>
        <v>13.5</v>
      </c>
      <c r="G10" s="74">
        <f>IFERROR(INDEX(DATA_TECH!$F$4:$F$91,MATCH(LARGE(DATA_TECH!$C$4:$C$91,6),DATA_TECH!$C$4:$C$91,0)),"")</f>
        <v>40.6</v>
      </c>
      <c r="H10" s="74">
        <f>IFERROR(INDEX(DATA_TECH!$G$4:$G$91,MATCH(LARGE(DATA_TECH!$C$4:$C$91,6),DATA_TECH!$C$4:$C$91,0)),"")</f>
        <v>14.4</v>
      </c>
      <c r="I10" s="74">
        <f>IFERROR(INDEX(DATA_TECH!$H$4:$H$91,MATCH(LARGE(DATA_TECH!$C$4:$C$91,6),DATA_TECH!$C$4:$C$91,0)),"")</f>
        <v>100</v>
      </c>
    </row>
    <row r="11" spans="1:9" ht="16.95" customHeight="1" x14ac:dyDescent="0.3">
      <c r="A11" s="29">
        <v>7</v>
      </c>
      <c r="B11" s="30" t="str">
        <f>IFERROR(INDEX(DATA_TECH!$A$4:$A$91,MATCH(LARGE(DATA_TECH!$C$4:$C$91,7),DATA_TECH!$C$4:$C$91,0)),"")</f>
        <v>UHS</v>
      </c>
      <c r="C11" s="9" t="str">
        <f>IFERROR(INDEX(DATA_TECH!$B$4:$B$91,MATCH(LARGE(DATA_TECH!$C$4:$C$91,7),DATA_TECH!$C$4:$C$91,0)),"")</f>
        <v>Universal Health Services, Inc.</v>
      </c>
      <c r="D11" s="31">
        <f>LARGE(DATA_TECH!$C$4:$C$91,7)</f>
        <v>71</v>
      </c>
      <c r="E11" s="71">
        <f>IFERROR(INDEX(DATA_TECH!$D$4:$D$91,MATCH(LARGE(DATA_TECH!$C$4:$C$91,7),DATA_TECH!$C$4:$C$91,0)),"")</f>
        <v>7.5</v>
      </c>
      <c r="F11" s="71">
        <f>IFERROR(INDEX(DATA_TECH!$E$4:$E$91,MATCH(LARGE(DATA_TECH!$C$4:$C$91,7),DATA_TECH!$C$4:$C$91,0)),"")</f>
        <v>5.7</v>
      </c>
      <c r="G11" s="73">
        <f>IFERROR(INDEX(DATA_TECH!$F$4:$F$91,MATCH(LARGE(DATA_TECH!$C$4:$C$91,7),DATA_TECH!$C$4:$C$91,0)),"")</f>
        <v>15.8</v>
      </c>
      <c r="H11" s="73">
        <f>IFERROR(INDEX(DATA_TECH!$G$4:$G$91,MATCH(LARGE(DATA_TECH!$C$4:$C$91,7),DATA_TECH!$C$4:$C$91,0)),"")</f>
        <v>20.5</v>
      </c>
      <c r="I11" s="73">
        <f>IFERROR(INDEX(DATA_TECH!$H$4:$H$91,MATCH(LARGE(DATA_TECH!$C$4:$C$91,7),DATA_TECH!$C$4:$C$91,0)),"")</f>
        <v>9.6999999999999993</v>
      </c>
    </row>
    <row r="12" spans="1:9" ht="16.95" customHeight="1" x14ac:dyDescent="0.3">
      <c r="A12" s="34">
        <v>8</v>
      </c>
      <c r="B12" s="35" t="str">
        <f>IFERROR(INDEX(DATA_TECH!$A$4:$A$91,MATCH(LARGE(DATA_TECH!$C$4:$C$91,8),DATA_TECH!$C$4:$C$91,0)),"")</f>
        <v>LLY</v>
      </c>
      <c r="C12" s="13" t="str">
        <f>IFERROR(INDEX(DATA_TECH!$B$4:$B$91,MATCH(LARGE(DATA_TECH!$C$4:$C$91,8),DATA_TECH!$C$4:$C$91,0)),"")</f>
        <v>Eli Lilly and Company</v>
      </c>
      <c r="D12" s="36">
        <f>LARGE(DATA_TECH!$C$4:$C$91,8)</f>
        <v>70</v>
      </c>
      <c r="E12" s="72">
        <f>IFERROR(INDEX(DATA_TECH!$D$4:$D$91,MATCH(LARGE(DATA_TECH!$C$4:$C$91,8),DATA_TECH!$C$4:$C$91,0)),"")</f>
        <v>40</v>
      </c>
      <c r="F12" s="72">
        <f>IFERROR(INDEX(DATA_TECH!$E$4:$E$91,MATCH(LARGE(DATA_TECH!$C$4:$C$91,8),DATA_TECH!$C$4:$C$91,0)),"")</f>
        <v>27.2</v>
      </c>
      <c r="G12" s="74">
        <f>IFERROR(INDEX(DATA_TECH!$F$4:$F$91,MATCH(LARGE(DATA_TECH!$C$4:$C$91,8),DATA_TECH!$C$4:$C$91,0)),"")</f>
        <v>48.6</v>
      </c>
      <c r="H12" s="74">
        <f>IFERROR(INDEX(DATA_TECH!$G$4:$G$91,MATCH(LARGE(DATA_TECH!$C$4:$C$91,8),DATA_TECH!$C$4:$C$91,0)),"")</f>
        <v>77.8</v>
      </c>
      <c r="I12" s="74">
        <f>IFERROR(INDEX(DATA_TECH!$H$4:$H$91,MATCH(LARGE(DATA_TECH!$C$4:$C$91,8),DATA_TECH!$C$4:$C$91,0)),"")</f>
        <v>44.7</v>
      </c>
    </row>
    <row r="13" spans="1:9" ht="16.95" customHeight="1" x14ac:dyDescent="0.3">
      <c r="A13" s="29">
        <v>9</v>
      </c>
      <c r="B13" s="30" t="str">
        <f>IFERROR(INDEX(DATA_TECH!$A$4:$A$91,MATCH(LARGE(DATA_TECH!$C$4:$C$91,9),DATA_TECH!$C$4:$C$91,0)),"")</f>
        <v>LLY</v>
      </c>
      <c r="C13" s="9" t="str">
        <f>IFERROR(INDEX(DATA_TECH!$B$4:$B$91,MATCH(LARGE(DATA_TECH!$C$4:$C$91,9),DATA_TECH!$C$4:$C$91,0)),"")</f>
        <v>Eli Lilly and Company</v>
      </c>
      <c r="D13" s="31">
        <f>LARGE(DATA_TECH!$C$4:$C$91,9)</f>
        <v>70</v>
      </c>
      <c r="E13" s="71">
        <f>IFERROR(INDEX(DATA_TECH!$D$4:$D$91,MATCH(LARGE(DATA_TECH!$C$4:$C$91,9),DATA_TECH!$C$4:$C$91,0)),"")</f>
        <v>40</v>
      </c>
      <c r="F13" s="71">
        <f>IFERROR(INDEX(DATA_TECH!$E$4:$E$91,MATCH(LARGE(DATA_TECH!$C$4:$C$91,9),DATA_TECH!$C$4:$C$91,0)),"")</f>
        <v>27.2</v>
      </c>
      <c r="G13" s="73">
        <f>IFERROR(INDEX(DATA_TECH!$F$4:$F$91,MATCH(LARGE(DATA_TECH!$C$4:$C$91,9),DATA_TECH!$C$4:$C$91,0)),"")</f>
        <v>48.6</v>
      </c>
      <c r="H13" s="73">
        <f>IFERROR(INDEX(DATA_TECH!$G$4:$G$91,MATCH(LARGE(DATA_TECH!$C$4:$C$91,9),DATA_TECH!$C$4:$C$91,0)),"")</f>
        <v>77.8</v>
      </c>
      <c r="I13" s="73">
        <f>IFERROR(INDEX(DATA_TECH!$H$4:$H$91,MATCH(LARGE(DATA_TECH!$C$4:$C$91,9),DATA_TECH!$C$4:$C$91,0)),"")</f>
        <v>44.7</v>
      </c>
    </row>
    <row r="14" spans="1:9" ht="16.95" customHeight="1" x14ac:dyDescent="0.3">
      <c r="A14" s="34">
        <v>10</v>
      </c>
      <c r="B14" s="35" t="str">
        <f>IFERROR(INDEX(DATA_TECH!$A$4:$A$91,MATCH(LARGE(DATA_TECH!$C$4:$C$91,10),DATA_TECH!$C$4:$C$91,0)),"")</f>
        <v>SAN.PA</v>
      </c>
      <c r="C14" s="13" t="str">
        <f>IFERROR(INDEX(DATA_TECH!$B$4:$B$91,MATCH(LARGE(DATA_TECH!$C$4:$C$91,10),DATA_TECH!$C$4:$C$91,0)),"")</f>
        <v>Sanofi</v>
      </c>
      <c r="D14" s="36">
        <f>LARGE(DATA_TECH!$C$4:$C$91,10)</f>
        <v>68</v>
      </c>
      <c r="E14" s="72">
        <f>IFERROR(INDEX(DATA_TECH!$D$4:$D$91,MATCH(LARGE(DATA_TECH!$C$4:$C$91,10),DATA_TECH!$C$4:$C$91,0)),"")</f>
        <v>12.7</v>
      </c>
      <c r="F14" s="72">
        <f>IFERROR(INDEX(DATA_TECH!$E$4:$E$91,MATCH(LARGE(DATA_TECH!$C$4:$C$91,10),DATA_TECH!$C$4:$C$91,0)),"")</f>
        <v>8.8000000000000007</v>
      </c>
      <c r="G14" s="74">
        <f>IFERROR(INDEX(DATA_TECH!$F$4:$F$91,MATCH(LARGE(DATA_TECH!$C$4:$C$91,10),DATA_TECH!$C$4:$C$91,0)),"")</f>
        <v>26.7</v>
      </c>
      <c r="H14" s="74">
        <f>IFERROR(INDEX(DATA_TECH!$G$4:$G$91,MATCH(LARGE(DATA_TECH!$C$4:$C$91,10),DATA_TECH!$C$4:$C$91,0)),"")</f>
        <v>10.9</v>
      </c>
      <c r="I14" s="74">
        <f>IFERROR(INDEX(DATA_TECH!$H$4:$H$91,MATCH(LARGE(DATA_TECH!$C$4:$C$91,10),DATA_TECH!$C$4:$C$91,0)),"")</f>
        <v>5.5</v>
      </c>
    </row>
    <row r="15" spans="1:9" ht="16.95" customHeight="1" x14ac:dyDescent="0.3">
      <c r="A15" s="29">
        <v>11</v>
      </c>
      <c r="B15" s="30" t="str">
        <f>IFERROR(INDEX(DATA_TECH!$A$4:$A$91,MATCH(LARGE(DATA_TECH!$C$4:$C$91,11),DATA_TECH!$C$4:$C$91,0)),"")</f>
        <v>GSK.L</v>
      </c>
      <c r="C15" s="9" t="str">
        <f>IFERROR(INDEX(DATA_TECH!$B$4:$B$91,MATCH(LARGE(DATA_TECH!$C$4:$C$91,11),DATA_TECH!$C$4:$C$91,0)),"")</f>
        <v>GSK plc</v>
      </c>
      <c r="D15" s="31">
        <f>LARGE(DATA_TECH!$C$4:$C$91,11)</f>
        <v>66</v>
      </c>
      <c r="E15" s="71">
        <f>IFERROR(INDEX(DATA_TECH!$D$4:$D$91,MATCH(LARGE(DATA_TECH!$C$4:$C$91,11),DATA_TECH!$C$4:$C$91,0)),"")</f>
        <v>0</v>
      </c>
      <c r="F15" s="71">
        <f>IFERROR(INDEX(DATA_TECH!$E$4:$E$91,MATCH(LARGE(DATA_TECH!$C$4:$C$91,11),DATA_TECH!$C$4:$C$91,0)),"")</f>
        <v>844.5</v>
      </c>
      <c r="G15" s="73">
        <f>IFERROR(INDEX(DATA_TECH!$F$4:$F$91,MATCH(LARGE(DATA_TECH!$C$4:$C$91,11),DATA_TECH!$C$4:$C$91,0)),"")</f>
        <v>31.8</v>
      </c>
      <c r="H15" s="73">
        <f>IFERROR(INDEX(DATA_TECH!$G$4:$G$91,MATCH(LARGE(DATA_TECH!$C$4:$C$91,11),DATA_TECH!$C$4:$C$91,0)),"")</f>
        <v>34.9</v>
      </c>
      <c r="I15" s="73">
        <f>IFERROR(INDEX(DATA_TECH!$H$4:$H$91,MATCH(LARGE(DATA_TECH!$C$4:$C$91,11),DATA_TECH!$C$4:$C$91,0)),"")</f>
        <v>4.0999999999999996</v>
      </c>
    </row>
    <row r="16" spans="1:9" ht="16.95" customHeight="1" x14ac:dyDescent="0.3">
      <c r="A16" s="34">
        <v>12</v>
      </c>
      <c r="B16" s="35" t="str">
        <f>IFERROR(INDEX(DATA_TECH!$A$4:$A$91,MATCH(LARGE(DATA_TECH!$C$4:$C$91,12),DATA_TECH!$C$4:$C$91,0)),"")</f>
        <v>GSK.L</v>
      </c>
      <c r="C16" s="13" t="str">
        <f>IFERROR(INDEX(DATA_TECH!$B$4:$B$91,MATCH(LARGE(DATA_TECH!$C$4:$C$91,12),DATA_TECH!$C$4:$C$91,0)),"")</f>
        <v>GSK plc</v>
      </c>
      <c r="D16" s="36">
        <f>LARGE(DATA_TECH!$C$4:$C$91,12)</f>
        <v>66</v>
      </c>
      <c r="E16" s="72">
        <f>IFERROR(INDEX(DATA_TECH!$D$4:$D$91,MATCH(LARGE(DATA_TECH!$C$4:$C$91,12),DATA_TECH!$C$4:$C$91,0)),"")</f>
        <v>0</v>
      </c>
      <c r="F16" s="72">
        <f>IFERROR(INDEX(DATA_TECH!$E$4:$E$91,MATCH(LARGE(DATA_TECH!$C$4:$C$91,12),DATA_TECH!$C$4:$C$91,0)),"")</f>
        <v>844.5</v>
      </c>
      <c r="G16" s="74">
        <f>IFERROR(INDEX(DATA_TECH!$F$4:$F$91,MATCH(LARGE(DATA_TECH!$C$4:$C$91,12),DATA_TECH!$C$4:$C$91,0)),"")</f>
        <v>31.8</v>
      </c>
      <c r="H16" s="74">
        <f>IFERROR(INDEX(DATA_TECH!$G$4:$G$91,MATCH(LARGE(DATA_TECH!$C$4:$C$91,12),DATA_TECH!$C$4:$C$91,0)),"")</f>
        <v>34.9</v>
      </c>
      <c r="I16" s="74">
        <f>IFERROR(INDEX(DATA_TECH!$H$4:$H$91,MATCH(LARGE(DATA_TECH!$C$4:$C$91,12),DATA_TECH!$C$4:$C$91,0)),"")</f>
        <v>4.0999999999999996</v>
      </c>
    </row>
    <row r="17" spans="1:9" ht="16.95" customHeight="1" x14ac:dyDescent="0.3">
      <c r="A17" s="29">
        <v>13</v>
      </c>
      <c r="B17" s="30" t="str">
        <f>IFERROR(INDEX(DATA_TECH!$A$4:$A$91,MATCH(LARGE(DATA_TECH!$C$4:$C$91,13),DATA_TECH!$C$4:$C$91,0)),"")</f>
        <v>GSK.L</v>
      </c>
      <c r="C17" s="9" t="str">
        <f>IFERROR(INDEX(DATA_TECH!$B$4:$B$91,MATCH(LARGE(DATA_TECH!$C$4:$C$91,13),DATA_TECH!$C$4:$C$91,0)),"")</f>
        <v>GSK plc</v>
      </c>
      <c r="D17" s="31">
        <f>LARGE(DATA_TECH!$C$4:$C$91,13)</f>
        <v>66</v>
      </c>
      <c r="E17" s="71">
        <f>IFERROR(INDEX(DATA_TECH!$D$4:$D$91,MATCH(LARGE(DATA_TECH!$C$4:$C$91,13),DATA_TECH!$C$4:$C$91,0)),"")</f>
        <v>0</v>
      </c>
      <c r="F17" s="71">
        <f>IFERROR(INDEX(DATA_TECH!$E$4:$E$91,MATCH(LARGE(DATA_TECH!$C$4:$C$91,13),DATA_TECH!$C$4:$C$91,0)),"")</f>
        <v>844.5</v>
      </c>
      <c r="G17" s="73">
        <f>IFERROR(INDEX(DATA_TECH!$F$4:$F$91,MATCH(LARGE(DATA_TECH!$C$4:$C$91,13),DATA_TECH!$C$4:$C$91,0)),"")</f>
        <v>31.8</v>
      </c>
      <c r="H17" s="73">
        <f>IFERROR(INDEX(DATA_TECH!$G$4:$G$91,MATCH(LARGE(DATA_TECH!$C$4:$C$91,13),DATA_TECH!$C$4:$C$91,0)),"")</f>
        <v>34.9</v>
      </c>
      <c r="I17" s="73">
        <f>IFERROR(INDEX(DATA_TECH!$H$4:$H$91,MATCH(LARGE(DATA_TECH!$C$4:$C$91,13),DATA_TECH!$C$4:$C$91,0)),"")</f>
        <v>4.0999999999999996</v>
      </c>
    </row>
    <row r="18" spans="1:9" ht="16.95" customHeight="1" x14ac:dyDescent="0.3">
      <c r="A18" s="34">
        <v>14</v>
      </c>
      <c r="B18" s="35" t="str">
        <f>IFERROR(INDEX(DATA_TECH!$A$4:$A$91,MATCH(LARGE(DATA_TECH!$C$4:$C$91,14),DATA_TECH!$C$4:$C$91,0)),"")</f>
        <v>BIIB</v>
      </c>
      <c r="C18" s="13" t="str">
        <f>IFERROR(INDEX(DATA_TECH!$B$4:$B$91,MATCH(LARGE(DATA_TECH!$C$4:$C$91,14),DATA_TECH!$C$4:$C$91,0)),"")</f>
        <v>Biogen Inc.</v>
      </c>
      <c r="D18" s="36">
        <f>LARGE(DATA_TECH!$C$4:$C$91,14)</f>
        <v>65</v>
      </c>
      <c r="E18" s="72">
        <f>IFERROR(INDEX(DATA_TECH!$D$4:$D$91,MATCH(LARGE(DATA_TECH!$C$4:$C$91,14),DATA_TECH!$C$4:$C$91,0)),"")</f>
        <v>20.3</v>
      </c>
      <c r="F18" s="72">
        <f>IFERROR(INDEX(DATA_TECH!$E$4:$E$91,MATCH(LARGE(DATA_TECH!$C$4:$C$91,14),DATA_TECH!$C$4:$C$91,0)),"")</f>
        <v>11.4</v>
      </c>
      <c r="G18" s="74">
        <f>IFERROR(INDEX(DATA_TECH!$F$4:$F$91,MATCH(LARGE(DATA_TECH!$C$4:$C$91,14),DATA_TECH!$C$4:$C$91,0)),"")</f>
        <v>26.3</v>
      </c>
      <c r="H18" s="74">
        <f>IFERROR(INDEX(DATA_TECH!$G$4:$G$91,MATCH(LARGE(DATA_TECH!$C$4:$C$91,14),DATA_TECH!$C$4:$C$91,0)),"")</f>
        <v>7.1</v>
      </c>
      <c r="I18" s="74">
        <f>IFERROR(INDEX(DATA_TECH!$H$4:$H$91,MATCH(LARGE(DATA_TECH!$C$4:$C$91,14),DATA_TECH!$C$4:$C$91,0)),"")</f>
        <v>2.2000000000000002</v>
      </c>
    </row>
    <row r="19" spans="1:9" ht="16.95" customHeight="1" x14ac:dyDescent="0.3">
      <c r="A19" s="29">
        <v>15</v>
      </c>
      <c r="B19" s="30" t="str">
        <f>IFERROR(INDEX(DATA_TECH!$A$4:$A$91,MATCH(LARGE(DATA_TECH!$C$4:$C$91,15),DATA_TECH!$C$4:$C$91,0)),"")</f>
        <v>BIIB</v>
      </c>
      <c r="C19" s="9" t="str">
        <f>IFERROR(INDEX(DATA_TECH!$B$4:$B$91,MATCH(LARGE(DATA_TECH!$C$4:$C$91,15),DATA_TECH!$C$4:$C$91,0)),"")</f>
        <v>Biogen Inc.</v>
      </c>
      <c r="D19" s="31">
        <f>LARGE(DATA_TECH!$C$4:$C$91,15)</f>
        <v>65</v>
      </c>
      <c r="E19" s="71">
        <f>IFERROR(INDEX(DATA_TECH!$D$4:$D$91,MATCH(LARGE(DATA_TECH!$C$4:$C$91,15),DATA_TECH!$C$4:$C$91,0)),"")</f>
        <v>20.3</v>
      </c>
      <c r="F19" s="71">
        <f>IFERROR(INDEX(DATA_TECH!$E$4:$E$91,MATCH(LARGE(DATA_TECH!$C$4:$C$91,15),DATA_TECH!$C$4:$C$91,0)),"")</f>
        <v>11.4</v>
      </c>
      <c r="G19" s="73">
        <f>IFERROR(INDEX(DATA_TECH!$F$4:$F$91,MATCH(LARGE(DATA_TECH!$C$4:$C$91,15),DATA_TECH!$C$4:$C$91,0)),"")</f>
        <v>26.3</v>
      </c>
      <c r="H19" s="73">
        <f>IFERROR(INDEX(DATA_TECH!$G$4:$G$91,MATCH(LARGE(DATA_TECH!$C$4:$C$91,15),DATA_TECH!$C$4:$C$91,0)),"")</f>
        <v>7.1</v>
      </c>
      <c r="I19" s="73">
        <f>IFERROR(INDEX(DATA_TECH!$H$4:$H$91,MATCH(LARGE(DATA_TECH!$C$4:$C$91,15),DATA_TECH!$C$4:$C$91,0)),"")</f>
        <v>2.2000000000000002</v>
      </c>
    </row>
    <row r="20" spans="1:9" ht="16.95" customHeight="1" x14ac:dyDescent="0.3">
      <c r="A20" s="34">
        <v>16</v>
      </c>
      <c r="B20" s="35" t="str">
        <f>IFERROR(INDEX(DATA_TECH!$A$4:$A$91,MATCH(LARGE(DATA_TECH!$C$4:$C$91,16),DATA_TECH!$C$4:$C$91,0)),"")</f>
        <v>PHIA.AS</v>
      </c>
      <c r="C20" s="13" t="str">
        <f>IFERROR(INDEX(DATA_TECH!$B$4:$B$91,MATCH(LARGE(DATA_TECH!$C$4:$C$91,16),DATA_TECH!$C$4:$C$91,0)),"")</f>
        <v>Koninklijke Philips N.V.</v>
      </c>
      <c r="D20" s="36">
        <f>LARGE(DATA_TECH!$C$4:$C$91,16)</f>
        <v>64</v>
      </c>
      <c r="E20" s="72">
        <f>IFERROR(INDEX(DATA_TECH!$D$4:$D$91,MATCH(LARGE(DATA_TECH!$C$4:$C$91,16),DATA_TECH!$C$4:$C$91,0)),"")</f>
        <v>26.4</v>
      </c>
      <c r="F20" s="72">
        <f>IFERROR(INDEX(DATA_TECH!$E$4:$E$91,MATCH(LARGE(DATA_TECH!$C$4:$C$91,16),DATA_TECH!$C$4:$C$91,0)),"")</f>
        <v>10.6</v>
      </c>
      <c r="G20" s="74">
        <f>IFERROR(INDEX(DATA_TECH!$F$4:$F$91,MATCH(LARGE(DATA_TECH!$C$4:$C$91,16),DATA_TECH!$C$4:$C$91,0)),"")</f>
        <v>14.6</v>
      </c>
      <c r="H20" s="74">
        <f>IFERROR(INDEX(DATA_TECH!$G$4:$G$91,MATCH(LARGE(DATA_TECH!$C$4:$C$91,16),DATA_TECH!$C$4:$C$91,0)),"")</f>
        <v>8.1999999999999993</v>
      </c>
      <c r="I20" s="74">
        <f>IFERROR(INDEX(DATA_TECH!$H$4:$H$91,MATCH(LARGE(DATA_TECH!$C$4:$C$91,16),DATA_TECH!$C$4:$C$91,0)),"")</f>
        <v>-100</v>
      </c>
    </row>
    <row r="21" spans="1:9" ht="16.95" customHeight="1" x14ac:dyDescent="0.3">
      <c r="A21" s="29">
        <v>17</v>
      </c>
      <c r="B21" s="30" t="str">
        <f>IFERROR(INDEX(DATA_TECH!$A$4:$A$91,MATCH(LARGE(DATA_TECH!$C$4:$C$91,17),DATA_TECH!$C$4:$C$91,0)),"")</f>
        <v>AZN.L</v>
      </c>
      <c r="C21" s="9" t="str">
        <f>IFERROR(INDEX(DATA_TECH!$B$4:$B$91,MATCH(LARGE(DATA_TECH!$C$4:$C$91,17),DATA_TECH!$C$4:$C$91,0)),"")</f>
        <v>AstraZeneca PLC</v>
      </c>
      <c r="D21" s="31">
        <f>LARGE(DATA_TECH!$C$4:$C$91,17)</f>
        <v>63</v>
      </c>
      <c r="E21" s="71">
        <f>IFERROR(INDEX(DATA_TECH!$D$4:$D$91,MATCH(LARGE(DATA_TECH!$C$4:$C$91,17),DATA_TECH!$C$4:$C$91,0)),"")</f>
        <v>0</v>
      </c>
      <c r="F21" s="71">
        <f>IFERROR(INDEX(DATA_TECH!$E$4:$E$91,MATCH(LARGE(DATA_TECH!$C$4:$C$91,17),DATA_TECH!$C$4:$C$91,0)),"")</f>
        <v>0</v>
      </c>
      <c r="G21" s="73">
        <f>IFERROR(INDEX(DATA_TECH!$F$4:$F$91,MATCH(LARGE(DATA_TECH!$C$4:$C$91,17),DATA_TECH!$C$4:$C$91,0)),"")</f>
        <v>33.200000000000003</v>
      </c>
      <c r="H21" s="73">
        <f>IFERROR(INDEX(DATA_TECH!$G$4:$G$91,MATCH(LARGE(DATA_TECH!$C$4:$C$91,17),DATA_TECH!$C$4:$C$91,0)),"")</f>
        <v>21</v>
      </c>
      <c r="I21" s="73">
        <f>IFERROR(INDEX(DATA_TECH!$H$4:$H$91,MATCH(LARGE(DATA_TECH!$C$4:$C$91,17),DATA_TECH!$C$4:$C$91,0)),"")</f>
        <v>8.6</v>
      </c>
    </row>
    <row r="22" spans="1:9" ht="16.95" customHeight="1" x14ac:dyDescent="0.3">
      <c r="A22" s="34">
        <v>18</v>
      </c>
      <c r="B22" s="35" t="str">
        <f>IFERROR(INDEX(DATA_TECH!$A$4:$A$91,MATCH(LARGE(DATA_TECH!$C$4:$C$91,18),DATA_TECH!$C$4:$C$91,0)),"")</f>
        <v>ERF.PA</v>
      </c>
      <c r="C22" s="13" t="str">
        <f>IFERROR(INDEX(DATA_TECH!$B$4:$B$91,MATCH(LARGE(DATA_TECH!$C$4:$C$91,18),DATA_TECH!$C$4:$C$91,0)),"")</f>
        <v>Eurofins Scientific SE</v>
      </c>
      <c r="D22" s="36">
        <f>LARGE(DATA_TECH!$C$4:$C$91,18)</f>
        <v>59</v>
      </c>
      <c r="E22" s="72">
        <f>IFERROR(INDEX(DATA_TECH!$D$4:$D$91,MATCH(LARGE(DATA_TECH!$C$4:$C$91,18),DATA_TECH!$C$4:$C$91,0)),"")</f>
        <v>25.3</v>
      </c>
      <c r="F22" s="72">
        <f>IFERROR(INDEX(DATA_TECH!$E$4:$E$91,MATCH(LARGE(DATA_TECH!$C$4:$C$91,18),DATA_TECH!$C$4:$C$91,0)),"")</f>
        <v>9.9</v>
      </c>
      <c r="G22" s="74">
        <f>IFERROR(INDEX(DATA_TECH!$F$4:$F$91,MATCH(LARGE(DATA_TECH!$C$4:$C$91,18),DATA_TECH!$C$4:$C$91,0)),"")</f>
        <v>21</v>
      </c>
      <c r="H22" s="74">
        <f>IFERROR(INDEX(DATA_TECH!$G$4:$G$91,MATCH(LARGE(DATA_TECH!$C$4:$C$91,18),DATA_TECH!$C$4:$C$91,0)),"")</f>
        <v>10.5</v>
      </c>
      <c r="I22" s="74">
        <f>IFERROR(INDEX(DATA_TECH!$H$4:$H$91,MATCH(LARGE(DATA_TECH!$C$4:$C$91,18),DATA_TECH!$C$4:$C$91,0)),"")</f>
        <v>5</v>
      </c>
    </row>
    <row r="23" spans="1:9" ht="16.95" customHeight="1" x14ac:dyDescent="0.3">
      <c r="A23" s="29">
        <v>19</v>
      </c>
      <c r="B23" s="30" t="str">
        <f>IFERROR(INDEX(DATA_TECH!$A$4:$A$91,MATCH(LARGE(DATA_TECH!$C$4:$C$91,19),DATA_TECH!$C$4:$C$91,0)),"")</f>
        <v>PFE</v>
      </c>
      <c r="C23" s="9" t="str">
        <f>IFERROR(INDEX(DATA_TECH!$B$4:$B$91,MATCH(LARGE(DATA_TECH!$C$4:$C$91,19),DATA_TECH!$C$4:$C$91,0)),"")</f>
        <v>Pfizer Inc.</v>
      </c>
      <c r="D23" s="31">
        <f>LARGE(DATA_TECH!$C$4:$C$91,19)</f>
        <v>58</v>
      </c>
      <c r="E23" s="71">
        <f>IFERROR(INDEX(DATA_TECH!$D$4:$D$91,MATCH(LARGE(DATA_TECH!$C$4:$C$91,19),DATA_TECH!$C$4:$C$91,0)),"")</f>
        <v>19.8</v>
      </c>
      <c r="F23" s="71">
        <f>IFERROR(INDEX(DATA_TECH!$E$4:$E$91,MATCH(LARGE(DATA_TECH!$C$4:$C$91,19),DATA_TECH!$C$4:$C$91,0)),"")</f>
        <v>12.9</v>
      </c>
      <c r="G23" s="73">
        <f>IFERROR(INDEX(DATA_TECH!$F$4:$F$91,MATCH(LARGE(DATA_TECH!$C$4:$C$91,19),DATA_TECH!$C$4:$C$91,0)),"")</f>
        <v>26.8</v>
      </c>
      <c r="H23" s="73">
        <f>IFERROR(INDEX(DATA_TECH!$G$4:$G$91,MATCH(LARGE(DATA_TECH!$C$4:$C$91,19),DATA_TECH!$C$4:$C$91,0)),"")</f>
        <v>9</v>
      </c>
      <c r="I23" s="73">
        <f>IFERROR(INDEX(DATA_TECH!$H$4:$H$91,MATCH(LARGE(DATA_TECH!$C$4:$C$91,19),DATA_TECH!$C$4:$C$91,0)),"")</f>
        <v>-160</v>
      </c>
    </row>
    <row r="24" spans="1:9" ht="16.95" customHeight="1" x14ac:dyDescent="0.3">
      <c r="A24" s="34">
        <v>20</v>
      </c>
      <c r="B24" s="35" t="str">
        <f>IFERROR(INDEX(DATA_TECH!$A$4:$A$91,MATCH(LARGE(DATA_TECH!$C$4:$C$91,20),DATA_TECH!$C$4:$C$91,0)),"")</f>
        <v>CAH</v>
      </c>
      <c r="C24" s="13" t="str">
        <f>IFERROR(INDEX(DATA_TECH!$B$4:$B$91,MATCH(LARGE(DATA_TECH!$C$4:$C$91,20),DATA_TECH!$C$4:$C$91,0)),"")</f>
        <v>Cardinal Health, Inc.</v>
      </c>
      <c r="D24" s="36">
        <f>LARGE(DATA_TECH!$C$4:$C$91,20)</f>
        <v>57</v>
      </c>
      <c r="E24" s="72">
        <f>IFERROR(INDEX(DATA_TECH!$D$4:$D$91,MATCH(LARGE(DATA_TECH!$C$4:$C$91,20),DATA_TECH!$C$4:$C$91,0)),"")</f>
        <v>32.4</v>
      </c>
      <c r="F24" s="72">
        <f>IFERROR(INDEX(DATA_TECH!$E$4:$E$91,MATCH(LARGE(DATA_TECH!$C$4:$C$91,20),DATA_TECH!$C$4:$C$91,0)),"")</f>
        <v>17.8</v>
      </c>
      <c r="G24" s="74">
        <f>IFERROR(INDEX(DATA_TECH!$F$4:$F$91,MATCH(LARGE(DATA_TECH!$C$4:$C$91,20),DATA_TECH!$C$4:$C$91,0)),"")</f>
        <v>140</v>
      </c>
      <c r="H24" s="74">
        <f>IFERROR(INDEX(DATA_TECH!$G$4:$G$91,MATCH(LARGE(DATA_TECH!$C$4:$C$91,20),DATA_TECH!$C$4:$C$91,0)),"")</f>
        <v>-56.1</v>
      </c>
      <c r="I24" s="74">
        <f>IFERROR(INDEX(DATA_TECH!$H$4:$H$91,MATCH(LARGE(DATA_TECH!$C$4:$C$91,20),DATA_TECH!$C$4:$C$91,0)),"")</f>
        <v>-190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showGridLines="0" workbookViewId="0">
      <selection activeCell="G13" sqref="G13"/>
    </sheetView>
  </sheetViews>
  <sheetFormatPr baseColWidth="10" defaultColWidth="8.88671875" defaultRowHeight="14.4" x14ac:dyDescent="0.3"/>
  <cols>
    <col min="1" max="1" width="7.44140625" customWidth="1"/>
    <col min="2" max="2" width="13" customWidth="1"/>
    <col min="3" max="3" width="33.33203125" customWidth="1"/>
    <col min="4" max="4" width="11.109375" customWidth="1"/>
    <col min="5" max="6" width="13.88671875" customWidth="1"/>
    <col min="7" max="9" width="15.77734375" customWidth="1"/>
    <col min="10" max="10" width="16.6640625" customWidth="1"/>
  </cols>
  <sheetData>
    <row r="1" spans="1:9" ht="25.95" customHeight="1" x14ac:dyDescent="0.35">
      <c r="A1" s="2" t="s">
        <v>0</v>
      </c>
      <c r="B1" s="1"/>
      <c r="C1" s="3" t="s">
        <v>85</v>
      </c>
      <c r="D1" s="1"/>
      <c r="E1" s="1"/>
      <c r="F1" s="1"/>
      <c r="G1" s="1"/>
      <c r="H1" s="1"/>
      <c r="I1" s="1"/>
    </row>
    <row r="2" spans="1:9" ht="15" customHeight="1" x14ac:dyDescent="0.3">
      <c r="A2" s="5" t="s">
        <v>86</v>
      </c>
      <c r="B2" s="4"/>
      <c r="C2" s="4"/>
      <c r="D2" s="4"/>
      <c r="E2" s="4"/>
      <c r="F2" s="4"/>
      <c r="G2" s="4"/>
      <c r="H2" s="4"/>
      <c r="I2" s="4"/>
    </row>
    <row r="3" spans="1:9" ht="19.95" customHeight="1" x14ac:dyDescent="0.3">
      <c r="A3" s="7" t="s">
        <v>87</v>
      </c>
      <c r="B3" s="6"/>
      <c r="C3" s="6"/>
      <c r="D3" s="6"/>
      <c r="E3" s="6"/>
      <c r="F3" s="6"/>
      <c r="G3" s="6"/>
      <c r="H3" s="6"/>
      <c r="I3" s="6"/>
    </row>
    <row r="4" spans="1:9" ht="18" customHeight="1" x14ac:dyDescent="0.3">
      <c r="A4" s="15" t="s">
        <v>83</v>
      </c>
      <c r="B4" s="16" t="s">
        <v>41</v>
      </c>
      <c r="C4" s="16" t="s">
        <v>42</v>
      </c>
      <c r="D4" s="16" t="s">
        <v>43</v>
      </c>
      <c r="E4" s="16" t="s">
        <v>35</v>
      </c>
      <c r="F4" s="16" t="s">
        <v>36</v>
      </c>
      <c r="G4" s="16" t="s">
        <v>84</v>
      </c>
      <c r="H4" s="16" t="s">
        <v>37</v>
      </c>
      <c r="I4" s="16" t="s">
        <v>45</v>
      </c>
    </row>
    <row r="5" spans="1:9" ht="16.95" customHeight="1" x14ac:dyDescent="0.3">
      <c r="A5" s="29">
        <v>1</v>
      </c>
      <c r="B5" s="30" t="str">
        <f>IFERROR(INDEX(DATA_HC!$A$4:$A$9,MATCH(LARGE(DATA_HC!$C$4:$C$9,1),DATA_HC!$C$4:$C$9,0)),"")</f>
        <v>SIE.DE</v>
      </c>
      <c r="C5" s="9" t="str">
        <f>IFERROR(INDEX(DATA_HC!$B$4:$B$9,MATCH(LARGE(DATA_HC!$C$4:$C$9,1),DATA_HC!$C$4:$C$9,0)),"")</f>
        <v>Siemens Aktiengesellschaft</v>
      </c>
      <c r="D5" s="31">
        <f>LARGE(DATA_HC!$C$4:$C$9,1)</f>
        <v>63</v>
      </c>
      <c r="E5" s="71">
        <f>IFERROR(INDEX(DATA_HC!$D$4:$D$9,MATCH(LARGE(DATA_HC!$C$4:$C$9,1),DATA_HC!$C$4:$C$9,0)),"")</f>
        <v>23.69</v>
      </c>
      <c r="F5" s="71">
        <f>IFERROR(INDEX(DATA_HC!$E$4:$E$9,MATCH(LARGE(DATA_HC!$C$4:$C$9,1),DATA_HC!$C$4:$C$9,0)),"")</f>
        <v>19.420000000000002</v>
      </c>
      <c r="G5" s="73">
        <f>IFERROR(INDEX(DATA_HC!$F$4:$F$9,MATCH(LARGE(DATA_HC!$C$4:$C$9,1),DATA_HC!$C$4:$C$9,0)),"")</f>
        <v>15</v>
      </c>
      <c r="H5" s="73">
        <f>IFERROR(INDEX(DATA_HC!$G$4:$G$9,MATCH(LARGE(DATA_HC!$C$4:$C$9,1),DATA_HC!$C$4:$C$9,0)),"")</f>
        <v>12.8</v>
      </c>
      <c r="I5" s="73">
        <f>IFERROR(INDEX(DATA_HC!$H$4:$H$9,MATCH(LARGE(DATA_HC!$C$4:$C$9,1),DATA_HC!$C$4:$C$9,0)),"")</f>
        <v>4.3</v>
      </c>
    </row>
    <row r="6" spans="1:9" ht="16.95" customHeight="1" x14ac:dyDescent="0.3">
      <c r="A6" s="34">
        <v>2</v>
      </c>
      <c r="B6" s="35" t="str">
        <f>IFERROR(INDEX(DATA_HC!$A$4:$A$9,MATCH(LARGE(DATA_HC!$C$4:$C$9,2),DATA_HC!$C$4:$C$9,0)),"")</f>
        <v>SAP.DE</v>
      </c>
      <c r="C6" s="13" t="str">
        <f>IFERROR(INDEX(DATA_HC!$B$4:$B$9,MATCH(LARGE(DATA_HC!$C$4:$C$9,2),DATA_HC!$C$4:$C$9,0)),"")</f>
        <v>SAP SE</v>
      </c>
      <c r="D6" s="36">
        <f>LARGE(DATA_HC!$C$4:$C$9,2)</f>
        <v>60</v>
      </c>
      <c r="E6" s="72">
        <f>IFERROR(INDEX(DATA_HC!$D$4:$D$9,MATCH(LARGE(DATA_HC!$C$4:$C$9,2),DATA_HC!$C$4:$C$9,0)),"")</f>
        <v>23.49</v>
      </c>
      <c r="F6" s="72">
        <f>IFERROR(INDEX(DATA_HC!$E$4:$E$9,MATCH(LARGE(DATA_HC!$C$4:$C$9,2),DATA_HC!$C$4:$C$9,0)),"")</f>
        <v>14.77</v>
      </c>
      <c r="G6" s="74">
        <f>IFERROR(INDEX(DATA_HC!$F$4:$F$9,MATCH(LARGE(DATA_HC!$C$4:$C$9,2),DATA_HC!$C$4:$C$9,0)),"")</f>
        <v>30.5</v>
      </c>
      <c r="H6" s="74">
        <f>IFERROR(INDEX(DATA_HC!$G$4:$G$9,MATCH(LARGE(DATA_HC!$C$4:$C$9,2),DATA_HC!$C$4:$C$9,0)),"")</f>
        <v>16.100000000000001</v>
      </c>
      <c r="I6" s="74">
        <f>IFERROR(INDEX(DATA_HC!$H$4:$H$9,MATCH(LARGE(DATA_HC!$C$4:$C$9,2),DATA_HC!$C$4:$C$9,0)),"")</f>
        <v>3.3</v>
      </c>
    </row>
    <row r="7" spans="1:9" ht="16.95" customHeight="1" x14ac:dyDescent="0.3">
      <c r="A7" s="29">
        <v>3</v>
      </c>
      <c r="B7" s="30" t="str">
        <f>IFERROR(INDEX(DATA_HC!$A$4:$A$9,MATCH(LARGE(DATA_HC!$C$4:$C$9,3),DATA_HC!$C$4:$C$9,0)),"")</f>
        <v>IFX.DE</v>
      </c>
      <c r="C7" s="9" t="str">
        <f>IFERROR(INDEX(DATA_HC!$B$4:$B$9,MATCH(LARGE(DATA_HC!$C$4:$C$9,3),DATA_HC!$C$4:$C$9,0)),"")</f>
        <v>Infineon Technologies AG</v>
      </c>
      <c r="D7" s="31">
        <f>LARGE(DATA_HC!$C$4:$C$9,3)</f>
        <v>56</v>
      </c>
      <c r="E7" s="71">
        <f>IFERROR(INDEX(DATA_HC!$D$4:$D$9,MATCH(LARGE(DATA_HC!$C$4:$C$9,3),DATA_HC!$C$4:$C$9,0)),"")</f>
        <v>55.95</v>
      </c>
      <c r="F7" s="71">
        <f>IFERROR(INDEX(DATA_HC!$E$4:$E$9,MATCH(LARGE(DATA_HC!$C$4:$C$9,3),DATA_HC!$C$4:$C$9,0)),"")</f>
        <v>15.57</v>
      </c>
      <c r="G7" s="73">
        <f>IFERROR(INDEX(DATA_HC!$F$4:$F$9,MATCH(LARGE(DATA_HC!$C$4:$C$9,3),DATA_HC!$C$4:$C$9,0)),"")</f>
        <v>27.3</v>
      </c>
      <c r="H7" s="73">
        <f>IFERROR(INDEX(DATA_HC!$G$4:$G$9,MATCH(LARGE(DATA_HC!$C$4:$C$9,3),DATA_HC!$C$4:$C$9,0)),"")</f>
        <v>5.7</v>
      </c>
      <c r="I7" s="73">
        <f>IFERROR(INDEX(DATA_HC!$H$4:$H$9,MATCH(LARGE(DATA_HC!$C$4:$C$9,3),DATA_HC!$C$4:$C$9,0)),"")</f>
        <v>7</v>
      </c>
    </row>
    <row r="8" spans="1:9" ht="16.95" customHeight="1" x14ac:dyDescent="0.3">
      <c r="A8" s="34">
        <v>4</v>
      </c>
      <c r="B8" s="35" t="str">
        <f>IFERROR(INDEX(DATA_HC!$A$4:$A$9,MATCH(LARGE(DATA_HC!$C$4:$C$9,4),DATA_HC!$C$4:$C$9,0)),"")</f>
        <v/>
      </c>
      <c r="C8" s="13" t="str">
        <f>IFERROR(INDEX(DATA_HC!$B$4:$B$9,MATCH(LARGE(DATA_HC!$C$4:$C$9,4),DATA_HC!$C$4:$C$9,0)),"")</f>
        <v/>
      </c>
      <c r="D8" s="36" t="str">
        <f>IFERROR(LARGE(DATA_HC!$C$4:$C$9,4),"—")</f>
        <v>—</v>
      </c>
      <c r="E8" s="72" t="str">
        <f>IFERROR(INDEX(DATA_HC!$D$4:$D$9,MATCH(LARGE(DATA_HC!$C$4:$C$9,4),DATA_HC!$C$4:$C$9,0)),"")</f>
        <v/>
      </c>
      <c r="F8" s="72" t="str">
        <f>IFERROR(INDEX(DATA_HC!$E$4:$E$9,MATCH(LARGE(DATA_HC!$C$4:$C$9,4),DATA_HC!$C$4:$C$9,0)),"")</f>
        <v/>
      </c>
      <c r="G8" s="74" t="str">
        <f>IFERROR(INDEX(DATA_HC!$F$4:$F$9,MATCH(LARGE(DATA_HC!$C$4:$C$9,4),DATA_HC!$C$4:$C$9,0)),"")</f>
        <v/>
      </c>
      <c r="H8" s="74" t="str">
        <f>IFERROR(INDEX(DATA_HC!$G$4:$G$9,MATCH(LARGE(DATA_HC!$C$4:$C$9,4),DATA_HC!$C$4:$C$9,0)),"")</f>
        <v/>
      </c>
      <c r="I8" s="74" t="str">
        <f>IFERROR(INDEX(DATA_HC!$H$4:$H$9,MATCH(LARGE(DATA_HC!$C$4:$C$9,4),DATA_HC!$C$4:$C$9,0)),"")</f>
        <v/>
      </c>
    </row>
    <row r="9" spans="1:9" ht="16.95" customHeight="1" x14ac:dyDescent="0.3">
      <c r="A9" s="29">
        <v>5</v>
      </c>
      <c r="B9" s="30" t="str">
        <f>IFERROR(INDEX(DATA_HC!$A$4:$A$9,MATCH(LARGE(DATA_HC!$C$4:$C$9,5),DATA_HC!$C$4:$C$9,0)),"")</f>
        <v/>
      </c>
      <c r="C9" s="9" t="str">
        <f>IFERROR(INDEX(DATA_HC!$B$4:$B$9,MATCH(LARGE(DATA_HC!$C$4:$C$9,5),DATA_HC!$C$4:$C$9,0)),"")</f>
        <v/>
      </c>
      <c r="D9" s="31" t="str">
        <f>IFERROR(LARGE(DATA_HC!$C$4:$C$9,5),"—")</f>
        <v>—</v>
      </c>
      <c r="E9" s="71" t="str">
        <f>IFERROR(INDEX(DATA_HC!$D$4:$D$9,MATCH(LARGE(DATA_HC!$C$4:$C$9,5),DATA_HC!$C$4:$C$9,0)),"")</f>
        <v/>
      </c>
      <c r="F9" s="71" t="str">
        <f>IFERROR(INDEX(DATA_HC!$E$4:$E$9,MATCH(LARGE(DATA_HC!$C$4:$C$9,5),DATA_HC!$C$4:$C$9,0)),"")</f>
        <v/>
      </c>
      <c r="G9" s="73" t="str">
        <f>IFERROR(INDEX(DATA_HC!$F$4:$F$9,MATCH(LARGE(DATA_HC!$C$4:$C$9,5),DATA_HC!$C$4:$C$9,0)),"")</f>
        <v/>
      </c>
      <c r="H9" s="73" t="str">
        <f>IFERROR(INDEX(DATA_HC!$G$4:$G$9,MATCH(LARGE(DATA_HC!$C$4:$C$9,5),DATA_HC!$C$4:$C$9,0)),"")</f>
        <v/>
      </c>
      <c r="I9" s="73" t="str">
        <f>IFERROR(INDEX(DATA_HC!$H$4:$H$9,MATCH(LARGE(DATA_HC!$C$4:$C$9,5),DATA_HC!$C$4:$C$9,0)),"")</f>
        <v/>
      </c>
    </row>
    <row r="10" spans="1:9" ht="16.95" customHeight="1" x14ac:dyDescent="0.3">
      <c r="A10" s="34">
        <v>6</v>
      </c>
      <c r="B10" s="35" t="str">
        <f>IFERROR(INDEX(DATA_HC!$A$4:$A$9,MATCH(LARGE(DATA_HC!$C$4:$C$9,6),DATA_HC!$C$4:$C$9,0)),"")</f>
        <v/>
      </c>
      <c r="C10" s="13" t="str">
        <f>IFERROR(INDEX(DATA_HC!$B$4:$B$9,MATCH(LARGE(DATA_HC!$C$4:$C$9,6),DATA_HC!$C$4:$C$9,0)),"")</f>
        <v/>
      </c>
      <c r="D10" s="36" t="str">
        <f>IFERROR(LARGE(DATA_HC!$C$4:$C$9,6),"—")</f>
        <v>—</v>
      </c>
      <c r="E10" s="72" t="str">
        <f>IFERROR(INDEX(DATA_HC!$D$4:$D$9,MATCH(LARGE(DATA_HC!$C$4:$C$9,6),DATA_HC!$C$4:$C$9,0)),"")</f>
        <v/>
      </c>
      <c r="F10" s="72" t="str">
        <f>IFERROR(INDEX(DATA_HC!$E$4:$E$9,MATCH(LARGE(DATA_HC!$C$4:$C$9,6),DATA_HC!$C$4:$C$9,0)),"")</f>
        <v/>
      </c>
      <c r="G10" s="74" t="str">
        <f>IFERROR(INDEX(DATA_HC!$F$4:$F$9,MATCH(LARGE(DATA_HC!$C$4:$C$9,6),DATA_HC!$C$4:$C$9,0)),"")</f>
        <v/>
      </c>
      <c r="H10" s="74" t="str">
        <f>IFERROR(INDEX(DATA_HC!$G$4:$G$9,MATCH(LARGE(DATA_HC!$C$4:$C$9,6),DATA_HC!$C$4:$C$9,0)),"")</f>
        <v/>
      </c>
      <c r="I10" s="74" t="str">
        <f>IFERROR(INDEX(DATA_HC!$H$4:$H$9,MATCH(LARGE(DATA_HC!$C$4:$C$9,6),DATA_HC!$C$4:$C$9,0)),"")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1"/>
  <sheetViews>
    <sheetView showGridLines="0" workbookViewId="0">
      <selection activeCell="J1" sqref="I1:J1048576"/>
    </sheetView>
  </sheetViews>
  <sheetFormatPr baseColWidth="10" defaultColWidth="8.88671875" defaultRowHeight="14.4" x14ac:dyDescent="0.3"/>
  <cols>
    <col min="1" max="1" width="13" customWidth="1"/>
    <col min="2" max="2" width="37" customWidth="1"/>
    <col min="3" max="3" width="16.6640625" customWidth="1"/>
    <col min="4" max="5" width="13.88671875" customWidth="1"/>
    <col min="6" max="8" width="15.77734375" customWidth="1"/>
    <col min="9" max="9" width="16.6640625" style="76" customWidth="1"/>
    <col min="10" max="10" width="8.88671875" style="76"/>
  </cols>
  <sheetData>
    <row r="1" spans="1:10" ht="25.95" customHeight="1" x14ac:dyDescent="0.35">
      <c r="A1" s="2" t="s">
        <v>0</v>
      </c>
      <c r="B1" s="1"/>
      <c r="C1" s="3" t="s">
        <v>88</v>
      </c>
      <c r="D1" s="1"/>
      <c r="E1" s="1"/>
      <c r="F1" s="1"/>
      <c r="G1" s="1"/>
      <c r="H1" s="1"/>
      <c r="J1" s="76" t="s">
        <v>89</v>
      </c>
    </row>
    <row r="2" spans="1:10" ht="15" customHeight="1" x14ac:dyDescent="0.3">
      <c r="A2" s="5" t="s">
        <v>90</v>
      </c>
      <c r="B2" s="4"/>
      <c r="C2" s="4"/>
      <c r="D2" s="4"/>
      <c r="E2" s="4"/>
      <c r="F2" s="4"/>
      <c r="G2" s="4"/>
      <c r="H2" s="4"/>
    </row>
    <row r="3" spans="1:10" ht="18" customHeight="1" x14ac:dyDescent="0.3">
      <c r="A3" s="15" t="s">
        <v>41</v>
      </c>
      <c r="B3" s="16" t="s">
        <v>42</v>
      </c>
      <c r="C3" s="16" t="s">
        <v>91</v>
      </c>
      <c r="D3" s="16" t="s">
        <v>35</v>
      </c>
      <c r="E3" s="16" t="s">
        <v>36</v>
      </c>
      <c r="F3" s="16" t="s">
        <v>44</v>
      </c>
      <c r="G3" s="16" t="s">
        <v>37</v>
      </c>
      <c r="H3" s="16" t="s">
        <v>45</v>
      </c>
    </row>
    <row r="4" spans="1:10" ht="16.95" customHeight="1" x14ac:dyDescent="0.3">
      <c r="A4" s="39" t="s">
        <v>92</v>
      </c>
      <c r="B4" s="9" t="s">
        <v>93</v>
      </c>
      <c r="C4" s="31">
        <v>94</v>
      </c>
      <c r="D4" s="32">
        <v>15.1</v>
      </c>
      <c r="E4" s="32">
        <v>9.3000000000000007</v>
      </c>
      <c r="F4" s="33">
        <v>34.200000000000003</v>
      </c>
      <c r="G4" s="33">
        <v>24.9</v>
      </c>
      <c r="H4" s="33">
        <v>21.2</v>
      </c>
      <c r="I4" s="77">
        <f>_xlfn.RANK.EQ(C4,$C$4:$C$9999,0)+COUNTIF($C4:C$5,C4)-1</f>
        <v>1</v>
      </c>
      <c r="J4"/>
    </row>
    <row r="5" spans="1:10" ht="16.95" customHeight="1" x14ac:dyDescent="0.3">
      <c r="A5" s="40" t="s">
        <v>94</v>
      </c>
      <c r="B5" s="13" t="s">
        <v>95</v>
      </c>
      <c r="C5" s="36">
        <v>86</v>
      </c>
      <c r="D5" s="37">
        <v>21.6</v>
      </c>
      <c r="E5" s="37">
        <v>14.8</v>
      </c>
      <c r="F5" s="38">
        <v>43.6</v>
      </c>
      <c r="G5" s="38">
        <v>32.9</v>
      </c>
      <c r="H5" s="38">
        <v>6</v>
      </c>
      <c r="I5" s="76">
        <f>_xlfn.RANK.EQ(C5,$C$4:$C$9999,0)+COUNTIF($C$5:C5,C5)-1</f>
        <v>2</v>
      </c>
    </row>
    <row r="6" spans="1:10" ht="16.95" customHeight="1" x14ac:dyDescent="0.3">
      <c r="A6" s="39" t="s">
        <v>96</v>
      </c>
      <c r="B6" s="9" t="s">
        <v>97</v>
      </c>
      <c r="C6" s="31">
        <v>83</v>
      </c>
      <c r="D6" s="32">
        <v>16.8</v>
      </c>
      <c r="E6" s="32">
        <v>10.1</v>
      </c>
      <c r="F6" s="33">
        <v>31.6</v>
      </c>
      <c r="G6" s="33">
        <v>38.200000000000003</v>
      </c>
      <c r="H6" s="33">
        <v>-20</v>
      </c>
      <c r="I6" s="76">
        <f>_xlfn.RANK.EQ(C6,$C$4:$C$9999,0)+COUNTIF($C$5:C6,C6)-1</f>
        <v>3</v>
      </c>
    </row>
    <row r="7" spans="1:10" ht="16.95" customHeight="1" x14ac:dyDescent="0.3">
      <c r="A7" s="40" t="s">
        <v>98</v>
      </c>
      <c r="B7" s="13" t="s">
        <v>99</v>
      </c>
      <c r="C7" s="36">
        <v>82</v>
      </c>
      <c r="D7" s="37">
        <v>20.5</v>
      </c>
      <c r="E7" s="37">
        <v>14.1</v>
      </c>
      <c r="F7" s="38">
        <v>46.1</v>
      </c>
      <c r="G7" s="38">
        <v>37.5</v>
      </c>
      <c r="H7" s="38">
        <v>2.4</v>
      </c>
      <c r="I7" s="76">
        <f>_xlfn.RANK.EQ(C7,$C$4:$C$9999,0)+COUNTIF($C$5:C7,C7)-1</f>
        <v>4</v>
      </c>
    </row>
    <row r="8" spans="1:10" ht="16.95" customHeight="1" x14ac:dyDescent="0.3">
      <c r="A8" s="39" t="s">
        <v>100</v>
      </c>
      <c r="B8" s="9" t="s">
        <v>101</v>
      </c>
      <c r="C8" s="31">
        <v>79</v>
      </c>
      <c r="D8" s="32">
        <v>16.3</v>
      </c>
      <c r="E8" s="32">
        <v>11.7</v>
      </c>
      <c r="F8" s="33">
        <v>43.5</v>
      </c>
      <c r="G8" s="33">
        <v>34.700000000000003</v>
      </c>
      <c r="H8" s="33">
        <v>130</v>
      </c>
      <c r="I8" s="76">
        <f>_xlfn.RANK.EQ(C8,$C$4:$C$9999,0)+COUNTIF($C$5:C8,C8)-1</f>
        <v>5</v>
      </c>
    </row>
    <row r="9" spans="1:10" ht="16.95" customHeight="1" x14ac:dyDescent="0.3">
      <c r="A9" s="40" t="s">
        <v>102</v>
      </c>
      <c r="B9" s="13" t="s">
        <v>103</v>
      </c>
      <c r="C9" s="36">
        <v>77</v>
      </c>
      <c r="D9" s="37">
        <v>17.7</v>
      </c>
      <c r="E9" s="37">
        <v>13.5</v>
      </c>
      <c r="F9" s="38">
        <v>40.6</v>
      </c>
      <c r="G9" s="38">
        <v>14.4</v>
      </c>
      <c r="H9" s="38">
        <v>100</v>
      </c>
      <c r="I9" s="76">
        <f>_xlfn.RANK.EQ(C9,$C$4:$C$9999,0)+COUNTIF($C$5:C9,C9)-1</f>
        <v>6</v>
      </c>
    </row>
    <row r="10" spans="1:10" ht="16.95" customHeight="1" x14ac:dyDescent="0.3">
      <c r="A10" s="39" t="s">
        <v>104</v>
      </c>
      <c r="B10" s="9" t="s">
        <v>105</v>
      </c>
      <c r="C10" s="31">
        <v>71</v>
      </c>
      <c r="D10" s="32">
        <v>7.5</v>
      </c>
      <c r="E10" s="32">
        <v>5.7</v>
      </c>
      <c r="F10" s="33">
        <v>15.8</v>
      </c>
      <c r="G10" s="33">
        <v>20.5</v>
      </c>
      <c r="H10" s="33">
        <v>9.6999999999999993</v>
      </c>
      <c r="I10" s="76">
        <f>_xlfn.RANK.EQ(C10,$C$4:$C$9999,0)+COUNTIF($C$5:C10,C10)-1</f>
        <v>7</v>
      </c>
    </row>
    <row r="11" spans="1:10" ht="16.95" customHeight="1" x14ac:dyDescent="0.3">
      <c r="A11" s="40" t="s">
        <v>106</v>
      </c>
      <c r="B11" s="13" t="s">
        <v>107</v>
      </c>
      <c r="C11" s="36">
        <v>70</v>
      </c>
      <c r="D11" s="37">
        <v>40</v>
      </c>
      <c r="E11" s="37">
        <v>27.2</v>
      </c>
      <c r="F11" s="38">
        <v>48.6</v>
      </c>
      <c r="G11" s="38">
        <v>77.8</v>
      </c>
      <c r="H11" s="38">
        <v>44.7</v>
      </c>
      <c r="I11" s="76">
        <f>_xlfn.RANK.EQ(C11,$C$4:$C$9999,0)+COUNTIF($C$5:C11,C11)-1</f>
        <v>8</v>
      </c>
    </row>
    <row r="12" spans="1:10" ht="16.95" customHeight="1" x14ac:dyDescent="0.3">
      <c r="A12" s="39" t="s">
        <v>108</v>
      </c>
      <c r="B12" s="9" t="s">
        <v>109</v>
      </c>
      <c r="C12" s="31">
        <v>70</v>
      </c>
      <c r="D12" s="32">
        <v>24.5</v>
      </c>
      <c r="E12" s="32">
        <v>13.9</v>
      </c>
      <c r="F12" s="33">
        <v>46</v>
      </c>
      <c r="G12" s="33">
        <v>89.1</v>
      </c>
      <c r="H12" s="33">
        <v>10</v>
      </c>
      <c r="I12" s="76">
        <f>_xlfn.RANK.EQ(C12,$C$4:$C$9999,0)+COUNTIF($C$5:C12,C12)-1</f>
        <v>9</v>
      </c>
    </row>
    <row r="13" spans="1:10" ht="16.95" customHeight="1" x14ac:dyDescent="0.3">
      <c r="A13" s="40" t="s">
        <v>110</v>
      </c>
      <c r="B13" s="13" t="s">
        <v>111</v>
      </c>
      <c r="C13" s="36">
        <v>68</v>
      </c>
      <c r="D13" s="37">
        <v>12.7</v>
      </c>
      <c r="E13" s="37">
        <v>8.8000000000000007</v>
      </c>
      <c r="F13" s="38">
        <v>26.7</v>
      </c>
      <c r="G13" s="38">
        <v>10.9</v>
      </c>
      <c r="H13" s="38">
        <v>5.5</v>
      </c>
      <c r="I13" s="76">
        <f>_xlfn.RANK.EQ(C13,$C$4:$C$9999,0)+COUNTIF($C$5:C13,C13)-1</f>
        <v>10</v>
      </c>
    </row>
    <row r="14" spans="1:10" ht="16.95" customHeight="1" x14ac:dyDescent="0.3">
      <c r="A14" s="39" t="s">
        <v>112</v>
      </c>
      <c r="B14" s="9" t="s">
        <v>113</v>
      </c>
      <c r="C14" s="31">
        <v>66</v>
      </c>
      <c r="D14" s="32"/>
      <c r="E14" s="32">
        <v>844.5</v>
      </c>
      <c r="F14" s="33">
        <v>31.8</v>
      </c>
      <c r="G14" s="33">
        <v>34.9</v>
      </c>
      <c r="H14" s="33">
        <v>4.0999999999999996</v>
      </c>
      <c r="I14" s="76">
        <f>_xlfn.RANK.EQ(C14,$C$4:$C$9999,0)+COUNTIF($C$5:C14,C14)-1</f>
        <v>11</v>
      </c>
    </row>
    <row r="15" spans="1:10" ht="16.95" customHeight="1" x14ac:dyDescent="0.3">
      <c r="A15" s="40" t="s">
        <v>114</v>
      </c>
      <c r="B15" s="13" t="s">
        <v>115</v>
      </c>
      <c r="C15" s="36">
        <v>66</v>
      </c>
      <c r="D15" s="37">
        <v>7.7</v>
      </c>
      <c r="E15" s="37">
        <v>6.3</v>
      </c>
      <c r="F15" s="38">
        <v>30.6</v>
      </c>
      <c r="G15" s="38">
        <v>30.8</v>
      </c>
      <c r="H15" s="38">
        <v>90</v>
      </c>
      <c r="I15" s="76">
        <f>_xlfn.RANK.EQ(C15,$C$4:$C$9999,0)+COUNTIF($C$5:C15,C15)-1</f>
        <v>12</v>
      </c>
    </row>
    <row r="16" spans="1:10" ht="16.95" customHeight="1" x14ac:dyDescent="0.3">
      <c r="A16" s="39" t="s">
        <v>116</v>
      </c>
      <c r="B16" s="9" t="s">
        <v>117</v>
      </c>
      <c r="C16" s="31">
        <v>66</v>
      </c>
      <c r="D16" s="32">
        <v>28.6</v>
      </c>
      <c r="E16" s="32">
        <v>22.6</v>
      </c>
      <c r="F16" s="33">
        <v>40.5</v>
      </c>
      <c r="G16" s="33">
        <v>21.2</v>
      </c>
      <c r="H16" s="33">
        <v>8.9</v>
      </c>
      <c r="I16" s="76">
        <f>_xlfn.RANK.EQ(C16,$C$4:$C$9999,0)+COUNTIF($C$5:C16,C16)-1</f>
        <v>13</v>
      </c>
    </row>
    <row r="17" spans="1:9" ht="16.95" customHeight="1" x14ac:dyDescent="0.3">
      <c r="A17" s="40" t="s">
        <v>118</v>
      </c>
      <c r="B17" s="13" t="s">
        <v>119</v>
      </c>
      <c r="C17" s="36">
        <v>65</v>
      </c>
      <c r="D17" s="37">
        <v>20.3</v>
      </c>
      <c r="E17" s="37">
        <v>11.4</v>
      </c>
      <c r="F17" s="38">
        <v>26.3</v>
      </c>
      <c r="G17" s="38">
        <v>7.1</v>
      </c>
      <c r="H17" s="38">
        <v>2.2000000000000002</v>
      </c>
      <c r="I17" s="76">
        <f>_xlfn.RANK.EQ(C17,$C$4:$C$9999,0)+COUNTIF($C$5:C17,C17)-1</f>
        <v>14</v>
      </c>
    </row>
    <row r="18" spans="1:9" ht="16.95" customHeight="1" x14ac:dyDescent="0.3">
      <c r="A18" s="39" t="s">
        <v>120</v>
      </c>
      <c r="B18" s="9" t="s">
        <v>121</v>
      </c>
      <c r="C18" s="31">
        <v>65</v>
      </c>
      <c r="D18" s="32">
        <v>16.399999999999999</v>
      </c>
      <c r="E18" s="32">
        <v>10.1</v>
      </c>
      <c r="F18" s="33">
        <v>20.6</v>
      </c>
      <c r="G18" s="33">
        <v>-112.6</v>
      </c>
      <c r="H18" s="33">
        <v>7.1</v>
      </c>
      <c r="I18" s="76">
        <f>_xlfn.RANK.EQ(C18,$C$4:$C$9999,0)+COUNTIF($C$5:C18,C18)-1</f>
        <v>15</v>
      </c>
    </row>
    <row r="19" spans="1:9" ht="16.95" customHeight="1" x14ac:dyDescent="0.3">
      <c r="A19" s="40" t="s">
        <v>122</v>
      </c>
      <c r="B19" s="13" t="s">
        <v>123</v>
      </c>
      <c r="C19" s="36">
        <v>64</v>
      </c>
      <c r="D19" s="37">
        <v>26.4</v>
      </c>
      <c r="E19" s="37">
        <v>10.6</v>
      </c>
      <c r="F19" s="38">
        <v>14.6</v>
      </c>
      <c r="G19" s="38">
        <v>8.1999999999999993</v>
      </c>
      <c r="H19" s="38">
        <v>-100</v>
      </c>
      <c r="I19" s="76">
        <f>_xlfn.RANK.EQ(C19,$C$4:$C$9999,0)+COUNTIF($C$5:C19,C19)-1</f>
        <v>16</v>
      </c>
    </row>
    <row r="20" spans="1:9" ht="16.95" customHeight="1" x14ac:dyDescent="0.3">
      <c r="A20" s="39" t="s">
        <v>124</v>
      </c>
      <c r="B20" s="9" t="s">
        <v>125</v>
      </c>
      <c r="C20" s="31">
        <v>63</v>
      </c>
      <c r="D20" s="32"/>
      <c r="E20" s="32"/>
      <c r="F20" s="33">
        <v>33.200000000000003</v>
      </c>
      <c r="G20" s="33">
        <v>21</v>
      </c>
      <c r="H20" s="33">
        <v>8.6</v>
      </c>
      <c r="I20" s="76">
        <f>_xlfn.RANK.EQ(C20,$C$4:$C$9999,0)+COUNTIF($C$5:C20,C20)-1</f>
        <v>17</v>
      </c>
    </row>
    <row r="21" spans="1:9" ht="16.95" customHeight="1" x14ac:dyDescent="0.3">
      <c r="A21" s="40" t="s">
        <v>126</v>
      </c>
      <c r="B21" s="13" t="s">
        <v>127</v>
      </c>
      <c r="C21" s="36">
        <v>59</v>
      </c>
      <c r="D21" s="37">
        <v>25.3</v>
      </c>
      <c r="E21" s="37">
        <v>9.9</v>
      </c>
      <c r="F21" s="38">
        <v>21</v>
      </c>
      <c r="G21" s="38">
        <v>10.5</v>
      </c>
      <c r="H21" s="38">
        <v>5</v>
      </c>
      <c r="I21" s="76">
        <f>_xlfn.RANK.EQ(C21,$C$4:$C$9999,0)+COUNTIF($C$5:C21,C21)-1</f>
        <v>18</v>
      </c>
    </row>
    <row r="22" spans="1:9" ht="16.95" customHeight="1" x14ac:dyDescent="0.3">
      <c r="A22" s="39" t="s">
        <v>128</v>
      </c>
      <c r="B22" s="9" t="s">
        <v>129</v>
      </c>
      <c r="C22" s="31">
        <v>58</v>
      </c>
      <c r="D22" s="32">
        <v>19.8</v>
      </c>
      <c r="E22" s="32">
        <v>12.9</v>
      </c>
      <c r="F22" s="33">
        <v>26.8</v>
      </c>
      <c r="G22" s="33">
        <v>9</v>
      </c>
      <c r="H22" s="33">
        <v>-160</v>
      </c>
      <c r="I22" s="76">
        <f>_xlfn.RANK.EQ(C22,$C$4:$C$9999,0)+COUNTIF($C$5:C22,C22)-1</f>
        <v>19</v>
      </c>
    </row>
    <row r="23" spans="1:9" ht="16.95" customHeight="1" x14ac:dyDescent="0.3">
      <c r="A23" s="40" t="s">
        <v>130</v>
      </c>
      <c r="B23" s="13" t="s">
        <v>131</v>
      </c>
      <c r="C23" s="36">
        <v>57</v>
      </c>
      <c r="D23" s="37">
        <v>32.4</v>
      </c>
      <c r="E23" s="37">
        <v>17.8</v>
      </c>
      <c r="F23" s="38">
        <v>140</v>
      </c>
      <c r="G23" s="38">
        <v>-56.1</v>
      </c>
      <c r="H23" s="38">
        <v>-190</v>
      </c>
      <c r="I23" s="76">
        <f>_xlfn.RANK.EQ(C23,$C$4:$C$9999,0)+COUNTIF($C$5:C23,C23)-1</f>
        <v>20</v>
      </c>
    </row>
    <row r="24" spans="1:9" ht="16.95" customHeight="1" x14ac:dyDescent="0.3">
      <c r="A24" s="39" t="s">
        <v>132</v>
      </c>
      <c r="B24" s="9" t="s">
        <v>133</v>
      </c>
      <c r="C24" s="31">
        <v>57</v>
      </c>
      <c r="D24" s="32">
        <v>24</v>
      </c>
      <c r="E24" s="32">
        <v>17.3</v>
      </c>
      <c r="F24" s="33">
        <v>37.4</v>
      </c>
      <c r="G24" s="33">
        <v>23.5</v>
      </c>
      <c r="H24" s="33">
        <v>9.8000000000000007</v>
      </c>
      <c r="I24" s="76">
        <f>_xlfn.RANK.EQ(C24,$C$4:$C$9999,0)+COUNTIF($C$5:C24,C24)-1</f>
        <v>21</v>
      </c>
    </row>
    <row r="25" spans="1:9" ht="16.95" customHeight="1" x14ac:dyDescent="0.3">
      <c r="A25" s="40" t="s">
        <v>134</v>
      </c>
      <c r="B25" s="13" t="s">
        <v>135</v>
      </c>
      <c r="C25" s="36">
        <v>56</v>
      </c>
      <c r="D25" s="37">
        <v>24.3</v>
      </c>
      <c r="E25" s="37">
        <v>15.1</v>
      </c>
      <c r="F25" s="38">
        <v>27.5</v>
      </c>
      <c r="G25" s="38">
        <v>9.6999999999999993</v>
      </c>
      <c r="H25" s="38">
        <v>3.6</v>
      </c>
      <c r="I25" s="76">
        <f>_xlfn.RANK.EQ(C25,$C$4:$C$9999,0)+COUNTIF($C$5:C25,C25)-1</f>
        <v>22</v>
      </c>
    </row>
    <row r="26" spans="1:9" ht="16.95" customHeight="1" x14ac:dyDescent="0.3">
      <c r="A26" s="39" t="s">
        <v>136</v>
      </c>
      <c r="B26" s="9" t="s">
        <v>137</v>
      </c>
      <c r="C26" s="31">
        <v>55</v>
      </c>
      <c r="D26" s="32">
        <v>21.7</v>
      </c>
      <c r="E26" s="32">
        <v>12.4</v>
      </c>
      <c r="F26" s="33">
        <v>19.600000000000001</v>
      </c>
      <c r="G26" s="33">
        <v>13.8</v>
      </c>
      <c r="H26" s="33">
        <v>11.8</v>
      </c>
      <c r="I26" s="76">
        <f>_xlfn.RANK.EQ(C26,$C$4:$C$9999,0)+COUNTIF($C$5:C26,C26)-1</f>
        <v>23</v>
      </c>
    </row>
    <row r="27" spans="1:9" ht="16.95" customHeight="1" x14ac:dyDescent="0.3">
      <c r="A27" s="40" t="s">
        <v>138</v>
      </c>
      <c r="B27" s="13" t="s">
        <v>139</v>
      </c>
      <c r="C27" s="36">
        <v>54</v>
      </c>
      <c r="D27" s="37">
        <v>43.9</v>
      </c>
      <c r="E27" s="37">
        <v>31.2</v>
      </c>
      <c r="F27" s="38">
        <v>35</v>
      </c>
      <c r="G27" s="38">
        <v>66</v>
      </c>
      <c r="H27" s="38">
        <v>10.4</v>
      </c>
      <c r="I27" s="76">
        <f>_xlfn.RANK.EQ(C27,$C$4:$C$9999,0)+COUNTIF($C$5:C27,C27)-1</f>
        <v>24</v>
      </c>
    </row>
    <row r="28" spans="1:9" ht="16.95" customHeight="1" x14ac:dyDescent="0.3">
      <c r="A28" s="39" t="s">
        <v>140</v>
      </c>
      <c r="B28" s="9" t="s">
        <v>141</v>
      </c>
      <c r="C28" s="31">
        <v>52</v>
      </c>
      <c r="D28" s="32"/>
      <c r="E28" s="32">
        <v>709.4</v>
      </c>
      <c r="F28" s="33">
        <v>24.9</v>
      </c>
      <c r="G28" s="33">
        <v>11.8</v>
      </c>
      <c r="H28" s="33">
        <v>6.1</v>
      </c>
      <c r="I28" s="76">
        <f>_xlfn.RANK.EQ(C28,$C$4:$C$9999,0)+COUNTIF($C$5:C28,C28)-1</f>
        <v>25</v>
      </c>
    </row>
    <row r="29" spans="1:9" ht="16.95" customHeight="1" x14ac:dyDescent="0.3">
      <c r="A29" s="40" t="s">
        <v>142</v>
      </c>
      <c r="B29" s="13" t="s">
        <v>143</v>
      </c>
      <c r="C29" s="36">
        <v>52</v>
      </c>
      <c r="D29" s="37"/>
      <c r="E29" s="37"/>
      <c r="F29" s="38">
        <v>-2.8</v>
      </c>
      <c r="G29" s="38">
        <v>-23.9</v>
      </c>
      <c r="H29" s="38">
        <v>-3</v>
      </c>
      <c r="I29" s="76">
        <f>_xlfn.RANK.EQ(C29,$C$4:$C$9999,0)+COUNTIF($C$5:C29,C29)-1</f>
        <v>26</v>
      </c>
    </row>
    <row r="30" spans="1:9" ht="16.95" customHeight="1" x14ac:dyDescent="0.3">
      <c r="A30" s="39" t="s">
        <v>144</v>
      </c>
      <c r="B30" s="9" t="s">
        <v>145</v>
      </c>
      <c r="C30" s="31">
        <v>51</v>
      </c>
      <c r="D30" s="32">
        <v>21.9</v>
      </c>
      <c r="E30" s="32">
        <v>12.6</v>
      </c>
      <c r="F30" s="33">
        <v>21.2</v>
      </c>
      <c r="G30" s="33">
        <v>20.9</v>
      </c>
      <c r="H30" s="33">
        <v>5.9</v>
      </c>
      <c r="I30" s="76">
        <f>_xlfn.RANK.EQ(C30,$C$4:$C$9999,0)+COUNTIF($C$5:C30,C30)-1</f>
        <v>27</v>
      </c>
    </row>
    <row r="31" spans="1:9" ht="16.95" customHeight="1" x14ac:dyDescent="0.3">
      <c r="A31" s="40" t="s">
        <v>146</v>
      </c>
      <c r="B31" s="13" t="s">
        <v>147</v>
      </c>
      <c r="C31" s="36">
        <v>50</v>
      </c>
      <c r="D31" s="37">
        <v>18.5</v>
      </c>
      <c r="E31" s="37">
        <v>9.9</v>
      </c>
      <c r="F31" s="38">
        <v>28.2</v>
      </c>
      <c r="G31" s="38">
        <v>9.3000000000000007</v>
      </c>
      <c r="H31" s="38">
        <v>80</v>
      </c>
      <c r="I31" s="76">
        <f>_xlfn.RANK.EQ(C31,$C$4:$C$9999,0)+COUNTIF($C$5:C31,C31)-1</f>
        <v>28</v>
      </c>
    </row>
    <row r="32" spans="1:9" ht="16.95" customHeight="1" x14ac:dyDescent="0.3">
      <c r="A32" s="39" t="s">
        <v>148</v>
      </c>
      <c r="B32" s="9" t="s">
        <v>149</v>
      </c>
      <c r="C32" s="31">
        <v>50</v>
      </c>
      <c r="D32" s="32">
        <v>12.2</v>
      </c>
      <c r="E32" s="32">
        <v>8.1</v>
      </c>
      <c r="F32" s="33">
        <v>4.4000000000000004</v>
      </c>
      <c r="G32" s="33">
        <v>14.3</v>
      </c>
      <c r="H32" s="33">
        <v>12.5</v>
      </c>
      <c r="I32" s="76">
        <f>_xlfn.RANK.EQ(C32,$C$4:$C$9999,0)+COUNTIF($C$5:C32,C32)-1</f>
        <v>29</v>
      </c>
    </row>
    <row r="33" spans="1:9" ht="16.95" customHeight="1" x14ac:dyDescent="0.3">
      <c r="A33" s="40" t="s">
        <v>150</v>
      </c>
      <c r="B33" s="13" t="s">
        <v>151</v>
      </c>
      <c r="C33" s="36">
        <v>50</v>
      </c>
      <c r="D33" s="37">
        <v>13.4</v>
      </c>
      <c r="E33" s="37">
        <v>7.4</v>
      </c>
      <c r="F33" s="38">
        <v>19.399999999999999</v>
      </c>
      <c r="G33" s="38">
        <v>-114.7</v>
      </c>
      <c r="H33" s="38">
        <v>6.5</v>
      </c>
      <c r="I33" s="76">
        <f>_xlfn.RANK.EQ(C33,$C$4:$C$9999,0)+COUNTIF($C$5:C33,C33)-1</f>
        <v>30</v>
      </c>
    </row>
    <row r="34" spans="1:9" ht="16.95" customHeight="1" x14ac:dyDescent="0.3">
      <c r="A34" s="39" t="s">
        <v>152</v>
      </c>
      <c r="B34" s="9" t="s">
        <v>153</v>
      </c>
      <c r="C34" s="31">
        <v>50</v>
      </c>
      <c r="D34" s="32">
        <v>29.4</v>
      </c>
      <c r="E34" s="32">
        <v>18.3</v>
      </c>
      <c r="F34" s="33">
        <v>29.1</v>
      </c>
      <c r="G34" s="33">
        <v>30.5</v>
      </c>
      <c r="H34" s="33">
        <v>15.6</v>
      </c>
      <c r="I34" s="76">
        <f>_xlfn.RANK.EQ(C34,$C$4:$C$9999,0)+COUNTIF($C$5:C34,C34)-1</f>
        <v>31</v>
      </c>
    </row>
    <row r="35" spans="1:9" ht="16.95" customHeight="1" x14ac:dyDescent="0.3">
      <c r="A35" s="40" t="s">
        <v>154</v>
      </c>
      <c r="B35" s="13" t="s">
        <v>155</v>
      </c>
      <c r="C35" s="36">
        <v>50</v>
      </c>
      <c r="D35" s="37">
        <v>16.3</v>
      </c>
      <c r="E35" s="37">
        <v>10.4</v>
      </c>
      <c r="F35" s="38">
        <v>18.399999999999999</v>
      </c>
      <c r="G35" s="38">
        <v>20.100000000000001</v>
      </c>
      <c r="H35" s="38">
        <v>4.8</v>
      </c>
      <c r="I35" s="76">
        <f>_xlfn.RANK.EQ(C35,$C$4:$C$9999,0)+COUNTIF($C$5:C35,C35)-1</f>
        <v>32</v>
      </c>
    </row>
    <row r="36" spans="1:9" ht="16.95" customHeight="1" x14ac:dyDescent="0.3">
      <c r="A36" s="39" t="s">
        <v>156</v>
      </c>
      <c r="B36" s="9" t="s">
        <v>157</v>
      </c>
      <c r="C36" s="31">
        <v>50</v>
      </c>
      <c r="D36" s="32">
        <v>26.8</v>
      </c>
      <c r="E36" s="32">
        <v>11.6</v>
      </c>
      <c r="F36" s="33">
        <v>26.9</v>
      </c>
      <c r="G36" s="33">
        <v>5.6</v>
      </c>
      <c r="H36" s="33">
        <v>7.2</v>
      </c>
      <c r="I36" s="76">
        <f>_xlfn.RANK.EQ(C36,$C$4:$C$9999,0)+COUNTIF($C$5:C36,C36)-1</f>
        <v>33</v>
      </c>
    </row>
    <row r="37" spans="1:9" ht="16.95" customHeight="1" x14ac:dyDescent="0.3">
      <c r="A37" s="40" t="s">
        <v>158</v>
      </c>
      <c r="B37" s="13" t="s">
        <v>159</v>
      </c>
      <c r="C37" s="36">
        <v>50</v>
      </c>
      <c r="D37" s="37">
        <v>19.100000000000001</v>
      </c>
      <c r="E37" s="37">
        <v>14.2</v>
      </c>
      <c r="F37" s="38">
        <v>43</v>
      </c>
      <c r="G37" s="38">
        <v>80.2</v>
      </c>
      <c r="H37" s="38">
        <v>2.2999999999999998</v>
      </c>
      <c r="I37" s="76">
        <f>_xlfn.RANK.EQ(C37,$C$4:$C$9999,0)+COUNTIF($C$5:C37,C37)-1</f>
        <v>34</v>
      </c>
    </row>
    <row r="38" spans="1:9" ht="16.95" customHeight="1" x14ac:dyDescent="0.3">
      <c r="A38" s="39" t="s">
        <v>160</v>
      </c>
      <c r="B38" s="9" t="s">
        <v>161</v>
      </c>
      <c r="C38" s="31">
        <v>49</v>
      </c>
      <c r="D38" s="32">
        <v>22.2</v>
      </c>
      <c r="E38" s="32">
        <v>12.3</v>
      </c>
      <c r="F38" s="33">
        <v>7.3</v>
      </c>
      <c r="G38" s="33">
        <v>12.3</v>
      </c>
      <c r="H38" s="33">
        <v>4</v>
      </c>
      <c r="I38" s="76">
        <f>_xlfn.RANK.EQ(C38,$C$4:$C$9999,0)+COUNTIF($C$5:C38,C38)-1</f>
        <v>35</v>
      </c>
    </row>
    <row r="39" spans="1:9" ht="16.95" customHeight="1" x14ac:dyDescent="0.3">
      <c r="A39" s="40" t="s">
        <v>162</v>
      </c>
      <c r="B39" s="13" t="s">
        <v>163</v>
      </c>
      <c r="C39" s="36">
        <v>49</v>
      </c>
      <c r="D39" s="37">
        <v>58.1</v>
      </c>
      <c r="E39" s="37">
        <v>44.9</v>
      </c>
      <c r="F39" s="38">
        <v>36</v>
      </c>
      <c r="G39" s="38">
        <v>16</v>
      </c>
      <c r="H39" s="38">
        <v>20.5</v>
      </c>
      <c r="I39" s="76">
        <f>_xlfn.RANK.EQ(C39,$C$4:$C$9999,0)+COUNTIF($C$5:C39,C39)-1</f>
        <v>36</v>
      </c>
    </row>
    <row r="40" spans="1:9" ht="16.95" customHeight="1" x14ac:dyDescent="0.3">
      <c r="A40" s="39" t="s">
        <v>164</v>
      </c>
      <c r="B40" s="9" t="s">
        <v>165</v>
      </c>
      <c r="C40" s="31">
        <v>48</v>
      </c>
      <c r="D40" s="32">
        <v>88</v>
      </c>
      <c r="E40" s="32">
        <v>24.6</v>
      </c>
      <c r="F40" s="33">
        <v>28.8</v>
      </c>
      <c r="G40" s="33">
        <v>-129.19999999999999</v>
      </c>
      <c r="H40" s="33">
        <v>8.6</v>
      </c>
      <c r="I40" s="76">
        <f>_xlfn.RANK.EQ(C40,$C$4:$C$9999,0)+COUNTIF($C$5:C40,C40)-1</f>
        <v>37</v>
      </c>
    </row>
    <row r="41" spans="1:9" ht="16.95" customHeight="1" x14ac:dyDescent="0.3">
      <c r="A41" s="40" t="s">
        <v>166</v>
      </c>
      <c r="B41" s="13" t="s">
        <v>167</v>
      </c>
      <c r="C41" s="36">
        <v>48</v>
      </c>
      <c r="D41" s="37">
        <v>33.6</v>
      </c>
      <c r="E41" s="37">
        <v>15.1</v>
      </c>
      <c r="F41" s="38">
        <v>22.7</v>
      </c>
      <c r="G41" s="38">
        <v>6.6</v>
      </c>
      <c r="H41" s="38">
        <v>8.1999999999999993</v>
      </c>
      <c r="I41" s="76">
        <f>_xlfn.RANK.EQ(C41,$C$4:$C$9999,0)+COUNTIF($C$5:C41,C41)-1</f>
        <v>38</v>
      </c>
    </row>
    <row r="42" spans="1:9" ht="16.95" customHeight="1" x14ac:dyDescent="0.3">
      <c r="A42" s="39" t="s">
        <v>168</v>
      </c>
      <c r="B42" s="9" t="s">
        <v>169</v>
      </c>
      <c r="C42" s="31">
        <v>48</v>
      </c>
      <c r="D42" s="32">
        <v>32.700000000000003</v>
      </c>
      <c r="E42" s="32">
        <v>20.399999999999999</v>
      </c>
      <c r="F42" s="33">
        <v>25.4</v>
      </c>
      <c r="G42" s="33">
        <v>12</v>
      </c>
      <c r="H42" s="33">
        <v>19.899999999999999</v>
      </c>
      <c r="I42" s="76">
        <f>_xlfn.RANK.EQ(C42,$C$4:$C$9999,0)+COUNTIF($C$5:C42,C42)-1</f>
        <v>39</v>
      </c>
    </row>
    <row r="43" spans="1:9" ht="16.95" customHeight="1" x14ac:dyDescent="0.3">
      <c r="A43" s="40" t="s">
        <v>170</v>
      </c>
      <c r="B43" s="13" t="s">
        <v>171</v>
      </c>
      <c r="C43" s="36">
        <v>48</v>
      </c>
      <c r="D43" s="37"/>
      <c r="E43" s="37"/>
      <c r="F43" s="38"/>
      <c r="G43" s="38">
        <v>-32.6</v>
      </c>
      <c r="H43" s="38">
        <v>-39.9</v>
      </c>
      <c r="I43" s="76">
        <f>_xlfn.RANK.EQ(C43,$C$4:$C$9999,0)+COUNTIF($C$5:C43,C43)-1</f>
        <v>40</v>
      </c>
    </row>
    <row r="44" spans="1:9" ht="16.95" customHeight="1" x14ac:dyDescent="0.3">
      <c r="A44" s="39" t="s">
        <v>172</v>
      </c>
      <c r="B44" s="9" t="s">
        <v>173</v>
      </c>
      <c r="C44" s="31">
        <v>48</v>
      </c>
      <c r="D44" s="32">
        <v>31.4</v>
      </c>
      <c r="E44" s="32">
        <v>23.7</v>
      </c>
      <c r="F44" s="33">
        <v>30.9</v>
      </c>
      <c r="G44" s="33">
        <v>-3677.4</v>
      </c>
      <c r="H44" s="33">
        <v>4</v>
      </c>
      <c r="I44" s="76">
        <f>_xlfn.RANK.EQ(C44,$C$4:$C$9999,0)+COUNTIF($C$5:C44,C44)-1</f>
        <v>41</v>
      </c>
    </row>
    <row r="45" spans="1:9" ht="16.95" customHeight="1" x14ac:dyDescent="0.3">
      <c r="A45" s="40" t="s">
        <v>174</v>
      </c>
      <c r="B45" s="13" t="s">
        <v>175</v>
      </c>
      <c r="C45" s="36">
        <v>47</v>
      </c>
      <c r="D45" s="37">
        <v>29.2</v>
      </c>
      <c r="E45" s="37">
        <v>19.600000000000001</v>
      </c>
      <c r="F45" s="38">
        <v>25.8</v>
      </c>
      <c r="G45" s="38">
        <v>12.6</v>
      </c>
      <c r="H45" s="38">
        <v>3.9</v>
      </c>
      <c r="I45" s="76">
        <f>_xlfn.RANK.EQ(C45,$C$4:$C$9999,0)+COUNTIF($C$5:C45,C45)-1</f>
        <v>42</v>
      </c>
    </row>
    <row r="46" spans="1:9" ht="16.95" customHeight="1" x14ac:dyDescent="0.3">
      <c r="A46" s="39" t="s">
        <v>176</v>
      </c>
      <c r="B46" s="9" t="s">
        <v>177</v>
      </c>
      <c r="C46" s="31">
        <v>47</v>
      </c>
      <c r="D46" s="32">
        <v>25.3</v>
      </c>
      <c r="E46" s="32">
        <v>13.5</v>
      </c>
      <c r="F46" s="33">
        <v>14.4</v>
      </c>
      <c r="G46" s="33">
        <v>10.199999999999999</v>
      </c>
      <c r="H46" s="33">
        <v>7.2</v>
      </c>
      <c r="I46" s="76">
        <f>_xlfn.RANK.EQ(C46,$C$4:$C$9999,0)+COUNTIF($C$5:C46,C46)-1</f>
        <v>43</v>
      </c>
    </row>
    <row r="47" spans="1:9" ht="16.95" customHeight="1" x14ac:dyDescent="0.3">
      <c r="A47" s="40" t="s">
        <v>178</v>
      </c>
      <c r="B47" s="13" t="s">
        <v>179</v>
      </c>
      <c r="C47" s="36">
        <v>46</v>
      </c>
      <c r="D47" s="37"/>
      <c r="E47" s="37">
        <v>35.9</v>
      </c>
      <c r="F47" s="38">
        <v>4.2</v>
      </c>
      <c r="G47" s="38">
        <v>-14</v>
      </c>
      <c r="H47" s="38">
        <v>-2.2000000000000002</v>
      </c>
      <c r="I47" s="76">
        <f>_xlfn.RANK.EQ(C47,$C$4:$C$9999,0)+COUNTIF($C$5:C47,C47)-1</f>
        <v>44</v>
      </c>
    </row>
    <row r="48" spans="1:9" ht="16.95" customHeight="1" x14ac:dyDescent="0.3">
      <c r="A48" s="39" t="s">
        <v>180</v>
      </c>
      <c r="B48" s="9" t="s">
        <v>181</v>
      </c>
      <c r="C48" s="31">
        <v>46</v>
      </c>
      <c r="D48" s="32">
        <v>32.299999999999997</v>
      </c>
      <c r="E48" s="32">
        <v>20.2</v>
      </c>
      <c r="F48" s="33">
        <v>150</v>
      </c>
      <c r="G48" s="33">
        <v>-158.9</v>
      </c>
      <c r="H48" s="33">
        <v>16.2</v>
      </c>
      <c r="I48" s="76">
        <f>_xlfn.RANK.EQ(C48,$C$4:$C$9999,0)+COUNTIF($C$5:C48,C48)-1</f>
        <v>45</v>
      </c>
    </row>
    <row r="49" spans="1:9" ht="16.95" customHeight="1" x14ac:dyDescent="0.3">
      <c r="A49" s="40" t="s">
        <v>182</v>
      </c>
      <c r="B49" s="13" t="s">
        <v>183</v>
      </c>
      <c r="C49" s="36">
        <v>46</v>
      </c>
      <c r="D49" s="37">
        <v>40.799999999999997</v>
      </c>
      <c r="E49" s="37">
        <v>22.9</v>
      </c>
      <c r="F49" s="38">
        <v>25.1</v>
      </c>
      <c r="G49" s="38">
        <v>14.5</v>
      </c>
      <c r="H49" s="38">
        <v>11.2</v>
      </c>
      <c r="I49" s="76">
        <f>_xlfn.RANK.EQ(C49,$C$4:$C$9999,0)+COUNTIF($C$5:C49,C49)-1</f>
        <v>46</v>
      </c>
    </row>
    <row r="50" spans="1:9" ht="16.95" customHeight="1" x14ac:dyDescent="0.3">
      <c r="A50" s="39" t="s">
        <v>184</v>
      </c>
      <c r="B50" s="9" t="s">
        <v>185</v>
      </c>
      <c r="C50" s="31">
        <v>46</v>
      </c>
      <c r="D50" s="32">
        <v>39.1</v>
      </c>
      <c r="E50" s="32">
        <v>24.3</v>
      </c>
      <c r="F50" s="33">
        <v>25.1</v>
      </c>
      <c r="G50" s="33">
        <v>15.5</v>
      </c>
      <c r="H50" s="33">
        <v>6.3</v>
      </c>
      <c r="I50" s="76">
        <f>_xlfn.RANK.EQ(C50,$C$4:$C$9999,0)+COUNTIF($C$5:C50,C50)-1</f>
        <v>47</v>
      </c>
    </row>
    <row r="51" spans="1:9" ht="16.95" customHeight="1" x14ac:dyDescent="0.3">
      <c r="A51" s="40" t="s">
        <v>186</v>
      </c>
      <c r="B51" s="13" t="s">
        <v>187</v>
      </c>
      <c r="C51" s="36">
        <v>43</v>
      </c>
      <c r="D51" s="37">
        <v>26.1</v>
      </c>
      <c r="E51" s="37">
        <v>19.5</v>
      </c>
      <c r="F51" s="38">
        <v>26.4</v>
      </c>
      <c r="G51" s="38">
        <v>19.3</v>
      </c>
      <c r="H51" s="38">
        <v>6.7</v>
      </c>
      <c r="I51" s="76">
        <f>_xlfn.RANK.EQ(C51,$C$4:$C$9999,0)+COUNTIF($C$5:C51,C51)-1</f>
        <v>48</v>
      </c>
    </row>
    <row r="52" spans="1:9" ht="16.95" customHeight="1" x14ac:dyDescent="0.3">
      <c r="A52" s="39" t="s">
        <v>188</v>
      </c>
      <c r="B52" s="9" t="s">
        <v>189</v>
      </c>
      <c r="C52" s="31">
        <v>43</v>
      </c>
      <c r="D52" s="32">
        <v>57.4</v>
      </c>
      <c r="E52" s="32">
        <v>29.4</v>
      </c>
      <c r="F52" s="33">
        <v>18.100000000000001</v>
      </c>
      <c r="G52" s="33">
        <v>16.3</v>
      </c>
      <c r="H52" s="33">
        <v>30.7</v>
      </c>
      <c r="I52" s="76">
        <f>_xlfn.RANK.EQ(C52,$C$4:$C$9999,0)+COUNTIF($C$5:C52,C52)-1</f>
        <v>49</v>
      </c>
    </row>
    <row r="53" spans="1:9" ht="16.95" customHeight="1" x14ac:dyDescent="0.3">
      <c r="A53" s="40" t="s">
        <v>190</v>
      </c>
      <c r="B53" s="13" t="s">
        <v>191</v>
      </c>
      <c r="C53" s="36">
        <v>43</v>
      </c>
      <c r="D53" s="37">
        <v>30</v>
      </c>
      <c r="E53" s="37">
        <v>15.9</v>
      </c>
      <c r="F53" s="38">
        <v>26.8</v>
      </c>
      <c r="G53" s="38">
        <v>11.2</v>
      </c>
      <c r="H53" s="38">
        <v>170</v>
      </c>
      <c r="I53" s="76">
        <f>_xlfn.RANK.EQ(C53,$C$4:$C$9999,0)+COUNTIF($C$5:C53,C53)-1</f>
        <v>50</v>
      </c>
    </row>
    <row r="54" spans="1:9" ht="16.95" customHeight="1" x14ac:dyDescent="0.3">
      <c r="A54" s="39" t="s">
        <v>192</v>
      </c>
      <c r="B54" s="9" t="s">
        <v>193</v>
      </c>
      <c r="C54" s="31">
        <v>42</v>
      </c>
      <c r="D54" s="32">
        <v>32.200000000000003</v>
      </c>
      <c r="E54" s="32">
        <v>14.9</v>
      </c>
      <c r="F54" s="33">
        <v>20.399999999999999</v>
      </c>
      <c r="G54" s="33">
        <v>10.1</v>
      </c>
      <c r="H54" s="33">
        <v>90</v>
      </c>
      <c r="I54" s="76">
        <f>_xlfn.RANK.EQ(C54,$C$4:$C$9999,0)+COUNTIF($C$5:C54,C54)-1</f>
        <v>51</v>
      </c>
    </row>
    <row r="55" spans="1:9" ht="16.95" customHeight="1" x14ac:dyDescent="0.3">
      <c r="A55" s="40" t="s">
        <v>194</v>
      </c>
      <c r="B55" s="13" t="s">
        <v>195</v>
      </c>
      <c r="C55" s="36">
        <v>42</v>
      </c>
      <c r="D55" s="37"/>
      <c r="E55" s="37">
        <v>26.2</v>
      </c>
      <c r="F55" s="38">
        <v>10.199999999999999</v>
      </c>
      <c r="G55" s="38">
        <v>-4.5999999999999996</v>
      </c>
      <c r="H55" s="38">
        <v>-90</v>
      </c>
      <c r="I55" s="76">
        <f>_xlfn.RANK.EQ(C55,$C$4:$C$9999,0)+COUNTIF($C$5:C55,C55)-1</f>
        <v>52</v>
      </c>
    </row>
    <row r="56" spans="1:9" ht="16.95" customHeight="1" x14ac:dyDescent="0.3">
      <c r="A56" s="39" t="s">
        <v>196</v>
      </c>
      <c r="B56" s="9" t="s">
        <v>197</v>
      </c>
      <c r="C56" s="31">
        <v>41</v>
      </c>
      <c r="D56" s="32">
        <v>102.9</v>
      </c>
      <c r="E56" s="32">
        <v>20.9</v>
      </c>
      <c r="F56" s="33">
        <v>26.3</v>
      </c>
      <c r="G56" s="33">
        <v>5.7</v>
      </c>
      <c r="H56" s="33">
        <v>4.7</v>
      </c>
      <c r="I56" s="76">
        <f>_xlfn.RANK.EQ(C56,$C$4:$C$9999,0)+COUNTIF($C$5:C56,C56)-1</f>
        <v>53</v>
      </c>
    </row>
    <row r="57" spans="1:9" ht="16.95" customHeight="1" x14ac:dyDescent="0.3">
      <c r="A57" s="40" t="s">
        <v>198</v>
      </c>
      <c r="B57" s="13" t="s">
        <v>199</v>
      </c>
      <c r="C57" s="36">
        <v>41</v>
      </c>
      <c r="D57" s="37">
        <v>26.9</v>
      </c>
      <c r="E57" s="37">
        <v>14.9</v>
      </c>
      <c r="F57" s="38">
        <v>27.2</v>
      </c>
      <c r="G57" s="38">
        <v>12.5</v>
      </c>
      <c r="H57" s="38">
        <v>5.7</v>
      </c>
      <c r="I57" s="76">
        <f>_xlfn.RANK.EQ(C57,$C$4:$C$9999,0)+COUNTIF($C$5:C57,C57)-1</f>
        <v>54</v>
      </c>
    </row>
    <row r="58" spans="1:9" ht="16.95" customHeight="1" x14ac:dyDescent="0.3">
      <c r="A58" s="39" t="s">
        <v>200</v>
      </c>
      <c r="B58" s="9" t="s">
        <v>201</v>
      </c>
      <c r="C58" s="31">
        <v>39</v>
      </c>
      <c r="D58" s="32">
        <v>40</v>
      </c>
      <c r="E58" s="32">
        <v>17.5</v>
      </c>
      <c r="F58" s="33">
        <v>120</v>
      </c>
      <c r="G58" s="33">
        <v>103.1</v>
      </c>
      <c r="H58" s="33">
        <v>9.3000000000000007</v>
      </c>
      <c r="I58" s="76">
        <f>_xlfn.RANK.EQ(C58,$C$4:$C$9999,0)+COUNTIF($C$5:C58,C58)-1</f>
        <v>55</v>
      </c>
    </row>
    <row r="59" spans="1:9" ht="16.95" customHeight="1" x14ac:dyDescent="0.3">
      <c r="A59" s="40" t="s">
        <v>202</v>
      </c>
      <c r="B59" s="13" t="s">
        <v>203</v>
      </c>
      <c r="C59" s="36">
        <v>39</v>
      </c>
      <c r="D59" s="37">
        <v>37.299999999999997</v>
      </c>
      <c r="E59" s="37">
        <v>15.7</v>
      </c>
      <c r="F59" s="38">
        <v>25.5</v>
      </c>
      <c r="G59" s="38">
        <v>4.5999999999999996</v>
      </c>
      <c r="H59" s="38">
        <v>5.0999999999999996</v>
      </c>
      <c r="I59" s="76">
        <f>_xlfn.RANK.EQ(C59,$C$4:$C$9999,0)+COUNTIF($C$5:C59,C59)-1</f>
        <v>56</v>
      </c>
    </row>
    <row r="60" spans="1:9" ht="16.95" customHeight="1" x14ac:dyDescent="0.3">
      <c r="A60" s="39" t="s">
        <v>204</v>
      </c>
      <c r="B60" s="9" t="s">
        <v>205</v>
      </c>
      <c r="C60" s="31">
        <v>38</v>
      </c>
      <c r="D60" s="32">
        <v>53.3</v>
      </c>
      <c r="E60" s="32">
        <v>11.2</v>
      </c>
      <c r="F60" s="33">
        <v>14.4</v>
      </c>
      <c r="G60" s="33">
        <v>2.4</v>
      </c>
      <c r="H60" s="33">
        <v>3.6</v>
      </c>
      <c r="I60" s="76">
        <f>_xlfn.RANK.EQ(C60,$C$4:$C$9999,0)+COUNTIF($C$5:C60,C60)-1</f>
        <v>57</v>
      </c>
    </row>
    <row r="61" spans="1:9" ht="16.95" customHeight="1" x14ac:dyDescent="0.3">
      <c r="A61" s="40" t="s">
        <v>206</v>
      </c>
      <c r="B61" s="13" t="s">
        <v>207</v>
      </c>
      <c r="C61" s="36">
        <v>38</v>
      </c>
      <c r="D61" s="37">
        <v>42.3</v>
      </c>
      <c r="E61" s="37">
        <v>29.7</v>
      </c>
      <c r="F61" s="38">
        <v>23.9</v>
      </c>
      <c r="G61" s="38">
        <v>10.4</v>
      </c>
      <c r="H61" s="38">
        <v>11.5</v>
      </c>
      <c r="I61" s="76">
        <f>_xlfn.RANK.EQ(C61,$C$4:$C$9999,0)+COUNTIF($C$5:C61,C61)-1</f>
        <v>58</v>
      </c>
    </row>
    <row r="62" spans="1:9" ht="16.95" customHeight="1" x14ac:dyDescent="0.3">
      <c r="A62" s="39" t="s">
        <v>208</v>
      </c>
      <c r="B62" s="9" t="s">
        <v>209</v>
      </c>
      <c r="C62" s="31">
        <v>37</v>
      </c>
      <c r="D62" s="32">
        <v>12.2</v>
      </c>
      <c r="E62" s="32">
        <v>9.5</v>
      </c>
      <c r="F62" s="33">
        <v>4.9000000000000004</v>
      </c>
      <c r="G62" s="33">
        <v>12.9</v>
      </c>
      <c r="H62" s="33">
        <v>12.6</v>
      </c>
      <c r="I62" s="76">
        <f>_xlfn.RANK.EQ(C62,$C$4:$C$9999,0)+COUNTIF($C$5:C62,C62)-1</f>
        <v>59</v>
      </c>
    </row>
    <row r="63" spans="1:9" ht="16.95" customHeight="1" x14ac:dyDescent="0.3">
      <c r="A63" s="40" t="s">
        <v>210</v>
      </c>
      <c r="B63" s="13" t="s">
        <v>211</v>
      </c>
      <c r="C63" s="36">
        <v>36</v>
      </c>
      <c r="D63" s="37">
        <v>50.5</v>
      </c>
      <c r="E63" s="37">
        <v>32.299999999999997</v>
      </c>
      <c r="F63" s="38">
        <v>32.6</v>
      </c>
      <c r="G63" s="38">
        <v>25.1</v>
      </c>
      <c r="H63" s="38">
        <v>7</v>
      </c>
      <c r="I63" s="76">
        <f>_xlfn.RANK.EQ(C63,$C$4:$C$9999,0)+COUNTIF($C$5:C63,C63)-1</f>
        <v>60</v>
      </c>
    </row>
    <row r="64" spans="1:9" ht="16.95" customHeight="1" x14ac:dyDescent="0.3">
      <c r="A64" s="39" t="s">
        <v>212</v>
      </c>
      <c r="B64" s="9" t="s">
        <v>213</v>
      </c>
      <c r="C64" s="31">
        <v>35</v>
      </c>
      <c r="D64" s="32">
        <v>23.7</v>
      </c>
      <c r="E64" s="32">
        <v>14.7</v>
      </c>
      <c r="F64" s="33">
        <v>5.2</v>
      </c>
      <c r="G64" s="33">
        <v>12.8</v>
      </c>
      <c r="H64" s="33">
        <v>11.8</v>
      </c>
      <c r="I64" s="76">
        <f>_xlfn.RANK.EQ(C64,$C$4:$C$9999,0)+COUNTIF($C$5:C64,C64)-1</f>
        <v>61</v>
      </c>
    </row>
    <row r="65" spans="1:9" ht="16.95" customHeight="1" x14ac:dyDescent="0.3">
      <c r="A65" s="40" t="s">
        <v>214</v>
      </c>
      <c r="B65" s="13" t="s">
        <v>215</v>
      </c>
      <c r="C65" s="36">
        <v>35</v>
      </c>
      <c r="D65" s="37">
        <v>38.9</v>
      </c>
      <c r="E65" s="37">
        <v>22.2</v>
      </c>
      <c r="F65" s="38">
        <v>28.3</v>
      </c>
      <c r="G65" s="38">
        <v>6.9</v>
      </c>
      <c r="H65" s="38">
        <v>2.9</v>
      </c>
      <c r="I65" s="76">
        <f>_xlfn.RANK.EQ(C65,$C$4:$C$9999,0)+COUNTIF($C$5:C65,C65)-1</f>
        <v>62</v>
      </c>
    </row>
    <row r="66" spans="1:9" ht="16.95" customHeight="1" x14ac:dyDescent="0.3">
      <c r="A66" s="39" t="s">
        <v>216</v>
      </c>
      <c r="B66" s="9" t="s">
        <v>217</v>
      </c>
      <c r="C66" s="31">
        <v>34</v>
      </c>
      <c r="D66" s="32">
        <v>124.8</v>
      </c>
      <c r="E66" s="32">
        <v>42.6</v>
      </c>
      <c r="F66" s="33">
        <v>17.8</v>
      </c>
      <c r="G66" s="33">
        <v>3.8</v>
      </c>
      <c r="H66" s="33">
        <v>5.2</v>
      </c>
      <c r="I66" s="76">
        <f>_xlfn.RANK.EQ(C66,$C$4:$C$9999,0)+COUNTIF($C$5:C66,C66)-1</f>
        <v>63</v>
      </c>
    </row>
    <row r="67" spans="1:9" ht="16.95" customHeight="1" x14ac:dyDescent="0.3">
      <c r="A67" s="40" t="s">
        <v>218</v>
      </c>
      <c r="B67" s="13" t="s">
        <v>219</v>
      </c>
      <c r="C67" s="36">
        <v>33</v>
      </c>
      <c r="D67" s="37">
        <v>40.5</v>
      </c>
      <c r="E67" s="37">
        <v>15.3</v>
      </c>
      <c r="F67" s="38">
        <v>23.2</v>
      </c>
      <c r="G67" s="38">
        <v>6</v>
      </c>
      <c r="H67" s="38">
        <v>7.5</v>
      </c>
      <c r="I67" s="76">
        <f>_xlfn.RANK.EQ(C67,$C$4:$C$9999,0)+COUNTIF($C$5:C67,C67)-1</f>
        <v>64</v>
      </c>
    </row>
    <row r="68" spans="1:9" ht="16.95" customHeight="1" x14ac:dyDescent="0.3">
      <c r="A68" s="39" t="s">
        <v>220</v>
      </c>
      <c r="B68" s="9" t="s">
        <v>221</v>
      </c>
      <c r="C68" s="31">
        <v>33</v>
      </c>
      <c r="D68" s="32">
        <v>804.2</v>
      </c>
      <c r="E68" s="32">
        <v>396.7</v>
      </c>
      <c r="F68" s="33">
        <v>23.2</v>
      </c>
      <c r="G68" s="33">
        <v>15.5</v>
      </c>
      <c r="H68" s="33">
        <v>8.8000000000000007</v>
      </c>
      <c r="I68" s="76">
        <f>_xlfn.RANK.EQ(C68,$C$4:$C$9999,0)+COUNTIF($C$5:C68,C68)-1</f>
        <v>65</v>
      </c>
    </row>
    <row r="69" spans="1:9" ht="16.95" customHeight="1" x14ac:dyDescent="0.3">
      <c r="A69" s="40" t="s">
        <v>222</v>
      </c>
      <c r="B69" s="13" t="s">
        <v>223</v>
      </c>
      <c r="C69" s="36">
        <v>31</v>
      </c>
      <c r="D69" s="37"/>
      <c r="E69" s="37"/>
      <c r="F69" s="38">
        <v>25.9</v>
      </c>
      <c r="G69" s="38">
        <v>10.1</v>
      </c>
      <c r="H69" s="38">
        <v>-180</v>
      </c>
      <c r="I69" s="76">
        <f>_xlfn.RANK.EQ(C69,$C$4:$C$9999,0)+COUNTIF($C$5:C69,C69)-1</f>
        <v>66</v>
      </c>
    </row>
    <row r="70" spans="1:9" ht="16.95" customHeight="1" x14ac:dyDescent="0.3">
      <c r="A70" s="39" t="s">
        <v>224</v>
      </c>
      <c r="B70" s="9" t="s">
        <v>225</v>
      </c>
      <c r="C70" s="31">
        <v>30</v>
      </c>
      <c r="D70" s="32">
        <v>19.899999999999999</v>
      </c>
      <c r="E70" s="32">
        <v>10.6</v>
      </c>
      <c r="F70" s="33">
        <v>2.2999999999999998</v>
      </c>
      <c r="G70" s="33">
        <v>6.7</v>
      </c>
      <c r="H70" s="33">
        <v>10.1</v>
      </c>
      <c r="I70" s="76">
        <f>_xlfn.RANK.EQ(C70,$C$4:$C$9999,0)+COUNTIF($C$5:C70,C70)-1</f>
        <v>67</v>
      </c>
    </row>
    <row r="71" spans="1:9" ht="16.95" customHeight="1" x14ac:dyDescent="0.3">
      <c r="A71" s="40" t="s">
        <v>226</v>
      </c>
      <c r="B71" s="13" t="s">
        <v>227</v>
      </c>
      <c r="C71" s="36">
        <v>30</v>
      </c>
      <c r="D71" s="37">
        <v>43.3</v>
      </c>
      <c r="E71" s="37">
        <v>16.600000000000001</v>
      </c>
      <c r="F71" s="38">
        <v>26.8</v>
      </c>
      <c r="G71" s="38">
        <v>3.3</v>
      </c>
      <c r="H71" s="38">
        <v>3.7</v>
      </c>
      <c r="I71" s="76">
        <f>_xlfn.RANK.EQ(C71,$C$4:$C$9999,0)+COUNTIF($C$5:C71,C71)-1</f>
        <v>68</v>
      </c>
    </row>
    <row r="72" spans="1:9" ht="16.95" customHeight="1" x14ac:dyDescent="0.3">
      <c r="A72" s="39" t="s">
        <v>228</v>
      </c>
      <c r="B72" s="9" t="s">
        <v>229</v>
      </c>
      <c r="C72" s="31">
        <v>30</v>
      </c>
      <c r="D72" s="32">
        <v>35.9</v>
      </c>
      <c r="E72" s="32">
        <v>17.600000000000001</v>
      </c>
      <c r="F72" s="33">
        <v>24.9</v>
      </c>
      <c r="G72" s="33">
        <v>9.3000000000000007</v>
      </c>
      <c r="H72" s="33">
        <v>6.2</v>
      </c>
      <c r="I72" s="76">
        <f>_xlfn.RANK.EQ(C72,$C$4:$C$9999,0)+COUNTIF($C$5:C72,C72)-1</f>
        <v>69</v>
      </c>
    </row>
    <row r="73" spans="1:9" ht="16.95" customHeight="1" x14ac:dyDescent="0.3">
      <c r="A73" s="40" t="s">
        <v>230</v>
      </c>
      <c r="B73" s="13" t="s">
        <v>231</v>
      </c>
      <c r="C73" s="36">
        <v>29</v>
      </c>
      <c r="D73" s="37">
        <v>56.2</v>
      </c>
      <c r="E73" s="37">
        <v>15.8</v>
      </c>
      <c r="F73" s="38">
        <v>2.5</v>
      </c>
      <c r="G73" s="38">
        <v>2.4</v>
      </c>
      <c r="H73" s="38">
        <v>7.8</v>
      </c>
      <c r="I73" s="76">
        <f>_xlfn.RANK.EQ(C73,$C$4:$C$9999,0)+COUNTIF($C$5:C73,C73)-1</f>
        <v>70</v>
      </c>
    </row>
    <row r="74" spans="1:9" ht="16.95" customHeight="1" x14ac:dyDescent="0.3">
      <c r="A74" s="39" t="s">
        <v>232</v>
      </c>
      <c r="B74" s="9" t="s">
        <v>233</v>
      </c>
      <c r="C74" s="31">
        <v>28</v>
      </c>
      <c r="D74" s="32"/>
      <c r="E74" s="32"/>
      <c r="F74" s="33">
        <v>-2.5</v>
      </c>
      <c r="G74" s="33">
        <v>-33.4</v>
      </c>
      <c r="H74" s="33">
        <v>19.399999999999999</v>
      </c>
      <c r="I74" s="76">
        <f>_xlfn.RANK.EQ(C74,$C$4:$C$9999,0)+COUNTIF($C$5:C74,C74)-1</f>
        <v>71</v>
      </c>
    </row>
    <row r="75" spans="1:9" ht="16.95" customHeight="1" x14ac:dyDescent="0.3">
      <c r="A75" s="40" t="s">
        <v>234</v>
      </c>
      <c r="B75" s="13" t="s">
        <v>235</v>
      </c>
      <c r="C75" s="36">
        <v>26</v>
      </c>
      <c r="D75" s="37"/>
      <c r="E75" s="37">
        <v>21.5</v>
      </c>
      <c r="F75" s="38">
        <v>6.8</v>
      </c>
      <c r="G75" s="38">
        <v>-15.6</v>
      </c>
      <c r="H75" s="38">
        <v>5.7</v>
      </c>
      <c r="I75" s="76">
        <f>_xlfn.RANK.EQ(C75,$C$4:$C$9999,0)+COUNTIF($C$5:C75,C75)-1</f>
        <v>72</v>
      </c>
    </row>
    <row r="76" spans="1:9" ht="16.95" customHeight="1" x14ac:dyDescent="0.3">
      <c r="A76" s="39" t="s">
        <v>236</v>
      </c>
      <c r="B76" s="9" t="s">
        <v>237</v>
      </c>
      <c r="C76" s="31">
        <v>26</v>
      </c>
      <c r="D76" s="32">
        <v>16.3</v>
      </c>
      <c r="E76" s="32">
        <v>7.3</v>
      </c>
      <c r="F76" s="33">
        <v>2.1</v>
      </c>
      <c r="G76" s="33">
        <v>11.6</v>
      </c>
      <c r="H76" s="33">
        <v>11.7</v>
      </c>
      <c r="I76" s="76">
        <f>_xlfn.RANK.EQ(C76,$C$4:$C$9999,0)+COUNTIF($C$5:C76,C76)-1</f>
        <v>73</v>
      </c>
    </row>
    <row r="77" spans="1:9" ht="16.95" customHeight="1" x14ac:dyDescent="0.3">
      <c r="A77" s="40" t="s">
        <v>238</v>
      </c>
      <c r="B77" s="13" t="s">
        <v>239</v>
      </c>
      <c r="C77" s="36">
        <v>18</v>
      </c>
      <c r="D77" s="37"/>
      <c r="E77" s="37"/>
      <c r="F77" s="38"/>
      <c r="G77" s="38"/>
      <c r="H77" s="38"/>
      <c r="I77" s="76">
        <f>_xlfn.RANK.EQ(C77,$C$4:$C$9999,0)+COUNTIF($C$5:C77,C77)-1</f>
        <v>74</v>
      </c>
    </row>
    <row r="78" spans="1:9" ht="16.95" customHeight="1" x14ac:dyDescent="0.3">
      <c r="A78" s="39" t="s">
        <v>240</v>
      </c>
      <c r="B78" s="9" t="s">
        <v>241</v>
      </c>
      <c r="C78" s="31">
        <v>16</v>
      </c>
      <c r="D78" s="32"/>
      <c r="E78" s="32"/>
      <c r="F78" s="33"/>
      <c r="G78" s="33"/>
      <c r="H78" s="33"/>
      <c r="I78" s="76">
        <f>_xlfn.RANK.EQ(C78,$C$4:$C$9999,0)+COUNTIF($C$5:C78,C78)-1</f>
        <v>75</v>
      </c>
    </row>
    <row r="79" spans="1:9" ht="16.95" customHeight="1" x14ac:dyDescent="0.3">
      <c r="A79" s="40"/>
      <c r="B79" s="13"/>
      <c r="C79" s="36"/>
      <c r="D79" s="37"/>
      <c r="E79" s="37"/>
      <c r="F79" s="38"/>
      <c r="G79" s="38"/>
      <c r="H79" s="38"/>
    </row>
    <row r="80" spans="1:9" ht="16.95" customHeight="1" x14ac:dyDescent="0.3">
      <c r="A80" s="39"/>
      <c r="B80" s="9"/>
      <c r="C80" s="31"/>
      <c r="D80" s="32"/>
      <c r="E80" s="32"/>
      <c r="F80" s="33"/>
      <c r="G80" s="33"/>
      <c r="H80" s="33"/>
    </row>
    <row r="81" spans="1:8" ht="16.95" customHeight="1" x14ac:dyDescent="0.3">
      <c r="A81" s="40"/>
      <c r="B81" s="13"/>
      <c r="C81" s="36"/>
      <c r="D81" s="37"/>
      <c r="E81" s="37"/>
      <c r="F81" s="38"/>
      <c r="G81" s="38"/>
      <c r="H81" s="38"/>
    </row>
    <row r="82" spans="1:8" ht="16.95" customHeight="1" x14ac:dyDescent="0.3">
      <c r="A82" s="39"/>
      <c r="B82" s="9"/>
      <c r="C82" s="31"/>
      <c r="D82" s="32"/>
      <c r="E82" s="32"/>
      <c r="F82" s="33"/>
      <c r="G82" s="33"/>
      <c r="H82" s="33"/>
    </row>
    <row r="83" spans="1:8" ht="16.95" customHeight="1" x14ac:dyDescent="0.3">
      <c r="A83" s="40"/>
      <c r="B83" s="13"/>
      <c r="C83" s="36"/>
      <c r="D83" s="37"/>
      <c r="E83" s="37"/>
      <c r="F83" s="38"/>
      <c r="G83" s="38"/>
      <c r="H83" s="38"/>
    </row>
    <row r="84" spans="1:8" ht="16.95" customHeight="1" x14ac:dyDescent="0.3">
      <c r="A84" s="39"/>
      <c r="B84" s="9"/>
      <c r="C84" s="31"/>
      <c r="D84" s="32"/>
      <c r="E84" s="32"/>
      <c r="F84" s="33"/>
      <c r="G84" s="33"/>
      <c r="H84" s="33"/>
    </row>
    <row r="85" spans="1:8" ht="16.95" customHeight="1" x14ac:dyDescent="0.3">
      <c r="A85" s="40"/>
      <c r="B85" s="13"/>
      <c r="C85" s="36"/>
      <c r="D85" s="37"/>
      <c r="E85" s="37"/>
      <c r="F85" s="38"/>
      <c r="G85" s="38"/>
      <c r="H85" s="38"/>
    </row>
    <row r="86" spans="1:8" ht="16.95" customHeight="1" x14ac:dyDescent="0.3">
      <c r="A86" s="39"/>
      <c r="B86" s="9"/>
      <c r="C86" s="31"/>
      <c r="D86" s="32"/>
      <c r="E86" s="32"/>
      <c r="F86" s="33"/>
      <c r="G86" s="33"/>
      <c r="H86" s="33"/>
    </row>
    <row r="87" spans="1:8" ht="16.95" customHeight="1" x14ac:dyDescent="0.3">
      <c r="A87" s="40"/>
      <c r="B87" s="13"/>
      <c r="C87" s="36"/>
      <c r="D87" s="37"/>
      <c r="E87" s="37"/>
      <c r="F87" s="38"/>
      <c r="G87" s="38"/>
      <c r="H87" s="38"/>
    </row>
    <row r="88" spans="1:8" ht="16.95" customHeight="1" x14ac:dyDescent="0.3">
      <c r="A88" s="39"/>
      <c r="B88" s="9"/>
      <c r="C88" s="31"/>
      <c r="D88" s="32"/>
      <c r="E88" s="32"/>
      <c r="F88" s="33"/>
      <c r="G88" s="33"/>
      <c r="H88" s="33"/>
    </row>
    <row r="89" spans="1:8" ht="16.95" customHeight="1" x14ac:dyDescent="0.3">
      <c r="A89" s="40"/>
      <c r="B89" s="13"/>
      <c r="C89" s="36"/>
      <c r="D89" s="37"/>
      <c r="E89" s="37"/>
      <c r="F89" s="38"/>
      <c r="G89" s="38"/>
      <c r="H89" s="38"/>
    </row>
    <row r="90" spans="1:8" ht="16.95" customHeight="1" x14ac:dyDescent="0.3">
      <c r="A90" s="39"/>
      <c r="B90" s="9"/>
      <c r="C90" s="31"/>
      <c r="D90" s="32"/>
      <c r="E90" s="32"/>
      <c r="F90" s="33"/>
      <c r="G90" s="33"/>
      <c r="H90" s="33"/>
    </row>
    <row r="91" spans="1:8" ht="16.95" customHeight="1" x14ac:dyDescent="0.3">
      <c r="A91" s="40"/>
      <c r="B91" s="13"/>
      <c r="C91" s="36"/>
      <c r="D91" s="37"/>
      <c r="E91" s="37"/>
      <c r="F91" s="38"/>
      <c r="G91" s="38"/>
      <c r="H91" s="38"/>
    </row>
  </sheetData>
  <conditionalFormatting sqref="C4:C91">
    <cfRule type="colorScale" priority="1">
      <colorScale>
        <cfvo type="min"/>
        <cfvo type="num" val="50"/>
        <cfvo type="max"/>
        <color rgb="FFFF6347"/>
        <color rgb="FFFFFF00"/>
        <color rgb="FF00B050"/>
      </colorScale>
    </cfRule>
    <cfRule type="colorScale" priority="2">
      <colorScale>
        <cfvo type="min"/>
        <cfvo type="num" val="50"/>
        <cfvo type="max"/>
        <color rgb="FFFF6347"/>
        <color rgb="FFFFD700"/>
        <color rgb="FF00B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"/>
  <sheetViews>
    <sheetView showGridLines="0" workbookViewId="0">
      <selection activeCell="I1" sqref="I1:L2"/>
    </sheetView>
  </sheetViews>
  <sheetFormatPr baseColWidth="10" defaultColWidth="8.88671875" defaultRowHeight="14.4" x14ac:dyDescent="0.3"/>
  <cols>
    <col min="1" max="1" width="13" customWidth="1"/>
    <col min="2" max="2" width="29.6640625" customWidth="1"/>
    <col min="3" max="3" width="16.6640625" customWidth="1"/>
    <col min="4" max="5" width="13.88671875" customWidth="1"/>
    <col min="6" max="8" width="15.77734375" customWidth="1"/>
    <col min="9" max="9" width="16.6640625" customWidth="1"/>
  </cols>
  <sheetData>
    <row r="1" spans="1:9" ht="25.95" customHeight="1" x14ac:dyDescent="0.35">
      <c r="A1" s="2" t="s">
        <v>0</v>
      </c>
      <c r="B1" s="1"/>
      <c r="C1" s="3" t="s">
        <v>242</v>
      </c>
      <c r="D1" s="1"/>
      <c r="E1" s="1"/>
      <c r="F1" s="1"/>
      <c r="G1" s="1"/>
      <c r="H1" s="1"/>
      <c r="I1" t="s">
        <v>46</v>
      </c>
    </row>
    <row r="2" spans="1:9" ht="15" customHeight="1" x14ac:dyDescent="0.3">
      <c r="A2" s="5" t="s">
        <v>243</v>
      </c>
      <c r="B2" s="4"/>
      <c r="C2" s="4"/>
      <c r="D2" s="4"/>
      <c r="E2" s="4"/>
      <c r="F2" s="4"/>
      <c r="G2" s="4"/>
      <c r="H2" s="4"/>
    </row>
    <row r="3" spans="1:9" ht="18" customHeight="1" x14ac:dyDescent="0.3">
      <c r="A3" s="15" t="s">
        <v>41</v>
      </c>
      <c r="B3" s="16" t="s">
        <v>42</v>
      </c>
      <c r="C3" s="16" t="s">
        <v>91</v>
      </c>
      <c r="D3" s="16" t="s">
        <v>35</v>
      </c>
      <c r="E3" s="16" t="s">
        <v>36</v>
      </c>
      <c r="F3" s="16" t="s">
        <v>44</v>
      </c>
      <c r="G3" s="16" t="s">
        <v>37</v>
      </c>
      <c r="H3" s="16" t="s">
        <v>45</v>
      </c>
    </row>
    <row r="4" spans="1:9" ht="16.95" customHeight="1" x14ac:dyDescent="0.3">
      <c r="A4" s="39" t="s">
        <v>244</v>
      </c>
      <c r="B4" s="9" t="s">
        <v>245</v>
      </c>
      <c r="C4" s="31">
        <v>63</v>
      </c>
      <c r="D4" s="32">
        <v>23.69</v>
      </c>
      <c r="E4" s="32">
        <v>19.420000000000002</v>
      </c>
      <c r="F4" s="73">
        <v>15</v>
      </c>
      <c r="G4" s="73">
        <v>12.8</v>
      </c>
      <c r="H4" s="73">
        <v>4.3</v>
      </c>
    </row>
    <row r="5" spans="1:9" ht="16.95" customHeight="1" x14ac:dyDescent="0.3">
      <c r="A5" s="40" t="s">
        <v>246</v>
      </c>
      <c r="B5" s="13" t="s">
        <v>247</v>
      </c>
      <c r="C5" s="36">
        <v>60</v>
      </c>
      <c r="D5" s="37">
        <v>23.49</v>
      </c>
      <c r="E5" s="37">
        <v>14.77</v>
      </c>
      <c r="F5" s="74">
        <v>30.5</v>
      </c>
      <c r="G5" s="74">
        <v>16.100000000000001</v>
      </c>
      <c r="H5" s="74">
        <v>3.3</v>
      </c>
    </row>
    <row r="6" spans="1:9" ht="16.95" customHeight="1" x14ac:dyDescent="0.3">
      <c r="A6" s="39" t="s">
        <v>248</v>
      </c>
      <c r="B6" s="9" t="s">
        <v>249</v>
      </c>
      <c r="C6" s="31">
        <v>56</v>
      </c>
      <c r="D6" s="32">
        <v>55.95</v>
      </c>
      <c r="E6" s="32">
        <v>15.57</v>
      </c>
      <c r="F6" s="73">
        <v>27.3</v>
      </c>
      <c r="G6" s="73">
        <v>5.7</v>
      </c>
      <c r="H6" s="73">
        <v>7</v>
      </c>
    </row>
    <row r="7" spans="1:9" ht="16.95" customHeight="1" x14ac:dyDescent="0.3">
      <c r="A7" s="40"/>
      <c r="B7" s="13"/>
      <c r="C7" s="36"/>
      <c r="D7" s="37"/>
      <c r="E7" s="37"/>
      <c r="F7" s="74"/>
      <c r="G7" s="74"/>
      <c r="H7" s="74"/>
    </row>
    <row r="8" spans="1:9" ht="16.95" customHeight="1" x14ac:dyDescent="0.3">
      <c r="A8" s="39"/>
      <c r="B8" s="9"/>
      <c r="C8" s="31"/>
      <c r="D8" s="32"/>
      <c r="E8" s="32"/>
      <c r="F8" s="73"/>
      <c r="G8" s="73"/>
      <c r="H8" s="73"/>
    </row>
    <row r="9" spans="1:9" ht="16.95" customHeight="1" x14ac:dyDescent="0.3">
      <c r="A9" s="40"/>
      <c r="B9" s="13"/>
      <c r="C9" s="36"/>
      <c r="D9" s="37"/>
      <c r="E9" s="37"/>
      <c r="F9" s="74"/>
      <c r="G9" s="74"/>
      <c r="H9" s="74"/>
    </row>
  </sheetData>
  <conditionalFormatting sqref="C4:C9">
    <cfRule type="colorScale" priority="1">
      <colorScale>
        <cfvo type="min"/>
        <cfvo type="num" val="50"/>
        <cfvo type="max"/>
        <color rgb="FFFF6347"/>
        <color rgb="FFFFD700"/>
        <color rgb="FF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SYNTHÈSE</vt:lpstr>
      <vt:lpstr>AGRÉGATS</vt:lpstr>
      <vt:lpstr>TOP_TECH</vt:lpstr>
      <vt:lpstr>TOP_HC</vt:lpstr>
      <vt:lpstr>DATA_TECH</vt:lpstr>
      <vt:lpstr>DATA_HC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Baptiste jeh</cp:lastModifiedBy>
  <dcterms:created xsi:type="dcterms:W3CDTF">2026-04-12T14:38:18Z</dcterms:created>
  <dcterms:modified xsi:type="dcterms:W3CDTF">2026-04-15T11:26:46Z</dcterms:modified>
</cp:coreProperties>
</file>