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445307DD-B74C-4645-9862-DB0AB270F9C5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YNTHÈSE" sheetId="1" r:id="rId1"/>
    <sheet name="AGRÉGATS" sheetId="2" r:id="rId2"/>
    <sheet name="TOP_TECH" sheetId="3" r:id="rId3"/>
    <sheet name="TOP_HC" sheetId="4" r:id="rId4"/>
    <sheet name="DATA_TECH" sheetId="5" r:id="rId5"/>
    <sheet name="DATA_H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 a="1"/>
  <c r="F32" i="1" s="1"/>
  <c r="E32" i="1" a="1"/>
  <c r="E32" i="1" s="1"/>
  <c r="D32" i="1" a="1"/>
  <c r="D32" i="1" s="1"/>
  <c r="C32" i="1" a="1"/>
  <c r="C32" i="1" s="1"/>
  <c r="B32" i="1" a="1"/>
  <c r="B32" i="1" s="1"/>
  <c r="F31" i="1" a="1"/>
  <c r="F31" i="1" s="1"/>
  <c r="E31" i="1" a="1"/>
  <c r="E31" i="1" s="1"/>
  <c r="D31" i="1" a="1"/>
  <c r="D31" i="1" s="1"/>
  <c r="C31" i="1" a="1"/>
  <c r="C31" i="1" s="1"/>
  <c r="B31" i="1" a="1"/>
  <c r="B31" i="1" s="1"/>
  <c r="J20" i="2"/>
  <c r="I20" i="2"/>
  <c r="J19" i="2"/>
  <c r="I19" i="2"/>
  <c r="J18" i="2"/>
  <c r="I18" i="2"/>
  <c r="J17" i="2"/>
  <c r="I17" i="2"/>
  <c r="J16" i="2"/>
  <c r="I16" i="2"/>
  <c r="J15" i="2"/>
  <c r="I15" i="2"/>
  <c r="J11" i="2"/>
  <c r="I11" i="2"/>
  <c r="J10" i="2"/>
  <c r="I10" i="2"/>
  <c r="J9" i="2"/>
  <c r="I9" i="2"/>
  <c r="J8" i="2"/>
  <c r="K8" i="2" s="1"/>
  <c r="I8" i="2"/>
  <c r="J7" i="2"/>
  <c r="I7" i="2"/>
  <c r="J6" i="2"/>
  <c r="I6" i="2"/>
  <c r="K18" i="2" l="1"/>
  <c r="K19" i="2"/>
  <c r="K20" i="2"/>
  <c r="K15" i="2"/>
  <c r="K16" i="2"/>
  <c r="K17" i="2"/>
  <c r="K9" i="2"/>
  <c r="K10" i="2"/>
  <c r="K11" i="2"/>
  <c r="K6" i="2"/>
  <c r="K7" i="2"/>
  <c r="H20" i="1"/>
  <c r="G20" i="1"/>
  <c r="E20" i="1"/>
  <c r="D20" i="1"/>
  <c r="C20" i="1"/>
  <c r="E19" i="1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G26" i="1" s="1"/>
  <c r="H5" i="4"/>
  <c r="F26" i="1" s="1"/>
  <c r="G5" i="4"/>
  <c r="E26" i="1" s="1"/>
  <c r="F5" i="4"/>
  <c r="E5" i="4"/>
  <c r="D5" i="4"/>
  <c r="D26" i="1" s="1"/>
  <c r="C5" i="4"/>
  <c r="C26" i="1" s="1"/>
  <c r="B5" i="4"/>
  <c r="B26" i="1" s="1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I14" i="3"/>
  <c r="H14" i="3"/>
  <c r="G14" i="3"/>
  <c r="F14" i="3"/>
  <c r="E14" i="3"/>
  <c r="D14" i="3"/>
  <c r="C14" i="3"/>
  <c r="B14" i="3"/>
  <c r="I13" i="3"/>
  <c r="H13" i="3"/>
  <c r="G13" i="3"/>
  <c r="F13" i="3"/>
  <c r="E13" i="3"/>
  <c r="D13" i="3"/>
  <c r="C13" i="3"/>
  <c r="B13" i="3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G25" i="1" s="1"/>
  <c r="H5" i="3"/>
  <c r="F25" i="1" s="1"/>
  <c r="G5" i="3"/>
  <c r="E25" i="1" s="1"/>
  <c r="F5" i="3"/>
  <c r="E5" i="3"/>
  <c r="D5" i="3"/>
  <c r="D25" i="1" s="1"/>
  <c r="C5" i="3"/>
  <c r="C25" i="1" s="1"/>
  <c r="B5" i="3"/>
  <c r="B25" i="1" s="1"/>
  <c r="H20" i="2"/>
  <c r="G20" i="2"/>
  <c r="H21" i="1" s="1"/>
  <c r="F20" i="2"/>
  <c r="G21" i="1" s="1"/>
  <c r="E20" i="2"/>
  <c r="D20" i="2"/>
  <c r="C20" i="2"/>
  <c r="H19" i="2"/>
  <c r="H28" i="2" s="1"/>
  <c r="G19" i="2"/>
  <c r="G28" i="2" s="1"/>
  <c r="F19" i="2"/>
  <c r="F28" i="2" s="1"/>
  <c r="E19" i="2"/>
  <c r="D19" i="2"/>
  <c r="F20" i="1" s="1"/>
  <c r="C19" i="2"/>
  <c r="H18" i="2"/>
  <c r="G18" i="2"/>
  <c r="H19" i="1" s="1"/>
  <c r="F18" i="2"/>
  <c r="G19" i="1" s="1"/>
  <c r="E18" i="2"/>
  <c r="D18" i="2"/>
  <c r="C18" i="2"/>
  <c r="H17" i="2"/>
  <c r="G17" i="2"/>
  <c r="G26" i="2" s="1"/>
  <c r="F17" i="2"/>
  <c r="G18" i="1" s="1"/>
  <c r="E17" i="2"/>
  <c r="E26" i="2" s="1"/>
  <c r="D17" i="2"/>
  <c r="C17" i="2"/>
  <c r="H16" i="2"/>
  <c r="G16" i="2"/>
  <c r="F16" i="2"/>
  <c r="E16" i="2"/>
  <c r="D16" i="2"/>
  <c r="C16" i="2"/>
  <c r="H15" i="2"/>
  <c r="G15" i="2"/>
  <c r="H16" i="1" s="1"/>
  <c r="F15" i="2"/>
  <c r="G16" i="1" s="1"/>
  <c r="E15" i="2"/>
  <c r="E24" i="2" s="1"/>
  <c r="D15" i="2"/>
  <c r="C15" i="2"/>
  <c r="H11" i="2"/>
  <c r="G11" i="2"/>
  <c r="E21" i="1" s="1"/>
  <c r="F11" i="2"/>
  <c r="D21" i="1" s="1"/>
  <c r="E11" i="2"/>
  <c r="C21" i="1" s="1"/>
  <c r="D11" i="2"/>
  <c r="C11" i="2"/>
  <c r="H10" i="2"/>
  <c r="G10" i="2"/>
  <c r="F10" i="2"/>
  <c r="E10" i="2"/>
  <c r="D10" i="2"/>
  <c r="C11" i="1" s="1"/>
  <c r="C10" i="2"/>
  <c r="H9" i="2"/>
  <c r="G9" i="2"/>
  <c r="F9" i="2"/>
  <c r="D19" i="1" s="1"/>
  <c r="E9" i="2"/>
  <c r="C19" i="1" s="1"/>
  <c r="D9" i="2"/>
  <c r="B19" i="1" s="1"/>
  <c r="C9" i="2"/>
  <c r="H8" i="2"/>
  <c r="G8" i="2"/>
  <c r="E18" i="1" s="1"/>
  <c r="F8" i="2"/>
  <c r="D18" i="1" s="1"/>
  <c r="E8" i="2"/>
  <c r="C18" i="1" s="1"/>
  <c r="D8" i="2"/>
  <c r="C8" i="2"/>
  <c r="H7" i="2"/>
  <c r="G7" i="2"/>
  <c r="E17" i="1" s="1"/>
  <c r="F7" i="2"/>
  <c r="D17" i="1" s="1"/>
  <c r="E7" i="2"/>
  <c r="C17" i="1" s="1"/>
  <c r="D7" i="2"/>
  <c r="C7" i="2"/>
  <c r="H6" i="2"/>
  <c r="G6" i="2"/>
  <c r="E16" i="1" s="1"/>
  <c r="F6" i="2"/>
  <c r="D16" i="1" s="1"/>
  <c r="E6" i="2"/>
  <c r="C16" i="1" s="1"/>
  <c r="D6" i="2"/>
  <c r="C7" i="1" s="1"/>
  <c r="C6" i="2"/>
  <c r="F6" i="1"/>
  <c r="D6" i="1"/>
  <c r="C6" i="1"/>
  <c r="A2" i="1"/>
  <c r="C10" i="1" l="1"/>
  <c r="F25" i="2"/>
  <c r="H27" i="2"/>
  <c r="G25" i="2"/>
  <c r="H25" i="2"/>
  <c r="E27" i="2"/>
  <c r="B18" i="1"/>
  <c r="H26" i="2"/>
  <c r="E29" i="2"/>
  <c r="H24" i="2"/>
  <c r="H29" i="2"/>
  <c r="C8" i="1"/>
  <c r="B21" i="1"/>
  <c r="E25" i="2"/>
  <c r="C9" i="1"/>
  <c r="C12" i="1"/>
  <c r="E28" i="2"/>
  <c r="B16" i="1"/>
  <c r="B20" i="1"/>
  <c r="I20" i="1" s="1"/>
  <c r="B17" i="1"/>
  <c r="F19" i="1"/>
  <c r="I19" i="1" s="1"/>
  <c r="F18" i="1"/>
  <c r="D11" i="1"/>
  <c r="E11" i="1" s="1"/>
  <c r="G6" i="1"/>
  <c r="F26" i="2"/>
  <c r="D9" i="1"/>
  <c r="H18" i="1"/>
  <c r="D26" i="2"/>
  <c r="F16" i="1"/>
  <c r="I16" i="1" s="1"/>
  <c r="D24" i="2"/>
  <c r="E6" i="1"/>
  <c r="D7" i="1"/>
  <c r="G7" i="1" s="1"/>
  <c r="G11" i="1"/>
  <c r="D29" i="2"/>
  <c r="D12" i="1"/>
  <c r="F29" i="2"/>
  <c r="G29" i="2"/>
  <c r="F17" i="1"/>
  <c r="I17" i="1" s="1"/>
  <c r="D27" i="2"/>
  <c r="G17" i="1"/>
  <c r="F24" i="2"/>
  <c r="D10" i="1"/>
  <c r="H17" i="1"/>
  <c r="G24" i="2"/>
  <c r="F27" i="2"/>
  <c r="G27" i="2"/>
  <c r="F21" i="1"/>
  <c r="D25" i="2"/>
  <c r="D28" i="2"/>
  <c r="D8" i="1"/>
  <c r="I21" i="1" l="1"/>
  <c r="I18" i="1"/>
  <c r="G9" i="1"/>
  <c r="F11" i="1"/>
  <c r="F7" i="1"/>
  <c r="E7" i="1"/>
  <c r="E9" i="1"/>
  <c r="F9" i="1"/>
  <c r="G10" i="1"/>
  <c r="F10" i="1"/>
  <c r="E10" i="1"/>
  <c r="G8" i="1"/>
  <c r="F8" i="1"/>
  <c r="E8" i="1"/>
  <c r="G12" i="1"/>
  <c r="F12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<sst xmlns="http://schemas.openxmlformats.org/spreadsheetml/2006/main" count="388" uniqueCount="285">
  <si>
    <t>Technologie</t>
  </si>
  <si>
    <t>Healthcare</t>
  </si>
  <si>
    <t>Rentabilité des fonds propres</t>
  </si>
  <si>
    <t>Score FinSight</t>
  </si>
  <si>
    <t>Marge EBITDA</t>
  </si>
  <si>
    <t>P/E</t>
  </si>
  <si>
    <t>EV/EBITDA</t>
  </si>
  <si>
    <t>ROE</t>
  </si>
  <si>
    <t>NVDA</t>
  </si>
  <si>
    <t>NVIDIA Corporation</t>
  </si>
  <si>
    <t>—</t>
  </si>
  <si>
    <t>ANET</t>
  </si>
  <si>
    <t>Arista Networks, Inc.</t>
  </si>
  <si>
    <t>AVGO</t>
  </si>
  <si>
    <t>Broadcom Inc.</t>
  </si>
  <si>
    <t>AMD</t>
  </si>
  <si>
    <t>Advanced Micro Devices, Inc.</t>
  </si>
  <si>
    <t>PTC</t>
  </si>
  <si>
    <t>PTC Inc.</t>
  </si>
  <si>
    <t>ASML.AS</t>
  </si>
  <si>
    <t>ASML Holding N.V.</t>
  </si>
  <si>
    <t>ADI</t>
  </si>
  <si>
    <t>Analog Devices, Inc.</t>
  </si>
  <si>
    <t>GLW</t>
  </si>
  <si>
    <t>Corning Incorporated</t>
  </si>
  <si>
    <t>KLAC</t>
  </si>
  <si>
    <t>KLA Corporation</t>
  </si>
  <si>
    <t>APH</t>
  </si>
  <si>
    <t>Amphenol Corporation</t>
  </si>
  <si>
    <t>INTC</t>
  </si>
  <si>
    <t>Intel Corporation</t>
  </si>
  <si>
    <t>CDNS</t>
  </si>
  <si>
    <t>Cadence Design Systems, Inc.</t>
  </si>
  <si>
    <t>MU</t>
  </si>
  <si>
    <t>Micron Technology, Inc.</t>
  </si>
  <si>
    <t>GRMN</t>
  </si>
  <si>
    <t>Garmin Ltd.</t>
  </si>
  <si>
    <t>ADSK</t>
  </si>
  <si>
    <t>Autodesk, Inc.</t>
  </si>
  <si>
    <t>MSFT</t>
  </si>
  <si>
    <t>Microsoft Corporation</t>
  </si>
  <si>
    <t>FFIV</t>
  </si>
  <si>
    <t>F5, Inc.</t>
  </si>
  <si>
    <t>CPAY</t>
  </si>
  <si>
    <t>Corpay, Inc.</t>
  </si>
  <si>
    <t>LRCX</t>
  </si>
  <si>
    <t>Lam Research Corporation</t>
  </si>
  <si>
    <t>WDC</t>
  </si>
  <si>
    <t>Western Digital Corporation</t>
  </si>
  <si>
    <t>AMAT</t>
  </si>
  <si>
    <t>Applied Materials, Inc.</t>
  </si>
  <si>
    <t>CIEN</t>
  </si>
  <si>
    <t>Ciena Corporation</t>
  </si>
  <si>
    <t>FSLR</t>
  </si>
  <si>
    <t>First Solar, Inc.</t>
  </si>
  <si>
    <t>MPWR</t>
  </si>
  <si>
    <t>Monolithic Power Systems, Inc.</t>
  </si>
  <si>
    <t>SAP.DE</t>
  </si>
  <si>
    <t>SAP SE</t>
  </si>
  <si>
    <t>IBM</t>
  </si>
  <si>
    <t>FICO</t>
  </si>
  <si>
    <t>Fair Isaac Corporation</t>
  </si>
  <si>
    <t>FTNT</t>
  </si>
  <si>
    <t>Fortinet, Inc.</t>
  </si>
  <si>
    <t>NTAP</t>
  </si>
  <si>
    <t>NetApp, Inc.</t>
  </si>
  <si>
    <t>ADBE</t>
  </si>
  <si>
    <t>Adobe Inc.</t>
  </si>
  <si>
    <t>STX</t>
  </si>
  <si>
    <t>Seagate Technology Holdings plc</t>
  </si>
  <si>
    <t>UBER</t>
  </si>
  <si>
    <t>Uber Technologies, Inc.</t>
  </si>
  <si>
    <t>KEYS</t>
  </si>
  <si>
    <t>Keysight Technologies, Inc.</t>
  </si>
  <si>
    <t>MSI</t>
  </si>
  <si>
    <t>Motorola Solutions, Inc.</t>
  </si>
  <si>
    <t>SNPS</t>
  </si>
  <si>
    <t>Synopsys, Inc.</t>
  </si>
  <si>
    <t>VRSN</t>
  </si>
  <si>
    <t>VeriSign, Inc.</t>
  </si>
  <si>
    <t>XYZ</t>
  </si>
  <si>
    <t>Block, Inc.</t>
  </si>
  <si>
    <t>INTU</t>
  </si>
  <si>
    <t>Intuit Inc.</t>
  </si>
  <si>
    <t>GEN</t>
  </si>
  <si>
    <t>Gen Digital Inc.</t>
  </si>
  <si>
    <t>PAYC</t>
  </si>
  <si>
    <t>Paycom Software, Inc.</t>
  </si>
  <si>
    <t>TXN</t>
  </si>
  <si>
    <t>Texas Instruments Incorporated</t>
  </si>
  <si>
    <t>ORCL</t>
  </si>
  <si>
    <t>Oracle Corporation</t>
  </si>
  <si>
    <t>WDAY</t>
  </si>
  <si>
    <t>Workday, Inc.</t>
  </si>
  <si>
    <t>SGE.L</t>
  </si>
  <si>
    <t>The Sage Group plc</t>
  </si>
  <si>
    <t>CSCO</t>
  </si>
  <si>
    <t>Cisco Systems, Inc.</t>
  </si>
  <si>
    <t>NOW</t>
  </si>
  <si>
    <t>ServiceNow, Inc.</t>
  </si>
  <si>
    <t>TDY</t>
  </si>
  <si>
    <t>Teledyne Technologies Incorporated</t>
  </si>
  <si>
    <t>TER</t>
  </si>
  <si>
    <t>Teradyne, Inc.</t>
  </si>
  <si>
    <t>AAPL</t>
  </si>
  <si>
    <t>Apple Inc.</t>
  </si>
  <si>
    <t>QCOM</t>
  </si>
  <si>
    <t>QUALCOMM Incorporated</t>
  </si>
  <si>
    <t>JKHY</t>
  </si>
  <si>
    <t>Jack Henry &amp; Associates, Inc.</t>
  </si>
  <si>
    <t>CRM</t>
  </si>
  <si>
    <t>Salesforce, Inc.</t>
  </si>
  <si>
    <t>ROP</t>
  </si>
  <si>
    <t>Roper Technologies, Inc.</t>
  </si>
  <si>
    <t>SMCI</t>
  </si>
  <si>
    <t>Super Micro Computer, Inc.</t>
  </si>
  <si>
    <t>TEL</t>
  </si>
  <si>
    <t>TE Connectivity plc</t>
  </si>
  <si>
    <t>LDOS</t>
  </si>
  <si>
    <t>Leidos Holdings, Inc.</t>
  </si>
  <si>
    <t>NXPI</t>
  </si>
  <si>
    <t>NXP Semiconductors N.V.</t>
  </si>
  <si>
    <t>AKAM</t>
  </si>
  <si>
    <t>Akamai Technologies, Inc.</t>
  </si>
  <si>
    <t>DDOG</t>
  </si>
  <si>
    <t>Datadog, Inc.</t>
  </si>
  <si>
    <t>SWKS</t>
  </si>
  <si>
    <t>Skyworks Solutions, Inc.</t>
  </si>
  <si>
    <t>DSY.PA</t>
  </si>
  <si>
    <t>Dassault Systèmes SE</t>
  </si>
  <si>
    <t>GDDY</t>
  </si>
  <si>
    <t>GoDaddy Inc.</t>
  </si>
  <si>
    <t>Q</t>
  </si>
  <si>
    <t>Qnity Electronics, Inc.</t>
  </si>
  <si>
    <t>TRMB</t>
  </si>
  <si>
    <t>Trimble Inc.</t>
  </si>
  <si>
    <t>FTV</t>
  </si>
  <si>
    <t>Fortive Corporation</t>
  </si>
  <si>
    <t>NOKIA.HE</t>
  </si>
  <si>
    <t>Nokia Oyj</t>
  </si>
  <si>
    <t>DELL</t>
  </si>
  <si>
    <t>Dell Technologies Inc.</t>
  </si>
  <si>
    <t>HPQ</t>
  </si>
  <si>
    <t>HP Inc.</t>
  </si>
  <si>
    <t>ZBRA</t>
  </si>
  <si>
    <t>Zebra Technologies Corporation</t>
  </si>
  <si>
    <t>TYL</t>
  </si>
  <si>
    <t>Tyler Technologies, Inc.</t>
  </si>
  <si>
    <t>HPE</t>
  </si>
  <si>
    <t>Hewlett Packard Enterprise Company</t>
  </si>
  <si>
    <t>JBL</t>
  </si>
  <si>
    <t>Jabil Inc.</t>
  </si>
  <si>
    <t>STMPA.PA</t>
  </si>
  <si>
    <t>STMicroelectronics N.V.</t>
  </si>
  <si>
    <t>IFX.DE</t>
  </si>
  <si>
    <t>Infineon Technologies AG</t>
  </si>
  <si>
    <t>CTSH</t>
  </si>
  <si>
    <t>CRWD</t>
  </si>
  <si>
    <t>CrowdStrike Holdings, Inc.</t>
  </si>
  <si>
    <t>MCHP</t>
  </si>
  <si>
    <t>Microchip Technology Incorporated</t>
  </si>
  <si>
    <t>ADP</t>
  </si>
  <si>
    <t>Automatic Data Processing, Inc.</t>
  </si>
  <si>
    <t>SNDK</t>
  </si>
  <si>
    <t>Sandisk Corporation</t>
  </si>
  <si>
    <t>BR</t>
  </si>
  <si>
    <t>Broadridge Financial Solutions, Inc.</t>
  </si>
  <si>
    <t>EPAM</t>
  </si>
  <si>
    <t>EPAM Systems, Inc.</t>
  </si>
  <si>
    <t>ON</t>
  </si>
  <si>
    <t>ON Semiconductor Corporation</t>
  </si>
  <si>
    <t>ACN</t>
  </si>
  <si>
    <t>Accenture plc</t>
  </si>
  <si>
    <t>IT</t>
  </si>
  <si>
    <t>Gartner, Inc.</t>
  </si>
  <si>
    <t>CDW</t>
  </si>
  <si>
    <t>CDW Corporation</t>
  </si>
  <si>
    <t>CAP.PA</t>
  </si>
  <si>
    <t>Capgemini SE</t>
  </si>
  <si>
    <t>FIS</t>
  </si>
  <si>
    <t>WLN.PA</t>
  </si>
  <si>
    <t>Worldline SA</t>
  </si>
  <si>
    <t>Croiss. Rev.</t>
  </si>
  <si>
    <t>International Business Machines Corp.</t>
  </si>
  <si>
    <t>Cognizant Technology Solutions Corp.</t>
  </si>
  <si>
    <t>Fidelity National Information Services</t>
  </si>
  <si>
    <t>Δ Médiane</t>
  </si>
  <si>
    <t>Tech vs HC</t>
  </si>
  <si>
    <t>Δ %</t>
  </si>
  <si>
    <t>Nb valeurs</t>
  </si>
  <si>
    <t>Taille de l'échantillon</t>
  </si>
  <si>
    <t>Score FinSight médian</t>
  </si>
  <si>
    <t>Marge EBITDA médiane</t>
  </si>
  <si>
    <t>Profitabilité opérationnelle</t>
  </si>
  <si>
    <t>P/E médian</t>
  </si>
  <si>
    <t>EV/EBITDA médian</t>
  </si>
  <si>
    <t>ROE médian</t>
  </si>
  <si>
    <t>Croiss. revenus médiane</t>
  </si>
  <si>
    <t>FinSight</t>
  </si>
  <si>
    <t>COMPARATIF SECTORIEL — Technologie vs Healthcare</t>
  </si>
  <si>
    <t>TABLEAU COMPARATIF — MÉDIANES SECTORIELLES</t>
  </si>
  <si>
    <t>INDICATEUR</t>
  </si>
  <si>
    <t>DESCRIPTION</t>
  </si>
  <si>
    <t>TECHNOLOGIE</t>
  </si>
  <si>
    <t>HEALTHCARE</t>
  </si>
  <si>
    <t>Δ ABSOLU</t>
  </si>
  <si>
    <t>AVANTAGE</t>
  </si>
  <si>
    <t>Qualité fondamentale agrégée (0–100)</t>
  </si>
  <si>
    <t>Valorisation bénéfices (×)</t>
  </si>
  <si>
    <t>Valorisation hors structure (×)</t>
  </si>
  <si>
    <t>Dynamique commerciale YoY</t>
  </si>
  <si>
    <t>STATISTIQUES AVANCÉES — DISPERSION &amp; AMPLITUDE SECTORIELLES</t>
  </si>
  <si>
    <t>TECH Médiane</t>
  </si>
  <si>
    <t>TECH Moyenne</t>
  </si>
  <si>
    <t>TECH Min</t>
  </si>
  <si>
    <t>TECH Max</t>
  </si>
  <si>
    <t>HC Médiane</t>
  </si>
  <si>
    <t>HC Min</t>
  </si>
  <si>
    <t>HC Max</t>
  </si>
  <si>
    <t>TOP PERFORMERS — N°1 PAR SECTEUR (Score FinSight)</t>
  </si>
  <si>
    <t>SECTEUR</t>
  </si>
  <si>
    <t>TICKER</t>
  </si>
  <si>
    <t>SOCIÉTÉ</t>
  </si>
  <si>
    <t>SCORE</t>
  </si>
  <si>
    <t>MARGE EBITDA</t>
  </si>
  <si>
    <t>CROISS. REV.</t>
  </si>
  <si>
    <t>AGRÉGATS — Statistiques comparatives Technologie vs Healthcare</t>
  </si>
  <si>
    <t>Médiane · Moyenne · Min · Max · Écart-type — liés à DATA_TECH (88 valeurs) et DATA_HC (6 valeurs)</t>
  </si>
  <si>
    <t>TECHNOLOGIE — 88 valeurs</t>
  </si>
  <si>
    <t>N</t>
  </si>
  <si>
    <t>MÉDIANE</t>
  </si>
  <si>
    <t>MOYENNE</t>
  </si>
  <si>
    <t>MIN</t>
  </si>
  <si>
    <t>MAX</t>
  </si>
  <si>
    <t>ÉCART-TYPE</t>
  </si>
  <si>
    <t>UNITÉ</t>
  </si>
  <si>
    <t>entier</t>
  </si>
  <si>
    <t>x</t>
  </si>
  <si>
    <t>Croiss. Revenus</t>
  </si>
  <si>
    <t>HEALTHCARE — 6 valeurs</t>
  </si>
  <si>
    <t>DELTA — Différentiel Technologie vs Healthcare (Tech − HC)</t>
  </si>
  <si>
    <t>COMPARAISON</t>
  </si>
  <si>
    <t>Δ MÉDIANE</t>
  </si>
  <si>
    <t>Δ MOYENNE</t>
  </si>
  <si>
    <t>Δ MIN</t>
  </si>
  <si>
    <t>Δ MAX</t>
  </si>
  <si>
    <t>Δ ÉCART-TYPE</t>
  </si>
  <si>
    <t>TOP TECH — Classement dynamique Technologie par Score FinSight (Top 20)</t>
  </si>
  <si>
    <t>Classement calculé dynamiquement via LARGE / INDEX / MATCH depuis DATA_TECH · Se met à jour automatiquement</t>
  </si>
  <si>
    <t>TOP 20 — TECHNOLOGIE</t>
  </si>
  <si>
    <t>RANG</t>
  </si>
  <si>
    <t>MG EBITDA</t>
  </si>
  <si>
    <t>TOP HC — Classement dynamique Healthcare par Score FinSight</t>
  </si>
  <si>
    <t>Classement calculé dynamiquement via LARGE / INDEX / MATCH depuis DATA_HC · 6 entités</t>
  </si>
  <si>
    <t>TOUTES VALEURS — HEALTHCARE (classées par Score)</t>
  </si>
  <si>
    <t>DATA TECH — Données brutes Technologie · 88 valeurs</t>
  </si>
  <si>
    <t>Source : FinSight IA · Univers Technologie S&amp;P500 / Nasdaq / Europe · Données au 12.04.2026</t>
  </si>
  <si>
    <t>SCORE FINSIGHT</t>
  </si>
  <si>
    <t>DATA HC — Données brutes Healthcare · 6 valeurs</t>
  </si>
  <si>
    <t>Source : FinSight IA · Univers Healthcare · Benchmark sectoriel · Données au 12.04.2026</t>
  </si>
  <si>
    <t>JNJ</t>
  </si>
  <si>
    <t>Johnson &amp; Johnson</t>
  </si>
  <si>
    <t>NVO</t>
  </si>
  <si>
    <t>Novo Nordisk A/S</t>
  </si>
  <si>
    <t>LLY</t>
  </si>
  <si>
    <t>Eli Lilly and Company</t>
  </si>
  <si>
    <t>SAN.PA</t>
  </si>
  <si>
    <t>Sanofi S.A.</t>
  </si>
  <si>
    <t>AZN.L</t>
  </si>
  <si>
    <t>AstraZeneca PLC</t>
  </si>
  <si>
    <t>MDT</t>
  </si>
  <si>
    <t>Medtronic plc</t>
  </si>
  <si>
    <t>Q1 (25e)</t>
  </si>
  <si>
    <t>Q3 (75e)</t>
  </si>
  <si>
    <t>IQR</t>
  </si>
  <si>
    <t>% (pts)</t>
  </si>
  <si>
    <t>MÉDIANES PONDÉRÉES PAR SCORE FINSIGHT — Valeurs de qualité supérieure surpondérées</t>
  </si>
  <si>
    <t>Les médianes pondérées donnent plus de poids aux valeurs avec un Score FinSight élevé (SUMPRODUCT Score × KPI / SUM Score)</t>
  </si>
  <si>
    <t>MG EBITDA pondérée</t>
  </si>
  <si>
    <t>P/E pondéré</t>
  </si>
  <si>
    <t>EV/EBITDA pondéré</t>
  </si>
  <si>
    <t>ROE pondéré</t>
  </si>
  <si>
    <t>CROISS. REV. pondérée</t>
  </si>
  <si>
    <t>Technologie (pondérée)</t>
  </si>
  <si>
    <t>Healthcare (pondérée)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</si>
</sst>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0;\(0\);\—"/>
    <numFmt numFmtId="169" formatCode="0.0%;\(0.0%\);\—"/>
    <numFmt numFmtId="170" formatCode="0.0&quot;x&quot;;\(0.0&quot;x&quot;\);\—"/>
    <numFmt numFmtId="172" formatCode="0.0%"/>
    <numFmt numFmtId="173" formatCode="0.0"/>
    <numFmt numFmtId="174" formatCode="0.0&quot;x&quot;"/>
    <numFmt numFmtId="175" formatCode="0.0&quot;%&quot;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FFFFFF"/>
      <name val="Calibri"/>
      <family val="2"/>
      <scheme val="minor"/>
    </font>
    <font>
      <b/>
      <sz val="11"/>
      <color rgb="FF3271D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132E57"/>
      <name val="Calibri"/>
      <family val="2"/>
      <scheme val="minor"/>
    </font>
    <font>
      <sz val="8"/>
      <color rgb="FF111827"/>
      <name val="Calibri"/>
      <family val="2"/>
      <scheme val="minor"/>
    </font>
    <font>
      <b/>
      <sz val="8"/>
      <color rgb="FF111827"/>
      <name val="Calibri"/>
      <family val="2"/>
      <scheme val="minor"/>
    </font>
    <font>
      <b/>
      <sz val="8"/>
      <color rgb="FF0D5C34"/>
      <name val="Calibri"/>
      <family val="2"/>
      <scheme val="minor"/>
    </font>
    <font>
      <sz val="8"/>
      <color rgb="FF8BA8C8"/>
      <name val="Calibri"/>
      <family val="2"/>
      <scheme val="minor"/>
    </font>
    <font>
      <sz val="8"/>
      <color rgb="FF6E7B8B"/>
      <name val="Calibri"/>
      <family val="2"/>
      <scheme val="minor"/>
    </font>
    <font>
      <sz val="8"/>
      <color rgb="FF999999"/>
      <name val="Calibri"/>
      <family val="2"/>
      <scheme val="minor"/>
    </font>
    <font>
      <sz val="11"/>
      <color rgb="FF6E7B8B"/>
      <name val="Calibri"/>
      <family val="2"/>
      <scheme val="minor"/>
    </font>
    <font>
      <i/>
      <sz val="8"/>
      <color rgb="FF55555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C3F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8FA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132E57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132E57"/>
      </top>
      <bottom style="thin">
        <color rgb="FFD1D5DB"/>
      </bottom>
      <diagonal/>
    </border>
    <border>
      <left style="thin">
        <color rgb="FFD1D5DB"/>
      </left>
      <right/>
      <top style="thin">
        <color rgb="FF132E57"/>
      </top>
      <bottom style="thin">
        <color rgb="FFD1D5DB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5" fillId="4" borderId="0" xfId="0" applyFont="1" applyFill="1"/>
    <xf numFmtId="0" fontId="9" fillId="6" borderId="1" xfId="0" applyFont="1" applyFill="1" applyBorder="1"/>
    <xf numFmtId="0" fontId="8" fillId="6" borderId="2" xfId="0" applyFont="1" applyFill="1" applyBorder="1"/>
    <xf numFmtId="49" fontId="8" fillId="6" borderId="2" xfId="0" applyNumberFormat="1" applyFont="1" applyFill="1" applyBorder="1"/>
    <xf numFmtId="0" fontId="10" fillId="6" borderId="2" xfId="0" applyFont="1" applyFill="1" applyBorder="1"/>
    <xf numFmtId="0" fontId="9" fillId="7" borderId="1" xfId="0" applyFont="1" applyFill="1" applyBorder="1"/>
    <xf numFmtId="0" fontId="8" fillId="7" borderId="2" xfId="0" applyFont="1" applyFill="1" applyBorder="1"/>
    <xf numFmtId="0" fontId="10" fillId="7" borderId="2" xfId="0" applyFont="1" applyFill="1" applyBorder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9" fillId="6" borderId="2" xfId="0" applyFont="1" applyFill="1" applyBorder="1"/>
    <xf numFmtId="0" fontId="9" fillId="7" borderId="2" xfId="0" applyFont="1" applyFill="1" applyBorder="1"/>
    <xf numFmtId="0" fontId="7" fillId="6" borderId="1" xfId="0" applyFont="1" applyFill="1" applyBorder="1"/>
    <xf numFmtId="0" fontId="3" fillId="6" borderId="2" xfId="0" applyFont="1" applyFill="1" applyBorder="1"/>
    <xf numFmtId="0" fontId="7" fillId="7" borderId="1" xfId="0" applyFont="1" applyFill="1" applyBorder="1"/>
    <xf numFmtId="0" fontId="3" fillId="7" borderId="2" xfId="0" applyFont="1" applyFill="1" applyBorder="1"/>
    <xf numFmtId="0" fontId="11" fillId="2" borderId="0" xfId="0" applyFont="1" applyFill="1" applyAlignment="1">
      <alignment horizontal="right"/>
    </xf>
    <xf numFmtId="0" fontId="6" fillId="6" borderId="2" xfId="0" applyFont="1" applyFill="1" applyBorder="1"/>
    <xf numFmtId="0" fontId="13" fillId="6" borderId="2" xfId="0" applyFont="1" applyFill="1" applyBorder="1"/>
    <xf numFmtId="0" fontId="6" fillId="7" borderId="2" xfId="0" applyFont="1" applyFill="1" applyBorder="1"/>
    <xf numFmtId="0" fontId="13" fillId="7" borderId="2" xfId="0" applyFont="1" applyFill="1" applyBorder="1"/>
    <xf numFmtId="0" fontId="8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8" fontId="10" fillId="6" borderId="2" xfId="0" applyNumberFormat="1" applyFont="1" applyFill="1" applyBorder="1" applyAlignment="1">
      <alignment horizontal="center"/>
    </xf>
    <xf numFmtId="170" fontId="8" fillId="6" borderId="2" xfId="0" applyNumberFormat="1" applyFont="1" applyFill="1" applyBorder="1" applyAlignment="1">
      <alignment horizontal="center"/>
    </xf>
    <xf numFmtId="169" fontId="8" fillId="6" borderId="2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168" fontId="10" fillId="7" borderId="2" xfId="0" applyNumberFormat="1" applyFont="1" applyFill="1" applyBorder="1" applyAlignment="1">
      <alignment horizontal="center"/>
    </xf>
    <xf numFmtId="170" fontId="8" fillId="7" borderId="2" xfId="0" applyNumberFormat="1" applyFont="1" applyFill="1" applyBorder="1" applyAlignment="1">
      <alignment horizontal="center"/>
    </xf>
    <xf numFmtId="169" fontId="8" fillId="7" borderId="2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" fontId="8" fillId="6" borderId="2" xfId="0" applyNumberFormat="1" applyFont="1" applyFill="1" applyBorder="1"/>
    <xf numFmtId="1" fontId="8" fillId="7" borderId="2" xfId="0" applyNumberFormat="1" applyFont="1" applyFill="1" applyBorder="1"/>
    <xf numFmtId="172" fontId="8" fillId="6" borderId="2" xfId="0" applyNumberFormat="1" applyFont="1" applyFill="1" applyBorder="1"/>
    <xf numFmtId="174" fontId="8" fillId="7" borderId="2" xfId="0" applyNumberFormat="1" applyFont="1" applyFill="1" applyBorder="1"/>
    <xf numFmtId="174" fontId="8" fillId="6" borderId="2" xfId="0" applyNumberFormat="1" applyFont="1" applyFill="1" applyBorder="1"/>
    <xf numFmtId="172" fontId="8" fillId="7" borderId="2" xfId="0" applyNumberFormat="1" applyFont="1" applyFill="1" applyBorder="1"/>
    <xf numFmtId="49" fontId="8" fillId="7" borderId="2" xfId="0" applyNumberFormat="1" applyFont="1" applyFill="1" applyBorder="1"/>
    <xf numFmtId="1" fontId="8" fillId="6" borderId="3" xfId="0" applyNumberFormat="1" applyFont="1" applyFill="1" applyBorder="1"/>
    <xf numFmtId="172" fontId="8" fillId="7" borderId="3" xfId="0" applyNumberFormat="1" applyFont="1" applyFill="1" applyBorder="1"/>
    <xf numFmtId="174" fontId="8" fillId="6" borderId="3" xfId="0" applyNumberFormat="1" applyFont="1" applyFill="1" applyBorder="1"/>
    <xf numFmtId="174" fontId="8" fillId="7" borderId="3" xfId="0" applyNumberFormat="1" applyFont="1" applyFill="1" applyBorder="1"/>
    <xf numFmtId="172" fontId="8" fillId="6" borderId="3" xfId="0" applyNumberFormat="1" applyFont="1" applyFill="1" applyBorder="1"/>
    <xf numFmtId="1" fontId="10" fillId="6" borderId="2" xfId="0" applyNumberFormat="1" applyFont="1" applyFill="1" applyBorder="1"/>
    <xf numFmtId="1" fontId="10" fillId="7" borderId="2" xfId="0" applyNumberFormat="1" applyFont="1" applyFill="1" applyBorder="1"/>
    <xf numFmtId="172" fontId="3" fillId="6" borderId="2" xfId="0" applyNumberFormat="1" applyFont="1" applyFill="1" applyBorder="1"/>
    <xf numFmtId="172" fontId="3" fillId="6" borderId="3" xfId="0" applyNumberFormat="1" applyFont="1" applyFill="1" applyBorder="1"/>
    <xf numFmtId="172" fontId="3" fillId="7" borderId="2" xfId="0" applyNumberFormat="1" applyFont="1" applyFill="1" applyBorder="1"/>
    <xf numFmtId="172" fontId="3" fillId="7" borderId="3" xfId="0" applyNumberFormat="1" applyFont="1" applyFill="1" applyBorder="1"/>
    <xf numFmtId="175" fontId="8" fillId="7" borderId="2" xfId="0" applyNumberFormat="1" applyFont="1" applyFill="1" applyBorder="1"/>
    <xf numFmtId="175" fontId="8" fillId="6" borderId="2" xfId="0" applyNumberFormat="1" applyFont="1" applyFill="1" applyBorder="1"/>
    <xf numFmtId="173" fontId="3" fillId="6" borderId="2" xfId="0" applyNumberFormat="1" applyFont="1" applyFill="1" applyBorder="1"/>
    <xf numFmtId="173" fontId="3" fillId="6" borderId="3" xfId="0" applyNumberFormat="1" applyFont="1" applyFill="1" applyBorder="1"/>
    <xf numFmtId="175" fontId="3" fillId="7" borderId="2" xfId="0" applyNumberFormat="1" applyFont="1" applyFill="1" applyBorder="1"/>
    <xf numFmtId="175" fontId="3" fillId="7" borderId="3" xfId="0" applyNumberFormat="1" applyFont="1" applyFill="1" applyBorder="1"/>
    <xf numFmtId="174" fontId="3" fillId="6" borderId="2" xfId="0" applyNumberFormat="1" applyFont="1" applyFill="1" applyBorder="1"/>
    <xf numFmtId="174" fontId="3" fillId="6" borderId="3" xfId="0" applyNumberFormat="1" applyFont="1" applyFill="1" applyBorder="1"/>
    <xf numFmtId="174" fontId="3" fillId="7" borderId="2" xfId="0" applyNumberFormat="1" applyFont="1" applyFill="1" applyBorder="1"/>
    <xf numFmtId="174" fontId="3" fillId="7" borderId="3" xfId="0" applyNumberFormat="1" applyFont="1" applyFill="1" applyBorder="1"/>
    <xf numFmtId="175" fontId="3" fillId="6" borderId="2" xfId="0" applyNumberFormat="1" applyFont="1" applyFill="1" applyBorder="1"/>
    <xf numFmtId="175" fontId="3" fillId="6" borderId="3" xfId="0" applyNumberFormat="1" applyFont="1" applyFill="1" applyBorder="1"/>
    <xf numFmtId="174" fontId="8" fillId="6" borderId="2" xfId="0" applyNumberFormat="1" applyFont="1" applyFill="1" applyBorder="1" applyAlignment="1">
      <alignment horizontal="center"/>
    </xf>
    <xf numFmtId="174" fontId="8" fillId="7" borderId="2" xfId="0" applyNumberFormat="1" applyFont="1" applyFill="1" applyBorder="1" applyAlignment="1">
      <alignment horizontal="center"/>
    </xf>
    <xf numFmtId="175" fontId="8" fillId="6" borderId="2" xfId="0" applyNumberFormat="1" applyFont="1" applyFill="1" applyBorder="1" applyAlignment="1">
      <alignment horizontal="center"/>
    </xf>
    <xf numFmtId="175" fontId="8" fillId="7" borderId="2" xfId="0" applyNumberFormat="1" applyFont="1" applyFill="1" applyBorder="1" applyAlignment="1">
      <alignment horizontal="center"/>
    </xf>
    <xf numFmtId="1" fontId="12" fillId="6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4" fillId="0" borderId="3" xfId="0" applyFont="1" applyBorder="1"/>
    <xf numFmtId="175" fontId="12" fillId="6" borderId="2" xfId="0" applyNumberFormat="1" applyFont="1" applyFill="1" applyBorder="1" applyAlignment="1">
      <alignment horizontal="center"/>
    </xf>
    <xf numFmtId="175" fontId="0" fillId="0" borderId="2" xfId="0" applyNumberFormat="1" applyBorder="1" applyAlignment="1">
      <alignment horizontal="center"/>
    </xf>
    <xf numFmtId="174" fontId="12" fillId="6" borderId="2" xfId="0" applyNumberFormat="1" applyFont="1" applyFill="1" applyBorder="1" applyAlignment="1">
      <alignment horizontal="center"/>
    </xf>
    <xf numFmtId="174" fontId="0" fillId="0" borderId="2" xfId="0" applyNumberFormat="1" applyBorder="1" applyAlignment="1">
      <alignment horizontal="center"/>
    </xf>
    <xf numFmtId="0" fontId="14" fillId="0" borderId="3" xfId="0" applyFont="1" applyFill="1" applyBorder="1"/>
    <xf numFmtId="175" fontId="12" fillId="7" borderId="2" xfId="0" applyNumberFormat="1" applyFont="1" applyFill="1" applyBorder="1" applyAlignment="1">
      <alignment horizontal="center"/>
    </xf>
    <xf numFmtId="174" fontId="12" fillId="7" borderId="2" xfId="0" applyNumberFormat="1" applyFont="1" applyFill="1" applyBorder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Médianes sectorielles — Technologie vs 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AGRÉGATS!$B$6:$B$11</c:f>
              <c:strCache>
                <c:ptCount val="6"/>
                <c:pt idx="0">
                  <c:v>Score FinSight</c:v>
                </c:pt>
                <c:pt idx="1">
                  <c:v>Marge EBITDA</c:v>
                </c:pt>
                <c:pt idx="2">
                  <c:v>P/E</c:v>
                </c:pt>
                <c:pt idx="3">
                  <c:v>EV/EBITDA</c:v>
                </c:pt>
                <c:pt idx="4">
                  <c:v>ROE</c:v>
                </c:pt>
                <c:pt idx="5">
                  <c:v>Croiss. Revenus</c:v>
                </c:pt>
              </c:strCache>
            </c:strRef>
          </c:cat>
          <c:val>
            <c:numRef>
              <c:f>AGRÉGATS!$D$6:$D$11</c:f>
              <c:numCache>
                <c:formatCode>0.0"%"</c:formatCode>
                <c:ptCount val="6"/>
                <c:pt idx="0" formatCode="0">
                  <c:v>52</c:v>
                </c:pt>
                <c:pt idx="1">
                  <c:v>27.5</c:v>
                </c:pt>
                <c:pt idx="2" formatCode="0.0&quot;x&quot;">
                  <c:v>34.75</c:v>
                </c:pt>
                <c:pt idx="3" formatCode="0.0&quot;x&quot;">
                  <c:v>21.5</c:v>
                </c:pt>
                <c:pt idx="4">
                  <c:v>19.2</c:v>
                </c:pt>
                <c:pt idx="5">
                  <c:v>9.6999999999999993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2C6-4018-A182-43F9D56323A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AGRÉGATS!$B$6:$B$11</c:f>
              <c:strCache>
                <c:ptCount val="6"/>
                <c:pt idx="0">
                  <c:v>Score FinSight</c:v>
                </c:pt>
                <c:pt idx="1">
                  <c:v>Marge EBITDA</c:v>
                </c:pt>
                <c:pt idx="2">
                  <c:v>P/E</c:v>
                </c:pt>
                <c:pt idx="3">
                  <c:v>EV/EBITDA</c:v>
                </c:pt>
                <c:pt idx="4">
                  <c:v>ROE</c:v>
                </c:pt>
                <c:pt idx="5">
                  <c:v>Croiss. Revenus</c:v>
                </c:pt>
              </c:strCache>
            </c:strRef>
          </c:cat>
          <c:val>
            <c:numRef>
              <c:f>AGRÉGATS!$D$15:$D$20</c:f>
              <c:numCache>
                <c:formatCode>0.0"%"</c:formatCode>
                <c:ptCount val="6"/>
                <c:pt idx="0" formatCode="0">
                  <c:v>74.5</c:v>
                </c:pt>
                <c:pt idx="1">
                  <c:v>31.75</c:v>
                </c:pt>
                <c:pt idx="2" formatCode="0.0&quot;x&quot;">
                  <c:v>18.25</c:v>
                </c:pt>
                <c:pt idx="3" formatCode="0.0&quot;x&quot;">
                  <c:v>14.2</c:v>
                </c:pt>
                <c:pt idx="4">
                  <c:v>24.75</c:v>
                </c:pt>
                <c:pt idx="5">
                  <c:v>12.45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2C6-4018-A182-43F9D563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4485168"/>
        <c:axId val="1874485648"/>
      </c:barChart>
      <c:catAx>
        <c:axId val="187448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485648"/>
        <c:crosses val="autoZero"/>
        <c:auto val="1"/>
        <c:lblAlgn val="ctr"/>
        <c:lblOffset val="100"/>
        <c:noMultiLvlLbl val="0"/>
      </c:catAx>
      <c:valAx>
        <c:axId val="187448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48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 multidimensionnel normalisé (0–100)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AGRÉGATS!$B$6:$B$11</c:f>
              <c:strCache>
                <c:ptCount val="6"/>
                <c:pt idx="0">
                  <c:v>Score FinSight</c:v>
                </c:pt>
                <c:pt idx="1">
                  <c:v>Marge EBITDA</c:v>
                </c:pt>
                <c:pt idx="2">
                  <c:v>P/E</c:v>
                </c:pt>
                <c:pt idx="3">
                  <c:v>EV/EBITDA</c:v>
                </c:pt>
                <c:pt idx="4">
                  <c:v>ROE</c:v>
                </c:pt>
                <c:pt idx="5">
                  <c:v>Croiss. Revenus</c:v>
                </c:pt>
              </c:strCache>
            </c:strRef>
          </c:cat>
          <c:val>
            <c:numRef>
              <c:f>AGRÉGATS!$D$6:$D$11</c:f>
              <c:numCache>
                <c:formatCode>0.0"%"</c:formatCode>
                <c:ptCount val="6"/>
                <c:pt idx="0" formatCode="0">
                  <c:v>52</c:v>
                </c:pt>
                <c:pt idx="1">
                  <c:v>27.5</c:v>
                </c:pt>
                <c:pt idx="2" formatCode="0.0&quot;x&quot;">
                  <c:v>34.75</c:v>
                </c:pt>
                <c:pt idx="3" formatCode="0.0&quot;x&quot;">
                  <c:v>21.5</c:v>
                </c:pt>
                <c:pt idx="4">
                  <c:v>19.2</c:v>
                </c:pt>
                <c:pt idx="5">
                  <c:v>9.6999999999999993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987-4562-9D25-740B6BAED2C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AGRÉGATS!$B$6:$B$11</c:f>
              <c:strCache>
                <c:ptCount val="6"/>
                <c:pt idx="0">
                  <c:v>Score FinSight</c:v>
                </c:pt>
                <c:pt idx="1">
                  <c:v>Marge EBITDA</c:v>
                </c:pt>
                <c:pt idx="2">
                  <c:v>P/E</c:v>
                </c:pt>
                <c:pt idx="3">
                  <c:v>EV/EBITDA</c:v>
                </c:pt>
                <c:pt idx="4">
                  <c:v>ROE</c:v>
                </c:pt>
                <c:pt idx="5">
                  <c:v>Croiss. Revenus</c:v>
                </c:pt>
              </c:strCache>
            </c:strRef>
          </c:cat>
          <c:val>
            <c:numRef>
              <c:f>AGRÉGATS!$D$15:$D$20</c:f>
              <c:numCache>
                <c:formatCode>0.0"%"</c:formatCode>
                <c:ptCount val="6"/>
                <c:pt idx="0" formatCode="0">
                  <c:v>74.5</c:v>
                </c:pt>
                <c:pt idx="1">
                  <c:v>31.75</c:v>
                </c:pt>
                <c:pt idx="2" formatCode="0.0&quot;x&quot;">
                  <c:v>18.25</c:v>
                </c:pt>
                <c:pt idx="3" formatCode="0.0&quot;x&quot;">
                  <c:v>14.2</c:v>
                </c:pt>
                <c:pt idx="4">
                  <c:v>24.75</c:v>
                </c:pt>
                <c:pt idx="5">
                  <c:v>12.45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987-4562-9D25-740B6BAED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496688"/>
        <c:axId val="1874496208"/>
      </c:radarChart>
      <c:catAx>
        <c:axId val="187449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496208"/>
        <c:crosses val="autoZero"/>
        <c:auto val="1"/>
        <c:lblAlgn val="ctr"/>
        <c:lblOffset val="100"/>
        <c:noMultiLvlLbl val="0"/>
      </c:catAx>
      <c:valAx>
        <c:axId val="18744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4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115571</xdr:colOff>
      <xdr:row>1</xdr:row>
      <xdr:rowOff>171450</xdr:rowOff>
    </xdr:from>
    <xdr:to>
      <xdr:col>18</xdr:col>
      <xdr:colOff>43816</xdr:colOff>
      <xdr:row>16</xdr:row>
      <xdr:rowOff>75565</xdr:rowOff>
    </xdr:to>
    <xdr:graphicFrame macro="">
      <xdr:nvGraphicFramePr>
        <xdr:cNvPr id="2" name="Chart_Medianes">
          <a:extLst>
            <a:ext uri="{FF2B5EF4-FFF2-40B4-BE49-F238E27FC236}">
              <a16:creationId xmlns:a16="http://schemas.microsoft.com/office/drawing/2014/main" id="{8EFB6603-F025-B9B0-C74E-2D17B3EC0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134620</xdr:colOff>
      <xdr:row>30</xdr:row>
      <xdr:rowOff>168910</xdr:rowOff>
    </xdr:from>
    <xdr:to>
      <xdr:col>5</xdr:col>
      <xdr:colOff>378460</xdr:colOff>
      <xdr:row>50</xdr:row>
      <xdr:rowOff>105410</xdr:rowOff>
    </xdr:to>
    <xdr:graphicFrame macro="">
      <xdr:nvGraphicFramePr>
        <xdr:cNvPr id="2" name="Chart_Radar">
          <a:extLst>
            <a:ext uri="{FF2B5EF4-FFF2-40B4-BE49-F238E27FC236}">
              <a16:creationId xmlns:a16="http://schemas.microsoft.com/office/drawing/2014/main" id="{9D2450F6-FD1F-EFAB-3DDD-7581252A1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5CF424-69D3-43A8-B96F-36609BC6D786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90a62a73-6639-4d4b-8380-b8ce7df296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workbookViewId="0">
      <selection activeCell="S22" sqref="S22"/>
    </sheetView>
  </sheetViews>
  <sheetFormatPr baseColWidth="10" defaultColWidth="8.88671875" defaultRowHeight="14.4" x14ac:dyDescent="0.3"/>
  <cols>
    <col min="1" max="1" width="9.21875" bestFit="1" customWidth="1"/>
    <col min="2" max="2" width="26.5546875" bestFit="1" customWidth="1"/>
    <col min="3" max="4" width="12.77734375" bestFit="1" customWidth="1"/>
    <col min="5" max="5" width="8.77734375" bestFit="1" customWidth="1"/>
    <col min="6" max="6" width="14.6640625" bestFit="1" customWidth="1"/>
    <col min="7" max="7" width="9" bestFit="1" customWidth="1"/>
    <col min="8" max="8" width="5.33203125" bestFit="1" customWidth="1"/>
    <col min="9" max="9" width="7.33203125" bestFit="1" customWidth="1"/>
  </cols>
  <sheetData>
    <row r="1" spans="1:9" ht="25.95" customHeight="1" x14ac:dyDescent="0.35">
      <c r="A1" s="2" t="s">
        <v>198</v>
      </c>
      <c r="B1" s="1"/>
      <c r="C1" s="3" t="s">
        <v>199</v>
      </c>
      <c r="D1" s="1"/>
      <c r="E1" s="1"/>
      <c r="F1" s="1"/>
      <c r="G1" s="1"/>
      <c r="H1" s="1"/>
      <c r="I1" s="1"/>
    </row>
    <row r="2" spans="1:9" ht="16.05" customHeight="1" x14ac:dyDescent="0.3">
      <c r="A2" s="5" t="str">
        <f>"Données : "&amp;COUNTA(DATA_TECH!A4:A91)&amp;" valeurs Technologie  ·  "&amp;COUNTA(DATA_HC!A4:A9)&amp;" valeurs Healthcare  ·  Médiane sectorielle  ·  Toutes formules dynamiques"</f>
        <v>Données : 88 valeurs Technologie  ·  6 valeurs Healthcare  ·  Médiane sectorielle  ·  Toutes formules dynamiques</v>
      </c>
      <c r="B2" s="4"/>
      <c r="C2" s="4"/>
      <c r="D2" s="4"/>
      <c r="E2" s="4"/>
      <c r="F2" s="4"/>
      <c r="G2" s="4"/>
      <c r="H2" s="4"/>
      <c r="I2" s="4"/>
    </row>
    <row r="4" spans="1:9" ht="19.95" customHeight="1" x14ac:dyDescent="0.3">
      <c r="A4" s="7" t="s">
        <v>200</v>
      </c>
      <c r="B4" s="6"/>
      <c r="C4" s="6"/>
      <c r="D4" s="6"/>
      <c r="E4" s="6"/>
      <c r="F4" s="6"/>
      <c r="G4" s="6"/>
      <c r="H4" s="6"/>
      <c r="I4" s="6"/>
    </row>
    <row r="5" spans="1:9" ht="18" customHeight="1" x14ac:dyDescent="0.3">
      <c r="A5" s="16" t="s">
        <v>201</v>
      </c>
      <c r="B5" s="16" t="s">
        <v>202</v>
      </c>
      <c r="C5" s="16" t="s">
        <v>203</v>
      </c>
      <c r="D5" s="16" t="s">
        <v>204</v>
      </c>
      <c r="E5" s="16" t="s">
        <v>205</v>
      </c>
      <c r="F5" s="16" t="s">
        <v>188</v>
      </c>
      <c r="G5" s="16" t="s">
        <v>206</v>
      </c>
    </row>
    <row r="6" spans="1:9" ht="16.95" customHeight="1" x14ac:dyDescent="0.3">
      <c r="A6" s="18" t="s">
        <v>189</v>
      </c>
      <c r="B6" s="9" t="s">
        <v>190</v>
      </c>
      <c r="C6" s="41">
        <f>COUNTA(DATA_TECH!A4:A91)</f>
        <v>88</v>
      </c>
      <c r="D6" s="41">
        <f>COUNTA(DATA_HC!A4:A9)</f>
        <v>6</v>
      </c>
      <c r="E6" s="41">
        <f>C6-D6</f>
        <v>82</v>
      </c>
      <c r="F6" s="10" t="str">
        <f>""</f>
        <v/>
      </c>
      <c r="G6" s="11" t="str">
        <f>IF(C6&gt;D6,"Tech","HC")</f>
        <v>Tech</v>
      </c>
    </row>
    <row r="7" spans="1:9" ht="16.95" customHeight="1" x14ac:dyDescent="0.3">
      <c r="A7" s="19" t="s">
        <v>191</v>
      </c>
      <c r="B7" s="13" t="s">
        <v>207</v>
      </c>
      <c r="C7" s="42">
        <f>AGRÉGATS!D6</f>
        <v>52</v>
      </c>
      <c r="D7" s="42">
        <f>AGRÉGATS!D15</f>
        <v>74.5</v>
      </c>
      <c r="E7" s="42">
        <f>C7-D7</f>
        <v>-22.5</v>
      </c>
      <c r="F7" s="47" t="str">
        <f>IFERROR(TEXT((C7-D7)/D7*100,"0.0")&amp;"%","—")</f>
        <v>-3.0%</v>
      </c>
      <c r="G7" s="14" t="str">
        <f>IF(C7&gt;D7,"✓ Tech","✓ HC")</f>
        <v>✓ HC</v>
      </c>
    </row>
    <row r="8" spans="1:9" ht="16.95" customHeight="1" x14ac:dyDescent="0.3">
      <c r="A8" s="18" t="s">
        <v>192</v>
      </c>
      <c r="B8" s="9" t="s">
        <v>193</v>
      </c>
      <c r="C8" s="43">
        <f>AGRÉGATS!D7/100</f>
        <v>0.27500000000000002</v>
      </c>
      <c r="D8" s="43">
        <f>AGRÉGATS!D16/100</f>
        <v>0.3175</v>
      </c>
      <c r="E8" s="43">
        <f>C8-D8</f>
        <v>-4.2499999999999982E-2</v>
      </c>
      <c r="F8" s="10" t="str">
        <f>IFERROR(TEXT((C8-D8)/D8*100,"0.0")&amp;"%","—")</f>
        <v>-1.3%</v>
      </c>
      <c r="G8" s="11" t="str">
        <f>IF(C8&gt;D8,"✓ Tech","✓ HC")</f>
        <v>✓ HC</v>
      </c>
    </row>
    <row r="9" spans="1:9" ht="16.95" customHeight="1" x14ac:dyDescent="0.3">
      <c r="A9" s="19" t="s">
        <v>194</v>
      </c>
      <c r="B9" s="13" t="s">
        <v>208</v>
      </c>
      <c r="C9" s="44">
        <f>AGRÉGATS!D8</f>
        <v>34.75</v>
      </c>
      <c r="D9" s="44">
        <f>AGRÉGATS!D17</f>
        <v>18.25</v>
      </c>
      <c r="E9" s="44">
        <f>C9-D9</f>
        <v>16.5</v>
      </c>
      <c r="F9" s="47" t="str">
        <f>IFERROR(TEXT((C9-D9)/D9*100,"0.0")&amp;"%","—")</f>
        <v>9.0%</v>
      </c>
      <c r="G9" s="14" t="str">
        <f>IF(C9&gt;D9,"Prime Tech","Prime HC")</f>
        <v>Prime Tech</v>
      </c>
    </row>
    <row r="10" spans="1:9" ht="16.95" customHeight="1" x14ac:dyDescent="0.3">
      <c r="A10" s="18" t="s">
        <v>195</v>
      </c>
      <c r="B10" s="9" t="s">
        <v>209</v>
      </c>
      <c r="C10" s="45">
        <f>AGRÉGATS!D9</f>
        <v>21.5</v>
      </c>
      <c r="D10" s="45">
        <f>AGRÉGATS!D18</f>
        <v>14.2</v>
      </c>
      <c r="E10" s="45">
        <f>C10-D10</f>
        <v>7.3000000000000007</v>
      </c>
      <c r="F10" s="10" t="str">
        <f>IFERROR(TEXT((C10-D10)/D10*100,"0.0")&amp;"%","—")</f>
        <v>5.1%</v>
      </c>
      <c r="G10" s="11" t="str">
        <f>IF(C10&gt;D10,"Prime Tech","Prime HC")</f>
        <v>Prime Tech</v>
      </c>
    </row>
    <row r="11" spans="1:9" ht="16.95" customHeight="1" x14ac:dyDescent="0.3">
      <c r="A11" s="19" t="s">
        <v>196</v>
      </c>
      <c r="B11" s="13" t="s">
        <v>2</v>
      </c>
      <c r="C11" s="46">
        <f>AGRÉGATS!D10/100</f>
        <v>0.192</v>
      </c>
      <c r="D11" s="46">
        <f>AGRÉGATS!D19/100</f>
        <v>0.2475</v>
      </c>
      <c r="E11" s="46">
        <f>C11-D11</f>
        <v>-5.5499999999999994E-2</v>
      </c>
      <c r="F11" s="47" t="str">
        <f>IFERROR(TEXT((C11-D11)/D11*100,"0.0")&amp;"%","—")</f>
        <v>-2.2%</v>
      </c>
      <c r="G11" s="14" t="str">
        <f>IF(C11&gt;D11,"✓ Tech","✓ HC")</f>
        <v>✓ HC</v>
      </c>
    </row>
    <row r="12" spans="1:9" ht="16.95" customHeight="1" x14ac:dyDescent="0.3">
      <c r="A12" s="18" t="s">
        <v>197</v>
      </c>
      <c r="B12" s="9" t="s">
        <v>210</v>
      </c>
      <c r="C12" s="43">
        <f>AGRÉGATS!D11/100</f>
        <v>9.6999999999999989E-2</v>
      </c>
      <c r="D12" s="43">
        <f>AGRÉGATS!D20/100</f>
        <v>0.1245</v>
      </c>
      <c r="E12" s="43">
        <f>C12-D12</f>
        <v>-2.7500000000000011E-2</v>
      </c>
      <c r="F12" s="10" t="str">
        <f>IFERROR(TEXT((C12-D12)/D12*100,"0.0")&amp;"%","—")</f>
        <v>-2.2%</v>
      </c>
      <c r="G12" s="11" t="str">
        <f>IF(C12&gt;D12,"✓ Tech","✓ HC")</f>
        <v>✓ HC</v>
      </c>
    </row>
    <row r="14" spans="1:9" ht="19.95" customHeight="1" x14ac:dyDescent="0.3">
      <c r="A14" s="7" t="s">
        <v>211</v>
      </c>
      <c r="B14" s="6"/>
      <c r="C14" s="6"/>
      <c r="D14" s="6"/>
      <c r="E14" s="6"/>
      <c r="F14" s="6"/>
      <c r="G14" s="6"/>
      <c r="H14" s="6"/>
      <c r="I14" s="6"/>
    </row>
    <row r="15" spans="1:9" ht="18" customHeight="1" x14ac:dyDescent="0.3">
      <c r="A15" s="15" t="s">
        <v>201</v>
      </c>
      <c r="B15" s="16" t="s">
        <v>212</v>
      </c>
      <c r="C15" s="16" t="s">
        <v>213</v>
      </c>
      <c r="D15" s="16" t="s">
        <v>214</v>
      </c>
      <c r="E15" s="16" t="s">
        <v>215</v>
      </c>
      <c r="F15" s="16" t="s">
        <v>216</v>
      </c>
      <c r="G15" s="16" t="s">
        <v>217</v>
      </c>
      <c r="H15" s="16" t="s">
        <v>218</v>
      </c>
      <c r="I15" s="17" t="s">
        <v>186</v>
      </c>
    </row>
    <row r="16" spans="1:9" ht="16.95" customHeight="1" x14ac:dyDescent="0.3">
      <c r="A16" s="8" t="s">
        <v>3</v>
      </c>
      <c r="B16" s="41">
        <f>AGRÉGATS!D6</f>
        <v>52</v>
      </c>
      <c r="C16" s="41">
        <f>AGRÉGATS!E6</f>
        <v>49.863636363636367</v>
      </c>
      <c r="D16" s="41">
        <f>AGRÉGATS!F6</f>
        <v>0</v>
      </c>
      <c r="E16" s="41">
        <f>AGRÉGATS!G6</f>
        <v>88</v>
      </c>
      <c r="F16" s="41">
        <f>AGRÉGATS!D15</f>
        <v>74.5</v>
      </c>
      <c r="G16" s="41">
        <f>AGRÉGATS!F15</f>
        <v>58</v>
      </c>
      <c r="H16" s="41">
        <f>AGRÉGATS!G15</f>
        <v>81</v>
      </c>
      <c r="I16" s="48">
        <f>B16-F16</f>
        <v>-22.5</v>
      </c>
    </row>
    <row r="17" spans="1:9" ht="16.95" customHeight="1" x14ac:dyDescent="0.3">
      <c r="A17" s="12" t="s">
        <v>4</v>
      </c>
      <c r="B17" s="46">
        <f>AGRÉGATS!D7/100</f>
        <v>0.27500000000000002</v>
      </c>
      <c r="C17" s="46">
        <f>AGRÉGATS!E7/100</f>
        <v>0.28191860465116297</v>
      </c>
      <c r="D17" s="46">
        <f>AGRÉGATS!F7/100</f>
        <v>-0.17</v>
      </c>
      <c r="E17" s="46">
        <f>AGRÉGATS!G7/100</f>
        <v>0.71</v>
      </c>
      <c r="F17" s="46">
        <f>AGRÉGATS!D16/100</f>
        <v>0.3175</v>
      </c>
      <c r="G17" s="46">
        <f>AGRÉGATS!F16/100</f>
        <v>0.27300000000000002</v>
      </c>
      <c r="H17" s="46">
        <f>AGRÉGATS!G16/100</f>
        <v>0.42299999999999999</v>
      </c>
      <c r="I17" s="49">
        <f>B17-F17</f>
        <v>-4.2499999999999982E-2</v>
      </c>
    </row>
    <row r="18" spans="1:9" ht="16.95" customHeight="1" x14ac:dyDescent="0.3">
      <c r="A18" s="8" t="s">
        <v>5</v>
      </c>
      <c r="B18" s="45">
        <f>AGRÉGATS!D8</f>
        <v>34.75</v>
      </c>
      <c r="C18" s="45">
        <f>AGRÉGATS!E8</f>
        <v>45.359374999999993</v>
      </c>
      <c r="D18" s="45">
        <f>AGRÉGATS!F8</f>
        <v>6.6</v>
      </c>
      <c r="E18" s="45">
        <f>AGRÉGATS!G8</f>
        <v>221.5</v>
      </c>
      <c r="F18" s="45">
        <f>AGRÉGATS!D17</f>
        <v>18.25</v>
      </c>
      <c r="G18" s="45">
        <f>AGRÉGATS!F17</f>
        <v>13.1</v>
      </c>
      <c r="H18" s="45">
        <f>AGRÉGATS!G17</f>
        <v>61.8</v>
      </c>
      <c r="I18" s="50">
        <f>B18-F18</f>
        <v>16.5</v>
      </c>
    </row>
    <row r="19" spans="1:9" ht="16.95" customHeight="1" x14ac:dyDescent="0.3">
      <c r="A19" s="12" t="s">
        <v>6</v>
      </c>
      <c r="B19" s="44">
        <f>AGRÉGATS!D9</f>
        <v>21.5</v>
      </c>
      <c r="C19" s="44">
        <f>AGRÉGATS!E9</f>
        <v>28.811428571428575</v>
      </c>
      <c r="D19" s="44">
        <f>AGRÉGATS!F9</f>
        <v>5.5</v>
      </c>
      <c r="E19" s="44">
        <f>AGRÉGATS!G9</f>
        <v>87.7</v>
      </c>
      <c r="F19" s="44">
        <f>AGRÉGATS!D18</f>
        <v>14.2</v>
      </c>
      <c r="G19" s="44">
        <f>AGRÉGATS!F18</f>
        <v>9.4</v>
      </c>
      <c r="H19" s="44">
        <f>AGRÉGATS!G18</f>
        <v>43.2</v>
      </c>
      <c r="I19" s="51">
        <f>B19-F19</f>
        <v>7.3000000000000007</v>
      </c>
    </row>
    <row r="20" spans="1:9" ht="16.95" customHeight="1" x14ac:dyDescent="0.3">
      <c r="A20" s="8" t="s">
        <v>7</v>
      </c>
      <c r="B20" s="43">
        <f>AGRÉGATS!D10/100</f>
        <v>0.192</v>
      </c>
      <c r="C20" s="43">
        <f>AGRÉGATS!E10/100</f>
        <v>0.19570114942528735</v>
      </c>
      <c r="D20" s="43">
        <f>AGRÉGATS!F10/100</f>
        <v>-7.3090000000000002</v>
      </c>
      <c r="E20" s="43">
        <f>AGRÉGATS!G10/100</f>
        <v>4.0680000000000005</v>
      </c>
      <c r="F20" s="43">
        <f>AGRÉGATS!D19/100</f>
        <v>0.2475</v>
      </c>
      <c r="G20" s="43">
        <f>AGRÉGATS!F19/100</f>
        <v>0.14699999999999999</v>
      </c>
      <c r="H20" s="43">
        <f>AGRÉGATS!G19/100</f>
        <v>0.872</v>
      </c>
      <c r="I20" s="52">
        <f>B20-F20</f>
        <v>-5.5499999999999994E-2</v>
      </c>
    </row>
    <row r="21" spans="1:9" ht="16.95" customHeight="1" x14ac:dyDescent="0.3">
      <c r="A21" s="12" t="s">
        <v>182</v>
      </c>
      <c r="B21" s="46">
        <f>AGRÉGATS!D11/100</f>
        <v>9.6999999999999989E-2</v>
      </c>
      <c r="C21" s="46">
        <f>AGRÉGATS!E11/100</f>
        <v>0.11748275862068967</v>
      </c>
      <c r="D21" s="46">
        <f>AGRÉGATS!F11/100</f>
        <v>-2</v>
      </c>
      <c r="E21" s="46">
        <f>AGRÉGATS!G11/100</f>
        <v>1.7</v>
      </c>
      <c r="F21" s="46">
        <f>AGRÉGATS!D20/100</f>
        <v>0.1245</v>
      </c>
      <c r="G21" s="46">
        <f>AGRÉGATS!F20/100</f>
        <v>3.1E-2</v>
      </c>
      <c r="H21" s="46">
        <f>AGRÉGATS!G20/100</f>
        <v>0.318</v>
      </c>
      <c r="I21" s="49">
        <f>B21-F21</f>
        <v>-2.7500000000000011E-2</v>
      </c>
    </row>
    <row r="23" spans="1:9" ht="19.95" customHeight="1" x14ac:dyDescent="0.3">
      <c r="A23" s="7" t="s">
        <v>219</v>
      </c>
      <c r="B23" s="6"/>
      <c r="C23" s="6"/>
      <c r="D23" s="6"/>
      <c r="E23" s="6"/>
      <c r="F23" s="6"/>
      <c r="G23" s="6"/>
      <c r="H23" s="6"/>
      <c r="I23" s="6"/>
    </row>
    <row r="24" spans="1:9" ht="18" customHeight="1" x14ac:dyDescent="0.3">
      <c r="A24" s="15" t="s">
        <v>220</v>
      </c>
      <c r="B24" s="16" t="s">
        <v>221</v>
      </c>
      <c r="C24" s="16" t="s">
        <v>222</v>
      </c>
      <c r="D24" s="16" t="s">
        <v>223</v>
      </c>
      <c r="E24" s="16" t="s">
        <v>224</v>
      </c>
      <c r="F24" s="16" t="s">
        <v>7</v>
      </c>
      <c r="G24" s="17" t="s">
        <v>225</v>
      </c>
    </row>
    <row r="25" spans="1:9" ht="16.95" customHeight="1" x14ac:dyDescent="0.3">
      <c r="A25" s="20" t="s">
        <v>0</v>
      </c>
      <c r="B25" s="21" t="str">
        <f>TOP_TECH!B5</f>
        <v>NVDA</v>
      </c>
      <c r="C25" s="21" t="str">
        <f>TOP_TECH!C5</f>
        <v>NVIDIA Corporation</v>
      </c>
      <c r="D25" s="53">
        <f>TOP_TECH!D5</f>
        <v>88</v>
      </c>
      <c r="E25" s="55">
        <f>TOP_TECH!G5/100</f>
        <v>0.66900000000000004</v>
      </c>
      <c r="F25" s="55">
        <f>TOP_TECH!H5/100</f>
        <v>0.76300000000000001</v>
      </c>
      <c r="G25" s="56">
        <f>TOP_TECH!I5/100</f>
        <v>0.65500000000000003</v>
      </c>
    </row>
    <row r="26" spans="1:9" ht="16.95" customHeight="1" x14ac:dyDescent="0.3">
      <c r="A26" s="22" t="s">
        <v>1</v>
      </c>
      <c r="B26" s="23" t="str">
        <f>TOP_HC!B5</f>
        <v>NVO</v>
      </c>
      <c r="C26" s="23" t="str">
        <f>TOP_HC!C5</f>
        <v>Novo Nordisk A/S</v>
      </c>
      <c r="D26" s="54">
        <f>TOP_HC!D5</f>
        <v>81</v>
      </c>
      <c r="E26" s="57">
        <f>TOP_HC!G5/100</f>
        <v>0.42299999999999999</v>
      </c>
      <c r="F26" s="57">
        <f>TOP_HC!H5/100</f>
        <v>0.872</v>
      </c>
      <c r="G26" s="58">
        <f>TOP_HC!I5/100</f>
        <v>0.24100000000000002</v>
      </c>
    </row>
    <row r="28" spans="1:9" ht="19.95" customHeight="1" x14ac:dyDescent="0.3">
      <c r="A28" s="7" t="s">
        <v>276</v>
      </c>
      <c r="B28" s="6"/>
      <c r="C28" s="6"/>
      <c r="D28" s="6"/>
      <c r="E28" s="6"/>
      <c r="F28" s="6"/>
      <c r="G28" s="6"/>
      <c r="H28" s="6"/>
      <c r="I28" s="6"/>
    </row>
    <row r="29" spans="1:9" ht="15" customHeight="1" x14ac:dyDescent="0.3">
      <c r="A29" s="85" t="s">
        <v>277</v>
      </c>
    </row>
    <row r="30" spans="1:9" ht="18" customHeight="1" x14ac:dyDescent="0.3">
      <c r="A30" s="15" t="s">
        <v>201</v>
      </c>
      <c r="B30" s="16" t="s">
        <v>278</v>
      </c>
      <c r="C30" s="16" t="s">
        <v>279</v>
      </c>
      <c r="D30" s="16" t="s">
        <v>280</v>
      </c>
      <c r="E30" s="16" t="s">
        <v>281</v>
      </c>
      <c r="F30" s="16" t="s">
        <v>282</v>
      </c>
    </row>
    <row r="31" spans="1:9" ht="16.95" customHeight="1" x14ac:dyDescent="0.3">
      <c r="A31" s="20" t="s">
        <v>283</v>
      </c>
      <c r="B31" s="69" cm="1">
        <f t="array" ref="B31">IFERROR(SUMPRODUCT((DATA_TECH!$C$4:$C$91)*(DATA_TECH!F4:F91)*(ISNUMBER(DATA_TECH!F4:F91)))/SUMPRODUCT((DATA_TECH!$C$4:$C$91)*(ISNUMBER(DATA_TECH!F4:F91))),"")</f>
        <v>30.763738790526563</v>
      </c>
      <c r="C31" s="65" cm="1">
        <f t="array" ref="C31">IFERROR(SUMPRODUCT((DATA_TECH!$C$4:$C$91)*(DATA_TECH!D4:D91)*(ISNUMBER(DATA_TECH!D4:D91)))/SUMPRODUCT((DATA_TECH!$C$4:$C$91)*(ISNUMBER(DATA_TECH!D4:D91))),"")</f>
        <v>43.532602071907377</v>
      </c>
      <c r="D31" s="65" cm="1">
        <f t="array" ref="D31">IFERROR(SUMPRODUCT((DATA_TECH!$C$4:$C$91)*(DATA_TECH!E4:E91)*(ISNUMBER(DATA_TECH!E4:E91)))/SUMPRODUCT((DATA_TECH!$C$4:$C$91)*(ISNUMBER(DATA_TECH!E4:E91))),"")</f>
        <v>29.012669683257915</v>
      </c>
      <c r="E31" s="69" cm="1">
        <f t="array" ref="E31">IFERROR(SUMPRODUCT((DATA_TECH!$C$4:$C$91)*(DATA_TECH!G4:G91)*(ISNUMBER(DATA_TECH!G4:G91)))/SUMPRODUCT((DATA_TECH!$C$4:$C$91)*(ISNUMBER(DATA_TECH!G4:G91))),"")</f>
        <v>21.526580823177746</v>
      </c>
      <c r="F31" s="69" cm="1">
        <f t="array" ref="F31">IFERROR(SUMPRODUCT((DATA_TECH!$C$4:$C$91)*(DATA_TECH!H4:H91)*(ISNUMBER(DATA_TECH!H4:H91)))/SUMPRODUCT((DATA_TECH!$C$4:$C$91)*(ISNUMBER(DATA_TECH!H4:H91))),"")</f>
        <v>13.798183490457577</v>
      </c>
    </row>
    <row r="32" spans="1:9" ht="16.95" customHeight="1" x14ac:dyDescent="0.3">
      <c r="A32" s="22" t="s">
        <v>284</v>
      </c>
      <c r="B32" s="63" cm="1">
        <f t="array" ref="B32">IFERROR(SUMPRODUCT((DATA_HC!$C$4:$C$9)*(DATA_HC!F4:F9)*(ISNUMBER(DATA_HC!F4:F9)))/SUMPRODUCT((DATA_HC!$C$4:$C$9)*(ISNUMBER(DATA_HC!F4:F9))),"")</f>
        <v>34.013457076566119</v>
      </c>
      <c r="C32" s="67" cm="1">
        <f t="array" ref="C32">IFERROR(SUMPRODUCT((DATA_HC!$C$4:$C$9)*(DATA_HC!D4:D9)*(ISNUMBER(DATA_HC!D4:D9)))/SUMPRODUCT((DATA_HC!$C$4:$C$9)*(ISNUMBER(DATA_HC!D4:D9))),"")</f>
        <v>27.684686774941998</v>
      </c>
      <c r="D32" s="67" cm="1">
        <f t="array" ref="D32">IFERROR(SUMPRODUCT((DATA_HC!$C$4:$C$9)*(DATA_HC!E4:E9)*(ISNUMBER(DATA_HC!E4:E9)))/SUMPRODUCT((DATA_HC!$C$4:$C$9)*(ISNUMBER(DATA_HC!E4:E9))),"")</f>
        <v>20.275870069605567</v>
      </c>
      <c r="E32" s="63" cm="1">
        <f t="array" ref="E32">IFERROR(SUMPRODUCT((DATA_HC!$C$4:$C$9)*(DATA_HC!G4:G9)*(ISNUMBER(DATA_HC!G4:G9)))/SUMPRODUCT((DATA_HC!$C$4:$C$9)*(ISNUMBER(DATA_HC!G4:G9))),"")</f>
        <v>39.233178654292345</v>
      </c>
      <c r="F32" s="63" cm="1">
        <f t="array" ref="F32">IFERROR(SUMPRODUCT((DATA_HC!$C$4:$C$9)*(DATA_HC!H4:H9)*(ISNUMBER(DATA_HC!H4:H9)))/SUMPRODUCT((DATA_HC!$C$4:$C$9)*(ISNUMBER(DATA_HC!H4:H9))),"")</f>
        <v>16.011832946635732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workbookViewId="0">
      <selection activeCell="J23" sqref="J23"/>
    </sheetView>
  </sheetViews>
  <sheetFormatPr baseColWidth="10" defaultColWidth="8.88671875" defaultRowHeight="14.4" x14ac:dyDescent="0.3"/>
  <cols>
    <col min="1" max="1" width="16.6640625" customWidth="1"/>
    <col min="2" max="2" width="22.21875" customWidth="1"/>
    <col min="3" max="3" width="9.21875" customWidth="1"/>
    <col min="4" max="8" width="15.77734375" customWidth="1"/>
    <col min="9" max="11" width="13.88671875" customWidth="1"/>
    <col min="12" max="12" width="11.109375" customWidth="1"/>
  </cols>
  <sheetData>
    <row r="1" spans="1:12" ht="25.95" customHeight="1" x14ac:dyDescent="0.35">
      <c r="A1" s="2" t="s">
        <v>198</v>
      </c>
      <c r="B1" s="1"/>
      <c r="C1" s="3" t="s">
        <v>226</v>
      </c>
      <c r="D1" s="1"/>
      <c r="E1" s="1"/>
      <c r="F1" s="1"/>
      <c r="G1" s="1"/>
      <c r="H1" s="1"/>
      <c r="I1" s="24"/>
      <c r="J1" s="24"/>
      <c r="K1" s="24"/>
      <c r="L1" s="24"/>
    </row>
    <row r="2" spans="1:12" ht="15" customHeight="1" x14ac:dyDescent="0.3">
      <c r="A2" s="5" t="s">
        <v>227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19.95" customHeight="1" x14ac:dyDescent="0.3">
      <c r="A4" s="7" t="s">
        <v>228</v>
      </c>
      <c r="B4" s="6"/>
      <c r="C4" s="6"/>
      <c r="D4" s="6"/>
      <c r="E4" s="6"/>
      <c r="F4" s="6"/>
      <c r="G4" s="6"/>
      <c r="H4" s="6"/>
      <c r="I4" s="6"/>
    </row>
    <row r="5" spans="1:12" ht="18" customHeight="1" x14ac:dyDescent="0.3">
      <c r="A5" s="15" t="s">
        <v>220</v>
      </c>
      <c r="B5" s="16" t="s">
        <v>201</v>
      </c>
      <c r="C5" s="16" t="s">
        <v>229</v>
      </c>
      <c r="D5" s="16" t="s">
        <v>230</v>
      </c>
      <c r="E5" s="16" t="s">
        <v>231</v>
      </c>
      <c r="F5" s="16" t="s">
        <v>232</v>
      </c>
      <c r="G5" s="16" t="s">
        <v>233</v>
      </c>
      <c r="H5" s="16" t="s">
        <v>234</v>
      </c>
      <c r="I5" s="16" t="s">
        <v>272</v>
      </c>
      <c r="J5" s="16" t="s">
        <v>273</v>
      </c>
      <c r="K5" s="16" t="s">
        <v>274</v>
      </c>
      <c r="L5" s="17" t="s">
        <v>235</v>
      </c>
    </row>
    <row r="6" spans="1:12" ht="16.95" customHeight="1" x14ac:dyDescent="0.3">
      <c r="A6" s="20" t="s">
        <v>0</v>
      </c>
      <c r="B6" s="18" t="s">
        <v>3</v>
      </c>
      <c r="C6" s="9">
        <f>COUNT(DATA_TECH!C4:C91)</f>
        <v>88</v>
      </c>
      <c r="D6" s="41">
        <f>MEDIAN(DATA_TECH!C4:C91)</f>
        <v>52</v>
      </c>
      <c r="E6" s="41">
        <f>AVERAGE(DATA_TECH!C4:C91)</f>
        <v>49.863636363636367</v>
      </c>
      <c r="F6" s="41">
        <f>MIN(DATA_TECH!C4:C91)</f>
        <v>0</v>
      </c>
      <c r="G6" s="41">
        <f>MAX(DATA_TECH!C4:C91)</f>
        <v>88</v>
      </c>
      <c r="H6" s="41">
        <f>STDEV(DATA_TECH!C4:C91)</f>
        <v>16.216340430864701</v>
      </c>
      <c r="I6" s="75">
        <f>QUARTILE(DATA_TECH!C4:C91,1)</f>
        <v>39</v>
      </c>
      <c r="J6" s="76">
        <f>QUARTILE(DATA_TECH!C4:C91,3)</f>
        <v>60</v>
      </c>
      <c r="K6" s="76">
        <f>J6-I6</f>
        <v>21</v>
      </c>
      <c r="L6" s="77" t="s">
        <v>236</v>
      </c>
    </row>
    <row r="7" spans="1:12" ht="16.95" customHeight="1" x14ac:dyDescent="0.3">
      <c r="A7" s="22" t="s">
        <v>0</v>
      </c>
      <c r="B7" s="19" t="s">
        <v>4</v>
      </c>
      <c r="C7" s="13">
        <f>COUNT(DATA_TECH!F4:F91)</f>
        <v>86</v>
      </c>
      <c r="D7" s="59">
        <f>MEDIAN(DATA_TECH!F4:F91)</f>
        <v>27.5</v>
      </c>
      <c r="E7" s="59">
        <f>AVERAGE(DATA_TECH!F4:F91)</f>
        <v>28.191860465116299</v>
      </c>
      <c r="F7" s="59">
        <f>MIN(DATA_TECH!F4:F91)</f>
        <v>-17</v>
      </c>
      <c r="G7" s="59">
        <f>MAX(DATA_TECH!F4:F91)</f>
        <v>71</v>
      </c>
      <c r="H7" s="59">
        <f>STDEV(DATA_TECH!F4:F91)</f>
        <v>14.402142121032474</v>
      </c>
      <c r="I7" s="78">
        <f>QUARTILE(DATA_TECH!F4:F91,1)</f>
        <v>20.024999999999999</v>
      </c>
      <c r="J7" s="79">
        <f>QUARTILE(DATA_TECH!F4:F91,3)</f>
        <v>35.4</v>
      </c>
      <c r="K7" s="79">
        <f>J7-I7</f>
        <v>15.375</v>
      </c>
      <c r="L7" s="77" t="s">
        <v>275</v>
      </c>
    </row>
    <row r="8" spans="1:12" ht="16.95" customHeight="1" x14ac:dyDescent="0.3">
      <c r="A8" s="20" t="s">
        <v>0</v>
      </c>
      <c r="B8" s="18" t="s">
        <v>5</v>
      </c>
      <c r="C8" s="9">
        <f>COUNT(DATA_TECH!D4:D91)</f>
        <v>32</v>
      </c>
      <c r="D8" s="45">
        <f>MEDIAN(DATA_TECH!D4:D91)</f>
        <v>34.75</v>
      </c>
      <c r="E8" s="45">
        <f>AVERAGE(DATA_TECH!D4:D91)</f>
        <v>45.359374999999993</v>
      </c>
      <c r="F8" s="45">
        <f>MIN(DATA_TECH!D4:D91)</f>
        <v>6.6</v>
      </c>
      <c r="G8" s="45">
        <f>MAX(DATA_TECH!D4:D91)</f>
        <v>221.5</v>
      </c>
      <c r="H8" s="45">
        <f>STDEV(DATA_TECH!D4:D91)</f>
        <v>40.569525026639106</v>
      </c>
      <c r="I8" s="80">
        <f>QUARTILE(DATA_TECH!D4:D91,1)</f>
        <v>22.574999999999999</v>
      </c>
      <c r="J8" s="81">
        <f>QUARTILE(DATA_TECH!D4:D91,3)</f>
        <v>56.174999999999997</v>
      </c>
      <c r="K8" s="81">
        <f>J8-I8</f>
        <v>33.599999999999994</v>
      </c>
      <c r="L8" s="77" t="s">
        <v>237</v>
      </c>
    </row>
    <row r="9" spans="1:12" ht="16.95" customHeight="1" x14ac:dyDescent="0.3">
      <c r="A9" s="22" t="s">
        <v>0</v>
      </c>
      <c r="B9" s="19" t="s">
        <v>6</v>
      </c>
      <c r="C9" s="13">
        <f>COUNT(DATA_TECH!E4:E91)</f>
        <v>35</v>
      </c>
      <c r="D9" s="44">
        <f>MEDIAN(DATA_TECH!E4:E91)</f>
        <v>21.5</v>
      </c>
      <c r="E9" s="44">
        <f>AVERAGE(DATA_TECH!E4:E91)</f>
        <v>28.811428571428575</v>
      </c>
      <c r="F9" s="44">
        <f>MIN(DATA_TECH!E4:E91)</f>
        <v>5.5</v>
      </c>
      <c r="G9" s="44">
        <f>MAX(DATA_TECH!E4:E91)</f>
        <v>87.7</v>
      </c>
      <c r="H9" s="44">
        <f>STDEV(DATA_TECH!E4:E91)</f>
        <v>21.328988440597922</v>
      </c>
      <c r="I9" s="80">
        <f>QUARTILE(DATA_TECH!E4:E91,1)</f>
        <v>15.15</v>
      </c>
      <c r="J9" s="81">
        <f>QUARTILE(DATA_TECH!E4:E91,3)</f>
        <v>36.549999999999997</v>
      </c>
      <c r="K9" s="81">
        <f>J9-I9</f>
        <v>21.4</v>
      </c>
      <c r="L9" s="82" t="s">
        <v>237</v>
      </c>
    </row>
    <row r="10" spans="1:12" ht="16.95" customHeight="1" x14ac:dyDescent="0.3">
      <c r="A10" s="20" t="s">
        <v>0</v>
      </c>
      <c r="B10" s="18" t="s">
        <v>7</v>
      </c>
      <c r="C10" s="9">
        <f>COUNT(DATA_TECH!G4:G91)</f>
        <v>87</v>
      </c>
      <c r="D10" s="60">
        <f>MEDIAN(DATA_TECH!G4:G91)</f>
        <v>19.2</v>
      </c>
      <c r="E10" s="60">
        <f>AVERAGE(DATA_TECH!G4:G91)</f>
        <v>19.570114942528736</v>
      </c>
      <c r="F10" s="60">
        <f>MIN(DATA_TECH!G4:G91)</f>
        <v>-730.9</v>
      </c>
      <c r="G10" s="60">
        <f>MAX(DATA_TECH!G4:G91)</f>
        <v>406.8</v>
      </c>
      <c r="H10" s="60">
        <f>STDEV(DATA_TECH!G4:G91)</f>
        <v>108.54209891112825</v>
      </c>
      <c r="I10" s="78">
        <f>QUARTILE(DATA_TECH!G4:G91,1)</f>
        <v>8.5</v>
      </c>
      <c r="J10" s="79">
        <f>QUARTILE(DATA_TECH!G4:G91,3)</f>
        <v>33.349999999999994</v>
      </c>
      <c r="K10" s="79">
        <f>J10-I10</f>
        <v>24.849999999999994</v>
      </c>
      <c r="L10" s="82" t="s">
        <v>275</v>
      </c>
    </row>
    <row r="11" spans="1:12" ht="16.95" customHeight="1" x14ac:dyDescent="0.3">
      <c r="A11" s="22" t="s">
        <v>0</v>
      </c>
      <c r="B11" s="19" t="s">
        <v>238</v>
      </c>
      <c r="C11" s="13">
        <f>COUNT(DATA_TECH!H4:H91)</f>
        <v>87</v>
      </c>
      <c r="D11" s="59">
        <f>MEDIAN(DATA_TECH!H4:H91)</f>
        <v>9.6999999999999993</v>
      </c>
      <c r="E11" s="59">
        <f>AVERAGE(DATA_TECH!H4:H91)</f>
        <v>11.748275862068967</v>
      </c>
      <c r="F11" s="59">
        <f>MIN(DATA_TECH!H4:H91)</f>
        <v>-200</v>
      </c>
      <c r="G11" s="59">
        <f>MAX(DATA_TECH!H4:H91)</f>
        <v>170</v>
      </c>
      <c r="H11" s="59">
        <f>STDEV(DATA_TECH!H4:H91)</f>
        <v>33.170745243603413</v>
      </c>
      <c r="I11" s="78">
        <f>QUARTILE(DATA_TECH!H4:H91,1)</f>
        <v>6.15</v>
      </c>
      <c r="J11" s="79">
        <f>QUARTILE(DATA_TECH!H4:H91,3)</f>
        <v>18.55</v>
      </c>
      <c r="K11" s="79">
        <f>J11-I11</f>
        <v>12.4</v>
      </c>
      <c r="L11" s="82" t="s">
        <v>275</v>
      </c>
    </row>
    <row r="13" spans="1:12" ht="19.95" customHeight="1" x14ac:dyDescent="0.3">
      <c r="A13" s="7" t="s">
        <v>239</v>
      </c>
      <c r="B13" s="6"/>
      <c r="C13" s="6"/>
      <c r="D13" s="6"/>
      <c r="E13" s="6"/>
      <c r="F13" s="6"/>
      <c r="G13" s="6"/>
      <c r="H13" s="6"/>
      <c r="I13" s="6"/>
    </row>
    <row r="14" spans="1:12" ht="18" customHeight="1" x14ac:dyDescent="0.3">
      <c r="A14" s="15" t="s">
        <v>220</v>
      </c>
      <c r="B14" s="16" t="s">
        <v>201</v>
      </c>
      <c r="C14" s="16" t="s">
        <v>229</v>
      </c>
      <c r="D14" s="16" t="s">
        <v>230</v>
      </c>
      <c r="E14" s="16" t="s">
        <v>231</v>
      </c>
      <c r="F14" s="16" t="s">
        <v>232</v>
      </c>
      <c r="G14" s="16" t="s">
        <v>233</v>
      </c>
      <c r="H14" s="16" t="s">
        <v>234</v>
      </c>
      <c r="I14" s="16" t="s">
        <v>272</v>
      </c>
      <c r="J14" s="16" t="s">
        <v>273</v>
      </c>
      <c r="K14" s="16" t="s">
        <v>274</v>
      </c>
      <c r="L14" s="17" t="s">
        <v>235</v>
      </c>
    </row>
    <row r="15" spans="1:12" ht="16.95" customHeight="1" x14ac:dyDescent="0.3">
      <c r="A15" s="20" t="s">
        <v>1</v>
      </c>
      <c r="B15" s="18" t="s">
        <v>3</v>
      </c>
      <c r="C15" s="9">
        <f>COUNT(DATA_HC!C4:C9)</f>
        <v>6</v>
      </c>
      <c r="D15" s="41">
        <f>MEDIAN(DATA_HC!C4:C9)</f>
        <v>74.5</v>
      </c>
      <c r="E15" s="41">
        <f>AVERAGE(DATA_HC!C4:C9)</f>
        <v>71.833333333333329</v>
      </c>
      <c r="F15" s="41">
        <f>MIN(DATA_HC!C4:C9)</f>
        <v>58</v>
      </c>
      <c r="G15" s="41">
        <f>MAX(DATA_HC!C4:C9)</f>
        <v>81</v>
      </c>
      <c r="H15" s="41">
        <f>STDEV(DATA_HC!C4:C9)</f>
        <v>9.1086039910990984</v>
      </c>
      <c r="I15" s="75">
        <f>QUARTILE(DATA_HC!C4:C9,1)</f>
        <v>66</v>
      </c>
      <c r="J15" s="76">
        <f>QUARTILE(DATA_HC!C4:C9,3)</f>
        <v>78.5</v>
      </c>
      <c r="K15" s="76">
        <f>J15-I15</f>
        <v>12.5</v>
      </c>
      <c r="L15" s="77" t="s">
        <v>236</v>
      </c>
    </row>
    <row r="16" spans="1:12" ht="16.95" customHeight="1" x14ac:dyDescent="0.3">
      <c r="A16" s="22" t="s">
        <v>1</v>
      </c>
      <c r="B16" s="19" t="s">
        <v>4</v>
      </c>
      <c r="C16" s="13">
        <f>COUNT(DATA_HC!F4:F9)</f>
        <v>6</v>
      </c>
      <c r="D16" s="59">
        <f>MEDIAN(DATA_HC!F4:F9)</f>
        <v>31.75</v>
      </c>
      <c r="E16" s="59">
        <f>AVERAGE(DATA_HC!F4:F9)</f>
        <v>33.500000000000007</v>
      </c>
      <c r="F16" s="59">
        <f>MIN(DATA_HC!F4:F9)</f>
        <v>27.3</v>
      </c>
      <c r="G16" s="59">
        <f>MAX(DATA_HC!F4:F9)</f>
        <v>42.3</v>
      </c>
      <c r="H16" s="59">
        <f>STDEV(DATA_HC!F4:F9)</f>
        <v>5.8511537323847094</v>
      </c>
      <c r="I16" s="83">
        <f>QUARTILE(DATA_HC!F4:F9,1)</f>
        <v>29.5</v>
      </c>
      <c r="J16" s="79">
        <f>QUARTILE(DATA_HC!F4:F9,3)</f>
        <v>37.300000000000004</v>
      </c>
      <c r="K16" s="79">
        <f>J16-I16</f>
        <v>7.8000000000000043</v>
      </c>
      <c r="L16" s="77" t="s">
        <v>275</v>
      </c>
    </row>
    <row r="17" spans="1:12" ht="16.95" customHeight="1" x14ac:dyDescent="0.3">
      <c r="A17" s="20" t="s">
        <v>1</v>
      </c>
      <c r="B17" s="18" t="s">
        <v>5</v>
      </c>
      <c r="C17" s="9">
        <f>COUNT(DATA_HC!D4:D9)</f>
        <v>6</v>
      </c>
      <c r="D17" s="45">
        <f>MEDIAN(DATA_HC!D4:D9)</f>
        <v>18.25</v>
      </c>
      <c r="E17" s="45">
        <f>AVERAGE(DATA_HC!D4:D9)</f>
        <v>26.416666666666661</v>
      </c>
      <c r="F17" s="45">
        <f>MIN(DATA_HC!D4:D9)</f>
        <v>13.1</v>
      </c>
      <c r="G17" s="45">
        <f>MAX(DATA_HC!D4:D9)</f>
        <v>61.8</v>
      </c>
      <c r="H17" s="45">
        <f>STDEV(DATA_HC!D4:D9)</f>
        <v>18.731728875538078</v>
      </c>
      <c r="I17" s="80">
        <f>QUARTILE(DATA_HC!D4:D9,1)</f>
        <v>14.824999999999999</v>
      </c>
      <c r="J17" s="81">
        <f>QUARTILE(DATA_HC!D4:D9,3)</f>
        <v>29.625</v>
      </c>
      <c r="K17" s="81">
        <f>J17-I17</f>
        <v>14.8</v>
      </c>
      <c r="L17" s="77" t="s">
        <v>237</v>
      </c>
    </row>
    <row r="18" spans="1:12" ht="16.95" customHeight="1" x14ac:dyDescent="0.3">
      <c r="A18" s="22" t="s">
        <v>1</v>
      </c>
      <c r="B18" s="19" t="s">
        <v>6</v>
      </c>
      <c r="C18" s="13">
        <f>COUNT(DATA_HC!E4:E9)</f>
        <v>6</v>
      </c>
      <c r="D18" s="44">
        <f>MEDIAN(DATA_HC!E4:E9)</f>
        <v>14.2</v>
      </c>
      <c r="E18" s="44">
        <f>AVERAGE(DATA_HC!E4:E9)</f>
        <v>19.383333333333336</v>
      </c>
      <c r="F18" s="44">
        <f>MIN(DATA_HC!E4:E9)</f>
        <v>9.4</v>
      </c>
      <c r="G18" s="44">
        <f>MAX(DATA_HC!E4:E9)</f>
        <v>43.2</v>
      </c>
      <c r="H18" s="44">
        <f>STDEV(DATA_HC!E4:E9)</f>
        <v>12.75749452936064</v>
      </c>
      <c r="I18" s="84">
        <f>QUARTILE(DATA_HC!E4:E9,1)</f>
        <v>11.6</v>
      </c>
      <c r="J18" s="81">
        <f>QUARTILE(DATA_HC!E4:E9,3)</f>
        <v>21.975000000000001</v>
      </c>
      <c r="K18" s="81">
        <f>J18-I18</f>
        <v>10.375000000000002</v>
      </c>
      <c r="L18" s="77" t="s">
        <v>237</v>
      </c>
    </row>
    <row r="19" spans="1:12" ht="16.95" customHeight="1" x14ac:dyDescent="0.3">
      <c r="A19" s="20" t="s">
        <v>1</v>
      </c>
      <c r="B19" s="18" t="s">
        <v>7</v>
      </c>
      <c r="C19" s="9">
        <f>COUNT(DATA_HC!G4:G9)</f>
        <v>6</v>
      </c>
      <c r="D19" s="60">
        <f>MEDIAN(DATA_HC!G4:G9)</f>
        <v>24.75</v>
      </c>
      <c r="E19" s="60">
        <f>AVERAGE(DATA_HC!G4:G9)</f>
        <v>37.033333333333324</v>
      </c>
      <c r="F19" s="60">
        <f>MIN(DATA_HC!G4:G9)</f>
        <v>14.7</v>
      </c>
      <c r="G19" s="60">
        <f>MAX(DATA_HC!G4:G9)</f>
        <v>87.2</v>
      </c>
      <c r="H19" s="60">
        <f>STDEV(DATA_HC!G4:G9)</f>
        <v>27.992475179352521</v>
      </c>
      <c r="I19" s="78">
        <f>QUARTILE(DATA_HC!G4:G9,1)</f>
        <v>19.5</v>
      </c>
      <c r="J19" s="79">
        <f>QUARTILE(DATA_HC!G4:G9,3)</f>
        <v>45.975000000000001</v>
      </c>
      <c r="K19" s="79">
        <f>J19-I19</f>
        <v>26.475000000000001</v>
      </c>
      <c r="L19" s="77" t="s">
        <v>275</v>
      </c>
    </row>
    <row r="20" spans="1:12" ht="16.95" customHeight="1" x14ac:dyDescent="0.3">
      <c r="A20" s="22" t="s">
        <v>1</v>
      </c>
      <c r="B20" s="19" t="s">
        <v>238</v>
      </c>
      <c r="C20" s="13">
        <f>COUNT(DATA_HC!H4:H9)</f>
        <v>6</v>
      </c>
      <c r="D20" s="59">
        <f>MEDIAN(DATA_HC!H4:H9)</f>
        <v>12.45</v>
      </c>
      <c r="E20" s="59">
        <f>AVERAGE(DATA_HC!H4:H9)</f>
        <v>14.949999999999998</v>
      </c>
      <c r="F20" s="59">
        <f>MIN(DATA_HC!H4:H9)</f>
        <v>3.1</v>
      </c>
      <c r="G20" s="59">
        <f>MAX(DATA_HC!H4:H9)</f>
        <v>31.8</v>
      </c>
      <c r="H20" s="59">
        <f>STDEV(DATA_HC!H4:H9)</f>
        <v>11.661346405968741</v>
      </c>
      <c r="I20" s="83">
        <f>QUARTILE(DATA_HC!H4:H9,1)</f>
        <v>5.9249999999999998</v>
      </c>
      <c r="J20" s="79">
        <f>QUARTILE(DATA_HC!H4:H9,3)</f>
        <v>22.725000000000001</v>
      </c>
      <c r="K20" s="79">
        <f>J20-I20</f>
        <v>16.8</v>
      </c>
      <c r="L20" s="77" t="s">
        <v>275</v>
      </c>
    </row>
    <row r="22" spans="1:12" ht="19.95" customHeight="1" x14ac:dyDescent="0.3">
      <c r="A22" s="7" t="s">
        <v>240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8" customHeight="1" x14ac:dyDescent="0.3">
      <c r="A23" s="15" t="s">
        <v>241</v>
      </c>
      <c r="B23" s="16" t="s">
        <v>201</v>
      </c>
      <c r="C23" s="16" t="s">
        <v>10</v>
      </c>
      <c r="D23" s="16" t="s">
        <v>242</v>
      </c>
      <c r="E23" s="16" t="s">
        <v>243</v>
      </c>
      <c r="F23" s="16" t="s">
        <v>244</v>
      </c>
      <c r="G23" s="16" t="s">
        <v>245</v>
      </c>
      <c r="H23" s="17" t="s">
        <v>246</v>
      </c>
    </row>
    <row r="24" spans="1:12" ht="16.95" customHeight="1" x14ac:dyDescent="0.3">
      <c r="A24" s="20" t="s">
        <v>187</v>
      </c>
      <c r="B24" s="25" t="s">
        <v>3</v>
      </c>
      <c r="C24" s="26" t="s">
        <v>10</v>
      </c>
      <c r="D24" s="61">
        <f>D6-D15</f>
        <v>-22.5</v>
      </c>
      <c r="E24" s="61">
        <f>E6-E15</f>
        <v>-21.969696969696962</v>
      </c>
      <c r="F24" s="61">
        <f>F6-F15</f>
        <v>-58</v>
      </c>
      <c r="G24" s="61">
        <f>G6-G15</f>
        <v>7</v>
      </c>
      <c r="H24" s="62">
        <f>H6-H15</f>
        <v>7.1077364397656027</v>
      </c>
    </row>
    <row r="25" spans="1:12" ht="16.95" customHeight="1" x14ac:dyDescent="0.3">
      <c r="A25" s="22" t="s">
        <v>187</v>
      </c>
      <c r="B25" s="27" t="s">
        <v>4</v>
      </c>
      <c r="C25" s="28" t="s">
        <v>10</v>
      </c>
      <c r="D25" s="63">
        <f>D7-D16</f>
        <v>-4.25</v>
      </c>
      <c r="E25" s="63">
        <f>E7-E16</f>
        <v>-5.3081395348837077</v>
      </c>
      <c r="F25" s="63">
        <f>F7-F16</f>
        <v>-44.3</v>
      </c>
      <c r="G25" s="63">
        <f>G7-G16</f>
        <v>28.700000000000003</v>
      </c>
      <c r="H25" s="64">
        <f>H7-H16</f>
        <v>8.5509883886477649</v>
      </c>
    </row>
    <row r="26" spans="1:12" ht="16.95" customHeight="1" x14ac:dyDescent="0.3">
      <c r="A26" s="20" t="s">
        <v>187</v>
      </c>
      <c r="B26" s="25" t="s">
        <v>5</v>
      </c>
      <c r="C26" s="26" t="s">
        <v>10</v>
      </c>
      <c r="D26" s="65">
        <f>D8-D17</f>
        <v>16.5</v>
      </c>
      <c r="E26" s="65">
        <f>E8-E17</f>
        <v>18.942708333333332</v>
      </c>
      <c r="F26" s="65">
        <f>F8-F17</f>
        <v>-6.5</v>
      </c>
      <c r="G26" s="65">
        <f>G8-G17</f>
        <v>159.69999999999999</v>
      </c>
      <c r="H26" s="66">
        <f>H8-H17</f>
        <v>21.837796151101028</v>
      </c>
    </row>
    <row r="27" spans="1:12" ht="16.95" customHeight="1" x14ac:dyDescent="0.3">
      <c r="A27" s="22" t="s">
        <v>187</v>
      </c>
      <c r="B27" s="27" t="s">
        <v>6</v>
      </c>
      <c r="C27" s="28" t="s">
        <v>10</v>
      </c>
      <c r="D27" s="67">
        <f>D9-D18</f>
        <v>7.3000000000000007</v>
      </c>
      <c r="E27" s="67">
        <f>E9-E18</f>
        <v>9.4280952380952385</v>
      </c>
      <c r="F27" s="67">
        <f>F9-F18</f>
        <v>-3.9000000000000004</v>
      </c>
      <c r="G27" s="67">
        <f>G9-G18</f>
        <v>44.5</v>
      </c>
      <c r="H27" s="68">
        <f>H9-H18</f>
        <v>8.5714939112372814</v>
      </c>
    </row>
    <row r="28" spans="1:12" ht="16.95" customHeight="1" x14ac:dyDescent="0.3">
      <c r="A28" s="20" t="s">
        <v>187</v>
      </c>
      <c r="B28" s="25" t="s">
        <v>7</v>
      </c>
      <c r="C28" s="26" t="s">
        <v>10</v>
      </c>
      <c r="D28" s="69">
        <f>D10-D19</f>
        <v>-5.5500000000000007</v>
      </c>
      <c r="E28" s="69">
        <f>E10-E19</f>
        <v>-17.463218390804588</v>
      </c>
      <c r="F28" s="69">
        <f>F10-F19</f>
        <v>-745.6</v>
      </c>
      <c r="G28" s="69">
        <f>G10-G19</f>
        <v>319.60000000000002</v>
      </c>
      <c r="H28" s="70">
        <f>H10-H19</f>
        <v>80.549623731775725</v>
      </c>
    </row>
    <row r="29" spans="1:12" ht="16.95" customHeight="1" x14ac:dyDescent="0.3">
      <c r="A29" s="22" t="s">
        <v>187</v>
      </c>
      <c r="B29" s="27" t="s">
        <v>238</v>
      </c>
      <c r="C29" s="28" t="s">
        <v>10</v>
      </c>
      <c r="D29" s="63">
        <f>D11-D20</f>
        <v>-2.75</v>
      </c>
      <c r="E29" s="63">
        <f>E11-E20</f>
        <v>-3.2017241379310306</v>
      </c>
      <c r="F29" s="63">
        <f>F11-F20</f>
        <v>-203.1</v>
      </c>
      <c r="G29" s="63">
        <f>G11-G20</f>
        <v>138.19999999999999</v>
      </c>
      <c r="H29" s="64">
        <f>H11-H20</f>
        <v>21.50939883763467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showGridLines="0" workbookViewId="0">
      <selection activeCell="J3" sqref="J1:M3"/>
    </sheetView>
  </sheetViews>
  <sheetFormatPr baseColWidth="10" defaultColWidth="8.88671875" defaultRowHeight="14.4" x14ac:dyDescent="0.3"/>
  <cols>
    <col min="1" max="1" width="7.44140625" customWidth="1"/>
    <col min="2" max="2" width="13" customWidth="1"/>
    <col min="3" max="3" width="36.109375" customWidth="1"/>
    <col min="4" max="4" width="11.109375" customWidth="1"/>
    <col min="5" max="6" width="13.88671875" customWidth="1"/>
    <col min="7" max="9" width="15.77734375" customWidth="1"/>
    <col min="10" max="10" width="16.6640625" customWidth="1"/>
  </cols>
  <sheetData>
    <row r="1" spans="1:9" ht="25.95" customHeight="1" x14ac:dyDescent="0.35">
      <c r="A1" s="2" t="s">
        <v>198</v>
      </c>
      <c r="B1" s="1"/>
      <c r="C1" s="3" t="s">
        <v>247</v>
      </c>
      <c r="D1" s="1"/>
      <c r="E1" s="1"/>
      <c r="F1" s="1"/>
      <c r="G1" s="1"/>
      <c r="H1" s="1"/>
      <c r="I1" s="1"/>
    </row>
    <row r="2" spans="1:9" ht="15" customHeight="1" x14ac:dyDescent="0.3">
      <c r="A2" s="5" t="s">
        <v>248</v>
      </c>
      <c r="B2" s="4"/>
      <c r="C2" s="4"/>
      <c r="D2" s="4"/>
      <c r="E2" s="4"/>
      <c r="F2" s="4"/>
      <c r="G2" s="4"/>
      <c r="H2" s="4"/>
      <c r="I2" s="4"/>
    </row>
    <row r="3" spans="1:9" ht="19.95" customHeight="1" x14ac:dyDescent="0.3">
      <c r="A3" s="7" t="s">
        <v>249</v>
      </c>
      <c r="B3" s="6"/>
      <c r="C3" s="6"/>
      <c r="D3" s="6"/>
      <c r="E3" s="6"/>
      <c r="F3" s="6"/>
      <c r="G3" s="6"/>
      <c r="H3" s="6"/>
      <c r="I3" s="6"/>
    </row>
    <row r="4" spans="1:9" ht="18" customHeight="1" x14ac:dyDescent="0.3">
      <c r="A4" s="15" t="s">
        <v>250</v>
      </c>
      <c r="B4" s="16" t="s">
        <v>221</v>
      </c>
      <c r="C4" s="16" t="s">
        <v>222</v>
      </c>
      <c r="D4" s="16" t="s">
        <v>223</v>
      </c>
      <c r="E4" s="16" t="s">
        <v>5</v>
      </c>
      <c r="F4" s="16" t="s">
        <v>6</v>
      </c>
      <c r="G4" s="16" t="s">
        <v>251</v>
      </c>
      <c r="H4" s="16" t="s">
        <v>7</v>
      </c>
      <c r="I4" s="16" t="s">
        <v>225</v>
      </c>
    </row>
    <row r="5" spans="1:9" ht="16.95" customHeight="1" x14ac:dyDescent="0.3">
      <c r="A5" s="29">
        <v>1</v>
      </c>
      <c r="B5" s="30" t="str">
        <f>IFERROR(INDEX(DATA_TECH!$A$4:$A$91,MATCH(LARGE(DATA_TECH!$C$4:$C$91,1),DATA_TECH!$C$4:$C$91,0)),"")</f>
        <v>NVDA</v>
      </c>
      <c r="C5" s="9" t="str">
        <f>IFERROR(INDEX(DATA_TECH!$B$4:$B$91,MATCH(LARGE(DATA_TECH!$C$4:$C$91,1),DATA_TECH!$C$4:$C$91,0)),"")</f>
        <v>NVIDIA Corporation</v>
      </c>
      <c r="D5" s="31">
        <f>LARGE(DATA_TECH!$C$4:$C$91,1)</f>
        <v>88</v>
      </c>
      <c r="E5" s="71">
        <f>IFERROR(INDEX(DATA_TECH!$D$4:$D$91,MATCH(LARGE(DATA_TECH!$C$4:$C$91,1),DATA_TECH!$C$4:$C$91,0)),"")</f>
        <v>0</v>
      </c>
      <c r="F5" s="71">
        <f>IFERROR(INDEX(DATA_TECH!$E$4:$E$91,MATCH(LARGE(DATA_TECH!$C$4:$C$91,1),DATA_TECH!$C$4:$C$91,0)),"")</f>
        <v>0</v>
      </c>
      <c r="G5" s="73">
        <f>IFERROR(INDEX(DATA_TECH!$F$4:$F$91,MATCH(LARGE(DATA_TECH!$C$4:$C$91,1),DATA_TECH!$C$4:$C$91,0)),"")</f>
        <v>66.900000000000006</v>
      </c>
      <c r="H5" s="73">
        <f>IFERROR(INDEX(DATA_TECH!$G$4:$G$91,MATCH(LARGE(DATA_TECH!$C$4:$C$91,1),DATA_TECH!$C$4:$C$91,0)),"")</f>
        <v>76.3</v>
      </c>
      <c r="I5" s="73">
        <f>IFERROR(INDEX(DATA_TECH!$H$4:$H$91,MATCH(LARGE(DATA_TECH!$C$4:$C$91,1),DATA_TECH!$C$4:$C$91,0)),"")</f>
        <v>65.5</v>
      </c>
    </row>
    <row r="6" spans="1:9" ht="16.95" customHeight="1" x14ac:dyDescent="0.3">
      <c r="A6" s="34">
        <v>2</v>
      </c>
      <c r="B6" s="35" t="str">
        <f>IFERROR(INDEX(DATA_TECH!$A$4:$A$91,MATCH(LARGE(DATA_TECH!$C$4:$C$91,2),DATA_TECH!$C$4:$C$91,0)),"")</f>
        <v>ANET</v>
      </c>
      <c r="C6" s="13" t="str">
        <f>IFERROR(INDEX(DATA_TECH!$B$4:$B$91,MATCH(LARGE(DATA_TECH!$C$4:$C$91,2),DATA_TECH!$C$4:$C$91,0)),"")</f>
        <v>Arista Networks, Inc.</v>
      </c>
      <c r="D6" s="36">
        <f>LARGE(DATA_TECH!$C$4:$C$91,2)</f>
        <v>84</v>
      </c>
      <c r="E6" s="72">
        <f>IFERROR(INDEX(DATA_TECH!$D$4:$D$91,MATCH(LARGE(DATA_TECH!$C$4:$C$91,2),DATA_TECH!$C$4:$C$91,0)),"")</f>
        <v>0</v>
      </c>
      <c r="F6" s="72">
        <f>IFERROR(INDEX(DATA_TECH!$E$4:$E$91,MATCH(LARGE(DATA_TECH!$C$4:$C$91,2),DATA_TECH!$C$4:$C$91,0)),"")</f>
        <v>0</v>
      </c>
      <c r="G6" s="74">
        <f>IFERROR(INDEX(DATA_TECH!$F$4:$F$91,MATCH(LARGE(DATA_TECH!$C$4:$C$91,2),DATA_TECH!$C$4:$C$91,0)),"")</f>
        <v>43.6</v>
      </c>
      <c r="H6" s="74">
        <f>IFERROR(INDEX(DATA_TECH!$G$4:$G$91,MATCH(LARGE(DATA_TECH!$C$4:$C$91,2),DATA_TECH!$C$4:$C$91,0)),"")</f>
        <v>28.4</v>
      </c>
      <c r="I6" s="74">
        <f>IFERROR(INDEX(DATA_TECH!$H$4:$H$91,MATCH(LARGE(DATA_TECH!$C$4:$C$91,2),DATA_TECH!$C$4:$C$91,0)),"")</f>
        <v>28.6</v>
      </c>
    </row>
    <row r="7" spans="1:9" ht="16.95" customHeight="1" x14ac:dyDescent="0.3">
      <c r="A7" s="29">
        <v>3</v>
      </c>
      <c r="B7" s="30" t="str">
        <f>IFERROR(INDEX(DATA_TECH!$A$4:$A$91,MATCH(LARGE(DATA_TECH!$C$4:$C$91,3),DATA_TECH!$C$4:$C$91,0)),"")</f>
        <v>AVGO</v>
      </c>
      <c r="C7" s="9" t="str">
        <f>IFERROR(INDEX(DATA_TECH!$B$4:$B$91,MATCH(LARGE(DATA_TECH!$C$4:$C$91,3),DATA_TECH!$C$4:$C$91,0)),"")</f>
        <v>Broadcom Inc.</v>
      </c>
      <c r="D7" s="31">
        <f>LARGE(DATA_TECH!$C$4:$C$91,3)</f>
        <v>83</v>
      </c>
      <c r="E7" s="71">
        <f>IFERROR(INDEX(DATA_TECH!$D$4:$D$91,MATCH(LARGE(DATA_TECH!$C$4:$C$91,3),DATA_TECH!$C$4:$C$91,0)),"")</f>
        <v>0</v>
      </c>
      <c r="F7" s="71">
        <f>IFERROR(INDEX(DATA_TECH!$E$4:$E$91,MATCH(LARGE(DATA_TECH!$C$4:$C$91,3),DATA_TECH!$C$4:$C$91,0)),"")</f>
        <v>0</v>
      </c>
      <c r="G7" s="73">
        <f>IFERROR(INDEX(DATA_TECH!$F$4:$F$91,MATCH(LARGE(DATA_TECH!$C$4:$C$91,3),DATA_TECH!$C$4:$C$91,0)),"")</f>
        <v>54.3</v>
      </c>
      <c r="H7" s="73">
        <f>IFERROR(INDEX(DATA_TECH!$G$4:$G$91,MATCH(LARGE(DATA_TECH!$C$4:$C$91,3),DATA_TECH!$C$4:$C$91,0)),"")</f>
        <v>28.4</v>
      </c>
      <c r="I7" s="73">
        <f>IFERROR(INDEX(DATA_TECH!$H$4:$H$91,MATCH(LARGE(DATA_TECH!$C$4:$C$91,3),DATA_TECH!$C$4:$C$91,0)),"")</f>
        <v>23.9</v>
      </c>
    </row>
    <row r="8" spans="1:9" ht="16.95" customHeight="1" x14ac:dyDescent="0.3">
      <c r="A8" s="34">
        <v>4</v>
      </c>
      <c r="B8" s="35" t="str">
        <f>IFERROR(INDEX(DATA_TECH!$A$4:$A$91,MATCH(LARGE(DATA_TECH!$C$4:$C$91,4),DATA_TECH!$C$4:$C$91,0)),"")</f>
        <v>AMD</v>
      </c>
      <c r="C8" s="13" t="str">
        <f>IFERROR(INDEX(DATA_TECH!$B$4:$B$91,MATCH(LARGE(DATA_TECH!$C$4:$C$91,4),DATA_TECH!$C$4:$C$91,0)),"")</f>
        <v>Advanced Micro Devices, Inc.</v>
      </c>
      <c r="D8" s="36">
        <f>LARGE(DATA_TECH!$C$4:$C$91,4)</f>
        <v>73</v>
      </c>
      <c r="E8" s="72">
        <f>IFERROR(INDEX(DATA_TECH!$D$4:$D$91,MATCH(LARGE(DATA_TECH!$C$4:$C$91,4),DATA_TECH!$C$4:$C$91,0)),"")</f>
        <v>0</v>
      </c>
      <c r="F8" s="72">
        <f>IFERROR(INDEX(DATA_TECH!$E$4:$E$91,MATCH(LARGE(DATA_TECH!$C$4:$C$91,4),DATA_TECH!$C$4:$C$91,0)),"")</f>
        <v>0</v>
      </c>
      <c r="G8" s="74">
        <f>IFERROR(INDEX(DATA_TECH!$F$4:$F$91,MATCH(LARGE(DATA_TECH!$C$4:$C$91,4),DATA_TECH!$C$4:$C$91,0)),"")</f>
        <v>21</v>
      </c>
      <c r="H8" s="74">
        <f>IFERROR(INDEX(DATA_TECH!$G$4:$G$91,MATCH(LARGE(DATA_TECH!$C$4:$C$91,4),DATA_TECH!$C$4:$C$91,0)),"")</f>
        <v>6.9</v>
      </c>
      <c r="I8" s="74">
        <f>IFERROR(INDEX(DATA_TECH!$H$4:$H$91,MATCH(LARGE(DATA_TECH!$C$4:$C$91,4),DATA_TECH!$C$4:$C$91,0)),"")</f>
        <v>34.299999999999997</v>
      </c>
    </row>
    <row r="9" spans="1:9" ht="16.95" customHeight="1" x14ac:dyDescent="0.3">
      <c r="A9" s="29">
        <v>5</v>
      </c>
      <c r="B9" s="30" t="str">
        <f>IFERROR(INDEX(DATA_TECH!$A$4:$A$91,MATCH(LARGE(DATA_TECH!$C$4:$C$91,5),DATA_TECH!$C$4:$C$91,0)),"")</f>
        <v>AMD</v>
      </c>
      <c r="C9" s="9" t="str">
        <f>IFERROR(INDEX(DATA_TECH!$B$4:$B$91,MATCH(LARGE(DATA_TECH!$C$4:$C$91,5),DATA_TECH!$C$4:$C$91,0)),"")</f>
        <v>Advanced Micro Devices, Inc.</v>
      </c>
      <c r="D9" s="31">
        <f>LARGE(DATA_TECH!$C$4:$C$91,5)</f>
        <v>73</v>
      </c>
      <c r="E9" s="71">
        <f>IFERROR(INDEX(DATA_TECH!$D$4:$D$91,MATCH(LARGE(DATA_TECH!$C$4:$C$91,5),DATA_TECH!$C$4:$C$91,0)),"")</f>
        <v>0</v>
      </c>
      <c r="F9" s="71">
        <f>IFERROR(INDEX(DATA_TECH!$E$4:$E$91,MATCH(LARGE(DATA_TECH!$C$4:$C$91,5),DATA_TECH!$C$4:$C$91,0)),"")</f>
        <v>0</v>
      </c>
      <c r="G9" s="73">
        <f>IFERROR(INDEX(DATA_TECH!$F$4:$F$91,MATCH(LARGE(DATA_TECH!$C$4:$C$91,5),DATA_TECH!$C$4:$C$91,0)),"")</f>
        <v>21</v>
      </c>
      <c r="H9" s="73">
        <f>IFERROR(INDEX(DATA_TECH!$G$4:$G$91,MATCH(LARGE(DATA_TECH!$C$4:$C$91,5),DATA_TECH!$C$4:$C$91,0)),"")</f>
        <v>6.9</v>
      </c>
      <c r="I9" s="73">
        <f>IFERROR(INDEX(DATA_TECH!$H$4:$H$91,MATCH(LARGE(DATA_TECH!$C$4:$C$91,5),DATA_TECH!$C$4:$C$91,0)),"")</f>
        <v>34.299999999999997</v>
      </c>
    </row>
    <row r="10" spans="1:9" ht="16.95" customHeight="1" x14ac:dyDescent="0.3">
      <c r="A10" s="34">
        <v>6</v>
      </c>
      <c r="B10" s="35" t="str">
        <f>IFERROR(INDEX(DATA_TECH!$A$4:$A$91,MATCH(LARGE(DATA_TECH!$C$4:$C$91,6),DATA_TECH!$C$4:$C$91,0)),"")</f>
        <v>ASML.AS</v>
      </c>
      <c r="C10" s="13" t="str">
        <f>IFERROR(INDEX(DATA_TECH!$B$4:$B$91,MATCH(LARGE(DATA_TECH!$C$4:$C$91,6),DATA_TECH!$C$4:$C$91,0)),"")</f>
        <v>ASML Holding N.V.</v>
      </c>
      <c r="D10" s="36">
        <f>LARGE(DATA_TECH!$C$4:$C$91,6)</f>
        <v>72</v>
      </c>
      <c r="E10" s="72">
        <f>IFERROR(INDEX(DATA_TECH!$D$4:$D$91,MATCH(LARGE(DATA_TECH!$C$4:$C$91,6),DATA_TECH!$C$4:$C$91,0)),"")</f>
        <v>0</v>
      </c>
      <c r="F10" s="72">
        <f>IFERROR(INDEX(DATA_TECH!$E$4:$E$91,MATCH(LARGE(DATA_TECH!$C$4:$C$91,6),DATA_TECH!$C$4:$C$91,0)),"")</f>
        <v>0</v>
      </c>
      <c r="G10" s="74">
        <f>IFERROR(INDEX(DATA_TECH!$F$4:$F$91,MATCH(LARGE(DATA_TECH!$C$4:$C$91,6),DATA_TECH!$C$4:$C$91,0)),"")</f>
        <v>38.4</v>
      </c>
      <c r="H10" s="74">
        <f>IFERROR(INDEX(DATA_TECH!$G$4:$G$91,MATCH(LARGE(DATA_TECH!$C$4:$C$91,6),DATA_TECH!$C$4:$C$91,0)),"")</f>
        <v>49</v>
      </c>
      <c r="I10" s="74">
        <f>IFERROR(INDEX(DATA_TECH!$H$4:$H$91,MATCH(LARGE(DATA_TECH!$C$4:$C$91,6),DATA_TECH!$C$4:$C$91,0)),"")</f>
        <v>15.6</v>
      </c>
    </row>
    <row r="11" spans="1:9" ht="16.95" customHeight="1" x14ac:dyDescent="0.3">
      <c r="A11" s="29">
        <v>7</v>
      </c>
      <c r="B11" s="30" t="str">
        <f>IFERROR(INDEX(DATA_TECH!$A$4:$A$91,MATCH(LARGE(DATA_TECH!$C$4:$C$91,7),DATA_TECH!$C$4:$C$91,0)),"")</f>
        <v>ADI</v>
      </c>
      <c r="C11" s="9" t="str">
        <f>IFERROR(INDEX(DATA_TECH!$B$4:$B$91,MATCH(LARGE(DATA_TECH!$C$4:$C$91,7),DATA_TECH!$C$4:$C$91,0)),"")</f>
        <v>Analog Devices, Inc.</v>
      </c>
      <c r="D11" s="31">
        <f>LARGE(DATA_TECH!$C$4:$C$91,7)</f>
        <v>71</v>
      </c>
      <c r="E11" s="71">
        <f>IFERROR(INDEX(DATA_TECH!$D$4:$D$91,MATCH(LARGE(DATA_TECH!$C$4:$C$91,7),DATA_TECH!$C$4:$C$91,0)),"")</f>
        <v>0</v>
      </c>
      <c r="F11" s="71">
        <f>IFERROR(INDEX(DATA_TECH!$E$4:$E$91,MATCH(LARGE(DATA_TECH!$C$4:$C$91,7),DATA_TECH!$C$4:$C$91,0)),"")</f>
        <v>0</v>
      </c>
      <c r="G11" s="73">
        <f>IFERROR(INDEX(DATA_TECH!$F$4:$F$91,MATCH(LARGE(DATA_TECH!$C$4:$C$91,7),DATA_TECH!$C$4:$C$91,0)),"")</f>
        <v>45.6</v>
      </c>
      <c r="H11" s="73">
        <f>IFERROR(INDEX(DATA_TECH!$G$4:$G$91,MATCH(LARGE(DATA_TECH!$C$4:$C$91,7),DATA_TECH!$C$4:$C$91,0)),"")</f>
        <v>6.7</v>
      </c>
      <c r="I11" s="73">
        <f>IFERROR(INDEX(DATA_TECH!$H$4:$H$91,MATCH(LARGE(DATA_TECH!$C$4:$C$91,7),DATA_TECH!$C$4:$C$91,0)),"")</f>
        <v>16.899999999999999</v>
      </c>
    </row>
    <row r="12" spans="1:9" ht="16.95" customHeight="1" x14ac:dyDescent="0.3">
      <c r="A12" s="34">
        <v>8</v>
      </c>
      <c r="B12" s="35" t="str">
        <f>IFERROR(INDEX(DATA_TECH!$A$4:$A$91,MATCH(LARGE(DATA_TECH!$C$4:$C$91,8),DATA_TECH!$C$4:$C$91,0)),"")</f>
        <v>GLW</v>
      </c>
      <c r="C12" s="13" t="str">
        <f>IFERROR(INDEX(DATA_TECH!$B$4:$B$91,MATCH(LARGE(DATA_TECH!$C$4:$C$91,8),DATA_TECH!$C$4:$C$91,0)),"")</f>
        <v>Corning Incorporated</v>
      </c>
      <c r="D12" s="36">
        <f>LARGE(DATA_TECH!$C$4:$C$91,8)</f>
        <v>68</v>
      </c>
      <c r="E12" s="72">
        <f>IFERROR(INDEX(DATA_TECH!$D$4:$D$91,MATCH(LARGE(DATA_TECH!$C$4:$C$91,8),DATA_TECH!$C$4:$C$91,0)),"")</f>
        <v>0</v>
      </c>
      <c r="F12" s="72">
        <f>IFERROR(INDEX(DATA_TECH!$E$4:$E$91,MATCH(LARGE(DATA_TECH!$C$4:$C$91,8),DATA_TECH!$C$4:$C$91,0)),"")</f>
        <v>0</v>
      </c>
      <c r="G12" s="74">
        <f>IFERROR(INDEX(DATA_TECH!$F$4:$F$91,MATCH(LARGE(DATA_TECH!$C$4:$C$91,8),DATA_TECH!$C$4:$C$91,0)),"")</f>
        <v>23.9</v>
      </c>
      <c r="H12" s="74">
        <f>IFERROR(INDEX(DATA_TECH!$G$4:$G$91,MATCH(LARGE(DATA_TECH!$C$4:$C$91,8),DATA_TECH!$C$4:$C$91,0)),"")</f>
        <v>13.5</v>
      </c>
      <c r="I12" s="74">
        <f>IFERROR(INDEX(DATA_TECH!$H$4:$H$91,MATCH(LARGE(DATA_TECH!$C$4:$C$91,8),DATA_TECH!$C$4:$C$91,0)),"")</f>
        <v>19.100000000000001</v>
      </c>
    </row>
    <row r="13" spans="1:9" ht="16.95" customHeight="1" x14ac:dyDescent="0.3">
      <c r="A13" s="29">
        <v>9</v>
      </c>
      <c r="B13" s="30" t="str">
        <f>IFERROR(INDEX(DATA_TECH!$A$4:$A$91,MATCH(LARGE(DATA_TECH!$C$4:$C$91,9),DATA_TECH!$C$4:$C$91,0)),"")</f>
        <v>GLW</v>
      </c>
      <c r="C13" s="9" t="str">
        <f>IFERROR(INDEX(DATA_TECH!$B$4:$B$91,MATCH(LARGE(DATA_TECH!$C$4:$C$91,9),DATA_TECH!$C$4:$C$91,0)),"")</f>
        <v>Corning Incorporated</v>
      </c>
      <c r="D13" s="31">
        <f>LARGE(DATA_TECH!$C$4:$C$91,9)</f>
        <v>68</v>
      </c>
      <c r="E13" s="71">
        <f>IFERROR(INDEX(DATA_TECH!$D$4:$D$91,MATCH(LARGE(DATA_TECH!$C$4:$C$91,9),DATA_TECH!$C$4:$C$91,0)),"")</f>
        <v>0</v>
      </c>
      <c r="F13" s="71">
        <f>IFERROR(INDEX(DATA_TECH!$E$4:$E$91,MATCH(LARGE(DATA_TECH!$C$4:$C$91,9),DATA_TECH!$C$4:$C$91,0)),"")</f>
        <v>0</v>
      </c>
      <c r="G13" s="73">
        <f>IFERROR(INDEX(DATA_TECH!$F$4:$F$91,MATCH(LARGE(DATA_TECH!$C$4:$C$91,9),DATA_TECH!$C$4:$C$91,0)),"")</f>
        <v>23.9</v>
      </c>
      <c r="H13" s="73">
        <f>IFERROR(INDEX(DATA_TECH!$G$4:$G$91,MATCH(LARGE(DATA_TECH!$C$4:$C$91,9),DATA_TECH!$C$4:$C$91,0)),"")</f>
        <v>13.5</v>
      </c>
      <c r="I13" s="73">
        <f>IFERROR(INDEX(DATA_TECH!$H$4:$H$91,MATCH(LARGE(DATA_TECH!$C$4:$C$91,9),DATA_TECH!$C$4:$C$91,0)),"")</f>
        <v>19.100000000000001</v>
      </c>
    </row>
    <row r="14" spans="1:9" ht="16.95" customHeight="1" x14ac:dyDescent="0.3">
      <c r="A14" s="34">
        <v>10</v>
      </c>
      <c r="B14" s="35" t="str">
        <f>IFERROR(INDEX(DATA_TECH!$A$4:$A$91,MATCH(LARGE(DATA_TECH!$C$4:$C$91,10),DATA_TECH!$C$4:$C$91,0)),"")</f>
        <v>APH</v>
      </c>
      <c r="C14" s="13" t="str">
        <f>IFERROR(INDEX(DATA_TECH!$B$4:$B$91,MATCH(LARGE(DATA_TECH!$C$4:$C$91,10),DATA_TECH!$C$4:$C$91,0)),"")</f>
        <v>Amphenol Corporation</v>
      </c>
      <c r="D14" s="36">
        <f>LARGE(DATA_TECH!$C$4:$C$91,10)</f>
        <v>67</v>
      </c>
      <c r="E14" s="72">
        <f>IFERROR(INDEX(DATA_TECH!$D$4:$D$91,MATCH(LARGE(DATA_TECH!$C$4:$C$91,10),DATA_TECH!$C$4:$C$91,0)),"")</f>
        <v>0</v>
      </c>
      <c r="F14" s="72">
        <f>IFERROR(INDEX(DATA_TECH!$E$4:$E$91,MATCH(LARGE(DATA_TECH!$C$4:$C$91,10),DATA_TECH!$C$4:$C$91,0)),"")</f>
        <v>0</v>
      </c>
      <c r="G14" s="74">
        <f>IFERROR(INDEX(DATA_TECH!$F$4:$F$91,MATCH(LARGE(DATA_TECH!$C$4:$C$91,10),DATA_TECH!$C$4:$C$91,0)),"")</f>
        <v>29.8</v>
      </c>
      <c r="H14" s="74">
        <f>IFERROR(INDEX(DATA_TECH!$G$4:$G$91,MATCH(LARGE(DATA_TECH!$C$4:$C$91,10),DATA_TECH!$C$4:$C$91,0)),"")</f>
        <v>31.8</v>
      </c>
      <c r="I14" s="74">
        <f>IFERROR(INDEX(DATA_TECH!$H$4:$H$91,MATCH(LARGE(DATA_TECH!$C$4:$C$91,10),DATA_TECH!$C$4:$C$91,0)),"")</f>
        <v>51.7</v>
      </c>
    </row>
    <row r="15" spans="1:9" ht="16.95" customHeight="1" x14ac:dyDescent="0.3">
      <c r="A15" s="29">
        <v>11</v>
      </c>
      <c r="B15" s="30" t="str">
        <f>IFERROR(INDEX(DATA_TECH!$A$4:$A$91,MATCH(LARGE(DATA_TECH!$C$4:$C$91,11),DATA_TECH!$C$4:$C$91,0)),"")</f>
        <v>APH</v>
      </c>
      <c r="C15" s="9" t="str">
        <f>IFERROR(INDEX(DATA_TECH!$B$4:$B$91,MATCH(LARGE(DATA_TECH!$C$4:$C$91,11),DATA_TECH!$C$4:$C$91,0)),"")</f>
        <v>Amphenol Corporation</v>
      </c>
      <c r="D15" s="31">
        <f>LARGE(DATA_TECH!$C$4:$C$91,11)</f>
        <v>67</v>
      </c>
      <c r="E15" s="71">
        <f>IFERROR(INDEX(DATA_TECH!$D$4:$D$91,MATCH(LARGE(DATA_TECH!$C$4:$C$91,11),DATA_TECH!$C$4:$C$91,0)),"")</f>
        <v>0</v>
      </c>
      <c r="F15" s="71">
        <f>IFERROR(INDEX(DATA_TECH!$E$4:$E$91,MATCH(LARGE(DATA_TECH!$C$4:$C$91,11),DATA_TECH!$C$4:$C$91,0)),"")</f>
        <v>0</v>
      </c>
      <c r="G15" s="73">
        <f>IFERROR(INDEX(DATA_TECH!$F$4:$F$91,MATCH(LARGE(DATA_TECH!$C$4:$C$91,11),DATA_TECH!$C$4:$C$91,0)),"")</f>
        <v>29.8</v>
      </c>
      <c r="H15" s="73">
        <f>IFERROR(INDEX(DATA_TECH!$G$4:$G$91,MATCH(LARGE(DATA_TECH!$C$4:$C$91,11),DATA_TECH!$C$4:$C$91,0)),"")</f>
        <v>31.8</v>
      </c>
      <c r="I15" s="73">
        <f>IFERROR(INDEX(DATA_TECH!$H$4:$H$91,MATCH(LARGE(DATA_TECH!$C$4:$C$91,11),DATA_TECH!$C$4:$C$91,0)),"")</f>
        <v>51.7</v>
      </c>
    </row>
    <row r="16" spans="1:9" ht="16.95" customHeight="1" x14ac:dyDescent="0.3">
      <c r="A16" s="34">
        <v>12</v>
      </c>
      <c r="B16" s="35" t="str">
        <f>IFERROR(INDEX(DATA_TECH!$A$4:$A$91,MATCH(LARGE(DATA_TECH!$C$4:$C$91,12),DATA_TECH!$C$4:$C$91,0)),"")</f>
        <v>CDNS</v>
      </c>
      <c r="C16" s="13" t="str">
        <f>IFERROR(INDEX(DATA_TECH!$B$4:$B$91,MATCH(LARGE(DATA_TECH!$C$4:$C$91,12),DATA_TECH!$C$4:$C$91,0)),"")</f>
        <v>Cadence Design Systems, Inc.</v>
      </c>
      <c r="D16" s="36">
        <f>LARGE(DATA_TECH!$C$4:$C$91,12)</f>
        <v>66</v>
      </c>
      <c r="E16" s="72">
        <f>IFERROR(INDEX(DATA_TECH!$D$4:$D$91,MATCH(LARGE(DATA_TECH!$C$4:$C$91,12),DATA_TECH!$C$4:$C$91,0)),"")</f>
        <v>0</v>
      </c>
      <c r="F16" s="72">
        <f>IFERROR(INDEX(DATA_TECH!$E$4:$E$91,MATCH(LARGE(DATA_TECH!$C$4:$C$91,12),DATA_TECH!$C$4:$C$91,0)),"")</f>
        <v>0</v>
      </c>
      <c r="G16" s="74">
        <f>IFERROR(INDEX(DATA_TECH!$F$4:$F$91,MATCH(LARGE(DATA_TECH!$C$4:$C$91,12),DATA_TECH!$C$4:$C$91,0)),"")</f>
        <v>35.4</v>
      </c>
      <c r="H16" s="74">
        <f>IFERROR(INDEX(DATA_TECH!$G$4:$G$91,MATCH(LARGE(DATA_TECH!$C$4:$C$91,12),DATA_TECH!$C$4:$C$91,0)),"")</f>
        <v>20.3</v>
      </c>
      <c r="I16" s="74">
        <f>IFERROR(INDEX(DATA_TECH!$H$4:$H$91,MATCH(LARGE(DATA_TECH!$C$4:$C$91,12),DATA_TECH!$C$4:$C$91,0)),"")</f>
        <v>14.1</v>
      </c>
    </row>
    <row r="17" spans="1:9" ht="16.95" customHeight="1" x14ac:dyDescent="0.3">
      <c r="A17" s="29">
        <v>13</v>
      </c>
      <c r="B17" s="30" t="str">
        <f>IFERROR(INDEX(DATA_TECH!$A$4:$A$91,MATCH(LARGE(DATA_TECH!$C$4:$C$91,13),DATA_TECH!$C$4:$C$91,0)),"")</f>
        <v>CDNS</v>
      </c>
      <c r="C17" s="9" t="str">
        <f>IFERROR(INDEX(DATA_TECH!$B$4:$B$91,MATCH(LARGE(DATA_TECH!$C$4:$C$91,13),DATA_TECH!$C$4:$C$91,0)),"")</f>
        <v>Cadence Design Systems, Inc.</v>
      </c>
      <c r="D17" s="31">
        <f>LARGE(DATA_TECH!$C$4:$C$91,13)</f>
        <v>66</v>
      </c>
      <c r="E17" s="71">
        <f>IFERROR(INDEX(DATA_TECH!$D$4:$D$91,MATCH(LARGE(DATA_TECH!$C$4:$C$91,13),DATA_TECH!$C$4:$C$91,0)),"")</f>
        <v>0</v>
      </c>
      <c r="F17" s="71">
        <f>IFERROR(INDEX(DATA_TECH!$E$4:$E$91,MATCH(LARGE(DATA_TECH!$C$4:$C$91,13),DATA_TECH!$C$4:$C$91,0)),"")</f>
        <v>0</v>
      </c>
      <c r="G17" s="73">
        <f>IFERROR(INDEX(DATA_TECH!$F$4:$F$91,MATCH(LARGE(DATA_TECH!$C$4:$C$91,13),DATA_TECH!$C$4:$C$91,0)),"")</f>
        <v>35.4</v>
      </c>
      <c r="H17" s="73">
        <f>IFERROR(INDEX(DATA_TECH!$G$4:$G$91,MATCH(LARGE(DATA_TECH!$C$4:$C$91,13),DATA_TECH!$C$4:$C$91,0)),"")</f>
        <v>20.3</v>
      </c>
      <c r="I17" s="73">
        <f>IFERROR(INDEX(DATA_TECH!$H$4:$H$91,MATCH(LARGE(DATA_TECH!$C$4:$C$91,13),DATA_TECH!$C$4:$C$91,0)),"")</f>
        <v>14.1</v>
      </c>
    </row>
    <row r="18" spans="1:9" ht="16.95" customHeight="1" x14ac:dyDescent="0.3">
      <c r="A18" s="34">
        <v>14</v>
      </c>
      <c r="B18" s="35" t="str">
        <f>IFERROR(INDEX(DATA_TECH!$A$4:$A$91,MATCH(LARGE(DATA_TECH!$C$4:$C$91,14),DATA_TECH!$C$4:$C$91,0)),"")</f>
        <v>GRMN</v>
      </c>
      <c r="C18" s="13" t="str">
        <f>IFERROR(INDEX(DATA_TECH!$B$4:$B$91,MATCH(LARGE(DATA_TECH!$C$4:$C$91,14),DATA_TECH!$C$4:$C$91,0)),"")</f>
        <v>Garmin Ltd.</v>
      </c>
      <c r="D18" s="36">
        <f>LARGE(DATA_TECH!$C$4:$C$91,14)</f>
        <v>65</v>
      </c>
      <c r="E18" s="72">
        <f>IFERROR(INDEX(DATA_TECH!$D$4:$D$91,MATCH(LARGE(DATA_TECH!$C$4:$C$91,14),DATA_TECH!$C$4:$C$91,0)),"")</f>
        <v>0</v>
      </c>
      <c r="F18" s="72">
        <f>IFERROR(INDEX(DATA_TECH!$E$4:$E$91,MATCH(LARGE(DATA_TECH!$C$4:$C$91,14),DATA_TECH!$C$4:$C$91,0)),"")</f>
        <v>0</v>
      </c>
      <c r="G18" s="74">
        <f>IFERROR(INDEX(DATA_TECH!$F$4:$F$91,MATCH(LARGE(DATA_TECH!$C$4:$C$91,14),DATA_TECH!$C$4:$C$91,0)),"")</f>
        <v>28.5</v>
      </c>
      <c r="H18" s="74">
        <f>IFERROR(INDEX(DATA_TECH!$G$4:$G$91,MATCH(LARGE(DATA_TECH!$C$4:$C$91,14),DATA_TECH!$C$4:$C$91,0)),"")</f>
        <v>18.5</v>
      </c>
      <c r="I18" s="74">
        <f>IFERROR(INDEX(DATA_TECH!$H$4:$H$91,MATCH(LARGE(DATA_TECH!$C$4:$C$91,14),DATA_TECH!$C$4:$C$91,0)),"")</f>
        <v>15.1</v>
      </c>
    </row>
    <row r="19" spans="1:9" ht="16.95" customHeight="1" x14ac:dyDescent="0.3">
      <c r="A19" s="29">
        <v>15</v>
      </c>
      <c r="B19" s="30" t="str">
        <f>IFERROR(INDEX(DATA_TECH!$A$4:$A$91,MATCH(LARGE(DATA_TECH!$C$4:$C$91,15),DATA_TECH!$C$4:$C$91,0)),"")</f>
        <v>ADSK</v>
      </c>
      <c r="C19" s="9" t="str">
        <f>IFERROR(INDEX(DATA_TECH!$B$4:$B$91,MATCH(LARGE(DATA_TECH!$C$4:$C$91,15),DATA_TECH!$C$4:$C$91,0)),"")</f>
        <v>Autodesk, Inc.</v>
      </c>
      <c r="D19" s="31">
        <f>LARGE(DATA_TECH!$C$4:$C$91,15)</f>
        <v>64</v>
      </c>
      <c r="E19" s="71">
        <f>IFERROR(INDEX(DATA_TECH!$D$4:$D$91,MATCH(LARGE(DATA_TECH!$C$4:$C$91,15),DATA_TECH!$C$4:$C$91,0)),"")</f>
        <v>0</v>
      </c>
      <c r="F19" s="71">
        <f>IFERROR(INDEX(DATA_TECH!$E$4:$E$91,MATCH(LARGE(DATA_TECH!$C$4:$C$91,15),DATA_TECH!$C$4:$C$91,0)),"")</f>
        <v>0</v>
      </c>
      <c r="G19" s="73">
        <f>IFERROR(INDEX(DATA_TECH!$F$4:$F$91,MATCH(LARGE(DATA_TECH!$C$4:$C$91,15),DATA_TECH!$C$4:$C$91,0)),"")</f>
        <v>27.6</v>
      </c>
      <c r="H19" s="73">
        <f>IFERROR(INDEX(DATA_TECH!$G$4:$G$91,MATCH(LARGE(DATA_TECH!$C$4:$C$91,15),DATA_TECH!$C$4:$C$91,0)),"")</f>
        <v>36.9</v>
      </c>
      <c r="I19" s="73">
        <f>IFERROR(INDEX(DATA_TECH!$H$4:$H$91,MATCH(LARGE(DATA_TECH!$C$4:$C$91,15),DATA_TECH!$C$4:$C$91,0)),"")</f>
        <v>17.5</v>
      </c>
    </row>
    <row r="20" spans="1:9" ht="16.95" customHeight="1" x14ac:dyDescent="0.3">
      <c r="A20" s="34">
        <v>16</v>
      </c>
      <c r="B20" s="35" t="str">
        <f>IFERROR(INDEX(DATA_TECH!$A$4:$A$91,MATCH(LARGE(DATA_TECH!$C$4:$C$91,16),DATA_TECH!$C$4:$C$91,0)),"")</f>
        <v>MSFT</v>
      </c>
      <c r="C20" s="13" t="str">
        <f>IFERROR(INDEX(DATA_TECH!$B$4:$B$91,MATCH(LARGE(DATA_TECH!$C$4:$C$91,16),DATA_TECH!$C$4:$C$91,0)),"")</f>
        <v>Microsoft Corporation</v>
      </c>
      <c r="D20" s="36">
        <f>LARGE(DATA_TECH!$C$4:$C$91,16)</f>
        <v>63</v>
      </c>
      <c r="E20" s="72">
        <f>IFERROR(INDEX(DATA_TECH!$D$4:$D$91,MATCH(LARGE(DATA_TECH!$C$4:$C$91,16),DATA_TECH!$C$4:$C$91,0)),"")</f>
        <v>0</v>
      </c>
      <c r="F20" s="72">
        <f>IFERROR(INDEX(DATA_TECH!$E$4:$E$91,MATCH(LARGE(DATA_TECH!$C$4:$C$91,16),DATA_TECH!$C$4:$C$91,0)),"")</f>
        <v>0</v>
      </c>
      <c r="G20" s="74">
        <f>IFERROR(INDEX(DATA_TECH!$F$4:$F$91,MATCH(LARGE(DATA_TECH!$C$4:$C$91,16),DATA_TECH!$C$4:$C$91,0)),"")</f>
        <v>56.9</v>
      </c>
      <c r="H20" s="74">
        <f>IFERROR(INDEX(DATA_TECH!$G$4:$G$91,MATCH(LARGE(DATA_TECH!$C$4:$C$91,16),DATA_TECH!$C$4:$C$91,0)),"")</f>
        <v>29.6</v>
      </c>
      <c r="I20" s="74">
        <f>IFERROR(INDEX(DATA_TECH!$H$4:$H$91,MATCH(LARGE(DATA_TECH!$C$4:$C$91,16),DATA_TECH!$C$4:$C$91,0)),"")</f>
        <v>14.9</v>
      </c>
    </row>
    <row r="21" spans="1:9" ht="16.95" customHeight="1" x14ac:dyDescent="0.3">
      <c r="A21" s="29">
        <v>17</v>
      </c>
      <c r="B21" s="30" t="str">
        <f>IFERROR(INDEX(DATA_TECH!$A$4:$A$91,MATCH(LARGE(DATA_TECH!$C$4:$C$91,17),DATA_TECH!$C$4:$C$91,0)),"")</f>
        <v>MSFT</v>
      </c>
      <c r="C21" s="9" t="str">
        <f>IFERROR(INDEX(DATA_TECH!$B$4:$B$91,MATCH(LARGE(DATA_TECH!$C$4:$C$91,17),DATA_TECH!$C$4:$C$91,0)),"")</f>
        <v>Microsoft Corporation</v>
      </c>
      <c r="D21" s="31">
        <f>LARGE(DATA_TECH!$C$4:$C$91,17)</f>
        <v>63</v>
      </c>
      <c r="E21" s="71">
        <f>IFERROR(INDEX(DATA_TECH!$D$4:$D$91,MATCH(LARGE(DATA_TECH!$C$4:$C$91,17),DATA_TECH!$C$4:$C$91,0)),"")</f>
        <v>0</v>
      </c>
      <c r="F21" s="71">
        <f>IFERROR(INDEX(DATA_TECH!$E$4:$E$91,MATCH(LARGE(DATA_TECH!$C$4:$C$91,17),DATA_TECH!$C$4:$C$91,0)),"")</f>
        <v>0</v>
      </c>
      <c r="G21" s="73">
        <f>IFERROR(INDEX(DATA_TECH!$F$4:$F$91,MATCH(LARGE(DATA_TECH!$C$4:$C$91,17),DATA_TECH!$C$4:$C$91,0)),"")</f>
        <v>56.9</v>
      </c>
      <c r="H21" s="73">
        <f>IFERROR(INDEX(DATA_TECH!$G$4:$G$91,MATCH(LARGE(DATA_TECH!$C$4:$C$91,17),DATA_TECH!$C$4:$C$91,0)),"")</f>
        <v>29.6</v>
      </c>
      <c r="I21" s="73">
        <f>IFERROR(INDEX(DATA_TECH!$H$4:$H$91,MATCH(LARGE(DATA_TECH!$C$4:$C$91,17),DATA_TECH!$C$4:$C$91,0)),"")</f>
        <v>14.9</v>
      </c>
    </row>
    <row r="22" spans="1:9" ht="16.95" customHeight="1" x14ac:dyDescent="0.3">
      <c r="A22" s="34">
        <v>18</v>
      </c>
      <c r="B22" s="35" t="str">
        <f>IFERROR(INDEX(DATA_TECH!$A$4:$A$91,MATCH(LARGE(DATA_TECH!$C$4:$C$91,18),DATA_TECH!$C$4:$C$91,0)),"")</f>
        <v>CPAY</v>
      </c>
      <c r="C22" s="13" t="str">
        <f>IFERROR(INDEX(DATA_TECH!$B$4:$B$91,MATCH(LARGE(DATA_TECH!$C$4:$C$91,18),DATA_TECH!$C$4:$C$91,0)),"")</f>
        <v>Corpay, Inc.</v>
      </c>
      <c r="D22" s="36">
        <f>LARGE(DATA_TECH!$C$4:$C$91,18)</f>
        <v>62</v>
      </c>
      <c r="E22" s="72">
        <f>IFERROR(INDEX(DATA_TECH!$D$4:$D$91,MATCH(LARGE(DATA_TECH!$C$4:$C$91,18),DATA_TECH!$C$4:$C$91,0)),"")</f>
        <v>0</v>
      </c>
      <c r="F22" s="72">
        <f>IFERROR(INDEX(DATA_TECH!$E$4:$E$91,MATCH(LARGE(DATA_TECH!$C$4:$C$91,18),DATA_TECH!$C$4:$C$91,0)),"")</f>
        <v>0</v>
      </c>
      <c r="G22" s="74">
        <f>IFERROR(INDEX(DATA_TECH!$F$4:$F$91,MATCH(LARGE(DATA_TECH!$C$4:$C$91,18),DATA_TECH!$C$4:$C$91,0)),"")</f>
        <v>51.6</v>
      </c>
      <c r="H22" s="74">
        <f>IFERROR(INDEX(DATA_TECH!$G$4:$G$91,MATCH(LARGE(DATA_TECH!$C$4:$C$91,18),DATA_TECH!$C$4:$C$91,0)),"")</f>
        <v>27.5</v>
      </c>
      <c r="I22" s="74">
        <f>IFERROR(INDEX(DATA_TECH!$H$4:$H$91,MATCH(LARGE(DATA_TECH!$C$4:$C$91,18),DATA_TECH!$C$4:$C$91,0)),"")</f>
        <v>13.9</v>
      </c>
    </row>
    <row r="23" spans="1:9" ht="16.95" customHeight="1" x14ac:dyDescent="0.3">
      <c r="A23" s="29">
        <v>19</v>
      </c>
      <c r="B23" s="30" t="str">
        <f>IFERROR(INDEX(DATA_TECH!$A$4:$A$91,MATCH(LARGE(DATA_TECH!$C$4:$C$91,19),DATA_TECH!$C$4:$C$91,0)),"")</f>
        <v>CPAY</v>
      </c>
      <c r="C23" s="9" t="str">
        <f>IFERROR(INDEX(DATA_TECH!$B$4:$B$91,MATCH(LARGE(DATA_TECH!$C$4:$C$91,19),DATA_TECH!$C$4:$C$91,0)),"")</f>
        <v>Corpay, Inc.</v>
      </c>
      <c r="D23" s="31">
        <f>LARGE(DATA_TECH!$C$4:$C$91,19)</f>
        <v>62</v>
      </c>
      <c r="E23" s="71">
        <f>IFERROR(INDEX(DATA_TECH!$D$4:$D$91,MATCH(LARGE(DATA_TECH!$C$4:$C$91,19),DATA_TECH!$C$4:$C$91,0)),"")</f>
        <v>0</v>
      </c>
      <c r="F23" s="71">
        <f>IFERROR(INDEX(DATA_TECH!$E$4:$E$91,MATCH(LARGE(DATA_TECH!$C$4:$C$91,19),DATA_TECH!$C$4:$C$91,0)),"")</f>
        <v>0</v>
      </c>
      <c r="G23" s="73">
        <f>IFERROR(INDEX(DATA_TECH!$F$4:$F$91,MATCH(LARGE(DATA_TECH!$C$4:$C$91,19),DATA_TECH!$C$4:$C$91,0)),"")</f>
        <v>51.6</v>
      </c>
      <c r="H23" s="73">
        <f>IFERROR(INDEX(DATA_TECH!$G$4:$G$91,MATCH(LARGE(DATA_TECH!$C$4:$C$91,19),DATA_TECH!$C$4:$C$91,0)),"")</f>
        <v>27.5</v>
      </c>
      <c r="I23" s="73">
        <f>IFERROR(INDEX(DATA_TECH!$H$4:$H$91,MATCH(LARGE(DATA_TECH!$C$4:$C$91,19),DATA_TECH!$C$4:$C$91,0)),"")</f>
        <v>13.9</v>
      </c>
    </row>
    <row r="24" spans="1:9" ht="16.95" customHeight="1" x14ac:dyDescent="0.3">
      <c r="A24" s="34">
        <v>20</v>
      </c>
      <c r="B24" s="35" t="str">
        <f>IFERROR(INDEX(DATA_TECH!$A$4:$A$91,MATCH(LARGE(DATA_TECH!$C$4:$C$91,20),DATA_TECH!$C$4:$C$91,0)),"")</f>
        <v>CPAY</v>
      </c>
      <c r="C24" s="13" t="str">
        <f>IFERROR(INDEX(DATA_TECH!$B$4:$B$91,MATCH(LARGE(DATA_TECH!$C$4:$C$91,20),DATA_TECH!$C$4:$C$91,0)),"")</f>
        <v>Corpay, Inc.</v>
      </c>
      <c r="D24" s="36">
        <f>LARGE(DATA_TECH!$C$4:$C$91,20)</f>
        <v>62</v>
      </c>
      <c r="E24" s="72">
        <f>IFERROR(INDEX(DATA_TECH!$D$4:$D$91,MATCH(LARGE(DATA_TECH!$C$4:$C$91,20),DATA_TECH!$C$4:$C$91,0)),"")</f>
        <v>0</v>
      </c>
      <c r="F24" s="72">
        <f>IFERROR(INDEX(DATA_TECH!$E$4:$E$91,MATCH(LARGE(DATA_TECH!$C$4:$C$91,20),DATA_TECH!$C$4:$C$91,0)),"")</f>
        <v>0</v>
      </c>
      <c r="G24" s="74">
        <f>IFERROR(INDEX(DATA_TECH!$F$4:$F$91,MATCH(LARGE(DATA_TECH!$C$4:$C$91,20),DATA_TECH!$C$4:$C$91,0)),"")</f>
        <v>51.6</v>
      </c>
      <c r="H24" s="74">
        <f>IFERROR(INDEX(DATA_TECH!$G$4:$G$91,MATCH(LARGE(DATA_TECH!$C$4:$C$91,20),DATA_TECH!$C$4:$C$91,0)),"")</f>
        <v>27.5</v>
      </c>
      <c r="I24" s="74">
        <f>IFERROR(INDEX(DATA_TECH!$H$4:$H$91,MATCH(LARGE(DATA_TECH!$C$4:$C$91,20),DATA_TECH!$C$4:$C$91,0)),"")</f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showGridLines="0" workbookViewId="0">
      <selection activeCell="G1" sqref="G1"/>
    </sheetView>
  </sheetViews>
  <sheetFormatPr baseColWidth="10" defaultColWidth="8.88671875" defaultRowHeight="14.4" x14ac:dyDescent="0.3"/>
  <cols>
    <col min="1" max="1" width="7.44140625" customWidth="1"/>
    <col min="2" max="2" width="13" customWidth="1"/>
    <col min="3" max="3" width="33.33203125" customWidth="1"/>
    <col min="4" max="4" width="11.109375" customWidth="1"/>
    <col min="5" max="6" width="13.88671875" customWidth="1"/>
    <col min="7" max="9" width="15.77734375" customWidth="1"/>
    <col min="10" max="10" width="16.6640625" customWidth="1"/>
  </cols>
  <sheetData>
    <row r="1" spans="1:9" ht="25.95" customHeight="1" x14ac:dyDescent="0.35">
      <c r="A1" s="2" t="s">
        <v>198</v>
      </c>
      <c r="B1" s="1"/>
      <c r="C1" s="3" t="s">
        <v>252</v>
      </c>
      <c r="D1" s="1"/>
      <c r="E1" s="1"/>
      <c r="F1" s="1"/>
      <c r="G1" s="1"/>
      <c r="H1" s="1"/>
      <c r="I1" s="1"/>
    </row>
    <row r="2" spans="1:9" ht="15" customHeight="1" x14ac:dyDescent="0.3">
      <c r="A2" s="5" t="s">
        <v>253</v>
      </c>
      <c r="B2" s="4"/>
      <c r="C2" s="4"/>
      <c r="D2" s="4"/>
      <c r="E2" s="4"/>
      <c r="F2" s="4"/>
      <c r="G2" s="4"/>
      <c r="H2" s="4"/>
      <c r="I2" s="4"/>
    </row>
    <row r="3" spans="1:9" ht="19.95" customHeight="1" x14ac:dyDescent="0.3">
      <c r="A3" s="7" t="s">
        <v>254</v>
      </c>
      <c r="B3" s="6"/>
      <c r="C3" s="6"/>
      <c r="D3" s="6"/>
      <c r="E3" s="6"/>
      <c r="F3" s="6"/>
      <c r="G3" s="6"/>
      <c r="H3" s="6"/>
      <c r="I3" s="6"/>
    </row>
    <row r="4" spans="1:9" ht="18" customHeight="1" x14ac:dyDescent="0.3">
      <c r="A4" s="15" t="s">
        <v>250</v>
      </c>
      <c r="B4" s="16" t="s">
        <v>221</v>
      </c>
      <c r="C4" s="16" t="s">
        <v>222</v>
      </c>
      <c r="D4" s="16" t="s">
        <v>223</v>
      </c>
      <c r="E4" s="16" t="s">
        <v>5</v>
      </c>
      <c r="F4" s="16" t="s">
        <v>6</v>
      </c>
      <c r="G4" s="16" t="s">
        <v>251</v>
      </c>
      <c r="H4" s="16" t="s">
        <v>7</v>
      </c>
      <c r="I4" s="16" t="s">
        <v>225</v>
      </c>
    </row>
    <row r="5" spans="1:9" ht="16.95" customHeight="1" x14ac:dyDescent="0.3">
      <c r="A5" s="29">
        <v>1</v>
      </c>
      <c r="B5" s="30" t="str">
        <f>IFERROR(INDEX(DATA_HC!$A$4:$A$9,MATCH(LARGE(DATA_HC!$C$4:$C$9,1),DATA_HC!$C$4:$C$9,0)),"")</f>
        <v>NVO</v>
      </c>
      <c r="C5" s="9" t="str">
        <f>IFERROR(INDEX(DATA_HC!$B$4:$B$9,MATCH(LARGE(DATA_HC!$C$4:$C$9,1),DATA_HC!$C$4:$C$9,0)),"")</f>
        <v>Novo Nordisk A/S</v>
      </c>
      <c r="D5" s="31">
        <f>LARGE(DATA_HC!$C$4:$C$9,1)</f>
        <v>81</v>
      </c>
      <c r="E5" s="71">
        <f>IFERROR(INDEX(DATA_HC!$D$4:$D$9,MATCH(LARGE(DATA_HC!$C$4:$C$9,1),DATA_HC!$C$4:$C$9,0)),"")</f>
        <v>32.4</v>
      </c>
      <c r="F5" s="71">
        <f>IFERROR(INDEX(DATA_HC!$E$4:$E$9,MATCH(LARGE(DATA_HC!$C$4:$C$9,1),DATA_HC!$C$4:$C$9,0)),"")</f>
        <v>24.1</v>
      </c>
      <c r="G5" s="73">
        <f>IFERROR(INDEX(DATA_HC!$F$4:$F$9,MATCH(LARGE(DATA_HC!$C$4:$C$9,1),DATA_HC!$C$4:$C$9,0)),"")</f>
        <v>42.3</v>
      </c>
      <c r="H5" s="73">
        <f>IFERROR(INDEX(DATA_HC!$G$4:$G$9,MATCH(LARGE(DATA_HC!$C$4:$C$9,1),DATA_HC!$C$4:$C$9,0)),"")</f>
        <v>87.2</v>
      </c>
      <c r="I5" s="73">
        <f>IFERROR(INDEX(DATA_HC!$H$4:$H$9,MATCH(LARGE(DATA_HC!$C$4:$C$9,1),DATA_HC!$C$4:$C$9,0)),"")</f>
        <v>24.1</v>
      </c>
    </row>
    <row r="6" spans="1:9" ht="16.95" customHeight="1" x14ac:dyDescent="0.3">
      <c r="A6" s="34">
        <v>2</v>
      </c>
      <c r="B6" s="35" t="str">
        <f>IFERROR(INDEX(DATA_HC!$A$4:$A$9,MATCH(LARGE(DATA_HC!$C$4:$C$9,2),DATA_HC!$C$4:$C$9,0)),"")</f>
        <v>LLY</v>
      </c>
      <c r="C6" s="13" t="str">
        <f>IFERROR(INDEX(DATA_HC!$B$4:$B$9,MATCH(LARGE(DATA_HC!$C$4:$C$9,2),DATA_HC!$C$4:$C$9,0)),"")</f>
        <v>Eli Lilly and Company</v>
      </c>
      <c r="D6" s="36">
        <f>LARGE(DATA_HC!$C$4:$C$9,2)</f>
        <v>79</v>
      </c>
      <c r="E6" s="72">
        <f>IFERROR(INDEX(DATA_HC!$D$4:$D$9,MATCH(LARGE(DATA_HC!$C$4:$C$9,2),DATA_HC!$C$4:$C$9,0)),"")</f>
        <v>61.8</v>
      </c>
      <c r="F6" s="72">
        <f>IFERROR(INDEX(DATA_HC!$E$4:$E$9,MATCH(LARGE(DATA_HC!$C$4:$C$9,2),DATA_HC!$C$4:$C$9,0)),"")</f>
        <v>43.2</v>
      </c>
      <c r="G6" s="74">
        <f>IFERROR(INDEX(DATA_HC!$F$4:$F$9,MATCH(LARGE(DATA_HC!$C$4:$C$9,2),DATA_HC!$C$4:$C$9,0)),"")</f>
        <v>38.700000000000003</v>
      </c>
      <c r="H6" s="74">
        <f>IFERROR(INDEX(DATA_HC!$G$4:$G$9,MATCH(LARGE(DATA_HC!$C$4:$C$9,2),DATA_HC!$C$4:$C$9,0)),"")</f>
        <v>52.6</v>
      </c>
      <c r="I6" s="74">
        <f>IFERROR(INDEX(DATA_HC!$H$4:$H$9,MATCH(LARGE(DATA_HC!$C$4:$C$9,2),DATA_HC!$C$4:$C$9,0)),"")</f>
        <v>31.8</v>
      </c>
    </row>
    <row r="7" spans="1:9" ht="16.95" customHeight="1" x14ac:dyDescent="0.3">
      <c r="A7" s="29">
        <v>3</v>
      </c>
      <c r="B7" s="30" t="str">
        <f>IFERROR(INDEX(DATA_HC!$A$4:$A$9,MATCH(LARGE(DATA_HC!$C$4:$C$9,3),DATA_HC!$C$4:$C$9,0)),"")</f>
        <v>AZN.L</v>
      </c>
      <c r="C7" s="9" t="str">
        <f>IFERROR(INDEX(DATA_HC!$B$4:$B$9,MATCH(LARGE(DATA_HC!$C$4:$C$9,3),DATA_HC!$C$4:$C$9,0)),"")</f>
        <v>AstraZeneca PLC</v>
      </c>
      <c r="D7" s="31">
        <f>LARGE(DATA_HC!$C$4:$C$9,3)</f>
        <v>77</v>
      </c>
      <c r="E7" s="71">
        <f>IFERROR(INDEX(DATA_HC!$D$4:$D$9,MATCH(LARGE(DATA_HC!$C$4:$C$9,3),DATA_HC!$C$4:$C$9,0)),"")</f>
        <v>21.3</v>
      </c>
      <c r="F7" s="71">
        <f>IFERROR(INDEX(DATA_HC!$E$4:$E$9,MATCH(LARGE(DATA_HC!$C$4:$C$9,3),DATA_HC!$C$4:$C$9,0)),"")</f>
        <v>15.6</v>
      </c>
      <c r="G7" s="73">
        <f>IFERROR(INDEX(DATA_HC!$F$4:$F$9,MATCH(LARGE(DATA_HC!$C$4:$C$9,3),DATA_HC!$C$4:$C$9,0)),"")</f>
        <v>30.4</v>
      </c>
      <c r="H7" s="73">
        <f>IFERROR(INDEX(DATA_HC!$G$4:$G$9,MATCH(LARGE(DATA_HC!$C$4:$C$9,3),DATA_HC!$C$4:$C$9,0)),"")</f>
        <v>26.1</v>
      </c>
      <c r="I7" s="73">
        <f>IFERROR(INDEX(DATA_HC!$H$4:$H$9,MATCH(LARGE(DATA_HC!$C$4:$C$9,3),DATA_HC!$C$4:$C$9,0)),"")</f>
        <v>18.600000000000001</v>
      </c>
    </row>
    <row r="8" spans="1:9" ht="16.95" customHeight="1" x14ac:dyDescent="0.3">
      <c r="A8" s="34">
        <v>4</v>
      </c>
      <c r="B8" s="35" t="str">
        <f>IFERROR(INDEX(DATA_HC!$A$4:$A$9,MATCH(LARGE(DATA_HC!$C$4:$C$9,4),DATA_HC!$C$4:$C$9,0)),"")</f>
        <v>JNJ</v>
      </c>
      <c r="C8" s="13" t="str">
        <f>IFERROR(INDEX(DATA_HC!$B$4:$B$9,MATCH(LARGE(DATA_HC!$C$4:$C$9,4),DATA_HC!$C$4:$C$9,0)),"")</f>
        <v>Johnson &amp; Johnson</v>
      </c>
      <c r="D8" s="36">
        <f>LARGE(DATA_HC!$C$4:$C$9,4)</f>
        <v>72</v>
      </c>
      <c r="E8" s="72">
        <f>IFERROR(INDEX(DATA_HC!$D$4:$D$9,MATCH(LARGE(DATA_HC!$C$4:$C$9,4),DATA_HC!$C$4:$C$9,0)),"")</f>
        <v>15.2</v>
      </c>
      <c r="F8" s="72">
        <f>IFERROR(INDEX(DATA_HC!$E$4:$E$9,MATCH(LARGE(DATA_HC!$C$4:$C$9,4),DATA_HC!$C$4:$C$9,0)),"")</f>
        <v>12.8</v>
      </c>
      <c r="G8" s="74">
        <f>IFERROR(INDEX(DATA_HC!$F$4:$F$9,MATCH(LARGE(DATA_HC!$C$4:$C$9,4),DATA_HC!$C$4:$C$9,0)),"")</f>
        <v>33.1</v>
      </c>
      <c r="H8" s="74">
        <f>IFERROR(INDEX(DATA_HC!$G$4:$G$9,MATCH(LARGE(DATA_HC!$C$4:$C$9,4),DATA_HC!$C$4:$C$9,0)),"")</f>
        <v>23.4</v>
      </c>
      <c r="I8" s="74">
        <f>IFERROR(INDEX(DATA_HC!$H$4:$H$9,MATCH(LARGE(DATA_HC!$C$4:$C$9,4),DATA_HC!$C$4:$C$9,0)),"")</f>
        <v>6.3</v>
      </c>
    </row>
    <row r="9" spans="1:9" ht="16.95" customHeight="1" x14ac:dyDescent="0.3">
      <c r="A9" s="29">
        <v>5</v>
      </c>
      <c r="B9" s="30" t="str">
        <f>IFERROR(INDEX(DATA_HC!$A$4:$A$9,MATCH(LARGE(DATA_HC!$C$4:$C$9,5),DATA_HC!$C$4:$C$9,0)),"")</f>
        <v>SAN.PA</v>
      </c>
      <c r="C9" s="9" t="str">
        <f>IFERROR(INDEX(DATA_HC!$B$4:$B$9,MATCH(LARGE(DATA_HC!$C$4:$C$9,5),DATA_HC!$C$4:$C$9,0)),"")</f>
        <v>Sanofi S.A.</v>
      </c>
      <c r="D9" s="31">
        <f>LARGE(DATA_HC!$C$4:$C$9,5)</f>
        <v>64</v>
      </c>
      <c r="E9" s="71">
        <f>IFERROR(INDEX(DATA_HC!$D$4:$D$9,MATCH(LARGE(DATA_HC!$C$4:$C$9,5),DATA_HC!$C$4:$C$9,0)),"")</f>
        <v>13.1</v>
      </c>
      <c r="F9" s="71">
        <f>IFERROR(INDEX(DATA_HC!$E$4:$E$9,MATCH(LARGE(DATA_HC!$C$4:$C$9,5),DATA_HC!$C$4:$C$9,0)),"")</f>
        <v>9.4</v>
      </c>
      <c r="G9" s="73">
        <f>IFERROR(INDEX(DATA_HC!$F$4:$F$9,MATCH(LARGE(DATA_HC!$C$4:$C$9,5),DATA_HC!$C$4:$C$9,0)),"")</f>
        <v>29.2</v>
      </c>
      <c r="H9" s="73">
        <f>IFERROR(INDEX(DATA_HC!$G$4:$G$9,MATCH(LARGE(DATA_HC!$C$4:$C$9,5),DATA_HC!$C$4:$C$9,0)),"")</f>
        <v>14.7</v>
      </c>
      <c r="I9" s="73">
        <f>IFERROR(INDEX(DATA_HC!$H$4:$H$9,MATCH(LARGE(DATA_HC!$C$4:$C$9,5),DATA_HC!$C$4:$C$9,0)),"")</f>
        <v>5.8</v>
      </c>
    </row>
    <row r="10" spans="1:9" ht="16.95" customHeight="1" x14ac:dyDescent="0.3">
      <c r="A10" s="34">
        <v>6</v>
      </c>
      <c r="B10" s="35" t="str">
        <f>IFERROR(INDEX(DATA_HC!$A$4:$A$9,MATCH(LARGE(DATA_HC!$C$4:$C$9,6),DATA_HC!$C$4:$C$9,0)),"")</f>
        <v>MDT</v>
      </c>
      <c r="C10" s="13" t="str">
        <f>IFERROR(INDEX(DATA_HC!$B$4:$B$9,MATCH(LARGE(DATA_HC!$C$4:$C$9,6),DATA_HC!$C$4:$C$9,0)),"")</f>
        <v>Medtronic plc</v>
      </c>
      <c r="D10" s="36">
        <f>LARGE(DATA_HC!$C$4:$C$9,6)</f>
        <v>58</v>
      </c>
      <c r="E10" s="72">
        <f>IFERROR(INDEX(DATA_HC!$D$4:$D$9,MATCH(LARGE(DATA_HC!$C$4:$C$9,6),DATA_HC!$C$4:$C$9,0)),"")</f>
        <v>14.7</v>
      </c>
      <c r="F10" s="72">
        <f>IFERROR(INDEX(DATA_HC!$E$4:$E$9,MATCH(LARGE(DATA_HC!$C$4:$C$9,6),DATA_HC!$C$4:$C$9,0)),"")</f>
        <v>11.2</v>
      </c>
      <c r="G10" s="74">
        <f>IFERROR(INDEX(DATA_HC!$F$4:$F$9,MATCH(LARGE(DATA_HC!$C$4:$C$9,6),DATA_HC!$C$4:$C$9,0)),"")</f>
        <v>27.3</v>
      </c>
      <c r="H10" s="74">
        <f>IFERROR(INDEX(DATA_HC!$G$4:$G$9,MATCH(LARGE(DATA_HC!$C$4:$C$9,6),DATA_HC!$C$4:$C$9,0)),"")</f>
        <v>18.2</v>
      </c>
      <c r="I10" s="74">
        <f>IFERROR(INDEX(DATA_HC!$H$4:$H$9,MATCH(LARGE(DATA_HC!$C$4:$C$9,6),DATA_HC!$C$4:$C$9,0)),"")</f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1"/>
  <sheetViews>
    <sheetView showGridLines="0" topLeftCell="A3" workbookViewId="0">
      <selection activeCell="H3" sqref="H3"/>
    </sheetView>
  </sheetViews>
  <sheetFormatPr baseColWidth="10" defaultColWidth="8.88671875" defaultRowHeight="14.4" x14ac:dyDescent="0.3"/>
  <cols>
    <col min="1" max="1" width="13" customWidth="1"/>
    <col min="2" max="2" width="37" customWidth="1"/>
    <col min="3" max="3" width="16.6640625" customWidth="1"/>
    <col min="4" max="5" width="13.88671875" customWidth="1"/>
    <col min="6" max="8" width="15.77734375" customWidth="1"/>
    <col min="9" max="9" width="16.6640625" customWidth="1"/>
  </cols>
  <sheetData>
    <row r="1" spans="1:8" ht="25.95" customHeight="1" x14ac:dyDescent="0.35">
      <c r="A1" s="2" t="s">
        <v>198</v>
      </c>
      <c r="B1" s="1"/>
      <c r="C1" s="3" t="s">
        <v>255</v>
      </c>
      <c r="D1" s="1"/>
      <c r="E1" s="1"/>
      <c r="F1" s="1"/>
      <c r="G1" s="1"/>
      <c r="H1" s="1"/>
    </row>
    <row r="2" spans="1:8" ht="15" customHeight="1" x14ac:dyDescent="0.3">
      <c r="A2" s="5" t="s">
        <v>256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15" t="s">
        <v>221</v>
      </c>
      <c r="B3" s="16" t="s">
        <v>222</v>
      </c>
      <c r="C3" s="16" t="s">
        <v>257</v>
      </c>
      <c r="D3" s="16" t="s">
        <v>5</v>
      </c>
      <c r="E3" s="16" t="s">
        <v>6</v>
      </c>
      <c r="F3" s="16" t="s">
        <v>224</v>
      </c>
      <c r="G3" s="16" t="s">
        <v>7</v>
      </c>
      <c r="H3" s="16" t="s">
        <v>225</v>
      </c>
    </row>
    <row r="4" spans="1:8" ht="16.95" customHeight="1" x14ac:dyDescent="0.3">
      <c r="A4" s="39" t="s">
        <v>8</v>
      </c>
      <c r="B4" s="9" t="s">
        <v>9</v>
      </c>
      <c r="C4" s="31">
        <v>88</v>
      </c>
      <c r="D4" s="32"/>
      <c r="E4" s="32"/>
      <c r="F4" s="33">
        <v>66.900000000000006</v>
      </c>
      <c r="G4" s="33">
        <v>76.3</v>
      </c>
      <c r="H4" s="33">
        <v>65.5</v>
      </c>
    </row>
    <row r="5" spans="1:8" ht="16.95" customHeight="1" x14ac:dyDescent="0.3">
      <c r="A5" s="40" t="s">
        <v>11</v>
      </c>
      <c r="B5" s="13" t="s">
        <v>12</v>
      </c>
      <c r="C5" s="36">
        <v>84</v>
      </c>
      <c r="D5" s="37"/>
      <c r="E5" s="37"/>
      <c r="F5" s="38">
        <v>43.6</v>
      </c>
      <c r="G5" s="38">
        <v>28.4</v>
      </c>
      <c r="H5" s="38">
        <v>28.6</v>
      </c>
    </row>
    <row r="6" spans="1:8" ht="16.95" customHeight="1" x14ac:dyDescent="0.3">
      <c r="A6" s="39" t="s">
        <v>13</v>
      </c>
      <c r="B6" s="9" t="s">
        <v>14</v>
      </c>
      <c r="C6" s="31">
        <v>83</v>
      </c>
      <c r="D6" s="32"/>
      <c r="E6" s="32"/>
      <c r="F6" s="33">
        <v>54.3</v>
      </c>
      <c r="G6" s="33">
        <v>28.4</v>
      </c>
      <c r="H6" s="33">
        <v>23.9</v>
      </c>
    </row>
    <row r="7" spans="1:8" ht="16.95" customHeight="1" x14ac:dyDescent="0.3">
      <c r="A7" s="40" t="s">
        <v>15</v>
      </c>
      <c r="B7" s="13" t="s">
        <v>16</v>
      </c>
      <c r="C7" s="36">
        <v>73</v>
      </c>
      <c r="D7" s="37"/>
      <c r="E7" s="37"/>
      <c r="F7" s="38">
        <v>21</v>
      </c>
      <c r="G7" s="38">
        <v>6.9</v>
      </c>
      <c r="H7" s="38">
        <v>34.299999999999997</v>
      </c>
    </row>
    <row r="8" spans="1:8" ht="16.95" customHeight="1" x14ac:dyDescent="0.3">
      <c r="A8" s="39" t="s">
        <v>17</v>
      </c>
      <c r="B8" s="9" t="s">
        <v>18</v>
      </c>
      <c r="C8" s="31">
        <v>73</v>
      </c>
      <c r="D8" s="32">
        <v>21.6</v>
      </c>
      <c r="E8" s="32">
        <v>14.9</v>
      </c>
      <c r="F8" s="33">
        <v>41.3</v>
      </c>
      <c r="G8" s="33">
        <v>19.2</v>
      </c>
      <c r="H8" s="33">
        <v>19.2</v>
      </c>
    </row>
    <row r="9" spans="1:8" ht="16.95" customHeight="1" x14ac:dyDescent="0.3">
      <c r="A9" s="40" t="s">
        <v>19</v>
      </c>
      <c r="B9" s="13" t="s">
        <v>20</v>
      </c>
      <c r="C9" s="36">
        <v>72</v>
      </c>
      <c r="D9" s="37"/>
      <c r="E9" s="37"/>
      <c r="F9" s="38">
        <v>38.4</v>
      </c>
      <c r="G9" s="38">
        <v>49</v>
      </c>
      <c r="H9" s="38">
        <v>15.6</v>
      </c>
    </row>
    <row r="10" spans="1:8" ht="16.95" customHeight="1" x14ac:dyDescent="0.3">
      <c r="A10" s="39" t="s">
        <v>21</v>
      </c>
      <c r="B10" s="9" t="s">
        <v>22</v>
      </c>
      <c r="C10" s="31">
        <v>71</v>
      </c>
      <c r="D10" s="32"/>
      <c r="E10" s="32"/>
      <c r="F10" s="33">
        <v>45.6</v>
      </c>
      <c r="G10" s="33">
        <v>6.7</v>
      </c>
      <c r="H10" s="33">
        <v>16.899999999999999</v>
      </c>
    </row>
    <row r="11" spans="1:8" ht="16.95" customHeight="1" x14ac:dyDescent="0.3">
      <c r="A11" s="40" t="s">
        <v>23</v>
      </c>
      <c r="B11" s="13" t="s">
        <v>24</v>
      </c>
      <c r="C11" s="36">
        <v>68</v>
      </c>
      <c r="D11" s="37"/>
      <c r="E11" s="37"/>
      <c r="F11" s="38">
        <v>23.9</v>
      </c>
      <c r="G11" s="38">
        <v>13.5</v>
      </c>
      <c r="H11" s="38">
        <v>19.100000000000001</v>
      </c>
    </row>
    <row r="12" spans="1:8" ht="16.95" customHeight="1" x14ac:dyDescent="0.3">
      <c r="A12" s="39" t="s">
        <v>25</v>
      </c>
      <c r="B12" s="9" t="s">
        <v>26</v>
      </c>
      <c r="C12" s="31">
        <v>68</v>
      </c>
      <c r="D12" s="32">
        <v>56.1</v>
      </c>
      <c r="E12" s="32">
        <v>43.4</v>
      </c>
      <c r="F12" s="33">
        <v>43.9</v>
      </c>
      <c r="G12" s="33">
        <v>86.6</v>
      </c>
      <c r="H12" s="33">
        <v>23.9</v>
      </c>
    </row>
    <row r="13" spans="1:8" ht="16.95" customHeight="1" x14ac:dyDescent="0.3">
      <c r="A13" s="40" t="s">
        <v>27</v>
      </c>
      <c r="B13" s="13" t="s">
        <v>28</v>
      </c>
      <c r="C13" s="36">
        <v>67</v>
      </c>
      <c r="D13" s="37"/>
      <c r="E13" s="37"/>
      <c r="F13" s="38">
        <v>29.8</v>
      </c>
      <c r="G13" s="38">
        <v>31.8</v>
      </c>
      <c r="H13" s="38">
        <v>51.7</v>
      </c>
    </row>
    <row r="14" spans="1:8" ht="16.95" customHeight="1" x14ac:dyDescent="0.3">
      <c r="A14" s="39" t="s">
        <v>29</v>
      </c>
      <c r="B14" s="9" t="s">
        <v>30</v>
      </c>
      <c r="C14" s="31">
        <v>67</v>
      </c>
      <c r="D14" s="32"/>
      <c r="E14" s="32">
        <v>24.1</v>
      </c>
      <c r="F14" s="33">
        <v>27.2</v>
      </c>
      <c r="G14" s="33">
        <v>-20</v>
      </c>
      <c r="H14" s="33">
        <v>-50</v>
      </c>
    </row>
    <row r="15" spans="1:8" ht="16.95" customHeight="1" x14ac:dyDescent="0.3">
      <c r="A15" s="40" t="s">
        <v>31</v>
      </c>
      <c r="B15" s="13" t="s">
        <v>32</v>
      </c>
      <c r="C15" s="36">
        <v>66</v>
      </c>
      <c r="D15" s="37"/>
      <c r="E15" s="37"/>
      <c r="F15" s="38">
        <v>35.4</v>
      </c>
      <c r="G15" s="38">
        <v>20.3</v>
      </c>
      <c r="H15" s="38">
        <v>14.1</v>
      </c>
    </row>
    <row r="16" spans="1:8" ht="16.95" customHeight="1" x14ac:dyDescent="0.3">
      <c r="A16" s="39" t="s">
        <v>33</v>
      </c>
      <c r="B16" s="9" t="s">
        <v>34</v>
      </c>
      <c r="C16" s="31">
        <v>66</v>
      </c>
      <c r="D16" s="32">
        <v>55.6</v>
      </c>
      <c r="E16" s="32">
        <v>25.8</v>
      </c>
      <c r="F16" s="33">
        <v>49.4</v>
      </c>
      <c r="G16" s="33">
        <v>15.8</v>
      </c>
      <c r="H16" s="33">
        <v>48.9</v>
      </c>
    </row>
    <row r="17" spans="1:8" ht="16.95" customHeight="1" x14ac:dyDescent="0.3">
      <c r="A17" s="40" t="s">
        <v>35</v>
      </c>
      <c r="B17" s="13" t="s">
        <v>36</v>
      </c>
      <c r="C17" s="36">
        <v>65</v>
      </c>
      <c r="D17" s="37"/>
      <c r="E17" s="37"/>
      <c r="F17" s="38">
        <v>28.5</v>
      </c>
      <c r="G17" s="38">
        <v>18.5</v>
      </c>
      <c r="H17" s="38">
        <v>15.1</v>
      </c>
    </row>
    <row r="18" spans="1:8" ht="16.95" customHeight="1" x14ac:dyDescent="0.3">
      <c r="A18" s="39" t="s">
        <v>37</v>
      </c>
      <c r="B18" s="9" t="s">
        <v>38</v>
      </c>
      <c r="C18" s="31">
        <v>64</v>
      </c>
      <c r="D18" s="32"/>
      <c r="E18" s="32"/>
      <c r="F18" s="33">
        <v>27.6</v>
      </c>
      <c r="G18" s="33">
        <v>36.9</v>
      </c>
      <c r="H18" s="33">
        <v>17.5</v>
      </c>
    </row>
    <row r="19" spans="1:8" ht="16.95" customHeight="1" x14ac:dyDescent="0.3">
      <c r="A19" s="40" t="s">
        <v>39</v>
      </c>
      <c r="B19" s="13" t="s">
        <v>40</v>
      </c>
      <c r="C19" s="36">
        <v>63</v>
      </c>
      <c r="D19" s="37"/>
      <c r="E19" s="37"/>
      <c r="F19" s="38">
        <v>56.9</v>
      </c>
      <c r="G19" s="38">
        <v>29.6</v>
      </c>
      <c r="H19" s="38">
        <v>14.9</v>
      </c>
    </row>
    <row r="20" spans="1:8" ht="16.95" customHeight="1" x14ac:dyDescent="0.3">
      <c r="A20" s="39" t="s">
        <v>41</v>
      </c>
      <c r="B20" s="9" t="s">
        <v>42</v>
      </c>
      <c r="C20" s="31">
        <v>63</v>
      </c>
      <c r="D20" s="32"/>
      <c r="E20" s="32"/>
      <c r="F20" s="33">
        <v>28.6</v>
      </c>
      <c r="G20" s="33">
        <v>19.3</v>
      </c>
      <c r="H20" s="33">
        <v>9.6999999999999993</v>
      </c>
    </row>
    <row r="21" spans="1:8" ht="16.95" customHeight="1" x14ac:dyDescent="0.3">
      <c r="A21" s="40" t="s">
        <v>43</v>
      </c>
      <c r="B21" s="13" t="s">
        <v>44</v>
      </c>
      <c r="C21" s="36">
        <v>62</v>
      </c>
      <c r="D21" s="37"/>
      <c r="E21" s="37"/>
      <c r="F21" s="38">
        <v>51.6</v>
      </c>
      <c r="G21" s="38">
        <v>27.5</v>
      </c>
      <c r="H21" s="38">
        <v>13.9</v>
      </c>
    </row>
    <row r="22" spans="1:8" ht="16.95" customHeight="1" x14ac:dyDescent="0.3">
      <c r="A22" s="39" t="s">
        <v>45</v>
      </c>
      <c r="B22" s="9" t="s">
        <v>46</v>
      </c>
      <c r="C22" s="31">
        <v>62</v>
      </c>
      <c r="D22" s="32">
        <v>61.5</v>
      </c>
      <c r="E22" s="32">
        <v>50.2</v>
      </c>
      <c r="F22" s="33">
        <v>35.4</v>
      </c>
      <c r="G22" s="33">
        <v>54.3</v>
      </c>
      <c r="H22" s="33">
        <v>23.7</v>
      </c>
    </row>
    <row r="23" spans="1:8" ht="16.95" customHeight="1" x14ac:dyDescent="0.3">
      <c r="A23" s="40" t="s">
        <v>47</v>
      </c>
      <c r="B23" s="13" t="s">
        <v>48</v>
      </c>
      <c r="C23" s="36">
        <v>62</v>
      </c>
      <c r="D23" s="37">
        <v>62.6</v>
      </c>
      <c r="E23" s="37">
        <v>61.4</v>
      </c>
      <c r="F23" s="38">
        <v>20.399999999999999</v>
      </c>
      <c r="G23" s="38">
        <v>35</v>
      </c>
      <c r="H23" s="38">
        <v>50.7</v>
      </c>
    </row>
    <row r="24" spans="1:8" ht="16.95" customHeight="1" x14ac:dyDescent="0.3">
      <c r="A24" s="39" t="s">
        <v>49</v>
      </c>
      <c r="B24" s="9" t="s">
        <v>50</v>
      </c>
      <c r="C24" s="31">
        <v>60</v>
      </c>
      <c r="D24" s="32"/>
      <c r="E24" s="32"/>
      <c r="F24" s="33">
        <v>35.200000000000003</v>
      </c>
      <c r="G24" s="33">
        <v>34.299999999999997</v>
      </c>
      <c r="H24" s="33">
        <v>4.4000000000000004</v>
      </c>
    </row>
    <row r="25" spans="1:8" ht="16.95" customHeight="1" x14ac:dyDescent="0.3">
      <c r="A25" s="40" t="s">
        <v>51</v>
      </c>
      <c r="B25" s="13" t="s">
        <v>52</v>
      </c>
      <c r="C25" s="36">
        <v>60</v>
      </c>
      <c r="D25" s="37"/>
      <c r="E25" s="37"/>
      <c r="F25" s="38">
        <v>8.1</v>
      </c>
      <c r="G25" s="38">
        <v>4.5</v>
      </c>
      <c r="H25" s="38">
        <v>18.8</v>
      </c>
    </row>
    <row r="26" spans="1:8" ht="16.95" customHeight="1" x14ac:dyDescent="0.3">
      <c r="A26" s="39" t="s">
        <v>53</v>
      </c>
      <c r="B26" s="9" t="s">
        <v>54</v>
      </c>
      <c r="C26" s="31">
        <v>60</v>
      </c>
      <c r="D26" s="32"/>
      <c r="E26" s="32"/>
      <c r="F26" s="33">
        <v>41.3</v>
      </c>
      <c r="G26" s="33">
        <v>16</v>
      </c>
      <c r="H26" s="33">
        <v>24.1</v>
      </c>
    </row>
    <row r="27" spans="1:8" ht="16.95" customHeight="1" x14ac:dyDescent="0.3">
      <c r="A27" s="40" t="s">
        <v>55</v>
      </c>
      <c r="B27" s="13" t="s">
        <v>56</v>
      </c>
      <c r="C27" s="36">
        <v>60</v>
      </c>
      <c r="D27" s="37">
        <v>107</v>
      </c>
      <c r="E27" s="37">
        <v>83.9</v>
      </c>
      <c r="F27" s="38">
        <v>28</v>
      </c>
      <c r="G27" s="38">
        <v>17.600000000000001</v>
      </c>
      <c r="H27" s="38">
        <v>26.4</v>
      </c>
    </row>
    <row r="28" spans="1:8" ht="16.95" customHeight="1" x14ac:dyDescent="0.3">
      <c r="A28" s="39" t="s">
        <v>57</v>
      </c>
      <c r="B28" s="9" t="s">
        <v>58</v>
      </c>
      <c r="C28" s="31">
        <v>59</v>
      </c>
      <c r="D28" s="32"/>
      <c r="E28" s="32"/>
      <c r="F28" s="33">
        <v>32.799999999999997</v>
      </c>
      <c r="G28" s="33">
        <v>16.100000000000001</v>
      </c>
      <c r="H28" s="33">
        <v>7.7</v>
      </c>
    </row>
    <row r="29" spans="1:8" ht="16.95" customHeight="1" x14ac:dyDescent="0.3">
      <c r="A29" s="40" t="s">
        <v>59</v>
      </c>
      <c r="B29" s="13" t="s">
        <v>183</v>
      </c>
      <c r="C29" s="36">
        <v>59</v>
      </c>
      <c r="D29" s="37"/>
      <c r="E29" s="37"/>
      <c r="F29" s="38">
        <v>25.6</v>
      </c>
      <c r="G29" s="38">
        <v>32.4</v>
      </c>
      <c r="H29" s="38">
        <v>7.6</v>
      </c>
    </row>
    <row r="30" spans="1:8" ht="16.95" customHeight="1" x14ac:dyDescent="0.3">
      <c r="A30" s="39" t="s">
        <v>60</v>
      </c>
      <c r="B30" s="9" t="s">
        <v>61</v>
      </c>
      <c r="C30" s="31">
        <v>59</v>
      </c>
      <c r="D30" s="32"/>
      <c r="E30" s="32"/>
      <c r="F30" s="33">
        <v>47.8</v>
      </c>
      <c r="G30" s="33">
        <v>-37.299999999999997</v>
      </c>
      <c r="H30" s="33">
        <v>15.9</v>
      </c>
    </row>
    <row r="31" spans="1:8" ht="16.95" customHeight="1" x14ac:dyDescent="0.3">
      <c r="A31" s="40" t="s">
        <v>62</v>
      </c>
      <c r="B31" s="13" t="s">
        <v>63</v>
      </c>
      <c r="C31" s="36">
        <v>59</v>
      </c>
      <c r="D31" s="37"/>
      <c r="E31" s="37"/>
      <c r="F31" s="38">
        <v>36.1</v>
      </c>
      <c r="G31" s="38">
        <v>149.80000000000001</v>
      </c>
      <c r="H31" s="38">
        <v>14.2</v>
      </c>
    </row>
    <row r="32" spans="1:8" ht="16.95" customHeight="1" x14ac:dyDescent="0.3">
      <c r="A32" s="39" t="s">
        <v>64</v>
      </c>
      <c r="B32" s="9" t="s">
        <v>65</v>
      </c>
      <c r="C32" s="31">
        <v>59</v>
      </c>
      <c r="D32" s="32">
        <v>16</v>
      </c>
      <c r="E32" s="32">
        <v>11.5</v>
      </c>
      <c r="F32" s="33">
        <v>25.7</v>
      </c>
      <c r="G32" s="33">
        <v>114</v>
      </c>
      <c r="H32" s="33">
        <v>4.9000000000000004</v>
      </c>
    </row>
    <row r="33" spans="1:8" ht="16.95" customHeight="1" x14ac:dyDescent="0.3">
      <c r="A33" s="40" t="s">
        <v>66</v>
      </c>
      <c r="B33" s="13" t="s">
        <v>67</v>
      </c>
      <c r="C33" s="36">
        <v>58</v>
      </c>
      <c r="D33" s="37"/>
      <c r="E33" s="37"/>
      <c r="F33" s="38">
        <v>41.3</v>
      </c>
      <c r="G33" s="38">
        <v>61.3</v>
      </c>
      <c r="H33" s="38">
        <v>10.5</v>
      </c>
    </row>
    <row r="34" spans="1:8" ht="16.95" customHeight="1" x14ac:dyDescent="0.3">
      <c r="A34" s="39" t="s">
        <v>68</v>
      </c>
      <c r="B34" s="9" t="s">
        <v>69</v>
      </c>
      <c r="C34" s="31">
        <v>58</v>
      </c>
      <c r="D34" s="32">
        <v>76.7</v>
      </c>
      <c r="E34" s="32">
        <v>56.2</v>
      </c>
      <c r="F34" s="33">
        <v>22.9</v>
      </c>
      <c r="G34" s="33">
        <v>-324.3</v>
      </c>
      <c r="H34" s="33">
        <v>38.9</v>
      </c>
    </row>
    <row r="35" spans="1:8" ht="16.95" customHeight="1" x14ac:dyDescent="0.3">
      <c r="A35" s="40" t="s">
        <v>70</v>
      </c>
      <c r="B35" s="13" t="s">
        <v>71</v>
      </c>
      <c r="C35" s="36">
        <v>58</v>
      </c>
      <c r="D35" s="37">
        <v>14.3</v>
      </c>
      <c r="E35" s="37">
        <v>21.1</v>
      </c>
      <c r="F35" s="38">
        <v>13.4</v>
      </c>
      <c r="G35" s="38">
        <v>37.200000000000003</v>
      </c>
      <c r="H35" s="38">
        <v>18.3</v>
      </c>
    </row>
    <row r="36" spans="1:8" ht="16.95" customHeight="1" x14ac:dyDescent="0.3">
      <c r="A36" s="39" t="s">
        <v>72</v>
      </c>
      <c r="B36" s="9" t="s">
        <v>73</v>
      </c>
      <c r="C36" s="31">
        <v>56</v>
      </c>
      <c r="D36" s="32">
        <v>65.400000000000006</v>
      </c>
      <c r="E36" s="32">
        <v>38.799999999999997</v>
      </c>
      <c r="F36" s="33">
        <v>27.1</v>
      </c>
      <c r="G36" s="33">
        <v>14.5</v>
      </c>
      <c r="H36" s="33">
        <v>8</v>
      </c>
    </row>
    <row r="37" spans="1:8" ht="16.95" customHeight="1" x14ac:dyDescent="0.3">
      <c r="A37" s="40" t="s">
        <v>74</v>
      </c>
      <c r="B37" s="13" t="s">
        <v>75</v>
      </c>
      <c r="C37" s="36">
        <v>56</v>
      </c>
      <c r="D37" s="37">
        <v>33.5</v>
      </c>
      <c r="E37" s="37">
        <v>22.2</v>
      </c>
      <c r="F37" s="38">
        <v>30.8</v>
      </c>
      <c r="G37" s="38">
        <v>89.4</v>
      </c>
      <c r="H37" s="38">
        <v>8</v>
      </c>
    </row>
    <row r="38" spans="1:8" ht="16.95" customHeight="1" x14ac:dyDescent="0.3">
      <c r="A38" s="39" t="s">
        <v>76</v>
      </c>
      <c r="B38" s="9" t="s">
        <v>77</v>
      </c>
      <c r="C38" s="31">
        <v>56</v>
      </c>
      <c r="D38" s="32">
        <v>56.4</v>
      </c>
      <c r="E38" s="32">
        <v>34.299999999999997</v>
      </c>
      <c r="F38" s="33">
        <v>35.4</v>
      </c>
      <c r="G38" s="33">
        <v>4.7</v>
      </c>
      <c r="H38" s="33">
        <v>15.1</v>
      </c>
    </row>
    <row r="39" spans="1:8" ht="16.95" customHeight="1" x14ac:dyDescent="0.3">
      <c r="A39" s="40" t="s">
        <v>78</v>
      </c>
      <c r="B39" s="13" t="s">
        <v>79</v>
      </c>
      <c r="C39" s="36">
        <v>56</v>
      </c>
      <c r="D39" s="37">
        <v>28.9</v>
      </c>
      <c r="E39" s="37">
        <v>21.4</v>
      </c>
      <c r="F39" s="38">
        <v>71</v>
      </c>
      <c r="G39" s="38">
        <v>-38.299999999999997</v>
      </c>
      <c r="H39" s="38">
        <v>6.4</v>
      </c>
    </row>
    <row r="40" spans="1:8" ht="16.95" customHeight="1" x14ac:dyDescent="0.3">
      <c r="A40" s="39" t="s">
        <v>80</v>
      </c>
      <c r="B40" s="9" t="s">
        <v>81</v>
      </c>
      <c r="C40" s="31">
        <v>55</v>
      </c>
      <c r="D40" s="32"/>
      <c r="E40" s="32"/>
      <c r="F40" s="33">
        <v>14.1</v>
      </c>
      <c r="G40" s="33">
        <v>5.9</v>
      </c>
      <c r="H40" s="33">
        <v>30</v>
      </c>
    </row>
    <row r="41" spans="1:8" ht="16.95" customHeight="1" x14ac:dyDescent="0.3">
      <c r="A41" s="40" t="s">
        <v>82</v>
      </c>
      <c r="B41" s="13" t="s">
        <v>83</v>
      </c>
      <c r="C41" s="36">
        <v>54</v>
      </c>
      <c r="D41" s="37"/>
      <c r="E41" s="37"/>
      <c r="F41" s="38">
        <v>31.3</v>
      </c>
      <c r="G41" s="38">
        <v>19.600000000000001</v>
      </c>
      <c r="H41" s="38">
        <v>15.6</v>
      </c>
    </row>
    <row r="42" spans="1:8" ht="16.95" customHeight="1" x14ac:dyDescent="0.3">
      <c r="A42" s="39" t="s">
        <v>84</v>
      </c>
      <c r="B42" s="9" t="s">
        <v>85</v>
      </c>
      <c r="C42" s="31">
        <v>54</v>
      </c>
      <c r="D42" s="32"/>
      <c r="E42" s="32"/>
      <c r="F42" s="33">
        <v>51.5</v>
      </c>
      <c r="G42" s="33">
        <v>28.3</v>
      </c>
      <c r="H42" s="33">
        <v>3.6</v>
      </c>
    </row>
    <row r="43" spans="1:8" ht="16.95" customHeight="1" x14ac:dyDescent="0.3">
      <c r="A43" s="40" t="s">
        <v>86</v>
      </c>
      <c r="B43" s="13" t="s">
        <v>87</v>
      </c>
      <c r="C43" s="36">
        <v>54</v>
      </c>
      <c r="D43" s="37">
        <v>11.9</v>
      </c>
      <c r="E43" s="37">
        <v>6.4</v>
      </c>
      <c r="F43" s="38">
        <v>38.9</v>
      </c>
      <c r="G43" s="38">
        <v>26.2</v>
      </c>
      <c r="H43" s="38">
        <v>8.9</v>
      </c>
    </row>
    <row r="44" spans="1:8" ht="16.95" customHeight="1" x14ac:dyDescent="0.3">
      <c r="A44" s="39" t="s">
        <v>88</v>
      </c>
      <c r="B44" s="9" t="s">
        <v>89</v>
      </c>
      <c r="C44" s="31">
        <v>54</v>
      </c>
      <c r="D44" s="32">
        <v>39.1</v>
      </c>
      <c r="E44" s="32">
        <v>25</v>
      </c>
      <c r="F44" s="33">
        <v>46.7</v>
      </c>
      <c r="G44" s="33">
        <v>30.7</v>
      </c>
      <c r="H44" s="33">
        <v>13</v>
      </c>
    </row>
    <row r="45" spans="1:8" ht="16.95" customHeight="1" x14ac:dyDescent="0.3">
      <c r="A45" s="40" t="s">
        <v>90</v>
      </c>
      <c r="B45" s="13" t="s">
        <v>91</v>
      </c>
      <c r="C45" s="36">
        <v>53</v>
      </c>
      <c r="D45" s="37"/>
      <c r="E45" s="37"/>
      <c r="F45" s="38">
        <v>41.7</v>
      </c>
      <c r="G45" s="38">
        <v>60.8</v>
      </c>
      <c r="H45" s="38">
        <v>8.4</v>
      </c>
    </row>
    <row r="46" spans="1:8" ht="16.95" customHeight="1" x14ac:dyDescent="0.3">
      <c r="A46" s="39" t="s">
        <v>92</v>
      </c>
      <c r="B46" s="9" t="s">
        <v>93</v>
      </c>
      <c r="C46" s="31">
        <v>53</v>
      </c>
      <c r="D46" s="32">
        <v>34.1</v>
      </c>
      <c r="E46" s="32">
        <v>17.2</v>
      </c>
      <c r="F46" s="33">
        <v>15.4</v>
      </c>
      <c r="G46" s="33">
        <v>8.9</v>
      </c>
      <c r="H46" s="33">
        <v>13.1</v>
      </c>
    </row>
    <row r="47" spans="1:8" ht="16.95" customHeight="1" x14ac:dyDescent="0.3">
      <c r="A47" s="40" t="s">
        <v>94</v>
      </c>
      <c r="B47" s="13" t="s">
        <v>95</v>
      </c>
      <c r="C47" s="36">
        <v>52</v>
      </c>
      <c r="D47" s="37"/>
      <c r="E47" s="37"/>
      <c r="F47" s="38">
        <v>25</v>
      </c>
      <c r="G47" s="38">
        <v>51.2</v>
      </c>
      <c r="H47" s="38">
        <v>7.8</v>
      </c>
    </row>
    <row r="48" spans="1:8" ht="16.95" customHeight="1" x14ac:dyDescent="0.3">
      <c r="A48" s="39" t="s">
        <v>96</v>
      </c>
      <c r="B48" s="9" t="s">
        <v>97</v>
      </c>
      <c r="C48" s="31">
        <v>52</v>
      </c>
      <c r="D48" s="32"/>
      <c r="E48" s="32"/>
      <c r="F48" s="33">
        <v>27.4</v>
      </c>
      <c r="G48" s="33">
        <v>21.7</v>
      </c>
      <c r="H48" s="33">
        <v>5.3</v>
      </c>
    </row>
    <row r="49" spans="1:8" ht="16.95" customHeight="1" x14ac:dyDescent="0.3">
      <c r="A49" s="40" t="s">
        <v>98</v>
      </c>
      <c r="B49" s="13" t="s">
        <v>99</v>
      </c>
      <c r="C49" s="36">
        <v>52</v>
      </c>
      <c r="D49" s="37"/>
      <c r="E49" s="37"/>
      <c r="F49" s="38">
        <v>22.8</v>
      </c>
      <c r="G49" s="38">
        <v>13.5</v>
      </c>
      <c r="H49" s="38">
        <v>20.9</v>
      </c>
    </row>
    <row r="50" spans="1:8" ht="16.95" customHeight="1" x14ac:dyDescent="0.3">
      <c r="A50" s="39" t="s">
        <v>100</v>
      </c>
      <c r="B50" s="9" t="s">
        <v>101</v>
      </c>
      <c r="C50" s="31">
        <v>51</v>
      </c>
      <c r="D50" s="32">
        <v>33.4</v>
      </c>
      <c r="E50" s="32">
        <v>21.5</v>
      </c>
      <c r="F50" s="33">
        <v>24.4</v>
      </c>
      <c r="G50" s="33">
        <v>8.5</v>
      </c>
      <c r="H50" s="33">
        <v>7.9</v>
      </c>
    </row>
    <row r="51" spans="1:8" ht="16.95" customHeight="1" x14ac:dyDescent="0.3">
      <c r="A51" s="40" t="s">
        <v>102</v>
      </c>
      <c r="B51" s="13" t="s">
        <v>103</v>
      </c>
      <c r="C51" s="36">
        <v>51</v>
      </c>
      <c r="D51" s="37">
        <v>104</v>
      </c>
      <c r="E51" s="37">
        <v>72.900000000000006</v>
      </c>
      <c r="F51" s="38">
        <v>24.7</v>
      </c>
      <c r="G51" s="38">
        <v>19.8</v>
      </c>
      <c r="H51" s="38">
        <v>13.1</v>
      </c>
    </row>
    <row r="52" spans="1:8" ht="16.95" customHeight="1" x14ac:dyDescent="0.3">
      <c r="A52" s="39" t="s">
        <v>104</v>
      </c>
      <c r="B52" s="9" t="s">
        <v>105</v>
      </c>
      <c r="C52" s="31">
        <v>50</v>
      </c>
      <c r="D52" s="32"/>
      <c r="E52" s="32"/>
      <c r="F52" s="33">
        <v>34.799999999999997</v>
      </c>
      <c r="G52" s="33">
        <v>151.9</v>
      </c>
      <c r="H52" s="33">
        <v>6.4</v>
      </c>
    </row>
    <row r="53" spans="1:8" ht="16.95" customHeight="1" x14ac:dyDescent="0.3">
      <c r="A53" s="40" t="s">
        <v>106</v>
      </c>
      <c r="B53" s="13" t="s">
        <v>107</v>
      </c>
      <c r="C53" s="36">
        <v>50</v>
      </c>
      <c r="D53" s="37"/>
      <c r="E53" s="37"/>
      <c r="F53" s="38">
        <v>33.700000000000003</v>
      </c>
      <c r="G53" s="38">
        <v>26.1</v>
      </c>
      <c r="H53" s="38">
        <v>13.7</v>
      </c>
    </row>
    <row r="54" spans="1:8" ht="16.95" customHeight="1" x14ac:dyDescent="0.3">
      <c r="A54" s="39" t="s">
        <v>108</v>
      </c>
      <c r="B54" s="9" t="s">
        <v>109</v>
      </c>
      <c r="C54" s="31">
        <v>50</v>
      </c>
      <c r="D54" s="32">
        <v>23.3</v>
      </c>
      <c r="E54" s="32">
        <v>13.1</v>
      </c>
      <c r="F54" s="33">
        <v>33.700000000000003</v>
      </c>
      <c r="G54" s="33">
        <v>21.4</v>
      </c>
      <c r="H54" s="33">
        <v>7.2</v>
      </c>
    </row>
    <row r="55" spans="1:8" ht="16.95" customHeight="1" x14ac:dyDescent="0.3">
      <c r="A55" s="40" t="s">
        <v>110</v>
      </c>
      <c r="B55" s="13" t="s">
        <v>111</v>
      </c>
      <c r="C55" s="36">
        <v>49</v>
      </c>
      <c r="D55" s="37"/>
      <c r="E55" s="37"/>
      <c r="F55" s="38">
        <v>30.2</v>
      </c>
      <c r="G55" s="38">
        <v>12.6</v>
      </c>
      <c r="H55" s="38">
        <v>9.6</v>
      </c>
    </row>
    <row r="56" spans="1:8" ht="16.95" customHeight="1" x14ac:dyDescent="0.3">
      <c r="A56" s="39" t="s">
        <v>112</v>
      </c>
      <c r="B56" s="9" t="s">
        <v>113</v>
      </c>
      <c r="C56" s="31">
        <v>49</v>
      </c>
      <c r="D56" s="32">
        <v>22.9</v>
      </c>
      <c r="E56" s="32">
        <v>14</v>
      </c>
      <c r="F56" s="33">
        <v>40</v>
      </c>
      <c r="G56" s="33">
        <v>7.7</v>
      </c>
      <c r="H56" s="33">
        <v>12.3</v>
      </c>
    </row>
    <row r="57" spans="1:8" ht="16.95" customHeight="1" x14ac:dyDescent="0.3">
      <c r="A57" s="40" t="s">
        <v>114</v>
      </c>
      <c r="B57" s="13" t="s">
        <v>115</v>
      </c>
      <c r="C57" s="36">
        <v>49</v>
      </c>
      <c r="D57" s="37">
        <v>14.4</v>
      </c>
      <c r="E57" s="37">
        <v>11.1</v>
      </c>
      <c r="F57" s="38">
        <v>6.1</v>
      </c>
      <c r="G57" s="38">
        <v>16.600000000000001</v>
      </c>
      <c r="H57" s="38">
        <v>46.6</v>
      </c>
    </row>
    <row r="58" spans="1:8" ht="16.95" customHeight="1" x14ac:dyDescent="0.3">
      <c r="A58" s="39" t="s">
        <v>116</v>
      </c>
      <c r="B58" s="9" t="s">
        <v>117</v>
      </c>
      <c r="C58" s="31">
        <v>49</v>
      </c>
      <c r="D58" s="32">
        <v>36.6</v>
      </c>
      <c r="E58" s="32">
        <v>17.399999999999999</v>
      </c>
      <c r="F58" s="33">
        <v>23.9</v>
      </c>
      <c r="G58" s="33">
        <v>14.6</v>
      </c>
      <c r="H58" s="33">
        <v>8.9</v>
      </c>
    </row>
    <row r="59" spans="1:8" ht="16.95" customHeight="1" x14ac:dyDescent="0.3">
      <c r="A59" s="40" t="s">
        <v>118</v>
      </c>
      <c r="B59" s="13" t="s">
        <v>119</v>
      </c>
      <c r="C59" s="36">
        <v>48</v>
      </c>
      <c r="D59" s="37">
        <v>13.3</v>
      </c>
      <c r="E59" s="37">
        <v>9.5</v>
      </c>
      <c r="F59" s="38">
        <v>14</v>
      </c>
      <c r="G59" s="38">
        <v>29.5</v>
      </c>
      <c r="H59" s="38">
        <v>3.1</v>
      </c>
    </row>
    <row r="60" spans="1:8" ht="16.95" customHeight="1" x14ac:dyDescent="0.3">
      <c r="A60" s="39" t="s">
        <v>120</v>
      </c>
      <c r="B60" s="9" t="s">
        <v>121</v>
      </c>
      <c r="C60" s="31">
        <v>47</v>
      </c>
      <c r="D60" s="32">
        <v>25.5</v>
      </c>
      <c r="E60" s="32">
        <v>15.4</v>
      </c>
      <c r="F60" s="33">
        <v>32.299999999999997</v>
      </c>
      <c r="G60" s="33">
        <v>20.100000000000001</v>
      </c>
      <c r="H60" s="33">
        <v>-2.7</v>
      </c>
    </row>
    <row r="61" spans="1:8" ht="16.95" customHeight="1" x14ac:dyDescent="0.3">
      <c r="A61" s="40" t="s">
        <v>122</v>
      </c>
      <c r="B61" s="13" t="s">
        <v>123</v>
      </c>
      <c r="C61" s="36">
        <v>45</v>
      </c>
      <c r="D61" s="37"/>
      <c r="E61" s="37"/>
      <c r="F61" s="38">
        <v>31.9</v>
      </c>
      <c r="G61" s="38">
        <v>9.1</v>
      </c>
      <c r="H61" s="38">
        <v>5.4</v>
      </c>
    </row>
    <row r="62" spans="1:8" ht="16.95" customHeight="1" x14ac:dyDescent="0.3">
      <c r="A62" s="39" t="s">
        <v>124</v>
      </c>
      <c r="B62" s="9" t="s">
        <v>125</v>
      </c>
      <c r="C62" s="31">
        <v>44</v>
      </c>
      <c r="D62" s="32"/>
      <c r="E62" s="32"/>
      <c r="F62" s="33">
        <v>5.7</v>
      </c>
      <c r="G62" s="33">
        <v>2.9</v>
      </c>
      <c r="H62" s="33">
        <v>27.7</v>
      </c>
    </row>
    <row r="63" spans="1:8" ht="16.95" customHeight="1" x14ac:dyDescent="0.3">
      <c r="A63" s="40" t="s">
        <v>126</v>
      </c>
      <c r="B63" s="13" t="s">
        <v>127</v>
      </c>
      <c r="C63" s="36">
        <v>44</v>
      </c>
      <c r="D63" s="37">
        <v>17.8</v>
      </c>
      <c r="E63" s="37">
        <v>8.1999999999999993</v>
      </c>
      <c r="F63" s="38">
        <v>24.9</v>
      </c>
      <c r="G63" s="38">
        <v>8.3000000000000007</v>
      </c>
      <c r="H63" s="38">
        <v>-2.2000000000000002</v>
      </c>
    </row>
    <row r="64" spans="1:8" ht="16.95" customHeight="1" x14ac:dyDescent="0.3">
      <c r="A64" s="39" t="s">
        <v>128</v>
      </c>
      <c r="B64" s="9" t="s">
        <v>129</v>
      </c>
      <c r="C64" s="31">
        <v>42</v>
      </c>
      <c r="D64" s="32"/>
      <c r="E64" s="32"/>
      <c r="F64" s="33">
        <v>30.4</v>
      </c>
      <c r="G64" s="33">
        <v>13.6</v>
      </c>
      <c r="H64" s="33">
        <v>40</v>
      </c>
    </row>
    <row r="65" spans="1:8" ht="16.95" customHeight="1" x14ac:dyDescent="0.3">
      <c r="A65" s="40" t="s">
        <v>130</v>
      </c>
      <c r="B65" s="13" t="s">
        <v>131</v>
      </c>
      <c r="C65" s="36">
        <v>41</v>
      </c>
      <c r="D65" s="37"/>
      <c r="E65" s="37"/>
      <c r="F65" s="38">
        <v>26</v>
      </c>
      <c r="G65" s="38">
        <v>406.8</v>
      </c>
      <c r="H65" s="38">
        <v>8.3000000000000007</v>
      </c>
    </row>
    <row r="66" spans="1:8" ht="16.95" customHeight="1" x14ac:dyDescent="0.3">
      <c r="A66" s="39" t="s">
        <v>132</v>
      </c>
      <c r="B66" s="9" t="s">
        <v>133</v>
      </c>
      <c r="C66" s="31">
        <v>41</v>
      </c>
      <c r="D66" s="32">
        <v>39.6</v>
      </c>
      <c r="E66" s="32">
        <v>21.8</v>
      </c>
      <c r="F66" s="33">
        <v>29.5</v>
      </c>
      <c r="G66" s="33">
        <v>9.8000000000000007</v>
      </c>
      <c r="H66" s="33">
        <v>9.6999999999999993</v>
      </c>
    </row>
    <row r="67" spans="1:8" ht="16.95" customHeight="1" x14ac:dyDescent="0.3">
      <c r="A67" s="40" t="s">
        <v>134</v>
      </c>
      <c r="B67" s="13" t="s">
        <v>135</v>
      </c>
      <c r="C67" s="36">
        <v>41</v>
      </c>
      <c r="D67" s="37">
        <v>35.4</v>
      </c>
      <c r="E67" s="37">
        <v>20.7</v>
      </c>
      <c r="F67" s="38">
        <v>21.8</v>
      </c>
      <c r="G67" s="38">
        <v>7.3</v>
      </c>
      <c r="H67" s="38">
        <v>-2.6</v>
      </c>
    </row>
    <row r="68" spans="1:8" ht="16.95" customHeight="1" x14ac:dyDescent="0.3">
      <c r="A68" s="39" t="s">
        <v>136</v>
      </c>
      <c r="B68" s="9" t="s">
        <v>137</v>
      </c>
      <c r="C68" s="31">
        <v>40</v>
      </c>
      <c r="D68" s="32"/>
      <c r="E68" s="32"/>
      <c r="F68" s="33">
        <v>27.9</v>
      </c>
      <c r="G68" s="33">
        <v>9</v>
      </c>
      <c r="H68" s="33">
        <v>-33.299999999999997</v>
      </c>
    </row>
    <row r="69" spans="1:8" ht="16.95" customHeight="1" x14ac:dyDescent="0.3">
      <c r="A69" s="40" t="s">
        <v>138</v>
      </c>
      <c r="B69" s="13" t="s">
        <v>139</v>
      </c>
      <c r="C69" s="36">
        <v>39</v>
      </c>
      <c r="D69" s="37"/>
      <c r="E69" s="37"/>
      <c r="F69" s="38">
        <v>11.3</v>
      </c>
      <c r="G69" s="38">
        <v>3.1</v>
      </c>
      <c r="H69" s="38">
        <v>3.5</v>
      </c>
    </row>
    <row r="70" spans="1:8" ht="16.95" customHeight="1" x14ac:dyDescent="0.3">
      <c r="A70" s="39" t="s">
        <v>140</v>
      </c>
      <c r="B70" s="9" t="s">
        <v>141</v>
      </c>
      <c r="C70" s="31">
        <v>39</v>
      </c>
      <c r="D70" s="32"/>
      <c r="E70" s="32"/>
      <c r="F70" s="33"/>
      <c r="G70" s="33"/>
      <c r="H70" s="33"/>
    </row>
    <row r="71" spans="1:8" ht="16.95" customHeight="1" x14ac:dyDescent="0.3">
      <c r="A71" s="40" t="s">
        <v>142</v>
      </c>
      <c r="B71" s="13" t="s">
        <v>143</v>
      </c>
      <c r="C71" s="36">
        <v>39</v>
      </c>
      <c r="D71" s="37">
        <v>6.6</v>
      </c>
      <c r="E71" s="37">
        <v>5.5</v>
      </c>
      <c r="F71" s="38">
        <v>7.5</v>
      </c>
      <c r="G71" s="38">
        <v>-730.9</v>
      </c>
      <c r="H71" s="38">
        <v>3.2</v>
      </c>
    </row>
    <row r="72" spans="1:8" ht="16.95" customHeight="1" x14ac:dyDescent="0.3">
      <c r="A72" s="39" t="s">
        <v>144</v>
      </c>
      <c r="B72" s="9" t="s">
        <v>145</v>
      </c>
      <c r="C72" s="31">
        <v>38</v>
      </c>
      <c r="D72" s="32">
        <v>25.7</v>
      </c>
      <c r="E72" s="32">
        <v>15.4</v>
      </c>
      <c r="F72" s="33">
        <v>15.8</v>
      </c>
      <c r="G72" s="33">
        <v>11.7</v>
      </c>
      <c r="H72" s="33">
        <v>8.3000000000000007</v>
      </c>
    </row>
    <row r="73" spans="1:8" ht="16.95" customHeight="1" x14ac:dyDescent="0.3">
      <c r="A73" s="40" t="s">
        <v>146</v>
      </c>
      <c r="B73" s="13" t="s">
        <v>147</v>
      </c>
      <c r="C73" s="36">
        <v>36</v>
      </c>
      <c r="D73" s="37">
        <v>42.7</v>
      </c>
      <c r="E73" s="37">
        <v>24.2</v>
      </c>
      <c r="F73" s="38">
        <v>23.3</v>
      </c>
      <c r="G73" s="38">
        <v>8.5</v>
      </c>
      <c r="H73" s="38">
        <v>9.1</v>
      </c>
    </row>
    <row r="74" spans="1:8" ht="16.95" customHeight="1" x14ac:dyDescent="0.3">
      <c r="A74" s="39" t="s">
        <v>148</v>
      </c>
      <c r="B74" s="9" t="s">
        <v>149</v>
      </c>
      <c r="C74" s="31">
        <v>34</v>
      </c>
      <c r="D74" s="32"/>
      <c r="E74" s="32"/>
      <c r="F74" s="33">
        <v>12.8</v>
      </c>
      <c r="G74" s="33">
        <v>20</v>
      </c>
      <c r="H74" s="33">
        <v>13.8</v>
      </c>
    </row>
    <row r="75" spans="1:8" ht="16.95" customHeight="1" x14ac:dyDescent="0.3">
      <c r="A75" s="40" t="s">
        <v>150</v>
      </c>
      <c r="B75" s="13" t="s">
        <v>151</v>
      </c>
      <c r="C75" s="36">
        <v>33</v>
      </c>
      <c r="D75" s="37">
        <v>48.1</v>
      </c>
      <c r="E75" s="37">
        <v>19</v>
      </c>
      <c r="F75" s="38">
        <v>5.7</v>
      </c>
      <c r="G75" s="38">
        <v>43.4</v>
      </c>
      <c r="H75" s="38">
        <v>3.2</v>
      </c>
    </row>
    <row r="76" spans="1:8" ht="16.95" customHeight="1" x14ac:dyDescent="0.3">
      <c r="A76" s="39" t="s">
        <v>152</v>
      </c>
      <c r="B76" s="9" t="s">
        <v>153</v>
      </c>
      <c r="C76" s="31">
        <v>32</v>
      </c>
      <c r="D76" s="32"/>
      <c r="E76" s="32"/>
      <c r="F76" s="33">
        <v>19.600000000000001</v>
      </c>
      <c r="G76" s="33">
        <v>90</v>
      </c>
      <c r="H76" s="33">
        <v>-11.1</v>
      </c>
    </row>
    <row r="77" spans="1:8" ht="16.95" customHeight="1" x14ac:dyDescent="0.3">
      <c r="A77" s="40" t="s">
        <v>154</v>
      </c>
      <c r="B77" s="13" t="s">
        <v>155</v>
      </c>
      <c r="C77" s="36">
        <v>32</v>
      </c>
      <c r="D77" s="37"/>
      <c r="E77" s="37"/>
      <c r="F77" s="38">
        <v>24</v>
      </c>
      <c r="G77" s="38">
        <v>6</v>
      </c>
      <c r="H77" s="38">
        <v>-200</v>
      </c>
    </row>
    <row r="78" spans="1:8" ht="16.95" customHeight="1" x14ac:dyDescent="0.3">
      <c r="A78" s="39" t="s">
        <v>156</v>
      </c>
      <c r="B78" s="9" t="s">
        <v>184</v>
      </c>
      <c r="C78" s="31">
        <v>32</v>
      </c>
      <c r="D78" s="32"/>
      <c r="E78" s="32"/>
      <c r="F78" s="33">
        <v>19.3</v>
      </c>
      <c r="G78" s="33">
        <v>14.9</v>
      </c>
      <c r="H78" s="33">
        <v>7</v>
      </c>
    </row>
    <row r="79" spans="1:8" ht="16.95" customHeight="1" x14ac:dyDescent="0.3">
      <c r="A79" s="40" t="s">
        <v>157</v>
      </c>
      <c r="B79" s="13" t="s">
        <v>158</v>
      </c>
      <c r="C79" s="36">
        <v>32</v>
      </c>
      <c r="D79" s="37"/>
      <c r="E79" s="37"/>
      <c r="F79" s="38">
        <v>3.8</v>
      </c>
      <c r="G79" s="38">
        <v>-3.7</v>
      </c>
      <c r="H79" s="38">
        <v>21.7</v>
      </c>
    </row>
    <row r="80" spans="1:8" ht="16.95" customHeight="1" x14ac:dyDescent="0.3">
      <c r="A80" s="39" t="s">
        <v>159</v>
      </c>
      <c r="B80" s="9" t="s">
        <v>160</v>
      </c>
      <c r="C80" s="31">
        <v>32</v>
      </c>
      <c r="D80" s="32"/>
      <c r="E80" s="32">
        <v>41.9</v>
      </c>
      <c r="F80" s="33">
        <v>23.6</v>
      </c>
      <c r="G80" s="33">
        <v>0</v>
      </c>
      <c r="H80" s="33">
        <v>-42.3</v>
      </c>
    </row>
    <row r="81" spans="1:8" ht="16.95" customHeight="1" x14ac:dyDescent="0.3">
      <c r="A81" s="40" t="s">
        <v>161</v>
      </c>
      <c r="B81" s="13" t="s">
        <v>162</v>
      </c>
      <c r="C81" s="36">
        <v>31</v>
      </c>
      <c r="D81" s="37"/>
      <c r="E81" s="37"/>
      <c r="F81" s="38">
        <v>30.9</v>
      </c>
      <c r="G81" s="38">
        <v>65.900000000000006</v>
      </c>
      <c r="H81" s="38">
        <v>7.1</v>
      </c>
    </row>
    <row r="82" spans="1:8" ht="16.95" customHeight="1" x14ac:dyDescent="0.3">
      <c r="A82" s="39" t="s">
        <v>163</v>
      </c>
      <c r="B82" s="9" t="s">
        <v>164</v>
      </c>
      <c r="C82" s="31">
        <v>28</v>
      </c>
      <c r="D82" s="32"/>
      <c r="E82" s="32">
        <v>87.7</v>
      </c>
      <c r="F82" s="33">
        <v>-17</v>
      </c>
      <c r="G82" s="33">
        <v>-17.8</v>
      </c>
      <c r="H82" s="33">
        <v>10.4</v>
      </c>
    </row>
    <row r="83" spans="1:8" ht="16.95" customHeight="1" x14ac:dyDescent="0.3">
      <c r="A83" s="40" t="s">
        <v>165</v>
      </c>
      <c r="B83" s="13" t="s">
        <v>166</v>
      </c>
      <c r="C83" s="36">
        <v>26</v>
      </c>
      <c r="D83" s="37"/>
      <c r="E83" s="37"/>
      <c r="F83" s="38">
        <v>22.1</v>
      </c>
      <c r="G83" s="38">
        <v>31.6</v>
      </c>
      <c r="H83" s="38">
        <v>5.9</v>
      </c>
    </row>
    <row r="84" spans="1:8" ht="16.95" customHeight="1" x14ac:dyDescent="0.3">
      <c r="A84" s="39" t="s">
        <v>167</v>
      </c>
      <c r="B84" s="9" t="s">
        <v>168</v>
      </c>
      <c r="C84" s="31">
        <v>25</v>
      </c>
      <c r="D84" s="32"/>
      <c r="E84" s="32"/>
      <c r="F84" s="33">
        <v>12.6</v>
      </c>
      <c r="G84" s="33">
        <v>10.3</v>
      </c>
      <c r="H84" s="33">
        <v>15.4</v>
      </c>
    </row>
    <row r="85" spans="1:8" ht="16.95" customHeight="1" x14ac:dyDescent="0.3">
      <c r="A85" s="40" t="s">
        <v>169</v>
      </c>
      <c r="B85" s="13" t="s">
        <v>170</v>
      </c>
      <c r="C85" s="36">
        <v>24</v>
      </c>
      <c r="D85" s="37">
        <v>221.5</v>
      </c>
      <c r="E85" s="37">
        <v>31.3</v>
      </c>
      <c r="F85" s="38">
        <v>14.8</v>
      </c>
      <c r="G85" s="38">
        <v>160</v>
      </c>
      <c r="H85" s="38">
        <v>-15.3</v>
      </c>
    </row>
    <row r="86" spans="1:8" ht="16.95" customHeight="1" x14ac:dyDescent="0.3">
      <c r="A86" s="39" t="s">
        <v>171</v>
      </c>
      <c r="B86" s="9" t="s">
        <v>172</v>
      </c>
      <c r="C86" s="31">
        <v>23</v>
      </c>
      <c r="D86" s="32"/>
      <c r="E86" s="32"/>
      <c r="F86" s="33">
        <v>17</v>
      </c>
      <c r="G86" s="33">
        <v>24.6</v>
      </c>
      <c r="H86" s="33">
        <v>7.4</v>
      </c>
    </row>
    <row r="87" spans="1:8" ht="16.95" customHeight="1" x14ac:dyDescent="0.3">
      <c r="A87" s="40" t="s">
        <v>173</v>
      </c>
      <c r="B87" s="13" t="s">
        <v>174</v>
      </c>
      <c r="C87" s="36">
        <v>23</v>
      </c>
      <c r="D87" s="37"/>
      <c r="E87" s="37"/>
      <c r="F87" s="38">
        <v>19.899999999999999</v>
      </c>
      <c r="G87" s="38">
        <v>228</v>
      </c>
      <c r="H87" s="38">
        <v>3.7</v>
      </c>
    </row>
    <row r="88" spans="1:8" ht="16.95" customHeight="1" x14ac:dyDescent="0.3">
      <c r="A88" s="39" t="s">
        <v>175</v>
      </c>
      <c r="B88" s="9" t="s">
        <v>176</v>
      </c>
      <c r="C88" s="31">
        <v>20</v>
      </c>
      <c r="D88" s="32"/>
      <c r="E88" s="32"/>
      <c r="F88" s="33">
        <v>8.6999999999999993</v>
      </c>
      <c r="G88" s="33">
        <v>40.9</v>
      </c>
      <c r="H88" s="33">
        <v>6.8</v>
      </c>
    </row>
    <row r="89" spans="1:8" ht="16.95" customHeight="1" x14ac:dyDescent="0.3">
      <c r="A89" s="40" t="s">
        <v>177</v>
      </c>
      <c r="B89" s="13" t="s">
        <v>178</v>
      </c>
      <c r="C89" s="36">
        <v>18</v>
      </c>
      <c r="D89" s="37"/>
      <c r="E89" s="37"/>
      <c r="F89" s="38">
        <v>13.6</v>
      </c>
      <c r="G89" s="38">
        <v>13.7</v>
      </c>
      <c r="H89" s="38">
        <v>170</v>
      </c>
    </row>
    <row r="90" spans="1:8" ht="16.95" customHeight="1" x14ac:dyDescent="0.3">
      <c r="A90" s="39" t="s">
        <v>179</v>
      </c>
      <c r="B90" s="9" t="s">
        <v>185</v>
      </c>
      <c r="C90" s="31">
        <v>18</v>
      </c>
      <c r="D90" s="32"/>
      <c r="E90" s="32"/>
      <c r="F90" s="33">
        <v>32.299999999999997</v>
      </c>
      <c r="G90" s="33">
        <v>2.7</v>
      </c>
      <c r="H90" s="33">
        <v>5.4</v>
      </c>
    </row>
    <row r="91" spans="1:8" ht="16.95" customHeight="1" x14ac:dyDescent="0.3">
      <c r="A91" s="40" t="s">
        <v>180</v>
      </c>
      <c r="B91" s="13" t="s">
        <v>181</v>
      </c>
      <c r="C91" s="36">
        <v>0</v>
      </c>
      <c r="D91" s="37"/>
      <c r="E91" s="37"/>
      <c r="F91" s="38"/>
      <c r="G91" s="38">
        <v>-158.6</v>
      </c>
      <c r="H91" s="38">
        <v>-3.2</v>
      </c>
    </row>
  </sheetData>
  <conditionalFormatting sqref="C4:C91">
    <cfRule type="colorScale" priority="1">
      <colorScale>
        <cfvo type="min"/>
        <cfvo type="num" val="50"/>
        <cfvo type="max"/>
        <color rgb="FFFF6347"/>
        <color rgb="FFFFFF00"/>
        <color rgb="FF00B050"/>
      </colorScale>
    </cfRule>
  </conditionalFormatting>
  <conditionalFormatting sqref="C4:C91">
    <cfRule type="colorScale" priority="2">
      <colorScale>
        <cfvo type="min"/>
        <cfvo type="num" val="50"/>
        <cfvo type="max"/>
        <color rgb="FFFF6347"/>
        <color rgb="FFFFD700"/>
        <color rgb="FF00B0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selection activeCell="I1" sqref="I1:L2"/>
    </sheetView>
  </sheetViews>
  <sheetFormatPr baseColWidth="10" defaultColWidth="8.88671875" defaultRowHeight="14.4" x14ac:dyDescent="0.3"/>
  <cols>
    <col min="1" max="1" width="13" customWidth="1"/>
    <col min="2" max="2" width="29.6640625" customWidth="1"/>
    <col min="3" max="3" width="16.6640625" customWidth="1"/>
    <col min="4" max="5" width="13.88671875" customWidth="1"/>
    <col min="6" max="8" width="15.77734375" customWidth="1"/>
    <col min="9" max="9" width="16.6640625" customWidth="1"/>
  </cols>
  <sheetData>
    <row r="1" spans="1:8" ht="25.95" customHeight="1" x14ac:dyDescent="0.35">
      <c r="A1" s="2" t="s">
        <v>198</v>
      </c>
      <c r="B1" s="1"/>
      <c r="C1" s="3" t="s">
        <v>258</v>
      </c>
      <c r="D1" s="1"/>
      <c r="E1" s="1"/>
      <c r="F1" s="1"/>
      <c r="G1" s="1"/>
      <c r="H1" s="1"/>
    </row>
    <row r="2" spans="1:8" ht="15" customHeight="1" x14ac:dyDescent="0.3">
      <c r="A2" s="5" t="s">
        <v>259</v>
      </c>
      <c r="B2" s="4"/>
      <c r="C2" s="4"/>
      <c r="D2" s="4"/>
      <c r="E2" s="4"/>
      <c r="F2" s="4"/>
      <c r="G2" s="4"/>
      <c r="H2" s="4"/>
    </row>
    <row r="3" spans="1:8" ht="18" customHeight="1" x14ac:dyDescent="0.3">
      <c r="A3" s="15" t="s">
        <v>221</v>
      </c>
      <c r="B3" s="16" t="s">
        <v>222</v>
      </c>
      <c r="C3" s="16" t="s">
        <v>257</v>
      </c>
      <c r="D3" s="16" t="s">
        <v>5</v>
      </c>
      <c r="E3" s="16" t="s">
        <v>6</v>
      </c>
      <c r="F3" s="16" t="s">
        <v>224</v>
      </c>
      <c r="G3" s="16" t="s">
        <v>7</v>
      </c>
      <c r="H3" s="16" t="s">
        <v>225</v>
      </c>
    </row>
    <row r="4" spans="1:8" ht="16.95" customHeight="1" x14ac:dyDescent="0.3">
      <c r="A4" s="39" t="s">
        <v>260</v>
      </c>
      <c r="B4" s="9" t="s">
        <v>261</v>
      </c>
      <c r="C4" s="31">
        <v>72</v>
      </c>
      <c r="D4" s="32">
        <v>15.2</v>
      </c>
      <c r="E4" s="32">
        <v>12.8</v>
      </c>
      <c r="F4" s="73">
        <v>33.1</v>
      </c>
      <c r="G4" s="73">
        <v>23.4</v>
      </c>
      <c r="H4" s="73">
        <v>6.3</v>
      </c>
    </row>
    <row r="5" spans="1:8" ht="16.95" customHeight="1" x14ac:dyDescent="0.3">
      <c r="A5" s="40" t="s">
        <v>262</v>
      </c>
      <c r="B5" s="13" t="s">
        <v>263</v>
      </c>
      <c r="C5" s="36">
        <v>81</v>
      </c>
      <c r="D5" s="37">
        <v>32.4</v>
      </c>
      <c r="E5" s="37">
        <v>24.1</v>
      </c>
      <c r="F5" s="74">
        <v>42.3</v>
      </c>
      <c r="G5" s="74">
        <v>87.2</v>
      </c>
      <c r="H5" s="74">
        <v>24.1</v>
      </c>
    </row>
    <row r="6" spans="1:8" ht="16.95" customHeight="1" x14ac:dyDescent="0.3">
      <c r="A6" s="39" t="s">
        <v>264</v>
      </c>
      <c r="B6" s="9" t="s">
        <v>265</v>
      </c>
      <c r="C6" s="31">
        <v>79</v>
      </c>
      <c r="D6" s="32">
        <v>61.8</v>
      </c>
      <c r="E6" s="32">
        <v>43.2</v>
      </c>
      <c r="F6" s="73">
        <v>38.700000000000003</v>
      </c>
      <c r="G6" s="73">
        <v>52.6</v>
      </c>
      <c r="H6" s="73">
        <v>31.8</v>
      </c>
    </row>
    <row r="7" spans="1:8" ht="16.95" customHeight="1" x14ac:dyDescent="0.3">
      <c r="A7" s="40" t="s">
        <v>266</v>
      </c>
      <c r="B7" s="13" t="s">
        <v>267</v>
      </c>
      <c r="C7" s="36">
        <v>64</v>
      </c>
      <c r="D7" s="37">
        <v>13.1</v>
      </c>
      <c r="E7" s="37">
        <v>9.4</v>
      </c>
      <c r="F7" s="74">
        <v>29.2</v>
      </c>
      <c r="G7" s="74">
        <v>14.7</v>
      </c>
      <c r="H7" s="74">
        <v>5.8</v>
      </c>
    </row>
    <row r="8" spans="1:8" ht="16.95" customHeight="1" x14ac:dyDescent="0.3">
      <c r="A8" s="39" t="s">
        <v>268</v>
      </c>
      <c r="B8" s="9" t="s">
        <v>269</v>
      </c>
      <c r="C8" s="31">
        <v>77</v>
      </c>
      <c r="D8" s="32">
        <v>21.3</v>
      </c>
      <c r="E8" s="32">
        <v>15.6</v>
      </c>
      <c r="F8" s="73">
        <v>30.4</v>
      </c>
      <c r="G8" s="73">
        <v>26.1</v>
      </c>
      <c r="H8" s="73">
        <v>18.600000000000001</v>
      </c>
    </row>
    <row r="9" spans="1:8" ht="16.95" customHeight="1" x14ac:dyDescent="0.3">
      <c r="A9" s="40" t="s">
        <v>270</v>
      </c>
      <c r="B9" s="13" t="s">
        <v>271</v>
      </c>
      <c r="C9" s="36">
        <v>58</v>
      </c>
      <c r="D9" s="37">
        <v>14.7</v>
      </c>
      <c r="E9" s="37">
        <v>11.2</v>
      </c>
      <c r="F9" s="74">
        <v>27.3</v>
      </c>
      <c r="G9" s="74">
        <v>18.2</v>
      </c>
      <c r="H9" s="74">
        <v>3.1</v>
      </c>
    </row>
  </sheetData>
  <conditionalFormatting sqref="C4:C9">
    <cfRule type="colorScale" priority="1">
      <colorScale>
        <cfvo type="min"/>
        <cfvo type="num" val="50"/>
        <cfvo type="max"/>
        <color rgb="FFFF6347"/>
        <color rgb="FFFFD7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SYNTHÈSE</vt:lpstr>
      <vt:lpstr>AGRÉGATS</vt:lpstr>
      <vt:lpstr>TOP_TECH</vt:lpstr>
      <vt:lpstr>TOP_HC</vt:lpstr>
      <vt:lpstr>DATA_TECH</vt:lpstr>
      <vt:lpstr>DATA_HC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2026-04-12T14:38:18Z</dcterms:created>
  <dcterms:modified xsi:type="dcterms:W3CDTF">2026-04-13T15:38:42Z</dcterms:modified>
</cp:coreProperties>
</file>