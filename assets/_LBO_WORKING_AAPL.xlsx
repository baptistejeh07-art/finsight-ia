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pti\finsight-ia\assets\"/>
    </mc:Choice>
  </mc:AlternateContent>
  <xr:revisionPtr revIDLastSave="0" documentId="13_ncr:1_{97F60FB3-BD78-491A-A22E-E8023BB4F97A}" xr6:coauthVersionLast="47" xr6:coauthVersionMax="47" xr10:uidLastSave="{00000000-0000-0000-0000-000000000000}"/>
  <bookViews>
    <workbookView xWindow="-108" yWindow="-108" windowWidth="23256" windowHeight="13896" tabRatio="701" firstSheet="3" activeTab="11" xr2:uid="{00000000-000D-0000-FFFF-FFFF00000000}"/>
  </bookViews>
  <sheets>
    <sheet name="INPUT" sheetId="1" r:id="rId1"/>
    <sheet name="RATIOS" sheetId="2" r:id="rId2"/>
    <sheet name="ALTMAN Z-SCORE" sheetId="3" r:id="rId3"/>
    <sheet name="BENEISH M-SCORE" sheetId="4" r:id="rId4"/>
    <sheet name="DCF" sheetId="5" r:id="rId5"/>
    <sheet name="COMPARABLES" sheetId="6" r:id="rId6"/>
    <sheet name="SCENARIOS" sheetId="7" r:id="rId7"/>
    <sheet name="DASHBOARD" sheetId="8" r:id="rId8"/>
    <sheet name="DASHBOARD 2" sheetId="9" r:id="rId9"/>
    <sheet name="STOCK_DATA" sheetId="10" state="hidden" r:id="rId10"/>
    <sheet name="SECTOR_REF" sheetId="11" state="hidden" r:id="rId11"/>
    <sheet name="LBO MODEL" sheetId="12" r:id="rId12"/>
    <sheet name="_LBO_CALC" sheetId="13" state="hidden" r:id="rId13"/>
  </sheets>
  <definedNames>
    <definedName name="LBO_ELIGIBLE">'LBO MODEL'!$C$62</definedName>
    <definedName name="LBO_EQUITY_ENTRY">'LBO MODEL'!$C$69</definedName>
    <definedName name="LBO_EQUITY_EXIT">'LBO MODEL'!$C$70</definedName>
    <definedName name="LBO_IRR_BASE">'LBO MODEL'!$C$64</definedName>
    <definedName name="LBO_IRR_BEAR">'LBO MODEL'!$C$67</definedName>
    <definedName name="LBO_IRR_BULL">'LBO MODEL'!$C$66</definedName>
    <definedName name="LBO_LEVERAGE_EXIT">'LBO MODEL'!$C$68</definedName>
    <definedName name="LBO_MEGA_FLAG">'LBO MODEL'!$C$63</definedName>
    <definedName name="LBO_MOIC_BASE">'LBO MODEL'!$C$65</definedName>
    <definedName name="_xlnm.Print_Area" localSheetId="2">'ALTMAN Z-SCORE'!$A$1:$H$44</definedName>
    <definedName name="_xlnm.Print_Area" localSheetId="3">'BENEISH M-SCORE'!$A$1:$F$57</definedName>
    <definedName name="_xlnm.Print_Area" localSheetId="5">COMPARABLES!$A$1:$L$45</definedName>
    <definedName name="_xlnm.Print_Area" localSheetId="7">DASHBOARD!$A$1:$N$94</definedName>
    <definedName name="_xlnm.Print_Area" localSheetId="8">'DASHBOARD 2'!$A$1:$P$107</definedName>
    <definedName name="_xlnm.Print_Area" localSheetId="4">DCF!$A$1:$L$115</definedName>
    <definedName name="_xlnm.Print_Area" localSheetId="0">INPUT!$A$1:$H$126</definedName>
    <definedName name="_xlnm.Print_Area" localSheetId="11">'LBO MODEL'!$B$1:$M$73</definedName>
    <definedName name="_xlnm.Print_Area" localSheetId="1">RATIOS!$A$1:$H$70</definedName>
    <definedName name="_xlnm.Print_Area" localSheetId="6">SCENARIOS!$A$1:$I$55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3" l="1"/>
  <c r="B37" i="13"/>
  <c r="M36" i="13"/>
  <c r="C63" i="12"/>
  <c r="B52" i="12"/>
  <c r="B51" i="12"/>
  <c r="B50" i="12"/>
  <c r="B49" i="12"/>
  <c r="B48" i="12"/>
  <c r="I47" i="12"/>
  <c r="H47" i="12"/>
  <c r="G47" i="12"/>
  <c r="F47" i="12"/>
  <c r="E47" i="12"/>
  <c r="L32" i="12"/>
  <c r="C9" i="12"/>
  <c r="C8" i="12"/>
  <c r="C7" i="12"/>
  <c r="P106" i="9"/>
  <c r="J106" i="9"/>
  <c r="P105" i="9"/>
  <c r="J105" i="9"/>
  <c r="G105" i="9"/>
  <c r="F105" i="9"/>
  <c r="E105" i="9"/>
  <c r="D105" i="9"/>
  <c r="C105" i="9"/>
  <c r="P104" i="9"/>
  <c r="J104" i="9"/>
  <c r="E104" i="9"/>
  <c r="D104" i="9"/>
  <c r="C104" i="9"/>
  <c r="P103" i="9"/>
  <c r="L103" i="9"/>
  <c r="R92" i="9" s="1"/>
  <c r="K103" i="9"/>
  <c r="Q92" i="9" s="1"/>
  <c r="J103" i="9"/>
  <c r="D103" i="9"/>
  <c r="C103" i="9"/>
  <c r="X88" i="9"/>
  <c r="X87" i="9"/>
  <c r="V87" i="9"/>
  <c r="X27" i="9"/>
  <c r="W27" i="9"/>
  <c r="V27" i="9"/>
  <c r="U27" i="9"/>
  <c r="T27" i="9"/>
  <c r="X26" i="9"/>
  <c r="W26" i="9"/>
  <c r="V26" i="9"/>
  <c r="U26" i="9"/>
  <c r="T26" i="9"/>
  <c r="X24" i="9"/>
  <c r="W24" i="9"/>
  <c r="V24" i="9"/>
  <c r="U24" i="9"/>
  <c r="T24" i="9"/>
  <c r="X23" i="9"/>
  <c r="W23" i="9"/>
  <c r="V23" i="9"/>
  <c r="U23" i="9"/>
  <c r="T23" i="9"/>
  <c r="U20" i="9"/>
  <c r="T20" i="9"/>
  <c r="X19" i="9"/>
  <c r="G104" i="9" s="1"/>
  <c r="W19" i="9"/>
  <c r="F104" i="9" s="1"/>
  <c r="V19" i="9"/>
  <c r="U19" i="9"/>
  <c r="T19" i="9"/>
  <c r="X17" i="9"/>
  <c r="W17" i="9"/>
  <c r="V17" i="9"/>
  <c r="E103" i="9" s="1"/>
  <c r="U17" i="9"/>
  <c r="T17" i="9"/>
  <c r="D12" i="9"/>
  <c r="T11" i="9"/>
  <c r="D11" i="9"/>
  <c r="V10" i="9"/>
  <c r="T10" i="9"/>
  <c r="V89" i="9" s="1"/>
  <c r="D10" i="9"/>
  <c r="V9" i="9"/>
  <c r="T9" i="9"/>
  <c r="D9" i="9"/>
  <c r="V8" i="9"/>
  <c r="T8" i="9"/>
  <c r="U8" i="9" s="1"/>
  <c r="W87" i="9" s="1"/>
  <c r="D8" i="9"/>
  <c r="V7" i="9"/>
  <c r="T7" i="9"/>
  <c r="V86" i="9" s="1"/>
  <c r="D7" i="9"/>
  <c r="V6" i="9"/>
  <c r="T6" i="9"/>
  <c r="V85" i="9" s="1"/>
  <c r="R1" i="9"/>
  <c r="N94" i="8"/>
  <c r="M94" i="8"/>
  <c r="L94" i="8"/>
  <c r="K94" i="8"/>
  <c r="J94" i="8"/>
  <c r="N93" i="8"/>
  <c r="M93" i="8"/>
  <c r="L93" i="8"/>
  <c r="K93" i="8"/>
  <c r="J93" i="8"/>
  <c r="N92" i="8"/>
  <c r="M92" i="8"/>
  <c r="L92" i="8"/>
  <c r="K92" i="8"/>
  <c r="J92" i="8"/>
  <c r="N91" i="8"/>
  <c r="M91" i="8"/>
  <c r="L91" i="8"/>
  <c r="K91" i="8"/>
  <c r="J91" i="8"/>
  <c r="N90" i="8"/>
  <c r="M90" i="8"/>
  <c r="L90" i="8"/>
  <c r="K90" i="8"/>
  <c r="J90" i="8"/>
  <c r="H89" i="8"/>
  <c r="G89" i="8"/>
  <c r="F89" i="8"/>
  <c r="E89" i="8"/>
  <c r="D89" i="8"/>
  <c r="J88" i="8"/>
  <c r="H88" i="8"/>
  <c r="G88" i="8"/>
  <c r="F88" i="8"/>
  <c r="E88" i="8"/>
  <c r="D88" i="8"/>
  <c r="J87" i="8"/>
  <c r="J86" i="8"/>
  <c r="N85" i="8"/>
  <c r="M85" i="8"/>
  <c r="L85" i="8"/>
  <c r="K85" i="8"/>
  <c r="J85" i="8"/>
  <c r="G82" i="8"/>
  <c r="F82" i="8"/>
  <c r="E82" i="8"/>
  <c r="D82" i="8"/>
  <c r="C82" i="8"/>
  <c r="M81" i="8"/>
  <c r="L81" i="8"/>
  <c r="K81" i="8"/>
  <c r="J81" i="8"/>
  <c r="I81" i="8"/>
  <c r="G81" i="8"/>
  <c r="F81" i="8"/>
  <c r="E81" i="8"/>
  <c r="D81" i="8"/>
  <c r="C81" i="8"/>
  <c r="K68" i="8"/>
  <c r="E68" i="8"/>
  <c r="J67" i="8"/>
  <c r="E67" i="8"/>
  <c r="E66" i="8"/>
  <c r="D66" i="8"/>
  <c r="E65" i="8"/>
  <c r="D65" i="8"/>
  <c r="E64" i="8"/>
  <c r="D64" i="8"/>
  <c r="D63" i="8"/>
  <c r="K62" i="8"/>
  <c r="J62" i="8"/>
  <c r="K61" i="8"/>
  <c r="J61" i="8"/>
  <c r="E61" i="8"/>
  <c r="D61" i="8"/>
  <c r="E60" i="8"/>
  <c r="D60" i="8"/>
  <c r="J47" i="8"/>
  <c r="I47" i="8"/>
  <c r="K47" i="8" s="1"/>
  <c r="L47" i="8" s="1"/>
  <c r="C47" i="8"/>
  <c r="J45" i="8"/>
  <c r="I45" i="8"/>
  <c r="C45" i="8"/>
  <c r="R11" i="8"/>
  <c r="R8" i="8"/>
  <c r="M5" i="8"/>
  <c r="G62" i="7"/>
  <c r="F62" i="7"/>
  <c r="E62" i="7"/>
  <c r="D62" i="7"/>
  <c r="C62" i="7"/>
  <c r="G57" i="7"/>
  <c r="F57" i="7"/>
  <c r="E57" i="7"/>
  <c r="D57" i="7"/>
  <c r="C57" i="7"/>
  <c r="H44" i="7"/>
  <c r="G44" i="7"/>
  <c r="F44" i="7"/>
  <c r="E44" i="7"/>
  <c r="D44" i="7"/>
  <c r="H38" i="7"/>
  <c r="G38" i="7"/>
  <c r="F38" i="7"/>
  <c r="E38" i="7"/>
  <c r="D38" i="7"/>
  <c r="B35" i="7"/>
  <c r="E33" i="7"/>
  <c r="D33" i="7"/>
  <c r="F18" i="7"/>
  <c r="G17" i="7"/>
  <c r="F17" i="7"/>
  <c r="E17" i="7"/>
  <c r="D17" i="7"/>
  <c r="L16" i="7"/>
  <c r="K16" i="7"/>
  <c r="J16" i="7"/>
  <c r="I16" i="7"/>
  <c r="H16" i="7"/>
  <c r="G16" i="7"/>
  <c r="F16" i="7"/>
  <c r="E16" i="7"/>
  <c r="D16" i="7"/>
  <c r="D14" i="7"/>
  <c r="F10" i="7" a="1"/>
  <c r="F10" i="7" s="1"/>
  <c r="E10" i="7" a="1"/>
  <c r="E10" i="7"/>
  <c r="F9" i="7" a="1"/>
  <c r="F9" i="7" s="1"/>
  <c r="E9" i="7" a="1"/>
  <c r="E9" i="7" s="1"/>
  <c r="E27" i="7" s="1"/>
  <c r="D9" i="7" a="1"/>
  <c r="D9" i="7"/>
  <c r="M5" i="7"/>
  <c r="L5" i="7"/>
  <c r="K5" i="7"/>
  <c r="J5" i="7"/>
  <c r="I5" i="7"/>
  <c r="H5" i="7"/>
  <c r="G5" i="7"/>
  <c r="F5" i="7"/>
  <c r="E5" i="7"/>
  <c r="K57" i="6"/>
  <c r="B57" i="6"/>
  <c r="K56" i="6"/>
  <c r="B56" i="6"/>
  <c r="K55" i="6"/>
  <c r="B53" i="6"/>
  <c r="B52" i="6"/>
  <c r="C51" i="6"/>
  <c r="B51" i="6"/>
  <c r="B50" i="6"/>
  <c r="E49" i="6"/>
  <c r="D49" i="6"/>
  <c r="B49" i="6"/>
  <c r="E48" i="6"/>
  <c r="D48" i="6"/>
  <c r="C48" i="6"/>
  <c r="B48" i="6"/>
  <c r="G37" i="6"/>
  <c r="F37" i="6"/>
  <c r="E37" i="6"/>
  <c r="D37" i="6"/>
  <c r="D26" i="6"/>
  <c r="D22" i="6"/>
  <c r="D21" i="6"/>
  <c r="J18" i="6"/>
  <c r="G18" i="6"/>
  <c r="F18" i="6"/>
  <c r="E18" i="6"/>
  <c r="D18" i="6"/>
  <c r="J17" i="6"/>
  <c r="G17" i="6"/>
  <c r="F17" i="6"/>
  <c r="E17" i="6"/>
  <c r="D17" i="6"/>
  <c r="K16" i="6"/>
  <c r="J16" i="6"/>
  <c r="G16" i="6"/>
  <c r="F16" i="6"/>
  <c r="E16" i="6"/>
  <c r="D16" i="6"/>
  <c r="J15" i="6"/>
  <c r="G15" i="6"/>
  <c r="F15" i="6"/>
  <c r="E15" i="6"/>
  <c r="D15" i="6"/>
  <c r="K13" i="6"/>
  <c r="E52" i="6" s="1"/>
  <c r="I13" i="6"/>
  <c r="D52" i="6" s="1"/>
  <c r="H13" i="6"/>
  <c r="C52" i="6" s="1"/>
  <c r="K12" i="6"/>
  <c r="E51" i="6" s="1"/>
  <c r="I12" i="6"/>
  <c r="D51" i="6" s="1"/>
  <c r="H12" i="6"/>
  <c r="K11" i="6"/>
  <c r="E50" i="6" s="1"/>
  <c r="I11" i="6"/>
  <c r="D50" i="6" s="1"/>
  <c r="H11" i="6"/>
  <c r="C50" i="6" s="1"/>
  <c r="K10" i="6"/>
  <c r="I10" i="6"/>
  <c r="H10" i="6"/>
  <c r="K9" i="6"/>
  <c r="I9" i="6"/>
  <c r="H9" i="6"/>
  <c r="G117" i="5"/>
  <c r="F117" i="5"/>
  <c r="E117" i="5"/>
  <c r="D117" i="5"/>
  <c r="C117" i="5"/>
  <c r="F109" i="5"/>
  <c r="E109" i="5"/>
  <c r="D92" i="5"/>
  <c r="N92" i="5" s="1"/>
  <c r="D90" i="5"/>
  <c r="N90" i="5" s="1"/>
  <c r="D87" i="5"/>
  <c r="N87" i="5" s="1"/>
  <c r="D74" i="5"/>
  <c r="D67" i="5"/>
  <c r="D109" i="5" s="1"/>
  <c r="D61" i="5"/>
  <c r="D62" i="5" s="1"/>
  <c r="N62" i="5" s="1"/>
  <c r="N60" i="5"/>
  <c r="D60" i="5"/>
  <c r="D59" i="5"/>
  <c r="N59" i="5" s="1"/>
  <c r="N58" i="5"/>
  <c r="D58" i="5"/>
  <c r="N55" i="5"/>
  <c r="D55" i="5"/>
  <c r="D54" i="5"/>
  <c r="N54" i="5" s="1"/>
  <c r="D53" i="5"/>
  <c r="H47" i="5"/>
  <c r="H10" i="13" s="1"/>
  <c r="G47" i="5"/>
  <c r="F47" i="5"/>
  <c r="E47" i="5"/>
  <c r="D47" i="5"/>
  <c r="H46" i="5"/>
  <c r="G46" i="5"/>
  <c r="I38" i="5"/>
  <c r="F38" i="5"/>
  <c r="E38" i="5"/>
  <c r="D38" i="5"/>
  <c r="M37" i="5"/>
  <c r="I37" i="5"/>
  <c r="D37" i="5"/>
  <c r="I34" i="5"/>
  <c r="K34" i="5" s="1"/>
  <c r="F34" i="5"/>
  <c r="E34" i="5"/>
  <c r="D34" i="5"/>
  <c r="M33" i="5"/>
  <c r="L33" i="5"/>
  <c r="K33" i="5"/>
  <c r="J33" i="5"/>
  <c r="I33" i="5"/>
  <c r="F33" i="5"/>
  <c r="E33" i="5"/>
  <c r="D33" i="5"/>
  <c r="I32" i="5"/>
  <c r="E32" i="5"/>
  <c r="D32" i="5"/>
  <c r="M31" i="5"/>
  <c r="L31" i="5"/>
  <c r="K31" i="5"/>
  <c r="J31" i="5"/>
  <c r="I31" i="5"/>
  <c r="F31" i="5"/>
  <c r="E31" i="5"/>
  <c r="D31" i="5"/>
  <c r="D30" i="5"/>
  <c r="L29" i="5"/>
  <c r="K29" i="5"/>
  <c r="D29" i="5"/>
  <c r="M28" i="5"/>
  <c r="L28" i="5"/>
  <c r="K28" i="5"/>
  <c r="J28" i="5"/>
  <c r="I28" i="5"/>
  <c r="H20" i="5"/>
  <c r="G20" i="5"/>
  <c r="F20" i="5"/>
  <c r="E20" i="5"/>
  <c r="D20" i="5"/>
  <c r="H17" i="5"/>
  <c r="H8" i="13" s="1"/>
  <c r="G17" i="5"/>
  <c r="F17" i="5"/>
  <c r="F46" i="5" s="1"/>
  <c r="E17" i="5"/>
  <c r="E46" i="5" s="1"/>
  <c r="D17" i="5"/>
  <c r="D46" i="5" s="1"/>
  <c r="H14" i="5"/>
  <c r="G14" i="5"/>
  <c r="F14" i="5"/>
  <c r="E14" i="5"/>
  <c r="D14" i="5"/>
  <c r="H13" i="5"/>
  <c r="G13" i="5"/>
  <c r="F13" i="5"/>
  <c r="E13" i="5"/>
  <c r="D13" i="5"/>
  <c r="H10" i="5"/>
  <c r="H11" i="5" s="1"/>
  <c r="G10" i="5"/>
  <c r="G11" i="5" s="1"/>
  <c r="F10" i="5"/>
  <c r="E10" i="5"/>
  <c r="D10" i="5"/>
  <c r="H9" i="5"/>
  <c r="H6" i="13" s="1"/>
  <c r="G9" i="5"/>
  <c r="F9" i="5"/>
  <c r="E9" i="5"/>
  <c r="E11" i="5" s="1"/>
  <c r="D9" i="5"/>
  <c r="D11" i="5" s="1"/>
  <c r="M5" i="5"/>
  <c r="L5" i="5"/>
  <c r="K5" i="5"/>
  <c r="J5" i="5"/>
  <c r="I5" i="5"/>
  <c r="H5" i="5"/>
  <c r="G5" i="5"/>
  <c r="F5" i="5"/>
  <c r="E5" i="5"/>
  <c r="D5" i="5"/>
  <c r="F35" i="4"/>
  <c r="F29" i="4"/>
  <c r="F41" i="4" s="1"/>
  <c r="F28" i="4"/>
  <c r="F40" i="4" s="1"/>
  <c r="F24" i="4"/>
  <c r="F36" i="4" s="1"/>
  <c r="F20" i="4"/>
  <c r="E20" i="4"/>
  <c r="F19" i="4"/>
  <c r="E19" i="4"/>
  <c r="F16" i="4"/>
  <c r="E16" i="4"/>
  <c r="F15" i="4"/>
  <c r="F13" i="4"/>
  <c r="E13" i="4"/>
  <c r="F12" i="4"/>
  <c r="E12" i="4"/>
  <c r="F11" i="4"/>
  <c r="F10" i="4"/>
  <c r="E10" i="4"/>
  <c r="F9" i="4"/>
  <c r="F27" i="4" s="1"/>
  <c r="F39" i="4" s="1"/>
  <c r="E9" i="4"/>
  <c r="E5" i="4"/>
  <c r="H14" i="3"/>
  <c r="G14" i="3"/>
  <c r="F14" i="3"/>
  <c r="E14" i="3"/>
  <c r="D14" i="3"/>
  <c r="H12" i="3"/>
  <c r="G12" i="3"/>
  <c r="F12" i="3"/>
  <c r="E12" i="3"/>
  <c r="H11" i="3"/>
  <c r="G11" i="3"/>
  <c r="H10" i="3"/>
  <c r="G10" i="3"/>
  <c r="F10" i="3"/>
  <c r="E10" i="3"/>
  <c r="D10" i="3"/>
  <c r="H8" i="3"/>
  <c r="G8" i="3"/>
  <c r="F8" i="3"/>
  <c r="D8" i="3"/>
  <c r="H5" i="3"/>
  <c r="G5" i="3"/>
  <c r="F5" i="3"/>
  <c r="E5" i="3"/>
  <c r="H107" i="2"/>
  <c r="G107" i="2"/>
  <c r="F107" i="2"/>
  <c r="E107" i="2"/>
  <c r="H103" i="2"/>
  <c r="G103" i="2"/>
  <c r="F103" i="2"/>
  <c r="E103" i="2"/>
  <c r="H101" i="2"/>
  <c r="G101" i="2"/>
  <c r="F101" i="2"/>
  <c r="E101" i="2"/>
  <c r="H99" i="2"/>
  <c r="H97" i="2"/>
  <c r="G95" i="2"/>
  <c r="E94" i="2"/>
  <c r="D94" i="2"/>
  <c r="H93" i="2"/>
  <c r="G93" i="2"/>
  <c r="F93" i="2"/>
  <c r="E93" i="2"/>
  <c r="D93" i="2"/>
  <c r="D92" i="2"/>
  <c r="D91" i="2"/>
  <c r="H90" i="2"/>
  <c r="G90" i="2"/>
  <c r="F90" i="2"/>
  <c r="E90" i="2"/>
  <c r="D90" i="2"/>
  <c r="H88" i="2"/>
  <c r="H94" i="2" s="1"/>
  <c r="G88" i="2"/>
  <c r="G94" i="2" s="1"/>
  <c r="F88" i="2"/>
  <c r="F94" i="2" s="1"/>
  <c r="E88" i="2"/>
  <c r="D88" i="2"/>
  <c r="H87" i="2"/>
  <c r="G87" i="2"/>
  <c r="F87" i="2"/>
  <c r="E87" i="2"/>
  <c r="D87" i="2"/>
  <c r="H86" i="2"/>
  <c r="H92" i="2" s="1"/>
  <c r="G86" i="2"/>
  <c r="G92" i="2" s="1"/>
  <c r="F86" i="2"/>
  <c r="F92" i="2" s="1"/>
  <c r="E86" i="2"/>
  <c r="E92" i="2" s="1"/>
  <c r="D86" i="2"/>
  <c r="H85" i="2"/>
  <c r="H91" i="2" s="1"/>
  <c r="G85" i="2"/>
  <c r="G91" i="2" s="1"/>
  <c r="F85" i="2"/>
  <c r="F91" i="2" s="1"/>
  <c r="E85" i="2"/>
  <c r="E91" i="2" s="1"/>
  <c r="D85" i="2"/>
  <c r="E84" i="2"/>
  <c r="D84" i="2"/>
  <c r="D82" i="2"/>
  <c r="D81" i="2"/>
  <c r="D80" i="2"/>
  <c r="H78" i="2"/>
  <c r="G78" i="2"/>
  <c r="R5" i="8" s="1"/>
  <c r="F78" i="2"/>
  <c r="R4" i="8" s="1"/>
  <c r="E78" i="2"/>
  <c r="R3" i="8" s="1"/>
  <c r="D78" i="2"/>
  <c r="D97" i="2" s="1"/>
  <c r="H75" i="2"/>
  <c r="G75" i="2"/>
  <c r="R10" i="8" s="1"/>
  <c r="F75" i="2"/>
  <c r="R9" i="8" s="1"/>
  <c r="E75" i="2"/>
  <c r="D75" i="2"/>
  <c r="H74" i="2"/>
  <c r="G74" i="2"/>
  <c r="F74" i="2"/>
  <c r="D74" i="2"/>
  <c r="H64" i="2"/>
  <c r="G64" i="2"/>
  <c r="F64" i="2"/>
  <c r="E64" i="2"/>
  <c r="D64" i="2"/>
  <c r="H51" i="2"/>
  <c r="G51" i="2"/>
  <c r="F51" i="2"/>
  <c r="I29" i="5" s="1"/>
  <c r="E51" i="2"/>
  <c r="H47" i="2"/>
  <c r="G47" i="2"/>
  <c r="F47" i="2"/>
  <c r="E47" i="2"/>
  <c r="D47" i="2"/>
  <c r="H46" i="2"/>
  <c r="H45" i="2"/>
  <c r="G45" i="2"/>
  <c r="F45" i="2"/>
  <c r="E45" i="2"/>
  <c r="D45" i="2"/>
  <c r="H44" i="2"/>
  <c r="G44" i="2"/>
  <c r="F44" i="2"/>
  <c r="F46" i="2" s="1"/>
  <c r="E44" i="2"/>
  <c r="E46" i="2" s="1"/>
  <c r="D44" i="2"/>
  <c r="H43" i="2"/>
  <c r="G43" i="2"/>
  <c r="F43" i="2"/>
  <c r="E43" i="2"/>
  <c r="D43" i="2"/>
  <c r="H42" i="2"/>
  <c r="G42" i="2"/>
  <c r="F42" i="2"/>
  <c r="E42" i="2"/>
  <c r="D42" i="2"/>
  <c r="D46" i="2" s="1"/>
  <c r="H41" i="2"/>
  <c r="G41" i="2"/>
  <c r="F41" i="2"/>
  <c r="E41" i="2"/>
  <c r="D41" i="2"/>
  <c r="G34" i="2"/>
  <c r="G31" i="2"/>
  <c r="F31" i="2"/>
  <c r="E31" i="2"/>
  <c r="H30" i="2"/>
  <c r="G30" i="2"/>
  <c r="F30" i="2"/>
  <c r="H19" i="2"/>
  <c r="H80" i="2" s="1"/>
  <c r="F19" i="2"/>
  <c r="F80" i="2" s="1"/>
  <c r="H14" i="2"/>
  <c r="G14" i="2"/>
  <c r="F14" i="2"/>
  <c r="E14" i="2"/>
  <c r="G13" i="2"/>
  <c r="F13" i="2"/>
  <c r="E13" i="2"/>
  <c r="F11" i="2"/>
  <c r="E11" i="2"/>
  <c r="H5" i="2"/>
  <c r="H84" i="2" s="1"/>
  <c r="G5" i="2"/>
  <c r="G84" i="2" s="1"/>
  <c r="F5" i="2"/>
  <c r="F84" i="2" s="1"/>
  <c r="E5" i="2"/>
  <c r="E74" i="2" s="1"/>
  <c r="F128" i="1"/>
  <c r="G128" i="1" s="1"/>
  <c r="D128" i="1"/>
  <c r="H108" i="1"/>
  <c r="G108" i="1"/>
  <c r="F108" i="1"/>
  <c r="E108" i="1"/>
  <c r="D108" i="1"/>
  <c r="H98" i="1"/>
  <c r="H12" i="2" s="1"/>
  <c r="G98" i="1"/>
  <c r="F98" i="1"/>
  <c r="H97" i="1"/>
  <c r="G97" i="1"/>
  <c r="F97" i="1"/>
  <c r="E97" i="1"/>
  <c r="E98" i="1" s="1"/>
  <c r="D97" i="1"/>
  <c r="H86" i="1"/>
  <c r="G86" i="1"/>
  <c r="F86" i="1"/>
  <c r="E86" i="1"/>
  <c r="D86" i="1"/>
  <c r="H80" i="1"/>
  <c r="G80" i="1"/>
  <c r="F80" i="1"/>
  <c r="E80" i="1"/>
  <c r="D80" i="1"/>
  <c r="H70" i="1"/>
  <c r="H48" i="5" s="1"/>
  <c r="H11" i="13" s="1"/>
  <c r="G70" i="1"/>
  <c r="G48" i="5" s="1"/>
  <c r="F70" i="1"/>
  <c r="F48" i="5" s="1"/>
  <c r="E70" i="1"/>
  <c r="E48" i="5" s="1"/>
  <c r="D70" i="1"/>
  <c r="D48" i="5" s="1"/>
  <c r="G63" i="1"/>
  <c r="H60" i="1"/>
  <c r="H36" i="2" s="1"/>
  <c r="G60" i="1"/>
  <c r="F60" i="1"/>
  <c r="J69" i="8" s="1"/>
  <c r="E60" i="1"/>
  <c r="D60" i="1"/>
  <c r="D12" i="3" s="1"/>
  <c r="G55" i="1"/>
  <c r="F55" i="1"/>
  <c r="E55" i="1"/>
  <c r="D55" i="1"/>
  <c r="H51" i="1"/>
  <c r="G51" i="1"/>
  <c r="F51" i="1"/>
  <c r="E51" i="1"/>
  <c r="E15" i="4" s="1"/>
  <c r="D51" i="1"/>
  <c r="D31" i="2" s="1"/>
  <c r="H38" i="1"/>
  <c r="H44" i="1" s="1"/>
  <c r="G38" i="1"/>
  <c r="F38" i="1"/>
  <c r="F29" i="2" s="1"/>
  <c r="E38" i="1"/>
  <c r="D38" i="1"/>
  <c r="G30" i="1"/>
  <c r="F76" i="2" s="1"/>
  <c r="G22" i="1"/>
  <c r="H17" i="1"/>
  <c r="H21" i="2" s="1"/>
  <c r="G17" i="1"/>
  <c r="G19" i="1" s="1"/>
  <c r="H13" i="1"/>
  <c r="I49" i="8" s="1"/>
  <c r="G13" i="1"/>
  <c r="J49" i="8" s="1"/>
  <c r="F13" i="1"/>
  <c r="E13" i="1"/>
  <c r="D13" i="1"/>
  <c r="H11" i="1"/>
  <c r="G11" i="1"/>
  <c r="F11" i="1"/>
  <c r="E11" i="1"/>
  <c r="D11" i="1"/>
  <c r="D19" i="2" s="1"/>
  <c r="G107" i="5" l="1"/>
  <c r="D107" i="5"/>
  <c r="F107" i="5"/>
  <c r="E107" i="5"/>
  <c r="K49" i="8"/>
  <c r="L49" i="8" s="1"/>
  <c r="E8" i="3"/>
  <c r="E29" i="2"/>
  <c r="E44" i="1"/>
  <c r="H95" i="2"/>
  <c r="K18" i="6"/>
  <c r="G20" i="3"/>
  <c r="G27" i="3" s="1"/>
  <c r="D14" i="2"/>
  <c r="D13" i="2"/>
  <c r="D98" i="1"/>
  <c r="K45" i="8"/>
  <c r="L45" i="8" s="1"/>
  <c r="T25" i="9"/>
  <c r="E11" i="4"/>
  <c r="F25" i="4" s="1"/>
  <c r="F37" i="4" s="1"/>
  <c r="E17" i="1"/>
  <c r="U25" i="9"/>
  <c r="E19" i="2"/>
  <c r="E80" i="2" s="1"/>
  <c r="E52" i="2"/>
  <c r="D18" i="7"/>
  <c r="I30" i="5"/>
  <c r="X85" i="9"/>
  <c r="U6" i="9"/>
  <c r="W85" i="9" s="1"/>
  <c r="V25" i="9"/>
  <c r="L86" i="8"/>
  <c r="F52" i="2"/>
  <c r="F17" i="1"/>
  <c r="E18" i="7"/>
  <c r="K86" i="8"/>
  <c r="F63" i="1"/>
  <c r="J71" i="8" s="1"/>
  <c r="F13" i="3"/>
  <c r="F20" i="3" s="1"/>
  <c r="F27" i="3" s="1"/>
  <c r="F32" i="2"/>
  <c r="D29" i="2"/>
  <c r="D30" i="2"/>
  <c r="D44" i="1"/>
  <c r="L38" i="5"/>
  <c r="J38" i="5"/>
  <c r="K38" i="5"/>
  <c r="M38" i="5"/>
  <c r="G24" i="1"/>
  <c r="G23" i="5" s="1"/>
  <c r="J66" i="8"/>
  <c r="H31" i="2"/>
  <c r="H29" i="2"/>
  <c r="H55" i="1"/>
  <c r="M104" i="9"/>
  <c r="W29" i="9"/>
  <c r="U96" i="9" s="1"/>
  <c r="G83" i="8"/>
  <c r="F19" i="7"/>
  <c r="G15" i="5"/>
  <c r="G18" i="5" s="1"/>
  <c r="S93" i="9"/>
  <c r="M87" i="8"/>
  <c r="G76" i="2"/>
  <c r="G20" i="2"/>
  <c r="G81" i="2" s="1"/>
  <c r="F22" i="7"/>
  <c r="K17" i="6"/>
  <c r="E30" i="2"/>
  <c r="D35" i="2"/>
  <c r="D32" i="2"/>
  <c r="D63" i="1"/>
  <c r="D13" i="3"/>
  <c r="D20" i="3" s="1"/>
  <c r="D27" i="3" s="1"/>
  <c r="H19" i="3"/>
  <c r="H26" i="3" s="1"/>
  <c r="C49" i="8"/>
  <c r="E13" i="3"/>
  <c r="E20" i="3" s="1"/>
  <c r="E27" i="3" s="1"/>
  <c r="E63" i="1"/>
  <c r="E32" i="2"/>
  <c r="K67" i="8"/>
  <c r="E97" i="2"/>
  <c r="F32" i="5"/>
  <c r="M32" i="5"/>
  <c r="F30" i="6"/>
  <c r="D30" i="6"/>
  <c r="G29" i="2"/>
  <c r="G44" i="1"/>
  <c r="H11" i="2"/>
  <c r="E29" i="5"/>
  <c r="M29" i="5"/>
  <c r="J29" i="5"/>
  <c r="F29" i="5"/>
  <c r="F97" i="2"/>
  <c r="J32" i="5"/>
  <c r="C49" i="6"/>
  <c r="H16" i="6"/>
  <c r="L18" i="12" s="1"/>
  <c r="D27" i="7"/>
  <c r="D39" i="7"/>
  <c r="E39" i="7" s="1"/>
  <c r="F39" i="7" s="1"/>
  <c r="G39" i="7" s="1"/>
  <c r="H39" i="7" s="1"/>
  <c r="K64" i="8"/>
  <c r="J64" i="8"/>
  <c r="H40" i="2"/>
  <c r="G21" i="2"/>
  <c r="G97" i="2"/>
  <c r="H9" i="3"/>
  <c r="H21" i="3" s="1"/>
  <c r="H28" i="3" s="1"/>
  <c r="K32" i="5"/>
  <c r="J34" i="5"/>
  <c r="I18" i="6"/>
  <c r="C58" i="7"/>
  <c r="D17" i="1"/>
  <c r="H13" i="2"/>
  <c r="G25" i="2"/>
  <c r="G110" i="2" s="1"/>
  <c r="G46" i="2"/>
  <c r="H56" i="2"/>
  <c r="L32" i="5"/>
  <c r="L34" i="5"/>
  <c r="H15" i="6"/>
  <c r="C53" i="6" s="1"/>
  <c r="H17" i="6"/>
  <c r="S2" i="8"/>
  <c r="G99" i="2"/>
  <c r="M34" i="5"/>
  <c r="I15" i="6"/>
  <c r="D53" i="6" s="1"/>
  <c r="I17" i="6"/>
  <c r="G30" i="6" s="1"/>
  <c r="D41" i="7"/>
  <c r="C60" i="7"/>
  <c r="F27" i="7"/>
  <c r="T2" i="8"/>
  <c r="G32" i="2"/>
  <c r="G13" i="3"/>
  <c r="F44" i="1"/>
  <c r="G12" i="2"/>
  <c r="H30" i="1"/>
  <c r="H19" i="1"/>
  <c r="H22" i="1" s="1"/>
  <c r="H34" i="2"/>
  <c r="H25" i="2"/>
  <c r="H110" i="2" s="1"/>
  <c r="K69" i="8"/>
  <c r="J68" i="8"/>
  <c r="G11" i="2"/>
  <c r="G10" i="2"/>
  <c r="L37" i="5"/>
  <c r="K37" i="5"/>
  <c r="F37" i="5"/>
  <c r="E37" i="5"/>
  <c r="K15" i="6"/>
  <c r="E53" i="6" s="1"/>
  <c r="X89" i="9"/>
  <c r="U10" i="9"/>
  <c r="W89" i="9" s="1"/>
  <c r="B14" i="12"/>
  <c r="H7" i="12"/>
  <c r="H10" i="2"/>
  <c r="G33" i="2"/>
  <c r="H18" i="3"/>
  <c r="H25" i="3" s="1"/>
  <c r="I9" i="5"/>
  <c r="J37" i="5"/>
  <c r="E71" i="8"/>
  <c r="G103" i="9"/>
  <c r="N103" i="9"/>
  <c r="T92" i="9" s="1"/>
  <c r="W25" i="9"/>
  <c r="M86" i="8"/>
  <c r="G19" i="2"/>
  <c r="G80" i="2" s="1"/>
  <c r="G52" i="2"/>
  <c r="F11" i="5"/>
  <c r="D56" i="5"/>
  <c r="N56" i="5" s="1"/>
  <c r="N61" i="5"/>
  <c r="H18" i="6"/>
  <c r="I16" i="6"/>
  <c r="E12" i="7" a="1"/>
  <c r="E12" i="7" s="1"/>
  <c r="U9" i="9"/>
  <c r="W88" i="9" s="1"/>
  <c r="V88" i="9"/>
  <c r="X25" i="9"/>
  <c r="N86" i="8"/>
  <c r="G18" i="7"/>
  <c r="D10" i="7" a="1"/>
  <c r="D10" i="7" s="1"/>
  <c r="H52" i="2"/>
  <c r="N53" i="5"/>
  <c r="D12" i="7" a="1"/>
  <c r="D12" i="7" s="1"/>
  <c r="F12" i="7" a="1"/>
  <c r="F12" i="7" s="1"/>
  <c r="N67" i="5"/>
  <c r="G109" i="5"/>
  <c r="C59" i="7"/>
  <c r="H17" i="7"/>
  <c r="D40" i="7"/>
  <c r="D67" i="8"/>
  <c r="D68" i="8" s="1"/>
  <c r="U7" i="9"/>
  <c r="W86" i="9" s="1"/>
  <c r="X86" i="9"/>
  <c r="F103" i="9"/>
  <c r="M103" i="9"/>
  <c r="S92" i="9" s="1"/>
  <c r="D70" i="8" l="1"/>
  <c r="D71" i="8"/>
  <c r="F33" i="7"/>
  <c r="E9" i="3"/>
  <c r="E14" i="4"/>
  <c r="E40" i="2"/>
  <c r="E56" i="2"/>
  <c r="E36" i="2"/>
  <c r="E35" i="2"/>
  <c r="E25" i="2"/>
  <c r="E110" i="2" s="1"/>
  <c r="E11" i="3"/>
  <c r="E19" i="3" s="1"/>
  <c r="E26" i="3" s="1"/>
  <c r="E21" i="2"/>
  <c r="E30" i="1"/>
  <c r="E19" i="1"/>
  <c r="E22" i="1" s="1"/>
  <c r="E34" i="2"/>
  <c r="E41" i="7"/>
  <c r="F25" i="2"/>
  <c r="F110" i="2" s="1"/>
  <c r="F21" i="2"/>
  <c r="F19" i="1"/>
  <c r="F22" i="1" s="1"/>
  <c r="F30" i="1"/>
  <c r="F11" i="3"/>
  <c r="F19" i="3" s="1"/>
  <c r="F26" i="3" s="1"/>
  <c r="F34" i="2"/>
  <c r="D11" i="2"/>
  <c r="D12" i="2"/>
  <c r="E40" i="7"/>
  <c r="D58" i="7"/>
  <c r="F14" i="4"/>
  <c r="F56" i="2"/>
  <c r="F40" i="2"/>
  <c r="F36" i="2"/>
  <c r="F9" i="3"/>
  <c r="D9" i="3"/>
  <c r="D40" i="2"/>
  <c r="D36" i="2"/>
  <c r="H18" i="7"/>
  <c r="I17" i="7"/>
  <c r="E30" i="6"/>
  <c r="H17" i="3"/>
  <c r="H24" i="3" s="1"/>
  <c r="D19" i="1"/>
  <c r="D22" i="1" s="1"/>
  <c r="D25" i="2"/>
  <c r="D30" i="1"/>
  <c r="D21" i="2"/>
  <c r="D11" i="3"/>
  <c r="D34" i="2"/>
  <c r="X29" i="9"/>
  <c r="V96" i="9" s="1"/>
  <c r="C10" i="12"/>
  <c r="H83" i="8"/>
  <c r="G19" i="7"/>
  <c r="L28" i="12"/>
  <c r="H9" i="12"/>
  <c r="G22" i="7"/>
  <c r="H8" i="12"/>
  <c r="T93" i="9"/>
  <c r="D33" i="12"/>
  <c r="K13" i="12"/>
  <c r="N87" i="8"/>
  <c r="H13" i="12"/>
  <c r="H16" i="13"/>
  <c r="H19" i="13" s="1"/>
  <c r="N104" i="9"/>
  <c r="H76" i="2"/>
  <c r="D32" i="12"/>
  <c r="F11" i="7" a="1"/>
  <c r="F11" i="7" s="1"/>
  <c r="F28" i="7" s="1"/>
  <c r="D23" i="6"/>
  <c r="L17" i="12"/>
  <c r="D11" i="7" a="1"/>
  <c r="D11" i="7" s="1"/>
  <c r="E11" i="7" a="1"/>
  <c r="E11" i="7" s="1"/>
  <c r="D46" i="7" s="1"/>
  <c r="H23" i="13"/>
  <c r="H26" i="13" s="1"/>
  <c r="I23" i="13" s="1"/>
  <c r="H20" i="2"/>
  <c r="H81" i="2" s="1"/>
  <c r="H15" i="5"/>
  <c r="B13" i="12"/>
  <c r="H53" i="2"/>
  <c r="J30" i="5"/>
  <c r="M30" i="5"/>
  <c r="L30" i="5"/>
  <c r="K30" i="5"/>
  <c r="F30" i="5"/>
  <c r="E30" i="5"/>
  <c r="G56" i="2"/>
  <c r="G9" i="3"/>
  <c r="G40" i="2"/>
  <c r="G26" i="1"/>
  <c r="H24" i="1"/>
  <c r="H23" i="5" s="1"/>
  <c r="G43" i="5"/>
  <c r="G42" i="5"/>
  <c r="G44" i="5" s="1"/>
  <c r="G49" i="5" s="1"/>
  <c r="G21" i="5"/>
  <c r="G24" i="5" s="1"/>
  <c r="D59" i="7"/>
  <c r="G35" i="2"/>
  <c r="F35" i="2"/>
  <c r="F12" i="2"/>
  <c r="D60" i="7"/>
  <c r="E17" i="3"/>
  <c r="E24" i="3" s="1"/>
  <c r="G36" i="2"/>
  <c r="D63" i="5"/>
  <c r="I11" i="5"/>
  <c r="I15" i="5" s="1"/>
  <c r="I6" i="13"/>
  <c r="C121" i="5"/>
  <c r="J9" i="5"/>
  <c r="I17" i="5"/>
  <c r="C120" i="5"/>
  <c r="I48" i="5"/>
  <c r="I11" i="13" s="1"/>
  <c r="I13" i="5"/>
  <c r="I10" i="5"/>
  <c r="I47" i="5"/>
  <c r="I10" i="13" s="1"/>
  <c r="I14" i="5"/>
  <c r="E12" i="2"/>
  <c r="D25" i="6"/>
  <c r="H33" i="2"/>
  <c r="H13" i="3"/>
  <c r="H20" i="3" s="1"/>
  <c r="H27" i="3" s="1"/>
  <c r="H35" i="2"/>
  <c r="H32" i="2"/>
  <c r="H63" i="1"/>
  <c r="D86" i="5"/>
  <c r="N86" i="5" s="1"/>
  <c r="F29" i="7" l="1"/>
  <c r="F30" i="7"/>
  <c r="E64" i="7"/>
  <c r="E59" i="7"/>
  <c r="K71" i="8"/>
  <c r="J70" i="8"/>
  <c r="I7" i="13"/>
  <c r="I18" i="5"/>
  <c r="G108" i="5"/>
  <c r="H7" i="13"/>
  <c r="F108" i="5"/>
  <c r="E108" i="5"/>
  <c r="H18" i="5"/>
  <c r="D19" i="3"/>
  <c r="D26" i="3" s="1"/>
  <c r="F24" i="1"/>
  <c r="F23" i="5" s="1"/>
  <c r="E110" i="5"/>
  <c r="D13" i="7" a="1"/>
  <c r="D13" i="7" s="1"/>
  <c r="F13" i="7" a="1"/>
  <c r="F13" i="7" s="1"/>
  <c r="C102" i="5"/>
  <c r="Q96" i="5" s="1"/>
  <c r="C100" i="5"/>
  <c r="O96" i="5" s="1"/>
  <c r="G110" i="5"/>
  <c r="F110" i="5"/>
  <c r="D110" i="5"/>
  <c r="C101" i="5"/>
  <c r="P96" i="5" s="1"/>
  <c r="C99" i="5"/>
  <c r="N96" i="5" s="1"/>
  <c r="D68" i="5"/>
  <c r="N63" i="5"/>
  <c r="C98" i="5"/>
  <c r="M96" i="5" s="1"/>
  <c r="E13" i="7" a="1"/>
  <c r="E13" i="7" s="1"/>
  <c r="H26" i="1"/>
  <c r="F34" i="6"/>
  <c r="G34" i="6"/>
  <c r="E34" i="6"/>
  <c r="D34" i="6"/>
  <c r="M88" i="8"/>
  <c r="J53" i="8"/>
  <c r="W31" i="9"/>
  <c r="U98" i="9" s="1"/>
  <c r="M106" i="9"/>
  <c r="G23" i="2"/>
  <c r="G108" i="2" s="1"/>
  <c r="G84" i="8"/>
  <c r="J51" i="8"/>
  <c r="G65" i="2"/>
  <c r="G22" i="2"/>
  <c r="G82" i="2" s="1"/>
  <c r="T10" i="8" s="1"/>
  <c r="G15" i="2"/>
  <c r="G69" i="1"/>
  <c r="G75" i="1" s="1"/>
  <c r="G24" i="2"/>
  <c r="G109" i="2" s="1"/>
  <c r="F77" i="2"/>
  <c r="S9" i="8" s="1"/>
  <c r="G9" i="2"/>
  <c r="G77" i="2"/>
  <c r="S10" i="8" s="1"/>
  <c r="F20" i="7"/>
  <c r="I27" i="13"/>
  <c r="I24" i="13"/>
  <c r="I26" i="13" s="1"/>
  <c r="J23" i="13" s="1"/>
  <c r="D15" i="5"/>
  <c r="D20" i="2"/>
  <c r="D83" i="8"/>
  <c r="V20" i="9"/>
  <c r="D33" i="2"/>
  <c r="E30" i="3"/>
  <c r="E33" i="3" s="1"/>
  <c r="D31" i="7"/>
  <c r="C63" i="7"/>
  <c r="D24" i="1"/>
  <c r="D23" i="5" s="1"/>
  <c r="D26" i="1"/>
  <c r="D63" i="7"/>
  <c r="F41" i="7"/>
  <c r="E47" i="7"/>
  <c r="E46" i="7"/>
  <c r="E18" i="3"/>
  <c r="E25" i="3" s="1"/>
  <c r="E21" i="3"/>
  <c r="E28" i="3" s="1"/>
  <c r="E65" i="7"/>
  <c r="E60" i="7"/>
  <c r="L19" i="12"/>
  <c r="L21" i="12"/>
  <c r="H30" i="3"/>
  <c r="H33" i="3" s="1"/>
  <c r="E58" i="7"/>
  <c r="E63" i="7"/>
  <c r="D29" i="6"/>
  <c r="D33" i="6" s="1"/>
  <c r="D35" i="6" s="1"/>
  <c r="D36" i="6" s="1"/>
  <c r="G29" i="6"/>
  <c r="G33" i="6" s="1"/>
  <c r="G35" i="6" s="1"/>
  <c r="G36" i="6" s="1"/>
  <c r="F29" i="6"/>
  <c r="F33" i="6" s="1"/>
  <c r="F35" i="6" s="1"/>
  <c r="F36" i="6" s="1"/>
  <c r="E29" i="6"/>
  <c r="E33" i="6" s="1"/>
  <c r="E35" i="6" s="1"/>
  <c r="E36" i="6" s="1"/>
  <c r="E38" i="6" s="1"/>
  <c r="E45" i="7"/>
  <c r="F40" i="7"/>
  <c r="D47" i="7"/>
  <c r="J47" i="5"/>
  <c r="J10" i="13" s="1"/>
  <c r="J6" i="13"/>
  <c r="J17" i="5"/>
  <c r="J10" i="5"/>
  <c r="D120" i="5"/>
  <c r="J48" i="5"/>
  <c r="J11" i="13" s="1"/>
  <c r="J11" i="5"/>
  <c r="J13" i="5"/>
  <c r="D121" i="5"/>
  <c r="K9" i="5"/>
  <c r="J14" i="5"/>
  <c r="I16" i="13"/>
  <c r="H30" i="13"/>
  <c r="D17" i="3"/>
  <c r="D24" i="3" s="1"/>
  <c r="D18" i="3"/>
  <c r="D25" i="3" s="1"/>
  <c r="D21" i="3"/>
  <c r="D28" i="3" s="1"/>
  <c r="F18" i="3"/>
  <c r="F25" i="3" s="1"/>
  <c r="F21" i="3"/>
  <c r="F28" i="3" s="1"/>
  <c r="F17" i="3"/>
  <c r="F24" i="3" s="1"/>
  <c r="F30" i="3" s="1"/>
  <c r="F33" i="3" s="1"/>
  <c r="F31" i="7"/>
  <c r="C65" i="7"/>
  <c r="J17" i="7"/>
  <c r="I19" i="7"/>
  <c r="I18" i="7"/>
  <c r="D45" i="7"/>
  <c r="D10" i="2"/>
  <c r="E24" i="1"/>
  <c r="E23" i="5" s="1"/>
  <c r="I46" i="5"/>
  <c r="I8" i="13"/>
  <c r="L104" i="9"/>
  <c r="V29" i="9"/>
  <c r="T96" i="9" s="1"/>
  <c r="X20" i="9"/>
  <c r="E22" i="7"/>
  <c r="R93" i="9"/>
  <c r="L87" i="8"/>
  <c r="F15" i="5"/>
  <c r="F18" i="5" s="1"/>
  <c r="F83" i="8"/>
  <c r="E19" i="7"/>
  <c r="E76" i="2"/>
  <c r="F53" i="2"/>
  <c r="F20" i="2"/>
  <c r="F81" i="2" s="1"/>
  <c r="F10" i="2"/>
  <c r="F33" i="2"/>
  <c r="G53" i="2"/>
  <c r="E31" i="7"/>
  <c r="E28" i="7"/>
  <c r="C64" i="7"/>
  <c r="F31" i="4"/>
  <c r="F43" i="4" s="1"/>
  <c r="F26" i="4"/>
  <c r="F38" i="4" s="1"/>
  <c r="D28" i="7"/>
  <c r="D65" i="7"/>
  <c r="G18" i="3"/>
  <c r="G25" i="3" s="1"/>
  <c r="G21" i="3"/>
  <c r="G28" i="3" s="1"/>
  <c r="G19" i="3"/>
  <c r="G26" i="3" s="1"/>
  <c r="G17" i="3"/>
  <c r="G24" i="3" s="1"/>
  <c r="G30" i="3" s="1"/>
  <c r="G33" i="3" s="1"/>
  <c r="L31" i="12"/>
  <c r="L33" i="12"/>
  <c r="L34" i="12"/>
  <c r="C18" i="12"/>
  <c r="D64" i="7"/>
  <c r="H19" i="7"/>
  <c r="K104" i="9"/>
  <c r="U29" i="9"/>
  <c r="S96" i="9" s="1"/>
  <c r="W20" i="9"/>
  <c r="E83" i="8"/>
  <c r="D19" i="7"/>
  <c r="D22" i="7"/>
  <c r="Q93" i="9"/>
  <c r="T29" i="9"/>
  <c r="D76" i="2"/>
  <c r="E53" i="2"/>
  <c r="E15" i="5"/>
  <c r="E18" i="5" s="1"/>
  <c r="E20" i="2"/>
  <c r="E81" i="2" s="1"/>
  <c r="E10" i="2"/>
  <c r="K87" i="8"/>
  <c r="E33" i="2"/>
  <c r="J24" i="13" l="1"/>
  <c r="J26" i="13" s="1"/>
  <c r="K23" i="13" s="1"/>
  <c r="J27" i="13"/>
  <c r="F38" i="6"/>
  <c r="D57" i="6"/>
  <c r="D56" i="6"/>
  <c r="H42" i="5"/>
  <c r="H9" i="13"/>
  <c r="H21" i="5"/>
  <c r="H24" i="5" s="1"/>
  <c r="H43" i="5"/>
  <c r="I22" i="7"/>
  <c r="I20" i="7"/>
  <c r="I21" i="7"/>
  <c r="E29" i="7"/>
  <c r="E30" i="7"/>
  <c r="D30" i="7"/>
  <c r="D29" i="7"/>
  <c r="F43" i="5"/>
  <c r="F42" i="5"/>
  <c r="F44" i="5" s="1"/>
  <c r="F49" i="5" s="1"/>
  <c r="F21" i="5"/>
  <c r="F24" i="5" s="1"/>
  <c r="K17" i="5"/>
  <c r="K6" i="13"/>
  <c r="K13" i="5"/>
  <c r="L9" i="5"/>
  <c r="K48" i="5"/>
  <c r="K11" i="13" s="1"/>
  <c r="K10" i="5"/>
  <c r="E120" i="5"/>
  <c r="K11" i="5"/>
  <c r="K15" i="5" s="1"/>
  <c r="K47" i="5"/>
  <c r="K10" i="13" s="1"/>
  <c r="K14" i="5"/>
  <c r="E121" i="5"/>
  <c r="F47" i="7"/>
  <c r="F46" i="7"/>
  <c r="G41" i="7"/>
  <c r="L75" i="5"/>
  <c r="M75" i="5"/>
  <c r="D75" i="5"/>
  <c r="K75" i="5"/>
  <c r="N68" i="5"/>
  <c r="N75" i="5"/>
  <c r="J75" i="5"/>
  <c r="C56" i="6"/>
  <c r="I57" i="6"/>
  <c r="I55" i="6"/>
  <c r="D38" i="6"/>
  <c r="I56" i="6"/>
  <c r="C57" i="6"/>
  <c r="H22" i="7"/>
  <c r="H21" i="7"/>
  <c r="H20" i="7"/>
  <c r="L53" i="8"/>
  <c r="I20" i="5"/>
  <c r="I21" i="5" s="1"/>
  <c r="I42" i="5"/>
  <c r="I9" i="13"/>
  <c r="I43" i="5"/>
  <c r="E42" i="5"/>
  <c r="E43" i="5"/>
  <c r="E21" i="5"/>
  <c r="E24" i="5" s="1"/>
  <c r="J46" i="5"/>
  <c r="J8" i="13"/>
  <c r="M105" i="9"/>
  <c r="G104" i="2"/>
  <c r="G61" i="2"/>
  <c r="W30" i="9"/>
  <c r="U97" i="9" s="1"/>
  <c r="G66" i="2"/>
  <c r="S94" i="9"/>
  <c r="G60" i="2"/>
  <c r="G89" i="1"/>
  <c r="G91" i="1" s="1"/>
  <c r="G63" i="2"/>
  <c r="F21" i="7"/>
  <c r="L35" i="12"/>
  <c r="F65" i="7"/>
  <c r="F60" i="7"/>
  <c r="J56" i="6"/>
  <c r="E57" i="6"/>
  <c r="G38" i="6"/>
  <c r="E56" i="6"/>
  <c r="J57" i="6"/>
  <c r="J55" i="6"/>
  <c r="K17" i="7"/>
  <c r="J19" i="7"/>
  <c r="J18" i="7"/>
  <c r="D84" i="8"/>
  <c r="D23" i="2"/>
  <c r="D65" i="2"/>
  <c r="D9" i="2"/>
  <c r="D22" i="2"/>
  <c r="D15" i="2"/>
  <c r="D69" i="1"/>
  <c r="D75" i="1" s="1"/>
  <c r="D24" i="2"/>
  <c r="J15" i="5"/>
  <c r="F63" i="7"/>
  <c r="F58" i="7"/>
  <c r="F64" i="7"/>
  <c r="F59" i="7"/>
  <c r="E26" i="1"/>
  <c r="D30" i="3"/>
  <c r="D33" i="3" s="1"/>
  <c r="N88" i="8"/>
  <c r="I53" i="8"/>
  <c r="K53" i="8" s="1"/>
  <c r="N106" i="9"/>
  <c r="H84" i="8"/>
  <c r="H65" i="2"/>
  <c r="H22" i="2"/>
  <c r="H82" i="2" s="1"/>
  <c r="T11" i="8" s="1"/>
  <c r="I51" i="8"/>
  <c r="K51" i="8" s="1"/>
  <c r="L51" i="8" s="1"/>
  <c r="H15" i="2"/>
  <c r="X31" i="9"/>
  <c r="V98" i="9" s="1"/>
  <c r="H69" i="1"/>
  <c r="H75" i="1" s="1"/>
  <c r="H55" i="2"/>
  <c r="H24" i="2"/>
  <c r="H109" i="2" s="1"/>
  <c r="H9" i="2"/>
  <c r="H54" i="2"/>
  <c r="H77" i="2"/>
  <c r="S11" i="8" s="1"/>
  <c r="G20" i="7"/>
  <c r="H23" i="2"/>
  <c r="H108" i="2" s="1"/>
  <c r="H31" i="13"/>
  <c r="F45" i="7"/>
  <c r="G40" i="7"/>
  <c r="D108" i="5"/>
  <c r="D18" i="5"/>
  <c r="I20" i="13"/>
  <c r="I29" i="13" s="1"/>
  <c r="I17" i="13"/>
  <c r="F26" i="1"/>
  <c r="I23" i="5" l="1"/>
  <c r="I24" i="5" s="1"/>
  <c r="K24" i="13"/>
  <c r="K26" i="13"/>
  <c r="L23" i="13" s="1"/>
  <c r="K27" i="13"/>
  <c r="K7" i="13"/>
  <c r="K18" i="5"/>
  <c r="J22" i="7"/>
  <c r="J21" i="7"/>
  <c r="J20" i="7"/>
  <c r="I32" i="13"/>
  <c r="G65" i="7"/>
  <c r="G60" i="7"/>
  <c r="N105" i="9"/>
  <c r="T94" i="9"/>
  <c r="X30" i="9"/>
  <c r="V97" i="9" s="1"/>
  <c r="H63" i="2"/>
  <c r="H60" i="2"/>
  <c r="H89" i="1"/>
  <c r="H91" i="1" s="1"/>
  <c r="H104" i="2"/>
  <c r="G21" i="7"/>
  <c r="H61" i="2"/>
  <c r="H66" i="2"/>
  <c r="G58" i="7"/>
  <c r="G63" i="7"/>
  <c r="L17" i="7"/>
  <c r="K19" i="7"/>
  <c r="K18" i="7"/>
  <c r="I44" i="5"/>
  <c r="I49" i="5" s="1"/>
  <c r="D43" i="5"/>
  <c r="D21" i="5"/>
  <c r="D24" i="5" s="1"/>
  <c r="D42" i="5"/>
  <c r="D44" i="5" s="1"/>
  <c r="D49" i="5" s="1"/>
  <c r="J7" i="13"/>
  <c r="J18" i="5"/>
  <c r="L17" i="5"/>
  <c r="L13" i="5"/>
  <c r="L10" i="5"/>
  <c r="L11" i="5" s="1"/>
  <c r="L15" i="5" s="1"/>
  <c r="L6" i="13"/>
  <c r="L14" i="5"/>
  <c r="L48" i="5"/>
  <c r="L11" i="13" s="1"/>
  <c r="L47" i="5"/>
  <c r="L10" i="13" s="1"/>
  <c r="M9" i="5"/>
  <c r="F120" i="5"/>
  <c r="F121" i="5"/>
  <c r="G45" i="7"/>
  <c r="H40" i="7"/>
  <c r="H45" i="7" s="1"/>
  <c r="E48" i="7" s="1"/>
  <c r="D89" i="1"/>
  <c r="D91" i="1" s="1"/>
  <c r="D61" i="2"/>
  <c r="D62" i="2" s="1"/>
  <c r="D60" i="2"/>
  <c r="D63" i="2"/>
  <c r="D66" i="2"/>
  <c r="G62" i="2"/>
  <c r="G102" i="2"/>
  <c r="K8" i="13"/>
  <c r="K46" i="5"/>
  <c r="H44" i="5"/>
  <c r="H49" i="5" s="1"/>
  <c r="G46" i="7"/>
  <c r="H41" i="7"/>
  <c r="G47" i="7"/>
  <c r="L88" i="8"/>
  <c r="F84" i="8"/>
  <c r="E20" i="7"/>
  <c r="F22" i="2"/>
  <c r="F82" i="2" s="1"/>
  <c r="T9" i="8" s="1"/>
  <c r="L106" i="9"/>
  <c r="F65" i="2"/>
  <c r="F9" i="2"/>
  <c r="V31" i="9"/>
  <c r="T98" i="9" s="1"/>
  <c r="F17" i="4"/>
  <c r="F15" i="2"/>
  <c r="D24" i="6"/>
  <c r="F55" i="2"/>
  <c r="F24" i="2"/>
  <c r="F109" i="2" s="1"/>
  <c r="E77" i="2"/>
  <c r="S8" i="8" s="1"/>
  <c r="F69" i="1"/>
  <c r="F75" i="1" s="1"/>
  <c r="F54" i="2"/>
  <c r="F23" i="2"/>
  <c r="F108" i="2" s="1"/>
  <c r="G54" i="2"/>
  <c r="G55" i="2"/>
  <c r="C53" i="8"/>
  <c r="E84" i="8"/>
  <c r="K88" i="8"/>
  <c r="D77" i="2"/>
  <c r="D20" i="7"/>
  <c r="T31" i="9"/>
  <c r="K106" i="9"/>
  <c r="E23" i="2"/>
  <c r="E108" i="2" s="1"/>
  <c r="E9" i="2"/>
  <c r="E22" i="2"/>
  <c r="E82" i="2" s="1"/>
  <c r="T8" i="8" s="1"/>
  <c r="U31" i="9"/>
  <c r="S98" i="9" s="1"/>
  <c r="E17" i="4"/>
  <c r="E15" i="2"/>
  <c r="Q95" i="9"/>
  <c r="E55" i="2"/>
  <c r="E65" i="2"/>
  <c r="E69" i="1"/>
  <c r="E75" i="1" s="1"/>
  <c r="E24" i="2"/>
  <c r="E109" i="2" s="1"/>
  <c r="E54" i="2"/>
  <c r="C51" i="8"/>
  <c r="D31" i="12"/>
  <c r="E33" i="12"/>
  <c r="E32" i="12"/>
  <c r="G59" i="7"/>
  <c r="G64" i="7"/>
  <c r="E44" i="5"/>
  <c r="E49" i="5" s="1"/>
  <c r="L7" i="13" l="1"/>
  <c r="L18" i="5"/>
  <c r="V30" i="9"/>
  <c r="T97" i="9" s="1"/>
  <c r="F66" i="2"/>
  <c r="F63" i="2"/>
  <c r="F89" i="1"/>
  <c r="F91" i="1" s="1"/>
  <c r="L105" i="9"/>
  <c r="F60" i="2"/>
  <c r="F18" i="4"/>
  <c r="F104" i="2"/>
  <c r="F61" i="2"/>
  <c r="R94" i="9"/>
  <c r="E21" i="7"/>
  <c r="L8" i="13"/>
  <c r="L46" i="5"/>
  <c r="H102" i="2"/>
  <c r="H62" i="2"/>
  <c r="H47" i="7"/>
  <c r="G48" i="7" s="1"/>
  <c r="H46" i="7"/>
  <c r="F48" i="7" s="1"/>
  <c r="J42" i="5"/>
  <c r="J9" i="13"/>
  <c r="J43" i="5"/>
  <c r="J20" i="5"/>
  <c r="J21" i="5" s="1"/>
  <c r="D31" i="6"/>
  <c r="F31" i="6"/>
  <c r="E31" i="6"/>
  <c r="G31" i="6"/>
  <c r="M13" i="5"/>
  <c r="G120" i="5"/>
  <c r="M6" i="13"/>
  <c r="M14" i="5"/>
  <c r="G121" i="5"/>
  <c r="M47" i="5"/>
  <c r="M10" i="13" s="1"/>
  <c r="M10" i="5"/>
  <c r="M11" i="5"/>
  <c r="M15" i="5" s="1"/>
  <c r="M48" i="5"/>
  <c r="M11" i="13" s="1"/>
  <c r="M17" i="5"/>
  <c r="L19" i="7"/>
  <c r="L18" i="7"/>
  <c r="C69" i="12"/>
  <c r="E31" i="12"/>
  <c r="N45" i="13"/>
  <c r="C38" i="12"/>
  <c r="D35" i="12"/>
  <c r="E35" i="12" s="1"/>
  <c r="K9" i="13"/>
  <c r="K42" i="5"/>
  <c r="K43" i="5"/>
  <c r="K20" i="5"/>
  <c r="K21" i="5" s="1"/>
  <c r="H10" i="12"/>
  <c r="H12" i="13"/>
  <c r="E13" i="12"/>
  <c r="C62" i="12"/>
  <c r="B12" i="12"/>
  <c r="F30" i="4"/>
  <c r="F42" i="4" s="1"/>
  <c r="F45" i="4" s="1"/>
  <c r="F48" i="4" s="1"/>
  <c r="L24" i="13"/>
  <c r="L26" i="13"/>
  <c r="M23" i="13" s="1"/>
  <c r="L27" i="13"/>
  <c r="D21" i="7"/>
  <c r="K105" i="9"/>
  <c r="E18" i="4"/>
  <c r="E60" i="2"/>
  <c r="E89" i="1"/>
  <c r="E91" i="1" s="1"/>
  <c r="U30" i="9"/>
  <c r="S97" i="9" s="1"/>
  <c r="E104" i="2"/>
  <c r="T30" i="9"/>
  <c r="E63" i="2"/>
  <c r="E61" i="2"/>
  <c r="E66" i="2"/>
  <c r="Q94" i="9"/>
  <c r="I12" i="13"/>
  <c r="I18" i="13" s="1"/>
  <c r="I19" i="13" s="1"/>
  <c r="C118" i="5"/>
  <c r="D76" i="5"/>
  <c r="K20" i="7"/>
  <c r="K22" i="7"/>
  <c r="K21" i="7"/>
  <c r="J23" i="5" l="1"/>
  <c r="J24" i="5" s="1"/>
  <c r="K24" i="5"/>
  <c r="K23" i="5"/>
  <c r="L20" i="7"/>
  <c r="L22" i="7"/>
  <c r="L21" i="7"/>
  <c r="F62" i="2"/>
  <c r="F102" i="2"/>
  <c r="M8" i="13"/>
  <c r="M46" i="5"/>
  <c r="M7" i="13"/>
  <c r="M18" i="5"/>
  <c r="J44" i="5"/>
  <c r="J49" i="5" s="1"/>
  <c r="K44" i="5"/>
  <c r="K49" i="5" s="1"/>
  <c r="E102" i="2"/>
  <c r="E62" i="2"/>
  <c r="J16" i="13"/>
  <c r="I30" i="13"/>
  <c r="I31" i="13" s="1"/>
  <c r="M24" i="13"/>
  <c r="M25" i="13" s="1"/>
  <c r="M26" i="13" s="1"/>
  <c r="M27" i="13"/>
  <c r="L9" i="13"/>
  <c r="L43" i="5"/>
  <c r="L21" i="5"/>
  <c r="L42" i="5"/>
  <c r="L20" i="5"/>
  <c r="L23" i="5" l="1"/>
  <c r="L24" i="5" s="1"/>
  <c r="M9" i="13"/>
  <c r="M43" i="5"/>
  <c r="M42" i="5"/>
  <c r="M44" i="5" s="1"/>
  <c r="M49" i="5" s="1"/>
  <c r="M20" i="5"/>
  <c r="M21" i="5" s="1"/>
  <c r="M35" i="13"/>
  <c r="J20" i="13"/>
  <c r="J29" i="13" s="1"/>
  <c r="J32" i="13" s="1"/>
  <c r="J17" i="13"/>
  <c r="J18" i="13" s="1"/>
  <c r="K12" i="13"/>
  <c r="E118" i="5"/>
  <c r="K76" i="5"/>
  <c r="K78" i="5" s="1"/>
  <c r="L44" i="5"/>
  <c r="L49" i="5" s="1"/>
  <c r="J12" i="13"/>
  <c r="J76" i="5"/>
  <c r="J78" i="5" s="1"/>
  <c r="D118" i="5"/>
  <c r="M23" i="5" l="1"/>
  <c r="M24" i="5"/>
  <c r="L12" i="13"/>
  <c r="F118" i="5"/>
  <c r="L76" i="5"/>
  <c r="L78" i="5" s="1"/>
  <c r="D82" i="5" s="1"/>
  <c r="J19" i="13"/>
  <c r="M12" i="13"/>
  <c r="D69" i="5"/>
  <c r="G118" i="5"/>
  <c r="M76" i="5"/>
  <c r="M78" i="5" s="1"/>
  <c r="D94" i="5"/>
  <c r="N48" i="13"/>
  <c r="M37" i="13"/>
  <c r="H102" i="5" l="1"/>
  <c r="Q101" i="5" s="1"/>
  <c r="E101" i="5"/>
  <c r="P98" i="5" s="1"/>
  <c r="G99" i="5"/>
  <c r="N100" i="5" s="1"/>
  <c r="D98" i="5"/>
  <c r="M97" i="5" s="1"/>
  <c r="G111" i="5"/>
  <c r="G101" i="5"/>
  <c r="P100" i="5" s="1"/>
  <c r="G98" i="5"/>
  <c r="M100" i="5" s="1"/>
  <c r="G100" i="5"/>
  <c r="O100" i="5" s="1"/>
  <c r="D100" i="5"/>
  <c r="O97" i="5" s="1"/>
  <c r="H98" i="5"/>
  <c r="M101" i="5" s="1"/>
  <c r="F98" i="5"/>
  <c r="M99" i="5" s="1"/>
  <c r="H101" i="5"/>
  <c r="P101" i="5" s="1"/>
  <c r="E98" i="5"/>
  <c r="M98" i="5" s="1"/>
  <c r="F99" i="5"/>
  <c r="N99" i="5" s="1"/>
  <c r="F101" i="5"/>
  <c r="P99" i="5" s="1"/>
  <c r="E99" i="5"/>
  <c r="N98" i="5" s="1"/>
  <c r="D101" i="5"/>
  <c r="P97" i="5" s="1"/>
  <c r="D99" i="5"/>
  <c r="N97" i="5" s="1"/>
  <c r="H100" i="5"/>
  <c r="O101" i="5" s="1"/>
  <c r="E111" i="5"/>
  <c r="F102" i="5"/>
  <c r="Q99" i="5" s="1"/>
  <c r="D102" i="5"/>
  <c r="Q97" i="5" s="1"/>
  <c r="H99" i="5"/>
  <c r="N101" i="5" s="1"/>
  <c r="D111" i="5"/>
  <c r="E102" i="5"/>
  <c r="Q98" i="5" s="1"/>
  <c r="F111" i="5"/>
  <c r="G102" i="5"/>
  <c r="Q100" i="5" s="1"/>
  <c r="F100" i="5"/>
  <c r="O99" i="5" s="1"/>
  <c r="E100" i="5"/>
  <c r="O98" i="5" s="1"/>
  <c r="N82" i="5"/>
  <c r="D70" i="5"/>
  <c r="N69" i="5"/>
  <c r="K16" i="13"/>
  <c r="J30" i="13"/>
  <c r="J31" i="13" s="1"/>
  <c r="K20" i="13" l="1"/>
  <c r="K29" i="13" s="1"/>
  <c r="K32" i="13" s="1"/>
  <c r="K17" i="13"/>
  <c r="K18" i="13" s="1"/>
  <c r="K19" i="13" s="1"/>
  <c r="N70" i="5"/>
  <c r="D71" i="5"/>
  <c r="K30" i="13" l="1"/>
  <c r="K31" i="13" s="1"/>
  <c r="L16" i="13"/>
  <c r="N77" i="5"/>
  <c r="N78" i="5" s="1"/>
  <c r="D83" i="5" s="1"/>
  <c r="D72" i="5"/>
  <c r="N72" i="5" s="1"/>
  <c r="N71" i="5"/>
  <c r="N83" i="5" l="1"/>
  <c r="D84" i="5"/>
  <c r="L20" i="13"/>
  <c r="L29" i="13" s="1"/>
  <c r="L32" i="13" s="1"/>
  <c r="L17" i="13"/>
  <c r="L18" i="13"/>
  <c r="L19" i="13" s="1"/>
  <c r="L30" i="13" l="1"/>
  <c r="L31" i="13" s="1"/>
  <c r="M16" i="13"/>
  <c r="D88" i="5"/>
  <c r="N84" i="5"/>
  <c r="D91" i="5" l="1"/>
  <c r="N88" i="5"/>
  <c r="M20" i="13"/>
  <c r="M29" i="13" s="1"/>
  <c r="M32" i="13" s="1"/>
  <c r="M17" i="13"/>
  <c r="M18" i="13"/>
  <c r="M19" i="13" s="1"/>
  <c r="M30" i="13" s="1"/>
  <c r="N49" i="13" l="1"/>
  <c r="M31" i="13"/>
  <c r="M38" i="13"/>
  <c r="M39" i="13" s="1"/>
  <c r="N50" i="13" s="1"/>
  <c r="G48" i="12"/>
  <c r="G52" i="12"/>
  <c r="H50" i="12"/>
  <c r="E48" i="12"/>
  <c r="F48" i="12"/>
  <c r="H51" i="12"/>
  <c r="I49" i="12"/>
  <c r="G51" i="12"/>
  <c r="E51" i="12"/>
  <c r="I48" i="12"/>
  <c r="E50" i="12"/>
  <c r="I50" i="12"/>
  <c r="F52" i="12"/>
  <c r="F49" i="12"/>
  <c r="I52" i="12"/>
  <c r="E52" i="12"/>
  <c r="H49" i="12"/>
  <c r="E49" i="12"/>
  <c r="G50" i="12"/>
  <c r="F51" i="12"/>
  <c r="G49" i="12"/>
  <c r="I51" i="12"/>
  <c r="F50" i="12"/>
  <c r="H48" i="12"/>
  <c r="H52" i="12"/>
  <c r="S57" i="13"/>
  <c r="I59" i="12" s="1"/>
  <c r="S56" i="13"/>
  <c r="G59" i="12" s="1"/>
  <c r="S55" i="13"/>
  <c r="E59" i="12" s="1"/>
  <c r="E49" i="7"/>
  <c r="M23" i="7"/>
  <c r="D93" i="5"/>
  <c r="N93" i="5" s="1"/>
  <c r="E32" i="7"/>
  <c r="N91" i="5"/>
  <c r="F32" i="7"/>
  <c r="D32" i="7"/>
  <c r="G49" i="7"/>
  <c r="F49" i="7"/>
  <c r="C39" i="12" l="1"/>
  <c r="N52" i="13"/>
  <c r="N51" i="13"/>
  <c r="C70" i="12"/>
  <c r="R57" i="13"/>
  <c r="I58" i="12" s="1"/>
  <c r="R56" i="13"/>
  <c r="R55" i="13"/>
  <c r="E58" i="12" s="1"/>
  <c r="Q57" i="13"/>
  <c r="I57" i="12" s="1"/>
  <c r="P57" i="13"/>
  <c r="Q55" i="13"/>
  <c r="E57" i="12" s="1"/>
  <c r="P55" i="13"/>
  <c r="C68" i="12" l="1"/>
  <c r="G58" i="12"/>
  <c r="C66" i="12"/>
  <c r="E56" i="12"/>
  <c r="C67" i="12"/>
  <c r="I56" i="12"/>
  <c r="B42" i="12"/>
  <c r="C64" i="12"/>
  <c r="C44" i="12"/>
  <c r="P56" i="13"/>
  <c r="G56" i="12" s="1"/>
  <c r="G42" i="12"/>
  <c r="C65" i="12"/>
  <c r="Q56" i="13"/>
  <c r="G57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E95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Baptiste jeh:
AAPL avg closing price FY2022 (~Sept 2022 close). Approximate historical value.</t>
        </r>
      </text>
    </comment>
    <comment ref="F95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Baptiste jeh:
AAPL avg closing price FY2023 (~Sept 2023 close). Approximate historical value.</t>
        </r>
      </text>
    </comment>
    <comment ref="G95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Baptiste jeh:
AAPL avg closing price FY2024 (~Sept 2024 close). Approximate historical value.</t>
        </r>
      </text>
    </comment>
    <comment ref="E96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Baptiste jeh:
AAPL diluted shares outstanding FY2022 (~16.2B). Approximate.</t>
        </r>
      </text>
    </comment>
    <comment ref="F96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Baptiste jeh:
AAPL diluted shares outstanding FY2023 (~15.8B). Approximate.</t>
        </r>
      </text>
    </comment>
    <comment ref="G96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Baptiste jeh:
AAPL diluted shares outstanding FY2024 (~15.4B). Approximate.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I29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>Baptiste jeh:
Moyenne des taux de croissance historiques disponibles (vs. dernier LTM seul). Basé sur RATIOS!F51:H51 (2022→2023, 2023→2024, 2024→LTM).</t>
        </r>
      </text>
    </comment>
    <comment ref="I30" authorId="0" shapeId="0" xr:uid="{00000000-0006-0000-0400-000002000000}">
      <text>
        <r>
          <rPr>
            <sz val="11"/>
            <color theme="1"/>
            <rFont val="Aptos Narrow"/>
            <family val="2"/>
            <scheme val="minor"/>
          </rPr>
          <t>Baptiste jeh:
Moyenne des Gross Margins historiques (toutes années disponibles)</t>
        </r>
      </text>
    </comment>
    <comment ref="I31" authorId="0" shapeId="0" xr:uid="{00000000-0006-0000-0400-000003000000}">
      <text>
        <r>
          <rPr>
            <sz val="11"/>
            <color theme="1"/>
            <rFont val="Aptos Narrow"/>
            <family val="2"/>
            <scheme val="minor"/>
          </rPr>
          <t>Baptiste jeh:
Moyenne SG&amp;A % du revenu (toutes années disponibles)</t>
        </r>
      </text>
    </comment>
    <comment ref="I32" authorId="0" shapeId="0" xr:uid="{00000000-0006-0000-0400-000004000000}">
      <text>
        <r>
          <rPr>
            <sz val="11"/>
            <color theme="1"/>
            <rFont val="Aptos Narrow"/>
            <family val="2"/>
            <scheme val="minor"/>
          </rPr>
          <t>Baptiste jeh:
Moyenne R&amp;D % du revenu (toutes années disponibles)</t>
        </r>
      </text>
    </comment>
    <comment ref="I33" authorId="0" shapeId="0" xr:uid="{00000000-0006-0000-0400-000005000000}">
      <text>
        <r>
          <rPr>
            <sz val="11"/>
            <color theme="1"/>
            <rFont val="Aptos Narrow"/>
            <family val="2"/>
            <scheme val="minor"/>
          </rPr>
          <t>Baptiste jeh:
Moyenne D&amp;A % du revenu (toutes années disponibles)</t>
        </r>
      </text>
    </comment>
    <comment ref="I34" authorId="0" shapeId="0" xr:uid="{00000000-0006-0000-0400-000006000000}">
      <text>
        <r>
          <rPr>
            <sz val="11"/>
            <color theme="1"/>
            <rFont val="Aptos Narrow"/>
            <family val="2"/>
            <scheme val="minor"/>
          </rPr>
          <t>Baptiste jeh:
Moyenne du taux d'imposition effectif (toutes années disponibles)</t>
        </r>
      </text>
    </comment>
    <comment ref="I37" authorId="0" shapeId="0" xr:uid="{00000000-0006-0000-0400-000007000000}">
      <text>
        <r>
          <rPr>
            <sz val="11"/>
            <color theme="1"/>
            <rFont val="Aptos Narrow"/>
            <family val="2"/>
            <scheme val="minor"/>
          </rPr>
          <t>Baptiste jeh:
Moyenne CapEx % du revenu (toutes années disponibles)</t>
        </r>
      </text>
    </comment>
    <comment ref="I38" authorId="0" shapeId="0" xr:uid="{00000000-0006-0000-0400-000008000000}">
      <text>
        <r>
          <rPr>
            <sz val="11"/>
            <color theme="1"/>
            <rFont val="Aptos Narrow"/>
            <family val="2"/>
            <scheme val="minor"/>
          </rPr>
          <t>Baptiste jeh:
Moyenne variation NWC % du revenu (toutes années disponibles)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F12" authorId="0" shapeId="0" xr:uid="{00000000-0006-0000-0500-000001000000}">
      <text>
        <r>
          <rPr>
            <sz val="11"/>
            <color theme="1"/>
            <rFont val="Aptos Narrow"/>
            <family val="2"/>
            <scheme val="minor"/>
          </rPr>
          <t>Baptiste jeh:
Sony FY2024 Revenue converted from JPY to USD at ~149 JPY/USD. Source: Sony Group IR. Original JPY figure ~13.1T yen.</t>
        </r>
      </text>
    </comment>
    <comment ref="G12" authorId="0" shapeId="0" xr:uid="{00000000-0006-0000-0500-000002000000}">
      <text>
        <r>
          <rPr>
            <sz val="11"/>
            <color theme="1"/>
            <rFont val="Aptos Narrow"/>
            <family val="2"/>
            <scheme val="minor"/>
          </rPr>
          <t>Baptiste jeh:
Sony FY2024 EBITDA converted from JPY to USD at ~149 JPY/USD. Approximate figure.</t>
        </r>
      </text>
    </comment>
  </commentList>
</comments>
</file>

<file path=xl/sharedStrings.xml><?xml version="1.0" encoding="utf-8"?>
<sst xmlns="http://schemas.openxmlformats.org/spreadsheetml/2006/main" count="1040" uniqueCount="593">
  <si>
    <t>INPUT — Raw Data</t>
  </si>
  <si>
    <t>All figures in USD millions unless stated</t>
  </si>
  <si>
    <t>METRIC</t>
  </si>
  <si>
    <t>UNIT</t>
  </si>
  <si>
    <t>2025 (LTM)</t>
  </si>
  <si>
    <t xml:space="preserve"> </t>
  </si>
  <si>
    <t>INPUT</t>
  </si>
  <si>
    <t>Revenue</t>
  </si>
  <si>
    <t>($M)</t>
  </si>
  <si>
    <t>Cost of Goods Sold (COGS)</t>
  </si>
  <si>
    <t>Gross Profit</t>
  </si>
  <si>
    <t>Operating Expenses (SG&amp;A)</t>
  </si>
  <si>
    <t>Research &amp; Development</t>
  </si>
  <si>
    <t>Depreciation &amp; Amortization</t>
  </si>
  <si>
    <t>EBIT (Operating Profit)</t>
  </si>
  <si>
    <t>Interest Expense</t>
  </si>
  <si>
    <t>Interest Income</t>
  </si>
  <si>
    <t>Earnings Before Tax (EBT)</t>
  </si>
  <si>
    <t>Income Tax Expense</t>
  </si>
  <si>
    <t>Net Income</t>
  </si>
  <si>
    <t>Common Dividends</t>
  </si>
  <si>
    <t>EBITDA</t>
  </si>
  <si>
    <t>BALANCE SHEET</t>
  </si>
  <si>
    <t>Cash &amp; Cash Equivalents</t>
  </si>
  <si>
    <t>Accounts Receivable</t>
  </si>
  <si>
    <t>Inventories</t>
  </si>
  <si>
    <t>Other Current Assets</t>
  </si>
  <si>
    <t>Total Current Assets</t>
  </si>
  <si>
    <t>PP&amp;E (Net)</t>
  </si>
  <si>
    <t>Intangible Assets</t>
  </si>
  <si>
    <t>Other Long-Term Assets</t>
  </si>
  <si>
    <t>Total Assets</t>
  </si>
  <si>
    <t>Accounts Payable</t>
  </si>
  <si>
    <t>Short-Term Debt</t>
  </si>
  <si>
    <t>Income Tax Payable</t>
  </si>
  <si>
    <t>Other Current Liabilities</t>
  </si>
  <si>
    <t>Total Current Liabilities</t>
  </si>
  <si>
    <t>Long-Term Debt</t>
  </si>
  <si>
    <t>Total Liabilities</t>
  </si>
  <si>
    <t>Common Equity (Paid-In Capital)</t>
  </si>
  <si>
    <t>Retained Earnings</t>
  </si>
  <si>
    <t>Total Shareholders Equity</t>
  </si>
  <si>
    <t>Total Liabilities &amp; Equity</t>
  </si>
  <si>
    <t>CASH FLOW STATEMENT</t>
  </si>
  <si>
    <t>Change in Accounts Receivable</t>
  </si>
  <si>
    <t>Change in Inventories</t>
  </si>
  <si>
    <t>Change in Accounts Payable</t>
  </si>
  <si>
    <t>Other Working Capital Changes</t>
  </si>
  <si>
    <t>Cash from Operating Activities</t>
  </si>
  <si>
    <t>Capital Expenditures (CapEx)</t>
  </si>
  <si>
    <t>Other Investing Activities</t>
  </si>
  <si>
    <t>Cash from Investing Activities</t>
  </si>
  <si>
    <t>Change in Long-Term Debt</t>
  </si>
  <si>
    <t>Change in Common Equity</t>
  </si>
  <si>
    <t>Dividends Paid</t>
  </si>
  <si>
    <t>Cash from Financing Activities</t>
  </si>
  <si>
    <t>Net Change in Cash</t>
  </si>
  <si>
    <t>Beginning Cash Balance</t>
  </si>
  <si>
    <t>Ending Cash Balance</t>
  </si>
  <si>
    <t>MARKET &amp; VALUATION DATA</t>
  </si>
  <si>
    <t>Share Price</t>
  </si>
  <si>
    <t>($)</t>
  </si>
  <si>
    <t>Shares Outstanding (Diluted)</t>
  </si>
  <si>
    <t>(M)</t>
  </si>
  <si>
    <t>Market Capitalization</t>
  </si>
  <si>
    <t>Enterprise Value (EV)</t>
  </si>
  <si>
    <t>Beta (Levered)</t>
  </si>
  <si>
    <t>(x)</t>
  </si>
  <si>
    <t>Risk-Free Rate</t>
  </si>
  <si>
    <t>(%)</t>
  </si>
  <si>
    <t>Equity Risk Premium (ERP)</t>
  </si>
  <si>
    <t>Cost of Equity (CAPM)</t>
  </si>
  <si>
    <t>Cost of Debt (Pre-Tax)</t>
  </si>
  <si>
    <t>Tax Rate</t>
  </si>
  <si>
    <t>After-Tax Cost of Debt</t>
  </si>
  <si>
    <t>Weight of Equity (%)</t>
  </si>
  <si>
    <t>Weight of Debt (%)</t>
  </si>
  <si>
    <t>WACC</t>
  </si>
  <si>
    <t>Terminal Growth Rate</t>
  </si>
  <si>
    <t>Days in Period</t>
  </si>
  <si>
    <t>(days)</t>
  </si>
  <si>
    <t>COMPANY INFORMATION</t>
  </si>
  <si>
    <t>Company Name</t>
  </si>
  <si>
    <t>(text)</t>
  </si>
  <si>
    <t>Apple Inc.</t>
  </si>
  <si>
    <t>Ticker Symbol</t>
  </si>
  <si>
    <t>AAPL</t>
  </si>
  <si>
    <t>Sector / Industry</t>
  </si>
  <si>
    <t>Technology</t>
  </si>
  <si>
    <t>Base Year (LTM)</t>
  </si>
  <si>
    <t>Currency</t>
  </si>
  <si>
    <t>USD</t>
  </si>
  <si>
    <t>Units</t>
  </si>
  <si>
    <t>M</t>
  </si>
  <si>
    <t>Analysis Date</t>
  </si>
  <si>
    <t>2026-04-10</t>
  </si>
  <si>
    <t>NOTE: All analytical sheets reference this INPUT sheet only. Enter data in the blue cells (columns D–H).</t>
  </si>
  <si>
    <t>© 2015 to 2024 FinSight</t>
  </si>
  <si>
    <t>This Excel model is for educational purposes only.</t>
  </si>
  <si>
    <t>https://finsight.com/</t>
  </si>
  <si>
    <t>FinSight</t>
  </si>
  <si>
    <t>RATIOS — Financial Ratio Analysis</t>
  </si>
  <si>
    <t>RATIOS</t>
  </si>
  <si>
    <t>Year</t>
  </si>
  <si>
    <t>VALUATION RATIOS</t>
  </si>
  <si>
    <t>Price / Earnings (P/E)</t>
  </si>
  <si>
    <t>EV / EBITDA</t>
  </si>
  <si>
    <t>EV / Revenue</t>
  </si>
  <si>
    <t>EV / EBIT</t>
  </si>
  <si>
    <t>Price / Book (P/B)</t>
  </si>
  <si>
    <t>Price / Sales (P/S)</t>
  </si>
  <si>
    <t>Earnings Per Share (EPS)</t>
  </si>
  <si>
    <t>PROFITABILITY RATIOS</t>
  </si>
  <si>
    <t>Gross Profit Margin</t>
  </si>
  <si>
    <t>EBITDA Margin</t>
  </si>
  <si>
    <t>EBIT (Operating) Margin</t>
  </si>
  <si>
    <t>Net Profit Margin</t>
  </si>
  <si>
    <t>Return on Equity (ROE)</t>
  </si>
  <si>
    <t>Return on Assets (ROA)</t>
  </si>
  <si>
    <t>Return on Invested Capital (ROIC)</t>
  </si>
  <si>
    <t>LIQUIDITY &amp; SOLVENCY RATIOS</t>
  </si>
  <si>
    <t>Current Ratio</t>
  </si>
  <si>
    <t>Quick Ratio</t>
  </si>
  <si>
    <t>Cash Ratio</t>
  </si>
  <si>
    <t>Debt / Equity Ratio</t>
  </si>
  <si>
    <t>Net Debt / EBITDA</t>
  </si>
  <si>
    <t>Interest Coverage (EBIT/Interest)</t>
  </si>
  <si>
    <t>Debt / Total Assets</t>
  </si>
  <si>
    <t>Equity Ratio</t>
  </si>
  <si>
    <t>OPERATIONAL EFFICIENCY RATIOS</t>
  </si>
  <si>
    <t>Asset Turnover</t>
  </si>
  <si>
    <t>Inventory Turnover</t>
  </si>
  <si>
    <t>Days Inventory Outstanding (DIO)</t>
  </si>
  <si>
    <t>Receivables Turnover</t>
  </si>
  <si>
    <t>Days Sales Outstanding (DSO)</t>
  </si>
  <si>
    <t>Days Payable Outstanding (DPO)</t>
  </si>
  <si>
    <t>Cash Conversion Cycle (CCC)</t>
  </si>
  <si>
    <t>Fixed Asset Turnover</t>
  </si>
  <si>
    <t>GROWTH RATIOS</t>
  </si>
  <si>
    <t>Revenue Growth (YoY)</t>
  </si>
  <si>
    <t>–</t>
  </si>
  <si>
    <t>Gross Profit Growth (YoY)</t>
  </si>
  <si>
    <t>EBITDA Growth (YoY)</t>
  </si>
  <si>
    <t>Net Income Growth (YoY)</t>
  </si>
  <si>
    <t>EPS Growth (YoY)</t>
  </si>
  <si>
    <t>Total Assets Growth (YoY)</t>
  </si>
  <si>
    <t>CASH FLOW RATIOS</t>
  </si>
  <si>
    <t>Operating Cash Flow Margin</t>
  </si>
  <si>
    <t>Free Cash Flow (FCF)</t>
  </si>
  <si>
    <t>FCF Margin</t>
  </si>
  <si>
    <t>Cash Return on Equity</t>
  </si>
  <si>
    <t>CapEx / Revenue</t>
  </si>
  <si>
    <t>Dividend Payout Ratio</t>
  </si>
  <si>
    <t>CFO / Net Income (Accruals Ratio)</t>
  </si>
  <si>
    <t>CHART DATA</t>
  </si>
  <si>
    <t>Revenue ($M)</t>
  </si>
  <si>
    <t>EBITDA ($M)</t>
  </si>
  <si>
    <t>Net Income ($M)</t>
  </si>
  <si>
    <t>Cumul. Revenue ($M)</t>
  </si>
  <si>
    <t>SG&amp;A ($M)</t>
  </si>
  <si>
    <t>R&amp;D ($M)</t>
  </si>
  <si>
    <t>D&amp;A ($M)</t>
  </si>
  <si>
    <t>Interest ($M)</t>
  </si>
  <si>
    <t>FCF &amp; CapEx Trend ($M)</t>
  </si>
  <si>
    <t>Metric</t>
  </si>
  <si>
    <t>Free Cash Flow ($M)</t>
  </si>
  <si>
    <t>CapEx ($M)</t>
  </si>
  <si>
    <t>Cash from Operations ($M)</t>
  </si>
  <si>
    <t>Returns Chart Data</t>
  </si>
  <si>
    <t>ALTMAN Z-SCORE — Bankruptcy Risk</t>
  </si>
  <si>
    <t>ALTMAN Z-SCORE</t>
  </si>
  <si>
    <t>COMPONENT</t>
  </si>
  <si>
    <t>INTERMEDIATE CALCULATIONS</t>
  </si>
  <si>
    <t>Working Capital</t>
  </si>
  <si>
    <t>EBIT</t>
  </si>
  <si>
    <t>Market Cap (Book Value of Equity)</t>
  </si>
  <si>
    <t>5 ALTMAN Z-SCORE COMPONENTS</t>
  </si>
  <si>
    <t>X1 = Working Capital / Total Assets</t>
  </si>
  <si>
    <t>X2 = Retained Earnings / Total Assets</t>
  </si>
  <si>
    <t>X3 = EBIT / Total Assets</t>
  </si>
  <si>
    <t>X4 = Equity / Total Liabilities</t>
  </si>
  <si>
    <t>X5 = Revenue / Total Assets</t>
  </si>
  <si>
    <t>ALTMAN Z-SCORE CALCULATION</t>
  </si>
  <si>
    <t>1.2 × X1</t>
  </si>
  <si>
    <t>1.4 × X2</t>
  </si>
  <si>
    <t>3.3 × X3</t>
  </si>
  <si>
    <t>0.6 × X4</t>
  </si>
  <si>
    <t>1.0 × X5</t>
  </si>
  <si>
    <t>Z-SCORE (FINAL)</t>
  </si>
  <si>
    <t>ZONE INTERPRETATION</t>
  </si>
  <si>
    <t>ZONE</t>
  </si>
  <si>
    <t>SAFE ZONE</t>
  </si>
  <si>
    <t>Low probability of bankruptcy</t>
  </si>
  <si>
    <t>GREY ZONE</t>
  </si>
  <si>
    <t>Some risk — monitor closely</t>
  </si>
  <si>
    <t>DISTRESS ZONE</t>
  </si>
  <si>
    <t>High probability of bankruptcy</t>
  </si>
  <si>
    <t>NOTE: Altman Z-Score was developed by Edward Altman (1968) for publicly traded manufacturing companies.</t>
  </si>
  <si>
    <t>Modified versions exist for private companies (Z') and non-manufacturing firms (Z'').</t>
  </si>
  <si>
    <t>BENEISH M-SCORE — Earnings Manipulation</t>
  </si>
  <si>
    <t>BENEISH M-SCORE</t>
  </si>
  <si>
    <t>INDEX / COMPONENT</t>
  </si>
  <si>
    <t>Year t (Current)</t>
  </si>
  <si>
    <t>BASE FINANCIAL DATA (from INPUT)</t>
  </si>
  <si>
    <t>Net Sales (Revenue)</t>
  </si>
  <si>
    <t>Cost of Goods Sold</t>
  </si>
  <si>
    <t>Cash from Operations (CFO)</t>
  </si>
  <si>
    <t>SG&amp;A Expense</t>
  </si>
  <si>
    <t>8 BENEISH INDICES</t>
  </si>
  <si>
    <t>DSRI — Days Sales Receivable Index</t>
  </si>
  <si>
    <t>GMI — Gross Margin Index</t>
  </si>
  <si>
    <t>AQI — Asset Quality Index</t>
  </si>
  <si>
    <t>SGI — Sales Growth Index</t>
  </si>
  <si>
    <t>DEPI — Depreciation Index</t>
  </si>
  <si>
    <t>SGAI — SG&amp;A Expense Index</t>
  </si>
  <si>
    <t>TATA — Total Accruals to Total Assets</t>
  </si>
  <si>
    <t>LVGI — Leverage Index</t>
  </si>
  <si>
    <t>M-SCORE WEIGHTED CALCULATION</t>
  </si>
  <si>
    <t>Constant</t>
  </si>
  <si>
    <t>0.920 × DSRI</t>
  </si>
  <si>
    <t>0.528 × GMI</t>
  </si>
  <si>
    <t>0.404 × AQI</t>
  </si>
  <si>
    <t>0.892 × SGI</t>
  </si>
  <si>
    <t>0.115 × DEPI</t>
  </si>
  <si>
    <t>-0.172 × SGAI</t>
  </si>
  <si>
    <t>4.679 × TATA</t>
  </si>
  <si>
    <t>-0.327 × LVGI</t>
  </si>
  <si>
    <t>M-SCORE (FINAL)</t>
  </si>
  <si>
    <t>INTERPRETATION</t>
  </si>
  <si>
    <t>RESULT</t>
  </si>
  <si>
    <t>NOT LIKELY MANIPULATOR</t>
  </si>
  <si>
    <t>POSSIBLE MANIPULATOR</t>
  </si>
  <si>
    <t>NOTE: Beneish M-Score (1999) uses current year (t) vs. prior year (t-1) data. Requires 2+ years of data.</t>
  </si>
  <si>
    <t>DCF — Discounted Cash Flow Valuation</t>
  </si>
  <si>
    <t>DCF</t>
  </si>
  <si>
    <t>(Units)</t>
  </si>
  <si>
    <t>Terminal</t>
  </si>
  <si>
    <t>INCOME STATEMENT</t>
  </si>
  <si>
    <t>SG&amp;A Expenses</t>
  </si>
  <si>
    <t>Income Taxes</t>
  </si>
  <si>
    <t>ASSUMPTIONS &amp; DRIVERS</t>
  </si>
  <si>
    <t>INCOME STATEMENT DRIVERS</t>
  </si>
  <si>
    <t>Revenue Growth Rate (YoY)</t>
  </si>
  <si>
    <t>Gross Margin</t>
  </si>
  <si>
    <t>SG&amp;A (% of Revenue)</t>
  </si>
  <si>
    <t>R&amp;D (% of Revenue)</t>
  </si>
  <si>
    <t>D&amp;A (% of Revenue)</t>
  </si>
  <si>
    <t>Effective Tax Rate</t>
  </si>
  <si>
    <t>BALANCE SHEET / CASH FLOW DRIVERS</t>
  </si>
  <si>
    <t>CapEx (% of Revenue)</t>
  </si>
  <si>
    <t>Change in NWC (% of Revenue Change)</t>
  </si>
  <si>
    <t>FREE CASH FLOW CALCULATION</t>
  </si>
  <si>
    <t>(-) Taxes on EBIT (Unlevered)</t>
  </si>
  <si>
    <t>NOPAT (Net Operating Profit After Tax)</t>
  </si>
  <si>
    <t>(+) Depreciation &amp; Amortization</t>
  </si>
  <si>
    <t>(-) Capital Expenditures (CapEx)</t>
  </si>
  <si>
    <t>(-) Change in Working Capital</t>
  </si>
  <si>
    <t>Unlevered Free Cash Flow (UFCF)</t>
  </si>
  <si>
    <t>WACC CALCULATION (Capital Asset Pricing Model)</t>
  </si>
  <si>
    <t>Risk-Free Rate (Rf)</t>
  </si>
  <si>
    <t>Target Equity Weight (We)</t>
  </si>
  <si>
    <t>Target Debt Weight (Wd)</t>
  </si>
  <si>
    <t>Pre-Tax Cost of Debt (Kd)</t>
  </si>
  <si>
    <t>TERMINAL VALUE &amp; ENTERPRISE VALUE</t>
  </si>
  <si>
    <t>Terminal Growth Rate (g)</t>
  </si>
  <si>
    <t>Year 5 UFCF</t>
  </si>
  <si>
    <t>Terminal Year UFCF (t+1)</t>
  </si>
  <si>
    <t>Terminal Value (Gordon Growth)</t>
  </si>
  <si>
    <t>Terminal EBITDA Multiple (Alt.)</t>
  </si>
  <si>
    <t>Discounting Period (Years)</t>
  </si>
  <si>
    <t>Discount Factor</t>
  </si>
  <si>
    <t>UFCF to Discount</t>
  </si>
  <si>
    <t>Terminal Value to Discount</t>
  </si>
  <si>
    <t>PV of UFCF + Terminal Value</t>
  </si>
  <si>
    <t>ENTERPRISE VALUE &amp; EQUITY VALUE</t>
  </si>
  <si>
    <t>Sum of PV of UFCFs (Years 1-5)</t>
  </si>
  <si>
    <t>PV of Terminal Value</t>
  </si>
  <si>
    <t>(-) Total Debt</t>
  </si>
  <si>
    <t>(+) Cash &amp; Cash Equivalents</t>
  </si>
  <si>
    <t>Equity Value</t>
  </si>
  <si>
    <t>Implied Share Price (DCF)</t>
  </si>
  <si>
    <t>Current Share Price</t>
  </si>
  <si>
    <t>Upside / (Downside)</t>
  </si>
  <si>
    <t>UFCF IRR (5-Year)</t>
  </si>
  <si>
    <t>SENSITIVITY ANALYSIS — Implied Share Price ($)</t>
  </si>
  <si>
    <t>Terminal Growth Rate →</t>
  </si>
  <si>
    <t>WACC ↓</t>
  </si>
  <si>
    <t>g=0%</t>
  </si>
  <si>
    <t>g=1%</t>
  </si>
  <si>
    <t>g=2%</t>
  </si>
  <si>
    <t>g=3% (Base)</t>
  </si>
  <si>
    <t>g=4%</t>
  </si>
  <si>
    <t>Yellow = Base Case (WACC = 10.4%, g = 3.0%)</t>
  </si>
  <si>
    <t>SCENARIO ANALYSIS — 3 SCENARIOS</t>
  </si>
  <si>
    <t>Pessimistic</t>
  </si>
  <si>
    <t>Realistic</t>
  </si>
  <si>
    <t>Optimistic</t>
  </si>
  <si>
    <t>Revenue Growth (Y1-Y5 avg.)</t>
  </si>
  <si>
    <t>Implied Share Price ($)</t>
  </si>
  <si>
    <t>UFCF Projection ($M)</t>
  </si>
  <si>
    <t>UFCF</t>
  </si>
  <si>
    <t>Revenue Projection ($M)</t>
  </si>
  <si>
    <t>COMPARABLES — Trading Comparables</t>
  </si>
  <si>
    <t>COMPARABLES</t>
  </si>
  <si>
    <t>COMPARABLE TRADING ANALYSIS</t>
  </si>
  <si>
    <t>Share
Price</t>
  </si>
  <si>
    <t>Enterprise
Value</t>
  </si>
  <si>
    <t>Revenue
(LTM)</t>
  </si>
  <si>
    <t>EBITDA
(LTM)</t>
  </si>
  <si>
    <t>EV /
EBITDA</t>
  </si>
  <si>
    <t>EV /
Revenue</t>
  </si>
  <si>
    <t>EPS
(LTM)</t>
  </si>
  <si>
    <t>P / E
(LTM)</t>
  </si>
  <si>
    <t>PEER COMPANIES</t>
  </si>
  <si>
    <t>TICKER</t>
  </si>
  <si>
    <t>(USD/sh)</t>
  </si>
  <si>
    <t>Microsoft Corporation</t>
  </si>
  <si>
    <t>MSFT</t>
  </si>
  <si>
    <t>Alphabet Inc.</t>
  </si>
  <si>
    <t>GOOG</t>
  </si>
  <si>
    <t>Meta Platforms, Inc.</t>
  </si>
  <si>
    <t>META</t>
  </si>
  <si>
    <t>Sony Group Corporation</t>
  </si>
  <si>
    <t>SONY</t>
  </si>
  <si>
    <t>SMSNG.KS</t>
  </si>
  <si>
    <t>Mean</t>
  </si>
  <si>
    <t>Median</t>
  </si>
  <si>
    <t>Maximum</t>
  </si>
  <si>
    <t>Minimum</t>
  </si>
  <si>
    <t>TARGET COMPANY VALUATION (Based on Peer Multiples)</t>
  </si>
  <si>
    <t>TARGET COMPANY METRICS (from INPUT)</t>
  </si>
  <si>
    <t>Target: Revenue (LTM)</t>
  </si>
  <si>
    <t>Target: EBITDA (LTM)</t>
  </si>
  <si>
    <t>Target: EPS (LTM)</t>
  </si>
  <si>
    <t>Target: Net Debt</t>
  </si>
  <si>
    <t>Target: Shares Outstanding</t>
  </si>
  <si>
    <t>IMPLIED VALUATION</t>
  </si>
  <si>
    <t>EV / EBITDA — Implied EV ($M)</t>
  </si>
  <si>
    <t>EV / Revenue — Implied EV ($M)</t>
  </si>
  <si>
    <t>P/E — Implied Equity Value ($M)</t>
  </si>
  <si>
    <t>Implied Enterprise Value (Average of 3 Methods)</t>
  </si>
  <si>
    <t>(-) Net Debt</t>
  </si>
  <si>
    <t>Implied Equity Value ($M)</t>
  </si>
  <si>
    <t>Current Share Price ($)</t>
  </si>
  <si>
    <t>Implied Upside / (Downside)</t>
  </si>
  <si>
    <t>(1) Target company EV based on LTM EV/EBITDA and EV/Revenue multiples relative to comparable peer set.</t>
  </si>
  <si>
    <t>Company</t>
  </si>
  <si>
    <t>EV/EBITDA (x)</t>
  </si>
  <si>
    <t>EV/Revenue (x)</t>
  </si>
  <si>
    <t>P/E (x)</t>
  </si>
  <si>
    <t>Implied Share Price — Valuation Range ($)</t>
  </si>
  <si>
    <t>Method</t>
  </si>
  <si>
    <t>Low ($)</t>
  </si>
  <si>
    <t>High ($)</t>
  </si>
  <si>
    <t>Current ($)</t>
  </si>
  <si>
    <t>Median ($)</t>
  </si>
  <si>
    <t>EV/EBITDA</t>
  </si>
  <si>
    <t>EV/Revenue</t>
  </si>
  <si>
    <t>vé</t>
  </si>
  <si>
    <t>P/E</t>
  </si>
  <si>
    <t>SCENARIOS — Scenario Analysis</t>
  </si>
  <si>
    <t>SCENARIOS</t>
  </si>
  <si>
    <t>All figures in USD millions unless stated | 3 scenarios: Pessimistic / Realistic (Base) / Optimistic</t>
  </si>
  <si>
    <t>▶  SELECT SCENARIO</t>
  </si>
  <si>
    <t>SCENARIO ASSUMPTIONS</t>
  </si>
  <si>
    <t>DRIVER</t>
  </si>
  <si>
    <t>Revenue Growth Rate (Y1-Y5)</t>
  </si>
  <si>
    <t>▶ Secteur actif :</t>
  </si>
  <si>
    <t>SCENARIO RESULTS — DYNAMIC VIEW</t>
  </si>
  <si>
    <t>Free Cash Flow (Est.)</t>
  </si>
  <si>
    <t>Implied Share Price</t>
  </si>
  <si>
    <t>SCENARIO SUMMARY COMPARISON</t>
  </si>
  <si>
    <t>METRIC (Year 5)</t>
  </si>
  <si>
    <t>Revenue (Year 5)</t>
  </si>
  <si>
    <t>EBITDA (Year 5)</t>
  </si>
  <si>
    <t>Net Income (Year 5)</t>
  </si>
  <si>
    <t>FCF (Year 5)</t>
  </si>
  <si>
    <t>EBITDA Margin (Year 5)</t>
  </si>
  <si>
    <t>Delta (Opt. vs Pess.)</t>
  </si>
  <si>
    <t>CHART DATA: Revenue by Scenario</t>
  </si>
  <si>
    <t>CHART DATA: EBITDA by Scenario</t>
  </si>
  <si>
    <t>CHARTS: Revenue &amp; FCF by scenario (insert chart using Scenarios data above D16:I16, D25:I25, D34:I34 for Revenue)</t>
  </si>
  <si>
    <t>Chart Data: Revenue by Scenario</t>
  </si>
  <si>
    <t>Chart Data: EBITDA by Scenario</t>
  </si>
  <si>
    <t>Année</t>
  </si>
  <si>
    <t>Cumul Revenue</t>
  </si>
  <si>
    <t>Financial Performance</t>
  </si>
  <si>
    <t>Net Margin</t>
  </si>
  <si>
    <t>Revenue &amp; Profitability</t>
  </si>
  <si>
    <t>Profit Margins</t>
  </si>
  <si>
    <t>Cumulative revenue</t>
  </si>
  <si>
    <t>Expense Breakdown</t>
  </si>
  <si>
    <t>Performance Summary (Five-Year)</t>
  </si>
  <si>
    <t>Income Statement (LTM)</t>
  </si>
  <si>
    <t>5-Yr Avg</t>
  </si>
  <si>
    <t>Trend</t>
  </si>
  <si>
    <t>Actual</t>
  </si>
  <si>
    <t>Prev Year</t>
  </si>
  <si>
    <t>Variance</t>
  </si>
  <si>
    <t>Var %</t>
  </si>
  <si>
    <t>COGS</t>
  </si>
  <si>
    <t>Expenses</t>
  </si>
  <si>
    <t>Net Margin (%)</t>
  </si>
  <si>
    <t>P&amp;L Summary (LTM)</t>
  </si>
  <si>
    <t>Balance Sheet Summary (LTM)</t>
  </si>
  <si>
    <t>Assets</t>
  </si>
  <si>
    <t>Current Assets</t>
  </si>
  <si>
    <t>Non-current Assets</t>
  </si>
  <si>
    <t>SG&amp;A</t>
  </si>
  <si>
    <t>R&amp;D</t>
  </si>
  <si>
    <t>D&amp;A</t>
  </si>
  <si>
    <t>Liabilities</t>
  </si>
  <si>
    <t>Interest</t>
  </si>
  <si>
    <t>Current Liabilities</t>
  </si>
  <si>
    <t>Total Expenses</t>
  </si>
  <si>
    <t>Long-term Liabilities</t>
  </si>
  <si>
    <t>Shareholders' Equity</t>
  </si>
  <si>
    <t>Net Operating Profit</t>
  </si>
  <si>
    <t>Liabilities &amp; Shareholders' Equity</t>
  </si>
  <si>
    <t>Projected Business Performance</t>
  </si>
  <si>
    <t>Football Field Chart — Valuation Inputs</t>
  </si>
  <si>
    <t>All figures in USD Thousands unless stated</t>
  </si>
  <si>
    <t>Delta ($)</t>
  </si>
  <si>
    <t>Company Information</t>
  </si>
  <si>
    <t>52-Week Trading Range</t>
  </si>
  <si>
    <t>Consensus Research</t>
  </si>
  <si>
    <t>Precedent Transactions</t>
  </si>
  <si>
    <t>Sector</t>
  </si>
  <si>
    <t>Sum-of-the-Parts</t>
  </si>
  <si>
    <t>Discounted Cash Flow</t>
  </si>
  <si>
    <t>Financial Data — Multi-Year</t>
  </si>
  <si>
    <t>Stock Chart: Trailing 52-Weeks</t>
  </si>
  <si>
    <t>Valuation Summary: Football Field Chart</t>
  </si>
  <si>
    <t>Revenue Growth (%)</t>
  </si>
  <si>
    <t>EBITDA Growth (%)</t>
  </si>
  <si>
    <t>Revenue — Products</t>
  </si>
  <si>
    <t>Cost of Revenue (COGS)</t>
  </si>
  <si>
    <t>Total Revenue</t>
  </si>
  <si>
    <t>Cash from Ops (CFO)</t>
  </si>
  <si>
    <t>ly</t>
  </si>
  <si>
    <t>Total Revenue ($M)</t>
  </si>
  <si>
    <t>Other Financial Metrics ($ Millier)</t>
  </si>
  <si>
    <t>Low</t>
  </si>
  <si>
    <t>Delta</t>
  </si>
  <si>
    <t>High</t>
  </si>
  <si>
    <t>Precedent Trans.</t>
  </si>
  <si>
    <t>CFO</t>
  </si>
  <si>
    <t>CFO ($M)</t>
  </si>
  <si>
    <t>STOCK_DATA — Apple Inc. (AAPL) — Trailing 52 Weeks</t>
  </si>
  <si>
    <t>#</t>
  </si>
  <si>
    <t>Month</t>
  </si>
  <si>
    <t>Close Price ($)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</si>
  <si>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</si>
  <si>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</si>
  <si>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</si>
  <si>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</si>
  <si>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</si>
  <si>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</si>
  <si>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</si>
  <si>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</si>
  <si>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</si>
  <si>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</si>
  <si>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</si>
  <si>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</si>
  <si>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⚠️  Données simulées. Remplacer par données réelles (Bloomberg/FactSet) en colonne B (Mois) et C (Prix).</t>
  </si>
  <si>
    <t>Secteur</t>
  </si>
  <si>
    <t>Driver</t>
  </si>
  <si>
    <t>Pessimiste</t>
  </si>
  <si>
    <t>Realiste</t>
  </si>
  <si>
    <t>Optimiste</t>
  </si>
  <si>
    <t>Technologie / SaaS</t>
  </si>
  <si>
    <t>SG&amp;A (% Revenue)</t>
  </si>
  <si>
    <t>R&amp;D (% Revenue)</t>
  </si>
  <si>
    <t>CapEx (% Revenue)</t>
  </si>
  <si>
    <t>Change in NWC (% Rev Change)</t>
  </si>
  <si>
    <t>EV/EBITDA Exit Multiple</t>
  </si>
  <si>
    <t>Industrie / Manufacturing</t>
  </si>
  <si>
    <t>Consommation / Retail</t>
  </si>
  <si>
    <t>Luxe / Premium</t>
  </si>
  <si>
    <t>Energie / Utilities</t>
  </si>
  <si>
    <t>Sante / Pharma</t>
  </si>
  <si>
    <t>MODÈLE LBO</t>
  </si>
  <si>
    <t>Modèle institutionnel mid-market  ·  calculs sur 5 ans  ·  toutes hypothèses paramétrables (cellules jaunes)</t>
  </si>
  <si>
    <t>A.  PROFIL &amp; ÉLIGIBILITÉ</t>
  </si>
  <si>
    <t>Société</t>
  </si>
  <si>
    <t>Enterprise Value LTM</t>
  </si>
  <si>
    <t>Ticker</t>
  </si>
  <si>
    <t>EBITDA LTM</t>
  </si>
  <si>
    <t>Revenue LTM</t>
  </si>
  <si>
    <t>Marge EBITDA</t>
  </si>
  <si>
    <t>Cash Conversion (FCF/EBITDA)</t>
  </si>
  <si>
    <t>B.  HYPOTHÈSES (cellules jaunes paramétrables)</t>
  </si>
  <si>
    <t>Multiple d'entrée (× EBITDA LTM)</t>
  </si>
  <si>
    <t>EV / EBITDA actuel marché</t>
  </si>
  <si>
    <t>Premium implicite vs Market Cap (calculé)</t>
  </si>
  <si>
    <t>EV / EBITDA peers (méd. COMPARABLES)</t>
  </si>
  <si>
    <t>Leverage total au closing (× EBITDA)</t>
  </si>
  <si>
    <t>Différence vs multiple d'entrée saisi</t>
  </si>
  <si>
    <t xml:space="preserve">  · dont Senior Term Loan B</t>
  </si>
  <si>
    <t xml:space="preserve">  · dont Mezzanine</t>
  </si>
  <si>
    <t>Recommandation multiple d'entrée</t>
  </si>
  <si>
    <t>Coût Senior TLB (SOFR + 400 bps)</t>
  </si>
  <si>
    <t>Note : pour un LBO réaliste, le multiple d'entrée doit être &gt;= multiple actuel + 10% (premium d'acquisition).</t>
  </si>
  <si>
    <t>Coût Mezzanine (cash 5% + PIK 5%)</t>
  </si>
  <si>
    <t>Multiple de sortie (× EBITDA Y5)</t>
  </si>
  <si>
    <t>Période de détention (années)</t>
  </si>
  <si>
    <t>Transaction fees (% EV deal)</t>
  </si>
  <si>
    <t>Cash minimum BS (% EV)</t>
  </si>
  <si>
    <t>EV_deal:</t>
  </si>
  <si>
    <t>C.  SOURCES &amp; USES</t>
  </si>
  <si>
    <t>SOURCES (financement)</t>
  </si>
  <si>
    <t>USES (utilisation)</t>
  </si>
  <si>
    <t>Sponsor Equity</t>
  </si>
  <si>
    <t>Purchase price equity</t>
  </si>
  <si>
    <t>Senior Term Loan B</t>
  </si>
  <si>
    <t>Refinancement dette existante</t>
  </si>
  <si>
    <t>Mezzanine</t>
  </si>
  <si>
    <t>Transaction fees</t>
  </si>
  <si>
    <t>Cash minimum sur BS</t>
  </si>
  <si>
    <t>TOTAL SOURCES</t>
  </si>
  <si>
    <t>TOTAL USES</t>
  </si>
  <si>
    <t>D.  RETURNS BASE CASE  —  Sortie Y5</t>
  </si>
  <si>
    <t>Equity entry sponsor</t>
  </si>
  <si>
    <t>Equity exit (Y5)</t>
  </si>
  <si>
    <t>IRR Sponsor</t>
  </si>
  <si>
    <t>MOIC</t>
  </si>
  <si>
    <t>Money-back period</t>
  </si>
  <si>
    <t>E.  SENSIBILITÉ IRR  —  Multiple d'entrée × Multiple de sortie</t>
  </si>
  <si>
    <t>↓ Mult. entrée  /  Mult. sortie →</t>
  </si>
  <si>
    <t>F.  SCÉNARIOS  —  Bull / Base / Bear</t>
  </si>
  <si>
    <t>Métrique</t>
  </si>
  <si>
    <t>BULL</t>
  </si>
  <si>
    <t>BASE</t>
  </si>
  <si>
    <t>BEAR</t>
  </si>
  <si>
    <t>Leverage exit</t>
  </si>
  <si>
    <t>ICR exit (EBIT/Int)</t>
  </si>
  <si>
    <t>G.  EXPORT  —  Données reprises dans le PPTX et le PDF</t>
  </si>
  <si>
    <t>LBO_ELIGIBLE</t>
  </si>
  <si>
    <t>LBO_MEGA_FLAG</t>
  </si>
  <si>
    <t>LBO_IRR_BASE</t>
  </si>
  <si>
    <t>LBO_MOIC_BASE</t>
  </si>
  <si>
    <t>LBO_IRR_BULL</t>
  </si>
  <si>
    <t>LBO_IRR_BEAR</t>
  </si>
  <si>
    <t>LBO_LEVERAGE_EXIT</t>
  </si>
  <si>
    <t>LBO_EQUITY_ENTRY</t>
  </si>
  <si>
    <t>LBO_EQUITY_EXIT</t>
  </si>
  <si>
    <t>Méthodologie complète : voir slide méthodologie société. Calculs détaillés dans l'onglet _LBO_CALC (masqué — démasquer pour audit).</t>
  </si>
  <si>
    <t>FinSight  —  LBO Calculation Engine (JPM/GS-grade)</t>
  </si>
  <si>
    <t>Onglet masqué — démasquer pour audit complet du modèle.</t>
  </si>
  <si>
    <t>1.  PROJECTIONS DÉTAILLÉES Y0-Y5  (référence DCF)</t>
  </si>
  <si>
    <t>($000)</t>
  </si>
  <si>
    <t>Y0 (LTM)</t>
  </si>
  <si>
    <t>Y1</t>
  </si>
  <si>
    <t>Y2</t>
  </si>
  <si>
    <t>Y3</t>
  </si>
  <si>
    <t>Y4</t>
  </si>
  <si>
    <t>Y5</t>
  </si>
  <si>
    <t>CapEx</t>
  </si>
  <si>
    <t>Δ Working Capital</t>
  </si>
  <si>
    <t>FCF Unlevered (Pre-Debt)</t>
  </si>
  <si>
    <t>2.  DEBT SCHEDULE COMPLET (Senior TLB + Mezzanine)</t>
  </si>
  <si>
    <t>SENIOR TERM LOAN B</t>
  </si>
  <si>
    <t>Beginning balance</t>
  </si>
  <si>
    <t>Mandatory amortization (1%)</t>
  </si>
  <si>
    <t>Cash sweep (75% excess FCF)</t>
  </si>
  <si>
    <t>Ending balance</t>
  </si>
  <si>
    <t>Interest expense (TLB)</t>
  </si>
  <si>
    <t>MEZZANINE</t>
  </si>
  <si>
    <t>PIK interest (5% capitalisé)</t>
  </si>
  <si>
    <t>Bullet repayment (Y5)</t>
  </si>
  <si>
    <t>Interest expense Mezz (cash 5%)</t>
  </si>
  <si>
    <t>TOTAL INTEREST EXPENSE</t>
  </si>
  <si>
    <t>Net Debt (Senior + Mezz - Cash)</t>
  </si>
  <si>
    <t>Total Leverage (× EBITDA)</t>
  </si>
  <si>
    <t>Interest Coverage (EBIT/Int)</t>
  </si>
  <si>
    <t>3.  EXIT WATERFALL &amp; RETURNS BASE CASE</t>
  </si>
  <si>
    <t>EBITDA exit (Y5)</t>
  </si>
  <si>
    <t>× Multiple de sortie</t>
  </si>
  <si>
    <t>− Net Debt at exit</t>
  </si>
  <si>
    <t>EQUITY ENTRY</t>
  </si>
  <si>
    <t>EBITDA Y5</t>
  </si>
  <si>
    <t>NET DEBT Y5</t>
  </si>
  <si>
    <t>EQUITY EXIT</t>
  </si>
  <si>
    <t>IRR BASE</t>
  </si>
  <si>
    <t>MOIC BASE</t>
  </si>
  <si>
    <t>4.  SCÉNARIOS BULL / BASE / BEAR (formules paramétrées)</t>
  </si>
  <si>
    <t>Scénario</t>
  </si>
  <si>
    <t>IRR</t>
  </si>
  <si>
    <t>Lvg exit</t>
  </si>
  <si>
    <t>ICR exit</t>
  </si>
  <si>
    <t>BULL (rev +15%, marge +200bps, exit +1x)</t>
  </si>
  <si>
    <t>BASE (hypothèses centrales)</t>
  </si>
  <si>
    <t>BEAR (rev -15%, marge -200bps, exit -1x)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</si>
</sst>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6" formatCode="#,##0\ &quot;€&quot;;[Red]\-#,##0\ &quot;€&quot;"/>
    <numFmt numFmtId="43" formatCode="_-* #,##0.00_-;\-* #,##0.00_-;_-* &quot;-&quot;??_-;_-@_-"/>
    <numFmt numFmtId="164" formatCode="_(#,##0_);\(#,##0\);_(&quot;–&quot;_);_(@_)"/>
    <numFmt numFmtId="165" formatCode="_(0_);\(0\);_(&quot;–&quot;_);_(@_)"/>
    <numFmt numFmtId="166" formatCode="_(0.000_);\(0.000\);_(&quot;–&quot;_);_(@_)"/>
    <numFmt numFmtId="167" formatCode="_(#,##0.0%_);\(#,##0.0%\);_(&quot;–&quot;_);_(@_)"/>
    <numFmt numFmtId="168" formatCode="_(#,##0.00_);\(#,##0.00\);_(&quot;–&quot;_);_(@_)"/>
    <numFmt numFmtId="169" formatCode="0.0%"/>
    <numFmt numFmtId="170" formatCode="_(* #,##0_);_(* \(#,##0\);_(* &quot;-&quot;??_);_(@_)"/>
    <numFmt numFmtId="171" formatCode="_(#,##0%_);\(#,##0%\);_(&quot;–&quot;_);_(@_)"/>
    <numFmt numFmtId="172" formatCode="&quot;€&quot;#,##0;\(&quot;€&quot;#,##0\);\-"/>
    <numFmt numFmtId="173" formatCode="0.0\x"/>
    <numFmt numFmtId="174" formatCode="&quot;€&quot;#,##0.00"/>
    <numFmt numFmtId="175" formatCode="0.0"/>
    <numFmt numFmtId="176" formatCode="_(0.00_);\(0.00\);_(&quot;–&quot;_);_(@_)"/>
    <numFmt numFmtId="177" formatCode="&quot;€&quot;#,##0.00;\(&quot;€&quot;#,##0.00\);\-"/>
    <numFmt numFmtId="178" formatCode="_(0.0\x_);\(0.0\x\);_(&quot;–&quot;_);_(@_)"/>
    <numFmt numFmtId="179" formatCode="_(#,##0.0_);\(#,##0.0\);_(&quot;–&quot;_);_(@_)"/>
    <numFmt numFmtId="180" formatCode="0.000"/>
    <numFmt numFmtId="181" formatCode="&quot;€&quot;#,##0"/>
    <numFmt numFmtId="182" formatCode="&quot;€&quot;#,##0_);\(&quot;€&quot;#,##0\)"/>
    <numFmt numFmtId="183" formatCode="0.00\x"/>
    <numFmt numFmtId="184" formatCode=";;;"/>
    <numFmt numFmtId="185" formatCode="_(&quot;$&quot;* #,##0.00_);_(&quot;$&quot;* \(#,##0.00\);_(&quot;$&quot;* &quot;-&quot;??_);_(@_)"/>
    <numFmt numFmtId="186" formatCode="#,##0_);[Red]\(#,##0\);&quot;—&quot;"/>
    <numFmt numFmtId="187" formatCode="0.0&quot;x&quot;"/>
    <numFmt numFmtId="188" formatCode="\+0.0%;\-0.0%;0.0%"/>
    <numFmt numFmtId="189" formatCode="\+0.0&quot;x&quot;;\-0.0&quot;x&quot;;0.0&quot;x&quot;"/>
    <numFmt numFmtId="190" formatCode="0.00&quot;x&quot;"/>
    <numFmt numFmtId="191" formatCode="0.000%"/>
    <numFmt numFmtId="192" formatCode="#,##0;\(#,##0\)"/>
  </numFmts>
  <fonts count="145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Open Sans"/>
      <family val="2"/>
    </font>
    <font>
      <b/>
      <sz val="10"/>
      <color rgb="FF132E57"/>
      <name val="Open Sans"/>
      <family val="2"/>
    </font>
    <font>
      <sz val="9"/>
      <color rgb="FFFFFFFF"/>
      <name val="Open Sans"/>
      <family val="2"/>
    </font>
    <font>
      <sz val="10"/>
      <color theme="1"/>
      <name val="Open Sans"/>
      <family val="2"/>
    </font>
    <font>
      <b/>
      <sz val="10"/>
      <color rgb="FFFFFFFF"/>
      <name val="Open Sans"/>
      <family val="2"/>
    </font>
    <font>
      <b/>
      <sz val="10"/>
      <color rgb="FF3271D2"/>
      <name val="Open Sans"/>
      <family val="2"/>
    </font>
    <font>
      <sz val="10"/>
      <color rgb="FF3271D2"/>
      <name val="Open Sans"/>
      <family val="2"/>
    </font>
    <font>
      <b/>
      <sz val="10"/>
      <color theme="1"/>
      <name val="Open Sans"/>
      <family val="2"/>
    </font>
    <font>
      <i/>
      <sz val="10"/>
      <color rgb="FF595959"/>
      <name val="Open Sans"/>
      <family val="2"/>
    </font>
    <font>
      <sz val="10"/>
      <color rgb="FFFFFFFF"/>
      <name val="Open Sans"/>
      <family val="2"/>
    </font>
    <font>
      <b/>
      <sz val="10"/>
      <color rgb="FF000000"/>
      <name val="Open Sans"/>
      <family val="2"/>
    </font>
    <font>
      <sz val="9"/>
      <color rgb="FF000000"/>
      <name val="Open Sans"/>
      <family val="2"/>
    </font>
    <font>
      <i/>
      <sz val="10"/>
      <color rgb="FF3271D2"/>
      <name val="Open Sans"/>
      <family val="2"/>
    </font>
    <font>
      <b/>
      <sz val="10"/>
      <color rgb="FF1B3E70"/>
      <name val="Open Sans"/>
      <family val="2"/>
    </font>
    <font>
      <sz val="10"/>
      <color rgb="FF276221"/>
      <name val="Open Sans"/>
      <family val="2"/>
    </font>
    <font>
      <sz val="10"/>
      <color rgb="FF9C0006"/>
      <name val="Open Sans"/>
      <family val="2"/>
    </font>
    <font>
      <b/>
      <sz val="14"/>
      <color rgb="FF3271D2"/>
      <name val="Open Sans"/>
      <family val="2"/>
    </font>
    <font>
      <sz val="8"/>
      <color rgb="FF595959"/>
      <name val="Open Sans"/>
      <family val="2"/>
    </font>
    <font>
      <b/>
      <sz val="8"/>
      <color rgb="FF595959"/>
      <name val="Open Sans"/>
      <family val="2"/>
    </font>
    <font>
      <i/>
      <sz val="9"/>
      <color rgb="FF000000"/>
      <name val="Open Sans"/>
      <family val="2"/>
    </font>
    <font>
      <b/>
      <sz val="14"/>
      <color rgb="FF3271D2"/>
      <name val="Aptos Narrow"/>
      <family val="2"/>
      <scheme val="minor"/>
    </font>
    <font>
      <sz val="10"/>
      <color rgb="FF132E57"/>
      <name val="Open Sans"/>
      <family val="2"/>
    </font>
    <font>
      <i/>
      <sz val="9"/>
      <color rgb="FF595959"/>
      <name val="Open Sans"/>
      <family val="2"/>
    </font>
    <font>
      <b/>
      <sz val="12"/>
      <color rgb="FF3271D2"/>
      <name val="Open Sans"/>
      <family val="2"/>
    </font>
    <font>
      <sz val="9"/>
      <color rgb="FF595959"/>
      <name val="Aptos Narrow"/>
      <family val="2"/>
      <scheme val="minor"/>
    </font>
    <font>
      <sz val="9"/>
      <color rgb="FF132E57"/>
      <name val="Open Sans"/>
      <family val="2"/>
    </font>
    <font>
      <b/>
      <sz val="8"/>
      <color rgb="FF132E57"/>
      <name val="Open Sans"/>
      <family val="2"/>
    </font>
    <font>
      <b/>
      <sz val="11"/>
      <color rgb="FF132E57"/>
      <name val="Aptos Narrow"/>
      <family val="2"/>
      <scheme val="minor"/>
    </font>
    <font>
      <b/>
      <sz val="10"/>
      <color rgb="FF132E57"/>
      <name val="Aptos Narrow"/>
      <family val="2"/>
      <scheme val="minor"/>
    </font>
    <font>
      <b/>
      <sz val="9"/>
      <color rgb="FF132E57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Open Sans"/>
      <family val="2"/>
    </font>
    <font>
      <b/>
      <sz val="10"/>
      <color rgb="FF000000"/>
      <name val="Open Sans"/>
      <family val="2"/>
    </font>
    <font>
      <sz val="8"/>
      <color rgb="FF595959"/>
      <name val="Open Sans"/>
      <family val="2"/>
    </font>
    <font>
      <b/>
      <sz val="10"/>
      <color rgb="FFFFFFFF"/>
      <name val="Open Sans"/>
      <family val="2"/>
    </font>
    <font>
      <b/>
      <sz val="18"/>
      <color rgb="FFFFFFFF"/>
      <name val="Open Sans"/>
      <family val="2"/>
    </font>
    <font>
      <sz val="10"/>
      <color rgb="FF3271D2"/>
      <name val="Open Sans"/>
      <family val="2"/>
    </font>
    <font>
      <b/>
      <sz val="10"/>
      <color rgb="FFFFFFFF"/>
      <name val="Aptos Narrow"/>
      <family val="2"/>
      <scheme val="minor"/>
    </font>
    <font>
      <b/>
      <sz val="12"/>
      <color rgb="FF000000"/>
      <name val="Open Sans"/>
      <family val="2"/>
    </font>
    <font>
      <sz val="8"/>
      <color rgb="FF000000"/>
      <name val="Open Sans"/>
      <family val="2"/>
    </font>
    <font>
      <i/>
      <sz val="10"/>
      <color rgb="FF000000"/>
      <name val="Open Sans"/>
      <family val="2"/>
    </font>
    <font>
      <b/>
      <sz val="10"/>
      <color rgb="FF3271D2"/>
      <name val="Open Sans"/>
      <family val="2"/>
    </font>
    <font>
      <b/>
      <sz val="10"/>
      <color rgb="FF132E57"/>
      <name val="Open Sans"/>
      <family val="2"/>
    </font>
    <font>
      <sz val="14"/>
      <color rgb="FF000000"/>
      <name val="Open Sans"/>
      <family val="2"/>
    </font>
    <font>
      <sz val="10"/>
      <color rgb="FFFFFFFF"/>
      <name val="Open Sans"/>
      <family val="2"/>
    </font>
    <font>
      <b/>
      <sz val="14"/>
      <color rgb="FF3271D2"/>
      <name val="Open Sans"/>
      <family val="2"/>
    </font>
    <font>
      <sz val="10"/>
      <color theme="1"/>
      <name val="Open Sans"/>
      <family val="2"/>
    </font>
    <font>
      <sz val="10"/>
      <color rgb="FF0000FF"/>
      <name val="Open Sans"/>
      <family val="2"/>
    </font>
    <font>
      <sz val="10"/>
      <color rgb="FF000000"/>
      <name val="Aptos Narrow"/>
      <family val="2"/>
      <scheme val="minor"/>
    </font>
    <font>
      <sz val="11"/>
      <name val="Open Sans"/>
      <family val="2"/>
    </font>
    <font>
      <u/>
      <sz val="10"/>
      <color theme="10"/>
      <name val="Arial"/>
      <family val="2"/>
    </font>
    <font>
      <sz val="11"/>
      <color theme="1"/>
      <name val="Open Sans"/>
      <family val="2"/>
    </font>
    <font>
      <sz val="10"/>
      <name val="Arial"/>
      <family val="2"/>
    </font>
    <font>
      <sz val="14"/>
      <color theme="1"/>
      <name val="Open Sans"/>
      <family val="2"/>
    </font>
    <font>
      <b/>
      <sz val="10"/>
      <color theme="1"/>
      <name val="Open Sans"/>
      <family val="2"/>
    </font>
    <font>
      <i/>
      <sz val="9"/>
      <color theme="1"/>
      <name val="Aptos Narrow"/>
      <family val="2"/>
      <scheme val="minor"/>
    </font>
    <font>
      <i/>
      <sz val="9"/>
      <color theme="1"/>
      <name val="Open Sans"/>
      <family val="2"/>
    </font>
    <font>
      <sz val="11"/>
      <color rgb="FFFFFFFF"/>
      <name val="Open Sans"/>
      <family val="2"/>
    </font>
    <font>
      <b/>
      <sz val="10"/>
      <color rgb="FF000000"/>
      <name val="Aptos Narrow"/>
      <family val="2"/>
      <scheme val="minor"/>
    </font>
    <font>
      <sz val="10"/>
      <color rgb="FF3271D2"/>
      <name val="Aptos Narrow"/>
      <family val="2"/>
      <scheme val="minor"/>
    </font>
    <font>
      <sz val="12"/>
      <color theme="1"/>
      <name val="Open Sans"/>
      <family val="2"/>
    </font>
    <font>
      <b/>
      <sz val="12"/>
      <color theme="1"/>
      <name val="Open Sans"/>
      <family val="2"/>
    </font>
    <font>
      <sz val="12"/>
      <color rgb="FF000000"/>
      <name val="Open Sans"/>
      <family val="2"/>
    </font>
    <font>
      <sz val="12"/>
      <color theme="0" tint="-0.499984740745262"/>
      <name val="Open Sans"/>
      <family val="2"/>
    </font>
    <font>
      <sz val="12"/>
      <color theme="1" tint="0.499984740745262"/>
      <name val="Open Sans"/>
      <family val="2"/>
    </font>
    <font>
      <i/>
      <sz val="9"/>
      <color rgb="FFA3A3A3"/>
      <name val="Aptos Narrow"/>
      <family val="2"/>
      <scheme val="minor"/>
    </font>
    <font>
      <sz val="11"/>
      <color rgb="FF141413"/>
      <name val="Segoe UI"/>
      <family val="2"/>
    </font>
    <font>
      <i/>
      <sz val="11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sz val="11"/>
      <color theme="0"/>
      <name val="Open Sans"/>
      <family val="2"/>
    </font>
    <font>
      <sz val="12"/>
      <color theme="0"/>
      <name val="Open Sans"/>
      <family val="2"/>
    </font>
    <font>
      <b/>
      <sz val="11"/>
      <color theme="1"/>
      <name val="Open Sans"/>
      <family val="2"/>
    </font>
    <font>
      <i/>
      <sz val="10"/>
      <color rgb="FFFFFFFF"/>
      <name val="Open Sans"/>
      <family val="2"/>
    </font>
    <font>
      <i/>
      <sz val="10"/>
      <color theme="1"/>
      <name val="Open Sans"/>
      <family val="2"/>
    </font>
    <font>
      <b/>
      <i/>
      <sz val="14"/>
      <color rgb="FF3271D2"/>
      <name val="Open Sans"/>
      <family val="2"/>
    </font>
    <font>
      <b/>
      <i/>
      <sz val="10"/>
      <color rgb="FF132E57"/>
      <name val="Open Sans"/>
      <family val="2"/>
    </font>
    <font>
      <b/>
      <sz val="10"/>
      <color rgb="FFCCCCCC"/>
      <name val="Open Sans"/>
      <family val="2"/>
    </font>
    <font>
      <sz val="10"/>
      <color rgb="FFAAAAAA"/>
      <name val="Open Sans"/>
      <family val="2"/>
    </font>
    <font>
      <b/>
      <sz val="9"/>
      <color rgb="FF132E57"/>
      <name val="Open Sans"/>
      <family val="2"/>
    </font>
    <font>
      <sz val="11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"/>
      <color rgb="FFFFFFFF"/>
      <name val="Aptos Narrow"/>
      <family val="2"/>
      <scheme val="minor"/>
    </font>
    <font>
      <b/>
      <sz val="14"/>
      <color rgb="FFFFFFFF"/>
      <name val="Open Sans"/>
      <family val="2"/>
    </font>
    <font>
      <b/>
      <sz val="8"/>
      <color rgb="FFFFFFFF"/>
      <name val="Open Sans"/>
      <family val="2"/>
    </font>
    <font>
      <b/>
      <sz val="10"/>
      <color theme="1"/>
      <name val="Aptos Narrow"/>
      <family val="2"/>
      <scheme val="minor"/>
    </font>
    <font>
      <b/>
      <sz val="10"/>
      <color rgb="FF3271D2"/>
      <name val="Aptos Narrow"/>
      <family val="2"/>
      <scheme val="minor"/>
    </font>
    <font>
      <b/>
      <sz val="14"/>
      <color rgb="FFE7F2FF"/>
      <name val="Open Sans"/>
      <family val="2"/>
    </font>
    <font>
      <sz val="8"/>
      <color rgb="FFFFFFFF"/>
      <name val="Open Sans"/>
      <family val="2"/>
    </font>
    <font>
      <sz val="14"/>
      <color theme="0"/>
      <name val="Open Sans"/>
      <family val="2"/>
    </font>
    <font>
      <sz val="8"/>
      <color theme="0"/>
      <name val="Open Sans"/>
      <family val="2"/>
    </font>
    <font>
      <b/>
      <sz val="8"/>
      <color theme="0"/>
      <name val="Open Sans"/>
      <family val="2"/>
    </font>
    <font>
      <b/>
      <sz val="14"/>
      <color theme="0"/>
      <name val="Open Sans"/>
      <family val="2"/>
    </font>
    <font>
      <b/>
      <sz val="10"/>
      <color theme="0"/>
      <name val="Open Sans"/>
      <family val="2"/>
    </font>
    <font>
      <sz val="10"/>
      <color theme="0"/>
      <name val="Open Sans"/>
      <family val="2"/>
    </font>
    <font>
      <b/>
      <sz val="8"/>
      <color rgb="FFD9E5F7"/>
      <name val="Open Sans"/>
      <family val="2"/>
    </font>
    <font>
      <sz val="11"/>
      <color rgb="FF000000"/>
      <name val="Aptos Narrow"/>
      <family val="2"/>
      <scheme val="minor"/>
    </font>
    <font>
      <sz val="10"/>
      <name val="Open Sans"/>
      <family val="2"/>
    </font>
    <font>
      <b/>
      <sz val="11"/>
      <color rgb="FF000000"/>
      <name val="Aptos Narrow"/>
      <family val="2"/>
      <scheme val="minor"/>
    </font>
    <font>
      <b/>
      <sz val="10"/>
      <color rgb="FFD9E5F7"/>
      <name val="Open Sans"/>
      <family val="2"/>
    </font>
    <font>
      <sz val="11"/>
      <color rgb="FF000000"/>
      <name val="Open Sans"/>
      <family val="2"/>
    </font>
    <font>
      <sz val="11"/>
      <color rgb="FF1F2D3D"/>
      <name val="Open Sans"/>
      <family val="2"/>
    </font>
    <font>
      <b/>
      <sz val="10"/>
      <color rgb="FF1A1A2E"/>
      <name val="Open Sans"/>
      <family val="2"/>
    </font>
    <font>
      <sz val="10"/>
      <color rgb="FF1A1A2E"/>
      <name val="Open Sans"/>
      <family val="2"/>
    </font>
    <font>
      <sz val="11"/>
      <color rgb="FF1A1A2E"/>
      <name val="Open Sans"/>
      <family val="2"/>
    </font>
    <font>
      <b/>
      <sz val="11"/>
      <color rgb="FF1A1A2E"/>
      <name val="Open Sans"/>
      <family val="2"/>
    </font>
    <font>
      <sz val="10"/>
      <color rgb="FF555555"/>
      <name val="Open Sans"/>
      <family val="2"/>
    </font>
    <font>
      <sz val="10"/>
      <color rgb="FF1A1A2E"/>
      <name val="Aptos Narrow"/>
      <family val="2"/>
      <scheme val="minor"/>
    </font>
    <font>
      <sz val="10"/>
      <name val="Aptos Narrow"/>
      <family val="2"/>
      <scheme val="minor"/>
    </font>
    <font>
      <b/>
      <sz val="13"/>
      <color rgb="FF3271D2"/>
      <name val="Open Sans"/>
      <family val="2"/>
    </font>
    <font>
      <b/>
      <sz val="10"/>
      <color rgb="FF1A1A2E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8"/>
      <color rgb="FFFFFFFF"/>
      <name val="Open Sans"/>
    </font>
    <font>
      <b/>
      <sz val="14"/>
      <color rgb="FF3271D2"/>
      <name val="Open Sans"/>
    </font>
    <font>
      <i/>
      <sz val="9"/>
      <color rgb="FF555555"/>
      <name val="Open Sans"/>
    </font>
    <font>
      <b/>
      <sz val="10"/>
      <color rgb="FF3271D2"/>
      <name val="Open Sans"/>
    </font>
    <font>
      <sz val="10"/>
      <color rgb="FF555555"/>
      <name val="Open Sans"/>
    </font>
    <font>
      <b/>
      <sz val="10"/>
      <color rgb="FF132E57"/>
      <name val="Open Sans"/>
    </font>
    <font>
      <b/>
      <sz val="12"/>
      <color rgb="FF132E57"/>
      <name val="Open Sans"/>
    </font>
    <font>
      <sz val="9"/>
      <color rgb="FF132E57"/>
      <name val="Open Sans"/>
    </font>
    <font>
      <b/>
      <sz val="10"/>
      <color rgb="FFB06000"/>
      <name val="Open Sans"/>
    </font>
    <font>
      <sz val="10"/>
      <color rgb="FF132E57"/>
      <name val="Open Sans"/>
    </font>
    <font>
      <b/>
      <sz val="10"/>
      <color rgb="FF0000FF"/>
      <name val="Open Sans"/>
    </font>
    <font>
      <i/>
      <sz val="10"/>
      <color rgb="FF555555"/>
      <name val="Open Sans"/>
    </font>
    <font>
      <sz val="9"/>
      <color rgb="FF555555"/>
      <name val="Open Sans"/>
    </font>
    <font>
      <b/>
      <sz val="9"/>
      <color rgb="FF132E57"/>
      <name val="Open Sans"/>
    </font>
    <font>
      <b/>
      <sz val="9"/>
      <color rgb="FF555555"/>
      <name val="Open Sans"/>
    </font>
    <font>
      <b/>
      <sz val="9"/>
      <color rgb="FF1A7A4A"/>
      <name val="Open Sans"/>
    </font>
    <font>
      <i/>
      <sz val="8"/>
      <color rgb="FF888888"/>
      <name val="Open Sans"/>
    </font>
    <font>
      <sz val="8"/>
      <color rgb="FF999999"/>
      <name val="Open Sans"/>
    </font>
    <font>
      <b/>
      <sz val="8"/>
      <color rgb="FF555555"/>
      <name val="Open Sans"/>
    </font>
    <font>
      <b/>
      <sz val="10"/>
      <color rgb="FF555555"/>
      <name val="Open Sans"/>
    </font>
    <font>
      <b/>
      <sz val="22"/>
      <color rgb="FF132E57"/>
      <name val="Open Sans"/>
    </font>
    <font>
      <b/>
      <sz val="10"/>
      <color rgb="FF1A7A4A"/>
      <name val="Open Sans"/>
    </font>
    <font>
      <b/>
      <sz val="10"/>
      <color rgb="FFA82020"/>
      <name val="Open Sans"/>
    </font>
    <font>
      <b/>
      <sz val="14"/>
      <color rgb="FFFFFFFF"/>
      <name val="Open Sans"/>
    </font>
    <font>
      <i/>
      <sz val="9"/>
      <color rgb="FF888888"/>
      <name val="Open Sans"/>
    </font>
    <font>
      <b/>
      <sz val="9"/>
      <color rgb="FF3271D2"/>
      <name val="Open Sans"/>
    </font>
    <font>
      <sz val="9"/>
      <color rgb="FF1A7A4A"/>
      <name val="Open Sans"/>
    </font>
    <font>
      <sz val="9"/>
      <color rgb="FFA82020"/>
      <name val="Open Sans"/>
    </font>
    <font>
      <b/>
      <sz val="9"/>
      <color rgb="FFA82020"/>
      <name val="Open Sans"/>
    </font>
  </fonts>
  <fills count="21">
    <fill>
      <patternFill patternType="none"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C3F"/>
        <bgColor rgb="FF000C3F"/>
      </patternFill>
    </fill>
    <fill>
      <patternFill patternType="solid">
        <fgColor rgb="FFE7F2FF"/>
        <bgColor rgb="FFE7F2FF"/>
      </patternFill>
    </fill>
    <fill>
      <patternFill patternType="solid">
        <fgColor rgb="FFE8F5EE"/>
        <bgColor rgb="FFE8F5EE"/>
      </patternFill>
    </fill>
    <fill>
      <patternFill patternType="solid">
        <fgColor rgb="FFFDF3E5"/>
        <bgColor rgb="FFFDF3E5"/>
      </patternFill>
    </fill>
    <fill>
      <patternFill patternType="solid">
        <fgColor rgb="FFFFF4D6"/>
        <bgColor rgb="FFFFF4D6"/>
      </patternFill>
    </fill>
    <fill>
      <patternFill patternType="solid">
        <fgColor rgb="FFF2F2F2"/>
        <bgColor rgb="FFF2F2F2"/>
      </patternFill>
    </fill>
    <fill>
      <patternFill patternType="solid">
        <fgColor rgb="FFD9E5F7"/>
        <bgColor rgb="FFD9E5F7"/>
      </patternFill>
    </fill>
    <fill>
      <patternFill patternType="solid">
        <fgColor rgb="FFFFFFFF"/>
        <bgColor rgb="FFFFFFFF"/>
      </patternFill>
    </fill>
    <fill>
      <patternFill patternType="solid">
        <fgColor rgb="FFFBEBEB"/>
        <bgColor rgb="FFFBEBEB"/>
      </patternFill>
    </fill>
    <fill>
      <patternFill patternType="solid">
        <fgColor rgb="FFEEF3FA"/>
        <bgColor rgb="FFEEF3FA"/>
      </patternFill>
    </fill>
  </fills>
  <borders count="15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BFBFBF"/>
      </top>
      <bottom/>
      <diagonal/>
    </border>
  </borders>
  <cellStyleXfs count="8">
    <xf numFmtId="0" fontId="0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5" fontId="33" fillId="0" borderId="0"/>
    <xf numFmtId="9" fontId="33" fillId="0" borderId="0"/>
    <xf numFmtId="0" fontId="33" fillId="0" borderId="0"/>
  </cellStyleXfs>
  <cellXfs count="585">
    <xf numFmtId="0" fontId="0" fillId="0" borderId="0" xfId="0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12" fillId="4" borderId="0" xfId="0" applyFont="1" applyFill="1"/>
    <xf numFmtId="0" fontId="7" fillId="6" borderId="0" xfId="0" applyFont="1" applyFill="1"/>
    <xf numFmtId="0" fontId="12" fillId="6" borderId="0" xfId="0" applyFont="1" applyFill="1"/>
    <xf numFmtId="0" fontId="19" fillId="2" borderId="0" xfId="0" applyFont="1" applyFill="1"/>
    <xf numFmtId="6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1" fillId="3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9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6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6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19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7" fillId="6" borderId="0" xfId="0" applyFont="1" applyFill="1" applyAlignment="1">
      <alignment horizontal="left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7" fillId="6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2" fillId="4" borderId="0" xfId="0" applyFont="1" applyFill="1" applyAlignment="1">
      <alignment horizontal="left"/>
    </xf>
    <xf numFmtId="0" fontId="12" fillId="4" borderId="0" xfId="0" applyFont="1" applyFill="1" applyAlignment="1">
      <alignment horizontal="right"/>
    </xf>
    <xf numFmtId="0" fontId="4" fillId="3" borderId="0" xfId="0" applyFont="1" applyFill="1" applyAlignment="1">
      <alignment horizontal="right" wrapText="1"/>
    </xf>
    <xf numFmtId="16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0" fontId="9" fillId="0" borderId="0" xfId="0" applyFont="1" applyAlignment="1">
      <alignment horizontal="left" indent="1"/>
    </xf>
    <xf numFmtId="0" fontId="15" fillId="0" borderId="0" xfId="0" applyFont="1" applyAlignment="1">
      <alignment horizontal="left"/>
    </xf>
    <xf numFmtId="49" fontId="20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right"/>
    </xf>
    <xf numFmtId="0" fontId="23" fillId="2" borderId="0" xfId="0" applyFont="1" applyFill="1" applyAlignment="1">
      <alignment horizontal="right"/>
    </xf>
    <xf numFmtId="0" fontId="19" fillId="2" borderId="0" xfId="0" applyFont="1" applyFill="1" applyAlignment="1">
      <alignment horizontal="center"/>
    </xf>
    <xf numFmtId="3" fontId="19" fillId="2" borderId="0" xfId="0" applyNumberFormat="1" applyFont="1" applyFill="1" applyAlignment="1">
      <alignment horizontal="right"/>
    </xf>
    <xf numFmtId="0" fontId="19" fillId="2" borderId="0" xfId="0" applyFont="1" applyFill="1" applyAlignment="1">
      <alignment horizontal="right" wrapText="1"/>
    </xf>
    <xf numFmtId="0" fontId="2" fillId="0" borderId="0" xfId="0" applyFont="1" applyAlignment="1">
      <alignment horizontal="left"/>
    </xf>
    <xf numFmtId="0" fontId="24" fillId="3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25" fillId="7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49" fontId="21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right"/>
    </xf>
    <xf numFmtId="0" fontId="10" fillId="0" borderId="0" xfId="0" applyFont="1" applyAlignment="1">
      <alignment horizontal="left" indent="1"/>
    </xf>
    <xf numFmtId="0" fontId="3" fillId="7" borderId="0" xfId="0" applyFont="1" applyFill="1" applyAlignment="1">
      <alignment horizontal="right"/>
    </xf>
    <xf numFmtId="167" fontId="3" fillId="7" borderId="0" xfId="0" applyNumberFormat="1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17" fillId="7" borderId="0" xfId="0" applyFont="1" applyFill="1" applyAlignment="1">
      <alignment horizontal="left"/>
    </xf>
    <xf numFmtId="0" fontId="18" fillId="7" borderId="0" xfId="0" applyFont="1" applyFill="1" applyAlignment="1">
      <alignment horizontal="left"/>
    </xf>
    <xf numFmtId="0" fontId="13" fillId="7" borderId="0" xfId="0" applyFont="1" applyFill="1" applyAlignment="1">
      <alignment horizontal="right"/>
    </xf>
    <xf numFmtId="167" fontId="6" fillId="7" borderId="0" xfId="0" applyNumberFormat="1" applyFont="1" applyFill="1" applyAlignment="1">
      <alignment horizontal="right"/>
    </xf>
    <xf numFmtId="0" fontId="10" fillId="7" borderId="0" xfId="0" applyFont="1" applyFill="1" applyAlignment="1">
      <alignment horizontal="right"/>
    </xf>
    <xf numFmtId="0" fontId="13" fillId="0" borderId="0" xfId="0" applyFont="1" applyAlignment="1">
      <alignment horizontal="left" indent="1"/>
    </xf>
    <xf numFmtId="164" fontId="13" fillId="7" borderId="0" xfId="0" applyNumberFormat="1" applyFont="1" applyFill="1" applyAlignment="1">
      <alignment horizontal="right"/>
    </xf>
    <xf numFmtId="0" fontId="26" fillId="2" borderId="0" xfId="0" applyFont="1" applyFill="1" applyAlignment="1">
      <alignment horizontal="left"/>
    </xf>
    <xf numFmtId="0" fontId="10" fillId="0" borderId="3" xfId="0" applyFont="1" applyBorder="1" applyAlignment="1">
      <alignment horizontal="right"/>
    </xf>
    <xf numFmtId="168" fontId="13" fillId="7" borderId="3" xfId="0" applyNumberFormat="1" applyFont="1" applyFill="1" applyBorder="1" applyAlignment="1">
      <alignment horizontal="right"/>
    </xf>
    <xf numFmtId="0" fontId="13" fillId="7" borderId="0" xfId="0" applyFont="1" applyFill="1" applyAlignment="1">
      <alignment horizontal="left" indent="1"/>
    </xf>
    <xf numFmtId="0" fontId="13" fillId="7" borderId="0" xfId="0" applyFont="1" applyFill="1"/>
    <xf numFmtId="0" fontId="13" fillId="7" borderId="0" xfId="0" applyFont="1" applyFill="1" applyAlignment="1">
      <alignment horizontal="left"/>
    </xf>
    <xf numFmtId="0" fontId="6" fillId="7" borderId="0" xfId="0" applyFont="1" applyFill="1"/>
    <xf numFmtId="0" fontId="3" fillId="7" borderId="0" xfId="0" applyFont="1" applyFill="1" applyAlignment="1">
      <alignment horizontal="left" indent="1"/>
    </xf>
    <xf numFmtId="6" fontId="3" fillId="7" borderId="0" xfId="0" applyNumberFormat="1" applyFont="1" applyFill="1"/>
    <xf numFmtId="0" fontId="3" fillId="7" borderId="0" xfId="0" applyFont="1" applyFill="1"/>
    <xf numFmtId="0" fontId="3" fillId="7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28" fillId="3" borderId="0" xfId="0" applyFont="1" applyFill="1" applyAlignment="1">
      <alignment horizontal="left"/>
    </xf>
    <xf numFmtId="0" fontId="16" fillId="7" borderId="0" xfId="0" applyFont="1" applyFill="1" applyAlignment="1">
      <alignment horizontal="right"/>
    </xf>
    <xf numFmtId="0" fontId="10" fillId="7" borderId="0" xfId="0" applyFont="1" applyFill="1" applyAlignment="1">
      <alignment horizontal="left"/>
    </xf>
    <xf numFmtId="1" fontId="4" fillId="3" borderId="0" xfId="0" applyNumberFormat="1" applyFont="1" applyFill="1" applyAlignment="1">
      <alignment horizontal="right"/>
    </xf>
    <xf numFmtId="1" fontId="13" fillId="5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4" fillId="3" borderId="0" xfId="0" applyFont="1" applyFill="1" applyAlignment="1">
      <alignment horizontal="left" indent="1"/>
    </xf>
    <xf numFmtId="0" fontId="29" fillId="3" borderId="0" xfId="0" applyFont="1" applyFill="1" applyAlignment="1">
      <alignment horizontal="center"/>
    </xf>
    <xf numFmtId="0" fontId="30" fillId="3" borderId="0" xfId="0" applyFont="1" applyFill="1"/>
    <xf numFmtId="0" fontId="0" fillId="7" borderId="0" xfId="0" applyFill="1"/>
    <xf numFmtId="0" fontId="31" fillId="3" borderId="0" xfId="0" applyFont="1" applyFill="1" applyAlignment="1">
      <alignment horizontal="left"/>
    </xf>
    <xf numFmtId="0" fontId="30" fillId="3" borderId="0" xfId="0" applyFont="1" applyFill="1" applyAlignment="1">
      <alignment horizontal="right"/>
    </xf>
    <xf numFmtId="0" fontId="32" fillId="3" borderId="0" xfId="0" applyFont="1" applyFill="1" applyAlignment="1">
      <alignment horizontal="left"/>
    </xf>
    <xf numFmtId="0" fontId="32" fillId="3" borderId="0" xfId="0" applyFont="1" applyFill="1" applyAlignment="1">
      <alignment horizontal="right"/>
    </xf>
    <xf numFmtId="0" fontId="23" fillId="0" borderId="0" xfId="0" applyFont="1" applyAlignment="1">
      <alignment horizontal="right"/>
    </xf>
    <xf numFmtId="0" fontId="35" fillId="0" borderId="0" xfId="0" applyFont="1"/>
    <xf numFmtId="0" fontId="34" fillId="0" borderId="0" xfId="0" applyFont="1"/>
    <xf numFmtId="0" fontId="30" fillId="0" borderId="0" xfId="0" applyFont="1"/>
    <xf numFmtId="0" fontId="36" fillId="0" borderId="0" xfId="0" applyFont="1" applyAlignment="1">
      <alignment horizontal="left"/>
    </xf>
    <xf numFmtId="0" fontId="37" fillId="7" borderId="0" xfId="0" applyFont="1" applyFill="1" applyAlignment="1">
      <alignment horizontal="right"/>
    </xf>
    <xf numFmtId="0" fontId="36" fillId="7" borderId="0" xfId="0" applyFont="1" applyFill="1" applyAlignment="1">
      <alignment horizontal="left"/>
    </xf>
    <xf numFmtId="0" fontId="38" fillId="7" borderId="0" xfId="0" applyFont="1" applyFill="1" applyAlignment="1">
      <alignment horizontal="center"/>
    </xf>
    <xf numFmtId="0" fontId="39" fillId="6" borderId="0" xfId="0" applyFont="1" applyFill="1" applyAlignment="1">
      <alignment horizontal="right"/>
    </xf>
    <xf numFmtId="0" fontId="40" fillId="6" borderId="0" xfId="0" applyFont="1" applyFill="1" applyAlignment="1">
      <alignment horizontal="left"/>
    </xf>
    <xf numFmtId="0" fontId="42" fillId="6" borderId="0" xfId="0" applyFont="1" applyFill="1" applyAlignment="1">
      <alignment horizontal="left"/>
    </xf>
    <xf numFmtId="0" fontId="19" fillId="7" borderId="0" xfId="0" applyFont="1" applyFill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19" fillId="0" borderId="0" xfId="0" applyFont="1"/>
    <xf numFmtId="0" fontId="36" fillId="0" borderId="0" xfId="0" applyFont="1" applyAlignment="1">
      <alignment horizontal="left" indent="1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45" fillId="0" borderId="0" xfId="0" applyFont="1" applyAlignment="1">
      <alignment horizontal="left"/>
    </xf>
    <xf numFmtId="0" fontId="36" fillId="0" borderId="0" xfId="0" applyFont="1"/>
    <xf numFmtId="0" fontId="46" fillId="2" borderId="0" xfId="0" applyFont="1" applyFill="1" applyAlignment="1">
      <alignment horizontal="left"/>
    </xf>
    <xf numFmtId="0" fontId="46" fillId="2" borderId="0" xfId="0" applyFont="1" applyFill="1"/>
    <xf numFmtId="0" fontId="46" fillId="2" borderId="0" xfId="0" applyFont="1" applyFill="1" applyAlignment="1">
      <alignment horizontal="right"/>
    </xf>
    <xf numFmtId="0" fontId="46" fillId="2" borderId="0" xfId="0" applyFont="1" applyFill="1" applyAlignment="1">
      <alignment horizontal="center"/>
    </xf>
    <xf numFmtId="0" fontId="47" fillId="3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3" fontId="19" fillId="0" borderId="0" xfId="0" applyNumberFormat="1" applyFont="1" applyAlignment="1">
      <alignment horizontal="right"/>
    </xf>
    <xf numFmtId="0" fontId="19" fillId="7" borderId="0" xfId="0" applyFont="1" applyFill="1"/>
    <xf numFmtId="0" fontId="48" fillId="7" borderId="0" xfId="0" applyFont="1" applyFill="1"/>
    <xf numFmtId="0" fontId="48" fillId="7" borderId="0" xfId="0" applyFont="1" applyFill="1" applyAlignment="1">
      <alignment horizontal="left"/>
    </xf>
    <xf numFmtId="0" fontId="48" fillId="7" borderId="0" xfId="0" applyFont="1" applyFill="1" applyAlignment="1">
      <alignment horizontal="right"/>
    </xf>
    <xf numFmtId="0" fontId="10" fillId="7" borderId="0" xfId="0" applyFont="1" applyFill="1" applyAlignment="1">
      <alignment horizontal="left" indent="1"/>
    </xf>
    <xf numFmtId="164" fontId="8" fillId="7" borderId="0" xfId="0" applyNumberFormat="1" applyFont="1" applyFill="1" applyAlignment="1">
      <alignment horizontal="right"/>
    </xf>
    <xf numFmtId="0" fontId="36" fillId="7" borderId="0" xfId="0" applyFont="1" applyFill="1"/>
    <xf numFmtId="0" fontId="36" fillId="7" borderId="0" xfId="0" applyFont="1" applyFill="1" applyAlignment="1">
      <alignment horizontal="left" indent="1"/>
    </xf>
    <xf numFmtId="164" fontId="36" fillId="7" borderId="0" xfId="0" applyNumberFormat="1" applyFont="1" applyFill="1" applyAlignment="1">
      <alignment horizontal="right"/>
    </xf>
    <xf numFmtId="0" fontId="36" fillId="7" borderId="0" xfId="0" applyFont="1" applyFill="1" applyAlignment="1">
      <alignment horizontal="right"/>
    </xf>
    <xf numFmtId="0" fontId="8" fillId="7" borderId="0" xfId="0" applyFont="1" applyFill="1" applyAlignment="1">
      <alignment horizontal="left"/>
    </xf>
    <xf numFmtId="0" fontId="19" fillId="7" borderId="0" xfId="0" applyFont="1" applyFill="1" applyAlignment="1">
      <alignment horizontal="center"/>
    </xf>
    <xf numFmtId="0" fontId="49" fillId="6" borderId="0" xfId="0" applyFont="1" applyFill="1" applyAlignment="1">
      <alignment horizontal="right"/>
    </xf>
    <xf numFmtId="0" fontId="50" fillId="2" borderId="0" xfId="0" applyFont="1" applyFill="1"/>
    <xf numFmtId="0" fontId="50" fillId="2" borderId="0" xfId="0" applyFont="1" applyFill="1" applyAlignment="1">
      <alignment horizontal="left"/>
    </xf>
    <xf numFmtId="169" fontId="36" fillId="7" borderId="0" xfId="0" applyNumberFormat="1" applyFont="1" applyFill="1" applyAlignment="1">
      <alignment horizontal="right"/>
    </xf>
    <xf numFmtId="3" fontId="36" fillId="7" borderId="0" xfId="0" applyNumberFormat="1" applyFont="1" applyFill="1" applyAlignment="1">
      <alignment horizontal="right"/>
    </xf>
    <xf numFmtId="3" fontId="3" fillId="7" borderId="0" xfId="0" applyNumberFormat="1" applyFont="1" applyFill="1" applyAlignment="1">
      <alignment horizontal="right"/>
    </xf>
    <xf numFmtId="0" fontId="0" fillId="2" borderId="0" xfId="0" applyFill="1"/>
    <xf numFmtId="0" fontId="54" fillId="0" borderId="0" xfId="2" applyFont="1"/>
    <xf numFmtId="0" fontId="56" fillId="0" borderId="0" xfId="2" applyFont="1"/>
    <xf numFmtId="0" fontId="51" fillId="0" borderId="0" xfId="2" applyFont="1"/>
    <xf numFmtId="37" fontId="58" fillId="0" borderId="0" xfId="2" applyNumberFormat="1" applyFont="1" applyAlignment="1">
      <alignment vertical="center"/>
    </xf>
    <xf numFmtId="0" fontId="37" fillId="7" borderId="6" xfId="0" applyFont="1" applyFill="1" applyBorder="1" applyAlignment="1">
      <alignment horizontal="left"/>
    </xf>
    <xf numFmtId="0" fontId="49" fillId="6" borderId="0" xfId="0" applyFont="1" applyFill="1"/>
    <xf numFmtId="0" fontId="60" fillId="0" borderId="0" xfId="0" applyFont="1"/>
    <xf numFmtId="0" fontId="61" fillId="0" borderId="0" xfId="0" applyFont="1"/>
    <xf numFmtId="0" fontId="59" fillId="0" borderId="0" xfId="0" applyFont="1"/>
    <xf numFmtId="0" fontId="59" fillId="0" borderId="0" xfId="0" applyFont="1" applyAlignment="1">
      <alignment horizontal="left"/>
    </xf>
    <xf numFmtId="0" fontId="59" fillId="7" borderId="0" xfId="0" applyFont="1" applyFill="1" applyAlignment="1">
      <alignment horizontal="left"/>
    </xf>
    <xf numFmtId="0" fontId="56" fillId="7" borderId="6" xfId="0" applyFont="1" applyFill="1" applyBorder="1"/>
    <xf numFmtId="0" fontId="51" fillId="7" borderId="0" xfId="0" applyFont="1" applyFill="1" applyAlignment="1">
      <alignment horizontal="left"/>
    </xf>
    <xf numFmtId="0" fontId="56" fillId="7" borderId="0" xfId="0" applyFont="1" applyFill="1"/>
    <xf numFmtId="0" fontId="51" fillId="0" borderId="0" xfId="0" applyFont="1"/>
    <xf numFmtId="0" fontId="51" fillId="2" borderId="0" xfId="0" applyFont="1" applyFill="1"/>
    <xf numFmtId="0" fontId="62" fillId="6" borderId="0" xfId="0" applyFont="1" applyFill="1"/>
    <xf numFmtId="0" fontId="58" fillId="0" borderId="0" xfId="0" applyFont="1"/>
    <xf numFmtId="0" fontId="61" fillId="7" borderId="0" xfId="0" applyFont="1" applyFill="1"/>
    <xf numFmtId="0" fontId="51" fillId="7" borderId="0" xfId="0" applyFont="1" applyFill="1" applyAlignment="1">
      <alignment horizontal="center"/>
    </xf>
    <xf numFmtId="0" fontId="59" fillId="0" borderId="0" xfId="0" applyFont="1" applyAlignment="1">
      <alignment horizontal="center"/>
    </xf>
    <xf numFmtId="170" fontId="65" fillId="0" borderId="0" xfId="1" applyNumberFormat="1" applyFont="1"/>
    <xf numFmtId="0" fontId="2" fillId="0" borderId="0" xfId="0" applyFont="1"/>
    <xf numFmtId="0" fontId="51" fillId="0" borderId="0" xfId="0" applyFont="1" applyAlignment="1">
      <alignment horizontal="left"/>
    </xf>
    <xf numFmtId="0" fontId="70" fillId="7" borderId="0" xfId="0" applyFont="1" applyFill="1"/>
    <xf numFmtId="0" fontId="53" fillId="0" borderId="0" xfId="0" applyFont="1" applyAlignment="1">
      <alignment horizontal="left"/>
    </xf>
    <xf numFmtId="0" fontId="71" fillId="0" borderId="0" xfId="0" applyFont="1"/>
    <xf numFmtId="0" fontId="51" fillId="7" borderId="8" xfId="0" applyFont="1" applyFill="1" applyBorder="1" applyAlignment="1">
      <alignment horizontal="right"/>
    </xf>
    <xf numFmtId="0" fontId="56" fillId="7" borderId="8" xfId="0" applyFont="1" applyFill="1" applyBorder="1"/>
    <xf numFmtId="0" fontId="51" fillId="7" borderId="9" xfId="0" applyFont="1" applyFill="1" applyBorder="1" applyAlignment="1">
      <alignment horizontal="center"/>
    </xf>
    <xf numFmtId="10" fontId="0" fillId="0" borderId="0" xfId="0" applyNumberFormat="1"/>
    <xf numFmtId="0" fontId="35" fillId="6" borderId="0" xfId="0" applyFont="1" applyFill="1"/>
    <xf numFmtId="0" fontId="34" fillId="3" borderId="0" xfId="0" applyFont="1" applyFill="1"/>
    <xf numFmtId="0" fontId="73" fillId="0" borderId="0" xfId="0" applyFont="1"/>
    <xf numFmtId="0" fontId="65" fillId="0" borderId="0" xfId="0" applyFont="1"/>
    <xf numFmtId="0" fontId="37" fillId="0" borderId="0" xfId="0" applyFont="1" applyAlignment="1">
      <alignment vertical="center"/>
    </xf>
    <xf numFmtId="0" fontId="67" fillId="0" borderId="0" xfId="0" applyFont="1"/>
    <xf numFmtId="0" fontId="37" fillId="0" borderId="0" xfId="0" applyFont="1"/>
    <xf numFmtId="0" fontId="66" fillId="0" borderId="0" xfId="0" applyFont="1" applyAlignment="1">
      <alignment horizontal="right"/>
    </xf>
    <xf numFmtId="37" fontId="65" fillId="0" borderId="0" xfId="0" applyNumberFormat="1" applyFont="1" applyAlignment="1">
      <alignment vertical="top"/>
    </xf>
    <xf numFmtId="0" fontId="68" fillId="0" borderId="0" xfId="0" applyFont="1" applyAlignment="1">
      <alignment horizontal="right"/>
    </xf>
    <xf numFmtId="170" fontId="69" fillId="0" borderId="0" xfId="0" applyNumberFormat="1" applyFont="1"/>
    <xf numFmtId="171" fontId="54" fillId="0" borderId="0" xfId="2" applyNumberFormat="1" applyFont="1" applyAlignment="1">
      <alignment horizontal="right"/>
    </xf>
    <xf numFmtId="0" fontId="36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74" fillId="0" borderId="0" xfId="2" applyFont="1"/>
    <xf numFmtId="0" fontId="75" fillId="0" borderId="0" xfId="0" applyFont="1"/>
    <xf numFmtId="170" fontId="75" fillId="0" borderId="0" xfId="0" applyNumberFormat="1" applyFont="1"/>
    <xf numFmtId="43" fontId="0" fillId="0" borderId="0" xfId="1" applyFont="1"/>
    <xf numFmtId="0" fontId="62" fillId="0" borderId="0" xfId="0" applyFont="1"/>
    <xf numFmtId="0" fontId="36" fillId="7" borderId="6" xfId="0" applyFont="1" applyFill="1" applyBorder="1" applyAlignment="1">
      <alignment horizontal="centerContinuous"/>
    </xf>
    <xf numFmtId="0" fontId="56" fillId="7" borderId="6" xfId="0" applyFont="1" applyFill="1" applyBorder="1" applyAlignment="1">
      <alignment horizontal="centerContinuous"/>
    </xf>
    <xf numFmtId="0" fontId="37" fillId="7" borderId="6" xfId="0" applyFont="1" applyFill="1" applyBorder="1" applyAlignment="1">
      <alignment horizontal="centerContinuous"/>
    </xf>
    <xf numFmtId="0" fontId="76" fillId="7" borderId="6" xfId="0" applyFont="1" applyFill="1" applyBorder="1" applyAlignment="1">
      <alignment horizontal="centerContinuous"/>
    </xf>
    <xf numFmtId="43" fontId="56" fillId="7" borderId="0" xfId="1" applyFont="1" applyFill="1"/>
    <xf numFmtId="10" fontId="56" fillId="7" borderId="0" xfId="0" applyNumberFormat="1" applyFont="1" applyFill="1"/>
    <xf numFmtId="0" fontId="0" fillId="7" borderId="6" xfId="0" applyFill="1" applyBorder="1" applyAlignment="1">
      <alignment horizontal="centerContinuous"/>
    </xf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72" fillId="0" borderId="0" xfId="0" applyFont="1"/>
    <xf numFmtId="169" fontId="9" fillId="0" borderId="0" xfId="0" applyNumberFormat="1" applyFont="1" applyAlignment="1">
      <alignment horizontal="right"/>
    </xf>
    <xf numFmtId="0" fontId="83" fillId="3" borderId="0" xfId="0" applyFont="1" applyFill="1" applyAlignment="1">
      <alignment horizontal="left"/>
    </xf>
    <xf numFmtId="0" fontId="74" fillId="7" borderId="0" xfId="0" applyFont="1" applyFill="1"/>
    <xf numFmtId="0" fontId="84" fillId="0" borderId="0" xfId="0" applyFont="1"/>
    <xf numFmtId="0" fontId="8" fillId="3" borderId="0" xfId="0" applyFont="1" applyFill="1" applyAlignment="1">
      <alignment horizontal="right"/>
    </xf>
    <xf numFmtId="0" fontId="20" fillId="7" borderId="0" xfId="0" applyFont="1" applyFill="1" applyAlignment="1">
      <alignment horizontal="center"/>
    </xf>
    <xf numFmtId="6" fontId="4" fillId="3" borderId="0" xfId="0" applyNumberFormat="1" applyFont="1" applyFill="1" applyAlignment="1">
      <alignment horizontal="left"/>
    </xf>
    <xf numFmtId="0" fontId="21" fillId="7" borderId="0" xfId="0" applyFont="1" applyFill="1" applyAlignment="1">
      <alignment horizontal="center"/>
    </xf>
    <xf numFmtId="0" fontId="19" fillId="2" borderId="0" xfId="0" applyFont="1" applyFill="1" applyAlignment="1">
      <alignment horizontal="left" indent="1"/>
    </xf>
    <xf numFmtId="3" fontId="4" fillId="3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left" indent="1"/>
    </xf>
    <xf numFmtId="1" fontId="4" fillId="3" borderId="0" xfId="0" applyNumberFormat="1" applyFont="1" applyFill="1" applyAlignment="1">
      <alignment horizontal="center"/>
    </xf>
    <xf numFmtId="6" fontId="3" fillId="3" borderId="0" xfId="0" applyNumberFormat="1" applyFont="1" applyFill="1"/>
    <xf numFmtId="0" fontId="13" fillId="0" borderId="0" xfId="0" applyFont="1" applyAlignment="1">
      <alignment horizontal="left"/>
    </xf>
    <xf numFmtId="0" fontId="12" fillId="0" borderId="0" xfId="0" applyFont="1"/>
    <xf numFmtId="0" fontId="4" fillId="0" borderId="0" xfId="0" applyFont="1"/>
    <xf numFmtId="172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169" fontId="6" fillId="7" borderId="0" xfId="0" applyNumberFormat="1" applyFont="1" applyFill="1" applyAlignment="1">
      <alignment horizontal="right"/>
    </xf>
    <xf numFmtId="169" fontId="34" fillId="0" borderId="0" xfId="0" applyNumberFormat="1" applyFont="1"/>
    <xf numFmtId="169" fontId="0" fillId="0" borderId="0" xfId="0" applyNumberFormat="1"/>
    <xf numFmtId="0" fontId="3" fillId="0" borderId="0" xfId="0" applyFont="1"/>
    <xf numFmtId="0" fontId="1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3" fontId="9" fillId="9" borderId="0" xfId="0" applyNumberFormat="1" applyFont="1" applyFill="1" applyAlignment="1">
      <alignment horizontal="right"/>
    </xf>
    <xf numFmtId="3" fontId="41" fillId="9" borderId="1" xfId="0" applyNumberFormat="1" applyFont="1" applyFill="1" applyBorder="1" applyAlignment="1">
      <alignment horizontal="right"/>
    </xf>
    <xf numFmtId="3" fontId="9" fillId="9" borderId="1" xfId="0" applyNumberFormat="1" applyFont="1" applyFill="1" applyBorder="1" applyAlignment="1">
      <alignment horizontal="right"/>
    </xf>
    <xf numFmtId="3" fontId="36" fillId="9" borderId="0" xfId="0" applyNumberFormat="1" applyFont="1" applyFill="1" applyAlignment="1">
      <alignment horizontal="right"/>
    </xf>
    <xf numFmtId="3" fontId="41" fillId="9" borderId="0" xfId="0" applyNumberFormat="1" applyFont="1" applyFill="1" applyAlignment="1">
      <alignment horizontal="right"/>
    </xf>
    <xf numFmtId="3" fontId="52" fillId="9" borderId="0" xfId="0" applyNumberFormat="1" applyFont="1" applyFill="1" applyAlignment="1">
      <alignment horizontal="right"/>
    </xf>
    <xf numFmtId="14" fontId="9" fillId="9" borderId="0" xfId="0" applyNumberFormat="1" applyFont="1" applyFill="1" applyAlignment="1">
      <alignment horizontal="right"/>
    </xf>
    <xf numFmtId="3" fontId="6" fillId="9" borderId="0" xfId="0" applyNumberFormat="1" applyFont="1" applyFill="1" applyAlignment="1">
      <alignment horizontal="right"/>
    </xf>
    <xf numFmtId="3" fontId="37" fillId="9" borderId="0" xfId="0" applyNumberFormat="1" applyFont="1" applyFill="1" applyAlignment="1">
      <alignment horizontal="right"/>
    </xf>
    <xf numFmtId="3" fontId="37" fillId="9" borderId="3" xfId="0" applyNumberFormat="1" applyFont="1" applyFill="1" applyBorder="1" applyAlignment="1">
      <alignment horizontal="right"/>
    </xf>
    <xf numFmtId="3" fontId="36" fillId="9" borderId="1" xfId="0" applyNumberFormat="1" applyFont="1" applyFill="1" applyBorder="1" applyAlignment="1">
      <alignment horizontal="right"/>
    </xf>
    <xf numFmtId="173" fontId="3" fillId="9" borderId="0" xfId="0" applyNumberFormat="1" applyFont="1" applyFill="1" applyAlignment="1">
      <alignment horizontal="right"/>
    </xf>
    <xf numFmtId="174" fontId="3" fillId="9" borderId="1" xfId="0" applyNumberFormat="1" applyFont="1" applyFill="1" applyBorder="1" applyAlignment="1">
      <alignment horizontal="right"/>
    </xf>
    <xf numFmtId="169" fontId="3" fillId="9" borderId="0" xfId="0" applyNumberFormat="1" applyFont="1" applyFill="1" applyAlignment="1">
      <alignment horizontal="right"/>
    </xf>
    <xf numFmtId="169" fontId="3" fillId="9" borderId="1" xfId="0" applyNumberFormat="1" applyFont="1" applyFill="1" applyBorder="1" applyAlignment="1">
      <alignment horizontal="right"/>
    </xf>
    <xf numFmtId="173" fontId="3" fillId="9" borderId="1" xfId="0" applyNumberFormat="1" applyFont="1" applyFill="1" applyBorder="1" applyAlignment="1">
      <alignment horizontal="right"/>
    </xf>
    <xf numFmtId="175" fontId="3" fillId="9" borderId="0" xfId="0" applyNumberFormat="1" applyFont="1" applyFill="1" applyAlignment="1">
      <alignment horizontal="right"/>
    </xf>
    <xf numFmtId="172" fontId="13" fillId="9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right"/>
    </xf>
    <xf numFmtId="10" fontId="0" fillId="9" borderId="0" xfId="0" applyNumberFormat="1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3" fontId="0" fillId="9" borderId="0" xfId="1" applyFont="1" applyFill="1" applyAlignment="1">
      <alignment horizontal="right"/>
    </xf>
    <xf numFmtId="164" fontId="36" fillId="9" borderId="0" xfId="0" applyNumberFormat="1" applyFont="1" applyFill="1" applyAlignment="1">
      <alignment horizontal="right"/>
    </xf>
    <xf numFmtId="164" fontId="36" fillId="9" borderId="1" xfId="0" applyNumberFormat="1" applyFont="1" applyFill="1" applyBorder="1" applyAlignment="1">
      <alignment horizontal="right"/>
    </xf>
    <xf numFmtId="166" fontId="36" fillId="9" borderId="0" xfId="0" applyNumberFormat="1" applyFont="1" applyFill="1" applyAlignment="1">
      <alignment horizontal="right"/>
    </xf>
    <xf numFmtId="166" fontId="36" fillId="9" borderId="1" xfId="0" applyNumberFormat="1" applyFont="1" applyFill="1" applyBorder="1" applyAlignment="1">
      <alignment horizontal="right"/>
    </xf>
    <xf numFmtId="176" fontId="37" fillId="9" borderId="3" xfId="0" applyNumberFormat="1" applyFont="1" applyFill="1" applyBorder="1" applyAlignment="1">
      <alignment horizontal="right"/>
    </xf>
    <xf numFmtId="0" fontId="37" fillId="9" borderId="0" xfId="0" applyFont="1" applyFill="1" applyAlignment="1">
      <alignment horizontal="right"/>
    </xf>
    <xf numFmtId="164" fontId="3" fillId="9" borderId="0" xfId="0" applyNumberFormat="1" applyFont="1" applyFill="1" applyAlignment="1">
      <alignment horizontal="right"/>
    </xf>
    <xf numFmtId="164" fontId="3" fillId="9" borderId="1" xfId="0" applyNumberFormat="1" applyFont="1" applyFill="1" applyBorder="1" applyAlignment="1">
      <alignment horizontal="right"/>
    </xf>
    <xf numFmtId="166" fontId="3" fillId="9" borderId="0" xfId="0" applyNumberFormat="1" applyFont="1" applyFill="1" applyAlignment="1">
      <alignment horizontal="right"/>
    </xf>
    <xf numFmtId="166" fontId="3" fillId="9" borderId="1" xfId="0" applyNumberFormat="1" applyFont="1" applyFill="1" applyBorder="1" applyAlignment="1">
      <alignment horizontal="right"/>
    </xf>
    <xf numFmtId="172" fontId="9" fillId="9" borderId="0" xfId="0" applyNumberFormat="1" applyFont="1" applyFill="1" applyAlignment="1">
      <alignment horizontal="right"/>
    </xf>
    <xf numFmtId="172" fontId="3" fillId="9" borderId="0" xfId="0" applyNumberFormat="1" applyFont="1" applyFill="1" applyAlignment="1">
      <alignment horizontal="right"/>
    </xf>
    <xf numFmtId="172" fontId="6" fillId="9" borderId="0" xfId="0" applyNumberFormat="1" applyFont="1" applyFill="1" applyAlignment="1">
      <alignment horizontal="right"/>
    </xf>
    <xf numFmtId="172" fontId="9" fillId="9" borderId="1" xfId="0" applyNumberFormat="1" applyFont="1" applyFill="1" applyBorder="1" applyAlignment="1">
      <alignment horizontal="right"/>
    </xf>
    <xf numFmtId="172" fontId="3" fillId="9" borderId="1" xfId="0" applyNumberFormat="1" applyFont="1" applyFill="1" applyBorder="1" applyAlignment="1">
      <alignment horizontal="right"/>
    </xf>
    <xf numFmtId="172" fontId="6" fillId="9" borderId="1" xfId="0" applyNumberFormat="1" applyFont="1" applyFill="1" applyBorder="1" applyAlignment="1">
      <alignment horizontal="right"/>
    </xf>
    <xf numFmtId="172" fontId="8" fillId="9" borderId="0" xfId="0" applyNumberFormat="1" applyFont="1" applyFill="1" applyAlignment="1">
      <alignment horizontal="right"/>
    </xf>
    <xf numFmtId="172" fontId="10" fillId="9" borderId="0" xfId="0" applyNumberFormat="1" applyFont="1" applyFill="1" applyAlignment="1">
      <alignment horizontal="right"/>
    </xf>
    <xf numFmtId="172" fontId="8" fillId="9" borderId="3" xfId="0" applyNumberFormat="1" applyFont="1" applyFill="1" applyBorder="1" applyAlignment="1">
      <alignment horizontal="right"/>
    </xf>
    <xf numFmtId="172" fontId="13" fillId="9" borderId="3" xfId="0" applyNumberFormat="1" applyFont="1" applyFill="1" applyBorder="1" applyAlignment="1">
      <alignment horizontal="right"/>
    </xf>
    <xf numFmtId="172" fontId="10" fillId="9" borderId="3" xfId="0" applyNumberFormat="1" applyFont="1" applyFill="1" applyBorder="1" applyAlignment="1">
      <alignment horizontal="right"/>
    </xf>
    <xf numFmtId="169" fontId="52" fillId="9" borderId="0" xfId="0" applyNumberFormat="1" applyFont="1" applyFill="1" applyAlignment="1">
      <alignment horizontal="right"/>
    </xf>
    <xf numFmtId="169" fontId="3" fillId="9" borderId="0" xfId="0" applyNumberFormat="1" applyFont="1" applyFill="1"/>
    <xf numFmtId="169" fontId="9" fillId="9" borderId="0" xfId="0" applyNumberFormat="1" applyFont="1" applyFill="1" applyAlignment="1">
      <alignment horizontal="right"/>
    </xf>
    <xf numFmtId="169" fontId="6" fillId="9" borderId="0" xfId="0" applyNumberFormat="1" applyFont="1" applyFill="1" applyAlignment="1">
      <alignment horizontal="right"/>
    </xf>
    <xf numFmtId="164" fontId="6" fillId="9" borderId="0" xfId="0" applyNumberFormat="1" applyFont="1" applyFill="1" applyAlignment="1">
      <alignment horizontal="right"/>
    </xf>
    <xf numFmtId="177" fontId="6" fillId="9" borderId="0" xfId="0" applyNumberFormat="1" applyFont="1" applyFill="1" applyAlignment="1">
      <alignment horizontal="right"/>
    </xf>
    <xf numFmtId="169" fontId="20" fillId="9" borderId="0" xfId="0" applyNumberFormat="1" applyFont="1" applyFill="1" applyAlignment="1">
      <alignment horizontal="center"/>
    </xf>
    <xf numFmtId="169" fontId="21" fillId="9" borderId="0" xfId="0" applyNumberFormat="1" applyFont="1" applyFill="1" applyAlignment="1">
      <alignment horizontal="center"/>
    </xf>
    <xf numFmtId="177" fontId="13" fillId="9" borderId="0" xfId="0" applyNumberFormat="1" applyFont="1" applyFill="1" applyAlignment="1">
      <alignment horizontal="right"/>
    </xf>
    <xf numFmtId="167" fontId="6" fillId="9" borderId="0" xfId="0" applyNumberFormat="1" applyFont="1" applyFill="1" applyAlignment="1">
      <alignment horizontal="right"/>
    </xf>
    <xf numFmtId="177" fontId="10" fillId="9" borderId="0" xfId="0" applyNumberFormat="1" applyFont="1" applyFill="1" applyAlignment="1">
      <alignment horizontal="right"/>
    </xf>
    <xf numFmtId="168" fontId="10" fillId="9" borderId="0" xfId="0" applyNumberFormat="1" applyFont="1" applyFill="1" applyAlignment="1">
      <alignment horizontal="right"/>
    </xf>
    <xf numFmtId="164" fontId="0" fillId="9" borderId="0" xfId="0" applyNumberFormat="1" applyFill="1" applyAlignment="1">
      <alignment horizontal="right"/>
    </xf>
    <xf numFmtId="164" fontId="0" fillId="9" borderId="0" xfId="0" applyNumberFormat="1" applyFill="1"/>
    <xf numFmtId="178" fontId="6" fillId="9" borderId="0" xfId="0" applyNumberFormat="1" applyFont="1" applyFill="1" applyAlignment="1">
      <alignment horizontal="right"/>
    </xf>
    <xf numFmtId="168" fontId="6" fillId="9" borderId="0" xfId="0" applyNumberFormat="1" applyFont="1" applyFill="1" applyAlignment="1">
      <alignment horizontal="right"/>
    </xf>
    <xf numFmtId="164" fontId="6" fillId="9" borderId="2" xfId="0" applyNumberFormat="1" applyFont="1" applyFill="1" applyBorder="1" applyAlignment="1">
      <alignment horizontal="right"/>
    </xf>
    <xf numFmtId="178" fontId="6" fillId="9" borderId="2" xfId="0" applyNumberFormat="1" applyFont="1" applyFill="1" applyBorder="1" applyAlignment="1">
      <alignment horizontal="right"/>
    </xf>
    <xf numFmtId="168" fontId="6" fillId="9" borderId="2" xfId="0" applyNumberFormat="1" applyFont="1" applyFill="1" applyBorder="1" applyAlignment="1">
      <alignment horizontal="right"/>
    </xf>
    <xf numFmtId="164" fontId="6" fillId="9" borderId="3" xfId="0" applyNumberFormat="1" applyFont="1" applyFill="1" applyBorder="1" applyAlignment="1">
      <alignment horizontal="right"/>
    </xf>
    <xf numFmtId="178" fontId="6" fillId="9" borderId="3" xfId="0" applyNumberFormat="1" applyFont="1" applyFill="1" applyBorder="1" applyAlignment="1">
      <alignment horizontal="right"/>
    </xf>
    <xf numFmtId="168" fontId="6" fillId="9" borderId="3" xfId="0" applyNumberFormat="1" applyFont="1" applyFill="1" applyBorder="1" applyAlignment="1">
      <alignment horizontal="right"/>
    </xf>
    <xf numFmtId="179" fontId="3" fillId="9" borderId="0" xfId="0" applyNumberFormat="1" applyFont="1" applyFill="1" applyAlignment="1">
      <alignment horizontal="right"/>
    </xf>
    <xf numFmtId="168" fontId="3" fillId="9" borderId="0" xfId="0" applyNumberFormat="1" applyFont="1" applyFill="1" applyAlignment="1">
      <alignment horizontal="right"/>
    </xf>
    <xf numFmtId="179" fontId="3" fillId="9" borderId="1" xfId="0" applyNumberFormat="1" applyFont="1" applyFill="1" applyBorder="1" applyAlignment="1">
      <alignment horizontal="right"/>
    </xf>
    <xf numFmtId="179" fontId="6" fillId="9" borderId="0" xfId="0" applyNumberFormat="1" applyFont="1" applyFill="1" applyAlignment="1">
      <alignment horizontal="right"/>
    </xf>
    <xf numFmtId="179" fontId="10" fillId="9" borderId="3" xfId="0" applyNumberFormat="1" applyFont="1" applyFill="1" applyBorder="1" applyAlignment="1">
      <alignment horizontal="right"/>
    </xf>
    <xf numFmtId="168" fontId="10" fillId="9" borderId="3" xfId="0" applyNumberFormat="1" applyFont="1" applyFill="1" applyBorder="1" applyAlignment="1">
      <alignment horizontal="right"/>
    </xf>
    <xf numFmtId="0" fontId="27" fillId="9" borderId="0" xfId="0" applyFont="1" applyFill="1" applyAlignment="1">
      <alignment horizontal="left"/>
    </xf>
    <xf numFmtId="169" fontId="13" fillId="9" borderId="4" xfId="0" applyNumberFormat="1" applyFont="1" applyFill="1" applyBorder="1" applyAlignment="1">
      <alignment horizontal="right"/>
    </xf>
    <xf numFmtId="169" fontId="37" fillId="9" borderId="4" xfId="0" applyNumberFormat="1" applyFont="1" applyFill="1" applyBorder="1" applyAlignment="1">
      <alignment horizontal="right"/>
    </xf>
    <xf numFmtId="164" fontId="6" fillId="9" borderId="0" xfId="0" applyNumberFormat="1" applyFont="1" applyFill="1"/>
    <xf numFmtId="0" fontId="61" fillId="9" borderId="0" xfId="0" applyFont="1" applyFill="1" applyAlignment="1">
      <alignment horizontal="right"/>
    </xf>
    <xf numFmtId="10" fontId="36" fillId="9" borderId="0" xfId="0" applyNumberFormat="1" applyFont="1" applyFill="1"/>
    <xf numFmtId="0" fontId="41" fillId="9" borderId="0" xfId="0" applyFont="1" applyFill="1" applyAlignment="1">
      <alignment horizontal="right"/>
    </xf>
    <xf numFmtId="14" fontId="41" fillId="9" borderId="0" xfId="0" applyNumberFormat="1" applyFont="1" applyFill="1" applyAlignment="1">
      <alignment horizontal="right"/>
    </xf>
    <xf numFmtId="43" fontId="53" fillId="9" borderId="2" xfId="1" applyFont="1" applyFill="1" applyBorder="1"/>
    <xf numFmtId="43" fontId="64" fillId="9" borderId="0" xfId="1" applyFont="1" applyFill="1"/>
    <xf numFmtId="43" fontId="53" fillId="9" borderId="0" xfId="1" applyFont="1" applyFill="1"/>
    <xf numFmtId="0" fontId="63" fillId="9" borderId="7" xfId="0" applyFont="1" applyFill="1" applyBorder="1" applyAlignment="1">
      <alignment horizontal="right"/>
    </xf>
    <xf numFmtId="10" fontId="2" fillId="9" borderId="0" xfId="0" applyNumberFormat="1" applyFont="1" applyFill="1" applyAlignment="1">
      <alignment horizontal="right"/>
    </xf>
    <xf numFmtId="43" fontId="64" fillId="9" borderId="0" xfId="1" applyFont="1" applyFill="1" applyAlignment="1">
      <alignment horizontal="right"/>
    </xf>
    <xf numFmtId="43" fontId="53" fillId="9" borderId="0" xfId="1" applyFont="1" applyFill="1" applyAlignment="1">
      <alignment horizontal="right"/>
    </xf>
    <xf numFmtId="43" fontId="2" fillId="9" borderId="2" xfId="1" applyFont="1" applyFill="1" applyBorder="1" applyAlignment="1">
      <alignment horizontal="right"/>
    </xf>
    <xf numFmtId="174" fontId="0" fillId="9" borderId="0" xfId="0" applyNumberFormat="1" applyFill="1"/>
    <xf numFmtId="0" fontId="6" fillId="9" borderId="0" xfId="0" applyFont="1" applyFill="1"/>
    <xf numFmtId="0" fontId="74" fillId="0" borderId="0" xfId="0" applyFont="1"/>
    <xf numFmtId="1" fontId="85" fillId="0" borderId="0" xfId="0" applyNumberFormat="1" applyFont="1" applyAlignment="1">
      <alignment horizontal="left"/>
    </xf>
    <xf numFmtId="1" fontId="84" fillId="0" borderId="0" xfId="0" applyNumberFormat="1" applyFont="1"/>
    <xf numFmtId="1" fontId="84" fillId="0" borderId="0" xfId="0" applyNumberFormat="1" applyFont="1" applyAlignment="1">
      <alignment horizontal="right"/>
    </xf>
    <xf numFmtId="0" fontId="84" fillId="0" borderId="0" xfId="0" applyFont="1" applyAlignment="1">
      <alignment horizontal="right"/>
    </xf>
    <xf numFmtId="0" fontId="85" fillId="0" borderId="0" xfId="0" applyFont="1" applyAlignment="1">
      <alignment horizontal="left"/>
    </xf>
    <xf numFmtId="0" fontId="82" fillId="0" borderId="0" xfId="0" applyFont="1" applyAlignment="1">
      <alignment horizontal="left"/>
    </xf>
    <xf numFmtId="0" fontId="81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86" fillId="7" borderId="0" xfId="0" applyFont="1" applyFill="1"/>
    <xf numFmtId="0" fontId="86" fillId="7" borderId="0" xfId="0" applyFont="1" applyFill="1" applyAlignment="1">
      <alignment horizontal="left"/>
    </xf>
    <xf numFmtId="0" fontId="86" fillId="7" borderId="0" xfId="0" applyFont="1" applyFill="1" applyAlignment="1">
      <alignment horizontal="right"/>
    </xf>
    <xf numFmtId="0" fontId="89" fillId="0" borderId="0" xfId="0" applyFont="1" applyAlignment="1">
      <alignment horizontal="left"/>
    </xf>
    <xf numFmtId="0" fontId="90" fillId="2" borderId="0" xfId="0" applyFont="1" applyFill="1" applyAlignment="1">
      <alignment horizontal="left"/>
    </xf>
    <xf numFmtId="0" fontId="2" fillId="9" borderId="0" xfId="0" applyFont="1" applyFill="1" applyAlignment="1">
      <alignment horizontal="left"/>
    </xf>
    <xf numFmtId="3" fontId="0" fillId="0" borderId="0" xfId="0" applyNumberFormat="1" applyAlignment="1">
      <alignment horizontal="right"/>
    </xf>
    <xf numFmtId="177" fontId="10" fillId="5" borderId="0" xfId="0" applyNumberFormat="1" applyFont="1" applyFill="1" applyAlignment="1">
      <alignment horizontal="right"/>
    </xf>
    <xf numFmtId="172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80" fontId="3" fillId="9" borderId="0" xfId="0" applyNumberFormat="1" applyFont="1" applyFill="1" applyAlignment="1">
      <alignment horizontal="right"/>
    </xf>
    <xf numFmtId="1" fontId="3" fillId="9" borderId="0" xfId="0" applyNumberFormat="1" applyFont="1" applyFill="1" applyAlignment="1">
      <alignment horizontal="right"/>
    </xf>
    <xf numFmtId="181" fontId="3" fillId="9" borderId="0" xfId="0" applyNumberFormat="1" applyFont="1" applyFill="1" applyAlignment="1">
      <alignment horizontal="right"/>
    </xf>
    <xf numFmtId="0" fontId="93" fillId="7" borderId="0" xfId="0" applyFont="1" applyFill="1"/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92" fillId="7" borderId="0" xfId="0" applyFont="1" applyFill="1" applyAlignment="1">
      <alignment horizontal="center"/>
    </xf>
    <xf numFmtId="0" fontId="88" fillId="7" borderId="0" xfId="0" applyFont="1" applyFill="1" applyAlignment="1">
      <alignment horizontal="center"/>
    </xf>
    <xf numFmtId="0" fontId="87" fillId="7" borderId="0" xfId="0" applyFont="1" applyFill="1" applyAlignment="1">
      <alignment horizontal="center"/>
    </xf>
    <xf numFmtId="182" fontId="88" fillId="7" borderId="0" xfId="0" applyNumberFormat="1" applyFont="1" applyFill="1" applyAlignment="1">
      <alignment horizontal="center"/>
    </xf>
    <xf numFmtId="0" fontId="91" fillId="2" borderId="0" xfId="0" applyFont="1" applyFill="1" applyAlignment="1">
      <alignment horizontal="right"/>
    </xf>
    <xf numFmtId="181" fontId="13" fillId="9" borderId="0" xfId="0" applyNumberFormat="1" applyFont="1" applyFill="1" applyAlignment="1">
      <alignment horizontal="right"/>
    </xf>
    <xf numFmtId="10" fontId="3" fillId="8" borderId="0" xfId="0" applyNumberFormat="1" applyFont="1" applyFill="1" applyAlignment="1">
      <alignment horizontal="right"/>
    </xf>
    <xf numFmtId="183" fontId="3" fillId="8" borderId="0" xfId="0" applyNumberFormat="1" applyFont="1" applyFill="1" applyAlignment="1">
      <alignment horizontal="right"/>
    </xf>
    <xf numFmtId="10" fontId="13" fillId="8" borderId="0" xfId="0" applyNumberFormat="1" applyFont="1" applyFill="1" applyAlignment="1">
      <alignment horizontal="right"/>
    </xf>
    <xf numFmtId="169" fontId="3" fillId="8" borderId="0" xfId="0" applyNumberFormat="1" applyFont="1" applyFill="1" applyAlignment="1">
      <alignment horizontal="right"/>
    </xf>
    <xf numFmtId="10" fontId="4" fillId="8" borderId="0" xfId="0" applyNumberFormat="1" applyFont="1" applyFill="1" applyAlignment="1">
      <alignment horizontal="right"/>
    </xf>
    <xf numFmtId="181" fontId="3" fillId="8" borderId="0" xfId="0" applyNumberFormat="1" applyFont="1" applyFill="1" applyAlignment="1">
      <alignment horizontal="right"/>
    </xf>
    <xf numFmtId="181" fontId="13" fillId="8" borderId="0" xfId="0" applyNumberFormat="1" applyFont="1" applyFill="1" applyAlignment="1">
      <alignment horizontal="right"/>
    </xf>
    <xf numFmtId="173" fontId="3" fillId="8" borderId="0" xfId="0" applyNumberFormat="1" applyFont="1" applyFill="1" applyAlignment="1">
      <alignment horizontal="right"/>
    </xf>
    <xf numFmtId="177" fontId="6" fillId="0" borderId="0" xfId="0" applyNumberFormat="1" applyFont="1" applyAlignment="1">
      <alignment horizontal="right"/>
    </xf>
    <xf numFmtId="0" fontId="19" fillId="10" borderId="0" xfId="0" applyFont="1" applyFill="1" applyAlignment="1">
      <alignment horizontal="right"/>
    </xf>
    <xf numFmtId="0" fontId="96" fillId="10" borderId="0" xfId="0" applyFont="1" applyFill="1" applyAlignment="1">
      <alignment horizontal="right"/>
    </xf>
    <xf numFmtId="181" fontId="97" fillId="10" borderId="0" xfId="0" applyNumberFormat="1" applyFont="1" applyFill="1" applyAlignment="1">
      <alignment horizontal="right"/>
    </xf>
    <xf numFmtId="0" fontId="98" fillId="10" borderId="0" xfId="0" applyFont="1" applyFill="1" applyAlignment="1">
      <alignment horizontal="right"/>
    </xf>
    <xf numFmtId="181" fontId="98" fillId="10" borderId="0" xfId="0" applyNumberFormat="1" applyFont="1" applyFill="1" applyAlignment="1">
      <alignment horizontal="right"/>
    </xf>
    <xf numFmtId="0" fontId="99" fillId="3" borderId="0" xfId="0" applyFont="1" applyFill="1" applyAlignment="1">
      <alignment horizontal="center"/>
    </xf>
    <xf numFmtId="181" fontId="12" fillId="7" borderId="0" xfId="0" applyNumberFormat="1" applyFont="1" applyFill="1" applyAlignment="1">
      <alignment horizontal="right"/>
    </xf>
    <xf numFmtId="181" fontId="7" fillId="7" borderId="0" xfId="0" applyNumberFormat="1" applyFont="1" applyFill="1" applyAlignment="1">
      <alignment horizontal="right"/>
    </xf>
    <xf numFmtId="10" fontId="29" fillId="3" borderId="0" xfId="0" applyNumberFormat="1" applyFont="1" applyFill="1" applyAlignment="1">
      <alignment horizontal="center"/>
    </xf>
    <xf numFmtId="2" fontId="31" fillId="3" borderId="0" xfId="0" applyNumberFormat="1" applyFon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3" fontId="36" fillId="9" borderId="5" xfId="0" applyNumberFormat="1" applyFont="1" applyFill="1" applyBorder="1" applyAlignment="1">
      <alignment horizontal="right"/>
    </xf>
    <xf numFmtId="3" fontId="3" fillId="9" borderId="0" xfId="0" applyNumberFormat="1" applyFont="1" applyFill="1" applyAlignment="1">
      <alignment horizontal="right"/>
    </xf>
    <xf numFmtId="3" fontId="13" fillId="9" borderId="0" xfId="0" applyNumberFormat="1" applyFont="1" applyFill="1" applyAlignment="1">
      <alignment horizontal="right"/>
    </xf>
    <xf numFmtId="3" fontId="13" fillId="9" borderId="5" xfId="0" applyNumberFormat="1" applyFont="1" applyFill="1" applyBorder="1" applyAlignment="1">
      <alignment horizontal="right"/>
    </xf>
    <xf numFmtId="49" fontId="13" fillId="9" borderId="0" xfId="0" applyNumberFormat="1" applyFont="1" applyFill="1" applyAlignment="1">
      <alignment horizontal="right"/>
    </xf>
    <xf numFmtId="49" fontId="10" fillId="9" borderId="0" xfId="0" applyNumberFormat="1" applyFont="1" applyFill="1" applyAlignment="1">
      <alignment horizontal="right"/>
    </xf>
    <xf numFmtId="0" fontId="19" fillId="10" borderId="0" xfId="0" applyFont="1" applyFill="1"/>
    <xf numFmtId="0" fontId="96" fillId="10" borderId="0" xfId="0" applyFont="1" applyFill="1" applyAlignment="1">
      <alignment horizontal="left"/>
    </xf>
    <xf numFmtId="0" fontId="96" fillId="10" borderId="0" xfId="0" applyFont="1" applyFill="1"/>
    <xf numFmtId="0" fontId="53" fillId="9" borderId="0" xfId="0" applyFont="1" applyFill="1"/>
    <xf numFmtId="3" fontId="53" fillId="9" borderId="0" xfId="0" applyNumberFormat="1" applyFont="1" applyFill="1"/>
    <xf numFmtId="49" fontId="37" fillId="7" borderId="3" xfId="0" applyNumberFormat="1" applyFont="1" applyFill="1" applyBorder="1" applyAlignment="1">
      <alignment horizontal="right"/>
    </xf>
    <xf numFmtId="3" fontId="16" fillId="9" borderId="0" xfId="0" applyNumberFormat="1" applyFont="1" applyFill="1" applyAlignment="1">
      <alignment horizontal="right"/>
    </xf>
    <xf numFmtId="3" fontId="100" fillId="9" borderId="0" xfId="0" applyNumberFormat="1" applyFont="1" applyFill="1"/>
    <xf numFmtId="169" fontId="102" fillId="9" borderId="0" xfId="0" applyNumberFormat="1" applyFont="1" applyFill="1"/>
    <xf numFmtId="49" fontId="102" fillId="9" borderId="0" xfId="0" applyNumberFormat="1" applyFont="1" applyFill="1"/>
    <xf numFmtId="169" fontId="37" fillId="9" borderId="0" xfId="0" applyNumberFormat="1" applyFont="1" applyFill="1" applyAlignment="1">
      <alignment horizontal="right"/>
    </xf>
    <xf numFmtId="184" fontId="20" fillId="0" borderId="0" xfId="0" applyNumberFormat="1" applyFont="1" applyAlignment="1">
      <alignment horizontal="center"/>
    </xf>
    <xf numFmtId="0" fontId="103" fillId="3" borderId="0" xfId="0" applyFont="1" applyFill="1" applyAlignment="1">
      <alignment horizontal="right"/>
    </xf>
    <xf numFmtId="0" fontId="104" fillId="7" borderId="0" xfId="0" applyFont="1" applyFill="1"/>
    <xf numFmtId="0" fontId="105" fillId="7" borderId="0" xfId="0" applyFont="1" applyFill="1"/>
    <xf numFmtId="3" fontId="108" fillId="7" borderId="0" xfId="0" applyNumberFormat="1" applyFont="1" applyFill="1"/>
    <xf numFmtId="3" fontId="107" fillId="7" borderId="0" xfId="0" applyNumberFormat="1" applyFont="1" applyFill="1" applyAlignment="1">
      <alignment horizontal="right"/>
    </xf>
    <xf numFmtId="3" fontId="107" fillId="7" borderId="2" xfId="0" applyNumberFormat="1" applyFont="1" applyFill="1" applyBorder="1" applyAlignment="1">
      <alignment horizontal="right"/>
    </xf>
    <xf numFmtId="0" fontId="108" fillId="7" borderId="0" xfId="0" applyFont="1" applyFill="1"/>
    <xf numFmtId="3" fontId="106" fillId="7" borderId="3" xfId="0" applyNumberFormat="1" applyFont="1" applyFill="1" applyBorder="1" applyAlignment="1">
      <alignment horizontal="right"/>
    </xf>
    <xf numFmtId="10" fontId="107" fillId="7" borderId="0" xfId="0" applyNumberFormat="1" applyFont="1" applyFill="1" applyAlignment="1">
      <alignment horizontal="right"/>
    </xf>
    <xf numFmtId="0" fontId="110" fillId="7" borderId="0" xfId="0" applyFont="1" applyFill="1" applyAlignment="1">
      <alignment horizontal="right"/>
    </xf>
    <xf numFmtId="0" fontId="54" fillId="7" borderId="0" xfId="0" applyFont="1" applyFill="1"/>
    <xf numFmtId="0" fontId="101" fillId="7" borderId="9" xfId="0" applyFont="1" applyFill="1" applyBorder="1" applyAlignment="1">
      <alignment horizontal="left"/>
    </xf>
    <xf numFmtId="0" fontId="101" fillId="7" borderId="0" xfId="0" applyFont="1" applyFill="1" applyAlignment="1">
      <alignment horizontal="left"/>
    </xf>
    <xf numFmtId="3" fontId="36" fillId="9" borderId="0" xfId="1" applyNumberFormat="1" applyFont="1" applyFill="1"/>
    <xf numFmtId="43" fontId="56" fillId="7" borderId="10" xfId="1" applyFont="1" applyFill="1" applyBorder="1"/>
    <xf numFmtId="0" fontId="56" fillId="7" borderId="10" xfId="0" applyFont="1" applyFill="1" applyBorder="1"/>
    <xf numFmtId="3" fontId="111" fillId="8" borderId="0" xfId="0" applyNumberFormat="1" applyFont="1" applyFill="1" applyAlignment="1">
      <alignment horizontal="right"/>
    </xf>
    <xf numFmtId="0" fontId="106" fillId="8" borderId="0" xfId="0" applyFont="1" applyFill="1" applyAlignment="1">
      <alignment horizontal="right"/>
    </xf>
    <xf numFmtId="0" fontId="107" fillId="8" borderId="0" xfId="0" applyFont="1" applyFill="1" applyAlignment="1">
      <alignment horizontal="right"/>
    </xf>
    <xf numFmtId="0" fontId="109" fillId="8" borderId="0" xfId="0" applyFont="1" applyFill="1"/>
    <xf numFmtId="0" fontId="108" fillId="8" borderId="0" xfId="0" applyFont="1" applyFill="1"/>
    <xf numFmtId="3" fontId="106" fillId="8" borderId="0" xfId="0" applyNumberFormat="1" applyFont="1" applyFill="1" applyAlignment="1">
      <alignment horizontal="right"/>
    </xf>
    <xf numFmtId="3" fontId="107" fillId="8" borderId="5" xfId="0" applyNumberFormat="1" applyFont="1" applyFill="1" applyBorder="1" applyAlignment="1">
      <alignment horizontal="right"/>
    </xf>
    <xf numFmtId="3" fontId="105" fillId="8" borderId="0" xfId="0" applyNumberFormat="1" applyFont="1" applyFill="1"/>
    <xf numFmtId="3" fontId="108" fillId="8" borderId="0" xfId="0" applyNumberFormat="1" applyFont="1" applyFill="1"/>
    <xf numFmtId="3" fontId="107" fillId="8" borderId="0" xfId="0" applyNumberFormat="1" applyFont="1" applyFill="1" applyAlignment="1">
      <alignment horizontal="right"/>
    </xf>
    <xf numFmtId="3" fontId="112" fillId="8" borderId="0" xfId="0" applyNumberFormat="1" applyFont="1" applyFill="1" applyAlignment="1">
      <alignment horizontal="right"/>
    </xf>
    <xf numFmtId="10" fontId="111" fillId="8" borderId="0" xfId="0" applyNumberFormat="1" applyFont="1" applyFill="1" applyAlignment="1">
      <alignment horizontal="right"/>
    </xf>
    <xf numFmtId="0" fontId="1" fillId="0" borderId="0" xfId="0" applyFont="1"/>
    <xf numFmtId="1" fontId="1" fillId="0" borderId="0" xfId="0" applyNumberFormat="1" applyFont="1"/>
    <xf numFmtId="3" fontId="9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  <xf numFmtId="2" fontId="9" fillId="9" borderId="0" xfId="0" applyNumberFormat="1" applyFont="1" applyFill="1" applyAlignment="1">
      <alignment horizontal="right"/>
    </xf>
    <xf numFmtId="10" fontId="9" fillId="0" borderId="0" xfId="0" applyNumberFormat="1" applyFont="1" applyAlignment="1">
      <alignment horizontal="right"/>
    </xf>
    <xf numFmtId="10" fontId="9" fillId="9" borderId="0" xfId="0" applyNumberFormat="1" applyFont="1" applyFill="1" applyAlignment="1">
      <alignment horizontal="right"/>
    </xf>
    <xf numFmtId="10" fontId="36" fillId="9" borderId="0" xfId="0" applyNumberFormat="1" applyFont="1" applyFill="1" applyAlignment="1">
      <alignment horizontal="right"/>
    </xf>
    <xf numFmtId="0" fontId="6" fillId="7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9" fillId="7" borderId="0" xfId="0" applyFont="1" applyFill="1" applyAlignment="1">
      <alignment horizontal="left"/>
    </xf>
    <xf numFmtId="0" fontId="6" fillId="7" borderId="0" xfId="0" applyFont="1" applyFill="1" applyAlignment="1">
      <alignment horizontal="left" indent="1"/>
    </xf>
    <xf numFmtId="0" fontId="11" fillId="7" borderId="0" xfId="0" applyFont="1" applyFill="1" applyAlignment="1">
      <alignment horizontal="left"/>
    </xf>
    <xf numFmtId="0" fontId="113" fillId="2" borderId="0" xfId="0" applyFont="1" applyFill="1" applyAlignment="1">
      <alignment horizontal="left"/>
    </xf>
    <xf numFmtId="172" fontId="10" fillId="0" borderId="0" xfId="0" applyNumberFormat="1" applyFont="1" applyAlignment="1">
      <alignment horizontal="right"/>
    </xf>
    <xf numFmtId="172" fontId="10" fillId="7" borderId="0" xfId="0" applyNumberFormat="1" applyFont="1" applyFill="1" applyAlignment="1">
      <alignment horizontal="right"/>
    </xf>
    <xf numFmtId="168" fontId="9" fillId="8" borderId="0" xfId="0" applyNumberFormat="1" applyFont="1" applyFill="1" applyAlignment="1">
      <alignment horizontal="right"/>
    </xf>
    <xf numFmtId="164" fontId="9" fillId="8" borderId="0" xfId="0" applyNumberFormat="1" applyFont="1" applyFill="1" applyAlignment="1">
      <alignment horizontal="right"/>
    </xf>
    <xf numFmtId="178" fontId="3" fillId="8" borderId="0" xfId="0" applyNumberFormat="1" applyFont="1" applyFill="1" applyAlignment="1">
      <alignment horizontal="right"/>
    </xf>
    <xf numFmtId="168" fontId="9" fillId="8" borderId="1" xfId="0" applyNumberFormat="1" applyFont="1" applyFill="1" applyBorder="1" applyAlignment="1">
      <alignment horizontal="right"/>
    </xf>
    <xf numFmtId="164" fontId="9" fillId="8" borderId="1" xfId="0" applyNumberFormat="1" applyFont="1" applyFill="1" applyBorder="1" applyAlignment="1">
      <alignment horizontal="right"/>
    </xf>
    <xf numFmtId="178" fontId="3" fillId="8" borderId="1" xfId="0" applyNumberFormat="1" applyFont="1" applyFill="1" applyBorder="1" applyAlignment="1">
      <alignment horizontal="right"/>
    </xf>
    <xf numFmtId="2" fontId="27" fillId="9" borderId="0" xfId="0" applyNumberFormat="1" applyFont="1" applyFill="1"/>
    <xf numFmtId="2" fontId="27" fillId="9" borderId="0" xfId="0" applyNumberFormat="1" applyFont="1" applyFill="1" applyAlignment="1">
      <alignment horizontal="right"/>
    </xf>
    <xf numFmtId="2" fontId="0" fillId="0" borderId="0" xfId="0" applyNumberFormat="1" applyAlignment="1">
      <alignment horizontal="right"/>
    </xf>
    <xf numFmtId="2" fontId="0" fillId="9" borderId="0" xfId="0" applyNumberFormat="1" applyFill="1"/>
    <xf numFmtId="2" fontId="0" fillId="9" borderId="0" xfId="0" applyNumberFormat="1" applyFill="1" applyAlignment="1">
      <alignment horizontal="right"/>
    </xf>
    <xf numFmtId="0" fontId="1" fillId="7" borderId="0" xfId="0" applyFont="1" applyFill="1"/>
    <xf numFmtId="43" fontId="111" fillId="9" borderId="2" xfId="1" applyFont="1" applyFill="1" applyBorder="1"/>
    <xf numFmtId="43" fontId="111" fillId="9" borderId="0" xfId="1" applyFont="1" applyFill="1"/>
    <xf numFmtId="43" fontId="114" fillId="9" borderId="0" xfId="1" applyFont="1" applyFill="1"/>
    <xf numFmtId="0" fontId="106" fillId="0" borderId="0" xfId="0" applyFont="1" applyAlignment="1">
      <alignment horizontal="center"/>
    </xf>
    <xf numFmtId="0" fontId="6" fillId="10" borderId="0" xfId="0" applyFont="1" applyFill="1"/>
    <xf numFmtId="0" fontId="4" fillId="10" borderId="0" xfId="0" applyFont="1" applyFill="1"/>
    <xf numFmtId="0" fontId="10" fillId="10" borderId="0" xfId="0" applyFont="1" applyFill="1"/>
    <xf numFmtId="0" fontId="0" fillId="10" borderId="0" xfId="0" applyFill="1"/>
    <xf numFmtId="0" fontId="12" fillId="10" borderId="0" xfId="0" applyFont="1" applyFill="1"/>
    <xf numFmtId="0" fontId="74" fillId="10" borderId="0" xfId="2" applyFont="1" applyFill="1"/>
    <xf numFmtId="0" fontId="56" fillId="10" borderId="0" xfId="2" applyFont="1" applyFill="1"/>
    <xf numFmtId="0" fontId="75" fillId="10" borderId="0" xfId="0" applyFont="1" applyFill="1"/>
    <xf numFmtId="0" fontId="54" fillId="10" borderId="0" xfId="2" applyFont="1" applyFill="1"/>
    <xf numFmtId="0" fontId="51" fillId="10" borderId="0" xfId="2" applyFont="1" applyFill="1"/>
    <xf numFmtId="0" fontId="62" fillId="7" borderId="0" xfId="2" applyFont="1" applyFill="1"/>
    <xf numFmtId="0" fontId="12" fillId="0" borderId="0" xfId="0" applyFont="1" applyAlignment="1">
      <alignment horizontal="right"/>
    </xf>
    <xf numFmtId="0" fontId="87" fillId="2" borderId="0" xfId="0" applyFont="1" applyFill="1"/>
    <xf numFmtId="0" fontId="7" fillId="3" borderId="0" xfId="0" applyFont="1" applyFill="1" applyAlignment="1">
      <alignment horizontal="left"/>
    </xf>
    <xf numFmtId="0" fontId="87" fillId="0" borderId="0" xfId="0" applyFont="1" applyAlignment="1">
      <alignment horizontal="right"/>
    </xf>
    <xf numFmtId="173" fontId="12" fillId="9" borderId="0" xfId="0" applyNumberFormat="1" applyFont="1" applyFill="1" applyAlignment="1">
      <alignment horizontal="right"/>
    </xf>
    <xf numFmtId="174" fontId="12" fillId="9" borderId="1" xfId="0" applyNumberFormat="1" applyFont="1" applyFill="1" applyBorder="1" applyAlignment="1">
      <alignment horizontal="right"/>
    </xf>
    <xf numFmtId="169" fontId="12" fillId="9" borderId="0" xfId="0" applyNumberFormat="1" applyFont="1" applyFill="1" applyAlignment="1">
      <alignment horizontal="right"/>
    </xf>
    <xf numFmtId="169" fontId="12" fillId="9" borderId="1" xfId="0" applyNumberFormat="1" applyFont="1" applyFill="1" applyBorder="1" applyAlignment="1">
      <alignment horizontal="right"/>
    </xf>
    <xf numFmtId="173" fontId="12" fillId="9" borderId="1" xfId="0" applyNumberFormat="1" applyFont="1" applyFill="1" applyBorder="1" applyAlignment="1">
      <alignment horizontal="right"/>
    </xf>
    <xf numFmtId="175" fontId="12" fillId="9" borderId="0" xfId="0" applyNumberFormat="1" applyFont="1" applyFill="1" applyAlignment="1">
      <alignment horizontal="right"/>
    </xf>
    <xf numFmtId="169" fontId="12" fillId="0" borderId="0" xfId="0" applyNumberFormat="1" applyFont="1" applyAlignment="1">
      <alignment horizontal="right"/>
    </xf>
    <xf numFmtId="169" fontId="12" fillId="0" borderId="1" xfId="0" applyNumberFormat="1" applyFont="1" applyBorder="1" applyAlignment="1">
      <alignment horizontal="right"/>
    </xf>
    <xf numFmtId="172" fontId="7" fillId="9" borderId="0" xfId="0" applyNumberFormat="1" applyFont="1" applyFill="1" applyAlignment="1">
      <alignment horizontal="right"/>
    </xf>
    <xf numFmtId="0" fontId="42" fillId="3" borderId="0" xfId="0" applyFont="1" applyFill="1" applyAlignment="1">
      <alignment horizontal="left"/>
    </xf>
    <xf numFmtId="0" fontId="115" fillId="9" borderId="0" xfId="0" applyFont="1" applyFill="1" applyAlignment="1">
      <alignment horizontal="right"/>
    </xf>
    <xf numFmtId="10" fontId="1" fillId="9" borderId="0" xfId="0" applyNumberFormat="1" applyFont="1" applyFill="1" applyAlignment="1">
      <alignment horizontal="right"/>
    </xf>
    <xf numFmtId="0" fontId="1" fillId="9" borderId="0" xfId="0" applyFont="1" applyFill="1"/>
    <xf numFmtId="43" fontId="1" fillId="9" borderId="0" xfId="1" applyFont="1" applyFill="1"/>
    <xf numFmtId="182" fontId="20" fillId="0" borderId="0" xfId="0" applyNumberFormat="1" applyFont="1" applyAlignment="1">
      <alignment horizontal="center"/>
    </xf>
    <xf numFmtId="182" fontId="21" fillId="0" borderId="0" xfId="0" applyNumberFormat="1" applyFont="1" applyAlignment="1">
      <alignment horizontal="center"/>
    </xf>
    <xf numFmtId="182" fontId="21" fillId="7" borderId="0" xfId="0" applyNumberFormat="1" applyFont="1" applyFill="1" applyAlignment="1">
      <alignment horizontal="center"/>
    </xf>
    <xf numFmtId="182" fontId="44" fillId="7" borderId="0" xfId="0" applyNumberFormat="1" applyFont="1" applyFill="1" applyAlignment="1">
      <alignment horizontal="center"/>
    </xf>
    <xf numFmtId="182" fontId="92" fillId="7" borderId="0" xfId="0" applyNumberFormat="1" applyFont="1" applyFill="1" applyAlignment="1">
      <alignment horizontal="center"/>
    </xf>
    <xf numFmtId="182" fontId="94" fillId="0" borderId="0" xfId="0" applyNumberFormat="1" applyFont="1" applyAlignment="1">
      <alignment horizontal="center"/>
    </xf>
    <xf numFmtId="182" fontId="94" fillId="7" borderId="0" xfId="0" applyNumberFormat="1" applyFont="1" applyFill="1" applyAlignment="1">
      <alignment horizontal="center"/>
    </xf>
    <xf numFmtId="182" fontId="95" fillId="0" borderId="0" xfId="0" applyNumberFormat="1" applyFont="1" applyAlignment="1">
      <alignment horizontal="center"/>
    </xf>
    <xf numFmtId="182" fontId="95" fillId="7" borderId="0" xfId="0" applyNumberFormat="1" applyFont="1" applyFill="1" applyAlignment="1">
      <alignment horizontal="center"/>
    </xf>
    <xf numFmtId="182" fontId="92" fillId="0" borderId="0" xfId="0" applyNumberFormat="1" applyFont="1" applyAlignment="1">
      <alignment horizontal="center"/>
    </xf>
    <xf numFmtId="182" fontId="88" fillId="0" borderId="0" xfId="0" applyNumberFormat="1" applyFont="1" applyAlignment="1">
      <alignment horizontal="center"/>
    </xf>
    <xf numFmtId="0" fontId="120" fillId="0" borderId="0" xfId="0" applyFont="1"/>
    <xf numFmtId="0" fontId="121" fillId="0" borderId="0" xfId="0" applyFont="1"/>
    <xf numFmtId="186" fontId="121" fillId="0" borderId="0" xfId="0" applyNumberFormat="1" applyFont="1" applyAlignment="1">
      <alignment horizontal="right" vertical="center"/>
    </xf>
    <xf numFmtId="187" fontId="121" fillId="0" borderId="0" xfId="0" applyNumberFormat="1" applyFont="1" applyAlignment="1">
      <alignment horizontal="right" vertical="center"/>
    </xf>
    <xf numFmtId="169" fontId="121" fillId="0" borderId="0" xfId="0" applyNumberFormat="1" applyFont="1" applyAlignment="1">
      <alignment horizontal="right" vertical="center"/>
    </xf>
    <xf numFmtId="0" fontId="123" fillId="0" borderId="0" xfId="0" applyFont="1"/>
    <xf numFmtId="0" fontId="125" fillId="0" borderId="0" xfId="0" applyFont="1" applyAlignment="1">
      <alignment horizontal="left" vertical="center"/>
    </xf>
    <xf numFmtId="187" fontId="126" fillId="15" borderId="11" xfId="0" applyNumberFormat="1" applyFont="1" applyFill="1" applyBorder="1" applyAlignment="1">
      <alignment horizontal="center" vertical="center"/>
    </xf>
    <xf numFmtId="0" fontId="128" fillId="0" borderId="0" xfId="0" applyFont="1" applyAlignment="1">
      <alignment horizontal="left" vertical="center"/>
    </xf>
    <xf numFmtId="187" fontId="129" fillId="16" borderId="0" xfId="0" applyNumberFormat="1" applyFont="1" applyFill="1" applyAlignment="1">
      <alignment horizontal="right" vertical="center"/>
    </xf>
    <xf numFmtId="0" fontId="127" fillId="0" borderId="0" xfId="0" applyFont="1" applyAlignment="1">
      <alignment horizontal="left" vertical="center"/>
    </xf>
    <xf numFmtId="188" fontId="121" fillId="16" borderId="0" xfId="0" applyNumberFormat="1" applyFont="1" applyFill="1" applyAlignment="1">
      <alignment horizontal="center" vertical="center"/>
    </xf>
    <xf numFmtId="189" fontId="129" fillId="16" borderId="0" xfId="0" applyNumberFormat="1" applyFont="1" applyFill="1" applyAlignment="1">
      <alignment horizontal="right" vertical="center"/>
    </xf>
    <xf numFmtId="0" fontId="130" fillId="0" borderId="0" xfId="0" applyFont="1" applyAlignment="1">
      <alignment horizontal="left" vertical="center"/>
    </xf>
    <xf numFmtId="187" fontId="131" fillId="13" borderId="0" xfId="0" applyNumberFormat="1" applyFont="1" applyFill="1" applyAlignment="1">
      <alignment horizontal="right" vertical="center"/>
    </xf>
    <xf numFmtId="169" fontId="126" fillId="15" borderId="11" xfId="0" applyNumberFormat="1" applyFont="1" applyFill="1" applyBorder="1" applyAlignment="1">
      <alignment horizontal="center" vertical="center"/>
    </xf>
    <xf numFmtId="1" fontId="126" fillId="15" borderId="11" xfId="0" applyNumberFormat="1" applyFont="1" applyFill="1" applyBorder="1" applyAlignment="1">
      <alignment horizontal="center" vertical="center"/>
    </xf>
    <xf numFmtId="0" fontId="133" fillId="0" borderId="0" xfId="0" applyFont="1" applyAlignment="1">
      <alignment horizontal="right" vertical="center"/>
    </xf>
    <xf numFmtId="3" fontId="134" fillId="0" borderId="0" xfId="0" applyNumberFormat="1" applyFont="1" applyAlignment="1">
      <alignment horizontal="right" vertical="center"/>
    </xf>
    <xf numFmtId="0" fontId="125" fillId="0" borderId="0" xfId="0" applyFont="1"/>
    <xf numFmtId="169" fontId="120" fillId="0" borderId="0" xfId="0" applyNumberFormat="1" applyFont="1" applyAlignment="1">
      <alignment horizontal="right" vertical="center"/>
    </xf>
    <xf numFmtId="0" fontId="119" fillId="12" borderId="12" xfId="0" applyFont="1" applyFill="1" applyBorder="1"/>
    <xf numFmtId="186" fontId="119" fillId="12" borderId="12" xfId="0" applyNumberFormat="1" applyFont="1" applyFill="1" applyBorder="1" applyAlignment="1">
      <alignment horizontal="right" vertical="center"/>
    </xf>
    <xf numFmtId="169" fontId="119" fillId="12" borderId="12" xfId="0" applyNumberFormat="1" applyFont="1" applyFill="1" applyBorder="1" applyAlignment="1">
      <alignment horizontal="right" vertical="center"/>
    </xf>
    <xf numFmtId="3" fontId="121" fillId="0" borderId="0" xfId="0" applyNumberFormat="1" applyFont="1" applyAlignment="1">
      <alignment horizontal="right" vertical="center"/>
    </xf>
    <xf numFmtId="0" fontId="135" fillId="17" borderId="0" xfId="0" applyFont="1" applyFill="1" applyAlignment="1">
      <alignment horizontal="center" vertical="center"/>
    </xf>
    <xf numFmtId="0" fontId="121" fillId="0" borderId="0" xfId="0" applyFont="1" applyAlignment="1">
      <alignment horizontal="right" vertical="center"/>
    </xf>
    <xf numFmtId="0" fontId="130" fillId="17" borderId="0" xfId="0" applyFont="1" applyFill="1" applyAlignment="1">
      <alignment horizontal="center" vertical="center"/>
    </xf>
    <xf numFmtId="187" fontId="130" fillId="17" borderId="0" xfId="0" applyNumberFormat="1" applyFont="1" applyFill="1" applyAlignment="1">
      <alignment horizontal="center" vertical="center"/>
    </xf>
    <xf numFmtId="169" fontId="125" fillId="18" borderId="13" xfId="0" applyNumberFormat="1" applyFont="1" applyFill="1" applyBorder="1" applyAlignment="1">
      <alignment horizontal="center" vertical="center"/>
    </xf>
    <xf numFmtId="0" fontId="135" fillId="17" borderId="0" xfId="0" applyFont="1" applyFill="1" applyAlignment="1">
      <alignment horizontal="left" vertical="center" indent="1"/>
    </xf>
    <xf numFmtId="0" fontId="137" fillId="13" borderId="0" xfId="0" applyFont="1" applyFill="1" applyAlignment="1">
      <alignment horizontal="center" vertical="center"/>
    </xf>
    <xf numFmtId="0" fontId="121" fillId="12" borderId="0" xfId="0" applyFont="1" applyFill="1" applyAlignment="1">
      <alignment horizontal="center" vertical="center"/>
    </xf>
    <xf numFmtId="0" fontId="138" fillId="19" borderId="0" xfId="0" applyFont="1" applyFill="1" applyAlignment="1">
      <alignment horizontal="center" vertical="center"/>
    </xf>
    <xf numFmtId="0" fontId="125" fillId="0" borderId="0" xfId="0" applyFont="1" applyAlignment="1">
      <alignment horizontal="left" vertical="center" indent="1"/>
    </xf>
    <xf numFmtId="169" fontId="137" fillId="0" borderId="0" xfId="0" applyNumberFormat="1" applyFont="1" applyAlignment="1">
      <alignment horizontal="center" vertical="center"/>
    </xf>
    <xf numFmtId="169" fontId="121" fillId="0" borderId="0" xfId="0" applyNumberFormat="1" applyFont="1" applyAlignment="1">
      <alignment horizontal="center" vertical="center"/>
    </xf>
    <xf numFmtId="169" fontId="138" fillId="0" borderId="0" xfId="0" applyNumberFormat="1" applyFont="1" applyAlignment="1">
      <alignment horizontal="center" vertical="center"/>
    </xf>
    <xf numFmtId="190" fontId="137" fillId="0" borderId="0" xfId="0" applyNumberFormat="1" applyFont="1" applyAlignment="1">
      <alignment horizontal="center" vertical="center"/>
    </xf>
    <xf numFmtId="190" fontId="121" fillId="0" borderId="0" xfId="0" applyNumberFormat="1" applyFont="1" applyAlignment="1">
      <alignment horizontal="center" vertical="center"/>
    </xf>
    <xf numFmtId="190" fontId="138" fillId="0" borderId="0" xfId="0" applyNumberFormat="1" applyFont="1" applyAlignment="1">
      <alignment horizontal="center" vertical="center"/>
    </xf>
    <xf numFmtId="187" fontId="137" fillId="0" borderId="0" xfId="0" applyNumberFormat="1" applyFont="1" applyAlignment="1">
      <alignment horizontal="center" vertical="center"/>
    </xf>
    <xf numFmtId="187" fontId="121" fillId="0" borderId="0" xfId="0" applyNumberFormat="1" applyFont="1" applyAlignment="1">
      <alignment horizontal="center" vertical="center"/>
    </xf>
    <xf numFmtId="187" fontId="138" fillId="0" borderId="0" xfId="0" applyNumberFormat="1" applyFont="1" applyAlignment="1">
      <alignment horizontal="center" vertical="center"/>
    </xf>
    <xf numFmtId="0" fontId="128" fillId="20" borderId="0" xfId="0" applyFont="1" applyFill="1" applyAlignment="1">
      <alignment horizontal="left" vertical="center" indent="1"/>
    </xf>
    <xf numFmtId="49" fontId="129" fillId="20" borderId="0" xfId="0" applyNumberFormat="1" applyFont="1" applyFill="1" applyAlignment="1">
      <alignment horizontal="right" vertical="center"/>
    </xf>
    <xf numFmtId="191" fontId="129" fillId="20" borderId="0" xfId="0" applyNumberFormat="1" applyFont="1" applyFill="1" applyAlignment="1">
      <alignment horizontal="right" vertical="center"/>
    </xf>
    <xf numFmtId="180" fontId="129" fillId="20" borderId="0" xfId="0" applyNumberFormat="1" applyFont="1" applyFill="1" applyAlignment="1">
      <alignment horizontal="right" vertical="center"/>
    </xf>
    <xf numFmtId="3" fontId="129" fillId="20" borderId="0" xfId="0" applyNumberFormat="1" applyFont="1" applyFill="1" applyAlignment="1">
      <alignment horizontal="right" vertical="center"/>
    </xf>
    <xf numFmtId="0" fontId="140" fillId="0" borderId="0" xfId="0" applyFont="1"/>
    <xf numFmtId="186" fontId="125" fillId="16" borderId="0" xfId="0" applyNumberFormat="1" applyFont="1" applyFill="1" applyAlignment="1">
      <alignment horizontal="right" vertical="center"/>
    </xf>
    <xf numFmtId="0" fontId="141" fillId="0" borderId="0" xfId="0" applyFont="1"/>
    <xf numFmtId="3" fontId="123" fillId="0" borderId="0" xfId="0" applyNumberFormat="1" applyFont="1" applyAlignment="1">
      <alignment horizontal="right" vertical="center"/>
    </xf>
    <xf numFmtId="0" fontId="128" fillId="0" borderId="0" xfId="0" applyFont="1"/>
    <xf numFmtId="0" fontId="129" fillId="0" borderId="0" xfId="0" applyFont="1"/>
    <xf numFmtId="3" fontId="129" fillId="0" borderId="14" xfId="0" applyNumberFormat="1" applyFont="1" applyBorder="1" applyAlignment="1">
      <alignment horizontal="right" vertical="center"/>
    </xf>
    <xf numFmtId="3" fontId="129" fillId="16" borderId="0" xfId="0" applyNumberFormat="1" applyFont="1" applyFill="1" applyAlignment="1">
      <alignment horizontal="right" vertical="center"/>
    </xf>
    <xf numFmtId="190" fontId="123" fillId="0" borderId="0" xfId="0" applyNumberFormat="1" applyFont="1" applyAlignment="1">
      <alignment horizontal="right" vertical="center"/>
    </xf>
    <xf numFmtId="187" fontId="123" fillId="0" borderId="0" xfId="0" applyNumberFormat="1" applyFont="1" applyAlignment="1">
      <alignment horizontal="right" vertical="center"/>
    </xf>
    <xf numFmtId="3" fontId="129" fillId="0" borderId="0" xfId="0" applyNumberFormat="1" applyFont="1" applyAlignment="1">
      <alignment horizontal="right" vertical="center"/>
    </xf>
    <xf numFmtId="192" fontId="123" fillId="0" borderId="0" xfId="0" applyNumberFormat="1" applyFont="1" applyAlignment="1">
      <alignment horizontal="right" vertical="center"/>
    </xf>
    <xf numFmtId="3" fontId="129" fillId="16" borderId="12" xfId="0" applyNumberFormat="1" applyFont="1" applyFill="1" applyBorder="1" applyAlignment="1">
      <alignment horizontal="right" vertical="center"/>
    </xf>
    <xf numFmtId="0" fontId="130" fillId="0" borderId="0" xfId="0" applyFont="1" applyAlignment="1">
      <alignment horizontal="center" vertical="center"/>
    </xf>
    <xf numFmtId="0" fontId="130" fillId="0" borderId="0" xfId="0" applyFont="1"/>
    <xf numFmtId="169" fontId="129" fillId="0" borderId="0" xfId="0" applyNumberFormat="1" applyFont="1" applyAlignment="1">
      <alignment horizontal="right" vertical="center"/>
    </xf>
    <xf numFmtId="190" fontId="129" fillId="0" borderId="0" xfId="0" applyNumberFormat="1" applyFont="1" applyAlignment="1">
      <alignment horizontal="right" vertical="center"/>
    </xf>
    <xf numFmtId="0" fontId="142" fillId="0" borderId="0" xfId="0" applyFont="1"/>
    <xf numFmtId="169" fontId="131" fillId="0" borderId="0" xfId="0" applyNumberFormat="1" applyFont="1" applyAlignment="1">
      <alignment horizontal="right" vertical="center"/>
    </xf>
    <xf numFmtId="190" fontId="131" fillId="0" borderId="0" xfId="0" applyNumberFormat="1" applyFont="1" applyAlignment="1">
      <alignment horizontal="right" vertical="center"/>
    </xf>
    <xf numFmtId="187" fontId="131" fillId="0" borderId="0" xfId="0" applyNumberFormat="1" applyFont="1" applyAlignment="1">
      <alignment horizontal="right" vertical="center"/>
    </xf>
    <xf numFmtId="187" fontId="129" fillId="0" borderId="0" xfId="0" applyNumberFormat="1" applyFont="1" applyAlignment="1">
      <alignment horizontal="right" vertical="center"/>
    </xf>
    <xf numFmtId="0" fontId="143" fillId="0" borderId="0" xfId="0" applyFont="1"/>
    <xf numFmtId="169" fontId="144" fillId="0" borderId="0" xfId="0" applyNumberFormat="1" applyFont="1" applyAlignment="1">
      <alignment horizontal="right" vertical="center"/>
    </xf>
    <xf numFmtId="190" fontId="144" fillId="0" borderId="0" xfId="0" applyNumberFormat="1" applyFont="1" applyAlignment="1">
      <alignment horizontal="right" vertical="center"/>
    </xf>
    <xf numFmtId="187" fontId="144" fillId="0" borderId="0" xfId="0" applyNumberFormat="1" applyFont="1" applyAlignment="1">
      <alignment horizontal="right" vertical="center"/>
    </xf>
    <xf numFmtId="0" fontId="3" fillId="7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3" fillId="7" borderId="0" xfId="0" applyFont="1" applyFill="1"/>
    <xf numFmtId="0" fontId="6" fillId="9" borderId="0" xfId="0" applyFont="1" applyFill="1" applyAlignment="1">
      <alignment horizontal="center" wrapText="1"/>
    </xf>
    <xf numFmtId="0" fontId="119" fillId="17" borderId="0" xfId="0" applyFont="1" applyFill="1" applyAlignment="1">
      <alignment horizontal="center" vertical="center"/>
    </xf>
    <xf numFmtId="0" fontId="0" fillId="0" borderId="0" xfId="0"/>
    <xf numFmtId="0" fontId="119" fillId="12" borderId="0" xfId="0" applyFont="1" applyFill="1" applyAlignment="1">
      <alignment horizontal="left" vertical="center" indent="1"/>
    </xf>
    <xf numFmtId="0" fontId="124" fillId="14" borderId="0" xfId="0" applyFont="1" applyFill="1" applyAlignment="1">
      <alignment horizontal="left" vertical="center"/>
    </xf>
    <xf numFmtId="0" fontId="116" fillId="11" borderId="0" xfId="0" applyFont="1" applyFill="1" applyAlignment="1">
      <alignment horizontal="left" vertical="center" indent="1"/>
    </xf>
    <xf numFmtId="0" fontId="135" fillId="17" borderId="0" xfId="0" applyFont="1" applyFill="1" applyAlignment="1">
      <alignment horizontal="center" vertical="center"/>
    </xf>
    <xf numFmtId="0" fontId="132" fillId="0" borderId="0" xfId="0" applyFont="1" applyAlignment="1">
      <alignment horizontal="left" vertical="center" indent="1"/>
    </xf>
    <xf numFmtId="190" fontId="136" fillId="12" borderId="0" xfId="0" applyNumberFormat="1" applyFont="1" applyFill="1" applyAlignment="1">
      <alignment horizontal="center" vertical="center"/>
    </xf>
    <xf numFmtId="169" fontId="136" fillId="12" borderId="0" xfId="0" applyNumberFormat="1" applyFont="1" applyFill="1" applyAlignment="1">
      <alignment horizontal="center" vertical="center"/>
    </xf>
    <xf numFmtId="0" fontId="118" fillId="0" borderId="0" xfId="0" applyFont="1" applyAlignment="1">
      <alignment horizontal="left" vertical="center" indent="1"/>
    </xf>
    <xf numFmtId="0" fontId="117" fillId="12" borderId="0" xfId="0" applyFont="1" applyFill="1" applyAlignment="1">
      <alignment horizontal="left" vertical="center" indent="1"/>
    </xf>
    <xf numFmtId="0" fontId="122" fillId="13" borderId="0" xfId="0" applyFont="1" applyFill="1" applyAlignment="1">
      <alignment horizontal="left" vertical="center"/>
    </xf>
    <xf numFmtId="0" fontId="139" fillId="11" borderId="0" xfId="0" applyFont="1" applyFill="1" applyAlignment="1">
      <alignment horizontal="left" vertical="center" indent="1"/>
    </xf>
  </cellXfs>
  <cellStyles count="8">
    <cellStyle name="Comma 2" xfId="7" xr:uid="{00000000-0005-0000-0000-000007000000}"/>
    <cellStyle name="Currency 2" xfId="5" xr:uid="{00000000-0005-0000-0000-000005000000}"/>
    <cellStyle name="Hyperlink 2 2" xfId="3" xr:uid="{00000000-0005-0000-0000-000003000000}"/>
    <cellStyle name="Milliers" xfId="1" builtinId="3"/>
    <cellStyle name="Normal" xfId="0" builtinId="0"/>
    <cellStyle name="Normal 2" xfId="2" xr:uid="{00000000-0005-0000-0000-000002000000}"/>
    <cellStyle name="Normal 2 2" xfId="4" xr:uid="{00000000-0005-0000-0000-000004000000}"/>
    <cellStyle name="Percent 2" xfId="6" xr:uid="{00000000-0005-0000-0000-000006000000}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c:rich>
      </c:tx>
      <c:layout>
        <c:manualLayout>
          <c:xMode val="edge"/>
          <c:yMode val="edge"/>
          <c:x val="0.23700261672234271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RATIOS!$B$102</c:f>
              <c:strCache>
                <c:ptCount val="1"/>
                <c:pt idx="0">
                  <c:v>Free Cash Flow ($M)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RATIOS!$C$101:$H$101</c:f>
              <c:strCache>
                <c:ptCount val="6"/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 (LTM)</c:v>
                </c:pt>
              </c:strCache>
            </c:strRef>
          </c:cat>
          <c:val>
            <c:numRef>
              <c:f>RATIOS!$C$102:$H$102</c:f>
              <c:numCache>
                <c:formatCode>General</c:formatCode>
                <c:ptCount val="6"/>
                <c:pt idx="2" formatCode="&quot;€&quot;#\ ##0;\(&quot;€&quot;#\ ##0\);\-">
                  <c:v>93685</c:v>
                </c:pt>
                <c:pt idx="3" formatCode="&quot;€&quot;#\ ##0;\(&quot;€&quot;#\ ##0\);\-">
                  <c:v>81905</c:v>
                </c:pt>
                <c:pt idx="4" formatCode="&quot;€&quot;#\ ##0;\(&quot;€&quot;#\ ##0\);\-">
                  <c:v>84407</c:v>
                </c:pt>
                <c:pt idx="5" formatCode="&quot;€&quot;#\ ##0;\(&quot;€&quot;#\ ##0\);\-">
                  <c:v>96624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1E-40E9-8D7E-7FD1FC272369}"/>
            </c:ext>
          </c:extLst>
        </c:ser>
        <c:ser>
          <c:idx val="1"/>
          <c:order val="1"/>
          <c:tx>
            <c:strRef>
              <c:f>RATIOS!$B$103</c:f>
              <c:strCache>
                <c:ptCount val="1"/>
                <c:pt idx="0">
                  <c:v>CapEx ($M)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RATIOS!$C$101:$H$101</c:f>
              <c:strCache>
                <c:ptCount val="6"/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 (LTM)</c:v>
                </c:pt>
              </c:strCache>
            </c:strRef>
          </c:cat>
          <c:val>
            <c:numRef>
              <c:f>RATIOS!$C$103:$H$103</c:f>
              <c:numCache>
                <c:formatCode>General</c:formatCode>
                <c:ptCount val="6"/>
                <c:pt idx="2">
                  <c:v>10708</c:v>
                </c:pt>
                <c:pt idx="3">
                  <c:v>10959</c:v>
                </c:pt>
                <c:pt idx="4">
                  <c:v>9447</c:v>
                </c:pt>
                <c:pt idx="5">
                  <c:v>12715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1E-40E9-8D7E-7FD1FC272369}"/>
            </c:ext>
          </c:extLst>
        </c:ser>
        <c:ser>
          <c:idx val="2"/>
          <c:order val="2"/>
          <c:tx>
            <c:strRef>
              <c:f>RATIOS!$B$104</c:f>
              <c:strCache>
                <c:ptCount val="1"/>
                <c:pt idx="0">
                  <c:v>Cash from Operations ($M)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RATIOS!$C$101:$H$101</c:f>
              <c:strCache>
                <c:ptCount val="6"/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 (LTM)</c:v>
                </c:pt>
              </c:strCache>
            </c:strRef>
          </c:cat>
          <c:val>
            <c:numRef>
              <c:f>RATIOS!$C$104:$H$104</c:f>
              <c:numCache>
                <c:formatCode>General</c:formatCode>
                <c:ptCount val="6"/>
                <c:pt idx="2" formatCode="#,##0">
                  <c:v>104393</c:v>
                </c:pt>
                <c:pt idx="3" formatCode="#,##0">
                  <c:v>92864</c:v>
                </c:pt>
                <c:pt idx="4" formatCode="#,##0">
                  <c:v>93854</c:v>
                </c:pt>
                <c:pt idx="5" formatCode="#,##0">
                  <c:v>109339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1E-40E9-8D7E-7FD1FC272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964032"/>
        <c:axId val="1926950112"/>
      </c:lineChart>
      <c:catAx>
        <c:axId val="192696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6950112"/>
        <c:crosses val="autoZero"/>
        <c:auto val="1"/>
        <c:lblAlgn val="ctr"/>
        <c:lblOffset val="100"/>
        <c:noMultiLvlLbl val="0"/>
      </c:catAx>
      <c:valAx>
        <c:axId val="192695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69640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RATIOS!$B$108</c:f>
              <c:strCache>
                <c:ptCount val="1"/>
                <c:pt idx="0">
                  <c:v>Return on Equity (ROE)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RATIOS!$C$107:$H$107</c:f>
              <c:strCache>
                <c:ptCount val="6"/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 (LTM)</c:v>
                </c:pt>
              </c:strCache>
            </c:strRef>
          </c:cat>
          <c:val>
            <c:numRef>
              <c:f>RATIOS!$C$108:$H$108</c:f>
              <c:numCache>
                <c:formatCode>General</c:formatCode>
                <c:ptCount val="6"/>
                <c:pt idx="2" formatCode="0.0%">
                  <c:v>1.4679917774072935</c:v>
                </c:pt>
                <c:pt idx="3" formatCode="0.0%">
                  <c:v>1.188836653169923</c:v>
                </c:pt>
                <c:pt idx="4" formatCode="0.0%">
                  <c:v>1.3231808115779295</c:v>
                </c:pt>
                <c:pt idx="5" formatCode="0.0%">
                  <c:v>1.2919524866337133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A-46E9-88F1-217C1080E9BE}"/>
            </c:ext>
          </c:extLst>
        </c:ser>
        <c:ser>
          <c:idx val="1"/>
          <c:order val="1"/>
          <c:tx>
            <c:strRef>
              <c:f>RATIOS!$B$109</c:f>
              <c:strCache>
                <c:ptCount val="1"/>
                <c:pt idx="0">
                  <c:v>Return on Assets (ROA)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RATIOS!$C$107:$H$107</c:f>
              <c:strCache>
                <c:ptCount val="6"/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 (LTM)</c:v>
                </c:pt>
              </c:strCache>
            </c:strRef>
          </c:cat>
          <c:val>
            <c:numRef>
              <c:f>RATIOS!$C$109:$H$109</c:f>
              <c:numCache>
                <c:formatCode>General</c:formatCode>
                <c:ptCount val="6"/>
                <c:pt idx="2" formatCode="0.0%">
                  <c:v>0.56768192686621344</c:v>
                </c:pt>
                <c:pt idx="3" formatCode="0.0%">
                  <c:v>0.50948263312661946</c:v>
                </c:pt>
                <c:pt idx="4" formatCode="0.0%">
                  <c:v>0.45272155849976786</c:v>
                </c:pt>
                <c:pt idx="5" formatCode="0.0%">
                  <c:v>0.48745640786537703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2A-46E9-88F1-217C1080E9BE}"/>
            </c:ext>
          </c:extLst>
        </c:ser>
        <c:ser>
          <c:idx val="2"/>
          <c:order val="2"/>
          <c:tx>
            <c:strRef>
              <c:f>RATIOS!$B$110</c:f>
              <c:strCache>
                <c:ptCount val="1"/>
                <c:pt idx="0">
                  <c:v>Return on Invested Capital (ROIC)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RATIOS!$C$107:$H$107</c:f>
              <c:strCache>
                <c:ptCount val="6"/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 (LTM)</c:v>
                </c:pt>
              </c:strCache>
            </c:strRef>
          </c:cat>
          <c:val>
            <c:numRef>
              <c:f>RATIOS!$C$110:$H$110</c:f>
              <c:numCache>
                <c:formatCode>General</c:formatCode>
                <c:ptCount val="6"/>
                <c:pt idx="2" formatCode="0.0%">
                  <c:v>1.4694332238066719</c:v>
                </c:pt>
                <c:pt idx="3" formatCode="0.0%">
                  <c:v>1.1909629283404441</c:v>
                </c:pt>
                <c:pt idx="4" formatCode="0.0%">
                  <c:v>1.3231865210068308</c:v>
                </c:pt>
                <c:pt idx="5" formatCode="0.0%">
                  <c:v>1.2919587107838193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2A-46E9-88F1-217C1080E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670816"/>
        <c:axId val="1919671296"/>
      </c:lineChart>
      <c:catAx>
        <c:axId val="191967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671296"/>
        <c:crosses val="autoZero"/>
        <c:auto val="1"/>
        <c:lblAlgn val="ctr"/>
        <c:lblOffset val="100"/>
        <c:noMultiLvlLbl val="0"/>
      </c:catAx>
      <c:valAx>
        <c:axId val="191967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6708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DCF!$B$118</c:f>
              <c:strCache>
                <c:ptCount val="1"/>
                <c:pt idx="0">
                  <c:v>UFCF</c:v>
                </c:pt>
              </c:strCache>
            </c:strRef>
          </c:tx>
          <c:spPr>
            <a:solidFill>
              <a:srgbClr val="1B3E70"/>
            </a:solidFill>
            <a:ln>
              <a:solidFill>
                <a:srgbClr val="1B3E70"/>
              </a:solidFill>
              <a:prstDash val="solid"/>
            </a:ln>
          </c:spPr>
          <c:invertIfNegative val="0"/>
          <c:cat>
            <c:strRef>
              <c:f>DCF!$C$117:$G$117</c:f>
              <c:strCache>
                <c:ptCount val="5"/>
                <c:pt idx="0">
                  <c:v>2026F</c:v>
                </c:pt>
                <c:pt idx="1">
                  <c:v>2027F</c:v>
                </c:pt>
                <c:pt idx="2">
                  <c:v>2028F</c:v>
                </c:pt>
                <c:pt idx="3">
                  <c:v>2029F</c:v>
                </c:pt>
                <c:pt idx="4">
                  <c:v>2030F</c:v>
                </c:pt>
              </c:strCache>
            </c:strRef>
          </c:cat>
          <c:val>
            <c:numRef>
              <c:f>DCF!$C$118:$G$118</c:f>
              <c:numCache>
                <c:formatCode>_(#\ ##0_);\(#\ ##0\);_("–"_);_(@_)</c:formatCode>
                <c:ptCount val="5"/>
                <c:pt idx="0">
                  <c:v>98291.509228696013</c:v>
                </c:pt>
                <c:pt idx="1">
                  <c:v>100141.69792260004</c:v>
                </c:pt>
                <c:pt idx="2">
                  <c:v>102026.71361458262</c:v>
                </c:pt>
                <c:pt idx="3">
                  <c:v>103947.21187010001</c:v>
                </c:pt>
                <c:pt idx="4">
                  <c:v>105903.86059463458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6-46AC-B3CA-BDBDADBF7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3977584"/>
        <c:axId val="1373965104"/>
      </c:barChart>
      <c:catAx>
        <c:axId val="13739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4D4D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373965104"/>
        <c:crosses val="autoZero"/>
        <c:auto val="1"/>
        <c:lblAlgn val="ctr"/>
        <c:lblOffset val="100"/>
        <c:noMultiLvlLbl val="0"/>
      </c:catAx>
      <c:valAx>
        <c:axId val="137396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4D4D4"/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373977584"/>
        <c:crosses val="autoZero"/>
        <c:crossBetween val="between"/>
        <c:majorUnit val="30000"/>
      </c:valAx>
    </c:plotArea>
    <c:plotVisOnly val="1"/>
    <c:dispBlanksAs val="gap"/>
    <c:showDLblsOverMax val="1"/>
  </c:chart>
  <c:spPr>
    <a:solidFill>
      <a:srgbClr val="FFFFFF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DCF!$L$97</c:f>
              <c:strCache>
                <c:ptCount val="1"/>
                <c:pt idx="0">
                  <c:v>g=0%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DCF!$M$96:$Q$96</c:f>
              <c:strCache>
                <c:ptCount val="5"/>
                <c:pt idx="0">
                  <c:v>8,3%</c:v>
                </c:pt>
                <c:pt idx="1">
                  <c:v>9,3%</c:v>
                </c:pt>
                <c:pt idx="2">
                  <c:v>10,3%</c:v>
                </c:pt>
                <c:pt idx="3">
                  <c:v>11,3%</c:v>
                </c:pt>
                <c:pt idx="4">
                  <c:v>12,3%</c:v>
                </c:pt>
              </c:strCache>
            </c:strRef>
          </c:cat>
          <c:val>
            <c:numRef>
              <c:f>DCF!$M$97:$Q$97</c:f>
              <c:numCache>
                <c:formatCode>General</c:formatCode>
                <c:ptCount val="5"/>
                <c:pt idx="0">
                  <c:v>64.8920685344833</c:v>
                </c:pt>
                <c:pt idx="1">
                  <c:v>56.199348705791536</c:v>
                </c:pt>
                <c:pt idx="2" formatCode="&quot;€&quot;#\ ##0">
                  <c:v>49.314380609741562</c:v>
                </c:pt>
                <c:pt idx="3" formatCode="&quot;€&quot;#\ ##0">
                  <c:v>43.749194413465027</c:v>
                </c:pt>
                <c:pt idx="4" formatCode="&quot;€&quot;#\ ##0">
                  <c:v>39.175420229627314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BA-4781-AB40-84F6C58581C2}"/>
            </c:ext>
          </c:extLst>
        </c:ser>
        <c:ser>
          <c:idx val="1"/>
          <c:order val="1"/>
          <c:tx>
            <c:strRef>
              <c:f>DCF!$L$98</c:f>
              <c:strCache>
                <c:ptCount val="1"/>
                <c:pt idx="0">
                  <c:v>g=1%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DCF!$M$96:$Q$96</c:f>
              <c:strCache>
                <c:ptCount val="5"/>
                <c:pt idx="0">
                  <c:v>8,3%</c:v>
                </c:pt>
                <c:pt idx="1">
                  <c:v>9,3%</c:v>
                </c:pt>
                <c:pt idx="2">
                  <c:v>10,3%</c:v>
                </c:pt>
                <c:pt idx="3">
                  <c:v>11,3%</c:v>
                </c:pt>
                <c:pt idx="4">
                  <c:v>12,3%</c:v>
                </c:pt>
              </c:strCache>
            </c:strRef>
          </c:cat>
          <c:val>
            <c:numRef>
              <c:f>DCF!$M$98:$Q$98</c:f>
              <c:numCache>
                <c:formatCode>"€"#\ ##0</c:formatCode>
                <c:ptCount val="5"/>
                <c:pt idx="0">
                  <c:v>73.645639879924843</c:v>
                </c:pt>
                <c:pt idx="1">
                  <c:v>62.814751929561361</c:v>
                </c:pt>
                <c:pt idx="2">
                  <c:v>54.449803819590251</c:v>
                </c:pt>
                <c:pt idx="3">
                  <c:v>47.822774925682097</c:v>
                </c:pt>
                <c:pt idx="4">
                  <c:v>42.464686459097159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BA-4781-AB40-84F6C58581C2}"/>
            </c:ext>
          </c:extLst>
        </c:ser>
        <c:ser>
          <c:idx val="2"/>
          <c:order val="2"/>
          <c:tx>
            <c:strRef>
              <c:f>DCF!$L$99</c:f>
              <c:strCache>
                <c:ptCount val="1"/>
                <c:pt idx="0">
                  <c:v>g=2%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DCF!$M$96:$Q$96</c:f>
              <c:strCache>
                <c:ptCount val="5"/>
                <c:pt idx="0">
                  <c:v>8,3%</c:v>
                </c:pt>
                <c:pt idx="1">
                  <c:v>9,3%</c:v>
                </c:pt>
                <c:pt idx="2">
                  <c:v>10,3%</c:v>
                </c:pt>
                <c:pt idx="3">
                  <c:v>11,3%</c:v>
                </c:pt>
                <c:pt idx="4">
                  <c:v>12,3%</c:v>
                </c:pt>
              </c:strCache>
            </c:strRef>
          </c:cat>
          <c:val>
            <c:numRef>
              <c:f>DCF!$M$99:$Q$99</c:f>
              <c:numCache>
                <c:formatCode>"€"#\ ##0</c:formatCode>
                <c:ptCount val="5"/>
                <c:pt idx="0">
                  <c:v>85.195260439816948</c:v>
                </c:pt>
                <c:pt idx="1">
                  <c:v>71.252232496966613</c:v>
                </c:pt>
                <c:pt idx="2">
                  <c:v>60.828462333777175</c:v>
                </c:pt>
                <c:pt idx="3">
                  <c:v>52.776046798310574</c:v>
                </c:pt>
                <c:pt idx="4">
                  <c:v>46.395048601249769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BA-4781-AB40-84F6C58581C2}"/>
            </c:ext>
          </c:extLst>
        </c:ser>
        <c:ser>
          <c:idx val="3"/>
          <c:order val="3"/>
          <c:tx>
            <c:strRef>
              <c:f>DCF!$L$100</c:f>
              <c:strCache>
                <c:ptCount val="1"/>
                <c:pt idx="0">
                  <c:v>g=3% (Base)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DCF!$M$96:$Q$96</c:f>
              <c:strCache>
                <c:ptCount val="5"/>
                <c:pt idx="0">
                  <c:v>8,3%</c:v>
                </c:pt>
                <c:pt idx="1">
                  <c:v>9,3%</c:v>
                </c:pt>
                <c:pt idx="2">
                  <c:v>10,3%</c:v>
                </c:pt>
                <c:pt idx="3">
                  <c:v>11,3%</c:v>
                </c:pt>
                <c:pt idx="4">
                  <c:v>12,3%</c:v>
                </c:pt>
              </c:strCache>
            </c:strRef>
          </c:cat>
          <c:val>
            <c:numRef>
              <c:f>DCF!$M$100:$Q$100</c:f>
              <c:numCache>
                <c:formatCode>"€"#\ ##0</c:formatCode>
                <c:ptCount val="5"/>
                <c:pt idx="0">
                  <c:v>101.13521507588401</c:v>
                </c:pt>
                <c:pt idx="1">
                  <c:v>82.384797159930258</c:v>
                </c:pt>
                <c:pt idx="2">
                  <c:v>68.963991709550683</c:v>
                </c:pt>
                <c:pt idx="3">
                  <c:v>58.928456933239858</c:v>
                </c:pt>
                <c:pt idx="4">
                  <c:v>51.174174038830145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BA-4781-AB40-84F6C58581C2}"/>
            </c:ext>
          </c:extLst>
        </c:ser>
        <c:ser>
          <c:idx val="4"/>
          <c:order val="4"/>
          <c:tx>
            <c:strRef>
              <c:f>DCF!$L$101</c:f>
              <c:strCache>
                <c:ptCount val="1"/>
                <c:pt idx="0">
                  <c:v>g=4%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DCF!$M$96:$Q$96</c:f>
              <c:strCache>
                <c:ptCount val="5"/>
                <c:pt idx="0">
                  <c:v>8,3%</c:v>
                </c:pt>
                <c:pt idx="1">
                  <c:v>9,3%</c:v>
                </c:pt>
                <c:pt idx="2">
                  <c:v>10,3%</c:v>
                </c:pt>
                <c:pt idx="3">
                  <c:v>11,3%</c:v>
                </c:pt>
                <c:pt idx="4">
                  <c:v>12,3%</c:v>
                </c:pt>
              </c:strCache>
            </c:strRef>
          </c:cat>
          <c:val>
            <c:numRef>
              <c:f>DCF!$M$101:$Q$101</c:f>
              <c:numCache>
                <c:formatCode>"€"#\ ##0</c:formatCode>
                <c:ptCount val="5"/>
                <c:pt idx="0">
                  <c:v>124.55628294302169</c:v>
                </c:pt>
                <c:pt idx="1">
                  <c:v>97.749161278259464</c:v>
                </c:pt>
                <c:pt idx="2">
                  <c:v>79.698156501955211</c:v>
                </c:pt>
                <c:pt idx="3">
                  <c:v>66.775422446944589</c:v>
                </c:pt>
                <c:pt idx="4">
                  <c:v>57.110278604531082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BA-4781-AB40-84F6C585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12480"/>
        <c:axId val="211413440"/>
      </c:lineChart>
      <c:catAx>
        <c:axId val="21141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13440"/>
        <c:crosses val="autoZero"/>
        <c:auto val="1"/>
        <c:lblAlgn val="ctr"/>
        <c:lblOffset val="100"/>
        <c:noMultiLvlLbl val="0"/>
      </c:catAx>
      <c:valAx>
        <c:axId val="21141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1248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DCF!$C$120:$G$120</c:f>
              <c:strCache>
                <c:ptCount val="5"/>
                <c:pt idx="0">
                  <c:v>2026F</c:v>
                </c:pt>
                <c:pt idx="1">
                  <c:v>2027F</c:v>
                </c:pt>
                <c:pt idx="2">
                  <c:v>2028F</c:v>
                </c:pt>
                <c:pt idx="3">
                  <c:v>2029F</c:v>
                </c:pt>
                <c:pt idx="4">
                  <c:v>2030F</c:v>
                </c:pt>
              </c:strCache>
            </c:strRef>
          </c:cat>
          <c:val>
            <c:numRef>
              <c:f>DCF!$C$121:$G$121</c:f>
              <c:numCache>
                <c:formatCode>_(#\ ##0_);\(#\ ##0\);_("–"_);_(@_)</c:formatCode>
                <c:ptCount val="5"/>
                <c:pt idx="0">
                  <c:v>423994.60010529775</c:v>
                </c:pt>
                <c:pt idx="1">
                  <c:v>431975.65586023522</c:v>
                </c:pt>
                <c:pt idx="2">
                  <c:v>440106.94289393805</c:v>
                </c:pt>
                <c:pt idx="3">
                  <c:v>448391.28908254346</c:v>
                </c:pt>
                <c:pt idx="4">
                  <c:v>456831.57553267118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6-4D86-B684-6074E1B1F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42720"/>
        <c:axId val="211471040"/>
      </c:lineChart>
      <c:catAx>
        <c:axId val="21144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71040"/>
        <c:crosses val="autoZero"/>
        <c:auto val="1"/>
        <c:lblAlgn val="ctr"/>
        <c:lblOffset val="100"/>
        <c:noMultiLvlLbl val="0"/>
      </c:catAx>
      <c:valAx>
        <c:axId val="21147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\ ##0_);\(#\ ##0\);_(&quot;–&quot;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4272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COMPARABLES!$B$48</c:f>
              <c:strCache>
                <c:ptCount val="1"/>
                <c:pt idx="0">
                  <c:v>Microsoft Corporation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COMPARABLES!$C$48:$D$48</c:f>
              <c:numCache>
                <c:formatCode>0.00</c:formatCode>
                <c:ptCount val="2"/>
                <c:pt idx="0">
                  <c:v>15.99972355198441</c:v>
                </c:pt>
                <c:pt idx="1">
                  <c:v>9.180120339950161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B-4D8F-9FB5-9941EB1BE5B4}"/>
            </c:ext>
          </c:extLst>
        </c:ser>
        <c:ser>
          <c:idx val="1"/>
          <c:order val="1"/>
          <c:tx>
            <c:strRef>
              <c:f>COMPARABLES!$B$49</c:f>
              <c:strCache>
                <c:ptCount val="1"/>
                <c:pt idx="0">
                  <c:v>Alphabet Inc.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COMPARABLES!$C$49:$D$49</c:f>
              <c:numCache>
                <c:formatCode>0.00</c:formatCode>
                <c:ptCount val="2"/>
                <c:pt idx="0">
                  <c:v>25.085937134280861</c:v>
                </c:pt>
                <c:pt idx="1">
                  <c:v>9.3518971988600814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B-4D8F-9FB5-9941EB1BE5B4}"/>
            </c:ext>
          </c:extLst>
        </c:ser>
        <c:ser>
          <c:idx val="2"/>
          <c:order val="2"/>
          <c:tx>
            <c:strRef>
              <c:f>COMPARABLES!$B$50</c:f>
              <c:strCache>
                <c:ptCount val="1"/>
                <c:pt idx="0">
                  <c:v>Meta Platforms, Inc.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COMPARABLES!$C$50:$D$50</c:f>
              <c:numCache>
                <c:formatCode>0.00</c:formatCode>
                <c:ptCount val="2"/>
                <c:pt idx="0">
                  <c:v>15.634557865190596</c:v>
                </c:pt>
                <c:pt idx="1">
                  <c:v>7.9268949474040387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5B-4D8F-9FB5-9941EB1BE5B4}"/>
            </c:ext>
          </c:extLst>
        </c:ser>
        <c:ser>
          <c:idx val="3"/>
          <c:order val="3"/>
          <c:tx>
            <c:strRef>
              <c:f>COMPARABLES!$B$51</c:f>
              <c:strCache>
                <c:ptCount val="1"/>
                <c:pt idx="0">
                  <c:v>Sony Group Corporation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COMPARABLES!$C$51:$D$51</c:f>
              <c:numCache>
                <c:formatCode>0.00</c:formatCode>
                <c:ptCount val="2"/>
                <c:pt idx="0">
                  <c:v>2.6613094402832247E-2</c:v>
                </c:pt>
                <c:pt idx="1">
                  <c:v>4.1142723475746613E-3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5B-4D8F-9FB5-9941EB1BE5B4}"/>
            </c:ext>
          </c:extLst>
        </c:ser>
        <c:ser>
          <c:idx val="4"/>
          <c:order val="4"/>
          <c:tx>
            <c:strRef>
              <c:f>COMPARABLES!$B$52</c:f>
              <c:strCache>
                <c:ptCount val="1"/>
                <c:pt idx="0">
                  <c:v>SMSNG.KS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COMPARABLES!$C$52:$D$52</c:f>
              <c:numCache>
                <c:formatCode>0.00</c:formatCode>
                <c:ptCount val="2"/>
                <c:pt idx="0">
                  <c:v>10.649799110818376</c:v>
                </c:pt>
                <c:pt idx="1">
                  <c:v>0.80364856343173474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5B-4D8F-9FB5-9941EB1BE5B4}"/>
            </c:ext>
          </c:extLst>
        </c:ser>
        <c:ser>
          <c:idx val="5"/>
          <c:order val="5"/>
          <c:tx>
            <c:strRef>
              <c:f>COMPARABLES!$B$53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COMPARABLES!$C$53:$D$53</c:f>
              <c:numCache>
                <c:formatCode>0.00</c:formatCode>
                <c:ptCount val="2"/>
                <c:pt idx="0">
                  <c:v>13.479326151335414</c:v>
                </c:pt>
                <c:pt idx="1">
                  <c:v>5.4533350643987184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5B-4D8F-9FB5-9941EB1BE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4804656"/>
        <c:axId val="2064801296"/>
      </c:barChart>
      <c:catAx>
        <c:axId val="206480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1296"/>
        <c:crosses val="autoZero"/>
        <c:auto val="1"/>
        <c:lblAlgn val="ctr"/>
        <c:lblOffset val="100"/>
        <c:noMultiLvlLbl val="0"/>
      </c:catAx>
      <c:valAx>
        <c:axId val="2064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46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COMPARABLES!$H$55</c:f>
              <c:strCache>
                <c:ptCount val="1"/>
                <c:pt idx="0">
                  <c:v>EV/EBITDA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COMPARABLES!$I$54:$K$54</c:f>
              <c:strCache>
                <c:ptCount val="3"/>
                <c:pt idx="0">
                  <c:v>Low ($)</c:v>
                </c:pt>
                <c:pt idx="1">
                  <c:v>High ($)</c:v>
                </c:pt>
                <c:pt idx="2">
                  <c:v>Current ($)</c:v>
                </c:pt>
              </c:strCache>
            </c:strRef>
          </c:cat>
          <c:val>
            <c:numRef>
              <c:f>COMPARABLES!$I$55:$K$55</c:f>
              <c:numCache>
                <c:formatCode>General</c:formatCode>
                <c:ptCount val="3"/>
                <c:pt idx="0">
                  <c:v>-18.101623174197105</c:v>
                </c:pt>
                <c:pt idx="1">
                  <c:v>227.93941158148755</c:v>
                </c:pt>
                <c:pt idx="2" formatCode="#,##0">
                  <c:v>261.3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9-4D83-9060-1716FB8B89B6}"/>
            </c:ext>
          </c:extLst>
        </c:ser>
        <c:ser>
          <c:idx val="1"/>
          <c:order val="1"/>
          <c:tx>
            <c:strRef>
              <c:f>COMPARABLES!$H$56</c:f>
              <c:strCache>
                <c:ptCount val="1"/>
                <c:pt idx="0">
                  <c:v>EV/Revenue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COMPARABLES!$I$54:$K$54</c:f>
              <c:strCache>
                <c:ptCount val="3"/>
                <c:pt idx="0">
                  <c:v>Low ($)</c:v>
                </c:pt>
                <c:pt idx="1">
                  <c:v>High ($)</c:v>
                </c:pt>
                <c:pt idx="2">
                  <c:v>Current ($)</c:v>
                </c:pt>
              </c:strCache>
            </c:strRef>
          </c:cat>
          <c:val>
            <c:numRef>
              <c:f>COMPARABLES!$I$56:$K$56</c:f>
              <c:numCache>
                <c:formatCode>General</c:formatCode>
                <c:ptCount val="3"/>
                <c:pt idx="0">
                  <c:v>-18.101623174197105</c:v>
                </c:pt>
                <c:pt idx="1">
                  <c:v>227.93941158148755</c:v>
                </c:pt>
                <c:pt idx="2" formatCode="#,##0">
                  <c:v>261.3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89-4D83-9060-1716FB8B89B6}"/>
            </c:ext>
          </c:extLst>
        </c:ser>
        <c:ser>
          <c:idx val="2"/>
          <c:order val="2"/>
          <c:tx>
            <c:strRef>
              <c:f>COMPARABLES!$H$57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COMPARABLES!$I$54:$K$54</c:f>
              <c:strCache>
                <c:ptCount val="3"/>
                <c:pt idx="0">
                  <c:v>Low ($)</c:v>
                </c:pt>
                <c:pt idx="1">
                  <c:v>High ($)</c:v>
                </c:pt>
                <c:pt idx="2">
                  <c:v>Current ($)</c:v>
                </c:pt>
              </c:strCache>
            </c:strRef>
          </c:cat>
          <c:val>
            <c:numRef>
              <c:f>COMPARABLES!$I$57:$K$57</c:f>
              <c:numCache>
                <c:formatCode>General</c:formatCode>
                <c:ptCount val="3"/>
                <c:pt idx="0">
                  <c:v>-18.101623174197105</c:v>
                </c:pt>
                <c:pt idx="1">
                  <c:v>227.93941158148755</c:v>
                </c:pt>
                <c:pt idx="2" formatCode="#,##0">
                  <c:v>261.3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89-4D83-9060-1716FB8B8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802736"/>
        <c:axId val="2064819536"/>
      </c:barChart>
      <c:catAx>
        <c:axId val="206480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19536"/>
        <c:crosses val="autoZero"/>
        <c:auto val="1"/>
        <c:lblAlgn val="ctr"/>
        <c:lblOffset val="100"/>
        <c:noMultiLvlLbl val="0"/>
      </c:catAx>
      <c:valAx>
        <c:axId val="206481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273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SCENARIOS!$B$58</c:f>
              <c:strCache>
                <c:ptCount val="1"/>
                <c:pt idx="0">
                  <c:v>Pessimistic</c:v>
                </c:pt>
              </c:strCache>
            </c:strRef>
          </c:tx>
          <c:spPr>
            <a:ln w="28575" cap="rnd">
              <a:solidFill>
                <a:srgbClr val="EB610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SCENARIOS!$C$57:$G$57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SCENARIOS!$C$58:$G$58</c:f>
              <c:numCache>
                <c:formatCode>#,##0</c:formatCode>
                <c:ptCount val="5"/>
                <c:pt idx="0" formatCode="_(#\ ##0_);\(#\ ##0\);_(&quot;–&quot;_);_(@_)">
                  <c:v>442901.47409055458</c:v>
                </c:pt>
                <c:pt idx="1">
                  <c:v>471360.16049458308</c:v>
                </c:pt>
                <c:pt idx="2" formatCode="_(#\ ##0_);\(#\ ##0\);_(&quot;–&quot;_);_(@_)">
                  <c:v>501647.46314674185</c:v>
                </c:pt>
                <c:pt idx="3" formatCode="_(#\ ##0_);\(#\ ##0\);_(&quot;–&quot;_);_(@_)">
                  <c:v>533880.87999951735</c:v>
                </c:pt>
                <c:pt idx="4" formatCode="_(#\ ##0_);\(#\ ##0\);_(&quot;–&quot;_);_(@_)">
                  <c:v>568185.45885017747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27-48F9-8EDA-733BBBF53F8D}"/>
            </c:ext>
          </c:extLst>
        </c:ser>
        <c:ser>
          <c:idx val="1"/>
          <c:order val="1"/>
          <c:tx>
            <c:strRef>
              <c:f>SCENARIOS!$B$59</c:f>
              <c:strCache>
                <c:ptCount val="1"/>
                <c:pt idx="0">
                  <c:v>Realistic</c:v>
                </c:pt>
              </c:strCache>
            </c:strRef>
          </c:tx>
          <c:spPr>
            <a:ln w="28575" cap="rnd">
              <a:solidFill>
                <a:srgbClr val="3271D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SCENARIOS!$C$57:$G$57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SCENARIOS!$C$59:$G$59</c:f>
              <c:numCache>
                <c:formatCode>#,##0</c:formatCode>
                <c:ptCount val="5"/>
                <c:pt idx="0" formatCode="_(#\ ##0_);\(#\ ##0\);_(&quot;–&quot;_);_(@_)">
                  <c:v>442901.47409055458</c:v>
                </c:pt>
                <c:pt idx="1">
                  <c:v>471360.16049458308</c:v>
                </c:pt>
                <c:pt idx="2" formatCode="_(#\ ##0_);\(#\ ##0\);_(&quot;–&quot;_);_(@_)">
                  <c:v>501647.46314674185</c:v>
                </c:pt>
                <c:pt idx="3" formatCode="_(#\ ##0_);\(#\ ##0\);_(&quot;–&quot;_);_(@_)">
                  <c:v>533880.87999951735</c:v>
                </c:pt>
                <c:pt idx="4" formatCode="_(#\ ##0_);\(#\ ##0\);_(&quot;–&quot;_);_(@_)">
                  <c:v>568185.45885017747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27-48F9-8EDA-733BBBF53F8D}"/>
            </c:ext>
          </c:extLst>
        </c:ser>
        <c:ser>
          <c:idx val="2"/>
          <c:order val="2"/>
          <c:tx>
            <c:strRef>
              <c:f>SCENARIOS!$B$60</c:f>
              <c:strCache>
                <c:ptCount val="1"/>
                <c:pt idx="0">
                  <c:v>Optimistic</c:v>
                </c:pt>
              </c:strCache>
            </c:strRef>
          </c:tx>
          <c:spPr>
            <a:ln w="28575" cap="rnd">
              <a:solidFill>
                <a:srgbClr val="1B3E7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SCENARIOS!$C$57:$G$57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SCENARIOS!$C$60:$G$60</c:f>
              <c:numCache>
                <c:formatCode>#,##0</c:formatCode>
                <c:ptCount val="5"/>
                <c:pt idx="0" formatCode="_(#\ ##0_);\(#\ ##0\);_(&quot;–&quot;_);_(@_)">
                  <c:v>442901.47409055458</c:v>
                </c:pt>
                <c:pt idx="1">
                  <c:v>471360.16049458308</c:v>
                </c:pt>
                <c:pt idx="2" formatCode="_(#\ ##0_);\(#\ ##0\);_(&quot;–&quot;_);_(@_)">
                  <c:v>501647.46314674185</c:v>
                </c:pt>
                <c:pt idx="3" formatCode="_(#\ ##0_);\(#\ ##0\);_(&quot;–&quot;_);_(@_)">
                  <c:v>533880.87999951735</c:v>
                </c:pt>
                <c:pt idx="4" formatCode="_(#\ ##0_);\(#\ ##0\);_(&quot;–&quot;_);_(@_)">
                  <c:v>568185.45885017747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27-48F9-8EDA-733BBBF53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618623"/>
        <c:axId val="766619103"/>
      </c:lineChart>
      <c:catAx>
        <c:axId val="76661862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4D4D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766619103"/>
        <c:crosses val="autoZero"/>
        <c:auto val="1"/>
        <c:lblAlgn val="ctr"/>
        <c:lblOffset val="100"/>
        <c:noMultiLvlLbl val="0"/>
      </c:catAx>
      <c:valAx>
        <c:axId val="7666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4D4D4"/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766618623"/>
        <c:crosses val="autoZero"/>
        <c:crossBetween val="between"/>
        <c:majorUnit val="100000"/>
      </c:valAx>
    </c:plotArea>
    <c:legend>
      <c:legendPos val="b"/>
      <c:overlay val="0"/>
      <c:spPr>
        <a:solidFill>
          <a:srgbClr val="FFFFFF"/>
        </a:solidFill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SCENARIOS!$B$63</c:f>
              <c:strCache>
                <c:ptCount val="1"/>
                <c:pt idx="0">
                  <c:v>Pessimistic</c:v>
                </c:pt>
              </c:strCache>
            </c:strRef>
          </c:tx>
          <c:spPr>
            <a:ln w="28575" cap="rnd">
              <a:solidFill>
                <a:srgbClr val="EB610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SCENARIOS!$C$62:$G$62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SCENARIOS!$C$63:$G$63</c:f>
              <c:numCache>
                <c:formatCode>#,##0</c:formatCode>
                <c:ptCount val="5"/>
                <c:pt idx="0" formatCode="_(#\ ##0_);\(#\ ##0\);_(&quot;–&quot;_);_(@_)">
                  <c:v>128312.09920434233</c:v>
                </c:pt>
                <c:pt idx="1">
                  <c:v>136556.80825751738</c:v>
                </c:pt>
                <c:pt idx="2" formatCode="_(#\ ##0_);\(#\ ##0\);_(&quot;–&quot;_);_(@_)">
                  <c:v>145331.28206236448</c:v>
                </c:pt>
                <c:pt idx="3" formatCode="_(#\ ##0_);\(#\ ##0\);_(&quot;–&quot;_);_(@_)">
                  <c:v>154669.56071542361</c:v>
                </c:pt>
                <c:pt idx="4" formatCode="_(#\ ##0_);\(#\ ##0\);_(&quot;–&quot;_);_(@_)">
                  <c:v>164607.87156364881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18-45F8-BCC4-04D3D28C0B52}"/>
            </c:ext>
          </c:extLst>
        </c:ser>
        <c:ser>
          <c:idx val="1"/>
          <c:order val="1"/>
          <c:tx>
            <c:strRef>
              <c:f>SCENARIOS!$B$64</c:f>
              <c:strCache>
                <c:ptCount val="1"/>
                <c:pt idx="0">
                  <c:v>Realistic</c:v>
                </c:pt>
              </c:strCache>
            </c:strRef>
          </c:tx>
          <c:spPr>
            <a:ln w="28575" cap="rnd">
              <a:solidFill>
                <a:srgbClr val="3271D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SCENARIOS!$C$62:$G$62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SCENARIOS!$C$64:$G$64</c:f>
              <c:numCache>
                <c:formatCode>#,##0</c:formatCode>
                <c:ptCount val="5"/>
                <c:pt idx="0" formatCode="_(#\ ##0_);\(#\ ##0\);_(&quot;–&quot;_);_(@_)">
                  <c:v>141599.14342705897</c:v>
                </c:pt>
                <c:pt idx="1">
                  <c:v>150697.6130723549</c:v>
                </c:pt>
                <c:pt idx="2" formatCode="_(#\ ##0_);\(#\ ##0\);_(&quot;–&quot;_);_(@_)">
                  <c:v>160380.70595676676</c:v>
                </c:pt>
                <c:pt idx="3" formatCode="_(#\ ##0_);\(#\ ##0\);_(&quot;–&quot;_);_(@_)">
                  <c:v>170685.98711540914</c:v>
                </c:pt>
                <c:pt idx="4" formatCode="_(#\ ##0_);\(#\ ##0\);_(&quot;–&quot;_);_(@_)">
                  <c:v>181653.43532915413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18-45F8-BCC4-04D3D28C0B52}"/>
            </c:ext>
          </c:extLst>
        </c:ser>
        <c:ser>
          <c:idx val="2"/>
          <c:order val="2"/>
          <c:tx>
            <c:strRef>
              <c:f>SCENARIOS!$B$65</c:f>
              <c:strCache>
                <c:ptCount val="1"/>
                <c:pt idx="0">
                  <c:v>Optimistic</c:v>
                </c:pt>
              </c:strCache>
            </c:strRef>
          </c:tx>
          <c:spPr>
            <a:ln w="28575" cap="rnd">
              <a:solidFill>
                <a:srgbClr val="1B3E7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SCENARIOS!$C$62:$G$62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SCENARIOS!$C$65:$G$65</c:f>
              <c:numCache>
                <c:formatCode>#,##0</c:formatCode>
                <c:ptCount val="5"/>
                <c:pt idx="0" formatCode="_(#\ ##0_);\(#\ ##0\);_(&quot;–&quot;_);_(@_)">
                  <c:v>154886.18764977562</c:v>
                </c:pt>
                <c:pt idx="1">
                  <c:v>164838.41788719239</c:v>
                </c:pt>
                <c:pt idx="2" formatCode="_(#\ ##0_);\(#\ ##0\);_(&quot;–&quot;_);_(@_)">
                  <c:v>175430.12985116901</c:v>
                </c:pt>
                <c:pt idx="3" formatCode="_(#\ ##0_);\(#\ ##0\);_(&quot;–&quot;_);_(@_)">
                  <c:v>186702.4135153947</c:v>
                </c:pt>
                <c:pt idx="4" formatCode="_(#\ ##0_);\(#\ ##0\);_(&quot;–&quot;_);_(@_)">
                  <c:v>198698.99909465949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18-45F8-BCC4-04D3D28C0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816384"/>
        <c:axId val="1411817344"/>
      </c:lineChart>
      <c:catAx>
        <c:axId val="141181638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4D4D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411817344"/>
        <c:crosses val="autoZero"/>
        <c:auto val="1"/>
        <c:lblAlgn val="ctr"/>
        <c:lblOffset val="100"/>
        <c:noMultiLvlLbl val="0"/>
      </c:catAx>
      <c:valAx>
        <c:axId val="141181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4D4D4"/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411816384"/>
        <c:crosses val="autoZero"/>
        <c:crossBetween val="between"/>
        <c:majorUnit val="50000"/>
      </c:valAx>
    </c:plotArea>
    <c:legend>
      <c:legendPos val="b"/>
      <c:overlay val="0"/>
      <c:spPr>
        <a:solidFill>
          <a:srgbClr val="FFFFFF"/>
        </a:solidFill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Margin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DASHBOARD!$K$85:$N$85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DASHBOARD!$K$86:$N$86</c:f>
              <c:numCache>
                <c:formatCode>General</c:formatCode>
                <c:ptCount val="4"/>
                <c:pt idx="0">
                  <c:v>0.43309630561360085</c:v>
                </c:pt>
                <c:pt idx="1">
                  <c:v>0.44131129577207562</c:v>
                </c:pt>
                <c:pt idx="2">
                  <c:v>0.46206349815233932</c:v>
                </c:pt>
                <c:pt idx="3">
                  <c:v>0.46905164107160452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3-4683-ABF8-B274336B31B3}"/>
            </c:ext>
          </c:extLst>
        </c:ser>
        <c:ser>
          <c:idx val="1"/>
          <c:order val="1"/>
          <c:tx>
            <c:v>EBITDA Margin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DASHBOARD!$K$85:$N$85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DASHBOARD!$K$87:$N$87</c:f>
              <c:numCache>
                <c:formatCode>General</c:formatCode>
                <c:ptCount val="4"/>
                <c:pt idx="0">
                  <c:v>0.30288744395528594</c:v>
                </c:pt>
                <c:pt idx="1">
                  <c:v>0.29821412265024722</c:v>
                </c:pt>
                <c:pt idx="2">
                  <c:v>0.31510222870075566</c:v>
                </c:pt>
                <c:pt idx="3">
                  <c:v>0.31970799762591884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A3-4683-ABF8-B274336B31B3}"/>
            </c:ext>
          </c:extLst>
        </c:ser>
        <c:ser>
          <c:idx val="2"/>
          <c:order val="2"/>
          <c:tx>
            <c:v>Net Margin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DASHBOARD!$K$85:$N$85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DASHBOARD!$K$88:$N$88</c:f>
              <c:numCache>
                <c:formatCode>General</c:formatCode>
                <c:ptCount val="4"/>
                <c:pt idx="0">
                  <c:v>0.22999634821772738</c:v>
                </c:pt>
                <c:pt idx="1">
                  <c:v>0.22827921781442007</c:v>
                </c:pt>
                <c:pt idx="2">
                  <c:v>0.21697546255450278</c:v>
                </c:pt>
                <c:pt idx="3">
                  <c:v>0.24619558295947963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A3-4683-ABF8-B274336B3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799856"/>
        <c:axId val="2064804176"/>
      </c:lineChart>
      <c:catAx>
        <c:axId val="20647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4176"/>
        <c:crosses val="autoZero"/>
        <c:auto val="1"/>
        <c:lblAlgn val="ctr"/>
        <c:lblOffset val="100"/>
        <c:noMultiLvlLbl val="0"/>
      </c:catAx>
      <c:valAx>
        <c:axId val="206480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799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SG&amp;A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DASHBOARD!$K$90:$N$90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DASHBOARD!$K$91:$N$91</c:f>
              <c:numCache>
                <c:formatCode>General</c:formatCode>
                <c:ptCount val="4"/>
                <c:pt idx="0">
                  <c:v>25094</c:v>
                </c:pt>
                <c:pt idx="1">
                  <c:v>24932</c:v>
                </c:pt>
                <c:pt idx="2">
                  <c:v>26097</c:v>
                </c:pt>
                <c:pt idx="3">
                  <c:v>27601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B-491B-A533-31B2543928B6}"/>
            </c:ext>
          </c:extLst>
        </c:ser>
        <c:ser>
          <c:idx val="1"/>
          <c:order val="1"/>
          <c:tx>
            <c:v>R&amp;D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DASHBOARD!$K$90:$N$90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DASHBOARD!$K$92:$N$92</c:f>
              <c:numCache>
                <c:formatCode>General</c:formatCode>
                <c:ptCount val="4"/>
                <c:pt idx="0">
                  <c:v>26251</c:v>
                </c:pt>
                <c:pt idx="1">
                  <c:v>29915</c:v>
                </c:pt>
                <c:pt idx="2">
                  <c:v>31370</c:v>
                </c:pt>
                <c:pt idx="3">
                  <c:v>34550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FB-491B-A533-31B2543928B6}"/>
            </c:ext>
          </c:extLst>
        </c:ser>
        <c:ser>
          <c:idx val="2"/>
          <c:order val="2"/>
          <c:tx>
            <c:v>D&amp;A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DASHBOARD!$K$90:$N$90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DASHBOARD!$K$93:$N$93</c:f>
              <c:numCache>
                <c:formatCode>General</c:formatCode>
                <c:ptCount val="4"/>
                <c:pt idx="0">
                  <c:v>11104</c:v>
                </c:pt>
                <c:pt idx="1">
                  <c:v>11519</c:v>
                </c:pt>
                <c:pt idx="2">
                  <c:v>11445</c:v>
                </c:pt>
                <c:pt idx="3">
                  <c:v>11698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FB-491B-A533-31B2543928B6}"/>
            </c:ext>
          </c:extLst>
        </c:ser>
        <c:ser>
          <c:idx val="3"/>
          <c:order val="3"/>
          <c:tx>
            <c:v>Interest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DASHBOARD!$K$90:$N$90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DASHBOARD!$K$94:$N$94</c:f>
              <c:numCache>
                <c:formatCode>General</c:formatCode>
                <c:ptCount val="4"/>
                <c:pt idx="0">
                  <c:v>2931</c:v>
                </c:pt>
                <c:pt idx="1">
                  <c:v>3933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FB-491B-A533-31B254392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4832016"/>
        <c:axId val="2064833936"/>
      </c:barChart>
      <c:catAx>
        <c:axId val="206483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33936"/>
        <c:crosses val="autoZero"/>
        <c:auto val="1"/>
        <c:lblAlgn val="ctr"/>
        <c:lblOffset val="100"/>
        <c:noMultiLvlLbl val="0"/>
      </c:catAx>
      <c:valAx>
        <c:axId val="206483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32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271D2"/>
            </a:solidFill>
            <a:ln>
              <a:noFill/>
              <a:prstDash val="solid"/>
            </a:ln>
          </c:spPr>
          <c:invertIfNegative val="0"/>
          <c:cat>
            <c:strRef>
              <c:f>DASHBOARD!$Q$8:$Q$11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DASHBOARD!$R$8:$R$11</c:f>
              <c:numCache>
                <c:formatCode>General</c:formatCode>
                <c:ptCount val="4"/>
                <c:pt idx="0">
                  <c:v>394328</c:v>
                </c:pt>
                <c:pt idx="1">
                  <c:v>383285</c:v>
                </c:pt>
                <c:pt idx="2">
                  <c:v>391035</c:v>
                </c:pt>
                <c:pt idx="3">
                  <c:v>416161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561-B4F4-4A12BDD397EA}"/>
            </c:ext>
          </c:extLst>
        </c:ser>
        <c:ser>
          <c:idx val="1"/>
          <c:order val="1"/>
          <c:tx>
            <c:strRef>
              <c:f>DASHBOARD!$S$7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2E8B57"/>
            </a:solidFill>
            <a:ln>
              <a:noFill/>
              <a:prstDash val="solid"/>
            </a:ln>
          </c:spPr>
          <c:invertIfNegative val="0"/>
          <c:cat>
            <c:strRef>
              <c:f>DASHBOARD!$Q$8:$Q$11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DASHBOARD!$S$8:$S$11</c:f>
              <c:numCache>
                <c:formatCode>General</c:formatCode>
                <c:ptCount val="4"/>
                <c:pt idx="0">
                  <c:v>87496</c:v>
                </c:pt>
                <c:pt idx="1">
                  <c:v>84845</c:v>
                </c:pt>
                <c:pt idx="2">
                  <c:v>84845</c:v>
                </c:pt>
                <c:pt idx="3">
                  <c:v>102457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561-B4F4-4A12BDD39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52320"/>
        <c:axId val="211469120"/>
      </c:barChart>
      <c:catAx>
        <c:axId val="21145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69120"/>
        <c:crosses val="autoZero"/>
        <c:auto val="1"/>
        <c:lblAlgn val="ctr"/>
        <c:lblOffset val="100"/>
        <c:noMultiLvlLbl val="0"/>
      </c:catAx>
      <c:valAx>
        <c:axId val="2114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523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2022–2024 ($)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DASHBOARD!$R$2</c:f>
              <c:strCache>
                <c:ptCount val="1"/>
                <c:pt idx="0">
                  <c:v>Cumul Revenue</c:v>
                </c:pt>
              </c:strCache>
            </c:strRef>
          </c:tx>
          <c:spPr>
            <a:ln w="28575" cap="rnd">
              <a:solidFill>
                <a:srgbClr val="3271D2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DASHBOARD!$Q$3:$Q$5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DASHBOARD!$R$3:$R$5</c:f>
              <c:numCache>
                <c:formatCode>General</c:formatCode>
                <c:ptCount val="3"/>
                <c:pt idx="0">
                  <c:v>777613</c:v>
                </c:pt>
                <c:pt idx="1">
                  <c:v>1168648</c:v>
                </c:pt>
                <c:pt idx="2">
                  <c:v>1584809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B-4280-A702-9A7CE60EB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896928"/>
        <c:axId val="457886848"/>
      </c:lineChart>
      <c:catAx>
        <c:axId val="45789692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886848"/>
        <c:crosses val="autoZero"/>
        <c:auto val="1"/>
        <c:lblAlgn val="ctr"/>
        <c:lblOffset val="100"/>
        <c:noMultiLvlLbl val="0"/>
      </c:catAx>
      <c:valAx>
        <c:axId val="45788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89692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6062494852202461"/>
          <c:y val="3.4725376351076899E-2"/>
          <c:w val="0.80445997103692268"/>
          <c:h val="0.86844854735213683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ysClr val="window" lastClr="FFFFFF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23-4AD2-92BB-C48017AD110B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23-4AD2-92BB-C48017AD110B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23-4AD2-92BB-C48017AD110B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23-4AD2-92BB-C48017AD110B}"/>
                </c:ext>
              </c:extLst>
            </c:dLbl>
            <c:dLbl>
              <c:idx val="4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523-4AD2-92BB-C48017AD110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2'!$S$85:$S$89</c:f>
              <c:strCache>
                <c:ptCount val="5"/>
                <c:pt idx="0">
                  <c:v>52-Week Trading Range</c:v>
                </c:pt>
                <c:pt idx="1">
                  <c:v>Consensus Research</c:v>
                </c:pt>
                <c:pt idx="2">
                  <c:v>Precedent Trans.</c:v>
                </c:pt>
                <c:pt idx="3">
                  <c:v>Sum-of-the-Parts</c:v>
                </c:pt>
                <c:pt idx="4">
                  <c:v>Discounted Cash Flow</c:v>
                </c:pt>
              </c:strCache>
            </c:strRef>
          </c:cat>
          <c:val>
            <c:numRef>
              <c:f>'DASHBOARD 2'!$V$85:$V$89</c:f>
              <c:numCache>
                <c:formatCode>General</c:formatCode>
                <c:ptCount val="5"/>
                <c:pt idx="0">
                  <c:v>195.97500000000002</c:v>
                </c:pt>
                <c:pt idx="1">
                  <c:v>287.43000000000006</c:v>
                </c:pt>
                <c:pt idx="2">
                  <c:v>313.56</c:v>
                </c:pt>
                <c:pt idx="3">
                  <c:v>339.69000000000005</c:v>
                </c:pt>
                <c:pt idx="4">
                  <c:v>300.495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23-4AD2-92BB-C48017AD110B}"/>
            </c:ext>
          </c:extLst>
        </c:ser>
        <c:ser>
          <c:idx val="1"/>
          <c:order val="1"/>
          <c:spPr>
            <a:solidFill>
              <a:srgbClr val="1B3E70"/>
            </a:solidFill>
            <a:ln>
              <a:noFill/>
              <a:prstDash val="solid"/>
            </a:ln>
          </c:spPr>
          <c:invertIfNegative val="0"/>
          <c:cat>
            <c:strRef>
              <c:f>'DASHBOARD 2'!$S$85:$S$89</c:f>
              <c:strCache>
                <c:ptCount val="5"/>
                <c:pt idx="0">
                  <c:v>52-Week Trading Range</c:v>
                </c:pt>
                <c:pt idx="1">
                  <c:v>Consensus Research</c:v>
                </c:pt>
                <c:pt idx="2">
                  <c:v>Precedent Trans.</c:v>
                </c:pt>
                <c:pt idx="3">
                  <c:v>Sum-of-the-Parts</c:v>
                </c:pt>
                <c:pt idx="4">
                  <c:v>Discounted Cash Flow</c:v>
                </c:pt>
              </c:strCache>
            </c:strRef>
          </c:cat>
          <c:val>
            <c:numRef>
              <c:f>'DASHBOARD 2'!$W$85:$W$89</c:f>
              <c:numCache>
                <c:formatCode>General</c:formatCode>
                <c:ptCount val="5"/>
                <c:pt idx="0">
                  <c:v>182.90999999999997</c:v>
                </c:pt>
                <c:pt idx="1">
                  <c:v>130.64999999999998</c:v>
                </c:pt>
                <c:pt idx="2">
                  <c:v>143.71500000000003</c:v>
                </c:pt>
                <c:pt idx="3">
                  <c:v>143.71499999999997</c:v>
                </c:pt>
                <c:pt idx="4">
                  <c:v>143.71499999999997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23-4AD2-92BB-C48017AD110B}"/>
            </c:ext>
          </c:extLst>
        </c:ser>
        <c:ser>
          <c:idx val="2"/>
          <c:order val="2"/>
          <c:spPr>
            <a:solidFill>
              <a:sysClr val="window" lastClr="FFFFFF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2'!$S$85:$S$89</c:f>
              <c:strCache>
                <c:ptCount val="5"/>
                <c:pt idx="0">
                  <c:v>52-Week Trading Range</c:v>
                </c:pt>
                <c:pt idx="1">
                  <c:v>Consensus Research</c:v>
                </c:pt>
                <c:pt idx="2">
                  <c:v>Precedent Trans.</c:v>
                </c:pt>
                <c:pt idx="3">
                  <c:v>Sum-of-the-Parts</c:v>
                </c:pt>
                <c:pt idx="4">
                  <c:v>Discounted Cash Flow</c:v>
                </c:pt>
              </c:strCache>
            </c:strRef>
          </c:cat>
          <c:val>
            <c:numRef>
              <c:f>'DASHBOARD 2'!$X$85:$X$89</c:f>
              <c:numCache>
                <c:formatCode>General</c:formatCode>
                <c:ptCount val="5"/>
                <c:pt idx="0">
                  <c:v>378.88499999999999</c:v>
                </c:pt>
                <c:pt idx="1">
                  <c:v>418.08000000000004</c:v>
                </c:pt>
                <c:pt idx="2">
                  <c:v>457.27500000000003</c:v>
                </c:pt>
                <c:pt idx="3">
                  <c:v>483.40500000000003</c:v>
                </c:pt>
                <c:pt idx="4">
                  <c:v>444.21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23-4AD2-92BB-C48017AD1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5"/>
        <c:overlap val="100"/>
        <c:axId val="1578284831"/>
        <c:axId val="1578285791"/>
      </c:barChart>
      <c:catAx>
        <c:axId val="157828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578285791"/>
        <c:crosses val="autoZero"/>
        <c:auto val="1"/>
        <c:lblAlgn val="ctr"/>
        <c:lblOffset val="100"/>
        <c:noMultiLvlLbl val="0"/>
      </c:catAx>
      <c:valAx>
        <c:axId val="1578285791"/>
        <c:scaling>
          <c:orientation val="minMax"/>
        </c:scaling>
        <c:delete val="0"/>
        <c:axPos val="b"/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57828483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Total Revenue</c:v>
          </c:tx>
          <c:spPr>
            <a:solidFill>
              <a:schemeClr val="accent1"/>
            </a:solidFill>
            <a:ln w="254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2'!$C$103:$G$103</c:f>
              <c:strCache>
                <c:ptCount val="5"/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 (LTM)</c:v>
                </c:pt>
              </c:strCache>
            </c:strRef>
          </c:cat>
          <c:val>
            <c:numRef>
              <c:f>'DASHBOARD 2'!$C$105:$G$105</c:f>
              <c:numCache>
                <c:formatCode>General</c:formatCode>
                <c:ptCount val="5"/>
                <c:pt idx="0">
                  <c:v>0</c:v>
                </c:pt>
                <c:pt idx="1">
                  <c:v>394328</c:v>
                </c:pt>
                <c:pt idx="2">
                  <c:v>383285</c:v>
                </c:pt>
                <c:pt idx="3">
                  <c:v>391035</c:v>
                </c:pt>
                <c:pt idx="4">
                  <c:v>416161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8-4F8C-AE7B-787B23CE8B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2"/>
        <c:overlap val="100"/>
        <c:axId val="1595827455"/>
        <c:axId val="1595828895"/>
      </c:barChart>
      <c:lineChart>
        <c:grouping val="standard"/>
        <c:varyColors val="0"/>
        <c:ser>
          <c:idx val="1"/>
          <c:order val="1"/>
          <c:tx>
            <c:v>Revenue Growth (%)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58-4F8C-AE7B-787B23CE8BEE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58-4F8C-AE7B-787B23CE8BEE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58-4F8C-AE7B-787B23CE8BE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2'!$C$103:$G$103</c:f>
              <c:strCache>
                <c:ptCount val="5"/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 (LTM)</c:v>
                </c:pt>
              </c:strCache>
            </c:strRef>
          </c:cat>
          <c:val>
            <c:numRef>
              <c:f>'DASHBOARD 2'!$C$104:$G$104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-2.800460530319937E-2</c:v>
                </c:pt>
                <c:pt idx="3">
                  <c:v>2.021994077514111E-2</c:v>
                </c:pt>
                <c:pt idx="4">
                  <c:v>6.425511782832749E-2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58-4F8C-AE7B-787B23CE8B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8833696"/>
        <c:axId val="1028832736"/>
      </c:lineChart>
      <c:catAx>
        <c:axId val="1595827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5828895"/>
        <c:crosses val="autoZero"/>
        <c:auto val="1"/>
        <c:lblAlgn val="ctr"/>
        <c:lblOffset val="100"/>
        <c:noMultiLvlLbl val="0"/>
      </c:catAx>
      <c:valAx>
        <c:axId val="15958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5827455"/>
        <c:crosses val="autoZero"/>
        <c:crossBetween val="between"/>
      </c:valAx>
      <c:catAx>
        <c:axId val="1028833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8832736"/>
        <c:crosses val="autoZero"/>
        <c:auto val="1"/>
        <c:lblAlgn val="ctr"/>
        <c:lblOffset val="100"/>
        <c:noMultiLvlLbl val="0"/>
      </c:catAx>
      <c:valAx>
        <c:axId val="1028832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8833696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INPUT!$D$115</c:f>
              <c:strCache>
                <c:ptCount val="1"/>
                <c:pt idx="0">
                  <c:v>AAPL</c:v>
                </c:pt>
              </c:strCache>
            </c:strRef>
          </c:tx>
          <c:spPr>
            <a:ln w="28575" cap="rnd">
              <a:solidFill>
                <a:srgbClr val="E8612C"/>
              </a:solidFill>
              <a:prstDash val="solid"/>
              <a:round/>
            </a:ln>
          </c:spPr>
          <c:marker>
            <c:symbol val="none"/>
          </c:marker>
          <c:cat>
            <c:strRef>
              <c:f>STOCK_DATA!$B$3:$B$15</c:f>
              <c:strCache>
                <c:ptCount val="12"/>
                <c:pt idx="0">
                  <c:v>May-25</c:v>
                </c:pt>
                <c:pt idx="1">
                  <c:v>Jun-25</c:v>
                </c:pt>
                <c:pt idx="2">
                  <c:v>Jul-25</c:v>
                </c:pt>
                <c:pt idx="3">
                  <c:v>Aug-25</c:v>
                </c:pt>
                <c:pt idx="4">
                  <c:v>Sep-25</c:v>
                </c:pt>
                <c:pt idx="5">
                  <c:v>Oct-25</c:v>
                </c:pt>
                <c:pt idx="6">
                  <c:v>Nov-25</c:v>
                </c:pt>
                <c:pt idx="7">
                  <c:v>Dec-25</c:v>
                </c:pt>
                <c:pt idx="8">
                  <c:v>Jan-26</c:v>
                </c:pt>
                <c:pt idx="9">
                  <c:v>Feb-26</c:v>
                </c:pt>
                <c:pt idx="10">
                  <c:v>Mar-26</c:v>
                </c:pt>
                <c:pt idx="11">
                  <c:v>Apr-26</c:v>
                </c:pt>
              </c:strCache>
            </c:strRef>
          </c:cat>
          <c:val>
            <c:numRef>
              <c:f>STOCK_DATA!$C$3:$C$15</c:f>
              <c:numCache>
                <c:formatCode>"€"#\ ##0.00</c:formatCode>
                <c:ptCount val="13"/>
                <c:pt idx="0">
                  <c:v>199.98</c:v>
                </c:pt>
                <c:pt idx="1">
                  <c:v>204.55</c:v>
                </c:pt>
                <c:pt idx="2">
                  <c:v>206.94</c:v>
                </c:pt>
                <c:pt idx="3">
                  <c:v>231.44</c:v>
                </c:pt>
                <c:pt idx="4">
                  <c:v>254.15</c:v>
                </c:pt>
                <c:pt idx="5">
                  <c:v>269.86</c:v>
                </c:pt>
                <c:pt idx="6">
                  <c:v>278.32</c:v>
                </c:pt>
                <c:pt idx="7">
                  <c:v>271.61</c:v>
                </c:pt>
                <c:pt idx="8">
                  <c:v>259.24</c:v>
                </c:pt>
                <c:pt idx="9">
                  <c:v>263.93</c:v>
                </c:pt>
                <c:pt idx="10">
                  <c:v>253.79</c:v>
                </c:pt>
                <c:pt idx="11">
                  <c:v>261.31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51-4FCC-BFFE-7995F2A44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409328"/>
        <c:axId val="1116398288"/>
      </c:lineChart>
      <c:catAx>
        <c:axId val="111640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398288"/>
        <c:crosses val="autoZero"/>
        <c:auto val="1"/>
        <c:lblAlgn val="ctr"/>
        <c:lblOffset val="100"/>
        <c:tickLblSkip val="1"/>
        <c:noMultiLvlLbl val="0"/>
      </c:catAx>
      <c:valAx>
        <c:axId val="11163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c:spPr>
        </c:majorGridlines>
        <c:numFmt formatCode="&quot;€&quot;#\ ##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40932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'DASHBOARD 2'!$R$96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 2'!$S$95:$V$95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'DASHBOARD 2'!$S$96:$V$96</c:f>
              <c:numCache>
                <c:formatCode>General</c:formatCode>
                <c:ptCount val="4"/>
                <c:pt idx="0">
                  <c:v>119437</c:v>
                </c:pt>
                <c:pt idx="1">
                  <c:v>114301</c:v>
                </c:pt>
                <c:pt idx="2">
                  <c:v>123216</c:v>
                </c:pt>
                <c:pt idx="3">
                  <c:v>133050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F-440C-80D3-68B7AA1E0759}"/>
            </c:ext>
          </c:extLst>
        </c:ser>
        <c:ser>
          <c:idx val="1"/>
          <c:order val="1"/>
          <c:tx>
            <c:strRef>
              <c:f>'DASHBOARD 2'!$R$97</c:f>
              <c:strCache>
                <c:ptCount val="1"/>
                <c:pt idx="0">
                  <c:v>CFO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 2'!$S$95:$V$95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'DASHBOARD 2'!$S$97:$V$97</c:f>
              <c:numCache>
                <c:formatCode>General</c:formatCode>
                <c:ptCount val="4"/>
                <c:pt idx="0">
                  <c:v>104393</c:v>
                </c:pt>
                <c:pt idx="1">
                  <c:v>92864</c:v>
                </c:pt>
                <c:pt idx="2">
                  <c:v>93854</c:v>
                </c:pt>
                <c:pt idx="3">
                  <c:v>109339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4F-440C-80D3-68B7AA1E0759}"/>
            </c:ext>
          </c:extLst>
        </c:ser>
        <c:ser>
          <c:idx val="2"/>
          <c:order val="2"/>
          <c:tx>
            <c:strRef>
              <c:f>'DASHBOARD 2'!$R$98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 2'!$S$95:$V$95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'DASHBOARD 2'!$S$98:$V$98</c:f>
              <c:numCache>
                <c:formatCode>General</c:formatCode>
                <c:ptCount val="4"/>
                <c:pt idx="0">
                  <c:v>90694</c:v>
                </c:pt>
                <c:pt idx="1">
                  <c:v>87496</c:v>
                </c:pt>
                <c:pt idx="2">
                  <c:v>84845</c:v>
                </c:pt>
                <c:pt idx="3">
                  <c:v>102457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4F-440C-80D3-68B7AA1E0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85920"/>
        <c:axId val="211486400"/>
      </c:lineChart>
      <c:catAx>
        <c:axId val="21148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86400"/>
        <c:crosses val="autoZero"/>
        <c:auto val="1"/>
        <c:lblAlgn val="ctr"/>
        <c:lblOffset val="100"/>
        <c:noMultiLvlLbl val="0"/>
      </c:catAx>
      <c:valAx>
        <c:axId val="21148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859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688731</xdr:colOff>
      <xdr:row>110</xdr:row>
      <xdr:rowOff>161193</xdr:rowOff>
    </xdr:from>
    <xdr:to>
      <xdr:col>9</xdr:col>
      <xdr:colOff>117231</xdr:colOff>
      <xdr:row>125</xdr:row>
      <xdr:rowOff>46893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110</xdr:row>
      <xdr:rowOff>161193</xdr:rowOff>
    </xdr:from>
    <xdr:to>
      <xdr:col>3</xdr:col>
      <xdr:colOff>419833</xdr:colOff>
      <xdr:row>125</xdr:row>
      <xdr:rowOff>46893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122</xdr:row>
      <xdr:rowOff>41275</xdr:rowOff>
    </xdr:from>
    <xdr:to>
      <xdr:col>3</xdr:col>
      <xdr:colOff>196850</xdr:colOff>
      <xdr:row>140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212912</xdr:colOff>
      <xdr:row>95</xdr:row>
      <xdr:rowOff>0</xdr:rowOff>
    </xdr:from>
    <xdr:to>
      <xdr:col>14</xdr:col>
      <xdr:colOff>33617</xdr:colOff>
      <xdr:row>109</xdr:row>
      <xdr:rowOff>33618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425824</xdr:colOff>
      <xdr:row>123</xdr:row>
      <xdr:rowOff>168087</xdr:rowOff>
    </xdr:from>
    <xdr:to>
      <xdr:col>10</xdr:col>
      <xdr:colOff>336176</xdr:colOff>
      <xdr:row>140</xdr:row>
      <xdr:rowOff>179294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747530</xdr:colOff>
      <xdr:row>47</xdr:row>
      <xdr:rowOff>24113</xdr:rowOff>
    </xdr:from>
    <xdr:to>
      <xdr:col>11</xdr:col>
      <xdr:colOff>1121297</xdr:colOff>
      <xdr:row>61</xdr:row>
      <xdr:rowOff>144683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241140</xdr:colOff>
      <xdr:row>27</xdr:row>
      <xdr:rowOff>217025</xdr:rowOff>
    </xdr:from>
    <xdr:to>
      <xdr:col>12</xdr:col>
      <xdr:colOff>36171</xdr:colOff>
      <xdr:row>41</xdr:row>
      <xdr:rowOff>144685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68</xdr:row>
      <xdr:rowOff>28575</xdr:rowOff>
    </xdr:from>
    <xdr:to>
      <xdr:col>3</xdr:col>
      <xdr:colOff>758825</xdr:colOff>
      <xdr:row>83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117475</xdr:colOff>
      <xdr:row>68</xdr:row>
      <xdr:rowOff>28575</xdr:rowOff>
    </xdr:from>
    <xdr:to>
      <xdr:col>10</xdr:col>
      <xdr:colOff>34925</xdr:colOff>
      <xdr:row>83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11105</xdr:colOff>
      <xdr:row>8</xdr:row>
      <xdr:rowOff>89514</xdr:rowOff>
    </xdr:from>
    <xdr:to>
      <xdr:col>12</xdr:col>
      <xdr:colOff>721178</xdr:colOff>
      <xdr:row>24</xdr:row>
      <xdr:rowOff>68036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646559</xdr:colOff>
      <xdr:row>25</xdr:row>
      <xdr:rowOff>79694</xdr:rowOff>
    </xdr:from>
    <xdr:to>
      <xdr:col>12</xdr:col>
      <xdr:colOff>748393</xdr:colOff>
      <xdr:row>40</xdr:row>
      <xdr:rowOff>122465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602796</xdr:colOff>
      <xdr:row>8</xdr:row>
      <xdr:rowOff>141736</xdr:rowOff>
    </xdr:from>
    <xdr:to>
      <xdr:col>5</xdr:col>
      <xdr:colOff>1578429</xdr:colOff>
      <xdr:row>23</xdr:row>
      <xdr:rowOff>163286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642711</xdr:colOff>
      <xdr:row>25</xdr:row>
      <xdr:rowOff>102682</xdr:rowOff>
    </xdr:from>
    <xdr:to>
      <xdr:col>5</xdr:col>
      <xdr:colOff>1578429</xdr:colOff>
      <xdr:row>40</xdr:row>
      <xdr:rowOff>163286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20</xdr:row>
      <xdr:rowOff>11204</xdr:rowOff>
    </xdr:from>
    <xdr:to>
      <xdr:col>15</xdr:col>
      <xdr:colOff>0</xdr:colOff>
      <xdr:row>36</xdr:row>
      <xdr:rowOff>56028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28576</xdr:colOff>
      <xdr:row>39</xdr:row>
      <xdr:rowOff>171449</xdr:rowOff>
    </xdr:from>
    <xdr:to>
      <xdr:col>7</xdr:col>
      <xdr:colOff>56030</xdr:colOff>
      <xdr:row>56</xdr:row>
      <xdr:rowOff>56028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11205</xdr:colOff>
      <xdr:row>19</xdr:row>
      <xdr:rowOff>100853</xdr:rowOff>
    </xdr:from>
    <xdr:to>
      <xdr:col>6</xdr:col>
      <xdr:colOff>818029</xdr:colOff>
      <xdr:row>36</xdr:row>
      <xdr:rowOff>30629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37</xdr:row>
      <xdr:rowOff>190499</xdr:rowOff>
    </xdr:from>
    <xdr:to>
      <xdr:col>15</xdr:col>
      <xdr:colOff>0</xdr:colOff>
      <xdr:row>54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1"/>
  <sheetViews>
    <sheetView showGridLines="0" zoomScaleNormal="100" workbookViewId="0">
      <selection activeCell="M7" sqref="M7"/>
    </sheetView>
  </sheetViews>
  <sheetFormatPr baseColWidth="10" defaultRowHeight="14.4" x14ac:dyDescent="0.3"/>
  <cols>
    <col min="1" max="1" width="11" customWidth="1"/>
    <col min="2" max="2" width="50" style="19" customWidth="1"/>
    <col min="3" max="3" width="15.6640625" customWidth="1"/>
    <col min="4" max="8" width="13.33203125" style="21" customWidth="1"/>
  </cols>
  <sheetData>
    <row r="1" spans="1:8" ht="54.9" customHeight="1" x14ac:dyDescent="0.6">
      <c r="A1" s="223"/>
      <c r="B1" s="104"/>
      <c r="C1" s="5"/>
      <c r="D1" s="5"/>
      <c r="E1" s="5"/>
      <c r="F1" s="103"/>
      <c r="G1" s="5"/>
      <c r="H1" s="5"/>
    </row>
    <row r="2" spans="1:8" ht="15" customHeight="1" x14ac:dyDescent="0.35">
      <c r="A2" s="3"/>
      <c r="B2" s="14"/>
      <c r="C2" s="3"/>
      <c r="D2" s="22"/>
      <c r="E2" s="22"/>
      <c r="F2" s="22"/>
      <c r="G2" s="22"/>
      <c r="H2" s="22"/>
    </row>
    <row r="3" spans="1:8" ht="18" customHeight="1" x14ac:dyDescent="0.5">
      <c r="A3" s="112"/>
      <c r="B3" s="15" t="s">
        <v>0</v>
      </c>
      <c r="C3" s="7"/>
      <c r="D3" s="7"/>
      <c r="E3" s="23"/>
      <c r="F3" s="23"/>
      <c r="G3" s="23"/>
      <c r="H3" s="23"/>
    </row>
    <row r="4" spans="1:8" ht="15" customHeight="1" x14ac:dyDescent="0.35">
      <c r="A4" s="3"/>
      <c r="B4" s="12" t="s">
        <v>1</v>
      </c>
      <c r="C4" s="3"/>
      <c r="D4" s="22"/>
      <c r="E4" s="22"/>
      <c r="F4" s="22"/>
      <c r="G4" s="22"/>
      <c r="H4" s="22"/>
    </row>
    <row r="5" spans="1:8" ht="15" customHeight="1" x14ac:dyDescent="0.35">
      <c r="A5" s="224"/>
      <c r="B5" s="16" t="s">
        <v>2</v>
      </c>
      <c r="C5" s="1" t="s">
        <v>3</v>
      </c>
      <c r="D5" s="1"/>
      <c r="E5" s="24">
        <v>2022</v>
      </c>
      <c r="F5" s="24">
        <v>2023</v>
      </c>
      <c r="G5" s="24">
        <v>2024</v>
      </c>
      <c r="H5" s="24" t="s">
        <v>4</v>
      </c>
    </row>
    <row r="6" spans="1:8" ht="15" customHeight="1" x14ac:dyDescent="0.35">
      <c r="A6" s="3"/>
      <c r="B6" s="14"/>
      <c r="C6" s="3"/>
      <c r="D6" s="22"/>
      <c r="E6" s="22"/>
      <c r="F6" s="22"/>
      <c r="G6" s="22"/>
      <c r="H6" s="22"/>
    </row>
    <row r="7" spans="1:8" ht="18" customHeight="1" x14ac:dyDescent="0.5">
      <c r="A7" s="112" t="s">
        <v>5</v>
      </c>
      <c r="B7" s="15" t="s">
        <v>6</v>
      </c>
      <c r="C7" s="7"/>
      <c r="D7" s="23"/>
      <c r="E7" s="23"/>
      <c r="F7" s="23"/>
      <c r="G7" s="23"/>
      <c r="H7" s="23"/>
    </row>
    <row r="8" spans="1:8" ht="18" customHeight="1" x14ac:dyDescent="0.5">
      <c r="A8" s="112"/>
      <c r="B8" s="110"/>
      <c r="C8" s="112"/>
      <c r="D8" s="109"/>
      <c r="E8" s="109"/>
      <c r="F8" s="109"/>
      <c r="G8" s="109"/>
      <c r="H8" s="109"/>
    </row>
    <row r="9" spans="1:8" ht="15" customHeight="1" x14ac:dyDescent="0.35">
      <c r="A9" s="3"/>
      <c r="B9" s="17" t="s">
        <v>7</v>
      </c>
      <c r="C9" s="41" t="s">
        <v>8</v>
      </c>
      <c r="D9" s="233"/>
      <c r="E9" s="233">
        <v>394328</v>
      </c>
      <c r="F9" s="233">
        <v>383285</v>
      </c>
      <c r="G9" s="233">
        <v>391035</v>
      </c>
      <c r="H9" s="233">
        <v>416161</v>
      </c>
    </row>
    <row r="10" spans="1:8" ht="15" customHeight="1" x14ac:dyDescent="0.35">
      <c r="A10" s="3"/>
      <c r="B10" s="17" t="s">
        <v>9</v>
      </c>
      <c r="C10" s="41" t="s">
        <v>8</v>
      </c>
      <c r="D10" s="234"/>
      <c r="E10" s="234">
        <v>-223546</v>
      </c>
      <c r="F10" s="234">
        <v>-214137</v>
      </c>
      <c r="G10" s="234">
        <v>-210352</v>
      </c>
      <c r="H10" s="234">
        <v>-220960</v>
      </c>
    </row>
    <row r="11" spans="1:8" ht="15" customHeight="1" x14ac:dyDescent="0.35">
      <c r="A11" s="3"/>
      <c r="B11" s="51" t="s">
        <v>10</v>
      </c>
      <c r="C11" s="52" t="s">
        <v>8</v>
      </c>
      <c r="D11" s="241">
        <f>D9+D10</f>
        <v>0</v>
      </c>
      <c r="E11" s="241">
        <f>E9+E10</f>
        <v>170782</v>
      </c>
      <c r="F11" s="241">
        <f>F9+F10</f>
        <v>169148</v>
      </c>
      <c r="G11" s="241">
        <f>G9+G10</f>
        <v>180683</v>
      </c>
      <c r="H11" s="241">
        <f>H9+H10</f>
        <v>195201</v>
      </c>
    </row>
    <row r="12" spans="1:8" ht="15" customHeight="1" x14ac:dyDescent="0.35">
      <c r="A12" s="3"/>
      <c r="B12" s="51"/>
      <c r="C12" s="52"/>
      <c r="D12" s="53"/>
      <c r="E12" s="53"/>
      <c r="F12" s="53"/>
      <c r="G12" s="53"/>
      <c r="H12" s="53"/>
    </row>
    <row r="13" spans="1:8" ht="15" customHeight="1" x14ac:dyDescent="0.35">
      <c r="A13" s="3"/>
      <c r="B13" s="51"/>
      <c r="C13" s="52"/>
      <c r="D13" s="241">
        <f>SUM(D14:D16)</f>
        <v>0</v>
      </c>
      <c r="E13" s="241">
        <f>SUM(E14:E16)</f>
        <v>-62449</v>
      </c>
      <c r="F13" s="241">
        <f>SUM(F14:F16)</f>
        <v>-66366</v>
      </c>
      <c r="G13" s="241">
        <f>SUM(G14:G16)</f>
        <v>-68912</v>
      </c>
      <c r="H13" s="241">
        <f>SUM(H14:H16)</f>
        <v>-73849</v>
      </c>
    </row>
    <row r="14" spans="1:8" ht="15" customHeight="1" x14ac:dyDescent="0.35">
      <c r="A14" s="3"/>
      <c r="B14" s="17" t="s">
        <v>11</v>
      </c>
      <c r="C14" s="41" t="s">
        <v>8</v>
      </c>
      <c r="D14" s="233"/>
      <c r="E14" s="233">
        <v>-25094</v>
      </c>
      <c r="F14" s="233">
        <v>-24932</v>
      </c>
      <c r="G14" s="233">
        <v>-26097</v>
      </c>
      <c r="H14" s="233">
        <v>-27601</v>
      </c>
    </row>
    <row r="15" spans="1:8" ht="15" customHeight="1" x14ac:dyDescent="0.35">
      <c r="A15" s="3"/>
      <c r="B15" s="17" t="s">
        <v>12</v>
      </c>
      <c r="C15" s="41" t="s">
        <v>8</v>
      </c>
      <c r="D15" s="233"/>
      <c r="E15" s="233">
        <v>-26251</v>
      </c>
      <c r="F15" s="233">
        <v>-29915</v>
      </c>
      <c r="G15" s="233">
        <v>-31370</v>
      </c>
      <c r="H15" s="233">
        <v>-34550</v>
      </c>
    </row>
    <row r="16" spans="1:8" ht="15" customHeight="1" x14ac:dyDescent="0.35">
      <c r="A16" s="3"/>
      <c r="B16" s="17" t="s">
        <v>13</v>
      </c>
      <c r="C16" s="41" t="s">
        <v>8</v>
      </c>
      <c r="D16" s="235"/>
      <c r="E16" s="235">
        <v>-11104</v>
      </c>
      <c r="F16" s="235">
        <v>-11519</v>
      </c>
      <c r="G16" s="235">
        <v>-11445</v>
      </c>
      <c r="H16" s="235">
        <v>-11698</v>
      </c>
    </row>
    <row r="17" spans="1:8" ht="15" customHeight="1" x14ac:dyDescent="0.35">
      <c r="A17" s="3"/>
      <c r="B17" s="51" t="s">
        <v>14</v>
      </c>
      <c r="C17" s="52" t="s">
        <v>8</v>
      </c>
      <c r="D17" s="241">
        <f>D11+D13</f>
        <v>0</v>
      </c>
      <c r="E17" s="241">
        <f>E11+E13</f>
        <v>108333</v>
      </c>
      <c r="F17" s="241">
        <f>F11+F13</f>
        <v>102782</v>
      </c>
      <c r="G17" s="241">
        <f>G11+G13</f>
        <v>111771</v>
      </c>
      <c r="H17" s="241">
        <f>H11+H13</f>
        <v>121352</v>
      </c>
    </row>
    <row r="18" spans="1:8" ht="15" customHeight="1" x14ac:dyDescent="0.35">
      <c r="A18" s="3"/>
      <c r="B18" s="51"/>
      <c r="C18" s="52"/>
      <c r="D18" s="53"/>
      <c r="E18" s="53"/>
      <c r="F18" s="53"/>
      <c r="G18" s="53"/>
      <c r="H18" s="53"/>
    </row>
    <row r="19" spans="1:8" ht="15" customHeight="1" x14ac:dyDescent="0.35">
      <c r="A19" s="3"/>
      <c r="B19" s="51"/>
      <c r="C19" s="52"/>
      <c r="D19" s="241">
        <f>D17+D20+D21</f>
        <v>0</v>
      </c>
      <c r="E19" s="241">
        <f>E17+E20+E21</f>
        <v>108227</v>
      </c>
      <c r="F19" s="241">
        <f>F17+F20+F21</f>
        <v>102599</v>
      </c>
      <c r="G19" s="241">
        <f>G17+G20+G21</f>
        <v>111771</v>
      </c>
      <c r="H19" s="241">
        <f>H17+H20+H21</f>
        <v>121352</v>
      </c>
    </row>
    <row r="20" spans="1:8" ht="15" customHeight="1" x14ac:dyDescent="0.35">
      <c r="A20" s="3"/>
      <c r="B20" s="17" t="s">
        <v>15</v>
      </c>
      <c r="C20" s="41" t="s">
        <v>8</v>
      </c>
      <c r="D20" s="233"/>
      <c r="E20" s="233">
        <v>-2931</v>
      </c>
      <c r="F20" s="233">
        <v>-3933</v>
      </c>
      <c r="G20" s="233">
        <v>0</v>
      </c>
      <c r="H20" s="233">
        <v>0</v>
      </c>
    </row>
    <row r="21" spans="1:8" ht="15" customHeight="1" x14ac:dyDescent="0.35">
      <c r="A21" s="3"/>
      <c r="B21" s="17" t="s">
        <v>16</v>
      </c>
      <c r="C21" s="41" t="s">
        <v>8</v>
      </c>
      <c r="D21" s="235"/>
      <c r="E21" s="235">
        <v>2825</v>
      </c>
      <c r="F21" s="235">
        <v>3750</v>
      </c>
      <c r="G21" s="235">
        <v>0</v>
      </c>
      <c r="H21" s="235">
        <v>0</v>
      </c>
    </row>
    <row r="22" spans="1:8" ht="15" customHeight="1" x14ac:dyDescent="0.35">
      <c r="A22" s="3"/>
      <c r="B22" s="51" t="s">
        <v>17</v>
      </c>
      <c r="C22" s="52" t="s">
        <v>8</v>
      </c>
      <c r="D22" s="241">
        <f>D19</f>
        <v>0</v>
      </c>
      <c r="E22" s="241">
        <f>E19</f>
        <v>108227</v>
      </c>
      <c r="F22" s="241">
        <f>F19</f>
        <v>102599</v>
      </c>
      <c r="G22" s="241">
        <f>G19</f>
        <v>111771</v>
      </c>
      <c r="H22" s="241">
        <f>H19</f>
        <v>121352</v>
      </c>
    </row>
    <row r="23" spans="1:8" ht="15" customHeight="1" x14ac:dyDescent="0.35">
      <c r="A23" s="3"/>
      <c r="B23" s="51"/>
      <c r="C23" s="52"/>
      <c r="D23" s="53"/>
      <c r="E23" s="53"/>
      <c r="F23" s="53"/>
      <c r="G23" s="53"/>
      <c r="H23" s="53"/>
    </row>
    <row r="24" spans="1:8" ht="15" customHeight="1" x14ac:dyDescent="0.35">
      <c r="A24" s="3"/>
      <c r="B24" s="51"/>
      <c r="C24" s="52"/>
      <c r="D24" s="241">
        <f>-ROUND(D22*0.21,0)</f>
        <v>0</v>
      </c>
      <c r="E24" s="241">
        <f>-ROUND(E22*E104,0)</f>
        <v>-17533</v>
      </c>
      <c r="F24" s="241">
        <f>-ROUND(F22*F104,0)</f>
        <v>-15103</v>
      </c>
      <c r="G24" s="241">
        <f>-ROUND(G22*G104,0)</f>
        <v>-26926</v>
      </c>
      <c r="H24" s="241">
        <f>-ROUND(H22*H104,0)</f>
        <v>-18895</v>
      </c>
    </row>
    <row r="25" spans="1:8" ht="15" customHeight="1" x14ac:dyDescent="0.35">
      <c r="A25" s="3"/>
      <c r="B25" s="17" t="s">
        <v>18</v>
      </c>
      <c r="C25" s="41" t="s">
        <v>8</v>
      </c>
      <c r="D25" s="233"/>
      <c r="E25" s="233">
        <v>-19300</v>
      </c>
      <c r="F25" s="233">
        <v>-16741</v>
      </c>
      <c r="G25" s="233">
        <v>-29749</v>
      </c>
      <c r="H25" s="233">
        <v>-20719</v>
      </c>
    </row>
    <row r="26" spans="1:8" ht="15" customHeight="1" thickBot="1" x14ac:dyDescent="0.4">
      <c r="A26" s="3"/>
      <c r="B26" s="54" t="s">
        <v>19</v>
      </c>
      <c r="C26" s="52" t="s">
        <v>8</v>
      </c>
      <c r="D26" s="242">
        <f>D22+D24</f>
        <v>0</v>
      </c>
      <c r="E26" s="242">
        <f>E22+E24</f>
        <v>90694</v>
      </c>
      <c r="F26" s="242">
        <f>F22+F24</f>
        <v>87496</v>
      </c>
      <c r="G26" s="242">
        <f>G22+G24</f>
        <v>84845</v>
      </c>
      <c r="H26" s="242">
        <f>H22+H24</f>
        <v>102457</v>
      </c>
    </row>
    <row r="27" spans="1:8" ht="15" customHeight="1" x14ac:dyDescent="0.35">
      <c r="A27" s="3"/>
      <c r="B27" s="54"/>
      <c r="C27" s="52"/>
      <c r="D27" s="53"/>
      <c r="E27" s="53"/>
      <c r="F27" s="53"/>
      <c r="G27" s="53"/>
      <c r="H27" s="53"/>
    </row>
    <row r="28" spans="1:8" ht="15" customHeight="1" x14ac:dyDescent="0.35">
      <c r="A28" s="3"/>
      <c r="B28" s="54"/>
      <c r="C28" s="52"/>
    </row>
    <row r="29" spans="1:8" ht="15" customHeight="1" x14ac:dyDescent="0.35">
      <c r="A29" s="3"/>
      <c r="B29" s="17" t="s">
        <v>20</v>
      </c>
      <c r="C29" s="41" t="s">
        <v>8</v>
      </c>
      <c r="D29" s="233"/>
      <c r="E29" s="233">
        <v>-89402</v>
      </c>
      <c r="F29" s="233">
        <v>-77550</v>
      </c>
      <c r="G29" s="233">
        <v>-94949</v>
      </c>
      <c r="H29" s="233">
        <v>-90711</v>
      </c>
    </row>
    <row r="30" spans="1:8" ht="15" customHeight="1" x14ac:dyDescent="0.35">
      <c r="A30" s="3"/>
      <c r="B30" s="51" t="s">
        <v>21</v>
      </c>
      <c r="C30" s="52" t="s">
        <v>8</v>
      </c>
      <c r="D30" s="241">
        <f>D17-D16</f>
        <v>0</v>
      </c>
      <c r="E30" s="241">
        <f>E17-E16</f>
        <v>119437</v>
      </c>
      <c r="F30" s="241">
        <f>F17-F16</f>
        <v>114301</v>
      </c>
      <c r="G30" s="241">
        <f>G17-G16</f>
        <v>123216</v>
      </c>
      <c r="H30" s="241">
        <f>H17-H16</f>
        <v>133050</v>
      </c>
    </row>
    <row r="31" spans="1:8" ht="15" customHeight="1" x14ac:dyDescent="0.35">
      <c r="A31" s="3"/>
      <c r="B31" s="14"/>
      <c r="C31" s="9"/>
      <c r="D31" s="42"/>
      <c r="E31" s="42"/>
      <c r="F31" s="42"/>
      <c r="G31" s="42"/>
      <c r="H31" s="42"/>
    </row>
    <row r="32" spans="1:8" ht="18" customHeight="1" x14ac:dyDescent="0.5">
      <c r="A32" s="112" t="s">
        <v>5</v>
      </c>
      <c r="B32" s="49" t="s">
        <v>22</v>
      </c>
      <c r="C32" s="44"/>
      <c r="D32" s="7"/>
      <c r="E32" s="45"/>
      <c r="F32" s="45"/>
      <c r="G32" s="45"/>
      <c r="H32" s="45"/>
    </row>
    <row r="33" spans="1:8" ht="18" customHeight="1" x14ac:dyDescent="0.5">
      <c r="A33" s="112"/>
      <c r="B33" s="125"/>
      <c r="C33" s="116"/>
      <c r="D33" s="126"/>
      <c r="E33" s="126"/>
      <c r="F33" s="126"/>
      <c r="G33" s="126"/>
      <c r="H33" s="126"/>
    </row>
    <row r="34" spans="1:8" ht="15" customHeight="1" x14ac:dyDescent="0.35">
      <c r="A34" s="3"/>
      <c r="B34" s="17" t="s">
        <v>23</v>
      </c>
      <c r="C34" s="41" t="s">
        <v>8</v>
      </c>
      <c r="D34" s="236"/>
      <c r="E34" s="236">
        <v>23646</v>
      </c>
      <c r="F34" s="236">
        <v>29965</v>
      </c>
      <c r="G34" s="236">
        <v>29943</v>
      </c>
      <c r="H34" s="236">
        <v>35934</v>
      </c>
    </row>
    <row r="35" spans="1:8" ht="15" customHeight="1" x14ac:dyDescent="0.35">
      <c r="A35" s="3"/>
      <c r="B35" s="17" t="s">
        <v>24</v>
      </c>
      <c r="C35" s="41" t="s">
        <v>8</v>
      </c>
      <c r="D35" s="233"/>
      <c r="E35" s="233">
        <v>28184</v>
      </c>
      <c r="F35" s="233">
        <v>29508</v>
      </c>
      <c r="G35" s="233">
        <v>33410</v>
      </c>
      <c r="H35" s="233">
        <v>39777</v>
      </c>
    </row>
    <row r="36" spans="1:8" ht="15" customHeight="1" x14ac:dyDescent="0.35">
      <c r="A36" s="3"/>
      <c r="B36" s="17" t="s">
        <v>25</v>
      </c>
      <c r="C36" s="41" t="s">
        <v>8</v>
      </c>
      <c r="D36" s="233"/>
      <c r="E36" s="233">
        <v>4946</v>
      </c>
      <c r="F36" s="233">
        <v>6331</v>
      </c>
      <c r="G36" s="233">
        <v>7286</v>
      </c>
      <c r="H36" s="233">
        <v>5718</v>
      </c>
    </row>
    <row r="37" spans="1:8" ht="15" customHeight="1" x14ac:dyDescent="0.35">
      <c r="A37" s="3"/>
      <c r="B37" s="17" t="s">
        <v>26</v>
      </c>
      <c r="C37" s="41" t="s">
        <v>8</v>
      </c>
      <c r="D37" s="235"/>
      <c r="E37" s="235">
        <v>21223</v>
      </c>
      <c r="F37" s="235">
        <v>14695</v>
      </c>
      <c r="G37" s="235">
        <v>14287</v>
      </c>
      <c r="H37" s="235">
        <v>14585</v>
      </c>
    </row>
    <row r="38" spans="1:8" ht="15" customHeight="1" x14ac:dyDescent="0.35">
      <c r="A38" s="3"/>
      <c r="B38" s="51" t="s">
        <v>27</v>
      </c>
      <c r="C38" s="52" t="s">
        <v>8</v>
      </c>
      <c r="D38" s="241">
        <f>SUM(D34:D37)</f>
        <v>0</v>
      </c>
      <c r="E38" s="241">
        <f>SUM(E34:E37)</f>
        <v>77999</v>
      </c>
      <c r="F38" s="241">
        <f>SUM(F34:F37)</f>
        <v>80499</v>
      </c>
      <c r="G38" s="241">
        <f>SUM(G34:G37)</f>
        <v>84926</v>
      </c>
      <c r="H38" s="241">
        <f>SUM(H34:H37)</f>
        <v>96014</v>
      </c>
    </row>
    <row r="39" spans="1:8" ht="15" customHeight="1" x14ac:dyDescent="0.35">
      <c r="A39" s="3"/>
      <c r="B39" s="51"/>
      <c r="C39" s="52"/>
      <c r="D39" s="53"/>
      <c r="E39" s="53"/>
      <c r="F39" s="53"/>
      <c r="G39" s="53"/>
      <c r="H39" s="53"/>
    </row>
    <row r="40" spans="1:8" ht="15" customHeight="1" x14ac:dyDescent="0.35">
      <c r="A40" s="3"/>
      <c r="B40" s="51"/>
      <c r="C40" s="52"/>
      <c r="D40" s="53"/>
      <c r="E40" s="53"/>
      <c r="F40" s="53"/>
      <c r="G40" s="53"/>
      <c r="H40" s="53"/>
    </row>
    <row r="41" spans="1:8" ht="15" customHeight="1" x14ac:dyDescent="0.35">
      <c r="A41" s="3"/>
      <c r="B41" s="17" t="s">
        <v>28</v>
      </c>
      <c r="C41" s="41" t="s">
        <v>8</v>
      </c>
      <c r="D41" s="233"/>
      <c r="E41" s="233">
        <v>42117</v>
      </c>
      <c r="F41" s="233">
        <v>43715</v>
      </c>
      <c r="G41" s="233">
        <v>45680</v>
      </c>
      <c r="H41" s="233">
        <v>49834</v>
      </c>
    </row>
    <row r="42" spans="1:8" ht="15" customHeight="1" x14ac:dyDescent="0.35">
      <c r="A42" s="3"/>
      <c r="B42" s="17" t="s">
        <v>29</v>
      </c>
      <c r="C42" s="41" t="s">
        <v>8</v>
      </c>
      <c r="D42" s="233"/>
      <c r="E42" s="233">
        <v>593</v>
      </c>
      <c r="F42" s="233">
        <v>615</v>
      </c>
      <c r="G42" s="233">
        <v>1470</v>
      </c>
      <c r="H42" s="233">
        <v>1389</v>
      </c>
    </row>
    <row r="43" spans="1:8" ht="15" customHeight="1" x14ac:dyDescent="0.35">
      <c r="A43" s="3"/>
      <c r="B43" s="17" t="s">
        <v>30</v>
      </c>
      <c r="C43" s="41" t="s">
        <v>8</v>
      </c>
      <c r="D43" s="233"/>
      <c r="E43" s="233">
        <v>39053</v>
      </c>
      <c r="F43" s="233">
        <v>46906</v>
      </c>
      <c r="G43" s="233">
        <v>55335</v>
      </c>
      <c r="H43" s="233">
        <v>62950</v>
      </c>
    </row>
    <row r="44" spans="1:8" ht="15" customHeight="1" thickBot="1" x14ac:dyDescent="0.4">
      <c r="A44" s="3"/>
      <c r="B44" s="51" t="s">
        <v>31</v>
      </c>
      <c r="C44" s="52" t="s">
        <v>8</v>
      </c>
      <c r="D44" s="242">
        <f>D38+SUM(D41:D43)</f>
        <v>0</v>
      </c>
      <c r="E44" s="242">
        <f>E38+SUM(E41:E43)</f>
        <v>159762</v>
      </c>
      <c r="F44" s="242">
        <f>F38+SUM(F41:F43)</f>
        <v>171735</v>
      </c>
      <c r="G44" s="242">
        <f>G38+SUM(G41:G43)</f>
        <v>187411</v>
      </c>
      <c r="H44" s="242">
        <f>H38+SUM(H41:H43)</f>
        <v>210187</v>
      </c>
    </row>
    <row r="45" spans="1:8" ht="15" customHeight="1" x14ac:dyDescent="0.35">
      <c r="A45" s="3"/>
      <c r="B45" s="51"/>
      <c r="C45" s="52"/>
      <c r="D45" s="53"/>
      <c r="E45" s="53"/>
      <c r="F45" s="53"/>
      <c r="G45" s="53"/>
      <c r="H45" s="53"/>
    </row>
    <row r="46" spans="1:8" ht="15" customHeight="1" x14ac:dyDescent="0.35">
      <c r="A46" s="3"/>
      <c r="B46" s="51"/>
      <c r="C46" s="52"/>
      <c r="D46" s="53"/>
      <c r="E46" s="53"/>
      <c r="F46" s="53"/>
      <c r="G46" s="53"/>
      <c r="H46" s="53"/>
    </row>
    <row r="47" spans="1:8" ht="15" customHeight="1" x14ac:dyDescent="0.35">
      <c r="A47" s="3"/>
      <c r="B47" s="17" t="s">
        <v>32</v>
      </c>
      <c r="C47" s="41" t="s">
        <v>8</v>
      </c>
      <c r="D47" s="233"/>
      <c r="E47" s="233">
        <v>64115</v>
      </c>
      <c r="F47" s="233">
        <v>62611</v>
      </c>
      <c r="G47" s="233">
        <v>68960</v>
      </c>
      <c r="H47" s="233">
        <v>69860</v>
      </c>
    </row>
    <row r="48" spans="1:8" ht="15" customHeight="1" x14ac:dyDescent="0.35">
      <c r="A48" s="3"/>
      <c r="B48" s="17" t="s">
        <v>33</v>
      </c>
      <c r="C48" s="41" t="s">
        <v>8</v>
      </c>
      <c r="D48" s="233"/>
      <c r="E48" s="233">
        <v>21110</v>
      </c>
      <c r="F48" s="233">
        <v>15807</v>
      </c>
      <c r="G48" s="233">
        <v>20879</v>
      </c>
      <c r="H48" s="233">
        <v>20329</v>
      </c>
    </row>
    <row r="49" spans="1:8" ht="15" customHeight="1" x14ac:dyDescent="0.35">
      <c r="A49" s="3"/>
      <c r="B49" s="17" t="s">
        <v>34</v>
      </c>
      <c r="C49" s="41" t="s">
        <v>8</v>
      </c>
      <c r="D49" s="233"/>
      <c r="E49" s="233">
        <v>6552</v>
      </c>
      <c r="F49" s="233">
        <v>8819</v>
      </c>
      <c r="G49" s="233">
        <v>26601</v>
      </c>
      <c r="H49" s="233">
        <v>13016</v>
      </c>
    </row>
    <row r="50" spans="1:8" ht="15" customHeight="1" x14ac:dyDescent="0.35">
      <c r="A50" s="3"/>
      <c r="B50" s="17" t="s">
        <v>35</v>
      </c>
      <c r="C50" s="41" t="s">
        <v>8</v>
      </c>
      <c r="D50" s="235"/>
      <c r="E50" s="235">
        <v>52630</v>
      </c>
      <c r="F50" s="235">
        <v>50010</v>
      </c>
      <c r="G50" s="235">
        <v>44024</v>
      </c>
      <c r="H50" s="235">
        <v>44452</v>
      </c>
    </row>
    <row r="51" spans="1:8" ht="15" customHeight="1" x14ac:dyDescent="0.35">
      <c r="A51" s="3"/>
      <c r="B51" s="51" t="s">
        <v>36</v>
      </c>
      <c r="C51" s="52" t="s">
        <v>8</v>
      </c>
      <c r="D51" s="241">
        <f>SUM(D47:D50)</f>
        <v>0</v>
      </c>
      <c r="E51" s="241">
        <f>SUM(E47:E50)</f>
        <v>144407</v>
      </c>
      <c r="F51" s="241">
        <f>SUM(F47:F50)</f>
        <v>137247</v>
      </c>
      <c r="G51" s="241">
        <f>SUM(G47:G50)</f>
        <v>160464</v>
      </c>
      <c r="H51" s="241">
        <f>SUM(H47:H50)</f>
        <v>147657</v>
      </c>
    </row>
    <row r="52" spans="1:8" ht="15" customHeight="1" x14ac:dyDescent="0.35">
      <c r="A52" s="3"/>
      <c r="B52" s="51"/>
      <c r="C52" s="52"/>
      <c r="D52" s="53"/>
      <c r="E52" s="53"/>
      <c r="F52" s="53"/>
      <c r="G52" s="53"/>
      <c r="H52" s="53"/>
    </row>
    <row r="53" spans="1:8" ht="15" customHeight="1" x14ac:dyDescent="0.35">
      <c r="A53" s="3"/>
      <c r="B53" s="51"/>
      <c r="C53" s="52"/>
      <c r="D53" s="53"/>
      <c r="E53" s="53"/>
      <c r="F53" s="53"/>
      <c r="G53" s="53"/>
      <c r="H53" s="53"/>
    </row>
    <row r="54" spans="1:8" ht="15" customHeight="1" x14ac:dyDescent="0.35">
      <c r="A54" s="3"/>
      <c r="B54" s="17" t="s">
        <v>37</v>
      </c>
      <c r="C54" s="41" t="s">
        <v>8</v>
      </c>
      <c r="D54" s="235"/>
      <c r="E54" s="235">
        <v>98959</v>
      </c>
      <c r="F54" s="235">
        <v>95281</v>
      </c>
      <c r="G54" s="235">
        <v>85750</v>
      </c>
      <c r="H54" s="235">
        <v>78328</v>
      </c>
    </row>
    <row r="55" spans="1:8" ht="15" customHeight="1" x14ac:dyDescent="0.35">
      <c r="A55" s="3"/>
      <c r="B55" s="54" t="s">
        <v>38</v>
      </c>
      <c r="C55" s="52" t="s">
        <v>8</v>
      </c>
      <c r="D55" s="241">
        <f>D51+D54</f>
        <v>0</v>
      </c>
      <c r="E55" s="241">
        <f>E51+E54</f>
        <v>243366</v>
      </c>
      <c r="F55" s="241">
        <f>F51+F54</f>
        <v>232528</v>
      </c>
      <c r="G55" s="241">
        <f>G51+G54</f>
        <v>246214</v>
      </c>
      <c r="H55" s="241">
        <f>H51+H54</f>
        <v>225985</v>
      </c>
    </row>
    <row r="56" spans="1:8" ht="15" customHeight="1" x14ac:dyDescent="0.35">
      <c r="A56" s="3"/>
      <c r="B56" s="54"/>
      <c r="C56" s="52"/>
      <c r="D56" s="53"/>
      <c r="E56" s="53"/>
      <c r="F56" s="53"/>
      <c r="G56" s="53"/>
      <c r="H56" s="53"/>
    </row>
    <row r="57" spans="1:8" ht="15" customHeight="1" x14ac:dyDescent="0.35">
      <c r="A57" s="3"/>
      <c r="B57" s="54"/>
      <c r="C57" s="52"/>
      <c r="D57" s="53"/>
      <c r="E57" s="53"/>
      <c r="F57" s="53"/>
      <c r="G57" s="53"/>
      <c r="H57" s="53"/>
    </row>
    <row r="58" spans="1:8" ht="15" customHeight="1" x14ac:dyDescent="0.35">
      <c r="A58" s="3"/>
      <c r="B58" s="17" t="s">
        <v>39</v>
      </c>
      <c r="C58" s="41" t="s">
        <v>8</v>
      </c>
      <c r="D58" s="233"/>
      <c r="E58" s="233">
        <v>64849</v>
      </c>
      <c r="F58" s="233">
        <v>73812</v>
      </c>
      <c r="G58" s="233">
        <v>83276</v>
      </c>
      <c r="H58" s="233">
        <v>93568</v>
      </c>
    </row>
    <row r="59" spans="1:8" ht="15" customHeight="1" x14ac:dyDescent="0.35">
      <c r="A59" s="3"/>
      <c r="B59" s="17" t="s">
        <v>40</v>
      </c>
      <c r="C59" s="41" t="s">
        <v>8</v>
      </c>
      <c r="D59" s="243"/>
      <c r="E59" s="243">
        <v>-3068</v>
      </c>
      <c r="F59" s="243">
        <v>-214</v>
      </c>
      <c r="G59" s="243">
        <v>-19154</v>
      </c>
      <c r="H59" s="243">
        <v>-14264</v>
      </c>
    </row>
    <row r="60" spans="1:8" ht="15" customHeight="1" x14ac:dyDescent="0.35">
      <c r="A60" s="3"/>
      <c r="B60" s="54" t="s">
        <v>41</v>
      </c>
      <c r="C60" s="52" t="s">
        <v>8</v>
      </c>
      <c r="D60" s="241">
        <f>D58+D59</f>
        <v>0</v>
      </c>
      <c r="E60" s="241">
        <f>E58+E59</f>
        <v>61781</v>
      </c>
      <c r="F60" s="241">
        <f>F58+F59</f>
        <v>73598</v>
      </c>
      <c r="G60" s="241">
        <f>G58+G59</f>
        <v>64122</v>
      </c>
      <c r="H60" s="241">
        <f>H58+H59</f>
        <v>79304</v>
      </c>
    </row>
    <row r="61" spans="1:8" ht="15" customHeight="1" x14ac:dyDescent="0.35">
      <c r="A61" s="3"/>
      <c r="B61" s="54"/>
      <c r="C61" s="52"/>
      <c r="D61" s="53"/>
      <c r="E61" s="53"/>
      <c r="F61" s="53"/>
      <c r="G61" s="53"/>
      <c r="H61" s="53"/>
    </row>
    <row r="62" spans="1:8" ht="15" customHeight="1" x14ac:dyDescent="0.35">
      <c r="A62" s="3"/>
      <c r="B62" s="54"/>
      <c r="C62" s="52"/>
      <c r="D62" s="53"/>
      <c r="E62" s="53"/>
      <c r="F62" s="53"/>
      <c r="G62" s="53"/>
      <c r="H62" s="53"/>
    </row>
    <row r="63" spans="1:8" ht="15" customHeight="1" thickBot="1" x14ac:dyDescent="0.4">
      <c r="A63" s="3"/>
      <c r="B63" s="54" t="s">
        <v>42</v>
      </c>
      <c r="C63" s="52" t="s">
        <v>8</v>
      </c>
      <c r="D63" s="242">
        <f>D55+D60</f>
        <v>0</v>
      </c>
      <c r="E63" s="242">
        <f>E55+E60</f>
        <v>305147</v>
      </c>
      <c r="F63" s="242">
        <f>F55+F60</f>
        <v>306126</v>
      </c>
      <c r="G63" s="242">
        <f>G55+G60</f>
        <v>310336</v>
      </c>
      <c r="H63" s="242">
        <f>H55+H60</f>
        <v>305289</v>
      </c>
    </row>
    <row r="64" spans="1:8" ht="15" customHeight="1" x14ac:dyDescent="0.35">
      <c r="A64" s="3"/>
      <c r="B64" s="54"/>
      <c r="C64" s="52"/>
      <c r="D64" s="53"/>
      <c r="E64" s="53"/>
      <c r="F64" s="53"/>
      <c r="G64" s="53"/>
      <c r="H64" s="53"/>
    </row>
    <row r="65" spans="1:8" ht="15" customHeight="1" x14ac:dyDescent="0.35">
      <c r="A65" s="3"/>
      <c r="B65" s="54"/>
      <c r="C65" s="52"/>
      <c r="D65" s="53"/>
      <c r="E65" s="53"/>
      <c r="F65" s="53"/>
      <c r="G65" s="53"/>
      <c r="H65" s="53"/>
    </row>
    <row r="66" spans="1:8" ht="15" customHeight="1" x14ac:dyDescent="0.35">
      <c r="A66" s="3"/>
      <c r="B66" s="14"/>
      <c r="C66" s="9"/>
      <c r="D66" s="42"/>
      <c r="E66" s="42"/>
      <c r="F66" s="42"/>
      <c r="G66" s="42"/>
      <c r="H66" s="42"/>
    </row>
    <row r="67" spans="1:8" ht="18" customHeight="1" x14ac:dyDescent="0.5">
      <c r="A67" s="112"/>
      <c r="B67" s="49" t="s">
        <v>43</v>
      </c>
      <c r="C67" s="44"/>
      <c r="D67" s="7"/>
      <c r="E67" s="45"/>
      <c r="F67" s="45"/>
      <c r="G67" s="45"/>
      <c r="H67" s="45"/>
    </row>
    <row r="68" spans="1:8" ht="18" customHeight="1" x14ac:dyDescent="0.5">
      <c r="A68" s="112"/>
      <c r="B68" s="125"/>
      <c r="C68" s="116"/>
      <c r="D68" s="126"/>
      <c r="E68" s="126"/>
      <c r="F68" s="126"/>
      <c r="G68" s="126"/>
      <c r="H68" s="126"/>
    </row>
    <row r="69" spans="1:8" ht="15" customHeight="1" x14ac:dyDescent="0.35">
      <c r="A69" s="3"/>
      <c r="B69" s="17" t="s">
        <v>19</v>
      </c>
      <c r="C69" s="41" t="s">
        <v>8</v>
      </c>
      <c r="D69" s="236">
        <f>D26</f>
        <v>0</v>
      </c>
      <c r="E69" s="236">
        <f>E26</f>
        <v>90694</v>
      </c>
      <c r="F69" s="236">
        <f>F26</f>
        <v>87496</v>
      </c>
      <c r="G69" s="236">
        <f>G26</f>
        <v>84845</v>
      </c>
      <c r="H69" s="236">
        <f>H26</f>
        <v>102457</v>
      </c>
    </row>
    <row r="70" spans="1:8" ht="15" customHeight="1" x14ac:dyDescent="0.35">
      <c r="A70" s="3"/>
      <c r="B70" s="17" t="s">
        <v>13</v>
      </c>
      <c r="C70" s="41" t="s">
        <v>8</v>
      </c>
      <c r="D70" s="236">
        <f>-D16</f>
        <v>0</v>
      </c>
      <c r="E70" s="236">
        <f>-E16</f>
        <v>11104</v>
      </c>
      <c r="F70" s="236">
        <f>-F16</f>
        <v>11519</v>
      </c>
      <c r="G70" s="236">
        <f>-G16</f>
        <v>11445</v>
      </c>
      <c r="H70" s="236">
        <f>-H16</f>
        <v>11698</v>
      </c>
    </row>
    <row r="71" spans="1:8" ht="15" customHeight="1" x14ac:dyDescent="0.35">
      <c r="A71" s="3"/>
      <c r="B71" s="17" t="s">
        <v>44</v>
      </c>
      <c r="C71" s="41" t="s">
        <v>8</v>
      </c>
      <c r="D71" s="233"/>
      <c r="E71" s="233">
        <v>-9343</v>
      </c>
      <c r="F71" s="233">
        <v>-417</v>
      </c>
      <c r="G71" s="233">
        <v>-5144</v>
      </c>
      <c r="H71" s="233">
        <v>-7029</v>
      </c>
    </row>
    <row r="72" spans="1:8" ht="15" customHeight="1" x14ac:dyDescent="0.35">
      <c r="A72" s="3"/>
      <c r="B72" s="17" t="s">
        <v>45</v>
      </c>
      <c r="C72" s="41" t="s">
        <v>8</v>
      </c>
      <c r="D72" s="233"/>
      <c r="E72" s="233">
        <v>1484</v>
      </c>
      <c r="F72" s="233">
        <v>-1618</v>
      </c>
      <c r="G72" s="233">
        <v>-1046</v>
      </c>
      <c r="H72" s="233">
        <v>1400</v>
      </c>
    </row>
    <row r="73" spans="1:8" ht="15" customHeight="1" x14ac:dyDescent="0.35">
      <c r="A73" s="3"/>
      <c r="B73" s="17" t="s">
        <v>46</v>
      </c>
      <c r="C73" s="41" t="s">
        <v>8</v>
      </c>
      <c r="D73" s="233"/>
      <c r="E73" s="233">
        <v>9448</v>
      </c>
      <c r="F73" s="233">
        <v>-1889</v>
      </c>
      <c r="G73" s="233">
        <v>6020</v>
      </c>
      <c r="H73" s="233">
        <v>902</v>
      </c>
    </row>
    <row r="74" spans="1:8" ht="15" customHeight="1" x14ac:dyDescent="0.35">
      <c r="A74" s="3"/>
      <c r="B74" s="17" t="s">
        <v>47</v>
      </c>
      <c r="C74" s="41" t="s">
        <v>8</v>
      </c>
      <c r="D74" s="233"/>
      <c r="E74" s="233">
        <v>1006</v>
      </c>
      <c r="F74" s="233">
        <v>-2227</v>
      </c>
      <c r="G74" s="233">
        <v>-2266</v>
      </c>
      <c r="H74" s="233">
        <v>-89</v>
      </c>
    </row>
    <row r="75" spans="1:8" ht="15" customHeight="1" thickBot="1" x14ac:dyDescent="0.4">
      <c r="A75" s="3"/>
      <c r="B75" s="51" t="s">
        <v>48</v>
      </c>
      <c r="C75" s="52" t="s">
        <v>8</v>
      </c>
      <c r="D75" s="242">
        <f>SUM(D69:D74)</f>
        <v>0</v>
      </c>
      <c r="E75" s="242">
        <f>SUM(E69:E74)</f>
        <v>104393</v>
      </c>
      <c r="F75" s="242">
        <f>SUM(F69:F74)</f>
        <v>92864</v>
      </c>
      <c r="G75" s="242">
        <f>SUM(G69:G74)</f>
        <v>93854</v>
      </c>
      <c r="H75" s="242">
        <f>SUM(H69:H74)</f>
        <v>109339</v>
      </c>
    </row>
    <row r="76" spans="1:8" ht="15" customHeight="1" x14ac:dyDescent="0.35">
      <c r="A76" s="3"/>
      <c r="B76" s="51"/>
      <c r="C76" s="52"/>
      <c r="D76" s="53"/>
      <c r="E76" s="53"/>
      <c r="F76" s="53"/>
      <c r="G76" s="53"/>
      <c r="H76" s="53"/>
    </row>
    <row r="77" spans="1:8" ht="15" customHeight="1" x14ac:dyDescent="0.35">
      <c r="A77" s="3"/>
      <c r="B77" s="51"/>
      <c r="C77" s="52"/>
      <c r="D77" s="53"/>
      <c r="E77" s="53"/>
      <c r="F77" s="53"/>
      <c r="G77" s="53"/>
      <c r="H77" s="53"/>
    </row>
    <row r="78" spans="1:8" ht="15" customHeight="1" x14ac:dyDescent="0.35">
      <c r="A78" s="3"/>
      <c r="B78" s="17" t="s">
        <v>49</v>
      </c>
      <c r="C78" s="41" t="s">
        <v>8</v>
      </c>
      <c r="D78" s="233"/>
      <c r="E78" s="233">
        <v>-10708</v>
      </c>
      <c r="F78" s="233">
        <v>-10959</v>
      </c>
      <c r="G78" s="233">
        <v>-9447</v>
      </c>
      <c r="H78" s="233">
        <v>-12715</v>
      </c>
    </row>
    <row r="79" spans="1:8" ht="15" customHeight="1" x14ac:dyDescent="0.35">
      <c r="A79" s="3"/>
      <c r="B79" s="17" t="s">
        <v>50</v>
      </c>
      <c r="C79" s="41" t="s">
        <v>8</v>
      </c>
      <c r="D79" s="233"/>
      <c r="E79" s="233">
        <v>-76923</v>
      </c>
      <c r="F79" s="233">
        <v>-29513</v>
      </c>
      <c r="G79" s="233">
        <v>-48656</v>
      </c>
      <c r="H79" s="233">
        <v>-24407</v>
      </c>
    </row>
    <row r="80" spans="1:8" ht="15" customHeight="1" thickBot="1" x14ac:dyDescent="0.4">
      <c r="A80" s="3"/>
      <c r="B80" s="54" t="s">
        <v>51</v>
      </c>
      <c r="C80" s="52" t="s">
        <v>8</v>
      </c>
      <c r="D80" s="242">
        <f>SUM(D78:D79)</f>
        <v>0</v>
      </c>
      <c r="E80" s="242">
        <f>SUM(E78:E79)</f>
        <v>-87631</v>
      </c>
      <c r="F80" s="242">
        <f>SUM(F78:F79)</f>
        <v>-40472</v>
      </c>
      <c r="G80" s="242">
        <f>SUM(G78:G79)</f>
        <v>-58103</v>
      </c>
      <c r="H80" s="242">
        <f>SUM(H78:H79)</f>
        <v>-37122</v>
      </c>
    </row>
    <row r="81" spans="1:8" ht="15" customHeight="1" x14ac:dyDescent="0.35">
      <c r="A81" s="3"/>
      <c r="B81" s="54"/>
      <c r="C81" s="52"/>
      <c r="D81" s="53"/>
      <c r="E81" s="53"/>
      <c r="F81" s="53"/>
      <c r="G81" s="53"/>
      <c r="H81" s="53"/>
    </row>
    <row r="82" spans="1:8" ht="15" customHeight="1" x14ac:dyDescent="0.35">
      <c r="A82" s="3"/>
      <c r="B82" s="54"/>
      <c r="C82" s="52"/>
      <c r="D82" s="53"/>
      <c r="E82" s="53"/>
      <c r="F82" s="53"/>
      <c r="G82" s="53"/>
      <c r="H82" s="53"/>
    </row>
    <row r="83" spans="1:8" ht="15" customHeight="1" x14ac:dyDescent="0.35">
      <c r="A83" s="3"/>
      <c r="B83" s="17" t="s">
        <v>52</v>
      </c>
      <c r="C83" s="41" t="s">
        <v>8</v>
      </c>
      <c r="D83" s="233"/>
      <c r="E83" s="233">
        <v>5465</v>
      </c>
      <c r="F83" s="233">
        <v>5228</v>
      </c>
      <c r="G83" s="233">
        <v>0</v>
      </c>
      <c r="H83" s="233">
        <v>4481</v>
      </c>
    </row>
    <row r="84" spans="1:8" ht="15" customHeight="1" x14ac:dyDescent="0.35">
      <c r="A84" s="3"/>
      <c r="B84" s="17" t="s">
        <v>53</v>
      </c>
      <c r="C84" s="41" t="s">
        <v>8</v>
      </c>
      <c r="D84" s="233"/>
      <c r="E84" s="233">
        <v>-89402</v>
      </c>
      <c r="F84" s="233">
        <v>-77550</v>
      </c>
      <c r="G84" s="233">
        <v>-94949</v>
      </c>
      <c r="H84" s="233">
        <v>-90711</v>
      </c>
    </row>
    <row r="85" spans="1:8" ht="15" customHeight="1" x14ac:dyDescent="0.35">
      <c r="A85" s="3"/>
      <c r="B85" s="17" t="s">
        <v>54</v>
      </c>
      <c r="C85" s="41" t="s">
        <v>8</v>
      </c>
      <c r="D85" s="233"/>
      <c r="E85" s="233">
        <v>-89402</v>
      </c>
      <c r="F85" s="233">
        <v>-77550</v>
      </c>
      <c r="G85" s="233">
        <v>-94949</v>
      </c>
      <c r="H85" s="233">
        <v>-90711</v>
      </c>
    </row>
    <row r="86" spans="1:8" ht="15" customHeight="1" thickBot="1" x14ac:dyDescent="0.4">
      <c r="A86" s="3"/>
      <c r="B86" s="51" t="s">
        <v>55</v>
      </c>
      <c r="C86" s="52" t="s">
        <v>8</v>
      </c>
      <c r="D86" s="242">
        <f>SUM(D83:D85)</f>
        <v>0</v>
      </c>
      <c r="E86" s="242">
        <f>SUM(E83:E85)</f>
        <v>-173339</v>
      </c>
      <c r="F86" s="242">
        <f>SUM(F83:F85)</f>
        <v>-149872</v>
      </c>
      <c r="G86" s="242">
        <f>SUM(G83:G85)</f>
        <v>-189898</v>
      </c>
      <c r="H86" s="242">
        <f>SUM(H83:H85)</f>
        <v>-176941</v>
      </c>
    </row>
    <row r="87" spans="1:8" ht="15" customHeight="1" x14ac:dyDescent="0.35">
      <c r="A87" s="3"/>
      <c r="B87" s="51"/>
      <c r="C87" s="52"/>
      <c r="D87" s="53"/>
      <c r="E87" s="53"/>
      <c r="F87" s="53"/>
      <c r="G87" s="53"/>
      <c r="H87" s="53"/>
    </row>
    <row r="88" spans="1:8" ht="15" customHeight="1" x14ac:dyDescent="0.35">
      <c r="A88" s="3"/>
      <c r="B88" s="51"/>
      <c r="C88" s="52"/>
      <c r="D88" s="53"/>
      <c r="E88" s="53"/>
      <c r="F88" s="53"/>
      <c r="G88" s="53"/>
      <c r="H88" s="53"/>
    </row>
    <row r="89" spans="1:8" ht="15" customHeight="1" x14ac:dyDescent="0.35">
      <c r="A89" s="3"/>
      <c r="B89" s="54" t="s">
        <v>56</v>
      </c>
      <c r="C89" s="52" t="s">
        <v>8</v>
      </c>
      <c r="D89" s="241">
        <f>D75+D80+D86</f>
        <v>0</v>
      </c>
      <c r="E89" s="241">
        <f>E75+E80+E86</f>
        <v>-156577</v>
      </c>
      <c r="F89" s="241">
        <f>F75+F80+F86</f>
        <v>-97480</v>
      </c>
      <c r="G89" s="241">
        <f>G75+G80+G86</f>
        <v>-154147</v>
      </c>
      <c r="H89" s="241">
        <f>H75+H80+H86</f>
        <v>-104724</v>
      </c>
    </row>
    <row r="90" spans="1:8" ht="15" customHeight="1" x14ac:dyDescent="0.35">
      <c r="A90" s="3"/>
      <c r="B90" s="17" t="s">
        <v>57</v>
      </c>
      <c r="C90" s="41" t="s">
        <v>8</v>
      </c>
      <c r="D90" s="233"/>
      <c r="E90" s="233">
        <v>35929</v>
      </c>
      <c r="F90" s="233">
        <v>24977</v>
      </c>
      <c r="G90" s="233">
        <v>30737</v>
      </c>
      <c r="H90" s="233">
        <v>29943</v>
      </c>
    </row>
    <row r="91" spans="1:8" ht="15" customHeight="1" thickBot="1" x14ac:dyDescent="0.4">
      <c r="A91" s="3"/>
      <c r="B91" s="54" t="s">
        <v>58</v>
      </c>
      <c r="C91" s="52" t="s">
        <v>8</v>
      </c>
      <c r="D91" s="242">
        <f>D90+D89</f>
        <v>0</v>
      </c>
      <c r="E91" s="242">
        <f>E90+E89</f>
        <v>-120648</v>
      </c>
      <c r="F91" s="242">
        <f>F90+F89</f>
        <v>-72503</v>
      </c>
      <c r="G91" s="242">
        <f>G90+G89</f>
        <v>-123410</v>
      </c>
      <c r="H91" s="242">
        <f>H90+H89</f>
        <v>-74781</v>
      </c>
    </row>
    <row r="92" spans="1:8" ht="15" customHeight="1" x14ac:dyDescent="0.35">
      <c r="A92" s="3"/>
      <c r="B92" s="14"/>
      <c r="C92" s="9"/>
      <c r="D92" s="42"/>
      <c r="E92" s="42"/>
      <c r="F92" s="42"/>
      <c r="G92" s="42"/>
      <c r="H92" s="42"/>
    </row>
    <row r="93" spans="1:8" ht="18" customHeight="1" x14ac:dyDescent="0.5">
      <c r="A93" s="112"/>
      <c r="B93" s="49" t="s">
        <v>59</v>
      </c>
      <c r="C93" s="44"/>
      <c r="D93" s="7"/>
      <c r="E93" s="45"/>
      <c r="F93" s="45"/>
      <c r="G93" s="45"/>
      <c r="H93" s="45"/>
    </row>
    <row r="94" spans="1:8" ht="18" customHeight="1" x14ac:dyDescent="0.5">
      <c r="A94" s="112"/>
      <c r="B94" s="125"/>
      <c r="C94" s="116"/>
      <c r="D94" s="126"/>
      <c r="E94" s="126"/>
      <c r="F94" s="126"/>
      <c r="G94" s="126"/>
      <c r="H94" s="126"/>
    </row>
    <row r="95" spans="1:8" ht="15" customHeight="1" x14ac:dyDescent="0.35">
      <c r="A95" s="3"/>
      <c r="B95" s="17" t="s">
        <v>60</v>
      </c>
      <c r="C95" s="41" t="s">
        <v>61</v>
      </c>
      <c r="D95" s="233"/>
      <c r="E95" s="233">
        <v>130</v>
      </c>
      <c r="F95" s="233">
        <v>175</v>
      </c>
      <c r="G95" s="233">
        <v>226</v>
      </c>
      <c r="H95" s="233">
        <v>261.3</v>
      </c>
    </row>
    <row r="96" spans="1:8" ht="15" customHeight="1" x14ac:dyDescent="0.35">
      <c r="A96" s="3"/>
      <c r="B96" s="17" t="s">
        <v>62</v>
      </c>
      <c r="C96" s="41" t="s">
        <v>63</v>
      </c>
      <c r="D96" s="237"/>
      <c r="E96" s="237">
        <v>16215</v>
      </c>
      <c r="F96" s="237">
        <v>15813</v>
      </c>
      <c r="G96" s="237">
        <v>15408</v>
      </c>
      <c r="H96" s="237">
        <v>14681.14</v>
      </c>
    </row>
    <row r="97" spans="1:8" ht="15" customHeight="1" x14ac:dyDescent="0.35">
      <c r="A97" s="3"/>
      <c r="B97" s="17" t="s">
        <v>64</v>
      </c>
      <c r="C97" s="41" t="s">
        <v>8</v>
      </c>
      <c r="D97" s="241">
        <f>D95*D96</f>
        <v>0</v>
      </c>
      <c r="E97" s="241">
        <f>E95*E96</f>
        <v>2107950</v>
      </c>
      <c r="F97" s="241">
        <f>F95*F96</f>
        <v>2767275</v>
      </c>
      <c r="G97" s="241">
        <f>G95*G96</f>
        <v>3482208</v>
      </c>
      <c r="H97" s="241">
        <f>H95*H96</f>
        <v>3836181.8820000002</v>
      </c>
    </row>
    <row r="98" spans="1:8" ht="15" customHeight="1" x14ac:dyDescent="0.35">
      <c r="A98" s="3"/>
      <c r="B98" s="14" t="s">
        <v>65</v>
      </c>
      <c r="C98" s="41" t="s">
        <v>8</v>
      </c>
      <c r="D98" s="241">
        <f>D97+D54+D48-D34</f>
        <v>0</v>
      </c>
      <c r="E98" s="241">
        <f>E97+E54+E48-E34</f>
        <v>2204373</v>
      </c>
      <c r="F98" s="241">
        <f>F97+F54+F48-F34</f>
        <v>2848398</v>
      </c>
      <c r="G98" s="241">
        <f>G97+G54+G48-G34</f>
        <v>3558894</v>
      </c>
      <c r="H98" s="241">
        <f>H97+H54+H48-H34</f>
        <v>3898904.8820000002</v>
      </c>
    </row>
    <row r="99" spans="1:8" ht="15" customHeight="1" x14ac:dyDescent="0.35">
      <c r="A99" s="3"/>
      <c r="B99" s="17" t="s">
        <v>66</v>
      </c>
      <c r="C99" s="41" t="s">
        <v>67</v>
      </c>
      <c r="D99" s="233"/>
      <c r="E99" s="424"/>
      <c r="F99" s="424"/>
      <c r="G99" s="424"/>
      <c r="H99" s="425">
        <v>1.109</v>
      </c>
    </row>
    <row r="100" spans="1:8" ht="15" customHeight="1" x14ac:dyDescent="0.35">
      <c r="A100" s="3"/>
      <c r="B100" s="17" t="s">
        <v>68</v>
      </c>
      <c r="C100" s="41" t="s">
        <v>69</v>
      </c>
      <c r="D100" s="233"/>
      <c r="E100" s="426"/>
      <c r="F100" s="426"/>
      <c r="G100" s="426"/>
      <c r="H100" s="427">
        <v>4.2999999999999997E-2</v>
      </c>
    </row>
    <row r="101" spans="1:8" ht="15" customHeight="1" x14ac:dyDescent="0.35">
      <c r="A101" s="3"/>
      <c r="B101" s="17" t="s">
        <v>70</v>
      </c>
      <c r="C101" s="41" t="s">
        <v>69</v>
      </c>
      <c r="D101" s="233"/>
      <c r="E101" s="426"/>
      <c r="F101" s="426"/>
      <c r="G101" s="426"/>
      <c r="H101" s="427">
        <v>5.5E-2</v>
      </c>
    </row>
    <row r="102" spans="1:8" ht="15" customHeight="1" x14ac:dyDescent="0.35">
      <c r="A102" s="3"/>
      <c r="B102" s="17" t="s">
        <v>71</v>
      </c>
      <c r="C102" s="41" t="s">
        <v>69</v>
      </c>
      <c r="D102" s="236">
        <v>0.10829999999999999</v>
      </c>
      <c r="E102" s="428">
        <v>0.10829999999999999</v>
      </c>
      <c r="F102" s="428">
        <v>0.10630000000000001</v>
      </c>
      <c r="G102" s="428">
        <v>0.10630000000000001</v>
      </c>
      <c r="H102" s="428">
        <v>0.10630000000000001</v>
      </c>
    </row>
    <row r="103" spans="1:8" ht="15" customHeight="1" x14ac:dyDescent="0.35">
      <c r="A103" s="3"/>
      <c r="B103" s="17" t="s">
        <v>72</v>
      </c>
      <c r="C103" s="41" t="s">
        <v>69</v>
      </c>
      <c r="D103" s="233"/>
      <c r="E103" s="427"/>
      <c r="F103" s="427"/>
      <c r="G103" s="427"/>
      <c r="H103" s="427">
        <v>5.8000000000000003E-2</v>
      </c>
    </row>
    <row r="104" spans="1:8" ht="15" customHeight="1" x14ac:dyDescent="0.35">
      <c r="A104" s="3"/>
      <c r="B104" s="17" t="s">
        <v>73</v>
      </c>
      <c r="C104" s="41" t="s">
        <v>69</v>
      </c>
      <c r="D104" s="233"/>
      <c r="E104" s="426">
        <v>0.16200000000000001</v>
      </c>
      <c r="F104" s="426">
        <v>0.1472</v>
      </c>
      <c r="G104" s="426">
        <v>0.2409</v>
      </c>
      <c r="H104" s="427">
        <v>0.15570000000000001</v>
      </c>
    </row>
    <row r="105" spans="1:8" ht="15" customHeight="1" x14ac:dyDescent="0.35">
      <c r="A105" s="3"/>
      <c r="B105" s="17" t="s">
        <v>74</v>
      </c>
      <c r="C105" s="41" t="s">
        <v>69</v>
      </c>
      <c r="D105" s="236">
        <v>3.7900000000000003E-2</v>
      </c>
      <c r="E105" s="428">
        <v>3.7900000000000003E-2</v>
      </c>
      <c r="F105" s="428">
        <v>3.6299999999999999E-2</v>
      </c>
      <c r="G105" s="428">
        <v>3.6299999999999999E-2</v>
      </c>
      <c r="H105" s="428">
        <v>3.6299999999999999E-2</v>
      </c>
    </row>
    <row r="106" spans="1:8" ht="15" customHeight="1" x14ac:dyDescent="0.35">
      <c r="A106" s="3"/>
      <c r="B106" s="17" t="s">
        <v>75</v>
      </c>
      <c r="C106" s="41" t="s">
        <v>69</v>
      </c>
      <c r="D106" s="233"/>
      <c r="E106" s="426"/>
      <c r="F106" s="426"/>
      <c r="G106" s="426"/>
      <c r="H106" s="427">
        <v>0.97489999999999999</v>
      </c>
    </row>
    <row r="107" spans="1:8" ht="15" customHeight="1" x14ac:dyDescent="0.35">
      <c r="A107" s="3"/>
      <c r="B107" s="17" t="s">
        <v>76</v>
      </c>
      <c r="C107" s="41" t="s">
        <v>69</v>
      </c>
      <c r="D107" s="233"/>
      <c r="E107" s="426"/>
      <c r="F107" s="426"/>
      <c r="G107" s="426"/>
      <c r="H107" s="427">
        <v>2.5100000000000001E-2</v>
      </c>
    </row>
    <row r="108" spans="1:8" ht="15" customHeight="1" x14ac:dyDescent="0.35">
      <c r="A108" s="3"/>
      <c r="B108" s="14" t="s">
        <v>77</v>
      </c>
      <c r="C108" s="41" t="s">
        <v>69</v>
      </c>
      <c r="D108" s="233">
        <f>D106*(D100+D99*D101)+D107*D103*(1-D104)</f>
        <v>0</v>
      </c>
      <c r="E108" s="427">
        <f>E106*(E100+E99*E101)+E107*E103*(1-E104)</f>
        <v>0</v>
      </c>
      <c r="F108" s="427">
        <f>F106*(F100+F99*F101)+F107*F103*(1-F104)</f>
        <v>0</v>
      </c>
      <c r="G108" s="427">
        <f>G106*(G100+G99*G101)+G107*G103*(1-G104)</f>
        <v>0</v>
      </c>
      <c r="H108" s="427">
        <f>H106*(H100+H99*H101)+H107*H103*(1-H104)</f>
        <v>0.10261385744000001</v>
      </c>
    </row>
    <row r="109" spans="1:8" ht="15" customHeight="1" x14ac:dyDescent="0.35">
      <c r="A109" s="3"/>
      <c r="B109" s="17" t="s">
        <v>78</v>
      </c>
      <c r="C109" s="41" t="s">
        <v>69</v>
      </c>
      <c r="D109" s="233"/>
      <c r="E109" s="427"/>
      <c r="F109" s="427"/>
      <c r="G109" s="427"/>
      <c r="H109" s="427">
        <v>0.03</v>
      </c>
    </row>
    <row r="110" spans="1:8" ht="15" customHeight="1" x14ac:dyDescent="0.35">
      <c r="A110" s="3"/>
      <c r="B110" s="17" t="s">
        <v>79</v>
      </c>
      <c r="C110" s="41" t="s">
        <v>80</v>
      </c>
      <c r="D110" s="233"/>
      <c r="E110" s="423"/>
      <c r="F110" s="423"/>
      <c r="G110" s="423"/>
      <c r="H110" s="233">
        <v>365</v>
      </c>
    </row>
    <row r="111" spans="1:8" ht="15" customHeight="1" x14ac:dyDescent="0.35">
      <c r="A111" s="3"/>
      <c r="B111" s="14"/>
      <c r="C111" s="9"/>
      <c r="D111" s="42"/>
      <c r="E111" s="42"/>
      <c r="F111" s="42"/>
      <c r="G111" s="42"/>
      <c r="H111" s="42"/>
    </row>
    <row r="112" spans="1:8" ht="18" customHeight="1" x14ac:dyDescent="0.5">
      <c r="A112" s="112"/>
      <c r="B112" s="49" t="s">
        <v>81</v>
      </c>
      <c r="C112" s="44"/>
      <c r="D112" s="7"/>
      <c r="E112" s="45"/>
      <c r="F112" s="45"/>
      <c r="G112" s="45"/>
      <c r="H112" s="45"/>
    </row>
    <row r="113" spans="1:11" ht="18" customHeight="1" x14ac:dyDescent="0.5">
      <c r="A113" s="112"/>
      <c r="B113" s="125"/>
      <c r="C113" s="116"/>
      <c r="D113" s="126"/>
      <c r="E113" s="126"/>
      <c r="F113" s="126"/>
      <c r="G113" s="126"/>
      <c r="H113" s="126"/>
    </row>
    <row r="114" spans="1:11" ht="15" customHeight="1" x14ac:dyDescent="0.35">
      <c r="A114" s="3"/>
      <c r="B114" s="14" t="s">
        <v>82</v>
      </c>
      <c r="C114" s="41" t="s">
        <v>83</v>
      </c>
      <c r="D114" s="233" t="s">
        <v>84</v>
      </c>
      <c r="E114" s="42"/>
      <c r="F114" s="42"/>
      <c r="G114" s="42"/>
      <c r="H114" s="42"/>
    </row>
    <row r="115" spans="1:11" ht="15" customHeight="1" x14ac:dyDescent="0.35">
      <c r="A115" s="3"/>
      <c r="B115" s="14" t="s">
        <v>85</v>
      </c>
      <c r="C115" s="41" t="s">
        <v>83</v>
      </c>
      <c r="D115" s="233" t="s">
        <v>86</v>
      </c>
      <c r="E115" s="42"/>
      <c r="F115" s="42"/>
      <c r="G115" s="42"/>
      <c r="H115" s="42"/>
    </row>
    <row r="116" spans="1:11" ht="15" customHeight="1" x14ac:dyDescent="0.35">
      <c r="A116" s="3"/>
      <c r="B116" s="14" t="s">
        <v>87</v>
      </c>
      <c r="C116" s="41" t="s">
        <v>83</v>
      </c>
      <c r="D116" s="238" t="s">
        <v>88</v>
      </c>
      <c r="E116" s="42"/>
      <c r="F116" s="42"/>
      <c r="G116" s="42"/>
      <c r="H116" s="42"/>
    </row>
    <row r="117" spans="1:11" ht="15" customHeight="1" x14ac:dyDescent="0.35">
      <c r="A117" s="3"/>
      <c r="B117" s="76" t="s">
        <v>89</v>
      </c>
      <c r="C117" s="41" t="s">
        <v>83</v>
      </c>
      <c r="D117" s="84">
        <v>2025</v>
      </c>
      <c r="E117" s="42"/>
      <c r="F117" s="42"/>
      <c r="G117" s="42"/>
      <c r="H117" s="42"/>
    </row>
    <row r="118" spans="1:11" ht="15" customHeight="1" x14ac:dyDescent="0.35">
      <c r="A118" s="3"/>
      <c r="B118" s="14" t="s">
        <v>90</v>
      </c>
      <c r="C118" s="41" t="s">
        <v>83</v>
      </c>
      <c r="D118" s="233" t="s">
        <v>91</v>
      </c>
      <c r="E118" s="42"/>
      <c r="F118" s="42"/>
      <c r="G118" s="42"/>
      <c r="H118" s="42"/>
    </row>
    <row r="119" spans="1:11" ht="15" customHeight="1" x14ac:dyDescent="0.35">
      <c r="A119" s="3"/>
      <c r="B119" s="14" t="s">
        <v>92</v>
      </c>
      <c r="C119" s="41" t="s">
        <v>83</v>
      </c>
      <c r="D119" s="233" t="s">
        <v>93</v>
      </c>
      <c r="E119" s="42"/>
      <c r="F119" s="42"/>
      <c r="G119" s="42"/>
      <c r="H119" s="42"/>
    </row>
    <row r="120" spans="1:11" ht="15" customHeight="1" x14ac:dyDescent="0.35">
      <c r="A120" s="3"/>
      <c r="B120" s="14" t="s">
        <v>94</v>
      </c>
      <c r="C120" s="41" t="s">
        <v>83</v>
      </c>
      <c r="D120" s="239" t="s">
        <v>95</v>
      </c>
      <c r="E120" s="240"/>
      <c r="F120" s="240"/>
      <c r="G120" s="240"/>
      <c r="H120" s="240"/>
    </row>
    <row r="121" spans="1:11" ht="15" customHeight="1" x14ac:dyDescent="0.35">
      <c r="A121" s="3"/>
      <c r="B121" s="14"/>
      <c r="C121" s="9"/>
      <c r="D121" s="42"/>
      <c r="E121" s="42"/>
      <c r="F121" s="42"/>
      <c r="G121" s="42"/>
      <c r="H121" s="42"/>
    </row>
    <row r="122" spans="1:11" ht="15" customHeight="1" x14ac:dyDescent="0.35">
      <c r="A122" s="3"/>
      <c r="B122" s="50" t="s">
        <v>96</v>
      </c>
      <c r="C122" s="3"/>
      <c r="D122" s="22"/>
      <c r="E122" s="22"/>
      <c r="F122" s="22"/>
      <c r="G122" s="22"/>
      <c r="H122" s="22"/>
    </row>
    <row r="123" spans="1:11" ht="15" customHeight="1" x14ac:dyDescent="0.35">
      <c r="A123" s="3"/>
      <c r="B123" s="14"/>
      <c r="C123" s="3"/>
      <c r="D123" s="22"/>
      <c r="E123" s="22"/>
      <c r="F123" s="22"/>
      <c r="G123" s="22"/>
      <c r="H123" s="22"/>
    </row>
    <row r="124" spans="1:11" ht="15" customHeight="1" x14ac:dyDescent="0.35">
      <c r="A124" s="223"/>
      <c r="B124" s="32" t="s">
        <v>97</v>
      </c>
      <c r="C124" s="2"/>
      <c r="D124" s="25"/>
      <c r="E124" s="25"/>
      <c r="F124" s="25"/>
      <c r="G124" s="25"/>
      <c r="H124" s="25"/>
    </row>
    <row r="125" spans="1:11" ht="15" customHeight="1" x14ac:dyDescent="0.35">
      <c r="A125" s="223"/>
      <c r="B125" s="32" t="s">
        <v>98</v>
      </c>
      <c r="C125" s="2"/>
      <c r="D125" s="25"/>
      <c r="E125" s="25"/>
      <c r="F125" s="25"/>
      <c r="G125" s="25"/>
      <c r="H125" s="25"/>
    </row>
    <row r="126" spans="1:11" ht="15" customHeight="1" x14ac:dyDescent="0.35">
      <c r="A126" s="223"/>
      <c r="B126" s="32" t="s">
        <v>99</v>
      </c>
      <c r="C126" s="2"/>
      <c r="D126" s="25"/>
      <c r="E126" s="25"/>
      <c r="F126" s="25"/>
      <c r="G126" s="25"/>
      <c r="H126" s="25"/>
    </row>
    <row r="127" spans="1:11" ht="15" customHeight="1" x14ac:dyDescent="0.3">
      <c r="B127" s="47"/>
    </row>
    <row r="128" spans="1:11" ht="3" customHeight="1" x14ac:dyDescent="0.3">
      <c r="A128" s="332"/>
      <c r="B128" s="333"/>
      <c r="C128" s="332"/>
      <c r="D128" s="334">
        <f>IF(COUNTA(D9,D10,D14,D15,D16,D20,D21,D25)=8,1,0)+IF(COUNTA(E9,E10,E14,E15,E16,E20,E21,E25)=8,1,0)+IF(COUNTA(F9,F10,F14,F15,F16,F20,F21,F25)=8,1,0)+IF(COUNTA(G9,G10,G14,G15,G16,G20,G21,G25)=8,1,0)</f>
        <v>3</v>
      </c>
      <c r="E128" s="334"/>
      <c r="F128" s="334">
        <f>IF(D9&lt;&gt;"",1,0)+IF(E9&lt;&gt;"",1,0)+IF(F9&lt;&gt;"",1,0)+IF(G9&lt;&gt;"",1,0)+IF(H9&lt;&gt;"",1,0)</f>
        <v>4</v>
      </c>
      <c r="G128" s="334">
        <f>IF(NOT(ISBLANK(H9)),F128,IF(NOT(ISBLANK(G9)),F128,IF(NOT(ISBLANK(F9)),F128,IF(NOT(ISBLANK(E9)),F128,IF(NOT(ISBLANK(D9)),F128,0)))))</f>
        <v>4</v>
      </c>
      <c r="H128" s="334"/>
      <c r="I128" s="332"/>
      <c r="J128" s="332"/>
      <c r="K128" s="332"/>
    </row>
    <row r="129" spans="2:8" ht="15" customHeight="1" x14ac:dyDescent="0.3">
      <c r="B129" s="47"/>
    </row>
    <row r="130" spans="2:8" ht="15" customHeight="1" x14ac:dyDescent="0.3">
      <c r="B130" s="47"/>
    </row>
    <row r="131" spans="2:8" ht="15" customHeight="1" x14ac:dyDescent="0.3">
      <c r="B131" s="47"/>
    </row>
    <row r="132" spans="2:8" ht="15" customHeight="1" x14ac:dyDescent="0.3">
      <c r="B132" s="47"/>
      <c r="E132">
        <v>2022</v>
      </c>
      <c r="F132">
        <v>2023</v>
      </c>
      <c r="G132">
        <v>2024</v>
      </c>
      <c r="H132" t="s">
        <v>4</v>
      </c>
    </row>
    <row r="133" spans="2:8" ht="15" customHeight="1" x14ac:dyDescent="0.3">
      <c r="B133" s="47"/>
    </row>
    <row r="134" spans="2:8" ht="15" customHeight="1" x14ac:dyDescent="0.3">
      <c r="B134" s="47"/>
    </row>
    <row r="135" spans="2:8" ht="15" customHeight="1" x14ac:dyDescent="0.3">
      <c r="B135" s="47"/>
    </row>
    <row r="136" spans="2:8" ht="15" customHeight="1" x14ac:dyDescent="0.3">
      <c r="B136" s="47"/>
    </row>
    <row r="137" spans="2:8" ht="15" customHeight="1" x14ac:dyDescent="0.3">
      <c r="B137" s="47"/>
    </row>
    <row r="138" spans="2:8" ht="15" customHeight="1" x14ac:dyDescent="0.3">
      <c r="B138" s="47"/>
    </row>
    <row r="139" spans="2:8" ht="15" customHeight="1" x14ac:dyDescent="0.3">
      <c r="B139" s="47"/>
    </row>
    <row r="140" spans="2:8" ht="15" customHeight="1" x14ac:dyDescent="0.3">
      <c r="B140" s="47"/>
    </row>
    <row r="141" spans="2:8" ht="15" customHeight="1" x14ac:dyDescent="0.3">
      <c r="B141" s="47"/>
    </row>
    <row r="142" spans="2:8" ht="15" customHeight="1" x14ac:dyDescent="0.3">
      <c r="B142" s="47"/>
    </row>
    <row r="143" spans="2:8" ht="15" customHeight="1" x14ac:dyDescent="0.3">
      <c r="B143" s="47"/>
    </row>
    <row r="144" spans="2:8" ht="15" customHeight="1" x14ac:dyDescent="0.3">
      <c r="B144" s="47"/>
    </row>
    <row r="145" spans="2:2" ht="15" customHeight="1" x14ac:dyDescent="0.3">
      <c r="B145" s="47"/>
    </row>
    <row r="146" spans="2:2" ht="15" customHeight="1" x14ac:dyDescent="0.3">
      <c r="B146" s="47"/>
    </row>
    <row r="147" spans="2:2" ht="15" customHeight="1" x14ac:dyDescent="0.3">
      <c r="B147" s="47"/>
    </row>
    <row r="148" spans="2:2" ht="15" customHeight="1" x14ac:dyDescent="0.3">
      <c r="B148" s="47"/>
    </row>
    <row r="149" spans="2:2" ht="15" customHeight="1" x14ac:dyDescent="0.3">
      <c r="B149" s="47"/>
    </row>
    <row r="150" spans="2:2" ht="15" customHeight="1" x14ac:dyDescent="0.3">
      <c r="B150" s="47"/>
    </row>
    <row r="151" spans="2:2" ht="15" customHeight="1" x14ac:dyDescent="0.3">
      <c r="B151" s="47"/>
    </row>
  </sheetData>
  <conditionalFormatting sqref="D1">
    <cfRule type="expression" dxfId="6" priority="2">
      <formula>$F$128&lt;4</formula>
    </cfRule>
  </conditionalFormatting>
  <conditionalFormatting sqref="D2 D4 D6 D8:D31 D33:D66 D68:D92 D94:D111 D113:D122">
    <cfRule type="expression" dxfId="5" priority="8">
      <formula>$F$128&lt;5</formula>
    </cfRule>
  </conditionalFormatting>
  <conditionalFormatting sqref="D7">
    <cfRule type="expression" dxfId="4" priority="1">
      <formula>$F$128&lt;4</formula>
    </cfRule>
  </conditionalFormatting>
  <conditionalFormatting sqref="E1:E122">
    <cfRule type="expression" dxfId="3" priority="9">
      <formula>$F$128&lt;4</formula>
    </cfRule>
  </conditionalFormatting>
  <conditionalFormatting sqref="F1:F122">
    <cfRule type="expression" dxfId="2" priority="10">
      <formula>$F$128&lt;3</formula>
    </cfRule>
  </conditionalFormatting>
  <conditionalFormatting sqref="G1:G122">
    <cfRule type="expression" dxfId="1" priority="11">
      <formula>$F$128&lt;2</formula>
    </cfRule>
  </conditionalFormatting>
  <conditionalFormatting sqref="H1:H122">
    <cfRule type="expression" dxfId="0" priority="12">
      <formula>$F$128&lt;1</formula>
    </cfRule>
  </conditionalFormatting>
  <dataValidations count="1">
    <dataValidation type="list" allowBlank="1" showInputMessage="1" showErrorMessage="1" sqref="D116" xr:uid="{00000000-0002-0000-0000-000000000000}">
      <formula1>"Technologie / SaaS,Industrie / Manufacturing,Consommation / Retail,Luxe / Premium,Energie / Utilities,Sante / Pharma"</formula1>
    </dataValidation>
  </dataValidations>
  <printOptions horizontalCentered="1"/>
  <pageMargins left="5.5555555555555558E-3" right="5.5555555555555558E-3" top="6.9444444444444441E-3" bottom="6.9444444444444441E-3" header="2.7777777777777779E-3" footer="2.7777777777777779E-3"/>
  <pageSetup paperSize="9" scale="82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3"/>
  <sheetViews>
    <sheetView showGridLines="0" zoomScale="65" workbookViewId="0">
      <selection activeCell="G20" sqref="G20"/>
    </sheetView>
  </sheetViews>
  <sheetFormatPr baseColWidth="10" defaultRowHeight="14.4" x14ac:dyDescent="0.3"/>
  <cols>
    <col min="1" max="1" width="11" style="208" customWidth="1"/>
    <col min="2" max="2" width="49.5546875" style="19" customWidth="1"/>
    <col min="3" max="3" width="12.33203125" customWidth="1"/>
    <col min="4" max="8" width="13.33203125" style="21" customWidth="1"/>
  </cols>
  <sheetData>
    <row r="1" spans="1:8" ht="54.9" customHeight="1" x14ac:dyDescent="0.6">
      <c r="A1" s="204"/>
      <c r="B1" s="104" t="s">
        <v>100</v>
      </c>
      <c r="C1" s="5"/>
      <c r="D1" s="5"/>
      <c r="E1" s="29"/>
      <c r="F1" s="103" t="s">
        <v>101</v>
      </c>
      <c r="G1" s="29"/>
      <c r="H1" s="29"/>
    </row>
    <row r="2" spans="1:8" ht="15" customHeight="1" x14ac:dyDescent="0.35">
      <c r="A2" s="205"/>
      <c r="B2" s="14"/>
      <c r="C2" s="3"/>
      <c r="D2" s="464"/>
      <c r="E2" s="22"/>
      <c r="F2" s="22"/>
      <c r="G2" s="22"/>
      <c r="H2" s="22"/>
    </row>
    <row r="3" spans="1:8" ht="18" customHeight="1" x14ac:dyDescent="0.5">
      <c r="A3" s="206"/>
      <c r="B3" s="15" t="s">
        <v>102</v>
      </c>
      <c r="C3" s="7"/>
      <c r="D3" s="465"/>
      <c r="E3" s="23"/>
      <c r="F3" s="23"/>
      <c r="G3" s="23"/>
      <c r="H3" s="23"/>
    </row>
    <row r="4" spans="1:8" ht="15" customHeight="1" x14ac:dyDescent="0.35">
      <c r="A4" s="205"/>
      <c r="B4" s="13"/>
      <c r="C4" s="3"/>
      <c r="D4" s="464"/>
      <c r="E4" s="22"/>
      <c r="F4" s="22"/>
      <c r="G4" s="22"/>
      <c r="H4" s="22"/>
    </row>
    <row r="5" spans="1:8" ht="15" customHeight="1" x14ac:dyDescent="0.35">
      <c r="A5" s="207" t="s">
        <v>5</v>
      </c>
      <c r="B5" s="16" t="s">
        <v>103</v>
      </c>
      <c r="C5" s="16"/>
      <c r="D5" s="466"/>
      <c r="E5" s="1">
        <f>IF(INPUT!E5="","",INPUT!E5)</f>
        <v>2022</v>
      </c>
      <c r="F5" s="1">
        <f>IF(INPUT!F5="","",INPUT!F5)</f>
        <v>2023</v>
      </c>
      <c r="G5" s="1">
        <f>IF(INPUT!G5="","",INPUT!G5)</f>
        <v>2024</v>
      </c>
      <c r="H5" s="1" t="str">
        <f>IF(INPUT!H5="","",INPUT!H5)</f>
        <v>2025 (LTM)</v>
      </c>
    </row>
    <row r="6" spans="1:8" ht="15" customHeight="1" x14ac:dyDescent="0.35">
      <c r="A6" s="205"/>
      <c r="B6" s="14"/>
      <c r="C6" s="3"/>
      <c r="D6" s="464"/>
      <c r="E6" s="22"/>
      <c r="F6" s="22"/>
      <c r="G6" s="22"/>
      <c r="H6" s="22"/>
    </row>
    <row r="7" spans="1:8" ht="18" customHeight="1" x14ac:dyDescent="0.5">
      <c r="A7" s="206" t="s">
        <v>5</v>
      </c>
      <c r="B7" s="15" t="s">
        <v>104</v>
      </c>
      <c r="C7" s="7"/>
      <c r="D7" s="465"/>
      <c r="E7" s="23"/>
      <c r="F7" s="23"/>
      <c r="G7" s="23"/>
      <c r="H7" s="23"/>
    </row>
    <row r="8" spans="1:8" ht="18" customHeight="1" x14ac:dyDescent="0.5">
      <c r="A8" s="206"/>
      <c r="B8" s="110"/>
      <c r="C8" s="112"/>
      <c r="D8" s="467"/>
      <c r="E8" s="109"/>
      <c r="F8" s="109"/>
      <c r="G8" s="109"/>
      <c r="H8" s="109"/>
    </row>
    <row r="9" spans="1:8" ht="15" customHeight="1" x14ac:dyDescent="0.35">
      <c r="A9" s="205"/>
      <c r="B9" s="27" t="s">
        <v>105</v>
      </c>
      <c r="C9" s="9"/>
      <c r="D9" s="468" t="str">
        <f>IFERROR(INPUT!D95/( INPUT!D26/INPUT!D96),"–")</f>
        <v>–</v>
      </c>
      <c r="E9" s="244">
        <f>IFERROR(INPUT!E95/(INPUT!E26/INPUT!E96),"–")</f>
        <v>23.242441616865502</v>
      </c>
      <c r="F9" s="244">
        <f>IFERROR(INPUT!F95/(INPUT!F26/INPUT!F96),"–")</f>
        <v>31.627445826094906</v>
      </c>
      <c r="G9" s="244">
        <f>IFERROR(INPUT!G95/(INPUT!G26/INPUT!G96),"–")</f>
        <v>41.041994224762803</v>
      </c>
      <c r="H9" s="244">
        <f>IFERROR(INPUT!H95/(INPUT!H26/INPUT!H96),"–")</f>
        <v>37.441872024361437</v>
      </c>
    </row>
    <row r="10" spans="1:8" ht="15" customHeight="1" x14ac:dyDescent="0.35">
      <c r="A10" s="205"/>
      <c r="B10" s="27" t="s">
        <v>106</v>
      </c>
      <c r="C10" s="9"/>
      <c r="D10" s="468" t="str">
        <f>IFERROR(INPUT!D98/INPUT!D30,"–")</f>
        <v>–</v>
      </c>
      <c r="E10" s="244">
        <f>IFERROR(INPUT!E98/INPUT!E30,"–")</f>
        <v>18.45636611770222</v>
      </c>
      <c r="F10" s="244">
        <f>IFERROR(INPUT!F98/INPUT!F30,"–")</f>
        <v>24.920149430013737</v>
      </c>
      <c r="G10" s="244">
        <f>IFERROR(INPUT!G98/INPUT!G30,"–")</f>
        <v>28.883375535644721</v>
      </c>
      <c r="H10" s="244">
        <f>IFERROR(INPUT!H98/INPUT!H30,"–")</f>
        <v>29.304057737692599</v>
      </c>
    </row>
    <row r="11" spans="1:8" ht="15" customHeight="1" x14ac:dyDescent="0.35">
      <c r="A11" s="205"/>
      <c r="B11" s="27" t="s">
        <v>107</v>
      </c>
      <c r="C11" s="9"/>
      <c r="D11" s="468" t="str">
        <f>IFERROR(INPUT!D98/INPUT!D9,"–")</f>
        <v>–</v>
      </c>
      <c r="E11" s="244">
        <f>IFERROR(INPUT!E98/INPUT!E9,"–")</f>
        <v>5.5902015580937698</v>
      </c>
      <c r="F11" s="244">
        <f>IFERROR(INPUT!F98/INPUT!F9,"–")</f>
        <v>7.4315404985846039</v>
      </c>
      <c r="G11" s="244">
        <f>IFERROR(INPUT!G98/INPUT!G9,"–")</f>
        <v>9.1012160036825343</v>
      </c>
      <c r="H11" s="244">
        <f>IFERROR(INPUT!H98/INPUT!H9,"–")</f>
        <v>9.3687416216320134</v>
      </c>
    </row>
    <row r="12" spans="1:8" ht="15" customHeight="1" x14ac:dyDescent="0.35">
      <c r="A12" s="205"/>
      <c r="B12" s="27" t="s">
        <v>108</v>
      </c>
      <c r="C12" s="9"/>
      <c r="D12" s="468" t="str">
        <f>IFERROR(INPUT!D98/INPUT!D17,"–")</f>
        <v>–</v>
      </c>
      <c r="E12" s="244">
        <f>IFERROR(INPUT!E98/INPUT!E17,"–")</f>
        <v>20.348121071141758</v>
      </c>
      <c r="F12" s="244">
        <f>IFERROR(INPUT!F98/INPUT!F17,"–")</f>
        <v>27.713004222529236</v>
      </c>
      <c r="G12" s="244">
        <f>IFERROR(INPUT!G98/INPUT!G17,"–")</f>
        <v>31.840942641651232</v>
      </c>
      <c r="H12" s="244">
        <f>IFERROR(INPUT!H98/INPUT!H17,"–")</f>
        <v>32.128888539125853</v>
      </c>
    </row>
    <row r="13" spans="1:8" ht="15" customHeight="1" x14ac:dyDescent="0.35">
      <c r="A13" s="205"/>
      <c r="B13" s="27" t="s">
        <v>109</v>
      </c>
      <c r="C13" s="9"/>
      <c r="D13" s="468" t="str">
        <f>IFERROR(INPUT!D97/INPUT!D60,"–")</f>
        <v>–</v>
      </c>
      <c r="E13" s="244">
        <f>IFERROR(INPUT!E97/INPUT!E60,"–")</f>
        <v>34.119713180427638</v>
      </c>
      <c r="F13" s="244">
        <f>IFERROR(INPUT!F97/INPUT!F60,"–")</f>
        <v>37.599866844207725</v>
      </c>
      <c r="G13" s="244">
        <f>IFERROR(INPUT!G97/INPUT!G60,"–")</f>
        <v>54.305979227098341</v>
      </c>
      <c r="H13" s="244">
        <f>IFERROR(INPUT!H97/INPUT!H60,"–")</f>
        <v>48.373119666095029</v>
      </c>
    </row>
    <row r="14" spans="1:8" ht="15" customHeight="1" x14ac:dyDescent="0.35">
      <c r="A14" s="205"/>
      <c r="B14" s="27" t="s">
        <v>110</v>
      </c>
      <c r="C14" s="9"/>
      <c r="D14" s="468" t="str">
        <f>IFERROR(INPUT!D97/INPUT!D9,"–")</f>
        <v>–</v>
      </c>
      <c r="E14" s="244">
        <f>IFERROR(INPUT!E97/INPUT!E9,"–")</f>
        <v>5.3456766955427968</v>
      </c>
      <c r="F14" s="244">
        <f>IFERROR(INPUT!F97/INPUT!F9,"–")</f>
        <v>7.2198885946488902</v>
      </c>
      <c r="G14" s="244">
        <f>IFERROR(INPUT!G97/INPUT!G9,"–")</f>
        <v>8.9051056810771421</v>
      </c>
      <c r="H14" s="244">
        <f>IFERROR(INPUT!H97/INPUT!H9,"–")</f>
        <v>9.2180235101318964</v>
      </c>
    </row>
    <row r="15" spans="1:8" ht="15" customHeight="1" x14ac:dyDescent="0.35">
      <c r="A15" s="205"/>
      <c r="B15" s="27" t="s">
        <v>111</v>
      </c>
      <c r="C15" s="9"/>
      <c r="D15" s="469" t="str">
        <f>IFERROR(INPUT!D26/INPUT!D96,"–")</f>
        <v>–</v>
      </c>
      <c r="E15" s="245">
        <f>IFERROR(INPUT!E26/INPUT!E96,"–")</f>
        <v>5.5932161578785076</v>
      </c>
      <c r="F15" s="245">
        <f>IFERROR(INPUT!F26/INPUT!F96,"–")</f>
        <v>5.5331689116549674</v>
      </c>
      <c r="G15" s="245">
        <f>IFERROR(INPUT!G26/INPUT!G96,"–")</f>
        <v>5.5065550363447562</v>
      </c>
      <c r="H15" s="245">
        <f>IFERROR(INPUT!H26/INPUT!H96,"–")</f>
        <v>6.9788177212396318</v>
      </c>
    </row>
    <row r="16" spans="1:8" ht="15" customHeight="1" x14ac:dyDescent="0.35">
      <c r="A16" s="205"/>
      <c r="B16" s="28"/>
      <c r="C16" s="9"/>
      <c r="D16" s="464"/>
      <c r="E16" s="31"/>
      <c r="F16" s="31"/>
      <c r="G16" s="31"/>
      <c r="H16" s="31"/>
    </row>
    <row r="17" spans="1:8" ht="18" customHeight="1" x14ac:dyDescent="0.5">
      <c r="A17" s="206" t="s">
        <v>5</v>
      </c>
      <c r="B17" s="49" t="s">
        <v>112</v>
      </c>
      <c r="C17" s="44"/>
      <c r="D17" s="465"/>
      <c r="E17" s="23"/>
      <c r="F17" s="23"/>
      <c r="G17" s="23"/>
      <c r="H17" s="23"/>
    </row>
    <row r="18" spans="1:8" ht="18" customHeight="1" x14ac:dyDescent="0.5">
      <c r="A18" s="206"/>
      <c r="B18" s="125"/>
      <c r="C18" s="116"/>
      <c r="D18" s="467"/>
      <c r="E18" s="109"/>
      <c r="F18" s="109"/>
      <c r="G18" s="109"/>
      <c r="H18" s="109"/>
    </row>
    <row r="19" spans="1:8" ht="15" customHeight="1" x14ac:dyDescent="0.35">
      <c r="A19" s="205"/>
      <c r="B19" s="27" t="s">
        <v>113</v>
      </c>
      <c r="C19" s="9"/>
      <c r="D19" s="470" t="str">
        <f>IFERROR(INPUT!D11/INPUT!D9,"–")</f>
        <v>–</v>
      </c>
      <c r="E19" s="246">
        <f>IFERROR(INPUT!E11/INPUT!E9,"–")</f>
        <v>0.43309630561360085</v>
      </c>
      <c r="F19" s="246">
        <f>IFERROR(INPUT!F11/INPUT!F9,"–")</f>
        <v>0.44131129577207562</v>
      </c>
      <c r="G19" s="246">
        <f>IFERROR(INPUT!G11/INPUT!G9,"–")</f>
        <v>0.46206349815233932</v>
      </c>
      <c r="H19" s="246">
        <f>IFERROR(INPUT!H11/INPUT!H9,"–")</f>
        <v>0.46905164107160452</v>
      </c>
    </row>
    <row r="20" spans="1:8" ht="15" customHeight="1" x14ac:dyDescent="0.35">
      <c r="A20" s="205"/>
      <c r="B20" s="27" t="s">
        <v>114</v>
      </c>
      <c r="C20" s="9"/>
      <c r="D20" s="470" t="str">
        <f>IFERROR(INPUT!D30/INPUT!D9,"–")</f>
        <v>–</v>
      </c>
      <c r="E20" s="246">
        <f>IFERROR(INPUT!E30/INPUT!E9,"–")</f>
        <v>0.30288744395528594</v>
      </c>
      <c r="F20" s="246">
        <f>IFERROR(INPUT!F30/INPUT!F9,"–")</f>
        <v>0.29821412265024722</v>
      </c>
      <c r="G20" s="246">
        <f>IFERROR(INPUT!G30/INPUT!G9,"–")</f>
        <v>0.31510222870075566</v>
      </c>
      <c r="H20" s="246">
        <f>IFERROR(INPUT!H30/INPUT!H9,"–")</f>
        <v>0.31970799762591884</v>
      </c>
    </row>
    <row r="21" spans="1:8" ht="15" customHeight="1" x14ac:dyDescent="0.35">
      <c r="A21" s="205"/>
      <c r="B21" s="27" t="s">
        <v>115</v>
      </c>
      <c r="C21" s="9"/>
      <c r="D21" s="470" t="str">
        <f>IFERROR(INPUT!D17/INPUT!D9,"–")</f>
        <v>–</v>
      </c>
      <c r="E21" s="246">
        <f>IFERROR(INPUT!E17/INPUT!E9,"–")</f>
        <v>0.27472814509748228</v>
      </c>
      <c r="F21" s="246">
        <f>IFERROR(INPUT!F17/INPUT!F9,"–")</f>
        <v>0.26816076809684697</v>
      </c>
      <c r="G21" s="246">
        <f>IFERROR(INPUT!G17/INPUT!G9,"–")</f>
        <v>0.28583374889715757</v>
      </c>
      <c r="H21" s="246">
        <f>IFERROR(INPUT!H17/INPUT!H9,"–")</f>
        <v>0.29159868416310036</v>
      </c>
    </row>
    <row r="22" spans="1:8" ht="15" customHeight="1" x14ac:dyDescent="0.35">
      <c r="A22" s="205"/>
      <c r="B22" s="27" t="s">
        <v>116</v>
      </c>
      <c r="C22" s="9"/>
      <c r="D22" s="470" t="str">
        <f>IFERROR(INPUT!D26/INPUT!D9,"–")</f>
        <v>–</v>
      </c>
      <c r="E22" s="246">
        <f>IFERROR(INPUT!E26/INPUT!E9,"–")</f>
        <v>0.22999634821772738</v>
      </c>
      <c r="F22" s="246">
        <f>IFERROR(INPUT!F26/INPUT!F9,"–")</f>
        <v>0.22827921781442007</v>
      </c>
      <c r="G22" s="246">
        <f>IFERROR(INPUT!G26/INPUT!G9,"–")</f>
        <v>0.21697546255450278</v>
      </c>
      <c r="H22" s="246">
        <f>IFERROR(INPUT!H26/INPUT!H9,"–")</f>
        <v>0.24619558295947963</v>
      </c>
    </row>
    <row r="23" spans="1:8" ht="15" customHeight="1" x14ac:dyDescent="0.35">
      <c r="A23" s="205"/>
      <c r="B23" s="27" t="s">
        <v>117</v>
      </c>
      <c r="C23" s="9"/>
      <c r="D23" s="470" t="str">
        <f>IFERROR(INPUT!D26/INPUT!D60,"–")</f>
        <v>–</v>
      </c>
      <c r="E23" s="246">
        <f>IFERROR(INPUT!E26/INPUT!E60,"–")</f>
        <v>1.4679917774072935</v>
      </c>
      <c r="F23" s="246">
        <f>IFERROR(INPUT!F26/INPUT!F60,"–")</f>
        <v>1.188836653169923</v>
      </c>
      <c r="G23" s="246">
        <f>IFERROR(INPUT!G26/INPUT!G60,"–")</f>
        <v>1.3231808115779295</v>
      </c>
      <c r="H23" s="246">
        <f>IFERROR(INPUT!H26/INPUT!H60,"–")</f>
        <v>1.2919524866337133</v>
      </c>
    </row>
    <row r="24" spans="1:8" ht="15" customHeight="1" x14ac:dyDescent="0.35">
      <c r="A24" s="205"/>
      <c r="B24" s="27" t="s">
        <v>118</v>
      </c>
      <c r="C24" s="9"/>
      <c r="D24" s="470" t="str">
        <f>IFERROR(INPUT!D26/INPUT!D44,"–")</f>
        <v>–</v>
      </c>
      <c r="E24" s="246">
        <f>IFERROR(INPUT!E26/INPUT!E44,"–")</f>
        <v>0.56768192686621344</v>
      </c>
      <c r="F24" s="246">
        <f>IFERROR(INPUT!F26/INPUT!F44,"–")</f>
        <v>0.50948263312661946</v>
      </c>
      <c r="G24" s="246">
        <f>IFERROR(INPUT!G26/INPUT!G44,"–")</f>
        <v>0.45272155849976786</v>
      </c>
      <c r="H24" s="246">
        <f>IFERROR(INPUT!H26/INPUT!H44,"–")</f>
        <v>0.48745640786537703</v>
      </c>
    </row>
    <row r="25" spans="1:8" ht="15" customHeight="1" x14ac:dyDescent="0.35">
      <c r="A25" s="205"/>
      <c r="B25" s="27" t="s">
        <v>119</v>
      </c>
      <c r="C25" s="9"/>
      <c r="D25" s="471" t="str">
        <f>IFERROR(INPUT!D17*(1-INPUT!D104)/(INPUT!D58+INPUT!D59),"–")</f>
        <v>–</v>
      </c>
      <c r="E25" s="247">
        <f>IFERROR(INPUT!E17*(1-INPUT!E104)/(INPUT!E58+INPUT!E59),"–")</f>
        <v>1.4694332238066719</v>
      </c>
      <c r="F25" s="247">
        <f>IFERROR(INPUT!F17*(1-INPUT!F104)/(INPUT!F58+INPUT!F59),"–")</f>
        <v>1.1909629283404441</v>
      </c>
      <c r="G25" s="247">
        <f>IFERROR(INPUT!G17*(1-INPUT!G104)/(INPUT!G58+INPUT!G59),"–")</f>
        <v>1.3231865210068308</v>
      </c>
      <c r="H25" s="247">
        <f>IFERROR(INPUT!H17*(1-INPUT!H104)/(INPUT!H58+INPUT!H59),"–")</f>
        <v>1.2919587107838193</v>
      </c>
    </row>
    <row r="26" spans="1:8" ht="15" customHeight="1" x14ac:dyDescent="0.35">
      <c r="A26" s="205"/>
      <c r="B26" s="28"/>
      <c r="C26" s="9"/>
      <c r="D26" s="464"/>
      <c r="E26" s="31"/>
      <c r="F26" s="31"/>
      <c r="G26" s="31"/>
      <c r="H26" s="31"/>
    </row>
    <row r="27" spans="1:8" ht="18" customHeight="1" x14ac:dyDescent="0.5">
      <c r="A27" s="206" t="s">
        <v>5</v>
      </c>
      <c r="B27" s="49" t="s">
        <v>120</v>
      </c>
      <c r="C27" s="44"/>
      <c r="D27" s="465"/>
      <c r="E27" s="23"/>
      <c r="F27" s="23"/>
      <c r="G27" s="23"/>
      <c r="H27" s="23"/>
    </row>
    <row r="28" spans="1:8" ht="18" customHeight="1" x14ac:dyDescent="0.5">
      <c r="A28" s="206"/>
      <c r="B28" s="125"/>
      <c r="C28" s="116"/>
      <c r="D28" s="467"/>
      <c r="E28" s="109"/>
      <c r="F28" s="109"/>
      <c r="G28" s="109"/>
      <c r="H28" s="109"/>
    </row>
    <row r="29" spans="1:8" ht="15" customHeight="1" x14ac:dyDescent="0.35">
      <c r="A29" s="205"/>
      <c r="B29" s="27" t="s">
        <v>121</v>
      </c>
      <c r="C29" s="9"/>
      <c r="D29" s="468" t="str">
        <f>IFERROR(INPUT!D38/INPUT!D51,"–")</f>
        <v>–</v>
      </c>
      <c r="E29" s="244">
        <f>IFERROR(INPUT!E38/INPUT!E51,"–")</f>
        <v>0.54013309604105064</v>
      </c>
      <c r="F29" s="244">
        <f>IFERROR(INPUT!F38/INPUT!F51,"–")</f>
        <v>0.58652648145314656</v>
      </c>
      <c r="G29" s="244">
        <f>IFERROR(INPUT!G38/INPUT!G51,"–")</f>
        <v>0.5292526672649317</v>
      </c>
      <c r="H29" s="244">
        <f>IFERROR(INPUT!H38/INPUT!H51,"–")</f>
        <v>0.65025024211517235</v>
      </c>
    </row>
    <row r="30" spans="1:8" ht="15" customHeight="1" x14ac:dyDescent="0.35">
      <c r="A30" s="205"/>
      <c r="B30" s="27" t="s">
        <v>122</v>
      </c>
      <c r="C30" s="9"/>
      <c r="D30" s="468" t="str">
        <f>IFERROR((INPUT!D38-INPUT!D36)/INPUT!D51,"–")</f>
        <v>–</v>
      </c>
      <c r="E30" s="244">
        <f>IFERROR((INPUT!E38-INPUT!E36)/INPUT!E51,"–")</f>
        <v>0.50588267881750881</v>
      </c>
      <c r="F30" s="244">
        <f>IFERROR((INPUT!F38-INPUT!F36)/INPUT!F51,"–")</f>
        <v>0.54039796862590805</v>
      </c>
      <c r="G30" s="244">
        <f>IFERROR((INPUT!G38-INPUT!G36)/INPUT!G51,"–")</f>
        <v>0.48384684415195933</v>
      </c>
      <c r="H30" s="244">
        <f>IFERROR((INPUT!H38-INPUT!H36)/INPUT!H51,"–")</f>
        <v>0.61152535944790964</v>
      </c>
    </row>
    <row r="31" spans="1:8" ht="15" customHeight="1" x14ac:dyDescent="0.35">
      <c r="A31" s="205"/>
      <c r="B31" s="27" t="s">
        <v>123</v>
      </c>
      <c r="C31" s="9"/>
      <c r="D31" s="468" t="str">
        <f>IFERROR(INPUT!D34/INPUT!D51,"–")</f>
        <v>–</v>
      </c>
      <c r="E31" s="244">
        <f>IFERROR(INPUT!E34/INPUT!E51,"–")</f>
        <v>0.16374552480142929</v>
      </c>
      <c r="F31" s="244">
        <f>IFERROR(INPUT!F34/INPUT!F51,"–")</f>
        <v>0.21832899808374681</v>
      </c>
      <c r="G31" s="244">
        <f>IFERROR(INPUT!G34/INPUT!G51,"–")</f>
        <v>0.18660260245288662</v>
      </c>
      <c r="H31" s="244">
        <f>IFERROR(INPUT!H34/INPUT!H51,"–")</f>
        <v>0.24336130356163271</v>
      </c>
    </row>
    <row r="32" spans="1:8" ht="15" customHeight="1" x14ac:dyDescent="0.35">
      <c r="A32" s="205"/>
      <c r="B32" s="27" t="s">
        <v>124</v>
      </c>
      <c r="C32" s="9"/>
      <c r="D32" s="468" t="str">
        <f>IFERROR((INPUT!D49+INPUT!D55)/INPUT!D60,"–")</f>
        <v>–</v>
      </c>
      <c r="E32" s="244">
        <f>IFERROR((INPUT!E49+INPUT!E55)/INPUT!E60,"–")</f>
        <v>4.0452242598857255</v>
      </c>
      <c r="F32" s="244">
        <f>IFERROR((INPUT!F49+INPUT!F55)/INPUT!F60,"–")</f>
        <v>3.2792603059865759</v>
      </c>
      <c r="G32" s="244">
        <f>IFERROR((INPUT!G49+INPUT!G55)/INPUT!G60,"–")</f>
        <v>4.2546239980038054</v>
      </c>
      <c r="H32" s="244">
        <f>IFERROR((INPUT!H49+INPUT!H55)/INPUT!H60,"–")</f>
        <v>3.0137319681226673</v>
      </c>
    </row>
    <row r="33" spans="1:8" ht="15" customHeight="1" x14ac:dyDescent="0.35">
      <c r="A33" s="205"/>
      <c r="B33" s="27" t="s">
        <v>125</v>
      </c>
      <c r="C33" s="9"/>
      <c r="D33" s="468" t="str">
        <f>IFERROR((INPUT!D49+INPUT!D55-INPUT!D34)/INPUT!D30,"–")</f>
        <v>–</v>
      </c>
      <c r="E33" s="244">
        <f>IFERROR((INPUT!E49+INPUT!E55-INPUT!E34)/INPUT!E30,"–")</f>
        <v>1.8944883076433601</v>
      </c>
      <c r="F33" s="244">
        <f>IFERROR((INPUT!F49+INPUT!F55-INPUT!F34)/INPUT!F30,"–")</f>
        <v>1.8493451500861759</v>
      </c>
      <c r="G33" s="244">
        <f>IFERROR((INPUT!G49+INPUT!G55-INPUT!G34)/INPUT!G30,"–")</f>
        <v>1.9711076483573562</v>
      </c>
      <c r="H33" s="244">
        <f>IFERROR((INPUT!H49+INPUT!H55-INPUT!H34)/INPUT!H30,"–")</f>
        <v>1.5262457722660654</v>
      </c>
    </row>
    <row r="34" spans="1:8" ht="15" customHeight="1" x14ac:dyDescent="0.35">
      <c r="A34" s="205"/>
      <c r="B34" s="27" t="s">
        <v>126</v>
      </c>
      <c r="C34" s="9"/>
      <c r="D34" s="468" t="str">
        <f>IFERROR(INPUT!D17/ABS(INPUT!D20),"–")</f>
        <v>–</v>
      </c>
      <c r="E34" s="244">
        <f>IFERROR(INPUT!E17/ABS(INPUT!E20),"–")</f>
        <v>36.961105424769706</v>
      </c>
      <c r="F34" s="244">
        <f>IFERROR(INPUT!F17/ABS(INPUT!F20),"–")</f>
        <v>26.133231629799134</v>
      </c>
      <c r="G34" s="244" t="str">
        <f>IFERROR(INPUT!G17/ABS(INPUT!G20),"–")</f>
        <v>–</v>
      </c>
      <c r="H34" s="244" t="str">
        <f>IFERROR(INPUT!H17/ABS(INPUT!H20),"–")</f>
        <v>–</v>
      </c>
    </row>
    <row r="35" spans="1:8" ht="15" customHeight="1" x14ac:dyDescent="0.35">
      <c r="A35" s="205"/>
      <c r="B35" s="27" t="s">
        <v>127</v>
      </c>
      <c r="C35" s="9"/>
      <c r="D35" s="468" t="str">
        <f>IFERROR((INPUT!D49+INPUT!D55)/INPUT!D44,"–")</f>
        <v>–</v>
      </c>
      <c r="E35" s="244">
        <f>IFERROR((INPUT!E49+INPUT!E55)/INPUT!E44,"–")</f>
        <v>1.5643144176963233</v>
      </c>
      <c r="F35" s="244">
        <f>IFERROR((INPUT!F49+INPUT!F55)/INPUT!F44,"–")</f>
        <v>1.405345445017032</v>
      </c>
      <c r="G35" s="244">
        <f>IFERROR((INPUT!G49+INPUT!G55)/INPUT!G44,"–")</f>
        <v>1.4557043076446954</v>
      </c>
      <c r="H35" s="244">
        <f>IFERROR((INPUT!H49+INPUT!H55)/INPUT!H44,"–")</f>
        <v>1.1370874506986635</v>
      </c>
    </row>
    <row r="36" spans="1:8" ht="15" customHeight="1" x14ac:dyDescent="0.35">
      <c r="A36" s="205"/>
      <c r="B36" s="27" t="s">
        <v>128</v>
      </c>
      <c r="C36" s="9"/>
      <c r="D36" s="472" t="str">
        <f>IFERROR(INPUT!D60/INPUT!D44,"–")</f>
        <v>–</v>
      </c>
      <c r="E36" s="248">
        <f>IFERROR(INPUT!E60/INPUT!E44,"–")</f>
        <v>0.38670647588287577</v>
      </c>
      <c r="F36" s="248">
        <f>IFERROR(INPUT!F60/INPUT!F44,"–")</f>
        <v>0.42855562348967885</v>
      </c>
      <c r="G36" s="248">
        <f>IFERROR(INPUT!G60/INPUT!G44,"–")</f>
        <v>0.3421464054938077</v>
      </c>
      <c r="H36" s="248">
        <f>IFERROR(INPUT!H60/INPUT!H44,"–")</f>
        <v>0.3773021166865696</v>
      </c>
    </row>
    <row r="37" spans="1:8" ht="15" customHeight="1" x14ac:dyDescent="0.35">
      <c r="A37" s="205"/>
      <c r="B37" s="28"/>
      <c r="C37" s="9"/>
      <c r="D37" s="464"/>
      <c r="E37" s="31"/>
      <c r="F37" s="31"/>
      <c r="G37" s="31"/>
      <c r="H37" s="31"/>
    </row>
    <row r="38" spans="1:8" ht="18" customHeight="1" x14ac:dyDescent="0.5">
      <c r="A38" s="206" t="s">
        <v>5</v>
      </c>
      <c r="B38" s="49" t="s">
        <v>129</v>
      </c>
      <c r="C38" s="44"/>
      <c r="D38" s="465"/>
      <c r="E38" s="23"/>
      <c r="F38" s="23"/>
      <c r="G38" s="23"/>
      <c r="H38" s="23"/>
    </row>
    <row r="39" spans="1:8" ht="18" customHeight="1" x14ac:dyDescent="0.5">
      <c r="A39" s="206"/>
      <c r="B39" s="125"/>
      <c r="C39" s="116"/>
      <c r="D39" s="467"/>
      <c r="E39" s="109"/>
      <c r="F39" s="109"/>
      <c r="G39" s="109"/>
      <c r="H39" s="109"/>
    </row>
    <row r="40" spans="1:8" ht="15" customHeight="1" x14ac:dyDescent="0.35">
      <c r="A40" s="205"/>
      <c r="B40" s="27" t="s">
        <v>130</v>
      </c>
      <c r="C40" s="9"/>
      <c r="D40" s="468" t="str">
        <f>IFERROR(INPUT!D9/INPUT!D44,"–")</f>
        <v>–</v>
      </c>
      <c r="E40" s="244">
        <f>IFERROR(INPUT!E9/INPUT!E44,"–")</f>
        <v>2.4682214794506829</v>
      </c>
      <c r="F40" s="244">
        <f>IFERROR(INPUT!F9/INPUT!F44,"–")</f>
        <v>2.2318397531079861</v>
      </c>
      <c r="G40" s="244">
        <f>IFERROR(INPUT!G9/INPUT!G44,"–")</f>
        <v>2.0865103969350787</v>
      </c>
      <c r="H40" s="244">
        <f>IFERROR(INPUT!H9/INPUT!H44,"–")</f>
        <v>1.9799559439927303</v>
      </c>
    </row>
    <row r="41" spans="1:8" ht="15" customHeight="1" x14ac:dyDescent="0.35">
      <c r="A41" s="205"/>
      <c r="B41" s="27" t="s">
        <v>131</v>
      </c>
      <c r="C41" s="9"/>
      <c r="D41" s="468" t="str">
        <f>IFERROR(ABS(INPUT!D10)/INPUT!D36,"–")</f>
        <v>–</v>
      </c>
      <c r="E41" s="244">
        <f>IFERROR(ABS(INPUT!E10)/INPUT!E36,"–")</f>
        <v>45.197331176708452</v>
      </c>
      <c r="F41" s="244">
        <f>IFERROR(ABS(INPUT!F10)/INPUT!F36,"–")</f>
        <v>33.823566577160008</v>
      </c>
      <c r="G41" s="244">
        <f>IFERROR(ABS(INPUT!G10)/INPUT!G36,"–")</f>
        <v>28.870710952511665</v>
      </c>
      <c r="H41" s="244">
        <f>IFERROR(ABS(INPUT!H10)/INPUT!H36,"–")</f>
        <v>38.6428821266177</v>
      </c>
    </row>
    <row r="42" spans="1:8" ht="15" customHeight="1" x14ac:dyDescent="0.35">
      <c r="A42" s="205"/>
      <c r="B42" s="27" t="s">
        <v>132</v>
      </c>
      <c r="C42" s="9"/>
      <c r="D42" s="473" t="str">
        <f>IFERROR(INPUT!D36/ABS(INPUT!D10)*INPUT!D110,"–")</f>
        <v>–</v>
      </c>
      <c r="E42" s="249">
        <f>IFERROR(INPUT!E36/ABS(INPUT!E10)*INPUT!E110,"–")</f>
        <v>0</v>
      </c>
      <c r="F42" s="249">
        <f>IFERROR(INPUT!F36/ABS(INPUT!F10)*INPUT!F110,"–")</f>
        <v>0</v>
      </c>
      <c r="G42" s="249">
        <f>IFERROR(INPUT!G36/ABS(INPUT!G10)*INPUT!G110,"–")</f>
        <v>0</v>
      </c>
      <c r="H42" s="249">
        <f>IFERROR(INPUT!H36/ABS(INPUT!H10)*INPUT!H110,"–")</f>
        <v>9.4454652425778427</v>
      </c>
    </row>
    <row r="43" spans="1:8" ht="15" customHeight="1" x14ac:dyDescent="0.35">
      <c r="A43" s="205"/>
      <c r="B43" s="27" t="s">
        <v>133</v>
      </c>
      <c r="C43" s="9"/>
      <c r="D43" s="468" t="str">
        <f>IFERROR(INPUT!D9/INPUT!D35,"–")</f>
        <v>–</v>
      </c>
      <c r="E43" s="244">
        <f>IFERROR(INPUT!E9/INPUT!E35,"–")</f>
        <v>13.991200681237581</v>
      </c>
      <c r="F43" s="244">
        <f>IFERROR(INPUT!F9/INPUT!F35,"–")</f>
        <v>12.989189372373593</v>
      </c>
      <c r="G43" s="244">
        <f>IFERROR(INPUT!G9/INPUT!G35,"–")</f>
        <v>11.704130499850343</v>
      </c>
      <c r="H43" s="244">
        <f>IFERROR(INPUT!H9/INPUT!H35,"–")</f>
        <v>10.46235261583327</v>
      </c>
    </row>
    <row r="44" spans="1:8" ht="15" customHeight="1" x14ac:dyDescent="0.35">
      <c r="A44" s="205"/>
      <c r="B44" s="27" t="s">
        <v>134</v>
      </c>
      <c r="C44" s="9"/>
      <c r="D44" s="473" t="str">
        <f>IFERROR(INPUT!D35/INPUT!D9*INPUT!D110,"–")</f>
        <v>–</v>
      </c>
      <c r="E44" s="249">
        <f>IFERROR(INPUT!E35/INPUT!E9*INPUT!E110,"–")</f>
        <v>0</v>
      </c>
      <c r="F44" s="249">
        <f>IFERROR(INPUT!F35/INPUT!F9*INPUT!F110,"–")</f>
        <v>0</v>
      </c>
      <c r="G44" s="249">
        <f>IFERROR(INPUT!G35/INPUT!G9*INPUT!G110,"–")</f>
        <v>0</v>
      </c>
      <c r="H44" s="249">
        <f>IFERROR(INPUT!H35/INPUT!H9*INPUT!H110,"–")</f>
        <v>34.886990852098108</v>
      </c>
    </row>
    <row r="45" spans="1:8" ht="15" customHeight="1" x14ac:dyDescent="0.35">
      <c r="A45" s="205"/>
      <c r="B45" s="27" t="s">
        <v>135</v>
      </c>
      <c r="C45" s="9"/>
      <c r="D45" s="473" t="str">
        <f>IFERROR(INPUT!D48/ABS(INPUT!D10)*INPUT!D110,"–")</f>
        <v>–</v>
      </c>
      <c r="E45" s="249">
        <f>IFERROR(INPUT!E48/ABS(INPUT!E10)*INPUT!E110,"–")</f>
        <v>0</v>
      </c>
      <c r="F45" s="249">
        <f>IFERROR(INPUT!F48/ABS(INPUT!F10)*INPUT!F110,"–")</f>
        <v>0</v>
      </c>
      <c r="G45" s="249">
        <f>IFERROR(INPUT!G48/ABS(INPUT!G10)*INPUT!G110,"–")</f>
        <v>0</v>
      </c>
      <c r="H45" s="249">
        <f>IFERROR(INPUT!H48/ABS(INPUT!H10)*INPUT!H110,"–")</f>
        <v>33.581123280231715</v>
      </c>
    </row>
    <row r="46" spans="1:8" ht="15" customHeight="1" x14ac:dyDescent="0.35">
      <c r="A46" s="205"/>
      <c r="B46" s="27" t="s">
        <v>136</v>
      </c>
      <c r="C46" s="9"/>
      <c r="D46" s="473" t="str">
        <f>IFERROR(D42+D44-D45,"–")</f>
        <v>–</v>
      </c>
      <c r="E46" s="249">
        <f>IFERROR(E42+E44-E45,"–")</f>
        <v>0</v>
      </c>
      <c r="F46" s="249">
        <f>IFERROR(F42+F44-F45,"–")</f>
        <v>0</v>
      </c>
      <c r="G46" s="249">
        <f>IFERROR(G42+G44-G45,"–")</f>
        <v>0</v>
      </c>
      <c r="H46" s="249">
        <f>IFERROR(H42+H44-H45,"–")</f>
        <v>10.751332814444233</v>
      </c>
    </row>
    <row r="47" spans="1:8" ht="15" customHeight="1" x14ac:dyDescent="0.35">
      <c r="A47" s="205"/>
      <c r="B47" s="27" t="s">
        <v>137</v>
      </c>
      <c r="C47" s="9"/>
      <c r="D47" s="472" t="str">
        <f>IFERROR(INPUT!D9/INPUT!D41,"–")</f>
        <v>–</v>
      </c>
      <c r="E47" s="248">
        <f>IFERROR(INPUT!E9/INPUT!E41,"–")</f>
        <v>9.3626801529073767</v>
      </c>
      <c r="F47" s="248">
        <f>IFERROR(INPUT!F9/INPUT!F41,"–")</f>
        <v>8.7678142514011217</v>
      </c>
      <c r="G47" s="248">
        <f>IFERROR(INPUT!G9/INPUT!G41,"–")</f>
        <v>8.5603108581436071</v>
      </c>
      <c r="H47" s="248">
        <f>IFERROR(INPUT!H9/INPUT!H41,"–")</f>
        <v>8.3509451378576873</v>
      </c>
    </row>
    <row r="48" spans="1:8" ht="15" customHeight="1" x14ac:dyDescent="0.35">
      <c r="A48" s="205"/>
      <c r="B48" s="28"/>
      <c r="C48" s="9"/>
      <c r="D48" s="464"/>
      <c r="E48" s="31"/>
      <c r="F48" s="31"/>
      <c r="G48" s="31"/>
      <c r="H48" s="31"/>
    </row>
    <row r="49" spans="1:8" ht="18" customHeight="1" x14ac:dyDescent="0.5">
      <c r="A49" s="206" t="s">
        <v>5</v>
      </c>
      <c r="B49" s="49" t="s">
        <v>138</v>
      </c>
      <c r="C49" s="44"/>
      <c r="D49" s="465"/>
      <c r="E49" s="23"/>
      <c r="F49" s="23"/>
      <c r="G49" s="23"/>
      <c r="H49" s="23"/>
    </row>
    <row r="50" spans="1:8" ht="18" customHeight="1" x14ac:dyDescent="0.5">
      <c r="A50" s="206"/>
      <c r="B50" s="125"/>
      <c r="C50" s="116"/>
      <c r="D50" s="467"/>
      <c r="E50" s="109"/>
      <c r="F50" s="109"/>
      <c r="G50" s="109"/>
      <c r="H50" s="109"/>
    </row>
    <row r="51" spans="1:8" ht="15" customHeight="1" x14ac:dyDescent="0.35">
      <c r="A51" s="205"/>
      <c r="B51" s="27" t="s">
        <v>139</v>
      </c>
      <c r="C51" s="9"/>
      <c r="D51" s="474" t="s">
        <v>140</v>
      </c>
      <c r="E51" s="246" t="str">
        <f>IFERROR(INPUT!E9/INPUT!D9-1,"–")</f>
        <v>–</v>
      </c>
      <c r="F51" s="246">
        <f>IFERROR(INPUT!F9/INPUT!E9-1,"–")</f>
        <v>-2.800460530319937E-2</v>
      </c>
      <c r="G51" s="246">
        <f>IFERROR(INPUT!G9/INPUT!F9-1,"–")</f>
        <v>2.021994077514111E-2</v>
      </c>
      <c r="H51" s="246">
        <f>IFERROR(INPUT!H9/INPUT!G9-1,"–")</f>
        <v>6.425511782832749E-2</v>
      </c>
    </row>
    <row r="52" spans="1:8" ht="15" customHeight="1" x14ac:dyDescent="0.35">
      <c r="A52" s="205"/>
      <c r="B52" s="27" t="s">
        <v>141</v>
      </c>
      <c r="C52" s="9"/>
      <c r="D52" s="474" t="s">
        <v>140</v>
      </c>
      <c r="E52" s="246" t="str">
        <f>IFERROR(INPUT!E11/INPUT!D11-1,"–")</f>
        <v>–</v>
      </c>
      <c r="F52" s="246">
        <f>IFERROR(INPUT!F11/INPUT!E11-1,"–")</f>
        <v>-9.5677530418896151E-3</v>
      </c>
      <c r="G52" s="246">
        <f>IFERROR(INPUT!G11/INPUT!F11-1,"–")</f>
        <v>6.8194717052522114E-2</v>
      </c>
      <c r="H52" s="246">
        <f>IFERROR(INPUT!H11/INPUT!G11-1,"–")</f>
        <v>8.0350669404426478E-2</v>
      </c>
    </row>
    <row r="53" spans="1:8" ht="15" customHeight="1" x14ac:dyDescent="0.35">
      <c r="A53" s="205"/>
      <c r="B53" s="27" t="s">
        <v>142</v>
      </c>
      <c r="C53" s="9"/>
      <c r="D53" s="474" t="s">
        <v>140</v>
      </c>
      <c r="E53" s="246" t="str">
        <f>IFERROR(INPUT!E30/INPUT!D30-1,"–")</f>
        <v>–</v>
      </c>
      <c r="F53" s="246">
        <f>IFERROR(INPUT!F30/INPUT!E30-1,"–")</f>
        <v>-4.3001749876503959E-2</v>
      </c>
      <c r="G53" s="246">
        <f>IFERROR(INPUT!G30/INPUT!F30-1,"–")</f>
        <v>7.7995818059334532E-2</v>
      </c>
      <c r="H53" s="246">
        <f>IFERROR(INPUT!H30/INPUT!G30-1,"–")</f>
        <v>7.9811063498246959E-2</v>
      </c>
    </row>
    <row r="54" spans="1:8" ht="15" customHeight="1" x14ac:dyDescent="0.35">
      <c r="A54" s="205"/>
      <c r="B54" s="27" t="s">
        <v>143</v>
      </c>
      <c r="C54" s="9"/>
      <c r="D54" s="474" t="s">
        <v>140</v>
      </c>
      <c r="E54" s="246" t="str">
        <f>IFERROR(INPUT!E26/INPUT!D26-1,"–")</f>
        <v>–</v>
      </c>
      <c r="F54" s="246">
        <f>IFERROR(INPUT!F26/INPUT!E26-1,"–")</f>
        <v>-3.5261428539925421E-2</v>
      </c>
      <c r="G54" s="246">
        <f>IFERROR(INPUT!G26/INPUT!F26-1,"–")</f>
        <v>-3.0298527932705488E-2</v>
      </c>
      <c r="H54" s="246">
        <f>IFERROR(INPUT!H26/INPUT!G26-1,"–")</f>
        <v>0.20757852554658496</v>
      </c>
    </row>
    <row r="55" spans="1:8" ht="15" customHeight="1" x14ac:dyDescent="0.35">
      <c r="A55" s="205"/>
      <c r="B55" s="27" t="s">
        <v>144</v>
      </c>
      <c r="C55" s="9"/>
      <c r="D55" s="474" t="s">
        <v>140</v>
      </c>
      <c r="E55" s="246" t="str">
        <f>IFERROR((INPUT!E26/INPUT!E96)/(INPUT!D26/INPUT!D96)-1,"–")</f>
        <v>–</v>
      </c>
      <c r="F55" s="246">
        <f>IFERROR((INPUT!F26/INPUT!F96)/(INPUT!E26/INPUT!E96)-1,"–")</f>
        <v>-1.0735727804647488E-2</v>
      </c>
      <c r="G55" s="246">
        <f>IFERROR((INPUT!G26/INPUT!G96)/(INPUT!F26/INPUT!F96)-1,"–")</f>
        <v>-4.8098794262637634E-3</v>
      </c>
      <c r="H55" s="246">
        <f>IFERROR((INPUT!H26/INPUT!H96)/(INPUT!G26/INPUT!G96)-1,"–")</f>
        <v>0.26736547172915603</v>
      </c>
    </row>
    <row r="56" spans="1:8" ht="15" customHeight="1" x14ac:dyDescent="0.35">
      <c r="A56" s="205"/>
      <c r="B56" s="27" t="s">
        <v>145</v>
      </c>
      <c r="C56" s="9"/>
      <c r="D56" s="475" t="s">
        <v>140</v>
      </c>
      <c r="E56" s="247" t="str">
        <f>IFERROR(INPUT!E44/INPUT!D44-1,"–")</f>
        <v>–</v>
      </c>
      <c r="F56" s="247">
        <f>IFERROR(INPUT!F44/INPUT!E44-1,"–")</f>
        <v>7.4942727306869017E-2</v>
      </c>
      <c r="G56" s="247">
        <f>IFERROR(INPUT!G44/INPUT!F44-1,"–")</f>
        <v>9.1280170029405694E-2</v>
      </c>
      <c r="H56" s="247">
        <f>IFERROR(INPUT!H44/INPUT!G44-1,"–")</f>
        <v>0.12152968609099779</v>
      </c>
    </row>
    <row r="57" spans="1:8" ht="15" customHeight="1" x14ac:dyDescent="0.35">
      <c r="A57" s="205"/>
      <c r="B57" s="28"/>
      <c r="C57" s="9"/>
      <c r="D57" s="464"/>
      <c r="E57" s="31"/>
      <c r="F57" s="31"/>
      <c r="G57" s="31"/>
      <c r="H57" s="31"/>
    </row>
    <row r="58" spans="1:8" ht="18" customHeight="1" x14ac:dyDescent="0.5">
      <c r="A58" s="206" t="s">
        <v>5</v>
      </c>
      <c r="B58" s="49" t="s">
        <v>146</v>
      </c>
      <c r="C58" s="44"/>
      <c r="D58" s="465"/>
      <c r="E58" s="23"/>
      <c r="F58" s="23"/>
      <c r="G58" s="23"/>
      <c r="H58" s="23"/>
    </row>
    <row r="59" spans="1:8" ht="18" customHeight="1" x14ac:dyDescent="0.5">
      <c r="A59" s="206"/>
      <c r="B59" s="125"/>
      <c r="C59" s="116"/>
      <c r="D59" s="467"/>
      <c r="E59" s="109"/>
      <c r="F59" s="109"/>
      <c r="G59" s="109"/>
      <c r="H59" s="109"/>
    </row>
    <row r="60" spans="1:8" ht="15" customHeight="1" x14ac:dyDescent="0.35">
      <c r="A60" s="205"/>
      <c r="B60" s="27" t="s">
        <v>147</v>
      </c>
      <c r="C60" s="9"/>
      <c r="D60" s="470" t="str">
        <f>IFERROR(INPUT!D75/INPUT!D9,"–")</f>
        <v>–</v>
      </c>
      <c r="E60" s="246">
        <f>IFERROR(INPUT!E75/INPUT!E9,"–")</f>
        <v>0.26473646304599219</v>
      </c>
      <c r="F60" s="246">
        <f>IFERROR(INPUT!F75/INPUT!F9,"–")</f>
        <v>0.24228446195389852</v>
      </c>
      <c r="G60" s="246">
        <f>IFERROR(INPUT!G75/INPUT!G9,"–")</f>
        <v>0.24001432096871125</v>
      </c>
      <c r="H60" s="246">
        <f>IFERROR(INPUT!H75/INPUT!H9,"–")</f>
        <v>0.26273245210387325</v>
      </c>
    </row>
    <row r="61" spans="1:8" ht="15" customHeight="1" x14ac:dyDescent="0.35">
      <c r="A61" s="205"/>
      <c r="B61" s="63" t="s">
        <v>148</v>
      </c>
      <c r="C61" s="11"/>
      <c r="D61" s="476">
        <f>IFERROR(INPUT!D75+INPUT!D78,"–")</f>
        <v>0</v>
      </c>
      <c r="E61" s="250">
        <f>IFERROR(INPUT!E75+INPUT!E78,"–")</f>
        <v>93685</v>
      </c>
      <c r="F61" s="250">
        <f>IFERROR(INPUT!F75+INPUT!F78,"–")</f>
        <v>81905</v>
      </c>
      <c r="G61" s="250">
        <f>IFERROR(INPUT!G75+INPUT!G78,"–")</f>
        <v>84407</v>
      </c>
      <c r="H61" s="250">
        <f>IFERROR(INPUT!H75+INPUT!H78,"–")</f>
        <v>96624</v>
      </c>
    </row>
    <row r="62" spans="1:8" ht="15" customHeight="1" x14ac:dyDescent="0.35">
      <c r="A62" s="205"/>
      <c r="B62" s="27" t="s">
        <v>149</v>
      </c>
      <c r="C62" s="9"/>
      <c r="D62" s="470" t="str">
        <f>IFERROR(D61/INPUT!D9,"–")</f>
        <v>–</v>
      </c>
      <c r="E62" s="246">
        <f>IFERROR(E61/INPUT!E9,"–")</f>
        <v>0.2375814043131606</v>
      </c>
      <c r="F62" s="246">
        <f>IFERROR(F61/INPUT!F9,"–")</f>
        <v>0.2136921611855408</v>
      </c>
      <c r="G62" s="246">
        <f>IFERROR(G61/INPUT!G9,"–")</f>
        <v>0.21585535821601648</v>
      </c>
      <c r="H62" s="246">
        <f>IFERROR(H61/INPUT!H9,"–")</f>
        <v>0.23217937288693558</v>
      </c>
    </row>
    <row r="63" spans="1:8" ht="15" customHeight="1" x14ac:dyDescent="0.35">
      <c r="A63" s="205"/>
      <c r="B63" s="27" t="s">
        <v>150</v>
      </c>
      <c r="C63" s="9"/>
      <c r="D63" s="468" t="str">
        <f>IFERROR(INPUT!D75/INPUT!D60,"–")</f>
        <v>–</v>
      </c>
      <c r="E63" s="244">
        <f>IFERROR(INPUT!E75/INPUT!E60,"–")</f>
        <v>1.6897266149787151</v>
      </c>
      <c r="F63" s="244">
        <f>IFERROR(INPUT!F75/INPUT!F60,"–")</f>
        <v>1.2617734177559172</v>
      </c>
      <c r="G63" s="244">
        <f>IFERROR(INPUT!G75/INPUT!G60,"–")</f>
        <v>1.4636786126446462</v>
      </c>
      <c r="H63" s="244">
        <f>IFERROR(INPUT!H75/INPUT!H60,"–")</f>
        <v>1.3787324725108443</v>
      </c>
    </row>
    <row r="64" spans="1:8" ht="15" customHeight="1" x14ac:dyDescent="0.35">
      <c r="A64" s="205"/>
      <c r="B64" s="27" t="s">
        <v>151</v>
      </c>
      <c r="C64" s="9"/>
      <c r="D64" s="470" t="str">
        <f>IFERROR(ABS(INPUT!D78)/INPUT!D9,"–")</f>
        <v>–</v>
      </c>
      <c r="E64" s="246">
        <f>IFERROR(ABS(INPUT!E78)/INPUT!E9,"–")</f>
        <v>2.7155058732831552E-2</v>
      </c>
      <c r="F64" s="246">
        <f>IFERROR(ABS(INPUT!F78)/INPUT!F9,"–")</f>
        <v>2.859230076835775E-2</v>
      </c>
      <c r="G64" s="246">
        <f>IFERROR(ABS(INPUT!G78)/INPUT!G9,"–")</f>
        <v>2.415896275269477E-2</v>
      </c>
      <c r="H64" s="246">
        <f>IFERROR(ABS(INPUT!H78)/INPUT!H9,"–")</f>
        <v>3.0553079216937677E-2</v>
      </c>
    </row>
    <row r="65" spans="1:8" ht="15" customHeight="1" x14ac:dyDescent="0.35">
      <c r="A65" s="205"/>
      <c r="B65" s="27" t="s">
        <v>152</v>
      </c>
      <c r="C65" s="9"/>
      <c r="D65" s="470" t="str">
        <f>IFERROR(ABS(INPUT!D85)/INPUT!D26,"–")</f>
        <v>–</v>
      </c>
      <c r="E65" s="246">
        <f>IFERROR(ABS(INPUT!E85)/INPUT!E26,"–")</f>
        <v>0.98575429466116837</v>
      </c>
      <c r="F65" s="246">
        <f>IFERROR(ABS(INPUT!F85)/INPUT!F26,"–")</f>
        <v>0.88632623205632255</v>
      </c>
      <c r="G65" s="246">
        <f>IFERROR(ABS(INPUT!G85)/INPUT!G26,"–")</f>
        <v>1.1190877482468029</v>
      </c>
      <c r="H65" s="246">
        <f>IFERROR(ABS(INPUT!H85)/INPUT!H26,"–")</f>
        <v>0.88535678382150562</v>
      </c>
    </row>
    <row r="66" spans="1:8" ht="15" customHeight="1" x14ac:dyDescent="0.35">
      <c r="A66" s="205"/>
      <c r="B66" s="27" t="s">
        <v>153</v>
      </c>
      <c r="C66" s="9"/>
      <c r="D66" s="472" t="str">
        <f>IFERROR(INPUT!D75/INPUT!D26,"–")</f>
        <v>–</v>
      </c>
      <c r="E66" s="248">
        <f>IFERROR(INPUT!E75/INPUT!E26,"–")</f>
        <v>1.1510463757249654</v>
      </c>
      <c r="F66" s="248">
        <f>IFERROR(INPUT!F75/INPUT!F26,"–")</f>
        <v>1.0613513760629056</v>
      </c>
      <c r="G66" s="248">
        <f>IFERROR(INPUT!G75/INPUT!G26,"–")</f>
        <v>1.1061818610407212</v>
      </c>
      <c r="H66" s="248">
        <f>IFERROR(INPUT!H75/INPUT!H26,"–")</f>
        <v>1.0671696418985526</v>
      </c>
    </row>
    <row r="67" spans="1:8" ht="15" customHeight="1" x14ac:dyDescent="0.35">
      <c r="A67" s="205"/>
      <c r="B67" s="14"/>
      <c r="C67" s="9"/>
      <c r="D67" s="464"/>
      <c r="E67" s="22"/>
      <c r="F67" s="22"/>
      <c r="G67" s="22"/>
      <c r="H67" s="22"/>
    </row>
    <row r="68" spans="1:8" ht="15" customHeight="1" x14ac:dyDescent="0.35">
      <c r="A68" s="204"/>
      <c r="B68" s="32" t="s">
        <v>97</v>
      </c>
      <c r="C68" s="2"/>
      <c r="D68" s="2"/>
      <c r="E68" s="85"/>
      <c r="F68" s="85"/>
      <c r="G68" s="85"/>
      <c r="H68" s="85"/>
    </row>
    <row r="69" spans="1:8" ht="15" customHeight="1" x14ac:dyDescent="0.35">
      <c r="A69" s="204"/>
      <c r="B69" s="32" t="s">
        <v>98</v>
      </c>
      <c r="C69" s="2"/>
      <c r="D69" s="2"/>
      <c r="E69" s="85"/>
      <c r="F69" s="85"/>
      <c r="G69" s="85"/>
      <c r="H69" s="85"/>
    </row>
    <row r="70" spans="1:8" ht="15" customHeight="1" x14ac:dyDescent="0.35">
      <c r="A70" s="204"/>
      <c r="B70" s="32" t="s">
        <v>99</v>
      </c>
      <c r="C70" s="2"/>
      <c r="D70" s="2"/>
      <c r="E70" s="85"/>
      <c r="F70" s="85"/>
      <c r="G70" s="85"/>
      <c r="H70" s="85"/>
    </row>
    <row r="71" spans="1:8" ht="15" customHeight="1" x14ac:dyDescent="0.3">
      <c r="B71" s="47"/>
      <c r="D71" s="231"/>
    </row>
    <row r="72" spans="1:8" ht="15" customHeight="1" x14ac:dyDescent="0.3">
      <c r="B72" s="47"/>
      <c r="D72" s="231"/>
    </row>
    <row r="73" spans="1:8" ht="15" customHeight="1" x14ac:dyDescent="0.3">
      <c r="B73" s="105" t="s">
        <v>154</v>
      </c>
      <c r="C73" s="107"/>
      <c r="D73" s="20"/>
      <c r="E73" s="108"/>
      <c r="F73" s="108"/>
      <c r="G73" s="108"/>
      <c r="H73" s="108"/>
    </row>
    <row r="74" spans="1:8" ht="15" customHeight="1" x14ac:dyDescent="0.3">
      <c r="B74" s="91" t="s">
        <v>103</v>
      </c>
      <c r="C74" s="91"/>
      <c r="D74" s="477" t="str">
        <f>IF(INPUT!D9="","",D5)</f>
        <v/>
      </c>
      <c r="E74" s="91">
        <f>IF(INPUT!E9="",NA(),E5)</f>
        <v>2022</v>
      </c>
      <c r="F74" s="91">
        <f>IF(INPUT!F9="",NA(),F5)</f>
        <v>2023</v>
      </c>
      <c r="G74" s="91">
        <f>IF(INPUT!G9="",NA(),G5)</f>
        <v>2024</v>
      </c>
      <c r="H74" s="91" t="str">
        <f>IF(INPUT!H9="",NA(),H5)</f>
        <v>2025 (LTM)</v>
      </c>
    </row>
    <row r="75" spans="1:8" ht="15" customHeight="1" x14ac:dyDescent="0.3">
      <c r="B75" s="47" t="s">
        <v>155</v>
      </c>
      <c r="D75" s="478" t="str">
        <f>IF(INPUT!D9="","",INPUT!D9)</f>
        <v/>
      </c>
      <c r="E75" s="251">
        <f>IF(INPUT!E9="",NA(),INPUT!E9)</f>
        <v>394328</v>
      </c>
      <c r="F75" s="251">
        <f>IF(INPUT!F9="",NA(),INPUT!F9)</f>
        <v>383285</v>
      </c>
      <c r="G75" s="251">
        <f>IF(INPUT!G9="",NA(),INPUT!G9)</f>
        <v>391035</v>
      </c>
      <c r="H75" s="251">
        <f>IF(INPUT!H9="",NA(),INPUT!H9)</f>
        <v>416161</v>
      </c>
    </row>
    <row r="76" spans="1:8" ht="15" customHeight="1" x14ac:dyDescent="0.3">
      <c r="B76" s="47" t="s">
        <v>156</v>
      </c>
      <c r="D76" s="478">
        <f>IF(INPUT!E9="",NA(),INPUT!E30)</f>
        <v>119437</v>
      </c>
      <c r="E76" s="251">
        <f>IF(INPUT!F9="",NA(),INPUT!F30)</f>
        <v>114301</v>
      </c>
      <c r="F76" s="251">
        <f>IF(INPUT!G9="",NA(),INPUT!G30)</f>
        <v>123216</v>
      </c>
      <c r="G76" s="251">
        <f>IF(INPUT!G9="",NA(),INPUT!G30)</f>
        <v>123216</v>
      </c>
      <c r="H76" s="251">
        <f>IF(INPUT!H9="",NA(),INPUT!H30)</f>
        <v>133050</v>
      </c>
    </row>
    <row r="77" spans="1:8" ht="15" customHeight="1" x14ac:dyDescent="0.3">
      <c r="B77" s="47" t="s">
        <v>157</v>
      </c>
      <c r="D77" s="478">
        <f>IF(INPUT!E9="",NA(),INPUT!E26)</f>
        <v>90694</v>
      </c>
      <c r="E77" s="251">
        <f>IF(INPUT!F9="",NA(),INPUT!F26)</f>
        <v>87496</v>
      </c>
      <c r="F77" s="251">
        <f>IF(INPUT!G9="",NA(),INPUT!G26)</f>
        <v>84845</v>
      </c>
      <c r="G77" s="251">
        <f>IF(INPUT!G9="",NA(),INPUT!G26)</f>
        <v>84845</v>
      </c>
      <c r="H77" s="251">
        <f>IF(INPUT!H9="",NA(),INPUT!H26)</f>
        <v>102457</v>
      </c>
    </row>
    <row r="78" spans="1:8" ht="15" customHeight="1" x14ac:dyDescent="0.3">
      <c r="B78" s="47" t="s">
        <v>158</v>
      </c>
      <c r="D78" s="478">
        <f>IF(INPUT!E9="",NA(),INPUT!D9+INPUT!E9)</f>
        <v>394328</v>
      </c>
      <c r="E78" s="251">
        <f>IF(INPUT!F9="",NA(),INPUT!D9+INPUT!E9+INPUT!F9)</f>
        <v>777613</v>
      </c>
      <c r="F78" s="251">
        <f>IF(INPUT!G9="",NA(),INPUT!D9+INPUT!E9+INPUT!F9+INPUT!G9)</f>
        <v>1168648</v>
      </c>
      <c r="G78" s="251">
        <f>IF(INPUT!H9="",NA(),INPUT!D9+INPUT!E9+INPUT!F9+INPUT!G9+INPUT!H9)</f>
        <v>1584809</v>
      </c>
      <c r="H78" s="251">
        <f>IF(INPUT!H9="",NA(),INPUT!D9+INPUT!E9+INPUT!F9+INPUT!G9+INPUT!H9)</f>
        <v>1584809</v>
      </c>
    </row>
    <row r="79" spans="1:8" ht="15" customHeight="1" x14ac:dyDescent="0.3">
      <c r="B79" s="47"/>
      <c r="D79" s="231"/>
    </row>
    <row r="80" spans="1:8" ht="15" customHeight="1" x14ac:dyDescent="0.3">
      <c r="B80" s="47" t="s">
        <v>113</v>
      </c>
      <c r="D80" s="479" t="str">
        <f>IF(INPUT!D9="","",D19)</f>
        <v/>
      </c>
      <c r="E80" s="252">
        <f>IF(INPUT!E9="",NA(),E19)</f>
        <v>0.43309630561360085</v>
      </c>
      <c r="F80" s="252">
        <f>IF(INPUT!F9="",NA(),F19)</f>
        <v>0.44131129577207562</v>
      </c>
      <c r="G80" s="252">
        <f>IF(INPUT!G9="",NA(),G19)</f>
        <v>0.46206349815233932</v>
      </c>
      <c r="H80" s="252">
        <f>IF(INPUT!H9="",NA(),H19)</f>
        <v>0.46905164107160452</v>
      </c>
    </row>
    <row r="81" spans="2:8" ht="15" customHeight="1" x14ac:dyDescent="0.3">
      <c r="B81" s="47" t="s">
        <v>114</v>
      </c>
      <c r="D81" s="479" t="str">
        <f>IF(INPUT!D9="","",D20)</f>
        <v/>
      </c>
      <c r="E81" s="252">
        <f>IF(INPUT!E9="",NA(),E20)</f>
        <v>0.30288744395528594</v>
      </c>
      <c r="F81" s="252">
        <f>IF(INPUT!F9="",NA(),F20)</f>
        <v>0.29821412265024722</v>
      </c>
      <c r="G81" s="252">
        <f>IF(INPUT!G9="",NA(),G20)</f>
        <v>0.31510222870075566</v>
      </c>
      <c r="H81" s="252">
        <f>IF(INPUT!H9="",NA(),H20)</f>
        <v>0.31970799762591884</v>
      </c>
    </row>
    <row r="82" spans="2:8" ht="15" customHeight="1" x14ac:dyDescent="0.3">
      <c r="B82" s="47" t="s">
        <v>116</v>
      </c>
      <c r="D82" s="479" t="str">
        <f>IF(INPUT!D9="","",D22)</f>
        <v/>
      </c>
      <c r="E82" s="252">
        <f>IF(INPUT!E9="",NA(),E22)</f>
        <v>0.22999634821772738</v>
      </c>
      <c r="F82" s="252">
        <f>IF(INPUT!F9="",NA(),F22)</f>
        <v>0.22827921781442007</v>
      </c>
      <c r="G82" s="252">
        <f>IF(INPUT!G9="",NA(),G22)</f>
        <v>0.21697546255450278</v>
      </c>
      <c r="H82" s="252">
        <f>IF(INPUT!H9="",NA(),H22)</f>
        <v>0.24619558295947963</v>
      </c>
    </row>
    <row r="83" spans="2:8" ht="15" customHeight="1" x14ac:dyDescent="0.3">
      <c r="B83" s="47"/>
      <c r="D83" s="231"/>
    </row>
    <row r="84" spans="2:8" ht="15" customHeight="1" x14ac:dyDescent="0.3">
      <c r="D84" s="480" t="str">
        <f>IF(INPUT!D9="","",D5)</f>
        <v/>
      </c>
      <c r="E84" s="254">
        <f>IF(INPUT!E9="",NA(),E5)</f>
        <v>2022</v>
      </c>
      <c r="F84" s="254">
        <f>IF(INPUT!F9="",NA(),F5)</f>
        <v>2023</v>
      </c>
      <c r="G84" s="254">
        <f>IF(INPUT!G9="",NA(),G5)</f>
        <v>2024</v>
      </c>
      <c r="H84" s="254" t="str">
        <f>IF(INPUT!H9="",NA(),H5)</f>
        <v>2025 (LTM)</v>
      </c>
    </row>
    <row r="85" spans="2:8" ht="15" customHeight="1" x14ac:dyDescent="0.3">
      <c r="B85" s="47" t="s">
        <v>159</v>
      </c>
      <c r="D85" s="480" t="str">
        <f>IF(INPUT!D9="","",ABS(INPUT!D14))</f>
        <v/>
      </c>
      <c r="E85" s="254">
        <f>IF(INPUT!E9="",NA(),ABS(INPUT!E14))</f>
        <v>25094</v>
      </c>
      <c r="F85" s="254">
        <f>IF(INPUT!F9="",NA(),ABS(INPUT!F14))</f>
        <v>24932</v>
      </c>
      <c r="G85" s="254">
        <f>IF(INPUT!G9="",NA(),ABS(INPUT!G14))</f>
        <v>26097</v>
      </c>
      <c r="H85" s="254">
        <f>IF(INPUT!H9="",NA(),ABS(INPUT!H14))</f>
        <v>27601</v>
      </c>
    </row>
    <row r="86" spans="2:8" ht="15" customHeight="1" x14ac:dyDescent="0.3">
      <c r="B86" s="47" t="s">
        <v>160</v>
      </c>
      <c r="D86" s="480" t="str">
        <f>IF(INPUT!D9="","",ABS(INPUT!D15))</f>
        <v/>
      </c>
      <c r="E86" s="254">
        <f>IF(INPUT!E9="",NA(),ABS(INPUT!E15))</f>
        <v>26251</v>
      </c>
      <c r="F86" s="254">
        <f>IF(INPUT!F9="",NA(),ABS(INPUT!F15))</f>
        <v>29915</v>
      </c>
      <c r="G86" s="254">
        <f>IF(INPUT!G9="",NA(),ABS(INPUT!G15))</f>
        <v>31370</v>
      </c>
      <c r="H86" s="254">
        <f>IF(INPUT!H9="",NA(),ABS(INPUT!H15))</f>
        <v>34550</v>
      </c>
    </row>
    <row r="87" spans="2:8" ht="15" customHeight="1" x14ac:dyDescent="0.3">
      <c r="B87" s="47" t="s">
        <v>161</v>
      </c>
      <c r="D87" s="480" t="str">
        <f>IF(INPUT!D9="","",ABS(INPUT!D16))</f>
        <v/>
      </c>
      <c r="E87" s="254">
        <f>IF(INPUT!E9="",NA(),ABS(INPUT!E16))</f>
        <v>11104</v>
      </c>
      <c r="F87" s="254">
        <f>IF(INPUT!F9="",NA(),ABS(INPUT!F16))</f>
        <v>11519</v>
      </c>
      <c r="G87" s="254">
        <f>IF(INPUT!G9="",NA(),ABS(INPUT!G16))</f>
        <v>11445</v>
      </c>
      <c r="H87" s="254">
        <f>IF(INPUT!H9="",NA(),ABS(INPUT!H16))</f>
        <v>11698</v>
      </c>
    </row>
    <row r="88" spans="2:8" ht="15" customHeight="1" x14ac:dyDescent="0.3">
      <c r="B88" s="47" t="s">
        <v>162</v>
      </c>
      <c r="D88" s="480" t="str">
        <f>IF(INPUT!D9="","",ABS(INPUT!D20))</f>
        <v/>
      </c>
      <c r="E88" s="254">
        <f>IF(INPUT!E9="",NA(),ABS(INPUT!E20))</f>
        <v>2931</v>
      </c>
      <c r="F88" s="254">
        <f>IF(INPUT!F9="",NA(),ABS(INPUT!F20))</f>
        <v>3933</v>
      </c>
      <c r="G88" s="254">
        <f>IF(INPUT!G9="",NA(),ABS(INPUT!G20))</f>
        <v>0</v>
      </c>
      <c r="H88" s="254">
        <f>IF(INPUT!H9="",NA(),ABS(INPUT!H20))</f>
        <v>0</v>
      </c>
    </row>
    <row r="89" spans="2:8" ht="15" customHeight="1" x14ac:dyDescent="0.3">
      <c r="B89" s="47"/>
      <c r="D89" s="231"/>
    </row>
    <row r="90" spans="2:8" ht="15" customHeight="1" x14ac:dyDescent="0.35">
      <c r="D90" s="464" t="str">
        <f>IF(INPUT!D9="","",D5)</f>
        <v/>
      </c>
      <c r="E90" s="22">
        <f>IF(INPUT!E9="",NA(),E5)</f>
        <v>2022</v>
      </c>
      <c r="F90" s="22">
        <f>IF(INPUT!F9="",NA(),F5)</f>
        <v>2023</v>
      </c>
      <c r="G90" s="22">
        <f>IF(INPUT!G9="",NA(),G5)</f>
        <v>2024</v>
      </c>
      <c r="H90" s="22" t="str">
        <f>IF(INPUT!H9="",NA(),H5)</f>
        <v>2025 (LTM)</v>
      </c>
    </row>
    <row r="91" spans="2:8" ht="15" customHeight="1" x14ac:dyDescent="0.3">
      <c r="B91" s="47" t="s">
        <v>159</v>
      </c>
      <c r="D91" s="481" t="str">
        <f>IF(INPUT!D9="","",D85/1000)</f>
        <v/>
      </c>
      <c r="E91" s="255">
        <f t="shared" ref="E91:H94" si="0">E85/1000</f>
        <v>25.094000000000001</v>
      </c>
      <c r="F91" s="255">
        <f t="shared" si="0"/>
        <v>24.931999999999999</v>
      </c>
      <c r="G91" s="255">
        <f t="shared" si="0"/>
        <v>26.097000000000001</v>
      </c>
      <c r="H91" s="255">
        <f t="shared" si="0"/>
        <v>27.600999999999999</v>
      </c>
    </row>
    <row r="92" spans="2:8" ht="15" customHeight="1" x14ac:dyDescent="0.3">
      <c r="B92" s="47" t="s">
        <v>160</v>
      </c>
      <c r="D92" s="481" t="str">
        <f>IF(INPUT!D9="","",D86/1000)</f>
        <v/>
      </c>
      <c r="E92" s="255">
        <f t="shared" si="0"/>
        <v>26.251000000000001</v>
      </c>
      <c r="F92" s="255">
        <f t="shared" si="0"/>
        <v>29.914999999999999</v>
      </c>
      <c r="G92" s="255">
        <f t="shared" si="0"/>
        <v>31.37</v>
      </c>
      <c r="H92" s="255">
        <f t="shared" si="0"/>
        <v>34.549999999999997</v>
      </c>
    </row>
    <row r="93" spans="2:8" ht="15" customHeight="1" x14ac:dyDescent="0.3">
      <c r="B93" s="47" t="s">
        <v>161</v>
      </c>
      <c r="D93" s="481" t="str">
        <f>IF(INPUT!D9="","",D87/1000)</f>
        <v/>
      </c>
      <c r="E93" s="255">
        <f t="shared" si="0"/>
        <v>11.103999999999999</v>
      </c>
      <c r="F93" s="255">
        <f t="shared" si="0"/>
        <v>11.519</v>
      </c>
      <c r="G93" s="255">
        <f t="shared" si="0"/>
        <v>11.445</v>
      </c>
      <c r="H93" s="255">
        <f t="shared" si="0"/>
        <v>11.698</v>
      </c>
    </row>
    <row r="94" spans="2:8" ht="15" customHeight="1" x14ac:dyDescent="0.3">
      <c r="B94" s="47" t="s">
        <v>162</v>
      </c>
      <c r="D94" s="481" t="str">
        <f>IF(INPUT!D9="","",D88/1000)</f>
        <v/>
      </c>
      <c r="E94" s="255">
        <f t="shared" si="0"/>
        <v>2.931</v>
      </c>
      <c r="F94" s="255">
        <f t="shared" si="0"/>
        <v>3.9329999999999998</v>
      </c>
      <c r="G94" s="255">
        <f t="shared" si="0"/>
        <v>0</v>
      </c>
      <c r="H94" s="255">
        <f t="shared" si="0"/>
        <v>0</v>
      </c>
    </row>
    <row r="95" spans="2:8" ht="15" customHeight="1" x14ac:dyDescent="0.3">
      <c r="B95" s="47"/>
      <c r="D95" s="231"/>
      <c r="G95" s="254">
        <f>G88/1000</f>
        <v>0</v>
      </c>
      <c r="H95" s="254">
        <f>H88/1000</f>
        <v>0</v>
      </c>
    </row>
    <row r="96" spans="2:8" ht="15" customHeight="1" x14ac:dyDescent="0.3">
      <c r="B96" s="47"/>
      <c r="D96" s="231"/>
    </row>
    <row r="97" spans="2:8" ht="15" customHeight="1" x14ac:dyDescent="0.3">
      <c r="B97" s="47" t="s">
        <v>158</v>
      </c>
      <c r="D97" s="480">
        <f>D78/1000</f>
        <v>394.32799999999997</v>
      </c>
      <c r="E97" s="254">
        <f>E78/1000</f>
        <v>777.61300000000006</v>
      </c>
      <c r="F97" s="254">
        <f>F78/1000</f>
        <v>1168.6479999999999</v>
      </c>
      <c r="G97" s="254">
        <f>G78/1000</f>
        <v>1584.809</v>
      </c>
      <c r="H97" s="254">
        <f>H78/1000</f>
        <v>1584.809</v>
      </c>
    </row>
    <row r="98" spans="2:8" ht="15" customHeight="1" x14ac:dyDescent="0.3">
      <c r="B98" s="47"/>
      <c r="D98" s="231"/>
    </row>
    <row r="99" spans="2:8" ht="15" customHeight="1" x14ac:dyDescent="0.3">
      <c r="B99" s="47"/>
      <c r="D99" s="231"/>
      <c r="G99" s="254">
        <f>G78/1000</f>
        <v>1584.809</v>
      </c>
      <c r="H99" s="254">
        <f>H78/1000</f>
        <v>1584.809</v>
      </c>
    </row>
    <row r="100" spans="2:8" ht="15" customHeight="1" x14ac:dyDescent="0.3">
      <c r="B100" s="91" t="s">
        <v>163</v>
      </c>
      <c r="C100" s="91"/>
      <c r="D100" s="477"/>
      <c r="E100" s="91"/>
      <c r="F100" s="91"/>
      <c r="G100" s="91"/>
      <c r="H100" s="91"/>
    </row>
    <row r="101" spans="2:8" ht="15" customHeight="1" x14ac:dyDescent="0.3">
      <c r="B101" s="335" t="s">
        <v>164</v>
      </c>
      <c r="D101" s="231"/>
      <c r="E101" s="21">
        <f>INPUT!E5</f>
        <v>2022</v>
      </c>
      <c r="F101" s="21">
        <f>INPUT!F5</f>
        <v>2023</v>
      </c>
      <c r="G101" s="21">
        <f>INPUT!G5</f>
        <v>2024</v>
      </c>
      <c r="H101" s="21" t="str">
        <f>INPUT!H5</f>
        <v>2025 (LTM)</v>
      </c>
    </row>
    <row r="102" spans="2:8" ht="15" customHeight="1" x14ac:dyDescent="0.3">
      <c r="B102" s="47" t="s">
        <v>165</v>
      </c>
      <c r="D102" s="231"/>
      <c r="E102" s="340">
        <f>E61</f>
        <v>93685</v>
      </c>
      <c r="F102" s="340">
        <f>F61</f>
        <v>81905</v>
      </c>
      <c r="G102" s="340">
        <f>G61</f>
        <v>84407</v>
      </c>
      <c r="H102" s="340">
        <f>H61</f>
        <v>96624</v>
      </c>
    </row>
    <row r="103" spans="2:8" ht="15" customHeight="1" x14ac:dyDescent="0.3">
      <c r="B103" s="47" t="s">
        <v>166</v>
      </c>
      <c r="D103" s="231"/>
      <c r="E103" s="21">
        <f>ABS(INPUT!E78)</f>
        <v>10708</v>
      </c>
      <c r="F103" s="21">
        <f>ABS(INPUT!F78)</f>
        <v>10959</v>
      </c>
      <c r="G103" s="21">
        <f>ABS(INPUT!G78)</f>
        <v>9447</v>
      </c>
      <c r="H103" s="21">
        <f>ABS(INPUT!H78)</f>
        <v>12715</v>
      </c>
    </row>
    <row r="104" spans="2:8" ht="15" customHeight="1" x14ac:dyDescent="0.3">
      <c r="B104" s="47" t="s">
        <v>167</v>
      </c>
      <c r="D104" s="231"/>
      <c r="E104" s="338">
        <f>INPUT!E75</f>
        <v>104393</v>
      </c>
      <c r="F104" s="338">
        <f>INPUT!F75</f>
        <v>92864</v>
      </c>
      <c r="G104" s="338">
        <f>INPUT!G75</f>
        <v>93854</v>
      </c>
      <c r="H104" s="338">
        <f>INPUT!H75</f>
        <v>109339</v>
      </c>
    </row>
    <row r="105" spans="2:8" ht="15" customHeight="1" x14ac:dyDescent="0.3">
      <c r="B105" s="47"/>
      <c r="D105" s="231"/>
    </row>
    <row r="106" spans="2:8" ht="15" customHeight="1" x14ac:dyDescent="0.3">
      <c r="B106" s="91" t="s">
        <v>168</v>
      </c>
      <c r="C106" s="91"/>
      <c r="D106" s="477"/>
      <c r="E106" s="91"/>
      <c r="F106" s="91"/>
      <c r="G106" s="91"/>
      <c r="H106" s="91"/>
    </row>
    <row r="107" spans="2:8" ht="15" customHeight="1" x14ac:dyDescent="0.3">
      <c r="B107" s="335" t="s">
        <v>164</v>
      </c>
      <c r="D107" s="231"/>
      <c r="E107" s="21">
        <f>INPUT!E5</f>
        <v>2022</v>
      </c>
      <c r="F107" s="21">
        <f>INPUT!F5</f>
        <v>2023</v>
      </c>
      <c r="G107" s="21">
        <f>INPUT!G5</f>
        <v>2024</v>
      </c>
      <c r="H107" s="21" t="str">
        <f>INPUT!H5</f>
        <v>2025 (LTM)</v>
      </c>
    </row>
    <row r="108" spans="2:8" ht="15" customHeight="1" x14ac:dyDescent="0.3">
      <c r="B108" s="47" t="s">
        <v>117</v>
      </c>
      <c r="D108" s="231"/>
      <c r="E108" s="341">
        <f t="shared" ref="E108:H110" si="1">E23</f>
        <v>1.4679917774072935</v>
      </c>
      <c r="F108" s="341">
        <f t="shared" si="1"/>
        <v>1.188836653169923</v>
      </c>
      <c r="G108" s="341">
        <f t="shared" si="1"/>
        <v>1.3231808115779295</v>
      </c>
      <c r="H108" s="341">
        <f t="shared" si="1"/>
        <v>1.2919524866337133</v>
      </c>
    </row>
    <row r="109" spans="2:8" ht="15" customHeight="1" x14ac:dyDescent="0.3">
      <c r="B109" s="47" t="s">
        <v>118</v>
      </c>
      <c r="D109" s="231"/>
      <c r="E109" s="341">
        <f t="shared" si="1"/>
        <v>0.56768192686621344</v>
      </c>
      <c r="F109" s="341">
        <f t="shared" si="1"/>
        <v>0.50948263312661946</v>
      </c>
      <c r="G109" s="341">
        <f t="shared" si="1"/>
        <v>0.45272155849976786</v>
      </c>
      <c r="H109" s="341">
        <f t="shared" si="1"/>
        <v>0.48745640786537703</v>
      </c>
    </row>
    <row r="110" spans="2:8" ht="15" customHeight="1" x14ac:dyDescent="0.3">
      <c r="B110" s="47" t="s">
        <v>119</v>
      </c>
      <c r="D110" s="231"/>
      <c r="E110" s="341">
        <f t="shared" si="1"/>
        <v>1.4694332238066719</v>
      </c>
      <c r="F110" s="341">
        <f t="shared" si="1"/>
        <v>1.1909629283404441</v>
      </c>
      <c r="G110" s="341">
        <f t="shared" si="1"/>
        <v>1.3231865210068308</v>
      </c>
      <c r="H110" s="341">
        <f t="shared" si="1"/>
        <v>1.2919587107838193</v>
      </c>
    </row>
    <row r="111" spans="2:8" ht="15" customHeight="1" x14ac:dyDescent="0.3">
      <c r="B111" s="47"/>
    </row>
    <row r="112" spans="2:8" ht="15" customHeight="1" x14ac:dyDescent="0.3">
      <c r="B112" s="47"/>
    </row>
    <row r="113" spans="2:2" ht="15" customHeight="1" x14ac:dyDescent="0.3">
      <c r="B113" s="47"/>
    </row>
    <row r="114" spans="2:2" ht="15" customHeight="1" x14ac:dyDescent="0.3">
      <c r="B114" s="47"/>
    </row>
    <row r="115" spans="2:2" ht="15" customHeight="1" x14ac:dyDescent="0.3">
      <c r="B115" s="47"/>
    </row>
    <row r="116" spans="2:2" ht="15" customHeight="1" x14ac:dyDescent="0.3">
      <c r="B116" s="47"/>
    </row>
    <row r="117" spans="2:2" ht="15" customHeight="1" x14ac:dyDescent="0.3">
      <c r="B117" s="47"/>
    </row>
    <row r="118" spans="2:2" ht="15" customHeight="1" x14ac:dyDescent="0.3">
      <c r="B118" s="47"/>
    </row>
    <row r="119" spans="2:2" ht="15" customHeight="1" x14ac:dyDescent="0.3">
      <c r="B119" s="47"/>
    </row>
    <row r="120" spans="2:2" ht="15" customHeight="1" x14ac:dyDescent="0.3">
      <c r="B120" s="47"/>
    </row>
    <row r="121" spans="2:2" ht="15" customHeight="1" x14ac:dyDescent="0.3">
      <c r="B121" s="47"/>
    </row>
    <row r="122" spans="2:2" ht="15" customHeight="1" x14ac:dyDescent="0.3">
      <c r="B122" s="47"/>
    </row>
    <row r="123" spans="2:2" ht="15" customHeight="1" x14ac:dyDescent="0.3">
      <c r="B123" s="47"/>
    </row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82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20"/>
  <sheetViews>
    <sheetView showGridLines="0" zoomScale="80" workbookViewId="0">
      <selection activeCell="D30" sqref="D30"/>
    </sheetView>
  </sheetViews>
  <sheetFormatPr baseColWidth="10" defaultRowHeight="14.4" x14ac:dyDescent="0.3"/>
  <cols>
    <col min="1" max="1" width="11" customWidth="1"/>
    <col min="2" max="2" width="53" style="19" customWidth="1"/>
    <col min="3" max="3" width="7.44140625" customWidth="1"/>
    <col min="4" max="4" width="15.109375" style="21" customWidth="1"/>
    <col min="5" max="8" width="13.33203125" style="21" customWidth="1"/>
    <col min="9" max="9" width="1" style="21" customWidth="1"/>
    <col min="10" max="14" width="11.5546875" style="21" customWidth="1"/>
  </cols>
  <sheetData>
    <row r="1" spans="1:14" ht="54.9" customHeight="1" x14ac:dyDescent="0.6">
      <c r="A1" s="6"/>
      <c r="B1" s="104" t="s">
        <v>100</v>
      </c>
      <c r="C1" s="5"/>
      <c r="D1" s="5"/>
      <c r="E1" s="29"/>
      <c r="F1" s="103" t="s">
        <v>169</v>
      </c>
      <c r="G1" s="29"/>
      <c r="H1" s="29"/>
      <c r="I1" s="29"/>
      <c r="J1" s="20"/>
      <c r="K1" s="29"/>
      <c r="L1" s="29"/>
      <c r="M1" s="29"/>
      <c r="N1" s="29"/>
    </row>
    <row r="2" spans="1:14" ht="15" customHeight="1" x14ac:dyDescent="0.35">
      <c r="A2" s="3"/>
      <c r="B2" s="14"/>
      <c r="C2" s="3"/>
      <c r="D2" s="22"/>
      <c r="E2" s="22"/>
      <c r="F2" s="22"/>
      <c r="G2" s="22"/>
      <c r="H2" s="22"/>
      <c r="I2" s="22"/>
    </row>
    <row r="3" spans="1:14" ht="18" customHeight="1" x14ac:dyDescent="0.5">
      <c r="A3" s="7"/>
      <c r="B3" s="15" t="s">
        <v>170</v>
      </c>
      <c r="C3" s="7"/>
      <c r="D3" s="7"/>
      <c r="E3" s="23"/>
      <c r="F3" s="23"/>
      <c r="G3" s="23"/>
      <c r="H3" s="23"/>
      <c r="I3" s="23"/>
      <c r="J3" s="43"/>
      <c r="K3" s="43"/>
      <c r="L3" s="43"/>
      <c r="M3" s="43"/>
      <c r="N3" s="43"/>
    </row>
    <row r="4" spans="1:14" ht="15" customHeight="1" x14ac:dyDescent="0.35">
      <c r="A4" s="3"/>
      <c r="B4" s="13"/>
      <c r="C4" s="3"/>
      <c r="D4" s="22"/>
      <c r="E4" s="22"/>
      <c r="F4" s="22"/>
      <c r="G4" s="22"/>
      <c r="H4" s="22"/>
      <c r="I4" s="22"/>
    </row>
    <row r="5" spans="1:14" ht="15" customHeight="1" x14ac:dyDescent="0.35">
      <c r="A5" s="1"/>
      <c r="B5" s="124" t="s">
        <v>171</v>
      </c>
      <c r="C5" s="124"/>
      <c r="D5" s="124"/>
      <c r="E5" s="124">
        <f>IF(INPUT!E5="","",INPUT!E5)</f>
        <v>2022</v>
      </c>
      <c r="F5" s="124">
        <f>IF(INPUT!F5="","",INPUT!F5)</f>
        <v>2023</v>
      </c>
      <c r="G5" s="124">
        <f>IF(INPUT!G5="","",INPUT!G5)</f>
        <v>2024</v>
      </c>
      <c r="H5" s="124" t="str">
        <f>IF(INPUT!H5="","",INPUT!H5)</f>
        <v>2025 (LTM)</v>
      </c>
      <c r="I5" s="24"/>
      <c r="J5" s="1"/>
      <c r="K5" s="1"/>
      <c r="L5" s="1"/>
      <c r="M5" s="1"/>
      <c r="N5" s="1"/>
    </row>
    <row r="6" spans="1:14" ht="15" customHeight="1" x14ac:dyDescent="0.35">
      <c r="A6" s="3"/>
      <c r="B6" s="14"/>
      <c r="C6" s="3"/>
      <c r="D6" s="22"/>
      <c r="E6" s="22"/>
      <c r="F6" s="22"/>
      <c r="G6" s="22"/>
      <c r="H6" s="22"/>
      <c r="I6" s="22"/>
    </row>
    <row r="7" spans="1:14" ht="18" customHeight="1" x14ac:dyDescent="0.5">
      <c r="A7" s="7" t="s">
        <v>5</v>
      </c>
      <c r="B7" s="120" t="s">
        <v>172</v>
      </c>
      <c r="C7" s="121"/>
      <c r="D7" s="7"/>
      <c r="E7" s="122"/>
      <c r="F7" s="122"/>
      <c r="G7" s="122"/>
      <c r="H7" s="122"/>
      <c r="I7" s="23"/>
      <c r="J7" s="43"/>
      <c r="K7" s="43"/>
      <c r="L7" s="43"/>
      <c r="M7" s="43"/>
      <c r="N7" s="43"/>
    </row>
    <row r="8" spans="1:14" ht="15" customHeight="1" x14ac:dyDescent="0.35">
      <c r="A8" s="3"/>
      <c r="B8" s="113" t="s">
        <v>173</v>
      </c>
      <c r="C8" s="114"/>
      <c r="D8" s="256">
        <f>IFERROR(INPUT!D38-INPUT!D51,"–")</f>
        <v>0</v>
      </c>
      <c r="E8" s="256">
        <f>IFERROR(INPUT!E38-INPUT!E51,"–")</f>
        <v>-66408</v>
      </c>
      <c r="F8" s="256">
        <f>IFERROR(INPUT!F38-INPUT!F51,"–")</f>
        <v>-56748</v>
      </c>
      <c r="G8" s="256">
        <f>IFERROR(INPUT!G38-INPUT!G51,"–")</f>
        <v>-75538</v>
      </c>
      <c r="H8" s="256">
        <f>IFERROR(INPUT!H38-INPUT!H51,"–")</f>
        <v>-51643</v>
      </c>
      <c r="I8" s="30"/>
    </row>
    <row r="9" spans="1:14" ht="15" customHeight="1" x14ac:dyDescent="0.35">
      <c r="A9" s="3"/>
      <c r="B9" s="113" t="s">
        <v>31</v>
      </c>
      <c r="C9" s="114"/>
      <c r="D9" s="256">
        <f>INPUT!D44</f>
        <v>0</v>
      </c>
      <c r="E9" s="256">
        <f>INPUT!E44</f>
        <v>159762</v>
      </c>
      <c r="F9" s="256">
        <f>INPUT!F44</f>
        <v>171735</v>
      </c>
      <c r="G9" s="256">
        <f>INPUT!G44</f>
        <v>187411</v>
      </c>
      <c r="H9" s="256">
        <f>INPUT!H44</f>
        <v>210187</v>
      </c>
      <c r="I9" s="30"/>
    </row>
    <row r="10" spans="1:14" ht="15" customHeight="1" x14ac:dyDescent="0.35">
      <c r="A10" s="3"/>
      <c r="B10" s="113" t="s">
        <v>40</v>
      </c>
      <c r="C10" s="114"/>
      <c r="D10" s="256">
        <f>INPUT!D59</f>
        <v>0</v>
      </c>
      <c r="E10" s="256">
        <f>INPUT!E59</f>
        <v>-3068</v>
      </c>
      <c r="F10" s="256">
        <f>INPUT!F59</f>
        <v>-214</v>
      </c>
      <c r="G10" s="256">
        <f>INPUT!G59</f>
        <v>-19154</v>
      </c>
      <c r="H10" s="256">
        <f>INPUT!H59</f>
        <v>-14264</v>
      </c>
      <c r="I10" s="30"/>
    </row>
    <row r="11" spans="1:14" ht="15" customHeight="1" x14ac:dyDescent="0.35">
      <c r="A11" s="3"/>
      <c r="B11" s="113" t="s">
        <v>174</v>
      </c>
      <c r="C11" s="114"/>
      <c r="D11" s="256">
        <f>INPUT!D17</f>
        <v>0</v>
      </c>
      <c r="E11" s="256">
        <f>INPUT!E17</f>
        <v>108333</v>
      </c>
      <c r="F11" s="256">
        <f>INPUT!F17</f>
        <v>102782</v>
      </c>
      <c r="G11" s="256">
        <f>INPUT!G17</f>
        <v>111771</v>
      </c>
      <c r="H11" s="256">
        <f>INPUT!H17</f>
        <v>121352</v>
      </c>
      <c r="I11" s="30"/>
    </row>
    <row r="12" spans="1:14" ht="15" customHeight="1" x14ac:dyDescent="0.35">
      <c r="A12" s="3"/>
      <c r="B12" s="113" t="s">
        <v>175</v>
      </c>
      <c r="C12" s="114"/>
      <c r="D12" s="256">
        <f>INPUT!D60</f>
        <v>0</v>
      </c>
      <c r="E12" s="256">
        <f>INPUT!E60</f>
        <v>61781</v>
      </c>
      <c r="F12" s="256">
        <f>INPUT!F60</f>
        <v>73598</v>
      </c>
      <c r="G12" s="256">
        <f>INPUT!G60</f>
        <v>64122</v>
      </c>
      <c r="H12" s="256">
        <f>INPUT!H60</f>
        <v>79304</v>
      </c>
      <c r="I12" s="30"/>
    </row>
    <row r="13" spans="1:14" ht="15" customHeight="1" x14ac:dyDescent="0.35">
      <c r="A13" s="3"/>
      <c r="B13" s="113" t="s">
        <v>38</v>
      </c>
      <c r="C13" s="114"/>
      <c r="D13" s="256">
        <f>INPUT!D55</f>
        <v>0</v>
      </c>
      <c r="E13" s="256">
        <f>INPUT!E55</f>
        <v>243366</v>
      </c>
      <c r="F13" s="256">
        <f>INPUT!F55</f>
        <v>232528</v>
      </c>
      <c r="G13" s="256">
        <f>INPUT!G55</f>
        <v>246214</v>
      </c>
      <c r="H13" s="256">
        <f>INPUT!H55</f>
        <v>225985</v>
      </c>
      <c r="I13" s="30"/>
    </row>
    <row r="14" spans="1:14" ht="15" customHeight="1" x14ac:dyDescent="0.35">
      <c r="A14" s="3"/>
      <c r="B14" s="113" t="s">
        <v>7</v>
      </c>
      <c r="C14" s="114"/>
      <c r="D14" s="257">
        <f>INPUT!D9</f>
        <v>0</v>
      </c>
      <c r="E14" s="257">
        <f>INPUT!E9</f>
        <v>394328</v>
      </c>
      <c r="F14" s="257">
        <f>INPUT!F9</f>
        <v>383285</v>
      </c>
      <c r="G14" s="257">
        <f>INPUT!G9</f>
        <v>391035</v>
      </c>
      <c r="H14" s="257">
        <f>INPUT!H9</f>
        <v>416161</v>
      </c>
      <c r="I14" s="30"/>
    </row>
    <row r="15" spans="1:14" ht="15" customHeight="1" x14ac:dyDescent="0.35">
      <c r="A15" s="3"/>
      <c r="B15" s="99"/>
      <c r="C15" s="114"/>
      <c r="D15" s="115"/>
      <c r="E15" s="115"/>
      <c r="F15" s="115"/>
      <c r="G15" s="115"/>
      <c r="H15" s="115"/>
      <c r="I15" s="22"/>
    </row>
    <row r="16" spans="1:14" ht="18" customHeight="1" x14ac:dyDescent="0.5">
      <c r="A16" s="7" t="s">
        <v>5</v>
      </c>
      <c r="B16" s="120" t="s">
        <v>176</v>
      </c>
      <c r="C16" s="123"/>
      <c r="D16" s="7"/>
      <c r="E16" s="122"/>
      <c r="F16" s="122"/>
      <c r="G16" s="122"/>
      <c r="H16" s="122"/>
      <c r="I16" s="23"/>
      <c r="J16" s="43"/>
      <c r="K16" s="43"/>
      <c r="L16" s="43"/>
      <c r="M16" s="43"/>
      <c r="N16" s="43"/>
    </row>
    <row r="17" spans="1:14" ht="15" customHeight="1" x14ac:dyDescent="0.35">
      <c r="A17" s="3"/>
      <c r="B17" s="113" t="s">
        <v>177</v>
      </c>
      <c r="C17" s="114"/>
      <c r="D17" s="258" t="str">
        <f>IFERROR(D8/D9,"–")</f>
        <v>–</v>
      </c>
      <c r="E17" s="258">
        <f>IFERROR(E8/E9,"–")</f>
        <v>-0.41566830660607657</v>
      </c>
      <c r="F17" s="258">
        <f>IFERROR(F8/F9,"–")</f>
        <v>-0.33043933968032141</v>
      </c>
      <c r="G17" s="258">
        <f>IFERROR(G8/G9,"–")</f>
        <v>-0.40306065278985759</v>
      </c>
      <c r="H17" s="258">
        <f>IFERROR(H8/H9,"–")</f>
        <v>-0.24570025738984808</v>
      </c>
      <c r="I17" s="30"/>
    </row>
    <row r="18" spans="1:14" ht="15" customHeight="1" x14ac:dyDescent="0.35">
      <c r="A18" s="3"/>
      <c r="B18" s="113" t="s">
        <v>178</v>
      </c>
      <c r="C18" s="114"/>
      <c r="D18" s="258" t="str">
        <f>IFERROR(D10/D9,"–")</f>
        <v>–</v>
      </c>
      <c r="E18" s="258">
        <f>IFERROR(E10/E9,"–")</f>
        <v>-1.9203565303388792E-2</v>
      </c>
      <c r="F18" s="258">
        <f>IFERROR(F10/F9,"–")</f>
        <v>-1.2461059190031153E-3</v>
      </c>
      <c r="G18" s="258">
        <f>IFERROR(G10/G9,"–")</f>
        <v>-0.10220317910901708</v>
      </c>
      <c r="H18" s="258">
        <f>IFERROR(H10/H9,"–")</f>
        <v>-6.7863378800782165E-2</v>
      </c>
      <c r="I18" s="30"/>
    </row>
    <row r="19" spans="1:14" ht="15" customHeight="1" x14ac:dyDescent="0.35">
      <c r="A19" s="3"/>
      <c r="B19" s="113" t="s">
        <v>179</v>
      </c>
      <c r="C19" s="114"/>
      <c r="D19" s="258" t="str">
        <f>IFERROR(D11/D9,"–")</f>
        <v>–</v>
      </c>
      <c r="E19" s="258">
        <f>IFERROR(E11/E9,"–")</f>
        <v>0.67808990873924968</v>
      </c>
      <c r="F19" s="258">
        <f>IFERROR(F11/F9,"–")</f>
        <v>0.59849186246251496</v>
      </c>
      <c r="G19" s="258">
        <f>IFERROR(G11/G9,"–")</f>
        <v>0.59639508886884973</v>
      </c>
      <c r="H19" s="258">
        <f>IFERROR(H11/H9,"–")</f>
        <v>0.57735254796918933</v>
      </c>
      <c r="I19" s="30"/>
    </row>
    <row r="20" spans="1:14" ht="15" customHeight="1" x14ac:dyDescent="0.35">
      <c r="A20" s="3"/>
      <c r="B20" s="113" t="s">
        <v>180</v>
      </c>
      <c r="C20" s="114"/>
      <c r="D20" s="258" t="str">
        <f>IFERROR(D12/D13,"–")</f>
        <v>–</v>
      </c>
      <c r="E20" s="258">
        <f>IFERROR(E12/E13,"–")</f>
        <v>0.25386044065317259</v>
      </c>
      <c r="F20" s="258">
        <f>IFERROR(F12/F13,"–")</f>
        <v>0.31651242000963326</v>
      </c>
      <c r="G20" s="258">
        <f>IFERROR(G12/G13,"–")</f>
        <v>0.2604319819344148</v>
      </c>
      <c r="H20" s="258">
        <f>IFERROR(H12/H13,"–")</f>
        <v>0.35092594641237251</v>
      </c>
      <c r="I20" s="30"/>
    </row>
    <row r="21" spans="1:14" ht="15" customHeight="1" x14ac:dyDescent="0.35">
      <c r="A21" s="3"/>
      <c r="B21" s="113" t="s">
        <v>181</v>
      </c>
      <c r="C21" s="114"/>
      <c r="D21" s="259" t="str">
        <f>IFERROR(D14/D9,"–")</f>
        <v>–</v>
      </c>
      <c r="E21" s="259">
        <f>IFERROR(E14/E9,"–")</f>
        <v>2.4682214794506829</v>
      </c>
      <c r="F21" s="259">
        <f>IFERROR(F14/F9,"–")</f>
        <v>2.2318397531079861</v>
      </c>
      <c r="G21" s="259">
        <f>IFERROR(G14/G9,"–")</f>
        <v>2.0865103969350787</v>
      </c>
      <c r="H21" s="259">
        <f>IFERROR(H14/H9,"–")</f>
        <v>1.9799559439927303</v>
      </c>
      <c r="I21" s="30"/>
    </row>
    <row r="22" spans="1:14" ht="15" customHeight="1" x14ac:dyDescent="0.35">
      <c r="A22" s="3"/>
      <c r="B22" s="99"/>
      <c r="C22" s="114"/>
      <c r="D22" s="115"/>
      <c r="E22" s="115"/>
      <c r="F22" s="115"/>
      <c r="G22" s="115"/>
      <c r="H22" s="115"/>
      <c r="I22" s="22"/>
    </row>
    <row r="23" spans="1:14" ht="18" customHeight="1" x14ac:dyDescent="0.5">
      <c r="A23" s="7" t="s">
        <v>5</v>
      </c>
      <c r="B23" s="120" t="s">
        <v>182</v>
      </c>
      <c r="C23" s="123"/>
      <c r="D23" s="7"/>
      <c r="E23" s="122"/>
      <c r="F23" s="122"/>
      <c r="G23" s="122"/>
      <c r="H23" s="122"/>
      <c r="I23" s="23"/>
      <c r="J23" s="43"/>
      <c r="K23" s="43"/>
      <c r="L23" s="43"/>
      <c r="M23" s="43"/>
      <c r="N23" s="43"/>
    </row>
    <row r="24" spans="1:14" ht="15" customHeight="1" x14ac:dyDescent="0.35">
      <c r="A24" s="3"/>
      <c r="B24" s="113" t="s">
        <v>183</v>
      </c>
      <c r="C24" s="114"/>
      <c r="D24" s="258" t="str">
        <f>IFERROR(1.2*D17,"–")</f>
        <v>–</v>
      </c>
      <c r="E24" s="258">
        <f>IFERROR(1.2*E17,"–")</f>
        <v>-0.49880196792729187</v>
      </c>
      <c r="F24" s="258">
        <f>IFERROR(1.2*F17,"–")</f>
        <v>-0.39652720761638566</v>
      </c>
      <c r="G24" s="258">
        <f>IFERROR(1.2*G17,"–")</f>
        <v>-0.48367278334782909</v>
      </c>
      <c r="H24" s="258">
        <f>IFERROR(1.2*H17,"–")</f>
        <v>-0.2948403088678177</v>
      </c>
      <c r="I24" s="30"/>
    </row>
    <row r="25" spans="1:14" ht="15" customHeight="1" x14ac:dyDescent="0.35">
      <c r="A25" s="3"/>
      <c r="B25" s="113" t="s">
        <v>184</v>
      </c>
      <c r="C25" s="114"/>
      <c r="D25" s="258" t="str">
        <f>IFERROR(1.4*D18,"–")</f>
        <v>–</v>
      </c>
      <c r="E25" s="258">
        <f>IFERROR(1.4*E18,"–")</f>
        <v>-2.6884991424744306E-2</v>
      </c>
      <c r="F25" s="258">
        <f>IFERROR(1.4*F18,"–")</f>
        <v>-1.7445482866043614E-3</v>
      </c>
      <c r="G25" s="258">
        <f>IFERROR(1.4*G18,"–")</f>
        <v>-0.14308445075262391</v>
      </c>
      <c r="H25" s="258">
        <f>IFERROR(1.4*H18,"–")</f>
        <v>-9.5008730321095025E-2</v>
      </c>
      <c r="I25" s="30"/>
    </row>
    <row r="26" spans="1:14" ht="15" customHeight="1" x14ac:dyDescent="0.35">
      <c r="A26" s="3"/>
      <c r="B26" s="113" t="s">
        <v>185</v>
      </c>
      <c r="C26" s="114"/>
      <c r="D26" s="258" t="str">
        <f>IFERROR(3.3*D19,"–")</f>
        <v>–</v>
      </c>
      <c r="E26" s="258">
        <f>IFERROR(3.3*E19,"–")</f>
        <v>2.2376966988395237</v>
      </c>
      <c r="F26" s="258">
        <f>IFERROR(3.3*F19,"–")</f>
        <v>1.9750231461262993</v>
      </c>
      <c r="G26" s="258">
        <f>IFERROR(3.3*G19,"–")</f>
        <v>1.9681037932672041</v>
      </c>
      <c r="H26" s="258">
        <f>IFERROR(3.3*H19,"–")</f>
        <v>1.9052634082983246</v>
      </c>
      <c r="I26" s="30"/>
    </row>
    <row r="27" spans="1:14" ht="15" customHeight="1" x14ac:dyDescent="0.35">
      <c r="A27" s="3"/>
      <c r="B27" s="113" t="s">
        <v>186</v>
      </c>
      <c r="C27" s="114"/>
      <c r="D27" s="258" t="str">
        <f>IFERROR(0.6*D20,"–")</f>
        <v>–</v>
      </c>
      <c r="E27" s="258">
        <f>IFERROR(0.6*E20,"–")</f>
        <v>0.15231626439190354</v>
      </c>
      <c r="F27" s="258">
        <f>IFERROR(0.6*F20,"–")</f>
        <v>0.18990745200577994</v>
      </c>
      <c r="G27" s="258">
        <f>IFERROR(0.6*G20,"–")</f>
        <v>0.15625918916064888</v>
      </c>
      <c r="H27" s="258">
        <f>IFERROR(0.6*H20,"–")</f>
        <v>0.21055556784742349</v>
      </c>
      <c r="I27" s="30"/>
    </row>
    <row r="28" spans="1:14" ht="15" customHeight="1" x14ac:dyDescent="0.35">
      <c r="A28" s="3"/>
      <c r="B28" s="113" t="s">
        <v>187</v>
      </c>
      <c r="C28" s="114"/>
      <c r="D28" s="259" t="str">
        <f>IFERROR(1*D21,"–")</f>
        <v>–</v>
      </c>
      <c r="E28" s="259">
        <f>IFERROR(1*E21,"–")</f>
        <v>2.4682214794506829</v>
      </c>
      <c r="F28" s="259">
        <f>IFERROR(1*F21,"–")</f>
        <v>2.2318397531079861</v>
      </c>
      <c r="G28" s="259">
        <f>IFERROR(1*G21,"–")</f>
        <v>2.0865103969350787</v>
      </c>
      <c r="H28" s="259">
        <f>IFERROR(1*H21,"–")</f>
        <v>1.9799559439927303</v>
      </c>
      <c r="I28" s="30"/>
    </row>
    <row r="29" spans="1:14" ht="15" customHeight="1" x14ac:dyDescent="0.35">
      <c r="A29" s="3"/>
      <c r="B29" s="99"/>
      <c r="C29" s="114"/>
      <c r="D29" s="31"/>
      <c r="E29" s="115"/>
      <c r="F29" s="115"/>
      <c r="G29" s="115"/>
      <c r="H29" s="115"/>
      <c r="I29" s="22"/>
    </row>
    <row r="30" spans="1:14" ht="18" customHeight="1" thickBot="1" x14ac:dyDescent="0.55000000000000004">
      <c r="A30" s="112" t="s">
        <v>5</v>
      </c>
      <c r="B30" s="111" t="s">
        <v>188</v>
      </c>
      <c r="C30" s="117"/>
      <c r="D30" s="260" t="str">
        <f>IFERROR(D24+D25+D26+D27+D28,"–")</f>
        <v>–</v>
      </c>
      <c r="E30" s="260">
        <f>IFERROR(E24+E25+E26+E27+E28,"–")</f>
        <v>4.3325474833300746</v>
      </c>
      <c r="F30" s="260">
        <f>IFERROR(F24+F25+F26+F27+F28,"–")</f>
        <v>3.9984985953370753</v>
      </c>
      <c r="G30" s="260">
        <f>IFERROR(G24+G25+G26+G27+G28,"–")</f>
        <v>3.5841161452624783</v>
      </c>
      <c r="H30" s="260">
        <f>IFERROR(H24+H25+H26+H27+H28,"–")</f>
        <v>3.7059258809495659</v>
      </c>
      <c r="I30" s="109"/>
      <c r="J30" s="95"/>
      <c r="K30" s="95"/>
      <c r="L30" s="95"/>
      <c r="M30" s="95"/>
      <c r="N30" s="95"/>
    </row>
    <row r="31" spans="1:14" ht="15" customHeight="1" x14ac:dyDescent="0.35">
      <c r="A31" s="3"/>
      <c r="B31" s="99"/>
      <c r="C31" s="114"/>
      <c r="D31" s="115"/>
      <c r="E31" s="115"/>
      <c r="F31" s="115"/>
      <c r="G31" s="115"/>
      <c r="H31" s="115"/>
      <c r="I31" s="22"/>
    </row>
    <row r="32" spans="1:14" ht="18" customHeight="1" x14ac:dyDescent="0.5">
      <c r="A32" s="7" t="s">
        <v>5</v>
      </c>
      <c r="B32" s="120" t="s">
        <v>189</v>
      </c>
      <c r="C32" s="123"/>
      <c r="D32" s="7"/>
      <c r="E32" s="122"/>
      <c r="F32" s="122"/>
      <c r="G32" s="122"/>
      <c r="H32" s="122"/>
      <c r="I32" s="23"/>
      <c r="J32" s="43"/>
      <c r="K32" s="43"/>
      <c r="L32" s="43"/>
      <c r="M32" s="43"/>
      <c r="N32" s="43"/>
    </row>
    <row r="33" spans="1:14" ht="15" customHeight="1" x14ac:dyDescent="0.35">
      <c r="A33" s="3"/>
      <c r="B33" s="99" t="s">
        <v>190</v>
      </c>
      <c r="C33" s="114"/>
      <c r="D33" s="261" t="str">
        <f>IFERROR(IF(D30&gt;2.99,"SAFE",IF(D30&gt;=1.81,"GREY","DISTRESS")),"–")</f>
        <v>SAFE</v>
      </c>
      <c r="E33" s="261" t="str">
        <f>IFERROR(IF(E30&gt;2.99,"SAFE",IF(E30&gt;=1.81,"GREY","DISTRESS")),"–")</f>
        <v>SAFE</v>
      </c>
      <c r="F33" s="261" t="str">
        <f>IFERROR(IF(F30&gt;2.99,"SAFE",IF(F30&gt;=1.81,"GREY","DISTRESS")),"–")</f>
        <v>SAFE</v>
      </c>
      <c r="G33" s="261" t="str">
        <f>IFERROR(IF(G30&gt;2.99,"SAFE",IF(G30&gt;=1.81,"GREY","DISTRESS")),"–")</f>
        <v>SAFE</v>
      </c>
      <c r="H33" s="261" t="str">
        <f>IFERROR(IF(H30&gt;2.99,"SAFE",IF(H30&gt;=1.81,"GREY","DISTRESS")),"–")</f>
        <v>SAFE</v>
      </c>
      <c r="I33" s="22"/>
    </row>
    <row r="34" spans="1:14" ht="15" customHeight="1" x14ac:dyDescent="0.35">
      <c r="A34" s="3"/>
      <c r="B34" s="99"/>
      <c r="C34" s="114"/>
      <c r="D34" s="115"/>
      <c r="E34" s="115"/>
      <c r="F34" s="115"/>
      <c r="G34" s="115"/>
      <c r="H34" s="115"/>
      <c r="I34" s="22"/>
    </row>
    <row r="35" spans="1:14" ht="15" customHeight="1" x14ac:dyDescent="0.35">
      <c r="A35" s="3"/>
      <c r="B35" s="99" t="s">
        <v>191</v>
      </c>
      <c r="C35" s="114"/>
      <c r="D35" s="119" t="s">
        <v>192</v>
      </c>
      <c r="E35" s="115"/>
      <c r="F35" s="115"/>
      <c r="G35" s="115"/>
      <c r="H35" s="115"/>
      <c r="I35" s="57"/>
    </row>
    <row r="36" spans="1:14" ht="15" customHeight="1" x14ac:dyDescent="0.35">
      <c r="A36" s="3"/>
      <c r="B36" s="99" t="s">
        <v>193</v>
      </c>
      <c r="C36" s="114"/>
      <c r="D36" s="119" t="s">
        <v>194</v>
      </c>
      <c r="E36" s="115"/>
      <c r="F36" s="115"/>
      <c r="G36" s="115"/>
      <c r="H36" s="115"/>
      <c r="I36" s="57"/>
    </row>
    <row r="37" spans="1:14" ht="15" customHeight="1" x14ac:dyDescent="0.35">
      <c r="A37" s="3"/>
      <c r="B37" s="99" t="s">
        <v>195</v>
      </c>
      <c r="C37" s="114"/>
      <c r="D37" s="119" t="s">
        <v>196</v>
      </c>
      <c r="E37" s="115"/>
      <c r="F37" s="115"/>
      <c r="G37" s="115"/>
      <c r="H37" s="115"/>
      <c r="I37" s="57"/>
    </row>
    <row r="38" spans="1:14" ht="15" customHeight="1" x14ac:dyDescent="0.35">
      <c r="A38" s="3"/>
      <c r="B38" s="99"/>
      <c r="C38" s="114"/>
      <c r="D38" s="115"/>
      <c r="E38" s="115"/>
      <c r="F38" s="115"/>
      <c r="G38" s="115"/>
      <c r="H38" s="115"/>
      <c r="I38" s="22"/>
    </row>
    <row r="39" spans="1:14" ht="15" customHeight="1" x14ac:dyDescent="0.35">
      <c r="A39" s="3"/>
      <c r="B39" s="118" t="s">
        <v>197</v>
      </c>
      <c r="C39" s="114"/>
      <c r="D39" s="115"/>
      <c r="E39" s="115"/>
      <c r="F39" s="115"/>
      <c r="G39" s="115"/>
      <c r="H39" s="115"/>
      <c r="I39" s="22"/>
    </row>
    <row r="40" spans="1:14" ht="15" customHeight="1" x14ac:dyDescent="0.35">
      <c r="A40" s="3"/>
      <c r="B40" s="118" t="s">
        <v>198</v>
      </c>
      <c r="C40" s="114"/>
      <c r="D40" s="115"/>
      <c r="E40" s="115"/>
      <c r="F40" s="115"/>
      <c r="G40" s="115"/>
      <c r="H40" s="115"/>
      <c r="I40" s="22"/>
    </row>
    <row r="41" spans="1:14" ht="15" customHeight="1" x14ac:dyDescent="0.35">
      <c r="A41" s="3"/>
      <c r="B41" s="99"/>
      <c r="C41" s="119"/>
      <c r="D41" s="115"/>
      <c r="E41" s="115"/>
      <c r="F41" s="115"/>
      <c r="G41" s="115"/>
      <c r="H41" s="115"/>
      <c r="I41" s="22"/>
    </row>
    <row r="42" spans="1:14" ht="15" customHeight="1" x14ac:dyDescent="0.35">
      <c r="A42" s="4"/>
      <c r="B42" s="85"/>
      <c r="C42" s="85"/>
      <c r="D42" s="85"/>
      <c r="E42" s="85"/>
      <c r="F42" s="85"/>
      <c r="G42" s="85"/>
      <c r="H42" s="85"/>
      <c r="I42" s="33"/>
      <c r="J42" s="85"/>
      <c r="K42" s="85"/>
      <c r="L42" s="85"/>
      <c r="M42" s="85"/>
      <c r="N42" s="85"/>
    </row>
    <row r="43" spans="1:14" ht="15" customHeight="1" x14ac:dyDescent="0.35">
      <c r="A43" s="4"/>
      <c r="B43" s="85"/>
      <c r="C43" s="85"/>
      <c r="D43" s="85"/>
      <c r="E43" s="85"/>
      <c r="F43" s="85"/>
      <c r="G43" s="85"/>
      <c r="H43" s="85"/>
      <c r="I43" s="33"/>
      <c r="J43" s="85"/>
      <c r="K43" s="85"/>
      <c r="L43" s="85"/>
      <c r="M43" s="85"/>
      <c r="N43" s="85"/>
    </row>
    <row r="44" spans="1:14" ht="15" customHeight="1" x14ac:dyDescent="0.35">
      <c r="A44" s="4"/>
      <c r="B44" s="85"/>
      <c r="C44" s="85"/>
      <c r="D44" s="85"/>
      <c r="E44" s="85"/>
      <c r="F44" s="85"/>
      <c r="G44" s="85"/>
      <c r="H44" s="85"/>
      <c r="I44" s="33"/>
      <c r="J44" s="85"/>
      <c r="K44" s="85"/>
      <c r="L44" s="85"/>
      <c r="M44" s="85"/>
      <c r="N44" s="85"/>
    </row>
    <row r="45" spans="1:14" ht="15" customHeight="1" x14ac:dyDescent="0.3">
      <c r="B45" s="47"/>
    </row>
    <row r="46" spans="1:14" ht="15" customHeight="1" x14ac:dyDescent="0.3">
      <c r="B46" s="47"/>
    </row>
    <row r="47" spans="1:14" ht="15" customHeight="1" x14ac:dyDescent="0.3">
      <c r="B47" s="47"/>
    </row>
    <row r="48" spans="1:14" ht="15" customHeight="1" x14ac:dyDescent="0.3">
      <c r="B48" s="47"/>
    </row>
    <row r="49" spans="2:2" ht="15" customHeight="1" x14ac:dyDescent="0.3">
      <c r="B49" s="47"/>
    </row>
    <row r="50" spans="2:2" ht="15" customHeight="1" x14ac:dyDescent="0.3">
      <c r="B50" s="47"/>
    </row>
    <row r="51" spans="2:2" ht="15" customHeight="1" x14ac:dyDescent="0.3">
      <c r="B51" s="47"/>
    </row>
    <row r="52" spans="2:2" ht="15" customHeight="1" x14ac:dyDescent="0.3">
      <c r="B52" s="47"/>
    </row>
    <row r="53" spans="2:2" ht="15" customHeight="1" x14ac:dyDescent="0.3">
      <c r="B53" s="47"/>
    </row>
    <row r="54" spans="2:2" ht="15" customHeight="1" x14ac:dyDescent="0.3">
      <c r="B54" s="47"/>
    </row>
    <row r="55" spans="2:2" ht="15" customHeight="1" x14ac:dyDescent="0.3">
      <c r="B55" s="47"/>
    </row>
    <row r="56" spans="2:2" ht="15" customHeight="1" x14ac:dyDescent="0.3">
      <c r="B56" s="47"/>
    </row>
    <row r="57" spans="2:2" ht="15" customHeight="1" x14ac:dyDescent="0.3">
      <c r="B57" s="47"/>
    </row>
    <row r="58" spans="2:2" ht="15" customHeight="1" x14ac:dyDescent="0.3">
      <c r="B58" s="47"/>
    </row>
    <row r="59" spans="2:2" ht="15" customHeight="1" x14ac:dyDescent="0.3">
      <c r="B59" s="47"/>
    </row>
    <row r="60" spans="2:2" ht="15" customHeight="1" x14ac:dyDescent="0.3">
      <c r="B60" s="47"/>
    </row>
    <row r="61" spans="2:2" ht="15" customHeight="1" x14ac:dyDescent="0.3">
      <c r="B61" s="47"/>
    </row>
    <row r="62" spans="2:2" ht="15" customHeight="1" x14ac:dyDescent="0.3">
      <c r="B62" s="47"/>
    </row>
    <row r="63" spans="2:2" ht="15" customHeight="1" x14ac:dyDescent="0.3">
      <c r="B63" s="47"/>
    </row>
    <row r="64" spans="2:2" ht="15" customHeight="1" x14ac:dyDescent="0.3">
      <c r="B64" s="47"/>
    </row>
    <row r="65" spans="2:2" ht="15" customHeight="1" x14ac:dyDescent="0.3">
      <c r="B65" s="47"/>
    </row>
    <row r="66" spans="2:2" ht="15" customHeight="1" x14ac:dyDescent="0.3">
      <c r="B66" s="47"/>
    </row>
    <row r="67" spans="2:2" ht="15" customHeight="1" x14ac:dyDescent="0.3">
      <c r="B67" s="47"/>
    </row>
    <row r="68" spans="2:2" ht="15" customHeight="1" x14ac:dyDescent="0.3">
      <c r="B68" s="47"/>
    </row>
    <row r="69" spans="2:2" ht="15" customHeight="1" x14ac:dyDescent="0.3">
      <c r="B69" s="47"/>
    </row>
    <row r="70" spans="2:2" ht="15" customHeight="1" x14ac:dyDescent="0.3">
      <c r="B70" s="47"/>
    </row>
    <row r="71" spans="2:2" ht="15" customHeight="1" x14ac:dyDescent="0.3">
      <c r="B71" s="47"/>
    </row>
    <row r="72" spans="2:2" ht="15" customHeight="1" x14ac:dyDescent="0.3">
      <c r="B72" s="47"/>
    </row>
    <row r="73" spans="2:2" ht="15" customHeight="1" x14ac:dyDescent="0.3">
      <c r="B73" s="47"/>
    </row>
    <row r="74" spans="2:2" ht="15" customHeight="1" x14ac:dyDescent="0.3">
      <c r="B74" s="47"/>
    </row>
    <row r="75" spans="2:2" ht="15" customHeight="1" x14ac:dyDescent="0.3">
      <c r="B75" s="47"/>
    </row>
    <row r="76" spans="2:2" ht="15" customHeight="1" x14ac:dyDescent="0.3">
      <c r="B76" s="47"/>
    </row>
    <row r="77" spans="2:2" ht="15" customHeight="1" x14ac:dyDescent="0.3">
      <c r="B77" s="47"/>
    </row>
    <row r="78" spans="2:2" ht="15" customHeight="1" x14ac:dyDescent="0.3">
      <c r="B78" s="47"/>
    </row>
    <row r="79" spans="2:2" ht="15" customHeight="1" x14ac:dyDescent="0.3">
      <c r="B79" s="47"/>
    </row>
    <row r="80" spans="2:2" ht="15" customHeight="1" x14ac:dyDescent="0.3">
      <c r="B80" s="47"/>
    </row>
    <row r="81" spans="2:2" ht="15" customHeight="1" x14ac:dyDescent="0.3">
      <c r="B81" s="47"/>
    </row>
    <row r="82" spans="2:2" ht="15" customHeight="1" x14ac:dyDescent="0.3">
      <c r="B82" s="47"/>
    </row>
    <row r="83" spans="2:2" ht="15" customHeight="1" x14ac:dyDescent="0.3">
      <c r="B83" s="47"/>
    </row>
    <row r="84" spans="2:2" ht="15" customHeight="1" x14ac:dyDescent="0.3">
      <c r="B84" s="47"/>
    </row>
    <row r="85" spans="2:2" ht="15" customHeight="1" x14ac:dyDescent="0.3">
      <c r="B85" s="47"/>
    </row>
    <row r="86" spans="2:2" ht="15" customHeight="1" x14ac:dyDescent="0.3">
      <c r="B86" s="47"/>
    </row>
    <row r="87" spans="2:2" ht="15" customHeight="1" x14ac:dyDescent="0.3">
      <c r="B87" s="47"/>
    </row>
    <row r="88" spans="2:2" ht="15" customHeight="1" x14ac:dyDescent="0.3">
      <c r="B88" s="47"/>
    </row>
    <row r="89" spans="2:2" ht="15" customHeight="1" x14ac:dyDescent="0.3">
      <c r="B89" s="47"/>
    </row>
    <row r="90" spans="2:2" ht="15" customHeight="1" x14ac:dyDescent="0.3">
      <c r="B90" s="47"/>
    </row>
    <row r="91" spans="2:2" ht="15" customHeight="1" x14ac:dyDescent="0.3">
      <c r="B91" s="47"/>
    </row>
    <row r="92" spans="2:2" ht="15" customHeight="1" x14ac:dyDescent="0.3">
      <c r="B92" s="47"/>
    </row>
    <row r="93" spans="2:2" ht="15" customHeight="1" x14ac:dyDescent="0.3">
      <c r="B93" s="47"/>
    </row>
    <row r="94" spans="2:2" ht="15" customHeight="1" x14ac:dyDescent="0.3">
      <c r="B94" s="47"/>
    </row>
    <row r="95" spans="2:2" ht="15" customHeight="1" x14ac:dyDescent="0.3">
      <c r="B95" s="47"/>
    </row>
    <row r="96" spans="2:2" ht="15" customHeight="1" x14ac:dyDescent="0.3">
      <c r="B96" s="47"/>
    </row>
    <row r="97" spans="2:2" ht="15" customHeight="1" x14ac:dyDescent="0.3">
      <c r="B97" s="47"/>
    </row>
    <row r="98" spans="2:2" ht="15" customHeight="1" x14ac:dyDescent="0.3">
      <c r="B98" s="47"/>
    </row>
    <row r="99" spans="2:2" ht="15" customHeight="1" x14ac:dyDescent="0.3">
      <c r="B99" s="47"/>
    </row>
    <row r="100" spans="2:2" ht="15" customHeight="1" x14ac:dyDescent="0.3">
      <c r="B100" s="47"/>
    </row>
    <row r="101" spans="2:2" ht="15" customHeight="1" x14ac:dyDescent="0.3">
      <c r="B101" s="47"/>
    </row>
    <row r="102" spans="2:2" ht="15" customHeight="1" x14ac:dyDescent="0.3">
      <c r="B102" s="47"/>
    </row>
    <row r="103" spans="2:2" ht="15" customHeight="1" x14ac:dyDescent="0.3">
      <c r="B103" s="47"/>
    </row>
    <row r="104" spans="2:2" ht="15" customHeight="1" x14ac:dyDescent="0.3">
      <c r="B104" s="47"/>
    </row>
    <row r="105" spans="2:2" ht="15" customHeight="1" x14ac:dyDescent="0.3">
      <c r="B105" s="47"/>
    </row>
    <row r="106" spans="2:2" ht="15" customHeight="1" x14ac:dyDescent="0.3">
      <c r="B106" s="47"/>
    </row>
    <row r="107" spans="2:2" ht="15" customHeight="1" x14ac:dyDescent="0.3">
      <c r="B107" s="47"/>
    </row>
    <row r="108" spans="2:2" ht="15" customHeight="1" x14ac:dyDescent="0.3">
      <c r="B108" s="47"/>
    </row>
    <row r="109" spans="2:2" ht="15" customHeight="1" x14ac:dyDescent="0.3">
      <c r="B109" s="47"/>
    </row>
    <row r="110" spans="2:2" ht="15" customHeight="1" x14ac:dyDescent="0.3">
      <c r="B110" s="47"/>
    </row>
    <row r="111" spans="2:2" ht="15" customHeight="1" x14ac:dyDescent="0.3">
      <c r="B111" s="47"/>
    </row>
    <row r="112" spans="2:2" ht="15" customHeight="1" x14ac:dyDescent="0.3">
      <c r="B112" s="47"/>
    </row>
    <row r="113" spans="2:2" ht="15" customHeight="1" x14ac:dyDescent="0.3">
      <c r="B113" s="47"/>
    </row>
    <row r="114" spans="2:2" ht="15" customHeight="1" x14ac:dyDescent="0.3">
      <c r="B114" s="47"/>
    </row>
    <row r="115" spans="2:2" ht="15" customHeight="1" x14ac:dyDescent="0.3">
      <c r="B115" s="47"/>
    </row>
    <row r="116" spans="2:2" ht="15" customHeight="1" x14ac:dyDescent="0.3">
      <c r="B116" s="47"/>
    </row>
    <row r="117" spans="2:2" ht="15" customHeight="1" x14ac:dyDescent="0.3">
      <c r="B117" s="47"/>
    </row>
    <row r="118" spans="2:2" ht="15" customHeight="1" x14ac:dyDescent="0.3">
      <c r="B118" s="47"/>
    </row>
    <row r="119" spans="2:2" ht="15" customHeight="1" x14ac:dyDescent="0.3">
      <c r="B119" s="47"/>
    </row>
    <row r="120" spans="2:2" ht="15" customHeight="1" x14ac:dyDescent="0.3">
      <c r="B120" s="47"/>
    </row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81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23"/>
  <sheetViews>
    <sheetView showGridLines="0" zoomScaleNormal="100" workbookViewId="0">
      <selection activeCell="E20" sqref="E20"/>
    </sheetView>
  </sheetViews>
  <sheetFormatPr baseColWidth="10" defaultRowHeight="14.4" x14ac:dyDescent="0.3"/>
  <cols>
    <col min="1" max="1" width="11" customWidth="1"/>
    <col min="2" max="2" width="53" style="19" customWidth="1"/>
    <col min="3" max="3" width="1" style="19" customWidth="1"/>
    <col min="4" max="5" width="13.33203125" style="21" customWidth="1"/>
    <col min="6" max="6" width="15.5546875" style="21" bestFit="1" customWidth="1"/>
    <col min="7" max="7" width="31" style="21" bestFit="1" customWidth="1"/>
    <col min="8" max="8" width="11.5546875" style="21" customWidth="1"/>
    <col min="9" max="9" width="31" style="21" bestFit="1" customWidth="1"/>
    <col min="10" max="10" width="11.5546875" style="21" customWidth="1"/>
    <col min="11" max="12" width="31" style="21" bestFit="1" customWidth="1"/>
  </cols>
  <sheetData>
    <row r="1" spans="1:6" ht="54.9" customHeight="1" x14ac:dyDescent="0.6">
      <c r="A1" s="6"/>
      <c r="B1" s="104" t="s">
        <v>100</v>
      </c>
      <c r="C1" s="26"/>
      <c r="D1" s="104"/>
      <c r="E1" s="29"/>
      <c r="F1" s="103" t="s">
        <v>199</v>
      </c>
    </row>
    <row r="2" spans="1:6" ht="15" customHeight="1" x14ac:dyDescent="0.35">
      <c r="A2" s="3"/>
      <c r="B2" s="14"/>
      <c r="C2" s="14"/>
      <c r="D2" s="22"/>
      <c r="E2" s="22"/>
      <c r="F2" s="22"/>
    </row>
    <row r="3" spans="1:6" ht="18" customHeight="1" x14ac:dyDescent="0.5">
      <c r="A3" s="7"/>
      <c r="B3" s="15" t="s">
        <v>200</v>
      </c>
      <c r="C3" s="15"/>
      <c r="D3" s="23"/>
      <c r="E3" s="23"/>
      <c r="F3" s="23"/>
    </row>
    <row r="4" spans="1:6" ht="15" customHeight="1" x14ac:dyDescent="0.35">
      <c r="A4" s="3"/>
      <c r="B4" s="13"/>
      <c r="C4" s="13"/>
      <c r="D4" s="22"/>
      <c r="E4" s="22"/>
      <c r="F4" s="22"/>
    </row>
    <row r="5" spans="1:6" ht="15" customHeight="1" x14ac:dyDescent="0.35">
      <c r="A5" s="1"/>
      <c r="B5" s="16" t="s">
        <v>201</v>
      </c>
      <c r="C5" s="16"/>
      <c r="D5" s="16"/>
      <c r="E5" s="16" t="str">
        <f>IF(INPUT!H5="","",INPUT!H5)</f>
        <v>2025 (LTM)</v>
      </c>
      <c r="F5" s="16" t="s">
        <v>202</v>
      </c>
    </row>
    <row r="6" spans="1:6" ht="15" customHeight="1" x14ac:dyDescent="0.35">
      <c r="A6" s="3"/>
      <c r="B6" s="14"/>
      <c r="C6" s="429"/>
      <c r="D6" s="429"/>
      <c r="E6" s="22"/>
      <c r="F6" s="22"/>
    </row>
    <row r="7" spans="1:6" ht="18" customHeight="1" x14ac:dyDescent="0.5">
      <c r="A7" s="7" t="s">
        <v>5</v>
      </c>
      <c r="B7" s="15" t="s">
        <v>203</v>
      </c>
      <c r="C7" s="15"/>
      <c r="D7" s="430"/>
      <c r="E7" s="23"/>
      <c r="F7" s="23"/>
    </row>
    <row r="8" spans="1:6" ht="18" customHeight="1" x14ac:dyDescent="0.5">
      <c r="A8" s="112"/>
      <c r="B8" s="110"/>
      <c r="C8" s="431"/>
      <c r="D8" s="431"/>
      <c r="E8" s="109"/>
      <c r="F8" s="109"/>
    </row>
    <row r="9" spans="1:6" ht="15" customHeight="1" x14ac:dyDescent="0.35">
      <c r="A9" s="3"/>
      <c r="B9" s="17" t="s">
        <v>204</v>
      </c>
      <c r="C9" s="432"/>
      <c r="D9" s="432"/>
      <c r="E9" s="262">
        <f>INPUT!E9</f>
        <v>394328</v>
      </c>
      <c r="F9" s="262">
        <f>INPUT!F9</f>
        <v>383285</v>
      </c>
    </row>
    <row r="10" spans="1:6" ht="15" customHeight="1" x14ac:dyDescent="0.35">
      <c r="A10" s="3"/>
      <c r="B10" s="17" t="s">
        <v>205</v>
      </c>
      <c r="C10" s="432"/>
      <c r="D10" s="432"/>
      <c r="E10" s="262">
        <f>ABS(INPUT!E10)</f>
        <v>223546</v>
      </c>
      <c r="F10" s="262">
        <f>ABS(INPUT!F10)</f>
        <v>214137</v>
      </c>
    </row>
    <row r="11" spans="1:6" ht="15" customHeight="1" x14ac:dyDescent="0.35">
      <c r="A11" s="3"/>
      <c r="B11" s="17" t="s">
        <v>10</v>
      </c>
      <c r="C11" s="432"/>
      <c r="D11" s="432"/>
      <c r="E11" s="262">
        <f>INPUT!E11</f>
        <v>170782</v>
      </c>
      <c r="F11" s="262">
        <f>INPUT!F11</f>
        <v>169148</v>
      </c>
    </row>
    <row r="12" spans="1:6" ht="15" customHeight="1" x14ac:dyDescent="0.35">
      <c r="A12" s="3"/>
      <c r="B12" s="17" t="s">
        <v>27</v>
      </c>
      <c r="C12" s="432"/>
      <c r="D12" s="432"/>
      <c r="E12" s="262">
        <f>INPUT!E38</f>
        <v>77999</v>
      </c>
      <c r="F12" s="262">
        <f>INPUT!F38</f>
        <v>80499</v>
      </c>
    </row>
    <row r="13" spans="1:6" ht="15" customHeight="1" x14ac:dyDescent="0.35">
      <c r="A13" s="3"/>
      <c r="B13" s="17" t="s">
        <v>28</v>
      </c>
      <c r="C13" s="432"/>
      <c r="D13" s="432"/>
      <c r="E13" s="262">
        <f>INPUT!E41</f>
        <v>42117</v>
      </c>
      <c r="F13" s="262">
        <f>INPUT!F41</f>
        <v>43715</v>
      </c>
    </row>
    <row r="14" spans="1:6" ht="15" customHeight="1" x14ac:dyDescent="0.35">
      <c r="A14" s="3"/>
      <c r="B14" s="17" t="s">
        <v>31</v>
      </c>
      <c r="C14" s="432"/>
      <c r="D14" s="432"/>
      <c r="E14" s="262">
        <f>INPUT!E44</f>
        <v>159762</v>
      </c>
      <c r="F14" s="262">
        <f>INPUT!F44</f>
        <v>171735</v>
      </c>
    </row>
    <row r="15" spans="1:6" ht="15" customHeight="1" x14ac:dyDescent="0.35">
      <c r="A15" s="3"/>
      <c r="B15" s="17" t="s">
        <v>36</v>
      </c>
      <c r="C15" s="432"/>
      <c r="D15" s="432"/>
      <c r="E15" s="262">
        <f>INPUT!E51</f>
        <v>144407</v>
      </c>
      <c r="F15" s="262">
        <f>INPUT!F51</f>
        <v>137247</v>
      </c>
    </row>
    <row r="16" spans="1:6" ht="15" customHeight="1" x14ac:dyDescent="0.35">
      <c r="A16" s="3"/>
      <c r="B16" s="17" t="s">
        <v>37</v>
      </c>
      <c r="C16" s="432"/>
      <c r="D16" s="432"/>
      <c r="E16" s="262">
        <f>INPUT!E54</f>
        <v>98959</v>
      </c>
      <c r="F16" s="262">
        <f>INPUT!F54</f>
        <v>95281</v>
      </c>
    </row>
    <row r="17" spans="1:6" ht="15" customHeight="1" x14ac:dyDescent="0.35">
      <c r="A17" s="3"/>
      <c r="B17" s="17" t="s">
        <v>19</v>
      </c>
      <c r="C17" s="432"/>
      <c r="D17" s="432"/>
      <c r="E17" s="262">
        <f>INPUT!E26</f>
        <v>90694</v>
      </c>
      <c r="F17" s="262">
        <f>INPUT!F26</f>
        <v>87496</v>
      </c>
    </row>
    <row r="18" spans="1:6" ht="15" customHeight="1" x14ac:dyDescent="0.35">
      <c r="A18" s="3"/>
      <c r="B18" s="17" t="s">
        <v>206</v>
      </c>
      <c r="C18" s="432"/>
      <c r="D18" s="432"/>
      <c r="E18" s="262">
        <f>INPUT!E75</f>
        <v>104393</v>
      </c>
      <c r="F18" s="262">
        <f>INPUT!F75</f>
        <v>92864</v>
      </c>
    </row>
    <row r="19" spans="1:6" ht="15" customHeight="1" x14ac:dyDescent="0.35">
      <c r="A19" s="3"/>
      <c r="B19" s="17" t="s">
        <v>13</v>
      </c>
      <c r="C19" s="432"/>
      <c r="D19" s="432"/>
      <c r="E19" s="262">
        <f>INPUT!E16</f>
        <v>-11104</v>
      </c>
      <c r="F19" s="262">
        <f>INPUT!F16</f>
        <v>-11519</v>
      </c>
    </row>
    <row r="20" spans="1:6" ht="15" customHeight="1" x14ac:dyDescent="0.35">
      <c r="A20" s="3"/>
      <c r="B20" s="17" t="s">
        <v>207</v>
      </c>
      <c r="C20" s="432"/>
      <c r="D20" s="432"/>
      <c r="E20" s="263">
        <f>ABS(INPUT!E14)</f>
        <v>25094</v>
      </c>
      <c r="F20" s="263">
        <f>ABS(INPUT!F14)</f>
        <v>24932</v>
      </c>
    </row>
    <row r="21" spans="1:6" ht="15" customHeight="1" x14ac:dyDescent="0.35">
      <c r="A21" s="3"/>
      <c r="B21" s="14"/>
      <c r="C21" s="429"/>
      <c r="D21" s="57"/>
      <c r="E21" s="57"/>
      <c r="F21" s="57"/>
    </row>
    <row r="22" spans="1:6" ht="18" customHeight="1" x14ac:dyDescent="0.5">
      <c r="A22" s="7" t="s">
        <v>5</v>
      </c>
      <c r="B22" s="49" t="s">
        <v>208</v>
      </c>
      <c r="C22" s="49"/>
      <c r="D22" s="49"/>
      <c r="E22" s="23"/>
      <c r="F22" s="23"/>
    </row>
    <row r="23" spans="1:6" ht="18" customHeight="1" x14ac:dyDescent="0.5">
      <c r="A23" s="112"/>
      <c r="B23" s="125"/>
      <c r="C23" s="137"/>
      <c r="D23" s="106"/>
      <c r="E23" s="109"/>
      <c r="F23" s="109"/>
    </row>
    <row r="24" spans="1:6" ht="15" customHeight="1" x14ac:dyDescent="0.35">
      <c r="A24" s="3"/>
      <c r="B24" s="17" t="s">
        <v>209</v>
      </c>
      <c r="C24" s="432"/>
      <c r="D24" s="568"/>
      <c r="E24" s="569"/>
      <c r="F24" s="264">
        <f>IFERROR((INPUT!F35/INPUT!F9)/(INPUT!E35/INPUT!E9),"–")</f>
        <v>1.077141943206644</v>
      </c>
    </row>
    <row r="25" spans="1:6" ht="15" customHeight="1" x14ac:dyDescent="0.35">
      <c r="A25" s="3"/>
      <c r="B25" s="17" t="s">
        <v>210</v>
      </c>
      <c r="C25" s="432"/>
      <c r="D25" s="568"/>
      <c r="E25" s="569"/>
      <c r="F25" s="264">
        <f>IFERROR((E11/E9)/(F11/F9),"–")</f>
        <v>0.98138504444101615</v>
      </c>
    </row>
    <row r="26" spans="1:6" ht="15" customHeight="1" x14ac:dyDescent="0.35">
      <c r="A26" s="3"/>
      <c r="B26" s="17" t="s">
        <v>211</v>
      </c>
      <c r="C26" s="432"/>
      <c r="D26" s="568"/>
      <c r="E26" s="569"/>
      <c r="F26" s="264">
        <f>IFERROR((1-(F12+F13)/F14)/(1-(E12+E13)/E14),"–")</f>
        <v>1.1150667572573127</v>
      </c>
    </row>
    <row r="27" spans="1:6" ht="15" customHeight="1" x14ac:dyDescent="0.35">
      <c r="A27" s="3"/>
      <c r="B27" s="17" t="s">
        <v>212</v>
      </c>
      <c r="C27" s="432"/>
      <c r="D27" s="568"/>
      <c r="E27" s="569"/>
      <c r="F27" s="264">
        <f>IFERROR(F9/E9,"–")</f>
        <v>0.97199539469680063</v>
      </c>
    </row>
    <row r="28" spans="1:6" ht="15" customHeight="1" x14ac:dyDescent="0.35">
      <c r="A28" s="3"/>
      <c r="B28" s="17" t="s">
        <v>213</v>
      </c>
      <c r="C28" s="432"/>
      <c r="D28" s="568"/>
      <c r="E28" s="569"/>
      <c r="F28" s="264">
        <f>IFERROR((E19/(E19+E13))/(F19/(F19+F13)),"–")</f>
        <v>1.0007435839539545</v>
      </c>
    </row>
    <row r="29" spans="1:6" ht="15" customHeight="1" x14ac:dyDescent="0.35">
      <c r="A29" s="3"/>
      <c r="B29" s="17" t="s">
        <v>214</v>
      </c>
      <c r="C29" s="432"/>
      <c r="D29" s="568"/>
      <c r="E29" s="569"/>
      <c r="F29" s="264">
        <f>IFERROR((F20/F9)/(E20/E9),"–")</f>
        <v>1.0221697334702315</v>
      </c>
    </row>
    <row r="30" spans="1:6" ht="15" customHeight="1" x14ac:dyDescent="0.35">
      <c r="A30" s="3"/>
      <c r="B30" s="17" t="s">
        <v>215</v>
      </c>
      <c r="C30" s="432"/>
      <c r="D30" s="568"/>
      <c r="E30" s="569"/>
      <c r="F30" s="264">
        <f>IFERROR((F17-F18)/F14,"–")</f>
        <v>-3.1257460622470666E-2</v>
      </c>
    </row>
    <row r="31" spans="1:6" ht="15" customHeight="1" x14ac:dyDescent="0.35">
      <c r="A31" s="3"/>
      <c r="B31" s="17" t="s">
        <v>216</v>
      </c>
      <c r="C31" s="432"/>
      <c r="D31" s="568"/>
      <c r="E31" s="569"/>
      <c r="F31" s="265">
        <f>IFERROR(((F16+F15)/F14)/((E16+E15)/E14),"–")</f>
        <v>0.88885317161919231</v>
      </c>
    </row>
    <row r="32" spans="1:6" ht="15" customHeight="1" x14ac:dyDescent="0.35">
      <c r="A32" s="3"/>
      <c r="B32" s="14"/>
      <c r="C32" s="429"/>
      <c r="D32" s="57"/>
      <c r="E32" s="57"/>
      <c r="F32" s="57"/>
    </row>
    <row r="33" spans="1:6" ht="18" customHeight="1" x14ac:dyDescent="0.5">
      <c r="A33" s="7" t="s">
        <v>5</v>
      </c>
      <c r="B33" s="49" t="s">
        <v>217</v>
      </c>
      <c r="C33" s="49"/>
      <c r="D33" s="49"/>
      <c r="E33" s="23"/>
      <c r="F33" s="23"/>
    </row>
    <row r="34" spans="1:6" ht="18" customHeight="1" x14ac:dyDescent="0.5">
      <c r="A34" s="112"/>
      <c r="B34" s="125"/>
      <c r="C34" s="137"/>
      <c r="D34" s="106"/>
      <c r="E34" s="109"/>
      <c r="F34" s="109"/>
    </row>
    <row r="35" spans="1:6" ht="15" customHeight="1" x14ac:dyDescent="0.35">
      <c r="A35" s="3"/>
      <c r="B35" s="17" t="s">
        <v>218</v>
      </c>
      <c r="C35" s="432"/>
      <c r="D35" s="568"/>
      <c r="E35" s="569"/>
      <c r="F35" s="264">
        <f>-4.84</f>
        <v>-4.84</v>
      </c>
    </row>
    <row r="36" spans="1:6" ht="15" customHeight="1" x14ac:dyDescent="0.35">
      <c r="A36" s="3"/>
      <c r="B36" s="17" t="s">
        <v>219</v>
      </c>
      <c r="C36" s="432"/>
      <c r="D36" s="568"/>
      <c r="E36" s="569"/>
      <c r="F36" s="264">
        <f>IFERROR(0.92*F24,"–")</f>
        <v>0.9909705877501126</v>
      </c>
    </row>
    <row r="37" spans="1:6" ht="15" customHeight="1" x14ac:dyDescent="0.35">
      <c r="A37" s="3"/>
      <c r="B37" s="17" t="s">
        <v>220</v>
      </c>
      <c r="C37" s="432"/>
      <c r="D37" s="568"/>
      <c r="E37" s="569"/>
      <c r="F37" s="264">
        <f>IFERROR(0.528*F25,"–")</f>
        <v>0.51817130346485651</v>
      </c>
    </row>
    <row r="38" spans="1:6" ht="15" customHeight="1" x14ac:dyDescent="0.35">
      <c r="A38" s="3"/>
      <c r="B38" s="17" t="s">
        <v>221</v>
      </c>
      <c r="C38" s="432"/>
      <c r="D38" s="568"/>
      <c r="E38" s="569"/>
      <c r="F38" s="264">
        <f>IFERROR(0.404*F26,"–")</f>
        <v>0.45048696993195436</v>
      </c>
    </row>
    <row r="39" spans="1:6" ht="15" customHeight="1" x14ac:dyDescent="0.35">
      <c r="A39" s="3"/>
      <c r="B39" s="17" t="s">
        <v>222</v>
      </c>
      <c r="C39" s="432"/>
      <c r="D39" s="568"/>
      <c r="E39" s="569"/>
      <c r="F39" s="264">
        <f>IFERROR(0.892*F27,"–")</f>
        <v>0.86701989206954622</v>
      </c>
    </row>
    <row r="40" spans="1:6" ht="15" customHeight="1" x14ac:dyDescent="0.35">
      <c r="A40" s="3"/>
      <c r="B40" s="17" t="s">
        <v>223</v>
      </c>
      <c r="C40" s="432"/>
      <c r="D40" s="568"/>
      <c r="E40" s="569"/>
      <c r="F40" s="264">
        <f>IFERROR(0.115*F28,"–")</f>
        <v>0.11508551215470476</v>
      </c>
    </row>
    <row r="41" spans="1:6" ht="15" customHeight="1" x14ac:dyDescent="0.35">
      <c r="A41" s="3"/>
      <c r="B41" s="17" t="s">
        <v>224</v>
      </c>
      <c r="C41" s="432"/>
      <c r="D41" s="568"/>
      <c r="E41" s="569"/>
      <c r="F41" s="264">
        <f>IFERROR(-0.172*F29,"–")</f>
        <v>-0.17581319415687982</v>
      </c>
    </row>
    <row r="42" spans="1:6" ht="15" customHeight="1" x14ac:dyDescent="0.35">
      <c r="A42" s="3"/>
      <c r="B42" s="17" t="s">
        <v>225</v>
      </c>
      <c r="C42" s="432"/>
      <c r="D42" s="568"/>
      <c r="E42" s="569"/>
      <c r="F42" s="264">
        <f>IFERROR(4.679*F30,"–")</f>
        <v>-0.14625365825254025</v>
      </c>
    </row>
    <row r="43" spans="1:6" ht="15" customHeight="1" x14ac:dyDescent="0.35">
      <c r="A43" s="3"/>
      <c r="B43" s="17" t="s">
        <v>226</v>
      </c>
      <c r="C43" s="432"/>
      <c r="D43" s="568"/>
      <c r="E43" s="569"/>
      <c r="F43" s="265">
        <f>IFERROR(-0.327*F31,"–")</f>
        <v>-0.2906549871194759</v>
      </c>
    </row>
    <row r="44" spans="1:6" ht="15" customHeight="1" x14ac:dyDescent="0.35">
      <c r="A44" s="3"/>
      <c r="B44" s="14"/>
      <c r="C44" s="429"/>
      <c r="D44" s="57"/>
      <c r="E44" s="57"/>
      <c r="F44" s="57"/>
    </row>
    <row r="45" spans="1:6" ht="18" customHeight="1" x14ac:dyDescent="0.5">
      <c r="A45" s="7" t="s">
        <v>5</v>
      </c>
      <c r="B45" s="65" t="s">
        <v>227</v>
      </c>
      <c r="C45" s="49"/>
      <c r="D45" s="49"/>
      <c r="E45" s="49"/>
      <c r="F45" s="434">
        <f>IFERROR(F35+F36+F37+F38+F39+F40+F41+F42+F43,"–")</f>
        <v>-2.5109875741577214</v>
      </c>
    </row>
    <row r="46" spans="1:6" ht="15" customHeight="1" x14ac:dyDescent="0.35">
      <c r="A46" s="3"/>
      <c r="B46" s="14"/>
      <c r="C46" s="429"/>
      <c r="D46" s="55"/>
      <c r="E46" s="55"/>
      <c r="F46" s="22"/>
    </row>
    <row r="47" spans="1:6" ht="18" customHeight="1" x14ac:dyDescent="0.5">
      <c r="A47" s="7" t="s">
        <v>5</v>
      </c>
      <c r="B47" s="49" t="s">
        <v>228</v>
      </c>
      <c r="C47" s="49"/>
      <c r="D47" s="49"/>
      <c r="E47" s="86"/>
      <c r="F47" s="23"/>
    </row>
    <row r="48" spans="1:6" ht="15" customHeight="1" x14ac:dyDescent="0.35">
      <c r="A48" s="3"/>
      <c r="B48" s="14" t="s">
        <v>229</v>
      </c>
      <c r="C48" s="429"/>
      <c r="D48" s="570"/>
      <c r="E48" s="569"/>
      <c r="F48" s="571" t="str">
        <f>IF(ISNUMBER(F45),IF(F45&gt;-2.22,"⚠ POSSIBLE MANIPULATOR (M &gt; -2.22)","✓ NOT LIKELY MANIPULATOR (M ≤ -2.22)"),"–")</f>
        <v>✓ NOT LIKELY MANIPULATOR (M ≤ -2.22)</v>
      </c>
    </row>
    <row r="49" spans="1:6" ht="15" customHeight="1" x14ac:dyDescent="0.35">
      <c r="A49" s="3"/>
      <c r="B49" s="14"/>
      <c r="C49" s="429"/>
      <c r="D49" s="57"/>
      <c r="E49" s="22"/>
      <c r="F49" s="569"/>
    </row>
    <row r="50" spans="1:6" ht="15" customHeight="1" x14ac:dyDescent="0.35">
      <c r="A50" s="3"/>
      <c r="B50" s="58" t="s">
        <v>230</v>
      </c>
      <c r="C50" s="58"/>
      <c r="D50" s="57"/>
      <c r="E50" s="57"/>
      <c r="F50" s="57"/>
    </row>
    <row r="51" spans="1:6" ht="15" customHeight="1" x14ac:dyDescent="0.35">
      <c r="A51" s="3"/>
      <c r="B51" s="59" t="s">
        <v>231</v>
      </c>
      <c r="C51" s="59"/>
      <c r="D51" s="57"/>
      <c r="E51" s="57"/>
      <c r="F51" s="57"/>
    </row>
    <row r="52" spans="1:6" ht="15" customHeight="1" x14ac:dyDescent="0.35">
      <c r="A52" s="3"/>
      <c r="B52" s="14"/>
      <c r="C52" s="429"/>
      <c r="D52" s="57"/>
      <c r="E52" s="22"/>
      <c r="F52" s="22"/>
    </row>
    <row r="53" spans="1:6" ht="15" customHeight="1" x14ac:dyDescent="0.35">
      <c r="A53" s="3"/>
      <c r="B53" s="18" t="s">
        <v>232</v>
      </c>
      <c r="C53" s="433"/>
      <c r="D53" s="57"/>
      <c r="E53" s="22"/>
      <c r="F53" s="22"/>
    </row>
    <row r="54" spans="1:6" ht="15" customHeight="1" x14ac:dyDescent="0.35">
      <c r="A54" s="3"/>
      <c r="B54" s="14"/>
      <c r="C54" s="429"/>
      <c r="D54" s="57"/>
      <c r="E54" s="22"/>
      <c r="F54" s="22"/>
    </row>
    <row r="55" spans="1:6" ht="15" customHeight="1" x14ac:dyDescent="0.35">
      <c r="A55" s="4"/>
      <c r="B55" s="32" t="s">
        <v>97</v>
      </c>
      <c r="C55" s="33"/>
      <c r="D55" s="33"/>
      <c r="E55" s="33"/>
      <c r="F55" s="33"/>
    </row>
    <row r="56" spans="1:6" ht="15" customHeight="1" x14ac:dyDescent="0.35">
      <c r="A56" s="4"/>
      <c r="B56" s="32" t="s">
        <v>98</v>
      </c>
      <c r="C56" s="33"/>
      <c r="D56" s="33"/>
      <c r="E56" s="33"/>
      <c r="F56" s="33"/>
    </row>
    <row r="57" spans="1:6" ht="15" customHeight="1" x14ac:dyDescent="0.35">
      <c r="A57" s="4"/>
      <c r="B57" s="32" t="s">
        <v>99</v>
      </c>
      <c r="C57" s="33"/>
      <c r="D57" s="33"/>
      <c r="E57" s="33"/>
      <c r="F57" s="33"/>
    </row>
    <row r="58" spans="1:6" ht="15" customHeight="1" x14ac:dyDescent="0.3">
      <c r="B58" s="47"/>
      <c r="C58" s="47"/>
    </row>
    <row r="59" spans="1:6" ht="15" customHeight="1" x14ac:dyDescent="0.3">
      <c r="B59" s="47"/>
      <c r="C59" s="47"/>
    </row>
    <row r="60" spans="1:6" ht="15" customHeight="1" x14ac:dyDescent="0.3">
      <c r="B60" s="47"/>
      <c r="C60" s="47"/>
    </row>
    <row r="61" spans="1:6" ht="15" customHeight="1" x14ac:dyDescent="0.3">
      <c r="B61" s="47"/>
      <c r="C61" s="47"/>
    </row>
    <row r="62" spans="1:6" ht="15" customHeight="1" x14ac:dyDescent="0.3">
      <c r="B62" s="47"/>
      <c r="C62" s="47"/>
    </row>
    <row r="63" spans="1:6" ht="15" customHeight="1" x14ac:dyDescent="0.3">
      <c r="B63" s="47"/>
      <c r="C63" s="47"/>
    </row>
    <row r="64" spans="1:6" ht="15" customHeight="1" x14ac:dyDescent="0.3">
      <c r="B64" s="47"/>
      <c r="C64" s="47"/>
    </row>
    <row r="65" spans="2:3" ht="15" customHeight="1" x14ac:dyDescent="0.3">
      <c r="B65" s="47"/>
      <c r="C65" s="47"/>
    </row>
    <row r="66" spans="2:3" ht="15" customHeight="1" x14ac:dyDescent="0.3">
      <c r="B66" s="47"/>
      <c r="C66" s="47"/>
    </row>
    <row r="67" spans="2:3" ht="15" customHeight="1" x14ac:dyDescent="0.3">
      <c r="B67" s="47"/>
      <c r="C67" s="47"/>
    </row>
    <row r="68" spans="2:3" ht="15" customHeight="1" x14ac:dyDescent="0.3">
      <c r="B68" s="47"/>
      <c r="C68" s="47"/>
    </row>
    <row r="69" spans="2:3" ht="15" customHeight="1" x14ac:dyDescent="0.3">
      <c r="B69" s="47"/>
      <c r="C69" s="47"/>
    </row>
    <row r="70" spans="2:3" ht="15" customHeight="1" x14ac:dyDescent="0.3">
      <c r="B70" s="47"/>
      <c r="C70" s="47"/>
    </row>
    <row r="71" spans="2:3" ht="15" customHeight="1" x14ac:dyDescent="0.3">
      <c r="B71" s="47"/>
      <c r="C71" s="47"/>
    </row>
    <row r="72" spans="2:3" ht="15" customHeight="1" x14ac:dyDescent="0.3">
      <c r="B72" s="47"/>
      <c r="C72" s="47"/>
    </row>
    <row r="73" spans="2:3" ht="15" customHeight="1" x14ac:dyDescent="0.3">
      <c r="B73" s="47"/>
      <c r="C73" s="47"/>
    </row>
    <row r="74" spans="2:3" ht="15" customHeight="1" x14ac:dyDescent="0.3">
      <c r="B74" s="47"/>
      <c r="C74" s="47"/>
    </row>
    <row r="75" spans="2:3" ht="15" customHeight="1" x14ac:dyDescent="0.3">
      <c r="B75" s="47"/>
      <c r="C75" s="47"/>
    </row>
    <row r="76" spans="2:3" ht="15" customHeight="1" x14ac:dyDescent="0.3">
      <c r="B76" s="47"/>
      <c r="C76" s="47"/>
    </row>
    <row r="77" spans="2:3" ht="15" customHeight="1" x14ac:dyDescent="0.3">
      <c r="B77" s="47"/>
      <c r="C77" s="47"/>
    </row>
    <row r="78" spans="2:3" ht="15" customHeight="1" x14ac:dyDescent="0.3">
      <c r="B78" s="47"/>
      <c r="C78" s="47"/>
    </row>
    <row r="79" spans="2:3" ht="15" customHeight="1" x14ac:dyDescent="0.3">
      <c r="B79" s="47"/>
      <c r="C79" s="47"/>
    </row>
    <row r="80" spans="2:3" ht="15" customHeight="1" x14ac:dyDescent="0.3">
      <c r="B80" s="47"/>
      <c r="C80" s="47"/>
    </row>
    <row r="81" spans="2:3" ht="15" customHeight="1" x14ac:dyDescent="0.3">
      <c r="B81" s="47"/>
      <c r="C81" s="47"/>
    </row>
    <row r="82" spans="2:3" ht="15" customHeight="1" x14ac:dyDescent="0.3">
      <c r="B82" s="47"/>
      <c r="C82" s="47"/>
    </row>
    <row r="83" spans="2:3" ht="15" customHeight="1" x14ac:dyDescent="0.3">
      <c r="B83" s="47"/>
      <c r="C83" s="47"/>
    </row>
    <row r="84" spans="2:3" ht="15" customHeight="1" x14ac:dyDescent="0.3">
      <c r="B84" s="47"/>
      <c r="C84" s="47"/>
    </row>
    <row r="85" spans="2:3" ht="15" customHeight="1" x14ac:dyDescent="0.3">
      <c r="B85" s="47"/>
      <c r="C85" s="47"/>
    </row>
    <row r="86" spans="2:3" ht="15" customHeight="1" x14ac:dyDescent="0.3">
      <c r="B86" s="47"/>
      <c r="C86" s="47"/>
    </row>
    <row r="87" spans="2:3" ht="15" customHeight="1" x14ac:dyDescent="0.3">
      <c r="B87" s="47"/>
      <c r="C87" s="47"/>
    </row>
    <row r="88" spans="2:3" ht="15" customHeight="1" x14ac:dyDescent="0.3">
      <c r="B88" s="47"/>
      <c r="C88" s="47"/>
    </row>
    <row r="89" spans="2:3" ht="15" customHeight="1" x14ac:dyDescent="0.3">
      <c r="B89" s="47"/>
      <c r="C89" s="47"/>
    </row>
    <row r="90" spans="2:3" ht="15" customHeight="1" x14ac:dyDescent="0.3">
      <c r="B90" s="47"/>
      <c r="C90" s="47"/>
    </row>
    <row r="91" spans="2:3" ht="15" customHeight="1" x14ac:dyDescent="0.3">
      <c r="B91" s="47"/>
      <c r="C91" s="47"/>
    </row>
    <row r="92" spans="2:3" ht="15" customHeight="1" x14ac:dyDescent="0.3">
      <c r="B92" s="47"/>
      <c r="C92" s="47"/>
    </row>
    <row r="93" spans="2:3" ht="15" customHeight="1" x14ac:dyDescent="0.3">
      <c r="B93" s="47"/>
      <c r="C93" s="47"/>
    </row>
    <row r="94" spans="2:3" ht="15" customHeight="1" x14ac:dyDescent="0.3">
      <c r="B94" s="47"/>
      <c r="C94" s="47"/>
    </row>
    <row r="95" spans="2:3" ht="15" customHeight="1" x14ac:dyDescent="0.3">
      <c r="B95" s="47"/>
      <c r="C95" s="47"/>
    </row>
    <row r="96" spans="2:3" ht="15" customHeight="1" x14ac:dyDescent="0.3">
      <c r="B96" s="47"/>
      <c r="C96" s="47"/>
    </row>
    <row r="97" spans="2:3" ht="15" customHeight="1" x14ac:dyDescent="0.3">
      <c r="B97" s="47"/>
      <c r="C97" s="47"/>
    </row>
    <row r="98" spans="2:3" ht="15" customHeight="1" x14ac:dyDescent="0.3">
      <c r="B98" s="47"/>
      <c r="C98" s="47"/>
    </row>
    <row r="99" spans="2:3" ht="15" customHeight="1" x14ac:dyDescent="0.3">
      <c r="B99" s="47"/>
      <c r="C99" s="47"/>
    </row>
    <row r="100" spans="2:3" ht="15" customHeight="1" x14ac:dyDescent="0.3">
      <c r="B100" s="47"/>
      <c r="C100" s="47"/>
    </row>
    <row r="101" spans="2:3" ht="15" customHeight="1" x14ac:dyDescent="0.3">
      <c r="B101" s="47"/>
      <c r="C101" s="47"/>
    </row>
    <row r="102" spans="2:3" ht="15" customHeight="1" x14ac:dyDescent="0.3">
      <c r="B102" s="47"/>
      <c r="C102" s="47"/>
    </row>
    <row r="103" spans="2:3" ht="15" customHeight="1" x14ac:dyDescent="0.3">
      <c r="B103" s="47"/>
      <c r="C103" s="47"/>
    </row>
    <row r="104" spans="2:3" ht="15" customHeight="1" x14ac:dyDescent="0.3">
      <c r="B104" s="47"/>
      <c r="C104" s="47"/>
    </row>
    <row r="105" spans="2:3" ht="15" customHeight="1" x14ac:dyDescent="0.3">
      <c r="B105" s="47"/>
      <c r="C105" s="47"/>
    </row>
    <row r="106" spans="2:3" ht="15" customHeight="1" x14ac:dyDescent="0.3">
      <c r="B106" s="47"/>
      <c r="C106" s="47"/>
    </row>
    <row r="107" spans="2:3" ht="15" customHeight="1" x14ac:dyDescent="0.3">
      <c r="B107" s="47"/>
      <c r="C107" s="47"/>
    </row>
    <row r="108" spans="2:3" ht="15" customHeight="1" x14ac:dyDescent="0.3">
      <c r="B108" s="47"/>
      <c r="C108" s="47"/>
    </row>
    <row r="109" spans="2:3" ht="15" customHeight="1" x14ac:dyDescent="0.3">
      <c r="B109" s="47"/>
      <c r="C109" s="47"/>
    </row>
    <row r="110" spans="2:3" ht="15" customHeight="1" x14ac:dyDescent="0.3">
      <c r="B110" s="47"/>
      <c r="C110" s="47"/>
    </row>
    <row r="111" spans="2:3" ht="15" customHeight="1" x14ac:dyDescent="0.3">
      <c r="B111" s="47"/>
      <c r="C111" s="47"/>
    </row>
    <row r="112" spans="2:3" ht="15" customHeight="1" x14ac:dyDescent="0.3">
      <c r="B112" s="47"/>
      <c r="C112" s="47"/>
    </row>
    <row r="113" spans="2:3" ht="15" customHeight="1" x14ac:dyDescent="0.3">
      <c r="B113" s="47"/>
      <c r="C113" s="47"/>
    </row>
    <row r="114" spans="2:3" ht="15" customHeight="1" x14ac:dyDescent="0.3">
      <c r="B114" s="47"/>
      <c r="C114" s="47"/>
    </row>
    <row r="115" spans="2:3" ht="15" customHeight="1" x14ac:dyDescent="0.3">
      <c r="B115" s="47"/>
      <c r="C115" s="47"/>
    </row>
    <row r="116" spans="2:3" ht="15" customHeight="1" x14ac:dyDescent="0.3">
      <c r="B116" s="47"/>
      <c r="C116" s="47"/>
    </row>
    <row r="117" spans="2:3" ht="15" customHeight="1" x14ac:dyDescent="0.3">
      <c r="B117" s="47"/>
      <c r="C117" s="47"/>
    </row>
    <row r="118" spans="2:3" ht="15" customHeight="1" x14ac:dyDescent="0.3">
      <c r="B118" s="47"/>
      <c r="C118" s="47"/>
    </row>
    <row r="119" spans="2:3" ht="15" customHeight="1" x14ac:dyDescent="0.3">
      <c r="B119" s="47"/>
      <c r="C119" s="47"/>
    </row>
    <row r="120" spans="2:3" ht="15" customHeight="1" x14ac:dyDescent="0.3">
      <c r="B120" s="47"/>
      <c r="C120" s="47"/>
    </row>
    <row r="121" spans="2:3" ht="15" customHeight="1" x14ac:dyDescent="0.3">
      <c r="B121" s="47"/>
      <c r="C121" s="47"/>
    </row>
    <row r="122" spans="2:3" ht="15" customHeight="1" x14ac:dyDescent="0.3">
      <c r="B122" s="47"/>
      <c r="C122" s="47"/>
    </row>
    <row r="123" spans="2:3" ht="15" customHeight="1" x14ac:dyDescent="0.3">
      <c r="B123" s="47"/>
      <c r="C123" s="47"/>
    </row>
  </sheetData>
  <mergeCells count="19">
    <mergeCell ref="D25:E25"/>
    <mergeCell ref="F48:F49"/>
    <mergeCell ref="D24:E24"/>
    <mergeCell ref="D30:E30"/>
    <mergeCell ref="D42:E42"/>
    <mergeCell ref="D29:E29"/>
    <mergeCell ref="D38:E38"/>
    <mergeCell ref="D26:E26"/>
    <mergeCell ref="D35:E35"/>
    <mergeCell ref="D48:E48"/>
    <mergeCell ref="D43:E43"/>
    <mergeCell ref="D37:E37"/>
    <mergeCell ref="D28:E28"/>
    <mergeCell ref="D39:E39"/>
    <mergeCell ref="D40:E40"/>
    <mergeCell ref="D36:E36"/>
    <mergeCell ref="D31:E31"/>
    <mergeCell ref="D27:E27"/>
    <mergeCell ref="D41:E41"/>
  </mergeCells>
  <printOptions horizontalCentered="1"/>
  <pageMargins left="5.5555555555555558E-3" right="5.5555555555555558E-3" top="6.9444444444444441E-3" bottom="6.9444444444444441E-3" header="2.7777777777777779E-3" footer="2.7777777777777779E-3"/>
  <pageSetup paperSize="9" scale="84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124"/>
  <sheetViews>
    <sheetView showGridLines="0" topLeftCell="A24" zoomScale="85" zoomScaleNormal="85" workbookViewId="0">
      <selection activeCell="Q46" sqref="Q46"/>
    </sheetView>
  </sheetViews>
  <sheetFormatPr baseColWidth="10" defaultRowHeight="14.4" x14ac:dyDescent="0.3"/>
  <cols>
    <col min="1" max="1" width="11" customWidth="1"/>
    <col min="2" max="2" width="49.5546875" style="19" customWidth="1"/>
    <col min="3" max="3" width="10.88671875" customWidth="1"/>
    <col min="4" max="5" width="11" style="21" customWidth="1"/>
    <col min="6" max="6" width="11.6640625" style="21" bestFit="1" customWidth="1"/>
    <col min="7" max="14" width="11" style="21" customWidth="1"/>
  </cols>
  <sheetData>
    <row r="1" spans="1:14" ht="54.9" customHeight="1" x14ac:dyDescent="0.6">
      <c r="A1" s="6"/>
      <c r="B1" s="104" t="s">
        <v>100</v>
      </c>
      <c r="C1" s="5"/>
      <c r="D1" s="5"/>
      <c r="E1" s="29"/>
      <c r="F1" s="29"/>
      <c r="G1" s="29"/>
      <c r="H1" s="29"/>
      <c r="I1" s="29"/>
      <c r="J1" s="29"/>
      <c r="K1" s="103" t="s">
        <v>233</v>
      </c>
      <c r="L1" s="29"/>
      <c r="M1" s="29"/>
      <c r="N1" s="29"/>
    </row>
    <row r="2" spans="1:14" ht="15" customHeight="1" x14ac:dyDescent="0.35">
      <c r="A2" s="3"/>
      <c r="B2" s="14"/>
      <c r="C2" s="3"/>
      <c r="D2" s="3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18" customHeight="1" x14ac:dyDescent="0.5">
      <c r="A3" s="7" t="s">
        <v>5</v>
      </c>
      <c r="B3" s="15" t="s">
        <v>234</v>
      </c>
      <c r="C3" s="7"/>
      <c r="D3" s="7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5" customHeight="1" x14ac:dyDescent="0.35">
      <c r="A4" s="3" t="s">
        <v>5</v>
      </c>
      <c r="B4" s="12" t="s">
        <v>1</v>
      </c>
      <c r="C4" s="3"/>
      <c r="D4" s="3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15" customHeight="1" x14ac:dyDescent="0.35">
      <c r="A5" s="1" t="s">
        <v>5</v>
      </c>
      <c r="B5" s="16" t="s">
        <v>2</v>
      </c>
      <c r="C5" s="1" t="s">
        <v>235</v>
      </c>
      <c r="D5" s="1" t="str">
        <f>IF(INPUT!D5="","",INPUT!D5)</f>
        <v/>
      </c>
      <c r="E5" s="24">
        <f>IF(INPUT!E5="","",INPUT!E5)</f>
        <v>2022</v>
      </c>
      <c r="F5" s="24">
        <f>IF(INPUT!F5="","",INPUT!F5)</f>
        <v>2023</v>
      </c>
      <c r="G5" s="24">
        <f>IF(INPUT!G5="","",INPUT!G5)</f>
        <v>2024</v>
      </c>
      <c r="H5" s="24" t="str">
        <f>IF(INPUT!H5="","",INPUT!H5)</f>
        <v>2025 (LTM)</v>
      </c>
      <c r="I5" s="24" t="str">
        <f>TEXT(INPUT!D117+1,"0")&amp;"F"</f>
        <v>2026F</v>
      </c>
      <c r="J5" s="24" t="str">
        <f>TEXT(INPUT!D117+2,"0")&amp;"F"</f>
        <v>2027F</v>
      </c>
      <c r="K5" s="24" t="str">
        <f>TEXT(INPUT!D117+3,"0")&amp;"F"</f>
        <v>2028F</v>
      </c>
      <c r="L5" s="24" t="str">
        <f>TEXT(INPUT!D117+4,"0")&amp;"F"</f>
        <v>2029F</v>
      </c>
      <c r="M5" s="24" t="str">
        <f>TEXT(INPUT!D117+5,"0")&amp;"F"</f>
        <v>2030F</v>
      </c>
      <c r="N5" s="24" t="s">
        <v>236</v>
      </c>
    </row>
    <row r="6" spans="1:14" ht="15" customHeight="1" x14ac:dyDescent="0.35">
      <c r="A6" s="3"/>
      <c r="B6" s="14"/>
      <c r="C6" s="3"/>
      <c r="D6" s="3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1:14" ht="18" customHeight="1" x14ac:dyDescent="0.5">
      <c r="A7" s="7" t="s">
        <v>5</v>
      </c>
      <c r="B7" s="15" t="s">
        <v>237</v>
      </c>
      <c r="C7" s="7"/>
      <c r="D7" s="7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 ht="18" customHeight="1" x14ac:dyDescent="0.5">
      <c r="A8" s="128"/>
      <c r="B8" s="129"/>
      <c r="C8" s="128"/>
      <c r="D8" s="345"/>
      <c r="E8" s="130"/>
      <c r="F8" s="130"/>
      <c r="G8" s="130"/>
      <c r="H8" s="130"/>
      <c r="I8" s="130"/>
      <c r="J8" s="130"/>
      <c r="K8" s="130"/>
      <c r="L8" s="130"/>
      <c r="M8" s="130"/>
      <c r="N8" s="130"/>
    </row>
    <row r="9" spans="1:14" ht="15" customHeight="1" x14ac:dyDescent="0.35">
      <c r="A9" s="3"/>
      <c r="B9" s="17" t="s">
        <v>7</v>
      </c>
      <c r="C9" s="482"/>
      <c r="D9" s="487">
        <f>INPUT!D9</f>
        <v>0</v>
      </c>
      <c r="E9" s="266">
        <f>INPUT!E9</f>
        <v>394328</v>
      </c>
      <c r="F9" s="266">
        <f>INPUT!F9</f>
        <v>383285</v>
      </c>
      <c r="G9" s="266">
        <f>INPUT!G9</f>
        <v>391035</v>
      </c>
      <c r="H9" s="266">
        <f>IF(INPUT!H9&lt;&gt;"",INPUT!H9,INPUT!G9)</f>
        <v>416161</v>
      </c>
      <c r="I9" s="267">
        <f>H9*(1+$I$29)</f>
        <v>423994.60010529775</v>
      </c>
      <c r="J9" s="267">
        <f>I9*(1+$I$29)</f>
        <v>431975.65586023522</v>
      </c>
      <c r="K9" s="267">
        <f>J9*(1+$I$29)</f>
        <v>440106.94289393805</v>
      </c>
      <c r="L9" s="268">
        <f>K9*(1+$I$29)</f>
        <v>448391.28908254346</v>
      </c>
      <c r="M9" s="268">
        <f>L9*(1+$I$29)</f>
        <v>456831.57553267118</v>
      </c>
      <c r="N9" s="225"/>
    </row>
    <row r="10" spans="1:14" ht="15" customHeight="1" x14ac:dyDescent="0.35">
      <c r="A10" s="3"/>
      <c r="B10" s="17" t="s">
        <v>205</v>
      </c>
      <c r="C10" s="482"/>
      <c r="D10" s="487">
        <f>INPUT!D10</f>
        <v>0</v>
      </c>
      <c r="E10" s="269">
        <f>INPUT!E10</f>
        <v>-223546</v>
      </c>
      <c r="F10" s="269">
        <f>INPUT!F10</f>
        <v>-214137</v>
      </c>
      <c r="G10" s="270">
        <f>INPUT!G10</f>
        <v>-210352</v>
      </c>
      <c r="H10" s="270">
        <f>IF(INPUT!H10&lt;&gt;"",INPUT!H10,INPUT!G10)</f>
        <v>-220960</v>
      </c>
      <c r="I10" s="270">
        <f>-I9*(1-$I$30)</f>
        <v>-232611.62700884842</v>
      </c>
      <c r="J10" s="270">
        <f>-J9*(1-$I$30)</f>
        <v>-236990.18834888266</v>
      </c>
      <c r="K10" s="270">
        <f>-K9*(1-$I$30)</f>
        <v>-241451.16947014185</v>
      </c>
      <c r="L10" s="271">
        <f>-L9*(1-$I$30)</f>
        <v>-245996.12180009484</v>
      </c>
      <c r="M10" s="271">
        <f>-M9*(1-$I$30)</f>
        <v>-250626.62596948133</v>
      </c>
      <c r="N10" s="225"/>
    </row>
    <row r="11" spans="1:14" ht="15" customHeight="1" x14ac:dyDescent="0.35">
      <c r="A11" s="3"/>
      <c r="B11" s="54" t="s">
        <v>10</v>
      </c>
      <c r="C11" s="483"/>
      <c r="D11" s="489">
        <f t="shared" ref="D11:M11" si="0">SUM(D9:D10)</f>
        <v>0</v>
      </c>
      <c r="E11" s="272">
        <f t="shared" si="0"/>
        <v>170782</v>
      </c>
      <c r="F11" s="272">
        <f t="shared" si="0"/>
        <v>169148</v>
      </c>
      <c r="G11" s="250">
        <f t="shared" si="0"/>
        <v>180683</v>
      </c>
      <c r="H11" s="250">
        <f t="shared" si="0"/>
        <v>195201</v>
      </c>
      <c r="I11" s="250">
        <f t="shared" si="0"/>
        <v>191382.97309644934</v>
      </c>
      <c r="J11" s="250">
        <f t="shared" si="0"/>
        <v>194985.46751135256</v>
      </c>
      <c r="K11" s="250">
        <f t="shared" si="0"/>
        <v>198655.7734237962</v>
      </c>
      <c r="L11" s="273">
        <f t="shared" si="0"/>
        <v>202395.16728244862</v>
      </c>
      <c r="M11" s="273">
        <f t="shared" si="0"/>
        <v>206204.94956318985</v>
      </c>
      <c r="N11" s="435"/>
    </row>
    <row r="12" spans="1:14" ht="15" customHeight="1" x14ac:dyDescent="0.35">
      <c r="A12" s="133"/>
      <c r="B12" s="134"/>
      <c r="C12" s="485"/>
      <c r="D12" s="488"/>
      <c r="E12" s="135"/>
      <c r="F12" s="135"/>
      <c r="G12" s="135"/>
      <c r="H12" s="135"/>
      <c r="I12" s="135"/>
      <c r="J12" s="135"/>
      <c r="K12" s="135"/>
      <c r="L12" s="136"/>
      <c r="M12" s="136"/>
      <c r="N12" s="136"/>
    </row>
    <row r="13" spans="1:14" ht="15" customHeight="1" x14ac:dyDescent="0.35">
      <c r="A13" s="3"/>
      <c r="B13" s="17" t="s">
        <v>238</v>
      </c>
      <c r="C13" s="482"/>
      <c r="D13" s="487">
        <f>INPUT!D14</f>
        <v>0</v>
      </c>
      <c r="E13" s="266">
        <f>INPUT!E14</f>
        <v>-25094</v>
      </c>
      <c r="F13" s="266">
        <f>INPUT!F14</f>
        <v>-24932</v>
      </c>
      <c r="G13" s="267">
        <f>INPUT!G14</f>
        <v>-26097</v>
      </c>
      <c r="H13" s="267">
        <f>IF(INPUT!H14&lt;&gt;"",INPUT!H14,INPUT!G14)</f>
        <v>-27601</v>
      </c>
      <c r="I13" s="267">
        <f>-I9*$I$31</f>
        <v>-27744.801165002402</v>
      </c>
      <c r="J13" s="267">
        <f>-J9*$I$31</f>
        <v>-28267.054997840238</v>
      </c>
      <c r="K13" s="267">
        <f>-K9*$I$31</f>
        <v>-28799.139467570796</v>
      </c>
      <c r="L13" s="268">
        <f>-L9*$I$31</f>
        <v>-29341.239621034591</v>
      </c>
      <c r="M13" s="268">
        <f>-M9*$I$31</f>
        <v>-29893.543988298468</v>
      </c>
      <c r="N13" s="225"/>
    </row>
    <row r="14" spans="1:14" ht="15" customHeight="1" x14ac:dyDescent="0.35">
      <c r="A14" s="3"/>
      <c r="B14" s="17" t="s">
        <v>12</v>
      </c>
      <c r="C14" s="482"/>
      <c r="D14" s="487">
        <f>INPUT!D15</f>
        <v>0</v>
      </c>
      <c r="E14" s="269">
        <f>INPUT!E15</f>
        <v>-26251</v>
      </c>
      <c r="F14" s="269">
        <f>INPUT!F15</f>
        <v>-29915</v>
      </c>
      <c r="G14" s="270">
        <f>INPUT!G15</f>
        <v>-31370</v>
      </c>
      <c r="H14" s="270">
        <f>IF(INPUT!H15&lt;&gt;"",INPUT!H15,INPUT!G15)</f>
        <v>-34550</v>
      </c>
      <c r="I14" s="270">
        <f>-I9*$I$32</f>
        <v>-32633.19032901866</v>
      </c>
      <c r="J14" s="270">
        <f>-J9*$I$32</f>
        <v>-33247.46067918987</v>
      </c>
      <c r="K14" s="270">
        <f>-K9*$I$32</f>
        <v>-33873.293737735446</v>
      </c>
      <c r="L14" s="271">
        <f>-L9*$I$32</f>
        <v>-34510.907155116474</v>
      </c>
      <c r="M14" s="271">
        <f>-M9*$I$32</f>
        <v>-35160.522678734109</v>
      </c>
      <c r="N14" s="225"/>
    </row>
    <row r="15" spans="1:14" ht="15" customHeight="1" x14ac:dyDescent="0.35">
      <c r="A15" s="3"/>
      <c r="B15" s="54" t="s">
        <v>21</v>
      </c>
      <c r="C15" s="483"/>
      <c r="D15" s="489">
        <f>INPUT!D30</f>
        <v>0</v>
      </c>
      <c r="E15" s="272">
        <f>INPUT!E30</f>
        <v>119437</v>
      </c>
      <c r="F15" s="272">
        <f>INPUT!F30</f>
        <v>114301</v>
      </c>
      <c r="G15" s="250">
        <f>INPUT!G30</f>
        <v>123216</v>
      </c>
      <c r="H15" s="250">
        <f>IF(INPUT!H30&lt;&gt;"",INPUT!H30,INPUT!G30)</f>
        <v>133050</v>
      </c>
      <c r="I15" s="250">
        <f>I11+I13+I14</f>
        <v>131004.98160242828</v>
      </c>
      <c r="J15" s="250">
        <f>J11+J13+J14</f>
        <v>133470.95183432248</v>
      </c>
      <c r="K15" s="250">
        <f>K11+K13+K14</f>
        <v>135983.34021848996</v>
      </c>
      <c r="L15" s="273">
        <f>L11+L13+L14</f>
        <v>138543.02050629756</v>
      </c>
      <c r="M15" s="273">
        <f>M11+M13+M14</f>
        <v>141150.88289615727</v>
      </c>
      <c r="N15" s="435"/>
    </row>
    <row r="16" spans="1:14" ht="15" customHeight="1" x14ac:dyDescent="0.35">
      <c r="A16" s="133"/>
      <c r="B16" s="134"/>
      <c r="C16" s="485"/>
      <c r="D16" s="488"/>
      <c r="E16" s="135"/>
      <c r="F16" s="135"/>
      <c r="G16" s="135"/>
      <c r="H16" s="135"/>
      <c r="I16" s="135"/>
      <c r="J16" s="135"/>
      <c r="K16" s="135"/>
      <c r="L16" s="136"/>
      <c r="M16" s="136"/>
      <c r="N16" s="136"/>
    </row>
    <row r="17" spans="1:14" ht="15" customHeight="1" x14ac:dyDescent="0.35">
      <c r="A17" s="3"/>
      <c r="B17" s="17" t="s">
        <v>13</v>
      </c>
      <c r="C17" s="482"/>
      <c r="D17" s="487">
        <f>INPUT!D16</f>
        <v>0</v>
      </c>
      <c r="E17" s="269">
        <f>INPUT!E16</f>
        <v>-11104</v>
      </c>
      <c r="F17" s="269">
        <f>INPUT!F16</f>
        <v>-11519</v>
      </c>
      <c r="G17" s="270">
        <f>INPUT!G16</f>
        <v>-11445</v>
      </c>
      <c r="H17" s="270">
        <f>IF(INPUT!H16&lt;&gt;"",INPUT!H16,INPUT!G16)</f>
        <v>-11698</v>
      </c>
      <c r="I17" s="270">
        <f>-I9*$I$33</f>
        <v>-12252.431303767611</v>
      </c>
      <c r="J17" s="270">
        <f>-J9*$I$33</f>
        <v>-12483.064753685665</v>
      </c>
      <c r="K17" s="270">
        <f>-K9*$I$33</f>
        <v>-12718.039528758078</v>
      </c>
      <c r="L17" s="271">
        <f>-L9*$I$33</f>
        <v>-12957.437347851313</v>
      </c>
      <c r="M17" s="271">
        <f>-M9*$I$33</f>
        <v>-13201.341468065646</v>
      </c>
      <c r="N17" s="225"/>
    </row>
    <row r="18" spans="1:14" ht="15" customHeight="1" x14ac:dyDescent="0.35">
      <c r="A18" s="3"/>
      <c r="B18" s="54" t="s">
        <v>14</v>
      </c>
      <c r="C18" s="483"/>
      <c r="D18" s="489">
        <f t="shared" ref="D18:M18" si="1">D15+D17</f>
        <v>0</v>
      </c>
      <c r="E18" s="272">
        <f t="shared" si="1"/>
        <v>108333</v>
      </c>
      <c r="F18" s="272">
        <f t="shared" si="1"/>
        <v>102782</v>
      </c>
      <c r="G18" s="250">
        <f t="shared" si="1"/>
        <v>111771</v>
      </c>
      <c r="H18" s="250">
        <f t="shared" si="1"/>
        <v>121352</v>
      </c>
      <c r="I18" s="250">
        <f t="shared" si="1"/>
        <v>118752.55029866067</v>
      </c>
      <c r="J18" s="250">
        <f t="shared" si="1"/>
        <v>120987.88708063681</v>
      </c>
      <c r="K18" s="250">
        <f t="shared" si="1"/>
        <v>123265.30068973188</v>
      </c>
      <c r="L18" s="273">
        <f t="shared" si="1"/>
        <v>125585.58315844624</v>
      </c>
      <c r="M18" s="273">
        <f t="shared" si="1"/>
        <v>127949.54142809163</v>
      </c>
      <c r="N18" s="435"/>
    </row>
    <row r="19" spans="1:14" ht="15" customHeight="1" x14ac:dyDescent="0.35">
      <c r="A19" s="133"/>
      <c r="B19" s="134"/>
      <c r="C19" s="485"/>
      <c r="D19" s="488"/>
      <c r="E19" s="135"/>
      <c r="F19" s="135"/>
      <c r="G19" s="135"/>
      <c r="H19" s="135"/>
      <c r="I19" s="135"/>
      <c r="J19" s="135"/>
      <c r="K19" s="135"/>
      <c r="L19" s="136"/>
      <c r="M19" s="136"/>
      <c r="N19" s="136"/>
    </row>
    <row r="20" spans="1:14" ht="15" customHeight="1" x14ac:dyDescent="0.35">
      <c r="A20" s="3"/>
      <c r="B20" s="17" t="s">
        <v>15</v>
      </c>
      <c r="C20" s="482"/>
      <c r="D20" s="487">
        <f>INPUT!D20</f>
        <v>0</v>
      </c>
      <c r="E20" s="269">
        <f>INPUT!E20</f>
        <v>-2931</v>
      </c>
      <c r="F20" s="269">
        <f>INPUT!F20</f>
        <v>-3933</v>
      </c>
      <c r="G20" s="270">
        <f>INPUT!G20</f>
        <v>0</v>
      </c>
      <c r="H20" s="270">
        <f>IF(INPUT!H20&lt;&gt;"",INPUT!H20,INPUT!G20)</f>
        <v>0</v>
      </c>
      <c r="I20" s="270">
        <f>-I18*(INPUT!H103)/(1-$I$34)</f>
        <v>-8363.3633869495716</v>
      </c>
      <c r="J20" s="270">
        <f>-J18*(INPUT!H103)/(1-$I$34)</f>
        <v>-8520.7910274748774</v>
      </c>
      <c r="K20" s="270">
        <f>-K18*(INPUT!H103)/(1-$I$34)</f>
        <v>-8681.1820047409983</v>
      </c>
      <c r="L20" s="271">
        <f>-L18*(INPUT!H103)/(1-$I$34)</f>
        <v>-8844.5920990709528</v>
      </c>
      <c r="M20" s="271">
        <f>-M18*(INPUT!H103)/(1-$I$34)</f>
        <v>-9011.0781407677914</v>
      </c>
      <c r="N20" s="225"/>
    </row>
    <row r="21" spans="1:14" ht="15" customHeight="1" x14ac:dyDescent="0.35">
      <c r="A21" s="3"/>
      <c r="B21" s="54" t="s">
        <v>17</v>
      </c>
      <c r="C21" s="483"/>
      <c r="D21" s="489">
        <f t="shared" ref="D21:M21" si="2">D18+D20</f>
        <v>0</v>
      </c>
      <c r="E21" s="272">
        <f t="shared" si="2"/>
        <v>105402</v>
      </c>
      <c r="F21" s="272">
        <f t="shared" si="2"/>
        <v>98849</v>
      </c>
      <c r="G21" s="250">
        <f t="shared" si="2"/>
        <v>111771</v>
      </c>
      <c r="H21" s="250">
        <f t="shared" si="2"/>
        <v>121352</v>
      </c>
      <c r="I21" s="250">
        <f t="shared" si="2"/>
        <v>110389.18691171111</v>
      </c>
      <c r="J21" s="250">
        <f t="shared" si="2"/>
        <v>112467.09605316193</v>
      </c>
      <c r="K21" s="250">
        <f t="shared" si="2"/>
        <v>114584.11868499088</v>
      </c>
      <c r="L21" s="273">
        <f t="shared" si="2"/>
        <v>116740.99105937529</v>
      </c>
      <c r="M21" s="273">
        <f t="shared" si="2"/>
        <v>118938.46328732384</v>
      </c>
      <c r="N21" s="435"/>
    </row>
    <row r="22" spans="1:14" ht="15" customHeight="1" x14ac:dyDescent="0.35">
      <c r="A22" s="133"/>
      <c r="B22" s="134"/>
      <c r="C22" s="485"/>
      <c r="D22" s="488"/>
      <c r="E22" s="135"/>
      <c r="F22" s="135"/>
      <c r="G22" s="135"/>
      <c r="H22" s="135"/>
      <c r="I22" s="135"/>
      <c r="J22" s="135"/>
      <c r="K22" s="135"/>
      <c r="L22" s="136"/>
      <c r="M22" s="136"/>
      <c r="N22" s="136"/>
    </row>
    <row r="23" spans="1:14" ht="15" customHeight="1" x14ac:dyDescent="0.35">
      <c r="A23" s="3"/>
      <c r="B23" s="17" t="s">
        <v>239</v>
      </c>
      <c r="C23" s="482"/>
      <c r="D23" s="487">
        <f>INPUT!D24</f>
        <v>0</v>
      </c>
      <c r="E23" s="266">
        <f>INPUT!E24</f>
        <v>-17533</v>
      </c>
      <c r="F23" s="266">
        <f>INPUT!F24</f>
        <v>-15103</v>
      </c>
      <c r="G23" s="267">
        <f>INPUT!G24</f>
        <v>-26926</v>
      </c>
      <c r="H23" s="267">
        <f>IF(INPUT!H24&lt;&gt;"",INPUT!H24,INPUT!G24)</f>
        <v>-18895</v>
      </c>
      <c r="I23" s="267">
        <f>-I21*$I$34</f>
        <v>-19478.172030571423</v>
      </c>
      <c r="J23" s="267">
        <f>-J21*$I$34</f>
        <v>-19844.819098580421</v>
      </c>
      <c r="K23" s="267">
        <f>-K21*$I$34</f>
        <v>-20218.367741966642</v>
      </c>
      <c r="L23" s="268">
        <f>-L21*$I$34</f>
        <v>-20598.947872426768</v>
      </c>
      <c r="M23" s="268">
        <f>-M21*$I$34</f>
        <v>-20986.691847048292</v>
      </c>
      <c r="N23" s="225"/>
    </row>
    <row r="24" spans="1:14" ht="15" customHeight="1" thickBot="1" x14ac:dyDescent="0.4">
      <c r="A24" s="3"/>
      <c r="B24" s="54" t="s">
        <v>19</v>
      </c>
      <c r="C24" s="483"/>
      <c r="D24" s="489">
        <f t="shared" ref="D24:M24" si="3">D21+D23</f>
        <v>0</v>
      </c>
      <c r="E24" s="274">
        <f t="shared" si="3"/>
        <v>87869</v>
      </c>
      <c r="F24" s="274">
        <f t="shared" si="3"/>
        <v>83746</v>
      </c>
      <c r="G24" s="275">
        <f t="shared" si="3"/>
        <v>84845</v>
      </c>
      <c r="H24" s="275">
        <f t="shared" si="3"/>
        <v>102457</v>
      </c>
      <c r="I24" s="275">
        <f t="shared" si="3"/>
        <v>90911.014881139679</v>
      </c>
      <c r="J24" s="275">
        <f t="shared" si="3"/>
        <v>92622.27695458151</v>
      </c>
      <c r="K24" s="275">
        <f t="shared" si="3"/>
        <v>94365.750943024235</v>
      </c>
      <c r="L24" s="276">
        <f t="shared" si="3"/>
        <v>96142.043186948518</v>
      </c>
      <c r="M24" s="276">
        <f t="shared" si="3"/>
        <v>97951.771440275552</v>
      </c>
      <c r="N24" s="435"/>
    </row>
    <row r="25" spans="1:14" ht="15" customHeight="1" x14ac:dyDescent="0.35">
      <c r="A25" s="3"/>
      <c r="B25" s="14"/>
      <c r="C25" s="9"/>
      <c r="D25" s="9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8" customHeight="1" x14ac:dyDescent="0.5">
      <c r="A26" s="7" t="s">
        <v>5</v>
      </c>
      <c r="B26" s="49" t="s">
        <v>240</v>
      </c>
      <c r="C26" s="44"/>
      <c r="D26" s="44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5" customHeight="1" x14ac:dyDescent="0.35">
      <c r="A27" s="3"/>
      <c r="B27" s="17" t="s">
        <v>1</v>
      </c>
      <c r="C27" s="9"/>
      <c r="D27" s="9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1:14" ht="15" customHeight="1" x14ac:dyDescent="0.35">
      <c r="A28" s="1" t="s">
        <v>5</v>
      </c>
      <c r="B28" s="87" t="s">
        <v>241</v>
      </c>
      <c r="C28" s="88"/>
      <c r="D28" s="88"/>
      <c r="E28" s="1"/>
      <c r="F28" s="1"/>
      <c r="G28" s="24"/>
      <c r="H28" s="24"/>
      <c r="I28" s="24" t="str">
        <f>TEXT(INPUT!D117+1,"0")&amp;"F"</f>
        <v>2026F</v>
      </c>
      <c r="J28" s="24" t="str">
        <f>TEXT(INPUT!D117+2,"0")&amp;"F"</f>
        <v>2027F</v>
      </c>
      <c r="K28" s="24" t="str">
        <f>TEXT(INPUT!D117+3,"0")&amp;"F"</f>
        <v>2028F</v>
      </c>
      <c r="L28" s="24" t="str">
        <f>TEXT(INPUT!D117+4,"0")&amp;"F"</f>
        <v>2029F</v>
      </c>
      <c r="M28" s="24" t="str">
        <f>TEXT(INPUT!D117+5,"0")&amp;"F"</f>
        <v>2030F</v>
      </c>
      <c r="N28" s="213"/>
    </row>
    <row r="29" spans="1:14" ht="15" customHeight="1" x14ac:dyDescent="0.35">
      <c r="A29" s="3"/>
      <c r="B29" s="17" t="s">
        <v>242</v>
      </c>
      <c r="C29" s="9"/>
      <c r="D29" s="346">
        <f>IFERROR(IF(NOT(ISBLANK(INPUT!H9)),INPUT!H9/INPUT!G9-1,IF(NOT(ISBLANK(INPUT!G9)),INPUT!G9/INPUT!F9-1,IF(NOT(ISBLANK(INPUT!F9)),INPUT!F9/INPUT!E9-1,IF(NOT(ISBLANK(INPUT!E9)),INPUT!E9/INPUT!D9-1,0.05)))),0.05)</f>
        <v>6.425511782832749E-2</v>
      </c>
      <c r="E29" s="278">
        <f t="shared" ref="E29:E34" si="4">I29</f>
        <v>1.8823484433423077E-2</v>
      </c>
      <c r="F29" s="278">
        <f t="shared" ref="F29:F34" si="5">I29</f>
        <v>1.8823484433423077E-2</v>
      </c>
      <c r="G29" s="209"/>
      <c r="H29" s="209"/>
      <c r="I29" s="277">
        <f>IFERROR(AVERAGE(IF(ISNUMBER(RATIOS!F51),RATIOS!F51,0),IF(ISNUMBER(RATIOS!G51),RATIOS!G51,0),IF(ISNUMBER(RATIOS!H51),RATIOS!H51,0)),0.05)</f>
        <v>1.8823484433423077E-2</v>
      </c>
      <c r="J29" s="279">
        <f t="shared" ref="J29:J34" si="6">I29</f>
        <v>1.8823484433423077E-2</v>
      </c>
      <c r="K29" s="279">
        <f t="shared" ref="K29:K34" si="7">I29</f>
        <v>1.8823484433423077E-2</v>
      </c>
      <c r="L29" s="280">
        <f t="shared" ref="L29:L34" si="8">I29</f>
        <v>1.8823484433423077E-2</v>
      </c>
      <c r="M29" s="280">
        <f t="shared" ref="M29:M34" si="9">I29</f>
        <v>1.8823484433423077E-2</v>
      </c>
      <c r="N29" s="226"/>
    </row>
    <row r="30" spans="1:14" ht="15" customHeight="1" x14ac:dyDescent="0.35">
      <c r="A30" s="3"/>
      <c r="B30" s="17" t="s">
        <v>243</v>
      </c>
      <c r="C30" s="9"/>
      <c r="D30" s="346">
        <f>IFERROR(INPUT!H11/INPUT!H9,0.4)</f>
        <v>0.46905164107160452</v>
      </c>
      <c r="E30" s="278">
        <f t="shared" si="4"/>
        <v>0.45138068515240509</v>
      </c>
      <c r="F30" s="278">
        <f t="shared" si="5"/>
        <v>0.45138068515240509</v>
      </c>
      <c r="G30" s="209"/>
      <c r="H30" s="209"/>
      <c r="I30" s="277">
        <f>IFERROR(AVERAGE(IF(INPUT!E9&lt;&gt;0,INPUT!E11/INPUT!E9),IF(INPUT!F9&lt;&gt;0,INPUT!F11/INPUT!F9),IF(INPUT!G9&lt;&gt;0,INPUT!G11/INPUT!G9),IF(INPUT!H9&lt;&gt;0,INPUT!H11/INPUT!H9)),0.4)</f>
        <v>0.45138068515240509</v>
      </c>
      <c r="J30" s="279">
        <f t="shared" si="6"/>
        <v>0.45138068515240509</v>
      </c>
      <c r="K30" s="279">
        <f t="shared" si="7"/>
        <v>0.45138068515240509</v>
      </c>
      <c r="L30" s="280">
        <f t="shared" si="8"/>
        <v>0.45138068515240509</v>
      </c>
      <c r="M30" s="280">
        <f t="shared" si="9"/>
        <v>0.45138068515240509</v>
      </c>
      <c r="N30" s="226"/>
    </row>
    <row r="31" spans="1:14" ht="15" customHeight="1" x14ac:dyDescent="0.35">
      <c r="A31" s="3"/>
      <c r="B31" s="17" t="s">
        <v>244</v>
      </c>
      <c r="C31" s="9"/>
      <c r="D31" s="346">
        <f>IFERROR(ABS(INPUT!H14)/INPUT!H9,0.15)</f>
        <v>6.6322889458647019E-2</v>
      </c>
      <c r="E31" s="278">
        <f t="shared" si="4"/>
        <v>6.5436685179745366E-2</v>
      </c>
      <c r="F31" s="278">
        <f t="shared" si="5"/>
        <v>6.5436685179745366E-2</v>
      </c>
      <c r="G31" s="209"/>
      <c r="H31" s="209"/>
      <c r="I31" s="277">
        <f>IFERROR(AVERAGE(IF(INPUT!E9&lt;&gt;0,ABS(INPUT!E14)/INPUT!E9),IF(INPUT!F9&lt;&gt;0,ABS(INPUT!F14)/INPUT!F9),IF(INPUT!G9&lt;&gt;0,ABS(INPUT!G14)/INPUT!G9),IF(INPUT!H9&lt;&gt;0,ABS(INPUT!H14)/INPUT!H9)),0.15)</f>
        <v>6.5436685179745366E-2</v>
      </c>
      <c r="J31" s="279">
        <f t="shared" si="6"/>
        <v>6.5436685179745366E-2</v>
      </c>
      <c r="K31" s="279">
        <f t="shared" si="7"/>
        <v>6.5436685179745366E-2</v>
      </c>
      <c r="L31" s="280">
        <f t="shared" si="8"/>
        <v>6.5436685179745366E-2</v>
      </c>
      <c r="M31" s="280">
        <f t="shared" si="9"/>
        <v>6.5436685179745366E-2</v>
      </c>
      <c r="N31" s="226"/>
    </row>
    <row r="32" spans="1:14" ht="15" customHeight="1" x14ac:dyDescent="0.35">
      <c r="A32" s="3"/>
      <c r="B32" s="17" t="s">
        <v>245</v>
      </c>
      <c r="C32" s="9"/>
      <c r="D32" s="346">
        <f>IFERROR(ABS(INPUT!H15)/INPUT!H9,0.05)</f>
        <v>8.3020753987038676E-2</v>
      </c>
      <c r="E32" s="278">
        <f t="shared" si="4"/>
        <v>7.6966051739607785E-2</v>
      </c>
      <c r="F32" s="278">
        <f t="shared" si="5"/>
        <v>7.6966051739607785E-2</v>
      </c>
      <c r="G32" s="209"/>
      <c r="H32" s="209"/>
      <c r="I32" s="277">
        <f>IFERROR(AVERAGE(IF(INPUT!E9&lt;&gt;0,ABS(INPUT!E15)/INPUT!E9),IF(INPUT!F9&lt;&gt;0,ABS(INPUT!F15)/INPUT!F9),IF(INPUT!G9&lt;&gt;0,ABS(INPUT!G15)/INPUT!G9),IF(INPUT!H9&lt;&gt;0,ABS(INPUT!H15)/INPUT!H9)),0.05)</f>
        <v>7.6966051739607785E-2</v>
      </c>
      <c r="J32" s="279">
        <f t="shared" si="6"/>
        <v>7.6966051739607785E-2</v>
      </c>
      <c r="K32" s="279">
        <f t="shared" si="7"/>
        <v>7.6966051739607785E-2</v>
      </c>
      <c r="L32" s="280">
        <f t="shared" si="8"/>
        <v>7.6966051739607785E-2</v>
      </c>
      <c r="M32" s="280">
        <f t="shared" si="9"/>
        <v>7.6966051739607785E-2</v>
      </c>
      <c r="N32" s="226"/>
    </row>
    <row r="33" spans="1:14" ht="15" customHeight="1" x14ac:dyDescent="0.35">
      <c r="A33" s="3"/>
      <c r="B33" s="17" t="s">
        <v>246</v>
      </c>
      <c r="C33" s="9"/>
      <c r="D33" s="346">
        <f>IFERROR(ABS(INPUT!H16)/INPUT!H9,0.04)</f>
        <v>2.8109313462818475E-2</v>
      </c>
      <c r="E33" s="278">
        <f t="shared" si="4"/>
        <v>2.8897611669405122E-2</v>
      </c>
      <c r="F33" s="278">
        <f t="shared" si="5"/>
        <v>2.8897611669405122E-2</v>
      </c>
      <c r="G33" s="209"/>
      <c r="H33" s="209"/>
      <c r="I33" s="277">
        <f>IFERROR(AVERAGE(IF(INPUT!E9&lt;&gt;0,ABS(INPUT!E16)/INPUT!E9),IF(INPUT!F9&lt;&gt;0,ABS(INPUT!F16)/INPUT!F9),IF(INPUT!G9&lt;&gt;0,ABS(INPUT!G16)/INPUT!G9),IF(INPUT!H9&lt;&gt;0,ABS(INPUT!H16)/INPUT!H9)),0.04)</f>
        <v>2.8897611669405122E-2</v>
      </c>
      <c r="J33" s="279">
        <f t="shared" si="6"/>
        <v>2.8897611669405122E-2</v>
      </c>
      <c r="K33" s="279">
        <f t="shared" si="7"/>
        <v>2.8897611669405122E-2</v>
      </c>
      <c r="L33" s="280">
        <f t="shared" si="8"/>
        <v>2.8897611669405122E-2</v>
      </c>
      <c r="M33" s="280">
        <f t="shared" si="9"/>
        <v>2.8897611669405122E-2</v>
      </c>
      <c r="N33" s="226"/>
    </row>
    <row r="34" spans="1:14" ht="15" customHeight="1" x14ac:dyDescent="0.35">
      <c r="A34" s="3"/>
      <c r="B34" s="17" t="s">
        <v>247</v>
      </c>
      <c r="C34" s="9"/>
      <c r="D34" s="346">
        <f>IFERROR(INPUT!H104,0.21)</f>
        <v>0.15570000000000001</v>
      </c>
      <c r="E34" s="278">
        <f t="shared" si="4"/>
        <v>0.17645</v>
      </c>
      <c r="F34" s="278">
        <f t="shared" si="5"/>
        <v>0.17645</v>
      </c>
      <c r="G34" s="209"/>
      <c r="H34" s="209"/>
      <c r="I34" s="277">
        <f>IFERROR(AVERAGEIF(INPUT!E104:H104,"&lt;&gt;0"),0.21)</f>
        <v>0.17645</v>
      </c>
      <c r="J34" s="279">
        <f t="shared" si="6"/>
        <v>0.17645</v>
      </c>
      <c r="K34" s="279">
        <f t="shared" si="7"/>
        <v>0.17645</v>
      </c>
      <c r="L34" s="280">
        <f t="shared" si="8"/>
        <v>0.17645</v>
      </c>
      <c r="M34" s="280">
        <f t="shared" si="9"/>
        <v>0.17645</v>
      </c>
      <c r="N34" s="226"/>
    </row>
    <row r="35" spans="1:14" ht="15" customHeight="1" x14ac:dyDescent="0.35">
      <c r="A35" s="3"/>
      <c r="B35" s="14"/>
      <c r="C35" s="9"/>
      <c r="D35" s="9"/>
      <c r="E35" s="74"/>
      <c r="F35" s="74"/>
      <c r="G35" s="22"/>
      <c r="H35" s="22"/>
      <c r="I35" s="22"/>
      <c r="J35" s="22"/>
      <c r="K35" s="22"/>
      <c r="L35" s="22"/>
      <c r="M35" s="22"/>
      <c r="N35" s="22"/>
    </row>
    <row r="36" spans="1:14" ht="18" customHeight="1" x14ac:dyDescent="0.5">
      <c r="A36" s="7" t="s">
        <v>5</v>
      </c>
      <c r="B36" s="49" t="s">
        <v>248</v>
      </c>
      <c r="C36" s="44"/>
      <c r="D36" s="44"/>
      <c r="E36" s="44"/>
      <c r="F36" s="44"/>
      <c r="G36" s="23"/>
      <c r="H36" s="23"/>
      <c r="I36" s="23"/>
      <c r="J36" s="23"/>
      <c r="K36" s="23"/>
      <c r="L36" s="23"/>
      <c r="M36" s="23"/>
      <c r="N36" s="23"/>
    </row>
    <row r="37" spans="1:14" ht="15" customHeight="1" x14ac:dyDescent="0.35">
      <c r="A37" s="3"/>
      <c r="B37" s="17" t="s">
        <v>249</v>
      </c>
      <c r="C37" s="9"/>
      <c r="D37" s="346">
        <f>IFERROR(ABS(INPUT!H78)/INPUT!H9,0.05)</f>
        <v>3.0553079216937677E-2</v>
      </c>
      <c r="E37" s="278">
        <f>I37</f>
        <v>2.7614850367705435E-2</v>
      </c>
      <c r="F37" s="278">
        <f>I37</f>
        <v>2.7614850367705435E-2</v>
      </c>
      <c r="G37" s="209"/>
      <c r="H37" s="209"/>
      <c r="I37" s="277">
        <f>IFERROR(AVERAGE(IF(INPUT!E9&lt;&gt;0,ABS(INPUT!E78)/INPUT!E9),IF(INPUT!F9&lt;&gt;0,ABS(INPUT!F78)/INPUT!F9),IF(INPUT!G9&lt;&gt;0,ABS(INPUT!G78)/INPUT!G9),IF(INPUT!H9&lt;&gt;0,ABS(INPUT!H78)/INPUT!H9)),0.05)</f>
        <v>2.7614850367705435E-2</v>
      </c>
      <c r="J37" s="279">
        <f>I37</f>
        <v>2.7614850367705435E-2</v>
      </c>
      <c r="K37" s="279">
        <f>I37</f>
        <v>2.7614850367705435E-2</v>
      </c>
      <c r="L37" s="280">
        <f>I37</f>
        <v>2.7614850367705435E-2</v>
      </c>
      <c r="M37" s="280">
        <f>I37</f>
        <v>2.7614850367705435E-2</v>
      </c>
      <c r="N37" s="226"/>
    </row>
    <row r="38" spans="1:14" ht="15" customHeight="1" x14ac:dyDescent="0.35">
      <c r="A38" s="3"/>
      <c r="B38" s="17" t="s">
        <v>250</v>
      </c>
      <c r="C38" s="9"/>
      <c r="D38" s="346">
        <f>IFERROR(ABS((INPUT!H71+INPUT!H72+INPUT!H73)/INPUT!H9),0.1)</f>
        <v>1.1358584778487172E-2</v>
      </c>
      <c r="E38" s="278">
        <f>I38</f>
        <v>6.515195341178736E-3</v>
      </c>
      <c r="F38" s="278">
        <f>I38</f>
        <v>6.515195341178736E-3</v>
      </c>
      <c r="G38" s="209"/>
      <c r="H38" s="209"/>
      <c r="I38" s="277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>6.515195341178736E-3</v>
      </c>
      <c r="J38" s="279">
        <f>I38</f>
        <v>6.515195341178736E-3</v>
      </c>
      <c r="K38" s="279">
        <f>I38</f>
        <v>6.515195341178736E-3</v>
      </c>
      <c r="L38" s="280">
        <f>I38</f>
        <v>6.515195341178736E-3</v>
      </c>
      <c r="M38" s="280">
        <f>I38</f>
        <v>6.515195341178736E-3</v>
      </c>
      <c r="N38" s="226"/>
    </row>
    <row r="39" spans="1:14" ht="15" customHeight="1" x14ac:dyDescent="0.35">
      <c r="A39" s="3"/>
      <c r="B39" s="17"/>
      <c r="C39" s="9"/>
      <c r="D39" s="9"/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1:14" ht="18" customHeight="1" x14ac:dyDescent="0.5">
      <c r="A40" s="7"/>
      <c r="B40" s="49" t="s">
        <v>251</v>
      </c>
      <c r="C40" s="44"/>
      <c r="D40" s="44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1:14" ht="18" customHeight="1" x14ac:dyDescent="0.5">
      <c r="A41" s="127"/>
      <c r="B41" s="137"/>
      <c r="C41" s="138"/>
      <c r="D41" s="138"/>
      <c r="E41" s="106"/>
      <c r="F41" s="106"/>
      <c r="G41" s="106"/>
      <c r="H41" s="106"/>
      <c r="I41" s="106"/>
      <c r="J41" s="106"/>
      <c r="K41" s="106"/>
      <c r="L41" s="106"/>
      <c r="M41" s="106"/>
      <c r="N41" s="106"/>
    </row>
    <row r="42" spans="1:14" ht="15" customHeight="1" x14ac:dyDescent="0.35">
      <c r="A42" s="3"/>
      <c r="B42" s="17" t="s">
        <v>174</v>
      </c>
      <c r="C42" s="482"/>
      <c r="D42" s="487">
        <f t="shared" ref="D42:M42" si="10">D18</f>
        <v>0</v>
      </c>
      <c r="E42" s="266">
        <f t="shared" si="10"/>
        <v>108333</v>
      </c>
      <c r="F42" s="266">
        <f t="shared" si="10"/>
        <v>102782</v>
      </c>
      <c r="G42" s="267">
        <f t="shared" si="10"/>
        <v>111771</v>
      </c>
      <c r="H42" s="267">
        <f t="shared" si="10"/>
        <v>121352</v>
      </c>
      <c r="I42" s="267">
        <f t="shared" si="10"/>
        <v>118752.55029866067</v>
      </c>
      <c r="J42" s="267">
        <f t="shared" si="10"/>
        <v>120987.88708063681</v>
      </c>
      <c r="K42" s="267">
        <f t="shared" si="10"/>
        <v>123265.30068973188</v>
      </c>
      <c r="L42" s="268">
        <f t="shared" si="10"/>
        <v>125585.58315844624</v>
      </c>
      <c r="M42" s="268">
        <f t="shared" si="10"/>
        <v>127949.54142809163</v>
      </c>
      <c r="N42" s="225"/>
    </row>
    <row r="43" spans="1:14" ht="15" customHeight="1" x14ac:dyDescent="0.35">
      <c r="A43" s="3"/>
      <c r="B43" s="17" t="s">
        <v>252</v>
      </c>
      <c r="C43" s="482"/>
      <c r="D43" s="487">
        <f>D18*(-INPUT!D104)</f>
        <v>0</v>
      </c>
      <c r="E43" s="269">
        <f>E18*(-INPUT!E104)</f>
        <v>-17549.946</v>
      </c>
      <c r="F43" s="269">
        <f>F18*(-INPUT!F104)</f>
        <v>-15129.510399999999</v>
      </c>
      <c r="G43" s="270">
        <f>G18*(-INPUT!G104)</f>
        <v>-26925.633900000001</v>
      </c>
      <c r="H43" s="270">
        <f>H18*(-INPUT!H104)</f>
        <v>-18894.506400000002</v>
      </c>
      <c r="I43" s="270">
        <f>I18*(-$I$34)</f>
        <v>-20953.887500198674</v>
      </c>
      <c r="J43" s="270">
        <f>J18*(-$I$34)</f>
        <v>-21348.312675378365</v>
      </c>
      <c r="K43" s="270">
        <f>K18*(-$I$34)</f>
        <v>-21750.162306703191</v>
      </c>
      <c r="L43" s="271">
        <f>L18*(-$I$34)</f>
        <v>-22159.576148307839</v>
      </c>
      <c r="M43" s="271">
        <f>M18*(-$I$34)</f>
        <v>-22576.696584986767</v>
      </c>
      <c r="N43" s="225"/>
    </row>
    <row r="44" spans="1:14" ht="15" customHeight="1" x14ac:dyDescent="0.35">
      <c r="A44" s="3"/>
      <c r="B44" s="54" t="s">
        <v>253</v>
      </c>
      <c r="C44" s="483"/>
      <c r="D44" s="489">
        <f t="shared" ref="D44:M44" si="11">D42+D43</f>
        <v>0</v>
      </c>
      <c r="E44" s="272">
        <f t="shared" si="11"/>
        <v>90783.054000000004</v>
      </c>
      <c r="F44" s="272">
        <f t="shared" si="11"/>
        <v>87652.489600000001</v>
      </c>
      <c r="G44" s="250">
        <f t="shared" si="11"/>
        <v>84845.366099999999</v>
      </c>
      <c r="H44" s="250">
        <f t="shared" si="11"/>
        <v>102457.4936</v>
      </c>
      <c r="I44" s="250">
        <f t="shared" si="11"/>
        <v>97798.662798461999</v>
      </c>
      <c r="J44" s="250">
        <f t="shared" si="11"/>
        <v>99639.574405258434</v>
      </c>
      <c r="K44" s="250">
        <f t="shared" si="11"/>
        <v>101515.13838302869</v>
      </c>
      <c r="L44" s="273">
        <f t="shared" si="11"/>
        <v>103426.0070101384</v>
      </c>
      <c r="M44" s="273">
        <f t="shared" si="11"/>
        <v>105372.84484310486</v>
      </c>
      <c r="N44" s="435"/>
    </row>
    <row r="45" spans="1:14" ht="15" customHeight="1" x14ac:dyDescent="0.35">
      <c r="A45" s="71"/>
      <c r="B45" s="131"/>
      <c r="C45" s="484"/>
      <c r="D45" s="484"/>
      <c r="E45" s="132"/>
      <c r="F45" s="132"/>
      <c r="G45" s="64"/>
      <c r="H45" s="64"/>
      <c r="I45" s="64"/>
      <c r="J45" s="64"/>
      <c r="K45" s="64"/>
      <c r="L45" s="62"/>
      <c r="M45" s="62"/>
      <c r="N45" s="62"/>
    </row>
    <row r="46" spans="1:14" ht="15" customHeight="1" x14ac:dyDescent="0.35">
      <c r="A46" s="3"/>
      <c r="B46" s="17" t="s">
        <v>254</v>
      </c>
      <c r="C46" s="482"/>
      <c r="D46" s="487">
        <f t="shared" ref="D46:M46" si="12">ABS(D17)</f>
        <v>0</v>
      </c>
      <c r="E46" s="266">
        <f t="shared" si="12"/>
        <v>11104</v>
      </c>
      <c r="F46" s="266">
        <f t="shared" si="12"/>
        <v>11519</v>
      </c>
      <c r="G46" s="267">
        <f t="shared" si="12"/>
        <v>11445</v>
      </c>
      <c r="H46" s="267">
        <f t="shared" si="12"/>
        <v>11698</v>
      </c>
      <c r="I46" s="267">
        <f t="shared" si="12"/>
        <v>12252.431303767611</v>
      </c>
      <c r="J46" s="267">
        <f t="shared" si="12"/>
        <v>12483.064753685665</v>
      </c>
      <c r="K46" s="267">
        <f t="shared" si="12"/>
        <v>12718.039528758078</v>
      </c>
      <c r="L46" s="268">
        <f t="shared" si="12"/>
        <v>12957.437347851313</v>
      </c>
      <c r="M46" s="268">
        <f t="shared" si="12"/>
        <v>13201.341468065646</v>
      </c>
      <c r="N46" s="225"/>
    </row>
    <row r="47" spans="1:14" ht="15" customHeight="1" x14ac:dyDescent="0.35">
      <c r="A47" s="3"/>
      <c r="B47" s="17" t="s">
        <v>255</v>
      </c>
      <c r="C47" s="482"/>
      <c r="D47" s="487">
        <f>INPUT!D78</f>
        <v>0</v>
      </c>
      <c r="E47" s="266">
        <f>INPUT!E78</f>
        <v>-10708</v>
      </c>
      <c r="F47" s="266">
        <f>INPUT!F78</f>
        <v>-10959</v>
      </c>
      <c r="G47" s="267">
        <f>INPUT!G78</f>
        <v>-9447</v>
      </c>
      <c r="H47" s="267">
        <f>IF(INPUT!H78&lt;&gt;"",INPUT!H78,INPUT!G78)</f>
        <v>-12715</v>
      </c>
      <c r="I47" s="267">
        <f>-I9*$I$37</f>
        <v>-11708.5474386229</v>
      </c>
      <c r="J47" s="267">
        <f>-J9*$I$37</f>
        <v>-11928.943099071814</v>
      </c>
      <c r="K47" s="267">
        <f>-K9*$I$37</f>
        <v>-12153.487373804381</v>
      </c>
      <c r="L47" s="268">
        <f>-L9*$I$37</f>
        <v>-12382.258354196989</v>
      </c>
      <c r="M47" s="268">
        <f>-M9*$I$37</f>
        <v>-12615.335601577837</v>
      </c>
      <c r="N47" s="225"/>
    </row>
    <row r="48" spans="1:14" ht="15" customHeight="1" x14ac:dyDescent="0.35">
      <c r="A48" s="3"/>
      <c r="B48" s="17" t="s">
        <v>256</v>
      </c>
      <c r="C48" s="482"/>
      <c r="D48" s="487">
        <f>INPUT!D70+INPUT!D71+INPUT!D72+INPUT!D73</f>
        <v>0</v>
      </c>
      <c r="E48" s="266">
        <f>INPUT!E70+INPUT!E71+INPUT!E72+INPUT!E73</f>
        <v>12693</v>
      </c>
      <c r="F48" s="266">
        <f>INPUT!F70+INPUT!F71+INPUT!F72+INPUT!F73</f>
        <v>7595</v>
      </c>
      <c r="G48" s="267">
        <f>INPUT!G70+INPUT!G71+INPUT!G72+INPUT!G73</f>
        <v>11275</v>
      </c>
      <c r="H48" s="267">
        <f>IF(INPUT!H70&lt;&gt;"",INPUT!H70,INPUT!G70)+IF(INPUT!H71&lt;&gt;"",INPUT!H71,INPUT!G71)+IF(INPUT!H72&lt;&gt;"",INPUT!H72,INPUT!G72)+IF(INPUT!H73&lt;&gt;"",INPUT!H73,INPUT!G73)</f>
        <v>6971</v>
      </c>
      <c r="I48" s="267">
        <f>-(I9-H9)*$I$38</f>
        <v>-51.037434910693165</v>
      </c>
      <c r="J48" s="267">
        <f>-(J9-I9)*$I$38</f>
        <v>-51.998137272256308</v>
      </c>
      <c r="K48" s="267">
        <f>-(K9-J9)*$I$38</f>
        <v>-52.976923399767735</v>
      </c>
      <c r="L48" s="268">
        <f>-(L9-K9)*$I$38</f>
        <v>-53.974133692713806</v>
      </c>
      <c r="M48" s="268">
        <f>-(M9-L9)*$I$38</f>
        <v>-54.990114958086146</v>
      </c>
      <c r="N48" s="225"/>
    </row>
    <row r="49" spans="1:14" ht="15" customHeight="1" thickBot="1" x14ac:dyDescent="0.4">
      <c r="A49" s="71"/>
      <c r="B49" s="82" t="s">
        <v>257</v>
      </c>
      <c r="C49" s="484"/>
      <c r="D49" s="490">
        <f t="shared" ref="D49:M49" si="13">D44+D46+D47+D48</f>
        <v>0</v>
      </c>
      <c r="E49" s="274">
        <f t="shared" si="13"/>
        <v>103872.054</v>
      </c>
      <c r="F49" s="274">
        <f t="shared" si="13"/>
        <v>95807.489600000001</v>
      </c>
      <c r="G49" s="275">
        <f t="shared" si="13"/>
        <v>98118.366099999999</v>
      </c>
      <c r="H49" s="275">
        <f t="shared" si="13"/>
        <v>108411.4936</v>
      </c>
      <c r="I49" s="275">
        <f t="shared" si="13"/>
        <v>98291.509228696013</v>
      </c>
      <c r="J49" s="275">
        <f t="shared" si="13"/>
        <v>100141.69792260004</v>
      </c>
      <c r="K49" s="275">
        <f t="shared" si="13"/>
        <v>102026.71361458262</v>
      </c>
      <c r="L49" s="276">
        <f t="shared" si="13"/>
        <v>103947.21187010001</v>
      </c>
      <c r="M49" s="276">
        <f t="shared" si="13"/>
        <v>105903.86059463458</v>
      </c>
      <c r="N49" s="436"/>
    </row>
    <row r="50" spans="1:14" ht="15" customHeight="1" x14ac:dyDescent="0.35">
      <c r="A50" s="3"/>
      <c r="B50" s="14"/>
      <c r="C50" s="9"/>
      <c r="D50" s="9"/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1:14" ht="18" customHeight="1" x14ac:dyDescent="0.5">
      <c r="A51" s="7"/>
      <c r="B51" s="49" t="s">
        <v>258</v>
      </c>
      <c r="C51" s="44"/>
      <c r="D51" s="44"/>
      <c r="E51" s="23"/>
      <c r="F51" s="23"/>
      <c r="G51" s="23"/>
      <c r="H51" s="23"/>
      <c r="I51" s="23"/>
      <c r="J51" s="23"/>
      <c r="K51" s="23"/>
      <c r="L51" s="23"/>
      <c r="M51" s="23"/>
      <c r="N51" s="353"/>
    </row>
    <row r="52" spans="1:14" ht="18" customHeight="1" x14ac:dyDescent="0.5">
      <c r="A52" s="127"/>
      <c r="B52" s="137"/>
      <c r="C52" s="138"/>
      <c r="D52" s="138"/>
      <c r="E52" s="106"/>
      <c r="F52" s="106"/>
      <c r="G52" s="106"/>
      <c r="H52" s="106"/>
      <c r="J52" s="106"/>
      <c r="K52" s="106"/>
      <c r="L52" s="106"/>
      <c r="M52" s="106"/>
      <c r="N52" s="106"/>
    </row>
    <row r="53" spans="1:14" ht="15" customHeight="1" x14ac:dyDescent="0.35">
      <c r="A53" s="3"/>
      <c r="B53" s="17" t="s">
        <v>259</v>
      </c>
      <c r="C53" s="9"/>
      <c r="D53" s="346">
        <f>INPUT!H100</f>
        <v>4.2999999999999997E-2</v>
      </c>
      <c r="E53" s="329"/>
      <c r="F53" s="329"/>
      <c r="G53" s="329"/>
      <c r="H53" s="329"/>
      <c r="J53" s="329"/>
      <c r="K53" s="329"/>
      <c r="L53" s="329"/>
      <c r="M53" s="329"/>
      <c r="N53" s="355">
        <f>D53</f>
        <v>4.2999999999999997E-2</v>
      </c>
    </row>
    <row r="54" spans="1:14" ht="15" customHeight="1" x14ac:dyDescent="0.35">
      <c r="A54" s="3"/>
      <c r="B54" s="17" t="s">
        <v>66</v>
      </c>
      <c r="C54" s="9"/>
      <c r="D54" s="346">
        <f>INPUT!H99</f>
        <v>1.109</v>
      </c>
      <c r="E54" s="329"/>
      <c r="F54" s="329"/>
      <c r="G54" s="329"/>
      <c r="H54" s="329"/>
      <c r="J54" s="329"/>
      <c r="K54" s="329"/>
      <c r="L54" s="329"/>
      <c r="M54" s="329"/>
      <c r="N54" s="356">
        <f>D54</f>
        <v>1.109</v>
      </c>
    </row>
    <row r="55" spans="1:14" ht="15" customHeight="1" x14ac:dyDescent="0.35">
      <c r="A55" s="3"/>
      <c r="B55" s="17" t="s">
        <v>70</v>
      </c>
      <c r="C55" s="9"/>
      <c r="D55" s="346">
        <f>INPUT!H101</f>
        <v>5.5E-2</v>
      </c>
      <c r="E55" s="329"/>
      <c r="F55" s="329"/>
      <c r="G55" s="329"/>
      <c r="H55" s="329"/>
      <c r="J55" s="329"/>
      <c r="K55" s="329"/>
      <c r="L55" s="329"/>
      <c r="M55" s="329"/>
      <c r="N55" s="355">
        <f>D55</f>
        <v>5.5E-2</v>
      </c>
    </row>
    <row r="56" spans="1:14" ht="15" customHeight="1" x14ac:dyDescent="0.35">
      <c r="A56" s="3"/>
      <c r="B56" s="54" t="s">
        <v>71</v>
      </c>
      <c r="C56" s="11"/>
      <c r="D56" s="347">
        <f>D53+D54*D55</f>
        <v>0.103995</v>
      </c>
      <c r="E56" s="330"/>
      <c r="F56" s="330"/>
      <c r="G56" s="330"/>
      <c r="H56" s="330"/>
      <c r="J56" s="330"/>
      <c r="K56" s="330"/>
      <c r="L56" s="330"/>
      <c r="M56" s="330"/>
      <c r="N56" s="357">
        <f>D56</f>
        <v>0.103995</v>
      </c>
    </row>
    <row r="57" spans="1:14" ht="15" customHeight="1" x14ac:dyDescent="0.35">
      <c r="A57" s="3"/>
      <c r="B57" s="17"/>
      <c r="C57" s="9"/>
      <c r="D57" s="9"/>
      <c r="E57" s="22"/>
      <c r="F57" s="22"/>
      <c r="G57" s="22"/>
      <c r="H57" s="22"/>
      <c r="J57" s="22"/>
      <c r="K57" s="22"/>
      <c r="L57" s="22"/>
      <c r="M57" s="22"/>
      <c r="N57" s="57"/>
    </row>
    <row r="58" spans="1:14" ht="15" customHeight="1" x14ac:dyDescent="0.35">
      <c r="A58" s="3"/>
      <c r="B58" s="17" t="s">
        <v>260</v>
      </c>
      <c r="C58" s="9"/>
      <c r="D58" s="346">
        <f>INPUT!H106</f>
        <v>0.97489999999999999</v>
      </c>
      <c r="E58" s="329"/>
      <c r="F58" s="329"/>
      <c r="G58" s="329"/>
      <c r="H58" s="329"/>
      <c r="J58" s="329"/>
      <c r="K58" s="329"/>
      <c r="L58" s="329"/>
      <c r="M58" s="329"/>
      <c r="N58" s="358">
        <f t="shared" ref="N58:N63" si="14">D58</f>
        <v>0.97489999999999999</v>
      </c>
    </row>
    <row r="59" spans="1:14" ht="15" customHeight="1" x14ac:dyDescent="0.35">
      <c r="A59" s="3"/>
      <c r="B59" s="17" t="s">
        <v>261</v>
      </c>
      <c r="C59" s="9"/>
      <c r="D59" s="346">
        <f>INPUT!H107</f>
        <v>2.5100000000000001E-2</v>
      </c>
      <c r="E59" s="329"/>
      <c r="F59" s="329"/>
      <c r="G59" s="329"/>
      <c r="H59" s="329"/>
      <c r="J59" s="329"/>
      <c r="K59" s="329"/>
      <c r="L59" s="329"/>
      <c r="M59" s="329"/>
      <c r="N59" s="358">
        <f t="shared" si="14"/>
        <v>2.5100000000000001E-2</v>
      </c>
    </row>
    <row r="60" spans="1:14" ht="15" customHeight="1" x14ac:dyDescent="0.35">
      <c r="A60" s="3"/>
      <c r="B60" s="17" t="s">
        <v>262</v>
      </c>
      <c r="C60" s="9"/>
      <c r="D60" s="346">
        <f>INPUT!H103</f>
        <v>5.8000000000000003E-2</v>
      </c>
      <c r="E60" s="329"/>
      <c r="F60" s="329"/>
      <c r="G60" s="329"/>
      <c r="H60" s="329"/>
      <c r="J60" s="329"/>
      <c r="K60" s="329"/>
      <c r="L60" s="329"/>
      <c r="M60" s="329"/>
      <c r="N60" s="355">
        <f t="shared" si="14"/>
        <v>5.8000000000000003E-2</v>
      </c>
    </row>
    <row r="61" spans="1:14" ht="15" customHeight="1" x14ac:dyDescent="0.35">
      <c r="A61" s="3"/>
      <c r="B61" s="17" t="s">
        <v>73</v>
      </c>
      <c r="C61" s="9"/>
      <c r="D61" s="346">
        <f>INPUT!H104</f>
        <v>0.15570000000000001</v>
      </c>
      <c r="E61" s="329"/>
      <c r="F61" s="329"/>
      <c r="G61" s="329"/>
      <c r="H61" s="329"/>
      <c r="J61" s="329"/>
      <c r="K61" s="329"/>
      <c r="L61" s="329"/>
      <c r="M61" s="329"/>
      <c r="N61" s="358">
        <f t="shared" si="14"/>
        <v>0.15570000000000001</v>
      </c>
    </row>
    <row r="62" spans="1:14" ht="15" customHeight="1" x14ac:dyDescent="0.35">
      <c r="A62" s="3"/>
      <c r="B62" s="17" t="s">
        <v>74</v>
      </c>
      <c r="C62" s="9"/>
      <c r="D62" s="346">
        <f>D60*(1-D61)</f>
        <v>4.8969400000000003E-2</v>
      </c>
      <c r="E62" s="329"/>
      <c r="F62" s="329"/>
      <c r="G62" s="329"/>
      <c r="H62" s="329"/>
      <c r="J62" s="329"/>
      <c r="K62" s="329"/>
      <c r="L62" s="329"/>
      <c r="M62" s="329"/>
      <c r="N62" s="355">
        <f t="shared" si="14"/>
        <v>4.8969400000000003E-2</v>
      </c>
    </row>
    <row r="63" spans="1:14" ht="15" customHeight="1" x14ac:dyDescent="0.35">
      <c r="A63" s="3"/>
      <c r="B63" s="51" t="s">
        <v>77</v>
      </c>
      <c r="C63" s="11"/>
      <c r="D63" s="347">
        <f>D58*D56+D62*D59</f>
        <v>0.10261385744000001</v>
      </c>
      <c r="E63" s="330"/>
      <c r="F63" s="330"/>
      <c r="G63" s="330"/>
      <c r="H63" s="330"/>
      <c r="J63" s="330"/>
      <c r="K63" s="330"/>
      <c r="L63" s="330"/>
      <c r="M63" s="330"/>
      <c r="N63" s="359">
        <f t="shared" si="14"/>
        <v>0.10261385744000001</v>
      </c>
    </row>
    <row r="64" spans="1:14" ht="15" customHeight="1" x14ac:dyDescent="0.35">
      <c r="A64" s="3"/>
      <c r="B64" s="14"/>
      <c r="C64" s="9"/>
      <c r="D64" s="9"/>
      <c r="E64" s="22"/>
      <c r="F64" s="22"/>
      <c r="G64" s="22"/>
      <c r="H64" s="22"/>
      <c r="I64" s="22"/>
      <c r="J64" s="22"/>
      <c r="K64" s="22"/>
      <c r="L64" s="22"/>
      <c r="M64" s="22"/>
      <c r="N64" s="57"/>
    </row>
    <row r="65" spans="1:14" ht="18" customHeight="1" x14ac:dyDescent="0.5">
      <c r="A65" s="7"/>
      <c r="B65" s="49" t="s">
        <v>263</v>
      </c>
      <c r="C65" s="44"/>
      <c r="D65" s="44"/>
      <c r="E65" s="23"/>
      <c r="F65" s="23"/>
      <c r="G65" s="23"/>
      <c r="H65" s="23"/>
      <c r="I65" s="23"/>
      <c r="J65" s="23"/>
      <c r="K65" s="23"/>
      <c r="L65" s="23"/>
      <c r="M65" s="23"/>
      <c r="N65" s="353"/>
    </row>
    <row r="66" spans="1:14" ht="18" customHeight="1" x14ac:dyDescent="0.5">
      <c r="A66" s="127"/>
      <c r="B66" s="137"/>
      <c r="C66" s="138"/>
      <c r="D66" s="138"/>
      <c r="E66" s="106"/>
      <c r="F66" s="106"/>
      <c r="G66" s="106"/>
      <c r="H66" s="106"/>
      <c r="I66" s="106"/>
      <c r="J66" s="106"/>
      <c r="K66" s="106"/>
      <c r="L66" s="106"/>
      <c r="M66" s="106"/>
      <c r="N66" s="106"/>
    </row>
    <row r="67" spans="1:14" ht="15" customHeight="1" x14ac:dyDescent="0.35">
      <c r="A67" s="3"/>
      <c r="B67" s="17" t="s">
        <v>264</v>
      </c>
      <c r="C67" s="9"/>
      <c r="D67" s="346">
        <f>INPUT!H109</f>
        <v>0.03</v>
      </c>
      <c r="E67" s="329"/>
      <c r="F67" s="329"/>
      <c r="G67" s="329"/>
      <c r="H67" s="329"/>
      <c r="I67" s="329"/>
      <c r="J67" s="329"/>
      <c r="K67" s="329"/>
      <c r="L67" s="329"/>
      <c r="M67" s="329"/>
      <c r="N67" s="358">
        <f t="shared" ref="N67:N72" si="15">D67</f>
        <v>0.03</v>
      </c>
    </row>
    <row r="68" spans="1:14" ht="15" customHeight="1" x14ac:dyDescent="0.35">
      <c r="A68" s="3"/>
      <c r="B68" s="17" t="s">
        <v>77</v>
      </c>
      <c r="C68" s="9"/>
      <c r="D68" s="346">
        <f>D63</f>
        <v>0.10261385744000001</v>
      </c>
      <c r="E68" s="329"/>
      <c r="F68" s="329"/>
      <c r="G68" s="329"/>
      <c r="H68" s="329"/>
      <c r="I68" s="329"/>
      <c r="J68" s="329"/>
      <c r="K68" s="329"/>
      <c r="L68" s="329"/>
      <c r="M68" s="329"/>
      <c r="N68" s="355">
        <f t="shared" si="15"/>
        <v>0.10261385744000001</v>
      </c>
    </row>
    <row r="69" spans="1:14" ht="15" customHeight="1" x14ac:dyDescent="0.35">
      <c r="A69" s="3"/>
      <c r="B69" s="17" t="s">
        <v>265</v>
      </c>
      <c r="C69" s="482"/>
      <c r="D69" s="491">
        <f>M49</f>
        <v>105903.86059463458</v>
      </c>
      <c r="E69" s="329"/>
      <c r="F69" s="329"/>
      <c r="G69" s="329"/>
      <c r="H69" s="329"/>
      <c r="I69" s="329"/>
      <c r="J69" s="329"/>
      <c r="K69" s="329"/>
      <c r="L69" s="329"/>
      <c r="M69" s="329"/>
      <c r="N69" s="360">
        <f t="shared" si="15"/>
        <v>105903.86059463458</v>
      </c>
    </row>
    <row r="70" spans="1:14" ht="15" customHeight="1" x14ac:dyDescent="0.35">
      <c r="A70" s="3"/>
      <c r="B70" s="17" t="s">
        <v>266</v>
      </c>
      <c r="C70" s="482"/>
      <c r="D70" s="491">
        <f>D69*(1+D67)</f>
        <v>109080.97641247362</v>
      </c>
      <c r="E70" s="329"/>
      <c r="F70" s="329"/>
      <c r="G70" s="329"/>
      <c r="H70" s="329"/>
      <c r="I70" s="330"/>
      <c r="J70" s="329"/>
      <c r="K70" s="329"/>
      <c r="L70" s="329"/>
      <c r="M70" s="329"/>
      <c r="N70" s="360">
        <f t="shared" si="15"/>
        <v>109080.97641247362</v>
      </c>
    </row>
    <row r="71" spans="1:14" ht="15" customHeight="1" x14ac:dyDescent="0.35">
      <c r="A71" s="3"/>
      <c r="B71" s="54" t="s">
        <v>267</v>
      </c>
      <c r="C71" s="483"/>
      <c r="D71" s="492">
        <f>IFERROR(D70/(D68-D67),"–")</f>
        <v>1502206.0562283993</v>
      </c>
      <c r="E71" s="330"/>
      <c r="F71" s="330"/>
      <c r="G71" s="330"/>
      <c r="H71" s="330"/>
      <c r="I71" s="22"/>
      <c r="J71" s="330"/>
      <c r="K71" s="330"/>
      <c r="L71" s="330"/>
      <c r="M71" s="330"/>
      <c r="N71" s="361">
        <f t="shared" si="15"/>
        <v>1502206.0562283993</v>
      </c>
    </row>
    <row r="72" spans="1:14" ht="15" customHeight="1" x14ac:dyDescent="0.35">
      <c r="A72" s="3"/>
      <c r="B72" s="17" t="s">
        <v>268</v>
      </c>
      <c r="C72" s="9"/>
      <c r="D72" s="346">
        <f>IFERROR(D71/M15,"–")</f>
        <v>10.642555153789234</v>
      </c>
      <c r="E72" s="329"/>
      <c r="F72" s="329"/>
      <c r="G72" s="329"/>
      <c r="H72" s="329"/>
      <c r="I72" s="329"/>
      <c r="J72" s="329"/>
      <c r="K72" s="329"/>
      <c r="L72" s="329"/>
      <c r="M72" s="329"/>
      <c r="N72" s="362">
        <f t="shared" si="15"/>
        <v>10.642555153789234</v>
      </c>
    </row>
    <row r="73" spans="1:14" ht="15" customHeight="1" x14ac:dyDescent="0.35">
      <c r="A73" s="3"/>
      <c r="B73" s="14"/>
      <c r="C73" s="9"/>
      <c r="D73" s="9"/>
      <c r="E73" s="22"/>
      <c r="F73" s="22"/>
      <c r="G73" s="22"/>
      <c r="H73" s="22"/>
      <c r="I73" s="329"/>
      <c r="J73" s="22"/>
      <c r="K73" s="22"/>
      <c r="L73" s="22"/>
      <c r="M73" s="22"/>
      <c r="N73" s="57"/>
    </row>
    <row r="74" spans="1:14" ht="15" customHeight="1" x14ac:dyDescent="0.35">
      <c r="A74" s="3"/>
      <c r="B74" s="14" t="s">
        <v>269</v>
      </c>
      <c r="C74" s="9"/>
      <c r="D74" s="346">
        <f>1</f>
        <v>1</v>
      </c>
      <c r="E74" s="22"/>
      <c r="F74" s="22"/>
      <c r="G74" s="36"/>
      <c r="H74" s="36"/>
      <c r="I74" s="329"/>
      <c r="J74" s="343">
        <v>2</v>
      </c>
      <c r="K74" s="343">
        <v>3</v>
      </c>
      <c r="L74" s="343">
        <v>4</v>
      </c>
      <c r="M74" s="343">
        <v>5</v>
      </c>
      <c r="N74" s="343">
        <v>5</v>
      </c>
    </row>
    <row r="75" spans="1:14" ht="15" customHeight="1" x14ac:dyDescent="0.35">
      <c r="A75" s="3"/>
      <c r="B75" s="14" t="s">
        <v>270</v>
      </c>
      <c r="C75" s="9"/>
      <c r="D75" s="346">
        <f>1/(1+$D$68)^I74</f>
        <v>1</v>
      </c>
      <c r="E75" s="22"/>
      <c r="F75" s="22"/>
      <c r="G75" s="37"/>
      <c r="H75" s="37"/>
      <c r="I75" s="329"/>
      <c r="J75" s="342">
        <f>1/(1+$D$68)^J74</f>
        <v>0.82253257676141378</v>
      </c>
      <c r="K75" s="342">
        <f>1/(1+$D$68)^K74</f>
        <v>0.74598425478810282</v>
      </c>
      <c r="L75" s="342">
        <f>1/(1+$D$68)^L74</f>
        <v>0.6765598398337711</v>
      </c>
      <c r="M75" s="342">
        <f>1/(1+$D$68)^M74</f>
        <v>0.61359635131430124</v>
      </c>
      <c r="N75" s="342">
        <f>1/(1+$D$68)^M74</f>
        <v>0.61359635131430124</v>
      </c>
    </row>
    <row r="76" spans="1:14" ht="15" customHeight="1" x14ac:dyDescent="0.35">
      <c r="A76" s="3"/>
      <c r="B76" s="14" t="s">
        <v>271</v>
      </c>
      <c r="C76" s="482"/>
      <c r="D76" s="491">
        <f>I49</f>
        <v>98291.509228696013</v>
      </c>
      <c r="E76" s="22"/>
      <c r="F76" s="22"/>
      <c r="G76" s="35"/>
      <c r="H76" s="35"/>
      <c r="I76" s="329"/>
      <c r="J76" s="344">
        <f>J49</f>
        <v>100141.69792260004</v>
      </c>
      <c r="K76" s="344">
        <f>K49</f>
        <v>102026.71361458262</v>
      </c>
      <c r="L76" s="344">
        <f>L49</f>
        <v>103947.21187010001</v>
      </c>
      <c r="M76" s="344">
        <f>M49</f>
        <v>105903.86059463458</v>
      </c>
      <c r="N76" s="35"/>
    </row>
    <row r="77" spans="1:14" ht="15" customHeight="1" x14ac:dyDescent="0.35">
      <c r="A77" s="3"/>
      <c r="B77" s="14" t="s">
        <v>272</v>
      </c>
      <c r="C77" s="482"/>
      <c r="D77" s="8"/>
      <c r="E77" s="22"/>
      <c r="F77" s="22"/>
      <c r="G77" s="35"/>
      <c r="H77" s="35"/>
      <c r="I77" s="330"/>
      <c r="J77" s="35"/>
      <c r="K77" s="35"/>
      <c r="L77" s="35"/>
      <c r="M77" s="35"/>
      <c r="N77" s="344">
        <f>D71</f>
        <v>1502206.0562283993</v>
      </c>
    </row>
    <row r="78" spans="1:14" ht="15" customHeight="1" x14ac:dyDescent="0.35">
      <c r="A78" s="3"/>
      <c r="B78" s="14" t="s">
        <v>273</v>
      </c>
      <c r="C78" s="482"/>
      <c r="D78" s="8"/>
      <c r="E78" s="22"/>
      <c r="F78" s="22"/>
      <c r="G78" s="35"/>
      <c r="H78" s="35"/>
      <c r="I78" s="22"/>
      <c r="J78" s="344">
        <f>J75*J76</f>
        <v>82369.808833539326</v>
      </c>
      <c r="K78" s="344">
        <f>K75*K76</f>
        <v>76110.3219242536</v>
      </c>
      <c r="L78" s="344">
        <f>L75*L76</f>
        <v>70326.509014001931</v>
      </c>
      <c r="M78" s="344">
        <f>M75*M76</f>
        <v>64982.222450966183</v>
      </c>
      <c r="N78" s="354">
        <f>IFERROR(N75*N77,"–")</f>
        <v>921748.15502399183</v>
      </c>
    </row>
    <row r="79" spans="1:14" ht="15" customHeight="1" x14ac:dyDescent="0.5">
      <c r="A79" s="3"/>
      <c r="B79" s="14"/>
      <c r="C79" s="9"/>
      <c r="D79" s="9"/>
      <c r="E79" s="22"/>
      <c r="F79" s="22"/>
      <c r="G79" s="22"/>
      <c r="H79" s="22"/>
      <c r="I79" s="364"/>
      <c r="J79" s="22"/>
      <c r="K79" s="22"/>
      <c r="L79" s="22"/>
      <c r="M79" s="22"/>
      <c r="N79" s="57"/>
    </row>
    <row r="80" spans="1:14" ht="18" customHeight="1" x14ac:dyDescent="0.5">
      <c r="A80" s="7"/>
      <c r="B80" s="49" t="s">
        <v>274</v>
      </c>
      <c r="C80" s="44"/>
      <c r="D80" s="44"/>
      <c r="E80" s="23"/>
      <c r="F80" s="23"/>
      <c r="G80" s="23"/>
      <c r="H80" s="23"/>
      <c r="I80" s="44"/>
      <c r="J80" s="23"/>
      <c r="K80" s="23"/>
      <c r="L80" s="23"/>
      <c r="M80" s="23"/>
      <c r="N80" s="353"/>
    </row>
    <row r="81" spans="1:17" ht="18" customHeight="1" x14ac:dyDescent="0.5">
      <c r="A81" s="127"/>
      <c r="B81" s="137"/>
      <c r="C81" s="138"/>
      <c r="D81" s="351"/>
      <c r="E81" s="106"/>
      <c r="F81" s="106"/>
      <c r="G81" s="106"/>
      <c r="H81" s="106"/>
      <c r="J81" s="106"/>
      <c r="K81" s="106"/>
      <c r="L81" s="106"/>
      <c r="M81" s="106"/>
      <c r="N81" s="106"/>
    </row>
    <row r="82" spans="1:17" ht="15" customHeight="1" x14ac:dyDescent="0.35">
      <c r="A82" s="3"/>
      <c r="B82" s="54" t="s">
        <v>275</v>
      </c>
      <c r="C82" s="483"/>
      <c r="D82" s="352">
        <f>SUM(I78:M78)</f>
        <v>293788.86222276103</v>
      </c>
      <c r="E82" s="329"/>
      <c r="F82" s="329"/>
      <c r="G82" s="329"/>
      <c r="H82" s="329"/>
      <c r="J82" s="329"/>
      <c r="K82" s="329"/>
      <c r="L82" s="329"/>
      <c r="M82" s="329"/>
      <c r="N82" s="344">
        <f>D82</f>
        <v>293788.86222276103</v>
      </c>
    </row>
    <row r="83" spans="1:17" ht="15" customHeight="1" x14ac:dyDescent="0.35">
      <c r="A83" s="3"/>
      <c r="B83" s="17" t="s">
        <v>276</v>
      </c>
      <c r="C83" s="482"/>
      <c r="D83" s="486">
        <f>N78</f>
        <v>921748.15502399183</v>
      </c>
      <c r="E83" s="329"/>
      <c r="F83" s="329"/>
      <c r="G83" s="329"/>
      <c r="H83" s="329"/>
      <c r="J83" s="329"/>
      <c r="K83" s="329"/>
      <c r="L83" s="329"/>
      <c r="M83" s="329"/>
      <c r="N83" s="344">
        <f>D83</f>
        <v>921748.15502399183</v>
      </c>
    </row>
    <row r="84" spans="1:17" ht="15" customHeight="1" x14ac:dyDescent="0.35">
      <c r="A84" s="3"/>
      <c r="B84" s="54" t="s">
        <v>65</v>
      </c>
      <c r="C84" s="483"/>
      <c r="D84" s="352">
        <f>IFERROR(D82+D83,"–")</f>
        <v>1215537.017246753</v>
      </c>
      <c r="E84" s="330"/>
      <c r="F84" s="330"/>
      <c r="G84" s="330"/>
      <c r="H84" s="330"/>
      <c r="J84" s="330"/>
      <c r="K84" s="330"/>
      <c r="L84" s="330"/>
      <c r="M84" s="330"/>
      <c r="N84" s="344">
        <f>D84</f>
        <v>1215537.017246753</v>
      </c>
    </row>
    <row r="85" spans="1:17" ht="15" customHeight="1" x14ac:dyDescent="0.35">
      <c r="A85" s="71"/>
      <c r="B85" s="131"/>
      <c r="C85" s="484"/>
      <c r="D85" s="352"/>
      <c r="E85" s="331"/>
      <c r="F85" s="331"/>
      <c r="G85" s="331"/>
      <c r="H85" s="331"/>
      <c r="J85" s="331"/>
      <c r="K85" s="331"/>
      <c r="L85" s="331"/>
      <c r="M85" s="331"/>
      <c r="N85" s="62"/>
    </row>
    <row r="86" spans="1:17" ht="15" customHeight="1" x14ac:dyDescent="0.35">
      <c r="A86" s="3"/>
      <c r="B86" s="17" t="s">
        <v>277</v>
      </c>
      <c r="C86" s="482"/>
      <c r="D86" s="352">
        <f>-(INPUT!H49+INPUT!H55)</f>
        <v>-239001</v>
      </c>
      <c r="E86" s="329"/>
      <c r="F86" s="329"/>
      <c r="G86" s="329"/>
      <c r="H86" s="329"/>
      <c r="J86" s="329"/>
      <c r="K86" s="329"/>
      <c r="L86" s="329"/>
      <c r="M86" s="329"/>
      <c r="N86" s="344">
        <f>D86</f>
        <v>-239001</v>
      </c>
    </row>
    <row r="87" spans="1:17" ht="15" customHeight="1" x14ac:dyDescent="0.35">
      <c r="A87" s="3"/>
      <c r="B87" s="17" t="s">
        <v>278</v>
      </c>
      <c r="C87" s="482"/>
      <c r="D87" s="486">
        <f>INPUT!H34</f>
        <v>35934</v>
      </c>
      <c r="E87" s="329"/>
      <c r="F87" s="329"/>
      <c r="G87" s="329"/>
      <c r="H87" s="329"/>
      <c r="J87" s="329"/>
      <c r="K87" s="329"/>
      <c r="L87" s="329"/>
      <c r="M87" s="329"/>
      <c r="N87" s="344">
        <f>D87</f>
        <v>35934</v>
      </c>
    </row>
    <row r="88" spans="1:17" ht="15" customHeight="1" x14ac:dyDescent="0.35">
      <c r="A88" s="3"/>
      <c r="B88" s="54" t="s">
        <v>279</v>
      </c>
      <c r="C88" s="483"/>
      <c r="D88" s="352">
        <f>IFERROR(D84+D86+D87,"–")</f>
        <v>1012470.017246753</v>
      </c>
      <c r="E88" s="330"/>
      <c r="F88" s="330"/>
      <c r="G88" s="330"/>
      <c r="H88" s="330"/>
      <c r="J88" s="330"/>
      <c r="K88" s="330"/>
      <c r="L88" s="330"/>
      <c r="M88" s="330"/>
      <c r="N88" s="344">
        <f>D88</f>
        <v>1012470.017246753</v>
      </c>
    </row>
    <row r="89" spans="1:17" ht="15" customHeight="1" x14ac:dyDescent="0.35">
      <c r="A89" s="71"/>
      <c r="B89" s="131"/>
      <c r="C89" s="484"/>
      <c r="D89" s="352"/>
      <c r="E89" s="331"/>
      <c r="F89" s="331"/>
      <c r="G89" s="331"/>
      <c r="H89" s="331"/>
      <c r="J89" s="331"/>
      <c r="K89" s="331"/>
      <c r="L89" s="331"/>
      <c r="M89" s="331"/>
      <c r="N89" s="62"/>
    </row>
    <row r="90" spans="1:17" ht="15" customHeight="1" x14ac:dyDescent="0.35">
      <c r="A90" s="3"/>
      <c r="B90" s="17" t="s">
        <v>62</v>
      </c>
      <c r="C90" s="9"/>
      <c r="D90" s="349">
        <f>INPUT!H96</f>
        <v>14681.14</v>
      </c>
      <c r="E90" s="329"/>
      <c r="F90" s="329"/>
      <c r="G90" s="329"/>
      <c r="H90" s="329"/>
      <c r="J90" s="329"/>
      <c r="K90" s="329"/>
      <c r="L90" s="329"/>
      <c r="M90" s="329"/>
      <c r="N90" s="344">
        <f>D90</f>
        <v>14681.14</v>
      </c>
    </row>
    <row r="91" spans="1:17" ht="15" customHeight="1" x14ac:dyDescent="0.35">
      <c r="A91" s="3"/>
      <c r="B91" s="54" t="s">
        <v>280</v>
      </c>
      <c r="C91" s="11"/>
      <c r="D91" s="350">
        <f>IFERROR(D88/D90,"–")</f>
        <v>68.963991709550683</v>
      </c>
      <c r="E91" s="330"/>
      <c r="F91" s="330"/>
      <c r="G91" s="330"/>
      <c r="H91" s="330"/>
      <c r="J91" s="330"/>
      <c r="K91" s="330"/>
      <c r="L91" s="330"/>
      <c r="M91" s="330"/>
      <c r="N91" s="344">
        <f>D91</f>
        <v>68.963991709550683</v>
      </c>
    </row>
    <row r="92" spans="1:17" ht="15" customHeight="1" x14ac:dyDescent="0.35">
      <c r="A92" s="3"/>
      <c r="B92" s="17" t="s">
        <v>281</v>
      </c>
      <c r="C92" s="348" t="s">
        <v>61</v>
      </c>
      <c r="D92" s="349">
        <f>INPUT!H95</f>
        <v>261.3</v>
      </c>
      <c r="E92" s="329"/>
      <c r="F92" s="329"/>
      <c r="G92" s="329"/>
      <c r="H92" s="329"/>
      <c r="J92" s="329"/>
      <c r="K92" s="329"/>
      <c r="L92" s="329"/>
      <c r="M92" s="329"/>
      <c r="N92" s="344">
        <f>D92</f>
        <v>261.3</v>
      </c>
    </row>
    <row r="93" spans="1:17" ht="15" customHeight="1" x14ac:dyDescent="0.35">
      <c r="A93" s="3"/>
      <c r="B93" s="17" t="s">
        <v>282</v>
      </c>
      <c r="C93" s="348" t="s">
        <v>69</v>
      </c>
      <c r="D93" s="349">
        <f>IFERROR(D91/D92-1,"–")</f>
        <v>-0.73607351048775094</v>
      </c>
      <c r="E93" s="329"/>
      <c r="F93" s="329"/>
      <c r="G93" s="329"/>
      <c r="H93" s="329"/>
      <c r="J93" s="329"/>
      <c r="K93" s="329"/>
      <c r="L93" s="329"/>
      <c r="M93" s="329"/>
      <c r="N93" s="344">
        <f>D93</f>
        <v>-0.73607351048775094</v>
      </c>
    </row>
    <row r="94" spans="1:17" ht="15" customHeight="1" x14ac:dyDescent="0.35">
      <c r="A94" s="3"/>
      <c r="B94" s="101" t="s">
        <v>283</v>
      </c>
      <c r="C94" s="349" t="s">
        <v>69</v>
      </c>
      <c r="D94" s="349" t="str">
        <f>IFERROR(IRR(I49:M49),"–")</f>
        <v>–</v>
      </c>
      <c r="E94" s="329"/>
      <c r="F94" s="329"/>
      <c r="G94" s="329"/>
      <c r="H94" s="329"/>
      <c r="I94" s="329"/>
      <c r="J94" s="329"/>
      <c r="K94" s="329"/>
      <c r="L94" s="329"/>
      <c r="M94" s="329"/>
      <c r="N94" s="329"/>
    </row>
    <row r="95" spans="1:17" ht="15" customHeight="1" x14ac:dyDescent="0.35">
      <c r="A95" s="3"/>
      <c r="B95" s="101"/>
      <c r="C95" s="102"/>
      <c r="D95" s="349"/>
      <c r="E95" s="22"/>
      <c r="F95" s="22"/>
      <c r="G95" s="22"/>
      <c r="H95" s="22"/>
      <c r="I95" s="22"/>
      <c r="J95" s="22"/>
      <c r="K95" s="22"/>
      <c r="L95" s="22"/>
      <c r="M95" s="22"/>
      <c r="N95" s="22"/>
    </row>
    <row r="96" spans="1:17" ht="18" customHeight="1" x14ac:dyDescent="0.5">
      <c r="A96" s="7"/>
      <c r="B96" s="49" t="s">
        <v>284</v>
      </c>
      <c r="C96" s="44"/>
      <c r="D96" s="44"/>
      <c r="E96" s="23"/>
      <c r="F96" s="23"/>
      <c r="G96" s="23"/>
      <c r="H96" s="23"/>
      <c r="I96" s="23"/>
      <c r="J96" s="23"/>
      <c r="K96" s="23"/>
      <c r="L96" s="23"/>
      <c r="M96" s="353" t="str">
        <f>ROUND(C98*100,1)&amp;"%"</f>
        <v>8,3%</v>
      </c>
      <c r="N96" s="353" t="str">
        <f>ROUND(C99*100,1)&amp;"%"</f>
        <v>9,3%</v>
      </c>
      <c r="O96" s="365" t="str">
        <f>ROUND(C100*100,1)&amp;"%"</f>
        <v>10,3%</v>
      </c>
      <c r="P96" s="365" t="str">
        <f>ROUND(C101*100,1)&amp;"%"</f>
        <v>11,3%</v>
      </c>
      <c r="Q96" s="365" t="str">
        <f>ROUND(C102*100,1)&amp;"%"</f>
        <v>12,3%</v>
      </c>
    </row>
    <row r="97" spans="1:17" ht="15" customHeight="1" x14ac:dyDescent="0.35">
      <c r="A97" s="1"/>
      <c r="B97" s="16" t="s">
        <v>285</v>
      </c>
      <c r="C97" s="88" t="s">
        <v>286</v>
      </c>
      <c r="D97" s="372">
        <v>0</v>
      </c>
      <c r="E97" s="372">
        <v>0.01</v>
      </c>
      <c r="F97" s="372">
        <v>0.02</v>
      </c>
      <c r="G97" s="372">
        <v>0.03</v>
      </c>
      <c r="H97" s="372">
        <v>0.04</v>
      </c>
      <c r="I97" s="88"/>
      <c r="J97" s="88"/>
      <c r="K97" s="88"/>
      <c r="L97" s="88" t="s">
        <v>287</v>
      </c>
      <c r="M97" s="369">
        <f>D98</f>
        <v>64.8920685344833</v>
      </c>
      <c r="N97" s="369">
        <f>D99</f>
        <v>56.199348705791536</v>
      </c>
      <c r="O97" s="366">
        <f>D100</f>
        <v>49.314380609741562</v>
      </c>
      <c r="P97" s="366">
        <f>D101</f>
        <v>43.749194413465027</v>
      </c>
      <c r="Q97" s="366">
        <f>D102</f>
        <v>39.175420229627314</v>
      </c>
    </row>
    <row r="98" spans="1:17" ht="15" customHeight="1" x14ac:dyDescent="0.35">
      <c r="A98" s="3"/>
      <c r="B98" s="14"/>
      <c r="C98" s="283">
        <f>D63-0.02</f>
        <v>8.2613857440000008E-2</v>
      </c>
      <c r="D98" s="283">
        <f>IFERROR((D82+((D69*(1+0))/(C98-0))/(1+C98)^5+D86+D87)/D90,"–")</f>
        <v>64.8920685344833</v>
      </c>
      <c r="E98" s="282">
        <f>IFERROR((D82+((D69*(1+0.01))/(C98-0.01))/(1+C98)^5+D86+D87)/D90,"–")</f>
        <v>73.645639879924843</v>
      </c>
      <c r="F98" s="282">
        <f>IFERROR((D82+((D69*(1+0.02))/(C98-0.02))/(1+C98)^5+D86+D87)/D90,"–")</f>
        <v>85.195260439816948</v>
      </c>
      <c r="G98" s="282">
        <f>IFERROR((D82+((D69*(1+0.03))/(C98-0.03))/(1+C98)^5+D86+D87)/D90,"–")</f>
        <v>101.13521507588401</v>
      </c>
      <c r="H98" s="282">
        <f>IFERROR((D82+((D69*(1+0.04))/(C98-0.04))/(1+C98)^5+D86+D87)/D90,"–")</f>
        <v>124.55628294302169</v>
      </c>
      <c r="I98" s="363"/>
      <c r="J98" s="363"/>
      <c r="K98" s="363"/>
      <c r="L98" s="367" t="s">
        <v>288</v>
      </c>
      <c r="M98" s="370">
        <f>E98</f>
        <v>73.645639879924843</v>
      </c>
      <c r="N98" s="370">
        <f>E99</f>
        <v>62.814751929561361</v>
      </c>
      <c r="O98" s="368">
        <f>E100</f>
        <v>54.449803819590251</v>
      </c>
      <c r="P98" s="368">
        <f>E101</f>
        <v>47.822774925682097</v>
      </c>
      <c r="Q98" s="368">
        <f>E102</f>
        <v>42.464686459097159</v>
      </c>
    </row>
    <row r="99" spans="1:17" ht="15" customHeight="1" x14ac:dyDescent="0.35">
      <c r="A99" s="3"/>
      <c r="B99" s="14"/>
      <c r="C99" s="283">
        <f>D63-0.01</f>
        <v>9.2613857440000016E-2</v>
      </c>
      <c r="D99" s="283">
        <f>IFERROR((D82+((D69*(1+0))/(C99-0))/(1+C99)^5+D86+D87)/D90,"–")</f>
        <v>56.199348705791536</v>
      </c>
      <c r="E99" s="282">
        <f>IFERROR((D82+((D69*(1+0.01))/(C99-0.01))/(1+C99)^5+D86+D87)/D90,"–")</f>
        <v>62.814751929561361</v>
      </c>
      <c r="F99" s="282">
        <f>IFERROR((D82+((D69*(1+0.02))/(C99-0.02))/(1+C99)^5+D86+D87)/D90,"–")</f>
        <v>71.252232496966613</v>
      </c>
      <c r="G99" s="282">
        <f>IFERROR((D82+((D69*(1+0.03))/(C99-0.03))/(1+C99)^5+D86+D87)/D90,"–")</f>
        <v>82.384797159930258</v>
      </c>
      <c r="H99" s="282">
        <f>IFERROR((D82+((D69*(1+0.04))/(C99-0.04))/(1+C99)^5+D86+D87)/D90,"–")</f>
        <v>97.749161278259464</v>
      </c>
      <c r="I99" s="363"/>
      <c r="J99" s="363"/>
      <c r="K99" s="363"/>
      <c r="L99" s="367" t="s">
        <v>289</v>
      </c>
      <c r="M99" s="370">
        <f>F98</f>
        <v>85.195260439816948</v>
      </c>
      <c r="N99" s="370">
        <f>F99</f>
        <v>71.252232496966613</v>
      </c>
      <c r="O99" s="368">
        <f>F100</f>
        <v>60.828462333777175</v>
      </c>
      <c r="P99" s="368">
        <f>F101</f>
        <v>52.776046798310574</v>
      </c>
      <c r="Q99" s="368">
        <f>F102</f>
        <v>46.395048601249769</v>
      </c>
    </row>
    <row r="100" spans="1:17" ht="15" customHeight="1" x14ac:dyDescent="0.35">
      <c r="A100" s="3"/>
      <c r="B100" s="14"/>
      <c r="C100" s="284">
        <f>D63</f>
        <v>0.10261385744000001</v>
      </c>
      <c r="D100" s="284">
        <f>IFERROR((D82+((D69*(1+0))/(C100-0))/(1+C100)^5+D86+D87)/D90,"–")</f>
        <v>49.314380609741562</v>
      </c>
      <c r="E100" s="282">
        <f>IFERROR((D82+((D69*(1+0.01))/(C100-0.01))/(1+C100)^5+D86+D87)/D90,"–")</f>
        <v>54.449803819590251</v>
      </c>
      <c r="F100" s="285">
        <f>IFERROR((D82+((D69*(1+0.02))/(C100-0.02))/(1+C100)^5+D86+D87)/D90,"–")</f>
        <v>60.828462333777175</v>
      </c>
      <c r="G100" s="339">
        <f>IFERROR((D82+((D69*(1+0.03))/(C100-0.03))/(1+C100)^5+D86+D87)/D90,"–")</f>
        <v>68.963991709550683</v>
      </c>
      <c r="H100" s="282">
        <f>IFERROR((D82+((D69*(1+0.04))/(C100-0.04))/(1+C100)^5+D86+D87)/D90,"–")</f>
        <v>79.698156501955211</v>
      </c>
      <c r="I100" s="363"/>
      <c r="J100" s="363"/>
      <c r="K100" s="363"/>
      <c r="L100" s="367" t="s">
        <v>290</v>
      </c>
      <c r="M100" s="371">
        <f>G98</f>
        <v>101.13521507588401</v>
      </c>
      <c r="N100" s="371">
        <f>G99</f>
        <v>82.384797159930258</v>
      </c>
      <c r="O100" s="366">
        <f>G100</f>
        <v>68.963991709550683</v>
      </c>
      <c r="P100" s="366">
        <f>G101</f>
        <v>58.928456933239858</v>
      </c>
      <c r="Q100" s="366">
        <f>G102</f>
        <v>51.174174038830145</v>
      </c>
    </row>
    <row r="101" spans="1:17" ht="15" customHeight="1" x14ac:dyDescent="0.35">
      <c r="A101" s="3"/>
      <c r="B101" s="14"/>
      <c r="C101" s="283">
        <f>D63+0.01</f>
        <v>0.11261385744000001</v>
      </c>
      <c r="D101" s="283">
        <f>IFERROR((D82+((D69*(1+0))/(C101-0))/(1+C101)^5+D86+D87)/D90,"–")</f>
        <v>43.749194413465027</v>
      </c>
      <c r="E101" s="282">
        <f>IFERROR((D82+((D69*(1+0.01))/(C101-0.01))/(1+C101)^5+D86+D87)/D90,"–")</f>
        <v>47.822774925682097</v>
      </c>
      <c r="F101" s="282">
        <f>IFERROR((D82+((D69*(1+0.02))/(C101-0.02))/(1+C101)^5+D86+D87)/D90,"–")</f>
        <v>52.776046798310574</v>
      </c>
      <c r="G101" s="282">
        <f>IFERROR((D82+((D69*(1+0.03))/(C101-0.03))/(1+C101)^5+D86+D87)/D90,"–")</f>
        <v>58.928456933239858</v>
      </c>
      <c r="H101" s="282">
        <f>IFERROR((D82+((D69*(1+0.04))/(C101-0.04))/(1+C101)^5+D86+D87)/D90,"–")</f>
        <v>66.775422446944589</v>
      </c>
      <c r="I101" s="363"/>
      <c r="J101" s="363"/>
      <c r="K101" s="363"/>
      <c r="L101" s="367" t="s">
        <v>291</v>
      </c>
      <c r="M101" s="370">
        <f>H98</f>
        <v>124.55628294302169</v>
      </c>
      <c r="N101" s="370">
        <f>H99</f>
        <v>97.749161278259464</v>
      </c>
      <c r="O101" s="368">
        <f>H100</f>
        <v>79.698156501955211</v>
      </c>
      <c r="P101" s="368">
        <f>H101</f>
        <v>66.775422446944589</v>
      </c>
      <c r="Q101" s="368">
        <f>H102</f>
        <v>57.110278604531082</v>
      </c>
    </row>
    <row r="102" spans="1:17" ht="15" customHeight="1" x14ac:dyDescent="0.35">
      <c r="A102" s="3"/>
      <c r="B102" s="14"/>
      <c r="C102" s="283">
        <f>D63+0.02</f>
        <v>0.12261385744000002</v>
      </c>
      <c r="D102" s="283">
        <f>IFERROR((D82+((D69*(1+0))/(C102-0))/(1+C102)^5+D86+D87)/D90,"–")</f>
        <v>39.175420229627314</v>
      </c>
      <c r="E102" s="282">
        <f>IFERROR((D82+((D69*(1+0.01))/(C102-0.01))/(1+C102)^5+D86+D87)/D90,"–")</f>
        <v>42.464686459097159</v>
      </c>
      <c r="F102" s="282">
        <f>IFERROR((D82+((D69*(1+0.02))/(C102-0.02))/(1+C102)^5+D86+D87)/D90,"–")</f>
        <v>46.395048601249769</v>
      </c>
      <c r="G102" s="282">
        <f>IFERROR((D82+((D69*(1+0.03))/(C102-0.03))/(1+C102)^5+D86+D87)/D90,"–")</f>
        <v>51.174174038830145</v>
      </c>
      <c r="H102" s="282">
        <f>IFERROR((D82+((D69*(1+0.04))/(C102-0.04))/(1+C102)^5+D86+D87)/D90,"–")</f>
        <v>57.110278604531082</v>
      </c>
      <c r="I102" s="22"/>
      <c r="J102" s="22"/>
      <c r="K102" s="22"/>
      <c r="L102" s="22"/>
      <c r="M102" s="22"/>
      <c r="N102" s="22"/>
    </row>
    <row r="103" spans="1:17" ht="15" customHeight="1" x14ac:dyDescent="0.35">
      <c r="A103" s="3"/>
      <c r="B103" s="18" t="s">
        <v>292</v>
      </c>
      <c r="C103" s="9"/>
      <c r="D103" s="9"/>
      <c r="E103" s="22"/>
      <c r="F103" s="22"/>
      <c r="G103" s="22"/>
      <c r="H103" s="22"/>
      <c r="I103" s="22"/>
      <c r="J103" s="22"/>
      <c r="K103" s="22"/>
      <c r="L103" s="22"/>
      <c r="M103" s="22"/>
      <c r="N103" s="22"/>
    </row>
    <row r="104" spans="1:17" ht="15" customHeight="1" x14ac:dyDescent="0.35">
      <c r="A104" s="3"/>
      <c r="B104" s="14"/>
      <c r="C104" s="9"/>
      <c r="D104" s="9"/>
      <c r="E104" s="22"/>
      <c r="F104" s="22"/>
      <c r="G104" s="22"/>
      <c r="H104" s="22"/>
      <c r="I104" s="22"/>
      <c r="J104" s="22"/>
      <c r="K104" s="22"/>
      <c r="L104" s="22"/>
      <c r="M104" s="22"/>
      <c r="N104" s="22"/>
    </row>
    <row r="105" spans="1:17" ht="18" customHeight="1" x14ac:dyDescent="0.5">
      <c r="A105" s="7"/>
      <c r="B105" s="49" t="s">
        <v>293</v>
      </c>
      <c r="C105" s="44"/>
      <c r="D105" s="44"/>
      <c r="E105" s="23"/>
      <c r="F105" s="23"/>
      <c r="G105" s="23"/>
      <c r="H105" s="23"/>
      <c r="I105" s="23"/>
      <c r="J105" s="23"/>
      <c r="K105" s="23"/>
      <c r="L105" s="23"/>
      <c r="M105" s="23"/>
      <c r="N105" s="23"/>
    </row>
    <row r="106" spans="1:17" ht="15" customHeight="1" x14ac:dyDescent="0.35">
      <c r="A106" s="1"/>
      <c r="B106" s="16" t="s">
        <v>2</v>
      </c>
      <c r="C106" s="88" t="s">
        <v>235</v>
      </c>
      <c r="D106" s="88"/>
      <c r="E106" s="24" t="s">
        <v>294</v>
      </c>
      <c r="F106" s="24" t="s">
        <v>295</v>
      </c>
      <c r="G106" s="24" t="s">
        <v>296</v>
      </c>
      <c r="H106" s="24"/>
      <c r="I106" s="24"/>
      <c r="J106" s="24"/>
      <c r="K106" s="24"/>
      <c r="L106" s="24"/>
      <c r="M106" s="24"/>
    </row>
    <row r="107" spans="1:17" ht="15" customHeight="1" x14ac:dyDescent="0.35">
      <c r="A107" s="3"/>
      <c r="B107" s="17" t="s">
        <v>297</v>
      </c>
      <c r="C107" s="9" t="s">
        <v>69</v>
      </c>
      <c r="D107" s="346">
        <f>D29-0.03</f>
        <v>3.4255117828327492E-2</v>
      </c>
      <c r="E107" s="280">
        <f>D29-0.02</f>
        <v>4.4255117828327487E-2</v>
      </c>
      <c r="F107" s="280">
        <f>D29</f>
        <v>6.425511782832749E-2</v>
      </c>
      <c r="G107" s="286">
        <f>D29+0.02</f>
        <v>8.4255117828327494E-2</v>
      </c>
      <c r="H107" s="22"/>
      <c r="I107" s="22"/>
      <c r="J107" s="22"/>
      <c r="K107" s="22"/>
      <c r="L107" s="22"/>
      <c r="M107" s="22"/>
    </row>
    <row r="108" spans="1:17" ht="15" customHeight="1" x14ac:dyDescent="0.35">
      <c r="A108" s="3"/>
      <c r="B108" s="17" t="s">
        <v>114</v>
      </c>
      <c r="C108" s="9" t="s">
        <v>69</v>
      </c>
      <c r="D108" s="346" t="str">
        <f>IFERROR(D15/D9-0.03,"–")</f>
        <v>–</v>
      </c>
      <c r="E108" s="280">
        <f>IFERROR(H15/H9-0.02,"–")</f>
        <v>0.29970799762591882</v>
      </c>
      <c r="F108" s="280">
        <f>IFERROR(H15/H9,"–")</f>
        <v>0.31970799762591884</v>
      </c>
      <c r="G108" s="286">
        <f>IFERROR(H15/H9+0.02,"–")</f>
        <v>0.33970799762591886</v>
      </c>
      <c r="H108" s="22"/>
      <c r="I108" s="22"/>
      <c r="J108" s="22"/>
      <c r="K108" s="22"/>
      <c r="L108" s="22"/>
      <c r="M108" s="22"/>
    </row>
    <row r="109" spans="1:17" ht="15" customHeight="1" x14ac:dyDescent="0.35">
      <c r="A109" s="3"/>
      <c r="B109" s="17" t="s">
        <v>78</v>
      </c>
      <c r="C109" s="9" t="s">
        <v>69</v>
      </c>
      <c r="D109" s="346">
        <f>D67-0.01</f>
        <v>1.9999999999999997E-2</v>
      </c>
      <c r="E109" s="280">
        <f>D67-0.01</f>
        <v>1.9999999999999997E-2</v>
      </c>
      <c r="F109" s="280">
        <f>D67</f>
        <v>0.03</v>
      </c>
      <c r="G109" s="286">
        <f>D67+0.01</f>
        <v>0.04</v>
      </c>
      <c r="H109" s="22"/>
      <c r="I109" s="22"/>
      <c r="J109" s="22"/>
      <c r="K109" s="22"/>
      <c r="L109" s="22"/>
      <c r="M109" s="22"/>
    </row>
    <row r="110" spans="1:17" ht="15" customHeight="1" x14ac:dyDescent="0.35">
      <c r="A110" s="3"/>
      <c r="B110" s="17" t="s">
        <v>77</v>
      </c>
      <c r="C110" s="9" t="s">
        <v>69</v>
      </c>
      <c r="D110" s="346">
        <f>D63+0.01</f>
        <v>0.11261385744000001</v>
      </c>
      <c r="E110" s="280">
        <f>D63+0.01</f>
        <v>0.11261385744000001</v>
      </c>
      <c r="F110" s="280">
        <f>D63</f>
        <v>0.10261385744000001</v>
      </c>
      <c r="G110" s="286">
        <f>D63-0.01</f>
        <v>9.2613857440000016E-2</v>
      </c>
      <c r="H110" s="22"/>
      <c r="I110" s="22"/>
      <c r="J110" s="22"/>
      <c r="K110" s="22"/>
      <c r="L110" s="22"/>
      <c r="M110" s="22"/>
    </row>
    <row r="111" spans="1:17" ht="15" customHeight="1" x14ac:dyDescent="0.35">
      <c r="A111" s="3"/>
      <c r="B111" s="17" t="s">
        <v>298</v>
      </c>
      <c r="C111" s="9" t="s">
        <v>61</v>
      </c>
      <c r="D111" s="346">
        <f>IFERROR((D82+((D69*(1+D109))/(D110-D109))/(1+D110)^5+D86+D87)/D90,"–")</f>
        <v>52.776046798310574</v>
      </c>
      <c r="E111" s="282">
        <f>IFERROR((D82+((D69*(1+E109))/(E110-E109))/(1+E110)^5+D86+D87)/D90,"–")</f>
        <v>52.776046798310574</v>
      </c>
      <c r="F111" s="287">
        <f>IFERROR((D82+((D69*(1+F109))/(F110-F109))/(1+F110)^5+D86+D87)/D90,"–")</f>
        <v>68.963991709550683</v>
      </c>
      <c r="G111" s="288">
        <f>IFERROR((D82+((D69*(1+G109))/(G110-G109))/(1+G110)^5+D86+D87)/D90,"–")</f>
        <v>97.749161278259464</v>
      </c>
      <c r="H111" s="22"/>
      <c r="I111" s="22"/>
      <c r="J111" s="22"/>
      <c r="K111" s="22"/>
      <c r="L111" s="22"/>
      <c r="M111" s="22"/>
    </row>
    <row r="112" spans="1:17" ht="15" customHeight="1" x14ac:dyDescent="0.35">
      <c r="A112" s="3"/>
      <c r="B112" s="14"/>
      <c r="C112" s="9"/>
      <c r="D112" s="9"/>
      <c r="E112" s="22"/>
      <c r="F112" s="22"/>
      <c r="G112" s="22"/>
      <c r="H112" s="22"/>
      <c r="I112" s="22"/>
      <c r="J112" s="22"/>
      <c r="K112" s="22"/>
      <c r="L112" s="22"/>
      <c r="M112" s="22"/>
      <c r="N112" s="22"/>
    </row>
    <row r="113" spans="1:14" ht="15" customHeight="1" x14ac:dyDescent="0.35">
      <c r="A113" s="4"/>
      <c r="B113" s="32" t="s">
        <v>97</v>
      </c>
      <c r="C113" s="4"/>
      <c r="D113" s="4"/>
      <c r="E113" s="33"/>
      <c r="F113" s="33"/>
      <c r="G113" s="33"/>
      <c r="H113" s="33"/>
      <c r="I113" s="33"/>
      <c r="J113" s="33"/>
      <c r="K113" s="33"/>
      <c r="L113" s="33"/>
      <c r="M113" s="33"/>
      <c r="N113" s="33"/>
    </row>
    <row r="114" spans="1:14" ht="15" customHeight="1" x14ac:dyDescent="0.35">
      <c r="A114" s="4"/>
      <c r="B114" s="32" t="s">
        <v>98</v>
      </c>
      <c r="C114" s="4"/>
      <c r="D114" s="4"/>
      <c r="E114" s="33"/>
      <c r="F114" s="33"/>
      <c r="G114" s="33"/>
      <c r="H114" s="33"/>
      <c r="I114" s="33"/>
      <c r="J114" s="33"/>
      <c r="K114" s="33"/>
      <c r="L114" s="33"/>
      <c r="M114" s="33"/>
      <c r="N114" s="33"/>
    </row>
    <row r="115" spans="1:14" ht="15" customHeight="1" x14ac:dyDescent="0.35">
      <c r="A115" s="4"/>
      <c r="B115" s="32" t="s">
        <v>99</v>
      </c>
      <c r="C115" s="4"/>
      <c r="D115" s="4"/>
      <c r="E115" s="33"/>
      <c r="F115" s="33"/>
      <c r="G115" s="33"/>
      <c r="H115" s="33"/>
      <c r="I115" s="33"/>
      <c r="J115" s="33"/>
      <c r="K115" s="33"/>
      <c r="L115" s="33"/>
      <c r="M115" s="33"/>
      <c r="N115" s="33"/>
    </row>
    <row r="116" spans="1:14" ht="15" customHeight="1" x14ac:dyDescent="0.3">
      <c r="B116" s="47"/>
    </row>
    <row r="117" spans="1:14" ht="15" customHeight="1" x14ac:dyDescent="0.3">
      <c r="A117" s="89"/>
      <c r="B117" s="91" t="s">
        <v>299</v>
      </c>
      <c r="C117" s="91" t="str">
        <f>TEXT(INPUT!D117+1,"0")&amp;"F"</f>
        <v>2026F</v>
      </c>
      <c r="D117" s="91" t="str">
        <f>TEXT(INPUT!D117+2,"0")&amp;"F"</f>
        <v>2027F</v>
      </c>
      <c r="E117" s="91" t="str">
        <f>TEXT(INPUT!D117+3,"0")&amp;"F"</f>
        <v>2028F</v>
      </c>
      <c r="F117" s="91" t="str">
        <f>TEXT(INPUT!D117+4,"0")&amp;"F"</f>
        <v>2029F</v>
      </c>
      <c r="G117" s="91" t="str">
        <f>TEXT(INPUT!D117+5,"0")&amp;"F"</f>
        <v>2030F</v>
      </c>
      <c r="H117" s="90"/>
      <c r="I117" s="90"/>
      <c r="J117" s="90"/>
      <c r="K117" s="90"/>
      <c r="L117" s="90"/>
      <c r="M117" s="90"/>
      <c r="N117" s="90"/>
    </row>
    <row r="118" spans="1:14" ht="15" customHeight="1" x14ac:dyDescent="0.3">
      <c r="B118" s="47" t="s">
        <v>300</v>
      </c>
      <c r="C118" s="289">
        <f>IF(I49=0,NA(),I49)</f>
        <v>98291.509228696013</v>
      </c>
      <c r="D118" s="289">
        <f>IF(J49=0,NA(),J49)</f>
        <v>100141.69792260004</v>
      </c>
      <c r="E118" s="289">
        <f>IF(K49=0,NA(),K49)</f>
        <v>102026.71361458262</v>
      </c>
      <c r="F118" s="289">
        <f>IF(L49=0,NA(),L49)</f>
        <v>103947.21187010001</v>
      </c>
      <c r="G118" s="289">
        <f>IF(M49=0,NA(),M49)</f>
        <v>105903.86059463458</v>
      </c>
      <c r="H118" s="90"/>
      <c r="I118" s="90"/>
      <c r="J118" s="90"/>
      <c r="K118" s="90"/>
      <c r="L118" s="90"/>
      <c r="M118" s="90"/>
      <c r="N118" s="90"/>
    </row>
    <row r="119" spans="1:14" ht="15" customHeight="1" x14ac:dyDescent="0.3">
      <c r="B119" s="47"/>
      <c r="C119" s="21"/>
      <c r="H119" s="90"/>
      <c r="I119" s="90"/>
      <c r="J119" s="90"/>
      <c r="K119" s="90"/>
      <c r="L119" s="90"/>
      <c r="M119" s="90"/>
      <c r="N119" s="90"/>
    </row>
    <row r="120" spans="1:14" ht="15" customHeight="1" x14ac:dyDescent="0.3">
      <c r="A120" s="89"/>
      <c r="B120" s="91" t="s">
        <v>301</v>
      </c>
      <c r="C120" s="373" t="str">
        <f>IF(I9=0,NA(),C117)</f>
        <v>2026F</v>
      </c>
      <c r="D120" s="373" t="str">
        <f>IF(J9=0,NA(),D117)</f>
        <v>2027F</v>
      </c>
      <c r="E120" s="373" t="str">
        <f>IF(K9=0,NA(),E117)</f>
        <v>2028F</v>
      </c>
      <c r="F120" s="373" t="str">
        <f>IF(L9=0,NA(),F117)</f>
        <v>2029F</v>
      </c>
      <c r="G120" s="373" t="str">
        <f>IF(M9=0,NA(),G117)</f>
        <v>2030F</v>
      </c>
      <c r="H120" s="90"/>
      <c r="I120" s="90"/>
      <c r="J120" s="90"/>
      <c r="K120" s="90"/>
      <c r="L120" s="90"/>
      <c r="M120" s="90"/>
      <c r="N120" s="90"/>
    </row>
    <row r="121" spans="1:14" ht="15" customHeight="1" x14ac:dyDescent="0.3">
      <c r="B121" s="47" t="s">
        <v>7</v>
      </c>
      <c r="C121" s="290">
        <f>IF(I9=0,NA(),I9)</f>
        <v>423994.60010529775</v>
      </c>
      <c r="D121" s="290">
        <f>IF(J9=0,NA(),J9)</f>
        <v>431975.65586023522</v>
      </c>
      <c r="E121" s="289">
        <f>IF(K9=0,NA(),K9)</f>
        <v>440106.94289393805</v>
      </c>
      <c r="F121" s="289">
        <f>IF(L9=0,NA(),L9)</f>
        <v>448391.28908254346</v>
      </c>
      <c r="G121" s="289">
        <f>IF(M9=0,NA(),M9)</f>
        <v>456831.57553267118</v>
      </c>
      <c r="H121" s="90"/>
      <c r="I121" s="90"/>
      <c r="J121" s="90"/>
      <c r="K121" s="90"/>
      <c r="L121" s="90"/>
      <c r="M121" s="90"/>
      <c r="N121" s="90"/>
    </row>
    <row r="122" spans="1:14" ht="15" customHeight="1" x14ac:dyDescent="0.3">
      <c r="B122" s="47"/>
    </row>
    <row r="123" spans="1:14" ht="15" customHeight="1" x14ac:dyDescent="0.3">
      <c r="B123" s="47"/>
    </row>
    <row r="124" spans="1:14" ht="15" customHeight="1" x14ac:dyDescent="0.3">
      <c r="B124" s="47"/>
    </row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32"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21"/>
  <sheetViews>
    <sheetView showGridLines="0" zoomScale="79" zoomScaleNormal="100" workbookViewId="0">
      <selection activeCell="N38" sqref="N38"/>
    </sheetView>
  </sheetViews>
  <sheetFormatPr baseColWidth="10" defaultRowHeight="14.4" x14ac:dyDescent="0.3"/>
  <cols>
    <col min="1" max="1" width="6.88671875" customWidth="1"/>
    <col min="2" max="2" width="34.88671875" style="19" customWidth="1"/>
    <col min="3" max="3" width="11.6640625" customWidth="1"/>
    <col min="4" max="4" width="13.33203125" style="21" customWidth="1"/>
    <col min="5" max="6" width="14.44140625" style="21" customWidth="1"/>
    <col min="7" max="11" width="12" style="21" customWidth="1"/>
    <col min="12" max="12" width="16.88671875" style="21" customWidth="1"/>
    <col min="13" max="14" width="11.5546875" style="21" customWidth="1"/>
  </cols>
  <sheetData>
    <row r="1" spans="1:15" ht="54.9" customHeight="1" x14ac:dyDescent="0.6">
      <c r="A1" s="223"/>
      <c r="B1" s="104" t="s">
        <v>100</v>
      </c>
      <c r="C1" s="5"/>
      <c r="D1" s="29"/>
      <c r="E1" s="29"/>
      <c r="F1" s="29"/>
      <c r="G1" s="29"/>
      <c r="H1" s="29"/>
      <c r="I1" s="29"/>
      <c r="J1" s="29"/>
      <c r="K1" s="103" t="s">
        <v>302</v>
      </c>
      <c r="L1" s="29"/>
      <c r="M1" s="231"/>
      <c r="N1" s="231"/>
      <c r="O1" s="231"/>
    </row>
    <row r="2" spans="1:15" ht="15" customHeight="1" x14ac:dyDescent="0.35">
      <c r="A2" s="3"/>
      <c r="B2" s="14"/>
      <c r="C2" s="3"/>
      <c r="D2" s="22"/>
      <c r="E2" s="22"/>
      <c r="F2" s="22"/>
      <c r="G2" s="22"/>
      <c r="H2" s="22"/>
      <c r="I2" s="22"/>
      <c r="J2" s="22"/>
      <c r="K2" s="22"/>
      <c r="L2" s="22"/>
    </row>
    <row r="3" spans="1:15" ht="18" customHeight="1" x14ac:dyDescent="0.5">
      <c r="A3" s="112" t="s">
        <v>5</v>
      </c>
      <c r="B3" s="15" t="s">
        <v>303</v>
      </c>
      <c r="C3" s="7"/>
      <c r="D3" s="23"/>
      <c r="E3" s="23"/>
      <c r="F3" s="23"/>
      <c r="G3" s="23"/>
      <c r="H3" s="23"/>
      <c r="I3" s="23"/>
      <c r="J3" s="23"/>
      <c r="K3" s="23"/>
      <c r="L3" s="23"/>
      <c r="M3" s="95"/>
      <c r="N3" s="95"/>
    </row>
    <row r="4" spans="1:15" ht="15" customHeight="1" x14ac:dyDescent="0.35">
      <c r="A4" s="3"/>
      <c r="B4" s="12" t="s">
        <v>1</v>
      </c>
      <c r="C4" s="3"/>
      <c r="D4" s="22"/>
      <c r="E4" s="22"/>
      <c r="F4" s="22"/>
      <c r="G4" s="22"/>
      <c r="H4" s="22"/>
      <c r="I4" s="22"/>
      <c r="J4" s="22"/>
      <c r="K4" s="22"/>
      <c r="L4" s="22"/>
    </row>
    <row r="5" spans="1:15" ht="15" customHeight="1" x14ac:dyDescent="0.35">
      <c r="A5" s="3"/>
      <c r="B5" s="14"/>
      <c r="C5" s="3"/>
      <c r="D5" s="22"/>
      <c r="E5" s="22"/>
      <c r="F5" s="22"/>
      <c r="G5" s="22"/>
      <c r="H5" s="22"/>
      <c r="I5" s="22"/>
      <c r="J5" s="22"/>
      <c r="K5" s="22"/>
      <c r="L5" s="22"/>
    </row>
    <row r="6" spans="1:15" ht="18" customHeight="1" x14ac:dyDescent="0.5">
      <c r="A6" s="112" t="s">
        <v>5</v>
      </c>
      <c r="B6" s="15" t="s">
        <v>304</v>
      </c>
      <c r="C6" s="7"/>
      <c r="D6" s="23"/>
      <c r="E6" s="23"/>
      <c r="F6" s="23"/>
      <c r="G6" s="23"/>
      <c r="H6" s="23"/>
      <c r="I6" s="23"/>
      <c r="J6" s="23"/>
      <c r="K6" s="23"/>
      <c r="L6" s="23"/>
      <c r="M6" s="95"/>
      <c r="N6" s="95"/>
    </row>
    <row r="7" spans="1:15" ht="15" customHeight="1" x14ac:dyDescent="0.35">
      <c r="A7" s="224"/>
      <c r="B7" s="16"/>
      <c r="C7" s="1"/>
      <c r="D7" s="34" t="s">
        <v>305</v>
      </c>
      <c r="E7" s="34" t="s">
        <v>306</v>
      </c>
      <c r="F7" s="34" t="s">
        <v>307</v>
      </c>
      <c r="G7" s="34" t="s">
        <v>308</v>
      </c>
      <c r="H7" s="34" t="s">
        <v>309</v>
      </c>
      <c r="I7" s="34" t="s">
        <v>310</v>
      </c>
      <c r="J7" s="34" t="s">
        <v>311</v>
      </c>
      <c r="K7" s="34" t="s">
        <v>312</v>
      </c>
      <c r="L7" s="224"/>
    </row>
    <row r="8" spans="1:15" ht="15" customHeight="1" x14ac:dyDescent="0.35">
      <c r="A8" s="230"/>
      <c r="B8" s="28" t="s">
        <v>313</v>
      </c>
      <c r="C8" s="9" t="s">
        <v>314</v>
      </c>
      <c r="D8" s="31" t="s">
        <v>315</v>
      </c>
      <c r="E8" s="31" t="s">
        <v>8</v>
      </c>
      <c r="F8" s="31" t="s">
        <v>8</v>
      </c>
      <c r="G8" s="31" t="s">
        <v>8</v>
      </c>
      <c r="H8" s="31" t="s">
        <v>67</v>
      </c>
      <c r="I8" s="31" t="s">
        <v>67</v>
      </c>
      <c r="J8" s="31" t="s">
        <v>315</v>
      </c>
      <c r="K8" s="31" t="s">
        <v>67</v>
      </c>
    </row>
    <row r="9" spans="1:15" ht="15" customHeight="1" x14ac:dyDescent="0.35">
      <c r="A9" s="3"/>
      <c r="B9" s="39" t="s">
        <v>316</v>
      </c>
      <c r="C9" s="9" t="s">
        <v>317</v>
      </c>
      <c r="D9" s="437">
        <v>370.79</v>
      </c>
      <c r="E9" s="438">
        <v>2804095.39</v>
      </c>
      <c r="F9" s="438">
        <v>305453.01</v>
      </c>
      <c r="G9" s="438">
        <v>175258.99</v>
      </c>
      <c r="H9" s="439">
        <f>IFERROR(E9/G9,"–")</f>
        <v>15.99972355198441</v>
      </c>
      <c r="I9" s="439">
        <f>IFERROR(E9/F9,"–")</f>
        <v>9.180120339950161</v>
      </c>
      <c r="J9" s="437">
        <v>15.98</v>
      </c>
      <c r="K9" s="439">
        <f>IFERROR(D9/J9,"–")</f>
        <v>23.203379224030037</v>
      </c>
    </row>
    <row r="10" spans="1:15" ht="15" customHeight="1" x14ac:dyDescent="0.35">
      <c r="A10" s="3"/>
      <c r="B10" s="39" t="s">
        <v>318</v>
      </c>
      <c r="C10" s="9" t="s">
        <v>319</v>
      </c>
      <c r="D10" s="437">
        <v>316.08</v>
      </c>
      <c r="E10" s="438">
        <v>3767280.86</v>
      </c>
      <c r="F10" s="438">
        <v>402836</v>
      </c>
      <c r="G10" s="438">
        <v>150175.01</v>
      </c>
      <c r="H10" s="439">
        <f>IFERROR(E10/G10,"–")</f>
        <v>25.085937134280861</v>
      </c>
      <c r="I10" s="439">
        <f>IFERROR(E10/F10,"–")</f>
        <v>9.3518971988600814</v>
      </c>
      <c r="J10" s="437">
        <v>10.81</v>
      </c>
      <c r="K10" s="439">
        <f>IFERROR(D10/J10,"–")</f>
        <v>29.239592969472707</v>
      </c>
    </row>
    <row r="11" spans="1:15" ht="15" customHeight="1" x14ac:dyDescent="0.35">
      <c r="A11" s="3"/>
      <c r="B11" s="39" t="s">
        <v>320</v>
      </c>
      <c r="C11" s="9" t="s">
        <v>321</v>
      </c>
      <c r="D11" s="437">
        <v>627</v>
      </c>
      <c r="E11" s="438">
        <v>1593036.37</v>
      </c>
      <c r="F11" s="438">
        <v>200966</v>
      </c>
      <c r="G11" s="438">
        <v>101892</v>
      </c>
      <c r="H11" s="439">
        <f>IFERROR(E11/G11,"–")</f>
        <v>15.634557865190596</v>
      </c>
      <c r="I11" s="439">
        <f>IFERROR(E11/F11,"–")</f>
        <v>7.9268949474040387</v>
      </c>
      <c r="J11" s="437">
        <v>23.5</v>
      </c>
      <c r="K11" s="439">
        <f>IFERROR(D11/J11,"–")</f>
        <v>26.680851063829788</v>
      </c>
    </row>
    <row r="12" spans="1:15" ht="15" customHeight="1" x14ac:dyDescent="0.35">
      <c r="A12" s="3"/>
      <c r="B12" s="39" t="s">
        <v>322</v>
      </c>
      <c r="C12" s="9" t="s">
        <v>323</v>
      </c>
      <c r="D12" s="437">
        <v>20.99</v>
      </c>
      <c r="E12" s="438">
        <v>54186.15</v>
      </c>
      <c r="F12" s="438">
        <v>13170287.58</v>
      </c>
      <c r="G12" s="438">
        <v>2036071.01</v>
      </c>
      <c r="H12" s="439">
        <f>IFERROR(E12/G12,"–")</f>
        <v>2.6613094402832247E-2</v>
      </c>
      <c r="I12" s="439">
        <f>IFERROR(E12/F12,"–")</f>
        <v>4.1142723475746613E-3</v>
      </c>
      <c r="J12" s="437">
        <v>1.3</v>
      </c>
      <c r="K12" s="439">
        <f>IFERROR(D12/J12,"–")</f>
        <v>16.146153846153844</v>
      </c>
    </row>
    <row r="13" spans="1:15" ht="15" customHeight="1" x14ac:dyDescent="0.35">
      <c r="A13" s="3"/>
      <c r="B13" s="39" t="s">
        <v>324</v>
      </c>
      <c r="C13" s="9" t="s">
        <v>324</v>
      </c>
      <c r="D13" s="440">
        <v>87.8</v>
      </c>
      <c r="E13" s="441">
        <v>258704.92</v>
      </c>
      <c r="F13" s="441">
        <v>321913</v>
      </c>
      <c r="G13" s="441">
        <v>24292</v>
      </c>
      <c r="H13" s="442">
        <f>IFERROR(E13/G13,"–")</f>
        <v>10.649799110818376</v>
      </c>
      <c r="I13" s="442">
        <f>IFERROR(E13/F13,"–")</f>
        <v>0.80364856343173474</v>
      </c>
      <c r="J13" s="440"/>
      <c r="K13" s="442" t="str">
        <f>IFERROR(D13/J13,"–")</f>
        <v>–</v>
      </c>
    </row>
    <row r="14" spans="1:15" ht="15" customHeight="1" x14ac:dyDescent="0.35">
      <c r="A14" s="3"/>
      <c r="B14" s="14"/>
      <c r="C14" s="9"/>
      <c r="D14" s="22"/>
      <c r="E14" s="22"/>
      <c r="F14" s="22"/>
      <c r="G14" s="22"/>
      <c r="H14" s="22"/>
      <c r="I14" s="22"/>
      <c r="J14" s="22"/>
      <c r="K14" s="22"/>
    </row>
    <row r="15" spans="1:15" ht="15" customHeight="1" x14ac:dyDescent="0.35">
      <c r="A15" s="3"/>
      <c r="B15" s="14" t="s">
        <v>325</v>
      </c>
      <c r="C15" s="9"/>
      <c r="D15" s="281">
        <f t="shared" ref="D15:K15" si="0">IFERROR(AVERAGE(D9:D13),"–")</f>
        <v>284.53199999999998</v>
      </c>
      <c r="E15" s="281">
        <f t="shared" si="0"/>
        <v>1695460.7380000004</v>
      </c>
      <c r="F15" s="281">
        <f t="shared" si="0"/>
        <v>2880291.1179999998</v>
      </c>
      <c r="G15" s="281">
        <f t="shared" si="0"/>
        <v>497537.80199999997</v>
      </c>
      <c r="H15" s="291">
        <f t="shared" si="0"/>
        <v>13.479326151335414</v>
      </c>
      <c r="I15" s="291">
        <f t="shared" si="0"/>
        <v>5.4533350643987184</v>
      </c>
      <c r="J15" s="292">
        <f t="shared" si="0"/>
        <v>12.897499999999999</v>
      </c>
      <c r="K15" s="291">
        <f t="shared" si="0"/>
        <v>23.817494275871596</v>
      </c>
    </row>
    <row r="16" spans="1:15" ht="15" customHeight="1" x14ac:dyDescent="0.35">
      <c r="A16" s="3"/>
      <c r="B16" s="14" t="s">
        <v>326</v>
      </c>
      <c r="C16" s="9"/>
      <c r="D16" s="281">
        <f t="shared" ref="D16:K16" si="1">IFERROR(MEDIAN(D9:D13),"–")</f>
        <v>316.08</v>
      </c>
      <c r="E16" s="281">
        <f t="shared" si="1"/>
        <v>1593036.37</v>
      </c>
      <c r="F16" s="281">
        <f t="shared" si="1"/>
        <v>321913</v>
      </c>
      <c r="G16" s="281">
        <f t="shared" si="1"/>
        <v>150175.01</v>
      </c>
      <c r="H16" s="291">
        <f t="shared" si="1"/>
        <v>15.634557865190596</v>
      </c>
      <c r="I16" s="291">
        <f t="shared" si="1"/>
        <v>7.9268949474040387</v>
      </c>
      <c r="J16" s="292">
        <f t="shared" si="1"/>
        <v>13.395</v>
      </c>
      <c r="K16" s="291">
        <f t="shared" si="1"/>
        <v>24.942115143929911</v>
      </c>
    </row>
    <row r="17" spans="1:14" ht="15" customHeight="1" x14ac:dyDescent="0.35">
      <c r="A17" s="3"/>
      <c r="B17" s="14" t="s">
        <v>327</v>
      </c>
      <c r="C17" s="9"/>
      <c r="D17" s="293">
        <f t="shared" ref="D17:K17" si="2">IFERROR(MAX(D9:D13),"–")</f>
        <v>627</v>
      </c>
      <c r="E17" s="293">
        <f t="shared" si="2"/>
        <v>3767280.86</v>
      </c>
      <c r="F17" s="293">
        <f t="shared" si="2"/>
        <v>13170287.58</v>
      </c>
      <c r="G17" s="293">
        <f t="shared" si="2"/>
        <v>2036071.01</v>
      </c>
      <c r="H17" s="294">
        <f t="shared" si="2"/>
        <v>25.085937134280861</v>
      </c>
      <c r="I17" s="294">
        <f t="shared" si="2"/>
        <v>9.3518971988600814</v>
      </c>
      <c r="J17" s="295">
        <f t="shared" si="2"/>
        <v>23.5</v>
      </c>
      <c r="K17" s="294">
        <f t="shared" si="2"/>
        <v>29.239592969472707</v>
      </c>
    </row>
    <row r="18" spans="1:14" ht="15" customHeight="1" thickBot="1" x14ac:dyDescent="0.4">
      <c r="A18" s="3"/>
      <c r="B18" s="14" t="s">
        <v>328</v>
      </c>
      <c r="C18" s="9"/>
      <c r="D18" s="296">
        <f t="shared" ref="D18:K18" si="3">IFERROR(MIN(D9:D13),"–")</f>
        <v>20.99</v>
      </c>
      <c r="E18" s="296">
        <f t="shared" si="3"/>
        <v>54186.15</v>
      </c>
      <c r="F18" s="296">
        <f t="shared" si="3"/>
        <v>200966</v>
      </c>
      <c r="G18" s="296">
        <f t="shared" si="3"/>
        <v>24292</v>
      </c>
      <c r="H18" s="297">
        <f t="shared" si="3"/>
        <v>2.6613094402832247E-2</v>
      </c>
      <c r="I18" s="297">
        <f t="shared" si="3"/>
        <v>4.1142723475746613E-3</v>
      </c>
      <c r="J18" s="298">
        <f t="shared" si="3"/>
        <v>1.3</v>
      </c>
      <c r="K18" s="297">
        <f t="shared" si="3"/>
        <v>16.146153846153844</v>
      </c>
    </row>
    <row r="19" spans="1:14" ht="15" customHeight="1" x14ac:dyDescent="0.35">
      <c r="A19" s="3"/>
      <c r="B19" s="14"/>
      <c r="C19" s="9"/>
      <c r="D19" s="22"/>
      <c r="E19" s="22"/>
      <c r="F19" s="22"/>
      <c r="G19" s="22"/>
      <c r="H19" s="22"/>
      <c r="I19" s="22"/>
      <c r="J19" s="22"/>
      <c r="K19" s="22"/>
      <c r="L19" s="22"/>
    </row>
    <row r="20" spans="1:14" ht="18" customHeight="1" x14ac:dyDescent="0.5">
      <c r="A20" s="112" t="s">
        <v>5</v>
      </c>
      <c r="B20" s="49" t="s">
        <v>329</v>
      </c>
      <c r="C20" s="44"/>
      <c r="D20" s="23"/>
      <c r="E20" s="23"/>
      <c r="F20" s="23"/>
      <c r="G20" s="23"/>
      <c r="H20" s="23"/>
      <c r="I20" s="23"/>
      <c r="J20" s="23"/>
      <c r="K20" s="23"/>
      <c r="L20" s="23"/>
      <c r="M20" s="95"/>
      <c r="N20" s="95"/>
    </row>
    <row r="21" spans="1:14" ht="15" customHeight="1" x14ac:dyDescent="0.35">
      <c r="A21" s="224"/>
      <c r="B21" s="48" t="s">
        <v>330</v>
      </c>
      <c r="C21" s="10"/>
      <c r="D21" s="24" t="str">
        <f>INPUT!H5</f>
        <v>2025 (LTM)</v>
      </c>
      <c r="E21" s="24"/>
      <c r="F21" s="24"/>
      <c r="G21" s="24"/>
      <c r="H21" s="24"/>
      <c r="I21" s="24"/>
      <c r="J21" s="24"/>
      <c r="K21" s="24"/>
      <c r="L21" s="24"/>
      <c r="M21" s="224"/>
      <c r="N21" s="224"/>
    </row>
    <row r="22" spans="1:14" ht="15" customHeight="1" x14ac:dyDescent="0.35">
      <c r="A22" s="3"/>
      <c r="B22" s="17" t="s">
        <v>331</v>
      </c>
      <c r="C22" s="9" t="s">
        <v>8</v>
      </c>
      <c r="D22" s="299">
        <f>INPUT!H9/1000</f>
        <v>416.161</v>
      </c>
      <c r="E22" s="22"/>
      <c r="F22" s="22"/>
      <c r="G22" s="22"/>
      <c r="H22" s="22"/>
      <c r="I22" s="22"/>
      <c r="J22" s="22"/>
      <c r="K22" s="22"/>
      <c r="L22" s="22"/>
    </row>
    <row r="23" spans="1:14" ht="15" customHeight="1" x14ac:dyDescent="0.35">
      <c r="A23" s="3"/>
      <c r="B23" s="17" t="s">
        <v>332</v>
      </c>
      <c r="C23" s="9" t="s">
        <v>8</v>
      </c>
      <c r="D23" s="299">
        <f>INPUT!H30/1000</f>
        <v>133.05000000000001</v>
      </c>
      <c r="E23" s="22"/>
      <c r="F23" s="22"/>
      <c r="G23" s="22"/>
      <c r="H23" s="22"/>
      <c r="I23" s="22"/>
      <c r="J23" s="22"/>
      <c r="K23" s="22"/>
      <c r="L23" s="22"/>
    </row>
    <row r="24" spans="1:14" ht="15" customHeight="1" x14ac:dyDescent="0.35">
      <c r="A24" s="3"/>
      <c r="B24" s="17" t="s">
        <v>333</v>
      </c>
      <c r="C24" s="9" t="s">
        <v>61</v>
      </c>
      <c r="D24" s="300">
        <f>IFERROR(INPUT!F26/INPUT!F96,"–")</f>
        <v>5.5331689116549674</v>
      </c>
      <c r="E24" s="22"/>
      <c r="F24" s="22"/>
      <c r="G24" s="22"/>
      <c r="H24" s="22"/>
      <c r="I24" s="22"/>
      <c r="J24" s="22"/>
      <c r="K24" s="22"/>
      <c r="L24" s="22"/>
    </row>
    <row r="25" spans="1:14" ht="15" customHeight="1" x14ac:dyDescent="0.35">
      <c r="A25" s="3"/>
      <c r="B25" s="17" t="s">
        <v>334</v>
      </c>
      <c r="C25" s="9" t="s">
        <v>8</v>
      </c>
      <c r="D25" s="299">
        <f>IFERROR((INPUT!H54+INPUT!H55-INPUT!H34)/1000,"–")</f>
        <v>268.37900000000002</v>
      </c>
      <c r="E25" s="22"/>
      <c r="F25" s="22"/>
      <c r="G25" s="22"/>
      <c r="H25" s="22"/>
      <c r="I25" s="22"/>
      <c r="J25" s="22"/>
      <c r="K25" s="22"/>
      <c r="L25" s="22"/>
    </row>
    <row r="26" spans="1:14" ht="15" customHeight="1" x14ac:dyDescent="0.35">
      <c r="A26" s="3"/>
      <c r="B26" s="17" t="s">
        <v>335</v>
      </c>
      <c r="C26" s="9" t="s">
        <v>63</v>
      </c>
      <c r="D26" s="301">
        <f>INPUT!H96/1000</f>
        <v>14.681139999999999</v>
      </c>
      <c r="E26" s="22"/>
      <c r="F26" s="22"/>
      <c r="G26" s="22"/>
      <c r="H26" s="22"/>
      <c r="I26" s="22"/>
      <c r="J26" s="22"/>
      <c r="K26" s="22"/>
      <c r="L26" s="22"/>
    </row>
    <row r="27" spans="1:14" ht="15" customHeight="1" x14ac:dyDescent="0.35">
      <c r="A27" s="3"/>
      <c r="B27" s="14"/>
      <c r="C27" s="9"/>
      <c r="D27" s="22"/>
      <c r="E27" s="22"/>
      <c r="F27" s="22"/>
      <c r="G27" s="22"/>
      <c r="H27" s="22"/>
      <c r="I27" s="22"/>
      <c r="J27" s="22"/>
      <c r="K27" s="22"/>
      <c r="L27" s="22"/>
    </row>
    <row r="28" spans="1:14" ht="18" customHeight="1" x14ac:dyDescent="0.5">
      <c r="A28" s="112" t="s">
        <v>5</v>
      </c>
      <c r="B28" s="49" t="s">
        <v>336</v>
      </c>
      <c r="C28" s="44"/>
      <c r="D28" s="46"/>
      <c r="E28" s="46"/>
      <c r="F28" s="46"/>
      <c r="G28" s="46"/>
      <c r="H28" s="23"/>
      <c r="I28" s="23"/>
      <c r="J28" s="23"/>
      <c r="K28" s="23"/>
      <c r="L28" s="23"/>
      <c r="M28" s="95"/>
      <c r="N28" s="95"/>
    </row>
    <row r="29" spans="1:14" ht="15" customHeight="1" x14ac:dyDescent="0.35">
      <c r="A29" s="3"/>
      <c r="B29" s="17" t="s">
        <v>337</v>
      </c>
      <c r="C29" s="9"/>
      <c r="D29" s="302">
        <f>IFERROR(D23*H18,"–")</f>
        <v>3.5408722102968309</v>
      </c>
      <c r="E29" s="302">
        <f>IFERROR(D23*H15,"–")</f>
        <v>1793.4243444351769</v>
      </c>
      <c r="F29" s="302">
        <f>IFERROR(D23*H16,"–")</f>
        <v>2080.1779239636089</v>
      </c>
      <c r="G29" s="302">
        <f>IFERROR(D23*H17,"–")</f>
        <v>3337.6839357160688</v>
      </c>
      <c r="H29" s="22"/>
      <c r="I29" s="22"/>
      <c r="J29" s="22"/>
      <c r="K29" s="22"/>
      <c r="L29" s="22"/>
    </row>
    <row r="30" spans="1:14" ht="15" customHeight="1" x14ac:dyDescent="0.35">
      <c r="A30" s="3"/>
      <c r="B30" s="17" t="s">
        <v>338</v>
      </c>
      <c r="C30" s="9"/>
      <c r="D30" s="302">
        <f>IFERROR(D22*I18,"–")</f>
        <v>1.7121996944390185</v>
      </c>
      <c r="E30" s="302">
        <f>IFERROR(D22*I15,"–")</f>
        <v>2269.4653737352351</v>
      </c>
      <c r="F30" s="302">
        <f>IFERROR(D22*I16,"–")</f>
        <v>3298.8645282066122</v>
      </c>
      <c r="G30" s="302">
        <f>IFERROR(D22*I17,"–")</f>
        <v>3891.8948901748104</v>
      </c>
      <c r="H30" s="22"/>
      <c r="I30" s="22"/>
      <c r="J30" s="22"/>
      <c r="K30" s="22"/>
      <c r="L30" s="22"/>
    </row>
    <row r="31" spans="1:14" ht="15" customHeight="1" x14ac:dyDescent="0.35">
      <c r="A31" s="3"/>
      <c r="B31" s="17" t="s">
        <v>339</v>
      </c>
      <c r="C31" s="9"/>
      <c r="D31" s="302">
        <f>IFERROR(D24*K18*D26,"–")</f>
        <v>1311.604187595678</v>
      </c>
      <c r="E31" s="302">
        <f>IFERROR(D24*K15*D26,"–")</f>
        <v>1934.7719294592694</v>
      </c>
      <c r="F31" s="302">
        <f>IFERROR(D24*K16*D26,"–")</f>
        <v>2026.1285122131333</v>
      </c>
      <c r="G31" s="302">
        <f>IFERROR(D24*K17*D26,"–")</f>
        <v>2375.226505815132</v>
      </c>
      <c r="H31" s="22"/>
      <c r="I31" s="22"/>
      <c r="J31" s="22"/>
      <c r="K31" s="22"/>
      <c r="L31" s="22"/>
    </row>
    <row r="32" spans="1:14" ht="15" customHeight="1" x14ac:dyDescent="0.35">
      <c r="A32" s="3"/>
      <c r="B32" s="17"/>
      <c r="C32" s="9"/>
      <c r="D32" s="57"/>
      <c r="E32" s="22"/>
      <c r="F32" s="22"/>
      <c r="G32" s="57"/>
      <c r="H32" s="22"/>
      <c r="I32" s="22"/>
      <c r="J32" s="22"/>
      <c r="K32" s="22"/>
      <c r="L32" s="22"/>
    </row>
    <row r="33" spans="1:14" ht="15" customHeight="1" x14ac:dyDescent="0.35">
      <c r="A33" s="3"/>
      <c r="B33" s="17" t="s">
        <v>340</v>
      </c>
      <c r="C33" s="9" t="s">
        <v>8</v>
      </c>
      <c r="D33" s="302">
        <f>IFERROR(AVERAGE(D29,D30),"–")</f>
        <v>2.6265359523679246</v>
      </c>
      <c r="E33" s="302">
        <f>IFERROR(AVERAGE(E29,E30),"–")</f>
        <v>2031.444859085206</v>
      </c>
      <c r="F33" s="302">
        <f>IFERROR(AVERAGE(F29,F30),"–")</f>
        <v>2689.5212260851104</v>
      </c>
      <c r="G33" s="302">
        <f>IFERROR(AVERAGE(G29,G30),"–")</f>
        <v>3614.7894129454398</v>
      </c>
      <c r="H33" s="22"/>
      <c r="I33" s="22"/>
      <c r="J33" s="22"/>
      <c r="K33" s="22"/>
      <c r="L33" s="22"/>
    </row>
    <row r="34" spans="1:14" ht="15" customHeight="1" x14ac:dyDescent="0.35">
      <c r="A34" s="3"/>
      <c r="B34" s="17" t="s">
        <v>341</v>
      </c>
      <c r="C34" s="9" t="s">
        <v>8</v>
      </c>
      <c r="D34" s="302">
        <f>D25</f>
        <v>268.37900000000002</v>
      </c>
      <c r="E34" s="302">
        <f>D25</f>
        <v>268.37900000000002</v>
      </c>
      <c r="F34" s="302">
        <f>D25</f>
        <v>268.37900000000002</v>
      </c>
      <c r="G34" s="302">
        <f>D25</f>
        <v>268.37900000000002</v>
      </c>
      <c r="H34" s="22"/>
      <c r="I34" s="22"/>
      <c r="J34" s="22"/>
      <c r="K34" s="22"/>
      <c r="L34" s="22"/>
    </row>
    <row r="35" spans="1:14" ht="15" customHeight="1" x14ac:dyDescent="0.35">
      <c r="A35" s="3"/>
      <c r="B35" s="17" t="s">
        <v>342</v>
      </c>
      <c r="C35" s="9" t="s">
        <v>8</v>
      </c>
      <c r="D35" s="302">
        <f>IFERROR(D33-D34,"–")</f>
        <v>-265.75246404763209</v>
      </c>
      <c r="E35" s="302">
        <f>IFERROR(E33-E34,"–")</f>
        <v>1763.0658590852058</v>
      </c>
      <c r="F35" s="302">
        <f>IFERROR(F33-F34,"–")</f>
        <v>2421.1422260851105</v>
      </c>
      <c r="G35" s="302">
        <f>IFERROR(G33-G34,"–")</f>
        <v>3346.4104129454399</v>
      </c>
      <c r="H35" s="22"/>
      <c r="I35" s="22"/>
      <c r="J35" s="22"/>
      <c r="K35" s="22"/>
      <c r="L35" s="22"/>
    </row>
    <row r="36" spans="1:14" ht="15" customHeight="1" thickBot="1" x14ac:dyDescent="0.4">
      <c r="A36" s="3"/>
      <c r="B36" s="54" t="s">
        <v>298</v>
      </c>
      <c r="C36" s="11" t="s">
        <v>61</v>
      </c>
      <c r="D36" s="303">
        <f>IFERROR(D35/D26,"–")</f>
        <v>-18.101623174197105</v>
      </c>
      <c r="E36" s="303">
        <f>IFERROR(E35/D26,"–")</f>
        <v>120.09052832989849</v>
      </c>
      <c r="F36" s="303">
        <f>IFERROR(F35/D26,"–")</f>
        <v>164.91513779482455</v>
      </c>
      <c r="G36" s="303">
        <f>IFERROR(G35/D26,"–")</f>
        <v>227.93941158148755</v>
      </c>
      <c r="H36" s="331"/>
      <c r="I36" s="66"/>
      <c r="J36" s="66"/>
      <c r="K36" s="66"/>
      <c r="L36" s="66"/>
    </row>
    <row r="37" spans="1:14" ht="15" customHeight="1" x14ac:dyDescent="0.35">
      <c r="A37" s="3"/>
      <c r="B37" s="17" t="s">
        <v>343</v>
      </c>
      <c r="C37" s="9" t="s">
        <v>61</v>
      </c>
      <c r="D37" s="292">
        <f>INPUT!H95</f>
        <v>261.3</v>
      </c>
      <c r="E37" s="292">
        <f>INPUT!H95</f>
        <v>261.3</v>
      </c>
      <c r="F37" s="292">
        <f>INPUT!H95</f>
        <v>261.3</v>
      </c>
      <c r="G37" s="292">
        <f>INPUT!H95</f>
        <v>261.3</v>
      </c>
      <c r="H37" s="22"/>
      <c r="I37" s="22"/>
      <c r="J37" s="22"/>
      <c r="K37" s="22"/>
      <c r="L37" s="22"/>
    </row>
    <row r="38" spans="1:14" ht="15" customHeight="1" thickBot="1" x14ac:dyDescent="0.4">
      <c r="A38" s="3"/>
      <c r="B38" s="54" t="s">
        <v>344</v>
      </c>
      <c r="C38" s="11" t="s">
        <v>69</v>
      </c>
      <c r="D38" s="304">
        <f>IFERROR(D36/D37-1,"–")</f>
        <v>-1.0692752513363839</v>
      </c>
      <c r="E38" s="304">
        <f>IFERROR(E36/D37-1,"–")</f>
        <v>-0.54041129609682936</v>
      </c>
      <c r="F38" s="304">
        <f>IFERROR(F36/D37-1,"–")</f>
        <v>-0.36886667510591453</v>
      </c>
      <c r="G38" s="304">
        <f>IFERROR(G36/D37-1,"–")</f>
        <v>-0.12767159746847478</v>
      </c>
      <c r="H38" s="331"/>
      <c r="I38" s="66"/>
      <c r="J38" s="66"/>
      <c r="K38" s="66"/>
      <c r="L38" s="66"/>
    </row>
    <row r="39" spans="1:14" ht="15" customHeight="1" x14ac:dyDescent="0.35">
      <c r="A39" s="3"/>
      <c r="B39" s="54"/>
      <c r="C39" s="11"/>
      <c r="D39" s="288"/>
      <c r="E39" s="288"/>
      <c r="F39" s="288"/>
      <c r="G39" s="288"/>
      <c r="H39" s="331"/>
      <c r="I39" s="331"/>
      <c r="J39" s="331"/>
      <c r="K39" s="331"/>
      <c r="L39" s="331"/>
    </row>
    <row r="40" spans="1:14" ht="15" customHeight="1" x14ac:dyDescent="0.35">
      <c r="A40" s="3"/>
      <c r="B40" s="17"/>
      <c r="C40" s="9"/>
      <c r="D40" s="61"/>
      <c r="E40" s="38"/>
      <c r="F40" s="38"/>
      <c r="G40" s="61"/>
      <c r="H40" s="22"/>
      <c r="I40" s="22"/>
      <c r="J40" s="22"/>
      <c r="K40" s="22"/>
      <c r="L40" s="22"/>
    </row>
    <row r="41" spans="1:14" ht="15" customHeight="1" x14ac:dyDescent="0.35">
      <c r="A41" s="3"/>
      <c r="B41" s="18" t="s">
        <v>345</v>
      </c>
      <c r="C41" s="3"/>
      <c r="D41" s="22"/>
      <c r="E41" s="22"/>
      <c r="F41" s="22"/>
      <c r="G41" s="22"/>
      <c r="H41" s="22"/>
      <c r="I41" s="22"/>
      <c r="J41" s="22"/>
      <c r="K41" s="22"/>
      <c r="L41" s="22"/>
    </row>
    <row r="42" spans="1:14" ht="15" customHeight="1" x14ac:dyDescent="0.35">
      <c r="A42" s="3"/>
      <c r="B42" s="14"/>
      <c r="C42" s="3"/>
      <c r="D42" s="22"/>
      <c r="E42" s="22"/>
      <c r="F42" s="22"/>
      <c r="G42" s="22"/>
      <c r="H42" s="22"/>
      <c r="I42" s="22"/>
      <c r="J42" s="22"/>
      <c r="K42" s="22"/>
      <c r="L42" s="22"/>
    </row>
    <row r="43" spans="1:14" ht="15" customHeight="1" x14ac:dyDescent="0.35">
      <c r="A43" s="223"/>
      <c r="B43" s="32" t="s">
        <v>97</v>
      </c>
      <c r="C43" s="4"/>
      <c r="D43" s="33"/>
      <c r="E43" s="33"/>
      <c r="F43" s="33"/>
      <c r="G43" s="33"/>
      <c r="H43" s="33"/>
      <c r="I43" s="33"/>
      <c r="J43" s="33"/>
      <c r="K43" s="33"/>
      <c r="L43" s="33"/>
      <c r="M43" s="231"/>
      <c r="N43" s="231"/>
    </row>
    <row r="44" spans="1:14" ht="15" customHeight="1" x14ac:dyDescent="0.35">
      <c r="A44" s="223"/>
      <c r="B44" s="32" t="s">
        <v>98</v>
      </c>
      <c r="C44" s="4"/>
      <c r="D44" s="33"/>
      <c r="E44" s="33"/>
      <c r="F44" s="33"/>
      <c r="G44" s="33"/>
      <c r="H44" s="33"/>
      <c r="I44" s="33"/>
      <c r="J44" s="33"/>
      <c r="K44" s="33"/>
      <c r="L44" s="33"/>
      <c r="M44" s="231"/>
      <c r="N44" s="231"/>
    </row>
    <row r="45" spans="1:14" ht="15" customHeight="1" x14ac:dyDescent="0.35">
      <c r="A45" s="223"/>
      <c r="B45" s="32" t="s">
        <v>99</v>
      </c>
      <c r="C45" s="4"/>
      <c r="D45" s="33"/>
      <c r="E45" s="33"/>
      <c r="F45" s="33"/>
      <c r="G45" s="33"/>
      <c r="H45" s="33"/>
      <c r="I45" s="33"/>
      <c r="J45" s="33"/>
      <c r="K45" s="33"/>
      <c r="L45" s="33"/>
      <c r="M45" s="231"/>
      <c r="N45" s="231"/>
    </row>
    <row r="46" spans="1:14" ht="15" customHeight="1" x14ac:dyDescent="0.3">
      <c r="B46" s="47"/>
    </row>
    <row r="47" spans="1:14" ht="15" customHeight="1" x14ac:dyDescent="0.3">
      <c r="A47" s="98"/>
      <c r="B47" s="93" t="s">
        <v>346</v>
      </c>
      <c r="C47" s="94" t="s">
        <v>347</v>
      </c>
      <c r="D47" s="94" t="s">
        <v>348</v>
      </c>
      <c r="E47" s="92" t="s">
        <v>349</v>
      </c>
      <c r="F47" s="92"/>
      <c r="G47" s="92"/>
      <c r="H47" s="92"/>
      <c r="I47" s="92"/>
      <c r="J47" s="92"/>
      <c r="K47" s="92"/>
      <c r="L47" s="92"/>
      <c r="M47" s="232"/>
      <c r="N47" s="232"/>
    </row>
    <row r="48" spans="1:14" ht="15" customHeight="1" x14ac:dyDescent="0.3">
      <c r="B48" s="305" t="str">
        <f>B9</f>
        <v>Microsoft Corporation</v>
      </c>
      <c r="C48" s="443">
        <f t="shared" ref="C48:D52" si="4">IFERROR(H9*1,0)</f>
        <v>15.99972355198441</v>
      </c>
      <c r="D48" s="444">
        <f t="shared" si="4"/>
        <v>9.180120339950161</v>
      </c>
      <c r="E48" s="445">
        <f>IFERROR(K9*1,0)</f>
        <v>23.203379224030037</v>
      </c>
    </row>
    <row r="49" spans="2:11" ht="15" customHeight="1" x14ac:dyDescent="0.3">
      <c r="B49" s="305" t="str">
        <f>B10</f>
        <v>Alphabet Inc.</v>
      </c>
      <c r="C49" s="443">
        <f t="shared" si="4"/>
        <v>25.085937134280861</v>
      </c>
      <c r="D49" s="444">
        <f t="shared" si="4"/>
        <v>9.3518971988600814</v>
      </c>
      <c r="E49" s="445">
        <f>IFERROR(K10*1,0)</f>
        <v>29.239592969472707</v>
      </c>
    </row>
    <row r="50" spans="2:11" ht="15" customHeight="1" x14ac:dyDescent="0.3">
      <c r="B50" s="305" t="str">
        <f>B11</f>
        <v>Meta Platforms, Inc.</v>
      </c>
      <c r="C50" s="443">
        <f t="shared" si="4"/>
        <v>15.634557865190596</v>
      </c>
      <c r="D50" s="444">
        <f t="shared" si="4"/>
        <v>7.9268949474040387</v>
      </c>
      <c r="E50" s="445">
        <f>IFERROR(K11*1,0)</f>
        <v>26.680851063829788</v>
      </c>
    </row>
    <row r="51" spans="2:11" ht="15" customHeight="1" x14ac:dyDescent="0.3">
      <c r="B51" s="305" t="str">
        <f>B12</f>
        <v>Sony Group Corporation</v>
      </c>
      <c r="C51" s="443">
        <f t="shared" si="4"/>
        <v>2.6613094402832247E-2</v>
      </c>
      <c r="D51" s="444">
        <f t="shared" si="4"/>
        <v>4.1142723475746613E-3</v>
      </c>
      <c r="E51" s="445">
        <f>IFERROR(K12*1,0)</f>
        <v>16.146153846153844</v>
      </c>
    </row>
    <row r="52" spans="2:11" ht="15" customHeight="1" x14ac:dyDescent="0.3">
      <c r="B52" s="305" t="str">
        <f>B13</f>
        <v>SMSNG.KS</v>
      </c>
      <c r="C52" s="443">
        <f t="shared" si="4"/>
        <v>10.649799110818376</v>
      </c>
      <c r="D52" s="444">
        <f t="shared" si="4"/>
        <v>0.80364856343173474</v>
      </c>
      <c r="E52" s="445">
        <f>IFERROR(K13*1,0)</f>
        <v>0</v>
      </c>
    </row>
    <row r="53" spans="2:11" ht="15" customHeight="1" x14ac:dyDescent="0.3">
      <c r="B53" s="305" t="str">
        <f>B15</f>
        <v>Mean</v>
      </c>
      <c r="C53" s="443">
        <f>IFERROR(H15*1,0)</f>
        <v>13.479326151335414</v>
      </c>
      <c r="D53" s="444">
        <f>IFERROR(I15*1,0)</f>
        <v>5.4533350643987184</v>
      </c>
      <c r="E53" s="445">
        <f>IFERROR(K15*1,0)</f>
        <v>23.817494275871596</v>
      </c>
    </row>
    <row r="54" spans="2:11" ht="15" customHeight="1" x14ac:dyDescent="0.3">
      <c r="B54" s="336" t="s">
        <v>350</v>
      </c>
      <c r="H54" s="21" t="s">
        <v>351</v>
      </c>
      <c r="I54" s="21" t="s">
        <v>352</v>
      </c>
      <c r="J54" s="21" t="s">
        <v>353</v>
      </c>
      <c r="K54" s="21" t="s">
        <v>354</v>
      </c>
    </row>
    <row r="55" spans="2:11" ht="15" customHeight="1" x14ac:dyDescent="0.3">
      <c r="B55" s="91" t="s">
        <v>351</v>
      </c>
      <c r="C55" s="89" t="s">
        <v>352</v>
      </c>
      <c r="D55" s="92" t="s">
        <v>355</v>
      </c>
      <c r="E55" s="92" t="s">
        <v>353</v>
      </c>
      <c r="H55" s="21" t="s">
        <v>356</v>
      </c>
      <c r="I55" s="21">
        <f>IFERROR(D36,0)</f>
        <v>-18.101623174197105</v>
      </c>
      <c r="J55" s="21">
        <f>IFERROR(G36,0)</f>
        <v>227.93941158148755</v>
      </c>
      <c r="K55" s="338">
        <f>INPUT!H95</f>
        <v>261.3</v>
      </c>
    </row>
    <row r="56" spans="2:11" ht="15" customHeight="1" x14ac:dyDescent="0.3">
      <c r="B56" s="337" t="str">
        <f>B29</f>
        <v>EV / EBITDA — Implied EV ($M)</v>
      </c>
      <c r="C56" s="446">
        <f>IFERROR(D36,"–")</f>
        <v>-18.101623174197105</v>
      </c>
      <c r="D56" s="447">
        <f>IFERROR(F36,"–")</f>
        <v>164.91513779482455</v>
      </c>
      <c r="E56" s="447">
        <f>IFERROR(G36,"–")</f>
        <v>227.93941158148755</v>
      </c>
      <c r="H56" s="21" t="s">
        <v>357</v>
      </c>
      <c r="I56" s="21">
        <f>IFERROR(D36,0)</f>
        <v>-18.101623174197105</v>
      </c>
      <c r="J56" s="21">
        <f>IFERROR(G36,0)</f>
        <v>227.93941158148755</v>
      </c>
      <c r="K56" s="338">
        <f>INPUT!H95</f>
        <v>261.3</v>
      </c>
    </row>
    <row r="57" spans="2:11" ht="15" customHeight="1" x14ac:dyDescent="0.3">
      <c r="B57" s="337" t="str">
        <f>B30</f>
        <v>EV / Revenue — Implied EV ($M)</v>
      </c>
      <c r="C57" s="446">
        <f>IFERROR(D36,"–")</f>
        <v>-18.101623174197105</v>
      </c>
      <c r="D57" s="447">
        <f>IFERROR(F36,"–")</f>
        <v>164.91513779482455</v>
      </c>
      <c r="E57" s="447">
        <f>IFERROR(G36,"–")</f>
        <v>227.93941158148755</v>
      </c>
      <c r="F57" s="21" t="s">
        <v>358</v>
      </c>
      <c r="H57" s="21" t="s">
        <v>359</v>
      </c>
      <c r="I57" s="21">
        <f>IFERROR(D36,0)</f>
        <v>-18.101623174197105</v>
      </c>
      <c r="J57" s="21">
        <f>IFERROR(G36,0)</f>
        <v>227.93941158148755</v>
      </c>
      <c r="K57" s="338">
        <f>INPUT!H95</f>
        <v>261.3</v>
      </c>
    </row>
    <row r="58" spans="2:11" ht="15" customHeight="1" x14ac:dyDescent="0.3">
      <c r="B58" s="47"/>
    </row>
    <row r="59" spans="2:11" ht="15" customHeight="1" x14ac:dyDescent="0.3">
      <c r="B59" s="47"/>
    </row>
    <row r="60" spans="2:11" ht="15" customHeight="1" x14ac:dyDescent="0.3">
      <c r="B60" s="47"/>
    </row>
    <row r="61" spans="2:11" ht="15" customHeight="1" x14ac:dyDescent="0.3">
      <c r="B61" s="47"/>
    </row>
    <row r="62" spans="2:11" ht="15" customHeight="1" x14ac:dyDescent="0.3">
      <c r="B62" s="47"/>
    </row>
    <row r="63" spans="2:11" ht="15" customHeight="1" x14ac:dyDescent="0.3">
      <c r="B63" s="47"/>
    </row>
    <row r="64" spans="2:11" ht="15" customHeight="1" x14ac:dyDescent="0.3">
      <c r="B64" s="47"/>
    </row>
    <row r="65" spans="2:2" ht="15" customHeight="1" x14ac:dyDescent="0.3">
      <c r="B65" s="47"/>
    </row>
    <row r="66" spans="2:2" ht="15" customHeight="1" x14ac:dyDescent="0.3">
      <c r="B66" s="47"/>
    </row>
    <row r="67" spans="2:2" ht="15" customHeight="1" x14ac:dyDescent="0.3">
      <c r="B67" s="47"/>
    </row>
    <row r="68" spans="2:2" ht="15" customHeight="1" x14ac:dyDescent="0.3">
      <c r="B68" s="47"/>
    </row>
    <row r="69" spans="2:2" ht="15" customHeight="1" x14ac:dyDescent="0.3">
      <c r="B69" s="47"/>
    </row>
    <row r="70" spans="2:2" ht="15" customHeight="1" x14ac:dyDescent="0.3">
      <c r="B70" s="47"/>
    </row>
    <row r="71" spans="2:2" ht="15" customHeight="1" x14ac:dyDescent="0.3">
      <c r="B71" s="47"/>
    </row>
    <row r="72" spans="2:2" ht="15" customHeight="1" x14ac:dyDescent="0.3">
      <c r="B72" s="47"/>
    </row>
    <row r="73" spans="2:2" ht="15" customHeight="1" x14ac:dyDescent="0.3">
      <c r="B73" s="47"/>
    </row>
    <row r="74" spans="2:2" ht="15" customHeight="1" x14ac:dyDescent="0.3">
      <c r="B74" s="47"/>
    </row>
    <row r="75" spans="2:2" ht="15" customHeight="1" x14ac:dyDescent="0.3">
      <c r="B75" s="47"/>
    </row>
    <row r="76" spans="2:2" ht="15" customHeight="1" x14ac:dyDescent="0.3">
      <c r="B76" s="47"/>
    </row>
    <row r="77" spans="2:2" ht="15" customHeight="1" x14ac:dyDescent="0.3">
      <c r="B77" s="47"/>
    </row>
    <row r="78" spans="2:2" ht="15" customHeight="1" x14ac:dyDescent="0.3">
      <c r="B78" s="47"/>
    </row>
    <row r="79" spans="2:2" ht="15" customHeight="1" x14ac:dyDescent="0.3">
      <c r="B79" s="47"/>
    </row>
    <row r="80" spans="2:2" ht="15" customHeight="1" x14ac:dyDescent="0.3">
      <c r="B80" s="47"/>
    </row>
    <row r="81" spans="2:2" ht="15" customHeight="1" x14ac:dyDescent="0.3">
      <c r="B81" s="47"/>
    </row>
    <row r="82" spans="2:2" ht="15" customHeight="1" x14ac:dyDescent="0.3">
      <c r="B82" s="47"/>
    </row>
    <row r="83" spans="2:2" ht="15" customHeight="1" x14ac:dyDescent="0.3">
      <c r="B83" s="47"/>
    </row>
    <row r="84" spans="2:2" ht="15" customHeight="1" x14ac:dyDescent="0.3">
      <c r="B84" s="47"/>
    </row>
    <row r="85" spans="2:2" ht="15" customHeight="1" x14ac:dyDescent="0.3">
      <c r="B85" s="47"/>
    </row>
    <row r="86" spans="2:2" ht="15" customHeight="1" x14ac:dyDescent="0.3">
      <c r="B86" s="47"/>
    </row>
    <row r="87" spans="2:2" ht="15" customHeight="1" x14ac:dyDescent="0.3">
      <c r="B87" s="47"/>
    </row>
    <row r="88" spans="2:2" ht="15" customHeight="1" x14ac:dyDescent="0.3">
      <c r="B88" s="47"/>
    </row>
    <row r="89" spans="2:2" ht="15" customHeight="1" x14ac:dyDescent="0.3">
      <c r="B89" s="47"/>
    </row>
    <row r="90" spans="2:2" ht="15" customHeight="1" x14ac:dyDescent="0.3">
      <c r="B90" s="47"/>
    </row>
    <row r="91" spans="2:2" ht="15" customHeight="1" x14ac:dyDescent="0.3">
      <c r="B91" s="47"/>
    </row>
    <row r="92" spans="2:2" ht="15" customHeight="1" x14ac:dyDescent="0.3">
      <c r="B92" s="47"/>
    </row>
    <row r="93" spans="2:2" ht="15" customHeight="1" x14ac:dyDescent="0.3">
      <c r="B93" s="47"/>
    </row>
    <row r="94" spans="2:2" ht="15" customHeight="1" x14ac:dyDescent="0.3">
      <c r="B94" s="47"/>
    </row>
    <row r="95" spans="2:2" ht="15" customHeight="1" x14ac:dyDescent="0.3">
      <c r="B95" s="47"/>
    </row>
    <row r="96" spans="2:2" ht="15" customHeight="1" x14ac:dyDescent="0.3">
      <c r="B96" s="47"/>
    </row>
    <row r="97" spans="2:2" ht="15" customHeight="1" x14ac:dyDescent="0.3">
      <c r="B97" s="47"/>
    </row>
    <row r="98" spans="2:2" ht="15" customHeight="1" x14ac:dyDescent="0.3">
      <c r="B98" s="47"/>
    </row>
    <row r="99" spans="2:2" ht="15" customHeight="1" x14ac:dyDescent="0.3">
      <c r="B99" s="47"/>
    </row>
    <row r="100" spans="2:2" ht="15" customHeight="1" x14ac:dyDescent="0.3">
      <c r="B100" s="47"/>
    </row>
    <row r="101" spans="2:2" ht="15" customHeight="1" x14ac:dyDescent="0.3">
      <c r="B101" s="47"/>
    </row>
    <row r="102" spans="2:2" ht="15" customHeight="1" x14ac:dyDescent="0.3">
      <c r="B102" s="47"/>
    </row>
    <row r="103" spans="2:2" ht="15" customHeight="1" x14ac:dyDescent="0.3">
      <c r="B103" s="47"/>
    </row>
    <row r="104" spans="2:2" ht="15" customHeight="1" x14ac:dyDescent="0.3">
      <c r="B104" s="47"/>
    </row>
    <row r="105" spans="2:2" ht="15" customHeight="1" x14ac:dyDescent="0.3">
      <c r="B105" s="47"/>
    </row>
    <row r="106" spans="2:2" ht="15" customHeight="1" x14ac:dyDescent="0.3">
      <c r="B106" s="47"/>
    </row>
    <row r="107" spans="2:2" ht="15" customHeight="1" x14ac:dyDescent="0.3">
      <c r="B107" s="47"/>
    </row>
    <row r="108" spans="2:2" ht="15" customHeight="1" x14ac:dyDescent="0.3">
      <c r="B108" s="47"/>
    </row>
    <row r="109" spans="2:2" ht="15" customHeight="1" x14ac:dyDescent="0.3">
      <c r="B109" s="47"/>
    </row>
    <row r="110" spans="2:2" ht="15" customHeight="1" x14ac:dyDescent="0.3">
      <c r="B110" s="47"/>
    </row>
    <row r="111" spans="2:2" ht="15" customHeight="1" x14ac:dyDescent="0.3">
      <c r="B111" s="47"/>
    </row>
    <row r="112" spans="2:2" ht="15" customHeight="1" x14ac:dyDescent="0.3">
      <c r="B112" s="47"/>
    </row>
    <row r="113" spans="2:2" ht="15" customHeight="1" x14ac:dyDescent="0.3">
      <c r="B113" s="47"/>
    </row>
    <row r="114" spans="2:2" ht="15" customHeight="1" x14ac:dyDescent="0.3">
      <c r="B114" s="47"/>
    </row>
    <row r="115" spans="2:2" ht="15" customHeight="1" x14ac:dyDescent="0.3">
      <c r="B115" s="47"/>
    </row>
    <row r="116" spans="2:2" ht="15" customHeight="1" x14ac:dyDescent="0.3">
      <c r="B116" s="47"/>
    </row>
    <row r="117" spans="2:2" ht="15" customHeight="1" x14ac:dyDescent="0.3">
      <c r="B117" s="47"/>
    </row>
    <row r="118" spans="2:2" ht="15" customHeight="1" x14ac:dyDescent="0.3">
      <c r="B118" s="47"/>
    </row>
    <row r="119" spans="2:2" ht="15" customHeight="1" x14ac:dyDescent="0.3">
      <c r="B119" s="47"/>
    </row>
    <row r="120" spans="2:2" ht="15" customHeight="1" x14ac:dyDescent="0.3">
      <c r="B120" s="47"/>
    </row>
    <row r="121" spans="2:2" ht="15" customHeight="1" x14ac:dyDescent="0.3">
      <c r="B121" s="47"/>
    </row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82" orientation="landscape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20"/>
  <sheetViews>
    <sheetView showGridLines="0" topLeftCell="A18" zoomScale="85" zoomScaleNormal="85" workbookViewId="0">
      <selection activeCell="N31" sqref="N31"/>
    </sheetView>
  </sheetViews>
  <sheetFormatPr baseColWidth="10" defaultRowHeight="14.4" x14ac:dyDescent="0.3"/>
  <cols>
    <col min="1" max="1" width="11" style="456" customWidth="1"/>
    <col min="2" max="2" width="51" style="19" bestFit="1" customWidth="1"/>
    <col min="3" max="3" width="15.6640625" customWidth="1"/>
    <col min="4" max="5" width="13.33203125" style="21" customWidth="1"/>
    <col min="6" max="6" width="13.88671875" style="21" bestFit="1" customWidth="1"/>
    <col min="7" max="7" width="14.44140625" style="21" bestFit="1" customWidth="1"/>
    <col min="8" max="9" width="13.33203125" style="21" customWidth="1"/>
    <col min="10" max="13" width="11" style="21" customWidth="1"/>
    <col min="14" max="14" width="11.44140625" style="97" customWidth="1"/>
  </cols>
  <sheetData>
    <row r="1" spans="1:14" ht="54.9" customHeight="1" x14ac:dyDescent="0.6">
      <c r="A1" s="104"/>
      <c r="B1" s="104" t="s">
        <v>100</v>
      </c>
      <c r="C1" s="5"/>
      <c r="D1" s="29"/>
      <c r="E1" s="29"/>
      <c r="F1" s="29"/>
      <c r="G1" s="29"/>
      <c r="H1" s="103" t="s">
        <v>360</v>
      </c>
      <c r="I1" s="29"/>
      <c r="J1" s="29"/>
      <c r="K1" s="29"/>
      <c r="L1" s="29"/>
      <c r="M1" s="29"/>
      <c r="N1" s="96"/>
    </row>
    <row r="2" spans="1:14" ht="15" customHeight="1" x14ac:dyDescent="0.35">
      <c r="A2" s="453"/>
      <c r="B2" s="14"/>
      <c r="C2" s="3"/>
      <c r="D2" s="22"/>
      <c r="E2" s="22"/>
      <c r="F2" s="22"/>
      <c r="G2" s="22"/>
      <c r="H2" s="22"/>
      <c r="I2" s="22"/>
      <c r="K2" s="22"/>
      <c r="L2" s="22"/>
      <c r="M2" s="22"/>
    </row>
    <row r="3" spans="1:14" ht="18" customHeight="1" x14ac:dyDescent="0.5">
      <c r="A3" s="381" t="s">
        <v>5</v>
      </c>
      <c r="B3" s="15" t="s">
        <v>361</v>
      </c>
      <c r="C3" s="7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4" ht="15" customHeight="1" x14ac:dyDescent="0.35">
      <c r="A4" s="453"/>
      <c r="B4" s="12" t="s">
        <v>362</v>
      </c>
      <c r="C4" s="3"/>
      <c r="D4" s="22"/>
      <c r="E4" s="22"/>
      <c r="F4" s="22"/>
      <c r="G4" s="22"/>
      <c r="H4" s="22"/>
      <c r="I4" s="22"/>
      <c r="K4" s="22"/>
      <c r="L4" s="22"/>
      <c r="M4" s="22"/>
    </row>
    <row r="5" spans="1:14" ht="15" customHeight="1" x14ac:dyDescent="0.35">
      <c r="A5" s="454" t="s">
        <v>5</v>
      </c>
      <c r="B5" s="16" t="s">
        <v>2</v>
      </c>
      <c r="C5" s="16" t="s">
        <v>235</v>
      </c>
      <c r="D5" s="393"/>
      <c r="E5" s="16" t="str">
        <f>TEXT(INPUT!D117-3,"0")</f>
        <v>2022</v>
      </c>
      <c r="F5" s="16" t="str">
        <f>TEXT(INPUT!D117-2,"0")</f>
        <v>2023</v>
      </c>
      <c r="G5" s="16" t="str">
        <f>TEXT(INPUT!D117-1,"0")</f>
        <v>2024</v>
      </c>
      <c r="H5" s="16" t="str">
        <f>INPUT!D117&amp;" (LTM)"</f>
        <v>2025 (LTM)</v>
      </c>
      <c r="I5" s="16" t="str">
        <f>TEXT(INPUT!D117+1,"0")&amp;"F"</f>
        <v>2026F</v>
      </c>
      <c r="J5" s="16" t="str">
        <f>TEXT(INPUT!D117+2,"0")&amp;"F"</f>
        <v>2027F</v>
      </c>
      <c r="K5" s="16" t="str">
        <f>TEXT(INPUT!D117+3,"0")&amp;"F"</f>
        <v>2028F</v>
      </c>
      <c r="L5" s="16" t="str">
        <f>TEXT(INPUT!D117+4,"0")&amp;"F"</f>
        <v>2029F</v>
      </c>
      <c r="M5" s="16" t="str">
        <f>TEXT(INPUT!D117+5,"0")&amp;"F"</f>
        <v>2030F</v>
      </c>
    </row>
    <row r="6" spans="1:14" ht="15" customHeight="1" x14ac:dyDescent="0.35">
      <c r="A6" s="453"/>
      <c r="B6" s="16" t="s">
        <v>363</v>
      </c>
      <c r="C6" s="78"/>
      <c r="D6" s="16" t="s">
        <v>295</v>
      </c>
      <c r="E6" s="80"/>
      <c r="F6" s="79"/>
      <c r="G6" s="80"/>
      <c r="H6" s="79"/>
      <c r="I6" s="79"/>
      <c r="J6" s="79"/>
      <c r="K6" s="79"/>
      <c r="L6" s="79"/>
      <c r="M6" s="79"/>
    </row>
    <row r="7" spans="1:14" ht="18" customHeight="1" x14ac:dyDescent="0.5">
      <c r="A7" s="381" t="s">
        <v>5</v>
      </c>
      <c r="B7" s="15" t="s">
        <v>364</v>
      </c>
      <c r="C7" s="7"/>
      <c r="D7" s="23"/>
      <c r="E7" s="23"/>
      <c r="F7" s="23"/>
      <c r="G7" s="23"/>
      <c r="H7" s="23"/>
      <c r="I7" s="23"/>
      <c r="J7" s="23"/>
      <c r="K7" s="23"/>
      <c r="L7" s="23"/>
      <c r="M7" s="23"/>
    </row>
    <row r="8" spans="1:14" ht="15" customHeight="1" x14ac:dyDescent="0.35">
      <c r="A8" s="454"/>
      <c r="B8" s="16" t="s">
        <v>365</v>
      </c>
      <c r="C8" s="16" t="s">
        <v>235</v>
      </c>
      <c r="D8" s="16" t="s">
        <v>294</v>
      </c>
      <c r="E8" s="77" t="s">
        <v>295</v>
      </c>
      <c r="F8" s="77" t="s">
        <v>296</v>
      </c>
      <c r="G8" s="24"/>
      <c r="H8" s="24"/>
      <c r="I8" s="24"/>
      <c r="J8" s="24"/>
      <c r="K8" s="24"/>
      <c r="L8" s="24"/>
      <c r="M8" s="24"/>
    </row>
    <row r="9" spans="1:14" ht="15" customHeight="1" x14ac:dyDescent="0.35">
      <c r="A9" s="453"/>
      <c r="B9" s="72" t="s">
        <v>366</v>
      </c>
      <c r="C9" s="214" t="s">
        <v>69</v>
      </c>
      <c r="D9" s="277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>6.425511782832749E-2</v>
      </c>
      <c r="E9" s="277">
        <f t="array" ref="E9">IFERROR(INDEX(SECTOR_REF!$C$2:$E$61,MATCH(1,(SECTOR_REF!$A$2:$A$61=INPUT!$D$116)*(SECTOR_REF!$B$2:$B$61="Revenue Growth Rate (Y1-Y5)"),0),MATCH("Realiste",{"Pessimiste","Realiste","Optimiste"},0)),IFERROR(INPUT!H9/INPUT!G9-1,0.05))</f>
        <v>6.425511782832749E-2</v>
      </c>
      <c r="F9" s="277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>6.425511782832749E-2</v>
      </c>
      <c r="G9" s="227"/>
      <c r="H9" s="226"/>
      <c r="I9" s="228"/>
      <c r="J9" s="229"/>
      <c r="K9" s="229"/>
      <c r="L9" s="229"/>
      <c r="M9" s="229"/>
    </row>
    <row r="10" spans="1:14" ht="15" customHeight="1" x14ac:dyDescent="0.35">
      <c r="A10" s="453"/>
      <c r="B10" s="72" t="s">
        <v>243</v>
      </c>
      <c r="C10" s="214" t="s">
        <v>69</v>
      </c>
      <c r="D10" s="277">
        <f t="array" ref="D10">IFERROR(INDEX(SECTOR_REF!$C$2:$E$61,MATCH(1,(SECTOR_REF!$A$2:$A$61=INPUT!$D$116)*(SECTOR_REF!$B$2:$B$61="Gross Margin"),0),MATCH("Pessimiste",{"Pessimiste","Realiste","Optimiste"},0)),IFERROR(INPUT!H11/INPUT!H9,0.4)-0.03)</f>
        <v>0.43905164107160455</v>
      </c>
      <c r="E10" s="277">
        <f t="array" ref="E10">IFERROR(INDEX(SECTOR_REF!$C$2:$E$61,MATCH(1,(SECTOR_REF!$A$2:$A$61=INPUT!$D$116)*(SECTOR_REF!$B$2:$B$61="Gross Margin"),0),MATCH("Realiste",{"Pessimiste","Realiste","Optimiste"},0)),IFERROR(INPUT!H11/INPUT!H9,0.4))</f>
        <v>0.46905164107160452</v>
      </c>
      <c r="F10" s="277">
        <f t="array" ref="F10">IFERROR(INDEX(SECTOR_REF!$C$2:$E$61,MATCH(1,(SECTOR_REF!$A$2:$A$61=INPUT!$D$116)*(SECTOR_REF!$B$2:$B$61="Gross Margin"),0),MATCH("Optimiste",{"Pessimiste","Realiste","Optimiste"},0)),IFERROR(INPUT!H11/INPUT!H9,0.4)+0.03)</f>
        <v>0.49905164107160449</v>
      </c>
      <c r="G10" s="226"/>
      <c r="H10" s="226"/>
      <c r="I10" s="228"/>
      <c r="J10" s="229"/>
      <c r="K10" s="229"/>
      <c r="L10" s="229"/>
      <c r="M10" s="229"/>
    </row>
    <row r="11" spans="1:14" ht="15" customHeight="1" x14ac:dyDescent="0.35">
      <c r="A11" s="453"/>
      <c r="B11" s="72" t="s">
        <v>114</v>
      </c>
      <c r="C11" s="214" t="s">
        <v>69</v>
      </c>
      <c r="D11" s="277">
        <f t="array" ref="D11">IFERROR(INDEX(SECTOR_REF!$C$2:$E$61,MATCH(1,(SECTOR_REF!$A$2:$A$61=INPUT!$D$116)*(SECTOR_REF!$B$2:$B$61="EBITDA Margin"),0),MATCH("Pessimiste",{"Pessimiste","Realiste","Optimiste"},0)),IFERROR(INPUT!H30/INPUT!H9,0.15)-0.03)</f>
        <v>0.28970799762591881</v>
      </c>
      <c r="E11" s="277">
        <f t="array" ref="E11">IFERROR(INDEX(SECTOR_REF!$C$2:$E$61,MATCH(1,(SECTOR_REF!$A$2:$A$61=INPUT!$D$116)*(SECTOR_REF!$B$2:$B$61="EBITDA Margin"),0),MATCH("Realiste",{"Pessimiste","Realiste","Optimiste"},0)),IFERROR(INPUT!H30/INPUT!H9,0.15))</f>
        <v>0.31970799762591884</v>
      </c>
      <c r="F11" s="277">
        <f t="array" ref="F11">IFERROR(INDEX(SECTOR_REF!$C$2:$E$61,MATCH(1,(SECTOR_REF!$A$2:$A$61=INPUT!$D$116)*(SECTOR_REF!$B$2:$B$61="EBITDA Margin"),0),MATCH("Optimiste",{"Pessimiste","Realiste","Optimiste"},0)),IFERROR(INPUT!H30/INPUT!H9,0.15)+0.03)</f>
        <v>0.34970799762591886</v>
      </c>
      <c r="G11" s="226"/>
      <c r="H11" s="226"/>
      <c r="I11" s="228"/>
      <c r="J11" s="229"/>
      <c r="K11" s="229"/>
      <c r="L11" s="229"/>
      <c r="M11" s="229"/>
    </row>
    <row r="12" spans="1:14" ht="15" customHeight="1" x14ac:dyDescent="0.35">
      <c r="A12" s="453"/>
      <c r="B12" s="72" t="s">
        <v>78</v>
      </c>
      <c r="C12" s="214" t="s">
        <v>69</v>
      </c>
      <c r="D12" s="277">
        <f t="array" ref="D12">IFERROR(INDEX(SECTOR_REF!$C$2:$E$61,MATCH(1,(SECTOR_REF!$A$2:$A$61=INPUT!$D$116)*(SECTOR_REF!$B$2:$B$61="Terminal Growth Rate"),0),MATCH("Pessimiste",{"Pessimiste","Realiste","Optimiste"},0)),DCF!D67-0.01)</f>
        <v>1.9999999999999997E-2</v>
      </c>
      <c r="E12" s="277">
        <f t="array" ref="E12">IFERROR(INDEX(SECTOR_REF!$C$2:$E$61,MATCH(1,(SECTOR_REF!$A$2:$A$61=INPUT!$D$116)*(SECTOR_REF!$B$2:$B$61="Terminal Growth Rate"),0),MATCH("Realiste",{"Pessimiste","Realiste","Optimiste"},0)),DCF!D67)</f>
        <v>0.03</v>
      </c>
      <c r="F12" s="277">
        <f t="array" ref="F12">IFERROR(INDEX(SECTOR_REF!$C$2:$E$61,MATCH(1,(SECTOR_REF!$A$2:$A$61=INPUT!$D$116)*(SECTOR_REF!$B$2:$B$61="Terminal Growth Rate"),0),MATCH("Optimiste",{"Pessimiste","Realiste","Optimiste"},0)),DCF!D67+0.01)</f>
        <v>0.04</v>
      </c>
      <c r="G12" s="226"/>
      <c r="H12" s="226"/>
      <c r="I12" s="228"/>
      <c r="J12" s="229"/>
      <c r="K12" s="229"/>
      <c r="L12" s="229"/>
      <c r="M12" s="229"/>
    </row>
    <row r="13" spans="1:14" ht="15" customHeight="1" x14ac:dyDescent="0.35">
      <c r="A13" s="453"/>
      <c r="B13" s="72" t="s">
        <v>77</v>
      </c>
      <c r="C13" s="214" t="s">
        <v>69</v>
      </c>
      <c r="D13" s="277">
        <f t="array" ref="D13">IFERROR(INDEX(SECTOR_REF!$C$2:$E$61,MATCH(1,(SECTOR_REF!$A$2:$A$61=INPUT!$D$116)*(SECTOR_REF!$B$2:$B$61="WACC"),0),MATCH("Pessimiste",{"Pessimiste","Realiste","Optimiste"},0)),DCF!D63+0.015)</f>
        <v>0.11761385744000001</v>
      </c>
      <c r="E13" s="277">
        <f t="array" ref="E13">IFERROR(INDEX(SECTOR_REF!$C$2:$E$61,MATCH(1,(SECTOR_REF!$A$2:$A$61=INPUT!$D$116)*(SECTOR_REF!$B$2:$B$61="WACC"),0),MATCH("Realiste",{"Pessimiste","Realiste","Optimiste"},0)),DCF!D63)</f>
        <v>0.10261385744000001</v>
      </c>
      <c r="F13" s="277">
        <f t="array" ref="F13">IFERROR(INDEX(SECTOR_REF!$C$2:$E$61,MATCH(1,(SECTOR_REF!$A$2:$A$61=INPUT!$D$116)*(SECTOR_REF!$B$2:$B$61="WACC"),0),MATCH("Optimiste",{"Pessimiste","Realiste","Optimiste"},0)),DCF!D63-0.015)</f>
        <v>8.7613857440000012E-2</v>
      </c>
      <c r="G13" s="226"/>
      <c r="H13" s="226"/>
      <c r="I13" s="228"/>
      <c r="J13" s="229"/>
      <c r="K13" s="229"/>
      <c r="L13" s="229"/>
      <c r="M13" s="229"/>
    </row>
    <row r="14" spans="1:14" ht="15" customHeight="1" x14ac:dyDescent="0.35">
      <c r="A14" s="453"/>
      <c r="B14" s="210" t="s">
        <v>367</v>
      </c>
      <c r="C14" s="78"/>
      <c r="D14" s="79" t="str">
        <f>IF(INPUT!$D$116="","— Aucun secteur sélectionné (INPUT!D116) —",INPUT!$D$116)</f>
        <v>Technology</v>
      </c>
      <c r="E14" s="79"/>
      <c r="F14" s="79"/>
      <c r="G14" s="79"/>
      <c r="H14" s="79"/>
      <c r="I14" s="79"/>
      <c r="J14" s="79"/>
      <c r="K14" s="79"/>
      <c r="L14" s="79"/>
      <c r="M14" s="79"/>
    </row>
    <row r="15" spans="1:14" ht="18" customHeight="1" x14ac:dyDescent="0.5">
      <c r="A15" s="381" t="s">
        <v>5</v>
      </c>
      <c r="B15" s="15" t="s">
        <v>368</v>
      </c>
      <c r="C15" s="7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4" ht="15" customHeight="1" x14ac:dyDescent="0.35">
      <c r="A16" s="453"/>
      <c r="B16" s="87" t="s">
        <v>2</v>
      </c>
      <c r="C16" s="215" t="s">
        <v>235</v>
      </c>
      <c r="D16" s="374" t="str">
        <f>TEXT(INPUT!D117-3,"0")</f>
        <v>2022</v>
      </c>
      <c r="E16" s="374" t="str">
        <f>TEXT(INPUT!D117-2,"0")</f>
        <v>2023</v>
      </c>
      <c r="F16" s="374" t="str">
        <f>TEXT(INPUT!D117-1,"0")</f>
        <v>2024</v>
      </c>
      <c r="G16" s="16" t="str">
        <f>INPUT!D117&amp;" (LTM)"</f>
        <v>2025 (LTM)</v>
      </c>
      <c r="H16" s="215" t="str">
        <f>TEXT(INPUT!D117+1,"0")&amp;"F"</f>
        <v>2026F</v>
      </c>
      <c r="I16" s="215" t="str">
        <f>TEXT(INPUT!D117+2,"0")&amp;"F"</f>
        <v>2027F</v>
      </c>
      <c r="J16" s="215" t="str">
        <f>TEXT(INPUT!D117+3,"0")&amp;"F"</f>
        <v>2028F</v>
      </c>
      <c r="K16" s="215" t="str">
        <f>TEXT(INPUT!D117+4,"0")&amp;"F"</f>
        <v>2029F</v>
      </c>
      <c r="L16" s="215" t="str">
        <f>TEXT(INPUT!D117+5,"0")&amp;"F"</f>
        <v>2030F</v>
      </c>
      <c r="M16" s="97"/>
    </row>
    <row r="17" spans="1:13" ht="15" customHeight="1" x14ac:dyDescent="0.35">
      <c r="A17" s="453"/>
      <c r="B17" s="72" t="s">
        <v>7</v>
      </c>
      <c r="C17" s="392">
        <v>0</v>
      </c>
      <c r="D17" s="236">
        <f>INPUT!E9</f>
        <v>394328</v>
      </c>
      <c r="E17" s="236">
        <f>INPUT!F9</f>
        <v>383285</v>
      </c>
      <c r="F17" s="236">
        <f>INPUT!G9</f>
        <v>391035</v>
      </c>
      <c r="G17" s="236">
        <f>INPUT!H9</f>
        <v>416161</v>
      </c>
      <c r="H17" s="376">
        <f>INPUT!H9*(1+IF($D$6="Pessimistic",$D$9,IF($D$6="Realistic",$E$9,$F$9)))</f>
        <v>442901.47409055458</v>
      </c>
      <c r="I17" s="376">
        <f>H17*(1+IF($D$6="Pessimistic",$D$9,IF($D$6="Realistic",$E$9,$F$9)))</f>
        <v>471360.16049458308</v>
      </c>
      <c r="J17" s="376">
        <f>I17*(1+IF($D$6="Pessimistic",$D$9,IF($D$6="Realistic",$E$9,$F$9)))</f>
        <v>501647.46314674185</v>
      </c>
      <c r="K17" s="376">
        <f>J17*(1+IF($D$6="Pessimistic",$D$9,IF($D$6="Realistic",$E$9,$F$9)))</f>
        <v>533880.87999951735</v>
      </c>
      <c r="L17" s="376">
        <f>K17*(1+IF($D$6="Pessimistic",$D$9,IF($D$6="Realistic",$E$9,$F$9)))</f>
        <v>568185.45885017747</v>
      </c>
      <c r="M17" s="97"/>
    </row>
    <row r="18" spans="1:13" ht="15" customHeight="1" x14ac:dyDescent="0.35">
      <c r="A18" s="453"/>
      <c r="B18" s="68" t="s">
        <v>10</v>
      </c>
      <c r="C18" s="392">
        <v>0</v>
      </c>
      <c r="D18" s="236">
        <f>INPUT!E11</f>
        <v>170782</v>
      </c>
      <c r="E18" s="236">
        <f>INPUT!F11</f>
        <v>169148</v>
      </c>
      <c r="F18" s="236">
        <f>INPUT!G11</f>
        <v>180683</v>
      </c>
      <c r="G18" s="236">
        <f>INPUT!H11</f>
        <v>195201</v>
      </c>
      <c r="H18" s="377">
        <f>H17*IF($D$6="Pessimistic",$D$10,IF($D$6="Realistic",$E$10,$F$10))</f>
        <v>207743.66325520736</v>
      </c>
      <c r="I18" s="376">
        <f>I17*IF($D$6="Pessimistic",$D$10,IF($D$6="Realistic",$E$10,$F$10))</f>
        <v>221092.25681575909</v>
      </c>
      <c r="J18" s="376">
        <f>J17*IF($D$6="Pessimistic",$D$10,IF($D$6="Realistic",$E$10,$F$10))</f>
        <v>235298.56582838652</v>
      </c>
      <c r="K18" s="376">
        <f>K17*IF($D$6="Pessimistic",$D$10,IF($D$6="Realistic",$E$10,$F$10))</f>
        <v>250417.70290052597</v>
      </c>
      <c r="L18" s="376">
        <f>L17*IF($D$6="Pessimistic",$D$10,IF($D$6="Realistic",$E$10,$F$10))</f>
        <v>266508.32190669834</v>
      </c>
      <c r="M18" s="97"/>
    </row>
    <row r="19" spans="1:13" ht="15" customHeight="1" x14ac:dyDescent="0.35">
      <c r="A19" s="453"/>
      <c r="B19" s="68" t="s">
        <v>21</v>
      </c>
      <c r="C19" s="392">
        <v>0</v>
      </c>
      <c r="D19" s="236">
        <f>INPUT!E30</f>
        <v>119437</v>
      </c>
      <c r="E19" s="236">
        <f>INPUT!F30</f>
        <v>114301</v>
      </c>
      <c r="F19" s="236">
        <f>INPUT!G30</f>
        <v>123216</v>
      </c>
      <c r="G19" s="236">
        <f>INPUT!H30</f>
        <v>133050</v>
      </c>
      <c r="H19" s="377">
        <f>H17*IF($D$6="Pessimistic",$D$11,IF($D$6="Realistic",$E$11,$F$11))</f>
        <v>141599.14342705897</v>
      </c>
      <c r="I19" s="376">
        <f>I17*IF($D$6="Pessimistic",$D$11,IF($D$6="Realistic",$E$11,$F$11))</f>
        <v>150697.6130723549</v>
      </c>
      <c r="J19" s="376">
        <f>J17*IF($D$6="Pessimistic",$D$11,IF($D$6="Realistic",$E$11,$F$11))</f>
        <v>160380.70595676676</v>
      </c>
      <c r="K19" s="376">
        <f>K17*IF($D$6="Pessimistic",$D$11,IF($D$6="Realistic",$E$11,$F$11))</f>
        <v>170685.98711540914</v>
      </c>
      <c r="L19" s="376">
        <f>L17*IF($D$6="Pessimistic",$D$11,IF($D$6="Realistic",$E$11,$F$11))</f>
        <v>181653.43532915413</v>
      </c>
      <c r="M19" s="97"/>
    </row>
    <row r="20" spans="1:13" ht="15" customHeight="1" x14ac:dyDescent="0.35">
      <c r="A20" s="453"/>
      <c r="B20" s="72" t="s">
        <v>19</v>
      </c>
      <c r="C20" s="392">
        <v>0</v>
      </c>
      <c r="D20" s="236">
        <f>INPUT!E26</f>
        <v>90694</v>
      </c>
      <c r="E20" s="236">
        <f>INPUT!F26</f>
        <v>87496</v>
      </c>
      <c r="F20" s="236">
        <f>INPUT!G26</f>
        <v>84845</v>
      </c>
      <c r="G20" s="236">
        <f>INPUT!H26</f>
        <v>102457</v>
      </c>
      <c r="H20" s="376">
        <f>H19*0.6</f>
        <v>84959.486056235372</v>
      </c>
      <c r="I20" s="376">
        <f>I19*0.6</f>
        <v>90418.567843412937</v>
      </c>
      <c r="J20" s="376">
        <f>J19*0.6</f>
        <v>96228.423574060056</v>
      </c>
      <c r="K20" s="376">
        <f>K19*0.6</f>
        <v>102411.59226924548</v>
      </c>
      <c r="L20" s="376">
        <f>L19*0.6</f>
        <v>108992.06119749248</v>
      </c>
      <c r="M20" s="97"/>
    </row>
    <row r="21" spans="1:13" ht="15" customHeight="1" x14ac:dyDescent="0.35">
      <c r="A21" s="453"/>
      <c r="B21" s="68" t="s">
        <v>369</v>
      </c>
      <c r="C21" s="392">
        <v>0</v>
      </c>
      <c r="D21" s="375">
        <f>IFERROR(INPUT!E75+INPUT!E78,"–")</f>
        <v>93685</v>
      </c>
      <c r="E21" s="375">
        <f>IFERROR(INPUT!F75+INPUT!F78,"–")</f>
        <v>81905</v>
      </c>
      <c r="F21" s="375">
        <f>IFERROR(INPUT!G75+INPUT!G78,"–")</f>
        <v>84407</v>
      </c>
      <c r="G21" s="375">
        <f>IFERROR(INPUT!H75+INPUT!H78,"–")</f>
        <v>96624</v>
      </c>
      <c r="H21" s="378">
        <f>H19*0.5</f>
        <v>70799.571713529484</v>
      </c>
      <c r="I21" s="378">
        <f>I19*0.5</f>
        <v>75348.80653617745</v>
      </c>
      <c r="J21" s="378">
        <f>J19*0.5</f>
        <v>80190.35297838338</v>
      </c>
      <c r="K21" s="378">
        <f>K19*0.5</f>
        <v>85342.993557704569</v>
      </c>
      <c r="L21" s="378">
        <f>L19*0.5</f>
        <v>90826.717664577067</v>
      </c>
      <c r="M21" s="97"/>
    </row>
    <row r="22" spans="1:13" ht="15" customHeight="1" thickBot="1" x14ac:dyDescent="0.4">
      <c r="A22" s="455"/>
      <c r="B22" s="68" t="s">
        <v>114</v>
      </c>
      <c r="C22" s="216" t="s">
        <v>69</v>
      </c>
      <c r="D22" s="307">
        <f>IFERROR(INPUT!E30/INPUT!E9,"–")</f>
        <v>0.30288744395528594</v>
      </c>
      <c r="E22" s="307">
        <f>IFERROR(INPUT!F30/INPUT!F9,"–")</f>
        <v>0.29821412265024722</v>
      </c>
      <c r="F22" s="307">
        <f>IFERROR(INPUT!G30/INPUT!G9,"–")</f>
        <v>0.31510222870075566</v>
      </c>
      <c r="G22" s="307">
        <f>IFERROR(INPUT!H30/INPUT!H9,"–")</f>
        <v>0.31970799762591884</v>
      </c>
      <c r="H22" s="306">
        <f>IFERROR(H19/H17,"–")</f>
        <v>0.31970799762591884</v>
      </c>
      <c r="I22" s="306">
        <f>IFERROR(I19/I17,"–")</f>
        <v>0.31970799762591884</v>
      </c>
      <c r="J22" s="306">
        <f>IFERROR(J19/J17,"–")</f>
        <v>0.31970799762591884</v>
      </c>
      <c r="K22" s="306">
        <f>IFERROR(K19/K17,"–")</f>
        <v>0.31970799762591884</v>
      </c>
      <c r="L22" s="306">
        <f>IFERROR(L19/L17,"–")</f>
        <v>0.31970799762591884</v>
      </c>
      <c r="M22" s="97"/>
    </row>
    <row r="23" spans="1:13" ht="15" customHeight="1" x14ac:dyDescent="0.35">
      <c r="A23" s="453"/>
      <c r="B23" s="70" t="s">
        <v>370</v>
      </c>
      <c r="C23" s="214" t="s">
        <v>61</v>
      </c>
      <c r="D23" s="22"/>
      <c r="E23" s="22"/>
      <c r="F23" s="57"/>
      <c r="G23" s="57"/>
      <c r="H23" s="22"/>
      <c r="I23" s="22"/>
      <c r="J23" s="22"/>
      <c r="K23" s="22"/>
      <c r="L23" s="22"/>
      <c r="M23" s="379" t="str">
        <f>IFERROR("$"&amp;TEXT(IF($D$6="Pessimistic",DCF!D91*(1+$D$9+$D$11-$E$9-$E$11)*0.8,IF($D$6="Realistic",DCF!D91,DCF!D91*(1+$F$9+$F$11-$E$9-$E$11)*1.2)),"#,##0.00"),"–")</f>
        <v>$68,963.99</v>
      </c>
    </row>
    <row r="24" spans="1:13" ht="18" customHeight="1" x14ac:dyDescent="0.35">
      <c r="B24" s="70"/>
    </row>
    <row r="25" spans="1:13" ht="21" customHeight="1" x14ac:dyDescent="0.5">
      <c r="A25" s="381" t="s">
        <v>5</v>
      </c>
      <c r="B25" s="217" t="s">
        <v>371</v>
      </c>
      <c r="C25" s="7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5" customHeight="1" x14ac:dyDescent="0.35">
      <c r="A26" s="453"/>
      <c r="B26" s="87" t="s">
        <v>372</v>
      </c>
      <c r="C26" s="218"/>
      <c r="D26" s="89" t="s">
        <v>294</v>
      </c>
      <c r="E26" s="218" t="s">
        <v>295</v>
      </c>
      <c r="F26" s="77" t="s">
        <v>296</v>
      </c>
      <c r="G26" s="218"/>
      <c r="H26" s="218"/>
      <c r="I26" s="218"/>
      <c r="J26" s="218"/>
      <c r="K26" s="218"/>
      <c r="L26" s="218"/>
      <c r="M26" s="218"/>
    </row>
    <row r="27" spans="1:13" ht="15" customHeight="1" x14ac:dyDescent="0.35">
      <c r="A27" s="453"/>
      <c r="B27" s="72" t="s">
        <v>373</v>
      </c>
      <c r="C27" s="392">
        <v>0</v>
      </c>
      <c r="D27" s="388">
        <f>INPUT!H9*(1+$D$9)^5</f>
        <v>568185.4588501777</v>
      </c>
      <c r="E27" s="236">
        <f>INPUT!H9*(1+$E$9)^5</f>
        <v>568185.4588501777</v>
      </c>
      <c r="F27" s="376">
        <f>INPUT!H9*(1+$F$9)^5</f>
        <v>568185.4588501777</v>
      </c>
      <c r="G27" s="31"/>
      <c r="H27" s="31"/>
      <c r="I27" s="97"/>
    </row>
    <row r="28" spans="1:13" ht="15" customHeight="1" x14ac:dyDescent="0.35">
      <c r="A28" s="453"/>
      <c r="B28" s="72" t="s">
        <v>374</v>
      </c>
      <c r="C28" s="392">
        <v>0</v>
      </c>
      <c r="D28" s="388">
        <f>D27*$D$11</f>
        <v>164607.87156364886</v>
      </c>
      <c r="E28" s="236">
        <f>E27*$E$11</f>
        <v>181653.43532915422</v>
      </c>
      <c r="F28" s="376">
        <f>F27*$F$11</f>
        <v>198698.99909465958</v>
      </c>
      <c r="G28" s="31"/>
      <c r="H28" s="31"/>
      <c r="I28" s="97"/>
    </row>
    <row r="29" spans="1:13" ht="15" customHeight="1" x14ac:dyDescent="0.35">
      <c r="A29" s="453"/>
      <c r="B29" s="72" t="s">
        <v>375</v>
      </c>
      <c r="C29" s="392">
        <v>0</v>
      </c>
      <c r="D29" s="388">
        <f>D28*0.6</f>
        <v>98764.722938189312</v>
      </c>
      <c r="E29" s="236">
        <f>E28*0.6</f>
        <v>108992.06119749253</v>
      </c>
      <c r="F29" s="376">
        <f>F28*0.6</f>
        <v>119219.39945679574</v>
      </c>
      <c r="G29" s="31"/>
      <c r="H29" s="31"/>
      <c r="I29" s="97"/>
    </row>
    <row r="30" spans="1:13" ht="15" customHeight="1" x14ac:dyDescent="0.35">
      <c r="A30" s="453"/>
      <c r="B30" s="72" t="s">
        <v>376</v>
      </c>
      <c r="C30" s="392">
        <v>0</v>
      </c>
      <c r="D30" s="388">
        <f>D28*0.5</f>
        <v>82303.935781824432</v>
      </c>
      <c r="E30" s="236">
        <f>E28*0.5</f>
        <v>90826.717664577111</v>
      </c>
      <c r="F30" s="236">
        <f>F28*0.5</f>
        <v>99349.499547329789</v>
      </c>
      <c r="G30" s="31"/>
      <c r="H30" s="31"/>
      <c r="I30" s="97"/>
    </row>
    <row r="31" spans="1:13" ht="15" customHeight="1" x14ac:dyDescent="0.35">
      <c r="A31" s="455"/>
      <c r="B31" s="68" t="s">
        <v>377</v>
      </c>
      <c r="C31" s="11" t="s">
        <v>69</v>
      </c>
      <c r="D31" s="389">
        <f>$D$11</f>
        <v>0.28970799762591881</v>
      </c>
      <c r="E31" s="391">
        <f>$E$11</f>
        <v>0.31970799762591884</v>
      </c>
      <c r="F31" s="391">
        <f>$F$11</f>
        <v>0.34970799762591886</v>
      </c>
      <c r="G31" s="31"/>
      <c r="H31" s="31"/>
      <c r="I31" s="97"/>
    </row>
    <row r="32" spans="1:13" ht="15" customHeight="1" x14ac:dyDescent="0.35">
      <c r="A32" s="453"/>
      <c r="B32" s="70" t="s">
        <v>370</v>
      </c>
      <c r="C32" s="9" t="s">
        <v>61</v>
      </c>
      <c r="D32" s="390" t="str">
        <f>IFERROR("$"&amp;TEXT(DCF!D91*(1+$D$9+$D$11-$E$9-$E$11)*0.8,"#,##0.00"),"–")</f>
        <v>$53,516.06</v>
      </c>
      <c r="E32" s="380" t="str">
        <f>IFERROR("$"&amp;TEXT(DCF!D91,"#,##0.00"),"–")</f>
        <v>$68,963.99</v>
      </c>
      <c r="F32" s="380" t="str">
        <f>IFERROR("$"&amp;TEXT(DCF!D91*(1+$F$9+$F$11-$E$9-$E$11)*1.2,"#,##0.00"),"–")</f>
        <v>$85,239.49</v>
      </c>
      <c r="G32" s="22"/>
      <c r="H32" s="22"/>
      <c r="I32" s="97"/>
    </row>
    <row r="33" spans="1:13" ht="18" customHeight="1" x14ac:dyDescent="0.5">
      <c r="A33" s="381" t="s">
        <v>5</v>
      </c>
      <c r="B33" s="222" t="s">
        <v>378</v>
      </c>
      <c r="C33" s="112"/>
      <c r="D33" s="391" t="str">
        <f>"—"</f>
        <v>—</v>
      </c>
      <c r="E33" s="391" t="str">
        <f>"—"</f>
        <v>—</v>
      </c>
      <c r="F33" s="391">
        <f>IFERROR(F27/D27-1,"–")</f>
        <v>0</v>
      </c>
      <c r="G33" s="109"/>
      <c r="H33" s="109"/>
      <c r="I33" s="109"/>
      <c r="J33" s="109"/>
      <c r="K33" s="109"/>
      <c r="L33" s="109"/>
      <c r="M33" s="109"/>
    </row>
    <row r="34" spans="1:13" ht="15" customHeight="1" x14ac:dyDescent="0.35">
      <c r="A34" s="453"/>
      <c r="B34" s="72" t="s">
        <v>7</v>
      </c>
      <c r="C34" s="73"/>
      <c r="D34" s="144"/>
      <c r="E34" s="143"/>
      <c r="F34" s="143"/>
      <c r="G34" s="143"/>
      <c r="H34" s="143"/>
      <c r="I34" s="143"/>
      <c r="J34" s="31"/>
      <c r="K34" s="31"/>
      <c r="L34" s="31"/>
      <c r="M34" s="31"/>
    </row>
    <row r="35" spans="1:13" ht="15" customHeight="1" x14ac:dyDescent="0.35">
      <c r="A35" s="453"/>
      <c r="B35" s="221" t="str">
        <f>"▶ SCÉNARIO SÉLECTIONNÉ : "&amp;$D$6</f>
        <v>▶ SCÉNARIO SÉLECTIONNÉ : Realistic</v>
      </c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</row>
    <row r="36" spans="1:13" ht="15" customHeight="1" x14ac:dyDescent="0.35">
      <c r="A36" s="453"/>
      <c r="B36" s="72"/>
      <c r="C36" s="73"/>
      <c r="D36" s="144"/>
      <c r="E36" s="143"/>
      <c r="F36" s="143"/>
      <c r="G36" s="143"/>
      <c r="H36" s="143"/>
      <c r="I36" s="143"/>
      <c r="J36" s="31"/>
      <c r="K36" s="31"/>
      <c r="L36" s="31"/>
      <c r="M36" s="31"/>
    </row>
    <row r="37" spans="1:13" ht="15" customHeight="1" x14ac:dyDescent="0.35">
      <c r="A37" s="453"/>
      <c r="B37" s="219" t="s">
        <v>379</v>
      </c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</row>
    <row r="38" spans="1:13" ht="15" customHeight="1" x14ac:dyDescent="0.35">
      <c r="A38" s="453"/>
      <c r="B38" s="87" t="s">
        <v>103</v>
      </c>
      <c r="C38" s="87"/>
      <c r="D38" s="218" t="str">
        <f>TEXT(INPUT!D117+1,"0")&amp;"F"</f>
        <v>2026F</v>
      </c>
      <c r="E38" s="218" t="str">
        <f>TEXT(INPUT!D117+2,"0")&amp;"F"</f>
        <v>2027F</v>
      </c>
      <c r="F38" s="218" t="str">
        <f>TEXT(INPUT!D117+3,"0")&amp;"F"</f>
        <v>2028F</v>
      </c>
      <c r="G38" s="218" t="str">
        <f>TEXT(INPUT!D117+4,"0")&amp;"F"</f>
        <v>2029F</v>
      </c>
      <c r="H38" s="218" t="str">
        <f>TEXT(INPUT!D117+5,"0")&amp;"F"</f>
        <v>2030F</v>
      </c>
      <c r="I38" s="218"/>
      <c r="J38" s="218"/>
      <c r="K38" s="218"/>
      <c r="L38" s="218"/>
      <c r="M38" s="218"/>
    </row>
    <row r="39" spans="1:13" ht="15" customHeight="1" x14ac:dyDescent="0.35">
      <c r="A39" s="453"/>
      <c r="B39" s="72" t="s">
        <v>294</v>
      </c>
      <c r="C39" s="74"/>
      <c r="D39" s="240">
        <f>IF(INPUT!H9="",NA(),INPUT!H9*(1+$D$9))</f>
        <v>442901.47409055458</v>
      </c>
      <c r="E39" s="241">
        <f>IF(INPUT!H9="",NA(),D39*(1+$D$9))</f>
        <v>471360.16049458308</v>
      </c>
      <c r="F39" s="241">
        <f>IF(INPUT!H9="",NA(),E39*(1+$D$9))</f>
        <v>501647.46314674185</v>
      </c>
      <c r="G39" s="241">
        <f>IF(INPUT!H9="",NA(),F39*(1+$D$9))</f>
        <v>533880.87999951735</v>
      </c>
      <c r="H39" s="241">
        <f>IF(INPUT!H9="",NA(),G39*(1+$D$9))</f>
        <v>568185.45885017747</v>
      </c>
      <c r="I39" s="142"/>
      <c r="J39" s="31"/>
      <c r="K39" s="31"/>
      <c r="L39" s="31"/>
      <c r="M39" s="31"/>
    </row>
    <row r="40" spans="1:13" ht="15" customHeight="1" x14ac:dyDescent="0.35">
      <c r="A40" s="455"/>
      <c r="B40" s="68" t="s">
        <v>295</v>
      </c>
      <c r="C40" s="69"/>
      <c r="D40" s="240">
        <f>IF(INPUT!H9="",NA(),INPUT!H9*(1+$E$9))</f>
        <v>442901.47409055458</v>
      </c>
      <c r="E40" s="241">
        <f>IF(INPUT!H9="",NA(),D40*(1+$E$9))</f>
        <v>471360.16049458308</v>
      </c>
      <c r="F40" s="241">
        <f>IF(INPUT!H9="",NA(),E40*(1+$E$9))</f>
        <v>501647.46314674185</v>
      </c>
      <c r="G40" s="241">
        <f>IF(INPUT!H9="",NA(),F40*(1+$E$9))</f>
        <v>533880.87999951735</v>
      </c>
      <c r="H40" s="241">
        <f>IF(INPUT!H9="",NA(),G40*(1+$E$9))</f>
        <v>568185.45885017747</v>
      </c>
      <c r="I40" s="100"/>
      <c r="J40" s="31"/>
      <c r="K40" s="31"/>
      <c r="L40" s="31"/>
      <c r="M40" s="31"/>
    </row>
    <row r="41" spans="1:13" ht="15" customHeight="1" x14ac:dyDescent="0.35">
      <c r="A41" s="453"/>
      <c r="B41" s="75" t="s">
        <v>296</v>
      </c>
      <c r="C41" s="3"/>
      <c r="D41" s="240">
        <f>IF(INPUT!H9="",NA(),INPUT!H9*(1+$F$9))</f>
        <v>442901.47409055458</v>
      </c>
      <c r="E41" s="240">
        <f>IF(INPUT!H9="",NA(),D41*(1+$F$9))</f>
        <v>471360.16049458308</v>
      </c>
      <c r="F41" s="240">
        <f>IF(INPUT!H9="",NA(),E41*(1+$F$9))</f>
        <v>501647.46314674185</v>
      </c>
      <c r="G41" s="240">
        <f>IF(INPUT!H9="",NA(),F41*(1+$F$9))</f>
        <v>533880.87999951735</v>
      </c>
      <c r="H41" s="240">
        <f>IF(INPUT!H9="",NA(),G41*(1+$F$9))</f>
        <v>568185.45885017747</v>
      </c>
      <c r="I41" s="22"/>
      <c r="J41" s="22"/>
      <c r="K41" s="22"/>
      <c r="L41" s="22"/>
      <c r="M41" s="22"/>
    </row>
    <row r="42" spans="1:13" ht="12.75" customHeight="1" x14ac:dyDescent="0.5">
      <c r="A42" s="381" t="s">
        <v>5</v>
      </c>
      <c r="B42" s="382" t="s">
        <v>371</v>
      </c>
      <c r="C42" s="383"/>
      <c r="D42" s="384"/>
      <c r="E42" s="365"/>
      <c r="F42" s="365"/>
      <c r="G42" s="365"/>
      <c r="H42" s="365"/>
      <c r="I42" s="365"/>
      <c r="J42" s="365"/>
      <c r="K42" s="365"/>
      <c r="L42" s="365"/>
      <c r="M42" s="365"/>
    </row>
    <row r="43" spans="1:13" ht="15" customHeight="1" x14ac:dyDescent="0.35">
      <c r="A43" s="454"/>
      <c r="B43" s="26" t="s">
        <v>380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</row>
    <row r="44" spans="1:13" ht="15" customHeight="1" x14ac:dyDescent="0.35">
      <c r="A44" s="453"/>
      <c r="B44" s="16" t="s">
        <v>103</v>
      </c>
      <c r="C44" s="87"/>
      <c r="D44" s="87" t="str">
        <f>TEXT(INPUT!D117+1,"0")&amp;"F"</f>
        <v>2026F</v>
      </c>
      <c r="E44" s="87" t="str">
        <f>TEXT(INPUT!D117+2,"0")&amp;"F"</f>
        <v>2027F</v>
      </c>
      <c r="F44" s="87" t="str">
        <f>TEXT(INPUT!D117+3,"0")&amp;"F"</f>
        <v>2028F</v>
      </c>
      <c r="G44" s="87" t="str">
        <f>TEXT(INPUT!D117+4,"0")&amp;"F"</f>
        <v>2029F</v>
      </c>
      <c r="H44" s="87" t="str">
        <f>TEXT(INPUT!D117+5,"0")&amp;"F"</f>
        <v>2030F</v>
      </c>
      <c r="I44" s="220"/>
      <c r="J44" s="220"/>
      <c r="K44" s="220"/>
      <c r="L44" s="220"/>
      <c r="M44" s="220"/>
    </row>
    <row r="45" spans="1:13" ht="15" customHeight="1" x14ac:dyDescent="0.35">
      <c r="A45" s="453"/>
      <c r="B45" s="75" t="s">
        <v>294</v>
      </c>
      <c r="C45" s="73"/>
      <c r="D45" s="240">
        <f>IF(D40=0,0,D40*$D$11)</f>
        <v>128312.09920434233</v>
      </c>
      <c r="E45" s="236">
        <f>IF(E40=0,0,E40*$D$11)</f>
        <v>136556.80825751738</v>
      </c>
      <c r="F45" s="236">
        <f>IF(F40=0,0,F40*$D$11)</f>
        <v>145331.28206236448</v>
      </c>
      <c r="G45" s="236">
        <f>IF(G40=0,0,G40*$D$11)</f>
        <v>154669.56071542361</v>
      </c>
      <c r="H45" s="387">
        <f>IF(H40=0,0,H40*$D$11)</f>
        <v>164607.87156364881</v>
      </c>
      <c r="I45" s="55"/>
      <c r="J45" s="31"/>
      <c r="K45" s="31"/>
      <c r="L45" s="31"/>
      <c r="M45" s="31"/>
    </row>
    <row r="46" spans="1:13" ht="15" customHeight="1" x14ac:dyDescent="0.35">
      <c r="A46" s="453"/>
      <c r="B46" s="75" t="s">
        <v>295</v>
      </c>
      <c r="C46" s="73"/>
      <c r="D46" s="240">
        <f>IF(D41=0,0,D41*$E$11)</f>
        <v>141599.14342705897</v>
      </c>
      <c r="E46" s="236">
        <f>IF(E41=0,0,E41*$E$11)</f>
        <v>150697.6130723549</v>
      </c>
      <c r="F46" s="236">
        <f>IF(F41=0,0,F41*$E$11)</f>
        <v>160380.70595676676</v>
      </c>
      <c r="G46" s="236">
        <f>IF(G41=0,0,G41*$E$11)</f>
        <v>170685.98711540914</v>
      </c>
      <c r="H46" s="387">
        <f>IF(H41=0,0,H41*$E$11)</f>
        <v>181653.43532915413</v>
      </c>
      <c r="I46" s="55"/>
      <c r="J46" s="31"/>
      <c r="K46" s="31"/>
      <c r="L46" s="31"/>
      <c r="M46" s="31"/>
    </row>
    <row r="47" spans="1:13" ht="15" customHeight="1" x14ac:dyDescent="0.35">
      <c r="A47" s="453"/>
      <c r="B47" s="75" t="s">
        <v>296</v>
      </c>
      <c r="C47" s="73"/>
      <c r="D47" s="240">
        <f>IF(D41=0,0,D41*$F$11)</f>
        <v>154886.18764977562</v>
      </c>
      <c r="E47" s="236">
        <f>IF(E41=0,0,E41*$F$11)</f>
        <v>164838.41788719239</v>
      </c>
      <c r="F47" s="236">
        <f>IF(F41=0,0,F41*$F$11)</f>
        <v>175430.12985116901</v>
      </c>
      <c r="G47" s="236">
        <f>IF(G41=0,0,G41*$F$11)</f>
        <v>186702.4135153947</v>
      </c>
      <c r="H47" s="387">
        <f>IF(H41=0,0,H41*$F$11)</f>
        <v>198698.99909465949</v>
      </c>
      <c r="I47" s="55"/>
      <c r="J47" s="31"/>
      <c r="K47" s="31"/>
      <c r="L47" s="31"/>
      <c r="M47" s="31"/>
    </row>
    <row r="48" spans="1:13" ht="15" customHeight="1" x14ac:dyDescent="0.35">
      <c r="A48" s="453"/>
      <c r="B48" s="75" t="s">
        <v>377</v>
      </c>
      <c r="C48" s="74"/>
      <c r="D48" s="56"/>
      <c r="E48" s="142">
        <f>IFERROR(H45/H39,"–")</f>
        <v>0.28970799762591881</v>
      </c>
      <c r="F48" s="142">
        <f>IFERROR(H46/H40,"–")</f>
        <v>0.31970799762591884</v>
      </c>
      <c r="G48" s="142">
        <f>IFERROR(H47/H41,"–")</f>
        <v>0.34970799762591886</v>
      </c>
      <c r="H48" s="81"/>
      <c r="I48" s="55"/>
      <c r="J48" s="31"/>
      <c r="K48" s="31"/>
      <c r="L48" s="31"/>
      <c r="M48" s="31"/>
    </row>
    <row r="49" spans="1:14" ht="15" customHeight="1" thickBot="1" x14ac:dyDescent="0.4">
      <c r="A49" s="455"/>
      <c r="B49" s="70" t="s">
        <v>370</v>
      </c>
      <c r="C49" s="69"/>
      <c r="D49" s="67"/>
      <c r="E49" s="386" t="str">
        <f>IFERROR("$"&amp;TEXT(DCF!D91*(1+$D$9+$D$11-$E$9-$E$11)*0.8,"#,##0.00"),"–")</f>
        <v>$53,516.06</v>
      </c>
      <c r="F49" s="386" t="str">
        <f>IFERROR("$"&amp;TEXT(DCF!D91,"#,##0.00"),"–")</f>
        <v>$68,963.99</v>
      </c>
      <c r="G49" s="386" t="str">
        <f>IFERROR("$"&amp;TEXT(DCF!D91*(1+$F$9+$F$11-$E$9-$E$11)*1.2,"#,##0.00"),"–")</f>
        <v>$85,239.49</v>
      </c>
      <c r="H49" s="81"/>
      <c r="I49" s="60"/>
      <c r="J49" s="31"/>
      <c r="K49" s="31"/>
      <c r="L49" s="31"/>
      <c r="M49" s="31"/>
    </row>
    <row r="50" spans="1:14" ht="15" customHeight="1" x14ac:dyDescent="0.35">
      <c r="A50" s="453"/>
      <c r="B50" s="14"/>
      <c r="C50" s="3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1:14" ht="15" customHeight="1" x14ac:dyDescent="0.35">
      <c r="A51" s="453"/>
      <c r="B51" s="40" t="s">
        <v>381</v>
      </c>
      <c r="C51" s="3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 spans="1:14" ht="15" customHeight="1" x14ac:dyDescent="0.35">
      <c r="A52" s="453"/>
      <c r="B52" s="14"/>
      <c r="C52" s="3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 spans="1:14" ht="15" customHeight="1" x14ac:dyDescent="0.35">
      <c r="A53" s="457"/>
      <c r="B53" s="32" t="s">
        <v>97</v>
      </c>
      <c r="C53" s="4"/>
      <c r="D53" s="4"/>
      <c r="E53" s="33"/>
      <c r="F53" s="33"/>
      <c r="G53" s="33"/>
      <c r="H53" s="33"/>
      <c r="I53" s="33"/>
      <c r="J53" s="33"/>
      <c r="K53" s="33"/>
      <c r="L53" s="33"/>
      <c r="M53" s="33"/>
      <c r="N53" s="96"/>
    </row>
    <row r="54" spans="1:14" ht="15" customHeight="1" x14ac:dyDescent="0.35">
      <c r="A54" s="457"/>
      <c r="B54" s="32" t="s">
        <v>98</v>
      </c>
      <c r="C54" s="4"/>
      <c r="D54" s="4"/>
      <c r="E54" s="33"/>
      <c r="F54" s="33"/>
      <c r="G54" s="33"/>
      <c r="H54" s="33"/>
      <c r="I54" s="33"/>
      <c r="J54" s="33"/>
      <c r="K54" s="33"/>
      <c r="L54" s="33"/>
      <c r="M54" s="33"/>
      <c r="N54" s="96"/>
    </row>
    <row r="55" spans="1:14" ht="15" customHeight="1" x14ac:dyDescent="0.35">
      <c r="A55" s="457"/>
      <c r="B55" s="32" t="s">
        <v>99</v>
      </c>
      <c r="C55" s="4"/>
      <c r="D55" s="4"/>
      <c r="E55" s="33"/>
      <c r="F55" s="33"/>
      <c r="G55" s="33"/>
      <c r="H55" s="33"/>
      <c r="I55" s="33"/>
      <c r="J55" s="33"/>
      <c r="K55" s="33"/>
      <c r="L55" s="33"/>
      <c r="M55" s="33"/>
      <c r="N55" s="96"/>
    </row>
    <row r="56" spans="1:14" ht="15" customHeight="1" x14ac:dyDescent="0.35">
      <c r="A56" s="453"/>
      <c r="B56" s="14"/>
      <c r="C56" s="3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spans="1:14" ht="15" customHeight="1" x14ac:dyDescent="0.35">
      <c r="A57" s="454"/>
      <c r="B57" s="16" t="s">
        <v>382</v>
      </c>
      <c r="C57" s="83">
        <f>INPUT!D117+1</f>
        <v>2026</v>
      </c>
      <c r="D57" s="83">
        <f>INPUT!D117+2</f>
        <v>2027</v>
      </c>
      <c r="E57" s="83">
        <f>INPUT!D117+3</f>
        <v>2028</v>
      </c>
      <c r="F57" s="83">
        <f>INPUT!D117+4</f>
        <v>2029</v>
      </c>
      <c r="G57" s="83">
        <f>INPUT!D117+5</f>
        <v>2030</v>
      </c>
      <c r="H57" s="24"/>
      <c r="I57" s="24"/>
      <c r="J57" s="24"/>
      <c r="K57" s="24"/>
      <c r="L57" s="24"/>
      <c r="M57" s="24"/>
      <c r="N57" s="98"/>
    </row>
    <row r="58" spans="1:14" ht="15" customHeight="1" x14ac:dyDescent="0.35">
      <c r="A58" s="453"/>
      <c r="B58" s="14" t="s">
        <v>294</v>
      </c>
      <c r="C58" s="308">
        <f>IF(INPUT!H9="",NA(),INPUT!H9*(1+$D$9))</f>
        <v>442901.47409055458</v>
      </c>
      <c r="D58" s="385">
        <f>IF(INPUT!H9="",NA(),C58*(1+$D$9))</f>
        <v>471360.16049458308</v>
      </c>
      <c r="E58" s="308">
        <f>IF(INPUT!H9="",NA(),D58*(1+$D$9))</f>
        <v>501647.46314674185</v>
      </c>
      <c r="F58" s="308">
        <f>IF(INPUT!H9="",NA(),E58*(1+$D$9))</f>
        <v>533880.87999951735</v>
      </c>
      <c r="G58" s="308">
        <f>IF(INPUT!H9="",NA(),F58*(1+$D$9))</f>
        <v>568185.45885017747</v>
      </c>
      <c r="H58" s="22"/>
      <c r="I58" s="22"/>
      <c r="J58" s="22"/>
      <c r="K58" s="22"/>
      <c r="L58" s="22"/>
      <c r="M58" s="22"/>
    </row>
    <row r="59" spans="1:14" ht="15" customHeight="1" x14ac:dyDescent="0.35">
      <c r="A59" s="453"/>
      <c r="B59" s="14" t="s">
        <v>295</v>
      </c>
      <c r="C59" s="308">
        <f>IF(INPUT!H9="",NA(),INPUT!H9*(1+$E$9))</f>
        <v>442901.47409055458</v>
      </c>
      <c r="D59" s="385">
        <f>IF(INPUT!H9="",NA(),C59*(1+$E$9))</f>
        <v>471360.16049458308</v>
      </c>
      <c r="E59" s="308">
        <f>IF(INPUT!H9="",NA(),D59*(1+$E$9))</f>
        <v>501647.46314674185</v>
      </c>
      <c r="F59" s="308">
        <f>IF(INPUT!H9="",NA(),E59*(1+$E$9))</f>
        <v>533880.87999951735</v>
      </c>
      <c r="G59" s="308">
        <f>IF(INPUT!H9="",NA(),F59*(1+$E$9))</f>
        <v>568185.45885017747</v>
      </c>
      <c r="H59" s="22"/>
      <c r="I59" s="22"/>
      <c r="J59" s="22"/>
      <c r="K59" s="22"/>
      <c r="L59" s="22"/>
      <c r="M59" s="22"/>
    </row>
    <row r="60" spans="1:14" ht="15" customHeight="1" x14ac:dyDescent="0.35">
      <c r="A60" s="453"/>
      <c r="B60" s="14" t="s">
        <v>296</v>
      </c>
      <c r="C60" s="308">
        <f>IF(INPUT!H9="",NA(),INPUT!H9*(1+$F$9))</f>
        <v>442901.47409055458</v>
      </c>
      <c r="D60" s="385">
        <f>IF(INPUT!H9="",NA(),C60*(1+$F$9))</f>
        <v>471360.16049458308</v>
      </c>
      <c r="E60" s="308">
        <f>IF(INPUT!H9="",NA(),D60*(1+$F$9))</f>
        <v>501647.46314674185</v>
      </c>
      <c r="F60" s="308">
        <f>IF(INPUT!H9="",NA(),E60*(1+$F$9))</f>
        <v>533880.87999951735</v>
      </c>
      <c r="G60" s="308">
        <f>IF(INPUT!H9="",NA(),F60*(1+$F$9))</f>
        <v>568185.45885017747</v>
      </c>
      <c r="H60" s="22"/>
      <c r="I60" s="22"/>
      <c r="J60" s="22"/>
      <c r="K60" s="22"/>
      <c r="L60" s="22"/>
      <c r="M60" s="22"/>
    </row>
    <row r="61" spans="1:14" ht="15" customHeight="1" x14ac:dyDescent="0.35">
      <c r="A61" s="453"/>
      <c r="B61" s="14"/>
      <c r="C61" s="3"/>
      <c r="D61" s="22"/>
      <c r="E61" s="22"/>
      <c r="F61" s="22"/>
      <c r="G61" s="22"/>
      <c r="H61" s="22"/>
      <c r="I61" s="22"/>
      <c r="J61" s="22"/>
      <c r="K61" s="22"/>
      <c r="L61" s="22"/>
      <c r="M61" s="22"/>
    </row>
    <row r="62" spans="1:14" ht="15" customHeight="1" x14ac:dyDescent="0.35">
      <c r="A62" s="454"/>
      <c r="B62" s="16" t="s">
        <v>383</v>
      </c>
      <c r="C62" s="83">
        <f>INPUT!D117+1</f>
        <v>2026</v>
      </c>
      <c r="D62" s="83">
        <f>INPUT!D117+2</f>
        <v>2027</v>
      </c>
      <c r="E62" s="83">
        <f>INPUT!D117+3</f>
        <v>2028</v>
      </c>
      <c r="F62" s="83">
        <f>INPUT!D117+4</f>
        <v>2029</v>
      </c>
      <c r="G62" s="83">
        <f>INPUT!D117+5</f>
        <v>2030</v>
      </c>
      <c r="H62" s="24"/>
      <c r="I62" s="24"/>
      <c r="J62" s="24"/>
      <c r="K62" s="24"/>
      <c r="L62" s="24"/>
      <c r="M62" s="24"/>
      <c r="N62" s="98"/>
    </row>
    <row r="63" spans="1:14" ht="15" customHeight="1" x14ac:dyDescent="0.35">
      <c r="A63" s="453"/>
      <c r="B63" s="14" t="s">
        <v>294</v>
      </c>
      <c r="C63" s="308">
        <f>IF(INPUT!H9="",NA(),INPUT!H9*(1+$D$9)*$D$11)</f>
        <v>128312.09920434233</v>
      </c>
      <c r="D63" s="385">
        <f>IF(INPUT!H9="",NA(),C58*(1+$D$9)*$D$11)</f>
        <v>136556.80825751738</v>
      </c>
      <c r="E63" s="308">
        <f>IF(INPUT!H9="",NA(),D58*(1+$D$9)*$D$11)</f>
        <v>145331.28206236448</v>
      </c>
      <c r="F63" s="308">
        <f>IF(INPUT!H9="",NA(),E58*(1+$D$9)*$D$11)</f>
        <v>154669.56071542361</v>
      </c>
      <c r="G63" s="308">
        <f>IF(INPUT!H9="",NA(),F58*(1+$D$9)*$D$11)</f>
        <v>164607.87156364881</v>
      </c>
      <c r="H63" s="22"/>
      <c r="I63" s="22"/>
      <c r="J63" s="22"/>
      <c r="K63" s="22"/>
      <c r="L63" s="22"/>
      <c r="M63" s="22"/>
    </row>
    <row r="64" spans="1:14" ht="15" customHeight="1" x14ac:dyDescent="0.35">
      <c r="A64" s="453"/>
      <c r="B64" s="14" t="s">
        <v>295</v>
      </c>
      <c r="C64" s="308">
        <f>IF(INPUT!H9="",NA(),INPUT!H9*(1+$E$9)*$E$11)</f>
        <v>141599.14342705897</v>
      </c>
      <c r="D64" s="385">
        <f>IF(INPUT!H9="",NA(),C59*(1+$E$9)*$E$11)</f>
        <v>150697.6130723549</v>
      </c>
      <c r="E64" s="308">
        <f>IF(INPUT!H9="",NA(),D59*(1+$E$9)*$E$11)</f>
        <v>160380.70595676676</v>
      </c>
      <c r="F64" s="308">
        <f>IF(INPUT!H9="",NA(),E59*(1+$E$9)*$E$11)</f>
        <v>170685.98711540914</v>
      </c>
      <c r="G64" s="308">
        <f>IF(INPUT!H9="",NA(),F59*(1+$E$9)*$E$11)</f>
        <v>181653.43532915413</v>
      </c>
      <c r="H64" s="22"/>
      <c r="I64" s="22"/>
      <c r="J64" s="22"/>
      <c r="K64" s="22"/>
      <c r="L64" s="22"/>
      <c r="M64" s="22"/>
    </row>
    <row r="65" spans="1:13" ht="15" customHeight="1" x14ac:dyDescent="0.35">
      <c r="A65" s="453"/>
      <c r="B65" s="14" t="s">
        <v>296</v>
      </c>
      <c r="C65" s="308">
        <f>IF(INPUT!H9="",NA(),INPUT!H9*(1+$F$9)*$F$11)</f>
        <v>154886.18764977562</v>
      </c>
      <c r="D65" s="385">
        <f>IF(INPUT!H9="",NA(),C60*(1+$F$9)*$F$11)</f>
        <v>164838.41788719239</v>
      </c>
      <c r="E65" s="308">
        <f>IF(INPUT!H9="",NA(),D60*(1+$F$9)*$F$11)</f>
        <v>175430.12985116901</v>
      </c>
      <c r="F65" s="308">
        <f>IF(INPUT!H9="",NA(),E60*(1+$F$9)*$F$11)</f>
        <v>186702.4135153947</v>
      </c>
      <c r="G65" s="308">
        <f>IF(INPUT!H9="",NA(),F60*(1+$F$9)*$F$11)</f>
        <v>198698.99909465949</v>
      </c>
      <c r="H65" s="22"/>
      <c r="I65" s="22"/>
      <c r="J65" s="22"/>
      <c r="K65" s="22"/>
      <c r="L65" s="22"/>
      <c r="M65" s="22"/>
    </row>
    <row r="66" spans="1:13" ht="15" customHeight="1" x14ac:dyDescent="0.3">
      <c r="B66" s="47"/>
    </row>
    <row r="67" spans="1:13" ht="15" customHeight="1" x14ac:dyDescent="0.3">
      <c r="B67" s="47"/>
    </row>
    <row r="68" spans="1:13" ht="15" customHeight="1" x14ac:dyDescent="0.3">
      <c r="B68" s="47"/>
    </row>
    <row r="69" spans="1:13" ht="15" customHeight="1" x14ac:dyDescent="0.3">
      <c r="B69" s="47"/>
    </row>
    <row r="70" spans="1:13" ht="15" customHeight="1" x14ac:dyDescent="0.3">
      <c r="B70" s="47"/>
    </row>
    <row r="71" spans="1:13" ht="15" customHeight="1" x14ac:dyDescent="0.3">
      <c r="B71" s="47"/>
    </row>
    <row r="72" spans="1:13" ht="15" customHeight="1" x14ac:dyDescent="0.3">
      <c r="B72" s="47"/>
    </row>
    <row r="73" spans="1:13" ht="15" customHeight="1" x14ac:dyDescent="0.3">
      <c r="B73" s="47"/>
    </row>
    <row r="74" spans="1:13" ht="15" customHeight="1" x14ac:dyDescent="0.3">
      <c r="B74" s="47"/>
    </row>
    <row r="75" spans="1:13" ht="15" customHeight="1" x14ac:dyDescent="0.3">
      <c r="B75" s="47"/>
    </row>
    <row r="76" spans="1:13" ht="15" customHeight="1" x14ac:dyDescent="0.3">
      <c r="B76" s="47"/>
    </row>
    <row r="77" spans="1:13" ht="15" customHeight="1" x14ac:dyDescent="0.3">
      <c r="B77" s="47"/>
    </row>
    <row r="78" spans="1:13" ht="15" customHeight="1" x14ac:dyDescent="0.3">
      <c r="B78" s="47"/>
    </row>
    <row r="79" spans="1:13" ht="15" customHeight="1" x14ac:dyDescent="0.3">
      <c r="B79" s="47"/>
    </row>
    <row r="80" spans="1:13" ht="15" customHeight="1" x14ac:dyDescent="0.3">
      <c r="B80" s="47"/>
    </row>
    <row r="81" spans="2:2" ht="15" customHeight="1" x14ac:dyDescent="0.3">
      <c r="B81" s="47"/>
    </row>
    <row r="82" spans="2:2" ht="15" customHeight="1" x14ac:dyDescent="0.3">
      <c r="B82" s="47"/>
    </row>
    <row r="83" spans="2:2" ht="15" customHeight="1" x14ac:dyDescent="0.3">
      <c r="B83" s="47"/>
    </row>
    <row r="84" spans="2:2" ht="15" customHeight="1" x14ac:dyDescent="0.3">
      <c r="B84" s="47"/>
    </row>
    <row r="85" spans="2:2" ht="15" customHeight="1" x14ac:dyDescent="0.3">
      <c r="B85" s="47"/>
    </row>
    <row r="86" spans="2:2" ht="15" customHeight="1" x14ac:dyDescent="0.3">
      <c r="B86" s="47"/>
    </row>
    <row r="87" spans="2:2" ht="15" customHeight="1" x14ac:dyDescent="0.3">
      <c r="B87" s="47"/>
    </row>
    <row r="88" spans="2:2" ht="15" customHeight="1" x14ac:dyDescent="0.3">
      <c r="B88" s="47"/>
    </row>
    <row r="89" spans="2:2" ht="15" customHeight="1" x14ac:dyDescent="0.3">
      <c r="B89" s="47"/>
    </row>
    <row r="90" spans="2:2" ht="15" customHeight="1" x14ac:dyDescent="0.3">
      <c r="B90" s="47"/>
    </row>
    <row r="91" spans="2:2" ht="15" customHeight="1" x14ac:dyDescent="0.3">
      <c r="B91" s="47"/>
    </row>
    <row r="92" spans="2:2" ht="15" customHeight="1" x14ac:dyDescent="0.3">
      <c r="B92" s="47"/>
    </row>
    <row r="93" spans="2:2" ht="15" customHeight="1" x14ac:dyDescent="0.3">
      <c r="B93" s="47"/>
    </row>
    <row r="94" spans="2:2" ht="15" customHeight="1" x14ac:dyDescent="0.3">
      <c r="B94" s="47"/>
    </row>
    <row r="95" spans="2:2" ht="15" customHeight="1" x14ac:dyDescent="0.3">
      <c r="B95" s="47"/>
    </row>
    <row r="96" spans="2:2" ht="15" customHeight="1" x14ac:dyDescent="0.3">
      <c r="B96" s="47"/>
    </row>
    <row r="97" spans="2:2" ht="15" customHeight="1" x14ac:dyDescent="0.3">
      <c r="B97" s="47"/>
    </row>
    <row r="98" spans="2:2" ht="15" customHeight="1" x14ac:dyDescent="0.3">
      <c r="B98" s="47"/>
    </row>
    <row r="99" spans="2:2" ht="15" customHeight="1" x14ac:dyDescent="0.3">
      <c r="B99" s="47"/>
    </row>
    <row r="100" spans="2:2" ht="15" customHeight="1" x14ac:dyDescent="0.3">
      <c r="B100" s="47"/>
    </row>
    <row r="101" spans="2:2" ht="15" customHeight="1" x14ac:dyDescent="0.3">
      <c r="B101" s="47"/>
    </row>
    <row r="102" spans="2:2" ht="15" customHeight="1" x14ac:dyDescent="0.3">
      <c r="B102" s="47"/>
    </row>
    <row r="103" spans="2:2" ht="15" customHeight="1" x14ac:dyDescent="0.3">
      <c r="B103" s="47"/>
    </row>
    <row r="104" spans="2:2" ht="15" customHeight="1" x14ac:dyDescent="0.3">
      <c r="B104" s="47"/>
    </row>
    <row r="105" spans="2:2" ht="15" customHeight="1" x14ac:dyDescent="0.3">
      <c r="B105" s="47"/>
    </row>
    <row r="106" spans="2:2" ht="15" customHeight="1" x14ac:dyDescent="0.3">
      <c r="B106" s="47"/>
    </row>
    <row r="107" spans="2:2" ht="15" customHeight="1" x14ac:dyDescent="0.3">
      <c r="B107" s="47"/>
    </row>
    <row r="108" spans="2:2" ht="15" customHeight="1" x14ac:dyDescent="0.3">
      <c r="B108" s="47"/>
    </row>
    <row r="109" spans="2:2" ht="15" customHeight="1" x14ac:dyDescent="0.3">
      <c r="B109" s="47"/>
    </row>
    <row r="110" spans="2:2" ht="15" customHeight="1" x14ac:dyDescent="0.3">
      <c r="B110" s="47"/>
    </row>
    <row r="111" spans="2:2" ht="15" customHeight="1" x14ac:dyDescent="0.3">
      <c r="B111" s="47"/>
    </row>
    <row r="112" spans="2:2" ht="15" customHeight="1" x14ac:dyDescent="0.3">
      <c r="B112" s="47"/>
    </row>
    <row r="113" spans="2:2" ht="15" customHeight="1" x14ac:dyDescent="0.3">
      <c r="B113" s="47"/>
    </row>
    <row r="114" spans="2:2" ht="15" customHeight="1" x14ac:dyDescent="0.3">
      <c r="B114" s="47"/>
    </row>
    <row r="115" spans="2:2" ht="15" customHeight="1" x14ac:dyDescent="0.3">
      <c r="B115" s="47"/>
    </row>
    <row r="116" spans="2:2" ht="15" customHeight="1" x14ac:dyDescent="0.3">
      <c r="B116" s="47"/>
    </row>
    <row r="117" spans="2:2" ht="15" customHeight="1" x14ac:dyDescent="0.3">
      <c r="B117" s="47"/>
    </row>
    <row r="118" spans="2:2" ht="15" customHeight="1" x14ac:dyDescent="0.3">
      <c r="B118" s="47"/>
    </row>
    <row r="119" spans="2:2" ht="15" customHeight="1" x14ac:dyDescent="0.3">
      <c r="B119" s="47"/>
    </row>
    <row r="120" spans="2:2" ht="15" customHeight="1" x14ac:dyDescent="0.3">
      <c r="B120" s="47"/>
    </row>
  </sheetData>
  <dataValidations disablePrompts="1" count="1">
    <dataValidation type="list" allowBlank="1" showInputMessage="1" showErrorMessage="1" errorTitle="Invalid Selection" error="Please select Pessimistic, Realistic, or Optimistic" promptTitle="Select Scenario" prompt="Choose: Pessimistic, Realistic, or Optimistic" sqref="D6" xr:uid="{00000000-0002-0000-0600-000000000000}">
      <formula1>"Pessimistic,Realistic,Optimistic"</formula1>
    </dataValidation>
  </dataValidations>
  <printOptions horizontalCentered="1"/>
  <pageMargins left="5.5555555555555558E-3" right="5.5555555555555558E-3" top="6.9444444444444441E-3" bottom="6.9444444444444441E-3" header="2.7777777777777779E-3" footer="2.7777777777777779E-3"/>
  <pageSetup paperSize="9" scale="97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FD120"/>
  <sheetViews>
    <sheetView showGridLines="0" topLeftCell="A7" zoomScale="70" zoomScaleNormal="70" workbookViewId="0">
      <selection activeCell="S33" sqref="S33"/>
    </sheetView>
  </sheetViews>
  <sheetFormatPr baseColWidth="10" defaultColWidth="11.5546875" defaultRowHeight="14.4" outlineLevelRow="1" x14ac:dyDescent="0.3"/>
  <cols>
    <col min="1" max="1" width="10" customWidth="1"/>
    <col min="2" max="2" width="13.6640625" style="19" bestFit="1" customWidth="1"/>
    <col min="3" max="3" width="15.88671875" customWidth="1"/>
    <col min="4" max="4" width="12" style="21" customWidth="1"/>
    <col min="5" max="5" width="18.5546875" style="21" customWidth="1"/>
    <col min="6" max="6" width="24.6640625" style="21" customWidth="1"/>
    <col min="7" max="7" width="10.109375" style="21" customWidth="1"/>
    <col min="8" max="8" width="17.5546875" style="21" customWidth="1"/>
    <col min="9" max="9" width="20.88671875" style="21" customWidth="1"/>
    <col min="10" max="10" width="16.109375" style="21" customWidth="1"/>
    <col min="11" max="13" width="12.33203125" style="21" bestFit="1" customWidth="1"/>
    <col min="14" max="15" width="11.88671875" style="21" customWidth="1"/>
  </cols>
  <sheetData>
    <row r="1" spans="1:21" ht="50.1" customHeight="1" x14ac:dyDescent="0.6">
      <c r="A1" s="162"/>
      <c r="B1" s="104" t="s">
        <v>100</v>
      </c>
      <c r="C1" s="162"/>
      <c r="D1" s="162"/>
      <c r="E1" s="162"/>
      <c r="F1" s="162"/>
      <c r="G1" s="162"/>
      <c r="H1" s="162"/>
      <c r="I1" s="162"/>
      <c r="J1" s="162"/>
      <c r="K1" s="139"/>
      <c r="L1" s="151"/>
      <c r="M1" s="151"/>
      <c r="N1" s="151"/>
      <c r="Q1" s="421" t="s">
        <v>384</v>
      </c>
      <c r="R1" s="421">
        <v>2022</v>
      </c>
      <c r="S1" s="421">
        <v>2023</v>
      </c>
      <c r="T1" s="421">
        <v>2024</v>
      </c>
      <c r="U1" s="421"/>
    </row>
    <row r="2" spans="1:21" ht="15" customHeight="1" x14ac:dyDescent="0.35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Q2" s="421" t="s">
        <v>384</v>
      </c>
      <c r="R2" s="421" t="s">
        <v>385</v>
      </c>
      <c r="S2" s="421">
        <f>RATIOS!F78</f>
        <v>1168648</v>
      </c>
      <c r="T2" s="421">
        <f>RATIOS!G78</f>
        <v>1584809</v>
      </c>
      <c r="U2" s="421"/>
    </row>
    <row r="3" spans="1:21" ht="21" customHeight="1" x14ac:dyDescent="0.5">
      <c r="A3" s="163" t="s">
        <v>5</v>
      </c>
      <c r="B3" s="141" t="s">
        <v>386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Q3" s="422">
        <v>2022</v>
      </c>
      <c r="R3" s="421">
        <f>RATIOS!E78</f>
        <v>777613</v>
      </c>
    </row>
    <row r="4" spans="1:21" ht="15" customHeight="1" x14ac:dyDescent="0.35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Q4" s="422">
        <v>2023</v>
      </c>
      <c r="R4" s="421">
        <f>RATIOS!F78</f>
        <v>1168648</v>
      </c>
    </row>
    <row r="5" spans="1:21" ht="15" customHeight="1" x14ac:dyDescent="0.35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309" t="str">
        <f>"All figures in "&amp;INPUT!D118&amp;" "&amp;INPUT!D119&amp;" unless stated"</f>
        <v>All figures in USD M unless stated</v>
      </c>
      <c r="N5" s="159"/>
      <c r="Q5" s="422">
        <v>2024</v>
      </c>
      <c r="R5" s="421">
        <f>RATIOS!G78</f>
        <v>1584809</v>
      </c>
    </row>
    <row r="6" spans="1:21" ht="15" customHeight="1" x14ac:dyDescent="0.35">
      <c r="A6" s="159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Q6" s="421"/>
      <c r="R6" s="421"/>
    </row>
    <row r="7" spans="1:21" ht="15" customHeight="1" x14ac:dyDescent="0.35">
      <c r="A7" s="159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Q7" s="448" t="s">
        <v>103</v>
      </c>
      <c r="R7" s="448" t="s">
        <v>7</v>
      </c>
      <c r="S7" s="448" t="s">
        <v>19</v>
      </c>
      <c r="T7" s="448" t="s">
        <v>387</v>
      </c>
    </row>
    <row r="8" spans="1:21" ht="15" customHeight="1" x14ac:dyDescent="0.35">
      <c r="A8" s="159"/>
      <c r="B8" s="150" t="s">
        <v>388</v>
      </c>
      <c r="C8" s="150"/>
      <c r="D8" s="150"/>
      <c r="E8" s="157"/>
      <c r="F8" s="157"/>
      <c r="G8" s="159"/>
      <c r="H8" s="199" t="s">
        <v>389</v>
      </c>
      <c r="I8" s="198"/>
      <c r="J8" s="198"/>
      <c r="K8" s="198"/>
      <c r="L8" s="198"/>
      <c r="M8" s="198"/>
      <c r="N8" s="159"/>
      <c r="Q8" s="448">
        <v>2022</v>
      </c>
      <c r="R8" s="448">
        <f>RATIOS!E75</f>
        <v>394328</v>
      </c>
      <c r="S8" s="448">
        <f>RATIOS!E77</f>
        <v>87496</v>
      </c>
      <c r="T8" s="448">
        <f>RATIOS!E82</f>
        <v>0.22999634821772738</v>
      </c>
    </row>
    <row r="9" spans="1:21" ht="15" customHeight="1" x14ac:dyDescent="0.35">
      <c r="A9" s="159"/>
      <c r="B9" s="165"/>
      <c r="C9" s="165"/>
      <c r="D9" s="165"/>
      <c r="E9" s="165"/>
      <c r="F9" s="165"/>
      <c r="G9" s="159"/>
      <c r="H9" s="165"/>
      <c r="I9" s="198"/>
      <c r="J9" s="198"/>
      <c r="K9" s="198"/>
      <c r="L9" s="165"/>
      <c r="M9" s="159"/>
      <c r="N9" s="159"/>
      <c r="Q9" s="448">
        <v>2023</v>
      </c>
      <c r="R9" s="448">
        <f>RATIOS!F75</f>
        <v>383285</v>
      </c>
      <c r="S9" s="448">
        <f>RATIOS!F77</f>
        <v>84845</v>
      </c>
      <c r="T9" s="448">
        <f>RATIOS!F82</f>
        <v>0.22827921781442007</v>
      </c>
    </row>
    <row r="10" spans="1:21" ht="15" customHeight="1" x14ac:dyDescent="0.35">
      <c r="A10" s="159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Q10" s="448">
        <v>2024</v>
      </c>
      <c r="R10" s="448">
        <f>RATIOS!G75</f>
        <v>391035</v>
      </c>
      <c r="S10" s="448">
        <f>RATIOS!G77</f>
        <v>84845</v>
      </c>
      <c r="T10" s="448">
        <f>RATIOS!G82</f>
        <v>0.21697546255450278</v>
      </c>
    </row>
    <row r="11" spans="1:21" ht="15" customHeight="1" x14ac:dyDescent="0.35">
      <c r="A11" s="159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Q11" s="448" t="s">
        <v>4</v>
      </c>
      <c r="R11" s="448">
        <f>RATIOS!H75</f>
        <v>416161</v>
      </c>
      <c r="S11" s="448">
        <f>RATIOS!H77</f>
        <v>102457</v>
      </c>
      <c r="T11" s="448">
        <f>RATIOS!H82</f>
        <v>0.24619558295947963</v>
      </c>
    </row>
    <row r="12" spans="1:21" ht="15" customHeight="1" x14ac:dyDescent="0.35">
      <c r="A12" s="159"/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</row>
    <row r="13" spans="1:21" ht="15" customHeight="1" x14ac:dyDescent="0.35">
      <c r="A13" s="159"/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</row>
    <row r="14" spans="1:21" ht="15" customHeight="1" x14ac:dyDescent="0.35">
      <c r="A14" s="159"/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</row>
    <row r="15" spans="1:21" ht="15" customHeight="1" x14ac:dyDescent="0.35">
      <c r="A15" s="159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</row>
    <row r="16" spans="1:21" ht="15" customHeight="1" x14ac:dyDescent="0.35">
      <c r="A16" s="159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</row>
    <row r="17" spans="1:14" ht="15" customHeight="1" x14ac:dyDescent="0.35">
      <c r="A17" s="159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</row>
    <row r="18" spans="1:14" ht="15" customHeight="1" x14ac:dyDescent="0.35">
      <c r="A18" s="159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</row>
    <row r="19" spans="1:14" ht="15" customHeight="1" x14ac:dyDescent="0.35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</row>
    <row r="20" spans="1:14" ht="15" customHeight="1" x14ac:dyDescent="0.35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</row>
    <row r="21" spans="1:14" ht="15" customHeight="1" x14ac:dyDescent="0.35">
      <c r="A21" s="159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</row>
    <row r="22" spans="1:14" ht="15" customHeight="1" x14ac:dyDescent="0.35">
      <c r="A22" s="159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</row>
    <row r="23" spans="1:14" ht="15" customHeight="1" x14ac:dyDescent="0.35">
      <c r="A23" s="159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</row>
    <row r="24" spans="1:14" ht="15" customHeight="1" x14ac:dyDescent="0.35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</row>
    <row r="25" spans="1:14" ht="15" customHeight="1" x14ac:dyDescent="0.35">
      <c r="A25" s="159"/>
      <c r="B25" s="199" t="s">
        <v>390</v>
      </c>
      <c r="C25" s="199"/>
      <c r="D25" s="199"/>
      <c r="E25" s="199"/>
      <c r="F25" s="200"/>
      <c r="G25" s="159"/>
      <c r="H25" s="199" t="s">
        <v>391</v>
      </c>
      <c r="I25" s="198"/>
      <c r="J25" s="198"/>
      <c r="K25" s="198"/>
      <c r="L25" s="198"/>
      <c r="M25" s="198"/>
      <c r="N25" s="159"/>
    </row>
    <row r="26" spans="1:14" ht="15" customHeight="1" x14ac:dyDescent="0.35">
      <c r="A26" s="159"/>
      <c r="B26" s="165"/>
      <c r="C26" s="165"/>
      <c r="D26" s="165"/>
      <c r="E26" s="165"/>
      <c r="F26" s="165"/>
      <c r="G26" s="159"/>
      <c r="H26" s="165"/>
      <c r="I26" s="165"/>
      <c r="J26" s="165"/>
      <c r="K26" s="165"/>
      <c r="L26" s="165"/>
      <c r="M26" s="159"/>
      <c r="N26" s="159"/>
    </row>
    <row r="27" spans="1:14" ht="15" customHeight="1" x14ac:dyDescent="0.35">
      <c r="A27" s="159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</row>
    <row r="28" spans="1:14" ht="15" customHeight="1" x14ac:dyDescent="0.35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</row>
    <row r="29" spans="1:14" ht="15" customHeight="1" x14ac:dyDescent="0.35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</row>
    <row r="30" spans="1:14" ht="15" customHeight="1" x14ac:dyDescent="0.35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</row>
    <row r="31" spans="1:14" ht="15" customHeight="1" x14ac:dyDescent="0.35">
      <c r="A31" s="159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</row>
    <row r="32" spans="1:14" ht="15" customHeight="1" x14ac:dyDescent="0.35">
      <c r="A32" s="159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</row>
    <row r="33" spans="1:16" ht="15" customHeight="1" x14ac:dyDescent="0.35">
      <c r="A33" s="159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</row>
    <row r="34" spans="1:16" ht="15" customHeight="1" x14ac:dyDescent="0.35">
      <c r="A34" s="159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</row>
    <row r="35" spans="1:16" ht="15" customHeight="1" x14ac:dyDescent="0.35">
      <c r="A35" s="159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</row>
    <row r="36" spans="1:16" ht="15" customHeight="1" x14ac:dyDescent="0.35">
      <c r="A36" s="159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</row>
    <row r="37" spans="1:16" ht="15" customHeight="1" x14ac:dyDescent="0.35">
      <c r="A37" s="159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</row>
    <row r="38" spans="1:16" ht="15" customHeight="1" x14ac:dyDescent="0.35">
      <c r="A38" s="159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</row>
    <row r="39" spans="1:16" ht="15" customHeight="1" x14ac:dyDescent="0.35">
      <c r="A39" s="159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</row>
    <row r="40" spans="1:16" ht="15" customHeight="1" x14ac:dyDescent="0.35">
      <c r="A40" s="159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</row>
    <row r="41" spans="1:16" ht="15" customHeight="1" x14ac:dyDescent="0.35">
      <c r="A41" s="159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</row>
    <row r="42" spans="1:16" ht="15" customHeight="1" x14ac:dyDescent="0.35">
      <c r="A42" s="159"/>
      <c r="B42" s="197" t="s">
        <v>392</v>
      </c>
      <c r="C42" s="197"/>
      <c r="D42" s="197"/>
      <c r="E42" s="198"/>
      <c r="G42" s="159"/>
      <c r="H42" s="197" t="s">
        <v>393</v>
      </c>
      <c r="I42" s="198"/>
      <c r="J42" s="198"/>
      <c r="K42" s="198"/>
      <c r="L42" s="198"/>
      <c r="M42" s="198"/>
      <c r="N42" s="159"/>
    </row>
    <row r="43" spans="1:16" ht="15" customHeight="1" x14ac:dyDescent="0.35">
      <c r="A43" s="159"/>
      <c r="B43" s="159"/>
      <c r="C43" s="159"/>
      <c r="D43" s="159"/>
      <c r="E43" s="403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</row>
    <row r="44" spans="1:16" ht="15" customHeight="1" x14ac:dyDescent="0.35">
      <c r="A44" s="159"/>
      <c r="B44" s="159"/>
      <c r="C44" s="175" t="s">
        <v>394</v>
      </c>
      <c r="D44" s="404" t="s">
        <v>395</v>
      </c>
      <c r="E44" s="405"/>
      <c r="F44" s="402"/>
      <c r="H44" s="159"/>
      <c r="I44" s="175" t="s">
        <v>396</v>
      </c>
      <c r="J44" s="175" t="s">
        <v>397</v>
      </c>
      <c r="K44" s="175" t="s">
        <v>398</v>
      </c>
      <c r="L44" s="175" t="s">
        <v>399</v>
      </c>
      <c r="P44" s="159"/>
    </row>
    <row r="45" spans="1:16" ht="15" customHeight="1" outlineLevel="1" x14ac:dyDescent="0.35">
      <c r="A45" s="159"/>
      <c r="B45" s="173" t="s">
        <v>7</v>
      </c>
      <c r="C45" s="419">
        <f>AVERAGE(INPUT!D9:H9)</f>
        <v>396202.25</v>
      </c>
      <c r="D45" s="403"/>
      <c r="E45" s="403"/>
      <c r="F45" s="397"/>
      <c r="H45" s="173" t="s">
        <v>7</v>
      </c>
      <c r="I45" s="406">
        <f>INPUT!H9</f>
        <v>416161</v>
      </c>
      <c r="J45" s="406">
        <f>INPUT!G9</f>
        <v>391035</v>
      </c>
      <c r="K45" s="406">
        <f>I45-J45</f>
        <v>25126</v>
      </c>
      <c r="L45" s="310">
        <f>IF(J45=0,NA(),K45/ABS(J45))</f>
        <v>6.4255117828327393E-2</v>
      </c>
      <c r="P45" s="159"/>
    </row>
    <row r="46" spans="1:16" ht="15" customHeight="1" x14ac:dyDescent="0.35">
      <c r="A46" s="159"/>
      <c r="B46" s="174"/>
      <c r="C46" s="403"/>
      <c r="D46" s="403"/>
      <c r="E46" s="403"/>
      <c r="F46" s="159"/>
      <c r="H46" s="174"/>
      <c r="I46" s="201"/>
      <c r="J46" s="407"/>
      <c r="K46" s="201"/>
      <c r="L46" s="202"/>
      <c r="P46" s="159"/>
    </row>
    <row r="47" spans="1:16" ht="15" customHeight="1" outlineLevel="1" x14ac:dyDescent="0.35">
      <c r="A47" s="159"/>
      <c r="B47" s="173" t="s">
        <v>400</v>
      </c>
      <c r="C47" s="409">
        <f>ABS(AVERAGE(INPUT!D10:H10))</f>
        <v>217248.75</v>
      </c>
      <c r="D47" s="403"/>
      <c r="E47" s="403"/>
      <c r="F47" s="397"/>
      <c r="H47" s="173" t="s">
        <v>400</v>
      </c>
      <c r="I47" s="406">
        <f>ABS(INPUT!H10)</f>
        <v>220960</v>
      </c>
      <c r="J47" s="409">
        <f>ABS(INPUT!G10)</f>
        <v>210352</v>
      </c>
      <c r="K47" s="406">
        <f>I47-J47</f>
        <v>10608</v>
      </c>
      <c r="L47" s="310">
        <f>IF(J47=0,NA(),K47/ABS(J47))</f>
        <v>5.0429755837833726E-2</v>
      </c>
      <c r="P47" s="159"/>
    </row>
    <row r="48" spans="1:16" ht="15" customHeight="1" x14ac:dyDescent="0.35">
      <c r="A48" s="159"/>
      <c r="B48" s="174"/>
      <c r="C48" s="403"/>
      <c r="D48" s="403"/>
      <c r="E48" s="403"/>
      <c r="F48" s="159"/>
      <c r="H48" s="174"/>
      <c r="I48" s="201"/>
      <c r="J48" s="407"/>
      <c r="K48" s="201"/>
      <c r="L48" s="202"/>
      <c r="P48" s="159"/>
    </row>
    <row r="49" spans="1:16" ht="15" customHeight="1" outlineLevel="1" x14ac:dyDescent="0.35">
      <c r="A49" s="159"/>
      <c r="B49" s="173" t="s">
        <v>401</v>
      </c>
      <c r="C49" s="409">
        <f>ABS(AVERAGE(INPUT!D13:H13))</f>
        <v>54315.199999999997</v>
      </c>
      <c r="D49" s="403"/>
      <c r="E49" s="403"/>
      <c r="F49" s="397"/>
      <c r="H49" s="173" t="s">
        <v>401</v>
      </c>
      <c r="I49" s="406">
        <f>ABS(INPUT!H13)</f>
        <v>73849</v>
      </c>
      <c r="J49" s="409">
        <f>ABS(INPUT!G13)</f>
        <v>68912</v>
      </c>
      <c r="K49" s="406">
        <f>I49-J49</f>
        <v>4937</v>
      </c>
      <c r="L49" s="310">
        <f>IF(J49=0,NA(),K49/ABS(J49))</f>
        <v>7.1642094265149753E-2</v>
      </c>
      <c r="P49" s="159"/>
    </row>
    <row r="50" spans="1:16" ht="15" customHeight="1" x14ac:dyDescent="0.35">
      <c r="A50" s="159"/>
      <c r="B50" s="174"/>
      <c r="C50" s="403"/>
      <c r="D50" s="403"/>
      <c r="E50" s="403"/>
      <c r="F50" s="159"/>
      <c r="H50" s="174"/>
      <c r="I50" s="201"/>
      <c r="J50" s="407"/>
      <c r="K50" s="201"/>
      <c r="L50" s="202"/>
      <c r="P50" s="159"/>
    </row>
    <row r="51" spans="1:16" ht="15" customHeight="1" outlineLevel="1" x14ac:dyDescent="0.35">
      <c r="A51" s="159"/>
      <c r="B51" s="173" t="s">
        <v>19</v>
      </c>
      <c r="C51" s="409">
        <f>AVERAGE(INPUT!D26:H26)</f>
        <v>73098.399999999994</v>
      </c>
      <c r="D51" s="403"/>
      <c r="E51" s="403"/>
      <c r="F51" s="397"/>
      <c r="H51" s="173" t="s">
        <v>19</v>
      </c>
      <c r="I51" s="406">
        <f>INPUT!H26</f>
        <v>102457</v>
      </c>
      <c r="J51" s="409">
        <f>INPUT!G26</f>
        <v>84845</v>
      </c>
      <c r="K51" s="406">
        <f>I51-J51</f>
        <v>17612</v>
      </c>
      <c r="L51" s="310">
        <f>IF(J51=0,NA(),K51/ABS(J51))</f>
        <v>0.20757852554658496</v>
      </c>
      <c r="P51" s="159"/>
    </row>
    <row r="52" spans="1:16" ht="15" customHeight="1" x14ac:dyDescent="0.35">
      <c r="A52" s="159"/>
      <c r="B52" s="174"/>
      <c r="C52" s="403"/>
      <c r="D52" s="403"/>
      <c r="E52" s="403"/>
      <c r="F52" s="159"/>
      <c r="H52" s="174"/>
      <c r="I52" s="159"/>
      <c r="J52" s="408"/>
      <c r="K52" s="159"/>
      <c r="L52" s="202"/>
      <c r="P52" s="159"/>
    </row>
    <row r="53" spans="1:16" ht="15" customHeight="1" x14ac:dyDescent="0.35">
      <c r="A53" s="159"/>
      <c r="B53" s="173" t="s">
        <v>402</v>
      </c>
      <c r="C53" s="420">
        <f>AVERAGE(INPUT!D26:H26)/AVERAGE(INPUT!D9:H9)</f>
        <v>0.18449769025794274</v>
      </c>
      <c r="D53" s="403"/>
      <c r="E53" s="403"/>
      <c r="F53" s="401"/>
      <c r="H53" s="173" t="s">
        <v>402</v>
      </c>
      <c r="I53" s="310">
        <f>INPUT!H26/INPUT!H9</f>
        <v>0.24619558295947963</v>
      </c>
      <c r="J53" s="310">
        <f>INPUT!G26/INPUT!G9</f>
        <v>0.21697546255450278</v>
      </c>
      <c r="K53" s="310">
        <f>I53-J53</f>
        <v>2.9220120404976846E-2</v>
      </c>
      <c r="L53" s="310">
        <f>IF(J53=0,NA(),K53/ABS(J53))</f>
        <v>0.13467016067605778</v>
      </c>
      <c r="P53" s="159"/>
    </row>
    <row r="54" spans="1:16" ht="15" customHeight="1" x14ac:dyDescent="0.35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</row>
    <row r="55" spans="1:16" ht="15" customHeight="1" x14ac:dyDescent="0.35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</row>
    <row r="56" spans="1:16" ht="15" customHeight="1" x14ac:dyDescent="0.35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</row>
    <row r="57" spans="1:16" ht="15" customHeight="1" x14ac:dyDescent="0.35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</row>
    <row r="58" spans="1:16" ht="15" customHeight="1" x14ac:dyDescent="0.35">
      <c r="A58" s="159"/>
      <c r="B58" s="197" t="s">
        <v>403</v>
      </c>
      <c r="C58" s="197" t="s">
        <v>403</v>
      </c>
      <c r="D58" s="197" t="s">
        <v>403</v>
      </c>
      <c r="E58" s="197" t="s">
        <v>403</v>
      </c>
      <c r="G58" s="159"/>
      <c r="H58" s="197" t="s">
        <v>404</v>
      </c>
      <c r="I58" s="198"/>
      <c r="J58" s="198"/>
      <c r="K58" s="198"/>
      <c r="L58" s="198"/>
      <c r="M58" s="198"/>
      <c r="N58" s="159"/>
    </row>
    <row r="59" spans="1:16" ht="15" customHeight="1" x14ac:dyDescent="0.35">
      <c r="A59" s="159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</row>
    <row r="60" spans="1:16" ht="15" customHeight="1" x14ac:dyDescent="0.35">
      <c r="A60" s="159"/>
      <c r="B60" s="156" t="s">
        <v>7</v>
      </c>
      <c r="C60" s="159"/>
      <c r="D60" s="414">
        <f>INPUT!H9</f>
        <v>416161</v>
      </c>
      <c r="E60" s="410">
        <f>INPUT!H9</f>
        <v>416161</v>
      </c>
      <c r="F60" s="100"/>
      <c r="G60" s="100"/>
      <c r="H60" s="156" t="s">
        <v>405</v>
      </c>
      <c r="I60" s="159"/>
      <c r="J60" s="394"/>
      <c r="K60" s="159"/>
    </row>
    <row r="61" spans="1:16" ht="15" customHeight="1" x14ac:dyDescent="0.35">
      <c r="A61" s="159"/>
      <c r="B61" s="158" t="s">
        <v>400</v>
      </c>
      <c r="C61" s="159"/>
      <c r="D61" s="415">
        <f>INPUT!H10</f>
        <v>-220960</v>
      </c>
      <c r="E61" s="411">
        <f>ABS(INPUT!H10)</f>
        <v>220960</v>
      </c>
      <c r="F61" s="136"/>
      <c r="G61" s="136"/>
      <c r="H61" s="158" t="s">
        <v>406</v>
      </c>
      <c r="I61" s="159"/>
      <c r="J61" s="397">
        <f>INPUT!H38</f>
        <v>96014</v>
      </c>
      <c r="K61" s="413">
        <f>INPUT!H38</f>
        <v>96014</v>
      </c>
    </row>
    <row r="62" spans="1:16" ht="15" customHeight="1" x14ac:dyDescent="0.35">
      <c r="A62" s="159"/>
      <c r="B62" s="159"/>
      <c r="C62" s="159"/>
      <c r="D62" s="416"/>
      <c r="E62" s="159"/>
      <c r="F62" s="159"/>
      <c r="G62" s="159"/>
      <c r="H62" s="158" t="s">
        <v>407</v>
      </c>
      <c r="I62" s="159"/>
      <c r="J62" s="397">
        <f>SUM(INPUT!H41:H43)</f>
        <v>114173</v>
      </c>
      <c r="K62" s="413">
        <f>SUM(INPUT!H41:H43)</f>
        <v>114173</v>
      </c>
    </row>
    <row r="63" spans="1:16" ht="15" customHeight="1" x14ac:dyDescent="0.35">
      <c r="A63" s="159"/>
      <c r="B63" s="156" t="s">
        <v>401</v>
      </c>
      <c r="C63" s="159"/>
      <c r="D63" s="417">
        <f>ABS(INPUT!H14)</f>
        <v>27601</v>
      </c>
      <c r="E63" s="399"/>
      <c r="F63" s="159"/>
      <c r="G63" s="159"/>
      <c r="H63" s="159"/>
      <c r="I63" s="159"/>
      <c r="J63" s="395"/>
      <c r="K63" s="159"/>
    </row>
    <row r="64" spans="1:16" ht="15" customHeight="1" thickBot="1" x14ac:dyDescent="0.4">
      <c r="A64" s="159"/>
      <c r="B64" s="158" t="s">
        <v>408</v>
      </c>
      <c r="C64" s="159"/>
      <c r="D64" s="418">
        <f>ABS(INPUT!H15)</f>
        <v>34550</v>
      </c>
      <c r="E64" s="411">
        <f>ABS(INPUT!H15)</f>
        <v>34550</v>
      </c>
      <c r="F64" s="136"/>
      <c r="G64" s="136"/>
      <c r="H64" s="156" t="s">
        <v>31</v>
      </c>
      <c r="I64" s="159"/>
      <c r="J64" s="400">
        <f>INPUT!H44</f>
        <v>210187</v>
      </c>
      <c r="K64" s="412">
        <f>INPUT!H44</f>
        <v>210187</v>
      </c>
    </row>
    <row r="65" spans="1:15 16369:16369" ht="15" customHeight="1" x14ac:dyDescent="0.35">
      <c r="A65" s="159"/>
      <c r="B65" s="158" t="s">
        <v>409</v>
      </c>
      <c r="C65" s="159"/>
      <c r="D65" s="418">
        <f>ABS(INPUT!H16)</f>
        <v>11698</v>
      </c>
      <c r="E65" s="411">
        <f>ABS(INPUT!H16)</f>
        <v>11698</v>
      </c>
      <c r="F65" s="136"/>
      <c r="G65" s="136"/>
      <c r="H65" s="159"/>
      <c r="I65" s="159"/>
      <c r="J65" s="395"/>
      <c r="K65" s="159"/>
    </row>
    <row r="66" spans="1:15 16369:16369" ht="15" customHeight="1" x14ac:dyDescent="0.35">
      <c r="A66" s="159"/>
      <c r="B66" s="158" t="s">
        <v>410</v>
      </c>
      <c r="C66" s="159"/>
      <c r="D66" s="418">
        <f>ABS(INPUT!H20)</f>
        <v>0</v>
      </c>
      <c r="E66" s="411">
        <f>ABS(INPUT!H20)</f>
        <v>0</v>
      </c>
      <c r="F66" s="136"/>
      <c r="G66" s="136"/>
      <c r="H66" s="156" t="s">
        <v>411</v>
      </c>
      <c r="I66" s="159"/>
      <c r="J66" s="396">
        <f>INPUT!H51</f>
        <v>147657</v>
      </c>
      <c r="K66" s="399"/>
    </row>
    <row r="67" spans="1:15 16369:16369" ht="15" customHeight="1" x14ac:dyDescent="0.35">
      <c r="A67" s="159"/>
      <c r="B67" s="158" t="s">
        <v>412</v>
      </c>
      <c r="C67" s="159"/>
      <c r="D67" s="414">
        <f>SUM(D64:D66)</f>
        <v>46248</v>
      </c>
      <c r="E67" s="410">
        <f>SUM(E64:E66)</f>
        <v>46248</v>
      </c>
      <c r="F67" s="136"/>
      <c r="G67" s="136"/>
      <c r="H67" s="158" t="s">
        <v>413</v>
      </c>
      <c r="I67" s="159"/>
      <c r="J67" s="397">
        <f>INPUT!H54</f>
        <v>78328</v>
      </c>
      <c r="K67" s="413">
        <f>INPUT!H51</f>
        <v>147657</v>
      </c>
    </row>
    <row r="68" spans="1:15 16369:16369" ht="15" customHeight="1" x14ac:dyDescent="0.35">
      <c r="A68" s="159"/>
      <c r="B68" s="158" t="s">
        <v>414</v>
      </c>
      <c r="C68" s="159"/>
      <c r="D68" s="398">
        <f>SUM(D64:D67)</f>
        <v>92496</v>
      </c>
      <c r="E68" s="411">
        <f>SUM(E64:E67)</f>
        <v>92496</v>
      </c>
      <c r="F68" s="136"/>
      <c r="G68" s="136"/>
      <c r="H68" s="158" t="s">
        <v>415</v>
      </c>
      <c r="I68" s="159"/>
      <c r="J68" s="397">
        <f>INPUT!H60</f>
        <v>79304</v>
      </c>
      <c r="K68" s="413">
        <f>INPUT!H54</f>
        <v>78328</v>
      </c>
    </row>
    <row r="69" spans="1:15 16369:16369" ht="15" customHeight="1" x14ac:dyDescent="0.35">
      <c r="A69" s="159"/>
      <c r="B69" s="159"/>
      <c r="C69" s="159"/>
      <c r="D69" s="395"/>
      <c r="E69" s="159"/>
      <c r="F69" s="159"/>
      <c r="G69" s="159"/>
      <c r="H69" s="158" t="s">
        <v>416</v>
      </c>
      <c r="I69" s="159"/>
      <c r="J69" s="397">
        <f>INPUT!F60</f>
        <v>73598</v>
      </c>
      <c r="K69" s="413">
        <f>INPUT!H60</f>
        <v>79304</v>
      </c>
    </row>
    <row r="70" spans="1:15 16369:16369" ht="15" customHeight="1" x14ac:dyDescent="0.35">
      <c r="A70" s="159"/>
      <c r="B70" s="159"/>
      <c r="C70" s="159"/>
      <c r="D70" s="399">
        <f>D60+D61-D68</f>
        <v>102705</v>
      </c>
      <c r="E70" s="399"/>
      <c r="F70" s="159"/>
      <c r="G70" s="159"/>
      <c r="H70" s="159"/>
      <c r="I70" s="159"/>
      <c r="J70" s="396">
        <f>INPUT!H63</f>
        <v>305289</v>
      </c>
      <c r="K70" s="399"/>
    </row>
    <row r="71" spans="1:15 16369:16369" ht="15" customHeight="1" thickBot="1" x14ac:dyDescent="0.4">
      <c r="A71" s="159"/>
      <c r="B71" s="156" t="s">
        <v>417</v>
      </c>
      <c r="C71" s="159"/>
      <c r="D71" s="400">
        <f>D60+D61-D68</f>
        <v>102705</v>
      </c>
      <c r="E71" s="410">
        <f>E60-E61-E68</f>
        <v>102705</v>
      </c>
      <c r="F71" s="100"/>
      <c r="G71" s="100"/>
      <c r="H71" s="156" t="s">
        <v>418</v>
      </c>
      <c r="I71" s="159"/>
      <c r="J71" s="400">
        <f>INPUT!F63</f>
        <v>306126</v>
      </c>
      <c r="K71" s="412">
        <f>INPUT!H63</f>
        <v>305289</v>
      </c>
    </row>
    <row r="72" spans="1:15 16369:16369" ht="15" customHeight="1" x14ac:dyDescent="0.35">
      <c r="A72" s="15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</row>
    <row r="73" spans="1:15 16369:16369" ht="15" customHeight="1" x14ac:dyDescent="0.35">
      <c r="L73" s="159"/>
    </row>
    <row r="74" spans="1:15 16369:16369" ht="15" customHeight="1" x14ac:dyDescent="0.35">
      <c r="K74" s="159"/>
      <c r="XEO74" s="159"/>
    </row>
    <row r="75" spans="1:15 16369:16369" ht="15" customHeight="1" x14ac:dyDescent="0.35">
      <c r="K75" s="159"/>
      <c r="XEO75" s="159"/>
    </row>
    <row r="76" spans="1:15 16369:16369" ht="15" customHeight="1" x14ac:dyDescent="0.3"/>
    <row r="77" spans="1:15 16369:16369" ht="15" customHeight="1" x14ac:dyDescent="0.3"/>
    <row r="78" spans="1:15 16369:16369" ht="15" customHeight="1" x14ac:dyDescent="0.35">
      <c r="A78" s="211"/>
      <c r="B78" s="323"/>
      <c r="C78" s="323"/>
      <c r="D78" s="323"/>
      <c r="E78" s="323"/>
      <c r="F78" s="323"/>
      <c r="G78" s="323"/>
      <c r="H78" s="323"/>
      <c r="I78" s="323"/>
      <c r="J78" s="323"/>
      <c r="K78" s="323"/>
      <c r="L78" s="323"/>
      <c r="M78" s="323"/>
      <c r="N78" s="212"/>
      <c r="O78" s="212"/>
    </row>
    <row r="79" spans="1:15 16369:16369" ht="15" customHeight="1" x14ac:dyDescent="0.35">
      <c r="A79" s="211"/>
      <c r="B79" s="323"/>
      <c r="C79" s="323"/>
      <c r="D79" s="323"/>
      <c r="E79" s="323"/>
      <c r="F79" s="323"/>
      <c r="G79" s="323"/>
      <c r="H79" s="323"/>
      <c r="I79" s="323"/>
      <c r="J79" s="323"/>
      <c r="K79" s="323"/>
      <c r="L79" s="323"/>
      <c r="M79" s="212"/>
      <c r="N79" s="212"/>
      <c r="O79" s="212"/>
    </row>
    <row r="80" spans="1:15 16369:16369" ht="15" customHeight="1" x14ac:dyDescent="0.35">
      <c r="A80" s="211"/>
      <c r="B80" s="323"/>
      <c r="C80" s="323"/>
      <c r="D80" s="323"/>
      <c r="E80" s="323"/>
      <c r="F80" s="323"/>
      <c r="G80" s="323"/>
      <c r="H80" s="323"/>
      <c r="I80" s="323"/>
      <c r="J80" s="323"/>
      <c r="K80" s="323"/>
      <c r="L80" s="323"/>
      <c r="M80" s="212"/>
      <c r="N80" s="212"/>
      <c r="O80" s="212"/>
    </row>
    <row r="81" spans="1:15 16373:16384" ht="15" customHeight="1" x14ac:dyDescent="0.3">
      <c r="A81" s="212"/>
      <c r="B81" s="212"/>
      <c r="C81" s="324" t="e">
        <f>IF(INPUT!D5="",NA(),INPUT!D5)</f>
        <v>#N/A</v>
      </c>
      <c r="D81" s="325">
        <f>INPUT!E5</f>
        <v>2022</v>
      </c>
      <c r="E81" s="326">
        <f>INPUT!F5</f>
        <v>2023</v>
      </c>
      <c r="F81" s="326">
        <f>INPUT!G5</f>
        <v>2024</v>
      </c>
      <c r="G81" s="326" t="str">
        <f>INPUT!H5</f>
        <v>2025 (LTM)</v>
      </c>
      <c r="H81" s="327"/>
      <c r="I81" s="326" t="e">
        <f>IF(INPUT!D5="",NA(),INPUT!D5)</f>
        <v>#N/A</v>
      </c>
      <c r="J81" s="326">
        <f>INPUT!E5</f>
        <v>2022</v>
      </c>
      <c r="K81" s="326">
        <f>INPUT!F5</f>
        <v>2023</v>
      </c>
      <c r="L81" s="326">
        <f>INPUT!G5</f>
        <v>2024</v>
      </c>
      <c r="M81" s="326" t="str">
        <f>INPUT!H5</f>
        <v>2025 (LTM)</v>
      </c>
      <c r="N81" s="327"/>
      <c r="O81" s="212"/>
    </row>
    <row r="82" spans="1:15 16373:16384" ht="15" customHeight="1" x14ac:dyDescent="0.3">
      <c r="A82" s="212"/>
      <c r="B82" s="212" t="s">
        <v>7</v>
      </c>
      <c r="C82" s="328" t="e">
        <f>IF(INPUT!D9="",NA(),INPUT!D9)</f>
        <v>#N/A</v>
      </c>
      <c r="D82" s="212">
        <f>IF(INPUT!E9="",NA(),INPUT!E9)</f>
        <v>394328</v>
      </c>
      <c r="E82" s="327">
        <f>IF(INPUT!F9="",NA(),INPUT!F9)</f>
        <v>383285</v>
      </c>
      <c r="F82" s="327">
        <f>IF(INPUT!G9="",NA(),INPUT!G9)</f>
        <v>391035</v>
      </c>
      <c r="G82" s="327">
        <f>IF(INPUT!H9="",NA(),INPUT!H9)</f>
        <v>416161</v>
      </c>
      <c r="H82" s="327"/>
      <c r="I82" s="327"/>
      <c r="J82" s="327"/>
      <c r="K82" s="327"/>
      <c r="L82" s="327"/>
      <c r="M82" s="327"/>
      <c r="N82" s="327"/>
      <c r="O82" s="212"/>
    </row>
    <row r="83" spans="1:15 16373:16384" ht="15" customHeight="1" x14ac:dyDescent="0.3">
      <c r="A83" s="212"/>
      <c r="B83" s="212"/>
      <c r="C83" s="212" t="s">
        <v>21</v>
      </c>
      <c r="D83" s="328">
        <f>IF(INPUT!D30="",NA(),INPUT!D30)</f>
        <v>0</v>
      </c>
      <c r="E83" s="212">
        <f>IF(INPUT!E30="",NA(),INPUT!E30)</f>
        <v>119437</v>
      </c>
      <c r="F83" s="327">
        <f>IF(INPUT!F30="",NA(),INPUT!F30)</f>
        <v>114301</v>
      </c>
      <c r="G83" s="327">
        <f>IF(INPUT!G30="",NA(),INPUT!G30)</f>
        <v>123216</v>
      </c>
      <c r="H83" s="327">
        <f>IF(INPUT!H30="",NA(),INPUT!H30)</f>
        <v>133050</v>
      </c>
      <c r="I83" s="327"/>
      <c r="J83" s="327"/>
      <c r="K83" s="327"/>
      <c r="L83" s="327"/>
      <c r="M83" s="327"/>
      <c r="N83" s="327"/>
      <c r="O83" s="327"/>
    </row>
    <row r="84" spans="1:15 16373:16384" ht="15" customHeight="1" x14ac:dyDescent="0.3">
      <c r="A84" s="212"/>
      <c r="B84" s="212"/>
      <c r="C84" s="212" t="s">
        <v>19</v>
      </c>
      <c r="D84" s="328">
        <f>IF(INPUT!D26="",NA(),INPUT!D26)</f>
        <v>0</v>
      </c>
      <c r="E84" s="212">
        <f>IF(INPUT!E26="",NA(),INPUT!E26)</f>
        <v>90694</v>
      </c>
      <c r="F84" s="327">
        <f>IF(INPUT!F26="",NA(),INPUT!F26)</f>
        <v>87496</v>
      </c>
      <c r="G84" s="327">
        <f>IF(INPUT!G26="",NA(),INPUT!G26)</f>
        <v>84845</v>
      </c>
      <c r="H84" s="327">
        <f>IF(INPUT!H26="",NA(),INPUT!H26)</f>
        <v>102457</v>
      </c>
      <c r="I84" s="327"/>
      <c r="J84" s="327"/>
      <c r="K84" s="327"/>
      <c r="L84" s="327"/>
      <c r="M84" s="327"/>
      <c r="N84" s="327"/>
      <c r="O84" s="327"/>
    </row>
    <row r="85" spans="1:15 16373:16384" ht="15" customHeight="1" x14ac:dyDescent="0.3">
      <c r="A85" s="212"/>
      <c r="B85" s="212"/>
      <c r="C85" s="212"/>
      <c r="D85" s="328"/>
      <c r="E85" s="212"/>
      <c r="F85" s="327"/>
      <c r="G85" s="327"/>
      <c r="H85" s="327"/>
      <c r="I85" s="327"/>
      <c r="J85" s="326" t="e">
        <f>IF(INPUT!D5="",NA(),INPUT!D5)</f>
        <v>#N/A</v>
      </c>
      <c r="K85" s="326">
        <f>INPUT!E5</f>
        <v>2022</v>
      </c>
      <c r="L85" s="326">
        <f>INPUT!F5</f>
        <v>2023</v>
      </c>
      <c r="M85" s="326">
        <f>INPUT!G5</f>
        <v>2024</v>
      </c>
      <c r="N85" s="326" t="str">
        <f>INPUT!H5</f>
        <v>2025 (LTM)</v>
      </c>
      <c r="O85" s="327"/>
    </row>
    <row r="86" spans="1:15 16373:16384" ht="15" customHeight="1" x14ac:dyDescent="0.3">
      <c r="A86" s="212"/>
      <c r="B86" s="212"/>
      <c r="C86" s="212"/>
      <c r="D86" s="328"/>
      <c r="E86" s="212"/>
      <c r="F86" s="327"/>
      <c r="G86" s="327"/>
      <c r="H86" s="327"/>
      <c r="I86" s="327" t="s">
        <v>243</v>
      </c>
      <c r="J86" s="327" t="e">
        <f>IF(INPUT!D9="",NA(),INPUT!D11/INPUT!D9)</f>
        <v>#N/A</v>
      </c>
      <c r="K86" s="327">
        <f>IF(INPUT!E9="",NA(),INPUT!E11/INPUT!E9)</f>
        <v>0.43309630561360085</v>
      </c>
      <c r="L86" s="327">
        <f>IF(INPUT!F9="",NA(),INPUT!F11/INPUT!F9)</f>
        <v>0.44131129577207562</v>
      </c>
      <c r="M86" s="327">
        <f>IF(INPUT!G9="",NA(),INPUT!G11/INPUT!G9)</f>
        <v>0.46206349815233932</v>
      </c>
      <c r="N86" s="327">
        <f>IF(INPUT!H9="",NA(),INPUT!H11/INPUT!H9)</f>
        <v>0.46905164107160452</v>
      </c>
      <c r="O86" s="327"/>
    </row>
    <row r="87" spans="1:15 16373:16384" ht="15" customHeight="1" x14ac:dyDescent="0.3">
      <c r="A87" s="212"/>
      <c r="B87" s="212"/>
      <c r="C87" s="212"/>
      <c r="D87" s="328"/>
      <c r="E87" s="212"/>
      <c r="F87" s="327"/>
      <c r="G87" s="327"/>
      <c r="H87" s="327"/>
      <c r="I87" s="327" t="s">
        <v>114</v>
      </c>
      <c r="J87" s="327" t="e">
        <f>IF(INPUT!D9="",NA(),INPUT!D30/INPUT!D9)</f>
        <v>#N/A</v>
      </c>
      <c r="K87" s="327">
        <f>IF(INPUT!E9="",NA(),INPUT!E30/INPUT!E9)</f>
        <v>0.30288744395528594</v>
      </c>
      <c r="L87" s="327">
        <f>IF(INPUT!F9="",NA(),INPUT!F30/INPUT!F9)</f>
        <v>0.29821412265024722</v>
      </c>
      <c r="M87" s="327">
        <f>IF(INPUT!G9="",NA(),INPUT!G30/INPUT!G9)</f>
        <v>0.31510222870075566</v>
      </c>
      <c r="N87" s="327">
        <f>IF(INPUT!H9="",NA(),INPUT!H30/INPUT!H9)</f>
        <v>0.31970799762591884</v>
      </c>
      <c r="O87" s="327"/>
    </row>
    <row r="88" spans="1:15 16373:16384" ht="15" customHeight="1" x14ac:dyDescent="0.3">
      <c r="A88" s="212"/>
      <c r="B88" s="212"/>
      <c r="C88" s="212"/>
      <c r="D88" s="324" t="e">
        <f>IF(INPUT!D5="",NA(),INPUT!D5)</f>
        <v>#N/A</v>
      </c>
      <c r="E88" s="325">
        <f>INPUT!E5</f>
        <v>2022</v>
      </c>
      <c r="F88" s="326">
        <f>INPUT!F5</f>
        <v>2023</v>
      </c>
      <c r="G88" s="326">
        <f>INPUT!G5</f>
        <v>2024</v>
      </c>
      <c r="H88" s="326" t="str">
        <f>INPUT!H5</f>
        <v>2025 (LTM)</v>
      </c>
      <c r="I88" s="327" t="s">
        <v>387</v>
      </c>
      <c r="J88" s="327" t="e">
        <f>IF(INPUT!D9="",NA(),INPUT!D26/INPUT!D9)</f>
        <v>#N/A</v>
      </c>
      <c r="K88" s="327">
        <f>IF(INPUT!E9="",NA(),INPUT!E26/INPUT!E9)</f>
        <v>0.22999634821772738</v>
      </c>
      <c r="L88" s="327">
        <f>IF(INPUT!F9="",NA(),INPUT!F26/INPUT!F9)</f>
        <v>0.22827921781442007</v>
      </c>
      <c r="M88" s="327">
        <f>IF(INPUT!G9="",NA(),INPUT!G26/INPUT!G9)</f>
        <v>0.21697546255450278</v>
      </c>
      <c r="N88" s="327">
        <f>IF(INPUT!H9="",NA(),INPUT!H26/INPUT!H9)</f>
        <v>0.24619558295947963</v>
      </c>
      <c r="O88" s="327"/>
    </row>
    <row r="89" spans="1:15 16373:16384" ht="15" customHeight="1" x14ac:dyDescent="0.3">
      <c r="A89" s="212"/>
      <c r="B89" s="212"/>
      <c r="C89" s="212" t="s">
        <v>7</v>
      </c>
      <c r="D89" s="328" t="e">
        <f>IF(INPUT!D9="",NA(),INPUT!D9)</f>
        <v>#N/A</v>
      </c>
      <c r="E89" s="212">
        <f>IF(INPUT!E9="",NA(),INPUT!E9)</f>
        <v>394328</v>
      </c>
      <c r="F89" s="327">
        <f>IF(INPUT!F9="",NA(),INPUT!F9)</f>
        <v>383285</v>
      </c>
      <c r="G89" s="327">
        <f>IF(INPUT!G9="",NA(),INPUT!G9)</f>
        <v>391035</v>
      </c>
      <c r="H89" s="327">
        <f>IF(INPUT!H9="",NA(),INPUT!H9)</f>
        <v>416161</v>
      </c>
      <c r="I89" s="327"/>
      <c r="J89" s="327"/>
      <c r="K89" s="327"/>
      <c r="L89" s="327"/>
      <c r="M89" s="327"/>
      <c r="N89" s="327"/>
      <c r="O89" s="327"/>
    </row>
    <row r="90" spans="1:15 16373:16384" ht="15" customHeight="1" x14ac:dyDescent="0.3">
      <c r="A90" s="212"/>
      <c r="B90" s="212"/>
      <c r="C90" s="212"/>
      <c r="D90" s="328"/>
      <c r="E90" s="212"/>
      <c r="F90" s="327"/>
      <c r="G90" s="327"/>
      <c r="H90" s="327"/>
      <c r="I90" s="327"/>
      <c r="J90" s="326" t="e">
        <f>IF(INPUT!D5="",NA(),INPUT!D5)</f>
        <v>#N/A</v>
      </c>
      <c r="K90" s="326">
        <f>INPUT!E5</f>
        <v>2022</v>
      </c>
      <c r="L90" s="326">
        <f>INPUT!F5</f>
        <v>2023</v>
      </c>
      <c r="M90" s="326">
        <f>INPUT!G5</f>
        <v>2024</v>
      </c>
      <c r="N90" s="326" t="str">
        <f>INPUT!H5</f>
        <v>2025 (LTM)</v>
      </c>
      <c r="O90" s="327"/>
    </row>
    <row r="91" spans="1:15 16373:16384" ht="15" customHeight="1" x14ac:dyDescent="0.3">
      <c r="A91" s="212"/>
      <c r="B91" s="212"/>
      <c r="C91" s="212"/>
      <c r="D91" s="328"/>
      <c r="E91" s="212"/>
      <c r="F91" s="327"/>
      <c r="G91" s="327"/>
      <c r="H91" s="327"/>
      <c r="I91" s="327" t="s">
        <v>408</v>
      </c>
      <c r="J91" s="327" t="e">
        <f>IF(INPUT!D14="",NA(),ABS(INPUT!D14))</f>
        <v>#N/A</v>
      </c>
      <c r="K91" s="327">
        <f>IF(INPUT!E14="",NA(),ABS(INPUT!E14))</f>
        <v>25094</v>
      </c>
      <c r="L91" s="327">
        <f>IF(INPUT!F14="",NA(),ABS(INPUT!F14))</f>
        <v>24932</v>
      </c>
      <c r="M91" s="327">
        <f>IF(INPUT!G14="",NA(),ABS(INPUT!G14))</f>
        <v>26097</v>
      </c>
      <c r="N91" s="327">
        <f>IF(INPUT!H14="",NA(),ABS(INPUT!H14))</f>
        <v>27601</v>
      </c>
      <c r="O91" s="327"/>
      <c r="XES91" s="47"/>
      <c r="XEU91" s="21"/>
      <c r="XEV91" s="21"/>
      <c r="XEW91" s="21"/>
      <c r="XEX91" s="21"/>
      <c r="XEY91" s="21"/>
      <c r="XEZ91" s="21"/>
      <c r="XFA91" s="21"/>
      <c r="XFB91" s="21"/>
      <c r="XFC91" s="21"/>
      <c r="XFD91" s="21"/>
    </row>
    <row r="92" spans="1:15 16373:16384" ht="15" customHeight="1" x14ac:dyDescent="0.3">
      <c r="A92" s="212"/>
      <c r="B92" s="212"/>
      <c r="C92" s="212"/>
      <c r="D92" s="328"/>
      <c r="E92" s="212"/>
      <c r="F92" s="327"/>
      <c r="G92" s="327"/>
      <c r="H92" s="327"/>
      <c r="I92" s="327" t="s">
        <v>409</v>
      </c>
      <c r="J92" s="327" t="e">
        <f>IF(INPUT!D15="",NA(),ABS(INPUT!D15))</f>
        <v>#N/A</v>
      </c>
      <c r="K92" s="327">
        <f>IF(INPUT!E15="",NA(),ABS(INPUT!E15))</f>
        <v>26251</v>
      </c>
      <c r="L92" s="327">
        <f>IF(INPUT!F15="",NA(),ABS(INPUT!F15))</f>
        <v>29915</v>
      </c>
      <c r="M92" s="327">
        <f>IF(INPUT!G15="",NA(),ABS(INPUT!G15))</f>
        <v>31370</v>
      </c>
      <c r="N92" s="327">
        <f>IF(INPUT!H15="",NA(),ABS(INPUT!H15))</f>
        <v>34550</v>
      </c>
      <c r="O92" s="327"/>
      <c r="XES92" s="47"/>
      <c r="XEU92" s="21"/>
      <c r="XEV92" s="21"/>
      <c r="XEW92" s="21"/>
      <c r="XEX92" s="21"/>
      <c r="XEY92" s="21"/>
      <c r="XEZ92" s="21"/>
      <c r="XFA92" s="21"/>
      <c r="XFB92" s="21"/>
      <c r="XFC92" s="21"/>
      <c r="XFD92" s="21"/>
    </row>
    <row r="93" spans="1:15 16373:16384" ht="15" customHeight="1" x14ac:dyDescent="0.3">
      <c r="A93" s="212"/>
      <c r="B93" s="212"/>
      <c r="C93" s="212"/>
      <c r="D93" s="328"/>
      <c r="E93" s="212"/>
      <c r="F93" s="327"/>
      <c r="G93" s="327"/>
      <c r="H93" s="327"/>
      <c r="I93" s="327" t="s">
        <v>410</v>
      </c>
      <c r="J93" s="327" t="e">
        <f>IF(INPUT!D16="",NA(),ABS(INPUT!D16))</f>
        <v>#N/A</v>
      </c>
      <c r="K93" s="327">
        <f>IF(INPUT!E16="",NA(),ABS(INPUT!E16))</f>
        <v>11104</v>
      </c>
      <c r="L93" s="327">
        <f>IF(INPUT!F16="",NA(),ABS(INPUT!F16))</f>
        <v>11519</v>
      </c>
      <c r="M93" s="327">
        <f>IF(INPUT!G16="",NA(),ABS(INPUT!G16))</f>
        <v>11445</v>
      </c>
      <c r="N93" s="327">
        <f>IF(INPUT!H16="",NA(),ABS(INPUT!H16))</f>
        <v>11698</v>
      </c>
      <c r="O93" s="327"/>
    </row>
    <row r="94" spans="1:15 16373:16384" ht="15" customHeight="1" x14ac:dyDescent="0.3">
      <c r="A94" s="212"/>
      <c r="B94" s="212"/>
      <c r="C94" s="212"/>
      <c r="D94" s="328"/>
      <c r="E94" s="212"/>
      <c r="F94" s="327"/>
      <c r="G94" s="327"/>
      <c r="H94" s="327"/>
      <c r="I94" s="327" t="s">
        <v>412</v>
      </c>
      <c r="J94" s="327" t="e">
        <f>IF(INPUT!D5="",NA(),INPUT!D5)</f>
        <v>#N/A</v>
      </c>
      <c r="K94" s="327">
        <f>IF(INPUT!E14="",NA(),ABS(INPUT!E20))</f>
        <v>2931</v>
      </c>
      <c r="L94" s="327">
        <f>IF(INPUT!F14="",NA(),ABS(INPUT!F20))</f>
        <v>3933</v>
      </c>
      <c r="M94" s="327">
        <f>IF(INPUT!G14="",NA(),ABS(INPUT!G20))</f>
        <v>0</v>
      </c>
      <c r="N94" s="327">
        <f>IF(INPUT!H14="",NA(),ABS(INPUT!H20))</f>
        <v>0</v>
      </c>
      <c r="O94" s="327"/>
    </row>
    <row r="95" spans="1:15 16373:16384" ht="15" customHeight="1" x14ac:dyDescent="0.3">
      <c r="A95" s="212"/>
      <c r="B95" s="212"/>
      <c r="C95" s="212"/>
      <c r="D95" s="328"/>
      <c r="E95" s="212"/>
      <c r="F95" s="327"/>
      <c r="G95" s="327"/>
      <c r="H95" s="327"/>
      <c r="I95" s="327"/>
      <c r="J95" s="327"/>
      <c r="K95" s="327"/>
      <c r="L95" s="327"/>
      <c r="M95" s="327"/>
      <c r="N95" s="327"/>
      <c r="O95" s="327"/>
    </row>
    <row r="96" spans="1:15 16373:16384" ht="15" customHeight="1" x14ac:dyDescent="0.3">
      <c r="B96" s="47"/>
    </row>
    <row r="97" spans="2:2" ht="15" customHeight="1" x14ac:dyDescent="0.3">
      <c r="B97" s="47"/>
    </row>
    <row r="98" spans="2:2" ht="15" customHeight="1" x14ac:dyDescent="0.3">
      <c r="B98" s="47"/>
    </row>
    <row r="99" spans="2:2" ht="15" customHeight="1" x14ac:dyDescent="0.3">
      <c r="B99" s="47"/>
    </row>
    <row r="100" spans="2:2" ht="15" customHeight="1" x14ac:dyDescent="0.3">
      <c r="B100" s="47"/>
    </row>
    <row r="101" spans="2:2" ht="15" customHeight="1" x14ac:dyDescent="0.3">
      <c r="B101" s="47"/>
    </row>
    <row r="102" spans="2:2" ht="15" customHeight="1" x14ac:dyDescent="0.3">
      <c r="B102" s="47"/>
    </row>
    <row r="103" spans="2:2" ht="15" customHeight="1" x14ac:dyDescent="0.3">
      <c r="B103" s="47"/>
    </row>
    <row r="104" spans="2:2" ht="15" customHeight="1" x14ac:dyDescent="0.3">
      <c r="B104" s="47"/>
    </row>
    <row r="105" spans="2:2" ht="15" customHeight="1" x14ac:dyDescent="0.3">
      <c r="B105" s="47"/>
    </row>
    <row r="106" spans="2:2" ht="15" customHeight="1" x14ac:dyDescent="0.3">
      <c r="B106" s="47"/>
    </row>
    <row r="107" spans="2:2" ht="15" customHeight="1" x14ac:dyDescent="0.3">
      <c r="B107" s="47"/>
    </row>
    <row r="108" spans="2:2" ht="15" customHeight="1" x14ac:dyDescent="0.3">
      <c r="B108" s="47"/>
    </row>
    <row r="109" spans="2:2" ht="15" customHeight="1" x14ac:dyDescent="0.3">
      <c r="B109" s="47"/>
    </row>
    <row r="110" spans="2:2" ht="15" customHeight="1" x14ac:dyDescent="0.3">
      <c r="B110" s="47"/>
    </row>
    <row r="111" spans="2:2" ht="15" customHeight="1" x14ac:dyDescent="0.3">
      <c r="B111" s="47"/>
    </row>
    <row r="112" spans="2:2" ht="15" customHeight="1" x14ac:dyDescent="0.3">
      <c r="B112" s="47"/>
    </row>
    <row r="113" spans="2:2" ht="15" customHeight="1" x14ac:dyDescent="0.3">
      <c r="B113" s="47"/>
    </row>
    <row r="114" spans="2:2" ht="15" customHeight="1" x14ac:dyDescent="0.3">
      <c r="B114" s="47"/>
    </row>
    <row r="115" spans="2:2" ht="15" customHeight="1" x14ac:dyDescent="0.3">
      <c r="B115" s="47"/>
    </row>
    <row r="116" spans="2:2" ht="15" customHeight="1" x14ac:dyDescent="0.3">
      <c r="B116" s="47"/>
    </row>
    <row r="117" spans="2:2" ht="15" customHeight="1" x14ac:dyDescent="0.3">
      <c r="B117" s="47"/>
    </row>
    <row r="118" spans="2:2" ht="15" customHeight="1" x14ac:dyDescent="0.3">
      <c r="B118" s="47"/>
    </row>
    <row r="119" spans="2:2" ht="15" customHeight="1" x14ac:dyDescent="0.3">
      <c r="B119" s="47"/>
    </row>
    <row r="120" spans="2:2" ht="15" customHeight="1" x14ac:dyDescent="0.3">
      <c r="B120" s="47"/>
    </row>
  </sheetData>
  <printOptions horizontalCentered="1"/>
  <pageMargins left="5.5555555555555558E-3" right="5.5555555555555558E-3" top="5.5555555555555558E-3" bottom="5.5555555555555558E-3" header="2.7777777777777779E-3" footer="2.7777777777777779E-3"/>
  <pageSetup paperSize="9" scale="40" orientation="landscape"/>
  <rowBreaks count="2" manualBreakCount="2">
    <brk id="24" max="13" man="1"/>
    <brk id="41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08"/>
  <sheetViews>
    <sheetView showGridLines="0" topLeftCell="D1" zoomScale="70" zoomScaleNormal="70" workbookViewId="0">
      <selection activeCell="V20" sqref="V20"/>
    </sheetView>
  </sheetViews>
  <sheetFormatPr baseColWidth="10" defaultColWidth="9.109375" defaultRowHeight="15" customHeight="1" x14ac:dyDescent="0.35"/>
  <cols>
    <col min="1" max="1" width="15.33203125" style="147" customWidth="1"/>
    <col min="2" max="2" width="16.6640625" style="147" customWidth="1"/>
    <col min="3" max="3" width="15.88671875" style="147" bestFit="1" customWidth="1"/>
    <col min="4" max="4" width="17.88671875" style="147" bestFit="1" customWidth="1"/>
    <col min="5" max="5" width="13.5546875" style="147" customWidth="1"/>
    <col min="6" max="10" width="12.44140625" style="147" customWidth="1"/>
    <col min="11" max="11" width="13.88671875" style="147" customWidth="1"/>
    <col min="12" max="14" width="12.44140625" style="147" customWidth="1"/>
    <col min="15" max="15" width="13.88671875" style="148" customWidth="1"/>
    <col min="16" max="16" width="13.88671875" style="147" customWidth="1"/>
    <col min="17" max="17" width="12.44140625" style="147" customWidth="1"/>
    <col min="18" max="18" width="16.6640625" style="147" customWidth="1"/>
    <col min="19" max="19" width="17.88671875" style="147" bestFit="1" customWidth="1"/>
    <col min="20" max="20" width="26.109375" style="147" customWidth="1"/>
    <col min="21" max="21" width="18.33203125" style="147" customWidth="1"/>
    <col min="22" max="22" width="16.109375" style="147" customWidth="1"/>
    <col min="23" max="30" width="12.44140625" style="147" customWidth="1"/>
    <col min="31" max="33" width="9.109375" style="147" customWidth="1"/>
    <col min="34" max="16384" width="9.109375" style="147"/>
  </cols>
  <sheetData>
    <row r="1" spans="1:30" ht="50.1" customHeight="1" x14ac:dyDescent="0.6">
      <c r="A1" s="162"/>
      <c r="B1" s="104" t="s">
        <v>100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 t="str">
        <f>INPUT!D114&amp;" ("&amp;INPUT!D115&amp;")  — "&amp;INPUT!D116</f>
        <v>Apple Inc. (AAPL)  — Technology</v>
      </c>
      <c r="S1" s="162"/>
      <c r="T1" s="162"/>
      <c r="U1" s="162"/>
      <c r="V1" s="162"/>
      <c r="W1" s="162"/>
      <c r="X1" s="162"/>
      <c r="Y1" s="196"/>
      <c r="Z1" s="196"/>
      <c r="AA1" s="196"/>
      <c r="AB1" s="196"/>
      <c r="AC1" s="196"/>
      <c r="AD1" s="196"/>
    </row>
    <row r="2" spans="1:30" ht="15" customHeight="1" x14ac:dyDescent="0.3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</row>
    <row r="3" spans="1:30" s="149" customFormat="1" ht="21" customHeight="1" x14ac:dyDescent="0.5">
      <c r="B3" s="140" t="s">
        <v>419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Q3" s="140" t="s">
        <v>420</v>
      </c>
      <c r="R3" s="145"/>
      <c r="S3" s="145"/>
      <c r="T3" s="145"/>
      <c r="U3" s="145"/>
      <c r="V3" s="145"/>
      <c r="W3" s="145"/>
      <c r="X3" s="145"/>
    </row>
    <row r="4" spans="1:30" s="149" customFormat="1" ht="15" customHeight="1" x14ac:dyDescent="0.35">
      <c r="A4" s="90"/>
      <c r="B4" s="90"/>
      <c r="C4" s="90"/>
      <c r="D4" s="90"/>
      <c r="E4" s="90"/>
      <c r="F4" s="90"/>
      <c r="G4" s="90"/>
      <c r="H4" s="90"/>
      <c r="I4" s="90"/>
      <c r="Q4" s="147"/>
      <c r="R4" s="147"/>
      <c r="S4" s="147"/>
      <c r="T4" s="147"/>
      <c r="U4" s="147"/>
      <c r="V4" s="147"/>
      <c r="W4" s="147"/>
      <c r="X4" s="147"/>
    </row>
    <row r="5" spans="1:30" s="149" customFormat="1" ht="15" customHeight="1" x14ac:dyDescent="0.35">
      <c r="A5" s="90"/>
      <c r="B5" s="164" t="s">
        <v>421</v>
      </c>
      <c r="C5" s="90"/>
      <c r="D5" s="90"/>
      <c r="E5" s="90"/>
      <c r="F5" s="90"/>
      <c r="G5" s="90"/>
      <c r="H5" s="90"/>
      <c r="I5" s="90"/>
      <c r="Q5" s="147"/>
      <c r="R5" s="147"/>
      <c r="S5" s="147"/>
      <c r="T5" s="452" t="s">
        <v>352</v>
      </c>
      <c r="U5" s="166" t="s">
        <v>422</v>
      </c>
      <c r="V5" s="166" t="s">
        <v>353</v>
      </c>
      <c r="W5" s="147"/>
      <c r="X5" s="147"/>
    </row>
    <row r="6" spans="1:30" ht="15" customHeight="1" x14ac:dyDescent="0.35">
      <c r="A6" s="90"/>
      <c r="B6" s="154" t="s">
        <v>423</v>
      </c>
      <c r="O6" s="147"/>
      <c r="Q6" s="169" t="s">
        <v>424</v>
      </c>
      <c r="T6" s="449">
        <f>INPUT!H95*0.75</f>
        <v>195.97500000000002</v>
      </c>
      <c r="U6" s="313">
        <f>V6-T6</f>
        <v>182.90999999999997</v>
      </c>
      <c r="V6" s="314">
        <f>INPUT!H95*1.45</f>
        <v>378.88499999999999</v>
      </c>
    </row>
    <row r="7" spans="1:30" ht="15" customHeight="1" x14ac:dyDescent="0.35">
      <c r="A7" s="90"/>
      <c r="C7" s="99" t="s">
        <v>82</v>
      </c>
      <c r="D7" s="311" t="str">
        <f>INPUT!D114</f>
        <v>Apple Inc.</v>
      </c>
      <c r="O7" s="147"/>
      <c r="Q7" s="169" t="s">
        <v>425</v>
      </c>
      <c r="T7" s="450">
        <f>INPUT!H95*1.1</f>
        <v>287.43000000000006</v>
      </c>
      <c r="U7" s="315">
        <f>V7-T7</f>
        <v>130.64999999999998</v>
      </c>
      <c r="V7" s="314">
        <f>INPUT!H95*1.6</f>
        <v>418.08000000000004</v>
      </c>
    </row>
    <row r="8" spans="1:30" ht="15" customHeight="1" x14ac:dyDescent="0.35">
      <c r="A8" s="90"/>
      <c r="C8" s="99" t="s">
        <v>85</v>
      </c>
      <c r="D8" s="311" t="str">
        <f>INPUT!D115</f>
        <v>AAPL</v>
      </c>
      <c r="O8" s="147"/>
      <c r="Q8" s="169" t="s">
        <v>426</v>
      </c>
      <c r="R8" s="149"/>
      <c r="S8" s="149"/>
      <c r="T8" s="450">
        <f>INPUT!H95*1.2</f>
        <v>313.56</v>
      </c>
      <c r="U8" s="315">
        <f>V8-T8</f>
        <v>143.71500000000003</v>
      </c>
      <c r="V8" s="314">
        <f>INPUT!H95*1.75</f>
        <v>457.27500000000003</v>
      </c>
      <c r="W8" s="149"/>
      <c r="X8" s="149"/>
    </row>
    <row r="9" spans="1:30" ht="15" customHeight="1" x14ac:dyDescent="0.35">
      <c r="A9" s="90"/>
      <c r="C9" s="99" t="s">
        <v>427</v>
      </c>
      <c r="D9" s="311" t="str">
        <f>INPUT!D116</f>
        <v>Technology</v>
      </c>
      <c r="O9" s="147"/>
      <c r="Q9" s="169" t="s">
        <v>428</v>
      </c>
      <c r="R9" s="149"/>
      <c r="S9" s="149"/>
      <c r="T9" s="450">
        <f>INPUT!H95*1.3</f>
        <v>339.69000000000005</v>
      </c>
      <c r="U9" s="315">
        <f>V9-T9</f>
        <v>143.71499999999997</v>
      </c>
      <c r="V9" s="314">
        <f>INPUT!H95*1.85</f>
        <v>483.40500000000003</v>
      </c>
      <c r="W9" s="149"/>
      <c r="X9" s="149"/>
    </row>
    <row r="10" spans="1:30" ht="15" customHeight="1" x14ac:dyDescent="0.35">
      <c r="A10" s="90"/>
      <c r="C10" s="99" t="s">
        <v>89</v>
      </c>
      <c r="D10" s="311">
        <f>INPUT!D117</f>
        <v>2025</v>
      </c>
      <c r="O10" s="147"/>
      <c r="Q10" s="169" t="s">
        <v>429</v>
      </c>
      <c r="R10" s="149"/>
      <c r="S10" s="149"/>
      <c r="T10" s="450">
        <f>INPUT!H95*1.15</f>
        <v>300.495</v>
      </c>
      <c r="U10" s="315">
        <f>V10-T10</f>
        <v>143.71499999999997</v>
      </c>
      <c r="V10" s="314">
        <f>INPUT!H95*1.7</f>
        <v>444.21</v>
      </c>
      <c r="W10" s="149"/>
      <c r="X10" s="149"/>
    </row>
    <row r="11" spans="1:30" ht="15" customHeight="1" x14ac:dyDescent="0.35">
      <c r="A11" s="90"/>
      <c r="C11" s="99" t="s">
        <v>90</v>
      </c>
      <c r="D11" s="311" t="str">
        <f>INPUT!D118</f>
        <v>USD</v>
      </c>
      <c r="O11" s="147"/>
      <c r="Q11" s="155" t="s">
        <v>281</v>
      </c>
      <c r="R11" s="149"/>
      <c r="S11" s="149"/>
      <c r="T11" s="451">
        <f>INPUT!H95</f>
        <v>261.3</v>
      </c>
      <c r="U11" s="195"/>
      <c r="V11" s="195"/>
      <c r="W11" s="149"/>
      <c r="X11" s="149"/>
    </row>
    <row r="12" spans="1:30" ht="15" customHeight="1" x14ac:dyDescent="0.35">
      <c r="A12" s="90"/>
      <c r="C12" s="99" t="s">
        <v>94</v>
      </c>
      <c r="D12" s="312" t="str">
        <f>INPUT!D120</f>
        <v>2026-04-10</v>
      </c>
      <c r="O12" s="147"/>
      <c r="Q12" s="149"/>
      <c r="R12" s="149"/>
      <c r="S12" s="149"/>
      <c r="T12" s="149"/>
      <c r="U12" s="149"/>
      <c r="V12" s="149"/>
      <c r="W12" s="149"/>
      <c r="X12" s="149"/>
    </row>
    <row r="13" spans="1:30" ht="15" customHeight="1" x14ac:dyDescent="0.35">
      <c r="A13" s="90"/>
      <c r="O13" s="147"/>
      <c r="Q13" s="149"/>
      <c r="R13" s="149"/>
      <c r="S13" s="149"/>
      <c r="T13" s="149"/>
      <c r="U13" s="149"/>
      <c r="V13" s="149"/>
      <c r="W13" s="149"/>
      <c r="X13" s="149"/>
    </row>
    <row r="14" spans="1:30" ht="21" customHeight="1" x14ac:dyDescent="0.35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149"/>
      <c r="R14" s="149"/>
      <c r="S14" s="149"/>
      <c r="T14" s="149"/>
      <c r="U14" s="149"/>
      <c r="V14" s="149"/>
      <c r="W14" s="149"/>
      <c r="X14" s="149"/>
    </row>
    <row r="15" spans="1:30" ht="15" customHeight="1" x14ac:dyDescent="0.5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Q15" s="140" t="s">
        <v>430</v>
      </c>
      <c r="R15" s="145"/>
      <c r="S15" s="145"/>
      <c r="T15" s="145"/>
      <c r="U15" s="145"/>
      <c r="V15" s="145"/>
      <c r="W15" s="145"/>
      <c r="X15" s="145"/>
    </row>
    <row r="16" spans="1:30" ht="15" customHeight="1" x14ac:dyDescent="0.35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Q16" s="149"/>
      <c r="R16" s="149"/>
      <c r="S16" s="149"/>
      <c r="T16" s="149"/>
      <c r="U16" s="149"/>
      <c r="V16" s="149"/>
      <c r="W16" s="149"/>
      <c r="X16" s="149"/>
    </row>
    <row r="17" spans="1:24" ht="15" customHeight="1" x14ac:dyDescent="0.35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Q17" s="153" t="s">
        <v>421</v>
      </c>
      <c r="R17" s="146"/>
      <c r="S17" s="146"/>
      <c r="T17" s="316">
        <f>INPUT!E5</f>
        <v>2022</v>
      </c>
      <c r="U17" s="316">
        <f>INPUT!E5</f>
        <v>2022</v>
      </c>
      <c r="V17" s="316">
        <f>INPUT!F5</f>
        <v>2023</v>
      </c>
      <c r="W17" s="316">
        <f>INPUT!G5</f>
        <v>2024</v>
      </c>
      <c r="X17" s="316" t="str">
        <f>INPUT!H5</f>
        <v>2025 (LTM)</v>
      </c>
    </row>
    <row r="18" spans="1:24" ht="15" customHeight="1" x14ac:dyDescent="0.35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Q18" s="146"/>
      <c r="R18" s="146"/>
      <c r="S18" s="146"/>
      <c r="T18" s="146"/>
      <c r="U18" s="146"/>
      <c r="V18" s="146"/>
      <c r="W18" s="146"/>
      <c r="X18" s="146"/>
    </row>
    <row r="19" spans="1:24" s="149" customFormat="1" ht="15" customHeight="1" x14ac:dyDescent="0.35">
      <c r="A19" s="90"/>
      <c r="B19" s="199" t="s">
        <v>431</v>
      </c>
      <c r="C19" s="203"/>
      <c r="D19" s="203"/>
      <c r="E19" s="203"/>
      <c r="F19" s="203"/>
      <c r="G19" s="203"/>
      <c r="H19" s="90"/>
      <c r="I19" s="199" t="s">
        <v>432</v>
      </c>
      <c r="J19" s="203"/>
      <c r="K19" s="203"/>
      <c r="L19" s="203"/>
      <c r="M19" s="203"/>
      <c r="N19" s="203"/>
      <c r="O19" s="203"/>
      <c r="Q19" s="160" t="s">
        <v>433</v>
      </c>
      <c r="R19" s="146"/>
      <c r="S19" s="146"/>
      <c r="T19" s="253" t="str">
        <f>""</f>
        <v/>
      </c>
      <c r="U19" s="317" t="str">
        <f>IF(INPUT!D9=0,"",INPUT!E9/INPUT!D9-1)</f>
        <v/>
      </c>
      <c r="V19" s="317">
        <f>IF(INPUT!E9=0,"",INPUT!F9/INPUT!E9-1)</f>
        <v>-2.800460530319937E-2</v>
      </c>
      <c r="W19" s="317">
        <f>IF(INPUT!F9=0,"",INPUT!G9/INPUT!F9-1)</f>
        <v>2.021994077514111E-2</v>
      </c>
      <c r="X19" s="317">
        <f>IF(INPUT!G9=0,"",INPUT!H9/INPUT!G9-1)</f>
        <v>6.425511782832749E-2</v>
      </c>
    </row>
    <row r="20" spans="1:24" s="149" customFormat="1" ht="15" customHeight="1" x14ac:dyDescent="0.35">
      <c r="A20" s="90"/>
      <c r="B20" s="17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Q20" s="168" t="s">
        <v>434</v>
      </c>
      <c r="R20" s="146"/>
      <c r="S20" s="146"/>
      <c r="T20" s="146" t="str">
        <f>""</f>
        <v/>
      </c>
      <c r="U20" s="176" t="str">
        <f>""</f>
        <v/>
      </c>
      <c r="V20" s="317" t="str">
        <f>IF(INPUT!D30=0,"",INPUT!F30/INPUT!E30-1)</f>
        <v/>
      </c>
      <c r="W20" s="317">
        <f>IF(INPUT!E30=0,"",INPUT!G30/INPUT!F30-1)</f>
        <v>7.7995818059334532E-2</v>
      </c>
      <c r="X20" s="317">
        <f>IF(INPUT!F30=0,"",INPUT!H30/INPUT!G30-1)</f>
        <v>7.9811063498246959E-2</v>
      </c>
    </row>
    <row r="21" spans="1:24" s="149" customFormat="1" ht="15" customHeight="1" x14ac:dyDescent="0.35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Q21" s="146"/>
      <c r="R21" s="146"/>
      <c r="S21" s="146"/>
      <c r="T21" s="146"/>
      <c r="U21" s="146"/>
      <c r="V21" s="146"/>
      <c r="W21" s="146"/>
      <c r="X21" s="146"/>
    </row>
    <row r="22" spans="1:24" s="149" customFormat="1" ht="15" customHeight="1" x14ac:dyDescent="0.35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Q22" s="154" t="s">
        <v>7</v>
      </c>
      <c r="R22" s="146"/>
      <c r="S22" s="146"/>
      <c r="T22" s="146"/>
      <c r="U22" s="146"/>
      <c r="V22" s="146"/>
      <c r="W22" s="146"/>
      <c r="X22" s="146"/>
    </row>
    <row r="23" spans="1:24" s="149" customFormat="1" ht="15" customHeight="1" x14ac:dyDescent="0.35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Q23" s="171" t="s">
        <v>435</v>
      </c>
      <c r="R23" s="146"/>
      <c r="S23" s="146"/>
      <c r="T23" s="318">
        <f>INPUT!E9</f>
        <v>394328</v>
      </c>
      <c r="U23" s="318">
        <f>INPUT!E9</f>
        <v>394328</v>
      </c>
      <c r="V23" s="318">
        <f>INPUT!F9</f>
        <v>383285</v>
      </c>
      <c r="W23" s="318">
        <f>INPUT!G9</f>
        <v>391035</v>
      </c>
      <c r="X23" s="318">
        <f>INPUT!H9</f>
        <v>416161</v>
      </c>
    </row>
    <row r="24" spans="1:24" s="149" customFormat="1" ht="15" customHeight="1" x14ac:dyDescent="0.3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Q24" s="171" t="s">
        <v>436</v>
      </c>
      <c r="R24" s="146"/>
      <c r="S24" s="146"/>
      <c r="T24" s="318">
        <f>ABS(INPUT!E10)</f>
        <v>223546</v>
      </c>
      <c r="U24" s="318">
        <f>ABS(INPUT!E10)</f>
        <v>223546</v>
      </c>
      <c r="V24" s="318">
        <f>ABS(INPUT!F10)</f>
        <v>214137</v>
      </c>
      <c r="W24" s="318">
        <f>ABS(INPUT!G10)</f>
        <v>210352</v>
      </c>
      <c r="X24" s="318">
        <f>ABS(INPUT!H10)</f>
        <v>220960</v>
      </c>
    </row>
    <row r="25" spans="1:24" s="149" customFormat="1" ht="15" customHeight="1" x14ac:dyDescent="0.3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Q25" s="171" t="s">
        <v>10</v>
      </c>
      <c r="R25" s="146"/>
      <c r="S25" s="146"/>
      <c r="T25" s="319">
        <f>INPUT!E11</f>
        <v>170782</v>
      </c>
      <c r="U25" s="319">
        <f>INPUT!E11</f>
        <v>170782</v>
      </c>
      <c r="V25" s="319">
        <f>INPUT!F11</f>
        <v>169148</v>
      </c>
      <c r="W25" s="319">
        <f>INPUT!G11</f>
        <v>180683</v>
      </c>
      <c r="X25" s="319">
        <f>INPUT!H11</f>
        <v>195201</v>
      </c>
    </row>
    <row r="26" spans="1:24" s="149" customFormat="1" ht="21" customHeight="1" x14ac:dyDescent="0.35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Q26" s="171" t="s">
        <v>408</v>
      </c>
      <c r="R26" s="146"/>
      <c r="S26" s="146"/>
      <c r="T26" s="318">
        <f>ABS(INPUT!E14)</f>
        <v>25094</v>
      </c>
      <c r="U26" s="318">
        <f>ABS(INPUT!E14)</f>
        <v>25094</v>
      </c>
      <c r="V26" s="318">
        <f>ABS(INPUT!F14)</f>
        <v>24932</v>
      </c>
      <c r="W26" s="318">
        <f>ABS(INPUT!G14)</f>
        <v>26097</v>
      </c>
      <c r="X26" s="318">
        <f>ABS(INPUT!H14)</f>
        <v>27601</v>
      </c>
    </row>
    <row r="27" spans="1:24" s="149" customFormat="1" ht="15" customHeight="1" x14ac:dyDescent="0.35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Q27" s="171" t="s">
        <v>437</v>
      </c>
      <c r="R27" s="146"/>
      <c r="S27" s="146"/>
      <c r="T27" s="320">
        <f>INPUT!E9</f>
        <v>394328</v>
      </c>
      <c r="U27" s="320">
        <f>INPUT!E9</f>
        <v>394328</v>
      </c>
      <c r="V27" s="320">
        <f>INPUT!F9</f>
        <v>383285</v>
      </c>
      <c r="W27" s="320">
        <f>INPUT!G9</f>
        <v>391035</v>
      </c>
      <c r="X27" s="320">
        <f>INPUT!H9</f>
        <v>416161</v>
      </c>
    </row>
    <row r="28" spans="1:24" s="146" customFormat="1" ht="15" customHeight="1" x14ac:dyDescent="0.35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T28" s="195"/>
      <c r="U28" s="195"/>
      <c r="V28" s="195"/>
      <c r="W28" s="195"/>
      <c r="X28" s="195"/>
    </row>
    <row r="29" spans="1:24" s="146" customFormat="1" ht="15" customHeight="1" x14ac:dyDescent="0.35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Q29" s="171" t="s">
        <v>21</v>
      </c>
      <c r="T29" s="318">
        <f>INPUT!E30</f>
        <v>119437</v>
      </c>
      <c r="U29" s="318">
        <f>INPUT!E30</f>
        <v>119437</v>
      </c>
      <c r="V29" s="318">
        <f>INPUT!F30</f>
        <v>114301</v>
      </c>
      <c r="W29" s="318">
        <f>INPUT!G30</f>
        <v>123216</v>
      </c>
      <c r="X29" s="318">
        <f>INPUT!H30</f>
        <v>133050</v>
      </c>
    </row>
    <row r="30" spans="1:24" s="146" customFormat="1" ht="15" customHeight="1" x14ac:dyDescent="0.35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Q30" s="171" t="s">
        <v>438</v>
      </c>
      <c r="T30" s="318">
        <f>INPUT!E75</f>
        <v>104393</v>
      </c>
      <c r="U30" s="318">
        <f>INPUT!E75</f>
        <v>104393</v>
      </c>
      <c r="V30" s="318">
        <f>INPUT!F75</f>
        <v>92864</v>
      </c>
      <c r="W30" s="318">
        <f>INPUT!G75</f>
        <v>93854</v>
      </c>
      <c r="X30" s="318">
        <f>INPUT!H75</f>
        <v>109339</v>
      </c>
    </row>
    <row r="31" spans="1:24" s="146" customFormat="1" ht="15" customHeight="1" x14ac:dyDescent="0.35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Q31" s="171" t="s">
        <v>19</v>
      </c>
      <c r="T31" s="318">
        <f>INPUT!E26</f>
        <v>90694</v>
      </c>
      <c r="U31" s="318">
        <f>INPUT!E26</f>
        <v>90694</v>
      </c>
      <c r="V31" s="318">
        <f>INPUT!F26</f>
        <v>87496</v>
      </c>
      <c r="W31" s="318">
        <f>INPUT!G26</f>
        <v>84845</v>
      </c>
      <c r="X31" s="318">
        <f>INPUT!H26</f>
        <v>102457</v>
      </c>
    </row>
    <row r="32" spans="1:24" s="146" customFormat="1" ht="15" customHeight="1" x14ac:dyDescent="0.35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</row>
    <row r="33" spans="1:28" s="146" customFormat="1" ht="15" customHeight="1" x14ac:dyDescent="0.35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</row>
    <row r="34" spans="1:28" s="146" customFormat="1" ht="15" customHeight="1" x14ac:dyDescent="0.35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146" t="s">
        <v>439</v>
      </c>
    </row>
    <row r="35" spans="1:28" s="146" customFormat="1" ht="15" customHeight="1" x14ac:dyDescent="0.35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</row>
    <row r="36" spans="1:28" s="146" customFormat="1" ht="15" customHeight="1" x14ac:dyDescent="0.35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</row>
    <row r="37" spans="1:28" s="146" customFormat="1" ht="15" customHeight="1" x14ac:dyDescent="0.35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</row>
    <row r="38" spans="1:28" s="146" customFormat="1" ht="15" customHeight="1" x14ac:dyDescent="0.3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</row>
    <row r="39" spans="1:28" s="146" customFormat="1" ht="15" customHeight="1" x14ac:dyDescent="0.35">
      <c r="B39" s="199" t="s">
        <v>440</v>
      </c>
      <c r="C39" s="203"/>
      <c r="D39" s="203"/>
      <c r="E39" s="203"/>
      <c r="F39" s="203"/>
      <c r="G39" s="203"/>
      <c r="H39" s="90"/>
      <c r="I39" s="199" t="s">
        <v>441</v>
      </c>
      <c r="J39" s="203"/>
      <c r="K39" s="203"/>
      <c r="L39" s="203"/>
      <c r="M39" s="203"/>
      <c r="N39" s="203"/>
      <c r="O39" s="203"/>
    </row>
    <row r="40" spans="1:28" s="146" customFormat="1" ht="15" customHeight="1" x14ac:dyDescent="0.35"/>
    <row r="41" spans="1:28" s="146" customFormat="1" ht="15" customHeight="1" x14ac:dyDescent="0.35"/>
    <row r="42" spans="1:28" s="146" customFormat="1" ht="15" customHeight="1" x14ac:dyDescent="0.35"/>
    <row r="43" spans="1:28" s="146" customFormat="1" ht="15" customHeight="1" x14ac:dyDescent="0.35"/>
    <row r="44" spans="1:28" s="146" customFormat="1" ht="15" customHeight="1" x14ac:dyDescent="0.4">
      <c r="Q44" s="172"/>
    </row>
    <row r="45" spans="1:28" s="146" customFormat="1" ht="15" customHeight="1" x14ac:dyDescent="0.35">
      <c r="AB45" s="152"/>
    </row>
    <row r="46" spans="1:28" s="146" customFormat="1" ht="15" customHeight="1" x14ac:dyDescent="0.35">
      <c r="AB46" s="152"/>
    </row>
    <row r="47" spans="1:28" s="146" customFormat="1" ht="15" customHeight="1" x14ac:dyDescent="0.35"/>
    <row r="48" spans="1:28" s="146" customFormat="1" ht="15" customHeight="1" x14ac:dyDescent="0.35"/>
    <row r="49" spans="17:24" s="146" customFormat="1" ht="15" customHeight="1" x14ac:dyDescent="0.35"/>
    <row r="50" spans="17:24" s="146" customFormat="1" ht="15" customHeight="1" x14ac:dyDescent="0.35"/>
    <row r="51" spans="17:24" s="146" customFormat="1" ht="15" customHeight="1" x14ac:dyDescent="0.35">
      <c r="Q51" s="147"/>
      <c r="R51" s="147"/>
      <c r="S51" s="147"/>
      <c r="T51" s="147"/>
      <c r="U51" s="147"/>
      <c r="V51" s="147"/>
      <c r="W51" s="147"/>
      <c r="X51" s="147"/>
    </row>
    <row r="52" spans="17:24" s="146" customFormat="1" ht="15" customHeight="1" x14ac:dyDescent="0.35">
      <c r="Q52" s="147"/>
      <c r="R52" s="147"/>
      <c r="S52" s="147"/>
      <c r="T52" s="147"/>
      <c r="U52" s="147"/>
      <c r="V52" s="147"/>
      <c r="W52" s="147"/>
      <c r="X52" s="147"/>
    </row>
    <row r="53" spans="17:24" s="146" customFormat="1" ht="15" customHeight="1" x14ac:dyDescent="0.35">
      <c r="Q53" s="147"/>
      <c r="R53" s="147"/>
      <c r="S53" s="147"/>
      <c r="T53" s="147"/>
      <c r="U53" s="147"/>
      <c r="V53" s="147"/>
      <c r="W53" s="147"/>
      <c r="X53" s="147"/>
    </row>
    <row r="54" spans="17:24" s="146" customFormat="1" ht="15" customHeight="1" x14ac:dyDescent="0.35">
      <c r="Q54" s="147"/>
      <c r="R54" s="147"/>
      <c r="S54" s="147"/>
      <c r="T54" s="147"/>
      <c r="U54" s="147"/>
      <c r="V54" s="147"/>
      <c r="W54" s="147"/>
      <c r="X54" s="147"/>
    </row>
    <row r="55" spans="17:24" s="146" customFormat="1" ht="15" customHeight="1" x14ac:dyDescent="0.35">
      <c r="Q55" s="147"/>
      <c r="R55" s="147"/>
      <c r="S55" s="147"/>
      <c r="T55" s="147"/>
      <c r="U55" s="147"/>
      <c r="V55" s="147"/>
      <c r="W55" s="147"/>
      <c r="X55" s="147"/>
    </row>
    <row r="56" spans="17:24" s="146" customFormat="1" ht="15" customHeight="1" x14ac:dyDescent="0.35">
      <c r="Q56" s="147"/>
      <c r="R56" s="147"/>
      <c r="S56" s="147"/>
      <c r="T56" s="147"/>
      <c r="U56" s="147"/>
      <c r="V56" s="147"/>
      <c r="W56" s="147"/>
      <c r="X56" s="147"/>
    </row>
    <row r="57" spans="17:24" s="146" customFormat="1" ht="15" customHeight="1" x14ac:dyDescent="0.4">
      <c r="Q57" s="182"/>
      <c r="R57" s="182"/>
      <c r="S57" s="149"/>
      <c r="T57" s="147"/>
      <c r="U57" s="147"/>
      <c r="V57" s="147"/>
      <c r="W57" s="147"/>
      <c r="X57" s="147"/>
    </row>
    <row r="58" spans="17:24" s="146" customFormat="1" ht="15" customHeight="1" x14ac:dyDescent="0.4">
      <c r="Q58" s="182"/>
      <c r="R58" s="182"/>
      <c r="S58" s="149"/>
      <c r="T58" s="147"/>
      <c r="U58" s="147"/>
      <c r="V58" s="147"/>
      <c r="W58" s="147"/>
      <c r="X58" s="147"/>
    </row>
    <row r="59" spans="17:24" s="146" customFormat="1" ht="15" customHeight="1" x14ac:dyDescent="0.35">
      <c r="Q59" s="149"/>
      <c r="R59" s="149"/>
      <c r="S59" s="149"/>
      <c r="T59" s="147"/>
      <c r="U59" s="147"/>
      <c r="V59" s="147"/>
      <c r="W59" s="147"/>
      <c r="X59" s="147"/>
    </row>
    <row r="60" spans="17:24" s="146" customFormat="1" ht="15" customHeight="1" x14ac:dyDescent="0.35">
      <c r="Q60" s="149"/>
      <c r="R60" s="149"/>
      <c r="S60" s="149"/>
      <c r="T60" s="147"/>
      <c r="U60" s="147"/>
      <c r="V60" s="147"/>
      <c r="W60" s="147"/>
      <c r="X60" s="147"/>
    </row>
    <row r="61" spans="17:24" s="146" customFormat="1" ht="15" customHeight="1" x14ac:dyDescent="0.35">
      <c r="Q61" s="149"/>
      <c r="R61" s="149"/>
      <c r="S61" s="149"/>
      <c r="T61" s="147"/>
      <c r="U61" s="147"/>
      <c r="V61" s="147"/>
      <c r="W61" s="147"/>
      <c r="X61" s="147"/>
    </row>
    <row r="62" spans="17:24" ht="15" customHeight="1" x14ac:dyDescent="0.35">
      <c r="Q62" s="149"/>
      <c r="R62" s="149"/>
      <c r="S62" s="149"/>
    </row>
    <row r="63" spans="17:24" ht="15" customHeight="1" x14ac:dyDescent="0.35">
      <c r="Q63" s="149"/>
      <c r="R63" s="149"/>
      <c r="S63" s="149"/>
    </row>
    <row r="64" spans="17:24" ht="15" customHeight="1" x14ac:dyDescent="0.35">
      <c r="Q64" s="149"/>
      <c r="R64" s="149"/>
      <c r="S64" s="149"/>
    </row>
    <row r="65" spans="2:24" ht="15" customHeight="1" x14ac:dyDescent="0.35">
      <c r="Q65" s="149"/>
      <c r="R65" s="149"/>
      <c r="S65" s="149"/>
    </row>
    <row r="66" spans="2:24" ht="15" customHeight="1" x14ac:dyDescent="0.35">
      <c r="Q66" s="146"/>
      <c r="R66" s="146"/>
      <c r="S66" s="146"/>
    </row>
    <row r="67" spans="2:24" ht="15" customHeight="1" x14ac:dyDescent="0.4">
      <c r="C67" s="180"/>
      <c r="D67" s="180"/>
      <c r="E67" s="180"/>
      <c r="F67" s="180"/>
      <c r="G67" s="180"/>
      <c r="H67" s="180"/>
      <c r="I67" s="180"/>
      <c r="J67" s="180"/>
      <c r="K67" s="180"/>
      <c r="O67" s="147"/>
      <c r="Q67" s="146"/>
      <c r="R67" s="146"/>
      <c r="S67" s="146"/>
    </row>
    <row r="68" spans="2:24" ht="15" customHeight="1" x14ac:dyDescent="0.4">
      <c r="B68" s="149"/>
      <c r="C68" s="181"/>
      <c r="D68" s="182"/>
      <c r="E68" s="182"/>
      <c r="F68" s="182"/>
      <c r="G68" s="182"/>
      <c r="H68" s="182"/>
      <c r="I68" s="182"/>
      <c r="J68" s="182"/>
      <c r="K68" s="149"/>
      <c r="L68" s="183"/>
      <c r="M68" s="182"/>
      <c r="N68" s="182"/>
      <c r="O68" s="182"/>
      <c r="P68" s="182"/>
      <c r="Q68" s="146"/>
      <c r="R68" s="146"/>
      <c r="S68" s="146"/>
    </row>
    <row r="69" spans="2:24" ht="15" customHeight="1" x14ac:dyDescent="0.4">
      <c r="B69" s="149"/>
      <c r="C69" s="180"/>
      <c r="D69" s="180"/>
      <c r="E69" s="180"/>
      <c r="F69" s="180"/>
      <c r="G69" s="180"/>
      <c r="H69" s="184"/>
      <c r="I69" s="180"/>
      <c r="J69" s="180"/>
      <c r="K69" s="149"/>
      <c r="L69" s="183"/>
      <c r="M69" s="182"/>
      <c r="O69" s="182"/>
      <c r="P69" s="182"/>
      <c r="Q69" s="146"/>
      <c r="R69" s="146"/>
      <c r="S69" s="146"/>
    </row>
    <row r="70" spans="2:24" ht="15" customHeight="1" x14ac:dyDescent="0.4">
      <c r="B70" s="149"/>
      <c r="C70" s="180"/>
      <c r="D70" s="180"/>
      <c r="E70" s="180"/>
      <c r="F70" s="180"/>
      <c r="G70" s="180"/>
      <c r="H70" s="167"/>
      <c r="I70" s="180"/>
      <c r="J70" s="149"/>
      <c r="K70" s="149"/>
      <c r="L70" s="149"/>
      <c r="M70" s="149"/>
      <c r="N70" s="149"/>
      <c r="O70" s="149"/>
      <c r="P70" s="149"/>
      <c r="Q70" s="146"/>
      <c r="R70" s="146"/>
      <c r="S70" s="146"/>
    </row>
    <row r="71" spans="2:24" ht="15" customHeight="1" x14ac:dyDescent="0.4">
      <c r="B71" s="149"/>
      <c r="C71" s="180"/>
      <c r="D71" s="180"/>
      <c r="E71" s="180"/>
      <c r="F71" s="180"/>
      <c r="G71" s="180"/>
      <c r="H71" s="167"/>
      <c r="I71" s="180"/>
      <c r="J71" s="149"/>
      <c r="K71" s="149"/>
      <c r="L71" s="149"/>
      <c r="M71" s="149"/>
      <c r="N71" s="149"/>
      <c r="O71" s="149"/>
      <c r="P71" s="149"/>
      <c r="Q71" s="146"/>
      <c r="R71" s="146"/>
      <c r="S71" s="146"/>
    </row>
    <row r="72" spans="2:24" ht="15" customHeight="1" x14ac:dyDescent="0.4">
      <c r="B72" s="146"/>
      <c r="C72" s="180"/>
      <c r="D72" s="180"/>
      <c r="E72" s="180"/>
      <c r="F72" s="180"/>
      <c r="G72" s="180"/>
      <c r="H72" s="167"/>
      <c r="I72" s="180"/>
      <c r="J72" s="149"/>
      <c r="K72" s="149"/>
      <c r="L72" s="149"/>
      <c r="M72" s="149"/>
      <c r="N72" s="149"/>
      <c r="O72" s="149"/>
      <c r="P72" s="149"/>
      <c r="Q72" s="146"/>
      <c r="R72" s="146"/>
      <c r="S72" s="146"/>
    </row>
    <row r="73" spans="2:24" ht="15" customHeight="1" x14ac:dyDescent="0.4">
      <c r="B73" s="149"/>
      <c r="C73" s="180"/>
      <c r="D73" s="180"/>
      <c r="E73" s="180"/>
      <c r="F73" s="180"/>
      <c r="G73" s="180"/>
      <c r="H73" s="185"/>
      <c r="I73" s="180"/>
      <c r="J73" s="149"/>
      <c r="K73" s="149"/>
      <c r="L73" s="149"/>
      <c r="M73" s="149"/>
      <c r="N73" s="149"/>
      <c r="O73" s="149"/>
      <c r="P73" s="149"/>
      <c r="Q73" s="146"/>
      <c r="R73" s="146"/>
      <c r="S73" s="146"/>
    </row>
    <row r="74" spans="2:24" ht="15" customHeight="1" x14ac:dyDescent="0.4">
      <c r="B74" s="149"/>
      <c r="C74" s="180"/>
      <c r="D74" s="180"/>
      <c r="E74" s="180"/>
      <c r="F74" s="180"/>
      <c r="G74" s="180"/>
      <c r="H74" s="180"/>
      <c r="I74" s="180"/>
      <c r="J74" s="149"/>
      <c r="K74" s="149"/>
      <c r="L74" s="149"/>
      <c r="M74" s="149"/>
      <c r="N74" s="149"/>
      <c r="O74" s="149"/>
      <c r="P74" s="149"/>
      <c r="Q74" s="146"/>
      <c r="R74" s="146"/>
      <c r="S74" s="146"/>
    </row>
    <row r="75" spans="2:24" ht="15" customHeight="1" x14ac:dyDescent="0.4">
      <c r="B75" s="149"/>
      <c r="C75" s="180"/>
      <c r="D75" s="180"/>
      <c r="E75" s="180"/>
      <c r="F75" s="180"/>
      <c r="G75" s="180"/>
      <c r="H75" s="180"/>
      <c r="I75" s="186"/>
      <c r="J75" s="149"/>
      <c r="K75" s="149"/>
      <c r="L75" s="149"/>
      <c r="M75" s="149"/>
      <c r="N75" s="149"/>
      <c r="O75" s="149"/>
      <c r="P75" s="149"/>
      <c r="Q75" s="146"/>
      <c r="R75" s="146"/>
      <c r="S75" s="146"/>
    </row>
    <row r="76" spans="2:24" ht="15" customHeight="1" x14ac:dyDescent="0.4">
      <c r="B76" s="149"/>
      <c r="C76" s="180"/>
      <c r="D76" s="180"/>
      <c r="E76" s="180"/>
      <c r="F76" s="180"/>
      <c r="G76" s="180"/>
      <c r="H76" s="180"/>
      <c r="I76" s="187"/>
      <c r="J76" s="149"/>
      <c r="K76" s="149"/>
      <c r="L76" s="149"/>
      <c r="M76" s="149"/>
      <c r="N76" s="149"/>
      <c r="O76" s="149"/>
      <c r="P76" s="149"/>
      <c r="Q76" s="187"/>
      <c r="R76" s="188"/>
      <c r="S76" s="146"/>
    </row>
    <row r="77" spans="2:24" ht="15" customHeight="1" x14ac:dyDescent="0.4">
      <c r="B77" s="146"/>
      <c r="C77" s="180"/>
      <c r="D77" s="180"/>
      <c r="E77" s="180"/>
      <c r="F77" s="180"/>
      <c r="G77" s="180"/>
      <c r="H77" s="180"/>
      <c r="I77" s="187"/>
      <c r="J77" s="146"/>
      <c r="K77" s="146"/>
      <c r="L77" s="146"/>
      <c r="M77" s="146"/>
      <c r="N77" s="146"/>
      <c r="O77" s="146"/>
      <c r="P77" s="146"/>
      <c r="Q77" s="191"/>
      <c r="R77" s="191"/>
      <c r="S77" s="146"/>
    </row>
    <row r="78" spans="2:24" ht="15" customHeight="1" x14ac:dyDescent="0.4">
      <c r="B78" s="146"/>
      <c r="C78" s="180"/>
      <c r="D78" s="180"/>
      <c r="E78" s="180"/>
      <c r="F78" s="180"/>
      <c r="G78" s="180"/>
      <c r="H78" s="180"/>
      <c r="I78" s="187"/>
      <c r="J78" s="146"/>
      <c r="K78" s="146"/>
      <c r="L78" s="146"/>
      <c r="M78" s="146"/>
      <c r="N78" s="146"/>
      <c r="O78" s="146"/>
      <c r="P78" s="146"/>
      <c r="Q78" s="193"/>
      <c r="R78" s="193"/>
      <c r="S78" s="192"/>
      <c r="T78" s="192"/>
      <c r="U78" s="192"/>
      <c r="V78" s="192"/>
      <c r="W78" s="192"/>
      <c r="X78" s="192"/>
    </row>
    <row r="79" spans="2:24" ht="15" customHeight="1" x14ac:dyDescent="0.4">
      <c r="B79" s="146"/>
      <c r="C79" s="180"/>
      <c r="D79" s="180"/>
      <c r="E79" s="180"/>
      <c r="F79" s="180"/>
      <c r="G79" s="180"/>
      <c r="H79" s="180"/>
      <c r="I79" s="187"/>
      <c r="J79" s="146"/>
      <c r="K79" s="146"/>
      <c r="L79" s="146"/>
      <c r="M79" s="146"/>
      <c r="N79" s="146"/>
      <c r="O79" s="146"/>
      <c r="P79" s="146"/>
      <c r="Q79" s="194"/>
      <c r="R79" s="192"/>
      <c r="S79" s="192"/>
      <c r="T79" s="192"/>
      <c r="U79" s="192"/>
      <c r="V79" s="192"/>
      <c r="W79" s="192"/>
      <c r="X79" s="192"/>
    </row>
    <row r="80" spans="2:24" ht="15" customHeight="1" x14ac:dyDescent="0.4">
      <c r="B80" s="146"/>
      <c r="C80" s="180"/>
      <c r="D80" s="180"/>
      <c r="E80" s="180"/>
      <c r="F80" s="180"/>
      <c r="G80" s="180"/>
      <c r="H80" s="180"/>
      <c r="I80" s="187"/>
      <c r="J80" s="146"/>
      <c r="K80" s="146"/>
      <c r="L80" s="146"/>
      <c r="M80" s="146"/>
      <c r="N80" s="146"/>
      <c r="O80" s="146"/>
      <c r="P80" s="146"/>
      <c r="Q80" s="194"/>
      <c r="R80" s="192"/>
      <c r="S80" s="192"/>
      <c r="T80" s="192"/>
      <c r="U80" s="192"/>
      <c r="V80" s="192"/>
      <c r="W80" s="192"/>
      <c r="X80" s="192"/>
    </row>
    <row r="81" spans="1:29" ht="15" customHeight="1" x14ac:dyDescent="0.4">
      <c r="B81" s="146"/>
      <c r="C81" s="180"/>
      <c r="D81" s="180"/>
      <c r="E81" s="180"/>
      <c r="F81" s="180"/>
      <c r="G81" s="187"/>
      <c r="H81" s="180"/>
      <c r="I81" s="180"/>
      <c r="J81" s="146"/>
      <c r="K81" s="146"/>
      <c r="L81" s="146"/>
      <c r="M81" s="146"/>
      <c r="N81" s="146"/>
      <c r="O81" s="146"/>
      <c r="P81" s="146"/>
      <c r="Q81" s="194"/>
      <c r="R81" s="192"/>
      <c r="S81" s="192"/>
      <c r="T81" s="192"/>
      <c r="U81" s="192"/>
      <c r="V81" s="192"/>
      <c r="W81" s="192"/>
      <c r="X81" s="192"/>
    </row>
    <row r="82" spans="1:29" ht="15" customHeight="1" x14ac:dyDescent="0.4">
      <c r="B82" s="146"/>
      <c r="C82" s="180"/>
      <c r="D82" s="180"/>
      <c r="E82" s="180"/>
      <c r="F82" s="180"/>
      <c r="G82" s="180"/>
      <c r="H82" s="180"/>
      <c r="I82" s="180"/>
      <c r="J82" s="180"/>
      <c r="K82" s="180"/>
      <c r="L82" s="146"/>
      <c r="M82" s="146"/>
      <c r="N82" s="146"/>
      <c r="O82" s="146"/>
      <c r="P82" s="146"/>
      <c r="Q82" s="194"/>
      <c r="R82" s="192"/>
      <c r="S82" s="192"/>
      <c r="T82" s="192"/>
      <c r="U82" s="192"/>
      <c r="V82" s="192"/>
      <c r="W82" s="192"/>
      <c r="X82" s="192"/>
    </row>
    <row r="83" spans="1:29" ht="15" customHeight="1" x14ac:dyDescent="0.4">
      <c r="B83" s="146"/>
      <c r="C83" s="180"/>
      <c r="D83" s="180"/>
      <c r="E83" s="180"/>
      <c r="F83" s="180"/>
      <c r="G83" s="180"/>
      <c r="H83" s="180"/>
      <c r="I83" s="180"/>
      <c r="J83" s="180"/>
      <c r="K83" s="180"/>
      <c r="L83" s="146"/>
      <c r="M83" s="146"/>
      <c r="N83" s="146"/>
      <c r="O83" s="146"/>
      <c r="P83" s="146"/>
      <c r="Q83" s="458"/>
      <c r="R83" s="458"/>
      <c r="S83" s="458"/>
      <c r="T83" s="458"/>
      <c r="U83" s="458"/>
      <c r="V83" s="458"/>
      <c r="W83" s="458"/>
      <c r="X83" s="458"/>
    </row>
    <row r="84" spans="1:29" ht="15" customHeight="1" x14ac:dyDescent="0.4">
      <c r="B84" s="146"/>
      <c r="C84" s="180"/>
      <c r="D84" s="180"/>
      <c r="E84" s="180"/>
      <c r="F84" s="180"/>
      <c r="G84" s="180"/>
      <c r="H84" s="180"/>
      <c r="I84" s="180"/>
      <c r="J84" s="180"/>
      <c r="K84" s="180"/>
      <c r="L84" s="146"/>
      <c r="M84" s="146"/>
      <c r="N84" s="146"/>
      <c r="O84" s="146"/>
      <c r="P84" s="146"/>
      <c r="Q84" s="458"/>
      <c r="R84" s="458"/>
      <c r="S84" s="458"/>
      <c r="T84" s="458"/>
      <c r="U84" s="458"/>
      <c r="V84" s="458" t="s">
        <v>442</v>
      </c>
      <c r="W84" s="458" t="s">
        <v>443</v>
      </c>
      <c r="X84" s="458" t="s">
        <v>444</v>
      </c>
    </row>
    <row r="85" spans="1:29" ht="15" customHeight="1" x14ac:dyDescent="0.4">
      <c r="B85" s="146"/>
      <c r="C85" s="180"/>
      <c r="D85" s="180"/>
      <c r="E85" s="180"/>
      <c r="F85" s="180"/>
      <c r="G85" s="180"/>
      <c r="H85" s="180"/>
      <c r="I85" s="180"/>
      <c r="J85" s="180"/>
      <c r="K85" s="180"/>
      <c r="L85" s="146"/>
      <c r="M85" s="146"/>
      <c r="N85" s="146"/>
      <c r="O85" s="146"/>
      <c r="P85" s="146"/>
      <c r="Q85" s="458"/>
      <c r="R85" s="458"/>
      <c r="S85" s="458" t="s">
        <v>424</v>
      </c>
      <c r="T85" s="458"/>
      <c r="U85" s="458"/>
      <c r="V85" s="458">
        <f t="shared" ref="V85:X89" si="0">T6</f>
        <v>195.97500000000002</v>
      </c>
      <c r="W85" s="458">
        <f t="shared" si="0"/>
        <v>182.90999999999997</v>
      </c>
      <c r="X85" s="458">
        <f t="shared" si="0"/>
        <v>378.88499999999999</v>
      </c>
    </row>
    <row r="86" spans="1:29" ht="15" customHeight="1" x14ac:dyDescent="0.35"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458"/>
      <c r="R86" s="458"/>
      <c r="S86" s="458" t="s">
        <v>425</v>
      </c>
      <c r="T86" s="458"/>
      <c r="U86" s="458"/>
      <c r="V86" s="458">
        <f t="shared" si="0"/>
        <v>287.43000000000006</v>
      </c>
      <c r="W86" s="458">
        <f t="shared" si="0"/>
        <v>130.64999999999998</v>
      </c>
      <c r="X86" s="458">
        <f t="shared" si="0"/>
        <v>418.08000000000004</v>
      </c>
    </row>
    <row r="87" spans="1:29" ht="15" customHeight="1" x14ac:dyDescent="0.4">
      <c r="B87" s="146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458"/>
      <c r="R87" s="458"/>
      <c r="S87" s="458" t="s">
        <v>445</v>
      </c>
      <c r="T87" s="458"/>
      <c r="U87" s="458"/>
      <c r="V87" s="458">
        <f t="shared" si="0"/>
        <v>313.56</v>
      </c>
      <c r="W87" s="458">
        <f t="shared" si="0"/>
        <v>143.71500000000003</v>
      </c>
      <c r="X87" s="458">
        <f t="shared" si="0"/>
        <v>457.27500000000003</v>
      </c>
    </row>
    <row r="88" spans="1:29" ht="15" customHeight="1" x14ac:dyDescent="0.4">
      <c r="B88" s="146"/>
      <c r="C88" s="189"/>
      <c r="D88" s="190"/>
      <c r="E88" s="190"/>
      <c r="F88" s="191"/>
      <c r="G88" s="191"/>
      <c r="H88" s="191"/>
      <c r="I88" s="191"/>
      <c r="J88" s="191"/>
      <c r="K88" s="180"/>
      <c r="L88" s="189"/>
      <c r="M88" s="190"/>
      <c r="N88" s="190"/>
      <c r="O88" s="191"/>
      <c r="P88" s="191"/>
      <c r="Q88" s="458"/>
      <c r="R88" s="458"/>
      <c r="S88" s="458" t="s">
        <v>428</v>
      </c>
      <c r="T88" s="458"/>
      <c r="U88" s="458"/>
      <c r="V88" s="458">
        <f t="shared" si="0"/>
        <v>339.69000000000005</v>
      </c>
      <c r="W88" s="458">
        <f t="shared" si="0"/>
        <v>143.71499999999997</v>
      </c>
      <c r="X88" s="458">
        <f t="shared" si="0"/>
        <v>483.40500000000003</v>
      </c>
    </row>
    <row r="89" spans="1:29" ht="15" customHeight="1" x14ac:dyDescent="0.4">
      <c r="A89" s="192"/>
      <c r="B89" s="192"/>
      <c r="C89" s="193"/>
      <c r="D89" s="193"/>
      <c r="E89" s="193"/>
      <c r="F89" s="193"/>
      <c r="G89" s="193"/>
      <c r="H89" s="193"/>
      <c r="I89" s="193"/>
      <c r="J89" s="193"/>
      <c r="K89" s="192"/>
      <c r="L89" s="193"/>
      <c r="M89" s="193"/>
      <c r="N89" s="193"/>
      <c r="O89" s="193"/>
      <c r="P89" s="193"/>
      <c r="Q89" s="458"/>
      <c r="R89" s="458"/>
      <c r="S89" s="458" t="s">
        <v>429</v>
      </c>
      <c r="T89" s="458"/>
      <c r="U89" s="458"/>
      <c r="V89" s="458">
        <f t="shared" si="0"/>
        <v>300.495</v>
      </c>
      <c r="W89" s="458">
        <f t="shared" si="0"/>
        <v>143.71499999999997</v>
      </c>
      <c r="X89" s="458">
        <f t="shared" si="0"/>
        <v>444.21</v>
      </c>
      <c r="Y89" s="192"/>
      <c r="Z89" s="192"/>
      <c r="AA89" s="192"/>
      <c r="AB89" s="192"/>
      <c r="AC89" s="192"/>
    </row>
    <row r="90" spans="1:29" ht="15" customHeight="1" x14ac:dyDescent="0.4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3"/>
      <c r="M90" s="193"/>
      <c r="N90" s="193"/>
      <c r="O90" s="193"/>
      <c r="P90" s="193"/>
      <c r="Q90" s="458"/>
      <c r="R90" s="458"/>
      <c r="S90" s="458"/>
      <c r="T90" s="458"/>
      <c r="U90" s="458"/>
      <c r="V90" s="458"/>
      <c r="W90" s="458"/>
      <c r="X90" s="458"/>
      <c r="Y90" s="192"/>
      <c r="Z90" s="192"/>
      <c r="AA90" s="192"/>
      <c r="AB90" s="192"/>
      <c r="AC90" s="192"/>
    </row>
    <row r="91" spans="1:29" ht="15" customHeight="1" x14ac:dyDescent="0.4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3"/>
      <c r="M91" s="193"/>
      <c r="N91" s="193"/>
      <c r="O91" s="193"/>
      <c r="P91" s="193"/>
      <c r="Q91" s="458"/>
      <c r="R91" s="458"/>
      <c r="S91" s="458"/>
      <c r="T91" s="458"/>
      <c r="U91" s="458"/>
      <c r="V91" s="458"/>
      <c r="W91" s="458"/>
      <c r="X91" s="458"/>
      <c r="Y91" s="192"/>
      <c r="Z91" s="192"/>
      <c r="AA91" s="192"/>
      <c r="AB91" s="192"/>
      <c r="AC91" s="192"/>
    </row>
    <row r="92" spans="1:29" ht="15" customHeight="1" x14ac:dyDescent="0.4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3"/>
      <c r="M92" s="193"/>
      <c r="N92" s="193"/>
      <c r="O92" s="193"/>
      <c r="P92" s="193"/>
      <c r="Q92" s="458">
        <f>K103</f>
        <v>2022</v>
      </c>
      <c r="R92" s="458">
        <f>L103</f>
        <v>2023</v>
      </c>
      <c r="S92" s="458">
        <f>M103</f>
        <v>2024</v>
      </c>
      <c r="T92" s="458" t="str">
        <f>N103</f>
        <v>2025 (LTM)</v>
      </c>
      <c r="U92" s="458"/>
      <c r="V92" s="458"/>
      <c r="W92" s="458"/>
      <c r="X92" s="458"/>
      <c r="Y92" s="192"/>
      <c r="Z92" s="192"/>
      <c r="AA92" s="192"/>
      <c r="AB92" s="192"/>
      <c r="AC92" s="192"/>
    </row>
    <row r="93" spans="1:29" ht="15" customHeight="1" x14ac:dyDescent="0.4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3"/>
      <c r="M93" s="193"/>
      <c r="N93" s="193"/>
      <c r="O93" s="193"/>
      <c r="P93" s="193"/>
      <c r="Q93" s="458">
        <f>IF(INPUT!E9="",NA(),INPUT!E30/1000)</f>
        <v>119.437</v>
      </c>
      <c r="R93" s="458">
        <f>IF(INPUT!F9="",NA(),INPUT!F30/1000)</f>
        <v>114.301</v>
      </c>
      <c r="S93" s="458">
        <f>IF(INPUT!G9="",NA(),INPUT!G30/1000)</f>
        <v>123.21599999999999</v>
      </c>
      <c r="T93" s="458">
        <f>IF(INPUT!H9="",NA(),INPUT!H30/1000)</f>
        <v>133.05000000000001</v>
      </c>
      <c r="U93" s="458"/>
      <c r="V93" s="458"/>
      <c r="W93" s="458"/>
      <c r="X93" s="458"/>
      <c r="Y93" s="192"/>
      <c r="Z93" s="192"/>
      <c r="AA93" s="192"/>
      <c r="AB93" s="192"/>
      <c r="AC93" s="192"/>
    </row>
    <row r="94" spans="1:29" s="459" customFormat="1" ht="15" customHeight="1" x14ac:dyDescent="0.35">
      <c r="A94" s="458"/>
      <c r="B94" s="458"/>
      <c r="C94" s="458"/>
      <c r="D94" s="458"/>
      <c r="E94" s="458"/>
      <c r="F94" s="458"/>
      <c r="G94" s="458"/>
      <c r="H94" s="458"/>
      <c r="I94" s="458"/>
      <c r="J94" s="458"/>
      <c r="K94" s="458"/>
      <c r="L94" s="458"/>
      <c r="M94" s="458"/>
      <c r="N94" s="458"/>
      <c r="O94" s="458"/>
      <c r="P94" s="458"/>
      <c r="Q94" s="458">
        <f>IF(INPUT!E9="",NA(),INPUT!E75/1000)</f>
        <v>104.393</v>
      </c>
      <c r="R94" s="458">
        <f>IF(INPUT!F9="",NA(),INPUT!F75/1000)</f>
        <v>92.864000000000004</v>
      </c>
      <c r="S94" s="458">
        <f>IF(INPUT!G9="",NA(),INPUT!G75/1000)</f>
        <v>93.853999999999999</v>
      </c>
      <c r="T94" s="458">
        <f>IF(INPUT!H9="",NA(),INPUT!H75/1000)</f>
        <v>109.339</v>
      </c>
      <c r="U94" s="458"/>
      <c r="V94" s="458"/>
      <c r="W94" s="458"/>
      <c r="X94" s="458"/>
      <c r="Y94" s="458"/>
      <c r="Z94" s="458"/>
      <c r="AA94" s="458"/>
      <c r="AB94" s="458"/>
      <c r="AC94" s="458"/>
    </row>
    <row r="95" spans="1:29" s="459" customFormat="1" ht="15" customHeight="1" x14ac:dyDescent="0.35">
      <c r="A95" s="458"/>
      <c r="B95" s="458"/>
      <c r="C95" s="458"/>
      <c r="D95" s="458"/>
      <c r="E95" s="458"/>
      <c r="F95" s="458"/>
      <c r="G95" s="458"/>
      <c r="H95" s="458"/>
      <c r="I95" s="458"/>
      <c r="J95" s="458"/>
      <c r="K95" s="458"/>
      <c r="L95" s="458"/>
      <c r="M95" s="458"/>
      <c r="N95" s="458"/>
      <c r="O95" s="458"/>
      <c r="P95" s="458"/>
      <c r="Q95" s="458">
        <f>IF(INPUT!E9="",NA(),INPUT!E26/1000)</f>
        <v>90.694000000000003</v>
      </c>
      <c r="R95" s="463"/>
      <c r="S95" s="463">
        <v>2022</v>
      </c>
      <c r="T95" s="463">
        <v>2023</v>
      </c>
      <c r="U95" s="463">
        <v>2024</v>
      </c>
      <c r="V95" s="463" t="s">
        <v>4</v>
      </c>
      <c r="W95" s="458"/>
      <c r="X95" s="458"/>
      <c r="Y95" s="458"/>
      <c r="Z95" s="458"/>
      <c r="AA95" s="458"/>
      <c r="AB95" s="458"/>
      <c r="AC95" s="458"/>
    </row>
    <row r="96" spans="1:29" s="459" customFormat="1" ht="15" customHeight="1" x14ac:dyDescent="0.35">
      <c r="A96" s="458"/>
      <c r="B96" s="458"/>
      <c r="C96" s="458"/>
      <c r="D96" s="458"/>
      <c r="E96" s="458"/>
      <c r="F96" s="458"/>
      <c r="G96" s="458"/>
      <c r="H96" s="458"/>
      <c r="I96" s="458"/>
      <c r="J96" s="458"/>
      <c r="K96" s="458"/>
      <c r="L96" s="458"/>
      <c r="M96" s="458"/>
      <c r="N96" s="458"/>
      <c r="O96" s="458"/>
      <c r="P96" s="458"/>
      <c r="Q96" s="461"/>
      <c r="R96" s="463" t="s">
        <v>21</v>
      </c>
      <c r="S96" s="463">
        <f t="shared" ref="S96:V98" si="1">U29</f>
        <v>119437</v>
      </c>
      <c r="T96" s="463">
        <f t="shared" si="1"/>
        <v>114301</v>
      </c>
      <c r="U96" s="463">
        <f t="shared" si="1"/>
        <v>123216</v>
      </c>
      <c r="V96" s="463">
        <f t="shared" si="1"/>
        <v>133050</v>
      </c>
      <c r="Y96" s="458"/>
      <c r="Z96" s="458"/>
      <c r="AA96" s="458"/>
      <c r="AB96" s="458"/>
      <c r="AC96" s="458"/>
    </row>
    <row r="97" spans="1:29" s="459" customFormat="1" ht="15" customHeight="1" x14ac:dyDescent="0.35">
      <c r="A97" s="458"/>
      <c r="B97" s="458"/>
      <c r="C97" s="458"/>
      <c r="D97" s="458"/>
      <c r="E97" s="458"/>
      <c r="F97" s="458"/>
      <c r="G97" s="458"/>
      <c r="H97" s="458"/>
      <c r="I97" s="458"/>
      <c r="J97" s="458"/>
      <c r="K97" s="458"/>
      <c r="L97" s="458"/>
      <c r="M97" s="458"/>
      <c r="N97" s="458"/>
      <c r="O97" s="458"/>
      <c r="P97" s="458"/>
      <c r="R97" s="463" t="s">
        <v>446</v>
      </c>
      <c r="S97" s="463">
        <f t="shared" si="1"/>
        <v>104393</v>
      </c>
      <c r="T97" s="463">
        <f t="shared" si="1"/>
        <v>92864</v>
      </c>
      <c r="U97" s="463">
        <f t="shared" si="1"/>
        <v>93854</v>
      </c>
      <c r="V97" s="463">
        <f t="shared" si="1"/>
        <v>109339</v>
      </c>
      <c r="Y97" s="458"/>
      <c r="Z97" s="458"/>
      <c r="AA97" s="458"/>
      <c r="AB97" s="458"/>
      <c r="AC97" s="458"/>
    </row>
    <row r="98" spans="1:29" s="459" customFormat="1" ht="15" customHeight="1" x14ac:dyDescent="0.35">
      <c r="A98" s="458"/>
      <c r="B98" s="458"/>
      <c r="C98" s="458"/>
      <c r="D98" s="458"/>
      <c r="E98" s="458"/>
      <c r="F98" s="458"/>
      <c r="G98" s="458"/>
      <c r="H98" s="458"/>
      <c r="I98" s="458"/>
      <c r="J98" s="458"/>
      <c r="K98" s="458"/>
      <c r="L98" s="458"/>
      <c r="M98" s="458"/>
      <c r="N98" s="458"/>
      <c r="O98" s="458"/>
      <c r="P98" s="458"/>
      <c r="Q98" s="147"/>
      <c r="R98" s="463" t="s">
        <v>19</v>
      </c>
      <c r="S98" s="463">
        <f t="shared" si="1"/>
        <v>90694</v>
      </c>
      <c r="T98" s="463">
        <f t="shared" si="1"/>
        <v>87496</v>
      </c>
      <c r="U98" s="463">
        <f t="shared" si="1"/>
        <v>84845</v>
      </c>
      <c r="V98" s="463">
        <f t="shared" si="1"/>
        <v>102457</v>
      </c>
      <c r="W98" s="147"/>
      <c r="X98" s="147"/>
      <c r="Y98" s="458"/>
      <c r="Z98" s="458"/>
      <c r="AA98" s="458"/>
      <c r="AB98" s="458"/>
      <c r="AC98" s="458"/>
    </row>
    <row r="99" spans="1:29" s="459" customFormat="1" ht="15" customHeight="1" x14ac:dyDescent="0.35">
      <c r="A99" s="458"/>
      <c r="B99" s="458"/>
      <c r="C99" s="458"/>
      <c r="D99" s="458"/>
      <c r="E99" s="458"/>
      <c r="F99" s="458"/>
      <c r="G99" s="458"/>
      <c r="H99" s="458"/>
      <c r="I99" s="458"/>
      <c r="J99" s="458"/>
      <c r="K99" s="458"/>
      <c r="L99" s="458"/>
      <c r="M99" s="458"/>
      <c r="N99" s="458"/>
      <c r="O99" s="458"/>
      <c r="P99" s="458"/>
      <c r="Q99" s="147"/>
      <c r="R99" s="147"/>
      <c r="S99" s="147"/>
      <c r="T99" s="147"/>
      <c r="U99" s="147"/>
      <c r="V99" s="147"/>
      <c r="W99" s="147"/>
      <c r="X99" s="147"/>
      <c r="Y99" s="458"/>
      <c r="Z99" s="458"/>
      <c r="AA99" s="458"/>
      <c r="AB99" s="458"/>
      <c r="AC99" s="458"/>
    </row>
    <row r="100" spans="1:29" s="459" customFormat="1" ht="15" customHeight="1" x14ac:dyDescent="0.35">
      <c r="A100" s="458"/>
      <c r="B100" s="458"/>
      <c r="C100" s="458"/>
      <c r="D100" s="458"/>
      <c r="E100" s="458"/>
      <c r="F100" s="458"/>
      <c r="G100" s="458"/>
      <c r="H100" s="458"/>
      <c r="I100" s="458"/>
      <c r="J100" s="458"/>
      <c r="K100" s="458"/>
      <c r="L100" s="458"/>
      <c r="M100" s="458"/>
      <c r="N100" s="458"/>
      <c r="O100" s="458"/>
      <c r="P100" s="458"/>
      <c r="Q100" s="147"/>
      <c r="R100" s="147"/>
      <c r="S100" s="147"/>
      <c r="T100" s="147"/>
      <c r="U100" s="147"/>
      <c r="V100" s="147"/>
      <c r="W100" s="147"/>
      <c r="X100" s="147"/>
      <c r="Y100" s="458"/>
      <c r="Z100" s="458"/>
      <c r="AA100" s="458"/>
      <c r="AB100" s="458"/>
      <c r="AC100" s="458"/>
    </row>
    <row r="101" spans="1:29" s="459" customFormat="1" ht="15" customHeight="1" x14ac:dyDescent="0.35">
      <c r="A101" s="458"/>
      <c r="B101" s="458"/>
      <c r="C101" s="458"/>
      <c r="D101" s="458"/>
      <c r="E101" s="458"/>
      <c r="F101" s="458"/>
      <c r="G101" s="458"/>
      <c r="H101" s="458"/>
      <c r="I101" s="458"/>
      <c r="J101" s="458"/>
      <c r="K101" s="458"/>
      <c r="L101" s="458"/>
      <c r="M101" s="458"/>
      <c r="N101" s="458"/>
      <c r="O101" s="458"/>
      <c r="P101" s="458"/>
      <c r="Q101" s="147"/>
      <c r="R101" s="147"/>
      <c r="S101" s="147"/>
      <c r="T101" s="147"/>
      <c r="U101" s="147"/>
      <c r="V101" s="147"/>
      <c r="W101" s="147"/>
      <c r="X101" s="147"/>
      <c r="Y101" s="458"/>
      <c r="Z101" s="458"/>
      <c r="AA101" s="458"/>
      <c r="AB101" s="458"/>
      <c r="AC101" s="458"/>
    </row>
    <row r="102" spans="1:29" s="459" customFormat="1" ht="15" customHeight="1" x14ac:dyDescent="0.35">
      <c r="A102" s="458"/>
      <c r="B102" s="458"/>
      <c r="C102" s="458"/>
      <c r="D102" s="458"/>
      <c r="E102" s="458"/>
      <c r="F102" s="458"/>
      <c r="G102" s="458"/>
      <c r="H102" s="458"/>
      <c r="I102" s="458"/>
      <c r="J102" s="458"/>
      <c r="K102" s="458"/>
      <c r="L102" s="458"/>
      <c r="M102" s="458"/>
      <c r="N102" s="458"/>
      <c r="O102" s="458"/>
      <c r="P102" s="458"/>
      <c r="Q102" s="147"/>
      <c r="R102" s="147"/>
      <c r="S102" s="147"/>
      <c r="T102" s="147"/>
      <c r="U102" s="147"/>
      <c r="V102" s="147"/>
      <c r="W102" s="147"/>
      <c r="X102" s="147"/>
      <c r="Y102" s="458"/>
      <c r="Z102" s="458"/>
      <c r="AA102" s="458"/>
      <c r="AB102" s="458"/>
      <c r="AC102" s="458"/>
    </row>
    <row r="103" spans="1:29" s="459" customFormat="1" ht="15" customHeight="1" x14ac:dyDescent="0.35">
      <c r="A103" s="458"/>
      <c r="B103" s="458" t="s">
        <v>103</v>
      </c>
      <c r="C103" s="458" t="str">
        <f>IF(INPUT!D9="","",INPUT!D5)</f>
        <v/>
      </c>
      <c r="D103" s="458">
        <f>IF(INPUT!E9="",NA(),'DASHBOARD 2'!U17)</f>
        <v>2022</v>
      </c>
      <c r="E103" s="458">
        <f>IF(INPUT!F9="",NA(),'DASHBOARD 2'!V17)</f>
        <v>2023</v>
      </c>
      <c r="F103" s="458">
        <f>IF(INPUT!G9="",NA(),'DASHBOARD 2'!W17)</f>
        <v>2024</v>
      </c>
      <c r="G103" s="458" t="str">
        <f>IF(INPUT!H9="",NA(),'DASHBOARD 2'!X17)</f>
        <v>2025 (LTM)</v>
      </c>
      <c r="H103" s="458"/>
      <c r="I103" s="458" t="s">
        <v>103</v>
      </c>
      <c r="J103" s="458" t="str">
        <f>IF(INPUT!D9="","",INPUT!D5)</f>
        <v/>
      </c>
      <c r="K103" s="458">
        <f>IF(INPUT!E9="",NA(),'DASHBOARD 2'!U17)</f>
        <v>2022</v>
      </c>
      <c r="L103" s="458">
        <f>IF(INPUT!F9="",NA(),'DASHBOARD 2'!V17)</f>
        <v>2023</v>
      </c>
      <c r="M103" s="458">
        <f>IF(INPUT!G9="",NA(),'DASHBOARD 2'!W17)</f>
        <v>2024</v>
      </c>
      <c r="N103" s="458" t="str">
        <f>IF(INPUT!H9="",NA(),'DASHBOARD 2'!X17)</f>
        <v>2025 (LTM)</v>
      </c>
      <c r="O103" s="458"/>
      <c r="P103" s="458" t="str">
        <f>J103</f>
        <v/>
      </c>
      <c r="Q103" s="147"/>
      <c r="R103" s="147"/>
      <c r="S103" s="147"/>
      <c r="T103" s="147"/>
      <c r="U103" s="147"/>
      <c r="V103" s="147"/>
      <c r="W103" s="147"/>
      <c r="X103" s="147"/>
      <c r="Y103" s="458"/>
      <c r="Z103" s="458"/>
      <c r="AA103" s="458"/>
      <c r="AB103" s="458"/>
      <c r="AC103" s="458"/>
    </row>
    <row r="104" spans="1:29" s="459" customFormat="1" ht="15" customHeight="1" x14ac:dyDescent="0.35">
      <c r="A104" s="458"/>
      <c r="B104" s="458" t="s">
        <v>433</v>
      </c>
      <c r="C104" s="458" t="str">
        <f>""</f>
        <v/>
      </c>
      <c r="D104" s="458" t="str">
        <f>IF(INPUT!E9="",NA(),'DASHBOARD 2'!U19)</f>
        <v/>
      </c>
      <c r="E104" s="458">
        <f>IF(INPUT!F9="",NA(),'DASHBOARD 2'!V19)</f>
        <v>-2.800460530319937E-2</v>
      </c>
      <c r="F104" s="458">
        <f>IF(INPUT!G9="",NA(),'DASHBOARD 2'!W19)</f>
        <v>2.021994077514111E-2</v>
      </c>
      <c r="G104" s="458">
        <f>IF(INPUT!H9="",NA(),'DASHBOARD 2'!X19)</f>
        <v>6.425511782832749E-2</v>
      </c>
      <c r="H104" s="458"/>
      <c r="I104" s="458" t="s">
        <v>156</v>
      </c>
      <c r="J104" s="458" t="str">
        <f>IF(INPUT!D9="","",INPUT!D30)</f>
        <v/>
      </c>
      <c r="K104" s="458">
        <f>IF(INPUT!E9="",NA(),INPUT!E30)</f>
        <v>119437</v>
      </c>
      <c r="L104" s="458">
        <f>IF(INPUT!F9="",NA(),INPUT!F30)</f>
        <v>114301</v>
      </c>
      <c r="M104" s="458">
        <f>IF(INPUT!G9="",NA(),INPUT!G30)</f>
        <v>123216</v>
      </c>
      <c r="N104" s="458">
        <f>IF(INPUT!H9="",NA(),INPUT!H30)</f>
        <v>133050</v>
      </c>
      <c r="O104" s="458"/>
      <c r="P104" s="458" t="e">
        <f>IF(INPUT!D9="",NA(),INPUT!D30/1000)</f>
        <v>#N/A</v>
      </c>
      <c r="Q104" s="147"/>
      <c r="R104" s="147"/>
      <c r="S104" s="147"/>
      <c r="T104" s="147"/>
      <c r="U104" s="147"/>
      <c r="V104" s="147"/>
      <c r="W104" s="147"/>
      <c r="X104" s="147"/>
      <c r="Y104" s="458"/>
      <c r="Z104" s="458"/>
      <c r="AA104" s="458"/>
      <c r="AB104" s="458"/>
      <c r="AC104" s="458"/>
    </row>
    <row r="105" spans="1:29" s="459" customFormat="1" ht="15" customHeight="1" x14ac:dyDescent="0.4">
      <c r="A105" s="458"/>
      <c r="B105" s="458" t="s">
        <v>440</v>
      </c>
      <c r="C105" s="460" t="str">
        <f>IF(INPUT!D9="","",INPUT!D9)</f>
        <v/>
      </c>
      <c r="D105" s="460">
        <f>IF(INPUT!E9="",NA(),INPUT!E9)</f>
        <v>394328</v>
      </c>
      <c r="E105" s="460">
        <f>IF(INPUT!F9="",NA(),INPUT!F9)</f>
        <v>383285</v>
      </c>
      <c r="F105" s="460">
        <f>IF(INPUT!G9="",NA(),INPUT!G9)</f>
        <v>391035</v>
      </c>
      <c r="G105" s="460">
        <f>IF(INPUT!H9="",NA(),INPUT!H9)</f>
        <v>416161</v>
      </c>
      <c r="H105" s="460"/>
      <c r="I105" s="458" t="s">
        <v>447</v>
      </c>
      <c r="J105" s="458" t="str">
        <f>IF(INPUT!D9="","",INPUT!D75)</f>
        <v/>
      </c>
      <c r="K105" s="458">
        <f>IF(INPUT!E9="",NA(),INPUT!E75)</f>
        <v>104393</v>
      </c>
      <c r="L105" s="458">
        <f>IF(INPUT!F9="",NA(),INPUT!F75)</f>
        <v>92864</v>
      </c>
      <c r="M105" s="458">
        <f>IF(INPUT!G9="",NA(),INPUT!G75)</f>
        <v>93854</v>
      </c>
      <c r="N105" s="458">
        <f>IF(INPUT!H9="",NA(),INPUT!H75)</f>
        <v>109339</v>
      </c>
      <c r="O105" s="458"/>
      <c r="P105" s="458" t="e">
        <f>IF(INPUT!D9="",NA(),INPUT!D75/1000)</f>
        <v>#N/A</v>
      </c>
      <c r="Q105" s="147"/>
      <c r="R105" s="147"/>
      <c r="S105" s="147"/>
      <c r="T105" s="147"/>
      <c r="U105" s="147"/>
      <c r="V105" s="147"/>
      <c r="W105" s="147"/>
      <c r="X105" s="147"/>
      <c r="Y105" s="458"/>
      <c r="Z105" s="458"/>
      <c r="AA105" s="458"/>
      <c r="AB105" s="458"/>
      <c r="AC105" s="458"/>
    </row>
    <row r="106" spans="1:29" s="459" customFormat="1" ht="15" customHeight="1" x14ac:dyDescent="0.35">
      <c r="A106" s="458" t="s">
        <v>7</v>
      </c>
      <c r="B106" s="458"/>
      <c r="C106" s="458"/>
      <c r="D106" s="458"/>
      <c r="E106" s="458"/>
      <c r="F106" s="458"/>
      <c r="G106" s="458"/>
      <c r="H106" s="458"/>
      <c r="I106" s="458" t="s">
        <v>157</v>
      </c>
      <c r="J106" s="458" t="str">
        <f>IF(INPUT!D9="","",INPUT!D26)</f>
        <v/>
      </c>
      <c r="K106" s="458">
        <f>IF(INPUT!E9="",NA(),INPUT!E26)</f>
        <v>90694</v>
      </c>
      <c r="L106" s="458">
        <f>IF(INPUT!F9="",NA(),INPUT!F26)</f>
        <v>87496</v>
      </c>
      <c r="M106" s="458">
        <f>IF(INPUT!G9="",NA(),INPUT!G26)</f>
        <v>84845</v>
      </c>
      <c r="N106" s="458">
        <f>IF(INPUT!H9="",NA(),INPUT!H26)</f>
        <v>102457</v>
      </c>
      <c r="O106" s="458"/>
      <c r="P106" s="458" t="e">
        <f>IF(INPUT!D9="",NA(),INPUT!D26/1000)</f>
        <v>#N/A</v>
      </c>
      <c r="Q106" s="147"/>
      <c r="R106" s="147"/>
      <c r="S106" s="147"/>
      <c r="T106" s="147"/>
      <c r="U106" s="147"/>
      <c r="V106" s="147"/>
      <c r="W106" s="147"/>
      <c r="X106" s="147"/>
      <c r="Y106" s="458"/>
      <c r="Z106" s="458"/>
      <c r="AA106" s="458"/>
      <c r="AB106" s="458"/>
      <c r="AC106" s="458"/>
    </row>
    <row r="107" spans="1:29" s="459" customFormat="1" ht="15" customHeight="1" x14ac:dyDescent="0.35">
      <c r="B107" s="461"/>
      <c r="C107" s="461"/>
      <c r="D107" s="461"/>
      <c r="E107" s="461"/>
      <c r="F107" s="461"/>
      <c r="G107" s="461"/>
      <c r="H107" s="461"/>
      <c r="I107" s="461"/>
      <c r="J107" s="461"/>
      <c r="K107" s="461"/>
      <c r="L107" s="461"/>
      <c r="M107" s="461"/>
      <c r="N107" s="461"/>
      <c r="O107" s="461"/>
      <c r="P107" s="461"/>
      <c r="Q107" s="147"/>
      <c r="R107" s="147"/>
      <c r="S107" s="147"/>
      <c r="T107" s="147"/>
      <c r="U107" s="147"/>
      <c r="V107" s="147"/>
      <c r="W107" s="147"/>
      <c r="X107" s="147"/>
    </row>
    <row r="108" spans="1:29" s="459" customFormat="1" ht="15" customHeight="1" x14ac:dyDescent="0.35">
      <c r="O108" s="462"/>
      <c r="Q108" s="147"/>
      <c r="R108" s="147"/>
      <c r="S108" s="147"/>
      <c r="T108" s="147"/>
      <c r="U108" s="147"/>
      <c r="V108" s="147"/>
      <c r="W108" s="147"/>
      <c r="X108" s="147"/>
    </row>
  </sheetData>
  <pageMargins left="5.5555555555555558E-3" right="5.5555555555555558E-3" top="5.5555555555555558E-3" bottom="5.5555555555555558E-3" header="0.3" footer="0.3"/>
  <pageSetup paperSize="9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workbookViewId="0">
      <selection activeCell="E32" sqref="E32"/>
    </sheetView>
  </sheetViews>
  <sheetFormatPr baseColWidth="10" defaultRowHeight="14.4" x14ac:dyDescent="0.3"/>
  <cols>
    <col min="1" max="1" width="55.33203125" bestFit="1" customWidth="1"/>
    <col min="2" max="2" width="6.6640625" bestFit="1" customWidth="1"/>
    <col min="3" max="3" width="14.109375" bestFit="1" customWidth="1"/>
    <col min="4" max="4" width="12.6640625" bestFit="1" customWidth="1"/>
  </cols>
  <sheetData>
    <row r="1" spans="1:3" x14ac:dyDescent="0.3">
      <c r="A1" s="177" t="s">
        <v>448</v>
      </c>
      <c r="B1" s="177"/>
      <c r="C1" s="177"/>
    </row>
    <row r="2" spans="1:3" x14ac:dyDescent="0.3">
      <c r="A2" s="178" t="s">
        <v>449</v>
      </c>
      <c r="B2" s="178" t="s">
        <v>450</v>
      </c>
      <c r="C2" s="178" t="s">
        <v>451</v>
      </c>
    </row>
    <row r="3" spans="1:3" x14ac:dyDescent="0.3">
      <c r="A3" s="253">
        <v>1</v>
      </c>
      <c r="B3" t="s">
        <v>452</v>
      </c>
      <c r="C3" s="321">
        <v>199.98</v>
      </c>
    </row>
    <row r="4" spans="1:3" x14ac:dyDescent="0.3">
      <c r="A4" s="253">
        <v>2</v>
      </c>
      <c r="B4" t="s">
        <v>453</v>
      </c>
      <c r="C4" s="321">
        <v>204.55</v>
      </c>
    </row>
    <row r="5" spans="1:3" x14ac:dyDescent="0.3">
      <c r="A5" s="253">
        <v>3</v>
      </c>
      <c r="B5" t="s">
        <v>454</v>
      </c>
      <c r="C5" s="321">
        <v>206.94</v>
      </c>
    </row>
    <row r="6" spans="1:3" x14ac:dyDescent="0.3">
      <c r="A6" s="253">
        <v>4</v>
      </c>
      <c r="B6" t="s">
        <v>455</v>
      </c>
      <c r="C6" s="321">
        <v>231.44</v>
      </c>
    </row>
    <row r="7" spans="1:3" x14ac:dyDescent="0.3">
      <c r="A7" s="253">
        <v>5</v>
      </c>
      <c r="B7" t="s">
        <v>456</v>
      </c>
      <c r="C7" s="321">
        <v>254.15</v>
      </c>
    </row>
    <row r="8" spans="1:3" x14ac:dyDescent="0.3">
      <c r="A8" s="253">
        <v>6</v>
      </c>
      <c r="B8" t="s">
        <v>457</v>
      </c>
      <c r="C8" s="321">
        <v>269.86</v>
      </c>
    </row>
    <row r="9" spans="1:3" x14ac:dyDescent="0.3">
      <c r="A9" s="253">
        <v>7</v>
      </c>
      <c r="B9" t="s">
        <v>458</v>
      </c>
      <c r="C9" s="321">
        <v>278.32</v>
      </c>
    </row>
    <row r="10" spans="1:3" x14ac:dyDescent="0.3">
      <c r="A10" s="253">
        <v>8</v>
      </c>
      <c r="B10" t="s">
        <v>459</v>
      </c>
      <c r="C10" s="321">
        <v>271.61</v>
      </c>
    </row>
    <row r="11" spans="1:3" x14ac:dyDescent="0.3">
      <c r="A11" s="253">
        <v>9</v>
      </c>
      <c r="B11" t="s">
        <v>460</v>
      </c>
      <c r="C11" s="321">
        <v>259.24</v>
      </c>
    </row>
    <row r="12" spans="1:3" x14ac:dyDescent="0.3">
      <c r="A12" s="253">
        <v>10</v>
      </c>
      <c r="B12" t="s">
        <v>461</v>
      </c>
      <c r="C12" s="321">
        <v>263.93</v>
      </c>
    </row>
    <row r="13" spans="1:3" x14ac:dyDescent="0.3">
      <c r="A13" s="253">
        <v>11</v>
      </c>
      <c r="B13" t="s">
        <v>462</v>
      </c>
      <c r="C13" s="321">
        <v>253.79</v>
      </c>
    </row>
    <row r="14" spans="1:3" x14ac:dyDescent="0.3">
      <c r="A14" s="253">
        <v>12</v>
      </c>
      <c r="B14" t="s">
        <v>463</v>
      </c>
      <c r="C14" s="321">
        <v>261.31</v>
      </c>
    </row>
    <row r="15" spans="1:3" x14ac:dyDescent="0.3">
      <c r="A15" s="253">
        <v>13</v>
      </c>
      <c r="C15" s="321"/>
    </row>
    <row r="17" spans="1:1" x14ac:dyDescent="0.3">
      <c r="A17" s="179" t="s">
        <v>464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61"/>
  <sheetViews>
    <sheetView topLeftCell="A38" workbookViewId="0"/>
  </sheetViews>
  <sheetFormatPr baseColWidth="10" defaultRowHeight="14.4" x14ac:dyDescent="0.3"/>
  <cols>
    <col min="1" max="1" width="23.109375" bestFit="1" customWidth="1"/>
    <col min="2" max="2" width="28.109375" bestFit="1" customWidth="1"/>
    <col min="3" max="3" width="11" bestFit="1" customWidth="1"/>
    <col min="4" max="4" width="8.44140625" bestFit="1" customWidth="1"/>
    <col min="5" max="5" width="10" bestFit="1" customWidth="1"/>
  </cols>
  <sheetData>
    <row r="1" spans="1:5" x14ac:dyDescent="0.3">
      <c r="A1" s="177" t="s">
        <v>465</v>
      </c>
      <c r="B1" s="177" t="s">
        <v>466</v>
      </c>
      <c r="C1" s="177" t="s">
        <v>467</v>
      </c>
      <c r="D1" s="177" t="s">
        <v>468</v>
      </c>
      <c r="E1" s="177" t="s">
        <v>469</v>
      </c>
    </row>
    <row r="2" spans="1:5" ht="15" customHeight="1" x14ac:dyDescent="0.35">
      <c r="A2" s="3" t="s">
        <v>470</v>
      </c>
      <c r="B2" s="3" t="s">
        <v>366</v>
      </c>
      <c r="C2" s="322">
        <v>0.05</v>
      </c>
      <c r="D2" s="322">
        <v>0.12</v>
      </c>
      <c r="E2" s="322">
        <v>0.22</v>
      </c>
    </row>
    <row r="3" spans="1:5" ht="15" customHeight="1" x14ac:dyDescent="0.35">
      <c r="A3" s="3" t="s">
        <v>470</v>
      </c>
      <c r="B3" s="3" t="s">
        <v>243</v>
      </c>
      <c r="C3" s="322">
        <v>0.55000000000000004</v>
      </c>
      <c r="D3" s="322">
        <v>0.68</v>
      </c>
      <c r="E3" s="322">
        <v>0.78</v>
      </c>
    </row>
    <row r="4" spans="1:5" ht="15" customHeight="1" x14ac:dyDescent="0.35">
      <c r="A4" s="3" t="s">
        <v>470</v>
      </c>
      <c r="B4" s="3" t="s">
        <v>114</v>
      </c>
      <c r="C4" s="322">
        <v>0.08</v>
      </c>
      <c r="D4" s="322">
        <v>0.18</v>
      </c>
      <c r="E4" s="322">
        <v>0.28000000000000003</v>
      </c>
    </row>
    <row r="5" spans="1:5" ht="15" customHeight="1" x14ac:dyDescent="0.35">
      <c r="A5" s="3" t="s">
        <v>470</v>
      </c>
      <c r="B5" s="3" t="s">
        <v>471</v>
      </c>
      <c r="C5" s="322">
        <v>0.3</v>
      </c>
      <c r="D5" s="322">
        <v>0.22</v>
      </c>
      <c r="E5" s="322">
        <v>0.15</v>
      </c>
    </row>
    <row r="6" spans="1:5" ht="15" customHeight="1" x14ac:dyDescent="0.35">
      <c r="A6" s="3" t="s">
        <v>470</v>
      </c>
      <c r="B6" s="3" t="s">
        <v>472</v>
      </c>
      <c r="C6" s="322">
        <v>0.18</v>
      </c>
      <c r="D6" s="322">
        <v>0.12</v>
      </c>
      <c r="E6" s="322">
        <v>0.08</v>
      </c>
    </row>
    <row r="7" spans="1:5" ht="15" customHeight="1" x14ac:dyDescent="0.35">
      <c r="A7" s="3" t="s">
        <v>470</v>
      </c>
      <c r="B7" s="3" t="s">
        <v>473</v>
      </c>
      <c r="C7" s="322">
        <v>0.08</v>
      </c>
      <c r="D7" s="322">
        <v>0.05</v>
      </c>
      <c r="E7" s="322">
        <v>0.03</v>
      </c>
    </row>
    <row r="8" spans="1:5" ht="15" customHeight="1" x14ac:dyDescent="0.35">
      <c r="A8" s="3" t="s">
        <v>470</v>
      </c>
      <c r="B8" s="3" t="s">
        <v>474</v>
      </c>
      <c r="C8" s="322">
        <v>0.05</v>
      </c>
      <c r="D8" s="322">
        <v>0.03</v>
      </c>
      <c r="E8" s="322">
        <v>0.02</v>
      </c>
    </row>
    <row r="9" spans="1:5" ht="15" customHeight="1" x14ac:dyDescent="0.35">
      <c r="A9" s="3" t="s">
        <v>470</v>
      </c>
      <c r="B9" s="3" t="s">
        <v>78</v>
      </c>
      <c r="C9" s="322">
        <v>0.02</v>
      </c>
      <c r="D9" s="322">
        <v>0.03</v>
      </c>
      <c r="E9" s="322">
        <v>0.04</v>
      </c>
    </row>
    <row r="10" spans="1:5" ht="15" customHeight="1" x14ac:dyDescent="0.35">
      <c r="A10" s="3" t="s">
        <v>470</v>
      </c>
      <c r="B10" s="3" t="s">
        <v>77</v>
      </c>
      <c r="C10" s="322">
        <v>0.11</v>
      </c>
      <c r="D10" s="322">
        <v>0.09</v>
      </c>
      <c r="E10" s="322">
        <v>7.0000000000000007E-2</v>
      </c>
    </row>
    <row r="11" spans="1:5" ht="15" customHeight="1" x14ac:dyDescent="0.35">
      <c r="A11" s="3" t="s">
        <v>470</v>
      </c>
      <c r="B11" s="3" t="s">
        <v>475</v>
      </c>
      <c r="C11" s="322">
        <v>12</v>
      </c>
      <c r="D11" s="322">
        <v>16</v>
      </c>
      <c r="E11" s="322">
        <v>22</v>
      </c>
    </row>
    <row r="12" spans="1:5" ht="15" customHeight="1" x14ac:dyDescent="0.35">
      <c r="A12" s="3" t="s">
        <v>476</v>
      </c>
      <c r="B12" s="3" t="s">
        <v>366</v>
      </c>
      <c r="C12" s="322">
        <v>0.01</v>
      </c>
      <c r="D12" s="322">
        <v>0.04</v>
      </c>
      <c r="E12" s="322">
        <v>7.0000000000000007E-2</v>
      </c>
    </row>
    <row r="13" spans="1:5" ht="15" customHeight="1" x14ac:dyDescent="0.35">
      <c r="A13" s="3" t="s">
        <v>476</v>
      </c>
      <c r="B13" s="3" t="s">
        <v>243</v>
      </c>
      <c r="C13" s="322">
        <v>0.18</v>
      </c>
      <c r="D13" s="322">
        <v>0.25</v>
      </c>
      <c r="E13" s="322">
        <v>0.32</v>
      </c>
    </row>
    <row r="14" spans="1:5" ht="15" customHeight="1" x14ac:dyDescent="0.35">
      <c r="A14" s="3" t="s">
        <v>476</v>
      </c>
      <c r="B14" s="3" t="s">
        <v>114</v>
      </c>
      <c r="C14" s="322">
        <v>0.06</v>
      </c>
      <c r="D14" s="322">
        <v>0.12</v>
      </c>
      <c r="E14" s="322">
        <v>0.18</v>
      </c>
    </row>
    <row r="15" spans="1:5" ht="15" customHeight="1" x14ac:dyDescent="0.35">
      <c r="A15" s="3" t="s">
        <v>476</v>
      </c>
      <c r="B15" s="3" t="s">
        <v>471</v>
      </c>
      <c r="C15" s="322">
        <v>0.1</v>
      </c>
      <c r="D15" s="322">
        <v>0.08</v>
      </c>
      <c r="E15" s="322">
        <v>0.06</v>
      </c>
    </row>
    <row r="16" spans="1:5" ht="15" customHeight="1" x14ac:dyDescent="0.35">
      <c r="A16" s="3" t="s">
        <v>476</v>
      </c>
      <c r="B16" s="3" t="s">
        <v>472</v>
      </c>
      <c r="C16" s="322">
        <v>0.03</v>
      </c>
      <c r="D16" s="322">
        <v>0.02</v>
      </c>
      <c r="E16" s="322">
        <v>0.01</v>
      </c>
    </row>
    <row r="17" spans="1:5" ht="15" customHeight="1" x14ac:dyDescent="0.35">
      <c r="A17" s="3" t="s">
        <v>476</v>
      </c>
      <c r="B17" s="3" t="s">
        <v>473</v>
      </c>
      <c r="C17" s="322">
        <v>0.1</v>
      </c>
      <c r="D17" s="322">
        <v>7.0000000000000007E-2</v>
      </c>
      <c r="E17" s="322">
        <v>0.04</v>
      </c>
    </row>
    <row r="18" spans="1:5" ht="15" customHeight="1" x14ac:dyDescent="0.35">
      <c r="A18" s="3" t="s">
        <v>476</v>
      </c>
      <c r="B18" s="3" t="s">
        <v>474</v>
      </c>
      <c r="C18" s="322">
        <v>0.12</v>
      </c>
      <c r="D18" s="322">
        <v>0.08</v>
      </c>
      <c r="E18" s="322">
        <v>0.05</v>
      </c>
    </row>
    <row r="19" spans="1:5" ht="15" customHeight="1" x14ac:dyDescent="0.35">
      <c r="A19" s="3" t="s">
        <v>476</v>
      </c>
      <c r="B19" s="3" t="s">
        <v>78</v>
      </c>
      <c r="C19" s="322">
        <v>0</v>
      </c>
      <c r="D19" s="322">
        <v>0.01</v>
      </c>
      <c r="E19" s="322">
        <v>0.02</v>
      </c>
    </row>
    <row r="20" spans="1:5" ht="15" customHeight="1" x14ac:dyDescent="0.35">
      <c r="A20" s="3" t="s">
        <v>476</v>
      </c>
      <c r="B20" s="3" t="s">
        <v>77</v>
      </c>
      <c r="C20" s="322">
        <v>0.09</v>
      </c>
      <c r="D20" s="322">
        <v>0.08</v>
      </c>
      <c r="E20" s="322">
        <v>0.06</v>
      </c>
    </row>
    <row r="21" spans="1:5" ht="15" customHeight="1" x14ac:dyDescent="0.35">
      <c r="A21" s="3" t="s">
        <v>476</v>
      </c>
      <c r="B21" s="3" t="s">
        <v>475</v>
      </c>
      <c r="C21" s="322">
        <v>5</v>
      </c>
      <c r="D21" s="322">
        <v>7</v>
      </c>
      <c r="E21" s="322">
        <v>10</v>
      </c>
    </row>
    <row r="22" spans="1:5" ht="15" customHeight="1" x14ac:dyDescent="0.35">
      <c r="A22" s="3" t="s">
        <v>477</v>
      </c>
      <c r="B22" s="3" t="s">
        <v>366</v>
      </c>
      <c r="C22" s="322">
        <v>0.01</v>
      </c>
      <c r="D22" s="322">
        <v>0.04</v>
      </c>
      <c r="E22" s="322">
        <v>0.08</v>
      </c>
    </row>
    <row r="23" spans="1:5" ht="15" customHeight="1" x14ac:dyDescent="0.35">
      <c r="A23" s="3" t="s">
        <v>477</v>
      </c>
      <c r="B23" s="3" t="s">
        <v>243</v>
      </c>
      <c r="C23" s="322">
        <v>0.25</v>
      </c>
      <c r="D23" s="322">
        <v>0.35</v>
      </c>
      <c r="E23" s="322">
        <v>0.45</v>
      </c>
    </row>
    <row r="24" spans="1:5" ht="15" customHeight="1" x14ac:dyDescent="0.35">
      <c r="A24" s="3" t="s">
        <v>477</v>
      </c>
      <c r="B24" s="3" t="s">
        <v>114</v>
      </c>
      <c r="C24" s="322">
        <v>0.04</v>
      </c>
      <c r="D24" s="322">
        <v>0.09</v>
      </c>
      <c r="E24" s="322">
        <v>0.14000000000000001</v>
      </c>
    </row>
    <row r="25" spans="1:5" ht="15" customHeight="1" x14ac:dyDescent="0.35">
      <c r="A25" s="3" t="s">
        <v>477</v>
      </c>
      <c r="B25" s="3" t="s">
        <v>471</v>
      </c>
      <c r="C25" s="322">
        <v>0.18</v>
      </c>
      <c r="D25" s="322">
        <v>0.14000000000000001</v>
      </c>
      <c r="E25" s="322">
        <v>0.1</v>
      </c>
    </row>
    <row r="26" spans="1:5" ht="15" customHeight="1" x14ac:dyDescent="0.35">
      <c r="A26" s="3" t="s">
        <v>477</v>
      </c>
      <c r="B26" s="3" t="s">
        <v>472</v>
      </c>
      <c r="C26" s="322">
        <v>0.01</v>
      </c>
      <c r="D26" s="322">
        <v>0.01</v>
      </c>
      <c r="E26" s="322">
        <v>0</v>
      </c>
    </row>
    <row r="27" spans="1:5" ht="15" customHeight="1" x14ac:dyDescent="0.35">
      <c r="A27" s="3" t="s">
        <v>477</v>
      </c>
      <c r="B27" s="3" t="s">
        <v>473</v>
      </c>
      <c r="C27" s="322">
        <v>0.05</v>
      </c>
      <c r="D27" s="322">
        <v>0.03</v>
      </c>
      <c r="E27" s="322">
        <v>0.02</v>
      </c>
    </row>
    <row r="28" spans="1:5" ht="15" customHeight="1" x14ac:dyDescent="0.35">
      <c r="A28" s="3" t="s">
        <v>477</v>
      </c>
      <c r="B28" s="3" t="s">
        <v>474</v>
      </c>
      <c r="C28" s="322">
        <v>0.1</v>
      </c>
      <c r="D28" s="322">
        <v>7.0000000000000007E-2</v>
      </c>
      <c r="E28" s="322">
        <v>0.04</v>
      </c>
    </row>
    <row r="29" spans="1:5" ht="15" customHeight="1" x14ac:dyDescent="0.35">
      <c r="A29" s="3" t="s">
        <v>477</v>
      </c>
      <c r="B29" s="3" t="s">
        <v>78</v>
      </c>
      <c r="C29" s="322">
        <v>0</v>
      </c>
      <c r="D29" s="322">
        <v>0.01</v>
      </c>
      <c r="E29" s="322">
        <v>0.02</v>
      </c>
    </row>
    <row r="30" spans="1:5" ht="15" customHeight="1" x14ac:dyDescent="0.35">
      <c r="A30" s="3" t="s">
        <v>477</v>
      </c>
      <c r="B30" s="3" t="s">
        <v>77</v>
      </c>
      <c r="C30" s="322">
        <v>0.09</v>
      </c>
      <c r="D30" s="322">
        <v>0.08</v>
      </c>
      <c r="E30" s="322">
        <v>0.06</v>
      </c>
    </row>
    <row r="31" spans="1:5" ht="15" customHeight="1" x14ac:dyDescent="0.35">
      <c r="A31" s="3" t="s">
        <v>477</v>
      </c>
      <c r="B31" s="3" t="s">
        <v>475</v>
      </c>
      <c r="C31" s="322">
        <v>5</v>
      </c>
      <c r="D31" s="322">
        <v>8</v>
      </c>
      <c r="E31" s="322">
        <v>11</v>
      </c>
    </row>
    <row r="32" spans="1:5" ht="15" customHeight="1" x14ac:dyDescent="0.35">
      <c r="A32" s="3" t="s">
        <v>478</v>
      </c>
      <c r="B32" s="3" t="s">
        <v>366</v>
      </c>
      <c r="C32" s="322">
        <v>0.03</v>
      </c>
      <c r="D32" s="322">
        <v>0.08</v>
      </c>
      <c r="E32" s="322">
        <v>0.15</v>
      </c>
    </row>
    <row r="33" spans="1:5" ht="15" customHeight="1" x14ac:dyDescent="0.35">
      <c r="A33" s="3" t="s">
        <v>478</v>
      </c>
      <c r="B33" s="3" t="s">
        <v>243</v>
      </c>
      <c r="C33" s="322">
        <v>0.55000000000000004</v>
      </c>
      <c r="D33" s="322">
        <v>0.65</v>
      </c>
      <c r="E33" s="322">
        <v>0.72</v>
      </c>
    </row>
    <row r="34" spans="1:5" ht="15" customHeight="1" x14ac:dyDescent="0.35">
      <c r="A34" s="3" t="s">
        <v>478</v>
      </c>
      <c r="B34" s="3" t="s">
        <v>114</v>
      </c>
      <c r="C34" s="322">
        <v>0.18</v>
      </c>
      <c r="D34" s="322">
        <v>0.28000000000000003</v>
      </c>
      <c r="E34" s="322">
        <v>0.35</v>
      </c>
    </row>
    <row r="35" spans="1:5" ht="15" customHeight="1" x14ac:dyDescent="0.35">
      <c r="A35" s="3" t="s">
        <v>478</v>
      </c>
      <c r="B35" s="3" t="s">
        <v>471</v>
      </c>
      <c r="C35" s="322">
        <v>0.25</v>
      </c>
      <c r="D35" s="322">
        <v>0.18</v>
      </c>
      <c r="E35" s="322">
        <v>0.12</v>
      </c>
    </row>
    <row r="36" spans="1:5" ht="15" customHeight="1" x14ac:dyDescent="0.35">
      <c r="A36" s="3" t="s">
        <v>478</v>
      </c>
      <c r="B36" s="3" t="s">
        <v>472</v>
      </c>
      <c r="C36" s="322">
        <v>0.02</v>
      </c>
      <c r="D36" s="322">
        <v>0.01</v>
      </c>
      <c r="E36" s="322">
        <v>0.01</v>
      </c>
    </row>
    <row r="37" spans="1:5" ht="15" customHeight="1" x14ac:dyDescent="0.35">
      <c r="A37" s="3" t="s">
        <v>478</v>
      </c>
      <c r="B37" s="3" t="s">
        <v>473</v>
      </c>
      <c r="C37" s="322">
        <v>0.06</v>
      </c>
      <c r="D37" s="322">
        <v>0.04</v>
      </c>
      <c r="E37" s="322">
        <v>0.03</v>
      </c>
    </row>
    <row r="38" spans="1:5" ht="15" customHeight="1" x14ac:dyDescent="0.35">
      <c r="A38" s="3" t="s">
        <v>478</v>
      </c>
      <c r="B38" s="3" t="s">
        <v>474</v>
      </c>
      <c r="C38" s="322">
        <v>0.08</v>
      </c>
      <c r="D38" s="322">
        <v>0.05</v>
      </c>
      <c r="E38" s="322">
        <v>0.03</v>
      </c>
    </row>
    <row r="39" spans="1:5" ht="15" customHeight="1" x14ac:dyDescent="0.35">
      <c r="A39" s="3" t="s">
        <v>478</v>
      </c>
      <c r="B39" s="3" t="s">
        <v>78</v>
      </c>
      <c r="C39" s="322">
        <v>0.01</v>
      </c>
      <c r="D39" s="322">
        <v>0.02</v>
      </c>
      <c r="E39" s="322">
        <v>0.03</v>
      </c>
    </row>
    <row r="40" spans="1:5" ht="15" customHeight="1" x14ac:dyDescent="0.35">
      <c r="A40" s="3" t="s">
        <v>478</v>
      </c>
      <c r="B40" s="3" t="s">
        <v>77</v>
      </c>
      <c r="C40" s="322">
        <v>0.08</v>
      </c>
      <c r="D40" s="322">
        <v>7.0000000000000007E-2</v>
      </c>
      <c r="E40" s="322">
        <v>0.05</v>
      </c>
    </row>
    <row r="41" spans="1:5" ht="15" customHeight="1" x14ac:dyDescent="0.35">
      <c r="A41" s="3" t="s">
        <v>478</v>
      </c>
      <c r="B41" s="3" t="s">
        <v>475</v>
      </c>
      <c r="C41" s="322">
        <v>12</v>
      </c>
      <c r="D41" s="322">
        <v>18</v>
      </c>
      <c r="E41" s="322">
        <v>25</v>
      </c>
    </row>
    <row r="42" spans="1:5" ht="15" customHeight="1" x14ac:dyDescent="0.35">
      <c r="A42" s="3" t="s">
        <v>479</v>
      </c>
      <c r="B42" s="3" t="s">
        <v>366</v>
      </c>
      <c r="C42" s="322">
        <v>-0.02</v>
      </c>
      <c r="D42" s="322">
        <v>0.02</v>
      </c>
      <c r="E42" s="322">
        <v>0.05</v>
      </c>
    </row>
    <row r="43" spans="1:5" ht="15" customHeight="1" x14ac:dyDescent="0.35">
      <c r="A43" s="3" t="s">
        <v>479</v>
      </c>
      <c r="B43" s="3" t="s">
        <v>243</v>
      </c>
      <c r="C43" s="322">
        <v>0.2</v>
      </c>
      <c r="D43" s="322">
        <v>0.3</v>
      </c>
      <c r="E43" s="322">
        <v>0.4</v>
      </c>
    </row>
    <row r="44" spans="1:5" ht="15" customHeight="1" x14ac:dyDescent="0.35">
      <c r="A44" s="3" t="s">
        <v>479</v>
      </c>
      <c r="B44" s="3" t="s">
        <v>114</v>
      </c>
      <c r="C44" s="322">
        <v>0.15</v>
      </c>
      <c r="D44" s="322">
        <v>0.25</v>
      </c>
      <c r="E44" s="322">
        <v>0.35</v>
      </c>
    </row>
    <row r="45" spans="1:5" ht="15" customHeight="1" x14ac:dyDescent="0.35">
      <c r="A45" s="3" t="s">
        <v>479</v>
      </c>
      <c r="B45" s="3" t="s">
        <v>471</v>
      </c>
      <c r="C45" s="322">
        <v>0.08</v>
      </c>
      <c r="D45" s="322">
        <v>0.06</v>
      </c>
      <c r="E45" s="322">
        <v>0.04</v>
      </c>
    </row>
    <row r="46" spans="1:5" ht="15" customHeight="1" x14ac:dyDescent="0.35">
      <c r="A46" s="3" t="s">
        <v>479</v>
      </c>
      <c r="B46" s="3" t="s">
        <v>472</v>
      </c>
      <c r="C46" s="322">
        <v>0.02</v>
      </c>
      <c r="D46" s="322">
        <v>0.01</v>
      </c>
      <c r="E46" s="322">
        <v>0.01</v>
      </c>
    </row>
    <row r="47" spans="1:5" ht="15" customHeight="1" x14ac:dyDescent="0.35">
      <c r="A47" s="3" t="s">
        <v>479</v>
      </c>
      <c r="B47" s="3" t="s">
        <v>473</v>
      </c>
      <c r="C47" s="322">
        <v>0.15</v>
      </c>
      <c r="D47" s="322">
        <v>0.1</v>
      </c>
      <c r="E47" s="322">
        <v>7.0000000000000007E-2</v>
      </c>
    </row>
    <row r="48" spans="1:5" ht="15" customHeight="1" x14ac:dyDescent="0.35">
      <c r="A48" s="3" t="s">
        <v>479</v>
      </c>
      <c r="B48" s="3" t="s">
        <v>474</v>
      </c>
      <c r="C48" s="322">
        <v>0.05</v>
      </c>
      <c r="D48" s="322">
        <v>0.04</v>
      </c>
      <c r="E48" s="322">
        <v>0.03</v>
      </c>
    </row>
    <row r="49" spans="1:5" ht="15" customHeight="1" x14ac:dyDescent="0.35">
      <c r="A49" s="3" t="s">
        <v>479</v>
      </c>
      <c r="B49" s="3" t="s">
        <v>78</v>
      </c>
      <c r="C49" s="322">
        <v>0</v>
      </c>
      <c r="D49" s="322">
        <v>0.01</v>
      </c>
      <c r="E49" s="322">
        <v>0.02</v>
      </c>
    </row>
    <row r="50" spans="1:5" ht="15" customHeight="1" x14ac:dyDescent="0.35">
      <c r="A50" s="3" t="s">
        <v>479</v>
      </c>
      <c r="B50" s="3" t="s">
        <v>77</v>
      </c>
      <c r="C50" s="322">
        <v>7.0000000000000007E-2</v>
      </c>
      <c r="D50" s="322">
        <v>0.06</v>
      </c>
      <c r="E50" s="322">
        <v>0.05</v>
      </c>
    </row>
    <row r="51" spans="1:5" ht="15" customHeight="1" x14ac:dyDescent="0.35">
      <c r="A51" s="3" t="s">
        <v>479</v>
      </c>
      <c r="B51" s="3" t="s">
        <v>475</v>
      </c>
      <c r="C51" s="322">
        <v>6</v>
      </c>
      <c r="D51" s="322">
        <v>8</v>
      </c>
      <c r="E51" s="322">
        <v>11</v>
      </c>
    </row>
    <row r="52" spans="1:5" ht="15" customHeight="1" x14ac:dyDescent="0.35">
      <c r="A52" s="3" t="s">
        <v>480</v>
      </c>
      <c r="B52" s="3" t="s">
        <v>366</v>
      </c>
      <c r="C52" s="322">
        <v>0.02</v>
      </c>
      <c r="D52" s="322">
        <v>0.06</v>
      </c>
      <c r="E52" s="322">
        <v>0.12</v>
      </c>
    </row>
    <row r="53" spans="1:5" ht="15" customHeight="1" x14ac:dyDescent="0.35">
      <c r="A53" s="3" t="s">
        <v>480</v>
      </c>
      <c r="B53" s="3" t="s">
        <v>243</v>
      </c>
      <c r="C53" s="322">
        <v>0.45</v>
      </c>
      <c r="D53" s="322">
        <v>0.6</v>
      </c>
      <c r="E53" s="322">
        <v>0.72</v>
      </c>
    </row>
    <row r="54" spans="1:5" ht="15" customHeight="1" x14ac:dyDescent="0.35">
      <c r="A54" s="3" t="s">
        <v>480</v>
      </c>
      <c r="B54" s="3" t="s">
        <v>114</v>
      </c>
      <c r="C54" s="322">
        <v>0.1</v>
      </c>
      <c r="D54" s="322">
        <v>0.2</v>
      </c>
      <c r="E54" s="322">
        <v>0.3</v>
      </c>
    </row>
    <row r="55" spans="1:5" ht="15" customHeight="1" x14ac:dyDescent="0.35">
      <c r="A55" s="3" t="s">
        <v>480</v>
      </c>
      <c r="B55" s="3" t="s">
        <v>471</v>
      </c>
      <c r="C55" s="322">
        <v>0.25</v>
      </c>
      <c r="D55" s="322">
        <v>0.18</v>
      </c>
      <c r="E55" s="322">
        <v>0.12</v>
      </c>
    </row>
    <row r="56" spans="1:5" ht="15" customHeight="1" x14ac:dyDescent="0.35">
      <c r="A56" s="3" t="s">
        <v>480</v>
      </c>
      <c r="B56" s="3" t="s">
        <v>472</v>
      </c>
      <c r="C56" s="322">
        <v>0.2</v>
      </c>
      <c r="D56" s="322">
        <v>0.15</v>
      </c>
      <c r="E56" s="322">
        <v>0.1</v>
      </c>
    </row>
    <row r="57" spans="1:5" ht="15" customHeight="1" x14ac:dyDescent="0.35">
      <c r="A57" s="3" t="s">
        <v>480</v>
      </c>
      <c r="B57" s="3" t="s">
        <v>473</v>
      </c>
      <c r="C57" s="322">
        <v>0.06</v>
      </c>
      <c r="D57" s="322">
        <v>0.04</v>
      </c>
      <c r="E57" s="322">
        <v>0.03</v>
      </c>
    </row>
    <row r="58" spans="1:5" ht="15" customHeight="1" x14ac:dyDescent="0.35">
      <c r="A58" s="3" t="s">
        <v>480</v>
      </c>
      <c r="B58" s="3" t="s">
        <v>474</v>
      </c>
      <c r="C58" s="322">
        <v>0.08</v>
      </c>
      <c r="D58" s="322">
        <v>0.05</v>
      </c>
      <c r="E58" s="322">
        <v>0.03</v>
      </c>
    </row>
    <row r="59" spans="1:5" ht="15" customHeight="1" x14ac:dyDescent="0.35">
      <c r="A59" s="3" t="s">
        <v>480</v>
      </c>
      <c r="B59" s="3" t="s">
        <v>78</v>
      </c>
      <c r="C59" s="322">
        <v>0.01</v>
      </c>
      <c r="D59" s="322">
        <v>0.02</v>
      </c>
      <c r="E59" s="322">
        <v>0.03</v>
      </c>
    </row>
    <row r="60" spans="1:5" ht="15" customHeight="1" x14ac:dyDescent="0.35">
      <c r="A60" s="3" t="s">
        <v>480</v>
      </c>
      <c r="B60" s="3" t="s">
        <v>77</v>
      </c>
      <c r="C60" s="322">
        <v>0.08</v>
      </c>
      <c r="D60" s="322">
        <v>7.0000000000000007E-2</v>
      </c>
      <c r="E60" s="322">
        <v>0.06</v>
      </c>
    </row>
    <row r="61" spans="1:5" ht="15" customHeight="1" x14ac:dyDescent="0.35">
      <c r="A61" s="3" t="s">
        <v>480</v>
      </c>
      <c r="B61" s="3" t="s">
        <v>475</v>
      </c>
      <c r="C61" s="322">
        <v>8</v>
      </c>
      <c r="D61" s="322">
        <v>12</v>
      </c>
      <c r="E61" s="322">
        <v>18</v>
      </c>
    </row>
  </sheetData>
  <pageMargins left="0.7" right="0.7" top="0.75" bottom="0.75" header="0.3" footer="0.3"/>
  <pageSetup paperSize="9" scal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M73"/>
  <sheetViews>
    <sheetView tabSelected="1" workbookViewId="0"/>
  </sheetViews>
  <sheetFormatPr baseColWidth="10" defaultColWidth="8.88671875" defaultRowHeight="14.4" x14ac:dyDescent="0.3"/>
  <cols>
    <col min="1" max="1" width="2" customWidth="1"/>
    <col min="2" max="2" width="42" customWidth="1"/>
    <col min="3" max="3" width="12" customWidth="1"/>
    <col min="4" max="13" width="13" customWidth="1"/>
  </cols>
  <sheetData>
    <row r="1" spans="2:13" ht="54.9" customHeight="1" x14ac:dyDescent="0.3">
      <c r="B1" s="576" t="s">
        <v>100</v>
      </c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</row>
    <row r="3" spans="2:13" ht="24" customHeight="1" x14ac:dyDescent="0.3">
      <c r="B3" s="582" t="s">
        <v>481</v>
      </c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</row>
    <row r="4" spans="2:13" ht="16.05" customHeight="1" x14ac:dyDescent="0.3">
      <c r="B4" s="581" t="s">
        <v>482</v>
      </c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</row>
    <row r="6" spans="2:13" ht="19.95" customHeight="1" x14ac:dyDescent="0.3">
      <c r="B6" s="574" t="s">
        <v>483</v>
      </c>
      <c r="C6" s="573"/>
      <c r="D6" s="573"/>
      <c r="E6" s="573"/>
      <c r="F6" s="573"/>
      <c r="G6" s="573"/>
      <c r="H6" s="573"/>
      <c r="I6" s="573"/>
      <c r="J6" s="573"/>
      <c r="K6" s="573"/>
      <c r="L6" s="573"/>
      <c r="M6" s="573"/>
    </row>
    <row r="7" spans="2:13" ht="15" x14ac:dyDescent="0.35">
      <c r="B7" s="493" t="s">
        <v>484</v>
      </c>
      <c r="C7" s="494" t="str">
        <f>IFERROR(TRIM(MID(STOCK_DATA!A1,14,FIND("(",STOCK_DATA!A1)-15)),"")</f>
        <v>Apple Inc.</v>
      </c>
      <c r="G7" s="493" t="s">
        <v>485</v>
      </c>
      <c r="H7" s="495">
        <f>INPUT!H98</f>
        <v>3898904.8820000002</v>
      </c>
    </row>
    <row r="8" spans="2:13" ht="15" x14ac:dyDescent="0.35">
      <c r="B8" s="493" t="s">
        <v>486</v>
      </c>
      <c r="C8" s="494" t="str">
        <f>IFERROR(MID(STOCK_DATA!A1,SEARCH("(",STOCK_DATA!A1)+1,SEARCH(")",STOCK_DATA!A1)-SEARCH("(",STOCK_DATA!A1)-1),"")</f>
        <v>AAPL</v>
      </c>
      <c r="G8" s="493" t="s">
        <v>487</v>
      </c>
      <c r="H8" s="495">
        <f>INPUT!H30</f>
        <v>133050</v>
      </c>
    </row>
    <row r="9" spans="2:13" ht="15" x14ac:dyDescent="0.35">
      <c r="B9" s="493" t="s">
        <v>488</v>
      </c>
      <c r="C9" s="495">
        <f>INPUT!H9</f>
        <v>416161</v>
      </c>
      <c r="G9" s="493" t="s">
        <v>125</v>
      </c>
      <c r="H9" s="496">
        <f>IFERROR((INPUT!H54+INPUT!H48-INPUT!H34)/INPUT!H30,0)</f>
        <v>0.47142427658774899</v>
      </c>
    </row>
    <row r="10" spans="2:13" ht="15" x14ac:dyDescent="0.35">
      <c r="B10" s="493" t="s">
        <v>489</v>
      </c>
      <c r="C10" s="497">
        <f>IFERROR(INPUT!H30/INPUT!H9,0)</f>
        <v>0.31970799762591884</v>
      </c>
      <c r="G10" s="493" t="s">
        <v>490</v>
      </c>
      <c r="H10" s="497">
        <f>IFERROR(DCF!H49/INPUT!H30,0)</f>
        <v>0.81481768959037959</v>
      </c>
    </row>
    <row r="12" spans="2:13" ht="28.05" customHeight="1" x14ac:dyDescent="0.3">
      <c r="B12" s="583" t="str">
        <f>IF(AND(INPUT!H30&gt;0,IFERROR(INPUT!H30/INPUT!H9,0)&gt;0.15,IFERROR(DCF!H49/INPUT!H30,0)&gt;0.6,IFERROR((INPUT!H54+INPUT!H48-INPUT!H34)/INPUT!H30,99)&lt;3.5),"  ✓  PROFIL LBO-ABLE  —  Société éligible aux critères d'un LBO mid-market standard","  ✗  PROFIL NON ÉLIGIBLE  —  Voir critères ci-dessous pour les freins identifiés")</f>
        <v xml:space="preserve">  ✓  PROFIL LBO-ABLE  —  Société éligible aux critères d'un LBO mid-market standard</v>
      </c>
      <c r="C12" s="573"/>
      <c r="D12" s="573"/>
      <c r="E12" s="573"/>
      <c r="F12" s="573"/>
      <c r="G12" s="573"/>
      <c r="H12" s="573"/>
      <c r="I12" s="573"/>
      <c r="J12" s="573"/>
      <c r="K12" s="573"/>
      <c r="L12" s="573"/>
      <c r="M12" s="573"/>
    </row>
    <row r="13" spans="2:13" x14ac:dyDescent="0.3">
      <c r="B13" s="498" t="str">
        <f>IF(IFERROR(INPUT!H30/INPUT!H9,0)&gt;0.15,"✓ Marge EBITDA &gt; 15%","✗ Marge EBITDA &lt; 15%")</f>
        <v>✓ Marge EBITDA &gt; 15%</v>
      </c>
      <c r="E13" s="498" t="str">
        <f>IF(IFERROR(DCF!H49/INPUT!H30,0)&gt;0.6,"✓ Cash conv &gt; 60%","✗ Cash conv &lt; 60%")</f>
        <v>✓ Cash conv &gt; 60%</v>
      </c>
      <c r="H13" s="498" t="str">
        <f>IF(IFERROR((INPUT!H54+INPUT!H48-INPUT!H34)/INPUT!H30,99)&lt;3.5,"✓ Levier &lt; 3,5x","✗ Levier &gt; 3,5x")</f>
        <v>✓ Levier &lt; 3,5x</v>
      </c>
      <c r="K13" s="498" t="str">
        <f>IF(INPUT!H30&gt;0,"✓ EBITDA positif","✗ EBITDA négatif")</f>
        <v>✓ EBITDA positif</v>
      </c>
    </row>
    <row r="14" spans="2:13" ht="22.05" customHeight="1" x14ac:dyDescent="0.3">
      <c r="B14" s="575" t="str">
        <f>IF(INPUT!H98&gt;100000000,"  ⚠⚠  SCÉNARIO THÉORIQUE  —  EV &gt; 100 Md$, taille hors marché LBO historique",IF(INPUT!H98&gt;50000000,"  ⚠  MEGA-DEAL  —  EV entre 50 et 100 Md$, syndicate sponsorship requis (type Twitter/X, Heinz)",""))</f>
        <v/>
      </c>
      <c r="C14" s="573"/>
      <c r="D14" s="573"/>
      <c r="E14" s="573"/>
      <c r="F14" s="573"/>
      <c r="G14" s="573"/>
      <c r="H14" s="573"/>
      <c r="I14" s="573"/>
      <c r="J14" s="573"/>
      <c r="K14" s="573"/>
      <c r="L14" s="573"/>
      <c r="M14" s="573"/>
    </row>
    <row r="16" spans="2:13" ht="19.95" customHeight="1" x14ac:dyDescent="0.3">
      <c r="B16" s="574" t="s">
        <v>491</v>
      </c>
      <c r="C16" s="573"/>
      <c r="D16" s="573"/>
      <c r="E16" s="573"/>
      <c r="F16" s="573"/>
      <c r="G16" s="573"/>
      <c r="H16" s="573"/>
      <c r="I16" s="573"/>
      <c r="J16" s="573"/>
      <c r="K16" s="573"/>
      <c r="L16" s="573"/>
      <c r="M16" s="573"/>
    </row>
    <row r="17" spans="2:13" ht="15" x14ac:dyDescent="0.3">
      <c r="B17" s="499" t="s">
        <v>492</v>
      </c>
      <c r="C17" s="500">
        <v>14</v>
      </c>
      <c r="F17" s="501" t="s">
        <v>493</v>
      </c>
      <c r="L17" s="502">
        <f>IFERROR(INPUT!H98/INPUT!H30,0)</f>
        <v>29.304057737692599</v>
      </c>
    </row>
    <row r="18" spans="2:13" ht="15" x14ac:dyDescent="0.3">
      <c r="B18" s="503" t="s">
        <v>494</v>
      </c>
      <c r="C18" s="504">
        <f>IFERROR((L28-INPUT!H97)/INPUT!H97,0)</f>
        <v>-0.51443908101956881</v>
      </c>
      <c r="F18" s="501" t="s">
        <v>495</v>
      </c>
      <c r="L18" s="502">
        <f>IFERROR(MEDIAN(COMPARABLES!H4:H20),0)</f>
        <v>15.634557865190596</v>
      </c>
    </row>
    <row r="19" spans="2:13" ht="15" x14ac:dyDescent="0.3">
      <c r="B19" s="499" t="s">
        <v>496</v>
      </c>
      <c r="C19" s="500">
        <v>5</v>
      </c>
      <c r="F19" s="501" t="s">
        <v>497</v>
      </c>
      <c r="L19" s="505">
        <f>IFERROR(C17-L17,0)</f>
        <v>-15.304057737692599</v>
      </c>
    </row>
    <row r="20" spans="2:13" ht="15" x14ac:dyDescent="0.3">
      <c r="B20" s="499" t="s">
        <v>498</v>
      </c>
      <c r="C20" s="500">
        <v>3.5</v>
      </c>
    </row>
    <row r="21" spans="2:13" ht="15" x14ac:dyDescent="0.3">
      <c r="B21" s="499" t="s">
        <v>499</v>
      </c>
      <c r="C21" s="500">
        <v>1.5</v>
      </c>
      <c r="F21" s="506" t="s">
        <v>500</v>
      </c>
      <c r="L21" s="507">
        <f>IFERROR(ROUND(MAX(C17,L17*1.1),1),C17)</f>
        <v>32.200000000000003</v>
      </c>
    </row>
    <row r="22" spans="2:13" ht="15" x14ac:dyDescent="0.3">
      <c r="B22" s="499" t="s">
        <v>501</v>
      </c>
      <c r="C22" s="508">
        <v>0.08</v>
      </c>
      <c r="F22" s="578" t="s">
        <v>502</v>
      </c>
      <c r="G22" s="573"/>
      <c r="H22" s="573"/>
      <c r="I22" s="573"/>
      <c r="J22" s="573"/>
      <c r="K22" s="573"/>
      <c r="L22" s="573"/>
      <c r="M22" s="573"/>
    </row>
    <row r="23" spans="2:13" ht="15" x14ac:dyDescent="0.3">
      <c r="B23" s="499" t="s">
        <v>503</v>
      </c>
      <c r="C23" s="508">
        <v>0.1</v>
      </c>
    </row>
    <row r="24" spans="2:13" ht="15" x14ac:dyDescent="0.3">
      <c r="B24" s="499" t="s">
        <v>504</v>
      </c>
      <c r="C24" s="500">
        <v>14</v>
      </c>
    </row>
    <row r="25" spans="2:13" ht="15" x14ac:dyDescent="0.3">
      <c r="B25" s="499" t="s">
        <v>505</v>
      </c>
      <c r="C25" s="509">
        <v>5</v>
      </c>
    </row>
    <row r="26" spans="2:13" ht="15" x14ac:dyDescent="0.3">
      <c r="B26" s="499" t="s">
        <v>506</v>
      </c>
      <c r="C26" s="508">
        <v>2.5000000000000001E-2</v>
      </c>
    </row>
    <row r="27" spans="2:13" ht="15" x14ac:dyDescent="0.3">
      <c r="B27" s="499" t="s">
        <v>507</v>
      </c>
      <c r="C27" s="508">
        <v>0.05</v>
      </c>
    </row>
    <row r="28" spans="2:13" x14ac:dyDescent="0.3">
      <c r="K28" s="510" t="s">
        <v>508</v>
      </c>
      <c r="L28" s="511">
        <f>C17*INPUT!H30</f>
        <v>1862700</v>
      </c>
    </row>
    <row r="29" spans="2:13" ht="19.95" customHeight="1" x14ac:dyDescent="0.3">
      <c r="B29" s="574" t="s">
        <v>509</v>
      </c>
      <c r="C29" s="573"/>
      <c r="D29" s="573"/>
      <c r="E29" s="573"/>
      <c r="F29" s="573"/>
      <c r="G29" s="573"/>
      <c r="H29" s="573"/>
      <c r="I29" s="573"/>
      <c r="J29" s="573"/>
      <c r="K29" s="573"/>
      <c r="L29" s="573"/>
      <c r="M29" s="573"/>
    </row>
    <row r="30" spans="2:13" ht="15" x14ac:dyDescent="0.3">
      <c r="B30" s="572" t="s">
        <v>510</v>
      </c>
      <c r="C30" s="573"/>
      <c r="D30" s="573"/>
      <c r="E30" s="573"/>
      <c r="G30" s="572" t="s">
        <v>511</v>
      </c>
      <c r="H30" s="573"/>
      <c r="I30" s="573"/>
      <c r="J30" s="573"/>
      <c r="K30" s="573"/>
      <c r="L30" s="573"/>
      <c r="M30" s="573"/>
    </row>
    <row r="31" spans="2:13" ht="15" x14ac:dyDescent="0.35">
      <c r="B31" s="512" t="s">
        <v>512</v>
      </c>
      <c r="D31" s="495">
        <f>L35-D32-D33</f>
        <v>1373086.5</v>
      </c>
      <c r="E31" s="513">
        <f>IFERROR(D31/L35,0)</f>
        <v>0.67363092404026514</v>
      </c>
      <c r="G31" s="512" t="s">
        <v>513</v>
      </c>
      <c r="L31" s="495">
        <f>L28-(INPUT!H54+INPUT!H48-INPUT!H34)</f>
        <v>1799977</v>
      </c>
    </row>
    <row r="32" spans="2:13" ht="15" x14ac:dyDescent="0.35">
      <c r="B32" s="512" t="s">
        <v>514</v>
      </c>
      <c r="D32" s="495">
        <f>C20*INPUT!H30</f>
        <v>465675</v>
      </c>
      <c r="E32" s="513">
        <f>IFERROR(D32/L35,0)</f>
        <v>0.22845835317181437</v>
      </c>
      <c r="G32" s="512" t="s">
        <v>515</v>
      </c>
      <c r="L32" s="495">
        <f>INPUT!H54+INPUT!H48</f>
        <v>98657</v>
      </c>
    </row>
    <row r="33" spans="2:13" ht="15" x14ac:dyDescent="0.35">
      <c r="B33" s="512" t="s">
        <v>516</v>
      </c>
      <c r="D33" s="495">
        <f>C21*INPUT!H30</f>
        <v>199575</v>
      </c>
      <c r="E33" s="513">
        <f>IFERROR(D33/L35,0)</f>
        <v>9.7910722787920443E-2</v>
      </c>
      <c r="G33" s="512" t="s">
        <v>517</v>
      </c>
      <c r="L33" s="495">
        <f>L28*C26</f>
        <v>46567.5</v>
      </c>
    </row>
    <row r="34" spans="2:13" ht="15" x14ac:dyDescent="0.35">
      <c r="G34" s="512" t="s">
        <v>518</v>
      </c>
      <c r="L34" s="495">
        <f>L28*C27</f>
        <v>93135</v>
      </c>
    </row>
    <row r="35" spans="2:13" ht="15" x14ac:dyDescent="0.35">
      <c r="B35" s="514" t="s">
        <v>519</v>
      </c>
      <c r="D35" s="515">
        <f>SUM(D31:D33)</f>
        <v>2038336.5</v>
      </c>
      <c r="E35" s="516">
        <f>IFERROR(D35/L35,0)</f>
        <v>1</v>
      </c>
      <c r="G35" s="514" t="s">
        <v>520</v>
      </c>
      <c r="L35" s="515">
        <f>SUM(L31:L34)</f>
        <v>2038336.5</v>
      </c>
    </row>
    <row r="37" spans="2:13" ht="19.95" customHeight="1" x14ac:dyDescent="0.3">
      <c r="B37" s="574" t="s">
        <v>521</v>
      </c>
      <c r="C37" s="573"/>
      <c r="D37" s="573"/>
      <c r="E37" s="573"/>
      <c r="F37" s="573"/>
      <c r="G37" s="573"/>
      <c r="H37" s="573"/>
      <c r="I37" s="573"/>
      <c r="J37" s="573"/>
      <c r="K37" s="573"/>
      <c r="L37" s="573"/>
      <c r="M37" s="573"/>
    </row>
    <row r="38" spans="2:13" ht="15" x14ac:dyDescent="0.35">
      <c r="B38" s="493" t="s">
        <v>522</v>
      </c>
      <c r="C38" s="517">
        <f>D31</f>
        <v>1373086.5</v>
      </c>
    </row>
    <row r="39" spans="2:13" ht="15" x14ac:dyDescent="0.35">
      <c r="B39" s="493" t="s">
        <v>523</v>
      </c>
      <c r="C39" s="517">
        <f>_LBO_CALC!N50</f>
        <v>1803979.9651780492</v>
      </c>
    </row>
    <row r="41" spans="2:13" ht="30" customHeight="1" x14ac:dyDescent="0.3">
      <c r="B41" s="577" t="s">
        <v>524</v>
      </c>
      <c r="C41" s="573"/>
      <c r="D41" s="573"/>
      <c r="E41" s="573"/>
      <c r="G41" s="577" t="s">
        <v>525</v>
      </c>
      <c r="H41" s="573"/>
      <c r="I41" s="573"/>
      <c r="J41" s="573"/>
    </row>
    <row r="42" spans="2:13" ht="36" customHeight="1" x14ac:dyDescent="0.3">
      <c r="B42" s="580">
        <f>_LBO_CALC!N51</f>
        <v>5.6104182464312702E-2</v>
      </c>
      <c r="C42" s="573"/>
      <c r="D42" s="573"/>
      <c r="E42" s="573"/>
      <c r="G42" s="579">
        <f>_LBO_CALC!N52</f>
        <v>1.3138137802520446</v>
      </c>
      <c r="H42" s="573"/>
      <c r="I42" s="573"/>
      <c r="J42" s="573"/>
    </row>
    <row r="44" spans="2:13" ht="15" x14ac:dyDescent="0.35">
      <c r="B44" s="493" t="s">
        <v>526</v>
      </c>
      <c r="C44" s="519" t="str">
        <f>IF(_LBO_CALC!N51&lt;=0,"N/A",IF(LN(2)/LN(1+_LBO_CALC!N51)&gt;C25*2,"&gt;"&amp;TEXT(C25*2,"0")&amp;" ans",ROUND(LN(2)/LN(1+_LBO_CALC!N51),1)&amp;" ans"))</f>
        <v>&gt;10 ans</v>
      </c>
    </row>
    <row r="46" spans="2:13" ht="19.95" customHeight="1" x14ac:dyDescent="0.3">
      <c r="B46" s="574" t="s">
        <v>527</v>
      </c>
      <c r="C46" s="573"/>
      <c r="D46" s="573"/>
      <c r="E46" s="573"/>
      <c r="F46" s="573"/>
      <c r="G46" s="573"/>
      <c r="H46" s="573"/>
      <c r="I46" s="573"/>
      <c r="J46" s="573"/>
      <c r="K46" s="573"/>
      <c r="L46" s="573"/>
      <c r="M46" s="573"/>
    </row>
    <row r="47" spans="2:13" x14ac:dyDescent="0.3">
      <c r="B47" s="520" t="s">
        <v>528</v>
      </c>
      <c r="E47" s="521">
        <f>C24+(-2)</f>
        <v>12</v>
      </c>
      <c r="F47" s="521">
        <f>C24+(-1)</f>
        <v>13</v>
      </c>
      <c r="G47" s="521">
        <f>C24+(0)</f>
        <v>14</v>
      </c>
      <c r="H47" s="521">
        <f>C24+(1)</f>
        <v>15</v>
      </c>
      <c r="I47" s="521">
        <f>C24+(2)</f>
        <v>16</v>
      </c>
    </row>
    <row r="48" spans="2:13" ht="15" x14ac:dyDescent="0.3">
      <c r="B48" s="521">
        <f>C17+(-2)</f>
        <v>12</v>
      </c>
      <c r="E48" s="522">
        <f>IFERROR(((_LBO_CALC!$M$7*(C24+(-2))-_LBO_CALC!$M$30)/MAX(1,(INPUT!H30*(C17+(-2))*1.075-C19*INPUT!H30)))^(1/C25)-1,0)</f>
        <v>7.6802783940523645E-2</v>
      </c>
      <c r="F48" s="522">
        <f>IFERROR(((_LBO_CALC!$M$7*(C24+(-1))-_LBO_CALC!$M$30)/MAX(1,(INPUT!H30*(C17+(-2))*1.075-C19*INPUT!H30)))^(1/C25)-1,0)</f>
        <v>9.6077160599908007E-2</v>
      </c>
      <c r="G48" s="522">
        <f>IFERROR(((_LBO_CALC!$M$7*(C24+(0))-_LBO_CALC!$M$30)/MAX(1,(INPUT!H30*(C17+(-2))*1.075-C19*INPUT!H30)))^(1/C25)-1,0)</f>
        <v>0.11408402781347515</v>
      </c>
      <c r="H48" s="522">
        <f>IFERROR(((_LBO_CALC!$M$7*(C24+(1))-_LBO_CALC!$M$30)/MAX(1,(INPUT!H30*(C17+(-2))*1.075-C19*INPUT!H30)))^(1/C25)-1,0)</f>
        <v>0.13099678463881959</v>
      </c>
      <c r="I48" s="522">
        <f>IFERROR(((_LBO_CALC!$M$7*(C24+(2))-_LBO_CALC!$M$30)/MAX(1,(INPUT!H30*(C17+(-2))*1.075-C19*INPUT!H30)))^(1/C25)-1,0)</f>
        <v>0.14695451932362014</v>
      </c>
    </row>
    <row r="49" spans="2:13" ht="15" x14ac:dyDescent="0.3">
      <c r="B49" s="521">
        <f>C17+(-1)</f>
        <v>13</v>
      </c>
      <c r="E49" s="522">
        <f>IFERROR(((_LBO_CALC!$M$7*(C24+(-2))-_LBO_CALC!$M$30)/MAX(1,(INPUT!H30*(C17+(-1))*1.075-C19*INPUT!H30)))^(1/C25)-1,0)</f>
        <v>4.967461987106403E-2</v>
      </c>
      <c r="F49" s="522">
        <f>IFERROR(((_LBO_CALC!$M$7*(C24+(-1))-_LBO_CALC!$M$30)/MAX(1,(INPUT!H30*(C17+(-1))*1.075-C19*INPUT!H30)))^(1/C25)-1,0)</f>
        <v>6.8463412298915172E-2</v>
      </c>
      <c r="G49" s="522">
        <f>IFERROR(((_LBO_CALC!$M$7*(C24+(0))-_LBO_CALC!$M$30)/MAX(1,(INPUT!H30*(C17+(-1))*1.075-C19*INPUT!H30)))^(1/C25)-1,0)</f>
        <v>8.6016627966041481E-2</v>
      </c>
      <c r="H49" s="522">
        <f>IFERROR(((_LBO_CALC!$M$7*(C24+(1))-_LBO_CALC!$M$30)/MAX(1,(INPUT!H30*(C17+(-1))*1.075-C19*INPUT!H30)))^(1/C25)-1,0)</f>
        <v>0.10250329744385334</v>
      </c>
      <c r="I49" s="522">
        <f>IFERROR(((_LBO_CALC!$M$7*(C24+(2))-_LBO_CALC!$M$30)/MAX(1,(INPUT!H30*(C17+(-1))*1.075-C19*INPUT!H30)))^(1/C25)-1,0)</f>
        <v>0.11805900489473276</v>
      </c>
    </row>
    <row r="50" spans="2:13" ht="15" x14ac:dyDescent="0.3">
      <c r="B50" s="521">
        <f>C17+(0)</f>
        <v>14</v>
      </c>
      <c r="E50" s="522">
        <f>IFERROR(((_LBO_CALC!$M$7*(C24+(-2))-_LBO_CALC!$M$30)/MAX(1,(INPUT!H30*(C17+(0))*1.075-C19*INPUT!H30)))^(1/C25)-1,0)</f>
        <v>2.6191411517681784E-2</v>
      </c>
      <c r="F50" s="522">
        <f>IFERROR(((_LBO_CALC!$M$7*(C24+(-1))-_LBO_CALC!$M$30)/MAX(1,(INPUT!H30*(C17+(0))*1.075-C19*INPUT!H30)))^(1/C25)-1,0)</f>
        <v>4.4559863090434471E-2</v>
      </c>
      <c r="G50" s="522">
        <f>IFERROR(((_LBO_CALC!$M$7*(C24+(0))-_LBO_CALC!$M$30)/MAX(1,(INPUT!H30*(C17+(0))*1.075-C19*INPUT!H30)))^(1/C25)-1,0)</f>
        <v>6.1720380093632343E-2</v>
      </c>
      <c r="H50" s="522">
        <f>IFERROR(((_LBO_CALC!$M$7*(C24+(1))-_LBO_CALC!$M$30)/MAX(1,(INPUT!H30*(C17+(0))*1.075-C19*INPUT!H30)))^(1/C25)-1,0)</f>
        <v>7.7838211564816628E-2</v>
      </c>
      <c r="I50" s="522">
        <f>IFERROR(((_LBO_CALC!$M$7*(C24+(2))-_LBO_CALC!$M$30)/MAX(1,(INPUT!H30*(C17+(0))*1.075-C19*INPUT!H30)))^(1/C25)-1,0)</f>
        <v>9.3045908391986565E-2</v>
      </c>
    </row>
    <row r="51" spans="2:13" ht="15" x14ac:dyDescent="0.3">
      <c r="B51" s="521">
        <f>C17+(1)</f>
        <v>15</v>
      </c>
      <c r="E51" s="522">
        <f>IFERROR(((_LBO_CALC!$M$7*(C24+(-2))-_LBO_CALC!$M$30)/MAX(1,(INPUT!H30*(C17+(1))*1.075-C19*INPUT!H30)))^(1/C25)-1,0)</f>
        <v>5.5451694235573168E-3</v>
      </c>
      <c r="F51" s="522">
        <f>IFERROR(((_LBO_CALC!$M$7*(C24+(-1))-_LBO_CALC!$M$30)/MAX(1,(INPUT!H30*(C17+(1))*1.075-C19*INPUT!H30)))^(1/C25)-1,0)</f>
        <v>2.354406080139082E-2</v>
      </c>
      <c r="G51" s="522">
        <f>IFERROR(((_LBO_CALC!$M$7*(C24+(0))-_LBO_CALC!$M$30)/MAX(1,(INPUT!H30*(C17+(1))*1.075-C19*INPUT!H30)))^(1/C25)-1,0)</f>
        <v>4.0359320394974807E-2</v>
      </c>
      <c r="H51" s="522">
        <f>IFERROR(((_LBO_CALC!$M$7*(C24+(1))-_LBO_CALC!$M$30)/MAX(1,(INPUT!H30*(C17+(1))*1.075-C19*INPUT!H30)))^(1/C25)-1,0)</f>
        <v>5.6152872548624888E-2</v>
      </c>
      <c r="I51" s="522">
        <f>IFERROR(((_LBO_CALC!$M$7*(C24+(2))-_LBO_CALC!$M$30)/MAX(1,(INPUT!H30*(C17+(1))*1.075-C19*INPUT!H30)))^(1/C25)-1,0)</f>
        <v>7.1054601320650779E-2</v>
      </c>
    </row>
    <row r="52" spans="2:13" ht="15" x14ac:dyDescent="0.3">
      <c r="B52" s="521">
        <f>C17+(2)</f>
        <v>16</v>
      </c>
      <c r="E52" s="522">
        <f>IFERROR(((_LBO_CALC!$M$7*(C24+(-2))-_LBO_CALC!$M$30)/MAX(1,(INPUT!H30*(C17+(2))*1.075-C19*INPUT!H30)))^(1/C25)-1,0)</f>
        <v>-1.2835289137520522E-2</v>
      </c>
      <c r="F52" s="522">
        <f>IFERROR(((_LBO_CALC!$M$7*(C24+(-1))-_LBO_CALC!$M$30)/MAX(1,(INPUT!H30*(C17+(2))*1.075-C19*INPUT!H30)))^(1/C25)-1,0)</f>
        <v>4.8345987433289217E-3</v>
      </c>
      <c r="G52" s="522">
        <f>IFERROR(((_LBO_CALC!$M$7*(C24+(0))-_LBO_CALC!$M$30)/MAX(1,(INPUT!H30*(C17+(2))*1.075-C19*INPUT!H30)))^(1/C25)-1,0)</f>
        <v>2.1342490561151228E-2</v>
      </c>
      <c r="H52" s="522">
        <f>IFERROR(((_LBO_CALC!$M$7*(C24+(1))-_LBO_CALC!$M$30)/MAX(1,(INPUT!H30*(C17+(2))*1.075-C19*INPUT!H30)))^(1/C25)-1,0)</f>
        <v>3.6847350829325221E-2</v>
      </c>
      <c r="I52" s="522">
        <f>IFERROR(((_LBO_CALC!$M$7*(C24+(2))-_LBO_CALC!$M$30)/MAX(1,(INPUT!H30*(C17+(2))*1.075-C19*INPUT!H30)))^(1/C25)-1,0)</f>
        <v>5.1476689442747192E-2</v>
      </c>
    </row>
    <row r="54" spans="2:13" ht="19.95" customHeight="1" x14ac:dyDescent="0.3">
      <c r="B54" s="574" t="s">
        <v>529</v>
      </c>
      <c r="C54" s="573"/>
      <c r="D54" s="573"/>
      <c r="E54" s="573"/>
      <c r="F54" s="573"/>
      <c r="G54" s="573"/>
      <c r="H54" s="573"/>
      <c r="I54" s="573"/>
      <c r="J54" s="573"/>
      <c r="K54" s="573"/>
      <c r="L54" s="573"/>
      <c r="M54" s="573"/>
    </row>
    <row r="55" spans="2:13" ht="15" x14ac:dyDescent="0.3">
      <c r="B55" s="523" t="s">
        <v>530</v>
      </c>
      <c r="E55" s="524" t="s">
        <v>531</v>
      </c>
      <c r="G55" s="525" t="s">
        <v>532</v>
      </c>
      <c r="I55" s="526" t="s">
        <v>533</v>
      </c>
    </row>
    <row r="56" spans="2:13" ht="15" x14ac:dyDescent="0.3">
      <c r="B56" s="527" t="s">
        <v>524</v>
      </c>
      <c r="E56" s="528">
        <f>_LBO_CALC!P55</f>
        <v>0.11006038836650411</v>
      </c>
      <c r="G56" s="529">
        <f>_LBO_CALC!P56</f>
        <v>5.6104182464312702E-2</v>
      </c>
      <c r="I56" s="530">
        <f>_LBO_CALC!P57</f>
        <v>-5.4694105348830346E-3</v>
      </c>
    </row>
    <row r="57" spans="2:13" ht="15" x14ac:dyDescent="0.3">
      <c r="B57" s="527" t="s">
        <v>525</v>
      </c>
      <c r="E57" s="531">
        <f>_LBO_CALC!Q55</f>
        <v>1.685516573938354</v>
      </c>
      <c r="G57" s="532">
        <f>_LBO_CALC!Q56</f>
        <v>1.3138137802520446</v>
      </c>
      <c r="I57" s="533">
        <f>_LBO_CALC!Q57</f>
        <v>0.97295046016688624</v>
      </c>
    </row>
    <row r="58" spans="2:13" ht="15" x14ac:dyDescent="0.3">
      <c r="B58" s="527" t="s">
        <v>534</v>
      </c>
      <c r="E58" s="534">
        <f>_LBO_CALC!R55</f>
        <v>0.60974608105989747</v>
      </c>
      <c r="G58" s="535">
        <f>_LBO_CALC!R56</f>
        <v>1.2194921621197949</v>
      </c>
      <c r="I58" s="536">
        <f>_LBO_CALC!R57</f>
        <v>2.1950858918156309</v>
      </c>
    </row>
    <row r="59" spans="2:13" ht="15" x14ac:dyDescent="0.3">
      <c r="B59" s="527" t="s">
        <v>535</v>
      </c>
      <c r="E59" s="534">
        <f>_LBO_CALC!S55</f>
        <v>6.1326035189105372</v>
      </c>
      <c r="G59" s="535">
        <f>_LBO_CALC!S56</f>
        <v>4.0884023459403585</v>
      </c>
      <c r="I59" s="536">
        <f>_LBO_CALC!S57</f>
        <v>2.0442011729701792</v>
      </c>
    </row>
    <row r="61" spans="2:13" ht="19.95" customHeight="1" x14ac:dyDescent="0.3">
      <c r="B61" s="574" t="s">
        <v>536</v>
      </c>
      <c r="C61" s="573"/>
      <c r="D61" s="573"/>
      <c r="E61" s="573"/>
      <c r="F61" s="573"/>
      <c r="G61" s="573"/>
      <c r="H61" s="573"/>
      <c r="I61" s="573"/>
      <c r="J61" s="573"/>
      <c r="K61" s="573"/>
      <c r="L61" s="573"/>
      <c r="M61" s="573"/>
    </row>
    <row r="62" spans="2:13" x14ac:dyDescent="0.3">
      <c r="B62" s="537" t="s">
        <v>537</v>
      </c>
      <c r="C62" s="538" t="str">
        <f>IF(AND(INPUT!H30&gt;0,IFERROR(INPUT!H30/INPUT!H9,0)&gt;0.15,IFERROR(DCF!H49/INPUT!H30,0)&gt;0.6,IFERROR((INPUT!H54+INPUT!H48-INPUT!H34)/INPUT!H30,99)&lt;3.5),"OUI","NON")</f>
        <v>OUI</v>
      </c>
    </row>
    <row r="63" spans="2:13" x14ac:dyDescent="0.3">
      <c r="B63" s="537" t="s">
        <v>538</v>
      </c>
      <c r="C63" s="538" t="str">
        <f>IF(INPUT!H98&gt;100000000,"theorique",IF(INPUT!H98&gt;50000000,"mega","standard"))</f>
        <v>standard</v>
      </c>
    </row>
    <row r="64" spans="2:13" x14ac:dyDescent="0.3">
      <c r="B64" s="537" t="s">
        <v>539</v>
      </c>
      <c r="C64" s="539">
        <f>_LBO_CALC!N51</f>
        <v>5.6104182464312702E-2</v>
      </c>
    </row>
    <row r="65" spans="2:13" x14ac:dyDescent="0.3">
      <c r="B65" s="537" t="s">
        <v>540</v>
      </c>
      <c r="C65" s="540">
        <f>_LBO_CALC!N52</f>
        <v>1.3138137802520446</v>
      </c>
    </row>
    <row r="66" spans="2:13" x14ac:dyDescent="0.3">
      <c r="B66" s="537" t="s">
        <v>541</v>
      </c>
      <c r="C66" s="539">
        <f>_LBO_CALC!P55</f>
        <v>0.11006038836650411</v>
      </c>
    </row>
    <row r="67" spans="2:13" x14ac:dyDescent="0.3">
      <c r="B67" s="537" t="s">
        <v>542</v>
      </c>
      <c r="C67" s="539">
        <f>_LBO_CALC!P57</f>
        <v>-5.4694105348830346E-3</v>
      </c>
    </row>
    <row r="68" spans="2:13" x14ac:dyDescent="0.3">
      <c r="B68" s="537" t="s">
        <v>543</v>
      </c>
      <c r="C68" s="540">
        <f>_LBO_CALC!R56</f>
        <v>1.2194921621197949</v>
      </c>
    </row>
    <row r="69" spans="2:13" x14ac:dyDescent="0.3">
      <c r="B69" s="537" t="s">
        <v>544</v>
      </c>
      <c r="C69" s="541">
        <f>D31</f>
        <v>1373086.5</v>
      </c>
    </row>
    <row r="70" spans="2:13" x14ac:dyDescent="0.3">
      <c r="B70" s="537" t="s">
        <v>545</v>
      </c>
      <c r="C70" s="541">
        <f>_LBO_CALC!N50</f>
        <v>1803979.9651780492</v>
      </c>
    </row>
    <row r="73" spans="2:13" x14ac:dyDescent="0.3">
      <c r="B73" s="578" t="s">
        <v>546</v>
      </c>
      <c r="C73" s="573"/>
      <c r="D73" s="573"/>
      <c r="E73" s="573"/>
      <c r="F73" s="573"/>
      <c r="G73" s="573"/>
      <c r="H73" s="573"/>
      <c r="I73" s="573"/>
      <c r="J73" s="573"/>
      <c r="K73" s="573"/>
      <c r="L73" s="573"/>
      <c r="M73" s="573"/>
    </row>
  </sheetData>
  <mergeCells count="20">
    <mergeCell ref="B73:M73"/>
    <mergeCell ref="B41:E41"/>
    <mergeCell ref="B37:M37"/>
    <mergeCell ref="G42:J42"/>
    <mergeCell ref="B6:M6"/>
    <mergeCell ref="F22:M22"/>
    <mergeCell ref="B42:E42"/>
    <mergeCell ref="B16:M16"/>
    <mergeCell ref="B54:M54"/>
    <mergeCell ref="B46:M46"/>
    <mergeCell ref="G30:M30"/>
    <mergeCell ref="B12:M12"/>
    <mergeCell ref="B30:E30"/>
    <mergeCell ref="B61:M61"/>
    <mergeCell ref="B14:M14"/>
    <mergeCell ref="B1:M1"/>
    <mergeCell ref="G41:J41"/>
    <mergeCell ref="B29:M29"/>
    <mergeCell ref="B4:M4"/>
    <mergeCell ref="B3:M3"/>
  </mergeCells>
  <conditionalFormatting sqref="E48:I52">
    <cfRule type="colorScale" priority="1">
      <colorScale>
        <cfvo type="num" val="0"/>
        <cfvo type="num" val="0.15"/>
        <cfvo type="num" val="0.3"/>
        <color rgb="FFF8696B"/>
        <color rgb="FFFFEB84"/>
        <color rgb="FF63BE7B"/>
      </colorScale>
    </cfRule>
  </conditionalFormatting>
  <pageMargins left="0.4" right="0.4" top="0.4" bottom="0.4" header="0.5" footer="0.5"/>
  <pageSetup paperSize="9" scale="4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S57"/>
  <sheetViews>
    <sheetView workbookViewId="0"/>
  </sheetViews>
  <sheetFormatPr baseColWidth="10" defaultColWidth="8.88671875" defaultRowHeight="14.4" x14ac:dyDescent="0.3"/>
  <cols>
    <col min="1" max="1" width="2" customWidth="1"/>
    <col min="2" max="2" width="36" customWidth="1"/>
    <col min="3" max="14" width="11" customWidth="1"/>
    <col min="15" max="19" width="12" customWidth="1"/>
  </cols>
  <sheetData>
    <row r="1" spans="2:14" ht="28.05" customHeight="1" x14ac:dyDescent="0.3">
      <c r="B1" s="584" t="s">
        <v>547</v>
      </c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</row>
    <row r="2" spans="2:14" x14ac:dyDescent="0.3">
      <c r="B2" s="581" t="s">
        <v>548</v>
      </c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</row>
    <row r="4" spans="2:14" ht="15" x14ac:dyDescent="0.3">
      <c r="B4" s="574" t="s">
        <v>549</v>
      </c>
      <c r="C4" s="573"/>
      <c r="D4" s="573"/>
      <c r="E4" s="573"/>
      <c r="F4" s="573"/>
      <c r="G4" s="573"/>
      <c r="H4" s="573"/>
      <c r="I4" s="573"/>
      <c r="J4" s="573"/>
      <c r="K4" s="573"/>
      <c r="L4" s="573"/>
    </row>
    <row r="5" spans="2:14" ht="15" x14ac:dyDescent="0.3">
      <c r="B5" s="542" t="s">
        <v>550</v>
      </c>
      <c r="H5" s="518" t="s">
        <v>551</v>
      </c>
      <c r="I5" s="518" t="s">
        <v>552</v>
      </c>
      <c r="J5" s="518" t="s">
        <v>553</v>
      </c>
      <c r="K5" s="518" t="s">
        <v>554</v>
      </c>
      <c r="L5" s="518" t="s">
        <v>555</v>
      </c>
      <c r="M5" s="518" t="s">
        <v>556</v>
      </c>
    </row>
    <row r="6" spans="2:14" ht="15" x14ac:dyDescent="0.35">
      <c r="B6" s="512" t="s">
        <v>7</v>
      </c>
      <c r="H6" s="543">
        <f>DCF!H9</f>
        <v>416161</v>
      </c>
      <c r="I6" s="543">
        <f>DCF!I9</f>
        <v>423994.60010529775</v>
      </c>
      <c r="J6" s="543">
        <f>DCF!J9</f>
        <v>431975.65586023522</v>
      </c>
      <c r="K6" s="543">
        <f>DCF!K9</f>
        <v>440106.94289393805</v>
      </c>
      <c r="L6" s="543">
        <f>DCF!L9</f>
        <v>448391.28908254346</v>
      </c>
      <c r="M6" s="543">
        <f>DCF!M9</f>
        <v>456831.57553267118</v>
      </c>
    </row>
    <row r="7" spans="2:14" ht="15" x14ac:dyDescent="0.35">
      <c r="B7" s="512" t="s">
        <v>21</v>
      </c>
      <c r="H7" s="543">
        <f>DCF!H15</f>
        <v>133050</v>
      </c>
      <c r="I7" s="543">
        <f>DCF!I15</f>
        <v>131004.98160242828</v>
      </c>
      <c r="J7" s="543">
        <f>DCF!J15</f>
        <v>133470.95183432248</v>
      </c>
      <c r="K7" s="543">
        <f>DCF!K15</f>
        <v>135983.34021848996</v>
      </c>
      <c r="L7" s="543">
        <f>DCF!L15</f>
        <v>138543.02050629756</v>
      </c>
      <c r="M7" s="543">
        <f>DCF!M15</f>
        <v>141150.88289615727</v>
      </c>
    </row>
    <row r="8" spans="2:14" ht="15" x14ac:dyDescent="0.35">
      <c r="B8" s="512" t="s">
        <v>410</v>
      </c>
      <c r="H8" s="543">
        <f>DCF!H17</f>
        <v>-11698</v>
      </c>
      <c r="I8" s="543">
        <f>DCF!I17</f>
        <v>-12252.431303767611</v>
      </c>
      <c r="J8" s="543">
        <f>DCF!J17</f>
        <v>-12483.064753685665</v>
      </c>
      <c r="K8" s="543">
        <f>DCF!K17</f>
        <v>-12718.039528758078</v>
      </c>
      <c r="L8" s="543">
        <f>DCF!L17</f>
        <v>-12957.437347851313</v>
      </c>
      <c r="M8" s="543">
        <f>DCF!M17</f>
        <v>-13201.341468065646</v>
      </c>
    </row>
    <row r="9" spans="2:14" ht="15" x14ac:dyDescent="0.35">
      <c r="B9" s="512" t="s">
        <v>174</v>
      </c>
      <c r="H9" s="543">
        <f>DCF!H18</f>
        <v>121352</v>
      </c>
      <c r="I9" s="543">
        <f>DCF!I18</f>
        <v>118752.55029866067</v>
      </c>
      <c r="J9" s="543">
        <f>DCF!J18</f>
        <v>120987.88708063681</v>
      </c>
      <c r="K9" s="543">
        <f>DCF!K18</f>
        <v>123265.30068973188</v>
      </c>
      <c r="L9" s="543">
        <f>DCF!L18</f>
        <v>125585.58315844624</v>
      </c>
      <c r="M9" s="543">
        <f>DCF!M18</f>
        <v>127949.54142809163</v>
      </c>
    </row>
    <row r="10" spans="2:14" ht="15" x14ac:dyDescent="0.35">
      <c r="B10" s="512" t="s">
        <v>557</v>
      </c>
      <c r="H10" s="543">
        <f>DCF!H47</f>
        <v>-12715</v>
      </c>
      <c r="I10" s="543">
        <f>DCF!I47</f>
        <v>-11708.5474386229</v>
      </c>
      <c r="J10" s="543">
        <f>DCF!J47</f>
        <v>-11928.943099071814</v>
      </c>
      <c r="K10" s="543">
        <f>DCF!K47</f>
        <v>-12153.487373804381</v>
      </c>
      <c r="L10" s="543">
        <f>DCF!L47</f>
        <v>-12382.258354196989</v>
      </c>
      <c r="M10" s="543">
        <f>DCF!M47</f>
        <v>-12615.335601577837</v>
      </c>
    </row>
    <row r="11" spans="2:14" ht="15" x14ac:dyDescent="0.35">
      <c r="B11" s="512" t="s">
        <v>558</v>
      </c>
      <c r="H11" s="543">
        <f>DCF!H48</f>
        <v>6971</v>
      </c>
      <c r="I11" s="543">
        <f>DCF!I48</f>
        <v>-51.037434910693165</v>
      </c>
      <c r="J11" s="543">
        <f>DCF!J48</f>
        <v>-51.998137272256308</v>
      </c>
      <c r="K11" s="543">
        <f>DCF!K48</f>
        <v>-52.976923399767735</v>
      </c>
      <c r="L11" s="543">
        <f>DCF!L48</f>
        <v>-53.974133692713806</v>
      </c>
      <c r="M11" s="543">
        <f>DCF!M48</f>
        <v>-54.990114958086146</v>
      </c>
    </row>
    <row r="12" spans="2:14" ht="15" x14ac:dyDescent="0.35">
      <c r="B12" s="512" t="s">
        <v>559</v>
      </c>
      <c r="H12" s="543">
        <f>DCF!H49</f>
        <v>108411.4936</v>
      </c>
      <c r="I12" s="543">
        <f>DCF!I49</f>
        <v>98291.509228696013</v>
      </c>
      <c r="J12" s="543">
        <f>DCF!J49</f>
        <v>100141.69792260004</v>
      </c>
      <c r="K12" s="543">
        <f>DCF!K49</f>
        <v>102026.71361458262</v>
      </c>
      <c r="L12" s="543">
        <f>DCF!L49</f>
        <v>103947.21187010001</v>
      </c>
      <c r="M12" s="543">
        <f>DCF!M49</f>
        <v>105903.86059463458</v>
      </c>
    </row>
    <row r="14" spans="2:14" ht="15" x14ac:dyDescent="0.3">
      <c r="B14" s="574" t="s">
        <v>560</v>
      </c>
      <c r="C14" s="573"/>
      <c r="D14" s="573"/>
      <c r="E14" s="573"/>
      <c r="F14" s="573"/>
      <c r="G14" s="573"/>
      <c r="H14" s="573"/>
      <c r="I14" s="573"/>
      <c r="J14" s="573"/>
      <c r="K14" s="573"/>
      <c r="L14" s="573"/>
    </row>
    <row r="15" spans="2:14" x14ac:dyDescent="0.3">
      <c r="B15" s="544" t="s">
        <v>561</v>
      </c>
    </row>
    <row r="16" spans="2:14" x14ac:dyDescent="0.3">
      <c r="B16" s="498" t="s">
        <v>562</v>
      </c>
      <c r="H16" s="545">
        <f>'LBO MODEL'!C20*INPUT!H30</f>
        <v>465675</v>
      </c>
      <c r="I16" s="545">
        <f>H19</f>
        <v>465675</v>
      </c>
      <c r="J16" s="545">
        <f>I19</f>
        <v>415240.11807847797</v>
      </c>
      <c r="K16" s="545">
        <f>J19</f>
        <v>360895.85054045182</v>
      </c>
      <c r="L16" s="545">
        <f>K19</f>
        <v>302420.60785653745</v>
      </c>
      <c r="M16" s="545">
        <f>L19</f>
        <v>239581.2293467893</v>
      </c>
    </row>
    <row r="17" spans="2:13" x14ac:dyDescent="0.3">
      <c r="B17" s="546" t="s">
        <v>563</v>
      </c>
      <c r="I17" s="545">
        <f>-MIN(I16*0.01,I16)</f>
        <v>-4656.75</v>
      </c>
      <c r="J17" s="545">
        <f>-MIN(J16*0.01,J16)</f>
        <v>-4152.4011807847801</v>
      </c>
      <c r="K17" s="545">
        <f>-MIN(K16*0.01,K16)</f>
        <v>-3608.9585054045183</v>
      </c>
      <c r="L17" s="545">
        <f>-MIN(L16*0.01,L16)</f>
        <v>-3024.2060785653744</v>
      </c>
      <c r="M17" s="545">
        <f>-MIN(M16*0.01,M16)</f>
        <v>-2395.8122934678931</v>
      </c>
    </row>
    <row r="18" spans="2:13" x14ac:dyDescent="0.3">
      <c r="B18" s="546" t="s">
        <v>564</v>
      </c>
      <c r="I18" s="545">
        <f>-MIN(I16+I17,MAX(0,(I12+I20)*0.75))</f>
        <v>-45778.131921522014</v>
      </c>
      <c r="J18" s="545">
        <f>-MIN(J16+J17,MAX(0,(J12+J20)*0.75))</f>
        <v>-50191.86635724135</v>
      </c>
      <c r="K18" s="545">
        <f>-MIN(K16+K17,MAX(0,(K12+K20)*0.75))</f>
        <v>-54866.284178509857</v>
      </c>
      <c r="L18" s="545">
        <f>-MIN(L16+L17,MAX(0,(L12+L20)*0.75))</f>
        <v>-59815.172431182771</v>
      </c>
      <c r="M18" s="545">
        <f>-MIN(M16+M17,MAX(0,(M12+M20)*0.75))</f>
        <v>-65053.021685168569</v>
      </c>
    </row>
    <row r="19" spans="2:13" x14ac:dyDescent="0.3">
      <c r="B19" s="547" t="s">
        <v>565</v>
      </c>
      <c r="H19" s="548">
        <f>H16</f>
        <v>465675</v>
      </c>
      <c r="I19" s="548">
        <f>I16+I17+I18</f>
        <v>415240.11807847797</v>
      </c>
      <c r="J19" s="548">
        <f>J16+J17+J18</f>
        <v>360895.85054045182</v>
      </c>
      <c r="K19" s="548">
        <f>K16+K17+K18</f>
        <v>302420.60785653745</v>
      </c>
      <c r="L19" s="548">
        <f>L16+L17+L18</f>
        <v>239581.2293467893</v>
      </c>
      <c r="M19" s="548">
        <f>M16+M17+M18</f>
        <v>172132.39536815282</v>
      </c>
    </row>
    <row r="20" spans="2:13" x14ac:dyDescent="0.3">
      <c r="B20" s="546" t="s">
        <v>566</v>
      </c>
      <c r="I20" s="545">
        <f>-I16*'LBO MODEL'!$C$22</f>
        <v>-37254</v>
      </c>
      <c r="J20" s="545">
        <f>-J16*'LBO MODEL'!$C$22</f>
        <v>-33219.209446278241</v>
      </c>
      <c r="K20" s="545">
        <f>-K16*'LBO MODEL'!$C$22</f>
        <v>-28871.668043236146</v>
      </c>
      <c r="L20" s="545">
        <f>-L16*'LBO MODEL'!$C$22</f>
        <v>-24193.648628522995</v>
      </c>
      <c r="M20" s="545">
        <f>-M16*'LBO MODEL'!$C$22</f>
        <v>-19166.498347743145</v>
      </c>
    </row>
    <row r="22" spans="2:13" x14ac:dyDescent="0.3">
      <c r="B22" s="544" t="s">
        <v>567</v>
      </c>
    </row>
    <row r="23" spans="2:13" x14ac:dyDescent="0.3">
      <c r="B23" s="498" t="s">
        <v>562</v>
      </c>
      <c r="H23" s="545">
        <f>'LBO MODEL'!C21*INPUT!H30</f>
        <v>199575</v>
      </c>
      <c r="I23" s="545">
        <f>H26</f>
        <v>199575</v>
      </c>
      <c r="J23" s="545">
        <f>I26</f>
        <v>209553.75</v>
      </c>
      <c r="K23" s="545">
        <f>J26</f>
        <v>220031.4375</v>
      </c>
      <c r="L23" s="545">
        <f>K26</f>
        <v>231033.00937499999</v>
      </c>
      <c r="M23" s="545">
        <f>L26</f>
        <v>242584.65984375001</v>
      </c>
    </row>
    <row r="24" spans="2:13" x14ac:dyDescent="0.3">
      <c r="B24" s="546" t="s">
        <v>568</v>
      </c>
      <c r="I24" s="545">
        <f>I23*0.05</f>
        <v>9978.75</v>
      </c>
      <c r="J24" s="545">
        <f>J23*0.05</f>
        <v>10477.6875</v>
      </c>
      <c r="K24" s="545">
        <f>K23*0.05</f>
        <v>11001.571875000001</v>
      </c>
      <c r="L24" s="545">
        <f>L23*0.05</f>
        <v>11551.65046875</v>
      </c>
      <c r="M24" s="545">
        <f>M23*0.05</f>
        <v>12129.232992187501</v>
      </c>
    </row>
    <row r="25" spans="2:13" x14ac:dyDescent="0.3">
      <c r="B25" s="546" t="s">
        <v>569</v>
      </c>
      <c r="M25" s="545">
        <f>-(M23+M24)</f>
        <v>-254713.8928359375</v>
      </c>
    </row>
    <row r="26" spans="2:13" x14ac:dyDescent="0.3">
      <c r="B26" s="547" t="s">
        <v>565</v>
      </c>
      <c r="H26" s="548">
        <f>H23</f>
        <v>199575</v>
      </c>
      <c r="I26" s="548">
        <f>I23+I24</f>
        <v>209553.75</v>
      </c>
      <c r="J26" s="548">
        <f>J23+J24</f>
        <v>220031.4375</v>
      </c>
      <c r="K26" s="548">
        <f>K23+K24</f>
        <v>231033.00937499999</v>
      </c>
      <c r="L26" s="548">
        <f>L23+L24</f>
        <v>242584.65984375001</v>
      </c>
      <c r="M26" s="548">
        <f>M23+M24+M25</f>
        <v>0</v>
      </c>
    </row>
    <row r="27" spans="2:13" x14ac:dyDescent="0.3">
      <c r="B27" s="546" t="s">
        <v>570</v>
      </c>
      <c r="I27" s="545">
        <f>-I23*0.05</f>
        <v>-9978.75</v>
      </c>
      <c r="J27" s="545">
        <f>-J23*0.05</f>
        <v>-10477.6875</v>
      </c>
      <c r="K27" s="545">
        <f>-K23*0.05</f>
        <v>-11001.571875000001</v>
      </c>
      <c r="L27" s="545">
        <f>-L23*0.05</f>
        <v>-11551.65046875</v>
      </c>
      <c r="M27" s="545">
        <f>-M23*0.05</f>
        <v>-12129.232992187501</v>
      </c>
    </row>
    <row r="29" spans="2:13" x14ac:dyDescent="0.3">
      <c r="B29" s="547" t="s">
        <v>571</v>
      </c>
      <c r="I29" s="549">
        <f>I20+I27</f>
        <v>-47232.75</v>
      </c>
      <c r="J29" s="549">
        <f>J20+J27</f>
        <v>-43696.896946278241</v>
      </c>
      <c r="K29" s="549">
        <f>K20+K27</f>
        <v>-39873.239918236148</v>
      </c>
      <c r="L29" s="549">
        <f>L20+L27</f>
        <v>-35745.299097272997</v>
      </c>
      <c r="M29" s="549">
        <f>M20+M27</f>
        <v>-31295.731339930644</v>
      </c>
    </row>
    <row r="30" spans="2:13" x14ac:dyDescent="0.3">
      <c r="B30" s="547" t="s">
        <v>572</v>
      </c>
      <c r="H30" s="549">
        <f t="shared" ref="H30:M30" si="0">H19+H26</f>
        <v>665250</v>
      </c>
      <c r="I30" s="549">
        <f t="shared" si="0"/>
        <v>624793.86807847791</v>
      </c>
      <c r="J30" s="549">
        <f t="shared" si="0"/>
        <v>580927.28804045182</v>
      </c>
      <c r="K30" s="549">
        <f t="shared" si="0"/>
        <v>533453.61723153747</v>
      </c>
      <c r="L30" s="549">
        <f t="shared" si="0"/>
        <v>482165.88919053931</v>
      </c>
      <c r="M30" s="549">
        <f t="shared" si="0"/>
        <v>172132.39536815282</v>
      </c>
    </row>
    <row r="31" spans="2:13" x14ac:dyDescent="0.3">
      <c r="B31" s="546" t="s">
        <v>573</v>
      </c>
      <c r="H31" s="550">
        <f t="shared" ref="H31:M31" si="1">IFERROR(H30/H7,0)</f>
        <v>5</v>
      </c>
      <c r="I31" s="550">
        <f t="shared" si="1"/>
        <v>4.7692374781181366</v>
      </c>
      <c r="J31" s="550">
        <f t="shared" si="1"/>
        <v>4.3524623152576076</v>
      </c>
      <c r="K31" s="550">
        <f t="shared" si="1"/>
        <v>3.9229336209451531</v>
      </c>
      <c r="L31" s="550">
        <f t="shared" si="1"/>
        <v>3.4802611306473006</v>
      </c>
      <c r="M31" s="550">
        <f t="shared" si="1"/>
        <v>1.2194921621197949</v>
      </c>
    </row>
    <row r="32" spans="2:13" x14ac:dyDescent="0.3">
      <c r="B32" s="546" t="s">
        <v>574</v>
      </c>
      <c r="I32" s="551">
        <f>IFERROR(-I9/I29,0)</f>
        <v>2.514199370112066</v>
      </c>
      <c r="J32" s="551">
        <f>IFERROR(-J9/J29,0)</f>
        <v>2.76879814210564</v>
      </c>
      <c r="K32" s="551">
        <f>IFERROR(-K9/K29,0)</f>
        <v>3.0914292628965954</v>
      </c>
      <c r="L32" s="551">
        <f>IFERROR(-L9/L29,0)</f>
        <v>3.5133454280713279</v>
      </c>
      <c r="M32" s="551">
        <f>IFERROR(-M9/M29,0)</f>
        <v>4.0884023459403585</v>
      </c>
    </row>
    <row r="34" spans="2:14" ht="15" x14ac:dyDescent="0.3">
      <c r="B34" s="574" t="s">
        <v>575</v>
      </c>
      <c r="C34" s="573"/>
      <c r="D34" s="573"/>
      <c r="E34" s="573"/>
      <c r="F34" s="573"/>
      <c r="G34" s="573"/>
      <c r="H34" s="573"/>
      <c r="I34" s="573"/>
      <c r="J34" s="573"/>
      <c r="K34" s="573"/>
      <c r="L34" s="573"/>
    </row>
    <row r="35" spans="2:14" x14ac:dyDescent="0.3">
      <c r="B35" s="546" t="s">
        <v>576</v>
      </c>
      <c r="M35" s="552">
        <f>M7</f>
        <v>141150.88289615727</v>
      </c>
    </row>
    <row r="36" spans="2:14" x14ac:dyDescent="0.3">
      <c r="B36" s="546" t="s">
        <v>577</v>
      </c>
      <c r="M36" s="551">
        <f>'LBO MODEL'!$C$24</f>
        <v>14</v>
      </c>
    </row>
    <row r="37" spans="2:14" x14ac:dyDescent="0.3">
      <c r="B37" s="547" t="e">
        <f>EV exit</f>
        <v>#NAME?</v>
      </c>
      <c r="M37" s="548">
        <f>M35*M36</f>
        <v>1976112.3605462019</v>
      </c>
    </row>
    <row r="38" spans="2:14" x14ac:dyDescent="0.3">
      <c r="B38" s="546" t="s">
        <v>578</v>
      </c>
      <c r="M38" s="553">
        <f>-M30</f>
        <v>-172132.39536815282</v>
      </c>
    </row>
    <row r="39" spans="2:14" x14ac:dyDescent="0.3">
      <c r="B39" s="547" t="e">
        <f>Equity exit</f>
        <v>#NAME?</v>
      </c>
      <c r="M39" s="554">
        <f>M37+M38</f>
        <v>1803979.9651780492</v>
      </c>
    </row>
    <row r="45" spans="2:14" x14ac:dyDescent="0.3">
      <c r="M45" s="555" t="s">
        <v>579</v>
      </c>
      <c r="N45" s="552">
        <f>'LBO MODEL'!D31</f>
        <v>1373086.5</v>
      </c>
    </row>
    <row r="48" spans="2:14" x14ac:dyDescent="0.3">
      <c r="M48" s="556" t="s">
        <v>580</v>
      </c>
      <c r="N48" s="552">
        <f>M35</f>
        <v>141150.88289615727</v>
      </c>
    </row>
    <row r="49" spans="2:19" x14ac:dyDescent="0.3">
      <c r="M49" s="556" t="s">
        <v>581</v>
      </c>
      <c r="N49" s="552">
        <f>M30</f>
        <v>172132.39536815282</v>
      </c>
    </row>
    <row r="50" spans="2:19" x14ac:dyDescent="0.3">
      <c r="M50" s="556" t="s">
        <v>582</v>
      </c>
      <c r="N50" s="552">
        <f>M39</f>
        <v>1803979.9651780492</v>
      </c>
    </row>
    <row r="51" spans="2:19" x14ac:dyDescent="0.3">
      <c r="M51" s="556" t="s">
        <v>583</v>
      </c>
      <c r="N51" s="557">
        <f>IFERROR((N50/N45)^(1/'LBO MODEL'!C25)-1,0)</f>
        <v>5.6104182464312702E-2</v>
      </c>
    </row>
    <row r="52" spans="2:19" x14ac:dyDescent="0.3">
      <c r="M52" s="556" t="s">
        <v>584</v>
      </c>
      <c r="N52" s="558">
        <f>IFERROR(N50/N45,0)</f>
        <v>1.3138137802520446</v>
      </c>
    </row>
    <row r="54" spans="2:19" ht="15" x14ac:dyDescent="0.3">
      <c r="B54" s="574" t="s">
        <v>585</v>
      </c>
      <c r="C54" s="573"/>
      <c r="D54" s="573"/>
      <c r="E54" s="573"/>
      <c r="F54" s="573"/>
      <c r="G54" s="573"/>
      <c r="H54" s="573"/>
      <c r="I54" s="573"/>
      <c r="J54" s="573"/>
      <c r="K54" s="573"/>
      <c r="L54" s="573"/>
      <c r="M54" s="520" t="s">
        <v>586</v>
      </c>
      <c r="P54" s="520" t="s">
        <v>587</v>
      </c>
      <c r="Q54" s="520" t="s">
        <v>525</v>
      </c>
      <c r="R54" s="520" t="s">
        <v>588</v>
      </c>
      <c r="S54" s="520" t="s">
        <v>589</v>
      </c>
    </row>
    <row r="55" spans="2:19" x14ac:dyDescent="0.3">
      <c r="M55" s="559" t="s">
        <v>590</v>
      </c>
      <c r="P55" s="560">
        <f>IFERROR(((N48*1.15*(M36+1)-N49*0.7)/N45)^(1/'LBO MODEL'!C25)-1,0)</f>
        <v>0.11006038836650411</v>
      </c>
      <c r="Q55" s="561">
        <f>IFERROR((N48*1.15*(M36+1)-N49*0.7)/N45,0)</f>
        <v>1.685516573938354</v>
      </c>
      <c r="R55" s="562">
        <f>M31*0.5</f>
        <v>0.60974608105989747</v>
      </c>
      <c r="S55" s="562">
        <f>M32*1.5</f>
        <v>6.1326035189105372</v>
      </c>
    </row>
    <row r="56" spans="2:19" x14ac:dyDescent="0.3">
      <c r="M56" s="498" t="s">
        <v>591</v>
      </c>
      <c r="P56" s="557">
        <f>N51</f>
        <v>5.6104182464312702E-2</v>
      </c>
      <c r="Q56" s="558">
        <f>N52</f>
        <v>1.3138137802520446</v>
      </c>
      <c r="R56" s="563">
        <f>M31</f>
        <v>1.2194921621197949</v>
      </c>
      <c r="S56" s="563">
        <f>M32</f>
        <v>4.0884023459403585</v>
      </c>
    </row>
    <row r="57" spans="2:19" x14ac:dyDescent="0.3">
      <c r="M57" s="564" t="s">
        <v>592</v>
      </c>
      <c r="P57" s="565">
        <f>IFERROR(((N48*0.85*(M36-1)-N49*1.3)/N45)^(1/'LBO MODEL'!C25)-1,0)</f>
        <v>-5.4694105348830346E-3</v>
      </c>
      <c r="Q57" s="566">
        <f>IFERROR((N48*0.85*(M36-1)-N49*1.3)/N45,0)</f>
        <v>0.97295046016688624</v>
      </c>
      <c r="R57" s="567">
        <f>M31*1.8</f>
        <v>2.1950858918156309</v>
      </c>
      <c r="S57" s="567">
        <f>M32*0.5</f>
        <v>2.0442011729701792</v>
      </c>
    </row>
  </sheetData>
  <mergeCells count="6">
    <mergeCell ref="B4:L4"/>
    <mergeCell ref="B1:N1"/>
    <mergeCell ref="B54:L54"/>
    <mergeCell ref="B34:L34"/>
    <mergeCell ref="B14:L14"/>
    <mergeCell ref="B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19</vt:i4>
      </vt:variant>
    </vt:vector>
  </HeadingPairs>
  <TitlesOfParts>
    <vt:vector size="32" baseType="lpstr">
      <vt:lpstr>INPUT</vt:lpstr>
      <vt:lpstr>RATIOS</vt:lpstr>
      <vt:lpstr>ALTMAN Z-SCORE</vt:lpstr>
      <vt:lpstr>BENEISH M-SCORE</vt:lpstr>
      <vt:lpstr>DCF</vt:lpstr>
      <vt:lpstr>COMPARABLES</vt:lpstr>
      <vt:lpstr>SCENARIOS</vt:lpstr>
      <vt:lpstr>DASHBOARD</vt:lpstr>
      <vt:lpstr>DASHBOARD 2</vt:lpstr>
      <vt:lpstr>STOCK_DATA</vt:lpstr>
      <vt:lpstr>SECTOR_REF</vt:lpstr>
      <vt:lpstr>LBO MODEL</vt:lpstr>
      <vt:lpstr>_LBO_CALC</vt:lpstr>
      <vt:lpstr>LBO_ELIGIBLE</vt:lpstr>
      <vt:lpstr>LBO_EQUITY_ENTRY</vt:lpstr>
      <vt:lpstr>LBO_EQUITY_EXIT</vt:lpstr>
      <vt:lpstr>LBO_IRR_BASE</vt:lpstr>
      <vt:lpstr>LBO_IRR_BEAR</vt:lpstr>
      <vt:lpstr>LBO_IRR_BULL</vt:lpstr>
      <vt:lpstr>LBO_LEVERAGE_EXIT</vt:lpstr>
      <vt:lpstr>LBO_MEGA_FLAG</vt:lpstr>
      <vt:lpstr>LBO_MOIC_BASE</vt:lpstr>
      <vt:lpstr>'ALTMAN Z-SCORE'!Zone_d_impression</vt:lpstr>
      <vt:lpstr>'BENEISH M-SCORE'!Zone_d_impression</vt:lpstr>
      <vt:lpstr>COMPARABLES!Zone_d_impression</vt:lpstr>
      <vt:lpstr>DASHBOARD!Zone_d_impression</vt:lpstr>
      <vt:lpstr>'DASHBOARD 2'!Zone_d_impression</vt:lpstr>
      <vt:lpstr>DCF!Zone_d_impression</vt:lpstr>
      <vt:lpstr>INPUT!Zone_d_impression</vt:lpstr>
      <vt:lpstr>'LBO MODEL'!Zone_d_impression</vt:lpstr>
      <vt:lpstr>RATIOS!Zone_d_impression</vt:lpstr>
      <vt:lpstr>SCENARIOS!Zone_d_impression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jeh</dc:creator>
  <cp:lastModifiedBy>Baptiste jeh</cp:lastModifiedBy>
  <cp:lastPrinted>2026-04-11T14:20:29Z</cp:lastPrinted>
  <dcterms:created xsi:type="dcterms:W3CDTF">2026-03-05T17:41:12Z</dcterms:created>
  <dcterms:modified xsi:type="dcterms:W3CDTF">2026-04-11T14:20:30Z</dcterms:modified>
</cp:coreProperties>
</file>