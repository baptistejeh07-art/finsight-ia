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pti\Downloads\"/>
    </mc:Choice>
  </mc:AlternateContent>
  <xr:revisionPtr revIDLastSave="0" documentId="13_ncr:1_{14E26C56-45BE-49E5-8570-937C06BAE979}" xr6:coauthVersionLast="47" xr6:coauthVersionMax="47" xr10:uidLastSave="{00000000-0000-0000-0000-000000000000}"/>
  <bookViews>
    <workbookView xWindow="-108" yWindow="-108" windowWidth="23256" windowHeight="13896" tabRatio="701" xr2:uid="{00000000-000D-0000-FFFF-FFFF00000000}"/>
  </bookViews>
  <sheets>
    <sheet name="INPUT" sheetId="1" r:id="rId1"/>
    <sheet name="RATIOS" sheetId="2" r:id="rId2"/>
    <sheet name="TEXAS RATIO" sheetId="3" r:id="rId3"/>
    <sheet name="CAMELS" sheetId="4" r:id="rId4"/>
    <sheet name="BANK VALUATION" sheetId="5" r:id="rId5"/>
    <sheet name="COMPARABLES" sheetId="6" r:id="rId6"/>
    <sheet name="SCENARIOS" sheetId="7" r:id="rId7"/>
    <sheet name="DASHBOARD" sheetId="8" r:id="rId8"/>
    <sheet name="DASHBOARD 2" sheetId="9" r:id="rId9"/>
    <sheet name="STOCK_DATA" sheetId="10" state="hidden" r:id="rId10"/>
    <sheet name="SECTOR_REF" sheetId="11" state="hidden" r:id="rId11"/>
  </sheets>
  <definedNames>
    <definedName name="_xlnm.Print_Area" localSheetId="4">'BANK VALUATION'!$B$1:$M$109</definedName>
    <definedName name="_xlnm.Print_Area" localSheetId="3">CAMELS!$A$1:$F$49</definedName>
    <definedName name="_xlnm.Print_Area" localSheetId="5">COMPARABLES!$B$1:$M$45</definedName>
    <definedName name="_xlnm.Print_Area" localSheetId="7">DASHBOARD!$B$1:$O$111</definedName>
    <definedName name="_xlnm.Print_Area" localSheetId="8">'DASHBOARD 2'!$A$1:$P$123</definedName>
    <definedName name="_xlnm.Print_Area" localSheetId="0">INPUT!$A$1:$H$126</definedName>
    <definedName name="_xlnm.Print_Area" localSheetId="1">RATIOS!$B$1:$I$70</definedName>
    <definedName name="_xlnm.Print_Area" localSheetId="6">SCENARIOS!$A$1:$I$72</definedName>
    <definedName name="_xlnm.Print_Area" localSheetId="2">'TEXAS RATIO'!$A$1:$H$44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9" l="1"/>
  <c r="L16" i="6"/>
  <c r="L15" i="6"/>
  <c r="K16" i="6"/>
  <c r="K15" i="6"/>
  <c r="J5" i="6"/>
  <c r="F5" i="6"/>
  <c r="H33" i="2"/>
  <c r="H32" i="2"/>
  <c r="H31" i="2"/>
  <c r="H30" i="2"/>
  <c r="H29" i="2"/>
  <c r="H28" i="2"/>
  <c r="H25" i="2"/>
  <c r="H24" i="2"/>
  <c r="H23" i="2"/>
  <c r="H22" i="2"/>
  <c r="H21" i="2"/>
  <c r="H20" i="2"/>
  <c r="G33" i="2"/>
  <c r="G32" i="2"/>
  <c r="G31" i="2"/>
  <c r="G30" i="2"/>
  <c r="G29" i="2"/>
  <c r="G28" i="2"/>
  <c r="G20" i="2"/>
  <c r="F33" i="2"/>
  <c r="F32" i="2"/>
  <c r="F31" i="2"/>
  <c r="F30" i="2"/>
  <c r="F29" i="2"/>
  <c r="F28" i="2"/>
  <c r="F20" i="2"/>
  <c r="E33" i="2"/>
  <c r="E32" i="2"/>
  <c r="E31" i="2"/>
  <c r="E30" i="2"/>
  <c r="E29" i="2"/>
  <c r="E28" i="2"/>
  <c r="E20" i="2"/>
  <c r="G17" i="2"/>
  <c r="G16" i="2"/>
  <c r="G15" i="2"/>
  <c r="G12" i="2"/>
  <c r="G11" i="2"/>
  <c r="G10" i="2"/>
  <c r="G9" i="2"/>
  <c r="G8" i="2"/>
  <c r="F17" i="2"/>
  <c r="F16" i="2"/>
  <c r="F15" i="2"/>
  <c r="F12" i="2"/>
  <c r="F11" i="2"/>
  <c r="F10" i="2"/>
  <c r="F9" i="2"/>
  <c r="F8" i="2"/>
  <c r="E17" i="2"/>
  <c r="E16" i="2"/>
  <c r="E15" i="2"/>
  <c r="E12" i="2"/>
  <c r="E11" i="2"/>
  <c r="E10" i="2"/>
  <c r="E9" i="2"/>
  <c r="E8" i="2"/>
  <c r="K10" i="9"/>
  <c r="AD6" i="9" s="1"/>
  <c r="K8" i="9"/>
  <c r="AD4" i="9" s="1"/>
  <c r="K7" i="9"/>
  <c r="AD3" i="9" s="1"/>
  <c r="J8" i="9"/>
  <c r="AC4" i="9" s="1"/>
  <c r="J7" i="9"/>
  <c r="AC3" i="9" s="1"/>
  <c r="I10" i="9"/>
  <c r="AB6" i="9" s="1"/>
  <c r="I8" i="9"/>
  <c r="AB4" i="9" s="1"/>
  <c r="I7" i="9"/>
  <c r="AB3" i="9" s="1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H27" i="2"/>
  <c r="G27" i="2"/>
  <c r="F27" i="2"/>
  <c r="E27" i="2"/>
  <c r="H26" i="2"/>
  <c r="G26" i="2"/>
  <c r="F26" i="2"/>
  <c r="E26" i="2"/>
  <c r="AF5" i="9" l="1"/>
  <c r="AF4" i="9"/>
  <c r="AF3" i="9"/>
  <c r="AF2" i="9"/>
  <c r="Z6" i="5"/>
  <c r="Z4" i="5"/>
  <c r="U6" i="5"/>
  <c r="T6" i="5"/>
  <c r="S6" i="5"/>
  <c r="U4" i="5"/>
  <c r="T4" i="5"/>
  <c r="S4" i="5"/>
  <c r="W2" i="5"/>
  <c r="W3" i="5"/>
  <c r="W4" i="5"/>
  <c r="W5" i="5"/>
  <c r="T120" i="8"/>
  <c r="T119" i="8"/>
  <c r="T118" i="8"/>
  <c r="T117" i="8"/>
  <c r="S117" i="8"/>
  <c r="T116" i="8"/>
  <c r="S116" i="8"/>
  <c r="T115" i="8"/>
  <c r="S115" i="8"/>
  <c r="T114" i="8"/>
  <c r="S114" i="8"/>
  <c r="T122" i="8"/>
  <c r="T121" i="8"/>
  <c r="M33" i="8"/>
  <c r="M31" i="8"/>
  <c r="M29" i="8"/>
  <c r="M27" i="8"/>
  <c r="M25" i="8"/>
  <c r="T107" i="9"/>
  <c r="T108" i="9"/>
  <c r="S12" i="8"/>
  <c r="S19" i="8"/>
  <c r="N9" i="8"/>
  <c r="C6" i="8"/>
  <c r="C14" i="8"/>
  <c r="H16" i="2"/>
  <c r="H11" i="2"/>
  <c r="C9" i="8" s="1"/>
  <c r="H12" i="2"/>
  <c r="G19" i="8"/>
  <c r="G18" i="8"/>
  <c r="G17" i="8"/>
  <c r="G16" i="8"/>
  <c r="G14" i="8"/>
  <c r="C19" i="8"/>
  <c r="C18" i="8"/>
  <c r="C17" i="8"/>
  <c r="C16" i="8"/>
  <c r="C15" i="8"/>
  <c r="G6" i="8"/>
  <c r="C7" i="8"/>
  <c r="H17" i="2"/>
  <c r="C11" i="8" s="1"/>
  <c r="H15" i="2"/>
  <c r="G15" i="8" s="1"/>
  <c r="C10" i="8"/>
  <c r="H10" i="2"/>
  <c r="H9" i="2"/>
  <c r="H8" i="2"/>
  <c r="S34" i="8"/>
  <c r="S20" i="8"/>
  <c r="F23" i="7"/>
  <c r="D51" i="7" s="1"/>
  <c r="E23" i="7"/>
  <c r="D50" i="7" s="1"/>
  <c r="D23" i="7"/>
  <c r="D49" i="7" s="1"/>
  <c r="C23" i="7"/>
  <c r="C20" i="7"/>
  <c r="C17" i="7"/>
  <c r="D22" i="6"/>
  <c r="D19" i="6"/>
  <c r="D21" i="6" s="1"/>
  <c r="D23" i="6" s="1"/>
  <c r="J16" i="6"/>
  <c r="F16" i="6"/>
  <c r="J15" i="6"/>
  <c r="F15" i="6"/>
  <c r="M14" i="6"/>
  <c r="L14" i="6"/>
  <c r="K14" i="6"/>
  <c r="J14" i="6"/>
  <c r="I14" i="6"/>
  <c r="H14" i="6"/>
  <c r="G14" i="6"/>
  <c r="F14" i="6"/>
  <c r="E14" i="6"/>
  <c r="D14" i="6"/>
  <c r="M13" i="6"/>
  <c r="L13" i="6"/>
  <c r="K13" i="6"/>
  <c r="J13" i="6"/>
  <c r="I13" i="6"/>
  <c r="H13" i="6"/>
  <c r="G13" i="6"/>
  <c r="F13" i="6"/>
  <c r="E13" i="6"/>
  <c r="D13" i="6"/>
  <c r="D5" i="6"/>
  <c r="D16" i="6" s="1"/>
  <c r="F23" i="4"/>
  <c r="H23" i="4" s="1"/>
  <c r="D23" i="4"/>
  <c r="F15" i="4"/>
  <c r="H15" i="4" s="1"/>
  <c r="D15" i="4"/>
  <c r="F14" i="4"/>
  <c r="H14" i="4" s="1"/>
  <c r="D14" i="4"/>
  <c r="H12" i="3"/>
  <c r="G12" i="3"/>
  <c r="F12" i="3"/>
  <c r="E12" i="3"/>
  <c r="H10" i="3"/>
  <c r="G10" i="3"/>
  <c r="F10" i="3"/>
  <c r="E10" i="3"/>
  <c r="H8" i="3"/>
  <c r="H16" i="3" s="1"/>
  <c r="G8" i="3"/>
  <c r="G16" i="3" s="1"/>
  <c r="F8" i="3"/>
  <c r="F16" i="3" s="1"/>
  <c r="E8" i="3"/>
  <c r="E16" i="3" s="1"/>
  <c r="H5" i="3"/>
  <c r="G5" i="3"/>
  <c r="F5" i="3"/>
  <c r="E5" i="3"/>
  <c r="D21" i="5"/>
  <c r="M7" i="5" s="1"/>
  <c r="D13" i="5"/>
  <c r="D10" i="5"/>
  <c r="D28" i="5" s="1"/>
  <c r="D9" i="5"/>
  <c r="D27" i="5" s="1"/>
  <c r="D8" i="5"/>
  <c r="B3" i="8"/>
  <c r="P121" i="9"/>
  <c r="J122" i="9"/>
  <c r="P120" i="9"/>
  <c r="J121" i="9"/>
  <c r="G127" i="9"/>
  <c r="F127" i="9"/>
  <c r="E127" i="9"/>
  <c r="D127" i="9"/>
  <c r="C127" i="9"/>
  <c r="P119" i="9"/>
  <c r="J120" i="9"/>
  <c r="C126" i="9"/>
  <c r="J119" i="9"/>
  <c r="P118" i="9" s="1"/>
  <c r="C125" i="9"/>
  <c r="H26" i="9"/>
  <c r="G26" i="9"/>
  <c r="F26" i="9"/>
  <c r="E26" i="9"/>
  <c r="H25" i="9"/>
  <c r="G25" i="9"/>
  <c r="F25" i="9"/>
  <c r="E25" i="9"/>
  <c r="H23" i="9"/>
  <c r="G23" i="9"/>
  <c r="F23" i="9"/>
  <c r="E23" i="9"/>
  <c r="H22" i="9"/>
  <c r="G22" i="9"/>
  <c r="F22" i="9"/>
  <c r="E22" i="9"/>
  <c r="E19" i="9"/>
  <c r="H18" i="9"/>
  <c r="G126" i="9" s="1"/>
  <c r="G18" i="9"/>
  <c r="F126" i="9" s="1"/>
  <c r="F18" i="9"/>
  <c r="E126" i="9" s="1"/>
  <c r="E18" i="9"/>
  <c r="D126" i="9" s="1"/>
  <c r="H16" i="9"/>
  <c r="N118" i="9" s="1"/>
  <c r="T106" i="9" s="1"/>
  <c r="G16" i="9"/>
  <c r="M118" i="9" s="1"/>
  <c r="S106" i="9" s="1"/>
  <c r="F16" i="9"/>
  <c r="L119" i="9" s="1"/>
  <c r="R104" i="9" s="1"/>
  <c r="E16" i="9"/>
  <c r="D12" i="9"/>
  <c r="I11" i="9"/>
  <c r="D11" i="9"/>
  <c r="X103" i="9"/>
  <c r="V103" i="9"/>
  <c r="D10" i="9"/>
  <c r="D9" i="9"/>
  <c r="X101" i="9"/>
  <c r="V101" i="9"/>
  <c r="D8" i="9"/>
  <c r="X100" i="9"/>
  <c r="V100" i="9"/>
  <c r="D7" i="9"/>
  <c r="P1" i="9"/>
  <c r="O111" i="8"/>
  <c r="N111" i="8"/>
  <c r="M111" i="8"/>
  <c r="L111" i="8"/>
  <c r="K111" i="8"/>
  <c r="O110" i="8"/>
  <c r="N110" i="8"/>
  <c r="M110" i="8"/>
  <c r="L110" i="8"/>
  <c r="K110" i="8"/>
  <c r="O109" i="8"/>
  <c r="N109" i="8"/>
  <c r="M109" i="8"/>
  <c r="L109" i="8"/>
  <c r="K109" i="8"/>
  <c r="O108" i="8"/>
  <c r="N108" i="8"/>
  <c r="M108" i="8"/>
  <c r="L108" i="8"/>
  <c r="K108" i="8"/>
  <c r="O107" i="8"/>
  <c r="N107" i="8"/>
  <c r="M107" i="8"/>
  <c r="L107" i="8"/>
  <c r="K107" i="8"/>
  <c r="I106" i="8"/>
  <c r="H106" i="8"/>
  <c r="G106" i="8"/>
  <c r="F106" i="8"/>
  <c r="E106" i="8"/>
  <c r="K105" i="8"/>
  <c r="I105" i="8"/>
  <c r="H105" i="8"/>
  <c r="G105" i="8"/>
  <c r="F105" i="8"/>
  <c r="E105" i="8"/>
  <c r="K104" i="8"/>
  <c r="K103" i="8"/>
  <c r="O102" i="8"/>
  <c r="N102" i="8"/>
  <c r="M102" i="8"/>
  <c r="L102" i="8"/>
  <c r="K102" i="8"/>
  <c r="H99" i="8"/>
  <c r="G99" i="8"/>
  <c r="F99" i="8"/>
  <c r="E99" i="8"/>
  <c r="D99" i="8"/>
  <c r="N98" i="8"/>
  <c r="M98" i="8"/>
  <c r="L98" i="8"/>
  <c r="K98" i="8"/>
  <c r="J98" i="8"/>
  <c r="H98" i="8"/>
  <c r="G98" i="8"/>
  <c r="F98" i="8"/>
  <c r="E98" i="8"/>
  <c r="D98" i="8"/>
  <c r="S16" i="8"/>
  <c r="R15" i="8"/>
  <c r="N14" i="8"/>
  <c r="M14" i="8"/>
  <c r="N13" i="8"/>
  <c r="M13" i="8"/>
  <c r="N12" i="8"/>
  <c r="M12" i="8"/>
  <c r="M11" i="8"/>
  <c r="S10" i="8"/>
  <c r="R10" i="8"/>
  <c r="M9" i="8"/>
  <c r="N8" i="8"/>
  <c r="M8" i="8"/>
  <c r="R27" i="8"/>
  <c r="Q27" i="8"/>
  <c r="L27" i="8"/>
  <c r="R25" i="8"/>
  <c r="Q25" i="8"/>
  <c r="L25" i="8"/>
  <c r="G79" i="7"/>
  <c r="F79" i="7"/>
  <c r="E79" i="7"/>
  <c r="D79" i="7"/>
  <c r="C79" i="7"/>
  <c r="F128" i="1"/>
  <c r="G128" i="1" s="1"/>
  <c r="D128" i="1"/>
  <c r="H108" i="1"/>
  <c r="G108" i="1"/>
  <c r="F108" i="1"/>
  <c r="E108" i="1"/>
  <c r="D108" i="1"/>
  <c r="H97" i="1"/>
  <c r="F20" i="4" s="1"/>
  <c r="H20" i="4" s="1"/>
  <c r="G97" i="1"/>
  <c r="G98" i="1" s="1"/>
  <c r="F97" i="1"/>
  <c r="F98" i="1" s="1"/>
  <c r="E97" i="1"/>
  <c r="E98" i="1" s="1"/>
  <c r="D97" i="1"/>
  <c r="D98" i="1" s="1"/>
  <c r="H86" i="1"/>
  <c r="G86" i="1"/>
  <c r="F86" i="1"/>
  <c r="E86" i="1"/>
  <c r="D86" i="1"/>
  <c r="H80" i="1"/>
  <c r="G80" i="1"/>
  <c r="F80" i="1"/>
  <c r="E80" i="1"/>
  <c r="D80" i="1"/>
  <c r="H70" i="1"/>
  <c r="G70" i="1"/>
  <c r="F70" i="1"/>
  <c r="E70" i="1"/>
  <c r="D70" i="1"/>
  <c r="H60" i="1"/>
  <c r="D29" i="5" s="1"/>
  <c r="G60" i="1"/>
  <c r="G11" i="3" s="1"/>
  <c r="F60" i="1"/>
  <c r="F9" i="3" s="1"/>
  <c r="E60" i="1"/>
  <c r="E9" i="3" s="1"/>
  <c r="D60" i="1"/>
  <c r="E55" i="1"/>
  <c r="H51" i="1"/>
  <c r="G51" i="1"/>
  <c r="F51" i="1"/>
  <c r="F55" i="1" s="1"/>
  <c r="E51" i="1"/>
  <c r="D51" i="1"/>
  <c r="D55" i="1" s="1"/>
  <c r="H38" i="1"/>
  <c r="G38" i="1"/>
  <c r="F38" i="1"/>
  <c r="E38" i="1"/>
  <c r="D38" i="1"/>
  <c r="D44" i="1" s="1"/>
  <c r="H13" i="1"/>
  <c r="Q29" i="8" s="1"/>
  <c r="G13" i="1"/>
  <c r="R29" i="8" s="1"/>
  <c r="F13" i="1"/>
  <c r="E13" i="1"/>
  <c r="D13" i="1"/>
  <c r="H11" i="1"/>
  <c r="G11" i="1"/>
  <c r="F11" i="1"/>
  <c r="F24" i="9" s="1"/>
  <c r="E11" i="1"/>
  <c r="L103" i="8" s="1"/>
  <c r="D11" i="1"/>
  <c r="S27" i="8" l="1"/>
  <c r="T27" i="8" s="1"/>
  <c r="G7" i="8"/>
  <c r="W103" i="9"/>
  <c r="E17" i="1"/>
  <c r="D7" i="5"/>
  <c r="H9" i="3"/>
  <c r="H17" i="3" s="1"/>
  <c r="H18" i="3" s="1"/>
  <c r="H19" i="3" s="1"/>
  <c r="E125" i="9"/>
  <c r="S17" i="8"/>
  <c r="D20" i="6"/>
  <c r="S29" i="8"/>
  <c r="T29" i="8" s="1"/>
  <c r="F17" i="3"/>
  <c r="F18" i="3" s="1"/>
  <c r="F19" i="3" s="1"/>
  <c r="C12" i="7"/>
  <c r="E18" i="3"/>
  <c r="E19" i="3" s="1"/>
  <c r="D15" i="6"/>
  <c r="E17" i="3"/>
  <c r="G9" i="3"/>
  <c r="G17" i="3" s="1"/>
  <c r="G18" i="3" s="1"/>
  <c r="G19" i="3" s="1"/>
  <c r="F55" i="5"/>
  <c r="F59" i="5" s="1"/>
  <c r="D44" i="5"/>
  <c r="D38" i="5"/>
  <c r="D39" i="5"/>
  <c r="D40" i="5"/>
  <c r="D41" i="5"/>
  <c r="H98" i="1"/>
  <c r="B2" i="8" s="1"/>
  <c r="S25" i="8"/>
  <c r="T25" i="8" s="1"/>
  <c r="E11" i="3"/>
  <c r="F11" i="3"/>
  <c r="M103" i="8"/>
  <c r="H11" i="3"/>
  <c r="D9" i="4"/>
  <c r="F125" i="9"/>
  <c r="F9" i="4"/>
  <c r="H9" i="4" s="1"/>
  <c r="G125" i="9"/>
  <c r="F43" i="5"/>
  <c r="E5" i="6"/>
  <c r="C13" i="7"/>
  <c r="L29" i="8"/>
  <c r="R16" i="8"/>
  <c r="G5" i="6"/>
  <c r="M5" i="6"/>
  <c r="D20" i="4"/>
  <c r="F17" i="1"/>
  <c r="D43" i="5"/>
  <c r="D42" i="5"/>
  <c r="F53" i="5"/>
  <c r="F62" i="5" s="1"/>
  <c r="F68" i="5"/>
  <c r="D18" i="5"/>
  <c r="F69" i="5"/>
  <c r="F78" i="5"/>
  <c r="F86" i="5"/>
  <c r="D32" i="5"/>
  <c r="G53" i="5"/>
  <c r="G62" i="5" s="1"/>
  <c r="F74" i="5"/>
  <c r="F38" i="5"/>
  <c r="H53" i="5"/>
  <c r="H62" i="5" s="1"/>
  <c r="F40" i="5"/>
  <c r="I53" i="5"/>
  <c r="I62" i="5" s="1"/>
  <c r="F42" i="5"/>
  <c r="J53" i="5"/>
  <c r="J62" i="5" s="1"/>
  <c r="F44" i="5"/>
  <c r="G44" i="5"/>
  <c r="G39" i="5"/>
  <c r="G41" i="5"/>
  <c r="G43" i="5"/>
  <c r="H39" i="5"/>
  <c r="H41" i="5"/>
  <c r="H43" i="5"/>
  <c r="I39" i="5"/>
  <c r="I41" i="5"/>
  <c r="I43" i="5"/>
  <c r="J41" i="5"/>
  <c r="J39" i="5"/>
  <c r="J43" i="5"/>
  <c r="E38" i="5"/>
  <c r="E40" i="5"/>
  <c r="E42" i="5"/>
  <c r="E44" i="5"/>
  <c r="G38" i="5"/>
  <c r="G40" i="5"/>
  <c r="G42" i="5"/>
  <c r="H38" i="5"/>
  <c r="H40" i="5"/>
  <c r="H42" i="5"/>
  <c r="H44" i="5"/>
  <c r="I38" i="5"/>
  <c r="I40" i="5"/>
  <c r="I42" i="5"/>
  <c r="I44" i="5"/>
  <c r="J38" i="5"/>
  <c r="J40" i="5"/>
  <c r="J42" i="5"/>
  <c r="J44" i="5"/>
  <c r="E39" i="5"/>
  <c r="E41" i="5"/>
  <c r="E43" i="5"/>
  <c r="F39" i="5"/>
  <c r="F41" i="5"/>
  <c r="M15" i="8"/>
  <c r="M16" i="8" s="1"/>
  <c r="M19" i="8" s="1"/>
  <c r="N103" i="8"/>
  <c r="G17" i="1"/>
  <c r="G24" i="9"/>
  <c r="H17" i="1"/>
  <c r="C7" i="7" s="1"/>
  <c r="O103" i="8"/>
  <c r="H24" i="9"/>
  <c r="R14" i="8"/>
  <c r="S15" i="8"/>
  <c r="E63" i="1"/>
  <c r="F63" i="1"/>
  <c r="R19" i="8" s="1"/>
  <c r="G55" i="1"/>
  <c r="E30" i="1"/>
  <c r="H55" i="1"/>
  <c r="E44" i="1"/>
  <c r="E13" i="3" s="1"/>
  <c r="F44" i="1"/>
  <c r="F13" i="3" s="1"/>
  <c r="E19" i="1"/>
  <c r="E22" i="1" s="1"/>
  <c r="G44" i="1"/>
  <c r="G13" i="3" s="1"/>
  <c r="D17" i="1"/>
  <c r="E24" i="9"/>
  <c r="D63" i="1"/>
  <c r="N15" i="8"/>
  <c r="N16" i="8" s="1"/>
  <c r="N19" i="8" s="1"/>
  <c r="H44" i="1"/>
  <c r="R17" i="8"/>
  <c r="R9" i="8"/>
  <c r="W101" i="9"/>
  <c r="K119" i="9"/>
  <c r="Q105" i="9" s="1"/>
  <c r="D125" i="9"/>
  <c r="S9" i="8"/>
  <c r="W100" i="9"/>
  <c r="D22" i="5" l="1"/>
  <c r="M3" i="5"/>
  <c r="F82" i="5"/>
  <c r="M15" i="6"/>
  <c r="M16" i="6"/>
  <c r="G15" i="6"/>
  <c r="G16" i="6"/>
  <c r="C6" i="7"/>
  <c r="H13" i="3"/>
  <c r="F13" i="4"/>
  <c r="H13" i="4" s="1"/>
  <c r="F17" i="7"/>
  <c r="F28" i="4"/>
  <c r="H28" i="4" s="1"/>
  <c r="D13" i="4"/>
  <c r="E17" i="7"/>
  <c r="I5" i="6"/>
  <c r="D17" i="7"/>
  <c r="F24" i="4"/>
  <c r="H24" i="4" s="1"/>
  <c r="D28" i="4"/>
  <c r="C8" i="7"/>
  <c r="F8" i="4"/>
  <c r="H8" i="4" s="1"/>
  <c r="D24" i="4"/>
  <c r="D8" i="4"/>
  <c r="F19" i="1"/>
  <c r="F22" i="1" s="1"/>
  <c r="F30" i="1"/>
  <c r="R34" i="8"/>
  <c r="C22" i="7"/>
  <c r="C24" i="7" s="1"/>
  <c r="C10" i="7"/>
  <c r="E16" i="6"/>
  <c r="E15" i="6"/>
  <c r="F61" i="5"/>
  <c r="F63" i="5" s="1"/>
  <c r="M18" i="8"/>
  <c r="R12" i="8"/>
  <c r="Q106" i="9"/>
  <c r="L104" i="8"/>
  <c r="K120" i="9"/>
  <c r="F100" i="8"/>
  <c r="E28" i="9"/>
  <c r="S110" i="9" s="1"/>
  <c r="D30" i="1"/>
  <c r="D19" i="1"/>
  <c r="D22" i="1" s="1"/>
  <c r="E24" i="1"/>
  <c r="G30" i="1"/>
  <c r="G19" i="1"/>
  <c r="G22" i="1" s="1"/>
  <c r="G63" i="1"/>
  <c r="H19" i="1"/>
  <c r="H22" i="1" s="1"/>
  <c r="H30" i="1"/>
  <c r="H63" i="1"/>
  <c r="I15" i="6" l="1"/>
  <c r="I16" i="6"/>
  <c r="M104" i="8"/>
  <c r="F28" i="9"/>
  <c r="T110" i="9" s="1"/>
  <c r="L120" i="9"/>
  <c r="R105" i="9"/>
  <c r="G100" i="8"/>
  <c r="F24" i="1"/>
  <c r="F26" i="1" s="1"/>
  <c r="S107" i="9"/>
  <c r="M119" i="9"/>
  <c r="N104" i="8"/>
  <c r="H100" i="8"/>
  <c r="G28" i="9"/>
  <c r="U110" i="9" s="1"/>
  <c r="O104" i="8"/>
  <c r="H28" i="9"/>
  <c r="V110" i="9" s="1"/>
  <c r="N119" i="9"/>
  <c r="I100" i="8"/>
  <c r="H19" i="9"/>
  <c r="E26" i="1"/>
  <c r="G19" i="9"/>
  <c r="H24" i="1"/>
  <c r="H26" i="1" s="1"/>
  <c r="D24" i="1"/>
  <c r="D26" i="1" s="1"/>
  <c r="E100" i="8"/>
  <c r="G24" i="1"/>
  <c r="R18" i="8"/>
  <c r="F18" i="7" l="1"/>
  <c r="C59" i="7" s="1"/>
  <c r="E18" i="7"/>
  <c r="C58" i="7" s="1"/>
  <c r="D18" i="7"/>
  <c r="C57" i="7" s="1"/>
  <c r="M105" i="8"/>
  <c r="F30" i="9"/>
  <c r="T112" i="9" s="1"/>
  <c r="G101" i="8"/>
  <c r="L122" i="9"/>
  <c r="F69" i="1"/>
  <c r="F75" i="1" s="1"/>
  <c r="C18" i="7"/>
  <c r="C56" i="7" s="1"/>
  <c r="C21" i="7"/>
  <c r="F19" i="4"/>
  <c r="H19" i="4" s="1"/>
  <c r="D14" i="5"/>
  <c r="H5" i="6"/>
  <c r="F27" i="4"/>
  <c r="H27" i="4" s="1"/>
  <c r="D19" i="4"/>
  <c r="F10" i="4"/>
  <c r="H10" i="4" s="1"/>
  <c r="D10" i="4"/>
  <c r="D12" i="5"/>
  <c r="F18" i="4"/>
  <c r="H18" i="4" s="1"/>
  <c r="D18" i="4"/>
  <c r="C11" i="7"/>
  <c r="D6" i="5"/>
  <c r="D11" i="5" s="1"/>
  <c r="C19" i="7"/>
  <c r="D27" i="4"/>
  <c r="C82" i="7"/>
  <c r="D82" i="7" s="1"/>
  <c r="E82" i="7" s="1"/>
  <c r="F82" i="7" s="1"/>
  <c r="G82" i="7" s="1"/>
  <c r="G26" i="1"/>
  <c r="L31" i="8" s="1"/>
  <c r="K122" i="9"/>
  <c r="F101" i="8"/>
  <c r="Q108" i="9"/>
  <c r="E30" i="9"/>
  <c r="S112" i="9" s="1"/>
  <c r="L105" i="8"/>
  <c r="E69" i="1"/>
  <c r="E75" i="1" s="1"/>
  <c r="C81" i="7"/>
  <c r="D81" i="7" s="1"/>
  <c r="E81" i="7" s="1"/>
  <c r="F81" i="7" s="1"/>
  <c r="G81" i="7" s="1"/>
  <c r="D69" i="1"/>
  <c r="D75" i="1" s="1"/>
  <c r="E101" i="8"/>
  <c r="N121" i="9"/>
  <c r="O105" i="8"/>
  <c r="H30" i="9"/>
  <c r="V112" i="9" s="1"/>
  <c r="I101" i="8"/>
  <c r="H69" i="1"/>
  <c r="H75" i="1" s="1"/>
  <c r="Q33" i="8"/>
  <c r="Q31" i="8"/>
  <c r="F20" i="7" l="1"/>
  <c r="D20" i="7"/>
  <c r="E20" i="7"/>
  <c r="D21" i="7"/>
  <c r="S118" i="8" s="1"/>
  <c r="D19" i="7"/>
  <c r="H31" i="4"/>
  <c r="H32" i="4" s="1"/>
  <c r="E19" i="7"/>
  <c r="E21" i="7"/>
  <c r="F19" i="7"/>
  <c r="F21" i="7"/>
  <c r="H15" i="6"/>
  <c r="H16" i="6"/>
  <c r="D26" i="5"/>
  <c r="D30" i="5" s="1"/>
  <c r="D31" i="5" s="1"/>
  <c r="M4" i="5" s="1"/>
  <c r="F67" i="5"/>
  <c r="R106" i="9"/>
  <c r="F89" i="1"/>
  <c r="F91" i="1" s="1"/>
  <c r="L121" i="9"/>
  <c r="F29" i="9"/>
  <c r="T111" i="9" s="1"/>
  <c r="C80" i="7"/>
  <c r="D80" i="7" s="1"/>
  <c r="E80" i="7" s="1"/>
  <c r="F80" i="7" s="1"/>
  <c r="G80" i="7" s="1"/>
  <c r="J54" i="5"/>
  <c r="H54" i="5"/>
  <c r="F54" i="5"/>
  <c r="D19" i="5"/>
  <c r="D20" i="5" s="1"/>
  <c r="G54" i="5"/>
  <c r="I54" i="5"/>
  <c r="D89" i="1"/>
  <c r="D91" i="1" s="1"/>
  <c r="N120" i="9"/>
  <c r="H29" i="9"/>
  <c r="V111" i="9" s="1"/>
  <c r="H89" i="1"/>
  <c r="H91" i="1" s="1"/>
  <c r="H101" i="8"/>
  <c r="M121" i="9"/>
  <c r="R33" i="8"/>
  <c r="S33" i="8" s="1"/>
  <c r="G30" i="9"/>
  <c r="U112" i="9" s="1"/>
  <c r="N105" i="8"/>
  <c r="G69" i="1"/>
  <c r="G75" i="1" s="1"/>
  <c r="R31" i="8"/>
  <c r="S31" i="8" s="1"/>
  <c r="E29" i="9"/>
  <c r="S111" i="9" s="1"/>
  <c r="Q107" i="9"/>
  <c r="E89" i="1"/>
  <c r="E91" i="1" s="1"/>
  <c r="K121" i="9"/>
  <c r="L33" i="8"/>
  <c r="S120" i="8" l="1"/>
  <c r="S122" i="8"/>
  <c r="S119" i="8"/>
  <c r="S121" i="8"/>
  <c r="E22" i="7"/>
  <c r="C50" i="7" s="1"/>
  <c r="F22" i="7"/>
  <c r="C51" i="7" s="1"/>
  <c r="D22" i="7"/>
  <c r="C49" i="7" s="1"/>
  <c r="F60" i="5"/>
  <c r="G55" i="5"/>
  <c r="D33" i="5"/>
  <c r="F83" i="5"/>
  <c r="T33" i="8"/>
  <c r="T31" i="8"/>
  <c r="G29" i="9"/>
  <c r="U111" i="9" s="1"/>
  <c r="S108" i="9"/>
  <c r="M120" i="9"/>
  <c r="G89" i="1"/>
  <c r="G91" i="1" s="1"/>
  <c r="D24" i="7" l="1"/>
  <c r="S2" i="5"/>
  <c r="U2" i="5"/>
  <c r="T2" i="5"/>
  <c r="R20" i="8"/>
  <c r="G10" i="8"/>
  <c r="E24" i="7"/>
  <c r="F24" i="7"/>
  <c r="G11" i="8"/>
  <c r="H55" i="5"/>
  <c r="G59" i="5"/>
  <c r="G60" i="5" s="1"/>
  <c r="G61" i="5"/>
  <c r="G63" i="5" s="1"/>
  <c r="J6" i="9" l="1"/>
  <c r="AC2" i="9" s="1"/>
  <c r="T8" i="5"/>
  <c r="J9" i="9" s="1"/>
  <c r="K6" i="9"/>
  <c r="I6" i="9"/>
  <c r="Z2" i="5"/>
  <c r="U8" i="5"/>
  <c r="S8" i="5"/>
  <c r="H61" i="5"/>
  <c r="H63" i="5" s="1"/>
  <c r="H59" i="5"/>
  <c r="H60" i="5" s="1"/>
  <c r="I55" i="5"/>
  <c r="W99" i="9" l="1"/>
  <c r="I9" i="9"/>
  <c r="K9" i="9"/>
  <c r="Z8" i="5"/>
  <c r="AB2" i="9"/>
  <c r="V99" i="9"/>
  <c r="AD2" i="9"/>
  <c r="X99" i="9"/>
  <c r="AC5" i="9"/>
  <c r="W102" i="9"/>
  <c r="I59" i="5"/>
  <c r="I60" i="5" s="1"/>
  <c r="J55" i="5"/>
  <c r="I61" i="5"/>
  <c r="I63" i="5" s="1"/>
  <c r="AD5" i="9" l="1"/>
  <c r="X102" i="9"/>
  <c r="AB5" i="9"/>
  <c r="V102" i="9"/>
  <c r="J61" i="5"/>
  <c r="J63" i="5" s="1"/>
  <c r="F64" i="5" s="1"/>
  <c r="F75" i="5" s="1"/>
  <c r="J59" i="5"/>
  <c r="J60" i="5" s="1"/>
  <c r="F70" i="5"/>
  <c r="F71" i="5" s="1"/>
  <c r="F76" i="5" s="1"/>
  <c r="F77" i="5" l="1"/>
  <c r="M5" i="5" l="1"/>
  <c r="F84" i="5"/>
  <c r="F85" i="5" s="1"/>
  <c r="F79" i="5"/>
  <c r="G8" i="8" l="1"/>
  <c r="G9" i="8" s="1"/>
  <c r="M6" i="5"/>
  <c r="F8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E9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FY2022 (~Sept 2022 close). Approximate historical value.</t>
        </r>
      </text>
    </comment>
    <comment ref="F95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FY2023 (~Sept 2023 close). Approximate historical value.</t>
        </r>
      </text>
    </comment>
    <comment ref="G95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Baptiste jeh:
AAPL avg closing price FY2024 (~Sept 2024 close). Approximate historical value.</t>
        </r>
      </text>
    </comment>
    <comment ref="E96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FY2022 (~16.2B). Approximate.</t>
        </r>
      </text>
    </comment>
    <comment ref="F9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FY2023 (~15.8B). Approximate.</t>
        </r>
      </text>
    </comment>
    <comment ref="G96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Baptiste jeh:
AAPL diluted shares outstanding FY2024 (~15.4B). Approximate.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Baptiste jeh</author>
  </authors>
  <commentList>
    <comment ref="C8" authorId="0" shapeId="0" xr:uid="{F6509BF4-E83F-43C9-9EAC-59E009886490}">
      <text>
        <r>
          <rPr>
            <b/>
            <sz val="9"/>
            <color indexed="81"/>
            <rFont val="Tahoma"/>
            <family val="2"/>
          </rPr>
          <t>Baptiste jeh:</t>
        </r>
        <r>
          <rPr>
            <sz val="9"/>
            <color indexed="81"/>
            <rFont val="Tahoma"/>
            <family val="2"/>
          </rPr>
          <t xml:space="preserve">
JPM reported CET1 FY2024 — update manually each period</t>
        </r>
      </text>
    </comment>
  </commentList>
</comments>
</file>

<file path=xl/sharedStrings.xml><?xml version="1.0" encoding="utf-8"?>
<sst xmlns="http://schemas.openxmlformats.org/spreadsheetml/2006/main" count="1469" uniqueCount="731">
  <si>
    <t>INPUT — Raw Data</t>
  </si>
  <si>
    <t>All figures in USD millions unless stated</t>
  </si>
  <si>
    <t>METRIC</t>
  </si>
  <si>
    <t>UNIT</t>
  </si>
  <si>
    <t>2025 (LTM)</t>
  </si>
  <si>
    <t xml:space="preserve"> </t>
  </si>
  <si>
    <t>INPUT</t>
  </si>
  <si>
    <t>Revenue</t>
  </si>
  <si>
    <t>($M)</t>
  </si>
  <si>
    <t>Cost of Goods Sold (COGS)</t>
  </si>
  <si>
    <t>Gross Profit</t>
  </si>
  <si>
    <t>Operating Expenses (SG&amp;A)</t>
  </si>
  <si>
    <t>Research &amp; Development</t>
  </si>
  <si>
    <t>Depreciation &amp; Amortization</t>
  </si>
  <si>
    <t>EBIT (Operating Profit)</t>
  </si>
  <si>
    <t>Interest Expense</t>
  </si>
  <si>
    <t>Interest Income</t>
  </si>
  <si>
    <t>Earnings Before Tax (EBT)</t>
  </si>
  <si>
    <t>Income Tax Expense</t>
  </si>
  <si>
    <t>Net Income</t>
  </si>
  <si>
    <t>Common Dividends</t>
  </si>
  <si>
    <t>EBITDA</t>
  </si>
  <si>
    <t>BALANCE SHEET</t>
  </si>
  <si>
    <t>Cash &amp; Cash Equivalents</t>
  </si>
  <si>
    <t>Accounts Receivable</t>
  </si>
  <si>
    <t>Inventories</t>
  </si>
  <si>
    <t>Other Current Assets</t>
  </si>
  <si>
    <t>Total Current Assets</t>
  </si>
  <si>
    <t>PP&amp;E (Net)</t>
  </si>
  <si>
    <t>Intangible Assets</t>
  </si>
  <si>
    <t>Other Long-Term Assets</t>
  </si>
  <si>
    <t>Total Assets</t>
  </si>
  <si>
    <t>Accounts Payable</t>
  </si>
  <si>
    <t>Short-Term Debt</t>
  </si>
  <si>
    <t>Income Tax Payable</t>
  </si>
  <si>
    <t>Other Current Liabilities</t>
  </si>
  <si>
    <t>Total Current Liabilities</t>
  </si>
  <si>
    <t>Long-Term Debt</t>
  </si>
  <si>
    <t>Total Liabilities</t>
  </si>
  <si>
    <t>Common Equity (Paid-In Capital)</t>
  </si>
  <si>
    <t>Retained Earnings</t>
  </si>
  <si>
    <t>Total Shareholders Equity</t>
  </si>
  <si>
    <t>Total Liabilities &amp; Equity</t>
  </si>
  <si>
    <t>CASH FLOW STATEMENT</t>
  </si>
  <si>
    <t>Change in Accounts Receivable</t>
  </si>
  <si>
    <t>Change in Inventories</t>
  </si>
  <si>
    <t>Change in Accounts Payable</t>
  </si>
  <si>
    <t>Other Working Capital Changes</t>
  </si>
  <si>
    <t>Cash from Operating Activities</t>
  </si>
  <si>
    <t>Capital Expenditures (CapEx)</t>
  </si>
  <si>
    <t>Other Investing Activities</t>
  </si>
  <si>
    <t>Cash from Investing Activities</t>
  </si>
  <si>
    <t>Change in Long-Term Debt</t>
  </si>
  <si>
    <t>Change in Common Equity</t>
  </si>
  <si>
    <t>Dividends Paid</t>
  </si>
  <si>
    <t>Cash from Financing Activities</t>
  </si>
  <si>
    <t>Net Change in Cash</t>
  </si>
  <si>
    <t>Beginning Cash Balance</t>
  </si>
  <si>
    <t>Ending Cash Balance</t>
  </si>
  <si>
    <t>MARKET &amp; VALUATION DATA</t>
  </si>
  <si>
    <t>Share Price</t>
  </si>
  <si>
    <t>($)</t>
  </si>
  <si>
    <t>Shares Outstanding (Diluted)</t>
  </si>
  <si>
    <t>(M)</t>
  </si>
  <si>
    <t>Market Capitalization</t>
  </si>
  <si>
    <t>Enterprise Value (EV)</t>
  </si>
  <si>
    <t>Beta (Levered)</t>
  </si>
  <si>
    <t>(x)</t>
  </si>
  <si>
    <t>Risk-Free Rate</t>
  </si>
  <si>
    <t>(%)</t>
  </si>
  <si>
    <t>Equity Risk Premium (ERP)</t>
  </si>
  <si>
    <t>Cost of Equity (CAPM)</t>
  </si>
  <si>
    <t>Cost of Debt (Pre-Tax)</t>
  </si>
  <si>
    <t>Tax Rate</t>
  </si>
  <si>
    <t>After-Tax Cost of Debt</t>
  </si>
  <si>
    <t>Weight of Equity (%)</t>
  </si>
  <si>
    <t>Weight of Debt (%)</t>
  </si>
  <si>
    <t>WACC</t>
  </si>
  <si>
    <t>Terminal Growth Rate</t>
  </si>
  <si>
    <t>Days in Period</t>
  </si>
  <si>
    <t>(days)</t>
  </si>
  <si>
    <t>COMPANY INFORMATION</t>
  </si>
  <si>
    <t>Company Name</t>
  </si>
  <si>
    <t>(text)</t>
  </si>
  <si>
    <t>JPMorgan Chase &amp; Co.</t>
  </si>
  <si>
    <t>Ticker Symbol</t>
  </si>
  <si>
    <t>JPM</t>
  </si>
  <si>
    <t>Sector / Industry</t>
  </si>
  <si>
    <t>Financial Services</t>
  </si>
  <si>
    <t>Base Year (LTM)</t>
  </si>
  <si>
    <t>Currency</t>
  </si>
  <si>
    <t>USD</t>
  </si>
  <si>
    <t>Units</t>
  </si>
  <si>
    <t>M</t>
  </si>
  <si>
    <t>Analysis Date</t>
  </si>
  <si>
    <t>2026-04-15</t>
  </si>
  <si>
    <t>NOTE: All analytical sheets reference this INPUT sheet only. Enter data in the blue cells (columns D–H).</t>
  </si>
  <si>
    <t>© 2015 to 2024 FinSight</t>
  </si>
  <si>
    <t>This Excel model is for educational purposes only.</t>
  </si>
  <si>
    <t>https://finsight.com/</t>
  </si>
  <si>
    <t>FinSight</t>
  </si>
  <si>
    <t>Year</t>
  </si>
  <si>
    <t>EV / EBITDA</t>
  </si>
  <si>
    <t>EV / Revenue</t>
  </si>
  <si>
    <t>Gross Profit Margin</t>
  </si>
  <si>
    <t>EBITDA Margin</t>
  </si>
  <si>
    <t>Net Profit Margin</t>
  </si>
  <si>
    <t>Return on Equity (ROE)</t>
  </si>
  <si>
    <t>Free Cash Flow (FCF)</t>
  </si>
  <si>
    <t>FCF Margin</t>
  </si>
  <si>
    <t>Dividend Payout Ratio</t>
  </si>
  <si>
    <t>EBITDA ($M)</t>
  </si>
  <si>
    <t>Net Income ($M)</t>
  </si>
  <si>
    <t>COMPONENT</t>
  </si>
  <si>
    <t>ZONE INTERPRETATION</t>
  </si>
  <si>
    <t>ZONE</t>
  </si>
  <si>
    <t>BASE FINANCIAL DATA (from INPUT)</t>
  </si>
  <si>
    <t>Gross Margin</t>
  </si>
  <si>
    <t>Current Share Price</t>
  </si>
  <si>
    <t>Pessimistic</t>
  </si>
  <si>
    <t>Realistic</t>
  </si>
  <si>
    <t>Optimistic</t>
  </si>
  <si>
    <t>Bank of America Corporation</t>
  </si>
  <si>
    <t>BAC</t>
  </si>
  <si>
    <t>Wells Fargo &amp; Company</t>
  </si>
  <si>
    <t>WFC</t>
  </si>
  <si>
    <t>The Goldman Sachs Group, Inc.</t>
  </si>
  <si>
    <t>GS</t>
  </si>
  <si>
    <t>Morgan Stanley</t>
  </si>
  <si>
    <t>MS</t>
  </si>
  <si>
    <t>Citigroup Inc.</t>
  </si>
  <si>
    <t>C</t>
  </si>
  <si>
    <t>Maximum</t>
  </si>
  <si>
    <t>Minimum</t>
  </si>
  <si>
    <t>Implied Upside / (Downside)</t>
  </si>
  <si>
    <t>Company</t>
  </si>
  <si>
    <t>Method</t>
  </si>
  <si>
    <t>Low ($)</t>
  </si>
  <si>
    <t>High ($)</t>
  </si>
  <si>
    <t>EV/EBITDA</t>
  </si>
  <si>
    <t>EV/Revenue</t>
  </si>
  <si>
    <t>P/E</t>
  </si>
  <si>
    <t>SCENARIO ASSUMPTIONS</t>
  </si>
  <si>
    <t>DRIVER</t>
  </si>
  <si>
    <t>Chart Data: EBITDA by Scenario</t>
  </si>
  <si>
    <t>Net Margin</t>
  </si>
  <si>
    <t>Profit Margins</t>
  </si>
  <si>
    <t>Cumulative revenue</t>
  </si>
  <si>
    <t>Expense Breakdown</t>
  </si>
  <si>
    <t>Performance Summary (Five-Year)</t>
  </si>
  <si>
    <t>Income Statement (LTM)</t>
  </si>
  <si>
    <t>5-Yr Avg</t>
  </si>
  <si>
    <t>Trend</t>
  </si>
  <si>
    <t>Actual</t>
  </si>
  <si>
    <t>Prev Year</t>
  </si>
  <si>
    <t>Variance</t>
  </si>
  <si>
    <t>Var %</t>
  </si>
  <si>
    <t>COGS</t>
  </si>
  <si>
    <t>Expenses</t>
  </si>
  <si>
    <t>Net Margin (%)</t>
  </si>
  <si>
    <t>P&amp;L Summary (LTM)</t>
  </si>
  <si>
    <t>Balance Sheet Summary (LTM)</t>
  </si>
  <si>
    <t>Assets</t>
  </si>
  <si>
    <t>Current Assets</t>
  </si>
  <si>
    <t>Non-current Assets</t>
  </si>
  <si>
    <t>SG&amp;A</t>
  </si>
  <si>
    <t>R&amp;D</t>
  </si>
  <si>
    <t>D&amp;A</t>
  </si>
  <si>
    <t>Liabilities</t>
  </si>
  <si>
    <t>Interest</t>
  </si>
  <si>
    <t>Current Liabilities</t>
  </si>
  <si>
    <t>Total Expenses</t>
  </si>
  <si>
    <t>Long-term Liabilities</t>
  </si>
  <si>
    <t>Shareholders' Equity</t>
  </si>
  <si>
    <t>Net Operating Profit</t>
  </si>
  <si>
    <t>Liabilities &amp; Shareholders' Equity</t>
  </si>
  <si>
    <t>Projected Business Performance</t>
  </si>
  <si>
    <t>Football Field Chart — Valuation Inputs</t>
  </si>
  <si>
    <t>All figures in USD Thousands unless stated</t>
  </si>
  <si>
    <t>Delta ($)</t>
  </si>
  <si>
    <t>Company Information</t>
  </si>
  <si>
    <t>52-Week Trading Range</t>
  </si>
  <si>
    <t>Consensus Research</t>
  </si>
  <si>
    <t>Sector</t>
  </si>
  <si>
    <t>Sum-of-the-Parts</t>
  </si>
  <si>
    <t>Discounted Cash Flow</t>
  </si>
  <si>
    <t>Financial Data — Multi-Year</t>
  </si>
  <si>
    <t>Stock Chart: Trailing 52-Weeks</t>
  </si>
  <si>
    <t>Valuation Summary: Football Field Chart</t>
  </si>
  <si>
    <t>Revenue Growth (%)</t>
  </si>
  <si>
    <t>EBITDA Growth (%)</t>
  </si>
  <si>
    <t>Revenue — Products</t>
  </si>
  <si>
    <t>Cost of Revenue (COGS)</t>
  </si>
  <si>
    <t>Total Revenue</t>
  </si>
  <si>
    <t>Cash from Ops (CFO)</t>
  </si>
  <si>
    <t>Total Revenue ($M)</t>
  </si>
  <si>
    <t>Other Financial Metrics ($ Millier)</t>
  </si>
  <si>
    <t>Low</t>
  </si>
  <si>
    <t>Delta</t>
  </si>
  <si>
    <t>High</t>
  </si>
  <si>
    <t>Precedent Trans.</t>
  </si>
  <si>
    <t>CFO</t>
  </si>
  <si>
    <t>CFO ($M)</t>
  </si>
  <si>
    <t>STOCK_DATA — Apple Inc. (AAPL) — Trailing 52 Weeks</t>
  </si>
  <si>
    <t>#</t>
  </si>
  <si>
    <t>Month</t>
  </si>
  <si>
    <t>Close Price ($)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</si>
  <si>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</si>
  <si>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</si>
  <si>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</si>
  <si>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</si>
  <si>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</si>
  <si>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</si>
  <si>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</si>
  <si>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</si>
  <si>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</si>
  <si>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</si>
  <si>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</si>
  <si>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</si>
  <si>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⚠️  Données simulées. Remplacer par données réelles (Bloomberg/FactSet) en colonne B (Mois) et C (Prix).</t>
  </si>
  <si>
    <t>SECTOR_REF — Master Reference Table</t>
  </si>
  <si>
    <t>All ratios, benchmarks, drivers and valuation models by sector profile. Referenced dynamically by RATIOS, SCENARIOS, COMPARABLES, DCF, DASHBOARD.</t>
  </si>
  <si>
    <t>Sector key in INPUT!D116. Supported values listed in column A of each section.</t>
  </si>
  <si>
    <t>SECTION 1 — PROFILE DETECTION</t>
  </si>
  <si>
    <t>INPUT Value (D116)</t>
  </si>
  <si>
    <t>Profile Code</t>
  </si>
  <si>
    <t>Display Name</t>
  </si>
  <si>
    <t>Valuation Model</t>
  </si>
  <si>
    <t>DCF Applicable?</t>
  </si>
  <si>
    <t>BANK</t>
  </si>
  <si>
    <t>Banks &amp; Financial Institutions</t>
  </si>
  <si>
    <t>DDM (Gordon) + Justified P/B</t>
  </si>
  <si>
    <t>NO</t>
  </si>
  <si>
    <t>Insurance</t>
  </si>
  <si>
    <t>INSURANCE</t>
  </si>
  <si>
    <t>Insurers (P&amp;C, Life, Health, Re)</t>
  </si>
  <si>
    <t>P/B anchored ROE or Embedded Value</t>
  </si>
  <si>
    <t>Real Estate</t>
  </si>
  <si>
    <t>REIT</t>
  </si>
  <si>
    <t>REITs &amp; Listed Property</t>
  </si>
  <si>
    <t>NAV + P/FFO multiple</t>
  </si>
  <si>
    <t>Utilities</t>
  </si>
  <si>
    <t>UTILITY</t>
  </si>
  <si>
    <t>Regulated Utilities</t>
  </si>
  <si>
    <t>RAB × sector multiple (SOTP)</t>
  </si>
  <si>
    <t>Energy</t>
  </si>
  <si>
    <t>OIL_GAS</t>
  </si>
  <si>
    <t>Oil &amp; Gas E&amp;P + Integrated</t>
  </si>
  <si>
    <t>NAV 1P+2P reserves</t>
  </si>
  <si>
    <t>Technology</t>
  </si>
  <si>
    <t>TECH</t>
  </si>
  <si>
    <t>Technology / SaaS</t>
  </si>
  <si>
    <t>EV/Rev + EV/FCF exit multiple</t>
  </si>
  <si>
    <t>YES</t>
  </si>
  <si>
    <t>Consumer Discretionary</t>
  </si>
  <si>
    <t>RETAIL</t>
  </si>
  <si>
    <t>Retail / Consumer Discretionary</t>
  </si>
  <si>
    <t>EV/EBITDA growth-adjusted</t>
  </si>
  <si>
    <t>Consumer Staples</t>
  </si>
  <si>
    <t>STAPLES</t>
  </si>
  <si>
    <t>EV/EBITDA + dividend</t>
  </si>
  <si>
    <t>Healthcare</t>
  </si>
  <si>
    <t>PHARMA</t>
  </si>
  <si>
    <t>Pharma / Biotech</t>
  </si>
  <si>
    <t>rNPV pipeline + DCF residual</t>
  </si>
  <si>
    <t>Industrials</t>
  </si>
  <si>
    <t>STANDARD</t>
  </si>
  <si>
    <t>Industrials / Manufacturing</t>
  </si>
  <si>
    <t>DCF 3-phase</t>
  </si>
  <si>
    <t>Communication Services</t>
  </si>
  <si>
    <t>TELECOM</t>
  </si>
  <si>
    <t>Telecom</t>
  </si>
  <si>
    <t>EV/EBITDA + DCF + dividend support</t>
  </si>
  <si>
    <t>Basic Materials</t>
  </si>
  <si>
    <t>METALS</t>
  </si>
  <si>
    <t>Metals &amp; Mining</t>
  </si>
  <si>
    <t>NAV per mine + EV/EBITDA cross-check</t>
  </si>
  <si>
    <t>Airlines</t>
  </si>
  <si>
    <t>AIRLINES</t>
  </si>
  <si>
    <t>EV/EBITDAR + replacement value</t>
  </si>
  <si>
    <t>SECTION 2 — RATIOS P1/P2/P3 BY PROFILE</t>
  </si>
  <si>
    <t>Profile</t>
  </si>
  <si>
    <t>Priority</t>
  </si>
  <si>
    <t>Ratio Name</t>
  </si>
  <si>
    <t>Benchmark Low</t>
  </si>
  <si>
    <t>Benchmark High</t>
  </si>
  <si>
    <t>Unit</t>
  </si>
  <si>
    <t>Notes</t>
  </si>
  <si>
    <t>P1</t>
  </si>
  <si>
    <t>P/TBV</t>
  </si>
  <si>
    <t>x</t>
  </si>
  <si>
    <t>Premium justified if ROE &gt; cost of equity</t>
  </si>
  <si>
    <t>Cycle-dependent</t>
  </si>
  <si>
    <t>ROE</t>
  </si>
  <si>
    <t>%</t>
  </si>
  <si>
    <t>Target 10-15%</t>
  </si>
  <si>
    <t>NIM</t>
  </si>
  <si>
    <t>1.5-3.5% EU, 2.5-4% US</t>
  </si>
  <si>
    <t>CET1 Ratio</t>
  </si>
  <si>
    <t>≥11% Basel III, ≥12.5% SIFI</t>
  </si>
  <si>
    <t>Cost/Income</t>
  </si>
  <si>
    <t>Lower is better</t>
  </si>
  <si>
    <t>P2</t>
  </si>
  <si>
    <t>ROA</t>
  </si>
  <si>
    <t>0.9-1.3%</t>
  </si>
  <si>
    <t>NPL Ratio</t>
  </si>
  <si>
    <t>&lt;3% developed, &lt;1.5% quality</t>
  </si>
  <si>
    <t>Loan/Deposit</t>
  </si>
  <si>
    <t>80-95%</t>
  </si>
  <si>
    <t>Dividend Yield</t>
  </si>
  <si>
    <t>3-7%</t>
  </si>
  <si>
    <t>P3</t>
  </si>
  <si>
    <t>P/PPOP</t>
  </si>
  <si>
    <t>Pre-Provision Operating Profit</t>
  </si>
  <si>
    <t>LCR</t>
  </si>
  <si>
    <t>&gt;100% Basel III minimum</t>
  </si>
  <si>
    <t>NSFR</t>
  </si>
  <si>
    <t>P/B</t>
  </si>
  <si>
    <t>0.8-1.3x P&amp;C, 0.6-1.1x Life</t>
  </si>
  <si>
    <t>Combined Ratio</t>
  </si>
  <si>
    <t>&lt;100% profitable; 94-98% excellent</t>
  </si>
  <si>
    <t>10-15%</t>
  </si>
  <si>
    <t>Solvency II</t>
  </si>
  <si>
    <t>&gt;150% target, &gt;100% minimum</t>
  </si>
  <si>
    <t>Loss Ratio</t>
  </si>
  <si>
    <t>60-70%</t>
  </si>
  <si>
    <t>Expense Ratio</t>
  </si>
  <si>
    <t>25-30%</t>
  </si>
  <si>
    <t>Investment Yield</t>
  </si>
  <si>
    <t>3-5% depending on mix</t>
  </si>
  <si>
    <t>P/EV (Life)</t>
  </si>
  <si>
    <t>Price to Embedded Value, Life only</t>
  </si>
  <si>
    <t>P/FFO</t>
  </si>
  <si>
    <t>Varies by asset quality</t>
  </si>
  <si>
    <t>P/AFFO</t>
  </si>
  <si>
    <t>Closer to real cash flow</t>
  </si>
  <si>
    <t>P/NAV</t>
  </si>
  <si>
    <t>Discount/premium vs assets</t>
  </si>
  <si>
    <t>3-6%</t>
  </si>
  <si>
    <t>Occupancy Rate</t>
  </si>
  <si>
    <t>&gt;92% good, &gt;96% excellent</t>
  </si>
  <si>
    <t>LTV</t>
  </si>
  <si>
    <t>&lt;50% target</t>
  </si>
  <si>
    <t>Same-Store NOI Growth</t>
  </si>
  <si>
    <t>2-5% healthy</t>
  </si>
  <si>
    <t>Regulated, stable earnings</t>
  </si>
  <si>
    <t>8-12x normal</t>
  </si>
  <si>
    <t>P/RAB</t>
  </si>
  <si>
    <t>Regulated Asset Base</t>
  </si>
  <si>
    <t>Yield play</t>
  </si>
  <si>
    <t>Allowed ROE</t>
  </si>
  <si>
    <t>9-10.5% US, 3.5-5% UK/EU</t>
  </si>
  <si>
    <t>FFO/Debt</t>
  </si>
  <si>
    <t>12-18% S&amp;P investment grade</t>
  </si>
  <si>
    <t>EV/DACF</t>
  </si>
  <si>
    <t>Debt-Adjusted Cash Flow</t>
  </si>
  <si>
    <t>EV/EBITDAX</t>
  </si>
  <si>
    <t>EBITDA + Exploration</t>
  </si>
  <si>
    <t>Breakeven WTI</t>
  </si>
  <si>
    <t>$/bbl</t>
  </si>
  <si>
    <t>&lt;$40-50 best in class</t>
  </si>
  <si>
    <t>EV/Production</t>
  </si>
  <si>
    <t>$/BOE/d</t>
  </si>
  <si>
    <t>$30k-60k per BOE/day</t>
  </si>
  <si>
    <t>Net Debt/EBITDAX</t>
  </si>
  <si>
    <t>&lt;1.5x healthy, &gt;2.5x stress</t>
  </si>
  <si>
    <t>5-15x mature, 15-30x hyper-growth</t>
  </si>
  <si>
    <t>Rule of 40</t>
  </si>
  <si>
    <t>&gt;40 healthy, &gt;60 excellent</t>
  </si>
  <si>
    <t>NRR</t>
  </si>
  <si>
    <t>&gt;110% healthy, &gt;120% excellent</t>
  </si>
  <si>
    <t>70-85% SaaS, 60-75% legacy</t>
  </si>
  <si>
    <t>EV/Gross Profit</t>
  </si>
  <si>
    <t>8-25x</t>
  </si>
  <si>
    <t>0-15% growth, 20-35% mature</t>
  </si>
  <si>
    <t>Magic Number</t>
  </si>
  <si>
    <t>&gt;1.0 efficient, &gt;1.5 excellent</t>
  </si>
  <si>
    <t>8-14x retail, 12-18x luxury</t>
  </si>
  <si>
    <t>SSSG (Comp Sales)</t>
  </si>
  <si>
    <t>&gt;3% excellent, 0-2% mature, &lt;0 alert</t>
  </si>
  <si>
    <t>25-35% grocery, 40-50% apparel</t>
  </si>
  <si>
    <t>Inventory Turns</t>
  </si>
  <si>
    <t>4-8x retail, 1-2x luxury</t>
  </si>
  <si>
    <t>EV/Revenue NTM</t>
  </si>
  <si>
    <t>Big Pharma 3-6x</t>
  </si>
  <si>
    <t>R&amp;D / Revenue</t>
  </si>
  <si>
    <t>15-25%</t>
  </si>
  <si>
    <t>70-85%</t>
  </si>
  <si>
    <t>Operating Margin</t>
  </si>
  <si>
    <t>20-35%</t>
  </si>
  <si>
    <t>5-9x</t>
  </si>
  <si>
    <t>FCF Yield</t>
  </si>
  <si>
    <t>6-10%</t>
  </si>
  <si>
    <t>ARPU</t>
  </si>
  <si>
    <t>$</t>
  </si>
  <si>
    <t>$40-60 US post-paid, €15-25 EU</t>
  </si>
  <si>
    <t>Churn</t>
  </si>
  <si>
    <t>%/month</t>
  </si>
  <si>
    <t>&lt;1% monthly post-paid</t>
  </si>
  <si>
    <t>NAV discount 0.8-1.2x</t>
  </si>
  <si>
    <t>EV/EBITDA (spot)</t>
  </si>
  <si>
    <t>4-7x cycle-dependent</t>
  </si>
  <si>
    <t>AISC / unit</t>
  </si>
  <si>
    <t>$/oz</t>
  </si>
  <si>
    <t>Top quartile &lt;$800/oz gold</t>
  </si>
  <si>
    <t>EV/EBITDAR</t>
  </si>
  <si>
    <t>R = Aircraft Rent</t>
  </si>
  <si>
    <t>CASM ex-fuel</t>
  </si>
  <si>
    <t>$/ASM</t>
  </si>
  <si>
    <t>6-9c LCC, 8-12c legacy</t>
  </si>
  <si>
    <t>Load Factor</t>
  </si>
  <si>
    <t>&gt;80% healthy, &gt;85% excellent</t>
  </si>
  <si>
    <t>8-18x</t>
  </si>
  <si>
    <t>15-25x</t>
  </si>
  <si>
    <t>&gt;5% attractive</t>
  </si>
  <si>
    <t>ROIC</t>
  </si>
  <si>
    <t>vs WACC</t>
  </si>
  <si>
    <t>Debt/EBITDA</t>
  </si>
  <si>
    <t>&lt;3x healthy</t>
  </si>
  <si>
    <t>Interest Coverage</t>
  </si>
  <si>
    <t>&gt;5x</t>
  </si>
  <si>
    <t>10-16x staples</t>
  </si>
  <si>
    <t>2.5-5%</t>
  </si>
  <si>
    <t>4-8%</t>
  </si>
  <si>
    <t>SECTION 3 — SCENARIO DRIVERS BY PROFILE</t>
  </si>
  <si>
    <t>Driver Name</t>
  </si>
  <si>
    <t>Bear</t>
  </si>
  <si>
    <t>Base</t>
  </si>
  <si>
    <t>Bull</t>
  </si>
  <si>
    <t>bps</t>
  </si>
  <si>
    <t>%pt delta</t>
  </si>
  <si>
    <t>NPL Provisions</t>
  </si>
  <si>
    <t>% loans</t>
  </si>
  <si>
    <t>ROE Delta</t>
  </si>
  <si>
    <t>%pt</t>
  </si>
  <si>
    <t>Cap Rate</t>
  </si>
  <si>
    <t>Occupancy</t>
  </si>
  <si>
    <t>Capex Plan</t>
  </si>
  <si>
    <t>% delta</t>
  </si>
  <si>
    <t>Oil Price (WTI)</t>
  </si>
  <si>
    <t>Production</t>
  </si>
  <si>
    <t>Hedging</t>
  </si>
  <si>
    <t>% hedged</t>
  </si>
  <si>
    <t>NRR Delta</t>
  </si>
  <si>
    <t>Revenue Growth</t>
  </si>
  <si>
    <t>Rule of 40 Delta</t>
  </si>
  <si>
    <t>pts</t>
  </si>
  <si>
    <t>SSSG</t>
  </si>
  <si>
    <t>Gross Margin Delta</t>
  </si>
  <si>
    <t>Pipeline POS</t>
  </si>
  <si>
    <t>Peak Sales</t>
  </si>
  <si>
    <t>Fuel Cost</t>
  </si>
  <si>
    <t>$/gal delta</t>
  </si>
  <si>
    <t>Commodity Price</t>
  </si>
  <si>
    <t>AISC</t>
  </si>
  <si>
    <t>Exit Multiple</t>
  </si>
  <si>
    <t>x delta</t>
  </si>
  <si>
    <t>ARPU Delta</t>
  </si>
  <si>
    <t>SECTION 4 — DASHBOARD TOP 3 KPIs BY PROFILE</t>
  </si>
  <si>
    <t>KPI 1</t>
  </si>
  <si>
    <t>KPI 2</t>
  </si>
  <si>
    <t>KPI 3</t>
  </si>
  <si>
    <t>CET1</t>
  </si>
  <si>
    <t>FFO Growth</t>
  </si>
  <si>
    <t>Earned ROE</t>
  </si>
  <si>
    <t>RAB Growth</t>
  </si>
  <si>
    <t>Reserve Life</t>
  </si>
  <si>
    <t>R&amp;D/Revenue</t>
  </si>
  <si>
    <t>Pipeline rNPV</t>
  </si>
  <si>
    <t>ARPU Growth</t>
  </si>
  <si>
    <t>SECTION 5 — COMPARABLES COLUMNS BY PROFILE</t>
  </si>
  <si>
    <t>Col1</t>
  </si>
  <si>
    <t>Col2</t>
  </si>
  <si>
    <t>Col3</t>
  </si>
  <si>
    <t>Col4</t>
  </si>
  <si>
    <t>Col5</t>
  </si>
  <si>
    <t>Col6</t>
  </si>
  <si>
    <t>Div Yield</t>
  </si>
  <si>
    <t>NPE Growth</t>
  </si>
  <si>
    <t>Allowed vs Earned ROE</t>
  </si>
  <si>
    <t>Reserves</t>
  </si>
  <si>
    <t>Price/Reserves</t>
  </si>
  <si>
    <t>Breakeven</t>
  </si>
  <si>
    <t>Rev Growth</t>
  </si>
  <si>
    <t>EV/GP</t>
  </si>
  <si>
    <t>Op Margin</t>
  </si>
  <si>
    <t>ASM Growth</t>
  </si>
  <si>
    <t>RASM</t>
  </si>
  <si>
    <t>Fleet Age</t>
  </si>
  <si>
    <t>Subscribers</t>
  </si>
  <si>
    <t>Payout Ratio</t>
  </si>
  <si>
    <t>Revenue Growth YoY</t>
  </si>
  <si>
    <t>ROE (Return on Equity)</t>
  </si>
  <si>
    <t>ROA (Return on Assets)</t>
  </si>
  <si>
    <t>$M</t>
  </si>
  <si>
    <t>Debt / Equity</t>
  </si>
  <si>
    <t>P/E (Price/Earnings)</t>
  </si>
  <si>
    <t>Ticker</t>
  </si>
  <si>
    <t>Net Income LTM ($M)</t>
  </si>
  <si>
    <t>Shares Outstanding (M)</t>
  </si>
  <si>
    <t>Long-Term Growth Rate (g)</t>
  </si>
  <si>
    <t>Sustainable ROE</t>
  </si>
  <si>
    <t>Justified P/B Implied Price ($)</t>
  </si>
  <si>
    <t>Current Price ($)</t>
  </si>
  <si>
    <t>DASHBOARD — Sector-Adaptive Financial Analysis</t>
  </si>
  <si>
    <t>BANK Profile — JPMorgan Chase &amp; Co. | Financial Services</t>
  </si>
  <si>
    <t>Key ratios for bank analysis: P/TBV · ROE vs CoE · NIM · CET1 · Cost/Income · Dividend Yield</t>
  </si>
  <si>
    <t>Note: EV/EBITDA, Debt/EBITDA, Interest Coverage and standard DCF are NOT applicable for banks — see DDM sheet</t>
  </si>
  <si>
    <t>P/TBV (Price / Tangible Book Value)</t>
  </si>
  <si>
    <t>P/E (Price / Earnings)</t>
  </si>
  <si>
    <t>NIM (Net Interest Margin)</t>
  </si>
  <si>
    <t>Cost / Income Ratio</t>
  </si>
  <si>
    <t>Loan / Deposit Ratio</t>
  </si>
  <si>
    <t>⚠️  BANK PROFILE NOTE</t>
  </si>
  <si>
    <t>BANK profile active: EV/EBITDA · Net Debt/EBITDA · Interest Coverage · standard DCF are NOT applicable. Applicable models: P/TBV · DDM Gordon Growth · Justified P/B (ROE-g)/(k-g).</t>
  </si>
  <si>
    <t>▶ BANK MODEL: DDM (Gordon Growth) + Justified P/B — Standard DCF not applicable for banks</t>
  </si>
  <si>
    <t>Common Equity ($M)</t>
  </si>
  <si>
    <t>Cost of Equity — ke (CAPM)</t>
  </si>
  <si>
    <t>Long-Term Growth Rate — g</t>
  </si>
  <si>
    <t>DPS — Dividends Per Share ($)</t>
  </si>
  <si>
    <t>EPS — Earnings Per Share ($)</t>
  </si>
  <si>
    <t>DDM Implied Price — Gordon Growth ($)</t>
  </si>
  <si>
    <t>Retention Ratio (b = 1 − Payout)</t>
  </si>
  <si>
    <t>Sustainable Growth Rate (ROE × b)</t>
  </si>
  <si>
    <t>ROE (LTM)</t>
  </si>
  <si>
    <t>Cost of Equity — ke</t>
  </si>
  <si>
    <t>TBV Per Share ($)</t>
  </si>
  <si>
    <t>Justified P/B Multiple</t>
  </si>
  <si>
    <t>Current Market Price ($)</t>
  </si>
  <si>
    <t>Blended Upside / (Downside)</t>
  </si>
  <si>
    <t>Justified P/B Price ($) — g fixed at 2.5%</t>
  </si>
  <si>
    <t>ke →</t>
  </si>
  <si>
    <t>ROE ↓</t>
  </si>
  <si>
    <t>Base case: ROE=19.6%, ke=10.6%, g=2.5% — Yellow cell = current assumptions</t>
  </si>
  <si>
    <t>RATIOS — Bank Financial Analysis</t>
  </si>
  <si>
    <t>Net Debt / EBITDA (⚠️ N/A for banks — use P/TBV)</t>
  </si>
  <si>
    <t>Interest Coverage (⚠️ N/A for banks — use NIM)</t>
  </si>
  <si>
    <t>TEXAS RATIO — Bank Credit Stress Indicator</t>
  </si>
  <si>
    <t>Measures a bank's ability to absorb credit losses: Texas Ratio = Non-Performing Assets / (Tangible Common Equity + Loan Loss Reserves)</t>
  </si>
  <si>
    <t>Non-Performing Assets (Loans 90+ days past due + OREO)</t>
  </si>
  <si>
    <t>Tangible Common Equity (Equity – Intangibles)</t>
  </si>
  <si>
    <t>Loan Loss Reserves (Allowance for Credit Losses)</t>
  </si>
  <si>
    <t>Total Equity</t>
  </si>
  <si>
    <t>TEXAS RATIO CALCULATION</t>
  </si>
  <si>
    <t>Numerator: Non-Performing Assets ($M)</t>
  </si>
  <si>
    <t>Denominator: Tangible Common Equity + Loan Loss Reserves ($M)</t>
  </si>
  <si>
    <t>TEXAS RATIO</t>
  </si>
  <si>
    <t>Threshold</t>
  </si>
  <si>
    <t>Interpretation</t>
  </si>
  <si>
    <t>✅  SOUND</t>
  </si>
  <si>
    <t>&lt; 0.25x</t>
  </si>
  <si>
    <t>Strong capital buffer — very low credit risk</t>
  </si>
  <si>
    <t>⚠️  WATCH</t>
  </si>
  <si>
    <t>0.25x – 0.75x</t>
  </si>
  <si>
    <t>Elevated NPAs — monitor closely</t>
  </si>
  <si>
    <t>🔴  STRESS</t>
  </si>
  <si>
    <t>0.75x – 1.00x</t>
  </si>
  <si>
    <t>High credit stress — capital at risk</t>
  </si>
  <si>
    <t>🚨  DISTRESS</t>
  </si>
  <si>
    <t>&gt; 1.00x</t>
  </si>
  <si>
    <t>Critical — insolvency risk (100% = bank failure threshold)</t>
  </si>
  <si>
    <t>NOTE: Texas Ratio developed by Gerard Cassidy (1992). Texas Ratio = Non-Performing Assets / (Tangible Common Equity + Loan Loss Reserves). A ratio &gt; 1.0x historically predicts bank failure within 2 years.</t>
  </si>
  <si>
    <t>NPA and LLR figures are estimated from INPUT (1.0% × net loans for NPA; 1.5% × net loans for LLR). For precise values, enter actual NPA and LLR figures directly in rows 8 and 10.</t>
  </si>
  <si>
    <t>CAMELS — Bank Safety &amp; Soundness Assessment</t>
  </si>
  <si>
    <t>CAMELS — Bank Regulatory Safety &amp; Soundness Framework</t>
  </si>
  <si>
    <t>Capital · Asset Quality · Management · Earnings · Liquidity · Sensitivity — Each component scored 1 (Strong) to 5 (Critical)</t>
  </si>
  <si>
    <t>FORMULA / BASIS</t>
  </si>
  <si>
    <t>LTM VALUE</t>
  </si>
  <si>
    <t>BENCHMARK</t>
  </si>
  <si>
    <t>SCORE (1-5)</t>
  </si>
  <si>
    <t>Equity / Total Assets (Leverage Ratio)</t>
  </si>
  <si>
    <t>&gt; 8%  ✅</t>
  </si>
  <si>
    <t>P/TBV (Market Signal of Capital Adequacy)</t>
  </si>
  <si>
    <t>1.0–2.0x ✅</t>
  </si>
  <si>
    <t>ROE vs CoE Spread (Value Creation)</t>
  </si>
  <si>
    <t>&gt; 5%  ✅</t>
  </si>
  <si>
    <t>2–4%  ✅</t>
  </si>
  <si>
    <t>Loan/Deposit Ratio</t>
  </si>
  <si>
    <t>60–85%  ✅</t>
  </si>
  <si>
    <t>Cost / Income Efficiency</t>
  </si>
  <si>
    <t>&lt; 55%  ✅</t>
  </si>
  <si>
    <t>&gt; 10%  ✅</t>
  </si>
  <si>
    <t>&gt; 1%   ✅</t>
  </si>
  <si>
    <t>Dividend Yield (Shareholder Return)</t>
  </si>
  <si>
    <t>2–5%  ✅</t>
  </si>
  <si>
    <t>Loan / Deposit Ratio (Funding Stability)</t>
  </si>
  <si>
    <t>Cash / Total Assets (Liquidity Buffer)</t>
  </si>
  <si>
    <t>&gt; 3%   ✅</t>
  </si>
  <si>
    <t>P/TBV Premium vs Justified P/B</t>
  </si>
  <si>
    <t>&lt; 1.3x ✅</t>
  </si>
  <si>
    <t>&gt; 2.5  ✅</t>
  </si>
  <si>
    <t>COMPOSITE CAMELS SCORE</t>
  </si>
  <si>
    <t>1–5</t>
  </si>
  <si>
    <t>COMPOSITE RATING</t>
  </si>
  <si>
    <t>NIM Sensitivity (Earnings at Risk)</t>
  </si>
  <si>
    <t>Average Score (all components, excl. M)</t>
  </si>
  <si>
    <t>NOTE: CAMELS is the primary regulatory framework used by the FDIC, OCC, and Federal Reserve for bank safety &amp; soundness examinations.</t>
  </si>
  <si>
    <t>Scores here are quantitative approximations based on public financial data. The M (Management) component requires qualitative judgment and is not auto-scored.</t>
  </si>
  <si>
    <t>Value = Book Value Today + PV(Excess Returns Y1–Y5) + PV(Terminal Value)   |   Excess Return = (ROE − ke) × Book Value each year</t>
  </si>
  <si>
    <t>Y1</t>
  </si>
  <si>
    <t>Y2</t>
  </si>
  <si>
    <t>Y3</t>
  </si>
  <si>
    <t>Y4</t>
  </si>
  <si>
    <t>Y5</t>
  </si>
  <si>
    <t>ROE — Projected (declining to normalized)</t>
  </si>
  <si>
    <t>Cost of Equity — ke (constant)</t>
  </si>
  <si>
    <t>Dividend Payout Ratio (constant)</t>
  </si>
  <si>
    <t>Book Value Per Share — Beginning of Year ($)</t>
  </si>
  <si>
    <t>LINE ITEM</t>
  </si>
  <si>
    <t>EPS — Projected (ROE × Book Value)</t>
  </si>
  <si>
    <t>DPS — Projected (EPS × Payout)</t>
  </si>
  <si>
    <t>Excess Return/Share = (ROE − ke) × BV</t>
  </si>
  <si>
    <t>Discount Factor = 1 / (1+ke)^t</t>
  </si>
  <si>
    <t>PV of Excess Return/Share</t>
  </si>
  <si>
    <t>∑ PV Excess Returns — Phase 1</t>
  </si>
  <si>
    <t>Normalized ROE (Phase 2 — stable)</t>
  </si>
  <si>
    <t>Terminal Growth Rate — g</t>
  </si>
  <si>
    <t>Book Value/Share — Year 6 (start of stable phase)</t>
  </si>
  <si>
    <t>Terminal Value/Share (at Year 5)</t>
  </si>
  <si>
    <t>Book Value/Share Today (anchor)</t>
  </si>
  <si>
    <t>+ PV of Phase 1 Excess Returns</t>
  </si>
  <si>
    <t>+ PV of Terminal Value (Phase 2)</t>
  </si>
  <si>
    <t>EXCESS RETURN MODEL — IMPLIED PRICE SUMMARY</t>
  </si>
  <si>
    <t>= EXCESS RETURN IMPLIED PRICE</t>
  </si>
  <si>
    <t>Current Market Price</t>
  </si>
  <si>
    <t>SECTION 3 (UPDATED) — BLENDED VALUATION — 3 METHODS</t>
  </si>
  <si>
    <t>DDM Gordon Growth Implied Price ($)</t>
  </si>
  <si>
    <t>Excess Return Model Implied Price ($)</t>
  </si>
  <si>
    <t>BLENDED PRICE — Equal Weight 3 Methods ($)</t>
  </si>
  <si>
    <t>NOTE: ROE inputs E55:I55 sont modifiables (bleu). ROE normalisée E70 = 80% du ROE LTM par défaut. Excess Return Model = méthode standard IB pour la valorisation des banques (Damodaran, 2012).</t>
  </si>
  <si>
    <t>DDM Gordon Growth</t>
  </si>
  <si>
    <t>Justified P/B</t>
  </si>
  <si>
    <t>Blended (3 Methods)</t>
  </si>
  <si>
    <t>Excess Return Model</t>
  </si>
  <si>
    <t>Pre-marker</t>
  </si>
  <si>
    <t>Marker</t>
  </si>
  <si>
    <t>Post-marker</t>
  </si>
  <si>
    <t>COMPARABLES — Bank Peer Analysis</t>
  </si>
  <si>
    <t>BANK peers — P/TBV · ROE · NIM · Cost/Income · CET1 · NPL Ratio · Dividend Yield · P/E</t>
  </si>
  <si>
    <t>Price ($)</t>
  </si>
  <si>
    <t>Mkt Cap ($B)</t>
  </si>
  <si>
    <t>Rating</t>
  </si>
  <si>
    <t>—</t>
  </si>
  <si>
    <t>PEER STATISTICS</t>
  </si>
  <si>
    <t>Mean (ex-JPM)</t>
  </si>
  <si>
    <t>Median (ex-JPM)</t>
  </si>
  <si>
    <t>JPM — PEER-IMPLIED VALUATION (P/TBV)</t>
  </si>
  <si>
    <t>Peer Median P/TBV</t>
  </si>
  <si>
    <t>JPM TBV/Share ($)</t>
  </si>
  <si>
    <t>Implied Price — P/TBV ($)</t>
  </si>
  <si>
    <t>NOTE: Complete columns C–M for peer companies (grey cells). Implied valuation auto-calculates from peer median P/TBV once data is entered. NIM = (Interest Income − Interest Expense) / Total Assets.</t>
  </si>
  <si>
    <t>SCENARIOS — Bank Stress &amp; Upside Analysis</t>
  </si>
  <si>
    <t>BANK profile — NIM sensitivity · Credit stress (NPL/provisions) · Cost/Income efficiency · DDM-implied price per scenario</t>
  </si>
  <si>
    <t>BASE (LTM)</t>
  </si>
  <si>
    <t>BEAR</t>
  </si>
  <si>
    <t>BASE</t>
  </si>
  <si>
    <t>BULL</t>
  </si>
  <si>
    <t>Net Interest Margin (NIM)</t>
  </si>
  <si>
    <t>Cost/Income Ratio (CIR)</t>
  </si>
  <si>
    <t>NPL Provision Rate (% of Loans)</t>
  </si>
  <si>
    <t>Loan Growth (YoY)</t>
  </si>
  <si>
    <t>CET1 Capital Ratio</t>
  </si>
  <si>
    <t>SCENARIO OUTPUTS — DDM-IMPLIED VALUATION</t>
  </si>
  <si>
    <t>LTM ACTUAL</t>
  </si>
  <si>
    <t>Implied Net Interest Income ($M)</t>
  </si>
  <si>
    <t>Implied Net Income ($M)</t>
  </si>
  <si>
    <t>EPS ($)</t>
  </si>
  <si>
    <t>DPS ($)</t>
  </si>
  <si>
    <t>⬆ BULL</t>
  </si>
  <si>
    <t>→ BASE</t>
  </si>
  <si>
    <t>⬇ BEAR</t>
  </si>
  <si>
    <t>NOTE: Net Income in scenarios is a simplified estimate — NII × (1−CIR) × (1−effective tax proxy). For full precision, update INPUT sheet assumptions. DDM implied price uses scenario-specific DPS, ke, and g.</t>
  </si>
  <si>
    <t>Current Price</t>
  </si>
  <si>
    <t>LTM DDM</t>
  </si>
  <si>
    <t>DDM Implied Price ($/share)</t>
  </si>
  <si>
    <t>BANK VALUATION — DDM · Justified P/B · Excess Return Model</t>
  </si>
  <si>
    <t>0.8x – 1.8x</t>
  </si>
  <si>
    <t>8% – 18%</t>
  </si>
  <si>
    <t>12% – 16%</t>
  </si>
  <si>
    <t>2.0% – 4.0%</t>
  </si>
  <si>
    <t>45% – 65%</t>
  </si>
  <si>
    <t>2% – 5%</t>
  </si>
  <si>
    <t>Comps Implied</t>
  </si>
  <si>
    <t>Model Implied</t>
  </si>
  <si>
    <t>Upside / (Down)</t>
  </si>
  <si>
    <t>DDM (Bear)</t>
  </si>
  <si>
    <t>DDM (Bull)</t>
  </si>
  <si>
    <t>FCF</t>
  </si>
  <si>
    <t>Net Debt</t>
  </si>
  <si>
    <t>Market Cap</t>
  </si>
  <si>
    <t>Equity</t>
  </si>
  <si>
    <t>TBV/Share</t>
  </si>
  <si>
    <t>EPS</t>
  </si>
  <si>
    <t xml:space="preserve">  VALUATION</t>
  </si>
  <si>
    <t xml:space="preserve">  KEY FINANCIALS (LTM)</t>
  </si>
  <si>
    <t xml:space="preserve">Métrique </t>
  </si>
  <si>
    <t>Financial Data</t>
  </si>
  <si>
    <t>ROE vs Cost of Equity</t>
  </si>
  <si>
    <t>Period</t>
  </si>
  <si>
    <t>ke</t>
  </si>
  <si>
    <t>LTM</t>
  </si>
  <si>
    <t>PriceX</t>
  </si>
  <si>
    <t>PriceY</t>
  </si>
  <si>
    <t>TERMINAL VALUE (Stable Growth Phase)</t>
  </si>
  <si>
    <t>EXCESS RETURN PROJECTION (Years 1–5)</t>
  </si>
  <si>
    <t>ASSUMPTIONS (Years 1–5)</t>
  </si>
  <si>
    <t>Left Grey</t>
  </si>
  <si>
    <t>Blue Bar</t>
  </si>
  <si>
    <t>Right Grey</t>
  </si>
  <si>
    <t>_unused</t>
  </si>
  <si>
    <t>DDM (Gordon Growth Model)</t>
  </si>
  <si>
    <t>DDM OUTPUTS</t>
  </si>
  <si>
    <t>JUSTIFIED P/B MODEL (Damodaran)</t>
  </si>
  <si>
    <t>SENSITIVITY: Justified P/B Implied Price vs ROE × Cost of Equity</t>
  </si>
  <si>
    <t>EXCESS RETURN MODEL (Damodaran) — Bank Standard IB Valuation</t>
  </si>
  <si>
    <t>LeftGrey</t>
  </si>
  <si>
    <t>Blue</t>
  </si>
  <si>
    <t>RightGrey</t>
  </si>
  <si>
    <t>CAPITAL ADEQUACY</t>
  </si>
  <si>
    <t>ASSET QUALITY</t>
  </si>
  <si>
    <t>EARNINGS</t>
  </si>
  <si>
    <t>LIQUIDITY</t>
  </si>
  <si>
    <t>SENSITIVITY TO MARKET RISK</t>
  </si>
  <si>
    <t>CRITICAL BANK RATIOS</t>
  </si>
  <si>
    <t>IMPORTANT BANK RATIOS</t>
  </si>
  <si>
    <t>UNIVERSAL RATIOS — All Profiles</t>
  </si>
  <si>
    <t>DDM Implied Price by Scenario</t>
  </si>
  <si>
    <t>Scenario</t>
  </si>
  <si>
    <t>DDM Implied Price ($)</t>
  </si>
  <si>
    <t>Net Income by Scenario</t>
  </si>
  <si>
    <t>LTM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</si>
</sst>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#,##0\ &quot;€&quot;;[Red]\-#,##0\ &quot;€&quot;"/>
    <numFmt numFmtId="43" formatCode="_-* #,##0.00_-;\-* #,##0.00_-;_-* &quot;-&quot;??_-;_-@_-"/>
    <numFmt numFmtId="164" formatCode="_(#,##0_);\(#,##0\);_(&quot;–&quot;_);_(@_)"/>
    <numFmt numFmtId="165" formatCode="_(0.000_);\(0.000\);_(&quot;–&quot;_);_(@_)"/>
    <numFmt numFmtId="166" formatCode="0.0%"/>
    <numFmt numFmtId="167" formatCode="_(* #,##0_);_(* \(#,##0\);_(* &quot;-&quot;??_);_(@_)"/>
    <numFmt numFmtId="168" formatCode="_(#,##0%_);\(#,##0%\);_(&quot;–&quot;_);_(@_)"/>
    <numFmt numFmtId="169" formatCode="0.0\x"/>
    <numFmt numFmtId="170" formatCode="&quot;€&quot;#,##0.00"/>
    <numFmt numFmtId="171" formatCode="0.000"/>
    <numFmt numFmtId="172" formatCode="&quot;€&quot;#,##0"/>
    <numFmt numFmtId="173" formatCode="0.00\x"/>
    <numFmt numFmtId="174" formatCode="_(&quot;$&quot;* #,##0.00_);_(&quot;$&quot;* \(#,##0.00\);_(&quot;$&quot;* &quot;-&quot;??_);_(@_)"/>
    <numFmt numFmtId="175" formatCode="0.00&quot;x&quot;"/>
    <numFmt numFmtId="176" formatCode="0.0&quot;x&quot;"/>
    <numFmt numFmtId="177" formatCode="#,##0.0"/>
    <numFmt numFmtId="178" formatCode="&quot;€&quot;#,##0.0"/>
    <numFmt numFmtId="179" formatCode="[$-409]&quot;€&quot;#,##0.00"/>
    <numFmt numFmtId="180" formatCode="_-* #,##0.0_-;\-* #,##0.0_-;_-* &quot;-&quot;??_-;_-@_-"/>
  </numFmts>
  <fonts count="113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132E57"/>
      <name val="Open Sans"/>
      <family val="2"/>
    </font>
    <font>
      <sz val="9"/>
      <color rgb="FFFFFFFF"/>
      <name val="Open Sans"/>
      <family val="2"/>
    </font>
    <font>
      <sz val="10"/>
      <color theme="1"/>
      <name val="Open Sans"/>
      <family val="2"/>
    </font>
    <font>
      <b/>
      <sz val="10"/>
      <color rgb="FFFFFFFF"/>
      <name val="Open Sans"/>
      <family val="2"/>
    </font>
    <font>
      <b/>
      <sz val="10"/>
      <color rgb="FF3271D2"/>
      <name val="Open Sans"/>
      <family val="2"/>
    </font>
    <font>
      <sz val="10"/>
      <color rgb="FF3271D2"/>
      <name val="Open Sans"/>
      <family val="2"/>
    </font>
    <font>
      <b/>
      <sz val="10"/>
      <color theme="1"/>
      <name val="Open Sans"/>
      <family val="2"/>
    </font>
    <font>
      <i/>
      <sz val="10"/>
      <color rgb="FF595959"/>
      <name val="Open Sans"/>
      <family val="2"/>
    </font>
    <font>
      <sz val="10"/>
      <color rgb="FFFFFFFF"/>
      <name val="Open Sans"/>
      <family val="2"/>
    </font>
    <font>
      <b/>
      <sz val="10"/>
      <color rgb="FF000000"/>
      <name val="Open Sans"/>
      <family val="2"/>
    </font>
    <font>
      <sz val="9"/>
      <color rgb="FF000000"/>
      <name val="Open Sans"/>
      <family val="2"/>
    </font>
    <font>
      <b/>
      <sz val="14"/>
      <color rgb="FF3271D2"/>
      <name val="Open Sans"/>
      <family val="2"/>
    </font>
    <font>
      <sz val="8"/>
      <color rgb="FF595959"/>
      <name val="Open Sans"/>
      <family val="2"/>
    </font>
    <font>
      <b/>
      <sz val="8"/>
      <color rgb="FF595959"/>
      <name val="Open Sans"/>
      <family val="2"/>
    </font>
    <font>
      <i/>
      <sz val="9"/>
      <color rgb="FF000000"/>
      <name val="Open Sans"/>
      <family val="2"/>
    </font>
    <font>
      <b/>
      <sz val="14"/>
      <color rgb="FF3271D2"/>
      <name val="Aptos Narrow"/>
      <family val="2"/>
      <scheme val="minor"/>
    </font>
    <font>
      <sz val="10"/>
      <color rgb="FF132E57"/>
      <name val="Open Sans"/>
      <family val="2"/>
    </font>
    <font>
      <i/>
      <sz val="9"/>
      <color rgb="FF595959"/>
      <name val="Open Sans"/>
      <family val="2"/>
    </font>
    <font>
      <b/>
      <sz val="11"/>
      <color rgb="FF132E57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Open Sans"/>
      <family val="2"/>
    </font>
    <font>
      <b/>
      <sz val="10"/>
      <color rgb="FF000000"/>
      <name val="Open Sans"/>
      <family val="2"/>
    </font>
    <font>
      <b/>
      <sz val="10"/>
      <color rgb="FFFFFFFF"/>
      <name val="Open Sans"/>
      <family val="2"/>
    </font>
    <font>
      <b/>
      <sz val="18"/>
      <color rgb="FFFFFFFF"/>
      <name val="Open Sans"/>
      <family val="2"/>
    </font>
    <font>
      <sz val="10"/>
      <color rgb="FF3271D2"/>
      <name val="Open Sans"/>
      <family val="2"/>
    </font>
    <font>
      <b/>
      <sz val="12"/>
      <color rgb="FF000000"/>
      <name val="Open Sans"/>
      <family val="2"/>
    </font>
    <font>
      <b/>
      <sz val="14"/>
      <color rgb="FF3271D2"/>
      <name val="Open Sans"/>
      <family val="2"/>
    </font>
    <font>
      <sz val="10"/>
      <color theme="1"/>
      <name val="Open Sans"/>
      <family val="2"/>
    </font>
    <font>
      <sz val="10"/>
      <color rgb="FF0000FF"/>
      <name val="Open Sans"/>
      <family val="2"/>
    </font>
    <font>
      <sz val="10"/>
      <color rgb="FF000000"/>
      <name val="Aptos Narrow"/>
      <family val="2"/>
      <scheme val="minor"/>
    </font>
    <font>
      <sz val="11"/>
      <name val="Open Sans"/>
      <family val="2"/>
    </font>
    <font>
      <u/>
      <sz val="10"/>
      <color theme="10"/>
      <name val="Arial"/>
      <family val="2"/>
    </font>
    <font>
      <sz val="11"/>
      <color theme="1"/>
      <name val="Open Sans"/>
      <family val="2"/>
    </font>
    <font>
      <sz val="10"/>
      <name val="Arial"/>
      <family val="2"/>
    </font>
    <font>
      <sz val="14"/>
      <color theme="1"/>
      <name val="Open Sans"/>
      <family val="2"/>
    </font>
    <font>
      <b/>
      <sz val="10"/>
      <color theme="1"/>
      <name val="Open Sans"/>
      <family val="2"/>
    </font>
    <font>
      <i/>
      <sz val="9"/>
      <color theme="1"/>
      <name val="Aptos Narrow"/>
      <family val="2"/>
      <scheme val="minor"/>
    </font>
    <font>
      <i/>
      <sz val="9"/>
      <color theme="1"/>
      <name val="Open Sans"/>
      <family val="2"/>
    </font>
    <font>
      <sz val="11"/>
      <color rgb="FFFFFFFF"/>
      <name val="Open Sans"/>
      <family val="2"/>
    </font>
    <font>
      <b/>
      <sz val="10"/>
      <color rgb="FF000000"/>
      <name val="Aptos Narrow"/>
      <family val="2"/>
      <scheme val="minor"/>
    </font>
    <font>
      <sz val="10"/>
      <color rgb="FF3271D2"/>
      <name val="Aptos Narrow"/>
      <family val="2"/>
      <scheme val="minor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sz val="12"/>
      <color rgb="FF000000"/>
      <name val="Open Sans"/>
      <family val="2"/>
    </font>
    <font>
      <sz val="12"/>
      <color theme="0" tint="-0.499984740745262"/>
      <name val="Open Sans"/>
      <family val="2"/>
    </font>
    <font>
      <sz val="12"/>
      <color theme="1" tint="0.499984740745262"/>
      <name val="Open Sans"/>
      <family val="2"/>
    </font>
    <font>
      <i/>
      <sz val="9"/>
      <color rgb="FFA3A3A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theme="0"/>
      <name val="Open Sans"/>
      <family val="2"/>
    </font>
    <font>
      <sz val="12"/>
      <color theme="0"/>
      <name val="Open Sans"/>
      <family val="2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"/>
      <color rgb="FFFFFFFF"/>
      <name val="Aptos Narrow"/>
      <family val="2"/>
      <scheme val="minor"/>
    </font>
    <font>
      <sz val="8"/>
      <color theme="0"/>
      <name val="Open Sans"/>
      <family val="2"/>
    </font>
    <font>
      <b/>
      <sz val="10"/>
      <color theme="0"/>
      <name val="Open Sans"/>
      <family val="2"/>
    </font>
    <font>
      <sz val="10"/>
      <color theme="0"/>
      <name val="Open Sans"/>
      <family val="2"/>
    </font>
    <font>
      <sz val="10"/>
      <name val="Open Sans"/>
      <family val="2"/>
    </font>
    <font>
      <sz val="11"/>
      <color rgb="FF000000"/>
      <name val="Open Sans"/>
      <family val="2"/>
    </font>
    <font>
      <b/>
      <sz val="10"/>
      <color rgb="FF1A1A2E"/>
      <name val="Open Sans"/>
      <family val="2"/>
    </font>
    <font>
      <sz val="10"/>
      <color rgb="FF1A1A2E"/>
      <name val="Open Sans"/>
      <family val="2"/>
    </font>
    <font>
      <sz val="10"/>
      <color rgb="FF555555"/>
      <name val="Open Sans"/>
      <family val="2"/>
    </font>
    <font>
      <sz val="10"/>
      <color rgb="FF1A1A2E"/>
      <name val="Aptos Narrow"/>
      <family val="2"/>
      <scheme val="minor"/>
    </font>
    <font>
      <b/>
      <sz val="10"/>
      <color rgb="FF1A1A2E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9"/>
      <color rgb="FF555555"/>
      <name val="Aptos Narrow"/>
      <family val="2"/>
      <scheme val="minor"/>
    </font>
    <font>
      <b/>
      <sz val="12"/>
      <color rgb="FFFFFFFF"/>
      <name val="Open Sans"/>
    </font>
    <font>
      <sz val="11"/>
      <color theme="1"/>
      <name val="Open Sans"/>
    </font>
    <font>
      <b/>
      <sz val="10"/>
      <color rgb="FFFFFFFF"/>
      <name val="Open Sans"/>
    </font>
    <font>
      <b/>
      <sz val="18"/>
      <color rgb="FFFFFFFF"/>
      <name val="Open Sans"/>
    </font>
    <font>
      <b/>
      <sz val="14"/>
      <color rgb="FF3271D2"/>
      <name val="Open Sans"/>
    </font>
    <font>
      <i/>
      <sz val="9"/>
      <color rgb="FF000000"/>
      <name val="Open Sans"/>
    </font>
    <font>
      <i/>
      <sz val="9"/>
      <color rgb="FF595959"/>
      <name val="Open Sans"/>
    </font>
    <font>
      <b/>
      <sz val="10"/>
      <color rgb="FF132E57"/>
      <name val="Open Sans"/>
    </font>
    <font>
      <b/>
      <sz val="10"/>
      <color rgb="FF3271D2"/>
      <name val="Open Sans"/>
    </font>
    <font>
      <b/>
      <sz val="10"/>
      <color rgb="FF7F6000"/>
      <name val="Open Sans"/>
    </font>
    <font>
      <sz val="10"/>
      <color rgb="FF000000"/>
      <name val="Open Sans"/>
    </font>
    <font>
      <sz val="8"/>
      <color rgb="FF595959"/>
      <name val="Open Sans"/>
    </font>
    <font>
      <sz val="10"/>
      <color rgb="FF888888"/>
      <name val="Open Sans"/>
    </font>
    <font>
      <b/>
      <sz val="10"/>
      <color rgb="FF000000"/>
      <name val="Open Sans"/>
    </font>
    <font>
      <b/>
      <sz val="9"/>
      <color rgb="FF3271D2"/>
      <name val="Open Sans"/>
    </font>
    <font>
      <b/>
      <sz val="12"/>
      <color rgb="FFFFFFFF"/>
      <name val="Open Sans"/>
      <family val="2"/>
    </font>
    <font>
      <sz val="9"/>
      <color rgb="FF595959"/>
      <name val="Open Sans"/>
      <family val="2"/>
    </font>
    <font>
      <i/>
      <sz val="9"/>
      <color rgb="FF3271D2"/>
      <name val="Open Sans"/>
    </font>
    <font>
      <sz val="10"/>
      <color rgb="FF595959"/>
      <name val="Open Sans"/>
    </font>
    <font>
      <sz val="10"/>
      <color rgb="FF3271D2"/>
      <name val="Open Sans"/>
    </font>
    <font>
      <sz val="10"/>
      <color rgb="FFAAAAAA"/>
      <name val="Open Sans"/>
    </font>
    <font>
      <i/>
      <sz val="10"/>
      <color rgb="FFAAAAAA"/>
      <name val="Open Sans"/>
    </font>
    <font>
      <sz val="9"/>
      <color rgb="FF595959"/>
      <name val="Open Sans"/>
    </font>
    <font>
      <b/>
      <sz val="10"/>
      <color rgb="FFC00000"/>
      <name val="Open Sans"/>
    </font>
    <font>
      <b/>
      <sz val="10"/>
      <color rgb="FF375623"/>
      <name val="Open Sans"/>
    </font>
    <font>
      <b/>
      <sz val="9"/>
      <color rgb="FF375623"/>
      <name val="Open Sans"/>
    </font>
    <font>
      <b/>
      <sz val="9"/>
      <color rgb="FFC00000"/>
      <name val="Open Sans"/>
    </font>
    <font>
      <i/>
      <sz val="9"/>
      <color rgb="FF3271D2"/>
      <name val="Open Sans"/>
      <family val="2"/>
    </font>
    <font>
      <sz val="9"/>
      <color rgb="FF888888"/>
      <name val="Open Sans"/>
      <family val="2"/>
    </font>
    <font>
      <sz val="10"/>
      <color rgb="FF1F2D3D"/>
      <name val="Open Sans"/>
      <family val="2"/>
    </font>
    <font>
      <sz val="10"/>
      <color rgb="FFFFFFFF"/>
      <name val="Open Sans"/>
    </font>
    <font>
      <b/>
      <i/>
      <sz val="10"/>
      <color rgb="FF3271D2"/>
      <name val="Open Sans"/>
    </font>
    <font>
      <b/>
      <sz val="13"/>
      <color theme="0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Open Sans"/>
      <family val="2"/>
    </font>
    <font>
      <sz val="10"/>
      <name val="Open Sans"/>
    </font>
    <font>
      <sz val="11"/>
      <name val="Aptos Narrow"/>
      <family val="2"/>
      <scheme val="minor"/>
    </font>
    <font>
      <b/>
      <sz val="10"/>
      <name val="Open Sans"/>
    </font>
  </fonts>
  <fills count="18">
    <fill>
      <patternFill patternType="none"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BF0FA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F2"/>
        <bgColor indexed="64"/>
      </patternFill>
    </fill>
    <fill>
      <patternFill patternType="solid">
        <fgColor rgb="FFF2FFF2"/>
        <bgColor indexed="64"/>
      </patternFill>
    </fill>
    <fill>
      <patternFill patternType="solid">
        <fgColor rgb="FF3271D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23" fillId="0" borderId="0"/>
    <xf numFmtId="0" fontId="23" fillId="0" borderId="0"/>
    <xf numFmtId="0" fontId="37" fillId="0" borderId="0"/>
    <xf numFmtId="0" fontId="39" fillId="0" borderId="0"/>
    <xf numFmtId="174" fontId="23" fillId="0" borderId="0"/>
    <xf numFmtId="9" fontId="23" fillId="0" borderId="0"/>
    <xf numFmtId="0" fontId="23" fillId="0" borderId="0"/>
  </cellStyleXfs>
  <cellXfs count="374">
    <xf numFmtId="0" fontId="0" fillId="0" borderId="0" xfId="0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6" borderId="0" xfId="0" applyFont="1" applyFill="1"/>
    <xf numFmtId="0" fontId="15" fillId="2" borderId="0" xfId="0" applyFont="1" applyFill="1"/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5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0" borderId="0" xfId="0" applyFont="1" applyAlignment="1">
      <alignment horizontal="left" indent="1"/>
    </xf>
    <xf numFmtId="0" fontId="0" fillId="0" borderId="0" xfId="0" applyAlignment="1">
      <alignment horizontal="left"/>
    </xf>
    <xf numFmtId="0" fontId="1" fillId="6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5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7" fillId="6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12" fillId="4" borderId="0" xfId="0" applyFont="1" applyFill="1" applyAlignment="1">
      <alignment horizontal="left"/>
    </xf>
    <xf numFmtId="49" fontId="1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/>
    </xf>
    <xf numFmtId="0" fontId="19" fillId="2" borderId="0" xfId="0" applyFont="1" applyFill="1" applyAlignment="1">
      <alignment horizontal="right"/>
    </xf>
    <xf numFmtId="0" fontId="15" fillId="2" borderId="0" xfId="0" applyFont="1" applyFill="1" applyAlignment="1">
      <alignment horizontal="center"/>
    </xf>
    <xf numFmtId="3" fontId="15" fillId="2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1" fillId="7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49" fontId="1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 indent="1"/>
    </xf>
    <xf numFmtId="0" fontId="3" fillId="7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13" fillId="7" borderId="0" xfId="0" applyFont="1" applyFill="1" applyAlignment="1">
      <alignment horizontal="right"/>
    </xf>
    <xf numFmtId="0" fontId="13" fillId="7" borderId="0" xfId="0" applyFont="1" applyFill="1"/>
    <xf numFmtId="0" fontId="6" fillId="7" borderId="0" xfId="0" applyFont="1" applyFill="1"/>
    <xf numFmtId="0" fontId="3" fillId="7" borderId="0" xfId="0" applyFont="1" applyFill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center"/>
    </xf>
    <xf numFmtId="0" fontId="10" fillId="7" borderId="0" xfId="0" applyFont="1" applyFill="1" applyAlignment="1">
      <alignment horizontal="left"/>
    </xf>
    <xf numFmtId="1" fontId="13" fillId="5" borderId="0" xfId="0" applyNumberFormat="1" applyFont="1" applyFill="1" applyAlignment="1">
      <alignment horizontal="right"/>
    </xf>
    <xf numFmtId="0" fontId="4" fillId="3" borderId="0" xfId="0" applyFont="1" applyFill="1" applyAlignment="1">
      <alignment horizontal="left" indent="1"/>
    </xf>
    <xf numFmtId="0" fontId="0" fillId="7" borderId="0" xfId="0" applyFill="1"/>
    <xf numFmtId="0" fontId="19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8" fillId="6" borderId="0" xfId="0" applyFont="1" applyFill="1" applyAlignment="1">
      <alignment horizontal="right"/>
    </xf>
    <xf numFmtId="0" fontId="29" fillId="6" borderId="0" xfId="0" applyFont="1" applyFill="1" applyAlignment="1">
      <alignment horizontal="left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/>
    <xf numFmtId="0" fontId="15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3" fontId="15" fillId="0" borderId="0" xfId="0" applyNumberFormat="1" applyFont="1" applyAlignment="1">
      <alignment horizontal="right"/>
    </xf>
    <xf numFmtId="0" fontId="32" fillId="2" borderId="0" xfId="0" applyFont="1" applyFill="1"/>
    <xf numFmtId="0" fontId="0" fillId="2" borderId="0" xfId="0" applyFill="1"/>
    <xf numFmtId="0" fontId="36" fillId="0" borderId="0" xfId="2" applyFont="1"/>
    <xf numFmtId="0" fontId="38" fillId="0" borderId="0" xfId="2" applyFont="1"/>
    <xf numFmtId="0" fontId="33" fillId="0" borderId="0" xfId="2" applyFont="1"/>
    <xf numFmtId="37" fontId="40" fillId="0" borderId="0" xfId="2" applyNumberFormat="1" applyFont="1" applyAlignment="1">
      <alignment vertical="center"/>
    </xf>
    <xf numFmtId="0" fontId="42" fillId="0" borderId="0" xfId="0" applyFont="1"/>
    <xf numFmtId="0" fontId="43" fillId="0" borderId="0" xfId="0" applyFont="1"/>
    <xf numFmtId="0" fontId="41" fillId="0" borderId="0" xfId="0" applyFont="1"/>
    <xf numFmtId="0" fontId="41" fillId="0" borderId="0" xfId="0" applyFont="1" applyAlignment="1">
      <alignment horizontal="left"/>
    </xf>
    <xf numFmtId="0" fontId="38" fillId="7" borderId="0" xfId="0" applyFont="1" applyFill="1"/>
    <xf numFmtId="0" fontId="33" fillId="0" borderId="0" xfId="0" applyFont="1"/>
    <xf numFmtId="0" fontId="44" fillId="6" borderId="0" xfId="0" applyFont="1" applyFill="1"/>
    <xf numFmtId="0" fontId="43" fillId="7" borderId="0" xfId="0" applyFont="1" applyFill="1"/>
    <xf numFmtId="0" fontId="41" fillId="0" borderId="0" xfId="0" applyFont="1" applyAlignment="1">
      <alignment horizontal="center"/>
    </xf>
    <xf numFmtId="167" fontId="47" fillId="0" borderId="0" xfId="1" applyNumberFormat="1" applyFont="1"/>
    <xf numFmtId="0" fontId="2" fillId="0" borderId="0" xfId="0" applyFont="1"/>
    <xf numFmtId="0" fontId="33" fillId="0" borderId="0" xfId="0" applyFont="1" applyAlignment="1">
      <alignment horizontal="left"/>
    </xf>
    <xf numFmtId="0" fontId="52" fillId="7" borderId="0" xfId="0" applyFont="1" applyFill="1"/>
    <xf numFmtId="0" fontId="35" fillId="0" borderId="0" xfId="0" applyFont="1" applyAlignment="1">
      <alignment horizontal="left"/>
    </xf>
    <xf numFmtId="10" fontId="0" fillId="0" borderId="0" xfId="0" applyNumberFormat="1"/>
    <xf numFmtId="0" fontId="25" fillId="6" borderId="0" xfId="0" applyFont="1" applyFill="1"/>
    <xf numFmtId="0" fontId="24" fillId="3" borderId="0" xfId="0" applyFont="1" applyFill="1"/>
    <xf numFmtId="0" fontId="54" fillId="0" borderId="0" xfId="0" applyFont="1"/>
    <xf numFmtId="0" fontId="47" fillId="0" borderId="0" xfId="0" applyFont="1"/>
    <xf numFmtId="0" fontId="27" fillId="0" borderId="0" xfId="0" applyFont="1" applyAlignment="1">
      <alignment vertical="center"/>
    </xf>
    <xf numFmtId="0" fontId="49" fillId="0" borderId="0" xfId="0" applyFont="1"/>
    <xf numFmtId="0" fontId="27" fillId="0" borderId="0" xfId="0" applyFont="1"/>
    <xf numFmtId="0" fontId="48" fillId="0" borderId="0" xfId="0" applyFont="1" applyAlignment="1">
      <alignment horizontal="right"/>
    </xf>
    <xf numFmtId="37" fontId="47" fillId="0" borderId="0" xfId="0" applyNumberFormat="1" applyFont="1" applyAlignment="1">
      <alignment vertical="top"/>
    </xf>
    <xf numFmtId="0" fontId="50" fillId="0" borderId="0" xfId="0" applyFont="1" applyAlignment="1">
      <alignment horizontal="right"/>
    </xf>
    <xf numFmtId="167" fontId="51" fillId="0" borderId="0" xfId="0" applyNumberFormat="1" applyFont="1"/>
    <xf numFmtId="168" fontId="36" fillId="0" borderId="0" xfId="2" applyNumberFormat="1" applyFont="1" applyAlignment="1">
      <alignment horizontal="right"/>
    </xf>
    <xf numFmtId="0" fontId="26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55" fillId="0" borderId="0" xfId="2" applyFont="1"/>
    <xf numFmtId="0" fontId="56" fillId="0" borderId="0" xfId="0" applyFont="1"/>
    <xf numFmtId="167" fontId="56" fillId="0" borderId="0" xfId="0" applyNumberFormat="1" applyFont="1"/>
    <xf numFmtId="43" fontId="0" fillId="0" borderId="0" xfId="1" applyFont="1"/>
    <xf numFmtId="0" fontId="44" fillId="0" borderId="0" xfId="0" applyFont="1"/>
    <xf numFmtId="0" fontId="27" fillId="7" borderId="5" xfId="0" applyFont="1" applyFill="1" applyBorder="1" applyAlignment="1">
      <alignment horizontal="centerContinuous"/>
    </xf>
    <xf numFmtId="0" fontId="0" fillId="7" borderId="5" xfId="0" applyFill="1" applyBorder="1" applyAlignment="1">
      <alignment horizontal="centerContinuous"/>
    </xf>
    <xf numFmtId="0" fontId="53" fillId="0" borderId="0" xfId="0" applyFont="1"/>
    <xf numFmtId="0" fontId="57" fillId="0" borderId="0" xfId="0" applyFont="1"/>
    <xf numFmtId="0" fontId="16" fillId="7" borderId="0" xfId="0" applyFont="1" applyFill="1" applyAlignment="1">
      <alignment horizontal="center"/>
    </xf>
    <xf numFmtId="6" fontId="4" fillId="3" borderId="0" xfId="0" applyNumberFormat="1" applyFont="1" applyFill="1" applyAlignment="1">
      <alignment horizontal="left"/>
    </xf>
    <xf numFmtId="0" fontId="12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3" fontId="9" fillId="9" borderId="0" xfId="0" applyNumberFormat="1" applyFont="1" applyFill="1" applyAlignment="1">
      <alignment horizontal="right"/>
    </xf>
    <xf numFmtId="3" fontId="30" fillId="9" borderId="1" xfId="0" applyNumberFormat="1" applyFont="1" applyFill="1" applyBorder="1" applyAlignment="1">
      <alignment horizontal="right"/>
    </xf>
    <xf numFmtId="3" fontId="9" fillId="9" borderId="1" xfId="0" applyNumberFormat="1" applyFont="1" applyFill="1" applyBorder="1" applyAlignment="1">
      <alignment horizontal="right"/>
    </xf>
    <xf numFmtId="3" fontId="26" fillId="9" borderId="0" xfId="0" applyNumberFormat="1" applyFont="1" applyFill="1" applyAlignment="1">
      <alignment horizontal="right"/>
    </xf>
    <xf numFmtId="3" fontId="30" fillId="9" borderId="0" xfId="0" applyNumberFormat="1" applyFont="1" applyFill="1" applyAlignment="1">
      <alignment horizontal="right"/>
    </xf>
    <xf numFmtId="3" fontId="34" fillId="9" borderId="0" xfId="0" applyNumberFormat="1" applyFont="1" applyFill="1" applyAlignment="1">
      <alignment horizontal="right"/>
    </xf>
    <xf numFmtId="14" fontId="9" fillId="9" borderId="0" xfId="0" applyNumberFormat="1" applyFont="1" applyFill="1" applyAlignment="1">
      <alignment horizontal="right"/>
    </xf>
    <xf numFmtId="3" fontId="6" fillId="9" borderId="0" xfId="0" applyNumberFormat="1" applyFont="1" applyFill="1" applyAlignment="1">
      <alignment horizontal="right"/>
    </xf>
    <xf numFmtId="3" fontId="27" fillId="9" borderId="0" xfId="0" applyNumberFormat="1" applyFont="1" applyFill="1" applyAlignment="1">
      <alignment horizontal="right"/>
    </xf>
    <xf numFmtId="3" fontId="27" fillId="9" borderId="3" xfId="0" applyNumberFormat="1" applyFont="1" applyFill="1" applyBorder="1" applyAlignment="1">
      <alignment horizontal="right"/>
    </xf>
    <xf numFmtId="3" fontId="26" fillId="9" borderId="1" xfId="0" applyNumberFormat="1" applyFont="1" applyFill="1" applyBorder="1" applyAlignment="1">
      <alignment horizontal="right"/>
    </xf>
    <xf numFmtId="166" fontId="3" fillId="9" borderId="0" xfId="0" applyNumberFormat="1" applyFont="1" applyFill="1" applyAlignment="1">
      <alignment horizontal="right"/>
    </xf>
    <xf numFmtId="0" fontId="0" fillId="9" borderId="0" xfId="0" applyFill="1"/>
    <xf numFmtId="164" fontId="3" fillId="9" borderId="0" xfId="0" applyNumberFormat="1" applyFont="1" applyFill="1" applyAlignment="1">
      <alignment horizontal="right"/>
    </xf>
    <xf numFmtId="0" fontId="30" fillId="9" borderId="0" xfId="0" applyFont="1" applyFill="1" applyAlignment="1">
      <alignment horizontal="right"/>
    </xf>
    <xf numFmtId="14" fontId="30" fillId="9" borderId="0" xfId="0" applyNumberFormat="1" applyFont="1" applyFill="1" applyAlignment="1">
      <alignment horizontal="right"/>
    </xf>
    <xf numFmtId="43" fontId="35" fillId="9" borderId="2" xfId="1" applyFont="1" applyFill="1" applyBorder="1"/>
    <xf numFmtId="43" fontId="46" fillId="9" borderId="0" xfId="1" applyFont="1" applyFill="1"/>
    <xf numFmtId="43" fontId="35" fillId="9" borderId="0" xfId="1" applyFont="1" applyFill="1"/>
    <xf numFmtId="0" fontId="45" fillId="9" borderId="6" xfId="0" applyFont="1" applyFill="1" applyBorder="1" applyAlignment="1">
      <alignment horizontal="right"/>
    </xf>
    <xf numFmtId="10" fontId="2" fillId="9" borderId="0" xfId="0" applyNumberFormat="1" applyFont="1" applyFill="1" applyAlignment="1">
      <alignment horizontal="right"/>
    </xf>
    <xf numFmtId="43" fontId="46" fillId="9" borderId="0" xfId="1" applyFont="1" applyFill="1" applyAlignment="1">
      <alignment horizontal="right"/>
    </xf>
    <xf numFmtId="43" fontId="35" fillId="9" borderId="0" xfId="1" applyFont="1" applyFill="1" applyAlignment="1">
      <alignment horizontal="right"/>
    </xf>
    <xf numFmtId="43" fontId="2" fillId="9" borderId="2" xfId="1" applyFont="1" applyFill="1" applyBorder="1" applyAlignment="1">
      <alignment horizontal="right"/>
    </xf>
    <xf numFmtId="170" fontId="0" fillId="9" borderId="0" xfId="0" applyNumberFormat="1" applyFill="1"/>
    <xf numFmtId="0" fontId="57" fillId="0" borderId="0" xfId="0" applyFont="1" applyAlignment="1">
      <alignment horizontal="right"/>
    </xf>
    <xf numFmtId="0" fontId="58" fillId="0" borderId="0" xfId="0" applyFont="1" applyAlignment="1">
      <alignment horizontal="left"/>
    </xf>
    <xf numFmtId="0" fontId="59" fillId="7" borderId="0" xfId="0" applyFont="1" applyFill="1"/>
    <xf numFmtId="0" fontId="59" fillId="7" borderId="0" xfId="0" applyFont="1" applyFill="1" applyAlignment="1">
      <alignment horizontal="left"/>
    </xf>
    <xf numFmtId="0" fontId="59" fillId="7" borderId="0" xfId="0" applyFont="1" applyFill="1" applyAlignment="1">
      <alignment horizontal="right"/>
    </xf>
    <xf numFmtId="171" fontId="3" fillId="9" borderId="0" xfId="0" applyNumberFormat="1" applyFont="1" applyFill="1" applyAlignment="1">
      <alignment horizontal="right"/>
    </xf>
    <xf numFmtId="49" fontId="4" fillId="3" borderId="0" xfId="0" applyNumberFormat="1" applyFont="1" applyFill="1" applyAlignment="1">
      <alignment horizontal="left"/>
    </xf>
    <xf numFmtId="3" fontId="66" fillId="7" borderId="0" xfId="0" applyNumberFormat="1" applyFont="1" applyFill="1" applyAlignment="1">
      <alignment horizontal="right"/>
    </xf>
    <xf numFmtId="3" fontId="65" fillId="7" borderId="3" xfId="0" applyNumberFormat="1" applyFont="1" applyFill="1" applyBorder="1" applyAlignment="1">
      <alignment horizontal="right"/>
    </xf>
    <xf numFmtId="10" fontId="66" fillId="7" borderId="0" xfId="0" applyNumberFormat="1" applyFont="1" applyFill="1" applyAlignment="1">
      <alignment horizontal="right"/>
    </xf>
    <xf numFmtId="0" fontId="67" fillId="7" borderId="0" xfId="0" applyFont="1" applyFill="1" applyAlignment="1">
      <alignment horizontal="right"/>
    </xf>
    <xf numFmtId="0" fontId="63" fillId="7" borderId="8" xfId="0" applyFont="1" applyFill="1" applyBorder="1" applyAlignment="1">
      <alignment horizontal="left"/>
    </xf>
    <xf numFmtId="0" fontId="63" fillId="7" borderId="0" xfId="0" applyFont="1" applyFill="1" applyAlignment="1">
      <alignment horizontal="left"/>
    </xf>
    <xf numFmtId="0" fontId="65" fillId="8" borderId="0" xfId="0" applyFont="1" applyFill="1" applyAlignment="1">
      <alignment horizontal="right"/>
    </xf>
    <xf numFmtId="0" fontId="66" fillId="8" borderId="0" xfId="0" applyFont="1" applyFill="1" applyAlignment="1">
      <alignment horizontal="right"/>
    </xf>
    <xf numFmtId="3" fontId="65" fillId="8" borderId="0" xfId="0" applyNumberFormat="1" applyFont="1" applyFill="1" applyAlignment="1">
      <alignment horizontal="right"/>
    </xf>
    <xf numFmtId="3" fontId="66" fillId="8" borderId="4" xfId="0" applyNumberFormat="1" applyFont="1" applyFill="1" applyBorder="1" applyAlignment="1">
      <alignment horizontal="right"/>
    </xf>
    <xf numFmtId="3" fontId="66" fillId="8" borderId="0" xfId="0" applyNumberFormat="1" applyFont="1" applyFill="1" applyAlignment="1">
      <alignment horizontal="right"/>
    </xf>
    <xf numFmtId="0" fontId="1" fillId="0" borderId="0" xfId="0" applyFont="1"/>
    <xf numFmtId="3" fontId="9" fillId="0" borderId="0" xfId="0" applyNumberFormat="1" applyFont="1" applyAlignment="1">
      <alignment horizontal="right"/>
    </xf>
    <xf numFmtId="2" fontId="9" fillId="0" borderId="0" xfId="0" applyNumberFormat="1" applyFont="1" applyAlignment="1">
      <alignment horizontal="right"/>
    </xf>
    <xf numFmtId="2" fontId="9" fillId="9" borderId="0" xfId="0" applyNumberFormat="1" applyFont="1" applyFill="1" applyAlignment="1">
      <alignment horizontal="right"/>
    </xf>
    <xf numFmtId="10" fontId="9" fillId="0" borderId="0" xfId="0" applyNumberFormat="1" applyFont="1" applyAlignment="1">
      <alignment horizontal="right"/>
    </xf>
    <xf numFmtId="10" fontId="9" fillId="9" borderId="0" xfId="0" applyNumberFormat="1" applyFont="1" applyFill="1" applyAlignment="1">
      <alignment horizontal="right"/>
    </xf>
    <xf numFmtId="10" fontId="26" fillId="9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left"/>
    </xf>
    <xf numFmtId="43" fontId="68" fillId="9" borderId="2" xfId="1" applyFont="1" applyFill="1" applyBorder="1"/>
    <xf numFmtId="43" fontId="68" fillId="9" borderId="0" xfId="1" applyFont="1" applyFill="1"/>
    <xf numFmtId="43" fontId="69" fillId="9" borderId="0" xfId="1" applyFont="1" applyFill="1"/>
    <xf numFmtId="0" fontId="65" fillId="0" borderId="0" xfId="0" applyFont="1" applyAlignment="1">
      <alignment horizontal="center"/>
    </xf>
    <xf numFmtId="0" fontId="0" fillId="10" borderId="0" xfId="0" applyFill="1"/>
    <xf numFmtId="0" fontId="55" fillId="10" borderId="0" xfId="2" applyFont="1" applyFill="1"/>
    <xf numFmtId="0" fontId="38" fillId="10" borderId="0" xfId="2" applyFont="1" applyFill="1"/>
    <xf numFmtId="0" fontId="56" fillId="10" borderId="0" xfId="0" applyFont="1" applyFill="1"/>
    <xf numFmtId="0" fontId="36" fillId="10" borderId="0" xfId="2" applyFont="1" applyFill="1"/>
    <xf numFmtId="0" fontId="33" fillId="10" borderId="0" xfId="2" applyFont="1" applyFill="1"/>
    <xf numFmtId="0" fontId="44" fillId="7" borderId="0" xfId="2" applyFont="1" applyFill="1"/>
    <xf numFmtId="0" fontId="71" fillId="11" borderId="0" xfId="0" applyFont="1" applyFill="1"/>
    <xf numFmtId="0" fontId="72" fillId="12" borderId="0" xfId="0" applyFont="1" applyFill="1"/>
    <xf numFmtId="0" fontId="25" fillId="13" borderId="0" xfId="0" applyFont="1" applyFill="1"/>
    <xf numFmtId="0" fontId="24" fillId="14" borderId="0" xfId="0" applyFont="1" applyFill="1"/>
    <xf numFmtId="4" fontId="0" fillId="0" borderId="0" xfId="0" applyNumberFormat="1"/>
    <xf numFmtId="0" fontId="74" fillId="0" borderId="0" xfId="0" applyFont="1"/>
    <xf numFmtId="0" fontId="75" fillId="6" borderId="0" xfId="0" applyFont="1" applyFill="1"/>
    <xf numFmtId="0" fontId="76" fillId="6" borderId="0" xfId="0" applyFont="1" applyFill="1"/>
    <xf numFmtId="0" fontId="77" fillId="2" borderId="0" xfId="0" applyFont="1" applyFill="1"/>
    <xf numFmtId="0" fontId="78" fillId="7" borderId="0" xfId="0" applyFont="1" applyFill="1"/>
    <xf numFmtId="0" fontId="79" fillId="7" borderId="0" xfId="0" applyFont="1" applyFill="1"/>
    <xf numFmtId="0" fontId="80" fillId="3" borderId="0" xfId="0" applyFont="1" applyFill="1"/>
    <xf numFmtId="0" fontId="80" fillId="3" borderId="0" xfId="0" applyFont="1" applyFill="1" applyAlignment="1">
      <alignment horizontal="center"/>
    </xf>
    <xf numFmtId="0" fontId="81" fillId="2" borderId="0" xfId="0" applyFont="1" applyFill="1"/>
    <xf numFmtId="0" fontId="83" fillId="7" borderId="0" xfId="0" applyFont="1" applyFill="1"/>
    <xf numFmtId="0" fontId="84" fillId="7" borderId="0" xfId="0" applyFont="1" applyFill="1" applyAlignment="1">
      <alignment horizontal="center"/>
    </xf>
    <xf numFmtId="175" fontId="83" fillId="9" borderId="0" xfId="0" applyNumberFormat="1" applyFont="1" applyFill="1" applyAlignment="1">
      <alignment horizontal="right"/>
    </xf>
    <xf numFmtId="166" fontId="83" fillId="9" borderId="0" xfId="0" applyNumberFormat="1" applyFont="1" applyFill="1" applyAlignment="1">
      <alignment horizontal="right"/>
    </xf>
    <xf numFmtId="10" fontId="83" fillId="9" borderId="0" xfId="0" applyNumberFormat="1" applyFont="1" applyFill="1" applyAlignment="1">
      <alignment horizontal="right"/>
    </xf>
    <xf numFmtId="3" fontId="74" fillId="0" borderId="0" xfId="0" applyNumberFormat="1" applyFont="1"/>
    <xf numFmtId="3" fontId="83" fillId="9" borderId="0" xfId="0" applyNumberFormat="1" applyFont="1" applyFill="1" applyAlignment="1">
      <alignment horizontal="right"/>
    </xf>
    <xf numFmtId="173" fontId="83" fillId="9" borderId="0" xfId="0" applyNumberFormat="1" applyFont="1" applyFill="1" applyAlignment="1">
      <alignment horizontal="right"/>
    </xf>
    <xf numFmtId="0" fontId="85" fillId="7" borderId="0" xfId="0" applyFont="1" applyFill="1" applyAlignment="1">
      <alignment horizontal="right"/>
    </xf>
    <xf numFmtId="177" fontId="83" fillId="9" borderId="0" xfId="0" applyNumberFormat="1" applyFont="1" applyFill="1" applyAlignment="1">
      <alignment horizontal="right"/>
    </xf>
    <xf numFmtId="170" fontId="83" fillId="9" borderId="0" xfId="0" applyNumberFormat="1" applyFont="1" applyFill="1" applyAlignment="1">
      <alignment horizontal="right"/>
    </xf>
    <xf numFmtId="170" fontId="86" fillId="9" borderId="0" xfId="0" applyNumberFormat="1" applyFont="1" applyFill="1" applyAlignment="1">
      <alignment horizontal="right"/>
    </xf>
    <xf numFmtId="0" fontId="83" fillId="9" borderId="0" xfId="0" applyFont="1" applyFill="1"/>
    <xf numFmtId="175" fontId="86" fillId="9" borderId="0" xfId="0" applyNumberFormat="1" applyFont="1" applyFill="1" applyAlignment="1">
      <alignment horizontal="right"/>
    </xf>
    <xf numFmtId="166" fontId="86" fillId="9" borderId="0" xfId="0" applyNumberFormat="1" applyFont="1" applyFill="1" applyAlignment="1">
      <alignment horizontal="right"/>
    </xf>
    <xf numFmtId="166" fontId="80" fillId="3" borderId="0" xfId="0" applyNumberFormat="1" applyFont="1" applyFill="1" applyAlignment="1">
      <alignment horizontal="center"/>
    </xf>
    <xf numFmtId="0" fontId="12" fillId="7" borderId="0" xfId="0" applyFont="1" applyFill="1"/>
    <xf numFmtId="0" fontId="11" fillId="7" borderId="0" xfId="0" applyFont="1" applyFill="1"/>
    <xf numFmtId="0" fontId="21" fillId="7" borderId="0" xfId="0" applyFont="1" applyFill="1"/>
    <xf numFmtId="0" fontId="8" fillId="2" borderId="0" xfId="0" applyFont="1" applyFill="1"/>
    <xf numFmtId="0" fontId="29" fillId="6" borderId="0" xfId="0" applyFont="1" applyFill="1"/>
    <xf numFmtId="10" fontId="6" fillId="7" borderId="0" xfId="0" applyNumberFormat="1" applyFont="1" applyFill="1"/>
    <xf numFmtId="0" fontId="3" fillId="9" borderId="0" xfId="0" applyFont="1" applyFill="1" applyAlignment="1">
      <alignment horizontal="right"/>
    </xf>
    <xf numFmtId="10" fontId="3" fillId="9" borderId="0" xfId="0" applyNumberFormat="1" applyFont="1" applyFill="1" applyAlignment="1">
      <alignment horizontal="right"/>
    </xf>
    <xf numFmtId="0" fontId="13" fillId="9" borderId="0" xfId="0" applyFont="1" applyFill="1" applyAlignment="1">
      <alignment horizontal="right"/>
    </xf>
    <xf numFmtId="0" fontId="18" fillId="7" borderId="0" xfId="0" applyFont="1" applyFill="1"/>
    <xf numFmtId="0" fontId="38" fillId="3" borderId="0" xfId="0" applyFont="1" applyFill="1"/>
    <xf numFmtId="165" fontId="13" fillId="9" borderId="0" xfId="0" applyNumberFormat="1" applyFont="1" applyFill="1" applyAlignment="1">
      <alignment horizontal="right"/>
    </xf>
    <xf numFmtId="0" fontId="14" fillId="7" borderId="0" xfId="0" applyFont="1" applyFill="1"/>
    <xf numFmtId="0" fontId="89" fillId="7" borderId="0" xfId="0" applyFont="1" applyFill="1"/>
    <xf numFmtId="173" fontId="3" fillId="9" borderId="0" xfId="0" applyNumberFormat="1" applyFont="1" applyFill="1" applyAlignment="1">
      <alignment horizontal="right"/>
    </xf>
    <xf numFmtId="2" fontId="13" fillId="9" borderId="0" xfId="0" applyNumberFormat="1" applyFont="1" applyFill="1" applyAlignment="1">
      <alignment horizontal="right"/>
    </xf>
    <xf numFmtId="10" fontId="3" fillId="9" borderId="0" xfId="0" applyNumberFormat="1" applyFont="1" applyFill="1"/>
    <xf numFmtId="0" fontId="83" fillId="0" borderId="0" xfId="0" applyFont="1" applyAlignment="1">
      <alignment horizontal="right"/>
    </xf>
    <xf numFmtId="0" fontId="75" fillId="0" borderId="0" xfId="0" applyFont="1"/>
    <xf numFmtId="0" fontId="77" fillId="0" borderId="0" xfId="0" applyFont="1"/>
    <xf numFmtId="0" fontId="81" fillId="0" borderId="0" xfId="0" applyFont="1"/>
    <xf numFmtId="0" fontId="80" fillId="0" borderId="0" xfId="0" applyFont="1"/>
    <xf numFmtId="172" fontId="81" fillId="0" borderId="0" xfId="0" applyNumberFormat="1" applyFont="1"/>
    <xf numFmtId="0" fontId="73" fillId="6" borderId="0" xfId="0" applyFont="1" applyFill="1"/>
    <xf numFmtId="0" fontId="90" fillId="2" borderId="0" xfId="0" applyFont="1" applyFill="1"/>
    <xf numFmtId="0" fontId="74" fillId="7" borderId="0" xfId="0" applyFont="1" applyFill="1"/>
    <xf numFmtId="0" fontId="86" fillId="9" borderId="0" xfId="0" applyFont="1" applyFill="1"/>
    <xf numFmtId="0" fontId="86" fillId="7" borderId="0" xfId="0" applyFont="1" applyFill="1"/>
    <xf numFmtId="166" fontId="81" fillId="2" borderId="0" xfId="0" applyNumberFormat="1" applyFont="1" applyFill="1"/>
    <xf numFmtId="0" fontId="95" fillId="7" borderId="0" xfId="0" applyFont="1" applyFill="1"/>
    <xf numFmtId="0" fontId="98" fillId="16" borderId="0" xfId="0" applyFont="1" applyFill="1" applyAlignment="1">
      <alignment horizontal="center"/>
    </xf>
    <xf numFmtId="0" fontId="87" fillId="2" borderId="0" xfId="0" applyFont="1" applyFill="1" applyAlignment="1">
      <alignment horizontal="center"/>
    </xf>
    <xf numFmtId="0" fontId="99" fillId="15" borderId="0" xfId="0" applyFont="1" applyFill="1" applyAlignment="1">
      <alignment horizontal="center"/>
    </xf>
    <xf numFmtId="0" fontId="88" fillId="6" borderId="0" xfId="0" applyFont="1" applyFill="1"/>
    <xf numFmtId="0" fontId="12" fillId="17" borderId="0" xfId="0" applyFont="1" applyFill="1"/>
    <xf numFmtId="0" fontId="100" fillId="2" borderId="0" xfId="0" applyFont="1" applyFill="1"/>
    <xf numFmtId="166" fontId="83" fillId="0" borderId="0" xfId="0" applyNumberFormat="1" applyFont="1" applyAlignment="1">
      <alignment horizontal="right"/>
    </xf>
    <xf numFmtId="170" fontId="83" fillId="0" borderId="0" xfId="0" applyNumberFormat="1" applyFont="1" applyAlignment="1">
      <alignment horizontal="right"/>
    </xf>
    <xf numFmtId="0" fontId="13" fillId="7" borderId="5" xfId="0" applyFont="1" applyFill="1" applyBorder="1" applyAlignment="1">
      <alignment horizontal="centerContinuous"/>
    </xf>
    <xf numFmtId="0" fontId="6" fillId="7" borderId="0" xfId="0" applyFont="1" applyFill="1" applyAlignment="1">
      <alignment horizontal="center"/>
    </xf>
    <xf numFmtId="0" fontId="3" fillId="7" borderId="5" xfId="0" applyFont="1" applyFill="1" applyBorder="1" applyAlignment="1">
      <alignment horizontal="centerContinuous"/>
    </xf>
    <xf numFmtId="0" fontId="6" fillId="7" borderId="8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right"/>
    </xf>
    <xf numFmtId="3" fontId="63" fillId="8" borderId="0" xfId="0" applyNumberFormat="1" applyFont="1" applyFill="1" applyAlignment="1">
      <alignment horizontal="right"/>
    </xf>
    <xf numFmtId="3" fontId="3" fillId="9" borderId="0" xfId="1" applyNumberFormat="1" applyFont="1" applyFill="1"/>
    <xf numFmtId="10" fontId="66" fillId="8" borderId="0" xfId="0" applyNumberFormat="1" applyFont="1" applyFill="1" applyAlignment="1">
      <alignment horizontal="right"/>
    </xf>
    <xf numFmtId="1" fontId="62" fillId="0" borderId="0" xfId="0" applyNumberFormat="1" applyFont="1" applyAlignment="1">
      <alignment horizontal="left"/>
    </xf>
    <xf numFmtId="0" fontId="62" fillId="0" borderId="0" xfId="0" applyFont="1" applyAlignment="1">
      <alignment horizontal="left"/>
    </xf>
    <xf numFmtId="0" fontId="10" fillId="7" borderId="5" xfId="0" applyFont="1" applyFill="1" applyBorder="1" applyAlignment="1">
      <alignment horizontal="centerContinuous"/>
    </xf>
    <xf numFmtId="0" fontId="6" fillId="7" borderId="5" xfId="0" applyFont="1" applyFill="1" applyBorder="1" applyAlignment="1">
      <alignment horizontal="centerContinuous"/>
    </xf>
    <xf numFmtId="0" fontId="63" fillId="7" borderId="0" xfId="0" applyFont="1" applyFill="1"/>
    <xf numFmtId="0" fontId="6" fillId="7" borderId="7" xfId="0" applyFont="1" applyFill="1" applyBorder="1"/>
    <xf numFmtId="43" fontId="6" fillId="7" borderId="0" xfId="1" applyFont="1" applyFill="1"/>
    <xf numFmtId="0" fontId="66" fillId="8" borderId="0" xfId="0" applyFont="1" applyFill="1"/>
    <xf numFmtId="3" fontId="66" fillId="8" borderId="0" xfId="0" applyNumberFormat="1" applyFont="1" applyFill="1"/>
    <xf numFmtId="0" fontId="102" fillId="7" borderId="0" xfId="0" applyFont="1" applyFill="1"/>
    <xf numFmtId="0" fontId="62" fillId="7" borderId="0" xfId="0" applyFont="1" applyFill="1"/>
    <xf numFmtId="0" fontId="62" fillId="0" borderId="0" xfId="0" applyFont="1"/>
    <xf numFmtId="1" fontId="62" fillId="0" borderId="0" xfId="0" applyNumberFormat="1" applyFont="1"/>
    <xf numFmtId="1" fontId="62" fillId="0" borderId="0" xfId="0" applyNumberFormat="1" applyFont="1" applyAlignment="1">
      <alignment horizontal="right"/>
    </xf>
    <xf numFmtId="0" fontId="62" fillId="0" borderId="0" xfId="0" applyFont="1" applyAlignment="1">
      <alignment horizontal="right"/>
    </xf>
    <xf numFmtId="179" fontId="86" fillId="9" borderId="0" xfId="0" applyNumberFormat="1" applyFont="1" applyFill="1" applyAlignment="1">
      <alignment horizontal="right"/>
    </xf>
    <xf numFmtId="179" fontId="83" fillId="9" borderId="0" xfId="0" applyNumberFormat="1" applyFont="1" applyFill="1" applyAlignment="1">
      <alignment horizontal="right"/>
    </xf>
    <xf numFmtId="0" fontId="103" fillId="7" borderId="0" xfId="0" applyFont="1" applyFill="1"/>
    <xf numFmtId="172" fontId="74" fillId="0" borderId="0" xfId="0" applyNumberFormat="1" applyFont="1"/>
    <xf numFmtId="0" fontId="74" fillId="0" borderId="0" xfId="0" applyFont="1" applyAlignment="1">
      <alignment horizontal="left"/>
    </xf>
    <xf numFmtId="0" fontId="104" fillId="2" borderId="0" xfId="0" applyFont="1" applyFill="1"/>
    <xf numFmtId="9" fontId="80" fillId="3" borderId="0" xfId="0" applyNumberFormat="1" applyFont="1" applyFill="1"/>
    <xf numFmtId="166" fontId="80" fillId="3" borderId="0" xfId="0" applyNumberFormat="1" applyFont="1" applyFill="1"/>
    <xf numFmtId="0" fontId="80" fillId="3" borderId="0" xfId="0" applyFont="1" applyFill="1" applyAlignment="1">
      <alignment horizontal="left"/>
    </xf>
    <xf numFmtId="166" fontId="92" fillId="9" borderId="0" xfId="0" applyNumberFormat="1" applyFont="1" applyFill="1" applyAlignment="1">
      <alignment horizontal="right"/>
    </xf>
    <xf numFmtId="179" fontId="80" fillId="3" borderId="0" xfId="0" applyNumberFormat="1" applyFont="1" applyFill="1" applyAlignment="1">
      <alignment horizontal="center"/>
    </xf>
    <xf numFmtId="179" fontId="81" fillId="2" borderId="0" xfId="0" applyNumberFormat="1" applyFont="1" applyFill="1"/>
    <xf numFmtId="0" fontId="86" fillId="7" borderId="0" xfId="0" quotePrefix="1" applyFont="1" applyFill="1"/>
    <xf numFmtId="0" fontId="73" fillId="0" borderId="0" xfId="0" applyFont="1"/>
    <xf numFmtId="0" fontId="75" fillId="17" borderId="0" xfId="0" applyFont="1" applyFill="1"/>
    <xf numFmtId="4" fontId="83" fillId="9" borderId="0" xfId="0" applyNumberFormat="1" applyFont="1" applyFill="1" applyAlignment="1">
      <alignment horizontal="right"/>
    </xf>
    <xf numFmtId="4" fontId="86" fillId="9" borderId="0" xfId="0" applyNumberFormat="1" applyFont="1" applyFill="1" applyAlignment="1">
      <alignment horizontal="right"/>
    </xf>
    <xf numFmtId="4" fontId="74" fillId="0" borderId="0" xfId="0" applyNumberFormat="1" applyFont="1"/>
    <xf numFmtId="4" fontId="81" fillId="2" borderId="0" xfId="0" applyNumberFormat="1" applyFont="1" applyFill="1"/>
    <xf numFmtId="4" fontId="92" fillId="9" borderId="0" xfId="0" applyNumberFormat="1" applyFont="1" applyFill="1" applyAlignment="1">
      <alignment horizontal="right"/>
    </xf>
    <xf numFmtId="3" fontId="79" fillId="7" borderId="0" xfId="0" applyNumberFormat="1" applyFont="1" applyFill="1"/>
    <xf numFmtId="3" fontId="103" fillId="7" borderId="0" xfId="0" applyNumberFormat="1" applyFont="1" applyFill="1"/>
    <xf numFmtId="3" fontId="81" fillId="2" borderId="0" xfId="0" applyNumberFormat="1" applyFont="1" applyFill="1"/>
    <xf numFmtId="3" fontId="95" fillId="7" borderId="0" xfId="0" applyNumberFormat="1" applyFont="1" applyFill="1"/>
    <xf numFmtId="3" fontId="83" fillId="9" borderId="10" xfId="0" applyNumberFormat="1" applyFont="1" applyFill="1" applyBorder="1" applyAlignment="1">
      <alignment horizontal="right"/>
    </xf>
    <xf numFmtId="3" fontId="83" fillId="9" borderId="11" xfId="0" applyNumberFormat="1" applyFont="1" applyFill="1" applyBorder="1" applyAlignment="1">
      <alignment horizontal="right"/>
    </xf>
    <xf numFmtId="3" fontId="83" fillId="9" borderId="9" xfId="0" applyNumberFormat="1" applyFont="1" applyFill="1" applyBorder="1" applyAlignment="1">
      <alignment horizontal="right"/>
    </xf>
    <xf numFmtId="3" fontId="82" fillId="5" borderId="0" xfId="0" applyNumberFormat="1" applyFont="1" applyFill="1" applyAlignment="1">
      <alignment horizontal="right"/>
    </xf>
    <xf numFmtId="0" fontId="105" fillId="0" borderId="0" xfId="0" applyFont="1"/>
    <xf numFmtId="0" fontId="58" fillId="0" borderId="0" xfId="0" applyFont="1"/>
    <xf numFmtId="0" fontId="106" fillId="0" borderId="0" xfId="0" applyFont="1"/>
    <xf numFmtId="166" fontId="57" fillId="0" borderId="0" xfId="0" applyNumberFormat="1" applyFont="1"/>
    <xf numFmtId="0" fontId="70" fillId="0" borderId="0" xfId="0" applyFont="1"/>
    <xf numFmtId="170" fontId="57" fillId="0" borderId="0" xfId="0" applyNumberFormat="1" applyFont="1"/>
    <xf numFmtId="0" fontId="7" fillId="0" borderId="0" xfId="0" applyFont="1"/>
    <xf numFmtId="0" fontId="60" fillId="7" borderId="0" xfId="0" applyFont="1" applyFill="1" applyAlignment="1">
      <alignment horizontal="center"/>
    </xf>
    <xf numFmtId="0" fontId="83" fillId="0" borderId="0" xfId="0" applyFont="1"/>
    <xf numFmtId="0" fontId="81" fillId="8" borderId="0" xfId="0" applyFont="1" applyFill="1" applyAlignment="1">
      <alignment horizontal="center"/>
    </xf>
    <xf numFmtId="170" fontId="92" fillId="8" borderId="0" xfId="0" applyNumberFormat="1" applyFont="1" applyFill="1"/>
    <xf numFmtId="178" fontId="92" fillId="8" borderId="0" xfId="0" applyNumberFormat="1" applyFont="1" applyFill="1"/>
    <xf numFmtId="0" fontId="92" fillId="8" borderId="0" xfId="0" applyFont="1" applyFill="1"/>
    <xf numFmtId="169" fontId="92" fillId="8" borderId="0" xfId="0" applyNumberFormat="1" applyFont="1" applyFill="1"/>
    <xf numFmtId="166" fontId="92" fillId="8" borderId="0" xfId="0" applyNumberFormat="1" applyFont="1" applyFill="1"/>
    <xf numFmtId="10" fontId="92" fillId="8" borderId="0" xfId="0" applyNumberFormat="1" applyFont="1" applyFill="1"/>
    <xf numFmtId="0" fontId="93" fillId="8" borderId="0" xfId="0" applyFont="1" applyFill="1" applyAlignment="1">
      <alignment horizontal="center"/>
    </xf>
    <xf numFmtId="0" fontId="91" fillId="8" borderId="0" xfId="0" applyFont="1" applyFill="1" applyAlignment="1">
      <alignment horizontal="center"/>
    </xf>
    <xf numFmtId="0" fontId="94" fillId="8" borderId="0" xfId="0" applyFont="1" applyFill="1" applyAlignment="1">
      <alignment horizontal="center"/>
    </xf>
    <xf numFmtId="0" fontId="86" fillId="8" borderId="0" xfId="0" applyFont="1" applyFill="1"/>
    <xf numFmtId="0" fontId="83" fillId="8" borderId="0" xfId="0" applyFont="1" applyFill="1"/>
    <xf numFmtId="0" fontId="86" fillId="0" borderId="0" xfId="0" applyFont="1"/>
    <xf numFmtId="170" fontId="83" fillId="8" borderId="0" xfId="0" applyNumberFormat="1" applyFont="1" applyFill="1"/>
    <xf numFmtId="170" fontId="86" fillId="8" borderId="0" xfId="0" applyNumberFormat="1" applyFont="1" applyFill="1"/>
    <xf numFmtId="0" fontId="17" fillId="3" borderId="0" xfId="0" applyFont="1" applyFill="1"/>
    <xf numFmtId="0" fontId="79" fillId="0" borderId="0" xfId="0" applyFont="1"/>
    <xf numFmtId="10" fontId="83" fillId="8" borderId="0" xfId="0" applyNumberFormat="1" applyFont="1" applyFill="1" applyAlignment="1">
      <alignment horizontal="center"/>
    </xf>
    <xf numFmtId="166" fontId="83" fillId="8" borderId="0" xfId="0" applyNumberFormat="1" applyFont="1" applyFill="1" applyAlignment="1">
      <alignment horizontal="center"/>
    </xf>
    <xf numFmtId="172" fontId="83" fillId="8" borderId="0" xfId="0" applyNumberFormat="1" applyFont="1" applyFill="1" applyAlignment="1">
      <alignment horizontal="center"/>
    </xf>
    <xf numFmtId="170" fontId="83" fillId="8" borderId="0" xfId="0" applyNumberFormat="1" applyFont="1" applyFill="1" applyAlignment="1">
      <alignment horizontal="center"/>
    </xf>
    <xf numFmtId="170" fontId="86" fillId="8" borderId="0" xfId="0" applyNumberFormat="1" applyFont="1" applyFill="1" applyAlignment="1">
      <alignment horizontal="center"/>
    </xf>
    <xf numFmtId="170" fontId="96" fillId="8" borderId="0" xfId="0" applyNumberFormat="1" applyFont="1" applyFill="1" applyAlignment="1">
      <alignment horizontal="center"/>
    </xf>
    <xf numFmtId="170" fontId="81" fillId="8" borderId="0" xfId="0" applyNumberFormat="1" applyFont="1" applyFill="1" applyAlignment="1">
      <alignment horizontal="center"/>
    </xf>
    <xf numFmtId="170" fontId="97" fillId="8" borderId="0" xfId="0" applyNumberFormat="1" applyFont="1" applyFill="1" applyAlignment="1">
      <alignment horizontal="center"/>
    </xf>
    <xf numFmtId="166" fontId="86" fillId="8" borderId="0" xfId="0" applyNumberFormat="1" applyFont="1" applyFill="1" applyAlignment="1">
      <alignment horizontal="center"/>
    </xf>
    <xf numFmtId="166" fontId="96" fillId="8" borderId="0" xfId="0" applyNumberFormat="1" applyFont="1" applyFill="1" applyAlignment="1">
      <alignment horizontal="center"/>
    </xf>
    <xf numFmtId="166" fontId="81" fillId="8" borderId="0" xfId="0" applyNumberFormat="1" applyFont="1" applyFill="1" applyAlignment="1">
      <alignment horizontal="center"/>
    </xf>
    <xf numFmtId="166" fontId="97" fillId="8" borderId="0" xfId="0" applyNumberFormat="1" applyFont="1" applyFill="1" applyAlignment="1">
      <alignment horizontal="center"/>
    </xf>
    <xf numFmtId="0" fontId="90" fillId="0" borderId="0" xfId="0" applyFont="1"/>
    <xf numFmtId="0" fontId="24" fillId="0" borderId="0" xfId="0" applyFont="1"/>
    <xf numFmtId="0" fontId="4" fillId="0" borderId="0" xfId="0" applyFont="1" applyAlignment="1">
      <alignment horizontal="right"/>
    </xf>
    <xf numFmtId="0" fontId="22" fillId="0" borderId="0" xfId="0" applyFont="1"/>
    <xf numFmtId="0" fontId="13" fillId="0" borderId="0" xfId="0" applyFont="1"/>
    <xf numFmtId="3" fontId="13" fillId="0" borderId="0" xfId="0" applyNumberFormat="1" applyFont="1"/>
    <xf numFmtId="0" fontId="101" fillId="0" borderId="0" xfId="0" applyFont="1"/>
    <xf numFmtId="0" fontId="109" fillId="0" borderId="0" xfId="0" applyFont="1"/>
    <xf numFmtId="4" fontId="36" fillId="8" borderId="0" xfId="0" applyNumberFormat="1" applyFont="1" applyFill="1" applyAlignment="1">
      <alignment horizontal="right"/>
    </xf>
    <xf numFmtId="166" fontId="36" fillId="8" borderId="0" xfId="0" applyNumberFormat="1" applyFont="1" applyFill="1" applyAlignment="1">
      <alignment horizontal="right"/>
    </xf>
    <xf numFmtId="169" fontId="64" fillId="8" borderId="0" xfId="0" applyNumberFormat="1" applyFont="1" applyFill="1" applyAlignment="1">
      <alignment horizontal="right"/>
    </xf>
    <xf numFmtId="166" fontId="64" fillId="8" borderId="0" xfId="0" applyNumberFormat="1" applyFont="1" applyFill="1" applyAlignment="1">
      <alignment horizontal="right"/>
    </xf>
    <xf numFmtId="10" fontId="64" fillId="8" borderId="0" xfId="0" applyNumberFormat="1" applyFont="1" applyFill="1" applyAlignment="1">
      <alignment horizontal="right"/>
    </xf>
    <xf numFmtId="3" fontId="64" fillId="8" borderId="0" xfId="0" applyNumberFormat="1" applyFont="1" applyFill="1" applyAlignment="1">
      <alignment horizontal="right"/>
    </xf>
    <xf numFmtId="4" fontId="64" fillId="8" borderId="0" xfId="0" applyNumberFormat="1" applyFont="1" applyFill="1" applyAlignment="1">
      <alignment horizontal="right"/>
    </xf>
    <xf numFmtId="3" fontId="102" fillId="0" borderId="0" xfId="0" applyNumberFormat="1" applyFont="1"/>
    <xf numFmtId="3" fontId="65" fillId="8" borderId="3" xfId="0" applyNumberFormat="1" applyFont="1" applyFill="1" applyBorder="1" applyAlignment="1">
      <alignment horizontal="right"/>
    </xf>
    <xf numFmtId="3" fontId="66" fillId="8" borderId="2" xfId="0" applyNumberFormat="1" applyFont="1" applyFill="1" applyBorder="1" applyAlignment="1">
      <alignment horizontal="right"/>
    </xf>
    <xf numFmtId="180" fontId="46" fillId="9" borderId="0" xfId="1" applyNumberFormat="1" applyFont="1" applyFill="1" applyAlignment="1">
      <alignment horizontal="right"/>
    </xf>
    <xf numFmtId="0" fontId="63" fillId="8" borderId="0" xfId="0" applyFont="1" applyFill="1" applyAlignment="1">
      <alignment horizontal="center"/>
    </xf>
    <xf numFmtId="0" fontId="63" fillId="7" borderId="0" xfId="0" applyFont="1" applyFill="1" applyAlignment="1">
      <alignment horizontal="center"/>
    </xf>
    <xf numFmtId="0" fontId="104" fillId="0" borderId="0" xfId="0" applyFont="1"/>
    <xf numFmtId="0" fontId="61" fillId="0" borderId="0" xfId="0" applyFont="1"/>
    <xf numFmtId="4" fontId="57" fillId="0" borderId="0" xfId="0" applyNumberFormat="1" applyFont="1"/>
    <xf numFmtId="3" fontId="57" fillId="0" borderId="0" xfId="0" applyNumberFormat="1" applyFont="1"/>
    <xf numFmtId="43" fontId="38" fillId="0" borderId="0" xfId="2" applyNumberFormat="1" applyFont="1"/>
    <xf numFmtId="0" fontId="112" fillId="2" borderId="0" xfId="0" applyFont="1" applyFill="1"/>
    <xf numFmtId="175" fontId="110" fillId="8" borderId="0" xfId="0" applyNumberFormat="1" applyFont="1" applyFill="1" applyAlignment="1">
      <alignment horizontal="right"/>
    </xf>
    <xf numFmtId="176" fontId="110" fillId="8" borderId="0" xfId="0" applyNumberFormat="1" applyFont="1" applyFill="1" applyAlignment="1">
      <alignment horizontal="right"/>
    </xf>
    <xf numFmtId="166" fontId="110" fillId="8" borderId="0" xfId="0" applyNumberFormat="1" applyFont="1" applyFill="1" applyAlignment="1">
      <alignment horizontal="right"/>
    </xf>
    <xf numFmtId="0" fontId="111" fillId="8" borderId="0" xfId="0" applyFont="1" applyFill="1"/>
    <xf numFmtId="10" fontId="110" fillId="8" borderId="0" xfId="0" applyNumberFormat="1" applyFont="1" applyFill="1" applyAlignment="1">
      <alignment horizontal="right"/>
    </xf>
    <xf numFmtId="0" fontId="98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0" fontId="99" fillId="0" borderId="0" xfId="0" applyFont="1" applyFill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right"/>
    </xf>
    <xf numFmtId="0" fontId="57" fillId="0" borderId="0" xfId="0" applyFont="1" applyFill="1"/>
    <xf numFmtId="0" fontId="62" fillId="0" borderId="0" xfId="0" applyFont="1" applyFill="1"/>
    <xf numFmtId="0" fontId="62" fillId="0" borderId="0" xfId="0" applyFont="1" applyFill="1" applyAlignment="1">
      <alignment horizontal="left"/>
    </xf>
    <xf numFmtId="0" fontId="62" fillId="0" borderId="0" xfId="0" applyFont="1" applyFill="1" applyAlignment="1">
      <alignment horizontal="right"/>
    </xf>
    <xf numFmtId="0" fontId="61" fillId="0" borderId="0" xfId="0" applyFont="1" applyFill="1"/>
    <xf numFmtId="0" fontId="61" fillId="0" borderId="0" xfId="0" applyFont="1" applyFill="1" applyAlignment="1">
      <alignment horizontal="left"/>
    </xf>
    <xf numFmtId="1" fontId="61" fillId="0" borderId="0" xfId="0" applyNumberFormat="1" applyFont="1" applyFill="1" applyAlignment="1">
      <alignment horizontal="right"/>
    </xf>
    <xf numFmtId="164" fontId="62" fillId="0" borderId="0" xfId="0" applyNumberFormat="1" applyFont="1" applyFill="1"/>
    <xf numFmtId="3" fontId="58" fillId="0" borderId="0" xfId="0" applyNumberFormat="1" applyFont="1" applyFill="1"/>
    <xf numFmtId="0" fontId="36" fillId="0" borderId="0" xfId="2" applyFont="1" applyBorder="1"/>
  </cellXfs>
  <cellStyles count="8">
    <cellStyle name="Comma 2" xfId="7" xr:uid="{00000000-0005-0000-0000-000007000000}"/>
    <cellStyle name="Currency 2" xfId="5" xr:uid="{00000000-0005-0000-0000-000005000000}"/>
    <cellStyle name="Hyperlink 2 2" xfId="3" xr:uid="{00000000-0005-0000-0000-000003000000}"/>
    <cellStyle name="Milliers" xfId="1" builtinId="3"/>
    <cellStyle name="Normal" xfId="0" builtinId="0"/>
    <cellStyle name="Normal 2" xfId="2" xr:uid="{00000000-0005-0000-0000-000002000000}"/>
    <cellStyle name="Normal 2 2" xfId="4" xr:uid="{00000000-0005-0000-0000-000004000000}"/>
    <cellStyle name="Percent 2" xfId="6" xr:uid="{00000000-0005-0000-0000-000006000000}"/>
  </cellStyles>
  <dxfs count="22">
    <dxf>
      <font>
        <color rgb="FF6B7280"/>
      </font>
    </dxf>
    <dxf>
      <font>
        <color rgb="FFDC2626"/>
      </font>
    </dxf>
    <dxf>
      <font>
        <color rgb="FF16A34A"/>
      </font>
    </dxf>
    <dxf>
      <font>
        <color rgb="FF6B7280"/>
      </font>
    </dxf>
    <dxf>
      <font>
        <color rgb="FFDC2626"/>
      </font>
    </dxf>
    <dxf>
      <font>
        <color rgb="FF16A34A"/>
      </font>
    </dxf>
    <dxf>
      <font>
        <color rgb="FF6B7280"/>
      </font>
    </dxf>
    <dxf>
      <font>
        <color rgb="FFDC2626"/>
      </font>
    </dxf>
    <dxf>
      <font>
        <color rgb="FF16A34A"/>
      </font>
    </dxf>
    <dxf>
      <font>
        <color rgb="FF6B7280"/>
      </font>
    </dxf>
    <dxf>
      <font>
        <color rgb="FFDC2626"/>
      </font>
    </dxf>
    <dxf>
      <font>
        <color rgb="FF16A34A"/>
      </font>
    </dxf>
    <dxf>
      <font>
        <color rgb="FF6B7280"/>
      </font>
    </dxf>
    <dxf>
      <font>
        <color rgb="FFDC2626"/>
      </font>
    </dxf>
    <dxf>
      <font>
        <color rgb="FF16A34A"/>
      </font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c:rich>
      </c:tx>
      <c:layout>
        <c:manualLayout>
          <c:xMode val="edge"/>
          <c:yMode val="edge"/>
          <c:x val="0.23700261672234271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RATIOS!$C$102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RATIOS!$D$101:$I$101</c:f>
              <c:numCache>
                <c:formatCode>General</c:formatCode>
                <c:ptCount val="6"/>
              </c:numCache>
            </c:numRef>
          </c:cat>
          <c:val>
            <c:numRef>
              <c:f>RATIOS!$D$102:$I$102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FD-4BA9-93C4-E7A44B504552}"/>
            </c:ext>
          </c:extLst>
        </c:ser>
        <c:ser>
          <c:idx val="1"/>
          <c:order val="1"/>
          <c:tx>
            <c:strRef>
              <c:f>RATIOS!$C$103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RATIOS!$D$101:$I$101</c:f>
              <c:numCache>
                <c:formatCode>General</c:formatCode>
                <c:ptCount val="6"/>
              </c:numCache>
            </c:numRef>
          </c:cat>
          <c:val>
            <c:numRef>
              <c:f>RATIOS!$D$103:$I$103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FD-4BA9-93C4-E7A44B504552}"/>
            </c:ext>
          </c:extLst>
        </c:ser>
        <c:ser>
          <c:idx val="2"/>
          <c:order val="2"/>
          <c:tx>
            <c:strRef>
              <c:f>RATIOS!$C$104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RATIOS!$D$101:$I$101</c:f>
              <c:numCache>
                <c:formatCode>General</c:formatCode>
                <c:ptCount val="6"/>
              </c:numCache>
            </c:numRef>
          </c:cat>
          <c:val>
            <c:numRef>
              <c:f>RATIOS!$D$104:$I$104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FD-4BA9-93C4-E7A44B504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964032"/>
        <c:axId val="1926950112"/>
      </c:lineChart>
      <c:catAx>
        <c:axId val="19269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50112"/>
        <c:crosses val="autoZero"/>
        <c:auto val="1"/>
        <c:lblAlgn val="ctr"/>
        <c:lblOffset val="100"/>
        <c:noMultiLvlLbl val="0"/>
      </c:catAx>
      <c:valAx>
        <c:axId val="192695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69640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RATIOS!$C$108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RATIOS!$D$107:$I$107</c:f>
              <c:numCache>
                <c:formatCode>General</c:formatCode>
                <c:ptCount val="6"/>
              </c:numCache>
            </c:numRef>
          </c:cat>
          <c:val>
            <c:numRef>
              <c:f>RATIOS!$D$108:$I$108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9-4E98-AEC1-708501D3B850}"/>
            </c:ext>
          </c:extLst>
        </c:ser>
        <c:ser>
          <c:idx val="1"/>
          <c:order val="1"/>
          <c:tx>
            <c:strRef>
              <c:f>RATIOS!$C$109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RATIOS!$D$107:$I$107</c:f>
              <c:numCache>
                <c:formatCode>General</c:formatCode>
                <c:ptCount val="6"/>
              </c:numCache>
            </c:numRef>
          </c:cat>
          <c:val>
            <c:numRef>
              <c:f>RATIOS!$D$109:$I$109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69-4E98-AEC1-708501D3B850}"/>
            </c:ext>
          </c:extLst>
        </c:ser>
        <c:ser>
          <c:idx val="2"/>
          <c:order val="2"/>
          <c:tx>
            <c:strRef>
              <c:f>RATIOS!$C$110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RATIOS!$D$107:$I$107</c:f>
              <c:numCache>
                <c:formatCode>General</c:formatCode>
                <c:ptCount val="6"/>
              </c:numCache>
            </c:numRef>
          </c:cat>
          <c:val>
            <c:numRef>
              <c:f>RATIOS!$D$110:$I$110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69-4E98-AEC1-708501D3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670816"/>
        <c:axId val="1919671296"/>
      </c:lineChart>
      <c:catAx>
        <c:axId val="19196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1296"/>
        <c:crosses val="autoZero"/>
        <c:auto val="1"/>
        <c:lblAlgn val="ctr"/>
        <c:lblOffset val="100"/>
        <c:noMultiLvlLbl val="0"/>
      </c:catAx>
      <c:valAx>
        <c:axId val="19196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196708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Valuation — JPMorgan Chase (JPM)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E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 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27-40A8-A32D-7565A352A5FE}"/>
                </c:ext>
              </c:extLst>
            </c:dLbl>
            <c:dLbl>
              <c:idx val="1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E27-40A8-A32D-7565A352A5FE}"/>
                </c:ext>
              </c:extLst>
            </c:dLbl>
            <c:dLbl>
              <c:idx val="2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27-40A8-A32D-7565A352A5FE}"/>
                </c:ext>
              </c:extLst>
            </c:dLbl>
            <c:dLbl>
              <c:idx val="3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E27-40A8-A32D-7565A352A5FE}"/>
                </c:ext>
              </c:extLst>
            </c:dLbl>
            <c:dLbl>
              <c:idx val="4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E27-40A8-A32D-7565A352A5FE}"/>
                </c:ext>
              </c:extLst>
            </c:dLbl>
            <c:dLbl>
              <c:idx val="6"/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E27-40A8-A32D-7565A352A5F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 VALUATION'!$R$2:$R$8</c:f>
              <c:strCache>
                <c:ptCount val="7"/>
                <c:pt idx="0">
                  <c:v>DDM Gordon Growth</c:v>
                </c:pt>
                <c:pt idx="2">
                  <c:v>Justified P/B</c:v>
                </c:pt>
                <c:pt idx="4">
                  <c:v>Excess Return Model</c:v>
                </c:pt>
                <c:pt idx="6">
                  <c:v>Blended (3 Methods)</c:v>
                </c:pt>
              </c:strCache>
            </c:strRef>
          </c:cat>
          <c:val>
            <c:numRef>
              <c:f>'BANK VALUATION'!$S$2:$S$8</c:f>
              <c:numCache>
                <c:formatCode>General</c:formatCode>
                <c:ptCount val="7"/>
                <c:pt idx="0">
                  <c:v>73.90687744915094</c:v>
                </c:pt>
                <c:pt idx="2">
                  <c:v>143.93274215663206</c:v>
                </c:pt>
                <c:pt idx="4">
                  <c:v>291.09683303283043</c:v>
                </c:pt>
                <c:pt idx="6">
                  <c:v>169.64548421287114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7-40A8-A32D-7565A352A5FE}"/>
            </c:ext>
          </c:extLst>
        </c:ser>
        <c:ser>
          <c:idx val="1"/>
          <c:order val="1"/>
          <c:tx>
            <c:v>Valuation Range</c:v>
          </c:tx>
          <c:spPr>
            <a:solidFill>
              <a:srgbClr val="1A3C6E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'BANK VALUATION'!$R$2:$R$8</c:f>
              <c:strCache>
                <c:ptCount val="7"/>
                <c:pt idx="0">
                  <c:v>DDM Gordon Growth</c:v>
                </c:pt>
                <c:pt idx="2">
                  <c:v>Justified P/B</c:v>
                </c:pt>
                <c:pt idx="4">
                  <c:v>Excess Return Model</c:v>
                </c:pt>
                <c:pt idx="6">
                  <c:v>Blended (3 Methods)</c:v>
                </c:pt>
              </c:strCache>
            </c:strRef>
          </c:cat>
          <c:val>
            <c:numRef>
              <c:f>'BANK VALUATION'!$T$2:$T$8</c:f>
              <c:numCache>
                <c:formatCode>General</c:formatCode>
                <c:ptCount val="7"/>
                <c:pt idx="0">
                  <c:v>278.26641500946346</c:v>
                </c:pt>
                <c:pt idx="2" formatCode="#,##0">
                  <c:v>568.84423455204842</c:v>
                </c:pt>
                <c:pt idx="4">
                  <c:v>423.41357532048062</c:v>
                </c:pt>
                <c:pt idx="6">
                  <c:v>423.50807496066415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7-40A8-A32D-7565A352A5FE}"/>
            </c:ext>
          </c:extLst>
        </c:ser>
        <c:ser>
          <c:idx val="2"/>
          <c:order val="2"/>
          <c:tx>
            <c:v>  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strRef>
                  <c:f>'BANK VALUATION'!$Z$2</c:f>
                  <c:strCache>
                    <c:ptCount val="1"/>
                    <c:pt idx="0">
                      <c:v>352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{3906B3BA-576E-4602-BE4B-1F45970E0055}</c15:txfldGUID>
                      <c15:f>'BANK VALUATION'!$Z$2</c15:f>
                      <c15:dlblFieldTableCache>
                        <c:ptCount val="1"/>
                        <c:pt idx="0">
                          <c:v>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2E27-40A8-A32D-7565A352A5FE}"/>
                </c:ext>
              </c:extLst>
            </c:dLbl>
            <c:dLbl>
              <c:idx val="2"/>
              <c:tx>
                <c:strRef>
                  <c:f>'BANK VALUATION'!$Z$4</c:f>
                  <c:strCache>
                    <c:ptCount val="1"/>
                    <c:pt idx="0">
                      <c:v>713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{8E641061-4298-4295-945B-B182E97C4B03}</c15:txfldGUID>
                      <c15:f>'BANK VALUATION'!$Z$4</c15:f>
                      <c15:dlblFieldTableCache>
                        <c:ptCount val="1"/>
                        <c:pt idx="0">
                          <c:v>713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2E27-40A8-A32D-7565A352A5FE}"/>
                </c:ext>
              </c:extLst>
            </c:dLbl>
            <c:dLbl>
              <c:idx val="4"/>
              <c:tx>
                <c:strRef>
                  <c:f>'BANK VALUATION'!$Z$6</c:f>
                  <c:strCache>
                    <c:ptCount val="1"/>
                    <c:pt idx="0">
                      <c:v>715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{7D96ADE7-DA87-48FE-AC70-AF6278F6E9AB}</c15:txfldGUID>
                      <c15:f>'BANK VALUATION'!$Z$6</c15:f>
                      <c15:dlblFieldTableCache>
                        <c:ptCount val="1"/>
                        <c:pt idx="0">
                          <c:v>715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2E27-40A8-A32D-7565A352A5FE}"/>
                </c:ext>
              </c:extLst>
            </c:dLbl>
            <c:dLbl>
              <c:idx val="6"/>
              <c:tx>
                <c:strRef>
                  <c:f>'BANK VALUATION'!$Z$8</c:f>
                  <c:strCache>
                    <c:ptCount val="1"/>
                    <c:pt idx="0">
                      <c:v>593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1A1A2E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{2F5CD0CB-2509-445D-9701-1CCCC7AEC27A}</c15:txfldGUID>
                      <c15:f>'BANK VALUATION'!$Z$8</c15:f>
                      <c15:dlblFieldTableCache>
                        <c:ptCount val="1"/>
                        <c:pt idx="0">
                          <c:v>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2E27-40A8-A32D-7565A352A5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'BANK VALUATION'!$U$2:$U$8</c:f>
              <c:numCache>
                <c:formatCode>General</c:formatCode>
                <c:ptCount val="7"/>
                <c:pt idx="0">
                  <c:v>447.82670754138559</c:v>
                </c:pt>
                <c:pt idx="2" formatCode="#,##0">
                  <c:v>87.223023291319578</c:v>
                </c:pt>
                <c:pt idx="4">
                  <c:v>85.48959164668895</c:v>
                </c:pt>
                <c:pt idx="6">
                  <c:v>206.84644082646474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E27-40A8-A32D-7565A352A5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1834032"/>
        <c:axId val="381834512"/>
      </c:barChart>
      <c:scatterChart>
        <c:scatterStyle val="lineMarker"/>
        <c:varyColors val="0"/>
        <c:ser>
          <c:idx val="3"/>
          <c:order val="3"/>
          <c:tx>
            <c:v>Current Price ($311)</c:v>
          </c:tx>
          <c:spPr>
            <a:ln w="28575" cap="rnd">
              <a:solidFill>
                <a:srgbClr val="E05A1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'BANK VALUATION'!$W$2:$W$5</c:f>
              <c:numCache>
                <c:formatCode>#,##0.00</c:formatCode>
                <c:ptCount val="4"/>
                <c:pt idx="0">
                  <c:v>311.12</c:v>
                </c:pt>
                <c:pt idx="1">
                  <c:v>311.12</c:v>
                </c:pt>
                <c:pt idx="2">
                  <c:v>311.12</c:v>
                </c:pt>
                <c:pt idx="3">
                  <c:v>311.12</c:v>
                </c:pt>
              </c:numCache>
            </c:numRef>
          </c:xVal>
          <c:yVal>
            <c:numRef>
              <c:f>'BANK VALUATION'!$X$2:$X$5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E27-40A8-A32D-7565A352A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08544"/>
        <c:axId val="79805664"/>
      </c:scatterChart>
      <c:catAx>
        <c:axId val="38183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34512"/>
        <c:crosses val="autoZero"/>
        <c:auto val="1"/>
        <c:lblAlgn val="ctr"/>
        <c:lblOffset val="100"/>
        <c:noMultiLvlLbl val="0"/>
      </c:catAx>
      <c:valAx>
        <c:axId val="381834512"/>
        <c:scaling>
          <c:orientation val="minMax"/>
          <c:max val="8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Implied Share Price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1834032"/>
        <c:crosses val="autoZero"/>
        <c:crossBetween val="between"/>
        <c:majorUnit val="100"/>
      </c:valAx>
      <c:valAx>
        <c:axId val="7980566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79808544"/>
        <c:crosses val="max"/>
        <c:crossBetween val="midCat"/>
      </c:valAx>
      <c:valAx>
        <c:axId val="79808544"/>
        <c:scaling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extTo"/>
        <c:crossAx val="79805664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COMPARABLES!$C$48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COMPARABLES!$D$47:$E$47</c:f>
              <c:numCache>
                <c:formatCode>General</c:formatCode>
                <c:ptCount val="2"/>
              </c:numCache>
            </c:numRef>
          </c:cat>
          <c:val>
            <c:numRef>
              <c:f>COMPARABLES!$D$48:$E$48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EE55-4503-9791-11757E5F2444}"/>
            </c:ext>
          </c:extLst>
        </c:ser>
        <c:ser>
          <c:idx val="1"/>
          <c:order val="1"/>
          <c:tx>
            <c:strRef>
              <c:f>COMPARABLES!$C$49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COMPARABLES!$D$47:$E$47</c:f>
              <c:numCache>
                <c:formatCode>General</c:formatCode>
                <c:ptCount val="2"/>
              </c:numCache>
            </c:numRef>
          </c:cat>
          <c:val>
            <c:numRef>
              <c:f>COMPARABLES!$D$49:$E$49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EE55-4503-9791-11757E5F2444}"/>
            </c:ext>
          </c:extLst>
        </c:ser>
        <c:ser>
          <c:idx val="2"/>
          <c:order val="2"/>
          <c:tx>
            <c:strRef>
              <c:f>COMPARABLES!$C$50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COMPARABLES!$D$47:$E$47</c:f>
              <c:numCache>
                <c:formatCode>General</c:formatCode>
                <c:ptCount val="2"/>
              </c:numCache>
            </c:numRef>
          </c:cat>
          <c:val>
            <c:numRef>
              <c:f>COMPARABLES!$D$50:$E$50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EE55-4503-9791-11757E5F2444}"/>
            </c:ext>
          </c:extLst>
        </c:ser>
        <c:ser>
          <c:idx val="3"/>
          <c:order val="3"/>
          <c:tx>
            <c:strRef>
              <c:f>COMPARABLES!$C$51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numRef>
              <c:f>COMPARABLES!$D$47:$E$47</c:f>
              <c:numCache>
                <c:formatCode>General</c:formatCode>
                <c:ptCount val="2"/>
              </c:numCache>
            </c:numRef>
          </c:cat>
          <c:val>
            <c:numRef>
              <c:f>COMPARABLES!$D$51:$E$51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EE55-4503-9791-11757E5F2444}"/>
            </c:ext>
          </c:extLst>
        </c:ser>
        <c:ser>
          <c:idx val="4"/>
          <c:order val="4"/>
          <c:tx>
            <c:strRef>
              <c:f>COMPARABLES!$C$52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numRef>
              <c:f>COMPARABLES!$D$47:$E$47</c:f>
              <c:numCache>
                <c:formatCode>General</c:formatCode>
                <c:ptCount val="2"/>
              </c:numCache>
            </c:numRef>
          </c:cat>
          <c:val>
            <c:numRef>
              <c:f>COMPARABLES!$D$52:$E$52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EE55-4503-9791-11757E5F2444}"/>
            </c:ext>
          </c:extLst>
        </c:ser>
        <c:ser>
          <c:idx val="5"/>
          <c:order val="5"/>
          <c:tx>
            <c:strRef>
              <c:f>COMPARABLES!$C$53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numRef>
              <c:f>COMPARABLES!$D$47:$E$47</c:f>
              <c:numCache>
                <c:formatCode>General</c:formatCode>
                <c:ptCount val="2"/>
              </c:numCache>
            </c:numRef>
          </c:cat>
          <c:val>
            <c:numRef>
              <c:f>COMPARABLES!$D$53:$E$53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EE55-4503-9791-11757E5F2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4804656"/>
        <c:axId val="2064801296"/>
      </c:barChart>
      <c:catAx>
        <c:axId val="206480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1296"/>
        <c:crosses val="autoZero"/>
        <c:auto val="1"/>
        <c:lblAlgn val="ctr"/>
        <c:lblOffset val="100"/>
        <c:noMultiLvlLbl val="0"/>
      </c:catAx>
      <c:valAx>
        <c:axId val="2064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6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COMPARABLES!$I$55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COMPARABLES!$J$54:$L$54</c:f>
              <c:numCache>
                <c:formatCode>General</c:formatCode>
                <c:ptCount val="3"/>
              </c:numCache>
            </c:numRef>
          </c:cat>
          <c:val>
            <c:numRef>
              <c:f>COMPARABLES!$J$55:$L$55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647D-48BC-AA8D-6758A0CFB773}"/>
            </c:ext>
          </c:extLst>
        </c:ser>
        <c:ser>
          <c:idx val="1"/>
          <c:order val="1"/>
          <c:tx>
            <c:strRef>
              <c:f>COMPARABLES!$I$56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COMPARABLES!$J$54:$L$54</c:f>
              <c:numCache>
                <c:formatCode>General</c:formatCode>
                <c:ptCount val="3"/>
              </c:numCache>
            </c:numRef>
          </c:cat>
          <c:val>
            <c:numRef>
              <c:f>COMPARABLES!$J$56:$L$56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647D-48BC-AA8D-6758A0CFB773}"/>
            </c:ext>
          </c:extLst>
        </c:ser>
        <c:ser>
          <c:idx val="2"/>
          <c:order val="2"/>
          <c:tx>
            <c:strRef>
              <c:f>COMPARABLES!$I$57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numRef>
              <c:f>COMPARABLES!$J$54:$L$54</c:f>
              <c:numCache>
                <c:formatCode>General</c:formatCode>
                <c:ptCount val="3"/>
              </c:numCache>
            </c:numRef>
          </c:cat>
          <c:val>
            <c:numRef>
              <c:f>COMPARABLES!$J$57:$L$57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647D-48BC-AA8D-6758A0CFB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02736"/>
        <c:axId val="2064819536"/>
      </c:barChart>
      <c:catAx>
        <c:axId val="20648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19536"/>
        <c:crosses val="autoZero"/>
        <c:auto val="1"/>
        <c:lblAlgn val="ctr"/>
        <c:lblOffset val="100"/>
        <c:noMultiLvlLbl val="0"/>
      </c:catAx>
      <c:valAx>
        <c:axId val="20648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27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DDM Implied Price vs Market Price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SCENARIOS!$C$48</c:f>
              <c:strCache>
                <c:ptCount val="1"/>
                <c:pt idx="0">
                  <c:v>DDM Implied Price ($)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SCENARIOS!$B$49:$B$51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SCENARIOS!$C$49:$C$51</c:f>
              <c:numCache>
                <c:formatCode>General</c:formatCode>
                <c:ptCount val="3"/>
                <c:pt idx="0">
                  <c:v>73.90687744915094</c:v>
                </c:pt>
                <c:pt idx="1">
                  <c:v>147.42720795062652</c:v>
                </c:pt>
                <c:pt idx="2">
                  <c:v>352.17329245861441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9-4030-B898-E91763F9BF99}"/>
            </c:ext>
          </c:extLst>
        </c:ser>
        <c:ser>
          <c:idx val="1"/>
          <c:order val="1"/>
          <c:tx>
            <c:strRef>
              <c:f>SCENARIOS!$D$48</c:f>
              <c:strCache>
                <c:ptCount val="1"/>
                <c:pt idx="0">
                  <c:v>Current Market Price ($)</c:v>
                </c:pt>
              </c:strCache>
            </c:strRef>
          </c:tx>
          <c:spPr>
            <a:solidFill>
              <a:srgbClr val="C55A11"/>
            </a:solidFill>
            <a:ln>
              <a:noFill/>
            </a:ln>
            <a:effectLst/>
          </c:spPr>
          <c:invertIfNegative val="0"/>
          <c:cat>
            <c:strRef>
              <c:f>SCENARIOS!$B$49:$B$51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SCENARIOS!$D$49:$D$51</c:f>
              <c:numCache>
                <c:formatCode>General</c:formatCode>
                <c:ptCount val="3"/>
                <c:pt idx="0">
                  <c:v>311.12</c:v>
                </c:pt>
                <c:pt idx="1">
                  <c:v>311.12</c:v>
                </c:pt>
                <c:pt idx="2">
                  <c:v>311.12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9-4030-B898-E91763F9B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83584"/>
        <c:axId val="187100384"/>
      </c:barChart>
      <c:catAx>
        <c:axId val="187083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00384"/>
        <c:crosses val="autoZero"/>
        <c:auto val="1"/>
        <c:lblAlgn val="ctr"/>
        <c:lblOffset val="100"/>
        <c:noMultiLvlLbl val="0"/>
      </c:catAx>
      <c:valAx>
        <c:axId val="18710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0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Income by Scenario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SCENARIOS!$C$55</c:f>
              <c:strCache>
                <c:ptCount val="1"/>
                <c:pt idx="0">
                  <c:v>Net Income ($M)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SCENARIOS!$B$56:$B$59</c:f>
              <c:strCache>
                <c:ptCount val="4"/>
                <c:pt idx="0">
                  <c:v>LTM Actual</c:v>
                </c:pt>
                <c:pt idx="1">
                  <c:v>Bear</c:v>
                </c:pt>
                <c:pt idx="2">
                  <c:v>Base</c:v>
                </c:pt>
                <c:pt idx="3">
                  <c:v>Bull</c:v>
                </c:pt>
              </c:strCache>
            </c:strRef>
          </c:cat>
          <c:val>
            <c:numRef>
              <c:f>SCENARIOS!$C$56:$C$59</c:f>
              <c:numCache>
                <c:formatCode>General</c:formatCode>
                <c:ptCount val="4"/>
                <c:pt idx="0">
                  <c:v>104057</c:v>
                </c:pt>
                <c:pt idx="1">
                  <c:v>78042.749999999985</c:v>
                </c:pt>
                <c:pt idx="2">
                  <c:v>104057</c:v>
                </c:pt>
                <c:pt idx="3">
                  <c:v>136760.62857142856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5-48BC-8A4A-22511D278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07584"/>
        <c:axId val="187108064"/>
      </c:barChart>
      <c:catAx>
        <c:axId val="18710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Scenario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08064"/>
        <c:crosses val="autoZero"/>
        <c:auto val="1"/>
        <c:lblAlgn val="ctr"/>
        <c:lblOffset val="100"/>
        <c:noMultiLvlLbl val="0"/>
      </c:catAx>
      <c:valAx>
        <c:axId val="18710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Net Income ($M)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0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DASHBOARD!$L$102:$O$102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DASHBOARD!$L$103:$O$103</c:f>
              <c:numCache>
                <c:formatCode>General</c:formatCode>
                <c:ptCount val="4"/>
                <c:pt idx="0">
                  <c:v>0.5254801255803393</c:v>
                </c:pt>
                <c:pt idx="1">
                  <c:v>0.48943543807114459</c:v>
                </c:pt>
                <c:pt idx="2">
                  <c:v>0.52643724290157523</c:v>
                </c:pt>
                <c:pt idx="3">
                  <c:v>0.57253625300389888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C-401E-AFB9-F9B7F024BFEE}"/>
            </c:ext>
          </c:extLst>
        </c:ser>
        <c:ser>
          <c:idx val="1"/>
          <c:order val="1"/>
          <c:tx>
            <c:v>EBITDA Margin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DASHBOARD!$L$102:$O$102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DASHBOARD!$L$104:$O$104</c:f>
              <c:numCache>
                <c:formatCode>General</c:formatCode>
                <c:ptCount val="4"/>
                <c:pt idx="0">
                  <c:v>0.14480885012565864</c:v>
                </c:pt>
                <c:pt idx="1">
                  <c:v>0.1343254685321906</c:v>
                </c:pt>
                <c:pt idx="2">
                  <c:v>0.16718701125478785</c:v>
                </c:pt>
                <c:pt idx="3">
                  <c:v>0.20723465330745078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C-401E-AFB9-F9B7F024BFEE}"/>
            </c:ext>
          </c:extLst>
        </c:ser>
        <c:ser>
          <c:idx val="2"/>
          <c:order val="2"/>
          <c:tx>
            <c:v>Net Margin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DASHBOARD!$L$102:$O$102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DASHBOARD!$L$105:$O$105</c:f>
              <c:numCache>
                <c:formatCode>General</c:formatCode>
                <c:ptCount val="4"/>
                <c:pt idx="0">
                  <c:v>0.4993619203457374</c:v>
                </c:pt>
                <c:pt idx="1">
                  <c:v>0.53239712943363104</c:v>
                </c:pt>
                <c:pt idx="2">
                  <c:v>0.51926061886578656</c:v>
                </c:pt>
                <c:pt idx="3">
                  <c:v>0.5722228026857743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DC-401E-AFB9-F9B7F024B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799856"/>
        <c:axId val="2064804176"/>
      </c:lineChart>
      <c:catAx>
        <c:axId val="20647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04176"/>
        <c:crosses val="autoZero"/>
        <c:auto val="1"/>
        <c:lblAlgn val="ctr"/>
        <c:lblOffset val="100"/>
        <c:noMultiLvlLbl val="0"/>
      </c:catAx>
      <c:valAx>
        <c:axId val="20648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799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SG&amp;A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DASHBOARD!$L$107:$O$107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DASHBOARD!$L$108:$O$108</c:f>
              <c:numCache>
                <c:formatCode>General</c:formatCode>
                <c:ptCount val="4"/>
                <c:pt idx="0">
                  <c:v>45547</c:v>
                </c:pt>
                <c:pt idx="1">
                  <c:v>51056</c:v>
                </c:pt>
                <c:pt idx="2">
                  <c:v>56331</c:v>
                </c:pt>
                <c:pt idx="3">
                  <c:v>60018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2-4BDA-86C7-EC1432E85746}"/>
            </c:ext>
          </c:extLst>
        </c:ser>
        <c:ser>
          <c:idx val="1"/>
          <c:order val="1"/>
          <c:tx>
            <c:v>R&amp;D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DASHBOARD!$L$107:$O$107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DASHBOARD!$L$109:$O$109</c:f>
              <c:numCache>
                <c:formatCode>General</c:formatCode>
                <c:ptCount val="4"/>
                <c:pt idx="0">
                  <c:v>3075</c:v>
                </c:pt>
                <c:pt idx="1">
                  <c:v>3969</c:v>
                </c:pt>
                <c:pt idx="2">
                  <c:v>4540</c:v>
                </c:pt>
                <c:pt idx="3">
                  <c:v>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2-4BDA-86C7-EC1432E85746}"/>
            </c:ext>
          </c:extLst>
        </c:ser>
        <c:ser>
          <c:idx val="2"/>
          <c:order val="2"/>
          <c:tx>
            <c:v>D&amp;A</c:v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DASHBOARD!$L$107:$O$107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DASHBOARD!$L$110:$O$110</c:f>
              <c:numCache>
                <c:formatCode>General</c:formatCode>
                <c:ptCount val="4"/>
                <c:pt idx="0">
                  <c:v>7051</c:v>
                </c:pt>
                <c:pt idx="1">
                  <c:v>7512</c:v>
                </c:pt>
                <c:pt idx="2">
                  <c:v>7938</c:v>
                </c:pt>
                <c:pt idx="3">
                  <c:v>8821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2-4BDA-86C7-EC1432E85746}"/>
            </c:ext>
          </c:extLst>
        </c:ser>
        <c:ser>
          <c:idx val="3"/>
          <c:order val="3"/>
          <c:tx>
            <c:v>Interest</c:v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DASHBOARD!$L$107:$O$107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DASHBOARD!$L$111:$O$111</c:f>
              <c:numCache>
                <c:formatCode>General</c:formatCode>
                <c:ptCount val="4"/>
                <c:pt idx="0">
                  <c:v>26097</c:v>
                </c:pt>
                <c:pt idx="1">
                  <c:v>81321</c:v>
                </c:pt>
                <c:pt idx="2">
                  <c:v>101350</c:v>
                </c:pt>
                <c:pt idx="3">
                  <c:v>97898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2-4BDA-86C7-EC1432E85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4832016"/>
        <c:axId val="2064833936"/>
      </c:barChart>
      <c:catAx>
        <c:axId val="206483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3936"/>
        <c:crosses val="autoZero"/>
        <c:auto val="1"/>
        <c:lblAlgn val="ctr"/>
        <c:lblOffset val="100"/>
        <c:noMultiLvlLbl val="0"/>
      </c:catAx>
      <c:valAx>
        <c:axId val="206483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4832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DDM Implied Price by Valuation Method vs Current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'BANK VALUATION'!$M$2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1A3C6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'BANK VALUATION'!$L$3:$L$7</c:f>
              <c:strCache>
                <c:ptCount val="5"/>
                <c:pt idx="0">
                  <c:v>DDM Gordon Growth</c:v>
                </c:pt>
                <c:pt idx="1">
                  <c:v>Justified P/B</c:v>
                </c:pt>
                <c:pt idx="2">
                  <c:v>Excess Return Model</c:v>
                </c:pt>
                <c:pt idx="3">
                  <c:v>Blended (3 Methods)</c:v>
                </c:pt>
                <c:pt idx="4">
                  <c:v>Current Market Price</c:v>
                </c:pt>
              </c:strCache>
            </c:strRef>
          </c:cat>
          <c:val>
            <c:numRef>
              <c:f>'BANK VALUATION'!$M$3:$M$7</c:f>
              <c:numCache>
                <c:formatCode>"€"#\ ##0</c:formatCode>
                <c:ptCount val="5"/>
                <c:pt idx="0">
                  <c:v>148.64247634825665</c:v>
                </c:pt>
                <c:pt idx="1">
                  <c:v>366.14198800627298</c:v>
                </c:pt>
                <c:pt idx="2">
                  <c:v>529.26696915060074</c:v>
                </c:pt>
                <c:pt idx="3">
                  <c:v>348.01714450171011</c:v>
                </c:pt>
                <c:pt idx="4">
                  <c:v>311.12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29-475E-BBC1-5EB530EEA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4049488"/>
        <c:axId val="684050928"/>
      </c:barChart>
      <c:catAx>
        <c:axId val="68404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4050928"/>
        <c:crosses val="autoZero"/>
        <c:auto val="1"/>
        <c:lblAlgn val="ctr"/>
        <c:lblOffset val="100"/>
        <c:noMultiLvlLbl val="0"/>
      </c:catAx>
      <c:valAx>
        <c:axId val="684050928"/>
        <c:scaling>
          <c:orientation val="minMax"/>
          <c:max val="6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&quot;€&quot;#\ 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4049488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 vs Cost of Equity (ke) — Hist. + Scenarios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DASHBOARD!$S$113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rgbClr val="1A3C6E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1A3C6E"/>
              </a:solidFill>
              <a:ln w="9525">
                <a:solidFill>
                  <a:srgbClr val="1A3C6E"/>
                </a:solidFill>
                <a:prstDash val="solid"/>
              </a:ln>
              <a:effectLst/>
            </c:spPr>
          </c:marker>
          <c:dLbls>
            <c:numFmt formatCode="0\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DASHBOARD!$R$114:$R$120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LTM</c:v>
                </c:pt>
                <c:pt idx="4">
                  <c:v>Bear</c:v>
                </c:pt>
                <c:pt idx="5">
                  <c:v>Base</c:v>
                </c:pt>
                <c:pt idx="6">
                  <c:v>Bull</c:v>
                </c:pt>
              </c:strCache>
            </c:strRef>
          </c:cat>
          <c:val>
            <c:numRef>
              <c:f>DASHBOARD!$S$114:$S$120</c:f>
              <c:numCache>
                <c:formatCode>General</c:formatCode>
                <c:ptCount val="7"/>
                <c:pt idx="0">
                  <c:v>0.15295113534719873</c:v>
                </c:pt>
                <c:pt idx="1">
                  <c:v>0.18149417650449468</c:v>
                </c:pt>
                <c:pt idx="2">
                  <c:v>0.17910681714546284</c:v>
                </c:pt>
                <c:pt idx="3">
                  <c:v>0.19584656298758374</c:v>
                </c:pt>
                <c:pt idx="4">
                  <c:v>0.14688492224068778</c:v>
                </c:pt>
                <c:pt idx="5">
                  <c:v>0.19584656298758374</c:v>
                </c:pt>
                <c:pt idx="6">
                  <c:v>0.2573983399265386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0-482A-A0A2-04114785A1AA}"/>
            </c:ext>
          </c:extLst>
        </c:ser>
        <c:ser>
          <c:idx val="1"/>
          <c:order val="1"/>
          <c:tx>
            <c:strRef>
              <c:f>DASHBOARD!$T$113</c:f>
              <c:strCache>
                <c:ptCount val="1"/>
                <c:pt idx="0">
                  <c:v>ke</c:v>
                </c:pt>
              </c:strCache>
            </c:strRef>
          </c:tx>
          <c:spPr>
            <a:ln w="28575" cap="rnd">
              <a:solidFill>
                <a:srgbClr val="E05A1C"/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E05A1C"/>
              </a:solidFill>
              <a:ln w="9525">
                <a:solidFill>
                  <a:srgbClr val="E05A1C"/>
                </a:solidFill>
                <a:prstDash val="solid"/>
              </a:ln>
              <a:effectLst/>
            </c:spPr>
          </c:marker>
          <c:dLbls>
            <c:numFmt formatCode="0\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DASHBOARD!$R$114:$R$120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LTM</c:v>
                </c:pt>
                <c:pt idx="4">
                  <c:v>Bear</c:v>
                </c:pt>
                <c:pt idx="5">
                  <c:v>Base</c:v>
                </c:pt>
                <c:pt idx="6">
                  <c:v>Bull</c:v>
                </c:pt>
              </c:strCache>
            </c:strRef>
          </c:cat>
          <c:val>
            <c:numRef>
              <c:f>DASHBOARD!$T$114:$T$120</c:f>
              <c:numCache>
                <c:formatCode>General</c:formatCode>
                <c:ptCount val="7"/>
                <c:pt idx="0">
                  <c:v>0.10829999999999999</c:v>
                </c:pt>
                <c:pt idx="1">
                  <c:v>0.10630000000000001</c:v>
                </c:pt>
                <c:pt idx="2">
                  <c:v>0.10630000000000001</c:v>
                </c:pt>
                <c:pt idx="3">
                  <c:v>0.10630000000000001</c:v>
                </c:pt>
                <c:pt idx="4">
                  <c:v>0.115</c:v>
                </c:pt>
                <c:pt idx="5">
                  <c:v>0.106</c:v>
                </c:pt>
                <c:pt idx="6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0-482A-A0A2-04114785A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4061968"/>
        <c:axId val="684053328"/>
      </c:lineChart>
      <c:catAx>
        <c:axId val="68406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4053328"/>
        <c:crosses val="autoZero"/>
        <c:auto val="1"/>
        <c:lblAlgn val="ctr"/>
        <c:lblOffset val="100"/>
        <c:noMultiLvlLbl val="0"/>
      </c:catAx>
      <c:valAx>
        <c:axId val="684053328"/>
        <c:scaling>
          <c:orientation val="minMax"/>
          <c:max val="0.3"/>
          <c:min val="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4061968"/>
        <c:crosses val="autoZero"/>
        <c:crossBetween val="between"/>
      </c:valAx>
      <c:spPr>
        <a:solidFill>
          <a:srgbClr val="F8F9FA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 w="2540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2'!$C$125:$G$125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2'!$C$127:$G$127</c:f>
              <c:numCache>
                <c:formatCode>General</c:formatCode>
                <c:ptCount val="5"/>
                <c:pt idx="0">
                  <c:v>0</c:v>
                </c:pt>
                <c:pt idx="1">
                  <c:v>127727</c:v>
                </c:pt>
                <c:pt idx="2">
                  <c:v>154952</c:v>
                </c:pt>
                <c:pt idx="3">
                  <c:v>169439</c:v>
                </c:pt>
                <c:pt idx="4">
                  <c:v>181847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5-473E-8923-AC79AB645D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2"/>
        <c:overlap val="100"/>
        <c:axId val="1595827455"/>
        <c:axId val="1595828895"/>
      </c:barChart>
      <c:lineChart>
        <c:grouping val="standard"/>
        <c:varyColors val="0"/>
        <c:ser>
          <c:idx val="1"/>
          <c:order val="1"/>
          <c:tx>
            <c:v>Revenue Growth (%)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35-473E-8923-AC79AB645DEA}"/>
                </c:ext>
              </c:extLst>
            </c:dLbl>
            <c:dLbl>
              <c:idx val="4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35-473E-8923-AC79AB645DEA}"/>
                </c:ext>
              </c:extLst>
            </c:dLbl>
            <c:numFmt formatCode="0.00%" sourceLinked="0"/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ln w="12700"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2'!$C$125:$G$125</c:f>
              <c:strCache>
                <c:ptCount val="5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 (LTM)</c:v>
                </c:pt>
              </c:strCache>
            </c:strRef>
          </c:cat>
          <c:val>
            <c:numRef>
              <c:f>'DASHBOARD 2'!$C$126:$G$126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0.21314992131655797</c:v>
                </c:pt>
                <c:pt idx="3">
                  <c:v>9.3493468945221814E-2</c:v>
                </c:pt>
                <c:pt idx="4">
                  <c:v>7.3229893944133373E-2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35-473E-8923-AC79AB645D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8833696"/>
        <c:axId val="1028832736"/>
      </c:lineChart>
      <c:catAx>
        <c:axId val="159582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8895"/>
        <c:crosses val="autoZero"/>
        <c:auto val="1"/>
        <c:lblAlgn val="ctr"/>
        <c:lblOffset val="100"/>
        <c:noMultiLvlLbl val="0"/>
      </c:catAx>
      <c:valAx>
        <c:axId val="159582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E8E8"/>
              </a:solidFill>
              <a:prstDash val="solid"/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827455"/>
        <c:crosses val="autoZero"/>
        <c:crossBetween val="between"/>
      </c:valAx>
      <c:catAx>
        <c:axId val="1028833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8832736"/>
        <c:crosses val="autoZero"/>
        <c:auto val="1"/>
        <c:lblAlgn val="ctr"/>
        <c:lblOffset val="100"/>
        <c:noMultiLvlLbl val="0"/>
      </c:catAx>
      <c:valAx>
        <c:axId val="1028832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8833696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INPUT!$D$115</c:f>
              <c:strCache>
                <c:ptCount val="1"/>
                <c:pt idx="0">
                  <c:v>JPM</c:v>
                </c:pt>
              </c:strCache>
            </c:strRef>
          </c:tx>
          <c:spPr>
            <a:ln w="28575" cap="rnd">
              <a:solidFill>
                <a:srgbClr val="E8612C"/>
              </a:solidFill>
              <a:prstDash val="solid"/>
              <a:round/>
            </a:ln>
          </c:spPr>
          <c:marker>
            <c:symbol val="none"/>
          </c:marker>
          <c:cat>
            <c:strRef>
              <c:f>STOCK_DATA!$B$3:$B$15</c:f>
              <c:strCache>
                <c:ptCount val="12"/>
                <c:pt idx="0">
                  <c:v>May-25</c:v>
                </c:pt>
                <c:pt idx="1">
                  <c:v>Jun-25</c:v>
                </c:pt>
                <c:pt idx="2">
                  <c:v>Jul-25</c:v>
                </c:pt>
                <c:pt idx="3">
                  <c:v>Aug-25</c:v>
                </c:pt>
                <c:pt idx="4">
                  <c:v>Sep-25</c:v>
                </c:pt>
                <c:pt idx="5">
                  <c:v>Oct-25</c:v>
                </c:pt>
                <c:pt idx="6">
                  <c:v>Nov-25</c:v>
                </c:pt>
                <c:pt idx="7">
                  <c:v>Dec-25</c:v>
                </c:pt>
                <c:pt idx="8">
                  <c:v>Jan-26</c:v>
                </c:pt>
                <c:pt idx="9">
                  <c:v>Feb-26</c:v>
                </c:pt>
                <c:pt idx="10">
                  <c:v>Mar-26</c:v>
                </c:pt>
                <c:pt idx="11">
                  <c:v>Apr-26</c:v>
                </c:pt>
              </c:strCache>
            </c:strRef>
          </c:cat>
          <c:val>
            <c:numRef>
              <c:f>STOCK_DATA!$C$3:$C$15</c:f>
              <c:numCache>
                <c:formatCode>"€"#\ ##0.00</c:formatCode>
                <c:ptCount val="13"/>
                <c:pt idx="0">
                  <c:v>258.95999999999998</c:v>
                </c:pt>
                <c:pt idx="1">
                  <c:v>284.38</c:v>
                </c:pt>
                <c:pt idx="2">
                  <c:v>290.58999999999997</c:v>
                </c:pt>
                <c:pt idx="3">
                  <c:v>297.08999999999997</c:v>
                </c:pt>
                <c:pt idx="4">
                  <c:v>310.89999999999998</c:v>
                </c:pt>
                <c:pt idx="5">
                  <c:v>306.66000000000003</c:v>
                </c:pt>
                <c:pt idx="6">
                  <c:v>310.08999999999997</c:v>
                </c:pt>
                <c:pt idx="7">
                  <c:v>319.14</c:v>
                </c:pt>
                <c:pt idx="8">
                  <c:v>302.97000000000003</c:v>
                </c:pt>
                <c:pt idx="9">
                  <c:v>298.77</c:v>
                </c:pt>
                <c:pt idx="10">
                  <c:v>292.66000000000003</c:v>
                </c:pt>
                <c:pt idx="11">
                  <c:v>311.12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A-40A3-AB4E-C40BAC3E3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6409328"/>
        <c:axId val="1116398288"/>
      </c:lineChart>
      <c:catAx>
        <c:axId val="11164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398288"/>
        <c:crosses val="autoZero"/>
        <c:auto val="1"/>
        <c:lblAlgn val="ctr"/>
        <c:lblOffset val="100"/>
        <c:tickLblSkip val="1"/>
        <c:noMultiLvlLbl val="0"/>
      </c:catAx>
      <c:valAx>
        <c:axId val="11163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c:spPr>
        </c:majorGridlines>
        <c:numFmt formatCode="&quot;€&quot;#\ ##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640932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'DASHBOARD 2'!$R$108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2'!$S$109:$V$109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2'!$S$110:$V$110</c:f>
              <c:numCache>
                <c:formatCode>General</c:formatCode>
                <c:ptCount val="4"/>
                <c:pt idx="0">
                  <c:v>18496</c:v>
                </c:pt>
                <c:pt idx="1">
                  <c:v>20814</c:v>
                </c:pt>
                <c:pt idx="2">
                  <c:v>28328</c:v>
                </c:pt>
                <c:pt idx="3">
                  <c:v>37685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C-4E85-959B-2378FA8158E6}"/>
            </c:ext>
          </c:extLst>
        </c:ser>
        <c:ser>
          <c:idx val="1"/>
          <c:order val="1"/>
          <c:tx>
            <c:strRef>
              <c:f>'DASHBOARD 2'!$R$109</c:f>
              <c:strCache>
                <c:ptCount val="1"/>
                <c:pt idx="0">
                  <c:v>CFO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2'!$S$109:$V$109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2'!$S$111:$V$111</c:f>
              <c:numCache>
                <c:formatCode>General</c:formatCode>
                <c:ptCount val="4"/>
                <c:pt idx="0">
                  <c:v>126067</c:v>
                </c:pt>
                <c:pt idx="1">
                  <c:v>90645</c:v>
                </c:pt>
                <c:pt idx="2">
                  <c:v>103610</c:v>
                </c:pt>
                <c:pt idx="3">
                  <c:v>91331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AC-4E85-959B-2378FA8158E6}"/>
            </c:ext>
          </c:extLst>
        </c:ser>
        <c:ser>
          <c:idx val="2"/>
          <c:order val="2"/>
          <c:tx>
            <c:strRef>
              <c:f>'DASHBOARD 2'!$R$110</c:f>
              <c:strCache>
                <c:ptCount val="1"/>
                <c:pt idx="0">
                  <c:v>Net 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'DASHBOARD 2'!$S$109:$V$109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 (LTM)</c:v>
                </c:pt>
              </c:strCache>
            </c:strRef>
          </c:cat>
          <c:val>
            <c:numRef>
              <c:f>'DASHBOARD 2'!$S$112:$V$112</c:f>
              <c:numCache>
                <c:formatCode>General</c:formatCode>
                <c:ptCount val="4"/>
                <c:pt idx="0">
                  <c:v>63782</c:v>
                </c:pt>
                <c:pt idx="1">
                  <c:v>82496</c:v>
                </c:pt>
                <c:pt idx="2">
                  <c:v>87983</c:v>
                </c:pt>
                <c:pt idx="3">
                  <c:v>104057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C-4E85-959B-2378FA81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85920"/>
        <c:axId val="211486400"/>
      </c:lineChart>
      <c:catAx>
        <c:axId val="21148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6400"/>
        <c:crosses val="autoZero"/>
        <c:auto val="1"/>
        <c:lblAlgn val="ctr"/>
        <c:lblOffset val="100"/>
        <c:noMultiLvlLbl val="0"/>
      </c:catAx>
      <c:valAx>
        <c:axId val="21148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14859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Valuation — JPMorgan Chase (JPM)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 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F6-468F-AF9D-13EA50AA04D1}"/>
                </c:ext>
              </c:extLst>
            </c:dLbl>
            <c:dLbl>
              <c:idx val="1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F6-468F-AF9D-13EA50AA04D1}"/>
                </c:ext>
              </c:extLst>
            </c:dLbl>
            <c:dLbl>
              <c:idx val="2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F6-468F-AF9D-13EA50AA04D1}"/>
                </c:ext>
              </c:extLst>
            </c:dLbl>
            <c:dLbl>
              <c:idx val="3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F6-468F-AF9D-13EA50AA04D1}"/>
                </c:ext>
              </c:extLst>
            </c:dLbl>
            <c:dLbl>
              <c:idx val="4"/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59F6-468F-AF9D-13EA50AA04D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2'!$AA$2:$AA$5</c:f>
              <c:strCache>
                <c:ptCount val="4"/>
                <c:pt idx="0">
                  <c:v>DDM Gordon Growth</c:v>
                </c:pt>
                <c:pt idx="1">
                  <c:v>Justified P/B</c:v>
                </c:pt>
                <c:pt idx="2">
                  <c:v>Excess Return Model</c:v>
                </c:pt>
                <c:pt idx="3">
                  <c:v>Blended (3 Methods)</c:v>
                </c:pt>
              </c:strCache>
            </c:strRef>
          </c:cat>
          <c:val>
            <c:numRef>
              <c:f>'DASHBOARD 2'!$AB$2:$AB$5</c:f>
              <c:numCache>
                <c:formatCode>#,##0_);\(#,##0\)</c:formatCode>
                <c:ptCount val="4"/>
                <c:pt idx="0" formatCode="General">
                  <c:v>73.90687744915094</c:v>
                </c:pt>
                <c:pt idx="1">
                  <c:v>143.93274215663206</c:v>
                </c:pt>
                <c:pt idx="2">
                  <c:v>291.09683303283043</c:v>
                </c:pt>
                <c:pt idx="3">
                  <c:v>169.64548421287114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6-468F-AF9D-13EA50AA04D1}"/>
            </c:ext>
          </c:extLst>
        </c:ser>
        <c:ser>
          <c:idx val="1"/>
          <c:order val="1"/>
          <c:tx>
            <c:v>Valuation Range</c:v>
          </c:tx>
          <c:spPr>
            <a:solidFill>
              <a:srgbClr val="1A3C6E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1A3C6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9F6-468F-AF9D-13EA50AA04D1}"/>
              </c:ext>
            </c:extLst>
          </c:dPt>
          <c:cat>
            <c:strRef>
              <c:f>'DASHBOARD 2'!$AA$2:$AA$5</c:f>
              <c:strCache>
                <c:ptCount val="4"/>
                <c:pt idx="0">
                  <c:v>DDM Gordon Growth</c:v>
                </c:pt>
                <c:pt idx="1">
                  <c:v>Justified P/B</c:v>
                </c:pt>
                <c:pt idx="2">
                  <c:v>Excess Return Model</c:v>
                </c:pt>
                <c:pt idx="3">
                  <c:v>Blended (3 Methods)</c:v>
                </c:pt>
              </c:strCache>
            </c:strRef>
          </c:cat>
          <c:val>
            <c:numRef>
              <c:f>'DASHBOARD 2'!$AC$2:$AC$5</c:f>
              <c:numCache>
                <c:formatCode>#,##0_);\(#,##0\)</c:formatCode>
                <c:ptCount val="4"/>
                <c:pt idx="0" formatCode="General">
                  <c:v>278.26641500946346</c:v>
                </c:pt>
                <c:pt idx="1">
                  <c:v>568.84423455204842</c:v>
                </c:pt>
                <c:pt idx="2">
                  <c:v>423.41357532048062</c:v>
                </c:pt>
                <c:pt idx="3">
                  <c:v>423.50807496066415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F6-468F-AF9D-13EA50AA04D1}"/>
            </c:ext>
          </c:extLst>
        </c:ser>
        <c:ser>
          <c:idx val="2"/>
          <c:order val="2"/>
          <c:tx>
            <c:v>  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strRef>
                  <c:f>'DASHBOARD 2'!$K$6</c:f>
                  <c:strCache>
                    <c:ptCount val="1"/>
                    <c:pt idx="0">
                      <c:v> 352,17 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{28CDE8EB-2272-4249-A9DC-F4EE4499B677}</c15:txfldGUID>
                      <c15:f>'DASHBOARD 2'!$K$6</c15:f>
                      <c15:dlblFieldTableCache>
                        <c:ptCount val="1"/>
                        <c:pt idx="0">
                          <c:v> 352,17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59F6-468F-AF9D-13EA50AA04D1}"/>
                </c:ext>
              </c:extLst>
            </c:dLbl>
            <c:dLbl>
              <c:idx val="1"/>
              <c:tx>
                <c:strRef>
                  <c:f>'DASHBOARD 2'!$K$7</c:f>
                  <c:strCache>
                    <c:ptCount val="1"/>
                    <c:pt idx="0">
                      <c:v> 712,78 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{F5BA222B-1C5D-4B01-9BF8-4237FCE6B811}</c15:txfldGUID>
                      <c15:f>'DASHBOARD 2'!$K$7</c15:f>
                      <c15:dlblFieldTableCache>
                        <c:ptCount val="1"/>
                        <c:pt idx="0">
                          <c:v> 712,78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9F6-468F-AF9D-13EA50AA04D1}"/>
                </c:ext>
              </c:extLst>
            </c:dLbl>
            <c:dLbl>
              <c:idx val="2"/>
              <c:tx>
                <c:strRef>
                  <c:f>'DASHBOARD 2'!$K$8</c:f>
                  <c:strCache>
                    <c:ptCount val="1"/>
                    <c:pt idx="0">
                      <c:v> 714,51 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{AA325E77-8015-4CEB-8FCE-6D9FE49276FA}</c15:txfldGUID>
                      <c15:f>'DASHBOARD 2'!$K$8</c15:f>
                      <c15:dlblFieldTableCache>
                        <c:ptCount val="1"/>
                        <c:pt idx="0">
                          <c:v> 714,51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9F6-468F-AF9D-13EA50AA04D1}"/>
                </c:ext>
              </c:extLst>
            </c:dLbl>
            <c:dLbl>
              <c:idx val="3"/>
              <c:tx>
                <c:strRef>
                  <c:f>'DASHBOARD 2'!$K$9</c:f>
                  <c:strCache>
                    <c:ptCount val="1"/>
                    <c:pt idx="0">
                      <c:v> 593,15 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{F5419AF2-5A2E-41CE-92F3-A170F6341DB6}</c15:txfldGUID>
                      <c15:f>'DASHBOARD 2'!$K$9</c15:f>
                      <c15:dlblFieldTableCache>
                        <c:ptCount val="1"/>
                        <c:pt idx="0">
                          <c:v> 593,15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9F6-468F-AF9D-13EA50AA04D1}"/>
                </c:ext>
              </c:extLst>
            </c:dLbl>
            <c:dLbl>
              <c:idx val="4"/>
              <c:tx>
                <c:strRef>
                  <c:f>'DASHBOARD 2'!$K$10</c:f>
                  <c:strCache>
                    <c:ptCount val="1"/>
                    <c:pt idx="0">
                      <c:v> 311,12 </c:v>
                    </c:pt>
                  </c:strCache>
                </c:strRef>
              </c:tx>
              <c:numFmt formatCode="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{AAF8E992-0E1D-4E9D-A75E-310EFF75AD21}</c15:txfldGUID>
                      <c15:f>'DASHBOARD 2'!$K$10</c15:f>
                      <c15:dlblFieldTableCache>
                        <c:ptCount val="1"/>
                        <c:pt idx="0">
                          <c:v> 311,12 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9F6-468F-AF9D-13EA50AA04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2'!$AA$2:$AA$5</c:f>
              <c:strCache>
                <c:ptCount val="4"/>
                <c:pt idx="0">
                  <c:v>DDM Gordon Growth</c:v>
                </c:pt>
                <c:pt idx="1">
                  <c:v>Justified P/B</c:v>
                </c:pt>
                <c:pt idx="2">
                  <c:v>Excess Return Model</c:v>
                </c:pt>
                <c:pt idx="3">
                  <c:v>Blended (3 Methods)</c:v>
                </c:pt>
              </c:strCache>
            </c:strRef>
          </c:cat>
          <c:val>
            <c:numRef>
              <c:f>'DASHBOARD 2'!$AD$2:$AD$5</c:f>
              <c:numCache>
                <c:formatCode>#,##0_);\(#,##0\)</c:formatCode>
                <c:ptCount val="4"/>
                <c:pt idx="0" formatCode="_(* #,##0.00_);_(* \(#,##0.00\);_(* &quot;-&quot;??_);_(@_)">
                  <c:v>447.82670754138559</c:v>
                </c:pt>
                <c:pt idx="1">
                  <c:v>87.223023291319578</c:v>
                </c:pt>
                <c:pt idx="2">
                  <c:v>85.48959164668895</c:v>
                </c:pt>
                <c:pt idx="3">
                  <c:v>206.84644082646469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F6-468F-AF9D-13EA50AA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5330560"/>
        <c:axId val="395329120"/>
      </c:barChart>
      <c:scatterChart>
        <c:scatterStyle val="lineMarker"/>
        <c:varyColors val="0"/>
        <c:ser>
          <c:idx val="3"/>
          <c:order val="3"/>
          <c:tx>
            <c:v>Current Price ($311)</c:v>
          </c:tx>
          <c:spPr>
            <a:ln w="28575" cap="rnd">
              <a:solidFill>
                <a:srgbClr val="E05A1C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'DASHBOARD 2'!$AF$2:$AF$5</c:f>
              <c:numCache>
                <c:formatCode>#,##0_);\(#,##0\)</c:formatCode>
                <c:ptCount val="4"/>
                <c:pt idx="0" formatCode="_(* #,##0.00_);_(* \(#,##0.00\);_(* &quot;-&quot;??_);_(@_)">
                  <c:v>311.12</c:v>
                </c:pt>
                <c:pt idx="1">
                  <c:v>311.12</c:v>
                </c:pt>
                <c:pt idx="2">
                  <c:v>311.12</c:v>
                </c:pt>
                <c:pt idx="3">
                  <c:v>311.12</c:v>
                </c:pt>
              </c:numCache>
            </c:numRef>
          </c:xVal>
          <c:yVal>
            <c:numRef>
              <c:f>'DASHBOARD 2'!$AG$2:$AG$5</c:f>
              <c:numCache>
                <c:formatCode>#,##0_);\(#,##0\)</c:formatCode>
                <c:ptCount val="4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9F6-468F-AF9D-13EA50AA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297776"/>
        <c:axId val="518230576"/>
      </c:scatterChart>
      <c:catAx>
        <c:axId val="39533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329120"/>
        <c:crosses val="autoZero"/>
        <c:auto val="1"/>
        <c:lblAlgn val="ctr"/>
        <c:lblOffset val="100"/>
        <c:noMultiLvlLbl val="0"/>
      </c:catAx>
      <c:valAx>
        <c:axId val="395329120"/>
        <c:scaling>
          <c:orientation val="minMax"/>
          <c:max val="800"/>
          <c:min val="0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5330560"/>
        <c:crosses val="autoZero"/>
        <c:crossBetween val="between"/>
        <c:majorUnit val="100"/>
      </c:valAx>
      <c:valAx>
        <c:axId val="51823057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395297776"/>
        <c:crosses val="max"/>
        <c:crossBetween val="midCat"/>
      </c:valAx>
      <c:valAx>
        <c:axId val="395297776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518230576"/>
        <c:crosses val="autoZero"/>
        <c:crossBetween val="midCat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688731</xdr:colOff>
      <xdr:row>110</xdr:row>
      <xdr:rowOff>163098</xdr:rowOff>
    </xdr:from>
    <xdr:to>
      <xdr:col>10</xdr:col>
      <xdr:colOff>117231</xdr:colOff>
      <xdr:row>125</xdr:row>
      <xdr:rowOff>48798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</xdr:colOff>
      <xdr:row>110</xdr:row>
      <xdr:rowOff>163098</xdr:rowOff>
    </xdr:from>
    <xdr:to>
      <xdr:col>4</xdr:col>
      <xdr:colOff>419833</xdr:colOff>
      <xdr:row>125</xdr:row>
      <xdr:rowOff>48798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9899</xdr:colOff>
      <xdr:row>1</xdr:row>
      <xdr:rowOff>3776</xdr:rowOff>
    </xdr:from>
    <xdr:to>
      <xdr:col>17</xdr:col>
      <xdr:colOff>62753</xdr:colOff>
      <xdr:row>15</xdr:row>
      <xdr:rowOff>170329</xdr:rowOff>
    </xdr:to>
    <xdr:graphicFrame macro="">
      <xdr:nvGraphicFramePr>
        <xdr:cNvPr id="15" name="Football Field Valuation — JPMorgan Chase (JPM)">
          <a:extLst>
            <a:ext uri="{FF2B5EF4-FFF2-40B4-BE49-F238E27FC236}">
              <a16:creationId xmlns:a16="http://schemas.microsoft.com/office/drawing/2014/main" id="{E5D53172-932E-9326-DA73-4E78B39F3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705620</xdr:colOff>
      <xdr:row>25</xdr:row>
      <xdr:rowOff>54593</xdr:rowOff>
    </xdr:from>
    <xdr:to>
      <xdr:col>12</xdr:col>
      <xdr:colOff>898412</xdr:colOff>
      <xdr:row>38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1858485</xdr:colOff>
      <xdr:row>25</xdr:row>
      <xdr:rowOff>57005</xdr:rowOff>
    </xdr:from>
    <xdr:to>
      <xdr:col>6</xdr:col>
      <xdr:colOff>59031</xdr:colOff>
      <xdr:row>38</xdr:row>
      <xdr:rowOff>180880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688933</xdr:colOff>
      <xdr:row>15</xdr:row>
      <xdr:rowOff>0</xdr:rowOff>
    </xdr:from>
    <xdr:to>
      <xdr:col>8</xdr:col>
      <xdr:colOff>897699</xdr:colOff>
      <xdr:row>30</xdr:row>
      <xdr:rowOff>167015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EBC7C20-0F8A-E39D-7C54-8368E7222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9</xdr:col>
      <xdr:colOff>2</xdr:colOff>
      <xdr:row>14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57EE1F5-378F-015A-984D-C6F28D3B4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250467</xdr:colOff>
      <xdr:row>22</xdr:row>
      <xdr:rowOff>63426</xdr:rowOff>
    </xdr:from>
    <xdr:to>
      <xdr:col>6</xdr:col>
      <xdr:colOff>793713</xdr:colOff>
      <xdr:row>37</xdr:row>
      <xdr:rowOff>78443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437009</xdr:colOff>
      <xdr:row>42</xdr:row>
      <xdr:rowOff>79694</xdr:rowOff>
    </xdr:from>
    <xdr:to>
      <xdr:col>13</xdr:col>
      <xdr:colOff>744583</xdr:colOff>
      <xdr:row>57</xdr:row>
      <xdr:rowOff>124370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208024</xdr:colOff>
      <xdr:row>42</xdr:row>
      <xdr:rowOff>16136</xdr:rowOff>
    </xdr:from>
    <xdr:to>
      <xdr:col>6</xdr:col>
      <xdr:colOff>663188</xdr:colOff>
      <xdr:row>57</xdr:row>
      <xdr:rowOff>19684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B115912-2A7D-29DA-43A3-25B53A77D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20451</xdr:colOff>
      <xdr:row>42</xdr:row>
      <xdr:rowOff>98947</xdr:rowOff>
    </xdr:from>
    <xdr:to>
      <xdr:col>18</xdr:col>
      <xdr:colOff>745080</xdr:colOff>
      <xdr:row>57</xdr:row>
      <xdr:rowOff>139961</xdr:rowOff>
    </xdr:to>
    <xdr:graphicFrame macro="">
      <xdr:nvGraphicFramePr>
        <xdr:cNvPr id="11" name="FinSight — ROE vs ke">
          <a:extLst>
            <a:ext uri="{FF2B5EF4-FFF2-40B4-BE49-F238E27FC236}">
              <a16:creationId xmlns:a16="http://schemas.microsoft.com/office/drawing/2014/main" id="{E7021980-CD23-95CD-F2B1-EB1EBAA75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80682</xdr:colOff>
      <xdr:row>35</xdr:row>
      <xdr:rowOff>166294</xdr:rowOff>
    </xdr:from>
    <xdr:to>
      <xdr:col>17</xdr:col>
      <xdr:colOff>206189</xdr:colOff>
      <xdr:row>52</xdr:row>
      <xdr:rowOff>50873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119230</xdr:colOff>
      <xdr:row>35</xdr:row>
      <xdr:rowOff>150831</xdr:rowOff>
    </xdr:from>
    <xdr:to>
      <xdr:col>7</xdr:col>
      <xdr:colOff>4708</xdr:colOff>
      <xdr:row>51</xdr:row>
      <xdr:rowOff>224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73062</xdr:colOff>
      <xdr:row>3</xdr:row>
      <xdr:rowOff>96484</xdr:rowOff>
    </xdr:from>
    <xdr:to>
      <xdr:col>17</xdr:col>
      <xdr:colOff>170329</xdr:colOff>
      <xdr:row>15</xdr:row>
      <xdr:rowOff>153296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98612</xdr:colOff>
      <xdr:row>18</xdr:row>
      <xdr:rowOff>131892</xdr:rowOff>
    </xdr:from>
    <xdr:to>
      <xdr:col>17</xdr:col>
      <xdr:colOff>188259</xdr:colOff>
      <xdr:row>32</xdr:row>
      <xdr:rowOff>173914</xdr:rowOff>
    </xdr:to>
    <xdr:graphicFrame macro="">
      <xdr:nvGraphicFramePr>
        <xdr:cNvPr id="6" name="Football Field Valuation — JPMorgan Chase (JPM)">
          <a:extLst>
            <a:ext uri="{FF2B5EF4-FFF2-40B4-BE49-F238E27FC236}">
              <a16:creationId xmlns:a16="http://schemas.microsoft.com/office/drawing/2014/main" id="{4AA803D6-7BF9-7BCA-1940-E1E0B6B6C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BCF35C-3EFE-421E-93BE-A92D282E1EA4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e2e63641-18cc-407a-b9aa-4d454a9cb8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51"/>
  <sheetViews>
    <sheetView showGridLines="0" tabSelected="1" zoomScale="70" zoomScaleNormal="100" workbookViewId="0">
      <selection activeCell="D1" sqref="D1"/>
    </sheetView>
  </sheetViews>
  <sheetFormatPr baseColWidth="10" defaultRowHeight="14.4" x14ac:dyDescent="0.3"/>
  <cols>
    <col min="1" max="1" width="11" customWidth="1"/>
    <col min="2" max="2" width="50" style="12" customWidth="1"/>
    <col min="3" max="3" width="15.6640625" customWidth="1"/>
    <col min="4" max="8" width="13.33203125" style="14" customWidth="1"/>
  </cols>
  <sheetData>
    <row r="1" spans="1:8" ht="54.9" customHeight="1" x14ac:dyDescent="0.6">
      <c r="A1" s="4"/>
      <c r="B1" s="177" t="s">
        <v>100</v>
      </c>
      <c r="C1" s="4"/>
      <c r="D1" s="4"/>
      <c r="E1" s="4"/>
      <c r="F1" s="49"/>
      <c r="G1" s="4"/>
      <c r="H1" s="4"/>
    </row>
    <row r="2" spans="1:8" ht="15" customHeight="1" x14ac:dyDescent="0.35">
      <c r="A2" s="3"/>
      <c r="B2" s="8"/>
      <c r="C2" s="3"/>
      <c r="D2" s="15"/>
      <c r="E2" s="15"/>
      <c r="F2" s="15"/>
      <c r="G2" s="15"/>
      <c r="H2" s="15"/>
    </row>
    <row r="3" spans="1:8" ht="18" customHeight="1" x14ac:dyDescent="0.5">
      <c r="A3" s="53"/>
      <c r="B3" s="9" t="s">
        <v>0</v>
      </c>
      <c r="C3" s="5"/>
      <c r="D3" s="5"/>
      <c r="E3" s="16"/>
      <c r="F3" s="16"/>
      <c r="G3" s="16"/>
      <c r="H3" s="16"/>
    </row>
    <row r="4" spans="1:8" ht="15" customHeight="1" x14ac:dyDescent="0.35">
      <c r="A4" s="3"/>
      <c r="B4" s="7" t="s">
        <v>1</v>
      </c>
      <c r="C4" s="3"/>
      <c r="D4" s="15"/>
      <c r="E4" s="15"/>
      <c r="F4" s="15"/>
      <c r="G4" s="15"/>
      <c r="H4" s="15"/>
    </row>
    <row r="5" spans="1:8" ht="15" customHeight="1" x14ac:dyDescent="0.35">
      <c r="A5" s="105"/>
      <c r="B5" s="10" t="s">
        <v>2</v>
      </c>
      <c r="C5" s="1" t="s">
        <v>3</v>
      </c>
      <c r="D5" s="1"/>
      <c r="E5" s="17">
        <v>2022</v>
      </c>
      <c r="F5" s="17">
        <v>2023</v>
      </c>
      <c r="G5" s="17">
        <v>2024</v>
      </c>
      <c r="H5" s="17" t="s">
        <v>4</v>
      </c>
    </row>
    <row r="6" spans="1:8" ht="15" customHeight="1" x14ac:dyDescent="0.35">
      <c r="A6" s="3"/>
      <c r="B6" s="8"/>
      <c r="C6" s="3"/>
      <c r="D6" s="15"/>
      <c r="E6" s="15"/>
      <c r="F6" s="15"/>
      <c r="G6" s="15"/>
      <c r="H6" s="15"/>
    </row>
    <row r="7" spans="1:8" ht="18" customHeight="1" x14ac:dyDescent="0.5">
      <c r="A7" s="53" t="s">
        <v>5</v>
      </c>
      <c r="B7" s="9" t="s">
        <v>6</v>
      </c>
      <c r="C7" s="5"/>
      <c r="D7" s="16"/>
      <c r="E7" s="16"/>
      <c r="F7" s="16"/>
      <c r="G7" s="16"/>
      <c r="H7" s="16"/>
    </row>
    <row r="8" spans="1:8" ht="18" customHeight="1" x14ac:dyDescent="0.5">
      <c r="A8" s="53"/>
      <c r="B8" s="52"/>
      <c r="C8" s="53"/>
      <c r="D8" s="51"/>
      <c r="E8" s="51"/>
      <c r="F8" s="51"/>
      <c r="G8" s="51"/>
      <c r="H8" s="51"/>
    </row>
    <row r="9" spans="1:8" ht="15" customHeight="1" x14ac:dyDescent="0.35">
      <c r="A9" s="3"/>
      <c r="B9" s="11" t="s">
        <v>7</v>
      </c>
      <c r="C9" s="22" t="s">
        <v>8</v>
      </c>
      <c r="D9" s="108"/>
      <c r="E9" s="108">
        <v>127727</v>
      </c>
      <c r="F9" s="108">
        <v>154952</v>
      </c>
      <c r="G9" s="108">
        <v>169439</v>
      </c>
      <c r="H9" s="108">
        <v>181847</v>
      </c>
    </row>
    <row r="10" spans="1:8" ht="15" customHeight="1" x14ac:dyDescent="0.35">
      <c r="A10" s="3"/>
      <c r="B10" s="11" t="s">
        <v>9</v>
      </c>
      <c r="C10" s="22" t="s">
        <v>8</v>
      </c>
      <c r="D10" s="109"/>
      <c r="E10" s="109">
        <v>-60609</v>
      </c>
      <c r="F10" s="109">
        <v>-79113</v>
      </c>
      <c r="G10" s="109">
        <v>-80240</v>
      </c>
      <c r="H10" s="109">
        <v>-77733</v>
      </c>
    </row>
    <row r="11" spans="1:8" ht="15" customHeight="1" x14ac:dyDescent="0.35">
      <c r="A11" s="3"/>
      <c r="B11" s="31" t="s">
        <v>10</v>
      </c>
      <c r="C11" s="32" t="s">
        <v>8</v>
      </c>
      <c r="D11" s="116">
        <f>D9+D10</f>
        <v>0</v>
      </c>
      <c r="E11" s="116">
        <f>E9+E10</f>
        <v>67118</v>
      </c>
      <c r="F11" s="116">
        <f>F9+F10</f>
        <v>75839</v>
      </c>
      <c r="G11" s="116">
        <f>G9+G10</f>
        <v>89199</v>
      </c>
      <c r="H11" s="116">
        <f>H9+H10</f>
        <v>104114</v>
      </c>
    </row>
    <row r="12" spans="1:8" ht="15" customHeight="1" x14ac:dyDescent="0.35">
      <c r="A12" s="3"/>
      <c r="B12" s="31"/>
      <c r="C12" s="32"/>
      <c r="D12" s="33"/>
      <c r="E12" s="33"/>
      <c r="F12" s="33"/>
      <c r="G12" s="33"/>
      <c r="H12" s="33"/>
    </row>
    <row r="13" spans="1:8" ht="15" customHeight="1" x14ac:dyDescent="0.35">
      <c r="A13" s="3"/>
      <c r="B13" s="31"/>
      <c r="C13" s="32"/>
      <c r="D13" s="116">
        <f>SUM(D14:D16)</f>
        <v>0</v>
      </c>
      <c r="E13" s="116">
        <f>SUM(E14:E16)</f>
        <v>-55673</v>
      </c>
      <c r="F13" s="116">
        <f>SUM(F14:F16)</f>
        <v>-62537</v>
      </c>
      <c r="G13" s="116">
        <f>SUM(G14:G16)</f>
        <v>-68809</v>
      </c>
      <c r="H13" s="116">
        <f>SUM(H14:H16)</f>
        <v>-75250</v>
      </c>
    </row>
    <row r="14" spans="1:8" ht="15" customHeight="1" x14ac:dyDescent="0.35">
      <c r="A14" s="3"/>
      <c r="B14" s="11" t="s">
        <v>11</v>
      </c>
      <c r="C14" s="22" t="s">
        <v>8</v>
      </c>
      <c r="D14" s="108"/>
      <c r="E14" s="108">
        <v>-45547</v>
      </c>
      <c r="F14" s="108">
        <v>-51056</v>
      </c>
      <c r="G14" s="108">
        <v>-56331</v>
      </c>
      <c r="H14" s="108">
        <v>-60018</v>
      </c>
    </row>
    <row r="15" spans="1:8" ht="15" customHeight="1" x14ac:dyDescent="0.35">
      <c r="A15" s="3"/>
      <c r="B15" s="11" t="s">
        <v>12</v>
      </c>
      <c r="C15" s="22" t="s">
        <v>8</v>
      </c>
      <c r="D15" s="108"/>
      <c r="E15" s="108">
        <v>-3075</v>
      </c>
      <c r="F15" s="108">
        <v>-3969</v>
      </c>
      <c r="G15" s="108">
        <v>-4540</v>
      </c>
      <c r="H15" s="108">
        <v>-6411</v>
      </c>
    </row>
    <row r="16" spans="1:8" ht="15" customHeight="1" x14ac:dyDescent="0.35">
      <c r="A16" s="3"/>
      <c r="B16" s="11" t="s">
        <v>13</v>
      </c>
      <c r="C16" s="22" t="s">
        <v>8</v>
      </c>
      <c r="D16" s="110"/>
      <c r="E16" s="110">
        <v>-7051</v>
      </c>
      <c r="F16" s="110">
        <v>-7512</v>
      </c>
      <c r="G16" s="110">
        <v>-7938</v>
      </c>
      <c r="H16" s="110">
        <v>-8821</v>
      </c>
    </row>
    <row r="17" spans="1:8" ht="15" customHeight="1" x14ac:dyDescent="0.35">
      <c r="A17" s="3"/>
      <c r="B17" s="31" t="s">
        <v>14</v>
      </c>
      <c r="C17" s="32" t="s">
        <v>8</v>
      </c>
      <c r="D17" s="116">
        <f>D11+D13</f>
        <v>0</v>
      </c>
      <c r="E17" s="116">
        <f>E11+E13</f>
        <v>11445</v>
      </c>
      <c r="F17" s="116">
        <f>F11+F13</f>
        <v>13302</v>
      </c>
      <c r="G17" s="116">
        <f>G11+G13</f>
        <v>20390</v>
      </c>
      <c r="H17" s="116">
        <f>H11+H13</f>
        <v>28864</v>
      </c>
    </row>
    <row r="18" spans="1:8" ht="15" customHeight="1" x14ac:dyDescent="0.35">
      <c r="A18" s="3"/>
      <c r="B18" s="31"/>
      <c r="C18" s="32"/>
      <c r="D18" s="33"/>
      <c r="E18" s="33"/>
      <c r="F18" s="33"/>
      <c r="G18" s="33"/>
      <c r="H18" s="33"/>
    </row>
    <row r="19" spans="1:8" ht="15" customHeight="1" x14ac:dyDescent="0.35">
      <c r="A19" s="3"/>
      <c r="B19" s="31"/>
      <c r="C19" s="32"/>
      <c r="D19" s="116">
        <f>D17+D20+D21</f>
        <v>0</v>
      </c>
      <c r="E19" s="116">
        <f>E17+E20+E21</f>
        <v>78155</v>
      </c>
      <c r="F19" s="116">
        <f>F17+F20+F21</f>
        <v>102569</v>
      </c>
      <c r="G19" s="116">
        <f>G17+G20+G21</f>
        <v>112973</v>
      </c>
      <c r="H19" s="116">
        <f>H17+H20+H21</f>
        <v>124307</v>
      </c>
    </row>
    <row r="20" spans="1:8" ht="15" customHeight="1" x14ac:dyDescent="0.35">
      <c r="A20" s="3"/>
      <c r="B20" s="11" t="s">
        <v>15</v>
      </c>
      <c r="C20" s="22" t="s">
        <v>8</v>
      </c>
      <c r="D20" s="108"/>
      <c r="E20" s="108">
        <v>-26097</v>
      </c>
      <c r="F20" s="108">
        <v>-81321</v>
      </c>
      <c r="G20" s="108">
        <v>-101350</v>
      </c>
      <c r="H20" s="108">
        <v>-97898</v>
      </c>
    </row>
    <row r="21" spans="1:8" ht="15" customHeight="1" x14ac:dyDescent="0.35">
      <c r="A21" s="3"/>
      <c r="B21" s="11" t="s">
        <v>16</v>
      </c>
      <c r="C21" s="22" t="s">
        <v>8</v>
      </c>
      <c r="D21" s="110"/>
      <c r="E21" s="110">
        <v>92807</v>
      </c>
      <c r="F21" s="110">
        <v>170588</v>
      </c>
      <c r="G21" s="110">
        <v>193933</v>
      </c>
      <c r="H21" s="110">
        <v>193341</v>
      </c>
    </row>
    <row r="22" spans="1:8" ht="15" customHeight="1" x14ac:dyDescent="0.35">
      <c r="A22" s="3"/>
      <c r="B22" s="31" t="s">
        <v>17</v>
      </c>
      <c r="C22" s="32" t="s">
        <v>8</v>
      </c>
      <c r="D22" s="116">
        <f>D19</f>
        <v>0</v>
      </c>
      <c r="E22" s="116">
        <f>E19</f>
        <v>78155</v>
      </c>
      <c r="F22" s="116">
        <f>F19</f>
        <v>102569</v>
      </c>
      <c r="G22" s="116">
        <f>G19</f>
        <v>112973</v>
      </c>
      <c r="H22" s="116">
        <f>H19</f>
        <v>124307</v>
      </c>
    </row>
    <row r="23" spans="1:8" ht="15" customHeight="1" x14ac:dyDescent="0.35">
      <c r="A23" s="3"/>
      <c r="B23" s="31"/>
      <c r="C23" s="32"/>
      <c r="D23" s="33"/>
      <c r="E23" s="33"/>
      <c r="F23" s="33"/>
      <c r="G23" s="33"/>
      <c r="H23" s="33"/>
    </row>
    <row r="24" spans="1:8" ht="15" customHeight="1" x14ac:dyDescent="0.35">
      <c r="A24" s="3"/>
      <c r="B24" s="31"/>
      <c r="C24" s="32"/>
      <c r="D24" s="116">
        <f>-ROUND(D22*0.21,0)</f>
        <v>0</v>
      </c>
      <c r="E24" s="116">
        <f>-ROUND(E22*E104,0)</f>
        <v>-14373</v>
      </c>
      <c r="F24" s="116">
        <f>-ROUND(F22*F104,0)</f>
        <v>-20073</v>
      </c>
      <c r="G24" s="116">
        <f>-ROUND(G22*G104,0)</f>
        <v>-24990</v>
      </c>
      <c r="H24" s="116">
        <f>-ROUND(H22*H104,0)</f>
        <v>-20250</v>
      </c>
    </row>
    <row r="25" spans="1:8" ht="15" customHeight="1" x14ac:dyDescent="0.35">
      <c r="A25" s="3"/>
      <c r="B25" s="11" t="s">
        <v>18</v>
      </c>
      <c r="C25" s="22" t="s">
        <v>8</v>
      </c>
      <c r="D25" s="108"/>
      <c r="E25" s="108">
        <v>-8490</v>
      </c>
      <c r="F25" s="108">
        <v>-12060</v>
      </c>
      <c r="G25" s="108">
        <v>-16610</v>
      </c>
      <c r="H25" s="108">
        <v>-15547</v>
      </c>
    </row>
    <row r="26" spans="1:8" ht="15" customHeight="1" thickBot="1" x14ac:dyDescent="0.4">
      <c r="A26" s="3"/>
      <c r="B26" s="34" t="s">
        <v>19</v>
      </c>
      <c r="C26" s="32" t="s">
        <v>8</v>
      </c>
      <c r="D26" s="117">
        <f>D22+D24</f>
        <v>0</v>
      </c>
      <c r="E26" s="117">
        <f>E22+E24</f>
        <v>63782</v>
      </c>
      <c r="F26" s="117">
        <f>F22+F24</f>
        <v>82496</v>
      </c>
      <c r="G26" s="117">
        <f>G22+G24</f>
        <v>87983</v>
      </c>
      <c r="H26" s="117">
        <f>H22+H24</f>
        <v>104057</v>
      </c>
    </row>
    <row r="27" spans="1:8" ht="15" customHeight="1" x14ac:dyDescent="0.35">
      <c r="A27" s="3"/>
      <c r="B27" s="34"/>
      <c r="C27" s="32"/>
      <c r="D27" s="33"/>
      <c r="E27" s="33"/>
      <c r="F27" s="33"/>
      <c r="G27" s="33"/>
      <c r="H27" s="33"/>
    </row>
    <row r="28" spans="1:8" ht="15" customHeight="1" x14ac:dyDescent="0.35">
      <c r="A28" s="3"/>
      <c r="B28" s="34"/>
      <c r="C28" s="32"/>
    </row>
    <row r="29" spans="1:8" ht="15" customHeight="1" x14ac:dyDescent="0.35">
      <c r="A29" s="3"/>
      <c r="B29" s="11" t="s">
        <v>20</v>
      </c>
      <c r="C29" s="22" t="s">
        <v>8</v>
      </c>
      <c r="D29" s="108"/>
      <c r="E29" s="108">
        <v>-3162</v>
      </c>
      <c r="F29" s="108">
        <v>-9824</v>
      </c>
      <c r="G29" s="108">
        <v>-18830</v>
      </c>
      <c r="H29" s="108">
        <v>-31591</v>
      </c>
    </row>
    <row r="30" spans="1:8" ht="15" customHeight="1" x14ac:dyDescent="0.35">
      <c r="A30" s="3"/>
      <c r="B30" s="31" t="s">
        <v>21</v>
      </c>
      <c r="C30" s="32" t="s">
        <v>8</v>
      </c>
      <c r="D30" s="116">
        <f>D17-D16</f>
        <v>0</v>
      </c>
      <c r="E30" s="116">
        <f>E17-E16</f>
        <v>18496</v>
      </c>
      <c r="F30" s="116">
        <f>F17-F16</f>
        <v>20814</v>
      </c>
      <c r="G30" s="116">
        <f>G17-G16</f>
        <v>28328</v>
      </c>
      <c r="H30" s="116">
        <f>H17-H16</f>
        <v>37685</v>
      </c>
    </row>
    <row r="31" spans="1:8" ht="15" customHeight="1" x14ac:dyDescent="0.35">
      <c r="A31" s="3"/>
      <c r="B31" s="8"/>
      <c r="C31" s="6"/>
      <c r="D31" s="23"/>
      <c r="E31" s="23"/>
      <c r="F31" s="23"/>
      <c r="G31" s="23"/>
      <c r="H31" s="23"/>
    </row>
    <row r="32" spans="1:8" ht="18" customHeight="1" x14ac:dyDescent="0.5">
      <c r="A32" s="53" t="s">
        <v>5</v>
      </c>
      <c r="B32" s="29" t="s">
        <v>22</v>
      </c>
      <c r="C32" s="25"/>
      <c r="D32" s="5"/>
      <c r="E32" s="26"/>
      <c r="F32" s="26"/>
      <c r="G32" s="26"/>
      <c r="H32" s="26"/>
    </row>
    <row r="33" spans="1:8" ht="18" customHeight="1" x14ac:dyDescent="0.5">
      <c r="A33" s="53"/>
      <c r="B33" s="55"/>
      <c r="C33" s="54"/>
      <c r="D33" s="56"/>
      <c r="E33" s="56"/>
      <c r="F33" s="56"/>
      <c r="G33" s="56"/>
      <c r="H33" s="56"/>
    </row>
    <row r="34" spans="1:8" ht="15" customHeight="1" x14ac:dyDescent="0.35">
      <c r="A34" s="3"/>
      <c r="B34" s="11" t="s">
        <v>23</v>
      </c>
      <c r="C34" s="22" t="s">
        <v>8</v>
      </c>
      <c r="D34" s="111"/>
      <c r="E34" s="111">
        <v>567234</v>
      </c>
      <c r="F34" s="111">
        <v>624151</v>
      </c>
      <c r="G34" s="111">
        <v>469317</v>
      </c>
      <c r="H34" s="111">
        <v>343338</v>
      </c>
    </row>
    <row r="35" spans="1:8" ht="15" customHeight="1" x14ac:dyDescent="0.35">
      <c r="A35" s="3"/>
      <c r="B35" s="11" t="s">
        <v>24</v>
      </c>
      <c r="C35" s="22" t="s">
        <v>8</v>
      </c>
      <c r="D35" s="108"/>
      <c r="E35" s="108">
        <v>125189</v>
      </c>
      <c r="F35" s="108">
        <v>107363</v>
      </c>
      <c r="G35" s="108">
        <v>101223</v>
      </c>
      <c r="H35" s="108">
        <v>111599</v>
      </c>
    </row>
    <row r="36" spans="1:8" ht="15" customHeight="1" x14ac:dyDescent="0.35">
      <c r="A36" s="3"/>
      <c r="B36" s="11" t="s">
        <v>25</v>
      </c>
      <c r="C36" s="22" t="s">
        <v>8</v>
      </c>
      <c r="D36" s="108"/>
      <c r="E36" s="108">
        <v>12839</v>
      </c>
      <c r="F36" s="108">
        <v>13626</v>
      </c>
      <c r="G36" s="108">
        <v>12017</v>
      </c>
      <c r="H36" s="108">
        <v>12392</v>
      </c>
    </row>
    <row r="37" spans="1:8" ht="15" customHeight="1" x14ac:dyDescent="0.35">
      <c r="A37" s="3"/>
      <c r="B37" s="11" t="s">
        <v>26</v>
      </c>
      <c r="C37" s="22" t="s">
        <v>8</v>
      </c>
      <c r="D37" s="110"/>
      <c r="E37" s="110">
        <v>2941</v>
      </c>
      <c r="F37" s="110">
        <v>3388</v>
      </c>
      <c r="G37" s="110">
        <v>5362</v>
      </c>
      <c r="H37" s="110">
        <v>7615</v>
      </c>
    </row>
    <row r="38" spans="1:8" ht="15" customHeight="1" x14ac:dyDescent="0.35">
      <c r="A38" s="3"/>
      <c r="B38" s="31" t="s">
        <v>27</v>
      </c>
      <c r="C38" s="32" t="s">
        <v>8</v>
      </c>
      <c r="D38" s="116">
        <f>SUM(D34:D37)</f>
        <v>0</v>
      </c>
      <c r="E38" s="116">
        <f>SUM(E34:E37)</f>
        <v>708203</v>
      </c>
      <c r="F38" s="116">
        <f>SUM(F34:F37)</f>
        <v>748528</v>
      </c>
      <c r="G38" s="116">
        <f>SUM(G34:G37)</f>
        <v>587919</v>
      </c>
      <c r="H38" s="116">
        <f>SUM(H34:H37)</f>
        <v>474944</v>
      </c>
    </row>
    <row r="39" spans="1:8" ht="15" customHeight="1" x14ac:dyDescent="0.35">
      <c r="A39" s="3"/>
      <c r="B39" s="31"/>
      <c r="C39" s="32"/>
      <c r="D39" s="33"/>
      <c r="E39" s="33"/>
      <c r="F39" s="33"/>
      <c r="G39" s="33"/>
      <c r="H39" s="33"/>
    </row>
    <row r="40" spans="1:8" ht="15" customHeight="1" x14ac:dyDescent="0.35">
      <c r="A40" s="3"/>
      <c r="B40" s="31"/>
      <c r="C40" s="32"/>
      <c r="D40" s="33"/>
      <c r="E40" s="33"/>
      <c r="F40" s="33"/>
      <c r="G40" s="33"/>
      <c r="H40" s="33"/>
    </row>
    <row r="41" spans="1:8" ht="15" customHeight="1" x14ac:dyDescent="0.35">
      <c r="A41" s="3"/>
      <c r="B41" s="11" t="s">
        <v>28</v>
      </c>
      <c r="C41" s="22" t="s">
        <v>8</v>
      </c>
      <c r="D41" s="108"/>
      <c r="E41" s="108">
        <v>27734</v>
      </c>
      <c r="F41" s="108">
        <v>30157</v>
      </c>
      <c r="G41" s="108">
        <v>32223</v>
      </c>
      <c r="H41" s="108">
        <v>36244</v>
      </c>
    </row>
    <row r="42" spans="1:8" ht="15" customHeight="1" x14ac:dyDescent="0.35">
      <c r="A42" s="3"/>
      <c r="B42" s="11" t="s">
        <v>29</v>
      </c>
      <c r="C42" s="22" t="s">
        <v>8</v>
      </c>
      <c r="D42" s="108"/>
      <c r="E42" s="108">
        <v>60859</v>
      </c>
      <c r="F42" s="108">
        <v>64381</v>
      </c>
      <c r="G42" s="108">
        <v>64560</v>
      </c>
      <c r="H42" s="108">
        <v>64458</v>
      </c>
    </row>
    <row r="43" spans="1:8" ht="15" customHeight="1" x14ac:dyDescent="0.35">
      <c r="A43" s="3"/>
      <c r="B43" s="11" t="s">
        <v>30</v>
      </c>
      <c r="C43" s="22" t="s">
        <v>8</v>
      </c>
      <c r="D43" s="108"/>
      <c r="E43" s="108">
        <v>3865</v>
      </c>
      <c r="F43" s="108">
        <v>4531</v>
      </c>
      <c r="G43" s="108">
        <v>4215</v>
      </c>
      <c r="H43" s="108">
        <v>4664</v>
      </c>
    </row>
    <row r="44" spans="1:8" ht="15" customHeight="1" thickBot="1" x14ac:dyDescent="0.4">
      <c r="A44" s="3"/>
      <c r="B44" s="31" t="s">
        <v>31</v>
      </c>
      <c r="C44" s="32" t="s">
        <v>8</v>
      </c>
      <c r="D44" s="117">
        <f>D38+SUM(D41:D43)</f>
        <v>0</v>
      </c>
      <c r="E44" s="117">
        <f>E38+SUM(E41:E43)</f>
        <v>800661</v>
      </c>
      <c r="F44" s="117">
        <f>F38+SUM(F41:F43)</f>
        <v>847597</v>
      </c>
      <c r="G44" s="117">
        <f>G38+SUM(G41:G43)</f>
        <v>688917</v>
      </c>
      <c r="H44" s="117">
        <f>H38+SUM(H41:H43)</f>
        <v>580310</v>
      </c>
    </row>
    <row r="45" spans="1:8" ht="15" customHeight="1" x14ac:dyDescent="0.35">
      <c r="A45" s="3"/>
      <c r="B45" s="31"/>
      <c r="C45" s="32"/>
      <c r="D45" s="33"/>
      <c r="E45" s="33"/>
      <c r="F45" s="33"/>
      <c r="G45" s="33"/>
      <c r="H45" s="33"/>
    </row>
    <row r="46" spans="1:8" ht="15" customHeight="1" x14ac:dyDescent="0.35">
      <c r="A46" s="3"/>
      <c r="B46" s="31"/>
      <c r="C46" s="32"/>
      <c r="D46" s="33"/>
      <c r="E46" s="33"/>
      <c r="F46" s="33"/>
      <c r="G46" s="33"/>
      <c r="H46" s="33"/>
    </row>
    <row r="47" spans="1:8" ht="15" customHeight="1" x14ac:dyDescent="0.35">
      <c r="A47" s="3"/>
      <c r="B47" s="11" t="s">
        <v>32</v>
      </c>
      <c r="C47" s="22" t="s">
        <v>8</v>
      </c>
      <c r="D47" s="108"/>
      <c r="E47" s="108">
        <v>188692</v>
      </c>
      <c r="F47" s="108">
        <v>161960</v>
      </c>
      <c r="G47" s="108">
        <v>153153</v>
      </c>
      <c r="H47" s="108">
        <v>186658</v>
      </c>
    </row>
    <row r="48" spans="1:8" ht="15" customHeight="1" x14ac:dyDescent="0.35">
      <c r="A48" s="3"/>
      <c r="B48" s="11" t="s">
        <v>33</v>
      </c>
      <c r="C48" s="22" t="s">
        <v>8</v>
      </c>
      <c r="D48" s="108"/>
      <c r="E48" s="108">
        <v>44027</v>
      </c>
      <c r="F48" s="108">
        <v>44712</v>
      </c>
      <c r="G48" s="108">
        <v>52893</v>
      </c>
      <c r="H48" s="108">
        <v>66012</v>
      </c>
    </row>
    <row r="49" spans="1:8" ht="15" customHeight="1" x14ac:dyDescent="0.35">
      <c r="A49" s="3"/>
      <c r="B49" s="11" t="s">
        <v>34</v>
      </c>
      <c r="C49" s="22" t="s">
        <v>8</v>
      </c>
      <c r="D49" s="108"/>
      <c r="E49" s="108">
        <v>1235</v>
      </c>
      <c r="F49" s="108">
        <v>1204</v>
      </c>
      <c r="G49" s="108">
        <v>1367</v>
      </c>
      <c r="H49" s="108">
        <v>1594</v>
      </c>
    </row>
    <row r="50" spans="1:8" ht="15" customHeight="1" x14ac:dyDescent="0.35">
      <c r="A50" s="3"/>
      <c r="B50" s="11" t="s">
        <v>35</v>
      </c>
      <c r="C50" s="22" t="s">
        <v>8</v>
      </c>
      <c r="D50" s="110"/>
      <c r="E50" s="110">
        <v>354</v>
      </c>
      <c r="F50" s="110">
        <v>517</v>
      </c>
      <c r="G50" s="110">
        <v>1549</v>
      </c>
      <c r="H50" s="110">
        <v>1932</v>
      </c>
    </row>
    <row r="51" spans="1:8" ht="15" customHeight="1" x14ac:dyDescent="0.35">
      <c r="A51" s="3"/>
      <c r="B51" s="31" t="s">
        <v>36</v>
      </c>
      <c r="C51" s="32" t="s">
        <v>8</v>
      </c>
      <c r="D51" s="116">
        <f>SUM(D47:D50)</f>
        <v>0</v>
      </c>
      <c r="E51" s="116">
        <f>SUM(E47:E50)</f>
        <v>234308</v>
      </c>
      <c r="F51" s="116">
        <f>SUM(F47:F50)</f>
        <v>208393</v>
      </c>
      <c r="G51" s="116">
        <f>SUM(G47:G50)</f>
        <v>208962</v>
      </c>
      <c r="H51" s="116">
        <f>SUM(H47:H50)</f>
        <v>256196</v>
      </c>
    </row>
    <row r="52" spans="1:8" ht="15" customHeight="1" x14ac:dyDescent="0.35">
      <c r="A52" s="3"/>
      <c r="B52" s="31"/>
      <c r="C52" s="32"/>
      <c r="D52" s="33"/>
      <c r="E52" s="33"/>
      <c r="F52" s="33"/>
      <c r="G52" s="33"/>
      <c r="H52" s="33"/>
    </row>
    <row r="53" spans="1:8" ht="15" customHeight="1" x14ac:dyDescent="0.35">
      <c r="A53" s="3"/>
      <c r="B53" s="31"/>
      <c r="C53" s="32"/>
      <c r="D53" s="33"/>
      <c r="E53" s="33"/>
      <c r="F53" s="33"/>
      <c r="G53" s="33"/>
      <c r="H53" s="33"/>
    </row>
    <row r="54" spans="1:8" ht="15" customHeight="1" x14ac:dyDescent="0.35">
      <c r="A54" s="3"/>
      <c r="B54" s="11" t="s">
        <v>37</v>
      </c>
      <c r="C54" s="22" t="s">
        <v>8</v>
      </c>
      <c r="D54" s="110"/>
      <c r="E54" s="110">
        <v>295865</v>
      </c>
      <c r="F54" s="110">
        <v>391825</v>
      </c>
      <c r="G54" s="110">
        <v>401418</v>
      </c>
      <c r="H54" s="110">
        <v>433970</v>
      </c>
    </row>
    <row r="55" spans="1:8" ht="15" customHeight="1" x14ac:dyDescent="0.35">
      <c r="A55" s="3"/>
      <c r="B55" s="34" t="s">
        <v>38</v>
      </c>
      <c r="C55" s="32" t="s">
        <v>8</v>
      </c>
      <c r="D55" s="116">
        <f>D51+D54</f>
        <v>0</v>
      </c>
      <c r="E55" s="116">
        <f>E51+E54</f>
        <v>530173</v>
      </c>
      <c r="F55" s="116">
        <f>F51+F54</f>
        <v>600218</v>
      </c>
      <c r="G55" s="116">
        <f>G51+G54</f>
        <v>610380</v>
      </c>
      <c r="H55" s="116">
        <f>H51+H54</f>
        <v>690166</v>
      </c>
    </row>
    <row r="56" spans="1:8" ht="15" customHeight="1" x14ac:dyDescent="0.35">
      <c r="A56" s="3"/>
      <c r="B56" s="34"/>
      <c r="C56" s="32"/>
      <c r="D56" s="33"/>
      <c r="E56" s="33"/>
      <c r="F56" s="33"/>
      <c r="G56" s="33"/>
      <c r="H56" s="33"/>
    </row>
    <row r="57" spans="1:8" ht="15" customHeight="1" x14ac:dyDescent="0.35">
      <c r="A57" s="3"/>
      <c r="B57" s="34"/>
      <c r="C57" s="32"/>
      <c r="D57" s="33"/>
      <c r="E57" s="33"/>
      <c r="F57" s="33"/>
      <c r="G57" s="33"/>
      <c r="H57" s="33"/>
    </row>
    <row r="58" spans="1:8" ht="15" customHeight="1" x14ac:dyDescent="0.35">
      <c r="A58" s="3"/>
      <c r="B58" s="11" t="s">
        <v>39</v>
      </c>
      <c r="C58" s="22" t="s">
        <v>8</v>
      </c>
      <c r="D58" s="108"/>
      <c r="E58" s="108">
        <v>120553</v>
      </c>
      <c r="F58" s="108">
        <v>121637</v>
      </c>
      <c r="G58" s="108">
        <v>115066</v>
      </c>
      <c r="H58" s="108">
        <v>115264</v>
      </c>
    </row>
    <row r="59" spans="1:8" ht="15" customHeight="1" x14ac:dyDescent="0.35">
      <c r="A59" s="3"/>
      <c r="B59" s="11" t="s">
        <v>40</v>
      </c>
      <c r="C59" s="22" t="s">
        <v>8</v>
      </c>
      <c r="D59" s="118"/>
      <c r="E59" s="118">
        <v>296456</v>
      </c>
      <c r="F59" s="118">
        <v>332901</v>
      </c>
      <c r="G59" s="118">
        <v>376166</v>
      </c>
      <c r="H59" s="118">
        <v>416055</v>
      </c>
    </row>
    <row r="60" spans="1:8" ht="15" customHeight="1" x14ac:dyDescent="0.35">
      <c r="A60" s="3"/>
      <c r="B60" s="34" t="s">
        <v>41</v>
      </c>
      <c r="C60" s="32" t="s">
        <v>8</v>
      </c>
      <c r="D60" s="116">
        <f>D58+D59</f>
        <v>0</v>
      </c>
      <c r="E60" s="116">
        <f>E58+E59</f>
        <v>417009</v>
      </c>
      <c r="F60" s="116">
        <f>F58+F59</f>
        <v>454538</v>
      </c>
      <c r="G60" s="116">
        <f>G58+G59</f>
        <v>491232</v>
      </c>
      <c r="H60" s="116">
        <f>H58+H59</f>
        <v>531319</v>
      </c>
    </row>
    <row r="61" spans="1:8" ht="15" customHeight="1" x14ac:dyDescent="0.35">
      <c r="A61" s="3"/>
      <c r="B61" s="34"/>
      <c r="C61" s="32"/>
      <c r="D61" s="33"/>
      <c r="E61" s="33"/>
      <c r="F61" s="33"/>
      <c r="G61" s="33"/>
      <c r="H61" s="33"/>
    </row>
    <row r="62" spans="1:8" ht="15" customHeight="1" x14ac:dyDescent="0.35">
      <c r="A62" s="3"/>
      <c r="B62" s="34"/>
      <c r="C62" s="32"/>
      <c r="D62" s="33"/>
      <c r="E62" s="33"/>
      <c r="F62" s="33"/>
      <c r="G62" s="33"/>
      <c r="H62" s="33"/>
    </row>
    <row r="63" spans="1:8" ht="15" customHeight="1" thickBot="1" x14ac:dyDescent="0.4">
      <c r="A63" s="3"/>
      <c r="B63" s="34" t="s">
        <v>42</v>
      </c>
      <c r="C63" s="32" t="s">
        <v>8</v>
      </c>
      <c r="D63" s="117">
        <f>D55+D60</f>
        <v>0</v>
      </c>
      <c r="E63" s="117">
        <f>E55+E60</f>
        <v>947182</v>
      </c>
      <c r="F63" s="117">
        <f>F55+F60</f>
        <v>1054756</v>
      </c>
      <c r="G63" s="117">
        <f>G55+G60</f>
        <v>1101612</v>
      </c>
      <c r="H63" s="117">
        <f>H55+H60</f>
        <v>1221485</v>
      </c>
    </row>
    <row r="64" spans="1:8" ht="15" customHeight="1" x14ac:dyDescent="0.35">
      <c r="A64" s="3"/>
      <c r="B64" s="34"/>
      <c r="C64" s="32"/>
      <c r="D64" s="33"/>
      <c r="E64" s="33"/>
      <c r="F64" s="33"/>
      <c r="G64" s="33"/>
      <c r="H64" s="33"/>
    </row>
    <row r="65" spans="1:8" ht="15" customHeight="1" x14ac:dyDescent="0.35">
      <c r="A65" s="3"/>
      <c r="B65" s="34"/>
      <c r="C65" s="32"/>
      <c r="D65" s="33"/>
      <c r="E65" s="33"/>
      <c r="F65" s="33"/>
      <c r="G65" s="33"/>
      <c r="H65" s="33"/>
    </row>
    <row r="66" spans="1:8" ht="15" customHeight="1" x14ac:dyDescent="0.35">
      <c r="A66" s="3"/>
      <c r="B66" s="8"/>
      <c r="C66" s="6"/>
      <c r="D66" s="23"/>
      <c r="E66" s="23"/>
      <c r="F66" s="23"/>
      <c r="G66" s="23"/>
      <c r="H66" s="23"/>
    </row>
    <row r="67" spans="1:8" ht="18" customHeight="1" x14ac:dyDescent="0.5">
      <c r="A67" s="53"/>
      <c r="B67" s="29" t="s">
        <v>43</v>
      </c>
      <c r="C67" s="25"/>
      <c r="D67" s="5"/>
      <c r="E67" s="26"/>
      <c r="F67" s="26"/>
      <c r="G67" s="26"/>
      <c r="H67" s="26"/>
    </row>
    <row r="68" spans="1:8" ht="18" customHeight="1" x14ac:dyDescent="0.5">
      <c r="A68" s="53"/>
      <c r="B68" s="55"/>
      <c r="C68" s="54"/>
      <c r="D68" s="56"/>
      <c r="E68" s="56"/>
      <c r="F68" s="56"/>
      <c r="G68" s="56"/>
      <c r="H68" s="56"/>
    </row>
    <row r="69" spans="1:8" ht="15" customHeight="1" x14ac:dyDescent="0.35">
      <c r="A69" s="3"/>
      <c r="B69" s="11" t="s">
        <v>19</v>
      </c>
      <c r="C69" s="22" t="s">
        <v>8</v>
      </c>
      <c r="D69" s="111">
        <f>D26</f>
        <v>0</v>
      </c>
      <c r="E69" s="111">
        <f>E26</f>
        <v>63782</v>
      </c>
      <c r="F69" s="111">
        <f>F26</f>
        <v>82496</v>
      </c>
      <c r="G69" s="111">
        <f>G26</f>
        <v>87983</v>
      </c>
      <c r="H69" s="111">
        <f>H26</f>
        <v>104057</v>
      </c>
    </row>
    <row r="70" spans="1:8" ht="15" customHeight="1" x14ac:dyDescent="0.35">
      <c r="A70" s="3"/>
      <c r="B70" s="11" t="s">
        <v>13</v>
      </c>
      <c r="C70" s="22" t="s">
        <v>8</v>
      </c>
      <c r="D70" s="111">
        <f>-D16</f>
        <v>0</v>
      </c>
      <c r="E70" s="111">
        <f>-E16</f>
        <v>7051</v>
      </c>
      <c r="F70" s="111">
        <f>-F16</f>
        <v>7512</v>
      </c>
      <c r="G70" s="111">
        <f>-G16</f>
        <v>7938</v>
      </c>
      <c r="H70" s="111">
        <f>-H16</f>
        <v>8821</v>
      </c>
    </row>
    <row r="71" spans="1:8" ht="15" customHeight="1" x14ac:dyDescent="0.35">
      <c r="A71" s="3"/>
      <c r="B71" s="11" t="s">
        <v>44</v>
      </c>
      <c r="C71" s="22" t="s">
        <v>8</v>
      </c>
      <c r="D71" s="108"/>
      <c r="E71" s="108">
        <v>-22970</v>
      </c>
      <c r="F71" s="108">
        <v>19928</v>
      </c>
      <c r="G71" s="108">
        <v>5735</v>
      </c>
      <c r="H71" s="108">
        <v>-11514</v>
      </c>
    </row>
    <row r="72" spans="1:8" ht="15" customHeight="1" x14ac:dyDescent="0.35">
      <c r="A72" s="3"/>
      <c r="B72" s="11" t="s">
        <v>45</v>
      </c>
      <c r="C72" s="22" t="s">
        <v>8</v>
      </c>
      <c r="D72" s="108"/>
      <c r="E72" s="108">
        <v>-6465</v>
      </c>
      <c r="F72" s="108">
        <v>-1195</v>
      </c>
      <c r="G72" s="108">
        <v>937</v>
      </c>
      <c r="H72" s="108">
        <v>-630</v>
      </c>
    </row>
    <row r="73" spans="1:8" ht="15" customHeight="1" x14ac:dyDescent="0.35">
      <c r="A73" s="3"/>
      <c r="B73" s="11" t="s">
        <v>46</v>
      </c>
      <c r="C73" s="22" t="s">
        <v>8</v>
      </c>
      <c r="D73" s="108"/>
      <c r="E73" s="108">
        <v>58614</v>
      </c>
      <c r="F73" s="108">
        <v>-25388</v>
      </c>
      <c r="G73" s="108">
        <v>-90</v>
      </c>
      <c r="H73" s="108">
        <v>5270</v>
      </c>
    </row>
    <row r="74" spans="1:8" ht="15" customHeight="1" x14ac:dyDescent="0.35">
      <c r="A74" s="3"/>
      <c r="B74" s="11" t="s">
        <v>47</v>
      </c>
      <c r="C74" s="22" t="s">
        <v>8</v>
      </c>
      <c r="D74" s="108"/>
      <c r="E74" s="108">
        <v>26055</v>
      </c>
      <c r="F74" s="108">
        <v>7292</v>
      </c>
      <c r="G74" s="108">
        <v>1107</v>
      </c>
      <c r="H74" s="108">
        <v>-14673</v>
      </c>
    </row>
    <row r="75" spans="1:8" ht="15" customHeight="1" thickBot="1" x14ac:dyDescent="0.4">
      <c r="A75" s="3"/>
      <c r="B75" s="31" t="s">
        <v>48</v>
      </c>
      <c r="C75" s="32" t="s">
        <v>8</v>
      </c>
      <c r="D75" s="117">
        <f>SUM(D69:D74)</f>
        <v>0</v>
      </c>
      <c r="E75" s="117">
        <f>SUM(E69:E74)</f>
        <v>126067</v>
      </c>
      <c r="F75" s="117">
        <f>SUM(F69:F74)</f>
        <v>90645</v>
      </c>
      <c r="G75" s="117">
        <f>SUM(G69:G74)</f>
        <v>103610</v>
      </c>
      <c r="H75" s="117">
        <f>SUM(H69:H74)</f>
        <v>91331</v>
      </c>
    </row>
    <row r="76" spans="1:8" ht="15" customHeight="1" x14ac:dyDescent="0.35">
      <c r="A76" s="3"/>
      <c r="B76" s="31"/>
      <c r="C76" s="32"/>
      <c r="D76" s="33"/>
      <c r="E76" s="33"/>
      <c r="F76" s="33"/>
      <c r="G76" s="33"/>
      <c r="H76" s="33"/>
    </row>
    <row r="77" spans="1:8" ht="15" customHeight="1" x14ac:dyDescent="0.35">
      <c r="A77" s="3"/>
      <c r="B77" s="31"/>
      <c r="C77" s="32"/>
      <c r="D77" s="33"/>
      <c r="E77" s="33"/>
      <c r="F77" s="33"/>
      <c r="G77" s="33"/>
      <c r="H77" s="33"/>
    </row>
    <row r="78" spans="1:8" ht="15" customHeight="1" x14ac:dyDescent="0.35">
      <c r="A78" s="3"/>
      <c r="B78" s="11" t="s">
        <v>49</v>
      </c>
      <c r="C78" s="22" t="s">
        <v>8</v>
      </c>
      <c r="D78" s="108"/>
      <c r="E78" s="108">
        <v>-7172</v>
      </c>
      <c r="F78" s="108">
        <v>-8899</v>
      </c>
      <c r="G78" s="108">
        <v>-11342</v>
      </c>
      <c r="H78" s="108">
        <v>-8527</v>
      </c>
    </row>
    <row r="79" spans="1:8" ht="15" customHeight="1" x14ac:dyDescent="0.35">
      <c r="A79" s="3"/>
      <c r="B79" s="11" t="s">
        <v>50</v>
      </c>
      <c r="C79" s="22" t="s">
        <v>8</v>
      </c>
      <c r="D79" s="108"/>
      <c r="E79" s="108">
        <v>-159934</v>
      </c>
      <c r="F79" s="108">
        <v>-119640</v>
      </c>
      <c r="G79" s="108">
        <v>-357421</v>
      </c>
      <c r="H79" s="108">
        <v>-314204</v>
      </c>
    </row>
    <row r="80" spans="1:8" ht="15" customHeight="1" thickBot="1" x14ac:dyDescent="0.4">
      <c r="A80" s="3"/>
      <c r="B80" s="34" t="s">
        <v>51</v>
      </c>
      <c r="C80" s="32" t="s">
        <v>8</v>
      </c>
      <c r="D80" s="117">
        <f>SUM(D78:D79)</f>
        <v>0</v>
      </c>
      <c r="E80" s="117">
        <f>SUM(E78:E79)</f>
        <v>-167106</v>
      </c>
      <c r="F80" s="117">
        <f>SUM(F78:F79)</f>
        <v>-128539</v>
      </c>
      <c r="G80" s="117">
        <f>SUM(G78:G79)</f>
        <v>-368763</v>
      </c>
      <c r="H80" s="117">
        <f>SUM(H78:H79)</f>
        <v>-322731</v>
      </c>
    </row>
    <row r="81" spans="1:8" ht="15" customHeight="1" x14ac:dyDescent="0.35">
      <c r="A81" s="3"/>
      <c r="B81" s="34"/>
      <c r="C81" s="32"/>
      <c r="D81" s="33"/>
      <c r="E81" s="33"/>
      <c r="F81" s="33"/>
      <c r="G81" s="33"/>
      <c r="H81" s="33"/>
    </row>
    <row r="82" spans="1:8" ht="15" customHeight="1" x14ac:dyDescent="0.35">
      <c r="A82" s="3"/>
      <c r="B82" s="34"/>
      <c r="C82" s="32"/>
      <c r="D82" s="33"/>
      <c r="E82" s="33"/>
      <c r="F82" s="33"/>
      <c r="G82" s="33"/>
      <c r="H82" s="33"/>
    </row>
    <row r="83" spans="1:8" ht="15" customHeight="1" x14ac:dyDescent="0.35">
      <c r="A83" s="3"/>
      <c r="B83" s="11" t="s">
        <v>52</v>
      </c>
      <c r="C83" s="22" t="s">
        <v>8</v>
      </c>
      <c r="D83" s="108"/>
      <c r="E83" s="108">
        <v>78442</v>
      </c>
      <c r="F83" s="108">
        <v>75417</v>
      </c>
      <c r="G83" s="108">
        <v>109915</v>
      </c>
      <c r="H83" s="108">
        <v>120761</v>
      </c>
    </row>
    <row r="84" spans="1:8" ht="15" customHeight="1" x14ac:dyDescent="0.35">
      <c r="A84" s="3"/>
      <c r="B84" s="11" t="s">
        <v>53</v>
      </c>
      <c r="C84" s="22" t="s">
        <v>8</v>
      </c>
      <c r="D84" s="108"/>
      <c r="E84" s="108">
        <v>-3162</v>
      </c>
      <c r="F84" s="108">
        <v>-9824</v>
      </c>
      <c r="G84" s="108">
        <v>-18830</v>
      </c>
      <c r="H84" s="108">
        <v>-31591</v>
      </c>
    </row>
    <row r="85" spans="1:8" ht="15" customHeight="1" x14ac:dyDescent="0.35">
      <c r="A85" s="3"/>
      <c r="B85" s="11" t="s">
        <v>54</v>
      </c>
      <c r="C85" s="22" t="s">
        <v>8</v>
      </c>
      <c r="D85" s="108"/>
      <c r="E85" s="108">
        <v>-3162</v>
      </c>
      <c r="F85" s="108">
        <v>-9824</v>
      </c>
      <c r="G85" s="108">
        <v>-18830</v>
      </c>
      <c r="H85" s="108">
        <v>-31591</v>
      </c>
    </row>
    <row r="86" spans="1:8" ht="15" customHeight="1" thickBot="1" x14ac:dyDescent="0.4">
      <c r="A86" s="3"/>
      <c r="B86" s="31" t="s">
        <v>55</v>
      </c>
      <c r="C86" s="32" t="s">
        <v>8</v>
      </c>
      <c r="D86" s="117">
        <f>SUM(D83:D85)</f>
        <v>0</v>
      </c>
      <c r="E86" s="117">
        <f>SUM(E83:E85)</f>
        <v>72118</v>
      </c>
      <c r="F86" s="117">
        <f>SUM(F83:F85)</f>
        <v>55769</v>
      </c>
      <c r="G86" s="117">
        <f>SUM(G83:G85)</f>
        <v>72255</v>
      </c>
      <c r="H86" s="117">
        <f>SUM(H83:H85)</f>
        <v>57579</v>
      </c>
    </row>
    <row r="87" spans="1:8" ht="15" customHeight="1" x14ac:dyDescent="0.35">
      <c r="A87" s="3"/>
      <c r="B87" s="31"/>
      <c r="C87" s="32"/>
      <c r="D87" s="33"/>
      <c r="E87" s="33"/>
      <c r="F87" s="33"/>
      <c r="G87" s="33"/>
      <c r="H87" s="33"/>
    </row>
    <row r="88" spans="1:8" ht="15" customHeight="1" x14ac:dyDescent="0.35">
      <c r="A88" s="3"/>
      <c r="B88" s="31"/>
      <c r="C88" s="32"/>
      <c r="D88" s="33"/>
      <c r="E88" s="33"/>
      <c r="F88" s="33"/>
      <c r="G88" s="33"/>
      <c r="H88" s="33"/>
    </row>
    <row r="89" spans="1:8" ht="15" customHeight="1" x14ac:dyDescent="0.35">
      <c r="A89" s="3"/>
      <c r="B89" s="34" t="s">
        <v>56</v>
      </c>
      <c r="C89" s="32" t="s">
        <v>8</v>
      </c>
      <c r="D89" s="116">
        <f>D75+D80+D86</f>
        <v>0</v>
      </c>
      <c r="E89" s="116">
        <f>E75+E80+E86</f>
        <v>31079</v>
      </c>
      <c r="F89" s="116">
        <f>F75+F80+F86</f>
        <v>17875</v>
      </c>
      <c r="G89" s="116">
        <f>G75+G80+G86</f>
        <v>-192898</v>
      </c>
      <c r="H89" s="116">
        <f>H75+H80+H86</f>
        <v>-173821</v>
      </c>
    </row>
    <row r="90" spans="1:8" ht="15" customHeight="1" x14ac:dyDescent="0.35">
      <c r="A90" s="3"/>
      <c r="B90" s="11" t="s">
        <v>57</v>
      </c>
      <c r="C90" s="22" t="s">
        <v>8</v>
      </c>
      <c r="D90" s="108"/>
      <c r="E90" s="108">
        <v>740834</v>
      </c>
      <c r="F90" s="108">
        <v>567234</v>
      </c>
      <c r="G90" s="108">
        <v>624151</v>
      </c>
      <c r="H90" s="108">
        <v>469317</v>
      </c>
    </row>
    <row r="91" spans="1:8" ht="15" customHeight="1" thickBot="1" x14ac:dyDescent="0.4">
      <c r="A91" s="3"/>
      <c r="B91" s="34" t="s">
        <v>58</v>
      </c>
      <c r="C91" s="32" t="s">
        <v>8</v>
      </c>
      <c r="D91" s="117">
        <f>D90+D89</f>
        <v>0</v>
      </c>
      <c r="E91" s="117">
        <f>E90+E89</f>
        <v>771913</v>
      </c>
      <c r="F91" s="117">
        <f>F90+F89</f>
        <v>585109</v>
      </c>
      <c r="G91" s="117">
        <f>G90+G89</f>
        <v>431253</v>
      </c>
      <c r="H91" s="117">
        <f>H90+H89</f>
        <v>295496</v>
      </c>
    </row>
    <row r="92" spans="1:8" ht="15" customHeight="1" x14ac:dyDescent="0.35">
      <c r="A92" s="3"/>
      <c r="B92" s="8"/>
      <c r="C92" s="6"/>
      <c r="D92" s="23"/>
      <c r="E92" s="23"/>
      <c r="F92" s="23"/>
      <c r="G92" s="23"/>
      <c r="H92" s="23"/>
    </row>
    <row r="93" spans="1:8" ht="18" customHeight="1" x14ac:dyDescent="0.5">
      <c r="A93" s="53"/>
      <c r="B93" s="29" t="s">
        <v>59</v>
      </c>
      <c r="C93" s="25"/>
      <c r="D93" s="5"/>
      <c r="E93" s="26"/>
      <c r="F93" s="26"/>
      <c r="G93" s="26"/>
      <c r="H93" s="26"/>
    </row>
    <row r="94" spans="1:8" ht="18" customHeight="1" x14ac:dyDescent="0.5">
      <c r="A94" s="53"/>
      <c r="B94" s="55"/>
      <c r="C94" s="54"/>
      <c r="D94" s="56"/>
      <c r="E94" s="56"/>
      <c r="F94" s="56"/>
      <c r="G94" s="56"/>
      <c r="H94" s="56"/>
    </row>
    <row r="95" spans="1:8" ht="15" customHeight="1" x14ac:dyDescent="0.35">
      <c r="A95" s="3"/>
      <c r="B95" s="11" t="s">
        <v>60</v>
      </c>
      <c r="C95" s="22" t="s">
        <v>61</v>
      </c>
      <c r="D95" s="108"/>
      <c r="E95" s="108">
        <v>130</v>
      </c>
      <c r="F95" s="108">
        <v>175</v>
      </c>
      <c r="G95" s="108">
        <v>226</v>
      </c>
      <c r="H95" s="108">
        <v>311.12</v>
      </c>
    </row>
    <row r="96" spans="1:8" ht="15" customHeight="1" x14ac:dyDescent="0.35">
      <c r="A96" s="3"/>
      <c r="B96" s="11" t="s">
        <v>62</v>
      </c>
      <c r="C96" s="22" t="s">
        <v>63</v>
      </c>
      <c r="D96" s="112"/>
      <c r="E96" s="112">
        <v>16215</v>
      </c>
      <c r="F96" s="112">
        <v>15813</v>
      </c>
      <c r="G96" s="112">
        <v>15408</v>
      </c>
      <c r="H96" s="112">
        <v>2679.5</v>
      </c>
    </row>
    <row r="97" spans="1:8" ht="15" customHeight="1" x14ac:dyDescent="0.35">
      <c r="A97" s="3"/>
      <c r="B97" s="11" t="s">
        <v>64</v>
      </c>
      <c r="C97" s="22" t="s">
        <v>8</v>
      </c>
      <c r="D97" s="116">
        <f>D95*D96</f>
        <v>0</v>
      </c>
      <c r="E97" s="116">
        <f>E95*E96</f>
        <v>2107950</v>
      </c>
      <c r="F97" s="116">
        <f>F95*F96</f>
        <v>2767275</v>
      </c>
      <c r="G97" s="116">
        <f>G95*G96</f>
        <v>3482208</v>
      </c>
      <c r="H97" s="116">
        <f>H95*H96</f>
        <v>833646.04</v>
      </c>
    </row>
    <row r="98" spans="1:8" ht="15" customHeight="1" x14ac:dyDescent="0.35">
      <c r="A98" s="3"/>
      <c r="B98" s="8" t="s">
        <v>65</v>
      </c>
      <c r="C98" s="22" t="s">
        <v>8</v>
      </c>
      <c r="D98" s="116">
        <f>D97+D54+D48-D34</f>
        <v>0</v>
      </c>
      <c r="E98" s="116">
        <f>E97+E54+E48-E34</f>
        <v>1880608</v>
      </c>
      <c r="F98" s="116">
        <f>F97+F54+F48-F34</f>
        <v>2579661</v>
      </c>
      <c r="G98" s="116">
        <f>G97+G54+G48-G34</f>
        <v>3467202</v>
      </c>
      <c r="H98" s="116">
        <f>H97+H54+H48-H34</f>
        <v>990290.04</v>
      </c>
    </row>
    <row r="99" spans="1:8" ht="15" customHeight="1" x14ac:dyDescent="0.35">
      <c r="A99" s="3"/>
      <c r="B99" s="11" t="s">
        <v>66</v>
      </c>
      <c r="C99" s="22" t="s">
        <v>67</v>
      </c>
      <c r="D99" s="108"/>
      <c r="E99" s="153"/>
      <c r="F99" s="153"/>
      <c r="G99" s="153"/>
      <c r="H99" s="154">
        <v>1.0429999999999999</v>
      </c>
    </row>
    <row r="100" spans="1:8" ht="15" customHeight="1" x14ac:dyDescent="0.35">
      <c r="A100" s="3"/>
      <c r="B100" s="11" t="s">
        <v>68</v>
      </c>
      <c r="C100" s="22" t="s">
        <v>69</v>
      </c>
      <c r="D100" s="108"/>
      <c r="E100" s="155"/>
      <c r="F100" s="155"/>
      <c r="G100" s="155"/>
      <c r="H100" s="156">
        <v>4.2599999999999999E-2</v>
      </c>
    </row>
    <row r="101" spans="1:8" ht="15" customHeight="1" x14ac:dyDescent="0.35">
      <c r="A101" s="3"/>
      <c r="B101" s="11" t="s">
        <v>70</v>
      </c>
      <c r="C101" s="22" t="s">
        <v>69</v>
      </c>
      <c r="D101" s="108"/>
      <c r="E101" s="155"/>
      <c r="F101" s="155"/>
      <c r="G101" s="155"/>
      <c r="H101" s="156">
        <v>5.5E-2</v>
      </c>
    </row>
    <row r="102" spans="1:8" ht="15" customHeight="1" x14ac:dyDescent="0.35">
      <c r="A102" s="3"/>
      <c r="B102" s="11" t="s">
        <v>71</v>
      </c>
      <c r="C102" s="22" t="s">
        <v>69</v>
      </c>
      <c r="D102" s="111">
        <v>0.10829999999999999</v>
      </c>
      <c r="E102" s="157">
        <v>0.10829999999999999</v>
      </c>
      <c r="F102" s="157">
        <v>0.10630000000000001</v>
      </c>
      <c r="G102" s="157">
        <v>0.10630000000000001</v>
      </c>
      <c r="H102" s="157">
        <v>0.10630000000000001</v>
      </c>
    </row>
    <row r="103" spans="1:8" ht="15" customHeight="1" x14ac:dyDescent="0.35">
      <c r="A103" s="3"/>
      <c r="B103" s="11" t="s">
        <v>72</v>
      </c>
      <c r="C103" s="22" t="s">
        <v>69</v>
      </c>
      <c r="D103" s="108"/>
      <c r="E103" s="156"/>
      <c r="F103" s="156"/>
      <c r="G103" s="156"/>
      <c r="H103" s="156">
        <v>0.15</v>
      </c>
    </row>
    <row r="104" spans="1:8" ht="15" customHeight="1" x14ac:dyDescent="0.35">
      <c r="A104" s="3"/>
      <c r="B104" s="11" t="s">
        <v>73</v>
      </c>
      <c r="C104" s="22" t="s">
        <v>69</v>
      </c>
      <c r="D104" s="108"/>
      <c r="E104" s="155">
        <v>0.18390000000000001</v>
      </c>
      <c r="F104" s="155">
        <v>0.19570000000000001</v>
      </c>
      <c r="G104" s="155">
        <v>0.22120000000000001</v>
      </c>
      <c r="H104" s="156">
        <v>0.16289999999999999</v>
      </c>
    </row>
    <row r="105" spans="1:8" ht="15" customHeight="1" x14ac:dyDescent="0.35">
      <c r="A105" s="3"/>
      <c r="B105" s="11" t="s">
        <v>74</v>
      </c>
      <c r="C105" s="22" t="s">
        <v>69</v>
      </c>
      <c r="D105" s="111">
        <v>3.7900000000000003E-2</v>
      </c>
      <c r="E105" s="157">
        <v>3.7900000000000003E-2</v>
      </c>
      <c r="F105" s="157">
        <v>3.6299999999999999E-2</v>
      </c>
      <c r="G105" s="157">
        <v>3.6299999999999999E-2</v>
      </c>
      <c r="H105" s="157">
        <v>3.6299999999999999E-2</v>
      </c>
    </row>
    <row r="106" spans="1:8" ht="15" customHeight="1" x14ac:dyDescent="0.35">
      <c r="A106" s="3"/>
      <c r="B106" s="11" t="s">
        <v>75</v>
      </c>
      <c r="C106" s="22" t="s">
        <v>69</v>
      </c>
      <c r="D106" s="108"/>
      <c r="E106" s="155"/>
      <c r="F106" s="155"/>
      <c r="G106" s="155"/>
      <c r="H106" s="156">
        <v>0.62509999999999999</v>
      </c>
    </row>
    <row r="107" spans="1:8" ht="15" customHeight="1" x14ac:dyDescent="0.35">
      <c r="A107" s="3"/>
      <c r="B107" s="11" t="s">
        <v>76</v>
      </c>
      <c r="C107" s="22" t="s">
        <v>69</v>
      </c>
      <c r="D107" s="108"/>
      <c r="E107" s="155"/>
      <c r="F107" s="155"/>
      <c r="G107" s="155"/>
      <c r="H107" s="156">
        <v>0.37490000000000001</v>
      </c>
    </row>
    <row r="108" spans="1:8" ht="15" customHeight="1" x14ac:dyDescent="0.35">
      <c r="A108" s="3"/>
      <c r="B108" s="8" t="s">
        <v>77</v>
      </c>
      <c r="C108" s="22" t="s">
        <v>69</v>
      </c>
      <c r="D108" s="108">
        <f>D106*(D100+D99*D101)+D107*D103*(1-D104)</f>
        <v>0</v>
      </c>
      <c r="E108" s="156">
        <f>E106*(E100+E99*E101)+E107*E103*(1-E104)</f>
        <v>0</v>
      </c>
      <c r="F108" s="156">
        <f>F106*(F100+F99*F101)+F107*F103*(1-F104)</f>
        <v>0</v>
      </c>
      <c r="G108" s="156">
        <f>G106*(G100+G99*G101)+G107*G103*(1-G104)</f>
        <v>0</v>
      </c>
      <c r="H108" s="156">
        <f>H106*(H100+H99*H101)+H107*H103*(1-H104)</f>
        <v>0.10956244</v>
      </c>
    </row>
    <row r="109" spans="1:8" ht="15" customHeight="1" x14ac:dyDescent="0.35">
      <c r="A109" s="3"/>
      <c r="B109" s="11" t="s">
        <v>78</v>
      </c>
      <c r="C109" s="22" t="s">
        <v>69</v>
      </c>
      <c r="D109" s="108"/>
      <c r="E109" s="155"/>
      <c r="F109" s="155"/>
      <c r="G109" s="155"/>
      <c r="H109" s="156">
        <v>2.5000000000000001E-2</v>
      </c>
    </row>
    <row r="110" spans="1:8" ht="15" customHeight="1" x14ac:dyDescent="0.35">
      <c r="A110" s="3"/>
      <c r="B110" s="11" t="s">
        <v>79</v>
      </c>
      <c r="C110" s="22" t="s">
        <v>80</v>
      </c>
      <c r="D110" s="108"/>
      <c r="E110" s="152"/>
      <c r="F110" s="152"/>
      <c r="G110" s="152"/>
      <c r="H110" s="108">
        <v>365</v>
      </c>
    </row>
    <row r="111" spans="1:8" ht="15" customHeight="1" x14ac:dyDescent="0.35">
      <c r="A111" s="3"/>
      <c r="B111" s="8"/>
      <c r="C111" s="6"/>
      <c r="D111" s="23"/>
      <c r="E111" s="23"/>
      <c r="F111" s="23"/>
      <c r="G111" s="23"/>
      <c r="H111" s="23"/>
    </row>
    <row r="112" spans="1:8" ht="18" customHeight="1" x14ac:dyDescent="0.5">
      <c r="A112" s="53"/>
      <c r="B112" s="29" t="s">
        <v>81</v>
      </c>
      <c r="C112" s="25"/>
      <c r="D112" s="5"/>
      <c r="E112" s="26"/>
      <c r="F112" s="26"/>
      <c r="G112" s="26"/>
      <c r="H112" s="26"/>
    </row>
    <row r="113" spans="1:11" ht="18" customHeight="1" x14ac:dyDescent="0.5">
      <c r="A113" s="53"/>
      <c r="B113" s="55"/>
      <c r="C113" s="54"/>
      <c r="D113" s="56"/>
      <c r="E113" s="56"/>
      <c r="F113" s="56"/>
      <c r="G113" s="56"/>
      <c r="H113" s="56"/>
    </row>
    <row r="114" spans="1:11" ht="15" customHeight="1" x14ac:dyDescent="0.35">
      <c r="A114" s="3"/>
      <c r="B114" s="8" t="s">
        <v>82</v>
      </c>
      <c r="C114" s="22" t="s">
        <v>83</v>
      </c>
      <c r="D114" s="108" t="s">
        <v>84</v>
      </c>
      <c r="E114" s="23"/>
      <c r="F114" s="23"/>
      <c r="G114" s="23"/>
      <c r="H114" s="23"/>
    </row>
    <row r="115" spans="1:11" ht="15" customHeight="1" x14ac:dyDescent="0.35">
      <c r="A115" s="3"/>
      <c r="B115" s="8" t="s">
        <v>85</v>
      </c>
      <c r="C115" s="22" t="s">
        <v>83</v>
      </c>
      <c r="D115" s="108" t="s">
        <v>86</v>
      </c>
      <c r="E115" s="23"/>
      <c r="F115" s="23"/>
      <c r="G115" s="23"/>
      <c r="H115" s="23"/>
    </row>
    <row r="116" spans="1:11" ht="15" customHeight="1" x14ac:dyDescent="0.35">
      <c r="A116" s="3"/>
      <c r="B116" s="8" t="s">
        <v>87</v>
      </c>
      <c r="C116" s="22" t="s">
        <v>83</v>
      </c>
      <c r="D116" s="113" t="s">
        <v>88</v>
      </c>
      <c r="E116" s="23"/>
      <c r="F116" s="23"/>
      <c r="G116" s="23"/>
      <c r="H116" s="23"/>
    </row>
    <row r="117" spans="1:11" ht="15" customHeight="1" x14ac:dyDescent="0.35">
      <c r="A117" s="3"/>
      <c r="B117" s="41" t="s">
        <v>89</v>
      </c>
      <c r="C117" s="22" t="s">
        <v>83</v>
      </c>
      <c r="D117" s="44">
        <v>2025</v>
      </c>
      <c r="E117" s="23"/>
      <c r="F117" s="23"/>
      <c r="G117" s="23"/>
      <c r="H117" s="23"/>
    </row>
    <row r="118" spans="1:11" ht="15" customHeight="1" x14ac:dyDescent="0.35">
      <c r="A118" s="3"/>
      <c r="B118" s="8" t="s">
        <v>90</v>
      </c>
      <c r="C118" s="22" t="s">
        <v>83</v>
      </c>
      <c r="D118" s="108" t="s">
        <v>91</v>
      </c>
      <c r="E118" s="23"/>
      <c r="F118" s="23"/>
      <c r="G118" s="23"/>
      <c r="H118" s="23"/>
    </row>
    <row r="119" spans="1:11" ht="15" customHeight="1" x14ac:dyDescent="0.35">
      <c r="A119" s="3"/>
      <c r="B119" s="8" t="s">
        <v>92</v>
      </c>
      <c r="C119" s="22" t="s">
        <v>83</v>
      </c>
      <c r="D119" s="108" t="s">
        <v>93</v>
      </c>
      <c r="E119" s="23"/>
      <c r="F119" s="23"/>
      <c r="G119" s="23"/>
      <c r="H119" s="23"/>
    </row>
    <row r="120" spans="1:11" ht="15" customHeight="1" x14ac:dyDescent="0.35">
      <c r="A120" s="3"/>
      <c r="B120" s="8" t="s">
        <v>94</v>
      </c>
      <c r="C120" s="22" t="s">
        <v>83</v>
      </c>
      <c r="D120" s="114" t="s">
        <v>95</v>
      </c>
      <c r="E120" s="115"/>
      <c r="F120" s="115"/>
      <c r="G120" s="115"/>
      <c r="H120" s="115"/>
    </row>
    <row r="121" spans="1:11" ht="15" customHeight="1" x14ac:dyDescent="0.35">
      <c r="A121" s="3"/>
      <c r="B121" s="8"/>
      <c r="C121" s="6"/>
      <c r="D121" s="23"/>
      <c r="E121" s="23"/>
      <c r="F121" s="23"/>
      <c r="G121" s="23"/>
      <c r="H121" s="23"/>
    </row>
    <row r="122" spans="1:11" ht="15" customHeight="1" x14ac:dyDescent="0.35">
      <c r="A122" s="3"/>
      <c r="B122" s="30" t="s">
        <v>96</v>
      </c>
      <c r="C122" s="3"/>
      <c r="D122" s="15"/>
      <c r="E122" s="15"/>
      <c r="F122" s="15"/>
      <c r="G122" s="15"/>
      <c r="H122" s="15"/>
    </row>
    <row r="123" spans="1:11" ht="15" customHeight="1" x14ac:dyDescent="0.35">
      <c r="A123" s="3"/>
      <c r="B123" s="8"/>
      <c r="C123" s="3"/>
      <c r="D123" s="15"/>
      <c r="E123" s="15"/>
      <c r="F123" s="15"/>
      <c r="G123" s="15"/>
      <c r="H123" s="15"/>
    </row>
    <row r="124" spans="1:11" ht="15" customHeight="1" x14ac:dyDescent="0.35">
      <c r="A124" s="104"/>
      <c r="B124" s="21" t="s">
        <v>97</v>
      </c>
      <c r="C124" s="2"/>
      <c r="D124" s="18"/>
      <c r="E124" s="18"/>
      <c r="F124" s="18"/>
      <c r="G124" s="18"/>
      <c r="H124" s="18"/>
    </row>
    <row r="125" spans="1:11" ht="15" customHeight="1" x14ac:dyDescent="0.35">
      <c r="A125" s="104"/>
      <c r="B125" s="21" t="s">
        <v>98</v>
      </c>
      <c r="C125" s="2"/>
      <c r="D125" s="18"/>
      <c r="E125" s="18"/>
      <c r="F125" s="18"/>
      <c r="G125" s="18"/>
      <c r="H125" s="18"/>
    </row>
    <row r="126" spans="1:11" ht="15" customHeight="1" x14ac:dyDescent="0.35">
      <c r="A126" s="104"/>
      <c r="B126" s="21" t="s">
        <v>99</v>
      </c>
      <c r="C126" s="2"/>
      <c r="D126" s="18"/>
      <c r="E126" s="18"/>
      <c r="F126" s="18"/>
      <c r="G126" s="18"/>
      <c r="H126" s="18"/>
    </row>
    <row r="127" spans="1:11" ht="15" customHeight="1" x14ac:dyDescent="0.3">
      <c r="B127" s="27"/>
    </row>
    <row r="128" spans="1:11" ht="3" customHeight="1" x14ac:dyDescent="0.3">
      <c r="A128" s="135"/>
      <c r="B128" s="136"/>
      <c r="C128" s="135"/>
      <c r="D128" s="137">
        <f>IF(COUNTA(D9,D10,D14,D15,D16,D20,D21,D25)=8,1,0)+IF(COUNTA(E9,E10,E14,E15,E16,E20,E21,E25)=8,1,0)+IF(COUNTA(F9,F10,F14,F15,F16,F20,F21,F25)=8,1,0)+IF(COUNTA(G9,G10,G14,G15,G16,G20,G21,G25)=8,1,0)</f>
        <v>3</v>
      </c>
      <c r="E128" s="137"/>
      <c r="F128" s="137">
        <f>IF(D9&lt;&gt;"",1,0)+IF(E9&lt;&gt;"",1,0)+IF(F9&lt;&gt;"",1,0)+IF(G9&lt;&gt;"",1,0)+IF(H9&lt;&gt;"",1,0)</f>
        <v>4</v>
      </c>
      <c r="G128" s="137">
        <f>IF(NOT(ISBLANK(H9)),F128,IF(NOT(ISBLANK(G9)),F128,IF(NOT(ISBLANK(F9)),F128,IF(NOT(ISBLANK(E9)),F128,IF(NOT(ISBLANK(D9)),F128,0)))))</f>
        <v>4</v>
      </c>
      <c r="H128" s="137"/>
      <c r="I128" s="135"/>
      <c r="J128" s="135"/>
      <c r="K128" s="135"/>
    </row>
    <row r="129" spans="2:8" ht="15" customHeight="1" x14ac:dyDescent="0.3">
      <c r="B129" s="27"/>
    </row>
    <row r="130" spans="2:8" ht="15" customHeight="1" x14ac:dyDescent="0.3">
      <c r="B130" s="27"/>
    </row>
    <row r="131" spans="2:8" ht="15" customHeight="1" x14ac:dyDescent="0.3">
      <c r="B131" s="27"/>
    </row>
    <row r="132" spans="2:8" ht="15" customHeight="1" x14ac:dyDescent="0.3">
      <c r="B132" s="27"/>
      <c r="E132">
        <v>2022</v>
      </c>
      <c r="F132">
        <v>2023</v>
      </c>
      <c r="G132">
        <v>2024</v>
      </c>
      <c r="H132" t="s">
        <v>4</v>
      </c>
    </row>
    <row r="133" spans="2:8" ht="15" customHeight="1" x14ac:dyDescent="0.3">
      <c r="B133" s="27"/>
    </row>
    <row r="134" spans="2:8" ht="15" customHeight="1" x14ac:dyDescent="0.3">
      <c r="B134" s="27"/>
    </row>
    <row r="135" spans="2:8" ht="15" customHeight="1" x14ac:dyDescent="0.3">
      <c r="B135" s="27"/>
    </row>
    <row r="136" spans="2:8" ht="15" customHeight="1" x14ac:dyDescent="0.3">
      <c r="B136" s="27"/>
    </row>
    <row r="137" spans="2:8" ht="15" customHeight="1" x14ac:dyDescent="0.3">
      <c r="B137" s="27"/>
    </row>
    <row r="138" spans="2:8" ht="15" customHeight="1" x14ac:dyDescent="0.3">
      <c r="B138" s="27"/>
    </row>
    <row r="139" spans="2:8" ht="15" customHeight="1" x14ac:dyDescent="0.3">
      <c r="B139" s="27"/>
    </row>
    <row r="140" spans="2:8" ht="15" customHeight="1" x14ac:dyDescent="0.3">
      <c r="B140" s="27"/>
    </row>
    <row r="141" spans="2:8" ht="15" customHeight="1" x14ac:dyDescent="0.3">
      <c r="B141" s="27"/>
    </row>
    <row r="142" spans="2:8" ht="15" customHeight="1" x14ac:dyDescent="0.3">
      <c r="B142" s="27"/>
    </row>
    <row r="143" spans="2:8" ht="15" customHeight="1" x14ac:dyDescent="0.3">
      <c r="B143" s="27"/>
    </row>
    <row r="144" spans="2:8" ht="15" customHeight="1" x14ac:dyDescent="0.3">
      <c r="B144" s="27"/>
    </row>
    <row r="145" spans="2:2" ht="15" customHeight="1" x14ac:dyDescent="0.3">
      <c r="B145" s="27"/>
    </row>
    <row r="146" spans="2:2" ht="15" customHeight="1" x14ac:dyDescent="0.3">
      <c r="B146" s="27"/>
    </row>
    <row r="147" spans="2:2" ht="15" customHeight="1" x14ac:dyDescent="0.3">
      <c r="B147" s="27"/>
    </row>
    <row r="148" spans="2:2" ht="15" customHeight="1" x14ac:dyDescent="0.3">
      <c r="B148" s="27"/>
    </row>
    <row r="149" spans="2:2" ht="15" customHeight="1" x14ac:dyDescent="0.3">
      <c r="B149" s="27"/>
    </row>
    <row r="150" spans="2:2" ht="15" customHeight="1" x14ac:dyDescent="0.3">
      <c r="B150" s="27"/>
    </row>
    <row r="151" spans="2:2" ht="15" customHeight="1" x14ac:dyDescent="0.3">
      <c r="B151" s="27"/>
    </row>
  </sheetData>
  <conditionalFormatting sqref="D1">
    <cfRule type="expression" dxfId="21" priority="2">
      <formula>$F$128&lt;4</formula>
    </cfRule>
  </conditionalFormatting>
  <conditionalFormatting sqref="D2 D4 D6 D8:D31 D33:D66 D68:D92 D94:D111 D113:D122">
    <cfRule type="expression" dxfId="20" priority="8">
      <formula>$F$128&lt;5</formula>
    </cfRule>
  </conditionalFormatting>
  <conditionalFormatting sqref="D7">
    <cfRule type="expression" dxfId="19" priority="1">
      <formula>$F$128&lt;4</formula>
    </cfRule>
  </conditionalFormatting>
  <conditionalFormatting sqref="E1:E122">
    <cfRule type="expression" dxfId="18" priority="9">
      <formula>$F$128&lt;4</formula>
    </cfRule>
  </conditionalFormatting>
  <conditionalFormatting sqref="F1:F122">
    <cfRule type="expression" dxfId="17" priority="10">
      <formula>$F$128&lt;3</formula>
    </cfRule>
  </conditionalFormatting>
  <conditionalFormatting sqref="G1:G122">
    <cfRule type="expression" dxfId="16" priority="11">
      <formula>$F$128&lt;2</formula>
    </cfRule>
  </conditionalFormatting>
  <conditionalFormatting sqref="H1:H122">
    <cfRule type="expression" dxfId="15" priority="12">
      <formula>$F$128&lt;1</formula>
    </cfRule>
  </conditionalFormatting>
  <dataValidations count="1">
    <dataValidation type="list" allowBlank="1" showInputMessage="1" showErrorMessage="1" sqref="D116" xr:uid="{00000000-0002-0000-0000-000000000000}">
      <formula1>"Technologie / SaaS,Industrie / Manufacturing,Consommation / Retail,Luxe / Premium,Energie / Utilities,Sante / Pharma"</formula1>
    </dataValidation>
  </dataValidations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00"/>
  <sheetViews>
    <sheetView showGridLines="0" zoomScale="65" workbookViewId="0">
      <selection activeCell="B1" sqref="B1"/>
    </sheetView>
  </sheetViews>
  <sheetFormatPr baseColWidth="10" defaultRowHeight="14.4" x14ac:dyDescent="0.3"/>
  <cols>
    <col min="1" max="1" width="1.77734375" customWidth="1"/>
    <col min="2" max="2" width="11" style="100" customWidth="1"/>
    <col min="3" max="3" width="49.5546875" style="12" customWidth="1"/>
    <col min="4" max="4" width="12.33203125" customWidth="1"/>
    <col min="5" max="7" width="13.33203125" style="14" customWidth="1"/>
    <col min="8" max="8" width="14.33203125" style="14" bestFit="1" customWidth="1"/>
    <col min="9" max="9" width="18.88671875" style="14" bestFit="1" customWidth="1"/>
    <col min="10" max="10" width="19.5546875" bestFit="1" customWidth="1"/>
  </cols>
  <sheetData>
    <row r="1" spans="1:10" ht="54.9" customHeight="1" x14ac:dyDescent="0.6">
      <c r="A1" s="176"/>
      <c r="B1" s="177" t="s">
        <v>100</v>
      </c>
      <c r="C1" s="176"/>
      <c r="D1" s="176"/>
      <c r="E1" s="176"/>
      <c r="F1" s="176"/>
      <c r="G1" s="176" t="s">
        <v>534</v>
      </c>
      <c r="H1" s="176"/>
      <c r="I1" s="176"/>
      <c r="J1" s="176"/>
    </row>
    <row r="2" spans="1:10" ht="21" x14ac:dyDescent="0.5">
      <c r="A2" s="178"/>
      <c r="B2" s="178" t="s">
        <v>505</v>
      </c>
      <c r="C2" s="178"/>
      <c r="D2" s="178"/>
      <c r="E2" s="178"/>
      <c r="F2" s="178"/>
      <c r="G2" s="178"/>
      <c r="H2" s="178"/>
      <c r="I2" s="178"/>
      <c r="J2" s="178"/>
    </row>
    <row r="3" spans="1:10" ht="18" customHeight="1" x14ac:dyDescent="0.3">
      <c r="B3" s="179" t="s">
        <v>506</v>
      </c>
      <c r="C3" s="179"/>
      <c r="D3" s="179"/>
      <c r="E3" s="179"/>
      <c r="F3" s="179"/>
      <c r="G3" s="179"/>
      <c r="H3" s="179"/>
      <c r="I3" s="179"/>
      <c r="J3" s="179"/>
    </row>
    <row r="4" spans="1:10" ht="15" customHeight="1" x14ac:dyDescent="0.3">
      <c r="B4" s="180" t="s">
        <v>507</v>
      </c>
      <c r="C4" s="180"/>
      <c r="D4" s="180"/>
      <c r="E4" s="180"/>
      <c r="F4" s="180"/>
      <c r="G4" s="180"/>
      <c r="H4" s="180"/>
      <c r="I4" s="180"/>
      <c r="J4" s="180"/>
    </row>
    <row r="5" spans="1:10" ht="15" customHeight="1" x14ac:dyDescent="0.5">
      <c r="A5" s="178"/>
      <c r="B5" s="178"/>
      <c r="C5" s="181" t="s">
        <v>2</v>
      </c>
      <c r="D5" s="181" t="s">
        <v>3</v>
      </c>
      <c r="E5" s="182">
        <v>2022</v>
      </c>
      <c r="F5" s="182">
        <v>2023</v>
      </c>
      <c r="G5" s="182">
        <v>2024</v>
      </c>
      <c r="H5" s="182" t="s">
        <v>4</v>
      </c>
      <c r="I5" s="182" t="s">
        <v>284</v>
      </c>
      <c r="J5" s="182" t="s">
        <v>285</v>
      </c>
    </row>
    <row r="6" spans="1:10" ht="15" customHeight="1" x14ac:dyDescent="0.35">
      <c r="B6" s="200"/>
      <c r="C6" s="200"/>
      <c r="D6" s="200"/>
      <c r="E6" s="200"/>
      <c r="F6" s="200"/>
      <c r="G6" s="200"/>
      <c r="H6" s="200"/>
      <c r="I6" s="200"/>
      <c r="J6" s="200"/>
    </row>
    <row r="7" spans="1:10" ht="18" customHeight="1" x14ac:dyDescent="0.5">
      <c r="A7" s="178"/>
      <c r="B7" s="183" t="s">
        <v>723</v>
      </c>
      <c r="C7" s="178"/>
      <c r="D7" s="183"/>
      <c r="E7" s="183"/>
      <c r="F7" s="183"/>
      <c r="G7" s="183"/>
      <c r="H7" s="183"/>
      <c r="I7" s="183"/>
      <c r="J7" s="183"/>
    </row>
    <row r="8" spans="1:10" ht="18" customHeight="1" x14ac:dyDescent="0.35">
      <c r="B8" s="40"/>
      <c r="C8" s="184" t="s">
        <v>508</v>
      </c>
      <c r="D8" s="185" t="s">
        <v>290</v>
      </c>
      <c r="E8" s="186">
        <f>IFERROR(INPUT!E97/(INPUT!E60-INPUT!E42),"–")</f>
        <v>5.9187140249894705</v>
      </c>
      <c r="F8" s="186">
        <f>IFERROR(INPUT!F97/(INPUT!F60-INPUT!F42),"–")</f>
        <v>7.0927216479519783</v>
      </c>
      <c r="G8" s="186">
        <f>IFERROR(INPUT!G97/(INPUT!G60-INPUT!G42),"–")</f>
        <v>8.161322983462707</v>
      </c>
      <c r="H8" s="186">
        <f>IFERROR(INPUT!H97/(INPUT!H60-INPUT!H42),"–")</f>
        <v>1.7856407795896423</v>
      </c>
      <c r="I8" s="354">
        <v>0.8</v>
      </c>
      <c r="J8" s="354">
        <v>1.8</v>
      </c>
    </row>
    <row r="9" spans="1:10" ht="15" customHeight="1" x14ac:dyDescent="0.35">
      <c r="B9" s="40"/>
      <c r="C9" s="184" t="s">
        <v>509</v>
      </c>
      <c r="D9" s="185" t="s">
        <v>290</v>
      </c>
      <c r="E9" s="186">
        <f>IFERROR(INPUT!E97/INPUT!E26,"–")</f>
        <v>33.049292903954097</v>
      </c>
      <c r="F9" s="186">
        <f>IFERROR(INPUT!F97/INPUT!F26,"–")</f>
        <v>33.544353665632272</v>
      </c>
      <c r="G9" s="186">
        <f>IFERROR(INPUT!G97/INPUT!G26,"–")</f>
        <v>39.578191241489833</v>
      </c>
      <c r="H9" s="186">
        <f>IFERROR(INPUT!H97/INPUT!H26,"–")</f>
        <v>8.0114364242674689</v>
      </c>
      <c r="I9" s="355">
        <v>8</v>
      </c>
      <c r="J9" s="355">
        <v>14</v>
      </c>
    </row>
    <row r="10" spans="1:10" ht="15" customHeight="1" x14ac:dyDescent="0.35">
      <c r="B10" s="40"/>
      <c r="C10" s="184" t="s">
        <v>492</v>
      </c>
      <c r="D10" s="185" t="s">
        <v>294</v>
      </c>
      <c r="E10" s="187">
        <f>IFERROR(INPUT!E26/INPUT!E60,"–")</f>
        <v>0.15295113534719873</v>
      </c>
      <c r="F10" s="187">
        <f>IFERROR(INPUT!F26/INPUT!F60,"–")</f>
        <v>0.18149417650449468</v>
      </c>
      <c r="G10" s="187">
        <f>IFERROR(INPUT!G26/INPUT!G60,"–")</f>
        <v>0.17910681714546284</v>
      </c>
      <c r="H10" s="187">
        <f>IFERROR(INPUT!H26/INPUT!H60,"–")</f>
        <v>0.19584656298758374</v>
      </c>
      <c r="I10" s="356">
        <v>0.08</v>
      </c>
      <c r="J10" s="356">
        <v>0.18</v>
      </c>
    </row>
    <row r="11" spans="1:10" ht="15" customHeight="1" x14ac:dyDescent="0.35">
      <c r="B11" s="40"/>
      <c r="C11" s="184" t="s">
        <v>510</v>
      </c>
      <c r="D11" s="185" t="s">
        <v>294</v>
      </c>
      <c r="E11" s="188">
        <f>IFERROR(INPUT!E21/INPUT!E44,"–")</f>
        <v>0.11591297690283403</v>
      </c>
      <c r="F11" s="188">
        <f>IFERROR(INPUT!F21/INPUT!F44,"–")</f>
        <v>0.20126074065859129</v>
      </c>
      <c r="G11" s="188">
        <f>IFERROR(INPUT!G21/INPUT!G44,"–")</f>
        <v>0.28150415797548906</v>
      </c>
      <c r="H11" s="188">
        <f>IFERROR((INPUT!H21+INPUT!H20)/(INPUT!H44*0.65),"–")</f>
        <v>0.25302921647978599</v>
      </c>
      <c r="I11" s="357"/>
      <c r="J11" s="358">
        <v>0.04</v>
      </c>
    </row>
    <row r="12" spans="1:10" ht="15" customHeight="1" x14ac:dyDescent="0.35">
      <c r="B12" s="40"/>
      <c r="C12" s="184" t="s">
        <v>511</v>
      </c>
      <c r="D12" s="185" t="s">
        <v>294</v>
      </c>
      <c r="E12" s="187">
        <f>IFERROR(ABS(INPUT!E14+INPUT!E15+INPUT!E16)/(INPUT!E21+ABS(INPUT!E20)),"–")</f>
        <v>0.46821805826549151</v>
      </c>
      <c r="F12" s="187">
        <f>IFERROR(ABS(INPUT!F14+INPUT!F15+INPUT!F16)/(INPUT!F21+ABS(INPUT!F20)),"–")</f>
        <v>0.24825234509287084</v>
      </c>
      <c r="G12" s="187">
        <f>IFERROR(ABS(INPUT!G14+INPUT!G15+INPUT!G16)/(INPUT!G21+ABS(INPUT!G20)),"–")</f>
        <v>0.2330272992349712</v>
      </c>
      <c r="H12" s="187">
        <f>IFERROR(ABS(INPUT!H10)/INPUT!H9,"–")</f>
        <v>0.42746374699610112</v>
      </c>
      <c r="I12" s="356">
        <v>0.45</v>
      </c>
      <c r="J12" s="356">
        <v>0.65</v>
      </c>
    </row>
    <row r="13" spans="1:10" ht="15" customHeight="1" x14ac:dyDescent="0.35">
      <c r="B13" s="200"/>
      <c r="C13" s="200"/>
      <c r="D13" s="200"/>
      <c r="E13" s="200"/>
      <c r="F13" s="200"/>
      <c r="G13" s="200"/>
      <c r="H13" s="200"/>
      <c r="I13" s="250"/>
      <c r="J13" s="250"/>
    </row>
    <row r="14" spans="1:10" ht="15" customHeight="1" x14ac:dyDescent="0.35">
      <c r="A14" s="183"/>
      <c r="B14" s="183" t="s">
        <v>724</v>
      </c>
      <c r="C14" s="183"/>
      <c r="D14" s="183"/>
      <c r="E14" s="183"/>
      <c r="F14" s="183"/>
      <c r="G14" s="183"/>
      <c r="H14" s="183"/>
      <c r="I14" s="353"/>
      <c r="J14" s="353"/>
    </row>
    <row r="15" spans="1:10" ht="15" customHeight="1" x14ac:dyDescent="0.35">
      <c r="B15" s="40"/>
      <c r="C15" s="184" t="s">
        <v>493</v>
      </c>
      <c r="D15" s="185" t="s">
        <v>294</v>
      </c>
      <c r="E15" s="188">
        <f>IFERROR(INPUT!E26/INPUT!E44,"–")</f>
        <v>7.9661679537282315E-2</v>
      </c>
      <c r="F15" s="188">
        <f>IFERROR(INPUT!F26/INPUT!F44,"–")</f>
        <v>9.7329273227724972E-2</v>
      </c>
      <c r="G15" s="188">
        <f>IFERROR(INPUT!G26/INPUT!G44,"–")</f>
        <v>0.1277120465890666</v>
      </c>
      <c r="H15" s="188">
        <f>IFERROR(INPUT!H26/INPUT!H44,"–")</f>
        <v>0.17931278109975701</v>
      </c>
      <c r="I15" s="358">
        <v>5.0000000000000001E-3</v>
      </c>
      <c r="J15" s="358">
        <v>1.4999999999999999E-2</v>
      </c>
    </row>
    <row r="16" spans="1:10" ht="15" customHeight="1" x14ac:dyDescent="0.35">
      <c r="B16" s="40"/>
      <c r="C16" s="184" t="s">
        <v>512</v>
      </c>
      <c r="D16" s="185" t="s">
        <v>294</v>
      </c>
      <c r="E16" s="187">
        <f>IFERROR(INPUT!E35/INPUT!E47,"–")</f>
        <v>0.66345685031691859</v>
      </c>
      <c r="F16" s="187">
        <f>IFERROR(INPUT!F35/INPUT!F47,"–")</f>
        <v>0.66289824648061246</v>
      </c>
      <c r="G16" s="187">
        <f>IFERROR(INPUT!G35/INPUT!G47,"–")</f>
        <v>0.66092730798613153</v>
      </c>
      <c r="H16" s="188">
        <f>IFERROR(INPUT!H26/INPUT!H44,"–")</f>
        <v>0.17931278109975701</v>
      </c>
      <c r="I16" s="356">
        <v>0.6</v>
      </c>
      <c r="J16" s="356">
        <v>0.85</v>
      </c>
    </row>
    <row r="17" spans="1:10" ht="18" customHeight="1" x14ac:dyDescent="0.35">
      <c r="B17" s="40"/>
      <c r="C17" s="184" t="s">
        <v>309</v>
      </c>
      <c r="D17" s="185" t="s">
        <v>294</v>
      </c>
      <c r="E17" s="187">
        <f>IFERROR(ABS(INPUT!E29)/INPUT!E97,"–")</f>
        <v>1.5000355795915462E-3</v>
      </c>
      <c r="F17" s="187">
        <f>IFERROR(ABS(INPUT!F29)/INPUT!F97,"–")</f>
        <v>3.5500627873991564E-3</v>
      </c>
      <c r="G17" s="187">
        <f>IFERROR(ABS(INPUT!G29)/INPUT!G97,"–")</f>
        <v>5.4074885819571953E-3</v>
      </c>
      <c r="H17" s="187">
        <f>IFERROR(ABS(INPUT!H29)/INPUT!H97,"–")</f>
        <v>3.7894979984550756E-2</v>
      </c>
      <c r="I17" s="356">
        <v>0.02</v>
      </c>
      <c r="J17" s="356">
        <v>0.05</v>
      </c>
    </row>
    <row r="18" spans="1:10" ht="18" customHeight="1" x14ac:dyDescent="0.35">
      <c r="B18" s="200"/>
      <c r="C18" s="200"/>
      <c r="D18" s="200"/>
      <c r="E18" s="200"/>
      <c r="F18" s="200"/>
      <c r="G18" s="200"/>
      <c r="H18" s="200"/>
      <c r="I18" s="200"/>
      <c r="J18" s="200"/>
    </row>
    <row r="19" spans="1:10" ht="15" customHeight="1" x14ac:dyDescent="0.35">
      <c r="A19" s="183"/>
      <c r="B19" s="183" t="s">
        <v>725</v>
      </c>
      <c r="C19" s="183"/>
      <c r="D19" s="183"/>
      <c r="E19" s="183"/>
      <c r="F19" s="183"/>
      <c r="G19" s="183"/>
      <c r="H19" s="183"/>
      <c r="I19" s="183"/>
      <c r="J19" s="183"/>
    </row>
    <row r="20" spans="1:10" ht="15" customHeight="1" x14ac:dyDescent="0.35">
      <c r="B20" s="40"/>
      <c r="C20" s="184" t="s">
        <v>491</v>
      </c>
      <c r="D20" s="185" t="s">
        <v>294</v>
      </c>
      <c r="E20" s="187">
        <f>IFERROR((INPUT!F9-INPUT!E9)/INPUT!E9,"–")</f>
        <v>0.21314992131655797</v>
      </c>
      <c r="F20" s="187">
        <f>IFERROR((INPUT!G9-INPUT!F9)/INPUT!F9,"–")</f>
        <v>9.3493468945221744E-2</v>
      </c>
      <c r="G20" s="187">
        <f>IFERROR((INPUT!H9-INPUT!G9)/INPUT!G9,"–")</f>
        <v>7.322989394413329E-2</v>
      </c>
      <c r="H20" s="187">
        <f>IFERROR((INPUT!H9-INPUT!G9)/INPUT!G9,"–")</f>
        <v>7.322989394413329E-2</v>
      </c>
      <c r="I20" s="192"/>
      <c r="J20" s="192"/>
    </row>
    <row r="21" spans="1:10" ht="15" customHeight="1" x14ac:dyDescent="0.35">
      <c r="B21" s="40"/>
      <c r="C21" s="184" t="s">
        <v>104</v>
      </c>
      <c r="D21" s="185" t="s">
        <v>294</v>
      </c>
      <c r="E21" s="187">
        <f>IFERROR(INPUT!F11/INPUT!F9,"–")</f>
        <v>0.48943543807114459</v>
      </c>
      <c r="F21" s="187">
        <f>IFERROR(INPUT!G11/INPUT!G9,"–")</f>
        <v>0.52643724290157523</v>
      </c>
      <c r="G21" s="187">
        <f>IFERROR(INPUT!H11/INPUT!H9,"–")</f>
        <v>0.57253625300389888</v>
      </c>
      <c r="H21" s="187">
        <f>IFERROR(INPUT!H11/INPUT!H9,"–")</f>
        <v>0.57253625300389888</v>
      </c>
      <c r="I21" s="192"/>
      <c r="J21" s="192"/>
    </row>
    <row r="22" spans="1:10" ht="15" customHeight="1" x14ac:dyDescent="0.35">
      <c r="B22" s="40"/>
      <c r="C22" s="184" t="s">
        <v>105</v>
      </c>
      <c r="D22" s="185" t="s">
        <v>294</v>
      </c>
      <c r="E22" s="187">
        <f>IFERROR(INPUT!F30/INPUT!F9,"–")</f>
        <v>0.1343254685321906</v>
      </c>
      <c r="F22" s="187">
        <f>IFERROR(INPUT!G30/INPUT!G9,"–")</f>
        <v>0.16718701125478785</v>
      </c>
      <c r="G22" s="187">
        <f>IFERROR(INPUT!H30/INPUT!H9,"–")</f>
        <v>0.20723465330745078</v>
      </c>
      <c r="H22" s="187">
        <f>IFERROR(INPUT!H30/INPUT!H9,"–")</f>
        <v>0.20723465330745078</v>
      </c>
      <c r="I22" s="192"/>
      <c r="J22" s="192"/>
    </row>
    <row r="23" spans="1:10" ht="15" customHeight="1" x14ac:dyDescent="0.35">
      <c r="B23" s="40"/>
      <c r="C23" s="184" t="s">
        <v>106</v>
      </c>
      <c r="D23" s="185" t="s">
        <v>294</v>
      </c>
      <c r="E23" s="187">
        <f>IFERROR(INPUT!F26/INPUT!F9,"–")</f>
        <v>0.53239712943363104</v>
      </c>
      <c r="F23" s="187">
        <f>IFERROR(INPUT!G26/INPUT!G9,"–")</f>
        <v>0.51926061886578656</v>
      </c>
      <c r="G23" s="187">
        <f>IFERROR(INPUT!H26/INPUT!H9,"–")</f>
        <v>0.5722228026857743</v>
      </c>
      <c r="H23" s="187">
        <f>IFERROR(INPUT!H26/INPUT!H9,"–")</f>
        <v>0.5722228026857743</v>
      </c>
      <c r="I23" s="192"/>
      <c r="J23" s="192"/>
    </row>
    <row r="24" spans="1:10" ht="15" customHeight="1" x14ac:dyDescent="0.35">
      <c r="B24" s="40"/>
      <c r="C24" s="184" t="s">
        <v>492</v>
      </c>
      <c r="D24" s="185" t="s">
        <v>294</v>
      </c>
      <c r="E24" s="187">
        <f>IFERROR(INPUT!F26/INPUT!F60,"–")</f>
        <v>0.18149417650449468</v>
      </c>
      <c r="F24" s="187">
        <f>IFERROR(INPUT!G26/INPUT!G60,"–")</f>
        <v>0.17910681714546284</v>
      </c>
      <c r="G24" s="187">
        <f>IFERROR(INPUT!H26/INPUT!H60,"–")</f>
        <v>0.19584656298758374</v>
      </c>
      <c r="H24" s="187">
        <f>IFERROR(INPUT!H26/INPUT!H60,"–")</f>
        <v>0.19584656298758374</v>
      </c>
      <c r="I24" s="192"/>
      <c r="J24" s="192"/>
    </row>
    <row r="25" spans="1:10" ht="15" customHeight="1" x14ac:dyDescent="0.35">
      <c r="B25" s="40"/>
      <c r="C25" s="184" t="s">
        <v>493</v>
      </c>
      <c r="D25" s="185" t="s">
        <v>294</v>
      </c>
      <c r="E25" s="187">
        <f>IFERROR(INPUT!F26/INPUT!F44,"–")</f>
        <v>9.7329273227724972E-2</v>
      </c>
      <c r="F25" s="187">
        <f>IFERROR(INPUT!G26/INPUT!G44,"–")</f>
        <v>0.1277120465890666</v>
      </c>
      <c r="G25" s="187">
        <f>IFERROR(INPUT!H26/INPUT!H44,"–")</f>
        <v>0.17931278109975701</v>
      </c>
      <c r="H25" s="187">
        <f>IFERROR(INPUT!H26/INPUT!H44,"–")</f>
        <v>0.17931278109975701</v>
      </c>
      <c r="I25" s="192"/>
      <c r="J25" s="192"/>
    </row>
    <row r="26" spans="1:10" ht="15" customHeight="1" x14ac:dyDescent="0.35">
      <c r="B26" s="40"/>
      <c r="C26" s="184" t="s">
        <v>108</v>
      </c>
      <c r="D26" s="185" t="s">
        <v>494</v>
      </c>
      <c r="E26" s="190">
        <f>INPUT!E75-ABS(INPUT!E78)</f>
        <v>118895</v>
      </c>
      <c r="F26" s="190">
        <f>INPUT!F75-ABS(INPUT!F78)</f>
        <v>81746</v>
      </c>
      <c r="G26" s="190">
        <f>INPUT!G75-ABS(INPUT!G78)</f>
        <v>92268</v>
      </c>
      <c r="H26" s="190">
        <f>INPUT!H75-ABS(INPUT!H78)</f>
        <v>82804</v>
      </c>
      <c r="I26" s="192"/>
      <c r="J26" s="192"/>
    </row>
    <row r="27" spans="1:10" ht="18" customHeight="1" x14ac:dyDescent="0.35">
      <c r="B27" s="40"/>
      <c r="C27" s="184" t="s">
        <v>109</v>
      </c>
      <c r="D27" s="185" t="s">
        <v>294</v>
      </c>
      <c r="E27" s="187">
        <f>IFERROR((INPUT!E75-ABS(INPUT!E78))/INPUT!E9,"–")</f>
        <v>0.93085252139328412</v>
      </c>
      <c r="F27" s="187">
        <f>IFERROR((INPUT!F75-ABS(INPUT!F78))/INPUT!F9,"–")</f>
        <v>0.52755692085290928</v>
      </c>
      <c r="G27" s="187">
        <f>IFERROR((INPUT!G75-ABS(INPUT!G78))/INPUT!G9,"–")</f>
        <v>0.54454995603137413</v>
      </c>
      <c r="H27" s="187">
        <f>IFERROR((INPUT!H75-ABS(INPUT!H78))/INPUT!H9,"–")</f>
        <v>0.45534982705241217</v>
      </c>
      <c r="I27" s="192"/>
      <c r="J27" s="192"/>
    </row>
    <row r="28" spans="1:10" ht="18" customHeight="1" x14ac:dyDescent="0.35">
      <c r="B28" s="40"/>
      <c r="C28" s="184" t="s">
        <v>495</v>
      </c>
      <c r="D28" s="185" t="s">
        <v>290</v>
      </c>
      <c r="E28" s="191">
        <f>IFERROR((INPUT!E54+INPUT!E48)/INPUT!E60,"–")</f>
        <v>0.81507113755338612</v>
      </c>
      <c r="F28" s="191">
        <f>IFERROR((INPUT!F54+INPUT!F48)/INPUT!F60,"–")</f>
        <v>0.96039715051326846</v>
      </c>
      <c r="G28" s="191">
        <f>IFERROR((INPUT!G54+INPUT!G48)/INPUT!G60,"–")</f>
        <v>0.92483999413718976</v>
      </c>
      <c r="H28" s="191">
        <f>IFERROR((INPUT!H54+INPUT!H48)/INPUT!H60,"–")</f>
        <v>0.94102036629595398</v>
      </c>
      <c r="I28" s="192"/>
      <c r="J28" s="192"/>
    </row>
    <row r="29" spans="1:10" ht="15" customHeight="1" x14ac:dyDescent="0.35">
      <c r="B29" s="40"/>
      <c r="C29" s="201" t="s">
        <v>535</v>
      </c>
      <c r="D29" s="185" t="s">
        <v>290</v>
      </c>
      <c r="E29" s="191">
        <f>IFERROR((INPUT!E54+INPUT!E48-INPUT!E34)/INPUT!E30,"–")</f>
        <v>-12.291414359861591</v>
      </c>
      <c r="F29" s="191">
        <f>IFERROR((INPUT!F54+INPUT!F48-INPUT!F34)/INPUT!F30,"–")</f>
        <v>-9.0138368405880662</v>
      </c>
      <c r="G29" s="191">
        <f>IFERROR((INPUT!G54+INPUT!G48-INPUT!G34)/INPUT!G30,"–")</f>
        <v>-0.5297232420220277</v>
      </c>
      <c r="H29" s="191">
        <f>IFERROR((INPUT!H54+INPUT!H48-INPUT!H34)/INPUT!H30,"–")</f>
        <v>4.1566671089292822</v>
      </c>
      <c r="I29" s="192"/>
      <c r="J29" s="192"/>
    </row>
    <row r="30" spans="1:10" ht="15" customHeight="1" x14ac:dyDescent="0.35">
      <c r="B30" s="40"/>
      <c r="C30" s="201" t="s">
        <v>536</v>
      </c>
      <c r="D30" s="185" t="s">
        <v>290</v>
      </c>
      <c r="E30" s="191">
        <f>IFERROR(INPUT!E17/ABS(INPUT!E20),"–")</f>
        <v>0.4385561558799862</v>
      </c>
      <c r="F30" s="191">
        <f>IFERROR(INPUT!F17/ABS(INPUT!F20),"–")</f>
        <v>0.16357398457962888</v>
      </c>
      <c r="G30" s="191">
        <f>IFERROR(INPUT!G17/ABS(INPUT!G20),"–")</f>
        <v>0.20118401578687717</v>
      </c>
      <c r="H30" s="191">
        <f>IFERROR(INPUT!H17/ABS(INPUT!H20),"–")</f>
        <v>0.29483748391182657</v>
      </c>
      <c r="I30" s="192"/>
      <c r="J30" s="192"/>
    </row>
    <row r="31" spans="1:10" ht="15" customHeight="1" x14ac:dyDescent="0.35">
      <c r="B31" s="40"/>
      <c r="C31" s="184" t="s">
        <v>102</v>
      </c>
      <c r="D31" s="185" t="s">
        <v>290</v>
      </c>
      <c r="E31" s="191">
        <f>IFERROR(INPUT!E98/INPUT!E30,"–")</f>
        <v>101.67647058823529</v>
      </c>
      <c r="F31" s="191">
        <f>IFERROR(INPUT!F98/INPUT!F30,"–")</f>
        <v>123.93874315364658</v>
      </c>
      <c r="G31" s="191">
        <f>IFERROR(INPUT!G98/INPUT!G30,"–")</f>
        <v>122.39487432928551</v>
      </c>
      <c r="H31" s="191">
        <f>IFERROR(INPUT!H98/INPUT!H30,"–")</f>
        <v>26.278095794082528</v>
      </c>
      <c r="I31" s="192"/>
      <c r="J31" s="192"/>
    </row>
    <row r="32" spans="1:10" ht="15" customHeight="1" x14ac:dyDescent="0.35">
      <c r="B32" s="40"/>
      <c r="C32" s="184" t="s">
        <v>496</v>
      </c>
      <c r="D32" s="185" t="s">
        <v>290</v>
      </c>
      <c r="E32" s="191">
        <f>IFERROR(INPUT!E97/INPUT!E26,"–")</f>
        <v>33.049292903954097</v>
      </c>
      <c r="F32" s="191">
        <f>IFERROR(INPUT!F97/INPUT!F26,"–")</f>
        <v>33.544353665632272</v>
      </c>
      <c r="G32" s="191">
        <f>IFERROR(INPUT!G97/INPUT!G26,"–")</f>
        <v>39.578191241489833</v>
      </c>
      <c r="H32" s="191">
        <f>IFERROR(INPUT!H97/INPUT!H26,"–")</f>
        <v>8.0114364242674689</v>
      </c>
      <c r="I32" s="192"/>
      <c r="J32" s="192"/>
    </row>
    <row r="33" spans="1:10" ht="15" customHeight="1" x14ac:dyDescent="0.35">
      <c r="B33" s="40"/>
      <c r="C33" s="184" t="s">
        <v>103</v>
      </c>
      <c r="D33" s="185" t="s">
        <v>290</v>
      </c>
      <c r="E33" s="191">
        <f>IFERROR(INPUT!E98/INPUT!E9,"–")</f>
        <v>14.723652790717702</v>
      </c>
      <c r="F33" s="191">
        <f>IFERROR(INPUT!F98/INPUT!F9,"–")</f>
        <v>16.648129743404411</v>
      </c>
      <c r="G33" s="191">
        <f>IFERROR(INPUT!G98/INPUT!G9,"–")</f>
        <v>20.462833232018603</v>
      </c>
      <c r="H33" s="191">
        <f>IFERROR(INPUT!H98/INPUT!H9,"–")</f>
        <v>5.445732071466673</v>
      </c>
      <c r="I33" s="192"/>
      <c r="J33" s="192"/>
    </row>
    <row r="34" spans="1:10" ht="15" customHeight="1" x14ac:dyDescent="0.35">
      <c r="B34" s="200"/>
      <c r="C34" s="200"/>
      <c r="D34" s="200"/>
      <c r="E34" s="200"/>
      <c r="F34" s="200"/>
      <c r="G34" s="200"/>
      <c r="H34" s="200"/>
      <c r="I34" s="200"/>
      <c r="J34" s="200"/>
    </row>
    <row r="35" spans="1:10" ht="15" customHeight="1" x14ac:dyDescent="0.35">
      <c r="A35" s="183"/>
      <c r="B35" s="183" t="s">
        <v>513</v>
      </c>
      <c r="C35" s="183"/>
      <c r="D35" s="183"/>
      <c r="E35" s="183"/>
      <c r="F35" s="183"/>
      <c r="G35" s="183"/>
      <c r="H35" s="183"/>
      <c r="I35" s="183"/>
      <c r="J35" s="183"/>
    </row>
    <row r="36" spans="1:10" ht="15" customHeight="1" x14ac:dyDescent="0.3">
      <c r="B36" s="202"/>
      <c r="C36" s="202" t="s">
        <v>514</v>
      </c>
      <c r="D36" s="202"/>
      <c r="E36" s="202"/>
      <c r="F36" s="202"/>
      <c r="G36" s="202"/>
      <c r="H36" s="202"/>
      <c r="I36" s="202"/>
      <c r="J36" s="202"/>
    </row>
    <row r="37" spans="1:10" ht="15" customHeight="1" x14ac:dyDescent="0.3">
      <c r="B37"/>
      <c r="C37"/>
      <c r="E37"/>
      <c r="F37"/>
      <c r="G37"/>
      <c r="H37"/>
      <c r="I37"/>
    </row>
    <row r="38" spans="1:10" ht="18" customHeight="1" x14ac:dyDescent="0.3">
      <c r="B38"/>
      <c r="C38"/>
      <c r="E38"/>
      <c r="F38"/>
      <c r="G38"/>
      <c r="H38"/>
      <c r="I38"/>
    </row>
    <row r="39" spans="1:10" ht="18" customHeight="1" x14ac:dyDescent="0.3">
      <c r="B39"/>
      <c r="C39"/>
      <c r="E39"/>
      <c r="F39"/>
      <c r="G39"/>
      <c r="H39"/>
      <c r="I39"/>
    </row>
    <row r="40" spans="1:10" ht="15" customHeight="1" x14ac:dyDescent="0.3">
      <c r="B40"/>
      <c r="C40"/>
      <c r="E40"/>
      <c r="F40"/>
      <c r="G40"/>
      <c r="H40"/>
      <c r="I40"/>
    </row>
    <row r="41" spans="1:10" ht="15" customHeight="1" x14ac:dyDescent="0.3">
      <c r="B41"/>
      <c r="C41"/>
      <c r="E41"/>
      <c r="F41"/>
      <c r="G41"/>
      <c r="H41"/>
      <c r="I41"/>
    </row>
    <row r="42" spans="1:10" ht="15" customHeight="1" x14ac:dyDescent="0.3">
      <c r="B42"/>
      <c r="C42"/>
      <c r="E42"/>
      <c r="F42"/>
      <c r="G42"/>
      <c r="H42"/>
      <c r="I42"/>
    </row>
    <row r="43" spans="1:10" ht="15" customHeight="1" x14ac:dyDescent="0.3">
      <c r="B43"/>
      <c r="C43"/>
      <c r="E43"/>
      <c r="F43"/>
      <c r="G43"/>
      <c r="H43"/>
      <c r="I43"/>
    </row>
    <row r="44" spans="1:10" ht="15" customHeight="1" x14ac:dyDescent="0.3">
      <c r="B44"/>
      <c r="C44"/>
      <c r="E44"/>
      <c r="F44"/>
      <c r="G44"/>
      <c r="H44"/>
      <c r="I44"/>
    </row>
    <row r="45" spans="1:10" ht="15" customHeight="1" x14ac:dyDescent="0.3">
      <c r="B45"/>
      <c r="C45"/>
      <c r="E45"/>
      <c r="F45"/>
      <c r="G45"/>
      <c r="H45"/>
      <c r="I45"/>
    </row>
    <row r="46" spans="1:10" ht="15" customHeight="1" x14ac:dyDescent="0.3">
      <c r="B46"/>
      <c r="C46"/>
      <c r="E46"/>
      <c r="F46"/>
      <c r="G46"/>
      <c r="H46"/>
      <c r="I46"/>
    </row>
    <row r="47" spans="1:10" ht="15" customHeight="1" x14ac:dyDescent="0.3">
      <c r="B47"/>
      <c r="C47"/>
      <c r="E47"/>
      <c r="F47"/>
      <c r="G47"/>
      <c r="H47"/>
      <c r="I47"/>
    </row>
    <row r="48" spans="1:10" ht="15" customHeight="1" x14ac:dyDescent="0.3">
      <c r="B48"/>
      <c r="C48"/>
      <c r="E48"/>
      <c r="F48"/>
      <c r="G48"/>
      <c r="H48"/>
      <c r="I48"/>
    </row>
    <row r="49" customFormat="1" ht="18" customHeight="1" x14ac:dyDescent="0.3"/>
    <row r="50" customFormat="1" ht="18" customHeight="1" x14ac:dyDescent="0.3"/>
    <row r="51" customFormat="1" ht="15" customHeight="1" x14ac:dyDescent="0.3"/>
    <row r="52" customFormat="1" ht="15" customHeight="1" x14ac:dyDescent="0.3"/>
    <row r="53" customFormat="1" ht="15" customHeight="1" x14ac:dyDescent="0.3"/>
    <row r="54" customFormat="1" ht="15" customHeight="1" x14ac:dyDescent="0.3"/>
    <row r="55" customFormat="1" ht="15" customHeight="1" x14ac:dyDescent="0.3"/>
    <row r="56" customFormat="1" ht="15" customHeight="1" x14ac:dyDescent="0.3"/>
    <row r="57" customFormat="1" ht="15" customHeight="1" x14ac:dyDescent="0.3"/>
    <row r="58" customFormat="1" ht="18" customHeight="1" x14ac:dyDescent="0.3"/>
    <row r="59" customFormat="1" ht="18" customHeight="1" x14ac:dyDescent="0.3"/>
    <row r="60" customFormat="1" ht="15" customHeight="1" x14ac:dyDescent="0.3"/>
    <row r="61" customFormat="1" ht="15" customHeight="1" x14ac:dyDescent="0.3"/>
    <row r="62" customFormat="1" ht="15" customHeight="1" x14ac:dyDescent="0.3"/>
    <row r="63" customFormat="1" ht="15" customHeight="1" x14ac:dyDescent="0.3"/>
    <row r="64" customFormat="1" ht="15" customHeight="1" x14ac:dyDescent="0.3"/>
    <row r="65" customFormat="1" ht="15" customHeight="1" x14ac:dyDescent="0.3"/>
    <row r="66" customFormat="1" ht="15" customHeight="1" x14ac:dyDescent="0.3"/>
    <row r="67" customFormat="1" ht="15" customHeight="1" x14ac:dyDescent="0.3"/>
    <row r="68" customFormat="1" ht="15" customHeight="1" x14ac:dyDescent="0.3"/>
    <row r="69" customFormat="1" ht="15" customHeight="1" x14ac:dyDescent="0.3"/>
    <row r="70" customFormat="1" ht="15" customHeight="1" x14ac:dyDescent="0.3"/>
    <row r="71" customFormat="1" ht="15" customHeight="1" x14ac:dyDescent="0.3"/>
    <row r="72" customFormat="1" ht="15" customHeight="1" x14ac:dyDescent="0.3"/>
    <row r="73" customFormat="1" ht="15" customHeight="1" x14ac:dyDescent="0.3"/>
    <row r="74" customFormat="1" ht="15" customHeight="1" x14ac:dyDescent="0.3"/>
    <row r="75" customFormat="1" ht="15" customHeight="1" x14ac:dyDescent="0.3"/>
    <row r="76" customFormat="1" ht="15" customHeight="1" x14ac:dyDescent="0.3"/>
    <row r="77" customFormat="1" ht="15" customHeight="1" x14ac:dyDescent="0.3"/>
    <row r="78" customFormat="1" ht="15" customHeight="1" x14ac:dyDescent="0.3"/>
    <row r="79" customFormat="1" ht="15" customHeight="1" x14ac:dyDescent="0.3"/>
    <row r="80" customFormat="1" ht="15" customHeight="1" x14ac:dyDescent="0.3"/>
    <row r="81" customFormat="1" ht="15" customHeight="1" x14ac:dyDescent="0.3"/>
    <row r="82" customFormat="1" ht="15" customHeight="1" x14ac:dyDescent="0.3"/>
    <row r="83" customFormat="1" ht="15" customHeight="1" x14ac:dyDescent="0.3"/>
    <row r="84" customFormat="1" ht="15" customHeight="1" x14ac:dyDescent="0.3"/>
    <row r="85" customFormat="1" ht="15" customHeight="1" x14ac:dyDescent="0.3"/>
    <row r="86" customFormat="1" ht="15" customHeight="1" x14ac:dyDescent="0.3"/>
    <row r="87" customFormat="1" ht="15" customHeight="1" x14ac:dyDescent="0.3"/>
    <row r="88" customFormat="1" ht="15" customHeight="1" x14ac:dyDescent="0.3"/>
    <row r="89" customFormat="1" ht="15" customHeight="1" x14ac:dyDescent="0.3"/>
    <row r="90" customFormat="1" ht="15" customHeight="1" x14ac:dyDescent="0.3"/>
    <row r="91" customFormat="1" ht="15" customHeight="1" x14ac:dyDescent="0.3"/>
    <row r="92" customFormat="1" ht="15" customHeight="1" x14ac:dyDescent="0.3"/>
    <row r="93" customFormat="1" ht="15" customHeight="1" x14ac:dyDescent="0.3"/>
    <row r="94" customFormat="1" ht="15" customHeight="1" x14ac:dyDescent="0.3"/>
    <row r="95" customFormat="1" ht="15" customHeight="1" x14ac:dyDescent="0.3"/>
    <row r="96" customFormat="1" ht="15" customHeight="1" x14ac:dyDescent="0.3"/>
    <row r="97" customFormat="1" ht="15" customHeight="1" x14ac:dyDescent="0.3"/>
    <row r="98" customFormat="1" ht="15" customHeight="1" x14ac:dyDescent="0.3"/>
    <row r="99" customFormat="1" ht="15" customHeight="1" x14ac:dyDescent="0.3"/>
    <row r="100" customFormat="1" ht="15" customHeight="1" x14ac:dyDescent="0.3"/>
    <row r="101" customFormat="1" ht="15" customHeight="1" x14ac:dyDescent="0.3"/>
    <row r="102" customFormat="1" ht="15" customHeight="1" x14ac:dyDescent="0.3"/>
    <row r="103" customFormat="1" ht="15" customHeight="1" x14ac:dyDescent="0.3"/>
    <row r="104" customFormat="1" ht="15" customHeight="1" x14ac:dyDescent="0.3"/>
    <row r="105" customFormat="1" ht="15" customHeight="1" x14ac:dyDescent="0.3"/>
    <row r="106" customFormat="1" ht="15" customHeight="1" x14ac:dyDescent="0.3"/>
    <row r="107" customFormat="1" ht="15" customHeight="1" x14ac:dyDescent="0.3"/>
    <row r="108" customFormat="1" ht="15" customHeight="1" x14ac:dyDescent="0.3"/>
    <row r="109" customFormat="1" ht="15" customHeight="1" x14ac:dyDescent="0.3"/>
    <row r="110" customFormat="1" ht="15" customHeight="1" x14ac:dyDescent="0.3"/>
    <row r="111" customFormat="1" ht="15" customHeight="1" x14ac:dyDescent="0.3"/>
    <row r="112" customFormat="1" ht="15" customHeight="1" x14ac:dyDescent="0.3"/>
    <row r="113" customFormat="1" ht="15" customHeight="1" x14ac:dyDescent="0.3"/>
    <row r="114" customFormat="1" ht="15" customHeight="1" x14ac:dyDescent="0.3"/>
    <row r="115" customFormat="1" ht="15" customHeight="1" x14ac:dyDescent="0.3"/>
    <row r="116" customFormat="1" ht="15" customHeight="1" x14ac:dyDescent="0.3"/>
    <row r="117" customFormat="1" ht="15" customHeight="1" x14ac:dyDescent="0.3"/>
    <row r="118" customFormat="1" ht="15" customHeight="1" x14ac:dyDescent="0.3"/>
    <row r="119" customFormat="1" ht="15" customHeight="1" x14ac:dyDescent="0.3"/>
    <row r="120" customFormat="1" ht="15" customHeight="1" x14ac:dyDescent="0.3"/>
    <row r="121" customFormat="1" ht="15" customHeight="1" x14ac:dyDescent="0.3"/>
    <row r="122" customFormat="1" ht="15" customHeight="1" x14ac:dyDescent="0.3"/>
    <row r="123" customFormat="1" ht="15" customHeigh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0"/>
  <sheetViews>
    <sheetView showGridLines="0" zoomScale="80" workbookViewId="0">
      <selection activeCell="O15" sqref="O15"/>
    </sheetView>
  </sheetViews>
  <sheetFormatPr baseColWidth="10" defaultRowHeight="14.4" x14ac:dyDescent="0.3"/>
  <cols>
    <col min="1" max="1" width="11" customWidth="1"/>
    <col min="2" max="2" width="53" style="12" customWidth="1"/>
    <col min="3" max="3" width="7.44140625" customWidth="1"/>
    <col min="4" max="4" width="15.109375" style="14" customWidth="1"/>
    <col min="5" max="8" width="13.33203125" style="14" customWidth="1"/>
    <col min="9" max="9" width="1" style="14" customWidth="1"/>
    <col min="10" max="14" width="11.5546875" style="14" customWidth="1"/>
  </cols>
  <sheetData>
    <row r="1" spans="1:14" ht="54.9" customHeight="1" x14ac:dyDescent="0.6">
      <c r="A1" s="4"/>
      <c r="B1" s="204" t="s">
        <v>100</v>
      </c>
      <c r="C1" s="4"/>
      <c r="D1" s="4"/>
      <c r="E1" s="4"/>
      <c r="F1" s="4" t="s">
        <v>537</v>
      </c>
      <c r="G1" s="4"/>
      <c r="H1" s="4"/>
      <c r="I1" s="19"/>
      <c r="J1" s="13"/>
      <c r="K1" s="19"/>
      <c r="L1" s="19"/>
      <c r="M1" s="19"/>
      <c r="N1" s="19"/>
    </row>
    <row r="2" spans="1:14" ht="15" customHeight="1" x14ac:dyDescent="0.35">
      <c r="A2" s="67"/>
      <c r="B2" s="67"/>
      <c r="C2" s="67"/>
      <c r="D2" s="67"/>
      <c r="E2" s="67"/>
      <c r="F2" s="67"/>
      <c r="G2" s="67"/>
      <c r="H2" s="67"/>
      <c r="I2" s="15"/>
    </row>
    <row r="3" spans="1:14" ht="18" customHeight="1" x14ac:dyDescent="0.5">
      <c r="A3" s="5"/>
      <c r="B3" s="5" t="s">
        <v>537</v>
      </c>
      <c r="C3" s="5"/>
      <c r="D3" s="5"/>
      <c r="E3" s="5"/>
      <c r="F3" s="5"/>
      <c r="G3" s="5"/>
      <c r="H3" s="5"/>
      <c r="I3" s="16"/>
      <c r="J3" s="24"/>
      <c r="K3" s="24"/>
      <c r="L3" s="24"/>
      <c r="M3" s="24"/>
      <c r="N3" s="24"/>
    </row>
    <row r="4" spans="1:14" ht="15" customHeight="1" x14ac:dyDescent="0.35">
      <c r="A4" s="209"/>
      <c r="B4" s="209" t="s">
        <v>538</v>
      </c>
      <c r="C4" s="209"/>
      <c r="D4" s="209"/>
      <c r="E4" s="209"/>
      <c r="F4" s="209"/>
      <c r="G4" s="209"/>
      <c r="H4" s="209"/>
      <c r="I4" s="15"/>
    </row>
    <row r="5" spans="1:14" ht="15" customHeight="1" x14ac:dyDescent="0.35">
      <c r="A5" s="210"/>
      <c r="B5" s="1" t="s">
        <v>113</v>
      </c>
      <c r="C5" s="42" t="s">
        <v>3</v>
      </c>
      <c r="D5" s="1"/>
      <c r="E5" s="17">
        <f>IF(INPUT!E5="","",INPUT!E5)</f>
        <v>2022</v>
      </c>
      <c r="F5" s="17">
        <f>IF(INPUT!F5="","",INPUT!F5)</f>
        <v>2023</v>
      </c>
      <c r="G5" s="17">
        <f>IF(INPUT!G5="","",INPUT!G5)</f>
        <v>2024</v>
      </c>
      <c r="H5" s="17" t="str">
        <f>IF(INPUT!H5="","",INPUT!H5)</f>
        <v>2025 (LTM)</v>
      </c>
      <c r="I5" s="17"/>
      <c r="J5" s="1"/>
      <c r="K5" s="1"/>
      <c r="L5" s="1"/>
      <c r="M5" s="1"/>
      <c r="N5" s="1"/>
    </row>
    <row r="6" spans="1:14" ht="15" customHeight="1" x14ac:dyDescent="0.35">
      <c r="B6"/>
      <c r="D6"/>
      <c r="E6"/>
      <c r="F6"/>
      <c r="G6"/>
      <c r="H6"/>
      <c r="I6" s="15"/>
    </row>
    <row r="7" spans="1:14" ht="18" customHeight="1" x14ac:dyDescent="0.5">
      <c r="A7" s="203"/>
      <c r="B7" s="203" t="s">
        <v>116</v>
      </c>
      <c r="C7" s="203"/>
      <c r="D7" s="203"/>
      <c r="E7" s="203"/>
      <c r="F7" s="203"/>
      <c r="G7" s="203"/>
      <c r="H7" s="203"/>
      <c r="I7" s="16"/>
      <c r="J7" s="24"/>
      <c r="K7" s="24"/>
      <c r="L7" s="24"/>
      <c r="M7" s="24"/>
      <c r="N7" s="24"/>
    </row>
    <row r="8" spans="1:14" ht="15" customHeight="1" x14ac:dyDescent="0.35">
      <c r="B8" s="40" t="s">
        <v>539</v>
      </c>
      <c r="C8" s="102" t="s">
        <v>494</v>
      </c>
      <c r="D8"/>
      <c r="E8" s="121">
        <f>IFERROR(INPUT!E35*0.01,"–")</f>
        <v>1251.8900000000001</v>
      </c>
      <c r="F8" s="121">
        <f>IFERROR(INPUT!F35*0.01,"–")</f>
        <v>1073.6300000000001</v>
      </c>
      <c r="G8" s="121">
        <f>IFERROR(INPUT!G35*0.01,"–")</f>
        <v>1012.23</v>
      </c>
      <c r="H8" s="121">
        <f>IFERROR(INPUT!H35*0.01,"–")</f>
        <v>1115.99</v>
      </c>
      <c r="I8" s="20"/>
    </row>
    <row r="9" spans="1:14" ht="15" customHeight="1" x14ac:dyDescent="0.35">
      <c r="B9" s="40" t="s">
        <v>540</v>
      </c>
      <c r="C9" s="102" t="s">
        <v>494</v>
      </c>
      <c r="D9"/>
      <c r="E9" s="121">
        <f>IFERROR(INPUT!E60-INPUT!E42,"–")</f>
        <v>356150</v>
      </c>
      <c r="F9" s="121">
        <f>IFERROR(INPUT!F60-INPUT!F42,"–")</f>
        <v>390157</v>
      </c>
      <c r="G9" s="121">
        <f>IFERROR(INPUT!G60-INPUT!G42,"–")</f>
        <v>426672</v>
      </c>
      <c r="H9" s="121">
        <f>IFERROR(INPUT!H60-INPUT!H42,"–")</f>
        <v>466861</v>
      </c>
      <c r="I9" s="20"/>
    </row>
    <row r="10" spans="1:14" ht="15" customHeight="1" x14ac:dyDescent="0.35">
      <c r="B10" s="40" t="s">
        <v>541</v>
      </c>
      <c r="C10" s="102" t="s">
        <v>494</v>
      </c>
      <c r="D10"/>
      <c r="E10" s="121">
        <f>IFERROR(INPUT!E35*0.015,"–")</f>
        <v>1877.835</v>
      </c>
      <c r="F10" s="121">
        <f>IFERROR(INPUT!F35*0.015,"–")</f>
        <v>1610.4449999999999</v>
      </c>
      <c r="G10" s="121">
        <f>IFERROR(INPUT!G35*0.015,"–")</f>
        <v>1518.345</v>
      </c>
      <c r="H10" s="121">
        <f>IFERROR(INPUT!H35*0.015,"–")</f>
        <v>1673.9849999999999</v>
      </c>
      <c r="I10" s="20"/>
    </row>
    <row r="11" spans="1:14" ht="15" customHeight="1" x14ac:dyDescent="0.35">
      <c r="B11" s="40" t="s">
        <v>542</v>
      </c>
      <c r="C11" s="102" t="s">
        <v>494</v>
      </c>
      <c r="D11"/>
      <c r="E11" s="121">
        <f>INPUT!E60</f>
        <v>417009</v>
      </c>
      <c r="F11" s="121">
        <f>INPUT!F60</f>
        <v>454538</v>
      </c>
      <c r="G11" s="121">
        <f>INPUT!G60</f>
        <v>491232</v>
      </c>
      <c r="H11" s="121">
        <f>INPUT!H60</f>
        <v>531319</v>
      </c>
      <c r="I11" s="20"/>
    </row>
    <row r="12" spans="1:14" ht="15" customHeight="1" x14ac:dyDescent="0.35">
      <c r="B12" s="40" t="s">
        <v>29</v>
      </c>
      <c r="C12" s="102" t="s">
        <v>494</v>
      </c>
      <c r="D12"/>
      <c r="E12" s="121">
        <f>INPUT!E42</f>
        <v>60859</v>
      </c>
      <c r="F12" s="121">
        <f>INPUT!F42</f>
        <v>64381</v>
      </c>
      <c r="G12" s="121">
        <f>INPUT!G42</f>
        <v>64560</v>
      </c>
      <c r="H12" s="121">
        <f>INPUT!H42</f>
        <v>64458</v>
      </c>
      <c r="I12" s="20"/>
    </row>
    <row r="13" spans="1:14" ht="15" customHeight="1" x14ac:dyDescent="0.35">
      <c r="B13" s="40" t="s">
        <v>31</v>
      </c>
      <c r="C13" s="102" t="s">
        <v>494</v>
      </c>
      <c r="D13"/>
      <c r="E13" s="121">
        <f>INPUT!E44</f>
        <v>800661</v>
      </c>
      <c r="F13" s="121">
        <f>INPUT!F44</f>
        <v>847597</v>
      </c>
      <c r="G13" s="121">
        <f>INPUT!G44</f>
        <v>688917</v>
      </c>
      <c r="H13" s="121">
        <f>INPUT!H44</f>
        <v>580310</v>
      </c>
      <c r="I13" s="20"/>
    </row>
    <row r="14" spans="1:14" ht="15" customHeight="1" x14ac:dyDescent="0.35">
      <c r="A14" s="200"/>
      <c r="B14" s="200"/>
      <c r="C14" s="200"/>
      <c r="D14" s="200"/>
      <c r="E14" s="200"/>
      <c r="F14" s="200"/>
      <c r="G14" s="200"/>
      <c r="H14" s="200"/>
      <c r="I14" s="20"/>
    </row>
    <row r="15" spans="1:14" ht="15" customHeight="1" x14ac:dyDescent="0.5">
      <c r="A15" s="203"/>
      <c r="B15" s="203" t="s">
        <v>543</v>
      </c>
      <c r="C15" s="203"/>
      <c r="D15" s="203"/>
      <c r="E15" s="203"/>
      <c r="F15" s="203"/>
      <c r="G15" s="203"/>
      <c r="H15" s="203"/>
      <c r="I15" s="16"/>
      <c r="J15" s="24"/>
      <c r="K15" s="24"/>
      <c r="L15" s="24"/>
      <c r="M15" s="24"/>
      <c r="N15" s="24"/>
    </row>
    <row r="16" spans="1:14" ht="18" customHeight="1" x14ac:dyDescent="0.35">
      <c r="B16" s="40" t="s">
        <v>544</v>
      </c>
      <c r="C16" s="102" t="s">
        <v>494</v>
      </c>
      <c r="D16"/>
      <c r="E16" s="121">
        <f>E8</f>
        <v>1251.8900000000001</v>
      </c>
      <c r="F16" s="121">
        <f>F8</f>
        <v>1073.6300000000001</v>
      </c>
      <c r="G16" s="121">
        <f>G8</f>
        <v>1012.23</v>
      </c>
      <c r="H16" s="121">
        <f>H8</f>
        <v>1115.99</v>
      </c>
    </row>
    <row r="17" spans="1:14" ht="15" customHeight="1" x14ac:dyDescent="0.35">
      <c r="B17" s="40" t="s">
        <v>545</v>
      </c>
      <c r="C17" s="102" t="s">
        <v>494</v>
      </c>
      <c r="D17"/>
      <c r="E17" s="121">
        <f>IFERROR(E9+E10,"–")</f>
        <v>358027.83500000002</v>
      </c>
      <c r="F17" s="121">
        <f>IFERROR(F9+F10,"–")</f>
        <v>391767.44500000001</v>
      </c>
      <c r="G17" s="121">
        <f>IFERROR(G9+G10,"–")</f>
        <v>428190.34499999997</v>
      </c>
      <c r="H17" s="121">
        <f>IFERROR(H9+H10,"–")</f>
        <v>468534.98499999999</v>
      </c>
      <c r="I17" s="20"/>
    </row>
    <row r="18" spans="1:14" ht="15" customHeight="1" x14ac:dyDescent="0.35">
      <c r="B18" s="38" t="s">
        <v>546</v>
      </c>
      <c r="C18" s="102" t="s">
        <v>290</v>
      </c>
      <c r="D18"/>
      <c r="E18" s="211">
        <f>IFERROR(E16/E17,"–")</f>
        <v>3.496627573663372E-3</v>
      </c>
      <c r="F18" s="211">
        <f>IFERROR(F16/F17,"–")</f>
        <v>2.740477836283717E-3</v>
      </c>
      <c r="G18" s="211">
        <f>IFERROR(G16/G17,"–")</f>
        <v>2.3639720321110931E-3</v>
      </c>
      <c r="H18" s="211">
        <f>IFERROR(H16/H17,"–")</f>
        <v>2.3818712278230411E-3</v>
      </c>
      <c r="I18" s="20"/>
    </row>
    <row r="19" spans="1:14" ht="15" customHeight="1" x14ac:dyDescent="0.35">
      <c r="B19" s="38" t="s">
        <v>115</v>
      </c>
      <c r="D19"/>
      <c r="E19" s="208" t="str">
        <f>IFERROR(IF(E18&gt;1,"🚨 DISTRESS",IF(E18&gt;=0.75,"🔴 STRESS",IF(E18&gt;=0.25,"⚠️ WATCH","✅ SOUND"))),"–")</f>
        <v>✅ SOUND</v>
      </c>
      <c r="F19" s="208" t="str">
        <f>IFERROR(IF(F18&gt;1,"🚨 DISTRESS",IF(F18&gt;=0.75,"🔴 STRESS",IF(F18&gt;=0.25,"⚠️ WATCH","✅ SOUND"))),"–")</f>
        <v>✅ SOUND</v>
      </c>
      <c r="G19" s="208" t="str">
        <f>IFERROR(IF(G18&gt;1,"🚨 DISTRESS",IF(G18&gt;=0.75,"🔴 STRESS",IF(G18&gt;=0.25,"⚠️ WATCH","✅ SOUND"))),"–")</f>
        <v>✅ SOUND</v>
      </c>
      <c r="H19" s="208" t="str">
        <f>IFERROR(IF(H18&gt;1,"🚨 DISTRESS",IF(H18&gt;=0.75,"🔴 STRESS",IF(H18&gt;=0.25,"⚠️ WATCH","✅ SOUND"))),"–")</f>
        <v>✅ SOUND</v>
      </c>
      <c r="I19" s="20"/>
    </row>
    <row r="20" spans="1:14" ht="15" customHeight="1" x14ac:dyDescent="0.35">
      <c r="A20" s="200"/>
      <c r="B20" s="200"/>
      <c r="C20" s="200"/>
      <c r="D20" s="200"/>
      <c r="E20" s="200"/>
      <c r="F20" s="200"/>
      <c r="G20" s="200"/>
      <c r="H20" s="200"/>
      <c r="I20" s="20"/>
    </row>
    <row r="21" spans="1:14" ht="15" customHeight="1" x14ac:dyDescent="0.5">
      <c r="A21" s="203"/>
      <c r="B21" s="203" t="s">
        <v>114</v>
      </c>
      <c r="C21" s="203"/>
      <c r="D21" s="203"/>
      <c r="E21" s="203"/>
      <c r="F21" s="203"/>
      <c r="G21" s="203"/>
      <c r="H21" s="203"/>
      <c r="I21" s="16"/>
      <c r="J21" s="24"/>
      <c r="K21" s="24"/>
      <c r="L21" s="24"/>
      <c r="M21" s="24"/>
      <c r="N21" s="24"/>
    </row>
    <row r="22" spans="1:14" ht="15" customHeight="1" x14ac:dyDescent="0.5">
      <c r="A22" s="1"/>
      <c r="B22" s="1" t="s">
        <v>115</v>
      </c>
      <c r="C22" s="1" t="s">
        <v>547</v>
      </c>
      <c r="D22" s="1" t="s">
        <v>548</v>
      </c>
      <c r="E22" s="1"/>
      <c r="F22" s="1"/>
      <c r="G22" s="1"/>
      <c r="H22" s="1"/>
      <c r="I22" s="16"/>
      <c r="J22" s="24"/>
      <c r="K22" s="24"/>
      <c r="L22" s="24"/>
      <c r="M22" s="24"/>
      <c r="N22" s="24"/>
    </row>
    <row r="23" spans="1:14" ht="18" customHeight="1" x14ac:dyDescent="0.35">
      <c r="B23" s="40" t="s">
        <v>549</v>
      </c>
      <c r="C23" s="40" t="s">
        <v>550</v>
      </c>
      <c r="D23" s="40" t="s">
        <v>551</v>
      </c>
      <c r="E23" s="40"/>
      <c r="F23" s="40"/>
      <c r="G23" s="40"/>
      <c r="H23" s="40"/>
    </row>
    <row r="24" spans="1:14" ht="15" customHeight="1" x14ac:dyDescent="0.35">
      <c r="B24" s="40" t="s">
        <v>552</v>
      </c>
      <c r="C24" s="40" t="s">
        <v>553</v>
      </c>
      <c r="D24" s="40" t="s">
        <v>554</v>
      </c>
      <c r="E24" s="40"/>
      <c r="F24" s="40"/>
      <c r="G24" s="40"/>
      <c r="H24" s="40"/>
      <c r="I24" s="20"/>
    </row>
    <row r="25" spans="1:14" ht="15" customHeight="1" x14ac:dyDescent="0.35">
      <c r="B25" s="40" t="s">
        <v>555</v>
      </c>
      <c r="C25" s="40" t="s">
        <v>556</v>
      </c>
      <c r="D25" s="40" t="s">
        <v>557</v>
      </c>
      <c r="E25" s="40"/>
      <c r="F25" s="40"/>
      <c r="G25" s="40"/>
      <c r="H25" s="40"/>
      <c r="I25" s="20"/>
    </row>
    <row r="26" spans="1:14" ht="15" customHeight="1" x14ac:dyDescent="0.35">
      <c r="B26" s="40" t="s">
        <v>558</v>
      </c>
      <c r="C26" s="40" t="s">
        <v>559</v>
      </c>
      <c r="D26" s="40" t="s">
        <v>560</v>
      </c>
      <c r="E26" s="40"/>
      <c r="F26" s="40"/>
      <c r="G26" s="40"/>
      <c r="H26" s="40"/>
      <c r="I26" s="20"/>
    </row>
    <row r="27" spans="1:14" ht="15" customHeight="1" x14ac:dyDescent="0.35">
      <c r="B27"/>
      <c r="D27"/>
      <c r="E27"/>
      <c r="F27"/>
      <c r="G27"/>
      <c r="H27"/>
      <c r="I27" s="20"/>
    </row>
    <row r="28" spans="1:14" ht="15" customHeight="1" x14ac:dyDescent="0.35">
      <c r="B28" s="202" t="s">
        <v>561</v>
      </c>
      <c r="C28" s="213"/>
      <c r="D28" s="213"/>
      <c r="E28" s="213"/>
      <c r="F28" s="213"/>
      <c r="G28" s="213"/>
      <c r="H28" s="213"/>
      <c r="I28" s="20"/>
    </row>
    <row r="29" spans="1:14" ht="15" customHeight="1" x14ac:dyDescent="0.35">
      <c r="B29" s="202" t="s">
        <v>562</v>
      </c>
      <c r="C29" s="213"/>
      <c r="D29" s="213"/>
      <c r="E29" s="213"/>
      <c r="F29" s="213"/>
      <c r="G29" s="213"/>
      <c r="H29" s="213"/>
      <c r="I29" s="15"/>
    </row>
    <row r="30" spans="1:14" ht="18" customHeight="1" x14ac:dyDescent="0.5">
      <c r="B30"/>
      <c r="D30"/>
      <c r="E30"/>
      <c r="F30"/>
      <c r="G30"/>
      <c r="H30"/>
      <c r="I30" s="51"/>
      <c r="J30" s="47"/>
      <c r="K30" s="47"/>
      <c r="L30" s="47"/>
      <c r="M30" s="47"/>
      <c r="N30" s="47"/>
    </row>
    <row r="31" spans="1:14" ht="15" customHeight="1" x14ac:dyDescent="0.35">
      <c r="B31"/>
      <c r="D31"/>
      <c r="E31"/>
      <c r="F31"/>
      <c r="G31"/>
      <c r="H31"/>
      <c r="I31" s="15"/>
    </row>
    <row r="32" spans="1:14" ht="18" customHeight="1" x14ac:dyDescent="0.3">
      <c r="B32"/>
      <c r="D32"/>
      <c r="E32"/>
      <c r="F32"/>
      <c r="G32"/>
      <c r="H32"/>
    </row>
    <row r="33" spans="1:14" ht="15" customHeight="1" x14ac:dyDescent="0.35">
      <c r="B33"/>
      <c r="D33"/>
      <c r="E33"/>
      <c r="F33"/>
      <c r="G33"/>
      <c r="H33"/>
      <c r="I33" s="15"/>
    </row>
    <row r="34" spans="1:14" ht="15" customHeight="1" x14ac:dyDescent="0.35">
      <c r="B34"/>
      <c r="D34"/>
      <c r="E34"/>
      <c r="F34"/>
      <c r="G34"/>
      <c r="H34"/>
      <c r="I34" s="15"/>
    </row>
    <row r="35" spans="1:14" ht="15" customHeight="1" x14ac:dyDescent="0.35">
      <c r="B35"/>
      <c r="D35"/>
      <c r="E35"/>
      <c r="F35"/>
      <c r="G35"/>
      <c r="H35"/>
      <c r="I35" s="36"/>
    </row>
    <row r="36" spans="1:14" ht="15" customHeight="1" x14ac:dyDescent="0.35">
      <c r="B36"/>
      <c r="D36"/>
      <c r="E36"/>
      <c r="F36"/>
      <c r="G36"/>
      <c r="H36"/>
      <c r="I36" s="36"/>
    </row>
    <row r="37" spans="1:14" ht="15" customHeight="1" x14ac:dyDescent="0.35">
      <c r="B37"/>
      <c r="D37"/>
      <c r="E37"/>
      <c r="F37"/>
      <c r="G37"/>
      <c r="H37"/>
      <c r="I37" s="36"/>
    </row>
    <row r="38" spans="1:14" ht="15" customHeight="1" x14ac:dyDescent="0.35">
      <c r="B38"/>
      <c r="D38"/>
      <c r="E38"/>
      <c r="F38"/>
      <c r="G38"/>
      <c r="H38"/>
      <c r="I38" s="15"/>
    </row>
    <row r="39" spans="1:14" ht="15" customHeight="1" x14ac:dyDescent="0.35">
      <c r="B39"/>
      <c r="D39"/>
      <c r="E39"/>
      <c r="F39"/>
      <c r="G39"/>
      <c r="H39"/>
      <c r="I39" s="15"/>
    </row>
    <row r="40" spans="1:14" ht="15" customHeight="1" x14ac:dyDescent="0.35">
      <c r="B40"/>
      <c r="D40"/>
      <c r="E40"/>
      <c r="F40"/>
      <c r="G40"/>
      <c r="H40"/>
      <c r="I40" s="15"/>
    </row>
    <row r="41" spans="1:14" ht="15" customHeight="1" x14ac:dyDescent="0.35">
      <c r="B41"/>
      <c r="D41"/>
      <c r="E41"/>
      <c r="F41"/>
      <c r="G41"/>
      <c r="H41"/>
      <c r="I41" s="15"/>
    </row>
    <row r="42" spans="1:14" ht="15" customHeight="1" x14ac:dyDescent="0.3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</row>
    <row r="43" spans="1:14" ht="15" customHeight="1" x14ac:dyDescent="0.3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</row>
    <row r="44" spans="1:14" ht="15" customHeight="1" x14ac:dyDescent="0.3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</row>
    <row r="45" spans="1:14" ht="15" customHeight="1" x14ac:dyDescent="0.3">
      <c r="B45"/>
      <c r="D45"/>
      <c r="E45"/>
      <c r="F45"/>
      <c r="G45"/>
      <c r="H45"/>
    </row>
    <row r="46" spans="1:14" ht="15" customHeight="1" x14ac:dyDescent="0.3">
      <c r="B46"/>
      <c r="D46"/>
      <c r="E46"/>
      <c r="F46"/>
      <c r="G46"/>
      <c r="H46"/>
    </row>
    <row r="47" spans="1:14" ht="15" customHeight="1" x14ac:dyDescent="0.3">
      <c r="B47"/>
      <c r="D47"/>
      <c r="E47"/>
      <c r="F47"/>
      <c r="G47"/>
      <c r="H47"/>
    </row>
    <row r="48" spans="1:14" ht="15" customHeight="1" x14ac:dyDescent="0.3">
      <c r="B48"/>
      <c r="D48"/>
      <c r="E48"/>
      <c r="F48"/>
      <c r="G48"/>
      <c r="H48"/>
    </row>
    <row r="49" spans="2:8" ht="15" customHeight="1" x14ac:dyDescent="0.3">
      <c r="B49"/>
      <c r="D49"/>
      <c r="E49"/>
      <c r="F49"/>
      <c r="G49"/>
      <c r="H49"/>
    </row>
    <row r="50" spans="2:8" ht="15" customHeight="1" x14ac:dyDescent="0.3">
      <c r="B50"/>
      <c r="D50"/>
      <c r="E50"/>
      <c r="F50"/>
      <c r="G50"/>
      <c r="H50"/>
    </row>
    <row r="51" spans="2:8" ht="15" customHeight="1" x14ac:dyDescent="0.3">
      <c r="B51" s="27"/>
    </row>
    <row r="52" spans="2:8" ht="15" customHeight="1" x14ac:dyDescent="0.3">
      <c r="B52" s="27"/>
    </row>
    <row r="53" spans="2:8" ht="15" customHeight="1" x14ac:dyDescent="0.3">
      <c r="B53" s="27"/>
    </row>
    <row r="54" spans="2:8" ht="15" customHeight="1" x14ac:dyDescent="0.3">
      <c r="B54" s="27"/>
    </row>
    <row r="55" spans="2:8" ht="15" customHeight="1" x14ac:dyDescent="0.3">
      <c r="B55" s="27"/>
    </row>
    <row r="56" spans="2:8" ht="15" customHeight="1" x14ac:dyDescent="0.3">
      <c r="B56" s="27"/>
    </row>
    <row r="57" spans="2:8" ht="15" customHeight="1" x14ac:dyDescent="0.3">
      <c r="B57" s="27"/>
    </row>
    <row r="58" spans="2:8" ht="15" customHeight="1" x14ac:dyDescent="0.3">
      <c r="B58" s="27"/>
    </row>
    <row r="59" spans="2:8" ht="15" customHeight="1" x14ac:dyDescent="0.3">
      <c r="B59" s="27"/>
    </row>
    <row r="60" spans="2:8" ht="15" customHeight="1" x14ac:dyDescent="0.3">
      <c r="B60" s="27"/>
    </row>
    <row r="61" spans="2:8" ht="15" customHeight="1" x14ac:dyDescent="0.3">
      <c r="B61" s="27"/>
    </row>
    <row r="62" spans="2:8" ht="15" customHeight="1" x14ac:dyDescent="0.3">
      <c r="B62" s="27"/>
    </row>
    <row r="63" spans="2:8" ht="15" customHeight="1" x14ac:dyDescent="0.3">
      <c r="B63" s="27"/>
    </row>
    <row r="64" spans="2:8" ht="15" customHeight="1" x14ac:dyDescent="0.3">
      <c r="B64" s="27"/>
    </row>
    <row r="65" spans="2:2" ht="15" customHeight="1" x14ac:dyDescent="0.3">
      <c r="B65" s="27"/>
    </row>
    <row r="66" spans="2:2" ht="15" customHeight="1" x14ac:dyDescent="0.3">
      <c r="B66" s="27"/>
    </row>
    <row r="67" spans="2:2" ht="15" customHeight="1" x14ac:dyDescent="0.3">
      <c r="B67" s="27"/>
    </row>
    <row r="68" spans="2:2" ht="15" customHeight="1" x14ac:dyDescent="0.3">
      <c r="B68" s="27"/>
    </row>
    <row r="69" spans="2:2" ht="15" customHeight="1" x14ac:dyDescent="0.3">
      <c r="B69" s="27"/>
    </row>
    <row r="70" spans="2:2" ht="15" customHeight="1" x14ac:dyDescent="0.3">
      <c r="B70" s="27"/>
    </row>
    <row r="71" spans="2:2" ht="15" customHeight="1" x14ac:dyDescent="0.3">
      <c r="B71" s="27"/>
    </row>
    <row r="72" spans="2:2" ht="15" customHeight="1" x14ac:dyDescent="0.3">
      <c r="B72" s="27"/>
    </row>
    <row r="73" spans="2:2" ht="15" customHeight="1" x14ac:dyDescent="0.3">
      <c r="B73" s="27"/>
    </row>
    <row r="74" spans="2:2" ht="15" customHeight="1" x14ac:dyDescent="0.3">
      <c r="B74" s="27"/>
    </row>
    <row r="75" spans="2:2" ht="15" customHeight="1" x14ac:dyDescent="0.3">
      <c r="B75" s="27"/>
    </row>
    <row r="76" spans="2:2" ht="15" customHeight="1" x14ac:dyDescent="0.3">
      <c r="B76" s="27"/>
    </row>
    <row r="77" spans="2:2" ht="15" customHeight="1" x14ac:dyDescent="0.3">
      <c r="B77" s="27"/>
    </row>
    <row r="78" spans="2:2" ht="15" customHeight="1" x14ac:dyDescent="0.3">
      <c r="B78" s="27"/>
    </row>
    <row r="79" spans="2:2" ht="15" customHeight="1" x14ac:dyDescent="0.3">
      <c r="B79" s="27"/>
    </row>
    <row r="80" spans="2:2" ht="15" customHeight="1" x14ac:dyDescent="0.3">
      <c r="B80" s="27"/>
    </row>
    <row r="81" spans="2:2" ht="15" customHeight="1" x14ac:dyDescent="0.3">
      <c r="B81" s="27"/>
    </row>
    <row r="82" spans="2:2" ht="15" customHeight="1" x14ac:dyDescent="0.3">
      <c r="B82" s="27"/>
    </row>
    <row r="83" spans="2:2" ht="15" customHeight="1" x14ac:dyDescent="0.3">
      <c r="B83" s="27"/>
    </row>
    <row r="84" spans="2:2" ht="15" customHeight="1" x14ac:dyDescent="0.3">
      <c r="B84" s="27"/>
    </row>
    <row r="85" spans="2:2" ht="15" customHeight="1" x14ac:dyDescent="0.3">
      <c r="B85" s="27"/>
    </row>
    <row r="86" spans="2:2" ht="15" customHeight="1" x14ac:dyDescent="0.3">
      <c r="B86" s="27"/>
    </row>
    <row r="87" spans="2:2" ht="15" customHeight="1" x14ac:dyDescent="0.3">
      <c r="B87" s="27"/>
    </row>
    <row r="88" spans="2:2" ht="15" customHeight="1" x14ac:dyDescent="0.3">
      <c r="B88" s="27"/>
    </row>
    <row r="89" spans="2:2" ht="15" customHeight="1" x14ac:dyDescent="0.3">
      <c r="B89" s="27"/>
    </row>
    <row r="90" spans="2:2" ht="15" customHeight="1" x14ac:dyDescent="0.3">
      <c r="B90" s="27"/>
    </row>
    <row r="91" spans="2:2" ht="15" customHeight="1" x14ac:dyDescent="0.3">
      <c r="B91" s="27"/>
    </row>
    <row r="92" spans="2:2" ht="15" customHeight="1" x14ac:dyDescent="0.3">
      <c r="B92" s="27"/>
    </row>
    <row r="93" spans="2:2" ht="15" customHeight="1" x14ac:dyDescent="0.3">
      <c r="B93" s="27"/>
    </row>
    <row r="94" spans="2:2" ht="15" customHeight="1" x14ac:dyDescent="0.3">
      <c r="B94" s="27"/>
    </row>
    <row r="95" spans="2:2" ht="15" customHeight="1" x14ac:dyDescent="0.3">
      <c r="B95" s="27"/>
    </row>
    <row r="96" spans="2:2" ht="15" customHeight="1" x14ac:dyDescent="0.3">
      <c r="B96" s="27"/>
    </row>
    <row r="97" spans="2:2" ht="15" customHeight="1" x14ac:dyDescent="0.3">
      <c r="B97" s="27"/>
    </row>
    <row r="98" spans="2:2" ht="15" customHeight="1" x14ac:dyDescent="0.3">
      <c r="B98" s="27"/>
    </row>
    <row r="99" spans="2:2" ht="15" customHeight="1" x14ac:dyDescent="0.3">
      <c r="B99" s="27"/>
    </row>
    <row r="100" spans="2:2" ht="15" customHeight="1" x14ac:dyDescent="0.3">
      <c r="B100" s="27"/>
    </row>
    <row r="101" spans="2:2" ht="15" customHeight="1" x14ac:dyDescent="0.3">
      <c r="B101" s="27"/>
    </row>
    <row r="102" spans="2:2" ht="15" customHeight="1" x14ac:dyDescent="0.3">
      <c r="B102" s="27"/>
    </row>
    <row r="103" spans="2:2" ht="15" customHeight="1" x14ac:dyDescent="0.3">
      <c r="B103" s="27"/>
    </row>
    <row r="104" spans="2:2" ht="15" customHeight="1" x14ac:dyDescent="0.3">
      <c r="B104" s="27"/>
    </row>
    <row r="105" spans="2:2" ht="15" customHeight="1" x14ac:dyDescent="0.3">
      <c r="B105" s="27"/>
    </row>
    <row r="106" spans="2:2" ht="15" customHeight="1" x14ac:dyDescent="0.3">
      <c r="B106" s="27"/>
    </row>
    <row r="107" spans="2:2" ht="15" customHeight="1" x14ac:dyDescent="0.3">
      <c r="B107" s="27"/>
    </row>
    <row r="108" spans="2:2" ht="15" customHeight="1" x14ac:dyDescent="0.3">
      <c r="B108" s="27"/>
    </row>
    <row r="109" spans="2:2" ht="15" customHeight="1" x14ac:dyDescent="0.3">
      <c r="B109" s="27"/>
    </row>
    <row r="110" spans="2:2" ht="15" customHeight="1" x14ac:dyDescent="0.3">
      <c r="B110" s="27"/>
    </row>
    <row r="111" spans="2:2" ht="15" customHeight="1" x14ac:dyDescent="0.3">
      <c r="B111" s="27"/>
    </row>
    <row r="112" spans="2:2" ht="15" customHeight="1" x14ac:dyDescent="0.3">
      <c r="B112" s="27"/>
    </row>
    <row r="113" spans="2:2" ht="15" customHeight="1" x14ac:dyDescent="0.3">
      <c r="B113" s="27"/>
    </row>
    <row r="114" spans="2:2" ht="15" customHeight="1" x14ac:dyDescent="0.3">
      <c r="B114" s="27"/>
    </row>
    <row r="115" spans="2:2" ht="15" customHeight="1" x14ac:dyDescent="0.3">
      <c r="B115" s="27"/>
    </row>
    <row r="116" spans="2:2" ht="15" customHeight="1" x14ac:dyDescent="0.3">
      <c r="B116" s="27"/>
    </row>
    <row r="117" spans="2:2" ht="15" customHeight="1" x14ac:dyDescent="0.3">
      <c r="B117" s="27"/>
    </row>
    <row r="118" spans="2:2" ht="15" customHeight="1" x14ac:dyDescent="0.3">
      <c r="B118" s="27"/>
    </row>
    <row r="119" spans="2:2" ht="15" customHeight="1" x14ac:dyDescent="0.3">
      <c r="B119" s="27"/>
    </row>
    <row r="120" spans="2:2" ht="15" customHeight="1" x14ac:dyDescent="0.3">
      <c r="B120" s="2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1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23"/>
  <sheetViews>
    <sheetView showGridLines="0" zoomScale="74" zoomScaleNormal="100" workbookViewId="0">
      <selection activeCell="I32" sqref="I32"/>
    </sheetView>
  </sheetViews>
  <sheetFormatPr baseColWidth="10" defaultRowHeight="14.4" x14ac:dyDescent="0.3"/>
  <cols>
    <col min="1" max="1" width="11" customWidth="1"/>
    <col min="2" max="2" width="53" style="12" customWidth="1"/>
    <col min="3" max="3" width="19" style="12" bestFit="1" customWidth="1"/>
    <col min="4" max="5" width="13.33203125" style="14" customWidth="1"/>
    <col min="6" max="6" width="15.5546875" style="14" bestFit="1" customWidth="1"/>
    <col min="7" max="7" width="15.109375" style="14" bestFit="1" customWidth="1"/>
    <col min="8" max="8" width="14.5546875" style="14" bestFit="1" customWidth="1"/>
    <col min="9" max="9" width="31" style="14" bestFit="1" customWidth="1"/>
    <col min="10" max="10" width="11.5546875" style="14" customWidth="1"/>
    <col min="11" max="12" width="31" style="14" bestFit="1" customWidth="1"/>
  </cols>
  <sheetData>
    <row r="1" spans="1:8" ht="54.9" customHeight="1" x14ac:dyDescent="0.6">
      <c r="A1" s="4"/>
      <c r="B1" s="204" t="s">
        <v>100</v>
      </c>
      <c r="C1" s="4"/>
      <c r="D1" s="4"/>
      <c r="E1" s="4"/>
      <c r="F1" s="4" t="s">
        <v>563</v>
      </c>
      <c r="G1" s="4"/>
      <c r="H1" s="4"/>
    </row>
    <row r="2" spans="1:8" ht="15" customHeight="1" x14ac:dyDescent="0.35">
      <c r="A2" s="200"/>
      <c r="B2" s="200"/>
      <c r="C2" s="200"/>
      <c r="D2" s="200"/>
      <c r="E2" s="200"/>
      <c r="F2" s="200"/>
      <c r="G2" s="200"/>
      <c r="H2" s="200"/>
    </row>
    <row r="3" spans="1:8" ht="18" customHeight="1" x14ac:dyDescent="0.5">
      <c r="A3" s="5"/>
      <c r="B3" s="5" t="s">
        <v>564</v>
      </c>
      <c r="C3" s="5"/>
      <c r="D3" s="5"/>
      <c r="E3" s="5"/>
      <c r="F3" s="5"/>
      <c r="G3" s="5"/>
      <c r="H3" s="5"/>
    </row>
    <row r="4" spans="1:8" ht="15" customHeight="1" x14ac:dyDescent="0.3">
      <c r="B4" s="209" t="s">
        <v>565</v>
      </c>
      <c r="C4" s="212"/>
      <c r="D4" s="212"/>
      <c r="E4" s="212"/>
      <c r="F4" s="212"/>
      <c r="G4" s="212"/>
      <c r="H4" s="212"/>
    </row>
    <row r="5" spans="1:8" ht="15" customHeight="1" x14ac:dyDescent="0.35">
      <c r="A5" s="1"/>
      <c r="B5" s="1" t="s">
        <v>113</v>
      </c>
      <c r="C5" s="1"/>
      <c r="D5" s="1" t="s">
        <v>566</v>
      </c>
      <c r="E5" s="1"/>
      <c r="F5" s="17" t="s">
        <v>567</v>
      </c>
      <c r="G5" s="17" t="s">
        <v>568</v>
      </c>
      <c r="H5" s="17" t="s">
        <v>569</v>
      </c>
    </row>
    <row r="6" spans="1:8" ht="15" customHeight="1" x14ac:dyDescent="0.3">
      <c r="B6"/>
      <c r="C6"/>
      <c r="D6"/>
      <c r="E6"/>
      <c r="F6"/>
      <c r="G6"/>
      <c r="H6"/>
    </row>
    <row r="7" spans="1:8" ht="18" customHeight="1" x14ac:dyDescent="0.35">
      <c r="A7" s="203"/>
      <c r="B7" s="203" t="s">
        <v>718</v>
      </c>
      <c r="C7" s="203"/>
      <c r="D7" s="203"/>
      <c r="E7" s="203"/>
      <c r="F7" s="203"/>
      <c r="G7" s="203"/>
      <c r="H7" s="203"/>
    </row>
    <row r="8" spans="1:8" ht="18" customHeight="1" x14ac:dyDescent="0.35">
      <c r="B8" s="40" t="s">
        <v>570</v>
      </c>
      <c r="C8" s="40"/>
      <c r="D8" s="40">
        <f>IFERROR(INPUT!H60/INPUT!H44,"–")</f>
        <v>0.91557788078785474</v>
      </c>
      <c r="E8" s="40"/>
      <c r="F8" s="119">
        <f>IFERROR(INPUT!H60/INPUT!H44,"–")</f>
        <v>0.91557788078785474</v>
      </c>
      <c r="G8" s="206" t="s">
        <v>571</v>
      </c>
      <c r="H8" s="206">
        <f>IFERROR(IF(F8&gt;0.1,1,IF(F8&gt;0.08,2,IF(F8&gt;0.06,3,IF(F8&gt;0.04,4,5)))),"–")</f>
        <v>1</v>
      </c>
    </row>
    <row r="9" spans="1:8" ht="15" customHeight="1" x14ac:dyDescent="0.35">
      <c r="B9" s="40" t="s">
        <v>572</v>
      </c>
      <c r="C9" s="40"/>
      <c r="D9" s="40">
        <f>IFERROR(INPUT!H97/(INPUT!H60-INPUT!H42),"–")</f>
        <v>1.7856407795896423</v>
      </c>
      <c r="E9" s="40"/>
      <c r="F9" s="214">
        <f>IFERROR(INPUT!H97/(INPUT!H60-INPUT!H42),"–")</f>
        <v>1.7856407795896423</v>
      </c>
      <c r="G9" s="206" t="s">
        <v>573</v>
      </c>
      <c r="H9" s="206">
        <f>IFERROR(IF(F9&gt;2,2,IF(F9&gt;1,1,IF(F9&gt;0.7,3,IF(F9&gt;0.5,4,5)))),"–")</f>
        <v>1</v>
      </c>
    </row>
    <row r="10" spans="1:8" ht="15" customHeight="1" x14ac:dyDescent="0.35">
      <c r="B10" s="40" t="s">
        <v>574</v>
      </c>
      <c r="C10" s="40"/>
      <c r="D10" s="40">
        <f>IFERROR(INPUT!H26/INPUT!H60-INPUT!H102,"–")</f>
        <v>8.9546562987583733E-2</v>
      </c>
      <c r="E10" s="40"/>
      <c r="F10" s="119">
        <f>IFERROR(INPUT!H26/INPUT!H60-INPUT!H102,"–")</f>
        <v>8.9546562987583733E-2</v>
      </c>
      <c r="G10" s="206" t="s">
        <v>575</v>
      </c>
      <c r="H10" s="206">
        <f>IFERROR(IF(F10&gt;0.05,1,IF(F10&gt;0.02,2,IF(F10&gt;0,3,IF(F10&gt;-0.03,4,5)))),"–")</f>
        <v>1</v>
      </c>
    </row>
    <row r="11" spans="1:8" ht="15" customHeight="1" x14ac:dyDescent="0.35">
      <c r="A11" s="200"/>
      <c r="B11" s="200"/>
      <c r="C11" s="200"/>
      <c r="D11" s="200"/>
      <c r="E11" s="200"/>
      <c r="F11" s="200"/>
      <c r="G11" s="200"/>
      <c r="H11" s="200"/>
    </row>
    <row r="12" spans="1:8" ht="15" customHeight="1" x14ac:dyDescent="0.35">
      <c r="A12" s="203"/>
      <c r="B12" s="203" t="s">
        <v>719</v>
      </c>
      <c r="C12" s="203"/>
      <c r="D12" s="203"/>
      <c r="E12" s="203"/>
      <c r="F12" s="203"/>
      <c r="G12" s="203"/>
      <c r="H12" s="203"/>
    </row>
    <row r="13" spans="1:8" ht="15" customHeight="1" x14ac:dyDescent="0.35">
      <c r="B13" s="40" t="s">
        <v>510</v>
      </c>
      <c r="C13" s="40"/>
      <c r="D13" s="40">
        <f>IFERROR(INPUT!H21/INPUT!H44,"–")</f>
        <v>0.33316847891644119</v>
      </c>
      <c r="E13" s="40"/>
      <c r="F13" s="207">
        <f>IFERROR(INPUT!H21/INPUT!H44,"–")</f>
        <v>0.33316847891644119</v>
      </c>
      <c r="G13" s="206" t="s">
        <v>576</v>
      </c>
      <c r="H13" s="206">
        <f>IFERROR(IF(F13&gt;0.03,1,IF(F13&gt;0.02,2,IF(F13&gt;0.015,3,IF(F13&gt;0.01,4,5)))),"–")</f>
        <v>1</v>
      </c>
    </row>
    <row r="14" spans="1:8" ht="15" customHeight="1" x14ac:dyDescent="0.35">
      <c r="B14" s="40" t="s">
        <v>577</v>
      </c>
      <c r="C14" s="40"/>
      <c r="D14" s="40">
        <f>IFERROR(INPUT!H35/INPUT!H47,"–")</f>
        <v>0.59787954440741886</v>
      </c>
      <c r="E14" s="40"/>
      <c r="F14" s="119">
        <f>IFERROR(INPUT!H35/INPUT!H47,"–")</f>
        <v>0.59787954440741886</v>
      </c>
      <c r="G14" s="206" t="s">
        <v>578</v>
      </c>
      <c r="H14" s="206">
        <f>IFERROR(IF(AND(F14&gt;0.6,F14&lt;0.85),1,IF(AND(F14&gt;=0.5,F14&lt;=0.9),2,IF(AND(F14&gt;=0.4,F14&lt;=1),3,IF(F14&lt;1.1,4,5)))),"–")</f>
        <v>2</v>
      </c>
    </row>
    <row r="15" spans="1:8" ht="15" customHeight="1" x14ac:dyDescent="0.35">
      <c r="B15" s="40" t="s">
        <v>579</v>
      </c>
      <c r="C15" s="40"/>
      <c r="D15" s="40">
        <f>IFERROR(ABS(INPUT!H14+INPUT!H15+INPUT!H16)/(INPUT!H21+ABS(INPUT!H20)),"–")</f>
        <v>0.25837885722722576</v>
      </c>
      <c r="E15" s="40"/>
      <c r="F15" s="119">
        <f>IFERROR(ABS(INPUT!H14+INPUT!H15+INPUT!H16)/(INPUT!H21+ABS(INPUT!H20)),"–")</f>
        <v>0.25837885722722576</v>
      </c>
      <c r="G15" s="206" t="s">
        <v>580</v>
      </c>
      <c r="H15" s="206">
        <f>IFERROR(IF(F15&lt;0.45,1,IF(F15&lt;0.55,2,IF(F15&lt;0.65,3,IF(F15&lt;0.75,4,5)))),"–")</f>
        <v>1</v>
      </c>
    </row>
    <row r="16" spans="1:8" ht="15" customHeight="1" x14ac:dyDescent="0.35">
      <c r="A16" s="200"/>
      <c r="B16" s="200"/>
      <c r="C16" s="200"/>
      <c r="D16" s="200"/>
      <c r="E16" s="200"/>
      <c r="F16" s="200"/>
      <c r="G16" s="200"/>
      <c r="H16" s="200"/>
    </row>
    <row r="17" spans="1:8" ht="15" customHeight="1" x14ac:dyDescent="0.35">
      <c r="A17" s="203"/>
      <c r="B17" s="203" t="s">
        <v>720</v>
      </c>
      <c r="C17" s="203"/>
      <c r="D17" s="203"/>
      <c r="E17" s="203"/>
      <c r="F17" s="203"/>
      <c r="G17" s="203"/>
      <c r="H17" s="203"/>
    </row>
    <row r="18" spans="1:8" ht="15" customHeight="1" x14ac:dyDescent="0.35">
      <c r="B18" s="40" t="s">
        <v>492</v>
      </c>
      <c r="C18" s="40"/>
      <c r="D18" s="40">
        <f>IFERROR(INPUT!H26/INPUT!H60,"–")</f>
        <v>0.19584656298758374</v>
      </c>
      <c r="E18" s="40"/>
      <c r="F18" s="119">
        <f>IFERROR(INPUT!H26/INPUT!H60,"–")</f>
        <v>0.19584656298758374</v>
      </c>
      <c r="G18" s="206" t="s">
        <v>581</v>
      </c>
      <c r="H18" s="206">
        <f>IFERROR(IF(F18&gt;0.15,1,IF(F18&gt;0.1,2,IF(F18&gt;0.07,3,IF(F18&gt;0.03,4,5)))),"–")</f>
        <v>1</v>
      </c>
    </row>
    <row r="19" spans="1:8" ht="15" customHeight="1" x14ac:dyDescent="0.35">
      <c r="B19" s="40" t="s">
        <v>493</v>
      </c>
      <c r="C19" s="40"/>
      <c r="D19" s="40">
        <f>IFERROR(INPUT!H26/INPUT!H44,"–")</f>
        <v>0.17931278109975701</v>
      </c>
      <c r="E19" s="40"/>
      <c r="F19" s="207">
        <f>IFERROR(INPUT!H26/INPUT!H44,"–")</f>
        <v>0.17931278109975701</v>
      </c>
      <c r="G19" s="206" t="s">
        <v>582</v>
      </c>
      <c r="H19" s="206">
        <f>IFERROR(IF(F19&gt;0.015,1,IF(F19&gt;0.01,2,IF(F19&gt;0.007,3,IF(F19&gt;0.004,4,5)))),"–")</f>
        <v>1</v>
      </c>
    </row>
    <row r="20" spans="1:8" ht="15" customHeight="1" x14ac:dyDescent="0.35">
      <c r="B20" s="40" t="s">
        <v>583</v>
      </c>
      <c r="C20" s="40"/>
      <c r="D20" s="40">
        <f>IFERROR(ABS(INPUT!H29)/INPUT!H97,"–")</f>
        <v>3.7894979984550756E-2</v>
      </c>
      <c r="E20" s="40"/>
      <c r="F20" s="119">
        <f>IFERROR(ABS(INPUT!H29)/INPUT!H97,"–")</f>
        <v>3.7894979984550756E-2</v>
      </c>
      <c r="G20" s="206" t="s">
        <v>584</v>
      </c>
      <c r="H20" s="206">
        <f>IFERROR(IF(AND(F20&gt;0.02,F20&lt;0.06),1,IF(AND(F20&gt;0.01,F20&lt;0.08),2,IF(F20&gt;0.005,3,IF(F20&gt;0,4,5)))),"–")</f>
        <v>1</v>
      </c>
    </row>
    <row r="21" spans="1:8" ht="15" customHeight="1" x14ac:dyDescent="0.35">
      <c r="A21" s="200"/>
      <c r="B21" s="200"/>
      <c r="C21" s="200"/>
      <c r="D21" s="200"/>
      <c r="E21" s="200"/>
      <c r="F21" s="200"/>
      <c r="G21" s="200"/>
      <c r="H21" s="200"/>
    </row>
    <row r="22" spans="1:8" ht="18" customHeight="1" x14ac:dyDescent="0.35">
      <c r="A22" s="203"/>
      <c r="B22" s="203" t="s">
        <v>721</v>
      </c>
      <c r="C22" s="203"/>
      <c r="D22" s="203"/>
      <c r="E22" s="203"/>
      <c r="F22" s="203"/>
      <c r="G22" s="203"/>
      <c r="H22" s="203"/>
    </row>
    <row r="23" spans="1:8" ht="18" customHeight="1" x14ac:dyDescent="0.35">
      <c r="B23" s="40" t="s">
        <v>585</v>
      </c>
      <c r="C23" s="40"/>
      <c r="D23" s="40">
        <f>IFERROR(INPUT!H35/INPUT!H47,"–")</f>
        <v>0.59787954440741886</v>
      </c>
      <c r="E23" s="40"/>
      <c r="F23" s="119">
        <f>IFERROR(INPUT!H35/INPUT!H47,"–")</f>
        <v>0.59787954440741886</v>
      </c>
      <c r="G23" s="206" t="s">
        <v>578</v>
      </c>
      <c r="H23" s="206">
        <f>IFERROR(IF(AND(F23&gt;0.6,F23&lt;0.85),1,IF(AND(F23&gt;=0.5,F23&lt;=0.9),2,IF(F23&lt;1,3,IF(F23&lt;1.1,4,5)))),"–")</f>
        <v>2</v>
      </c>
    </row>
    <row r="24" spans="1:8" ht="15" customHeight="1" x14ac:dyDescent="0.35">
      <c r="B24" s="40" t="s">
        <v>586</v>
      </c>
      <c r="C24" s="40"/>
      <c r="D24" s="40">
        <f>IFERROR(INPUT!H34/INPUT!H44,"–")</f>
        <v>0.59164584446244251</v>
      </c>
      <c r="E24" s="40"/>
      <c r="F24" s="119">
        <f>IFERROR(INPUT!H34/INPUT!H44,"–")</f>
        <v>0.59164584446244251</v>
      </c>
      <c r="G24" s="206" t="s">
        <v>587</v>
      </c>
      <c r="H24" s="206">
        <f>IFERROR(IF(F24&gt;0.05,1,IF(F24&gt;0.03,2,IF(F24&gt;0.02,3,IF(F24&gt;0.01,4,5)))),"–")</f>
        <v>1</v>
      </c>
    </row>
    <row r="25" spans="1:8" ht="15" customHeight="1" x14ac:dyDescent="0.35">
      <c r="A25" s="200"/>
      <c r="B25" s="200"/>
      <c r="C25" s="200"/>
      <c r="D25" s="200"/>
      <c r="E25" s="200"/>
      <c r="F25" s="200"/>
      <c r="G25" s="200"/>
      <c r="H25" s="200"/>
    </row>
    <row r="26" spans="1:8" ht="15" customHeight="1" x14ac:dyDescent="0.35">
      <c r="A26" s="203"/>
      <c r="B26" s="203" t="s">
        <v>722</v>
      </c>
      <c r="C26" s="203"/>
      <c r="D26" s="203"/>
      <c r="E26" s="203"/>
      <c r="F26" s="203"/>
      <c r="G26" s="203"/>
      <c r="H26" s="203"/>
    </row>
    <row r="27" spans="1:8" ht="15" customHeight="1" x14ac:dyDescent="0.35">
      <c r="B27" s="40" t="s">
        <v>588</v>
      </c>
      <c r="C27" s="40"/>
      <c r="D27" s="40">
        <f>IFERROR((INPUT!H97/(INPUT!H60-INPUT!H42))/((INPUT!H26/INPUT!H60-INPUT!H109)/(INPUT!H102-INPUT!H109)),"–")</f>
        <v>0.84972499792804346</v>
      </c>
      <c r="E27" s="40"/>
      <c r="F27" s="214">
        <f>IFERROR((INPUT!H97/(INPUT!H60-INPUT!H42))/((INPUT!H26/INPUT!H60-INPUT!H109)/(INPUT!H102-INPUT!H109)),"–")</f>
        <v>0.84972499792804346</v>
      </c>
      <c r="G27" s="206" t="s">
        <v>589</v>
      </c>
      <c r="H27" s="206">
        <f>IFERROR(IF(F27&lt;1,1,IF(F27&lt;1.3,2,IF(F27&lt;1.6,3,IF(F27&lt;2,4,5)))),"–")</f>
        <v>1</v>
      </c>
    </row>
    <row r="28" spans="1:8" ht="15" customHeight="1" x14ac:dyDescent="0.35">
      <c r="B28" s="40" t="s">
        <v>594</v>
      </c>
      <c r="C28" s="40"/>
      <c r="D28" s="40">
        <f>IFERROR(INPUT!H21/INPUT!H44*1000,"–")</f>
        <v>333.16847891644119</v>
      </c>
      <c r="E28" s="40"/>
      <c r="F28" s="138">
        <f>IFERROR(INPUT!H21/INPUT!H44*1000,"–")</f>
        <v>333.16847891644119</v>
      </c>
      <c r="G28" s="206" t="s">
        <v>590</v>
      </c>
      <c r="H28" s="206">
        <f>IFERROR(IF(F28&gt;5,1,IF(F28&gt;2.5,2,IF(F28&gt;1.5,3,IF(F28&gt;0.5,4,5)))),"–")</f>
        <v>1</v>
      </c>
    </row>
    <row r="29" spans="1:8" ht="15" customHeight="1" x14ac:dyDescent="0.35">
      <c r="A29" s="200"/>
      <c r="B29" s="200"/>
      <c r="C29" s="200"/>
      <c r="D29" s="200"/>
      <c r="E29" s="200"/>
      <c r="F29" s="200"/>
      <c r="G29" s="200"/>
      <c r="H29" s="200"/>
    </row>
    <row r="30" spans="1:8" ht="15" customHeight="1" x14ac:dyDescent="0.35">
      <c r="A30" s="203"/>
      <c r="B30" s="203" t="s">
        <v>591</v>
      </c>
      <c r="C30" s="203"/>
      <c r="D30" s="203"/>
      <c r="E30" s="203"/>
      <c r="F30" s="203"/>
      <c r="G30" s="203"/>
      <c r="H30" s="203"/>
    </row>
    <row r="31" spans="1:8" ht="15" customHeight="1" x14ac:dyDescent="0.35">
      <c r="B31" s="40" t="s">
        <v>595</v>
      </c>
      <c r="C31" s="296" t="s">
        <v>592</v>
      </c>
      <c r="D31" s="256"/>
      <c r="E31" s="40"/>
      <c r="F31" s="40"/>
      <c r="G31" s="40"/>
      <c r="H31" s="215">
        <f>IFERROR(AVERAGE(H8:H10,H13:H15,H18:H20,H23:H24,H27:H28),"–")</f>
        <v>1.1538461538461537</v>
      </c>
    </row>
    <row r="32" spans="1:8" ht="21" x14ac:dyDescent="0.5">
      <c r="B32" s="38" t="s">
        <v>593</v>
      </c>
      <c r="C32" s="38"/>
      <c r="D32" s="38"/>
      <c r="E32" s="38"/>
      <c r="F32" s="38"/>
      <c r="G32" s="38"/>
      <c r="H32" s="16" t="str">
        <f>IFERROR(IF(H31&lt;=1.5,"1 — STRONG",IF(H31&lt;=2.5,"2 — SATISFACTORY",IF(H31&lt;=3.5,"3 — FAIR",IF(H31&lt;=4.5,"4 — MARGINAL","5 — UNSATISFACTORY")))),"–")</f>
        <v>1 — STRONG</v>
      </c>
    </row>
    <row r="33" spans="1:12" ht="18" customHeight="1" x14ac:dyDescent="0.35">
      <c r="A33" s="200"/>
      <c r="B33" s="200"/>
      <c r="C33" s="200"/>
      <c r="D33" s="200"/>
      <c r="E33" s="200"/>
      <c r="F33" s="200"/>
      <c r="G33" s="200"/>
      <c r="H33" s="200"/>
    </row>
    <row r="34" spans="1:12" ht="18" customHeight="1" x14ac:dyDescent="0.3">
      <c r="B34" s="202" t="s">
        <v>596</v>
      </c>
      <c r="C34" s="213"/>
      <c r="D34" s="213"/>
      <c r="E34" s="213"/>
      <c r="F34" s="213"/>
      <c r="G34" s="213"/>
      <c r="H34" s="213"/>
      <c r="J34"/>
      <c r="K34"/>
      <c r="L34"/>
    </row>
    <row r="35" spans="1:12" ht="15" customHeight="1" x14ac:dyDescent="0.3">
      <c r="B35" s="202" t="s">
        <v>597</v>
      </c>
      <c r="C35" s="213"/>
      <c r="D35" s="213"/>
      <c r="E35" s="213"/>
      <c r="F35" s="213"/>
      <c r="G35" s="213"/>
      <c r="H35" s="213"/>
      <c r="J35"/>
      <c r="K35"/>
      <c r="L35"/>
    </row>
    <row r="36" spans="1:12" ht="15" customHeight="1" x14ac:dyDescent="0.3">
      <c r="B36"/>
      <c r="C36"/>
      <c r="D36"/>
      <c r="E36"/>
      <c r="F36"/>
      <c r="G36"/>
      <c r="H36"/>
      <c r="J36"/>
      <c r="K36"/>
      <c r="L36"/>
    </row>
    <row r="37" spans="1:12" ht="15" customHeight="1" x14ac:dyDescent="0.3">
      <c r="B37"/>
      <c r="C37"/>
      <c r="D37"/>
      <c r="E37"/>
      <c r="F37"/>
      <c r="G37"/>
      <c r="H37"/>
      <c r="J37"/>
      <c r="K37"/>
      <c r="L37"/>
    </row>
    <row r="38" spans="1:12" ht="15" customHeight="1" x14ac:dyDescent="0.3">
      <c r="B38"/>
      <c r="C38"/>
      <c r="D38"/>
      <c r="E38"/>
      <c r="F38"/>
      <c r="G38"/>
      <c r="H38"/>
      <c r="J38"/>
      <c r="K38"/>
      <c r="L38"/>
    </row>
    <row r="39" spans="1:12" ht="15" customHeight="1" x14ac:dyDescent="0.3">
      <c r="B39"/>
      <c r="C39"/>
      <c r="D39"/>
      <c r="E39"/>
      <c r="F39"/>
      <c r="G39"/>
      <c r="H39"/>
      <c r="J39"/>
      <c r="K39"/>
      <c r="L39"/>
    </row>
    <row r="40" spans="1:12" ht="15" customHeight="1" x14ac:dyDescent="0.3">
      <c r="B40"/>
      <c r="C40"/>
      <c r="D40"/>
      <c r="E40"/>
      <c r="F40"/>
      <c r="G40"/>
      <c r="H40"/>
      <c r="J40"/>
      <c r="K40"/>
      <c r="L40"/>
    </row>
    <row r="41" spans="1:12" ht="15" customHeight="1" x14ac:dyDescent="0.3">
      <c r="B41"/>
      <c r="C41"/>
      <c r="D41"/>
      <c r="E41"/>
      <c r="F41"/>
      <c r="G41"/>
      <c r="H41"/>
    </row>
    <row r="42" spans="1:12" ht="15" customHeight="1" x14ac:dyDescent="0.3">
      <c r="B42"/>
      <c r="C42"/>
      <c r="D42"/>
      <c r="E42"/>
      <c r="F42"/>
      <c r="G42"/>
      <c r="H42"/>
    </row>
    <row r="43" spans="1:12" ht="15" customHeight="1" x14ac:dyDescent="0.3">
      <c r="B43"/>
      <c r="C43"/>
      <c r="D43"/>
      <c r="E43"/>
      <c r="F43"/>
      <c r="G43"/>
      <c r="H43"/>
    </row>
    <row r="44" spans="1:12" ht="15" customHeight="1" x14ac:dyDescent="0.3">
      <c r="B44"/>
      <c r="C44"/>
      <c r="D44"/>
      <c r="E44"/>
      <c r="F44"/>
      <c r="G44"/>
      <c r="H44"/>
    </row>
    <row r="45" spans="1:12" ht="18" customHeight="1" x14ac:dyDescent="0.3">
      <c r="B45"/>
      <c r="C45"/>
      <c r="D45"/>
      <c r="E45"/>
      <c r="F45"/>
      <c r="G45"/>
      <c r="H45"/>
    </row>
    <row r="46" spans="1:12" ht="15" customHeight="1" x14ac:dyDescent="0.3">
      <c r="B46"/>
      <c r="C46"/>
      <c r="D46"/>
      <c r="E46"/>
      <c r="F46"/>
      <c r="G46"/>
      <c r="H46"/>
    </row>
    <row r="47" spans="1:12" ht="18" customHeight="1" x14ac:dyDescent="0.3">
      <c r="B47"/>
      <c r="C47"/>
      <c r="D47"/>
      <c r="E47"/>
      <c r="F47"/>
      <c r="G47"/>
      <c r="H47"/>
    </row>
    <row r="48" spans="1:12" ht="15" customHeight="1" x14ac:dyDescent="0.3">
      <c r="B48"/>
      <c r="C48"/>
      <c r="D48"/>
      <c r="E48"/>
      <c r="F48"/>
      <c r="G48"/>
      <c r="H48"/>
    </row>
    <row r="49" spans="2:8" ht="15" customHeight="1" x14ac:dyDescent="0.3">
      <c r="B49"/>
      <c r="C49"/>
      <c r="D49"/>
      <c r="E49"/>
      <c r="F49"/>
      <c r="G49"/>
      <c r="H49"/>
    </row>
    <row r="50" spans="2:8" ht="15" customHeight="1" x14ac:dyDescent="0.3">
      <c r="B50"/>
      <c r="C50"/>
      <c r="D50"/>
      <c r="E50"/>
      <c r="F50"/>
      <c r="G50"/>
      <c r="H50"/>
    </row>
    <row r="51" spans="2:8" ht="15" customHeight="1" x14ac:dyDescent="0.3">
      <c r="B51"/>
      <c r="C51"/>
      <c r="D51"/>
      <c r="E51"/>
      <c r="F51"/>
      <c r="G51"/>
      <c r="H51"/>
    </row>
    <row r="52" spans="2:8" ht="15" customHeight="1" x14ac:dyDescent="0.3">
      <c r="B52"/>
      <c r="C52"/>
      <c r="D52"/>
      <c r="E52"/>
      <c r="F52"/>
      <c r="G52"/>
      <c r="H52"/>
    </row>
    <row r="53" spans="2:8" ht="15" customHeight="1" x14ac:dyDescent="0.3">
      <c r="B53"/>
      <c r="C53"/>
      <c r="D53"/>
      <c r="E53"/>
      <c r="F53"/>
      <c r="G53"/>
      <c r="H53"/>
    </row>
    <row r="54" spans="2:8" ht="15" customHeight="1" x14ac:dyDescent="0.3">
      <c r="B54"/>
      <c r="C54"/>
      <c r="D54"/>
      <c r="E54"/>
      <c r="F54"/>
      <c r="G54"/>
      <c r="H54"/>
    </row>
    <row r="55" spans="2:8" ht="15" customHeight="1" x14ac:dyDescent="0.3">
      <c r="B55"/>
      <c r="C55"/>
      <c r="D55"/>
      <c r="E55"/>
      <c r="F55"/>
      <c r="G55"/>
      <c r="H55"/>
    </row>
    <row r="56" spans="2:8" ht="15" customHeight="1" x14ac:dyDescent="0.3">
      <c r="B56"/>
      <c r="C56"/>
      <c r="D56"/>
      <c r="E56"/>
      <c r="F56"/>
      <c r="G56"/>
      <c r="H56"/>
    </row>
    <row r="57" spans="2:8" ht="15" customHeight="1" x14ac:dyDescent="0.3">
      <c r="B57"/>
      <c r="C57"/>
      <c r="D57"/>
      <c r="E57"/>
      <c r="F57"/>
      <c r="G57"/>
      <c r="H57"/>
    </row>
    <row r="58" spans="2:8" ht="15" customHeight="1" x14ac:dyDescent="0.3">
      <c r="B58" s="27"/>
      <c r="C58" s="27"/>
    </row>
    <row r="59" spans="2:8" ht="15" customHeight="1" x14ac:dyDescent="0.3">
      <c r="B59" s="27"/>
      <c r="C59" s="27"/>
    </row>
    <row r="60" spans="2:8" ht="15" customHeight="1" x14ac:dyDescent="0.3">
      <c r="B60" s="27"/>
      <c r="C60" s="27"/>
    </row>
    <row r="61" spans="2:8" ht="15" customHeight="1" x14ac:dyDescent="0.3">
      <c r="B61" s="27"/>
      <c r="C61" s="27"/>
    </row>
    <row r="62" spans="2:8" ht="15" customHeight="1" x14ac:dyDescent="0.3">
      <c r="B62" s="27"/>
      <c r="C62" s="27"/>
    </row>
    <row r="63" spans="2:8" ht="15" customHeight="1" x14ac:dyDescent="0.3">
      <c r="B63" s="27"/>
      <c r="C63" s="27"/>
    </row>
    <row r="64" spans="2:8" ht="15" customHeight="1" x14ac:dyDescent="0.3">
      <c r="B64" s="27"/>
      <c r="C64" s="27"/>
    </row>
    <row r="65" spans="2:3" ht="15" customHeight="1" x14ac:dyDescent="0.3">
      <c r="B65" s="27"/>
      <c r="C65" s="27"/>
    </row>
    <row r="66" spans="2:3" ht="15" customHeight="1" x14ac:dyDescent="0.3">
      <c r="B66" s="27"/>
      <c r="C66" s="27"/>
    </row>
    <row r="67" spans="2:3" ht="15" customHeight="1" x14ac:dyDescent="0.3">
      <c r="B67" s="27"/>
      <c r="C67" s="27"/>
    </row>
    <row r="68" spans="2:3" ht="15" customHeight="1" x14ac:dyDescent="0.3">
      <c r="B68" s="27"/>
      <c r="C68" s="27"/>
    </row>
    <row r="69" spans="2:3" ht="15" customHeight="1" x14ac:dyDescent="0.3">
      <c r="B69" s="27"/>
      <c r="C69" s="27"/>
    </row>
    <row r="70" spans="2:3" ht="15" customHeight="1" x14ac:dyDescent="0.3">
      <c r="B70" s="27"/>
      <c r="C70" s="27"/>
    </row>
    <row r="71" spans="2:3" ht="15" customHeight="1" x14ac:dyDescent="0.3">
      <c r="B71" s="27"/>
      <c r="C71" s="27"/>
    </row>
    <row r="72" spans="2:3" ht="15" customHeight="1" x14ac:dyDescent="0.3">
      <c r="B72" s="27"/>
      <c r="C72" s="27"/>
    </row>
    <row r="73" spans="2:3" ht="15" customHeight="1" x14ac:dyDescent="0.3">
      <c r="B73" s="27"/>
      <c r="C73" s="27"/>
    </row>
    <row r="74" spans="2:3" ht="15" customHeight="1" x14ac:dyDescent="0.3">
      <c r="B74" s="27"/>
      <c r="C74" s="27"/>
    </row>
    <row r="75" spans="2:3" ht="15" customHeight="1" x14ac:dyDescent="0.3">
      <c r="B75" s="27"/>
      <c r="C75" s="27"/>
    </row>
    <row r="76" spans="2:3" ht="15" customHeight="1" x14ac:dyDescent="0.3">
      <c r="B76" s="27"/>
      <c r="C76" s="27"/>
    </row>
    <row r="77" spans="2:3" ht="15" customHeight="1" x14ac:dyDescent="0.3">
      <c r="B77" s="27"/>
      <c r="C77" s="27"/>
    </row>
    <row r="78" spans="2:3" ht="15" customHeight="1" x14ac:dyDescent="0.3">
      <c r="B78" s="27"/>
      <c r="C78" s="27"/>
    </row>
    <row r="79" spans="2:3" ht="15" customHeight="1" x14ac:dyDescent="0.3">
      <c r="B79" s="27"/>
      <c r="C79" s="27"/>
    </row>
    <row r="80" spans="2:3" ht="15" customHeight="1" x14ac:dyDescent="0.3">
      <c r="B80" s="27"/>
      <c r="C80" s="27"/>
    </row>
    <row r="81" spans="2:3" ht="15" customHeight="1" x14ac:dyDescent="0.3">
      <c r="B81" s="27"/>
      <c r="C81" s="27"/>
    </row>
    <row r="82" spans="2:3" ht="15" customHeight="1" x14ac:dyDescent="0.3">
      <c r="B82" s="27"/>
      <c r="C82" s="27"/>
    </row>
    <row r="83" spans="2:3" ht="15" customHeight="1" x14ac:dyDescent="0.3">
      <c r="B83" s="27"/>
      <c r="C83" s="27"/>
    </row>
    <row r="84" spans="2:3" ht="15" customHeight="1" x14ac:dyDescent="0.3">
      <c r="B84" s="27"/>
      <c r="C84" s="27"/>
    </row>
    <row r="85" spans="2:3" ht="15" customHeight="1" x14ac:dyDescent="0.3">
      <c r="B85" s="27"/>
      <c r="C85" s="27"/>
    </row>
    <row r="86" spans="2:3" ht="15" customHeight="1" x14ac:dyDescent="0.3">
      <c r="B86" s="27"/>
      <c r="C86" s="27"/>
    </row>
    <row r="87" spans="2:3" ht="15" customHeight="1" x14ac:dyDescent="0.3">
      <c r="B87" s="27"/>
      <c r="C87" s="27"/>
    </row>
    <row r="88" spans="2:3" ht="15" customHeight="1" x14ac:dyDescent="0.3">
      <c r="B88" s="27"/>
      <c r="C88" s="27"/>
    </row>
    <row r="89" spans="2:3" ht="15" customHeight="1" x14ac:dyDescent="0.3">
      <c r="B89" s="27"/>
      <c r="C89" s="27"/>
    </row>
    <row r="90" spans="2:3" ht="15" customHeight="1" x14ac:dyDescent="0.3">
      <c r="B90" s="27"/>
      <c r="C90" s="27"/>
    </row>
    <row r="91" spans="2:3" ht="15" customHeight="1" x14ac:dyDescent="0.3">
      <c r="B91" s="27"/>
      <c r="C91" s="27"/>
    </row>
    <row r="92" spans="2:3" ht="15" customHeight="1" x14ac:dyDescent="0.3">
      <c r="B92" s="27"/>
      <c r="C92" s="27"/>
    </row>
    <row r="93" spans="2:3" ht="15" customHeight="1" x14ac:dyDescent="0.3">
      <c r="B93" s="27"/>
      <c r="C93" s="27"/>
    </row>
    <row r="94" spans="2:3" ht="15" customHeight="1" x14ac:dyDescent="0.3">
      <c r="B94" s="27"/>
      <c r="C94" s="27"/>
    </row>
    <row r="95" spans="2:3" ht="15" customHeight="1" x14ac:dyDescent="0.3">
      <c r="B95" s="27"/>
      <c r="C95" s="27"/>
    </row>
    <row r="96" spans="2:3" ht="15" customHeight="1" x14ac:dyDescent="0.3">
      <c r="B96" s="27"/>
      <c r="C96" s="27"/>
    </row>
    <row r="97" spans="2:3" ht="15" customHeight="1" x14ac:dyDescent="0.3">
      <c r="B97" s="27"/>
      <c r="C97" s="27"/>
    </row>
    <row r="98" spans="2:3" ht="15" customHeight="1" x14ac:dyDescent="0.3">
      <c r="B98" s="27"/>
      <c r="C98" s="27"/>
    </row>
    <row r="99" spans="2:3" ht="15" customHeight="1" x14ac:dyDescent="0.3">
      <c r="B99" s="27"/>
      <c r="C99" s="27"/>
    </row>
    <row r="100" spans="2:3" ht="15" customHeight="1" x14ac:dyDescent="0.3">
      <c r="B100" s="27"/>
      <c r="C100" s="27"/>
    </row>
    <row r="101" spans="2:3" ht="15" customHeight="1" x14ac:dyDescent="0.3">
      <c r="B101" s="27"/>
      <c r="C101" s="27"/>
    </row>
    <row r="102" spans="2:3" ht="15" customHeight="1" x14ac:dyDescent="0.3">
      <c r="B102" s="27"/>
      <c r="C102" s="27"/>
    </row>
    <row r="103" spans="2:3" ht="15" customHeight="1" x14ac:dyDescent="0.3">
      <c r="B103" s="27"/>
      <c r="C103" s="27"/>
    </row>
    <row r="104" spans="2:3" ht="15" customHeight="1" x14ac:dyDescent="0.3">
      <c r="B104" s="27"/>
      <c r="C104" s="27"/>
    </row>
    <row r="105" spans="2:3" ht="15" customHeight="1" x14ac:dyDescent="0.3">
      <c r="B105" s="27"/>
      <c r="C105" s="27"/>
    </row>
    <row r="106" spans="2:3" ht="15" customHeight="1" x14ac:dyDescent="0.3">
      <c r="B106" s="27"/>
      <c r="C106" s="27"/>
    </row>
    <row r="107" spans="2:3" ht="15" customHeight="1" x14ac:dyDescent="0.3">
      <c r="B107" s="27"/>
      <c r="C107" s="27"/>
    </row>
    <row r="108" spans="2:3" ht="15" customHeight="1" x14ac:dyDescent="0.3">
      <c r="B108" s="27"/>
      <c r="C108" s="27"/>
    </row>
    <row r="109" spans="2:3" ht="15" customHeight="1" x14ac:dyDescent="0.3">
      <c r="B109" s="27"/>
      <c r="C109" s="27"/>
    </row>
    <row r="110" spans="2:3" ht="15" customHeight="1" x14ac:dyDescent="0.3">
      <c r="B110" s="27"/>
      <c r="C110" s="27"/>
    </row>
    <row r="111" spans="2:3" ht="15" customHeight="1" x14ac:dyDescent="0.3">
      <c r="B111" s="27"/>
      <c r="C111" s="27"/>
    </row>
    <row r="112" spans="2:3" ht="15" customHeight="1" x14ac:dyDescent="0.3">
      <c r="B112" s="27"/>
      <c r="C112" s="27"/>
    </row>
    <row r="113" spans="2:3" ht="15" customHeight="1" x14ac:dyDescent="0.3">
      <c r="B113" s="27"/>
      <c r="C113" s="27"/>
    </row>
    <row r="114" spans="2:3" ht="15" customHeight="1" x14ac:dyDescent="0.3">
      <c r="B114" s="27"/>
      <c r="C114" s="27"/>
    </row>
    <row r="115" spans="2:3" ht="15" customHeight="1" x14ac:dyDescent="0.3">
      <c r="B115" s="27"/>
      <c r="C115" s="27"/>
    </row>
    <row r="116" spans="2:3" ht="15" customHeight="1" x14ac:dyDescent="0.3"/>
    <row r="117" spans="2:3" ht="15" customHeight="1" x14ac:dyDescent="0.3"/>
    <row r="118" spans="2:3" ht="15" customHeight="1" x14ac:dyDescent="0.3"/>
    <row r="119" spans="2:3" ht="15" customHeight="1" x14ac:dyDescent="0.3"/>
    <row r="120" spans="2:3" ht="15" customHeight="1" x14ac:dyDescent="0.3"/>
    <row r="121" spans="2:3" ht="15" customHeight="1" x14ac:dyDescent="0.3"/>
    <row r="122" spans="2:3" ht="15" customHeight="1" x14ac:dyDescent="0.3"/>
    <row r="123" spans="2:3" ht="15" customHeight="1" x14ac:dyDescent="0.3"/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4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21"/>
  <sheetViews>
    <sheetView showGridLines="0" zoomScale="85" zoomScaleNormal="85" workbookViewId="0">
      <selection activeCell="H6" sqref="H6"/>
    </sheetView>
  </sheetViews>
  <sheetFormatPr baseColWidth="10" defaultRowHeight="14.4" x14ac:dyDescent="0.3"/>
  <cols>
    <col min="1" max="1" width="1.77734375" customWidth="1"/>
    <col min="2" max="2" width="27.88671875" customWidth="1"/>
    <col min="3" max="3" width="15.6640625" style="12" customWidth="1"/>
    <col min="4" max="4" width="10.88671875" customWidth="1"/>
    <col min="5" max="5" width="14.6640625" style="14" customWidth="1"/>
    <col min="6" max="6" width="11" style="14" customWidth="1"/>
    <col min="7" max="7" width="11.6640625" style="14" bestFit="1" customWidth="1"/>
    <col min="8" max="15" width="11" style="14" customWidth="1"/>
  </cols>
  <sheetData>
    <row r="1" spans="1:26" ht="54.9" customHeight="1" x14ac:dyDescent="0.6">
      <c r="A1" s="204"/>
      <c r="B1" s="177" t="s">
        <v>100</v>
      </c>
      <c r="C1" s="204"/>
      <c r="D1" s="4"/>
      <c r="E1" s="4"/>
      <c r="F1" s="4"/>
      <c r="G1" s="4"/>
      <c r="H1" s="4"/>
      <c r="I1" s="4" t="s">
        <v>675</v>
      </c>
      <c r="J1" s="19"/>
      <c r="K1" s="13"/>
      <c r="L1" s="19"/>
      <c r="M1" s="19"/>
      <c r="N1" s="19"/>
      <c r="O1" s="19"/>
      <c r="P1" s="218"/>
      <c r="Q1" s="218"/>
      <c r="R1" s="101" t="s">
        <v>136</v>
      </c>
      <c r="S1" s="101" t="s">
        <v>706</v>
      </c>
      <c r="T1" s="101" t="s">
        <v>707</v>
      </c>
      <c r="U1" s="101" t="s">
        <v>708</v>
      </c>
      <c r="V1" s="101" t="s">
        <v>709</v>
      </c>
      <c r="W1" s="101" t="s">
        <v>701</v>
      </c>
      <c r="X1" s="101" t="s">
        <v>702</v>
      </c>
    </row>
    <row r="2" spans="1:26" ht="21" x14ac:dyDescent="0.5">
      <c r="A2" s="275"/>
      <c r="B2" s="275" t="s">
        <v>515</v>
      </c>
      <c r="C2" s="275"/>
      <c r="D2" s="275"/>
      <c r="E2" s="275"/>
      <c r="F2" s="275"/>
      <c r="G2" s="275"/>
      <c r="H2" s="275"/>
      <c r="I2" s="275"/>
      <c r="J2" s="275"/>
      <c r="L2" s="275" t="s">
        <v>136</v>
      </c>
      <c r="M2" s="275" t="s">
        <v>427</v>
      </c>
      <c r="N2" s="275" t="s">
        <v>634</v>
      </c>
      <c r="O2" s="275" t="s">
        <v>635</v>
      </c>
      <c r="P2" s="219" t="s">
        <v>636</v>
      </c>
      <c r="Q2" s="219"/>
      <c r="R2" s="349" t="s">
        <v>630</v>
      </c>
      <c r="S2" s="101">
        <f>SCENARIOS!D22</f>
        <v>73.90687744915094</v>
      </c>
      <c r="T2" s="101">
        <f>SCENARIOS!F22-SCENARIOS!D22</f>
        <v>278.26641500946346</v>
      </c>
      <c r="U2" s="101">
        <f>800-SCENARIOS!F22</f>
        <v>447.82670754138559</v>
      </c>
      <c r="V2" s="101"/>
      <c r="W2" s="350">
        <f>D21</f>
        <v>311.12</v>
      </c>
      <c r="X2" s="101">
        <v>0</v>
      </c>
      <c r="Z2">
        <f>ROUND(S2+T2,0)</f>
        <v>352</v>
      </c>
    </row>
    <row r="3" spans="1:26" ht="18" customHeight="1" x14ac:dyDescent="0.35">
      <c r="B3" s="263"/>
      <c r="C3" s="263"/>
      <c r="D3" s="263"/>
      <c r="E3" s="263"/>
      <c r="F3" s="263"/>
      <c r="G3" s="263"/>
      <c r="H3" s="263"/>
      <c r="I3" s="263"/>
      <c r="J3" s="263"/>
      <c r="K3" s="175"/>
      <c r="L3" s="175" t="s">
        <v>630</v>
      </c>
      <c r="M3" s="264">
        <f>D18</f>
        <v>148.64247634825665</v>
      </c>
      <c r="N3" s="264">
        <v>0</v>
      </c>
      <c r="O3" s="264">
        <v>0</v>
      </c>
      <c r="P3" s="264">
        <v>0</v>
      </c>
      <c r="R3" s="101"/>
      <c r="S3" s="101"/>
      <c r="T3" s="101"/>
      <c r="U3" s="101"/>
      <c r="V3" s="101"/>
      <c r="W3" s="350">
        <f>D21</f>
        <v>311.12</v>
      </c>
      <c r="X3" s="101">
        <v>2</v>
      </c>
    </row>
    <row r="4" spans="1:26" ht="15" customHeight="1" x14ac:dyDescent="0.35">
      <c r="B4" s="203" t="s">
        <v>710</v>
      </c>
      <c r="C4" s="183"/>
      <c r="D4" s="183"/>
      <c r="E4" s="183"/>
      <c r="F4" s="183"/>
      <c r="G4" s="183"/>
      <c r="H4" s="183"/>
      <c r="I4" s="183"/>
      <c r="J4" s="183"/>
      <c r="K4" s="220"/>
      <c r="L4" s="220" t="s">
        <v>631</v>
      </c>
      <c r="M4" s="222">
        <f>D31</f>
        <v>366.14198800627298</v>
      </c>
      <c r="N4" s="222">
        <v>0</v>
      </c>
      <c r="O4" s="222">
        <v>0</v>
      </c>
      <c r="P4" s="222">
        <v>0</v>
      </c>
      <c r="Q4" s="220"/>
      <c r="R4" s="101" t="s">
        <v>631</v>
      </c>
      <c r="S4" s="101">
        <f>J38</f>
        <v>143.93274215663206</v>
      </c>
      <c r="T4" s="351">
        <f>D44-J38</f>
        <v>568.84423455204842</v>
      </c>
      <c r="U4" s="351">
        <f>800-D44</f>
        <v>87.223023291319578</v>
      </c>
      <c r="V4" s="101"/>
      <c r="W4" s="350">
        <f>D21</f>
        <v>311.12</v>
      </c>
      <c r="X4" s="101">
        <v>4</v>
      </c>
      <c r="Z4">
        <f>ROUND(S4+T4,0)</f>
        <v>713</v>
      </c>
    </row>
    <row r="5" spans="1:26" ht="15" customHeight="1" x14ac:dyDescent="0.35">
      <c r="B5" s="220"/>
      <c r="C5" s="220"/>
      <c r="D5" s="220"/>
      <c r="E5" s="220"/>
      <c r="F5" s="220"/>
      <c r="G5" s="220"/>
      <c r="H5" s="220"/>
      <c r="I5" s="220"/>
      <c r="J5" s="220"/>
      <c r="K5" s="175"/>
      <c r="L5" s="175" t="s">
        <v>633</v>
      </c>
      <c r="M5" s="264">
        <f>F77</f>
        <v>529.26696915060074</v>
      </c>
      <c r="N5" s="264">
        <v>0</v>
      </c>
      <c r="O5" s="264">
        <v>0</v>
      </c>
      <c r="P5" s="264">
        <v>0</v>
      </c>
      <c r="R5" s="101"/>
      <c r="S5" s="101"/>
      <c r="T5" s="101"/>
      <c r="U5" s="101"/>
      <c r="V5" s="101"/>
      <c r="W5" s="350">
        <f>D21</f>
        <v>311.12</v>
      </c>
      <c r="X5" s="101">
        <v>6</v>
      </c>
    </row>
    <row r="6" spans="1:26" ht="15" customHeight="1" x14ac:dyDescent="0.35">
      <c r="B6" s="184" t="s">
        <v>498</v>
      </c>
      <c r="C6" s="265"/>
      <c r="D6" s="190">
        <f>INPUT!H26</f>
        <v>104057</v>
      </c>
      <c r="E6" s="175"/>
      <c r="F6" s="175"/>
      <c r="G6" s="175"/>
      <c r="H6" s="175"/>
      <c r="I6" s="175"/>
      <c r="J6" s="175"/>
      <c r="K6" s="175"/>
      <c r="L6" s="175" t="s">
        <v>632</v>
      </c>
      <c r="M6" s="264">
        <f>F85</f>
        <v>348.01714450171011</v>
      </c>
      <c r="N6" s="264">
        <v>0</v>
      </c>
      <c r="O6" s="264">
        <v>0</v>
      </c>
      <c r="P6" s="264">
        <v>0</v>
      </c>
      <c r="R6" s="101" t="s">
        <v>633</v>
      </c>
      <c r="S6" s="101">
        <f>F77*0.55</f>
        <v>291.09683303283043</v>
      </c>
      <c r="T6" s="101">
        <f>F77*1.35-F77*0.55</f>
        <v>423.41357532048062</v>
      </c>
      <c r="U6" s="101">
        <f>800-F77*1.35</f>
        <v>85.48959164668895</v>
      </c>
      <c r="V6" s="101"/>
      <c r="W6" s="101"/>
      <c r="X6" s="101"/>
      <c r="Z6">
        <f>ROUND(S6+T6,0)</f>
        <v>715</v>
      </c>
    </row>
    <row r="7" spans="1:26" ht="18" customHeight="1" x14ac:dyDescent="0.35">
      <c r="B7" s="184" t="s">
        <v>516</v>
      </c>
      <c r="C7" s="265"/>
      <c r="D7" s="190">
        <f>INPUT!H60</f>
        <v>531319</v>
      </c>
      <c r="E7" s="175"/>
      <c r="F7" s="175"/>
      <c r="G7" s="175"/>
      <c r="H7" s="175"/>
      <c r="I7" s="175"/>
      <c r="J7" s="175"/>
      <c r="K7" s="175"/>
      <c r="L7" s="175" t="s">
        <v>624</v>
      </c>
      <c r="M7" s="264">
        <f>D21</f>
        <v>311.12</v>
      </c>
      <c r="N7" s="264">
        <v>0</v>
      </c>
      <c r="O7" s="264">
        <v>0</v>
      </c>
      <c r="P7" s="264">
        <v>0</v>
      </c>
      <c r="R7" s="101"/>
      <c r="S7" s="101"/>
      <c r="T7" s="101"/>
      <c r="U7" s="101"/>
      <c r="V7" s="101"/>
      <c r="W7" s="101"/>
      <c r="X7" s="101"/>
    </row>
    <row r="8" spans="1:26" ht="18" customHeight="1" x14ac:dyDescent="0.35">
      <c r="B8" s="184" t="s">
        <v>499</v>
      </c>
      <c r="C8" s="265"/>
      <c r="D8" s="193">
        <f>INPUT!H96</f>
        <v>2679.5</v>
      </c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R8" s="101" t="s">
        <v>632</v>
      </c>
      <c r="S8" s="101">
        <f>AVERAGE(S2,S4,S6)</f>
        <v>169.64548421287114</v>
      </c>
      <c r="T8" s="101">
        <f>AVERAGE(T2,T4,T6)</f>
        <v>423.50807496066415</v>
      </c>
      <c r="U8" s="101">
        <f>800-AVERAGE(S2,S4,S6)-AVERAGE(T2,T4,T6)</f>
        <v>206.84644082646474</v>
      </c>
      <c r="V8" s="101"/>
      <c r="W8" s="101"/>
      <c r="X8" s="101"/>
      <c r="Z8">
        <f>ROUND(S8+T8,0)</f>
        <v>593</v>
      </c>
    </row>
    <row r="9" spans="1:26" ht="15" customHeight="1" x14ac:dyDescent="0.35">
      <c r="B9" s="184" t="s">
        <v>517</v>
      </c>
      <c r="C9" s="265"/>
      <c r="D9" s="188">
        <f>INPUT!H102</f>
        <v>0.10630000000000001</v>
      </c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</row>
    <row r="10" spans="1:26" ht="15" customHeight="1" x14ac:dyDescent="0.35">
      <c r="B10" s="184" t="s">
        <v>518</v>
      </c>
      <c r="C10" s="265"/>
      <c r="D10" s="188">
        <f>INPUT!H109</f>
        <v>2.5000000000000001E-2</v>
      </c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</row>
    <row r="11" spans="1:26" ht="15" customHeight="1" x14ac:dyDescent="0.35">
      <c r="B11" s="184" t="s">
        <v>501</v>
      </c>
      <c r="C11" s="265"/>
      <c r="D11" s="187">
        <f>IFERROR(D6/D7,"-")</f>
        <v>0.19584656298758374</v>
      </c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</row>
    <row r="12" spans="1:26" ht="15" customHeight="1" x14ac:dyDescent="0.35">
      <c r="B12" s="184" t="s">
        <v>110</v>
      </c>
      <c r="C12" s="265"/>
      <c r="D12" s="187">
        <f>IFERROR(ABS(INPUT!H29)/INPUT!H26,"-")</f>
        <v>0.30359322294511659</v>
      </c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</row>
    <row r="13" spans="1:26" ht="15" customHeight="1" x14ac:dyDescent="0.35">
      <c r="B13" s="184" t="s">
        <v>519</v>
      </c>
      <c r="C13" s="265"/>
      <c r="D13" s="276">
        <f>IFERROR(ABS(INPUT!H29)/INPUT!H96,"-")</f>
        <v>11.789886172793432</v>
      </c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</row>
    <row r="14" spans="1:26" ht="15" customHeight="1" x14ac:dyDescent="0.35">
      <c r="B14" s="184" t="s">
        <v>520</v>
      </c>
      <c r="C14" s="265"/>
      <c r="D14" s="276">
        <f>IFERROR(INPUT!H26/INPUT!H96,"-")</f>
        <v>38.834484045530886</v>
      </c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</row>
    <row r="15" spans="1:26" ht="15" customHeight="1" x14ac:dyDescent="0.35">
      <c r="B15" s="184"/>
      <c r="C15" s="265"/>
      <c r="D15" s="237"/>
      <c r="E15" s="175"/>
      <c r="F15" s="175"/>
      <c r="G15" s="175"/>
      <c r="H15" s="175"/>
      <c r="I15" s="175"/>
      <c r="J15" s="175"/>
      <c r="K15" s="220"/>
      <c r="L15" s="220"/>
      <c r="M15" s="220"/>
      <c r="N15" s="220"/>
      <c r="O15" s="220"/>
      <c r="P15" s="220"/>
      <c r="Q15" s="220"/>
      <c r="R15" s="220"/>
    </row>
    <row r="16" spans="1:26" ht="15" customHeight="1" x14ac:dyDescent="0.35">
      <c r="B16" s="203" t="s">
        <v>711</v>
      </c>
      <c r="C16" s="183"/>
      <c r="D16" s="266"/>
      <c r="E16" s="183"/>
      <c r="F16" s="183"/>
      <c r="G16" s="183"/>
      <c r="H16" s="183"/>
      <c r="I16" s="183"/>
      <c r="J16" s="183"/>
      <c r="K16" s="175"/>
      <c r="L16" s="175"/>
      <c r="M16" s="175"/>
      <c r="N16" s="175"/>
      <c r="O16" s="175"/>
      <c r="P16" s="175"/>
    </row>
    <row r="17" spans="2:18" ht="15" customHeight="1" x14ac:dyDescent="0.35">
      <c r="B17" s="220"/>
      <c r="C17" s="220"/>
      <c r="D17" s="348"/>
      <c r="E17" s="220"/>
      <c r="F17" s="220"/>
      <c r="G17" s="220"/>
      <c r="H17" s="220"/>
      <c r="I17" s="220"/>
      <c r="J17" s="220"/>
      <c r="K17" s="175"/>
      <c r="L17" s="175"/>
      <c r="M17" s="175"/>
      <c r="N17" s="175"/>
      <c r="O17" s="175"/>
      <c r="P17" s="175"/>
    </row>
    <row r="18" spans="2:18" ht="15" customHeight="1" x14ac:dyDescent="0.35">
      <c r="B18" s="184" t="s">
        <v>674</v>
      </c>
      <c r="C18" s="265"/>
      <c r="D18" s="277">
        <f>IFERROR(D13*(1+D10)/(D9-D10),"N/A — ke≤g")</f>
        <v>148.64247634825665</v>
      </c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</row>
    <row r="19" spans="2:18" ht="15" customHeight="1" x14ac:dyDescent="0.35">
      <c r="B19" s="184" t="s">
        <v>522</v>
      </c>
      <c r="C19" s="265"/>
      <c r="D19" s="187">
        <f>IFERROR(1-D12,"-")</f>
        <v>0.69640677705488341</v>
      </c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</row>
    <row r="20" spans="2:18" ht="15" customHeight="1" x14ac:dyDescent="0.35">
      <c r="B20" s="184" t="s">
        <v>523</v>
      </c>
      <c r="C20" s="265"/>
      <c r="D20" s="187">
        <f>IFERROR(D11*D19,"-")</f>
        <v>0.13638887372745942</v>
      </c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</row>
    <row r="21" spans="2:18" ht="15" customHeight="1" x14ac:dyDescent="0.35">
      <c r="B21" s="184" t="s">
        <v>503</v>
      </c>
      <c r="C21" s="265"/>
      <c r="D21" s="276">
        <f>INPUT!H95</f>
        <v>311.12</v>
      </c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</row>
    <row r="22" spans="2:18" ht="15" customHeight="1" x14ac:dyDescent="0.35">
      <c r="B22" s="184" t="s">
        <v>134</v>
      </c>
      <c r="C22" s="265"/>
      <c r="D22" s="187">
        <f>IFERROR((D18-D21)/D21,"N/A")</f>
        <v>-0.52223426218739832</v>
      </c>
      <c r="E22" s="175"/>
      <c r="F22" s="175"/>
      <c r="G22" s="175"/>
      <c r="H22" s="175"/>
      <c r="I22" s="175"/>
      <c r="J22" s="175"/>
      <c r="K22" s="220"/>
      <c r="L22" s="220"/>
      <c r="M22" s="220"/>
      <c r="N22" s="220"/>
      <c r="O22" s="220"/>
      <c r="P22" s="220"/>
      <c r="Q22" s="220"/>
      <c r="R22" s="220"/>
    </row>
    <row r="23" spans="2:18" ht="15" customHeight="1" x14ac:dyDescent="0.35">
      <c r="B23" s="184"/>
      <c r="C23" s="265"/>
      <c r="D23" s="236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</row>
    <row r="24" spans="2:18" ht="15" customHeight="1" x14ac:dyDescent="0.35">
      <c r="B24" s="203" t="s">
        <v>712</v>
      </c>
      <c r="C24" s="183"/>
      <c r="D24" s="183"/>
      <c r="E24" s="183"/>
      <c r="F24" s="183"/>
      <c r="G24" s="183"/>
      <c r="H24" s="183"/>
      <c r="I24" s="183"/>
      <c r="J24" s="183"/>
      <c r="K24" s="175"/>
      <c r="L24" s="175"/>
      <c r="M24" s="175"/>
      <c r="N24" s="175"/>
      <c r="O24" s="175"/>
      <c r="P24" s="175"/>
    </row>
    <row r="25" spans="2:18" ht="15" customHeight="1" x14ac:dyDescent="0.35">
      <c r="B25" s="220"/>
      <c r="C25" s="220"/>
      <c r="D25" s="220"/>
      <c r="E25" s="220"/>
      <c r="F25" s="220"/>
      <c r="G25" s="220"/>
      <c r="H25" s="220"/>
      <c r="I25" s="220"/>
      <c r="J25" s="220"/>
      <c r="K25" s="175"/>
      <c r="L25" s="175"/>
      <c r="M25" s="175"/>
      <c r="N25" s="175"/>
      <c r="O25" s="175"/>
      <c r="P25" s="175"/>
    </row>
    <row r="26" spans="2:18" ht="15" customHeight="1" x14ac:dyDescent="0.35">
      <c r="B26" s="184" t="s">
        <v>524</v>
      </c>
      <c r="C26" s="265"/>
      <c r="D26" s="187">
        <f>D11</f>
        <v>0.19584656298758374</v>
      </c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</row>
    <row r="27" spans="2:18" ht="18" customHeight="1" x14ac:dyDescent="0.35">
      <c r="B27" s="184" t="s">
        <v>525</v>
      </c>
      <c r="C27" s="265"/>
      <c r="D27" s="188">
        <f>D9</f>
        <v>0.10630000000000001</v>
      </c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</row>
    <row r="28" spans="2:18" ht="15" customHeight="1" x14ac:dyDescent="0.35">
      <c r="B28" s="184" t="s">
        <v>518</v>
      </c>
      <c r="C28" s="265"/>
      <c r="D28" s="188">
        <f>D10</f>
        <v>2.5000000000000001E-2</v>
      </c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</row>
    <row r="29" spans="2:18" ht="15" customHeight="1" x14ac:dyDescent="0.35">
      <c r="B29" s="184" t="s">
        <v>526</v>
      </c>
      <c r="C29" s="265"/>
      <c r="D29" s="276">
        <f>IFERROR((INPUT!H60-INPUT!H42)/INPUT!H96,"-")</f>
        <v>174.2343720843441</v>
      </c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</row>
    <row r="30" spans="2:18" ht="15" customHeight="1" x14ac:dyDescent="0.35">
      <c r="B30" s="184" t="s">
        <v>527</v>
      </c>
      <c r="C30" s="265"/>
      <c r="D30" s="197">
        <f>IFERROR((D26-D28)/(D27-D28),"N/A — ke≤g")</f>
        <v>2.1014337390846705</v>
      </c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</row>
    <row r="31" spans="2:18" ht="15" customHeight="1" x14ac:dyDescent="0.35">
      <c r="B31" s="184" t="s">
        <v>502</v>
      </c>
      <c r="C31" s="265"/>
      <c r="D31" s="277">
        <f>IFERROR(D30*D29,"N/A")</f>
        <v>366.14198800627298</v>
      </c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</row>
    <row r="32" spans="2:18" ht="15" customHeight="1" x14ac:dyDescent="0.35">
      <c r="B32" s="184" t="s">
        <v>503</v>
      </c>
      <c r="C32" s="265"/>
      <c r="D32" s="276">
        <f>D21</f>
        <v>311.12</v>
      </c>
      <c r="E32" s="175"/>
      <c r="F32" s="175"/>
      <c r="G32" s="175"/>
      <c r="H32" s="175"/>
      <c r="I32" s="175"/>
      <c r="J32" s="175"/>
      <c r="K32" s="220"/>
      <c r="L32" s="220"/>
      <c r="M32" s="220"/>
      <c r="N32" s="220"/>
      <c r="O32" s="220"/>
      <c r="P32" s="220"/>
      <c r="Q32" s="220"/>
      <c r="R32" s="220"/>
    </row>
    <row r="33" spans="2:16" ht="15" customHeight="1" x14ac:dyDescent="0.35">
      <c r="B33" s="184" t="s">
        <v>134</v>
      </c>
      <c r="C33" s="265"/>
      <c r="D33" s="187">
        <f>IFERROR((D31-D32)/D32,"N/A")</f>
        <v>0.17685133712481671</v>
      </c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</row>
    <row r="34" spans="2:16" ht="18" customHeight="1" x14ac:dyDescent="0.35">
      <c r="B34" s="184"/>
      <c r="C34" s="265"/>
      <c r="D34" s="217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</row>
    <row r="35" spans="2:16" ht="18" customHeight="1" x14ac:dyDescent="0.35">
      <c r="B35" s="203" t="s">
        <v>713</v>
      </c>
      <c r="C35" s="183"/>
      <c r="D35" s="183"/>
      <c r="E35" s="183"/>
      <c r="F35" s="183"/>
      <c r="G35" s="183"/>
      <c r="H35" s="183"/>
      <c r="I35" s="183"/>
      <c r="J35" s="183"/>
      <c r="K35" s="175"/>
      <c r="L35" s="175"/>
      <c r="M35" s="175"/>
      <c r="N35" s="175"/>
      <c r="O35" s="175"/>
      <c r="P35" s="175"/>
    </row>
    <row r="36" spans="2:16" ht="15" customHeight="1" x14ac:dyDescent="0.35">
      <c r="B36" s="220"/>
      <c r="C36" s="220"/>
      <c r="D36" s="220"/>
      <c r="E36" s="220"/>
      <c r="F36" s="220"/>
      <c r="G36" s="220"/>
      <c r="H36" s="220"/>
      <c r="I36" s="220"/>
      <c r="J36" s="220"/>
      <c r="K36" s="175"/>
      <c r="L36" s="175"/>
      <c r="M36" s="175"/>
      <c r="N36" s="175"/>
      <c r="O36" s="175"/>
      <c r="P36" s="175"/>
    </row>
    <row r="37" spans="2:16" ht="15" customHeight="1" x14ac:dyDescent="0.35">
      <c r="B37" s="221" t="s">
        <v>530</v>
      </c>
      <c r="C37" s="181" t="s">
        <v>531</v>
      </c>
      <c r="D37" s="199">
        <v>0.08</v>
      </c>
      <c r="E37" s="199">
        <v>0.09</v>
      </c>
      <c r="F37" s="199">
        <v>0.1</v>
      </c>
      <c r="G37" s="199">
        <v>0.10630000000000001</v>
      </c>
      <c r="H37" s="199">
        <v>0.12</v>
      </c>
      <c r="I37" s="199">
        <v>0.13</v>
      </c>
      <c r="J37" s="199">
        <v>0.14000000000000001</v>
      </c>
      <c r="K37" s="175"/>
      <c r="L37" s="175"/>
      <c r="M37" s="175"/>
      <c r="N37" s="175"/>
      <c r="O37" s="175"/>
      <c r="P37" s="175"/>
    </row>
    <row r="38" spans="2:16" ht="15" customHeight="1" x14ac:dyDescent="0.35">
      <c r="B38" s="221" t="s">
        <v>532</v>
      </c>
      <c r="C38" s="267">
        <v>0.12</v>
      </c>
      <c r="D38" s="285">
        <f t="shared" ref="D38:D44" si="0">IFERROR(((C38-$D$28)/(D$37-$D$28))*$D$29,"-")</f>
        <v>300.95027905477616</v>
      </c>
      <c r="E38" s="286">
        <f t="shared" ref="E38:E44" si="1">IFERROR(((C38-$D$28)/(E$37-$D$28))*$D$29,"-")</f>
        <v>254.65023612327212</v>
      </c>
      <c r="F38" s="286">
        <f t="shared" ref="F38:F44" si="2">IFERROR(((C38-$D$28)/(F$37-$D$28))*$D$29,"-")</f>
        <v>220.69687130683582</v>
      </c>
      <c r="G38" s="286">
        <f t="shared" ref="G38:G44" si="3">IFERROR(((C38-$D$28)/(G$37-$D$28))*$D$29,"-")</f>
        <v>203.59489972955336</v>
      </c>
      <c r="H38" s="286">
        <f t="shared" ref="H38:H44" si="4">IFERROR(((C38-$D$28)/(H$37-$D$28))*$D$29,"-")</f>
        <v>174.2343720843441</v>
      </c>
      <c r="I38" s="286">
        <f t="shared" ref="I38:I44" si="5">IFERROR(((C38-$D$28)/(I$37-$D$28))*$D$29,"-")</f>
        <v>157.6406223620256</v>
      </c>
      <c r="J38" s="286">
        <f t="shared" ref="J38:J44" si="6">IFERROR(((C38-$D$28)/(J$37-$D$28))*$D$29,"-")</f>
        <v>143.93274215663206</v>
      </c>
      <c r="K38" s="175"/>
      <c r="L38" s="175"/>
      <c r="M38" s="175"/>
      <c r="N38" s="175"/>
      <c r="O38" s="175"/>
      <c r="P38" s="175"/>
    </row>
    <row r="39" spans="2:16" ht="15" customHeight="1" x14ac:dyDescent="0.35">
      <c r="B39" s="184"/>
      <c r="C39" s="268">
        <v>0.14000000000000001</v>
      </c>
      <c r="D39" s="287">
        <f t="shared" si="0"/>
        <v>364.30823253999228</v>
      </c>
      <c r="E39" s="190">
        <f t="shared" si="1"/>
        <v>308.26081214922419</v>
      </c>
      <c r="F39" s="190">
        <f t="shared" si="2"/>
        <v>267.15937052932765</v>
      </c>
      <c r="G39" s="190">
        <f t="shared" si="3"/>
        <v>246.45698388314355</v>
      </c>
      <c r="H39" s="190">
        <f t="shared" si="4"/>
        <v>210.91529252315343</v>
      </c>
      <c r="I39" s="190">
        <f t="shared" si="5"/>
        <v>190.82812180666261</v>
      </c>
      <c r="J39" s="190">
        <f t="shared" si="6"/>
        <v>174.2343720843441</v>
      </c>
      <c r="K39" s="175"/>
      <c r="L39" s="175"/>
      <c r="M39" s="175"/>
      <c r="N39" s="175"/>
      <c r="O39" s="175"/>
      <c r="P39" s="175"/>
    </row>
    <row r="40" spans="2:16" ht="15" customHeight="1" x14ac:dyDescent="0.35">
      <c r="B40" s="184"/>
      <c r="C40" s="268">
        <v>0.16</v>
      </c>
      <c r="D40" s="287">
        <f t="shared" si="0"/>
        <v>427.66618602520828</v>
      </c>
      <c r="E40" s="190">
        <f t="shared" si="1"/>
        <v>361.87138817517626</v>
      </c>
      <c r="F40" s="190">
        <f t="shared" si="2"/>
        <v>313.62186975181936</v>
      </c>
      <c r="G40" s="190">
        <f t="shared" si="3"/>
        <v>289.31906803673371</v>
      </c>
      <c r="H40" s="190">
        <f t="shared" si="4"/>
        <v>247.59621296196266</v>
      </c>
      <c r="I40" s="190">
        <f t="shared" si="5"/>
        <v>224.01562125129954</v>
      </c>
      <c r="J40" s="190">
        <f t="shared" si="6"/>
        <v>204.53600201205609</v>
      </c>
      <c r="K40" s="175"/>
      <c r="L40" s="175"/>
      <c r="M40" s="175"/>
      <c r="N40" s="175"/>
      <c r="O40" s="175"/>
      <c r="P40" s="175"/>
    </row>
    <row r="41" spans="2:16" ht="15" customHeight="1" x14ac:dyDescent="0.35">
      <c r="B41" s="184"/>
      <c r="C41" s="268">
        <v>0.18</v>
      </c>
      <c r="D41" s="287">
        <f t="shared" si="0"/>
        <v>491.02413951042433</v>
      </c>
      <c r="E41" s="190">
        <f t="shared" si="1"/>
        <v>415.48196420112822</v>
      </c>
      <c r="F41" s="190">
        <f t="shared" si="2"/>
        <v>360.08436897431108</v>
      </c>
      <c r="G41" s="190">
        <f t="shared" si="3"/>
        <v>332.18115219032387</v>
      </c>
      <c r="H41" s="190">
        <f t="shared" si="4"/>
        <v>284.27713340077196</v>
      </c>
      <c r="I41" s="190">
        <f t="shared" si="5"/>
        <v>257.20312069593649</v>
      </c>
      <c r="J41" s="190">
        <f t="shared" si="6"/>
        <v>234.8376319397681</v>
      </c>
      <c r="K41" s="175"/>
      <c r="L41" s="175"/>
      <c r="M41" s="175"/>
      <c r="N41" s="175"/>
      <c r="O41" s="175"/>
      <c r="P41" s="175"/>
    </row>
    <row r="42" spans="2:16" ht="15" customHeight="1" x14ac:dyDescent="0.35">
      <c r="B42" s="184"/>
      <c r="C42" s="268">
        <v>0.1958</v>
      </c>
      <c r="D42" s="287">
        <f t="shared" si="0"/>
        <v>541.07692276374496</v>
      </c>
      <c r="E42" s="190">
        <f t="shared" si="1"/>
        <v>457.83431926163036</v>
      </c>
      <c r="F42" s="190">
        <f t="shared" si="2"/>
        <v>396.78974336007957</v>
      </c>
      <c r="G42" s="288">
        <f t="shared" si="3"/>
        <v>366.04219867166017</v>
      </c>
      <c r="H42" s="190">
        <f t="shared" si="4"/>
        <v>313.2550605474313</v>
      </c>
      <c r="I42" s="190">
        <f t="shared" si="5"/>
        <v>283.4212452571997</v>
      </c>
      <c r="J42" s="190">
        <f t="shared" si="6"/>
        <v>258.77591958266061</v>
      </c>
      <c r="K42" s="175"/>
      <c r="L42" s="175"/>
      <c r="M42" s="175"/>
      <c r="N42" s="175"/>
      <c r="O42" s="175"/>
      <c r="P42" s="175"/>
    </row>
    <row r="43" spans="2:16" ht="15" customHeight="1" x14ac:dyDescent="0.35">
      <c r="B43" s="184"/>
      <c r="C43" s="268">
        <v>0.22</v>
      </c>
      <c r="D43" s="287">
        <f t="shared" si="0"/>
        <v>617.74004648085634</v>
      </c>
      <c r="E43" s="190">
        <f t="shared" si="1"/>
        <v>522.70311625303225</v>
      </c>
      <c r="F43" s="190">
        <f t="shared" si="2"/>
        <v>453.00936741929462</v>
      </c>
      <c r="G43" s="190">
        <f t="shared" si="3"/>
        <v>417.90532049750431</v>
      </c>
      <c r="H43" s="190">
        <f t="shared" si="4"/>
        <v>357.63897427839055</v>
      </c>
      <c r="I43" s="190">
        <f t="shared" si="5"/>
        <v>323.57811958521046</v>
      </c>
      <c r="J43" s="190">
        <f t="shared" si="6"/>
        <v>295.44089179519216</v>
      </c>
      <c r="K43" s="175"/>
      <c r="L43" s="175"/>
      <c r="M43" s="175"/>
      <c r="N43" s="175"/>
      <c r="O43" s="175"/>
      <c r="P43" s="175"/>
    </row>
    <row r="44" spans="2:16" ht="15" customHeight="1" x14ac:dyDescent="0.35">
      <c r="B44" s="184"/>
      <c r="C44" s="268">
        <v>0.25</v>
      </c>
      <c r="D44" s="287">
        <f t="shared" si="0"/>
        <v>712.77697670868042</v>
      </c>
      <c r="E44" s="190">
        <f t="shared" si="1"/>
        <v>603.11898029196038</v>
      </c>
      <c r="F44" s="190">
        <f t="shared" si="2"/>
        <v>522.70311625303225</v>
      </c>
      <c r="G44" s="190">
        <f t="shared" si="3"/>
        <v>482.19844672788957</v>
      </c>
      <c r="H44" s="190">
        <f t="shared" si="4"/>
        <v>412.66035493660439</v>
      </c>
      <c r="I44" s="190">
        <f t="shared" si="5"/>
        <v>373.35936875216595</v>
      </c>
      <c r="J44" s="190">
        <f t="shared" si="6"/>
        <v>340.89333668676016</v>
      </c>
      <c r="K44" s="175"/>
      <c r="L44" s="175"/>
      <c r="M44" s="175"/>
      <c r="N44" s="175"/>
      <c r="O44" s="175"/>
      <c r="P44" s="175"/>
    </row>
    <row r="45" spans="2:16" ht="18" customHeight="1" x14ac:dyDescent="0.35">
      <c r="B45" s="180" t="s">
        <v>533</v>
      </c>
      <c r="C45" s="180"/>
      <c r="D45" s="281"/>
      <c r="E45" s="281"/>
      <c r="F45" s="281"/>
      <c r="G45" s="281"/>
      <c r="H45" s="281"/>
      <c r="I45" s="281"/>
      <c r="J45" s="281"/>
      <c r="K45" s="175"/>
      <c r="L45" s="175"/>
      <c r="M45" s="175"/>
      <c r="N45" s="175"/>
      <c r="O45" s="175"/>
      <c r="P45" s="175"/>
    </row>
    <row r="46" spans="2:16" ht="18" customHeight="1" x14ac:dyDescent="0.35">
      <c r="B46" s="263"/>
      <c r="C46" s="263"/>
      <c r="D46" s="282"/>
      <c r="E46" s="282"/>
      <c r="F46" s="282"/>
      <c r="G46" s="282"/>
      <c r="H46" s="282"/>
      <c r="I46" s="282"/>
      <c r="J46" s="282"/>
      <c r="K46" s="175"/>
      <c r="L46" s="175"/>
      <c r="M46" s="175"/>
      <c r="N46" s="175"/>
      <c r="O46" s="175"/>
      <c r="P46" s="175"/>
    </row>
    <row r="47" spans="2:16" ht="15" customHeight="1" x14ac:dyDescent="0.35">
      <c r="B47" s="203" t="s">
        <v>714</v>
      </c>
      <c r="C47" s="183"/>
      <c r="D47" s="283"/>
      <c r="E47" s="283"/>
      <c r="F47" s="283"/>
      <c r="G47" s="283"/>
      <c r="H47" s="283"/>
      <c r="I47" s="283"/>
      <c r="J47" s="283"/>
      <c r="K47" s="175"/>
      <c r="L47" s="175"/>
      <c r="M47" s="175"/>
      <c r="N47" s="175"/>
      <c r="O47" s="175"/>
      <c r="P47" s="175"/>
    </row>
    <row r="48" spans="2:16" ht="15" customHeight="1" x14ac:dyDescent="0.35">
      <c r="B48" s="180" t="s">
        <v>598</v>
      </c>
      <c r="C48" s="229"/>
      <c r="D48" s="284"/>
      <c r="E48" s="284"/>
      <c r="F48" s="284"/>
      <c r="G48" s="284"/>
      <c r="H48" s="284"/>
      <c r="I48" s="284"/>
      <c r="J48" s="284"/>
      <c r="K48" s="175"/>
      <c r="L48" s="175"/>
      <c r="M48" s="175"/>
      <c r="N48" s="175"/>
      <c r="O48" s="175"/>
      <c r="P48" s="175"/>
    </row>
    <row r="49" spans="2:16" ht="15" customHeight="1" x14ac:dyDescent="0.35">
      <c r="B49" s="175"/>
      <c r="C49" s="175"/>
      <c r="D49" s="189"/>
      <c r="E49" s="189"/>
      <c r="F49" s="189"/>
      <c r="G49" s="189"/>
      <c r="H49" s="189"/>
      <c r="I49" s="189"/>
      <c r="J49" s="189"/>
      <c r="K49" s="175"/>
      <c r="L49" s="175"/>
      <c r="M49" s="175"/>
      <c r="N49" s="175"/>
      <c r="O49" s="175"/>
      <c r="P49" s="175"/>
    </row>
    <row r="50" spans="2:16" ht="15" customHeight="1" x14ac:dyDescent="0.35">
      <c r="B50" s="203" t="s">
        <v>705</v>
      </c>
      <c r="C50" s="183"/>
      <c r="D50" s="283"/>
      <c r="E50" s="283"/>
      <c r="F50" s="283"/>
      <c r="G50" s="283"/>
      <c r="H50" s="283"/>
      <c r="I50" s="283"/>
      <c r="J50" s="283"/>
      <c r="K50" s="175"/>
      <c r="L50" s="175"/>
      <c r="M50" s="175"/>
      <c r="N50" s="175"/>
      <c r="O50" s="175"/>
      <c r="P50" s="175"/>
    </row>
    <row r="51" spans="2:16" ht="15" customHeight="1" x14ac:dyDescent="0.35">
      <c r="B51" s="182"/>
      <c r="C51" s="269" t="s">
        <v>2</v>
      </c>
      <c r="D51" s="182"/>
      <c r="E51" s="182"/>
      <c r="F51" s="182" t="s">
        <v>599</v>
      </c>
      <c r="G51" s="182" t="s">
        <v>600</v>
      </c>
      <c r="H51" s="182" t="s">
        <v>601</v>
      </c>
      <c r="I51" s="182" t="s">
        <v>602</v>
      </c>
      <c r="J51" s="182" t="s">
        <v>603</v>
      </c>
      <c r="K51" s="175"/>
      <c r="L51" s="175"/>
      <c r="M51" s="175"/>
      <c r="N51" s="175"/>
      <c r="O51" s="175"/>
      <c r="P51" s="175"/>
    </row>
    <row r="52" spans="2:16" ht="15" customHeight="1" x14ac:dyDescent="0.35">
      <c r="B52" s="175"/>
      <c r="C52" s="184" t="s">
        <v>604</v>
      </c>
      <c r="D52" s="185"/>
      <c r="E52" s="175"/>
      <c r="F52" s="270">
        <v>0.19500000000000001</v>
      </c>
      <c r="G52" s="270">
        <v>0.185</v>
      </c>
      <c r="H52" s="270">
        <v>0.17499999999999999</v>
      </c>
      <c r="I52" s="270">
        <v>0.16</v>
      </c>
      <c r="J52" s="270">
        <v>0.15</v>
      </c>
      <c r="K52" s="175"/>
      <c r="L52" s="175"/>
      <c r="M52" s="175"/>
      <c r="N52" s="175"/>
      <c r="O52" s="175"/>
      <c r="P52" s="175"/>
    </row>
    <row r="53" spans="2:16" ht="15" customHeight="1" x14ac:dyDescent="0.35">
      <c r="B53" s="175"/>
      <c r="C53" s="184" t="s">
        <v>605</v>
      </c>
      <c r="D53" s="185"/>
      <c r="E53" s="175"/>
      <c r="F53" s="188">
        <f>D9</f>
        <v>0.10630000000000001</v>
      </c>
      <c r="G53" s="188">
        <f>D9</f>
        <v>0.10630000000000001</v>
      </c>
      <c r="H53" s="188">
        <f>D9</f>
        <v>0.10630000000000001</v>
      </c>
      <c r="I53" s="188">
        <f>D9</f>
        <v>0.10630000000000001</v>
      </c>
      <c r="J53" s="188">
        <f>D9</f>
        <v>0.10630000000000001</v>
      </c>
      <c r="K53" s="175"/>
      <c r="L53" s="175"/>
      <c r="M53" s="175"/>
      <c r="N53" s="175"/>
      <c r="O53" s="175"/>
      <c r="P53" s="175"/>
    </row>
    <row r="54" spans="2:16" ht="15" customHeight="1" x14ac:dyDescent="0.35">
      <c r="B54" s="175"/>
      <c r="C54" s="184" t="s">
        <v>606</v>
      </c>
      <c r="D54" s="185"/>
      <c r="E54" s="175"/>
      <c r="F54" s="262">
        <f>D12</f>
        <v>0.30359322294511659</v>
      </c>
      <c r="G54" s="262">
        <f>D12</f>
        <v>0.30359322294511659</v>
      </c>
      <c r="H54" s="262">
        <f>D12</f>
        <v>0.30359322294511659</v>
      </c>
      <c r="I54" s="262">
        <f>D12</f>
        <v>0.30359322294511659</v>
      </c>
      <c r="J54" s="262">
        <f>D12</f>
        <v>0.30359322294511659</v>
      </c>
      <c r="K54" s="175"/>
      <c r="L54" s="175"/>
      <c r="M54" s="175"/>
      <c r="N54" s="175"/>
      <c r="O54" s="175"/>
      <c r="P54" s="175"/>
    </row>
    <row r="55" spans="2:16" ht="15" customHeight="1" x14ac:dyDescent="0.35">
      <c r="B55" s="175"/>
      <c r="C55" s="184" t="s">
        <v>607</v>
      </c>
      <c r="D55" s="185"/>
      <c r="E55" s="175"/>
      <c r="F55" s="194">
        <f>D29</f>
        <v>174.2343720843441</v>
      </c>
      <c r="G55" s="194">
        <f>F55*(1+F52*(1-F54))</f>
        <v>197.8952815998548</v>
      </c>
      <c r="H55" s="194">
        <f>G55*(1+G52*(1-G54))</f>
        <v>223.39117042171964</v>
      </c>
      <c r="I55" s="194">
        <f>H55*(1+H52*(1-H54))</f>
        <v>250.61611729950354</v>
      </c>
      <c r="J55" s="194">
        <f>I55*(1+I52*(1-I54))</f>
        <v>278.54103930375248</v>
      </c>
      <c r="K55" s="175"/>
      <c r="L55" s="175"/>
      <c r="M55" s="175"/>
      <c r="N55" s="175"/>
      <c r="O55" s="175"/>
      <c r="P55" s="175"/>
    </row>
    <row r="56" spans="2:16" ht="15" customHeight="1" x14ac:dyDescent="0.35"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</row>
    <row r="57" spans="2:16" ht="15" customHeight="1" x14ac:dyDescent="0.35">
      <c r="B57" s="203" t="s">
        <v>704</v>
      </c>
      <c r="C57" s="183"/>
      <c r="D57" s="183"/>
      <c r="E57" s="183"/>
      <c r="F57" s="183"/>
      <c r="G57" s="183"/>
      <c r="H57" s="183"/>
      <c r="I57" s="183"/>
      <c r="J57" s="183"/>
      <c r="K57" s="175"/>
      <c r="L57" s="175"/>
      <c r="M57" s="175"/>
      <c r="N57" s="175"/>
      <c r="O57" s="175"/>
      <c r="P57" s="175"/>
    </row>
    <row r="58" spans="2:16" ht="15" customHeight="1" x14ac:dyDescent="0.35">
      <c r="B58" s="269"/>
      <c r="C58" s="269" t="s">
        <v>608</v>
      </c>
      <c r="D58" s="182"/>
      <c r="E58" s="182"/>
      <c r="F58" s="271" t="s">
        <v>599</v>
      </c>
      <c r="G58" s="271" t="s">
        <v>600</v>
      </c>
      <c r="H58" s="271" t="s">
        <v>601</v>
      </c>
      <c r="I58" s="271" t="s">
        <v>602</v>
      </c>
      <c r="J58" s="271" t="s">
        <v>603</v>
      </c>
      <c r="K58" s="175"/>
      <c r="L58" s="175"/>
      <c r="M58" s="175"/>
      <c r="N58" s="175"/>
      <c r="O58" s="175"/>
      <c r="P58" s="175"/>
    </row>
    <row r="59" spans="2:16" ht="18" customHeight="1" x14ac:dyDescent="0.35">
      <c r="B59" s="175"/>
      <c r="C59" s="184" t="s">
        <v>609</v>
      </c>
      <c r="D59" s="185"/>
      <c r="E59" s="175"/>
      <c r="F59" s="262">
        <f>F52*F55</f>
        <v>33.975702556447104</v>
      </c>
      <c r="G59" s="262">
        <f>G52*G55</f>
        <v>36.610627095973136</v>
      </c>
      <c r="H59" s="262">
        <f>H52*H55</f>
        <v>39.093454823800933</v>
      </c>
      <c r="I59" s="262">
        <f>I52*I55</f>
        <v>40.098578767920564</v>
      </c>
      <c r="J59" s="262">
        <f>J52*J55</f>
        <v>41.781155895562868</v>
      </c>
      <c r="K59" s="175"/>
      <c r="L59" s="175"/>
      <c r="M59" s="175"/>
      <c r="N59" s="175"/>
      <c r="O59" s="175"/>
      <c r="P59" s="175"/>
    </row>
    <row r="60" spans="2:16" ht="18" customHeight="1" x14ac:dyDescent="0.35">
      <c r="B60" s="175"/>
      <c r="C60" s="184" t="s">
        <v>610</v>
      </c>
      <c r="D60" s="185"/>
      <c r="E60" s="175"/>
      <c r="F60" s="262">
        <f>F59*F54</f>
        <v>10.314793040936413</v>
      </c>
      <c r="G60" s="262">
        <f>G59*G54</f>
        <v>11.1147382741083</v>
      </c>
      <c r="H60" s="262">
        <f>H59*H54</f>
        <v>11.86850794601704</v>
      </c>
      <c r="I60" s="262">
        <f>I59*I54</f>
        <v>12.173656763671627</v>
      </c>
      <c r="J60" s="262">
        <f>J59*J54</f>
        <v>12.684475776706291</v>
      </c>
      <c r="K60" s="175"/>
      <c r="L60" s="175"/>
      <c r="M60" s="175"/>
      <c r="N60" s="175"/>
      <c r="O60" s="175"/>
      <c r="P60" s="175"/>
    </row>
    <row r="61" spans="2:16" ht="15" customHeight="1" x14ac:dyDescent="0.35">
      <c r="B61" s="175"/>
      <c r="C61" s="184" t="s">
        <v>611</v>
      </c>
      <c r="D61" s="185"/>
      <c r="E61" s="175"/>
      <c r="F61" s="276">
        <f>(F52-F53)*F55</f>
        <v>15.454588803881322</v>
      </c>
      <c r="G61" s="276">
        <f>(G52-G53)*G55</f>
        <v>15.574358661908571</v>
      </c>
      <c r="H61" s="276">
        <f>(H52-H53)*H55</f>
        <v>15.346973407972134</v>
      </c>
      <c r="I61" s="276">
        <f>(I52-I53)*I55</f>
        <v>13.45808549898334</v>
      </c>
      <c r="J61" s="276">
        <f>(J52-J53)*J55</f>
        <v>12.172243417573981</v>
      </c>
      <c r="K61" s="175"/>
      <c r="L61" s="175"/>
      <c r="M61" s="175"/>
      <c r="N61" s="175"/>
      <c r="O61" s="175"/>
      <c r="P61" s="175"/>
    </row>
    <row r="62" spans="2:16" ht="15" customHeight="1" x14ac:dyDescent="0.35">
      <c r="B62" s="175"/>
      <c r="C62" s="184" t="s">
        <v>612</v>
      </c>
      <c r="D62" s="185"/>
      <c r="E62" s="175"/>
      <c r="F62" s="262">
        <f>1/(1+F53)^1</f>
        <v>0.90391394739220821</v>
      </c>
      <c r="G62" s="262">
        <f>1/(1+G53)^2</f>
        <v>0.81706042429016379</v>
      </c>
      <c r="H62" s="262">
        <f>1/(1+H53)^3</f>
        <v>0.73855231337807448</v>
      </c>
      <c r="I62" s="262">
        <f>1/(1+I53)^4</f>
        <v>0.66758773694122242</v>
      </c>
      <c r="J62" s="262">
        <f>1/(1+J53)^5</f>
        <v>0.60344186652917153</v>
      </c>
      <c r="K62" s="175"/>
      <c r="L62" s="175"/>
      <c r="M62" s="175"/>
      <c r="N62" s="175"/>
      <c r="O62" s="175"/>
      <c r="P62" s="175"/>
    </row>
    <row r="63" spans="2:16" ht="15" customHeight="1" x14ac:dyDescent="0.35">
      <c r="B63" s="175"/>
      <c r="C63" s="184" t="s">
        <v>613</v>
      </c>
      <c r="D63" s="185"/>
      <c r="E63" s="175"/>
      <c r="F63" s="262">
        <f>F61*F62</f>
        <v>13.969618371039791</v>
      </c>
      <c r="G63" s="194">
        <f>G61*G62</f>
        <v>12.725192096346204</v>
      </c>
      <c r="H63" s="194">
        <f>H61*H62</f>
        <v>11.334542713809611</v>
      </c>
      <c r="I63" s="194">
        <f>I61*I62</f>
        <v>8.9844528418277712</v>
      </c>
      <c r="J63" s="194">
        <f>J61*J62</f>
        <v>7.3452412877482649</v>
      </c>
      <c r="K63" s="175"/>
      <c r="L63" s="175"/>
      <c r="M63" s="175"/>
      <c r="N63" s="175"/>
      <c r="O63" s="175"/>
      <c r="P63" s="175"/>
    </row>
    <row r="64" spans="2:16" ht="15" customHeight="1" x14ac:dyDescent="0.35">
      <c r="B64" s="175"/>
      <c r="C64" s="227" t="s">
        <v>614</v>
      </c>
      <c r="D64" s="185"/>
      <c r="E64" s="175"/>
      <c r="F64" s="195">
        <f>SUM(F63:J63)</f>
        <v>54.359047310771643</v>
      </c>
      <c r="G64" s="175"/>
      <c r="H64" s="175"/>
      <c r="I64" s="175"/>
      <c r="J64" s="175"/>
      <c r="K64" s="175"/>
      <c r="L64" s="175"/>
      <c r="M64" s="175"/>
      <c r="N64" s="175"/>
      <c r="O64" s="175"/>
      <c r="P64" s="175"/>
    </row>
    <row r="65" spans="2:16" ht="15" customHeight="1" x14ac:dyDescent="0.35">
      <c r="B65" s="175"/>
      <c r="C65" s="175"/>
      <c r="D65" s="175"/>
      <c r="E65" s="175"/>
      <c r="F65" s="278"/>
      <c r="G65" s="278"/>
      <c r="H65" s="278"/>
      <c r="I65" s="278"/>
      <c r="J65" s="278"/>
      <c r="K65" s="175"/>
      <c r="L65" s="175"/>
      <c r="M65" s="175"/>
      <c r="N65" s="175"/>
      <c r="O65" s="175"/>
      <c r="P65" s="175"/>
    </row>
    <row r="66" spans="2:16" ht="15" customHeight="1" x14ac:dyDescent="0.35">
      <c r="B66" s="203" t="s">
        <v>703</v>
      </c>
      <c r="C66" s="183"/>
      <c r="D66" s="183"/>
      <c r="E66" s="183"/>
      <c r="F66" s="279"/>
      <c r="G66" s="279"/>
      <c r="H66" s="279"/>
      <c r="I66" s="279"/>
      <c r="J66" s="279"/>
      <c r="K66" s="175"/>
      <c r="L66" s="175"/>
      <c r="M66" s="175"/>
      <c r="N66" s="175"/>
      <c r="O66" s="175"/>
      <c r="P66" s="175"/>
    </row>
    <row r="67" spans="2:16" ht="15" customHeight="1" x14ac:dyDescent="0.35">
      <c r="B67" s="175"/>
      <c r="C67" s="184" t="s">
        <v>615</v>
      </c>
      <c r="D67" s="185"/>
      <c r="E67" s="175"/>
      <c r="F67" s="280">
        <f>D11*0.8</f>
        <v>0.156677250390067</v>
      </c>
      <c r="G67" s="278"/>
      <c r="H67" s="278"/>
      <c r="I67" s="278"/>
      <c r="J67" s="278"/>
      <c r="K67" s="175"/>
      <c r="L67" s="175"/>
      <c r="M67" s="175"/>
      <c r="N67" s="175"/>
      <c r="O67" s="175"/>
      <c r="P67" s="175"/>
    </row>
    <row r="68" spans="2:16" ht="15" customHeight="1" x14ac:dyDescent="0.35">
      <c r="B68" s="175"/>
      <c r="C68" s="184" t="s">
        <v>616</v>
      </c>
      <c r="D68" s="185"/>
      <c r="E68" s="175"/>
      <c r="F68" s="188">
        <f>D10</f>
        <v>2.5000000000000001E-2</v>
      </c>
      <c r="G68" s="175"/>
      <c r="H68" s="175"/>
      <c r="I68" s="175"/>
      <c r="J68" s="175"/>
      <c r="K68" s="175"/>
      <c r="L68" s="175"/>
      <c r="M68" s="175"/>
      <c r="N68" s="175"/>
      <c r="O68" s="175"/>
      <c r="P68" s="175"/>
    </row>
    <row r="69" spans="2:16" ht="15" customHeight="1" x14ac:dyDescent="0.35">
      <c r="B69" s="175"/>
      <c r="C69" s="184" t="s">
        <v>525</v>
      </c>
      <c r="D69" s="185"/>
      <c r="E69" s="175"/>
      <c r="F69" s="276">
        <f>D9</f>
        <v>0.10630000000000001</v>
      </c>
      <c r="G69" s="278"/>
      <c r="H69" s="278"/>
      <c r="I69" s="278"/>
      <c r="J69" s="278"/>
      <c r="K69" s="175"/>
      <c r="L69" s="175"/>
      <c r="M69" s="175"/>
      <c r="N69" s="175"/>
      <c r="O69" s="175"/>
      <c r="P69" s="175"/>
    </row>
    <row r="70" spans="2:16" ht="15" customHeight="1" x14ac:dyDescent="0.35">
      <c r="B70" s="175"/>
      <c r="C70" s="184" t="s">
        <v>617</v>
      </c>
      <c r="D70" s="185"/>
      <c r="E70" s="175"/>
      <c r="F70" s="276">
        <f>J55*(1+J52*(1-J54))</f>
        <v>307.63771942260905</v>
      </c>
      <c r="G70" s="175"/>
      <c r="H70" s="175"/>
      <c r="I70" s="175"/>
      <c r="J70" s="175"/>
      <c r="K70" s="175"/>
      <c r="L70" s="175"/>
      <c r="M70" s="175"/>
      <c r="N70" s="175"/>
      <c r="O70" s="175"/>
      <c r="P70" s="175"/>
    </row>
    <row r="71" spans="2:16" ht="15" customHeight="1" x14ac:dyDescent="0.35">
      <c r="B71" s="175"/>
      <c r="C71" s="227" t="s">
        <v>618</v>
      </c>
      <c r="D71" s="185"/>
      <c r="E71" s="175"/>
      <c r="F71" s="261">
        <f>IFERROR(((F67-F68)/(F69-F68))*F70*J62,"ke≤g")</f>
        <v>300.673549755485</v>
      </c>
      <c r="G71" s="175"/>
      <c r="H71" s="175"/>
      <c r="I71" s="175"/>
      <c r="J71" s="175"/>
      <c r="K71" s="175"/>
      <c r="L71" s="175"/>
      <c r="M71" s="175"/>
      <c r="N71" s="175"/>
      <c r="O71" s="175"/>
      <c r="P71" s="175"/>
    </row>
    <row r="72" spans="2:16" ht="15" customHeight="1" x14ac:dyDescent="0.35">
      <c r="B72" s="175"/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</row>
    <row r="73" spans="2:16" ht="15" customHeight="1" x14ac:dyDescent="0.35">
      <c r="B73" s="183" t="s">
        <v>622</v>
      </c>
      <c r="C73" s="183"/>
      <c r="D73" s="183"/>
      <c r="E73" s="183"/>
      <c r="F73" s="272"/>
      <c r="G73" s="183"/>
      <c r="H73" s="183"/>
      <c r="I73" s="183"/>
      <c r="J73" s="183"/>
      <c r="K73" s="175"/>
      <c r="L73" s="175"/>
      <c r="M73" s="175"/>
      <c r="N73" s="175"/>
      <c r="O73" s="175"/>
      <c r="P73" s="175"/>
    </row>
    <row r="74" spans="2:16" ht="18" customHeight="1" x14ac:dyDescent="0.35">
      <c r="B74" s="175"/>
      <c r="C74" s="184" t="s">
        <v>619</v>
      </c>
      <c r="D74" s="185"/>
      <c r="E74" s="175"/>
      <c r="F74" s="262">
        <f>D29</f>
        <v>174.2343720843441</v>
      </c>
      <c r="G74" s="175"/>
      <c r="H74" s="175"/>
      <c r="I74" s="175"/>
      <c r="J74" s="175"/>
      <c r="K74" s="175"/>
      <c r="L74" s="175"/>
      <c r="M74" s="175"/>
      <c r="N74" s="175"/>
      <c r="O74" s="175"/>
      <c r="P74" s="175"/>
    </row>
    <row r="75" spans="2:16" ht="18" customHeight="1" x14ac:dyDescent="0.35">
      <c r="B75" s="175"/>
      <c r="C75" s="184" t="s">
        <v>620</v>
      </c>
      <c r="D75" s="185"/>
      <c r="E75" s="175"/>
      <c r="F75" s="262">
        <f>F64</f>
        <v>54.359047310771643</v>
      </c>
      <c r="G75" s="175"/>
      <c r="H75" s="175"/>
      <c r="I75" s="175"/>
      <c r="J75" s="175"/>
      <c r="K75" s="175"/>
      <c r="L75" s="175"/>
      <c r="M75" s="175"/>
      <c r="N75" s="175"/>
      <c r="O75" s="175"/>
      <c r="P75" s="175"/>
    </row>
    <row r="76" spans="2:16" ht="15" customHeight="1" x14ac:dyDescent="0.35">
      <c r="B76" s="175"/>
      <c r="C76" s="184" t="s">
        <v>621</v>
      </c>
      <c r="D76" s="185"/>
      <c r="E76" s="175"/>
      <c r="F76" s="276">
        <f>F71</f>
        <v>300.673549755485</v>
      </c>
      <c r="G76" s="175"/>
      <c r="H76" s="175"/>
      <c r="I76" s="175"/>
      <c r="J76" s="175"/>
      <c r="K76" s="175"/>
      <c r="L76" s="175"/>
      <c r="M76" s="175"/>
      <c r="N76" s="175"/>
      <c r="O76" s="175"/>
      <c r="P76" s="175"/>
    </row>
    <row r="77" spans="2:16" ht="15" customHeight="1" x14ac:dyDescent="0.35">
      <c r="B77" s="175"/>
      <c r="C77" s="273" t="s">
        <v>623</v>
      </c>
      <c r="D77" s="185"/>
      <c r="E77" s="175"/>
      <c r="F77" s="277">
        <f>F74+F75+F76</f>
        <v>529.26696915060074</v>
      </c>
      <c r="G77" s="175"/>
      <c r="H77" s="175"/>
      <c r="I77" s="175"/>
      <c r="J77" s="175"/>
      <c r="K77" s="175"/>
      <c r="L77" s="175"/>
      <c r="M77" s="175"/>
      <c r="N77" s="175"/>
      <c r="O77" s="175"/>
      <c r="P77" s="175"/>
    </row>
    <row r="78" spans="2:16" ht="15" customHeight="1" x14ac:dyDescent="0.35">
      <c r="B78" s="175"/>
      <c r="C78" s="184" t="s">
        <v>624</v>
      </c>
      <c r="D78" s="185"/>
      <c r="E78" s="175"/>
      <c r="F78" s="276">
        <f>D21</f>
        <v>311.12</v>
      </c>
      <c r="G78" s="175"/>
      <c r="H78" s="175"/>
      <c r="I78" s="175"/>
      <c r="J78" s="175"/>
      <c r="K78" s="175"/>
      <c r="L78" s="175"/>
      <c r="M78" s="175"/>
      <c r="N78" s="175"/>
      <c r="O78" s="175"/>
      <c r="P78" s="175"/>
    </row>
    <row r="79" spans="2:16" ht="15" customHeight="1" x14ac:dyDescent="0.35">
      <c r="B79" s="175"/>
      <c r="C79" s="227" t="s">
        <v>134</v>
      </c>
      <c r="D79" s="185"/>
      <c r="E79" s="175"/>
      <c r="F79" s="198">
        <f>IFERROR((F77-F78)/F78,"N/A")</f>
        <v>0.70116665322255312</v>
      </c>
      <c r="G79" s="175"/>
      <c r="H79" s="175"/>
      <c r="I79" s="175"/>
      <c r="J79" s="175"/>
      <c r="K79" s="175"/>
      <c r="L79" s="175"/>
      <c r="M79" s="175"/>
      <c r="N79" s="175"/>
      <c r="O79" s="175"/>
      <c r="P79" s="175"/>
    </row>
    <row r="80" spans="2:16" ht="15" customHeight="1" x14ac:dyDescent="0.35">
      <c r="B80" s="175"/>
      <c r="C80" s="175"/>
      <c r="D80" s="175"/>
      <c r="E80" s="175"/>
      <c r="F80" s="278"/>
      <c r="G80" s="175"/>
      <c r="H80" s="175"/>
      <c r="I80" s="175"/>
      <c r="J80" s="175"/>
      <c r="K80" s="175"/>
      <c r="L80" s="175"/>
      <c r="M80" s="175"/>
      <c r="N80" s="175"/>
      <c r="O80" s="175"/>
      <c r="P80" s="175"/>
    </row>
    <row r="81" spans="2:16" ht="15" customHeight="1" x14ac:dyDescent="0.35">
      <c r="B81" s="183" t="s">
        <v>625</v>
      </c>
      <c r="C81" s="183"/>
      <c r="D81" s="183"/>
      <c r="E81" s="183"/>
      <c r="F81" s="279"/>
      <c r="G81" s="183"/>
      <c r="H81" s="183"/>
      <c r="I81" s="183"/>
      <c r="J81" s="183"/>
      <c r="K81" s="175"/>
      <c r="L81" s="175"/>
      <c r="M81" s="175"/>
      <c r="N81" s="175"/>
      <c r="O81" s="175"/>
      <c r="P81" s="175"/>
    </row>
    <row r="82" spans="2:16" ht="15" customHeight="1" x14ac:dyDescent="0.35">
      <c r="B82" s="175"/>
      <c r="C82" s="184" t="s">
        <v>626</v>
      </c>
      <c r="D82" s="185"/>
      <c r="E82" s="175"/>
      <c r="F82" s="276">
        <f>D18</f>
        <v>148.64247634825665</v>
      </c>
      <c r="G82" s="175"/>
      <c r="H82" s="175"/>
      <c r="I82" s="175"/>
      <c r="J82" s="175"/>
      <c r="K82" s="175"/>
      <c r="L82" s="175"/>
      <c r="M82" s="175"/>
      <c r="N82" s="175"/>
      <c r="O82" s="175"/>
      <c r="P82" s="175"/>
    </row>
    <row r="83" spans="2:16" ht="15" customHeight="1" x14ac:dyDescent="0.35">
      <c r="B83" s="175"/>
      <c r="C83" s="184" t="s">
        <v>502</v>
      </c>
      <c r="D83" s="185"/>
      <c r="E83" s="175"/>
      <c r="F83" s="276">
        <f>D31</f>
        <v>366.14198800627298</v>
      </c>
      <c r="G83" s="175"/>
      <c r="H83" s="175"/>
      <c r="I83" s="175"/>
      <c r="J83" s="175"/>
      <c r="K83" s="175"/>
      <c r="L83" s="175"/>
      <c r="M83" s="175"/>
      <c r="N83" s="175"/>
      <c r="O83" s="175"/>
      <c r="P83" s="175"/>
    </row>
    <row r="84" spans="2:16" ht="15" customHeight="1" x14ac:dyDescent="0.35">
      <c r="B84" s="175"/>
      <c r="C84" s="184" t="s">
        <v>627</v>
      </c>
      <c r="D84" s="185"/>
      <c r="E84" s="175"/>
      <c r="F84" s="276">
        <f>F77</f>
        <v>529.26696915060074</v>
      </c>
      <c r="G84" s="175"/>
      <c r="H84" s="175"/>
      <c r="I84" s="175"/>
      <c r="J84" s="175"/>
      <c r="K84" s="175"/>
      <c r="L84" s="175"/>
      <c r="M84" s="175"/>
      <c r="N84" s="175"/>
      <c r="O84" s="175"/>
      <c r="P84" s="175"/>
    </row>
    <row r="85" spans="2:16" ht="15" customHeight="1" x14ac:dyDescent="0.35">
      <c r="B85" s="175"/>
      <c r="C85" s="227" t="s">
        <v>628</v>
      </c>
      <c r="D85" s="185"/>
      <c r="E85" s="175"/>
      <c r="F85" s="261">
        <f>IFERROR((F82+F83+F84)/3,"N/A")</f>
        <v>348.01714450171011</v>
      </c>
      <c r="G85" s="175"/>
      <c r="H85" s="175"/>
      <c r="I85" s="175"/>
      <c r="J85" s="175"/>
      <c r="K85" s="175"/>
      <c r="L85" s="175"/>
      <c r="M85" s="175"/>
      <c r="N85" s="175"/>
      <c r="O85" s="175"/>
      <c r="P85" s="175"/>
    </row>
    <row r="86" spans="2:16" ht="15" customHeight="1" x14ac:dyDescent="0.35">
      <c r="B86" s="175"/>
      <c r="C86" s="184" t="s">
        <v>528</v>
      </c>
      <c r="D86" s="185"/>
      <c r="E86" s="175"/>
      <c r="F86" s="194">
        <f>D21</f>
        <v>311.12</v>
      </c>
      <c r="G86" s="175"/>
      <c r="H86" s="175"/>
      <c r="I86" s="175"/>
      <c r="J86" s="175"/>
      <c r="K86" s="175"/>
      <c r="L86" s="175"/>
      <c r="M86" s="175"/>
      <c r="N86" s="175"/>
      <c r="O86" s="175"/>
      <c r="P86" s="175"/>
    </row>
    <row r="87" spans="2:16" ht="15" customHeight="1" x14ac:dyDescent="0.35">
      <c r="B87" s="175"/>
      <c r="C87" s="227" t="s">
        <v>529</v>
      </c>
      <c r="D87" s="185"/>
      <c r="E87" s="175"/>
      <c r="F87" s="198">
        <f>IFERROR((F85-F86)/F86,"N/A")</f>
        <v>0.1185945760533238</v>
      </c>
      <c r="G87" s="175"/>
      <c r="H87" s="175"/>
      <c r="I87" s="175"/>
      <c r="J87" s="175"/>
      <c r="K87"/>
      <c r="L87"/>
      <c r="M87"/>
      <c r="N87"/>
      <c r="O87"/>
    </row>
    <row r="88" spans="2:16" ht="15" customHeight="1" x14ac:dyDescent="0.35">
      <c r="B88" s="175"/>
      <c r="C88" s="175"/>
      <c r="D88" s="175"/>
      <c r="E88" s="175"/>
      <c r="F88" s="278"/>
      <c r="G88" s="175"/>
      <c r="H88" s="175"/>
      <c r="I88" s="175"/>
      <c r="J88" s="175"/>
      <c r="K88"/>
      <c r="L88"/>
      <c r="M88"/>
      <c r="N88"/>
      <c r="O88"/>
    </row>
    <row r="89" spans="2:16" ht="15" customHeight="1" x14ac:dyDescent="0.35">
      <c r="B89" s="175"/>
      <c r="C89" s="180" t="s">
        <v>629</v>
      </c>
      <c r="D89" s="175"/>
      <c r="E89" s="175"/>
      <c r="F89" s="278"/>
      <c r="G89" s="175"/>
      <c r="H89" s="175"/>
      <c r="I89" s="175"/>
      <c r="J89" s="175"/>
      <c r="K89"/>
      <c r="L89"/>
      <c r="M89"/>
      <c r="N89"/>
      <c r="O89"/>
    </row>
    <row r="90" spans="2:16" ht="18" customHeight="1" x14ac:dyDescent="0.3">
      <c r="C90"/>
      <c r="E90"/>
      <c r="F90" s="174"/>
      <c r="G90"/>
      <c r="H90"/>
      <c r="I90"/>
      <c r="J90"/>
      <c r="K90"/>
      <c r="L90"/>
      <c r="M90"/>
      <c r="N90"/>
      <c r="O90"/>
    </row>
    <row r="91" spans="2:16" ht="15" customHeight="1" x14ac:dyDescent="0.3">
      <c r="C91"/>
      <c r="E91"/>
      <c r="F91" s="174"/>
      <c r="G91"/>
      <c r="H91"/>
      <c r="I91"/>
      <c r="J91"/>
      <c r="K91"/>
      <c r="L91"/>
      <c r="M91"/>
      <c r="N91"/>
      <c r="O91"/>
    </row>
    <row r="92" spans="2:16" ht="15" customHeight="1" x14ac:dyDescent="0.3">
      <c r="C92"/>
      <c r="E92"/>
      <c r="F92" s="174"/>
      <c r="G92"/>
      <c r="H92"/>
      <c r="I92"/>
      <c r="J92"/>
      <c r="K92"/>
      <c r="L92"/>
      <c r="M92"/>
      <c r="N92"/>
      <c r="O92"/>
    </row>
    <row r="93" spans="2:16" ht="15" customHeight="1" x14ac:dyDescent="0.3">
      <c r="C93"/>
      <c r="E93"/>
      <c r="F93"/>
      <c r="G93"/>
      <c r="H93"/>
      <c r="I93"/>
      <c r="J93"/>
      <c r="K93"/>
      <c r="L93"/>
      <c r="M93"/>
      <c r="N93"/>
      <c r="O93"/>
    </row>
    <row r="94" spans="2:16" ht="15" customHeight="1" x14ac:dyDescent="0.3">
      <c r="C94"/>
      <c r="E94"/>
      <c r="F94"/>
      <c r="G94"/>
      <c r="H94"/>
      <c r="I94"/>
      <c r="J94"/>
      <c r="K94"/>
      <c r="L94"/>
      <c r="M94"/>
      <c r="N94"/>
      <c r="O94"/>
    </row>
    <row r="95" spans="2:16" ht="15" customHeight="1" x14ac:dyDescent="0.3">
      <c r="C95"/>
      <c r="E95"/>
      <c r="F95"/>
      <c r="G95"/>
      <c r="H95"/>
      <c r="I95"/>
      <c r="J95"/>
      <c r="K95"/>
      <c r="L95"/>
      <c r="M95"/>
      <c r="N95"/>
      <c r="O95"/>
    </row>
    <row r="96" spans="2:16" ht="15" customHeight="1" x14ac:dyDescent="0.3">
      <c r="C96"/>
      <c r="E96"/>
      <c r="F96"/>
      <c r="G96"/>
      <c r="H96"/>
      <c r="I96"/>
      <c r="J96"/>
      <c r="K96"/>
      <c r="L96"/>
      <c r="M96"/>
      <c r="N96"/>
      <c r="O96"/>
    </row>
    <row r="97" customFormat="1" ht="15" customHeight="1" x14ac:dyDescent="0.3"/>
    <row r="98" customFormat="1" ht="15" customHeight="1" x14ac:dyDescent="0.3"/>
    <row r="99" customFormat="1" ht="18" customHeight="1" x14ac:dyDescent="0.3"/>
    <row r="100" customFormat="1" ht="15" customHeight="1" x14ac:dyDescent="0.3"/>
    <row r="101" customFormat="1" ht="15" customHeight="1" x14ac:dyDescent="0.3"/>
    <row r="102" customFormat="1" ht="15" customHeight="1" x14ac:dyDescent="0.3"/>
    <row r="103" customFormat="1" ht="15" customHeight="1" x14ac:dyDescent="0.3"/>
    <row r="104" customFormat="1" ht="15" customHeight="1" x14ac:dyDescent="0.3"/>
    <row r="105" customFormat="1" ht="15" customHeight="1" x14ac:dyDescent="0.3"/>
    <row r="106" customFormat="1" ht="15" customHeight="1" x14ac:dyDescent="0.3"/>
    <row r="107" customFormat="1" ht="15" customHeight="1" x14ac:dyDescent="0.3"/>
    <row r="108" customFormat="1" ht="15" customHeight="1" x14ac:dyDescent="0.3"/>
    <row r="109" customFormat="1" ht="15" customHeight="1" x14ac:dyDescent="0.3"/>
    <row r="110" customFormat="1" ht="15" customHeight="1" x14ac:dyDescent="0.3"/>
    <row r="111" customFormat="1" ht="15" customHeight="1" x14ac:dyDescent="0.3"/>
    <row r="112" customFormat="1" ht="15" customHeight="1" x14ac:dyDescent="0.3"/>
    <row r="113" spans="3:15" ht="15" customHeight="1" x14ac:dyDescent="0.3">
      <c r="C113"/>
      <c r="E113"/>
      <c r="F113"/>
      <c r="G113"/>
      <c r="H113"/>
      <c r="I113"/>
      <c r="J113"/>
      <c r="K113"/>
      <c r="L113"/>
      <c r="M113"/>
      <c r="N113"/>
      <c r="O113"/>
    </row>
    <row r="114" spans="3:15" ht="15" customHeight="1" x14ac:dyDescent="0.3">
      <c r="C114"/>
      <c r="E114"/>
      <c r="F114"/>
      <c r="G114"/>
      <c r="H114"/>
      <c r="I114"/>
      <c r="J114"/>
      <c r="K114"/>
      <c r="L114"/>
      <c r="M114"/>
      <c r="N114"/>
      <c r="O114"/>
    </row>
    <row r="115" spans="3:15" ht="15" customHeight="1" x14ac:dyDescent="0.3">
      <c r="C115"/>
      <c r="E115"/>
      <c r="F115"/>
      <c r="G115"/>
      <c r="H115"/>
      <c r="I115"/>
      <c r="J115"/>
      <c r="K115"/>
      <c r="L115"/>
      <c r="M115"/>
      <c r="N115"/>
      <c r="O115"/>
    </row>
    <row r="116" spans="3:15" ht="15" customHeight="1" x14ac:dyDescent="0.3">
      <c r="C116"/>
      <c r="E116"/>
      <c r="F116"/>
      <c r="G116"/>
      <c r="H116"/>
      <c r="I116"/>
      <c r="J116"/>
    </row>
    <row r="117" spans="3:15" ht="15" customHeight="1" x14ac:dyDescent="0.3">
      <c r="C117"/>
      <c r="E117"/>
      <c r="F117"/>
      <c r="G117"/>
      <c r="H117"/>
      <c r="I117"/>
      <c r="J117"/>
    </row>
    <row r="118" spans="3:15" ht="15" customHeight="1" x14ac:dyDescent="0.3">
      <c r="C118"/>
      <c r="E118"/>
      <c r="F118"/>
      <c r="G118"/>
      <c r="H118"/>
      <c r="I118"/>
      <c r="J118"/>
    </row>
    <row r="119" spans="3:15" x14ac:dyDescent="0.3">
      <c r="C119" s="27"/>
    </row>
    <row r="120" spans="3:15" x14ac:dyDescent="0.3">
      <c r="C120" s="27"/>
    </row>
    <row r="121" spans="3:15" x14ac:dyDescent="0.3">
      <c r="C121" s="2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3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21"/>
  <sheetViews>
    <sheetView showGridLines="0" zoomScale="74" zoomScaleNormal="100" workbookViewId="0">
      <selection activeCell="L21" sqref="L21"/>
    </sheetView>
  </sheetViews>
  <sheetFormatPr baseColWidth="10" defaultRowHeight="14.4" x14ac:dyDescent="0.3"/>
  <cols>
    <col min="1" max="1" width="1.77734375" customWidth="1"/>
    <col min="2" max="2" width="40.77734375" customWidth="1"/>
    <col min="3" max="3" width="10.21875" style="12" customWidth="1"/>
    <col min="4" max="4" width="13.88671875" customWidth="1"/>
    <col min="5" max="14" width="13.88671875" style="14" customWidth="1"/>
    <col min="15" max="15" width="11.5546875" style="14" customWidth="1"/>
  </cols>
  <sheetData>
    <row r="1" spans="1:16" ht="54.9" customHeight="1" x14ac:dyDescent="0.6">
      <c r="A1" s="223"/>
      <c r="B1" s="177" t="s">
        <v>100</v>
      </c>
      <c r="C1" s="223"/>
      <c r="D1" s="223"/>
      <c r="E1" s="223"/>
      <c r="F1" s="223"/>
      <c r="G1" s="223"/>
      <c r="H1" s="223"/>
      <c r="I1" s="223"/>
      <c r="J1" s="223"/>
      <c r="K1" s="223" t="s">
        <v>637</v>
      </c>
      <c r="L1" s="223"/>
      <c r="M1" s="223"/>
      <c r="N1" s="223"/>
      <c r="O1" s="106"/>
      <c r="P1" s="106"/>
    </row>
    <row r="2" spans="1:16" ht="15" customHeight="1" x14ac:dyDescent="0.3">
      <c r="B2" s="224" t="s">
        <v>638</v>
      </c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</row>
    <row r="3" spans="1:16" ht="18" customHeight="1" x14ac:dyDescent="0.35"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47"/>
    </row>
    <row r="4" spans="1:16" ht="15" customHeight="1" x14ac:dyDescent="0.35">
      <c r="B4" s="45" t="s">
        <v>135</v>
      </c>
      <c r="C4" s="103" t="s">
        <v>497</v>
      </c>
      <c r="D4" s="139" t="s">
        <v>639</v>
      </c>
      <c r="E4" s="139" t="s">
        <v>640</v>
      </c>
      <c r="F4" s="139" t="s">
        <v>141</v>
      </c>
      <c r="G4" s="10" t="s">
        <v>289</v>
      </c>
      <c r="H4" s="103" t="s">
        <v>293</v>
      </c>
      <c r="I4" s="103" t="s">
        <v>296</v>
      </c>
      <c r="J4" s="103" t="s">
        <v>300</v>
      </c>
      <c r="K4" s="103" t="s">
        <v>462</v>
      </c>
      <c r="L4" s="103" t="s">
        <v>305</v>
      </c>
      <c r="M4" s="45" t="s">
        <v>477</v>
      </c>
      <c r="N4" s="103" t="s">
        <v>641</v>
      </c>
    </row>
    <row r="5" spans="1:16" ht="15" customHeight="1" x14ac:dyDescent="0.35">
      <c r="B5" s="220" t="s">
        <v>84</v>
      </c>
      <c r="C5" s="298" t="s">
        <v>86</v>
      </c>
      <c r="D5" s="299">
        <f>IFERROR(INPUT!H95,"-")</f>
        <v>311.12</v>
      </c>
      <c r="E5" s="300">
        <f>IFERROR(INPUT!H97/1000,"-")</f>
        <v>833.64604000000008</v>
      </c>
      <c r="F5" s="301">
        <f>IFERROR(INPUT!H97/INPUT!H26,"-")</f>
        <v>8.0114364242674689</v>
      </c>
      <c r="G5" s="302">
        <f>IFERROR(INPUT!H97/(INPUT!H60-INPUT!H42),"-")</f>
        <v>1.7856407795896423</v>
      </c>
      <c r="H5" s="303">
        <f>IFERROR(INPUT!H26/INPUT!H60,"-")</f>
        <v>0.19584656298758374</v>
      </c>
      <c r="I5" s="304">
        <f>IFERROR((INPUT!H21-INPUT!H20)/INPUT!H44,"-")</f>
        <v>0.50186796712102155</v>
      </c>
      <c r="J5" s="301">
        <f>IFERROR(ABS(INPUT!H14+INPUT!H15+INPUT!H16)/(INPUT!H21+ABS(INPUT!H20)),"-")</f>
        <v>0.25837885722722576</v>
      </c>
      <c r="K5" s="301"/>
      <c r="L5" s="301"/>
      <c r="M5" s="303">
        <f>IFERROR(ABS(INPUT!H29)/INPUT!H97,"-")</f>
        <v>3.7894979984550756E-2</v>
      </c>
      <c r="N5" s="305" t="s">
        <v>642</v>
      </c>
    </row>
    <row r="6" spans="1:16" ht="18" customHeight="1" x14ac:dyDescent="0.35">
      <c r="B6" s="297" t="s">
        <v>122</v>
      </c>
      <c r="C6" s="306" t="s">
        <v>123</v>
      </c>
      <c r="D6" s="307" t="s">
        <v>642</v>
      </c>
      <c r="E6" s="307" t="s">
        <v>642</v>
      </c>
      <c r="F6" s="307" t="s">
        <v>642</v>
      </c>
      <c r="G6" s="307" t="s">
        <v>642</v>
      </c>
      <c r="H6" s="307" t="s">
        <v>642</v>
      </c>
      <c r="I6" s="307" t="s">
        <v>642</v>
      </c>
      <c r="J6" s="307" t="s">
        <v>642</v>
      </c>
      <c r="K6" s="307" t="s">
        <v>642</v>
      </c>
      <c r="L6" s="307" t="s">
        <v>642</v>
      </c>
      <c r="M6" s="307" t="s">
        <v>642</v>
      </c>
      <c r="N6" s="305" t="s">
        <v>642</v>
      </c>
      <c r="O6" s="47"/>
    </row>
    <row r="7" spans="1:16" ht="15" customHeight="1" x14ac:dyDescent="0.35">
      <c r="B7" s="297" t="s">
        <v>124</v>
      </c>
      <c r="C7" s="306" t="s">
        <v>125</v>
      </c>
      <c r="D7" s="307" t="s">
        <v>642</v>
      </c>
      <c r="E7" s="307" t="s">
        <v>642</v>
      </c>
      <c r="F7" s="307" t="s">
        <v>642</v>
      </c>
      <c r="G7" s="307" t="s">
        <v>642</v>
      </c>
      <c r="H7" s="307" t="s">
        <v>642</v>
      </c>
      <c r="I7" s="307" t="s">
        <v>642</v>
      </c>
      <c r="J7" s="307" t="s">
        <v>642</v>
      </c>
      <c r="K7" s="307" t="s">
        <v>642</v>
      </c>
      <c r="L7" s="307" t="s">
        <v>642</v>
      </c>
      <c r="M7" s="307" t="s">
        <v>642</v>
      </c>
      <c r="N7" s="305" t="s">
        <v>642</v>
      </c>
    </row>
    <row r="8" spans="1:16" ht="15" customHeight="1" x14ac:dyDescent="0.35">
      <c r="B8" s="297" t="s">
        <v>126</v>
      </c>
      <c r="C8" s="306" t="s">
        <v>127</v>
      </c>
      <c r="D8" s="307" t="s">
        <v>642</v>
      </c>
      <c r="E8" s="307" t="s">
        <v>642</v>
      </c>
      <c r="F8" s="307" t="s">
        <v>642</v>
      </c>
      <c r="G8" s="307" t="s">
        <v>642</v>
      </c>
      <c r="H8" s="307" t="s">
        <v>642</v>
      </c>
      <c r="I8" s="307" t="s">
        <v>642</v>
      </c>
      <c r="J8" s="307" t="s">
        <v>642</v>
      </c>
      <c r="K8" s="307" t="s">
        <v>642</v>
      </c>
      <c r="L8" s="307" t="s">
        <v>642</v>
      </c>
      <c r="M8" s="307" t="s">
        <v>642</v>
      </c>
      <c r="N8" s="305" t="s">
        <v>642</v>
      </c>
    </row>
    <row r="9" spans="1:16" ht="15" customHeight="1" x14ac:dyDescent="0.35">
      <c r="B9" s="297" t="s">
        <v>128</v>
      </c>
      <c r="C9" s="306" t="s">
        <v>129</v>
      </c>
      <c r="D9" s="307" t="s">
        <v>642</v>
      </c>
      <c r="E9" s="307" t="s">
        <v>642</v>
      </c>
      <c r="F9" s="307" t="s">
        <v>642</v>
      </c>
      <c r="G9" s="307" t="s">
        <v>642</v>
      </c>
      <c r="H9" s="307" t="s">
        <v>642</v>
      </c>
      <c r="I9" s="307" t="s">
        <v>642</v>
      </c>
      <c r="J9" s="307" t="s">
        <v>642</v>
      </c>
      <c r="K9" s="307" t="s">
        <v>642</v>
      </c>
      <c r="L9" s="307" t="s">
        <v>642</v>
      </c>
      <c r="M9" s="307" t="s">
        <v>642</v>
      </c>
      <c r="N9" s="305" t="s">
        <v>642</v>
      </c>
    </row>
    <row r="10" spans="1:16" ht="15" customHeight="1" x14ac:dyDescent="0.35">
      <c r="B10" s="297" t="s">
        <v>130</v>
      </c>
      <c r="C10" s="306" t="s">
        <v>131</v>
      </c>
      <c r="D10" s="307" t="s">
        <v>642</v>
      </c>
      <c r="E10" s="307" t="s">
        <v>642</v>
      </c>
      <c r="F10" s="307" t="s">
        <v>642</v>
      </c>
      <c r="G10" s="307" t="s">
        <v>642</v>
      </c>
      <c r="H10" s="307" t="s">
        <v>642</v>
      </c>
      <c r="I10" s="307" t="s">
        <v>642</v>
      </c>
      <c r="J10" s="307" t="s">
        <v>642</v>
      </c>
      <c r="K10" s="307" t="s">
        <v>642</v>
      </c>
      <c r="L10" s="307" t="s">
        <v>642</v>
      </c>
      <c r="M10" s="307" t="s">
        <v>642</v>
      </c>
      <c r="N10" s="305" t="s">
        <v>642</v>
      </c>
    </row>
    <row r="11" spans="1:16" ht="15" customHeight="1" x14ac:dyDescent="0.35">
      <c r="B11" s="225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</row>
    <row r="12" spans="1:16" ht="15" customHeight="1" x14ac:dyDescent="0.35">
      <c r="B12" s="45" t="s">
        <v>643</v>
      </c>
      <c r="C12" s="103"/>
      <c r="D12" s="139"/>
      <c r="E12" s="139"/>
      <c r="F12" s="139"/>
      <c r="G12" s="10"/>
      <c r="H12" s="103"/>
      <c r="I12" s="103"/>
      <c r="J12" s="103"/>
      <c r="K12" s="103"/>
      <c r="L12" s="103"/>
      <c r="M12" s="45"/>
      <c r="N12" s="103"/>
    </row>
    <row r="13" spans="1:16" ht="15" customHeight="1" x14ac:dyDescent="0.35">
      <c r="B13" s="310" t="s">
        <v>644</v>
      </c>
      <c r="C13" s="310"/>
      <c r="D13" s="308" t="str">
        <f t="shared" ref="D13:M13" si="0">IFERROR(AVERAGE(D6:D10),"—")</f>
        <v>—</v>
      </c>
      <c r="E13" s="308" t="str">
        <f t="shared" si="0"/>
        <v>—</v>
      </c>
      <c r="F13" s="308" t="str">
        <f t="shared" si="0"/>
        <v>—</v>
      </c>
      <c r="G13" s="308" t="str">
        <f t="shared" si="0"/>
        <v>—</v>
      </c>
      <c r="H13" s="308" t="str">
        <f t="shared" si="0"/>
        <v>—</v>
      </c>
      <c r="I13" s="308" t="str">
        <f t="shared" si="0"/>
        <v>—</v>
      </c>
      <c r="J13" s="308" t="str">
        <f t="shared" si="0"/>
        <v>—</v>
      </c>
      <c r="K13" s="308" t="str">
        <f t="shared" si="0"/>
        <v>—</v>
      </c>
      <c r="L13" s="308" t="str">
        <f t="shared" si="0"/>
        <v>—</v>
      </c>
      <c r="M13" s="308" t="str">
        <f t="shared" si="0"/>
        <v>—</v>
      </c>
      <c r="N13" s="308"/>
    </row>
    <row r="14" spans="1:16" ht="15" customHeight="1" x14ac:dyDescent="0.35">
      <c r="B14" s="227" t="s">
        <v>645</v>
      </c>
      <c r="C14" s="227"/>
      <c r="D14" s="308" t="str">
        <f t="shared" ref="D14:M14" si="1">IFERROR(MEDIAN(D6:D10),"—")</f>
        <v>—</v>
      </c>
      <c r="E14" s="308" t="str">
        <f t="shared" si="1"/>
        <v>—</v>
      </c>
      <c r="F14" s="308" t="str">
        <f t="shared" si="1"/>
        <v>—</v>
      </c>
      <c r="G14" s="308" t="str">
        <f t="shared" si="1"/>
        <v>—</v>
      </c>
      <c r="H14" s="308" t="str">
        <f t="shared" si="1"/>
        <v>—</v>
      </c>
      <c r="I14" s="308" t="str">
        <f t="shared" si="1"/>
        <v>—</v>
      </c>
      <c r="J14" s="308" t="str">
        <f t="shared" si="1"/>
        <v>—</v>
      </c>
      <c r="K14" s="308" t="str">
        <f t="shared" si="1"/>
        <v>—</v>
      </c>
      <c r="L14" s="308" t="str">
        <f t="shared" si="1"/>
        <v>—</v>
      </c>
      <c r="M14" s="308" t="str">
        <f t="shared" si="1"/>
        <v>—</v>
      </c>
      <c r="N14" s="308"/>
    </row>
    <row r="15" spans="1:16" ht="15" customHeight="1" x14ac:dyDescent="0.35">
      <c r="B15" s="297" t="s">
        <v>132</v>
      </c>
      <c r="C15" s="297"/>
      <c r="D15" s="309">
        <f t="shared" ref="D15:M15" si="2">IFERROR(MAX(D5:D10),"—")</f>
        <v>311.12</v>
      </c>
      <c r="E15" s="309">
        <f t="shared" si="2"/>
        <v>833.64604000000008</v>
      </c>
      <c r="F15" s="309">
        <f t="shared" si="2"/>
        <v>8.0114364242674689</v>
      </c>
      <c r="G15" s="309">
        <f t="shared" si="2"/>
        <v>1.7856407795896423</v>
      </c>
      <c r="H15" s="309">
        <f t="shared" si="2"/>
        <v>0.19584656298758374</v>
      </c>
      <c r="I15" s="309">
        <f t="shared" si="2"/>
        <v>0.50186796712102155</v>
      </c>
      <c r="J15" s="309">
        <f t="shared" si="2"/>
        <v>0.25837885722722576</v>
      </c>
      <c r="K15" s="309" t="str">
        <f>IFERROR(IF(COUNT(K5:K10)=0,"—",MAX(K5:K10)),"—")</f>
        <v>—</v>
      </c>
      <c r="L15" s="309" t="str">
        <f>IFERROR(IF(COUNT(L5:L10)=0,"—",MAX(L5:L10)),"—")</f>
        <v>—</v>
      </c>
      <c r="M15" s="309">
        <f t="shared" si="2"/>
        <v>3.7894979984550756E-2</v>
      </c>
      <c r="N15" s="309"/>
    </row>
    <row r="16" spans="1:16" ht="15" customHeight="1" x14ac:dyDescent="0.35">
      <c r="B16" s="184" t="s">
        <v>133</v>
      </c>
      <c r="C16" s="184"/>
      <c r="D16" s="309">
        <f t="shared" ref="D16:M16" si="3">IFERROR(MIN(D5:D10),"—")</f>
        <v>311.12</v>
      </c>
      <c r="E16" s="309">
        <f t="shared" si="3"/>
        <v>833.64604000000008</v>
      </c>
      <c r="F16" s="309">
        <f t="shared" si="3"/>
        <v>8.0114364242674689</v>
      </c>
      <c r="G16" s="309">
        <f t="shared" si="3"/>
        <v>1.7856407795896423</v>
      </c>
      <c r="H16" s="309">
        <f t="shared" si="3"/>
        <v>0.19584656298758374</v>
      </c>
      <c r="I16" s="309">
        <f t="shared" si="3"/>
        <v>0.50186796712102155</v>
      </c>
      <c r="J16" s="309">
        <f t="shared" si="3"/>
        <v>0.25837885722722576</v>
      </c>
      <c r="K16" s="309" t="str">
        <f>IFERROR(IF(COUNT(K5:K10)=0,"—",MIN(K5:K10)),"—")</f>
        <v>—</v>
      </c>
      <c r="L16" s="309" t="str">
        <f>IFERROR(IF(COUNT(L5:L10)=0,"—",MIN(L5:L10)),"—")</f>
        <v>—</v>
      </c>
      <c r="M16" s="309">
        <f t="shared" si="3"/>
        <v>3.7894979984550756E-2</v>
      </c>
      <c r="N16" s="309"/>
    </row>
    <row r="17" spans="2:15" ht="15" customHeight="1" x14ac:dyDescent="0.3">
      <c r="C17"/>
      <c r="E17"/>
      <c r="F17"/>
      <c r="G17"/>
      <c r="H17"/>
      <c r="I17"/>
      <c r="J17"/>
      <c r="K17"/>
      <c r="L17"/>
      <c r="M17"/>
      <c r="N17"/>
    </row>
    <row r="18" spans="2:15" ht="15" customHeight="1" x14ac:dyDescent="0.35">
      <c r="B18" s="45" t="s">
        <v>646</v>
      </c>
      <c r="C18" s="103"/>
      <c r="D18" s="139"/>
      <c r="E18" s="139"/>
      <c r="F18" s="139"/>
      <c r="G18" s="10"/>
      <c r="H18" s="103"/>
      <c r="I18" s="103"/>
      <c r="J18" s="103"/>
      <c r="K18" s="103"/>
      <c r="L18" s="103"/>
      <c r="M18" s="45"/>
      <c r="N18" s="103"/>
    </row>
    <row r="19" spans="2:15" ht="15" customHeight="1" x14ac:dyDescent="0.35">
      <c r="B19" s="297" t="s">
        <v>647</v>
      </c>
      <c r="C19" s="297"/>
      <c r="D19" s="309" t="str">
        <f>IFERROR(MEDIAN(G6:G10),"N/A — fill peers")</f>
        <v>N/A — fill peers</v>
      </c>
      <c r="E19" s="297"/>
      <c r="F19" s="297"/>
      <c r="G19" s="297"/>
      <c r="H19" s="297"/>
      <c r="I19" s="297"/>
      <c r="J19" s="297"/>
      <c r="K19" s="297"/>
      <c r="L19" s="297"/>
      <c r="M19" s="297"/>
      <c r="N19" s="297"/>
    </row>
    <row r="20" spans="2:15" ht="18" customHeight="1" x14ac:dyDescent="0.35">
      <c r="B20" s="297" t="s">
        <v>648</v>
      </c>
      <c r="C20" s="297"/>
      <c r="D20" s="311">
        <f>IFERROR((INPUT!H60-INPUT!H42)/INPUT!H96,"—")</f>
        <v>174.2343720843441</v>
      </c>
      <c r="E20" s="297"/>
      <c r="F20" s="297"/>
      <c r="G20" s="297"/>
      <c r="H20" s="297"/>
      <c r="I20" s="297"/>
      <c r="J20" s="297"/>
      <c r="K20" s="297"/>
      <c r="L20" s="297"/>
      <c r="M20" s="297"/>
      <c r="N20" s="297"/>
      <c r="O20" s="47"/>
    </row>
    <row r="21" spans="2:15" ht="15" customHeight="1" x14ac:dyDescent="0.35">
      <c r="B21" s="310" t="s">
        <v>649</v>
      </c>
      <c r="C21" s="310"/>
      <c r="D21" s="312" t="str">
        <f>IFERROR(IF(ISNUMBER(D19),D19*D20,"N/A"),"N/A")</f>
        <v>N/A</v>
      </c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105"/>
    </row>
    <row r="22" spans="2:15" ht="15" customHeight="1" x14ac:dyDescent="0.35">
      <c r="B22" s="297" t="s">
        <v>528</v>
      </c>
      <c r="C22" s="297"/>
      <c r="D22" s="311">
        <f>INPUT!H95</f>
        <v>311.12</v>
      </c>
      <c r="E22" s="184"/>
      <c r="F22" s="184"/>
      <c r="G22" s="184"/>
      <c r="H22" s="184"/>
      <c r="I22" s="184"/>
      <c r="J22" s="184"/>
      <c r="K22" s="184"/>
      <c r="L22" s="184"/>
      <c r="M22" s="184"/>
      <c r="N22" s="184"/>
    </row>
    <row r="23" spans="2:15" ht="15" customHeight="1" x14ac:dyDescent="0.35">
      <c r="B23" s="220" t="s">
        <v>134</v>
      </c>
      <c r="C23" s="220"/>
      <c r="D23" s="228" t="str">
        <f>IFERROR(IF(ISNUMBER(D21),(D21-D22)/D22,"N/A"),"N/A")</f>
        <v>N/A</v>
      </c>
      <c r="E23" s="220"/>
      <c r="F23" s="220"/>
      <c r="G23" s="220"/>
      <c r="H23" s="220"/>
      <c r="I23" s="220"/>
      <c r="J23" s="220"/>
      <c r="K23" s="220"/>
      <c r="L23" s="220"/>
      <c r="M23" s="220"/>
      <c r="N23" s="220"/>
    </row>
    <row r="24" spans="2:15" ht="15" customHeight="1" x14ac:dyDescent="0.3">
      <c r="C24"/>
      <c r="E24"/>
      <c r="F24"/>
      <c r="G24"/>
      <c r="H24"/>
      <c r="I24"/>
      <c r="J24"/>
      <c r="K24"/>
      <c r="L24"/>
      <c r="M24"/>
      <c r="N24"/>
    </row>
    <row r="25" spans="2:15" ht="15" customHeight="1" x14ac:dyDescent="0.3">
      <c r="B25" s="180" t="s">
        <v>650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</row>
    <row r="26" spans="2:15" ht="15" customHeight="1" x14ac:dyDescent="0.3">
      <c r="C26"/>
      <c r="E26"/>
      <c r="F26"/>
      <c r="G26"/>
      <c r="H26"/>
      <c r="I26"/>
      <c r="J26"/>
      <c r="K26"/>
      <c r="L26"/>
      <c r="M26"/>
      <c r="N26"/>
    </row>
    <row r="27" spans="2:15" ht="15" customHeight="1" x14ac:dyDescent="0.3">
      <c r="C27"/>
      <c r="E27"/>
      <c r="F27"/>
      <c r="G27"/>
      <c r="H27"/>
      <c r="I27"/>
      <c r="J27"/>
      <c r="K27"/>
      <c r="L27"/>
      <c r="M27"/>
      <c r="N27"/>
    </row>
    <row r="28" spans="2:15" ht="18" customHeight="1" x14ac:dyDescent="0.35">
      <c r="C28"/>
      <c r="E28"/>
      <c r="F28"/>
      <c r="G28"/>
      <c r="H28"/>
      <c r="I28"/>
      <c r="J28"/>
      <c r="K28"/>
      <c r="L28"/>
      <c r="M28"/>
      <c r="N28"/>
      <c r="O28" s="47"/>
    </row>
    <row r="29" spans="2:15" ht="15" customHeight="1" x14ac:dyDescent="0.3">
      <c r="C29"/>
      <c r="E29"/>
      <c r="F29"/>
      <c r="G29"/>
      <c r="H29"/>
      <c r="I29"/>
      <c r="J29"/>
      <c r="K29"/>
      <c r="L29"/>
      <c r="M29"/>
      <c r="N29"/>
    </row>
    <row r="30" spans="2:15" ht="15" customHeight="1" x14ac:dyDescent="0.3">
      <c r="C30"/>
      <c r="E30"/>
      <c r="F30"/>
      <c r="G30"/>
      <c r="H30"/>
      <c r="I30"/>
      <c r="J30"/>
      <c r="K30"/>
      <c r="L30"/>
      <c r="M30"/>
      <c r="N30"/>
    </row>
    <row r="31" spans="2:15" ht="15" customHeight="1" x14ac:dyDescent="0.3">
      <c r="C31"/>
      <c r="E31"/>
      <c r="F31"/>
      <c r="G31"/>
      <c r="H31"/>
      <c r="I31"/>
      <c r="J31"/>
      <c r="K31"/>
      <c r="L31"/>
      <c r="M31"/>
      <c r="N31"/>
    </row>
    <row r="32" spans="2:15" ht="15" customHeight="1" x14ac:dyDescent="0.3">
      <c r="C32"/>
      <c r="E32"/>
      <c r="F32"/>
      <c r="G32"/>
      <c r="H32"/>
      <c r="I32"/>
      <c r="J32"/>
      <c r="K32"/>
      <c r="L32"/>
      <c r="M32"/>
      <c r="N32"/>
    </row>
    <row r="33" spans="3:15" ht="15" customHeight="1" x14ac:dyDescent="0.3">
      <c r="C33"/>
      <c r="E33"/>
      <c r="F33"/>
      <c r="G33"/>
      <c r="H33"/>
      <c r="I33"/>
      <c r="J33"/>
      <c r="K33"/>
      <c r="L33"/>
      <c r="M33"/>
      <c r="N33"/>
    </row>
    <row r="34" spans="3:15" ht="15" customHeight="1" x14ac:dyDescent="0.3">
      <c r="C34"/>
      <c r="E34"/>
      <c r="F34"/>
      <c r="G34"/>
      <c r="H34"/>
      <c r="I34"/>
      <c r="J34"/>
      <c r="K34"/>
      <c r="L34"/>
      <c r="M34"/>
      <c r="N34"/>
    </row>
    <row r="35" spans="3:15" ht="15" customHeight="1" x14ac:dyDescent="0.3">
      <c r="C35"/>
      <c r="E35"/>
      <c r="F35"/>
      <c r="G35"/>
      <c r="H35"/>
      <c r="I35"/>
      <c r="J35"/>
      <c r="K35"/>
      <c r="L35"/>
      <c r="M35"/>
      <c r="N35"/>
    </row>
    <row r="36" spans="3:15" ht="15" customHeight="1" x14ac:dyDescent="0.3">
      <c r="C36"/>
      <c r="E36"/>
      <c r="F36"/>
      <c r="G36"/>
      <c r="H36"/>
      <c r="I36"/>
      <c r="J36"/>
      <c r="K36"/>
      <c r="L36"/>
      <c r="M36"/>
      <c r="N36"/>
    </row>
    <row r="37" spans="3:15" ht="15" customHeight="1" x14ac:dyDescent="0.3">
      <c r="C37"/>
      <c r="E37"/>
      <c r="F37"/>
      <c r="G37"/>
      <c r="H37"/>
      <c r="I37"/>
      <c r="J37"/>
      <c r="K37"/>
      <c r="L37"/>
      <c r="M37"/>
      <c r="N37"/>
    </row>
    <row r="38" spans="3:15" ht="15" customHeight="1" x14ac:dyDescent="0.3">
      <c r="C38"/>
      <c r="E38"/>
      <c r="F38"/>
      <c r="G38"/>
      <c r="H38"/>
      <c r="I38"/>
      <c r="J38"/>
      <c r="K38"/>
      <c r="L38"/>
      <c r="M38"/>
      <c r="N38"/>
    </row>
    <row r="39" spans="3:15" ht="15" customHeight="1" x14ac:dyDescent="0.3">
      <c r="C39"/>
      <c r="E39"/>
      <c r="F39"/>
      <c r="G39"/>
      <c r="H39"/>
      <c r="I39"/>
      <c r="J39"/>
      <c r="K39"/>
      <c r="L39"/>
      <c r="M39"/>
      <c r="N39"/>
    </row>
    <row r="40" spans="3:15" ht="15" customHeight="1" x14ac:dyDescent="0.3">
      <c r="C40"/>
      <c r="E40"/>
      <c r="F40"/>
      <c r="G40"/>
      <c r="H40"/>
      <c r="I40"/>
      <c r="J40"/>
      <c r="K40"/>
      <c r="L40"/>
      <c r="M40"/>
      <c r="N40"/>
    </row>
    <row r="41" spans="3:15" ht="15" customHeight="1" x14ac:dyDescent="0.3">
      <c r="C41"/>
      <c r="E41"/>
      <c r="F41"/>
      <c r="G41"/>
      <c r="H41"/>
      <c r="I41"/>
      <c r="J41"/>
      <c r="K41"/>
      <c r="L41"/>
      <c r="M41"/>
      <c r="N41"/>
    </row>
    <row r="42" spans="3:15" ht="15" customHeight="1" x14ac:dyDescent="0.3">
      <c r="C42"/>
      <c r="E42"/>
      <c r="F42"/>
      <c r="G42"/>
      <c r="H42"/>
      <c r="I42"/>
      <c r="J42"/>
      <c r="K42"/>
      <c r="L42"/>
      <c r="M42"/>
      <c r="N42"/>
    </row>
    <row r="43" spans="3:15" ht="15" customHeight="1" x14ac:dyDescent="0.3">
      <c r="C43"/>
      <c r="E43"/>
      <c r="F43"/>
      <c r="G43"/>
      <c r="H43"/>
      <c r="I43"/>
      <c r="J43"/>
      <c r="K43"/>
      <c r="L43"/>
      <c r="M43"/>
      <c r="N43"/>
      <c r="O43" s="106"/>
    </row>
    <row r="44" spans="3:15" ht="15" customHeight="1" x14ac:dyDescent="0.3">
      <c r="C44"/>
      <c r="E44"/>
      <c r="F44"/>
      <c r="G44"/>
      <c r="H44"/>
      <c r="I44"/>
      <c r="J44"/>
      <c r="K44"/>
      <c r="L44"/>
      <c r="M44"/>
      <c r="N44"/>
      <c r="O44" s="106"/>
    </row>
    <row r="45" spans="3:15" ht="15" customHeight="1" x14ac:dyDescent="0.3">
      <c r="C45"/>
      <c r="E45"/>
      <c r="F45"/>
      <c r="G45"/>
      <c r="H45"/>
      <c r="I45"/>
      <c r="J45"/>
      <c r="K45"/>
      <c r="L45"/>
      <c r="M45"/>
      <c r="N45"/>
      <c r="O45" s="106"/>
    </row>
    <row r="46" spans="3:15" ht="15" customHeight="1" x14ac:dyDescent="0.3">
      <c r="C46"/>
      <c r="E46"/>
      <c r="F46"/>
      <c r="G46"/>
      <c r="H46"/>
      <c r="I46"/>
      <c r="J46"/>
      <c r="K46"/>
      <c r="L46"/>
      <c r="M46"/>
      <c r="N46"/>
    </row>
    <row r="47" spans="3:15" ht="15" customHeight="1" x14ac:dyDescent="0.3">
      <c r="C47"/>
      <c r="E47"/>
      <c r="F47"/>
      <c r="G47"/>
      <c r="H47"/>
      <c r="I47"/>
      <c r="J47"/>
      <c r="K47"/>
      <c r="L47"/>
      <c r="M47"/>
      <c r="N47"/>
      <c r="O47" s="107"/>
    </row>
    <row r="48" spans="3:15" ht="15" customHeight="1" x14ac:dyDescent="0.3">
      <c r="C48"/>
      <c r="E48"/>
      <c r="F48"/>
      <c r="G48"/>
      <c r="H48"/>
      <c r="I48"/>
      <c r="J48"/>
      <c r="K48"/>
      <c r="L48"/>
      <c r="M48"/>
      <c r="N48"/>
    </row>
    <row r="49" spans="3:14" ht="15" customHeight="1" x14ac:dyDescent="0.3">
      <c r="C49"/>
      <c r="E49"/>
      <c r="F49"/>
      <c r="G49"/>
      <c r="H49"/>
      <c r="I49"/>
      <c r="J49"/>
      <c r="K49"/>
      <c r="L49"/>
      <c r="M49"/>
      <c r="N49"/>
    </row>
    <row r="50" spans="3:14" ht="15" customHeight="1" x14ac:dyDescent="0.3">
      <c r="C50"/>
      <c r="E50"/>
      <c r="F50"/>
      <c r="G50"/>
      <c r="H50"/>
      <c r="I50"/>
      <c r="J50"/>
      <c r="K50"/>
      <c r="L50"/>
      <c r="M50"/>
      <c r="N50"/>
    </row>
    <row r="51" spans="3:14" ht="15" customHeight="1" x14ac:dyDescent="0.3">
      <c r="C51"/>
      <c r="E51"/>
      <c r="F51"/>
      <c r="G51"/>
      <c r="H51"/>
      <c r="I51"/>
      <c r="J51"/>
      <c r="K51"/>
      <c r="L51"/>
      <c r="M51"/>
      <c r="N51"/>
    </row>
    <row r="52" spans="3:14" ht="15" customHeight="1" x14ac:dyDescent="0.3">
      <c r="C52"/>
      <c r="E52"/>
      <c r="F52"/>
      <c r="G52"/>
      <c r="H52"/>
      <c r="I52"/>
      <c r="J52"/>
      <c r="K52"/>
      <c r="L52"/>
      <c r="M52"/>
      <c r="N52"/>
    </row>
    <row r="53" spans="3:14" ht="15" customHeight="1" x14ac:dyDescent="0.3">
      <c r="C53"/>
      <c r="E53"/>
      <c r="F53"/>
      <c r="G53"/>
      <c r="H53"/>
      <c r="I53"/>
      <c r="J53"/>
      <c r="K53"/>
      <c r="L53"/>
      <c r="M53"/>
      <c r="N53"/>
    </row>
    <row r="54" spans="3:14" ht="15" customHeight="1" x14ac:dyDescent="0.3">
      <c r="C54"/>
      <c r="E54"/>
      <c r="F54"/>
      <c r="G54"/>
      <c r="H54"/>
      <c r="I54"/>
      <c r="J54"/>
      <c r="K54"/>
      <c r="L54"/>
      <c r="M54"/>
      <c r="N54"/>
    </row>
    <row r="55" spans="3:14" ht="15" customHeight="1" x14ac:dyDescent="0.3">
      <c r="C55"/>
      <c r="E55"/>
      <c r="F55"/>
      <c r="G55"/>
      <c r="H55"/>
      <c r="I55"/>
      <c r="J55"/>
      <c r="K55"/>
      <c r="L55"/>
      <c r="M55"/>
      <c r="N55"/>
    </row>
    <row r="56" spans="3:14" ht="15" customHeight="1" x14ac:dyDescent="0.3">
      <c r="C56"/>
      <c r="E56"/>
      <c r="F56"/>
      <c r="G56"/>
      <c r="H56"/>
      <c r="I56"/>
      <c r="J56"/>
      <c r="K56"/>
      <c r="L56"/>
      <c r="M56"/>
      <c r="N56"/>
    </row>
    <row r="57" spans="3:14" ht="15" customHeight="1" x14ac:dyDescent="0.3">
      <c r="C57"/>
      <c r="E57"/>
      <c r="F57"/>
      <c r="G57"/>
      <c r="H57"/>
      <c r="I57"/>
      <c r="J57"/>
      <c r="K57"/>
      <c r="L57"/>
      <c r="M57"/>
      <c r="N57"/>
    </row>
    <row r="58" spans="3:14" ht="15" customHeight="1" x14ac:dyDescent="0.3">
      <c r="C58" s="27"/>
    </row>
    <row r="59" spans="3:14" ht="15" customHeight="1" x14ac:dyDescent="0.3">
      <c r="C59" s="27"/>
    </row>
    <row r="60" spans="3:14" ht="15" customHeight="1" x14ac:dyDescent="0.3">
      <c r="C60" s="27"/>
    </row>
    <row r="61" spans="3:14" ht="15" customHeight="1" x14ac:dyDescent="0.3">
      <c r="C61" s="27"/>
    </row>
    <row r="62" spans="3:14" ht="15" customHeight="1" x14ac:dyDescent="0.3">
      <c r="C62" s="27"/>
    </row>
    <row r="63" spans="3:14" ht="15" customHeight="1" x14ac:dyDescent="0.3">
      <c r="C63" s="27"/>
    </row>
    <row r="64" spans="3:14" ht="15" customHeight="1" x14ac:dyDescent="0.3">
      <c r="C64" s="27"/>
    </row>
    <row r="65" spans="3:3" ht="15" customHeight="1" x14ac:dyDescent="0.3">
      <c r="C65" s="27"/>
    </row>
    <row r="66" spans="3:3" ht="15" customHeight="1" x14ac:dyDescent="0.3">
      <c r="C66" s="27"/>
    </row>
    <row r="67" spans="3:3" ht="15" customHeight="1" x14ac:dyDescent="0.3">
      <c r="C67" s="27"/>
    </row>
    <row r="68" spans="3:3" ht="15" customHeight="1" x14ac:dyDescent="0.3">
      <c r="C68" s="27"/>
    </row>
    <row r="69" spans="3:3" ht="15" customHeight="1" x14ac:dyDescent="0.3">
      <c r="C69" s="27"/>
    </row>
    <row r="70" spans="3:3" ht="15" customHeight="1" x14ac:dyDescent="0.3">
      <c r="C70" s="27"/>
    </row>
    <row r="71" spans="3:3" ht="15" customHeight="1" x14ac:dyDescent="0.3">
      <c r="C71" s="27"/>
    </row>
    <row r="72" spans="3:3" ht="15" customHeight="1" x14ac:dyDescent="0.3">
      <c r="C72" s="27"/>
    </row>
    <row r="73" spans="3:3" ht="15" customHeight="1" x14ac:dyDescent="0.3">
      <c r="C73" s="27"/>
    </row>
    <row r="74" spans="3:3" ht="15" customHeight="1" x14ac:dyDescent="0.3">
      <c r="C74" s="27"/>
    </row>
    <row r="75" spans="3:3" ht="15" customHeight="1" x14ac:dyDescent="0.3">
      <c r="C75" s="27"/>
    </row>
    <row r="76" spans="3:3" ht="15" customHeight="1" x14ac:dyDescent="0.3">
      <c r="C76" s="27"/>
    </row>
    <row r="77" spans="3:3" ht="15" customHeight="1" x14ac:dyDescent="0.3">
      <c r="C77" s="27"/>
    </row>
    <row r="78" spans="3:3" ht="15" customHeight="1" x14ac:dyDescent="0.3">
      <c r="C78" s="27"/>
    </row>
    <row r="79" spans="3:3" ht="15" customHeight="1" x14ac:dyDescent="0.3">
      <c r="C79" s="27"/>
    </row>
    <row r="80" spans="3:3" ht="15" customHeight="1" x14ac:dyDescent="0.3">
      <c r="C80" s="27"/>
    </row>
    <row r="81" spans="3:3" ht="15" customHeight="1" x14ac:dyDescent="0.3">
      <c r="C81" s="27"/>
    </row>
    <row r="82" spans="3:3" ht="15" customHeight="1" x14ac:dyDescent="0.3">
      <c r="C82" s="27"/>
    </row>
    <row r="83" spans="3:3" ht="15" customHeight="1" x14ac:dyDescent="0.3">
      <c r="C83" s="27"/>
    </row>
    <row r="84" spans="3:3" ht="15" customHeight="1" x14ac:dyDescent="0.3">
      <c r="C84" s="27"/>
    </row>
    <row r="85" spans="3:3" ht="15" customHeight="1" x14ac:dyDescent="0.3">
      <c r="C85" s="27"/>
    </row>
    <row r="86" spans="3:3" ht="15" customHeight="1" x14ac:dyDescent="0.3">
      <c r="C86" s="27"/>
    </row>
    <row r="87" spans="3:3" ht="15" customHeight="1" x14ac:dyDescent="0.3">
      <c r="C87" s="27"/>
    </row>
    <row r="88" spans="3:3" ht="15" customHeight="1" x14ac:dyDescent="0.3">
      <c r="C88" s="27"/>
    </row>
    <row r="89" spans="3:3" ht="15" customHeight="1" x14ac:dyDescent="0.3">
      <c r="C89" s="27"/>
    </row>
    <row r="90" spans="3:3" ht="15" customHeight="1" x14ac:dyDescent="0.3">
      <c r="C90" s="27"/>
    </row>
    <row r="91" spans="3:3" ht="15" customHeight="1" x14ac:dyDescent="0.3">
      <c r="C91" s="27"/>
    </row>
    <row r="92" spans="3:3" ht="15" customHeight="1" x14ac:dyDescent="0.3">
      <c r="C92" s="27"/>
    </row>
    <row r="93" spans="3:3" ht="15" customHeight="1" x14ac:dyDescent="0.3">
      <c r="C93" s="27"/>
    </row>
    <row r="94" spans="3:3" ht="15" customHeight="1" x14ac:dyDescent="0.3">
      <c r="C94" s="27"/>
    </row>
    <row r="95" spans="3:3" ht="15" customHeight="1" x14ac:dyDescent="0.3">
      <c r="C95" s="27"/>
    </row>
    <row r="96" spans="3:3" ht="15" customHeight="1" x14ac:dyDescent="0.3">
      <c r="C96" s="27"/>
    </row>
    <row r="97" spans="3:3" ht="15" customHeight="1" x14ac:dyDescent="0.3">
      <c r="C97" s="27"/>
    </row>
    <row r="98" spans="3:3" ht="15" customHeight="1" x14ac:dyDescent="0.3">
      <c r="C98" s="27"/>
    </row>
    <row r="99" spans="3:3" ht="15" customHeight="1" x14ac:dyDescent="0.3">
      <c r="C99" s="27"/>
    </row>
    <row r="100" spans="3:3" ht="15" customHeight="1" x14ac:dyDescent="0.3">
      <c r="C100" s="27"/>
    </row>
    <row r="101" spans="3:3" ht="15" customHeight="1" x14ac:dyDescent="0.3">
      <c r="C101" s="27"/>
    </row>
    <row r="102" spans="3:3" ht="15" customHeight="1" x14ac:dyDescent="0.3">
      <c r="C102" s="27"/>
    </row>
    <row r="103" spans="3:3" ht="15" customHeight="1" x14ac:dyDescent="0.3">
      <c r="C103" s="27"/>
    </row>
    <row r="104" spans="3:3" ht="15" customHeight="1" x14ac:dyDescent="0.3">
      <c r="C104" s="27"/>
    </row>
    <row r="105" spans="3:3" ht="15" customHeight="1" x14ac:dyDescent="0.3">
      <c r="C105" s="27"/>
    </row>
    <row r="106" spans="3:3" ht="15" customHeight="1" x14ac:dyDescent="0.3">
      <c r="C106" s="27"/>
    </row>
    <row r="107" spans="3:3" ht="15" customHeight="1" x14ac:dyDescent="0.3">
      <c r="C107" s="27"/>
    </row>
    <row r="108" spans="3:3" ht="15" customHeight="1" x14ac:dyDescent="0.3">
      <c r="C108" s="27"/>
    </row>
    <row r="109" spans="3:3" ht="15" customHeight="1" x14ac:dyDescent="0.3">
      <c r="C109" s="27"/>
    </row>
    <row r="110" spans="3:3" ht="15" customHeight="1" x14ac:dyDescent="0.3">
      <c r="C110" s="27"/>
    </row>
    <row r="111" spans="3:3" ht="15" customHeight="1" x14ac:dyDescent="0.3">
      <c r="C111" s="27"/>
    </row>
    <row r="112" spans="3:3" ht="15" customHeight="1" x14ac:dyDescent="0.3">
      <c r="C112" s="27"/>
    </row>
    <row r="113" spans="3:3" ht="15" customHeight="1" x14ac:dyDescent="0.3">
      <c r="C113" s="27"/>
    </row>
    <row r="114" spans="3:3" ht="15" customHeight="1" x14ac:dyDescent="0.3">
      <c r="C114" s="27"/>
    </row>
    <row r="115" spans="3:3" ht="15" customHeight="1" x14ac:dyDescent="0.3">
      <c r="C115" s="27"/>
    </row>
    <row r="116" spans="3:3" ht="15" customHeight="1" x14ac:dyDescent="0.3">
      <c r="C116" s="27"/>
    </row>
    <row r="117" spans="3:3" ht="15" customHeight="1" x14ac:dyDescent="0.3">
      <c r="C117" s="27"/>
    </row>
    <row r="118" spans="3:3" ht="15" customHeight="1" x14ac:dyDescent="0.3">
      <c r="C118" s="27"/>
    </row>
    <row r="119" spans="3:3" ht="15" customHeight="1" x14ac:dyDescent="0.3">
      <c r="C119" s="27"/>
    </row>
    <row r="120" spans="3:3" ht="15" customHeight="1" x14ac:dyDescent="0.3">
      <c r="C120" s="27"/>
    </row>
    <row r="121" spans="3:3" ht="15" customHeight="1" x14ac:dyDescent="0.3">
      <c r="C121" s="2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82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37"/>
  <sheetViews>
    <sheetView showGridLines="0" zoomScale="64" zoomScaleNormal="100" workbookViewId="0">
      <selection activeCell="I14" sqref="I14"/>
    </sheetView>
  </sheetViews>
  <sheetFormatPr baseColWidth="10" defaultRowHeight="14.4" x14ac:dyDescent="0.3"/>
  <cols>
    <col min="1" max="1" width="1.44140625" style="163" customWidth="1"/>
    <col min="2" max="2" width="42.5546875" style="12" customWidth="1"/>
    <col min="3" max="3" width="13" bestFit="1" customWidth="1"/>
    <col min="4" max="4" width="12.109375" style="14" customWidth="1"/>
    <col min="5" max="5" width="12.77734375" style="14" customWidth="1"/>
    <col min="6" max="6" width="10.44140625" style="14" customWidth="1"/>
    <col min="7" max="7" width="16.6640625" style="14" customWidth="1"/>
    <col min="8" max="8" width="42.5546875" style="14" customWidth="1"/>
    <col min="9" max="9" width="13.33203125" style="14" customWidth="1"/>
    <col min="10" max="13" width="11" style="14" customWidth="1"/>
    <col min="14" max="14" width="11.44140625" style="328" customWidth="1"/>
  </cols>
  <sheetData>
    <row r="1" spans="1:14" ht="54.9" customHeight="1" x14ac:dyDescent="0.6">
      <c r="A1" s="223"/>
      <c r="B1" s="177" t="s">
        <v>100</v>
      </c>
      <c r="C1" s="223"/>
      <c r="D1" s="223" t="s">
        <v>651</v>
      </c>
      <c r="E1" s="223"/>
      <c r="F1" s="223"/>
      <c r="G1" s="223"/>
      <c r="H1" s="223"/>
      <c r="I1" s="223"/>
      <c r="J1" s="274"/>
      <c r="K1" s="274"/>
      <c r="L1" s="274"/>
      <c r="M1" s="274"/>
      <c r="N1" s="274"/>
    </row>
    <row r="2" spans="1:14" ht="15" customHeight="1" x14ac:dyDescent="0.3">
      <c r="A2" s="224" t="s">
        <v>652</v>
      </c>
      <c r="B2" s="224"/>
      <c r="C2" s="224"/>
      <c r="D2" s="224"/>
      <c r="E2" s="224"/>
      <c r="F2" s="224"/>
      <c r="G2" s="224"/>
      <c r="H2" s="327"/>
      <c r="I2" s="327"/>
      <c r="J2" s="327"/>
      <c r="K2" s="327"/>
      <c r="L2" s="327"/>
      <c r="M2" s="327"/>
      <c r="N2" s="327"/>
    </row>
    <row r="3" spans="1:14" ht="18" customHeight="1" x14ac:dyDescent="0.35">
      <c r="A3" s="225"/>
      <c r="B3" s="225"/>
      <c r="C3" s="225"/>
      <c r="D3" s="225"/>
      <c r="E3" s="225"/>
      <c r="F3" s="225"/>
      <c r="G3" s="225"/>
      <c r="H3" s="175"/>
      <c r="I3" s="175"/>
      <c r="J3" s="175"/>
      <c r="K3" s="175"/>
      <c r="L3" s="175"/>
      <c r="M3" s="175"/>
      <c r="N3" s="175"/>
    </row>
    <row r="4" spans="1:14" ht="15" customHeight="1" x14ac:dyDescent="0.5">
      <c r="A4" s="29" t="s">
        <v>142</v>
      </c>
      <c r="B4" s="25"/>
      <c r="C4" s="16"/>
      <c r="D4" s="16"/>
      <c r="E4" s="16"/>
      <c r="F4" s="16"/>
      <c r="G4" s="16"/>
      <c r="H4" s="16"/>
      <c r="I4" s="16"/>
      <c r="J4" s="51"/>
      <c r="K4" s="51"/>
      <c r="L4" s="55"/>
      <c r="M4" s="54"/>
      <c r="N4" s="51"/>
    </row>
    <row r="5" spans="1:14" ht="15" customHeight="1" x14ac:dyDescent="0.35">
      <c r="A5" s="28"/>
      <c r="B5" s="313" t="s">
        <v>143</v>
      </c>
      <c r="C5" s="17" t="s">
        <v>653</v>
      </c>
      <c r="D5" s="42" t="s">
        <v>654</v>
      </c>
      <c r="E5" s="42" t="s">
        <v>655</v>
      </c>
      <c r="F5" s="42" t="s">
        <v>656</v>
      </c>
      <c r="G5"/>
      <c r="H5"/>
      <c r="I5"/>
      <c r="J5"/>
      <c r="K5"/>
      <c r="L5"/>
      <c r="M5"/>
      <c r="N5"/>
    </row>
    <row r="6" spans="1:14" ht="15" customHeight="1" x14ac:dyDescent="0.35">
      <c r="A6" s="196"/>
      <c r="B6" s="297" t="s">
        <v>657</v>
      </c>
      <c r="C6" s="315">
        <f>IFERROR((INPUT!H21-INPUT!H20)/INPUT!H44,"-")</f>
        <v>0.50186796712102155</v>
      </c>
      <c r="D6" s="315">
        <v>2.4E-2</v>
      </c>
      <c r="E6" s="315">
        <v>2.8000000000000001E-2</v>
      </c>
      <c r="F6" s="315">
        <v>3.2000000000000001E-2</v>
      </c>
      <c r="G6" s="314"/>
      <c r="H6" s="297"/>
      <c r="I6" s="297"/>
      <c r="J6" s="297"/>
      <c r="K6" s="297"/>
      <c r="L6" s="297"/>
      <c r="M6" s="297"/>
      <c r="N6"/>
    </row>
    <row r="7" spans="1:14" ht="18" customHeight="1" x14ac:dyDescent="0.35">
      <c r="A7" s="184"/>
      <c r="B7" s="297" t="s">
        <v>658</v>
      </c>
      <c r="C7" s="316">
        <f>IFERROR((INPUT!H10+INPUT!H17*0)/(INPUT!H9-INPUT!H20),"-")</f>
        <v>-0.27787091815760784</v>
      </c>
      <c r="D7" s="316">
        <v>0.65</v>
      </c>
      <c r="E7" s="316">
        <v>0.6</v>
      </c>
      <c r="F7" s="316">
        <v>0.54</v>
      </c>
      <c r="G7" s="314"/>
      <c r="H7" s="297"/>
      <c r="I7" s="297"/>
      <c r="J7" s="297"/>
      <c r="K7" s="297"/>
      <c r="L7" s="297"/>
      <c r="M7" s="297"/>
      <c r="N7"/>
    </row>
    <row r="8" spans="1:14" ht="15" customHeight="1" x14ac:dyDescent="0.35">
      <c r="A8" s="196"/>
      <c r="B8" s="297" t="s">
        <v>659</v>
      </c>
      <c r="C8" s="315">
        <f>IFERROR(INPUT!H20/INPUT!H44,"-")</f>
        <v>-0.16869948820458031</v>
      </c>
      <c r="D8" s="315">
        <v>1.2E-2</v>
      </c>
      <c r="E8" s="315">
        <v>7.0000000000000001E-3</v>
      </c>
      <c r="F8" s="315">
        <v>4.0000000000000001E-3</v>
      </c>
      <c r="G8" s="314"/>
      <c r="H8" s="297"/>
      <c r="I8" s="297"/>
      <c r="J8" s="297"/>
      <c r="K8" s="297"/>
      <c r="L8" s="297"/>
      <c r="M8" s="297"/>
      <c r="N8"/>
    </row>
    <row r="9" spans="1:14" ht="15" customHeight="1" x14ac:dyDescent="0.35">
      <c r="A9" s="184"/>
      <c r="B9" s="297" t="s">
        <v>660</v>
      </c>
      <c r="C9" s="316">
        <v>0.05</v>
      </c>
      <c r="D9" s="316">
        <v>-0.02</v>
      </c>
      <c r="E9" s="316">
        <v>0.05</v>
      </c>
      <c r="F9" s="316">
        <v>0.09</v>
      </c>
      <c r="G9" s="314"/>
      <c r="H9" s="297"/>
      <c r="I9" s="297"/>
      <c r="J9" s="297"/>
      <c r="K9" s="297"/>
      <c r="L9" s="297"/>
      <c r="M9" s="297"/>
      <c r="N9"/>
    </row>
    <row r="10" spans="1:14" ht="15" customHeight="1" x14ac:dyDescent="0.35">
      <c r="A10" s="196"/>
      <c r="B10" s="297" t="s">
        <v>661</v>
      </c>
      <c r="C10" s="316">
        <f>IFERROR(INPUT!H60/INPUT!H44,"-")</f>
        <v>0.91557788078785474</v>
      </c>
      <c r="D10" s="316">
        <v>0.13</v>
      </c>
      <c r="E10" s="316">
        <v>0.15</v>
      </c>
      <c r="F10" s="316">
        <v>0.16500000000000001</v>
      </c>
      <c r="G10" s="314"/>
      <c r="H10" s="297"/>
      <c r="I10" s="297"/>
      <c r="J10" s="297"/>
      <c r="K10" s="297"/>
      <c r="L10" s="297"/>
      <c r="M10" s="297"/>
      <c r="N10"/>
    </row>
    <row r="11" spans="1:14" ht="15" customHeight="1" x14ac:dyDescent="0.35">
      <c r="A11" s="184"/>
      <c r="B11" s="297" t="s">
        <v>110</v>
      </c>
      <c r="C11" s="316">
        <f>IFERROR(ABS(INPUT!H29)/INPUT!H26,"-")</f>
        <v>0.30359322294511659</v>
      </c>
      <c r="D11" s="316">
        <v>0.25</v>
      </c>
      <c r="E11" s="316">
        <v>0.3</v>
      </c>
      <c r="F11" s="316">
        <v>0.4</v>
      </c>
      <c r="G11" s="314"/>
      <c r="H11" s="297"/>
      <c r="I11" s="297"/>
      <c r="J11" s="297"/>
      <c r="K11" s="297"/>
      <c r="L11" s="297"/>
      <c r="M11" s="297"/>
      <c r="N11"/>
    </row>
    <row r="12" spans="1:14" ht="15" customHeight="1" x14ac:dyDescent="0.35">
      <c r="A12" s="196"/>
      <c r="B12" s="297" t="s">
        <v>500</v>
      </c>
      <c r="C12" s="315">
        <f>'BANK VALUATION'!D10</f>
        <v>2.5000000000000001E-2</v>
      </c>
      <c r="D12" s="315">
        <v>1.4999999999999999E-2</v>
      </c>
      <c r="E12" s="315">
        <v>2.5000000000000001E-2</v>
      </c>
      <c r="F12" s="315">
        <v>3.5000000000000003E-2</v>
      </c>
      <c r="G12" s="314"/>
      <c r="H12" s="297"/>
      <c r="I12" s="297"/>
      <c r="J12" s="297"/>
      <c r="K12" s="297"/>
      <c r="L12" s="297"/>
      <c r="M12" s="297"/>
      <c r="N12"/>
    </row>
    <row r="13" spans="1:14" ht="15" customHeight="1" x14ac:dyDescent="0.35">
      <c r="A13" s="184"/>
      <c r="B13" s="184" t="s">
        <v>525</v>
      </c>
      <c r="C13" s="315">
        <f>'BANK VALUATION'!D9</f>
        <v>0.10630000000000001</v>
      </c>
      <c r="D13" s="315">
        <v>0.115</v>
      </c>
      <c r="E13" s="315">
        <v>0.106</v>
      </c>
      <c r="F13" s="315">
        <v>9.5000000000000001E-2</v>
      </c>
      <c r="G13" s="180"/>
      <c r="H13" s="297"/>
      <c r="I13" s="297"/>
      <c r="J13" s="297"/>
      <c r="K13" s="297"/>
      <c r="L13" s="297"/>
      <c r="M13" s="297"/>
      <c r="N13"/>
    </row>
    <row r="14" spans="1:14" ht="15" customHeight="1" x14ac:dyDescent="0.35">
      <c r="A14" s="225"/>
      <c r="B14" s="225"/>
      <c r="C14" s="225"/>
      <c r="D14" s="225"/>
      <c r="E14" s="225"/>
      <c r="F14" s="225"/>
      <c r="G14" s="225"/>
      <c r="H14" s="175"/>
      <c r="I14" s="175"/>
      <c r="J14" s="175"/>
      <c r="K14" s="175"/>
      <c r="L14" s="175"/>
      <c r="M14" s="175"/>
      <c r="N14" s="175"/>
    </row>
    <row r="15" spans="1:14" ht="18" customHeight="1" x14ac:dyDescent="0.5">
      <c r="A15" s="29" t="s">
        <v>662</v>
      </c>
      <c r="B15" s="25"/>
      <c r="C15" s="16"/>
      <c r="D15" s="16"/>
      <c r="E15" s="16"/>
      <c r="F15" s="16"/>
      <c r="G15" s="16"/>
      <c r="H15" s="16"/>
      <c r="I15" s="16"/>
      <c r="J15" s="51"/>
      <c r="K15" s="51"/>
      <c r="L15" s="55"/>
      <c r="M15" s="54"/>
      <c r="N15" s="51"/>
    </row>
    <row r="16" spans="1:14" ht="15" customHeight="1" x14ac:dyDescent="0.35">
      <c r="A16" s="28"/>
      <c r="B16" s="313" t="s">
        <v>2</v>
      </c>
      <c r="C16" s="17" t="s">
        <v>663</v>
      </c>
      <c r="D16" s="42" t="s">
        <v>654</v>
      </c>
      <c r="E16" s="42" t="s">
        <v>655</v>
      </c>
      <c r="F16" s="42" t="s">
        <v>656</v>
      </c>
      <c r="G16"/>
      <c r="H16"/>
      <c r="I16"/>
      <c r="J16"/>
      <c r="K16"/>
      <c r="L16"/>
      <c r="M16"/>
      <c r="N16"/>
    </row>
    <row r="17" spans="1:14" ht="15" customHeight="1" x14ac:dyDescent="0.35">
      <c r="A17" s="184"/>
      <c r="B17" s="297" t="s">
        <v>664</v>
      </c>
      <c r="C17" s="317">
        <f>IFERROR((INPUT!H21-INPUT!H20),"—")</f>
        <v>291239</v>
      </c>
      <c r="D17" s="317">
        <f>IFERROR(D6*INPUT!H44*(1+D9),"—")</f>
        <v>13648.8912</v>
      </c>
      <c r="E17" s="317">
        <f>IFERROR(E6*INPUT!H44*(1+E9),"—")</f>
        <v>17061.114000000001</v>
      </c>
      <c r="F17" s="317">
        <f>IFERROR(F6*INPUT!H44*(1+F9),"—")</f>
        <v>20241.212800000005</v>
      </c>
      <c r="G17" s="297"/>
      <c r="H17" s="297"/>
      <c r="I17" s="297"/>
      <c r="J17" s="297"/>
      <c r="K17" s="297"/>
      <c r="L17" s="297"/>
      <c r="M17" s="297"/>
      <c r="N17"/>
    </row>
    <row r="18" spans="1:14" ht="15" customHeight="1" x14ac:dyDescent="0.35">
      <c r="A18" s="196"/>
      <c r="B18" s="297" t="s">
        <v>665</v>
      </c>
      <c r="C18" s="317">
        <f>IFERROR(INPUT!H26,"—")</f>
        <v>104057</v>
      </c>
      <c r="D18" s="317">
        <f>IFERROR(INPUT!H26*(D6/E6)*((1-D7)/(1-E7)),"—")</f>
        <v>78042.749999999985</v>
      </c>
      <c r="E18" s="317">
        <f>IFERROR(INPUT!H26*(E6/E6)*((1-E7)/(1-E7)),"—")</f>
        <v>104057</v>
      </c>
      <c r="F18" s="317">
        <f>IFERROR(INPUT!H26*(F6/E6)*((1-F7)/(1-E7)),"—")</f>
        <v>136760.62857142856</v>
      </c>
      <c r="G18" s="297"/>
      <c r="H18" s="297"/>
      <c r="I18" s="297"/>
      <c r="J18" s="297"/>
      <c r="K18" s="297"/>
      <c r="L18" s="297"/>
      <c r="M18" s="297"/>
      <c r="N18"/>
    </row>
    <row r="19" spans="1:14" ht="15" customHeight="1" x14ac:dyDescent="0.35">
      <c r="A19" s="184"/>
      <c r="B19" s="297" t="s">
        <v>666</v>
      </c>
      <c r="C19" s="318">
        <f>IFERROR(INPUT!H26/INPUT!H96,"—")</f>
        <v>38.834484045530886</v>
      </c>
      <c r="D19" s="318">
        <f>IFERROR(D18/INPUT!H96,"—")</f>
        <v>29.125863034148157</v>
      </c>
      <c r="E19" s="318">
        <f>IFERROR(E18/INPUT!H96,"—")</f>
        <v>38.834484045530886</v>
      </c>
      <c r="F19" s="318">
        <f>IFERROR(F18/INPUT!H96,"—")</f>
        <v>51.039607602697728</v>
      </c>
      <c r="G19" s="297"/>
      <c r="H19" s="297"/>
      <c r="I19" s="297"/>
      <c r="J19" s="297"/>
      <c r="K19" s="297"/>
      <c r="L19" s="297"/>
      <c r="M19" s="297"/>
      <c r="N19"/>
    </row>
    <row r="20" spans="1:14" ht="15" customHeight="1" x14ac:dyDescent="0.35">
      <c r="A20" s="196"/>
      <c r="B20" s="297" t="s">
        <v>667</v>
      </c>
      <c r="C20" s="318">
        <f>IFERROR(ABS(INPUT!H29)/INPUT!H96,"—")</f>
        <v>11.789886172793432</v>
      </c>
      <c r="D20" s="318">
        <f>IFERROR('BANK VALUATION'!D13*(D6/E6)*((1-D7)/(1-E7))*D11/'BANK VALUATION'!D12,"—")</f>
        <v>7.2814657585370401</v>
      </c>
      <c r="E20" s="318">
        <f>IFERROR('BANK VALUATION'!D13*(E6/E6)*((1-E7)/(1-E7))*E11/'BANK VALUATION'!D12,"—")</f>
        <v>11.650345213659266</v>
      </c>
      <c r="F20" s="318">
        <f>IFERROR('BANK VALUATION'!D13*(F6/E6)*((1-F7)/(1-E7))*F11/'BANK VALUATION'!D12,"—")</f>
        <v>20.415843041079096</v>
      </c>
      <c r="G20" s="297"/>
      <c r="H20" s="297"/>
      <c r="I20" s="297"/>
      <c r="J20" s="297"/>
      <c r="K20" s="297"/>
      <c r="L20" s="297"/>
      <c r="M20" s="297"/>
      <c r="N20"/>
    </row>
    <row r="21" spans="1:14" ht="15" customHeight="1" x14ac:dyDescent="0.35">
      <c r="A21" s="184"/>
      <c r="B21" s="297" t="s">
        <v>107</v>
      </c>
      <c r="C21" s="316">
        <f>IFERROR(INPUT!H26/INPUT!H60,"—")</f>
        <v>0.19584656298758374</v>
      </c>
      <c r="D21" s="316">
        <f>IFERROR(D18/INPUT!H60,"—")</f>
        <v>0.14688492224068778</v>
      </c>
      <c r="E21" s="316">
        <f>IFERROR(E18/INPUT!H60,"—")</f>
        <v>0.19584656298758374</v>
      </c>
      <c r="F21" s="316">
        <f>IFERROR(F18/INPUT!H60,"—")</f>
        <v>0.2573983399265386</v>
      </c>
      <c r="G21" s="297"/>
      <c r="H21" s="297"/>
      <c r="I21" s="297"/>
      <c r="J21" s="297"/>
      <c r="K21" s="297"/>
      <c r="L21" s="297"/>
      <c r="M21" s="297"/>
      <c r="N21"/>
    </row>
    <row r="22" spans="1:14" ht="15" customHeight="1" x14ac:dyDescent="0.35">
      <c r="A22" s="226"/>
      <c r="B22" s="310" t="s">
        <v>521</v>
      </c>
      <c r="C22" s="319">
        <f>IFERROR('BANK VALUATION'!D18,"—")</f>
        <v>148.64247634825665</v>
      </c>
      <c r="D22" s="320">
        <f>IFERROR((D20*(1+D12))/(D13-D12),"ke≤g")</f>
        <v>73.90687744915094</v>
      </c>
      <c r="E22" s="321">
        <f>IFERROR((E20*(1+E12))/(E13-E12),"ke≤g")</f>
        <v>147.42720795062652</v>
      </c>
      <c r="F22" s="322">
        <f>IFERROR((F20*(1+F12))/(F13-F12),"ke≤g")</f>
        <v>352.17329245861441</v>
      </c>
      <c r="G22" s="310"/>
      <c r="H22" s="310"/>
      <c r="I22" s="310"/>
      <c r="J22" s="310"/>
      <c r="K22" s="310"/>
      <c r="L22" s="310"/>
      <c r="M22" s="310"/>
      <c r="N22"/>
    </row>
    <row r="23" spans="1:14" ht="15" customHeight="1" x14ac:dyDescent="0.35">
      <c r="A23" s="184"/>
      <c r="B23" s="297" t="s">
        <v>528</v>
      </c>
      <c r="C23" s="318">
        <f>INPUT!H95</f>
        <v>311.12</v>
      </c>
      <c r="D23" s="318">
        <f>INPUT!H95</f>
        <v>311.12</v>
      </c>
      <c r="E23" s="318">
        <f>INPUT!H95</f>
        <v>311.12</v>
      </c>
      <c r="F23" s="318">
        <f>INPUT!H95</f>
        <v>311.12</v>
      </c>
      <c r="G23" s="297"/>
      <c r="H23" s="297"/>
      <c r="I23" s="297"/>
      <c r="J23" s="297"/>
      <c r="K23" s="297"/>
      <c r="L23" s="297"/>
      <c r="M23" s="297"/>
      <c r="N23"/>
    </row>
    <row r="24" spans="1:14" ht="18" customHeight="1" x14ac:dyDescent="0.35">
      <c r="A24" s="226"/>
      <c r="B24" s="310" t="s">
        <v>134</v>
      </c>
      <c r="C24" s="323">
        <f>IFERROR((C22-C23)/C23,"N/A")</f>
        <v>-0.52223426218739832</v>
      </c>
      <c r="D24" s="324">
        <f>IFERROR((D22-D23)/D23,"N/A")</f>
        <v>-0.76244896680010621</v>
      </c>
      <c r="E24" s="325">
        <f>IFERROR((E22-E23)/E23,"N/A")</f>
        <v>-0.52614037043383088</v>
      </c>
      <c r="F24" s="326">
        <f>IFERROR((F22-F23)/F23,"N/A")</f>
        <v>0.13195324138150683</v>
      </c>
      <c r="G24" s="310"/>
      <c r="H24" s="310"/>
      <c r="I24" s="310"/>
      <c r="J24" s="310"/>
      <c r="K24" s="310"/>
      <c r="L24" s="310"/>
      <c r="M24" s="310"/>
      <c r="N24"/>
    </row>
    <row r="25" spans="1:14" ht="21" customHeight="1" x14ac:dyDescent="0.3">
      <c r="A25"/>
      <c r="B25"/>
      <c r="D25"/>
      <c r="H25"/>
      <c r="I25"/>
      <c r="J25"/>
      <c r="K25"/>
      <c r="L25"/>
      <c r="M25"/>
      <c r="N25"/>
    </row>
    <row r="26" spans="1:14" ht="15" customHeight="1" x14ac:dyDescent="0.35">
      <c r="A26" s="225"/>
      <c r="B26" s="225"/>
      <c r="C26" s="225"/>
      <c r="D26" s="230" t="s">
        <v>668</v>
      </c>
      <c r="E26" s="231" t="s">
        <v>669</v>
      </c>
      <c r="F26" s="232" t="s">
        <v>670</v>
      </c>
      <c r="G26" s="225"/>
      <c r="H26" s="175"/>
      <c r="I26" s="175"/>
      <c r="J26" s="175"/>
      <c r="K26" s="175"/>
      <c r="L26" s="175"/>
      <c r="M26" s="175"/>
      <c r="N26" s="175"/>
    </row>
    <row r="27" spans="1:14" ht="15" customHeight="1" x14ac:dyDescent="0.35">
      <c r="A27" s="225"/>
      <c r="B27" s="225"/>
      <c r="C27" s="225"/>
      <c r="D27" s="359"/>
      <c r="E27" s="360"/>
      <c r="F27" s="361"/>
      <c r="G27" s="225"/>
      <c r="H27" s="175"/>
      <c r="I27" s="175"/>
      <c r="J27" s="175"/>
      <c r="K27" s="175"/>
      <c r="L27" s="175"/>
      <c r="M27" s="175"/>
      <c r="N27" s="175"/>
    </row>
    <row r="28" spans="1:14" ht="15" customHeight="1" x14ac:dyDescent="0.35">
      <c r="A28" s="225"/>
      <c r="B28" s="225"/>
      <c r="C28" s="225"/>
      <c r="D28" s="359"/>
      <c r="E28" s="360"/>
      <c r="F28" s="361"/>
      <c r="G28" s="225"/>
      <c r="H28" s="175"/>
      <c r="I28" s="175"/>
      <c r="J28" s="175"/>
      <c r="K28" s="175"/>
      <c r="L28" s="175"/>
      <c r="M28" s="175"/>
      <c r="N28" s="175"/>
    </row>
    <row r="29" spans="1:14" ht="15" customHeight="1" x14ac:dyDescent="0.35">
      <c r="A29" s="225"/>
      <c r="B29" s="225"/>
      <c r="C29" s="225"/>
      <c r="D29" s="359"/>
      <c r="E29" s="360"/>
      <c r="F29" s="361"/>
      <c r="G29" s="225"/>
      <c r="H29" s="175"/>
      <c r="I29" s="175"/>
      <c r="J29" s="175"/>
      <c r="K29" s="175"/>
      <c r="L29" s="175"/>
      <c r="M29" s="175"/>
      <c r="N29" s="175"/>
    </row>
    <row r="30" spans="1:14" ht="15" customHeight="1" x14ac:dyDescent="0.35">
      <c r="A30" s="225"/>
      <c r="B30" s="225"/>
      <c r="C30" s="225"/>
      <c r="D30" s="359"/>
      <c r="E30" s="360"/>
      <c r="F30" s="361"/>
      <c r="G30" s="225"/>
      <c r="H30" s="175"/>
      <c r="I30" s="175"/>
      <c r="J30" s="175"/>
      <c r="K30" s="175"/>
      <c r="L30" s="175"/>
      <c r="M30" s="175"/>
      <c r="N30" s="175"/>
    </row>
    <row r="31" spans="1:14" ht="15" customHeight="1" x14ac:dyDescent="0.35">
      <c r="A31" s="225"/>
      <c r="B31" s="225"/>
      <c r="C31" s="225"/>
      <c r="D31" s="359"/>
      <c r="E31" s="360"/>
      <c r="F31" s="361"/>
      <c r="G31" s="225"/>
      <c r="H31" s="175"/>
      <c r="I31" s="175"/>
      <c r="J31" s="175"/>
      <c r="K31" s="175"/>
      <c r="L31" s="175"/>
      <c r="M31" s="175"/>
      <c r="N31" s="175"/>
    </row>
    <row r="32" spans="1:14" ht="15" customHeight="1" x14ac:dyDescent="0.35">
      <c r="A32" s="225"/>
      <c r="B32" s="225"/>
      <c r="C32" s="225"/>
      <c r="D32" s="359"/>
      <c r="E32" s="360"/>
      <c r="F32" s="361"/>
      <c r="G32" s="225"/>
      <c r="H32" s="175"/>
      <c r="I32" s="175"/>
      <c r="J32" s="175"/>
      <c r="K32" s="175"/>
      <c r="L32" s="175"/>
      <c r="M32" s="175"/>
      <c r="N32" s="175"/>
    </row>
    <row r="33" spans="1:14" ht="15" customHeight="1" x14ac:dyDescent="0.35">
      <c r="A33" s="225"/>
      <c r="B33" s="225"/>
      <c r="C33" s="225"/>
      <c r="D33" s="359"/>
      <c r="E33" s="360"/>
      <c r="F33" s="361"/>
      <c r="G33" s="225"/>
      <c r="H33" s="175"/>
      <c r="I33" s="175"/>
      <c r="J33" s="175"/>
      <c r="K33" s="175"/>
      <c r="L33" s="175"/>
      <c r="M33" s="175"/>
      <c r="N33" s="175"/>
    </row>
    <row r="34" spans="1:14" ht="15" customHeight="1" x14ac:dyDescent="0.35">
      <c r="A34" s="225"/>
      <c r="B34" s="225"/>
      <c r="C34" s="225"/>
      <c r="D34" s="359"/>
      <c r="E34" s="360"/>
      <c r="F34" s="361"/>
      <c r="G34" s="225"/>
      <c r="H34" s="175"/>
      <c r="I34" s="175"/>
      <c r="J34" s="175"/>
      <c r="K34" s="175"/>
      <c r="L34" s="175"/>
      <c r="M34" s="175"/>
      <c r="N34" s="175"/>
    </row>
    <row r="35" spans="1:14" ht="15" customHeight="1" x14ac:dyDescent="0.35">
      <c r="A35" s="225"/>
      <c r="B35" s="225"/>
      <c r="C35" s="225"/>
      <c r="D35" s="359"/>
      <c r="E35" s="360"/>
      <c r="F35" s="361"/>
      <c r="G35" s="225"/>
      <c r="H35" s="175"/>
      <c r="I35" s="175"/>
      <c r="J35" s="175"/>
      <c r="K35" s="175"/>
      <c r="L35" s="175"/>
      <c r="M35" s="175"/>
      <c r="N35" s="175"/>
    </row>
    <row r="36" spans="1:14" ht="15" customHeight="1" x14ac:dyDescent="0.35">
      <c r="A36" s="225"/>
      <c r="B36" s="225"/>
      <c r="C36" s="225"/>
      <c r="D36" s="359"/>
      <c r="E36" s="360"/>
      <c r="F36" s="361"/>
      <c r="G36" s="225"/>
      <c r="H36" s="175"/>
      <c r="I36" s="175"/>
      <c r="J36" s="175"/>
      <c r="K36" s="175"/>
      <c r="L36" s="175"/>
      <c r="M36" s="175"/>
      <c r="N36" s="175"/>
    </row>
    <row r="37" spans="1:14" ht="15" customHeight="1" x14ac:dyDescent="0.35">
      <c r="A37" s="225"/>
      <c r="B37" s="225"/>
      <c r="C37" s="225"/>
      <c r="D37" s="359"/>
      <c r="E37" s="360"/>
      <c r="F37" s="361"/>
      <c r="G37" s="225"/>
      <c r="H37" s="175"/>
      <c r="I37" s="175"/>
      <c r="J37" s="175"/>
      <c r="K37" s="175"/>
      <c r="L37" s="175"/>
      <c r="M37" s="175"/>
      <c r="N37" s="175"/>
    </row>
    <row r="38" spans="1:14" ht="15" customHeight="1" x14ac:dyDescent="0.35">
      <c r="A38" s="225"/>
      <c r="B38" s="225"/>
      <c r="C38" s="225"/>
      <c r="D38" s="359"/>
      <c r="E38" s="360"/>
      <c r="F38" s="361"/>
      <c r="G38" s="225"/>
      <c r="H38" s="175"/>
      <c r="I38" s="175"/>
      <c r="J38" s="175"/>
      <c r="K38" s="175"/>
      <c r="L38" s="175"/>
      <c r="M38" s="175"/>
      <c r="N38" s="175"/>
    </row>
    <row r="39" spans="1:14" ht="15" customHeight="1" x14ac:dyDescent="0.35">
      <c r="A39" s="225"/>
      <c r="B39" s="225"/>
      <c r="C39" s="225"/>
      <c r="D39" s="359"/>
      <c r="E39" s="360"/>
      <c r="F39" s="361"/>
      <c r="G39" s="225"/>
      <c r="H39" s="175"/>
      <c r="I39" s="175"/>
      <c r="J39" s="175"/>
      <c r="K39" s="175"/>
      <c r="L39" s="175"/>
      <c r="M39" s="175"/>
      <c r="N39" s="175"/>
    </row>
    <row r="40" spans="1:14" ht="15" customHeight="1" x14ac:dyDescent="0.35">
      <c r="A40" s="225"/>
      <c r="B40" s="225"/>
      <c r="C40" s="225"/>
      <c r="D40" s="359"/>
      <c r="E40" s="360"/>
      <c r="F40" s="361"/>
      <c r="G40" s="225"/>
      <c r="H40" s="175"/>
      <c r="I40" s="175"/>
      <c r="J40" s="175"/>
      <c r="K40" s="175"/>
      <c r="L40" s="175"/>
      <c r="M40" s="175"/>
      <c r="N40" s="175"/>
    </row>
    <row r="41" spans="1:14" ht="15" customHeight="1" x14ac:dyDescent="0.35">
      <c r="A41" s="225"/>
      <c r="B41" s="225"/>
      <c r="C41" s="225"/>
      <c r="D41" s="359"/>
      <c r="E41" s="360"/>
      <c r="F41" s="361"/>
      <c r="G41" s="225"/>
      <c r="H41" s="175"/>
      <c r="I41" s="175"/>
      <c r="J41" s="175"/>
      <c r="K41" s="175"/>
      <c r="L41" s="175"/>
      <c r="M41" s="175"/>
      <c r="N41" s="175"/>
    </row>
    <row r="42" spans="1:14" ht="15" customHeight="1" x14ac:dyDescent="0.35">
      <c r="A42" s="225"/>
      <c r="B42" s="225"/>
      <c r="C42" s="225"/>
      <c r="D42" s="359"/>
      <c r="E42" s="360"/>
      <c r="F42" s="361"/>
      <c r="G42" s="225"/>
      <c r="H42" s="175"/>
      <c r="I42" s="175"/>
      <c r="J42" s="175"/>
      <c r="K42" s="175"/>
      <c r="L42" s="175"/>
      <c r="M42" s="175"/>
      <c r="N42" s="175"/>
    </row>
    <row r="43" spans="1:14" ht="15" customHeight="1" x14ac:dyDescent="0.35">
      <c r="A43" s="225"/>
      <c r="B43" s="225"/>
      <c r="C43" s="225"/>
      <c r="D43" s="359"/>
      <c r="E43" s="360"/>
      <c r="F43" s="361"/>
      <c r="G43" s="225"/>
      <c r="H43" s="175"/>
      <c r="I43" s="175"/>
      <c r="J43" s="175"/>
      <c r="K43" s="175"/>
      <c r="L43" s="175"/>
      <c r="M43" s="175"/>
      <c r="N43" s="175"/>
    </row>
    <row r="44" spans="1:14" ht="15" customHeight="1" x14ac:dyDescent="0.3">
      <c r="A44"/>
      <c r="B44" s="180" t="s">
        <v>671</v>
      </c>
      <c r="C44" s="180"/>
      <c r="D44" s="180"/>
      <c r="E44" s="180"/>
      <c r="F44" s="180"/>
      <c r="G44" s="180"/>
      <c r="H44" s="314"/>
      <c r="I44" s="314"/>
      <c r="J44" s="314"/>
      <c r="K44" s="314"/>
      <c r="L44" s="314"/>
      <c r="M44" s="314"/>
      <c r="N44" s="314"/>
    </row>
    <row r="45" spans="1:14" ht="15" customHeight="1" x14ac:dyDescent="0.3">
      <c r="A45"/>
      <c r="B45"/>
      <c r="D45"/>
      <c r="E45"/>
      <c r="F45"/>
      <c r="G45"/>
      <c r="H45"/>
      <c r="I45"/>
      <c r="J45"/>
      <c r="K45"/>
      <c r="L45"/>
      <c r="M45"/>
      <c r="N45"/>
    </row>
    <row r="46" spans="1:14" ht="15" customHeight="1" x14ac:dyDescent="0.3">
      <c r="A46"/>
      <c r="B46"/>
      <c r="D46"/>
      <c r="E46"/>
      <c r="F46"/>
      <c r="G46"/>
      <c r="H46"/>
      <c r="I46"/>
      <c r="J46"/>
      <c r="K46"/>
      <c r="L46"/>
      <c r="M46"/>
      <c r="N46"/>
    </row>
    <row r="47" spans="1:14" ht="15" customHeight="1" x14ac:dyDescent="0.3">
      <c r="A47" s="101"/>
      <c r="B47" s="101" t="s">
        <v>726</v>
      </c>
      <c r="C47" s="101"/>
      <c r="D47" s="101"/>
      <c r="E47" s="101"/>
      <c r="F47"/>
      <c r="G47"/>
      <c r="H47"/>
      <c r="I47"/>
      <c r="J47"/>
      <c r="K47"/>
      <c r="L47"/>
      <c r="M47"/>
      <c r="N47"/>
    </row>
    <row r="48" spans="1:14" ht="15" customHeight="1" x14ac:dyDescent="0.3">
      <c r="A48" s="364"/>
      <c r="B48" s="364" t="s">
        <v>727</v>
      </c>
      <c r="C48" s="364" t="s">
        <v>728</v>
      </c>
      <c r="D48" s="364" t="s">
        <v>528</v>
      </c>
      <c r="E48" s="364"/>
      <c r="F48" s="362"/>
      <c r="G48" s="362"/>
      <c r="H48"/>
      <c r="I48"/>
      <c r="J48"/>
      <c r="K48"/>
      <c r="L48"/>
      <c r="M48"/>
      <c r="N48"/>
    </row>
    <row r="49" spans="1:14" ht="15" customHeight="1" x14ac:dyDescent="0.3">
      <c r="A49" s="364"/>
      <c r="B49" s="364" t="s">
        <v>426</v>
      </c>
      <c r="C49" s="364">
        <f>D22</f>
        <v>73.90687744915094</v>
      </c>
      <c r="D49" s="364">
        <f>D23</f>
        <v>311.12</v>
      </c>
      <c r="E49" s="364"/>
      <c r="F49" s="362"/>
      <c r="G49" s="362"/>
      <c r="H49"/>
      <c r="I49"/>
      <c r="J49"/>
      <c r="K49"/>
      <c r="L49"/>
      <c r="M49"/>
      <c r="N49"/>
    </row>
    <row r="50" spans="1:14" ht="18" customHeight="1" x14ac:dyDescent="0.3">
      <c r="A50" s="364"/>
      <c r="B50" s="364" t="s">
        <v>427</v>
      </c>
      <c r="C50" s="364">
        <f>E22</f>
        <v>147.42720795062652</v>
      </c>
      <c r="D50" s="364">
        <f>E23</f>
        <v>311.12</v>
      </c>
      <c r="E50" s="364"/>
      <c r="F50" s="362"/>
      <c r="G50" s="362"/>
      <c r="H50"/>
      <c r="I50"/>
      <c r="J50"/>
      <c r="K50"/>
      <c r="L50"/>
      <c r="M50"/>
      <c r="N50"/>
    </row>
    <row r="51" spans="1:14" ht="15" customHeight="1" x14ac:dyDescent="0.3">
      <c r="A51" s="364"/>
      <c r="B51" s="364" t="s">
        <v>428</v>
      </c>
      <c r="C51" s="364">
        <f>F22</f>
        <v>352.17329245861441</v>
      </c>
      <c r="D51" s="364">
        <f>F23</f>
        <v>311.12</v>
      </c>
      <c r="E51" s="364"/>
      <c r="F51" s="362"/>
      <c r="G51" s="362"/>
      <c r="H51"/>
      <c r="I51"/>
      <c r="J51"/>
      <c r="K51"/>
      <c r="L51"/>
      <c r="M51"/>
      <c r="N51"/>
    </row>
    <row r="52" spans="1:14" ht="15" customHeight="1" x14ac:dyDescent="0.3">
      <c r="A52" s="364"/>
      <c r="B52" s="364"/>
      <c r="C52" s="364"/>
      <c r="D52" s="364"/>
      <c r="E52" s="364"/>
      <c r="F52" s="362"/>
      <c r="G52" s="362"/>
      <c r="H52"/>
      <c r="I52"/>
      <c r="J52"/>
      <c r="K52"/>
      <c r="L52"/>
      <c r="M52"/>
      <c r="N52"/>
    </row>
    <row r="53" spans="1:14" ht="15" customHeight="1" x14ac:dyDescent="0.3">
      <c r="A53" s="364"/>
      <c r="B53" s="364"/>
      <c r="C53" s="364"/>
      <c r="D53" s="364"/>
      <c r="E53" s="364"/>
      <c r="F53" s="362"/>
      <c r="G53" s="362"/>
      <c r="H53"/>
      <c r="I53"/>
      <c r="J53"/>
      <c r="K53"/>
      <c r="L53"/>
      <c r="M53"/>
      <c r="N53"/>
    </row>
    <row r="54" spans="1:14" ht="15" customHeight="1" x14ac:dyDescent="0.3">
      <c r="A54" s="364"/>
      <c r="B54" s="364" t="s">
        <v>729</v>
      </c>
      <c r="C54" s="364"/>
      <c r="D54" s="364"/>
      <c r="E54" s="364"/>
      <c r="F54" s="362"/>
      <c r="G54" s="362"/>
      <c r="H54"/>
      <c r="I54"/>
      <c r="J54"/>
      <c r="K54"/>
      <c r="L54"/>
      <c r="M54"/>
      <c r="N54"/>
    </row>
    <row r="55" spans="1:14" ht="15" customHeight="1" x14ac:dyDescent="0.3">
      <c r="A55" s="364"/>
      <c r="B55" s="364" t="s">
        <v>727</v>
      </c>
      <c r="C55" s="364" t="s">
        <v>112</v>
      </c>
      <c r="D55" s="364"/>
      <c r="E55" s="364"/>
      <c r="F55" s="362"/>
      <c r="G55" s="362"/>
      <c r="H55"/>
      <c r="I55"/>
      <c r="J55"/>
      <c r="K55"/>
      <c r="L55"/>
      <c r="M55"/>
      <c r="N55"/>
    </row>
    <row r="56" spans="1:14" ht="15" customHeight="1" x14ac:dyDescent="0.3">
      <c r="A56" s="364"/>
      <c r="B56" s="364" t="s">
        <v>730</v>
      </c>
      <c r="C56" s="364">
        <f>C18</f>
        <v>104057</v>
      </c>
      <c r="D56" s="364"/>
      <c r="E56" s="364"/>
      <c r="F56" s="362"/>
      <c r="G56" s="362"/>
      <c r="H56"/>
      <c r="I56"/>
      <c r="J56"/>
      <c r="K56"/>
      <c r="L56"/>
      <c r="M56"/>
      <c r="N56"/>
    </row>
    <row r="57" spans="1:14" ht="15" customHeight="1" x14ac:dyDescent="0.3">
      <c r="A57" s="364"/>
      <c r="B57" s="364" t="s">
        <v>426</v>
      </c>
      <c r="C57" s="364">
        <f>D18</f>
        <v>78042.749999999985</v>
      </c>
      <c r="D57" s="364"/>
      <c r="E57" s="364"/>
      <c r="F57" s="362"/>
      <c r="G57" s="362"/>
      <c r="H57"/>
      <c r="I57"/>
      <c r="J57"/>
      <c r="K57"/>
      <c r="L57"/>
      <c r="M57"/>
      <c r="N57"/>
    </row>
    <row r="58" spans="1:14" ht="15" customHeight="1" x14ac:dyDescent="0.3">
      <c r="A58" s="364"/>
      <c r="B58" s="364" t="s">
        <v>427</v>
      </c>
      <c r="C58" s="364">
        <f>E18</f>
        <v>104057</v>
      </c>
      <c r="D58" s="364"/>
      <c r="E58" s="364"/>
      <c r="F58" s="362"/>
      <c r="G58" s="362"/>
      <c r="H58"/>
      <c r="I58"/>
      <c r="J58"/>
      <c r="K58"/>
      <c r="L58"/>
      <c r="M58"/>
      <c r="N58"/>
    </row>
    <row r="59" spans="1:14" ht="12.75" customHeight="1" x14ac:dyDescent="0.3">
      <c r="A59" s="364"/>
      <c r="B59" s="364" t="s">
        <v>428</v>
      </c>
      <c r="C59" s="364">
        <f>F18</f>
        <v>136760.62857142856</v>
      </c>
      <c r="D59" s="364"/>
      <c r="E59" s="364"/>
      <c r="F59" s="362"/>
      <c r="G59" s="362"/>
      <c r="H59"/>
      <c r="I59"/>
      <c r="J59"/>
      <c r="K59"/>
      <c r="L59"/>
      <c r="M59"/>
      <c r="N59"/>
    </row>
    <row r="60" spans="1:14" ht="15" customHeight="1" x14ac:dyDescent="0.3">
      <c r="A60" s="364"/>
      <c r="B60" s="364"/>
      <c r="C60" s="364"/>
      <c r="D60" s="364"/>
      <c r="E60" s="364"/>
      <c r="F60" s="362"/>
      <c r="G60" s="362"/>
      <c r="H60"/>
      <c r="I60"/>
      <c r="J60"/>
      <c r="K60"/>
      <c r="L60"/>
      <c r="M60"/>
      <c r="N60"/>
    </row>
    <row r="61" spans="1:14" ht="15" customHeight="1" x14ac:dyDescent="0.3">
      <c r="A61" s="364"/>
      <c r="B61" s="364"/>
      <c r="C61" s="364"/>
      <c r="D61" s="364"/>
      <c r="E61" s="364"/>
      <c r="F61" s="362"/>
      <c r="G61" s="362"/>
      <c r="H61"/>
      <c r="I61"/>
      <c r="J61"/>
      <c r="K61"/>
      <c r="L61"/>
      <c r="M61"/>
      <c r="N61"/>
    </row>
    <row r="62" spans="1:14" ht="15" customHeight="1" x14ac:dyDescent="0.3">
      <c r="A62" s="364"/>
      <c r="B62" s="364"/>
      <c r="C62" s="364"/>
      <c r="D62" s="364"/>
      <c r="E62" s="364"/>
      <c r="F62" s="362"/>
      <c r="G62" s="362"/>
      <c r="H62"/>
      <c r="I62"/>
      <c r="J62"/>
      <c r="K62"/>
      <c r="L62"/>
      <c r="M62"/>
      <c r="N62"/>
    </row>
    <row r="63" spans="1:14" ht="15" customHeight="1" x14ac:dyDescent="0.3">
      <c r="A63" s="364"/>
      <c r="B63" s="364"/>
      <c r="C63" s="364"/>
      <c r="D63" s="364"/>
      <c r="E63" s="364"/>
      <c r="F63" s="362"/>
      <c r="G63" s="362"/>
      <c r="H63"/>
      <c r="I63"/>
      <c r="J63"/>
      <c r="K63"/>
      <c r="L63"/>
      <c r="M63"/>
      <c r="N63"/>
    </row>
    <row r="64" spans="1:14" ht="15" customHeight="1" x14ac:dyDescent="0.3">
      <c r="A64" s="364"/>
      <c r="B64" s="364"/>
      <c r="C64" s="364"/>
      <c r="D64" s="364"/>
      <c r="E64" s="364"/>
      <c r="F64" s="362"/>
      <c r="G64" s="362"/>
      <c r="H64"/>
      <c r="I64"/>
      <c r="J64"/>
      <c r="K64"/>
      <c r="L64"/>
      <c r="M64"/>
      <c r="N64"/>
    </row>
    <row r="65" spans="1:14" ht="15" customHeight="1" x14ac:dyDescent="0.3">
      <c r="A65" s="364"/>
      <c r="B65" s="364"/>
      <c r="C65" s="364"/>
      <c r="D65" s="364"/>
      <c r="E65" s="364"/>
      <c r="F65" s="362"/>
      <c r="G65" s="362"/>
      <c r="H65"/>
      <c r="I65"/>
      <c r="J65"/>
      <c r="K65"/>
      <c r="L65"/>
      <c r="M65"/>
      <c r="N65"/>
    </row>
    <row r="66" spans="1:14" ht="15" customHeight="1" x14ac:dyDescent="0.3">
      <c r="A66" s="364"/>
      <c r="B66" s="364"/>
      <c r="C66" s="364"/>
      <c r="D66" s="364"/>
      <c r="E66" s="364"/>
      <c r="F66" s="362"/>
      <c r="G66" s="362"/>
      <c r="H66"/>
      <c r="I66"/>
      <c r="J66"/>
      <c r="K66"/>
      <c r="L66"/>
      <c r="M66"/>
      <c r="N66"/>
    </row>
    <row r="67" spans="1:14" ht="15" customHeight="1" x14ac:dyDescent="0.3">
      <c r="A67" s="364"/>
      <c r="B67" s="364"/>
      <c r="C67" s="364"/>
      <c r="D67" s="364"/>
      <c r="E67" s="364"/>
      <c r="F67" s="362"/>
      <c r="G67" s="362"/>
      <c r="H67"/>
      <c r="I67"/>
      <c r="J67"/>
      <c r="K67"/>
      <c r="L67"/>
      <c r="M67"/>
      <c r="N67"/>
    </row>
    <row r="68" spans="1:14" ht="15" customHeight="1" x14ac:dyDescent="0.3">
      <c r="A68" s="364"/>
      <c r="B68" s="364"/>
      <c r="C68" s="364"/>
      <c r="D68" s="364"/>
      <c r="E68" s="364"/>
      <c r="F68" s="362"/>
      <c r="G68" s="362"/>
      <c r="H68"/>
      <c r="I68"/>
      <c r="J68"/>
      <c r="K68"/>
      <c r="L68"/>
      <c r="M68"/>
      <c r="N68"/>
    </row>
    <row r="69" spans="1:14" ht="15" customHeight="1" x14ac:dyDescent="0.3">
      <c r="A69" s="364"/>
      <c r="B69" s="364"/>
      <c r="C69" s="364"/>
      <c r="D69" s="364"/>
      <c r="E69" s="364"/>
      <c r="F69" s="362"/>
      <c r="G69" s="362"/>
      <c r="H69"/>
      <c r="I69"/>
      <c r="J69"/>
      <c r="K69"/>
      <c r="L69"/>
      <c r="M69"/>
      <c r="N69"/>
    </row>
    <row r="70" spans="1:14" ht="15" customHeight="1" x14ac:dyDescent="0.3">
      <c r="A70" s="364"/>
      <c r="B70" s="364"/>
      <c r="C70" s="364"/>
      <c r="D70" s="364"/>
      <c r="E70" s="364"/>
      <c r="F70" s="362"/>
      <c r="G70" s="362"/>
      <c r="H70"/>
      <c r="I70"/>
      <c r="J70"/>
      <c r="K70"/>
      <c r="L70"/>
      <c r="M70"/>
      <c r="N70"/>
    </row>
    <row r="71" spans="1:14" ht="15" customHeight="1" x14ac:dyDescent="0.3">
      <c r="A71" s="364"/>
      <c r="B71" s="364"/>
      <c r="C71" s="364"/>
      <c r="D71" s="364"/>
      <c r="E71" s="364"/>
      <c r="F71" s="362"/>
      <c r="G71" s="362"/>
      <c r="H71"/>
      <c r="I71"/>
      <c r="J71"/>
      <c r="K71"/>
      <c r="L71"/>
      <c r="M71"/>
      <c r="N71"/>
    </row>
    <row r="72" spans="1:14" ht="15" customHeight="1" x14ac:dyDescent="0.3">
      <c r="A72" s="364"/>
      <c r="B72" s="364"/>
      <c r="C72" s="364"/>
      <c r="D72" s="364"/>
      <c r="E72" s="364"/>
      <c r="F72" s="362"/>
      <c r="G72" s="362"/>
      <c r="H72"/>
      <c r="I72"/>
      <c r="J72"/>
      <c r="K72"/>
      <c r="L72"/>
      <c r="M72"/>
      <c r="N72"/>
    </row>
    <row r="73" spans="1:14" ht="15" customHeight="1" x14ac:dyDescent="0.3">
      <c r="A73" s="364"/>
      <c r="B73" s="364"/>
      <c r="C73" s="364"/>
      <c r="D73" s="364"/>
      <c r="E73" s="364"/>
      <c r="F73" s="362"/>
      <c r="G73" s="362"/>
      <c r="H73"/>
      <c r="I73"/>
      <c r="J73"/>
      <c r="K73"/>
      <c r="L73"/>
      <c r="M73"/>
      <c r="N73"/>
    </row>
    <row r="74" spans="1:14" ht="15" customHeight="1" x14ac:dyDescent="0.3">
      <c r="A74" s="364"/>
      <c r="B74" s="364"/>
      <c r="C74" s="364"/>
      <c r="D74" s="364"/>
      <c r="E74" s="364"/>
      <c r="F74" s="362"/>
      <c r="G74" s="362"/>
      <c r="H74"/>
      <c r="I74"/>
      <c r="J74"/>
      <c r="K74"/>
      <c r="L74"/>
      <c r="M74"/>
      <c r="N74"/>
    </row>
    <row r="75" spans="1:14" ht="15" customHeight="1" x14ac:dyDescent="0.3">
      <c r="A75" s="364"/>
      <c r="B75" s="364"/>
      <c r="C75" s="364"/>
      <c r="D75" s="364"/>
      <c r="E75" s="364"/>
      <c r="F75" s="362"/>
      <c r="G75" s="362"/>
      <c r="H75"/>
      <c r="I75"/>
      <c r="J75"/>
      <c r="K75"/>
      <c r="L75"/>
      <c r="M75"/>
      <c r="N75"/>
    </row>
    <row r="76" spans="1:14" ht="15" customHeight="1" x14ac:dyDescent="0.3">
      <c r="A76" s="364"/>
      <c r="B76" s="364"/>
      <c r="C76" s="364"/>
      <c r="D76" s="364"/>
      <c r="E76" s="364"/>
      <c r="F76" s="362"/>
      <c r="G76" s="362"/>
      <c r="H76"/>
      <c r="I76"/>
      <c r="J76"/>
      <c r="K76"/>
      <c r="L76"/>
      <c r="M76"/>
      <c r="N76"/>
    </row>
    <row r="77" spans="1:14" ht="15" customHeight="1" x14ac:dyDescent="0.3">
      <c r="A77" s="364"/>
      <c r="B77" s="364"/>
      <c r="C77" s="364"/>
      <c r="D77" s="364"/>
      <c r="E77" s="364"/>
      <c r="F77" s="362"/>
      <c r="G77" s="362"/>
      <c r="H77"/>
      <c r="I77"/>
      <c r="J77"/>
      <c r="K77"/>
      <c r="L77"/>
      <c r="M77"/>
      <c r="N77"/>
    </row>
    <row r="78" spans="1:14" ht="15" customHeight="1" x14ac:dyDescent="0.35">
      <c r="A78" s="365"/>
      <c r="B78" s="366"/>
      <c r="C78" s="365"/>
      <c r="D78" s="367"/>
      <c r="E78" s="367"/>
      <c r="F78" s="363"/>
      <c r="G78" s="363"/>
      <c r="H78" s="15"/>
      <c r="I78" s="15"/>
      <c r="J78" s="15"/>
      <c r="K78" s="15"/>
      <c r="L78" s="15"/>
      <c r="M78" s="15"/>
    </row>
    <row r="79" spans="1:14" ht="15" customHeight="1" x14ac:dyDescent="0.35">
      <c r="A79" s="368"/>
      <c r="B79" s="369" t="s">
        <v>144</v>
      </c>
      <c r="C79" s="370">
        <f>INPUT!D117+1</f>
        <v>2026</v>
      </c>
      <c r="D79" s="370">
        <f>INPUT!D117+2</f>
        <v>2027</v>
      </c>
      <c r="E79" s="370">
        <f>INPUT!D117+3</f>
        <v>2028</v>
      </c>
      <c r="F79" s="370">
        <f>INPUT!D117+4</f>
        <v>2029</v>
      </c>
      <c r="G79" s="370">
        <f>INPUT!D117+5</f>
        <v>2030</v>
      </c>
      <c r="H79" s="329"/>
      <c r="I79" s="329"/>
      <c r="J79" s="329"/>
      <c r="K79" s="329"/>
      <c r="L79" s="329"/>
      <c r="M79" s="329"/>
      <c r="N79" s="330"/>
    </row>
    <row r="80" spans="1:14" ht="15" customHeight="1" x14ac:dyDescent="0.35">
      <c r="A80" s="365"/>
      <c r="B80" s="366" t="s">
        <v>119</v>
      </c>
      <c r="C80" s="371">
        <f>IF(INPUT!H9="",NA(),INPUT!H9*(1+$C$9)*$C$11)</f>
        <v>57967.892653545648</v>
      </c>
      <c r="D80" s="372">
        <f>IF(C80=0,0,C80*(1+$C$9))</f>
        <v>60866.287286222934</v>
      </c>
      <c r="E80" s="371">
        <f>IF(D80=0,0,D80*(1+$C$9))</f>
        <v>63909.601650534081</v>
      </c>
      <c r="F80" s="371">
        <f>IF(E80=0,0,E80*(1+$C$9))</f>
        <v>67105.081733060782</v>
      </c>
      <c r="G80" s="371">
        <f>IF(F80=0,0,F80*(1+$C$9))</f>
        <v>70460.33581971383</v>
      </c>
      <c r="H80" s="15"/>
      <c r="I80" s="15"/>
      <c r="J80" s="15"/>
      <c r="K80" s="15"/>
      <c r="L80" s="15"/>
      <c r="M80" s="15"/>
    </row>
    <row r="81" spans="1:13" ht="15" customHeight="1" x14ac:dyDescent="0.35">
      <c r="A81" s="365"/>
      <c r="B81" s="366" t="s">
        <v>120</v>
      </c>
      <c r="C81" s="371">
        <f>IF(INPUT!H9="",NA(),INPUT!H9*(1+$D$9)*$D$11)</f>
        <v>44552.514999999999</v>
      </c>
      <c r="D81" s="372">
        <f>IF(C81=0,0,C81*(1+$D$9))</f>
        <v>43661.464699999997</v>
      </c>
      <c r="E81" s="371">
        <f>IF(D81=0,0,D81*(1+$D$9))</f>
        <v>42788.235405999993</v>
      </c>
      <c r="F81" s="371">
        <f>IF(E81=0,0,E81*(1+$D$9))</f>
        <v>41932.470697879995</v>
      </c>
      <c r="G81" s="371">
        <f>IF(F81=0,0,F81*(1+$D$9))</f>
        <v>41093.821283922392</v>
      </c>
      <c r="H81" s="15"/>
      <c r="I81" s="15"/>
      <c r="J81" s="15"/>
      <c r="K81" s="15"/>
      <c r="L81" s="15"/>
      <c r="M81" s="15"/>
    </row>
    <row r="82" spans="1:13" ht="15" customHeight="1" x14ac:dyDescent="0.35">
      <c r="A82" s="365"/>
      <c r="B82" s="366" t="s">
        <v>121</v>
      </c>
      <c r="C82" s="371">
        <f>IF(INPUT!H9="",NA(),INPUT!H9*(1+$E$9)*$E$11)</f>
        <v>57281.805</v>
      </c>
      <c r="D82" s="372">
        <f>IF(C82=0,0,C82*(1+$E$9))</f>
        <v>60145.895250000001</v>
      </c>
      <c r="E82" s="371">
        <f>IF(D82=0,0,D82*(1+$E$9))</f>
        <v>63153.190012500003</v>
      </c>
      <c r="F82" s="371">
        <f>IF(E82=0,0,E82*(1+$E$9))</f>
        <v>66310.849513125009</v>
      </c>
      <c r="G82" s="371">
        <f>IF(F82=0,0,F82*(1+$E$9))</f>
        <v>69626.391988781266</v>
      </c>
      <c r="H82" s="15"/>
      <c r="I82" s="15"/>
      <c r="J82" s="15"/>
      <c r="K82" s="15"/>
      <c r="L82" s="15"/>
      <c r="M82" s="15"/>
    </row>
    <row r="83" spans="1:13" ht="15" customHeight="1" x14ac:dyDescent="0.3">
      <c r="B83" s="27"/>
    </row>
    <row r="84" spans="1:13" ht="15" customHeight="1" x14ac:dyDescent="0.3">
      <c r="B84" s="27"/>
    </row>
    <row r="85" spans="1:13" ht="15" customHeight="1" x14ac:dyDescent="0.3">
      <c r="B85" s="27"/>
    </row>
    <row r="86" spans="1:13" ht="15" customHeight="1" x14ac:dyDescent="0.3">
      <c r="B86" s="27"/>
    </row>
    <row r="87" spans="1:13" ht="15" customHeight="1" x14ac:dyDescent="0.3">
      <c r="B87" s="27"/>
    </row>
    <row r="88" spans="1:13" ht="15" customHeight="1" x14ac:dyDescent="0.3">
      <c r="B88" s="27"/>
    </row>
    <row r="89" spans="1:13" ht="15" customHeight="1" x14ac:dyDescent="0.3">
      <c r="B89" s="27"/>
    </row>
    <row r="90" spans="1:13" ht="15" customHeight="1" x14ac:dyDescent="0.3">
      <c r="B90" s="27"/>
    </row>
    <row r="91" spans="1:13" ht="15" customHeight="1" x14ac:dyDescent="0.3">
      <c r="B91" s="27"/>
    </row>
    <row r="92" spans="1:13" ht="15" customHeight="1" x14ac:dyDescent="0.3">
      <c r="B92" s="27"/>
    </row>
    <row r="93" spans="1:13" ht="15" customHeight="1" x14ac:dyDescent="0.3">
      <c r="B93" s="27"/>
    </row>
    <row r="94" spans="1:13" ht="15" customHeight="1" x14ac:dyDescent="0.3">
      <c r="B94" s="27"/>
    </row>
    <row r="95" spans="1:13" ht="15" customHeight="1" x14ac:dyDescent="0.3">
      <c r="B95" s="27"/>
    </row>
    <row r="96" spans="1:13" ht="15" customHeight="1" x14ac:dyDescent="0.3">
      <c r="B96" s="27"/>
    </row>
    <row r="97" spans="2:2" ht="15" customHeight="1" x14ac:dyDescent="0.3">
      <c r="B97" s="27"/>
    </row>
    <row r="98" spans="2:2" ht="15" customHeight="1" x14ac:dyDescent="0.3">
      <c r="B98" s="27"/>
    </row>
    <row r="99" spans="2:2" ht="15" customHeight="1" x14ac:dyDescent="0.3">
      <c r="B99" s="27"/>
    </row>
    <row r="100" spans="2:2" ht="15" customHeight="1" x14ac:dyDescent="0.3">
      <c r="B100" s="27"/>
    </row>
    <row r="101" spans="2:2" ht="15" customHeight="1" x14ac:dyDescent="0.3">
      <c r="B101" s="27"/>
    </row>
    <row r="102" spans="2:2" ht="15" customHeight="1" x14ac:dyDescent="0.3">
      <c r="B102" s="27"/>
    </row>
    <row r="103" spans="2:2" ht="15" customHeight="1" x14ac:dyDescent="0.3">
      <c r="B103" s="27"/>
    </row>
    <row r="104" spans="2:2" ht="15" customHeight="1" x14ac:dyDescent="0.3">
      <c r="B104" s="27"/>
    </row>
    <row r="105" spans="2:2" ht="15" customHeight="1" x14ac:dyDescent="0.3">
      <c r="B105" s="27"/>
    </row>
    <row r="106" spans="2:2" ht="15" customHeight="1" x14ac:dyDescent="0.3">
      <c r="B106" s="27"/>
    </row>
    <row r="107" spans="2:2" ht="15" customHeight="1" x14ac:dyDescent="0.3">
      <c r="B107" s="27"/>
    </row>
    <row r="108" spans="2:2" ht="15" customHeight="1" x14ac:dyDescent="0.3">
      <c r="B108" s="27"/>
    </row>
    <row r="109" spans="2:2" ht="15" customHeight="1" x14ac:dyDescent="0.3">
      <c r="B109" s="27"/>
    </row>
    <row r="110" spans="2:2" ht="15" customHeight="1" x14ac:dyDescent="0.3">
      <c r="B110" s="27"/>
    </row>
    <row r="111" spans="2:2" ht="15" customHeight="1" x14ac:dyDescent="0.3">
      <c r="B111" s="27"/>
    </row>
    <row r="112" spans="2:2" ht="15" customHeight="1" x14ac:dyDescent="0.3">
      <c r="B112" s="27"/>
    </row>
    <row r="113" spans="2:2" ht="15" customHeight="1" x14ac:dyDescent="0.3">
      <c r="B113" s="27"/>
    </row>
    <row r="114" spans="2:2" ht="15" customHeight="1" x14ac:dyDescent="0.3">
      <c r="B114" s="27"/>
    </row>
    <row r="115" spans="2:2" ht="15" customHeight="1" x14ac:dyDescent="0.3">
      <c r="B115" s="27"/>
    </row>
    <row r="116" spans="2:2" ht="15" customHeight="1" x14ac:dyDescent="0.3">
      <c r="B116" s="27"/>
    </row>
    <row r="117" spans="2:2" ht="15" customHeight="1" x14ac:dyDescent="0.3">
      <c r="B117" s="27"/>
    </row>
    <row r="118" spans="2:2" ht="15" customHeight="1" x14ac:dyDescent="0.3">
      <c r="B118" s="27"/>
    </row>
    <row r="119" spans="2:2" ht="15" customHeight="1" x14ac:dyDescent="0.3">
      <c r="B119" s="27"/>
    </row>
    <row r="120" spans="2:2" ht="15" customHeight="1" x14ac:dyDescent="0.3">
      <c r="B120" s="27"/>
    </row>
    <row r="121" spans="2:2" ht="15" customHeight="1" x14ac:dyDescent="0.3">
      <c r="B121" s="27"/>
    </row>
    <row r="122" spans="2:2" ht="15" customHeight="1" x14ac:dyDescent="0.3">
      <c r="B122" s="27"/>
    </row>
    <row r="123" spans="2:2" ht="15" customHeight="1" x14ac:dyDescent="0.3">
      <c r="B123" s="27"/>
    </row>
    <row r="124" spans="2:2" ht="15" customHeight="1" x14ac:dyDescent="0.3">
      <c r="B124" s="27"/>
    </row>
    <row r="125" spans="2:2" ht="15" customHeight="1" x14ac:dyDescent="0.3">
      <c r="B125" s="27"/>
    </row>
    <row r="126" spans="2:2" ht="15" customHeight="1" x14ac:dyDescent="0.3">
      <c r="B126" s="27"/>
    </row>
    <row r="127" spans="2:2" ht="15" customHeight="1" x14ac:dyDescent="0.3">
      <c r="B127" s="27"/>
    </row>
    <row r="128" spans="2:2" ht="15" customHeight="1" x14ac:dyDescent="0.3">
      <c r="B128" s="27"/>
    </row>
    <row r="129" spans="2:2" ht="15" customHeight="1" x14ac:dyDescent="0.3">
      <c r="B129" s="27"/>
    </row>
    <row r="130" spans="2:2" ht="15" customHeight="1" x14ac:dyDescent="0.3">
      <c r="B130" s="27"/>
    </row>
    <row r="131" spans="2:2" ht="15" customHeight="1" x14ac:dyDescent="0.3">
      <c r="B131" s="27"/>
    </row>
    <row r="132" spans="2:2" ht="15" customHeight="1" x14ac:dyDescent="0.3">
      <c r="B132" s="27"/>
    </row>
    <row r="133" spans="2:2" ht="15" customHeight="1" x14ac:dyDescent="0.3">
      <c r="B133" s="27"/>
    </row>
    <row r="134" spans="2:2" ht="15" customHeight="1" x14ac:dyDescent="0.3">
      <c r="B134" s="27"/>
    </row>
    <row r="135" spans="2:2" ht="15" customHeight="1" x14ac:dyDescent="0.3">
      <c r="B135" s="27"/>
    </row>
    <row r="136" spans="2:2" ht="15" customHeight="1" x14ac:dyDescent="0.3">
      <c r="B136" s="27"/>
    </row>
    <row r="137" spans="2:2" ht="15" customHeight="1" x14ac:dyDescent="0.3">
      <c r="B137" s="27"/>
    </row>
  </sheetData>
  <printOptions horizontalCentered="1"/>
  <pageMargins left="5.5555555555555558E-3" right="5.5555555555555558E-3" top="6.9444444444444441E-3" bottom="6.9444444444444441E-3" header="2.7777777777777779E-3" footer="2.7777777777777779E-3"/>
  <pageSetup paperSize="9" scale="97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137"/>
  <sheetViews>
    <sheetView showGridLines="0" zoomScale="61" zoomScaleNormal="85" workbookViewId="0">
      <selection activeCell="V40" sqref="V40"/>
    </sheetView>
  </sheetViews>
  <sheetFormatPr baseColWidth="10" defaultColWidth="11.5546875" defaultRowHeight="14.4" outlineLevelRow="1" x14ac:dyDescent="0.3"/>
  <cols>
    <col min="1" max="1" width="1.77734375" customWidth="1"/>
    <col min="2" max="2" width="14.77734375" customWidth="1"/>
    <col min="3" max="3" width="11.109375" style="12" customWidth="1"/>
    <col min="4" max="4" width="13.88671875" customWidth="1"/>
    <col min="5" max="5" width="8.109375" style="14" bestFit="1" customWidth="1"/>
    <col min="6" max="6" width="15.77734375" style="14" customWidth="1"/>
    <col min="7" max="7" width="12" style="14" customWidth="1"/>
    <col min="8" max="8" width="6.44140625" style="14" customWidth="1"/>
    <col min="9" max="9" width="1.88671875" style="14" customWidth="1"/>
    <col min="10" max="10" width="9.21875" style="14" customWidth="1"/>
    <col min="11" max="11" width="13" style="14" customWidth="1"/>
    <col min="12" max="12" width="9.6640625" style="14" bestFit="1" customWidth="1"/>
    <col min="13" max="13" width="14.77734375" style="14" customWidth="1"/>
    <col min="14" max="14" width="12" style="14" customWidth="1"/>
    <col min="15" max="15" width="6.44140625" style="14" customWidth="1"/>
    <col min="16" max="16" width="11.88671875" style="14" customWidth="1"/>
    <col min="17" max="17" width="20.33203125" customWidth="1"/>
  </cols>
  <sheetData>
    <row r="1" spans="1:22" ht="50.1" customHeight="1" x14ac:dyDescent="0.6">
      <c r="A1" s="233"/>
      <c r="B1" s="177" t="s">
        <v>100</v>
      </c>
      <c r="C1" s="233"/>
      <c r="D1" s="233"/>
      <c r="E1" s="233"/>
      <c r="F1" s="233"/>
      <c r="G1" s="233"/>
      <c r="H1" s="233"/>
      <c r="I1" s="233"/>
      <c r="J1" s="233" t="s">
        <v>504</v>
      </c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89"/>
      <c r="V1" s="151"/>
    </row>
    <row r="2" spans="1:22" ht="15" customHeight="1" x14ac:dyDescent="0.35">
      <c r="A2" s="234"/>
      <c r="B2" s="234" t="str">
        <f>INPUT!D114&amp;" ("&amp;INPUT!D115&amp;") — "&amp;INPUT!D116&amp;" | Price: $"&amp;TEXT(INPUT!H95,"#,##0.00")&amp;" | Market Cap: $"&amp;TEXT(INPUT!H97/1000,"#,##0.0")&amp;"B | EV: $"&amp;TEXT(INPUT!H98/1000,"#,##0.0")&amp;"B | Year: "&amp;INPUT!D117</f>
        <v>JPMorgan Chase &amp; Co. (JPM) — Financial Services | Price: $311,120.00 | Market Cap: $833,646.0B | EV: $990,290.0B | Year: 2025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90"/>
      <c r="V2" s="151"/>
    </row>
    <row r="3" spans="1:22" ht="21" customHeight="1" x14ac:dyDescent="0.5">
      <c r="A3" s="5"/>
      <c r="B3" s="235" t="str">
        <f>"Profile: "&amp;IFERROR(_xlfn.XLOOKUP(INPUT!D116,SECTOR_REF!A7:A19,SECTOR_REF!C7:C19),"STANDARD")&amp;" | Valuation: "&amp;IFERROR(_xlfn.XLOOKUP(INPUT!D116,SECTOR_REF!A7:A19,SECTOR_REF!D7:D19),"DCF 3-phase")&amp;" | DCF applicable: "&amp;IFERROR(_xlfn.XLOOKUP(INPUT!D116,SECTOR_REF!A7:A19,SECTOR_REF!E7:E19),"YES")</f>
        <v>Profile: Banks &amp; Financial Institutions | Valuation: DDM (Gordon) + Justified P/B | DCF applicable: NO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91"/>
    </row>
    <row r="4" spans="1:22" ht="15" customHeight="1" x14ac:dyDescent="0.35"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01"/>
      <c r="Q4" s="101">
        <v>2023</v>
      </c>
      <c r="R4" s="292">
        <v>0.16600000000000001</v>
      </c>
      <c r="S4" s="292">
        <v>0.106</v>
      </c>
      <c r="T4" s="101"/>
      <c r="U4" s="101"/>
    </row>
    <row r="5" spans="1:22" ht="21" x14ac:dyDescent="0.5">
      <c r="A5" s="9"/>
      <c r="B5" s="5" t="s">
        <v>695</v>
      </c>
      <c r="C5" s="58"/>
      <c r="D5" s="58"/>
      <c r="E5"/>
      <c r="F5" s="5" t="s">
        <v>693</v>
      </c>
      <c r="G5" s="58"/>
      <c r="H5" s="58"/>
      <c r="I5"/>
      <c r="J5"/>
      <c r="K5" s="5" t="s">
        <v>696</v>
      </c>
      <c r="L5" s="58"/>
      <c r="M5" s="58"/>
      <c r="N5" s="58"/>
      <c r="O5" s="58"/>
      <c r="P5" s="58"/>
      <c r="Q5" s="58"/>
      <c r="R5" s="58"/>
      <c r="S5" s="58"/>
      <c r="T5" s="58"/>
    </row>
    <row r="6" spans="1:22" ht="19.95" customHeight="1" x14ac:dyDescent="0.35">
      <c r="B6" s="334" t="s">
        <v>289</v>
      </c>
      <c r="C6" s="337">
        <f>IFERROR(RATIOS!H8,"N/A")</f>
        <v>1.7856407795896423</v>
      </c>
      <c r="D6" s="333" t="s">
        <v>676</v>
      </c>
      <c r="E6"/>
      <c r="F6" s="331" t="s">
        <v>672</v>
      </c>
      <c r="G6" s="335">
        <f>INPUT!H95</f>
        <v>311.12</v>
      </c>
      <c r="H6" s="333"/>
      <c r="I6"/>
      <c r="K6" s="240" t="s">
        <v>160</v>
      </c>
      <c r="L6" s="240"/>
      <c r="M6" s="240"/>
      <c r="N6" s="240"/>
      <c r="P6" s="240" t="s">
        <v>161</v>
      </c>
      <c r="Q6" s="249"/>
      <c r="R6" s="249"/>
      <c r="S6" s="249"/>
      <c r="T6" s="39"/>
      <c r="U6" s="39"/>
    </row>
    <row r="7" spans="1:22" ht="19.95" customHeight="1" x14ac:dyDescent="0.35">
      <c r="B7" s="334" t="s">
        <v>293</v>
      </c>
      <c r="C7" s="338">
        <f>IFERROR(RATIOS!H10,"N/A")</f>
        <v>0.19584656298758374</v>
      </c>
      <c r="D7" s="333" t="s">
        <v>677</v>
      </c>
      <c r="E7"/>
      <c r="F7" s="331" t="s">
        <v>682</v>
      </c>
      <c r="G7" s="335" t="str">
        <f>IFERROR(IF(ISNUMBER(COMPARABLES!D21),COMPARABLES!D21,"N/A"),"N/A")</f>
        <v>N/A</v>
      </c>
      <c r="H7" s="333"/>
      <c r="I7"/>
      <c r="K7" s="39"/>
      <c r="L7" s="39"/>
      <c r="M7" s="39"/>
      <c r="N7" s="39"/>
      <c r="P7" s="39"/>
      <c r="Q7" s="39"/>
      <c r="R7" s="39"/>
      <c r="S7" s="39"/>
      <c r="T7" s="15"/>
      <c r="U7" s="15"/>
    </row>
    <row r="8" spans="1:22" ht="19.95" customHeight="1" x14ac:dyDescent="0.35">
      <c r="B8" s="334" t="s">
        <v>462</v>
      </c>
      <c r="C8" s="338">
        <v>0.157</v>
      </c>
      <c r="D8" s="333" t="s">
        <v>678</v>
      </c>
      <c r="E8"/>
      <c r="F8" s="331" t="s">
        <v>683</v>
      </c>
      <c r="G8" s="335">
        <f>IFERROR('BANK VALUATION'!F85,"N/A")</f>
        <v>348.01714450171011</v>
      </c>
      <c r="H8" s="333"/>
      <c r="I8"/>
      <c r="K8" s="43" t="s">
        <v>7</v>
      </c>
      <c r="L8" s="39"/>
      <c r="M8" s="148">
        <f>INPUT!H9</f>
        <v>181847</v>
      </c>
      <c r="N8" s="146">
        <f>INPUT!H9</f>
        <v>181847</v>
      </c>
      <c r="P8" s="43" t="s">
        <v>162</v>
      </c>
      <c r="Q8" s="39"/>
      <c r="R8" s="40"/>
      <c r="S8" s="39"/>
      <c r="T8" s="15"/>
      <c r="U8" s="15"/>
    </row>
    <row r="9" spans="1:22" ht="19.95" customHeight="1" x14ac:dyDescent="0.35">
      <c r="B9" s="334" t="s">
        <v>296</v>
      </c>
      <c r="C9" s="339">
        <f>IFERROR(RATIOS!H11,"N/A")</f>
        <v>0.25302921647978599</v>
      </c>
      <c r="D9" s="333" t="s">
        <v>679</v>
      </c>
      <c r="E9"/>
      <c r="F9" s="331" t="s">
        <v>684</v>
      </c>
      <c r="G9" s="336">
        <f>IFERROR((G8-G6)/G6,"N/A")</f>
        <v>0.1185945760533238</v>
      </c>
      <c r="H9"/>
      <c r="I9"/>
      <c r="K9" s="158" t="s">
        <v>157</v>
      </c>
      <c r="L9" s="39"/>
      <c r="M9" s="149">
        <f>INPUT!H10</f>
        <v>-77733</v>
      </c>
      <c r="N9" s="149">
        <f>ABS(INPUT!H10)</f>
        <v>77733</v>
      </c>
      <c r="P9" s="158" t="s">
        <v>163</v>
      </c>
      <c r="Q9" s="39"/>
      <c r="R9" s="150">
        <f>INPUT!H38</f>
        <v>474944</v>
      </c>
      <c r="S9" s="253">
        <f>INPUT!H38</f>
        <v>474944</v>
      </c>
      <c r="T9" s="15"/>
      <c r="U9" s="15"/>
    </row>
    <row r="10" spans="1:22" ht="19.95" customHeight="1" x14ac:dyDescent="0.35">
      <c r="B10" s="334" t="s">
        <v>300</v>
      </c>
      <c r="C10" s="338">
        <f>IFERROR(RATIOS!H12,"N/A")</f>
        <v>0.42746374699610112</v>
      </c>
      <c r="D10" s="333" t="s">
        <v>680</v>
      </c>
      <c r="E10"/>
      <c r="F10" s="331" t="s">
        <v>685</v>
      </c>
      <c r="G10" s="335">
        <f>IFERROR(SCENARIOS!D22,"N/A")</f>
        <v>73.90687744915094</v>
      </c>
      <c r="H10" s="333"/>
      <c r="I10"/>
      <c r="K10" s="39"/>
      <c r="L10" s="39"/>
      <c r="M10" s="342"/>
      <c r="N10" s="342"/>
      <c r="P10" s="158" t="s">
        <v>164</v>
      </c>
      <c r="Q10" s="39"/>
      <c r="R10" s="150">
        <f>SUM(INPUT!H41:H43)</f>
        <v>105366</v>
      </c>
      <c r="S10" s="253">
        <f>SUM(INPUT!H41:H43)</f>
        <v>105366</v>
      </c>
      <c r="T10" s="15"/>
      <c r="U10" s="15"/>
    </row>
    <row r="11" spans="1:22" ht="19.95" customHeight="1" x14ac:dyDescent="0.35">
      <c r="B11" s="334" t="s">
        <v>477</v>
      </c>
      <c r="C11" s="338">
        <f>IFERROR(RATIOS!H17,"N/A")</f>
        <v>3.7894979984550756E-2</v>
      </c>
      <c r="D11" s="333" t="s">
        <v>681</v>
      </c>
      <c r="E11"/>
      <c r="F11" s="331" t="s">
        <v>686</v>
      </c>
      <c r="G11" s="335">
        <f>IFERROR(SCENARIOS!F22,"N/A")</f>
        <v>352.17329245861441</v>
      </c>
      <c r="H11" s="333"/>
      <c r="I11"/>
      <c r="K11" s="43" t="s">
        <v>158</v>
      </c>
      <c r="L11" s="39"/>
      <c r="M11" s="254">
        <f>ABS(INPUT!H14)</f>
        <v>60018</v>
      </c>
      <c r="N11" s="254"/>
      <c r="P11" s="39"/>
      <c r="Q11" s="39"/>
      <c r="R11" s="255"/>
      <c r="S11" s="39"/>
      <c r="T11" s="15"/>
      <c r="U11" s="15"/>
    </row>
    <row r="12" spans="1:22" ht="15" customHeight="1" thickBot="1" x14ac:dyDescent="0.4">
      <c r="C12"/>
      <c r="E12"/>
      <c r="F12"/>
      <c r="G12"/>
      <c r="H12"/>
      <c r="I12"/>
      <c r="J12"/>
      <c r="K12" s="158" t="s">
        <v>165</v>
      </c>
      <c r="L12" s="39"/>
      <c r="M12" s="150">
        <f>ABS(INPUT!H15)</f>
        <v>6411</v>
      </c>
      <c r="N12" s="147">
        <f>ABS(INPUT!H15)</f>
        <v>6411</v>
      </c>
      <c r="O12"/>
      <c r="P12" s="43" t="s">
        <v>31</v>
      </c>
      <c r="Q12" s="39"/>
      <c r="R12" s="343">
        <f>INPUT!H44</f>
        <v>580310</v>
      </c>
      <c r="S12" s="343">
        <f>INPUT!H44</f>
        <v>580310</v>
      </c>
      <c r="T12" s="15"/>
      <c r="U12" s="15"/>
    </row>
    <row r="13" spans="1:22" ht="21" x14ac:dyDescent="0.5">
      <c r="A13" s="5"/>
      <c r="B13" s="5" t="s">
        <v>694</v>
      </c>
      <c r="C13" s="5"/>
      <c r="D13" s="5"/>
      <c r="E13" s="5"/>
      <c r="F13" s="5"/>
      <c r="G13" s="5"/>
      <c r="H13"/>
      <c r="I13"/>
      <c r="J13"/>
      <c r="K13" s="158" t="s">
        <v>166</v>
      </c>
      <c r="L13" s="39"/>
      <c r="M13" s="150">
        <f>ABS(INPUT!H16)</f>
        <v>8821</v>
      </c>
      <c r="N13" s="147">
        <f>ABS(INPUT!H16)</f>
        <v>8821</v>
      </c>
      <c r="O13"/>
      <c r="P13" s="39"/>
      <c r="Q13" s="39"/>
      <c r="R13" s="255"/>
      <c r="S13" s="39"/>
      <c r="T13" s="15"/>
      <c r="U13" s="15"/>
    </row>
    <row r="14" spans="1:22" ht="15" customHeight="1" x14ac:dyDescent="0.35">
      <c r="B14" s="331" t="s">
        <v>7</v>
      </c>
      <c r="C14" s="340">
        <f>INPUT!H9</f>
        <v>181847</v>
      </c>
      <c r="D14" s="333" t="s">
        <v>494</v>
      </c>
      <c r="F14" s="331" t="s">
        <v>145</v>
      </c>
      <c r="G14" s="338">
        <f>IFERROR(INPUT!H26/INPUT!H9,"N/A")</f>
        <v>0.5722228026857743</v>
      </c>
      <c r="H14"/>
      <c r="I14"/>
      <c r="J14"/>
      <c r="K14" s="158" t="s">
        <v>167</v>
      </c>
      <c r="L14" s="39"/>
      <c r="M14" s="150">
        <f>ABS(INPUT!H20)</f>
        <v>97898</v>
      </c>
      <c r="N14" s="147">
        <f>ABS(INPUT!H20)</f>
        <v>97898</v>
      </c>
      <c r="O14"/>
      <c r="P14" s="43" t="s">
        <v>168</v>
      </c>
      <c r="Q14" s="39"/>
      <c r="R14" s="254">
        <f>INPUT!H51</f>
        <v>256196</v>
      </c>
      <c r="S14" s="253"/>
      <c r="T14" s="15"/>
      <c r="U14" s="15"/>
    </row>
    <row r="15" spans="1:22" ht="15" customHeight="1" x14ac:dyDescent="0.35">
      <c r="B15" s="331" t="s">
        <v>21</v>
      </c>
      <c r="C15" s="340">
        <f>INPUT!H30</f>
        <v>37685</v>
      </c>
      <c r="D15" s="333" t="s">
        <v>494</v>
      </c>
      <c r="F15" s="331" t="s">
        <v>303</v>
      </c>
      <c r="G15" s="339">
        <f>IFERROR(RATIOS!H15,"N/A")</f>
        <v>0.17931278109975701</v>
      </c>
      <c r="H15"/>
      <c r="I15"/>
      <c r="J15"/>
      <c r="K15" s="158" t="s">
        <v>169</v>
      </c>
      <c r="L15" s="39"/>
      <c r="M15" s="148">
        <f>SUM(M12:M14)</f>
        <v>113130</v>
      </c>
      <c r="N15" s="146">
        <f>SUM(N12:N14)</f>
        <v>113130</v>
      </c>
      <c r="O15"/>
      <c r="P15" s="158" t="s">
        <v>170</v>
      </c>
      <c r="Q15" s="39"/>
      <c r="R15" s="150">
        <f>INPUT!H54</f>
        <v>433970</v>
      </c>
      <c r="S15" s="253">
        <f>INPUT!H51</f>
        <v>256196</v>
      </c>
      <c r="T15" s="15"/>
      <c r="U15" s="15"/>
    </row>
    <row r="16" spans="1:22" ht="15" customHeight="1" x14ac:dyDescent="0.35">
      <c r="B16" s="331" t="s">
        <v>19</v>
      </c>
      <c r="C16" s="340">
        <f>INPUT!H26</f>
        <v>104057</v>
      </c>
      <c r="D16" s="333" t="s">
        <v>494</v>
      </c>
      <c r="F16" s="331" t="s">
        <v>689</v>
      </c>
      <c r="G16" s="340">
        <f>IFERROR(INPUT!H97,"N/A")</f>
        <v>833646.04</v>
      </c>
      <c r="H16"/>
      <c r="I16"/>
      <c r="J16"/>
      <c r="K16" s="158" t="s">
        <v>171</v>
      </c>
      <c r="L16" s="39"/>
      <c r="M16" s="344">
        <f>SUM(M12:M15)</f>
        <v>226260</v>
      </c>
      <c r="N16" s="344">
        <f>SUM(N12:N15)</f>
        <v>226260</v>
      </c>
      <c r="O16"/>
      <c r="P16" s="158" t="s">
        <v>172</v>
      </c>
      <c r="Q16" s="39"/>
      <c r="R16" s="150">
        <f>INPUT!H60</f>
        <v>531319</v>
      </c>
      <c r="S16" s="253">
        <f>INPUT!H54</f>
        <v>433970</v>
      </c>
      <c r="T16" s="15"/>
      <c r="U16" s="15"/>
    </row>
    <row r="17" spans="2:21" ht="15" customHeight="1" x14ac:dyDescent="0.35">
      <c r="B17" s="331" t="s">
        <v>687</v>
      </c>
      <c r="C17" s="340">
        <f>IFERROR(INPUT!H75-ABS(INPUT!H78),"N/A")</f>
        <v>82804</v>
      </c>
      <c r="D17" s="333" t="s">
        <v>494</v>
      </c>
      <c r="F17" s="331" t="s">
        <v>690</v>
      </c>
      <c r="G17" s="340">
        <f>IFERROR(INPUT!H60,"N/A")</f>
        <v>531319</v>
      </c>
      <c r="H17"/>
      <c r="I17"/>
      <c r="J17"/>
      <c r="K17" s="39"/>
      <c r="L17" s="39"/>
      <c r="M17" s="255"/>
      <c r="N17" s="39"/>
      <c r="O17"/>
      <c r="P17" s="158" t="s">
        <v>173</v>
      </c>
      <c r="Q17" s="39"/>
      <c r="R17" s="150">
        <f>INPUT!F60</f>
        <v>454538</v>
      </c>
      <c r="S17" s="253">
        <f>INPUT!H60</f>
        <v>531319</v>
      </c>
      <c r="T17" s="15"/>
      <c r="U17" s="15"/>
    </row>
    <row r="18" spans="2:21" ht="15" customHeight="1" x14ac:dyDescent="0.35">
      <c r="B18" s="331" t="s">
        <v>31</v>
      </c>
      <c r="C18" s="340">
        <f>INPUT!H44</f>
        <v>580310</v>
      </c>
      <c r="D18" s="333" t="s">
        <v>494</v>
      </c>
      <c r="F18" s="331" t="s">
        <v>691</v>
      </c>
      <c r="G18" s="341">
        <f>IFERROR((INPUT!H60-INPUT!H42)/INPUT!H96,"N/A")</f>
        <v>174.2343720843441</v>
      </c>
      <c r="H18"/>
      <c r="I18"/>
      <c r="J18"/>
      <c r="K18" s="39"/>
      <c r="L18" s="39"/>
      <c r="M18" s="253">
        <f>M8+M9-M16</f>
        <v>-122146</v>
      </c>
      <c r="N18" s="253"/>
      <c r="O18"/>
      <c r="P18" s="39"/>
      <c r="Q18" s="39"/>
      <c r="R18" s="254">
        <f>INPUT!H63</f>
        <v>1221485</v>
      </c>
      <c r="S18" s="253"/>
      <c r="T18" s="15"/>
      <c r="U18" s="15"/>
    </row>
    <row r="19" spans="2:21" ht="15" customHeight="1" thickBot="1" x14ac:dyDescent="0.4">
      <c r="B19" s="331" t="s">
        <v>688</v>
      </c>
      <c r="C19" s="340">
        <f>IFERROR(INPUT!H54+INPUT!H48-INPUT!H34,"N/A")</f>
        <v>156644</v>
      </c>
      <c r="D19" s="333" t="s">
        <v>494</v>
      </c>
      <c r="F19" s="331" t="s">
        <v>692</v>
      </c>
      <c r="G19" s="341">
        <f>IFERROR(INPUT!H26/INPUT!H96,"N/A")</f>
        <v>38.834484045530886</v>
      </c>
      <c r="H19"/>
      <c r="I19"/>
      <c r="J19"/>
      <c r="K19" s="43" t="s">
        <v>174</v>
      </c>
      <c r="L19" s="39"/>
      <c r="M19" s="141">
        <f>M8+M9-M16</f>
        <v>-122146</v>
      </c>
      <c r="N19" s="141">
        <f>N8-N9-N16</f>
        <v>-122146</v>
      </c>
      <c r="O19"/>
      <c r="P19" s="43" t="s">
        <v>175</v>
      </c>
      <c r="Q19" s="39"/>
      <c r="R19" s="343">
        <f>INPUT!F63</f>
        <v>1054756</v>
      </c>
      <c r="S19" s="343">
        <f>INPUT!H63</f>
        <v>1221485</v>
      </c>
      <c r="T19" s="293"/>
      <c r="U19" s="293"/>
    </row>
    <row r="20" spans="2:21" ht="15" customHeight="1" x14ac:dyDescent="0.3">
      <c r="C20"/>
      <c r="E20"/>
      <c r="F20"/>
      <c r="G20"/>
      <c r="H20"/>
      <c r="I20"/>
      <c r="J20"/>
      <c r="O20"/>
      <c r="P20" s="101"/>
      <c r="Q20" s="101" t="s">
        <v>426</v>
      </c>
      <c r="R20" s="294">
        <f>SCENARIOS!D22</f>
        <v>73.90687744915094</v>
      </c>
      <c r="S20" s="294">
        <f>INPUT!H95</f>
        <v>311.12</v>
      </c>
      <c r="T20" s="101"/>
      <c r="U20" s="101"/>
    </row>
    <row r="21" spans="2:21" ht="15" customHeight="1" x14ac:dyDescent="0.3">
      <c r="C21"/>
      <c r="E21"/>
      <c r="F21"/>
      <c r="G21"/>
      <c r="H21"/>
      <c r="I21"/>
      <c r="J21"/>
      <c r="K21"/>
      <c r="L21"/>
      <c r="M21"/>
      <c r="N21"/>
      <c r="O21"/>
      <c r="P21" s="101"/>
      <c r="Q21" s="101"/>
      <c r="R21" s="294"/>
      <c r="S21" s="294"/>
      <c r="T21" s="101"/>
      <c r="U21" s="101"/>
    </row>
    <row r="22" spans="2:21" ht="15" customHeight="1" x14ac:dyDescent="0.35">
      <c r="C22" s="238" t="s">
        <v>146</v>
      </c>
      <c r="D22" s="238"/>
      <c r="E22" s="238"/>
      <c r="F22" s="238"/>
      <c r="G22" s="248"/>
      <c r="H22" s="331"/>
      <c r="I22"/>
      <c r="J22"/>
      <c r="K22" s="240" t="s">
        <v>149</v>
      </c>
      <c r="L22" s="240"/>
      <c r="M22" s="240"/>
      <c r="N22" s="249"/>
      <c r="O22"/>
      <c r="P22" s="240" t="s">
        <v>150</v>
      </c>
      <c r="Q22" s="249"/>
      <c r="R22" s="249"/>
      <c r="S22" s="249"/>
      <c r="T22" s="249"/>
    </row>
    <row r="23" spans="2:21" ht="15" customHeight="1" x14ac:dyDescent="0.35">
      <c r="B23" s="331"/>
      <c r="C23" s="332"/>
      <c r="D23" s="331"/>
      <c r="E23" s="332"/>
      <c r="F23" s="331"/>
      <c r="G23" s="332"/>
      <c r="H23" s="331"/>
      <c r="I23" s="332"/>
      <c r="J23" s="331"/>
      <c r="K23" s="39"/>
      <c r="L23" s="39"/>
      <c r="M23" s="39"/>
      <c r="N23" s="250"/>
      <c r="O23" s="332"/>
      <c r="P23" s="39"/>
      <c r="Q23" s="39"/>
      <c r="R23" s="39"/>
      <c r="S23" s="39"/>
      <c r="T23" s="39"/>
      <c r="U23" s="39"/>
    </row>
    <row r="24" spans="2:21" ht="15" customHeight="1" x14ac:dyDescent="0.35">
      <c r="B24" s="331"/>
      <c r="C24" s="332"/>
      <c r="D24" s="331"/>
      <c r="E24" s="332"/>
      <c r="F24" s="331"/>
      <c r="G24" s="332"/>
      <c r="H24" s="331"/>
      <c r="I24" s="332"/>
      <c r="J24" s="331"/>
      <c r="K24" s="39"/>
      <c r="L24" s="241" t="s">
        <v>151</v>
      </c>
      <c r="M24" s="144" t="s">
        <v>152</v>
      </c>
      <c r="N24" s="145"/>
      <c r="O24" s="332"/>
      <c r="P24" s="39"/>
      <c r="Q24" s="241" t="s">
        <v>153</v>
      </c>
      <c r="R24" s="241" t="s">
        <v>154</v>
      </c>
      <c r="S24" s="241" t="s">
        <v>155</v>
      </c>
      <c r="T24" s="241" t="s">
        <v>156</v>
      </c>
      <c r="U24" s="15"/>
    </row>
    <row r="25" spans="2:21" ht="15" customHeight="1" x14ac:dyDescent="0.35">
      <c r="B25" s="331"/>
      <c r="C25" s="332"/>
      <c r="D25" s="331"/>
      <c r="E25" s="332"/>
      <c r="F25" s="331"/>
      <c r="G25" s="332"/>
      <c r="H25" s="331"/>
      <c r="I25" s="332"/>
      <c r="J25" s="331"/>
      <c r="K25" s="242" t="s">
        <v>7</v>
      </c>
      <c r="L25" s="243">
        <f>AVERAGE(INPUT!D9:H9)</f>
        <v>158491.25</v>
      </c>
      <c r="M25" s="346" t="str">
        <f>IF(INPUT!H9&gt;INPUT!E9,"▲",IF(INPUT!H9&lt;INPUT!E9,"▼","→"))</f>
        <v>▲</v>
      </c>
      <c r="N25" s="250"/>
      <c r="O25" s="332"/>
      <c r="P25" s="242" t="s">
        <v>7</v>
      </c>
      <c r="Q25" s="244">
        <f>INPUT!H9</f>
        <v>181847</v>
      </c>
      <c r="R25" s="244">
        <f>INPUT!G9</f>
        <v>169439</v>
      </c>
      <c r="S25" s="244">
        <f>Q25-R25</f>
        <v>12408</v>
      </c>
      <c r="T25" s="216">
        <f>IF(R25=0,NA(),S25/ABS(R25))</f>
        <v>7.322989394413329E-2</v>
      </c>
      <c r="U25" s="15"/>
    </row>
    <row r="26" spans="2:21" ht="15" customHeight="1" x14ac:dyDescent="0.35">
      <c r="B26" s="331"/>
      <c r="C26" s="332"/>
      <c r="D26" s="331"/>
      <c r="E26" s="332"/>
      <c r="F26" s="331"/>
      <c r="G26" s="332"/>
      <c r="H26" s="331"/>
      <c r="I26" s="332"/>
      <c r="J26" s="331"/>
      <c r="K26" s="251"/>
      <c r="L26" s="250"/>
      <c r="M26" s="347"/>
      <c r="N26" s="250"/>
      <c r="O26" s="332"/>
      <c r="P26" s="242"/>
      <c r="Q26" s="252"/>
      <c r="R26" s="252"/>
      <c r="S26" s="252"/>
      <c r="T26" s="205"/>
      <c r="U26" s="15"/>
    </row>
    <row r="27" spans="2:21" ht="15" customHeight="1" x14ac:dyDescent="0.35">
      <c r="B27" s="331"/>
      <c r="C27" s="332"/>
      <c r="D27" s="331"/>
      <c r="E27" s="332"/>
      <c r="F27" s="331"/>
      <c r="G27" s="332"/>
      <c r="H27" s="331"/>
      <c r="I27" s="332"/>
      <c r="J27" s="331"/>
      <c r="K27" s="242" t="s">
        <v>157</v>
      </c>
      <c r="L27" s="150">
        <f>ABS(AVERAGE(INPUT!D10:H10))</f>
        <v>74423.75</v>
      </c>
      <c r="M27" s="346" t="str">
        <f>IF(ABS(INPUT!H10)&lt;ABS(INPUT!E10),"▲",IF(ABS(INPUT!H10)&gt;ABS(INPUT!E10),"▼","→"))</f>
        <v>▼</v>
      </c>
      <c r="N27" s="250"/>
      <c r="O27" s="332"/>
      <c r="P27" s="242" t="s">
        <v>157</v>
      </c>
      <c r="Q27" s="244">
        <f>ABS(INPUT!H10)</f>
        <v>77733</v>
      </c>
      <c r="R27" s="150">
        <f>ABS(INPUT!G10)</f>
        <v>80240</v>
      </c>
      <c r="S27" s="244">
        <f>Q27-R27</f>
        <v>-2507</v>
      </c>
      <c r="T27" s="216">
        <f>IF(R27=0,NA(),S27/ABS(R27))</f>
        <v>-3.1243768693918244E-2</v>
      </c>
      <c r="U27" s="15"/>
    </row>
    <row r="28" spans="2:21" ht="15" customHeight="1" x14ac:dyDescent="0.35">
      <c r="B28" s="331"/>
      <c r="C28" s="332"/>
      <c r="D28" s="331"/>
      <c r="E28" s="332"/>
      <c r="F28" s="331"/>
      <c r="G28" s="332"/>
      <c r="H28" s="331"/>
      <c r="I28" s="332"/>
      <c r="J28" s="331"/>
      <c r="K28" s="251"/>
      <c r="L28" s="250"/>
      <c r="M28" s="347"/>
      <c r="N28" s="250"/>
      <c r="O28" s="332"/>
      <c r="P28" s="242"/>
      <c r="Q28" s="252"/>
      <c r="R28" s="252"/>
      <c r="S28" s="252"/>
      <c r="T28" s="205"/>
      <c r="U28" s="15"/>
    </row>
    <row r="29" spans="2:21" ht="15" customHeight="1" x14ac:dyDescent="0.35">
      <c r="B29" s="331"/>
      <c r="C29" s="332"/>
      <c r="D29" s="331"/>
      <c r="E29" s="332"/>
      <c r="F29" s="331"/>
      <c r="G29" s="332"/>
      <c r="H29" s="331"/>
      <c r="I29" s="332"/>
      <c r="J29" s="331"/>
      <c r="K29" s="242" t="s">
        <v>158</v>
      </c>
      <c r="L29" s="150">
        <f>ABS(AVERAGE(INPUT!D13:H13))</f>
        <v>52453.8</v>
      </c>
      <c r="M29" s="346" t="str">
        <f>IF(ABS(INPUT!H13)&lt;ABS(INPUT!E13),"▲",IF(ABS(INPUT!H13)&gt;ABS(INPUT!E13),"▼","→"))</f>
        <v>▼</v>
      </c>
      <c r="N29" s="250"/>
      <c r="O29" s="332"/>
      <c r="P29" s="242" t="s">
        <v>158</v>
      </c>
      <c r="Q29" s="244">
        <f>ABS(INPUT!H13)</f>
        <v>75250</v>
      </c>
      <c r="R29" s="150">
        <f>ABS(INPUT!G13)</f>
        <v>68809</v>
      </c>
      <c r="S29" s="244">
        <f>Q29-R29</f>
        <v>6441</v>
      </c>
      <c r="T29" s="216">
        <f>IF(R29=0,NA(),S29/ABS(R29))</f>
        <v>9.3606940952491682E-2</v>
      </c>
      <c r="U29" s="15"/>
    </row>
    <row r="30" spans="2:21" ht="15" customHeight="1" x14ac:dyDescent="0.35">
      <c r="B30" s="331"/>
      <c r="C30" s="3"/>
      <c r="D30" s="3"/>
      <c r="E30" s="3"/>
      <c r="F30" s="3"/>
      <c r="G30" s="3"/>
      <c r="H30" s="3"/>
      <c r="I30" s="332"/>
      <c r="J30" s="331"/>
      <c r="K30" s="251"/>
      <c r="L30" s="250"/>
      <c r="M30" s="347"/>
      <c r="N30" s="250"/>
      <c r="O30" s="332"/>
      <c r="P30" s="242"/>
      <c r="Q30" s="252"/>
      <c r="R30" s="252"/>
      <c r="S30" s="252"/>
      <c r="T30" s="205"/>
      <c r="U30" s="15"/>
    </row>
    <row r="31" spans="2:21" ht="15" customHeight="1" x14ac:dyDescent="0.35">
      <c r="B31" s="331"/>
      <c r="C31" s="39"/>
      <c r="D31" s="39"/>
      <c r="E31" s="39"/>
      <c r="F31" s="39"/>
      <c r="G31" s="39"/>
      <c r="H31" s="39"/>
      <c r="I31" s="332"/>
      <c r="J31" s="331"/>
      <c r="K31" s="242" t="s">
        <v>19</v>
      </c>
      <c r="L31" s="150">
        <f>AVERAGE(INPUT!D26:H26)</f>
        <v>67663.600000000006</v>
      </c>
      <c r="M31" s="346" t="str">
        <f>IF(INPUT!H26&gt;INPUT!E26,"▲",IF(INPUT!H26&lt;INPUT!E26,"▼","→"))</f>
        <v>▲</v>
      </c>
      <c r="N31" s="250"/>
      <c r="O31" s="332"/>
      <c r="P31" s="242" t="s">
        <v>19</v>
      </c>
      <c r="Q31" s="244">
        <f>INPUT!H26</f>
        <v>104057</v>
      </c>
      <c r="R31" s="150">
        <f>INPUT!G26</f>
        <v>87983</v>
      </c>
      <c r="S31" s="244">
        <f>Q31-R31</f>
        <v>16074</v>
      </c>
      <c r="T31" s="216">
        <f>IF(R31=0,NA(),S31/ABS(R31))</f>
        <v>0.18269438414239114</v>
      </c>
      <c r="U31" s="15"/>
    </row>
    <row r="32" spans="2:21" ht="15" customHeight="1" x14ac:dyDescent="0.35">
      <c r="B32" s="3"/>
      <c r="C32" s="39"/>
      <c r="D32" s="39"/>
      <c r="E32" s="39"/>
      <c r="F32" s="39"/>
      <c r="G32" s="39"/>
      <c r="H32" s="39"/>
      <c r="I32" s="3"/>
      <c r="J32" s="3"/>
      <c r="K32" s="251"/>
      <c r="L32" s="250"/>
      <c r="M32" s="347"/>
      <c r="N32" s="250"/>
      <c r="O32" s="3"/>
      <c r="P32" s="242"/>
      <c r="Q32" s="39"/>
      <c r="R32" s="39"/>
      <c r="S32" s="39"/>
      <c r="T32" s="205"/>
      <c r="U32" s="15"/>
    </row>
    <row r="33" spans="2:21" ht="15" customHeight="1" x14ac:dyDescent="0.35">
      <c r="B33" s="39"/>
      <c r="C33" s="39"/>
      <c r="D33" s="39"/>
      <c r="E33" s="39"/>
      <c r="F33" s="39"/>
      <c r="G33" s="39"/>
      <c r="H33" s="39"/>
      <c r="I33" s="39"/>
      <c r="J33" s="39"/>
      <c r="K33" s="242" t="s">
        <v>159</v>
      </c>
      <c r="L33" s="245">
        <f>AVERAGE(INPUT!D26:H26)/AVERAGE(INPUT!D9:H9)</f>
        <v>0.42692325286096239</v>
      </c>
      <c r="M33" s="346" t="str">
        <f>IF((INPUT!H26/INPUT!H9)&gt;(INPUT!E26/INPUT!E9),"▲",IF((INPUT!H26/INPUT!H9)&lt;(INPUT!E26/INPUT!E9),"▼","→"))</f>
        <v>▲</v>
      </c>
      <c r="N33" s="250"/>
      <c r="O33" s="39"/>
      <c r="P33" s="242" t="s">
        <v>159</v>
      </c>
      <c r="Q33" s="216">
        <f>INPUT!H26/INPUT!H9</f>
        <v>0.5722228026857743</v>
      </c>
      <c r="R33" s="216">
        <f>INPUT!G26/INPUT!G9</f>
        <v>0.51926061886578656</v>
      </c>
      <c r="S33" s="216">
        <f>Q33-R33</f>
        <v>5.296218381998774E-2</v>
      </c>
      <c r="T33" s="216">
        <f>IF(R33=0,NA(),S33/ABS(R33))</f>
        <v>0.10199537938323201</v>
      </c>
      <c r="U33" s="15"/>
    </row>
    <row r="34" spans="2:21" ht="15" customHeight="1" x14ac:dyDescent="0.3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133"/>
      <c r="Q34" s="101" t="s">
        <v>673</v>
      </c>
      <c r="R34" s="294">
        <f>'BANK VALUATION'!D18</f>
        <v>148.64247634825665</v>
      </c>
      <c r="S34" s="294">
        <f>INPUT!H95</f>
        <v>311.12</v>
      </c>
      <c r="T34" s="101"/>
      <c r="U34" s="101"/>
    </row>
    <row r="35" spans="2:21" ht="15" customHeight="1" x14ac:dyDescent="0.3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/>
    </row>
    <row r="36" spans="2:21" ht="15" customHeight="1" x14ac:dyDescent="0.3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/>
    </row>
    <row r="37" spans="2:21" ht="15" customHeight="1" x14ac:dyDescent="0.3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/>
    </row>
    <row r="38" spans="2:21" ht="15" customHeight="1" x14ac:dyDescent="0.35">
      <c r="B38" s="39"/>
      <c r="C38" s="295"/>
      <c r="D38" s="295"/>
      <c r="E38" s="295"/>
      <c r="F38" s="295"/>
      <c r="G38" s="295"/>
      <c r="H38" s="295"/>
      <c r="I38" s="39"/>
      <c r="J38" s="39"/>
      <c r="K38" s="39"/>
      <c r="L38" s="39"/>
      <c r="M38" s="39"/>
      <c r="N38" s="39"/>
      <c r="O38" s="39"/>
      <c r="P38"/>
    </row>
    <row r="39" spans="2:21" ht="15" customHeight="1" x14ac:dyDescent="0.35">
      <c r="B39" s="39"/>
      <c r="I39" s="39"/>
      <c r="J39" s="39"/>
      <c r="K39" s="39"/>
      <c r="L39" s="39"/>
      <c r="M39" s="39"/>
      <c r="N39" s="39"/>
      <c r="O39" s="39"/>
      <c r="P39"/>
    </row>
    <row r="40" spans="2:21" ht="15" customHeight="1" x14ac:dyDescent="0.35">
      <c r="B40" s="39"/>
      <c r="C40"/>
      <c r="E40"/>
      <c r="F40"/>
      <c r="G40"/>
      <c r="H40"/>
      <c r="I40" s="295"/>
      <c r="J40" s="295"/>
      <c r="K40" s="295"/>
      <c r="L40" s="295"/>
      <c r="M40" s="295"/>
      <c r="N40" s="295"/>
      <c r="O40" s="295"/>
      <c r="P40"/>
    </row>
    <row r="41" spans="2:21" ht="15" customHeight="1" x14ac:dyDescent="0.3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/>
    </row>
    <row r="42" spans="2:21" ht="15" customHeight="1" x14ac:dyDescent="0.35">
      <c r="B42" s="39"/>
      <c r="C42" s="238" t="s">
        <v>147</v>
      </c>
      <c r="D42" s="238"/>
      <c r="E42" s="238"/>
      <c r="F42" s="238"/>
      <c r="G42" s="248"/>
      <c r="H42" s="39"/>
      <c r="I42" s="238" t="s">
        <v>148</v>
      </c>
      <c r="J42" s="249"/>
      <c r="K42" s="249"/>
      <c r="L42" s="249"/>
      <c r="M42" s="249"/>
      <c r="N42" s="249"/>
      <c r="O42" s="39"/>
      <c r="P42" s="238" t="s">
        <v>697</v>
      </c>
      <c r="Q42" s="249"/>
      <c r="R42" s="249"/>
      <c r="S42" s="249"/>
    </row>
    <row r="43" spans="2:21" ht="15" customHeight="1" x14ac:dyDescent="0.35">
      <c r="B43" s="39"/>
      <c r="C43" s="239"/>
      <c r="D43" s="239"/>
      <c r="E43" s="239"/>
      <c r="F43" s="239"/>
      <c r="G43" s="239"/>
      <c r="H43" s="39"/>
      <c r="I43" s="239"/>
      <c r="J43" s="239"/>
      <c r="K43" s="239"/>
      <c r="L43" s="239"/>
      <c r="M43" s="239"/>
      <c r="N43" s="39"/>
      <c r="O43" s="39"/>
      <c r="P43"/>
    </row>
    <row r="44" spans="2:21" ht="15" customHeight="1" x14ac:dyDescent="0.3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/>
    </row>
    <row r="45" spans="2:21" ht="15" customHeight="1" x14ac:dyDescent="0.3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/>
    </row>
    <row r="46" spans="2:21" ht="15" customHeight="1" x14ac:dyDescent="0.3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/>
    </row>
    <row r="47" spans="2:21" ht="15" customHeight="1" x14ac:dyDescent="0.3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/>
    </row>
    <row r="48" spans="2:21" ht="15" customHeight="1" x14ac:dyDescent="0.3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/>
    </row>
    <row r="49" spans="2:17" ht="15" customHeight="1" x14ac:dyDescent="0.3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/>
    </row>
    <row r="50" spans="2:17" ht="15" customHeight="1" x14ac:dyDescent="0.3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/>
    </row>
    <row r="51" spans="2:17" ht="15" customHeight="1" x14ac:dyDescent="0.35"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</row>
    <row r="52" spans="2:17" ht="15" customHeight="1" x14ac:dyDescent="0.35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</row>
    <row r="53" spans="2:17" ht="15" customHeight="1" x14ac:dyDescent="0.35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</row>
    <row r="54" spans="2:17" ht="15" customHeight="1" x14ac:dyDescent="0.35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</row>
    <row r="55" spans="2:17" ht="15" customHeight="1" x14ac:dyDescent="0.35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</row>
    <row r="56" spans="2:17" ht="15" customHeight="1" x14ac:dyDescent="0.35"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</row>
    <row r="57" spans="2:17" ht="15" customHeight="1" x14ac:dyDescent="0.35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</row>
    <row r="58" spans="2:17" ht="15" customHeight="1" x14ac:dyDescent="0.35"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</row>
    <row r="59" spans="2:17" ht="15" customHeight="1" x14ac:dyDescent="0.35">
      <c r="B59" s="39"/>
      <c r="G59" s="15"/>
      <c r="H59" s="39"/>
      <c r="O59" s="39"/>
    </row>
    <row r="60" spans="2:17" ht="15" customHeight="1" x14ac:dyDescent="0.35">
      <c r="B60" s="39"/>
      <c r="G60" s="39"/>
      <c r="H60" s="39"/>
      <c r="O60" s="39"/>
      <c r="P60" s="67"/>
      <c r="Q60" s="67"/>
    </row>
    <row r="61" spans="2:17" ht="15" customHeight="1" x14ac:dyDescent="0.35">
      <c r="B61" s="39"/>
      <c r="G61" s="143"/>
      <c r="H61" s="15"/>
      <c r="O61" s="15"/>
      <c r="Q61" s="67"/>
    </row>
    <row r="62" spans="2:17" ht="15" hidden="1" customHeight="1" outlineLevel="1" x14ac:dyDescent="0.35">
      <c r="B62" s="39"/>
      <c r="G62" s="140"/>
      <c r="H62" s="15"/>
      <c r="O62" s="15"/>
      <c r="Q62" s="67"/>
    </row>
    <row r="63" spans="2:17" ht="15" customHeight="1" collapsed="1" x14ac:dyDescent="0.35">
      <c r="B63" s="39"/>
      <c r="G63" s="39"/>
      <c r="H63" s="15"/>
      <c r="O63" s="15"/>
      <c r="Q63" s="67"/>
    </row>
    <row r="64" spans="2:17" ht="15" hidden="1" customHeight="1" outlineLevel="1" x14ac:dyDescent="0.35">
      <c r="B64" s="39"/>
      <c r="G64" s="140"/>
      <c r="H64" s="15"/>
      <c r="O64" s="15"/>
      <c r="Q64" s="67"/>
    </row>
    <row r="65" spans="2:17" ht="15" customHeight="1" collapsed="1" x14ac:dyDescent="0.35">
      <c r="B65" s="39"/>
      <c r="G65" s="39"/>
      <c r="H65" s="15"/>
      <c r="O65" s="15"/>
      <c r="Q65" s="67"/>
    </row>
    <row r="66" spans="2:17" ht="15" hidden="1" customHeight="1" outlineLevel="1" x14ac:dyDescent="0.35">
      <c r="B66" s="39"/>
      <c r="G66" s="140"/>
      <c r="H66" s="15"/>
      <c r="O66" s="15"/>
      <c r="Q66" s="67"/>
    </row>
    <row r="67" spans="2:17" ht="15" customHeight="1" collapsed="1" x14ac:dyDescent="0.35">
      <c r="B67" s="39"/>
      <c r="G67" s="39"/>
      <c r="H67" s="15"/>
      <c r="O67" s="15"/>
      <c r="Q67" s="67"/>
    </row>
    <row r="68" spans="2:17" ht="15" hidden="1" customHeight="1" outlineLevel="1" x14ac:dyDescent="0.35">
      <c r="B68" s="39"/>
      <c r="G68" s="140"/>
      <c r="H68" s="15"/>
      <c r="O68" s="15"/>
      <c r="Q68" s="67"/>
    </row>
    <row r="69" spans="2:17" ht="15" customHeight="1" collapsed="1" x14ac:dyDescent="0.35">
      <c r="B69" s="39"/>
      <c r="G69" s="39"/>
      <c r="H69" s="15"/>
      <c r="O69" s="15"/>
      <c r="Q69" s="67"/>
    </row>
    <row r="70" spans="2:17" ht="15" customHeight="1" x14ac:dyDescent="0.35">
      <c r="B70" s="39"/>
      <c r="G70" s="142"/>
      <c r="H70" s="15"/>
      <c r="O70" s="15"/>
      <c r="Q70" s="67"/>
    </row>
    <row r="71" spans="2:17" ht="15" customHeight="1" x14ac:dyDescent="0.35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67"/>
    </row>
    <row r="72" spans="2:17" ht="15" customHeight="1" x14ac:dyDescent="0.35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67"/>
      <c r="Q72" s="67"/>
    </row>
    <row r="73" spans="2:17" ht="15" customHeight="1" x14ac:dyDescent="0.35"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67"/>
      <c r="Q73" s="67"/>
    </row>
    <row r="74" spans="2:17" ht="15" customHeight="1" x14ac:dyDescent="0.35">
      <c r="B74" s="39"/>
      <c r="G74" s="39"/>
      <c r="H74" s="39"/>
      <c r="I74" s="39"/>
      <c r="J74" s="39"/>
      <c r="K74" s="39"/>
      <c r="L74" s="39"/>
      <c r="M74" s="39"/>
      <c r="N74" s="39"/>
      <c r="O74" s="39"/>
      <c r="P74" s="67"/>
      <c r="Q74" s="67"/>
    </row>
    <row r="75" spans="2:17" ht="15" customHeight="1" x14ac:dyDescent="0.35">
      <c r="B75" s="39"/>
      <c r="G75" s="15"/>
      <c r="H75" s="39"/>
      <c r="O75" s="39"/>
    </row>
    <row r="76" spans="2:17" ht="15" customHeight="1" x14ac:dyDescent="0.35">
      <c r="B76" s="39"/>
      <c r="G76" s="39"/>
      <c r="H76" s="39"/>
      <c r="O76" s="15"/>
    </row>
    <row r="77" spans="2:17" ht="15" customHeight="1" x14ac:dyDescent="0.35">
      <c r="B77" s="39"/>
      <c r="G77" s="37"/>
      <c r="H77" s="37"/>
      <c r="O77" s="15"/>
    </row>
    <row r="78" spans="2:17" ht="15" customHeight="1" x14ac:dyDescent="0.35">
      <c r="B78" s="39"/>
      <c r="G78" s="35"/>
      <c r="H78" s="35"/>
      <c r="O78" s="15"/>
    </row>
    <row r="79" spans="2:17" ht="15" customHeight="1" x14ac:dyDescent="0.35">
      <c r="B79" s="39"/>
      <c r="G79" s="39"/>
      <c r="H79" s="39"/>
      <c r="O79" s="15"/>
    </row>
    <row r="80" spans="2:17" ht="15" customHeight="1" x14ac:dyDescent="0.35">
      <c r="B80" s="39"/>
      <c r="G80" s="39"/>
      <c r="H80" s="39"/>
      <c r="O80" s="15"/>
    </row>
    <row r="81" spans="2:16 16370:16370" ht="15" customHeight="1" x14ac:dyDescent="0.35">
      <c r="B81" s="39"/>
      <c r="G81" s="35"/>
      <c r="H81" s="35"/>
      <c r="O81" s="15"/>
    </row>
    <row r="82" spans="2:16 16370:16370" ht="15" customHeight="1" x14ac:dyDescent="0.35">
      <c r="B82" s="39"/>
      <c r="G82" s="35"/>
      <c r="H82" s="35"/>
      <c r="O82" s="15"/>
    </row>
    <row r="83" spans="2:16 16370:16370" ht="15" customHeight="1" x14ac:dyDescent="0.35">
      <c r="B83" s="39"/>
      <c r="G83" s="35"/>
      <c r="H83" s="35"/>
      <c r="O83" s="15"/>
    </row>
    <row r="84" spans="2:16 16370:16370" ht="15" customHeight="1" x14ac:dyDescent="0.35">
      <c r="B84" s="39"/>
      <c r="G84" s="35"/>
      <c r="H84" s="35"/>
      <c r="O84" s="15"/>
    </row>
    <row r="85" spans="2:16 16370:16370" ht="15" customHeight="1" x14ac:dyDescent="0.35">
      <c r="B85" s="39"/>
      <c r="G85" s="35"/>
      <c r="H85" s="35"/>
      <c r="O85" s="15"/>
    </row>
    <row r="86" spans="2:16 16370:16370" ht="15" customHeight="1" x14ac:dyDescent="0.35">
      <c r="B86" s="39"/>
      <c r="G86" s="39"/>
      <c r="H86" s="39"/>
      <c r="O86" s="15"/>
    </row>
    <row r="87" spans="2:16 16370:16370" ht="15" customHeight="1" x14ac:dyDescent="0.35">
      <c r="B87" s="39"/>
      <c r="G87" s="39"/>
      <c r="H87" s="39"/>
      <c r="O87" s="15"/>
    </row>
    <row r="88" spans="2:16 16370:16370" ht="15" customHeight="1" x14ac:dyDescent="0.35">
      <c r="B88" s="39"/>
      <c r="G88" s="37"/>
      <c r="H88" s="37"/>
      <c r="O88" s="15"/>
    </row>
    <row r="89" spans="2:16 16370:16370" ht="15" customHeight="1" x14ac:dyDescent="0.35"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15"/>
      <c r="O89" s="15"/>
    </row>
    <row r="90" spans="2:16 16370:16370" ht="15" customHeight="1" x14ac:dyDescent="0.35">
      <c r="B90" s="3"/>
      <c r="C90" s="8"/>
      <c r="D90" s="3"/>
      <c r="E90" s="15"/>
      <c r="F90" s="15"/>
      <c r="G90" s="15"/>
      <c r="H90" s="15"/>
      <c r="I90" s="15"/>
      <c r="J90" s="15"/>
      <c r="K90" s="15"/>
      <c r="L90" s="15"/>
      <c r="M90" s="39"/>
      <c r="N90" s="15"/>
      <c r="O90" s="15"/>
    </row>
    <row r="91" spans="2:16 16370:16370" ht="15" customHeight="1" x14ac:dyDescent="0.35">
      <c r="B91" s="3"/>
      <c r="C91" s="8"/>
      <c r="D91" s="3"/>
      <c r="E91" s="15"/>
      <c r="F91" s="15"/>
      <c r="G91" s="15"/>
      <c r="H91" s="15"/>
      <c r="I91" s="15"/>
      <c r="J91" s="15"/>
      <c r="K91" s="15"/>
      <c r="L91" s="39"/>
      <c r="M91" s="15"/>
      <c r="N91" s="15"/>
      <c r="O91" s="15"/>
      <c r="XEP91" s="67"/>
    </row>
    <row r="92" spans="2:16 16370:16370" ht="15" customHeight="1" x14ac:dyDescent="0.35">
      <c r="B92" s="3"/>
      <c r="C92" s="8"/>
      <c r="D92" s="3"/>
      <c r="E92" s="15"/>
      <c r="F92" s="15"/>
      <c r="G92" s="15"/>
      <c r="H92" s="15"/>
      <c r="I92" s="15"/>
      <c r="J92" s="15"/>
      <c r="K92" s="15"/>
      <c r="L92" s="39"/>
      <c r="M92" s="15"/>
      <c r="N92" s="15"/>
      <c r="O92" s="15"/>
      <c r="XEP92" s="67"/>
    </row>
    <row r="93" spans="2:16 16370:16370" ht="15" customHeight="1" x14ac:dyDescent="0.35">
      <c r="B93" s="3"/>
      <c r="C93" s="8"/>
      <c r="D93" s="3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2:16 16370:16370" ht="15" customHeight="1" x14ac:dyDescent="0.35">
      <c r="B94" s="3"/>
      <c r="C94" s="8"/>
      <c r="D94" s="3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2:16 16370:16370" ht="15" customHeight="1" x14ac:dyDescent="0.35">
      <c r="B95" s="256"/>
      <c r="C95" s="257"/>
      <c r="D95" s="257"/>
      <c r="E95" s="257"/>
      <c r="F95" s="257"/>
      <c r="G95" s="257"/>
      <c r="H95" s="257"/>
      <c r="I95" s="257"/>
      <c r="J95" s="257"/>
      <c r="K95" s="257"/>
      <c r="L95" s="257"/>
      <c r="M95" s="257"/>
      <c r="N95" s="257"/>
      <c r="O95" s="257"/>
      <c r="P95" s="101"/>
    </row>
    <row r="96" spans="2:16 16370:16370" ht="15" customHeight="1" x14ac:dyDescent="0.35">
      <c r="B96" s="256"/>
      <c r="C96" s="257"/>
      <c r="D96" s="257"/>
      <c r="E96" s="257"/>
      <c r="F96" s="257"/>
      <c r="G96" s="257"/>
      <c r="H96" s="257"/>
      <c r="I96" s="257"/>
      <c r="J96" s="257"/>
      <c r="K96" s="257"/>
      <c r="L96" s="257"/>
      <c r="M96" s="257"/>
      <c r="N96" s="257"/>
      <c r="O96" s="257"/>
      <c r="P96" s="101"/>
    </row>
    <row r="97" spans="2:16 16374:16384" ht="15" customHeight="1" x14ac:dyDescent="0.35">
      <c r="B97" s="256"/>
      <c r="C97" s="257"/>
      <c r="D97" s="257"/>
      <c r="E97" s="257"/>
      <c r="F97" s="257"/>
      <c r="G97" s="257"/>
      <c r="H97" s="257"/>
      <c r="I97" s="257"/>
      <c r="J97" s="257"/>
      <c r="K97" s="257"/>
      <c r="L97" s="257"/>
      <c r="M97" s="257"/>
      <c r="N97" s="257"/>
      <c r="O97" s="257"/>
      <c r="P97" s="101"/>
    </row>
    <row r="98" spans="2:16 16374:16384" ht="15" customHeight="1" x14ac:dyDescent="0.35">
      <c r="B98" s="257"/>
      <c r="C98" s="257"/>
      <c r="D98" s="246" t="e">
        <f>IF(INPUT!D5="",NA(),INPUT!D5)</f>
        <v>#N/A</v>
      </c>
      <c r="E98" s="258">
        <f>INPUT!E5</f>
        <v>2022</v>
      </c>
      <c r="F98" s="259">
        <f>INPUT!F5</f>
        <v>2023</v>
      </c>
      <c r="G98" s="259">
        <f>INPUT!G5</f>
        <v>2024</v>
      </c>
      <c r="H98" s="259" t="str">
        <f>INPUT!H5</f>
        <v>2025 (LTM)</v>
      </c>
      <c r="I98" s="260"/>
      <c r="J98" s="259" t="e">
        <f>IF(INPUT!D5="",NA(),INPUT!D5)</f>
        <v>#N/A</v>
      </c>
      <c r="K98" s="259">
        <f>INPUT!E5</f>
        <v>2022</v>
      </c>
      <c r="L98" s="259">
        <f>INPUT!F5</f>
        <v>2023</v>
      </c>
      <c r="M98" s="259">
        <f>INPUT!G5</f>
        <v>2024</v>
      </c>
      <c r="N98" s="259" t="str">
        <f>INPUT!H5</f>
        <v>2025 (LTM)</v>
      </c>
      <c r="O98" s="260"/>
      <c r="P98" s="101"/>
    </row>
    <row r="99" spans="2:16 16374:16384" ht="15" customHeight="1" x14ac:dyDescent="0.35">
      <c r="B99" s="257"/>
      <c r="C99" s="257" t="s">
        <v>7</v>
      </c>
      <c r="D99" s="247" t="e">
        <f>IF(INPUT!D9="",NA(),INPUT!D9)</f>
        <v>#N/A</v>
      </c>
      <c r="E99" s="257">
        <f>IF(INPUT!E9="",NA(),INPUT!E9)</f>
        <v>127727</v>
      </c>
      <c r="F99" s="260">
        <f>IF(INPUT!F9="",NA(),INPUT!F9)</f>
        <v>154952</v>
      </c>
      <c r="G99" s="260">
        <f>IF(INPUT!G9="",NA(),INPUT!G9)</f>
        <v>169439</v>
      </c>
      <c r="H99" s="260">
        <f>IF(INPUT!H9="",NA(),INPUT!H9)</f>
        <v>181847</v>
      </c>
      <c r="I99" s="260"/>
      <c r="J99" s="260"/>
      <c r="K99" s="260"/>
      <c r="L99" s="260"/>
      <c r="M99" s="260"/>
      <c r="N99" s="260"/>
      <c r="O99" s="260"/>
      <c r="P99" s="101"/>
    </row>
    <row r="100" spans="2:16 16374:16384" ht="15" customHeight="1" x14ac:dyDescent="0.35">
      <c r="B100" s="257"/>
      <c r="C100" s="257"/>
      <c r="D100" s="257" t="s">
        <v>21</v>
      </c>
      <c r="E100" s="247">
        <f>IF(INPUT!D30="",NA(),INPUT!D30)</f>
        <v>0</v>
      </c>
      <c r="F100" s="257">
        <f>IF(INPUT!E30="",NA(),INPUT!E30)</f>
        <v>18496</v>
      </c>
      <c r="G100" s="260">
        <f>IF(INPUT!F30="",NA(),INPUT!F30)</f>
        <v>20814</v>
      </c>
      <c r="H100" s="260">
        <f>IF(INPUT!G30="",NA(),INPUT!G30)</f>
        <v>28328</v>
      </c>
      <c r="I100" s="260">
        <f>IF(INPUT!H30="",NA(),INPUT!H30)</f>
        <v>37685</v>
      </c>
      <c r="J100" s="260"/>
      <c r="K100" s="260"/>
      <c r="L100" s="260"/>
      <c r="M100" s="260"/>
      <c r="N100" s="260"/>
      <c r="O100" s="260"/>
      <c r="P100" s="133"/>
    </row>
    <row r="101" spans="2:16 16374:16384" ht="15" customHeight="1" x14ac:dyDescent="0.35">
      <c r="B101" s="257"/>
      <c r="C101" s="257"/>
      <c r="D101" s="257" t="s">
        <v>19</v>
      </c>
      <c r="E101" s="247">
        <f>IF(INPUT!D26="",NA(),INPUT!D26)</f>
        <v>0</v>
      </c>
      <c r="F101" s="257">
        <f>IF(INPUT!E26="",NA(),INPUT!E26)</f>
        <v>63782</v>
      </c>
      <c r="G101" s="260">
        <f>IF(INPUT!F26="",NA(),INPUT!F26)</f>
        <v>82496</v>
      </c>
      <c r="H101" s="260">
        <f>IF(INPUT!G26="",NA(),INPUT!G26)</f>
        <v>87983</v>
      </c>
      <c r="I101" s="260">
        <f>IF(INPUT!H26="",NA(),INPUT!H26)</f>
        <v>104057</v>
      </c>
      <c r="J101" s="260"/>
      <c r="K101" s="260"/>
      <c r="L101" s="260"/>
      <c r="M101" s="260"/>
      <c r="N101" s="260"/>
      <c r="O101" s="260"/>
      <c r="P101" s="133"/>
    </row>
    <row r="102" spans="2:16 16374:16384" ht="15" customHeight="1" x14ac:dyDescent="0.35">
      <c r="B102" s="257"/>
      <c r="C102" s="257"/>
      <c r="D102" s="257"/>
      <c r="E102" s="247"/>
      <c r="F102" s="257"/>
      <c r="G102" s="260"/>
      <c r="H102" s="260"/>
      <c r="I102" s="260"/>
      <c r="J102" s="260"/>
      <c r="K102" s="259" t="e">
        <f>IF(INPUT!D5="",NA(),INPUT!D5)</f>
        <v>#N/A</v>
      </c>
      <c r="L102" s="259">
        <f>INPUT!E5</f>
        <v>2022</v>
      </c>
      <c r="M102" s="259">
        <f>INPUT!F5</f>
        <v>2023</v>
      </c>
      <c r="N102" s="259">
        <f>INPUT!G5</f>
        <v>2024</v>
      </c>
      <c r="O102" s="259" t="str">
        <f>INPUT!H5</f>
        <v>2025 (LTM)</v>
      </c>
      <c r="P102" s="133"/>
    </row>
    <row r="103" spans="2:16 16374:16384" ht="15" customHeight="1" x14ac:dyDescent="0.35">
      <c r="B103" s="257"/>
      <c r="C103" s="257"/>
      <c r="D103" s="257"/>
      <c r="E103" s="247"/>
      <c r="F103" s="257"/>
      <c r="G103" s="260"/>
      <c r="H103" s="260"/>
      <c r="I103" s="260"/>
      <c r="J103" s="260" t="s">
        <v>117</v>
      </c>
      <c r="K103" s="260" t="e">
        <f>IF(INPUT!D9="",NA(),INPUT!D11/INPUT!D9)</f>
        <v>#N/A</v>
      </c>
      <c r="L103" s="260">
        <f>IF(INPUT!E9="",NA(),INPUT!E11/INPUT!E9)</f>
        <v>0.5254801255803393</v>
      </c>
      <c r="M103" s="260">
        <f>IF(INPUT!F9="",NA(),INPUT!F11/INPUT!F9)</f>
        <v>0.48943543807114459</v>
      </c>
      <c r="N103" s="260">
        <f>IF(INPUT!G9="",NA(),INPUT!G11/INPUT!G9)</f>
        <v>0.52643724290157523</v>
      </c>
      <c r="O103" s="260">
        <f>IF(INPUT!H9="",NA(),INPUT!H11/INPUT!H9)</f>
        <v>0.57253625300389888</v>
      </c>
      <c r="P103" s="133"/>
    </row>
    <row r="104" spans="2:16 16374:16384" ht="15" customHeight="1" x14ac:dyDescent="0.35">
      <c r="B104" s="257"/>
      <c r="C104" s="257"/>
      <c r="D104" s="257"/>
      <c r="E104" s="247"/>
      <c r="F104" s="257"/>
      <c r="G104" s="260"/>
      <c r="H104" s="260"/>
      <c r="I104" s="260"/>
      <c r="J104" s="260" t="s">
        <v>105</v>
      </c>
      <c r="K104" s="260" t="e">
        <f>IF(INPUT!D9="",NA(),INPUT!D30/INPUT!D9)</f>
        <v>#N/A</v>
      </c>
      <c r="L104" s="260">
        <f>IF(INPUT!E9="",NA(),INPUT!E30/INPUT!E9)</f>
        <v>0.14480885012565864</v>
      </c>
      <c r="M104" s="260">
        <f>IF(INPUT!F9="",NA(),INPUT!F30/INPUT!F9)</f>
        <v>0.1343254685321906</v>
      </c>
      <c r="N104" s="260">
        <f>IF(INPUT!G9="",NA(),INPUT!G30/INPUT!G9)</f>
        <v>0.16718701125478785</v>
      </c>
      <c r="O104" s="260">
        <f>IF(INPUT!H9="",NA(),INPUT!H30/INPUT!H9)</f>
        <v>0.20723465330745078</v>
      </c>
      <c r="P104" s="133"/>
    </row>
    <row r="105" spans="2:16 16374:16384" ht="15" customHeight="1" x14ac:dyDescent="0.35">
      <c r="B105" s="257"/>
      <c r="C105" s="257"/>
      <c r="D105" s="257"/>
      <c r="E105" s="246" t="e">
        <f>IF(INPUT!D5="",NA(),INPUT!D5)</f>
        <v>#N/A</v>
      </c>
      <c r="F105" s="258">
        <f>INPUT!E5</f>
        <v>2022</v>
      </c>
      <c r="G105" s="259">
        <f>INPUT!F5</f>
        <v>2023</v>
      </c>
      <c r="H105" s="259">
        <f>INPUT!G5</f>
        <v>2024</v>
      </c>
      <c r="I105" s="259" t="str">
        <f>INPUT!H5</f>
        <v>2025 (LTM)</v>
      </c>
      <c r="J105" s="260" t="s">
        <v>145</v>
      </c>
      <c r="K105" s="260" t="e">
        <f>IF(INPUT!D9="",NA(),INPUT!D26/INPUT!D9)</f>
        <v>#N/A</v>
      </c>
      <c r="L105" s="260">
        <f>IF(INPUT!E9="",NA(),INPUT!E26/INPUT!E9)</f>
        <v>0.4993619203457374</v>
      </c>
      <c r="M105" s="260">
        <f>IF(INPUT!F9="",NA(),INPUT!F26/INPUT!F9)</f>
        <v>0.53239712943363104</v>
      </c>
      <c r="N105" s="260">
        <f>IF(INPUT!G9="",NA(),INPUT!G26/INPUT!G9)</f>
        <v>0.51926061886578656</v>
      </c>
      <c r="O105" s="260">
        <f>IF(INPUT!H9="",NA(),INPUT!H26/INPUT!H9)</f>
        <v>0.5722228026857743</v>
      </c>
      <c r="P105" s="133"/>
    </row>
    <row r="106" spans="2:16 16374:16384" ht="15" customHeight="1" x14ac:dyDescent="0.35">
      <c r="B106" s="257"/>
      <c r="C106" s="257"/>
      <c r="D106" s="257" t="s">
        <v>7</v>
      </c>
      <c r="E106" s="247" t="e">
        <f>IF(INPUT!D9="",NA(),INPUT!D9)</f>
        <v>#N/A</v>
      </c>
      <c r="F106" s="257">
        <f>IF(INPUT!E9="",NA(),INPUT!E9)</f>
        <v>127727</v>
      </c>
      <c r="G106" s="260">
        <f>IF(INPUT!F9="",NA(),INPUT!F9)</f>
        <v>154952</v>
      </c>
      <c r="H106" s="260">
        <f>IF(INPUT!G9="",NA(),INPUT!G9)</f>
        <v>169439</v>
      </c>
      <c r="I106" s="260">
        <f>IF(INPUT!H9="",NA(),INPUT!H9)</f>
        <v>181847</v>
      </c>
      <c r="J106" s="260"/>
      <c r="K106" s="260"/>
      <c r="L106" s="260"/>
      <c r="M106" s="260"/>
      <c r="N106" s="260"/>
      <c r="O106" s="260"/>
      <c r="P106" s="133"/>
    </row>
    <row r="107" spans="2:16 16374:16384" ht="15" customHeight="1" x14ac:dyDescent="0.35">
      <c r="B107" s="257"/>
      <c r="C107" s="257"/>
      <c r="D107" s="257"/>
      <c r="E107" s="247"/>
      <c r="F107" s="257"/>
      <c r="G107" s="260"/>
      <c r="H107" s="260"/>
      <c r="I107" s="260"/>
      <c r="J107" s="260"/>
      <c r="K107" s="259" t="e">
        <f>IF(INPUT!D5="",NA(),INPUT!D5)</f>
        <v>#N/A</v>
      </c>
      <c r="L107" s="259">
        <f>INPUT!E5</f>
        <v>2022</v>
      </c>
      <c r="M107" s="259">
        <f>INPUT!F5</f>
        <v>2023</v>
      </c>
      <c r="N107" s="259">
        <f>INPUT!G5</f>
        <v>2024</v>
      </c>
      <c r="O107" s="259" t="str">
        <f>INPUT!H5</f>
        <v>2025 (LTM)</v>
      </c>
      <c r="P107" s="133"/>
    </row>
    <row r="108" spans="2:16 16374:16384" ht="15" customHeight="1" x14ac:dyDescent="0.35">
      <c r="B108" s="257"/>
      <c r="C108" s="257"/>
      <c r="D108" s="257"/>
      <c r="E108" s="247"/>
      <c r="F108" s="257"/>
      <c r="G108" s="260"/>
      <c r="H108" s="260"/>
      <c r="I108" s="260"/>
      <c r="J108" s="260" t="s">
        <v>165</v>
      </c>
      <c r="K108" s="260" t="e">
        <f>IF(INPUT!D14="",NA(),ABS(INPUT!D14))</f>
        <v>#N/A</v>
      </c>
      <c r="L108" s="260">
        <f>IF(INPUT!E14="",NA(),ABS(INPUT!E14))</f>
        <v>45547</v>
      </c>
      <c r="M108" s="260">
        <f>IF(INPUT!F14="",NA(),ABS(INPUT!F14))</f>
        <v>51056</v>
      </c>
      <c r="N108" s="260">
        <f>IF(INPUT!G14="",NA(),ABS(INPUT!G14))</f>
        <v>56331</v>
      </c>
      <c r="O108" s="260">
        <f>IF(INPUT!H14="",NA(),ABS(INPUT!H14))</f>
        <v>60018</v>
      </c>
      <c r="P108" s="133"/>
      <c r="XET108" s="27"/>
      <c r="XEV108" s="14"/>
      <c r="XEW108" s="14"/>
      <c r="XEX108" s="14"/>
      <c r="XEY108" s="14"/>
      <c r="XEZ108" s="14"/>
      <c r="XFA108" s="14"/>
      <c r="XFB108" s="14"/>
      <c r="XFC108" s="14"/>
      <c r="XFD108" s="14"/>
    </row>
    <row r="109" spans="2:16 16374:16384" ht="15" customHeight="1" x14ac:dyDescent="0.35">
      <c r="B109" s="257"/>
      <c r="C109" s="257"/>
      <c r="D109" s="257"/>
      <c r="E109" s="247"/>
      <c r="F109" s="257"/>
      <c r="G109" s="260"/>
      <c r="H109" s="260"/>
      <c r="I109" s="260"/>
      <c r="J109" s="260" t="s">
        <v>166</v>
      </c>
      <c r="K109" s="260" t="e">
        <f>IF(INPUT!D15="",NA(),ABS(INPUT!D15))</f>
        <v>#N/A</v>
      </c>
      <c r="L109" s="260">
        <f>IF(INPUT!E15="",NA(),ABS(INPUT!E15))</f>
        <v>3075</v>
      </c>
      <c r="M109" s="260">
        <f>IF(INPUT!F15="",NA(),ABS(INPUT!F15))</f>
        <v>3969</v>
      </c>
      <c r="N109" s="260">
        <f>IF(INPUT!G15="",NA(),ABS(INPUT!G15))</f>
        <v>4540</v>
      </c>
      <c r="O109" s="260">
        <f>IF(INPUT!H15="",NA(),ABS(INPUT!H15))</f>
        <v>6411</v>
      </c>
      <c r="P109" s="133"/>
      <c r="XET109" s="27"/>
      <c r="XEV109" s="14"/>
      <c r="XEW109" s="14"/>
      <c r="XEX109" s="14"/>
      <c r="XEY109" s="14"/>
      <c r="XEZ109" s="14"/>
      <c r="XFA109" s="14"/>
      <c r="XFB109" s="14"/>
      <c r="XFC109" s="14"/>
      <c r="XFD109" s="14"/>
    </row>
    <row r="110" spans="2:16 16374:16384" ht="15" customHeight="1" x14ac:dyDescent="0.35">
      <c r="B110" s="257"/>
      <c r="C110" s="257"/>
      <c r="D110" s="257"/>
      <c r="E110" s="247"/>
      <c r="F110" s="257"/>
      <c r="G110" s="260"/>
      <c r="H110" s="260"/>
      <c r="I110" s="260"/>
      <c r="J110" s="260" t="s">
        <v>167</v>
      </c>
      <c r="K110" s="260" t="e">
        <f>IF(INPUT!D16="",NA(),ABS(INPUT!D16))</f>
        <v>#N/A</v>
      </c>
      <c r="L110" s="260">
        <f>IF(INPUT!E16="",NA(),ABS(INPUT!E16))</f>
        <v>7051</v>
      </c>
      <c r="M110" s="260">
        <f>IF(INPUT!F16="",NA(),ABS(INPUT!F16))</f>
        <v>7512</v>
      </c>
      <c r="N110" s="260">
        <f>IF(INPUT!G16="",NA(),ABS(INPUT!G16))</f>
        <v>7938</v>
      </c>
      <c r="O110" s="260">
        <f>IF(INPUT!H16="",NA(),ABS(INPUT!H16))</f>
        <v>8821</v>
      </c>
      <c r="P110" s="133"/>
    </row>
    <row r="111" spans="2:16 16374:16384" ht="15" customHeight="1" x14ac:dyDescent="0.35">
      <c r="B111" s="257"/>
      <c r="C111" s="257"/>
      <c r="D111" s="257"/>
      <c r="E111" s="247"/>
      <c r="F111" s="257"/>
      <c r="G111" s="260"/>
      <c r="H111" s="260"/>
      <c r="I111" s="260"/>
      <c r="J111" s="260" t="s">
        <v>169</v>
      </c>
      <c r="K111" s="260" t="e">
        <f>IF(INPUT!D5="",NA(),INPUT!D5)</f>
        <v>#N/A</v>
      </c>
      <c r="L111" s="260">
        <f>IF(INPUT!E14="",NA(),ABS(INPUT!E20))</f>
        <v>26097</v>
      </c>
      <c r="M111" s="260">
        <f>IF(INPUT!F14="",NA(),ABS(INPUT!F20))</f>
        <v>81321</v>
      </c>
      <c r="N111" s="260">
        <f>IF(INPUT!G14="",NA(),ABS(INPUT!G20))</f>
        <v>101350</v>
      </c>
      <c r="O111" s="260">
        <f>IF(INPUT!H14="",NA(),ABS(INPUT!H20))</f>
        <v>97898</v>
      </c>
      <c r="P111" s="133"/>
    </row>
    <row r="112" spans="2:16 16374:16384" ht="15" customHeight="1" x14ac:dyDescent="0.3">
      <c r="B112" s="101"/>
      <c r="C112" s="101"/>
      <c r="D112" s="101"/>
      <c r="E112" s="134"/>
      <c r="F112" s="101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</row>
    <row r="113" spans="3:20" ht="15" customHeight="1" x14ac:dyDescent="0.3">
      <c r="C113" s="27"/>
      <c r="R113" t="s">
        <v>698</v>
      </c>
      <c r="S113" t="s">
        <v>293</v>
      </c>
      <c r="T113" t="s">
        <v>699</v>
      </c>
    </row>
    <row r="114" spans="3:20" ht="15" customHeight="1" x14ac:dyDescent="0.3">
      <c r="C114" s="27"/>
      <c r="R114">
        <v>2022</v>
      </c>
      <c r="S114">
        <f>INPUT!E26/INPUT!E60</f>
        <v>0.15295113534719873</v>
      </c>
      <c r="T114">
        <f>INPUT!E102</f>
        <v>0.10829999999999999</v>
      </c>
    </row>
    <row r="115" spans="3:20" ht="15" customHeight="1" x14ac:dyDescent="0.3">
      <c r="C115" s="27"/>
      <c r="E115"/>
      <c r="F115"/>
      <c r="G115"/>
      <c r="H115"/>
      <c r="I115"/>
      <c r="J115"/>
      <c r="K115"/>
      <c r="L115"/>
      <c r="M115"/>
      <c r="N115"/>
      <c r="O115"/>
      <c r="P115"/>
      <c r="R115">
        <v>2023</v>
      </c>
      <c r="S115">
        <f>INPUT!F26/INPUT!F60</f>
        <v>0.18149417650449468</v>
      </c>
      <c r="T115">
        <f>INPUT!F102</f>
        <v>0.10630000000000001</v>
      </c>
    </row>
    <row r="116" spans="3:20" ht="15" customHeight="1" x14ac:dyDescent="0.3">
      <c r="C116" s="27"/>
      <c r="E116"/>
      <c r="F116"/>
      <c r="G116"/>
      <c r="H116"/>
      <c r="I116"/>
      <c r="J116"/>
      <c r="K116"/>
      <c r="L116"/>
      <c r="M116"/>
      <c r="N116"/>
      <c r="O116"/>
      <c r="P116"/>
      <c r="R116">
        <v>2024</v>
      </c>
      <c r="S116">
        <f>INPUT!G26/INPUT!G60</f>
        <v>0.17910681714546284</v>
      </c>
      <c r="T116">
        <f>INPUT!G102</f>
        <v>0.10630000000000001</v>
      </c>
    </row>
    <row r="117" spans="3:20" ht="15" customHeight="1" x14ac:dyDescent="0.3">
      <c r="C117" s="27"/>
      <c r="E117"/>
      <c r="F117"/>
      <c r="G117"/>
      <c r="H117"/>
      <c r="I117"/>
      <c r="J117"/>
      <c r="K117"/>
      <c r="L117"/>
      <c r="M117"/>
      <c r="N117"/>
      <c r="O117"/>
      <c r="P117"/>
      <c r="R117" t="s">
        <v>700</v>
      </c>
      <c r="S117">
        <f>INPUT!H26/INPUT!H60</f>
        <v>0.19584656298758374</v>
      </c>
      <c r="T117">
        <f>INPUT!H102</f>
        <v>0.10630000000000001</v>
      </c>
    </row>
    <row r="118" spans="3:20" ht="15" customHeight="1" x14ac:dyDescent="0.3">
      <c r="C118" s="27"/>
      <c r="E118"/>
      <c r="F118"/>
      <c r="G118"/>
      <c r="H118"/>
      <c r="I118"/>
      <c r="J118"/>
      <c r="K118"/>
      <c r="L118"/>
      <c r="M118"/>
      <c r="N118"/>
      <c r="O118"/>
      <c r="P118"/>
      <c r="R118" t="s">
        <v>426</v>
      </c>
      <c r="S118">
        <f>SCENARIOS!D21</f>
        <v>0.14688492224068778</v>
      </c>
      <c r="T118">
        <f>SCENARIOS!D13</f>
        <v>0.115</v>
      </c>
    </row>
    <row r="119" spans="3:20" ht="15" customHeight="1" x14ac:dyDescent="0.3">
      <c r="C119" s="27"/>
      <c r="E119"/>
      <c r="F119"/>
      <c r="G119"/>
      <c r="H119"/>
      <c r="I119"/>
      <c r="J119"/>
      <c r="K119"/>
      <c r="L119"/>
      <c r="M119"/>
      <c r="N119"/>
      <c r="O119"/>
      <c r="P119"/>
      <c r="R119" t="s">
        <v>427</v>
      </c>
      <c r="S119">
        <f>SCENARIOS!E21</f>
        <v>0.19584656298758374</v>
      </c>
      <c r="T119">
        <f>SCENARIOS!E13</f>
        <v>0.106</v>
      </c>
    </row>
    <row r="120" spans="3:20" ht="15" customHeight="1" x14ac:dyDescent="0.3">
      <c r="C120" s="27"/>
      <c r="E120"/>
      <c r="F120"/>
      <c r="G120"/>
      <c r="H120"/>
      <c r="I120"/>
      <c r="J120"/>
      <c r="K120"/>
      <c r="L120"/>
      <c r="M120"/>
      <c r="N120"/>
      <c r="O120"/>
      <c r="P120"/>
      <c r="R120" t="s">
        <v>428</v>
      </c>
      <c r="S120">
        <f>SCENARIOS!F21</f>
        <v>0.2573983399265386</v>
      </c>
      <c r="T120">
        <f>SCENARIOS!F13</f>
        <v>9.5000000000000001E-2</v>
      </c>
    </row>
    <row r="121" spans="3:20" ht="15" customHeight="1" x14ac:dyDescent="0.3">
      <c r="C121" s="27"/>
      <c r="E121"/>
      <c r="F121"/>
      <c r="G121"/>
      <c r="H121"/>
      <c r="I121"/>
      <c r="J121"/>
      <c r="K121"/>
      <c r="L121"/>
      <c r="M121"/>
      <c r="N121"/>
      <c r="O121"/>
      <c r="P121"/>
      <c r="R121" t="s">
        <v>427</v>
      </c>
      <c r="S121">
        <f>SCENARIOS!E21</f>
        <v>0.19584656298758374</v>
      </c>
      <c r="T121">
        <f>SCENARIOS!E13</f>
        <v>0.106</v>
      </c>
    </row>
    <row r="122" spans="3:20" ht="15" customHeight="1" x14ac:dyDescent="0.3">
      <c r="C122" s="27"/>
      <c r="E122"/>
      <c r="F122"/>
      <c r="G122"/>
      <c r="H122"/>
      <c r="I122"/>
      <c r="J122"/>
      <c r="K122"/>
      <c r="L122"/>
      <c r="M122"/>
      <c r="N122"/>
      <c r="O122"/>
      <c r="P122"/>
      <c r="R122" t="s">
        <v>428</v>
      </c>
      <c r="S122">
        <f>SCENARIOS!F21</f>
        <v>0.2573983399265386</v>
      </c>
      <c r="T122">
        <f>SCENARIOS!F13</f>
        <v>9.5000000000000001E-2</v>
      </c>
    </row>
    <row r="123" spans="3:20" ht="15" customHeight="1" x14ac:dyDescent="0.3">
      <c r="C123" s="27"/>
      <c r="E123"/>
      <c r="F123"/>
      <c r="G123"/>
      <c r="H123"/>
      <c r="I123"/>
      <c r="J123"/>
      <c r="K123"/>
      <c r="L123"/>
      <c r="M123"/>
      <c r="N123"/>
      <c r="O123"/>
      <c r="P123"/>
    </row>
    <row r="124" spans="3:20" ht="15" customHeight="1" x14ac:dyDescent="0.3">
      <c r="C124" s="27"/>
      <c r="E124"/>
      <c r="F124"/>
      <c r="G124"/>
      <c r="H124"/>
      <c r="I124"/>
      <c r="J124"/>
      <c r="K124"/>
      <c r="L124"/>
      <c r="M124"/>
      <c r="N124"/>
      <c r="O124"/>
      <c r="P124"/>
    </row>
    <row r="125" spans="3:20" ht="15" customHeight="1" x14ac:dyDescent="0.3">
      <c r="C125" s="27"/>
      <c r="E125"/>
      <c r="F125"/>
      <c r="G125"/>
      <c r="H125"/>
      <c r="I125"/>
      <c r="J125"/>
      <c r="K125"/>
      <c r="L125"/>
      <c r="M125"/>
      <c r="N125"/>
      <c r="O125"/>
      <c r="P125"/>
    </row>
    <row r="126" spans="3:20" ht="15" customHeight="1" x14ac:dyDescent="0.3">
      <c r="C126" s="27"/>
      <c r="E126"/>
      <c r="F126"/>
      <c r="G126"/>
      <c r="H126"/>
      <c r="I126"/>
      <c r="J126"/>
      <c r="K126"/>
      <c r="L126"/>
      <c r="M126"/>
      <c r="N126"/>
      <c r="O126"/>
      <c r="P126"/>
    </row>
    <row r="127" spans="3:20" ht="15" customHeight="1" x14ac:dyDescent="0.3">
      <c r="C127" s="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3:20" ht="15" customHeight="1" x14ac:dyDescent="0.3">
      <c r="C128" s="27"/>
      <c r="E128"/>
      <c r="F128"/>
      <c r="G128"/>
      <c r="H128"/>
      <c r="I128"/>
      <c r="J128"/>
      <c r="K128"/>
      <c r="L128"/>
      <c r="M128"/>
      <c r="N128"/>
      <c r="O128"/>
      <c r="P128"/>
    </row>
    <row r="129" spans="3:16" ht="15" customHeight="1" x14ac:dyDescent="0.3">
      <c r="C129" s="27"/>
      <c r="E129"/>
      <c r="F129"/>
      <c r="G129"/>
      <c r="H129"/>
      <c r="I129"/>
      <c r="J129"/>
      <c r="K129"/>
      <c r="L129"/>
      <c r="M129"/>
      <c r="N129"/>
      <c r="O129"/>
      <c r="P129"/>
    </row>
    <row r="130" spans="3:16" ht="15" customHeight="1" x14ac:dyDescent="0.3">
      <c r="C130" s="27"/>
      <c r="E130"/>
      <c r="F130"/>
      <c r="G130"/>
      <c r="H130"/>
      <c r="I130"/>
      <c r="J130"/>
      <c r="K130"/>
      <c r="L130"/>
      <c r="M130"/>
      <c r="N130"/>
      <c r="O130"/>
      <c r="P130"/>
    </row>
    <row r="131" spans="3:16" ht="15" customHeight="1" x14ac:dyDescent="0.3">
      <c r="C131" s="27"/>
      <c r="E131"/>
      <c r="F131"/>
      <c r="G131"/>
      <c r="H131"/>
      <c r="I131"/>
      <c r="J131"/>
      <c r="K131"/>
      <c r="L131"/>
      <c r="M131"/>
      <c r="N131"/>
      <c r="O131"/>
      <c r="P131"/>
    </row>
    <row r="132" spans="3:16" ht="15" customHeight="1" x14ac:dyDescent="0.3">
      <c r="C132" s="27"/>
      <c r="E132"/>
      <c r="F132"/>
      <c r="G132"/>
      <c r="H132"/>
      <c r="I132"/>
      <c r="J132"/>
      <c r="K132"/>
      <c r="L132"/>
      <c r="M132"/>
      <c r="N132"/>
      <c r="O132"/>
      <c r="P132"/>
    </row>
    <row r="133" spans="3:16" ht="15" customHeight="1" x14ac:dyDescent="0.3">
      <c r="C133" s="27"/>
      <c r="E133"/>
      <c r="F133"/>
      <c r="G133"/>
      <c r="H133"/>
      <c r="I133"/>
      <c r="J133"/>
      <c r="K133"/>
      <c r="L133"/>
      <c r="M133"/>
      <c r="N133"/>
      <c r="O133"/>
      <c r="P133"/>
    </row>
    <row r="134" spans="3:16" ht="15" customHeight="1" x14ac:dyDescent="0.3">
      <c r="C134" s="27"/>
      <c r="E134"/>
      <c r="F134"/>
      <c r="G134"/>
      <c r="H134"/>
      <c r="I134"/>
      <c r="J134"/>
      <c r="K134"/>
      <c r="L134"/>
      <c r="M134"/>
      <c r="N134"/>
      <c r="O134"/>
      <c r="P134"/>
    </row>
    <row r="135" spans="3:16" ht="15" customHeight="1" x14ac:dyDescent="0.3">
      <c r="C135" s="27"/>
      <c r="E135"/>
      <c r="F135"/>
      <c r="G135"/>
      <c r="H135"/>
      <c r="I135"/>
      <c r="J135"/>
      <c r="K135"/>
      <c r="L135"/>
      <c r="M135"/>
      <c r="N135"/>
      <c r="O135"/>
      <c r="P135"/>
    </row>
    <row r="136" spans="3:16" ht="15" customHeight="1" x14ac:dyDescent="0.3">
      <c r="C136" s="27"/>
      <c r="E136"/>
      <c r="F136"/>
      <c r="G136"/>
      <c r="H136"/>
      <c r="I136"/>
      <c r="J136"/>
      <c r="K136"/>
      <c r="L136"/>
      <c r="M136"/>
      <c r="N136"/>
      <c r="O136"/>
      <c r="P136"/>
    </row>
    <row r="137" spans="3:16" ht="15" customHeight="1" x14ac:dyDescent="0.3">
      <c r="C137" s="27"/>
      <c r="E137"/>
      <c r="F137"/>
      <c r="G137"/>
      <c r="H137"/>
      <c r="I137"/>
      <c r="J137"/>
      <c r="K137"/>
      <c r="L137"/>
      <c r="M137"/>
      <c r="N137"/>
      <c r="O137"/>
      <c r="P137"/>
    </row>
  </sheetData>
  <conditionalFormatting sqref="M25">
    <cfRule type="containsText" dxfId="14" priority="1" operator="containsText" text="▲">
      <formula>NOT(ISERROR(SEARCH("▲",M25)))</formula>
    </cfRule>
    <cfRule type="containsText" dxfId="13" priority="2" operator="containsText" text="▼">
      <formula>NOT(ISERROR(SEARCH("▼",M25)))</formula>
    </cfRule>
    <cfRule type="containsText" dxfId="12" priority="3" operator="containsText" text="→">
      <formula>NOT(ISERROR(SEARCH("→",M25)))</formula>
    </cfRule>
  </conditionalFormatting>
  <conditionalFormatting sqref="M27">
    <cfRule type="containsText" dxfId="11" priority="4" operator="containsText" text="▲">
      <formula>NOT(ISERROR(SEARCH("▲",M27)))</formula>
    </cfRule>
    <cfRule type="containsText" dxfId="10" priority="5" operator="containsText" text="▼">
      <formula>NOT(ISERROR(SEARCH("▼",M27)))</formula>
    </cfRule>
    <cfRule type="containsText" dxfId="9" priority="6" operator="containsText" text="→">
      <formula>NOT(ISERROR(SEARCH("→",M27)))</formula>
    </cfRule>
  </conditionalFormatting>
  <conditionalFormatting sqref="M29">
    <cfRule type="containsText" dxfId="8" priority="7" operator="containsText" text="▲">
      <formula>NOT(ISERROR(SEARCH("▲",M29)))</formula>
    </cfRule>
    <cfRule type="containsText" dxfId="7" priority="8" operator="containsText" text="▼">
      <formula>NOT(ISERROR(SEARCH("▼",M29)))</formula>
    </cfRule>
    <cfRule type="containsText" dxfId="6" priority="9" operator="containsText" text="→">
      <formula>NOT(ISERROR(SEARCH("→",M29)))</formula>
    </cfRule>
  </conditionalFormatting>
  <conditionalFormatting sqref="M31">
    <cfRule type="containsText" dxfId="5" priority="10" operator="containsText" text="▲">
      <formula>NOT(ISERROR(SEARCH("▲",M31)))</formula>
    </cfRule>
    <cfRule type="containsText" dxfId="4" priority="11" operator="containsText" text="▼">
      <formula>NOT(ISERROR(SEARCH("▼",M31)))</formula>
    </cfRule>
    <cfRule type="containsText" dxfId="3" priority="12" operator="containsText" text="→">
      <formula>NOT(ISERROR(SEARCH("→",M31)))</formula>
    </cfRule>
  </conditionalFormatting>
  <conditionalFormatting sqref="M33">
    <cfRule type="containsText" dxfId="2" priority="13" operator="containsText" text="▲">
      <formula>NOT(ISERROR(SEARCH("▲",M33)))</formula>
    </cfRule>
    <cfRule type="containsText" dxfId="1" priority="14" operator="containsText" text="▼">
      <formula>NOT(ISERROR(SEARCH("▼",M33)))</formula>
    </cfRule>
    <cfRule type="containsText" dxfId="0" priority="15" operator="containsText" text="→">
      <formula>NOT(ISERROR(SEARCH("→",M33)))</formula>
    </cfRule>
  </conditionalFormatting>
  <printOptions horizontalCentered="1"/>
  <pageMargins left="5.5555555555555558E-3" right="5.5555555555555558E-3" top="5.5555555555555558E-3" bottom="5.5555555555555558E-3" header="2.7777777777777779E-3" footer="2.7777777777777779E-3"/>
  <pageSetup paperSize="9" scale="40" orientation="landscape"/>
  <rowBreaks count="2" manualBreakCount="2">
    <brk id="41" min="1" max="14" man="1"/>
    <brk id="58" max="16383" man="1"/>
  </rowBreak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30"/>
  <sheetViews>
    <sheetView showGridLines="0" zoomScale="85" zoomScaleNormal="85" workbookViewId="0">
      <selection activeCell="R14" sqref="R14"/>
    </sheetView>
  </sheetViews>
  <sheetFormatPr baseColWidth="10" defaultColWidth="9.109375" defaultRowHeight="15" customHeight="1" x14ac:dyDescent="0.35"/>
  <cols>
    <col min="1" max="1" width="1.77734375" style="60" customWidth="1"/>
    <col min="2" max="2" width="16.6640625" style="60" customWidth="1"/>
    <col min="3" max="3" width="15.88671875" style="60" bestFit="1" customWidth="1"/>
    <col min="4" max="4" width="20.33203125" style="60" bestFit="1" customWidth="1"/>
    <col min="5" max="5" width="10.88671875" style="60" bestFit="1" customWidth="1"/>
    <col min="6" max="10" width="12.44140625" style="60" customWidth="1"/>
    <col min="11" max="11" width="13.88671875" style="60" customWidth="1"/>
    <col min="12" max="12" width="4.21875" style="60" customWidth="1"/>
    <col min="13" max="14" width="12.44140625" style="60" customWidth="1"/>
    <col min="15" max="15" width="13.88671875" style="61" customWidth="1"/>
    <col min="16" max="16" width="13.88671875" style="60" customWidth="1"/>
    <col min="17" max="17" width="12.44140625" style="60" customWidth="1"/>
    <col min="18" max="18" width="16.6640625" style="60" customWidth="1"/>
    <col min="19" max="19" width="17.88671875" style="60" bestFit="1" customWidth="1"/>
    <col min="20" max="20" width="26.109375" style="60" customWidth="1"/>
    <col min="21" max="21" width="18.33203125" style="60" customWidth="1"/>
    <col min="22" max="22" width="16.109375" style="60" customWidth="1"/>
    <col min="23" max="30" width="12.44140625" style="60" customWidth="1"/>
    <col min="31" max="33" width="9.109375" style="60" customWidth="1"/>
    <col min="34" max="16384" width="9.109375" style="60"/>
  </cols>
  <sheetData>
    <row r="1" spans="1:33" ht="50.1" customHeight="1" x14ac:dyDescent="0.6">
      <c r="A1" s="69"/>
      <c r="B1" s="50" t="s">
        <v>100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 t="str">
        <f>INPUT!D114&amp;" ("&amp;INPUT!D115&amp;")  — "&amp;INPUT!D116</f>
        <v>JPMorgan Chase &amp; Co. (JPM)  — Financial Services</v>
      </c>
      <c r="Q1" s="69"/>
      <c r="R1" s="69"/>
      <c r="S1" s="69"/>
      <c r="T1" s="97"/>
      <c r="U1" s="97"/>
      <c r="V1" s="97"/>
      <c r="W1" s="97"/>
      <c r="X1" s="97"/>
      <c r="Y1" s="97"/>
      <c r="Z1" s="97"/>
      <c r="AA1" s="97" t="s">
        <v>136</v>
      </c>
      <c r="AB1" s="97" t="s">
        <v>715</v>
      </c>
      <c r="AC1" s="97" t="s">
        <v>716</v>
      </c>
      <c r="AD1" s="97" t="s">
        <v>717</v>
      </c>
      <c r="AF1" s="60" t="s">
        <v>701</v>
      </c>
      <c r="AG1" s="60" t="s">
        <v>702</v>
      </c>
    </row>
    <row r="2" spans="1:33" ht="15" customHeight="1" x14ac:dyDescent="0.3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/>
      <c r="U2"/>
      <c r="V2"/>
      <c r="W2"/>
      <c r="X2"/>
      <c r="AA2" s="60" t="s">
        <v>630</v>
      </c>
      <c r="AB2" s="60">
        <f t="shared" ref="AB2:AC5" si="0">I6</f>
        <v>73.90687744915094</v>
      </c>
      <c r="AC2" s="60">
        <f t="shared" si="0"/>
        <v>278.26641500946346</v>
      </c>
      <c r="AD2" s="352">
        <f>800-K6</f>
        <v>447.82670754138559</v>
      </c>
      <c r="AF2" s="352">
        <f>I10</f>
        <v>311.12</v>
      </c>
      <c r="AG2" s="60">
        <v>0</v>
      </c>
    </row>
    <row r="3" spans="1:33" s="62" customFormat="1" ht="21" customHeight="1" x14ac:dyDescent="0.5">
      <c r="A3" s="58"/>
      <c r="B3" s="57" t="s">
        <v>176</v>
      </c>
      <c r="C3" s="58"/>
      <c r="D3" s="58"/>
      <c r="E3"/>
      <c r="F3" s="57" t="s">
        <v>177</v>
      </c>
      <c r="G3" s="58"/>
      <c r="H3" s="58"/>
      <c r="I3" s="58"/>
      <c r="J3" s="58"/>
      <c r="K3" s="58"/>
      <c r="L3"/>
      <c r="M3" s="98" t="s">
        <v>196</v>
      </c>
      <c r="N3" s="99"/>
      <c r="O3" s="99"/>
      <c r="P3" s="99"/>
      <c r="Q3" s="99"/>
      <c r="R3" s="59"/>
      <c r="V3"/>
      <c r="W3"/>
      <c r="AA3" s="62" t="s">
        <v>631</v>
      </c>
      <c r="AB3" s="62">
        <f>I7</f>
        <v>143.93274215663206</v>
      </c>
      <c r="AC3" s="62">
        <f>J7</f>
        <v>568.84423455204842</v>
      </c>
      <c r="AD3" s="62">
        <f>800-K7</f>
        <v>87.223023291319578</v>
      </c>
      <c r="AF3" s="62">
        <f>I10</f>
        <v>311.12</v>
      </c>
      <c r="AG3" s="62">
        <v>1</v>
      </c>
    </row>
    <row r="4" spans="1:33" s="62" customFormat="1" ht="15" customHeight="1" x14ac:dyDescent="0.35">
      <c r="A4" s="46"/>
      <c r="B4" s="46"/>
      <c r="C4" s="46"/>
      <c r="D4" s="46"/>
      <c r="E4" s="46"/>
      <c r="F4" s="60"/>
      <c r="G4" s="60"/>
      <c r="H4" s="60"/>
      <c r="I4" s="60"/>
      <c r="J4" s="60"/>
      <c r="K4" s="60"/>
      <c r="M4" s="59"/>
      <c r="N4" s="59"/>
      <c r="O4" s="59"/>
      <c r="P4" s="59"/>
      <c r="Q4" s="59"/>
      <c r="R4" s="59"/>
      <c r="S4" s="59"/>
      <c r="W4" s="60"/>
      <c r="X4" s="60"/>
      <c r="AA4" s="62" t="s">
        <v>633</v>
      </c>
      <c r="AB4" s="62">
        <f t="shared" si="0"/>
        <v>291.09683303283043</v>
      </c>
      <c r="AC4" s="62">
        <f t="shared" si="0"/>
        <v>423.41357532048062</v>
      </c>
      <c r="AD4" s="62">
        <f>800-K8</f>
        <v>85.48959164668895</v>
      </c>
      <c r="AF4" s="62">
        <f>I10</f>
        <v>311.12</v>
      </c>
      <c r="AG4" s="62">
        <v>2</v>
      </c>
    </row>
    <row r="5" spans="1:33" s="62" customFormat="1" ht="15" customHeight="1" x14ac:dyDescent="0.35">
      <c r="A5" s="46"/>
      <c r="B5" s="70" t="s">
        <v>178</v>
      </c>
      <c r="C5" s="46"/>
      <c r="D5" s="46"/>
      <c r="E5" s="46"/>
      <c r="F5" s="60"/>
      <c r="G5" s="60"/>
      <c r="H5" s="60"/>
      <c r="I5" s="162" t="s">
        <v>137</v>
      </c>
      <c r="J5" s="71" t="s">
        <v>179</v>
      </c>
      <c r="K5" s="71" t="s">
        <v>138</v>
      </c>
      <c r="M5" s="59"/>
      <c r="N5" s="59"/>
      <c r="O5" s="59"/>
      <c r="P5" s="59"/>
      <c r="Q5" s="59"/>
      <c r="R5" s="59"/>
      <c r="S5" s="59"/>
      <c r="W5" s="60"/>
      <c r="X5" s="60"/>
      <c r="AA5" s="62" t="s">
        <v>632</v>
      </c>
      <c r="AB5" s="62">
        <f t="shared" si="0"/>
        <v>169.64548421287114</v>
      </c>
      <c r="AC5" s="62">
        <f t="shared" si="0"/>
        <v>423.50807496066415</v>
      </c>
      <c r="AD5" s="62">
        <f>800-K9</f>
        <v>206.84644082646469</v>
      </c>
      <c r="AF5" s="62">
        <f>I10</f>
        <v>311.12</v>
      </c>
      <c r="AG5" s="62">
        <v>3</v>
      </c>
    </row>
    <row r="6" spans="1:33" ht="15" customHeight="1" x14ac:dyDescent="0.35">
      <c r="A6" s="46"/>
      <c r="B6" s="65" t="s">
        <v>180</v>
      </c>
      <c r="F6" s="74" t="s">
        <v>630</v>
      </c>
      <c r="I6" s="159">
        <f>'BANK VALUATION'!S2</f>
        <v>73.90687744915094</v>
      </c>
      <c r="J6" s="124">
        <f>'BANK VALUATION'!T2</f>
        <v>278.26641500946346</v>
      </c>
      <c r="K6" s="124">
        <f>'BANK VALUATION'!S2+'BANK VALUATION'!T2</f>
        <v>352.17329245861441</v>
      </c>
      <c r="M6" s="59"/>
      <c r="N6" s="59"/>
      <c r="O6" s="59"/>
      <c r="P6" s="59"/>
      <c r="Q6" s="59"/>
      <c r="R6" s="59"/>
      <c r="S6" s="59"/>
      <c r="AA6" s="60" t="s">
        <v>672</v>
      </c>
      <c r="AB6" s="352">
        <f>I10-2</f>
        <v>309.12</v>
      </c>
      <c r="AD6" s="352">
        <f>800-K10-2</f>
        <v>486.88</v>
      </c>
    </row>
    <row r="7" spans="1:33" ht="15" customHeight="1" x14ac:dyDescent="0.35">
      <c r="A7" s="46"/>
      <c r="B7" s="48" t="s">
        <v>82</v>
      </c>
      <c r="D7" s="122" t="str">
        <f>INPUT!D114</f>
        <v>JPMorgan Chase &amp; Co.</v>
      </c>
      <c r="F7" s="74" t="s">
        <v>631</v>
      </c>
      <c r="I7" s="160">
        <f>'BANK VALUATION'!S4</f>
        <v>143.93274215663206</v>
      </c>
      <c r="J7" s="126">
        <f>'BANK VALUATION'!T4</f>
        <v>568.84423455204842</v>
      </c>
      <c r="K7" s="125">
        <f>'BANK VALUATION'!S4+'BANK VALUATION'!T4</f>
        <v>712.77697670868042</v>
      </c>
      <c r="M7" s="59"/>
      <c r="N7" s="59"/>
      <c r="O7" s="59"/>
      <c r="P7" s="59"/>
      <c r="Q7" s="59"/>
      <c r="R7" s="59"/>
      <c r="S7" s="59"/>
    </row>
    <row r="8" spans="1:33" ht="15" customHeight="1" x14ac:dyDescent="0.35">
      <c r="A8" s="46"/>
      <c r="B8" s="48" t="s">
        <v>85</v>
      </c>
      <c r="D8" s="122" t="str">
        <f>INPUT!D115</f>
        <v>JPM</v>
      </c>
      <c r="F8" s="74" t="s">
        <v>633</v>
      </c>
      <c r="G8" s="62"/>
      <c r="H8" s="62"/>
      <c r="I8" s="160">
        <f>'BANK VALUATION'!S6</f>
        <v>291.09683303283043</v>
      </c>
      <c r="J8" s="126">
        <f>'BANK VALUATION'!T6</f>
        <v>423.41357532048062</v>
      </c>
      <c r="K8" s="125">
        <f>'BANK VALUATION'!S6+'BANK VALUATION'!T6</f>
        <v>714.51040835331105</v>
      </c>
      <c r="M8" s="59"/>
      <c r="N8" s="59"/>
      <c r="O8" s="59"/>
      <c r="P8" s="59"/>
      <c r="Q8" s="59"/>
      <c r="R8" s="59"/>
      <c r="S8" s="59"/>
      <c r="W8" s="62"/>
      <c r="X8" s="62"/>
    </row>
    <row r="9" spans="1:33" ht="15" customHeight="1" x14ac:dyDescent="0.35">
      <c r="A9" s="46"/>
      <c r="B9" s="48" t="s">
        <v>183</v>
      </c>
      <c r="D9" s="122" t="str">
        <f>INPUT!D116</f>
        <v>Financial Services</v>
      </c>
      <c r="F9" s="74" t="s">
        <v>632</v>
      </c>
      <c r="G9" s="62"/>
      <c r="H9" s="62"/>
      <c r="I9" s="160">
        <f>'BANK VALUATION'!S8</f>
        <v>169.64548421287114</v>
      </c>
      <c r="J9" s="126">
        <f>'BANK VALUATION'!T8</f>
        <v>423.50807496066415</v>
      </c>
      <c r="K9" s="125">
        <f>'BANK VALUATION'!S8+'BANK VALUATION'!T8</f>
        <v>593.15355917353531</v>
      </c>
      <c r="M9" s="59"/>
      <c r="N9" s="59"/>
      <c r="O9" s="59"/>
      <c r="P9" s="59"/>
      <c r="Q9" s="59"/>
      <c r="R9" s="59"/>
      <c r="S9" s="59"/>
      <c r="W9" s="62"/>
      <c r="X9" s="62"/>
    </row>
    <row r="10" spans="1:33" ht="15" customHeight="1" x14ac:dyDescent="0.35">
      <c r="A10" s="46"/>
      <c r="B10" s="48" t="s">
        <v>89</v>
      </c>
      <c r="D10" s="122">
        <f>INPUT!D117</f>
        <v>2025</v>
      </c>
      <c r="F10" s="74" t="s">
        <v>118</v>
      </c>
      <c r="G10" s="62"/>
      <c r="H10" s="62"/>
      <c r="I10" s="160">
        <f>INPUT!H95</f>
        <v>311.12</v>
      </c>
      <c r="J10" s="126">
        <v>0</v>
      </c>
      <c r="K10" s="125">
        <f>INPUT!H95</f>
        <v>311.12</v>
      </c>
      <c r="M10" s="59"/>
      <c r="N10" s="59"/>
      <c r="O10" s="59"/>
      <c r="P10" s="59"/>
      <c r="Q10" s="59"/>
      <c r="R10" s="59"/>
      <c r="S10" s="59"/>
      <c r="W10" s="62"/>
      <c r="X10" s="62"/>
    </row>
    <row r="11" spans="1:33" ht="15" customHeight="1" x14ac:dyDescent="0.35">
      <c r="A11" s="46"/>
      <c r="B11" s="48" t="s">
        <v>90</v>
      </c>
      <c r="D11" s="122" t="str">
        <f>INPUT!D118</f>
        <v>USD</v>
      </c>
      <c r="F11" s="66" t="s">
        <v>118</v>
      </c>
      <c r="G11" s="62"/>
      <c r="H11" s="62"/>
      <c r="I11" s="161">
        <f>INPUT!H95</f>
        <v>311.12</v>
      </c>
      <c r="J11" s="96"/>
      <c r="K11" s="96"/>
      <c r="M11" s="59"/>
      <c r="N11" s="59"/>
      <c r="O11" s="59"/>
      <c r="P11" s="59"/>
      <c r="Q11" s="59"/>
      <c r="R11" s="59"/>
      <c r="S11" s="59"/>
      <c r="W11" s="62"/>
      <c r="X11" s="62"/>
    </row>
    <row r="12" spans="1:33" ht="15" customHeight="1" x14ac:dyDescent="0.35">
      <c r="A12" s="46"/>
      <c r="B12" s="48" t="s">
        <v>94</v>
      </c>
      <c r="D12" s="123" t="str">
        <f>INPUT!D120</f>
        <v>2026-04-15</v>
      </c>
      <c r="M12" s="59"/>
      <c r="N12" s="59"/>
      <c r="O12" s="59"/>
      <c r="P12" s="59"/>
      <c r="Q12" s="59"/>
      <c r="R12" s="59"/>
      <c r="S12" s="59"/>
      <c r="T12" s="62"/>
      <c r="U12" s="62"/>
      <c r="V12" s="62"/>
      <c r="W12" s="62"/>
    </row>
    <row r="13" spans="1:33" ht="15" customHeight="1" x14ac:dyDescent="0.35">
      <c r="A13" s="46"/>
      <c r="M13" s="59"/>
      <c r="N13" s="59"/>
      <c r="O13" s="59"/>
      <c r="P13" s="59"/>
      <c r="Q13" s="59"/>
      <c r="R13" s="59"/>
      <c r="S13" s="59"/>
      <c r="T13" s="62"/>
      <c r="U13" s="62"/>
      <c r="V13" s="62"/>
      <c r="W13" s="62"/>
      <c r="X13" s="62"/>
    </row>
    <row r="14" spans="1:33" ht="21" customHeight="1" x14ac:dyDescent="0.5">
      <c r="A14" s="58"/>
      <c r="B14" s="57" t="s">
        <v>186</v>
      </c>
      <c r="C14" s="58"/>
      <c r="D14" s="58"/>
      <c r="E14" s="58"/>
      <c r="F14" s="58"/>
      <c r="G14" s="58"/>
      <c r="H14" s="58"/>
      <c r="I14" s="58"/>
      <c r="J14" s="58"/>
      <c r="K14" s="58"/>
      <c r="L14" s="46"/>
      <c r="M14" s="59"/>
      <c r="N14" s="59"/>
      <c r="O14" s="59"/>
      <c r="P14" s="59"/>
      <c r="Q14" s="59"/>
      <c r="R14" s="59"/>
      <c r="S14" s="59"/>
      <c r="T14" s="62"/>
      <c r="U14" s="62"/>
      <c r="V14" s="62"/>
      <c r="W14" s="62"/>
      <c r="X14" s="62"/>
    </row>
    <row r="15" spans="1:33" ht="15" customHeight="1" x14ac:dyDescent="0.35">
      <c r="A15" s="46"/>
      <c r="B15" s="62"/>
      <c r="C15" s="62"/>
      <c r="D15" s="62"/>
      <c r="E15" s="62"/>
      <c r="F15" s="62"/>
      <c r="G15" s="62"/>
      <c r="H15" s="62"/>
      <c r="I15" s="46"/>
      <c r="J15" s="46"/>
      <c r="K15" s="46"/>
      <c r="L15" s="46"/>
      <c r="M15" s="59"/>
      <c r="N15" s="59"/>
      <c r="O15" s="59"/>
      <c r="P15" s="59"/>
      <c r="Q15" s="59"/>
      <c r="R15" s="59"/>
      <c r="S15" s="59"/>
      <c r="X15"/>
    </row>
    <row r="16" spans="1:33" ht="15" customHeight="1" x14ac:dyDescent="0.35">
      <c r="A16" s="46"/>
      <c r="B16" s="64" t="s">
        <v>178</v>
      </c>
      <c r="C16" s="59"/>
      <c r="D16" s="59"/>
      <c r="E16" s="127">
        <f>INPUT!E5</f>
        <v>2022</v>
      </c>
      <c r="F16" s="127">
        <f>INPUT!F5</f>
        <v>2023</v>
      </c>
      <c r="G16" s="127">
        <f>INPUT!G5</f>
        <v>2024</v>
      </c>
      <c r="H16" s="127" t="str">
        <f>INPUT!H5</f>
        <v>2025 (LTM)</v>
      </c>
      <c r="I16" s="46"/>
      <c r="J16" s="46"/>
      <c r="K16" s="46"/>
      <c r="L16" s="46"/>
      <c r="M16" s="59"/>
      <c r="N16" s="59"/>
      <c r="O16" s="59"/>
      <c r="P16" s="59"/>
      <c r="Q16" s="59"/>
      <c r="R16" s="59"/>
      <c r="S16" s="59"/>
      <c r="X16" s="62"/>
    </row>
    <row r="17" spans="1:19" ht="15" customHeight="1" x14ac:dyDescent="0.35">
      <c r="A17" s="46"/>
      <c r="B17" s="59"/>
      <c r="C17" s="59"/>
      <c r="D17" s="59"/>
      <c r="E17" s="59"/>
      <c r="F17" s="59"/>
      <c r="G17" s="59"/>
      <c r="H17" s="59"/>
      <c r="I17" s="46"/>
      <c r="J17" s="46"/>
      <c r="K17" s="46"/>
      <c r="L17" s="46"/>
      <c r="M17" s="59"/>
      <c r="N17" s="59"/>
      <c r="O17" s="59"/>
      <c r="P17" s="59"/>
      <c r="Q17" s="59"/>
      <c r="S17" s="59"/>
    </row>
    <row r="18" spans="1:19" ht="15" customHeight="1" x14ac:dyDescent="0.35">
      <c r="A18" s="46"/>
      <c r="B18" s="68" t="s">
        <v>189</v>
      </c>
      <c r="C18" s="59"/>
      <c r="D18" s="59"/>
      <c r="E18" s="128" t="str">
        <f>IF(INPUT!D9=0,"",INPUT!E9/INPUT!D9-1)</f>
        <v/>
      </c>
      <c r="F18" s="128">
        <f>IF(INPUT!E9=0,"",INPUT!F9/INPUT!E9-1)</f>
        <v>0.21314992131655797</v>
      </c>
      <c r="G18" s="128">
        <f>IF(INPUT!F9=0,"",INPUT!G9/INPUT!F9-1)</f>
        <v>9.3493468945221814E-2</v>
      </c>
      <c r="H18" s="128">
        <f>IF(INPUT!G9=0,"",INPUT!H9/INPUT!G9-1)</f>
        <v>7.3229893944133373E-2</v>
      </c>
      <c r="I18" s="46"/>
      <c r="J18" s="46"/>
      <c r="K18" s="46"/>
      <c r="M18" s="98" t="s">
        <v>188</v>
      </c>
      <c r="N18" s="99"/>
      <c r="O18" s="99"/>
      <c r="P18" s="99"/>
      <c r="Q18" s="99"/>
      <c r="R18" s="46"/>
    </row>
    <row r="19" spans="1:19" s="62" customFormat="1" ht="15" customHeight="1" x14ac:dyDescent="0.35">
      <c r="A19" s="46"/>
      <c r="B19" s="73" t="s">
        <v>190</v>
      </c>
      <c r="C19" s="59"/>
      <c r="D19" s="59"/>
      <c r="E19" s="77" t="str">
        <f>""</f>
        <v/>
      </c>
      <c r="F19" s="128">
        <f>IF(INPUT!E30=0,"",INPUT!F30/INPUT!E30-1)</f>
        <v>0.12532439446366772</v>
      </c>
      <c r="G19" s="128">
        <f>IF(INPUT!E30=0,"",INPUT!G30/INPUT!F30-1)</f>
        <v>0.36100701450946482</v>
      </c>
      <c r="H19" s="128">
        <f>IF(INPUT!F30=0,"",INPUT!H30/INPUT!G30-1)</f>
        <v>0.33030923467946915</v>
      </c>
      <c r="M19" s="46"/>
      <c r="N19" s="46"/>
      <c r="O19" s="46"/>
      <c r="P19" s="46"/>
      <c r="Q19" s="46"/>
      <c r="R19" s="46"/>
      <c r="S19" s="46"/>
    </row>
    <row r="20" spans="1:19" s="62" customFormat="1" ht="15" customHeight="1" x14ac:dyDescent="0.35">
      <c r="A20" s="46"/>
      <c r="B20" s="59"/>
      <c r="C20" s="59"/>
      <c r="D20" s="59"/>
      <c r="E20" s="59"/>
      <c r="F20" s="59"/>
      <c r="G20" s="59"/>
      <c r="H20" s="59"/>
      <c r="M20" s="46"/>
      <c r="N20" s="46"/>
      <c r="O20" s="46"/>
      <c r="P20" s="46"/>
      <c r="Q20" s="46"/>
      <c r="R20" s="46"/>
      <c r="S20" s="46"/>
    </row>
    <row r="21" spans="1:19" s="62" customFormat="1" ht="15" customHeight="1" x14ac:dyDescent="0.35">
      <c r="A21" s="46"/>
      <c r="B21" s="65" t="s">
        <v>7</v>
      </c>
      <c r="C21" s="59"/>
      <c r="D21" s="59"/>
      <c r="E21" s="59"/>
      <c r="F21" s="59"/>
      <c r="G21" s="59"/>
      <c r="H21" s="59"/>
      <c r="M21" s="46"/>
      <c r="N21" s="46"/>
      <c r="O21" s="46"/>
      <c r="P21" s="46"/>
      <c r="Q21" s="46"/>
      <c r="R21" s="46"/>
      <c r="S21" s="46"/>
    </row>
    <row r="22" spans="1:19" s="62" customFormat="1" ht="15" customHeight="1" x14ac:dyDescent="0.35">
      <c r="A22" s="46"/>
      <c r="B22" s="76" t="s">
        <v>191</v>
      </c>
      <c r="C22" s="59"/>
      <c r="D22" s="59"/>
      <c r="E22" s="345">
        <f>INPUT!E9</f>
        <v>127727</v>
      </c>
      <c r="F22" s="129">
        <f>INPUT!F9</f>
        <v>154952</v>
      </c>
      <c r="G22" s="129">
        <f>INPUT!G9</f>
        <v>169439</v>
      </c>
      <c r="H22" s="129">
        <f>INPUT!H9</f>
        <v>181847</v>
      </c>
      <c r="M22" s="46"/>
      <c r="N22" s="46"/>
      <c r="O22" s="46"/>
      <c r="P22" s="46"/>
      <c r="Q22" s="46"/>
      <c r="R22" s="46"/>
      <c r="S22" s="46"/>
    </row>
    <row r="23" spans="1:19" s="62" customFormat="1" ht="15" customHeight="1" x14ac:dyDescent="0.35">
      <c r="A23" s="46"/>
      <c r="B23" s="76" t="s">
        <v>192</v>
      </c>
      <c r="C23" s="59"/>
      <c r="D23" s="59"/>
      <c r="E23" s="129">
        <f>ABS(INPUT!E10)</f>
        <v>60609</v>
      </c>
      <c r="F23" s="129">
        <f>ABS(INPUT!F10)</f>
        <v>79113</v>
      </c>
      <c r="G23" s="129">
        <f>ABS(INPUT!G10)</f>
        <v>80240</v>
      </c>
      <c r="H23" s="129">
        <f>ABS(INPUT!H10)</f>
        <v>77733</v>
      </c>
      <c r="M23" s="46"/>
      <c r="N23" s="46"/>
      <c r="O23" s="46"/>
      <c r="P23" s="46"/>
      <c r="Q23" s="46"/>
      <c r="R23" s="46"/>
      <c r="S23" s="46"/>
    </row>
    <row r="24" spans="1:19" s="62" customFormat="1" ht="15" customHeight="1" x14ac:dyDescent="0.35">
      <c r="A24" s="46"/>
      <c r="B24" s="76" t="s">
        <v>10</v>
      </c>
      <c r="C24" s="59"/>
      <c r="D24" s="59"/>
      <c r="E24" s="130">
        <f>INPUT!E11</f>
        <v>67118</v>
      </c>
      <c r="F24" s="130">
        <f>INPUT!F11</f>
        <v>75839</v>
      </c>
      <c r="G24" s="130">
        <f>INPUT!G11</f>
        <v>89199</v>
      </c>
      <c r="H24" s="130">
        <f>INPUT!H11</f>
        <v>104114</v>
      </c>
      <c r="M24" s="46"/>
      <c r="N24" s="46"/>
      <c r="O24" s="46"/>
      <c r="P24" s="46"/>
      <c r="Q24" s="46"/>
      <c r="R24" s="46"/>
      <c r="S24" s="46"/>
    </row>
    <row r="25" spans="1:19" s="62" customFormat="1" ht="15" customHeight="1" x14ac:dyDescent="0.35">
      <c r="A25" s="46"/>
      <c r="B25" s="76" t="s">
        <v>165</v>
      </c>
      <c r="C25" s="59"/>
      <c r="D25" s="59"/>
      <c r="E25" s="129">
        <f>ABS(INPUT!E14)</f>
        <v>45547</v>
      </c>
      <c r="F25" s="129">
        <f>ABS(INPUT!F14)</f>
        <v>51056</v>
      </c>
      <c r="G25" s="129">
        <f>ABS(INPUT!G14)</f>
        <v>56331</v>
      </c>
      <c r="H25" s="129">
        <f>ABS(INPUT!H14)</f>
        <v>60018</v>
      </c>
      <c r="M25" s="46"/>
      <c r="N25" s="46"/>
      <c r="O25" s="46"/>
      <c r="P25" s="46"/>
      <c r="Q25" s="46"/>
      <c r="R25" s="46"/>
      <c r="S25" s="46"/>
    </row>
    <row r="26" spans="1:19" s="62" customFormat="1" ht="15" customHeight="1" x14ac:dyDescent="0.35">
      <c r="A26" s="46"/>
      <c r="B26" s="76" t="s">
        <v>193</v>
      </c>
      <c r="C26" s="59"/>
      <c r="D26" s="59"/>
      <c r="E26" s="131">
        <f>INPUT!E9</f>
        <v>127727</v>
      </c>
      <c r="F26" s="131">
        <f>INPUT!F9</f>
        <v>154952</v>
      </c>
      <c r="G26" s="131">
        <f>INPUT!G9</f>
        <v>169439</v>
      </c>
      <c r="H26" s="131">
        <f>INPUT!H9</f>
        <v>181847</v>
      </c>
      <c r="M26" s="46"/>
      <c r="N26" s="46"/>
      <c r="O26" s="46"/>
      <c r="P26" s="46"/>
      <c r="Q26" s="46"/>
      <c r="R26" s="46"/>
      <c r="S26" s="46"/>
    </row>
    <row r="27" spans="1:19" s="62" customFormat="1" ht="15" customHeight="1" x14ac:dyDescent="0.35">
      <c r="A27" s="46"/>
      <c r="B27" s="59"/>
      <c r="C27" s="59"/>
      <c r="D27" s="59"/>
      <c r="E27" s="96"/>
      <c r="F27" s="96"/>
      <c r="G27" s="96"/>
      <c r="H27" s="96"/>
      <c r="M27" s="46"/>
      <c r="N27" s="46"/>
      <c r="O27" s="46"/>
      <c r="P27" s="46"/>
      <c r="Q27" s="46"/>
      <c r="R27" s="46"/>
      <c r="S27" s="46"/>
    </row>
    <row r="28" spans="1:19" s="62" customFormat="1" ht="15" customHeight="1" x14ac:dyDescent="0.35">
      <c r="A28" s="46"/>
      <c r="B28" s="76" t="s">
        <v>21</v>
      </c>
      <c r="C28" s="59"/>
      <c r="D28" s="59"/>
      <c r="E28" s="129">
        <f>INPUT!E30</f>
        <v>18496</v>
      </c>
      <c r="F28" s="129">
        <f>INPUT!F30</f>
        <v>20814</v>
      </c>
      <c r="G28" s="129">
        <f>INPUT!G30</f>
        <v>28328</v>
      </c>
      <c r="H28" s="129">
        <f>INPUT!H30</f>
        <v>37685</v>
      </c>
      <c r="M28" s="46"/>
      <c r="N28" s="46"/>
      <c r="O28" s="46"/>
      <c r="P28" s="46"/>
      <c r="Q28" s="46"/>
      <c r="R28" s="46"/>
      <c r="S28" s="46"/>
    </row>
    <row r="29" spans="1:19" s="62" customFormat="1" ht="15" customHeight="1" x14ac:dyDescent="0.35">
      <c r="A29" s="46"/>
      <c r="B29" s="76" t="s">
        <v>194</v>
      </c>
      <c r="C29" s="59"/>
      <c r="D29" s="59"/>
      <c r="E29" s="129">
        <f>INPUT!E75</f>
        <v>126067</v>
      </c>
      <c r="F29" s="129">
        <f>INPUT!F75</f>
        <v>90645</v>
      </c>
      <c r="G29" s="129">
        <f>INPUT!G75</f>
        <v>103610</v>
      </c>
      <c r="H29" s="129">
        <f>INPUT!H75</f>
        <v>91331</v>
      </c>
      <c r="M29" s="46"/>
      <c r="N29" s="46"/>
      <c r="O29" s="46"/>
      <c r="P29" s="46"/>
      <c r="Q29" s="46"/>
      <c r="R29" s="46"/>
      <c r="S29" s="46"/>
    </row>
    <row r="30" spans="1:19" s="62" customFormat="1" ht="15" customHeight="1" x14ac:dyDescent="0.35">
      <c r="A30" s="46"/>
      <c r="B30" s="76" t="s">
        <v>19</v>
      </c>
      <c r="C30" s="59"/>
      <c r="D30" s="59"/>
      <c r="E30" s="129">
        <f>INPUT!E26</f>
        <v>63782</v>
      </c>
      <c r="F30" s="129">
        <f>INPUT!F26</f>
        <v>82496</v>
      </c>
      <c r="G30" s="129">
        <f>INPUT!G26</f>
        <v>87983</v>
      </c>
      <c r="H30" s="129">
        <f>INPUT!H26</f>
        <v>104057</v>
      </c>
      <c r="M30" s="46"/>
      <c r="N30" s="46"/>
      <c r="O30" s="46"/>
      <c r="P30" s="46"/>
      <c r="Q30" s="46"/>
      <c r="R30" s="46"/>
      <c r="S30" s="46"/>
    </row>
    <row r="31" spans="1:19" s="62" customFormat="1" ht="15" customHeight="1" x14ac:dyDescent="0.35">
      <c r="A31" s="46"/>
      <c r="B31" s="46"/>
      <c r="C31" s="46"/>
      <c r="D31" s="46"/>
      <c r="E31" s="46"/>
      <c r="F31" s="46"/>
      <c r="G31" s="46"/>
      <c r="H31" s="46"/>
      <c r="M31" s="46"/>
      <c r="N31" s="46"/>
      <c r="O31" s="46"/>
      <c r="P31" s="46"/>
      <c r="Q31" s="46"/>
      <c r="R31" s="59"/>
      <c r="S31" s="46"/>
    </row>
    <row r="32" spans="1:19" s="62" customFormat="1" ht="15" customHeight="1" x14ac:dyDescent="0.35">
      <c r="A32" s="46"/>
      <c r="B32" s="46"/>
      <c r="C32" s="46"/>
      <c r="D32" s="46"/>
      <c r="E32" s="46"/>
      <c r="F32" s="46"/>
      <c r="G32" s="46"/>
      <c r="H32" s="46"/>
      <c r="M32" s="59"/>
      <c r="N32" s="59"/>
      <c r="O32" s="59"/>
      <c r="P32" s="59"/>
      <c r="Q32" s="59"/>
      <c r="R32" s="59"/>
      <c r="S32" s="59"/>
    </row>
    <row r="33" spans="1:19" s="62" customFormat="1" ht="15" customHeight="1" x14ac:dyDescent="0.35">
      <c r="A33" s="46"/>
      <c r="B33" s="46"/>
      <c r="C33" s="46"/>
      <c r="D33" s="46"/>
      <c r="E33" s="46"/>
      <c r="F33" s="46"/>
      <c r="G33" s="46"/>
      <c r="H33" s="46"/>
      <c r="M33" s="59"/>
      <c r="N33" s="59"/>
      <c r="O33" s="59"/>
      <c r="P33" s="59"/>
      <c r="Q33" s="59"/>
      <c r="S33" s="59"/>
    </row>
    <row r="34" spans="1:19" s="62" customFormat="1" ht="15" customHeight="1" x14ac:dyDescent="0.3">
      <c r="A34" s="46"/>
      <c r="R34" s="46"/>
    </row>
    <row r="35" spans="1:19" s="62" customFormat="1" ht="15" customHeight="1" x14ac:dyDescent="0.35">
      <c r="A35" s="46"/>
      <c r="B35" s="98" t="s">
        <v>187</v>
      </c>
      <c r="C35" s="99"/>
      <c r="D35" s="99"/>
      <c r="E35" s="99"/>
      <c r="F35" s="99"/>
      <c r="G35" s="99"/>
      <c r="M35" s="98" t="s">
        <v>195</v>
      </c>
      <c r="N35" s="99"/>
      <c r="O35" s="99"/>
      <c r="P35" s="99"/>
      <c r="Q35" s="99"/>
      <c r="R35" s="373"/>
    </row>
    <row r="36" spans="1:19" s="62" customFormat="1" ht="15" customHeight="1" x14ac:dyDescent="0.35">
      <c r="A36" s="46"/>
      <c r="B36" s="75"/>
      <c r="C36" s="46"/>
      <c r="D36" s="46"/>
      <c r="E36" s="46"/>
      <c r="F36" s="46"/>
      <c r="G36" s="46"/>
      <c r="M36" s="59"/>
      <c r="N36" s="59"/>
      <c r="O36" s="59"/>
      <c r="P36" s="59"/>
      <c r="Q36" s="59"/>
      <c r="R36" s="59"/>
    </row>
    <row r="37" spans="1:19" s="62" customFormat="1" ht="15" customHeight="1" x14ac:dyDescent="0.35">
      <c r="A37" s="46"/>
      <c r="B37" s="46"/>
      <c r="C37" s="46"/>
      <c r="D37" s="46"/>
      <c r="E37" s="46"/>
      <c r="F37" s="46"/>
      <c r="G37" s="46"/>
      <c r="M37" s="59"/>
      <c r="N37" s="59"/>
      <c r="O37" s="59"/>
      <c r="P37" s="59"/>
      <c r="Q37" s="59"/>
      <c r="R37" s="59"/>
    </row>
    <row r="38" spans="1:19" s="62" customFormat="1" ht="15" customHeight="1" x14ac:dyDescent="0.35">
      <c r="A38" s="46"/>
      <c r="B38" s="46"/>
      <c r="C38" s="46"/>
      <c r="D38" s="46"/>
      <c r="E38" s="46"/>
      <c r="F38" s="46"/>
      <c r="G38" s="46"/>
      <c r="M38" s="59"/>
      <c r="N38" s="59"/>
      <c r="O38" s="59"/>
      <c r="P38" s="59"/>
      <c r="Q38" s="59"/>
      <c r="R38" s="59"/>
    </row>
    <row r="39" spans="1:19" s="62" customFormat="1" ht="15" customHeight="1" x14ac:dyDescent="0.35">
      <c r="A39" s="46"/>
      <c r="B39" s="46"/>
      <c r="C39" s="46"/>
      <c r="D39" s="46"/>
      <c r="E39" s="46"/>
      <c r="F39" s="46"/>
      <c r="G39" s="46"/>
      <c r="M39" s="59"/>
      <c r="N39" s="59"/>
      <c r="O39" s="59"/>
      <c r="P39" s="59"/>
      <c r="Q39" s="59"/>
      <c r="R39" s="59"/>
    </row>
    <row r="40" spans="1:19" s="62" customFormat="1" ht="21" customHeight="1" x14ac:dyDescent="0.35">
      <c r="A40" s="46"/>
      <c r="B40" s="46"/>
      <c r="C40" s="46"/>
      <c r="D40" s="46"/>
      <c r="E40" s="46"/>
      <c r="F40" s="46"/>
      <c r="G40" s="46"/>
      <c r="M40" s="59"/>
      <c r="N40" s="59"/>
      <c r="O40" s="59"/>
      <c r="P40" s="59"/>
      <c r="Q40" s="59"/>
      <c r="R40" s="59"/>
      <c r="S40" s="59"/>
    </row>
    <row r="41" spans="1:19" s="62" customFormat="1" ht="15" customHeight="1" x14ac:dyDescent="0.35">
      <c r="A41" s="46"/>
      <c r="B41" s="46"/>
      <c r="C41" s="46"/>
      <c r="D41" s="46"/>
      <c r="E41" s="46"/>
      <c r="F41" s="46"/>
      <c r="G41" s="46"/>
      <c r="M41" s="59"/>
      <c r="N41" s="59"/>
      <c r="O41" s="59"/>
      <c r="P41" s="59"/>
      <c r="Q41" s="59"/>
      <c r="R41" s="59"/>
      <c r="S41" s="59"/>
    </row>
    <row r="42" spans="1:19" s="59" customFormat="1" ht="15" customHeight="1" x14ac:dyDescent="0.35">
      <c r="A42" s="46"/>
      <c r="B42" s="46"/>
      <c r="C42" s="46"/>
      <c r="D42" s="46"/>
      <c r="E42" s="46"/>
      <c r="F42" s="46"/>
      <c r="G42" s="46"/>
      <c r="H42" s="62"/>
    </row>
    <row r="43" spans="1:19" s="59" customFormat="1" ht="15" customHeight="1" x14ac:dyDescent="0.35">
      <c r="A43" s="46"/>
      <c r="B43" s="46"/>
      <c r="C43" s="46"/>
      <c r="D43" s="46"/>
      <c r="E43" s="46"/>
      <c r="F43" s="46"/>
      <c r="G43" s="46"/>
      <c r="H43" s="62"/>
    </row>
    <row r="44" spans="1:19" s="59" customFormat="1" ht="15" customHeight="1" x14ac:dyDescent="0.35">
      <c r="A44" s="46"/>
      <c r="B44" s="46"/>
      <c r="C44" s="46"/>
      <c r="D44" s="46"/>
      <c r="E44" s="46"/>
      <c r="F44" s="46"/>
      <c r="G44" s="46"/>
    </row>
    <row r="45" spans="1:19" s="59" customFormat="1" ht="15" customHeight="1" x14ac:dyDescent="0.35">
      <c r="A45" s="46"/>
      <c r="B45" s="46"/>
      <c r="C45" s="46"/>
      <c r="D45" s="46"/>
      <c r="E45" s="46"/>
      <c r="F45" s="46"/>
      <c r="G45" s="46"/>
    </row>
    <row r="46" spans="1:19" s="59" customFormat="1" ht="15" customHeight="1" x14ac:dyDescent="0.35">
      <c r="A46" s="46"/>
      <c r="B46" s="46"/>
      <c r="C46" s="46"/>
      <c r="D46" s="46"/>
      <c r="E46" s="46"/>
      <c r="F46" s="46"/>
      <c r="G46" s="46"/>
    </row>
    <row r="47" spans="1:19" s="59" customFormat="1" ht="15" customHeight="1" x14ac:dyDescent="0.35">
      <c r="A47" s="46"/>
      <c r="B47" s="46"/>
      <c r="C47" s="46"/>
      <c r="D47" s="46"/>
      <c r="E47" s="46"/>
      <c r="F47" s="46"/>
      <c r="G47" s="46"/>
    </row>
    <row r="48" spans="1:19" s="59" customFormat="1" ht="15" customHeight="1" x14ac:dyDescent="0.35">
      <c r="A48" s="46"/>
      <c r="B48" s="46"/>
      <c r="C48" s="46"/>
      <c r="D48" s="46"/>
      <c r="E48" s="46"/>
      <c r="F48" s="46"/>
      <c r="G48" s="46"/>
    </row>
    <row r="49" spans="1:28" s="59" customFormat="1" ht="15" customHeight="1" x14ac:dyDescent="0.35">
      <c r="A49" s="46"/>
      <c r="B49" s="46"/>
      <c r="C49" s="46"/>
      <c r="D49" s="46"/>
      <c r="E49" s="46"/>
      <c r="F49" s="46"/>
      <c r="G49" s="46"/>
    </row>
    <row r="50" spans="1:28" s="59" customFormat="1" ht="15" customHeight="1" x14ac:dyDescent="0.35">
      <c r="A50" s="46"/>
      <c r="B50" s="46"/>
      <c r="C50" s="46"/>
      <c r="D50" s="46"/>
      <c r="E50" s="46"/>
      <c r="F50" s="46"/>
      <c r="G50" s="46"/>
    </row>
    <row r="51" spans="1:28" s="59" customFormat="1" ht="15" customHeight="1" x14ac:dyDescent="0.35">
      <c r="A51" s="46"/>
      <c r="B51" s="46"/>
      <c r="C51" s="46"/>
      <c r="D51" s="46"/>
      <c r="E51" s="46"/>
      <c r="F51" s="46"/>
      <c r="G51" s="46"/>
    </row>
    <row r="52" spans="1:28" s="59" customFormat="1" ht="15" customHeight="1" x14ac:dyDescent="0.35">
      <c r="A52" s="46"/>
    </row>
    <row r="53" spans="1:28" s="59" customFormat="1" ht="15" customHeight="1" x14ac:dyDescent="0.35">
      <c r="A53" s="46"/>
    </row>
    <row r="54" spans="1:28" s="59" customFormat="1" ht="15" customHeight="1" x14ac:dyDescent="0.35">
      <c r="A54" s="46"/>
    </row>
    <row r="55" spans="1:28" s="59" customFormat="1" ht="15" customHeight="1" x14ac:dyDescent="0.35">
      <c r="H55" s="46"/>
    </row>
    <row r="56" spans="1:28" s="59" customFormat="1" ht="15" customHeight="1" x14ac:dyDescent="0.35">
      <c r="H56" s="46"/>
    </row>
    <row r="57" spans="1:28" s="59" customFormat="1" ht="15" customHeight="1" x14ac:dyDescent="0.35">
      <c r="H57" s="46"/>
    </row>
    <row r="58" spans="1:28" s="59" customFormat="1" ht="15" customHeight="1" x14ac:dyDescent="0.35">
      <c r="H58" s="46"/>
    </row>
    <row r="59" spans="1:28" s="59" customFormat="1" ht="15" customHeight="1" x14ac:dyDescent="0.35">
      <c r="H59" s="46"/>
      <c r="AB59" s="63"/>
    </row>
    <row r="60" spans="1:28" s="59" customFormat="1" ht="15" customHeight="1" x14ac:dyDescent="0.35">
      <c r="B60" s="46"/>
      <c r="C60" s="46"/>
      <c r="D60" s="46"/>
      <c r="E60" s="46"/>
      <c r="F60" s="46"/>
      <c r="G60" s="46"/>
      <c r="H60" s="46"/>
      <c r="AB60" s="63"/>
    </row>
    <row r="61" spans="1:28" s="59" customFormat="1" ht="15" customHeight="1" x14ac:dyDescent="0.35">
      <c r="H61" s="46"/>
    </row>
    <row r="62" spans="1:28" s="59" customFormat="1" ht="15" customHeight="1" x14ac:dyDescent="0.35"/>
    <row r="63" spans="1:28" s="59" customFormat="1" ht="15" customHeight="1" x14ac:dyDescent="0.35"/>
    <row r="64" spans="1:28" s="59" customFormat="1" ht="15" customHeight="1" x14ac:dyDescent="0.35"/>
    <row r="65" spans="1:24" s="59" customFormat="1" ht="15" customHeight="1" x14ac:dyDescent="0.35">
      <c r="X65" s="60"/>
    </row>
    <row r="66" spans="1:24" s="59" customFormat="1" ht="15" customHeight="1" x14ac:dyDescent="0.35">
      <c r="X66" s="60"/>
    </row>
    <row r="67" spans="1:24" s="59" customFormat="1" ht="15" customHeight="1" x14ac:dyDescent="0.35">
      <c r="X67" s="60"/>
    </row>
    <row r="68" spans="1:24" s="59" customFormat="1" ht="15" customHeight="1" x14ac:dyDescent="0.35">
      <c r="X68" s="60"/>
    </row>
    <row r="69" spans="1:24" s="59" customFormat="1" ht="15" customHeight="1" x14ac:dyDescent="0.4">
      <c r="R69" s="83"/>
      <c r="X69" s="60"/>
    </row>
    <row r="70" spans="1:24" s="59" customFormat="1" ht="15" customHeight="1" x14ac:dyDescent="0.4">
      <c r="Q70" s="83"/>
      <c r="R70" s="83"/>
      <c r="X70" s="60"/>
    </row>
    <row r="71" spans="1:24" s="59" customFormat="1" ht="15" customHeight="1" x14ac:dyDescent="0.4">
      <c r="Q71" s="83"/>
      <c r="R71" s="62"/>
      <c r="S71" s="62"/>
      <c r="T71" s="60"/>
      <c r="U71" s="60"/>
      <c r="V71" s="60"/>
      <c r="W71" s="60"/>
      <c r="X71" s="60"/>
    </row>
    <row r="72" spans="1:24" s="59" customFormat="1" ht="15" customHeight="1" x14ac:dyDescent="0.35">
      <c r="Q72" s="62"/>
      <c r="R72" s="62"/>
      <c r="S72" s="62"/>
      <c r="T72" s="60"/>
      <c r="U72" s="60"/>
      <c r="V72" s="60"/>
      <c r="W72" s="60"/>
      <c r="X72" s="60"/>
    </row>
    <row r="73" spans="1:24" s="59" customFormat="1" ht="15" customHeight="1" x14ac:dyDescent="0.35">
      <c r="Q73" s="62"/>
      <c r="R73" s="62"/>
      <c r="S73" s="62"/>
      <c r="T73" s="60"/>
      <c r="U73" s="60"/>
      <c r="V73" s="60"/>
      <c r="W73" s="60"/>
      <c r="X73" s="60"/>
    </row>
    <row r="74" spans="1:24" s="59" customFormat="1" ht="15" customHeight="1" x14ac:dyDescent="0.35">
      <c r="Q74" s="62"/>
      <c r="R74" s="62"/>
      <c r="S74" s="62"/>
      <c r="T74" s="60"/>
      <c r="U74" s="60"/>
      <c r="V74" s="60"/>
      <c r="W74" s="60"/>
      <c r="X74" s="60"/>
    </row>
    <row r="75" spans="1:24" s="59" customFormat="1" ht="15" customHeight="1" x14ac:dyDescent="0.35">
      <c r="M75" s="60"/>
      <c r="N75" s="60"/>
      <c r="O75" s="61"/>
      <c r="Q75" s="62"/>
      <c r="R75" s="62"/>
      <c r="S75" s="62"/>
      <c r="T75" s="60"/>
      <c r="U75" s="60"/>
      <c r="V75" s="60"/>
      <c r="W75" s="60"/>
      <c r="X75" s="60"/>
    </row>
    <row r="76" spans="1:24" ht="15" customHeight="1" x14ac:dyDescent="0.35">
      <c r="A76" s="59"/>
      <c r="B76" s="59"/>
      <c r="C76" s="59"/>
      <c r="D76" s="59"/>
      <c r="E76" s="59"/>
      <c r="F76" s="59"/>
      <c r="G76" s="59"/>
      <c r="H76" s="59"/>
      <c r="P76" s="59"/>
      <c r="Q76" s="62"/>
      <c r="R76" s="62"/>
      <c r="S76" s="62"/>
    </row>
    <row r="77" spans="1:24" ht="15" customHeight="1" x14ac:dyDescent="0.35">
      <c r="A77" s="59"/>
      <c r="B77" s="59"/>
      <c r="C77" s="59"/>
      <c r="D77" s="59"/>
      <c r="E77" s="59"/>
      <c r="F77" s="59"/>
      <c r="G77" s="59"/>
      <c r="H77" s="59"/>
      <c r="O77" s="60"/>
      <c r="Q77" s="62"/>
      <c r="R77" s="62"/>
      <c r="S77" s="62"/>
    </row>
    <row r="78" spans="1:24" ht="15" customHeight="1" x14ac:dyDescent="0.35">
      <c r="H78" s="59"/>
      <c r="Q78" s="62"/>
      <c r="R78" s="59"/>
      <c r="S78" s="62"/>
    </row>
    <row r="79" spans="1:24" ht="15" customHeight="1" x14ac:dyDescent="0.35">
      <c r="H79" s="59"/>
      <c r="Q79" s="59"/>
      <c r="R79" s="59"/>
      <c r="S79" s="62"/>
    </row>
    <row r="80" spans="1:24" ht="15" customHeight="1" x14ac:dyDescent="0.35">
      <c r="B80" s="59"/>
      <c r="C80" s="59"/>
      <c r="D80" s="59"/>
      <c r="E80" s="59"/>
      <c r="F80" s="59"/>
      <c r="G80" s="59"/>
      <c r="H80" s="59"/>
      <c r="Q80" s="59"/>
      <c r="R80" s="59"/>
      <c r="S80" s="59"/>
    </row>
    <row r="81" spans="2:24" ht="15" customHeight="1" x14ac:dyDescent="0.35">
      <c r="B81" s="59"/>
      <c r="C81" s="59"/>
      <c r="D81" s="59"/>
      <c r="E81" s="59"/>
      <c r="F81" s="59"/>
      <c r="G81" s="59"/>
      <c r="H81" s="59"/>
      <c r="Q81" s="59"/>
      <c r="R81" s="59"/>
      <c r="S81" s="59"/>
    </row>
    <row r="82" spans="2:24" ht="15" customHeight="1" x14ac:dyDescent="0.35">
      <c r="B82" s="59"/>
      <c r="C82" s="59"/>
      <c r="D82" s="59"/>
      <c r="E82" s="59"/>
      <c r="F82" s="59"/>
      <c r="G82" s="59"/>
      <c r="H82" s="59"/>
      <c r="O82" s="60"/>
      <c r="Q82" s="59"/>
      <c r="R82" s="59"/>
      <c r="S82" s="59"/>
    </row>
    <row r="83" spans="2:24" ht="15" customHeight="1" x14ac:dyDescent="0.4">
      <c r="B83" s="59"/>
      <c r="C83" s="59"/>
      <c r="D83" s="59"/>
      <c r="E83" s="59"/>
      <c r="F83" s="59"/>
      <c r="G83" s="59"/>
      <c r="H83" s="59"/>
      <c r="I83" s="81"/>
      <c r="J83" s="81"/>
      <c r="K83" s="81"/>
      <c r="M83" s="83"/>
      <c r="N83" s="83"/>
      <c r="O83" s="83"/>
      <c r="P83" s="83"/>
      <c r="Q83" s="59"/>
      <c r="R83" s="59"/>
      <c r="S83" s="59"/>
    </row>
    <row r="84" spans="2:24" ht="15" customHeight="1" x14ac:dyDescent="0.4">
      <c r="I84" s="83"/>
      <c r="J84" s="83"/>
      <c r="K84" s="62"/>
      <c r="L84" s="84"/>
      <c r="M84" s="83"/>
      <c r="O84" s="83"/>
      <c r="P84" s="83"/>
      <c r="Q84" s="59"/>
      <c r="R84" s="59"/>
      <c r="S84" s="59"/>
    </row>
    <row r="85" spans="2:24" ht="15" customHeight="1" x14ac:dyDescent="0.4">
      <c r="I85" s="81"/>
      <c r="J85" s="81"/>
      <c r="K85" s="62"/>
      <c r="L85" s="84"/>
      <c r="M85" s="62"/>
      <c r="N85" s="62"/>
      <c r="O85" s="62"/>
      <c r="P85" s="62"/>
      <c r="Q85" s="59"/>
      <c r="R85" s="59"/>
      <c r="S85" s="59"/>
    </row>
    <row r="86" spans="2:24" ht="15" customHeight="1" x14ac:dyDescent="0.4">
      <c r="I86" s="81"/>
      <c r="J86" s="62"/>
      <c r="K86" s="62"/>
      <c r="L86" s="62"/>
      <c r="M86" s="62"/>
      <c r="N86" s="62"/>
      <c r="O86" s="62"/>
      <c r="P86" s="62"/>
      <c r="Q86" s="59"/>
      <c r="R86" s="59"/>
      <c r="S86" s="59"/>
    </row>
    <row r="87" spans="2:24" ht="15" customHeight="1" x14ac:dyDescent="0.4">
      <c r="I87" s="81"/>
      <c r="J87" s="62"/>
      <c r="K87" s="62"/>
      <c r="L87" s="62"/>
      <c r="M87" s="62"/>
      <c r="N87" s="62"/>
      <c r="O87" s="62"/>
      <c r="P87" s="62"/>
      <c r="Q87" s="59"/>
      <c r="R87" s="59"/>
      <c r="S87" s="59"/>
    </row>
    <row r="88" spans="2:24" ht="15" customHeight="1" x14ac:dyDescent="0.4">
      <c r="I88" s="81"/>
      <c r="J88" s="62"/>
      <c r="K88" s="62"/>
      <c r="L88" s="62"/>
      <c r="M88" s="62"/>
      <c r="N88" s="62"/>
      <c r="O88" s="62"/>
      <c r="P88" s="62"/>
      <c r="Q88" s="59"/>
      <c r="R88" s="89"/>
      <c r="S88" s="59"/>
    </row>
    <row r="89" spans="2:24" ht="15" customHeight="1" x14ac:dyDescent="0.4">
      <c r="C89" s="81"/>
      <c r="D89" s="81"/>
      <c r="E89" s="81"/>
      <c r="F89" s="81"/>
      <c r="G89" s="81"/>
      <c r="H89" s="81"/>
      <c r="I89" s="81"/>
      <c r="J89" s="62"/>
      <c r="K89" s="62"/>
      <c r="L89" s="62"/>
      <c r="M89" s="62"/>
      <c r="N89" s="62"/>
      <c r="O89" s="62"/>
      <c r="P89" s="62"/>
      <c r="Q89" s="88"/>
      <c r="R89" s="92"/>
      <c r="S89" s="59"/>
    </row>
    <row r="90" spans="2:24" ht="15" customHeight="1" x14ac:dyDescent="0.4">
      <c r="B90" s="62"/>
      <c r="C90" s="82"/>
      <c r="D90" s="83"/>
      <c r="E90" s="83"/>
      <c r="F90" s="83"/>
      <c r="G90" s="83"/>
      <c r="H90" s="83"/>
      <c r="I90" s="81"/>
      <c r="J90" s="62"/>
      <c r="K90" s="62"/>
      <c r="L90" s="62"/>
      <c r="M90" s="62"/>
      <c r="N90" s="62"/>
      <c r="O90" s="62"/>
      <c r="P90" s="62"/>
      <c r="Q90" s="92"/>
      <c r="R90" s="94"/>
      <c r="S90" s="59"/>
    </row>
    <row r="91" spans="2:24" ht="15" customHeight="1" x14ac:dyDescent="0.4">
      <c r="B91" s="62"/>
      <c r="C91" s="81"/>
      <c r="D91" s="81"/>
      <c r="E91" s="81"/>
      <c r="F91" s="81"/>
      <c r="G91" s="81"/>
      <c r="H91" s="85"/>
      <c r="I91" s="87"/>
      <c r="J91" s="62"/>
      <c r="K91" s="62"/>
      <c r="L91" s="62"/>
      <c r="M91" s="62"/>
      <c r="N91" s="62"/>
      <c r="O91" s="62"/>
      <c r="P91" s="62"/>
      <c r="Q91" s="94"/>
      <c r="R91" s="93"/>
      <c r="S91" s="59"/>
    </row>
    <row r="92" spans="2:24" ht="15" customHeight="1" x14ac:dyDescent="0.4">
      <c r="B92" s="62"/>
      <c r="C92" s="81"/>
      <c r="D92" s="81"/>
      <c r="E92" s="81"/>
      <c r="F92" s="81"/>
      <c r="G92" s="81"/>
      <c r="H92" s="72"/>
      <c r="I92" s="88"/>
      <c r="J92" s="62"/>
      <c r="K92" s="62"/>
      <c r="L92" s="62"/>
      <c r="M92" s="59"/>
      <c r="N92" s="59"/>
      <c r="O92" s="59"/>
      <c r="P92" s="59"/>
      <c r="Q92" s="95"/>
      <c r="R92" s="93"/>
      <c r="S92" s="93"/>
      <c r="T92" s="93"/>
      <c r="U92" s="93"/>
      <c r="V92" s="93"/>
      <c r="W92" s="93"/>
      <c r="X92" s="93"/>
    </row>
    <row r="93" spans="2:24" ht="15" customHeight="1" x14ac:dyDescent="0.4">
      <c r="B93" s="62"/>
      <c r="C93" s="81"/>
      <c r="D93" s="81"/>
      <c r="E93" s="81"/>
      <c r="F93" s="81"/>
      <c r="G93" s="81"/>
      <c r="H93" s="72"/>
      <c r="I93" s="88"/>
      <c r="J93" s="59"/>
      <c r="K93" s="59"/>
      <c r="L93" s="59"/>
      <c r="M93" s="59"/>
      <c r="N93" s="59"/>
      <c r="O93" s="59"/>
      <c r="P93" s="59"/>
      <c r="Q93" s="95"/>
      <c r="R93" s="93"/>
      <c r="S93" s="93"/>
      <c r="T93" s="93"/>
      <c r="U93" s="93"/>
      <c r="V93" s="93"/>
      <c r="W93" s="93"/>
      <c r="X93" s="93"/>
    </row>
    <row r="94" spans="2:24" ht="15" customHeight="1" x14ac:dyDescent="0.4">
      <c r="B94" s="59"/>
      <c r="C94" s="81"/>
      <c r="D94" s="81"/>
      <c r="E94" s="81"/>
      <c r="F94" s="81"/>
      <c r="G94" s="81"/>
      <c r="H94" s="72"/>
      <c r="I94" s="88"/>
      <c r="J94" s="59"/>
      <c r="K94" s="59"/>
      <c r="L94" s="59"/>
      <c r="M94" s="59"/>
      <c r="N94" s="59"/>
      <c r="O94" s="59"/>
      <c r="P94" s="59"/>
      <c r="Q94" s="95"/>
      <c r="R94" s="93"/>
      <c r="S94" s="93"/>
      <c r="T94" s="93"/>
      <c r="U94" s="93"/>
      <c r="V94" s="93"/>
      <c r="W94" s="93"/>
      <c r="X94" s="93"/>
    </row>
    <row r="95" spans="2:24" ht="15" customHeight="1" x14ac:dyDescent="0.4">
      <c r="B95" s="62"/>
      <c r="C95" s="81"/>
      <c r="D95" s="81"/>
      <c r="E95" s="81"/>
      <c r="F95" s="81"/>
      <c r="G95" s="81"/>
      <c r="H95" s="86"/>
      <c r="I95" s="88"/>
      <c r="J95" s="59"/>
      <c r="K95" s="59"/>
      <c r="L95" s="59"/>
      <c r="M95" s="59"/>
      <c r="N95" s="59"/>
      <c r="O95" s="59"/>
      <c r="P95" s="59"/>
      <c r="Q95" s="95"/>
      <c r="R95" s="164"/>
      <c r="S95" s="93"/>
      <c r="T95" s="93"/>
      <c r="U95" s="93"/>
      <c r="V95" s="93"/>
      <c r="W95" s="93"/>
      <c r="X95" s="93"/>
    </row>
    <row r="96" spans="2:24" ht="15" customHeight="1" x14ac:dyDescent="0.4">
      <c r="B96" s="62"/>
      <c r="C96" s="81"/>
      <c r="D96" s="81"/>
      <c r="E96" s="81"/>
      <c r="F96" s="81"/>
      <c r="G96" s="81"/>
      <c r="H96" s="81"/>
      <c r="I96" s="88"/>
      <c r="J96" s="59"/>
      <c r="K96" s="59"/>
      <c r="L96" s="59"/>
      <c r="M96" s="59"/>
      <c r="N96" s="59"/>
      <c r="O96" s="59"/>
      <c r="P96" s="59"/>
      <c r="Q96" s="164"/>
      <c r="R96" s="164"/>
      <c r="S96" s="93"/>
      <c r="T96" s="93"/>
      <c r="U96" s="93"/>
      <c r="V96" s="93"/>
      <c r="W96" s="93"/>
      <c r="X96" s="93"/>
    </row>
    <row r="97" spans="1:29" ht="15" customHeight="1" x14ac:dyDescent="0.4">
      <c r="B97" s="62"/>
      <c r="C97" s="81"/>
      <c r="D97" s="81"/>
      <c r="E97" s="81"/>
      <c r="F97" s="81"/>
      <c r="G97" s="81"/>
      <c r="H97" s="81"/>
      <c r="I97" s="81"/>
      <c r="J97" s="59"/>
      <c r="K97" s="59"/>
      <c r="L97" s="59"/>
      <c r="M97" s="59"/>
      <c r="N97" s="59"/>
      <c r="O97" s="59"/>
      <c r="P97" s="59"/>
      <c r="Q97" s="164"/>
      <c r="R97" s="164"/>
      <c r="S97" s="164"/>
      <c r="T97" s="164"/>
      <c r="U97" s="164"/>
      <c r="V97" s="164"/>
      <c r="W97" s="164"/>
      <c r="X97" s="164"/>
    </row>
    <row r="98" spans="1:29" ht="15" customHeight="1" x14ac:dyDescent="0.4">
      <c r="B98" s="62"/>
      <c r="C98" s="81"/>
      <c r="D98" s="81"/>
      <c r="E98" s="81"/>
      <c r="F98" s="81"/>
      <c r="G98" s="81"/>
      <c r="H98" s="81"/>
      <c r="I98" s="81"/>
      <c r="J98" s="81"/>
      <c r="K98" s="81"/>
      <c r="L98" s="59"/>
      <c r="M98" s="59"/>
      <c r="N98" s="59"/>
      <c r="O98" s="59"/>
      <c r="P98" s="59"/>
      <c r="Q98" s="164"/>
      <c r="R98" s="164"/>
      <c r="S98" s="164"/>
      <c r="T98" s="164"/>
      <c r="U98" s="164"/>
      <c r="V98" s="164" t="s">
        <v>197</v>
      </c>
      <c r="W98" s="164" t="s">
        <v>198</v>
      </c>
      <c r="X98" s="164" t="s">
        <v>199</v>
      </c>
    </row>
    <row r="99" spans="1:29" ht="15" customHeight="1" x14ac:dyDescent="0.4">
      <c r="B99" s="59"/>
      <c r="C99" s="81"/>
      <c r="D99" s="81"/>
      <c r="E99" s="81"/>
      <c r="F99" s="81"/>
      <c r="G99" s="81"/>
      <c r="H99" s="81"/>
      <c r="I99" s="81"/>
      <c r="J99" s="81"/>
      <c r="K99" s="81"/>
      <c r="L99" s="59"/>
      <c r="M99" s="59"/>
      <c r="N99" s="59"/>
      <c r="O99" s="59"/>
      <c r="P99" s="59"/>
      <c r="Q99" s="164"/>
      <c r="R99" s="164"/>
      <c r="S99" s="164" t="s">
        <v>181</v>
      </c>
      <c r="T99" s="164"/>
      <c r="U99" s="164"/>
      <c r="V99" s="164">
        <f t="shared" ref="V99:X103" si="1">I6</f>
        <v>73.90687744915094</v>
      </c>
      <c r="W99" s="164">
        <f t="shared" si="1"/>
        <v>278.26641500946346</v>
      </c>
      <c r="X99" s="164">
        <f t="shared" si="1"/>
        <v>352.17329245861441</v>
      </c>
    </row>
    <row r="100" spans="1:29" ht="15" customHeight="1" x14ac:dyDescent="0.4">
      <c r="B100" s="59"/>
      <c r="C100" s="81"/>
      <c r="D100" s="81"/>
      <c r="E100" s="81"/>
      <c r="F100" s="81"/>
      <c r="G100" s="81"/>
      <c r="H100" s="81"/>
      <c r="I100" s="81"/>
      <c r="J100" s="81"/>
      <c r="K100" s="81"/>
      <c r="L100" s="59"/>
      <c r="M100" s="59"/>
      <c r="N100" s="59"/>
      <c r="O100" s="59"/>
      <c r="P100" s="59"/>
      <c r="Q100" s="164"/>
      <c r="R100" s="164"/>
      <c r="S100" s="164" t="s">
        <v>182</v>
      </c>
      <c r="T100" s="164"/>
      <c r="U100" s="164"/>
      <c r="V100" s="164">
        <f t="shared" si="1"/>
        <v>143.93274215663206</v>
      </c>
      <c r="W100" s="164">
        <f t="shared" si="1"/>
        <v>568.84423455204842</v>
      </c>
      <c r="X100" s="164">
        <f t="shared" si="1"/>
        <v>712.77697670868042</v>
      </c>
    </row>
    <row r="101" spans="1:29" ht="15" customHeight="1" x14ac:dyDescent="0.4">
      <c r="B101" s="59"/>
      <c r="C101" s="81"/>
      <c r="D101" s="81"/>
      <c r="E101" s="81"/>
      <c r="F101" s="81"/>
      <c r="G101" s="81"/>
      <c r="H101" s="81"/>
      <c r="I101" s="81"/>
      <c r="J101" s="81"/>
      <c r="K101" s="81"/>
      <c r="L101" s="59"/>
      <c r="M101" s="59"/>
      <c r="N101" s="59"/>
      <c r="O101" s="59"/>
      <c r="P101" s="59"/>
      <c r="Q101" s="164"/>
      <c r="R101" s="164"/>
      <c r="S101" s="164" t="s">
        <v>200</v>
      </c>
      <c r="T101" s="164"/>
      <c r="U101" s="164"/>
      <c r="V101" s="164">
        <f t="shared" si="1"/>
        <v>291.09683303283043</v>
      </c>
      <c r="W101" s="164">
        <f t="shared" si="1"/>
        <v>423.41357532048062</v>
      </c>
      <c r="X101" s="164">
        <f t="shared" si="1"/>
        <v>714.51040835331105</v>
      </c>
    </row>
    <row r="102" spans="1:29" ht="15" customHeight="1" x14ac:dyDescent="0.4">
      <c r="B102" s="59"/>
      <c r="C102" s="81"/>
      <c r="D102" s="81"/>
      <c r="E102" s="81"/>
      <c r="F102" s="81"/>
      <c r="G102" s="81"/>
      <c r="H102" s="81"/>
      <c r="I102" s="59"/>
      <c r="J102" s="59"/>
      <c r="K102" s="59"/>
      <c r="L102" s="59"/>
      <c r="M102" s="81"/>
      <c r="N102" s="81"/>
      <c r="O102" s="81"/>
      <c r="P102" s="81"/>
      <c r="Q102" s="164"/>
      <c r="R102" s="164"/>
      <c r="S102" s="164" t="s">
        <v>184</v>
      </c>
      <c r="T102" s="164"/>
      <c r="U102" s="164"/>
      <c r="V102" s="164">
        <f t="shared" si="1"/>
        <v>169.64548421287114</v>
      </c>
      <c r="W102" s="164">
        <f t="shared" si="1"/>
        <v>423.50807496066415</v>
      </c>
      <c r="X102" s="164">
        <f t="shared" si="1"/>
        <v>593.15355917353531</v>
      </c>
    </row>
    <row r="103" spans="1:29" ht="15" customHeight="1" x14ac:dyDescent="0.4">
      <c r="B103" s="59"/>
      <c r="C103" s="81"/>
      <c r="D103" s="81"/>
      <c r="E103" s="81"/>
      <c r="F103" s="81"/>
      <c r="G103" s="88"/>
      <c r="H103" s="81"/>
      <c r="I103" s="81"/>
      <c r="J103" s="81"/>
      <c r="K103" s="81"/>
      <c r="L103" s="81"/>
      <c r="M103" s="91"/>
      <c r="N103" s="91"/>
      <c r="O103" s="92"/>
      <c r="P103" s="92"/>
      <c r="Q103" s="164"/>
      <c r="R103" s="164"/>
      <c r="S103" s="164" t="s">
        <v>185</v>
      </c>
      <c r="T103" s="164"/>
      <c r="U103" s="164"/>
      <c r="V103" s="164">
        <f t="shared" si="1"/>
        <v>311.12</v>
      </c>
      <c r="W103" s="164">
        <f t="shared" si="1"/>
        <v>0</v>
      </c>
      <c r="X103" s="164">
        <f t="shared" si="1"/>
        <v>311.12</v>
      </c>
      <c r="Y103" s="93"/>
      <c r="Z103" s="93"/>
      <c r="AA103" s="93"/>
      <c r="AB103" s="93"/>
      <c r="AC103" s="93"/>
    </row>
    <row r="104" spans="1:29" ht="15" customHeight="1" x14ac:dyDescent="0.4">
      <c r="B104" s="59"/>
      <c r="C104" s="81"/>
      <c r="D104" s="81"/>
      <c r="E104" s="81"/>
      <c r="F104" s="81"/>
      <c r="G104" s="81"/>
      <c r="H104" s="81"/>
      <c r="I104" s="92"/>
      <c r="J104" s="92"/>
      <c r="K104" s="81"/>
      <c r="L104" s="90"/>
      <c r="M104" s="94"/>
      <c r="N104" s="94"/>
      <c r="O104" s="94"/>
      <c r="P104" s="94"/>
      <c r="Q104" s="164"/>
      <c r="R104" s="164">
        <f>L119</f>
        <v>2023</v>
      </c>
      <c r="S104" s="164"/>
      <c r="T104" s="164"/>
      <c r="U104" s="164"/>
      <c r="V104" s="164"/>
      <c r="W104" s="164"/>
      <c r="X104" s="164"/>
      <c r="Y104" s="93"/>
      <c r="Z104" s="93"/>
      <c r="AA104" s="93"/>
      <c r="AB104" s="93"/>
      <c r="AC104" s="93"/>
    </row>
    <row r="105" spans="1:29" ht="15" customHeight="1" x14ac:dyDescent="0.4">
      <c r="A105" s="93"/>
      <c r="B105" s="59"/>
      <c r="C105" s="81"/>
      <c r="D105" s="81"/>
      <c r="E105" s="81"/>
      <c r="F105" s="81"/>
      <c r="G105" s="81"/>
      <c r="H105" s="81"/>
      <c r="I105" s="94"/>
      <c r="J105" s="94"/>
      <c r="K105" s="93"/>
      <c r="L105" s="94"/>
      <c r="M105" s="94"/>
      <c r="N105" s="94"/>
      <c r="O105" s="94"/>
      <c r="P105" s="94"/>
      <c r="Q105" s="164">
        <f>K119</f>
        <v>2022</v>
      </c>
      <c r="R105" s="164">
        <f>IF(INPUT!F9="",NA(),INPUT!F30/1000)</f>
        <v>20.814</v>
      </c>
      <c r="S105" s="164"/>
      <c r="T105" s="164"/>
      <c r="U105" s="164"/>
      <c r="V105" s="164"/>
      <c r="W105" s="164"/>
      <c r="X105" s="164"/>
      <c r="Y105" s="93"/>
      <c r="Z105" s="93"/>
      <c r="AA105" s="93"/>
      <c r="AB105" s="93"/>
      <c r="AC105" s="93"/>
    </row>
    <row r="106" spans="1:29" ht="15" customHeight="1" x14ac:dyDescent="0.4">
      <c r="A106" s="93"/>
      <c r="B106" s="59"/>
      <c r="C106" s="81"/>
      <c r="D106" s="81"/>
      <c r="E106" s="81"/>
      <c r="F106" s="81"/>
      <c r="G106" s="81"/>
      <c r="H106" s="81"/>
      <c r="I106" s="93"/>
      <c r="J106" s="93"/>
      <c r="K106" s="93"/>
      <c r="L106" s="94"/>
      <c r="M106" s="94"/>
      <c r="N106" s="94"/>
      <c r="O106" s="94"/>
      <c r="P106" s="94"/>
      <c r="Q106" s="164">
        <f>IF(INPUT!E9="",NA(),INPUT!E30/1000)</f>
        <v>18.495999999999999</v>
      </c>
      <c r="R106" s="164">
        <f>IF(INPUT!F9="",NA(),INPUT!F75/1000)</f>
        <v>90.644999999999996</v>
      </c>
      <c r="S106" s="164">
        <f>M118</f>
        <v>2024</v>
      </c>
      <c r="T106" s="164" t="str">
        <f>N118</f>
        <v>2025 (LTM)</v>
      </c>
      <c r="U106" s="164"/>
      <c r="V106" s="164"/>
      <c r="W106" s="164"/>
      <c r="X106" s="164"/>
      <c r="Y106" s="93"/>
      <c r="Z106" s="93"/>
      <c r="AA106" s="93"/>
      <c r="AB106" s="93"/>
      <c r="AC106" s="93"/>
    </row>
    <row r="107" spans="1:29" ht="15" customHeight="1" x14ac:dyDescent="0.4">
      <c r="A107" s="93"/>
      <c r="B107" s="59"/>
      <c r="C107" s="81"/>
      <c r="D107" s="81"/>
      <c r="E107" s="81"/>
      <c r="F107" s="81"/>
      <c r="G107" s="81"/>
      <c r="H107" s="81"/>
      <c r="I107" s="93"/>
      <c r="J107" s="93"/>
      <c r="K107" s="93"/>
      <c r="L107" s="94"/>
      <c r="M107" s="94"/>
      <c r="N107" s="94"/>
      <c r="O107" s="94"/>
      <c r="P107" s="94"/>
      <c r="Q107" s="164">
        <f>IF(INPUT!E9="",NA(),INPUT!E75/1000)</f>
        <v>126.06699999999999</v>
      </c>
      <c r="R107" s="169"/>
      <c r="S107" s="164">
        <f>IF(INPUT!G9="",NA(),INPUT!G30/1000)</f>
        <v>28.327999999999999</v>
      </c>
      <c r="T107" s="164">
        <f>IF(INPUT!H9="",NA(),INPUT!H30/1000)</f>
        <v>37.685000000000002</v>
      </c>
      <c r="U107" s="164"/>
      <c r="V107" s="164"/>
      <c r="W107" s="164"/>
      <c r="X107" s="164"/>
      <c r="Y107" s="93"/>
      <c r="Z107" s="93"/>
      <c r="AA107" s="93"/>
      <c r="AB107" s="93"/>
      <c r="AC107" s="93"/>
    </row>
    <row r="108" spans="1:29" s="165" customFormat="1" ht="15" customHeight="1" x14ac:dyDescent="0.4">
      <c r="A108" s="93"/>
      <c r="B108" s="59"/>
      <c r="C108" s="59"/>
      <c r="D108" s="59"/>
      <c r="E108" s="59"/>
      <c r="F108" s="59"/>
      <c r="G108" s="59"/>
      <c r="H108" s="59"/>
      <c r="I108" s="93"/>
      <c r="J108" s="93"/>
      <c r="K108" s="93"/>
      <c r="L108" s="94"/>
      <c r="M108" s="94"/>
      <c r="N108" s="94"/>
      <c r="O108" s="94"/>
      <c r="P108" s="94"/>
      <c r="Q108" s="164">
        <f>IF(INPUT!E9="",NA(),INPUT!E26/1000)</f>
        <v>63.781999999999996</v>
      </c>
      <c r="R108" s="169" t="s">
        <v>21</v>
      </c>
      <c r="S108" s="164">
        <f>IF(INPUT!G9="",NA(),INPUT!G75/1000)</f>
        <v>103.61</v>
      </c>
      <c r="T108" s="164">
        <f>IF(INPUT!H9="",NA(),INPUT!H75/1000)</f>
        <v>91.331000000000003</v>
      </c>
      <c r="U108" s="164"/>
      <c r="V108" s="164"/>
      <c r="W108" s="164"/>
      <c r="X108" s="164"/>
      <c r="Y108" s="164"/>
      <c r="Z108" s="164"/>
      <c r="AA108" s="164"/>
      <c r="AB108" s="164"/>
      <c r="AC108" s="164"/>
    </row>
    <row r="109" spans="1:29" s="165" customFormat="1" ht="15" customHeight="1" x14ac:dyDescent="0.4">
      <c r="A109" s="93"/>
      <c r="B109" s="59"/>
      <c r="C109" s="81"/>
      <c r="D109" s="81"/>
      <c r="E109" s="81"/>
      <c r="F109" s="81"/>
      <c r="G109" s="81"/>
      <c r="H109" s="81"/>
      <c r="I109" s="93"/>
      <c r="J109" s="93"/>
      <c r="K109" s="93"/>
      <c r="L109" s="94"/>
      <c r="M109" s="164"/>
      <c r="N109" s="164"/>
      <c r="O109" s="164"/>
      <c r="P109" s="164"/>
      <c r="Q109" s="167"/>
      <c r="R109" s="169" t="s">
        <v>201</v>
      </c>
      <c r="S109" s="169">
        <v>2022</v>
      </c>
      <c r="T109" s="169">
        <v>2023</v>
      </c>
      <c r="U109" s="169">
        <v>2024</v>
      </c>
      <c r="V109" s="169" t="s">
        <v>4</v>
      </c>
      <c r="W109" s="164"/>
      <c r="X109" s="164"/>
      <c r="Y109" s="164"/>
      <c r="Z109" s="164"/>
      <c r="AA109" s="164"/>
      <c r="AB109" s="164"/>
      <c r="AC109" s="164"/>
    </row>
    <row r="110" spans="1:29" s="165" customFormat="1" ht="15" customHeight="1" x14ac:dyDescent="0.35">
      <c r="A110" s="164"/>
      <c r="B110" s="59"/>
      <c r="C110" s="90"/>
      <c r="D110" s="91"/>
      <c r="E110" s="91"/>
      <c r="F110" s="92"/>
      <c r="G110" s="92"/>
      <c r="H110" s="92"/>
      <c r="I110" s="164"/>
      <c r="J110" s="164"/>
      <c r="K110" s="164"/>
      <c r="L110" s="164"/>
      <c r="M110" s="164"/>
      <c r="N110" s="164"/>
      <c r="O110" s="164"/>
      <c r="P110" s="164"/>
      <c r="R110" s="169" t="s">
        <v>19</v>
      </c>
      <c r="S110" s="169">
        <f t="shared" ref="S110:V112" si="2">E28</f>
        <v>18496</v>
      </c>
      <c r="T110" s="169">
        <f t="shared" si="2"/>
        <v>20814</v>
      </c>
      <c r="U110" s="169">
        <f t="shared" si="2"/>
        <v>28328</v>
      </c>
      <c r="V110" s="169">
        <f t="shared" si="2"/>
        <v>37685</v>
      </c>
      <c r="Y110" s="164"/>
      <c r="Z110" s="164"/>
      <c r="AA110" s="164"/>
      <c r="AB110" s="164"/>
      <c r="AC110" s="164"/>
    </row>
    <row r="111" spans="1:29" s="165" customFormat="1" ht="15" customHeight="1" x14ac:dyDescent="0.4">
      <c r="A111" s="164"/>
      <c r="B111" s="93"/>
      <c r="C111" s="94"/>
      <c r="D111" s="94"/>
      <c r="E111" s="94"/>
      <c r="F111" s="94"/>
      <c r="G111" s="94"/>
      <c r="H111" s="94"/>
      <c r="I111" s="164"/>
      <c r="J111" s="164"/>
      <c r="K111" s="164"/>
      <c r="L111" s="164"/>
      <c r="M111" s="164"/>
      <c r="N111" s="164"/>
      <c r="O111" s="164"/>
      <c r="P111" s="164"/>
      <c r="Q111" s="60"/>
      <c r="R111" s="60"/>
      <c r="S111" s="169">
        <f t="shared" si="2"/>
        <v>126067</v>
      </c>
      <c r="T111" s="169">
        <f t="shared" si="2"/>
        <v>90645</v>
      </c>
      <c r="U111" s="169">
        <f t="shared" si="2"/>
        <v>103610</v>
      </c>
      <c r="V111" s="169">
        <f t="shared" si="2"/>
        <v>91331</v>
      </c>
      <c r="Y111" s="164"/>
      <c r="Z111" s="164"/>
      <c r="AA111" s="164"/>
      <c r="AB111" s="164"/>
      <c r="AC111" s="164"/>
    </row>
    <row r="112" spans="1:29" s="165" customFormat="1" ht="15" customHeight="1" x14ac:dyDescent="0.35">
      <c r="A112" s="164"/>
      <c r="B112" s="93"/>
      <c r="C112" s="93"/>
      <c r="D112" s="93"/>
      <c r="E112" s="93"/>
      <c r="F112" s="93"/>
      <c r="G112" s="93"/>
      <c r="H112" s="93"/>
      <c r="I112" s="164"/>
      <c r="J112" s="164"/>
      <c r="K112" s="164"/>
      <c r="L112" s="164"/>
      <c r="M112" s="164"/>
      <c r="N112" s="164"/>
      <c r="O112" s="164"/>
      <c r="P112" s="164"/>
      <c r="Q112" s="60"/>
      <c r="R112" s="60"/>
      <c r="S112" s="169">
        <f t="shared" si="2"/>
        <v>63782</v>
      </c>
      <c r="T112" s="169">
        <f t="shared" si="2"/>
        <v>82496</v>
      </c>
      <c r="U112" s="169">
        <f t="shared" si="2"/>
        <v>87983</v>
      </c>
      <c r="V112" s="169">
        <f t="shared" si="2"/>
        <v>104057</v>
      </c>
      <c r="W112" s="60"/>
      <c r="X112" s="60"/>
      <c r="Y112" s="164"/>
      <c r="Z112" s="164"/>
      <c r="AA112" s="164"/>
      <c r="AB112" s="164"/>
      <c r="AC112" s="164"/>
    </row>
    <row r="113" spans="1:29" s="165" customFormat="1" ht="15" customHeight="1" x14ac:dyDescent="0.35">
      <c r="A113" s="164"/>
      <c r="B113" s="93"/>
      <c r="C113" s="93"/>
      <c r="D113" s="93"/>
      <c r="E113" s="93"/>
      <c r="F113" s="93"/>
      <c r="G113" s="93"/>
      <c r="H113" s="93"/>
      <c r="I113" s="164"/>
      <c r="J113" s="164"/>
      <c r="K113" s="164"/>
      <c r="L113" s="164"/>
      <c r="M113" s="164"/>
      <c r="N113" s="164"/>
      <c r="O113" s="164"/>
      <c r="P113" s="164"/>
      <c r="Q113" s="60"/>
      <c r="R113" s="60"/>
      <c r="S113" s="60"/>
      <c r="T113" s="60"/>
      <c r="U113" s="60"/>
      <c r="V113" s="60"/>
      <c r="W113" s="60"/>
      <c r="X113" s="60"/>
      <c r="Y113" s="164"/>
      <c r="Z113" s="164"/>
      <c r="AA113" s="164"/>
      <c r="AB113" s="164"/>
      <c r="AC113" s="164"/>
    </row>
    <row r="114" spans="1:29" s="165" customFormat="1" ht="15" customHeight="1" x14ac:dyDescent="0.35">
      <c r="A114" s="164"/>
      <c r="B114" s="93"/>
      <c r="C114" s="93"/>
      <c r="D114" s="93"/>
      <c r="E114" s="93"/>
      <c r="F114" s="93"/>
      <c r="G114" s="93"/>
      <c r="H114" s="93"/>
      <c r="I114" s="164"/>
      <c r="J114" s="164"/>
      <c r="K114" s="164"/>
      <c r="L114" s="164"/>
      <c r="M114" s="164"/>
      <c r="N114" s="164"/>
      <c r="O114" s="164"/>
      <c r="P114" s="164"/>
      <c r="Q114" s="60"/>
      <c r="R114" s="60"/>
      <c r="S114" s="60"/>
      <c r="T114" s="60"/>
      <c r="U114" s="60"/>
      <c r="V114" s="60"/>
      <c r="W114" s="60"/>
      <c r="X114" s="60"/>
      <c r="Y114" s="164"/>
      <c r="Z114" s="164"/>
      <c r="AA114" s="164"/>
      <c r="AB114" s="164"/>
      <c r="AC114" s="164"/>
    </row>
    <row r="115" spans="1:29" s="165" customFormat="1" ht="15" customHeight="1" x14ac:dyDescent="0.35">
      <c r="A115" s="164"/>
      <c r="B115" s="93"/>
      <c r="C115" s="93"/>
      <c r="D115" s="93"/>
      <c r="E115" s="93"/>
      <c r="F115" s="93"/>
      <c r="G115" s="93"/>
      <c r="H115" s="93"/>
      <c r="I115" s="164"/>
      <c r="J115" s="164"/>
      <c r="K115" s="164"/>
      <c r="L115" s="164"/>
      <c r="M115" s="164"/>
      <c r="N115" s="164"/>
      <c r="O115" s="164"/>
      <c r="P115" s="164"/>
      <c r="Q115" s="60"/>
      <c r="R115" s="60"/>
      <c r="S115" s="60"/>
      <c r="T115" s="60"/>
      <c r="U115" s="60"/>
      <c r="V115" s="60"/>
      <c r="W115" s="60"/>
      <c r="X115" s="60"/>
      <c r="Y115" s="164"/>
      <c r="Z115" s="164"/>
      <c r="AA115" s="164"/>
      <c r="AB115" s="164"/>
      <c r="AC115" s="164"/>
    </row>
    <row r="116" spans="1:29" s="165" customFormat="1" ht="15" customHeight="1" x14ac:dyDescent="0.35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60"/>
      <c r="R116" s="60"/>
      <c r="S116" s="60"/>
      <c r="T116" s="60"/>
      <c r="U116" s="60"/>
      <c r="V116" s="60"/>
      <c r="W116" s="60"/>
      <c r="X116" s="60"/>
      <c r="Y116" s="164"/>
      <c r="Z116" s="164"/>
      <c r="AA116" s="164"/>
      <c r="AB116" s="164"/>
      <c r="AC116" s="164"/>
    </row>
    <row r="117" spans="1:29" s="165" customFormat="1" ht="15" customHeight="1" x14ac:dyDescent="0.35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60"/>
      <c r="R117" s="60"/>
      <c r="S117" s="60"/>
      <c r="T117" s="60"/>
      <c r="U117" s="60"/>
      <c r="V117" s="60"/>
      <c r="W117" s="60"/>
      <c r="X117" s="60"/>
      <c r="Y117" s="164"/>
      <c r="Z117" s="164"/>
      <c r="AA117" s="164"/>
      <c r="AB117" s="164"/>
      <c r="AC117" s="164"/>
    </row>
    <row r="118" spans="1:29" s="165" customFormat="1" ht="15" customHeight="1" x14ac:dyDescent="0.35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>
        <f>IF(INPUT!G9="",NA(),'DASHBOARD 2'!G16)</f>
        <v>2024</v>
      </c>
      <c r="N118" s="164" t="str">
        <f>IF(INPUT!H9="",NA(),'DASHBOARD 2'!H16)</f>
        <v>2025 (LTM)</v>
      </c>
      <c r="O118" s="164"/>
      <c r="P118" s="164" t="str">
        <f>J119</f>
        <v/>
      </c>
      <c r="Q118" s="60"/>
      <c r="R118" s="60"/>
      <c r="S118" s="60"/>
      <c r="T118" s="60"/>
      <c r="U118" s="60"/>
      <c r="V118" s="60"/>
      <c r="W118" s="60"/>
      <c r="X118" s="60"/>
      <c r="Y118" s="164"/>
      <c r="Z118" s="164"/>
      <c r="AA118" s="164"/>
      <c r="AB118" s="164"/>
      <c r="AC118" s="164"/>
    </row>
    <row r="119" spans="1:29" s="165" customFormat="1" ht="15" customHeight="1" x14ac:dyDescent="0.35">
      <c r="A119" s="164"/>
      <c r="B119" s="164"/>
      <c r="C119" s="164"/>
      <c r="D119" s="164"/>
      <c r="E119" s="164"/>
      <c r="F119" s="164"/>
      <c r="G119" s="164"/>
      <c r="H119" s="164"/>
      <c r="I119" s="164" t="s">
        <v>101</v>
      </c>
      <c r="J119" s="164" t="str">
        <f>IF(INPUT!D9="","",INPUT!D5)</f>
        <v/>
      </c>
      <c r="K119" s="164">
        <f>IF(INPUT!E9="",NA(),'DASHBOARD 2'!E16)</f>
        <v>2022</v>
      </c>
      <c r="L119" s="164">
        <f>IF(INPUT!F9="",NA(),'DASHBOARD 2'!F16)</f>
        <v>2023</v>
      </c>
      <c r="M119" s="164">
        <f>IF(INPUT!G9="",NA(),INPUT!G30)</f>
        <v>28328</v>
      </c>
      <c r="N119" s="164">
        <f>IF(INPUT!H9="",NA(),INPUT!H30)</f>
        <v>37685</v>
      </c>
      <c r="O119" s="164"/>
      <c r="P119" s="164" t="e">
        <f>IF(INPUT!D9="",NA(),INPUT!D30/1000)</f>
        <v>#N/A</v>
      </c>
      <c r="Q119" s="60"/>
      <c r="R119" s="60"/>
      <c r="S119" s="60"/>
      <c r="T119" s="60"/>
      <c r="U119" s="60"/>
      <c r="V119" s="60"/>
      <c r="W119" s="60"/>
      <c r="X119" s="60"/>
      <c r="Y119" s="164"/>
      <c r="Z119" s="164"/>
      <c r="AA119" s="164"/>
      <c r="AB119" s="164"/>
      <c r="AC119" s="164"/>
    </row>
    <row r="120" spans="1:29" s="165" customFormat="1" ht="15" customHeight="1" x14ac:dyDescent="0.35">
      <c r="A120" s="164"/>
      <c r="B120" s="164"/>
      <c r="C120" s="164"/>
      <c r="D120" s="164"/>
      <c r="E120" s="164"/>
      <c r="F120" s="164"/>
      <c r="G120" s="164"/>
      <c r="H120" s="164"/>
      <c r="I120" s="164" t="s">
        <v>111</v>
      </c>
      <c r="J120" s="164" t="str">
        <f>IF(INPUT!D9="","",INPUT!D30)</f>
        <v/>
      </c>
      <c r="K120" s="164">
        <f>IF(INPUT!E9="",NA(),INPUT!E30)</f>
        <v>18496</v>
      </c>
      <c r="L120" s="164">
        <f>IF(INPUT!F9="",NA(),INPUT!F30)</f>
        <v>20814</v>
      </c>
      <c r="M120" s="164">
        <f>IF(INPUT!G9="",NA(),INPUT!G75)</f>
        <v>103610</v>
      </c>
      <c r="N120" s="164">
        <f>IF(INPUT!H9="",NA(),INPUT!H75)</f>
        <v>91331</v>
      </c>
      <c r="O120" s="164"/>
      <c r="P120" s="164" t="e">
        <f>IF(INPUT!D9="",NA(),INPUT!D75/1000)</f>
        <v>#N/A</v>
      </c>
      <c r="Q120" s="60"/>
      <c r="R120" s="60"/>
      <c r="S120" s="60"/>
      <c r="T120" s="60"/>
      <c r="U120" s="60"/>
      <c r="V120" s="60"/>
      <c r="W120" s="60"/>
      <c r="X120" s="60"/>
      <c r="Y120" s="164"/>
      <c r="Z120" s="164"/>
      <c r="AA120" s="164"/>
      <c r="AB120" s="164"/>
      <c r="AC120" s="164"/>
    </row>
    <row r="121" spans="1:29" s="165" customFormat="1" ht="15" customHeight="1" x14ac:dyDescent="0.35">
      <c r="A121" s="164"/>
      <c r="B121" s="164"/>
      <c r="C121" s="164"/>
      <c r="D121" s="164"/>
      <c r="E121" s="164"/>
      <c r="F121" s="164"/>
      <c r="G121" s="164"/>
      <c r="H121" s="164"/>
      <c r="I121" s="164" t="s">
        <v>202</v>
      </c>
      <c r="J121" s="164" t="str">
        <f>IF(INPUT!D9="","",INPUT!D75)</f>
        <v/>
      </c>
      <c r="K121" s="164">
        <f>IF(INPUT!E9="",NA(),INPUT!E75)</f>
        <v>126067</v>
      </c>
      <c r="L121" s="164">
        <f>IF(INPUT!F9="",NA(),INPUT!F75)</f>
        <v>90645</v>
      </c>
      <c r="M121" s="164">
        <f>IF(INPUT!G9="",NA(),INPUT!G26)</f>
        <v>87983</v>
      </c>
      <c r="N121" s="164">
        <f>IF(INPUT!H9="",NA(),INPUT!H26)</f>
        <v>104057</v>
      </c>
      <c r="O121" s="164"/>
      <c r="P121" s="164" t="e">
        <f>IF(INPUT!D9="",NA(),INPUT!D26/1000)</f>
        <v>#N/A</v>
      </c>
      <c r="Q121" s="60"/>
      <c r="R121" s="60"/>
      <c r="S121" s="60"/>
      <c r="T121" s="60"/>
      <c r="U121" s="60"/>
      <c r="V121" s="60"/>
      <c r="W121" s="60"/>
      <c r="X121" s="60"/>
    </row>
    <row r="122" spans="1:29" s="165" customFormat="1" ht="15" customHeight="1" x14ac:dyDescent="0.35">
      <c r="A122" s="164" t="s">
        <v>7</v>
      </c>
      <c r="B122" s="164"/>
      <c r="C122" s="164"/>
      <c r="D122" s="164"/>
      <c r="E122" s="164"/>
      <c r="F122" s="164"/>
      <c r="G122" s="164"/>
      <c r="H122" s="164"/>
      <c r="I122" s="164" t="s">
        <v>112</v>
      </c>
      <c r="J122" s="164" t="str">
        <f>IF(INPUT!D9="","",INPUT!D26)</f>
        <v/>
      </c>
      <c r="K122" s="164">
        <f>IF(INPUT!E9="",NA(),INPUT!E26)</f>
        <v>63782</v>
      </c>
      <c r="L122" s="164">
        <f>IF(INPUT!F9="",NA(),INPUT!F26)</f>
        <v>82496</v>
      </c>
      <c r="M122" s="167"/>
      <c r="N122" s="167"/>
      <c r="O122" s="167"/>
      <c r="P122" s="167"/>
      <c r="Q122" s="60"/>
      <c r="R122" s="60"/>
      <c r="S122" s="60"/>
      <c r="T122" s="60"/>
      <c r="U122" s="60"/>
      <c r="V122" s="60"/>
      <c r="W122" s="60"/>
      <c r="X122" s="60"/>
    </row>
    <row r="123" spans="1:29" ht="15" customHeight="1" x14ac:dyDescent="0.35">
      <c r="A123" s="165"/>
      <c r="B123" s="164"/>
      <c r="C123" s="164"/>
      <c r="D123" s="164"/>
      <c r="E123" s="164"/>
      <c r="F123" s="164"/>
      <c r="G123" s="164"/>
      <c r="H123" s="164"/>
      <c r="I123" s="167"/>
      <c r="J123" s="167"/>
      <c r="K123" s="167"/>
      <c r="L123" s="167"/>
      <c r="M123" s="165"/>
      <c r="N123" s="165"/>
      <c r="O123" s="168"/>
      <c r="P123" s="165"/>
    </row>
    <row r="124" spans="1:29" ht="15" customHeight="1" x14ac:dyDescent="0.35">
      <c r="A124" s="165"/>
      <c r="B124" s="164"/>
      <c r="C124" s="164"/>
      <c r="D124" s="164"/>
      <c r="E124" s="164"/>
      <c r="F124" s="164"/>
      <c r="G124" s="164"/>
      <c r="H124" s="164"/>
      <c r="I124" s="165"/>
      <c r="J124" s="165"/>
      <c r="K124" s="165"/>
      <c r="L124" s="165"/>
    </row>
    <row r="125" spans="1:29" ht="15" customHeight="1" x14ac:dyDescent="0.35">
      <c r="B125" s="164" t="s">
        <v>101</v>
      </c>
      <c r="C125" s="164" t="str">
        <f>IF(INPUT!D9="","",INPUT!D5)</f>
        <v/>
      </c>
      <c r="D125" s="164">
        <f>IF(INPUT!E9="",NA(),'DASHBOARD 2'!E16)</f>
        <v>2022</v>
      </c>
      <c r="E125" s="164">
        <f>IF(INPUT!F9="",NA(),'DASHBOARD 2'!F16)</f>
        <v>2023</v>
      </c>
      <c r="F125" s="164">
        <f>IF(INPUT!G9="",NA(),'DASHBOARD 2'!G16)</f>
        <v>2024</v>
      </c>
      <c r="G125" s="164" t="str">
        <f>IF(INPUT!H9="",NA(),'DASHBOARD 2'!H16)</f>
        <v>2025 (LTM)</v>
      </c>
      <c r="H125" s="164"/>
    </row>
    <row r="126" spans="1:29" ht="15" customHeight="1" x14ac:dyDescent="0.35">
      <c r="B126" s="164" t="s">
        <v>189</v>
      </c>
      <c r="C126" s="164" t="str">
        <f>""</f>
        <v/>
      </c>
      <c r="D126" s="164" t="str">
        <f>IF(INPUT!E9="",NA(),'DASHBOARD 2'!E18)</f>
        <v/>
      </c>
      <c r="E126" s="164">
        <f>IF(INPUT!F9="",NA(),'DASHBOARD 2'!F18)</f>
        <v>0.21314992131655797</v>
      </c>
      <c r="F126" s="164">
        <f>IF(INPUT!G9="",NA(),'DASHBOARD 2'!G18)</f>
        <v>9.3493468945221814E-2</v>
      </c>
      <c r="G126" s="164">
        <f>IF(INPUT!H9="",NA(),'DASHBOARD 2'!H18)</f>
        <v>7.3229893944133373E-2</v>
      </c>
      <c r="H126" s="164"/>
    </row>
    <row r="127" spans="1:29" ht="15" customHeight="1" x14ac:dyDescent="0.4">
      <c r="B127" s="164" t="s">
        <v>195</v>
      </c>
      <c r="C127" s="166" t="str">
        <f>IF(INPUT!D9="","",INPUT!D9)</f>
        <v/>
      </c>
      <c r="D127" s="166">
        <f>IF(INPUT!E9="",NA(),INPUT!E9)</f>
        <v>127727</v>
      </c>
      <c r="E127" s="166">
        <f>IF(INPUT!F9="",NA(),INPUT!F9)</f>
        <v>154952</v>
      </c>
      <c r="F127" s="166">
        <f>IF(INPUT!G9="",NA(),INPUT!G9)</f>
        <v>169439</v>
      </c>
      <c r="G127" s="166">
        <f>IF(INPUT!H9="",NA(),INPUT!H9)</f>
        <v>181847</v>
      </c>
      <c r="H127" s="166"/>
    </row>
    <row r="128" spans="1:29" ht="15" customHeight="1" x14ac:dyDescent="0.35">
      <c r="B128" s="164"/>
      <c r="C128" s="164"/>
      <c r="D128" s="164"/>
      <c r="E128" s="164"/>
      <c r="F128" s="164"/>
      <c r="G128" s="164"/>
      <c r="H128" s="164"/>
    </row>
    <row r="129" spans="2:8" ht="15" customHeight="1" x14ac:dyDescent="0.35">
      <c r="B129" s="167"/>
      <c r="C129" s="167"/>
      <c r="D129" s="167"/>
      <c r="E129" s="167"/>
      <c r="F129" s="167"/>
      <c r="G129" s="167"/>
      <c r="H129" s="167"/>
    </row>
    <row r="130" spans="2:8" ht="15" customHeight="1" x14ac:dyDescent="0.35">
      <c r="B130" s="165"/>
      <c r="C130" s="165"/>
      <c r="D130" s="165"/>
      <c r="E130" s="165"/>
      <c r="F130" s="165"/>
      <c r="G130" s="165"/>
      <c r="H130" s="165"/>
    </row>
  </sheetData>
  <pageMargins left="5.5555555555555558E-3" right="5.5555555555555558E-3" top="5.5555555555555558E-3" bottom="5.5555555555555558E-3" header="0.3" footer="0.3"/>
  <pageSetup paperSize="9"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>
      <selection activeCell="E32" sqref="E32"/>
    </sheetView>
  </sheetViews>
  <sheetFormatPr baseColWidth="10" defaultRowHeight="14.4" x14ac:dyDescent="0.3"/>
  <cols>
    <col min="1" max="1" width="55.33203125" bestFit="1" customWidth="1"/>
    <col min="2" max="2" width="6.6640625" bestFit="1" customWidth="1"/>
    <col min="3" max="3" width="14.109375" bestFit="1" customWidth="1"/>
    <col min="4" max="4" width="12.6640625" bestFit="1" customWidth="1"/>
  </cols>
  <sheetData>
    <row r="1" spans="1:3" x14ac:dyDescent="0.3">
      <c r="A1" s="78" t="s">
        <v>203</v>
      </c>
      <c r="B1" s="78"/>
      <c r="C1" s="78"/>
    </row>
    <row r="2" spans="1:3" x14ac:dyDescent="0.3">
      <c r="A2" s="79" t="s">
        <v>204</v>
      </c>
      <c r="B2" s="79" t="s">
        <v>205</v>
      </c>
      <c r="C2" s="79" t="s">
        <v>206</v>
      </c>
    </row>
    <row r="3" spans="1:3" x14ac:dyDescent="0.3">
      <c r="A3" s="120">
        <v>1</v>
      </c>
      <c r="B3" t="s">
        <v>207</v>
      </c>
      <c r="C3" s="132">
        <v>258.95999999999998</v>
      </c>
    </row>
    <row r="4" spans="1:3" x14ac:dyDescent="0.3">
      <c r="A4" s="120">
        <v>2</v>
      </c>
      <c r="B4" t="s">
        <v>208</v>
      </c>
      <c r="C4" s="132">
        <v>284.38</v>
      </c>
    </row>
    <row r="5" spans="1:3" x14ac:dyDescent="0.3">
      <c r="A5" s="120">
        <v>3</v>
      </c>
      <c r="B5" t="s">
        <v>209</v>
      </c>
      <c r="C5" s="132">
        <v>290.58999999999997</v>
      </c>
    </row>
    <row r="6" spans="1:3" x14ac:dyDescent="0.3">
      <c r="A6" s="120">
        <v>4</v>
      </c>
      <c r="B6" t="s">
        <v>210</v>
      </c>
      <c r="C6" s="132">
        <v>297.08999999999997</v>
      </c>
    </row>
    <row r="7" spans="1:3" x14ac:dyDescent="0.3">
      <c r="A7" s="120">
        <v>5</v>
      </c>
      <c r="B7" t="s">
        <v>211</v>
      </c>
      <c r="C7" s="132">
        <v>310.89999999999998</v>
      </c>
    </row>
    <row r="8" spans="1:3" x14ac:dyDescent="0.3">
      <c r="A8" s="120">
        <v>6</v>
      </c>
      <c r="B8" t="s">
        <v>212</v>
      </c>
      <c r="C8" s="132">
        <v>306.66000000000003</v>
      </c>
    </row>
    <row r="9" spans="1:3" x14ac:dyDescent="0.3">
      <c r="A9" s="120">
        <v>7</v>
      </c>
      <c r="B9" t="s">
        <v>213</v>
      </c>
      <c r="C9" s="132">
        <v>310.08999999999997</v>
      </c>
    </row>
    <row r="10" spans="1:3" x14ac:dyDescent="0.3">
      <c r="A10" s="120">
        <v>8</v>
      </c>
      <c r="B10" t="s">
        <v>214</v>
      </c>
      <c r="C10" s="132">
        <v>319.14</v>
      </c>
    </row>
    <row r="11" spans="1:3" x14ac:dyDescent="0.3">
      <c r="A11" s="120">
        <v>9</v>
      </c>
      <c r="B11" t="s">
        <v>215</v>
      </c>
      <c r="C11" s="132">
        <v>302.97000000000003</v>
      </c>
    </row>
    <row r="12" spans="1:3" x14ac:dyDescent="0.3">
      <c r="A12" s="120">
        <v>10</v>
      </c>
      <c r="B12" t="s">
        <v>216</v>
      </c>
      <c r="C12" s="132">
        <v>298.77</v>
      </c>
    </row>
    <row r="13" spans="1:3" x14ac:dyDescent="0.3">
      <c r="A13" s="120">
        <v>11</v>
      </c>
      <c r="B13" t="s">
        <v>217</v>
      </c>
      <c r="C13" s="132">
        <v>292.66000000000003</v>
      </c>
    </row>
    <row r="14" spans="1:3" x14ac:dyDescent="0.3">
      <c r="A14" s="120">
        <v>12</v>
      </c>
      <c r="B14" t="s">
        <v>218</v>
      </c>
      <c r="C14" s="132">
        <v>311.12</v>
      </c>
    </row>
    <row r="15" spans="1:3" x14ac:dyDescent="0.3">
      <c r="A15" s="120">
        <v>13</v>
      </c>
      <c r="C15" s="132"/>
    </row>
    <row r="17" spans="1:1" x14ac:dyDescent="0.3">
      <c r="A17" s="80" t="s">
        <v>219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62"/>
  <sheetViews>
    <sheetView topLeftCell="A38" workbookViewId="0"/>
  </sheetViews>
  <sheetFormatPr baseColWidth="10" defaultRowHeight="14.4" x14ac:dyDescent="0.3"/>
  <cols>
    <col min="1" max="1" width="23.109375" bestFit="1" customWidth="1"/>
    <col min="2" max="2" width="28.109375" bestFit="1" customWidth="1"/>
    <col min="3" max="3" width="11" bestFit="1" customWidth="1"/>
    <col min="4" max="4" width="8.44140625" bestFit="1" customWidth="1"/>
    <col min="5" max="5" width="10" bestFit="1" customWidth="1"/>
  </cols>
  <sheetData>
    <row r="1" spans="1:5" ht="18" x14ac:dyDescent="0.35">
      <c r="A1" s="170" t="s">
        <v>220</v>
      </c>
    </row>
    <row r="2" spans="1:5" ht="15" customHeight="1" x14ac:dyDescent="0.3">
      <c r="A2" s="171" t="s">
        <v>221</v>
      </c>
    </row>
    <row r="3" spans="1:5" ht="15" customHeight="1" x14ac:dyDescent="0.3">
      <c r="A3" s="171" t="s">
        <v>222</v>
      </c>
    </row>
    <row r="4" spans="1:5" ht="15" customHeight="1" x14ac:dyDescent="0.3"/>
    <row r="5" spans="1:5" ht="15" customHeight="1" x14ac:dyDescent="0.3">
      <c r="A5" s="172" t="s">
        <v>223</v>
      </c>
    </row>
    <row r="6" spans="1:5" ht="15" customHeight="1" x14ac:dyDescent="0.3">
      <c r="A6" s="173" t="s">
        <v>224</v>
      </c>
      <c r="B6" s="173" t="s">
        <v>225</v>
      </c>
      <c r="C6" s="173" t="s">
        <v>226</v>
      </c>
      <c r="D6" s="173" t="s">
        <v>227</v>
      </c>
      <c r="E6" s="173" t="s">
        <v>228</v>
      </c>
    </row>
    <row r="7" spans="1:5" ht="15" customHeight="1" x14ac:dyDescent="0.3">
      <c r="A7" t="s">
        <v>88</v>
      </c>
      <c r="B7" t="s">
        <v>229</v>
      </c>
      <c r="C7" t="s">
        <v>230</v>
      </c>
      <c r="D7" t="s">
        <v>231</v>
      </c>
      <c r="E7" t="s">
        <v>232</v>
      </c>
    </row>
    <row r="8" spans="1:5" ht="15" customHeight="1" x14ac:dyDescent="0.3">
      <c r="A8" t="s">
        <v>233</v>
      </c>
      <c r="B8" t="s">
        <v>234</v>
      </c>
      <c r="C8" t="s">
        <v>235</v>
      </c>
      <c r="D8" t="s">
        <v>236</v>
      </c>
      <c r="E8" t="s">
        <v>232</v>
      </c>
    </row>
    <row r="9" spans="1:5" ht="15" customHeight="1" x14ac:dyDescent="0.3">
      <c r="A9" t="s">
        <v>237</v>
      </c>
      <c r="B9" t="s">
        <v>238</v>
      </c>
      <c r="C9" t="s">
        <v>239</v>
      </c>
      <c r="D9" t="s">
        <v>240</v>
      </c>
      <c r="E9" t="s">
        <v>232</v>
      </c>
    </row>
    <row r="10" spans="1:5" ht="15" customHeight="1" x14ac:dyDescent="0.3">
      <c r="A10" t="s">
        <v>241</v>
      </c>
      <c r="B10" t="s">
        <v>242</v>
      </c>
      <c r="C10" t="s">
        <v>243</v>
      </c>
      <c r="D10" t="s">
        <v>244</v>
      </c>
      <c r="E10" t="s">
        <v>232</v>
      </c>
    </row>
    <row r="11" spans="1:5" ht="15" customHeight="1" x14ac:dyDescent="0.3">
      <c r="A11" t="s">
        <v>245</v>
      </c>
      <c r="B11" t="s">
        <v>246</v>
      </c>
      <c r="C11" t="s">
        <v>247</v>
      </c>
      <c r="D11" t="s">
        <v>248</v>
      </c>
      <c r="E11" t="s">
        <v>232</v>
      </c>
    </row>
    <row r="12" spans="1:5" ht="15" customHeight="1" x14ac:dyDescent="0.3">
      <c r="A12" t="s">
        <v>249</v>
      </c>
      <c r="B12" t="s">
        <v>250</v>
      </c>
      <c r="C12" t="s">
        <v>251</v>
      </c>
      <c r="D12" t="s">
        <v>252</v>
      </c>
      <c r="E12" t="s">
        <v>253</v>
      </c>
    </row>
    <row r="13" spans="1:5" ht="15" customHeight="1" x14ac:dyDescent="0.3">
      <c r="A13" t="s">
        <v>254</v>
      </c>
      <c r="B13" t="s">
        <v>255</v>
      </c>
      <c r="C13" t="s">
        <v>256</v>
      </c>
      <c r="D13" t="s">
        <v>257</v>
      </c>
      <c r="E13" t="s">
        <v>253</v>
      </c>
    </row>
    <row r="14" spans="1:5" ht="15" customHeight="1" x14ac:dyDescent="0.3">
      <c r="A14" t="s">
        <v>258</v>
      </c>
      <c r="B14" t="s">
        <v>259</v>
      </c>
      <c r="C14" t="s">
        <v>258</v>
      </c>
      <c r="D14" t="s">
        <v>260</v>
      </c>
      <c r="E14" t="s">
        <v>253</v>
      </c>
    </row>
    <row r="15" spans="1:5" ht="15" customHeight="1" x14ac:dyDescent="0.3">
      <c r="A15" t="s">
        <v>261</v>
      </c>
      <c r="B15" t="s">
        <v>262</v>
      </c>
      <c r="C15" t="s">
        <v>263</v>
      </c>
      <c r="D15" t="s">
        <v>264</v>
      </c>
      <c r="E15" t="s">
        <v>253</v>
      </c>
    </row>
    <row r="16" spans="1:5" ht="15" customHeight="1" x14ac:dyDescent="0.3">
      <c r="A16" t="s">
        <v>265</v>
      </c>
      <c r="B16" t="s">
        <v>266</v>
      </c>
      <c r="C16" t="s">
        <v>267</v>
      </c>
      <c r="D16" t="s">
        <v>268</v>
      </c>
      <c r="E16" t="s">
        <v>253</v>
      </c>
    </row>
    <row r="17" spans="1:7" ht="15" customHeight="1" x14ac:dyDescent="0.3">
      <c r="A17" t="s">
        <v>269</v>
      </c>
      <c r="B17" t="s">
        <v>270</v>
      </c>
      <c r="C17" t="s">
        <v>271</v>
      </c>
      <c r="D17" t="s">
        <v>272</v>
      </c>
      <c r="E17" t="s">
        <v>253</v>
      </c>
    </row>
    <row r="18" spans="1:7" ht="15" customHeight="1" x14ac:dyDescent="0.3">
      <c r="A18" t="s">
        <v>273</v>
      </c>
      <c r="B18" t="s">
        <v>274</v>
      </c>
      <c r="C18" t="s">
        <v>275</v>
      </c>
      <c r="D18" t="s">
        <v>276</v>
      </c>
      <c r="E18" t="s">
        <v>232</v>
      </c>
    </row>
    <row r="19" spans="1:7" ht="15" customHeight="1" x14ac:dyDescent="0.3">
      <c r="A19" t="s">
        <v>277</v>
      </c>
      <c r="B19" t="s">
        <v>278</v>
      </c>
      <c r="C19" t="s">
        <v>277</v>
      </c>
      <c r="D19" t="s">
        <v>279</v>
      </c>
      <c r="E19" t="s">
        <v>253</v>
      </c>
    </row>
    <row r="20" spans="1:7" ht="15" customHeight="1" x14ac:dyDescent="0.3"/>
    <row r="21" spans="1:7" ht="15" customHeight="1" x14ac:dyDescent="0.3">
      <c r="A21" s="172" t="s">
        <v>280</v>
      </c>
    </row>
    <row r="22" spans="1:7" ht="15" customHeight="1" x14ac:dyDescent="0.3">
      <c r="A22" s="173" t="s">
        <v>281</v>
      </c>
      <c r="B22" s="173" t="s">
        <v>282</v>
      </c>
      <c r="C22" s="173" t="s">
        <v>283</v>
      </c>
      <c r="D22" s="173" t="s">
        <v>284</v>
      </c>
      <c r="E22" s="173" t="s">
        <v>285</v>
      </c>
      <c r="F22" s="173" t="s">
        <v>286</v>
      </c>
      <c r="G22" s="173" t="s">
        <v>287</v>
      </c>
    </row>
    <row r="23" spans="1:7" ht="15" customHeight="1" x14ac:dyDescent="0.3">
      <c r="A23" t="s">
        <v>229</v>
      </c>
      <c r="B23" t="s">
        <v>288</v>
      </c>
      <c r="C23" t="s">
        <v>289</v>
      </c>
      <c r="D23">
        <v>0.8</v>
      </c>
      <c r="E23">
        <v>1.5</v>
      </c>
      <c r="F23" t="s">
        <v>290</v>
      </c>
      <c r="G23" t="s">
        <v>291</v>
      </c>
    </row>
    <row r="24" spans="1:7" ht="15" customHeight="1" x14ac:dyDescent="0.3">
      <c r="A24" t="s">
        <v>229</v>
      </c>
      <c r="B24" t="s">
        <v>288</v>
      </c>
      <c r="C24" t="s">
        <v>141</v>
      </c>
      <c r="D24">
        <v>8</v>
      </c>
      <c r="E24">
        <v>14</v>
      </c>
      <c r="F24" t="s">
        <v>290</v>
      </c>
      <c r="G24" t="s">
        <v>292</v>
      </c>
    </row>
    <row r="25" spans="1:7" ht="15" customHeight="1" x14ac:dyDescent="0.3">
      <c r="A25" t="s">
        <v>229</v>
      </c>
      <c r="B25" t="s">
        <v>288</v>
      </c>
      <c r="C25" t="s">
        <v>293</v>
      </c>
      <c r="D25">
        <v>0.1</v>
      </c>
      <c r="E25">
        <v>0.15</v>
      </c>
      <c r="F25" t="s">
        <v>294</v>
      </c>
      <c r="G25" t="s">
        <v>295</v>
      </c>
    </row>
    <row r="26" spans="1:7" ht="15" customHeight="1" x14ac:dyDescent="0.3">
      <c r="A26" t="s">
        <v>229</v>
      </c>
      <c r="B26" t="s">
        <v>288</v>
      </c>
      <c r="C26" t="s">
        <v>296</v>
      </c>
      <c r="D26">
        <v>1.4999999999999999E-2</v>
      </c>
      <c r="E26">
        <v>0.04</v>
      </c>
      <c r="F26" t="s">
        <v>294</v>
      </c>
      <c r="G26" t="s">
        <v>297</v>
      </c>
    </row>
    <row r="27" spans="1:7" ht="15" customHeight="1" x14ac:dyDescent="0.3">
      <c r="A27" t="s">
        <v>229</v>
      </c>
      <c r="B27" t="s">
        <v>288</v>
      </c>
      <c r="C27" t="s">
        <v>298</v>
      </c>
      <c r="D27">
        <v>0.11</v>
      </c>
      <c r="E27">
        <v>0.14499999999999999</v>
      </c>
      <c r="F27" t="s">
        <v>294</v>
      </c>
      <c r="G27" t="s">
        <v>299</v>
      </c>
    </row>
    <row r="28" spans="1:7" ht="15" customHeight="1" x14ac:dyDescent="0.3">
      <c r="A28" t="s">
        <v>229</v>
      </c>
      <c r="B28" t="s">
        <v>288</v>
      </c>
      <c r="C28" t="s">
        <v>300</v>
      </c>
      <c r="D28">
        <v>0.45</v>
      </c>
      <c r="E28">
        <v>0.65</v>
      </c>
      <c r="F28" t="s">
        <v>294</v>
      </c>
      <c r="G28" t="s">
        <v>301</v>
      </c>
    </row>
    <row r="29" spans="1:7" ht="15" customHeight="1" x14ac:dyDescent="0.3">
      <c r="A29" t="s">
        <v>229</v>
      </c>
      <c r="B29" t="s">
        <v>302</v>
      </c>
      <c r="C29" t="s">
        <v>303</v>
      </c>
      <c r="D29">
        <v>8.9999999999999993E-3</v>
      </c>
      <c r="E29">
        <v>1.2999999999999999E-2</v>
      </c>
      <c r="F29" t="s">
        <v>294</v>
      </c>
      <c r="G29" t="s">
        <v>304</v>
      </c>
    </row>
    <row r="30" spans="1:7" ht="15" customHeight="1" x14ac:dyDescent="0.3">
      <c r="A30" t="s">
        <v>229</v>
      </c>
      <c r="B30" t="s">
        <v>302</v>
      </c>
      <c r="C30" t="s">
        <v>305</v>
      </c>
      <c r="D30">
        <v>0</v>
      </c>
      <c r="E30">
        <v>0.03</v>
      </c>
      <c r="F30" t="s">
        <v>294</v>
      </c>
      <c r="G30" t="s">
        <v>306</v>
      </c>
    </row>
    <row r="31" spans="1:7" ht="15" customHeight="1" x14ac:dyDescent="0.3">
      <c r="A31" t="s">
        <v>229</v>
      </c>
      <c r="B31" t="s">
        <v>302</v>
      </c>
      <c r="C31" t="s">
        <v>307</v>
      </c>
      <c r="D31">
        <v>0.8</v>
      </c>
      <c r="E31">
        <v>0.95</v>
      </c>
      <c r="F31" t="s">
        <v>290</v>
      </c>
      <c r="G31" t="s">
        <v>308</v>
      </c>
    </row>
    <row r="32" spans="1:7" ht="15" customHeight="1" x14ac:dyDescent="0.3">
      <c r="A32" t="s">
        <v>229</v>
      </c>
      <c r="B32" t="s">
        <v>302</v>
      </c>
      <c r="C32" t="s">
        <v>309</v>
      </c>
      <c r="D32">
        <v>0.03</v>
      </c>
      <c r="E32">
        <v>7.0000000000000007E-2</v>
      </c>
      <c r="F32" t="s">
        <v>294</v>
      </c>
      <c r="G32" t="s">
        <v>310</v>
      </c>
    </row>
    <row r="33" spans="1:7" ht="15" customHeight="1" x14ac:dyDescent="0.3">
      <c r="A33" t="s">
        <v>229</v>
      </c>
      <c r="B33" t="s">
        <v>311</v>
      </c>
      <c r="C33" t="s">
        <v>312</v>
      </c>
      <c r="D33">
        <v>5</v>
      </c>
      <c r="E33">
        <v>10</v>
      </c>
      <c r="F33" t="s">
        <v>290</v>
      </c>
      <c r="G33" t="s">
        <v>313</v>
      </c>
    </row>
    <row r="34" spans="1:7" ht="15" customHeight="1" x14ac:dyDescent="0.3">
      <c r="A34" t="s">
        <v>229</v>
      </c>
      <c r="B34" t="s">
        <v>311</v>
      </c>
      <c r="C34" t="s">
        <v>314</v>
      </c>
      <c r="D34">
        <v>1</v>
      </c>
      <c r="E34">
        <v>1.5</v>
      </c>
      <c r="F34" t="s">
        <v>290</v>
      </c>
      <c r="G34" t="s">
        <v>315</v>
      </c>
    </row>
    <row r="35" spans="1:7" ht="15" customHeight="1" x14ac:dyDescent="0.3">
      <c r="A35" t="s">
        <v>229</v>
      </c>
      <c r="B35" t="s">
        <v>311</v>
      </c>
      <c r="C35" t="s">
        <v>316</v>
      </c>
      <c r="D35">
        <v>1</v>
      </c>
      <c r="E35">
        <v>1.3</v>
      </c>
      <c r="F35" t="s">
        <v>290</v>
      </c>
      <c r="G35" t="s">
        <v>315</v>
      </c>
    </row>
    <row r="36" spans="1:7" ht="15" customHeight="1" x14ac:dyDescent="0.3">
      <c r="A36" t="s">
        <v>234</v>
      </c>
      <c r="B36" t="s">
        <v>288</v>
      </c>
      <c r="C36" t="s">
        <v>317</v>
      </c>
      <c r="D36">
        <v>0.8</v>
      </c>
      <c r="E36">
        <v>1.3</v>
      </c>
      <c r="F36" t="s">
        <v>290</v>
      </c>
      <c r="G36" t="s">
        <v>318</v>
      </c>
    </row>
    <row r="37" spans="1:7" ht="15" customHeight="1" x14ac:dyDescent="0.3">
      <c r="A37" t="s">
        <v>234</v>
      </c>
      <c r="B37" t="s">
        <v>288</v>
      </c>
      <c r="C37" t="s">
        <v>319</v>
      </c>
      <c r="D37">
        <v>0.94</v>
      </c>
      <c r="E37">
        <v>1</v>
      </c>
      <c r="F37" t="s">
        <v>294</v>
      </c>
      <c r="G37" t="s">
        <v>320</v>
      </c>
    </row>
    <row r="38" spans="1:7" ht="15" customHeight="1" x14ac:dyDescent="0.3">
      <c r="A38" t="s">
        <v>234</v>
      </c>
      <c r="B38" t="s">
        <v>288</v>
      </c>
      <c r="C38" t="s">
        <v>293</v>
      </c>
      <c r="D38">
        <v>0.1</v>
      </c>
      <c r="E38">
        <v>0.15</v>
      </c>
      <c r="F38" t="s">
        <v>294</v>
      </c>
      <c r="G38" t="s">
        <v>321</v>
      </c>
    </row>
    <row r="39" spans="1:7" ht="15" customHeight="1" x14ac:dyDescent="0.3">
      <c r="A39" t="s">
        <v>234</v>
      </c>
      <c r="B39" t="s">
        <v>288</v>
      </c>
      <c r="C39" t="s">
        <v>322</v>
      </c>
      <c r="D39">
        <v>1.5</v>
      </c>
      <c r="E39">
        <v>2.5</v>
      </c>
      <c r="F39" t="s">
        <v>290</v>
      </c>
      <c r="G39" t="s">
        <v>323</v>
      </c>
    </row>
    <row r="40" spans="1:7" ht="15" customHeight="1" x14ac:dyDescent="0.3">
      <c r="A40" t="s">
        <v>234</v>
      </c>
      <c r="B40" t="s">
        <v>302</v>
      </c>
      <c r="C40" t="s">
        <v>324</v>
      </c>
      <c r="D40">
        <v>0.6</v>
      </c>
      <c r="E40">
        <v>0.7</v>
      </c>
      <c r="F40" t="s">
        <v>294</v>
      </c>
      <c r="G40" t="s">
        <v>325</v>
      </c>
    </row>
    <row r="41" spans="1:7" ht="15" customHeight="1" x14ac:dyDescent="0.3">
      <c r="A41" t="s">
        <v>234</v>
      </c>
      <c r="B41" t="s">
        <v>302</v>
      </c>
      <c r="C41" t="s">
        <v>326</v>
      </c>
      <c r="D41">
        <v>0.25</v>
      </c>
      <c r="E41">
        <v>0.3</v>
      </c>
      <c r="F41" t="s">
        <v>294</v>
      </c>
      <c r="G41" t="s">
        <v>327</v>
      </c>
    </row>
    <row r="42" spans="1:7" ht="15" customHeight="1" x14ac:dyDescent="0.3">
      <c r="A42" t="s">
        <v>234</v>
      </c>
      <c r="B42" t="s">
        <v>302</v>
      </c>
      <c r="C42" t="s">
        <v>328</v>
      </c>
      <c r="D42">
        <v>0.03</v>
      </c>
      <c r="E42">
        <v>0.05</v>
      </c>
      <c r="F42" t="s">
        <v>294</v>
      </c>
      <c r="G42" t="s">
        <v>329</v>
      </c>
    </row>
    <row r="43" spans="1:7" ht="15" customHeight="1" x14ac:dyDescent="0.3">
      <c r="A43" t="s">
        <v>234</v>
      </c>
      <c r="B43" t="s">
        <v>311</v>
      </c>
      <c r="C43" t="s">
        <v>330</v>
      </c>
      <c r="D43">
        <v>0.6</v>
      </c>
      <c r="E43">
        <v>1</v>
      </c>
      <c r="F43" t="s">
        <v>290</v>
      </c>
      <c r="G43" t="s">
        <v>331</v>
      </c>
    </row>
    <row r="44" spans="1:7" ht="15" customHeight="1" x14ac:dyDescent="0.3">
      <c r="A44" t="s">
        <v>238</v>
      </c>
      <c r="B44" t="s">
        <v>288</v>
      </c>
      <c r="C44" t="s">
        <v>332</v>
      </c>
      <c r="D44">
        <v>14</v>
      </c>
      <c r="E44">
        <v>22</v>
      </c>
      <c r="F44" t="s">
        <v>290</v>
      </c>
      <c r="G44" t="s">
        <v>333</v>
      </c>
    </row>
    <row r="45" spans="1:7" ht="15" customHeight="1" x14ac:dyDescent="0.3">
      <c r="A45" t="s">
        <v>238</v>
      </c>
      <c r="B45" t="s">
        <v>288</v>
      </c>
      <c r="C45" t="s">
        <v>334</v>
      </c>
      <c r="D45">
        <v>16</v>
      </c>
      <c r="E45">
        <v>25</v>
      </c>
      <c r="F45" t="s">
        <v>290</v>
      </c>
      <c r="G45" t="s">
        <v>335</v>
      </c>
    </row>
    <row r="46" spans="1:7" ht="15" customHeight="1" x14ac:dyDescent="0.3">
      <c r="A46" t="s">
        <v>238</v>
      </c>
      <c r="B46" t="s">
        <v>288</v>
      </c>
      <c r="C46" t="s">
        <v>336</v>
      </c>
      <c r="D46">
        <v>0.85</v>
      </c>
      <c r="E46">
        <v>1.1499999999999999</v>
      </c>
      <c r="F46" t="s">
        <v>290</v>
      </c>
      <c r="G46" t="s">
        <v>337</v>
      </c>
    </row>
    <row r="47" spans="1:7" ht="15" customHeight="1" x14ac:dyDescent="0.3">
      <c r="A47" t="s">
        <v>238</v>
      </c>
      <c r="B47" t="s">
        <v>288</v>
      </c>
      <c r="C47" t="s">
        <v>309</v>
      </c>
      <c r="D47">
        <v>0.03</v>
      </c>
      <c r="E47">
        <v>0.06</v>
      </c>
      <c r="F47" t="s">
        <v>294</v>
      </c>
      <c r="G47" t="s">
        <v>338</v>
      </c>
    </row>
    <row r="48" spans="1:7" ht="15" customHeight="1" x14ac:dyDescent="0.3">
      <c r="A48" t="s">
        <v>238</v>
      </c>
      <c r="B48" t="s">
        <v>302</v>
      </c>
      <c r="C48" t="s">
        <v>339</v>
      </c>
      <c r="D48">
        <v>0.92</v>
      </c>
      <c r="E48">
        <v>0.98</v>
      </c>
      <c r="F48" t="s">
        <v>294</v>
      </c>
      <c r="G48" t="s">
        <v>340</v>
      </c>
    </row>
    <row r="49" spans="1:7" ht="15" customHeight="1" x14ac:dyDescent="0.3">
      <c r="A49" t="s">
        <v>238</v>
      </c>
      <c r="B49" t="s">
        <v>302</v>
      </c>
      <c r="C49" t="s">
        <v>341</v>
      </c>
      <c r="D49">
        <v>0.3</v>
      </c>
      <c r="E49">
        <v>0.5</v>
      </c>
      <c r="F49" t="s">
        <v>294</v>
      </c>
      <c r="G49" t="s">
        <v>342</v>
      </c>
    </row>
    <row r="50" spans="1:7" ht="15" customHeight="1" x14ac:dyDescent="0.3">
      <c r="A50" t="s">
        <v>238</v>
      </c>
      <c r="B50" t="s">
        <v>302</v>
      </c>
      <c r="C50" t="s">
        <v>343</v>
      </c>
      <c r="D50">
        <v>0.02</v>
      </c>
      <c r="E50">
        <v>0.05</v>
      </c>
      <c r="F50" t="s">
        <v>294</v>
      </c>
      <c r="G50" t="s">
        <v>344</v>
      </c>
    </row>
    <row r="51" spans="1:7" ht="15" customHeight="1" x14ac:dyDescent="0.3">
      <c r="A51" t="s">
        <v>242</v>
      </c>
      <c r="B51" t="s">
        <v>288</v>
      </c>
      <c r="C51" t="s">
        <v>141</v>
      </c>
      <c r="D51">
        <v>15</v>
      </c>
      <c r="E51">
        <v>20</v>
      </c>
      <c r="F51" t="s">
        <v>290</v>
      </c>
      <c r="G51" t="s">
        <v>345</v>
      </c>
    </row>
    <row r="52" spans="1:7" ht="15" customHeight="1" x14ac:dyDescent="0.3">
      <c r="A52" t="s">
        <v>242</v>
      </c>
      <c r="B52" t="s">
        <v>288</v>
      </c>
      <c r="C52" t="s">
        <v>139</v>
      </c>
      <c r="D52">
        <v>8</v>
      </c>
      <c r="E52">
        <v>12</v>
      </c>
      <c r="F52" t="s">
        <v>290</v>
      </c>
      <c r="G52" t="s">
        <v>346</v>
      </c>
    </row>
    <row r="53" spans="1:7" ht="15" customHeight="1" x14ac:dyDescent="0.3">
      <c r="A53" t="s">
        <v>242</v>
      </c>
      <c r="B53" t="s">
        <v>288</v>
      </c>
      <c r="C53" t="s">
        <v>347</v>
      </c>
      <c r="D53">
        <v>0.9</v>
      </c>
      <c r="E53">
        <v>1.2</v>
      </c>
      <c r="F53" t="s">
        <v>290</v>
      </c>
      <c r="G53" t="s">
        <v>348</v>
      </c>
    </row>
    <row r="54" spans="1:7" ht="15" customHeight="1" x14ac:dyDescent="0.3">
      <c r="A54" t="s">
        <v>242</v>
      </c>
      <c r="B54" t="s">
        <v>288</v>
      </c>
      <c r="C54" t="s">
        <v>309</v>
      </c>
      <c r="D54">
        <v>0.03</v>
      </c>
      <c r="E54">
        <v>0.06</v>
      </c>
      <c r="F54" t="s">
        <v>294</v>
      </c>
      <c r="G54" t="s">
        <v>349</v>
      </c>
    </row>
    <row r="55" spans="1:7" ht="15" customHeight="1" x14ac:dyDescent="0.3">
      <c r="A55" t="s">
        <v>242</v>
      </c>
      <c r="B55" t="s">
        <v>302</v>
      </c>
      <c r="C55" t="s">
        <v>350</v>
      </c>
      <c r="D55">
        <v>0.09</v>
      </c>
      <c r="E55">
        <v>0.105</v>
      </c>
      <c r="F55" t="s">
        <v>294</v>
      </c>
      <c r="G55" t="s">
        <v>351</v>
      </c>
    </row>
    <row r="56" spans="1:7" ht="15" customHeight="1" x14ac:dyDescent="0.3">
      <c r="A56" t="s">
        <v>242</v>
      </c>
      <c r="B56" t="s">
        <v>302</v>
      </c>
      <c r="C56" t="s">
        <v>352</v>
      </c>
      <c r="D56">
        <v>0.12</v>
      </c>
      <c r="E56">
        <v>0.18</v>
      </c>
      <c r="F56" t="s">
        <v>294</v>
      </c>
      <c r="G56" t="s">
        <v>353</v>
      </c>
    </row>
    <row r="57" spans="1:7" ht="15" customHeight="1" x14ac:dyDescent="0.3">
      <c r="A57" t="s">
        <v>246</v>
      </c>
      <c r="B57" t="s">
        <v>288</v>
      </c>
      <c r="C57" t="s">
        <v>354</v>
      </c>
      <c r="D57">
        <v>4</v>
      </c>
      <c r="E57">
        <v>8</v>
      </c>
      <c r="F57" t="s">
        <v>290</v>
      </c>
      <c r="G57" t="s">
        <v>355</v>
      </c>
    </row>
    <row r="58" spans="1:7" ht="15" customHeight="1" x14ac:dyDescent="0.3">
      <c r="A58" t="s">
        <v>246</v>
      </c>
      <c r="B58" t="s">
        <v>288</v>
      </c>
      <c r="C58" t="s">
        <v>356</v>
      </c>
      <c r="D58">
        <v>3</v>
      </c>
      <c r="E58">
        <v>6</v>
      </c>
      <c r="F58" t="s">
        <v>290</v>
      </c>
      <c r="G58" t="s">
        <v>357</v>
      </c>
    </row>
    <row r="59" spans="1:7" ht="15" customHeight="1" x14ac:dyDescent="0.3">
      <c r="A59" t="s">
        <v>246</v>
      </c>
      <c r="B59" t="s">
        <v>288</v>
      </c>
      <c r="C59" t="s">
        <v>358</v>
      </c>
      <c r="D59">
        <v>30</v>
      </c>
      <c r="E59">
        <v>50</v>
      </c>
      <c r="F59" t="s">
        <v>359</v>
      </c>
      <c r="G59" t="s">
        <v>360</v>
      </c>
    </row>
    <row r="60" spans="1:7" ht="15" customHeight="1" x14ac:dyDescent="0.3">
      <c r="A60" t="s">
        <v>246</v>
      </c>
      <c r="B60" t="s">
        <v>302</v>
      </c>
      <c r="C60" t="s">
        <v>361</v>
      </c>
      <c r="D60">
        <v>30000</v>
      </c>
      <c r="E60">
        <v>60000</v>
      </c>
      <c r="F60" t="s">
        <v>362</v>
      </c>
      <c r="G60" t="s">
        <v>363</v>
      </c>
    </row>
    <row r="61" spans="1:7" ht="15" customHeight="1" x14ac:dyDescent="0.3">
      <c r="A61" t="s">
        <v>246</v>
      </c>
      <c r="B61" t="s">
        <v>302</v>
      </c>
      <c r="C61" t="s">
        <v>364</v>
      </c>
      <c r="D61">
        <v>0</v>
      </c>
      <c r="E61">
        <v>1.5</v>
      </c>
      <c r="F61" t="s">
        <v>290</v>
      </c>
      <c r="G61" t="s">
        <v>365</v>
      </c>
    </row>
    <row r="62" spans="1:7" x14ac:dyDescent="0.3">
      <c r="A62" t="s">
        <v>250</v>
      </c>
      <c r="B62" t="s">
        <v>288</v>
      </c>
      <c r="C62" t="s">
        <v>140</v>
      </c>
      <c r="D62">
        <v>5</v>
      </c>
      <c r="E62">
        <v>15</v>
      </c>
      <c r="F62" t="s">
        <v>290</v>
      </c>
      <c r="G62" t="s">
        <v>366</v>
      </c>
    </row>
    <row r="63" spans="1:7" x14ac:dyDescent="0.3">
      <c r="A63" t="s">
        <v>250</v>
      </c>
      <c r="B63" t="s">
        <v>288</v>
      </c>
      <c r="C63" t="s">
        <v>367</v>
      </c>
      <c r="D63">
        <v>40</v>
      </c>
      <c r="E63">
        <v>60</v>
      </c>
      <c r="F63" t="s">
        <v>294</v>
      </c>
      <c r="G63" t="s">
        <v>368</v>
      </c>
    </row>
    <row r="64" spans="1:7" x14ac:dyDescent="0.3">
      <c r="A64" t="s">
        <v>250</v>
      </c>
      <c r="B64" t="s">
        <v>288</v>
      </c>
      <c r="C64" t="s">
        <v>369</v>
      </c>
      <c r="D64">
        <v>1.1000000000000001</v>
      </c>
      <c r="E64">
        <v>1.3</v>
      </c>
      <c r="F64" t="s">
        <v>294</v>
      </c>
      <c r="G64" t="s">
        <v>370</v>
      </c>
    </row>
    <row r="65" spans="1:7" x14ac:dyDescent="0.3">
      <c r="A65" t="s">
        <v>250</v>
      </c>
      <c r="B65" t="s">
        <v>288</v>
      </c>
      <c r="C65" t="s">
        <v>117</v>
      </c>
      <c r="D65">
        <v>0.7</v>
      </c>
      <c r="E65">
        <v>0.85</v>
      </c>
      <c r="F65" t="s">
        <v>294</v>
      </c>
      <c r="G65" t="s">
        <v>371</v>
      </c>
    </row>
    <row r="66" spans="1:7" x14ac:dyDescent="0.3">
      <c r="A66" t="s">
        <v>250</v>
      </c>
      <c r="B66" t="s">
        <v>302</v>
      </c>
      <c r="C66" t="s">
        <v>372</v>
      </c>
      <c r="D66">
        <v>8</v>
      </c>
      <c r="E66">
        <v>25</v>
      </c>
      <c r="F66" t="s">
        <v>290</v>
      </c>
      <c r="G66" t="s">
        <v>373</v>
      </c>
    </row>
    <row r="67" spans="1:7" x14ac:dyDescent="0.3">
      <c r="A67" t="s">
        <v>250</v>
      </c>
      <c r="B67" t="s">
        <v>302</v>
      </c>
      <c r="C67" t="s">
        <v>109</v>
      </c>
      <c r="D67">
        <v>0</v>
      </c>
      <c r="E67">
        <v>0.35</v>
      </c>
      <c r="F67" t="s">
        <v>294</v>
      </c>
      <c r="G67" t="s">
        <v>374</v>
      </c>
    </row>
    <row r="68" spans="1:7" x14ac:dyDescent="0.3">
      <c r="A68" t="s">
        <v>250</v>
      </c>
      <c r="B68" t="s">
        <v>302</v>
      </c>
      <c r="C68" t="s">
        <v>375</v>
      </c>
      <c r="D68">
        <v>1</v>
      </c>
      <c r="E68">
        <v>1.5</v>
      </c>
      <c r="F68" t="s">
        <v>290</v>
      </c>
      <c r="G68" t="s">
        <v>376</v>
      </c>
    </row>
    <row r="69" spans="1:7" x14ac:dyDescent="0.3">
      <c r="A69" t="s">
        <v>255</v>
      </c>
      <c r="B69" t="s">
        <v>288</v>
      </c>
      <c r="C69" t="s">
        <v>139</v>
      </c>
      <c r="D69">
        <v>8</v>
      </c>
      <c r="E69">
        <v>14</v>
      </c>
      <c r="F69" t="s">
        <v>290</v>
      </c>
      <c r="G69" t="s">
        <v>377</v>
      </c>
    </row>
    <row r="70" spans="1:7" x14ac:dyDescent="0.3">
      <c r="A70" t="s">
        <v>255</v>
      </c>
      <c r="B70" t="s">
        <v>288</v>
      </c>
      <c r="C70" t="s">
        <v>378</v>
      </c>
      <c r="D70">
        <v>0</v>
      </c>
      <c r="E70">
        <v>0.03</v>
      </c>
      <c r="F70" t="s">
        <v>294</v>
      </c>
      <c r="G70" t="s">
        <v>379</v>
      </c>
    </row>
    <row r="71" spans="1:7" x14ac:dyDescent="0.3">
      <c r="A71" t="s">
        <v>255</v>
      </c>
      <c r="B71" t="s">
        <v>288</v>
      </c>
      <c r="C71" t="s">
        <v>117</v>
      </c>
      <c r="D71">
        <v>0.25</v>
      </c>
      <c r="E71">
        <v>0.5</v>
      </c>
      <c r="F71" t="s">
        <v>294</v>
      </c>
      <c r="G71" t="s">
        <v>380</v>
      </c>
    </row>
    <row r="72" spans="1:7" x14ac:dyDescent="0.3">
      <c r="A72" t="s">
        <v>255</v>
      </c>
      <c r="B72" t="s">
        <v>302</v>
      </c>
      <c r="C72" t="s">
        <v>381</v>
      </c>
      <c r="D72">
        <v>4</v>
      </c>
      <c r="E72">
        <v>8</v>
      </c>
      <c r="F72" t="s">
        <v>290</v>
      </c>
      <c r="G72" t="s">
        <v>382</v>
      </c>
    </row>
    <row r="73" spans="1:7" x14ac:dyDescent="0.3">
      <c r="A73" t="s">
        <v>262</v>
      </c>
      <c r="B73" t="s">
        <v>288</v>
      </c>
      <c r="C73" t="s">
        <v>383</v>
      </c>
      <c r="D73">
        <v>3</v>
      </c>
      <c r="E73">
        <v>6</v>
      </c>
      <c r="F73" t="s">
        <v>290</v>
      </c>
      <c r="G73" t="s">
        <v>384</v>
      </c>
    </row>
    <row r="74" spans="1:7" x14ac:dyDescent="0.3">
      <c r="A74" t="s">
        <v>262</v>
      </c>
      <c r="B74" t="s">
        <v>288</v>
      </c>
      <c r="C74" t="s">
        <v>385</v>
      </c>
      <c r="D74">
        <v>0.15</v>
      </c>
      <c r="E74">
        <v>0.25</v>
      </c>
      <c r="F74" t="s">
        <v>294</v>
      </c>
      <c r="G74" t="s">
        <v>386</v>
      </c>
    </row>
    <row r="75" spans="1:7" x14ac:dyDescent="0.3">
      <c r="A75" t="s">
        <v>262</v>
      </c>
      <c r="B75" t="s">
        <v>302</v>
      </c>
      <c r="C75" t="s">
        <v>117</v>
      </c>
      <c r="D75">
        <v>0.7</v>
      </c>
      <c r="E75">
        <v>0.85</v>
      </c>
      <c r="F75" t="s">
        <v>294</v>
      </c>
      <c r="G75" t="s">
        <v>387</v>
      </c>
    </row>
    <row r="76" spans="1:7" x14ac:dyDescent="0.3">
      <c r="A76" t="s">
        <v>262</v>
      </c>
      <c r="B76" t="s">
        <v>302</v>
      </c>
      <c r="C76" t="s">
        <v>388</v>
      </c>
      <c r="D76">
        <v>0.2</v>
      </c>
      <c r="E76">
        <v>0.35</v>
      </c>
      <c r="F76" t="s">
        <v>294</v>
      </c>
      <c r="G76" t="s">
        <v>389</v>
      </c>
    </row>
    <row r="77" spans="1:7" x14ac:dyDescent="0.3">
      <c r="A77" t="s">
        <v>270</v>
      </c>
      <c r="B77" t="s">
        <v>288</v>
      </c>
      <c r="C77" t="s">
        <v>139</v>
      </c>
      <c r="D77">
        <v>5</v>
      </c>
      <c r="E77">
        <v>9</v>
      </c>
      <c r="F77" t="s">
        <v>290</v>
      </c>
      <c r="G77" t="s">
        <v>390</v>
      </c>
    </row>
    <row r="78" spans="1:7" x14ac:dyDescent="0.3">
      <c r="A78" t="s">
        <v>270</v>
      </c>
      <c r="B78" t="s">
        <v>288</v>
      </c>
      <c r="C78" t="s">
        <v>391</v>
      </c>
      <c r="D78">
        <v>0.06</v>
      </c>
      <c r="E78">
        <v>0.1</v>
      </c>
      <c r="F78" t="s">
        <v>294</v>
      </c>
      <c r="G78" t="s">
        <v>392</v>
      </c>
    </row>
    <row r="79" spans="1:7" x14ac:dyDescent="0.3">
      <c r="A79" t="s">
        <v>270</v>
      </c>
      <c r="B79" t="s">
        <v>288</v>
      </c>
      <c r="C79" t="s">
        <v>393</v>
      </c>
      <c r="D79">
        <v>15</v>
      </c>
      <c r="E79">
        <v>60</v>
      </c>
      <c r="F79" t="s">
        <v>394</v>
      </c>
      <c r="G79" t="s">
        <v>395</v>
      </c>
    </row>
    <row r="80" spans="1:7" x14ac:dyDescent="0.3">
      <c r="A80" t="s">
        <v>270</v>
      </c>
      <c r="B80" t="s">
        <v>302</v>
      </c>
      <c r="C80" t="s">
        <v>396</v>
      </c>
      <c r="D80">
        <v>5.0000000000000001E-3</v>
      </c>
      <c r="E80">
        <v>1.4999999999999999E-2</v>
      </c>
      <c r="F80" t="s">
        <v>397</v>
      </c>
      <c r="G80" t="s">
        <v>398</v>
      </c>
    </row>
    <row r="81" spans="1:7" x14ac:dyDescent="0.3">
      <c r="A81" t="s">
        <v>274</v>
      </c>
      <c r="B81" t="s">
        <v>288</v>
      </c>
      <c r="C81" t="s">
        <v>336</v>
      </c>
      <c r="D81">
        <v>0.8</v>
      </c>
      <c r="E81">
        <v>1.2</v>
      </c>
      <c r="F81" t="s">
        <v>290</v>
      </c>
      <c r="G81" t="s">
        <v>399</v>
      </c>
    </row>
    <row r="82" spans="1:7" x14ac:dyDescent="0.3">
      <c r="A82" t="s">
        <v>274</v>
      </c>
      <c r="B82" t="s">
        <v>288</v>
      </c>
      <c r="C82" t="s">
        <v>400</v>
      </c>
      <c r="D82">
        <v>4</v>
      </c>
      <c r="E82">
        <v>7</v>
      </c>
      <c r="F82" t="s">
        <v>290</v>
      </c>
      <c r="G82" t="s">
        <v>401</v>
      </c>
    </row>
    <row r="83" spans="1:7" x14ac:dyDescent="0.3">
      <c r="A83" t="s">
        <v>274</v>
      </c>
      <c r="B83" t="s">
        <v>288</v>
      </c>
      <c r="C83" t="s">
        <v>402</v>
      </c>
      <c r="D83">
        <v>0</v>
      </c>
      <c r="E83">
        <v>800</v>
      </c>
      <c r="F83" t="s">
        <v>403</v>
      </c>
      <c r="G83" t="s">
        <v>404</v>
      </c>
    </row>
    <row r="84" spans="1:7" x14ac:dyDescent="0.3">
      <c r="A84" t="s">
        <v>278</v>
      </c>
      <c r="B84" t="s">
        <v>288</v>
      </c>
      <c r="C84" t="s">
        <v>405</v>
      </c>
      <c r="D84">
        <v>5</v>
      </c>
      <c r="E84">
        <v>8</v>
      </c>
      <c r="F84" t="s">
        <v>290</v>
      </c>
      <c r="G84" t="s">
        <v>406</v>
      </c>
    </row>
    <row r="85" spans="1:7" x14ac:dyDescent="0.3">
      <c r="A85" t="s">
        <v>278</v>
      </c>
      <c r="B85" t="s">
        <v>288</v>
      </c>
      <c r="C85" t="s">
        <v>407</v>
      </c>
      <c r="D85">
        <v>0.06</v>
      </c>
      <c r="E85">
        <v>0.12</v>
      </c>
      <c r="F85" t="s">
        <v>408</v>
      </c>
      <c r="G85" t="s">
        <v>409</v>
      </c>
    </row>
    <row r="86" spans="1:7" x14ac:dyDescent="0.3">
      <c r="A86" t="s">
        <v>278</v>
      </c>
      <c r="B86" t="s">
        <v>288</v>
      </c>
      <c r="C86" t="s">
        <v>410</v>
      </c>
      <c r="D86">
        <v>0.8</v>
      </c>
      <c r="E86">
        <v>0.9</v>
      </c>
      <c r="F86" t="s">
        <v>294</v>
      </c>
      <c r="G86" t="s">
        <v>411</v>
      </c>
    </row>
    <row r="87" spans="1:7" x14ac:dyDescent="0.3">
      <c r="A87" t="s">
        <v>266</v>
      </c>
      <c r="B87" t="s">
        <v>288</v>
      </c>
      <c r="C87" t="s">
        <v>139</v>
      </c>
      <c r="D87">
        <v>8</v>
      </c>
      <c r="E87">
        <v>18</v>
      </c>
      <c r="F87" t="s">
        <v>290</v>
      </c>
      <c r="G87" t="s">
        <v>412</v>
      </c>
    </row>
    <row r="88" spans="1:7" x14ac:dyDescent="0.3">
      <c r="A88" t="s">
        <v>266</v>
      </c>
      <c r="B88" t="s">
        <v>288</v>
      </c>
      <c r="C88" t="s">
        <v>141</v>
      </c>
      <c r="D88">
        <v>15</v>
      </c>
      <c r="E88">
        <v>25</v>
      </c>
      <c r="F88" t="s">
        <v>290</v>
      </c>
      <c r="G88" t="s">
        <v>413</v>
      </c>
    </row>
    <row r="89" spans="1:7" x14ac:dyDescent="0.3">
      <c r="A89" t="s">
        <v>266</v>
      </c>
      <c r="B89" t="s">
        <v>288</v>
      </c>
      <c r="C89" t="s">
        <v>391</v>
      </c>
      <c r="D89">
        <v>0.05</v>
      </c>
      <c r="E89">
        <v>0.12</v>
      </c>
      <c r="F89" t="s">
        <v>294</v>
      </c>
      <c r="G89" t="s">
        <v>414</v>
      </c>
    </row>
    <row r="90" spans="1:7" x14ac:dyDescent="0.3">
      <c r="A90" t="s">
        <v>266</v>
      </c>
      <c r="B90" t="s">
        <v>288</v>
      </c>
      <c r="C90" t="s">
        <v>415</v>
      </c>
      <c r="D90">
        <v>0.08</v>
      </c>
      <c r="E90">
        <v>0.2</v>
      </c>
      <c r="F90" t="s">
        <v>294</v>
      </c>
      <c r="G90" t="s">
        <v>416</v>
      </c>
    </row>
    <row r="91" spans="1:7" x14ac:dyDescent="0.3">
      <c r="A91" t="s">
        <v>266</v>
      </c>
      <c r="B91" t="s">
        <v>302</v>
      </c>
      <c r="C91" t="s">
        <v>417</v>
      </c>
      <c r="D91">
        <v>0</v>
      </c>
      <c r="E91">
        <v>3</v>
      </c>
      <c r="F91" t="s">
        <v>290</v>
      </c>
      <c r="G91" t="s">
        <v>418</v>
      </c>
    </row>
    <row r="92" spans="1:7" x14ac:dyDescent="0.3">
      <c r="A92" t="s">
        <v>266</v>
      </c>
      <c r="B92" t="s">
        <v>302</v>
      </c>
      <c r="C92" t="s">
        <v>419</v>
      </c>
      <c r="D92">
        <v>5</v>
      </c>
      <c r="E92">
        <v>15</v>
      </c>
      <c r="F92" t="s">
        <v>290</v>
      </c>
      <c r="G92" t="s">
        <v>420</v>
      </c>
    </row>
    <row r="93" spans="1:7" x14ac:dyDescent="0.3">
      <c r="A93" t="s">
        <v>259</v>
      </c>
      <c r="B93" t="s">
        <v>288</v>
      </c>
      <c r="C93" t="s">
        <v>139</v>
      </c>
      <c r="D93">
        <v>10</v>
      </c>
      <c r="E93">
        <v>16</v>
      </c>
      <c r="F93" t="s">
        <v>290</v>
      </c>
      <c r="G93" t="s">
        <v>421</v>
      </c>
    </row>
    <row r="94" spans="1:7" x14ac:dyDescent="0.3">
      <c r="A94" t="s">
        <v>259</v>
      </c>
      <c r="B94" t="s">
        <v>288</v>
      </c>
      <c r="C94" t="s">
        <v>309</v>
      </c>
      <c r="D94">
        <v>2.5000000000000001E-2</v>
      </c>
      <c r="E94">
        <v>0.05</v>
      </c>
      <c r="F94" t="s">
        <v>294</v>
      </c>
      <c r="G94" t="s">
        <v>422</v>
      </c>
    </row>
    <row r="95" spans="1:7" x14ac:dyDescent="0.3">
      <c r="A95" t="s">
        <v>259</v>
      </c>
      <c r="B95" t="s">
        <v>288</v>
      </c>
      <c r="C95" t="s">
        <v>391</v>
      </c>
      <c r="D95">
        <v>0.04</v>
      </c>
      <c r="E95">
        <v>0.08</v>
      </c>
      <c r="F95" t="s">
        <v>294</v>
      </c>
      <c r="G95" t="s">
        <v>423</v>
      </c>
    </row>
    <row r="97" spans="1:6" x14ac:dyDescent="0.3">
      <c r="A97" s="172" t="s">
        <v>424</v>
      </c>
    </row>
    <row r="98" spans="1:6" x14ac:dyDescent="0.3">
      <c r="A98" s="173" t="s">
        <v>281</v>
      </c>
      <c r="B98" s="173" t="s">
        <v>425</v>
      </c>
      <c r="C98" s="173" t="s">
        <v>426</v>
      </c>
      <c r="D98" s="173" t="s">
        <v>427</v>
      </c>
      <c r="E98" s="173" t="s">
        <v>428</v>
      </c>
      <c r="F98" s="173" t="s">
        <v>286</v>
      </c>
    </row>
    <row r="99" spans="1:6" x14ac:dyDescent="0.3">
      <c r="A99" t="s">
        <v>229</v>
      </c>
      <c r="B99" t="s">
        <v>296</v>
      </c>
      <c r="C99">
        <v>-2E-3</v>
      </c>
      <c r="D99">
        <v>0</v>
      </c>
      <c r="E99">
        <v>2E-3</v>
      </c>
      <c r="F99" t="s">
        <v>429</v>
      </c>
    </row>
    <row r="100" spans="1:6" x14ac:dyDescent="0.3">
      <c r="A100" t="s">
        <v>229</v>
      </c>
      <c r="B100" t="s">
        <v>300</v>
      </c>
      <c r="C100">
        <v>0.05</v>
      </c>
      <c r="D100">
        <v>0</v>
      </c>
      <c r="E100">
        <v>-0.05</v>
      </c>
      <c r="F100" t="s">
        <v>430</v>
      </c>
    </row>
    <row r="101" spans="1:6" x14ac:dyDescent="0.3">
      <c r="A101" t="s">
        <v>229</v>
      </c>
      <c r="B101" t="s">
        <v>431</v>
      </c>
      <c r="C101">
        <v>5.0000000000000001E-3</v>
      </c>
      <c r="D101">
        <v>3.0000000000000001E-3</v>
      </c>
      <c r="E101">
        <v>1E-3</v>
      </c>
      <c r="F101" t="s">
        <v>432</v>
      </c>
    </row>
    <row r="102" spans="1:6" x14ac:dyDescent="0.3">
      <c r="A102" t="s">
        <v>229</v>
      </c>
      <c r="B102" t="s">
        <v>433</v>
      </c>
      <c r="C102">
        <v>-0.02</v>
      </c>
      <c r="D102">
        <v>0</v>
      </c>
      <c r="E102">
        <v>0.02</v>
      </c>
      <c r="F102" t="s">
        <v>434</v>
      </c>
    </row>
    <row r="103" spans="1:6" x14ac:dyDescent="0.3">
      <c r="A103" t="s">
        <v>234</v>
      </c>
      <c r="B103" t="s">
        <v>319</v>
      </c>
      <c r="C103">
        <v>0.03</v>
      </c>
      <c r="D103">
        <v>0</v>
      </c>
      <c r="E103">
        <v>-0.03</v>
      </c>
      <c r="F103" t="s">
        <v>430</v>
      </c>
    </row>
    <row r="104" spans="1:6" x14ac:dyDescent="0.3">
      <c r="A104" t="s">
        <v>234</v>
      </c>
      <c r="B104" t="s">
        <v>328</v>
      </c>
      <c r="C104">
        <v>-5.0000000000000001E-3</v>
      </c>
      <c r="D104">
        <v>0</v>
      </c>
      <c r="E104">
        <v>5.0000000000000001E-3</v>
      </c>
      <c r="F104" t="s">
        <v>429</v>
      </c>
    </row>
    <row r="105" spans="1:6" x14ac:dyDescent="0.3">
      <c r="A105" t="s">
        <v>238</v>
      </c>
      <c r="B105" t="s">
        <v>435</v>
      </c>
      <c r="C105">
        <v>5.0000000000000001E-3</v>
      </c>
      <c r="D105">
        <v>0</v>
      </c>
      <c r="E105">
        <v>-5.0000000000000001E-3</v>
      </c>
      <c r="F105" t="s">
        <v>429</v>
      </c>
    </row>
    <row r="106" spans="1:6" x14ac:dyDescent="0.3">
      <c r="A106" t="s">
        <v>238</v>
      </c>
      <c r="B106" t="s">
        <v>343</v>
      </c>
      <c r="C106">
        <v>-0.01</v>
      </c>
      <c r="D106">
        <v>0.03</v>
      </c>
      <c r="E106">
        <v>0.05</v>
      </c>
      <c r="F106" t="s">
        <v>294</v>
      </c>
    </row>
    <row r="107" spans="1:6" x14ac:dyDescent="0.3">
      <c r="A107" t="s">
        <v>238</v>
      </c>
      <c r="B107" t="s">
        <v>436</v>
      </c>
      <c r="C107">
        <v>-0.02</v>
      </c>
      <c r="D107">
        <v>0</v>
      </c>
      <c r="E107">
        <v>0.02</v>
      </c>
      <c r="F107" t="s">
        <v>434</v>
      </c>
    </row>
    <row r="108" spans="1:6" x14ac:dyDescent="0.3">
      <c r="A108" t="s">
        <v>242</v>
      </c>
      <c r="B108" t="s">
        <v>350</v>
      </c>
      <c r="C108">
        <v>-5.0000000000000001E-3</v>
      </c>
      <c r="D108">
        <v>0</v>
      </c>
      <c r="E108">
        <v>5.0000000000000001E-3</v>
      </c>
      <c r="F108" t="s">
        <v>429</v>
      </c>
    </row>
    <row r="109" spans="1:6" x14ac:dyDescent="0.3">
      <c r="A109" t="s">
        <v>242</v>
      </c>
      <c r="B109" t="s">
        <v>437</v>
      </c>
      <c r="C109">
        <v>-0.1</v>
      </c>
      <c r="D109">
        <v>0</v>
      </c>
      <c r="E109">
        <v>0.1</v>
      </c>
      <c r="F109" t="s">
        <v>438</v>
      </c>
    </row>
    <row r="110" spans="1:6" x14ac:dyDescent="0.3">
      <c r="A110" t="s">
        <v>246</v>
      </c>
      <c r="B110" t="s">
        <v>439</v>
      </c>
      <c r="C110">
        <v>60</v>
      </c>
      <c r="D110">
        <v>75</v>
      </c>
      <c r="E110">
        <v>90</v>
      </c>
      <c r="F110" t="s">
        <v>359</v>
      </c>
    </row>
    <row r="111" spans="1:6" x14ac:dyDescent="0.3">
      <c r="A111" t="s">
        <v>246</v>
      </c>
      <c r="B111" t="s">
        <v>440</v>
      </c>
      <c r="C111">
        <v>-0.05</v>
      </c>
      <c r="D111">
        <v>0</v>
      </c>
      <c r="E111">
        <v>0.05</v>
      </c>
      <c r="F111" t="s">
        <v>438</v>
      </c>
    </row>
    <row r="112" spans="1:6" x14ac:dyDescent="0.3">
      <c r="A112" t="s">
        <v>246</v>
      </c>
      <c r="B112" t="s">
        <v>441</v>
      </c>
      <c r="C112">
        <v>0.3</v>
      </c>
      <c r="D112">
        <v>0.5</v>
      </c>
      <c r="E112">
        <v>0.6</v>
      </c>
      <c r="F112" t="s">
        <v>442</v>
      </c>
    </row>
    <row r="113" spans="1:6" x14ac:dyDescent="0.3">
      <c r="A113" t="s">
        <v>250</v>
      </c>
      <c r="B113" t="s">
        <v>443</v>
      </c>
      <c r="C113">
        <v>-0.05</v>
      </c>
      <c r="D113">
        <v>0</v>
      </c>
      <c r="E113">
        <v>0.05</v>
      </c>
      <c r="F113" t="s">
        <v>434</v>
      </c>
    </row>
    <row r="114" spans="1:6" x14ac:dyDescent="0.3">
      <c r="A114" t="s">
        <v>250</v>
      </c>
      <c r="B114" t="s">
        <v>444</v>
      </c>
      <c r="C114">
        <v>-0.1</v>
      </c>
      <c r="D114">
        <v>0</v>
      </c>
      <c r="E114">
        <v>0.1</v>
      </c>
      <c r="F114" t="s">
        <v>430</v>
      </c>
    </row>
    <row r="115" spans="1:6" x14ac:dyDescent="0.3">
      <c r="A115" t="s">
        <v>250</v>
      </c>
      <c r="B115" t="s">
        <v>445</v>
      </c>
      <c r="C115">
        <v>-10</v>
      </c>
      <c r="D115">
        <v>0</v>
      </c>
      <c r="E115">
        <v>10</v>
      </c>
      <c r="F115" t="s">
        <v>446</v>
      </c>
    </row>
    <row r="116" spans="1:6" x14ac:dyDescent="0.3">
      <c r="A116" t="s">
        <v>255</v>
      </c>
      <c r="B116" t="s">
        <v>447</v>
      </c>
      <c r="C116">
        <v>-0.02</v>
      </c>
      <c r="D116">
        <v>0.02</v>
      </c>
      <c r="E116">
        <v>0.05</v>
      </c>
      <c r="F116" t="s">
        <v>294</v>
      </c>
    </row>
    <row r="117" spans="1:6" x14ac:dyDescent="0.3">
      <c r="A117" t="s">
        <v>255</v>
      </c>
      <c r="B117" t="s">
        <v>448</v>
      </c>
      <c r="C117">
        <v>-0.01</v>
      </c>
      <c r="D117">
        <v>0</v>
      </c>
      <c r="E117">
        <v>0.01</v>
      </c>
      <c r="F117" t="s">
        <v>434</v>
      </c>
    </row>
    <row r="118" spans="1:6" x14ac:dyDescent="0.3">
      <c r="A118" t="s">
        <v>262</v>
      </c>
      <c r="B118" t="s">
        <v>449</v>
      </c>
      <c r="C118">
        <v>-0.2</v>
      </c>
      <c r="D118">
        <v>0</v>
      </c>
      <c r="E118">
        <v>0.2</v>
      </c>
      <c r="F118" t="s">
        <v>438</v>
      </c>
    </row>
    <row r="119" spans="1:6" x14ac:dyDescent="0.3">
      <c r="A119" t="s">
        <v>262</v>
      </c>
      <c r="B119" t="s">
        <v>450</v>
      </c>
      <c r="C119">
        <v>-0.25</v>
      </c>
      <c r="D119">
        <v>0</v>
      </c>
      <c r="E119">
        <v>0.25</v>
      </c>
      <c r="F119" t="s">
        <v>438</v>
      </c>
    </row>
    <row r="120" spans="1:6" x14ac:dyDescent="0.3">
      <c r="A120" t="s">
        <v>278</v>
      </c>
      <c r="B120" t="s">
        <v>451</v>
      </c>
      <c r="C120">
        <v>1</v>
      </c>
      <c r="D120">
        <v>0</v>
      </c>
      <c r="E120">
        <v>-1</v>
      </c>
      <c r="F120" t="s">
        <v>452</v>
      </c>
    </row>
    <row r="121" spans="1:6" x14ac:dyDescent="0.3">
      <c r="A121" t="s">
        <v>278</v>
      </c>
      <c r="B121" t="s">
        <v>410</v>
      </c>
      <c r="C121">
        <v>-0.03</v>
      </c>
      <c r="D121">
        <v>0</v>
      </c>
      <c r="E121">
        <v>0.03</v>
      </c>
      <c r="F121" t="s">
        <v>434</v>
      </c>
    </row>
    <row r="122" spans="1:6" x14ac:dyDescent="0.3">
      <c r="A122" t="s">
        <v>274</v>
      </c>
      <c r="B122" t="s">
        <v>453</v>
      </c>
      <c r="C122">
        <v>-0.2</v>
      </c>
      <c r="D122">
        <v>0</v>
      </c>
      <c r="E122">
        <v>0.2</v>
      </c>
      <c r="F122" t="s">
        <v>438</v>
      </c>
    </row>
    <row r="123" spans="1:6" x14ac:dyDescent="0.3">
      <c r="A123" t="s">
        <v>274</v>
      </c>
      <c r="B123" t="s">
        <v>454</v>
      </c>
      <c r="C123">
        <v>0.1</v>
      </c>
      <c r="D123">
        <v>0</v>
      </c>
      <c r="E123">
        <v>-0.1</v>
      </c>
      <c r="F123" t="s">
        <v>438</v>
      </c>
    </row>
    <row r="124" spans="1:6" x14ac:dyDescent="0.3">
      <c r="A124" t="s">
        <v>266</v>
      </c>
      <c r="B124" t="s">
        <v>444</v>
      </c>
      <c r="C124">
        <v>-0.02</v>
      </c>
      <c r="D124">
        <v>0.02</v>
      </c>
      <c r="E124">
        <v>0.05</v>
      </c>
      <c r="F124" t="s">
        <v>434</v>
      </c>
    </row>
    <row r="125" spans="1:6" x14ac:dyDescent="0.3">
      <c r="A125" t="s">
        <v>266</v>
      </c>
      <c r="B125" t="s">
        <v>105</v>
      </c>
      <c r="C125">
        <v>-0.02</v>
      </c>
      <c r="D125">
        <v>0</v>
      </c>
      <c r="E125">
        <v>0.02</v>
      </c>
      <c r="F125" t="s">
        <v>434</v>
      </c>
    </row>
    <row r="126" spans="1:6" x14ac:dyDescent="0.3">
      <c r="A126" t="s">
        <v>266</v>
      </c>
      <c r="B126" t="s">
        <v>455</v>
      </c>
      <c r="C126">
        <v>-2</v>
      </c>
      <c r="D126">
        <v>0</v>
      </c>
      <c r="E126">
        <v>2</v>
      </c>
      <c r="F126" t="s">
        <v>456</v>
      </c>
    </row>
    <row r="127" spans="1:6" x14ac:dyDescent="0.3">
      <c r="A127" t="s">
        <v>270</v>
      </c>
      <c r="B127" t="s">
        <v>457</v>
      </c>
      <c r="C127">
        <v>-0.05</v>
      </c>
      <c r="D127">
        <v>0</v>
      </c>
      <c r="E127">
        <v>0.05</v>
      </c>
      <c r="F127" t="s">
        <v>438</v>
      </c>
    </row>
    <row r="128" spans="1:6" x14ac:dyDescent="0.3">
      <c r="A128" t="s">
        <v>270</v>
      </c>
      <c r="B128" t="s">
        <v>396</v>
      </c>
      <c r="C128">
        <v>5.0000000000000001E-3</v>
      </c>
      <c r="D128">
        <v>0</v>
      </c>
      <c r="E128">
        <v>-5.0000000000000001E-3</v>
      </c>
      <c r="F128" t="s">
        <v>434</v>
      </c>
    </row>
    <row r="129" spans="1:6" x14ac:dyDescent="0.3">
      <c r="A129" t="s">
        <v>259</v>
      </c>
      <c r="B129" t="s">
        <v>444</v>
      </c>
      <c r="C129">
        <v>-0.01</v>
      </c>
      <c r="D129">
        <v>0.03</v>
      </c>
      <c r="E129">
        <v>0.06</v>
      </c>
      <c r="F129" t="s">
        <v>294</v>
      </c>
    </row>
    <row r="130" spans="1:6" x14ac:dyDescent="0.3">
      <c r="A130" t="s">
        <v>259</v>
      </c>
      <c r="B130" t="s">
        <v>105</v>
      </c>
      <c r="C130">
        <v>-0.01</v>
      </c>
      <c r="D130">
        <v>0</v>
      </c>
      <c r="E130">
        <v>0.01</v>
      </c>
      <c r="F130" t="s">
        <v>434</v>
      </c>
    </row>
    <row r="132" spans="1:6" x14ac:dyDescent="0.3">
      <c r="A132" s="172" t="s">
        <v>458</v>
      </c>
    </row>
    <row r="133" spans="1:6" x14ac:dyDescent="0.3">
      <c r="A133" s="173" t="s">
        <v>281</v>
      </c>
      <c r="B133" s="173" t="s">
        <v>459</v>
      </c>
      <c r="C133" s="173" t="s">
        <v>460</v>
      </c>
      <c r="D133" s="173" t="s">
        <v>461</v>
      </c>
    </row>
    <row r="134" spans="1:6" x14ac:dyDescent="0.3">
      <c r="A134" t="s">
        <v>229</v>
      </c>
      <c r="B134" t="s">
        <v>289</v>
      </c>
      <c r="C134" t="s">
        <v>293</v>
      </c>
      <c r="D134" t="s">
        <v>462</v>
      </c>
    </row>
    <row r="135" spans="1:6" x14ac:dyDescent="0.3">
      <c r="A135" t="s">
        <v>234</v>
      </c>
      <c r="B135" t="s">
        <v>317</v>
      </c>
      <c r="C135" t="s">
        <v>319</v>
      </c>
      <c r="D135" t="s">
        <v>322</v>
      </c>
    </row>
    <row r="136" spans="1:6" x14ac:dyDescent="0.3">
      <c r="A136" t="s">
        <v>238</v>
      </c>
      <c r="B136" t="s">
        <v>336</v>
      </c>
      <c r="C136" t="s">
        <v>436</v>
      </c>
      <c r="D136" t="s">
        <v>463</v>
      </c>
    </row>
    <row r="137" spans="1:6" x14ac:dyDescent="0.3">
      <c r="A137" t="s">
        <v>242</v>
      </c>
      <c r="B137" t="s">
        <v>347</v>
      </c>
      <c r="C137" t="s">
        <v>464</v>
      </c>
      <c r="D137" t="s">
        <v>465</v>
      </c>
    </row>
    <row r="138" spans="1:6" x14ac:dyDescent="0.3">
      <c r="A138" t="s">
        <v>246</v>
      </c>
      <c r="B138" t="s">
        <v>354</v>
      </c>
      <c r="C138" t="s">
        <v>358</v>
      </c>
      <c r="D138" t="s">
        <v>466</v>
      </c>
    </row>
    <row r="139" spans="1:6" x14ac:dyDescent="0.3">
      <c r="A139" t="s">
        <v>250</v>
      </c>
      <c r="B139" t="s">
        <v>140</v>
      </c>
      <c r="C139" t="s">
        <v>367</v>
      </c>
      <c r="D139" t="s">
        <v>369</v>
      </c>
    </row>
    <row r="140" spans="1:6" x14ac:dyDescent="0.3">
      <c r="A140" t="s">
        <v>255</v>
      </c>
      <c r="B140" t="s">
        <v>139</v>
      </c>
      <c r="C140" t="s">
        <v>447</v>
      </c>
      <c r="D140" t="s">
        <v>381</v>
      </c>
    </row>
    <row r="141" spans="1:6" x14ac:dyDescent="0.3">
      <c r="A141" t="s">
        <v>262</v>
      </c>
      <c r="B141" t="s">
        <v>383</v>
      </c>
      <c r="C141" t="s">
        <v>467</v>
      </c>
      <c r="D141" t="s">
        <v>468</v>
      </c>
    </row>
    <row r="142" spans="1:6" x14ac:dyDescent="0.3">
      <c r="A142" t="s">
        <v>278</v>
      </c>
      <c r="B142" t="s">
        <v>405</v>
      </c>
      <c r="C142" t="s">
        <v>407</v>
      </c>
      <c r="D142" t="s">
        <v>410</v>
      </c>
    </row>
    <row r="143" spans="1:6" x14ac:dyDescent="0.3">
      <c r="A143" t="s">
        <v>274</v>
      </c>
      <c r="B143" t="s">
        <v>336</v>
      </c>
      <c r="C143" t="s">
        <v>454</v>
      </c>
      <c r="D143" t="s">
        <v>466</v>
      </c>
    </row>
    <row r="144" spans="1:6" x14ac:dyDescent="0.3">
      <c r="A144" t="s">
        <v>270</v>
      </c>
      <c r="B144" t="s">
        <v>139</v>
      </c>
      <c r="C144" t="s">
        <v>391</v>
      </c>
      <c r="D144" t="s">
        <v>469</v>
      </c>
    </row>
    <row r="145" spans="1:7" x14ac:dyDescent="0.3">
      <c r="A145" t="s">
        <v>266</v>
      </c>
      <c r="B145" t="s">
        <v>139</v>
      </c>
      <c r="C145" t="s">
        <v>391</v>
      </c>
      <c r="D145" t="s">
        <v>415</v>
      </c>
    </row>
    <row r="146" spans="1:7" x14ac:dyDescent="0.3">
      <c r="A146" t="s">
        <v>259</v>
      </c>
      <c r="B146" t="s">
        <v>139</v>
      </c>
      <c r="C146" t="s">
        <v>391</v>
      </c>
      <c r="D146" t="s">
        <v>309</v>
      </c>
    </row>
    <row r="148" spans="1:7" x14ac:dyDescent="0.3">
      <c r="A148" s="172" t="s">
        <v>470</v>
      </c>
    </row>
    <row r="149" spans="1:7" x14ac:dyDescent="0.3">
      <c r="A149" s="173" t="s">
        <v>281</v>
      </c>
      <c r="B149" s="173" t="s">
        <v>471</v>
      </c>
      <c r="C149" s="173" t="s">
        <v>472</v>
      </c>
      <c r="D149" s="173" t="s">
        <v>473</v>
      </c>
      <c r="E149" s="173" t="s">
        <v>474</v>
      </c>
      <c r="F149" s="173" t="s">
        <v>475</v>
      </c>
      <c r="G149" s="173" t="s">
        <v>476</v>
      </c>
    </row>
    <row r="150" spans="1:7" x14ac:dyDescent="0.3">
      <c r="A150" t="s">
        <v>229</v>
      </c>
      <c r="B150" t="s">
        <v>293</v>
      </c>
      <c r="C150" t="s">
        <v>141</v>
      </c>
      <c r="D150" t="s">
        <v>289</v>
      </c>
      <c r="E150" t="s">
        <v>477</v>
      </c>
      <c r="F150" t="s">
        <v>462</v>
      </c>
      <c r="G150" t="s">
        <v>300</v>
      </c>
    </row>
    <row r="151" spans="1:7" x14ac:dyDescent="0.3">
      <c r="A151" t="s">
        <v>234</v>
      </c>
      <c r="B151" t="s">
        <v>478</v>
      </c>
      <c r="C151" t="s">
        <v>319</v>
      </c>
      <c r="D151" t="s">
        <v>317</v>
      </c>
      <c r="E151" t="s">
        <v>141</v>
      </c>
      <c r="F151" t="s">
        <v>477</v>
      </c>
      <c r="G151" t="s">
        <v>322</v>
      </c>
    </row>
    <row r="152" spans="1:7" x14ac:dyDescent="0.3">
      <c r="A152" t="s">
        <v>238</v>
      </c>
      <c r="B152" t="s">
        <v>463</v>
      </c>
      <c r="C152" t="s">
        <v>332</v>
      </c>
      <c r="D152" t="s">
        <v>334</v>
      </c>
      <c r="E152" t="s">
        <v>336</v>
      </c>
      <c r="F152" t="s">
        <v>477</v>
      </c>
      <c r="G152" t="s">
        <v>436</v>
      </c>
    </row>
    <row r="153" spans="1:7" x14ac:dyDescent="0.3">
      <c r="A153" t="s">
        <v>242</v>
      </c>
      <c r="B153" t="s">
        <v>465</v>
      </c>
      <c r="C153" t="s">
        <v>139</v>
      </c>
      <c r="D153" t="s">
        <v>141</v>
      </c>
      <c r="E153" t="s">
        <v>347</v>
      </c>
      <c r="F153" t="s">
        <v>477</v>
      </c>
      <c r="G153" t="s">
        <v>479</v>
      </c>
    </row>
    <row r="154" spans="1:7" x14ac:dyDescent="0.3">
      <c r="A154" t="s">
        <v>246</v>
      </c>
      <c r="B154" t="s">
        <v>440</v>
      </c>
      <c r="C154" t="s">
        <v>480</v>
      </c>
      <c r="D154" t="s">
        <v>354</v>
      </c>
      <c r="E154" t="s">
        <v>356</v>
      </c>
      <c r="F154" t="s">
        <v>481</v>
      </c>
      <c r="G154" t="s">
        <v>482</v>
      </c>
    </row>
    <row r="155" spans="1:7" x14ac:dyDescent="0.3">
      <c r="A155" t="s">
        <v>250</v>
      </c>
      <c r="B155" t="s">
        <v>483</v>
      </c>
      <c r="C155" t="s">
        <v>117</v>
      </c>
      <c r="D155" t="s">
        <v>367</v>
      </c>
      <c r="E155" t="s">
        <v>140</v>
      </c>
      <c r="F155" t="s">
        <v>484</v>
      </c>
      <c r="G155" t="s">
        <v>369</v>
      </c>
    </row>
    <row r="156" spans="1:7" x14ac:dyDescent="0.3">
      <c r="A156" t="s">
        <v>255</v>
      </c>
      <c r="B156" t="s">
        <v>483</v>
      </c>
      <c r="C156" t="s">
        <v>447</v>
      </c>
      <c r="D156" t="s">
        <v>117</v>
      </c>
      <c r="E156" t="s">
        <v>139</v>
      </c>
      <c r="F156" t="s">
        <v>141</v>
      </c>
      <c r="G156" t="s">
        <v>477</v>
      </c>
    </row>
    <row r="157" spans="1:7" x14ac:dyDescent="0.3">
      <c r="A157" t="s">
        <v>262</v>
      </c>
      <c r="B157" t="s">
        <v>483</v>
      </c>
      <c r="C157" t="s">
        <v>485</v>
      </c>
      <c r="D157" t="s">
        <v>140</v>
      </c>
      <c r="E157" t="s">
        <v>141</v>
      </c>
      <c r="F157" t="s">
        <v>467</v>
      </c>
      <c r="G157" t="s">
        <v>477</v>
      </c>
    </row>
    <row r="158" spans="1:7" x14ac:dyDescent="0.3">
      <c r="A158" t="s">
        <v>278</v>
      </c>
      <c r="B158" t="s">
        <v>486</v>
      </c>
      <c r="C158" t="s">
        <v>487</v>
      </c>
      <c r="D158" t="s">
        <v>407</v>
      </c>
      <c r="E158" t="s">
        <v>410</v>
      </c>
      <c r="F158" t="s">
        <v>405</v>
      </c>
      <c r="G158" t="s">
        <v>488</v>
      </c>
    </row>
    <row r="159" spans="1:7" x14ac:dyDescent="0.3">
      <c r="A159" t="s">
        <v>274</v>
      </c>
      <c r="B159" t="s">
        <v>440</v>
      </c>
      <c r="C159" t="s">
        <v>480</v>
      </c>
      <c r="D159" t="s">
        <v>454</v>
      </c>
      <c r="E159" t="s">
        <v>336</v>
      </c>
      <c r="F159" t="s">
        <v>139</v>
      </c>
      <c r="G159" t="s">
        <v>477</v>
      </c>
    </row>
    <row r="160" spans="1:7" x14ac:dyDescent="0.3">
      <c r="A160" t="s">
        <v>270</v>
      </c>
      <c r="B160" t="s">
        <v>483</v>
      </c>
      <c r="C160" t="s">
        <v>489</v>
      </c>
      <c r="D160" t="s">
        <v>393</v>
      </c>
      <c r="E160" t="s">
        <v>396</v>
      </c>
      <c r="F160" t="s">
        <v>139</v>
      </c>
      <c r="G160" t="s">
        <v>391</v>
      </c>
    </row>
    <row r="161" spans="1:7" x14ac:dyDescent="0.3">
      <c r="A161" t="s">
        <v>266</v>
      </c>
      <c r="B161" t="s">
        <v>483</v>
      </c>
      <c r="C161" t="s">
        <v>105</v>
      </c>
      <c r="D161" t="s">
        <v>139</v>
      </c>
      <c r="E161" t="s">
        <v>141</v>
      </c>
      <c r="F161" t="s">
        <v>140</v>
      </c>
      <c r="G161" t="s">
        <v>293</v>
      </c>
    </row>
    <row r="162" spans="1:7" x14ac:dyDescent="0.3">
      <c r="A162" t="s">
        <v>259</v>
      </c>
      <c r="B162" t="s">
        <v>483</v>
      </c>
      <c r="C162" t="s">
        <v>105</v>
      </c>
      <c r="D162" t="s">
        <v>139</v>
      </c>
      <c r="E162" t="s">
        <v>391</v>
      </c>
      <c r="F162" t="s">
        <v>477</v>
      </c>
      <c r="G162" t="s">
        <v>490</v>
      </c>
    </row>
  </sheetData>
  <pageMargins left="0.7" right="0.7" top="0.75" bottom="0.75" header="0.3" footer="0.3"/>
  <pageSetup paperSize="9" scal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9</vt:i4>
      </vt:variant>
    </vt:vector>
  </HeadingPairs>
  <TitlesOfParts>
    <vt:vector size="20" baseType="lpstr">
      <vt:lpstr>INPUT</vt:lpstr>
      <vt:lpstr>RATIOS</vt:lpstr>
      <vt:lpstr>TEXAS RATIO</vt:lpstr>
      <vt:lpstr>CAMELS</vt:lpstr>
      <vt:lpstr>BANK VALUATION</vt:lpstr>
      <vt:lpstr>COMPARABLES</vt:lpstr>
      <vt:lpstr>SCENARIOS</vt:lpstr>
      <vt:lpstr>DASHBOARD</vt:lpstr>
      <vt:lpstr>DASHBOARD 2</vt:lpstr>
      <vt:lpstr>STOCK_DATA</vt:lpstr>
      <vt:lpstr>SECTOR_REF</vt:lpstr>
      <vt:lpstr>'BANK VALUATION'!Zone_d_impression</vt:lpstr>
      <vt:lpstr>CAMELS!Zone_d_impression</vt:lpstr>
      <vt:lpstr>COMPARABLES!Zone_d_impression</vt:lpstr>
      <vt:lpstr>DASHBOARD!Zone_d_impression</vt:lpstr>
      <vt:lpstr>'DASHBOARD 2'!Zone_d_impression</vt:lpstr>
      <vt:lpstr>INPUT!Zone_d_impression</vt:lpstr>
      <vt:lpstr>RATIOS!Zone_d_impression</vt:lpstr>
      <vt:lpstr>SCENARIOS!Zone_d_impression</vt:lpstr>
      <vt:lpstr>'TEXAS RATIO'!Zone_d_impression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jeh</dc:creator>
  <cp:lastModifiedBy>Baptiste jeh</cp:lastModifiedBy>
  <cp:lastPrinted>2026-03-07T11:51:18Z</cp:lastPrinted>
  <dcterms:created xsi:type="dcterms:W3CDTF">2026-03-05T17:41:12Z</dcterms:created>
  <dcterms:modified xsi:type="dcterms:W3CDTF">2026-04-16T06:25:39Z</dcterms:modified>
</cp:coreProperties>
</file>